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5f62c69c2e4b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f537fed30b24cd8"/>
    <x:sheet xmlns:r="http://schemas.openxmlformats.org/officeDocument/2006/relationships" name="Orders" sheetId="2" r:id="R014f585aa7f2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"/>
    <x:numFmt numFmtId="202" formatCode="#,##0"/>
    <x:numFmt numFmtId="203" formatCode="0.0%"/>
    <x:numFmt numFmtId="204" formatCode="0.00"/>
  </x:numFmts>
  <x:fonts count="9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sz val="10"/>
      <x:color rgb="FF23344D"/>
      <x:name val="Arial"/>
    </x:font>
    <x:font>
      <x:b/>
      <x:sz val="16"/>
      <x:color rgb="FF152238"/>
      <x:name val="Arial"/>
    </x:font>
    <x:font>
      <x:i/>
      <x:sz val="10"/>
      <x:color rgb="FF52627B"/>
      <x:name val="Arial"/>
    </x:font>
    <x:font>
      <x:b/>
      <x:sz val="12"/>
      <x:color rgb="FF23344D"/>
      <x:name val="Arial"/>
    </x:font>
    <x:font>
      <x:b/>
      <x:sz val="10"/>
      <x:color rgb="FF23344D"/>
      <x:name val="Arial"/>
    </x:font>
    <x:font>
      <x:sz val="10"/>
      <x:color rgb="FF52627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52238"/>
      </x:patternFill>
    </x:fill>
    <x:fill>
      <x:patternFill patternType="solid">
        <x:fgColor rgb="FFEDF3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3" borderId="0" xfId="0" applyNumberFormat="1" applyFont="1" applyFill="1" applyBorder="1"/>
    <x:xf numFmtId="202" fontId="4" fillId="3" borderId="0" xfId="0" applyNumberFormat="1" applyFont="1" applyFill="1" applyBorder="1"/>
    <x:xf numFmtId="203" fontId="4" fillId="3" borderId="0" xfId="0" applyNumberFormat="1" applyFont="1" applyFill="1" applyBorder="1"/>
    <x:xf numFmtId="0" fontId="6" fillId="0" borderId="0" xfId="0" applyNumberFormat="1" applyFont="1" applyFill="1" applyBorder="1"/>
    <x:xf numFmtId="0" fontId="3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204" fontId="3" fillId="0" borderId="0" xfId="0" applyNumberFormat="1" applyFont="1" applyFill="1" applyBorder="1"/>
    <x:xf numFmtId="202" fontId="3" fillId="0" borderId="0" xfId="0" applyNumberFormat="1" applyFont="1" applyFill="1" applyBorder="1" applyAlignment="1">
      <x:alignment horizontal="right"/>
    </x:xf>
    <x:xf numFmtId="203" fontId="3" fillId="0" borderId="0" xfId="0" applyNumberFormat="1" applyFont="1" applyFill="1" applyBorder="1" applyAlignment="1">
      <x:alignment horizontal="right"/>
    </x:xf>
    <x:xf numFmtId="204" fontId="3" fillId="0" borderId="0" xfId="0" applyNumberFormat="1" applyFont="1" applyFill="1" applyBorder="1" applyAlignment="1">
      <x:alignment horizontal="right"/>
    </x:xf>
    <x:xf numFmtId="0" fontId="7" fillId="0" borderId="0" xfId="0" applyNumberFormat="1" applyFont="1" applyFill="1" applyBorder="1"/>
    <x:xf numFmtId="203" fontId="7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f101b7def044ec" /><Relationship Type="http://schemas.openxmlformats.org/officeDocument/2006/relationships/theme" Target="/xl/theme/theme1.xml" Id="R3f4961757e6e4682" /><Relationship Type="http://schemas.openxmlformats.org/officeDocument/2006/relationships/sharedStrings" Target="/xl/sharedStrings.xml" Id="Rea75e07e89244031" /><Relationship Type="http://schemas.openxmlformats.org/officeDocument/2006/relationships/worksheet" Target="/xl/worksheets/sheet1.xml" Id="R1f537fed30b24cd8" /><Relationship Type="http://schemas.openxmlformats.org/officeDocument/2006/relationships/worksheet" Target="/xl/worksheets/sheet2.xml" Id="R014f585aa7f245b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4eaaf4c59154894" /><Relationship Type="http://schemas.openxmlformats.org/officeDocument/2006/relationships/chart" Target="/xl/drawings/charts/chart2.xml" Id="R2ff7702dd7a945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Late rate by mode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Late rate</c:v>
          </c:tx>
          <c:spPr>
            <a:solidFill xmlns:a="http://schemas.openxmlformats.org/drawingml/2006/main">
              <a:srgbClr val="2463EB"/>
            </a:solidFill>
          </c:spPr>
          <c:cat>
            <c:strRef>
              <c:f>'Dashboard'!$B$11:$B$14</c:f>
              <c:strCache>
                <c:ptCount val="0"/>
              </c:strCache>
            </c:strRef>
          </c:cat>
          <c:val>
            <c:numRef>
              <c:f>'Dashboard'!$E$11:$E$14</c:f>
              <c:numCache>
                <c:formatCode>0.0%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Late order volume by mode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Late</c:v>
          </c:tx>
          <c:spPr>
            <a:solidFill xmlns:a="http://schemas.openxmlformats.org/drawingml/2006/main">
              <a:srgbClr val="10A18B"/>
            </a:solidFill>
          </c:spPr>
          <c:cat>
            <c:strRef>
              <c:f>'Dashboard'!$B$11:$B$14</c:f>
              <c:strCache>
                <c:ptCount val="0"/>
              </c:strCache>
            </c:strRef>
          </c:cat>
          <c:val>
            <c:numRef>
              <c:f>'Dashboard'!$D$11:$D$14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17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4eaaf4c59154894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ff7702dd7a945e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OrdersTable" displayName="OrdersTable" ref="A1:L9657" headerRowCount="1" totalsRowCount="0" totalsRowShown="0">
  <x:tableColumns count="12">
    <x:tableColumn id="1" name="Order ID"/>
    <x:tableColumn id="2" name="Order date"/>
    <x:tableColumn id="3" name="Shipping mode"/>
    <x:tableColumn id="4" name="Market"/>
    <x:tableColumn id="5" name="Order status"/>
    <x:tableColumn id="6" name="Delivery status"/>
    <x:tableColumn id="7" name="Actual days"/>
    <x:tableColumn id="8" name="Scheduled days"/>
    <x:tableColumn id="9" name="Delay days"/>
    <x:tableColumn id="10" name="Eligible"/>
    <x:tableColumn id="11" name="Late"/>
    <x:tableColumn id="12" name="Eligible l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97f96ab41c64e2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873e82a12f4d52" /></Relationships>
</file>

<file path=xl/worksheets/sheet1.xml><?xml version="1.0" encoding="utf-8"?>
<x:worksheet xmlns:x="http://schemas.openxmlformats.org/spreadsheetml/2006/main">
  <x:sheetPr>
    <x:tabColor rgb="FF152238"/>
  </x:sheetPr>
  <x:sheetViews>
    <x:sheetView showGridLines="0" workbookViewId="0"/>
  </x:sheetViews>
  <x:sheetFormatPr defaultRowHeight="15"/>
  <x:cols>
    <x:col min="1" max="1" width="3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</x:cols>
  <x:sheetData>
    <x:row r="1" ht="24" customHeight="1">
      <x:c r="A1" s="7"/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ht="24" customHeight="1">
      <x:c r="A2" s="7"/>
      <x:c r="B2" s="8" t="str">
        <x:v>Shipping performance - distinct orders</x:v>
      </x:c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3" ht="24" customHeight="1">
      <x:c r="A3" s="7"/>
      <x:c r="B3" s="9" t="str">
        <x:v>Historical DataCo sample | 2015-01-01 to 2018-01-31 | Unknown sample selection</x:v>
      </x:c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</x:row>
    <x:row r="4" ht="24" customHeight="1">
      <x:c r="A4" s="7"/>
      <x:c r="B4" s="7"/>
      <x:c r="C4" s="7"/>
      <x:c r="D4" s="7"/>
      <x:c r="E4" s="7"/>
      <x:c r="F4" s="7"/>
      <x:c r="G4" s="7"/>
      <x:c r="H4" s="7"/>
      <x:c r="I4" s="7"/>
      <x:c r="J4" s="7"/>
      <x:c r="K4" s="7"/>
      <x:c r="L4" s="7"/>
      <x:c r="M4" s="7"/>
      <x:c r="N4" s="7"/>
      <x:c r="O4" s="7"/>
      <x:c r="P4" s="7"/>
    </x:row>
    <x:row r="5" ht="24" customHeight="1">
      <x:c r="A5" s="7"/>
      <x:c r="B5" s="10" t="str">
        <x:v>Eligible orders</x:v>
      </x:c>
      <x:c r="C5" s="10"/>
      <x:c r="D5" s="10"/>
      <x:c r="E5" s="7"/>
      <x:c r="F5" s="10" t="str">
        <x:v>Late orders</x:v>
      </x:c>
      <x:c r="G5" s="10"/>
      <x:c r="H5" s="10"/>
      <x:c r="I5" s="7"/>
      <x:c r="J5" s="10" t="str">
        <x:v>Late rate</x:v>
      </x:c>
      <x:c r="K5" s="10"/>
      <x:c r="L5" s="10"/>
      <x:c r="M5" s="7"/>
      <x:c r="N5" s="10" t="str">
        <x:v>Excluded orders</x:v>
      </x:c>
      <x:c r="O5" s="10"/>
      <x:c r="P5" s="10"/>
    </x:row>
    <x:row r="6" ht="24" customHeight="1">
      <x:c r="A6" s="7"/>
      <x:c r="B6" s="12" t="n">
        <x:f>COUNTIFS(Orders!$J$2:$J$9657,1)</x:f>
        <x:v>9209</x:v>
      </x:c>
      <x:c r="C6" s="10"/>
      <x:c r="D6" s="10"/>
      <x:c r="E6" s="7"/>
      <x:c r="F6" s="12" t="n">
        <x:f>SUM(Orders!$L$2:$L$9657)</x:f>
        <x:v>4809</x:v>
      </x:c>
      <x:c r="G6" s="10"/>
      <x:c r="H6" s="10"/>
      <x:c r="I6" s="7"/>
      <x:c r="J6" s="13" t="n">
        <x:f>IF(B6=0,"n.a.",F6/B6)</x:f>
        <x:v>0.5222065370832881</x:v>
      </x:c>
      <x:c r="K6" s="10"/>
      <x:c r="L6" s="10"/>
      <x:c r="M6" s="7"/>
      <x:c r="N6" s="12" t="n">
        <x:f>COUNTIFS(Orders!$J$2:$J$9657,0)</x:f>
        <x:v>447</x:v>
      </x:c>
      <x:c r="O6" s="10"/>
      <x:c r="P6" s="10"/>
    </x:row>
    <x:row r="7" ht="24" customHeight="1">
      <x:c r="A7" s="7"/>
      <x:c r="B7" s="7"/>
      <x:c r="C7" s="7"/>
      <x:c r="D7" s="7"/>
      <x:c r="E7" s="7"/>
      <x:c r="F7" s="7"/>
      <x:c r="G7" s="7"/>
      <x:c r="H7" s="7"/>
      <x:c r="I7" s="7"/>
      <x:c r="J7" s="7"/>
      <x:c r="K7" s="7"/>
      <x:c r="L7" s="7"/>
      <x:c r="M7" s="7"/>
      <x:c r="N7" s="7"/>
      <x:c r="O7" s="7"/>
      <x:c r="P7" s="7"/>
    </x:row>
    <x:row r="8" ht="24" customHeight="1">
      <x:c r="A8" s="7"/>
      <x:c r="B8" s="7"/>
      <x:c r="C8" s="7"/>
      <x:c r="D8" s="7"/>
      <x:c r="E8" s="7"/>
      <x:c r="F8" s="7"/>
      <x:c r="G8" s="7"/>
      <x:c r="H8" s="7"/>
      <x:c r="I8" s="7"/>
      <x:c r="J8" s="7"/>
      <x:c r="K8" s="7"/>
      <x:c r="L8" s="7"/>
      <x:c r="M8" s="7"/>
      <x:c r="N8" s="7"/>
      <x:c r="O8" s="7"/>
      <x:c r="P8" s="7"/>
    </x:row>
    <x:row r="9" ht="24" customHeight="1">
      <x:c r="A9" s="7"/>
      <x:c r="B9" s="14" t="str">
        <x:v>Compare eligible orders</x:v>
      </x:c>
      <x:c r="C9" s="7"/>
      <x:c r="D9" s="7"/>
      <x:c r="E9" s="7"/>
      <x:c r="F9" s="7"/>
      <x:c r="G9" s="7"/>
      <x:c r="H9" s="7"/>
      <x:c r="I9" s="7"/>
      <x:c r="J9" s="7"/>
      <x:c r="K9" s="7"/>
      <x:c r="L9" s="7"/>
      <x:c r="M9" s="7"/>
      <x:c r="N9" s="7"/>
      <x:c r="O9" s="7"/>
      <x:c r="P9" s="7"/>
    </x:row>
    <x:row r="10" ht="32" customHeight="1">
      <x:c r="A10" s="7"/>
      <x:c r="B10" s="16" t="str">
        <x:v>Shipping mode</x:v>
      </x:c>
      <x:c r="C10" s="16" t="str">
        <x:v>Eligible</x:v>
      </x:c>
      <x:c r="D10" s="16" t="str">
        <x:v>Late</x:v>
      </x:c>
      <x:c r="E10" s="16" t="str">
        <x:v>Late rate</x:v>
      </x:c>
      <x:c r="F10" s="16" t="str">
        <x:v>Avg late days</x:v>
      </x:c>
      <x:c r="G10" s="16" t="str">
        <x:v>Late share</x:v>
      </x:c>
      <x:c r="H10" s="7"/>
      <x:c r="I10" s="7"/>
      <x:c r="J10" s="7"/>
      <x:c r="K10" s="7"/>
      <x:c r="L10" s="7"/>
      <x:c r="M10" s="7"/>
      <x:c r="N10" s="7"/>
      <x:c r="O10" s="7"/>
      <x:c r="P10" s="7"/>
    </x:row>
    <x:row r="11" ht="24" customHeight="1">
      <x:c r="A11" s="7"/>
      <x:c r="B11" s="7" t="str">
        <x:v>First Class</x:v>
      </x:c>
      <x:c r="C11" s="20" t="n">
        <x:f>COUNTIFS(Orders!$C$2:$C$9657,$B11,Orders!$J$2:$J$9657,1)</x:f>
        <x:v>892</x:v>
      </x:c>
      <x:c r="D11" s="20" t="n">
        <x:f>SUMIFS(Orders!$L$2:$L$9657,Orders!$C$2:$C$9657,$B11)</x:f>
        <x:v>892</x:v>
      </x:c>
      <x:c r="E11" s="21" t="n">
        <x:f>IF(C11=0,"n.a.",D11/C11)</x:f>
        <x:v>1</x:v>
      </x:c>
      <x:c r="F11" s="22" t="n">
        <x:f>IF(D11=0,"n.a.",AVERAGEIFS(Orders!$I$2:$I$9657,Orders!$C$2:$C$9657,$B11,Orders!$J$2:$J$9657,1,Orders!$K$2:$K$9657,1))</x:f>
        <x:v>1</x:v>
      </x:c>
      <x:c r="G11" s="21" t="n">
        <x:f>IF($F$6=0,"n.a.",D11/$F$6)</x:f>
        <x:v>0.18548554793096278</x:v>
      </x:c>
      <x:c r="H11" s="7"/>
      <x:c r="I11" s="7"/>
      <x:c r="J11" s="7"/>
      <x:c r="K11" s="7"/>
      <x:c r="L11" s="7"/>
      <x:c r="M11" s="7"/>
      <x:c r="N11" s="7"/>
      <x:c r="O11" s="7"/>
      <x:c r="P11" s="7"/>
    </x:row>
    <x:row r="12" ht="24" customHeight="1">
      <x:c r="A12" s="7"/>
      <x:c r="B12" s="7" t="str">
        <x:v>Second Class</x:v>
      </x:c>
      <x:c r="C12" s="20" t="n">
        <x:f>COUNTIFS(Orders!$C$2:$C$9657,$B12,Orders!$J$2:$J$9657,1)</x:f>
        <x:v>1459</x:v>
      </x:c>
      <x:c r="D12" s="20" t="n">
        <x:f>SUMIFS(Orders!$L$2:$L$9657,Orders!$C$2:$C$9657,$B12)</x:f>
        <x:v>1181</x:v>
      </x:c>
      <x:c r="E12" s="21" t="n">
        <x:f>IF(C12=0,"n.a.",D12/C12)</x:f>
        <x:v>0.8094585332419465</x:v>
      </x:c>
      <x:c r="F12" s="22" t="n">
        <x:f>IF(D12=0,"n.a.",AVERAGEIFS(Orders!$I$2:$I$9657,Orders!$C$2:$C$9657,$B12,Orders!$J$2:$J$9657,1,Orders!$K$2:$K$9657,1))</x:f>
        <x:v>2.513124470787468</x:v>
      </x:c>
      <x:c r="G12" s="21" t="n">
        <x:f>IF($F$6=0,"n.a.",D12/$F$6)</x:f>
        <x:v>0.24558120191307964</x:v>
      </x:c>
      <x:c r="H12" s="7"/>
      <x:c r="I12" s="7"/>
      <x:c r="J12" s="7"/>
      <x:c r="K12" s="7"/>
      <x:c r="L12" s="7"/>
      <x:c r="M12" s="7"/>
      <x:c r="N12" s="7"/>
      <x:c r="O12" s="7"/>
      <x:c r="P12" s="7"/>
    </x:row>
    <x:row r="13" ht="24" customHeight="1">
      <x:c r="A13" s="7"/>
      <x:c r="B13" s="7" t="str">
        <x:v>Same Day</x:v>
      </x:c>
      <x:c r="C13" s="20" t="n">
        <x:f>COUNTIFS(Orders!$C$2:$C$9657,$B13,Orders!$J$2:$J$9657,1)</x:f>
        <x:v>147</x:v>
      </x:c>
      <x:c r="D13" s="20" t="n">
        <x:f>SUMIFS(Orders!$L$2:$L$9657,Orders!$C$2:$C$9657,$B13)</x:f>
        <x:v>79</x:v>
      </x:c>
      <x:c r="E13" s="21" t="n">
        <x:f>IF(C13=0,"n.a.",D13/C13)</x:f>
        <x:v>0.5374149659863946</x:v>
      </x:c>
      <x:c r="F13" s="22" t="n">
        <x:f>IF(D13=0,"n.a.",AVERAGEIFS(Orders!$I$2:$I$9657,Orders!$C$2:$C$9657,$B13,Orders!$J$2:$J$9657,1,Orders!$K$2:$K$9657,1))</x:f>
        <x:v>1</x:v>
      </x:c>
      <x:c r="G13" s="21" t="n">
        <x:f>IF($F$6=0,"n.a.",D13/$F$6)</x:f>
        <x:v>0.016427531711374507</x:v>
      </x:c>
      <x:c r="H13" s="7"/>
      <x:c r="I13" s="7"/>
      <x:c r="J13" s="7"/>
      <x:c r="K13" s="7"/>
      <x:c r="L13" s="7"/>
      <x:c r="M13" s="7"/>
      <x:c r="N13" s="7"/>
      <x:c r="O13" s="7"/>
      <x:c r="P13" s="7"/>
    </x:row>
    <x:row r="14" ht="24" customHeight="1">
      <x:c r="A14" s="7"/>
      <x:c r="B14" s="7" t="str">
        <x:v>Standard Class</x:v>
      </x:c>
      <x:c r="C14" s="20" t="n">
        <x:f>COUNTIFS(Orders!$C$2:$C$9657,$B14,Orders!$J$2:$J$9657,1)</x:f>
        <x:v>6711</x:v>
      </x:c>
      <x:c r="D14" s="20" t="n">
        <x:f>SUMIFS(Orders!$L$2:$L$9657,Orders!$C$2:$C$9657,$B14)</x:f>
        <x:v>2657</x:v>
      </x:c>
      <x:c r="E14" s="21" t="n">
        <x:f>IF(C14=0,"n.a.",D14/C14)</x:f>
        <x:v>0.3959171509462077</x:v>
      </x:c>
      <x:c r="F14" s="22" t="n">
        <x:f>IF(D14=0,"n.a.",AVERAGEIFS(Orders!$I$2:$I$9657,Orders!$C$2:$C$9657,$B14,Orders!$J$2:$J$9657,1,Orders!$K$2:$K$9657,1))</x:f>
        <x:v>1.4956718103123823</x:v>
      </x:c>
      <x:c r="G14" s="21" t="n">
        <x:f>IF($F$6=0,"n.a.",D14/$F$6)</x:f>
        <x:v>0.5525057184445831</x:v>
      </x:c>
      <x:c r="H14" s="7"/>
      <x:c r="I14" s="7"/>
      <x:c r="J14" s="7"/>
      <x:c r="K14" s="7"/>
      <x:c r="L14" s="7"/>
      <x:c r="M14" s="7"/>
      <x:c r="N14" s="7"/>
      <x:c r="O14" s="7"/>
      <x:c r="P14" s="7"/>
    </x:row>
    <x:row r="15" ht="24" customHeight="1">
      <x:c r="A15" s="7"/>
      <x:c r="B15" s="23" t="str">
        <x:v>All eligible orders</x:v>
      </x:c>
      <x:c r="C15" s="23" t="n">
        <x:f>SUM(C11:C14)</x:f>
        <x:v>9209</x:v>
      </x:c>
      <x:c r="D15" s="23" t="n">
        <x:f>SUM(D11:D14)</x:f>
        <x:v>4809</x:v>
      </x:c>
      <x:c r="E15" s="24" t="n">
        <x:f>IF(C15=0,"n.a.",D15/C15)</x:f>
        <x:v>0.5222065370832881</x:v>
      </x:c>
      <x:c r="F15" s="23"/>
      <x:c r="G15" s="24" t="n">
        <x:f>SUM(G11:G14)</x:f>
        <x:v>1</x:v>
      </x:c>
      <x:c r="H15" s="7"/>
      <x:c r="I15" s="7"/>
      <x:c r="J15" s="7"/>
      <x:c r="K15" s="7"/>
      <x:c r="L15" s="7"/>
      <x:c r="M15" s="7"/>
      <x:c r="N15" s="7"/>
      <x:c r="O15" s="7"/>
      <x:c r="P15" s="7"/>
    </x:row>
    <x:row r="16" ht="24" customHeight="1">
      <x:c r="A16" s="7"/>
      <x:c r="B16" s="7"/>
      <x:c r="C16" s="7"/>
      <x:c r="D16" s="7"/>
      <x:c r="E16" s="7"/>
      <x:c r="F16" s="7"/>
      <x:c r="G16" s="7"/>
      <x:c r="H16" s="7"/>
      <x:c r="I16" s="7"/>
      <x:c r="J16" s="7"/>
      <x:c r="K16" s="7"/>
      <x:c r="L16" s="7"/>
      <x:c r="M16" s="7"/>
      <x:c r="N16" s="7"/>
      <x:c r="O16" s="7"/>
      <x:c r="P16" s="7"/>
    </x:row>
    <x:row r="17" ht="24" customHeight="1">
      <x:c r="A17" s="7"/>
      <x:c r="B17" s="7"/>
      <x:c r="C17" s="7"/>
      <x:c r="D17" s="7"/>
      <x:c r="E17" s="7"/>
      <x:c r="F17" s="7"/>
      <x:c r="G17" s="7"/>
      <x:c r="H17" s="7"/>
      <x:c r="I17" s="7"/>
      <x:c r="J17" s="7"/>
      <x:c r="K17" s="7"/>
      <x:c r="L17" s="7"/>
      <x:c r="M17" s="7"/>
      <x:c r="N17" s="7"/>
      <x:c r="O17" s="7"/>
      <x:c r="P17" s="7"/>
    </x:row>
    <x:row r="18" ht="24" customHeight="1">
      <x:c r="A18" s="7"/>
      <x:c r="B18" s="7"/>
      <x:c r="C18" s="7"/>
      <x:c r="D18" s="7"/>
      <x:c r="E18" s="7"/>
      <x:c r="F18" s="7"/>
      <x:c r="G18" s="7"/>
      <x:c r="H18" s="7"/>
      <x:c r="I18" s="7"/>
      <x:c r="J18" s="7"/>
      <x:c r="K18" s="7"/>
      <x:c r="L18" s="7"/>
      <x:c r="M18" s="7"/>
      <x:c r="N18" s="7"/>
      <x:c r="O18" s="7"/>
      <x:c r="P18" s="7"/>
    </x:row>
    <x:row r="19" ht="24" customHeight="1">
      <x:c r="A19" s="7"/>
      <x:c r="B19" s="7"/>
      <x:c r="C19" s="7"/>
      <x:c r="D19" s="7"/>
      <x:c r="E19" s="7"/>
      <x:c r="F19" s="7"/>
      <x:c r="G19" s="7"/>
      <x:c r="H19" s="7"/>
      <x:c r="I19" s="7"/>
      <x:c r="J19" s="7"/>
      <x:c r="K19" s="7"/>
      <x:c r="L19" s="7"/>
      <x:c r="M19" s="7"/>
      <x:c r="N19" s="7"/>
      <x:c r="O19" s="7"/>
      <x:c r="P19" s="7"/>
    </x:row>
    <x:row r="20" ht="24" customHeight="1">
      <x:c r="A20" s="7"/>
      <x:c r="B20" s="7"/>
      <x:c r="C20" s="7"/>
      <x:c r="D20" s="7"/>
      <x:c r="E20" s="7"/>
      <x:c r="F20" s="7"/>
      <x:c r="G20" s="7"/>
      <x:c r="H20" s="7"/>
      <x:c r="I20" s="7"/>
      <x:c r="J20" s="7"/>
      <x:c r="K20" s="7"/>
      <x:c r="L20" s="7"/>
      <x:c r="M20" s="7"/>
      <x:c r="N20" s="7"/>
      <x:c r="O20" s="7"/>
      <x:c r="P20" s="7"/>
    </x:row>
    <x:row r="21" ht="24" customHeight="1">
      <x:c r="A21" s="7"/>
      <x:c r="B21" s="7"/>
      <x:c r="C21" s="7"/>
      <x:c r="D21" s="7"/>
      <x:c r="E21" s="7"/>
      <x:c r="F21" s="7"/>
      <x:c r="G21" s="7"/>
      <x:c r="H21" s="7"/>
      <x:c r="I21" s="7"/>
      <x:c r="J21" s="7"/>
      <x:c r="K21" s="7"/>
      <x:c r="L21" s="7"/>
      <x:c r="M21" s="7"/>
      <x:c r="N21" s="7"/>
      <x:c r="O21" s="7"/>
      <x:c r="P21" s="7"/>
    </x:row>
    <x:row r="22" ht="24" customHeight="1">
      <x:c r="A22" s="7"/>
      <x:c r="B22" s="7"/>
      <x:c r="C22" s="7"/>
      <x:c r="D22" s="7"/>
      <x:c r="E22" s="7"/>
      <x:c r="F22" s="7"/>
      <x:c r="G22" s="7"/>
      <x:c r="H22" s="7"/>
      <x:c r="I22" s="7"/>
      <x:c r="J22" s="7"/>
      <x:c r="K22" s="7"/>
      <x:c r="L22" s="7"/>
      <x:c r="M22" s="7"/>
      <x:c r="N22" s="7"/>
      <x:c r="O22" s="7"/>
      <x:c r="P22" s="7"/>
    </x:row>
    <x:row r="23" ht="24" customHeight="1">
      <x:c r="A23" s="7"/>
      <x:c r="B23" s="7"/>
      <x:c r="C23" s="7"/>
      <x:c r="D23" s="7"/>
      <x:c r="E23" s="7"/>
      <x:c r="F23" s="7"/>
      <x:c r="G23" s="7"/>
      <x:c r="H23" s="7"/>
      <x:c r="I23" s="7"/>
      <x:c r="J23" s="7"/>
      <x:c r="K23" s="7"/>
      <x:c r="L23" s="7"/>
      <x:c r="M23" s="7"/>
      <x:c r="N23" s="7"/>
      <x:c r="O23" s="7"/>
      <x:c r="P23" s="7"/>
    </x:row>
    <x:row r="24" ht="24" customHeight="1">
      <x:c r="A24" s="7"/>
      <x:c r="B24" s="7"/>
      <x:c r="C24" s="7"/>
      <x:c r="D24" s="7"/>
      <x:c r="E24" s="7"/>
      <x:c r="F24" s="7"/>
      <x:c r="G24" s="7"/>
      <x:c r="H24" s="7"/>
      <x:c r="I24" s="7"/>
      <x:c r="J24" s="7"/>
      <x:c r="K24" s="7"/>
      <x:c r="L24" s="7"/>
      <x:c r="M24" s="7"/>
      <x:c r="N24" s="7"/>
      <x:c r="O24" s="7"/>
      <x:c r="P24" s="7"/>
    </x:row>
    <x:row r="25" ht="24" customHeight="1">
      <x:c r="A25" s="7"/>
      <x:c r="B25" s="7"/>
      <x:c r="C25" s="7"/>
      <x:c r="D25" s="7"/>
      <x:c r="E25" s="7"/>
      <x:c r="F25" s="7"/>
      <x:c r="G25" s="7"/>
      <x:c r="H25" s="7"/>
      <x:c r="I25" s="7"/>
      <x:c r="J25" s="7"/>
      <x:c r="K25" s="7"/>
      <x:c r="L25" s="7"/>
      <x:c r="M25" s="7"/>
      <x:c r="N25" s="7"/>
      <x:c r="O25" s="7"/>
      <x:c r="P25" s="7"/>
    </x:row>
    <x:row r="26" ht="24" customHeight="1">
      <x:c r="A26" s="7"/>
      <x:c r="B26" s="7"/>
      <x:c r="C26" s="7"/>
      <x:c r="D26" s="7"/>
      <x:c r="E26" s="7"/>
      <x:c r="F26" s="7"/>
      <x:c r="G26" s="7"/>
      <x:c r="H26" s="7"/>
      <x:c r="I26" s="7"/>
      <x:c r="J26" s="7"/>
      <x:c r="K26" s="7"/>
      <x:c r="L26" s="7"/>
      <x:c r="M26" s="7"/>
      <x:c r="N26" s="7"/>
      <x:c r="O26" s="7"/>
      <x:c r="P26" s="7"/>
    </x:row>
    <x:row r="27" ht="24" customHeight="1">
      <x:c r="A27" s="7"/>
      <x:c r="B27" s="7"/>
      <x:c r="C27" s="7"/>
      <x:c r="D27" s="7"/>
      <x:c r="E27" s="7"/>
      <x:c r="F27" s="7"/>
      <x:c r="G27" s="7"/>
      <x:c r="H27" s="7"/>
      <x:c r="I27" s="7"/>
      <x:c r="J27" s="7"/>
      <x:c r="K27" s="7"/>
      <x:c r="L27" s="7"/>
      <x:c r="M27" s="7"/>
      <x:c r="N27" s="7"/>
      <x:c r="O27" s="7"/>
      <x:c r="P27" s="7"/>
    </x:row>
    <x:row r="28" ht="24" customHeight="1">
      <x:c r="A28" s="7"/>
      <x:c r="B28" s="7"/>
      <x:c r="C28" s="7"/>
      <x:c r="D28" s="7"/>
      <x:c r="E28" s="7"/>
      <x:c r="F28" s="7"/>
      <x:c r="G28" s="7"/>
      <x:c r="H28" s="7"/>
      <x:c r="I28" s="7"/>
      <x:c r="J28" s="7"/>
      <x:c r="K28" s="7"/>
      <x:c r="L28" s="7"/>
      <x:c r="M28" s="7"/>
      <x:c r="N28" s="7"/>
      <x:c r="O28" s="7"/>
      <x:c r="P28" s="7"/>
    </x:row>
    <x:row r="29" ht="24" customHeight="1">
      <x:c r="A29" s="7"/>
      <x:c r="B29" s="7"/>
      <x:c r="C29" s="7"/>
      <x:c r="D29" s="7"/>
      <x:c r="E29" s="7"/>
      <x:c r="F29" s="7"/>
      <x:c r="G29" s="7"/>
      <x:c r="H29" s="7"/>
      <x:c r="I29" s="7"/>
      <x:c r="J29" s="7"/>
      <x:c r="K29" s="7"/>
      <x:c r="L29" s="7"/>
      <x:c r="M29" s="7"/>
      <x:c r="N29" s="7"/>
      <x:c r="O29" s="7"/>
      <x:c r="P29" s="7"/>
    </x:row>
    <x:row r="30" ht="24" customHeight="1">
      <x:c r="A30" s="7"/>
      <x:c r="B30" s="7"/>
      <x:c r="C30" s="7"/>
      <x:c r="D30" s="7"/>
      <x:c r="E30" s="7"/>
      <x:c r="F30" s="7"/>
      <x:c r="G30" s="7"/>
      <x:c r="H30" s="7"/>
      <x:c r="I30" s="7"/>
      <x:c r="J30" s="7"/>
      <x:c r="K30" s="7"/>
      <x:c r="L30" s="7"/>
      <x:c r="M30" s="7"/>
      <x:c r="N30" s="7"/>
      <x:c r="O30" s="7"/>
      <x:c r="P30" s="7"/>
    </x:row>
    <x:row r="31" ht="24" customHeight="1">
      <x:c r="A31" s="7"/>
      <x:c r="B31" s="26" t="str">
        <x:v>Late = actual days &gt; scheduled days. Excludes canceled/suspected-fraud orders; excluded count stays visible.</x:v>
      </x:c>
      <x:c r="C31" s="26"/>
      <x:c r="D31" s="26"/>
      <x:c r="E31" s="26"/>
      <x:c r="F31" s="26"/>
      <x:c r="G31" s="26"/>
      <x:c r="H31" s="26"/>
      <x:c r="I31" s="26"/>
      <x:c r="J31" s="26"/>
      <x:c r="K31" s="26"/>
      <x:c r="L31" s="26"/>
      <x:c r="M31" s="26"/>
      <x:c r="N31" s="26"/>
      <x:c r="O31" s="26"/>
      <x:c r="P31" s="26"/>
    </x:row>
    <x:row r="32" ht="24" customHeight="1">
      <x:c r="A32" s="7"/>
      <x:c r="B32" s="26"/>
      <x:c r="C32" s="26"/>
      <x:c r="D32" s="26"/>
      <x:c r="E32" s="26"/>
      <x:c r="F32" s="26"/>
      <x:c r="G32" s="26"/>
      <x:c r="H32" s="26"/>
      <x:c r="I32" s="26"/>
      <x:c r="J32" s="26"/>
      <x:c r="K32" s="26"/>
      <x:c r="L32" s="26"/>
      <x:c r="M32" s="26"/>
      <x:c r="N32" s="26"/>
      <x:c r="O32" s="26"/>
      <x:c r="P32" s="26"/>
    </x:row>
    <x:row r="33" ht="24" customHeight="1">
      <x:c r="A33" s="7"/>
      <x:c r="B33" s="27" t="str">
        <x:v>A high rate and high late-order volume answer different questions. Investigate scheduling and service promises before attributing cause. This sample may contain partial orders; no savings or OTIF claim.</x:v>
      </x:c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</x:row>
    <x:row r="34" ht="24" customHeight="1">
      <x:c r="A34" s="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</x:row>
    <x:row r="35" ht="24" customHeight="1">
      <x:c r="A35" s="7"/>
      <x:c r="B35" s="7"/>
      <x:c r="C35" s="7"/>
      <x:c r="D35" s="7"/>
      <x:c r="E35" s="7"/>
      <x:c r="F35" s="7"/>
      <x:c r="G35" s="7"/>
      <x:c r="H35" s="7"/>
      <x:c r="I35" s="7"/>
      <x:c r="J35" s="7"/>
      <x:c r="K35" s="7"/>
      <x:c r="L35" s="7"/>
      <x:c r="M35" s="7"/>
      <x:c r="N35" s="7"/>
      <x:c r="O35" s="7"/>
      <x:c r="P35" s="7"/>
    </x:row>
    <x:row r="36" ht="24" customHeight="1">
      <x:c r="A36" s="7"/>
      <x:c r="B36" s="7" t="str">
        <x:v>Validation: Excel counts reconcile to SQL. Power BI Desktop refresh/render verification is pending.</x:v>
      </x:c>
      <x:c r="C36" s="7"/>
      <x:c r="D36" s="7"/>
      <x:c r="E36" s="7"/>
      <x:c r="F36" s="7"/>
      <x:c r="G36" s="7"/>
      <x:c r="H36" s="7"/>
      <x:c r="I36" s="7"/>
      <x:c r="J36" s="7"/>
      <x:c r="K36" s="7"/>
      <x:c r="L36" s="7"/>
      <x:c r="M36" s="7"/>
      <x:c r="N36" s="7"/>
      <x:c r="O36" s="7"/>
      <x:c r="P36" s="7"/>
    </x:row>
  </x:sheetData>
  <x:mergeCells>
    <x:mergeCell ref="B2:P2"/>
    <x:mergeCell ref="B3:P3"/>
    <x:mergeCell ref="B5:D5"/>
    <x:mergeCell ref="B6:D6"/>
    <x:mergeCell ref="F5:H5"/>
    <x:mergeCell ref="F6:H6"/>
    <x:mergeCell ref="J5:L5"/>
    <x:mergeCell ref="J6:L6"/>
    <x:mergeCell ref="N5:P5"/>
    <x:mergeCell ref="N6:P6"/>
    <x:mergeCell ref="B31:P31"/>
    <x:mergeCell ref="B33:P34"/>
    <x:mergeCell ref="B36:P36"/>
  </x:mergeCells>
  <x:pageMargins left="0.7" right="0.7" top="0.75" bottom="0.75" header="0.3" footer="0.3"/>
  <x:drawing xmlns:r="http://schemas.openxmlformats.org/officeDocument/2006/relationships" r:id="Rc97f96ab41c64e2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5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4" max="14" width="90" hidden="0" customWidth="1"/>
  </x:cols>
  <x:sheetData>
    <x:row r="1" ht="32" customHeight="1">
      <x:c r="A1" s="4" t="str">
        <x:v>Order ID</x:v>
      </x:c>
      <x:c r="B1" s="4" t="str">
        <x:v>Order date</x:v>
      </x:c>
      <x:c r="C1" s="4" t="str">
        <x:v>Shipping mode</x:v>
      </x:c>
      <x:c r="D1" s="4" t="str">
        <x:v>Market</x:v>
      </x:c>
      <x:c r="E1" s="4" t="str">
        <x:v>Order status</x:v>
      </x:c>
      <x:c r="F1" s="4" t="str">
        <x:v>Delivery status</x:v>
      </x:c>
      <x:c r="G1" s="4" t="str">
        <x:v>Actual days</x:v>
      </x:c>
      <x:c r="H1" s="4" t="str">
        <x:v>Scheduled days</x:v>
      </x:c>
      <x:c r="I1" s="4" t="str">
        <x:v>Delay days</x:v>
      </x:c>
      <x:c r="J1" s="4" t="str">
        <x:v>Eligible</x:v>
      </x:c>
      <x:c r="K1" s="4" t="str">
        <x:v>Late</x:v>
      </x:c>
      <x:c r="L1" s="4" t="str">
        <x:v>Eligible late</x:v>
      </x:c>
      <x:c r="N1" t="str">
        <x:v>Source: DataCo / Mendeley Data, CC BY 4.0</x:v>
      </x:c>
    </x:row>
    <x:row r="2">
      <x:c r="A2" s="1" t="n">
        <x:v>12</x:v>
      </x:c>
      <x:c r="B2" s="5" t="d">
        <x:v>2015-01-01T00:00:00.000Z</x:v>
      </x:c>
      <x:c r="C2" s="1" t="str">
        <x:v>Standard Class</x:v>
      </x:c>
      <x:c r="D2" s="1" t="str">
        <x:v>LATAM</x:v>
      </x:c>
      <x:c r="E2" s="1" t="str">
        <x:v>CLOSED</x:v>
      </x:c>
      <x:c r="F2" s="1" t="str">
        <x:v>Advance shipping</x:v>
      </x:c>
      <x:c r="G2" s="6" t="n">
        <x:v>3</x:v>
      </x:c>
      <x:c r="H2" s="6" t="n">
        <x:v>4</x:v>
      </x:c>
      <x:c r="I2" s="6" t="n">
        <x:f>G2-H2</x:f>
        <x:v>-1</x:v>
      </x:c>
      <x:c r="J2" s="6" t="n">
        <x:f>IF(OR(E2="CANCELED",E2="SUSPECTED_FRAUD",F2="Shipping canceled"),0,1)</x:f>
        <x:v>1</x:v>
      </x:c>
      <x:c r="K2" s="6" t="n">
        <x:f>IF(G2&gt;H2,1,0)</x:f>
        <x:v>0</x:v>
      </x:c>
      <x:c r="L2" s="6" t="n">
        <x:f>J2*K2</x:f>
        <x:v>0</x:v>
      </x:c>
      <x:c r="N2" t="str">
        <x:v>https://data.mendeley.com/datasets/8gx2fvg2k6/5</x:v>
      </x:c>
    </x:row>
    <x:row r="3">
      <x:c r="A3" s="1" t="n">
        <x:v>17</x:v>
      </x:c>
      <x:c r="B3" s="5" t="d">
        <x:v>2015-01-01T00:00:00.000Z</x:v>
      </x:c>
      <x:c r="C3" s="1" t="str">
        <x:v>Standard Class</x:v>
      </x:c>
      <x:c r="D3" s="1" t="str">
        <x:v>LATAM</x:v>
      </x:c>
      <x:c r="E3" s="1" t="str">
        <x:v>COMPLETE</x:v>
      </x:c>
      <x:c r="F3" s="1" t="str">
        <x:v>Advance shipping</x:v>
      </x:c>
      <x:c r="G3" s="6" t="n">
        <x:v>3</x:v>
      </x:c>
      <x:c r="H3" s="6" t="n">
        <x:v>4</x:v>
      </x:c>
      <x:c r="I3" s="6" t="n">
        <x:f>G3-H3</x:f>
        <x:v>-1</x:v>
      </x:c>
      <x:c r="J3" s="6" t="n">
        <x:f>IF(OR(E3="CANCELED",E3="SUSPECTED_FRAUD",F3="Shipping canceled"),0,1)</x:f>
        <x:v>1</x:v>
      </x:c>
      <x:c r="K3" s="6" t="n">
        <x:f>IF(G3&gt;H3,1,0)</x:f>
        <x:v>0</x:v>
      </x:c>
      <x:c r="L3" s="6" t="n">
        <x:f>J3*K3</x:f>
        <x:v>0</x:v>
      </x:c>
      <x:c r="N3" t="str">
        <x:v>Order-level extract from existing 15,000-line sample. Unknown sampling method.</x:v>
      </x:c>
    </x:row>
    <x:row r="4">
      <x:c r="A4" s="1" t="n">
        <x:v>28</x:v>
      </x:c>
      <x:c r="B4" s="5" t="d">
        <x:v>2015-01-01T00:00:00.000Z</x:v>
      </x:c>
      <x:c r="C4" s="1" t="str">
        <x:v>Standard Class</x:v>
      </x:c>
      <x:c r="D4" s="1" t="str">
        <x:v>LATAM</x:v>
      </x:c>
      <x:c r="E4" s="1" t="str">
        <x:v>COMPLETE</x:v>
      </x:c>
      <x:c r="F4" s="1" t="str">
        <x:v>Shipping on time</x:v>
      </x:c>
      <x:c r="G4" s="6" t="n">
        <x:v>4</x:v>
      </x:c>
      <x:c r="H4" s="6" t="n">
        <x:v>4</x:v>
      </x:c>
      <x:c r="I4" s="6" t="n">
        <x:f>G4-H4</x:f>
        <x:v>0</x:v>
      </x:c>
      <x:c r="J4" s="6" t="n">
        <x:f>IF(OR(E4="CANCELED",E4="SUSPECTED_FRAUD",F4="Shipping canceled"),0,1)</x:f>
        <x:v>1</x:v>
      </x:c>
      <x:c r="K4" s="6" t="n">
        <x:f>IF(G4&gt;H4,1,0)</x:f>
        <x:v>0</x:v>
      </x:c>
      <x:c r="L4" s="6" t="n">
        <x:f>J4*K4</x:f>
        <x:v>0</x:v>
      </x:c>
      <x:c r="N4" t="str">
        <x:v>Customer identity/contact fields removed. Order attribute consistency checked by SQL.</x:v>
      </x:c>
    </x:row>
    <x:row r="5">
      <x:c r="A5" s="1" t="n">
        <x:v>58</x:v>
      </x:c>
      <x:c r="B5" s="5" t="d">
        <x:v>2015-01-01T00:00:00.000Z</x:v>
      </x:c>
      <x:c r="C5" s="1" t="str">
        <x:v>Standard Class</x:v>
      </x:c>
      <x:c r="D5" s="1" t="str">
        <x:v>LATAM</x:v>
      </x:c>
      <x:c r="E5" s="1" t="str">
        <x:v>PENDING_PAYMENT</x:v>
      </x:c>
      <x:c r="F5" s="1" t="str">
        <x:v>Shipping on time</x:v>
      </x:c>
      <x:c r="G5" s="6" t="n">
        <x:v>4</x:v>
      </x:c>
      <x:c r="H5" s="6" t="n">
        <x:v>4</x:v>
      </x:c>
      <x:c r="I5" s="6" t="n">
        <x:f>G5-H5</x:f>
        <x:v>0</x:v>
      </x:c>
      <x:c r="J5" s="6" t="n">
        <x:f>IF(OR(E5="CANCELED",E5="SUSPECTED_FRAUD",F5="Shipping canceled"),0,1)</x:f>
        <x:v>1</x:v>
      </x:c>
      <x:c r="K5" s="6" t="n">
        <x:f>IF(G5&gt;H5,1,0)</x:f>
        <x:v>0</x:v>
      </x:c>
      <x:c r="L5" s="6" t="n">
        <x:f>J5*K5</x:f>
        <x:v>0</x:v>
      </x:c>
    </x:row>
    <x:row r="6">
      <x:c r="A6" s="1" t="n">
        <x:v>62</x:v>
      </x:c>
      <x:c r="B6" s="5" t="d">
        <x:v>2015-01-01T00:00:00.000Z</x:v>
      </x:c>
      <x:c r="C6" s="1" t="str">
        <x:v>Standard Class</x:v>
      </x:c>
      <x:c r="D6" s="1" t="str">
        <x:v>LATAM</x:v>
      </x:c>
      <x:c r="E6" s="1" t="str">
        <x:v>CLOSED</x:v>
      </x:c>
      <x:c r="F6" s="1" t="str">
        <x:v>Advance shipping</x:v>
      </x:c>
      <x:c r="G6" s="6" t="n">
        <x:v>3</x:v>
      </x:c>
      <x:c r="H6" s="6" t="n">
        <x:v>4</x:v>
      </x:c>
      <x:c r="I6" s="6" t="n">
        <x:f>G6-H6</x:f>
        <x:v>-1</x:v>
      </x:c>
      <x:c r="J6" s="6" t="n">
        <x:f>IF(OR(E6="CANCELED",E6="SUSPECTED_FRAUD",F6="Shipping canceled"),0,1)</x:f>
        <x:v>1</x:v>
      </x:c>
      <x:c r="K6" s="6" t="n">
        <x:f>IF(G6&gt;H6,1,0)</x:f>
        <x:v>0</x:v>
      </x:c>
      <x:c r="L6" s="6" t="n">
        <x:f>J6*K6</x:f>
        <x:v>0</x:v>
      </x:c>
    </x:row>
    <x:row r="7">
      <x:c r="A7" s="1" t="n">
        <x:v>69</x:v>
      </x:c>
      <x:c r="B7" s="5" t="d">
        <x:v>2015-01-01T00:00:00.000Z</x:v>
      </x:c>
      <x:c r="C7" s="1" t="str">
        <x:v>Standard Class</x:v>
      </x:c>
      <x:c r="D7" s="1" t="str">
        <x:v>LATAM</x:v>
      </x:c>
      <x:c r="E7" s="1" t="str">
        <x:v>SUSPECTED_FRAUD</x:v>
      </x:c>
      <x:c r="F7" s="1" t="str">
        <x:v>Shipping canceled</x:v>
      </x:c>
      <x:c r="G7" s="6" t="n">
        <x:v>5</x:v>
      </x:c>
      <x:c r="H7" s="6" t="n">
        <x:v>4</x:v>
      </x:c>
      <x:c r="I7" s="6" t="n">
        <x:f>G7-H7</x:f>
        <x:v>1</x:v>
      </x:c>
      <x:c r="J7" s="6" t="n">
        <x:f>IF(OR(E7="CANCELED",E7="SUSPECTED_FRAUD",F7="Shipping canceled"),0,1)</x:f>
        <x:v>0</x:v>
      </x:c>
      <x:c r="K7" s="6" t="n">
        <x:f>IF(G7&gt;H7,1,0)</x:f>
        <x:v>1</x:v>
      </x:c>
      <x:c r="L7" s="6" t="n">
        <x:f>J7*K7</x:f>
        <x:v>0</x:v>
      </x:c>
    </x:row>
    <x:row r="8">
      <x:c r="A8" s="1" t="n">
        <x:v>74</x:v>
      </x:c>
      <x:c r="B8" s="5" t="d">
        <x:v>2015-01-02T00:00:00.000Z</x:v>
      </x:c>
      <x:c r="C8" s="1" t="str">
        <x:v>Standard Class</x:v>
      </x:c>
      <x:c r="D8" s="1" t="str">
        <x:v>LATAM</x:v>
      </x:c>
      <x:c r="E8" s="1" t="str">
        <x:v>PENDING_PAYMENT</x:v>
      </x:c>
      <x:c r="F8" s="1" t="str">
        <x:v>Late delivery</x:v>
      </x:c>
      <x:c r="G8" s="6" t="n">
        <x:v>5</x:v>
      </x:c>
      <x:c r="H8" s="6" t="n">
        <x:v>4</x:v>
      </x:c>
      <x:c r="I8" s="6" t="n">
        <x:f>G8-H8</x:f>
        <x:v>1</x:v>
      </x:c>
      <x:c r="J8" s="6" t="n">
        <x:f>IF(OR(E8="CANCELED",E8="SUSPECTED_FRAUD",F8="Shipping canceled"),0,1)</x:f>
        <x:v>1</x:v>
      </x:c>
      <x:c r="K8" s="6" t="n">
        <x:f>IF(G8&gt;H8,1,0)</x:f>
        <x:v>1</x:v>
      </x:c>
      <x:c r="L8" s="6" t="n">
        <x:f>J8*K8</x:f>
        <x:v>1</x:v>
      </x:c>
    </x:row>
    <x:row r="9">
      <x:c r="A9" s="1" t="n">
        <x:v>94</x:v>
      </x:c>
      <x:c r="B9" s="5" t="d">
        <x:v>2015-01-02T00:00:00.000Z</x:v>
      </x:c>
      <x:c r="C9" s="1" t="str">
        <x:v>Standard Class</x:v>
      </x:c>
      <x:c r="D9" s="1" t="str">
        <x:v>LATAM</x:v>
      </x:c>
      <x:c r="E9" s="1" t="str">
        <x:v>PROCESSING</x:v>
      </x:c>
      <x:c r="F9" s="1" t="str">
        <x:v>Late delivery</x:v>
      </x:c>
      <x:c r="G9" s="6" t="n">
        <x:v>5</x:v>
      </x:c>
      <x:c r="H9" s="6" t="n">
        <x:v>4</x:v>
      </x:c>
      <x:c r="I9" s="6" t="n">
        <x:f>G9-H9</x:f>
        <x:v>1</x:v>
      </x:c>
      <x:c r="J9" s="6" t="n">
        <x:f>IF(OR(E9="CANCELED",E9="SUSPECTED_FRAUD",F9="Shipping canceled"),0,1)</x:f>
        <x:v>1</x:v>
      </x:c>
      <x:c r="K9" s="6" t="n">
        <x:f>IF(G9&gt;H9,1,0)</x:f>
        <x:v>1</x:v>
      </x:c>
      <x:c r="L9" s="6" t="n">
        <x:f>J9*K9</x:f>
        <x:v>1</x:v>
      </x:c>
    </x:row>
    <x:row r="10">
      <x:c r="A10" s="1" t="n">
        <x:v>107</x:v>
      </x:c>
      <x:c r="B10" s="5" t="d">
        <x:v>2015-01-02T00:00:00.000Z</x:v>
      </x:c>
      <x:c r="C10" s="1" t="str">
        <x:v>Standard Class</x:v>
      </x:c>
      <x:c r="D10" s="1" t="str">
        <x:v>LATAM</x:v>
      </x:c>
      <x:c r="E10" s="1" t="str">
        <x:v>COMPLETE</x:v>
      </x:c>
      <x:c r="F10" s="1" t="str">
        <x:v>Advance shipping</x:v>
      </x:c>
      <x:c r="G10" s="6" t="n">
        <x:v>3</x:v>
      </x:c>
      <x:c r="H10" s="6" t="n">
        <x:v>4</x:v>
      </x:c>
      <x:c r="I10" s="6" t="n">
        <x:f>G10-H10</x:f>
        <x:v>-1</x:v>
      </x:c>
      <x:c r="J10" s="6" t="n">
        <x:f>IF(OR(E10="CANCELED",E10="SUSPECTED_FRAUD",F10="Shipping canceled"),0,1)</x:f>
        <x:v>1</x:v>
      </x:c>
      <x:c r="K10" s="6" t="n">
        <x:f>IF(G10&gt;H10,1,0)</x:f>
        <x:v>0</x:v>
      </x:c>
      <x:c r="L10" s="6" t="n">
        <x:f>J10*K10</x:f>
        <x:v>0</x:v>
      </x:c>
    </x:row>
    <x:row r="11">
      <x:c r="A11" s="1" t="n">
        <x:v>112</x:v>
      </x:c>
      <x:c r="B11" s="5" t="d">
        <x:v>2015-01-02T00:00:00.000Z</x:v>
      </x:c>
      <x:c r="C11" s="1" t="str">
        <x:v>Standard Class</x:v>
      </x:c>
      <x:c r="D11" s="1" t="str">
        <x:v>LATAM</x:v>
      </x:c>
      <x:c r="E11" s="1" t="str">
        <x:v>CANCELED</x:v>
      </x:c>
      <x:c r="F11" s="1" t="str">
        <x:v>Shipping canceled</x:v>
      </x:c>
      <x:c r="G11" s="6" t="n">
        <x:v>3</x:v>
      </x:c>
      <x:c r="H11" s="6" t="n">
        <x:v>4</x:v>
      </x:c>
      <x:c r="I11" s="6" t="n">
        <x:f>G11-H11</x:f>
        <x:v>-1</x:v>
      </x:c>
      <x:c r="J11" s="6" t="n">
        <x:f>IF(OR(E11="CANCELED",E11="SUSPECTED_FRAUD",F11="Shipping canceled"),0,1)</x:f>
        <x:v>0</x:v>
      </x:c>
      <x:c r="K11" s="6" t="n">
        <x:f>IF(G11&gt;H11,1,0)</x:f>
        <x:v>0</x:v>
      </x:c>
      <x:c r="L11" s="6" t="n">
        <x:f>J11*K11</x:f>
        <x:v>0</x:v>
      </x:c>
    </x:row>
    <x:row r="12">
      <x:c r="A12" s="1" t="n">
        <x:v>116</x:v>
      </x:c>
      <x:c r="B12" s="5" t="d">
        <x:v>2015-01-02T00:00:00.000Z</x:v>
      </x:c>
      <x:c r="C12" s="1" t="str">
        <x:v>Standard Class</x:v>
      </x:c>
      <x:c r="D12" s="1" t="str">
        <x:v>LATAM</x:v>
      </x:c>
      <x:c r="E12" s="1" t="str">
        <x:v>CLOSED</x:v>
      </x:c>
      <x:c r="F12" s="1" t="str">
        <x:v>Advance shipping</x:v>
      </x:c>
      <x:c r="G12" s="6" t="n">
        <x:v>2</x:v>
      </x:c>
      <x:c r="H12" s="6" t="n">
        <x:v>4</x:v>
      </x:c>
      <x:c r="I12" s="6" t="n">
        <x:f>G12-H12</x:f>
        <x:v>-2</x:v>
      </x:c>
      <x:c r="J12" s="6" t="n">
        <x:f>IF(OR(E12="CANCELED",E12="SUSPECTED_FRAUD",F12="Shipping canceled"),0,1)</x:f>
        <x:v>1</x:v>
      </x:c>
      <x:c r="K12" s="6" t="n">
        <x:f>IF(G12&gt;H12,1,0)</x:f>
        <x:v>0</x:v>
      </x:c>
      <x:c r="L12" s="6" t="n">
        <x:f>J12*K12</x:f>
        <x:v>0</x:v>
      </x:c>
    </x:row>
    <x:row r="13">
      <x:c r="A13" s="1" t="n">
        <x:v>117</x:v>
      </x:c>
      <x:c r="B13" s="5" t="d">
        <x:v>2015-01-02T00:00:00.000Z</x:v>
      </x:c>
      <x:c r="C13" s="1" t="str">
        <x:v>Standard Class</x:v>
      </x:c>
      <x:c r="D13" s="1" t="str">
        <x:v>LATAM</x:v>
      </x:c>
      <x:c r="E13" s="1" t="str">
        <x:v>SUSPECTED_FRAUD</x:v>
      </x:c>
      <x:c r="F13" s="1" t="str">
        <x:v>Shipping canceled</x:v>
      </x:c>
      <x:c r="G13" s="6" t="n">
        <x:v>3</x:v>
      </x:c>
      <x:c r="H13" s="6" t="n">
        <x:v>4</x:v>
      </x:c>
      <x:c r="I13" s="6" t="n">
        <x:f>G13-H13</x:f>
        <x:v>-1</x:v>
      </x:c>
      <x:c r="J13" s="6" t="n">
        <x:f>IF(OR(E13="CANCELED",E13="SUSPECTED_FRAUD",F13="Shipping canceled"),0,1)</x:f>
        <x:v>0</x:v>
      </x:c>
      <x:c r="K13" s="6" t="n">
        <x:f>IF(G13&gt;H13,1,0)</x:f>
        <x:v>0</x:v>
      </x:c>
      <x:c r="L13" s="6" t="n">
        <x:f>J13*K13</x:f>
        <x:v>0</x:v>
      </x:c>
    </x:row>
    <x:row r="14">
      <x:c r="A14" s="1" t="n">
        <x:v>132</x:v>
      </x:c>
      <x:c r="B14" s="5" t="d">
        <x:v>2015-01-02T00:00:00.000Z</x:v>
      </x:c>
      <x:c r="C14" s="1" t="str">
        <x:v>Standard Class</x:v>
      </x:c>
      <x:c r="D14" s="1" t="str">
        <x:v>LATAM</x:v>
      </x:c>
      <x:c r="E14" s="1" t="str">
        <x:v>PENDING</x:v>
      </x:c>
      <x:c r="F14" s="1" t="str">
        <x:v>Advance shipping</x:v>
      </x:c>
      <x:c r="G14" s="6" t="n">
        <x:v>3</x:v>
      </x:c>
      <x:c r="H14" s="6" t="n">
        <x:v>4</x:v>
      </x:c>
      <x:c r="I14" s="6" t="n">
        <x:f>G14-H14</x:f>
        <x:v>-1</x:v>
      </x:c>
      <x:c r="J14" s="6" t="n">
        <x:f>IF(OR(E14="CANCELED",E14="SUSPECTED_FRAUD",F14="Shipping canceled"),0,1)</x:f>
        <x:v>1</x:v>
      </x:c>
      <x:c r="K14" s="6" t="n">
        <x:f>IF(G14&gt;H14,1,0)</x:f>
        <x:v>0</x:v>
      </x:c>
      <x:c r="L14" s="6" t="n">
        <x:f>J14*K14</x:f>
        <x:v>0</x:v>
      </x:c>
    </x:row>
    <x:row r="15">
      <x:c r="A15" s="1" t="n">
        <x:v>135</x:v>
      </x:c>
      <x:c r="B15" s="5" t="d">
        <x:v>2015-01-02T00:00:00.000Z</x:v>
      </x:c>
      <x:c r="C15" s="1" t="str">
        <x:v>Standard Class</x:v>
      </x:c>
      <x:c r="D15" s="1" t="str">
        <x:v>LATAM</x:v>
      </x:c>
      <x:c r="E15" s="1" t="str">
        <x:v>COMPLETE</x:v>
      </x:c>
      <x:c r="F15" s="1" t="str">
        <x:v>Late delivery</x:v>
      </x:c>
      <x:c r="G15" s="6" t="n">
        <x:v>6</x:v>
      </x:c>
      <x:c r="H15" s="6" t="n">
        <x:v>4</x:v>
      </x:c>
      <x:c r="I15" s="6" t="n">
        <x:f>G15-H15</x:f>
        <x:v>2</x:v>
      </x:c>
      <x:c r="J15" s="6" t="n">
        <x:f>IF(OR(E15="CANCELED",E15="SUSPECTED_FRAUD",F15="Shipping canceled"),0,1)</x:f>
        <x:v>1</x:v>
      </x:c>
      <x:c r="K15" s="6" t="n">
        <x:f>IF(G15&gt;H15,1,0)</x:f>
        <x:v>1</x:v>
      </x:c>
      <x:c r="L15" s="6" t="n">
        <x:f>J15*K15</x:f>
        <x:v>1</x:v>
      </x:c>
    </x:row>
    <x:row r="16">
      <x:c r="A16" s="1" t="n">
        <x:v>139</x:v>
      </x:c>
      <x:c r="B16" s="5" t="d">
        <x:v>2015-01-03T00:00:00.000Z</x:v>
      </x:c>
      <x:c r="C16" s="1" t="str">
        <x:v>Standard Class</x:v>
      </x:c>
      <x:c r="D16" s="1" t="str">
        <x:v>LATAM</x:v>
      </x:c>
      <x:c r="E16" s="1" t="str">
        <x:v>COMPLETE</x:v>
      </x:c>
      <x:c r="F16" s="1" t="str">
        <x:v>Late delivery</x:v>
      </x:c>
      <x:c r="G16" s="6" t="n">
        <x:v>5</x:v>
      </x:c>
      <x:c r="H16" s="6" t="n">
        <x:v>4</x:v>
      </x:c>
      <x:c r="I16" s="6" t="n">
        <x:f>G16-H16</x:f>
        <x:v>1</x:v>
      </x:c>
      <x:c r="J16" s="6" t="n">
        <x:f>IF(OR(E16="CANCELED",E16="SUSPECTED_FRAUD",F16="Shipping canceled"),0,1)</x:f>
        <x:v>1</x:v>
      </x:c>
      <x:c r="K16" s="6" t="n">
        <x:f>IF(G16&gt;H16,1,0)</x:f>
        <x:v>1</x:v>
      </x:c>
      <x:c r="L16" s="6" t="n">
        <x:f>J16*K16</x:f>
        <x:v>1</x:v>
      </x:c>
    </x:row>
    <x:row r="17">
      <x:c r="A17" s="1" t="n">
        <x:v>140</x:v>
      </x:c>
      <x:c r="B17" s="5" t="d">
        <x:v>2015-01-03T00:00:00.000Z</x:v>
      </x:c>
      <x:c r="C17" s="1" t="str">
        <x:v>Standard Class</x:v>
      </x:c>
      <x:c r="D17" s="1" t="str">
        <x:v>LATAM</x:v>
      </x:c>
      <x:c r="E17" s="1" t="str">
        <x:v>PENDING_PAYMENT</x:v>
      </x:c>
      <x:c r="F17" s="1" t="str">
        <x:v>Late delivery</x:v>
      </x:c>
      <x:c r="G17" s="6" t="n">
        <x:v>6</x:v>
      </x:c>
      <x:c r="H17" s="6" t="n">
        <x:v>4</x:v>
      </x:c>
      <x:c r="I17" s="6" t="n">
        <x:f>G17-H17</x:f>
        <x:v>2</x:v>
      </x:c>
      <x:c r="J17" s="6" t="n">
        <x:f>IF(OR(E17="CANCELED",E17="SUSPECTED_FRAUD",F17="Shipping canceled"),0,1)</x:f>
        <x:v>1</x:v>
      </x:c>
      <x:c r="K17" s="6" t="n">
        <x:f>IF(G17&gt;H17,1,0)</x:f>
        <x:v>1</x:v>
      </x:c>
      <x:c r="L17" s="6" t="n">
        <x:f>J17*K17</x:f>
        <x:v>1</x:v>
      </x:c>
    </x:row>
    <x:row r="18">
      <x:c r="A18" s="1" t="n">
        <x:v>145</x:v>
      </x:c>
      <x:c r="B18" s="5" t="d">
        <x:v>2015-01-03T00:00:00.000Z</x:v>
      </x:c>
      <x:c r="C18" s="1" t="str">
        <x:v>Standard Class</x:v>
      </x:c>
      <x:c r="D18" s="1" t="str">
        <x:v>LATAM</x:v>
      </x:c>
      <x:c r="E18" s="1" t="str">
        <x:v>ON_HOLD</x:v>
      </x:c>
      <x:c r="F18" s="1" t="str">
        <x:v>Late delivery</x:v>
      </x:c>
      <x:c r="G18" s="6" t="n">
        <x:v>6</x:v>
      </x:c>
      <x:c r="H18" s="6" t="n">
        <x:v>4</x:v>
      </x:c>
      <x:c r="I18" s="6" t="n">
        <x:f>G18-H18</x:f>
        <x:v>2</x:v>
      </x:c>
      <x:c r="J18" s="6" t="n">
        <x:f>IF(OR(E18="CANCELED",E18="SUSPECTED_FRAUD",F18="Shipping canceled"),0,1)</x:f>
        <x:v>1</x:v>
      </x:c>
      <x:c r="K18" s="6" t="n">
        <x:f>IF(G18&gt;H18,1,0)</x:f>
        <x:v>1</x:v>
      </x:c>
      <x:c r="L18" s="6" t="n">
        <x:f>J18*K18</x:f>
        <x:v>1</x:v>
      </x:c>
    </x:row>
    <x:row r="19">
      <x:c r="A19" s="1" t="n">
        <x:v>151</x:v>
      </x:c>
      <x:c r="B19" s="5" t="d">
        <x:v>2015-01-03T00:00:00.000Z</x:v>
      </x:c>
      <x:c r="C19" s="1" t="str">
        <x:v>Second Class</x:v>
      </x:c>
      <x:c r="D19" s="1" t="str">
        <x:v>LATAM</x:v>
      </x:c>
      <x:c r="E19" s="1" t="str">
        <x:v>ON_HOLD</x:v>
      </x:c>
      <x:c r="F19" s="1" t="str">
        <x:v>Shipping on time</x:v>
      </x:c>
      <x:c r="G19" s="6" t="n">
        <x:v>2</x:v>
      </x:c>
      <x:c r="H19" s="6" t="n">
        <x:v>2</x:v>
      </x:c>
      <x:c r="I19" s="6" t="n">
        <x:f>G19-H19</x:f>
        <x:v>0</x:v>
      </x:c>
      <x:c r="J19" s="6" t="n">
        <x:f>IF(OR(E19="CANCELED",E19="SUSPECTED_FRAUD",F19="Shipping canceled"),0,1)</x:f>
        <x:v>1</x:v>
      </x:c>
      <x:c r="K19" s="6" t="n">
        <x:f>IF(G19&gt;H19,1,0)</x:f>
        <x:v>0</x:v>
      </x:c>
      <x:c r="L19" s="6" t="n">
        <x:f>J19*K19</x:f>
        <x:v>0</x:v>
      </x:c>
    </x:row>
    <x:row r="20">
      <x:c r="A20" s="1" t="n">
        <x:v>164</x:v>
      </x:c>
      <x:c r="B20" s="5" t="d">
        <x:v>2015-01-03T00:00:00.000Z</x:v>
      </x:c>
      <x:c r="C20" s="1" t="str">
        <x:v>Standard Class</x:v>
      </x:c>
      <x:c r="D20" s="1" t="str">
        <x:v>LATAM</x:v>
      </x:c>
      <x:c r="E20" s="1" t="str">
        <x:v>PROCESSING</x:v>
      </x:c>
      <x:c r="F20" s="1" t="str">
        <x:v>Late delivery</x:v>
      </x:c>
      <x:c r="G20" s="6" t="n">
        <x:v>5</x:v>
      </x:c>
      <x:c r="H20" s="6" t="n">
        <x:v>4</x:v>
      </x:c>
      <x:c r="I20" s="6" t="n">
        <x:f>G20-H20</x:f>
        <x:v>1</x:v>
      </x:c>
      <x:c r="J20" s="6" t="n">
        <x:f>IF(OR(E20="CANCELED",E20="SUSPECTED_FRAUD",F20="Shipping canceled"),0,1)</x:f>
        <x:v>1</x:v>
      </x:c>
      <x:c r="K20" s="6" t="n">
        <x:f>IF(G20&gt;H20,1,0)</x:f>
        <x:v>1</x:v>
      </x:c>
      <x:c r="L20" s="6" t="n">
        <x:f>J20*K20</x:f>
        <x:v>1</x:v>
      </x:c>
    </x:row>
    <x:row r="21">
      <x:c r="A21" s="1" t="n">
        <x:v>172</x:v>
      </x:c>
      <x:c r="B21" s="5" t="d">
        <x:v>2015-01-03T00:00:00.000Z</x:v>
      </x:c>
      <x:c r="C21" s="1" t="str">
        <x:v>Standard Class</x:v>
      </x:c>
      <x:c r="D21" s="1" t="str">
        <x:v>LATAM</x:v>
      </x:c>
      <x:c r="E21" s="1" t="str">
        <x:v>COMPLETE</x:v>
      </x:c>
      <x:c r="F21" s="1" t="str">
        <x:v>Advance shipping</x:v>
      </x:c>
      <x:c r="G21" s="6" t="n">
        <x:v>3</x:v>
      </x:c>
      <x:c r="H21" s="6" t="n">
        <x:v>4</x:v>
      </x:c>
      <x:c r="I21" s="6" t="n">
        <x:f>G21-H21</x:f>
        <x:v>-1</x:v>
      </x:c>
      <x:c r="J21" s="6" t="n">
        <x:f>IF(OR(E21="CANCELED",E21="SUSPECTED_FRAUD",F21="Shipping canceled"),0,1)</x:f>
        <x:v>1</x:v>
      </x:c>
      <x:c r="K21" s="6" t="n">
        <x:f>IF(G21&gt;H21,1,0)</x:f>
        <x:v>0</x:v>
      </x:c>
      <x:c r="L21" s="6" t="n">
        <x:f>J21*K21</x:f>
        <x:v>0</x:v>
      </x:c>
    </x:row>
    <x:row r="22">
      <x:c r="A22" s="1" t="n">
        <x:v>184</x:v>
      </x:c>
      <x:c r="B22" s="5" t="d">
        <x:v>2015-01-03T00:00:00.000Z</x:v>
      </x:c>
      <x:c r="C22" s="1" t="str">
        <x:v>Standard Class</x:v>
      </x:c>
      <x:c r="D22" s="1" t="str">
        <x:v>LATAM</x:v>
      </x:c>
      <x:c r="E22" s="1" t="str">
        <x:v>COMPLETE</x:v>
      </x:c>
      <x:c r="F22" s="1" t="str">
        <x:v>Late delivery</x:v>
      </x:c>
      <x:c r="G22" s="6" t="n">
        <x:v>5</x:v>
      </x:c>
      <x:c r="H22" s="6" t="n">
        <x:v>4</x:v>
      </x:c>
      <x:c r="I22" s="6" t="n">
        <x:f>G22-H22</x:f>
        <x:v>1</x:v>
      </x:c>
      <x:c r="J22" s="6" t="n">
        <x:f>IF(OR(E22="CANCELED",E22="SUSPECTED_FRAUD",F22="Shipping canceled"),0,1)</x:f>
        <x:v>1</x:v>
      </x:c>
      <x:c r="K22" s="6" t="n">
        <x:f>IF(G22&gt;H22,1,0)</x:f>
        <x:v>1</x:v>
      </x:c>
      <x:c r="L22" s="6" t="n">
        <x:f>J22*K22</x:f>
        <x:v>1</x:v>
      </x:c>
    </x:row>
    <x:row r="23">
      <x:c r="A23" s="1" t="n">
        <x:v>188</x:v>
      </x:c>
      <x:c r="B23" s="5" t="d">
        <x:v>2015-01-03T00:00:00.000Z</x:v>
      </x:c>
      <x:c r="C23" s="1" t="str">
        <x:v>Standard Class</x:v>
      </x:c>
      <x:c r="D23" s="1" t="str">
        <x:v>LATAM</x:v>
      </x:c>
      <x:c r="E23" s="1" t="str">
        <x:v>PENDING</x:v>
      </x:c>
      <x:c r="F23" s="1" t="str">
        <x:v>Shipping on time</x:v>
      </x:c>
      <x:c r="G23" s="6" t="n">
        <x:v>4</x:v>
      </x:c>
      <x:c r="H23" s="6" t="n">
        <x:v>4</x:v>
      </x:c>
      <x:c r="I23" s="6" t="n">
        <x:f>G23-H23</x:f>
        <x:v>0</x:v>
      </x:c>
      <x:c r="J23" s="6" t="n">
        <x:f>IF(OR(E23="CANCELED",E23="SUSPECTED_FRAUD",F23="Shipping canceled"),0,1)</x:f>
        <x:v>1</x:v>
      </x:c>
      <x:c r="K23" s="6" t="n">
        <x:f>IF(G23&gt;H23,1,0)</x:f>
        <x:v>0</x:v>
      </x:c>
      <x:c r="L23" s="6" t="n">
        <x:f>J23*K23</x:f>
        <x:v>0</x:v>
      </x:c>
    </x:row>
    <x:row r="24">
      <x:c r="A24" s="1" t="n">
        <x:v>190</x:v>
      </x:c>
      <x:c r="B24" s="5" t="d">
        <x:v>2015-01-03T00:00:00.000Z</x:v>
      </x:c>
      <x:c r="C24" s="1" t="str">
        <x:v>Standard Class</x:v>
      </x:c>
      <x:c r="D24" s="1" t="str">
        <x:v>LATAM</x:v>
      </x:c>
      <x:c r="E24" s="1" t="str">
        <x:v>PENDING</x:v>
      </x:c>
      <x:c r="F24" s="1" t="str">
        <x:v>Late delivery</x:v>
      </x:c>
      <x:c r="G24" s="6" t="n">
        <x:v>6</x:v>
      </x:c>
      <x:c r="H24" s="6" t="n">
        <x:v>4</x:v>
      </x:c>
      <x:c r="I24" s="6" t="n">
        <x:f>G24-H24</x:f>
        <x:v>2</x:v>
      </x:c>
      <x:c r="J24" s="6" t="n">
        <x:f>IF(OR(E24="CANCELED",E24="SUSPECTED_FRAUD",F24="Shipping canceled"),0,1)</x:f>
        <x:v>1</x:v>
      </x:c>
      <x:c r="K24" s="6" t="n">
        <x:f>IF(G24&gt;H24,1,0)</x:f>
        <x:v>1</x:v>
      </x:c>
      <x:c r="L24" s="6" t="n">
        <x:f>J24*K24</x:f>
        <x:v>1</x:v>
      </x:c>
    </x:row>
    <x:row r="25">
      <x:c r="A25" s="1" t="n">
        <x:v>191</x:v>
      </x:c>
      <x:c r="B25" s="5" t="d">
        <x:v>2015-01-03T00:00:00.000Z</x:v>
      </x:c>
      <x:c r="C25" s="1" t="str">
        <x:v>Second Class</x:v>
      </x:c>
      <x:c r="D25" s="1" t="str">
        <x:v>LATAM</x:v>
      </x:c>
      <x:c r="E25" s="1" t="str">
        <x:v>CLOSED</x:v>
      </x:c>
      <x:c r="F25" s="1" t="str">
        <x:v>Shipping on time</x:v>
      </x:c>
      <x:c r="G25" s="6" t="n">
        <x:v>2</x:v>
      </x:c>
      <x:c r="H25" s="6" t="n">
        <x:v>2</x:v>
      </x:c>
      <x:c r="I25" s="6" t="n">
        <x:f>G25-H25</x:f>
        <x:v>0</x:v>
      </x:c>
      <x:c r="J25" s="6" t="n">
        <x:f>IF(OR(E25="CANCELED",E25="SUSPECTED_FRAUD",F25="Shipping canceled"),0,1)</x:f>
        <x:v>1</x:v>
      </x:c>
      <x:c r="K25" s="6" t="n">
        <x:f>IF(G25&gt;H25,1,0)</x:f>
        <x:v>0</x:v>
      </x:c>
      <x:c r="L25" s="6" t="n">
        <x:f>J25*K25</x:f>
        <x:v>0</x:v>
      </x:c>
    </x:row>
    <x:row r="26">
      <x:c r="A26" s="1" t="n">
        <x:v>196</x:v>
      </x:c>
      <x:c r="B26" s="5" t="d">
        <x:v>2015-01-03T00:00:00.000Z</x:v>
      </x:c>
      <x:c r="C26" s="1" t="str">
        <x:v>Standard Class</x:v>
      </x:c>
      <x:c r="D26" s="1" t="str">
        <x:v>LATAM</x:v>
      </x:c>
      <x:c r="E26" s="1" t="str">
        <x:v>PROCESSING</x:v>
      </x:c>
      <x:c r="F26" s="1" t="str">
        <x:v>Advance shipping</x:v>
      </x:c>
      <x:c r="G26" s="6" t="n">
        <x:v>2</x:v>
      </x:c>
      <x:c r="H26" s="6" t="n">
        <x:v>4</x:v>
      </x:c>
      <x:c r="I26" s="6" t="n">
        <x:f>G26-H26</x:f>
        <x:v>-2</x:v>
      </x:c>
      <x:c r="J26" s="6" t="n">
        <x:f>IF(OR(E26="CANCELED",E26="SUSPECTED_FRAUD",F26="Shipping canceled"),0,1)</x:f>
        <x:v>1</x:v>
      </x:c>
      <x:c r="K26" s="6" t="n">
        <x:f>IF(G26&gt;H26,1,0)</x:f>
        <x:v>0</x:v>
      </x:c>
      <x:c r="L26" s="6" t="n">
        <x:f>J26*K26</x:f>
        <x:v>0</x:v>
      </x:c>
    </x:row>
    <x:row r="27">
      <x:c r="A27" s="1" t="n">
        <x:v>202</x:v>
      </x:c>
      <x:c r="B27" s="5" t="d">
        <x:v>2015-01-03T00:00:00.000Z</x:v>
      </x:c>
      <x:c r="C27" s="1" t="str">
        <x:v>Standard Class</x:v>
      </x:c>
      <x:c r="D27" s="1" t="str">
        <x:v>LATAM</x:v>
      </x:c>
      <x:c r="E27" s="1" t="str">
        <x:v>PENDING_PAYMENT</x:v>
      </x:c>
      <x:c r="F27" s="1" t="str">
        <x:v>Advance shipping</x:v>
      </x:c>
      <x:c r="G27" s="6" t="n">
        <x:v>3</x:v>
      </x:c>
      <x:c r="H27" s="6" t="n">
        <x:v>4</x:v>
      </x:c>
      <x:c r="I27" s="6" t="n">
        <x:f>G27-H27</x:f>
        <x:v>-1</x:v>
      </x:c>
      <x:c r="J27" s="6" t="n">
        <x:f>IF(OR(E27="CANCELED",E27="SUSPECTED_FRAUD",F27="Shipping canceled"),0,1)</x:f>
        <x:v>1</x:v>
      </x:c>
      <x:c r="K27" s="6" t="n">
        <x:f>IF(G27&gt;H27,1,0)</x:f>
        <x:v>0</x:v>
      </x:c>
      <x:c r="L27" s="6" t="n">
        <x:f>J27*K27</x:f>
        <x:v>0</x:v>
      </x:c>
    </x:row>
    <x:row r="28">
      <x:c r="A28" s="1" t="n">
        <x:v>207</x:v>
      </x:c>
      <x:c r="B28" s="5" t="d">
        <x:v>2015-01-04T00:00:00.000Z</x:v>
      </x:c>
      <x:c r="C28" s="1" t="str">
        <x:v>Standard Class</x:v>
      </x:c>
      <x:c r="D28" s="1" t="str">
        <x:v>LATAM</x:v>
      </x:c>
      <x:c r="E28" s="1" t="str">
        <x:v>COMPLETE</x:v>
      </x:c>
      <x:c r="F28" s="1" t="str">
        <x:v>Advance shipping</x:v>
      </x:c>
      <x:c r="G28" s="6" t="n">
        <x:v>3</x:v>
      </x:c>
      <x:c r="H28" s="6" t="n">
        <x:v>4</x:v>
      </x:c>
      <x:c r="I28" s="6" t="n">
        <x:f>G28-H28</x:f>
        <x:v>-1</x:v>
      </x:c>
      <x:c r="J28" s="6" t="n">
        <x:f>IF(OR(E28="CANCELED",E28="SUSPECTED_FRAUD",F28="Shipping canceled"),0,1)</x:f>
        <x:v>1</x:v>
      </x:c>
      <x:c r="K28" s="6" t="n">
        <x:f>IF(G28&gt;H28,1,0)</x:f>
        <x:v>0</x:v>
      </x:c>
      <x:c r="L28" s="6" t="n">
        <x:f>J28*K28</x:f>
        <x:v>0</x:v>
      </x:c>
    </x:row>
    <x:row r="29">
      <x:c r="A29" s="1" t="n">
        <x:v>212</x:v>
      </x:c>
      <x:c r="B29" s="5" t="d">
        <x:v>2015-01-04T00:00:00.000Z</x:v>
      </x:c>
      <x:c r="C29" s="1" t="str">
        <x:v>Standard Class</x:v>
      </x:c>
      <x:c r="D29" s="1" t="str">
        <x:v>LATAM</x:v>
      </x:c>
      <x:c r="E29" s="1" t="str">
        <x:v>PENDING</x:v>
      </x:c>
      <x:c r="F29" s="1" t="str">
        <x:v>Advance shipping</x:v>
      </x:c>
      <x:c r="G29" s="6" t="n">
        <x:v>3</x:v>
      </x:c>
      <x:c r="H29" s="6" t="n">
        <x:v>4</x:v>
      </x:c>
      <x:c r="I29" s="6" t="n">
        <x:f>G29-H29</x:f>
        <x:v>-1</x:v>
      </x:c>
      <x:c r="J29" s="6" t="n">
        <x:f>IF(OR(E29="CANCELED",E29="SUSPECTED_FRAUD",F29="Shipping canceled"),0,1)</x:f>
        <x:v>1</x:v>
      </x:c>
      <x:c r="K29" s="6" t="n">
        <x:f>IF(G29&gt;H29,1,0)</x:f>
        <x:v>0</x:v>
      </x:c>
      <x:c r="L29" s="6" t="n">
        <x:f>J29*K29</x:f>
        <x:v>0</x:v>
      </x:c>
    </x:row>
    <x:row r="30">
      <x:c r="A30" s="1" t="n">
        <x:v>216</x:v>
      </x:c>
      <x:c r="B30" s="5" t="d">
        <x:v>2015-01-04T00:00:00.000Z</x:v>
      </x:c>
      <x:c r="C30" s="1" t="str">
        <x:v>Standard Class</x:v>
      </x:c>
      <x:c r="D30" s="1" t="str">
        <x:v>LATAM</x:v>
      </x:c>
      <x:c r="E30" s="1" t="str">
        <x:v>PENDING</x:v>
      </x:c>
      <x:c r="F30" s="1" t="str">
        <x:v>Advance shipping</x:v>
      </x:c>
      <x:c r="G30" s="6" t="n">
        <x:v>2</x:v>
      </x:c>
      <x:c r="H30" s="6" t="n">
        <x:v>4</x:v>
      </x:c>
      <x:c r="I30" s="6" t="n">
        <x:f>G30-H30</x:f>
        <x:v>-2</x:v>
      </x:c>
      <x:c r="J30" s="6" t="n">
        <x:f>IF(OR(E30="CANCELED",E30="SUSPECTED_FRAUD",F30="Shipping canceled"),0,1)</x:f>
        <x:v>1</x:v>
      </x:c>
      <x:c r="K30" s="6" t="n">
        <x:f>IF(G30&gt;H30,1,0)</x:f>
        <x:v>0</x:v>
      </x:c>
      <x:c r="L30" s="6" t="n">
        <x:f>J30*K30</x:f>
        <x:v>0</x:v>
      </x:c>
    </x:row>
    <x:row r="31">
      <x:c r="A31" s="1" t="n">
        <x:v>220</x:v>
      </x:c>
      <x:c r="B31" s="5" t="d">
        <x:v>2015-01-04T00:00:00.000Z</x:v>
      </x:c>
      <x:c r="C31" s="1" t="str">
        <x:v>Standard Class</x:v>
      </x:c>
      <x:c r="D31" s="1" t="str">
        <x:v>LATAM</x:v>
      </x:c>
      <x:c r="E31" s="1" t="str">
        <x:v>COMPLETE</x:v>
      </x:c>
      <x:c r="F31" s="1" t="str">
        <x:v>Late delivery</x:v>
      </x:c>
      <x:c r="G31" s="6" t="n">
        <x:v>6</x:v>
      </x:c>
      <x:c r="H31" s="6" t="n">
        <x:v>4</x:v>
      </x:c>
      <x:c r="I31" s="6" t="n">
        <x:f>G31-H31</x:f>
        <x:v>2</x:v>
      </x:c>
      <x:c r="J31" s="6" t="n">
        <x:f>IF(OR(E31="CANCELED",E31="SUSPECTED_FRAUD",F31="Shipping canceled"),0,1)</x:f>
        <x:v>1</x:v>
      </x:c>
      <x:c r="K31" s="6" t="n">
        <x:f>IF(G31&gt;H31,1,0)</x:f>
        <x:v>1</x:v>
      </x:c>
      <x:c r="L31" s="6" t="n">
        <x:f>J31*K31</x:f>
        <x:v>1</x:v>
      </x:c>
    </x:row>
    <x:row r="32">
      <x:c r="A32" s="1" t="n">
        <x:v>222</x:v>
      </x:c>
      <x:c r="B32" s="5" t="d">
        <x:v>2015-01-04T00:00:00.000Z</x:v>
      </x:c>
      <x:c r="C32" s="1" t="str">
        <x:v>First Class</x:v>
      </x:c>
      <x:c r="D32" s="1" t="str">
        <x:v>LATAM</x:v>
      </x:c>
      <x:c r="E32" s="1" t="str">
        <x:v>CLOSED</x:v>
      </x:c>
      <x:c r="F32" s="1" t="str">
        <x:v>Late delivery</x:v>
      </x:c>
      <x:c r="G32" s="6" t="n">
        <x:v>2</x:v>
      </x:c>
      <x:c r="H32" s="6" t="n">
        <x:v>1</x:v>
      </x:c>
      <x:c r="I32" s="6" t="n">
        <x:f>G32-H32</x:f>
        <x:v>1</x:v>
      </x:c>
      <x:c r="J32" s="6" t="n">
        <x:f>IF(OR(E32="CANCELED",E32="SUSPECTED_FRAUD",F32="Shipping canceled"),0,1)</x:f>
        <x:v>1</x:v>
      </x:c>
      <x:c r="K32" s="6" t="n">
        <x:f>IF(G32&gt;H32,1,0)</x:f>
        <x:v>1</x:v>
      </x:c>
      <x:c r="L32" s="6" t="n">
        <x:f>J32*K32</x:f>
        <x:v>1</x:v>
      </x:c>
    </x:row>
    <x:row r="33">
      <x:c r="A33" s="1" t="n">
        <x:v>223</x:v>
      </x:c>
      <x:c r="B33" s="5" t="d">
        <x:v>2015-01-04T00:00:00.000Z</x:v>
      </x:c>
      <x:c r="C33" s="1" t="str">
        <x:v>First Class</x:v>
      </x:c>
      <x:c r="D33" s="1" t="str">
        <x:v>LATAM</x:v>
      </x:c>
      <x:c r="E33" s="1" t="str">
        <x:v>PENDING</x:v>
      </x:c>
      <x:c r="F33" s="1" t="str">
        <x:v>Late delivery</x:v>
      </x:c>
      <x:c r="G33" s="6" t="n">
        <x:v>2</x:v>
      </x:c>
      <x:c r="H33" s="6" t="n">
        <x:v>1</x:v>
      </x:c>
      <x:c r="I33" s="6" t="n">
        <x:f>G33-H33</x:f>
        <x:v>1</x:v>
      </x:c>
      <x:c r="J33" s="6" t="n">
        <x:f>IF(OR(E33="CANCELED",E33="SUSPECTED_FRAUD",F33="Shipping canceled"),0,1)</x:f>
        <x:v>1</x:v>
      </x:c>
      <x:c r="K33" s="6" t="n">
        <x:f>IF(G33&gt;H33,1,0)</x:f>
        <x:v>1</x:v>
      </x:c>
      <x:c r="L33" s="6" t="n">
        <x:f>J33*K33</x:f>
        <x:v>1</x:v>
      </x:c>
    </x:row>
    <x:row r="34">
      <x:c r="A34" s="1" t="n">
        <x:v>229</x:v>
      </x:c>
      <x:c r="B34" s="5" t="d">
        <x:v>2015-01-04T00:00:00.000Z</x:v>
      </x:c>
      <x:c r="C34" s="1" t="str">
        <x:v>Standard Class</x:v>
      </x:c>
      <x:c r="D34" s="1" t="str">
        <x:v>LATAM</x:v>
      </x:c>
      <x:c r="E34" s="1" t="str">
        <x:v>PENDING</x:v>
      </x:c>
      <x:c r="F34" s="1" t="str">
        <x:v>Late delivery</x:v>
      </x:c>
      <x:c r="G34" s="6" t="n">
        <x:v>5</x:v>
      </x:c>
      <x:c r="H34" s="6" t="n">
        <x:v>4</x:v>
      </x:c>
      <x:c r="I34" s="6" t="n">
        <x:f>G34-H34</x:f>
        <x:v>1</x:v>
      </x:c>
      <x:c r="J34" s="6" t="n">
        <x:f>IF(OR(E34="CANCELED",E34="SUSPECTED_FRAUD",F34="Shipping canceled"),0,1)</x:f>
        <x:v>1</x:v>
      </x:c>
      <x:c r="K34" s="6" t="n">
        <x:f>IF(G34&gt;H34,1,0)</x:f>
        <x:v>1</x:v>
      </x:c>
      <x:c r="L34" s="6" t="n">
        <x:f>J34*K34</x:f>
        <x:v>1</x:v>
      </x:c>
    </x:row>
    <x:row r="35">
      <x:c r="A35" s="1" t="n">
        <x:v>232</x:v>
      </x:c>
      <x:c r="B35" s="5" t="d">
        <x:v>2015-01-04T00:00:00.000Z</x:v>
      </x:c>
      <x:c r="C35" s="1" t="str">
        <x:v>Standard Class</x:v>
      </x:c>
      <x:c r="D35" s="1" t="str">
        <x:v>LATAM</x:v>
      </x:c>
      <x:c r="E35" s="1" t="str">
        <x:v>PENDING_PAYMENT</x:v>
      </x:c>
      <x:c r="F35" s="1" t="str">
        <x:v>Advance shipping</x:v>
      </x:c>
      <x:c r="G35" s="6" t="n">
        <x:v>3</x:v>
      </x:c>
      <x:c r="H35" s="6" t="n">
        <x:v>4</x:v>
      </x:c>
      <x:c r="I35" s="6" t="n">
        <x:f>G35-H35</x:f>
        <x:v>-1</x:v>
      </x:c>
      <x:c r="J35" s="6" t="n">
        <x:f>IF(OR(E35="CANCELED",E35="SUSPECTED_FRAUD",F35="Shipping canceled"),0,1)</x:f>
        <x:v>1</x:v>
      </x:c>
      <x:c r="K35" s="6" t="n">
        <x:f>IF(G35&gt;H35,1,0)</x:f>
        <x:v>0</x:v>
      </x:c>
      <x:c r="L35" s="6" t="n">
        <x:f>J35*K35</x:f>
        <x:v>0</x:v>
      </x:c>
    </x:row>
    <x:row r="36">
      <x:c r="A36" s="1" t="n">
        <x:v>262</x:v>
      </x:c>
      <x:c r="B36" s="5" t="d">
        <x:v>2015-01-04T00:00:00.000Z</x:v>
      </x:c>
      <x:c r="C36" s="1" t="str">
        <x:v>Standard Class</x:v>
      </x:c>
      <x:c r="D36" s="1" t="str">
        <x:v>LATAM</x:v>
      </x:c>
      <x:c r="E36" s="1" t="str">
        <x:v>CLOSED</x:v>
      </x:c>
      <x:c r="F36" s="1" t="str">
        <x:v>Advance shipping</x:v>
      </x:c>
      <x:c r="G36" s="6" t="n">
        <x:v>3</x:v>
      </x:c>
      <x:c r="H36" s="6" t="n">
        <x:v>4</x:v>
      </x:c>
      <x:c r="I36" s="6" t="n">
        <x:f>G36-H36</x:f>
        <x:v>-1</x:v>
      </x:c>
      <x:c r="J36" s="6" t="n">
        <x:f>IF(OR(E36="CANCELED",E36="SUSPECTED_FRAUD",F36="Shipping canceled"),0,1)</x:f>
        <x:v>1</x:v>
      </x:c>
      <x:c r="K36" s="6" t="n">
        <x:f>IF(G36&gt;H36,1,0)</x:f>
        <x:v>0</x:v>
      </x:c>
      <x:c r="L36" s="6" t="n">
        <x:f>J36*K36</x:f>
        <x:v>0</x:v>
      </x:c>
    </x:row>
    <x:row r="37">
      <x:c r="A37" s="1" t="n">
        <x:v>263</x:v>
      </x:c>
      <x:c r="B37" s="5" t="d">
        <x:v>2015-01-04T00:00:00.000Z</x:v>
      </x:c>
      <x:c r="C37" s="1" t="str">
        <x:v>Standard Class</x:v>
      </x:c>
      <x:c r="D37" s="1" t="str">
        <x:v>LATAM</x:v>
      </x:c>
      <x:c r="E37" s="1" t="str">
        <x:v>COMPLETE</x:v>
      </x:c>
      <x:c r="F37" s="1" t="str">
        <x:v>Shipping on time</x:v>
      </x:c>
      <x:c r="G37" s="6" t="n">
        <x:v>4</x:v>
      </x:c>
      <x:c r="H37" s="6" t="n">
        <x:v>4</x:v>
      </x:c>
      <x:c r="I37" s="6" t="n">
        <x:f>G37-H37</x:f>
        <x:v>0</x:v>
      </x:c>
      <x:c r="J37" s="6" t="n">
        <x:f>IF(OR(E37="CANCELED",E37="SUSPECTED_FRAUD",F37="Shipping canceled"),0,1)</x:f>
        <x:v>1</x:v>
      </x:c>
      <x:c r="K37" s="6" t="n">
        <x:f>IF(G37&gt;H37,1,0)</x:f>
        <x:v>0</x:v>
      </x:c>
      <x:c r="L37" s="6" t="n">
        <x:f>J37*K37</x:f>
        <x:v>0</x:v>
      </x:c>
    </x:row>
    <x:row r="38">
      <x:c r="A38" s="1" t="n">
        <x:v>267</x:v>
      </x:c>
      <x:c r="B38" s="5" t="d">
        <x:v>2015-01-04T00:00:00.000Z</x:v>
      </x:c>
      <x:c r="C38" s="1" t="str">
        <x:v>First Class</x:v>
      </x:c>
      <x:c r="D38" s="1" t="str">
        <x:v>LATAM</x:v>
      </x:c>
      <x:c r="E38" s="1" t="str">
        <x:v>CLOSED</x:v>
      </x:c>
      <x:c r="F38" s="1" t="str">
        <x:v>Late delivery</x:v>
      </x:c>
      <x:c r="G38" s="6" t="n">
        <x:v>2</x:v>
      </x:c>
      <x:c r="H38" s="6" t="n">
        <x:v>1</x:v>
      </x:c>
      <x:c r="I38" s="6" t="n">
        <x:f>G38-H38</x:f>
        <x:v>1</x:v>
      </x:c>
      <x:c r="J38" s="6" t="n">
        <x:f>IF(OR(E38="CANCELED",E38="SUSPECTED_FRAUD",F38="Shipping canceled"),0,1)</x:f>
        <x:v>1</x:v>
      </x:c>
      <x:c r="K38" s="6" t="n">
        <x:f>IF(G38&gt;H38,1,0)</x:f>
        <x:v>1</x:v>
      </x:c>
      <x:c r="L38" s="6" t="n">
        <x:f>J38*K38</x:f>
        <x:v>1</x:v>
      </x:c>
    </x:row>
    <x:row r="39">
      <x:c r="A39" s="1" t="n">
        <x:v>283</x:v>
      </x:c>
      <x:c r="B39" s="5" t="d">
        <x:v>2015-01-05T00:00:00.000Z</x:v>
      </x:c>
      <x:c r="C39" s="1" t="str">
        <x:v>Second Class</x:v>
      </x:c>
      <x:c r="D39" s="1" t="str">
        <x:v>LATAM</x:v>
      </x:c>
      <x:c r="E39" s="1" t="str">
        <x:v>COMPLETE</x:v>
      </x:c>
      <x:c r="F39" s="1" t="str">
        <x:v>Late delivery</x:v>
      </x:c>
      <x:c r="G39" s="6" t="n">
        <x:v>4</x:v>
      </x:c>
      <x:c r="H39" s="6" t="n">
        <x:v>2</x:v>
      </x:c>
      <x:c r="I39" s="6" t="n">
        <x:f>G39-H39</x:f>
        <x:v>2</x:v>
      </x:c>
      <x:c r="J39" s="6" t="n">
        <x:f>IF(OR(E39="CANCELED",E39="SUSPECTED_FRAUD",F39="Shipping canceled"),0,1)</x:f>
        <x:v>1</x:v>
      </x:c>
      <x:c r="K39" s="6" t="n">
        <x:f>IF(G39&gt;H39,1,0)</x:f>
        <x:v>1</x:v>
      </x:c>
      <x:c r="L39" s="6" t="n">
        <x:f>J39*K39</x:f>
        <x:v>1</x:v>
      </x:c>
    </x:row>
    <x:row r="40">
      <x:c r="A40" s="1" t="n">
        <x:v>284</x:v>
      </x:c>
      <x:c r="B40" s="5" t="d">
        <x:v>2015-01-05T00:00:00.000Z</x:v>
      </x:c>
      <x:c r="C40" s="1" t="str">
        <x:v>Second Class</x:v>
      </x:c>
      <x:c r="D40" s="1" t="str">
        <x:v>LATAM</x:v>
      </x:c>
      <x:c r="E40" s="1" t="str">
        <x:v>PROCESSING</x:v>
      </x:c>
      <x:c r="F40" s="1" t="str">
        <x:v>Late delivery</x:v>
      </x:c>
      <x:c r="G40" s="6" t="n">
        <x:v>5</x:v>
      </x:c>
      <x:c r="H40" s="6" t="n">
        <x:v>2</x:v>
      </x:c>
      <x:c r="I40" s="6" t="n">
        <x:f>G40-H40</x:f>
        <x:v>3</x:v>
      </x:c>
      <x:c r="J40" s="6" t="n">
        <x:f>IF(OR(E40="CANCELED",E40="SUSPECTED_FRAUD",F40="Shipping canceled"),0,1)</x:f>
        <x:v>1</x:v>
      </x:c>
      <x:c r="K40" s="6" t="n">
        <x:f>IF(G40&gt;H40,1,0)</x:f>
        <x:v>1</x:v>
      </x:c>
      <x:c r="L40" s="6" t="n">
        <x:f>J40*K40</x:f>
        <x:v>1</x:v>
      </x:c>
    </x:row>
    <x:row r="41">
      <x:c r="A41" s="1" t="n">
        <x:v>295</x:v>
      </x:c>
      <x:c r="B41" s="5" t="d">
        <x:v>2015-01-05T00:00:00.000Z</x:v>
      </x:c>
      <x:c r="C41" s="1" t="str">
        <x:v>Standard Class</x:v>
      </x:c>
      <x:c r="D41" s="1" t="str">
        <x:v>LATAM</x:v>
      </x:c>
      <x:c r="E41" s="1" t="str">
        <x:v>PENDING</x:v>
      </x:c>
      <x:c r="F41" s="1" t="str">
        <x:v>Late delivery</x:v>
      </x:c>
      <x:c r="G41" s="6" t="n">
        <x:v>6</x:v>
      </x:c>
      <x:c r="H41" s="6" t="n">
        <x:v>4</x:v>
      </x:c>
      <x:c r="I41" s="6" t="n">
        <x:f>G41-H41</x:f>
        <x:v>2</x:v>
      </x:c>
      <x:c r="J41" s="6" t="n">
        <x:f>IF(OR(E41="CANCELED",E41="SUSPECTED_FRAUD",F41="Shipping canceled"),0,1)</x:f>
        <x:v>1</x:v>
      </x:c>
      <x:c r="K41" s="6" t="n">
        <x:f>IF(G41&gt;H41,1,0)</x:f>
        <x:v>1</x:v>
      </x:c>
      <x:c r="L41" s="6" t="n">
        <x:f>J41*K41</x:f>
        <x:v>1</x:v>
      </x:c>
    </x:row>
    <x:row r="42">
      <x:c r="A42" s="1" t="n">
        <x:v>297</x:v>
      </x:c>
      <x:c r="B42" s="5" t="d">
        <x:v>2015-01-05T00:00:00.000Z</x:v>
      </x:c>
      <x:c r="C42" s="1" t="str">
        <x:v>Standard Class</x:v>
      </x:c>
      <x:c r="D42" s="1" t="str">
        <x:v>LATAM</x:v>
      </x:c>
      <x:c r="E42" s="1" t="str">
        <x:v>PENDING</x:v>
      </x:c>
      <x:c r="F42" s="1" t="str">
        <x:v>Advance shipping</x:v>
      </x:c>
      <x:c r="G42" s="6" t="n">
        <x:v>3</x:v>
      </x:c>
      <x:c r="H42" s="6" t="n">
        <x:v>4</x:v>
      </x:c>
      <x:c r="I42" s="6" t="n">
        <x:f>G42-H42</x:f>
        <x:v>-1</x:v>
      </x:c>
      <x:c r="J42" s="6" t="n">
        <x:f>IF(OR(E42="CANCELED",E42="SUSPECTED_FRAUD",F42="Shipping canceled"),0,1)</x:f>
        <x:v>1</x:v>
      </x:c>
      <x:c r="K42" s="6" t="n">
        <x:f>IF(G42&gt;H42,1,0)</x:f>
        <x:v>0</x:v>
      </x:c>
      <x:c r="L42" s="6" t="n">
        <x:f>J42*K42</x:f>
        <x:v>0</x:v>
      </x:c>
    </x:row>
    <x:row r="43">
      <x:c r="A43" s="1" t="n">
        <x:v>307</x:v>
      </x:c>
      <x:c r="B43" s="5" t="d">
        <x:v>2015-01-05T00:00:00.000Z</x:v>
      </x:c>
      <x:c r="C43" s="1" t="str">
        <x:v>Second Class</x:v>
      </x:c>
      <x:c r="D43" s="1" t="str">
        <x:v>LATAM</x:v>
      </x:c>
      <x:c r="E43" s="1" t="str">
        <x:v>PENDING</x:v>
      </x:c>
      <x:c r="F43" s="1" t="str">
        <x:v>Late delivery</x:v>
      </x:c>
      <x:c r="G43" s="6" t="n">
        <x:v>3</x:v>
      </x:c>
      <x:c r="H43" s="6" t="n">
        <x:v>2</x:v>
      </x:c>
      <x:c r="I43" s="6" t="n">
        <x:f>G43-H43</x:f>
        <x:v>1</x:v>
      </x:c>
      <x:c r="J43" s="6" t="n">
        <x:f>IF(OR(E43="CANCELED",E43="SUSPECTED_FRAUD",F43="Shipping canceled"),0,1)</x:f>
        <x:v>1</x:v>
      </x:c>
      <x:c r="K43" s="6" t="n">
        <x:f>IF(G43&gt;H43,1,0)</x:f>
        <x:v>1</x:v>
      </x:c>
      <x:c r="L43" s="6" t="n">
        <x:f>J43*K43</x:f>
        <x:v>1</x:v>
      </x:c>
    </x:row>
    <x:row r="44">
      <x:c r="A44" s="1" t="n">
        <x:v>311</x:v>
      </x:c>
      <x:c r="B44" s="5" t="d">
        <x:v>2015-01-05T00:00:00.000Z</x:v>
      </x:c>
      <x:c r="C44" s="1" t="str">
        <x:v>Second Class</x:v>
      </x:c>
      <x:c r="D44" s="1" t="str">
        <x:v>LATAM</x:v>
      </x:c>
      <x:c r="E44" s="1" t="str">
        <x:v>COMPLETE</x:v>
      </x:c>
      <x:c r="F44" s="1" t="str">
        <x:v>Shipping on time</x:v>
      </x:c>
      <x:c r="G44" s="6" t="n">
        <x:v>2</x:v>
      </x:c>
      <x:c r="H44" s="6" t="n">
        <x:v>2</x:v>
      </x:c>
      <x:c r="I44" s="6" t="n">
        <x:f>G44-H44</x:f>
        <x:v>0</x:v>
      </x:c>
      <x:c r="J44" s="6" t="n">
        <x:f>IF(OR(E44="CANCELED",E44="SUSPECTED_FRAUD",F44="Shipping canceled"),0,1)</x:f>
        <x:v>1</x:v>
      </x:c>
      <x:c r="K44" s="6" t="n">
        <x:f>IF(G44&gt;H44,1,0)</x:f>
        <x:v>0</x:v>
      </x:c>
      <x:c r="L44" s="6" t="n">
        <x:f>J44*K44</x:f>
        <x:v>0</x:v>
      </x:c>
    </x:row>
    <x:row r="45">
      <x:c r="A45" s="1" t="n">
        <x:v>324</x:v>
      </x:c>
      <x:c r="B45" s="5" t="d">
        <x:v>2015-01-05T00:00:00.000Z</x:v>
      </x:c>
      <x:c r="C45" s="1" t="str">
        <x:v>Standard Class</x:v>
      </x:c>
      <x:c r="D45" s="1" t="str">
        <x:v>LATAM</x:v>
      </x:c>
      <x:c r="E45" s="1" t="str">
        <x:v>COMPLETE</x:v>
      </x:c>
      <x:c r="F45" s="1" t="str">
        <x:v>Late delivery</x:v>
      </x:c>
      <x:c r="G45" s="6" t="n">
        <x:v>5</x:v>
      </x:c>
      <x:c r="H45" s="6" t="n">
        <x:v>4</x:v>
      </x:c>
      <x:c r="I45" s="6" t="n">
        <x:f>G45-H45</x:f>
        <x:v>1</x:v>
      </x:c>
      <x:c r="J45" s="6" t="n">
        <x:f>IF(OR(E45="CANCELED",E45="SUSPECTED_FRAUD",F45="Shipping canceled"),0,1)</x:f>
        <x:v>1</x:v>
      </x:c>
      <x:c r="K45" s="6" t="n">
        <x:f>IF(G45&gt;H45,1,0)</x:f>
        <x:v>1</x:v>
      </x:c>
      <x:c r="L45" s="6" t="n">
        <x:f>J45*K45</x:f>
        <x:v>1</x:v>
      </x:c>
    </x:row>
    <x:row r="46">
      <x:c r="A46" s="1" t="n">
        <x:v>326</x:v>
      </x:c>
      <x:c r="B46" s="5" t="d">
        <x:v>2015-01-05T00:00:00.000Z</x:v>
      </x:c>
      <x:c r="C46" s="1" t="str">
        <x:v>Standard Class</x:v>
      </x:c>
      <x:c r="D46" s="1" t="str">
        <x:v>LATAM</x:v>
      </x:c>
      <x:c r="E46" s="1" t="str">
        <x:v>PENDING_PAYMENT</x:v>
      </x:c>
      <x:c r="F46" s="1" t="str">
        <x:v>Advance shipping</x:v>
      </x:c>
      <x:c r="G46" s="6" t="n">
        <x:v>2</x:v>
      </x:c>
      <x:c r="H46" s="6" t="n">
        <x:v>4</x:v>
      </x:c>
      <x:c r="I46" s="6" t="n">
        <x:f>G46-H46</x:f>
        <x:v>-2</x:v>
      </x:c>
      <x:c r="J46" s="6" t="n">
        <x:f>IF(OR(E46="CANCELED",E46="SUSPECTED_FRAUD",F46="Shipping canceled"),0,1)</x:f>
        <x:v>1</x:v>
      </x:c>
      <x:c r="K46" s="6" t="n">
        <x:f>IF(G46&gt;H46,1,0)</x:f>
        <x:v>0</x:v>
      </x:c>
      <x:c r="L46" s="6" t="n">
        <x:f>J46*K46</x:f>
        <x:v>0</x:v>
      </x:c>
    </x:row>
    <x:row r="47">
      <x:c r="A47" s="1" t="n">
        <x:v>334</x:v>
      </x:c>
      <x:c r="B47" s="5" t="d">
        <x:v>2015-01-05T00:00:00.000Z</x:v>
      </x:c>
      <x:c r="C47" s="1" t="str">
        <x:v>Standard Class</x:v>
      </x:c>
      <x:c r="D47" s="1" t="str">
        <x:v>LATAM</x:v>
      </x:c>
      <x:c r="E47" s="1" t="str">
        <x:v>PENDING_PAYMENT</x:v>
      </x:c>
      <x:c r="F47" s="1" t="str">
        <x:v>Late delivery</x:v>
      </x:c>
      <x:c r="G47" s="6" t="n">
        <x:v>5</x:v>
      </x:c>
      <x:c r="H47" s="6" t="n">
        <x:v>4</x:v>
      </x:c>
      <x:c r="I47" s="6" t="n">
        <x:f>G47-H47</x:f>
        <x:v>1</x:v>
      </x:c>
      <x:c r="J47" s="6" t="n">
        <x:f>IF(OR(E47="CANCELED",E47="SUSPECTED_FRAUD",F47="Shipping canceled"),0,1)</x:f>
        <x:v>1</x:v>
      </x:c>
      <x:c r="K47" s="6" t="n">
        <x:f>IF(G47&gt;H47,1,0)</x:f>
        <x:v>1</x:v>
      </x:c>
      <x:c r="L47" s="6" t="n">
        <x:f>J47*K47</x:f>
        <x:v>1</x:v>
      </x:c>
    </x:row>
    <x:row r="48">
      <x:c r="A48" s="1" t="n">
        <x:v>335</x:v>
      </x:c>
      <x:c r="B48" s="5" t="d">
        <x:v>2015-01-05T00:00:00.000Z</x:v>
      </x:c>
      <x:c r="C48" s="1" t="str">
        <x:v>Standard Class</x:v>
      </x:c>
      <x:c r="D48" s="1" t="str">
        <x:v>LATAM</x:v>
      </x:c>
      <x:c r="E48" s="1" t="str">
        <x:v>PENDING</x:v>
      </x:c>
      <x:c r="F48" s="1" t="str">
        <x:v>Late delivery</x:v>
      </x:c>
      <x:c r="G48" s="6" t="n">
        <x:v>6</x:v>
      </x:c>
      <x:c r="H48" s="6" t="n">
        <x:v>4</x:v>
      </x:c>
      <x:c r="I48" s="6" t="n">
        <x:f>G48-H48</x:f>
        <x:v>2</x:v>
      </x:c>
      <x:c r="J48" s="6" t="n">
        <x:f>IF(OR(E48="CANCELED",E48="SUSPECTED_FRAUD",F48="Shipping canceled"),0,1)</x:f>
        <x:v>1</x:v>
      </x:c>
      <x:c r="K48" s="6" t="n">
        <x:f>IF(G48&gt;H48,1,0)</x:f>
        <x:v>1</x:v>
      </x:c>
      <x:c r="L48" s="6" t="n">
        <x:f>J48*K48</x:f>
        <x:v>1</x:v>
      </x:c>
    </x:row>
    <x:row r="49">
      <x:c r="A49" s="1" t="n">
        <x:v>350</x:v>
      </x:c>
      <x:c r="B49" s="5" t="d">
        <x:v>2015-01-06T00:00:00.000Z</x:v>
      </x:c>
      <x:c r="C49" s="1" t="str">
        <x:v>Standard Class</x:v>
      </x:c>
      <x:c r="D49" s="1" t="str">
        <x:v>LATAM</x:v>
      </x:c>
      <x:c r="E49" s="1" t="str">
        <x:v>COMPLETE</x:v>
      </x:c>
      <x:c r="F49" s="1" t="str">
        <x:v>Late delivery</x:v>
      </x:c>
      <x:c r="G49" s="6" t="n">
        <x:v>6</x:v>
      </x:c>
      <x:c r="H49" s="6" t="n">
        <x:v>4</x:v>
      </x:c>
      <x:c r="I49" s="6" t="n">
        <x:f>G49-H49</x:f>
        <x:v>2</x:v>
      </x:c>
      <x:c r="J49" s="6" t="n">
        <x:f>IF(OR(E49="CANCELED",E49="SUSPECTED_FRAUD",F49="Shipping canceled"),0,1)</x:f>
        <x:v>1</x:v>
      </x:c>
      <x:c r="K49" s="6" t="n">
        <x:f>IF(G49&gt;H49,1,0)</x:f>
        <x:v>1</x:v>
      </x:c>
      <x:c r="L49" s="6" t="n">
        <x:f>J49*K49</x:f>
        <x:v>1</x:v>
      </x:c>
    </x:row>
    <x:row r="50">
      <x:c r="A50" s="1" t="n">
        <x:v>360</x:v>
      </x:c>
      <x:c r="B50" s="5" t="d">
        <x:v>2015-01-06T00:00:00.000Z</x:v>
      </x:c>
      <x:c r="C50" s="1" t="str">
        <x:v>Second Class</x:v>
      </x:c>
      <x:c r="D50" s="1" t="str">
        <x:v>LATAM</x:v>
      </x:c>
      <x:c r="E50" s="1" t="str">
        <x:v>COMPLETE</x:v>
      </x:c>
      <x:c r="F50" s="1" t="str">
        <x:v>Late delivery</x:v>
      </x:c>
      <x:c r="G50" s="6" t="n">
        <x:v>6</x:v>
      </x:c>
      <x:c r="H50" s="6" t="n">
        <x:v>2</x:v>
      </x:c>
      <x:c r="I50" s="6" t="n">
        <x:f>G50-H50</x:f>
        <x:v>4</x:v>
      </x:c>
      <x:c r="J50" s="6" t="n">
        <x:f>IF(OR(E50="CANCELED",E50="SUSPECTED_FRAUD",F50="Shipping canceled"),0,1)</x:f>
        <x:v>1</x:v>
      </x:c>
      <x:c r="K50" s="6" t="n">
        <x:f>IF(G50&gt;H50,1,0)</x:f>
        <x:v>1</x:v>
      </x:c>
      <x:c r="L50" s="6" t="n">
        <x:f>J50*K50</x:f>
        <x:v>1</x:v>
      </x:c>
    </x:row>
    <x:row r="51">
      <x:c r="A51" s="1" t="n">
        <x:v>367</x:v>
      </x:c>
      <x:c r="B51" s="5" t="d">
        <x:v>2015-01-06T00:00:00.000Z</x:v>
      </x:c>
      <x:c r="C51" s="1" t="str">
        <x:v>Standard Class</x:v>
      </x:c>
      <x:c r="D51" s="1" t="str">
        <x:v>LATAM</x:v>
      </x:c>
      <x:c r="E51" s="1" t="str">
        <x:v>PROCESSING</x:v>
      </x:c>
      <x:c r="F51" s="1" t="str">
        <x:v>Advance shipping</x:v>
      </x:c>
      <x:c r="G51" s="6" t="n">
        <x:v>3</x:v>
      </x:c>
      <x:c r="H51" s="6" t="n">
        <x:v>4</x:v>
      </x:c>
      <x:c r="I51" s="6" t="n">
        <x:f>G51-H51</x:f>
        <x:v>-1</x:v>
      </x:c>
      <x:c r="J51" s="6" t="n">
        <x:f>IF(OR(E51="CANCELED",E51="SUSPECTED_FRAUD",F51="Shipping canceled"),0,1)</x:f>
        <x:v>1</x:v>
      </x:c>
      <x:c r="K51" s="6" t="n">
        <x:f>IF(G51&gt;H51,1,0)</x:f>
        <x:v>0</x:v>
      </x:c>
      <x:c r="L51" s="6" t="n">
        <x:f>J51*K51</x:f>
        <x:v>0</x:v>
      </x:c>
    </x:row>
    <x:row r="52">
      <x:c r="A52" s="1" t="n">
        <x:v>368</x:v>
      </x:c>
      <x:c r="B52" s="5" t="d">
        <x:v>2015-01-06T00:00:00.000Z</x:v>
      </x:c>
      <x:c r="C52" s="1" t="str">
        <x:v>Standard Class</x:v>
      </x:c>
      <x:c r="D52" s="1" t="str">
        <x:v>LATAM</x:v>
      </x:c>
      <x:c r="E52" s="1" t="str">
        <x:v>COMPLETE</x:v>
      </x:c>
      <x:c r="F52" s="1" t="str">
        <x:v>Shipping on time</x:v>
      </x:c>
      <x:c r="G52" s="6" t="n">
        <x:v>4</x:v>
      </x:c>
      <x:c r="H52" s="6" t="n">
        <x:v>4</x:v>
      </x:c>
      <x:c r="I52" s="6" t="n">
        <x:f>G52-H52</x:f>
        <x:v>0</x:v>
      </x:c>
      <x:c r="J52" s="6" t="n">
        <x:f>IF(OR(E52="CANCELED",E52="SUSPECTED_FRAUD",F52="Shipping canceled"),0,1)</x:f>
        <x:v>1</x:v>
      </x:c>
      <x:c r="K52" s="6" t="n">
        <x:f>IF(G52&gt;H52,1,0)</x:f>
        <x:v>0</x:v>
      </x:c>
      <x:c r="L52" s="6" t="n">
        <x:f>J52*K52</x:f>
        <x:v>0</x:v>
      </x:c>
    </x:row>
    <x:row r="53">
      <x:c r="A53" s="1" t="n">
        <x:v>381</x:v>
      </x:c>
      <x:c r="B53" s="5" t="d">
        <x:v>2015-01-06T00:00:00.000Z</x:v>
      </x:c>
      <x:c r="C53" s="1" t="str">
        <x:v>Standard Class</x:v>
      </x:c>
      <x:c r="D53" s="1" t="str">
        <x:v>LATAM</x:v>
      </x:c>
      <x:c r="E53" s="1" t="str">
        <x:v>ON_HOLD</x:v>
      </x:c>
      <x:c r="F53" s="1" t="str">
        <x:v>Advance shipping</x:v>
      </x:c>
      <x:c r="G53" s="6" t="n">
        <x:v>2</x:v>
      </x:c>
      <x:c r="H53" s="6" t="n">
        <x:v>4</x:v>
      </x:c>
      <x:c r="I53" s="6" t="n">
        <x:f>G53-H53</x:f>
        <x:v>-2</x:v>
      </x:c>
      <x:c r="J53" s="6" t="n">
        <x:f>IF(OR(E53="CANCELED",E53="SUSPECTED_FRAUD",F53="Shipping canceled"),0,1)</x:f>
        <x:v>1</x:v>
      </x:c>
      <x:c r="K53" s="6" t="n">
        <x:f>IF(G53&gt;H53,1,0)</x:f>
        <x:v>0</x:v>
      </x:c>
      <x:c r="L53" s="6" t="n">
        <x:f>J53*K53</x:f>
        <x:v>0</x:v>
      </x:c>
    </x:row>
    <x:row r="54">
      <x:c r="A54" s="1" t="n">
        <x:v>384</x:v>
      </x:c>
      <x:c r="B54" s="5" t="d">
        <x:v>2015-01-06T00:00:00.000Z</x:v>
      </x:c>
      <x:c r="C54" s="1" t="str">
        <x:v>First Class</x:v>
      </x:c>
      <x:c r="D54" s="1" t="str">
        <x:v>LATAM</x:v>
      </x:c>
      <x:c r="E54" s="1" t="str">
        <x:v>CLOSED</x:v>
      </x:c>
      <x:c r="F54" s="1" t="str">
        <x:v>Late delivery</x:v>
      </x:c>
      <x:c r="G54" s="6" t="n">
        <x:v>2</x:v>
      </x:c>
      <x:c r="H54" s="6" t="n">
        <x:v>1</x:v>
      </x:c>
      <x:c r="I54" s="6" t="n">
        <x:f>G54-H54</x:f>
        <x:v>1</x:v>
      </x:c>
      <x:c r="J54" s="6" t="n">
        <x:f>IF(OR(E54="CANCELED",E54="SUSPECTED_FRAUD",F54="Shipping canceled"),0,1)</x:f>
        <x:v>1</x:v>
      </x:c>
      <x:c r="K54" s="6" t="n">
        <x:f>IF(G54&gt;H54,1,0)</x:f>
        <x:v>1</x:v>
      </x:c>
      <x:c r="L54" s="6" t="n">
        <x:f>J54*K54</x:f>
        <x:v>1</x:v>
      </x:c>
    </x:row>
    <x:row r="55">
      <x:c r="A55" s="1" t="n">
        <x:v>389</x:v>
      </x:c>
      <x:c r="B55" s="5" t="d">
        <x:v>2015-01-06T00:00:00.000Z</x:v>
      </x:c>
      <x:c r="C55" s="1" t="str">
        <x:v>Standard Class</x:v>
      </x:c>
      <x:c r="D55" s="1" t="str">
        <x:v>LATAM</x:v>
      </x:c>
      <x:c r="E55" s="1" t="str">
        <x:v>COMPLETE</x:v>
      </x:c>
      <x:c r="F55" s="1" t="str">
        <x:v>Late delivery</x:v>
      </x:c>
      <x:c r="G55" s="6" t="n">
        <x:v>5</x:v>
      </x:c>
      <x:c r="H55" s="6" t="n">
        <x:v>4</x:v>
      </x:c>
      <x:c r="I55" s="6" t="n">
        <x:f>G55-H55</x:f>
        <x:v>1</x:v>
      </x:c>
      <x:c r="J55" s="6" t="n">
        <x:f>IF(OR(E55="CANCELED",E55="SUSPECTED_FRAUD",F55="Shipping canceled"),0,1)</x:f>
        <x:v>1</x:v>
      </x:c>
      <x:c r="K55" s="6" t="n">
        <x:f>IF(G55&gt;H55,1,0)</x:f>
        <x:v>1</x:v>
      </x:c>
      <x:c r="L55" s="6" t="n">
        <x:f>J55*K55</x:f>
        <x:v>1</x:v>
      </x:c>
    </x:row>
    <x:row r="56">
      <x:c r="A56" s="1" t="n">
        <x:v>396</x:v>
      </x:c>
      <x:c r="B56" s="5" t="d">
        <x:v>2015-01-06T00:00:00.000Z</x:v>
      </x:c>
      <x:c r="C56" s="1" t="str">
        <x:v>Standard Class</x:v>
      </x:c>
      <x:c r="D56" s="1" t="str">
        <x:v>LATAM</x:v>
      </x:c>
      <x:c r="E56" s="1" t="str">
        <x:v>PAYMENT_REVIEW</x:v>
      </x:c>
      <x:c r="F56" s="1" t="str">
        <x:v>Advance shipping</x:v>
      </x:c>
      <x:c r="G56" s="6" t="n">
        <x:v>2</x:v>
      </x:c>
      <x:c r="H56" s="6" t="n">
        <x:v>4</x:v>
      </x:c>
      <x:c r="I56" s="6" t="n">
        <x:f>G56-H56</x:f>
        <x:v>-2</x:v>
      </x:c>
      <x:c r="J56" s="6" t="n">
        <x:f>IF(OR(E56="CANCELED",E56="SUSPECTED_FRAUD",F56="Shipping canceled"),0,1)</x:f>
        <x:v>1</x:v>
      </x:c>
      <x:c r="K56" s="6" t="n">
        <x:f>IF(G56&gt;H56,1,0)</x:f>
        <x:v>0</x:v>
      </x:c>
      <x:c r="L56" s="6" t="n">
        <x:f>J56*K56</x:f>
        <x:v>0</x:v>
      </x:c>
    </x:row>
    <x:row r="57">
      <x:c r="A57" s="1" t="n">
        <x:v>399</x:v>
      </x:c>
      <x:c r="B57" s="5" t="d">
        <x:v>2015-01-06T00:00:00.000Z</x:v>
      </x:c>
      <x:c r="C57" s="1" t="str">
        <x:v>Standard Class</x:v>
      </x:c>
      <x:c r="D57" s="1" t="str">
        <x:v>LATAM</x:v>
      </x:c>
      <x:c r="E57" s="1" t="str">
        <x:v>PROCESSING</x:v>
      </x:c>
      <x:c r="F57" s="1" t="str">
        <x:v>Late delivery</x:v>
      </x:c>
      <x:c r="G57" s="6" t="n">
        <x:v>5</x:v>
      </x:c>
      <x:c r="H57" s="6" t="n">
        <x:v>4</x:v>
      </x:c>
      <x:c r="I57" s="6" t="n">
        <x:f>G57-H57</x:f>
        <x:v>1</x:v>
      </x:c>
      <x:c r="J57" s="6" t="n">
        <x:f>IF(OR(E57="CANCELED",E57="SUSPECTED_FRAUD",F57="Shipping canceled"),0,1)</x:f>
        <x:v>1</x:v>
      </x:c>
      <x:c r="K57" s="6" t="n">
        <x:f>IF(G57&gt;H57,1,0)</x:f>
        <x:v>1</x:v>
      </x:c>
      <x:c r="L57" s="6" t="n">
        <x:f>J57*K57</x:f>
        <x:v>1</x:v>
      </x:c>
    </x:row>
    <x:row r="58">
      <x:c r="A58" s="1" t="n">
        <x:v>403</x:v>
      </x:c>
      <x:c r="B58" s="5" t="d">
        <x:v>2015-01-06T00:00:00.000Z</x:v>
      </x:c>
      <x:c r="C58" s="1" t="str">
        <x:v>Standard Class</x:v>
      </x:c>
      <x:c r="D58" s="1" t="str">
        <x:v>LATAM</x:v>
      </x:c>
      <x:c r="E58" s="1" t="str">
        <x:v>COMPLETE</x:v>
      </x:c>
      <x:c r="F58" s="1" t="str">
        <x:v>Shipping on time</x:v>
      </x:c>
      <x:c r="G58" s="6" t="n">
        <x:v>4</x:v>
      </x:c>
      <x:c r="H58" s="6" t="n">
        <x:v>4</x:v>
      </x:c>
      <x:c r="I58" s="6" t="n">
        <x:f>G58-H58</x:f>
        <x:v>0</x:v>
      </x:c>
      <x:c r="J58" s="6" t="n">
        <x:f>IF(OR(E58="CANCELED",E58="SUSPECTED_FRAUD",F58="Shipping canceled"),0,1)</x:f>
        <x:v>1</x:v>
      </x:c>
      <x:c r="K58" s="6" t="n">
        <x:f>IF(G58&gt;H58,1,0)</x:f>
        <x:v>0</x:v>
      </x:c>
      <x:c r="L58" s="6" t="n">
        <x:f>J58*K58</x:f>
        <x:v>0</x:v>
      </x:c>
    </x:row>
    <x:row r="59">
      <x:c r="A59" s="1" t="n">
        <x:v>410</x:v>
      </x:c>
      <x:c r="B59" s="5" t="d">
        <x:v>2015-01-06T00:00:00.000Z</x:v>
      </x:c>
      <x:c r="C59" s="1" t="str">
        <x:v>Second Class</x:v>
      </x:c>
      <x:c r="D59" s="1" t="str">
        <x:v>LATAM</x:v>
      </x:c>
      <x:c r="E59" s="1" t="str">
        <x:v>PENDING</x:v>
      </x:c>
      <x:c r="F59" s="1" t="str">
        <x:v>Late delivery</x:v>
      </x:c>
      <x:c r="G59" s="6" t="n">
        <x:v>6</x:v>
      </x:c>
      <x:c r="H59" s="6" t="n">
        <x:v>2</x:v>
      </x:c>
      <x:c r="I59" s="6" t="n">
        <x:f>G59-H59</x:f>
        <x:v>4</x:v>
      </x:c>
      <x:c r="J59" s="6" t="n">
        <x:f>IF(OR(E59="CANCELED",E59="SUSPECTED_FRAUD",F59="Shipping canceled"),0,1)</x:f>
        <x:v>1</x:v>
      </x:c>
      <x:c r="K59" s="6" t="n">
        <x:f>IF(G59&gt;H59,1,0)</x:f>
        <x:v>1</x:v>
      </x:c>
      <x:c r="L59" s="6" t="n">
        <x:f>J59*K59</x:f>
        <x:v>1</x:v>
      </x:c>
    </x:row>
    <x:row r="60">
      <x:c r="A60" s="1" t="n">
        <x:v>428</x:v>
      </x:c>
      <x:c r="B60" s="5" t="d">
        <x:v>2015-01-07T00:00:00.000Z</x:v>
      </x:c>
      <x:c r="C60" s="1" t="str">
        <x:v>Standard Class</x:v>
      </x:c>
      <x:c r="D60" s="1" t="str">
        <x:v>LATAM</x:v>
      </x:c>
      <x:c r="E60" s="1" t="str">
        <x:v>COMPLETE</x:v>
      </x:c>
      <x:c r="F60" s="1" t="str">
        <x:v>Shipping on time</x:v>
      </x:c>
      <x:c r="G60" s="6" t="n">
        <x:v>4</x:v>
      </x:c>
      <x:c r="H60" s="6" t="n">
        <x:v>4</x:v>
      </x:c>
      <x:c r="I60" s="6" t="n">
        <x:f>G60-H60</x:f>
        <x:v>0</x:v>
      </x:c>
      <x:c r="J60" s="6" t="n">
        <x:f>IF(OR(E60="CANCELED",E60="SUSPECTED_FRAUD",F60="Shipping canceled"),0,1)</x:f>
        <x:v>1</x:v>
      </x:c>
      <x:c r="K60" s="6" t="n">
        <x:f>IF(G60&gt;H60,1,0)</x:f>
        <x:v>0</x:v>
      </x:c>
      <x:c r="L60" s="6" t="n">
        <x:f>J60*K60</x:f>
        <x:v>0</x:v>
      </x:c>
    </x:row>
    <x:row r="61">
      <x:c r="A61" s="1" t="n">
        <x:v>443</x:v>
      </x:c>
      <x:c r="B61" s="5" t="d">
        <x:v>2015-01-07T00:00:00.000Z</x:v>
      </x:c>
      <x:c r="C61" s="1" t="str">
        <x:v>First Class</x:v>
      </x:c>
      <x:c r="D61" s="1" t="str">
        <x:v>LATAM</x:v>
      </x:c>
      <x:c r="E61" s="1" t="str">
        <x:v>CLOSED</x:v>
      </x:c>
      <x:c r="F61" s="1" t="str">
        <x:v>Late delivery</x:v>
      </x:c>
      <x:c r="G61" s="6" t="n">
        <x:v>2</x:v>
      </x:c>
      <x:c r="H61" s="6" t="n">
        <x:v>1</x:v>
      </x:c>
      <x:c r="I61" s="6" t="n">
        <x:f>G61-H61</x:f>
        <x:v>1</x:v>
      </x:c>
      <x:c r="J61" s="6" t="n">
        <x:f>IF(OR(E61="CANCELED",E61="SUSPECTED_FRAUD",F61="Shipping canceled"),0,1)</x:f>
        <x:v>1</x:v>
      </x:c>
      <x:c r="K61" s="6" t="n">
        <x:f>IF(G61&gt;H61,1,0)</x:f>
        <x:v>1</x:v>
      </x:c>
      <x:c r="L61" s="6" t="n">
        <x:f>J61*K61</x:f>
        <x:v>1</x:v>
      </x:c>
    </x:row>
    <x:row r="62">
      <x:c r="A62" s="1" t="n">
        <x:v>459</x:v>
      </x:c>
      <x:c r="B62" s="5" t="d">
        <x:v>2015-01-07T00:00:00.000Z</x:v>
      </x:c>
      <x:c r="C62" s="1" t="str">
        <x:v>Standard Class</x:v>
      </x:c>
      <x:c r="D62" s="1" t="str">
        <x:v>LATAM</x:v>
      </x:c>
      <x:c r="E62" s="1" t="str">
        <x:v>COMPLETE</x:v>
      </x:c>
      <x:c r="F62" s="1" t="str">
        <x:v>Late delivery</x:v>
      </x:c>
      <x:c r="G62" s="6" t="n">
        <x:v>5</x:v>
      </x:c>
      <x:c r="H62" s="6" t="n">
        <x:v>4</x:v>
      </x:c>
      <x:c r="I62" s="6" t="n">
        <x:f>G62-H62</x:f>
        <x:v>1</x:v>
      </x:c>
      <x:c r="J62" s="6" t="n">
        <x:f>IF(OR(E62="CANCELED",E62="SUSPECTED_FRAUD",F62="Shipping canceled"),0,1)</x:f>
        <x:v>1</x:v>
      </x:c>
      <x:c r="K62" s="6" t="n">
        <x:f>IF(G62&gt;H62,1,0)</x:f>
        <x:v>1</x:v>
      </x:c>
      <x:c r="L62" s="6" t="n">
        <x:f>J62*K62</x:f>
        <x:v>1</x:v>
      </x:c>
    </x:row>
    <x:row r="63">
      <x:c r="A63" s="1" t="n">
        <x:v>463</x:v>
      </x:c>
      <x:c r="B63" s="5" t="d">
        <x:v>2015-01-07T00:00:00.000Z</x:v>
      </x:c>
      <x:c r="C63" s="1" t="str">
        <x:v>Standard Class</x:v>
      </x:c>
      <x:c r="D63" s="1" t="str">
        <x:v>LATAM</x:v>
      </x:c>
      <x:c r="E63" s="1" t="str">
        <x:v>COMPLETE</x:v>
      </x:c>
      <x:c r="F63" s="1" t="str">
        <x:v>Shipping on time</x:v>
      </x:c>
      <x:c r="G63" s="6" t="n">
        <x:v>4</x:v>
      </x:c>
      <x:c r="H63" s="6" t="n">
        <x:v>4</x:v>
      </x:c>
      <x:c r="I63" s="6" t="n">
        <x:f>G63-H63</x:f>
        <x:v>0</x:v>
      </x:c>
      <x:c r="J63" s="6" t="n">
        <x:f>IF(OR(E63="CANCELED",E63="SUSPECTED_FRAUD",F63="Shipping canceled"),0,1)</x:f>
        <x:v>1</x:v>
      </x:c>
      <x:c r="K63" s="6" t="n">
        <x:f>IF(G63&gt;H63,1,0)</x:f>
        <x:v>0</x:v>
      </x:c>
      <x:c r="L63" s="6" t="n">
        <x:f>J63*K63</x:f>
        <x:v>0</x:v>
      </x:c>
    </x:row>
    <x:row r="64">
      <x:c r="A64" s="1" t="n">
        <x:v>473</x:v>
      </x:c>
      <x:c r="B64" s="5" t="d">
        <x:v>2015-01-07T00:00:00.000Z</x:v>
      </x:c>
      <x:c r="C64" s="1" t="str">
        <x:v>Standard Class</x:v>
      </x:c>
      <x:c r="D64" s="1" t="str">
        <x:v>LATAM</x:v>
      </x:c>
      <x:c r="E64" s="1" t="str">
        <x:v>COMPLETE</x:v>
      </x:c>
      <x:c r="F64" s="1" t="str">
        <x:v>Shipping on time</x:v>
      </x:c>
      <x:c r="G64" s="6" t="n">
        <x:v>4</x:v>
      </x:c>
      <x:c r="H64" s="6" t="n">
        <x:v>4</x:v>
      </x:c>
      <x:c r="I64" s="6" t="n">
        <x:f>G64-H64</x:f>
        <x:v>0</x:v>
      </x:c>
      <x:c r="J64" s="6" t="n">
        <x:f>IF(OR(E64="CANCELED",E64="SUSPECTED_FRAUD",F64="Shipping canceled"),0,1)</x:f>
        <x:v>1</x:v>
      </x:c>
      <x:c r="K64" s="6" t="n">
        <x:f>IF(G64&gt;H64,1,0)</x:f>
        <x:v>0</x:v>
      </x:c>
      <x:c r="L64" s="6" t="n">
        <x:f>J64*K64</x:f>
        <x:v>0</x:v>
      </x:c>
    </x:row>
    <x:row r="65">
      <x:c r="A65" s="1" t="n">
        <x:v>496</x:v>
      </x:c>
      <x:c r="B65" s="5" t="d">
        <x:v>2015-01-08T00:00:00.000Z</x:v>
      </x:c>
      <x:c r="C65" s="1" t="str">
        <x:v>Standard Class</x:v>
      </x:c>
      <x:c r="D65" s="1" t="str">
        <x:v>LATAM</x:v>
      </x:c>
      <x:c r="E65" s="1" t="str">
        <x:v>COMPLETE</x:v>
      </x:c>
      <x:c r="F65" s="1" t="str">
        <x:v>Advance shipping</x:v>
      </x:c>
      <x:c r="G65" s="6" t="n">
        <x:v>2</x:v>
      </x:c>
      <x:c r="H65" s="6" t="n">
        <x:v>4</x:v>
      </x:c>
      <x:c r="I65" s="6" t="n">
        <x:f>G65-H65</x:f>
        <x:v>-2</x:v>
      </x:c>
      <x:c r="J65" s="6" t="n">
        <x:f>IF(OR(E65="CANCELED",E65="SUSPECTED_FRAUD",F65="Shipping canceled"),0,1)</x:f>
        <x:v>1</x:v>
      </x:c>
      <x:c r="K65" s="6" t="n">
        <x:f>IF(G65&gt;H65,1,0)</x:f>
        <x:v>0</x:v>
      </x:c>
      <x:c r="L65" s="6" t="n">
        <x:f>J65*K65</x:f>
        <x:v>0</x:v>
      </x:c>
    </x:row>
    <x:row r="66">
      <x:c r="A66" s="1" t="n">
        <x:v>508</x:v>
      </x:c>
      <x:c r="B66" s="5" t="d">
        <x:v>2015-01-08T00:00:00.000Z</x:v>
      </x:c>
      <x:c r="C66" s="1" t="str">
        <x:v>Standard Class</x:v>
      </x:c>
      <x:c r="D66" s="1" t="str">
        <x:v>LATAM</x:v>
      </x:c>
      <x:c r="E66" s="1" t="str">
        <x:v>COMPLETE</x:v>
      </x:c>
      <x:c r="F66" s="1" t="str">
        <x:v>Shipping on time</x:v>
      </x:c>
      <x:c r="G66" s="6" t="n">
        <x:v>4</x:v>
      </x:c>
      <x:c r="H66" s="6" t="n">
        <x:v>4</x:v>
      </x:c>
      <x:c r="I66" s="6" t="n">
        <x:f>G66-H66</x:f>
        <x:v>0</x:v>
      </x:c>
      <x:c r="J66" s="6" t="n">
        <x:f>IF(OR(E66="CANCELED",E66="SUSPECTED_FRAUD",F66="Shipping canceled"),0,1)</x:f>
        <x:v>1</x:v>
      </x:c>
      <x:c r="K66" s="6" t="n">
        <x:f>IF(G66&gt;H66,1,0)</x:f>
        <x:v>0</x:v>
      </x:c>
      <x:c r="L66" s="6" t="n">
        <x:f>J66*K66</x:f>
        <x:v>0</x:v>
      </x:c>
    </x:row>
    <x:row r="67">
      <x:c r="A67" s="1" t="n">
        <x:v>509</x:v>
      </x:c>
      <x:c r="B67" s="5" t="d">
        <x:v>2015-01-08T00:00:00.000Z</x:v>
      </x:c>
      <x:c r="C67" s="1" t="str">
        <x:v>Standard Class</x:v>
      </x:c>
      <x:c r="D67" s="1" t="str">
        <x:v>LATAM</x:v>
      </x:c>
      <x:c r="E67" s="1" t="str">
        <x:v>COMPLETE</x:v>
      </x:c>
      <x:c r="F67" s="1" t="str">
        <x:v>Late delivery</x:v>
      </x:c>
      <x:c r="G67" s="6" t="n">
        <x:v>5</x:v>
      </x:c>
      <x:c r="H67" s="6" t="n">
        <x:v>4</x:v>
      </x:c>
      <x:c r="I67" s="6" t="n">
        <x:f>G67-H67</x:f>
        <x:v>1</x:v>
      </x:c>
      <x:c r="J67" s="6" t="n">
        <x:f>IF(OR(E67="CANCELED",E67="SUSPECTED_FRAUD",F67="Shipping canceled"),0,1)</x:f>
        <x:v>1</x:v>
      </x:c>
      <x:c r="K67" s="6" t="n">
        <x:f>IF(G67&gt;H67,1,0)</x:f>
        <x:v>1</x:v>
      </x:c>
      <x:c r="L67" s="6" t="n">
        <x:f>J67*K67</x:f>
        <x:v>1</x:v>
      </x:c>
    </x:row>
    <x:row r="68">
      <x:c r="A68" s="1" t="n">
        <x:v>529</x:v>
      </x:c>
      <x:c r="B68" s="5" t="d">
        <x:v>2015-01-08T00:00:00.000Z</x:v>
      </x:c>
      <x:c r="C68" s="1" t="str">
        <x:v>Standard Class</x:v>
      </x:c>
      <x:c r="D68" s="1" t="str">
        <x:v>LATAM</x:v>
      </x:c>
      <x:c r="E68" s="1" t="str">
        <x:v>ON_HOLD</x:v>
      </x:c>
      <x:c r="F68" s="1" t="str">
        <x:v>Late delivery</x:v>
      </x:c>
      <x:c r="G68" s="6" t="n">
        <x:v>5</x:v>
      </x:c>
      <x:c r="H68" s="6" t="n">
        <x:v>4</x:v>
      </x:c>
      <x:c r="I68" s="6" t="n">
        <x:f>G68-H68</x:f>
        <x:v>1</x:v>
      </x:c>
      <x:c r="J68" s="6" t="n">
        <x:f>IF(OR(E68="CANCELED",E68="SUSPECTED_FRAUD",F68="Shipping canceled"),0,1)</x:f>
        <x:v>1</x:v>
      </x:c>
      <x:c r="K68" s="6" t="n">
        <x:f>IF(G68&gt;H68,1,0)</x:f>
        <x:v>1</x:v>
      </x:c>
      <x:c r="L68" s="6" t="n">
        <x:f>J68*K68</x:f>
        <x:v>1</x:v>
      </x:c>
    </x:row>
    <x:row r="69">
      <x:c r="A69" s="1" t="n">
        <x:v>530</x:v>
      </x:c>
      <x:c r="B69" s="5" t="d">
        <x:v>2015-01-08T00:00:00.000Z</x:v>
      </x:c>
      <x:c r="C69" s="1" t="str">
        <x:v>First Class</x:v>
      </x:c>
      <x:c r="D69" s="1" t="str">
        <x:v>LATAM</x:v>
      </x:c>
      <x:c r="E69" s="1" t="str">
        <x:v>PROCESSING</x:v>
      </x:c>
      <x:c r="F69" s="1" t="str">
        <x:v>Late delivery</x:v>
      </x:c>
      <x:c r="G69" s="6" t="n">
        <x:v>2</x:v>
      </x:c>
      <x:c r="H69" s="6" t="n">
        <x:v>1</x:v>
      </x:c>
      <x:c r="I69" s="6" t="n">
        <x:f>G69-H69</x:f>
        <x:v>1</x:v>
      </x:c>
      <x:c r="J69" s="6" t="n">
        <x:f>IF(OR(E69="CANCELED",E69="SUSPECTED_FRAUD",F69="Shipping canceled"),0,1)</x:f>
        <x:v>1</x:v>
      </x:c>
      <x:c r="K69" s="6" t="n">
        <x:f>IF(G69&gt;H69,1,0)</x:f>
        <x:v>1</x:v>
      </x:c>
      <x:c r="L69" s="6" t="n">
        <x:f>J69*K69</x:f>
        <x:v>1</x:v>
      </x:c>
    </x:row>
    <x:row r="70">
      <x:c r="A70" s="1" t="n">
        <x:v>532</x:v>
      </x:c>
      <x:c r="B70" s="5" t="d">
        <x:v>2015-01-08T00:00:00.000Z</x:v>
      </x:c>
      <x:c r="C70" s="1" t="str">
        <x:v>First Class</x:v>
      </x:c>
      <x:c r="D70" s="1" t="str">
        <x:v>LATAM</x:v>
      </x:c>
      <x:c r="E70" s="1" t="str">
        <x:v>PENDING</x:v>
      </x:c>
      <x:c r="F70" s="1" t="str">
        <x:v>Late delivery</x:v>
      </x:c>
      <x:c r="G70" s="6" t="n">
        <x:v>2</x:v>
      </x:c>
      <x:c r="H70" s="6" t="n">
        <x:v>1</x:v>
      </x:c>
      <x:c r="I70" s="6" t="n">
        <x:f>G70-H70</x:f>
        <x:v>1</x:v>
      </x:c>
      <x:c r="J70" s="6" t="n">
        <x:f>IF(OR(E70="CANCELED",E70="SUSPECTED_FRAUD",F70="Shipping canceled"),0,1)</x:f>
        <x:v>1</x:v>
      </x:c>
      <x:c r="K70" s="6" t="n">
        <x:f>IF(G70&gt;H70,1,0)</x:f>
        <x:v>1</x:v>
      </x:c>
      <x:c r="L70" s="6" t="n">
        <x:f>J70*K70</x:f>
        <x:v>1</x:v>
      </x:c>
    </x:row>
    <x:row r="71">
      <x:c r="A71" s="1" t="n">
        <x:v>537</x:v>
      </x:c>
      <x:c r="B71" s="5" t="d">
        <x:v>2015-01-08T00:00:00.000Z</x:v>
      </x:c>
      <x:c r="C71" s="1" t="str">
        <x:v>Standard Class</x:v>
      </x:c>
      <x:c r="D71" s="1" t="str">
        <x:v>LATAM</x:v>
      </x:c>
      <x:c r="E71" s="1" t="str">
        <x:v>COMPLETE</x:v>
      </x:c>
      <x:c r="F71" s="1" t="str">
        <x:v>Advance shipping</x:v>
      </x:c>
      <x:c r="G71" s="6" t="n">
        <x:v>3</x:v>
      </x:c>
      <x:c r="H71" s="6" t="n">
        <x:v>4</x:v>
      </x:c>
      <x:c r="I71" s="6" t="n">
        <x:f>G71-H71</x:f>
        <x:v>-1</x:v>
      </x:c>
      <x:c r="J71" s="6" t="n">
        <x:f>IF(OR(E71="CANCELED",E71="SUSPECTED_FRAUD",F71="Shipping canceled"),0,1)</x:f>
        <x:v>1</x:v>
      </x:c>
      <x:c r="K71" s="6" t="n">
        <x:f>IF(G71&gt;H71,1,0)</x:f>
        <x:v>0</x:v>
      </x:c>
      <x:c r="L71" s="6" t="n">
        <x:f>J71*K71</x:f>
        <x:v>0</x:v>
      </x:c>
    </x:row>
    <x:row r="72">
      <x:c r="A72" s="1" t="n">
        <x:v>542</x:v>
      </x:c>
      <x:c r="B72" s="5" t="d">
        <x:v>2015-01-08T00:00:00.000Z</x:v>
      </x:c>
      <x:c r="C72" s="1" t="str">
        <x:v>Standard Class</x:v>
      </x:c>
      <x:c r="D72" s="1" t="str">
        <x:v>LATAM</x:v>
      </x:c>
      <x:c r="E72" s="1" t="str">
        <x:v>CLOSED</x:v>
      </x:c>
      <x:c r="F72" s="1" t="str">
        <x:v>Advance shipping</x:v>
      </x:c>
      <x:c r="G72" s="6" t="n">
        <x:v>3</x:v>
      </x:c>
      <x:c r="H72" s="6" t="n">
        <x:v>4</x:v>
      </x:c>
      <x:c r="I72" s="6" t="n">
        <x:f>G72-H72</x:f>
        <x:v>-1</x:v>
      </x:c>
      <x:c r="J72" s="6" t="n">
        <x:f>IF(OR(E72="CANCELED",E72="SUSPECTED_FRAUD",F72="Shipping canceled"),0,1)</x:f>
        <x:v>1</x:v>
      </x:c>
      <x:c r="K72" s="6" t="n">
        <x:f>IF(G72&gt;H72,1,0)</x:f>
        <x:v>0</x:v>
      </x:c>
      <x:c r="L72" s="6" t="n">
        <x:f>J72*K72</x:f>
        <x:v>0</x:v>
      </x:c>
    </x:row>
    <x:row r="73">
      <x:c r="A73" s="1" t="n">
        <x:v>551</x:v>
      </x:c>
      <x:c r="B73" s="5" t="d">
        <x:v>2015-01-09T00:00:00.000Z</x:v>
      </x:c>
      <x:c r="C73" s="1" t="str">
        <x:v>Standard Class</x:v>
      </x:c>
      <x:c r="D73" s="1" t="str">
        <x:v>LATAM</x:v>
      </x:c>
      <x:c r="E73" s="1" t="str">
        <x:v>COMPLETE</x:v>
      </x:c>
      <x:c r="F73" s="1" t="str">
        <x:v>Advance shipping</x:v>
      </x:c>
      <x:c r="G73" s="6" t="n">
        <x:v>2</x:v>
      </x:c>
      <x:c r="H73" s="6" t="n">
        <x:v>4</x:v>
      </x:c>
      <x:c r="I73" s="6" t="n">
        <x:f>G73-H73</x:f>
        <x:v>-2</x:v>
      </x:c>
      <x:c r="J73" s="6" t="n">
        <x:f>IF(OR(E73="CANCELED",E73="SUSPECTED_FRAUD",F73="Shipping canceled"),0,1)</x:f>
        <x:v>1</x:v>
      </x:c>
      <x:c r="K73" s="6" t="n">
        <x:f>IF(G73&gt;H73,1,0)</x:f>
        <x:v>0</x:v>
      </x:c>
      <x:c r="L73" s="6" t="n">
        <x:f>J73*K73</x:f>
        <x:v>0</x:v>
      </x:c>
    </x:row>
    <x:row r="74">
      <x:c r="A74" s="1" t="n">
        <x:v>562</x:v>
      </x:c>
      <x:c r="B74" s="5" t="d">
        <x:v>2015-01-09T00:00:00.000Z</x:v>
      </x:c>
      <x:c r="C74" s="1" t="str">
        <x:v>Standard Class</x:v>
      </x:c>
      <x:c r="D74" s="1" t="str">
        <x:v>LATAM</x:v>
      </x:c>
      <x:c r="E74" s="1" t="str">
        <x:v>PENDING</x:v>
      </x:c>
      <x:c r="F74" s="1" t="str">
        <x:v>Advance shipping</x:v>
      </x:c>
      <x:c r="G74" s="6" t="n">
        <x:v>3</x:v>
      </x:c>
      <x:c r="H74" s="6" t="n">
        <x:v>4</x:v>
      </x:c>
      <x:c r="I74" s="6" t="n">
        <x:f>G74-H74</x:f>
        <x:v>-1</x:v>
      </x:c>
      <x:c r="J74" s="6" t="n">
        <x:f>IF(OR(E74="CANCELED",E74="SUSPECTED_FRAUD",F74="Shipping canceled"),0,1)</x:f>
        <x:v>1</x:v>
      </x:c>
      <x:c r="K74" s="6" t="n">
        <x:f>IF(G74&gt;H74,1,0)</x:f>
        <x:v>0</x:v>
      </x:c>
      <x:c r="L74" s="6" t="n">
        <x:f>J74*K74</x:f>
        <x:v>0</x:v>
      </x:c>
    </x:row>
    <x:row r="75">
      <x:c r="A75" s="1" t="n">
        <x:v>580</x:v>
      </x:c>
      <x:c r="B75" s="5" t="d">
        <x:v>2015-01-09T00:00:00.000Z</x:v>
      </x:c>
      <x:c r="C75" s="1" t="str">
        <x:v>Standard Class</x:v>
      </x:c>
      <x:c r="D75" s="1" t="str">
        <x:v>LATAM</x:v>
      </x:c>
      <x:c r="E75" s="1" t="str">
        <x:v>SUSPECTED_FRAUD</x:v>
      </x:c>
      <x:c r="F75" s="1" t="str">
        <x:v>Shipping canceled</x:v>
      </x:c>
      <x:c r="G75" s="6" t="n">
        <x:v>6</x:v>
      </x:c>
      <x:c r="H75" s="6" t="n">
        <x:v>4</x:v>
      </x:c>
      <x:c r="I75" s="6" t="n">
        <x:f>G75-H75</x:f>
        <x:v>2</x:v>
      </x:c>
      <x:c r="J75" s="6" t="n">
        <x:f>IF(OR(E75="CANCELED",E75="SUSPECTED_FRAUD",F75="Shipping canceled"),0,1)</x:f>
        <x:v>0</x:v>
      </x:c>
      <x:c r="K75" s="6" t="n">
        <x:f>IF(G75&gt;H75,1,0)</x:f>
        <x:v>1</x:v>
      </x:c>
      <x:c r="L75" s="6" t="n">
        <x:f>J75*K75</x:f>
        <x:v>0</x:v>
      </x:c>
    </x:row>
    <x:row r="76">
      <x:c r="A76" s="1" t="n">
        <x:v>599</x:v>
      </x:c>
      <x:c r="B76" s="5" t="d">
        <x:v>2015-01-09T00:00:00.000Z</x:v>
      </x:c>
      <x:c r="C76" s="1" t="str">
        <x:v>Standard Class</x:v>
      </x:c>
      <x:c r="D76" s="1" t="str">
        <x:v>LATAM</x:v>
      </x:c>
      <x:c r="E76" s="1" t="str">
        <x:v>COMPLETE</x:v>
      </x:c>
      <x:c r="F76" s="1" t="str">
        <x:v>Late delivery</x:v>
      </x:c>
      <x:c r="G76" s="6" t="n">
        <x:v>5</x:v>
      </x:c>
      <x:c r="H76" s="6" t="n">
        <x:v>4</x:v>
      </x:c>
      <x:c r="I76" s="6" t="n">
        <x:f>G76-H76</x:f>
        <x:v>1</x:v>
      </x:c>
      <x:c r="J76" s="6" t="n">
        <x:f>IF(OR(E76="CANCELED",E76="SUSPECTED_FRAUD",F76="Shipping canceled"),0,1)</x:f>
        <x:v>1</x:v>
      </x:c>
      <x:c r="K76" s="6" t="n">
        <x:f>IF(G76&gt;H76,1,0)</x:f>
        <x:v>1</x:v>
      </x:c>
      <x:c r="L76" s="6" t="n">
        <x:f>J76*K76</x:f>
        <x:v>1</x:v>
      </x:c>
    </x:row>
    <x:row r="77">
      <x:c r="A77" s="1" t="n">
        <x:v>601</x:v>
      </x:c>
      <x:c r="B77" s="5" t="d">
        <x:v>2015-01-09T00:00:00.000Z</x:v>
      </x:c>
      <x:c r="C77" s="1" t="str">
        <x:v>Standard Class</x:v>
      </x:c>
      <x:c r="D77" s="1" t="str">
        <x:v>LATAM</x:v>
      </x:c>
      <x:c r="E77" s="1" t="str">
        <x:v>COMPLETE</x:v>
      </x:c>
      <x:c r="F77" s="1" t="str">
        <x:v>Advance shipping</x:v>
      </x:c>
      <x:c r="G77" s="6" t="n">
        <x:v>2</x:v>
      </x:c>
      <x:c r="H77" s="6" t="n">
        <x:v>4</x:v>
      </x:c>
      <x:c r="I77" s="6" t="n">
        <x:f>G77-H77</x:f>
        <x:v>-2</x:v>
      </x:c>
      <x:c r="J77" s="6" t="n">
        <x:f>IF(OR(E77="CANCELED",E77="SUSPECTED_FRAUD",F77="Shipping canceled"),0,1)</x:f>
        <x:v>1</x:v>
      </x:c>
      <x:c r="K77" s="6" t="n">
        <x:f>IF(G77&gt;H77,1,0)</x:f>
        <x:v>0</x:v>
      </x:c>
      <x:c r="L77" s="6" t="n">
        <x:f>J77*K77</x:f>
        <x:v>0</x:v>
      </x:c>
    </x:row>
    <x:row r="78">
      <x:c r="A78" s="1" t="n">
        <x:v>603</x:v>
      </x:c>
      <x:c r="B78" s="5" t="d">
        <x:v>2015-01-09T00:00:00.000Z</x:v>
      </x:c>
      <x:c r="C78" s="1" t="str">
        <x:v>Standard Class</x:v>
      </x:c>
      <x:c r="D78" s="1" t="str">
        <x:v>LATAM</x:v>
      </x:c>
      <x:c r="E78" s="1" t="str">
        <x:v>CLOSED</x:v>
      </x:c>
      <x:c r="F78" s="1" t="str">
        <x:v>Shipping on time</x:v>
      </x:c>
      <x:c r="G78" s="6" t="n">
        <x:v>4</x:v>
      </x:c>
      <x:c r="H78" s="6" t="n">
        <x:v>4</x:v>
      </x:c>
      <x:c r="I78" s="6" t="n">
        <x:f>G78-H78</x:f>
        <x:v>0</x:v>
      </x:c>
      <x:c r="J78" s="6" t="n">
        <x:f>IF(OR(E78="CANCELED",E78="SUSPECTED_FRAUD",F78="Shipping canceled"),0,1)</x:f>
        <x:v>1</x:v>
      </x:c>
      <x:c r="K78" s="6" t="n">
        <x:f>IF(G78&gt;H78,1,0)</x:f>
        <x:v>0</x:v>
      </x:c>
      <x:c r="L78" s="6" t="n">
        <x:f>J78*K78</x:f>
        <x:v>0</x:v>
      </x:c>
    </x:row>
    <x:row r="79">
      <x:c r="A79" s="1" t="n">
        <x:v>607</x:v>
      </x:c>
      <x:c r="B79" s="5" t="d">
        <x:v>2015-01-09T00:00:00.000Z</x:v>
      </x:c>
      <x:c r="C79" s="1" t="str">
        <x:v>Standard Class</x:v>
      </x:c>
      <x:c r="D79" s="1" t="str">
        <x:v>LATAM</x:v>
      </x:c>
      <x:c r="E79" s="1" t="str">
        <x:v>CANCELED</x:v>
      </x:c>
      <x:c r="F79" s="1" t="str">
        <x:v>Shipping canceled</x:v>
      </x:c>
      <x:c r="G79" s="6" t="n">
        <x:v>3</x:v>
      </x:c>
      <x:c r="H79" s="6" t="n">
        <x:v>4</x:v>
      </x:c>
      <x:c r="I79" s="6" t="n">
        <x:f>G79-H79</x:f>
        <x:v>-1</x:v>
      </x:c>
      <x:c r="J79" s="6" t="n">
        <x:f>IF(OR(E79="CANCELED",E79="SUSPECTED_FRAUD",F79="Shipping canceled"),0,1)</x:f>
        <x:v>0</x:v>
      </x:c>
      <x:c r="K79" s="6" t="n">
        <x:f>IF(G79&gt;H79,1,0)</x:f>
        <x:v>0</x:v>
      </x:c>
      <x:c r="L79" s="6" t="n">
        <x:f>J79*K79</x:f>
        <x:v>0</x:v>
      </x:c>
    </x:row>
    <x:row r="80">
      <x:c r="A80" s="1" t="n">
        <x:v>618</x:v>
      </x:c>
      <x:c r="B80" s="5" t="d">
        <x:v>2015-01-10T00:00:00.000Z</x:v>
      </x:c>
      <x:c r="C80" s="1" t="str">
        <x:v>Standard Class</x:v>
      </x:c>
      <x:c r="D80" s="1" t="str">
        <x:v>LATAM</x:v>
      </x:c>
      <x:c r="E80" s="1" t="str">
        <x:v>PENDING_PAYMENT</x:v>
      </x:c>
      <x:c r="F80" s="1" t="str">
        <x:v>Shipping on time</x:v>
      </x:c>
      <x:c r="G80" s="6" t="n">
        <x:v>4</x:v>
      </x:c>
      <x:c r="H80" s="6" t="n">
        <x:v>4</x:v>
      </x:c>
      <x:c r="I80" s="6" t="n">
        <x:f>G80-H80</x:f>
        <x:v>0</x:v>
      </x:c>
      <x:c r="J80" s="6" t="n">
        <x:f>IF(OR(E80="CANCELED",E80="SUSPECTED_FRAUD",F80="Shipping canceled"),0,1)</x:f>
        <x:v>1</x:v>
      </x:c>
      <x:c r="K80" s="6" t="n">
        <x:f>IF(G80&gt;H80,1,0)</x:f>
        <x:v>0</x:v>
      </x:c>
      <x:c r="L80" s="6" t="n">
        <x:f>J80*K80</x:f>
        <x:v>0</x:v>
      </x:c>
    </x:row>
    <x:row r="81">
      <x:c r="A81" s="1" t="n">
        <x:v>621</x:v>
      </x:c>
      <x:c r="B81" s="5" t="d">
        <x:v>2015-01-10T00:00:00.000Z</x:v>
      </x:c>
      <x:c r="C81" s="1" t="str">
        <x:v>Standard Class</x:v>
      </x:c>
      <x:c r="D81" s="1" t="str">
        <x:v>LATAM</x:v>
      </x:c>
      <x:c r="E81" s="1" t="str">
        <x:v>COMPLETE</x:v>
      </x:c>
      <x:c r="F81" s="1" t="str">
        <x:v>Advance shipping</x:v>
      </x:c>
      <x:c r="G81" s="6" t="n">
        <x:v>2</x:v>
      </x:c>
      <x:c r="H81" s="6" t="n">
        <x:v>4</x:v>
      </x:c>
      <x:c r="I81" s="6" t="n">
        <x:f>G81-H81</x:f>
        <x:v>-2</x:v>
      </x:c>
      <x:c r="J81" s="6" t="n">
        <x:f>IF(OR(E81="CANCELED",E81="SUSPECTED_FRAUD",F81="Shipping canceled"),0,1)</x:f>
        <x:v>1</x:v>
      </x:c>
      <x:c r="K81" s="6" t="n">
        <x:f>IF(G81&gt;H81,1,0)</x:f>
        <x:v>0</x:v>
      </x:c>
      <x:c r="L81" s="6" t="n">
        <x:f>J81*K81</x:f>
        <x:v>0</x:v>
      </x:c>
    </x:row>
    <x:row r="82">
      <x:c r="A82" s="1" t="n">
        <x:v>622</x:v>
      </x:c>
      <x:c r="B82" s="5" t="d">
        <x:v>2015-01-10T00:00:00.000Z</x:v>
      </x:c>
      <x:c r="C82" s="1" t="str">
        <x:v>Standard Class</x:v>
      </x:c>
      <x:c r="D82" s="1" t="str">
        <x:v>LATAM</x:v>
      </x:c>
      <x:c r="E82" s="1" t="str">
        <x:v>ON_HOLD</x:v>
      </x:c>
      <x:c r="F82" s="1" t="str">
        <x:v>Advance shipping</x:v>
      </x:c>
      <x:c r="G82" s="6" t="n">
        <x:v>3</x:v>
      </x:c>
      <x:c r="H82" s="6" t="n">
        <x:v>4</x:v>
      </x:c>
      <x:c r="I82" s="6" t="n">
        <x:f>G82-H82</x:f>
        <x:v>-1</x:v>
      </x:c>
      <x:c r="J82" s="6" t="n">
        <x:f>IF(OR(E82="CANCELED",E82="SUSPECTED_FRAUD",F82="Shipping canceled"),0,1)</x:f>
        <x:v>1</x:v>
      </x:c>
      <x:c r="K82" s="6" t="n">
        <x:f>IF(G82&gt;H82,1,0)</x:f>
        <x:v>0</x:v>
      </x:c>
      <x:c r="L82" s="6" t="n">
        <x:f>J82*K82</x:f>
        <x:v>0</x:v>
      </x:c>
    </x:row>
    <x:row r="83">
      <x:c r="A83" s="1" t="n">
        <x:v>646</x:v>
      </x:c>
      <x:c r="B83" s="5" t="d">
        <x:v>2015-01-10T00:00:00.000Z</x:v>
      </x:c>
      <x:c r="C83" s="1" t="str">
        <x:v>Standard Class</x:v>
      </x:c>
      <x:c r="D83" s="1" t="str">
        <x:v>LATAM</x:v>
      </x:c>
      <x:c r="E83" s="1" t="str">
        <x:v>CLOSED</x:v>
      </x:c>
      <x:c r="F83" s="1" t="str">
        <x:v>Advance shipping</x:v>
      </x:c>
      <x:c r="G83" s="6" t="n">
        <x:v>2</x:v>
      </x:c>
      <x:c r="H83" s="6" t="n">
        <x:v>4</x:v>
      </x:c>
      <x:c r="I83" s="6" t="n">
        <x:f>G83-H83</x:f>
        <x:v>-2</x:v>
      </x:c>
      <x:c r="J83" s="6" t="n">
        <x:f>IF(OR(E83="CANCELED",E83="SUSPECTED_FRAUD",F83="Shipping canceled"),0,1)</x:f>
        <x:v>1</x:v>
      </x:c>
      <x:c r="K83" s="6" t="n">
        <x:f>IF(G83&gt;H83,1,0)</x:f>
        <x:v>0</x:v>
      </x:c>
      <x:c r="L83" s="6" t="n">
        <x:f>J83*K83</x:f>
        <x:v>0</x:v>
      </x:c>
    </x:row>
    <x:row r="84">
      <x:c r="A84" s="1" t="n">
        <x:v>659</x:v>
      </x:c>
      <x:c r="B84" s="5" t="d">
        <x:v>2015-01-10T00:00:00.000Z</x:v>
      </x:c>
      <x:c r="C84" s="1" t="str">
        <x:v>Standard Class</x:v>
      </x:c>
      <x:c r="D84" s="1" t="str">
        <x:v>LATAM</x:v>
      </x:c>
      <x:c r="E84" s="1" t="str">
        <x:v>COMPLETE</x:v>
      </x:c>
      <x:c r="F84" s="1" t="str">
        <x:v>Late delivery</x:v>
      </x:c>
      <x:c r="G84" s="6" t="n">
        <x:v>5</x:v>
      </x:c>
      <x:c r="H84" s="6" t="n">
        <x:v>4</x:v>
      </x:c>
      <x:c r="I84" s="6" t="n">
        <x:f>G84-H84</x:f>
        <x:v>1</x:v>
      </x:c>
      <x:c r="J84" s="6" t="n">
        <x:f>IF(OR(E84="CANCELED",E84="SUSPECTED_FRAUD",F84="Shipping canceled"),0,1)</x:f>
        <x:v>1</x:v>
      </x:c>
      <x:c r="K84" s="6" t="n">
        <x:f>IF(G84&gt;H84,1,0)</x:f>
        <x:v>1</x:v>
      </x:c>
      <x:c r="L84" s="6" t="n">
        <x:f>J84*K84</x:f>
        <x:v>1</x:v>
      </x:c>
    </x:row>
    <x:row r="85">
      <x:c r="A85" s="1" t="n">
        <x:v>665</x:v>
      </x:c>
      <x:c r="B85" s="5" t="d">
        <x:v>2015-01-10T00:00:00.000Z</x:v>
      </x:c>
      <x:c r="C85" s="1" t="str">
        <x:v>Standard Class</x:v>
      </x:c>
      <x:c r="D85" s="1" t="str">
        <x:v>LATAM</x:v>
      </x:c>
      <x:c r="E85" s="1" t="str">
        <x:v>ON_HOLD</x:v>
      </x:c>
      <x:c r="F85" s="1" t="str">
        <x:v>Late delivery</x:v>
      </x:c>
      <x:c r="G85" s="6" t="n">
        <x:v>6</x:v>
      </x:c>
      <x:c r="H85" s="6" t="n">
        <x:v>4</x:v>
      </x:c>
      <x:c r="I85" s="6" t="n">
        <x:f>G85-H85</x:f>
        <x:v>2</x:v>
      </x:c>
      <x:c r="J85" s="6" t="n">
        <x:f>IF(OR(E85="CANCELED",E85="SUSPECTED_FRAUD",F85="Shipping canceled"),0,1)</x:f>
        <x:v>1</x:v>
      </x:c>
      <x:c r="K85" s="6" t="n">
        <x:f>IF(G85&gt;H85,1,0)</x:f>
        <x:v>1</x:v>
      </x:c>
      <x:c r="L85" s="6" t="n">
        <x:f>J85*K85</x:f>
        <x:v>1</x:v>
      </x:c>
    </x:row>
    <x:row r="86">
      <x:c r="A86" s="1" t="n">
        <x:v>674</x:v>
      </x:c>
      <x:c r="B86" s="5" t="d">
        <x:v>2015-01-10T00:00:00.000Z</x:v>
      </x:c>
      <x:c r="C86" s="1" t="str">
        <x:v>Standard Class</x:v>
      </x:c>
      <x:c r="D86" s="1" t="str">
        <x:v>LATAM</x:v>
      </x:c>
      <x:c r="E86" s="1" t="str">
        <x:v>COMPLETE</x:v>
      </x:c>
      <x:c r="F86" s="1" t="str">
        <x:v>Late delivery</x:v>
      </x:c>
      <x:c r="G86" s="6" t="n">
        <x:v>5</x:v>
      </x:c>
      <x:c r="H86" s="6" t="n">
        <x:v>4</x:v>
      </x:c>
      <x:c r="I86" s="6" t="n">
        <x:f>G86-H86</x:f>
        <x:v>1</x:v>
      </x:c>
      <x:c r="J86" s="6" t="n">
        <x:f>IF(OR(E86="CANCELED",E86="SUSPECTED_FRAUD",F86="Shipping canceled"),0,1)</x:f>
        <x:v>1</x:v>
      </x:c>
      <x:c r="K86" s="6" t="n">
        <x:f>IF(G86&gt;H86,1,0)</x:f>
        <x:v>1</x:v>
      </x:c>
      <x:c r="L86" s="6" t="n">
        <x:f>J86*K86</x:f>
        <x:v>1</x:v>
      </x:c>
    </x:row>
    <x:row r="87">
      <x:c r="A87" s="1" t="n">
        <x:v>679</x:v>
      </x:c>
      <x:c r="B87" s="5" t="d">
        <x:v>2015-01-10T00:00:00.000Z</x:v>
      </x:c>
      <x:c r="C87" s="1" t="str">
        <x:v>Standard Class</x:v>
      </x:c>
      <x:c r="D87" s="1" t="str">
        <x:v>LATAM</x:v>
      </x:c>
      <x:c r="E87" s="1" t="str">
        <x:v>CLOSED</x:v>
      </x:c>
      <x:c r="F87" s="1" t="str">
        <x:v>Late delivery</x:v>
      </x:c>
      <x:c r="G87" s="6" t="n">
        <x:v>5</x:v>
      </x:c>
      <x:c r="H87" s="6" t="n">
        <x:v>4</x:v>
      </x:c>
      <x:c r="I87" s="6" t="n">
        <x:f>G87-H87</x:f>
        <x:v>1</x:v>
      </x:c>
      <x:c r="J87" s="6" t="n">
        <x:f>IF(OR(E87="CANCELED",E87="SUSPECTED_FRAUD",F87="Shipping canceled"),0,1)</x:f>
        <x:v>1</x:v>
      </x:c>
      <x:c r="K87" s="6" t="n">
        <x:f>IF(G87&gt;H87,1,0)</x:f>
        <x:v>1</x:v>
      </x:c>
      <x:c r="L87" s="6" t="n">
        <x:f>J87*K87</x:f>
        <x:v>1</x:v>
      </x:c>
    </x:row>
    <x:row r="88">
      <x:c r="A88" s="1" t="n">
        <x:v>686</x:v>
      </x:c>
      <x:c r="B88" s="5" t="d">
        <x:v>2015-01-10T00:00:00.000Z</x:v>
      </x:c>
      <x:c r="C88" s="1" t="str">
        <x:v>First Class</x:v>
      </x:c>
      <x:c r="D88" s="1" t="str">
        <x:v>LATAM</x:v>
      </x:c>
      <x:c r="E88" s="1" t="str">
        <x:v>PROCESSING</x:v>
      </x:c>
      <x:c r="F88" s="1" t="str">
        <x:v>Late delivery</x:v>
      </x:c>
      <x:c r="G88" s="6" t="n">
        <x:v>2</x:v>
      </x:c>
      <x:c r="H88" s="6" t="n">
        <x:v>1</x:v>
      </x:c>
      <x:c r="I88" s="6" t="n">
        <x:f>G88-H88</x:f>
        <x:v>1</x:v>
      </x:c>
      <x:c r="J88" s="6" t="n">
        <x:f>IF(OR(E88="CANCELED",E88="SUSPECTED_FRAUD",F88="Shipping canceled"),0,1)</x:f>
        <x:v>1</x:v>
      </x:c>
      <x:c r="K88" s="6" t="n">
        <x:f>IF(G88&gt;H88,1,0)</x:f>
        <x:v>1</x:v>
      </x:c>
      <x:c r="L88" s="6" t="n">
        <x:f>J88*K88</x:f>
        <x:v>1</x:v>
      </x:c>
    </x:row>
    <x:row r="89">
      <x:c r="A89" s="1" t="n">
        <x:v>696</x:v>
      </x:c>
      <x:c r="B89" s="5" t="d">
        <x:v>2015-01-11T00:00:00.000Z</x:v>
      </x:c>
      <x:c r="C89" s="1" t="str">
        <x:v>Standard Class</x:v>
      </x:c>
      <x:c r="D89" s="1" t="str">
        <x:v>LATAM</x:v>
      </x:c>
      <x:c r="E89" s="1" t="str">
        <x:v>PENDING_PAYMENT</x:v>
      </x:c>
      <x:c r="F89" s="1" t="str">
        <x:v>Advance shipping</x:v>
      </x:c>
      <x:c r="G89" s="6" t="n">
        <x:v>2</x:v>
      </x:c>
      <x:c r="H89" s="6" t="n">
        <x:v>4</x:v>
      </x:c>
      <x:c r="I89" s="6" t="n">
        <x:f>G89-H89</x:f>
        <x:v>-2</x:v>
      </x:c>
      <x:c r="J89" s="6" t="n">
        <x:f>IF(OR(E89="CANCELED",E89="SUSPECTED_FRAUD",F89="Shipping canceled"),0,1)</x:f>
        <x:v>1</x:v>
      </x:c>
      <x:c r="K89" s="6" t="n">
        <x:f>IF(G89&gt;H89,1,0)</x:f>
        <x:v>0</x:v>
      </x:c>
      <x:c r="L89" s="6" t="n">
        <x:f>J89*K89</x:f>
        <x:v>0</x:v>
      </x:c>
    </x:row>
    <x:row r="90">
      <x:c r="A90" s="1" t="n">
        <x:v>708</x:v>
      </x:c>
      <x:c r="B90" s="5" t="d">
        <x:v>2015-01-11T00:00:00.000Z</x:v>
      </x:c>
      <x:c r="C90" s="1" t="str">
        <x:v>Standard Class</x:v>
      </x:c>
      <x:c r="D90" s="1" t="str">
        <x:v>LATAM</x:v>
      </x:c>
      <x:c r="E90" s="1" t="str">
        <x:v>CLOSED</x:v>
      </x:c>
      <x:c r="F90" s="1" t="str">
        <x:v>Shipping on time</x:v>
      </x:c>
      <x:c r="G90" s="6" t="n">
        <x:v>4</x:v>
      </x:c>
      <x:c r="H90" s="6" t="n">
        <x:v>4</x:v>
      </x:c>
      <x:c r="I90" s="6" t="n">
        <x:f>G90-H90</x:f>
        <x:v>0</x:v>
      </x:c>
      <x:c r="J90" s="6" t="n">
        <x:f>IF(OR(E90="CANCELED",E90="SUSPECTED_FRAUD",F90="Shipping canceled"),0,1)</x:f>
        <x:v>1</x:v>
      </x:c>
      <x:c r="K90" s="6" t="n">
        <x:f>IF(G90&gt;H90,1,0)</x:f>
        <x:v>0</x:v>
      </x:c>
      <x:c r="L90" s="6" t="n">
        <x:f>J90*K90</x:f>
        <x:v>0</x:v>
      </x:c>
    </x:row>
    <x:row r="91">
      <x:c r="A91" s="1" t="n">
        <x:v>723</x:v>
      </x:c>
      <x:c r="B91" s="5" t="d">
        <x:v>2015-01-11T00:00:00.000Z</x:v>
      </x:c>
      <x:c r="C91" s="1" t="str">
        <x:v>Standard Class</x:v>
      </x:c>
      <x:c r="D91" s="1" t="str">
        <x:v>LATAM</x:v>
      </x:c>
      <x:c r="E91" s="1" t="str">
        <x:v>PENDING</x:v>
      </x:c>
      <x:c r="F91" s="1" t="str">
        <x:v>Shipping on time</x:v>
      </x:c>
      <x:c r="G91" s="6" t="n">
        <x:v>4</x:v>
      </x:c>
      <x:c r="H91" s="6" t="n">
        <x:v>4</x:v>
      </x:c>
      <x:c r="I91" s="6" t="n">
        <x:f>G91-H91</x:f>
        <x:v>0</x:v>
      </x:c>
      <x:c r="J91" s="6" t="n">
        <x:f>IF(OR(E91="CANCELED",E91="SUSPECTED_FRAUD",F91="Shipping canceled"),0,1)</x:f>
        <x:v>1</x:v>
      </x:c>
      <x:c r="K91" s="6" t="n">
        <x:f>IF(G91&gt;H91,1,0)</x:f>
        <x:v>0</x:v>
      </x:c>
      <x:c r="L91" s="6" t="n">
        <x:f>J91*K91</x:f>
        <x:v>0</x:v>
      </x:c>
    </x:row>
    <x:row r="92">
      <x:c r="A92" s="1" t="n">
        <x:v>727</x:v>
      </x:c>
      <x:c r="B92" s="5" t="d">
        <x:v>2015-01-11T00:00:00.000Z</x:v>
      </x:c>
      <x:c r="C92" s="1" t="str">
        <x:v>Standard Class</x:v>
      </x:c>
      <x:c r="D92" s="1" t="str">
        <x:v>LATAM</x:v>
      </x:c>
      <x:c r="E92" s="1" t="str">
        <x:v>COMPLETE</x:v>
      </x:c>
      <x:c r="F92" s="1" t="str">
        <x:v>Advance shipping</x:v>
      </x:c>
      <x:c r="G92" s="6" t="n">
        <x:v>3</x:v>
      </x:c>
      <x:c r="H92" s="6" t="n">
        <x:v>4</x:v>
      </x:c>
      <x:c r="I92" s="6" t="n">
        <x:f>G92-H92</x:f>
        <x:v>-1</x:v>
      </x:c>
      <x:c r="J92" s="6" t="n">
        <x:f>IF(OR(E92="CANCELED",E92="SUSPECTED_FRAUD",F92="Shipping canceled"),0,1)</x:f>
        <x:v>1</x:v>
      </x:c>
      <x:c r="K92" s="6" t="n">
        <x:f>IF(G92&gt;H92,1,0)</x:f>
        <x:v>0</x:v>
      </x:c>
      <x:c r="L92" s="6" t="n">
        <x:f>J92*K92</x:f>
        <x:v>0</x:v>
      </x:c>
    </x:row>
    <x:row r="93">
      <x:c r="A93" s="1" t="n">
        <x:v>730</x:v>
      </x:c>
      <x:c r="B93" s="5" t="d">
        <x:v>2015-01-11T00:00:00.000Z</x:v>
      </x:c>
      <x:c r="C93" s="1" t="str">
        <x:v>Standard Class</x:v>
      </x:c>
      <x:c r="D93" s="1" t="str">
        <x:v>LATAM</x:v>
      </x:c>
      <x:c r="E93" s="1" t="str">
        <x:v>COMPLETE</x:v>
      </x:c>
      <x:c r="F93" s="1" t="str">
        <x:v>Late delivery</x:v>
      </x:c>
      <x:c r="G93" s="6" t="n">
        <x:v>6</x:v>
      </x:c>
      <x:c r="H93" s="6" t="n">
        <x:v>4</x:v>
      </x:c>
      <x:c r="I93" s="6" t="n">
        <x:f>G93-H93</x:f>
        <x:v>2</x:v>
      </x:c>
      <x:c r="J93" s="6" t="n">
        <x:f>IF(OR(E93="CANCELED",E93="SUSPECTED_FRAUD",F93="Shipping canceled"),0,1)</x:f>
        <x:v>1</x:v>
      </x:c>
      <x:c r="K93" s="6" t="n">
        <x:f>IF(G93&gt;H93,1,0)</x:f>
        <x:v>1</x:v>
      </x:c>
      <x:c r="L93" s="6" t="n">
        <x:f>J93*K93</x:f>
        <x:v>1</x:v>
      </x:c>
    </x:row>
    <x:row r="94">
      <x:c r="A94" s="1" t="n">
        <x:v>738</x:v>
      </x:c>
      <x:c r="B94" s="5" t="d">
        <x:v>2015-01-11T00:00:00.000Z</x:v>
      </x:c>
      <x:c r="C94" s="1" t="str">
        <x:v>Standard Class</x:v>
      </x:c>
      <x:c r="D94" s="1" t="str">
        <x:v>LATAM</x:v>
      </x:c>
      <x:c r="E94" s="1" t="str">
        <x:v>CANCELED</x:v>
      </x:c>
      <x:c r="F94" s="1" t="str">
        <x:v>Shipping canceled</x:v>
      </x:c>
      <x:c r="G94" s="6" t="n">
        <x:v>4</x:v>
      </x:c>
      <x:c r="H94" s="6" t="n">
        <x:v>4</x:v>
      </x:c>
      <x:c r="I94" s="6" t="n">
        <x:f>G94-H94</x:f>
        <x:v>0</x:v>
      </x:c>
      <x:c r="J94" s="6" t="n">
        <x:f>IF(OR(E94="CANCELED",E94="SUSPECTED_FRAUD",F94="Shipping canceled"),0,1)</x:f>
        <x:v>0</x:v>
      </x:c>
      <x:c r="K94" s="6" t="n">
        <x:f>IF(G94&gt;H94,1,0)</x:f>
        <x:v>0</x:v>
      </x:c>
      <x:c r="L94" s="6" t="n">
        <x:f>J94*K94</x:f>
        <x:v>0</x:v>
      </x:c>
    </x:row>
    <x:row r="95">
      <x:c r="A95" s="1" t="n">
        <x:v>746</x:v>
      </x:c>
      <x:c r="B95" s="5" t="d">
        <x:v>2015-01-11T00:00:00.000Z</x:v>
      </x:c>
      <x:c r="C95" s="1" t="str">
        <x:v>Standard Class</x:v>
      </x:c>
      <x:c r="D95" s="1" t="str">
        <x:v>LATAM</x:v>
      </x:c>
      <x:c r="E95" s="1" t="str">
        <x:v>COMPLETE</x:v>
      </x:c>
      <x:c r="F95" s="1" t="str">
        <x:v>Advance shipping</x:v>
      </x:c>
      <x:c r="G95" s="6" t="n">
        <x:v>2</x:v>
      </x:c>
      <x:c r="H95" s="6" t="n">
        <x:v>4</x:v>
      </x:c>
      <x:c r="I95" s="6" t="n">
        <x:f>G95-H95</x:f>
        <x:v>-2</x:v>
      </x:c>
      <x:c r="J95" s="6" t="n">
        <x:f>IF(OR(E95="CANCELED",E95="SUSPECTED_FRAUD",F95="Shipping canceled"),0,1)</x:f>
        <x:v>1</x:v>
      </x:c>
      <x:c r="K95" s="6" t="n">
        <x:f>IF(G95&gt;H95,1,0)</x:f>
        <x:v>0</x:v>
      </x:c>
      <x:c r="L95" s="6" t="n">
        <x:f>J95*K95</x:f>
        <x:v>0</x:v>
      </x:c>
    </x:row>
    <x:row r="96">
      <x:c r="A96" s="1" t="n">
        <x:v>749</x:v>
      </x:c>
      <x:c r="B96" s="5" t="d">
        <x:v>2015-01-11T00:00:00.000Z</x:v>
      </x:c>
      <x:c r="C96" s="1" t="str">
        <x:v>Standard Class</x:v>
      </x:c>
      <x:c r="D96" s="1" t="str">
        <x:v>LATAM</x:v>
      </x:c>
      <x:c r="E96" s="1" t="str">
        <x:v>PENDING_PAYMENT</x:v>
      </x:c>
      <x:c r="F96" s="1" t="str">
        <x:v>Late delivery</x:v>
      </x:c>
      <x:c r="G96" s="6" t="n">
        <x:v>5</x:v>
      </x:c>
      <x:c r="H96" s="6" t="n">
        <x:v>4</x:v>
      </x:c>
      <x:c r="I96" s="6" t="n">
        <x:f>G96-H96</x:f>
        <x:v>1</x:v>
      </x:c>
      <x:c r="J96" s="6" t="n">
        <x:f>IF(OR(E96="CANCELED",E96="SUSPECTED_FRAUD",F96="Shipping canceled"),0,1)</x:f>
        <x:v>1</x:v>
      </x:c>
      <x:c r="K96" s="6" t="n">
        <x:f>IF(G96&gt;H96,1,0)</x:f>
        <x:v>1</x:v>
      </x:c>
      <x:c r="L96" s="6" t="n">
        <x:f>J96*K96</x:f>
        <x:v>1</x:v>
      </x:c>
    </x:row>
    <x:row r="97">
      <x:c r="A97" s="1" t="n">
        <x:v>763</x:v>
      </x:c>
      <x:c r="B97" s="5" t="d">
        <x:v>2015-01-12T00:00:00.000Z</x:v>
      </x:c>
      <x:c r="C97" s="1" t="str">
        <x:v>Standard Class</x:v>
      </x:c>
      <x:c r="D97" s="1" t="str">
        <x:v>LATAM</x:v>
      </x:c>
      <x:c r="E97" s="1" t="str">
        <x:v>COMPLETE</x:v>
      </x:c>
      <x:c r="F97" s="1" t="str">
        <x:v>Shipping on time</x:v>
      </x:c>
      <x:c r="G97" s="6" t="n">
        <x:v>4</x:v>
      </x:c>
      <x:c r="H97" s="6" t="n">
        <x:v>4</x:v>
      </x:c>
      <x:c r="I97" s="6" t="n">
        <x:f>G97-H97</x:f>
        <x:v>0</x:v>
      </x:c>
      <x:c r="J97" s="6" t="n">
        <x:f>IF(OR(E97="CANCELED",E97="SUSPECTED_FRAUD",F97="Shipping canceled"),0,1)</x:f>
        <x:v>1</x:v>
      </x:c>
      <x:c r="K97" s="6" t="n">
        <x:f>IF(G97&gt;H97,1,0)</x:f>
        <x:v>0</x:v>
      </x:c>
      <x:c r="L97" s="6" t="n">
        <x:f>J97*K97</x:f>
        <x:v>0</x:v>
      </x:c>
    </x:row>
    <x:row r="98">
      <x:c r="A98" s="1" t="n">
        <x:v>771</x:v>
      </x:c>
      <x:c r="B98" s="5" t="d">
        <x:v>2015-01-12T00:00:00.000Z</x:v>
      </x:c>
      <x:c r="C98" s="1" t="str">
        <x:v>Standard Class</x:v>
      </x:c>
      <x:c r="D98" s="1" t="str">
        <x:v>LATAM</x:v>
      </x:c>
      <x:c r="E98" s="1" t="str">
        <x:v>COMPLETE</x:v>
      </x:c>
      <x:c r="F98" s="1" t="str">
        <x:v>Advance shipping</x:v>
      </x:c>
      <x:c r="G98" s="6" t="n">
        <x:v>2</x:v>
      </x:c>
      <x:c r="H98" s="6" t="n">
        <x:v>4</x:v>
      </x:c>
      <x:c r="I98" s="6" t="n">
        <x:f>G98-H98</x:f>
        <x:v>-2</x:v>
      </x:c>
      <x:c r="J98" s="6" t="n">
        <x:f>IF(OR(E98="CANCELED",E98="SUSPECTED_FRAUD",F98="Shipping canceled"),0,1)</x:f>
        <x:v>1</x:v>
      </x:c>
      <x:c r="K98" s="6" t="n">
        <x:f>IF(G98&gt;H98,1,0)</x:f>
        <x:v>0</x:v>
      </x:c>
      <x:c r="L98" s="6" t="n">
        <x:f>J98*K98</x:f>
        <x:v>0</x:v>
      </x:c>
    </x:row>
    <x:row r="99">
      <x:c r="A99" s="1" t="n">
        <x:v>777</x:v>
      </x:c>
      <x:c r="B99" s="5" t="d">
        <x:v>2015-01-12T00:00:00.000Z</x:v>
      </x:c>
      <x:c r="C99" s="1" t="str">
        <x:v>Second Class</x:v>
      </x:c>
      <x:c r="D99" s="1" t="str">
        <x:v>LATAM</x:v>
      </x:c>
      <x:c r="E99" s="1" t="str">
        <x:v>ON_HOLD</x:v>
      </x:c>
      <x:c r="F99" s="1" t="str">
        <x:v>Late delivery</x:v>
      </x:c>
      <x:c r="G99" s="6" t="n">
        <x:v>3</x:v>
      </x:c>
      <x:c r="H99" s="6" t="n">
        <x:v>2</x:v>
      </x:c>
      <x:c r="I99" s="6" t="n">
        <x:f>G99-H99</x:f>
        <x:v>1</x:v>
      </x:c>
      <x:c r="J99" s="6" t="n">
        <x:f>IF(OR(E99="CANCELED",E99="SUSPECTED_FRAUD",F99="Shipping canceled"),0,1)</x:f>
        <x:v>1</x:v>
      </x:c>
      <x:c r="K99" s="6" t="n">
        <x:f>IF(G99&gt;H99,1,0)</x:f>
        <x:v>1</x:v>
      </x:c>
      <x:c r="L99" s="6" t="n">
        <x:f>J99*K99</x:f>
        <x:v>1</x:v>
      </x:c>
    </x:row>
    <x:row r="100">
      <x:c r="A100" s="1" t="n">
        <x:v>783</x:v>
      </x:c>
      <x:c r="B100" s="5" t="d">
        <x:v>2015-01-12T00:00:00.000Z</x:v>
      </x:c>
      <x:c r="C100" s="1" t="str">
        <x:v>Standard Class</x:v>
      </x:c>
      <x:c r="D100" s="1" t="str">
        <x:v>LATAM</x:v>
      </x:c>
      <x:c r="E100" s="1" t="str">
        <x:v>PROCESSING</x:v>
      </x:c>
      <x:c r="F100" s="1" t="str">
        <x:v>Shipping on time</x:v>
      </x:c>
      <x:c r="G100" s="6" t="n">
        <x:v>4</x:v>
      </x:c>
      <x:c r="H100" s="6" t="n">
        <x:v>4</x:v>
      </x:c>
      <x:c r="I100" s="6" t="n">
        <x:f>G100-H100</x:f>
        <x:v>0</x:v>
      </x:c>
      <x:c r="J100" s="6" t="n">
        <x:f>IF(OR(E100="CANCELED",E100="SUSPECTED_FRAUD",F100="Shipping canceled"),0,1)</x:f>
        <x:v>1</x:v>
      </x:c>
      <x:c r="K100" s="6" t="n">
        <x:f>IF(G100&gt;H100,1,0)</x:f>
        <x:v>0</x:v>
      </x:c>
      <x:c r="L100" s="6" t="n">
        <x:f>J100*K100</x:f>
        <x:v>0</x:v>
      </x:c>
    </x:row>
    <x:row r="101">
      <x:c r="A101" s="1" t="n">
        <x:v>788</x:v>
      </x:c>
      <x:c r="B101" s="5" t="d">
        <x:v>2015-01-12T00:00:00.000Z</x:v>
      </x:c>
      <x:c r="C101" s="1" t="str">
        <x:v>Standard Class</x:v>
      </x:c>
      <x:c r="D101" s="1" t="str">
        <x:v>LATAM</x:v>
      </x:c>
      <x:c r="E101" s="1" t="str">
        <x:v>PENDING</x:v>
      </x:c>
      <x:c r="F101" s="1" t="str">
        <x:v>Shipping on time</x:v>
      </x:c>
      <x:c r="G101" s="6" t="n">
        <x:v>4</x:v>
      </x:c>
      <x:c r="H101" s="6" t="n">
        <x:v>4</x:v>
      </x:c>
      <x:c r="I101" s="6" t="n">
        <x:f>G101-H101</x:f>
        <x:v>0</x:v>
      </x:c>
      <x:c r="J101" s="6" t="n">
        <x:f>IF(OR(E101="CANCELED",E101="SUSPECTED_FRAUD",F101="Shipping canceled"),0,1)</x:f>
        <x:v>1</x:v>
      </x:c>
      <x:c r="K101" s="6" t="n">
        <x:f>IF(G101&gt;H101,1,0)</x:f>
        <x:v>0</x:v>
      </x:c>
      <x:c r="L101" s="6" t="n">
        <x:f>J101*K101</x:f>
        <x:v>0</x:v>
      </x:c>
    </x:row>
    <x:row r="102">
      <x:c r="A102" s="1" t="n">
        <x:v>799</x:v>
      </x:c>
      <x:c r="B102" s="5" t="d">
        <x:v>2015-01-12T00:00:00.000Z</x:v>
      </x:c>
      <x:c r="C102" s="1" t="str">
        <x:v>Standard Class</x:v>
      </x:c>
      <x:c r="D102" s="1" t="str">
        <x:v>LATAM</x:v>
      </x:c>
      <x:c r="E102" s="1" t="str">
        <x:v>PENDING_PAYMENT</x:v>
      </x:c>
      <x:c r="F102" s="1" t="str">
        <x:v>Late delivery</x:v>
      </x:c>
      <x:c r="G102" s="6" t="n">
        <x:v>5</x:v>
      </x:c>
      <x:c r="H102" s="6" t="n">
        <x:v>4</x:v>
      </x:c>
      <x:c r="I102" s="6" t="n">
        <x:f>G102-H102</x:f>
        <x:v>1</x:v>
      </x:c>
      <x:c r="J102" s="6" t="n">
        <x:f>IF(OR(E102="CANCELED",E102="SUSPECTED_FRAUD",F102="Shipping canceled"),0,1)</x:f>
        <x:v>1</x:v>
      </x:c>
      <x:c r="K102" s="6" t="n">
        <x:f>IF(G102&gt;H102,1,0)</x:f>
        <x:v>1</x:v>
      </x:c>
      <x:c r="L102" s="6" t="n">
        <x:f>J102*K102</x:f>
        <x:v>1</x:v>
      </x:c>
    </x:row>
    <x:row r="103">
      <x:c r="A103" s="1" t="n">
        <x:v>800</x:v>
      </x:c>
      <x:c r="B103" s="5" t="d">
        <x:v>2015-01-12T00:00:00.000Z</x:v>
      </x:c>
      <x:c r="C103" s="1" t="str">
        <x:v>Standard Class</x:v>
      </x:c>
      <x:c r="D103" s="1" t="str">
        <x:v>LATAM</x:v>
      </x:c>
      <x:c r="E103" s="1" t="str">
        <x:v>COMPLETE</x:v>
      </x:c>
      <x:c r="F103" s="1" t="str">
        <x:v>Late delivery</x:v>
      </x:c>
      <x:c r="G103" s="6" t="n">
        <x:v>6</x:v>
      </x:c>
      <x:c r="H103" s="6" t="n">
        <x:v>4</x:v>
      </x:c>
      <x:c r="I103" s="6" t="n">
        <x:f>G103-H103</x:f>
        <x:v>2</x:v>
      </x:c>
      <x:c r="J103" s="6" t="n">
        <x:f>IF(OR(E103="CANCELED",E103="SUSPECTED_FRAUD",F103="Shipping canceled"),0,1)</x:f>
        <x:v>1</x:v>
      </x:c>
      <x:c r="K103" s="6" t="n">
        <x:f>IF(G103&gt;H103,1,0)</x:f>
        <x:v>1</x:v>
      </x:c>
      <x:c r="L103" s="6" t="n">
        <x:f>J103*K103</x:f>
        <x:v>1</x:v>
      </x:c>
    </x:row>
    <x:row r="104">
      <x:c r="A104" s="1" t="n">
        <x:v>802</x:v>
      </x:c>
      <x:c r="B104" s="5" t="d">
        <x:v>2015-01-12T00:00:00.000Z</x:v>
      </x:c>
      <x:c r="C104" s="1" t="str">
        <x:v>Standard Class</x:v>
      </x:c>
      <x:c r="D104" s="1" t="str">
        <x:v>LATAM</x:v>
      </x:c>
      <x:c r="E104" s="1" t="str">
        <x:v>COMPLETE</x:v>
      </x:c>
      <x:c r="F104" s="1" t="str">
        <x:v>Advance shipping</x:v>
      </x:c>
      <x:c r="G104" s="6" t="n">
        <x:v>3</x:v>
      </x:c>
      <x:c r="H104" s="6" t="n">
        <x:v>4</x:v>
      </x:c>
      <x:c r="I104" s="6" t="n">
        <x:f>G104-H104</x:f>
        <x:v>-1</x:v>
      </x:c>
      <x:c r="J104" s="6" t="n">
        <x:f>IF(OR(E104="CANCELED",E104="SUSPECTED_FRAUD",F104="Shipping canceled"),0,1)</x:f>
        <x:v>1</x:v>
      </x:c>
      <x:c r="K104" s="6" t="n">
        <x:f>IF(G104&gt;H104,1,0)</x:f>
        <x:v>0</x:v>
      </x:c>
      <x:c r="L104" s="6" t="n">
        <x:f>J104*K104</x:f>
        <x:v>0</x:v>
      </x:c>
    </x:row>
    <x:row r="105">
      <x:c r="A105" s="1" t="n">
        <x:v>808</x:v>
      </x:c>
      <x:c r="B105" s="5" t="d">
        <x:v>2015-01-12T00:00:00.000Z</x:v>
      </x:c>
      <x:c r="C105" s="1" t="str">
        <x:v>Standard Class</x:v>
      </x:c>
      <x:c r="D105" s="1" t="str">
        <x:v>LATAM</x:v>
      </x:c>
      <x:c r="E105" s="1" t="str">
        <x:v>PENDING_PAYMENT</x:v>
      </x:c>
      <x:c r="F105" s="1" t="str">
        <x:v>Shipping on time</x:v>
      </x:c>
      <x:c r="G105" s="6" t="n">
        <x:v>4</x:v>
      </x:c>
      <x:c r="H105" s="6" t="n">
        <x:v>4</x:v>
      </x:c>
      <x:c r="I105" s="6" t="n">
        <x:f>G105-H105</x:f>
        <x:v>0</x:v>
      </x:c>
      <x:c r="J105" s="6" t="n">
        <x:f>IF(OR(E105="CANCELED",E105="SUSPECTED_FRAUD",F105="Shipping canceled"),0,1)</x:f>
        <x:v>1</x:v>
      </x:c>
      <x:c r="K105" s="6" t="n">
        <x:f>IF(G105&gt;H105,1,0)</x:f>
        <x:v>0</x:v>
      </x:c>
      <x:c r="L105" s="6" t="n">
        <x:f>J105*K105</x:f>
        <x:v>0</x:v>
      </x:c>
    </x:row>
    <x:row r="106">
      <x:c r="A106" s="1" t="n">
        <x:v>809</x:v>
      </x:c>
      <x:c r="B106" s="5" t="d">
        <x:v>2015-01-12T00:00:00.000Z</x:v>
      </x:c>
      <x:c r="C106" s="1" t="str">
        <x:v>Standard Class</x:v>
      </x:c>
      <x:c r="D106" s="1" t="str">
        <x:v>LATAM</x:v>
      </x:c>
      <x:c r="E106" s="1" t="str">
        <x:v>PROCESSING</x:v>
      </x:c>
      <x:c r="F106" s="1" t="str">
        <x:v>Late delivery</x:v>
      </x:c>
      <x:c r="G106" s="6" t="n">
        <x:v>5</x:v>
      </x:c>
      <x:c r="H106" s="6" t="n">
        <x:v>4</x:v>
      </x:c>
      <x:c r="I106" s="6" t="n">
        <x:f>G106-H106</x:f>
        <x:v>1</x:v>
      </x:c>
      <x:c r="J106" s="6" t="n">
        <x:f>IF(OR(E106="CANCELED",E106="SUSPECTED_FRAUD",F106="Shipping canceled"),0,1)</x:f>
        <x:v>1</x:v>
      </x:c>
      <x:c r="K106" s="6" t="n">
        <x:f>IF(G106&gt;H106,1,0)</x:f>
        <x:v>1</x:v>
      </x:c>
      <x:c r="L106" s="6" t="n">
        <x:f>J106*K106</x:f>
        <x:v>1</x:v>
      </x:c>
    </x:row>
    <x:row r="107">
      <x:c r="A107" s="1" t="n">
        <x:v>810</x:v>
      </x:c>
      <x:c r="B107" s="5" t="d">
        <x:v>2015-01-12T00:00:00.000Z</x:v>
      </x:c>
      <x:c r="C107" s="1" t="str">
        <x:v>Standard Class</x:v>
      </x:c>
      <x:c r="D107" s="1" t="str">
        <x:v>LATAM</x:v>
      </x:c>
      <x:c r="E107" s="1" t="str">
        <x:v>PENDING</x:v>
      </x:c>
      <x:c r="F107" s="1" t="str">
        <x:v>Late delivery</x:v>
      </x:c>
      <x:c r="G107" s="6" t="n">
        <x:v>6</x:v>
      </x:c>
      <x:c r="H107" s="6" t="n">
        <x:v>4</x:v>
      </x:c>
      <x:c r="I107" s="6" t="n">
        <x:f>G107-H107</x:f>
        <x:v>2</x:v>
      </x:c>
      <x:c r="J107" s="6" t="n">
        <x:f>IF(OR(E107="CANCELED",E107="SUSPECTED_FRAUD",F107="Shipping canceled"),0,1)</x:f>
        <x:v>1</x:v>
      </x:c>
      <x:c r="K107" s="6" t="n">
        <x:f>IF(G107&gt;H107,1,0)</x:f>
        <x:v>1</x:v>
      </x:c>
      <x:c r="L107" s="6" t="n">
        <x:f>J107*K107</x:f>
        <x:v>1</x:v>
      </x:c>
    </x:row>
    <x:row r="108">
      <x:c r="A108" s="1" t="n">
        <x:v>818</x:v>
      </x:c>
      <x:c r="B108" s="5" t="d">
        <x:v>2015-01-12T00:00:00.000Z</x:v>
      </x:c>
      <x:c r="C108" s="1" t="str">
        <x:v>First Class</x:v>
      </x:c>
      <x:c r="D108" s="1" t="str">
        <x:v>LATAM</x:v>
      </x:c>
      <x:c r="E108" s="1" t="str">
        <x:v>SUSPECTED_FRAUD</x:v>
      </x:c>
      <x:c r="F108" s="1" t="str">
        <x:v>Shipping canceled</x:v>
      </x:c>
      <x:c r="G108" s="6" t="n">
        <x:v>2</x:v>
      </x:c>
      <x:c r="H108" s="6" t="n">
        <x:v>1</x:v>
      </x:c>
      <x:c r="I108" s="6" t="n">
        <x:f>G108-H108</x:f>
        <x:v>1</x:v>
      </x:c>
      <x:c r="J108" s="6" t="n">
        <x:f>IF(OR(E108="CANCELED",E108="SUSPECTED_FRAUD",F108="Shipping canceled"),0,1)</x:f>
        <x:v>0</x:v>
      </x:c>
      <x:c r="K108" s="6" t="n">
        <x:f>IF(G108&gt;H108,1,0)</x:f>
        <x:v>1</x:v>
      </x:c>
      <x:c r="L108" s="6" t="n">
        <x:f>J108*K108</x:f>
        <x:v>0</x:v>
      </x:c>
    </x:row>
    <x:row r="109">
      <x:c r="A109" s="1" t="n">
        <x:v>823</x:v>
      </x:c>
      <x:c r="B109" s="5" t="d">
        <x:v>2015-01-12T00:00:00.000Z</x:v>
      </x:c>
      <x:c r="C109" s="1" t="str">
        <x:v>Standard Class</x:v>
      </x:c>
      <x:c r="D109" s="1" t="str">
        <x:v>LATAM</x:v>
      </x:c>
      <x:c r="E109" s="1" t="str">
        <x:v>CLOSED</x:v>
      </x:c>
      <x:c r="F109" s="1" t="str">
        <x:v>Shipping on time</x:v>
      </x:c>
      <x:c r="G109" s="6" t="n">
        <x:v>4</x:v>
      </x:c>
      <x:c r="H109" s="6" t="n">
        <x:v>4</x:v>
      </x:c>
      <x:c r="I109" s="6" t="n">
        <x:f>G109-H109</x:f>
        <x:v>0</x:v>
      </x:c>
      <x:c r="J109" s="6" t="n">
        <x:f>IF(OR(E109="CANCELED",E109="SUSPECTED_FRAUD",F109="Shipping canceled"),0,1)</x:f>
        <x:v>1</x:v>
      </x:c>
      <x:c r="K109" s="6" t="n">
        <x:f>IF(G109&gt;H109,1,0)</x:f>
        <x:v>0</x:v>
      </x:c>
      <x:c r="L109" s="6" t="n">
        <x:f>J109*K109</x:f>
        <x:v>0</x:v>
      </x:c>
    </x:row>
    <x:row r="110">
      <x:c r="A110" s="1" t="n">
        <x:v>826</x:v>
      </x:c>
      <x:c r="B110" s="5" t="d">
        <x:v>2015-01-13T00:00:00.000Z</x:v>
      </x:c>
      <x:c r="C110" s="1" t="str">
        <x:v>Standard Class</x:v>
      </x:c>
      <x:c r="D110" s="1" t="str">
        <x:v>LATAM</x:v>
      </x:c>
      <x:c r="E110" s="1" t="str">
        <x:v>COMPLETE</x:v>
      </x:c>
      <x:c r="F110" s="1" t="str">
        <x:v>Advance shipping</x:v>
      </x:c>
      <x:c r="G110" s="6" t="n">
        <x:v>2</x:v>
      </x:c>
      <x:c r="H110" s="6" t="n">
        <x:v>4</x:v>
      </x:c>
      <x:c r="I110" s="6" t="n">
        <x:f>G110-H110</x:f>
        <x:v>-2</x:v>
      </x:c>
      <x:c r="J110" s="6" t="n">
        <x:f>IF(OR(E110="CANCELED",E110="SUSPECTED_FRAUD",F110="Shipping canceled"),0,1)</x:f>
        <x:v>1</x:v>
      </x:c>
      <x:c r="K110" s="6" t="n">
        <x:f>IF(G110&gt;H110,1,0)</x:f>
        <x:v>0</x:v>
      </x:c>
      <x:c r="L110" s="6" t="n">
        <x:f>J110*K110</x:f>
        <x:v>0</x:v>
      </x:c>
    </x:row>
    <x:row r="111">
      <x:c r="A111" s="1" t="n">
        <x:v>850</x:v>
      </x:c>
      <x:c r="B111" s="5" t="d">
        <x:v>2015-01-13T00:00:00.000Z</x:v>
      </x:c>
      <x:c r="C111" s="1" t="str">
        <x:v>Standard Class</x:v>
      </x:c>
      <x:c r="D111" s="1" t="str">
        <x:v>LATAM</x:v>
      </x:c>
      <x:c r="E111" s="1" t="str">
        <x:v>PENDING</x:v>
      </x:c>
      <x:c r="F111" s="1" t="str">
        <x:v>Late delivery</x:v>
      </x:c>
      <x:c r="G111" s="6" t="n">
        <x:v>6</x:v>
      </x:c>
      <x:c r="H111" s="6" t="n">
        <x:v>4</x:v>
      </x:c>
      <x:c r="I111" s="6" t="n">
        <x:f>G111-H111</x:f>
        <x:v>2</x:v>
      </x:c>
      <x:c r="J111" s="6" t="n">
        <x:f>IF(OR(E111="CANCELED",E111="SUSPECTED_FRAUD",F111="Shipping canceled"),0,1)</x:f>
        <x:v>1</x:v>
      </x:c>
      <x:c r="K111" s="6" t="n">
        <x:f>IF(G111&gt;H111,1,0)</x:f>
        <x:v>1</x:v>
      </x:c>
      <x:c r="L111" s="6" t="n">
        <x:f>J111*K111</x:f>
        <x:v>1</x:v>
      </x:c>
    </x:row>
    <x:row r="112">
      <x:c r="A112" s="1" t="n">
        <x:v>856</x:v>
      </x:c>
      <x:c r="B112" s="5" t="d">
        <x:v>2015-01-13T00:00:00.000Z</x:v>
      </x:c>
      <x:c r="C112" s="1" t="str">
        <x:v>Second Class</x:v>
      </x:c>
      <x:c r="D112" s="1" t="str">
        <x:v>LATAM</x:v>
      </x:c>
      <x:c r="E112" s="1" t="str">
        <x:v>PROCESSING</x:v>
      </x:c>
      <x:c r="F112" s="1" t="str">
        <x:v>Shipping on time</x:v>
      </x:c>
      <x:c r="G112" s="6" t="n">
        <x:v>2</x:v>
      </x:c>
      <x:c r="H112" s="6" t="n">
        <x:v>2</x:v>
      </x:c>
      <x:c r="I112" s="6" t="n">
        <x:f>G112-H112</x:f>
        <x:v>0</x:v>
      </x:c>
      <x:c r="J112" s="6" t="n">
        <x:f>IF(OR(E112="CANCELED",E112="SUSPECTED_FRAUD",F112="Shipping canceled"),0,1)</x:f>
        <x:v>1</x:v>
      </x:c>
      <x:c r="K112" s="6" t="n">
        <x:f>IF(G112&gt;H112,1,0)</x:f>
        <x:v>0</x:v>
      </x:c>
      <x:c r="L112" s="6" t="n">
        <x:f>J112*K112</x:f>
        <x:v>0</x:v>
      </x:c>
    </x:row>
    <x:row r="113">
      <x:c r="A113" s="1" t="n">
        <x:v>863</x:v>
      </x:c>
      <x:c r="B113" s="5" t="d">
        <x:v>2015-01-13T00:00:00.000Z</x:v>
      </x:c>
      <x:c r="C113" s="1" t="str">
        <x:v>Standard Class</x:v>
      </x:c>
      <x:c r="D113" s="1" t="str">
        <x:v>LATAM</x:v>
      </x:c>
      <x:c r="E113" s="1" t="str">
        <x:v>COMPLETE</x:v>
      </x:c>
      <x:c r="F113" s="1" t="str">
        <x:v>Shipping on time</x:v>
      </x:c>
      <x:c r="G113" s="6" t="n">
        <x:v>4</x:v>
      </x:c>
      <x:c r="H113" s="6" t="n">
        <x:v>4</x:v>
      </x:c>
      <x:c r="I113" s="6" t="n">
        <x:f>G113-H113</x:f>
        <x:v>0</x:v>
      </x:c>
      <x:c r="J113" s="6" t="n">
        <x:f>IF(OR(E113="CANCELED",E113="SUSPECTED_FRAUD",F113="Shipping canceled"),0,1)</x:f>
        <x:v>1</x:v>
      </x:c>
      <x:c r="K113" s="6" t="n">
        <x:f>IF(G113&gt;H113,1,0)</x:f>
        <x:v>0</x:v>
      </x:c>
      <x:c r="L113" s="6" t="n">
        <x:f>J113*K113</x:f>
        <x:v>0</x:v>
      </x:c>
    </x:row>
    <x:row r="114">
      <x:c r="A114" s="1" t="n">
        <x:v>866</x:v>
      </x:c>
      <x:c r="B114" s="5" t="d">
        <x:v>2015-01-13T00:00:00.000Z</x:v>
      </x:c>
      <x:c r="C114" s="1" t="str">
        <x:v>Standard Class</x:v>
      </x:c>
      <x:c r="D114" s="1" t="str">
        <x:v>LATAM</x:v>
      </x:c>
      <x:c r="E114" s="1" t="str">
        <x:v>ON_HOLD</x:v>
      </x:c>
      <x:c r="F114" s="1" t="str">
        <x:v>Advance shipping</x:v>
      </x:c>
      <x:c r="G114" s="6" t="n">
        <x:v>2</x:v>
      </x:c>
      <x:c r="H114" s="6" t="n">
        <x:v>4</x:v>
      </x:c>
      <x:c r="I114" s="6" t="n">
        <x:f>G114-H114</x:f>
        <x:v>-2</x:v>
      </x:c>
      <x:c r="J114" s="6" t="n">
        <x:f>IF(OR(E114="CANCELED",E114="SUSPECTED_FRAUD",F114="Shipping canceled"),0,1)</x:f>
        <x:v>1</x:v>
      </x:c>
      <x:c r="K114" s="6" t="n">
        <x:f>IF(G114&gt;H114,1,0)</x:f>
        <x:v>0</x:v>
      </x:c>
      <x:c r="L114" s="6" t="n">
        <x:f>J114*K114</x:f>
        <x:v>0</x:v>
      </x:c>
    </x:row>
    <x:row r="115">
      <x:c r="A115" s="1" t="n">
        <x:v>867</x:v>
      </x:c>
      <x:c r="B115" s="5" t="d">
        <x:v>2015-01-13T00:00:00.000Z</x:v>
      </x:c>
      <x:c r="C115" s="1" t="str">
        <x:v>Standard Class</x:v>
      </x:c>
      <x:c r="D115" s="1" t="str">
        <x:v>LATAM</x:v>
      </x:c>
      <x:c r="E115" s="1" t="str">
        <x:v>COMPLETE</x:v>
      </x:c>
      <x:c r="F115" s="1" t="str">
        <x:v>Advance shipping</x:v>
      </x:c>
      <x:c r="G115" s="6" t="n">
        <x:v>3</x:v>
      </x:c>
      <x:c r="H115" s="6" t="n">
        <x:v>4</x:v>
      </x:c>
      <x:c r="I115" s="6" t="n">
        <x:f>G115-H115</x:f>
        <x:v>-1</x:v>
      </x:c>
      <x:c r="J115" s="6" t="n">
        <x:f>IF(OR(E115="CANCELED",E115="SUSPECTED_FRAUD",F115="Shipping canceled"),0,1)</x:f>
        <x:v>1</x:v>
      </x:c>
      <x:c r="K115" s="6" t="n">
        <x:f>IF(G115&gt;H115,1,0)</x:f>
        <x:v>0</x:v>
      </x:c>
      <x:c r="L115" s="6" t="n">
        <x:f>J115*K115</x:f>
        <x:v>0</x:v>
      </x:c>
    </x:row>
    <x:row r="116">
      <x:c r="A116" s="1" t="n">
        <x:v>868</x:v>
      </x:c>
      <x:c r="B116" s="5" t="d">
        <x:v>2015-01-13T00:00:00.000Z</x:v>
      </x:c>
      <x:c r="C116" s="1" t="str">
        <x:v>Standard Class</x:v>
      </x:c>
      <x:c r="D116" s="1" t="str">
        <x:v>LATAM</x:v>
      </x:c>
      <x:c r="E116" s="1" t="str">
        <x:v>PROCESSING</x:v>
      </x:c>
      <x:c r="F116" s="1" t="str">
        <x:v>Shipping on time</x:v>
      </x:c>
      <x:c r="G116" s="6" t="n">
        <x:v>4</x:v>
      </x:c>
      <x:c r="H116" s="6" t="n">
        <x:v>4</x:v>
      </x:c>
      <x:c r="I116" s="6" t="n">
        <x:f>G116-H116</x:f>
        <x:v>0</x:v>
      </x:c>
      <x:c r="J116" s="6" t="n">
        <x:f>IF(OR(E116="CANCELED",E116="SUSPECTED_FRAUD",F116="Shipping canceled"),0,1)</x:f>
        <x:v>1</x:v>
      </x:c>
      <x:c r="K116" s="6" t="n">
        <x:f>IF(G116&gt;H116,1,0)</x:f>
        <x:v>0</x:v>
      </x:c>
      <x:c r="L116" s="6" t="n">
        <x:f>J116*K116</x:f>
        <x:v>0</x:v>
      </x:c>
    </x:row>
    <x:row r="117">
      <x:c r="A117" s="1" t="n">
        <x:v>870</x:v>
      </x:c>
      <x:c r="B117" s="5" t="d">
        <x:v>2015-01-13T00:00:00.000Z</x:v>
      </x:c>
      <x:c r="C117" s="1" t="str">
        <x:v>Standard Class</x:v>
      </x:c>
      <x:c r="D117" s="1" t="str">
        <x:v>LATAM</x:v>
      </x:c>
      <x:c r="E117" s="1" t="str">
        <x:v>PENDING</x:v>
      </x:c>
      <x:c r="F117" s="1" t="str">
        <x:v>Late delivery</x:v>
      </x:c>
      <x:c r="G117" s="6" t="n">
        <x:v>6</x:v>
      </x:c>
      <x:c r="H117" s="6" t="n">
        <x:v>4</x:v>
      </x:c>
      <x:c r="I117" s="6" t="n">
        <x:f>G117-H117</x:f>
        <x:v>2</x:v>
      </x:c>
      <x:c r="J117" s="6" t="n">
        <x:f>IF(OR(E117="CANCELED",E117="SUSPECTED_FRAUD",F117="Shipping canceled"),0,1)</x:f>
        <x:v>1</x:v>
      </x:c>
      <x:c r="K117" s="6" t="n">
        <x:f>IF(G117&gt;H117,1,0)</x:f>
        <x:v>1</x:v>
      </x:c>
      <x:c r="L117" s="6" t="n">
        <x:f>J117*K117</x:f>
        <x:v>1</x:v>
      </x:c>
    </x:row>
    <x:row r="118">
      <x:c r="A118" s="1" t="n">
        <x:v>871</x:v>
      </x:c>
      <x:c r="B118" s="5" t="d">
        <x:v>2015-01-13T00:00:00.000Z</x:v>
      </x:c>
      <x:c r="C118" s="1" t="str">
        <x:v>Standard Class</x:v>
      </x:c>
      <x:c r="D118" s="1" t="str">
        <x:v>LATAM</x:v>
      </x:c>
      <x:c r="E118" s="1" t="str">
        <x:v>COMPLETE</x:v>
      </x:c>
      <x:c r="F118" s="1" t="str">
        <x:v>Advance shipping</x:v>
      </x:c>
      <x:c r="G118" s="6" t="n">
        <x:v>2</x:v>
      </x:c>
      <x:c r="H118" s="6" t="n">
        <x:v>4</x:v>
      </x:c>
      <x:c r="I118" s="6" t="n">
        <x:f>G118-H118</x:f>
        <x:v>-2</x:v>
      </x:c>
      <x:c r="J118" s="6" t="n">
        <x:f>IF(OR(E118="CANCELED",E118="SUSPECTED_FRAUD",F118="Shipping canceled"),0,1)</x:f>
        <x:v>1</x:v>
      </x:c>
      <x:c r="K118" s="6" t="n">
        <x:f>IF(G118&gt;H118,1,0)</x:f>
        <x:v>0</x:v>
      </x:c>
      <x:c r="L118" s="6" t="n">
        <x:f>J118*K118</x:f>
        <x:v>0</x:v>
      </x:c>
    </x:row>
    <x:row r="119">
      <x:c r="A119" s="1" t="n">
        <x:v>884</x:v>
      </x:c>
      <x:c r="B119" s="5" t="d">
        <x:v>2015-01-13T00:00:00.000Z</x:v>
      </x:c>
      <x:c r="C119" s="1" t="str">
        <x:v>Standard Class</x:v>
      </x:c>
      <x:c r="D119" s="1" t="str">
        <x:v>LATAM</x:v>
      </x:c>
      <x:c r="E119" s="1" t="str">
        <x:v>COMPLETE</x:v>
      </x:c>
      <x:c r="F119" s="1" t="str">
        <x:v>Late delivery</x:v>
      </x:c>
      <x:c r="G119" s="6" t="n">
        <x:v>5</x:v>
      </x:c>
      <x:c r="H119" s="6" t="n">
        <x:v>4</x:v>
      </x:c>
      <x:c r="I119" s="6" t="n">
        <x:f>G119-H119</x:f>
        <x:v>1</x:v>
      </x:c>
      <x:c r="J119" s="6" t="n">
        <x:f>IF(OR(E119="CANCELED",E119="SUSPECTED_FRAUD",F119="Shipping canceled"),0,1)</x:f>
        <x:v>1</x:v>
      </x:c>
      <x:c r="K119" s="6" t="n">
        <x:f>IF(G119&gt;H119,1,0)</x:f>
        <x:v>1</x:v>
      </x:c>
      <x:c r="L119" s="6" t="n">
        <x:f>J119*K119</x:f>
        <x:v>1</x:v>
      </x:c>
    </x:row>
    <x:row r="120">
      <x:c r="A120" s="1" t="n">
        <x:v>898</x:v>
      </x:c>
      <x:c r="B120" s="5" t="d">
        <x:v>2015-01-14T00:00:00.000Z</x:v>
      </x:c>
      <x:c r="C120" s="1" t="str">
        <x:v>Standard Class</x:v>
      </x:c>
      <x:c r="D120" s="1" t="str">
        <x:v>LATAM</x:v>
      </x:c>
      <x:c r="E120" s="1" t="str">
        <x:v>ON_HOLD</x:v>
      </x:c>
      <x:c r="F120" s="1" t="str">
        <x:v>Shipping on time</x:v>
      </x:c>
      <x:c r="G120" s="6" t="n">
        <x:v>4</x:v>
      </x:c>
      <x:c r="H120" s="6" t="n">
        <x:v>4</x:v>
      </x:c>
      <x:c r="I120" s="6" t="n">
        <x:f>G120-H120</x:f>
        <x:v>0</x:v>
      </x:c>
      <x:c r="J120" s="6" t="n">
        <x:f>IF(OR(E120="CANCELED",E120="SUSPECTED_FRAUD",F120="Shipping canceled"),0,1)</x:f>
        <x:v>1</x:v>
      </x:c>
      <x:c r="K120" s="6" t="n">
        <x:f>IF(G120&gt;H120,1,0)</x:f>
        <x:v>0</x:v>
      </x:c>
      <x:c r="L120" s="6" t="n">
        <x:f>J120*K120</x:f>
        <x:v>0</x:v>
      </x:c>
    </x:row>
    <x:row r="121">
      <x:c r="A121" s="1" t="n">
        <x:v>899</x:v>
      </x:c>
      <x:c r="B121" s="5" t="d">
        <x:v>2015-01-14T00:00:00.000Z</x:v>
      </x:c>
      <x:c r="C121" s="1" t="str">
        <x:v>Standard Class</x:v>
      </x:c>
      <x:c r="D121" s="1" t="str">
        <x:v>LATAM</x:v>
      </x:c>
      <x:c r="E121" s="1" t="str">
        <x:v>PENDING</x:v>
      </x:c>
      <x:c r="F121" s="1" t="str">
        <x:v>Late delivery</x:v>
      </x:c>
      <x:c r="G121" s="6" t="n">
        <x:v>5</x:v>
      </x:c>
      <x:c r="H121" s="6" t="n">
        <x:v>4</x:v>
      </x:c>
      <x:c r="I121" s="6" t="n">
        <x:f>G121-H121</x:f>
        <x:v>1</x:v>
      </x:c>
      <x:c r="J121" s="6" t="n">
        <x:f>IF(OR(E121="CANCELED",E121="SUSPECTED_FRAUD",F121="Shipping canceled"),0,1)</x:f>
        <x:v>1</x:v>
      </x:c>
      <x:c r="K121" s="6" t="n">
        <x:f>IF(G121&gt;H121,1,0)</x:f>
        <x:v>1</x:v>
      </x:c>
      <x:c r="L121" s="6" t="n">
        <x:f>J121*K121</x:f>
        <x:v>1</x:v>
      </x:c>
    </x:row>
    <x:row r="122">
      <x:c r="A122" s="1" t="n">
        <x:v>904</x:v>
      </x:c>
      <x:c r="B122" s="5" t="d">
        <x:v>2015-01-14T00:00:00.000Z</x:v>
      </x:c>
      <x:c r="C122" s="1" t="str">
        <x:v>Standard Class</x:v>
      </x:c>
      <x:c r="D122" s="1" t="str">
        <x:v>LATAM</x:v>
      </x:c>
      <x:c r="E122" s="1" t="str">
        <x:v>CLOSED</x:v>
      </x:c>
      <x:c r="F122" s="1" t="str">
        <x:v>Late delivery</x:v>
      </x:c>
      <x:c r="G122" s="6" t="n">
        <x:v>5</x:v>
      </x:c>
      <x:c r="H122" s="6" t="n">
        <x:v>4</x:v>
      </x:c>
      <x:c r="I122" s="6" t="n">
        <x:f>G122-H122</x:f>
        <x:v>1</x:v>
      </x:c>
      <x:c r="J122" s="6" t="n">
        <x:f>IF(OR(E122="CANCELED",E122="SUSPECTED_FRAUD",F122="Shipping canceled"),0,1)</x:f>
        <x:v>1</x:v>
      </x:c>
      <x:c r="K122" s="6" t="n">
        <x:f>IF(G122&gt;H122,1,0)</x:f>
        <x:v>1</x:v>
      </x:c>
      <x:c r="L122" s="6" t="n">
        <x:f>J122*K122</x:f>
        <x:v>1</x:v>
      </x:c>
    </x:row>
    <x:row r="123">
      <x:c r="A123" s="1" t="n">
        <x:v>906</x:v>
      </x:c>
      <x:c r="B123" s="5" t="d">
        <x:v>2015-01-14T00:00:00.000Z</x:v>
      </x:c>
      <x:c r="C123" s="1" t="str">
        <x:v>Standard Class</x:v>
      </x:c>
      <x:c r="D123" s="1" t="str">
        <x:v>LATAM</x:v>
      </x:c>
      <x:c r="E123" s="1" t="str">
        <x:v>PROCESSING</x:v>
      </x:c>
      <x:c r="F123" s="1" t="str">
        <x:v>Advance shipping</x:v>
      </x:c>
      <x:c r="G123" s="6" t="n">
        <x:v>2</x:v>
      </x:c>
      <x:c r="H123" s="6" t="n">
        <x:v>4</x:v>
      </x:c>
      <x:c r="I123" s="6" t="n">
        <x:f>G123-H123</x:f>
        <x:v>-2</x:v>
      </x:c>
      <x:c r="J123" s="6" t="n">
        <x:f>IF(OR(E123="CANCELED",E123="SUSPECTED_FRAUD",F123="Shipping canceled"),0,1)</x:f>
        <x:v>1</x:v>
      </x:c>
      <x:c r="K123" s="6" t="n">
        <x:f>IF(G123&gt;H123,1,0)</x:f>
        <x:v>0</x:v>
      </x:c>
      <x:c r="L123" s="6" t="n">
        <x:f>J123*K123</x:f>
        <x:v>0</x:v>
      </x:c>
    </x:row>
    <x:row r="124">
      <x:c r="A124" s="1" t="n">
        <x:v>907</x:v>
      </x:c>
      <x:c r="B124" s="5" t="d">
        <x:v>2015-01-14T00:00:00.000Z</x:v>
      </x:c>
      <x:c r="C124" s="1" t="str">
        <x:v>Standard Class</x:v>
      </x:c>
      <x:c r="D124" s="1" t="str">
        <x:v>LATAM</x:v>
      </x:c>
      <x:c r="E124" s="1" t="str">
        <x:v>COMPLETE</x:v>
      </x:c>
      <x:c r="F124" s="1" t="str">
        <x:v>Advance shipping</x:v>
      </x:c>
      <x:c r="G124" s="6" t="n">
        <x:v>3</x:v>
      </x:c>
      <x:c r="H124" s="6" t="n">
        <x:v>4</x:v>
      </x:c>
      <x:c r="I124" s="6" t="n">
        <x:f>G124-H124</x:f>
        <x:v>-1</x:v>
      </x:c>
      <x:c r="J124" s="6" t="n">
        <x:f>IF(OR(E124="CANCELED",E124="SUSPECTED_FRAUD",F124="Shipping canceled"),0,1)</x:f>
        <x:v>1</x:v>
      </x:c>
      <x:c r="K124" s="6" t="n">
        <x:f>IF(G124&gt;H124,1,0)</x:f>
        <x:v>0</x:v>
      </x:c>
      <x:c r="L124" s="6" t="n">
        <x:f>J124*K124</x:f>
        <x:v>0</x:v>
      </x:c>
    </x:row>
    <x:row r="125">
      <x:c r="A125" s="1" t="n">
        <x:v>918</x:v>
      </x:c>
      <x:c r="B125" s="5" t="d">
        <x:v>2015-01-14T00:00:00.000Z</x:v>
      </x:c>
      <x:c r="C125" s="1" t="str">
        <x:v>Standard Class</x:v>
      </x:c>
      <x:c r="D125" s="1" t="str">
        <x:v>LATAM</x:v>
      </x:c>
      <x:c r="E125" s="1" t="str">
        <x:v>PENDING_PAYMENT</x:v>
      </x:c>
      <x:c r="F125" s="1" t="str">
        <x:v>Shipping on time</x:v>
      </x:c>
      <x:c r="G125" s="6" t="n">
        <x:v>4</x:v>
      </x:c>
      <x:c r="H125" s="6" t="n">
        <x:v>4</x:v>
      </x:c>
      <x:c r="I125" s="6" t="n">
        <x:f>G125-H125</x:f>
        <x:v>0</x:v>
      </x:c>
      <x:c r="J125" s="6" t="n">
        <x:f>IF(OR(E125="CANCELED",E125="SUSPECTED_FRAUD",F125="Shipping canceled"),0,1)</x:f>
        <x:v>1</x:v>
      </x:c>
      <x:c r="K125" s="6" t="n">
        <x:f>IF(G125&gt;H125,1,0)</x:f>
        <x:v>0</x:v>
      </x:c>
      <x:c r="L125" s="6" t="n">
        <x:f>J125*K125</x:f>
        <x:v>0</x:v>
      </x:c>
    </x:row>
    <x:row r="126">
      <x:c r="A126" s="1" t="n">
        <x:v>919</x:v>
      </x:c>
      <x:c r="B126" s="5" t="d">
        <x:v>2015-01-14T00:00:00.000Z</x:v>
      </x:c>
      <x:c r="C126" s="1" t="str">
        <x:v>Second Class</x:v>
      </x:c>
      <x:c r="D126" s="1" t="str">
        <x:v>LATAM</x:v>
      </x:c>
      <x:c r="E126" s="1" t="str">
        <x:v>COMPLETE</x:v>
      </x:c>
      <x:c r="F126" s="1" t="str">
        <x:v>Late delivery</x:v>
      </x:c>
      <x:c r="G126" s="6" t="n">
        <x:v>5</x:v>
      </x:c>
      <x:c r="H126" s="6" t="n">
        <x:v>2</x:v>
      </x:c>
      <x:c r="I126" s="6" t="n">
        <x:f>G126-H126</x:f>
        <x:v>3</x:v>
      </x:c>
      <x:c r="J126" s="6" t="n">
        <x:f>IF(OR(E126="CANCELED",E126="SUSPECTED_FRAUD",F126="Shipping canceled"),0,1)</x:f>
        <x:v>1</x:v>
      </x:c>
      <x:c r="K126" s="6" t="n">
        <x:f>IF(G126&gt;H126,1,0)</x:f>
        <x:v>1</x:v>
      </x:c>
      <x:c r="L126" s="6" t="n">
        <x:f>J126*K126</x:f>
        <x:v>1</x:v>
      </x:c>
    </x:row>
    <x:row r="127">
      <x:c r="A127" s="1" t="n">
        <x:v>927</x:v>
      </x:c>
      <x:c r="B127" s="5" t="d">
        <x:v>2015-01-14T00:00:00.000Z</x:v>
      </x:c>
      <x:c r="C127" s="1" t="str">
        <x:v>Standard Class</x:v>
      </x:c>
      <x:c r="D127" s="1" t="str">
        <x:v>LATAM</x:v>
      </x:c>
      <x:c r="E127" s="1" t="str">
        <x:v>COMPLETE</x:v>
      </x:c>
      <x:c r="F127" s="1" t="str">
        <x:v>Advance shipping</x:v>
      </x:c>
      <x:c r="G127" s="6" t="n">
        <x:v>3</x:v>
      </x:c>
      <x:c r="H127" s="6" t="n">
        <x:v>4</x:v>
      </x:c>
      <x:c r="I127" s="6" t="n">
        <x:f>G127-H127</x:f>
        <x:v>-1</x:v>
      </x:c>
      <x:c r="J127" s="6" t="n">
        <x:f>IF(OR(E127="CANCELED",E127="SUSPECTED_FRAUD",F127="Shipping canceled"),0,1)</x:f>
        <x:v>1</x:v>
      </x:c>
      <x:c r="K127" s="6" t="n">
        <x:f>IF(G127&gt;H127,1,0)</x:f>
        <x:v>0</x:v>
      </x:c>
      <x:c r="L127" s="6" t="n">
        <x:f>J127*K127</x:f>
        <x:v>0</x:v>
      </x:c>
    </x:row>
    <x:row r="128">
      <x:c r="A128" s="1" t="n">
        <x:v>936</x:v>
      </x:c>
      <x:c r="B128" s="5" t="d">
        <x:v>2015-01-14T00:00:00.000Z</x:v>
      </x:c>
      <x:c r="C128" s="1" t="str">
        <x:v>Second Class</x:v>
      </x:c>
      <x:c r="D128" s="1" t="str">
        <x:v>LATAM</x:v>
      </x:c>
      <x:c r="E128" s="1" t="str">
        <x:v>COMPLETE</x:v>
      </x:c>
      <x:c r="F128" s="1" t="str">
        <x:v>Shipping on time</x:v>
      </x:c>
      <x:c r="G128" s="6" t="n">
        <x:v>2</x:v>
      </x:c>
      <x:c r="H128" s="6" t="n">
        <x:v>2</x:v>
      </x:c>
      <x:c r="I128" s="6" t="n">
        <x:f>G128-H128</x:f>
        <x:v>0</x:v>
      </x:c>
      <x:c r="J128" s="6" t="n">
        <x:f>IF(OR(E128="CANCELED",E128="SUSPECTED_FRAUD",F128="Shipping canceled"),0,1)</x:f>
        <x:v>1</x:v>
      </x:c>
      <x:c r="K128" s="6" t="n">
        <x:f>IF(G128&gt;H128,1,0)</x:f>
        <x:v>0</x:v>
      </x:c>
      <x:c r="L128" s="6" t="n">
        <x:f>J128*K128</x:f>
        <x:v>0</x:v>
      </x:c>
    </x:row>
    <x:row r="129">
      <x:c r="A129" s="1" t="n">
        <x:v>957</x:v>
      </x:c>
      <x:c r="B129" s="5" t="d">
        <x:v>2015-01-14T00:00:00.000Z</x:v>
      </x:c>
      <x:c r="C129" s="1" t="str">
        <x:v>First Class</x:v>
      </x:c>
      <x:c r="D129" s="1" t="str">
        <x:v>LATAM</x:v>
      </x:c>
      <x:c r="E129" s="1" t="str">
        <x:v>PENDING</x:v>
      </x:c>
      <x:c r="F129" s="1" t="str">
        <x:v>Late delivery</x:v>
      </x:c>
      <x:c r="G129" s="6" t="n">
        <x:v>2</x:v>
      </x:c>
      <x:c r="H129" s="6" t="n">
        <x:v>1</x:v>
      </x:c>
      <x:c r="I129" s="6" t="n">
        <x:f>G129-H129</x:f>
        <x:v>1</x:v>
      </x:c>
      <x:c r="J129" s="6" t="n">
        <x:f>IF(OR(E129="CANCELED",E129="SUSPECTED_FRAUD",F129="Shipping canceled"),0,1)</x:f>
        <x:v>1</x:v>
      </x:c>
      <x:c r="K129" s="6" t="n">
        <x:f>IF(G129&gt;H129,1,0)</x:f>
        <x:v>1</x:v>
      </x:c>
      <x:c r="L129" s="6" t="n">
        <x:f>J129*K129</x:f>
        <x:v>1</x:v>
      </x:c>
    </x:row>
    <x:row r="130">
      <x:c r="A130" s="1" t="n">
        <x:v>965</x:v>
      </x:c>
      <x:c r="B130" s="5" t="d">
        <x:v>2015-01-15T00:00:00.000Z</x:v>
      </x:c>
      <x:c r="C130" s="1" t="str">
        <x:v>Second Class</x:v>
      </x:c>
      <x:c r="D130" s="1" t="str">
        <x:v>LATAM</x:v>
      </x:c>
      <x:c r="E130" s="1" t="str">
        <x:v>ON_HOLD</x:v>
      </x:c>
      <x:c r="F130" s="1" t="str">
        <x:v>Late delivery</x:v>
      </x:c>
      <x:c r="G130" s="6" t="n">
        <x:v>6</x:v>
      </x:c>
      <x:c r="H130" s="6" t="n">
        <x:v>2</x:v>
      </x:c>
      <x:c r="I130" s="6" t="n">
        <x:f>G130-H130</x:f>
        <x:v>4</x:v>
      </x:c>
      <x:c r="J130" s="6" t="n">
        <x:f>IF(OR(E130="CANCELED",E130="SUSPECTED_FRAUD",F130="Shipping canceled"),0,1)</x:f>
        <x:v>1</x:v>
      </x:c>
      <x:c r="K130" s="6" t="n">
        <x:f>IF(G130&gt;H130,1,0)</x:f>
        <x:v>1</x:v>
      </x:c>
      <x:c r="L130" s="6" t="n">
        <x:f>J130*K130</x:f>
        <x:v>1</x:v>
      </x:c>
    </x:row>
    <x:row r="131">
      <x:c r="A131" s="1" t="n">
        <x:v>970</x:v>
      </x:c>
      <x:c r="B131" s="5" t="d">
        <x:v>2015-01-15T00:00:00.000Z</x:v>
      </x:c>
      <x:c r="C131" s="1" t="str">
        <x:v>Standard Class</x:v>
      </x:c>
      <x:c r="D131" s="1" t="str">
        <x:v>LATAM</x:v>
      </x:c>
      <x:c r="E131" s="1" t="str">
        <x:v>PENDING</x:v>
      </x:c>
      <x:c r="F131" s="1" t="str">
        <x:v>Late delivery</x:v>
      </x:c>
      <x:c r="G131" s="6" t="n">
        <x:v>6</x:v>
      </x:c>
      <x:c r="H131" s="6" t="n">
        <x:v>4</x:v>
      </x:c>
      <x:c r="I131" s="6" t="n">
        <x:f>G131-H131</x:f>
        <x:v>2</x:v>
      </x:c>
      <x:c r="J131" s="6" t="n">
        <x:f>IF(OR(E131="CANCELED",E131="SUSPECTED_FRAUD",F131="Shipping canceled"),0,1)</x:f>
        <x:v>1</x:v>
      </x:c>
      <x:c r="K131" s="6" t="n">
        <x:f>IF(G131&gt;H131,1,0)</x:f>
        <x:v>1</x:v>
      </x:c>
      <x:c r="L131" s="6" t="n">
        <x:f>J131*K131</x:f>
        <x:v>1</x:v>
      </x:c>
    </x:row>
    <x:row r="132">
      <x:c r="A132" s="1" t="n">
        <x:v>972</x:v>
      </x:c>
      <x:c r="B132" s="5" t="d">
        <x:v>2015-01-15T00:00:00.000Z</x:v>
      </x:c>
      <x:c r="C132" s="1" t="str">
        <x:v>First Class</x:v>
      </x:c>
      <x:c r="D132" s="1" t="str">
        <x:v>LATAM</x:v>
      </x:c>
      <x:c r="E132" s="1" t="str">
        <x:v>CLOSED</x:v>
      </x:c>
      <x:c r="F132" s="1" t="str">
        <x:v>Late delivery</x:v>
      </x:c>
      <x:c r="G132" s="6" t="n">
        <x:v>2</x:v>
      </x:c>
      <x:c r="H132" s="6" t="n">
        <x:v>1</x:v>
      </x:c>
      <x:c r="I132" s="6" t="n">
        <x:f>G132-H132</x:f>
        <x:v>1</x:v>
      </x:c>
      <x:c r="J132" s="6" t="n">
        <x:f>IF(OR(E132="CANCELED",E132="SUSPECTED_FRAUD",F132="Shipping canceled"),0,1)</x:f>
        <x:v>1</x:v>
      </x:c>
      <x:c r="K132" s="6" t="n">
        <x:f>IF(G132&gt;H132,1,0)</x:f>
        <x:v>1</x:v>
      </x:c>
      <x:c r="L132" s="6" t="n">
        <x:f>J132*K132</x:f>
        <x:v>1</x:v>
      </x:c>
    </x:row>
    <x:row r="133">
      <x:c r="A133" s="1" t="n">
        <x:v>973</x:v>
      </x:c>
      <x:c r="B133" s="5" t="d">
        <x:v>2015-01-15T00:00:00.000Z</x:v>
      </x:c>
      <x:c r="C133" s="1" t="str">
        <x:v>Standard Class</x:v>
      </x:c>
      <x:c r="D133" s="1" t="str">
        <x:v>LATAM</x:v>
      </x:c>
      <x:c r="E133" s="1" t="str">
        <x:v>PENDING</x:v>
      </x:c>
      <x:c r="F133" s="1" t="str">
        <x:v>Shipping on time</x:v>
      </x:c>
      <x:c r="G133" s="6" t="n">
        <x:v>4</x:v>
      </x:c>
      <x:c r="H133" s="6" t="n">
        <x:v>4</x:v>
      </x:c>
      <x:c r="I133" s="6" t="n">
        <x:f>G133-H133</x:f>
        <x:v>0</x:v>
      </x:c>
      <x:c r="J133" s="6" t="n">
        <x:f>IF(OR(E133="CANCELED",E133="SUSPECTED_FRAUD",F133="Shipping canceled"),0,1)</x:f>
        <x:v>1</x:v>
      </x:c>
      <x:c r="K133" s="6" t="n">
        <x:f>IF(G133&gt;H133,1,0)</x:f>
        <x:v>0</x:v>
      </x:c>
      <x:c r="L133" s="6" t="n">
        <x:f>J133*K133</x:f>
        <x:v>0</x:v>
      </x:c>
    </x:row>
    <x:row r="134">
      <x:c r="A134" s="1" t="n">
        <x:v>974</x:v>
      </x:c>
      <x:c r="B134" s="5" t="d">
        <x:v>2015-01-15T00:00:00.000Z</x:v>
      </x:c>
      <x:c r="C134" s="1" t="str">
        <x:v>Second Class</x:v>
      </x:c>
      <x:c r="D134" s="1" t="str">
        <x:v>LATAM</x:v>
      </x:c>
      <x:c r="E134" s="1" t="str">
        <x:v>CLOSED</x:v>
      </x:c>
      <x:c r="F134" s="1" t="str">
        <x:v>Late delivery</x:v>
      </x:c>
      <x:c r="G134" s="6" t="n">
        <x:v>5</x:v>
      </x:c>
      <x:c r="H134" s="6" t="n">
        <x:v>2</x:v>
      </x:c>
      <x:c r="I134" s="6" t="n">
        <x:f>G134-H134</x:f>
        <x:v>3</x:v>
      </x:c>
      <x:c r="J134" s="6" t="n">
        <x:f>IF(OR(E134="CANCELED",E134="SUSPECTED_FRAUD",F134="Shipping canceled"),0,1)</x:f>
        <x:v>1</x:v>
      </x:c>
      <x:c r="K134" s="6" t="n">
        <x:f>IF(G134&gt;H134,1,0)</x:f>
        <x:v>1</x:v>
      </x:c>
      <x:c r="L134" s="6" t="n">
        <x:f>J134*K134</x:f>
        <x:v>1</x:v>
      </x:c>
    </x:row>
    <x:row r="135">
      <x:c r="A135" s="1" t="n">
        <x:v>984</x:v>
      </x:c>
      <x:c r="B135" s="5" t="d">
        <x:v>2015-01-15T00:00:00.000Z</x:v>
      </x:c>
      <x:c r="C135" s="1" t="str">
        <x:v>Standard Class</x:v>
      </x:c>
      <x:c r="D135" s="1" t="str">
        <x:v>LATAM</x:v>
      </x:c>
      <x:c r="E135" s="1" t="str">
        <x:v>ON_HOLD</x:v>
      </x:c>
      <x:c r="F135" s="1" t="str">
        <x:v>Late delivery</x:v>
      </x:c>
      <x:c r="G135" s="6" t="n">
        <x:v>5</x:v>
      </x:c>
      <x:c r="H135" s="6" t="n">
        <x:v>4</x:v>
      </x:c>
      <x:c r="I135" s="6" t="n">
        <x:f>G135-H135</x:f>
        <x:v>1</x:v>
      </x:c>
      <x:c r="J135" s="6" t="n">
        <x:f>IF(OR(E135="CANCELED",E135="SUSPECTED_FRAUD",F135="Shipping canceled"),0,1)</x:f>
        <x:v>1</x:v>
      </x:c>
      <x:c r="K135" s="6" t="n">
        <x:f>IF(G135&gt;H135,1,0)</x:f>
        <x:v>1</x:v>
      </x:c>
      <x:c r="L135" s="6" t="n">
        <x:f>J135*K135</x:f>
        <x:v>1</x:v>
      </x:c>
    </x:row>
    <x:row r="136">
      <x:c r="A136" s="1" t="n">
        <x:v>994</x:v>
      </x:c>
      <x:c r="B136" s="5" t="d">
        <x:v>2015-01-15T00:00:00.000Z</x:v>
      </x:c>
      <x:c r="C136" s="1" t="str">
        <x:v>First Class</x:v>
      </x:c>
      <x:c r="D136" s="1" t="str">
        <x:v>LATAM</x:v>
      </x:c>
      <x:c r="E136" s="1" t="str">
        <x:v>PROCESSING</x:v>
      </x:c>
      <x:c r="F136" s="1" t="str">
        <x:v>Late delivery</x:v>
      </x:c>
      <x:c r="G136" s="6" t="n">
        <x:v>2</x:v>
      </x:c>
      <x:c r="H136" s="6" t="n">
        <x:v>1</x:v>
      </x:c>
      <x:c r="I136" s="6" t="n">
        <x:f>G136-H136</x:f>
        <x:v>1</x:v>
      </x:c>
      <x:c r="J136" s="6" t="n">
        <x:f>IF(OR(E136="CANCELED",E136="SUSPECTED_FRAUD",F136="Shipping canceled"),0,1)</x:f>
        <x:v>1</x:v>
      </x:c>
      <x:c r="K136" s="6" t="n">
        <x:f>IF(G136&gt;H136,1,0)</x:f>
        <x:v>1</x:v>
      </x:c>
      <x:c r="L136" s="6" t="n">
        <x:f>J136*K136</x:f>
        <x:v>1</x:v>
      </x:c>
    </x:row>
    <x:row r="137">
      <x:c r="A137" s="1" t="n">
        <x:v>1010</x:v>
      </x:c>
      <x:c r="B137" s="5" t="d">
        <x:v>2015-01-15T00:00:00.000Z</x:v>
      </x:c>
      <x:c r="C137" s="1" t="str">
        <x:v>Standard Class</x:v>
      </x:c>
      <x:c r="D137" s="1" t="str">
        <x:v>LATAM</x:v>
      </x:c>
      <x:c r="E137" s="1" t="str">
        <x:v>COMPLETE</x:v>
      </x:c>
      <x:c r="F137" s="1" t="str">
        <x:v>Late delivery</x:v>
      </x:c>
      <x:c r="G137" s="6" t="n">
        <x:v>6</x:v>
      </x:c>
      <x:c r="H137" s="6" t="n">
        <x:v>4</x:v>
      </x:c>
      <x:c r="I137" s="6" t="n">
        <x:f>G137-H137</x:f>
        <x:v>2</x:v>
      </x:c>
      <x:c r="J137" s="6" t="n">
        <x:f>IF(OR(E137="CANCELED",E137="SUSPECTED_FRAUD",F137="Shipping canceled"),0,1)</x:f>
        <x:v>1</x:v>
      </x:c>
      <x:c r="K137" s="6" t="n">
        <x:f>IF(G137&gt;H137,1,0)</x:f>
        <x:v>1</x:v>
      </x:c>
      <x:c r="L137" s="6" t="n">
        <x:f>J137*K137</x:f>
        <x:v>1</x:v>
      </x:c>
    </x:row>
    <x:row r="138">
      <x:c r="A138" s="1" t="n">
        <x:v>1011</x:v>
      </x:c>
      <x:c r="B138" s="5" t="d">
        <x:v>2015-01-15T00:00:00.000Z</x:v>
      </x:c>
      <x:c r="C138" s="1" t="str">
        <x:v>Standard Class</x:v>
      </x:c>
      <x:c r="D138" s="1" t="str">
        <x:v>LATAM</x:v>
      </x:c>
      <x:c r="E138" s="1" t="str">
        <x:v>COMPLETE</x:v>
      </x:c>
      <x:c r="F138" s="1" t="str">
        <x:v>Advance shipping</x:v>
      </x:c>
      <x:c r="G138" s="6" t="n">
        <x:v>2</x:v>
      </x:c>
      <x:c r="H138" s="6" t="n">
        <x:v>4</x:v>
      </x:c>
      <x:c r="I138" s="6" t="n">
        <x:f>G138-H138</x:f>
        <x:v>-2</x:v>
      </x:c>
      <x:c r="J138" s="6" t="n">
        <x:f>IF(OR(E138="CANCELED",E138="SUSPECTED_FRAUD",F138="Shipping canceled"),0,1)</x:f>
        <x:v>1</x:v>
      </x:c>
      <x:c r="K138" s="6" t="n">
        <x:f>IF(G138&gt;H138,1,0)</x:f>
        <x:v>0</x:v>
      </x:c>
      <x:c r="L138" s="6" t="n">
        <x:f>J138*K138</x:f>
        <x:v>0</x:v>
      </x:c>
    </x:row>
    <x:row r="139">
      <x:c r="A139" s="1" t="n">
        <x:v>1028</x:v>
      </x:c>
      <x:c r="B139" s="5" t="d">
        <x:v>2015-01-15T00:00:00.000Z</x:v>
      </x:c>
      <x:c r="C139" s="1" t="str">
        <x:v>Standard Class</x:v>
      </x:c>
      <x:c r="D139" s="1" t="str">
        <x:v>LATAM</x:v>
      </x:c>
      <x:c r="E139" s="1" t="str">
        <x:v>PENDING</x:v>
      </x:c>
      <x:c r="F139" s="1" t="str">
        <x:v>Shipping on time</x:v>
      </x:c>
      <x:c r="G139" s="6" t="n">
        <x:v>4</x:v>
      </x:c>
      <x:c r="H139" s="6" t="n">
        <x:v>4</x:v>
      </x:c>
      <x:c r="I139" s="6" t="n">
        <x:f>G139-H139</x:f>
        <x:v>0</x:v>
      </x:c>
      <x:c r="J139" s="6" t="n">
        <x:f>IF(OR(E139="CANCELED",E139="SUSPECTED_FRAUD",F139="Shipping canceled"),0,1)</x:f>
        <x:v>1</x:v>
      </x:c>
      <x:c r="K139" s="6" t="n">
        <x:f>IF(G139&gt;H139,1,0)</x:f>
        <x:v>0</x:v>
      </x:c>
      <x:c r="L139" s="6" t="n">
        <x:f>J139*K139</x:f>
        <x:v>0</x:v>
      </x:c>
    </x:row>
    <x:row r="140">
      <x:c r="A140" s="1" t="n">
        <x:v>1071</x:v>
      </x:c>
      <x:c r="B140" s="5" t="d">
        <x:v>2015-01-16T00:00:00.000Z</x:v>
      </x:c>
      <x:c r="C140" s="1" t="str">
        <x:v>First Class</x:v>
      </x:c>
      <x:c r="D140" s="1" t="str">
        <x:v>LATAM</x:v>
      </x:c>
      <x:c r="E140" s="1" t="str">
        <x:v>CLOSED</x:v>
      </x:c>
      <x:c r="F140" s="1" t="str">
        <x:v>Late delivery</x:v>
      </x:c>
      <x:c r="G140" s="6" t="n">
        <x:v>2</x:v>
      </x:c>
      <x:c r="H140" s="6" t="n">
        <x:v>1</x:v>
      </x:c>
      <x:c r="I140" s="6" t="n">
        <x:f>G140-H140</x:f>
        <x:v>1</x:v>
      </x:c>
      <x:c r="J140" s="6" t="n">
        <x:f>IF(OR(E140="CANCELED",E140="SUSPECTED_FRAUD",F140="Shipping canceled"),0,1)</x:f>
        <x:v>1</x:v>
      </x:c>
      <x:c r="K140" s="6" t="n">
        <x:f>IF(G140&gt;H140,1,0)</x:f>
        <x:v>1</x:v>
      </x:c>
      <x:c r="L140" s="6" t="n">
        <x:f>J140*K140</x:f>
        <x:v>1</x:v>
      </x:c>
    </x:row>
    <x:row r="141">
      <x:c r="A141" s="1" t="n">
        <x:v>1077</x:v>
      </x:c>
      <x:c r="B141" s="5" t="d">
        <x:v>2015-01-16T00:00:00.000Z</x:v>
      </x:c>
      <x:c r="C141" s="1" t="str">
        <x:v>Second Class</x:v>
      </x:c>
      <x:c r="D141" s="1" t="str">
        <x:v>LATAM</x:v>
      </x:c>
      <x:c r="E141" s="1" t="str">
        <x:v>COMPLETE</x:v>
      </x:c>
      <x:c r="F141" s="1" t="str">
        <x:v>Late delivery</x:v>
      </x:c>
      <x:c r="G141" s="6" t="n">
        <x:v>3</x:v>
      </x:c>
      <x:c r="H141" s="6" t="n">
        <x:v>2</x:v>
      </x:c>
      <x:c r="I141" s="6" t="n">
        <x:f>G141-H141</x:f>
        <x:v>1</x:v>
      </x:c>
      <x:c r="J141" s="6" t="n">
        <x:f>IF(OR(E141="CANCELED",E141="SUSPECTED_FRAUD",F141="Shipping canceled"),0,1)</x:f>
        <x:v>1</x:v>
      </x:c>
      <x:c r="K141" s="6" t="n">
        <x:f>IF(G141&gt;H141,1,0)</x:f>
        <x:v>1</x:v>
      </x:c>
      <x:c r="L141" s="6" t="n">
        <x:f>J141*K141</x:f>
        <x:v>1</x:v>
      </x:c>
    </x:row>
    <x:row r="142">
      <x:c r="A142" s="1" t="n">
        <x:v>1081</x:v>
      </x:c>
      <x:c r="B142" s="5" t="d">
        <x:v>2015-01-16T00:00:00.000Z</x:v>
      </x:c>
      <x:c r="C142" s="1" t="str">
        <x:v>Second Class</x:v>
      </x:c>
      <x:c r="D142" s="1" t="str">
        <x:v>LATAM</x:v>
      </x:c>
      <x:c r="E142" s="1" t="str">
        <x:v>COMPLETE</x:v>
      </x:c>
      <x:c r="F142" s="1" t="str">
        <x:v>Shipping on time</x:v>
      </x:c>
      <x:c r="G142" s="6" t="n">
        <x:v>2</x:v>
      </x:c>
      <x:c r="H142" s="6" t="n">
        <x:v>2</x:v>
      </x:c>
      <x:c r="I142" s="6" t="n">
        <x:f>G142-H142</x:f>
        <x:v>0</x:v>
      </x:c>
      <x:c r="J142" s="6" t="n">
        <x:f>IF(OR(E142="CANCELED",E142="SUSPECTED_FRAUD",F142="Shipping canceled"),0,1)</x:f>
        <x:v>1</x:v>
      </x:c>
      <x:c r="K142" s="6" t="n">
        <x:f>IF(G142&gt;H142,1,0)</x:f>
        <x:v>0</x:v>
      </x:c>
      <x:c r="L142" s="6" t="n">
        <x:f>J142*K142</x:f>
        <x:v>0</x:v>
      </x:c>
    </x:row>
    <x:row r="143">
      <x:c r="A143" s="1" t="n">
        <x:v>1083</x:v>
      </x:c>
      <x:c r="B143" s="5" t="d">
        <x:v>2015-01-16T00:00:00.000Z</x:v>
      </x:c>
      <x:c r="C143" s="1" t="str">
        <x:v>Standard Class</x:v>
      </x:c>
      <x:c r="D143" s="1" t="str">
        <x:v>LATAM</x:v>
      </x:c>
      <x:c r="E143" s="1" t="str">
        <x:v>SUSPECTED_FRAUD</x:v>
      </x:c>
      <x:c r="F143" s="1" t="str">
        <x:v>Shipping canceled</x:v>
      </x:c>
      <x:c r="G143" s="6" t="n">
        <x:v>4</x:v>
      </x:c>
      <x:c r="H143" s="6" t="n">
        <x:v>4</x:v>
      </x:c>
      <x:c r="I143" s="6" t="n">
        <x:f>G143-H143</x:f>
        <x:v>0</x:v>
      </x:c>
      <x:c r="J143" s="6" t="n">
        <x:f>IF(OR(E143="CANCELED",E143="SUSPECTED_FRAUD",F143="Shipping canceled"),0,1)</x:f>
        <x:v>0</x:v>
      </x:c>
      <x:c r="K143" s="6" t="n">
        <x:f>IF(G143&gt;H143,1,0)</x:f>
        <x:v>0</x:v>
      </x:c>
      <x:c r="L143" s="6" t="n">
        <x:f>J143*K143</x:f>
        <x:v>0</x:v>
      </x:c>
    </x:row>
    <x:row r="144">
      <x:c r="A144" s="1" t="n">
        <x:v>1084</x:v>
      </x:c>
      <x:c r="B144" s="5" t="d">
        <x:v>2015-01-16T00:00:00.000Z</x:v>
      </x:c>
      <x:c r="C144" s="1" t="str">
        <x:v>Standard Class</x:v>
      </x:c>
      <x:c r="D144" s="1" t="str">
        <x:v>LATAM</x:v>
      </x:c>
      <x:c r="E144" s="1" t="str">
        <x:v>PENDING_PAYMENT</x:v>
      </x:c>
      <x:c r="F144" s="1" t="str">
        <x:v>Late delivery</x:v>
      </x:c>
      <x:c r="G144" s="6" t="n">
        <x:v>5</x:v>
      </x:c>
      <x:c r="H144" s="6" t="n">
        <x:v>4</x:v>
      </x:c>
      <x:c r="I144" s="6" t="n">
        <x:f>G144-H144</x:f>
        <x:v>1</x:v>
      </x:c>
      <x:c r="J144" s="6" t="n">
        <x:f>IF(OR(E144="CANCELED",E144="SUSPECTED_FRAUD",F144="Shipping canceled"),0,1)</x:f>
        <x:v>1</x:v>
      </x:c>
      <x:c r="K144" s="6" t="n">
        <x:f>IF(G144&gt;H144,1,0)</x:f>
        <x:v>1</x:v>
      </x:c>
      <x:c r="L144" s="6" t="n">
        <x:f>J144*K144</x:f>
        <x:v>1</x:v>
      </x:c>
    </x:row>
    <x:row r="145">
      <x:c r="A145" s="1" t="n">
        <x:v>1086</x:v>
      </x:c>
      <x:c r="B145" s="5" t="d">
        <x:v>2015-01-16T00:00:00.000Z</x:v>
      </x:c>
      <x:c r="C145" s="1" t="str">
        <x:v>Standard Class</x:v>
      </x:c>
      <x:c r="D145" s="1" t="str">
        <x:v>LATAM</x:v>
      </x:c>
      <x:c r="E145" s="1" t="str">
        <x:v>PROCESSING</x:v>
      </x:c>
      <x:c r="F145" s="1" t="str">
        <x:v>Advance shipping</x:v>
      </x:c>
      <x:c r="G145" s="6" t="n">
        <x:v>2</x:v>
      </x:c>
      <x:c r="H145" s="6" t="n">
        <x:v>4</x:v>
      </x:c>
      <x:c r="I145" s="6" t="n">
        <x:f>G145-H145</x:f>
        <x:v>-2</x:v>
      </x:c>
      <x:c r="J145" s="6" t="n">
        <x:f>IF(OR(E145="CANCELED",E145="SUSPECTED_FRAUD",F145="Shipping canceled"),0,1)</x:f>
        <x:v>1</x:v>
      </x:c>
      <x:c r="K145" s="6" t="n">
        <x:f>IF(G145&gt;H145,1,0)</x:f>
        <x:v>0</x:v>
      </x:c>
      <x:c r="L145" s="6" t="n">
        <x:f>J145*K145</x:f>
        <x:v>0</x:v>
      </x:c>
    </x:row>
    <x:row r="146">
      <x:c r="A146" s="1" t="n">
        <x:v>1097</x:v>
      </x:c>
      <x:c r="B146" s="5" t="d">
        <x:v>2015-01-16T00:00:00.000Z</x:v>
      </x:c>
      <x:c r="C146" s="1" t="str">
        <x:v>Standard Class</x:v>
      </x:c>
      <x:c r="D146" s="1" t="str">
        <x:v>LATAM</x:v>
      </x:c>
      <x:c r="E146" s="1" t="str">
        <x:v>COMPLETE</x:v>
      </x:c>
      <x:c r="F146" s="1" t="str">
        <x:v>Advance shipping</x:v>
      </x:c>
      <x:c r="G146" s="6" t="n">
        <x:v>3</x:v>
      </x:c>
      <x:c r="H146" s="6" t="n">
        <x:v>4</x:v>
      </x:c>
      <x:c r="I146" s="6" t="n">
        <x:f>G146-H146</x:f>
        <x:v>-1</x:v>
      </x:c>
      <x:c r="J146" s="6" t="n">
        <x:f>IF(OR(E146="CANCELED",E146="SUSPECTED_FRAUD",F146="Shipping canceled"),0,1)</x:f>
        <x:v>1</x:v>
      </x:c>
      <x:c r="K146" s="6" t="n">
        <x:f>IF(G146&gt;H146,1,0)</x:f>
        <x:v>0</x:v>
      </x:c>
      <x:c r="L146" s="6" t="n">
        <x:f>J146*K146</x:f>
        <x:v>0</x:v>
      </x:c>
    </x:row>
    <x:row r="147">
      <x:c r="A147" s="1" t="n">
        <x:v>1098</x:v>
      </x:c>
      <x:c r="B147" s="5" t="d">
        <x:v>2015-01-17T00:00:00.000Z</x:v>
      </x:c>
      <x:c r="C147" s="1" t="str">
        <x:v>Standard Class</x:v>
      </x:c>
      <x:c r="D147" s="1" t="str">
        <x:v>LATAM</x:v>
      </x:c>
      <x:c r="E147" s="1" t="str">
        <x:v>COMPLETE</x:v>
      </x:c>
      <x:c r="F147" s="1" t="str">
        <x:v>Shipping on time</x:v>
      </x:c>
      <x:c r="G147" s="6" t="n">
        <x:v>4</x:v>
      </x:c>
      <x:c r="H147" s="6" t="n">
        <x:v>4</x:v>
      </x:c>
      <x:c r="I147" s="6" t="n">
        <x:f>G147-H147</x:f>
        <x:v>0</x:v>
      </x:c>
      <x:c r="J147" s="6" t="n">
        <x:f>IF(OR(E147="CANCELED",E147="SUSPECTED_FRAUD",F147="Shipping canceled"),0,1)</x:f>
        <x:v>1</x:v>
      </x:c>
      <x:c r="K147" s="6" t="n">
        <x:f>IF(G147&gt;H147,1,0)</x:f>
        <x:v>0</x:v>
      </x:c>
      <x:c r="L147" s="6" t="n">
        <x:f>J147*K147</x:f>
        <x:v>0</x:v>
      </x:c>
    </x:row>
    <x:row r="148">
      <x:c r="A148" s="1" t="n">
        <x:v>1099</x:v>
      </x:c>
      <x:c r="B148" s="5" t="d">
        <x:v>2015-01-17T00:00:00.000Z</x:v>
      </x:c>
      <x:c r="C148" s="1" t="str">
        <x:v>Standard Class</x:v>
      </x:c>
      <x:c r="D148" s="1" t="str">
        <x:v>LATAM</x:v>
      </x:c>
      <x:c r="E148" s="1" t="str">
        <x:v>COMPLETE</x:v>
      </x:c>
      <x:c r="F148" s="1" t="str">
        <x:v>Late delivery</x:v>
      </x:c>
      <x:c r="G148" s="6" t="n">
        <x:v>5</x:v>
      </x:c>
      <x:c r="H148" s="6" t="n">
        <x:v>4</x:v>
      </x:c>
      <x:c r="I148" s="6" t="n">
        <x:f>G148-H148</x:f>
        <x:v>1</x:v>
      </x:c>
      <x:c r="J148" s="6" t="n">
        <x:f>IF(OR(E148="CANCELED",E148="SUSPECTED_FRAUD",F148="Shipping canceled"),0,1)</x:f>
        <x:v>1</x:v>
      </x:c>
      <x:c r="K148" s="6" t="n">
        <x:f>IF(G148&gt;H148,1,0)</x:f>
        <x:v>1</x:v>
      </x:c>
      <x:c r="L148" s="6" t="n">
        <x:f>J148*K148</x:f>
        <x:v>1</x:v>
      </x:c>
    </x:row>
    <x:row r="149">
      <x:c r="A149" s="1" t="n">
        <x:v>1105</x:v>
      </x:c>
      <x:c r="B149" s="5" t="d">
        <x:v>2015-01-17T00:00:00.000Z</x:v>
      </x:c>
      <x:c r="C149" s="1" t="str">
        <x:v>Standard Class</x:v>
      </x:c>
      <x:c r="D149" s="1" t="str">
        <x:v>LATAM</x:v>
      </x:c>
      <x:c r="E149" s="1" t="str">
        <x:v>PROCESSING</x:v>
      </x:c>
      <x:c r="F149" s="1" t="str">
        <x:v>Late delivery</x:v>
      </x:c>
      <x:c r="G149" s="6" t="n">
        <x:v>6</x:v>
      </x:c>
      <x:c r="H149" s="6" t="n">
        <x:v>4</x:v>
      </x:c>
      <x:c r="I149" s="6" t="n">
        <x:f>G149-H149</x:f>
        <x:v>2</x:v>
      </x:c>
      <x:c r="J149" s="6" t="n">
        <x:f>IF(OR(E149="CANCELED",E149="SUSPECTED_FRAUD",F149="Shipping canceled"),0,1)</x:f>
        <x:v>1</x:v>
      </x:c>
      <x:c r="K149" s="6" t="n">
        <x:f>IF(G149&gt;H149,1,0)</x:f>
        <x:v>1</x:v>
      </x:c>
      <x:c r="L149" s="6" t="n">
        <x:f>J149*K149</x:f>
        <x:v>1</x:v>
      </x:c>
    </x:row>
    <x:row r="150">
      <x:c r="A150" s="1" t="n">
        <x:v>1106</x:v>
      </x:c>
      <x:c r="B150" s="5" t="d">
        <x:v>2015-01-17T00:00:00.000Z</x:v>
      </x:c>
      <x:c r="C150" s="1" t="str">
        <x:v>Standard Class</x:v>
      </x:c>
      <x:c r="D150" s="1" t="str">
        <x:v>LATAM</x:v>
      </x:c>
      <x:c r="E150" s="1" t="str">
        <x:v>COMPLETE</x:v>
      </x:c>
      <x:c r="F150" s="1" t="str">
        <x:v>Advance shipping</x:v>
      </x:c>
      <x:c r="G150" s="6" t="n">
        <x:v>2</x:v>
      </x:c>
      <x:c r="H150" s="6" t="n">
        <x:v>4</x:v>
      </x:c>
      <x:c r="I150" s="6" t="n">
        <x:f>G150-H150</x:f>
        <x:v>-2</x:v>
      </x:c>
      <x:c r="J150" s="6" t="n">
        <x:f>IF(OR(E150="CANCELED",E150="SUSPECTED_FRAUD",F150="Shipping canceled"),0,1)</x:f>
        <x:v>1</x:v>
      </x:c>
      <x:c r="K150" s="6" t="n">
        <x:f>IF(G150&gt;H150,1,0)</x:f>
        <x:v>0</x:v>
      </x:c>
      <x:c r="L150" s="6" t="n">
        <x:f>J150*K150</x:f>
        <x:v>0</x:v>
      </x:c>
    </x:row>
    <x:row r="151">
      <x:c r="A151" s="1" t="n">
        <x:v>1124</x:v>
      </x:c>
      <x:c r="B151" s="5" t="d">
        <x:v>2015-01-17T00:00:00.000Z</x:v>
      </x:c>
      <x:c r="C151" s="1" t="str">
        <x:v>Standard Class</x:v>
      </x:c>
      <x:c r="D151" s="1" t="str">
        <x:v>LATAM</x:v>
      </x:c>
      <x:c r="E151" s="1" t="str">
        <x:v>ON_HOLD</x:v>
      </x:c>
      <x:c r="F151" s="1" t="str">
        <x:v>Late delivery</x:v>
      </x:c>
      <x:c r="G151" s="6" t="n">
        <x:v>5</x:v>
      </x:c>
      <x:c r="H151" s="6" t="n">
        <x:v>4</x:v>
      </x:c>
      <x:c r="I151" s="6" t="n">
        <x:f>G151-H151</x:f>
        <x:v>1</x:v>
      </x:c>
      <x:c r="J151" s="6" t="n">
        <x:f>IF(OR(E151="CANCELED",E151="SUSPECTED_FRAUD",F151="Shipping canceled"),0,1)</x:f>
        <x:v>1</x:v>
      </x:c>
      <x:c r="K151" s="6" t="n">
        <x:f>IF(G151&gt;H151,1,0)</x:f>
        <x:v>1</x:v>
      </x:c>
      <x:c r="L151" s="6" t="n">
        <x:f>J151*K151</x:f>
        <x:v>1</x:v>
      </x:c>
    </x:row>
    <x:row r="152">
      <x:c r="A152" s="1" t="n">
        <x:v>1129</x:v>
      </x:c>
      <x:c r="B152" s="5" t="d">
        <x:v>2015-01-17T00:00:00.000Z</x:v>
      </x:c>
      <x:c r="C152" s="1" t="str">
        <x:v>Standard Class</x:v>
      </x:c>
      <x:c r="D152" s="1" t="str">
        <x:v>LATAM</x:v>
      </x:c>
      <x:c r="E152" s="1" t="str">
        <x:v>PENDING_PAYMENT</x:v>
      </x:c>
      <x:c r="F152" s="1" t="str">
        <x:v>Late delivery</x:v>
      </x:c>
      <x:c r="G152" s="6" t="n">
        <x:v>5</x:v>
      </x:c>
      <x:c r="H152" s="6" t="n">
        <x:v>4</x:v>
      </x:c>
      <x:c r="I152" s="6" t="n">
        <x:f>G152-H152</x:f>
        <x:v>1</x:v>
      </x:c>
      <x:c r="J152" s="6" t="n">
        <x:f>IF(OR(E152="CANCELED",E152="SUSPECTED_FRAUD",F152="Shipping canceled"),0,1)</x:f>
        <x:v>1</x:v>
      </x:c>
      <x:c r="K152" s="6" t="n">
        <x:f>IF(G152&gt;H152,1,0)</x:f>
        <x:v>1</x:v>
      </x:c>
      <x:c r="L152" s="6" t="n">
        <x:f>J152*K152</x:f>
        <x:v>1</x:v>
      </x:c>
    </x:row>
    <x:row r="153">
      <x:c r="A153" s="1" t="n">
        <x:v>1132</x:v>
      </x:c>
      <x:c r="B153" s="5" t="d">
        <x:v>2015-01-17T00:00:00.000Z</x:v>
      </x:c>
      <x:c r="C153" s="1" t="str">
        <x:v>Second Class</x:v>
      </x:c>
      <x:c r="D153" s="1" t="str">
        <x:v>LATAM</x:v>
      </x:c>
      <x:c r="E153" s="1" t="str">
        <x:v>COMPLETE</x:v>
      </x:c>
      <x:c r="F153" s="1" t="str">
        <x:v>Late delivery</x:v>
      </x:c>
      <x:c r="G153" s="6" t="n">
        <x:v>3</x:v>
      </x:c>
      <x:c r="H153" s="6" t="n">
        <x:v>2</x:v>
      </x:c>
      <x:c r="I153" s="6" t="n">
        <x:f>G153-H153</x:f>
        <x:v>1</x:v>
      </x:c>
      <x:c r="J153" s="6" t="n">
        <x:f>IF(OR(E153="CANCELED",E153="SUSPECTED_FRAUD",F153="Shipping canceled"),0,1)</x:f>
        <x:v>1</x:v>
      </x:c>
      <x:c r="K153" s="6" t="n">
        <x:f>IF(G153&gt;H153,1,0)</x:f>
        <x:v>1</x:v>
      </x:c>
      <x:c r="L153" s="6" t="n">
        <x:f>J153*K153</x:f>
        <x:v>1</x:v>
      </x:c>
    </x:row>
    <x:row r="154">
      <x:c r="A154" s="1" t="n">
        <x:v>1147</x:v>
      </x:c>
      <x:c r="B154" s="5" t="d">
        <x:v>2015-01-17T00:00:00.000Z</x:v>
      </x:c>
      <x:c r="C154" s="1" t="str">
        <x:v>Standard Class</x:v>
      </x:c>
      <x:c r="D154" s="1" t="str">
        <x:v>LATAM</x:v>
      </x:c>
      <x:c r="E154" s="1" t="str">
        <x:v>CLOSED</x:v>
      </x:c>
      <x:c r="F154" s="1" t="str">
        <x:v>Advance shipping</x:v>
      </x:c>
      <x:c r="G154" s="6" t="n">
        <x:v>3</x:v>
      </x:c>
      <x:c r="H154" s="6" t="n">
        <x:v>4</x:v>
      </x:c>
      <x:c r="I154" s="6" t="n">
        <x:f>G154-H154</x:f>
        <x:v>-1</x:v>
      </x:c>
      <x:c r="J154" s="6" t="n">
        <x:f>IF(OR(E154="CANCELED",E154="SUSPECTED_FRAUD",F154="Shipping canceled"),0,1)</x:f>
        <x:v>1</x:v>
      </x:c>
      <x:c r="K154" s="6" t="n">
        <x:f>IF(G154&gt;H154,1,0)</x:f>
        <x:v>0</x:v>
      </x:c>
      <x:c r="L154" s="6" t="n">
        <x:f>J154*K154</x:f>
        <x:v>0</x:v>
      </x:c>
    </x:row>
    <x:row r="155">
      <x:c r="A155" s="1" t="n">
        <x:v>1149</x:v>
      </x:c>
      <x:c r="B155" s="5" t="d">
        <x:v>2015-01-17T00:00:00.000Z</x:v>
      </x:c>
      <x:c r="C155" s="1" t="str">
        <x:v>Standard Class</x:v>
      </x:c>
      <x:c r="D155" s="1" t="str">
        <x:v>LATAM</x:v>
      </x:c>
      <x:c r="E155" s="1" t="str">
        <x:v>COMPLETE</x:v>
      </x:c>
      <x:c r="F155" s="1" t="str">
        <x:v>Late delivery</x:v>
      </x:c>
      <x:c r="G155" s="6" t="n">
        <x:v>5</x:v>
      </x:c>
      <x:c r="H155" s="6" t="n">
        <x:v>4</x:v>
      </x:c>
      <x:c r="I155" s="6" t="n">
        <x:f>G155-H155</x:f>
        <x:v>1</x:v>
      </x:c>
      <x:c r="J155" s="6" t="n">
        <x:f>IF(OR(E155="CANCELED",E155="SUSPECTED_FRAUD",F155="Shipping canceled"),0,1)</x:f>
        <x:v>1</x:v>
      </x:c>
      <x:c r="K155" s="6" t="n">
        <x:f>IF(G155&gt;H155,1,0)</x:f>
        <x:v>1</x:v>
      </x:c>
      <x:c r="L155" s="6" t="n">
        <x:f>J155*K155</x:f>
        <x:v>1</x:v>
      </x:c>
    </x:row>
    <x:row r="156">
      <x:c r="A156" s="1" t="n">
        <x:v>1165</x:v>
      </x:c>
      <x:c r="B156" s="5" t="d">
        <x:v>2015-01-17T00:00:00.000Z</x:v>
      </x:c>
      <x:c r="C156" s="1" t="str">
        <x:v>Second Class</x:v>
      </x:c>
      <x:c r="D156" s="1" t="str">
        <x:v>LATAM</x:v>
      </x:c>
      <x:c r="E156" s="1" t="str">
        <x:v>COMPLETE</x:v>
      </x:c>
      <x:c r="F156" s="1" t="str">
        <x:v>Late delivery</x:v>
      </x:c>
      <x:c r="G156" s="6" t="n">
        <x:v>6</x:v>
      </x:c>
      <x:c r="H156" s="6" t="n">
        <x:v>2</x:v>
      </x:c>
      <x:c r="I156" s="6" t="n">
        <x:f>G156-H156</x:f>
        <x:v>4</x:v>
      </x:c>
      <x:c r="J156" s="6" t="n">
        <x:f>IF(OR(E156="CANCELED",E156="SUSPECTED_FRAUD",F156="Shipping canceled"),0,1)</x:f>
        <x:v>1</x:v>
      </x:c>
      <x:c r="K156" s="6" t="n">
        <x:f>IF(G156&gt;H156,1,0)</x:f>
        <x:v>1</x:v>
      </x:c>
      <x:c r="L156" s="6" t="n">
        <x:f>J156*K156</x:f>
        <x:v>1</x:v>
      </x:c>
    </x:row>
    <x:row r="157">
      <x:c r="A157" s="1" t="n">
        <x:v>1173</x:v>
      </x:c>
      <x:c r="B157" s="5" t="d">
        <x:v>2015-01-18T00:00:00.000Z</x:v>
      </x:c>
      <x:c r="C157" s="1" t="str">
        <x:v>Standard Class</x:v>
      </x:c>
      <x:c r="D157" s="1" t="str">
        <x:v>LATAM</x:v>
      </x:c>
      <x:c r="E157" s="1" t="str">
        <x:v>COMPLETE</x:v>
      </x:c>
      <x:c r="F157" s="1" t="str">
        <x:v>Shipping on time</x:v>
      </x:c>
      <x:c r="G157" s="6" t="n">
        <x:v>4</x:v>
      </x:c>
      <x:c r="H157" s="6" t="n">
        <x:v>4</x:v>
      </x:c>
      <x:c r="I157" s="6" t="n">
        <x:f>G157-H157</x:f>
        <x:v>0</x:v>
      </x:c>
      <x:c r="J157" s="6" t="n">
        <x:f>IF(OR(E157="CANCELED",E157="SUSPECTED_FRAUD",F157="Shipping canceled"),0,1)</x:f>
        <x:v>1</x:v>
      </x:c>
      <x:c r="K157" s="6" t="n">
        <x:f>IF(G157&gt;H157,1,0)</x:f>
        <x:v>0</x:v>
      </x:c>
      <x:c r="L157" s="6" t="n">
        <x:f>J157*K157</x:f>
        <x:v>0</x:v>
      </x:c>
    </x:row>
    <x:row r="158">
      <x:c r="A158" s="1" t="n">
        <x:v>1174</x:v>
      </x:c>
      <x:c r="B158" s="5" t="d">
        <x:v>2015-01-18T00:00:00.000Z</x:v>
      </x:c>
      <x:c r="C158" s="1" t="str">
        <x:v>Standard Class</x:v>
      </x:c>
      <x:c r="D158" s="1" t="str">
        <x:v>LATAM</x:v>
      </x:c>
      <x:c r="E158" s="1" t="str">
        <x:v>COMPLETE</x:v>
      </x:c>
      <x:c r="F158" s="1" t="str">
        <x:v>Late delivery</x:v>
      </x:c>
      <x:c r="G158" s="6" t="n">
        <x:v>5</x:v>
      </x:c>
      <x:c r="H158" s="6" t="n">
        <x:v>4</x:v>
      </x:c>
      <x:c r="I158" s="6" t="n">
        <x:f>G158-H158</x:f>
        <x:v>1</x:v>
      </x:c>
      <x:c r="J158" s="6" t="n">
        <x:f>IF(OR(E158="CANCELED",E158="SUSPECTED_FRAUD",F158="Shipping canceled"),0,1)</x:f>
        <x:v>1</x:v>
      </x:c>
      <x:c r="K158" s="6" t="n">
        <x:f>IF(G158&gt;H158,1,0)</x:f>
        <x:v>1</x:v>
      </x:c>
      <x:c r="L158" s="6" t="n">
        <x:f>J158*K158</x:f>
        <x:v>1</x:v>
      </x:c>
    </x:row>
    <x:row r="159">
      <x:c r="A159" s="1" t="n">
        <x:v>1186</x:v>
      </x:c>
      <x:c r="B159" s="5" t="d">
        <x:v>2015-01-18T00:00:00.000Z</x:v>
      </x:c>
      <x:c r="C159" s="1" t="str">
        <x:v>Standard Class</x:v>
      </x:c>
      <x:c r="D159" s="1" t="str">
        <x:v>LATAM</x:v>
      </x:c>
      <x:c r="E159" s="1" t="str">
        <x:v>CANCELED</x:v>
      </x:c>
      <x:c r="F159" s="1" t="str">
        <x:v>Shipping canceled</x:v>
      </x:c>
      <x:c r="G159" s="6" t="n">
        <x:v>2</x:v>
      </x:c>
      <x:c r="H159" s="6" t="n">
        <x:v>4</x:v>
      </x:c>
      <x:c r="I159" s="6" t="n">
        <x:f>G159-H159</x:f>
        <x:v>-2</x:v>
      </x:c>
      <x:c r="J159" s="6" t="n">
        <x:f>IF(OR(E159="CANCELED",E159="SUSPECTED_FRAUD",F159="Shipping canceled"),0,1)</x:f>
        <x:v>0</x:v>
      </x:c>
      <x:c r="K159" s="6" t="n">
        <x:f>IF(G159&gt;H159,1,0)</x:f>
        <x:v>0</x:v>
      </x:c>
      <x:c r="L159" s="6" t="n">
        <x:f>J159*K159</x:f>
        <x:v>0</x:v>
      </x:c>
    </x:row>
    <x:row r="160">
      <x:c r="A160" s="1" t="n">
        <x:v>1215</x:v>
      </x:c>
      <x:c r="B160" s="5" t="d">
        <x:v>2015-01-18T00:00:00.000Z</x:v>
      </x:c>
      <x:c r="C160" s="1" t="str">
        <x:v>Second Class</x:v>
      </x:c>
      <x:c r="D160" s="1" t="str">
        <x:v>LATAM</x:v>
      </x:c>
      <x:c r="E160" s="1" t="str">
        <x:v>COMPLETE</x:v>
      </x:c>
      <x:c r="F160" s="1" t="str">
        <x:v>Late delivery</x:v>
      </x:c>
      <x:c r="G160" s="6" t="n">
        <x:v>6</x:v>
      </x:c>
      <x:c r="H160" s="6" t="n">
        <x:v>2</x:v>
      </x:c>
      <x:c r="I160" s="6" t="n">
        <x:f>G160-H160</x:f>
        <x:v>4</x:v>
      </x:c>
      <x:c r="J160" s="6" t="n">
        <x:f>IF(OR(E160="CANCELED",E160="SUSPECTED_FRAUD",F160="Shipping canceled"),0,1)</x:f>
        <x:v>1</x:v>
      </x:c>
      <x:c r="K160" s="6" t="n">
        <x:f>IF(G160&gt;H160,1,0)</x:f>
        <x:v>1</x:v>
      </x:c>
      <x:c r="L160" s="6" t="n">
        <x:f>J160*K160</x:f>
        <x:v>1</x:v>
      </x:c>
    </x:row>
    <x:row r="161">
      <x:c r="A161" s="1" t="n">
        <x:v>1217</x:v>
      </x:c>
      <x:c r="B161" s="5" t="d">
        <x:v>2015-01-18T00:00:00.000Z</x:v>
      </x:c>
      <x:c r="C161" s="1" t="str">
        <x:v>Second Class</x:v>
      </x:c>
      <x:c r="D161" s="1" t="str">
        <x:v>LATAM</x:v>
      </x:c>
      <x:c r="E161" s="1" t="str">
        <x:v>COMPLETE</x:v>
      </x:c>
      <x:c r="F161" s="1" t="str">
        <x:v>Late delivery</x:v>
      </x:c>
      <x:c r="G161" s="6" t="n">
        <x:v>3</x:v>
      </x:c>
      <x:c r="H161" s="6" t="n">
        <x:v>2</x:v>
      </x:c>
      <x:c r="I161" s="6" t="n">
        <x:f>G161-H161</x:f>
        <x:v>1</x:v>
      </x:c>
      <x:c r="J161" s="6" t="n">
        <x:f>IF(OR(E161="CANCELED",E161="SUSPECTED_FRAUD",F161="Shipping canceled"),0,1)</x:f>
        <x:v>1</x:v>
      </x:c>
      <x:c r="K161" s="6" t="n">
        <x:f>IF(G161&gt;H161,1,0)</x:f>
        <x:v>1</x:v>
      </x:c>
      <x:c r="L161" s="6" t="n">
        <x:f>J161*K161</x:f>
        <x:v>1</x:v>
      </x:c>
    </x:row>
    <x:row r="162">
      <x:c r="A162" s="1" t="n">
        <x:v>1227</x:v>
      </x:c>
      <x:c r="B162" s="5" t="d">
        <x:v>2015-01-18T00:00:00.000Z</x:v>
      </x:c>
      <x:c r="C162" s="1" t="str">
        <x:v>Standard Class</x:v>
      </x:c>
      <x:c r="D162" s="1" t="str">
        <x:v>LATAM</x:v>
      </x:c>
      <x:c r="E162" s="1" t="str">
        <x:v>PENDING_PAYMENT</x:v>
      </x:c>
      <x:c r="F162" s="1" t="str">
        <x:v>Advance shipping</x:v>
      </x:c>
      <x:c r="G162" s="6" t="n">
        <x:v>3</x:v>
      </x:c>
      <x:c r="H162" s="6" t="n">
        <x:v>4</x:v>
      </x:c>
      <x:c r="I162" s="6" t="n">
        <x:f>G162-H162</x:f>
        <x:v>-1</x:v>
      </x:c>
      <x:c r="J162" s="6" t="n">
        <x:f>IF(OR(E162="CANCELED",E162="SUSPECTED_FRAUD",F162="Shipping canceled"),0,1)</x:f>
        <x:v>1</x:v>
      </x:c>
      <x:c r="K162" s="6" t="n">
        <x:f>IF(G162&gt;H162,1,0)</x:f>
        <x:v>0</x:v>
      </x:c>
      <x:c r="L162" s="6" t="n">
        <x:f>J162*K162</x:f>
        <x:v>0</x:v>
      </x:c>
    </x:row>
    <x:row r="163">
      <x:c r="A163" s="1" t="n">
        <x:v>1230</x:v>
      </x:c>
      <x:c r="B163" s="5" t="d">
        <x:v>2015-01-18T00:00:00.000Z</x:v>
      </x:c>
      <x:c r="C163" s="1" t="str">
        <x:v>Standard Class</x:v>
      </x:c>
      <x:c r="D163" s="1" t="str">
        <x:v>LATAM</x:v>
      </x:c>
      <x:c r="E163" s="1" t="str">
        <x:v>COMPLETE</x:v>
      </x:c>
      <x:c r="F163" s="1" t="str">
        <x:v>Late delivery</x:v>
      </x:c>
      <x:c r="G163" s="6" t="n">
        <x:v>6</x:v>
      </x:c>
      <x:c r="H163" s="6" t="n">
        <x:v>4</x:v>
      </x:c>
      <x:c r="I163" s="6" t="n">
        <x:f>G163-H163</x:f>
        <x:v>2</x:v>
      </x:c>
      <x:c r="J163" s="6" t="n">
        <x:f>IF(OR(E163="CANCELED",E163="SUSPECTED_FRAUD",F163="Shipping canceled"),0,1)</x:f>
        <x:v>1</x:v>
      </x:c>
      <x:c r="K163" s="6" t="n">
        <x:f>IF(G163&gt;H163,1,0)</x:f>
        <x:v>1</x:v>
      </x:c>
      <x:c r="L163" s="6" t="n">
        <x:f>J163*K163</x:f>
        <x:v>1</x:v>
      </x:c>
    </x:row>
    <x:row r="164">
      <x:c r="A164" s="1" t="n">
        <x:v>1231</x:v>
      </x:c>
      <x:c r="B164" s="5" t="d">
        <x:v>2015-01-18T00:00:00.000Z</x:v>
      </x:c>
      <x:c r="C164" s="1" t="str">
        <x:v>Standard Class</x:v>
      </x:c>
      <x:c r="D164" s="1" t="str">
        <x:v>LATAM</x:v>
      </x:c>
      <x:c r="E164" s="1" t="str">
        <x:v>PROCESSING</x:v>
      </x:c>
      <x:c r="F164" s="1" t="str">
        <x:v>Advance shipping</x:v>
      </x:c>
      <x:c r="G164" s="6" t="n">
        <x:v>2</x:v>
      </x:c>
      <x:c r="H164" s="6" t="n">
        <x:v>4</x:v>
      </x:c>
      <x:c r="I164" s="6" t="n">
        <x:f>G164-H164</x:f>
        <x:v>-2</x:v>
      </x:c>
      <x:c r="J164" s="6" t="n">
        <x:f>IF(OR(E164="CANCELED",E164="SUSPECTED_FRAUD",F164="Shipping canceled"),0,1)</x:f>
        <x:v>1</x:v>
      </x:c>
      <x:c r="K164" s="6" t="n">
        <x:f>IF(G164&gt;H164,1,0)</x:f>
        <x:v>0</x:v>
      </x:c>
      <x:c r="L164" s="6" t="n">
        <x:f>J164*K164</x:f>
        <x:v>0</x:v>
      </x:c>
    </x:row>
    <x:row r="165">
      <x:c r="A165" s="1" t="n">
        <x:v>1255</x:v>
      </x:c>
      <x:c r="B165" s="5" t="d">
        <x:v>2015-01-19T00:00:00.000Z</x:v>
      </x:c>
      <x:c r="C165" s="1" t="str">
        <x:v>Second Class</x:v>
      </x:c>
      <x:c r="D165" s="1" t="str">
        <x:v>LATAM</x:v>
      </x:c>
      <x:c r="E165" s="1" t="str">
        <x:v>COMPLETE</x:v>
      </x:c>
      <x:c r="F165" s="1" t="str">
        <x:v>Late delivery</x:v>
      </x:c>
      <x:c r="G165" s="6" t="n">
        <x:v>6</x:v>
      </x:c>
      <x:c r="H165" s="6" t="n">
        <x:v>2</x:v>
      </x:c>
      <x:c r="I165" s="6" t="n">
        <x:f>G165-H165</x:f>
        <x:v>4</x:v>
      </x:c>
      <x:c r="J165" s="6" t="n">
        <x:f>IF(OR(E165="CANCELED",E165="SUSPECTED_FRAUD",F165="Shipping canceled"),0,1)</x:f>
        <x:v>1</x:v>
      </x:c>
      <x:c r="K165" s="6" t="n">
        <x:f>IF(G165&gt;H165,1,0)</x:f>
        <x:v>1</x:v>
      </x:c>
      <x:c r="L165" s="6" t="n">
        <x:f>J165*K165</x:f>
        <x:v>1</x:v>
      </x:c>
    </x:row>
    <x:row r="166">
      <x:c r="A166" s="1" t="n">
        <x:v>1291</x:v>
      </x:c>
      <x:c r="B166" s="5" t="d">
        <x:v>2015-01-19T00:00:00.000Z</x:v>
      </x:c>
      <x:c r="C166" s="1" t="str">
        <x:v>Second Class</x:v>
      </x:c>
      <x:c r="D166" s="1" t="str">
        <x:v>LATAM</x:v>
      </x:c>
      <x:c r="E166" s="1" t="str">
        <x:v>COMPLETE</x:v>
      </x:c>
      <x:c r="F166" s="1" t="str">
        <x:v>Shipping on time</x:v>
      </x:c>
      <x:c r="G166" s="6" t="n">
        <x:v>2</x:v>
      </x:c>
      <x:c r="H166" s="6" t="n">
        <x:v>2</x:v>
      </x:c>
      <x:c r="I166" s="6" t="n">
        <x:f>G166-H166</x:f>
        <x:v>0</x:v>
      </x:c>
      <x:c r="J166" s="6" t="n">
        <x:f>IF(OR(E166="CANCELED",E166="SUSPECTED_FRAUD",F166="Shipping canceled"),0,1)</x:f>
        <x:v>1</x:v>
      </x:c>
      <x:c r="K166" s="6" t="n">
        <x:f>IF(G166&gt;H166,1,0)</x:f>
        <x:v>0</x:v>
      </x:c>
      <x:c r="L166" s="6" t="n">
        <x:f>J166*K166</x:f>
        <x:v>0</x:v>
      </x:c>
    </x:row>
    <x:row r="167">
      <x:c r="A167" s="1" t="n">
        <x:v>1311</x:v>
      </x:c>
      <x:c r="B167" s="5" t="d">
        <x:v>2015-01-20T00:00:00.000Z</x:v>
      </x:c>
      <x:c r="C167" s="1" t="str">
        <x:v>Standard Class</x:v>
      </x:c>
      <x:c r="D167" s="1" t="str">
        <x:v>LATAM</x:v>
      </x:c>
      <x:c r="E167" s="1" t="str">
        <x:v>PENDING_PAYMENT</x:v>
      </x:c>
      <x:c r="F167" s="1" t="str">
        <x:v>Advance shipping</x:v>
      </x:c>
      <x:c r="G167" s="6" t="n">
        <x:v>2</x:v>
      </x:c>
      <x:c r="H167" s="6" t="n">
        <x:v>4</x:v>
      </x:c>
      <x:c r="I167" s="6" t="n">
        <x:f>G167-H167</x:f>
        <x:v>-2</x:v>
      </x:c>
      <x:c r="J167" s="6" t="n">
        <x:f>IF(OR(E167="CANCELED",E167="SUSPECTED_FRAUD",F167="Shipping canceled"),0,1)</x:f>
        <x:v>1</x:v>
      </x:c>
      <x:c r="K167" s="6" t="n">
        <x:f>IF(G167&gt;H167,1,0)</x:f>
        <x:v>0</x:v>
      </x:c>
      <x:c r="L167" s="6" t="n">
        <x:f>J167*K167</x:f>
        <x:v>0</x:v>
      </x:c>
    </x:row>
    <x:row r="168">
      <x:c r="A168" s="1" t="n">
        <x:v>1317</x:v>
      </x:c>
      <x:c r="B168" s="5" t="d">
        <x:v>2015-01-20T00:00:00.000Z</x:v>
      </x:c>
      <x:c r="C168" s="1" t="str">
        <x:v>Standard Class</x:v>
      </x:c>
      <x:c r="D168" s="1" t="str">
        <x:v>LATAM</x:v>
      </x:c>
      <x:c r="E168" s="1" t="str">
        <x:v>PENDING</x:v>
      </x:c>
      <x:c r="F168" s="1" t="str">
        <x:v>Advance shipping</x:v>
      </x:c>
      <x:c r="G168" s="6" t="n">
        <x:v>3</x:v>
      </x:c>
      <x:c r="H168" s="6" t="n">
        <x:v>4</x:v>
      </x:c>
      <x:c r="I168" s="6" t="n">
        <x:f>G168-H168</x:f>
        <x:v>-1</x:v>
      </x:c>
      <x:c r="J168" s="6" t="n">
        <x:f>IF(OR(E168="CANCELED",E168="SUSPECTED_FRAUD",F168="Shipping canceled"),0,1)</x:f>
        <x:v>1</x:v>
      </x:c>
      <x:c r="K168" s="6" t="n">
        <x:f>IF(G168&gt;H168,1,0)</x:f>
        <x:v>0</x:v>
      </x:c>
      <x:c r="L168" s="6" t="n">
        <x:f>J168*K168</x:f>
        <x:v>0</x:v>
      </x:c>
    </x:row>
    <x:row r="169">
      <x:c r="A169" s="1" t="n">
        <x:v>1327</x:v>
      </x:c>
      <x:c r="B169" s="5" t="d">
        <x:v>2015-01-20T00:00:00.000Z</x:v>
      </x:c>
      <x:c r="C169" s="1" t="str">
        <x:v>Second Class</x:v>
      </x:c>
      <x:c r="D169" s="1" t="str">
        <x:v>LATAM</x:v>
      </x:c>
      <x:c r="E169" s="1" t="str">
        <x:v>COMPLETE</x:v>
      </x:c>
      <x:c r="F169" s="1" t="str">
        <x:v>Late delivery</x:v>
      </x:c>
      <x:c r="G169" s="6" t="n">
        <x:v>3</x:v>
      </x:c>
      <x:c r="H169" s="6" t="n">
        <x:v>2</x:v>
      </x:c>
      <x:c r="I169" s="6" t="n">
        <x:f>G169-H169</x:f>
        <x:v>1</x:v>
      </x:c>
      <x:c r="J169" s="6" t="n">
        <x:f>IF(OR(E169="CANCELED",E169="SUSPECTED_FRAUD",F169="Shipping canceled"),0,1)</x:f>
        <x:v>1</x:v>
      </x:c>
      <x:c r="K169" s="6" t="n">
        <x:f>IF(G169&gt;H169,1,0)</x:f>
        <x:v>1</x:v>
      </x:c>
      <x:c r="L169" s="6" t="n">
        <x:f>J169*K169</x:f>
        <x:v>1</x:v>
      </x:c>
    </x:row>
    <x:row r="170">
      <x:c r="A170" s="1" t="n">
        <x:v>1337</x:v>
      </x:c>
      <x:c r="B170" s="5" t="d">
        <x:v>2015-01-20T00:00:00.000Z</x:v>
      </x:c>
      <x:c r="C170" s="1" t="str">
        <x:v>Second Class</x:v>
      </x:c>
      <x:c r="D170" s="1" t="str">
        <x:v>LATAM</x:v>
      </x:c>
      <x:c r="E170" s="1" t="str">
        <x:v>COMPLETE</x:v>
      </x:c>
      <x:c r="F170" s="1" t="str">
        <x:v>Late delivery</x:v>
      </x:c>
      <x:c r="G170" s="6" t="n">
        <x:v>3</x:v>
      </x:c>
      <x:c r="H170" s="6" t="n">
        <x:v>2</x:v>
      </x:c>
      <x:c r="I170" s="6" t="n">
        <x:f>G170-H170</x:f>
        <x:v>1</x:v>
      </x:c>
      <x:c r="J170" s="6" t="n">
        <x:f>IF(OR(E170="CANCELED",E170="SUSPECTED_FRAUD",F170="Shipping canceled"),0,1)</x:f>
        <x:v>1</x:v>
      </x:c>
      <x:c r="K170" s="6" t="n">
        <x:f>IF(G170&gt;H170,1,0)</x:f>
        <x:v>1</x:v>
      </x:c>
      <x:c r="L170" s="6" t="n">
        <x:f>J170*K170</x:f>
        <x:v>1</x:v>
      </x:c>
    </x:row>
    <x:row r="171">
      <x:c r="A171" s="1" t="n">
        <x:v>1339</x:v>
      </x:c>
      <x:c r="B171" s="5" t="d">
        <x:v>2015-01-20T00:00:00.000Z</x:v>
      </x:c>
      <x:c r="C171" s="1" t="str">
        <x:v>Standard Class</x:v>
      </x:c>
      <x:c r="D171" s="1" t="str">
        <x:v>LATAM</x:v>
      </x:c>
      <x:c r="E171" s="1" t="str">
        <x:v>PENDING</x:v>
      </x:c>
      <x:c r="F171" s="1" t="str">
        <x:v>Late delivery</x:v>
      </x:c>
      <x:c r="G171" s="6" t="n">
        <x:v>5</x:v>
      </x:c>
      <x:c r="H171" s="6" t="n">
        <x:v>4</x:v>
      </x:c>
      <x:c r="I171" s="6" t="n">
        <x:f>G171-H171</x:f>
        <x:v>1</x:v>
      </x:c>
      <x:c r="J171" s="6" t="n">
        <x:f>IF(OR(E171="CANCELED",E171="SUSPECTED_FRAUD",F171="Shipping canceled"),0,1)</x:f>
        <x:v>1</x:v>
      </x:c>
      <x:c r="K171" s="6" t="n">
        <x:f>IF(G171&gt;H171,1,0)</x:f>
        <x:v>1</x:v>
      </x:c>
      <x:c r="L171" s="6" t="n">
        <x:f>J171*K171</x:f>
        <x:v>1</x:v>
      </x:c>
    </x:row>
    <x:row r="172">
      <x:c r="A172" s="1" t="n">
        <x:v>1345</x:v>
      </x:c>
      <x:c r="B172" s="5" t="d">
        <x:v>2015-01-20T00:00:00.000Z</x:v>
      </x:c>
      <x:c r="C172" s="1" t="str">
        <x:v>Standard Class</x:v>
      </x:c>
      <x:c r="D172" s="1" t="str">
        <x:v>LATAM</x:v>
      </x:c>
      <x:c r="E172" s="1" t="str">
        <x:v>COMPLETE</x:v>
      </x:c>
      <x:c r="F172" s="1" t="str">
        <x:v>Late delivery</x:v>
      </x:c>
      <x:c r="G172" s="6" t="n">
        <x:v>6</x:v>
      </x:c>
      <x:c r="H172" s="6" t="n">
        <x:v>4</x:v>
      </x:c>
      <x:c r="I172" s="6" t="n">
        <x:f>G172-H172</x:f>
        <x:v>2</x:v>
      </x:c>
      <x:c r="J172" s="6" t="n">
        <x:f>IF(OR(E172="CANCELED",E172="SUSPECTED_FRAUD",F172="Shipping canceled"),0,1)</x:f>
        <x:v>1</x:v>
      </x:c>
      <x:c r="K172" s="6" t="n">
        <x:f>IF(G172&gt;H172,1,0)</x:f>
        <x:v>1</x:v>
      </x:c>
      <x:c r="L172" s="6" t="n">
        <x:f>J172*K172</x:f>
        <x:v>1</x:v>
      </x:c>
    </x:row>
    <x:row r="173">
      <x:c r="A173" s="1" t="n">
        <x:v>1350</x:v>
      </x:c>
      <x:c r="B173" s="5" t="d">
        <x:v>2015-01-20T00:00:00.000Z</x:v>
      </x:c>
      <x:c r="C173" s="1" t="str">
        <x:v>Standard Class</x:v>
      </x:c>
      <x:c r="D173" s="1" t="str">
        <x:v>LATAM</x:v>
      </x:c>
      <x:c r="E173" s="1" t="str">
        <x:v>COMPLETE</x:v>
      </x:c>
      <x:c r="F173" s="1" t="str">
        <x:v>Late delivery</x:v>
      </x:c>
      <x:c r="G173" s="6" t="n">
        <x:v>6</x:v>
      </x:c>
      <x:c r="H173" s="6" t="n">
        <x:v>4</x:v>
      </x:c>
      <x:c r="I173" s="6" t="n">
        <x:f>G173-H173</x:f>
        <x:v>2</x:v>
      </x:c>
      <x:c r="J173" s="6" t="n">
        <x:f>IF(OR(E173="CANCELED",E173="SUSPECTED_FRAUD",F173="Shipping canceled"),0,1)</x:f>
        <x:v>1</x:v>
      </x:c>
      <x:c r="K173" s="6" t="n">
        <x:f>IF(G173&gt;H173,1,0)</x:f>
        <x:v>1</x:v>
      </x:c>
      <x:c r="L173" s="6" t="n">
        <x:f>J173*K173</x:f>
        <x:v>1</x:v>
      </x:c>
    </x:row>
    <x:row r="174">
      <x:c r="A174" s="1" t="n">
        <x:v>1353</x:v>
      </x:c>
      <x:c r="B174" s="5" t="d">
        <x:v>2015-01-20T00:00:00.000Z</x:v>
      </x:c>
      <x:c r="C174" s="1" t="str">
        <x:v>Standard Class</x:v>
      </x:c>
      <x:c r="D174" s="1" t="str">
        <x:v>LATAM</x:v>
      </x:c>
      <x:c r="E174" s="1" t="str">
        <x:v>COMPLETE</x:v>
      </x:c>
      <x:c r="F174" s="1" t="str">
        <x:v>Shipping on time</x:v>
      </x:c>
      <x:c r="G174" s="6" t="n">
        <x:v>4</x:v>
      </x:c>
      <x:c r="H174" s="6" t="n">
        <x:v>4</x:v>
      </x:c>
      <x:c r="I174" s="6" t="n">
        <x:f>G174-H174</x:f>
        <x:v>0</x:v>
      </x:c>
      <x:c r="J174" s="6" t="n">
        <x:f>IF(OR(E174="CANCELED",E174="SUSPECTED_FRAUD",F174="Shipping canceled"),0,1)</x:f>
        <x:v>1</x:v>
      </x:c>
      <x:c r="K174" s="6" t="n">
        <x:f>IF(G174&gt;H174,1,0)</x:f>
        <x:v>0</x:v>
      </x:c>
      <x:c r="L174" s="6" t="n">
        <x:f>J174*K174</x:f>
        <x:v>0</x:v>
      </x:c>
    </x:row>
    <x:row r="175">
      <x:c r="A175" s="1" t="n">
        <x:v>1355</x:v>
      </x:c>
      <x:c r="B175" s="5" t="d">
        <x:v>2015-01-20T00:00:00.000Z</x:v>
      </x:c>
      <x:c r="C175" s="1" t="str">
        <x:v>Standard Class</x:v>
      </x:c>
      <x:c r="D175" s="1" t="str">
        <x:v>LATAM</x:v>
      </x:c>
      <x:c r="E175" s="1" t="str">
        <x:v>PENDING</x:v>
      </x:c>
      <x:c r="F175" s="1" t="str">
        <x:v>Late delivery</x:v>
      </x:c>
      <x:c r="G175" s="6" t="n">
        <x:v>6</x:v>
      </x:c>
      <x:c r="H175" s="6" t="n">
        <x:v>4</x:v>
      </x:c>
      <x:c r="I175" s="6" t="n">
        <x:f>G175-H175</x:f>
        <x:v>2</x:v>
      </x:c>
      <x:c r="J175" s="6" t="n">
        <x:f>IF(OR(E175="CANCELED",E175="SUSPECTED_FRAUD",F175="Shipping canceled"),0,1)</x:f>
        <x:v>1</x:v>
      </x:c>
      <x:c r="K175" s="6" t="n">
        <x:f>IF(G175&gt;H175,1,0)</x:f>
        <x:v>1</x:v>
      </x:c>
      <x:c r="L175" s="6" t="n">
        <x:f>J175*K175</x:f>
        <x:v>1</x:v>
      </x:c>
    </x:row>
    <x:row r="176">
      <x:c r="A176" s="1" t="n">
        <x:v>1356</x:v>
      </x:c>
      <x:c r="B176" s="5" t="d">
        <x:v>2015-01-20T00:00:00.000Z</x:v>
      </x:c>
      <x:c r="C176" s="1" t="str">
        <x:v>Standard Class</x:v>
      </x:c>
      <x:c r="D176" s="1" t="str">
        <x:v>LATAM</x:v>
      </x:c>
      <x:c r="E176" s="1" t="str">
        <x:v>PENDING_PAYMENT</x:v>
      </x:c>
      <x:c r="F176" s="1" t="str">
        <x:v>Advance shipping</x:v>
      </x:c>
      <x:c r="G176" s="6" t="n">
        <x:v>2</x:v>
      </x:c>
      <x:c r="H176" s="6" t="n">
        <x:v>4</x:v>
      </x:c>
      <x:c r="I176" s="6" t="n">
        <x:f>G176-H176</x:f>
        <x:v>-2</x:v>
      </x:c>
      <x:c r="J176" s="6" t="n">
        <x:f>IF(OR(E176="CANCELED",E176="SUSPECTED_FRAUD",F176="Shipping canceled"),0,1)</x:f>
        <x:v>1</x:v>
      </x:c>
      <x:c r="K176" s="6" t="n">
        <x:f>IF(G176&gt;H176,1,0)</x:f>
        <x:v>0</x:v>
      </x:c>
      <x:c r="L176" s="6" t="n">
        <x:f>J176*K176</x:f>
        <x:v>0</x:v>
      </x:c>
    </x:row>
    <x:row r="177">
      <x:c r="A177" s="1" t="n">
        <x:v>1383</x:v>
      </x:c>
      <x:c r="B177" s="5" t="d">
        <x:v>2015-01-21T00:00:00.000Z</x:v>
      </x:c>
      <x:c r="C177" s="1" t="str">
        <x:v>Standard Class</x:v>
      </x:c>
      <x:c r="D177" s="1" t="str">
        <x:v>LATAM</x:v>
      </x:c>
      <x:c r="E177" s="1" t="str">
        <x:v>CANCELED</x:v>
      </x:c>
      <x:c r="F177" s="1" t="str">
        <x:v>Shipping canceled</x:v>
      </x:c>
      <x:c r="G177" s="6" t="n">
        <x:v>4</x:v>
      </x:c>
      <x:c r="H177" s="6" t="n">
        <x:v>4</x:v>
      </x:c>
      <x:c r="I177" s="6" t="n">
        <x:f>G177-H177</x:f>
        <x:v>0</x:v>
      </x:c>
      <x:c r="J177" s="6" t="n">
        <x:f>IF(OR(E177="CANCELED",E177="SUSPECTED_FRAUD",F177="Shipping canceled"),0,1)</x:f>
        <x:v>0</x:v>
      </x:c>
      <x:c r="K177" s="6" t="n">
        <x:f>IF(G177&gt;H177,1,0)</x:f>
        <x:v>0</x:v>
      </x:c>
      <x:c r="L177" s="6" t="n">
        <x:f>J177*K177</x:f>
        <x:v>0</x:v>
      </x:c>
    </x:row>
    <x:row r="178">
      <x:c r="A178" s="1" t="n">
        <x:v>1386</x:v>
      </x:c>
      <x:c r="B178" s="5" t="d">
        <x:v>2015-01-21T00:00:00.000Z</x:v>
      </x:c>
      <x:c r="C178" s="1" t="str">
        <x:v>Standard Class</x:v>
      </x:c>
      <x:c r="D178" s="1" t="str">
        <x:v>LATAM</x:v>
      </x:c>
      <x:c r="E178" s="1" t="str">
        <x:v>PROCESSING</x:v>
      </x:c>
      <x:c r="F178" s="1" t="str">
        <x:v>Advance shipping</x:v>
      </x:c>
      <x:c r="G178" s="6" t="n">
        <x:v>2</x:v>
      </x:c>
      <x:c r="H178" s="6" t="n">
        <x:v>4</x:v>
      </x:c>
      <x:c r="I178" s="6" t="n">
        <x:f>G178-H178</x:f>
        <x:v>-2</x:v>
      </x:c>
      <x:c r="J178" s="6" t="n">
        <x:f>IF(OR(E178="CANCELED",E178="SUSPECTED_FRAUD",F178="Shipping canceled"),0,1)</x:f>
        <x:v>1</x:v>
      </x:c>
      <x:c r="K178" s="6" t="n">
        <x:f>IF(G178&gt;H178,1,0)</x:f>
        <x:v>0</x:v>
      </x:c>
      <x:c r="L178" s="6" t="n">
        <x:f>J178*K178</x:f>
        <x:v>0</x:v>
      </x:c>
    </x:row>
    <x:row r="179">
      <x:c r="A179" s="1" t="n">
        <x:v>1388</x:v>
      </x:c>
      <x:c r="B179" s="5" t="d">
        <x:v>2015-01-21T00:00:00.000Z</x:v>
      </x:c>
      <x:c r="C179" s="1" t="str">
        <x:v>Standard Class</x:v>
      </x:c>
      <x:c r="D179" s="1" t="str">
        <x:v>LATAM</x:v>
      </x:c>
      <x:c r="E179" s="1" t="str">
        <x:v>PENDING</x:v>
      </x:c>
      <x:c r="F179" s="1" t="str">
        <x:v>Shipping on time</x:v>
      </x:c>
      <x:c r="G179" s="6" t="n">
        <x:v>4</x:v>
      </x:c>
      <x:c r="H179" s="6" t="n">
        <x:v>4</x:v>
      </x:c>
      <x:c r="I179" s="6" t="n">
        <x:f>G179-H179</x:f>
        <x:v>0</x:v>
      </x:c>
      <x:c r="J179" s="6" t="n">
        <x:f>IF(OR(E179="CANCELED",E179="SUSPECTED_FRAUD",F179="Shipping canceled"),0,1)</x:f>
        <x:v>1</x:v>
      </x:c>
      <x:c r="K179" s="6" t="n">
        <x:f>IF(G179&gt;H179,1,0)</x:f>
        <x:v>0</x:v>
      </x:c>
      <x:c r="L179" s="6" t="n">
        <x:f>J179*K179</x:f>
        <x:v>0</x:v>
      </x:c>
    </x:row>
    <x:row r="180">
      <x:c r="A180" s="1" t="n">
        <x:v>1404</x:v>
      </x:c>
      <x:c r="B180" s="5" t="d">
        <x:v>2015-01-21T00:00:00.000Z</x:v>
      </x:c>
      <x:c r="C180" s="1" t="str">
        <x:v>Second Class</x:v>
      </x:c>
      <x:c r="D180" s="1" t="str">
        <x:v>LATAM</x:v>
      </x:c>
      <x:c r="E180" s="1" t="str">
        <x:v>PENDING</x:v>
      </x:c>
      <x:c r="F180" s="1" t="str">
        <x:v>Late delivery</x:v>
      </x:c>
      <x:c r="G180" s="6" t="n">
        <x:v>5</x:v>
      </x:c>
      <x:c r="H180" s="6" t="n">
        <x:v>2</x:v>
      </x:c>
      <x:c r="I180" s="6" t="n">
        <x:f>G180-H180</x:f>
        <x:v>3</x:v>
      </x:c>
      <x:c r="J180" s="6" t="n">
        <x:f>IF(OR(E180="CANCELED",E180="SUSPECTED_FRAUD",F180="Shipping canceled"),0,1)</x:f>
        <x:v>1</x:v>
      </x:c>
      <x:c r="K180" s="6" t="n">
        <x:f>IF(G180&gt;H180,1,0)</x:f>
        <x:v>1</x:v>
      </x:c>
      <x:c r="L180" s="6" t="n">
        <x:f>J180*K180</x:f>
        <x:v>1</x:v>
      </x:c>
    </x:row>
    <x:row r="181">
      <x:c r="A181" s="1" t="n">
        <x:v>1410</x:v>
      </x:c>
      <x:c r="B181" s="5" t="d">
        <x:v>2015-01-21T00:00:00.000Z</x:v>
      </x:c>
      <x:c r="C181" s="1" t="str">
        <x:v>Standard Class</x:v>
      </x:c>
      <x:c r="D181" s="1" t="str">
        <x:v>LATAM</x:v>
      </x:c>
      <x:c r="E181" s="1" t="str">
        <x:v>COMPLETE</x:v>
      </x:c>
      <x:c r="F181" s="1" t="str">
        <x:v>Late delivery</x:v>
      </x:c>
      <x:c r="G181" s="6" t="n">
        <x:v>6</x:v>
      </x:c>
      <x:c r="H181" s="6" t="n">
        <x:v>4</x:v>
      </x:c>
      <x:c r="I181" s="6" t="n">
        <x:f>G181-H181</x:f>
        <x:v>2</x:v>
      </x:c>
      <x:c r="J181" s="6" t="n">
        <x:f>IF(OR(E181="CANCELED",E181="SUSPECTED_FRAUD",F181="Shipping canceled"),0,1)</x:f>
        <x:v>1</x:v>
      </x:c>
      <x:c r="K181" s="6" t="n">
        <x:f>IF(G181&gt;H181,1,0)</x:f>
        <x:v>1</x:v>
      </x:c>
      <x:c r="L181" s="6" t="n">
        <x:f>J181*K181</x:f>
        <x:v>1</x:v>
      </x:c>
    </x:row>
    <x:row r="182">
      <x:c r="A182" s="1" t="n">
        <x:v>1426</x:v>
      </x:c>
      <x:c r="B182" s="5" t="d">
        <x:v>2015-01-21T00:00:00.000Z</x:v>
      </x:c>
      <x:c r="C182" s="1" t="str">
        <x:v>Standard Class</x:v>
      </x:c>
      <x:c r="D182" s="1" t="str">
        <x:v>LATAM</x:v>
      </x:c>
      <x:c r="E182" s="1" t="str">
        <x:v>PENDING</x:v>
      </x:c>
      <x:c r="F182" s="1" t="str">
        <x:v>Advance shipping</x:v>
      </x:c>
      <x:c r="G182" s="6" t="n">
        <x:v>2</x:v>
      </x:c>
      <x:c r="H182" s="6" t="n">
        <x:v>4</x:v>
      </x:c>
      <x:c r="I182" s="6" t="n">
        <x:f>G182-H182</x:f>
        <x:v>-2</x:v>
      </x:c>
      <x:c r="J182" s="6" t="n">
        <x:f>IF(OR(E182="CANCELED",E182="SUSPECTED_FRAUD",F182="Shipping canceled"),0,1)</x:f>
        <x:v>1</x:v>
      </x:c>
      <x:c r="K182" s="6" t="n">
        <x:f>IF(G182&gt;H182,1,0)</x:f>
        <x:v>0</x:v>
      </x:c>
      <x:c r="L182" s="6" t="n">
        <x:f>J182*K182</x:f>
        <x:v>0</x:v>
      </x:c>
    </x:row>
    <x:row r="183">
      <x:c r="A183" s="1" t="n">
        <x:v>1427</x:v>
      </x:c>
      <x:c r="B183" s="5" t="d">
        <x:v>2015-01-21T00:00:00.000Z</x:v>
      </x:c>
      <x:c r="C183" s="1" t="str">
        <x:v>Standard Class</x:v>
      </x:c>
      <x:c r="D183" s="1" t="str">
        <x:v>LATAM</x:v>
      </x:c>
      <x:c r="E183" s="1" t="str">
        <x:v>COMPLETE</x:v>
      </x:c>
      <x:c r="F183" s="1" t="str">
        <x:v>Advance shipping</x:v>
      </x:c>
      <x:c r="G183" s="6" t="n">
        <x:v>3</x:v>
      </x:c>
      <x:c r="H183" s="6" t="n">
        <x:v>4</x:v>
      </x:c>
      <x:c r="I183" s="6" t="n">
        <x:f>G183-H183</x:f>
        <x:v>-1</x:v>
      </x:c>
      <x:c r="J183" s="6" t="n">
        <x:f>IF(OR(E183="CANCELED",E183="SUSPECTED_FRAUD",F183="Shipping canceled"),0,1)</x:f>
        <x:v>1</x:v>
      </x:c>
      <x:c r="K183" s="6" t="n">
        <x:f>IF(G183&gt;H183,1,0)</x:f>
        <x:v>0</x:v>
      </x:c>
      <x:c r="L183" s="6" t="n">
        <x:f>J183*K183</x:f>
        <x:v>0</x:v>
      </x:c>
    </x:row>
    <x:row r="184">
      <x:c r="A184" s="1" t="n">
        <x:v>1431</x:v>
      </x:c>
      <x:c r="B184" s="5" t="d">
        <x:v>2015-01-21T00:00:00.000Z</x:v>
      </x:c>
      <x:c r="C184" s="1" t="str">
        <x:v>First Class</x:v>
      </x:c>
      <x:c r="D184" s="1" t="str">
        <x:v>LATAM</x:v>
      </x:c>
      <x:c r="E184" s="1" t="str">
        <x:v>CLOSED</x:v>
      </x:c>
      <x:c r="F184" s="1" t="str">
        <x:v>Late delivery</x:v>
      </x:c>
      <x:c r="G184" s="6" t="n">
        <x:v>2</x:v>
      </x:c>
      <x:c r="H184" s="6" t="n">
        <x:v>1</x:v>
      </x:c>
      <x:c r="I184" s="6" t="n">
        <x:f>G184-H184</x:f>
        <x:v>1</x:v>
      </x:c>
      <x:c r="J184" s="6" t="n">
        <x:f>IF(OR(E184="CANCELED",E184="SUSPECTED_FRAUD",F184="Shipping canceled"),0,1)</x:f>
        <x:v>1</x:v>
      </x:c>
      <x:c r="K184" s="6" t="n">
        <x:f>IF(G184&gt;H184,1,0)</x:f>
        <x:v>1</x:v>
      </x:c>
      <x:c r="L184" s="6" t="n">
        <x:f>J184*K184</x:f>
        <x:v>1</x:v>
      </x:c>
    </x:row>
    <x:row r="185">
      <x:c r="A185" s="1" t="n">
        <x:v>1433</x:v>
      </x:c>
      <x:c r="B185" s="5" t="d">
        <x:v>2015-01-21T00:00:00.000Z</x:v>
      </x:c>
      <x:c r="C185" s="1" t="str">
        <x:v>Second Class</x:v>
      </x:c>
      <x:c r="D185" s="1" t="str">
        <x:v>LATAM</x:v>
      </x:c>
      <x:c r="E185" s="1" t="str">
        <x:v>PENDING</x:v>
      </x:c>
      <x:c r="F185" s="1" t="str">
        <x:v>Late delivery</x:v>
      </x:c>
      <x:c r="G185" s="6" t="n">
        <x:v>4</x:v>
      </x:c>
      <x:c r="H185" s="6" t="n">
        <x:v>2</x:v>
      </x:c>
      <x:c r="I185" s="6" t="n">
        <x:f>G185-H185</x:f>
        <x:v>2</x:v>
      </x:c>
      <x:c r="J185" s="6" t="n">
        <x:f>IF(OR(E185="CANCELED",E185="SUSPECTED_FRAUD",F185="Shipping canceled"),0,1)</x:f>
        <x:v>1</x:v>
      </x:c>
      <x:c r="K185" s="6" t="n">
        <x:f>IF(G185&gt;H185,1,0)</x:f>
        <x:v>1</x:v>
      </x:c>
      <x:c r="L185" s="6" t="n">
        <x:f>J185*K185</x:f>
        <x:v>1</x:v>
      </x:c>
    </x:row>
    <x:row r="186">
      <x:c r="A186" s="1" t="n">
        <x:v>1437</x:v>
      </x:c>
      <x:c r="B186" s="5" t="d">
        <x:v>2015-01-21T00:00:00.000Z</x:v>
      </x:c>
      <x:c r="C186" s="1" t="str">
        <x:v>Standard Class</x:v>
      </x:c>
      <x:c r="D186" s="1" t="str">
        <x:v>LATAM</x:v>
      </x:c>
      <x:c r="E186" s="1" t="str">
        <x:v>PENDING</x:v>
      </x:c>
      <x:c r="F186" s="1" t="str">
        <x:v>Advance shipping</x:v>
      </x:c>
      <x:c r="G186" s="6" t="n">
        <x:v>3</x:v>
      </x:c>
      <x:c r="H186" s="6" t="n">
        <x:v>4</x:v>
      </x:c>
      <x:c r="I186" s="6" t="n">
        <x:f>G186-H186</x:f>
        <x:v>-1</x:v>
      </x:c>
      <x:c r="J186" s="6" t="n">
        <x:f>IF(OR(E186="CANCELED",E186="SUSPECTED_FRAUD",F186="Shipping canceled"),0,1)</x:f>
        <x:v>1</x:v>
      </x:c>
      <x:c r="K186" s="6" t="n">
        <x:f>IF(G186&gt;H186,1,0)</x:f>
        <x:v>0</x:v>
      </x:c>
      <x:c r="L186" s="6" t="n">
        <x:f>J186*K186</x:f>
        <x:v>0</x:v>
      </x:c>
    </x:row>
    <x:row r="187">
      <x:c r="A187" s="1" t="n">
        <x:v>1438</x:v>
      </x:c>
      <x:c r="B187" s="5" t="d">
        <x:v>2015-01-21T00:00:00.000Z</x:v>
      </x:c>
      <x:c r="C187" s="1" t="str">
        <x:v>Standard Class</x:v>
      </x:c>
      <x:c r="D187" s="1" t="str">
        <x:v>LATAM</x:v>
      </x:c>
      <x:c r="E187" s="1" t="str">
        <x:v>PROCESSING</x:v>
      </x:c>
      <x:c r="F187" s="1" t="str">
        <x:v>Shipping on time</x:v>
      </x:c>
      <x:c r="G187" s="6" t="n">
        <x:v>4</x:v>
      </x:c>
      <x:c r="H187" s="6" t="n">
        <x:v>4</x:v>
      </x:c>
      <x:c r="I187" s="6" t="n">
        <x:f>G187-H187</x:f>
        <x:v>0</x:v>
      </x:c>
      <x:c r="J187" s="6" t="n">
        <x:f>IF(OR(E187="CANCELED",E187="SUSPECTED_FRAUD",F187="Shipping canceled"),0,1)</x:f>
        <x:v>1</x:v>
      </x:c>
      <x:c r="K187" s="6" t="n">
        <x:f>IF(G187&gt;H187,1,0)</x:f>
        <x:v>0</x:v>
      </x:c>
      <x:c r="L187" s="6" t="n">
        <x:f>J187*K187</x:f>
        <x:v>0</x:v>
      </x:c>
    </x:row>
    <x:row r="188">
      <x:c r="A188" s="1" t="n">
        <x:v>1439</x:v>
      </x:c>
      <x:c r="B188" s="5" t="d">
        <x:v>2015-01-21T00:00:00.000Z</x:v>
      </x:c>
      <x:c r="C188" s="1" t="str">
        <x:v>Standard Class</x:v>
      </x:c>
      <x:c r="D188" s="1" t="str">
        <x:v>LATAM</x:v>
      </x:c>
      <x:c r="E188" s="1" t="str">
        <x:v>COMPLETE</x:v>
      </x:c>
      <x:c r="F188" s="1" t="str">
        <x:v>Late delivery</x:v>
      </x:c>
      <x:c r="G188" s="6" t="n">
        <x:v>5</x:v>
      </x:c>
      <x:c r="H188" s="6" t="n">
        <x:v>4</x:v>
      </x:c>
      <x:c r="I188" s="6" t="n">
        <x:f>G188-H188</x:f>
        <x:v>1</x:v>
      </x:c>
      <x:c r="J188" s="6" t="n">
        <x:f>IF(OR(E188="CANCELED",E188="SUSPECTED_FRAUD",F188="Shipping canceled"),0,1)</x:f>
        <x:v>1</x:v>
      </x:c>
      <x:c r="K188" s="6" t="n">
        <x:f>IF(G188&gt;H188,1,0)</x:f>
        <x:v>1</x:v>
      </x:c>
      <x:c r="L188" s="6" t="n">
        <x:f>J188*K188</x:f>
        <x:v>1</x:v>
      </x:c>
    </x:row>
    <x:row r="189">
      <x:c r="A189" s="1" t="n">
        <x:v>1443</x:v>
      </x:c>
      <x:c r="B189" s="5" t="d">
        <x:v>2015-01-22T00:00:00.000Z</x:v>
      </x:c>
      <x:c r="C189" s="1" t="str">
        <x:v>Standard Class</x:v>
      </x:c>
      <x:c r="D189" s="1" t="str">
        <x:v>LATAM</x:v>
      </x:c>
      <x:c r="E189" s="1" t="str">
        <x:v>PENDING</x:v>
      </x:c>
      <x:c r="F189" s="1" t="str">
        <x:v>Shipping on time</x:v>
      </x:c>
      <x:c r="G189" s="6" t="n">
        <x:v>4</x:v>
      </x:c>
      <x:c r="H189" s="6" t="n">
        <x:v>4</x:v>
      </x:c>
      <x:c r="I189" s="6" t="n">
        <x:f>G189-H189</x:f>
        <x:v>0</x:v>
      </x:c>
      <x:c r="J189" s="6" t="n">
        <x:f>IF(OR(E189="CANCELED",E189="SUSPECTED_FRAUD",F189="Shipping canceled"),0,1)</x:f>
        <x:v>1</x:v>
      </x:c>
      <x:c r="K189" s="6" t="n">
        <x:f>IF(G189&gt;H189,1,0)</x:f>
        <x:v>0</x:v>
      </x:c>
      <x:c r="L189" s="6" t="n">
        <x:f>J189*K189</x:f>
        <x:v>0</x:v>
      </x:c>
    </x:row>
    <x:row r="190">
      <x:c r="A190" s="1" t="n">
        <x:v>1454</x:v>
      </x:c>
      <x:c r="B190" s="5" t="d">
        <x:v>2015-01-22T00:00:00.000Z</x:v>
      </x:c>
      <x:c r="C190" s="1" t="str">
        <x:v>Second Class</x:v>
      </x:c>
      <x:c r="D190" s="1" t="str">
        <x:v>LATAM</x:v>
      </x:c>
      <x:c r="E190" s="1" t="str">
        <x:v>CLOSED</x:v>
      </x:c>
      <x:c r="F190" s="1" t="str">
        <x:v>Late delivery</x:v>
      </x:c>
      <x:c r="G190" s="6" t="n">
        <x:v>5</x:v>
      </x:c>
      <x:c r="H190" s="6" t="n">
        <x:v>2</x:v>
      </x:c>
      <x:c r="I190" s="6" t="n">
        <x:f>G190-H190</x:f>
        <x:v>3</x:v>
      </x:c>
      <x:c r="J190" s="6" t="n">
        <x:f>IF(OR(E190="CANCELED",E190="SUSPECTED_FRAUD",F190="Shipping canceled"),0,1)</x:f>
        <x:v>1</x:v>
      </x:c>
      <x:c r="K190" s="6" t="n">
        <x:f>IF(G190&gt;H190,1,0)</x:f>
        <x:v>1</x:v>
      </x:c>
      <x:c r="L190" s="6" t="n">
        <x:f>J190*K190</x:f>
        <x:v>1</x:v>
      </x:c>
    </x:row>
    <x:row r="191">
      <x:c r="A191" s="1" t="n">
        <x:v>1462</x:v>
      </x:c>
      <x:c r="B191" s="5" t="d">
        <x:v>2015-01-22T00:00:00.000Z</x:v>
      </x:c>
      <x:c r="C191" s="1" t="str">
        <x:v>Standard Class</x:v>
      </x:c>
      <x:c r="D191" s="1" t="str">
        <x:v>LATAM</x:v>
      </x:c>
      <x:c r="E191" s="1" t="str">
        <x:v>COMPLETE</x:v>
      </x:c>
      <x:c r="F191" s="1" t="str">
        <x:v>Advance shipping</x:v>
      </x:c>
      <x:c r="G191" s="6" t="n">
        <x:v>3</x:v>
      </x:c>
      <x:c r="H191" s="6" t="n">
        <x:v>4</x:v>
      </x:c>
      <x:c r="I191" s="6" t="n">
        <x:f>G191-H191</x:f>
        <x:v>-1</x:v>
      </x:c>
      <x:c r="J191" s="6" t="n">
        <x:f>IF(OR(E191="CANCELED",E191="SUSPECTED_FRAUD",F191="Shipping canceled"),0,1)</x:f>
        <x:v>1</x:v>
      </x:c>
      <x:c r="K191" s="6" t="n">
        <x:f>IF(G191&gt;H191,1,0)</x:f>
        <x:v>0</x:v>
      </x:c>
      <x:c r="L191" s="6" t="n">
        <x:f>J191*K191</x:f>
        <x:v>0</x:v>
      </x:c>
    </x:row>
    <x:row r="192">
      <x:c r="A192" s="1" t="n">
        <x:v>1484</x:v>
      </x:c>
      <x:c r="B192" s="5" t="d">
        <x:v>2015-01-22T00:00:00.000Z</x:v>
      </x:c>
      <x:c r="C192" s="1" t="str">
        <x:v>Standard Class</x:v>
      </x:c>
      <x:c r="D192" s="1" t="str">
        <x:v>LATAM</x:v>
      </x:c>
      <x:c r="E192" s="1" t="str">
        <x:v>COMPLETE</x:v>
      </x:c>
      <x:c r="F192" s="1" t="str">
        <x:v>Late delivery</x:v>
      </x:c>
      <x:c r="G192" s="6" t="n">
        <x:v>5</x:v>
      </x:c>
      <x:c r="H192" s="6" t="n">
        <x:v>4</x:v>
      </x:c>
      <x:c r="I192" s="6" t="n">
        <x:f>G192-H192</x:f>
        <x:v>1</x:v>
      </x:c>
      <x:c r="J192" s="6" t="n">
        <x:f>IF(OR(E192="CANCELED",E192="SUSPECTED_FRAUD",F192="Shipping canceled"),0,1)</x:f>
        <x:v>1</x:v>
      </x:c>
      <x:c r="K192" s="6" t="n">
        <x:f>IF(G192&gt;H192,1,0)</x:f>
        <x:v>1</x:v>
      </x:c>
      <x:c r="L192" s="6" t="n">
        <x:f>J192*K192</x:f>
        <x:v>1</x:v>
      </x:c>
    </x:row>
    <x:row r="193">
      <x:c r="A193" s="1" t="n">
        <x:v>1505</x:v>
      </x:c>
      <x:c r="B193" s="5" t="d">
        <x:v>2015-01-22T00:00:00.000Z</x:v>
      </x:c>
      <x:c r="C193" s="1" t="str">
        <x:v>Standard Class</x:v>
      </x:c>
      <x:c r="D193" s="1" t="str">
        <x:v>LATAM</x:v>
      </x:c>
      <x:c r="E193" s="1" t="str">
        <x:v>COMPLETE</x:v>
      </x:c>
      <x:c r="F193" s="1" t="str">
        <x:v>Late delivery</x:v>
      </x:c>
      <x:c r="G193" s="6" t="n">
        <x:v>6</x:v>
      </x:c>
      <x:c r="H193" s="6" t="n">
        <x:v>4</x:v>
      </x:c>
      <x:c r="I193" s="6" t="n">
        <x:f>G193-H193</x:f>
        <x:v>2</x:v>
      </x:c>
      <x:c r="J193" s="6" t="n">
        <x:f>IF(OR(E193="CANCELED",E193="SUSPECTED_FRAUD",F193="Shipping canceled"),0,1)</x:f>
        <x:v>1</x:v>
      </x:c>
      <x:c r="K193" s="6" t="n">
        <x:f>IF(G193&gt;H193,1,0)</x:f>
        <x:v>1</x:v>
      </x:c>
      <x:c r="L193" s="6" t="n">
        <x:f>J193*K193</x:f>
        <x:v>1</x:v>
      </x:c>
    </x:row>
    <x:row r="194">
      <x:c r="A194" s="1" t="n">
        <x:v>1521</x:v>
      </x:c>
      <x:c r="B194" s="5" t="d">
        <x:v>2015-01-23T00:00:00.000Z</x:v>
      </x:c>
      <x:c r="C194" s="1" t="str">
        <x:v>Second Class</x:v>
      </x:c>
      <x:c r="D194" s="1" t="str">
        <x:v>LATAM</x:v>
      </x:c>
      <x:c r="E194" s="1" t="str">
        <x:v>COMPLETE</x:v>
      </x:c>
      <x:c r="F194" s="1" t="str">
        <x:v>Shipping on time</x:v>
      </x:c>
      <x:c r="G194" s="6" t="n">
        <x:v>2</x:v>
      </x:c>
      <x:c r="H194" s="6" t="n">
        <x:v>2</x:v>
      </x:c>
      <x:c r="I194" s="6" t="n">
        <x:f>G194-H194</x:f>
        <x:v>0</x:v>
      </x:c>
      <x:c r="J194" s="6" t="n">
        <x:f>IF(OR(E194="CANCELED",E194="SUSPECTED_FRAUD",F194="Shipping canceled"),0,1)</x:f>
        <x:v>1</x:v>
      </x:c>
      <x:c r="K194" s="6" t="n">
        <x:f>IF(G194&gt;H194,1,0)</x:f>
        <x:v>0</x:v>
      </x:c>
      <x:c r="L194" s="6" t="n">
        <x:f>J194*K194</x:f>
        <x:v>0</x:v>
      </x:c>
    </x:row>
    <x:row r="195">
      <x:c r="A195" s="1" t="n">
        <x:v>1522</x:v>
      </x:c>
      <x:c r="B195" s="5" t="d">
        <x:v>2015-01-23T00:00:00.000Z</x:v>
      </x:c>
      <x:c r="C195" s="1" t="str">
        <x:v>Second Class</x:v>
      </x:c>
      <x:c r="D195" s="1" t="str">
        <x:v>LATAM</x:v>
      </x:c>
      <x:c r="E195" s="1" t="str">
        <x:v>COMPLETE</x:v>
      </x:c>
      <x:c r="F195" s="1" t="str">
        <x:v>Late delivery</x:v>
      </x:c>
      <x:c r="G195" s="6" t="n">
        <x:v>3</x:v>
      </x:c>
      <x:c r="H195" s="6" t="n">
        <x:v>2</x:v>
      </x:c>
      <x:c r="I195" s="6" t="n">
        <x:f>G195-H195</x:f>
        <x:v>1</x:v>
      </x:c>
      <x:c r="J195" s="6" t="n">
        <x:f>IF(OR(E195="CANCELED",E195="SUSPECTED_FRAUD",F195="Shipping canceled"),0,1)</x:f>
        <x:v>1</x:v>
      </x:c>
      <x:c r="K195" s="6" t="n">
        <x:f>IF(G195&gt;H195,1,0)</x:f>
        <x:v>1</x:v>
      </x:c>
      <x:c r="L195" s="6" t="n">
        <x:f>J195*K195</x:f>
        <x:v>1</x:v>
      </x:c>
    </x:row>
    <x:row r="196">
      <x:c r="A196" s="1" t="n">
        <x:v>1524</x:v>
      </x:c>
      <x:c r="B196" s="5" t="d">
        <x:v>2015-01-23T00:00:00.000Z</x:v>
      </x:c>
      <x:c r="C196" s="1" t="str">
        <x:v>Second Class</x:v>
      </x:c>
      <x:c r="D196" s="1" t="str">
        <x:v>LATAM</x:v>
      </x:c>
      <x:c r="E196" s="1" t="str">
        <x:v>COMPLETE</x:v>
      </x:c>
      <x:c r="F196" s="1" t="str">
        <x:v>Late delivery</x:v>
      </x:c>
      <x:c r="G196" s="6" t="n">
        <x:v>5</x:v>
      </x:c>
      <x:c r="H196" s="6" t="n">
        <x:v>2</x:v>
      </x:c>
      <x:c r="I196" s="6" t="n">
        <x:f>G196-H196</x:f>
        <x:v>3</x:v>
      </x:c>
      <x:c r="J196" s="6" t="n">
        <x:f>IF(OR(E196="CANCELED",E196="SUSPECTED_FRAUD",F196="Shipping canceled"),0,1)</x:f>
        <x:v>1</x:v>
      </x:c>
      <x:c r="K196" s="6" t="n">
        <x:f>IF(G196&gt;H196,1,0)</x:f>
        <x:v>1</x:v>
      </x:c>
      <x:c r="L196" s="6" t="n">
        <x:f>J196*K196</x:f>
        <x:v>1</x:v>
      </x:c>
    </x:row>
    <x:row r="197">
      <x:c r="A197" s="1" t="n">
        <x:v>1538</x:v>
      </x:c>
      <x:c r="B197" s="5" t="d">
        <x:v>2015-01-23T00:00:00.000Z</x:v>
      </x:c>
      <x:c r="C197" s="1" t="str">
        <x:v>Standard Class</x:v>
      </x:c>
      <x:c r="D197" s="1" t="str">
        <x:v>LATAM</x:v>
      </x:c>
      <x:c r="E197" s="1" t="str">
        <x:v>SUSPECTED_FRAUD</x:v>
      </x:c>
      <x:c r="F197" s="1" t="str">
        <x:v>Shipping canceled</x:v>
      </x:c>
      <x:c r="G197" s="6" t="n">
        <x:v>4</x:v>
      </x:c>
      <x:c r="H197" s="6" t="n">
        <x:v>4</x:v>
      </x:c>
      <x:c r="I197" s="6" t="n">
        <x:f>G197-H197</x:f>
        <x:v>0</x:v>
      </x:c>
      <x:c r="J197" s="6" t="n">
        <x:f>IF(OR(E197="CANCELED",E197="SUSPECTED_FRAUD",F197="Shipping canceled"),0,1)</x:f>
        <x:v>0</x:v>
      </x:c>
      <x:c r="K197" s="6" t="n">
        <x:f>IF(G197&gt;H197,1,0)</x:f>
        <x:v>0</x:v>
      </x:c>
      <x:c r="L197" s="6" t="n">
        <x:f>J197*K197</x:f>
        <x:v>0</x:v>
      </x:c>
    </x:row>
    <x:row r="198">
      <x:c r="A198" s="1" t="n">
        <x:v>1539</x:v>
      </x:c>
      <x:c r="B198" s="5" t="d">
        <x:v>2015-01-23T00:00:00.000Z</x:v>
      </x:c>
      <x:c r="C198" s="1" t="str">
        <x:v>Standard Class</x:v>
      </x:c>
      <x:c r="D198" s="1" t="str">
        <x:v>LATAM</x:v>
      </x:c>
      <x:c r="E198" s="1" t="str">
        <x:v>PENDING</x:v>
      </x:c>
      <x:c r="F198" s="1" t="str">
        <x:v>Late delivery</x:v>
      </x:c>
      <x:c r="G198" s="6" t="n">
        <x:v>5</x:v>
      </x:c>
      <x:c r="H198" s="6" t="n">
        <x:v>4</x:v>
      </x:c>
      <x:c r="I198" s="6" t="n">
        <x:f>G198-H198</x:f>
        <x:v>1</x:v>
      </x:c>
      <x:c r="J198" s="6" t="n">
        <x:f>IF(OR(E198="CANCELED",E198="SUSPECTED_FRAUD",F198="Shipping canceled"),0,1)</x:f>
        <x:v>1</x:v>
      </x:c>
      <x:c r="K198" s="6" t="n">
        <x:f>IF(G198&gt;H198,1,0)</x:f>
        <x:v>1</x:v>
      </x:c>
      <x:c r="L198" s="6" t="n">
        <x:f>J198*K198</x:f>
        <x:v>1</x:v>
      </x:c>
    </x:row>
    <x:row r="199">
      <x:c r="A199" s="1" t="n">
        <x:v>1561</x:v>
      </x:c>
      <x:c r="B199" s="5" t="d">
        <x:v>2015-01-23T00:00:00.000Z</x:v>
      </x:c>
      <x:c r="C199" s="1" t="str">
        <x:v>Standard Class</x:v>
      </x:c>
      <x:c r="D199" s="1" t="str">
        <x:v>LATAM</x:v>
      </x:c>
      <x:c r="E199" s="1" t="str">
        <x:v>PENDING_PAYMENT</x:v>
      </x:c>
      <x:c r="F199" s="1" t="str">
        <x:v>Advance shipping</x:v>
      </x:c>
      <x:c r="G199" s="6" t="n">
        <x:v>2</x:v>
      </x:c>
      <x:c r="H199" s="6" t="n">
        <x:v>4</x:v>
      </x:c>
      <x:c r="I199" s="6" t="n">
        <x:f>G199-H199</x:f>
        <x:v>-2</x:v>
      </x:c>
      <x:c r="J199" s="6" t="n">
        <x:f>IF(OR(E199="CANCELED",E199="SUSPECTED_FRAUD",F199="Shipping canceled"),0,1)</x:f>
        <x:v>1</x:v>
      </x:c>
      <x:c r="K199" s="6" t="n">
        <x:f>IF(G199&gt;H199,1,0)</x:f>
        <x:v>0</x:v>
      </x:c>
      <x:c r="L199" s="6" t="n">
        <x:f>J199*K199</x:f>
        <x:v>0</x:v>
      </x:c>
    </x:row>
    <x:row r="200">
      <x:c r="A200" s="1" t="n">
        <x:v>1571</x:v>
      </x:c>
      <x:c r="B200" s="5" t="d">
        <x:v>2015-01-23T00:00:00.000Z</x:v>
      </x:c>
      <x:c r="C200" s="1" t="str">
        <x:v>Standard Class</x:v>
      </x:c>
      <x:c r="D200" s="1" t="str">
        <x:v>LATAM</x:v>
      </x:c>
      <x:c r="E200" s="1" t="str">
        <x:v>COMPLETE</x:v>
      </x:c>
      <x:c r="F200" s="1" t="str">
        <x:v>Advance shipping</x:v>
      </x:c>
      <x:c r="G200" s="6" t="n">
        <x:v>2</x:v>
      </x:c>
      <x:c r="H200" s="6" t="n">
        <x:v>4</x:v>
      </x:c>
      <x:c r="I200" s="6" t="n">
        <x:f>G200-H200</x:f>
        <x:v>-2</x:v>
      </x:c>
      <x:c r="J200" s="6" t="n">
        <x:f>IF(OR(E200="CANCELED",E200="SUSPECTED_FRAUD",F200="Shipping canceled"),0,1)</x:f>
        <x:v>1</x:v>
      </x:c>
      <x:c r="K200" s="6" t="n">
        <x:f>IF(G200&gt;H200,1,0)</x:f>
        <x:v>0</x:v>
      </x:c>
      <x:c r="L200" s="6" t="n">
        <x:f>J200*K200</x:f>
        <x:v>0</x:v>
      </x:c>
    </x:row>
    <x:row r="201">
      <x:c r="A201" s="1" t="n">
        <x:v>1583</x:v>
      </x:c>
      <x:c r="B201" s="5" t="d">
        <x:v>2015-01-24T00:00:00.000Z</x:v>
      </x:c>
      <x:c r="C201" s="1" t="str">
        <x:v>Second Class</x:v>
      </x:c>
      <x:c r="D201" s="1" t="str">
        <x:v>LATAM</x:v>
      </x:c>
      <x:c r="E201" s="1" t="str">
        <x:v>CLOSED</x:v>
      </x:c>
      <x:c r="F201" s="1" t="str">
        <x:v>Late delivery</x:v>
      </x:c>
      <x:c r="G201" s="6" t="n">
        <x:v>4</x:v>
      </x:c>
      <x:c r="H201" s="6" t="n">
        <x:v>2</x:v>
      </x:c>
      <x:c r="I201" s="6" t="n">
        <x:f>G201-H201</x:f>
        <x:v>2</x:v>
      </x:c>
      <x:c r="J201" s="6" t="n">
        <x:f>IF(OR(E201="CANCELED",E201="SUSPECTED_FRAUD",F201="Shipping canceled"),0,1)</x:f>
        <x:v>1</x:v>
      </x:c>
      <x:c r="K201" s="6" t="n">
        <x:f>IF(G201&gt;H201,1,0)</x:f>
        <x:v>1</x:v>
      </x:c>
      <x:c r="L201" s="6" t="n">
        <x:f>J201*K201</x:f>
        <x:v>1</x:v>
      </x:c>
    </x:row>
    <x:row r="202">
      <x:c r="A202" s="1" t="n">
        <x:v>1593</x:v>
      </x:c>
      <x:c r="B202" s="5" t="d">
        <x:v>2015-01-24T00:00:00.000Z</x:v>
      </x:c>
      <x:c r="C202" s="1" t="str">
        <x:v>Standard Class</x:v>
      </x:c>
      <x:c r="D202" s="1" t="str">
        <x:v>LATAM</x:v>
      </x:c>
      <x:c r="E202" s="1" t="str">
        <x:v>CANCELED</x:v>
      </x:c>
      <x:c r="F202" s="1" t="str">
        <x:v>Shipping canceled</x:v>
      </x:c>
      <x:c r="G202" s="6" t="n">
        <x:v>4</x:v>
      </x:c>
      <x:c r="H202" s="6" t="n">
        <x:v>4</x:v>
      </x:c>
      <x:c r="I202" s="6" t="n">
        <x:f>G202-H202</x:f>
        <x:v>0</x:v>
      </x:c>
      <x:c r="J202" s="6" t="n">
        <x:f>IF(OR(E202="CANCELED",E202="SUSPECTED_FRAUD",F202="Shipping canceled"),0,1)</x:f>
        <x:v>0</x:v>
      </x:c>
      <x:c r="K202" s="6" t="n">
        <x:f>IF(G202&gt;H202,1,0)</x:f>
        <x:v>0</x:v>
      </x:c>
      <x:c r="L202" s="6" t="n">
        <x:f>J202*K202</x:f>
        <x:v>0</x:v>
      </x:c>
    </x:row>
    <x:row r="203">
      <x:c r="A203" s="1" t="n">
        <x:v>1597</x:v>
      </x:c>
      <x:c r="B203" s="5" t="d">
        <x:v>2015-01-24T00:00:00.000Z</x:v>
      </x:c>
      <x:c r="C203" s="1" t="str">
        <x:v>Standard Class</x:v>
      </x:c>
      <x:c r="D203" s="1" t="str">
        <x:v>LATAM</x:v>
      </x:c>
      <x:c r="E203" s="1" t="str">
        <x:v>SUSPECTED_FRAUD</x:v>
      </x:c>
      <x:c r="F203" s="1" t="str">
        <x:v>Shipping canceled</x:v>
      </x:c>
      <x:c r="G203" s="6" t="n">
        <x:v>3</x:v>
      </x:c>
      <x:c r="H203" s="6" t="n">
        <x:v>4</x:v>
      </x:c>
      <x:c r="I203" s="6" t="n">
        <x:f>G203-H203</x:f>
        <x:v>-1</x:v>
      </x:c>
      <x:c r="J203" s="6" t="n">
        <x:f>IF(OR(E203="CANCELED",E203="SUSPECTED_FRAUD",F203="Shipping canceled"),0,1)</x:f>
        <x:v>0</x:v>
      </x:c>
      <x:c r="K203" s="6" t="n">
        <x:f>IF(G203&gt;H203,1,0)</x:f>
        <x:v>0</x:v>
      </x:c>
      <x:c r="L203" s="6" t="n">
        <x:f>J203*K203</x:f>
        <x:v>0</x:v>
      </x:c>
    </x:row>
    <x:row r="204">
      <x:c r="A204" s="1" t="n">
        <x:v>1598</x:v>
      </x:c>
      <x:c r="B204" s="5" t="d">
        <x:v>2015-01-24T00:00:00.000Z</x:v>
      </x:c>
      <x:c r="C204" s="1" t="str">
        <x:v>Standard Class</x:v>
      </x:c>
      <x:c r="D204" s="1" t="str">
        <x:v>LATAM</x:v>
      </x:c>
      <x:c r="E204" s="1" t="str">
        <x:v>CANCELED</x:v>
      </x:c>
      <x:c r="F204" s="1" t="str">
        <x:v>Shipping canceled</x:v>
      </x:c>
      <x:c r="G204" s="6" t="n">
        <x:v>4</x:v>
      </x:c>
      <x:c r="H204" s="6" t="n">
        <x:v>4</x:v>
      </x:c>
      <x:c r="I204" s="6" t="n">
        <x:f>G204-H204</x:f>
        <x:v>0</x:v>
      </x:c>
      <x:c r="J204" s="6" t="n">
        <x:f>IF(OR(E204="CANCELED",E204="SUSPECTED_FRAUD",F204="Shipping canceled"),0,1)</x:f>
        <x:v>0</x:v>
      </x:c>
      <x:c r="K204" s="6" t="n">
        <x:f>IF(G204&gt;H204,1,0)</x:f>
        <x:v>0</x:v>
      </x:c>
      <x:c r="L204" s="6" t="n">
        <x:f>J204*K204</x:f>
        <x:v>0</x:v>
      </x:c>
    </x:row>
    <x:row r="205">
      <x:c r="A205" s="1" t="n">
        <x:v>1610</x:v>
      </x:c>
      <x:c r="B205" s="5" t="d">
        <x:v>2015-01-24T00:00:00.000Z</x:v>
      </x:c>
      <x:c r="C205" s="1" t="str">
        <x:v>Standard Class</x:v>
      </x:c>
      <x:c r="D205" s="1" t="str">
        <x:v>LATAM</x:v>
      </x:c>
      <x:c r="E205" s="1" t="str">
        <x:v>PENDING</x:v>
      </x:c>
      <x:c r="F205" s="1" t="str">
        <x:v>Late delivery</x:v>
      </x:c>
      <x:c r="G205" s="6" t="n">
        <x:v>6</x:v>
      </x:c>
      <x:c r="H205" s="6" t="n">
        <x:v>4</x:v>
      </x:c>
      <x:c r="I205" s="6" t="n">
        <x:f>G205-H205</x:f>
        <x:v>2</x:v>
      </x:c>
      <x:c r="J205" s="6" t="n">
        <x:f>IF(OR(E205="CANCELED",E205="SUSPECTED_FRAUD",F205="Shipping canceled"),0,1)</x:f>
        <x:v>1</x:v>
      </x:c>
      <x:c r="K205" s="6" t="n">
        <x:f>IF(G205&gt;H205,1,0)</x:f>
        <x:v>1</x:v>
      </x:c>
      <x:c r="L205" s="6" t="n">
        <x:f>J205*K205</x:f>
        <x:v>1</x:v>
      </x:c>
    </x:row>
    <x:row r="206">
      <x:c r="A206" s="1" t="n">
        <x:v>1614</x:v>
      </x:c>
      <x:c r="B206" s="5" t="d">
        <x:v>2015-01-24T00:00:00.000Z</x:v>
      </x:c>
      <x:c r="C206" s="1" t="str">
        <x:v>Standard Class</x:v>
      </x:c>
      <x:c r="D206" s="1" t="str">
        <x:v>LATAM</x:v>
      </x:c>
      <x:c r="E206" s="1" t="str">
        <x:v>PENDING_PAYMENT</x:v>
      </x:c>
      <x:c r="F206" s="1" t="str">
        <x:v>Late delivery</x:v>
      </x:c>
      <x:c r="G206" s="6" t="n">
        <x:v>5</x:v>
      </x:c>
      <x:c r="H206" s="6" t="n">
        <x:v>4</x:v>
      </x:c>
      <x:c r="I206" s="6" t="n">
        <x:f>G206-H206</x:f>
        <x:v>1</x:v>
      </x:c>
      <x:c r="J206" s="6" t="n">
        <x:f>IF(OR(E206="CANCELED",E206="SUSPECTED_FRAUD",F206="Shipping canceled"),0,1)</x:f>
        <x:v>1</x:v>
      </x:c>
      <x:c r="K206" s="6" t="n">
        <x:f>IF(G206&gt;H206,1,0)</x:f>
        <x:v>1</x:v>
      </x:c>
      <x:c r="L206" s="6" t="n">
        <x:f>J206*K206</x:f>
        <x:v>1</x:v>
      </x:c>
    </x:row>
    <x:row r="207">
      <x:c r="A207" s="1" t="n">
        <x:v>1618</x:v>
      </x:c>
      <x:c r="B207" s="5" t="d">
        <x:v>2015-01-24T00:00:00.000Z</x:v>
      </x:c>
      <x:c r="C207" s="1" t="str">
        <x:v>Standard Class</x:v>
      </x:c>
      <x:c r="D207" s="1" t="str">
        <x:v>LATAM</x:v>
      </x:c>
      <x:c r="E207" s="1" t="str">
        <x:v>COMPLETE</x:v>
      </x:c>
      <x:c r="F207" s="1" t="str">
        <x:v>Shipping on time</x:v>
      </x:c>
      <x:c r="G207" s="6" t="n">
        <x:v>4</x:v>
      </x:c>
      <x:c r="H207" s="6" t="n">
        <x:v>4</x:v>
      </x:c>
      <x:c r="I207" s="6" t="n">
        <x:f>G207-H207</x:f>
        <x:v>0</x:v>
      </x:c>
      <x:c r="J207" s="6" t="n">
        <x:f>IF(OR(E207="CANCELED",E207="SUSPECTED_FRAUD",F207="Shipping canceled"),0,1)</x:f>
        <x:v>1</x:v>
      </x:c>
      <x:c r="K207" s="6" t="n">
        <x:f>IF(G207&gt;H207,1,0)</x:f>
        <x:v>0</x:v>
      </x:c>
      <x:c r="L207" s="6" t="n">
        <x:f>J207*K207</x:f>
        <x:v>0</x:v>
      </x:c>
    </x:row>
    <x:row r="208">
      <x:c r="A208" s="1" t="n">
        <x:v>1628</x:v>
      </x:c>
      <x:c r="B208" s="5" t="d">
        <x:v>2015-01-24T00:00:00.000Z</x:v>
      </x:c>
      <x:c r="C208" s="1" t="str">
        <x:v>Standard Class</x:v>
      </x:c>
      <x:c r="D208" s="1" t="str">
        <x:v>LATAM</x:v>
      </x:c>
      <x:c r="E208" s="1" t="str">
        <x:v>COMPLETE</x:v>
      </x:c>
      <x:c r="F208" s="1" t="str">
        <x:v>Shipping on time</x:v>
      </x:c>
      <x:c r="G208" s="6" t="n">
        <x:v>4</x:v>
      </x:c>
      <x:c r="H208" s="6" t="n">
        <x:v>4</x:v>
      </x:c>
      <x:c r="I208" s="6" t="n">
        <x:f>G208-H208</x:f>
        <x:v>0</x:v>
      </x:c>
      <x:c r="J208" s="6" t="n">
        <x:f>IF(OR(E208="CANCELED",E208="SUSPECTED_FRAUD",F208="Shipping canceled"),0,1)</x:f>
        <x:v>1</x:v>
      </x:c>
      <x:c r="K208" s="6" t="n">
        <x:f>IF(G208&gt;H208,1,0)</x:f>
        <x:v>0</x:v>
      </x:c>
      <x:c r="L208" s="6" t="n">
        <x:f>J208*K208</x:f>
        <x:v>0</x:v>
      </x:c>
    </x:row>
    <x:row r="209">
      <x:c r="A209" s="1" t="n">
        <x:v>1634</x:v>
      </x:c>
      <x:c r="B209" s="5" t="d">
        <x:v>2015-01-24T00:00:00.000Z</x:v>
      </x:c>
      <x:c r="C209" s="1" t="str">
        <x:v>Standard Class</x:v>
      </x:c>
      <x:c r="D209" s="1" t="str">
        <x:v>LATAM</x:v>
      </x:c>
      <x:c r="E209" s="1" t="str">
        <x:v>PROCESSING</x:v>
      </x:c>
      <x:c r="F209" s="1" t="str">
        <x:v>Late delivery</x:v>
      </x:c>
      <x:c r="G209" s="6" t="n">
        <x:v>5</x:v>
      </x:c>
      <x:c r="H209" s="6" t="n">
        <x:v>4</x:v>
      </x:c>
      <x:c r="I209" s="6" t="n">
        <x:f>G209-H209</x:f>
        <x:v>1</x:v>
      </x:c>
      <x:c r="J209" s="6" t="n">
        <x:f>IF(OR(E209="CANCELED",E209="SUSPECTED_FRAUD",F209="Shipping canceled"),0,1)</x:f>
        <x:v>1</x:v>
      </x:c>
      <x:c r="K209" s="6" t="n">
        <x:f>IF(G209&gt;H209,1,0)</x:f>
        <x:v>1</x:v>
      </x:c>
      <x:c r="L209" s="6" t="n">
        <x:f>J209*K209</x:f>
        <x:v>1</x:v>
      </x:c>
    </x:row>
    <x:row r="210">
      <x:c r="A210" s="1" t="n">
        <x:v>1640</x:v>
      </x:c>
      <x:c r="B210" s="5" t="d">
        <x:v>2015-01-24T00:00:00.000Z</x:v>
      </x:c>
      <x:c r="C210" s="1" t="str">
        <x:v>Standard Class</x:v>
      </x:c>
      <x:c r="D210" s="1" t="str">
        <x:v>LATAM</x:v>
      </x:c>
      <x:c r="E210" s="1" t="str">
        <x:v>CLOSED</x:v>
      </x:c>
      <x:c r="F210" s="1" t="str">
        <x:v>Late delivery</x:v>
      </x:c>
      <x:c r="G210" s="6" t="n">
        <x:v>6</x:v>
      </x:c>
      <x:c r="H210" s="6" t="n">
        <x:v>4</x:v>
      </x:c>
      <x:c r="I210" s="6" t="n">
        <x:f>G210-H210</x:f>
        <x:v>2</x:v>
      </x:c>
      <x:c r="J210" s="6" t="n">
        <x:f>IF(OR(E210="CANCELED",E210="SUSPECTED_FRAUD",F210="Shipping canceled"),0,1)</x:f>
        <x:v>1</x:v>
      </x:c>
      <x:c r="K210" s="6" t="n">
        <x:f>IF(G210&gt;H210,1,0)</x:f>
        <x:v>1</x:v>
      </x:c>
      <x:c r="L210" s="6" t="n">
        <x:f>J210*K210</x:f>
        <x:v>1</x:v>
      </x:c>
    </x:row>
    <x:row r="211">
      <x:c r="A211" s="1" t="n">
        <x:v>1652</x:v>
      </x:c>
      <x:c r="B211" s="5" t="d">
        <x:v>2015-01-25T00:00:00.000Z</x:v>
      </x:c>
      <x:c r="C211" s="1" t="str">
        <x:v>Standard Class</x:v>
      </x:c>
      <x:c r="D211" s="1" t="str">
        <x:v>LATAM</x:v>
      </x:c>
      <x:c r="E211" s="1" t="str">
        <x:v>COMPLETE</x:v>
      </x:c>
      <x:c r="F211" s="1" t="str">
        <x:v>Advance shipping</x:v>
      </x:c>
      <x:c r="G211" s="6" t="n">
        <x:v>3</x:v>
      </x:c>
      <x:c r="H211" s="6" t="n">
        <x:v>4</x:v>
      </x:c>
      <x:c r="I211" s="6" t="n">
        <x:f>G211-H211</x:f>
        <x:v>-1</x:v>
      </x:c>
      <x:c r="J211" s="6" t="n">
        <x:f>IF(OR(E211="CANCELED",E211="SUSPECTED_FRAUD",F211="Shipping canceled"),0,1)</x:f>
        <x:v>1</x:v>
      </x:c>
      <x:c r="K211" s="6" t="n">
        <x:f>IF(G211&gt;H211,1,0)</x:f>
        <x:v>0</x:v>
      </x:c>
      <x:c r="L211" s="6" t="n">
        <x:f>J211*K211</x:f>
        <x:v>0</x:v>
      </x:c>
    </x:row>
    <x:row r="212">
      <x:c r="A212" s="1" t="n">
        <x:v>1668</x:v>
      </x:c>
      <x:c r="B212" s="5" t="d">
        <x:v>2015-01-25T00:00:00.000Z</x:v>
      </x:c>
      <x:c r="C212" s="1" t="str">
        <x:v>Standard Class</x:v>
      </x:c>
      <x:c r="D212" s="1" t="str">
        <x:v>LATAM</x:v>
      </x:c>
      <x:c r="E212" s="1" t="str">
        <x:v>ON_HOLD</x:v>
      </x:c>
      <x:c r="F212" s="1" t="str">
        <x:v>Shipping on time</x:v>
      </x:c>
      <x:c r="G212" s="6" t="n">
        <x:v>4</x:v>
      </x:c>
      <x:c r="H212" s="6" t="n">
        <x:v>4</x:v>
      </x:c>
      <x:c r="I212" s="6" t="n">
        <x:f>G212-H212</x:f>
        <x:v>0</x:v>
      </x:c>
      <x:c r="J212" s="6" t="n">
        <x:f>IF(OR(E212="CANCELED",E212="SUSPECTED_FRAUD",F212="Shipping canceled"),0,1)</x:f>
        <x:v>1</x:v>
      </x:c>
      <x:c r="K212" s="6" t="n">
        <x:f>IF(G212&gt;H212,1,0)</x:f>
        <x:v>0</x:v>
      </x:c>
      <x:c r="L212" s="6" t="n">
        <x:f>J212*K212</x:f>
        <x:v>0</x:v>
      </x:c>
    </x:row>
    <x:row r="213">
      <x:c r="A213" s="1" t="n">
        <x:v>1671</x:v>
      </x:c>
      <x:c r="B213" s="5" t="d">
        <x:v>2015-01-25T00:00:00.000Z</x:v>
      </x:c>
      <x:c r="C213" s="1" t="str">
        <x:v>Standard Class</x:v>
      </x:c>
      <x:c r="D213" s="1" t="str">
        <x:v>LATAM</x:v>
      </x:c>
      <x:c r="E213" s="1" t="str">
        <x:v>COMPLETE</x:v>
      </x:c>
      <x:c r="F213" s="1" t="str">
        <x:v>Advance shipping</x:v>
      </x:c>
      <x:c r="G213" s="6" t="n">
        <x:v>2</x:v>
      </x:c>
      <x:c r="H213" s="6" t="n">
        <x:v>4</x:v>
      </x:c>
      <x:c r="I213" s="6" t="n">
        <x:f>G213-H213</x:f>
        <x:v>-2</x:v>
      </x:c>
      <x:c r="J213" s="6" t="n">
        <x:f>IF(OR(E213="CANCELED",E213="SUSPECTED_FRAUD",F213="Shipping canceled"),0,1)</x:f>
        <x:v>1</x:v>
      </x:c>
      <x:c r="K213" s="6" t="n">
        <x:f>IF(G213&gt;H213,1,0)</x:f>
        <x:v>0</x:v>
      </x:c>
      <x:c r="L213" s="6" t="n">
        <x:f>J213*K213</x:f>
        <x:v>0</x:v>
      </x:c>
    </x:row>
    <x:row r="214">
      <x:c r="A214" s="1" t="n">
        <x:v>1684</x:v>
      </x:c>
      <x:c r="B214" s="5" t="d">
        <x:v>2015-01-25T00:00:00.000Z</x:v>
      </x:c>
      <x:c r="C214" s="1" t="str">
        <x:v>Second Class</x:v>
      </x:c>
      <x:c r="D214" s="1" t="str">
        <x:v>LATAM</x:v>
      </x:c>
      <x:c r="E214" s="1" t="str">
        <x:v>COMPLETE</x:v>
      </x:c>
      <x:c r="F214" s="1" t="str">
        <x:v>Late delivery</x:v>
      </x:c>
      <x:c r="G214" s="6" t="n">
        <x:v>5</x:v>
      </x:c>
      <x:c r="H214" s="6" t="n">
        <x:v>2</x:v>
      </x:c>
      <x:c r="I214" s="6" t="n">
        <x:f>G214-H214</x:f>
        <x:v>3</x:v>
      </x:c>
      <x:c r="J214" s="6" t="n">
        <x:f>IF(OR(E214="CANCELED",E214="SUSPECTED_FRAUD",F214="Shipping canceled"),0,1)</x:f>
        <x:v>1</x:v>
      </x:c>
      <x:c r="K214" s="6" t="n">
        <x:f>IF(G214&gt;H214,1,0)</x:f>
        <x:v>1</x:v>
      </x:c>
      <x:c r="L214" s="6" t="n">
        <x:f>J214*K214</x:f>
        <x:v>1</x:v>
      </x:c>
    </x:row>
    <x:row r="215">
      <x:c r="A215" s="1" t="n">
        <x:v>1701</x:v>
      </x:c>
      <x:c r="B215" s="5" t="d">
        <x:v>2015-01-25T00:00:00.000Z</x:v>
      </x:c>
      <x:c r="C215" s="1" t="str">
        <x:v>Standard Class</x:v>
      </x:c>
      <x:c r="D215" s="1" t="str">
        <x:v>LATAM</x:v>
      </x:c>
      <x:c r="E215" s="1" t="str">
        <x:v>COMPLETE</x:v>
      </x:c>
      <x:c r="F215" s="1" t="str">
        <x:v>Advance shipping</x:v>
      </x:c>
      <x:c r="G215" s="6" t="n">
        <x:v>2</x:v>
      </x:c>
      <x:c r="H215" s="6" t="n">
        <x:v>4</x:v>
      </x:c>
      <x:c r="I215" s="6" t="n">
        <x:f>G215-H215</x:f>
        <x:v>-2</x:v>
      </x:c>
      <x:c r="J215" s="6" t="n">
        <x:f>IF(OR(E215="CANCELED",E215="SUSPECTED_FRAUD",F215="Shipping canceled"),0,1)</x:f>
        <x:v>1</x:v>
      </x:c>
      <x:c r="K215" s="6" t="n">
        <x:f>IF(G215&gt;H215,1,0)</x:f>
        <x:v>0</x:v>
      </x:c>
      <x:c r="L215" s="6" t="n">
        <x:f>J215*K215</x:f>
        <x:v>0</x:v>
      </x:c>
    </x:row>
    <x:row r="216">
      <x:c r="A216" s="1" t="n">
        <x:v>1707</x:v>
      </x:c>
      <x:c r="B216" s="5" t="d">
        <x:v>2015-01-25T00:00:00.000Z</x:v>
      </x:c>
      <x:c r="C216" s="1" t="str">
        <x:v>Standard Class</x:v>
      </x:c>
      <x:c r="D216" s="1" t="str">
        <x:v>LATAM</x:v>
      </x:c>
      <x:c r="E216" s="1" t="str">
        <x:v>COMPLETE</x:v>
      </x:c>
      <x:c r="F216" s="1" t="str">
        <x:v>Advance shipping</x:v>
      </x:c>
      <x:c r="G216" s="6" t="n">
        <x:v>3</x:v>
      </x:c>
      <x:c r="H216" s="6" t="n">
        <x:v>4</x:v>
      </x:c>
      <x:c r="I216" s="6" t="n">
        <x:f>G216-H216</x:f>
        <x:v>-1</x:v>
      </x:c>
      <x:c r="J216" s="6" t="n">
        <x:f>IF(OR(E216="CANCELED",E216="SUSPECTED_FRAUD",F216="Shipping canceled"),0,1)</x:f>
        <x:v>1</x:v>
      </x:c>
      <x:c r="K216" s="6" t="n">
        <x:f>IF(G216&gt;H216,1,0)</x:f>
        <x:v>0</x:v>
      </x:c>
      <x:c r="L216" s="6" t="n">
        <x:f>J216*K216</x:f>
        <x:v>0</x:v>
      </x:c>
    </x:row>
    <x:row r="217">
      <x:c r="A217" s="1" t="n">
        <x:v>1717</x:v>
      </x:c>
      <x:c r="B217" s="5" t="d">
        <x:v>2015-01-26T00:00:00.000Z</x:v>
      </x:c>
      <x:c r="C217" s="1" t="str">
        <x:v>Second Class</x:v>
      </x:c>
      <x:c r="D217" s="1" t="str">
        <x:v>LATAM</x:v>
      </x:c>
      <x:c r="E217" s="1" t="str">
        <x:v>PROCESSING</x:v>
      </x:c>
      <x:c r="F217" s="1" t="str">
        <x:v>Late delivery</x:v>
      </x:c>
      <x:c r="G217" s="6" t="n">
        <x:v>3</x:v>
      </x:c>
      <x:c r="H217" s="6" t="n">
        <x:v>2</x:v>
      </x:c>
      <x:c r="I217" s="6" t="n">
        <x:f>G217-H217</x:f>
        <x:v>1</x:v>
      </x:c>
      <x:c r="J217" s="6" t="n">
        <x:f>IF(OR(E217="CANCELED",E217="SUSPECTED_FRAUD",F217="Shipping canceled"),0,1)</x:f>
        <x:v>1</x:v>
      </x:c>
      <x:c r="K217" s="6" t="n">
        <x:f>IF(G217&gt;H217,1,0)</x:f>
        <x:v>1</x:v>
      </x:c>
      <x:c r="L217" s="6" t="n">
        <x:f>J217*K217</x:f>
        <x:v>1</x:v>
      </x:c>
    </x:row>
    <x:row r="218">
      <x:c r="A218" s="1" t="n">
        <x:v>1719</x:v>
      </x:c>
      <x:c r="B218" s="5" t="d">
        <x:v>2015-01-26T00:00:00.000Z</x:v>
      </x:c>
      <x:c r="C218" s="1" t="str">
        <x:v>Standard Class</x:v>
      </x:c>
      <x:c r="D218" s="1" t="str">
        <x:v>LATAM</x:v>
      </x:c>
      <x:c r="E218" s="1" t="str">
        <x:v>ON_HOLD</x:v>
      </x:c>
      <x:c r="F218" s="1" t="str">
        <x:v>Late delivery</x:v>
      </x:c>
      <x:c r="G218" s="6" t="n">
        <x:v>5</x:v>
      </x:c>
      <x:c r="H218" s="6" t="n">
        <x:v>4</x:v>
      </x:c>
      <x:c r="I218" s="6" t="n">
        <x:f>G218-H218</x:f>
        <x:v>1</x:v>
      </x:c>
      <x:c r="J218" s="6" t="n">
        <x:f>IF(OR(E218="CANCELED",E218="SUSPECTED_FRAUD",F218="Shipping canceled"),0,1)</x:f>
        <x:v>1</x:v>
      </x:c>
      <x:c r="K218" s="6" t="n">
        <x:f>IF(G218&gt;H218,1,0)</x:f>
        <x:v>1</x:v>
      </x:c>
      <x:c r="L218" s="6" t="n">
        <x:f>J218*K218</x:f>
        <x:v>1</x:v>
      </x:c>
    </x:row>
    <x:row r="219">
      <x:c r="A219" s="1" t="n">
        <x:v>1726</x:v>
      </x:c>
      <x:c r="B219" s="5" t="d">
        <x:v>2015-01-26T00:00:00.000Z</x:v>
      </x:c>
      <x:c r="C219" s="1" t="str">
        <x:v>First Class</x:v>
      </x:c>
      <x:c r="D219" s="1" t="str">
        <x:v>LATAM</x:v>
      </x:c>
      <x:c r="E219" s="1" t="str">
        <x:v>CLOSED</x:v>
      </x:c>
      <x:c r="F219" s="1" t="str">
        <x:v>Late delivery</x:v>
      </x:c>
      <x:c r="G219" s="6" t="n">
        <x:v>2</x:v>
      </x:c>
      <x:c r="H219" s="6" t="n">
        <x:v>1</x:v>
      </x:c>
      <x:c r="I219" s="6" t="n">
        <x:f>G219-H219</x:f>
        <x:v>1</x:v>
      </x:c>
      <x:c r="J219" s="6" t="n">
        <x:f>IF(OR(E219="CANCELED",E219="SUSPECTED_FRAUD",F219="Shipping canceled"),0,1)</x:f>
        <x:v>1</x:v>
      </x:c>
      <x:c r="K219" s="6" t="n">
        <x:f>IF(G219&gt;H219,1,0)</x:f>
        <x:v>1</x:v>
      </x:c>
      <x:c r="L219" s="6" t="n">
        <x:f>J219*K219</x:f>
        <x:v>1</x:v>
      </x:c>
    </x:row>
    <x:row r="220">
      <x:c r="A220" s="1" t="n">
        <x:v>1736</x:v>
      </x:c>
      <x:c r="B220" s="5" t="d">
        <x:v>2015-01-26T00:00:00.000Z</x:v>
      </x:c>
      <x:c r="C220" s="1" t="str">
        <x:v>Standard Class</x:v>
      </x:c>
      <x:c r="D220" s="1" t="str">
        <x:v>LATAM</x:v>
      </x:c>
      <x:c r="E220" s="1" t="str">
        <x:v>COMPLETE</x:v>
      </x:c>
      <x:c r="F220" s="1" t="str">
        <x:v>Advance shipping</x:v>
      </x:c>
      <x:c r="G220" s="6" t="n">
        <x:v>2</x:v>
      </x:c>
      <x:c r="H220" s="6" t="n">
        <x:v>4</x:v>
      </x:c>
      <x:c r="I220" s="6" t="n">
        <x:f>G220-H220</x:f>
        <x:v>-2</x:v>
      </x:c>
      <x:c r="J220" s="6" t="n">
        <x:f>IF(OR(E220="CANCELED",E220="SUSPECTED_FRAUD",F220="Shipping canceled"),0,1)</x:f>
        <x:v>1</x:v>
      </x:c>
      <x:c r="K220" s="6" t="n">
        <x:f>IF(G220&gt;H220,1,0)</x:f>
        <x:v>0</x:v>
      </x:c>
      <x:c r="L220" s="6" t="n">
        <x:f>J220*K220</x:f>
        <x:v>0</x:v>
      </x:c>
    </x:row>
    <x:row r="221">
      <x:c r="A221" s="1" t="n">
        <x:v>1741</x:v>
      </x:c>
      <x:c r="B221" s="5" t="d">
        <x:v>2015-01-26T00:00:00.000Z</x:v>
      </x:c>
      <x:c r="C221" s="1" t="str">
        <x:v>Standard Class</x:v>
      </x:c>
      <x:c r="D221" s="1" t="str">
        <x:v>LATAM</x:v>
      </x:c>
      <x:c r="E221" s="1" t="str">
        <x:v>COMPLETE</x:v>
      </x:c>
      <x:c r="F221" s="1" t="str">
        <x:v>Advance shipping</x:v>
      </x:c>
      <x:c r="G221" s="6" t="n">
        <x:v>2</x:v>
      </x:c>
      <x:c r="H221" s="6" t="n">
        <x:v>4</x:v>
      </x:c>
      <x:c r="I221" s="6" t="n">
        <x:f>G221-H221</x:f>
        <x:v>-2</x:v>
      </x:c>
      <x:c r="J221" s="6" t="n">
        <x:f>IF(OR(E221="CANCELED",E221="SUSPECTED_FRAUD",F221="Shipping canceled"),0,1)</x:f>
        <x:v>1</x:v>
      </x:c>
      <x:c r="K221" s="6" t="n">
        <x:f>IF(G221&gt;H221,1,0)</x:f>
        <x:v>0</x:v>
      </x:c>
      <x:c r="L221" s="6" t="n">
        <x:f>J221*K221</x:f>
        <x:v>0</x:v>
      </x:c>
    </x:row>
    <x:row r="222">
      <x:c r="A222" s="1" t="n">
        <x:v>1756</x:v>
      </x:c>
      <x:c r="B222" s="5" t="d">
        <x:v>2015-01-26T00:00:00.000Z</x:v>
      </x:c>
      <x:c r="C222" s="1" t="str">
        <x:v>Standard Class</x:v>
      </x:c>
      <x:c r="D222" s="1" t="str">
        <x:v>LATAM</x:v>
      </x:c>
      <x:c r="E222" s="1" t="str">
        <x:v>SUSPECTED_FRAUD</x:v>
      </x:c>
      <x:c r="F222" s="1" t="str">
        <x:v>Shipping canceled</x:v>
      </x:c>
      <x:c r="G222" s="6" t="n">
        <x:v>2</x:v>
      </x:c>
      <x:c r="H222" s="6" t="n">
        <x:v>4</x:v>
      </x:c>
      <x:c r="I222" s="6" t="n">
        <x:f>G222-H222</x:f>
        <x:v>-2</x:v>
      </x:c>
      <x:c r="J222" s="6" t="n">
        <x:f>IF(OR(E222="CANCELED",E222="SUSPECTED_FRAUD",F222="Shipping canceled"),0,1)</x:f>
        <x:v>0</x:v>
      </x:c>
      <x:c r="K222" s="6" t="n">
        <x:f>IF(G222&gt;H222,1,0)</x:f>
        <x:v>0</x:v>
      </x:c>
      <x:c r="L222" s="6" t="n">
        <x:f>J222*K222</x:f>
        <x:v>0</x:v>
      </x:c>
    </x:row>
    <x:row r="223">
      <x:c r="A223" s="1" t="n">
        <x:v>1760</x:v>
      </x:c>
      <x:c r="B223" s="5" t="d">
        <x:v>2015-01-26T00:00:00.000Z</x:v>
      </x:c>
      <x:c r="C223" s="1" t="str">
        <x:v>Same Day</x:v>
      </x:c>
      <x:c r="D223" s="1" t="str">
        <x:v>LATAM</x:v>
      </x:c>
      <x:c r="E223" s="1" t="str">
        <x:v>PENDING</x:v>
      </x:c>
      <x:c r="F223" s="1" t="str">
        <x:v>Late delivery</x:v>
      </x:c>
      <x:c r="G223" s="6" t="n">
        <x:v>1</x:v>
      </x:c>
      <x:c r="H223" s="6" t="n">
        <x:v>0</x:v>
      </x:c>
      <x:c r="I223" s="6" t="n">
        <x:f>G223-H223</x:f>
        <x:v>1</x:v>
      </x:c>
      <x:c r="J223" s="6" t="n">
        <x:f>IF(OR(E223="CANCELED",E223="SUSPECTED_FRAUD",F223="Shipping canceled"),0,1)</x:f>
        <x:v>1</x:v>
      </x:c>
      <x:c r="K223" s="6" t="n">
        <x:f>IF(G223&gt;H223,1,0)</x:f>
        <x:v>1</x:v>
      </x:c>
      <x:c r="L223" s="6" t="n">
        <x:f>J223*K223</x:f>
        <x:v>1</x:v>
      </x:c>
    </x:row>
    <x:row r="224">
      <x:c r="A224" s="1" t="n">
        <x:v>1767</x:v>
      </x:c>
      <x:c r="B224" s="5" t="d">
        <x:v>2015-01-26T00:00:00.000Z</x:v>
      </x:c>
      <x:c r="C224" s="1" t="str">
        <x:v>Standard Class</x:v>
      </x:c>
      <x:c r="D224" s="1" t="str">
        <x:v>LATAM</x:v>
      </x:c>
      <x:c r="E224" s="1" t="str">
        <x:v>ON_HOLD</x:v>
      </x:c>
      <x:c r="F224" s="1" t="str">
        <x:v>Advance shipping</x:v>
      </x:c>
      <x:c r="G224" s="6" t="n">
        <x:v>3</x:v>
      </x:c>
      <x:c r="H224" s="6" t="n">
        <x:v>4</x:v>
      </x:c>
      <x:c r="I224" s="6" t="n">
        <x:f>G224-H224</x:f>
        <x:v>-1</x:v>
      </x:c>
      <x:c r="J224" s="6" t="n">
        <x:f>IF(OR(E224="CANCELED",E224="SUSPECTED_FRAUD",F224="Shipping canceled"),0,1)</x:f>
        <x:v>1</x:v>
      </x:c>
      <x:c r="K224" s="6" t="n">
        <x:f>IF(G224&gt;H224,1,0)</x:f>
        <x:v>0</x:v>
      </x:c>
      <x:c r="L224" s="6" t="n">
        <x:f>J224*K224</x:f>
        <x:v>0</x:v>
      </x:c>
    </x:row>
    <x:row r="225">
      <x:c r="A225" s="1" t="n">
        <x:v>1769</x:v>
      </x:c>
      <x:c r="B225" s="5" t="d">
        <x:v>2015-01-26T00:00:00.000Z</x:v>
      </x:c>
      <x:c r="C225" s="1" t="str">
        <x:v>Standard Class</x:v>
      </x:c>
      <x:c r="D225" s="1" t="str">
        <x:v>LATAM</x:v>
      </x:c>
      <x:c r="E225" s="1" t="str">
        <x:v>PENDING</x:v>
      </x:c>
      <x:c r="F225" s="1" t="str">
        <x:v>Late delivery</x:v>
      </x:c>
      <x:c r="G225" s="6" t="n">
        <x:v>5</x:v>
      </x:c>
      <x:c r="H225" s="6" t="n">
        <x:v>4</x:v>
      </x:c>
      <x:c r="I225" s="6" t="n">
        <x:f>G225-H225</x:f>
        <x:v>1</x:v>
      </x:c>
      <x:c r="J225" s="6" t="n">
        <x:f>IF(OR(E225="CANCELED",E225="SUSPECTED_FRAUD",F225="Shipping canceled"),0,1)</x:f>
        <x:v>1</x:v>
      </x:c>
      <x:c r="K225" s="6" t="n">
        <x:f>IF(G225&gt;H225,1,0)</x:f>
        <x:v>1</x:v>
      </x:c>
      <x:c r="L225" s="6" t="n">
        <x:f>J225*K225</x:f>
        <x:v>1</x:v>
      </x:c>
    </x:row>
    <x:row r="226">
      <x:c r="A226" s="1" t="n">
        <x:v>1773</x:v>
      </x:c>
      <x:c r="B226" s="5" t="d">
        <x:v>2015-01-26T00:00:00.000Z</x:v>
      </x:c>
      <x:c r="C226" s="1" t="str">
        <x:v>Standard Class</x:v>
      </x:c>
      <x:c r="D226" s="1" t="str">
        <x:v>LATAM</x:v>
      </x:c>
      <x:c r="E226" s="1" t="str">
        <x:v>COMPLETE</x:v>
      </x:c>
      <x:c r="F226" s="1" t="str">
        <x:v>Shipping on time</x:v>
      </x:c>
      <x:c r="G226" s="6" t="n">
        <x:v>4</x:v>
      </x:c>
      <x:c r="H226" s="6" t="n">
        <x:v>4</x:v>
      </x:c>
      <x:c r="I226" s="6" t="n">
        <x:f>G226-H226</x:f>
        <x:v>0</x:v>
      </x:c>
      <x:c r="J226" s="6" t="n">
        <x:f>IF(OR(E226="CANCELED",E226="SUSPECTED_FRAUD",F226="Shipping canceled"),0,1)</x:f>
        <x:v>1</x:v>
      </x:c>
      <x:c r="K226" s="6" t="n">
        <x:f>IF(G226&gt;H226,1,0)</x:f>
        <x:v>0</x:v>
      </x:c>
      <x:c r="L226" s="6" t="n">
        <x:f>J226*K226</x:f>
        <x:v>0</x:v>
      </x:c>
    </x:row>
    <x:row r="227">
      <x:c r="A227" s="1" t="n">
        <x:v>1774</x:v>
      </x:c>
      <x:c r="B227" s="5" t="d">
        <x:v>2015-01-26T00:00:00.000Z</x:v>
      </x:c>
      <x:c r="C227" s="1" t="str">
        <x:v>Second Class</x:v>
      </x:c>
      <x:c r="D227" s="1" t="str">
        <x:v>LATAM</x:v>
      </x:c>
      <x:c r="E227" s="1" t="str">
        <x:v>COMPLETE</x:v>
      </x:c>
      <x:c r="F227" s="1" t="str">
        <x:v>Late delivery</x:v>
      </x:c>
      <x:c r="G227" s="6" t="n">
        <x:v>5</x:v>
      </x:c>
      <x:c r="H227" s="6" t="n">
        <x:v>2</x:v>
      </x:c>
      <x:c r="I227" s="6" t="n">
        <x:f>G227-H227</x:f>
        <x:v>3</x:v>
      </x:c>
      <x:c r="J227" s="6" t="n">
        <x:f>IF(OR(E227="CANCELED",E227="SUSPECTED_FRAUD",F227="Shipping canceled"),0,1)</x:f>
        <x:v>1</x:v>
      </x:c>
      <x:c r="K227" s="6" t="n">
        <x:f>IF(G227&gt;H227,1,0)</x:f>
        <x:v>1</x:v>
      </x:c>
      <x:c r="L227" s="6" t="n">
        <x:f>J227*K227</x:f>
        <x:v>1</x:v>
      </x:c>
    </x:row>
    <x:row r="228">
      <x:c r="A228" s="1" t="n">
        <x:v>1775</x:v>
      </x:c>
      <x:c r="B228" s="5" t="d">
        <x:v>2015-01-26T00:00:00.000Z</x:v>
      </x:c>
      <x:c r="C228" s="1" t="str">
        <x:v>Second Class</x:v>
      </x:c>
      <x:c r="D228" s="1" t="str">
        <x:v>LATAM</x:v>
      </x:c>
      <x:c r="E228" s="1" t="str">
        <x:v>COMPLETE</x:v>
      </x:c>
      <x:c r="F228" s="1" t="str">
        <x:v>Late delivery</x:v>
      </x:c>
      <x:c r="G228" s="6" t="n">
        <x:v>6</x:v>
      </x:c>
      <x:c r="H228" s="6" t="n">
        <x:v>2</x:v>
      </x:c>
      <x:c r="I228" s="6" t="n">
        <x:f>G228-H228</x:f>
        <x:v>4</x:v>
      </x:c>
      <x:c r="J228" s="6" t="n">
        <x:f>IF(OR(E228="CANCELED",E228="SUSPECTED_FRAUD",F228="Shipping canceled"),0,1)</x:f>
        <x:v>1</x:v>
      </x:c>
      <x:c r="K228" s="6" t="n">
        <x:f>IF(G228&gt;H228,1,0)</x:f>
        <x:v>1</x:v>
      </x:c>
      <x:c r="L228" s="6" t="n">
        <x:f>J228*K228</x:f>
        <x:v>1</x:v>
      </x:c>
    </x:row>
    <x:row r="229">
      <x:c r="A229" s="1" t="n">
        <x:v>1776</x:v>
      </x:c>
      <x:c r="B229" s="5" t="d">
        <x:v>2015-01-26T00:00:00.000Z</x:v>
      </x:c>
      <x:c r="C229" s="1" t="str">
        <x:v>Standard Class</x:v>
      </x:c>
      <x:c r="D229" s="1" t="str">
        <x:v>LATAM</x:v>
      </x:c>
      <x:c r="E229" s="1" t="str">
        <x:v>CANCELED</x:v>
      </x:c>
      <x:c r="F229" s="1" t="str">
        <x:v>Shipping canceled</x:v>
      </x:c>
      <x:c r="G229" s="6" t="n">
        <x:v>2</x:v>
      </x:c>
      <x:c r="H229" s="6" t="n">
        <x:v>4</x:v>
      </x:c>
      <x:c r="I229" s="6" t="n">
        <x:f>G229-H229</x:f>
        <x:v>-2</x:v>
      </x:c>
      <x:c r="J229" s="6" t="n">
        <x:f>IF(OR(E229="CANCELED",E229="SUSPECTED_FRAUD",F229="Shipping canceled"),0,1)</x:f>
        <x:v>0</x:v>
      </x:c>
      <x:c r="K229" s="6" t="n">
        <x:f>IF(G229&gt;H229,1,0)</x:f>
        <x:v>0</x:v>
      </x:c>
      <x:c r="L229" s="6" t="n">
        <x:f>J229*K229</x:f>
        <x:v>0</x:v>
      </x:c>
    </x:row>
    <x:row r="230">
      <x:c r="A230" s="1" t="n">
        <x:v>1784</x:v>
      </x:c>
      <x:c r="B230" s="5" t="d">
        <x:v>2015-01-27T00:00:00.000Z</x:v>
      </x:c>
      <x:c r="C230" s="1" t="str">
        <x:v>Standard Class</x:v>
      </x:c>
      <x:c r="D230" s="1" t="str">
        <x:v>LATAM</x:v>
      </x:c>
      <x:c r="E230" s="1" t="str">
        <x:v>PROCESSING</x:v>
      </x:c>
      <x:c r="F230" s="1" t="str">
        <x:v>Late delivery</x:v>
      </x:c>
      <x:c r="G230" s="6" t="n">
        <x:v>5</x:v>
      </x:c>
      <x:c r="H230" s="6" t="n">
        <x:v>4</x:v>
      </x:c>
      <x:c r="I230" s="6" t="n">
        <x:f>G230-H230</x:f>
        <x:v>1</x:v>
      </x:c>
      <x:c r="J230" s="6" t="n">
        <x:f>IF(OR(E230="CANCELED",E230="SUSPECTED_FRAUD",F230="Shipping canceled"),0,1)</x:f>
        <x:v>1</x:v>
      </x:c>
      <x:c r="K230" s="6" t="n">
        <x:f>IF(G230&gt;H230,1,0)</x:f>
        <x:v>1</x:v>
      </x:c>
      <x:c r="L230" s="6" t="n">
        <x:f>J230*K230</x:f>
        <x:v>1</x:v>
      </x:c>
    </x:row>
    <x:row r="231">
      <x:c r="A231" s="1" t="n">
        <x:v>1790</x:v>
      </x:c>
      <x:c r="B231" s="5" t="d">
        <x:v>2015-01-27T00:00:00.000Z</x:v>
      </x:c>
      <x:c r="C231" s="1" t="str">
        <x:v>First Class</x:v>
      </x:c>
      <x:c r="D231" s="1" t="str">
        <x:v>LATAM</x:v>
      </x:c>
      <x:c r="E231" s="1" t="str">
        <x:v>PROCESSING</x:v>
      </x:c>
      <x:c r="F231" s="1" t="str">
        <x:v>Late delivery</x:v>
      </x:c>
      <x:c r="G231" s="6" t="n">
        <x:v>2</x:v>
      </x:c>
      <x:c r="H231" s="6" t="n">
        <x:v>1</x:v>
      </x:c>
      <x:c r="I231" s="6" t="n">
        <x:f>G231-H231</x:f>
        <x:v>1</x:v>
      </x:c>
      <x:c r="J231" s="6" t="n">
        <x:f>IF(OR(E231="CANCELED",E231="SUSPECTED_FRAUD",F231="Shipping canceled"),0,1)</x:f>
        <x:v>1</x:v>
      </x:c>
      <x:c r="K231" s="6" t="n">
        <x:f>IF(G231&gt;H231,1,0)</x:f>
        <x:v>1</x:v>
      </x:c>
      <x:c r="L231" s="6" t="n">
        <x:f>J231*K231</x:f>
        <x:v>1</x:v>
      </x:c>
    </x:row>
    <x:row r="232">
      <x:c r="A232" s="1" t="n">
        <x:v>1797</x:v>
      </x:c>
      <x:c r="B232" s="5" t="d">
        <x:v>2015-01-27T00:00:00.000Z</x:v>
      </x:c>
      <x:c r="C232" s="1" t="str">
        <x:v>Standard Class</x:v>
      </x:c>
      <x:c r="D232" s="1" t="str">
        <x:v>LATAM</x:v>
      </x:c>
      <x:c r="E232" s="1" t="str">
        <x:v>PROCESSING</x:v>
      </x:c>
      <x:c r="F232" s="1" t="str">
        <x:v>Advance shipping</x:v>
      </x:c>
      <x:c r="G232" s="6" t="n">
        <x:v>3</x:v>
      </x:c>
      <x:c r="H232" s="6" t="n">
        <x:v>4</x:v>
      </x:c>
      <x:c r="I232" s="6" t="n">
        <x:f>G232-H232</x:f>
        <x:v>-1</x:v>
      </x:c>
      <x:c r="J232" s="6" t="n">
        <x:f>IF(OR(E232="CANCELED",E232="SUSPECTED_FRAUD",F232="Shipping canceled"),0,1)</x:f>
        <x:v>1</x:v>
      </x:c>
      <x:c r="K232" s="6" t="n">
        <x:f>IF(G232&gt;H232,1,0)</x:f>
        <x:v>0</x:v>
      </x:c>
      <x:c r="L232" s="6" t="n">
        <x:f>J232*K232</x:f>
        <x:v>0</x:v>
      </x:c>
    </x:row>
    <x:row r="233">
      <x:c r="A233" s="1" t="n">
        <x:v>1830</x:v>
      </x:c>
      <x:c r="B233" s="5" t="d">
        <x:v>2015-01-27T00:00:00.000Z</x:v>
      </x:c>
      <x:c r="C233" s="1" t="str">
        <x:v>Standard Class</x:v>
      </x:c>
      <x:c r="D233" s="1" t="str">
        <x:v>LATAM</x:v>
      </x:c>
      <x:c r="E233" s="1" t="str">
        <x:v>COMPLETE</x:v>
      </x:c>
      <x:c r="F233" s="1" t="str">
        <x:v>Late delivery</x:v>
      </x:c>
      <x:c r="G233" s="6" t="n">
        <x:v>6</x:v>
      </x:c>
      <x:c r="H233" s="6" t="n">
        <x:v>4</x:v>
      </x:c>
      <x:c r="I233" s="6" t="n">
        <x:f>G233-H233</x:f>
        <x:v>2</x:v>
      </x:c>
      <x:c r="J233" s="6" t="n">
        <x:f>IF(OR(E233="CANCELED",E233="SUSPECTED_FRAUD",F233="Shipping canceled"),0,1)</x:f>
        <x:v>1</x:v>
      </x:c>
      <x:c r="K233" s="6" t="n">
        <x:f>IF(G233&gt;H233,1,0)</x:f>
        <x:v>1</x:v>
      </x:c>
      <x:c r="L233" s="6" t="n">
        <x:f>J233*K233</x:f>
        <x:v>1</x:v>
      </x:c>
    </x:row>
    <x:row r="234">
      <x:c r="A234" s="1" t="n">
        <x:v>1851</x:v>
      </x:c>
      <x:c r="B234" s="5" t="d">
        <x:v>2015-01-28T00:00:00.000Z</x:v>
      </x:c>
      <x:c r="C234" s="1" t="str">
        <x:v>Standard Class</x:v>
      </x:c>
      <x:c r="D234" s="1" t="str">
        <x:v>LATAM</x:v>
      </x:c>
      <x:c r="E234" s="1" t="str">
        <x:v>CLOSED</x:v>
      </x:c>
      <x:c r="F234" s="1" t="str">
        <x:v>Advance shipping</x:v>
      </x:c>
      <x:c r="G234" s="6" t="n">
        <x:v>2</x:v>
      </x:c>
      <x:c r="H234" s="6" t="n">
        <x:v>4</x:v>
      </x:c>
      <x:c r="I234" s="6" t="n">
        <x:f>G234-H234</x:f>
        <x:v>-2</x:v>
      </x:c>
      <x:c r="J234" s="6" t="n">
        <x:f>IF(OR(E234="CANCELED",E234="SUSPECTED_FRAUD",F234="Shipping canceled"),0,1)</x:f>
        <x:v>1</x:v>
      </x:c>
      <x:c r="K234" s="6" t="n">
        <x:f>IF(G234&gt;H234,1,0)</x:f>
        <x:v>0</x:v>
      </x:c>
      <x:c r="L234" s="6" t="n">
        <x:f>J234*K234</x:f>
        <x:v>0</x:v>
      </x:c>
    </x:row>
    <x:row r="235">
      <x:c r="A235" s="1" t="n">
        <x:v>1857</x:v>
      </x:c>
      <x:c r="B235" s="5" t="d">
        <x:v>2015-01-28T00:00:00.000Z</x:v>
      </x:c>
      <x:c r="C235" s="1" t="str">
        <x:v>Standard Class</x:v>
      </x:c>
      <x:c r="D235" s="1" t="str">
        <x:v>LATAM</x:v>
      </x:c>
      <x:c r="E235" s="1" t="str">
        <x:v>PENDING</x:v>
      </x:c>
      <x:c r="F235" s="1" t="str">
        <x:v>Advance shipping</x:v>
      </x:c>
      <x:c r="G235" s="6" t="n">
        <x:v>3</x:v>
      </x:c>
      <x:c r="H235" s="6" t="n">
        <x:v>4</x:v>
      </x:c>
      <x:c r="I235" s="6" t="n">
        <x:f>G235-H235</x:f>
        <x:v>-1</x:v>
      </x:c>
      <x:c r="J235" s="6" t="n">
        <x:f>IF(OR(E235="CANCELED",E235="SUSPECTED_FRAUD",F235="Shipping canceled"),0,1)</x:f>
        <x:v>1</x:v>
      </x:c>
      <x:c r="K235" s="6" t="n">
        <x:f>IF(G235&gt;H235,1,0)</x:f>
        <x:v>0</x:v>
      </x:c>
      <x:c r="L235" s="6" t="n">
        <x:f>J235*K235</x:f>
        <x:v>0</x:v>
      </x:c>
    </x:row>
    <x:row r="236">
      <x:c r="A236" s="1" t="n">
        <x:v>1858</x:v>
      </x:c>
      <x:c r="B236" s="5" t="d">
        <x:v>2015-01-28T00:00:00.000Z</x:v>
      </x:c>
      <x:c r="C236" s="1" t="str">
        <x:v>Standard Class</x:v>
      </x:c>
      <x:c r="D236" s="1" t="str">
        <x:v>LATAM</x:v>
      </x:c>
      <x:c r="E236" s="1" t="str">
        <x:v>COMPLETE</x:v>
      </x:c>
      <x:c r="F236" s="1" t="str">
        <x:v>Shipping on time</x:v>
      </x:c>
      <x:c r="G236" s="6" t="n">
        <x:v>4</x:v>
      </x:c>
      <x:c r="H236" s="6" t="n">
        <x:v>4</x:v>
      </x:c>
      <x:c r="I236" s="6" t="n">
        <x:f>G236-H236</x:f>
        <x:v>0</x:v>
      </x:c>
      <x:c r="J236" s="6" t="n">
        <x:f>IF(OR(E236="CANCELED",E236="SUSPECTED_FRAUD",F236="Shipping canceled"),0,1)</x:f>
        <x:v>1</x:v>
      </x:c>
      <x:c r="K236" s="6" t="n">
        <x:f>IF(G236&gt;H236,1,0)</x:f>
        <x:v>0</x:v>
      </x:c>
      <x:c r="L236" s="6" t="n">
        <x:f>J236*K236</x:f>
        <x:v>0</x:v>
      </x:c>
    </x:row>
    <x:row r="237">
      <x:c r="A237" s="1" t="n">
        <x:v>1859</x:v>
      </x:c>
      <x:c r="B237" s="5" t="d">
        <x:v>2015-01-28T00:00:00.000Z</x:v>
      </x:c>
      <x:c r="C237" s="1" t="str">
        <x:v>Standard Class</x:v>
      </x:c>
      <x:c r="D237" s="1" t="str">
        <x:v>LATAM</x:v>
      </x:c>
      <x:c r="E237" s="1" t="str">
        <x:v>CANCELED</x:v>
      </x:c>
      <x:c r="F237" s="1" t="str">
        <x:v>Shipping canceled</x:v>
      </x:c>
      <x:c r="G237" s="6" t="n">
        <x:v>5</x:v>
      </x:c>
      <x:c r="H237" s="6" t="n">
        <x:v>4</x:v>
      </x:c>
      <x:c r="I237" s="6" t="n">
        <x:f>G237-H237</x:f>
        <x:v>1</x:v>
      </x:c>
      <x:c r="J237" s="6" t="n">
        <x:f>IF(OR(E237="CANCELED",E237="SUSPECTED_FRAUD",F237="Shipping canceled"),0,1)</x:f>
        <x:v>0</x:v>
      </x:c>
      <x:c r="K237" s="6" t="n">
        <x:f>IF(G237&gt;H237,1,0)</x:f>
        <x:v>1</x:v>
      </x:c>
      <x:c r="L237" s="6" t="n">
        <x:f>J237*K237</x:f>
        <x:v>0</x:v>
      </x:c>
    </x:row>
    <x:row r="238">
      <x:c r="A238" s="1" t="n">
        <x:v>1888</x:v>
      </x:c>
      <x:c r="B238" s="5" t="d">
        <x:v>2015-01-28T00:00:00.000Z</x:v>
      </x:c>
      <x:c r="C238" s="1" t="str">
        <x:v>Standard Class</x:v>
      </x:c>
      <x:c r="D238" s="1" t="str">
        <x:v>LATAM</x:v>
      </x:c>
      <x:c r="E238" s="1" t="str">
        <x:v>PENDING_PAYMENT</x:v>
      </x:c>
      <x:c r="F238" s="1" t="str">
        <x:v>Shipping on time</x:v>
      </x:c>
      <x:c r="G238" s="6" t="n">
        <x:v>4</x:v>
      </x:c>
      <x:c r="H238" s="6" t="n">
        <x:v>4</x:v>
      </x:c>
      <x:c r="I238" s="6" t="n">
        <x:f>G238-H238</x:f>
        <x:v>0</x:v>
      </x:c>
      <x:c r="J238" s="6" t="n">
        <x:f>IF(OR(E238="CANCELED",E238="SUSPECTED_FRAUD",F238="Shipping canceled"),0,1)</x:f>
        <x:v>1</x:v>
      </x:c>
      <x:c r="K238" s="6" t="n">
        <x:f>IF(G238&gt;H238,1,0)</x:f>
        <x:v>0</x:v>
      </x:c>
      <x:c r="L238" s="6" t="n">
        <x:f>J238*K238</x:f>
        <x:v>0</x:v>
      </x:c>
    </x:row>
    <x:row r="239">
      <x:c r="A239" s="1" t="n">
        <x:v>1890</x:v>
      </x:c>
      <x:c r="B239" s="5" t="d">
        <x:v>2015-01-28T00:00:00.000Z</x:v>
      </x:c>
      <x:c r="C239" s="1" t="str">
        <x:v>Standard Class</x:v>
      </x:c>
      <x:c r="D239" s="1" t="str">
        <x:v>LATAM</x:v>
      </x:c>
      <x:c r="E239" s="1" t="str">
        <x:v>COMPLETE</x:v>
      </x:c>
      <x:c r="F239" s="1" t="str">
        <x:v>Late delivery</x:v>
      </x:c>
      <x:c r="G239" s="6" t="n">
        <x:v>6</x:v>
      </x:c>
      <x:c r="H239" s="6" t="n">
        <x:v>4</x:v>
      </x:c>
      <x:c r="I239" s="6" t="n">
        <x:f>G239-H239</x:f>
        <x:v>2</x:v>
      </x:c>
      <x:c r="J239" s="6" t="n">
        <x:f>IF(OR(E239="CANCELED",E239="SUSPECTED_FRAUD",F239="Shipping canceled"),0,1)</x:f>
        <x:v>1</x:v>
      </x:c>
      <x:c r="K239" s="6" t="n">
        <x:f>IF(G239&gt;H239,1,0)</x:f>
        <x:v>1</x:v>
      </x:c>
      <x:c r="L239" s="6" t="n">
        <x:f>J239*K239</x:f>
        <x:v>1</x:v>
      </x:c>
    </x:row>
    <x:row r="240">
      <x:c r="A240" s="1" t="n">
        <x:v>1898</x:v>
      </x:c>
      <x:c r="B240" s="5" t="d">
        <x:v>2015-01-28T00:00:00.000Z</x:v>
      </x:c>
      <x:c r="C240" s="1" t="str">
        <x:v>Standard Class</x:v>
      </x:c>
      <x:c r="D240" s="1" t="str">
        <x:v>LATAM</x:v>
      </x:c>
      <x:c r="E240" s="1" t="str">
        <x:v>COMPLETE</x:v>
      </x:c>
      <x:c r="F240" s="1" t="str">
        <x:v>Shipping on time</x:v>
      </x:c>
      <x:c r="G240" s="6" t="n">
        <x:v>4</x:v>
      </x:c>
      <x:c r="H240" s="6" t="n">
        <x:v>4</x:v>
      </x:c>
      <x:c r="I240" s="6" t="n">
        <x:f>G240-H240</x:f>
        <x:v>0</x:v>
      </x:c>
      <x:c r="J240" s="6" t="n">
        <x:f>IF(OR(E240="CANCELED",E240="SUSPECTED_FRAUD",F240="Shipping canceled"),0,1)</x:f>
        <x:v>1</x:v>
      </x:c>
      <x:c r="K240" s="6" t="n">
        <x:f>IF(G240&gt;H240,1,0)</x:f>
        <x:v>0</x:v>
      </x:c>
      <x:c r="L240" s="6" t="n">
        <x:f>J240*K240</x:f>
        <x:v>0</x:v>
      </x:c>
    </x:row>
    <x:row r="241">
      <x:c r="A241" s="1" t="n">
        <x:v>1929</x:v>
      </x:c>
      <x:c r="B241" s="5" t="d">
        <x:v>2015-01-29T00:00:00.000Z</x:v>
      </x:c>
      <x:c r="C241" s="1" t="str">
        <x:v>Standard Class</x:v>
      </x:c>
      <x:c r="D241" s="1" t="str">
        <x:v>LATAM</x:v>
      </x:c>
      <x:c r="E241" s="1" t="str">
        <x:v>PROCESSING</x:v>
      </x:c>
      <x:c r="F241" s="1" t="str">
        <x:v>Late delivery</x:v>
      </x:c>
      <x:c r="G241" s="6" t="n">
        <x:v>5</x:v>
      </x:c>
      <x:c r="H241" s="6" t="n">
        <x:v>4</x:v>
      </x:c>
      <x:c r="I241" s="6" t="n">
        <x:f>G241-H241</x:f>
        <x:v>1</x:v>
      </x:c>
      <x:c r="J241" s="6" t="n">
        <x:f>IF(OR(E241="CANCELED",E241="SUSPECTED_FRAUD",F241="Shipping canceled"),0,1)</x:f>
        <x:v>1</x:v>
      </x:c>
      <x:c r="K241" s="6" t="n">
        <x:f>IF(G241&gt;H241,1,0)</x:f>
        <x:v>1</x:v>
      </x:c>
      <x:c r="L241" s="6" t="n">
        <x:f>J241*K241</x:f>
        <x:v>1</x:v>
      </x:c>
    </x:row>
    <x:row r="242">
      <x:c r="A242" s="1" t="n">
        <x:v>1943</x:v>
      </x:c>
      <x:c r="B242" s="5" t="d">
        <x:v>2015-01-29T00:00:00.000Z</x:v>
      </x:c>
      <x:c r="C242" s="1" t="str">
        <x:v>Standard Class</x:v>
      </x:c>
      <x:c r="D242" s="1" t="str">
        <x:v>LATAM</x:v>
      </x:c>
      <x:c r="E242" s="1" t="str">
        <x:v>COMPLETE</x:v>
      </x:c>
      <x:c r="F242" s="1" t="str">
        <x:v>Shipping on time</x:v>
      </x:c>
      <x:c r="G242" s="6" t="n">
        <x:v>4</x:v>
      </x:c>
      <x:c r="H242" s="6" t="n">
        <x:v>4</x:v>
      </x:c>
      <x:c r="I242" s="6" t="n">
        <x:f>G242-H242</x:f>
        <x:v>0</x:v>
      </x:c>
      <x:c r="J242" s="6" t="n">
        <x:f>IF(OR(E242="CANCELED",E242="SUSPECTED_FRAUD",F242="Shipping canceled"),0,1)</x:f>
        <x:v>1</x:v>
      </x:c>
      <x:c r="K242" s="6" t="n">
        <x:f>IF(G242&gt;H242,1,0)</x:f>
        <x:v>0</x:v>
      </x:c>
      <x:c r="L242" s="6" t="n">
        <x:f>J242*K242</x:f>
        <x:v>0</x:v>
      </x:c>
    </x:row>
    <x:row r="243">
      <x:c r="A243" s="1" t="n">
        <x:v>1948</x:v>
      </x:c>
      <x:c r="B243" s="5" t="d">
        <x:v>2015-01-29T00:00:00.000Z</x:v>
      </x:c>
      <x:c r="C243" s="1" t="str">
        <x:v>Standard Class</x:v>
      </x:c>
      <x:c r="D243" s="1" t="str">
        <x:v>LATAM</x:v>
      </x:c>
      <x:c r="E243" s="1" t="str">
        <x:v>PENDING</x:v>
      </x:c>
      <x:c r="F243" s="1" t="str">
        <x:v>Shipping on time</x:v>
      </x:c>
      <x:c r="G243" s="6" t="n">
        <x:v>4</x:v>
      </x:c>
      <x:c r="H243" s="6" t="n">
        <x:v>4</x:v>
      </x:c>
      <x:c r="I243" s="6" t="n">
        <x:f>G243-H243</x:f>
        <x:v>0</x:v>
      </x:c>
      <x:c r="J243" s="6" t="n">
        <x:f>IF(OR(E243="CANCELED",E243="SUSPECTED_FRAUD",F243="Shipping canceled"),0,1)</x:f>
        <x:v>1</x:v>
      </x:c>
      <x:c r="K243" s="6" t="n">
        <x:f>IF(G243&gt;H243,1,0)</x:f>
        <x:v>0</x:v>
      </x:c>
      <x:c r="L243" s="6" t="n">
        <x:f>J243*K243</x:f>
        <x:v>0</x:v>
      </x:c>
    </x:row>
    <x:row r="244">
      <x:c r="A244" s="1" t="n">
        <x:v>1950</x:v>
      </x:c>
      <x:c r="B244" s="5" t="d">
        <x:v>2015-01-29T00:00:00.000Z</x:v>
      </x:c>
      <x:c r="C244" s="1" t="str">
        <x:v>Standard Class</x:v>
      </x:c>
      <x:c r="D244" s="1" t="str">
        <x:v>LATAM</x:v>
      </x:c>
      <x:c r="E244" s="1" t="str">
        <x:v>COMPLETE</x:v>
      </x:c>
      <x:c r="F244" s="1" t="str">
        <x:v>Late delivery</x:v>
      </x:c>
      <x:c r="G244" s="6" t="n">
        <x:v>6</x:v>
      </x:c>
      <x:c r="H244" s="6" t="n">
        <x:v>4</x:v>
      </x:c>
      <x:c r="I244" s="6" t="n">
        <x:f>G244-H244</x:f>
        <x:v>2</x:v>
      </x:c>
      <x:c r="J244" s="6" t="n">
        <x:f>IF(OR(E244="CANCELED",E244="SUSPECTED_FRAUD",F244="Shipping canceled"),0,1)</x:f>
        <x:v>1</x:v>
      </x:c>
      <x:c r="K244" s="6" t="n">
        <x:f>IF(G244&gt;H244,1,0)</x:f>
        <x:v>1</x:v>
      </x:c>
      <x:c r="L244" s="6" t="n">
        <x:f>J244*K244</x:f>
        <x:v>1</x:v>
      </x:c>
    </x:row>
    <x:row r="245">
      <x:c r="A245" s="1" t="n">
        <x:v>1963</x:v>
      </x:c>
      <x:c r="B245" s="5" t="d">
        <x:v>2015-01-29T00:00:00.000Z</x:v>
      </x:c>
      <x:c r="C245" s="1" t="str">
        <x:v>Standard Class</x:v>
      </x:c>
      <x:c r="D245" s="1" t="str">
        <x:v>LATAM</x:v>
      </x:c>
      <x:c r="E245" s="1" t="str">
        <x:v>PROCESSING</x:v>
      </x:c>
      <x:c r="F245" s="1" t="str">
        <x:v>Shipping on time</x:v>
      </x:c>
      <x:c r="G245" s="6" t="n">
        <x:v>4</x:v>
      </x:c>
      <x:c r="H245" s="6" t="n">
        <x:v>4</x:v>
      </x:c>
      <x:c r="I245" s="6" t="n">
        <x:f>G245-H245</x:f>
        <x:v>0</x:v>
      </x:c>
      <x:c r="J245" s="6" t="n">
        <x:f>IF(OR(E245="CANCELED",E245="SUSPECTED_FRAUD",F245="Shipping canceled"),0,1)</x:f>
        <x:v>1</x:v>
      </x:c>
      <x:c r="K245" s="6" t="n">
        <x:f>IF(G245&gt;H245,1,0)</x:f>
        <x:v>0</x:v>
      </x:c>
      <x:c r="L245" s="6" t="n">
        <x:f>J245*K245</x:f>
        <x:v>0</x:v>
      </x:c>
    </x:row>
    <x:row r="246">
      <x:c r="A246" s="1" t="n">
        <x:v>1965</x:v>
      </x:c>
      <x:c r="B246" s="5" t="d">
        <x:v>2015-01-29T00:00:00.000Z</x:v>
      </x:c>
      <x:c r="C246" s="1" t="str">
        <x:v>Standard Class</x:v>
      </x:c>
      <x:c r="D246" s="1" t="str">
        <x:v>LATAM</x:v>
      </x:c>
      <x:c r="E246" s="1" t="str">
        <x:v>COMPLETE</x:v>
      </x:c>
      <x:c r="F246" s="1" t="str">
        <x:v>Late delivery</x:v>
      </x:c>
      <x:c r="G246" s="6" t="n">
        <x:v>6</x:v>
      </x:c>
      <x:c r="H246" s="6" t="n">
        <x:v>4</x:v>
      </x:c>
      <x:c r="I246" s="6" t="n">
        <x:f>G246-H246</x:f>
        <x:v>2</x:v>
      </x:c>
      <x:c r="J246" s="6" t="n">
        <x:f>IF(OR(E246="CANCELED",E246="SUSPECTED_FRAUD",F246="Shipping canceled"),0,1)</x:f>
        <x:v>1</x:v>
      </x:c>
      <x:c r="K246" s="6" t="n">
        <x:f>IF(G246&gt;H246,1,0)</x:f>
        <x:v>1</x:v>
      </x:c>
      <x:c r="L246" s="6" t="n">
        <x:f>J246*K246</x:f>
        <x:v>1</x:v>
      </x:c>
    </x:row>
    <x:row r="247">
      <x:c r="A247" s="1" t="n">
        <x:v>1967</x:v>
      </x:c>
      <x:c r="B247" s="5" t="d">
        <x:v>2015-01-29T00:00:00.000Z</x:v>
      </x:c>
      <x:c r="C247" s="1" t="str">
        <x:v>Standard Class</x:v>
      </x:c>
      <x:c r="D247" s="1" t="str">
        <x:v>LATAM</x:v>
      </x:c>
      <x:c r="E247" s="1" t="str">
        <x:v>ON_HOLD</x:v>
      </x:c>
      <x:c r="F247" s="1" t="str">
        <x:v>Advance shipping</x:v>
      </x:c>
      <x:c r="G247" s="6" t="n">
        <x:v>3</x:v>
      </x:c>
      <x:c r="H247" s="6" t="n">
        <x:v>4</x:v>
      </x:c>
      <x:c r="I247" s="6" t="n">
        <x:f>G247-H247</x:f>
        <x:v>-1</x:v>
      </x:c>
      <x:c r="J247" s="6" t="n">
        <x:f>IF(OR(E247="CANCELED",E247="SUSPECTED_FRAUD",F247="Shipping canceled"),0,1)</x:f>
        <x:v>1</x:v>
      </x:c>
      <x:c r="K247" s="6" t="n">
        <x:f>IF(G247&gt;H247,1,0)</x:f>
        <x:v>0</x:v>
      </x:c>
      <x:c r="L247" s="6" t="n">
        <x:f>J247*K247</x:f>
        <x:v>0</x:v>
      </x:c>
    </x:row>
    <x:row r="248">
      <x:c r="A248" s="1" t="n">
        <x:v>1985</x:v>
      </x:c>
      <x:c r="B248" s="5" t="d">
        <x:v>2015-01-29T00:00:00.000Z</x:v>
      </x:c>
      <x:c r="C248" s="1" t="str">
        <x:v>Standard Class</x:v>
      </x:c>
      <x:c r="D248" s="1" t="str">
        <x:v>LATAM</x:v>
      </x:c>
      <x:c r="E248" s="1" t="str">
        <x:v>ON_HOLD</x:v>
      </x:c>
      <x:c r="F248" s="1" t="str">
        <x:v>Late delivery</x:v>
      </x:c>
      <x:c r="G248" s="6" t="n">
        <x:v>6</x:v>
      </x:c>
      <x:c r="H248" s="6" t="n">
        <x:v>4</x:v>
      </x:c>
      <x:c r="I248" s="6" t="n">
        <x:f>G248-H248</x:f>
        <x:v>2</x:v>
      </x:c>
      <x:c r="J248" s="6" t="n">
        <x:f>IF(OR(E248="CANCELED",E248="SUSPECTED_FRAUD",F248="Shipping canceled"),0,1)</x:f>
        <x:v>1</x:v>
      </x:c>
      <x:c r="K248" s="6" t="n">
        <x:f>IF(G248&gt;H248,1,0)</x:f>
        <x:v>1</x:v>
      </x:c>
      <x:c r="L248" s="6" t="n">
        <x:f>J248*K248</x:f>
        <x:v>1</x:v>
      </x:c>
    </x:row>
    <x:row r="249">
      <x:c r="A249" s="1" t="n">
        <x:v>1991</x:v>
      </x:c>
      <x:c r="B249" s="5" t="d">
        <x:v>2015-01-30T00:00:00.000Z</x:v>
      </x:c>
      <x:c r="C249" s="1" t="str">
        <x:v>Standard Class</x:v>
      </x:c>
      <x:c r="D249" s="1" t="str">
        <x:v>LATAM</x:v>
      </x:c>
      <x:c r="E249" s="1" t="str">
        <x:v>SUSPECTED_FRAUD</x:v>
      </x:c>
      <x:c r="F249" s="1" t="str">
        <x:v>Shipping canceled</x:v>
      </x:c>
      <x:c r="G249" s="6" t="n">
        <x:v>2</x:v>
      </x:c>
      <x:c r="H249" s="6" t="n">
        <x:v>4</x:v>
      </x:c>
      <x:c r="I249" s="6" t="n">
        <x:f>G249-H249</x:f>
        <x:v>-2</x:v>
      </x:c>
      <x:c r="J249" s="6" t="n">
        <x:f>IF(OR(E249="CANCELED",E249="SUSPECTED_FRAUD",F249="Shipping canceled"),0,1)</x:f>
        <x:v>0</x:v>
      </x:c>
      <x:c r="K249" s="6" t="n">
        <x:f>IF(G249&gt;H249,1,0)</x:f>
        <x:v>0</x:v>
      </x:c>
      <x:c r="L249" s="6" t="n">
        <x:f>J249*K249</x:f>
        <x:v>0</x:v>
      </x:c>
    </x:row>
    <x:row r="250">
      <x:c r="A250" s="1" t="n">
        <x:v>1993</x:v>
      </x:c>
      <x:c r="B250" s="5" t="d">
        <x:v>2015-01-30T00:00:00.000Z</x:v>
      </x:c>
      <x:c r="C250" s="1" t="str">
        <x:v>First Class</x:v>
      </x:c>
      <x:c r="D250" s="1" t="str">
        <x:v>LATAM</x:v>
      </x:c>
      <x:c r="E250" s="1" t="str">
        <x:v>COMPLETE</x:v>
      </x:c>
      <x:c r="F250" s="1" t="str">
        <x:v>Late delivery</x:v>
      </x:c>
      <x:c r="G250" s="6" t="n">
        <x:v>2</x:v>
      </x:c>
      <x:c r="H250" s="6" t="n">
        <x:v>1</x:v>
      </x:c>
      <x:c r="I250" s="6" t="n">
        <x:f>G250-H250</x:f>
        <x:v>1</x:v>
      </x:c>
      <x:c r="J250" s="6" t="n">
        <x:f>IF(OR(E250="CANCELED",E250="SUSPECTED_FRAUD",F250="Shipping canceled"),0,1)</x:f>
        <x:v>1</x:v>
      </x:c>
      <x:c r="K250" s="6" t="n">
        <x:f>IF(G250&gt;H250,1,0)</x:f>
        <x:v>1</x:v>
      </x:c>
      <x:c r="L250" s="6" t="n">
        <x:f>J250*K250</x:f>
        <x:v>1</x:v>
      </x:c>
    </x:row>
    <x:row r="251">
      <x:c r="A251" s="1" t="n">
        <x:v>1999</x:v>
      </x:c>
      <x:c r="B251" s="5" t="d">
        <x:v>2015-01-30T00:00:00.000Z</x:v>
      </x:c>
      <x:c r="C251" s="1" t="str">
        <x:v>Standard Class</x:v>
      </x:c>
      <x:c r="D251" s="1" t="str">
        <x:v>LATAM</x:v>
      </x:c>
      <x:c r="E251" s="1" t="str">
        <x:v>PROCESSING</x:v>
      </x:c>
      <x:c r="F251" s="1" t="str">
        <x:v>Late delivery</x:v>
      </x:c>
      <x:c r="G251" s="6" t="n">
        <x:v>5</x:v>
      </x:c>
      <x:c r="H251" s="6" t="n">
        <x:v>4</x:v>
      </x:c>
      <x:c r="I251" s="6" t="n">
        <x:f>G251-H251</x:f>
        <x:v>1</x:v>
      </x:c>
      <x:c r="J251" s="6" t="n">
        <x:f>IF(OR(E251="CANCELED",E251="SUSPECTED_FRAUD",F251="Shipping canceled"),0,1)</x:f>
        <x:v>1</x:v>
      </x:c>
      <x:c r="K251" s="6" t="n">
        <x:f>IF(G251&gt;H251,1,0)</x:f>
        <x:v>1</x:v>
      </x:c>
      <x:c r="L251" s="6" t="n">
        <x:f>J251*K251</x:f>
        <x:v>1</x:v>
      </x:c>
    </x:row>
    <x:row r="252">
      <x:c r="A252" s="1" t="n">
        <x:v>2001</x:v>
      </x:c>
      <x:c r="B252" s="5" t="d">
        <x:v>2015-01-30T00:00:00.000Z</x:v>
      </x:c>
      <x:c r="C252" s="1" t="str">
        <x:v>Second Class</x:v>
      </x:c>
      <x:c r="D252" s="1" t="str">
        <x:v>LATAM</x:v>
      </x:c>
      <x:c r="E252" s="1" t="str">
        <x:v>CLOSED</x:v>
      </x:c>
      <x:c r="F252" s="1" t="str">
        <x:v>Shipping on time</x:v>
      </x:c>
      <x:c r="G252" s="6" t="n">
        <x:v>2</x:v>
      </x:c>
      <x:c r="H252" s="6" t="n">
        <x:v>2</x:v>
      </x:c>
      <x:c r="I252" s="6" t="n">
        <x:f>G252-H252</x:f>
        <x:v>0</x:v>
      </x:c>
      <x:c r="J252" s="6" t="n">
        <x:f>IF(OR(E252="CANCELED",E252="SUSPECTED_FRAUD",F252="Shipping canceled"),0,1)</x:f>
        <x:v>1</x:v>
      </x:c>
      <x:c r="K252" s="6" t="n">
        <x:f>IF(G252&gt;H252,1,0)</x:f>
        <x:v>0</x:v>
      </x:c>
      <x:c r="L252" s="6" t="n">
        <x:f>J252*K252</x:f>
        <x:v>0</x:v>
      </x:c>
    </x:row>
    <x:row r="253">
      <x:c r="A253" s="1" t="n">
        <x:v>2006</x:v>
      </x:c>
      <x:c r="B253" s="5" t="d">
        <x:v>2015-01-30T00:00:00.000Z</x:v>
      </x:c>
      <x:c r="C253" s="1" t="str">
        <x:v>Standard Class</x:v>
      </x:c>
      <x:c r="D253" s="1" t="str">
        <x:v>LATAM</x:v>
      </x:c>
      <x:c r="E253" s="1" t="str">
        <x:v>COMPLETE</x:v>
      </x:c>
      <x:c r="F253" s="1" t="str">
        <x:v>Advance shipping</x:v>
      </x:c>
      <x:c r="G253" s="6" t="n">
        <x:v>2</x:v>
      </x:c>
      <x:c r="H253" s="6" t="n">
        <x:v>4</x:v>
      </x:c>
      <x:c r="I253" s="6" t="n">
        <x:f>G253-H253</x:f>
        <x:v>-2</x:v>
      </x:c>
      <x:c r="J253" s="6" t="n">
        <x:f>IF(OR(E253="CANCELED",E253="SUSPECTED_FRAUD",F253="Shipping canceled"),0,1)</x:f>
        <x:v>1</x:v>
      </x:c>
      <x:c r="K253" s="6" t="n">
        <x:f>IF(G253&gt;H253,1,0)</x:f>
        <x:v>0</x:v>
      </x:c>
      <x:c r="L253" s="6" t="n">
        <x:f>J253*K253</x:f>
        <x:v>0</x:v>
      </x:c>
    </x:row>
    <x:row r="254">
      <x:c r="A254" s="1" t="n">
        <x:v>2007</x:v>
      </x:c>
      <x:c r="B254" s="5" t="d">
        <x:v>2015-01-30T00:00:00.000Z</x:v>
      </x:c>
      <x:c r="C254" s="1" t="str">
        <x:v>Standard Class</x:v>
      </x:c>
      <x:c r="D254" s="1" t="str">
        <x:v>LATAM</x:v>
      </x:c>
      <x:c r="E254" s="1" t="str">
        <x:v>ON_HOLD</x:v>
      </x:c>
      <x:c r="F254" s="1" t="str">
        <x:v>Advance shipping</x:v>
      </x:c>
      <x:c r="G254" s="6" t="n">
        <x:v>3</x:v>
      </x:c>
      <x:c r="H254" s="6" t="n">
        <x:v>4</x:v>
      </x:c>
      <x:c r="I254" s="6" t="n">
        <x:f>G254-H254</x:f>
        <x:v>-1</x:v>
      </x:c>
      <x:c r="J254" s="6" t="n">
        <x:f>IF(OR(E254="CANCELED",E254="SUSPECTED_FRAUD",F254="Shipping canceled"),0,1)</x:f>
        <x:v>1</x:v>
      </x:c>
      <x:c r="K254" s="6" t="n">
        <x:f>IF(G254&gt;H254,1,0)</x:f>
        <x:v>0</x:v>
      </x:c>
      <x:c r="L254" s="6" t="n">
        <x:f>J254*K254</x:f>
        <x:v>0</x:v>
      </x:c>
    </x:row>
    <x:row r="255">
      <x:c r="A255" s="1" t="n">
        <x:v>2014</x:v>
      </x:c>
      <x:c r="B255" s="5" t="d">
        <x:v>2015-01-30T00:00:00.000Z</x:v>
      </x:c>
      <x:c r="C255" s="1" t="str">
        <x:v>Standard Class</x:v>
      </x:c>
      <x:c r="D255" s="1" t="str">
        <x:v>LATAM</x:v>
      </x:c>
      <x:c r="E255" s="1" t="str">
        <x:v>PROCESSING</x:v>
      </x:c>
      <x:c r="F255" s="1" t="str">
        <x:v>Late delivery</x:v>
      </x:c>
      <x:c r="G255" s="6" t="n">
        <x:v>5</x:v>
      </x:c>
      <x:c r="H255" s="6" t="n">
        <x:v>4</x:v>
      </x:c>
      <x:c r="I255" s="6" t="n">
        <x:f>G255-H255</x:f>
        <x:v>1</x:v>
      </x:c>
      <x:c r="J255" s="6" t="n">
        <x:f>IF(OR(E255="CANCELED",E255="SUSPECTED_FRAUD",F255="Shipping canceled"),0,1)</x:f>
        <x:v>1</x:v>
      </x:c>
      <x:c r="K255" s="6" t="n">
        <x:f>IF(G255&gt;H255,1,0)</x:f>
        <x:v>1</x:v>
      </x:c>
      <x:c r="L255" s="6" t="n">
        <x:f>J255*K255</x:f>
        <x:v>1</x:v>
      </x:c>
    </x:row>
    <x:row r="256">
      <x:c r="A256" s="1" t="n">
        <x:v>2016</x:v>
      </x:c>
      <x:c r="B256" s="5" t="d">
        <x:v>2015-01-30T00:00:00.000Z</x:v>
      </x:c>
      <x:c r="C256" s="1" t="str">
        <x:v>Same Day</x:v>
      </x:c>
      <x:c r="D256" s="1" t="str">
        <x:v>LATAM</x:v>
      </x:c>
      <x:c r="E256" s="1" t="str">
        <x:v>COMPLETE</x:v>
      </x:c>
      <x:c r="F256" s="1" t="str">
        <x:v>Shipping on time</x:v>
      </x:c>
      <x:c r="G256" s="6" t="n">
        <x:v>0</x:v>
      </x:c>
      <x:c r="H256" s="6" t="n">
        <x:v>0</x:v>
      </x:c>
      <x:c r="I256" s="6" t="n">
        <x:f>G256-H256</x:f>
        <x:v>0</x:v>
      </x:c>
      <x:c r="J256" s="6" t="n">
        <x:f>IF(OR(E256="CANCELED",E256="SUSPECTED_FRAUD",F256="Shipping canceled"),0,1)</x:f>
        <x:v>1</x:v>
      </x:c>
      <x:c r="K256" s="6" t="n">
        <x:f>IF(G256&gt;H256,1,0)</x:f>
        <x:v>0</x:v>
      </x:c>
      <x:c r="L256" s="6" t="n">
        <x:f>J256*K256</x:f>
        <x:v>0</x:v>
      </x:c>
    </x:row>
    <x:row r="257">
      <x:c r="A257" s="1" t="n">
        <x:v>2020</x:v>
      </x:c>
      <x:c r="B257" s="5" t="d">
        <x:v>2015-01-30T00:00:00.000Z</x:v>
      </x:c>
      <x:c r="C257" s="1" t="str">
        <x:v>Second Class</x:v>
      </x:c>
      <x:c r="D257" s="1" t="str">
        <x:v>LATAM</x:v>
      </x:c>
      <x:c r="E257" s="1" t="str">
        <x:v>COMPLETE</x:v>
      </x:c>
      <x:c r="F257" s="1" t="str">
        <x:v>Late delivery</x:v>
      </x:c>
      <x:c r="G257" s="6" t="n">
        <x:v>6</x:v>
      </x:c>
      <x:c r="H257" s="6" t="n">
        <x:v>2</x:v>
      </x:c>
      <x:c r="I257" s="6" t="n">
        <x:f>G257-H257</x:f>
        <x:v>4</x:v>
      </x:c>
      <x:c r="J257" s="6" t="n">
        <x:f>IF(OR(E257="CANCELED",E257="SUSPECTED_FRAUD",F257="Shipping canceled"),0,1)</x:f>
        <x:v>1</x:v>
      </x:c>
      <x:c r="K257" s="6" t="n">
        <x:f>IF(G257&gt;H257,1,0)</x:f>
        <x:v>1</x:v>
      </x:c>
      <x:c r="L257" s="6" t="n">
        <x:f>J257*K257</x:f>
        <x:v>1</x:v>
      </x:c>
    </x:row>
    <x:row r="258">
      <x:c r="A258" s="1" t="n">
        <x:v>2048</x:v>
      </x:c>
      <x:c r="B258" s="5" t="d">
        <x:v>2015-01-30T00:00:00.000Z</x:v>
      </x:c>
      <x:c r="C258" s="1" t="str">
        <x:v>Standard Class</x:v>
      </x:c>
      <x:c r="D258" s="1" t="str">
        <x:v>LATAM</x:v>
      </x:c>
      <x:c r="E258" s="1" t="str">
        <x:v>COMPLETE</x:v>
      </x:c>
      <x:c r="F258" s="1" t="str">
        <x:v>Shipping on time</x:v>
      </x:c>
      <x:c r="G258" s="6" t="n">
        <x:v>4</x:v>
      </x:c>
      <x:c r="H258" s="6" t="n">
        <x:v>4</x:v>
      </x:c>
      <x:c r="I258" s="6" t="n">
        <x:f>G258-H258</x:f>
        <x:v>0</x:v>
      </x:c>
      <x:c r="J258" s="6" t="n">
        <x:f>IF(OR(E258="CANCELED",E258="SUSPECTED_FRAUD",F258="Shipping canceled"),0,1)</x:f>
        <x:v>1</x:v>
      </x:c>
      <x:c r="K258" s="6" t="n">
        <x:f>IF(G258&gt;H258,1,0)</x:f>
        <x:v>0</x:v>
      </x:c>
      <x:c r="L258" s="6" t="n">
        <x:f>J258*K258</x:f>
        <x:v>0</x:v>
      </x:c>
    </x:row>
    <x:row r="259">
      <x:c r="A259" s="1" t="n">
        <x:v>2052</x:v>
      </x:c>
      <x:c r="B259" s="5" t="d">
        <x:v>2015-01-30T00:00:00.000Z</x:v>
      </x:c>
      <x:c r="C259" s="1" t="str">
        <x:v>Standard Class</x:v>
      </x:c>
      <x:c r="D259" s="1" t="str">
        <x:v>LATAM</x:v>
      </x:c>
      <x:c r="E259" s="1" t="str">
        <x:v>SUSPECTED_FRAUD</x:v>
      </x:c>
      <x:c r="F259" s="1" t="str">
        <x:v>Shipping canceled</x:v>
      </x:c>
      <x:c r="G259" s="6" t="n">
        <x:v>3</x:v>
      </x:c>
      <x:c r="H259" s="6" t="n">
        <x:v>4</x:v>
      </x:c>
      <x:c r="I259" s="6" t="n">
        <x:f>G259-H259</x:f>
        <x:v>-1</x:v>
      </x:c>
      <x:c r="J259" s="6" t="n">
        <x:f>IF(OR(E259="CANCELED",E259="SUSPECTED_FRAUD",F259="Shipping canceled"),0,1)</x:f>
        <x:v>0</x:v>
      </x:c>
      <x:c r="K259" s="6" t="n">
        <x:f>IF(G259&gt;H259,1,0)</x:f>
        <x:v>0</x:v>
      </x:c>
      <x:c r="L259" s="6" t="n">
        <x:f>J259*K259</x:f>
        <x:v>0</x:v>
      </x:c>
    </x:row>
    <x:row r="260">
      <x:c r="A260" s="1" t="n">
        <x:v>2055</x:v>
      </x:c>
      <x:c r="B260" s="5" t="d">
        <x:v>2015-01-30T00:00:00.000Z</x:v>
      </x:c>
      <x:c r="C260" s="1" t="str">
        <x:v>Standard Class</x:v>
      </x:c>
      <x:c r="D260" s="1" t="str">
        <x:v>LATAM</x:v>
      </x:c>
      <x:c r="E260" s="1" t="str">
        <x:v>CLOSED</x:v>
      </x:c>
      <x:c r="F260" s="1" t="str">
        <x:v>Late delivery</x:v>
      </x:c>
      <x:c r="G260" s="6" t="n">
        <x:v>6</x:v>
      </x:c>
      <x:c r="H260" s="6" t="n">
        <x:v>4</x:v>
      </x:c>
      <x:c r="I260" s="6" t="n">
        <x:f>G260-H260</x:f>
        <x:v>2</x:v>
      </x:c>
      <x:c r="J260" s="6" t="n">
        <x:f>IF(OR(E260="CANCELED",E260="SUSPECTED_FRAUD",F260="Shipping canceled"),0,1)</x:f>
        <x:v>1</x:v>
      </x:c>
      <x:c r="K260" s="6" t="n">
        <x:f>IF(G260&gt;H260,1,0)</x:f>
        <x:v>1</x:v>
      </x:c>
      <x:c r="L260" s="6" t="n">
        <x:f>J260*K260</x:f>
        <x:v>1</x:v>
      </x:c>
    </x:row>
    <x:row r="261">
      <x:c r="A261" s="1" t="n">
        <x:v>2065</x:v>
      </x:c>
      <x:c r="B261" s="5" t="d">
        <x:v>2015-01-31T00:00:00.000Z</x:v>
      </x:c>
      <x:c r="C261" s="1" t="str">
        <x:v>Standard Class</x:v>
      </x:c>
      <x:c r="D261" s="1" t="str">
        <x:v>LATAM</x:v>
      </x:c>
      <x:c r="E261" s="1" t="str">
        <x:v>COMPLETE</x:v>
      </x:c>
      <x:c r="F261" s="1" t="str">
        <x:v>Late delivery</x:v>
      </x:c>
      <x:c r="G261" s="6" t="n">
        <x:v>6</x:v>
      </x:c>
      <x:c r="H261" s="6" t="n">
        <x:v>4</x:v>
      </x:c>
      <x:c r="I261" s="6" t="n">
        <x:f>G261-H261</x:f>
        <x:v>2</x:v>
      </x:c>
      <x:c r="J261" s="6" t="n">
        <x:f>IF(OR(E261="CANCELED",E261="SUSPECTED_FRAUD",F261="Shipping canceled"),0,1)</x:f>
        <x:v>1</x:v>
      </x:c>
      <x:c r="K261" s="6" t="n">
        <x:f>IF(G261&gt;H261,1,0)</x:f>
        <x:v>1</x:v>
      </x:c>
      <x:c r="L261" s="6" t="n">
        <x:f>J261*K261</x:f>
        <x:v>1</x:v>
      </x:c>
    </x:row>
    <x:row r="262">
      <x:c r="A262" s="1" t="n">
        <x:v>2077</x:v>
      </x:c>
      <x:c r="B262" s="5" t="d">
        <x:v>2015-01-31T00:00:00.000Z</x:v>
      </x:c>
      <x:c r="C262" s="1" t="str">
        <x:v>Second Class</x:v>
      </x:c>
      <x:c r="D262" s="1" t="str">
        <x:v>LATAM</x:v>
      </x:c>
      <x:c r="E262" s="1" t="str">
        <x:v>PROCESSING</x:v>
      </x:c>
      <x:c r="F262" s="1" t="str">
        <x:v>Late delivery</x:v>
      </x:c>
      <x:c r="G262" s="6" t="n">
        <x:v>3</x:v>
      </x:c>
      <x:c r="H262" s="6" t="n">
        <x:v>2</x:v>
      </x:c>
      <x:c r="I262" s="6" t="n">
        <x:f>G262-H262</x:f>
        <x:v>1</x:v>
      </x:c>
      <x:c r="J262" s="6" t="n">
        <x:f>IF(OR(E262="CANCELED",E262="SUSPECTED_FRAUD",F262="Shipping canceled"),0,1)</x:f>
        <x:v>1</x:v>
      </x:c>
      <x:c r="K262" s="6" t="n">
        <x:f>IF(G262&gt;H262,1,0)</x:f>
        <x:v>1</x:v>
      </x:c>
      <x:c r="L262" s="6" t="n">
        <x:f>J262*K262</x:f>
        <x:v>1</x:v>
      </x:c>
    </x:row>
    <x:row r="263">
      <x:c r="A263" s="1" t="n">
        <x:v>2080</x:v>
      </x:c>
      <x:c r="B263" s="5" t="d">
        <x:v>2015-01-31T00:00:00.000Z</x:v>
      </x:c>
      <x:c r="C263" s="1" t="str">
        <x:v>Standard Class</x:v>
      </x:c>
      <x:c r="D263" s="1" t="str">
        <x:v>LATAM</x:v>
      </x:c>
      <x:c r="E263" s="1" t="str">
        <x:v>COMPLETE</x:v>
      </x:c>
      <x:c r="F263" s="1" t="str">
        <x:v>Late delivery</x:v>
      </x:c>
      <x:c r="G263" s="6" t="n">
        <x:v>6</x:v>
      </x:c>
      <x:c r="H263" s="6" t="n">
        <x:v>4</x:v>
      </x:c>
      <x:c r="I263" s="6" t="n">
        <x:f>G263-H263</x:f>
        <x:v>2</x:v>
      </x:c>
      <x:c r="J263" s="6" t="n">
        <x:f>IF(OR(E263="CANCELED",E263="SUSPECTED_FRAUD",F263="Shipping canceled"),0,1)</x:f>
        <x:v>1</x:v>
      </x:c>
      <x:c r="K263" s="6" t="n">
        <x:f>IF(G263&gt;H263,1,0)</x:f>
        <x:v>1</x:v>
      </x:c>
      <x:c r="L263" s="6" t="n">
        <x:f>J263*K263</x:f>
        <x:v>1</x:v>
      </x:c>
    </x:row>
    <x:row r="264">
      <x:c r="A264" s="1" t="n">
        <x:v>2081</x:v>
      </x:c>
      <x:c r="B264" s="5" t="d">
        <x:v>2015-01-31T00:00:00.000Z</x:v>
      </x:c>
      <x:c r="C264" s="1" t="str">
        <x:v>Standard Class</x:v>
      </x:c>
      <x:c r="D264" s="1" t="str">
        <x:v>LATAM</x:v>
      </x:c>
      <x:c r="E264" s="1" t="str">
        <x:v>COMPLETE</x:v>
      </x:c>
      <x:c r="F264" s="1" t="str">
        <x:v>Advance shipping</x:v>
      </x:c>
      <x:c r="G264" s="6" t="n">
        <x:v>2</x:v>
      </x:c>
      <x:c r="H264" s="6" t="n">
        <x:v>4</x:v>
      </x:c>
      <x:c r="I264" s="6" t="n">
        <x:f>G264-H264</x:f>
        <x:v>-2</x:v>
      </x:c>
      <x:c r="J264" s="6" t="n">
        <x:f>IF(OR(E264="CANCELED",E264="SUSPECTED_FRAUD",F264="Shipping canceled"),0,1)</x:f>
        <x:v>1</x:v>
      </x:c>
      <x:c r="K264" s="6" t="n">
        <x:f>IF(G264&gt;H264,1,0)</x:f>
        <x:v>0</x:v>
      </x:c>
      <x:c r="L264" s="6" t="n">
        <x:f>J264*K264</x:f>
        <x:v>0</x:v>
      </x:c>
    </x:row>
    <x:row r="265">
      <x:c r="A265" s="1" t="n">
        <x:v>2118</x:v>
      </x:c>
      <x:c r="B265" s="5" t="d">
        <x:v>2015-01-31T00:00:00.000Z</x:v>
      </x:c>
      <x:c r="C265" s="1" t="str">
        <x:v>Standard Class</x:v>
      </x:c>
      <x:c r="D265" s="1" t="str">
        <x:v>LATAM</x:v>
      </x:c>
      <x:c r="E265" s="1" t="str">
        <x:v>COMPLETE</x:v>
      </x:c>
      <x:c r="F265" s="1" t="str">
        <x:v>Shipping on time</x:v>
      </x:c>
      <x:c r="G265" s="6" t="n">
        <x:v>4</x:v>
      </x:c>
      <x:c r="H265" s="6" t="n">
        <x:v>4</x:v>
      </x:c>
      <x:c r="I265" s="6" t="n">
        <x:f>G265-H265</x:f>
        <x:v>0</x:v>
      </x:c>
      <x:c r="J265" s="6" t="n">
        <x:f>IF(OR(E265="CANCELED",E265="SUSPECTED_FRAUD",F265="Shipping canceled"),0,1)</x:f>
        <x:v>1</x:v>
      </x:c>
      <x:c r="K265" s="6" t="n">
        <x:f>IF(G265&gt;H265,1,0)</x:f>
        <x:v>0</x:v>
      </x:c>
      <x:c r="L265" s="6" t="n">
        <x:f>J265*K265</x:f>
        <x:v>0</x:v>
      </x:c>
    </x:row>
    <x:row r="266">
      <x:c r="A266" s="1" t="n">
        <x:v>2171</x:v>
      </x:c>
      <x:c r="B266" s="5" t="d">
        <x:v>2015-02-01T00:00:00.000Z</x:v>
      </x:c>
      <x:c r="C266" s="1" t="str">
        <x:v>Standard Class</x:v>
      </x:c>
      <x:c r="D266" s="1" t="str">
        <x:v>LATAM</x:v>
      </x:c>
      <x:c r="E266" s="1" t="str">
        <x:v>COMPLETE</x:v>
      </x:c>
      <x:c r="F266" s="1" t="str">
        <x:v>Advance shipping</x:v>
      </x:c>
      <x:c r="G266" s="6" t="n">
        <x:v>2</x:v>
      </x:c>
      <x:c r="H266" s="6" t="n">
        <x:v>4</x:v>
      </x:c>
      <x:c r="I266" s="6" t="n">
        <x:f>G266-H266</x:f>
        <x:v>-2</x:v>
      </x:c>
      <x:c r="J266" s="6" t="n">
        <x:f>IF(OR(E266="CANCELED",E266="SUSPECTED_FRAUD",F266="Shipping canceled"),0,1)</x:f>
        <x:v>1</x:v>
      </x:c>
      <x:c r="K266" s="6" t="n">
        <x:f>IF(G266&gt;H266,1,0)</x:f>
        <x:v>0</x:v>
      </x:c>
      <x:c r="L266" s="6" t="n">
        <x:f>J266*K266</x:f>
        <x:v>0</x:v>
      </x:c>
    </x:row>
    <x:row r="267">
      <x:c r="A267" s="1" t="n">
        <x:v>2187</x:v>
      </x:c>
      <x:c r="B267" s="5" t="d">
        <x:v>2015-02-01T00:00:00.000Z</x:v>
      </x:c>
      <x:c r="C267" s="1" t="str">
        <x:v>Second Class</x:v>
      </x:c>
      <x:c r="D267" s="1" t="str">
        <x:v>LATAM</x:v>
      </x:c>
      <x:c r="E267" s="1" t="str">
        <x:v>COMPLETE</x:v>
      </x:c>
      <x:c r="F267" s="1" t="str">
        <x:v>Late delivery</x:v>
      </x:c>
      <x:c r="G267" s="6" t="n">
        <x:v>3</x:v>
      </x:c>
      <x:c r="H267" s="6" t="n">
        <x:v>2</x:v>
      </x:c>
      <x:c r="I267" s="6" t="n">
        <x:f>G267-H267</x:f>
        <x:v>1</x:v>
      </x:c>
      <x:c r="J267" s="6" t="n">
        <x:f>IF(OR(E267="CANCELED",E267="SUSPECTED_FRAUD",F267="Shipping canceled"),0,1)</x:f>
        <x:v>1</x:v>
      </x:c>
      <x:c r="K267" s="6" t="n">
        <x:f>IF(G267&gt;H267,1,0)</x:f>
        <x:v>1</x:v>
      </x:c>
      <x:c r="L267" s="6" t="n">
        <x:f>J267*K267</x:f>
        <x:v>1</x:v>
      </x:c>
    </x:row>
    <x:row r="268">
      <x:c r="A268" s="1" t="n">
        <x:v>2196</x:v>
      </x:c>
      <x:c r="B268" s="5" t="d">
        <x:v>2015-02-02T00:00:00.000Z</x:v>
      </x:c>
      <x:c r="C268" s="1" t="str">
        <x:v>Standard Class</x:v>
      </x:c>
      <x:c r="D268" s="1" t="str">
        <x:v>LATAM</x:v>
      </x:c>
      <x:c r="E268" s="1" t="str">
        <x:v>PROCESSING</x:v>
      </x:c>
      <x:c r="F268" s="1" t="str">
        <x:v>Advance shipping</x:v>
      </x:c>
      <x:c r="G268" s="6" t="n">
        <x:v>2</x:v>
      </x:c>
      <x:c r="H268" s="6" t="n">
        <x:v>4</x:v>
      </x:c>
      <x:c r="I268" s="6" t="n">
        <x:f>G268-H268</x:f>
        <x:v>-2</x:v>
      </x:c>
      <x:c r="J268" s="6" t="n">
        <x:f>IF(OR(E268="CANCELED",E268="SUSPECTED_FRAUD",F268="Shipping canceled"),0,1)</x:f>
        <x:v>1</x:v>
      </x:c>
      <x:c r="K268" s="6" t="n">
        <x:f>IF(G268&gt;H268,1,0)</x:f>
        <x:v>0</x:v>
      </x:c>
      <x:c r="L268" s="6" t="n">
        <x:f>J268*K268</x:f>
        <x:v>0</x:v>
      </x:c>
    </x:row>
    <x:row r="269">
      <x:c r="A269" s="1" t="n">
        <x:v>2203</x:v>
      </x:c>
      <x:c r="B269" s="5" t="d">
        <x:v>2015-02-02T00:00:00.000Z</x:v>
      </x:c>
      <x:c r="C269" s="1" t="str">
        <x:v>Standard Class</x:v>
      </x:c>
      <x:c r="D269" s="1" t="str">
        <x:v>LATAM</x:v>
      </x:c>
      <x:c r="E269" s="1" t="str">
        <x:v>PROCESSING</x:v>
      </x:c>
      <x:c r="F269" s="1" t="str">
        <x:v>Shipping on time</x:v>
      </x:c>
      <x:c r="G269" s="6" t="n">
        <x:v>4</x:v>
      </x:c>
      <x:c r="H269" s="6" t="n">
        <x:v>4</x:v>
      </x:c>
      <x:c r="I269" s="6" t="n">
        <x:f>G269-H269</x:f>
        <x:v>0</x:v>
      </x:c>
      <x:c r="J269" s="6" t="n">
        <x:f>IF(OR(E269="CANCELED",E269="SUSPECTED_FRAUD",F269="Shipping canceled"),0,1)</x:f>
        <x:v>1</x:v>
      </x:c>
      <x:c r="K269" s="6" t="n">
        <x:f>IF(G269&gt;H269,1,0)</x:f>
        <x:v>0</x:v>
      </x:c>
      <x:c r="L269" s="6" t="n">
        <x:f>J269*K269</x:f>
        <x:v>0</x:v>
      </x:c>
    </x:row>
    <x:row r="270">
      <x:c r="A270" s="1" t="n">
        <x:v>2214</x:v>
      </x:c>
      <x:c r="B270" s="5" t="d">
        <x:v>2015-02-02T00:00:00.000Z</x:v>
      </x:c>
      <x:c r="C270" s="1" t="str">
        <x:v>Standard Class</x:v>
      </x:c>
      <x:c r="D270" s="1" t="str">
        <x:v>LATAM</x:v>
      </x:c>
      <x:c r="E270" s="1" t="str">
        <x:v>PENDING</x:v>
      </x:c>
      <x:c r="F270" s="1" t="str">
        <x:v>Late delivery</x:v>
      </x:c>
      <x:c r="G270" s="6" t="n">
        <x:v>5</x:v>
      </x:c>
      <x:c r="H270" s="6" t="n">
        <x:v>4</x:v>
      </x:c>
      <x:c r="I270" s="6" t="n">
        <x:f>G270-H270</x:f>
        <x:v>1</x:v>
      </x:c>
      <x:c r="J270" s="6" t="n">
        <x:f>IF(OR(E270="CANCELED",E270="SUSPECTED_FRAUD",F270="Shipping canceled"),0,1)</x:f>
        <x:v>1</x:v>
      </x:c>
      <x:c r="K270" s="6" t="n">
        <x:f>IF(G270&gt;H270,1,0)</x:f>
        <x:v>1</x:v>
      </x:c>
      <x:c r="L270" s="6" t="n">
        <x:f>J270*K270</x:f>
        <x:v>1</x:v>
      </x:c>
    </x:row>
    <x:row r="271">
      <x:c r="A271" s="1" t="n">
        <x:v>2232</x:v>
      </x:c>
      <x:c r="B271" s="5" t="d">
        <x:v>2015-02-02T00:00:00.000Z</x:v>
      </x:c>
      <x:c r="C271" s="1" t="str">
        <x:v>Standard Class</x:v>
      </x:c>
      <x:c r="D271" s="1" t="str">
        <x:v>LATAM</x:v>
      </x:c>
      <x:c r="E271" s="1" t="str">
        <x:v>PENDING</x:v>
      </x:c>
      <x:c r="F271" s="1" t="str">
        <x:v>Advance shipping</x:v>
      </x:c>
      <x:c r="G271" s="6" t="n">
        <x:v>3</x:v>
      </x:c>
      <x:c r="H271" s="6" t="n">
        <x:v>4</x:v>
      </x:c>
      <x:c r="I271" s="6" t="n">
        <x:f>G271-H271</x:f>
        <x:v>-1</x:v>
      </x:c>
      <x:c r="J271" s="6" t="n">
        <x:f>IF(OR(E271="CANCELED",E271="SUSPECTED_FRAUD",F271="Shipping canceled"),0,1)</x:f>
        <x:v>1</x:v>
      </x:c>
      <x:c r="K271" s="6" t="n">
        <x:f>IF(G271&gt;H271,1,0)</x:f>
        <x:v>0</x:v>
      </x:c>
      <x:c r="L271" s="6" t="n">
        <x:f>J271*K271</x:f>
        <x:v>0</x:v>
      </x:c>
    </x:row>
    <x:row r="272">
      <x:c r="A272" s="1" t="n">
        <x:v>2250</x:v>
      </x:c>
      <x:c r="B272" s="5" t="d">
        <x:v>2015-02-02T00:00:00.000Z</x:v>
      </x:c>
      <x:c r="C272" s="1" t="str">
        <x:v>Standard Class</x:v>
      </x:c>
      <x:c r="D272" s="1" t="str">
        <x:v>LATAM</x:v>
      </x:c>
      <x:c r="E272" s="1" t="str">
        <x:v>COMPLETE</x:v>
      </x:c>
      <x:c r="F272" s="1" t="str">
        <x:v>Late delivery</x:v>
      </x:c>
      <x:c r="G272" s="6" t="n">
        <x:v>6</x:v>
      </x:c>
      <x:c r="H272" s="6" t="n">
        <x:v>4</x:v>
      </x:c>
      <x:c r="I272" s="6" t="n">
        <x:f>G272-H272</x:f>
        <x:v>2</x:v>
      </x:c>
      <x:c r="J272" s="6" t="n">
        <x:f>IF(OR(E272="CANCELED",E272="SUSPECTED_FRAUD",F272="Shipping canceled"),0,1)</x:f>
        <x:v>1</x:v>
      </x:c>
      <x:c r="K272" s="6" t="n">
        <x:f>IF(G272&gt;H272,1,0)</x:f>
        <x:v>1</x:v>
      </x:c>
      <x:c r="L272" s="6" t="n">
        <x:f>J272*K272</x:f>
        <x:v>1</x:v>
      </x:c>
    </x:row>
    <x:row r="273">
      <x:c r="A273" s="1" t="n">
        <x:v>2253</x:v>
      </x:c>
      <x:c r="B273" s="5" t="d">
        <x:v>2015-02-02T00:00:00.000Z</x:v>
      </x:c>
      <x:c r="C273" s="1" t="str">
        <x:v>Standard Class</x:v>
      </x:c>
      <x:c r="D273" s="1" t="str">
        <x:v>LATAM</x:v>
      </x:c>
      <x:c r="E273" s="1" t="str">
        <x:v>PROCESSING</x:v>
      </x:c>
      <x:c r="F273" s="1" t="str">
        <x:v>Shipping on time</x:v>
      </x:c>
      <x:c r="G273" s="6" t="n">
        <x:v>4</x:v>
      </x:c>
      <x:c r="H273" s="6" t="n">
        <x:v>4</x:v>
      </x:c>
      <x:c r="I273" s="6" t="n">
        <x:f>G273-H273</x:f>
        <x:v>0</x:v>
      </x:c>
      <x:c r="J273" s="6" t="n">
        <x:f>IF(OR(E273="CANCELED",E273="SUSPECTED_FRAUD",F273="Shipping canceled"),0,1)</x:f>
        <x:v>1</x:v>
      </x:c>
      <x:c r="K273" s="6" t="n">
        <x:f>IF(G273&gt;H273,1,0)</x:f>
        <x:v>0</x:v>
      </x:c>
      <x:c r="L273" s="6" t="n">
        <x:f>J273*K273</x:f>
        <x:v>0</x:v>
      </x:c>
    </x:row>
    <x:row r="274">
      <x:c r="A274" s="1" t="n">
        <x:v>2255</x:v>
      </x:c>
      <x:c r="B274" s="5" t="d">
        <x:v>2015-02-02T00:00:00.000Z</x:v>
      </x:c>
      <x:c r="C274" s="1" t="str">
        <x:v>Standard Class</x:v>
      </x:c>
      <x:c r="D274" s="1" t="str">
        <x:v>LATAM</x:v>
      </x:c>
      <x:c r="E274" s="1" t="str">
        <x:v>COMPLETE</x:v>
      </x:c>
      <x:c r="F274" s="1" t="str">
        <x:v>Late delivery</x:v>
      </x:c>
      <x:c r="G274" s="6" t="n">
        <x:v>6</x:v>
      </x:c>
      <x:c r="H274" s="6" t="n">
        <x:v>4</x:v>
      </x:c>
      <x:c r="I274" s="6" t="n">
        <x:f>G274-H274</x:f>
        <x:v>2</x:v>
      </x:c>
      <x:c r="J274" s="6" t="n">
        <x:f>IF(OR(E274="CANCELED",E274="SUSPECTED_FRAUD",F274="Shipping canceled"),0,1)</x:f>
        <x:v>1</x:v>
      </x:c>
      <x:c r="K274" s="6" t="n">
        <x:f>IF(G274&gt;H274,1,0)</x:f>
        <x:v>1</x:v>
      </x:c>
      <x:c r="L274" s="6" t="n">
        <x:f>J274*K274</x:f>
        <x:v>1</x:v>
      </x:c>
    </x:row>
    <x:row r="275">
      <x:c r="A275" s="1" t="n">
        <x:v>2256</x:v>
      </x:c>
      <x:c r="B275" s="5" t="d">
        <x:v>2015-02-02T00:00:00.000Z</x:v>
      </x:c>
      <x:c r="C275" s="1" t="str">
        <x:v>Same Day</x:v>
      </x:c>
      <x:c r="D275" s="1" t="str">
        <x:v>LATAM</x:v>
      </x:c>
      <x:c r="E275" s="1" t="str">
        <x:v>CLOSED</x:v>
      </x:c>
      <x:c r="F275" s="1" t="str">
        <x:v>Late delivery</x:v>
      </x:c>
      <x:c r="G275" s="6" t="n">
        <x:v>1</x:v>
      </x:c>
      <x:c r="H275" s="6" t="n">
        <x:v>0</x:v>
      </x:c>
      <x:c r="I275" s="6" t="n">
        <x:f>G275-H275</x:f>
        <x:v>1</x:v>
      </x:c>
      <x:c r="J275" s="6" t="n">
        <x:f>IF(OR(E275="CANCELED",E275="SUSPECTED_FRAUD",F275="Shipping canceled"),0,1)</x:f>
        <x:v>1</x:v>
      </x:c>
      <x:c r="K275" s="6" t="n">
        <x:f>IF(G275&gt;H275,1,0)</x:f>
        <x:v>1</x:v>
      </x:c>
      <x:c r="L275" s="6" t="n">
        <x:f>J275*K275</x:f>
        <x:v>1</x:v>
      </x:c>
    </x:row>
    <x:row r="276">
      <x:c r="A276" s="1" t="n">
        <x:v>2259</x:v>
      </x:c>
      <x:c r="B276" s="5" t="d">
        <x:v>2015-02-02T00:00:00.000Z</x:v>
      </x:c>
      <x:c r="C276" s="1" t="str">
        <x:v>First Class</x:v>
      </x:c>
      <x:c r="D276" s="1" t="str">
        <x:v>LATAM</x:v>
      </x:c>
      <x:c r="E276" s="1" t="str">
        <x:v>PENDING</x:v>
      </x:c>
      <x:c r="F276" s="1" t="str">
        <x:v>Late delivery</x:v>
      </x:c>
      <x:c r="G276" s="6" t="n">
        <x:v>2</x:v>
      </x:c>
      <x:c r="H276" s="6" t="n">
        <x:v>1</x:v>
      </x:c>
      <x:c r="I276" s="6" t="n">
        <x:f>G276-H276</x:f>
        <x:v>1</x:v>
      </x:c>
      <x:c r="J276" s="6" t="n">
        <x:f>IF(OR(E276="CANCELED",E276="SUSPECTED_FRAUD",F276="Shipping canceled"),0,1)</x:f>
        <x:v>1</x:v>
      </x:c>
      <x:c r="K276" s="6" t="n">
        <x:f>IF(G276&gt;H276,1,0)</x:f>
        <x:v>1</x:v>
      </x:c>
      <x:c r="L276" s="6" t="n">
        <x:f>J276*K276</x:f>
        <x:v>1</x:v>
      </x:c>
    </x:row>
    <x:row r="277">
      <x:c r="A277" s="1" t="n">
        <x:v>2263</x:v>
      </x:c>
      <x:c r="B277" s="5" t="d">
        <x:v>2015-02-03T00:00:00.000Z</x:v>
      </x:c>
      <x:c r="C277" s="1" t="str">
        <x:v>Second Class</x:v>
      </x:c>
      <x:c r="D277" s="1" t="str">
        <x:v>LATAM</x:v>
      </x:c>
      <x:c r="E277" s="1" t="str">
        <x:v>PENDING_PAYMENT</x:v>
      </x:c>
      <x:c r="F277" s="1" t="str">
        <x:v>Late delivery</x:v>
      </x:c>
      <x:c r="G277" s="6" t="n">
        <x:v>4</x:v>
      </x:c>
      <x:c r="H277" s="6" t="n">
        <x:v>2</x:v>
      </x:c>
      <x:c r="I277" s="6" t="n">
        <x:f>G277-H277</x:f>
        <x:v>2</x:v>
      </x:c>
      <x:c r="J277" s="6" t="n">
        <x:f>IF(OR(E277="CANCELED",E277="SUSPECTED_FRAUD",F277="Shipping canceled"),0,1)</x:f>
        <x:v>1</x:v>
      </x:c>
      <x:c r="K277" s="6" t="n">
        <x:f>IF(G277&gt;H277,1,0)</x:f>
        <x:v>1</x:v>
      </x:c>
      <x:c r="L277" s="6" t="n">
        <x:f>J277*K277</x:f>
        <x:v>1</x:v>
      </x:c>
    </x:row>
    <x:row r="278">
      <x:c r="A278" s="1" t="n">
        <x:v>2271</x:v>
      </x:c>
      <x:c r="B278" s="5" t="d">
        <x:v>2015-02-03T00:00:00.000Z</x:v>
      </x:c>
      <x:c r="C278" s="1" t="str">
        <x:v>Second Class</x:v>
      </x:c>
      <x:c r="D278" s="1" t="str">
        <x:v>LATAM</x:v>
      </x:c>
      <x:c r="E278" s="1" t="str">
        <x:v>CANCELED</x:v>
      </x:c>
      <x:c r="F278" s="1" t="str">
        <x:v>Shipping canceled</x:v>
      </x:c>
      <x:c r="G278" s="6" t="n">
        <x:v>2</x:v>
      </x:c>
      <x:c r="H278" s="6" t="n">
        <x:v>2</x:v>
      </x:c>
      <x:c r="I278" s="6" t="n">
        <x:f>G278-H278</x:f>
        <x:v>0</x:v>
      </x:c>
      <x:c r="J278" s="6" t="n">
        <x:f>IF(OR(E278="CANCELED",E278="SUSPECTED_FRAUD",F278="Shipping canceled"),0,1)</x:f>
        <x:v>0</x:v>
      </x:c>
      <x:c r="K278" s="6" t="n">
        <x:f>IF(G278&gt;H278,1,0)</x:f>
        <x:v>0</x:v>
      </x:c>
      <x:c r="L278" s="6" t="n">
        <x:f>J278*K278</x:f>
        <x:v>0</x:v>
      </x:c>
    </x:row>
    <x:row r="279">
      <x:c r="A279" s="1" t="n">
        <x:v>2282</x:v>
      </x:c>
      <x:c r="B279" s="5" t="d">
        <x:v>2015-02-03T00:00:00.000Z</x:v>
      </x:c>
      <x:c r="C279" s="1" t="str">
        <x:v>First Class</x:v>
      </x:c>
      <x:c r="D279" s="1" t="str">
        <x:v>LATAM</x:v>
      </x:c>
      <x:c r="E279" s="1" t="str">
        <x:v>PENDING_PAYMENT</x:v>
      </x:c>
      <x:c r="F279" s="1" t="str">
        <x:v>Late delivery</x:v>
      </x:c>
      <x:c r="G279" s="6" t="n">
        <x:v>2</x:v>
      </x:c>
      <x:c r="H279" s="6" t="n">
        <x:v>1</x:v>
      </x:c>
      <x:c r="I279" s="6" t="n">
        <x:f>G279-H279</x:f>
        <x:v>1</x:v>
      </x:c>
      <x:c r="J279" s="6" t="n">
        <x:f>IF(OR(E279="CANCELED",E279="SUSPECTED_FRAUD",F279="Shipping canceled"),0,1)</x:f>
        <x:v>1</x:v>
      </x:c>
      <x:c r="K279" s="6" t="n">
        <x:f>IF(G279&gt;H279,1,0)</x:f>
        <x:v>1</x:v>
      </x:c>
      <x:c r="L279" s="6" t="n">
        <x:f>J279*K279</x:f>
        <x:v>1</x:v>
      </x:c>
    </x:row>
    <x:row r="280">
      <x:c r="A280" s="1" t="n">
        <x:v>2291</x:v>
      </x:c>
      <x:c r="B280" s="5" t="d">
        <x:v>2015-02-03T00:00:00.000Z</x:v>
      </x:c>
      <x:c r="C280" s="1" t="str">
        <x:v>Standard Class</x:v>
      </x:c>
      <x:c r="D280" s="1" t="str">
        <x:v>LATAM</x:v>
      </x:c>
      <x:c r="E280" s="1" t="str">
        <x:v>PENDING_PAYMENT</x:v>
      </x:c>
      <x:c r="F280" s="1" t="str">
        <x:v>Advance shipping</x:v>
      </x:c>
      <x:c r="G280" s="6" t="n">
        <x:v>2</x:v>
      </x:c>
      <x:c r="H280" s="6" t="n">
        <x:v>4</x:v>
      </x:c>
      <x:c r="I280" s="6" t="n">
        <x:f>G280-H280</x:f>
        <x:v>-2</x:v>
      </x:c>
      <x:c r="J280" s="6" t="n">
        <x:f>IF(OR(E280="CANCELED",E280="SUSPECTED_FRAUD",F280="Shipping canceled"),0,1)</x:f>
        <x:v>1</x:v>
      </x:c>
      <x:c r="K280" s="6" t="n">
        <x:f>IF(G280&gt;H280,1,0)</x:f>
        <x:v>0</x:v>
      </x:c>
      <x:c r="L280" s="6" t="n">
        <x:f>J280*K280</x:f>
        <x:v>0</x:v>
      </x:c>
    </x:row>
    <x:row r="281">
      <x:c r="A281" s="1" t="n">
        <x:v>2293</x:v>
      </x:c>
      <x:c r="B281" s="5" t="d">
        <x:v>2015-02-03T00:00:00.000Z</x:v>
      </x:c>
      <x:c r="C281" s="1" t="str">
        <x:v>Standard Class</x:v>
      </x:c>
      <x:c r="D281" s="1" t="str">
        <x:v>LATAM</x:v>
      </x:c>
      <x:c r="E281" s="1" t="str">
        <x:v>PENDING</x:v>
      </x:c>
      <x:c r="F281" s="1" t="str">
        <x:v>Shipping on time</x:v>
      </x:c>
      <x:c r="G281" s="6" t="n">
        <x:v>4</x:v>
      </x:c>
      <x:c r="H281" s="6" t="n">
        <x:v>4</x:v>
      </x:c>
      <x:c r="I281" s="6" t="n">
        <x:f>G281-H281</x:f>
        <x:v>0</x:v>
      </x:c>
      <x:c r="J281" s="6" t="n">
        <x:f>IF(OR(E281="CANCELED",E281="SUSPECTED_FRAUD",F281="Shipping canceled"),0,1)</x:f>
        <x:v>1</x:v>
      </x:c>
      <x:c r="K281" s="6" t="n">
        <x:f>IF(G281&gt;H281,1,0)</x:f>
        <x:v>0</x:v>
      </x:c>
      <x:c r="L281" s="6" t="n">
        <x:f>J281*K281</x:f>
        <x:v>0</x:v>
      </x:c>
    </x:row>
    <x:row r="282">
      <x:c r="A282" s="1" t="n">
        <x:v>2308</x:v>
      </x:c>
      <x:c r="B282" s="5" t="d">
        <x:v>2015-02-03T00:00:00.000Z</x:v>
      </x:c>
      <x:c r="C282" s="1" t="str">
        <x:v>Second Class</x:v>
      </x:c>
      <x:c r="D282" s="1" t="str">
        <x:v>LATAM</x:v>
      </x:c>
      <x:c r="E282" s="1" t="str">
        <x:v>ON_HOLD</x:v>
      </x:c>
      <x:c r="F282" s="1" t="str">
        <x:v>Late delivery</x:v>
      </x:c>
      <x:c r="G282" s="6" t="n">
        <x:v>4</x:v>
      </x:c>
      <x:c r="H282" s="6" t="n">
        <x:v>2</x:v>
      </x:c>
      <x:c r="I282" s="6" t="n">
        <x:f>G282-H282</x:f>
        <x:v>2</x:v>
      </x:c>
      <x:c r="J282" s="6" t="n">
        <x:f>IF(OR(E282="CANCELED",E282="SUSPECTED_FRAUD",F282="Shipping canceled"),0,1)</x:f>
        <x:v>1</x:v>
      </x:c>
      <x:c r="K282" s="6" t="n">
        <x:f>IF(G282&gt;H282,1,0)</x:f>
        <x:v>1</x:v>
      </x:c>
      <x:c r="L282" s="6" t="n">
        <x:f>J282*K282</x:f>
        <x:v>1</x:v>
      </x:c>
    </x:row>
    <x:row r="283">
      <x:c r="A283" s="1" t="n">
        <x:v>2310</x:v>
      </x:c>
      <x:c r="B283" s="5" t="d">
        <x:v>2015-02-03T00:00:00.000Z</x:v>
      </x:c>
      <x:c r="C283" s="1" t="str">
        <x:v>Standard Class</x:v>
      </x:c>
      <x:c r="D283" s="1" t="str">
        <x:v>LATAM</x:v>
      </x:c>
      <x:c r="E283" s="1" t="str">
        <x:v>CLOSED</x:v>
      </x:c>
      <x:c r="F283" s="1" t="str">
        <x:v>Late delivery</x:v>
      </x:c>
      <x:c r="G283" s="6" t="n">
        <x:v>6</x:v>
      </x:c>
      <x:c r="H283" s="6" t="n">
        <x:v>4</x:v>
      </x:c>
      <x:c r="I283" s="6" t="n">
        <x:f>G283-H283</x:f>
        <x:v>2</x:v>
      </x:c>
      <x:c r="J283" s="6" t="n">
        <x:f>IF(OR(E283="CANCELED",E283="SUSPECTED_FRAUD",F283="Shipping canceled"),0,1)</x:f>
        <x:v>1</x:v>
      </x:c>
      <x:c r="K283" s="6" t="n">
        <x:f>IF(G283&gt;H283,1,0)</x:f>
        <x:v>1</x:v>
      </x:c>
      <x:c r="L283" s="6" t="n">
        <x:f>J283*K283</x:f>
        <x:v>1</x:v>
      </x:c>
    </x:row>
    <x:row r="284">
      <x:c r="A284" s="1" t="n">
        <x:v>2317</x:v>
      </x:c>
      <x:c r="B284" s="5" t="d">
        <x:v>2015-02-03T00:00:00.000Z</x:v>
      </x:c>
      <x:c r="C284" s="1" t="str">
        <x:v>First Class</x:v>
      </x:c>
      <x:c r="D284" s="1" t="str">
        <x:v>LATAM</x:v>
      </x:c>
      <x:c r="E284" s="1" t="str">
        <x:v>CLOSED</x:v>
      </x:c>
      <x:c r="F284" s="1" t="str">
        <x:v>Late delivery</x:v>
      </x:c>
      <x:c r="G284" s="6" t="n">
        <x:v>2</x:v>
      </x:c>
      <x:c r="H284" s="6" t="n">
        <x:v>1</x:v>
      </x:c>
      <x:c r="I284" s="6" t="n">
        <x:f>G284-H284</x:f>
        <x:v>1</x:v>
      </x:c>
      <x:c r="J284" s="6" t="n">
        <x:f>IF(OR(E284="CANCELED",E284="SUSPECTED_FRAUD",F284="Shipping canceled"),0,1)</x:f>
        <x:v>1</x:v>
      </x:c>
      <x:c r="K284" s="6" t="n">
        <x:f>IF(G284&gt;H284,1,0)</x:f>
        <x:v>1</x:v>
      </x:c>
      <x:c r="L284" s="6" t="n">
        <x:f>J284*K284</x:f>
        <x:v>1</x:v>
      </x:c>
    </x:row>
    <x:row r="285">
      <x:c r="A285" s="1" t="n">
        <x:v>2319</x:v>
      </x:c>
      <x:c r="B285" s="5" t="d">
        <x:v>2015-02-03T00:00:00.000Z</x:v>
      </x:c>
      <x:c r="C285" s="1" t="str">
        <x:v>First Class</x:v>
      </x:c>
      <x:c r="D285" s="1" t="str">
        <x:v>LATAM</x:v>
      </x:c>
      <x:c r="E285" s="1" t="str">
        <x:v>PROCESSING</x:v>
      </x:c>
      <x:c r="F285" s="1" t="str">
        <x:v>Late delivery</x:v>
      </x:c>
      <x:c r="G285" s="6" t="n">
        <x:v>2</x:v>
      </x:c>
      <x:c r="H285" s="6" t="n">
        <x:v>1</x:v>
      </x:c>
      <x:c r="I285" s="6" t="n">
        <x:f>G285-H285</x:f>
        <x:v>1</x:v>
      </x:c>
      <x:c r="J285" s="6" t="n">
        <x:f>IF(OR(E285="CANCELED",E285="SUSPECTED_FRAUD",F285="Shipping canceled"),0,1)</x:f>
        <x:v>1</x:v>
      </x:c>
      <x:c r="K285" s="6" t="n">
        <x:f>IF(G285&gt;H285,1,0)</x:f>
        <x:v>1</x:v>
      </x:c>
      <x:c r="L285" s="6" t="n">
        <x:f>J285*K285</x:f>
        <x:v>1</x:v>
      </x:c>
    </x:row>
    <x:row r="286">
      <x:c r="A286" s="1" t="n">
        <x:v>2325</x:v>
      </x:c>
      <x:c r="B286" s="5" t="d">
        <x:v>2015-02-03T00:00:00.000Z</x:v>
      </x:c>
      <x:c r="C286" s="1" t="str">
        <x:v>Standard Class</x:v>
      </x:c>
      <x:c r="D286" s="1" t="str">
        <x:v>LATAM</x:v>
      </x:c>
      <x:c r="E286" s="1" t="str">
        <x:v>SUSPECTED_FRAUD</x:v>
      </x:c>
      <x:c r="F286" s="1" t="str">
        <x:v>Shipping canceled</x:v>
      </x:c>
      <x:c r="G286" s="6" t="n">
        <x:v>6</x:v>
      </x:c>
      <x:c r="H286" s="6" t="n">
        <x:v>4</x:v>
      </x:c>
      <x:c r="I286" s="6" t="n">
        <x:f>G286-H286</x:f>
        <x:v>2</x:v>
      </x:c>
      <x:c r="J286" s="6" t="n">
        <x:f>IF(OR(E286="CANCELED",E286="SUSPECTED_FRAUD",F286="Shipping canceled"),0,1)</x:f>
        <x:v>0</x:v>
      </x:c>
      <x:c r="K286" s="6" t="n">
        <x:f>IF(G286&gt;H286,1,0)</x:f>
        <x:v>1</x:v>
      </x:c>
      <x:c r="L286" s="6" t="n">
        <x:f>J286*K286</x:f>
        <x:v>0</x:v>
      </x:c>
    </x:row>
    <x:row r="287">
      <x:c r="A287" s="1" t="n">
        <x:v>2332</x:v>
      </x:c>
      <x:c r="B287" s="5" t="d">
        <x:v>2015-02-04T00:00:00.000Z</x:v>
      </x:c>
      <x:c r="C287" s="1" t="str">
        <x:v>Standard Class</x:v>
      </x:c>
      <x:c r="D287" s="1" t="str">
        <x:v>LATAM</x:v>
      </x:c>
      <x:c r="E287" s="1" t="str">
        <x:v>SUSPECTED_FRAUD</x:v>
      </x:c>
      <x:c r="F287" s="1" t="str">
        <x:v>Shipping canceled</x:v>
      </x:c>
      <x:c r="G287" s="6" t="n">
        <x:v>3</x:v>
      </x:c>
      <x:c r="H287" s="6" t="n">
        <x:v>4</x:v>
      </x:c>
      <x:c r="I287" s="6" t="n">
        <x:f>G287-H287</x:f>
        <x:v>-1</x:v>
      </x:c>
      <x:c r="J287" s="6" t="n">
        <x:f>IF(OR(E287="CANCELED",E287="SUSPECTED_FRAUD",F287="Shipping canceled"),0,1)</x:f>
        <x:v>0</x:v>
      </x:c>
      <x:c r="K287" s="6" t="n">
        <x:f>IF(G287&gt;H287,1,0)</x:f>
        <x:v>0</x:v>
      </x:c>
      <x:c r="L287" s="6" t="n">
        <x:f>J287*K287</x:f>
        <x:v>0</x:v>
      </x:c>
    </x:row>
    <x:row r="288">
      <x:c r="A288" s="1" t="n">
        <x:v>2350</x:v>
      </x:c>
      <x:c r="B288" s="5" t="d">
        <x:v>2015-02-04T00:00:00.000Z</x:v>
      </x:c>
      <x:c r="C288" s="1" t="str">
        <x:v>Standard Class</x:v>
      </x:c>
      <x:c r="D288" s="1" t="str">
        <x:v>LATAM</x:v>
      </x:c>
      <x:c r="E288" s="1" t="str">
        <x:v>PROCESSING</x:v>
      </x:c>
      <x:c r="F288" s="1" t="str">
        <x:v>Late delivery</x:v>
      </x:c>
      <x:c r="G288" s="6" t="n">
        <x:v>6</x:v>
      </x:c>
      <x:c r="H288" s="6" t="n">
        <x:v>4</x:v>
      </x:c>
      <x:c r="I288" s="6" t="n">
        <x:f>G288-H288</x:f>
        <x:v>2</x:v>
      </x:c>
      <x:c r="J288" s="6" t="n">
        <x:f>IF(OR(E288="CANCELED",E288="SUSPECTED_FRAUD",F288="Shipping canceled"),0,1)</x:f>
        <x:v>1</x:v>
      </x:c>
      <x:c r="K288" s="6" t="n">
        <x:f>IF(G288&gt;H288,1,0)</x:f>
        <x:v>1</x:v>
      </x:c>
      <x:c r="L288" s="6" t="n">
        <x:f>J288*K288</x:f>
        <x:v>1</x:v>
      </x:c>
    </x:row>
    <x:row r="289">
      <x:c r="A289" s="1" t="n">
        <x:v>2356</x:v>
      </x:c>
      <x:c r="B289" s="5" t="d">
        <x:v>2015-02-04T00:00:00.000Z</x:v>
      </x:c>
      <x:c r="C289" s="1" t="str">
        <x:v>Standard Class</x:v>
      </x:c>
      <x:c r="D289" s="1" t="str">
        <x:v>LATAM</x:v>
      </x:c>
      <x:c r="E289" s="1" t="str">
        <x:v>COMPLETE</x:v>
      </x:c>
      <x:c r="F289" s="1" t="str">
        <x:v>Advance shipping</x:v>
      </x:c>
      <x:c r="G289" s="6" t="n">
        <x:v>2</x:v>
      </x:c>
      <x:c r="H289" s="6" t="n">
        <x:v>4</x:v>
      </x:c>
      <x:c r="I289" s="6" t="n">
        <x:f>G289-H289</x:f>
        <x:v>-2</x:v>
      </x:c>
      <x:c r="J289" s="6" t="n">
        <x:f>IF(OR(E289="CANCELED",E289="SUSPECTED_FRAUD",F289="Shipping canceled"),0,1)</x:f>
        <x:v>1</x:v>
      </x:c>
      <x:c r="K289" s="6" t="n">
        <x:f>IF(G289&gt;H289,1,0)</x:f>
        <x:v>0</x:v>
      </x:c>
      <x:c r="L289" s="6" t="n">
        <x:f>J289*K289</x:f>
        <x:v>0</x:v>
      </x:c>
    </x:row>
    <x:row r="290">
      <x:c r="A290" s="1" t="n">
        <x:v>2376</x:v>
      </x:c>
      <x:c r="B290" s="5" t="d">
        <x:v>2015-02-04T00:00:00.000Z</x:v>
      </x:c>
      <x:c r="C290" s="1" t="str">
        <x:v>Standard Class</x:v>
      </x:c>
      <x:c r="D290" s="1" t="str">
        <x:v>LATAM</x:v>
      </x:c>
      <x:c r="E290" s="1" t="str">
        <x:v>PENDING_PAYMENT</x:v>
      </x:c>
      <x:c r="F290" s="1" t="str">
        <x:v>Advance shipping</x:v>
      </x:c>
      <x:c r="G290" s="6" t="n">
        <x:v>2</x:v>
      </x:c>
      <x:c r="H290" s="6" t="n">
        <x:v>4</x:v>
      </x:c>
      <x:c r="I290" s="6" t="n">
        <x:f>G290-H290</x:f>
        <x:v>-2</x:v>
      </x:c>
      <x:c r="J290" s="6" t="n">
        <x:f>IF(OR(E290="CANCELED",E290="SUSPECTED_FRAUD",F290="Shipping canceled"),0,1)</x:f>
        <x:v>1</x:v>
      </x:c>
      <x:c r="K290" s="6" t="n">
        <x:f>IF(G290&gt;H290,1,0)</x:f>
        <x:v>0</x:v>
      </x:c>
      <x:c r="L290" s="6" t="n">
        <x:f>J290*K290</x:f>
        <x:v>0</x:v>
      </x:c>
    </x:row>
    <x:row r="291">
      <x:c r="A291" s="1" t="n">
        <x:v>2387</x:v>
      </x:c>
      <x:c r="B291" s="5" t="d">
        <x:v>2015-02-04T00:00:00.000Z</x:v>
      </x:c>
      <x:c r="C291" s="1" t="str">
        <x:v>Standard Class</x:v>
      </x:c>
      <x:c r="D291" s="1" t="str">
        <x:v>LATAM</x:v>
      </x:c>
      <x:c r="E291" s="1" t="str">
        <x:v>COMPLETE</x:v>
      </x:c>
      <x:c r="F291" s="1" t="str">
        <x:v>Advance shipping</x:v>
      </x:c>
      <x:c r="G291" s="6" t="n">
        <x:v>3</x:v>
      </x:c>
      <x:c r="H291" s="6" t="n">
        <x:v>4</x:v>
      </x:c>
      <x:c r="I291" s="6" t="n">
        <x:f>G291-H291</x:f>
        <x:v>-1</x:v>
      </x:c>
      <x:c r="J291" s="6" t="n">
        <x:f>IF(OR(E291="CANCELED",E291="SUSPECTED_FRAUD",F291="Shipping canceled"),0,1)</x:f>
        <x:v>1</x:v>
      </x:c>
      <x:c r="K291" s="6" t="n">
        <x:f>IF(G291&gt;H291,1,0)</x:f>
        <x:v>0</x:v>
      </x:c>
      <x:c r="L291" s="6" t="n">
        <x:f>J291*K291</x:f>
        <x:v>0</x:v>
      </x:c>
    </x:row>
    <x:row r="292">
      <x:c r="A292" s="1" t="n">
        <x:v>2400</x:v>
      </x:c>
      <x:c r="B292" s="5" t="d">
        <x:v>2015-02-05T00:00:00.000Z</x:v>
      </x:c>
      <x:c r="C292" s="1" t="str">
        <x:v>First Class</x:v>
      </x:c>
      <x:c r="D292" s="1" t="str">
        <x:v>LATAM</x:v>
      </x:c>
      <x:c r="E292" s="1" t="str">
        <x:v>PENDING</x:v>
      </x:c>
      <x:c r="F292" s="1" t="str">
        <x:v>Late delivery</x:v>
      </x:c>
      <x:c r="G292" s="6" t="n">
        <x:v>2</x:v>
      </x:c>
      <x:c r="H292" s="6" t="n">
        <x:v>1</x:v>
      </x:c>
      <x:c r="I292" s="6" t="n">
        <x:f>G292-H292</x:f>
        <x:v>1</x:v>
      </x:c>
      <x:c r="J292" s="6" t="n">
        <x:f>IF(OR(E292="CANCELED",E292="SUSPECTED_FRAUD",F292="Shipping canceled"),0,1)</x:f>
        <x:v>1</x:v>
      </x:c>
      <x:c r="K292" s="6" t="n">
        <x:f>IF(G292&gt;H292,1,0)</x:f>
        <x:v>1</x:v>
      </x:c>
      <x:c r="L292" s="6" t="n">
        <x:f>J292*K292</x:f>
        <x:v>1</x:v>
      </x:c>
    </x:row>
    <x:row r="293">
      <x:c r="A293" s="1" t="n">
        <x:v>2409</x:v>
      </x:c>
      <x:c r="B293" s="5" t="d">
        <x:v>2015-02-05T00:00:00.000Z</x:v>
      </x:c>
      <x:c r="C293" s="1" t="str">
        <x:v>First Class</x:v>
      </x:c>
      <x:c r="D293" s="1" t="str">
        <x:v>LATAM</x:v>
      </x:c>
      <x:c r="E293" s="1" t="str">
        <x:v>PROCESSING</x:v>
      </x:c>
      <x:c r="F293" s="1" t="str">
        <x:v>Late delivery</x:v>
      </x:c>
      <x:c r="G293" s="6" t="n">
        <x:v>2</x:v>
      </x:c>
      <x:c r="H293" s="6" t="n">
        <x:v>1</x:v>
      </x:c>
      <x:c r="I293" s="6" t="n">
        <x:f>G293-H293</x:f>
        <x:v>1</x:v>
      </x:c>
      <x:c r="J293" s="6" t="n">
        <x:f>IF(OR(E293="CANCELED",E293="SUSPECTED_FRAUD",F293="Shipping canceled"),0,1)</x:f>
        <x:v>1</x:v>
      </x:c>
      <x:c r="K293" s="6" t="n">
        <x:f>IF(G293&gt;H293,1,0)</x:f>
        <x:v>1</x:v>
      </x:c>
      <x:c r="L293" s="6" t="n">
        <x:f>J293*K293</x:f>
        <x:v>1</x:v>
      </x:c>
    </x:row>
    <x:row r="294">
      <x:c r="A294" s="1" t="n">
        <x:v>2428</x:v>
      </x:c>
      <x:c r="B294" s="5" t="d">
        <x:v>2015-02-05T00:00:00.000Z</x:v>
      </x:c>
      <x:c r="C294" s="1" t="str">
        <x:v>Standard Class</x:v>
      </x:c>
      <x:c r="D294" s="1" t="str">
        <x:v>LATAM</x:v>
      </x:c>
      <x:c r="E294" s="1" t="str">
        <x:v>PROCESSING</x:v>
      </x:c>
      <x:c r="F294" s="1" t="str">
        <x:v>Shipping on time</x:v>
      </x:c>
      <x:c r="G294" s="6" t="n">
        <x:v>4</x:v>
      </x:c>
      <x:c r="H294" s="6" t="n">
        <x:v>4</x:v>
      </x:c>
      <x:c r="I294" s="6" t="n">
        <x:f>G294-H294</x:f>
        <x:v>0</x:v>
      </x:c>
      <x:c r="J294" s="6" t="n">
        <x:f>IF(OR(E294="CANCELED",E294="SUSPECTED_FRAUD",F294="Shipping canceled"),0,1)</x:f>
        <x:v>1</x:v>
      </x:c>
      <x:c r="K294" s="6" t="n">
        <x:f>IF(G294&gt;H294,1,0)</x:f>
        <x:v>0</x:v>
      </x:c>
      <x:c r="L294" s="6" t="n">
        <x:f>J294*K294</x:f>
        <x:v>0</x:v>
      </x:c>
    </x:row>
    <x:row r="295">
      <x:c r="A295" s="1" t="n">
        <x:v>2435</x:v>
      </x:c>
      <x:c r="B295" s="5" t="d">
        <x:v>2015-02-05T00:00:00.000Z</x:v>
      </x:c>
      <x:c r="C295" s="1" t="str">
        <x:v>First Class</x:v>
      </x:c>
      <x:c r="D295" s="1" t="str">
        <x:v>LATAM</x:v>
      </x:c>
      <x:c r="E295" s="1" t="str">
        <x:v>PENDING</x:v>
      </x:c>
      <x:c r="F295" s="1" t="str">
        <x:v>Late delivery</x:v>
      </x:c>
      <x:c r="G295" s="6" t="n">
        <x:v>2</x:v>
      </x:c>
      <x:c r="H295" s="6" t="n">
        <x:v>1</x:v>
      </x:c>
      <x:c r="I295" s="6" t="n">
        <x:f>G295-H295</x:f>
        <x:v>1</x:v>
      </x:c>
      <x:c r="J295" s="6" t="n">
        <x:f>IF(OR(E295="CANCELED",E295="SUSPECTED_FRAUD",F295="Shipping canceled"),0,1)</x:f>
        <x:v>1</x:v>
      </x:c>
      <x:c r="K295" s="6" t="n">
        <x:f>IF(G295&gt;H295,1,0)</x:f>
        <x:v>1</x:v>
      </x:c>
      <x:c r="L295" s="6" t="n">
        <x:f>J295*K295</x:f>
        <x:v>1</x:v>
      </x:c>
    </x:row>
    <x:row r="296">
      <x:c r="A296" s="1" t="n">
        <x:v>2442</x:v>
      </x:c>
      <x:c r="B296" s="5" t="d">
        <x:v>2015-02-05T00:00:00.000Z</x:v>
      </x:c>
      <x:c r="C296" s="1" t="str">
        <x:v>Standard Class</x:v>
      </x:c>
      <x:c r="D296" s="1" t="str">
        <x:v>LATAM</x:v>
      </x:c>
      <x:c r="E296" s="1" t="str">
        <x:v>COMPLETE</x:v>
      </x:c>
      <x:c r="F296" s="1" t="str">
        <x:v>Advance shipping</x:v>
      </x:c>
      <x:c r="G296" s="6" t="n">
        <x:v>3</x:v>
      </x:c>
      <x:c r="H296" s="6" t="n">
        <x:v>4</x:v>
      </x:c>
      <x:c r="I296" s="6" t="n">
        <x:f>G296-H296</x:f>
        <x:v>-1</x:v>
      </x:c>
      <x:c r="J296" s="6" t="n">
        <x:f>IF(OR(E296="CANCELED",E296="SUSPECTED_FRAUD",F296="Shipping canceled"),0,1)</x:f>
        <x:v>1</x:v>
      </x:c>
      <x:c r="K296" s="6" t="n">
        <x:f>IF(G296&gt;H296,1,0)</x:f>
        <x:v>0</x:v>
      </x:c>
      <x:c r="L296" s="6" t="n">
        <x:f>J296*K296</x:f>
        <x:v>0</x:v>
      </x:c>
    </x:row>
    <x:row r="297">
      <x:c r="A297" s="1" t="n">
        <x:v>2450</x:v>
      </x:c>
      <x:c r="B297" s="5" t="d">
        <x:v>2015-02-05T00:00:00.000Z</x:v>
      </x:c>
      <x:c r="C297" s="1" t="str">
        <x:v>Standard Class</x:v>
      </x:c>
      <x:c r="D297" s="1" t="str">
        <x:v>LATAM</x:v>
      </x:c>
      <x:c r="E297" s="1" t="str">
        <x:v>COMPLETE</x:v>
      </x:c>
      <x:c r="F297" s="1" t="str">
        <x:v>Late delivery</x:v>
      </x:c>
      <x:c r="G297" s="6" t="n">
        <x:v>6</x:v>
      </x:c>
      <x:c r="H297" s="6" t="n">
        <x:v>4</x:v>
      </x:c>
      <x:c r="I297" s="6" t="n">
        <x:f>G297-H297</x:f>
        <x:v>2</x:v>
      </x:c>
      <x:c r="J297" s="6" t="n">
        <x:f>IF(OR(E297="CANCELED",E297="SUSPECTED_FRAUD",F297="Shipping canceled"),0,1)</x:f>
        <x:v>1</x:v>
      </x:c>
      <x:c r="K297" s="6" t="n">
        <x:f>IF(G297&gt;H297,1,0)</x:f>
        <x:v>1</x:v>
      </x:c>
      <x:c r="L297" s="6" t="n">
        <x:f>J297*K297</x:f>
        <x:v>1</x:v>
      </x:c>
    </x:row>
    <x:row r="298">
      <x:c r="A298" s="1" t="n">
        <x:v>2455</x:v>
      </x:c>
      <x:c r="B298" s="5" t="d">
        <x:v>2015-02-05T00:00:00.000Z</x:v>
      </x:c>
      <x:c r="C298" s="1" t="str">
        <x:v>Standard Class</x:v>
      </x:c>
      <x:c r="D298" s="1" t="str">
        <x:v>LATAM</x:v>
      </x:c>
      <x:c r="E298" s="1" t="str">
        <x:v>COMPLETE</x:v>
      </x:c>
      <x:c r="F298" s="1" t="str">
        <x:v>Late delivery</x:v>
      </x:c>
      <x:c r="G298" s="6" t="n">
        <x:v>6</x:v>
      </x:c>
      <x:c r="H298" s="6" t="n">
        <x:v>4</x:v>
      </x:c>
      <x:c r="I298" s="6" t="n">
        <x:f>G298-H298</x:f>
        <x:v>2</x:v>
      </x:c>
      <x:c r="J298" s="6" t="n">
        <x:f>IF(OR(E298="CANCELED",E298="SUSPECTED_FRAUD",F298="Shipping canceled"),0,1)</x:f>
        <x:v>1</x:v>
      </x:c>
      <x:c r="K298" s="6" t="n">
        <x:f>IF(G298&gt;H298,1,0)</x:f>
        <x:v>1</x:v>
      </x:c>
      <x:c r="L298" s="6" t="n">
        <x:f>J298*K298</x:f>
        <x:v>1</x:v>
      </x:c>
    </x:row>
    <x:row r="299">
      <x:c r="A299" s="1" t="n">
        <x:v>2456</x:v>
      </x:c>
      <x:c r="B299" s="5" t="d">
        <x:v>2015-02-05T00:00:00.000Z</x:v>
      </x:c>
      <x:c r="C299" s="1" t="str">
        <x:v>Standard Class</x:v>
      </x:c>
      <x:c r="D299" s="1" t="str">
        <x:v>LATAM</x:v>
      </x:c>
      <x:c r="E299" s="1" t="str">
        <x:v>CLOSED</x:v>
      </x:c>
      <x:c r="F299" s="1" t="str">
        <x:v>Advance shipping</x:v>
      </x:c>
      <x:c r="G299" s="6" t="n">
        <x:v>2</x:v>
      </x:c>
      <x:c r="H299" s="6" t="n">
        <x:v>4</x:v>
      </x:c>
      <x:c r="I299" s="6" t="n">
        <x:f>G299-H299</x:f>
        <x:v>-2</x:v>
      </x:c>
      <x:c r="J299" s="6" t="n">
        <x:f>IF(OR(E299="CANCELED",E299="SUSPECTED_FRAUD",F299="Shipping canceled"),0,1)</x:f>
        <x:v>1</x:v>
      </x:c>
      <x:c r="K299" s="6" t="n">
        <x:f>IF(G299&gt;H299,1,0)</x:f>
        <x:v>0</x:v>
      </x:c>
      <x:c r="L299" s="6" t="n">
        <x:f>J299*K299</x:f>
        <x:v>0</x:v>
      </x:c>
    </x:row>
    <x:row r="300">
      <x:c r="A300" s="1" t="n">
        <x:v>2459</x:v>
      </x:c>
      <x:c r="B300" s="5" t="d">
        <x:v>2015-02-05T00:00:00.000Z</x:v>
      </x:c>
      <x:c r="C300" s="1" t="str">
        <x:v>Standard Class</x:v>
      </x:c>
      <x:c r="D300" s="1" t="str">
        <x:v>LATAM</x:v>
      </x:c>
      <x:c r="E300" s="1" t="str">
        <x:v>CLOSED</x:v>
      </x:c>
      <x:c r="F300" s="1" t="str">
        <x:v>Late delivery</x:v>
      </x:c>
      <x:c r="G300" s="6" t="n">
        <x:v>5</x:v>
      </x:c>
      <x:c r="H300" s="6" t="n">
        <x:v>4</x:v>
      </x:c>
      <x:c r="I300" s="6" t="n">
        <x:f>G300-H300</x:f>
        <x:v>1</x:v>
      </x:c>
      <x:c r="J300" s="6" t="n">
        <x:f>IF(OR(E300="CANCELED",E300="SUSPECTED_FRAUD",F300="Shipping canceled"),0,1)</x:f>
        <x:v>1</x:v>
      </x:c>
      <x:c r="K300" s="6" t="n">
        <x:f>IF(G300&gt;H300,1,0)</x:f>
        <x:v>1</x:v>
      </x:c>
      <x:c r="L300" s="6" t="n">
        <x:f>J300*K300</x:f>
        <x:v>1</x:v>
      </x:c>
    </x:row>
    <x:row r="301">
      <x:c r="A301" s="1" t="n">
        <x:v>2467</x:v>
      </x:c>
      <x:c r="B301" s="5" t="d">
        <x:v>2015-02-05T00:00:00.000Z</x:v>
      </x:c>
      <x:c r="C301" s="1" t="str">
        <x:v>First Class</x:v>
      </x:c>
      <x:c r="D301" s="1" t="str">
        <x:v>LATAM</x:v>
      </x:c>
      <x:c r="E301" s="1" t="str">
        <x:v>CLOSED</x:v>
      </x:c>
      <x:c r="F301" s="1" t="str">
        <x:v>Late delivery</x:v>
      </x:c>
      <x:c r="G301" s="6" t="n">
        <x:v>2</x:v>
      </x:c>
      <x:c r="H301" s="6" t="n">
        <x:v>1</x:v>
      </x:c>
      <x:c r="I301" s="6" t="n">
        <x:f>G301-H301</x:f>
        <x:v>1</x:v>
      </x:c>
      <x:c r="J301" s="6" t="n">
        <x:f>IF(OR(E301="CANCELED",E301="SUSPECTED_FRAUD",F301="Shipping canceled"),0,1)</x:f>
        <x:v>1</x:v>
      </x:c>
      <x:c r="K301" s="6" t="n">
        <x:f>IF(G301&gt;H301,1,0)</x:f>
        <x:v>1</x:v>
      </x:c>
      <x:c r="L301" s="6" t="n">
        <x:f>J301*K301</x:f>
        <x:v>1</x:v>
      </x:c>
    </x:row>
    <x:row r="302">
      <x:c r="A302" s="1" t="n">
        <x:v>2474</x:v>
      </x:c>
      <x:c r="B302" s="5" t="d">
        <x:v>2015-02-06T00:00:00.000Z</x:v>
      </x:c>
      <x:c r="C302" s="1" t="str">
        <x:v>Standard Class</x:v>
      </x:c>
      <x:c r="D302" s="1" t="str">
        <x:v>LATAM</x:v>
      </x:c>
      <x:c r="E302" s="1" t="str">
        <x:v>COMPLETE</x:v>
      </x:c>
      <x:c r="F302" s="1" t="str">
        <x:v>Late delivery</x:v>
      </x:c>
      <x:c r="G302" s="6" t="n">
        <x:v>5</x:v>
      </x:c>
      <x:c r="H302" s="6" t="n">
        <x:v>4</x:v>
      </x:c>
      <x:c r="I302" s="6" t="n">
        <x:f>G302-H302</x:f>
        <x:v>1</x:v>
      </x:c>
      <x:c r="J302" s="6" t="n">
        <x:f>IF(OR(E302="CANCELED",E302="SUSPECTED_FRAUD",F302="Shipping canceled"),0,1)</x:f>
        <x:v>1</x:v>
      </x:c>
      <x:c r="K302" s="6" t="n">
        <x:f>IF(G302&gt;H302,1,0)</x:f>
        <x:v>1</x:v>
      </x:c>
      <x:c r="L302" s="6" t="n">
        <x:f>J302*K302</x:f>
        <x:v>1</x:v>
      </x:c>
    </x:row>
    <x:row r="303">
      <x:c r="A303" s="1" t="n">
        <x:v>2481</x:v>
      </x:c>
      <x:c r="B303" s="5" t="d">
        <x:v>2015-02-06T00:00:00.000Z</x:v>
      </x:c>
      <x:c r="C303" s="1" t="str">
        <x:v>Standard Class</x:v>
      </x:c>
      <x:c r="D303" s="1" t="str">
        <x:v>LATAM</x:v>
      </x:c>
      <x:c r="E303" s="1" t="str">
        <x:v>COMPLETE</x:v>
      </x:c>
      <x:c r="F303" s="1" t="str">
        <x:v>Advance shipping</x:v>
      </x:c>
      <x:c r="G303" s="6" t="n">
        <x:v>2</x:v>
      </x:c>
      <x:c r="H303" s="6" t="n">
        <x:v>4</x:v>
      </x:c>
      <x:c r="I303" s="6" t="n">
        <x:f>G303-H303</x:f>
        <x:v>-2</x:v>
      </x:c>
      <x:c r="J303" s="6" t="n">
        <x:f>IF(OR(E303="CANCELED",E303="SUSPECTED_FRAUD",F303="Shipping canceled"),0,1)</x:f>
        <x:v>1</x:v>
      </x:c>
      <x:c r="K303" s="6" t="n">
        <x:f>IF(G303&gt;H303,1,0)</x:f>
        <x:v>0</x:v>
      </x:c>
      <x:c r="L303" s="6" t="n">
        <x:f>J303*K303</x:f>
        <x:v>0</x:v>
      </x:c>
    </x:row>
    <x:row r="304">
      <x:c r="A304" s="1" t="n">
        <x:v>2484</x:v>
      </x:c>
      <x:c r="B304" s="5" t="d">
        <x:v>2015-02-06T00:00:00.000Z</x:v>
      </x:c>
      <x:c r="C304" s="1" t="str">
        <x:v>Standard Class</x:v>
      </x:c>
      <x:c r="D304" s="1" t="str">
        <x:v>LATAM</x:v>
      </x:c>
      <x:c r="E304" s="1" t="str">
        <x:v>COMPLETE</x:v>
      </x:c>
      <x:c r="F304" s="1" t="str">
        <x:v>Late delivery</x:v>
      </x:c>
      <x:c r="G304" s="6" t="n">
        <x:v>5</x:v>
      </x:c>
      <x:c r="H304" s="6" t="n">
        <x:v>4</x:v>
      </x:c>
      <x:c r="I304" s="6" t="n">
        <x:f>G304-H304</x:f>
        <x:v>1</x:v>
      </x:c>
      <x:c r="J304" s="6" t="n">
        <x:f>IF(OR(E304="CANCELED",E304="SUSPECTED_FRAUD",F304="Shipping canceled"),0,1)</x:f>
        <x:v>1</x:v>
      </x:c>
      <x:c r="K304" s="6" t="n">
        <x:f>IF(G304&gt;H304,1,0)</x:f>
        <x:v>1</x:v>
      </x:c>
      <x:c r="L304" s="6" t="n">
        <x:f>J304*K304</x:f>
        <x:v>1</x:v>
      </x:c>
    </x:row>
    <x:row r="305">
      <x:c r="A305" s="1" t="n">
        <x:v>2502</x:v>
      </x:c>
      <x:c r="B305" s="5" t="d">
        <x:v>2015-02-06T00:00:00.000Z</x:v>
      </x:c>
      <x:c r="C305" s="1" t="str">
        <x:v>Standard Class</x:v>
      </x:c>
      <x:c r="D305" s="1" t="str">
        <x:v>LATAM</x:v>
      </x:c>
      <x:c r="E305" s="1" t="str">
        <x:v>SUSPECTED_FRAUD</x:v>
      </x:c>
      <x:c r="F305" s="1" t="str">
        <x:v>Shipping canceled</x:v>
      </x:c>
      <x:c r="G305" s="6" t="n">
        <x:v>3</x:v>
      </x:c>
      <x:c r="H305" s="6" t="n">
        <x:v>4</x:v>
      </x:c>
      <x:c r="I305" s="6" t="n">
        <x:f>G305-H305</x:f>
        <x:v>-1</x:v>
      </x:c>
      <x:c r="J305" s="6" t="n">
        <x:f>IF(OR(E305="CANCELED",E305="SUSPECTED_FRAUD",F305="Shipping canceled"),0,1)</x:f>
        <x:v>0</x:v>
      </x:c>
      <x:c r="K305" s="6" t="n">
        <x:f>IF(G305&gt;H305,1,0)</x:f>
        <x:v>0</x:v>
      </x:c>
      <x:c r="L305" s="6" t="n">
        <x:f>J305*K305</x:f>
        <x:v>0</x:v>
      </x:c>
    </x:row>
    <x:row r="306">
      <x:c r="A306" s="1" t="n">
        <x:v>2506</x:v>
      </x:c>
      <x:c r="B306" s="5" t="d">
        <x:v>2015-02-06T00:00:00.000Z</x:v>
      </x:c>
      <x:c r="C306" s="1" t="str">
        <x:v>Standard Class</x:v>
      </x:c>
      <x:c r="D306" s="1" t="str">
        <x:v>LATAM</x:v>
      </x:c>
      <x:c r="E306" s="1" t="str">
        <x:v>CLOSED</x:v>
      </x:c>
      <x:c r="F306" s="1" t="str">
        <x:v>Advance shipping</x:v>
      </x:c>
      <x:c r="G306" s="6" t="n">
        <x:v>2</x:v>
      </x:c>
      <x:c r="H306" s="6" t="n">
        <x:v>4</x:v>
      </x:c>
      <x:c r="I306" s="6" t="n">
        <x:f>G306-H306</x:f>
        <x:v>-2</x:v>
      </x:c>
      <x:c r="J306" s="6" t="n">
        <x:f>IF(OR(E306="CANCELED",E306="SUSPECTED_FRAUD",F306="Shipping canceled"),0,1)</x:f>
        <x:v>1</x:v>
      </x:c>
      <x:c r="K306" s="6" t="n">
        <x:f>IF(G306&gt;H306,1,0)</x:f>
        <x:v>0</x:v>
      </x:c>
      <x:c r="L306" s="6" t="n">
        <x:f>J306*K306</x:f>
        <x:v>0</x:v>
      </x:c>
    </x:row>
    <x:row r="307">
      <x:c r="A307" s="1" t="n">
        <x:v>2510</x:v>
      </x:c>
      <x:c r="B307" s="5" t="d">
        <x:v>2015-02-06T00:00:00.000Z</x:v>
      </x:c>
      <x:c r="C307" s="1" t="str">
        <x:v>Standard Class</x:v>
      </x:c>
      <x:c r="D307" s="1" t="str">
        <x:v>LATAM</x:v>
      </x:c>
      <x:c r="E307" s="1" t="str">
        <x:v>CANCELED</x:v>
      </x:c>
      <x:c r="F307" s="1" t="str">
        <x:v>Shipping canceled</x:v>
      </x:c>
      <x:c r="G307" s="6" t="n">
        <x:v>6</x:v>
      </x:c>
      <x:c r="H307" s="6" t="n">
        <x:v>4</x:v>
      </x:c>
      <x:c r="I307" s="6" t="n">
        <x:f>G307-H307</x:f>
        <x:v>2</x:v>
      </x:c>
      <x:c r="J307" s="6" t="n">
        <x:f>IF(OR(E307="CANCELED",E307="SUSPECTED_FRAUD",F307="Shipping canceled"),0,1)</x:f>
        <x:v>0</x:v>
      </x:c>
      <x:c r="K307" s="6" t="n">
        <x:f>IF(G307&gt;H307,1,0)</x:f>
        <x:v>1</x:v>
      </x:c>
      <x:c r="L307" s="6" t="n">
        <x:f>J307*K307</x:f>
        <x:v>0</x:v>
      </x:c>
    </x:row>
    <x:row r="308">
      <x:c r="A308" s="1" t="n">
        <x:v>2512</x:v>
      </x:c>
      <x:c r="B308" s="5" t="d">
        <x:v>2015-02-06T00:00:00.000Z</x:v>
      </x:c>
      <x:c r="C308" s="1" t="str">
        <x:v>Second Class</x:v>
      </x:c>
      <x:c r="D308" s="1" t="str">
        <x:v>LATAM</x:v>
      </x:c>
      <x:c r="E308" s="1" t="str">
        <x:v>PENDING</x:v>
      </x:c>
      <x:c r="F308" s="1" t="str">
        <x:v>Late delivery</x:v>
      </x:c>
      <x:c r="G308" s="6" t="n">
        <x:v>3</x:v>
      </x:c>
      <x:c r="H308" s="6" t="n">
        <x:v>2</x:v>
      </x:c>
      <x:c r="I308" s="6" t="n">
        <x:f>G308-H308</x:f>
        <x:v>1</x:v>
      </x:c>
      <x:c r="J308" s="6" t="n">
        <x:f>IF(OR(E308="CANCELED",E308="SUSPECTED_FRAUD",F308="Shipping canceled"),0,1)</x:f>
        <x:v>1</x:v>
      </x:c>
      <x:c r="K308" s="6" t="n">
        <x:f>IF(G308&gt;H308,1,0)</x:f>
        <x:v>1</x:v>
      </x:c>
      <x:c r="L308" s="6" t="n">
        <x:f>J308*K308</x:f>
        <x:v>1</x:v>
      </x:c>
    </x:row>
    <x:row r="309">
      <x:c r="A309" s="1" t="n">
        <x:v>2519</x:v>
      </x:c>
      <x:c r="B309" s="5" t="d">
        <x:v>2015-02-06T00:00:00.000Z</x:v>
      </x:c>
      <x:c r="C309" s="1" t="str">
        <x:v>Standard Class</x:v>
      </x:c>
      <x:c r="D309" s="1" t="str">
        <x:v>LATAM</x:v>
      </x:c>
      <x:c r="E309" s="1" t="str">
        <x:v>PENDING</x:v>
      </x:c>
      <x:c r="F309" s="1" t="str">
        <x:v>Late delivery</x:v>
      </x:c>
      <x:c r="G309" s="6" t="n">
        <x:v>5</x:v>
      </x:c>
      <x:c r="H309" s="6" t="n">
        <x:v>4</x:v>
      </x:c>
      <x:c r="I309" s="6" t="n">
        <x:f>G309-H309</x:f>
        <x:v>1</x:v>
      </x:c>
      <x:c r="J309" s="6" t="n">
        <x:f>IF(OR(E309="CANCELED",E309="SUSPECTED_FRAUD",F309="Shipping canceled"),0,1)</x:f>
        <x:v>1</x:v>
      </x:c>
      <x:c r="K309" s="6" t="n">
        <x:f>IF(G309&gt;H309,1,0)</x:f>
        <x:v>1</x:v>
      </x:c>
      <x:c r="L309" s="6" t="n">
        <x:f>J309*K309</x:f>
        <x:v>1</x:v>
      </x:c>
    </x:row>
    <x:row r="310">
      <x:c r="A310" s="1" t="n">
        <x:v>2524</x:v>
      </x:c>
      <x:c r="B310" s="5" t="d">
        <x:v>2015-02-06T00:00:00.000Z</x:v>
      </x:c>
      <x:c r="C310" s="1" t="str">
        <x:v>Standard Class</x:v>
      </x:c>
      <x:c r="D310" s="1" t="str">
        <x:v>LATAM</x:v>
      </x:c>
      <x:c r="E310" s="1" t="str">
        <x:v>COMPLETE</x:v>
      </x:c>
      <x:c r="F310" s="1" t="str">
        <x:v>Late delivery</x:v>
      </x:c>
      <x:c r="G310" s="6" t="n">
        <x:v>5</x:v>
      </x:c>
      <x:c r="H310" s="6" t="n">
        <x:v>4</x:v>
      </x:c>
      <x:c r="I310" s="6" t="n">
        <x:f>G310-H310</x:f>
        <x:v>1</x:v>
      </x:c>
      <x:c r="J310" s="6" t="n">
        <x:f>IF(OR(E310="CANCELED",E310="SUSPECTED_FRAUD",F310="Shipping canceled"),0,1)</x:f>
        <x:v>1</x:v>
      </x:c>
      <x:c r="K310" s="6" t="n">
        <x:f>IF(G310&gt;H310,1,0)</x:f>
        <x:v>1</x:v>
      </x:c>
      <x:c r="L310" s="6" t="n">
        <x:f>J310*K310</x:f>
        <x:v>1</x:v>
      </x:c>
    </x:row>
    <x:row r="311">
      <x:c r="A311" s="1" t="n">
        <x:v>2545</x:v>
      </x:c>
      <x:c r="B311" s="5" t="d">
        <x:v>2015-02-07T00:00:00.000Z</x:v>
      </x:c>
      <x:c r="C311" s="1" t="str">
        <x:v>Standard Class</x:v>
      </x:c>
      <x:c r="D311" s="1" t="str">
        <x:v>LATAM</x:v>
      </x:c>
      <x:c r="E311" s="1" t="str">
        <x:v>COMPLETE</x:v>
      </x:c>
      <x:c r="F311" s="1" t="str">
        <x:v>Late delivery</x:v>
      </x:c>
      <x:c r="G311" s="6" t="n">
        <x:v>6</x:v>
      </x:c>
      <x:c r="H311" s="6" t="n">
        <x:v>4</x:v>
      </x:c>
      <x:c r="I311" s="6" t="n">
        <x:f>G311-H311</x:f>
        <x:v>2</x:v>
      </x:c>
      <x:c r="J311" s="6" t="n">
        <x:f>IF(OR(E311="CANCELED",E311="SUSPECTED_FRAUD",F311="Shipping canceled"),0,1)</x:f>
        <x:v>1</x:v>
      </x:c>
      <x:c r="K311" s="6" t="n">
        <x:f>IF(G311&gt;H311,1,0)</x:f>
        <x:v>1</x:v>
      </x:c>
      <x:c r="L311" s="6" t="n">
        <x:f>J311*K311</x:f>
        <x:v>1</x:v>
      </x:c>
    </x:row>
    <x:row r="312">
      <x:c r="A312" s="1" t="n">
        <x:v>2548</x:v>
      </x:c>
      <x:c r="B312" s="5" t="d">
        <x:v>2015-02-07T00:00:00.000Z</x:v>
      </x:c>
      <x:c r="C312" s="1" t="str">
        <x:v>Standard Class</x:v>
      </x:c>
      <x:c r="D312" s="1" t="str">
        <x:v>LATAM</x:v>
      </x:c>
      <x:c r="E312" s="1" t="str">
        <x:v>PENDING</x:v>
      </x:c>
      <x:c r="F312" s="1" t="str">
        <x:v>Shipping on time</x:v>
      </x:c>
      <x:c r="G312" s="6" t="n">
        <x:v>4</x:v>
      </x:c>
      <x:c r="H312" s="6" t="n">
        <x:v>4</x:v>
      </x:c>
      <x:c r="I312" s="6" t="n">
        <x:f>G312-H312</x:f>
        <x:v>0</x:v>
      </x:c>
      <x:c r="J312" s="6" t="n">
        <x:f>IF(OR(E312="CANCELED",E312="SUSPECTED_FRAUD",F312="Shipping canceled"),0,1)</x:f>
        <x:v>1</x:v>
      </x:c>
      <x:c r="K312" s="6" t="n">
        <x:f>IF(G312&gt;H312,1,0)</x:f>
        <x:v>0</x:v>
      </x:c>
      <x:c r="L312" s="6" t="n">
        <x:f>J312*K312</x:f>
        <x:v>0</x:v>
      </x:c>
    </x:row>
    <x:row r="313">
      <x:c r="A313" s="1" t="n">
        <x:v>2550</x:v>
      </x:c>
      <x:c r="B313" s="5" t="d">
        <x:v>2015-02-07T00:00:00.000Z</x:v>
      </x:c>
      <x:c r="C313" s="1" t="str">
        <x:v>Standard Class</x:v>
      </x:c>
      <x:c r="D313" s="1" t="str">
        <x:v>LATAM</x:v>
      </x:c>
      <x:c r="E313" s="1" t="str">
        <x:v>SUSPECTED_FRAUD</x:v>
      </x:c>
      <x:c r="F313" s="1" t="str">
        <x:v>Shipping canceled</x:v>
      </x:c>
      <x:c r="G313" s="6" t="n">
        <x:v>6</x:v>
      </x:c>
      <x:c r="H313" s="6" t="n">
        <x:v>4</x:v>
      </x:c>
      <x:c r="I313" s="6" t="n">
        <x:f>G313-H313</x:f>
        <x:v>2</x:v>
      </x:c>
      <x:c r="J313" s="6" t="n">
        <x:f>IF(OR(E313="CANCELED",E313="SUSPECTED_FRAUD",F313="Shipping canceled"),0,1)</x:f>
        <x:v>0</x:v>
      </x:c>
      <x:c r="K313" s="6" t="n">
        <x:f>IF(G313&gt;H313,1,0)</x:f>
        <x:v>1</x:v>
      </x:c>
      <x:c r="L313" s="6" t="n">
        <x:f>J313*K313</x:f>
        <x:v>0</x:v>
      </x:c>
    </x:row>
    <x:row r="314">
      <x:c r="A314" s="1" t="n">
        <x:v>2559</x:v>
      </x:c>
      <x:c r="B314" s="5" t="d">
        <x:v>2015-02-07T00:00:00.000Z</x:v>
      </x:c>
      <x:c r="C314" s="1" t="str">
        <x:v>Standard Class</x:v>
      </x:c>
      <x:c r="D314" s="1" t="str">
        <x:v>LATAM</x:v>
      </x:c>
      <x:c r="E314" s="1" t="str">
        <x:v>CANCELED</x:v>
      </x:c>
      <x:c r="F314" s="1" t="str">
        <x:v>Shipping canceled</x:v>
      </x:c>
      <x:c r="G314" s="6" t="n">
        <x:v>5</x:v>
      </x:c>
      <x:c r="H314" s="6" t="n">
        <x:v>4</x:v>
      </x:c>
      <x:c r="I314" s="6" t="n">
        <x:f>G314-H314</x:f>
        <x:v>1</x:v>
      </x:c>
      <x:c r="J314" s="6" t="n">
        <x:f>IF(OR(E314="CANCELED",E314="SUSPECTED_FRAUD",F314="Shipping canceled"),0,1)</x:f>
        <x:v>0</x:v>
      </x:c>
      <x:c r="K314" s="6" t="n">
        <x:f>IF(G314&gt;H314,1,0)</x:f>
        <x:v>1</x:v>
      </x:c>
      <x:c r="L314" s="6" t="n">
        <x:f>J314*K314</x:f>
        <x:v>0</x:v>
      </x:c>
    </x:row>
    <x:row r="315">
      <x:c r="A315" s="1" t="n">
        <x:v>2577</x:v>
      </x:c>
      <x:c r="B315" s="5" t="d">
        <x:v>2015-02-07T00:00:00.000Z</x:v>
      </x:c>
      <x:c r="C315" s="1" t="str">
        <x:v>Standard Class</x:v>
      </x:c>
      <x:c r="D315" s="1" t="str">
        <x:v>LATAM</x:v>
      </x:c>
      <x:c r="E315" s="1" t="str">
        <x:v>PENDING</x:v>
      </x:c>
      <x:c r="F315" s="1" t="str">
        <x:v>Advance shipping</x:v>
      </x:c>
      <x:c r="G315" s="6" t="n">
        <x:v>3</x:v>
      </x:c>
      <x:c r="H315" s="6" t="n">
        <x:v>4</x:v>
      </x:c>
      <x:c r="I315" s="6" t="n">
        <x:f>G315-H315</x:f>
        <x:v>-1</x:v>
      </x:c>
      <x:c r="J315" s="6" t="n">
        <x:f>IF(OR(E315="CANCELED",E315="SUSPECTED_FRAUD",F315="Shipping canceled"),0,1)</x:f>
        <x:v>1</x:v>
      </x:c>
      <x:c r="K315" s="6" t="n">
        <x:f>IF(G315&gt;H315,1,0)</x:f>
        <x:v>0</x:v>
      </x:c>
      <x:c r="L315" s="6" t="n">
        <x:f>J315*K315</x:f>
        <x:v>0</x:v>
      </x:c>
    </x:row>
    <x:row r="316">
      <x:c r="A316" s="1" t="n">
        <x:v>2579</x:v>
      </x:c>
      <x:c r="B316" s="5" t="d">
        <x:v>2015-02-07T00:00:00.000Z</x:v>
      </x:c>
      <x:c r="C316" s="1" t="str">
        <x:v>Standard Class</x:v>
      </x:c>
      <x:c r="D316" s="1" t="str">
        <x:v>LATAM</x:v>
      </x:c>
      <x:c r="E316" s="1" t="str">
        <x:v>COMPLETE</x:v>
      </x:c>
      <x:c r="F316" s="1" t="str">
        <x:v>Late delivery</x:v>
      </x:c>
      <x:c r="G316" s="6" t="n">
        <x:v>5</x:v>
      </x:c>
      <x:c r="H316" s="6" t="n">
        <x:v>4</x:v>
      </x:c>
      <x:c r="I316" s="6" t="n">
        <x:f>G316-H316</x:f>
        <x:v>1</x:v>
      </x:c>
      <x:c r="J316" s="6" t="n">
        <x:f>IF(OR(E316="CANCELED",E316="SUSPECTED_FRAUD",F316="Shipping canceled"),0,1)</x:f>
        <x:v>1</x:v>
      </x:c>
      <x:c r="K316" s="6" t="n">
        <x:f>IF(G316&gt;H316,1,0)</x:f>
        <x:v>1</x:v>
      </x:c>
      <x:c r="L316" s="6" t="n">
        <x:f>J316*K316</x:f>
        <x:v>1</x:v>
      </x:c>
    </x:row>
    <x:row r="317">
      <x:c r="A317" s="1" t="n">
        <x:v>2582</x:v>
      </x:c>
      <x:c r="B317" s="5" t="d">
        <x:v>2015-02-07T00:00:00.000Z</x:v>
      </x:c>
      <x:c r="C317" s="1" t="str">
        <x:v>Standard Class</x:v>
      </x:c>
      <x:c r="D317" s="1" t="str">
        <x:v>LATAM</x:v>
      </x:c>
      <x:c r="E317" s="1" t="str">
        <x:v>COMPLETE</x:v>
      </x:c>
      <x:c r="F317" s="1" t="str">
        <x:v>Advance shipping</x:v>
      </x:c>
      <x:c r="G317" s="6" t="n">
        <x:v>3</x:v>
      </x:c>
      <x:c r="H317" s="6" t="n">
        <x:v>4</x:v>
      </x:c>
      <x:c r="I317" s="6" t="n">
        <x:f>G317-H317</x:f>
        <x:v>-1</x:v>
      </x:c>
      <x:c r="J317" s="6" t="n">
        <x:f>IF(OR(E317="CANCELED",E317="SUSPECTED_FRAUD",F317="Shipping canceled"),0,1)</x:f>
        <x:v>1</x:v>
      </x:c>
      <x:c r="K317" s="6" t="n">
        <x:f>IF(G317&gt;H317,1,0)</x:f>
        <x:v>0</x:v>
      </x:c>
      <x:c r="L317" s="6" t="n">
        <x:f>J317*K317</x:f>
        <x:v>0</x:v>
      </x:c>
    </x:row>
    <x:row r="318">
      <x:c r="A318" s="1" t="n">
        <x:v>2587</x:v>
      </x:c>
      <x:c r="B318" s="5" t="d">
        <x:v>2015-02-07T00:00:00.000Z</x:v>
      </x:c>
      <x:c r="C318" s="1" t="str">
        <x:v>Standard Class</x:v>
      </x:c>
      <x:c r="D318" s="1" t="str">
        <x:v>LATAM</x:v>
      </x:c>
      <x:c r="E318" s="1" t="str">
        <x:v>CANCELED</x:v>
      </x:c>
      <x:c r="F318" s="1" t="str">
        <x:v>Shipping canceled</x:v>
      </x:c>
      <x:c r="G318" s="6" t="n">
        <x:v>3</x:v>
      </x:c>
      <x:c r="H318" s="6" t="n">
        <x:v>4</x:v>
      </x:c>
      <x:c r="I318" s="6" t="n">
        <x:f>G318-H318</x:f>
        <x:v>-1</x:v>
      </x:c>
      <x:c r="J318" s="6" t="n">
        <x:f>IF(OR(E318="CANCELED",E318="SUSPECTED_FRAUD",F318="Shipping canceled"),0,1)</x:f>
        <x:v>0</x:v>
      </x:c>
      <x:c r="K318" s="6" t="n">
        <x:f>IF(G318&gt;H318,1,0)</x:f>
        <x:v>0</x:v>
      </x:c>
      <x:c r="L318" s="6" t="n">
        <x:f>J318*K318</x:f>
        <x:v>0</x:v>
      </x:c>
    </x:row>
    <x:row r="319">
      <x:c r="A319" s="1" t="n">
        <x:v>2599</x:v>
      </x:c>
      <x:c r="B319" s="5" t="d">
        <x:v>2015-02-07T00:00:00.000Z</x:v>
      </x:c>
      <x:c r="C319" s="1" t="str">
        <x:v>Standard Class</x:v>
      </x:c>
      <x:c r="D319" s="1" t="str">
        <x:v>LATAM</x:v>
      </x:c>
      <x:c r="E319" s="1" t="str">
        <x:v>PENDING</x:v>
      </x:c>
      <x:c r="F319" s="1" t="str">
        <x:v>Late delivery</x:v>
      </x:c>
      <x:c r="G319" s="6" t="n">
        <x:v>5</x:v>
      </x:c>
      <x:c r="H319" s="6" t="n">
        <x:v>4</x:v>
      </x:c>
      <x:c r="I319" s="6" t="n">
        <x:f>G319-H319</x:f>
        <x:v>1</x:v>
      </x:c>
      <x:c r="J319" s="6" t="n">
        <x:f>IF(OR(E319="CANCELED",E319="SUSPECTED_FRAUD",F319="Shipping canceled"),0,1)</x:f>
        <x:v>1</x:v>
      </x:c>
      <x:c r="K319" s="6" t="n">
        <x:f>IF(G319&gt;H319,1,0)</x:f>
        <x:v>1</x:v>
      </x:c>
      <x:c r="L319" s="6" t="n">
        <x:f>J319*K319</x:f>
        <x:v>1</x:v>
      </x:c>
    </x:row>
    <x:row r="320">
      <x:c r="A320" s="1" t="n">
        <x:v>2601</x:v>
      </x:c>
      <x:c r="B320" s="5" t="d">
        <x:v>2015-02-07T00:00:00.000Z</x:v>
      </x:c>
      <x:c r="C320" s="1" t="str">
        <x:v>Standard Class</x:v>
      </x:c>
      <x:c r="D320" s="1" t="str">
        <x:v>LATAM</x:v>
      </x:c>
      <x:c r="E320" s="1" t="str">
        <x:v>COMPLETE</x:v>
      </x:c>
      <x:c r="F320" s="1" t="str">
        <x:v>Advance shipping</x:v>
      </x:c>
      <x:c r="G320" s="6" t="n">
        <x:v>2</x:v>
      </x:c>
      <x:c r="H320" s="6" t="n">
        <x:v>4</x:v>
      </x:c>
      <x:c r="I320" s="6" t="n">
        <x:f>G320-H320</x:f>
        <x:v>-2</x:v>
      </x:c>
      <x:c r="J320" s="6" t="n">
        <x:f>IF(OR(E320="CANCELED",E320="SUSPECTED_FRAUD",F320="Shipping canceled"),0,1)</x:f>
        <x:v>1</x:v>
      </x:c>
      <x:c r="K320" s="6" t="n">
        <x:f>IF(G320&gt;H320,1,0)</x:f>
        <x:v>0</x:v>
      </x:c>
      <x:c r="L320" s="6" t="n">
        <x:f>J320*K320</x:f>
        <x:v>0</x:v>
      </x:c>
    </x:row>
    <x:row r="321">
      <x:c r="A321" s="1" t="n">
        <x:v>2602</x:v>
      </x:c>
      <x:c r="B321" s="5" t="d">
        <x:v>2015-02-07T00:00:00.000Z</x:v>
      </x:c>
      <x:c r="C321" s="1" t="str">
        <x:v>Standard Class</x:v>
      </x:c>
      <x:c r="D321" s="1" t="str">
        <x:v>LATAM</x:v>
      </x:c>
      <x:c r="E321" s="1" t="str">
        <x:v>COMPLETE</x:v>
      </x:c>
      <x:c r="F321" s="1" t="str">
        <x:v>Advance shipping</x:v>
      </x:c>
      <x:c r="G321" s="6" t="n">
        <x:v>3</x:v>
      </x:c>
      <x:c r="H321" s="6" t="n">
        <x:v>4</x:v>
      </x:c>
      <x:c r="I321" s="6" t="n">
        <x:f>G321-H321</x:f>
        <x:v>-1</x:v>
      </x:c>
      <x:c r="J321" s="6" t="n">
        <x:f>IF(OR(E321="CANCELED",E321="SUSPECTED_FRAUD",F321="Shipping canceled"),0,1)</x:f>
        <x:v>1</x:v>
      </x:c>
      <x:c r="K321" s="6" t="n">
        <x:f>IF(G321&gt;H321,1,0)</x:f>
        <x:v>0</x:v>
      </x:c>
      <x:c r="L321" s="6" t="n">
        <x:f>J321*K321</x:f>
        <x:v>0</x:v>
      </x:c>
    </x:row>
    <x:row r="322">
      <x:c r="A322" s="1" t="n">
        <x:v>2612</x:v>
      </x:c>
      <x:c r="B322" s="5" t="d">
        <x:v>2015-02-08T00:00:00.000Z</x:v>
      </x:c>
      <x:c r="C322" s="1" t="str">
        <x:v>Standard Class</x:v>
      </x:c>
      <x:c r="D322" s="1" t="str">
        <x:v>LATAM</x:v>
      </x:c>
      <x:c r="E322" s="1" t="str">
        <x:v>PENDING_PAYMENT</x:v>
      </x:c>
      <x:c r="F322" s="1" t="str">
        <x:v>Advance shipping</x:v>
      </x:c>
      <x:c r="G322" s="6" t="n">
        <x:v>3</x:v>
      </x:c>
      <x:c r="H322" s="6" t="n">
        <x:v>4</x:v>
      </x:c>
      <x:c r="I322" s="6" t="n">
        <x:f>G322-H322</x:f>
        <x:v>-1</x:v>
      </x:c>
      <x:c r="J322" s="6" t="n">
        <x:f>IF(OR(E322="CANCELED",E322="SUSPECTED_FRAUD",F322="Shipping canceled"),0,1)</x:f>
        <x:v>1</x:v>
      </x:c>
      <x:c r="K322" s="6" t="n">
        <x:f>IF(G322&gt;H322,1,0)</x:f>
        <x:v>0</x:v>
      </x:c>
      <x:c r="L322" s="6" t="n">
        <x:f>J322*K322</x:f>
        <x:v>0</x:v>
      </x:c>
    </x:row>
    <x:row r="323">
      <x:c r="A323" s="1" t="n">
        <x:v>2614</x:v>
      </x:c>
      <x:c r="B323" s="5" t="d">
        <x:v>2015-02-08T00:00:00.000Z</x:v>
      </x:c>
      <x:c r="C323" s="1" t="str">
        <x:v>Standard Class</x:v>
      </x:c>
      <x:c r="D323" s="1" t="str">
        <x:v>LATAM</x:v>
      </x:c>
      <x:c r="E323" s="1" t="str">
        <x:v>COMPLETE</x:v>
      </x:c>
      <x:c r="F323" s="1" t="str">
        <x:v>Late delivery</x:v>
      </x:c>
      <x:c r="G323" s="6" t="n">
        <x:v>5</x:v>
      </x:c>
      <x:c r="H323" s="6" t="n">
        <x:v>4</x:v>
      </x:c>
      <x:c r="I323" s="6" t="n">
        <x:f>G323-H323</x:f>
        <x:v>1</x:v>
      </x:c>
      <x:c r="J323" s="6" t="n">
        <x:f>IF(OR(E323="CANCELED",E323="SUSPECTED_FRAUD",F323="Shipping canceled"),0,1)</x:f>
        <x:v>1</x:v>
      </x:c>
      <x:c r="K323" s="6" t="n">
        <x:f>IF(G323&gt;H323,1,0)</x:f>
        <x:v>1</x:v>
      </x:c>
      <x:c r="L323" s="6" t="n">
        <x:f>J323*K323</x:f>
        <x:v>1</x:v>
      </x:c>
    </x:row>
    <x:row r="324">
      <x:c r="A324" s="1" t="n">
        <x:v>2632</x:v>
      </x:c>
      <x:c r="B324" s="5" t="d">
        <x:v>2015-02-08T00:00:00.000Z</x:v>
      </x:c>
      <x:c r="C324" s="1" t="str">
        <x:v>Standard Class</x:v>
      </x:c>
      <x:c r="D324" s="1" t="str">
        <x:v>LATAM</x:v>
      </x:c>
      <x:c r="E324" s="1" t="str">
        <x:v>PENDING</x:v>
      </x:c>
      <x:c r="F324" s="1" t="str">
        <x:v>Advance shipping</x:v>
      </x:c>
      <x:c r="G324" s="6" t="n">
        <x:v>3</x:v>
      </x:c>
      <x:c r="H324" s="6" t="n">
        <x:v>4</x:v>
      </x:c>
      <x:c r="I324" s="6" t="n">
        <x:f>G324-H324</x:f>
        <x:v>-1</x:v>
      </x:c>
      <x:c r="J324" s="6" t="n">
        <x:f>IF(OR(E324="CANCELED",E324="SUSPECTED_FRAUD",F324="Shipping canceled"),0,1)</x:f>
        <x:v>1</x:v>
      </x:c>
      <x:c r="K324" s="6" t="n">
        <x:f>IF(G324&gt;H324,1,0)</x:f>
        <x:v>0</x:v>
      </x:c>
      <x:c r="L324" s="6" t="n">
        <x:f>J324*K324</x:f>
        <x:v>0</x:v>
      </x:c>
    </x:row>
    <x:row r="325">
      <x:c r="A325" s="1" t="n">
        <x:v>2635</x:v>
      </x:c>
      <x:c r="B325" s="5" t="d">
        <x:v>2015-02-08T00:00:00.000Z</x:v>
      </x:c>
      <x:c r="C325" s="1" t="str">
        <x:v>Standard Class</x:v>
      </x:c>
      <x:c r="D325" s="1" t="str">
        <x:v>LATAM</x:v>
      </x:c>
      <x:c r="E325" s="1" t="str">
        <x:v>COMPLETE</x:v>
      </x:c>
      <x:c r="F325" s="1" t="str">
        <x:v>Late delivery</x:v>
      </x:c>
      <x:c r="G325" s="6" t="n">
        <x:v>6</x:v>
      </x:c>
      <x:c r="H325" s="6" t="n">
        <x:v>4</x:v>
      </x:c>
      <x:c r="I325" s="6" t="n">
        <x:f>G325-H325</x:f>
        <x:v>2</x:v>
      </x:c>
      <x:c r="J325" s="6" t="n">
        <x:f>IF(OR(E325="CANCELED",E325="SUSPECTED_FRAUD",F325="Shipping canceled"),0,1)</x:f>
        <x:v>1</x:v>
      </x:c>
      <x:c r="K325" s="6" t="n">
        <x:f>IF(G325&gt;H325,1,0)</x:f>
        <x:v>1</x:v>
      </x:c>
      <x:c r="L325" s="6" t="n">
        <x:f>J325*K325</x:f>
        <x:v>1</x:v>
      </x:c>
    </x:row>
    <x:row r="326">
      <x:c r="A326" s="1" t="n">
        <x:v>2643</x:v>
      </x:c>
      <x:c r="B326" s="5" t="d">
        <x:v>2015-02-08T00:00:00.000Z</x:v>
      </x:c>
      <x:c r="C326" s="1" t="str">
        <x:v>First Class</x:v>
      </x:c>
      <x:c r="D326" s="1" t="str">
        <x:v>LATAM</x:v>
      </x:c>
      <x:c r="E326" s="1" t="str">
        <x:v>PENDING</x:v>
      </x:c>
      <x:c r="F326" s="1" t="str">
        <x:v>Late delivery</x:v>
      </x:c>
      <x:c r="G326" s="6" t="n">
        <x:v>2</x:v>
      </x:c>
      <x:c r="H326" s="6" t="n">
        <x:v>1</x:v>
      </x:c>
      <x:c r="I326" s="6" t="n">
        <x:f>G326-H326</x:f>
        <x:v>1</x:v>
      </x:c>
      <x:c r="J326" s="6" t="n">
        <x:f>IF(OR(E326="CANCELED",E326="SUSPECTED_FRAUD",F326="Shipping canceled"),0,1)</x:f>
        <x:v>1</x:v>
      </x:c>
      <x:c r="K326" s="6" t="n">
        <x:f>IF(G326&gt;H326,1,0)</x:f>
        <x:v>1</x:v>
      </x:c>
      <x:c r="L326" s="6" t="n">
        <x:f>J326*K326</x:f>
        <x:v>1</x:v>
      </x:c>
    </x:row>
    <x:row r="327">
      <x:c r="A327" s="1" t="n">
        <x:v>2645</x:v>
      </x:c>
      <x:c r="B327" s="5" t="d">
        <x:v>2015-02-08T00:00:00.000Z</x:v>
      </x:c>
      <x:c r="C327" s="1" t="str">
        <x:v>Standard Class</x:v>
      </x:c>
      <x:c r="D327" s="1" t="str">
        <x:v>LATAM</x:v>
      </x:c>
      <x:c r="E327" s="1" t="str">
        <x:v>COMPLETE</x:v>
      </x:c>
      <x:c r="F327" s="1" t="str">
        <x:v>Late delivery</x:v>
      </x:c>
      <x:c r="G327" s="6" t="n">
        <x:v>6</x:v>
      </x:c>
      <x:c r="H327" s="6" t="n">
        <x:v>4</x:v>
      </x:c>
      <x:c r="I327" s="6" t="n">
        <x:f>G327-H327</x:f>
        <x:v>2</x:v>
      </x:c>
      <x:c r="J327" s="6" t="n">
        <x:f>IF(OR(E327="CANCELED",E327="SUSPECTED_FRAUD",F327="Shipping canceled"),0,1)</x:f>
        <x:v>1</x:v>
      </x:c>
      <x:c r="K327" s="6" t="n">
        <x:f>IF(G327&gt;H327,1,0)</x:f>
        <x:v>1</x:v>
      </x:c>
      <x:c r="L327" s="6" t="n">
        <x:f>J327*K327</x:f>
        <x:v>1</x:v>
      </x:c>
    </x:row>
    <x:row r="328">
      <x:c r="A328" s="1" t="n">
        <x:v>2648</x:v>
      </x:c>
      <x:c r="B328" s="5" t="d">
        <x:v>2015-02-08T00:00:00.000Z</x:v>
      </x:c>
      <x:c r="C328" s="1" t="str">
        <x:v>Standard Class</x:v>
      </x:c>
      <x:c r="D328" s="1" t="str">
        <x:v>LATAM</x:v>
      </x:c>
      <x:c r="E328" s="1" t="str">
        <x:v>ON_HOLD</x:v>
      </x:c>
      <x:c r="F328" s="1" t="str">
        <x:v>Shipping on time</x:v>
      </x:c>
      <x:c r="G328" s="6" t="n">
        <x:v>4</x:v>
      </x:c>
      <x:c r="H328" s="6" t="n">
        <x:v>4</x:v>
      </x:c>
      <x:c r="I328" s="6" t="n">
        <x:f>G328-H328</x:f>
        <x:v>0</x:v>
      </x:c>
      <x:c r="J328" s="6" t="n">
        <x:f>IF(OR(E328="CANCELED",E328="SUSPECTED_FRAUD",F328="Shipping canceled"),0,1)</x:f>
        <x:v>1</x:v>
      </x:c>
      <x:c r="K328" s="6" t="n">
        <x:f>IF(G328&gt;H328,1,0)</x:f>
        <x:v>0</x:v>
      </x:c>
      <x:c r="L328" s="6" t="n">
        <x:f>J328*K328</x:f>
        <x:v>0</x:v>
      </x:c>
    </x:row>
    <x:row r="329">
      <x:c r="A329" s="1" t="n">
        <x:v>2650</x:v>
      </x:c>
      <x:c r="B329" s="5" t="d">
        <x:v>2015-02-08T00:00:00.000Z</x:v>
      </x:c>
      <x:c r="C329" s="1" t="str">
        <x:v>Standard Class</x:v>
      </x:c>
      <x:c r="D329" s="1" t="str">
        <x:v>LATAM</x:v>
      </x:c>
      <x:c r="E329" s="1" t="str">
        <x:v>COMPLETE</x:v>
      </x:c>
      <x:c r="F329" s="1" t="str">
        <x:v>Late delivery</x:v>
      </x:c>
      <x:c r="G329" s="6" t="n">
        <x:v>6</x:v>
      </x:c>
      <x:c r="H329" s="6" t="n">
        <x:v>4</x:v>
      </x:c>
      <x:c r="I329" s="6" t="n">
        <x:f>G329-H329</x:f>
        <x:v>2</x:v>
      </x:c>
      <x:c r="J329" s="6" t="n">
        <x:f>IF(OR(E329="CANCELED",E329="SUSPECTED_FRAUD",F329="Shipping canceled"),0,1)</x:f>
        <x:v>1</x:v>
      </x:c>
      <x:c r="K329" s="6" t="n">
        <x:f>IF(G329&gt;H329,1,0)</x:f>
        <x:v>1</x:v>
      </x:c>
      <x:c r="L329" s="6" t="n">
        <x:f>J329*K329</x:f>
        <x:v>1</x:v>
      </x:c>
    </x:row>
    <x:row r="330">
      <x:c r="A330" s="1" t="n">
        <x:v>2664</x:v>
      </x:c>
      <x:c r="B330" s="5" t="d">
        <x:v>2015-02-08T00:00:00.000Z</x:v>
      </x:c>
      <x:c r="C330" s="1" t="str">
        <x:v>Second Class</x:v>
      </x:c>
      <x:c r="D330" s="1" t="str">
        <x:v>LATAM</x:v>
      </x:c>
      <x:c r="E330" s="1" t="str">
        <x:v>CANCELED</x:v>
      </x:c>
      <x:c r="F330" s="1" t="str">
        <x:v>Shipping canceled</x:v>
      </x:c>
      <x:c r="G330" s="6" t="n">
        <x:v>5</x:v>
      </x:c>
      <x:c r="H330" s="6" t="n">
        <x:v>2</x:v>
      </x:c>
      <x:c r="I330" s="6" t="n">
        <x:f>G330-H330</x:f>
        <x:v>3</x:v>
      </x:c>
      <x:c r="J330" s="6" t="n">
        <x:f>IF(OR(E330="CANCELED",E330="SUSPECTED_FRAUD",F330="Shipping canceled"),0,1)</x:f>
        <x:v>0</x:v>
      </x:c>
      <x:c r="K330" s="6" t="n">
        <x:f>IF(G330&gt;H330,1,0)</x:f>
        <x:v>1</x:v>
      </x:c>
      <x:c r="L330" s="6" t="n">
        <x:f>J330*K330</x:f>
        <x:v>0</x:v>
      </x:c>
    </x:row>
    <x:row r="331">
      <x:c r="A331" s="1" t="n">
        <x:v>2682</x:v>
      </x:c>
      <x:c r="B331" s="5" t="d">
        <x:v>2015-02-09T00:00:00.000Z</x:v>
      </x:c>
      <x:c r="C331" s="1" t="str">
        <x:v>Standard Class</x:v>
      </x:c>
      <x:c r="D331" s="1" t="str">
        <x:v>LATAM</x:v>
      </x:c>
      <x:c r="E331" s="1" t="str">
        <x:v>COMPLETE</x:v>
      </x:c>
      <x:c r="F331" s="1" t="str">
        <x:v>Advance shipping</x:v>
      </x:c>
      <x:c r="G331" s="6" t="n">
        <x:v>3</x:v>
      </x:c>
      <x:c r="H331" s="6" t="n">
        <x:v>4</x:v>
      </x:c>
      <x:c r="I331" s="6" t="n">
        <x:f>G331-H331</x:f>
        <x:v>-1</x:v>
      </x:c>
      <x:c r="J331" s="6" t="n">
        <x:f>IF(OR(E331="CANCELED",E331="SUSPECTED_FRAUD",F331="Shipping canceled"),0,1)</x:f>
        <x:v>1</x:v>
      </x:c>
      <x:c r="K331" s="6" t="n">
        <x:f>IF(G331&gt;H331,1,0)</x:f>
        <x:v>0</x:v>
      </x:c>
      <x:c r="L331" s="6" t="n">
        <x:f>J331*K331</x:f>
        <x:v>0</x:v>
      </x:c>
    </x:row>
    <x:row r="332">
      <x:c r="A332" s="1" t="n">
        <x:v>2690</x:v>
      </x:c>
      <x:c r="B332" s="5" t="d">
        <x:v>2015-02-09T00:00:00.000Z</x:v>
      </x:c>
      <x:c r="C332" s="1" t="str">
        <x:v>Standard Class</x:v>
      </x:c>
      <x:c r="D332" s="1" t="str">
        <x:v>LATAM</x:v>
      </x:c>
      <x:c r="E332" s="1" t="str">
        <x:v>COMPLETE</x:v>
      </x:c>
      <x:c r="F332" s="1" t="str">
        <x:v>Late delivery</x:v>
      </x:c>
      <x:c r="G332" s="6" t="n">
        <x:v>6</x:v>
      </x:c>
      <x:c r="H332" s="6" t="n">
        <x:v>4</x:v>
      </x:c>
      <x:c r="I332" s="6" t="n">
        <x:f>G332-H332</x:f>
        <x:v>2</x:v>
      </x:c>
      <x:c r="J332" s="6" t="n">
        <x:f>IF(OR(E332="CANCELED",E332="SUSPECTED_FRAUD",F332="Shipping canceled"),0,1)</x:f>
        <x:v>1</x:v>
      </x:c>
      <x:c r="K332" s="6" t="n">
        <x:f>IF(G332&gt;H332,1,0)</x:f>
        <x:v>1</x:v>
      </x:c>
      <x:c r="L332" s="6" t="n">
        <x:f>J332*K332</x:f>
        <x:v>1</x:v>
      </x:c>
    </x:row>
    <x:row r="333">
      <x:c r="A333" s="1" t="n">
        <x:v>2691</x:v>
      </x:c>
      <x:c r="B333" s="5" t="d">
        <x:v>2015-02-09T00:00:00.000Z</x:v>
      </x:c>
      <x:c r="C333" s="1" t="str">
        <x:v>Standard Class</x:v>
      </x:c>
      <x:c r="D333" s="1" t="str">
        <x:v>LATAM</x:v>
      </x:c>
      <x:c r="E333" s="1" t="str">
        <x:v>CANCELED</x:v>
      </x:c>
      <x:c r="F333" s="1" t="str">
        <x:v>Shipping canceled</x:v>
      </x:c>
      <x:c r="G333" s="6" t="n">
        <x:v>2</x:v>
      </x:c>
      <x:c r="H333" s="6" t="n">
        <x:v>4</x:v>
      </x:c>
      <x:c r="I333" s="6" t="n">
        <x:f>G333-H333</x:f>
        <x:v>-2</x:v>
      </x:c>
      <x:c r="J333" s="6" t="n">
        <x:f>IF(OR(E333="CANCELED",E333="SUSPECTED_FRAUD",F333="Shipping canceled"),0,1)</x:f>
        <x:v>0</x:v>
      </x:c>
      <x:c r="K333" s="6" t="n">
        <x:f>IF(G333&gt;H333,1,0)</x:f>
        <x:v>0</x:v>
      </x:c>
      <x:c r="L333" s="6" t="n">
        <x:f>J333*K333</x:f>
        <x:v>0</x:v>
      </x:c>
    </x:row>
    <x:row r="334">
      <x:c r="A334" s="1" t="n">
        <x:v>2700</x:v>
      </x:c>
      <x:c r="B334" s="5" t="d">
        <x:v>2015-02-09T00:00:00.000Z</x:v>
      </x:c>
      <x:c r="C334" s="1" t="str">
        <x:v>Standard Class</x:v>
      </x:c>
      <x:c r="D334" s="1" t="str">
        <x:v>LATAM</x:v>
      </x:c>
      <x:c r="E334" s="1" t="str">
        <x:v>COMPLETE</x:v>
      </x:c>
      <x:c r="F334" s="1" t="str">
        <x:v>Late delivery</x:v>
      </x:c>
      <x:c r="G334" s="6" t="n">
        <x:v>6</x:v>
      </x:c>
      <x:c r="H334" s="6" t="n">
        <x:v>4</x:v>
      </x:c>
      <x:c r="I334" s="6" t="n">
        <x:f>G334-H334</x:f>
        <x:v>2</x:v>
      </x:c>
      <x:c r="J334" s="6" t="n">
        <x:f>IF(OR(E334="CANCELED",E334="SUSPECTED_FRAUD",F334="Shipping canceled"),0,1)</x:f>
        <x:v>1</x:v>
      </x:c>
      <x:c r="K334" s="6" t="n">
        <x:f>IF(G334&gt;H334,1,0)</x:f>
        <x:v>1</x:v>
      </x:c>
      <x:c r="L334" s="6" t="n">
        <x:f>J334*K334</x:f>
        <x:v>1</x:v>
      </x:c>
    </x:row>
    <x:row r="335">
      <x:c r="A335" s="1" t="n">
        <x:v>2710</x:v>
      </x:c>
      <x:c r="B335" s="5" t="d">
        <x:v>2015-02-09T00:00:00.000Z</x:v>
      </x:c>
      <x:c r="C335" s="1" t="str">
        <x:v>First Class</x:v>
      </x:c>
      <x:c r="D335" s="1" t="str">
        <x:v>LATAM</x:v>
      </x:c>
      <x:c r="E335" s="1" t="str">
        <x:v>COMPLETE</x:v>
      </x:c>
      <x:c r="F335" s="1" t="str">
        <x:v>Late delivery</x:v>
      </x:c>
      <x:c r="G335" s="6" t="n">
        <x:v>2</x:v>
      </x:c>
      <x:c r="H335" s="6" t="n">
        <x:v>1</x:v>
      </x:c>
      <x:c r="I335" s="6" t="n">
        <x:f>G335-H335</x:f>
        <x:v>1</x:v>
      </x:c>
      <x:c r="J335" s="6" t="n">
        <x:f>IF(OR(E335="CANCELED",E335="SUSPECTED_FRAUD",F335="Shipping canceled"),0,1)</x:f>
        <x:v>1</x:v>
      </x:c>
      <x:c r="K335" s="6" t="n">
        <x:f>IF(G335&gt;H335,1,0)</x:f>
        <x:v>1</x:v>
      </x:c>
      <x:c r="L335" s="6" t="n">
        <x:f>J335*K335</x:f>
        <x:v>1</x:v>
      </x:c>
    </x:row>
    <x:row r="336">
      <x:c r="A336" s="1" t="n">
        <x:v>2712</x:v>
      </x:c>
      <x:c r="B336" s="5" t="d">
        <x:v>2015-02-09T00:00:00.000Z</x:v>
      </x:c>
      <x:c r="C336" s="1" t="str">
        <x:v>Standard Class</x:v>
      </x:c>
      <x:c r="D336" s="1" t="str">
        <x:v>LATAM</x:v>
      </x:c>
      <x:c r="E336" s="1" t="str">
        <x:v>COMPLETE</x:v>
      </x:c>
      <x:c r="F336" s="1" t="str">
        <x:v>Advance shipping</x:v>
      </x:c>
      <x:c r="G336" s="6" t="n">
        <x:v>3</x:v>
      </x:c>
      <x:c r="H336" s="6" t="n">
        <x:v>4</x:v>
      </x:c>
      <x:c r="I336" s="6" t="n">
        <x:f>G336-H336</x:f>
        <x:v>-1</x:v>
      </x:c>
      <x:c r="J336" s="6" t="n">
        <x:f>IF(OR(E336="CANCELED",E336="SUSPECTED_FRAUD",F336="Shipping canceled"),0,1)</x:f>
        <x:v>1</x:v>
      </x:c>
      <x:c r="K336" s="6" t="n">
        <x:f>IF(G336&gt;H336,1,0)</x:f>
        <x:v>0</x:v>
      </x:c>
      <x:c r="L336" s="6" t="n">
        <x:f>J336*K336</x:f>
        <x:v>0</x:v>
      </x:c>
    </x:row>
    <x:row r="337">
      <x:c r="A337" s="1" t="n">
        <x:v>2725</x:v>
      </x:c>
      <x:c r="B337" s="5" t="d">
        <x:v>2015-02-09T00:00:00.000Z</x:v>
      </x:c>
      <x:c r="C337" s="1" t="str">
        <x:v>Standard Class</x:v>
      </x:c>
      <x:c r="D337" s="1" t="str">
        <x:v>LATAM</x:v>
      </x:c>
      <x:c r="E337" s="1" t="str">
        <x:v>PENDING</x:v>
      </x:c>
      <x:c r="F337" s="1" t="str">
        <x:v>Late delivery</x:v>
      </x:c>
      <x:c r="G337" s="6" t="n">
        <x:v>6</x:v>
      </x:c>
      <x:c r="H337" s="6" t="n">
        <x:v>4</x:v>
      </x:c>
      <x:c r="I337" s="6" t="n">
        <x:f>G337-H337</x:f>
        <x:v>2</x:v>
      </x:c>
      <x:c r="J337" s="6" t="n">
        <x:f>IF(OR(E337="CANCELED",E337="SUSPECTED_FRAUD",F337="Shipping canceled"),0,1)</x:f>
        <x:v>1</x:v>
      </x:c>
      <x:c r="K337" s="6" t="n">
        <x:f>IF(G337&gt;H337,1,0)</x:f>
        <x:v>1</x:v>
      </x:c>
      <x:c r="L337" s="6" t="n">
        <x:f>J337*K337</x:f>
        <x:v>1</x:v>
      </x:c>
    </x:row>
    <x:row r="338">
      <x:c r="A338" s="1" t="n">
        <x:v>2739</x:v>
      </x:c>
      <x:c r="B338" s="5" t="d">
        <x:v>2015-02-09T00:00:00.000Z</x:v>
      </x:c>
      <x:c r="C338" s="1" t="str">
        <x:v>Same Day</x:v>
      </x:c>
      <x:c r="D338" s="1" t="str">
        <x:v>LATAM</x:v>
      </x:c>
      <x:c r="E338" s="1" t="str">
        <x:v>PENDING</x:v>
      </x:c>
      <x:c r="F338" s="1" t="str">
        <x:v>Late delivery</x:v>
      </x:c>
      <x:c r="G338" s="6" t="n">
        <x:v>1</x:v>
      </x:c>
      <x:c r="H338" s="6" t="n">
        <x:v>0</x:v>
      </x:c>
      <x:c r="I338" s="6" t="n">
        <x:f>G338-H338</x:f>
        <x:v>1</x:v>
      </x:c>
      <x:c r="J338" s="6" t="n">
        <x:f>IF(OR(E338="CANCELED",E338="SUSPECTED_FRAUD",F338="Shipping canceled"),0,1)</x:f>
        <x:v>1</x:v>
      </x:c>
      <x:c r="K338" s="6" t="n">
        <x:f>IF(G338&gt;H338,1,0)</x:f>
        <x:v>1</x:v>
      </x:c>
      <x:c r="L338" s="6" t="n">
        <x:f>J338*K338</x:f>
        <x:v>1</x:v>
      </x:c>
    </x:row>
    <x:row r="339">
      <x:c r="A339" s="1" t="n">
        <x:v>2743</x:v>
      </x:c>
      <x:c r="B339" s="5" t="d">
        <x:v>2015-02-10T00:00:00.000Z</x:v>
      </x:c>
      <x:c r="C339" s="1" t="str">
        <x:v>Standard Class</x:v>
      </x:c>
      <x:c r="D339" s="1" t="str">
        <x:v>LATAM</x:v>
      </x:c>
      <x:c r="E339" s="1" t="str">
        <x:v>ON_HOLD</x:v>
      </x:c>
      <x:c r="F339" s="1" t="str">
        <x:v>Shipping on time</x:v>
      </x:c>
      <x:c r="G339" s="6" t="n">
        <x:v>4</x:v>
      </x:c>
      <x:c r="H339" s="6" t="n">
        <x:v>4</x:v>
      </x:c>
      <x:c r="I339" s="6" t="n">
        <x:f>G339-H339</x:f>
        <x:v>0</x:v>
      </x:c>
      <x:c r="J339" s="6" t="n">
        <x:f>IF(OR(E339="CANCELED",E339="SUSPECTED_FRAUD",F339="Shipping canceled"),0,1)</x:f>
        <x:v>1</x:v>
      </x:c>
      <x:c r="K339" s="6" t="n">
        <x:f>IF(G339&gt;H339,1,0)</x:f>
        <x:v>0</x:v>
      </x:c>
      <x:c r="L339" s="6" t="n">
        <x:f>J339*K339</x:f>
        <x:v>0</x:v>
      </x:c>
    </x:row>
    <x:row r="340">
      <x:c r="A340" s="1" t="n">
        <x:v>2746</x:v>
      </x:c>
      <x:c r="B340" s="5" t="d">
        <x:v>2015-02-10T00:00:00.000Z</x:v>
      </x:c>
      <x:c r="C340" s="1" t="str">
        <x:v>Standard Class</x:v>
      </x:c>
      <x:c r="D340" s="1" t="str">
        <x:v>LATAM</x:v>
      </x:c>
      <x:c r="E340" s="1" t="str">
        <x:v>COMPLETE</x:v>
      </x:c>
      <x:c r="F340" s="1" t="str">
        <x:v>Advance shipping</x:v>
      </x:c>
      <x:c r="G340" s="6" t="n">
        <x:v>2</x:v>
      </x:c>
      <x:c r="H340" s="6" t="n">
        <x:v>4</x:v>
      </x:c>
      <x:c r="I340" s="6" t="n">
        <x:f>G340-H340</x:f>
        <x:v>-2</x:v>
      </x:c>
      <x:c r="J340" s="6" t="n">
        <x:f>IF(OR(E340="CANCELED",E340="SUSPECTED_FRAUD",F340="Shipping canceled"),0,1)</x:f>
        <x:v>1</x:v>
      </x:c>
      <x:c r="K340" s="6" t="n">
        <x:f>IF(G340&gt;H340,1,0)</x:f>
        <x:v>0</x:v>
      </x:c>
      <x:c r="L340" s="6" t="n">
        <x:f>J340*K340</x:f>
        <x:v>0</x:v>
      </x:c>
    </x:row>
    <x:row r="341">
      <x:c r="A341" s="1" t="n">
        <x:v>2762</x:v>
      </x:c>
      <x:c r="B341" s="5" t="d">
        <x:v>2015-02-10T00:00:00.000Z</x:v>
      </x:c>
      <x:c r="C341" s="1" t="str">
        <x:v>Standard Class</x:v>
      </x:c>
      <x:c r="D341" s="1" t="str">
        <x:v>LATAM</x:v>
      </x:c>
      <x:c r="E341" s="1" t="str">
        <x:v>CLOSED</x:v>
      </x:c>
      <x:c r="F341" s="1" t="str">
        <x:v>Advance shipping</x:v>
      </x:c>
      <x:c r="G341" s="6" t="n">
        <x:v>3</x:v>
      </x:c>
      <x:c r="H341" s="6" t="n">
        <x:v>4</x:v>
      </x:c>
      <x:c r="I341" s="6" t="n">
        <x:f>G341-H341</x:f>
        <x:v>-1</x:v>
      </x:c>
      <x:c r="J341" s="6" t="n">
        <x:f>IF(OR(E341="CANCELED",E341="SUSPECTED_FRAUD",F341="Shipping canceled"),0,1)</x:f>
        <x:v>1</x:v>
      </x:c>
      <x:c r="K341" s="6" t="n">
        <x:f>IF(G341&gt;H341,1,0)</x:f>
        <x:v>0</x:v>
      </x:c>
      <x:c r="L341" s="6" t="n">
        <x:f>J341*K341</x:f>
        <x:v>0</x:v>
      </x:c>
    </x:row>
    <x:row r="342">
      <x:c r="A342" s="1" t="n">
        <x:v>2766</x:v>
      </x:c>
      <x:c r="B342" s="5" t="d">
        <x:v>2015-02-10T00:00:00.000Z</x:v>
      </x:c>
      <x:c r="C342" s="1" t="str">
        <x:v>Second Class</x:v>
      </x:c>
      <x:c r="D342" s="1" t="str">
        <x:v>LATAM</x:v>
      </x:c>
      <x:c r="E342" s="1" t="str">
        <x:v>COMPLETE</x:v>
      </x:c>
      <x:c r="F342" s="1" t="str">
        <x:v>Shipping on time</x:v>
      </x:c>
      <x:c r="G342" s="6" t="n">
        <x:v>2</x:v>
      </x:c>
      <x:c r="H342" s="6" t="n">
        <x:v>2</x:v>
      </x:c>
      <x:c r="I342" s="6" t="n">
        <x:f>G342-H342</x:f>
        <x:v>0</x:v>
      </x:c>
      <x:c r="J342" s="6" t="n">
        <x:f>IF(OR(E342="CANCELED",E342="SUSPECTED_FRAUD",F342="Shipping canceled"),0,1)</x:f>
        <x:v>1</x:v>
      </x:c>
      <x:c r="K342" s="6" t="n">
        <x:f>IF(G342&gt;H342,1,0)</x:f>
        <x:v>0</x:v>
      </x:c>
      <x:c r="L342" s="6" t="n">
        <x:f>J342*K342</x:f>
        <x:v>0</x:v>
      </x:c>
    </x:row>
    <x:row r="343">
      <x:c r="A343" s="1" t="n">
        <x:v>2774</x:v>
      </x:c>
      <x:c r="B343" s="5" t="d">
        <x:v>2015-02-10T00:00:00.000Z</x:v>
      </x:c>
      <x:c r="C343" s="1" t="str">
        <x:v>Standard Class</x:v>
      </x:c>
      <x:c r="D343" s="1" t="str">
        <x:v>LATAM</x:v>
      </x:c>
      <x:c r="E343" s="1" t="str">
        <x:v>PENDING</x:v>
      </x:c>
      <x:c r="F343" s="1" t="str">
        <x:v>Late delivery</x:v>
      </x:c>
      <x:c r="G343" s="6" t="n">
        <x:v>5</x:v>
      </x:c>
      <x:c r="H343" s="6" t="n">
        <x:v>4</x:v>
      </x:c>
      <x:c r="I343" s="6" t="n">
        <x:f>G343-H343</x:f>
        <x:v>1</x:v>
      </x:c>
      <x:c r="J343" s="6" t="n">
        <x:f>IF(OR(E343="CANCELED",E343="SUSPECTED_FRAUD",F343="Shipping canceled"),0,1)</x:f>
        <x:v>1</x:v>
      </x:c>
      <x:c r="K343" s="6" t="n">
        <x:f>IF(G343&gt;H343,1,0)</x:f>
        <x:v>1</x:v>
      </x:c>
      <x:c r="L343" s="6" t="n">
        <x:f>J343*K343</x:f>
        <x:v>1</x:v>
      </x:c>
    </x:row>
    <x:row r="344">
      <x:c r="A344" s="1" t="n">
        <x:v>2781</x:v>
      </x:c>
      <x:c r="B344" s="5" t="d">
        <x:v>2015-02-10T00:00:00.000Z</x:v>
      </x:c>
      <x:c r="C344" s="1" t="str">
        <x:v>Standard Class</x:v>
      </x:c>
      <x:c r="D344" s="1" t="str">
        <x:v>LATAM</x:v>
      </x:c>
      <x:c r="E344" s="1" t="str">
        <x:v>ON_HOLD</x:v>
      </x:c>
      <x:c r="F344" s="1" t="str">
        <x:v>Advance shipping</x:v>
      </x:c>
      <x:c r="G344" s="6" t="n">
        <x:v>2</x:v>
      </x:c>
      <x:c r="H344" s="6" t="n">
        <x:v>4</x:v>
      </x:c>
      <x:c r="I344" s="6" t="n">
        <x:f>G344-H344</x:f>
        <x:v>-2</x:v>
      </x:c>
      <x:c r="J344" s="6" t="n">
        <x:f>IF(OR(E344="CANCELED",E344="SUSPECTED_FRAUD",F344="Shipping canceled"),0,1)</x:f>
        <x:v>1</x:v>
      </x:c>
      <x:c r="K344" s="6" t="n">
        <x:f>IF(G344&gt;H344,1,0)</x:f>
        <x:v>0</x:v>
      </x:c>
      <x:c r="L344" s="6" t="n">
        <x:f>J344*K344</x:f>
        <x:v>0</x:v>
      </x:c>
    </x:row>
    <x:row r="345">
      <x:c r="A345" s="1" t="n">
        <x:v>2783</x:v>
      </x:c>
      <x:c r="B345" s="5" t="d">
        <x:v>2015-02-10T00:00:00.000Z</x:v>
      </x:c>
      <x:c r="C345" s="1" t="str">
        <x:v>Standard Class</x:v>
      </x:c>
      <x:c r="D345" s="1" t="str">
        <x:v>LATAM</x:v>
      </x:c>
      <x:c r="E345" s="1" t="str">
        <x:v>COMPLETE</x:v>
      </x:c>
      <x:c r="F345" s="1" t="str">
        <x:v>Shipping on time</x:v>
      </x:c>
      <x:c r="G345" s="6" t="n">
        <x:v>4</x:v>
      </x:c>
      <x:c r="H345" s="6" t="n">
        <x:v>4</x:v>
      </x:c>
      <x:c r="I345" s="6" t="n">
        <x:f>G345-H345</x:f>
        <x:v>0</x:v>
      </x:c>
      <x:c r="J345" s="6" t="n">
        <x:f>IF(OR(E345="CANCELED",E345="SUSPECTED_FRAUD",F345="Shipping canceled"),0,1)</x:f>
        <x:v>1</x:v>
      </x:c>
      <x:c r="K345" s="6" t="n">
        <x:f>IF(G345&gt;H345,1,0)</x:f>
        <x:v>0</x:v>
      </x:c>
      <x:c r="L345" s="6" t="n">
        <x:f>J345*K345</x:f>
        <x:v>0</x:v>
      </x:c>
    </x:row>
    <x:row r="346">
      <x:c r="A346" s="1" t="n">
        <x:v>2793</x:v>
      </x:c>
      <x:c r="B346" s="5" t="d">
        <x:v>2015-02-10T00:00:00.000Z</x:v>
      </x:c>
      <x:c r="C346" s="1" t="str">
        <x:v>Second Class</x:v>
      </x:c>
      <x:c r="D346" s="1" t="str">
        <x:v>LATAM</x:v>
      </x:c>
      <x:c r="E346" s="1" t="str">
        <x:v>COMPLETE</x:v>
      </x:c>
      <x:c r="F346" s="1" t="str">
        <x:v>Late delivery</x:v>
      </x:c>
      <x:c r="G346" s="6" t="n">
        <x:v>4</x:v>
      </x:c>
      <x:c r="H346" s="6" t="n">
        <x:v>2</x:v>
      </x:c>
      <x:c r="I346" s="6" t="n">
        <x:f>G346-H346</x:f>
        <x:v>2</x:v>
      </x:c>
      <x:c r="J346" s="6" t="n">
        <x:f>IF(OR(E346="CANCELED",E346="SUSPECTED_FRAUD",F346="Shipping canceled"),0,1)</x:f>
        <x:v>1</x:v>
      </x:c>
      <x:c r="K346" s="6" t="n">
        <x:f>IF(G346&gt;H346,1,0)</x:f>
        <x:v>1</x:v>
      </x:c>
      <x:c r="L346" s="6" t="n">
        <x:f>J346*K346</x:f>
        <x:v>1</x:v>
      </x:c>
    </x:row>
    <x:row r="347">
      <x:c r="A347" s="1" t="n">
        <x:v>2821</x:v>
      </x:c>
      <x:c r="B347" s="5" t="d">
        <x:v>2015-02-11T00:00:00.000Z</x:v>
      </x:c>
      <x:c r="C347" s="1" t="str">
        <x:v>Second Class</x:v>
      </x:c>
      <x:c r="D347" s="1" t="str">
        <x:v>LATAM</x:v>
      </x:c>
      <x:c r="E347" s="1" t="str">
        <x:v>PROCESSING</x:v>
      </x:c>
      <x:c r="F347" s="1" t="str">
        <x:v>Shipping on time</x:v>
      </x:c>
      <x:c r="G347" s="6" t="n">
        <x:v>2</x:v>
      </x:c>
      <x:c r="H347" s="6" t="n">
        <x:v>2</x:v>
      </x:c>
      <x:c r="I347" s="6" t="n">
        <x:f>G347-H347</x:f>
        <x:v>0</x:v>
      </x:c>
      <x:c r="J347" s="6" t="n">
        <x:f>IF(OR(E347="CANCELED",E347="SUSPECTED_FRAUD",F347="Shipping canceled"),0,1)</x:f>
        <x:v>1</x:v>
      </x:c>
      <x:c r="K347" s="6" t="n">
        <x:f>IF(G347&gt;H347,1,0)</x:f>
        <x:v>0</x:v>
      </x:c>
      <x:c r="L347" s="6" t="n">
        <x:f>J347*K347</x:f>
        <x:v>0</x:v>
      </x:c>
    </x:row>
    <x:row r="348">
      <x:c r="A348" s="1" t="n">
        <x:v>2829</x:v>
      </x:c>
      <x:c r="B348" s="5" t="d">
        <x:v>2015-02-11T00:00:00.000Z</x:v>
      </x:c>
      <x:c r="C348" s="1" t="str">
        <x:v>Second Class</x:v>
      </x:c>
      <x:c r="D348" s="1" t="str">
        <x:v>LATAM</x:v>
      </x:c>
      <x:c r="E348" s="1" t="str">
        <x:v>COMPLETE</x:v>
      </x:c>
      <x:c r="F348" s="1" t="str">
        <x:v>Late delivery</x:v>
      </x:c>
      <x:c r="G348" s="6" t="n">
        <x:v>5</x:v>
      </x:c>
      <x:c r="H348" s="6" t="n">
        <x:v>2</x:v>
      </x:c>
      <x:c r="I348" s="6" t="n">
        <x:f>G348-H348</x:f>
        <x:v>3</x:v>
      </x:c>
      <x:c r="J348" s="6" t="n">
        <x:f>IF(OR(E348="CANCELED",E348="SUSPECTED_FRAUD",F348="Shipping canceled"),0,1)</x:f>
        <x:v>1</x:v>
      </x:c>
      <x:c r="K348" s="6" t="n">
        <x:f>IF(G348&gt;H348,1,0)</x:f>
        <x:v>1</x:v>
      </x:c>
      <x:c r="L348" s="6" t="n">
        <x:f>J348*K348</x:f>
        <x:v>1</x:v>
      </x:c>
    </x:row>
    <x:row r="349">
      <x:c r="A349" s="1" t="n">
        <x:v>2833</x:v>
      </x:c>
      <x:c r="B349" s="5" t="d">
        <x:v>2015-02-11T00:00:00.000Z</x:v>
      </x:c>
      <x:c r="C349" s="1" t="str">
        <x:v>Second Class</x:v>
      </x:c>
      <x:c r="D349" s="1" t="str">
        <x:v>LATAM</x:v>
      </x:c>
      <x:c r="E349" s="1" t="str">
        <x:v>COMPLETE</x:v>
      </x:c>
      <x:c r="F349" s="1" t="str">
        <x:v>Late delivery</x:v>
      </x:c>
      <x:c r="G349" s="6" t="n">
        <x:v>4</x:v>
      </x:c>
      <x:c r="H349" s="6" t="n">
        <x:v>2</x:v>
      </x:c>
      <x:c r="I349" s="6" t="n">
        <x:f>G349-H349</x:f>
        <x:v>2</x:v>
      </x:c>
      <x:c r="J349" s="6" t="n">
        <x:f>IF(OR(E349="CANCELED",E349="SUSPECTED_FRAUD",F349="Shipping canceled"),0,1)</x:f>
        <x:v>1</x:v>
      </x:c>
      <x:c r="K349" s="6" t="n">
        <x:f>IF(G349&gt;H349,1,0)</x:f>
        <x:v>1</x:v>
      </x:c>
      <x:c r="L349" s="6" t="n">
        <x:f>J349*K349</x:f>
        <x:v>1</x:v>
      </x:c>
    </x:row>
    <x:row r="350">
      <x:c r="A350" s="1" t="n">
        <x:v>2851</x:v>
      </x:c>
      <x:c r="B350" s="5" t="d">
        <x:v>2015-02-11T00:00:00.000Z</x:v>
      </x:c>
      <x:c r="C350" s="1" t="str">
        <x:v>Standard Class</x:v>
      </x:c>
      <x:c r="D350" s="1" t="str">
        <x:v>LATAM</x:v>
      </x:c>
      <x:c r="E350" s="1" t="str">
        <x:v>COMPLETE</x:v>
      </x:c>
      <x:c r="F350" s="1" t="str">
        <x:v>Advance shipping</x:v>
      </x:c>
      <x:c r="G350" s="6" t="n">
        <x:v>2</x:v>
      </x:c>
      <x:c r="H350" s="6" t="n">
        <x:v>4</x:v>
      </x:c>
      <x:c r="I350" s="6" t="n">
        <x:f>G350-H350</x:f>
        <x:v>-2</x:v>
      </x:c>
      <x:c r="J350" s="6" t="n">
        <x:f>IF(OR(E350="CANCELED",E350="SUSPECTED_FRAUD",F350="Shipping canceled"),0,1)</x:f>
        <x:v>1</x:v>
      </x:c>
      <x:c r="K350" s="6" t="n">
        <x:f>IF(G350&gt;H350,1,0)</x:f>
        <x:v>0</x:v>
      </x:c>
      <x:c r="L350" s="6" t="n">
        <x:f>J350*K350</x:f>
        <x:v>0</x:v>
      </x:c>
    </x:row>
    <x:row r="351">
      <x:c r="A351" s="1" t="n">
        <x:v>2852</x:v>
      </x:c>
      <x:c r="B351" s="5" t="d">
        <x:v>2015-02-11T00:00:00.000Z</x:v>
      </x:c>
      <x:c r="C351" s="1" t="str">
        <x:v>Standard Class</x:v>
      </x:c>
      <x:c r="D351" s="1" t="str">
        <x:v>LATAM</x:v>
      </x:c>
      <x:c r="E351" s="1" t="str">
        <x:v>PROCESSING</x:v>
      </x:c>
      <x:c r="F351" s="1" t="str">
        <x:v>Advance shipping</x:v>
      </x:c>
      <x:c r="G351" s="6" t="n">
        <x:v>3</x:v>
      </x:c>
      <x:c r="H351" s="6" t="n">
        <x:v>4</x:v>
      </x:c>
      <x:c r="I351" s="6" t="n">
        <x:f>G351-H351</x:f>
        <x:v>-1</x:v>
      </x:c>
      <x:c r="J351" s="6" t="n">
        <x:f>IF(OR(E351="CANCELED",E351="SUSPECTED_FRAUD",F351="Shipping canceled"),0,1)</x:f>
        <x:v>1</x:v>
      </x:c>
      <x:c r="K351" s="6" t="n">
        <x:f>IF(G351&gt;H351,1,0)</x:f>
        <x:v>0</x:v>
      </x:c>
      <x:c r="L351" s="6" t="n">
        <x:f>J351*K351</x:f>
        <x:v>0</x:v>
      </x:c>
    </x:row>
    <x:row r="352">
      <x:c r="A352" s="1" t="n">
        <x:v>2853</x:v>
      </x:c>
      <x:c r="B352" s="5" t="d">
        <x:v>2015-02-11T00:00:00.000Z</x:v>
      </x:c>
      <x:c r="C352" s="1" t="str">
        <x:v>Standard Class</x:v>
      </x:c>
      <x:c r="D352" s="1" t="str">
        <x:v>LATAM</x:v>
      </x:c>
      <x:c r="E352" s="1" t="str">
        <x:v>PROCESSING</x:v>
      </x:c>
      <x:c r="F352" s="1" t="str">
        <x:v>Shipping on time</x:v>
      </x:c>
      <x:c r="G352" s="6" t="n">
        <x:v>4</x:v>
      </x:c>
      <x:c r="H352" s="6" t="n">
        <x:v>4</x:v>
      </x:c>
      <x:c r="I352" s="6" t="n">
        <x:f>G352-H352</x:f>
        <x:v>0</x:v>
      </x:c>
      <x:c r="J352" s="6" t="n">
        <x:f>IF(OR(E352="CANCELED",E352="SUSPECTED_FRAUD",F352="Shipping canceled"),0,1)</x:f>
        <x:v>1</x:v>
      </x:c>
      <x:c r="K352" s="6" t="n">
        <x:f>IF(G352&gt;H352,1,0)</x:f>
        <x:v>0</x:v>
      </x:c>
      <x:c r="L352" s="6" t="n">
        <x:f>J352*K352</x:f>
        <x:v>0</x:v>
      </x:c>
    </x:row>
    <x:row r="353">
      <x:c r="A353" s="1" t="n">
        <x:v>2863</x:v>
      </x:c>
      <x:c r="B353" s="5" t="d">
        <x:v>2015-02-11T00:00:00.000Z</x:v>
      </x:c>
      <x:c r="C353" s="1" t="str">
        <x:v>Standard Class</x:v>
      </x:c>
      <x:c r="D353" s="1" t="str">
        <x:v>LATAM</x:v>
      </x:c>
      <x:c r="E353" s="1" t="str">
        <x:v>PENDING</x:v>
      </x:c>
      <x:c r="F353" s="1" t="str">
        <x:v>Shipping on time</x:v>
      </x:c>
      <x:c r="G353" s="6" t="n">
        <x:v>4</x:v>
      </x:c>
      <x:c r="H353" s="6" t="n">
        <x:v>4</x:v>
      </x:c>
      <x:c r="I353" s="6" t="n">
        <x:f>G353-H353</x:f>
        <x:v>0</x:v>
      </x:c>
      <x:c r="J353" s="6" t="n">
        <x:f>IF(OR(E353="CANCELED",E353="SUSPECTED_FRAUD",F353="Shipping canceled"),0,1)</x:f>
        <x:v>1</x:v>
      </x:c>
      <x:c r="K353" s="6" t="n">
        <x:f>IF(G353&gt;H353,1,0)</x:f>
        <x:v>0</x:v>
      </x:c>
      <x:c r="L353" s="6" t="n">
        <x:f>J353*K353</x:f>
        <x:v>0</x:v>
      </x:c>
    </x:row>
    <x:row r="354">
      <x:c r="A354" s="1" t="n">
        <x:v>2867</x:v>
      </x:c>
      <x:c r="B354" s="5" t="d">
        <x:v>2015-02-11T00:00:00.000Z</x:v>
      </x:c>
      <x:c r="C354" s="1" t="str">
        <x:v>Standard Class</x:v>
      </x:c>
      <x:c r="D354" s="1" t="str">
        <x:v>LATAM</x:v>
      </x:c>
      <x:c r="E354" s="1" t="str">
        <x:v>COMPLETE</x:v>
      </x:c>
      <x:c r="F354" s="1" t="str">
        <x:v>Advance shipping</x:v>
      </x:c>
      <x:c r="G354" s="6" t="n">
        <x:v>3</x:v>
      </x:c>
      <x:c r="H354" s="6" t="n">
        <x:v>4</x:v>
      </x:c>
      <x:c r="I354" s="6" t="n">
        <x:f>G354-H354</x:f>
        <x:v>-1</x:v>
      </x:c>
      <x:c r="J354" s="6" t="n">
        <x:f>IF(OR(E354="CANCELED",E354="SUSPECTED_FRAUD",F354="Shipping canceled"),0,1)</x:f>
        <x:v>1</x:v>
      </x:c>
      <x:c r="K354" s="6" t="n">
        <x:f>IF(G354&gt;H354,1,0)</x:f>
        <x:v>0</x:v>
      </x:c>
      <x:c r="L354" s="6" t="n">
        <x:f>J354*K354</x:f>
        <x:v>0</x:v>
      </x:c>
    </x:row>
    <x:row r="355">
      <x:c r="A355" s="1" t="n">
        <x:v>2869</x:v>
      </x:c>
      <x:c r="B355" s="5" t="d">
        <x:v>2015-02-11T00:00:00.000Z</x:v>
      </x:c>
      <x:c r="C355" s="1" t="str">
        <x:v>Standard Class</x:v>
      </x:c>
      <x:c r="D355" s="1" t="str">
        <x:v>LATAM</x:v>
      </x:c>
      <x:c r="E355" s="1" t="str">
        <x:v>PENDING</x:v>
      </x:c>
      <x:c r="F355" s="1" t="str">
        <x:v>Late delivery</x:v>
      </x:c>
      <x:c r="G355" s="6" t="n">
        <x:v>5</x:v>
      </x:c>
      <x:c r="H355" s="6" t="n">
        <x:v>4</x:v>
      </x:c>
      <x:c r="I355" s="6" t="n">
        <x:f>G355-H355</x:f>
        <x:v>1</x:v>
      </x:c>
      <x:c r="J355" s="6" t="n">
        <x:f>IF(OR(E355="CANCELED",E355="SUSPECTED_FRAUD",F355="Shipping canceled"),0,1)</x:f>
        <x:v>1</x:v>
      </x:c>
      <x:c r="K355" s="6" t="n">
        <x:f>IF(G355&gt;H355,1,0)</x:f>
        <x:v>1</x:v>
      </x:c>
      <x:c r="L355" s="6" t="n">
        <x:f>J355*K355</x:f>
        <x:v>1</x:v>
      </x:c>
    </x:row>
    <x:row r="356">
      <x:c r="A356" s="1" t="n">
        <x:v>2872</x:v>
      </x:c>
      <x:c r="B356" s="5" t="d">
        <x:v>2015-02-11T00:00:00.000Z</x:v>
      </x:c>
      <x:c r="C356" s="1" t="str">
        <x:v>Same Day</x:v>
      </x:c>
      <x:c r="D356" s="1" t="str">
        <x:v>LATAM</x:v>
      </x:c>
      <x:c r="E356" s="1" t="str">
        <x:v>PENDING</x:v>
      </x:c>
      <x:c r="F356" s="1" t="str">
        <x:v>Late delivery</x:v>
      </x:c>
      <x:c r="G356" s="6" t="n">
        <x:v>1</x:v>
      </x:c>
      <x:c r="H356" s="6" t="n">
        <x:v>0</x:v>
      </x:c>
      <x:c r="I356" s="6" t="n">
        <x:f>G356-H356</x:f>
        <x:v>1</x:v>
      </x:c>
      <x:c r="J356" s="6" t="n">
        <x:f>IF(OR(E356="CANCELED",E356="SUSPECTED_FRAUD",F356="Shipping canceled"),0,1)</x:f>
        <x:v>1</x:v>
      </x:c>
      <x:c r="K356" s="6" t="n">
        <x:f>IF(G356&gt;H356,1,0)</x:f>
        <x:v>1</x:v>
      </x:c>
      <x:c r="L356" s="6" t="n">
        <x:f>J356*K356</x:f>
        <x:v>1</x:v>
      </x:c>
    </x:row>
    <x:row r="357">
      <x:c r="A357" s="1" t="n">
        <x:v>2886</x:v>
      </x:c>
      <x:c r="B357" s="5" t="d">
        <x:v>2015-02-12T00:00:00.000Z</x:v>
      </x:c>
      <x:c r="C357" s="1" t="str">
        <x:v>Standard Class</x:v>
      </x:c>
      <x:c r="D357" s="1" t="str">
        <x:v>LATAM</x:v>
      </x:c>
      <x:c r="E357" s="1" t="str">
        <x:v>PENDING</x:v>
      </x:c>
      <x:c r="F357" s="1" t="str">
        <x:v>Advance shipping</x:v>
      </x:c>
      <x:c r="G357" s="6" t="n">
        <x:v>2</x:v>
      </x:c>
      <x:c r="H357" s="6" t="n">
        <x:v>4</x:v>
      </x:c>
      <x:c r="I357" s="6" t="n">
        <x:f>G357-H357</x:f>
        <x:v>-2</x:v>
      </x:c>
      <x:c r="J357" s="6" t="n">
        <x:f>IF(OR(E357="CANCELED",E357="SUSPECTED_FRAUD",F357="Shipping canceled"),0,1)</x:f>
        <x:v>1</x:v>
      </x:c>
      <x:c r="K357" s="6" t="n">
        <x:f>IF(G357&gt;H357,1,0)</x:f>
        <x:v>0</x:v>
      </x:c>
      <x:c r="L357" s="6" t="n">
        <x:f>J357*K357</x:f>
        <x:v>0</x:v>
      </x:c>
    </x:row>
    <x:row r="358">
      <x:c r="A358" s="1" t="n">
        <x:v>2887</x:v>
      </x:c>
      <x:c r="B358" s="5" t="d">
        <x:v>2015-02-12T00:00:00.000Z</x:v>
      </x:c>
      <x:c r="C358" s="1" t="str">
        <x:v>Standard Class</x:v>
      </x:c>
      <x:c r="D358" s="1" t="str">
        <x:v>LATAM</x:v>
      </x:c>
      <x:c r="E358" s="1" t="str">
        <x:v>CANCELED</x:v>
      </x:c>
      <x:c r="F358" s="1" t="str">
        <x:v>Shipping canceled</x:v>
      </x:c>
      <x:c r="G358" s="6" t="n">
        <x:v>3</x:v>
      </x:c>
      <x:c r="H358" s="6" t="n">
        <x:v>4</x:v>
      </x:c>
      <x:c r="I358" s="6" t="n">
        <x:f>G358-H358</x:f>
        <x:v>-1</x:v>
      </x:c>
      <x:c r="J358" s="6" t="n">
        <x:f>IF(OR(E358="CANCELED",E358="SUSPECTED_FRAUD",F358="Shipping canceled"),0,1)</x:f>
        <x:v>0</x:v>
      </x:c>
      <x:c r="K358" s="6" t="n">
        <x:f>IF(G358&gt;H358,1,0)</x:f>
        <x:v>0</x:v>
      </x:c>
      <x:c r="L358" s="6" t="n">
        <x:f>J358*K358</x:f>
        <x:v>0</x:v>
      </x:c>
    </x:row>
    <x:row r="359">
      <x:c r="A359" s="1" t="n">
        <x:v>2895</x:v>
      </x:c>
      <x:c r="B359" s="5" t="d">
        <x:v>2015-02-12T00:00:00.000Z</x:v>
      </x:c>
      <x:c r="C359" s="1" t="str">
        <x:v>Standard Class</x:v>
      </x:c>
      <x:c r="D359" s="1" t="str">
        <x:v>LATAM</x:v>
      </x:c>
      <x:c r="E359" s="1" t="str">
        <x:v>PENDING</x:v>
      </x:c>
      <x:c r="F359" s="1" t="str">
        <x:v>Late delivery</x:v>
      </x:c>
      <x:c r="G359" s="6" t="n">
        <x:v>6</x:v>
      </x:c>
      <x:c r="H359" s="6" t="n">
        <x:v>4</x:v>
      </x:c>
      <x:c r="I359" s="6" t="n">
        <x:f>G359-H359</x:f>
        <x:v>2</x:v>
      </x:c>
      <x:c r="J359" s="6" t="n">
        <x:f>IF(OR(E359="CANCELED",E359="SUSPECTED_FRAUD",F359="Shipping canceled"),0,1)</x:f>
        <x:v>1</x:v>
      </x:c>
      <x:c r="K359" s="6" t="n">
        <x:f>IF(G359&gt;H359,1,0)</x:f>
        <x:v>1</x:v>
      </x:c>
      <x:c r="L359" s="6" t="n">
        <x:f>J359*K359</x:f>
        <x:v>1</x:v>
      </x:c>
    </x:row>
    <x:row r="360">
      <x:c r="A360" s="1" t="n">
        <x:v>2903</x:v>
      </x:c>
      <x:c r="B360" s="5" t="d">
        <x:v>2015-02-12T00:00:00.000Z</x:v>
      </x:c>
      <x:c r="C360" s="1" t="str">
        <x:v>Standard Class</x:v>
      </x:c>
      <x:c r="D360" s="1" t="str">
        <x:v>LATAM</x:v>
      </x:c>
      <x:c r="E360" s="1" t="str">
        <x:v>PENDING_PAYMENT</x:v>
      </x:c>
      <x:c r="F360" s="1" t="str">
        <x:v>Shipping on time</x:v>
      </x:c>
      <x:c r="G360" s="6" t="n">
        <x:v>4</x:v>
      </x:c>
      <x:c r="H360" s="6" t="n">
        <x:v>4</x:v>
      </x:c>
      <x:c r="I360" s="6" t="n">
        <x:f>G360-H360</x:f>
        <x:v>0</x:v>
      </x:c>
      <x:c r="J360" s="6" t="n">
        <x:f>IF(OR(E360="CANCELED",E360="SUSPECTED_FRAUD",F360="Shipping canceled"),0,1)</x:f>
        <x:v>1</x:v>
      </x:c>
      <x:c r="K360" s="6" t="n">
        <x:f>IF(G360&gt;H360,1,0)</x:f>
        <x:v>0</x:v>
      </x:c>
      <x:c r="L360" s="6" t="n">
        <x:f>J360*K360</x:f>
        <x:v>0</x:v>
      </x:c>
    </x:row>
    <x:row r="361">
      <x:c r="A361" s="1" t="n">
        <x:v>2906</x:v>
      </x:c>
      <x:c r="B361" s="5" t="d">
        <x:v>2015-02-12T00:00:00.000Z</x:v>
      </x:c>
      <x:c r="C361" s="1" t="str">
        <x:v>Standard Class</x:v>
      </x:c>
      <x:c r="D361" s="1" t="str">
        <x:v>LATAM</x:v>
      </x:c>
      <x:c r="E361" s="1" t="str">
        <x:v>COMPLETE</x:v>
      </x:c>
      <x:c r="F361" s="1" t="str">
        <x:v>Advance shipping</x:v>
      </x:c>
      <x:c r="G361" s="6" t="n">
        <x:v>2</x:v>
      </x:c>
      <x:c r="H361" s="6" t="n">
        <x:v>4</x:v>
      </x:c>
      <x:c r="I361" s="6" t="n">
        <x:f>G361-H361</x:f>
        <x:v>-2</x:v>
      </x:c>
      <x:c r="J361" s="6" t="n">
        <x:f>IF(OR(E361="CANCELED",E361="SUSPECTED_FRAUD",F361="Shipping canceled"),0,1)</x:f>
        <x:v>1</x:v>
      </x:c>
      <x:c r="K361" s="6" t="n">
        <x:f>IF(G361&gt;H361,1,0)</x:f>
        <x:v>0</x:v>
      </x:c>
      <x:c r="L361" s="6" t="n">
        <x:f>J361*K361</x:f>
        <x:v>0</x:v>
      </x:c>
    </x:row>
    <x:row r="362">
      <x:c r="A362" s="1" t="n">
        <x:v>2911</x:v>
      </x:c>
      <x:c r="B362" s="5" t="d">
        <x:v>2015-02-12T00:00:00.000Z</x:v>
      </x:c>
      <x:c r="C362" s="1" t="str">
        <x:v>Standard Class</x:v>
      </x:c>
      <x:c r="D362" s="1" t="str">
        <x:v>LATAM</x:v>
      </x:c>
      <x:c r="E362" s="1" t="str">
        <x:v>SUSPECTED_FRAUD</x:v>
      </x:c>
      <x:c r="F362" s="1" t="str">
        <x:v>Shipping canceled</x:v>
      </x:c>
      <x:c r="G362" s="6" t="n">
        <x:v>2</x:v>
      </x:c>
      <x:c r="H362" s="6" t="n">
        <x:v>4</x:v>
      </x:c>
      <x:c r="I362" s="6" t="n">
        <x:f>G362-H362</x:f>
        <x:v>-2</x:v>
      </x:c>
      <x:c r="J362" s="6" t="n">
        <x:f>IF(OR(E362="CANCELED",E362="SUSPECTED_FRAUD",F362="Shipping canceled"),0,1)</x:f>
        <x:v>0</x:v>
      </x:c>
      <x:c r="K362" s="6" t="n">
        <x:f>IF(G362&gt;H362,1,0)</x:f>
        <x:v>0</x:v>
      </x:c>
      <x:c r="L362" s="6" t="n">
        <x:f>J362*K362</x:f>
        <x:v>0</x:v>
      </x:c>
    </x:row>
    <x:row r="363">
      <x:c r="A363" s="1" t="n">
        <x:v>2929</x:v>
      </x:c>
      <x:c r="B363" s="5" t="d">
        <x:v>2015-02-12T00:00:00.000Z</x:v>
      </x:c>
      <x:c r="C363" s="1" t="str">
        <x:v>Second Class</x:v>
      </x:c>
      <x:c r="D363" s="1" t="str">
        <x:v>LATAM</x:v>
      </x:c>
      <x:c r="E363" s="1" t="str">
        <x:v>COMPLETE</x:v>
      </x:c>
      <x:c r="F363" s="1" t="str">
        <x:v>Late delivery</x:v>
      </x:c>
      <x:c r="G363" s="6" t="n">
        <x:v>5</x:v>
      </x:c>
      <x:c r="H363" s="6" t="n">
        <x:v>2</x:v>
      </x:c>
      <x:c r="I363" s="6" t="n">
        <x:f>G363-H363</x:f>
        <x:v>3</x:v>
      </x:c>
      <x:c r="J363" s="6" t="n">
        <x:f>IF(OR(E363="CANCELED",E363="SUSPECTED_FRAUD",F363="Shipping canceled"),0,1)</x:f>
        <x:v>1</x:v>
      </x:c>
      <x:c r="K363" s="6" t="n">
        <x:f>IF(G363&gt;H363,1,0)</x:f>
        <x:v>1</x:v>
      </x:c>
      <x:c r="L363" s="6" t="n">
        <x:f>J363*K363</x:f>
        <x:v>1</x:v>
      </x:c>
    </x:row>
    <x:row r="364">
      <x:c r="A364" s="1" t="n">
        <x:v>2937</x:v>
      </x:c>
      <x:c r="B364" s="5" t="d">
        <x:v>2015-02-12T00:00:00.000Z</x:v>
      </x:c>
      <x:c r="C364" s="1" t="str">
        <x:v>Standard Class</x:v>
      </x:c>
      <x:c r="D364" s="1" t="str">
        <x:v>LATAM</x:v>
      </x:c>
      <x:c r="E364" s="1" t="str">
        <x:v>PROCESSING</x:v>
      </x:c>
      <x:c r="F364" s="1" t="str">
        <x:v>Advance shipping</x:v>
      </x:c>
      <x:c r="G364" s="6" t="n">
        <x:v>3</x:v>
      </x:c>
      <x:c r="H364" s="6" t="n">
        <x:v>4</x:v>
      </x:c>
      <x:c r="I364" s="6" t="n">
        <x:f>G364-H364</x:f>
        <x:v>-1</x:v>
      </x:c>
      <x:c r="J364" s="6" t="n">
        <x:f>IF(OR(E364="CANCELED",E364="SUSPECTED_FRAUD",F364="Shipping canceled"),0,1)</x:f>
        <x:v>1</x:v>
      </x:c>
      <x:c r="K364" s="6" t="n">
        <x:f>IF(G364&gt;H364,1,0)</x:f>
        <x:v>0</x:v>
      </x:c>
      <x:c r="L364" s="6" t="n">
        <x:f>J364*K364</x:f>
        <x:v>0</x:v>
      </x:c>
    </x:row>
    <x:row r="365">
      <x:c r="A365" s="1" t="n">
        <x:v>2947</x:v>
      </x:c>
      <x:c r="B365" s="5" t="d">
        <x:v>2015-02-13T00:00:00.000Z</x:v>
      </x:c>
      <x:c r="C365" s="1" t="str">
        <x:v>Standard Class</x:v>
      </x:c>
      <x:c r="D365" s="1" t="str">
        <x:v>LATAM</x:v>
      </x:c>
      <x:c r="E365" s="1" t="str">
        <x:v>PROCESSING</x:v>
      </x:c>
      <x:c r="F365" s="1" t="str">
        <x:v>Advance shipping</x:v>
      </x:c>
      <x:c r="G365" s="6" t="n">
        <x:v>3</x:v>
      </x:c>
      <x:c r="H365" s="6" t="n">
        <x:v>4</x:v>
      </x:c>
      <x:c r="I365" s="6" t="n">
        <x:f>G365-H365</x:f>
        <x:v>-1</x:v>
      </x:c>
      <x:c r="J365" s="6" t="n">
        <x:f>IF(OR(E365="CANCELED",E365="SUSPECTED_FRAUD",F365="Shipping canceled"),0,1)</x:f>
        <x:v>1</x:v>
      </x:c>
      <x:c r="K365" s="6" t="n">
        <x:f>IF(G365&gt;H365,1,0)</x:f>
        <x:v>0</x:v>
      </x:c>
      <x:c r="L365" s="6" t="n">
        <x:f>J365*K365</x:f>
        <x:v>0</x:v>
      </x:c>
    </x:row>
    <x:row r="366">
      <x:c r="A366" s="1" t="n">
        <x:v>2958</x:v>
      </x:c>
      <x:c r="B366" s="5" t="d">
        <x:v>2015-02-13T00:00:00.000Z</x:v>
      </x:c>
      <x:c r="C366" s="1" t="str">
        <x:v>Standard Class</x:v>
      </x:c>
      <x:c r="D366" s="1" t="str">
        <x:v>LATAM</x:v>
      </x:c>
      <x:c r="E366" s="1" t="str">
        <x:v>PENDING</x:v>
      </x:c>
      <x:c r="F366" s="1" t="str">
        <x:v>Shipping on time</x:v>
      </x:c>
      <x:c r="G366" s="6" t="n">
        <x:v>4</x:v>
      </x:c>
      <x:c r="H366" s="6" t="n">
        <x:v>4</x:v>
      </x:c>
      <x:c r="I366" s="6" t="n">
        <x:f>G366-H366</x:f>
        <x:v>0</x:v>
      </x:c>
      <x:c r="J366" s="6" t="n">
        <x:f>IF(OR(E366="CANCELED",E366="SUSPECTED_FRAUD",F366="Shipping canceled"),0,1)</x:f>
        <x:v>1</x:v>
      </x:c>
      <x:c r="K366" s="6" t="n">
        <x:f>IF(G366&gt;H366,1,0)</x:f>
        <x:v>0</x:v>
      </x:c>
      <x:c r="L366" s="6" t="n">
        <x:f>J366*K366</x:f>
        <x:v>0</x:v>
      </x:c>
    </x:row>
    <x:row r="367">
      <x:c r="A367" s="1" t="n">
        <x:v>2986</x:v>
      </x:c>
      <x:c r="B367" s="5" t="d">
        <x:v>2015-02-13T00:00:00.000Z</x:v>
      </x:c>
      <x:c r="C367" s="1" t="str">
        <x:v>First Class</x:v>
      </x:c>
      <x:c r="D367" s="1" t="str">
        <x:v>LATAM</x:v>
      </x:c>
      <x:c r="E367" s="1" t="str">
        <x:v>COMPLETE</x:v>
      </x:c>
      <x:c r="F367" s="1" t="str">
        <x:v>Late delivery</x:v>
      </x:c>
      <x:c r="G367" s="6" t="n">
        <x:v>2</x:v>
      </x:c>
      <x:c r="H367" s="6" t="n">
        <x:v>1</x:v>
      </x:c>
      <x:c r="I367" s="6" t="n">
        <x:f>G367-H367</x:f>
        <x:v>1</x:v>
      </x:c>
      <x:c r="J367" s="6" t="n">
        <x:f>IF(OR(E367="CANCELED",E367="SUSPECTED_FRAUD",F367="Shipping canceled"),0,1)</x:f>
        <x:v>1</x:v>
      </x:c>
      <x:c r="K367" s="6" t="n">
        <x:f>IF(G367&gt;H367,1,0)</x:f>
        <x:v>1</x:v>
      </x:c>
      <x:c r="L367" s="6" t="n">
        <x:f>J367*K367</x:f>
        <x:v>1</x:v>
      </x:c>
    </x:row>
    <x:row r="368">
      <x:c r="A368" s="1" t="n">
        <x:v>2988</x:v>
      </x:c>
      <x:c r="B368" s="5" t="d">
        <x:v>2015-02-13T00:00:00.000Z</x:v>
      </x:c>
      <x:c r="C368" s="1" t="str">
        <x:v>First Class</x:v>
      </x:c>
      <x:c r="D368" s="1" t="str">
        <x:v>LATAM</x:v>
      </x:c>
      <x:c r="E368" s="1" t="str">
        <x:v>PROCESSING</x:v>
      </x:c>
      <x:c r="F368" s="1" t="str">
        <x:v>Late delivery</x:v>
      </x:c>
      <x:c r="G368" s="6" t="n">
        <x:v>2</x:v>
      </x:c>
      <x:c r="H368" s="6" t="n">
        <x:v>1</x:v>
      </x:c>
      <x:c r="I368" s="6" t="n">
        <x:f>G368-H368</x:f>
        <x:v>1</x:v>
      </x:c>
      <x:c r="J368" s="6" t="n">
        <x:f>IF(OR(E368="CANCELED",E368="SUSPECTED_FRAUD",F368="Shipping canceled"),0,1)</x:f>
        <x:v>1</x:v>
      </x:c>
      <x:c r="K368" s="6" t="n">
        <x:f>IF(G368&gt;H368,1,0)</x:f>
        <x:v>1</x:v>
      </x:c>
      <x:c r="L368" s="6" t="n">
        <x:f>J368*K368</x:f>
        <x:v>1</x:v>
      </x:c>
    </x:row>
    <x:row r="369">
      <x:c r="A369" s="1" t="n">
        <x:v>3011</x:v>
      </x:c>
      <x:c r="B369" s="5" t="d">
        <x:v>2015-02-13T00:00:00.000Z</x:v>
      </x:c>
      <x:c r="C369" s="1" t="str">
        <x:v>Second Class</x:v>
      </x:c>
      <x:c r="D369" s="1" t="str">
        <x:v>LATAM</x:v>
      </x:c>
      <x:c r="E369" s="1" t="str">
        <x:v>COMPLETE</x:v>
      </x:c>
      <x:c r="F369" s="1" t="str">
        <x:v>Shipping on time</x:v>
      </x:c>
      <x:c r="G369" s="6" t="n">
        <x:v>2</x:v>
      </x:c>
      <x:c r="H369" s="6" t="n">
        <x:v>2</x:v>
      </x:c>
      <x:c r="I369" s="6" t="n">
        <x:f>G369-H369</x:f>
        <x:v>0</x:v>
      </x:c>
      <x:c r="J369" s="6" t="n">
        <x:f>IF(OR(E369="CANCELED",E369="SUSPECTED_FRAUD",F369="Shipping canceled"),0,1)</x:f>
        <x:v>1</x:v>
      </x:c>
      <x:c r="K369" s="6" t="n">
        <x:f>IF(G369&gt;H369,1,0)</x:f>
        <x:v>0</x:v>
      </x:c>
      <x:c r="L369" s="6" t="n">
        <x:f>J369*K369</x:f>
        <x:v>0</x:v>
      </x:c>
    </x:row>
    <x:row r="370">
      <x:c r="A370" s="1" t="n">
        <x:v>3017</x:v>
      </x:c>
      <x:c r="B370" s="5" t="d">
        <x:v>2015-02-14T00:00:00.000Z</x:v>
      </x:c>
      <x:c r="C370" s="1" t="str">
        <x:v>Standard Class</x:v>
      </x:c>
      <x:c r="D370" s="1" t="str">
        <x:v>LATAM</x:v>
      </x:c>
      <x:c r="E370" s="1" t="str">
        <x:v>COMPLETE</x:v>
      </x:c>
      <x:c r="F370" s="1" t="str">
        <x:v>Advance shipping</x:v>
      </x:c>
      <x:c r="G370" s="6" t="n">
        <x:v>3</x:v>
      </x:c>
      <x:c r="H370" s="6" t="n">
        <x:v>4</x:v>
      </x:c>
      <x:c r="I370" s="6" t="n">
        <x:f>G370-H370</x:f>
        <x:v>-1</x:v>
      </x:c>
      <x:c r="J370" s="6" t="n">
        <x:f>IF(OR(E370="CANCELED",E370="SUSPECTED_FRAUD",F370="Shipping canceled"),0,1)</x:f>
        <x:v>1</x:v>
      </x:c>
      <x:c r="K370" s="6" t="n">
        <x:f>IF(G370&gt;H370,1,0)</x:f>
        <x:v>0</x:v>
      </x:c>
      <x:c r="L370" s="6" t="n">
        <x:f>J370*K370</x:f>
        <x:v>0</x:v>
      </x:c>
    </x:row>
    <x:row r="371">
      <x:c r="A371" s="1" t="n">
        <x:v>3018</x:v>
      </x:c>
      <x:c r="B371" s="5" t="d">
        <x:v>2015-02-14T00:00:00.000Z</x:v>
      </x:c>
      <x:c r="C371" s="1" t="str">
        <x:v>Standard Class</x:v>
      </x:c>
      <x:c r="D371" s="1" t="str">
        <x:v>LATAM</x:v>
      </x:c>
      <x:c r="E371" s="1" t="str">
        <x:v>COMPLETE</x:v>
      </x:c>
      <x:c r="F371" s="1" t="str">
        <x:v>Shipping on time</x:v>
      </x:c>
      <x:c r="G371" s="6" t="n">
        <x:v>4</x:v>
      </x:c>
      <x:c r="H371" s="6" t="n">
        <x:v>4</x:v>
      </x:c>
      <x:c r="I371" s="6" t="n">
        <x:f>G371-H371</x:f>
        <x:v>0</x:v>
      </x:c>
      <x:c r="J371" s="6" t="n">
        <x:f>IF(OR(E371="CANCELED",E371="SUSPECTED_FRAUD",F371="Shipping canceled"),0,1)</x:f>
        <x:v>1</x:v>
      </x:c>
      <x:c r="K371" s="6" t="n">
        <x:f>IF(G371&gt;H371,1,0)</x:f>
        <x:v>0</x:v>
      </x:c>
      <x:c r="L371" s="6" t="n">
        <x:f>J371*K371</x:f>
        <x:v>0</x:v>
      </x:c>
    </x:row>
    <x:row r="372">
      <x:c r="A372" s="1" t="n">
        <x:v>3023</x:v>
      </x:c>
      <x:c r="B372" s="5" t="d">
        <x:v>2015-02-14T00:00:00.000Z</x:v>
      </x:c>
      <x:c r="C372" s="1" t="str">
        <x:v>Standard Class</x:v>
      </x:c>
      <x:c r="D372" s="1" t="str">
        <x:v>LATAM</x:v>
      </x:c>
      <x:c r="E372" s="1" t="str">
        <x:v>COMPLETE</x:v>
      </x:c>
      <x:c r="F372" s="1" t="str">
        <x:v>Shipping on time</x:v>
      </x:c>
      <x:c r="G372" s="6" t="n">
        <x:v>4</x:v>
      </x:c>
      <x:c r="H372" s="6" t="n">
        <x:v>4</x:v>
      </x:c>
      <x:c r="I372" s="6" t="n">
        <x:f>G372-H372</x:f>
        <x:v>0</x:v>
      </x:c>
      <x:c r="J372" s="6" t="n">
        <x:f>IF(OR(E372="CANCELED",E372="SUSPECTED_FRAUD",F372="Shipping canceled"),0,1)</x:f>
        <x:v>1</x:v>
      </x:c>
      <x:c r="K372" s="6" t="n">
        <x:f>IF(G372&gt;H372,1,0)</x:f>
        <x:v>0</x:v>
      </x:c>
      <x:c r="L372" s="6" t="n">
        <x:f>J372*K372</x:f>
        <x:v>0</x:v>
      </x:c>
    </x:row>
    <x:row r="373">
      <x:c r="A373" s="1" t="n">
        <x:v>3027</x:v>
      </x:c>
      <x:c r="B373" s="5" t="d">
        <x:v>2015-02-14T00:00:00.000Z</x:v>
      </x:c>
      <x:c r="C373" s="1" t="str">
        <x:v>Same Day</x:v>
      </x:c>
      <x:c r="D373" s="1" t="str">
        <x:v>LATAM</x:v>
      </x:c>
      <x:c r="E373" s="1" t="str">
        <x:v>CLOSED</x:v>
      </x:c>
      <x:c r="F373" s="1" t="str">
        <x:v>Shipping on time</x:v>
      </x:c>
      <x:c r="G373" s="6" t="n">
        <x:v>0</x:v>
      </x:c>
      <x:c r="H373" s="6" t="n">
        <x:v>0</x:v>
      </x:c>
      <x:c r="I373" s="6" t="n">
        <x:f>G373-H373</x:f>
        <x:v>0</x:v>
      </x:c>
      <x:c r="J373" s="6" t="n">
        <x:f>IF(OR(E373="CANCELED",E373="SUSPECTED_FRAUD",F373="Shipping canceled"),0,1)</x:f>
        <x:v>1</x:v>
      </x:c>
      <x:c r="K373" s="6" t="n">
        <x:f>IF(G373&gt;H373,1,0)</x:f>
        <x:v>0</x:v>
      </x:c>
      <x:c r="L373" s="6" t="n">
        <x:f>J373*K373</x:f>
        <x:v>0</x:v>
      </x:c>
    </x:row>
    <x:row r="374">
      <x:c r="A374" s="1" t="n">
        <x:v>3032</x:v>
      </x:c>
      <x:c r="B374" s="5" t="d">
        <x:v>2015-02-14T00:00:00.000Z</x:v>
      </x:c>
      <x:c r="C374" s="1" t="str">
        <x:v>Second Class</x:v>
      </x:c>
      <x:c r="D374" s="1" t="str">
        <x:v>LATAM</x:v>
      </x:c>
      <x:c r="E374" s="1" t="str">
        <x:v>CLOSED</x:v>
      </x:c>
      <x:c r="F374" s="1" t="str">
        <x:v>Late delivery</x:v>
      </x:c>
      <x:c r="G374" s="6" t="n">
        <x:v>3</x:v>
      </x:c>
      <x:c r="H374" s="6" t="n">
        <x:v>2</x:v>
      </x:c>
      <x:c r="I374" s="6" t="n">
        <x:f>G374-H374</x:f>
        <x:v>1</x:v>
      </x:c>
      <x:c r="J374" s="6" t="n">
        <x:f>IF(OR(E374="CANCELED",E374="SUSPECTED_FRAUD",F374="Shipping canceled"),0,1)</x:f>
        <x:v>1</x:v>
      </x:c>
      <x:c r="K374" s="6" t="n">
        <x:f>IF(G374&gt;H374,1,0)</x:f>
        <x:v>1</x:v>
      </x:c>
      <x:c r="L374" s="6" t="n">
        <x:f>J374*K374</x:f>
        <x:v>1</x:v>
      </x:c>
    </x:row>
    <x:row r="375">
      <x:c r="A375" s="1" t="n">
        <x:v>3053</x:v>
      </x:c>
      <x:c r="B375" s="5" t="d">
        <x:v>2015-02-14T00:00:00.000Z</x:v>
      </x:c>
      <x:c r="C375" s="1" t="str">
        <x:v>Same Day</x:v>
      </x:c>
      <x:c r="D375" s="1" t="str">
        <x:v>LATAM</x:v>
      </x:c>
      <x:c r="E375" s="1" t="str">
        <x:v>PENDING</x:v>
      </x:c>
      <x:c r="F375" s="1" t="str">
        <x:v>Late delivery</x:v>
      </x:c>
      <x:c r="G375" s="6" t="n">
        <x:v>1</x:v>
      </x:c>
      <x:c r="H375" s="6" t="n">
        <x:v>0</x:v>
      </x:c>
      <x:c r="I375" s="6" t="n">
        <x:f>G375-H375</x:f>
        <x:v>1</x:v>
      </x:c>
      <x:c r="J375" s="6" t="n">
        <x:f>IF(OR(E375="CANCELED",E375="SUSPECTED_FRAUD",F375="Shipping canceled"),0,1)</x:f>
        <x:v>1</x:v>
      </x:c>
      <x:c r="K375" s="6" t="n">
        <x:f>IF(G375&gt;H375,1,0)</x:f>
        <x:v>1</x:v>
      </x:c>
      <x:c r="L375" s="6" t="n">
        <x:f>J375*K375</x:f>
        <x:v>1</x:v>
      </x:c>
    </x:row>
    <x:row r="376">
      <x:c r="A376" s="1" t="n">
        <x:v>3079</x:v>
      </x:c>
      <x:c r="B376" s="5" t="d">
        <x:v>2015-02-14T00:00:00.000Z</x:v>
      </x:c>
      <x:c r="C376" s="1" t="str">
        <x:v>Second Class</x:v>
      </x:c>
      <x:c r="D376" s="1" t="str">
        <x:v>LATAM</x:v>
      </x:c>
      <x:c r="E376" s="1" t="str">
        <x:v>CLOSED</x:v>
      </x:c>
      <x:c r="F376" s="1" t="str">
        <x:v>Late delivery</x:v>
      </x:c>
      <x:c r="G376" s="6" t="n">
        <x:v>5</x:v>
      </x:c>
      <x:c r="H376" s="6" t="n">
        <x:v>2</x:v>
      </x:c>
      <x:c r="I376" s="6" t="n">
        <x:f>G376-H376</x:f>
        <x:v>3</x:v>
      </x:c>
      <x:c r="J376" s="6" t="n">
        <x:f>IF(OR(E376="CANCELED",E376="SUSPECTED_FRAUD",F376="Shipping canceled"),0,1)</x:f>
        <x:v>1</x:v>
      </x:c>
      <x:c r="K376" s="6" t="n">
        <x:f>IF(G376&gt;H376,1,0)</x:f>
        <x:v>1</x:v>
      </x:c>
      <x:c r="L376" s="6" t="n">
        <x:f>J376*K376</x:f>
        <x:v>1</x:v>
      </x:c>
    </x:row>
    <x:row r="377">
      <x:c r="A377" s="1" t="n">
        <x:v>3090</x:v>
      </x:c>
      <x:c r="B377" s="5" t="d">
        <x:v>2015-02-15T00:00:00.000Z</x:v>
      </x:c>
      <x:c r="C377" s="1" t="str">
        <x:v>Second Class</x:v>
      </x:c>
      <x:c r="D377" s="1" t="str">
        <x:v>LATAM</x:v>
      </x:c>
      <x:c r="E377" s="1" t="str">
        <x:v>COMPLETE</x:v>
      </x:c>
      <x:c r="F377" s="1" t="str">
        <x:v>Late delivery</x:v>
      </x:c>
      <x:c r="G377" s="6" t="n">
        <x:v>6</x:v>
      </x:c>
      <x:c r="H377" s="6" t="n">
        <x:v>2</x:v>
      </x:c>
      <x:c r="I377" s="6" t="n">
        <x:f>G377-H377</x:f>
        <x:v>4</x:v>
      </x:c>
      <x:c r="J377" s="6" t="n">
        <x:f>IF(OR(E377="CANCELED",E377="SUSPECTED_FRAUD",F377="Shipping canceled"),0,1)</x:f>
        <x:v>1</x:v>
      </x:c>
      <x:c r="K377" s="6" t="n">
        <x:f>IF(G377&gt;H377,1,0)</x:f>
        <x:v>1</x:v>
      </x:c>
      <x:c r="L377" s="6" t="n">
        <x:f>J377*K377</x:f>
        <x:v>1</x:v>
      </x:c>
    </x:row>
    <x:row r="378">
      <x:c r="A378" s="1" t="n">
        <x:v>3094</x:v>
      </x:c>
      <x:c r="B378" s="5" t="d">
        <x:v>2015-02-15T00:00:00.000Z</x:v>
      </x:c>
      <x:c r="C378" s="1" t="str">
        <x:v>Second Class</x:v>
      </x:c>
      <x:c r="D378" s="1" t="str">
        <x:v>LATAM</x:v>
      </x:c>
      <x:c r="E378" s="1" t="str">
        <x:v>COMPLETE</x:v>
      </x:c>
      <x:c r="F378" s="1" t="str">
        <x:v>Late delivery</x:v>
      </x:c>
      <x:c r="G378" s="6" t="n">
        <x:v>5</x:v>
      </x:c>
      <x:c r="H378" s="6" t="n">
        <x:v>2</x:v>
      </x:c>
      <x:c r="I378" s="6" t="n">
        <x:f>G378-H378</x:f>
        <x:v>3</x:v>
      </x:c>
      <x:c r="J378" s="6" t="n">
        <x:f>IF(OR(E378="CANCELED",E378="SUSPECTED_FRAUD",F378="Shipping canceled"),0,1)</x:f>
        <x:v>1</x:v>
      </x:c>
      <x:c r="K378" s="6" t="n">
        <x:f>IF(G378&gt;H378,1,0)</x:f>
        <x:v>1</x:v>
      </x:c>
      <x:c r="L378" s="6" t="n">
        <x:f>J378*K378</x:f>
        <x:v>1</x:v>
      </x:c>
    </x:row>
    <x:row r="379">
      <x:c r="A379" s="1" t="n">
        <x:v>3099</x:v>
      </x:c>
      <x:c r="B379" s="5" t="d">
        <x:v>2015-02-15T00:00:00.000Z</x:v>
      </x:c>
      <x:c r="C379" s="1" t="str">
        <x:v>Standard Class</x:v>
      </x:c>
      <x:c r="D379" s="1" t="str">
        <x:v>LATAM</x:v>
      </x:c>
      <x:c r="E379" s="1" t="str">
        <x:v>PROCESSING</x:v>
      </x:c>
      <x:c r="F379" s="1" t="str">
        <x:v>Late delivery</x:v>
      </x:c>
      <x:c r="G379" s="6" t="n">
        <x:v>5</x:v>
      </x:c>
      <x:c r="H379" s="6" t="n">
        <x:v>4</x:v>
      </x:c>
      <x:c r="I379" s="6" t="n">
        <x:f>G379-H379</x:f>
        <x:v>1</x:v>
      </x:c>
      <x:c r="J379" s="6" t="n">
        <x:f>IF(OR(E379="CANCELED",E379="SUSPECTED_FRAUD",F379="Shipping canceled"),0,1)</x:f>
        <x:v>1</x:v>
      </x:c>
      <x:c r="K379" s="6" t="n">
        <x:f>IF(G379&gt;H379,1,0)</x:f>
        <x:v>1</x:v>
      </x:c>
      <x:c r="L379" s="6" t="n">
        <x:f>J379*K379</x:f>
        <x:v>1</x:v>
      </x:c>
    </x:row>
    <x:row r="380">
      <x:c r="A380" s="1" t="n">
        <x:v>3109</x:v>
      </x:c>
      <x:c r="B380" s="5" t="d">
        <x:v>2015-02-15T00:00:00.000Z</x:v>
      </x:c>
      <x:c r="C380" s="1" t="str">
        <x:v>Standard Class</x:v>
      </x:c>
      <x:c r="D380" s="1" t="str">
        <x:v>LATAM</x:v>
      </x:c>
      <x:c r="E380" s="1" t="str">
        <x:v>PROCESSING</x:v>
      </x:c>
      <x:c r="F380" s="1" t="str">
        <x:v>Late delivery</x:v>
      </x:c>
      <x:c r="G380" s="6" t="n">
        <x:v>5</x:v>
      </x:c>
      <x:c r="H380" s="6" t="n">
        <x:v>4</x:v>
      </x:c>
      <x:c r="I380" s="6" t="n">
        <x:f>G380-H380</x:f>
        <x:v>1</x:v>
      </x:c>
      <x:c r="J380" s="6" t="n">
        <x:f>IF(OR(E380="CANCELED",E380="SUSPECTED_FRAUD",F380="Shipping canceled"),0,1)</x:f>
        <x:v>1</x:v>
      </x:c>
      <x:c r="K380" s="6" t="n">
        <x:f>IF(G380&gt;H380,1,0)</x:f>
        <x:v>1</x:v>
      </x:c>
      <x:c r="L380" s="6" t="n">
        <x:f>J380*K380</x:f>
        <x:v>1</x:v>
      </x:c>
    </x:row>
    <x:row r="381">
      <x:c r="A381" s="1" t="n">
        <x:v>3113</x:v>
      </x:c>
      <x:c r="B381" s="5" t="d">
        <x:v>2015-02-15T00:00:00.000Z</x:v>
      </x:c>
      <x:c r="C381" s="1" t="str">
        <x:v>First Class</x:v>
      </x:c>
      <x:c r="D381" s="1" t="str">
        <x:v>LATAM</x:v>
      </x:c>
      <x:c r="E381" s="1" t="str">
        <x:v>CLOSED</x:v>
      </x:c>
      <x:c r="F381" s="1" t="str">
        <x:v>Late delivery</x:v>
      </x:c>
      <x:c r="G381" s="6" t="n">
        <x:v>2</x:v>
      </x:c>
      <x:c r="H381" s="6" t="n">
        <x:v>1</x:v>
      </x:c>
      <x:c r="I381" s="6" t="n">
        <x:f>G381-H381</x:f>
        <x:v>1</x:v>
      </x:c>
      <x:c r="J381" s="6" t="n">
        <x:f>IF(OR(E381="CANCELED",E381="SUSPECTED_FRAUD",F381="Shipping canceled"),0,1)</x:f>
        <x:v>1</x:v>
      </x:c>
      <x:c r="K381" s="6" t="n">
        <x:f>IF(G381&gt;H381,1,0)</x:f>
        <x:v>1</x:v>
      </x:c>
      <x:c r="L381" s="6" t="n">
        <x:f>J381*K381</x:f>
        <x:v>1</x:v>
      </x:c>
    </x:row>
    <x:row r="382">
      <x:c r="A382" s="1" t="n">
        <x:v>3116</x:v>
      </x:c>
      <x:c r="B382" s="5" t="d">
        <x:v>2015-02-15T00:00:00.000Z</x:v>
      </x:c>
      <x:c r="C382" s="1" t="str">
        <x:v>Standard Class</x:v>
      </x:c>
      <x:c r="D382" s="1" t="str">
        <x:v>LATAM</x:v>
      </x:c>
      <x:c r="E382" s="1" t="str">
        <x:v>SUSPECTED_FRAUD</x:v>
      </x:c>
      <x:c r="F382" s="1" t="str">
        <x:v>Shipping canceled</x:v>
      </x:c>
      <x:c r="G382" s="6" t="n">
        <x:v>2</x:v>
      </x:c>
      <x:c r="H382" s="6" t="n">
        <x:v>4</x:v>
      </x:c>
      <x:c r="I382" s="6" t="n">
        <x:f>G382-H382</x:f>
        <x:v>-2</x:v>
      </x:c>
      <x:c r="J382" s="6" t="n">
        <x:f>IF(OR(E382="CANCELED",E382="SUSPECTED_FRAUD",F382="Shipping canceled"),0,1)</x:f>
        <x:v>0</x:v>
      </x:c>
      <x:c r="K382" s="6" t="n">
        <x:f>IF(G382&gt;H382,1,0)</x:f>
        <x:v>0</x:v>
      </x:c>
      <x:c r="L382" s="6" t="n">
        <x:f>J382*K382</x:f>
        <x:v>0</x:v>
      </x:c>
    </x:row>
    <x:row r="383">
      <x:c r="A383" s="1" t="n">
        <x:v>3130</x:v>
      </x:c>
      <x:c r="B383" s="5" t="d">
        <x:v>2015-02-15T00:00:00.000Z</x:v>
      </x:c>
      <x:c r="C383" s="1" t="str">
        <x:v>Second Class</x:v>
      </x:c>
      <x:c r="D383" s="1" t="str">
        <x:v>LATAM</x:v>
      </x:c>
      <x:c r="E383" s="1" t="str">
        <x:v>PENDING_PAYMENT</x:v>
      </x:c>
      <x:c r="F383" s="1" t="str">
        <x:v>Late delivery</x:v>
      </x:c>
      <x:c r="G383" s="6" t="n">
        <x:v>6</x:v>
      </x:c>
      <x:c r="H383" s="6" t="n">
        <x:v>2</x:v>
      </x:c>
      <x:c r="I383" s="6" t="n">
        <x:f>G383-H383</x:f>
        <x:v>4</x:v>
      </x:c>
      <x:c r="J383" s="6" t="n">
        <x:f>IF(OR(E383="CANCELED",E383="SUSPECTED_FRAUD",F383="Shipping canceled"),0,1)</x:f>
        <x:v>1</x:v>
      </x:c>
      <x:c r="K383" s="6" t="n">
        <x:f>IF(G383&gt;H383,1,0)</x:f>
        <x:v>1</x:v>
      </x:c>
      <x:c r="L383" s="6" t="n">
        <x:f>J383*K383</x:f>
        <x:v>1</x:v>
      </x:c>
    </x:row>
    <x:row r="384">
      <x:c r="A384" s="1" t="n">
        <x:v>3137</x:v>
      </x:c>
      <x:c r="B384" s="5" t="d">
        <x:v>2015-02-15T00:00:00.000Z</x:v>
      </x:c>
      <x:c r="C384" s="1" t="str">
        <x:v>Standard Class</x:v>
      </x:c>
      <x:c r="D384" s="1" t="str">
        <x:v>LATAM</x:v>
      </x:c>
      <x:c r="E384" s="1" t="str">
        <x:v>PENDING</x:v>
      </x:c>
      <x:c r="F384" s="1" t="str">
        <x:v>Advance shipping</x:v>
      </x:c>
      <x:c r="G384" s="6" t="n">
        <x:v>3</x:v>
      </x:c>
      <x:c r="H384" s="6" t="n">
        <x:v>4</x:v>
      </x:c>
      <x:c r="I384" s="6" t="n">
        <x:f>G384-H384</x:f>
        <x:v>-1</x:v>
      </x:c>
      <x:c r="J384" s="6" t="n">
        <x:f>IF(OR(E384="CANCELED",E384="SUSPECTED_FRAUD",F384="Shipping canceled"),0,1)</x:f>
        <x:v>1</x:v>
      </x:c>
      <x:c r="K384" s="6" t="n">
        <x:f>IF(G384&gt;H384,1,0)</x:f>
        <x:v>0</x:v>
      </x:c>
      <x:c r="L384" s="6" t="n">
        <x:f>J384*K384</x:f>
        <x:v>0</x:v>
      </x:c>
    </x:row>
    <x:row r="385">
      <x:c r="A385" s="1" t="n">
        <x:v>3140</x:v>
      </x:c>
      <x:c r="B385" s="5" t="d">
        <x:v>2015-02-15T00:00:00.000Z</x:v>
      </x:c>
      <x:c r="C385" s="1" t="str">
        <x:v>Standard Class</x:v>
      </x:c>
      <x:c r="D385" s="1" t="str">
        <x:v>LATAM</x:v>
      </x:c>
      <x:c r="E385" s="1" t="str">
        <x:v>CLOSED</x:v>
      </x:c>
      <x:c r="F385" s="1" t="str">
        <x:v>Late delivery</x:v>
      </x:c>
      <x:c r="G385" s="6" t="n">
        <x:v>6</x:v>
      </x:c>
      <x:c r="H385" s="6" t="n">
        <x:v>4</x:v>
      </x:c>
      <x:c r="I385" s="6" t="n">
        <x:f>G385-H385</x:f>
        <x:v>2</x:v>
      </x:c>
      <x:c r="J385" s="6" t="n">
        <x:f>IF(OR(E385="CANCELED",E385="SUSPECTED_FRAUD",F385="Shipping canceled"),0,1)</x:f>
        <x:v>1</x:v>
      </x:c>
      <x:c r="K385" s="6" t="n">
        <x:f>IF(G385&gt;H385,1,0)</x:f>
        <x:v>1</x:v>
      </x:c>
      <x:c r="L385" s="6" t="n">
        <x:f>J385*K385</x:f>
        <x:v>1</x:v>
      </x:c>
    </x:row>
    <x:row r="386">
      <x:c r="A386" s="1" t="n">
        <x:v>3145</x:v>
      </x:c>
      <x:c r="B386" s="5" t="d">
        <x:v>2015-02-15T00:00:00.000Z</x:v>
      </x:c>
      <x:c r="C386" s="1" t="str">
        <x:v>Second Class</x:v>
      </x:c>
      <x:c r="D386" s="1" t="str">
        <x:v>LATAM</x:v>
      </x:c>
      <x:c r="E386" s="1" t="str">
        <x:v>ON_HOLD</x:v>
      </x:c>
      <x:c r="F386" s="1" t="str">
        <x:v>Late delivery</x:v>
      </x:c>
      <x:c r="G386" s="6" t="n">
        <x:v>6</x:v>
      </x:c>
      <x:c r="H386" s="6" t="n">
        <x:v>2</x:v>
      </x:c>
      <x:c r="I386" s="6" t="n">
        <x:f>G386-H386</x:f>
        <x:v>4</x:v>
      </x:c>
      <x:c r="J386" s="6" t="n">
        <x:f>IF(OR(E386="CANCELED",E386="SUSPECTED_FRAUD",F386="Shipping canceled"),0,1)</x:f>
        <x:v>1</x:v>
      </x:c>
      <x:c r="K386" s="6" t="n">
        <x:f>IF(G386&gt;H386,1,0)</x:f>
        <x:v>1</x:v>
      </x:c>
      <x:c r="L386" s="6" t="n">
        <x:f>J386*K386</x:f>
        <x:v>1</x:v>
      </x:c>
    </x:row>
    <x:row r="387">
      <x:c r="A387" s="1" t="n">
        <x:v>3150</x:v>
      </x:c>
      <x:c r="B387" s="5" t="d">
        <x:v>2015-02-15T00:00:00.000Z</x:v>
      </x:c>
      <x:c r="C387" s="1" t="str">
        <x:v>Standard Class</x:v>
      </x:c>
      <x:c r="D387" s="1" t="str">
        <x:v>LATAM</x:v>
      </x:c>
      <x:c r="E387" s="1" t="str">
        <x:v>PENDING</x:v>
      </x:c>
      <x:c r="F387" s="1" t="str">
        <x:v>Late delivery</x:v>
      </x:c>
      <x:c r="G387" s="6" t="n">
        <x:v>6</x:v>
      </x:c>
      <x:c r="H387" s="6" t="n">
        <x:v>4</x:v>
      </x:c>
      <x:c r="I387" s="6" t="n">
        <x:f>G387-H387</x:f>
        <x:v>2</x:v>
      </x:c>
      <x:c r="J387" s="6" t="n">
        <x:f>IF(OR(E387="CANCELED",E387="SUSPECTED_FRAUD",F387="Shipping canceled"),0,1)</x:f>
        <x:v>1</x:v>
      </x:c>
      <x:c r="K387" s="6" t="n">
        <x:f>IF(G387&gt;H387,1,0)</x:f>
        <x:v>1</x:v>
      </x:c>
      <x:c r="L387" s="6" t="n">
        <x:f>J387*K387</x:f>
        <x:v>1</x:v>
      </x:c>
    </x:row>
    <x:row r="388">
      <x:c r="A388" s="1" t="n">
        <x:v>3182</x:v>
      </x:c>
      <x:c r="B388" s="5" t="d">
        <x:v>2015-02-16T00:00:00.000Z</x:v>
      </x:c>
      <x:c r="C388" s="1" t="str">
        <x:v>Standard Class</x:v>
      </x:c>
      <x:c r="D388" s="1" t="str">
        <x:v>LATAM</x:v>
      </x:c>
      <x:c r="E388" s="1" t="str">
        <x:v>COMPLETE</x:v>
      </x:c>
      <x:c r="F388" s="1" t="str">
        <x:v>Advance shipping</x:v>
      </x:c>
      <x:c r="G388" s="6" t="n">
        <x:v>3</x:v>
      </x:c>
      <x:c r="H388" s="6" t="n">
        <x:v>4</x:v>
      </x:c>
      <x:c r="I388" s="6" t="n">
        <x:f>G388-H388</x:f>
        <x:v>-1</x:v>
      </x:c>
      <x:c r="J388" s="6" t="n">
        <x:f>IF(OR(E388="CANCELED",E388="SUSPECTED_FRAUD",F388="Shipping canceled"),0,1)</x:f>
        <x:v>1</x:v>
      </x:c>
      <x:c r="K388" s="6" t="n">
        <x:f>IF(G388&gt;H388,1,0)</x:f>
        <x:v>0</x:v>
      </x:c>
      <x:c r="L388" s="6" t="n">
        <x:f>J388*K388</x:f>
        <x:v>0</x:v>
      </x:c>
    </x:row>
    <x:row r="389">
      <x:c r="A389" s="1" t="n">
        <x:v>3186</x:v>
      </x:c>
      <x:c r="B389" s="5" t="d">
        <x:v>2015-02-16T00:00:00.000Z</x:v>
      </x:c>
      <x:c r="C389" s="1" t="str">
        <x:v>Standard Class</x:v>
      </x:c>
      <x:c r="D389" s="1" t="str">
        <x:v>LATAM</x:v>
      </x:c>
      <x:c r="E389" s="1" t="str">
        <x:v>PENDING_PAYMENT</x:v>
      </x:c>
      <x:c r="F389" s="1" t="str">
        <x:v>Advance shipping</x:v>
      </x:c>
      <x:c r="G389" s="6" t="n">
        <x:v>2</x:v>
      </x:c>
      <x:c r="H389" s="6" t="n">
        <x:v>4</x:v>
      </x:c>
      <x:c r="I389" s="6" t="n">
        <x:f>G389-H389</x:f>
        <x:v>-2</x:v>
      </x:c>
      <x:c r="J389" s="6" t="n">
        <x:f>IF(OR(E389="CANCELED",E389="SUSPECTED_FRAUD",F389="Shipping canceled"),0,1)</x:f>
        <x:v>1</x:v>
      </x:c>
      <x:c r="K389" s="6" t="n">
        <x:f>IF(G389&gt;H389,1,0)</x:f>
        <x:v>0</x:v>
      </x:c>
      <x:c r="L389" s="6" t="n">
        <x:f>J389*K389</x:f>
        <x:v>0</x:v>
      </x:c>
    </x:row>
    <x:row r="390">
      <x:c r="A390" s="1" t="n">
        <x:v>3187</x:v>
      </x:c>
      <x:c r="B390" s="5" t="d">
        <x:v>2015-02-16T00:00:00.000Z</x:v>
      </x:c>
      <x:c r="C390" s="1" t="str">
        <x:v>First Class</x:v>
      </x:c>
      <x:c r="D390" s="1" t="str">
        <x:v>LATAM</x:v>
      </x:c>
      <x:c r="E390" s="1" t="str">
        <x:v>CLOSED</x:v>
      </x:c>
      <x:c r="F390" s="1" t="str">
        <x:v>Late delivery</x:v>
      </x:c>
      <x:c r="G390" s="6" t="n">
        <x:v>2</x:v>
      </x:c>
      <x:c r="H390" s="6" t="n">
        <x:v>1</x:v>
      </x:c>
      <x:c r="I390" s="6" t="n">
        <x:f>G390-H390</x:f>
        <x:v>1</x:v>
      </x:c>
      <x:c r="J390" s="6" t="n">
        <x:f>IF(OR(E390="CANCELED",E390="SUSPECTED_FRAUD",F390="Shipping canceled"),0,1)</x:f>
        <x:v>1</x:v>
      </x:c>
      <x:c r="K390" s="6" t="n">
        <x:f>IF(G390&gt;H390,1,0)</x:f>
        <x:v>1</x:v>
      </x:c>
      <x:c r="L390" s="6" t="n">
        <x:f>J390*K390</x:f>
        <x:v>1</x:v>
      </x:c>
    </x:row>
    <x:row r="391">
      <x:c r="A391" s="1" t="n">
        <x:v>3197</x:v>
      </x:c>
      <x:c r="B391" s="5" t="d">
        <x:v>2015-02-16T00:00:00.000Z</x:v>
      </x:c>
      <x:c r="C391" s="1" t="str">
        <x:v>Standard Class</x:v>
      </x:c>
      <x:c r="D391" s="1" t="str">
        <x:v>LATAM</x:v>
      </x:c>
      <x:c r="E391" s="1" t="str">
        <x:v>PROCESSING</x:v>
      </x:c>
      <x:c r="F391" s="1" t="str">
        <x:v>Advance shipping</x:v>
      </x:c>
      <x:c r="G391" s="6" t="n">
        <x:v>3</x:v>
      </x:c>
      <x:c r="H391" s="6" t="n">
        <x:v>4</x:v>
      </x:c>
      <x:c r="I391" s="6" t="n">
        <x:f>G391-H391</x:f>
        <x:v>-1</x:v>
      </x:c>
      <x:c r="J391" s="6" t="n">
        <x:f>IF(OR(E391="CANCELED",E391="SUSPECTED_FRAUD",F391="Shipping canceled"),0,1)</x:f>
        <x:v>1</x:v>
      </x:c>
      <x:c r="K391" s="6" t="n">
        <x:f>IF(G391&gt;H391,1,0)</x:f>
        <x:v>0</x:v>
      </x:c>
      <x:c r="L391" s="6" t="n">
        <x:f>J391*K391</x:f>
        <x:v>0</x:v>
      </x:c>
    </x:row>
    <x:row r="392">
      <x:c r="A392" s="1" t="n">
        <x:v>3199</x:v>
      </x:c>
      <x:c r="B392" s="5" t="d">
        <x:v>2015-02-16T00:00:00.000Z</x:v>
      </x:c>
      <x:c r="C392" s="1" t="str">
        <x:v>Standard Class</x:v>
      </x:c>
      <x:c r="D392" s="1" t="str">
        <x:v>LATAM</x:v>
      </x:c>
      <x:c r="E392" s="1" t="str">
        <x:v>PENDING</x:v>
      </x:c>
      <x:c r="F392" s="1" t="str">
        <x:v>Late delivery</x:v>
      </x:c>
      <x:c r="G392" s="6" t="n">
        <x:v>5</x:v>
      </x:c>
      <x:c r="H392" s="6" t="n">
        <x:v>4</x:v>
      </x:c>
      <x:c r="I392" s="6" t="n">
        <x:f>G392-H392</x:f>
        <x:v>1</x:v>
      </x:c>
      <x:c r="J392" s="6" t="n">
        <x:f>IF(OR(E392="CANCELED",E392="SUSPECTED_FRAUD",F392="Shipping canceled"),0,1)</x:f>
        <x:v>1</x:v>
      </x:c>
      <x:c r="K392" s="6" t="n">
        <x:f>IF(G392&gt;H392,1,0)</x:f>
        <x:v>1</x:v>
      </x:c>
      <x:c r="L392" s="6" t="n">
        <x:f>J392*K392</x:f>
        <x:v>1</x:v>
      </x:c>
    </x:row>
    <x:row r="393">
      <x:c r="A393" s="1" t="n">
        <x:v>3202</x:v>
      </x:c>
      <x:c r="B393" s="5" t="d">
        <x:v>2015-02-16T00:00:00.000Z</x:v>
      </x:c>
      <x:c r="C393" s="1" t="str">
        <x:v>Standard Class</x:v>
      </x:c>
      <x:c r="D393" s="1" t="str">
        <x:v>LATAM</x:v>
      </x:c>
      <x:c r="E393" s="1" t="str">
        <x:v>PENDING</x:v>
      </x:c>
      <x:c r="F393" s="1" t="str">
        <x:v>Advance shipping</x:v>
      </x:c>
      <x:c r="G393" s="6" t="n">
        <x:v>3</x:v>
      </x:c>
      <x:c r="H393" s="6" t="n">
        <x:v>4</x:v>
      </x:c>
      <x:c r="I393" s="6" t="n">
        <x:f>G393-H393</x:f>
        <x:v>-1</x:v>
      </x:c>
      <x:c r="J393" s="6" t="n">
        <x:f>IF(OR(E393="CANCELED",E393="SUSPECTED_FRAUD",F393="Shipping canceled"),0,1)</x:f>
        <x:v>1</x:v>
      </x:c>
      <x:c r="K393" s="6" t="n">
        <x:f>IF(G393&gt;H393,1,0)</x:f>
        <x:v>0</x:v>
      </x:c>
      <x:c r="L393" s="6" t="n">
        <x:f>J393*K393</x:f>
        <x:v>0</x:v>
      </x:c>
    </x:row>
    <x:row r="394">
      <x:c r="A394" s="1" t="n">
        <x:v>3225</x:v>
      </x:c>
      <x:c r="B394" s="5" t="d">
        <x:v>2015-02-17T00:00:00.000Z</x:v>
      </x:c>
      <x:c r="C394" s="1" t="str">
        <x:v>Standard Class</x:v>
      </x:c>
      <x:c r="D394" s="1" t="str">
        <x:v>LATAM</x:v>
      </x:c>
      <x:c r="E394" s="1" t="str">
        <x:v>COMPLETE</x:v>
      </x:c>
      <x:c r="F394" s="1" t="str">
        <x:v>Late delivery</x:v>
      </x:c>
      <x:c r="G394" s="6" t="n">
        <x:v>6</x:v>
      </x:c>
      <x:c r="H394" s="6" t="n">
        <x:v>4</x:v>
      </x:c>
      <x:c r="I394" s="6" t="n">
        <x:f>G394-H394</x:f>
        <x:v>2</x:v>
      </x:c>
      <x:c r="J394" s="6" t="n">
        <x:f>IF(OR(E394="CANCELED",E394="SUSPECTED_FRAUD",F394="Shipping canceled"),0,1)</x:f>
        <x:v>1</x:v>
      </x:c>
      <x:c r="K394" s="6" t="n">
        <x:f>IF(G394&gt;H394,1,0)</x:f>
        <x:v>1</x:v>
      </x:c>
      <x:c r="L394" s="6" t="n">
        <x:f>J394*K394</x:f>
        <x:v>1</x:v>
      </x:c>
    </x:row>
    <x:row r="395">
      <x:c r="A395" s="1" t="n">
        <x:v>3226</x:v>
      </x:c>
      <x:c r="B395" s="5" t="d">
        <x:v>2015-02-17T00:00:00.000Z</x:v>
      </x:c>
      <x:c r="C395" s="1" t="str">
        <x:v>Standard Class</x:v>
      </x:c>
      <x:c r="D395" s="1" t="str">
        <x:v>LATAM</x:v>
      </x:c>
      <x:c r="E395" s="1" t="str">
        <x:v>PROCESSING</x:v>
      </x:c>
      <x:c r="F395" s="1" t="str">
        <x:v>Advance shipping</x:v>
      </x:c>
      <x:c r="G395" s="6" t="n">
        <x:v>2</x:v>
      </x:c>
      <x:c r="H395" s="6" t="n">
        <x:v>4</x:v>
      </x:c>
      <x:c r="I395" s="6" t="n">
        <x:f>G395-H395</x:f>
        <x:v>-2</x:v>
      </x:c>
      <x:c r="J395" s="6" t="n">
        <x:f>IF(OR(E395="CANCELED",E395="SUSPECTED_FRAUD",F395="Shipping canceled"),0,1)</x:f>
        <x:v>1</x:v>
      </x:c>
      <x:c r="K395" s="6" t="n">
        <x:f>IF(G395&gt;H395,1,0)</x:f>
        <x:v>0</x:v>
      </x:c>
      <x:c r="L395" s="6" t="n">
        <x:f>J395*K395</x:f>
        <x:v>0</x:v>
      </x:c>
    </x:row>
    <x:row r="396">
      <x:c r="A396" s="1" t="n">
        <x:v>3232</x:v>
      </x:c>
      <x:c r="B396" s="5" t="d">
        <x:v>2015-02-17T00:00:00.000Z</x:v>
      </x:c>
      <x:c r="C396" s="1" t="str">
        <x:v>Second Class</x:v>
      </x:c>
      <x:c r="D396" s="1" t="str">
        <x:v>LATAM</x:v>
      </x:c>
      <x:c r="E396" s="1" t="str">
        <x:v>COMPLETE</x:v>
      </x:c>
      <x:c r="F396" s="1" t="str">
        <x:v>Late delivery</x:v>
      </x:c>
      <x:c r="G396" s="6" t="n">
        <x:v>3</x:v>
      </x:c>
      <x:c r="H396" s="6" t="n">
        <x:v>2</x:v>
      </x:c>
      <x:c r="I396" s="6" t="n">
        <x:f>G396-H396</x:f>
        <x:v>1</x:v>
      </x:c>
      <x:c r="J396" s="6" t="n">
        <x:f>IF(OR(E396="CANCELED",E396="SUSPECTED_FRAUD",F396="Shipping canceled"),0,1)</x:f>
        <x:v>1</x:v>
      </x:c>
      <x:c r="K396" s="6" t="n">
        <x:f>IF(G396&gt;H396,1,0)</x:f>
        <x:v>1</x:v>
      </x:c>
      <x:c r="L396" s="6" t="n">
        <x:f>J396*K396</x:f>
        <x:v>1</x:v>
      </x:c>
    </x:row>
    <x:row r="397">
      <x:c r="A397" s="1" t="n">
        <x:v>3240</x:v>
      </x:c>
      <x:c r="B397" s="5" t="d">
        <x:v>2015-02-17T00:00:00.000Z</x:v>
      </x:c>
      <x:c r="C397" s="1" t="str">
        <x:v>Standard Class</x:v>
      </x:c>
      <x:c r="D397" s="1" t="str">
        <x:v>LATAM</x:v>
      </x:c>
      <x:c r="E397" s="1" t="str">
        <x:v>COMPLETE</x:v>
      </x:c>
      <x:c r="F397" s="1" t="str">
        <x:v>Late delivery</x:v>
      </x:c>
      <x:c r="G397" s="6" t="n">
        <x:v>6</x:v>
      </x:c>
      <x:c r="H397" s="6" t="n">
        <x:v>4</x:v>
      </x:c>
      <x:c r="I397" s="6" t="n">
        <x:f>G397-H397</x:f>
        <x:v>2</x:v>
      </x:c>
      <x:c r="J397" s="6" t="n">
        <x:f>IF(OR(E397="CANCELED",E397="SUSPECTED_FRAUD",F397="Shipping canceled"),0,1)</x:f>
        <x:v>1</x:v>
      </x:c>
      <x:c r="K397" s="6" t="n">
        <x:f>IF(G397&gt;H397,1,0)</x:f>
        <x:v>1</x:v>
      </x:c>
      <x:c r="L397" s="6" t="n">
        <x:f>J397*K397</x:f>
        <x:v>1</x:v>
      </x:c>
    </x:row>
    <x:row r="398">
      <x:c r="A398" s="1" t="n">
        <x:v>3249</x:v>
      </x:c>
      <x:c r="B398" s="5" t="d">
        <x:v>2015-02-17T00:00:00.000Z</x:v>
      </x:c>
      <x:c r="C398" s="1" t="str">
        <x:v>Standard Class</x:v>
      </x:c>
      <x:c r="D398" s="1" t="str">
        <x:v>LATAM</x:v>
      </x:c>
      <x:c r="E398" s="1" t="str">
        <x:v>PENDING_PAYMENT</x:v>
      </x:c>
      <x:c r="F398" s="1" t="str">
        <x:v>Late delivery</x:v>
      </x:c>
      <x:c r="G398" s="6" t="n">
        <x:v>5</x:v>
      </x:c>
      <x:c r="H398" s="6" t="n">
        <x:v>4</x:v>
      </x:c>
      <x:c r="I398" s="6" t="n">
        <x:f>G398-H398</x:f>
        <x:v>1</x:v>
      </x:c>
      <x:c r="J398" s="6" t="n">
        <x:f>IF(OR(E398="CANCELED",E398="SUSPECTED_FRAUD",F398="Shipping canceled"),0,1)</x:f>
        <x:v>1</x:v>
      </x:c>
      <x:c r="K398" s="6" t="n">
        <x:f>IF(G398&gt;H398,1,0)</x:f>
        <x:v>1</x:v>
      </x:c>
      <x:c r="L398" s="6" t="n">
        <x:f>J398*K398</x:f>
        <x:v>1</x:v>
      </x:c>
    </x:row>
    <x:row r="399">
      <x:c r="A399" s="1" t="n">
        <x:v>3274</x:v>
      </x:c>
      <x:c r="B399" s="5" t="d">
        <x:v>2015-02-17T00:00:00.000Z</x:v>
      </x:c>
      <x:c r="C399" s="1" t="str">
        <x:v>First Class</x:v>
      </x:c>
      <x:c r="D399" s="1" t="str">
        <x:v>LATAM</x:v>
      </x:c>
      <x:c r="E399" s="1" t="str">
        <x:v>CLOSED</x:v>
      </x:c>
      <x:c r="F399" s="1" t="str">
        <x:v>Late delivery</x:v>
      </x:c>
      <x:c r="G399" s="6" t="n">
        <x:v>2</x:v>
      </x:c>
      <x:c r="H399" s="6" t="n">
        <x:v>1</x:v>
      </x:c>
      <x:c r="I399" s="6" t="n">
        <x:f>G399-H399</x:f>
        <x:v>1</x:v>
      </x:c>
      <x:c r="J399" s="6" t="n">
        <x:f>IF(OR(E399="CANCELED",E399="SUSPECTED_FRAUD",F399="Shipping canceled"),0,1)</x:f>
        <x:v>1</x:v>
      </x:c>
      <x:c r="K399" s="6" t="n">
        <x:f>IF(G399&gt;H399,1,0)</x:f>
        <x:v>1</x:v>
      </x:c>
      <x:c r="L399" s="6" t="n">
        <x:f>J399*K399</x:f>
        <x:v>1</x:v>
      </x:c>
    </x:row>
    <x:row r="400">
      <x:c r="A400" s="1" t="n">
        <x:v>3282</x:v>
      </x:c>
      <x:c r="B400" s="5" t="d">
        <x:v>2015-02-17T00:00:00.000Z</x:v>
      </x:c>
      <x:c r="C400" s="1" t="str">
        <x:v>Standard Class</x:v>
      </x:c>
      <x:c r="D400" s="1" t="str">
        <x:v>LATAM</x:v>
      </x:c>
      <x:c r="E400" s="1" t="str">
        <x:v>COMPLETE</x:v>
      </x:c>
      <x:c r="F400" s="1" t="str">
        <x:v>Advance shipping</x:v>
      </x:c>
      <x:c r="G400" s="6" t="n">
        <x:v>3</x:v>
      </x:c>
      <x:c r="H400" s="6" t="n">
        <x:v>4</x:v>
      </x:c>
      <x:c r="I400" s="6" t="n">
        <x:f>G400-H400</x:f>
        <x:v>-1</x:v>
      </x:c>
      <x:c r="J400" s="6" t="n">
        <x:f>IF(OR(E400="CANCELED",E400="SUSPECTED_FRAUD",F400="Shipping canceled"),0,1)</x:f>
        <x:v>1</x:v>
      </x:c>
      <x:c r="K400" s="6" t="n">
        <x:f>IF(G400&gt;H400,1,0)</x:f>
        <x:v>0</x:v>
      </x:c>
      <x:c r="L400" s="6" t="n">
        <x:f>J400*K400</x:f>
        <x:v>0</x:v>
      </x:c>
    </x:row>
    <x:row r="401">
      <x:c r="A401" s="1" t="n">
        <x:v>3287</x:v>
      </x:c>
      <x:c r="B401" s="5" t="d">
        <x:v>2015-02-17T00:00:00.000Z</x:v>
      </x:c>
      <x:c r="C401" s="1" t="str">
        <x:v>First Class</x:v>
      </x:c>
      <x:c r="D401" s="1" t="str">
        <x:v>LATAM</x:v>
      </x:c>
      <x:c r="E401" s="1" t="str">
        <x:v>CLOSED</x:v>
      </x:c>
      <x:c r="F401" s="1" t="str">
        <x:v>Late delivery</x:v>
      </x:c>
      <x:c r="G401" s="6" t="n">
        <x:v>2</x:v>
      </x:c>
      <x:c r="H401" s="6" t="n">
        <x:v>1</x:v>
      </x:c>
      <x:c r="I401" s="6" t="n">
        <x:f>G401-H401</x:f>
        <x:v>1</x:v>
      </x:c>
      <x:c r="J401" s="6" t="n">
        <x:f>IF(OR(E401="CANCELED",E401="SUSPECTED_FRAUD",F401="Shipping canceled"),0,1)</x:f>
        <x:v>1</x:v>
      </x:c>
      <x:c r="K401" s="6" t="n">
        <x:f>IF(G401&gt;H401,1,0)</x:f>
        <x:v>1</x:v>
      </x:c>
      <x:c r="L401" s="6" t="n">
        <x:f>J401*K401</x:f>
        <x:v>1</x:v>
      </x:c>
    </x:row>
    <x:row r="402">
      <x:c r="A402" s="1" t="n">
        <x:v>3289</x:v>
      </x:c>
      <x:c r="B402" s="5" t="d">
        <x:v>2015-02-17T00:00:00.000Z</x:v>
      </x:c>
      <x:c r="C402" s="1" t="str">
        <x:v>Standard Class</x:v>
      </x:c>
      <x:c r="D402" s="1" t="str">
        <x:v>LATAM</x:v>
      </x:c>
      <x:c r="E402" s="1" t="str">
        <x:v>COMPLETE</x:v>
      </x:c>
      <x:c r="F402" s="1" t="str">
        <x:v>Late delivery</x:v>
      </x:c>
      <x:c r="G402" s="6" t="n">
        <x:v>5</x:v>
      </x:c>
      <x:c r="H402" s="6" t="n">
        <x:v>4</x:v>
      </x:c>
      <x:c r="I402" s="6" t="n">
        <x:f>G402-H402</x:f>
        <x:v>1</x:v>
      </x:c>
      <x:c r="J402" s="6" t="n">
        <x:f>IF(OR(E402="CANCELED",E402="SUSPECTED_FRAUD",F402="Shipping canceled"),0,1)</x:f>
        <x:v>1</x:v>
      </x:c>
      <x:c r="K402" s="6" t="n">
        <x:f>IF(G402&gt;H402,1,0)</x:f>
        <x:v>1</x:v>
      </x:c>
      <x:c r="L402" s="6" t="n">
        <x:f>J402*K402</x:f>
        <x:v>1</x:v>
      </x:c>
    </x:row>
    <x:row r="403">
      <x:c r="A403" s="1" t="n">
        <x:v>3304</x:v>
      </x:c>
      <x:c r="B403" s="5" t="d">
        <x:v>2015-02-18T00:00:00.000Z</x:v>
      </x:c>
      <x:c r="C403" s="1" t="str">
        <x:v>Standard Class</x:v>
      </x:c>
      <x:c r="D403" s="1" t="str">
        <x:v>LATAM</x:v>
      </x:c>
      <x:c r="E403" s="1" t="str">
        <x:v>SUSPECTED_FRAUD</x:v>
      </x:c>
      <x:c r="F403" s="1" t="str">
        <x:v>Shipping canceled</x:v>
      </x:c>
      <x:c r="G403" s="6" t="n">
        <x:v>5</x:v>
      </x:c>
      <x:c r="H403" s="6" t="n">
        <x:v>4</x:v>
      </x:c>
      <x:c r="I403" s="6" t="n">
        <x:f>G403-H403</x:f>
        <x:v>1</x:v>
      </x:c>
      <x:c r="J403" s="6" t="n">
        <x:f>IF(OR(E403="CANCELED",E403="SUSPECTED_FRAUD",F403="Shipping canceled"),0,1)</x:f>
        <x:v>0</x:v>
      </x:c>
      <x:c r="K403" s="6" t="n">
        <x:f>IF(G403&gt;H403,1,0)</x:f>
        <x:v>1</x:v>
      </x:c>
      <x:c r="L403" s="6" t="n">
        <x:f>J403*K403</x:f>
        <x:v>0</x:v>
      </x:c>
    </x:row>
    <x:row r="404">
      <x:c r="A404" s="1" t="n">
        <x:v>3326</x:v>
      </x:c>
      <x:c r="B404" s="5" t="d">
        <x:v>2015-02-18T00:00:00.000Z</x:v>
      </x:c>
      <x:c r="C404" s="1" t="str">
        <x:v>First Class</x:v>
      </x:c>
      <x:c r="D404" s="1" t="str">
        <x:v>LATAM</x:v>
      </x:c>
      <x:c r="E404" s="1" t="str">
        <x:v>CLOSED</x:v>
      </x:c>
      <x:c r="F404" s="1" t="str">
        <x:v>Late delivery</x:v>
      </x:c>
      <x:c r="G404" s="6" t="n">
        <x:v>2</x:v>
      </x:c>
      <x:c r="H404" s="6" t="n">
        <x:v>1</x:v>
      </x:c>
      <x:c r="I404" s="6" t="n">
        <x:f>G404-H404</x:f>
        <x:v>1</x:v>
      </x:c>
      <x:c r="J404" s="6" t="n">
        <x:f>IF(OR(E404="CANCELED",E404="SUSPECTED_FRAUD",F404="Shipping canceled"),0,1)</x:f>
        <x:v>1</x:v>
      </x:c>
      <x:c r="K404" s="6" t="n">
        <x:f>IF(G404&gt;H404,1,0)</x:f>
        <x:v>1</x:v>
      </x:c>
      <x:c r="L404" s="6" t="n">
        <x:f>J404*K404</x:f>
        <x:v>1</x:v>
      </x:c>
    </x:row>
    <x:row r="405">
      <x:c r="A405" s="1" t="n">
        <x:v>3345</x:v>
      </x:c>
      <x:c r="B405" s="5" t="d">
        <x:v>2015-02-18T00:00:00.000Z</x:v>
      </x:c>
      <x:c r="C405" s="1" t="str">
        <x:v>Second Class</x:v>
      </x:c>
      <x:c r="D405" s="1" t="str">
        <x:v>LATAM</x:v>
      </x:c>
      <x:c r="E405" s="1" t="str">
        <x:v>COMPLETE</x:v>
      </x:c>
      <x:c r="F405" s="1" t="str">
        <x:v>Late delivery</x:v>
      </x:c>
      <x:c r="G405" s="6" t="n">
        <x:v>6</x:v>
      </x:c>
      <x:c r="H405" s="6" t="n">
        <x:v>2</x:v>
      </x:c>
      <x:c r="I405" s="6" t="n">
        <x:f>G405-H405</x:f>
        <x:v>4</x:v>
      </x:c>
      <x:c r="J405" s="6" t="n">
        <x:f>IF(OR(E405="CANCELED",E405="SUSPECTED_FRAUD",F405="Shipping canceled"),0,1)</x:f>
        <x:v>1</x:v>
      </x:c>
      <x:c r="K405" s="6" t="n">
        <x:f>IF(G405&gt;H405,1,0)</x:f>
        <x:v>1</x:v>
      </x:c>
      <x:c r="L405" s="6" t="n">
        <x:f>J405*K405</x:f>
        <x:v>1</x:v>
      </x:c>
    </x:row>
    <x:row r="406">
      <x:c r="A406" s="1" t="n">
        <x:v>3374</x:v>
      </x:c>
      <x:c r="B406" s="5" t="d">
        <x:v>2015-02-19T00:00:00.000Z</x:v>
      </x:c>
      <x:c r="C406" s="1" t="str">
        <x:v>Second Class</x:v>
      </x:c>
      <x:c r="D406" s="1" t="str">
        <x:v>LATAM</x:v>
      </x:c>
      <x:c r="E406" s="1" t="str">
        <x:v>CLOSED</x:v>
      </x:c>
      <x:c r="F406" s="1" t="str">
        <x:v>Late delivery</x:v>
      </x:c>
      <x:c r="G406" s="6" t="n">
        <x:v>5</x:v>
      </x:c>
      <x:c r="H406" s="6" t="n">
        <x:v>2</x:v>
      </x:c>
      <x:c r="I406" s="6" t="n">
        <x:f>G406-H406</x:f>
        <x:v>3</x:v>
      </x:c>
      <x:c r="J406" s="6" t="n">
        <x:f>IF(OR(E406="CANCELED",E406="SUSPECTED_FRAUD",F406="Shipping canceled"),0,1)</x:f>
        <x:v>1</x:v>
      </x:c>
      <x:c r="K406" s="6" t="n">
        <x:f>IF(G406&gt;H406,1,0)</x:f>
        <x:v>1</x:v>
      </x:c>
      <x:c r="L406" s="6" t="n">
        <x:f>J406*K406</x:f>
        <x:v>1</x:v>
      </x:c>
    </x:row>
    <x:row r="407">
      <x:c r="A407" s="1" t="n">
        <x:v>3376</x:v>
      </x:c>
      <x:c r="B407" s="5" t="d">
        <x:v>2015-02-19T00:00:00.000Z</x:v>
      </x:c>
      <x:c r="C407" s="1" t="str">
        <x:v>Standard Class</x:v>
      </x:c>
      <x:c r="D407" s="1" t="str">
        <x:v>LATAM</x:v>
      </x:c>
      <x:c r="E407" s="1" t="str">
        <x:v>COMPLETE</x:v>
      </x:c>
      <x:c r="F407" s="1" t="str">
        <x:v>Advance shipping</x:v>
      </x:c>
      <x:c r="G407" s="6" t="n">
        <x:v>2</x:v>
      </x:c>
      <x:c r="H407" s="6" t="n">
        <x:v>4</x:v>
      </x:c>
      <x:c r="I407" s="6" t="n">
        <x:f>G407-H407</x:f>
        <x:v>-2</x:v>
      </x:c>
      <x:c r="J407" s="6" t="n">
        <x:f>IF(OR(E407="CANCELED",E407="SUSPECTED_FRAUD",F407="Shipping canceled"),0,1)</x:f>
        <x:v>1</x:v>
      </x:c>
      <x:c r="K407" s="6" t="n">
        <x:f>IF(G407&gt;H407,1,0)</x:f>
        <x:v>0</x:v>
      </x:c>
      <x:c r="L407" s="6" t="n">
        <x:f>J407*K407</x:f>
        <x:v>0</x:v>
      </x:c>
    </x:row>
    <x:row r="408">
      <x:c r="A408" s="1" t="n">
        <x:v>3381</x:v>
      </x:c>
      <x:c r="B408" s="5" t="d">
        <x:v>2015-02-19T00:00:00.000Z</x:v>
      </x:c>
      <x:c r="C408" s="1" t="str">
        <x:v>Standard Class</x:v>
      </x:c>
      <x:c r="D408" s="1" t="str">
        <x:v>LATAM</x:v>
      </x:c>
      <x:c r="E408" s="1" t="str">
        <x:v>ON_HOLD</x:v>
      </x:c>
      <x:c r="F408" s="1" t="str">
        <x:v>Advance shipping</x:v>
      </x:c>
      <x:c r="G408" s="6" t="n">
        <x:v>2</x:v>
      </x:c>
      <x:c r="H408" s="6" t="n">
        <x:v>4</x:v>
      </x:c>
      <x:c r="I408" s="6" t="n">
        <x:f>G408-H408</x:f>
        <x:v>-2</x:v>
      </x:c>
      <x:c r="J408" s="6" t="n">
        <x:f>IF(OR(E408="CANCELED",E408="SUSPECTED_FRAUD",F408="Shipping canceled"),0,1)</x:f>
        <x:v>1</x:v>
      </x:c>
      <x:c r="K408" s="6" t="n">
        <x:f>IF(G408&gt;H408,1,0)</x:f>
        <x:v>0</x:v>
      </x:c>
      <x:c r="L408" s="6" t="n">
        <x:f>J408*K408</x:f>
        <x:v>0</x:v>
      </x:c>
    </x:row>
    <x:row r="409">
      <x:c r="A409" s="1" t="n">
        <x:v>3389</x:v>
      </x:c>
      <x:c r="B409" s="5" t="d">
        <x:v>2015-02-19T00:00:00.000Z</x:v>
      </x:c>
      <x:c r="C409" s="1" t="str">
        <x:v>Second Class</x:v>
      </x:c>
      <x:c r="D409" s="1" t="str">
        <x:v>LATAM</x:v>
      </x:c>
      <x:c r="E409" s="1" t="str">
        <x:v>COMPLETE</x:v>
      </x:c>
      <x:c r="F409" s="1" t="str">
        <x:v>Late delivery</x:v>
      </x:c>
      <x:c r="G409" s="6" t="n">
        <x:v>5</x:v>
      </x:c>
      <x:c r="H409" s="6" t="n">
        <x:v>2</x:v>
      </x:c>
      <x:c r="I409" s="6" t="n">
        <x:f>G409-H409</x:f>
        <x:v>3</x:v>
      </x:c>
      <x:c r="J409" s="6" t="n">
        <x:f>IF(OR(E409="CANCELED",E409="SUSPECTED_FRAUD",F409="Shipping canceled"),0,1)</x:f>
        <x:v>1</x:v>
      </x:c>
      <x:c r="K409" s="6" t="n">
        <x:f>IF(G409&gt;H409,1,0)</x:f>
        <x:v>1</x:v>
      </x:c>
      <x:c r="L409" s="6" t="n">
        <x:f>J409*K409</x:f>
        <x:v>1</x:v>
      </x:c>
    </x:row>
    <x:row r="410">
      <x:c r="A410" s="1" t="n">
        <x:v>3411</x:v>
      </x:c>
      <x:c r="B410" s="5" t="d">
        <x:v>2015-02-19T00:00:00.000Z</x:v>
      </x:c>
      <x:c r="C410" s="1" t="str">
        <x:v>Standard Class</x:v>
      </x:c>
      <x:c r="D410" s="1" t="str">
        <x:v>LATAM</x:v>
      </x:c>
      <x:c r="E410" s="1" t="str">
        <x:v>COMPLETE</x:v>
      </x:c>
      <x:c r="F410" s="1" t="str">
        <x:v>Advance shipping</x:v>
      </x:c>
      <x:c r="G410" s="6" t="n">
        <x:v>2</x:v>
      </x:c>
      <x:c r="H410" s="6" t="n">
        <x:v>4</x:v>
      </x:c>
      <x:c r="I410" s="6" t="n">
        <x:f>G410-H410</x:f>
        <x:v>-2</x:v>
      </x:c>
      <x:c r="J410" s="6" t="n">
        <x:f>IF(OR(E410="CANCELED",E410="SUSPECTED_FRAUD",F410="Shipping canceled"),0,1)</x:f>
        <x:v>1</x:v>
      </x:c>
      <x:c r="K410" s="6" t="n">
        <x:f>IF(G410&gt;H410,1,0)</x:f>
        <x:v>0</x:v>
      </x:c>
      <x:c r="L410" s="6" t="n">
        <x:f>J410*K410</x:f>
        <x:v>0</x:v>
      </x:c>
    </x:row>
    <x:row r="411">
      <x:c r="A411" s="1" t="n">
        <x:v>3422</x:v>
      </x:c>
      <x:c r="B411" s="5" t="d">
        <x:v>2015-02-19T00:00:00.000Z</x:v>
      </x:c>
      <x:c r="C411" s="1" t="str">
        <x:v>Standard Class</x:v>
      </x:c>
      <x:c r="D411" s="1" t="str">
        <x:v>LATAM</x:v>
      </x:c>
      <x:c r="E411" s="1" t="str">
        <x:v>COMPLETE</x:v>
      </x:c>
      <x:c r="F411" s="1" t="str">
        <x:v>Advance shipping</x:v>
      </x:c>
      <x:c r="G411" s="6" t="n">
        <x:v>3</x:v>
      </x:c>
      <x:c r="H411" s="6" t="n">
        <x:v>4</x:v>
      </x:c>
      <x:c r="I411" s="6" t="n">
        <x:f>G411-H411</x:f>
        <x:v>-1</x:v>
      </x:c>
      <x:c r="J411" s="6" t="n">
        <x:f>IF(OR(E411="CANCELED",E411="SUSPECTED_FRAUD",F411="Shipping canceled"),0,1)</x:f>
        <x:v>1</x:v>
      </x:c>
      <x:c r="K411" s="6" t="n">
        <x:f>IF(G411&gt;H411,1,0)</x:f>
        <x:v>0</x:v>
      </x:c>
      <x:c r="L411" s="6" t="n">
        <x:f>J411*K411</x:f>
        <x:v>0</x:v>
      </x:c>
    </x:row>
    <x:row r="412">
      <x:c r="A412" s="1" t="n">
        <x:v>3426</x:v>
      </x:c>
      <x:c r="B412" s="5" t="d">
        <x:v>2015-02-19T00:00:00.000Z</x:v>
      </x:c>
      <x:c r="C412" s="1" t="str">
        <x:v>Standard Class</x:v>
      </x:c>
      <x:c r="D412" s="1" t="str">
        <x:v>LATAM</x:v>
      </x:c>
      <x:c r="E412" s="1" t="str">
        <x:v>PENDING</x:v>
      </x:c>
      <x:c r="F412" s="1" t="str">
        <x:v>Advance shipping</x:v>
      </x:c>
      <x:c r="G412" s="6" t="n">
        <x:v>2</x:v>
      </x:c>
      <x:c r="H412" s="6" t="n">
        <x:v>4</x:v>
      </x:c>
      <x:c r="I412" s="6" t="n">
        <x:f>G412-H412</x:f>
        <x:v>-2</x:v>
      </x:c>
      <x:c r="J412" s="6" t="n">
        <x:f>IF(OR(E412="CANCELED",E412="SUSPECTED_FRAUD",F412="Shipping canceled"),0,1)</x:f>
        <x:v>1</x:v>
      </x:c>
      <x:c r="K412" s="6" t="n">
        <x:f>IF(G412&gt;H412,1,0)</x:f>
        <x:v>0</x:v>
      </x:c>
      <x:c r="L412" s="6" t="n">
        <x:f>J412*K412</x:f>
        <x:v>0</x:v>
      </x:c>
    </x:row>
    <x:row r="413">
      <x:c r="A413" s="1" t="n">
        <x:v>3428</x:v>
      </x:c>
      <x:c r="B413" s="5" t="d">
        <x:v>2015-02-20T00:00:00.000Z</x:v>
      </x:c>
      <x:c r="C413" s="1" t="str">
        <x:v>Standard Class</x:v>
      </x:c>
      <x:c r="D413" s="1" t="str">
        <x:v>LATAM</x:v>
      </x:c>
      <x:c r="E413" s="1" t="str">
        <x:v>PROCESSING</x:v>
      </x:c>
      <x:c r="F413" s="1" t="str">
        <x:v>Shipping on time</x:v>
      </x:c>
      <x:c r="G413" s="6" t="n">
        <x:v>4</x:v>
      </x:c>
      <x:c r="H413" s="6" t="n">
        <x:v>4</x:v>
      </x:c>
      <x:c r="I413" s="6" t="n">
        <x:f>G413-H413</x:f>
        <x:v>0</x:v>
      </x:c>
      <x:c r="J413" s="6" t="n">
        <x:f>IF(OR(E413="CANCELED",E413="SUSPECTED_FRAUD",F413="Shipping canceled"),0,1)</x:f>
        <x:v>1</x:v>
      </x:c>
      <x:c r="K413" s="6" t="n">
        <x:f>IF(G413&gt;H413,1,0)</x:f>
        <x:v>0</x:v>
      </x:c>
      <x:c r="L413" s="6" t="n">
        <x:f>J413*K413</x:f>
        <x:v>0</x:v>
      </x:c>
    </x:row>
    <x:row r="414">
      <x:c r="A414" s="1" t="n">
        <x:v>3431</x:v>
      </x:c>
      <x:c r="B414" s="5" t="d">
        <x:v>2015-02-20T00:00:00.000Z</x:v>
      </x:c>
      <x:c r="C414" s="1" t="str">
        <x:v>First Class</x:v>
      </x:c>
      <x:c r="D414" s="1" t="str">
        <x:v>LATAM</x:v>
      </x:c>
      <x:c r="E414" s="1" t="str">
        <x:v>CLOSED</x:v>
      </x:c>
      <x:c r="F414" s="1" t="str">
        <x:v>Late delivery</x:v>
      </x:c>
      <x:c r="G414" s="6" t="n">
        <x:v>2</x:v>
      </x:c>
      <x:c r="H414" s="6" t="n">
        <x:v>1</x:v>
      </x:c>
      <x:c r="I414" s="6" t="n">
        <x:f>G414-H414</x:f>
        <x:v>1</x:v>
      </x:c>
      <x:c r="J414" s="6" t="n">
        <x:f>IF(OR(E414="CANCELED",E414="SUSPECTED_FRAUD",F414="Shipping canceled"),0,1)</x:f>
        <x:v>1</x:v>
      </x:c>
      <x:c r="K414" s="6" t="n">
        <x:f>IF(G414&gt;H414,1,0)</x:f>
        <x:v>1</x:v>
      </x:c>
      <x:c r="L414" s="6" t="n">
        <x:f>J414*K414</x:f>
        <x:v>1</x:v>
      </x:c>
    </x:row>
    <x:row r="415">
      <x:c r="A415" s="1" t="n">
        <x:v>3441</x:v>
      </x:c>
      <x:c r="B415" s="5" t="d">
        <x:v>2015-02-20T00:00:00.000Z</x:v>
      </x:c>
      <x:c r="C415" s="1" t="str">
        <x:v>Second Class</x:v>
      </x:c>
      <x:c r="D415" s="1" t="str">
        <x:v>LATAM</x:v>
      </x:c>
      <x:c r="E415" s="1" t="str">
        <x:v>COMPLETE</x:v>
      </x:c>
      <x:c r="F415" s="1" t="str">
        <x:v>Shipping on time</x:v>
      </x:c>
      <x:c r="G415" s="6" t="n">
        <x:v>2</x:v>
      </x:c>
      <x:c r="H415" s="6" t="n">
        <x:v>2</x:v>
      </x:c>
      <x:c r="I415" s="6" t="n">
        <x:f>G415-H415</x:f>
        <x:v>0</x:v>
      </x:c>
      <x:c r="J415" s="6" t="n">
        <x:f>IF(OR(E415="CANCELED",E415="SUSPECTED_FRAUD",F415="Shipping canceled"),0,1)</x:f>
        <x:v>1</x:v>
      </x:c>
      <x:c r="K415" s="6" t="n">
        <x:f>IF(G415&gt;H415,1,0)</x:f>
        <x:v>0</x:v>
      </x:c>
      <x:c r="L415" s="6" t="n">
        <x:f>J415*K415</x:f>
        <x:v>0</x:v>
      </x:c>
    </x:row>
    <x:row r="416">
      <x:c r="A416" s="1" t="n">
        <x:v>3459</x:v>
      </x:c>
      <x:c r="B416" s="5" t="d">
        <x:v>2015-02-20T00:00:00.000Z</x:v>
      </x:c>
      <x:c r="C416" s="1" t="str">
        <x:v>Standard Class</x:v>
      </x:c>
      <x:c r="D416" s="1" t="str">
        <x:v>LATAM</x:v>
      </x:c>
      <x:c r="E416" s="1" t="str">
        <x:v>PROCESSING</x:v>
      </x:c>
      <x:c r="F416" s="1" t="str">
        <x:v>Late delivery</x:v>
      </x:c>
      <x:c r="G416" s="6" t="n">
        <x:v>5</x:v>
      </x:c>
      <x:c r="H416" s="6" t="n">
        <x:v>4</x:v>
      </x:c>
      <x:c r="I416" s="6" t="n">
        <x:f>G416-H416</x:f>
        <x:v>1</x:v>
      </x:c>
      <x:c r="J416" s="6" t="n">
        <x:f>IF(OR(E416="CANCELED",E416="SUSPECTED_FRAUD",F416="Shipping canceled"),0,1)</x:f>
        <x:v>1</x:v>
      </x:c>
      <x:c r="K416" s="6" t="n">
        <x:f>IF(G416&gt;H416,1,0)</x:f>
        <x:v>1</x:v>
      </x:c>
      <x:c r="L416" s="6" t="n">
        <x:f>J416*K416</x:f>
        <x:v>1</x:v>
      </x:c>
    </x:row>
    <x:row r="417">
      <x:c r="A417" s="1" t="n">
        <x:v>3463</x:v>
      </x:c>
      <x:c r="B417" s="5" t="d">
        <x:v>2015-02-20T00:00:00.000Z</x:v>
      </x:c>
      <x:c r="C417" s="1" t="str">
        <x:v>Standard Class</x:v>
      </x:c>
      <x:c r="D417" s="1" t="str">
        <x:v>LATAM</x:v>
      </x:c>
      <x:c r="E417" s="1" t="str">
        <x:v>PROCESSING</x:v>
      </x:c>
      <x:c r="F417" s="1" t="str">
        <x:v>Shipping on time</x:v>
      </x:c>
      <x:c r="G417" s="6" t="n">
        <x:v>4</x:v>
      </x:c>
      <x:c r="H417" s="6" t="n">
        <x:v>4</x:v>
      </x:c>
      <x:c r="I417" s="6" t="n">
        <x:f>G417-H417</x:f>
        <x:v>0</x:v>
      </x:c>
      <x:c r="J417" s="6" t="n">
        <x:f>IF(OR(E417="CANCELED",E417="SUSPECTED_FRAUD",F417="Shipping canceled"),0,1)</x:f>
        <x:v>1</x:v>
      </x:c>
      <x:c r="K417" s="6" t="n">
        <x:f>IF(G417&gt;H417,1,0)</x:f>
        <x:v>0</x:v>
      </x:c>
      <x:c r="L417" s="6" t="n">
        <x:f>J417*K417</x:f>
        <x:v>0</x:v>
      </x:c>
    </x:row>
    <x:row r="418">
      <x:c r="A418" s="1" t="n">
        <x:v>3470</x:v>
      </x:c>
      <x:c r="B418" s="5" t="d">
        <x:v>2015-02-20T00:00:00.000Z</x:v>
      </x:c>
      <x:c r="C418" s="1" t="str">
        <x:v>Standard Class</x:v>
      </x:c>
      <x:c r="D418" s="1" t="str">
        <x:v>LATAM</x:v>
      </x:c>
      <x:c r="E418" s="1" t="str">
        <x:v>PENDING</x:v>
      </x:c>
      <x:c r="F418" s="1" t="str">
        <x:v>Late delivery</x:v>
      </x:c>
      <x:c r="G418" s="6" t="n">
        <x:v>6</x:v>
      </x:c>
      <x:c r="H418" s="6" t="n">
        <x:v>4</x:v>
      </x:c>
      <x:c r="I418" s="6" t="n">
        <x:f>G418-H418</x:f>
        <x:v>2</x:v>
      </x:c>
      <x:c r="J418" s="6" t="n">
        <x:f>IF(OR(E418="CANCELED",E418="SUSPECTED_FRAUD",F418="Shipping canceled"),0,1)</x:f>
        <x:v>1</x:v>
      </x:c>
      <x:c r="K418" s="6" t="n">
        <x:f>IF(G418&gt;H418,1,0)</x:f>
        <x:v>1</x:v>
      </x:c>
      <x:c r="L418" s="6" t="n">
        <x:f>J418*K418</x:f>
        <x:v>1</x:v>
      </x:c>
    </x:row>
    <x:row r="419">
      <x:c r="A419" s="1" t="n">
        <x:v>3478</x:v>
      </x:c>
      <x:c r="B419" s="5" t="d">
        <x:v>2015-02-20T00:00:00.000Z</x:v>
      </x:c>
      <x:c r="C419" s="1" t="str">
        <x:v>Standard Class</x:v>
      </x:c>
      <x:c r="D419" s="1" t="str">
        <x:v>LATAM</x:v>
      </x:c>
      <x:c r="E419" s="1" t="str">
        <x:v>COMPLETE</x:v>
      </x:c>
      <x:c r="F419" s="1" t="str">
        <x:v>Shipping on time</x:v>
      </x:c>
      <x:c r="G419" s="6" t="n">
        <x:v>4</x:v>
      </x:c>
      <x:c r="H419" s="6" t="n">
        <x:v>4</x:v>
      </x:c>
      <x:c r="I419" s="6" t="n">
        <x:f>G419-H419</x:f>
        <x:v>0</x:v>
      </x:c>
      <x:c r="J419" s="6" t="n">
        <x:f>IF(OR(E419="CANCELED",E419="SUSPECTED_FRAUD",F419="Shipping canceled"),0,1)</x:f>
        <x:v>1</x:v>
      </x:c>
      <x:c r="K419" s="6" t="n">
        <x:f>IF(G419&gt;H419,1,0)</x:f>
        <x:v>0</x:v>
      </x:c>
      <x:c r="L419" s="6" t="n">
        <x:f>J419*K419</x:f>
        <x:v>0</x:v>
      </x:c>
    </x:row>
    <x:row r="420">
      <x:c r="A420" s="1" t="n">
        <x:v>3486</x:v>
      </x:c>
      <x:c r="B420" s="5" t="d">
        <x:v>2015-02-20T00:00:00.000Z</x:v>
      </x:c>
      <x:c r="C420" s="1" t="str">
        <x:v>Standard Class</x:v>
      </x:c>
      <x:c r="D420" s="1" t="str">
        <x:v>LATAM</x:v>
      </x:c>
      <x:c r="E420" s="1" t="str">
        <x:v>PROCESSING</x:v>
      </x:c>
      <x:c r="F420" s="1" t="str">
        <x:v>Advance shipping</x:v>
      </x:c>
      <x:c r="G420" s="6" t="n">
        <x:v>2</x:v>
      </x:c>
      <x:c r="H420" s="6" t="n">
        <x:v>4</x:v>
      </x:c>
      <x:c r="I420" s="6" t="n">
        <x:f>G420-H420</x:f>
        <x:v>-2</x:v>
      </x:c>
      <x:c r="J420" s="6" t="n">
        <x:f>IF(OR(E420="CANCELED",E420="SUSPECTED_FRAUD",F420="Shipping canceled"),0,1)</x:f>
        <x:v>1</x:v>
      </x:c>
      <x:c r="K420" s="6" t="n">
        <x:f>IF(G420&gt;H420,1,0)</x:f>
        <x:v>0</x:v>
      </x:c>
      <x:c r="L420" s="6" t="n">
        <x:f>J420*K420</x:f>
        <x:v>0</x:v>
      </x:c>
    </x:row>
    <x:row r="421">
      <x:c r="A421" s="1" t="n">
        <x:v>3505</x:v>
      </x:c>
      <x:c r="B421" s="5" t="d">
        <x:v>2015-02-21T00:00:00.000Z</x:v>
      </x:c>
      <x:c r="C421" s="1" t="str">
        <x:v>Standard Class</x:v>
      </x:c>
      <x:c r="D421" s="1" t="str">
        <x:v>LATAM</x:v>
      </x:c>
      <x:c r="E421" s="1" t="str">
        <x:v>COMPLETE</x:v>
      </x:c>
      <x:c r="F421" s="1" t="str">
        <x:v>Late delivery</x:v>
      </x:c>
      <x:c r="G421" s="6" t="n">
        <x:v>6</x:v>
      </x:c>
      <x:c r="H421" s="6" t="n">
        <x:v>4</x:v>
      </x:c>
      <x:c r="I421" s="6" t="n">
        <x:f>G421-H421</x:f>
        <x:v>2</x:v>
      </x:c>
      <x:c r="J421" s="6" t="n">
        <x:f>IF(OR(E421="CANCELED",E421="SUSPECTED_FRAUD",F421="Shipping canceled"),0,1)</x:f>
        <x:v>1</x:v>
      </x:c>
      <x:c r="K421" s="6" t="n">
        <x:f>IF(G421&gt;H421,1,0)</x:f>
        <x:v>1</x:v>
      </x:c>
      <x:c r="L421" s="6" t="n">
        <x:f>J421*K421</x:f>
        <x:v>1</x:v>
      </x:c>
    </x:row>
    <x:row r="422">
      <x:c r="A422" s="1" t="n">
        <x:v>3510</x:v>
      </x:c>
      <x:c r="B422" s="5" t="d">
        <x:v>2015-02-21T00:00:00.000Z</x:v>
      </x:c>
      <x:c r="C422" s="1" t="str">
        <x:v>Standard Class</x:v>
      </x:c>
      <x:c r="D422" s="1" t="str">
        <x:v>LATAM</x:v>
      </x:c>
      <x:c r="E422" s="1" t="str">
        <x:v>PROCESSING</x:v>
      </x:c>
      <x:c r="F422" s="1" t="str">
        <x:v>Late delivery</x:v>
      </x:c>
      <x:c r="G422" s="6" t="n">
        <x:v>6</x:v>
      </x:c>
      <x:c r="H422" s="6" t="n">
        <x:v>4</x:v>
      </x:c>
      <x:c r="I422" s="6" t="n">
        <x:f>G422-H422</x:f>
        <x:v>2</x:v>
      </x:c>
      <x:c r="J422" s="6" t="n">
        <x:f>IF(OR(E422="CANCELED",E422="SUSPECTED_FRAUD",F422="Shipping canceled"),0,1)</x:f>
        <x:v>1</x:v>
      </x:c>
      <x:c r="K422" s="6" t="n">
        <x:f>IF(G422&gt;H422,1,0)</x:f>
        <x:v>1</x:v>
      </x:c>
      <x:c r="L422" s="6" t="n">
        <x:f>J422*K422</x:f>
        <x:v>1</x:v>
      </x:c>
    </x:row>
    <x:row r="423">
      <x:c r="A423" s="1" t="n">
        <x:v>3522</x:v>
      </x:c>
      <x:c r="B423" s="5" t="d">
        <x:v>2015-02-21T00:00:00.000Z</x:v>
      </x:c>
      <x:c r="C423" s="1" t="str">
        <x:v>Standard Class</x:v>
      </x:c>
      <x:c r="D423" s="1" t="str">
        <x:v>LATAM</x:v>
      </x:c>
      <x:c r="E423" s="1" t="str">
        <x:v>PENDING_PAYMENT</x:v>
      </x:c>
      <x:c r="F423" s="1" t="str">
        <x:v>Advance shipping</x:v>
      </x:c>
      <x:c r="G423" s="6" t="n">
        <x:v>3</x:v>
      </x:c>
      <x:c r="H423" s="6" t="n">
        <x:v>4</x:v>
      </x:c>
      <x:c r="I423" s="6" t="n">
        <x:f>G423-H423</x:f>
        <x:v>-1</x:v>
      </x:c>
      <x:c r="J423" s="6" t="n">
        <x:f>IF(OR(E423="CANCELED",E423="SUSPECTED_FRAUD",F423="Shipping canceled"),0,1)</x:f>
        <x:v>1</x:v>
      </x:c>
      <x:c r="K423" s="6" t="n">
        <x:f>IF(G423&gt;H423,1,0)</x:f>
        <x:v>0</x:v>
      </x:c>
      <x:c r="L423" s="6" t="n">
        <x:f>J423*K423</x:f>
        <x:v>0</x:v>
      </x:c>
    </x:row>
    <x:row r="424">
      <x:c r="A424" s="1" t="n">
        <x:v>3527</x:v>
      </x:c>
      <x:c r="B424" s="5" t="d">
        <x:v>2015-02-21T00:00:00.000Z</x:v>
      </x:c>
      <x:c r="C424" s="1" t="str">
        <x:v>Standard Class</x:v>
      </x:c>
      <x:c r="D424" s="1" t="str">
        <x:v>LATAM</x:v>
      </x:c>
      <x:c r="E424" s="1" t="str">
        <x:v>PROCESSING</x:v>
      </x:c>
      <x:c r="F424" s="1" t="str">
        <x:v>Advance shipping</x:v>
      </x:c>
      <x:c r="G424" s="6" t="n">
        <x:v>3</x:v>
      </x:c>
      <x:c r="H424" s="6" t="n">
        <x:v>4</x:v>
      </x:c>
      <x:c r="I424" s="6" t="n">
        <x:f>G424-H424</x:f>
        <x:v>-1</x:v>
      </x:c>
      <x:c r="J424" s="6" t="n">
        <x:f>IF(OR(E424="CANCELED",E424="SUSPECTED_FRAUD",F424="Shipping canceled"),0,1)</x:f>
        <x:v>1</x:v>
      </x:c>
      <x:c r="K424" s="6" t="n">
        <x:f>IF(G424&gt;H424,1,0)</x:f>
        <x:v>0</x:v>
      </x:c>
      <x:c r="L424" s="6" t="n">
        <x:f>J424*K424</x:f>
        <x:v>0</x:v>
      </x:c>
    </x:row>
    <x:row r="425">
      <x:c r="A425" s="1" t="n">
        <x:v>3531</x:v>
      </x:c>
      <x:c r="B425" s="5" t="d">
        <x:v>2015-02-21T00:00:00.000Z</x:v>
      </x:c>
      <x:c r="C425" s="1" t="str">
        <x:v>Second Class</x:v>
      </x:c>
      <x:c r="D425" s="1" t="str">
        <x:v>LATAM</x:v>
      </x:c>
      <x:c r="E425" s="1" t="str">
        <x:v>COMPLETE</x:v>
      </x:c>
      <x:c r="F425" s="1" t="str">
        <x:v>Shipping on time</x:v>
      </x:c>
      <x:c r="G425" s="6" t="n">
        <x:v>2</x:v>
      </x:c>
      <x:c r="H425" s="6" t="n">
        <x:v>2</x:v>
      </x:c>
      <x:c r="I425" s="6" t="n">
        <x:f>G425-H425</x:f>
        <x:v>0</x:v>
      </x:c>
      <x:c r="J425" s="6" t="n">
        <x:f>IF(OR(E425="CANCELED",E425="SUSPECTED_FRAUD",F425="Shipping canceled"),0,1)</x:f>
        <x:v>1</x:v>
      </x:c>
      <x:c r="K425" s="6" t="n">
        <x:f>IF(G425&gt;H425,1,0)</x:f>
        <x:v>0</x:v>
      </x:c>
      <x:c r="L425" s="6" t="n">
        <x:f>J425*K425</x:f>
        <x:v>0</x:v>
      </x:c>
    </x:row>
    <x:row r="426">
      <x:c r="A426" s="1" t="n">
        <x:v>3537</x:v>
      </x:c>
      <x:c r="B426" s="5" t="d">
        <x:v>2015-02-21T00:00:00.000Z</x:v>
      </x:c>
      <x:c r="C426" s="1" t="str">
        <x:v>Standard Class</x:v>
      </x:c>
      <x:c r="D426" s="1" t="str">
        <x:v>LATAM</x:v>
      </x:c>
      <x:c r="E426" s="1" t="str">
        <x:v>CANCELED</x:v>
      </x:c>
      <x:c r="F426" s="1" t="str">
        <x:v>Shipping canceled</x:v>
      </x:c>
      <x:c r="G426" s="6" t="n">
        <x:v>3</x:v>
      </x:c>
      <x:c r="H426" s="6" t="n">
        <x:v>4</x:v>
      </x:c>
      <x:c r="I426" s="6" t="n">
        <x:f>G426-H426</x:f>
        <x:v>-1</x:v>
      </x:c>
      <x:c r="J426" s="6" t="n">
        <x:f>IF(OR(E426="CANCELED",E426="SUSPECTED_FRAUD",F426="Shipping canceled"),0,1)</x:f>
        <x:v>0</x:v>
      </x:c>
      <x:c r="K426" s="6" t="n">
        <x:f>IF(G426&gt;H426,1,0)</x:f>
        <x:v>0</x:v>
      </x:c>
      <x:c r="L426" s="6" t="n">
        <x:f>J426*K426</x:f>
        <x:v>0</x:v>
      </x:c>
    </x:row>
    <x:row r="427">
      <x:c r="A427" s="1" t="n">
        <x:v>3539</x:v>
      </x:c>
      <x:c r="B427" s="5" t="d">
        <x:v>2015-02-21T00:00:00.000Z</x:v>
      </x:c>
      <x:c r="C427" s="1" t="str">
        <x:v>Standard Class</x:v>
      </x:c>
      <x:c r="D427" s="1" t="str">
        <x:v>LATAM</x:v>
      </x:c>
      <x:c r="E427" s="1" t="str">
        <x:v>PROCESSING</x:v>
      </x:c>
      <x:c r="F427" s="1" t="str">
        <x:v>Late delivery</x:v>
      </x:c>
      <x:c r="G427" s="6" t="n">
        <x:v>5</x:v>
      </x:c>
      <x:c r="H427" s="6" t="n">
        <x:v>4</x:v>
      </x:c>
      <x:c r="I427" s="6" t="n">
        <x:f>G427-H427</x:f>
        <x:v>1</x:v>
      </x:c>
      <x:c r="J427" s="6" t="n">
        <x:f>IF(OR(E427="CANCELED",E427="SUSPECTED_FRAUD",F427="Shipping canceled"),0,1)</x:f>
        <x:v>1</x:v>
      </x:c>
      <x:c r="K427" s="6" t="n">
        <x:f>IF(G427&gt;H427,1,0)</x:f>
        <x:v>1</x:v>
      </x:c>
      <x:c r="L427" s="6" t="n">
        <x:f>J427*K427</x:f>
        <x:v>1</x:v>
      </x:c>
    </x:row>
    <x:row r="428">
      <x:c r="A428" s="1" t="n">
        <x:v>3540</x:v>
      </x:c>
      <x:c r="B428" s="5" t="d">
        <x:v>2015-02-21T00:00:00.000Z</x:v>
      </x:c>
      <x:c r="C428" s="1" t="str">
        <x:v>Standard Class</x:v>
      </x:c>
      <x:c r="D428" s="1" t="str">
        <x:v>LATAM</x:v>
      </x:c>
      <x:c r="E428" s="1" t="str">
        <x:v>COMPLETE</x:v>
      </x:c>
      <x:c r="F428" s="1" t="str">
        <x:v>Late delivery</x:v>
      </x:c>
      <x:c r="G428" s="6" t="n">
        <x:v>6</x:v>
      </x:c>
      <x:c r="H428" s="6" t="n">
        <x:v>4</x:v>
      </x:c>
      <x:c r="I428" s="6" t="n">
        <x:f>G428-H428</x:f>
        <x:v>2</x:v>
      </x:c>
      <x:c r="J428" s="6" t="n">
        <x:f>IF(OR(E428="CANCELED",E428="SUSPECTED_FRAUD",F428="Shipping canceled"),0,1)</x:f>
        <x:v>1</x:v>
      </x:c>
      <x:c r="K428" s="6" t="n">
        <x:f>IF(G428&gt;H428,1,0)</x:f>
        <x:v>1</x:v>
      </x:c>
      <x:c r="L428" s="6" t="n">
        <x:f>J428*K428</x:f>
        <x:v>1</x:v>
      </x:c>
    </x:row>
    <x:row r="429">
      <x:c r="A429" s="1" t="n">
        <x:v>3555</x:v>
      </x:c>
      <x:c r="B429" s="5" t="d">
        <x:v>2015-02-21T00:00:00.000Z</x:v>
      </x:c>
      <x:c r="C429" s="1" t="str">
        <x:v>Standard Class</x:v>
      </x:c>
      <x:c r="D429" s="1" t="str">
        <x:v>LATAM</x:v>
      </x:c>
      <x:c r="E429" s="1" t="str">
        <x:v>PROCESSING</x:v>
      </x:c>
      <x:c r="F429" s="1" t="str">
        <x:v>Late delivery</x:v>
      </x:c>
      <x:c r="G429" s="6" t="n">
        <x:v>6</x:v>
      </x:c>
      <x:c r="H429" s="6" t="n">
        <x:v>4</x:v>
      </x:c>
      <x:c r="I429" s="6" t="n">
        <x:f>G429-H429</x:f>
        <x:v>2</x:v>
      </x:c>
      <x:c r="J429" s="6" t="n">
        <x:f>IF(OR(E429="CANCELED",E429="SUSPECTED_FRAUD",F429="Shipping canceled"),0,1)</x:f>
        <x:v>1</x:v>
      </x:c>
      <x:c r="K429" s="6" t="n">
        <x:f>IF(G429&gt;H429,1,0)</x:f>
        <x:v>1</x:v>
      </x:c>
      <x:c r="L429" s="6" t="n">
        <x:f>J429*K429</x:f>
        <x:v>1</x:v>
      </x:c>
    </x:row>
    <x:row r="430">
      <x:c r="A430" s="1" t="n">
        <x:v>3556</x:v>
      </x:c>
      <x:c r="B430" s="5" t="d">
        <x:v>2015-02-21T00:00:00.000Z</x:v>
      </x:c>
      <x:c r="C430" s="1" t="str">
        <x:v>Standard Class</x:v>
      </x:c>
      <x:c r="D430" s="1" t="str">
        <x:v>LATAM</x:v>
      </x:c>
      <x:c r="E430" s="1" t="str">
        <x:v>ON_HOLD</x:v>
      </x:c>
      <x:c r="F430" s="1" t="str">
        <x:v>Advance shipping</x:v>
      </x:c>
      <x:c r="G430" s="6" t="n">
        <x:v>2</x:v>
      </x:c>
      <x:c r="H430" s="6" t="n">
        <x:v>4</x:v>
      </x:c>
      <x:c r="I430" s="6" t="n">
        <x:f>G430-H430</x:f>
        <x:v>-2</x:v>
      </x:c>
      <x:c r="J430" s="6" t="n">
        <x:f>IF(OR(E430="CANCELED",E430="SUSPECTED_FRAUD",F430="Shipping canceled"),0,1)</x:f>
        <x:v>1</x:v>
      </x:c>
      <x:c r="K430" s="6" t="n">
        <x:f>IF(G430&gt;H430,1,0)</x:f>
        <x:v>0</x:v>
      </x:c>
      <x:c r="L430" s="6" t="n">
        <x:f>J430*K430</x:f>
        <x:v>0</x:v>
      </x:c>
    </x:row>
    <x:row r="431">
      <x:c r="A431" s="1" t="n">
        <x:v>3558</x:v>
      </x:c>
      <x:c r="B431" s="5" t="d">
        <x:v>2015-02-21T00:00:00.000Z</x:v>
      </x:c>
      <x:c r="C431" s="1" t="str">
        <x:v>Standard Class</x:v>
      </x:c>
      <x:c r="D431" s="1" t="str">
        <x:v>LATAM</x:v>
      </x:c>
      <x:c r="E431" s="1" t="str">
        <x:v>PROCESSING</x:v>
      </x:c>
      <x:c r="F431" s="1" t="str">
        <x:v>Shipping on time</x:v>
      </x:c>
      <x:c r="G431" s="6" t="n">
        <x:v>4</x:v>
      </x:c>
      <x:c r="H431" s="6" t="n">
        <x:v>4</x:v>
      </x:c>
      <x:c r="I431" s="6" t="n">
        <x:f>G431-H431</x:f>
        <x:v>0</x:v>
      </x:c>
      <x:c r="J431" s="6" t="n">
        <x:f>IF(OR(E431="CANCELED",E431="SUSPECTED_FRAUD",F431="Shipping canceled"),0,1)</x:f>
        <x:v>1</x:v>
      </x:c>
      <x:c r="K431" s="6" t="n">
        <x:f>IF(G431&gt;H431,1,0)</x:f>
        <x:v>0</x:v>
      </x:c>
      <x:c r="L431" s="6" t="n">
        <x:f>J431*K431</x:f>
        <x:v>0</x:v>
      </x:c>
    </x:row>
    <x:row r="432">
      <x:c r="A432" s="1" t="n">
        <x:v>3562</x:v>
      </x:c>
      <x:c r="B432" s="5" t="d">
        <x:v>2015-02-21T00:00:00.000Z</x:v>
      </x:c>
      <x:c r="C432" s="1" t="str">
        <x:v>Standard Class</x:v>
      </x:c>
      <x:c r="D432" s="1" t="str">
        <x:v>LATAM</x:v>
      </x:c>
      <x:c r="E432" s="1" t="str">
        <x:v>PENDING_PAYMENT</x:v>
      </x:c>
      <x:c r="F432" s="1" t="str">
        <x:v>Advance shipping</x:v>
      </x:c>
      <x:c r="G432" s="6" t="n">
        <x:v>3</x:v>
      </x:c>
      <x:c r="H432" s="6" t="n">
        <x:v>4</x:v>
      </x:c>
      <x:c r="I432" s="6" t="n">
        <x:f>G432-H432</x:f>
        <x:v>-1</x:v>
      </x:c>
      <x:c r="J432" s="6" t="n">
        <x:f>IF(OR(E432="CANCELED",E432="SUSPECTED_FRAUD",F432="Shipping canceled"),0,1)</x:f>
        <x:v>1</x:v>
      </x:c>
      <x:c r="K432" s="6" t="n">
        <x:f>IF(G432&gt;H432,1,0)</x:f>
        <x:v>0</x:v>
      </x:c>
      <x:c r="L432" s="6" t="n">
        <x:f>J432*K432</x:f>
        <x:v>0</x:v>
      </x:c>
    </x:row>
    <x:row r="433">
      <x:c r="A433" s="1" t="n">
        <x:v>3568</x:v>
      </x:c>
      <x:c r="B433" s="5" t="d">
        <x:v>2015-02-22T00:00:00.000Z</x:v>
      </x:c>
      <x:c r="C433" s="1" t="str">
        <x:v>Standard Class</x:v>
      </x:c>
      <x:c r="D433" s="1" t="str">
        <x:v>LATAM</x:v>
      </x:c>
      <x:c r="E433" s="1" t="str">
        <x:v>PENDING</x:v>
      </x:c>
      <x:c r="F433" s="1" t="str">
        <x:v>Shipping on time</x:v>
      </x:c>
      <x:c r="G433" s="6" t="n">
        <x:v>4</x:v>
      </x:c>
      <x:c r="H433" s="6" t="n">
        <x:v>4</x:v>
      </x:c>
      <x:c r="I433" s="6" t="n">
        <x:f>G433-H433</x:f>
        <x:v>0</x:v>
      </x:c>
      <x:c r="J433" s="6" t="n">
        <x:f>IF(OR(E433="CANCELED",E433="SUSPECTED_FRAUD",F433="Shipping canceled"),0,1)</x:f>
        <x:v>1</x:v>
      </x:c>
      <x:c r="K433" s="6" t="n">
        <x:f>IF(G433&gt;H433,1,0)</x:f>
        <x:v>0</x:v>
      </x:c>
      <x:c r="L433" s="6" t="n">
        <x:f>J433*K433</x:f>
        <x:v>0</x:v>
      </x:c>
    </x:row>
    <x:row r="434">
      <x:c r="A434" s="1" t="n">
        <x:v>3570</x:v>
      </x:c>
      <x:c r="B434" s="5" t="d">
        <x:v>2015-02-22T00:00:00.000Z</x:v>
      </x:c>
      <x:c r="C434" s="1" t="str">
        <x:v>Standard Class</x:v>
      </x:c>
      <x:c r="D434" s="1" t="str">
        <x:v>LATAM</x:v>
      </x:c>
      <x:c r="E434" s="1" t="str">
        <x:v>PROCESSING</x:v>
      </x:c>
      <x:c r="F434" s="1" t="str">
        <x:v>Late delivery</x:v>
      </x:c>
      <x:c r="G434" s="6" t="n">
        <x:v>6</x:v>
      </x:c>
      <x:c r="H434" s="6" t="n">
        <x:v>4</x:v>
      </x:c>
      <x:c r="I434" s="6" t="n">
        <x:f>G434-H434</x:f>
        <x:v>2</x:v>
      </x:c>
      <x:c r="J434" s="6" t="n">
        <x:f>IF(OR(E434="CANCELED",E434="SUSPECTED_FRAUD",F434="Shipping canceled"),0,1)</x:f>
        <x:v>1</x:v>
      </x:c>
      <x:c r="K434" s="6" t="n">
        <x:f>IF(G434&gt;H434,1,0)</x:f>
        <x:v>1</x:v>
      </x:c>
      <x:c r="L434" s="6" t="n">
        <x:f>J434*K434</x:f>
        <x:v>1</x:v>
      </x:c>
    </x:row>
    <x:row r="435">
      <x:c r="A435" s="1" t="n">
        <x:v>3582</x:v>
      </x:c>
      <x:c r="B435" s="5" t="d">
        <x:v>2015-02-22T00:00:00.000Z</x:v>
      </x:c>
      <x:c r="C435" s="1" t="str">
        <x:v>Standard Class</x:v>
      </x:c>
      <x:c r="D435" s="1" t="str">
        <x:v>LATAM</x:v>
      </x:c>
      <x:c r="E435" s="1" t="str">
        <x:v>COMPLETE</x:v>
      </x:c>
      <x:c r="F435" s="1" t="str">
        <x:v>Advance shipping</x:v>
      </x:c>
      <x:c r="G435" s="6" t="n">
        <x:v>3</x:v>
      </x:c>
      <x:c r="H435" s="6" t="n">
        <x:v>4</x:v>
      </x:c>
      <x:c r="I435" s="6" t="n">
        <x:f>G435-H435</x:f>
        <x:v>-1</x:v>
      </x:c>
      <x:c r="J435" s="6" t="n">
        <x:f>IF(OR(E435="CANCELED",E435="SUSPECTED_FRAUD",F435="Shipping canceled"),0,1)</x:f>
        <x:v>1</x:v>
      </x:c>
      <x:c r="K435" s="6" t="n">
        <x:f>IF(G435&gt;H435,1,0)</x:f>
        <x:v>0</x:v>
      </x:c>
      <x:c r="L435" s="6" t="n">
        <x:f>J435*K435</x:f>
        <x:v>0</x:v>
      </x:c>
    </x:row>
    <x:row r="436">
      <x:c r="A436" s="1" t="n">
        <x:v>3593</x:v>
      </x:c>
      <x:c r="B436" s="5" t="d">
        <x:v>2015-02-22T00:00:00.000Z</x:v>
      </x:c>
      <x:c r="C436" s="1" t="str">
        <x:v>Standard Class</x:v>
      </x:c>
      <x:c r="D436" s="1" t="str">
        <x:v>LATAM</x:v>
      </x:c>
      <x:c r="E436" s="1" t="str">
        <x:v>COMPLETE</x:v>
      </x:c>
      <x:c r="F436" s="1" t="str">
        <x:v>Shipping on time</x:v>
      </x:c>
      <x:c r="G436" s="6" t="n">
        <x:v>4</x:v>
      </x:c>
      <x:c r="H436" s="6" t="n">
        <x:v>4</x:v>
      </x:c>
      <x:c r="I436" s="6" t="n">
        <x:f>G436-H436</x:f>
        <x:v>0</x:v>
      </x:c>
      <x:c r="J436" s="6" t="n">
        <x:f>IF(OR(E436="CANCELED",E436="SUSPECTED_FRAUD",F436="Shipping canceled"),0,1)</x:f>
        <x:v>1</x:v>
      </x:c>
      <x:c r="K436" s="6" t="n">
        <x:f>IF(G436&gt;H436,1,0)</x:f>
        <x:v>0</x:v>
      </x:c>
      <x:c r="L436" s="6" t="n">
        <x:f>J436*K436</x:f>
        <x:v>0</x:v>
      </x:c>
    </x:row>
    <x:row r="437">
      <x:c r="A437" s="1" t="n">
        <x:v>3607</x:v>
      </x:c>
      <x:c r="B437" s="5" t="d">
        <x:v>2015-02-22T00:00:00.000Z</x:v>
      </x:c>
      <x:c r="C437" s="1" t="str">
        <x:v>Standard Class</x:v>
      </x:c>
      <x:c r="D437" s="1" t="str">
        <x:v>LATAM</x:v>
      </x:c>
      <x:c r="E437" s="1" t="str">
        <x:v>COMPLETE</x:v>
      </x:c>
      <x:c r="F437" s="1" t="str">
        <x:v>Advance shipping</x:v>
      </x:c>
      <x:c r="G437" s="6" t="n">
        <x:v>3</x:v>
      </x:c>
      <x:c r="H437" s="6" t="n">
        <x:v>4</x:v>
      </x:c>
      <x:c r="I437" s="6" t="n">
        <x:f>G437-H437</x:f>
        <x:v>-1</x:v>
      </x:c>
      <x:c r="J437" s="6" t="n">
        <x:f>IF(OR(E437="CANCELED",E437="SUSPECTED_FRAUD",F437="Shipping canceled"),0,1)</x:f>
        <x:v>1</x:v>
      </x:c>
      <x:c r="K437" s="6" t="n">
        <x:f>IF(G437&gt;H437,1,0)</x:f>
        <x:v>0</x:v>
      </x:c>
      <x:c r="L437" s="6" t="n">
        <x:f>J437*K437</x:f>
        <x:v>0</x:v>
      </x:c>
    </x:row>
    <x:row r="438">
      <x:c r="A438" s="1" t="n">
        <x:v>3609</x:v>
      </x:c>
      <x:c r="B438" s="5" t="d">
        <x:v>2015-02-22T00:00:00.000Z</x:v>
      </x:c>
      <x:c r="C438" s="1" t="str">
        <x:v>First Class</x:v>
      </x:c>
      <x:c r="D438" s="1" t="str">
        <x:v>LATAM</x:v>
      </x:c>
      <x:c r="E438" s="1" t="str">
        <x:v>CLOSED</x:v>
      </x:c>
      <x:c r="F438" s="1" t="str">
        <x:v>Late delivery</x:v>
      </x:c>
      <x:c r="G438" s="6" t="n">
        <x:v>2</x:v>
      </x:c>
      <x:c r="H438" s="6" t="n">
        <x:v>1</x:v>
      </x:c>
      <x:c r="I438" s="6" t="n">
        <x:f>G438-H438</x:f>
        <x:v>1</x:v>
      </x:c>
      <x:c r="J438" s="6" t="n">
        <x:f>IF(OR(E438="CANCELED",E438="SUSPECTED_FRAUD",F438="Shipping canceled"),0,1)</x:f>
        <x:v>1</x:v>
      </x:c>
      <x:c r="K438" s="6" t="n">
        <x:f>IF(G438&gt;H438,1,0)</x:f>
        <x:v>1</x:v>
      </x:c>
      <x:c r="L438" s="6" t="n">
        <x:f>J438*K438</x:f>
        <x:v>1</x:v>
      </x:c>
    </x:row>
    <x:row r="439">
      <x:c r="A439" s="1" t="n">
        <x:v>3611</x:v>
      </x:c>
      <x:c r="B439" s="5" t="d">
        <x:v>2015-02-22T00:00:00.000Z</x:v>
      </x:c>
      <x:c r="C439" s="1" t="str">
        <x:v>Standard Class</x:v>
      </x:c>
      <x:c r="D439" s="1" t="str">
        <x:v>LATAM</x:v>
      </x:c>
      <x:c r="E439" s="1" t="str">
        <x:v>COMPLETE</x:v>
      </x:c>
      <x:c r="F439" s="1" t="str">
        <x:v>Advance shipping</x:v>
      </x:c>
      <x:c r="G439" s="6" t="n">
        <x:v>2</x:v>
      </x:c>
      <x:c r="H439" s="6" t="n">
        <x:v>4</x:v>
      </x:c>
      <x:c r="I439" s="6" t="n">
        <x:f>G439-H439</x:f>
        <x:v>-2</x:v>
      </x:c>
      <x:c r="J439" s="6" t="n">
        <x:f>IF(OR(E439="CANCELED",E439="SUSPECTED_FRAUD",F439="Shipping canceled"),0,1)</x:f>
        <x:v>1</x:v>
      </x:c>
      <x:c r="K439" s="6" t="n">
        <x:f>IF(G439&gt;H439,1,0)</x:f>
        <x:v>0</x:v>
      </x:c>
      <x:c r="L439" s="6" t="n">
        <x:f>J439*K439</x:f>
        <x:v>0</x:v>
      </x:c>
    </x:row>
    <x:row r="440">
      <x:c r="A440" s="1" t="n">
        <x:v>3612</x:v>
      </x:c>
      <x:c r="B440" s="5" t="d">
        <x:v>2015-02-22T00:00:00.000Z</x:v>
      </x:c>
      <x:c r="C440" s="1" t="str">
        <x:v>Standard Class</x:v>
      </x:c>
      <x:c r="D440" s="1" t="str">
        <x:v>LATAM</x:v>
      </x:c>
      <x:c r="E440" s="1" t="str">
        <x:v>ON_HOLD</x:v>
      </x:c>
      <x:c r="F440" s="1" t="str">
        <x:v>Advance shipping</x:v>
      </x:c>
      <x:c r="G440" s="6" t="n">
        <x:v>3</x:v>
      </x:c>
      <x:c r="H440" s="6" t="n">
        <x:v>4</x:v>
      </x:c>
      <x:c r="I440" s="6" t="n">
        <x:f>G440-H440</x:f>
        <x:v>-1</x:v>
      </x:c>
      <x:c r="J440" s="6" t="n">
        <x:f>IF(OR(E440="CANCELED",E440="SUSPECTED_FRAUD",F440="Shipping canceled"),0,1)</x:f>
        <x:v>1</x:v>
      </x:c>
      <x:c r="K440" s="6" t="n">
        <x:f>IF(G440&gt;H440,1,0)</x:f>
        <x:v>0</x:v>
      </x:c>
      <x:c r="L440" s="6" t="n">
        <x:f>J440*K440</x:f>
        <x:v>0</x:v>
      </x:c>
    </x:row>
    <x:row r="441">
      <x:c r="A441" s="1" t="n">
        <x:v>3622</x:v>
      </x:c>
      <x:c r="B441" s="5" t="d">
        <x:v>2015-02-22T00:00:00.000Z</x:v>
      </x:c>
      <x:c r="C441" s="1" t="str">
        <x:v>Standard Class</x:v>
      </x:c>
      <x:c r="D441" s="1" t="str">
        <x:v>LATAM</x:v>
      </x:c>
      <x:c r="E441" s="1" t="str">
        <x:v>COMPLETE</x:v>
      </x:c>
      <x:c r="F441" s="1" t="str">
        <x:v>Advance shipping</x:v>
      </x:c>
      <x:c r="G441" s="6" t="n">
        <x:v>3</x:v>
      </x:c>
      <x:c r="H441" s="6" t="n">
        <x:v>4</x:v>
      </x:c>
      <x:c r="I441" s="6" t="n">
        <x:f>G441-H441</x:f>
        <x:v>-1</x:v>
      </x:c>
      <x:c r="J441" s="6" t="n">
        <x:f>IF(OR(E441="CANCELED",E441="SUSPECTED_FRAUD",F441="Shipping canceled"),0,1)</x:f>
        <x:v>1</x:v>
      </x:c>
      <x:c r="K441" s="6" t="n">
        <x:f>IF(G441&gt;H441,1,0)</x:f>
        <x:v>0</x:v>
      </x:c>
      <x:c r="L441" s="6" t="n">
        <x:f>J441*K441</x:f>
        <x:v>0</x:v>
      </x:c>
    </x:row>
    <x:row r="442">
      <x:c r="A442" s="1" t="n">
        <x:v>3625</x:v>
      </x:c>
      <x:c r="B442" s="5" t="d">
        <x:v>2015-02-22T00:00:00.000Z</x:v>
      </x:c>
      <x:c r="C442" s="1" t="str">
        <x:v>Standard Class</x:v>
      </x:c>
      <x:c r="D442" s="1" t="str">
        <x:v>LATAM</x:v>
      </x:c>
      <x:c r="E442" s="1" t="str">
        <x:v>SUSPECTED_FRAUD</x:v>
      </x:c>
      <x:c r="F442" s="1" t="str">
        <x:v>Shipping canceled</x:v>
      </x:c>
      <x:c r="G442" s="6" t="n">
        <x:v>6</x:v>
      </x:c>
      <x:c r="H442" s="6" t="n">
        <x:v>4</x:v>
      </x:c>
      <x:c r="I442" s="6" t="n">
        <x:f>G442-H442</x:f>
        <x:v>2</x:v>
      </x:c>
      <x:c r="J442" s="6" t="n">
        <x:f>IF(OR(E442="CANCELED",E442="SUSPECTED_FRAUD",F442="Shipping canceled"),0,1)</x:f>
        <x:v>0</x:v>
      </x:c>
      <x:c r="K442" s="6" t="n">
        <x:f>IF(G442&gt;H442,1,0)</x:f>
        <x:v>1</x:v>
      </x:c>
      <x:c r="L442" s="6" t="n">
        <x:f>J442*K442</x:f>
        <x:v>0</x:v>
      </x:c>
    </x:row>
    <x:row r="443">
      <x:c r="A443" s="1" t="n">
        <x:v>3629</x:v>
      </x:c>
      <x:c r="B443" s="5" t="d">
        <x:v>2015-02-22T00:00:00.000Z</x:v>
      </x:c>
      <x:c r="C443" s="1" t="str">
        <x:v>Standard Class</x:v>
      </x:c>
      <x:c r="D443" s="1" t="str">
        <x:v>LATAM</x:v>
      </x:c>
      <x:c r="E443" s="1" t="str">
        <x:v>COMPLETE</x:v>
      </x:c>
      <x:c r="F443" s="1" t="str">
        <x:v>Late delivery</x:v>
      </x:c>
      <x:c r="G443" s="6" t="n">
        <x:v>5</x:v>
      </x:c>
      <x:c r="H443" s="6" t="n">
        <x:v>4</x:v>
      </x:c>
      <x:c r="I443" s="6" t="n">
        <x:f>G443-H443</x:f>
        <x:v>1</x:v>
      </x:c>
      <x:c r="J443" s="6" t="n">
        <x:f>IF(OR(E443="CANCELED",E443="SUSPECTED_FRAUD",F443="Shipping canceled"),0,1)</x:f>
        <x:v>1</x:v>
      </x:c>
      <x:c r="K443" s="6" t="n">
        <x:f>IF(G443&gt;H443,1,0)</x:f>
        <x:v>1</x:v>
      </x:c>
      <x:c r="L443" s="6" t="n">
        <x:f>J443*K443</x:f>
        <x:v>1</x:v>
      </x:c>
    </x:row>
    <x:row r="444">
      <x:c r="A444" s="1" t="n">
        <x:v>3649</x:v>
      </x:c>
      <x:c r="B444" s="5" t="d">
        <x:v>2015-02-23T00:00:00.000Z</x:v>
      </x:c>
      <x:c r="C444" s="1" t="str">
        <x:v>Second Class</x:v>
      </x:c>
      <x:c r="D444" s="1" t="str">
        <x:v>LATAM</x:v>
      </x:c>
      <x:c r="E444" s="1" t="str">
        <x:v>PROCESSING</x:v>
      </x:c>
      <x:c r="F444" s="1" t="str">
        <x:v>Late delivery</x:v>
      </x:c>
      <x:c r="G444" s="6" t="n">
        <x:v>5</x:v>
      </x:c>
      <x:c r="H444" s="6" t="n">
        <x:v>2</x:v>
      </x:c>
      <x:c r="I444" s="6" t="n">
        <x:f>G444-H444</x:f>
        <x:v>3</x:v>
      </x:c>
      <x:c r="J444" s="6" t="n">
        <x:f>IF(OR(E444="CANCELED",E444="SUSPECTED_FRAUD",F444="Shipping canceled"),0,1)</x:f>
        <x:v>1</x:v>
      </x:c>
      <x:c r="K444" s="6" t="n">
        <x:f>IF(G444&gt;H444,1,0)</x:f>
        <x:v>1</x:v>
      </x:c>
      <x:c r="L444" s="6" t="n">
        <x:f>J444*K444</x:f>
        <x:v>1</x:v>
      </x:c>
    </x:row>
    <x:row r="445">
      <x:c r="A445" s="1" t="n">
        <x:v>3656</x:v>
      </x:c>
      <x:c r="B445" s="5" t="d">
        <x:v>2015-02-23T00:00:00.000Z</x:v>
      </x:c>
      <x:c r="C445" s="1" t="str">
        <x:v>Standard Class</x:v>
      </x:c>
      <x:c r="D445" s="1" t="str">
        <x:v>LATAM</x:v>
      </x:c>
      <x:c r="E445" s="1" t="str">
        <x:v>CLOSED</x:v>
      </x:c>
      <x:c r="F445" s="1" t="str">
        <x:v>Advance shipping</x:v>
      </x:c>
      <x:c r="G445" s="6" t="n">
        <x:v>2</x:v>
      </x:c>
      <x:c r="H445" s="6" t="n">
        <x:v>4</x:v>
      </x:c>
      <x:c r="I445" s="6" t="n">
        <x:f>G445-H445</x:f>
        <x:v>-2</x:v>
      </x:c>
      <x:c r="J445" s="6" t="n">
        <x:f>IF(OR(E445="CANCELED",E445="SUSPECTED_FRAUD",F445="Shipping canceled"),0,1)</x:f>
        <x:v>1</x:v>
      </x:c>
      <x:c r="K445" s="6" t="n">
        <x:f>IF(G445&gt;H445,1,0)</x:f>
        <x:v>0</x:v>
      </x:c>
      <x:c r="L445" s="6" t="n">
        <x:f>J445*K445</x:f>
        <x:v>0</x:v>
      </x:c>
    </x:row>
    <x:row r="446">
      <x:c r="A446" s="1" t="n">
        <x:v>3666</x:v>
      </x:c>
      <x:c r="B446" s="5" t="d">
        <x:v>2015-02-23T00:00:00.000Z</x:v>
      </x:c>
      <x:c r="C446" s="1" t="str">
        <x:v>First Class</x:v>
      </x:c>
      <x:c r="D446" s="1" t="str">
        <x:v>LATAM</x:v>
      </x:c>
      <x:c r="E446" s="1" t="str">
        <x:v>PENDING</x:v>
      </x:c>
      <x:c r="F446" s="1" t="str">
        <x:v>Late delivery</x:v>
      </x:c>
      <x:c r="G446" s="6" t="n">
        <x:v>2</x:v>
      </x:c>
      <x:c r="H446" s="6" t="n">
        <x:v>1</x:v>
      </x:c>
      <x:c r="I446" s="6" t="n">
        <x:f>G446-H446</x:f>
        <x:v>1</x:v>
      </x:c>
      <x:c r="J446" s="6" t="n">
        <x:f>IF(OR(E446="CANCELED",E446="SUSPECTED_FRAUD",F446="Shipping canceled"),0,1)</x:f>
        <x:v>1</x:v>
      </x:c>
      <x:c r="K446" s="6" t="n">
        <x:f>IF(G446&gt;H446,1,0)</x:f>
        <x:v>1</x:v>
      </x:c>
      <x:c r="L446" s="6" t="n">
        <x:f>J446*K446</x:f>
        <x:v>1</x:v>
      </x:c>
    </x:row>
    <x:row r="447">
      <x:c r="A447" s="1" t="n">
        <x:v>3672</x:v>
      </x:c>
      <x:c r="B447" s="5" t="d">
        <x:v>2015-02-23T00:00:00.000Z</x:v>
      </x:c>
      <x:c r="C447" s="1" t="str">
        <x:v>Second Class</x:v>
      </x:c>
      <x:c r="D447" s="1" t="str">
        <x:v>LATAM</x:v>
      </x:c>
      <x:c r="E447" s="1" t="str">
        <x:v>COMPLETE</x:v>
      </x:c>
      <x:c r="F447" s="1" t="str">
        <x:v>Late delivery</x:v>
      </x:c>
      <x:c r="G447" s="6" t="n">
        <x:v>3</x:v>
      </x:c>
      <x:c r="H447" s="6" t="n">
        <x:v>2</x:v>
      </x:c>
      <x:c r="I447" s="6" t="n">
        <x:f>G447-H447</x:f>
        <x:v>1</x:v>
      </x:c>
      <x:c r="J447" s="6" t="n">
        <x:f>IF(OR(E447="CANCELED",E447="SUSPECTED_FRAUD",F447="Shipping canceled"),0,1)</x:f>
        <x:v>1</x:v>
      </x:c>
      <x:c r="K447" s="6" t="n">
        <x:f>IF(G447&gt;H447,1,0)</x:f>
        <x:v>1</x:v>
      </x:c>
      <x:c r="L447" s="6" t="n">
        <x:f>J447*K447</x:f>
        <x:v>1</x:v>
      </x:c>
    </x:row>
    <x:row r="448">
      <x:c r="A448" s="1" t="n">
        <x:v>3676</x:v>
      </x:c>
      <x:c r="B448" s="5" t="d">
        <x:v>2015-02-23T00:00:00.000Z</x:v>
      </x:c>
      <x:c r="C448" s="1" t="str">
        <x:v>Standard Class</x:v>
      </x:c>
      <x:c r="D448" s="1" t="str">
        <x:v>LATAM</x:v>
      </x:c>
      <x:c r="E448" s="1" t="str">
        <x:v>ON_HOLD</x:v>
      </x:c>
      <x:c r="F448" s="1" t="str">
        <x:v>Advance shipping</x:v>
      </x:c>
      <x:c r="G448" s="6" t="n">
        <x:v>2</x:v>
      </x:c>
      <x:c r="H448" s="6" t="n">
        <x:v>4</x:v>
      </x:c>
      <x:c r="I448" s="6" t="n">
        <x:f>G448-H448</x:f>
        <x:v>-2</x:v>
      </x:c>
      <x:c r="J448" s="6" t="n">
        <x:f>IF(OR(E448="CANCELED",E448="SUSPECTED_FRAUD",F448="Shipping canceled"),0,1)</x:f>
        <x:v>1</x:v>
      </x:c>
      <x:c r="K448" s="6" t="n">
        <x:f>IF(G448&gt;H448,1,0)</x:f>
        <x:v>0</x:v>
      </x:c>
      <x:c r="L448" s="6" t="n">
        <x:f>J448*K448</x:f>
        <x:v>0</x:v>
      </x:c>
    </x:row>
    <x:row r="449">
      <x:c r="A449" s="1" t="n">
        <x:v>3698</x:v>
      </x:c>
      <x:c r="B449" s="5" t="d">
        <x:v>2015-02-23T00:00:00.000Z</x:v>
      </x:c>
      <x:c r="C449" s="1" t="str">
        <x:v>Standard Class</x:v>
      </x:c>
      <x:c r="D449" s="1" t="str">
        <x:v>LATAM</x:v>
      </x:c>
      <x:c r="E449" s="1" t="str">
        <x:v>PROCESSING</x:v>
      </x:c>
      <x:c r="F449" s="1" t="str">
        <x:v>Shipping on time</x:v>
      </x:c>
      <x:c r="G449" s="6" t="n">
        <x:v>4</x:v>
      </x:c>
      <x:c r="H449" s="6" t="n">
        <x:v>4</x:v>
      </x:c>
      <x:c r="I449" s="6" t="n">
        <x:f>G449-H449</x:f>
        <x:v>0</x:v>
      </x:c>
      <x:c r="J449" s="6" t="n">
        <x:f>IF(OR(E449="CANCELED",E449="SUSPECTED_FRAUD",F449="Shipping canceled"),0,1)</x:f>
        <x:v>1</x:v>
      </x:c>
      <x:c r="K449" s="6" t="n">
        <x:f>IF(G449&gt;H449,1,0)</x:f>
        <x:v>0</x:v>
      </x:c>
      <x:c r="L449" s="6" t="n">
        <x:f>J449*K449</x:f>
        <x:v>0</x:v>
      </x:c>
    </x:row>
    <x:row r="450">
      <x:c r="A450" s="1" t="n">
        <x:v>3700</x:v>
      </x:c>
      <x:c r="B450" s="5" t="d">
        <x:v>2015-02-23T00:00:00.000Z</x:v>
      </x:c>
      <x:c r="C450" s="1" t="str">
        <x:v>Standard Class</x:v>
      </x:c>
      <x:c r="D450" s="1" t="str">
        <x:v>LATAM</x:v>
      </x:c>
      <x:c r="E450" s="1" t="str">
        <x:v>PENDING</x:v>
      </x:c>
      <x:c r="F450" s="1" t="str">
        <x:v>Late delivery</x:v>
      </x:c>
      <x:c r="G450" s="6" t="n">
        <x:v>6</x:v>
      </x:c>
      <x:c r="H450" s="6" t="n">
        <x:v>4</x:v>
      </x:c>
      <x:c r="I450" s="6" t="n">
        <x:f>G450-H450</x:f>
        <x:v>2</x:v>
      </x:c>
      <x:c r="J450" s="6" t="n">
        <x:f>IF(OR(E450="CANCELED",E450="SUSPECTED_FRAUD",F450="Shipping canceled"),0,1)</x:f>
        <x:v>1</x:v>
      </x:c>
      <x:c r="K450" s="6" t="n">
        <x:f>IF(G450&gt;H450,1,0)</x:f>
        <x:v>1</x:v>
      </x:c>
      <x:c r="L450" s="6" t="n">
        <x:f>J450*K450</x:f>
        <x:v>1</x:v>
      </x:c>
    </x:row>
    <x:row r="451">
      <x:c r="A451" s="1" t="n">
        <x:v>3724</x:v>
      </x:c>
      <x:c r="B451" s="5" t="d">
        <x:v>2015-02-24T00:00:00.000Z</x:v>
      </x:c>
      <x:c r="C451" s="1" t="str">
        <x:v>Standard Class</x:v>
      </x:c>
      <x:c r="D451" s="1" t="str">
        <x:v>LATAM</x:v>
      </x:c>
      <x:c r="E451" s="1" t="str">
        <x:v>PENDING</x:v>
      </x:c>
      <x:c r="F451" s="1" t="str">
        <x:v>Late delivery</x:v>
      </x:c>
      <x:c r="G451" s="6" t="n">
        <x:v>5</x:v>
      </x:c>
      <x:c r="H451" s="6" t="n">
        <x:v>4</x:v>
      </x:c>
      <x:c r="I451" s="6" t="n">
        <x:f>G451-H451</x:f>
        <x:v>1</x:v>
      </x:c>
      <x:c r="J451" s="6" t="n">
        <x:f>IF(OR(E451="CANCELED",E451="SUSPECTED_FRAUD",F451="Shipping canceled"),0,1)</x:f>
        <x:v>1</x:v>
      </x:c>
      <x:c r="K451" s="6" t="n">
        <x:f>IF(G451&gt;H451,1,0)</x:f>
        <x:v>1</x:v>
      </x:c>
      <x:c r="L451" s="6" t="n">
        <x:f>J451*K451</x:f>
        <x:v>1</x:v>
      </x:c>
    </x:row>
    <x:row r="452">
      <x:c r="A452" s="1" t="n">
        <x:v>3732</x:v>
      </x:c>
      <x:c r="B452" s="5" t="d">
        <x:v>2015-02-24T00:00:00.000Z</x:v>
      </x:c>
      <x:c r="C452" s="1" t="str">
        <x:v>Standard Class</x:v>
      </x:c>
      <x:c r="D452" s="1" t="str">
        <x:v>LATAM</x:v>
      </x:c>
      <x:c r="E452" s="1" t="str">
        <x:v>PROCESSING</x:v>
      </x:c>
      <x:c r="F452" s="1" t="str">
        <x:v>Advance shipping</x:v>
      </x:c>
      <x:c r="G452" s="6" t="n">
        <x:v>3</x:v>
      </x:c>
      <x:c r="H452" s="6" t="n">
        <x:v>4</x:v>
      </x:c>
      <x:c r="I452" s="6" t="n">
        <x:f>G452-H452</x:f>
        <x:v>-1</x:v>
      </x:c>
      <x:c r="J452" s="6" t="n">
        <x:f>IF(OR(E452="CANCELED",E452="SUSPECTED_FRAUD",F452="Shipping canceled"),0,1)</x:f>
        <x:v>1</x:v>
      </x:c>
      <x:c r="K452" s="6" t="n">
        <x:f>IF(G452&gt;H452,1,0)</x:f>
        <x:v>0</x:v>
      </x:c>
      <x:c r="L452" s="6" t="n">
        <x:f>J452*K452</x:f>
        <x:v>0</x:v>
      </x:c>
    </x:row>
    <x:row r="453">
      <x:c r="A453" s="1" t="n">
        <x:v>3743</x:v>
      </x:c>
      <x:c r="B453" s="5" t="d">
        <x:v>2015-02-24T00:00:00.000Z</x:v>
      </x:c>
      <x:c r="C453" s="1" t="str">
        <x:v>Standard Class</x:v>
      </x:c>
      <x:c r="D453" s="1" t="str">
        <x:v>LATAM</x:v>
      </x:c>
      <x:c r="E453" s="1" t="str">
        <x:v>PROCESSING</x:v>
      </x:c>
      <x:c r="F453" s="1" t="str">
        <x:v>Shipping on time</x:v>
      </x:c>
      <x:c r="G453" s="6" t="n">
        <x:v>4</x:v>
      </x:c>
      <x:c r="H453" s="6" t="n">
        <x:v>4</x:v>
      </x:c>
      <x:c r="I453" s="6" t="n">
        <x:f>G453-H453</x:f>
        <x:v>0</x:v>
      </x:c>
      <x:c r="J453" s="6" t="n">
        <x:f>IF(OR(E453="CANCELED",E453="SUSPECTED_FRAUD",F453="Shipping canceled"),0,1)</x:f>
        <x:v>1</x:v>
      </x:c>
      <x:c r="K453" s="6" t="n">
        <x:f>IF(G453&gt;H453,1,0)</x:f>
        <x:v>0</x:v>
      </x:c>
      <x:c r="L453" s="6" t="n">
        <x:f>J453*K453</x:f>
        <x:v>0</x:v>
      </x:c>
    </x:row>
    <x:row r="454">
      <x:c r="A454" s="1" t="n">
        <x:v>3747</x:v>
      </x:c>
      <x:c r="B454" s="5" t="d">
        <x:v>2015-02-24T00:00:00.000Z</x:v>
      </x:c>
      <x:c r="C454" s="1" t="str">
        <x:v>Standard Class</x:v>
      </x:c>
      <x:c r="D454" s="1" t="str">
        <x:v>LATAM</x:v>
      </x:c>
      <x:c r="E454" s="1" t="str">
        <x:v>PROCESSING</x:v>
      </x:c>
      <x:c r="F454" s="1" t="str">
        <x:v>Advance shipping</x:v>
      </x:c>
      <x:c r="G454" s="6" t="n">
        <x:v>3</x:v>
      </x:c>
      <x:c r="H454" s="6" t="n">
        <x:v>4</x:v>
      </x:c>
      <x:c r="I454" s="6" t="n">
        <x:f>G454-H454</x:f>
        <x:v>-1</x:v>
      </x:c>
      <x:c r="J454" s="6" t="n">
        <x:f>IF(OR(E454="CANCELED",E454="SUSPECTED_FRAUD",F454="Shipping canceled"),0,1)</x:f>
        <x:v>1</x:v>
      </x:c>
      <x:c r="K454" s="6" t="n">
        <x:f>IF(G454&gt;H454,1,0)</x:f>
        <x:v>0</x:v>
      </x:c>
      <x:c r="L454" s="6" t="n">
        <x:f>J454*K454</x:f>
        <x:v>0</x:v>
      </x:c>
    </x:row>
    <x:row r="455">
      <x:c r="A455" s="1" t="n">
        <x:v>3751</x:v>
      </x:c>
      <x:c r="B455" s="5" t="d">
        <x:v>2015-02-24T00:00:00.000Z</x:v>
      </x:c>
      <x:c r="C455" s="1" t="str">
        <x:v>Standard Class</x:v>
      </x:c>
      <x:c r="D455" s="1" t="str">
        <x:v>LATAM</x:v>
      </x:c>
      <x:c r="E455" s="1" t="str">
        <x:v>COMPLETE</x:v>
      </x:c>
      <x:c r="F455" s="1" t="str">
        <x:v>Advance shipping</x:v>
      </x:c>
      <x:c r="G455" s="6" t="n">
        <x:v>2</x:v>
      </x:c>
      <x:c r="H455" s="6" t="n">
        <x:v>4</x:v>
      </x:c>
      <x:c r="I455" s="6" t="n">
        <x:f>G455-H455</x:f>
        <x:v>-2</x:v>
      </x:c>
      <x:c r="J455" s="6" t="n">
        <x:f>IF(OR(E455="CANCELED",E455="SUSPECTED_FRAUD",F455="Shipping canceled"),0,1)</x:f>
        <x:v>1</x:v>
      </x:c>
      <x:c r="K455" s="6" t="n">
        <x:f>IF(G455&gt;H455,1,0)</x:f>
        <x:v>0</x:v>
      </x:c>
      <x:c r="L455" s="6" t="n">
        <x:f>J455*K455</x:f>
        <x:v>0</x:v>
      </x:c>
    </x:row>
    <x:row r="456">
      <x:c r="A456" s="1" t="n">
        <x:v>3767</x:v>
      </x:c>
      <x:c r="B456" s="5" t="d">
        <x:v>2015-02-24T00:00:00.000Z</x:v>
      </x:c>
      <x:c r="C456" s="1" t="str">
        <x:v>Standard Class</x:v>
      </x:c>
      <x:c r="D456" s="1" t="str">
        <x:v>LATAM</x:v>
      </x:c>
      <x:c r="E456" s="1" t="str">
        <x:v>CLOSED</x:v>
      </x:c>
      <x:c r="F456" s="1" t="str">
        <x:v>Advance shipping</x:v>
      </x:c>
      <x:c r="G456" s="6" t="n">
        <x:v>3</x:v>
      </x:c>
      <x:c r="H456" s="6" t="n">
        <x:v>4</x:v>
      </x:c>
      <x:c r="I456" s="6" t="n">
        <x:f>G456-H456</x:f>
        <x:v>-1</x:v>
      </x:c>
      <x:c r="J456" s="6" t="n">
        <x:f>IF(OR(E456="CANCELED",E456="SUSPECTED_FRAUD",F456="Shipping canceled"),0,1)</x:f>
        <x:v>1</x:v>
      </x:c>
      <x:c r="K456" s="6" t="n">
        <x:f>IF(G456&gt;H456,1,0)</x:f>
        <x:v>0</x:v>
      </x:c>
      <x:c r="L456" s="6" t="n">
        <x:f>J456*K456</x:f>
        <x:v>0</x:v>
      </x:c>
    </x:row>
    <x:row r="457">
      <x:c r="A457" s="1" t="n">
        <x:v>3788</x:v>
      </x:c>
      <x:c r="B457" s="5" t="d">
        <x:v>2015-02-25T00:00:00.000Z</x:v>
      </x:c>
      <x:c r="C457" s="1" t="str">
        <x:v>Second Class</x:v>
      </x:c>
      <x:c r="D457" s="1" t="str">
        <x:v>LATAM</x:v>
      </x:c>
      <x:c r="E457" s="1" t="str">
        <x:v>COMPLETE</x:v>
      </x:c>
      <x:c r="F457" s="1" t="str">
        <x:v>Late delivery</x:v>
      </x:c>
      <x:c r="G457" s="6" t="n">
        <x:v>4</x:v>
      </x:c>
      <x:c r="H457" s="6" t="n">
        <x:v>2</x:v>
      </x:c>
      <x:c r="I457" s="6" t="n">
        <x:f>G457-H457</x:f>
        <x:v>2</x:v>
      </x:c>
      <x:c r="J457" s="6" t="n">
        <x:f>IF(OR(E457="CANCELED",E457="SUSPECTED_FRAUD",F457="Shipping canceled"),0,1)</x:f>
        <x:v>1</x:v>
      </x:c>
      <x:c r="K457" s="6" t="n">
        <x:f>IF(G457&gt;H457,1,0)</x:f>
        <x:v>1</x:v>
      </x:c>
      <x:c r="L457" s="6" t="n">
        <x:f>J457*K457</x:f>
        <x:v>1</x:v>
      </x:c>
    </x:row>
    <x:row r="458">
      <x:c r="A458" s="1" t="n">
        <x:v>3803</x:v>
      </x:c>
      <x:c r="B458" s="5" t="d">
        <x:v>2015-02-25T00:00:00.000Z</x:v>
      </x:c>
      <x:c r="C458" s="1" t="str">
        <x:v>Same Day</x:v>
      </x:c>
      <x:c r="D458" s="1" t="str">
        <x:v>LATAM</x:v>
      </x:c>
      <x:c r="E458" s="1" t="str">
        <x:v>PROCESSING</x:v>
      </x:c>
      <x:c r="F458" s="1" t="str">
        <x:v>Late delivery</x:v>
      </x:c>
      <x:c r="G458" s="6" t="n">
        <x:v>1</x:v>
      </x:c>
      <x:c r="H458" s="6" t="n">
        <x:v>0</x:v>
      </x:c>
      <x:c r="I458" s="6" t="n">
        <x:f>G458-H458</x:f>
        <x:v>1</x:v>
      </x:c>
      <x:c r="J458" s="6" t="n">
        <x:f>IF(OR(E458="CANCELED",E458="SUSPECTED_FRAUD",F458="Shipping canceled"),0,1)</x:f>
        <x:v>1</x:v>
      </x:c>
      <x:c r="K458" s="6" t="n">
        <x:f>IF(G458&gt;H458,1,0)</x:f>
        <x:v>1</x:v>
      </x:c>
      <x:c r="L458" s="6" t="n">
        <x:f>J458*K458</x:f>
        <x:v>1</x:v>
      </x:c>
    </x:row>
    <x:row r="459">
      <x:c r="A459" s="1" t="n">
        <x:v>3810</x:v>
      </x:c>
      <x:c r="B459" s="5" t="d">
        <x:v>2015-02-25T00:00:00.000Z</x:v>
      </x:c>
      <x:c r="C459" s="1" t="str">
        <x:v>Standard Class</x:v>
      </x:c>
      <x:c r="D459" s="1" t="str">
        <x:v>LATAM</x:v>
      </x:c>
      <x:c r="E459" s="1" t="str">
        <x:v>COMPLETE</x:v>
      </x:c>
      <x:c r="F459" s="1" t="str">
        <x:v>Late delivery</x:v>
      </x:c>
      <x:c r="G459" s="6" t="n">
        <x:v>6</x:v>
      </x:c>
      <x:c r="H459" s="6" t="n">
        <x:v>4</x:v>
      </x:c>
      <x:c r="I459" s="6" t="n">
        <x:f>G459-H459</x:f>
        <x:v>2</x:v>
      </x:c>
      <x:c r="J459" s="6" t="n">
        <x:f>IF(OR(E459="CANCELED",E459="SUSPECTED_FRAUD",F459="Shipping canceled"),0,1)</x:f>
        <x:v>1</x:v>
      </x:c>
      <x:c r="K459" s="6" t="n">
        <x:f>IF(G459&gt;H459,1,0)</x:f>
        <x:v>1</x:v>
      </x:c>
      <x:c r="L459" s="6" t="n">
        <x:f>J459*K459</x:f>
        <x:v>1</x:v>
      </x:c>
    </x:row>
    <x:row r="460">
      <x:c r="A460" s="1" t="n">
        <x:v>3814</x:v>
      </x:c>
      <x:c r="B460" s="5" t="d">
        <x:v>2015-02-25T00:00:00.000Z</x:v>
      </x:c>
      <x:c r="C460" s="1" t="str">
        <x:v>Standard Class</x:v>
      </x:c>
      <x:c r="D460" s="1" t="str">
        <x:v>LATAM</x:v>
      </x:c>
      <x:c r="E460" s="1" t="str">
        <x:v>COMPLETE</x:v>
      </x:c>
      <x:c r="F460" s="1" t="str">
        <x:v>Late delivery</x:v>
      </x:c>
      <x:c r="G460" s="6" t="n">
        <x:v>5</x:v>
      </x:c>
      <x:c r="H460" s="6" t="n">
        <x:v>4</x:v>
      </x:c>
      <x:c r="I460" s="6" t="n">
        <x:f>G460-H460</x:f>
        <x:v>1</x:v>
      </x:c>
      <x:c r="J460" s="6" t="n">
        <x:f>IF(OR(E460="CANCELED",E460="SUSPECTED_FRAUD",F460="Shipping canceled"),0,1)</x:f>
        <x:v>1</x:v>
      </x:c>
      <x:c r="K460" s="6" t="n">
        <x:f>IF(G460&gt;H460,1,0)</x:f>
        <x:v>1</x:v>
      </x:c>
      <x:c r="L460" s="6" t="n">
        <x:f>J460*K460</x:f>
        <x:v>1</x:v>
      </x:c>
    </x:row>
    <x:row r="461">
      <x:c r="A461" s="1" t="n">
        <x:v>3826</x:v>
      </x:c>
      <x:c r="B461" s="5" t="d">
        <x:v>2015-02-25T00:00:00.000Z</x:v>
      </x:c>
      <x:c r="C461" s="1" t="str">
        <x:v>Second Class</x:v>
      </x:c>
      <x:c r="D461" s="1" t="str">
        <x:v>LATAM</x:v>
      </x:c>
      <x:c r="E461" s="1" t="str">
        <x:v>COMPLETE</x:v>
      </x:c>
      <x:c r="F461" s="1" t="str">
        <x:v>Shipping on time</x:v>
      </x:c>
      <x:c r="G461" s="6" t="n">
        <x:v>2</x:v>
      </x:c>
      <x:c r="H461" s="6" t="n">
        <x:v>2</x:v>
      </x:c>
      <x:c r="I461" s="6" t="n">
        <x:f>G461-H461</x:f>
        <x:v>0</x:v>
      </x:c>
      <x:c r="J461" s="6" t="n">
        <x:f>IF(OR(E461="CANCELED",E461="SUSPECTED_FRAUD",F461="Shipping canceled"),0,1)</x:f>
        <x:v>1</x:v>
      </x:c>
      <x:c r="K461" s="6" t="n">
        <x:f>IF(G461&gt;H461,1,0)</x:f>
        <x:v>0</x:v>
      </x:c>
      <x:c r="L461" s="6" t="n">
        <x:f>J461*K461</x:f>
        <x:v>0</x:v>
      </x:c>
    </x:row>
    <x:row r="462">
      <x:c r="A462" s="1" t="n">
        <x:v>3828</x:v>
      </x:c>
      <x:c r="B462" s="5" t="d">
        <x:v>2015-02-25T00:00:00.000Z</x:v>
      </x:c>
      <x:c r="C462" s="1" t="str">
        <x:v>Standard Class</x:v>
      </x:c>
      <x:c r="D462" s="1" t="str">
        <x:v>LATAM</x:v>
      </x:c>
      <x:c r="E462" s="1" t="str">
        <x:v>PENDING</x:v>
      </x:c>
      <x:c r="F462" s="1" t="str">
        <x:v>Shipping on time</x:v>
      </x:c>
      <x:c r="G462" s="6" t="n">
        <x:v>4</x:v>
      </x:c>
      <x:c r="H462" s="6" t="n">
        <x:v>4</x:v>
      </x:c>
      <x:c r="I462" s="6" t="n">
        <x:f>G462-H462</x:f>
        <x:v>0</x:v>
      </x:c>
      <x:c r="J462" s="6" t="n">
        <x:f>IF(OR(E462="CANCELED",E462="SUSPECTED_FRAUD",F462="Shipping canceled"),0,1)</x:f>
        <x:v>1</x:v>
      </x:c>
      <x:c r="K462" s="6" t="n">
        <x:f>IF(G462&gt;H462,1,0)</x:f>
        <x:v>0</x:v>
      </x:c>
      <x:c r="L462" s="6" t="n">
        <x:f>J462*K462</x:f>
        <x:v>0</x:v>
      </x:c>
    </x:row>
    <x:row r="463">
      <x:c r="A463" s="1" t="n">
        <x:v>3833</x:v>
      </x:c>
      <x:c r="B463" s="5" t="d">
        <x:v>2015-02-25T00:00:00.000Z</x:v>
      </x:c>
      <x:c r="C463" s="1" t="str">
        <x:v>Standard Class</x:v>
      </x:c>
      <x:c r="D463" s="1" t="str">
        <x:v>LATAM</x:v>
      </x:c>
      <x:c r="E463" s="1" t="str">
        <x:v>PENDING_PAYMENT</x:v>
      </x:c>
      <x:c r="F463" s="1" t="str">
        <x:v>Shipping on time</x:v>
      </x:c>
      <x:c r="G463" s="6" t="n">
        <x:v>4</x:v>
      </x:c>
      <x:c r="H463" s="6" t="n">
        <x:v>4</x:v>
      </x:c>
      <x:c r="I463" s="6" t="n">
        <x:f>G463-H463</x:f>
        <x:v>0</x:v>
      </x:c>
      <x:c r="J463" s="6" t="n">
        <x:f>IF(OR(E463="CANCELED",E463="SUSPECTED_FRAUD",F463="Shipping canceled"),0,1)</x:f>
        <x:v>1</x:v>
      </x:c>
      <x:c r="K463" s="6" t="n">
        <x:f>IF(G463&gt;H463,1,0)</x:f>
        <x:v>0</x:v>
      </x:c>
      <x:c r="L463" s="6" t="n">
        <x:f>J463*K463</x:f>
        <x:v>0</x:v>
      </x:c>
    </x:row>
    <x:row r="464">
      <x:c r="A464" s="1" t="n">
        <x:v>3837</x:v>
      </x:c>
      <x:c r="B464" s="5" t="d">
        <x:v>2015-02-25T00:00:00.000Z</x:v>
      </x:c>
      <x:c r="C464" s="1" t="str">
        <x:v>Standard Class</x:v>
      </x:c>
      <x:c r="D464" s="1" t="str">
        <x:v>LATAM</x:v>
      </x:c>
      <x:c r="E464" s="1" t="str">
        <x:v>PENDING_PAYMENT</x:v>
      </x:c>
      <x:c r="F464" s="1" t="str">
        <x:v>Advance shipping</x:v>
      </x:c>
      <x:c r="G464" s="6" t="n">
        <x:v>3</x:v>
      </x:c>
      <x:c r="H464" s="6" t="n">
        <x:v>4</x:v>
      </x:c>
      <x:c r="I464" s="6" t="n">
        <x:f>G464-H464</x:f>
        <x:v>-1</x:v>
      </x:c>
      <x:c r="J464" s="6" t="n">
        <x:f>IF(OR(E464="CANCELED",E464="SUSPECTED_FRAUD",F464="Shipping canceled"),0,1)</x:f>
        <x:v>1</x:v>
      </x:c>
      <x:c r="K464" s="6" t="n">
        <x:f>IF(G464&gt;H464,1,0)</x:f>
        <x:v>0</x:v>
      </x:c>
      <x:c r="L464" s="6" t="n">
        <x:f>J464*K464</x:f>
        <x:v>0</x:v>
      </x:c>
    </x:row>
    <x:row r="465">
      <x:c r="A465" s="1" t="n">
        <x:v>3848</x:v>
      </x:c>
      <x:c r="B465" s="5" t="d">
        <x:v>2015-02-26T00:00:00.000Z</x:v>
      </x:c>
      <x:c r="C465" s="1" t="str">
        <x:v>Second Class</x:v>
      </x:c>
      <x:c r="D465" s="1" t="str">
        <x:v>LATAM</x:v>
      </x:c>
      <x:c r="E465" s="1" t="str">
        <x:v>COMPLETE</x:v>
      </x:c>
      <x:c r="F465" s="1" t="str">
        <x:v>Late delivery</x:v>
      </x:c>
      <x:c r="G465" s="6" t="n">
        <x:v>4</x:v>
      </x:c>
      <x:c r="H465" s="6" t="n">
        <x:v>2</x:v>
      </x:c>
      <x:c r="I465" s="6" t="n">
        <x:f>G465-H465</x:f>
        <x:v>2</x:v>
      </x:c>
      <x:c r="J465" s="6" t="n">
        <x:f>IF(OR(E465="CANCELED",E465="SUSPECTED_FRAUD",F465="Shipping canceled"),0,1)</x:f>
        <x:v>1</x:v>
      </x:c>
      <x:c r="K465" s="6" t="n">
        <x:f>IF(G465&gt;H465,1,0)</x:f>
        <x:v>1</x:v>
      </x:c>
      <x:c r="L465" s="6" t="n">
        <x:f>J465*K465</x:f>
        <x:v>1</x:v>
      </x:c>
    </x:row>
    <x:row r="466">
      <x:c r="A466" s="1" t="n">
        <x:v>3862</x:v>
      </x:c>
      <x:c r="B466" s="5" t="d">
        <x:v>2015-02-26T00:00:00.000Z</x:v>
      </x:c>
      <x:c r="C466" s="1" t="str">
        <x:v>Standard Class</x:v>
      </x:c>
      <x:c r="D466" s="1" t="str">
        <x:v>LATAM</x:v>
      </x:c>
      <x:c r="E466" s="1" t="str">
        <x:v>PENDING</x:v>
      </x:c>
      <x:c r="F466" s="1" t="str">
        <x:v>Advance shipping</x:v>
      </x:c>
      <x:c r="G466" s="6" t="n">
        <x:v>3</x:v>
      </x:c>
      <x:c r="H466" s="6" t="n">
        <x:v>4</x:v>
      </x:c>
      <x:c r="I466" s="6" t="n">
        <x:f>G466-H466</x:f>
        <x:v>-1</x:v>
      </x:c>
      <x:c r="J466" s="6" t="n">
        <x:f>IF(OR(E466="CANCELED",E466="SUSPECTED_FRAUD",F466="Shipping canceled"),0,1)</x:f>
        <x:v>1</x:v>
      </x:c>
      <x:c r="K466" s="6" t="n">
        <x:f>IF(G466&gt;H466,1,0)</x:f>
        <x:v>0</x:v>
      </x:c>
      <x:c r="L466" s="6" t="n">
        <x:f>J466*K466</x:f>
        <x:v>0</x:v>
      </x:c>
    </x:row>
    <x:row r="467">
      <x:c r="A467" s="1" t="n">
        <x:v>3874</x:v>
      </x:c>
      <x:c r="B467" s="5" t="d">
        <x:v>2015-02-26T00:00:00.000Z</x:v>
      </x:c>
      <x:c r="C467" s="1" t="str">
        <x:v>First Class</x:v>
      </x:c>
      <x:c r="D467" s="1" t="str">
        <x:v>LATAM</x:v>
      </x:c>
      <x:c r="E467" s="1" t="str">
        <x:v>CLOSED</x:v>
      </x:c>
      <x:c r="F467" s="1" t="str">
        <x:v>Late delivery</x:v>
      </x:c>
      <x:c r="G467" s="6" t="n">
        <x:v>2</x:v>
      </x:c>
      <x:c r="H467" s="6" t="n">
        <x:v>1</x:v>
      </x:c>
      <x:c r="I467" s="6" t="n">
        <x:f>G467-H467</x:f>
        <x:v>1</x:v>
      </x:c>
      <x:c r="J467" s="6" t="n">
        <x:f>IF(OR(E467="CANCELED",E467="SUSPECTED_FRAUD",F467="Shipping canceled"),0,1)</x:f>
        <x:v>1</x:v>
      </x:c>
      <x:c r="K467" s="6" t="n">
        <x:f>IF(G467&gt;H467,1,0)</x:f>
        <x:v>1</x:v>
      </x:c>
      <x:c r="L467" s="6" t="n">
        <x:f>J467*K467</x:f>
        <x:v>1</x:v>
      </x:c>
    </x:row>
    <x:row r="468">
      <x:c r="A468" s="1" t="n">
        <x:v>3878</x:v>
      </x:c>
      <x:c r="B468" s="5" t="d">
        <x:v>2015-02-26T00:00:00.000Z</x:v>
      </x:c>
      <x:c r="C468" s="1" t="str">
        <x:v>Standard Class</x:v>
      </x:c>
      <x:c r="D468" s="1" t="str">
        <x:v>LATAM</x:v>
      </x:c>
      <x:c r="E468" s="1" t="str">
        <x:v>PENDING_PAYMENT</x:v>
      </x:c>
      <x:c r="F468" s="1" t="str">
        <x:v>Shipping on time</x:v>
      </x:c>
      <x:c r="G468" s="6" t="n">
        <x:v>4</x:v>
      </x:c>
      <x:c r="H468" s="6" t="n">
        <x:v>4</x:v>
      </x:c>
      <x:c r="I468" s="6" t="n">
        <x:f>G468-H468</x:f>
        <x:v>0</x:v>
      </x:c>
      <x:c r="J468" s="6" t="n">
        <x:f>IF(OR(E468="CANCELED",E468="SUSPECTED_FRAUD",F468="Shipping canceled"),0,1)</x:f>
        <x:v>1</x:v>
      </x:c>
      <x:c r="K468" s="6" t="n">
        <x:f>IF(G468&gt;H468,1,0)</x:f>
        <x:v>0</x:v>
      </x:c>
      <x:c r="L468" s="6" t="n">
        <x:f>J468*K468</x:f>
        <x:v>0</x:v>
      </x:c>
    </x:row>
    <x:row r="469">
      <x:c r="A469" s="1" t="n">
        <x:v>3883</x:v>
      </x:c>
      <x:c r="B469" s="5" t="d">
        <x:v>2015-02-26T00:00:00.000Z</x:v>
      </x:c>
      <x:c r="C469" s="1" t="str">
        <x:v>Standard Class</x:v>
      </x:c>
      <x:c r="D469" s="1" t="str">
        <x:v>LATAM</x:v>
      </x:c>
      <x:c r="E469" s="1" t="str">
        <x:v>CLOSED</x:v>
      </x:c>
      <x:c r="F469" s="1" t="str">
        <x:v>Shipping on time</x:v>
      </x:c>
      <x:c r="G469" s="6" t="n">
        <x:v>4</x:v>
      </x:c>
      <x:c r="H469" s="6" t="n">
        <x:v>4</x:v>
      </x:c>
      <x:c r="I469" s="6" t="n">
        <x:f>G469-H469</x:f>
        <x:v>0</x:v>
      </x:c>
      <x:c r="J469" s="6" t="n">
        <x:f>IF(OR(E469="CANCELED",E469="SUSPECTED_FRAUD",F469="Shipping canceled"),0,1)</x:f>
        <x:v>1</x:v>
      </x:c>
      <x:c r="K469" s="6" t="n">
        <x:f>IF(G469&gt;H469,1,0)</x:f>
        <x:v>0</x:v>
      </x:c>
      <x:c r="L469" s="6" t="n">
        <x:f>J469*K469</x:f>
        <x:v>0</x:v>
      </x:c>
    </x:row>
    <x:row r="470">
      <x:c r="A470" s="1" t="n">
        <x:v>3889</x:v>
      </x:c>
      <x:c r="B470" s="5" t="d">
        <x:v>2015-02-26T00:00:00.000Z</x:v>
      </x:c>
      <x:c r="C470" s="1" t="str">
        <x:v>Standard Class</x:v>
      </x:c>
      <x:c r="D470" s="1" t="str">
        <x:v>LATAM</x:v>
      </x:c>
      <x:c r="E470" s="1" t="str">
        <x:v>COMPLETE</x:v>
      </x:c>
      <x:c r="F470" s="1" t="str">
        <x:v>Late delivery</x:v>
      </x:c>
      <x:c r="G470" s="6" t="n">
        <x:v>5</x:v>
      </x:c>
      <x:c r="H470" s="6" t="n">
        <x:v>4</x:v>
      </x:c>
      <x:c r="I470" s="6" t="n">
        <x:f>G470-H470</x:f>
        <x:v>1</x:v>
      </x:c>
      <x:c r="J470" s="6" t="n">
        <x:f>IF(OR(E470="CANCELED",E470="SUSPECTED_FRAUD",F470="Shipping canceled"),0,1)</x:f>
        <x:v>1</x:v>
      </x:c>
      <x:c r="K470" s="6" t="n">
        <x:f>IF(G470&gt;H470,1,0)</x:f>
        <x:v>1</x:v>
      </x:c>
      <x:c r="L470" s="6" t="n">
        <x:f>J470*K470</x:f>
        <x:v>1</x:v>
      </x:c>
    </x:row>
    <x:row r="471">
      <x:c r="A471" s="1" t="n">
        <x:v>3899</x:v>
      </x:c>
      <x:c r="B471" s="5" t="d">
        <x:v>2015-02-26T00:00:00.000Z</x:v>
      </x:c>
      <x:c r="C471" s="1" t="str">
        <x:v>Standard Class</x:v>
      </x:c>
      <x:c r="D471" s="1" t="str">
        <x:v>LATAM</x:v>
      </x:c>
      <x:c r="E471" s="1" t="str">
        <x:v>PENDING_PAYMENT</x:v>
      </x:c>
      <x:c r="F471" s="1" t="str">
        <x:v>Late delivery</x:v>
      </x:c>
      <x:c r="G471" s="6" t="n">
        <x:v>5</x:v>
      </x:c>
      <x:c r="H471" s="6" t="n">
        <x:v>4</x:v>
      </x:c>
      <x:c r="I471" s="6" t="n">
        <x:f>G471-H471</x:f>
        <x:v>1</x:v>
      </x:c>
      <x:c r="J471" s="6" t="n">
        <x:f>IF(OR(E471="CANCELED",E471="SUSPECTED_FRAUD",F471="Shipping canceled"),0,1)</x:f>
        <x:v>1</x:v>
      </x:c>
      <x:c r="K471" s="6" t="n">
        <x:f>IF(G471&gt;H471,1,0)</x:f>
        <x:v>1</x:v>
      </x:c>
      <x:c r="L471" s="6" t="n">
        <x:f>J471*K471</x:f>
        <x:v>1</x:v>
      </x:c>
    </x:row>
    <x:row r="472">
      <x:c r="A472" s="1" t="n">
        <x:v>3922</x:v>
      </x:c>
      <x:c r="B472" s="5" t="d">
        <x:v>2015-02-27T00:00:00.000Z</x:v>
      </x:c>
      <x:c r="C472" s="1" t="str">
        <x:v>Second Class</x:v>
      </x:c>
      <x:c r="D472" s="1" t="str">
        <x:v>LATAM</x:v>
      </x:c>
      <x:c r="E472" s="1" t="str">
        <x:v>COMPLETE</x:v>
      </x:c>
      <x:c r="F472" s="1" t="str">
        <x:v>Late delivery</x:v>
      </x:c>
      <x:c r="G472" s="6" t="n">
        <x:v>3</x:v>
      </x:c>
      <x:c r="H472" s="6" t="n">
        <x:v>2</x:v>
      </x:c>
      <x:c r="I472" s="6" t="n">
        <x:f>G472-H472</x:f>
        <x:v>1</x:v>
      </x:c>
      <x:c r="J472" s="6" t="n">
        <x:f>IF(OR(E472="CANCELED",E472="SUSPECTED_FRAUD",F472="Shipping canceled"),0,1)</x:f>
        <x:v>1</x:v>
      </x:c>
      <x:c r="K472" s="6" t="n">
        <x:f>IF(G472&gt;H472,1,0)</x:f>
        <x:v>1</x:v>
      </x:c>
      <x:c r="L472" s="6" t="n">
        <x:f>J472*K472</x:f>
        <x:v>1</x:v>
      </x:c>
    </x:row>
    <x:row r="473">
      <x:c r="A473" s="1" t="n">
        <x:v>3932</x:v>
      </x:c>
      <x:c r="B473" s="5" t="d">
        <x:v>2015-02-27T00:00:00.000Z</x:v>
      </x:c>
      <x:c r="C473" s="1" t="str">
        <x:v>Standard Class</x:v>
      </x:c>
      <x:c r="D473" s="1" t="str">
        <x:v>LATAM</x:v>
      </x:c>
      <x:c r="E473" s="1" t="str">
        <x:v>COMPLETE</x:v>
      </x:c>
      <x:c r="F473" s="1" t="str">
        <x:v>Advance shipping</x:v>
      </x:c>
      <x:c r="G473" s="6" t="n">
        <x:v>3</x:v>
      </x:c>
      <x:c r="H473" s="6" t="n">
        <x:v>4</x:v>
      </x:c>
      <x:c r="I473" s="6" t="n">
        <x:f>G473-H473</x:f>
        <x:v>-1</x:v>
      </x:c>
      <x:c r="J473" s="6" t="n">
        <x:f>IF(OR(E473="CANCELED",E473="SUSPECTED_FRAUD",F473="Shipping canceled"),0,1)</x:f>
        <x:v>1</x:v>
      </x:c>
      <x:c r="K473" s="6" t="n">
        <x:f>IF(G473&gt;H473,1,0)</x:f>
        <x:v>0</x:v>
      </x:c>
      <x:c r="L473" s="6" t="n">
        <x:f>J473*K473</x:f>
        <x:v>0</x:v>
      </x:c>
    </x:row>
    <x:row r="474">
      <x:c r="A474" s="1" t="n">
        <x:v>3950</x:v>
      </x:c>
      <x:c r="B474" s="5" t="d">
        <x:v>2015-02-27T00:00:00.000Z</x:v>
      </x:c>
      <x:c r="C474" s="1" t="str">
        <x:v>Standard Class</x:v>
      </x:c>
      <x:c r="D474" s="1" t="str">
        <x:v>LATAM</x:v>
      </x:c>
      <x:c r="E474" s="1" t="str">
        <x:v>COMPLETE</x:v>
      </x:c>
      <x:c r="F474" s="1" t="str">
        <x:v>Late delivery</x:v>
      </x:c>
      <x:c r="G474" s="6" t="n">
        <x:v>6</x:v>
      </x:c>
      <x:c r="H474" s="6" t="n">
        <x:v>4</x:v>
      </x:c>
      <x:c r="I474" s="6" t="n">
        <x:f>G474-H474</x:f>
        <x:v>2</x:v>
      </x:c>
      <x:c r="J474" s="6" t="n">
        <x:f>IF(OR(E474="CANCELED",E474="SUSPECTED_FRAUD",F474="Shipping canceled"),0,1)</x:f>
        <x:v>1</x:v>
      </x:c>
      <x:c r="K474" s="6" t="n">
        <x:f>IF(G474&gt;H474,1,0)</x:f>
        <x:v>1</x:v>
      </x:c>
      <x:c r="L474" s="6" t="n">
        <x:f>J474*K474</x:f>
        <x:v>1</x:v>
      </x:c>
    </x:row>
    <x:row r="475">
      <x:c r="A475" s="1" t="n">
        <x:v>3956</x:v>
      </x:c>
      <x:c r="B475" s="5" t="d">
        <x:v>2015-02-27T00:00:00.000Z</x:v>
      </x:c>
      <x:c r="C475" s="1" t="str">
        <x:v>Standard Class</x:v>
      </x:c>
      <x:c r="D475" s="1" t="str">
        <x:v>LATAM</x:v>
      </x:c>
      <x:c r="E475" s="1" t="str">
        <x:v>COMPLETE</x:v>
      </x:c>
      <x:c r="F475" s="1" t="str">
        <x:v>Advance shipping</x:v>
      </x:c>
      <x:c r="G475" s="6" t="n">
        <x:v>2</x:v>
      </x:c>
      <x:c r="H475" s="6" t="n">
        <x:v>4</x:v>
      </x:c>
      <x:c r="I475" s="6" t="n">
        <x:f>G475-H475</x:f>
        <x:v>-2</x:v>
      </x:c>
      <x:c r="J475" s="6" t="n">
        <x:f>IF(OR(E475="CANCELED",E475="SUSPECTED_FRAUD",F475="Shipping canceled"),0,1)</x:f>
        <x:v>1</x:v>
      </x:c>
      <x:c r="K475" s="6" t="n">
        <x:f>IF(G475&gt;H475,1,0)</x:f>
        <x:v>0</x:v>
      </x:c>
      <x:c r="L475" s="6" t="n">
        <x:f>J475*K475</x:f>
        <x:v>0</x:v>
      </x:c>
    </x:row>
    <x:row r="476">
      <x:c r="A476" s="1" t="n">
        <x:v>3962</x:v>
      </x:c>
      <x:c r="B476" s="5" t="d">
        <x:v>2015-02-27T00:00:00.000Z</x:v>
      </x:c>
      <x:c r="C476" s="1" t="str">
        <x:v>Standard Class</x:v>
      </x:c>
      <x:c r="D476" s="1" t="str">
        <x:v>LATAM</x:v>
      </x:c>
      <x:c r="E476" s="1" t="str">
        <x:v>COMPLETE</x:v>
      </x:c>
      <x:c r="F476" s="1" t="str">
        <x:v>Advance shipping</x:v>
      </x:c>
      <x:c r="G476" s="6" t="n">
        <x:v>3</x:v>
      </x:c>
      <x:c r="H476" s="6" t="n">
        <x:v>4</x:v>
      </x:c>
      <x:c r="I476" s="6" t="n">
        <x:f>G476-H476</x:f>
        <x:v>-1</x:v>
      </x:c>
      <x:c r="J476" s="6" t="n">
        <x:f>IF(OR(E476="CANCELED",E476="SUSPECTED_FRAUD",F476="Shipping canceled"),0,1)</x:f>
        <x:v>1</x:v>
      </x:c>
      <x:c r="K476" s="6" t="n">
        <x:f>IF(G476&gt;H476,1,0)</x:f>
        <x:v>0</x:v>
      </x:c>
      <x:c r="L476" s="6" t="n">
        <x:f>J476*K476</x:f>
        <x:v>0</x:v>
      </x:c>
    </x:row>
    <x:row r="477">
      <x:c r="A477" s="1" t="n">
        <x:v>3964</x:v>
      </x:c>
      <x:c r="B477" s="5" t="d">
        <x:v>2015-02-27T00:00:00.000Z</x:v>
      </x:c>
      <x:c r="C477" s="1" t="str">
        <x:v>Standard Class</x:v>
      </x:c>
      <x:c r="D477" s="1" t="str">
        <x:v>LATAM</x:v>
      </x:c>
      <x:c r="E477" s="1" t="str">
        <x:v>COMPLETE</x:v>
      </x:c>
      <x:c r="F477" s="1" t="str">
        <x:v>Late delivery</x:v>
      </x:c>
      <x:c r="G477" s="6" t="n">
        <x:v>5</x:v>
      </x:c>
      <x:c r="H477" s="6" t="n">
        <x:v>4</x:v>
      </x:c>
      <x:c r="I477" s="6" t="n">
        <x:f>G477-H477</x:f>
        <x:v>1</x:v>
      </x:c>
      <x:c r="J477" s="6" t="n">
        <x:f>IF(OR(E477="CANCELED",E477="SUSPECTED_FRAUD",F477="Shipping canceled"),0,1)</x:f>
        <x:v>1</x:v>
      </x:c>
      <x:c r="K477" s="6" t="n">
        <x:f>IF(G477&gt;H477,1,0)</x:f>
        <x:v>1</x:v>
      </x:c>
      <x:c r="L477" s="6" t="n">
        <x:f>J477*K477</x:f>
        <x:v>1</x:v>
      </x:c>
    </x:row>
    <x:row r="478">
      <x:c r="A478" s="1" t="n">
        <x:v>3971</x:v>
      </x:c>
      <x:c r="B478" s="5" t="d">
        <x:v>2015-02-27T00:00:00.000Z</x:v>
      </x:c>
      <x:c r="C478" s="1" t="str">
        <x:v>Second Class</x:v>
      </x:c>
      <x:c r="D478" s="1" t="str">
        <x:v>LATAM</x:v>
      </x:c>
      <x:c r="E478" s="1" t="str">
        <x:v>CLOSED</x:v>
      </x:c>
      <x:c r="F478" s="1" t="str">
        <x:v>Shipping on time</x:v>
      </x:c>
      <x:c r="G478" s="6" t="n">
        <x:v>2</x:v>
      </x:c>
      <x:c r="H478" s="6" t="n">
        <x:v>2</x:v>
      </x:c>
      <x:c r="I478" s="6" t="n">
        <x:f>G478-H478</x:f>
        <x:v>0</x:v>
      </x:c>
      <x:c r="J478" s="6" t="n">
        <x:f>IF(OR(E478="CANCELED",E478="SUSPECTED_FRAUD",F478="Shipping canceled"),0,1)</x:f>
        <x:v>1</x:v>
      </x:c>
      <x:c r="K478" s="6" t="n">
        <x:f>IF(G478&gt;H478,1,0)</x:f>
        <x:v>0</x:v>
      </x:c>
      <x:c r="L478" s="6" t="n">
        <x:f>J478*K478</x:f>
        <x:v>0</x:v>
      </x:c>
    </x:row>
    <x:row r="479">
      <x:c r="A479" s="1" t="n">
        <x:v>3975</x:v>
      </x:c>
      <x:c r="B479" s="5" t="d">
        <x:v>2015-02-28T00:00:00.000Z</x:v>
      </x:c>
      <x:c r="C479" s="1" t="str">
        <x:v>Second Class</x:v>
      </x:c>
      <x:c r="D479" s="1" t="str">
        <x:v>LATAM</x:v>
      </x:c>
      <x:c r="E479" s="1" t="str">
        <x:v>PENDING_PAYMENT</x:v>
      </x:c>
      <x:c r="F479" s="1" t="str">
        <x:v>Late delivery</x:v>
      </x:c>
      <x:c r="G479" s="6" t="n">
        <x:v>6</x:v>
      </x:c>
      <x:c r="H479" s="6" t="n">
        <x:v>2</x:v>
      </x:c>
      <x:c r="I479" s="6" t="n">
        <x:f>G479-H479</x:f>
        <x:v>4</x:v>
      </x:c>
      <x:c r="J479" s="6" t="n">
        <x:f>IF(OR(E479="CANCELED",E479="SUSPECTED_FRAUD",F479="Shipping canceled"),0,1)</x:f>
        <x:v>1</x:v>
      </x:c>
      <x:c r="K479" s="6" t="n">
        <x:f>IF(G479&gt;H479,1,0)</x:f>
        <x:v>1</x:v>
      </x:c>
      <x:c r="L479" s="6" t="n">
        <x:f>J479*K479</x:f>
        <x:v>1</x:v>
      </x:c>
    </x:row>
    <x:row r="480">
      <x:c r="A480" s="1" t="n">
        <x:v>3985</x:v>
      </x:c>
      <x:c r="B480" s="5" t="d">
        <x:v>2015-02-28T00:00:00.000Z</x:v>
      </x:c>
      <x:c r="C480" s="1" t="str">
        <x:v>Standard Class</x:v>
      </x:c>
      <x:c r="D480" s="1" t="str">
        <x:v>LATAM</x:v>
      </x:c>
      <x:c r="E480" s="1" t="str">
        <x:v>COMPLETE</x:v>
      </x:c>
      <x:c r="F480" s="1" t="str">
        <x:v>Late delivery</x:v>
      </x:c>
      <x:c r="G480" s="6" t="n">
        <x:v>6</x:v>
      </x:c>
      <x:c r="H480" s="6" t="n">
        <x:v>4</x:v>
      </x:c>
      <x:c r="I480" s="6" t="n">
        <x:f>G480-H480</x:f>
        <x:v>2</x:v>
      </x:c>
      <x:c r="J480" s="6" t="n">
        <x:f>IF(OR(E480="CANCELED",E480="SUSPECTED_FRAUD",F480="Shipping canceled"),0,1)</x:f>
        <x:v>1</x:v>
      </x:c>
      <x:c r="K480" s="6" t="n">
        <x:f>IF(G480&gt;H480,1,0)</x:f>
        <x:v>1</x:v>
      </x:c>
      <x:c r="L480" s="6" t="n">
        <x:f>J480*K480</x:f>
        <x:v>1</x:v>
      </x:c>
    </x:row>
    <x:row r="481">
      <x:c r="A481" s="1" t="n">
        <x:v>3987</x:v>
      </x:c>
      <x:c r="B481" s="5" t="d">
        <x:v>2015-02-28T00:00:00.000Z</x:v>
      </x:c>
      <x:c r="C481" s="1" t="str">
        <x:v>Second Class</x:v>
      </x:c>
      <x:c r="D481" s="1" t="str">
        <x:v>LATAM</x:v>
      </x:c>
      <x:c r="E481" s="1" t="str">
        <x:v>PENDING_PAYMENT</x:v>
      </x:c>
      <x:c r="F481" s="1" t="str">
        <x:v>Late delivery</x:v>
      </x:c>
      <x:c r="G481" s="6" t="n">
        <x:v>3</x:v>
      </x:c>
      <x:c r="H481" s="6" t="n">
        <x:v>2</x:v>
      </x:c>
      <x:c r="I481" s="6" t="n">
        <x:f>G481-H481</x:f>
        <x:v>1</x:v>
      </x:c>
      <x:c r="J481" s="6" t="n">
        <x:f>IF(OR(E481="CANCELED",E481="SUSPECTED_FRAUD",F481="Shipping canceled"),0,1)</x:f>
        <x:v>1</x:v>
      </x:c>
      <x:c r="K481" s="6" t="n">
        <x:f>IF(G481&gt;H481,1,0)</x:f>
        <x:v>1</x:v>
      </x:c>
      <x:c r="L481" s="6" t="n">
        <x:f>J481*K481</x:f>
        <x:v>1</x:v>
      </x:c>
    </x:row>
    <x:row r="482">
      <x:c r="A482" s="1" t="n">
        <x:v>3997</x:v>
      </x:c>
      <x:c r="B482" s="5" t="d">
        <x:v>2015-02-28T00:00:00.000Z</x:v>
      </x:c>
      <x:c r="C482" s="1" t="str">
        <x:v>Standard Class</x:v>
      </x:c>
      <x:c r="D482" s="1" t="str">
        <x:v>LATAM</x:v>
      </x:c>
      <x:c r="E482" s="1" t="str">
        <x:v>COMPLETE</x:v>
      </x:c>
      <x:c r="F482" s="1" t="str">
        <x:v>Advance shipping</x:v>
      </x:c>
      <x:c r="G482" s="6" t="n">
        <x:v>3</x:v>
      </x:c>
      <x:c r="H482" s="6" t="n">
        <x:v>4</x:v>
      </x:c>
      <x:c r="I482" s="6" t="n">
        <x:f>G482-H482</x:f>
        <x:v>-1</x:v>
      </x:c>
      <x:c r="J482" s="6" t="n">
        <x:f>IF(OR(E482="CANCELED",E482="SUSPECTED_FRAUD",F482="Shipping canceled"),0,1)</x:f>
        <x:v>1</x:v>
      </x:c>
      <x:c r="K482" s="6" t="n">
        <x:f>IF(G482&gt;H482,1,0)</x:f>
        <x:v>0</x:v>
      </x:c>
      <x:c r="L482" s="6" t="n">
        <x:f>J482*K482</x:f>
        <x:v>0</x:v>
      </x:c>
    </x:row>
    <x:row r="483">
      <x:c r="A483" s="1" t="n">
        <x:v>3999</x:v>
      </x:c>
      <x:c r="B483" s="5" t="d">
        <x:v>2015-02-28T00:00:00.000Z</x:v>
      </x:c>
      <x:c r="C483" s="1" t="str">
        <x:v>Standard Class</x:v>
      </x:c>
      <x:c r="D483" s="1" t="str">
        <x:v>LATAM</x:v>
      </x:c>
      <x:c r="E483" s="1" t="str">
        <x:v>COMPLETE</x:v>
      </x:c>
      <x:c r="F483" s="1" t="str">
        <x:v>Late delivery</x:v>
      </x:c>
      <x:c r="G483" s="6" t="n">
        <x:v>5</x:v>
      </x:c>
      <x:c r="H483" s="6" t="n">
        <x:v>4</x:v>
      </x:c>
      <x:c r="I483" s="6" t="n">
        <x:f>G483-H483</x:f>
        <x:v>1</x:v>
      </x:c>
      <x:c r="J483" s="6" t="n">
        <x:f>IF(OR(E483="CANCELED",E483="SUSPECTED_FRAUD",F483="Shipping canceled"),0,1)</x:f>
        <x:v>1</x:v>
      </x:c>
      <x:c r="K483" s="6" t="n">
        <x:f>IF(G483&gt;H483,1,0)</x:f>
        <x:v>1</x:v>
      </x:c>
      <x:c r="L483" s="6" t="n">
        <x:f>J483*K483</x:f>
        <x:v>1</x:v>
      </x:c>
    </x:row>
    <x:row r="484">
      <x:c r="A484" s="1" t="n">
        <x:v>4009</x:v>
      </x:c>
      <x:c r="B484" s="5" t="d">
        <x:v>2015-02-28T00:00:00.000Z</x:v>
      </x:c>
      <x:c r="C484" s="1" t="str">
        <x:v>First Class</x:v>
      </x:c>
      <x:c r="D484" s="1" t="str">
        <x:v>LATAM</x:v>
      </x:c>
      <x:c r="E484" s="1" t="str">
        <x:v>CLOSED</x:v>
      </x:c>
      <x:c r="F484" s="1" t="str">
        <x:v>Late delivery</x:v>
      </x:c>
      <x:c r="G484" s="6" t="n">
        <x:v>2</x:v>
      </x:c>
      <x:c r="H484" s="6" t="n">
        <x:v>1</x:v>
      </x:c>
      <x:c r="I484" s="6" t="n">
        <x:f>G484-H484</x:f>
        <x:v>1</x:v>
      </x:c>
      <x:c r="J484" s="6" t="n">
        <x:f>IF(OR(E484="CANCELED",E484="SUSPECTED_FRAUD",F484="Shipping canceled"),0,1)</x:f>
        <x:v>1</x:v>
      </x:c>
      <x:c r="K484" s="6" t="n">
        <x:f>IF(G484&gt;H484,1,0)</x:f>
        <x:v>1</x:v>
      </x:c>
      <x:c r="L484" s="6" t="n">
        <x:f>J484*K484</x:f>
        <x:v>1</x:v>
      </x:c>
    </x:row>
    <x:row r="485">
      <x:c r="A485" s="1" t="n">
        <x:v>4026</x:v>
      </x:c>
      <x:c r="B485" s="5" t="d">
        <x:v>2015-02-28T00:00:00.000Z</x:v>
      </x:c>
      <x:c r="C485" s="1" t="str">
        <x:v>Second Class</x:v>
      </x:c>
      <x:c r="D485" s="1" t="str">
        <x:v>LATAM</x:v>
      </x:c>
      <x:c r="E485" s="1" t="str">
        <x:v>COMPLETE</x:v>
      </x:c>
      <x:c r="F485" s="1" t="str">
        <x:v>Shipping on time</x:v>
      </x:c>
      <x:c r="G485" s="6" t="n">
        <x:v>2</x:v>
      </x:c>
      <x:c r="H485" s="6" t="n">
        <x:v>2</x:v>
      </x:c>
      <x:c r="I485" s="6" t="n">
        <x:f>G485-H485</x:f>
        <x:v>0</x:v>
      </x:c>
      <x:c r="J485" s="6" t="n">
        <x:f>IF(OR(E485="CANCELED",E485="SUSPECTED_FRAUD",F485="Shipping canceled"),0,1)</x:f>
        <x:v>1</x:v>
      </x:c>
      <x:c r="K485" s="6" t="n">
        <x:f>IF(G485&gt;H485,1,0)</x:f>
        <x:v>0</x:v>
      </x:c>
      <x:c r="L485" s="6" t="n">
        <x:f>J485*K485</x:f>
        <x:v>0</x:v>
      </x:c>
    </x:row>
    <x:row r="486">
      <x:c r="A486" s="1" t="n">
        <x:v>4035</x:v>
      </x:c>
      <x:c r="B486" s="5" t="d">
        <x:v>2015-02-28T00:00:00.000Z</x:v>
      </x:c>
      <x:c r="C486" s="1" t="str">
        <x:v>Standard Class</x:v>
      </x:c>
      <x:c r="D486" s="1" t="str">
        <x:v>LATAM</x:v>
      </x:c>
      <x:c r="E486" s="1" t="str">
        <x:v>PENDING_PAYMENT</x:v>
      </x:c>
      <x:c r="F486" s="1" t="str">
        <x:v>Late delivery</x:v>
      </x:c>
      <x:c r="G486" s="6" t="n">
        <x:v>6</x:v>
      </x:c>
      <x:c r="H486" s="6" t="n">
        <x:v>4</x:v>
      </x:c>
      <x:c r="I486" s="6" t="n">
        <x:f>G486-H486</x:f>
        <x:v>2</x:v>
      </x:c>
      <x:c r="J486" s="6" t="n">
        <x:f>IF(OR(E486="CANCELED",E486="SUSPECTED_FRAUD",F486="Shipping canceled"),0,1)</x:f>
        <x:v>1</x:v>
      </x:c>
      <x:c r="K486" s="6" t="n">
        <x:f>IF(G486&gt;H486,1,0)</x:f>
        <x:v>1</x:v>
      </x:c>
      <x:c r="L486" s="6" t="n">
        <x:f>J486*K486</x:f>
        <x:v>1</x:v>
      </x:c>
    </x:row>
    <x:row r="487">
      <x:c r="A487" s="1" t="n">
        <x:v>4054</x:v>
      </x:c>
      <x:c r="B487" s="5" t="d">
        <x:v>2015-03-01T00:00:00.000Z</x:v>
      </x:c>
      <x:c r="C487" s="1" t="str">
        <x:v>Standard Class</x:v>
      </x:c>
      <x:c r="D487" s="1" t="str">
        <x:v>LATAM</x:v>
      </x:c>
      <x:c r="E487" s="1" t="str">
        <x:v>COMPLETE</x:v>
      </x:c>
      <x:c r="F487" s="1" t="str">
        <x:v>Late delivery</x:v>
      </x:c>
      <x:c r="G487" s="6" t="n">
        <x:v>5</x:v>
      </x:c>
      <x:c r="H487" s="6" t="n">
        <x:v>4</x:v>
      </x:c>
      <x:c r="I487" s="6" t="n">
        <x:f>G487-H487</x:f>
        <x:v>1</x:v>
      </x:c>
      <x:c r="J487" s="6" t="n">
        <x:f>IF(OR(E487="CANCELED",E487="SUSPECTED_FRAUD",F487="Shipping canceled"),0,1)</x:f>
        <x:v>1</x:v>
      </x:c>
      <x:c r="K487" s="6" t="n">
        <x:f>IF(G487&gt;H487,1,0)</x:f>
        <x:v>1</x:v>
      </x:c>
      <x:c r="L487" s="6" t="n">
        <x:f>J487*K487</x:f>
        <x:v>1</x:v>
      </x:c>
    </x:row>
    <x:row r="488">
      <x:c r="A488" s="1" t="n">
        <x:v>4072</x:v>
      </x:c>
      <x:c r="B488" s="5" t="d">
        <x:v>2015-03-01T00:00:00.000Z</x:v>
      </x:c>
      <x:c r="C488" s="1" t="str">
        <x:v>Standard Class</x:v>
      </x:c>
      <x:c r="D488" s="1" t="str">
        <x:v>LATAM</x:v>
      </x:c>
      <x:c r="E488" s="1" t="str">
        <x:v>COMPLETE</x:v>
      </x:c>
      <x:c r="F488" s="1" t="str">
        <x:v>Advance shipping</x:v>
      </x:c>
      <x:c r="G488" s="6" t="n">
        <x:v>3</x:v>
      </x:c>
      <x:c r="H488" s="6" t="n">
        <x:v>4</x:v>
      </x:c>
      <x:c r="I488" s="6" t="n">
        <x:f>G488-H488</x:f>
        <x:v>-1</x:v>
      </x:c>
      <x:c r="J488" s="6" t="n">
        <x:f>IF(OR(E488="CANCELED",E488="SUSPECTED_FRAUD",F488="Shipping canceled"),0,1)</x:f>
        <x:v>1</x:v>
      </x:c>
      <x:c r="K488" s="6" t="n">
        <x:f>IF(G488&gt;H488,1,0)</x:f>
        <x:v>0</x:v>
      </x:c>
      <x:c r="L488" s="6" t="n">
        <x:f>J488*K488</x:f>
        <x:v>0</x:v>
      </x:c>
    </x:row>
    <x:row r="489">
      <x:c r="A489" s="1" t="n">
        <x:v>4089</x:v>
      </x:c>
      <x:c r="B489" s="5" t="d">
        <x:v>2015-03-01T00:00:00.000Z</x:v>
      </x:c>
      <x:c r="C489" s="1" t="str">
        <x:v>Standard Class</x:v>
      </x:c>
      <x:c r="D489" s="1" t="str">
        <x:v>LATAM</x:v>
      </x:c>
      <x:c r="E489" s="1" t="str">
        <x:v>COMPLETE</x:v>
      </x:c>
      <x:c r="F489" s="1" t="str">
        <x:v>Late delivery</x:v>
      </x:c>
      <x:c r="G489" s="6" t="n">
        <x:v>5</x:v>
      </x:c>
      <x:c r="H489" s="6" t="n">
        <x:v>4</x:v>
      </x:c>
      <x:c r="I489" s="6" t="n">
        <x:f>G489-H489</x:f>
        <x:v>1</x:v>
      </x:c>
      <x:c r="J489" s="6" t="n">
        <x:f>IF(OR(E489="CANCELED",E489="SUSPECTED_FRAUD",F489="Shipping canceled"),0,1)</x:f>
        <x:v>1</x:v>
      </x:c>
      <x:c r="K489" s="6" t="n">
        <x:f>IF(G489&gt;H489,1,0)</x:f>
        <x:v>1</x:v>
      </x:c>
      <x:c r="L489" s="6" t="n">
        <x:f>J489*K489</x:f>
        <x:v>1</x:v>
      </x:c>
    </x:row>
    <x:row r="490">
      <x:c r="A490" s="1" t="n">
        <x:v>4102</x:v>
      </x:c>
      <x:c r="B490" s="5" t="d">
        <x:v>2015-03-01T00:00:00.000Z</x:v>
      </x:c>
      <x:c r="C490" s="1" t="str">
        <x:v>Standard Class</x:v>
      </x:c>
      <x:c r="D490" s="1" t="str">
        <x:v>LATAM</x:v>
      </x:c>
      <x:c r="E490" s="1" t="str">
        <x:v>COMPLETE</x:v>
      </x:c>
      <x:c r="F490" s="1" t="str">
        <x:v>Advance shipping</x:v>
      </x:c>
      <x:c r="G490" s="6" t="n">
        <x:v>3</x:v>
      </x:c>
      <x:c r="H490" s="6" t="n">
        <x:v>4</x:v>
      </x:c>
      <x:c r="I490" s="6" t="n">
        <x:f>G490-H490</x:f>
        <x:v>-1</x:v>
      </x:c>
      <x:c r="J490" s="6" t="n">
        <x:f>IF(OR(E490="CANCELED",E490="SUSPECTED_FRAUD",F490="Shipping canceled"),0,1)</x:f>
        <x:v>1</x:v>
      </x:c>
      <x:c r="K490" s="6" t="n">
        <x:f>IF(G490&gt;H490,1,0)</x:f>
        <x:v>0</x:v>
      </x:c>
      <x:c r="L490" s="6" t="n">
        <x:f>J490*K490</x:f>
        <x:v>0</x:v>
      </x:c>
    </x:row>
    <x:row r="491">
      <x:c r="A491" s="1" t="n">
        <x:v>4103</x:v>
      </x:c>
      <x:c r="B491" s="5" t="d">
        <x:v>2015-03-01T00:00:00.000Z</x:v>
      </x:c>
      <x:c r="C491" s="1" t="str">
        <x:v>Standard Class</x:v>
      </x:c>
      <x:c r="D491" s="1" t="str">
        <x:v>LATAM</x:v>
      </x:c>
      <x:c r="E491" s="1" t="str">
        <x:v>PROCESSING</x:v>
      </x:c>
      <x:c r="F491" s="1" t="str">
        <x:v>Shipping on time</x:v>
      </x:c>
      <x:c r="G491" s="6" t="n">
        <x:v>4</x:v>
      </x:c>
      <x:c r="H491" s="6" t="n">
        <x:v>4</x:v>
      </x:c>
      <x:c r="I491" s="6" t="n">
        <x:f>G491-H491</x:f>
        <x:v>0</x:v>
      </x:c>
      <x:c r="J491" s="6" t="n">
        <x:f>IF(OR(E491="CANCELED",E491="SUSPECTED_FRAUD",F491="Shipping canceled"),0,1)</x:f>
        <x:v>1</x:v>
      </x:c>
      <x:c r="K491" s="6" t="n">
        <x:f>IF(G491&gt;H491,1,0)</x:f>
        <x:v>0</x:v>
      </x:c>
      <x:c r="L491" s="6" t="n">
        <x:f>J491*K491</x:f>
        <x:v>0</x:v>
      </x:c>
    </x:row>
    <x:row r="492">
      <x:c r="A492" s="1" t="n">
        <x:v>4126</x:v>
      </x:c>
      <x:c r="B492" s="5" t="d">
        <x:v>2015-03-02T00:00:00.000Z</x:v>
      </x:c>
      <x:c r="C492" s="1" t="str">
        <x:v>Second Class</x:v>
      </x:c>
      <x:c r="D492" s="1" t="str">
        <x:v>LATAM</x:v>
      </x:c>
      <x:c r="E492" s="1" t="str">
        <x:v>COMPLETE</x:v>
      </x:c>
      <x:c r="F492" s="1" t="str">
        <x:v>Shipping on time</x:v>
      </x:c>
      <x:c r="G492" s="6" t="n">
        <x:v>2</x:v>
      </x:c>
      <x:c r="H492" s="6" t="n">
        <x:v>2</x:v>
      </x:c>
      <x:c r="I492" s="6" t="n">
        <x:f>G492-H492</x:f>
        <x:v>0</x:v>
      </x:c>
      <x:c r="J492" s="6" t="n">
        <x:f>IF(OR(E492="CANCELED",E492="SUSPECTED_FRAUD",F492="Shipping canceled"),0,1)</x:f>
        <x:v>1</x:v>
      </x:c>
      <x:c r="K492" s="6" t="n">
        <x:f>IF(G492&gt;H492,1,0)</x:f>
        <x:v>0</x:v>
      </x:c>
      <x:c r="L492" s="6" t="n">
        <x:f>J492*K492</x:f>
        <x:v>0</x:v>
      </x:c>
    </x:row>
    <x:row r="493">
      <x:c r="A493" s="1" t="n">
        <x:v>4129</x:v>
      </x:c>
      <x:c r="B493" s="5" t="d">
        <x:v>2015-03-02T00:00:00.000Z</x:v>
      </x:c>
      <x:c r="C493" s="1" t="str">
        <x:v>First Class</x:v>
      </x:c>
      <x:c r="D493" s="1" t="str">
        <x:v>LATAM</x:v>
      </x:c>
      <x:c r="E493" s="1" t="str">
        <x:v>CLOSED</x:v>
      </x:c>
      <x:c r="F493" s="1" t="str">
        <x:v>Late delivery</x:v>
      </x:c>
      <x:c r="G493" s="6" t="n">
        <x:v>2</x:v>
      </x:c>
      <x:c r="H493" s="6" t="n">
        <x:v>1</x:v>
      </x:c>
      <x:c r="I493" s="6" t="n">
        <x:f>G493-H493</x:f>
        <x:v>1</x:v>
      </x:c>
      <x:c r="J493" s="6" t="n">
        <x:f>IF(OR(E493="CANCELED",E493="SUSPECTED_FRAUD",F493="Shipping canceled"),0,1)</x:f>
        <x:v>1</x:v>
      </x:c>
      <x:c r="K493" s="6" t="n">
        <x:f>IF(G493&gt;H493,1,0)</x:f>
        <x:v>1</x:v>
      </x:c>
      <x:c r="L493" s="6" t="n">
        <x:f>J493*K493</x:f>
        <x:v>1</x:v>
      </x:c>
    </x:row>
    <x:row r="494">
      <x:c r="A494" s="1" t="n">
        <x:v>4135</x:v>
      </x:c>
      <x:c r="B494" s="5" t="d">
        <x:v>2015-03-02T00:00:00.000Z</x:v>
      </x:c>
      <x:c r="C494" s="1" t="str">
        <x:v>Second Class</x:v>
      </x:c>
      <x:c r="D494" s="1" t="str">
        <x:v>LATAM</x:v>
      </x:c>
      <x:c r="E494" s="1" t="str">
        <x:v>PENDING_PAYMENT</x:v>
      </x:c>
      <x:c r="F494" s="1" t="str">
        <x:v>Late delivery</x:v>
      </x:c>
      <x:c r="G494" s="6" t="n">
        <x:v>6</x:v>
      </x:c>
      <x:c r="H494" s="6" t="n">
        <x:v>2</x:v>
      </x:c>
      <x:c r="I494" s="6" t="n">
        <x:f>G494-H494</x:f>
        <x:v>4</x:v>
      </x:c>
      <x:c r="J494" s="6" t="n">
        <x:f>IF(OR(E494="CANCELED",E494="SUSPECTED_FRAUD",F494="Shipping canceled"),0,1)</x:f>
        <x:v>1</x:v>
      </x:c>
      <x:c r="K494" s="6" t="n">
        <x:f>IF(G494&gt;H494,1,0)</x:f>
        <x:v>1</x:v>
      </x:c>
      <x:c r="L494" s="6" t="n">
        <x:f>J494*K494</x:f>
        <x:v>1</x:v>
      </x:c>
    </x:row>
    <x:row r="495">
      <x:c r="A495" s="1" t="n">
        <x:v>4139</x:v>
      </x:c>
      <x:c r="B495" s="5" t="d">
        <x:v>2015-03-02T00:00:00.000Z</x:v>
      </x:c>
      <x:c r="C495" s="1" t="str">
        <x:v>Standard Class</x:v>
      </x:c>
      <x:c r="D495" s="1" t="str">
        <x:v>LATAM</x:v>
      </x:c>
      <x:c r="E495" s="1" t="str">
        <x:v>COMPLETE</x:v>
      </x:c>
      <x:c r="F495" s="1" t="str">
        <x:v>Late delivery</x:v>
      </x:c>
      <x:c r="G495" s="6" t="n">
        <x:v>5</x:v>
      </x:c>
      <x:c r="H495" s="6" t="n">
        <x:v>4</x:v>
      </x:c>
      <x:c r="I495" s="6" t="n">
        <x:f>G495-H495</x:f>
        <x:v>1</x:v>
      </x:c>
      <x:c r="J495" s="6" t="n">
        <x:f>IF(OR(E495="CANCELED",E495="SUSPECTED_FRAUD",F495="Shipping canceled"),0,1)</x:f>
        <x:v>1</x:v>
      </x:c>
      <x:c r="K495" s="6" t="n">
        <x:f>IF(G495&gt;H495,1,0)</x:f>
        <x:v>1</x:v>
      </x:c>
      <x:c r="L495" s="6" t="n">
        <x:f>J495*K495</x:f>
        <x:v>1</x:v>
      </x:c>
    </x:row>
    <x:row r="496">
      <x:c r="A496" s="1" t="n">
        <x:v>4141</x:v>
      </x:c>
      <x:c r="B496" s="5" t="d">
        <x:v>2015-03-02T00:00:00.000Z</x:v>
      </x:c>
      <x:c r="C496" s="1" t="str">
        <x:v>Standard Class</x:v>
      </x:c>
      <x:c r="D496" s="1" t="str">
        <x:v>LATAM</x:v>
      </x:c>
      <x:c r="E496" s="1" t="str">
        <x:v>PROCESSING</x:v>
      </x:c>
      <x:c r="F496" s="1" t="str">
        <x:v>Advance shipping</x:v>
      </x:c>
      <x:c r="G496" s="6" t="n">
        <x:v>2</x:v>
      </x:c>
      <x:c r="H496" s="6" t="n">
        <x:v>4</x:v>
      </x:c>
      <x:c r="I496" s="6" t="n">
        <x:f>G496-H496</x:f>
        <x:v>-2</x:v>
      </x:c>
      <x:c r="J496" s="6" t="n">
        <x:f>IF(OR(E496="CANCELED",E496="SUSPECTED_FRAUD",F496="Shipping canceled"),0,1)</x:f>
        <x:v>1</x:v>
      </x:c>
      <x:c r="K496" s="6" t="n">
        <x:f>IF(G496&gt;H496,1,0)</x:f>
        <x:v>0</x:v>
      </x:c>
      <x:c r="L496" s="6" t="n">
        <x:f>J496*K496</x:f>
        <x:v>0</x:v>
      </x:c>
    </x:row>
    <x:row r="497">
      <x:c r="A497" s="1" t="n">
        <x:v>4142</x:v>
      </x:c>
      <x:c r="B497" s="5" t="d">
        <x:v>2015-03-02T00:00:00.000Z</x:v>
      </x:c>
      <x:c r="C497" s="1" t="str">
        <x:v>Standard Class</x:v>
      </x:c>
      <x:c r="D497" s="1" t="str">
        <x:v>LATAM</x:v>
      </x:c>
      <x:c r="E497" s="1" t="str">
        <x:v>COMPLETE</x:v>
      </x:c>
      <x:c r="F497" s="1" t="str">
        <x:v>Advance shipping</x:v>
      </x:c>
      <x:c r="G497" s="6" t="n">
        <x:v>3</x:v>
      </x:c>
      <x:c r="H497" s="6" t="n">
        <x:v>4</x:v>
      </x:c>
      <x:c r="I497" s="6" t="n">
        <x:f>G497-H497</x:f>
        <x:v>-1</x:v>
      </x:c>
      <x:c r="J497" s="6" t="n">
        <x:f>IF(OR(E497="CANCELED",E497="SUSPECTED_FRAUD",F497="Shipping canceled"),0,1)</x:f>
        <x:v>1</x:v>
      </x:c>
      <x:c r="K497" s="6" t="n">
        <x:f>IF(G497&gt;H497,1,0)</x:f>
        <x:v>0</x:v>
      </x:c>
      <x:c r="L497" s="6" t="n">
        <x:f>J497*K497</x:f>
        <x:v>0</x:v>
      </x:c>
    </x:row>
    <x:row r="498">
      <x:c r="A498" s="1" t="n">
        <x:v>4143</x:v>
      </x:c>
      <x:c r="B498" s="5" t="d">
        <x:v>2015-03-02T00:00:00.000Z</x:v>
      </x:c>
      <x:c r="C498" s="1" t="str">
        <x:v>Standard Class</x:v>
      </x:c>
      <x:c r="D498" s="1" t="str">
        <x:v>LATAM</x:v>
      </x:c>
      <x:c r="E498" s="1" t="str">
        <x:v>COMPLETE</x:v>
      </x:c>
      <x:c r="F498" s="1" t="str">
        <x:v>Shipping on time</x:v>
      </x:c>
      <x:c r="G498" s="6" t="n">
        <x:v>4</x:v>
      </x:c>
      <x:c r="H498" s="6" t="n">
        <x:v>4</x:v>
      </x:c>
      <x:c r="I498" s="6" t="n">
        <x:f>G498-H498</x:f>
        <x:v>0</x:v>
      </x:c>
      <x:c r="J498" s="6" t="n">
        <x:f>IF(OR(E498="CANCELED",E498="SUSPECTED_FRAUD",F498="Shipping canceled"),0,1)</x:f>
        <x:v>1</x:v>
      </x:c>
      <x:c r="K498" s="6" t="n">
        <x:f>IF(G498&gt;H498,1,0)</x:f>
        <x:v>0</x:v>
      </x:c>
      <x:c r="L498" s="6" t="n">
        <x:f>J498*K498</x:f>
        <x:v>0</x:v>
      </x:c>
    </x:row>
    <x:row r="499">
      <x:c r="A499" s="1" t="n">
        <x:v>4156</x:v>
      </x:c>
      <x:c r="B499" s="5" t="d">
        <x:v>2015-03-02T00:00:00.000Z</x:v>
      </x:c>
      <x:c r="C499" s="1" t="str">
        <x:v>Standard Class</x:v>
      </x:c>
      <x:c r="D499" s="1" t="str">
        <x:v>LATAM</x:v>
      </x:c>
      <x:c r="E499" s="1" t="str">
        <x:v>PROCESSING</x:v>
      </x:c>
      <x:c r="F499" s="1" t="str">
        <x:v>Advance shipping</x:v>
      </x:c>
      <x:c r="G499" s="6" t="n">
        <x:v>2</x:v>
      </x:c>
      <x:c r="H499" s="6" t="n">
        <x:v>4</x:v>
      </x:c>
      <x:c r="I499" s="6" t="n">
        <x:f>G499-H499</x:f>
        <x:v>-2</x:v>
      </x:c>
      <x:c r="J499" s="6" t="n">
        <x:f>IF(OR(E499="CANCELED",E499="SUSPECTED_FRAUD",F499="Shipping canceled"),0,1)</x:f>
        <x:v>1</x:v>
      </x:c>
      <x:c r="K499" s="6" t="n">
        <x:f>IF(G499&gt;H499,1,0)</x:f>
        <x:v>0</x:v>
      </x:c>
      <x:c r="L499" s="6" t="n">
        <x:f>J499*K499</x:f>
        <x:v>0</x:v>
      </x:c>
    </x:row>
    <x:row r="500">
      <x:c r="A500" s="1" t="n">
        <x:v>4164</x:v>
      </x:c>
      <x:c r="B500" s="5" t="d">
        <x:v>2015-03-02T00:00:00.000Z</x:v>
      </x:c>
      <x:c r="C500" s="1" t="str">
        <x:v>Same Day</x:v>
      </x:c>
      <x:c r="D500" s="1" t="str">
        <x:v>LATAM</x:v>
      </x:c>
      <x:c r="E500" s="1" t="str">
        <x:v>PROCESSING</x:v>
      </x:c>
      <x:c r="F500" s="1" t="str">
        <x:v>Late delivery</x:v>
      </x:c>
      <x:c r="G500" s="6" t="n">
        <x:v>1</x:v>
      </x:c>
      <x:c r="H500" s="6" t="n">
        <x:v>0</x:v>
      </x:c>
      <x:c r="I500" s="6" t="n">
        <x:f>G500-H500</x:f>
        <x:v>1</x:v>
      </x:c>
      <x:c r="J500" s="6" t="n">
        <x:f>IF(OR(E500="CANCELED",E500="SUSPECTED_FRAUD",F500="Shipping canceled"),0,1)</x:f>
        <x:v>1</x:v>
      </x:c>
      <x:c r="K500" s="6" t="n">
        <x:f>IF(G500&gt;H500,1,0)</x:f>
        <x:v>1</x:v>
      </x:c>
      <x:c r="L500" s="6" t="n">
        <x:f>J500*K500</x:f>
        <x:v>1</x:v>
      </x:c>
    </x:row>
    <x:row r="501">
      <x:c r="A501" s="1" t="n">
        <x:v>4175</x:v>
      </x:c>
      <x:c r="B501" s="5" t="d">
        <x:v>2015-03-02T00:00:00.000Z</x:v>
      </x:c>
      <x:c r="C501" s="1" t="str">
        <x:v>Standard Class</x:v>
      </x:c>
      <x:c r="D501" s="1" t="str">
        <x:v>LATAM</x:v>
      </x:c>
      <x:c r="E501" s="1" t="str">
        <x:v>COMPLETE</x:v>
      </x:c>
      <x:c r="F501" s="1" t="str">
        <x:v>Late delivery</x:v>
      </x:c>
      <x:c r="G501" s="6" t="n">
        <x:v>6</x:v>
      </x:c>
      <x:c r="H501" s="6" t="n">
        <x:v>4</x:v>
      </x:c>
      <x:c r="I501" s="6" t="n">
        <x:f>G501-H501</x:f>
        <x:v>2</x:v>
      </x:c>
      <x:c r="J501" s="6" t="n">
        <x:f>IF(OR(E501="CANCELED",E501="SUSPECTED_FRAUD",F501="Shipping canceled"),0,1)</x:f>
        <x:v>1</x:v>
      </x:c>
      <x:c r="K501" s="6" t="n">
        <x:f>IF(G501&gt;H501,1,0)</x:f>
        <x:v>1</x:v>
      </x:c>
      <x:c r="L501" s="6" t="n">
        <x:f>J501*K501</x:f>
        <x:v>1</x:v>
      </x:c>
    </x:row>
    <x:row r="502">
      <x:c r="A502" s="1" t="n">
        <x:v>4181</x:v>
      </x:c>
      <x:c r="B502" s="5" t="d">
        <x:v>2015-03-03T00:00:00.000Z</x:v>
      </x:c>
      <x:c r="C502" s="1" t="str">
        <x:v>Standard Class</x:v>
      </x:c>
      <x:c r="D502" s="1" t="str">
        <x:v>LATAM</x:v>
      </x:c>
      <x:c r="E502" s="1" t="str">
        <x:v>PENDING_PAYMENT</x:v>
      </x:c>
      <x:c r="F502" s="1" t="str">
        <x:v>Advance shipping</x:v>
      </x:c>
      <x:c r="G502" s="6" t="n">
        <x:v>2</x:v>
      </x:c>
      <x:c r="H502" s="6" t="n">
        <x:v>4</x:v>
      </x:c>
      <x:c r="I502" s="6" t="n">
        <x:f>G502-H502</x:f>
        <x:v>-2</x:v>
      </x:c>
      <x:c r="J502" s="6" t="n">
        <x:f>IF(OR(E502="CANCELED",E502="SUSPECTED_FRAUD",F502="Shipping canceled"),0,1)</x:f>
        <x:v>1</x:v>
      </x:c>
      <x:c r="K502" s="6" t="n">
        <x:f>IF(G502&gt;H502,1,0)</x:f>
        <x:v>0</x:v>
      </x:c>
      <x:c r="L502" s="6" t="n">
        <x:f>J502*K502</x:f>
        <x:v>0</x:v>
      </x:c>
    </x:row>
    <x:row r="503">
      <x:c r="A503" s="1" t="n">
        <x:v>4186</x:v>
      </x:c>
      <x:c r="B503" s="5" t="d">
        <x:v>2015-03-03T00:00:00.000Z</x:v>
      </x:c>
      <x:c r="C503" s="1" t="str">
        <x:v>Standard Class</x:v>
      </x:c>
      <x:c r="D503" s="1" t="str">
        <x:v>LATAM</x:v>
      </x:c>
      <x:c r="E503" s="1" t="str">
        <x:v>PROCESSING</x:v>
      </x:c>
      <x:c r="F503" s="1" t="str">
        <x:v>Advance shipping</x:v>
      </x:c>
      <x:c r="G503" s="6" t="n">
        <x:v>2</x:v>
      </x:c>
      <x:c r="H503" s="6" t="n">
        <x:v>4</x:v>
      </x:c>
      <x:c r="I503" s="6" t="n">
        <x:f>G503-H503</x:f>
        <x:v>-2</x:v>
      </x:c>
      <x:c r="J503" s="6" t="n">
        <x:f>IF(OR(E503="CANCELED",E503="SUSPECTED_FRAUD",F503="Shipping canceled"),0,1)</x:f>
        <x:v>1</x:v>
      </x:c>
      <x:c r="K503" s="6" t="n">
        <x:f>IF(G503&gt;H503,1,0)</x:f>
        <x:v>0</x:v>
      </x:c>
      <x:c r="L503" s="6" t="n">
        <x:f>J503*K503</x:f>
        <x:v>0</x:v>
      </x:c>
    </x:row>
    <x:row r="504">
      <x:c r="A504" s="1" t="n">
        <x:v>4193</x:v>
      </x:c>
      <x:c r="B504" s="5" t="d">
        <x:v>2015-03-03T00:00:00.000Z</x:v>
      </x:c>
      <x:c r="C504" s="1" t="str">
        <x:v>Standard Class</x:v>
      </x:c>
      <x:c r="D504" s="1" t="str">
        <x:v>LATAM</x:v>
      </x:c>
      <x:c r="E504" s="1" t="str">
        <x:v>COMPLETE</x:v>
      </x:c>
      <x:c r="F504" s="1" t="str">
        <x:v>Shipping on time</x:v>
      </x:c>
      <x:c r="G504" s="6" t="n">
        <x:v>4</x:v>
      </x:c>
      <x:c r="H504" s="6" t="n">
        <x:v>4</x:v>
      </x:c>
      <x:c r="I504" s="6" t="n">
        <x:f>G504-H504</x:f>
        <x:v>0</x:v>
      </x:c>
      <x:c r="J504" s="6" t="n">
        <x:f>IF(OR(E504="CANCELED",E504="SUSPECTED_FRAUD",F504="Shipping canceled"),0,1)</x:f>
        <x:v>1</x:v>
      </x:c>
      <x:c r="K504" s="6" t="n">
        <x:f>IF(G504&gt;H504,1,0)</x:f>
        <x:v>0</x:v>
      </x:c>
      <x:c r="L504" s="6" t="n">
        <x:f>J504*K504</x:f>
        <x:v>0</x:v>
      </x:c>
    </x:row>
    <x:row r="505">
      <x:c r="A505" s="1" t="n">
        <x:v>4203</x:v>
      </x:c>
      <x:c r="B505" s="5" t="d">
        <x:v>2015-03-03T00:00:00.000Z</x:v>
      </x:c>
      <x:c r="C505" s="1" t="str">
        <x:v>Standard Class</x:v>
      </x:c>
      <x:c r="D505" s="1" t="str">
        <x:v>LATAM</x:v>
      </x:c>
      <x:c r="E505" s="1" t="str">
        <x:v>COMPLETE</x:v>
      </x:c>
      <x:c r="F505" s="1" t="str">
        <x:v>Shipping on time</x:v>
      </x:c>
      <x:c r="G505" s="6" t="n">
        <x:v>4</x:v>
      </x:c>
      <x:c r="H505" s="6" t="n">
        <x:v>4</x:v>
      </x:c>
      <x:c r="I505" s="6" t="n">
        <x:f>G505-H505</x:f>
        <x:v>0</x:v>
      </x:c>
      <x:c r="J505" s="6" t="n">
        <x:f>IF(OR(E505="CANCELED",E505="SUSPECTED_FRAUD",F505="Shipping canceled"),0,1)</x:f>
        <x:v>1</x:v>
      </x:c>
      <x:c r="K505" s="6" t="n">
        <x:f>IF(G505&gt;H505,1,0)</x:f>
        <x:v>0</x:v>
      </x:c>
      <x:c r="L505" s="6" t="n">
        <x:f>J505*K505</x:f>
        <x:v>0</x:v>
      </x:c>
    </x:row>
    <x:row r="506">
      <x:c r="A506" s="1" t="n">
        <x:v>4206</x:v>
      </x:c>
      <x:c r="B506" s="5" t="d">
        <x:v>2015-03-03T00:00:00.000Z</x:v>
      </x:c>
      <x:c r="C506" s="1" t="str">
        <x:v>First Class</x:v>
      </x:c>
      <x:c r="D506" s="1" t="str">
        <x:v>LATAM</x:v>
      </x:c>
      <x:c r="E506" s="1" t="str">
        <x:v>PROCESSING</x:v>
      </x:c>
      <x:c r="F506" s="1" t="str">
        <x:v>Late delivery</x:v>
      </x:c>
      <x:c r="G506" s="6" t="n">
        <x:v>2</x:v>
      </x:c>
      <x:c r="H506" s="6" t="n">
        <x:v>1</x:v>
      </x:c>
      <x:c r="I506" s="6" t="n">
        <x:f>G506-H506</x:f>
        <x:v>1</x:v>
      </x:c>
      <x:c r="J506" s="6" t="n">
        <x:f>IF(OR(E506="CANCELED",E506="SUSPECTED_FRAUD",F506="Shipping canceled"),0,1)</x:f>
        <x:v>1</x:v>
      </x:c>
      <x:c r="K506" s="6" t="n">
        <x:f>IF(G506&gt;H506,1,0)</x:f>
        <x:v>1</x:v>
      </x:c>
      <x:c r="L506" s="6" t="n">
        <x:f>J506*K506</x:f>
        <x:v>1</x:v>
      </x:c>
    </x:row>
    <x:row r="507">
      <x:c r="A507" s="1" t="n">
        <x:v>4245</x:v>
      </x:c>
      <x:c r="B507" s="5" t="d">
        <x:v>2015-03-03T00:00:00.000Z</x:v>
      </x:c>
      <x:c r="C507" s="1" t="str">
        <x:v>Standard Class</x:v>
      </x:c>
      <x:c r="D507" s="1" t="str">
        <x:v>LATAM</x:v>
      </x:c>
      <x:c r="E507" s="1" t="str">
        <x:v>COMPLETE</x:v>
      </x:c>
      <x:c r="F507" s="1" t="str">
        <x:v>Late delivery</x:v>
      </x:c>
      <x:c r="G507" s="6" t="n">
        <x:v>6</x:v>
      </x:c>
      <x:c r="H507" s="6" t="n">
        <x:v>4</x:v>
      </x:c>
      <x:c r="I507" s="6" t="n">
        <x:f>G507-H507</x:f>
        <x:v>2</x:v>
      </x:c>
      <x:c r="J507" s="6" t="n">
        <x:f>IF(OR(E507="CANCELED",E507="SUSPECTED_FRAUD",F507="Shipping canceled"),0,1)</x:f>
        <x:v>1</x:v>
      </x:c>
      <x:c r="K507" s="6" t="n">
        <x:f>IF(G507&gt;H507,1,0)</x:f>
        <x:v>1</x:v>
      </x:c>
      <x:c r="L507" s="6" t="n">
        <x:f>J507*K507</x:f>
        <x:v>1</x:v>
      </x:c>
    </x:row>
    <x:row r="508">
      <x:c r="A508" s="1" t="n">
        <x:v>4246</x:v>
      </x:c>
      <x:c r="B508" s="5" t="d">
        <x:v>2015-03-03T00:00:00.000Z</x:v>
      </x:c>
      <x:c r="C508" s="1" t="str">
        <x:v>Standard Class</x:v>
      </x:c>
      <x:c r="D508" s="1" t="str">
        <x:v>LATAM</x:v>
      </x:c>
      <x:c r="E508" s="1" t="str">
        <x:v>PENDING</x:v>
      </x:c>
      <x:c r="F508" s="1" t="str">
        <x:v>Advance shipping</x:v>
      </x:c>
      <x:c r="G508" s="6" t="n">
        <x:v>2</x:v>
      </x:c>
      <x:c r="H508" s="6" t="n">
        <x:v>4</x:v>
      </x:c>
      <x:c r="I508" s="6" t="n">
        <x:f>G508-H508</x:f>
        <x:v>-2</x:v>
      </x:c>
      <x:c r="J508" s="6" t="n">
        <x:f>IF(OR(E508="CANCELED",E508="SUSPECTED_FRAUD",F508="Shipping canceled"),0,1)</x:f>
        <x:v>1</x:v>
      </x:c>
      <x:c r="K508" s="6" t="n">
        <x:f>IF(G508&gt;H508,1,0)</x:f>
        <x:v>0</x:v>
      </x:c>
      <x:c r="L508" s="6" t="n">
        <x:f>J508*K508</x:f>
        <x:v>0</x:v>
      </x:c>
    </x:row>
    <x:row r="509">
      <x:c r="A509" s="1" t="n">
        <x:v>4268</x:v>
      </x:c>
      <x:c r="B509" s="5" t="d">
        <x:v>2015-03-04T00:00:00.000Z</x:v>
      </x:c>
      <x:c r="C509" s="1" t="str">
        <x:v>First Class</x:v>
      </x:c>
      <x:c r="D509" s="1" t="str">
        <x:v>LATAM</x:v>
      </x:c>
      <x:c r="E509" s="1" t="str">
        <x:v>CLOSED</x:v>
      </x:c>
      <x:c r="F509" s="1" t="str">
        <x:v>Late delivery</x:v>
      </x:c>
      <x:c r="G509" s="6" t="n">
        <x:v>2</x:v>
      </x:c>
      <x:c r="H509" s="6" t="n">
        <x:v>1</x:v>
      </x:c>
      <x:c r="I509" s="6" t="n">
        <x:f>G509-H509</x:f>
        <x:v>1</x:v>
      </x:c>
      <x:c r="J509" s="6" t="n">
        <x:f>IF(OR(E509="CANCELED",E509="SUSPECTED_FRAUD",F509="Shipping canceled"),0,1)</x:f>
        <x:v>1</x:v>
      </x:c>
      <x:c r="K509" s="6" t="n">
        <x:f>IF(G509&gt;H509,1,0)</x:f>
        <x:v>1</x:v>
      </x:c>
      <x:c r="L509" s="6" t="n">
        <x:f>J509*K509</x:f>
        <x:v>1</x:v>
      </x:c>
    </x:row>
    <x:row r="510">
      <x:c r="A510" s="1" t="n">
        <x:v>4269</x:v>
      </x:c>
      <x:c r="B510" s="5" t="d">
        <x:v>2015-03-04T00:00:00.000Z</x:v>
      </x:c>
      <x:c r="C510" s="1" t="str">
        <x:v>Standard Class</x:v>
      </x:c>
      <x:c r="D510" s="1" t="str">
        <x:v>LATAM</x:v>
      </x:c>
      <x:c r="E510" s="1" t="str">
        <x:v>PROCESSING</x:v>
      </x:c>
      <x:c r="F510" s="1" t="str">
        <x:v>Late delivery</x:v>
      </x:c>
      <x:c r="G510" s="6" t="n">
        <x:v>5</x:v>
      </x:c>
      <x:c r="H510" s="6" t="n">
        <x:v>4</x:v>
      </x:c>
      <x:c r="I510" s="6" t="n">
        <x:f>G510-H510</x:f>
        <x:v>1</x:v>
      </x:c>
      <x:c r="J510" s="6" t="n">
        <x:f>IF(OR(E510="CANCELED",E510="SUSPECTED_FRAUD",F510="Shipping canceled"),0,1)</x:f>
        <x:v>1</x:v>
      </x:c>
      <x:c r="K510" s="6" t="n">
        <x:f>IF(G510&gt;H510,1,0)</x:f>
        <x:v>1</x:v>
      </x:c>
      <x:c r="L510" s="6" t="n">
        <x:f>J510*K510</x:f>
        <x:v>1</x:v>
      </x:c>
    </x:row>
    <x:row r="511">
      <x:c r="A511" s="1" t="n">
        <x:v>4276</x:v>
      </x:c>
      <x:c r="B511" s="5" t="d">
        <x:v>2015-03-04T00:00:00.000Z</x:v>
      </x:c>
      <x:c r="C511" s="1" t="str">
        <x:v>Second Class</x:v>
      </x:c>
      <x:c r="D511" s="1" t="str">
        <x:v>LATAM</x:v>
      </x:c>
      <x:c r="E511" s="1" t="str">
        <x:v>COMPLETE</x:v>
      </x:c>
      <x:c r="F511" s="1" t="str">
        <x:v>Shipping on time</x:v>
      </x:c>
      <x:c r="G511" s="6" t="n">
        <x:v>2</x:v>
      </x:c>
      <x:c r="H511" s="6" t="n">
        <x:v>2</x:v>
      </x:c>
      <x:c r="I511" s="6" t="n">
        <x:f>G511-H511</x:f>
        <x:v>0</x:v>
      </x:c>
      <x:c r="J511" s="6" t="n">
        <x:f>IF(OR(E511="CANCELED",E511="SUSPECTED_FRAUD",F511="Shipping canceled"),0,1)</x:f>
        <x:v>1</x:v>
      </x:c>
      <x:c r="K511" s="6" t="n">
        <x:f>IF(G511&gt;H511,1,0)</x:f>
        <x:v>0</x:v>
      </x:c>
      <x:c r="L511" s="6" t="n">
        <x:f>J511*K511</x:f>
        <x:v>0</x:v>
      </x:c>
    </x:row>
    <x:row r="512">
      <x:c r="A512" s="1" t="n">
        <x:v>4280</x:v>
      </x:c>
      <x:c r="B512" s="5" t="d">
        <x:v>2015-03-04T00:00:00.000Z</x:v>
      </x:c>
      <x:c r="C512" s="1" t="str">
        <x:v>Standard Class</x:v>
      </x:c>
      <x:c r="D512" s="1" t="str">
        <x:v>LATAM</x:v>
      </x:c>
      <x:c r="E512" s="1" t="str">
        <x:v>COMPLETE</x:v>
      </x:c>
      <x:c r="F512" s="1" t="str">
        <x:v>Late delivery</x:v>
      </x:c>
      <x:c r="G512" s="6" t="n">
        <x:v>6</x:v>
      </x:c>
      <x:c r="H512" s="6" t="n">
        <x:v>4</x:v>
      </x:c>
      <x:c r="I512" s="6" t="n">
        <x:f>G512-H512</x:f>
        <x:v>2</x:v>
      </x:c>
      <x:c r="J512" s="6" t="n">
        <x:f>IF(OR(E512="CANCELED",E512="SUSPECTED_FRAUD",F512="Shipping canceled"),0,1)</x:f>
        <x:v>1</x:v>
      </x:c>
      <x:c r="K512" s="6" t="n">
        <x:f>IF(G512&gt;H512,1,0)</x:f>
        <x:v>1</x:v>
      </x:c>
      <x:c r="L512" s="6" t="n">
        <x:f>J512*K512</x:f>
        <x:v>1</x:v>
      </x:c>
    </x:row>
    <x:row r="513">
      <x:c r="A513" s="1" t="n">
        <x:v>4282</x:v>
      </x:c>
      <x:c r="B513" s="5" t="d">
        <x:v>2015-03-04T00:00:00.000Z</x:v>
      </x:c>
      <x:c r="C513" s="1" t="str">
        <x:v>Standard Class</x:v>
      </x:c>
      <x:c r="D513" s="1" t="str">
        <x:v>LATAM</x:v>
      </x:c>
      <x:c r="E513" s="1" t="str">
        <x:v>COMPLETE</x:v>
      </x:c>
      <x:c r="F513" s="1" t="str">
        <x:v>Advance shipping</x:v>
      </x:c>
      <x:c r="G513" s="6" t="n">
        <x:v>3</x:v>
      </x:c>
      <x:c r="H513" s="6" t="n">
        <x:v>4</x:v>
      </x:c>
      <x:c r="I513" s="6" t="n">
        <x:f>G513-H513</x:f>
        <x:v>-1</x:v>
      </x:c>
      <x:c r="J513" s="6" t="n">
        <x:f>IF(OR(E513="CANCELED",E513="SUSPECTED_FRAUD",F513="Shipping canceled"),0,1)</x:f>
        <x:v>1</x:v>
      </x:c>
      <x:c r="K513" s="6" t="n">
        <x:f>IF(G513&gt;H513,1,0)</x:f>
        <x:v>0</x:v>
      </x:c>
      <x:c r="L513" s="6" t="n">
        <x:f>J513*K513</x:f>
        <x:v>0</x:v>
      </x:c>
    </x:row>
    <x:row r="514">
      <x:c r="A514" s="1" t="n">
        <x:v>4284</x:v>
      </x:c>
      <x:c r="B514" s="5" t="d">
        <x:v>2015-03-04T00:00:00.000Z</x:v>
      </x:c>
      <x:c r="C514" s="1" t="str">
        <x:v>Standard Class</x:v>
      </x:c>
      <x:c r="D514" s="1" t="str">
        <x:v>LATAM</x:v>
      </x:c>
      <x:c r="E514" s="1" t="str">
        <x:v>CLOSED</x:v>
      </x:c>
      <x:c r="F514" s="1" t="str">
        <x:v>Late delivery</x:v>
      </x:c>
      <x:c r="G514" s="6" t="n">
        <x:v>5</x:v>
      </x:c>
      <x:c r="H514" s="6" t="n">
        <x:v>4</x:v>
      </x:c>
      <x:c r="I514" s="6" t="n">
        <x:f>G514-H514</x:f>
        <x:v>1</x:v>
      </x:c>
      <x:c r="J514" s="6" t="n">
        <x:f>IF(OR(E514="CANCELED",E514="SUSPECTED_FRAUD",F514="Shipping canceled"),0,1)</x:f>
        <x:v>1</x:v>
      </x:c>
      <x:c r="K514" s="6" t="n">
        <x:f>IF(G514&gt;H514,1,0)</x:f>
        <x:v>1</x:v>
      </x:c>
      <x:c r="L514" s="6" t="n">
        <x:f>J514*K514</x:f>
        <x:v>1</x:v>
      </x:c>
    </x:row>
    <x:row r="515">
      <x:c r="A515" s="1" t="n">
        <x:v>4285</x:v>
      </x:c>
      <x:c r="B515" s="5" t="d">
        <x:v>2015-03-04T00:00:00.000Z</x:v>
      </x:c>
      <x:c r="C515" s="1" t="str">
        <x:v>Standard Class</x:v>
      </x:c>
      <x:c r="D515" s="1" t="str">
        <x:v>LATAM</x:v>
      </x:c>
      <x:c r="E515" s="1" t="str">
        <x:v>COMPLETE</x:v>
      </x:c>
      <x:c r="F515" s="1" t="str">
        <x:v>Late delivery</x:v>
      </x:c>
      <x:c r="G515" s="6" t="n">
        <x:v>6</x:v>
      </x:c>
      <x:c r="H515" s="6" t="n">
        <x:v>4</x:v>
      </x:c>
      <x:c r="I515" s="6" t="n">
        <x:f>G515-H515</x:f>
        <x:v>2</x:v>
      </x:c>
      <x:c r="J515" s="6" t="n">
        <x:f>IF(OR(E515="CANCELED",E515="SUSPECTED_FRAUD",F515="Shipping canceled"),0,1)</x:f>
        <x:v>1</x:v>
      </x:c>
      <x:c r="K515" s="6" t="n">
        <x:f>IF(G515&gt;H515,1,0)</x:f>
        <x:v>1</x:v>
      </x:c>
      <x:c r="L515" s="6" t="n">
        <x:f>J515*K515</x:f>
        <x:v>1</x:v>
      </x:c>
    </x:row>
    <x:row r="516">
      <x:c r="A516" s="1" t="n">
        <x:v>4295</x:v>
      </x:c>
      <x:c r="B516" s="5" t="d">
        <x:v>2015-03-04T00:00:00.000Z</x:v>
      </x:c>
      <x:c r="C516" s="1" t="str">
        <x:v>Standard Class</x:v>
      </x:c>
      <x:c r="D516" s="1" t="str">
        <x:v>LATAM</x:v>
      </x:c>
      <x:c r="E516" s="1" t="str">
        <x:v>CLOSED</x:v>
      </x:c>
      <x:c r="F516" s="1" t="str">
        <x:v>Late delivery</x:v>
      </x:c>
      <x:c r="G516" s="6" t="n">
        <x:v>6</x:v>
      </x:c>
      <x:c r="H516" s="6" t="n">
        <x:v>4</x:v>
      </x:c>
      <x:c r="I516" s="6" t="n">
        <x:f>G516-H516</x:f>
        <x:v>2</x:v>
      </x:c>
      <x:c r="J516" s="6" t="n">
        <x:f>IF(OR(E516="CANCELED",E516="SUSPECTED_FRAUD",F516="Shipping canceled"),0,1)</x:f>
        <x:v>1</x:v>
      </x:c>
      <x:c r="K516" s="6" t="n">
        <x:f>IF(G516&gt;H516,1,0)</x:f>
        <x:v>1</x:v>
      </x:c>
      <x:c r="L516" s="6" t="n">
        <x:f>J516*K516</x:f>
        <x:v>1</x:v>
      </x:c>
    </x:row>
    <x:row r="517">
      <x:c r="A517" s="1" t="n">
        <x:v>4299</x:v>
      </x:c>
      <x:c r="B517" s="5" t="d">
        <x:v>2015-03-04T00:00:00.000Z</x:v>
      </x:c>
      <x:c r="C517" s="1" t="str">
        <x:v>Standard Class</x:v>
      </x:c>
      <x:c r="D517" s="1" t="str">
        <x:v>LATAM</x:v>
      </x:c>
      <x:c r="E517" s="1" t="str">
        <x:v>CLOSED</x:v>
      </x:c>
      <x:c r="F517" s="1" t="str">
        <x:v>Late delivery</x:v>
      </x:c>
      <x:c r="G517" s="6" t="n">
        <x:v>5</x:v>
      </x:c>
      <x:c r="H517" s="6" t="n">
        <x:v>4</x:v>
      </x:c>
      <x:c r="I517" s="6" t="n">
        <x:f>G517-H517</x:f>
        <x:v>1</x:v>
      </x:c>
      <x:c r="J517" s="6" t="n">
        <x:f>IF(OR(E517="CANCELED",E517="SUSPECTED_FRAUD",F517="Shipping canceled"),0,1)</x:f>
        <x:v>1</x:v>
      </x:c>
      <x:c r="K517" s="6" t="n">
        <x:f>IF(G517&gt;H517,1,0)</x:f>
        <x:v>1</x:v>
      </x:c>
      <x:c r="L517" s="6" t="n">
        <x:f>J517*K517</x:f>
        <x:v>1</x:v>
      </x:c>
    </x:row>
    <x:row r="518">
      <x:c r="A518" s="1" t="n">
        <x:v>4342</x:v>
      </x:c>
      <x:c r="B518" s="5" t="d">
        <x:v>2015-03-05T00:00:00.000Z</x:v>
      </x:c>
      <x:c r="C518" s="1" t="str">
        <x:v>Standard Class</x:v>
      </x:c>
      <x:c r="D518" s="1" t="str">
        <x:v>LATAM</x:v>
      </x:c>
      <x:c r="E518" s="1" t="str">
        <x:v>COMPLETE</x:v>
      </x:c>
      <x:c r="F518" s="1" t="str">
        <x:v>Advance shipping</x:v>
      </x:c>
      <x:c r="G518" s="6" t="n">
        <x:v>3</x:v>
      </x:c>
      <x:c r="H518" s="6" t="n">
        <x:v>4</x:v>
      </x:c>
      <x:c r="I518" s="6" t="n">
        <x:f>G518-H518</x:f>
        <x:v>-1</x:v>
      </x:c>
      <x:c r="J518" s="6" t="n">
        <x:f>IF(OR(E518="CANCELED",E518="SUSPECTED_FRAUD",F518="Shipping canceled"),0,1)</x:f>
        <x:v>1</x:v>
      </x:c>
      <x:c r="K518" s="6" t="n">
        <x:f>IF(G518&gt;H518,1,0)</x:f>
        <x:v>0</x:v>
      </x:c>
      <x:c r="L518" s="6" t="n">
        <x:f>J518*K518</x:f>
        <x:v>0</x:v>
      </x:c>
    </x:row>
    <x:row r="519">
      <x:c r="A519" s="1" t="n">
        <x:v>4349</x:v>
      </x:c>
      <x:c r="B519" s="5" t="d">
        <x:v>2015-03-05T00:00:00.000Z</x:v>
      </x:c>
      <x:c r="C519" s="1" t="str">
        <x:v>Same Day</x:v>
      </x:c>
      <x:c r="D519" s="1" t="str">
        <x:v>LATAM</x:v>
      </x:c>
      <x:c r="E519" s="1" t="str">
        <x:v>PROCESSING</x:v>
      </x:c>
      <x:c r="F519" s="1" t="str">
        <x:v>Shipping on time</x:v>
      </x:c>
      <x:c r="G519" s="6" t="n">
        <x:v>0</x:v>
      </x:c>
      <x:c r="H519" s="6" t="n">
        <x:v>0</x:v>
      </x:c>
      <x:c r="I519" s="6" t="n">
        <x:f>G519-H519</x:f>
        <x:v>0</x:v>
      </x:c>
      <x:c r="J519" s="6" t="n">
        <x:f>IF(OR(E519="CANCELED",E519="SUSPECTED_FRAUD",F519="Shipping canceled"),0,1)</x:f>
        <x:v>1</x:v>
      </x:c>
      <x:c r="K519" s="6" t="n">
        <x:f>IF(G519&gt;H519,1,0)</x:f>
        <x:v>0</x:v>
      </x:c>
      <x:c r="L519" s="6" t="n">
        <x:f>J519*K519</x:f>
        <x:v>0</x:v>
      </x:c>
    </x:row>
    <x:row r="520">
      <x:c r="A520" s="1" t="n">
        <x:v>4354</x:v>
      </x:c>
      <x:c r="B520" s="5" t="d">
        <x:v>2015-03-05T00:00:00.000Z</x:v>
      </x:c>
      <x:c r="C520" s="1" t="str">
        <x:v>Standard Class</x:v>
      </x:c>
      <x:c r="D520" s="1" t="str">
        <x:v>LATAM</x:v>
      </x:c>
      <x:c r="E520" s="1" t="str">
        <x:v>CANCELED</x:v>
      </x:c>
      <x:c r="F520" s="1" t="str">
        <x:v>Shipping canceled</x:v>
      </x:c>
      <x:c r="G520" s="6" t="n">
        <x:v>5</x:v>
      </x:c>
      <x:c r="H520" s="6" t="n">
        <x:v>4</x:v>
      </x:c>
      <x:c r="I520" s="6" t="n">
        <x:f>G520-H520</x:f>
        <x:v>1</x:v>
      </x:c>
      <x:c r="J520" s="6" t="n">
        <x:f>IF(OR(E520="CANCELED",E520="SUSPECTED_FRAUD",F520="Shipping canceled"),0,1)</x:f>
        <x:v>0</x:v>
      </x:c>
      <x:c r="K520" s="6" t="n">
        <x:f>IF(G520&gt;H520,1,0)</x:f>
        <x:v>1</x:v>
      </x:c>
      <x:c r="L520" s="6" t="n">
        <x:f>J520*K520</x:f>
        <x:v>0</x:v>
      </x:c>
    </x:row>
    <x:row r="521">
      <x:c r="A521" s="1" t="n">
        <x:v>4356</x:v>
      </x:c>
      <x:c r="B521" s="5" t="d">
        <x:v>2015-03-05T00:00:00.000Z</x:v>
      </x:c>
      <x:c r="C521" s="1" t="str">
        <x:v>Standard Class</x:v>
      </x:c>
      <x:c r="D521" s="1" t="str">
        <x:v>LATAM</x:v>
      </x:c>
      <x:c r="E521" s="1" t="str">
        <x:v>PROCESSING</x:v>
      </x:c>
      <x:c r="F521" s="1" t="str">
        <x:v>Advance shipping</x:v>
      </x:c>
      <x:c r="G521" s="6" t="n">
        <x:v>2</x:v>
      </x:c>
      <x:c r="H521" s="6" t="n">
        <x:v>4</x:v>
      </x:c>
      <x:c r="I521" s="6" t="n">
        <x:f>G521-H521</x:f>
        <x:v>-2</x:v>
      </x:c>
      <x:c r="J521" s="6" t="n">
        <x:f>IF(OR(E521="CANCELED",E521="SUSPECTED_FRAUD",F521="Shipping canceled"),0,1)</x:f>
        <x:v>1</x:v>
      </x:c>
      <x:c r="K521" s="6" t="n">
        <x:f>IF(G521&gt;H521,1,0)</x:f>
        <x:v>0</x:v>
      </x:c>
      <x:c r="L521" s="6" t="n">
        <x:f>J521*K521</x:f>
        <x:v>0</x:v>
      </x:c>
    </x:row>
    <x:row r="522">
      <x:c r="A522" s="1" t="n">
        <x:v>4365</x:v>
      </x:c>
      <x:c r="B522" s="5" t="d">
        <x:v>2015-03-05T00:00:00.000Z</x:v>
      </x:c>
      <x:c r="C522" s="1" t="str">
        <x:v>Standard Class</x:v>
      </x:c>
      <x:c r="D522" s="1" t="str">
        <x:v>LATAM</x:v>
      </x:c>
      <x:c r="E522" s="1" t="str">
        <x:v>COMPLETE</x:v>
      </x:c>
      <x:c r="F522" s="1" t="str">
        <x:v>Late delivery</x:v>
      </x:c>
      <x:c r="G522" s="6" t="n">
        <x:v>6</x:v>
      </x:c>
      <x:c r="H522" s="6" t="n">
        <x:v>4</x:v>
      </x:c>
      <x:c r="I522" s="6" t="n">
        <x:f>G522-H522</x:f>
        <x:v>2</x:v>
      </x:c>
      <x:c r="J522" s="6" t="n">
        <x:f>IF(OR(E522="CANCELED",E522="SUSPECTED_FRAUD",F522="Shipping canceled"),0,1)</x:f>
        <x:v>1</x:v>
      </x:c>
      <x:c r="K522" s="6" t="n">
        <x:f>IF(G522&gt;H522,1,0)</x:f>
        <x:v>1</x:v>
      </x:c>
      <x:c r="L522" s="6" t="n">
        <x:f>J522*K522</x:f>
        <x:v>1</x:v>
      </x:c>
    </x:row>
    <x:row r="523">
      <x:c r="A523" s="1" t="n">
        <x:v>4378</x:v>
      </x:c>
      <x:c r="B523" s="5" t="d">
        <x:v>2015-03-05T00:00:00.000Z</x:v>
      </x:c>
      <x:c r="C523" s="1" t="str">
        <x:v>First Class</x:v>
      </x:c>
      <x:c r="D523" s="1" t="str">
        <x:v>LATAM</x:v>
      </x:c>
      <x:c r="E523" s="1" t="str">
        <x:v>PROCESSING</x:v>
      </x:c>
      <x:c r="F523" s="1" t="str">
        <x:v>Late delivery</x:v>
      </x:c>
      <x:c r="G523" s="6" t="n">
        <x:v>2</x:v>
      </x:c>
      <x:c r="H523" s="6" t="n">
        <x:v>1</x:v>
      </x:c>
      <x:c r="I523" s="6" t="n">
        <x:f>G523-H523</x:f>
        <x:v>1</x:v>
      </x:c>
      <x:c r="J523" s="6" t="n">
        <x:f>IF(OR(E523="CANCELED",E523="SUSPECTED_FRAUD",F523="Shipping canceled"),0,1)</x:f>
        <x:v>1</x:v>
      </x:c>
      <x:c r="K523" s="6" t="n">
        <x:f>IF(G523&gt;H523,1,0)</x:f>
        <x:v>1</x:v>
      </x:c>
      <x:c r="L523" s="6" t="n">
        <x:f>J523*K523</x:f>
        <x:v>1</x:v>
      </x:c>
    </x:row>
    <x:row r="524">
      <x:c r="A524" s="1" t="n">
        <x:v>4390</x:v>
      </x:c>
      <x:c r="B524" s="5" t="d">
        <x:v>2015-03-06T00:00:00.000Z</x:v>
      </x:c>
      <x:c r="C524" s="1" t="str">
        <x:v>Standard Class</x:v>
      </x:c>
      <x:c r="D524" s="1" t="str">
        <x:v>LATAM</x:v>
      </x:c>
      <x:c r="E524" s="1" t="str">
        <x:v>CLOSED</x:v>
      </x:c>
      <x:c r="F524" s="1" t="str">
        <x:v>Late delivery</x:v>
      </x:c>
      <x:c r="G524" s="6" t="n">
        <x:v>6</x:v>
      </x:c>
      <x:c r="H524" s="6" t="n">
        <x:v>4</x:v>
      </x:c>
      <x:c r="I524" s="6" t="n">
        <x:f>G524-H524</x:f>
        <x:v>2</x:v>
      </x:c>
      <x:c r="J524" s="6" t="n">
        <x:f>IF(OR(E524="CANCELED",E524="SUSPECTED_FRAUD",F524="Shipping canceled"),0,1)</x:f>
        <x:v>1</x:v>
      </x:c>
      <x:c r="K524" s="6" t="n">
        <x:f>IF(G524&gt;H524,1,0)</x:f>
        <x:v>1</x:v>
      </x:c>
      <x:c r="L524" s="6" t="n">
        <x:f>J524*K524</x:f>
        <x:v>1</x:v>
      </x:c>
    </x:row>
    <x:row r="525">
      <x:c r="A525" s="1" t="n">
        <x:v>4404</x:v>
      </x:c>
      <x:c r="B525" s="5" t="d">
        <x:v>2015-03-06T00:00:00.000Z</x:v>
      </x:c>
      <x:c r="C525" s="1" t="str">
        <x:v>Standard Class</x:v>
      </x:c>
      <x:c r="D525" s="1" t="str">
        <x:v>LATAM</x:v>
      </x:c>
      <x:c r="E525" s="1" t="str">
        <x:v>PROCESSING</x:v>
      </x:c>
      <x:c r="F525" s="1" t="str">
        <x:v>Late delivery</x:v>
      </x:c>
      <x:c r="G525" s="6" t="n">
        <x:v>5</x:v>
      </x:c>
      <x:c r="H525" s="6" t="n">
        <x:v>4</x:v>
      </x:c>
      <x:c r="I525" s="6" t="n">
        <x:f>G525-H525</x:f>
        <x:v>1</x:v>
      </x:c>
      <x:c r="J525" s="6" t="n">
        <x:f>IF(OR(E525="CANCELED",E525="SUSPECTED_FRAUD",F525="Shipping canceled"),0,1)</x:f>
        <x:v>1</x:v>
      </x:c>
      <x:c r="K525" s="6" t="n">
        <x:f>IF(G525&gt;H525,1,0)</x:f>
        <x:v>1</x:v>
      </x:c>
      <x:c r="L525" s="6" t="n">
        <x:f>J525*K525</x:f>
        <x:v>1</x:v>
      </x:c>
    </x:row>
    <x:row r="526">
      <x:c r="A526" s="1" t="n">
        <x:v>4411</x:v>
      </x:c>
      <x:c r="B526" s="5" t="d">
        <x:v>2015-03-06T00:00:00.000Z</x:v>
      </x:c>
      <x:c r="C526" s="1" t="str">
        <x:v>Second Class</x:v>
      </x:c>
      <x:c r="D526" s="1" t="str">
        <x:v>LATAM</x:v>
      </x:c>
      <x:c r="E526" s="1" t="str">
        <x:v>COMPLETE</x:v>
      </x:c>
      <x:c r="F526" s="1" t="str">
        <x:v>Shipping on time</x:v>
      </x:c>
      <x:c r="G526" s="6" t="n">
        <x:v>2</x:v>
      </x:c>
      <x:c r="H526" s="6" t="n">
        <x:v>2</x:v>
      </x:c>
      <x:c r="I526" s="6" t="n">
        <x:f>G526-H526</x:f>
        <x:v>0</x:v>
      </x:c>
      <x:c r="J526" s="6" t="n">
        <x:f>IF(OR(E526="CANCELED",E526="SUSPECTED_FRAUD",F526="Shipping canceled"),0,1)</x:f>
        <x:v>1</x:v>
      </x:c>
      <x:c r="K526" s="6" t="n">
        <x:f>IF(G526&gt;H526,1,0)</x:f>
        <x:v>0</x:v>
      </x:c>
      <x:c r="L526" s="6" t="n">
        <x:f>J526*K526</x:f>
        <x:v>0</x:v>
      </x:c>
    </x:row>
    <x:row r="527">
      <x:c r="A527" s="1" t="n">
        <x:v>4413</x:v>
      </x:c>
      <x:c r="B527" s="5" t="d">
        <x:v>2015-03-06T00:00:00.000Z</x:v>
      </x:c>
      <x:c r="C527" s="1" t="str">
        <x:v>Second Class</x:v>
      </x:c>
      <x:c r="D527" s="1" t="str">
        <x:v>LATAM</x:v>
      </x:c>
      <x:c r="E527" s="1" t="str">
        <x:v>CLOSED</x:v>
      </x:c>
      <x:c r="F527" s="1" t="str">
        <x:v>Late delivery</x:v>
      </x:c>
      <x:c r="G527" s="6" t="n">
        <x:v>4</x:v>
      </x:c>
      <x:c r="H527" s="6" t="n">
        <x:v>2</x:v>
      </x:c>
      <x:c r="I527" s="6" t="n">
        <x:f>G527-H527</x:f>
        <x:v>2</x:v>
      </x:c>
      <x:c r="J527" s="6" t="n">
        <x:f>IF(OR(E527="CANCELED",E527="SUSPECTED_FRAUD",F527="Shipping canceled"),0,1)</x:f>
        <x:v>1</x:v>
      </x:c>
      <x:c r="K527" s="6" t="n">
        <x:f>IF(G527&gt;H527,1,0)</x:f>
        <x:v>1</x:v>
      </x:c>
      <x:c r="L527" s="6" t="n">
        <x:f>J527*K527</x:f>
        <x:v>1</x:v>
      </x:c>
    </x:row>
    <x:row r="528">
      <x:c r="A528" s="1" t="n">
        <x:v>4427</x:v>
      </x:c>
      <x:c r="B528" s="5" t="d">
        <x:v>2015-03-06T00:00:00.000Z</x:v>
      </x:c>
      <x:c r="C528" s="1" t="str">
        <x:v>Standard Class</x:v>
      </x:c>
      <x:c r="D528" s="1" t="str">
        <x:v>LATAM</x:v>
      </x:c>
      <x:c r="E528" s="1" t="str">
        <x:v>PROCESSING</x:v>
      </x:c>
      <x:c r="F528" s="1" t="str">
        <x:v>Advance shipping</x:v>
      </x:c>
      <x:c r="G528" s="6" t="n">
        <x:v>3</x:v>
      </x:c>
      <x:c r="H528" s="6" t="n">
        <x:v>4</x:v>
      </x:c>
      <x:c r="I528" s="6" t="n">
        <x:f>G528-H528</x:f>
        <x:v>-1</x:v>
      </x:c>
      <x:c r="J528" s="6" t="n">
        <x:f>IF(OR(E528="CANCELED",E528="SUSPECTED_FRAUD",F528="Shipping canceled"),0,1)</x:f>
        <x:v>1</x:v>
      </x:c>
      <x:c r="K528" s="6" t="n">
        <x:f>IF(G528&gt;H528,1,0)</x:f>
        <x:v>0</x:v>
      </x:c>
      <x:c r="L528" s="6" t="n">
        <x:f>J528*K528</x:f>
        <x:v>0</x:v>
      </x:c>
    </x:row>
    <x:row r="529">
      <x:c r="A529" s="1" t="n">
        <x:v>4441</x:v>
      </x:c>
      <x:c r="B529" s="5" t="d">
        <x:v>2015-03-06T00:00:00.000Z</x:v>
      </x:c>
      <x:c r="C529" s="1" t="str">
        <x:v>Standard Class</x:v>
      </x:c>
      <x:c r="D529" s="1" t="str">
        <x:v>LATAM</x:v>
      </x:c>
      <x:c r="E529" s="1" t="str">
        <x:v>CLOSED</x:v>
      </x:c>
      <x:c r="F529" s="1" t="str">
        <x:v>Advance shipping</x:v>
      </x:c>
      <x:c r="G529" s="6" t="n">
        <x:v>2</x:v>
      </x:c>
      <x:c r="H529" s="6" t="n">
        <x:v>4</x:v>
      </x:c>
      <x:c r="I529" s="6" t="n">
        <x:f>G529-H529</x:f>
        <x:v>-2</x:v>
      </x:c>
      <x:c r="J529" s="6" t="n">
        <x:f>IF(OR(E529="CANCELED",E529="SUSPECTED_FRAUD",F529="Shipping canceled"),0,1)</x:f>
        <x:v>1</x:v>
      </x:c>
      <x:c r="K529" s="6" t="n">
        <x:f>IF(G529&gt;H529,1,0)</x:f>
        <x:v>0</x:v>
      </x:c>
      <x:c r="L529" s="6" t="n">
        <x:f>J529*K529</x:f>
        <x:v>0</x:v>
      </x:c>
    </x:row>
    <x:row r="530">
      <x:c r="A530" s="1" t="n">
        <x:v>4442</x:v>
      </x:c>
      <x:c r="B530" s="5" t="d">
        <x:v>2015-03-06T00:00:00.000Z</x:v>
      </x:c>
      <x:c r="C530" s="1" t="str">
        <x:v>First Class</x:v>
      </x:c>
      <x:c r="D530" s="1" t="str">
        <x:v>LATAM</x:v>
      </x:c>
      <x:c r="E530" s="1" t="str">
        <x:v>PROCESSING</x:v>
      </x:c>
      <x:c r="F530" s="1" t="str">
        <x:v>Late delivery</x:v>
      </x:c>
      <x:c r="G530" s="6" t="n">
        <x:v>2</x:v>
      </x:c>
      <x:c r="H530" s="6" t="n">
        <x:v>1</x:v>
      </x:c>
      <x:c r="I530" s="6" t="n">
        <x:f>G530-H530</x:f>
        <x:v>1</x:v>
      </x:c>
      <x:c r="J530" s="6" t="n">
        <x:f>IF(OR(E530="CANCELED",E530="SUSPECTED_FRAUD",F530="Shipping canceled"),0,1)</x:f>
        <x:v>1</x:v>
      </x:c>
      <x:c r="K530" s="6" t="n">
        <x:f>IF(G530&gt;H530,1,0)</x:f>
        <x:v>1</x:v>
      </x:c>
      <x:c r="L530" s="6" t="n">
        <x:f>J530*K530</x:f>
        <x:v>1</x:v>
      </x:c>
    </x:row>
    <x:row r="531">
      <x:c r="A531" s="1" t="n">
        <x:v>4473</x:v>
      </x:c>
      <x:c r="B531" s="5" t="d">
        <x:v>2015-03-07T00:00:00.000Z</x:v>
      </x:c>
      <x:c r="C531" s="1" t="str">
        <x:v>Standard Class</x:v>
      </x:c>
      <x:c r="D531" s="1" t="str">
        <x:v>LATAM</x:v>
      </x:c>
      <x:c r="E531" s="1" t="str">
        <x:v>PENDING</x:v>
      </x:c>
      <x:c r="F531" s="1" t="str">
        <x:v>Shipping on time</x:v>
      </x:c>
      <x:c r="G531" s="6" t="n">
        <x:v>4</x:v>
      </x:c>
      <x:c r="H531" s="6" t="n">
        <x:v>4</x:v>
      </x:c>
      <x:c r="I531" s="6" t="n">
        <x:f>G531-H531</x:f>
        <x:v>0</x:v>
      </x:c>
      <x:c r="J531" s="6" t="n">
        <x:f>IF(OR(E531="CANCELED",E531="SUSPECTED_FRAUD",F531="Shipping canceled"),0,1)</x:f>
        <x:v>1</x:v>
      </x:c>
      <x:c r="K531" s="6" t="n">
        <x:f>IF(G531&gt;H531,1,0)</x:f>
        <x:v>0</x:v>
      </x:c>
      <x:c r="L531" s="6" t="n">
        <x:f>J531*K531</x:f>
        <x:v>0</x:v>
      </x:c>
    </x:row>
    <x:row r="532">
      <x:c r="A532" s="1" t="n">
        <x:v>4481</x:v>
      </x:c>
      <x:c r="B532" s="5" t="d">
        <x:v>2015-03-07T00:00:00.000Z</x:v>
      </x:c>
      <x:c r="C532" s="1" t="str">
        <x:v>Standard Class</x:v>
      </x:c>
      <x:c r="D532" s="1" t="str">
        <x:v>LATAM</x:v>
      </x:c>
      <x:c r="E532" s="1" t="str">
        <x:v>COMPLETE</x:v>
      </x:c>
      <x:c r="F532" s="1" t="str">
        <x:v>Advance shipping</x:v>
      </x:c>
      <x:c r="G532" s="6" t="n">
        <x:v>2</x:v>
      </x:c>
      <x:c r="H532" s="6" t="n">
        <x:v>4</x:v>
      </x:c>
      <x:c r="I532" s="6" t="n">
        <x:f>G532-H532</x:f>
        <x:v>-2</x:v>
      </x:c>
      <x:c r="J532" s="6" t="n">
        <x:f>IF(OR(E532="CANCELED",E532="SUSPECTED_FRAUD",F532="Shipping canceled"),0,1)</x:f>
        <x:v>1</x:v>
      </x:c>
      <x:c r="K532" s="6" t="n">
        <x:f>IF(G532&gt;H532,1,0)</x:f>
        <x:v>0</x:v>
      </x:c>
      <x:c r="L532" s="6" t="n">
        <x:f>J532*K532</x:f>
        <x:v>0</x:v>
      </x:c>
    </x:row>
    <x:row r="533">
      <x:c r="A533" s="1" t="n">
        <x:v>4487</x:v>
      </x:c>
      <x:c r="B533" s="5" t="d">
        <x:v>2015-03-07T00:00:00.000Z</x:v>
      </x:c>
      <x:c r="C533" s="1" t="str">
        <x:v>Standard Class</x:v>
      </x:c>
      <x:c r="D533" s="1" t="str">
        <x:v>LATAM</x:v>
      </x:c>
      <x:c r="E533" s="1" t="str">
        <x:v>PROCESSING</x:v>
      </x:c>
      <x:c r="F533" s="1" t="str">
        <x:v>Advance shipping</x:v>
      </x:c>
      <x:c r="G533" s="6" t="n">
        <x:v>3</x:v>
      </x:c>
      <x:c r="H533" s="6" t="n">
        <x:v>4</x:v>
      </x:c>
      <x:c r="I533" s="6" t="n">
        <x:f>G533-H533</x:f>
        <x:v>-1</x:v>
      </x:c>
      <x:c r="J533" s="6" t="n">
        <x:f>IF(OR(E533="CANCELED",E533="SUSPECTED_FRAUD",F533="Shipping canceled"),0,1)</x:f>
        <x:v>1</x:v>
      </x:c>
      <x:c r="K533" s="6" t="n">
        <x:f>IF(G533&gt;H533,1,0)</x:f>
        <x:v>0</x:v>
      </x:c>
      <x:c r="L533" s="6" t="n">
        <x:f>J533*K533</x:f>
        <x:v>0</x:v>
      </x:c>
    </x:row>
    <x:row r="534">
      <x:c r="A534" s="1" t="n">
        <x:v>4500</x:v>
      </x:c>
      <x:c r="B534" s="5" t="d">
        <x:v>2015-03-07T00:00:00.000Z</x:v>
      </x:c>
      <x:c r="C534" s="1" t="str">
        <x:v>Second Class</x:v>
      </x:c>
      <x:c r="D534" s="1" t="str">
        <x:v>LATAM</x:v>
      </x:c>
      <x:c r="E534" s="1" t="str">
        <x:v>CLOSED</x:v>
      </x:c>
      <x:c r="F534" s="1" t="str">
        <x:v>Late delivery</x:v>
      </x:c>
      <x:c r="G534" s="6" t="n">
        <x:v>6</x:v>
      </x:c>
      <x:c r="H534" s="6" t="n">
        <x:v>2</x:v>
      </x:c>
      <x:c r="I534" s="6" t="n">
        <x:f>G534-H534</x:f>
        <x:v>4</x:v>
      </x:c>
      <x:c r="J534" s="6" t="n">
        <x:f>IF(OR(E534="CANCELED",E534="SUSPECTED_FRAUD",F534="Shipping canceled"),0,1)</x:f>
        <x:v>1</x:v>
      </x:c>
      <x:c r="K534" s="6" t="n">
        <x:f>IF(G534&gt;H534,1,0)</x:f>
        <x:v>1</x:v>
      </x:c>
      <x:c r="L534" s="6" t="n">
        <x:f>J534*K534</x:f>
        <x:v>1</x:v>
      </x:c>
    </x:row>
    <x:row r="535">
      <x:c r="A535" s="1" t="n">
        <x:v>4520</x:v>
      </x:c>
      <x:c r="B535" s="5" t="d">
        <x:v>2015-03-07T00:00:00.000Z</x:v>
      </x:c>
      <x:c r="C535" s="1" t="str">
        <x:v>Standard Class</x:v>
      </x:c>
      <x:c r="D535" s="1" t="str">
        <x:v>LATAM</x:v>
      </x:c>
      <x:c r="E535" s="1" t="str">
        <x:v>CLOSED</x:v>
      </x:c>
      <x:c r="F535" s="1" t="str">
        <x:v>Late delivery</x:v>
      </x:c>
      <x:c r="G535" s="6" t="n">
        <x:v>6</x:v>
      </x:c>
      <x:c r="H535" s="6" t="n">
        <x:v>4</x:v>
      </x:c>
      <x:c r="I535" s="6" t="n">
        <x:f>G535-H535</x:f>
        <x:v>2</x:v>
      </x:c>
      <x:c r="J535" s="6" t="n">
        <x:f>IF(OR(E535="CANCELED",E535="SUSPECTED_FRAUD",F535="Shipping canceled"),0,1)</x:f>
        <x:v>1</x:v>
      </x:c>
      <x:c r="K535" s="6" t="n">
        <x:f>IF(G535&gt;H535,1,0)</x:f>
        <x:v>1</x:v>
      </x:c>
      <x:c r="L535" s="6" t="n">
        <x:f>J535*K535</x:f>
        <x:v>1</x:v>
      </x:c>
    </x:row>
    <x:row r="536">
      <x:c r="A536" s="1" t="n">
        <x:v>4535</x:v>
      </x:c>
      <x:c r="B536" s="5" t="d">
        <x:v>2015-03-08T00:00:00.000Z</x:v>
      </x:c>
      <x:c r="C536" s="1" t="str">
        <x:v>Standard Class</x:v>
      </x:c>
      <x:c r="D536" s="1" t="str">
        <x:v>LATAM</x:v>
      </x:c>
      <x:c r="E536" s="1" t="str">
        <x:v>COMPLETE</x:v>
      </x:c>
      <x:c r="F536" s="1" t="str">
        <x:v>Late delivery</x:v>
      </x:c>
      <x:c r="G536" s="6" t="n">
        <x:v>6</x:v>
      </x:c>
      <x:c r="H536" s="6" t="n">
        <x:v>4</x:v>
      </x:c>
      <x:c r="I536" s="6" t="n">
        <x:f>G536-H536</x:f>
        <x:v>2</x:v>
      </x:c>
      <x:c r="J536" s="6" t="n">
        <x:f>IF(OR(E536="CANCELED",E536="SUSPECTED_FRAUD",F536="Shipping canceled"),0,1)</x:f>
        <x:v>1</x:v>
      </x:c>
      <x:c r="K536" s="6" t="n">
        <x:f>IF(G536&gt;H536,1,0)</x:f>
        <x:v>1</x:v>
      </x:c>
      <x:c r="L536" s="6" t="n">
        <x:f>J536*K536</x:f>
        <x:v>1</x:v>
      </x:c>
    </x:row>
    <x:row r="537">
      <x:c r="A537" s="1" t="n">
        <x:v>4549</x:v>
      </x:c>
      <x:c r="B537" s="5" t="d">
        <x:v>2015-03-08T00:00:00.000Z</x:v>
      </x:c>
      <x:c r="C537" s="1" t="str">
        <x:v>Standard Class</x:v>
      </x:c>
      <x:c r="D537" s="1" t="str">
        <x:v>LATAM</x:v>
      </x:c>
      <x:c r="E537" s="1" t="str">
        <x:v>PENDING_PAYMENT</x:v>
      </x:c>
      <x:c r="F537" s="1" t="str">
        <x:v>Late delivery</x:v>
      </x:c>
      <x:c r="G537" s="6" t="n">
        <x:v>5</x:v>
      </x:c>
      <x:c r="H537" s="6" t="n">
        <x:v>4</x:v>
      </x:c>
      <x:c r="I537" s="6" t="n">
        <x:f>G537-H537</x:f>
        <x:v>1</x:v>
      </x:c>
      <x:c r="J537" s="6" t="n">
        <x:f>IF(OR(E537="CANCELED",E537="SUSPECTED_FRAUD",F537="Shipping canceled"),0,1)</x:f>
        <x:v>1</x:v>
      </x:c>
      <x:c r="K537" s="6" t="n">
        <x:f>IF(G537&gt;H537,1,0)</x:f>
        <x:v>1</x:v>
      </x:c>
      <x:c r="L537" s="6" t="n">
        <x:f>J537*K537</x:f>
        <x:v>1</x:v>
      </x:c>
    </x:row>
    <x:row r="538">
      <x:c r="A538" s="1" t="n">
        <x:v>4551</x:v>
      </x:c>
      <x:c r="B538" s="5" t="d">
        <x:v>2015-03-08T00:00:00.000Z</x:v>
      </x:c>
      <x:c r="C538" s="1" t="str">
        <x:v>Standard Class</x:v>
      </x:c>
      <x:c r="D538" s="1" t="str">
        <x:v>LATAM</x:v>
      </x:c>
      <x:c r="E538" s="1" t="str">
        <x:v>PENDING</x:v>
      </x:c>
      <x:c r="F538" s="1" t="str">
        <x:v>Advance shipping</x:v>
      </x:c>
      <x:c r="G538" s="6" t="n">
        <x:v>2</x:v>
      </x:c>
      <x:c r="H538" s="6" t="n">
        <x:v>4</x:v>
      </x:c>
      <x:c r="I538" s="6" t="n">
        <x:f>G538-H538</x:f>
        <x:v>-2</x:v>
      </x:c>
      <x:c r="J538" s="6" t="n">
        <x:f>IF(OR(E538="CANCELED",E538="SUSPECTED_FRAUD",F538="Shipping canceled"),0,1)</x:f>
        <x:v>1</x:v>
      </x:c>
      <x:c r="K538" s="6" t="n">
        <x:f>IF(G538&gt;H538,1,0)</x:f>
        <x:v>0</x:v>
      </x:c>
      <x:c r="L538" s="6" t="n">
        <x:f>J538*K538</x:f>
        <x:v>0</x:v>
      </x:c>
    </x:row>
    <x:row r="539">
      <x:c r="A539" s="1" t="n">
        <x:v>4555</x:v>
      </x:c>
      <x:c r="B539" s="5" t="d">
        <x:v>2015-03-08T00:00:00.000Z</x:v>
      </x:c>
      <x:c r="C539" s="1" t="str">
        <x:v>Second Class</x:v>
      </x:c>
      <x:c r="D539" s="1" t="str">
        <x:v>LATAM</x:v>
      </x:c>
      <x:c r="E539" s="1" t="str">
        <x:v>ON_HOLD</x:v>
      </x:c>
      <x:c r="F539" s="1" t="str">
        <x:v>Late delivery</x:v>
      </x:c>
      <x:c r="G539" s="6" t="n">
        <x:v>6</x:v>
      </x:c>
      <x:c r="H539" s="6" t="n">
        <x:v>2</x:v>
      </x:c>
      <x:c r="I539" s="6" t="n">
        <x:f>G539-H539</x:f>
        <x:v>4</x:v>
      </x:c>
      <x:c r="J539" s="6" t="n">
        <x:f>IF(OR(E539="CANCELED",E539="SUSPECTED_FRAUD",F539="Shipping canceled"),0,1)</x:f>
        <x:v>1</x:v>
      </x:c>
      <x:c r="K539" s="6" t="n">
        <x:f>IF(G539&gt;H539,1,0)</x:f>
        <x:v>1</x:v>
      </x:c>
      <x:c r="L539" s="6" t="n">
        <x:f>J539*K539</x:f>
        <x:v>1</x:v>
      </x:c>
    </x:row>
    <x:row r="540">
      <x:c r="A540" s="1" t="n">
        <x:v>4564</x:v>
      </x:c>
      <x:c r="B540" s="5" t="d">
        <x:v>2015-03-08T00:00:00.000Z</x:v>
      </x:c>
      <x:c r="C540" s="1" t="str">
        <x:v>Standard Class</x:v>
      </x:c>
      <x:c r="D540" s="1" t="str">
        <x:v>LATAM</x:v>
      </x:c>
      <x:c r="E540" s="1" t="str">
        <x:v>COMPLETE</x:v>
      </x:c>
      <x:c r="F540" s="1" t="str">
        <x:v>Late delivery</x:v>
      </x:c>
      <x:c r="G540" s="6" t="n">
        <x:v>5</x:v>
      </x:c>
      <x:c r="H540" s="6" t="n">
        <x:v>4</x:v>
      </x:c>
      <x:c r="I540" s="6" t="n">
        <x:f>G540-H540</x:f>
        <x:v>1</x:v>
      </x:c>
      <x:c r="J540" s="6" t="n">
        <x:f>IF(OR(E540="CANCELED",E540="SUSPECTED_FRAUD",F540="Shipping canceled"),0,1)</x:f>
        <x:v>1</x:v>
      </x:c>
      <x:c r="K540" s="6" t="n">
        <x:f>IF(G540&gt;H540,1,0)</x:f>
        <x:v>1</x:v>
      </x:c>
      <x:c r="L540" s="6" t="n">
        <x:f>J540*K540</x:f>
        <x:v>1</x:v>
      </x:c>
    </x:row>
    <x:row r="541">
      <x:c r="A541" s="1" t="n">
        <x:v>4570</x:v>
      </x:c>
      <x:c r="B541" s="5" t="d">
        <x:v>2015-03-08T00:00:00.000Z</x:v>
      </x:c>
      <x:c r="C541" s="1" t="str">
        <x:v>Standard Class</x:v>
      </x:c>
      <x:c r="D541" s="1" t="str">
        <x:v>LATAM</x:v>
      </x:c>
      <x:c r="E541" s="1" t="str">
        <x:v>ON_HOLD</x:v>
      </x:c>
      <x:c r="F541" s="1" t="str">
        <x:v>Late delivery</x:v>
      </x:c>
      <x:c r="G541" s="6" t="n">
        <x:v>6</x:v>
      </x:c>
      <x:c r="H541" s="6" t="n">
        <x:v>4</x:v>
      </x:c>
      <x:c r="I541" s="6" t="n">
        <x:f>G541-H541</x:f>
        <x:v>2</x:v>
      </x:c>
      <x:c r="J541" s="6" t="n">
        <x:f>IF(OR(E541="CANCELED",E541="SUSPECTED_FRAUD",F541="Shipping canceled"),0,1)</x:f>
        <x:v>1</x:v>
      </x:c>
      <x:c r="K541" s="6" t="n">
        <x:f>IF(G541&gt;H541,1,0)</x:f>
        <x:v>1</x:v>
      </x:c>
      <x:c r="L541" s="6" t="n">
        <x:f>J541*K541</x:f>
        <x:v>1</x:v>
      </x:c>
    </x:row>
    <x:row r="542">
      <x:c r="A542" s="1" t="n">
        <x:v>4571</x:v>
      </x:c>
      <x:c r="B542" s="5" t="d">
        <x:v>2015-03-08T00:00:00.000Z</x:v>
      </x:c>
      <x:c r="C542" s="1" t="str">
        <x:v>Standard Class</x:v>
      </x:c>
      <x:c r="D542" s="1" t="str">
        <x:v>LATAM</x:v>
      </x:c>
      <x:c r="E542" s="1" t="str">
        <x:v>COMPLETE</x:v>
      </x:c>
      <x:c r="F542" s="1" t="str">
        <x:v>Advance shipping</x:v>
      </x:c>
      <x:c r="G542" s="6" t="n">
        <x:v>2</x:v>
      </x:c>
      <x:c r="H542" s="6" t="n">
        <x:v>4</x:v>
      </x:c>
      <x:c r="I542" s="6" t="n">
        <x:f>G542-H542</x:f>
        <x:v>-2</x:v>
      </x:c>
      <x:c r="J542" s="6" t="n">
        <x:f>IF(OR(E542="CANCELED",E542="SUSPECTED_FRAUD",F542="Shipping canceled"),0,1)</x:f>
        <x:v>1</x:v>
      </x:c>
      <x:c r="K542" s="6" t="n">
        <x:f>IF(G542&gt;H542,1,0)</x:f>
        <x:v>0</x:v>
      </x:c>
      <x:c r="L542" s="6" t="n">
        <x:f>J542*K542</x:f>
        <x:v>0</x:v>
      </x:c>
    </x:row>
    <x:row r="543">
      <x:c r="A543" s="1" t="n">
        <x:v>4587</x:v>
      </x:c>
      <x:c r="B543" s="5" t="d">
        <x:v>2015-03-08T00:00:00.000Z</x:v>
      </x:c>
      <x:c r="C543" s="1" t="str">
        <x:v>Standard Class</x:v>
      </x:c>
      <x:c r="D543" s="1" t="str">
        <x:v>LATAM</x:v>
      </x:c>
      <x:c r="E543" s="1" t="str">
        <x:v>COMPLETE</x:v>
      </x:c>
      <x:c r="F543" s="1" t="str">
        <x:v>Advance shipping</x:v>
      </x:c>
      <x:c r="G543" s="6" t="n">
        <x:v>3</x:v>
      </x:c>
      <x:c r="H543" s="6" t="n">
        <x:v>4</x:v>
      </x:c>
      <x:c r="I543" s="6" t="n">
        <x:f>G543-H543</x:f>
        <x:v>-1</x:v>
      </x:c>
      <x:c r="J543" s="6" t="n">
        <x:f>IF(OR(E543="CANCELED",E543="SUSPECTED_FRAUD",F543="Shipping canceled"),0,1)</x:f>
        <x:v>1</x:v>
      </x:c>
      <x:c r="K543" s="6" t="n">
        <x:f>IF(G543&gt;H543,1,0)</x:f>
        <x:v>0</x:v>
      </x:c>
      <x:c r="L543" s="6" t="n">
        <x:f>J543*K543</x:f>
        <x:v>0</x:v>
      </x:c>
    </x:row>
    <x:row r="544">
      <x:c r="A544" s="1" t="n">
        <x:v>4588</x:v>
      </x:c>
      <x:c r="B544" s="5" t="d">
        <x:v>2015-03-08T00:00:00.000Z</x:v>
      </x:c>
      <x:c r="C544" s="1" t="str">
        <x:v>Standard Class</x:v>
      </x:c>
      <x:c r="D544" s="1" t="str">
        <x:v>LATAM</x:v>
      </x:c>
      <x:c r="E544" s="1" t="str">
        <x:v>PROCESSING</x:v>
      </x:c>
      <x:c r="F544" s="1" t="str">
        <x:v>Shipping on time</x:v>
      </x:c>
      <x:c r="G544" s="6" t="n">
        <x:v>4</x:v>
      </x:c>
      <x:c r="H544" s="6" t="n">
        <x:v>4</x:v>
      </x:c>
      <x:c r="I544" s="6" t="n">
        <x:f>G544-H544</x:f>
        <x:v>0</x:v>
      </x:c>
      <x:c r="J544" s="6" t="n">
        <x:f>IF(OR(E544="CANCELED",E544="SUSPECTED_FRAUD",F544="Shipping canceled"),0,1)</x:f>
        <x:v>1</x:v>
      </x:c>
      <x:c r="K544" s="6" t="n">
        <x:f>IF(G544&gt;H544,1,0)</x:f>
        <x:v>0</x:v>
      </x:c>
      <x:c r="L544" s="6" t="n">
        <x:f>J544*K544</x:f>
        <x:v>0</x:v>
      </x:c>
    </x:row>
    <x:row r="545">
      <x:c r="A545" s="1" t="n">
        <x:v>4592</x:v>
      </x:c>
      <x:c r="B545" s="5" t="d">
        <x:v>2015-03-09T00:00:00.000Z</x:v>
      </x:c>
      <x:c r="C545" s="1" t="str">
        <x:v>Standard Class</x:v>
      </x:c>
      <x:c r="D545" s="1" t="str">
        <x:v>LATAM</x:v>
      </x:c>
      <x:c r="E545" s="1" t="str">
        <x:v>PENDING</x:v>
      </x:c>
      <x:c r="F545" s="1" t="str">
        <x:v>Advance shipping</x:v>
      </x:c>
      <x:c r="G545" s="6" t="n">
        <x:v>3</x:v>
      </x:c>
      <x:c r="H545" s="6" t="n">
        <x:v>4</x:v>
      </x:c>
      <x:c r="I545" s="6" t="n">
        <x:f>G545-H545</x:f>
        <x:v>-1</x:v>
      </x:c>
      <x:c r="J545" s="6" t="n">
        <x:f>IF(OR(E545="CANCELED",E545="SUSPECTED_FRAUD",F545="Shipping canceled"),0,1)</x:f>
        <x:v>1</x:v>
      </x:c>
      <x:c r="K545" s="6" t="n">
        <x:f>IF(G545&gt;H545,1,0)</x:f>
        <x:v>0</x:v>
      </x:c>
      <x:c r="L545" s="6" t="n">
        <x:f>J545*K545</x:f>
        <x:v>0</x:v>
      </x:c>
    </x:row>
    <x:row r="546">
      <x:c r="A546" s="1" t="n">
        <x:v>4593</x:v>
      </x:c>
      <x:c r="B546" s="5" t="d">
        <x:v>2015-03-09T00:00:00.000Z</x:v>
      </x:c>
      <x:c r="C546" s="1" t="str">
        <x:v>Standard Class</x:v>
      </x:c>
      <x:c r="D546" s="1" t="str">
        <x:v>LATAM</x:v>
      </x:c>
      <x:c r="E546" s="1" t="str">
        <x:v>PROCESSING</x:v>
      </x:c>
      <x:c r="F546" s="1" t="str">
        <x:v>Shipping on time</x:v>
      </x:c>
      <x:c r="G546" s="6" t="n">
        <x:v>4</x:v>
      </x:c>
      <x:c r="H546" s="6" t="n">
        <x:v>4</x:v>
      </x:c>
      <x:c r="I546" s="6" t="n">
        <x:f>G546-H546</x:f>
        <x:v>0</x:v>
      </x:c>
      <x:c r="J546" s="6" t="n">
        <x:f>IF(OR(E546="CANCELED",E546="SUSPECTED_FRAUD",F546="Shipping canceled"),0,1)</x:f>
        <x:v>1</x:v>
      </x:c>
      <x:c r="K546" s="6" t="n">
        <x:f>IF(G546&gt;H546,1,0)</x:f>
        <x:v>0</x:v>
      </x:c>
      <x:c r="L546" s="6" t="n">
        <x:f>J546*K546</x:f>
        <x:v>0</x:v>
      </x:c>
    </x:row>
    <x:row r="547">
      <x:c r="A547" s="1" t="n">
        <x:v>4597</x:v>
      </x:c>
      <x:c r="B547" s="5" t="d">
        <x:v>2015-03-09T00:00:00.000Z</x:v>
      </x:c>
      <x:c r="C547" s="1" t="str">
        <x:v>Standard Class</x:v>
      </x:c>
      <x:c r="D547" s="1" t="str">
        <x:v>LATAM</x:v>
      </x:c>
      <x:c r="E547" s="1" t="str">
        <x:v>COMPLETE</x:v>
      </x:c>
      <x:c r="F547" s="1" t="str">
        <x:v>Advance shipping</x:v>
      </x:c>
      <x:c r="G547" s="6" t="n">
        <x:v>3</x:v>
      </x:c>
      <x:c r="H547" s="6" t="n">
        <x:v>4</x:v>
      </x:c>
      <x:c r="I547" s="6" t="n">
        <x:f>G547-H547</x:f>
        <x:v>-1</x:v>
      </x:c>
      <x:c r="J547" s="6" t="n">
        <x:f>IF(OR(E547="CANCELED",E547="SUSPECTED_FRAUD",F547="Shipping canceled"),0,1)</x:f>
        <x:v>1</x:v>
      </x:c>
      <x:c r="K547" s="6" t="n">
        <x:f>IF(G547&gt;H547,1,0)</x:f>
        <x:v>0</x:v>
      </x:c>
      <x:c r="L547" s="6" t="n">
        <x:f>J547*K547</x:f>
        <x:v>0</x:v>
      </x:c>
    </x:row>
    <x:row r="548">
      <x:c r="A548" s="1" t="n">
        <x:v>4611</x:v>
      </x:c>
      <x:c r="B548" s="5" t="d">
        <x:v>2015-03-09T00:00:00.000Z</x:v>
      </x:c>
      <x:c r="C548" s="1" t="str">
        <x:v>Second Class</x:v>
      </x:c>
      <x:c r="D548" s="1" t="str">
        <x:v>LATAM</x:v>
      </x:c>
      <x:c r="E548" s="1" t="str">
        <x:v>COMPLETE</x:v>
      </x:c>
      <x:c r="F548" s="1" t="str">
        <x:v>Shipping on time</x:v>
      </x:c>
      <x:c r="G548" s="6" t="n">
        <x:v>2</x:v>
      </x:c>
      <x:c r="H548" s="6" t="n">
        <x:v>2</x:v>
      </x:c>
      <x:c r="I548" s="6" t="n">
        <x:f>G548-H548</x:f>
        <x:v>0</x:v>
      </x:c>
      <x:c r="J548" s="6" t="n">
        <x:f>IF(OR(E548="CANCELED",E548="SUSPECTED_FRAUD",F548="Shipping canceled"),0,1)</x:f>
        <x:v>1</x:v>
      </x:c>
      <x:c r="K548" s="6" t="n">
        <x:f>IF(G548&gt;H548,1,0)</x:f>
        <x:v>0</x:v>
      </x:c>
      <x:c r="L548" s="6" t="n">
        <x:f>J548*K548</x:f>
        <x:v>0</x:v>
      </x:c>
    </x:row>
    <x:row r="549">
      <x:c r="A549" s="1" t="n">
        <x:v>4616</x:v>
      </x:c>
      <x:c r="B549" s="5" t="d">
        <x:v>2015-03-09T00:00:00.000Z</x:v>
      </x:c>
      <x:c r="C549" s="1" t="str">
        <x:v>Standard Class</x:v>
      </x:c>
      <x:c r="D549" s="1" t="str">
        <x:v>LATAM</x:v>
      </x:c>
      <x:c r="E549" s="1" t="str">
        <x:v>PENDING</x:v>
      </x:c>
      <x:c r="F549" s="1" t="str">
        <x:v>Advance shipping</x:v>
      </x:c>
      <x:c r="G549" s="6" t="n">
        <x:v>2</x:v>
      </x:c>
      <x:c r="H549" s="6" t="n">
        <x:v>4</x:v>
      </x:c>
      <x:c r="I549" s="6" t="n">
        <x:f>G549-H549</x:f>
        <x:v>-2</x:v>
      </x:c>
      <x:c r="J549" s="6" t="n">
        <x:f>IF(OR(E549="CANCELED",E549="SUSPECTED_FRAUD",F549="Shipping canceled"),0,1)</x:f>
        <x:v>1</x:v>
      </x:c>
      <x:c r="K549" s="6" t="n">
        <x:f>IF(G549&gt;H549,1,0)</x:f>
        <x:v>0</x:v>
      </x:c>
      <x:c r="L549" s="6" t="n">
        <x:f>J549*K549</x:f>
        <x:v>0</x:v>
      </x:c>
    </x:row>
    <x:row r="550">
      <x:c r="A550" s="1" t="n">
        <x:v>4660</x:v>
      </x:c>
      <x:c r="B550" s="5" t="d">
        <x:v>2015-03-10T00:00:00.000Z</x:v>
      </x:c>
      <x:c r="C550" s="1" t="str">
        <x:v>Standard Class</x:v>
      </x:c>
      <x:c r="D550" s="1" t="str">
        <x:v>LATAM</x:v>
      </x:c>
      <x:c r="E550" s="1" t="str">
        <x:v>PROCESSING</x:v>
      </x:c>
      <x:c r="F550" s="1" t="str">
        <x:v>Late delivery</x:v>
      </x:c>
      <x:c r="G550" s="6" t="n">
        <x:v>6</x:v>
      </x:c>
      <x:c r="H550" s="6" t="n">
        <x:v>4</x:v>
      </x:c>
      <x:c r="I550" s="6" t="n">
        <x:f>G550-H550</x:f>
        <x:v>2</x:v>
      </x:c>
      <x:c r="J550" s="6" t="n">
        <x:f>IF(OR(E550="CANCELED",E550="SUSPECTED_FRAUD",F550="Shipping canceled"),0,1)</x:f>
        <x:v>1</x:v>
      </x:c>
      <x:c r="K550" s="6" t="n">
        <x:f>IF(G550&gt;H550,1,0)</x:f>
        <x:v>1</x:v>
      </x:c>
      <x:c r="L550" s="6" t="n">
        <x:f>J550*K550</x:f>
        <x:v>1</x:v>
      </x:c>
    </x:row>
    <x:row r="551">
      <x:c r="A551" s="1" t="n">
        <x:v>4662</x:v>
      </x:c>
      <x:c r="B551" s="5" t="d">
        <x:v>2015-03-10T00:00:00.000Z</x:v>
      </x:c>
      <x:c r="C551" s="1" t="str">
        <x:v>Standard Class</x:v>
      </x:c>
      <x:c r="D551" s="1" t="str">
        <x:v>LATAM</x:v>
      </x:c>
      <x:c r="E551" s="1" t="str">
        <x:v>COMPLETE</x:v>
      </x:c>
      <x:c r="F551" s="1" t="str">
        <x:v>Advance shipping</x:v>
      </x:c>
      <x:c r="G551" s="6" t="n">
        <x:v>3</x:v>
      </x:c>
      <x:c r="H551" s="6" t="n">
        <x:v>4</x:v>
      </x:c>
      <x:c r="I551" s="6" t="n">
        <x:f>G551-H551</x:f>
        <x:v>-1</x:v>
      </x:c>
      <x:c r="J551" s="6" t="n">
        <x:f>IF(OR(E551="CANCELED",E551="SUSPECTED_FRAUD",F551="Shipping canceled"),0,1)</x:f>
        <x:v>1</x:v>
      </x:c>
      <x:c r="K551" s="6" t="n">
        <x:f>IF(G551&gt;H551,1,0)</x:f>
        <x:v>0</x:v>
      </x:c>
      <x:c r="L551" s="6" t="n">
        <x:f>J551*K551</x:f>
        <x:v>0</x:v>
      </x:c>
    </x:row>
    <x:row r="552">
      <x:c r="A552" s="1" t="n">
        <x:v>4669</x:v>
      </x:c>
      <x:c r="B552" s="5" t="d">
        <x:v>2015-03-10T00:00:00.000Z</x:v>
      </x:c>
      <x:c r="C552" s="1" t="str">
        <x:v>First Class</x:v>
      </x:c>
      <x:c r="D552" s="1" t="str">
        <x:v>LATAM</x:v>
      </x:c>
      <x:c r="E552" s="1" t="str">
        <x:v>CLOSED</x:v>
      </x:c>
      <x:c r="F552" s="1" t="str">
        <x:v>Late delivery</x:v>
      </x:c>
      <x:c r="G552" s="6" t="n">
        <x:v>2</x:v>
      </x:c>
      <x:c r="H552" s="6" t="n">
        <x:v>1</x:v>
      </x:c>
      <x:c r="I552" s="6" t="n">
        <x:f>G552-H552</x:f>
        <x:v>1</x:v>
      </x:c>
      <x:c r="J552" s="6" t="n">
        <x:f>IF(OR(E552="CANCELED",E552="SUSPECTED_FRAUD",F552="Shipping canceled"),0,1)</x:f>
        <x:v>1</x:v>
      </x:c>
      <x:c r="K552" s="6" t="n">
        <x:f>IF(G552&gt;H552,1,0)</x:f>
        <x:v>1</x:v>
      </x:c>
      <x:c r="L552" s="6" t="n">
        <x:f>J552*K552</x:f>
        <x:v>1</x:v>
      </x:c>
    </x:row>
    <x:row r="553">
      <x:c r="A553" s="1" t="n">
        <x:v>4678</x:v>
      </x:c>
      <x:c r="B553" s="5" t="d">
        <x:v>2015-03-10T00:00:00.000Z</x:v>
      </x:c>
      <x:c r="C553" s="1" t="str">
        <x:v>Standard Class</x:v>
      </x:c>
      <x:c r="D553" s="1" t="str">
        <x:v>LATAM</x:v>
      </x:c>
      <x:c r="E553" s="1" t="str">
        <x:v>COMPLETE</x:v>
      </x:c>
      <x:c r="F553" s="1" t="str">
        <x:v>Shipping on time</x:v>
      </x:c>
      <x:c r="G553" s="6" t="n">
        <x:v>4</x:v>
      </x:c>
      <x:c r="H553" s="6" t="n">
        <x:v>4</x:v>
      </x:c>
      <x:c r="I553" s="6" t="n">
        <x:f>G553-H553</x:f>
        <x:v>0</x:v>
      </x:c>
      <x:c r="J553" s="6" t="n">
        <x:f>IF(OR(E553="CANCELED",E553="SUSPECTED_FRAUD",F553="Shipping canceled"),0,1)</x:f>
        <x:v>1</x:v>
      </x:c>
      <x:c r="K553" s="6" t="n">
        <x:f>IF(G553&gt;H553,1,0)</x:f>
        <x:v>0</x:v>
      </x:c>
      <x:c r="L553" s="6" t="n">
        <x:f>J553*K553</x:f>
        <x:v>0</x:v>
      </x:c>
    </x:row>
    <x:row r="554">
      <x:c r="A554" s="1" t="n">
        <x:v>4687</x:v>
      </x:c>
      <x:c r="B554" s="5" t="d">
        <x:v>2015-03-10T00:00:00.000Z</x:v>
      </x:c>
      <x:c r="C554" s="1" t="str">
        <x:v>Standard Class</x:v>
      </x:c>
      <x:c r="D554" s="1" t="str">
        <x:v>LATAM</x:v>
      </x:c>
      <x:c r="E554" s="1" t="str">
        <x:v>COMPLETE</x:v>
      </x:c>
      <x:c r="F554" s="1" t="str">
        <x:v>Advance shipping</x:v>
      </x:c>
      <x:c r="G554" s="6" t="n">
        <x:v>3</x:v>
      </x:c>
      <x:c r="H554" s="6" t="n">
        <x:v>4</x:v>
      </x:c>
      <x:c r="I554" s="6" t="n">
        <x:f>G554-H554</x:f>
        <x:v>-1</x:v>
      </x:c>
      <x:c r="J554" s="6" t="n">
        <x:f>IF(OR(E554="CANCELED",E554="SUSPECTED_FRAUD",F554="Shipping canceled"),0,1)</x:f>
        <x:v>1</x:v>
      </x:c>
      <x:c r="K554" s="6" t="n">
        <x:f>IF(G554&gt;H554,1,0)</x:f>
        <x:v>0</x:v>
      </x:c>
      <x:c r="L554" s="6" t="n">
        <x:f>J554*K554</x:f>
        <x:v>0</x:v>
      </x:c>
    </x:row>
    <x:row r="555">
      <x:c r="A555" s="1" t="n">
        <x:v>4699</x:v>
      </x:c>
      <x:c r="B555" s="5" t="d">
        <x:v>2015-03-10T00:00:00.000Z</x:v>
      </x:c>
      <x:c r="C555" s="1" t="str">
        <x:v>Standard Class</x:v>
      </x:c>
      <x:c r="D555" s="1" t="str">
        <x:v>LATAM</x:v>
      </x:c>
      <x:c r="E555" s="1" t="str">
        <x:v>CLOSED</x:v>
      </x:c>
      <x:c r="F555" s="1" t="str">
        <x:v>Late delivery</x:v>
      </x:c>
      <x:c r="G555" s="6" t="n">
        <x:v>5</x:v>
      </x:c>
      <x:c r="H555" s="6" t="n">
        <x:v>4</x:v>
      </x:c>
      <x:c r="I555" s="6" t="n">
        <x:f>G555-H555</x:f>
        <x:v>1</x:v>
      </x:c>
      <x:c r="J555" s="6" t="n">
        <x:f>IF(OR(E555="CANCELED",E555="SUSPECTED_FRAUD",F555="Shipping canceled"),0,1)</x:f>
        <x:v>1</x:v>
      </x:c>
      <x:c r="K555" s="6" t="n">
        <x:f>IF(G555&gt;H555,1,0)</x:f>
        <x:v>1</x:v>
      </x:c>
      <x:c r="L555" s="6" t="n">
        <x:f>J555*K555</x:f>
        <x:v>1</x:v>
      </x:c>
    </x:row>
    <x:row r="556">
      <x:c r="A556" s="1" t="n">
        <x:v>4719</x:v>
      </x:c>
      <x:c r="B556" s="5" t="d">
        <x:v>2015-03-10T00:00:00.000Z</x:v>
      </x:c>
      <x:c r="C556" s="1" t="str">
        <x:v>First Class</x:v>
      </x:c>
      <x:c r="D556" s="1" t="str">
        <x:v>LATAM</x:v>
      </x:c>
      <x:c r="E556" s="1" t="str">
        <x:v>PENDING</x:v>
      </x:c>
      <x:c r="F556" s="1" t="str">
        <x:v>Late delivery</x:v>
      </x:c>
      <x:c r="G556" s="6" t="n">
        <x:v>2</x:v>
      </x:c>
      <x:c r="H556" s="6" t="n">
        <x:v>1</x:v>
      </x:c>
      <x:c r="I556" s="6" t="n">
        <x:f>G556-H556</x:f>
        <x:v>1</x:v>
      </x:c>
      <x:c r="J556" s="6" t="n">
        <x:f>IF(OR(E556="CANCELED",E556="SUSPECTED_FRAUD",F556="Shipping canceled"),0,1)</x:f>
        <x:v>1</x:v>
      </x:c>
      <x:c r="K556" s="6" t="n">
        <x:f>IF(G556&gt;H556,1,0)</x:f>
        <x:v>1</x:v>
      </x:c>
      <x:c r="L556" s="6" t="n">
        <x:f>J556*K556</x:f>
        <x:v>1</x:v>
      </x:c>
    </x:row>
    <x:row r="557">
      <x:c r="A557" s="1" t="n">
        <x:v>4723</x:v>
      </x:c>
      <x:c r="B557" s="5" t="d">
        <x:v>2015-03-10T00:00:00.000Z</x:v>
      </x:c>
      <x:c r="C557" s="1" t="str">
        <x:v>Standard Class</x:v>
      </x:c>
      <x:c r="D557" s="1" t="str">
        <x:v>LATAM</x:v>
      </x:c>
      <x:c r="E557" s="1" t="str">
        <x:v>PROCESSING</x:v>
      </x:c>
      <x:c r="F557" s="1" t="str">
        <x:v>Shipping on time</x:v>
      </x:c>
      <x:c r="G557" s="6" t="n">
        <x:v>4</x:v>
      </x:c>
      <x:c r="H557" s="6" t="n">
        <x:v>4</x:v>
      </x:c>
      <x:c r="I557" s="6" t="n">
        <x:f>G557-H557</x:f>
        <x:v>0</x:v>
      </x:c>
      <x:c r="J557" s="6" t="n">
        <x:f>IF(OR(E557="CANCELED",E557="SUSPECTED_FRAUD",F557="Shipping canceled"),0,1)</x:f>
        <x:v>1</x:v>
      </x:c>
      <x:c r="K557" s="6" t="n">
        <x:f>IF(G557&gt;H557,1,0)</x:f>
        <x:v>0</x:v>
      </x:c>
      <x:c r="L557" s="6" t="n">
        <x:f>J557*K557</x:f>
        <x:v>0</x:v>
      </x:c>
    </x:row>
    <x:row r="558">
      <x:c r="A558" s="1" t="n">
        <x:v>4728</x:v>
      </x:c>
      <x:c r="B558" s="5" t="d">
        <x:v>2015-03-11T00:00:00.000Z</x:v>
      </x:c>
      <x:c r="C558" s="1" t="str">
        <x:v>Standard Class</x:v>
      </x:c>
      <x:c r="D558" s="1" t="str">
        <x:v>LATAM</x:v>
      </x:c>
      <x:c r="E558" s="1" t="str">
        <x:v>CLOSED</x:v>
      </x:c>
      <x:c r="F558" s="1" t="str">
        <x:v>Shipping on time</x:v>
      </x:c>
      <x:c r="G558" s="6" t="n">
        <x:v>4</x:v>
      </x:c>
      <x:c r="H558" s="6" t="n">
        <x:v>4</x:v>
      </x:c>
      <x:c r="I558" s="6" t="n">
        <x:f>G558-H558</x:f>
        <x:v>0</x:v>
      </x:c>
      <x:c r="J558" s="6" t="n">
        <x:f>IF(OR(E558="CANCELED",E558="SUSPECTED_FRAUD",F558="Shipping canceled"),0,1)</x:f>
        <x:v>1</x:v>
      </x:c>
      <x:c r="K558" s="6" t="n">
        <x:f>IF(G558&gt;H558,1,0)</x:f>
        <x:v>0</x:v>
      </x:c>
      <x:c r="L558" s="6" t="n">
        <x:f>J558*K558</x:f>
        <x:v>0</x:v>
      </x:c>
    </x:row>
    <x:row r="559">
      <x:c r="A559" s="1" t="n">
        <x:v>4732</x:v>
      </x:c>
      <x:c r="B559" s="5" t="d">
        <x:v>2015-03-11T00:00:00.000Z</x:v>
      </x:c>
      <x:c r="C559" s="1" t="str">
        <x:v>Standard Class</x:v>
      </x:c>
      <x:c r="D559" s="1" t="str">
        <x:v>LATAM</x:v>
      </x:c>
      <x:c r="E559" s="1" t="str">
        <x:v>PENDING_PAYMENT</x:v>
      </x:c>
      <x:c r="F559" s="1" t="str">
        <x:v>Advance shipping</x:v>
      </x:c>
      <x:c r="G559" s="6" t="n">
        <x:v>3</x:v>
      </x:c>
      <x:c r="H559" s="6" t="n">
        <x:v>4</x:v>
      </x:c>
      <x:c r="I559" s="6" t="n">
        <x:f>G559-H559</x:f>
        <x:v>-1</x:v>
      </x:c>
      <x:c r="J559" s="6" t="n">
        <x:f>IF(OR(E559="CANCELED",E559="SUSPECTED_FRAUD",F559="Shipping canceled"),0,1)</x:f>
        <x:v>1</x:v>
      </x:c>
      <x:c r="K559" s="6" t="n">
        <x:f>IF(G559&gt;H559,1,0)</x:f>
        <x:v>0</x:v>
      </x:c>
      <x:c r="L559" s="6" t="n">
        <x:f>J559*K559</x:f>
        <x:v>0</x:v>
      </x:c>
    </x:row>
    <x:row r="560">
      <x:c r="A560" s="1" t="n">
        <x:v>4739</x:v>
      </x:c>
      <x:c r="B560" s="5" t="d">
        <x:v>2015-03-11T00:00:00.000Z</x:v>
      </x:c>
      <x:c r="C560" s="1" t="str">
        <x:v>Second Class</x:v>
      </x:c>
      <x:c r="D560" s="1" t="str">
        <x:v>LATAM</x:v>
      </x:c>
      <x:c r="E560" s="1" t="str">
        <x:v>COMPLETE</x:v>
      </x:c>
      <x:c r="F560" s="1" t="str">
        <x:v>Late delivery</x:v>
      </x:c>
      <x:c r="G560" s="6" t="n">
        <x:v>5</x:v>
      </x:c>
      <x:c r="H560" s="6" t="n">
        <x:v>2</x:v>
      </x:c>
      <x:c r="I560" s="6" t="n">
        <x:f>G560-H560</x:f>
        <x:v>3</x:v>
      </x:c>
      <x:c r="J560" s="6" t="n">
        <x:f>IF(OR(E560="CANCELED",E560="SUSPECTED_FRAUD",F560="Shipping canceled"),0,1)</x:f>
        <x:v>1</x:v>
      </x:c>
      <x:c r="K560" s="6" t="n">
        <x:f>IF(G560&gt;H560,1,0)</x:f>
        <x:v>1</x:v>
      </x:c>
      <x:c r="L560" s="6" t="n">
        <x:f>J560*K560</x:f>
        <x:v>1</x:v>
      </x:c>
    </x:row>
    <x:row r="561">
      <x:c r="A561" s="1" t="n">
        <x:v>4744</x:v>
      </x:c>
      <x:c r="B561" s="5" t="d">
        <x:v>2015-03-11T00:00:00.000Z</x:v>
      </x:c>
      <x:c r="C561" s="1" t="str">
        <x:v>Standard Class</x:v>
      </x:c>
      <x:c r="D561" s="1" t="str">
        <x:v>LATAM</x:v>
      </x:c>
      <x:c r="E561" s="1" t="str">
        <x:v>SUSPECTED_FRAUD</x:v>
      </x:c>
      <x:c r="F561" s="1" t="str">
        <x:v>Shipping canceled</x:v>
      </x:c>
      <x:c r="G561" s="6" t="n">
        <x:v>5</x:v>
      </x:c>
      <x:c r="H561" s="6" t="n">
        <x:v>4</x:v>
      </x:c>
      <x:c r="I561" s="6" t="n">
        <x:f>G561-H561</x:f>
        <x:v>1</x:v>
      </x:c>
      <x:c r="J561" s="6" t="n">
        <x:f>IF(OR(E561="CANCELED",E561="SUSPECTED_FRAUD",F561="Shipping canceled"),0,1)</x:f>
        <x:v>0</x:v>
      </x:c>
      <x:c r="K561" s="6" t="n">
        <x:f>IF(G561&gt;H561,1,0)</x:f>
        <x:v>1</x:v>
      </x:c>
      <x:c r="L561" s="6" t="n">
        <x:f>J561*K561</x:f>
        <x:v>0</x:v>
      </x:c>
    </x:row>
    <x:row r="562">
      <x:c r="A562" s="1" t="n">
        <x:v>4756</x:v>
      </x:c>
      <x:c r="B562" s="5" t="d">
        <x:v>2015-03-11T00:00:00.000Z</x:v>
      </x:c>
      <x:c r="C562" s="1" t="str">
        <x:v>Standard Class</x:v>
      </x:c>
      <x:c r="D562" s="1" t="str">
        <x:v>LATAM</x:v>
      </x:c>
      <x:c r="E562" s="1" t="str">
        <x:v>CANCELED</x:v>
      </x:c>
      <x:c r="F562" s="1" t="str">
        <x:v>Shipping canceled</x:v>
      </x:c>
      <x:c r="G562" s="6" t="n">
        <x:v>2</x:v>
      </x:c>
      <x:c r="H562" s="6" t="n">
        <x:v>4</x:v>
      </x:c>
      <x:c r="I562" s="6" t="n">
        <x:f>G562-H562</x:f>
        <x:v>-2</x:v>
      </x:c>
      <x:c r="J562" s="6" t="n">
        <x:f>IF(OR(E562="CANCELED",E562="SUSPECTED_FRAUD",F562="Shipping canceled"),0,1)</x:f>
        <x:v>0</x:v>
      </x:c>
      <x:c r="K562" s="6" t="n">
        <x:f>IF(G562&gt;H562,1,0)</x:f>
        <x:v>0</x:v>
      </x:c>
      <x:c r="L562" s="6" t="n">
        <x:f>J562*K562</x:f>
        <x:v>0</x:v>
      </x:c>
    </x:row>
    <x:row r="563">
      <x:c r="A563" s="1" t="n">
        <x:v>4757</x:v>
      </x:c>
      <x:c r="B563" s="5" t="d">
        <x:v>2015-03-11T00:00:00.000Z</x:v>
      </x:c>
      <x:c r="C563" s="1" t="str">
        <x:v>Standard Class</x:v>
      </x:c>
      <x:c r="D563" s="1" t="str">
        <x:v>LATAM</x:v>
      </x:c>
      <x:c r="E563" s="1" t="str">
        <x:v>PROCESSING</x:v>
      </x:c>
      <x:c r="F563" s="1" t="str">
        <x:v>Advance shipping</x:v>
      </x:c>
      <x:c r="G563" s="6" t="n">
        <x:v>3</x:v>
      </x:c>
      <x:c r="H563" s="6" t="n">
        <x:v>4</x:v>
      </x:c>
      <x:c r="I563" s="6" t="n">
        <x:f>G563-H563</x:f>
        <x:v>-1</x:v>
      </x:c>
      <x:c r="J563" s="6" t="n">
        <x:f>IF(OR(E563="CANCELED",E563="SUSPECTED_FRAUD",F563="Shipping canceled"),0,1)</x:f>
        <x:v>1</x:v>
      </x:c>
      <x:c r="K563" s="6" t="n">
        <x:f>IF(G563&gt;H563,1,0)</x:f>
        <x:v>0</x:v>
      </x:c>
      <x:c r="L563" s="6" t="n">
        <x:f>J563*K563</x:f>
        <x:v>0</x:v>
      </x:c>
    </x:row>
    <x:row r="564">
      <x:c r="A564" s="1" t="n">
        <x:v>4787</x:v>
      </x:c>
      <x:c r="B564" s="5" t="d">
        <x:v>2015-03-11T00:00:00.000Z</x:v>
      </x:c>
      <x:c r="C564" s="1" t="str">
        <x:v>Standard Class</x:v>
      </x:c>
      <x:c r="D564" s="1" t="str">
        <x:v>LATAM</x:v>
      </x:c>
      <x:c r="E564" s="1" t="str">
        <x:v>PENDING</x:v>
      </x:c>
      <x:c r="F564" s="1" t="str">
        <x:v>Advance shipping</x:v>
      </x:c>
      <x:c r="G564" s="6" t="n">
        <x:v>3</x:v>
      </x:c>
      <x:c r="H564" s="6" t="n">
        <x:v>4</x:v>
      </x:c>
      <x:c r="I564" s="6" t="n">
        <x:f>G564-H564</x:f>
        <x:v>-1</x:v>
      </x:c>
      <x:c r="J564" s="6" t="n">
        <x:f>IF(OR(E564="CANCELED",E564="SUSPECTED_FRAUD",F564="Shipping canceled"),0,1)</x:f>
        <x:v>1</x:v>
      </x:c>
      <x:c r="K564" s="6" t="n">
        <x:f>IF(G564&gt;H564,1,0)</x:f>
        <x:v>0</x:v>
      </x:c>
      <x:c r="L564" s="6" t="n">
        <x:f>J564*K564</x:f>
        <x:v>0</x:v>
      </x:c>
    </x:row>
    <x:row r="565">
      <x:c r="A565" s="1" t="n">
        <x:v>4799</x:v>
      </x:c>
      <x:c r="B565" s="5" t="d">
        <x:v>2015-03-12T00:00:00.000Z</x:v>
      </x:c>
      <x:c r="C565" s="1" t="str">
        <x:v>Standard Class</x:v>
      </x:c>
      <x:c r="D565" s="1" t="str">
        <x:v>LATAM</x:v>
      </x:c>
      <x:c r="E565" s="1" t="str">
        <x:v>PENDING_PAYMENT</x:v>
      </x:c>
      <x:c r="F565" s="1" t="str">
        <x:v>Late delivery</x:v>
      </x:c>
      <x:c r="G565" s="6" t="n">
        <x:v>5</x:v>
      </x:c>
      <x:c r="H565" s="6" t="n">
        <x:v>4</x:v>
      </x:c>
      <x:c r="I565" s="6" t="n">
        <x:f>G565-H565</x:f>
        <x:v>1</x:v>
      </x:c>
      <x:c r="J565" s="6" t="n">
        <x:f>IF(OR(E565="CANCELED",E565="SUSPECTED_FRAUD",F565="Shipping canceled"),0,1)</x:f>
        <x:v>1</x:v>
      </x:c>
      <x:c r="K565" s="6" t="n">
        <x:f>IF(G565&gt;H565,1,0)</x:f>
        <x:v>1</x:v>
      </x:c>
      <x:c r="L565" s="6" t="n">
        <x:f>J565*K565</x:f>
        <x:v>1</x:v>
      </x:c>
    </x:row>
    <x:row r="566">
      <x:c r="A566" s="1" t="n">
        <x:v>4807</x:v>
      </x:c>
      <x:c r="B566" s="5" t="d">
        <x:v>2015-03-12T00:00:00.000Z</x:v>
      </x:c>
      <x:c r="C566" s="1" t="str">
        <x:v>Standard Class</x:v>
      </x:c>
      <x:c r="D566" s="1" t="str">
        <x:v>LATAM</x:v>
      </x:c>
      <x:c r="E566" s="1" t="str">
        <x:v>PENDING_PAYMENT</x:v>
      </x:c>
      <x:c r="F566" s="1" t="str">
        <x:v>Advance shipping</x:v>
      </x:c>
      <x:c r="G566" s="6" t="n">
        <x:v>3</x:v>
      </x:c>
      <x:c r="H566" s="6" t="n">
        <x:v>4</x:v>
      </x:c>
      <x:c r="I566" s="6" t="n">
        <x:f>G566-H566</x:f>
        <x:v>-1</x:v>
      </x:c>
      <x:c r="J566" s="6" t="n">
        <x:f>IF(OR(E566="CANCELED",E566="SUSPECTED_FRAUD",F566="Shipping canceled"),0,1)</x:f>
        <x:v>1</x:v>
      </x:c>
      <x:c r="K566" s="6" t="n">
        <x:f>IF(G566&gt;H566,1,0)</x:f>
        <x:v>0</x:v>
      </x:c>
      <x:c r="L566" s="6" t="n">
        <x:f>J566*K566</x:f>
        <x:v>0</x:v>
      </x:c>
    </x:row>
    <x:row r="567">
      <x:c r="A567" s="1" t="n">
        <x:v>4808</x:v>
      </x:c>
      <x:c r="B567" s="5" t="d">
        <x:v>2015-03-12T00:00:00.000Z</x:v>
      </x:c>
      <x:c r="C567" s="1" t="str">
        <x:v>Standard Class</x:v>
      </x:c>
      <x:c r="D567" s="1" t="str">
        <x:v>LATAM</x:v>
      </x:c>
      <x:c r="E567" s="1" t="str">
        <x:v>COMPLETE</x:v>
      </x:c>
      <x:c r="F567" s="1" t="str">
        <x:v>Shipping on time</x:v>
      </x:c>
      <x:c r="G567" s="6" t="n">
        <x:v>4</x:v>
      </x:c>
      <x:c r="H567" s="6" t="n">
        <x:v>4</x:v>
      </x:c>
      <x:c r="I567" s="6" t="n">
        <x:f>G567-H567</x:f>
        <x:v>0</x:v>
      </x:c>
      <x:c r="J567" s="6" t="n">
        <x:f>IF(OR(E567="CANCELED",E567="SUSPECTED_FRAUD",F567="Shipping canceled"),0,1)</x:f>
        <x:v>1</x:v>
      </x:c>
      <x:c r="K567" s="6" t="n">
        <x:f>IF(G567&gt;H567,1,0)</x:f>
        <x:v>0</x:v>
      </x:c>
      <x:c r="L567" s="6" t="n">
        <x:f>J567*K567</x:f>
        <x:v>0</x:v>
      </x:c>
    </x:row>
    <x:row r="568">
      <x:c r="A568" s="1" t="n">
        <x:v>4819</x:v>
      </x:c>
      <x:c r="B568" s="5" t="d">
        <x:v>2015-03-12T00:00:00.000Z</x:v>
      </x:c>
      <x:c r="C568" s="1" t="str">
        <x:v>First Class</x:v>
      </x:c>
      <x:c r="D568" s="1" t="str">
        <x:v>LATAM</x:v>
      </x:c>
      <x:c r="E568" s="1" t="str">
        <x:v>PENDING_PAYMENT</x:v>
      </x:c>
      <x:c r="F568" s="1" t="str">
        <x:v>Late delivery</x:v>
      </x:c>
      <x:c r="G568" s="6" t="n">
        <x:v>2</x:v>
      </x:c>
      <x:c r="H568" s="6" t="n">
        <x:v>1</x:v>
      </x:c>
      <x:c r="I568" s="6" t="n">
        <x:f>G568-H568</x:f>
        <x:v>1</x:v>
      </x:c>
      <x:c r="J568" s="6" t="n">
        <x:f>IF(OR(E568="CANCELED",E568="SUSPECTED_FRAUD",F568="Shipping canceled"),0,1)</x:f>
        <x:v>1</x:v>
      </x:c>
      <x:c r="K568" s="6" t="n">
        <x:f>IF(G568&gt;H568,1,0)</x:f>
        <x:v>1</x:v>
      </x:c>
      <x:c r="L568" s="6" t="n">
        <x:f>J568*K568</x:f>
        <x:v>1</x:v>
      </x:c>
    </x:row>
    <x:row r="569">
      <x:c r="A569" s="1" t="n">
        <x:v>4825</x:v>
      </x:c>
      <x:c r="B569" s="5" t="d">
        <x:v>2015-03-12T00:00:00.000Z</x:v>
      </x:c>
      <x:c r="C569" s="1" t="str">
        <x:v>Standard Class</x:v>
      </x:c>
      <x:c r="D569" s="1" t="str">
        <x:v>LATAM</x:v>
      </x:c>
      <x:c r="E569" s="1" t="str">
        <x:v>PENDING_PAYMENT</x:v>
      </x:c>
      <x:c r="F569" s="1" t="str">
        <x:v>Late delivery</x:v>
      </x:c>
      <x:c r="G569" s="6" t="n">
        <x:v>6</x:v>
      </x:c>
      <x:c r="H569" s="6" t="n">
        <x:v>4</x:v>
      </x:c>
      <x:c r="I569" s="6" t="n">
        <x:f>G569-H569</x:f>
        <x:v>2</x:v>
      </x:c>
      <x:c r="J569" s="6" t="n">
        <x:f>IF(OR(E569="CANCELED",E569="SUSPECTED_FRAUD",F569="Shipping canceled"),0,1)</x:f>
        <x:v>1</x:v>
      </x:c>
      <x:c r="K569" s="6" t="n">
        <x:f>IF(G569&gt;H569,1,0)</x:f>
        <x:v>1</x:v>
      </x:c>
      <x:c r="L569" s="6" t="n">
        <x:f>J569*K569</x:f>
        <x:v>1</x:v>
      </x:c>
    </x:row>
    <x:row r="570">
      <x:c r="A570" s="1" t="n">
        <x:v>4829</x:v>
      </x:c>
      <x:c r="B570" s="5" t="d">
        <x:v>2015-03-12T00:00:00.000Z</x:v>
      </x:c>
      <x:c r="C570" s="1" t="str">
        <x:v>Standard Class</x:v>
      </x:c>
      <x:c r="D570" s="1" t="str">
        <x:v>LATAM</x:v>
      </x:c>
      <x:c r="E570" s="1" t="str">
        <x:v>COMPLETE</x:v>
      </x:c>
      <x:c r="F570" s="1" t="str">
        <x:v>Late delivery</x:v>
      </x:c>
      <x:c r="G570" s="6" t="n">
        <x:v>5</x:v>
      </x:c>
      <x:c r="H570" s="6" t="n">
        <x:v>4</x:v>
      </x:c>
      <x:c r="I570" s="6" t="n">
        <x:f>G570-H570</x:f>
        <x:v>1</x:v>
      </x:c>
      <x:c r="J570" s="6" t="n">
        <x:f>IF(OR(E570="CANCELED",E570="SUSPECTED_FRAUD",F570="Shipping canceled"),0,1)</x:f>
        <x:v>1</x:v>
      </x:c>
      <x:c r="K570" s="6" t="n">
        <x:f>IF(G570&gt;H570,1,0)</x:f>
        <x:v>1</x:v>
      </x:c>
      <x:c r="L570" s="6" t="n">
        <x:f>J570*K570</x:f>
        <x:v>1</x:v>
      </x:c>
    </x:row>
    <x:row r="571">
      <x:c r="A571" s="1" t="n">
        <x:v>4841</x:v>
      </x:c>
      <x:c r="B571" s="5" t="d">
        <x:v>2015-03-12T00:00:00.000Z</x:v>
      </x:c>
      <x:c r="C571" s="1" t="str">
        <x:v>Second Class</x:v>
      </x:c>
      <x:c r="D571" s="1" t="str">
        <x:v>LATAM</x:v>
      </x:c>
      <x:c r="E571" s="1" t="str">
        <x:v>CLOSED</x:v>
      </x:c>
      <x:c r="F571" s="1" t="str">
        <x:v>Shipping on time</x:v>
      </x:c>
      <x:c r="G571" s="6" t="n">
        <x:v>2</x:v>
      </x:c>
      <x:c r="H571" s="6" t="n">
        <x:v>2</x:v>
      </x:c>
      <x:c r="I571" s="6" t="n">
        <x:f>G571-H571</x:f>
        <x:v>0</x:v>
      </x:c>
      <x:c r="J571" s="6" t="n">
        <x:f>IF(OR(E571="CANCELED",E571="SUSPECTED_FRAUD",F571="Shipping canceled"),0,1)</x:f>
        <x:v>1</x:v>
      </x:c>
      <x:c r="K571" s="6" t="n">
        <x:f>IF(G571&gt;H571,1,0)</x:f>
        <x:v>0</x:v>
      </x:c>
      <x:c r="L571" s="6" t="n">
        <x:f>J571*K571</x:f>
        <x:v>0</x:v>
      </x:c>
    </x:row>
    <x:row r="572">
      <x:c r="A572" s="1" t="n">
        <x:v>4847</x:v>
      </x:c>
      <x:c r="B572" s="5" t="d">
        <x:v>2015-03-12T00:00:00.000Z</x:v>
      </x:c>
      <x:c r="C572" s="1" t="str">
        <x:v>Standard Class</x:v>
      </x:c>
      <x:c r="D572" s="1" t="str">
        <x:v>LATAM</x:v>
      </x:c>
      <x:c r="E572" s="1" t="str">
        <x:v>CLOSED</x:v>
      </x:c>
      <x:c r="F572" s="1" t="str">
        <x:v>Advance shipping</x:v>
      </x:c>
      <x:c r="G572" s="6" t="n">
        <x:v>3</x:v>
      </x:c>
      <x:c r="H572" s="6" t="n">
        <x:v>4</x:v>
      </x:c>
      <x:c r="I572" s="6" t="n">
        <x:f>G572-H572</x:f>
        <x:v>-1</x:v>
      </x:c>
      <x:c r="J572" s="6" t="n">
        <x:f>IF(OR(E572="CANCELED",E572="SUSPECTED_FRAUD",F572="Shipping canceled"),0,1)</x:f>
        <x:v>1</x:v>
      </x:c>
      <x:c r="K572" s="6" t="n">
        <x:f>IF(G572&gt;H572,1,0)</x:f>
        <x:v>0</x:v>
      </x:c>
      <x:c r="L572" s="6" t="n">
        <x:f>J572*K572</x:f>
        <x:v>0</x:v>
      </x:c>
    </x:row>
    <x:row r="573">
      <x:c r="A573" s="1" t="n">
        <x:v>4848</x:v>
      </x:c>
      <x:c r="B573" s="5" t="d">
        <x:v>2015-03-12T00:00:00.000Z</x:v>
      </x:c>
      <x:c r="C573" s="1" t="str">
        <x:v>Second Class</x:v>
      </x:c>
      <x:c r="D573" s="1" t="str">
        <x:v>LATAM</x:v>
      </x:c>
      <x:c r="E573" s="1" t="str">
        <x:v>COMPLETE</x:v>
      </x:c>
      <x:c r="F573" s="1" t="str">
        <x:v>Late delivery</x:v>
      </x:c>
      <x:c r="G573" s="6" t="n">
        <x:v>4</x:v>
      </x:c>
      <x:c r="H573" s="6" t="n">
        <x:v>2</x:v>
      </x:c>
      <x:c r="I573" s="6" t="n">
        <x:f>G573-H573</x:f>
        <x:v>2</x:v>
      </x:c>
      <x:c r="J573" s="6" t="n">
        <x:f>IF(OR(E573="CANCELED",E573="SUSPECTED_FRAUD",F573="Shipping canceled"),0,1)</x:f>
        <x:v>1</x:v>
      </x:c>
      <x:c r="K573" s="6" t="n">
        <x:f>IF(G573&gt;H573,1,0)</x:f>
        <x:v>1</x:v>
      </x:c>
      <x:c r="L573" s="6" t="n">
        <x:f>J573*K573</x:f>
        <x:v>1</x:v>
      </x:c>
    </x:row>
    <x:row r="574">
      <x:c r="A574" s="1" t="n">
        <x:v>4859</x:v>
      </x:c>
      <x:c r="B574" s="5" t="d">
        <x:v>2015-03-12T00:00:00.000Z</x:v>
      </x:c>
      <x:c r="C574" s="1" t="str">
        <x:v>Standard Class</x:v>
      </x:c>
      <x:c r="D574" s="1" t="str">
        <x:v>LATAM</x:v>
      </x:c>
      <x:c r="E574" s="1" t="str">
        <x:v>PENDING_PAYMENT</x:v>
      </x:c>
      <x:c r="F574" s="1" t="str">
        <x:v>Late delivery</x:v>
      </x:c>
      <x:c r="G574" s="6" t="n">
        <x:v>5</x:v>
      </x:c>
      <x:c r="H574" s="6" t="n">
        <x:v>4</x:v>
      </x:c>
      <x:c r="I574" s="6" t="n">
        <x:f>G574-H574</x:f>
        <x:v>1</x:v>
      </x:c>
      <x:c r="J574" s="6" t="n">
        <x:f>IF(OR(E574="CANCELED",E574="SUSPECTED_FRAUD",F574="Shipping canceled"),0,1)</x:f>
        <x:v>1</x:v>
      </x:c>
      <x:c r="K574" s="6" t="n">
        <x:f>IF(G574&gt;H574,1,0)</x:f>
        <x:v>1</x:v>
      </x:c>
      <x:c r="L574" s="6" t="n">
        <x:f>J574*K574</x:f>
        <x:v>1</x:v>
      </x:c>
    </x:row>
    <x:row r="575">
      <x:c r="A575" s="1" t="n">
        <x:v>4865</x:v>
      </x:c>
      <x:c r="B575" s="5" t="d">
        <x:v>2015-03-13T00:00:00.000Z</x:v>
      </x:c>
      <x:c r="C575" s="1" t="str">
        <x:v>Standard Class</x:v>
      </x:c>
      <x:c r="D575" s="1" t="str">
        <x:v>LATAM</x:v>
      </x:c>
      <x:c r="E575" s="1" t="str">
        <x:v>PAYMENT_REVIEW</x:v>
      </x:c>
      <x:c r="F575" s="1" t="str">
        <x:v>Late delivery</x:v>
      </x:c>
      <x:c r="G575" s="6" t="n">
        <x:v>6</x:v>
      </x:c>
      <x:c r="H575" s="6" t="n">
        <x:v>4</x:v>
      </x:c>
      <x:c r="I575" s="6" t="n">
        <x:f>G575-H575</x:f>
        <x:v>2</x:v>
      </x:c>
      <x:c r="J575" s="6" t="n">
        <x:f>IF(OR(E575="CANCELED",E575="SUSPECTED_FRAUD",F575="Shipping canceled"),0,1)</x:f>
        <x:v>1</x:v>
      </x:c>
      <x:c r="K575" s="6" t="n">
        <x:f>IF(G575&gt;H575,1,0)</x:f>
        <x:v>1</x:v>
      </x:c>
      <x:c r="L575" s="6" t="n">
        <x:f>J575*K575</x:f>
        <x:v>1</x:v>
      </x:c>
    </x:row>
    <x:row r="576">
      <x:c r="A576" s="1" t="n">
        <x:v>4872</x:v>
      </x:c>
      <x:c r="B576" s="5" t="d">
        <x:v>2015-03-13T00:00:00.000Z</x:v>
      </x:c>
      <x:c r="C576" s="1" t="str">
        <x:v>Standard Class</x:v>
      </x:c>
      <x:c r="D576" s="1" t="str">
        <x:v>LATAM</x:v>
      </x:c>
      <x:c r="E576" s="1" t="str">
        <x:v>CLOSED</x:v>
      </x:c>
      <x:c r="F576" s="1" t="str">
        <x:v>Advance shipping</x:v>
      </x:c>
      <x:c r="G576" s="6" t="n">
        <x:v>3</x:v>
      </x:c>
      <x:c r="H576" s="6" t="n">
        <x:v>4</x:v>
      </x:c>
      <x:c r="I576" s="6" t="n">
        <x:f>G576-H576</x:f>
        <x:v>-1</x:v>
      </x:c>
      <x:c r="J576" s="6" t="n">
        <x:f>IF(OR(E576="CANCELED",E576="SUSPECTED_FRAUD",F576="Shipping canceled"),0,1)</x:f>
        <x:v>1</x:v>
      </x:c>
      <x:c r="K576" s="6" t="n">
        <x:f>IF(G576&gt;H576,1,0)</x:f>
        <x:v>0</x:v>
      </x:c>
      <x:c r="L576" s="6" t="n">
        <x:f>J576*K576</x:f>
        <x:v>0</x:v>
      </x:c>
    </x:row>
    <x:row r="577">
      <x:c r="A577" s="1" t="n">
        <x:v>4873</x:v>
      </x:c>
      <x:c r="B577" s="5" t="d">
        <x:v>2015-03-13T00:00:00.000Z</x:v>
      </x:c>
      <x:c r="C577" s="1" t="str">
        <x:v>Standard Class</x:v>
      </x:c>
      <x:c r="D577" s="1" t="str">
        <x:v>LATAM</x:v>
      </x:c>
      <x:c r="E577" s="1" t="str">
        <x:v>PENDING</x:v>
      </x:c>
      <x:c r="F577" s="1" t="str">
        <x:v>Shipping on time</x:v>
      </x:c>
      <x:c r="G577" s="6" t="n">
        <x:v>4</x:v>
      </x:c>
      <x:c r="H577" s="6" t="n">
        <x:v>4</x:v>
      </x:c>
      <x:c r="I577" s="6" t="n">
        <x:f>G577-H577</x:f>
        <x:v>0</x:v>
      </x:c>
      <x:c r="J577" s="6" t="n">
        <x:f>IF(OR(E577="CANCELED",E577="SUSPECTED_FRAUD",F577="Shipping canceled"),0,1)</x:f>
        <x:v>1</x:v>
      </x:c>
      <x:c r="K577" s="6" t="n">
        <x:f>IF(G577&gt;H577,1,0)</x:f>
        <x:v>0</x:v>
      </x:c>
      <x:c r="L577" s="6" t="n">
        <x:f>J577*K577</x:f>
        <x:v>0</x:v>
      </x:c>
    </x:row>
    <x:row r="578">
      <x:c r="A578" s="1" t="n">
        <x:v>4886</x:v>
      </x:c>
      <x:c r="B578" s="5" t="d">
        <x:v>2015-03-13T00:00:00.000Z</x:v>
      </x:c>
      <x:c r="C578" s="1" t="str">
        <x:v>Standard Class</x:v>
      </x:c>
      <x:c r="D578" s="1" t="str">
        <x:v>LATAM</x:v>
      </x:c>
      <x:c r="E578" s="1" t="str">
        <x:v>ON_HOLD</x:v>
      </x:c>
      <x:c r="F578" s="1" t="str">
        <x:v>Advance shipping</x:v>
      </x:c>
      <x:c r="G578" s="6" t="n">
        <x:v>2</x:v>
      </x:c>
      <x:c r="H578" s="6" t="n">
        <x:v>4</x:v>
      </x:c>
      <x:c r="I578" s="6" t="n">
        <x:f>G578-H578</x:f>
        <x:v>-2</x:v>
      </x:c>
      <x:c r="J578" s="6" t="n">
        <x:f>IF(OR(E578="CANCELED",E578="SUSPECTED_FRAUD",F578="Shipping canceled"),0,1)</x:f>
        <x:v>1</x:v>
      </x:c>
      <x:c r="K578" s="6" t="n">
        <x:f>IF(G578&gt;H578,1,0)</x:f>
        <x:v>0</x:v>
      </x:c>
      <x:c r="L578" s="6" t="n">
        <x:f>J578*K578</x:f>
        <x:v>0</x:v>
      </x:c>
    </x:row>
    <x:row r="579">
      <x:c r="A579" s="1" t="n">
        <x:v>4887</x:v>
      </x:c>
      <x:c r="B579" s="5" t="d">
        <x:v>2015-03-13T00:00:00.000Z</x:v>
      </x:c>
      <x:c r="C579" s="1" t="str">
        <x:v>Standard Class</x:v>
      </x:c>
      <x:c r="D579" s="1" t="str">
        <x:v>LATAM</x:v>
      </x:c>
      <x:c r="E579" s="1" t="str">
        <x:v>COMPLETE</x:v>
      </x:c>
      <x:c r="F579" s="1" t="str">
        <x:v>Advance shipping</x:v>
      </x:c>
      <x:c r="G579" s="6" t="n">
        <x:v>3</x:v>
      </x:c>
      <x:c r="H579" s="6" t="n">
        <x:v>4</x:v>
      </x:c>
      <x:c r="I579" s="6" t="n">
        <x:f>G579-H579</x:f>
        <x:v>-1</x:v>
      </x:c>
      <x:c r="J579" s="6" t="n">
        <x:f>IF(OR(E579="CANCELED",E579="SUSPECTED_FRAUD",F579="Shipping canceled"),0,1)</x:f>
        <x:v>1</x:v>
      </x:c>
      <x:c r="K579" s="6" t="n">
        <x:f>IF(G579&gt;H579,1,0)</x:f>
        <x:v>0</x:v>
      </x:c>
      <x:c r="L579" s="6" t="n">
        <x:f>J579*K579</x:f>
        <x:v>0</x:v>
      </x:c>
    </x:row>
    <x:row r="580">
      <x:c r="A580" s="1" t="n">
        <x:v>4903</x:v>
      </x:c>
      <x:c r="B580" s="5" t="d">
        <x:v>2015-03-13T00:00:00.000Z</x:v>
      </x:c>
      <x:c r="C580" s="1" t="str">
        <x:v>First Class</x:v>
      </x:c>
      <x:c r="D580" s="1" t="str">
        <x:v>LATAM</x:v>
      </x:c>
      <x:c r="E580" s="1" t="str">
        <x:v>PROCESSING</x:v>
      </x:c>
      <x:c r="F580" s="1" t="str">
        <x:v>Late delivery</x:v>
      </x:c>
      <x:c r="G580" s="6" t="n">
        <x:v>2</x:v>
      </x:c>
      <x:c r="H580" s="6" t="n">
        <x:v>1</x:v>
      </x:c>
      <x:c r="I580" s="6" t="n">
        <x:f>G580-H580</x:f>
        <x:v>1</x:v>
      </x:c>
      <x:c r="J580" s="6" t="n">
        <x:f>IF(OR(E580="CANCELED",E580="SUSPECTED_FRAUD",F580="Shipping canceled"),0,1)</x:f>
        <x:v>1</x:v>
      </x:c>
      <x:c r="K580" s="6" t="n">
        <x:f>IF(G580&gt;H580,1,0)</x:f>
        <x:v>1</x:v>
      </x:c>
      <x:c r="L580" s="6" t="n">
        <x:f>J580*K580</x:f>
        <x:v>1</x:v>
      </x:c>
    </x:row>
    <x:row r="581">
      <x:c r="A581" s="1" t="n">
        <x:v>4910</x:v>
      </x:c>
      <x:c r="B581" s="5" t="d">
        <x:v>2015-03-13T00:00:00.000Z</x:v>
      </x:c>
      <x:c r="C581" s="1" t="str">
        <x:v>Second Class</x:v>
      </x:c>
      <x:c r="D581" s="1" t="str">
        <x:v>LATAM</x:v>
      </x:c>
      <x:c r="E581" s="1" t="str">
        <x:v>COMPLETE</x:v>
      </x:c>
      <x:c r="F581" s="1" t="str">
        <x:v>Late delivery</x:v>
      </x:c>
      <x:c r="G581" s="6" t="n">
        <x:v>6</x:v>
      </x:c>
      <x:c r="H581" s="6" t="n">
        <x:v>2</x:v>
      </x:c>
      <x:c r="I581" s="6" t="n">
        <x:f>G581-H581</x:f>
        <x:v>4</x:v>
      </x:c>
      <x:c r="J581" s="6" t="n">
        <x:f>IF(OR(E581="CANCELED",E581="SUSPECTED_FRAUD",F581="Shipping canceled"),0,1)</x:f>
        <x:v>1</x:v>
      </x:c>
      <x:c r="K581" s="6" t="n">
        <x:f>IF(G581&gt;H581,1,0)</x:f>
        <x:v>1</x:v>
      </x:c>
      <x:c r="L581" s="6" t="n">
        <x:f>J581*K581</x:f>
        <x:v>1</x:v>
      </x:c>
    </x:row>
    <x:row r="582">
      <x:c r="A582" s="1" t="n">
        <x:v>4919</x:v>
      </x:c>
      <x:c r="B582" s="5" t="d">
        <x:v>2015-03-13T00:00:00.000Z</x:v>
      </x:c>
      <x:c r="C582" s="1" t="str">
        <x:v>Standard Class</x:v>
      </x:c>
      <x:c r="D582" s="1" t="str">
        <x:v>LATAM</x:v>
      </x:c>
      <x:c r="E582" s="1" t="str">
        <x:v>PENDING</x:v>
      </x:c>
      <x:c r="F582" s="1" t="str">
        <x:v>Late delivery</x:v>
      </x:c>
      <x:c r="G582" s="6" t="n">
        <x:v>5</x:v>
      </x:c>
      <x:c r="H582" s="6" t="n">
        <x:v>4</x:v>
      </x:c>
      <x:c r="I582" s="6" t="n">
        <x:f>G582-H582</x:f>
        <x:v>1</x:v>
      </x:c>
      <x:c r="J582" s="6" t="n">
        <x:f>IF(OR(E582="CANCELED",E582="SUSPECTED_FRAUD",F582="Shipping canceled"),0,1)</x:f>
        <x:v>1</x:v>
      </x:c>
      <x:c r="K582" s="6" t="n">
        <x:f>IF(G582&gt;H582,1,0)</x:f>
        <x:v>1</x:v>
      </x:c>
      <x:c r="L582" s="6" t="n">
        <x:f>J582*K582</x:f>
        <x:v>1</x:v>
      </x:c>
    </x:row>
    <x:row r="583">
      <x:c r="A583" s="1" t="n">
        <x:v>4927</x:v>
      </x:c>
      <x:c r="B583" s="5" t="d">
        <x:v>2015-03-13T00:00:00.000Z</x:v>
      </x:c>
      <x:c r="C583" s="1" t="str">
        <x:v>Standard Class</x:v>
      </x:c>
      <x:c r="D583" s="1" t="str">
        <x:v>LATAM</x:v>
      </x:c>
      <x:c r="E583" s="1" t="str">
        <x:v>CLOSED</x:v>
      </x:c>
      <x:c r="F583" s="1" t="str">
        <x:v>Advance shipping</x:v>
      </x:c>
      <x:c r="G583" s="6" t="n">
        <x:v>3</x:v>
      </x:c>
      <x:c r="H583" s="6" t="n">
        <x:v>4</x:v>
      </x:c>
      <x:c r="I583" s="6" t="n">
        <x:f>G583-H583</x:f>
        <x:v>-1</x:v>
      </x:c>
      <x:c r="J583" s="6" t="n">
        <x:f>IF(OR(E583="CANCELED",E583="SUSPECTED_FRAUD",F583="Shipping canceled"),0,1)</x:f>
        <x:v>1</x:v>
      </x:c>
      <x:c r="K583" s="6" t="n">
        <x:f>IF(G583&gt;H583,1,0)</x:f>
        <x:v>0</x:v>
      </x:c>
      <x:c r="L583" s="6" t="n">
        <x:f>J583*K583</x:f>
        <x:v>0</x:v>
      </x:c>
    </x:row>
    <x:row r="584">
      <x:c r="A584" s="1" t="n">
        <x:v>4929</x:v>
      </x:c>
      <x:c r="B584" s="5" t="d">
        <x:v>2015-03-13T00:00:00.000Z</x:v>
      </x:c>
      <x:c r="C584" s="1" t="str">
        <x:v>Standard Class</x:v>
      </x:c>
      <x:c r="D584" s="1" t="str">
        <x:v>LATAM</x:v>
      </x:c>
      <x:c r="E584" s="1" t="str">
        <x:v>COMPLETE</x:v>
      </x:c>
      <x:c r="F584" s="1" t="str">
        <x:v>Late delivery</x:v>
      </x:c>
      <x:c r="G584" s="6" t="n">
        <x:v>5</x:v>
      </x:c>
      <x:c r="H584" s="6" t="n">
        <x:v>4</x:v>
      </x:c>
      <x:c r="I584" s="6" t="n">
        <x:f>G584-H584</x:f>
        <x:v>1</x:v>
      </x:c>
      <x:c r="J584" s="6" t="n">
        <x:f>IF(OR(E584="CANCELED",E584="SUSPECTED_FRAUD",F584="Shipping canceled"),0,1)</x:f>
        <x:v>1</x:v>
      </x:c>
      <x:c r="K584" s="6" t="n">
        <x:f>IF(G584&gt;H584,1,0)</x:f>
        <x:v>1</x:v>
      </x:c>
      <x:c r="L584" s="6" t="n">
        <x:f>J584*K584</x:f>
        <x:v>1</x:v>
      </x:c>
    </x:row>
    <x:row r="585">
      <x:c r="A585" s="1" t="n">
        <x:v>4942</x:v>
      </x:c>
      <x:c r="B585" s="5" t="d">
        <x:v>2015-03-14T00:00:00.000Z</x:v>
      </x:c>
      <x:c r="C585" s="1" t="str">
        <x:v>Second Class</x:v>
      </x:c>
      <x:c r="D585" s="1" t="str">
        <x:v>LATAM</x:v>
      </x:c>
      <x:c r="E585" s="1" t="str">
        <x:v>CLOSED</x:v>
      </x:c>
      <x:c r="F585" s="1" t="str">
        <x:v>Late delivery</x:v>
      </x:c>
      <x:c r="G585" s="6" t="n">
        <x:v>3</x:v>
      </x:c>
      <x:c r="H585" s="6" t="n">
        <x:v>2</x:v>
      </x:c>
      <x:c r="I585" s="6" t="n">
        <x:f>G585-H585</x:f>
        <x:v>1</x:v>
      </x:c>
      <x:c r="J585" s="6" t="n">
        <x:f>IF(OR(E585="CANCELED",E585="SUSPECTED_FRAUD",F585="Shipping canceled"),0,1)</x:f>
        <x:v>1</x:v>
      </x:c>
      <x:c r="K585" s="6" t="n">
        <x:f>IF(G585&gt;H585,1,0)</x:f>
        <x:v>1</x:v>
      </x:c>
      <x:c r="L585" s="6" t="n">
        <x:f>J585*K585</x:f>
        <x:v>1</x:v>
      </x:c>
    </x:row>
    <x:row r="586">
      <x:c r="A586" s="1" t="n">
        <x:v>4957</x:v>
      </x:c>
      <x:c r="B586" s="5" t="d">
        <x:v>2015-03-14T00:00:00.000Z</x:v>
      </x:c>
      <x:c r="C586" s="1" t="str">
        <x:v>Standard Class</x:v>
      </x:c>
      <x:c r="D586" s="1" t="str">
        <x:v>LATAM</x:v>
      </x:c>
      <x:c r="E586" s="1" t="str">
        <x:v>COMPLETE</x:v>
      </x:c>
      <x:c r="F586" s="1" t="str">
        <x:v>Advance shipping</x:v>
      </x:c>
      <x:c r="G586" s="6" t="n">
        <x:v>3</x:v>
      </x:c>
      <x:c r="H586" s="6" t="n">
        <x:v>4</x:v>
      </x:c>
      <x:c r="I586" s="6" t="n">
        <x:f>G586-H586</x:f>
        <x:v>-1</x:v>
      </x:c>
      <x:c r="J586" s="6" t="n">
        <x:f>IF(OR(E586="CANCELED",E586="SUSPECTED_FRAUD",F586="Shipping canceled"),0,1)</x:f>
        <x:v>1</x:v>
      </x:c>
      <x:c r="K586" s="6" t="n">
        <x:f>IF(G586&gt;H586,1,0)</x:f>
        <x:v>0</x:v>
      </x:c>
      <x:c r="L586" s="6" t="n">
        <x:f>J586*K586</x:f>
        <x:v>0</x:v>
      </x:c>
    </x:row>
    <x:row r="587">
      <x:c r="A587" s="1" t="n">
        <x:v>4977</x:v>
      </x:c>
      <x:c r="B587" s="5" t="d">
        <x:v>2015-03-14T00:00:00.000Z</x:v>
      </x:c>
      <x:c r="C587" s="1" t="str">
        <x:v>First Class</x:v>
      </x:c>
      <x:c r="D587" s="1" t="str">
        <x:v>LATAM</x:v>
      </x:c>
      <x:c r="E587" s="1" t="str">
        <x:v>PROCESSING</x:v>
      </x:c>
      <x:c r="F587" s="1" t="str">
        <x:v>Late delivery</x:v>
      </x:c>
      <x:c r="G587" s="6" t="n">
        <x:v>2</x:v>
      </x:c>
      <x:c r="H587" s="6" t="n">
        <x:v>1</x:v>
      </x:c>
      <x:c r="I587" s="6" t="n">
        <x:f>G587-H587</x:f>
        <x:v>1</x:v>
      </x:c>
      <x:c r="J587" s="6" t="n">
        <x:f>IF(OR(E587="CANCELED",E587="SUSPECTED_FRAUD",F587="Shipping canceled"),0,1)</x:f>
        <x:v>1</x:v>
      </x:c>
      <x:c r="K587" s="6" t="n">
        <x:f>IF(G587&gt;H587,1,0)</x:f>
        <x:v>1</x:v>
      </x:c>
      <x:c r="L587" s="6" t="n">
        <x:f>J587*K587</x:f>
        <x:v>1</x:v>
      </x:c>
    </x:row>
    <x:row r="588">
      <x:c r="A588" s="1" t="n">
        <x:v>4980</x:v>
      </x:c>
      <x:c r="B588" s="5" t="d">
        <x:v>2015-03-14T00:00:00.000Z</x:v>
      </x:c>
      <x:c r="C588" s="1" t="str">
        <x:v>Standard Class</x:v>
      </x:c>
      <x:c r="D588" s="1" t="str">
        <x:v>LATAM</x:v>
      </x:c>
      <x:c r="E588" s="1" t="str">
        <x:v>COMPLETE</x:v>
      </x:c>
      <x:c r="F588" s="1" t="str">
        <x:v>Late delivery</x:v>
      </x:c>
      <x:c r="G588" s="6" t="n">
        <x:v>6</x:v>
      </x:c>
      <x:c r="H588" s="6" t="n">
        <x:v>4</x:v>
      </x:c>
      <x:c r="I588" s="6" t="n">
        <x:f>G588-H588</x:f>
        <x:v>2</x:v>
      </x:c>
      <x:c r="J588" s="6" t="n">
        <x:f>IF(OR(E588="CANCELED",E588="SUSPECTED_FRAUD",F588="Shipping canceled"),0,1)</x:f>
        <x:v>1</x:v>
      </x:c>
      <x:c r="K588" s="6" t="n">
        <x:f>IF(G588&gt;H588,1,0)</x:f>
        <x:v>1</x:v>
      </x:c>
      <x:c r="L588" s="6" t="n">
        <x:f>J588*K588</x:f>
        <x:v>1</x:v>
      </x:c>
    </x:row>
    <x:row r="589">
      <x:c r="A589" s="1" t="n">
        <x:v>4986</x:v>
      </x:c>
      <x:c r="B589" s="5" t="d">
        <x:v>2015-03-14T00:00:00.000Z</x:v>
      </x:c>
      <x:c r="C589" s="1" t="str">
        <x:v>First Class</x:v>
      </x:c>
      <x:c r="D589" s="1" t="str">
        <x:v>LATAM</x:v>
      </x:c>
      <x:c r="E589" s="1" t="str">
        <x:v>CLOSED</x:v>
      </x:c>
      <x:c r="F589" s="1" t="str">
        <x:v>Late delivery</x:v>
      </x:c>
      <x:c r="G589" s="6" t="n">
        <x:v>2</x:v>
      </x:c>
      <x:c r="H589" s="6" t="n">
        <x:v>1</x:v>
      </x:c>
      <x:c r="I589" s="6" t="n">
        <x:f>G589-H589</x:f>
        <x:v>1</x:v>
      </x:c>
      <x:c r="J589" s="6" t="n">
        <x:f>IF(OR(E589="CANCELED",E589="SUSPECTED_FRAUD",F589="Shipping canceled"),0,1)</x:f>
        <x:v>1</x:v>
      </x:c>
      <x:c r="K589" s="6" t="n">
        <x:f>IF(G589&gt;H589,1,0)</x:f>
        <x:v>1</x:v>
      </x:c>
      <x:c r="L589" s="6" t="n">
        <x:f>J589*K589</x:f>
        <x:v>1</x:v>
      </x:c>
    </x:row>
    <x:row r="590">
      <x:c r="A590" s="1" t="n">
        <x:v>5019</x:v>
      </x:c>
      <x:c r="B590" s="5" t="d">
        <x:v>2015-03-15T00:00:00.000Z</x:v>
      </x:c>
      <x:c r="C590" s="1" t="str">
        <x:v>Standard Class</x:v>
      </x:c>
      <x:c r="D590" s="1" t="str">
        <x:v>LATAM</x:v>
      </x:c>
      <x:c r="E590" s="1" t="str">
        <x:v>PENDING_PAYMENT</x:v>
      </x:c>
      <x:c r="F590" s="1" t="str">
        <x:v>Late delivery</x:v>
      </x:c>
      <x:c r="G590" s="6" t="n">
        <x:v>5</x:v>
      </x:c>
      <x:c r="H590" s="6" t="n">
        <x:v>4</x:v>
      </x:c>
      <x:c r="I590" s="6" t="n">
        <x:f>G590-H590</x:f>
        <x:v>1</x:v>
      </x:c>
      <x:c r="J590" s="6" t="n">
        <x:f>IF(OR(E590="CANCELED",E590="SUSPECTED_FRAUD",F590="Shipping canceled"),0,1)</x:f>
        <x:v>1</x:v>
      </x:c>
      <x:c r="K590" s="6" t="n">
        <x:f>IF(G590&gt;H590,1,0)</x:f>
        <x:v>1</x:v>
      </x:c>
      <x:c r="L590" s="6" t="n">
        <x:f>J590*K590</x:f>
        <x:v>1</x:v>
      </x:c>
    </x:row>
    <x:row r="591">
      <x:c r="A591" s="1" t="n">
        <x:v>5024</x:v>
      </x:c>
      <x:c r="B591" s="5" t="d">
        <x:v>2015-03-15T00:00:00.000Z</x:v>
      </x:c>
      <x:c r="C591" s="1" t="str">
        <x:v>Standard Class</x:v>
      </x:c>
      <x:c r="D591" s="1" t="str">
        <x:v>LATAM</x:v>
      </x:c>
      <x:c r="E591" s="1" t="str">
        <x:v>COMPLETE</x:v>
      </x:c>
      <x:c r="F591" s="1" t="str">
        <x:v>Late delivery</x:v>
      </x:c>
      <x:c r="G591" s="6" t="n">
        <x:v>5</x:v>
      </x:c>
      <x:c r="H591" s="6" t="n">
        <x:v>4</x:v>
      </x:c>
      <x:c r="I591" s="6" t="n">
        <x:f>G591-H591</x:f>
        <x:v>1</x:v>
      </x:c>
      <x:c r="J591" s="6" t="n">
        <x:f>IF(OR(E591="CANCELED",E591="SUSPECTED_FRAUD",F591="Shipping canceled"),0,1)</x:f>
        <x:v>1</x:v>
      </x:c>
      <x:c r="K591" s="6" t="n">
        <x:f>IF(G591&gt;H591,1,0)</x:f>
        <x:v>1</x:v>
      </x:c>
      <x:c r="L591" s="6" t="n">
        <x:f>J591*K591</x:f>
        <x:v>1</x:v>
      </x:c>
    </x:row>
    <x:row r="592">
      <x:c r="A592" s="1" t="n">
        <x:v>5042</x:v>
      </x:c>
      <x:c r="B592" s="5" t="d">
        <x:v>2015-03-15T00:00:00.000Z</x:v>
      </x:c>
      <x:c r="C592" s="1" t="str">
        <x:v>Second Class</x:v>
      </x:c>
      <x:c r="D592" s="1" t="str">
        <x:v>LATAM</x:v>
      </x:c>
      <x:c r="E592" s="1" t="str">
        <x:v>PENDING_PAYMENT</x:v>
      </x:c>
      <x:c r="F592" s="1" t="str">
        <x:v>Late delivery</x:v>
      </x:c>
      <x:c r="G592" s="6" t="n">
        <x:v>3</x:v>
      </x:c>
      <x:c r="H592" s="6" t="n">
        <x:v>2</x:v>
      </x:c>
      <x:c r="I592" s="6" t="n">
        <x:f>G592-H592</x:f>
        <x:v>1</x:v>
      </x:c>
      <x:c r="J592" s="6" t="n">
        <x:f>IF(OR(E592="CANCELED",E592="SUSPECTED_FRAUD",F592="Shipping canceled"),0,1)</x:f>
        <x:v>1</x:v>
      </x:c>
      <x:c r="K592" s="6" t="n">
        <x:f>IF(G592&gt;H592,1,0)</x:f>
        <x:v>1</x:v>
      </x:c>
      <x:c r="L592" s="6" t="n">
        <x:f>J592*K592</x:f>
        <x:v>1</x:v>
      </x:c>
    </x:row>
    <x:row r="593">
      <x:c r="A593" s="1" t="n">
        <x:v>5047</x:v>
      </x:c>
      <x:c r="B593" s="5" t="d">
        <x:v>2015-03-15T00:00:00.000Z</x:v>
      </x:c>
      <x:c r="C593" s="1" t="str">
        <x:v>Second Class</x:v>
      </x:c>
      <x:c r="D593" s="1" t="str">
        <x:v>LATAM</x:v>
      </x:c>
      <x:c r="E593" s="1" t="str">
        <x:v>COMPLETE</x:v>
      </x:c>
      <x:c r="F593" s="1" t="str">
        <x:v>Late delivery</x:v>
      </x:c>
      <x:c r="G593" s="6" t="n">
        <x:v>3</x:v>
      </x:c>
      <x:c r="H593" s="6" t="n">
        <x:v>2</x:v>
      </x:c>
      <x:c r="I593" s="6" t="n">
        <x:f>G593-H593</x:f>
        <x:v>1</x:v>
      </x:c>
      <x:c r="J593" s="6" t="n">
        <x:f>IF(OR(E593="CANCELED",E593="SUSPECTED_FRAUD",F593="Shipping canceled"),0,1)</x:f>
        <x:v>1</x:v>
      </x:c>
      <x:c r="K593" s="6" t="n">
        <x:f>IF(G593&gt;H593,1,0)</x:f>
        <x:v>1</x:v>
      </x:c>
      <x:c r="L593" s="6" t="n">
        <x:f>J593*K593</x:f>
        <x:v>1</x:v>
      </x:c>
    </x:row>
    <x:row r="594">
      <x:c r="A594" s="1" t="n">
        <x:v>5051</x:v>
      </x:c>
      <x:c r="B594" s="5" t="d">
        <x:v>2015-03-15T00:00:00.000Z</x:v>
      </x:c>
      <x:c r="C594" s="1" t="str">
        <x:v>Standard Class</x:v>
      </x:c>
      <x:c r="D594" s="1" t="str">
        <x:v>LATAM</x:v>
      </x:c>
      <x:c r="E594" s="1" t="str">
        <x:v>COMPLETE</x:v>
      </x:c>
      <x:c r="F594" s="1" t="str">
        <x:v>Advance shipping</x:v>
      </x:c>
      <x:c r="G594" s="6" t="n">
        <x:v>2</x:v>
      </x:c>
      <x:c r="H594" s="6" t="n">
        <x:v>4</x:v>
      </x:c>
      <x:c r="I594" s="6" t="n">
        <x:f>G594-H594</x:f>
        <x:v>-2</x:v>
      </x:c>
      <x:c r="J594" s="6" t="n">
        <x:f>IF(OR(E594="CANCELED",E594="SUSPECTED_FRAUD",F594="Shipping canceled"),0,1)</x:f>
        <x:v>1</x:v>
      </x:c>
      <x:c r="K594" s="6" t="n">
        <x:f>IF(G594&gt;H594,1,0)</x:f>
        <x:v>0</x:v>
      </x:c>
      <x:c r="L594" s="6" t="n">
        <x:f>J594*K594</x:f>
        <x:v>0</x:v>
      </x:c>
    </x:row>
    <x:row r="595">
      <x:c r="A595" s="1" t="n">
        <x:v>5062</x:v>
      </x:c>
      <x:c r="B595" s="5" t="d">
        <x:v>2015-03-15T00:00:00.000Z</x:v>
      </x:c>
      <x:c r="C595" s="1" t="str">
        <x:v>Standard Class</x:v>
      </x:c>
      <x:c r="D595" s="1" t="str">
        <x:v>LATAM</x:v>
      </x:c>
      <x:c r="E595" s="1" t="str">
        <x:v>PENDING</x:v>
      </x:c>
      <x:c r="F595" s="1" t="str">
        <x:v>Advance shipping</x:v>
      </x:c>
      <x:c r="G595" s="6" t="n">
        <x:v>3</x:v>
      </x:c>
      <x:c r="H595" s="6" t="n">
        <x:v>4</x:v>
      </x:c>
      <x:c r="I595" s="6" t="n">
        <x:f>G595-H595</x:f>
        <x:v>-1</x:v>
      </x:c>
      <x:c r="J595" s="6" t="n">
        <x:f>IF(OR(E595="CANCELED",E595="SUSPECTED_FRAUD",F595="Shipping canceled"),0,1)</x:f>
        <x:v>1</x:v>
      </x:c>
      <x:c r="K595" s="6" t="n">
        <x:f>IF(G595&gt;H595,1,0)</x:f>
        <x:v>0</x:v>
      </x:c>
      <x:c r="L595" s="6" t="n">
        <x:f>J595*K595</x:f>
        <x:v>0</x:v>
      </x:c>
    </x:row>
    <x:row r="596">
      <x:c r="A596" s="1" t="n">
        <x:v>5080</x:v>
      </x:c>
      <x:c r="B596" s="5" t="d">
        <x:v>2015-03-16T00:00:00.000Z</x:v>
      </x:c>
      <x:c r="C596" s="1" t="str">
        <x:v>Standard Class</x:v>
      </x:c>
      <x:c r="D596" s="1" t="str">
        <x:v>LATAM</x:v>
      </x:c>
      <x:c r="E596" s="1" t="str">
        <x:v>PROCESSING</x:v>
      </x:c>
      <x:c r="F596" s="1" t="str">
        <x:v>Late delivery</x:v>
      </x:c>
      <x:c r="G596" s="6" t="n">
        <x:v>6</x:v>
      </x:c>
      <x:c r="H596" s="6" t="n">
        <x:v>4</x:v>
      </x:c>
      <x:c r="I596" s="6" t="n">
        <x:f>G596-H596</x:f>
        <x:v>2</x:v>
      </x:c>
      <x:c r="J596" s="6" t="n">
        <x:f>IF(OR(E596="CANCELED",E596="SUSPECTED_FRAUD",F596="Shipping canceled"),0,1)</x:f>
        <x:v>1</x:v>
      </x:c>
      <x:c r="K596" s="6" t="n">
        <x:f>IF(G596&gt;H596,1,0)</x:f>
        <x:v>1</x:v>
      </x:c>
      <x:c r="L596" s="6" t="n">
        <x:f>J596*K596</x:f>
        <x:v>1</x:v>
      </x:c>
    </x:row>
    <x:row r="597">
      <x:c r="A597" s="1" t="n">
        <x:v>5084</x:v>
      </x:c>
      <x:c r="B597" s="5" t="d">
        <x:v>2015-03-16T00:00:00.000Z</x:v>
      </x:c>
      <x:c r="C597" s="1" t="str">
        <x:v>Standard Class</x:v>
      </x:c>
      <x:c r="D597" s="1" t="str">
        <x:v>LATAM</x:v>
      </x:c>
      <x:c r="E597" s="1" t="str">
        <x:v>PROCESSING</x:v>
      </x:c>
      <x:c r="F597" s="1" t="str">
        <x:v>Late delivery</x:v>
      </x:c>
      <x:c r="G597" s="6" t="n">
        <x:v>5</x:v>
      </x:c>
      <x:c r="H597" s="6" t="n">
        <x:v>4</x:v>
      </x:c>
      <x:c r="I597" s="6" t="n">
        <x:f>G597-H597</x:f>
        <x:v>1</x:v>
      </x:c>
      <x:c r="J597" s="6" t="n">
        <x:f>IF(OR(E597="CANCELED",E597="SUSPECTED_FRAUD",F597="Shipping canceled"),0,1)</x:f>
        <x:v>1</x:v>
      </x:c>
      <x:c r="K597" s="6" t="n">
        <x:f>IF(G597&gt;H597,1,0)</x:f>
        <x:v>1</x:v>
      </x:c>
      <x:c r="L597" s="6" t="n">
        <x:f>J597*K597</x:f>
        <x:v>1</x:v>
      </x:c>
    </x:row>
    <x:row r="598">
      <x:c r="A598" s="1" t="n">
        <x:v>5101</x:v>
      </x:c>
      <x:c r="B598" s="5" t="d">
        <x:v>2015-03-16T00:00:00.000Z</x:v>
      </x:c>
      <x:c r="C598" s="1" t="str">
        <x:v>Standard Class</x:v>
      </x:c>
      <x:c r="D598" s="1" t="str">
        <x:v>LATAM</x:v>
      </x:c>
      <x:c r="E598" s="1" t="str">
        <x:v>COMPLETE</x:v>
      </x:c>
      <x:c r="F598" s="1" t="str">
        <x:v>Advance shipping</x:v>
      </x:c>
      <x:c r="G598" s="6" t="n">
        <x:v>2</x:v>
      </x:c>
      <x:c r="H598" s="6" t="n">
        <x:v>4</x:v>
      </x:c>
      <x:c r="I598" s="6" t="n">
        <x:f>G598-H598</x:f>
        <x:v>-2</x:v>
      </x:c>
      <x:c r="J598" s="6" t="n">
        <x:f>IF(OR(E598="CANCELED",E598="SUSPECTED_FRAUD",F598="Shipping canceled"),0,1)</x:f>
        <x:v>1</x:v>
      </x:c>
      <x:c r="K598" s="6" t="n">
        <x:f>IF(G598&gt;H598,1,0)</x:f>
        <x:v>0</x:v>
      </x:c>
      <x:c r="L598" s="6" t="n">
        <x:f>J598*K598</x:f>
        <x:v>0</x:v>
      </x:c>
    </x:row>
    <x:row r="599">
      <x:c r="A599" s="1" t="n">
        <x:v>5102</x:v>
      </x:c>
      <x:c r="B599" s="5" t="d">
        <x:v>2015-03-16T00:00:00.000Z</x:v>
      </x:c>
      <x:c r="C599" s="1" t="str">
        <x:v>Standard Class</x:v>
      </x:c>
      <x:c r="D599" s="1" t="str">
        <x:v>LATAM</x:v>
      </x:c>
      <x:c r="E599" s="1" t="str">
        <x:v>COMPLETE</x:v>
      </x:c>
      <x:c r="F599" s="1" t="str">
        <x:v>Advance shipping</x:v>
      </x:c>
      <x:c r="G599" s="6" t="n">
        <x:v>3</x:v>
      </x:c>
      <x:c r="H599" s="6" t="n">
        <x:v>4</x:v>
      </x:c>
      <x:c r="I599" s="6" t="n">
        <x:f>G599-H599</x:f>
        <x:v>-1</x:v>
      </x:c>
      <x:c r="J599" s="6" t="n">
        <x:f>IF(OR(E599="CANCELED",E599="SUSPECTED_FRAUD",F599="Shipping canceled"),0,1)</x:f>
        <x:v>1</x:v>
      </x:c>
      <x:c r="K599" s="6" t="n">
        <x:f>IF(G599&gt;H599,1,0)</x:f>
        <x:v>0</x:v>
      </x:c>
      <x:c r="L599" s="6" t="n">
        <x:f>J599*K599</x:f>
        <x:v>0</x:v>
      </x:c>
    </x:row>
    <x:row r="600">
      <x:c r="A600" s="1" t="n">
        <x:v>5103</x:v>
      </x:c>
      <x:c r="B600" s="5" t="d">
        <x:v>2015-03-16T00:00:00.000Z</x:v>
      </x:c>
      <x:c r="C600" s="1" t="str">
        <x:v>Standard Class</x:v>
      </x:c>
      <x:c r="D600" s="1" t="str">
        <x:v>LATAM</x:v>
      </x:c>
      <x:c r="E600" s="1" t="str">
        <x:v>COMPLETE</x:v>
      </x:c>
      <x:c r="F600" s="1" t="str">
        <x:v>Shipping on time</x:v>
      </x:c>
      <x:c r="G600" s="6" t="n">
        <x:v>4</x:v>
      </x:c>
      <x:c r="H600" s="6" t="n">
        <x:v>4</x:v>
      </x:c>
      <x:c r="I600" s="6" t="n">
        <x:f>G600-H600</x:f>
        <x:v>0</x:v>
      </x:c>
      <x:c r="J600" s="6" t="n">
        <x:f>IF(OR(E600="CANCELED",E600="SUSPECTED_FRAUD",F600="Shipping canceled"),0,1)</x:f>
        <x:v>1</x:v>
      </x:c>
      <x:c r="K600" s="6" t="n">
        <x:f>IF(G600&gt;H600,1,0)</x:f>
        <x:v>0</x:v>
      </x:c>
      <x:c r="L600" s="6" t="n">
        <x:f>J600*K600</x:f>
        <x:v>0</x:v>
      </x:c>
    </x:row>
    <x:row r="601">
      <x:c r="A601" s="1" t="n">
        <x:v>5109</x:v>
      </x:c>
      <x:c r="B601" s="5" t="d">
        <x:v>2015-03-16T00:00:00.000Z</x:v>
      </x:c>
      <x:c r="C601" s="1" t="str">
        <x:v>Standard Class</x:v>
      </x:c>
      <x:c r="D601" s="1" t="str">
        <x:v>LATAM</x:v>
      </x:c>
      <x:c r="E601" s="1" t="str">
        <x:v>COMPLETE</x:v>
      </x:c>
      <x:c r="F601" s="1" t="str">
        <x:v>Late delivery</x:v>
      </x:c>
      <x:c r="G601" s="6" t="n">
        <x:v>5</x:v>
      </x:c>
      <x:c r="H601" s="6" t="n">
        <x:v>4</x:v>
      </x:c>
      <x:c r="I601" s="6" t="n">
        <x:f>G601-H601</x:f>
        <x:v>1</x:v>
      </x:c>
      <x:c r="J601" s="6" t="n">
        <x:f>IF(OR(E601="CANCELED",E601="SUSPECTED_FRAUD",F601="Shipping canceled"),0,1)</x:f>
        <x:v>1</x:v>
      </x:c>
      <x:c r="K601" s="6" t="n">
        <x:f>IF(G601&gt;H601,1,0)</x:f>
        <x:v>1</x:v>
      </x:c>
      <x:c r="L601" s="6" t="n">
        <x:f>J601*K601</x:f>
        <x:v>1</x:v>
      </x:c>
    </x:row>
    <x:row r="602">
      <x:c r="A602" s="1" t="n">
        <x:v>5113</x:v>
      </x:c>
      <x:c r="B602" s="5" t="d">
        <x:v>2015-03-16T00:00:00.000Z</x:v>
      </x:c>
      <x:c r="C602" s="1" t="str">
        <x:v>Second Class</x:v>
      </x:c>
      <x:c r="D602" s="1" t="str">
        <x:v>LATAM</x:v>
      </x:c>
      <x:c r="E602" s="1" t="str">
        <x:v>PENDING</x:v>
      </x:c>
      <x:c r="F602" s="1" t="str">
        <x:v>Late delivery</x:v>
      </x:c>
      <x:c r="G602" s="6" t="n">
        <x:v>4</x:v>
      </x:c>
      <x:c r="H602" s="6" t="n">
        <x:v>2</x:v>
      </x:c>
      <x:c r="I602" s="6" t="n">
        <x:f>G602-H602</x:f>
        <x:v>2</x:v>
      </x:c>
      <x:c r="J602" s="6" t="n">
        <x:f>IF(OR(E602="CANCELED",E602="SUSPECTED_FRAUD",F602="Shipping canceled"),0,1)</x:f>
        <x:v>1</x:v>
      </x:c>
      <x:c r="K602" s="6" t="n">
        <x:f>IF(G602&gt;H602,1,0)</x:f>
        <x:v>1</x:v>
      </x:c>
      <x:c r="L602" s="6" t="n">
        <x:f>J602*K602</x:f>
        <x:v>1</x:v>
      </x:c>
    </x:row>
    <x:row r="603">
      <x:c r="A603" s="1" t="n">
        <x:v>5122</x:v>
      </x:c>
      <x:c r="B603" s="5" t="d">
        <x:v>2015-03-16T00:00:00.000Z</x:v>
      </x:c>
      <x:c r="C603" s="1" t="str">
        <x:v>First Class</x:v>
      </x:c>
      <x:c r="D603" s="1" t="str">
        <x:v>LATAM</x:v>
      </x:c>
      <x:c r="E603" s="1" t="str">
        <x:v>CLOSED</x:v>
      </x:c>
      <x:c r="F603" s="1" t="str">
        <x:v>Late delivery</x:v>
      </x:c>
      <x:c r="G603" s="6" t="n">
        <x:v>2</x:v>
      </x:c>
      <x:c r="H603" s="6" t="n">
        <x:v>1</x:v>
      </x:c>
      <x:c r="I603" s="6" t="n">
        <x:f>G603-H603</x:f>
        <x:v>1</x:v>
      </x:c>
      <x:c r="J603" s="6" t="n">
        <x:f>IF(OR(E603="CANCELED",E603="SUSPECTED_FRAUD",F603="Shipping canceled"),0,1)</x:f>
        <x:v>1</x:v>
      </x:c>
      <x:c r="K603" s="6" t="n">
        <x:f>IF(G603&gt;H603,1,0)</x:f>
        <x:v>1</x:v>
      </x:c>
      <x:c r="L603" s="6" t="n">
        <x:f>J603*K603</x:f>
        <x:v>1</x:v>
      </x:c>
    </x:row>
    <x:row r="604">
      <x:c r="A604" s="1" t="n">
        <x:v>5145</x:v>
      </x:c>
      <x:c r="B604" s="5" t="d">
        <x:v>2015-03-17T00:00:00.000Z</x:v>
      </x:c>
      <x:c r="C604" s="1" t="str">
        <x:v>Second Class</x:v>
      </x:c>
      <x:c r="D604" s="1" t="str">
        <x:v>LATAM</x:v>
      </x:c>
      <x:c r="E604" s="1" t="str">
        <x:v>PENDING</x:v>
      </x:c>
      <x:c r="F604" s="1" t="str">
        <x:v>Late delivery</x:v>
      </x:c>
      <x:c r="G604" s="6" t="n">
        <x:v>6</x:v>
      </x:c>
      <x:c r="H604" s="6" t="n">
        <x:v>2</x:v>
      </x:c>
      <x:c r="I604" s="6" t="n">
        <x:f>G604-H604</x:f>
        <x:v>4</x:v>
      </x:c>
      <x:c r="J604" s="6" t="n">
        <x:f>IF(OR(E604="CANCELED",E604="SUSPECTED_FRAUD",F604="Shipping canceled"),0,1)</x:f>
        <x:v>1</x:v>
      </x:c>
      <x:c r="K604" s="6" t="n">
        <x:f>IF(G604&gt;H604,1,0)</x:f>
        <x:v>1</x:v>
      </x:c>
      <x:c r="L604" s="6" t="n">
        <x:f>J604*K604</x:f>
        <x:v>1</x:v>
      </x:c>
    </x:row>
    <x:row r="605">
      <x:c r="A605" s="1" t="n">
        <x:v>5154</x:v>
      </x:c>
      <x:c r="B605" s="5" t="d">
        <x:v>2015-03-17T00:00:00.000Z</x:v>
      </x:c>
      <x:c r="C605" s="1" t="str">
        <x:v>Standard Class</x:v>
      </x:c>
      <x:c r="D605" s="1" t="str">
        <x:v>LATAM</x:v>
      </x:c>
      <x:c r="E605" s="1" t="str">
        <x:v>PROCESSING</x:v>
      </x:c>
      <x:c r="F605" s="1" t="str">
        <x:v>Late delivery</x:v>
      </x:c>
      <x:c r="G605" s="6" t="n">
        <x:v>5</x:v>
      </x:c>
      <x:c r="H605" s="6" t="n">
        <x:v>4</x:v>
      </x:c>
      <x:c r="I605" s="6" t="n">
        <x:f>G605-H605</x:f>
        <x:v>1</x:v>
      </x:c>
      <x:c r="J605" s="6" t="n">
        <x:f>IF(OR(E605="CANCELED",E605="SUSPECTED_FRAUD",F605="Shipping canceled"),0,1)</x:f>
        <x:v>1</x:v>
      </x:c>
      <x:c r="K605" s="6" t="n">
        <x:f>IF(G605&gt;H605,1,0)</x:f>
        <x:v>1</x:v>
      </x:c>
      <x:c r="L605" s="6" t="n">
        <x:f>J605*K605</x:f>
        <x:v>1</x:v>
      </x:c>
    </x:row>
    <x:row r="606">
      <x:c r="A606" s="1" t="n">
        <x:v>5163</x:v>
      </x:c>
      <x:c r="B606" s="5" t="d">
        <x:v>2015-03-17T00:00:00.000Z</x:v>
      </x:c>
      <x:c r="C606" s="1" t="str">
        <x:v>Standard Class</x:v>
      </x:c>
      <x:c r="D606" s="1" t="str">
        <x:v>LATAM</x:v>
      </x:c>
      <x:c r="E606" s="1" t="str">
        <x:v>COMPLETE</x:v>
      </x:c>
      <x:c r="F606" s="1" t="str">
        <x:v>Shipping on time</x:v>
      </x:c>
      <x:c r="G606" s="6" t="n">
        <x:v>4</x:v>
      </x:c>
      <x:c r="H606" s="6" t="n">
        <x:v>4</x:v>
      </x:c>
      <x:c r="I606" s="6" t="n">
        <x:f>G606-H606</x:f>
        <x:v>0</x:v>
      </x:c>
      <x:c r="J606" s="6" t="n">
        <x:f>IF(OR(E606="CANCELED",E606="SUSPECTED_FRAUD",F606="Shipping canceled"),0,1)</x:f>
        <x:v>1</x:v>
      </x:c>
      <x:c r="K606" s="6" t="n">
        <x:f>IF(G606&gt;H606,1,0)</x:f>
        <x:v>0</x:v>
      </x:c>
      <x:c r="L606" s="6" t="n">
        <x:f>J606*K606</x:f>
        <x:v>0</x:v>
      </x:c>
    </x:row>
    <x:row r="607">
      <x:c r="A607" s="1" t="n">
        <x:v>5174</x:v>
      </x:c>
      <x:c r="B607" s="5" t="d">
        <x:v>2015-03-17T00:00:00.000Z</x:v>
      </x:c>
      <x:c r="C607" s="1" t="str">
        <x:v>Standard Class</x:v>
      </x:c>
      <x:c r="D607" s="1" t="str">
        <x:v>LATAM</x:v>
      </x:c>
      <x:c r="E607" s="1" t="str">
        <x:v>SUSPECTED_FRAUD</x:v>
      </x:c>
      <x:c r="F607" s="1" t="str">
        <x:v>Shipping canceled</x:v>
      </x:c>
      <x:c r="G607" s="6" t="n">
        <x:v>5</x:v>
      </x:c>
      <x:c r="H607" s="6" t="n">
        <x:v>4</x:v>
      </x:c>
      <x:c r="I607" s="6" t="n">
        <x:f>G607-H607</x:f>
        <x:v>1</x:v>
      </x:c>
      <x:c r="J607" s="6" t="n">
        <x:f>IF(OR(E607="CANCELED",E607="SUSPECTED_FRAUD",F607="Shipping canceled"),0,1)</x:f>
        <x:v>0</x:v>
      </x:c>
      <x:c r="K607" s="6" t="n">
        <x:f>IF(G607&gt;H607,1,0)</x:f>
        <x:v>1</x:v>
      </x:c>
      <x:c r="L607" s="6" t="n">
        <x:f>J607*K607</x:f>
        <x:v>0</x:v>
      </x:c>
    </x:row>
    <x:row r="608">
      <x:c r="A608" s="1" t="n">
        <x:v>5177</x:v>
      </x:c>
      <x:c r="B608" s="5" t="d">
        <x:v>2015-03-17T00:00:00.000Z</x:v>
      </x:c>
      <x:c r="C608" s="1" t="str">
        <x:v>Standard Class</x:v>
      </x:c>
      <x:c r="D608" s="1" t="str">
        <x:v>LATAM</x:v>
      </x:c>
      <x:c r="E608" s="1" t="str">
        <x:v>PENDING</x:v>
      </x:c>
      <x:c r="F608" s="1" t="str">
        <x:v>Advance shipping</x:v>
      </x:c>
      <x:c r="G608" s="6" t="n">
        <x:v>3</x:v>
      </x:c>
      <x:c r="H608" s="6" t="n">
        <x:v>4</x:v>
      </x:c>
      <x:c r="I608" s="6" t="n">
        <x:f>G608-H608</x:f>
        <x:v>-1</x:v>
      </x:c>
      <x:c r="J608" s="6" t="n">
        <x:f>IF(OR(E608="CANCELED",E608="SUSPECTED_FRAUD",F608="Shipping canceled"),0,1)</x:f>
        <x:v>1</x:v>
      </x:c>
      <x:c r="K608" s="6" t="n">
        <x:f>IF(G608&gt;H608,1,0)</x:f>
        <x:v>0</x:v>
      </x:c>
      <x:c r="L608" s="6" t="n">
        <x:f>J608*K608</x:f>
        <x:v>0</x:v>
      </x:c>
    </x:row>
    <x:row r="609">
      <x:c r="A609" s="1" t="n">
        <x:v>5186</x:v>
      </x:c>
      <x:c r="B609" s="5" t="d">
        <x:v>2015-03-17T00:00:00.000Z</x:v>
      </x:c>
      <x:c r="C609" s="1" t="str">
        <x:v>Second Class</x:v>
      </x:c>
      <x:c r="D609" s="1" t="str">
        <x:v>LATAM</x:v>
      </x:c>
      <x:c r="E609" s="1" t="str">
        <x:v>ON_HOLD</x:v>
      </x:c>
      <x:c r="F609" s="1" t="str">
        <x:v>Shipping on time</x:v>
      </x:c>
      <x:c r="G609" s="6" t="n">
        <x:v>2</x:v>
      </x:c>
      <x:c r="H609" s="6" t="n">
        <x:v>2</x:v>
      </x:c>
      <x:c r="I609" s="6" t="n">
        <x:f>G609-H609</x:f>
        <x:v>0</x:v>
      </x:c>
      <x:c r="J609" s="6" t="n">
        <x:f>IF(OR(E609="CANCELED",E609="SUSPECTED_FRAUD",F609="Shipping canceled"),0,1)</x:f>
        <x:v>1</x:v>
      </x:c>
      <x:c r="K609" s="6" t="n">
        <x:f>IF(G609&gt;H609,1,0)</x:f>
        <x:v>0</x:v>
      </x:c>
      <x:c r="L609" s="6" t="n">
        <x:f>J609*K609</x:f>
        <x:v>0</x:v>
      </x:c>
    </x:row>
    <x:row r="610">
      <x:c r="A610" s="1" t="n">
        <x:v>5197</x:v>
      </x:c>
      <x:c r="B610" s="5" t="d">
        <x:v>2015-03-17T00:00:00.000Z</x:v>
      </x:c>
      <x:c r="C610" s="1" t="str">
        <x:v>First Class</x:v>
      </x:c>
      <x:c r="D610" s="1" t="str">
        <x:v>LATAM</x:v>
      </x:c>
      <x:c r="E610" s="1" t="str">
        <x:v>SUSPECTED_FRAUD</x:v>
      </x:c>
      <x:c r="F610" s="1" t="str">
        <x:v>Shipping canceled</x:v>
      </x:c>
      <x:c r="G610" s="6" t="n">
        <x:v>2</x:v>
      </x:c>
      <x:c r="H610" s="6" t="n">
        <x:v>1</x:v>
      </x:c>
      <x:c r="I610" s="6" t="n">
        <x:f>G610-H610</x:f>
        <x:v>1</x:v>
      </x:c>
      <x:c r="J610" s="6" t="n">
        <x:f>IF(OR(E610="CANCELED",E610="SUSPECTED_FRAUD",F610="Shipping canceled"),0,1)</x:f>
        <x:v>0</x:v>
      </x:c>
      <x:c r="K610" s="6" t="n">
        <x:f>IF(G610&gt;H610,1,0)</x:f>
        <x:v>1</x:v>
      </x:c>
      <x:c r="L610" s="6" t="n">
        <x:f>J610*K610</x:f>
        <x:v>0</x:v>
      </x:c>
    </x:row>
    <x:row r="611">
      <x:c r="A611" s="1" t="n">
        <x:v>5216</x:v>
      </x:c>
      <x:c r="B611" s="5" t="d">
        <x:v>2015-03-18T00:00:00.000Z</x:v>
      </x:c>
      <x:c r="C611" s="1" t="str">
        <x:v>Standard Class</x:v>
      </x:c>
      <x:c r="D611" s="1" t="str">
        <x:v>LATAM</x:v>
      </x:c>
      <x:c r="E611" s="1" t="str">
        <x:v>PROCESSING</x:v>
      </x:c>
      <x:c r="F611" s="1" t="str">
        <x:v>Advance shipping</x:v>
      </x:c>
      <x:c r="G611" s="6" t="n">
        <x:v>2</x:v>
      </x:c>
      <x:c r="H611" s="6" t="n">
        <x:v>4</x:v>
      </x:c>
      <x:c r="I611" s="6" t="n">
        <x:f>G611-H611</x:f>
        <x:v>-2</x:v>
      </x:c>
      <x:c r="J611" s="6" t="n">
        <x:f>IF(OR(E611="CANCELED",E611="SUSPECTED_FRAUD",F611="Shipping canceled"),0,1)</x:f>
        <x:v>1</x:v>
      </x:c>
      <x:c r="K611" s="6" t="n">
        <x:f>IF(G611&gt;H611,1,0)</x:f>
        <x:v>0</x:v>
      </x:c>
      <x:c r="L611" s="6" t="n">
        <x:f>J611*K611</x:f>
        <x:v>0</x:v>
      </x:c>
    </x:row>
    <x:row r="612">
      <x:c r="A612" s="1" t="n">
        <x:v>5217</x:v>
      </x:c>
      <x:c r="B612" s="5" t="d">
        <x:v>2015-03-18T00:00:00.000Z</x:v>
      </x:c>
      <x:c r="C612" s="1" t="str">
        <x:v>Standard Class</x:v>
      </x:c>
      <x:c r="D612" s="1" t="str">
        <x:v>LATAM</x:v>
      </x:c>
      <x:c r="E612" s="1" t="str">
        <x:v>PROCESSING</x:v>
      </x:c>
      <x:c r="F612" s="1" t="str">
        <x:v>Advance shipping</x:v>
      </x:c>
      <x:c r="G612" s="6" t="n">
        <x:v>3</x:v>
      </x:c>
      <x:c r="H612" s="6" t="n">
        <x:v>4</x:v>
      </x:c>
      <x:c r="I612" s="6" t="n">
        <x:f>G612-H612</x:f>
        <x:v>-1</x:v>
      </x:c>
      <x:c r="J612" s="6" t="n">
        <x:f>IF(OR(E612="CANCELED",E612="SUSPECTED_FRAUD",F612="Shipping canceled"),0,1)</x:f>
        <x:v>1</x:v>
      </x:c>
      <x:c r="K612" s="6" t="n">
        <x:f>IF(G612&gt;H612,1,0)</x:f>
        <x:v>0</x:v>
      </x:c>
      <x:c r="L612" s="6" t="n">
        <x:f>J612*K612</x:f>
        <x:v>0</x:v>
      </x:c>
    </x:row>
    <x:row r="613">
      <x:c r="A613" s="1" t="n">
        <x:v>5238</x:v>
      </x:c>
      <x:c r="B613" s="5" t="d">
        <x:v>2015-03-18T00:00:00.000Z</x:v>
      </x:c>
      <x:c r="C613" s="1" t="str">
        <x:v>Standard Class</x:v>
      </x:c>
      <x:c r="D613" s="1" t="str">
        <x:v>LATAM</x:v>
      </x:c>
      <x:c r="E613" s="1" t="str">
        <x:v>COMPLETE</x:v>
      </x:c>
      <x:c r="F613" s="1" t="str">
        <x:v>Shipping on time</x:v>
      </x:c>
      <x:c r="G613" s="6" t="n">
        <x:v>4</x:v>
      </x:c>
      <x:c r="H613" s="6" t="n">
        <x:v>4</x:v>
      </x:c>
      <x:c r="I613" s="6" t="n">
        <x:f>G613-H613</x:f>
        <x:v>0</x:v>
      </x:c>
      <x:c r="J613" s="6" t="n">
        <x:f>IF(OR(E613="CANCELED",E613="SUSPECTED_FRAUD",F613="Shipping canceled"),0,1)</x:f>
        <x:v>1</x:v>
      </x:c>
      <x:c r="K613" s="6" t="n">
        <x:f>IF(G613&gt;H613,1,0)</x:f>
        <x:v>0</x:v>
      </x:c>
      <x:c r="L613" s="6" t="n">
        <x:f>J613*K613</x:f>
        <x:v>0</x:v>
      </x:c>
    </x:row>
    <x:row r="614">
      <x:c r="A614" s="1" t="n">
        <x:v>5239</x:v>
      </x:c>
      <x:c r="B614" s="5" t="d">
        <x:v>2015-03-18T00:00:00.000Z</x:v>
      </x:c>
      <x:c r="C614" s="1" t="str">
        <x:v>Standard Class</x:v>
      </x:c>
      <x:c r="D614" s="1" t="str">
        <x:v>LATAM</x:v>
      </x:c>
      <x:c r="E614" s="1" t="str">
        <x:v>ON_HOLD</x:v>
      </x:c>
      <x:c r="F614" s="1" t="str">
        <x:v>Late delivery</x:v>
      </x:c>
      <x:c r="G614" s="6" t="n">
        <x:v>5</x:v>
      </x:c>
      <x:c r="H614" s="6" t="n">
        <x:v>4</x:v>
      </x:c>
      <x:c r="I614" s="6" t="n">
        <x:f>G614-H614</x:f>
        <x:v>1</x:v>
      </x:c>
      <x:c r="J614" s="6" t="n">
        <x:f>IF(OR(E614="CANCELED",E614="SUSPECTED_FRAUD",F614="Shipping canceled"),0,1)</x:f>
        <x:v>1</x:v>
      </x:c>
      <x:c r="K614" s="6" t="n">
        <x:f>IF(G614&gt;H614,1,0)</x:f>
        <x:v>1</x:v>
      </x:c>
      <x:c r="L614" s="6" t="n">
        <x:f>J614*K614</x:f>
        <x:v>1</x:v>
      </x:c>
    </x:row>
    <x:row r="615">
      <x:c r="A615" s="1" t="n">
        <x:v>5243</x:v>
      </x:c>
      <x:c r="B615" s="5" t="d">
        <x:v>2015-03-18T00:00:00.000Z</x:v>
      </x:c>
      <x:c r="C615" s="1" t="str">
        <x:v>Standard Class</x:v>
      </x:c>
      <x:c r="D615" s="1" t="str">
        <x:v>LATAM</x:v>
      </x:c>
      <x:c r="E615" s="1" t="str">
        <x:v>COMPLETE</x:v>
      </x:c>
      <x:c r="F615" s="1" t="str">
        <x:v>Shipping on time</x:v>
      </x:c>
      <x:c r="G615" s="6" t="n">
        <x:v>4</x:v>
      </x:c>
      <x:c r="H615" s="6" t="n">
        <x:v>4</x:v>
      </x:c>
      <x:c r="I615" s="6" t="n">
        <x:f>G615-H615</x:f>
        <x:v>0</x:v>
      </x:c>
      <x:c r="J615" s="6" t="n">
        <x:f>IF(OR(E615="CANCELED",E615="SUSPECTED_FRAUD",F615="Shipping canceled"),0,1)</x:f>
        <x:v>1</x:v>
      </x:c>
      <x:c r="K615" s="6" t="n">
        <x:f>IF(G615&gt;H615,1,0)</x:f>
        <x:v>0</x:v>
      </x:c>
      <x:c r="L615" s="6" t="n">
        <x:f>J615*K615</x:f>
        <x:v>0</x:v>
      </x:c>
    </x:row>
    <x:row r="616">
      <x:c r="A616" s="1" t="n">
        <x:v>5259</x:v>
      </x:c>
      <x:c r="B616" s="5" t="d">
        <x:v>2015-03-18T00:00:00.000Z</x:v>
      </x:c>
      <x:c r="C616" s="1" t="str">
        <x:v>Second Class</x:v>
      </x:c>
      <x:c r="D616" s="1" t="str">
        <x:v>LATAM</x:v>
      </x:c>
      <x:c r="E616" s="1" t="str">
        <x:v>PROCESSING</x:v>
      </x:c>
      <x:c r="F616" s="1" t="str">
        <x:v>Late delivery</x:v>
      </x:c>
      <x:c r="G616" s="6" t="n">
        <x:v>5</x:v>
      </x:c>
      <x:c r="H616" s="6" t="n">
        <x:v>2</x:v>
      </x:c>
      <x:c r="I616" s="6" t="n">
        <x:f>G616-H616</x:f>
        <x:v>3</x:v>
      </x:c>
      <x:c r="J616" s="6" t="n">
        <x:f>IF(OR(E616="CANCELED",E616="SUSPECTED_FRAUD",F616="Shipping canceled"),0,1)</x:f>
        <x:v>1</x:v>
      </x:c>
      <x:c r="K616" s="6" t="n">
        <x:f>IF(G616&gt;H616,1,0)</x:f>
        <x:v>1</x:v>
      </x:c>
      <x:c r="L616" s="6" t="n">
        <x:f>J616*K616</x:f>
        <x:v>1</x:v>
      </x:c>
    </x:row>
    <x:row r="617">
      <x:c r="A617" s="1" t="n">
        <x:v>5267</x:v>
      </x:c>
      <x:c r="B617" s="5" t="d">
        <x:v>2015-03-18T00:00:00.000Z</x:v>
      </x:c>
      <x:c r="C617" s="1" t="str">
        <x:v>Standard Class</x:v>
      </x:c>
      <x:c r="D617" s="1" t="str">
        <x:v>LATAM</x:v>
      </x:c>
      <x:c r="E617" s="1" t="str">
        <x:v>PROCESSING</x:v>
      </x:c>
      <x:c r="F617" s="1" t="str">
        <x:v>Advance shipping</x:v>
      </x:c>
      <x:c r="G617" s="6" t="n">
        <x:v>3</x:v>
      </x:c>
      <x:c r="H617" s="6" t="n">
        <x:v>4</x:v>
      </x:c>
      <x:c r="I617" s="6" t="n">
        <x:f>G617-H617</x:f>
        <x:v>-1</x:v>
      </x:c>
      <x:c r="J617" s="6" t="n">
        <x:f>IF(OR(E617="CANCELED",E617="SUSPECTED_FRAUD",F617="Shipping canceled"),0,1)</x:f>
        <x:v>1</x:v>
      </x:c>
      <x:c r="K617" s="6" t="n">
        <x:f>IF(G617&gt;H617,1,0)</x:f>
        <x:v>0</x:v>
      </x:c>
      <x:c r="L617" s="6" t="n">
        <x:f>J617*K617</x:f>
        <x:v>0</x:v>
      </x:c>
    </x:row>
    <x:row r="618">
      <x:c r="A618" s="1" t="n">
        <x:v>5270</x:v>
      </x:c>
      <x:c r="B618" s="5" t="d">
        <x:v>2015-03-18T00:00:00.000Z</x:v>
      </x:c>
      <x:c r="C618" s="1" t="str">
        <x:v>Standard Class</x:v>
      </x:c>
      <x:c r="D618" s="1" t="str">
        <x:v>LATAM</x:v>
      </x:c>
      <x:c r="E618" s="1" t="str">
        <x:v>CANCELED</x:v>
      </x:c>
      <x:c r="F618" s="1" t="str">
        <x:v>Shipping canceled</x:v>
      </x:c>
      <x:c r="G618" s="6" t="n">
        <x:v>6</x:v>
      </x:c>
      <x:c r="H618" s="6" t="n">
        <x:v>4</x:v>
      </x:c>
      <x:c r="I618" s="6" t="n">
        <x:f>G618-H618</x:f>
        <x:v>2</x:v>
      </x:c>
      <x:c r="J618" s="6" t="n">
        <x:f>IF(OR(E618="CANCELED",E618="SUSPECTED_FRAUD",F618="Shipping canceled"),0,1)</x:f>
        <x:v>0</x:v>
      </x:c>
      <x:c r="K618" s="6" t="n">
        <x:f>IF(G618&gt;H618,1,0)</x:f>
        <x:v>1</x:v>
      </x:c>
      <x:c r="L618" s="6" t="n">
        <x:f>J618*K618</x:f>
        <x:v>0</x:v>
      </x:c>
    </x:row>
    <x:row r="619">
      <x:c r="A619" s="1" t="n">
        <x:v>5276</x:v>
      </x:c>
      <x:c r="B619" s="5" t="d">
        <x:v>2015-03-19T00:00:00.000Z</x:v>
      </x:c>
      <x:c r="C619" s="1" t="str">
        <x:v>Second Class</x:v>
      </x:c>
      <x:c r="D619" s="1" t="str">
        <x:v>LATAM</x:v>
      </x:c>
      <x:c r="E619" s="1" t="str">
        <x:v>ON_HOLD</x:v>
      </x:c>
      <x:c r="F619" s="1" t="str">
        <x:v>Shipping on time</x:v>
      </x:c>
      <x:c r="G619" s="6" t="n">
        <x:v>2</x:v>
      </x:c>
      <x:c r="H619" s="6" t="n">
        <x:v>2</x:v>
      </x:c>
      <x:c r="I619" s="6" t="n">
        <x:f>G619-H619</x:f>
        <x:v>0</x:v>
      </x:c>
      <x:c r="J619" s="6" t="n">
        <x:f>IF(OR(E619="CANCELED",E619="SUSPECTED_FRAUD",F619="Shipping canceled"),0,1)</x:f>
        <x:v>1</x:v>
      </x:c>
      <x:c r="K619" s="6" t="n">
        <x:f>IF(G619&gt;H619,1,0)</x:f>
        <x:v>0</x:v>
      </x:c>
      <x:c r="L619" s="6" t="n">
        <x:f>J619*K619</x:f>
        <x:v>0</x:v>
      </x:c>
    </x:row>
    <x:row r="620">
      <x:c r="A620" s="1" t="n">
        <x:v>5289</x:v>
      </x:c>
      <x:c r="B620" s="5" t="d">
        <x:v>2015-03-19T00:00:00.000Z</x:v>
      </x:c>
      <x:c r="C620" s="1" t="str">
        <x:v>Standard Class</x:v>
      </x:c>
      <x:c r="D620" s="1" t="str">
        <x:v>LATAM</x:v>
      </x:c>
      <x:c r="E620" s="1" t="str">
        <x:v>COMPLETE</x:v>
      </x:c>
      <x:c r="F620" s="1" t="str">
        <x:v>Late delivery</x:v>
      </x:c>
      <x:c r="G620" s="6" t="n">
        <x:v>5</x:v>
      </x:c>
      <x:c r="H620" s="6" t="n">
        <x:v>4</x:v>
      </x:c>
      <x:c r="I620" s="6" t="n">
        <x:f>G620-H620</x:f>
        <x:v>1</x:v>
      </x:c>
      <x:c r="J620" s="6" t="n">
        <x:f>IF(OR(E620="CANCELED",E620="SUSPECTED_FRAUD",F620="Shipping canceled"),0,1)</x:f>
        <x:v>1</x:v>
      </x:c>
      <x:c r="K620" s="6" t="n">
        <x:f>IF(G620&gt;H620,1,0)</x:f>
        <x:v>1</x:v>
      </x:c>
      <x:c r="L620" s="6" t="n">
        <x:f>J620*K620</x:f>
        <x:v>1</x:v>
      </x:c>
    </x:row>
    <x:row r="621">
      <x:c r="A621" s="1" t="n">
        <x:v>5323</x:v>
      </x:c>
      <x:c r="B621" s="5" t="d">
        <x:v>2015-03-19T00:00:00.000Z</x:v>
      </x:c>
      <x:c r="C621" s="1" t="str">
        <x:v>First Class</x:v>
      </x:c>
      <x:c r="D621" s="1" t="str">
        <x:v>LATAM</x:v>
      </x:c>
      <x:c r="E621" s="1" t="str">
        <x:v>SUSPECTED_FRAUD</x:v>
      </x:c>
      <x:c r="F621" s="1" t="str">
        <x:v>Shipping canceled</x:v>
      </x:c>
      <x:c r="G621" s="6" t="n">
        <x:v>2</x:v>
      </x:c>
      <x:c r="H621" s="6" t="n">
        <x:v>1</x:v>
      </x:c>
      <x:c r="I621" s="6" t="n">
        <x:f>G621-H621</x:f>
        <x:v>1</x:v>
      </x:c>
      <x:c r="J621" s="6" t="n">
        <x:f>IF(OR(E621="CANCELED",E621="SUSPECTED_FRAUD",F621="Shipping canceled"),0,1)</x:f>
        <x:v>0</x:v>
      </x:c>
      <x:c r="K621" s="6" t="n">
        <x:f>IF(G621&gt;H621,1,0)</x:f>
        <x:v>1</x:v>
      </x:c>
      <x:c r="L621" s="6" t="n">
        <x:f>J621*K621</x:f>
        <x:v>0</x:v>
      </x:c>
    </x:row>
    <x:row r="622">
      <x:c r="A622" s="1" t="n">
        <x:v>5324</x:v>
      </x:c>
      <x:c r="B622" s="5" t="d">
        <x:v>2015-03-19T00:00:00.000Z</x:v>
      </x:c>
      <x:c r="C622" s="1" t="str">
        <x:v>Standard Class</x:v>
      </x:c>
      <x:c r="D622" s="1" t="str">
        <x:v>LATAM</x:v>
      </x:c>
      <x:c r="E622" s="1" t="str">
        <x:v>PROCESSING</x:v>
      </x:c>
      <x:c r="F622" s="1" t="str">
        <x:v>Late delivery</x:v>
      </x:c>
      <x:c r="G622" s="6" t="n">
        <x:v>5</x:v>
      </x:c>
      <x:c r="H622" s="6" t="n">
        <x:v>4</x:v>
      </x:c>
      <x:c r="I622" s="6" t="n">
        <x:f>G622-H622</x:f>
        <x:v>1</x:v>
      </x:c>
      <x:c r="J622" s="6" t="n">
        <x:f>IF(OR(E622="CANCELED",E622="SUSPECTED_FRAUD",F622="Shipping canceled"),0,1)</x:f>
        <x:v>1</x:v>
      </x:c>
      <x:c r="K622" s="6" t="n">
        <x:f>IF(G622&gt;H622,1,0)</x:f>
        <x:v>1</x:v>
      </x:c>
      <x:c r="L622" s="6" t="n">
        <x:f>J622*K622</x:f>
        <x:v>1</x:v>
      </x:c>
    </x:row>
    <x:row r="623">
      <x:c r="A623" s="1" t="n">
        <x:v>5331</x:v>
      </x:c>
      <x:c r="B623" s="5" t="d">
        <x:v>2015-03-19T00:00:00.000Z</x:v>
      </x:c>
      <x:c r="C623" s="1" t="str">
        <x:v>Standard Class</x:v>
      </x:c>
      <x:c r="D623" s="1" t="str">
        <x:v>LATAM</x:v>
      </x:c>
      <x:c r="E623" s="1" t="str">
        <x:v>CANCELED</x:v>
      </x:c>
      <x:c r="F623" s="1" t="str">
        <x:v>Shipping canceled</x:v>
      </x:c>
      <x:c r="G623" s="6" t="n">
        <x:v>2</x:v>
      </x:c>
      <x:c r="H623" s="6" t="n">
        <x:v>4</x:v>
      </x:c>
      <x:c r="I623" s="6" t="n">
        <x:f>G623-H623</x:f>
        <x:v>-2</x:v>
      </x:c>
      <x:c r="J623" s="6" t="n">
        <x:f>IF(OR(E623="CANCELED",E623="SUSPECTED_FRAUD",F623="Shipping canceled"),0,1)</x:f>
        <x:v>0</x:v>
      </x:c>
      <x:c r="K623" s="6" t="n">
        <x:f>IF(G623&gt;H623,1,0)</x:f>
        <x:v>0</x:v>
      </x:c>
      <x:c r="L623" s="6" t="n">
        <x:f>J623*K623</x:f>
        <x:v>0</x:v>
      </x:c>
    </x:row>
    <x:row r="624">
      <x:c r="A624" s="1" t="n">
        <x:v>5348</x:v>
      </x:c>
      <x:c r="B624" s="5" t="d">
        <x:v>2015-03-20T00:00:00.000Z</x:v>
      </x:c>
      <x:c r="C624" s="1" t="str">
        <x:v>Standard Class</x:v>
      </x:c>
      <x:c r="D624" s="1" t="str">
        <x:v>LATAM</x:v>
      </x:c>
      <x:c r="E624" s="1" t="str">
        <x:v>PROCESSING</x:v>
      </x:c>
      <x:c r="F624" s="1" t="str">
        <x:v>Shipping on time</x:v>
      </x:c>
      <x:c r="G624" s="6" t="n">
        <x:v>4</x:v>
      </x:c>
      <x:c r="H624" s="6" t="n">
        <x:v>4</x:v>
      </x:c>
      <x:c r="I624" s="6" t="n">
        <x:f>G624-H624</x:f>
        <x:v>0</x:v>
      </x:c>
      <x:c r="J624" s="6" t="n">
        <x:f>IF(OR(E624="CANCELED",E624="SUSPECTED_FRAUD",F624="Shipping canceled"),0,1)</x:f>
        <x:v>1</x:v>
      </x:c>
      <x:c r="K624" s="6" t="n">
        <x:f>IF(G624&gt;H624,1,0)</x:f>
        <x:v>0</x:v>
      </x:c>
      <x:c r="L624" s="6" t="n">
        <x:f>J624*K624</x:f>
        <x:v>0</x:v>
      </x:c>
    </x:row>
    <x:row r="625">
      <x:c r="A625" s="1" t="n">
        <x:v>5350</x:v>
      </x:c>
      <x:c r="B625" s="5" t="d">
        <x:v>2015-03-20T00:00:00.000Z</x:v>
      </x:c>
      <x:c r="C625" s="1" t="str">
        <x:v>Same Day</x:v>
      </x:c>
      <x:c r="D625" s="1" t="str">
        <x:v>LATAM</x:v>
      </x:c>
      <x:c r="E625" s="1" t="str">
        <x:v>PENDING_PAYMENT</x:v>
      </x:c>
      <x:c r="F625" s="1" t="str">
        <x:v>Shipping on time</x:v>
      </x:c>
      <x:c r="G625" s="6" t="n">
        <x:v>0</x:v>
      </x:c>
      <x:c r="H625" s="6" t="n">
        <x:v>0</x:v>
      </x:c>
      <x:c r="I625" s="6" t="n">
        <x:f>G625-H625</x:f>
        <x:v>0</x:v>
      </x:c>
      <x:c r="J625" s="6" t="n">
        <x:f>IF(OR(E625="CANCELED",E625="SUSPECTED_FRAUD",F625="Shipping canceled"),0,1)</x:f>
        <x:v>1</x:v>
      </x:c>
      <x:c r="K625" s="6" t="n">
        <x:f>IF(G625&gt;H625,1,0)</x:f>
        <x:v>0</x:v>
      </x:c>
      <x:c r="L625" s="6" t="n">
        <x:f>J625*K625</x:f>
        <x:v>0</x:v>
      </x:c>
    </x:row>
    <x:row r="626">
      <x:c r="A626" s="1" t="n">
        <x:v>5356</x:v>
      </x:c>
      <x:c r="B626" s="5" t="d">
        <x:v>2015-03-20T00:00:00.000Z</x:v>
      </x:c>
      <x:c r="C626" s="1" t="str">
        <x:v>First Class</x:v>
      </x:c>
      <x:c r="D626" s="1" t="str">
        <x:v>LATAM</x:v>
      </x:c>
      <x:c r="E626" s="1" t="str">
        <x:v>CLOSED</x:v>
      </x:c>
      <x:c r="F626" s="1" t="str">
        <x:v>Late delivery</x:v>
      </x:c>
      <x:c r="G626" s="6" t="n">
        <x:v>2</x:v>
      </x:c>
      <x:c r="H626" s="6" t="n">
        <x:v>1</x:v>
      </x:c>
      <x:c r="I626" s="6" t="n">
        <x:f>G626-H626</x:f>
        <x:v>1</x:v>
      </x:c>
      <x:c r="J626" s="6" t="n">
        <x:f>IF(OR(E626="CANCELED",E626="SUSPECTED_FRAUD",F626="Shipping canceled"),0,1)</x:f>
        <x:v>1</x:v>
      </x:c>
      <x:c r="K626" s="6" t="n">
        <x:f>IF(G626&gt;H626,1,0)</x:f>
        <x:v>1</x:v>
      </x:c>
      <x:c r="L626" s="6" t="n">
        <x:f>J626*K626</x:f>
        <x:v>1</x:v>
      </x:c>
    </x:row>
    <x:row r="627">
      <x:c r="A627" s="1" t="n">
        <x:v>5365</x:v>
      </x:c>
      <x:c r="B627" s="5" t="d">
        <x:v>2015-03-20T00:00:00.000Z</x:v>
      </x:c>
      <x:c r="C627" s="1" t="str">
        <x:v>Standard Class</x:v>
      </x:c>
      <x:c r="D627" s="1" t="str">
        <x:v>LATAM</x:v>
      </x:c>
      <x:c r="E627" s="1" t="str">
        <x:v>PENDING_PAYMENT</x:v>
      </x:c>
      <x:c r="F627" s="1" t="str">
        <x:v>Late delivery</x:v>
      </x:c>
      <x:c r="G627" s="6" t="n">
        <x:v>6</x:v>
      </x:c>
      <x:c r="H627" s="6" t="n">
        <x:v>4</x:v>
      </x:c>
      <x:c r="I627" s="6" t="n">
        <x:f>G627-H627</x:f>
        <x:v>2</x:v>
      </x:c>
      <x:c r="J627" s="6" t="n">
        <x:f>IF(OR(E627="CANCELED",E627="SUSPECTED_FRAUD",F627="Shipping canceled"),0,1)</x:f>
        <x:v>1</x:v>
      </x:c>
      <x:c r="K627" s="6" t="n">
        <x:f>IF(G627&gt;H627,1,0)</x:f>
        <x:v>1</x:v>
      </x:c>
      <x:c r="L627" s="6" t="n">
        <x:f>J627*K627</x:f>
        <x:v>1</x:v>
      </x:c>
    </x:row>
    <x:row r="628">
      <x:c r="A628" s="1" t="n">
        <x:v>5384</x:v>
      </x:c>
      <x:c r="B628" s="5" t="d">
        <x:v>2015-03-20T00:00:00.000Z</x:v>
      </x:c>
      <x:c r="C628" s="1" t="str">
        <x:v>Standard Class</x:v>
      </x:c>
      <x:c r="D628" s="1" t="str">
        <x:v>LATAM</x:v>
      </x:c>
      <x:c r="E628" s="1" t="str">
        <x:v>COMPLETE</x:v>
      </x:c>
      <x:c r="F628" s="1" t="str">
        <x:v>Late delivery</x:v>
      </x:c>
      <x:c r="G628" s="6" t="n">
        <x:v>5</x:v>
      </x:c>
      <x:c r="H628" s="6" t="n">
        <x:v>4</x:v>
      </x:c>
      <x:c r="I628" s="6" t="n">
        <x:f>G628-H628</x:f>
        <x:v>1</x:v>
      </x:c>
      <x:c r="J628" s="6" t="n">
        <x:f>IF(OR(E628="CANCELED",E628="SUSPECTED_FRAUD",F628="Shipping canceled"),0,1)</x:f>
        <x:v>1</x:v>
      </x:c>
      <x:c r="K628" s="6" t="n">
        <x:f>IF(G628&gt;H628,1,0)</x:f>
        <x:v>1</x:v>
      </x:c>
      <x:c r="L628" s="6" t="n">
        <x:f>J628*K628</x:f>
        <x:v>1</x:v>
      </x:c>
    </x:row>
    <x:row r="629">
      <x:c r="A629" s="1" t="n">
        <x:v>5385</x:v>
      </x:c>
      <x:c r="B629" s="5" t="d">
        <x:v>2015-03-20T00:00:00.000Z</x:v>
      </x:c>
      <x:c r="C629" s="1" t="str">
        <x:v>Standard Class</x:v>
      </x:c>
      <x:c r="D629" s="1" t="str">
        <x:v>LATAM</x:v>
      </x:c>
      <x:c r="E629" s="1" t="str">
        <x:v>PENDING</x:v>
      </x:c>
      <x:c r="F629" s="1" t="str">
        <x:v>Late delivery</x:v>
      </x:c>
      <x:c r="G629" s="6" t="n">
        <x:v>6</x:v>
      </x:c>
      <x:c r="H629" s="6" t="n">
        <x:v>4</x:v>
      </x:c>
      <x:c r="I629" s="6" t="n">
        <x:f>G629-H629</x:f>
        <x:v>2</x:v>
      </x:c>
      <x:c r="J629" s="6" t="n">
        <x:f>IF(OR(E629="CANCELED",E629="SUSPECTED_FRAUD",F629="Shipping canceled"),0,1)</x:f>
        <x:v>1</x:v>
      </x:c>
      <x:c r="K629" s="6" t="n">
        <x:f>IF(G629&gt;H629,1,0)</x:f>
        <x:v>1</x:v>
      </x:c>
      <x:c r="L629" s="6" t="n">
        <x:f>J629*K629</x:f>
        <x:v>1</x:v>
      </x:c>
    </x:row>
    <x:row r="630">
      <x:c r="A630" s="1" t="n">
        <x:v>5394</x:v>
      </x:c>
      <x:c r="B630" s="5" t="d">
        <x:v>2015-03-20T00:00:00.000Z</x:v>
      </x:c>
      <x:c r="C630" s="1" t="str">
        <x:v>First Class</x:v>
      </x:c>
      <x:c r="D630" s="1" t="str">
        <x:v>LATAM</x:v>
      </x:c>
      <x:c r="E630" s="1" t="str">
        <x:v>CLOSED</x:v>
      </x:c>
      <x:c r="F630" s="1" t="str">
        <x:v>Late delivery</x:v>
      </x:c>
      <x:c r="G630" s="6" t="n">
        <x:v>2</x:v>
      </x:c>
      <x:c r="H630" s="6" t="n">
        <x:v>1</x:v>
      </x:c>
      <x:c r="I630" s="6" t="n">
        <x:f>G630-H630</x:f>
        <x:v>1</x:v>
      </x:c>
      <x:c r="J630" s="6" t="n">
        <x:f>IF(OR(E630="CANCELED",E630="SUSPECTED_FRAUD",F630="Shipping canceled"),0,1)</x:f>
        <x:v>1</x:v>
      </x:c>
      <x:c r="K630" s="6" t="n">
        <x:f>IF(G630&gt;H630,1,0)</x:f>
        <x:v>1</x:v>
      </x:c>
      <x:c r="L630" s="6" t="n">
        <x:f>J630*K630</x:f>
        <x:v>1</x:v>
      </x:c>
    </x:row>
    <x:row r="631">
      <x:c r="A631" s="1" t="n">
        <x:v>5402</x:v>
      </x:c>
      <x:c r="B631" s="5" t="d">
        <x:v>2015-03-20T00:00:00.000Z</x:v>
      </x:c>
      <x:c r="C631" s="1" t="str">
        <x:v>Standard Class</x:v>
      </x:c>
      <x:c r="D631" s="1" t="str">
        <x:v>LATAM</x:v>
      </x:c>
      <x:c r="E631" s="1" t="str">
        <x:v>COMPLETE</x:v>
      </x:c>
      <x:c r="F631" s="1" t="str">
        <x:v>Advance shipping</x:v>
      </x:c>
      <x:c r="G631" s="6" t="n">
        <x:v>3</x:v>
      </x:c>
      <x:c r="H631" s="6" t="n">
        <x:v>4</x:v>
      </x:c>
      <x:c r="I631" s="6" t="n">
        <x:f>G631-H631</x:f>
        <x:v>-1</x:v>
      </x:c>
      <x:c r="J631" s="6" t="n">
        <x:f>IF(OR(E631="CANCELED",E631="SUSPECTED_FRAUD",F631="Shipping canceled"),0,1)</x:f>
        <x:v>1</x:v>
      </x:c>
      <x:c r="K631" s="6" t="n">
        <x:f>IF(G631&gt;H631,1,0)</x:f>
        <x:v>0</x:v>
      </x:c>
      <x:c r="L631" s="6" t="n">
        <x:f>J631*K631</x:f>
        <x:v>0</x:v>
      </x:c>
    </x:row>
    <x:row r="632">
      <x:c r="A632" s="1" t="n">
        <x:v>5416</x:v>
      </x:c>
      <x:c r="B632" s="5" t="d">
        <x:v>2015-03-21T00:00:00.000Z</x:v>
      </x:c>
      <x:c r="C632" s="1" t="str">
        <x:v>Second Class</x:v>
      </x:c>
      <x:c r="D632" s="1" t="str">
        <x:v>LATAM</x:v>
      </x:c>
      <x:c r="E632" s="1" t="str">
        <x:v>PROCESSING</x:v>
      </x:c>
      <x:c r="F632" s="1" t="str">
        <x:v>Shipping on time</x:v>
      </x:c>
      <x:c r="G632" s="6" t="n">
        <x:v>2</x:v>
      </x:c>
      <x:c r="H632" s="6" t="n">
        <x:v>2</x:v>
      </x:c>
      <x:c r="I632" s="6" t="n">
        <x:f>G632-H632</x:f>
        <x:v>0</x:v>
      </x:c>
      <x:c r="J632" s="6" t="n">
        <x:f>IF(OR(E632="CANCELED",E632="SUSPECTED_FRAUD",F632="Shipping canceled"),0,1)</x:f>
        <x:v>1</x:v>
      </x:c>
      <x:c r="K632" s="6" t="n">
        <x:f>IF(G632&gt;H632,1,0)</x:f>
        <x:v>0</x:v>
      </x:c>
      <x:c r="L632" s="6" t="n">
        <x:f>J632*K632</x:f>
        <x:v>0</x:v>
      </x:c>
    </x:row>
    <x:row r="633">
      <x:c r="A633" s="1" t="n">
        <x:v>5421</x:v>
      </x:c>
      <x:c r="B633" s="5" t="d">
        <x:v>2015-03-21T00:00:00.000Z</x:v>
      </x:c>
      <x:c r="C633" s="1" t="str">
        <x:v>Second Class</x:v>
      </x:c>
      <x:c r="D633" s="1" t="str">
        <x:v>LATAM</x:v>
      </x:c>
      <x:c r="E633" s="1" t="str">
        <x:v>PENDING_PAYMENT</x:v>
      </x:c>
      <x:c r="F633" s="1" t="str">
        <x:v>Shipping on time</x:v>
      </x:c>
      <x:c r="G633" s="6" t="n">
        <x:v>2</x:v>
      </x:c>
      <x:c r="H633" s="6" t="n">
        <x:v>2</x:v>
      </x:c>
      <x:c r="I633" s="6" t="n">
        <x:f>G633-H633</x:f>
        <x:v>0</x:v>
      </x:c>
      <x:c r="J633" s="6" t="n">
        <x:f>IF(OR(E633="CANCELED",E633="SUSPECTED_FRAUD",F633="Shipping canceled"),0,1)</x:f>
        <x:v>1</x:v>
      </x:c>
      <x:c r="K633" s="6" t="n">
        <x:f>IF(G633&gt;H633,1,0)</x:f>
        <x:v>0</x:v>
      </x:c>
      <x:c r="L633" s="6" t="n">
        <x:f>J633*K633</x:f>
        <x:v>0</x:v>
      </x:c>
    </x:row>
    <x:row r="634">
      <x:c r="A634" s="1" t="n">
        <x:v>5422</x:v>
      </x:c>
      <x:c r="B634" s="5" t="d">
        <x:v>2015-03-21T00:00:00.000Z</x:v>
      </x:c>
      <x:c r="C634" s="1" t="str">
        <x:v>Standard Class</x:v>
      </x:c>
      <x:c r="D634" s="1" t="str">
        <x:v>LATAM</x:v>
      </x:c>
      <x:c r="E634" s="1" t="str">
        <x:v>COMPLETE</x:v>
      </x:c>
      <x:c r="F634" s="1" t="str">
        <x:v>Advance shipping</x:v>
      </x:c>
      <x:c r="G634" s="6" t="n">
        <x:v>3</x:v>
      </x:c>
      <x:c r="H634" s="6" t="n">
        <x:v>4</x:v>
      </x:c>
      <x:c r="I634" s="6" t="n">
        <x:f>G634-H634</x:f>
        <x:v>-1</x:v>
      </x:c>
      <x:c r="J634" s="6" t="n">
        <x:f>IF(OR(E634="CANCELED",E634="SUSPECTED_FRAUD",F634="Shipping canceled"),0,1)</x:f>
        <x:v>1</x:v>
      </x:c>
      <x:c r="K634" s="6" t="n">
        <x:f>IF(G634&gt;H634,1,0)</x:f>
        <x:v>0</x:v>
      </x:c>
      <x:c r="L634" s="6" t="n">
        <x:f>J634*K634</x:f>
        <x:v>0</x:v>
      </x:c>
    </x:row>
    <x:row r="635">
      <x:c r="A635" s="1" t="n">
        <x:v>5436</x:v>
      </x:c>
      <x:c r="B635" s="5" t="d">
        <x:v>2015-03-21T00:00:00.000Z</x:v>
      </x:c>
      <x:c r="C635" s="1" t="str">
        <x:v>Standard Class</x:v>
      </x:c>
      <x:c r="D635" s="1" t="str">
        <x:v>LATAM</x:v>
      </x:c>
      <x:c r="E635" s="1" t="str">
        <x:v>COMPLETE</x:v>
      </x:c>
      <x:c r="F635" s="1" t="str">
        <x:v>Advance shipping</x:v>
      </x:c>
      <x:c r="G635" s="6" t="n">
        <x:v>2</x:v>
      </x:c>
      <x:c r="H635" s="6" t="n">
        <x:v>4</x:v>
      </x:c>
      <x:c r="I635" s="6" t="n">
        <x:f>G635-H635</x:f>
        <x:v>-2</x:v>
      </x:c>
      <x:c r="J635" s="6" t="n">
        <x:f>IF(OR(E635="CANCELED",E635="SUSPECTED_FRAUD",F635="Shipping canceled"),0,1)</x:f>
        <x:v>1</x:v>
      </x:c>
      <x:c r="K635" s="6" t="n">
        <x:f>IF(G635&gt;H635,1,0)</x:f>
        <x:v>0</x:v>
      </x:c>
      <x:c r="L635" s="6" t="n">
        <x:f>J635*K635</x:f>
        <x:v>0</x:v>
      </x:c>
    </x:row>
    <x:row r="636">
      <x:c r="A636" s="1" t="n">
        <x:v>5439</x:v>
      </x:c>
      <x:c r="B636" s="5" t="d">
        <x:v>2015-03-21T00:00:00.000Z</x:v>
      </x:c>
      <x:c r="C636" s="1" t="str">
        <x:v>Standard Class</x:v>
      </x:c>
      <x:c r="D636" s="1" t="str">
        <x:v>LATAM</x:v>
      </x:c>
      <x:c r="E636" s="1" t="str">
        <x:v>PENDING_PAYMENT</x:v>
      </x:c>
      <x:c r="F636" s="1" t="str">
        <x:v>Late delivery</x:v>
      </x:c>
      <x:c r="G636" s="6" t="n">
        <x:v>5</x:v>
      </x:c>
      <x:c r="H636" s="6" t="n">
        <x:v>4</x:v>
      </x:c>
      <x:c r="I636" s="6" t="n">
        <x:f>G636-H636</x:f>
        <x:v>1</x:v>
      </x:c>
      <x:c r="J636" s="6" t="n">
        <x:f>IF(OR(E636="CANCELED",E636="SUSPECTED_FRAUD",F636="Shipping canceled"),0,1)</x:f>
        <x:v>1</x:v>
      </x:c>
      <x:c r="K636" s="6" t="n">
        <x:f>IF(G636&gt;H636,1,0)</x:f>
        <x:v>1</x:v>
      </x:c>
      <x:c r="L636" s="6" t="n">
        <x:f>J636*K636</x:f>
        <x:v>1</x:v>
      </x:c>
    </x:row>
    <x:row r="637">
      <x:c r="A637" s="1" t="n">
        <x:v>5442</x:v>
      </x:c>
      <x:c r="B637" s="5" t="d">
        <x:v>2015-03-21T00:00:00.000Z</x:v>
      </x:c>
      <x:c r="C637" s="1" t="str">
        <x:v>Standard Class</x:v>
      </x:c>
      <x:c r="D637" s="1" t="str">
        <x:v>LATAM</x:v>
      </x:c>
      <x:c r="E637" s="1" t="str">
        <x:v>COMPLETE</x:v>
      </x:c>
      <x:c r="F637" s="1" t="str">
        <x:v>Advance shipping</x:v>
      </x:c>
      <x:c r="G637" s="6" t="n">
        <x:v>3</x:v>
      </x:c>
      <x:c r="H637" s="6" t="n">
        <x:v>4</x:v>
      </x:c>
      <x:c r="I637" s="6" t="n">
        <x:f>G637-H637</x:f>
        <x:v>-1</x:v>
      </x:c>
      <x:c r="J637" s="6" t="n">
        <x:f>IF(OR(E637="CANCELED",E637="SUSPECTED_FRAUD",F637="Shipping canceled"),0,1)</x:f>
        <x:v>1</x:v>
      </x:c>
      <x:c r="K637" s="6" t="n">
        <x:f>IF(G637&gt;H637,1,0)</x:f>
        <x:v>0</x:v>
      </x:c>
      <x:c r="L637" s="6" t="n">
        <x:f>J637*K637</x:f>
        <x:v>0</x:v>
      </x:c>
    </x:row>
    <x:row r="638">
      <x:c r="A638" s="1" t="n">
        <x:v>5445</x:v>
      </x:c>
      <x:c r="B638" s="5" t="d">
        <x:v>2015-03-21T00:00:00.000Z</x:v>
      </x:c>
      <x:c r="C638" s="1" t="str">
        <x:v>Standard Class</x:v>
      </x:c>
      <x:c r="D638" s="1" t="str">
        <x:v>LATAM</x:v>
      </x:c>
      <x:c r="E638" s="1" t="str">
        <x:v>COMPLETE</x:v>
      </x:c>
      <x:c r="F638" s="1" t="str">
        <x:v>Late delivery</x:v>
      </x:c>
      <x:c r="G638" s="6" t="n">
        <x:v>6</x:v>
      </x:c>
      <x:c r="H638" s="6" t="n">
        <x:v>4</x:v>
      </x:c>
      <x:c r="I638" s="6" t="n">
        <x:f>G638-H638</x:f>
        <x:v>2</x:v>
      </x:c>
      <x:c r="J638" s="6" t="n">
        <x:f>IF(OR(E638="CANCELED",E638="SUSPECTED_FRAUD",F638="Shipping canceled"),0,1)</x:f>
        <x:v>1</x:v>
      </x:c>
      <x:c r="K638" s="6" t="n">
        <x:f>IF(G638&gt;H638,1,0)</x:f>
        <x:v>1</x:v>
      </x:c>
      <x:c r="L638" s="6" t="n">
        <x:f>J638*K638</x:f>
        <x:v>1</x:v>
      </x:c>
    </x:row>
    <x:row r="639">
      <x:c r="A639" s="1" t="n">
        <x:v>5467</x:v>
      </x:c>
      <x:c r="B639" s="5" t="d">
        <x:v>2015-03-21T00:00:00.000Z</x:v>
      </x:c>
      <x:c r="C639" s="1" t="str">
        <x:v>Standard Class</x:v>
      </x:c>
      <x:c r="D639" s="1" t="str">
        <x:v>LATAM</x:v>
      </x:c>
      <x:c r="E639" s="1" t="str">
        <x:v>PROCESSING</x:v>
      </x:c>
      <x:c r="F639" s="1" t="str">
        <x:v>Advance shipping</x:v>
      </x:c>
      <x:c r="G639" s="6" t="n">
        <x:v>3</x:v>
      </x:c>
      <x:c r="H639" s="6" t="n">
        <x:v>4</x:v>
      </x:c>
      <x:c r="I639" s="6" t="n">
        <x:f>G639-H639</x:f>
        <x:v>-1</x:v>
      </x:c>
      <x:c r="J639" s="6" t="n">
        <x:f>IF(OR(E639="CANCELED",E639="SUSPECTED_FRAUD",F639="Shipping canceled"),0,1)</x:f>
        <x:v>1</x:v>
      </x:c>
      <x:c r="K639" s="6" t="n">
        <x:f>IF(G639&gt;H639,1,0)</x:f>
        <x:v>0</x:v>
      </x:c>
      <x:c r="L639" s="6" t="n">
        <x:f>J639*K639</x:f>
        <x:v>0</x:v>
      </x:c>
    </x:row>
    <x:row r="640">
      <x:c r="A640" s="1" t="n">
        <x:v>5479</x:v>
      </x:c>
      <x:c r="B640" s="5" t="d">
        <x:v>2015-03-21T00:00:00.000Z</x:v>
      </x:c>
      <x:c r="C640" s="1" t="str">
        <x:v>Standard Class</x:v>
      </x:c>
      <x:c r="D640" s="1" t="str">
        <x:v>LATAM</x:v>
      </x:c>
      <x:c r="E640" s="1" t="str">
        <x:v>PROCESSING</x:v>
      </x:c>
      <x:c r="F640" s="1" t="str">
        <x:v>Late delivery</x:v>
      </x:c>
      <x:c r="G640" s="6" t="n">
        <x:v>5</x:v>
      </x:c>
      <x:c r="H640" s="6" t="n">
        <x:v>4</x:v>
      </x:c>
      <x:c r="I640" s="6" t="n">
        <x:f>G640-H640</x:f>
        <x:v>1</x:v>
      </x:c>
      <x:c r="J640" s="6" t="n">
        <x:f>IF(OR(E640="CANCELED",E640="SUSPECTED_FRAUD",F640="Shipping canceled"),0,1)</x:f>
        <x:v>1</x:v>
      </x:c>
      <x:c r="K640" s="6" t="n">
        <x:f>IF(G640&gt;H640,1,0)</x:f>
        <x:v>1</x:v>
      </x:c>
      <x:c r="L640" s="6" t="n">
        <x:f>J640*K640</x:f>
        <x:v>1</x:v>
      </x:c>
    </x:row>
    <x:row r="641">
      <x:c r="A641" s="1" t="n">
        <x:v>5480</x:v>
      </x:c>
      <x:c r="B641" s="5" t="d">
        <x:v>2015-03-21T00:00:00.000Z</x:v>
      </x:c>
      <x:c r="C641" s="1" t="str">
        <x:v>Standard Class</x:v>
      </x:c>
      <x:c r="D641" s="1" t="str">
        <x:v>LATAM</x:v>
      </x:c>
      <x:c r="E641" s="1" t="str">
        <x:v>CLOSED</x:v>
      </x:c>
      <x:c r="F641" s="1" t="str">
        <x:v>Late delivery</x:v>
      </x:c>
      <x:c r="G641" s="6" t="n">
        <x:v>6</x:v>
      </x:c>
      <x:c r="H641" s="6" t="n">
        <x:v>4</x:v>
      </x:c>
      <x:c r="I641" s="6" t="n">
        <x:f>G641-H641</x:f>
        <x:v>2</x:v>
      </x:c>
      <x:c r="J641" s="6" t="n">
        <x:f>IF(OR(E641="CANCELED",E641="SUSPECTED_FRAUD",F641="Shipping canceled"),0,1)</x:f>
        <x:v>1</x:v>
      </x:c>
      <x:c r="K641" s="6" t="n">
        <x:f>IF(G641&gt;H641,1,0)</x:f>
        <x:v>1</x:v>
      </x:c>
      <x:c r="L641" s="6" t="n">
        <x:f>J641*K641</x:f>
        <x:v>1</x:v>
      </x:c>
    </x:row>
    <x:row r="642">
      <x:c r="A642" s="1" t="n">
        <x:v>5488</x:v>
      </x:c>
      <x:c r="B642" s="5" t="d">
        <x:v>2015-03-22T00:00:00.000Z</x:v>
      </x:c>
      <x:c r="C642" s="1" t="str">
        <x:v>First Class</x:v>
      </x:c>
      <x:c r="D642" s="1" t="str">
        <x:v>LATAM</x:v>
      </x:c>
      <x:c r="E642" s="1" t="str">
        <x:v>CLOSED</x:v>
      </x:c>
      <x:c r="F642" s="1" t="str">
        <x:v>Late delivery</x:v>
      </x:c>
      <x:c r="G642" s="6" t="n">
        <x:v>2</x:v>
      </x:c>
      <x:c r="H642" s="6" t="n">
        <x:v>1</x:v>
      </x:c>
      <x:c r="I642" s="6" t="n">
        <x:f>G642-H642</x:f>
        <x:v>1</x:v>
      </x:c>
      <x:c r="J642" s="6" t="n">
        <x:f>IF(OR(E642="CANCELED",E642="SUSPECTED_FRAUD",F642="Shipping canceled"),0,1)</x:f>
        <x:v>1</x:v>
      </x:c>
      <x:c r="K642" s="6" t="n">
        <x:f>IF(G642&gt;H642,1,0)</x:f>
        <x:v>1</x:v>
      </x:c>
      <x:c r="L642" s="6" t="n">
        <x:f>J642*K642</x:f>
        <x:v>1</x:v>
      </x:c>
    </x:row>
    <x:row r="643">
      <x:c r="A643" s="1" t="n">
        <x:v>5498</x:v>
      </x:c>
      <x:c r="B643" s="5" t="d">
        <x:v>2015-03-22T00:00:00.000Z</x:v>
      </x:c>
      <x:c r="C643" s="1" t="str">
        <x:v>Standard Class</x:v>
      </x:c>
      <x:c r="D643" s="1" t="str">
        <x:v>LATAM</x:v>
      </x:c>
      <x:c r="E643" s="1" t="str">
        <x:v>PENDING</x:v>
      </x:c>
      <x:c r="F643" s="1" t="str">
        <x:v>Shipping on time</x:v>
      </x:c>
      <x:c r="G643" s="6" t="n">
        <x:v>4</x:v>
      </x:c>
      <x:c r="H643" s="6" t="n">
        <x:v>4</x:v>
      </x:c>
      <x:c r="I643" s="6" t="n">
        <x:f>G643-H643</x:f>
        <x:v>0</x:v>
      </x:c>
      <x:c r="J643" s="6" t="n">
        <x:f>IF(OR(E643="CANCELED",E643="SUSPECTED_FRAUD",F643="Shipping canceled"),0,1)</x:f>
        <x:v>1</x:v>
      </x:c>
      <x:c r="K643" s="6" t="n">
        <x:f>IF(G643&gt;H643,1,0)</x:f>
        <x:v>0</x:v>
      </x:c>
      <x:c r="L643" s="6" t="n">
        <x:f>J643*K643</x:f>
        <x:v>0</x:v>
      </x:c>
    </x:row>
    <x:row r="644">
      <x:c r="A644" s="1" t="n">
        <x:v>5499</x:v>
      </x:c>
      <x:c r="B644" s="5" t="d">
        <x:v>2015-03-22T00:00:00.000Z</x:v>
      </x:c>
      <x:c r="C644" s="1" t="str">
        <x:v>First Class</x:v>
      </x:c>
      <x:c r="D644" s="1" t="str">
        <x:v>LATAM</x:v>
      </x:c>
      <x:c r="E644" s="1" t="str">
        <x:v>PROCESSING</x:v>
      </x:c>
      <x:c r="F644" s="1" t="str">
        <x:v>Late delivery</x:v>
      </x:c>
      <x:c r="G644" s="6" t="n">
        <x:v>2</x:v>
      </x:c>
      <x:c r="H644" s="6" t="n">
        <x:v>1</x:v>
      </x:c>
      <x:c r="I644" s="6" t="n">
        <x:f>G644-H644</x:f>
        <x:v>1</x:v>
      </x:c>
      <x:c r="J644" s="6" t="n">
        <x:f>IF(OR(E644="CANCELED",E644="SUSPECTED_FRAUD",F644="Shipping canceled"),0,1)</x:f>
        <x:v>1</x:v>
      </x:c>
      <x:c r="K644" s="6" t="n">
        <x:f>IF(G644&gt;H644,1,0)</x:f>
        <x:v>1</x:v>
      </x:c>
      <x:c r="L644" s="6" t="n">
        <x:f>J644*K644</x:f>
        <x:v>1</x:v>
      </x:c>
    </x:row>
    <x:row r="645">
      <x:c r="A645" s="1" t="n">
        <x:v>5510</x:v>
      </x:c>
      <x:c r="B645" s="5" t="d">
        <x:v>2015-03-22T00:00:00.000Z</x:v>
      </x:c>
      <x:c r="C645" s="1" t="str">
        <x:v>Standard Class</x:v>
      </x:c>
      <x:c r="D645" s="1" t="str">
        <x:v>LATAM</x:v>
      </x:c>
      <x:c r="E645" s="1" t="str">
        <x:v>COMPLETE</x:v>
      </x:c>
      <x:c r="F645" s="1" t="str">
        <x:v>Late delivery</x:v>
      </x:c>
      <x:c r="G645" s="6" t="n">
        <x:v>6</x:v>
      </x:c>
      <x:c r="H645" s="6" t="n">
        <x:v>4</x:v>
      </x:c>
      <x:c r="I645" s="6" t="n">
        <x:f>G645-H645</x:f>
        <x:v>2</x:v>
      </x:c>
      <x:c r="J645" s="6" t="n">
        <x:f>IF(OR(E645="CANCELED",E645="SUSPECTED_FRAUD",F645="Shipping canceled"),0,1)</x:f>
        <x:v>1</x:v>
      </x:c>
      <x:c r="K645" s="6" t="n">
        <x:f>IF(G645&gt;H645,1,0)</x:f>
        <x:v>1</x:v>
      </x:c>
      <x:c r="L645" s="6" t="n">
        <x:f>J645*K645</x:f>
        <x:v>1</x:v>
      </x:c>
    </x:row>
    <x:row r="646">
      <x:c r="A646" s="1" t="n">
        <x:v>5514</x:v>
      </x:c>
      <x:c r="B646" s="5" t="d">
        <x:v>2015-03-22T00:00:00.000Z</x:v>
      </x:c>
      <x:c r="C646" s="1" t="str">
        <x:v>First Class</x:v>
      </x:c>
      <x:c r="D646" s="1" t="str">
        <x:v>LATAM</x:v>
      </x:c>
      <x:c r="E646" s="1" t="str">
        <x:v>CLOSED</x:v>
      </x:c>
      <x:c r="F646" s="1" t="str">
        <x:v>Late delivery</x:v>
      </x:c>
      <x:c r="G646" s="6" t="n">
        <x:v>2</x:v>
      </x:c>
      <x:c r="H646" s="6" t="n">
        <x:v>1</x:v>
      </x:c>
      <x:c r="I646" s="6" t="n">
        <x:f>G646-H646</x:f>
        <x:v>1</x:v>
      </x:c>
      <x:c r="J646" s="6" t="n">
        <x:f>IF(OR(E646="CANCELED",E646="SUSPECTED_FRAUD",F646="Shipping canceled"),0,1)</x:f>
        <x:v>1</x:v>
      </x:c>
      <x:c r="K646" s="6" t="n">
        <x:f>IF(G646&gt;H646,1,0)</x:f>
        <x:v>1</x:v>
      </x:c>
      <x:c r="L646" s="6" t="n">
        <x:f>J646*K646</x:f>
        <x:v>1</x:v>
      </x:c>
    </x:row>
    <x:row r="647">
      <x:c r="A647" s="1" t="n">
        <x:v>5516</x:v>
      </x:c>
      <x:c r="B647" s="5" t="d">
        <x:v>2015-03-22T00:00:00.000Z</x:v>
      </x:c>
      <x:c r="C647" s="1" t="str">
        <x:v>Standard Class</x:v>
      </x:c>
      <x:c r="D647" s="1" t="str">
        <x:v>LATAM</x:v>
      </x:c>
      <x:c r="E647" s="1" t="str">
        <x:v>PENDING_PAYMENT</x:v>
      </x:c>
      <x:c r="F647" s="1" t="str">
        <x:v>Advance shipping</x:v>
      </x:c>
      <x:c r="G647" s="6" t="n">
        <x:v>2</x:v>
      </x:c>
      <x:c r="H647" s="6" t="n">
        <x:v>4</x:v>
      </x:c>
      <x:c r="I647" s="6" t="n">
        <x:f>G647-H647</x:f>
        <x:v>-2</x:v>
      </x:c>
      <x:c r="J647" s="6" t="n">
        <x:f>IF(OR(E647="CANCELED",E647="SUSPECTED_FRAUD",F647="Shipping canceled"),0,1)</x:f>
        <x:v>1</x:v>
      </x:c>
      <x:c r="K647" s="6" t="n">
        <x:f>IF(G647&gt;H647,1,0)</x:f>
        <x:v>0</x:v>
      </x:c>
      <x:c r="L647" s="6" t="n">
        <x:f>J647*K647</x:f>
        <x:v>0</x:v>
      </x:c>
    </x:row>
    <x:row r="648">
      <x:c r="A648" s="1" t="n">
        <x:v>5528</x:v>
      </x:c>
      <x:c r="B648" s="5" t="d">
        <x:v>2015-03-22T00:00:00.000Z</x:v>
      </x:c>
      <x:c r="C648" s="1" t="str">
        <x:v>Standard Class</x:v>
      </x:c>
      <x:c r="D648" s="1" t="str">
        <x:v>LATAM</x:v>
      </x:c>
      <x:c r="E648" s="1" t="str">
        <x:v>PROCESSING</x:v>
      </x:c>
      <x:c r="F648" s="1" t="str">
        <x:v>Shipping on time</x:v>
      </x:c>
      <x:c r="G648" s="6" t="n">
        <x:v>4</x:v>
      </x:c>
      <x:c r="H648" s="6" t="n">
        <x:v>4</x:v>
      </x:c>
      <x:c r="I648" s="6" t="n">
        <x:f>G648-H648</x:f>
        <x:v>0</x:v>
      </x:c>
      <x:c r="J648" s="6" t="n">
        <x:f>IF(OR(E648="CANCELED",E648="SUSPECTED_FRAUD",F648="Shipping canceled"),0,1)</x:f>
        <x:v>1</x:v>
      </x:c>
      <x:c r="K648" s="6" t="n">
        <x:f>IF(G648&gt;H648,1,0)</x:f>
        <x:v>0</x:v>
      </x:c>
      <x:c r="L648" s="6" t="n">
        <x:f>J648*K648</x:f>
        <x:v>0</x:v>
      </x:c>
    </x:row>
    <x:row r="649">
      <x:c r="A649" s="1" t="n">
        <x:v>5536</x:v>
      </x:c>
      <x:c r="B649" s="5" t="d">
        <x:v>2015-03-22T00:00:00.000Z</x:v>
      </x:c>
      <x:c r="C649" s="1" t="str">
        <x:v>Second Class</x:v>
      </x:c>
      <x:c r="D649" s="1" t="str">
        <x:v>LATAM</x:v>
      </x:c>
      <x:c r="E649" s="1" t="str">
        <x:v>CLOSED</x:v>
      </x:c>
      <x:c r="F649" s="1" t="str">
        <x:v>Shipping on time</x:v>
      </x:c>
      <x:c r="G649" s="6" t="n">
        <x:v>2</x:v>
      </x:c>
      <x:c r="H649" s="6" t="n">
        <x:v>2</x:v>
      </x:c>
      <x:c r="I649" s="6" t="n">
        <x:f>G649-H649</x:f>
        <x:v>0</x:v>
      </x:c>
      <x:c r="J649" s="6" t="n">
        <x:f>IF(OR(E649="CANCELED",E649="SUSPECTED_FRAUD",F649="Shipping canceled"),0,1)</x:f>
        <x:v>1</x:v>
      </x:c>
      <x:c r="K649" s="6" t="n">
        <x:f>IF(G649&gt;H649,1,0)</x:f>
        <x:v>0</x:v>
      </x:c>
      <x:c r="L649" s="6" t="n">
        <x:f>J649*K649</x:f>
        <x:v>0</x:v>
      </x:c>
    </x:row>
    <x:row r="650">
      <x:c r="A650" s="1" t="n">
        <x:v>5562</x:v>
      </x:c>
      <x:c r="B650" s="5" t="d">
        <x:v>2015-03-23T00:00:00.000Z</x:v>
      </x:c>
      <x:c r="C650" s="1" t="str">
        <x:v>Standard Class</x:v>
      </x:c>
      <x:c r="D650" s="1" t="str">
        <x:v>LATAM</x:v>
      </x:c>
      <x:c r="E650" s="1" t="str">
        <x:v>COMPLETE</x:v>
      </x:c>
      <x:c r="F650" s="1" t="str">
        <x:v>Advance shipping</x:v>
      </x:c>
      <x:c r="G650" s="6" t="n">
        <x:v>3</x:v>
      </x:c>
      <x:c r="H650" s="6" t="n">
        <x:v>4</x:v>
      </x:c>
      <x:c r="I650" s="6" t="n">
        <x:f>G650-H650</x:f>
        <x:v>-1</x:v>
      </x:c>
      <x:c r="J650" s="6" t="n">
        <x:f>IF(OR(E650="CANCELED",E650="SUSPECTED_FRAUD",F650="Shipping canceled"),0,1)</x:f>
        <x:v>1</x:v>
      </x:c>
      <x:c r="K650" s="6" t="n">
        <x:f>IF(G650&gt;H650,1,0)</x:f>
        <x:v>0</x:v>
      </x:c>
      <x:c r="L650" s="6" t="n">
        <x:f>J650*K650</x:f>
        <x:v>0</x:v>
      </x:c>
    </x:row>
    <x:row r="651">
      <x:c r="A651" s="1" t="n">
        <x:v>5566</x:v>
      </x:c>
      <x:c r="B651" s="5" t="d">
        <x:v>2015-03-23T00:00:00.000Z</x:v>
      </x:c>
      <x:c r="C651" s="1" t="str">
        <x:v>Standard Class</x:v>
      </x:c>
      <x:c r="D651" s="1" t="str">
        <x:v>LATAM</x:v>
      </x:c>
      <x:c r="E651" s="1" t="str">
        <x:v>COMPLETE</x:v>
      </x:c>
      <x:c r="F651" s="1" t="str">
        <x:v>Advance shipping</x:v>
      </x:c>
      <x:c r="G651" s="6" t="n">
        <x:v>2</x:v>
      </x:c>
      <x:c r="H651" s="6" t="n">
        <x:v>4</x:v>
      </x:c>
      <x:c r="I651" s="6" t="n">
        <x:f>G651-H651</x:f>
        <x:v>-2</x:v>
      </x:c>
      <x:c r="J651" s="6" t="n">
        <x:f>IF(OR(E651="CANCELED",E651="SUSPECTED_FRAUD",F651="Shipping canceled"),0,1)</x:f>
        <x:v>1</x:v>
      </x:c>
      <x:c r="K651" s="6" t="n">
        <x:f>IF(G651&gt;H651,1,0)</x:f>
        <x:v>0</x:v>
      </x:c>
      <x:c r="L651" s="6" t="n">
        <x:f>J651*K651</x:f>
        <x:v>0</x:v>
      </x:c>
    </x:row>
    <x:row r="652">
      <x:c r="A652" s="1" t="n">
        <x:v>5572</x:v>
      </x:c>
      <x:c r="B652" s="5" t="d">
        <x:v>2015-03-23T00:00:00.000Z</x:v>
      </x:c>
      <x:c r="C652" s="1" t="str">
        <x:v>First Class</x:v>
      </x:c>
      <x:c r="D652" s="1" t="str">
        <x:v>LATAM</x:v>
      </x:c>
      <x:c r="E652" s="1" t="str">
        <x:v>COMPLETE</x:v>
      </x:c>
      <x:c r="F652" s="1" t="str">
        <x:v>Late delivery</x:v>
      </x:c>
      <x:c r="G652" s="6" t="n">
        <x:v>2</x:v>
      </x:c>
      <x:c r="H652" s="6" t="n">
        <x:v>1</x:v>
      </x:c>
      <x:c r="I652" s="6" t="n">
        <x:f>G652-H652</x:f>
        <x:v>1</x:v>
      </x:c>
      <x:c r="J652" s="6" t="n">
        <x:f>IF(OR(E652="CANCELED",E652="SUSPECTED_FRAUD",F652="Shipping canceled"),0,1)</x:f>
        <x:v>1</x:v>
      </x:c>
      <x:c r="K652" s="6" t="n">
        <x:f>IF(G652&gt;H652,1,0)</x:f>
        <x:v>1</x:v>
      </x:c>
      <x:c r="L652" s="6" t="n">
        <x:f>J652*K652</x:f>
        <x:v>1</x:v>
      </x:c>
    </x:row>
    <x:row r="653">
      <x:c r="A653" s="1" t="n">
        <x:v>5573</x:v>
      </x:c>
      <x:c r="B653" s="5" t="d">
        <x:v>2015-03-23T00:00:00.000Z</x:v>
      </x:c>
      <x:c r="C653" s="1" t="str">
        <x:v>First Class</x:v>
      </x:c>
      <x:c r="D653" s="1" t="str">
        <x:v>LATAM</x:v>
      </x:c>
      <x:c r="E653" s="1" t="str">
        <x:v>CLOSED</x:v>
      </x:c>
      <x:c r="F653" s="1" t="str">
        <x:v>Late delivery</x:v>
      </x:c>
      <x:c r="G653" s="6" t="n">
        <x:v>2</x:v>
      </x:c>
      <x:c r="H653" s="6" t="n">
        <x:v>1</x:v>
      </x:c>
      <x:c r="I653" s="6" t="n">
        <x:f>G653-H653</x:f>
        <x:v>1</x:v>
      </x:c>
      <x:c r="J653" s="6" t="n">
        <x:f>IF(OR(E653="CANCELED",E653="SUSPECTED_FRAUD",F653="Shipping canceled"),0,1)</x:f>
        <x:v>1</x:v>
      </x:c>
      <x:c r="K653" s="6" t="n">
        <x:f>IF(G653&gt;H653,1,0)</x:f>
        <x:v>1</x:v>
      </x:c>
      <x:c r="L653" s="6" t="n">
        <x:f>J653*K653</x:f>
        <x:v>1</x:v>
      </x:c>
    </x:row>
    <x:row r="654">
      <x:c r="A654" s="1" t="n">
        <x:v>5608</x:v>
      </x:c>
      <x:c r="B654" s="5" t="d">
        <x:v>2015-03-23T00:00:00.000Z</x:v>
      </x:c>
      <x:c r="C654" s="1" t="str">
        <x:v>Standard Class</x:v>
      </x:c>
      <x:c r="D654" s="1" t="str">
        <x:v>LATAM</x:v>
      </x:c>
      <x:c r="E654" s="1" t="str">
        <x:v>COMPLETE</x:v>
      </x:c>
      <x:c r="F654" s="1" t="str">
        <x:v>Shipping on time</x:v>
      </x:c>
      <x:c r="G654" s="6" t="n">
        <x:v>4</x:v>
      </x:c>
      <x:c r="H654" s="6" t="n">
        <x:v>4</x:v>
      </x:c>
      <x:c r="I654" s="6" t="n">
        <x:f>G654-H654</x:f>
        <x:v>0</x:v>
      </x:c>
      <x:c r="J654" s="6" t="n">
        <x:f>IF(OR(E654="CANCELED",E654="SUSPECTED_FRAUD",F654="Shipping canceled"),0,1)</x:f>
        <x:v>1</x:v>
      </x:c>
      <x:c r="K654" s="6" t="n">
        <x:f>IF(G654&gt;H654,1,0)</x:f>
        <x:v>0</x:v>
      </x:c>
      <x:c r="L654" s="6" t="n">
        <x:f>J654*K654</x:f>
        <x:v>0</x:v>
      </x:c>
    </x:row>
    <x:row r="655">
      <x:c r="A655" s="1" t="n">
        <x:v>5612</x:v>
      </x:c>
      <x:c r="B655" s="5" t="d">
        <x:v>2015-03-23T00:00:00.000Z</x:v>
      </x:c>
      <x:c r="C655" s="1" t="str">
        <x:v>Standard Class</x:v>
      </x:c>
      <x:c r="D655" s="1" t="str">
        <x:v>LATAM</x:v>
      </x:c>
      <x:c r="E655" s="1" t="str">
        <x:v>COMPLETE</x:v>
      </x:c>
      <x:c r="F655" s="1" t="str">
        <x:v>Advance shipping</x:v>
      </x:c>
      <x:c r="G655" s="6" t="n">
        <x:v>3</x:v>
      </x:c>
      <x:c r="H655" s="6" t="n">
        <x:v>4</x:v>
      </x:c>
      <x:c r="I655" s="6" t="n">
        <x:f>G655-H655</x:f>
        <x:v>-1</x:v>
      </x:c>
      <x:c r="J655" s="6" t="n">
        <x:f>IF(OR(E655="CANCELED",E655="SUSPECTED_FRAUD",F655="Shipping canceled"),0,1)</x:f>
        <x:v>1</x:v>
      </x:c>
      <x:c r="K655" s="6" t="n">
        <x:f>IF(G655&gt;H655,1,0)</x:f>
        <x:v>0</x:v>
      </x:c>
      <x:c r="L655" s="6" t="n">
        <x:f>J655*K655</x:f>
        <x:v>0</x:v>
      </x:c>
    </x:row>
    <x:row r="656">
      <x:c r="A656" s="1" t="n">
        <x:v>5632</x:v>
      </x:c>
      <x:c r="B656" s="5" t="d">
        <x:v>2015-03-24T00:00:00.000Z</x:v>
      </x:c>
      <x:c r="C656" s="1" t="str">
        <x:v>Second Class</x:v>
      </x:c>
      <x:c r="D656" s="1" t="str">
        <x:v>LATAM</x:v>
      </x:c>
      <x:c r="E656" s="1" t="str">
        <x:v>COMPLETE</x:v>
      </x:c>
      <x:c r="F656" s="1" t="str">
        <x:v>Late delivery</x:v>
      </x:c>
      <x:c r="G656" s="6" t="n">
        <x:v>3</x:v>
      </x:c>
      <x:c r="H656" s="6" t="n">
        <x:v>2</x:v>
      </x:c>
      <x:c r="I656" s="6" t="n">
        <x:f>G656-H656</x:f>
        <x:v>1</x:v>
      </x:c>
      <x:c r="J656" s="6" t="n">
        <x:f>IF(OR(E656="CANCELED",E656="SUSPECTED_FRAUD",F656="Shipping canceled"),0,1)</x:f>
        <x:v>1</x:v>
      </x:c>
      <x:c r="K656" s="6" t="n">
        <x:f>IF(G656&gt;H656,1,0)</x:f>
        <x:v>1</x:v>
      </x:c>
      <x:c r="L656" s="6" t="n">
        <x:f>J656*K656</x:f>
        <x:v>1</x:v>
      </x:c>
    </x:row>
    <x:row r="657">
      <x:c r="A657" s="1" t="n">
        <x:v>5638</x:v>
      </x:c>
      <x:c r="B657" s="5" t="d">
        <x:v>2015-03-24T00:00:00.000Z</x:v>
      </x:c>
      <x:c r="C657" s="1" t="str">
        <x:v>Standard Class</x:v>
      </x:c>
      <x:c r="D657" s="1" t="str">
        <x:v>LATAM</x:v>
      </x:c>
      <x:c r="E657" s="1" t="str">
        <x:v>COMPLETE</x:v>
      </x:c>
      <x:c r="F657" s="1" t="str">
        <x:v>Shipping on time</x:v>
      </x:c>
      <x:c r="G657" s="6" t="n">
        <x:v>4</x:v>
      </x:c>
      <x:c r="H657" s="6" t="n">
        <x:v>4</x:v>
      </x:c>
      <x:c r="I657" s="6" t="n">
        <x:f>G657-H657</x:f>
        <x:v>0</x:v>
      </x:c>
      <x:c r="J657" s="6" t="n">
        <x:f>IF(OR(E657="CANCELED",E657="SUSPECTED_FRAUD",F657="Shipping canceled"),0,1)</x:f>
        <x:v>1</x:v>
      </x:c>
      <x:c r="K657" s="6" t="n">
        <x:f>IF(G657&gt;H657,1,0)</x:f>
        <x:v>0</x:v>
      </x:c>
      <x:c r="L657" s="6" t="n">
        <x:f>J657*K657</x:f>
        <x:v>0</x:v>
      </x:c>
    </x:row>
    <x:row r="658">
      <x:c r="A658" s="1" t="n">
        <x:v>5639</x:v>
      </x:c>
      <x:c r="B658" s="5" t="d">
        <x:v>2015-03-24T00:00:00.000Z</x:v>
      </x:c>
      <x:c r="C658" s="1" t="str">
        <x:v>Standard Class</x:v>
      </x:c>
      <x:c r="D658" s="1" t="str">
        <x:v>LATAM</x:v>
      </x:c>
      <x:c r="E658" s="1" t="str">
        <x:v>COMPLETE</x:v>
      </x:c>
      <x:c r="F658" s="1" t="str">
        <x:v>Late delivery</x:v>
      </x:c>
      <x:c r="G658" s="6" t="n">
        <x:v>5</x:v>
      </x:c>
      <x:c r="H658" s="6" t="n">
        <x:v>4</x:v>
      </x:c>
      <x:c r="I658" s="6" t="n">
        <x:f>G658-H658</x:f>
        <x:v>1</x:v>
      </x:c>
      <x:c r="J658" s="6" t="n">
        <x:f>IF(OR(E658="CANCELED",E658="SUSPECTED_FRAUD",F658="Shipping canceled"),0,1)</x:f>
        <x:v>1</x:v>
      </x:c>
      <x:c r="K658" s="6" t="n">
        <x:f>IF(G658&gt;H658,1,0)</x:f>
        <x:v>1</x:v>
      </x:c>
      <x:c r="L658" s="6" t="n">
        <x:f>J658*K658</x:f>
        <x:v>1</x:v>
      </x:c>
    </x:row>
    <x:row r="659">
      <x:c r="A659" s="1" t="n">
        <x:v>5644</x:v>
      </x:c>
      <x:c r="B659" s="5" t="d">
        <x:v>2015-03-24T00:00:00.000Z</x:v>
      </x:c>
      <x:c r="C659" s="1" t="str">
        <x:v>Standard Class</x:v>
      </x:c>
      <x:c r="D659" s="1" t="str">
        <x:v>LATAM</x:v>
      </x:c>
      <x:c r="E659" s="1" t="str">
        <x:v>PENDING</x:v>
      </x:c>
      <x:c r="F659" s="1" t="str">
        <x:v>Late delivery</x:v>
      </x:c>
      <x:c r="G659" s="6" t="n">
        <x:v>5</x:v>
      </x:c>
      <x:c r="H659" s="6" t="n">
        <x:v>4</x:v>
      </x:c>
      <x:c r="I659" s="6" t="n">
        <x:f>G659-H659</x:f>
        <x:v>1</x:v>
      </x:c>
      <x:c r="J659" s="6" t="n">
        <x:f>IF(OR(E659="CANCELED",E659="SUSPECTED_FRAUD",F659="Shipping canceled"),0,1)</x:f>
        <x:v>1</x:v>
      </x:c>
      <x:c r="K659" s="6" t="n">
        <x:f>IF(G659&gt;H659,1,0)</x:f>
        <x:v>1</x:v>
      </x:c>
      <x:c r="L659" s="6" t="n">
        <x:f>J659*K659</x:f>
        <x:v>1</x:v>
      </x:c>
    </x:row>
    <x:row r="660">
      <x:c r="A660" s="1" t="n">
        <x:v>5675</x:v>
      </x:c>
      <x:c r="B660" s="5" t="d">
        <x:v>2015-03-24T00:00:00.000Z</x:v>
      </x:c>
      <x:c r="C660" s="1" t="str">
        <x:v>Second Class</x:v>
      </x:c>
      <x:c r="D660" s="1" t="str">
        <x:v>LATAM</x:v>
      </x:c>
      <x:c r="E660" s="1" t="str">
        <x:v>COMPLETE</x:v>
      </x:c>
      <x:c r="F660" s="1" t="str">
        <x:v>Late delivery</x:v>
      </x:c>
      <x:c r="G660" s="6" t="n">
        <x:v>6</x:v>
      </x:c>
      <x:c r="H660" s="6" t="n">
        <x:v>2</x:v>
      </x:c>
      <x:c r="I660" s="6" t="n">
        <x:f>G660-H660</x:f>
        <x:v>4</x:v>
      </x:c>
      <x:c r="J660" s="6" t="n">
        <x:f>IF(OR(E660="CANCELED",E660="SUSPECTED_FRAUD",F660="Shipping canceled"),0,1)</x:f>
        <x:v>1</x:v>
      </x:c>
      <x:c r="K660" s="6" t="n">
        <x:f>IF(G660&gt;H660,1,0)</x:f>
        <x:v>1</x:v>
      </x:c>
      <x:c r="L660" s="6" t="n">
        <x:f>J660*K660</x:f>
        <x:v>1</x:v>
      </x:c>
    </x:row>
    <x:row r="661">
      <x:c r="A661" s="1" t="n">
        <x:v>5710</x:v>
      </x:c>
      <x:c r="B661" s="5" t="d">
        <x:v>2015-03-25T00:00:00.000Z</x:v>
      </x:c>
      <x:c r="C661" s="1" t="str">
        <x:v>Standard Class</x:v>
      </x:c>
      <x:c r="D661" s="1" t="str">
        <x:v>LATAM</x:v>
      </x:c>
      <x:c r="E661" s="1" t="str">
        <x:v>COMPLETE</x:v>
      </x:c>
      <x:c r="F661" s="1" t="str">
        <x:v>Late delivery</x:v>
      </x:c>
      <x:c r="G661" s="6" t="n">
        <x:v>6</x:v>
      </x:c>
      <x:c r="H661" s="6" t="n">
        <x:v>4</x:v>
      </x:c>
      <x:c r="I661" s="6" t="n">
        <x:f>G661-H661</x:f>
        <x:v>2</x:v>
      </x:c>
      <x:c r="J661" s="6" t="n">
        <x:f>IF(OR(E661="CANCELED",E661="SUSPECTED_FRAUD",F661="Shipping canceled"),0,1)</x:f>
        <x:v>1</x:v>
      </x:c>
      <x:c r="K661" s="6" t="n">
        <x:f>IF(G661&gt;H661,1,0)</x:f>
        <x:v>1</x:v>
      </x:c>
      <x:c r="L661" s="6" t="n">
        <x:f>J661*K661</x:f>
        <x:v>1</x:v>
      </x:c>
    </x:row>
    <x:row r="662">
      <x:c r="A662" s="1" t="n">
        <x:v>5712</x:v>
      </x:c>
      <x:c r="B662" s="5" t="d">
        <x:v>2015-03-25T00:00:00.000Z</x:v>
      </x:c>
      <x:c r="C662" s="1" t="str">
        <x:v>Standard Class</x:v>
      </x:c>
      <x:c r="D662" s="1" t="str">
        <x:v>LATAM</x:v>
      </x:c>
      <x:c r="E662" s="1" t="str">
        <x:v>PROCESSING</x:v>
      </x:c>
      <x:c r="F662" s="1" t="str">
        <x:v>Advance shipping</x:v>
      </x:c>
      <x:c r="G662" s="6" t="n">
        <x:v>3</x:v>
      </x:c>
      <x:c r="H662" s="6" t="n">
        <x:v>4</x:v>
      </x:c>
      <x:c r="I662" s="6" t="n">
        <x:f>G662-H662</x:f>
        <x:v>-1</x:v>
      </x:c>
      <x:c r="J662" s="6" t="n">
        <x:f>IF(OR(E662="CANCELED",E662="SUSPECTED_FRAUD",F662="Shipping canceled"),0,1)</x:f>
        <x:v>1</x:v>
      </x:c>
      <x:c r="K662" s="6" t="n">
        <x:f>IF(G662&gt;H662,1,0)</x:f>
        <x:v>0</x:v>
      </x:c>
      <x:c r="L662" s="6" t="n">
        <x:f>J662*K662</x:f>
        <x:v>0</x:v>
      </x:c>
    </x:row>
    <x:row r="663">
      <x:c r="A663" s="1" t="n">
        <x:v>5713</x:v>
      </x:c>
      <x:c r="B663" s="5" t="d">
        <x:v>2015-03-25T00:00:00.000Z</x:v>
      </x:c>
      <x:c r="C663" s="1" t="str">
        <x:v>Standard Class</x:v>
      </x:c>
      <x:c r="D663" s="1" t="str">
        <x:v>LATAM</x:v>
      </x:c>
      <x:c r="E663" s="1" t="str">
        <x:v>PENDING_PAYMENT</x:v>
      </x:c>
      <x:c r="F663" s="1" t="str">
        <x:v>Shipping on time</x:v>
      </x:c>
      <x:c r="G663" s="6" t="n">
        <x:v>4</x:v>
      </x:c>
      <x:c r="H663" s="6" t="n">
        <x:v>4</x:v>
      </x:c>
      <x:c r="I663" s="6" t="n">
        <x:f>G663-H663</x:f>
        <x:v>0</x:v>
      </x:c>
      <x:c r="J663" s="6" t="n">
        <x:f>IF(OR(E663="CANCELED",E663="SUSPECTED_FRAUD",F663="Shipping canceled"),0,1)</x:f>
        <x:v>1</x:v>
      </x:c>
      <x:c r="K663" s="6" t="n">
        <x:f>IF(G663&gt;H663,1,0)</x:f>
        <x:v>0</x:v>
      </x:c>
      <x:c r="L663" s="6" t="n">
        <x:f>J663*K663</x:f>
        <x:v>0</x:v>
      </x:c>
    </x:row>
    <x:row r="664">
      <x:c r="A664" s="1" t="n">
        <x:v>5748</x:v>
      </x:c>
      <x:c r="B664" s="5" t="d">
        <x:v>2015-03-25T00:00:00.000Z</x:v>
      </x:c>
      <x:c r="C664" s="1" t="str">
        <x:v>First Class</x:v>
      </x:c>
      <x:c r="D664" s="1" t="str">
        <x:v>LATAM</x:v>
      </x:c>
      <x:c r="E664" s="1" t="str">
        <x:v>CANCELED</x:v>
      </x:c>
      <x:c r="F664" s="1" t="str">
        <x:v>Shipping canceled</x:v>
      </x:c>
      <x:c r="G664" s="6" t="n">
        <x:v>2</x:v>
      </x:c>
      <x:c r="H664" s="6" t="n">
        <x:v>1</x:v>
      </x:c>
      <x:c r="I664" s="6" t="n">
        <x:f>G664-H664</x:f>
        <x:v>1</x:v>
      </x:c>
      <x:c r="J664" s="6" t="n">
        <x:f>IF(OR(E664="CANCELED",E664="SUSPECTED_FRAUD",F664="Shipping canceled"),0,1)</x:f>
        <x:v>0</x:v>
      </x:c>
      <x:c r="K664" s="6" t="n">
        <x:f>IF(G664&gt;H664,1,0)</x:f>
        <x:v>1</x:v>
      </x:c>
      <x:c r="L664" s="6" t="n">
        <x:f>J664*K664</x:f>
        <x:v>0</x:v>
      </x:c>
    </x:row>
    <x:row r="665">
      <x:c r="A665" s="1" t="n">
        <x:v>5754</x:v>
      </x:c>
      <x:c r="B665" s="5" t="d">
        <x:v>2015-03-25T00:00:00.000Z</x:v>
      </x:c>
      <x:c r="C665" s="1" t="str">
        <x:v>Second Class</x:v>
      </x:c>
      <x:c r="D665" s="1" t="str">
        <x:v>LATAM</x:v>
      </x:c>
      <x:c r="E665" s="1" t="str">
        <x:v>CLOSED</x:v>
      </x:c>
      <x:c r="F665" s="1" t="str">
        <x:v>Late delivery</x:v>
      </x:c>
      <x:c r="G665" s="6" t="n">
        <x:v>5</x:v>
      </x:c>
      <x:c r="H665" s="6" t="n">
        <x:v>2</x:v>
      </x:c>
      <x:c r="I665" s="6" t="n">
        <x:f>G665-H665</x:f>
        <x:v>3</x:v>
      </x:c>
      <x:c r="J665" s="6" t="n">
        <x:f>IF(OR(E665="CANCELED",E665="SUSPECTED_FRAUD",F665="Shipping canceled"),0,1)</x:f>
        <x:v>1</x:v>
      </x:c>
      <x:c r="K665" s="6" t="n">
        <x:f>IF(G665&gt;H665,1,0)</x:f>
        <x:v>1</x:v>
      </x:c>
      <x:c r="L665" s="6" t="n">
        <x:f>J665*K665</x:f>
        <x:v>1</x:v>
      </x:c>
    </x:row>
    <x:row r="666">
      <x:c r="A666" s="1" t="n">
        <x:v>5762</x:v>
      </x:c>
      <x:c r="B666" s="5" t="d">
        <x:v>2015-03-26T00:00:00.000Z</x:v>
      </x:c>
      <x:c r="C666" s="1" t="str">
        <x:v>Same Day</x:v>
      </x:c>
      <x:c r="D666" s="1" t="str">
        <x:v>LATAM</x:v>
      </x:c>
      <x:c r="E666" s="1" t="str">
        <x:v>PENDING</x:v>
      </x:c>
      <x:c r="F666" s="1" t="str">
        <x:v>Shipping on time</x:v>
      </x:c>
      <x:c r="G666" s="6" t="n">
        <x:v>0</x:v>
      </x:c>
      <x:c r="H666" s="6" t="n">
        <x:v>0</x:v>
      </x:c>
      <x:c r="I666" s="6" t="n">
        <x:f>G666-H666</x:f>
        <x:v>0</x:v>
      </x:c>
      <x:c r="J666" s="6" t="n">
        <x:f>IF(OR(E666="CANCELED",E666="SUSPECTED_FRAUD",F666="Shipping canceled"),0,1)</x:f>
        <x:v>1</x:v>
      </x:c>
      <x:c r="K666" s="6" t="n">
        <x:f>IF(G666&gt;H666,1,0)</x:f>
        <x:v>0</x:v>
      </x:c>
      <x:c r="L666" s="6" t="n">
        <x:f>J666*K666</x:f>
        <x:v>0</x:v>
      </x:c>
    </x:row>
    <x:row r="667">
      <x:c r="A667" s="1" t="n">
        <x:v>5777</x:v>
      </x:c>
      <x:c r="B667" s="5" t="d">
        <x:v>2015-03-26T00:00:00.000Z</x:v>
      </x:c>
      <x:c r="C667" s="1" t="str">
        <x:v>Standard Class</x:v>
      </x:c>
      <x:c r="D667" s="1" t="str">
        <x:v>LATAM</x:v>
      </x:c>
      <x:c r="E667" s="1" t="str">
        <x:v>CANCELED</x:v>
      </x:c>
      <x:c r="F667" s="1" t="str">
        <x:v>Shipping canceled</x:v>
      </x:c>
      <x:c r="G667" s="6" t="n">
        <x:v>3</x:v>
      </x:c>
      <x:c r="H667" s="6" t="n">
        <x:v>4</x:v>
      </x:c>
      <x:c r="I667" s="6" t="n">
        <x:f>G667-H667</x:f>
        <x:v>-1</x:v>
      </x:c>
      <x:c r="J667" s="6" t="n">
        <x:f>IF(OR(E667="CANCELED",E667="SUSPECTED_FRAUD",F667="Shipping canceled"),0,1)</x:f>
        <x:v>0</x:v>
      </x:c>
      <x:c r="K667" s="6" t="n">
        <x:f>IF(G667&gt;H667,1,0)</x:f>
        <x:v>0</x:v>
      </x:c>
      <x:c r="L667" s="6" t="n">
        <x:f>J667*K667</x:f>
        <x:v>0</x:v>
      </x:c>
    </x:row>
    <x:row r="668">
      <x:c r="A668" s="1" t="n">
        <x:v>5781</x:v>
      </x:c>
      <x:c r="B668" s="5" t="d">
        <x:v>2015-03-26T00:00:00.000Z</x:v>
      </x:c>
      <x:c r="C668" s="1" t="str">
        <x:v>Standard Class</x:v>
      </x:c>
      <x:c r="D668" s="1" t="str">
        <x:v>LATAM</x:v>
      </x:c>
      <x:c r="E668" s="1" t="str">
        <x:v>PROCESSING</x:v>
      </x:c>
      <x:c r="F668" s="1" t="str">
        <x:v>Advance shipping</x:v>
      </x:c>
      <x:c r="G668" s="6" t="n">
        <x:v>2</x:v>
      </x:c>
      <x:c r="H668" s="6" t="n">
        <x:v>4</x:v>
      </x:c>
      <x:c r="I668" s="6" t="n">
        <x:f>G668-H668</x:f>
        <x:v>-2</x:v>
      </x:c>
      <x:c r="J668" s="6" t="n">
        <x:f>IF(OR(E668="CANCELED",E668="SUSPECTED_FRAUD",F668="Shipping canceled"),0,1)</x:f>
        <x:v>1</x:v>
      </x:c>
      <x:c r="K668" s="6" t="n">
        <x:f>IF(G668&gt;H668,1,0)</x:f>
        <x:v>0</x:v>
      </x:c>
      <x:c r="L668" s="6" t="n">
        <x:f>J668*K668</x:f>
        <x:v>0</x:v>
      </x:c>
    </x:row>
    <x:row r="669">
      <x:c r="A669" s="1" t="n">
        <x:v>5782</x:v>
      </x:c>
      <x:c r="B669" s="5" t="d">
        <x:v>2015-03-26T00:00:00.000Z</x:v>
      </x:c>
      <x:c r="C669" s="1" t="str">
        <x:v>Standard Class</x:v>
      </x:c>
      <x:c r="D669" s="1" t="str">
        <x:v>LATAM</x:v>
      </x:c>
      <x:c r="E669" s="1" t="str">
        <x:v>COMPLETE</x:v>
      </x:c>
      <x:c r="F669" s="1" t="str">
        <x:v>Advance shipping</x:v>
      </x:c>
      <x:c r="G669" s="6" t="n">
        <x:v>3</x:v>
      </x:c>
      <x:c r="H669" s="6" t="n">
        <x:v>4</x:v>
      </x:c>
      <x:c r="I669" s="6" t="n">
        <x:f>G669-H669</x:f>
        <x:v>-1</x:v>
      </x:c>
      <x:c r="J669" s="6" t="n">
        <x:f>IF(OR(E669="CANCELED",E669="SUSPECTED_FRAUD",F669="Shipping canceled"),0,1)</x:f>
        <x:v>1</x:v>
      </x:c>
      <x:c r="K669" s="6" t="n">
        <x:f>IF(G669&gt;H669,1,0)</x:f>
        <x:v>0</x:v>
      </x:c>
      <x:c r="L669" s="6" t="n">
        <x:f>J669*K669</x:f>
        <x:v>0</x:v>
      </x:c>
    </x:row>
    <x:row r="670">
      <x:c r="A670" s="1" t="n">
        <x:v>5823</x:v>
      </x:c>
      <x:c r="B670" s="5" t="d">
        <x:v>2015-03-26T00:00:00.000Z</x:v>
      </x:c>
      <x:c r="C670" s="1" t="str">
        <x:v>Standard Class</x:v>
      </x:c>
      <x:c r="D670" s="1" t="str">
        <x:v>LATAM</x:v>
      </x:c>
      <x:c r="E670" s="1" t="str">
        <x:v>CLOSED</x:v>
      </x:c>
      <x:c r="F670" s="1" t="str">
        <x:v>Shipping on time</x:v>
      </x:c>
      <x:c r="G670" s="6" t="n">
        <x:v>4</x:v>
      </x:c>
      <x:c r="H670" s="6" t="n">
        <x:v>4</x:v>
      </x:c>
      <x:c r="I670" s="6" t="n">
        <x:f>G670-H670</x:f>
        <x:v>0</x:v>
      </x:c>
      <x:c r="J670" s="6" t="n">
        <x:f>IF(OR(E670="CANCELED",E670="SUSPECTED_FRAUD",F670="Shipping canceled"),0,1)</x:f>
        <x:v>1</x:v>
      </x:c>
      <x:c r="K670" s="6" t="n">
        <x:f>IF(G670&gt;H670,1,0)</x:f>
        <x:v>0</x:v>
      </x:c>
      <x:c r="L670" s="6" t="n">
        <x:f>J670*K670</x:f>
        <x:v>0</x:v>
      </x:c>
    </x:row>
    <x:row r="671">
      <x:c r="A671" s="1" t="n">
        <x:v>5824</x:v>
      </x:c>
      <x:c r="B671" s="5" t="d">
        <x:v>2015-03-27T00:00:00.000Z</x:v>
      </x:c>
      <x:c r="C671" s="1" t="str">
        <x:v>Standard Class</x:v>
      </x:c>
      <x:c r="D671" s="1" t="str">
        <x:v>LATAM</x:v>
      </x:c>
      <x:c r="E671" s="1" t="str">
        <x:v>ON_HOLD</x:v>
      </x:c>
      <x:c r="F671" s="1" t="str">
        <x:v>Late delivery</x:v>
      </x:c>
      <x:c r="G671" s="6" t="n">
        <x:v>5</x:v>
      </x:c>
      <x:c r="H671" s="6" t="n">
        <x:v>4</x:v>
      </x:c>
      <x:c r="I671" s="6" t="n">
        <x:f>G671-H671</x:f>
        <x:v>1</x:v>
      </x:c>
      <x:c r="J671" s="6" t="n">
        <x:f>IF(OR(E671="CANCELED",E671="SUSPECTED_FRAUD",F671="Shipping canceled"),0,1)</x:f>
        <x:v>1</x:v>
      </x:c>
      <x:c r="K671" s="6" t="n">
        <x:f>IF(G671&gt;H671,1,0)</x:f>
        <x:v>1</x:v>
      </x:c>
      <x:c r="L671" s="6" t="n">
        <x:f>J671*K671</x:f>
        <x:v>1</x:v>
      </x:c>
    </x:row>
    <x:row r="672">
      <x:c r="A672" s="1" t="n">
        <x:v>5832</x:v>
      </x:c>
      <x:c r="B672" s="5" t="d">
        <x:v>2015-03-27T00:00:00.000Z</x:v>
      </x:c>
      <x:c r="C672" s="1" t="str">
        <x:v>Second Class</x:v>
      </x:c>
      <x:c r="D672" s="1" t="str">
        <x:v>LATAM</x:v>
      </x:c>
      <x:c r="E672" s="1" t="str">
        <x:v>CLOSED</x:v>
      </x:c>
      <x:c r="F672" s="1" t="str">
        <x:v>Late delivery</x:v>
      </x:c>
      <x:c r="G672" s="6" t="n">
        <x:v>3</x:v>
      </x:c>
      <x:c r="H672" s="6" t="n">
        <x:v>2</x:v>
      </x:c>
      <x:c r="I672" s="6" t="n">
        <x:f>G672-H672</x:f>
        <x:v>1</x:v>
      </x:c>
      <x:c r="J672" s="6" t="n">
        <x:f>IF(OR(E672="CANCELED",E672="SUSPECTED_FRAUD",F672="Shipping canceled"),0,1)</x:f>
        <x:v>1</x:v>
      </x:c>
      <x:c r="K672" s="6" t="n">
        <x:f>IF(G672&gt;H672,1,0)</x:f>
        <x:v>1</x:v>
      </x:c>
      <x:c r="L672" s="6" t="n">
        <x:f>J672*K672</x:f>
        <x:v>1</x:v>
      </x:c>
    </x:row>
    <x:row r="673">
      <x:c r="A673" s="1" t="n">
        <x:v>5841</x:v>
      </x:c>
      <x:c r="B673" s="5" t="d">
        <x:v>2015-03-27T00:00:00.000Z</x:v>
      </x:c>
      <x:c r="C673" s="1" t="str">
        <x:v>Standard Class</x:v>
      </x:c>
      <x:c r="D673" s="1" t="str">
        <x:v>LATAM</x:v>
      </x:c>
      <x:c r="E673" s="1" t="str">
        <x:v>COMPLETE</x:v>
      </x:c>
      <x:c r="F673" s="1" t="str">
        <x:v>Advance shipping</x:v>
      </x:c>
      <x:c r="G673" s="6" t="n">
        <x:v>2</x:v>
      </x:c>
      <x:c r="H673" s="6" t="n">
        <x:v>4</x:v>
      </x:c>
      <x:c r="I673" s="6" t="n">
        <x:f>G673-H673</x:f>
        <x:v>-2</x:v>
      </x:c>
      <x:c r="J673" s="6" t="n">
        <x:f>IF(OR(E673="CANCELED",E673="SUSPECTED_FRAUD",F673="Shipping canceled"),0,1)</x:f>
        <x:v>1</x:v>
      </x:c>
      <x:c r="K673" s="6" t="n">
        <x:f>IF(G673&gt;H673,1,0)</x:f>
        <x:v>0</x:v>
      </x:c>
      <x:c r="L673" s="6" t="n">
        <x:f>J673*K673</x:f>
        <x:v>0</x:v>
      </x:c>
    </x:row>
    <x:row r="674">
      <x:c r="A674" s="1" t="n">
        <x:v>5852</x:v>
      </x:c>
      <x:c r="B674" s="5" t="d">
        <x:v>2015-03-27T00:00:00.000Z</x:v>
      </x:c>
      <x:c r="C674" s="1" t="str">
        <x:v>Second Class</x:v>
      </x:c>
      <x:c r="D674" s="1" t="str">
        <x:v>LATAM</x:v>
      </x:c>
      <x:c r="E674" s="1" t="str">
        <x:v>COMPLETE</x:v>
      </x:c>
      <x:c r="F674" s="1" t="str">
        <x:v>Late delivery</x:v>
      </x:c>
      <x:c r="G674" s="6" t="n">
        <x:v>3</x:v>
      </x:c>
      <x:c r="H674" s="6" t="n">
        <x:v>2</x:v>
      </x:c>
      <x:c r="I674" s="6" t="n">
        <x:f>G674-H674</x:f>
        <x:v>1</x:v>
      </x:c>
      <x:c r="J674" s="6" t="n">
        <x:f>IF(OR(E674="CANCELED",E674="SUSPECTED_FRAUD",F674="Shipping canceled"),0,1)</x:f>
        <x:v>1</x:v>
      </x:c>
      <x:c r="K674" s="6" t="n">
        <x:f>IF(G674&gt;H674,1,0)</x:f>
        <x:v>1</x:v>
      </x:c>
      <x:c r="L674" s="6" t="n">
        <x:f>J674*K674</x:f>
        <x:v>1</x:v>
      </x:c>
    </x:row>
    <x:row r="675">
      <x:c r="A675" s="1" t="n">
        <x:v>5857</x:v>
      </x:c>
      <x:c r="B675" s="5" t="d">
        <x:v>2015-03-27T00:00:00.000Z</x:v>
      </x:c>
      <x:c r="C675" s="1" t="str">
        <x:v>Standard Class</x:v>
      </x:c>
      <x:c r="D675" s="1" t="str">
        <x:v>LATAM</x:v>
      </x:c>
      <x:c r="E675" s="1" t="str">
        <x:v>PENDING_PAYMENT</x:v>
      </x:c>
      <x:c r="F675" s="1" t="str">
        <x:v>Advance shipping</x:v>
      </x:c>
      <x:c r="G675" s="6" t="n">
        <x:v>3</x:v>
      </x:c>
      <x:c r="H675" s="6" t="n">
        <x:v>4</x:v>
      </x:c>
      <x:c r="I675" s="6" t="n">
        <x:f>G675-H675</x:f>
        <x:v>-1</x:v>
      </x:c>
      <x:c r="J675" s="6" t="n">
        <x:f>IF(OR(E675="CANCELED",E675="SUSPECTED_FRAUD",F675="Shipping canceled"),0,1)</x:f>
        <x:v>1</x:v>
      </x:c>
      <x:c r="K675" s="6" t="n">
        <x:f>IF(G675&gt;H675,1,0)</x:f>
        <x:v>0</x:v>
      </x:c>
      <x:c r="L675" s="6" t="n">
        <x:f>J675*K675</x:f>
        <x:v>0</x:v>
      </x:c>
    </x:row>
    <x:row r="676">
      <x:c r="A676" s="1" t="n">
        <x:v>5858</x:v>
      </x:c>
      <x:c r="B676" s="5" t="d">
        <x:v>2015-03-27T00:00:00.000Z</x:v>
      </x:c>
      <x:c r="C676" s="1" t="str">
        <x:v>Standard Class</x:v>
      </x:c>
      <x:c r="D676" s="1" t="str">
        <x:v>LATAM</x:v>
      </x:c>
      <x:c r="E676" s="1" t="str">
        <x:v>PENDING_PAYMENT</x:v>
      </x:c>
      <x:c r="F676" s="1" t="str">
        <x:v>Shipping on time</x:v>
      </x:c>
      <x:c r="G676" s="6" t="n">
        <x:v>4</x:v>
      </x:c>
      <x:c r="H676" s="6" t="n">
        <x:v>4</x:v>
      </x:c>
      <x:c r="I676" s="6" t="n">
        <x:f>G676-H676</x:f>
        <x:v>0</x:v>
      </x:c>
      <x:c r="J676" s="6" t="n">
        <x:f>IF(OR(E676="CANCELED",E676="SUSPECTED_FRAUD",F676="Shipping canceled"),0,1)</x:f>
        <x:v>1</x:v>
      </x:c>
      <x:c r="K676" s="6" t="n">
        <x:f>IF(G676&gt;H676,1,0)</x:f>
        <x:v>0</x:v>
      </x:c>
      <x:c r="L676" s="6" t="n">
        <x:f>J676*K676</x:f>
        <x:v>0</x:v>
      </x:c>
    </x:row>
    <x:row r="677">
      <x:c r="A677" s="1" t="n">
        <x:v>5870</x:v>
      </x:c>
      <x:c r="B677" s="5" t="d">
        <x:v>2015-03-27T00:00:00.000Z</x:v>
      </x:c>
      <x:c r="C677" s="1" t="str">
        <x:v>Standard Class</x:v>
      </x:c>
      <x:c r="D677" s="1" t="str">
        <x:v>LATAM</x:v>
      </x:c>
      <x:c r="E677" s="1" t="str">
        <x:v>COMPLETE</x:v>
      </x:c>
      <x:c r="F677" s="1" t="str">
        <x:v>Late delivery</x:v>
      </x:c>
      <x:c r="G677" s="6" t="n">
        <x:v>6</x:v>
      </x:c>
      <x:c r="H677" s="6" t="n">
        <x:v>4</x:v>
      </x:c>
      <x:c r="I677" s="6" t="n">
        <x:f>G677-H677</x:f>
        <x:v>2</x:v>
      </x:c>
      <x:c r="J677" s="6" t="n">
        <x:f>IF(OR(E677="CANCELED",E677="SUSPECTED_FRAUD",F677="Shipping canceled"),0,1)</x:f>
        <x:v>1</x:v>
      </x:c>
      <x:c r="K677" s="6" t="n">
        <x:f>IF(G677&gt;H677,1,0)</x:f>
        <x:v>1</x:v>
      </x:c>
      <x:c r="L677" s="6" t="n">
        <x:f>J677*K677</x:f>
        <x:v>1</x:v>
      </x:c>
    </x:row>
    <x:row r="678">
      <x:c r="A678" s="1" t="n">
        <x:v>5884</x:v>
      </x:c>
      <x:c r="B678" s="5" t="d">
        <x:v>2015-03-27T00:00:00.000Z</x:v>
      </x:c>
      <x:c r="C678" s="1" t="str">
        <x:v>Standard Class</x:v>
      </x:c>
      <x:c r="D678" s="1" t="str">
        <x:v>LATAM</x:v>
      </x:c>
      <x:c r="E678" s="1" t="str">
        <x:v>PENDING</x:v>
      </x:c>
      <x:c r="F678" s="1" t="str">
        <x:v>Late delivery</x:v>
      </x:c>
      <x:c r="G678" s="6" t="n">
        <x:v>5</x:v>
      </x:c>
      <x:c r="H678" s="6" t="n">
        <x:v>4</x:v>
      </x:c>
      <x:c r="I678" s="6" t="n">
        <x:f>G678-H678</x:f>
        <x:v>1</x:v>
      </x:c>
      <x:c r="J678" s="6" t="n">
        <x:f>IF(OR(E678="CANCELED",E678="SUSPECTED_FRAUD",F678="Shipping canceled"),0,1)</x:f>
        <x:v>1</x:v>
      </x:c>
      <x:c r="K678" s="6" t="n">
        <x:f>IF(G678&gt;H678,1,0)</x:f>
        <x:v>1</x:v>
      </x:c>
      <x:c r="L678" s="6" t="n">
        <x:f>J678*K678</x:f>
        <x:v>1</x:v>
      </x:c>
    </x:row>
    <x:row r="679">
      <x:c r="A679" s="1" t="n">
        <x:v>5886</x:v>
      </x:c>
      <x:c r="B679" s="5" t="d">
        <x:v>2015-03-27T00:00:00.000Z</x:v>
      </x:c>
      <x:c r="C679" s="1" t="str">
        <x:v>Standard Class</x:v>
      </x:c>
      <x:c r="D679" s="1" t="str">
        <x:v>LATAM</x:v>
      </x:c>
      <x:c r="E679" s="1" t="str">
        <x:v>COMPLETE</x:v>
      </x:c>
      <x:c r="F679" s="1" t="str">
        <x:v>Advance shipping</x:v>
      </x:c>
      <x:c r="G679" s="6" t="n">
        <x:v>2</x:v>
      </x:c>
      <x:c r="H679" s="6" t="n">
        <x:v>4</x:v>
      </x:c>
      <x:c r="I679" s="6" t="n">
        <x:f>G679-H679</x:f>
        <x:v>-2</x:v>
      </x:c>
      <x:c r="J679" s="6" t="n">
        <x:f>IF(OR(E679="CANCELED",E679="SUSPECTED_FRAUD",F679="Shipping canceled"),0,1)</x:f>
        <x:v>1</x:v>
      </x:c>
      <x:c r="K679" s="6" t="n">
        <x:f>IF(G679&gt;H679,1,0)</x:f>
        <x:v>0</x:v>
      </x:c>
      <x:c r="L679" s="6" t="n">
        <x:f>J679*K679</x:f>
        <x:v>0</x:v>
      </x:c>
    </x:row>
    <x:row r="680">
      <x:c r="A680" s="1" t="n">
        <x:v>5893</x:v>
      </x:c>
      <x:c r="B680" s="5" t="d">
        <x:v>2015-03-28T00:00:00.000Z</x:v>
      </x:c>
      <x:c r="C680" s="1" t="str">
        <x:v>Standard Class</x:v>
      </x:c>
      <x:c r="D680" s="1" t="str">
        <x:v>LATAM</x:v>
      </x:c>
      <x:c r="E680" s="1" t="str">
        <x:v>PROCESSING</x:v>
      </x:c>
      <x:c r="F680" s="1" t="str">
        <x:v>Shipping on time</x:v>
      </x:c>
      <x:c r="G680" s="6" t="n">
        <x:v>4</x:v>
      </x:c>
      <x:c r="H680" s="6" t="n">
        <x:v>4</x:v>
      </x:c>
      <x:c r="I680" s="6" t="n">
        <x:f>G680-H680</x:f>
        <x:v>0</x:v>
      </x:c>
      <x:c r="J680" s="6" t="n">
        <x:f>IF(OR(E680="CANCELED",E680="SUSPECTED_FRAUD",F680="Shipping canceled"),0,1)</x:f>
        <x:v>1</x:v>
      </x:c>
      <x:c r="K680" s="6" t="n">
        <x:f>IF(G680&gt;H680,1,0)</x:f>
        <x:v>0</x:v>
      </x:c>
      <x:c r="L680" s="6" t="n">
        <x:f>J680*K680</x:f>
        <x:v>0</x:v>
      </x:c>
    </x:row>
    <x:row r="681">
      <x:c r="A681" s="1" t="n">
        <x:v>5895</x:v>
      </x:c>
      <x:c r="B681" s="5" t="d">
        <x:v>2015-03-28T00:00:00.000Z</x:v>
      </x:c>
      <x:c r="C681" s="1" t="str">
        <x:v>Second Class</x:v>
      </x:c>
      <x:c r="D681" s="1" t="str">
        <x:v>LATAM</x:v>
      </x:c>
      <x:c r="E681" s="1" t="str">
        <x:v>PENDING_PAYMENT</x:v>
      </x:c>
      <x:c r="F681" s="1" t="str">
        <x:v>Late delivery</x:v>
      </x:c>
      <x:c r="G681" s="6" t="n">
        <x:v>6</x:v>
      </x:c>
      <x:c r="H681" s="6" t="n">
        <x:v>2</x:v>
      </x:c>
      <x:c r="I681" s="6" t="n">
        <x:f>G681-H681</x:f>
        <x:v>4</x:v>
      </x:c>
      <x:c r="J681" s="6" t="n">
        <x:f>IF(OR(E681="CANCELED",E681="SUSPECTED_FRAUD",F681="Shipping canceled"),0,1)</x:f>
        <x:v>1</x:v>
      </x:c>
      <x:c r="K681" s="6" t="n">
        <x:f>IF(G681&gt;H681,1,0)</x:f>
        <x:v>1</x:v>
      </x:c>
      <x:c r="L681" s="6" t="n">
        <x:f>J681*K681</x:f>
        <x:v>1</x:v>
      </x:c>
    </x:row>
    <x:row r="682">
      <x:c r="A682" s="1" t="n">
        <x:v>5900</x:v>
      </x:c>
      <x:c r="B682" s="5" t="d">
        <x:v>2015-03-28T00:00:00.000Z</x:v>
      </x:c>
      <x:c r="C682" s="1" t="str">
        <x:v>Second Class</x:v>
      </x:c>
      <x:c r="D682" s="1" t="str">
        <x:v>LATAM</x:v>
      </x:c>
      <x:c r="E682" s="1" t="str">
        <x:v>COMPLETE</x:v>
      </x:c>
      <x:c r="F682" s="1" t="str">
        <x:v>Late delivery</x:v>
      </x:c>
      <x:c r="G682" s="6" t="n">
        <x:v>6</x:v>
      </x:c>
      <x:c r="H682" s="6" t="n">
        <x:v>2</x:v>
      </x:c>
      <x:c r="I682" s="6" t="n">
        <x:f>G682-H682</x:f>
        <x:v>4</x:v>
      </x:c>
      <x:c r="J682" s="6" t="n">
        <x:f>IF(OR(E682="CANCELED",E682="SUSPECTED_FRAUD",F682="Shipping canceled"),0,1)</x:f>
        <x:v>1</x:v>
      </x:c>
      <x:c r="K682" s="6" t="n">
        <x:f>IF(G682&gt;H682,1,0)</x:f>
        <x:v>1</x:v>
      </x:c>
      <x:c r="L682" s="6" t="n">
        <x:f>J682*K682</x:f>
        <x:v>1</x:v>
      </x:c>
    </x:row>
    <x:row r="683">
      <x:c r="A683" s="1" t="n">
        <x:v>5901</x:v>
      </x:c>
      <x:c r="B683" s="5" t="d">
        <x:v>2015-03-28T00:00:00.000Z</x:v>
      </x:c>
      <x:c r="C683" s="1" t="str">
        <x:v>Standard Class</x:v>
      </x:c>
      <x:c r="D683" s="1" t="str">
        <x:v>LATAM</x:v>
      </x:c>
      <x:c r="E683" s="1" t="str">
        <x:v>CLOSED</x:v>
      </x:c>
      <x:c r="F683" s="1" t="str">
        <x:v>Advance shipping</x:v>
      </x:c>
      <x:c r="G683" s="6" t="n">
        <x:v>2</x:v>
      </x:c>
      <x:c r="H683" s="6" t="n">
        <x:v>4</x:v>
      </x:c>
      <x:c r="I683" s="6" t="n">
        <x:f>G683-H683</x:f>
        <x:v>-2</x:v>
      </x:c>
      <x:c r="J683" s="6" t="n">
        <x:f>IF(OR(E683="CANCELED",E683="SUSPECTED_FRAUD",F683="Shipping canceled"),0,1)</x:f>
        <x:v>1</x:v>
      </x:c>
      <x:c r="K683" s="6" t="n">
        <x:f>IF(G683&gt;H683,1,0)</x:f>
        <x:v>0</x:v>
      </x:c>
      <x:c r="L683" s="6" t="n">
        <x:f>J683*K683</x:f>
        <x:v>0</x:v>
      </x:c>
    </x:row>
    <x:row r="684">
      <x:c r="A684" s="1" t="n">
        <x:v>5902</x:v>
      </x:c>
      <x:c r="B684" s="5" t="d">
        <x:v>2015-03-28T00:00:00.000Z</x:v>
      </x:c>
      <x:c r="C684" s="1" t="str">
        <x:v>Standard Class</x:v>
      </x:c>
      <x:c r="D684" s="1" t="str">
        <x:v>LATAM</x:v>
      </x:c>
      <x:c r="E684" s="1" t="str">
        <x:v>COMPLETE</x:v>
      </x:c>
      <x:c r="F684" s="1" t="str">
        <x:v>Advance shipping</x:v>
      </x:c>
      <x:c r="G684" s="6" t="n">
        <x:v>3</x:v>
      </x:c>
      <x:c r="H684" s="6" t="n">
        <x:v>4</x:v>
      </x:c>
      <x:c r="I684" s="6" t="n">
        <x:f>G684-H684</x:f>
        <x:v>-1</x:v>
      </x:c>
      <x:c r="J684" s="6" t="n">
        <x:f>IF(OR(E684="CANCELED",E684="SUSPECTED_FRAUD",F684="Shipping canceled"),0,1)</x:f>
        <x:v>1</x:v>
      </x:c>
      <x:c r="K684" s="6" t="n">
        <x:f>IF(G684&gt;H684,1,0)</x:f>
        <x:v>0</x:v>
      </x:c>
      <x:c r="L684" s="6" t="n">
        <x:f>J684*K684</x:f>
        <x:v>0</x:v>
      </x:c>
    </x:row>
    <x:row r="685">
      <x:c r="A685" s="1" t="n">
        <x:v>5914</x:v>
      </x:c>
      <x:c r="B685" s="5" t="d">
        <x:v>2015-03-28T00:00:00.000Z</x:v>
      </x:c>
      <x:c r="C685" s="1" t="str">
        <x:v>Standard Class</x:v>
      </x:c>
      <x:c r="D685" s="1" t="str">
        <x:v>LATAM</x:v>
      </x:c>
      <x:c r="E685" s="1" t="str">
        <x:v>COMPLETE</x:v>
      </x:c>
      <x:c r="F685" s="1" t="str">
        <x:v>Late delivery</x:v>
      </x:c>
      <x:c r="G685" s="6" t="n">
        <x:v>5</x:v>
      </x:c>
      <x:c r="H685" s="6" t="n">
        <x:v>4</x:v>
      </x:c>
      <x:c r="I685" s="6" t="n">
        <x:f>G685-H685</x:f>
        <x:v>1</x:v>
      </x:c>
      <x:c r="J685" s="6" t="n">
        <x:f>IF(OR(E685="CANCELED",E685="SUSPECTED_FRAUD",F685="Shipping canceled"),0,1)</x:f>
        <x:v>1</x:v>
      </x:c>
      <x:c r="K685" s="6" t="n">
        <x:f>IF(G685&gt;H685,1,0)</x:f>
        <x:v>1</x:v>
      </x:c>
      <x:c r="L685" s="6" t="n">
        <x:f>J685*K685</x:f>
        <x:v>1</x:v>
      </x:c>
    </x:row>
    <x:row r="686">
      <x:c r="A686" s="1" t="n">
        <x:v>5919</x:v>
      </x:c>
      <x:c r="B686" s="5" t="d">
        <x:v>2015-03-28T00:00:00.000Z</x:v>
      </x:c>
      <x:c r="C686" s="1" t="str">
        <x:v>Standard Class</x:v>
      </x:c>
      <x:c r="D686" s="1" t="str">
        <x:v>LATAM</x:v>
      </x:c>
      <x:c r="E686" s="1" t="str">
        <x:v>SUSPECTED_FRAUD</x:v>
      </x:c>
      <x:c r="F686" s="1" t="str">
        <x:v>Shipping canceled</x:v>
      </x:c>
      <x:c r="G686" s="6" t="n">
        <x:v>5</x:v>
      </x:c>
      <x:c r="H686" s="6" t="n">
        <x:v>4</x:v>
      </x:c>
      <x:c r="I686" s="6" t="n">
        <x:f>G686-H686</x:f>
        <x:v>1</x:v>
      </x:c>
      <x:c r="J686" s="6" t="n">
        <x:f>IF(OR(E686="CANCELED",E686="SUSPECTED_FRAUD",F686="Shipping canceled"),0,1)</x:f>
        <x:v>0</x:v>
      </x:c>
      <x:c r="K686" s="6" t="n">
        <x:f>IF(G686&gt;H686,1,0)</x:f>
        <x:v>1</x:v>
      </x:c>
      <x:c r="L686" s="6" t="n">
        <x:f>J686*K686</x:f>
        <x:v>0</x:v>
      </x:c>
    </x:row>
    <x:row r="687">
      <x:c r="A687" s="1" t="n">
        <x:v>5934</x:v>
      </x:c>
      <x:c r="B687" s="5" t="d">
        <x:v>2015-03-28T00:00:00.000Z</x:v>
      </x:c>
      <x:c r="C687" s="1" t="str">
        <x:v>Standard Class</x:v>
      </x:c>
      <x:c r="D687" s="1" t="str">
        <x:v>LATAM</x:v>
      </x:c>
      <x:c r="E687" s="1" t="str">
        <x:v>SUSPECTED_FRAUD</x:v>
      </x:c>
      <x:c r="F687" s="1" t="str">
        <x:v>Shipping canceled</x:v>
      </x:c>
      <x:c r="G687" s="6" t="n">
        <x:v>5</x:v>
      </x:c>
      <x:c r="H687" s="6" t="n">
        <x:v>4</x:v>
      </x:c>
      <x:c r="I687" s="6" t="n">
        <x:f>G687-H687</x:f>
        <x:v>1</x:v>
      </x:c>
      <x:c r="J687" s="6" t="n">
        <x:f>IF(OR(E687="CANCELED",E687="SUSPECTED_FRAUD",F687="Shipping canceled"),0,1)</x:f>
        <x:v>0</x:v>
      </x:c>
      <x:c r="K687" s="6" t="n">
        <x:f>IF(G687&gt;H687,1,0)</x:f>
        <x:v>1</x:v>
      </x:c>
      <x:c r="L687" s="6" t="n">
        <x:f>J687*K687</x:f>
        <x:v>0</x:v>
      </x:c>
    </x:row>
    <x:row r="688">
      <x:c r="A688" s="1" t="n">
        <x:v>5939</x:v>
      </x:c>
      <x:c r="B688" s="5" t="d">
        <x:v>2015-03-28T00:00:00.000Z</x:v>
      </x:c>
      <x:c r="C688" s="1" t="str">
        <x:v>Standard Class</x:v>
      </x:c>
      <x:c r="D688" s="1" t="str">
        <x:v>LATAM</x:v>
      </x:c>
      <x:c r="E688" s="1" t="str">
        <x:v>COMPLETE</x:v>
      </x:c>
      <x:c r="F688" s="1" t="str">
        <x:v>Late delivery</x:v>
      </x:c>
      <x:c r="G688" s="6" t="n">
        <x:v>5</x:v>
      </x:c>
      <x:c r="H688" s="6" t="n">
        <x:v>4</x:v>
      </x:c>
      <x:c r="I688" s="6" t="n">
        <x:f>G688-H688</x:f>
        <x:v>1</x:v>
      </x:c>
      <x:c r="J688" s="6" t="n">
        <x:f>IF(OR(E688="CANCELED",E688="SUSPECTED_FRAUD",F688="Shipping canceled"),0,1)</x:f>
        <x:v>1</x:v>
      </x:c>
      <x:c r="K688" s="6" t="n">
        <x:f>IF(G688&gt;H688,1,0)</x:f>
        <x:v>1</x:v>
      </x:c>
      <x:c r="L688" s="6" t="n">
        <x:f>J688*K688</x:f>
        <x:v>1</x:v>
      </x:c>
    </x:row>
    <x:row r="689">
      <x:c r="A689" s="1" t="n">
        <x:v>5952</x:v>
      </x:c>
      <x:c r="B689" s="5" t="d">
        <x:v>2015-03-28T00:00:00.000Z</x:v>
      </x:c>
      <x:c r="C689" s="1" t="str">
        <x:v>Standard Class</x:v>
      </x:c>
      <x:c r="D689" s="1" t="str">
        <x:v>LATAM</x:v>
      </x:c>
      <x:c r="E689" s="1" t="str">
        <x:v>PENDING</x:v>
      </x:c>
      <x:c r="F689" s="1" t="str">
        <x:v>Advance shipping</x:v>
      </x:c>
      <x:c r="G689" s="6" t="n">
        <x:v>3</x:v>
      </x:c>
      <x:c r="H689" s="6" t="n">
        <x:v>4</x:v>
      </x:c>
      <x:c r="I689" s="6" t="n">
        <x:f>G689-H689</x:f>
        <x:v>-1</x:v>
      </x:c>
      <x:c r="J689" s="6" t="n">
        <x:f>IF(OR(E689="CANCELED",E689="SUSPECTED_FRAUD",F689="Shipping canceled"),0,1)</x:f>
        <x:v>1</x:v>
      </x:c>
      <x:c r="K689" s="6" t="n">
        <x:f>IF(G689&gt;H689,1,0)</x:f>
        <x:v>0</x:v>
      </x:c>
      <x:c r="L689" s="6" t="n">
        <x:f>J689*K689</x:f>
        <x:v>0</x:v>
      </x:c>
    </x:row>
    <x:row r="690">
      <x:c r="A690" s="1" t="n">
        <x:v>5969</x:v>
      </x:c>
      <x:c r="B690" s="5" t="d">
        <x:v>2015-03-29T00:00:00.000Z</x:v>
      </x:c>
      <x:c r="C690" s="1" t="str">
        <x:v>First Class</x:v>
      </x:c>
      <x:c r="D690" s="1" t="str">
        <x:v>LATAM</x:v>
      </x:c>
      <x:c r="E690" s="1" t="str">
        <x:v>CLOSED</x:v>
      </x:c>
      <x:c r="F690" s="1" t="str">
        <x:v>Late delivery</x:v>
      </x:c>
      <x:c r="G690" s="6" t="n">
        <x:v>2</x:v>
      </x:c>
      <x:c r="H690" s="6" t="n">
        <x:v>1</x:v>
      </x:c>
      <x:c r="I690" s="6" t="n">
        <x:f>G690-H690</x:f>
        <x:v>1</x:v>
      </x:c>
      <x:c r="J690" s="6" t="n">
        <x:f>IF(OR(E690="CANCELED",E690="SUSPECTED_FRAUD",F690="Shipping canceled"),0,1)</x:f>
        <x:v>1</x:v>
      </x:c>
      <x:c r="K690" s="6" t="n">
        <x:f>IF(G690&gt;H690,1,0)</x:f>
        <x:v>1</x:v>
      </x:c>
      <x:c r="L690" s="6" t="n">
        <x:f>J690*K690</x:f>
        <x:v>1</x:v>
      </x:c>
    </x:row>
    <x:row r="691">
      <x:c r="A691" s="1" t="n">
        <x:v>5985</x:v>
      </x:c>
      <x:c r="B691" s="5" t="d">
        <x:v>2015-03-29T00:00:00.000Z</x:v>
      </x:c>
      <x:c r="C691" s="1" t="str">
        <x:v>Standard Class</x:v>
      </x:c>
      <x:c r="D691" s="1" t="str">
        <x:v>LATAM</x:v>
      </x:c>
      <x:c r="E691" s="1" t="str">
        <x:v>ON_HOLD</x:v>
      </x:c>
      <x:c r="F691" s="1" t="str">
        <x:v>Late delivery</x:v>
      </x:c>
      <x:c r="G691" s="6" t="n">
        <x:v>6</x:v>
      </x:c>
      <x:c r="H691" s="6" t="n">
        <x:v>4</x:v>
      </x:c>
      <x:c r="I691" s="6" t="n">
        <x:f>G691-H691</x:f>
        <x:v>2</x:v>
      </x:c>
      <x:c r="J691" s="6" t="n">
        <x:f>IF(OR(E691="CANCELED",E691="SUSPECTED_FRAUD",F691="Shipping canceled"),0,1)</x:f>
        <x:v>1</x:v>
      </x:c>
      <x:c r="K691" s="6" t="n">
        <x:f>IF(G691&gt;H691,1,0)</x:f>
        <x:v>1</x:v>
      </x:c>
      <x:c r="L691" s="6" t="n">
        <x:f>J691*K691</x:f>
        <x:v>1</x:v>
      </x:c>
    </x:row>
    <x:row r="692">
      <x:c r="A692" s="1" t="n">
        <x:v>5991</x:v>
      </x:c>
      <x:c r="B692" s="5" t="d">
        <x:v>2015-03-29T00:00:00.000Z</x:v>
      </x:c>
      <x:c r="C692" s="1" t="str">
        <x:v>Second Class</x:v>
      </x:c>
      <x:c r="D692" s="1" t="str">
        <x:v>LATAM</x:v>
      </x:c>
      <x:c r="E692" s="1" t="str">
        <x:v>PENDING_PAYMENT</x:v>
      </x:c>
      <x:c r="F692" s="1" t="str">
        <x:v>Shipping on time</x:v>
      </x:c>
      <x:c r="G692" s="6" t="n">
        <x:v>2</x:v>
      </x:c>
      <x:c r="H692" s="6" t="n">
        <x:v>2</x:v>
      </x:c>
      <x:c r="I692" s="6" t="n">
        <x:f>G692-H692</x:f>
        <x:v>0</x:v>
      </x:c>
      <x:c r="J692" s="6" t="n">
        <x:f>IF(OR(E692="CANCELED",E692="SUSPECTED_FRAUD",F692="Shipping canceled"),0,1)</x:f>
        <x:v>1</x:v>
      </x:c>
      <x:c r="K692" s="6" t="n">
        <x:f>IF(G692&gt;H692,1,0)</x:f>
        <x:v>0</x:v>
      </x:c>
      <x:c r="L692" s="6" t="n">
        <x:f>J692*K692</x:f>
        <x:v>0</x:v>
      </x:c>
    </x:row>
    <x:row r="693">
      <x:c r="A693" s="1" t="n">
        <x:v>6004</x:v>
      </x:c>
      <x:c r="B693" s="5" t="d">
        <x:v>2015-03-29T00:00:00.000Z</x:v>
      </x:c>
      <x:c r="C693" s="1" t="str">
        <x:v>Standard Class</x:v>
      </x:c>
      <x:c r="D693" s="1" t="str">
        <x:v>LATAM</x:v>
      </x:c>
      <x:c r="E693" s="1" t="str">
        <x:v>COMPLETE</x:v>
      </x:c>
      <x:c r="F693" s="1" t="str">
        <x:v>Late delivery</x:v>
      </x:c>
      <x:c r="G693" s="6" t="n">
        <x:v>5</x:v>
      </x:c>
      <x:c r="H693" s="6" t="n">
        <x:v>4</x:v>
      </x:c>
      <x:c r="I693" s="6" t="n">
        <x:f>G693-H693</x:f>
        <x:v>1</x:v>
      </x:c>
      <x:c r="J693" s="6" t="n">
        <x:f>IF(OR(E693="CANCELED",E693="SUSPECTED_FRAUD",F693="Shipping canceled"),0,1)</x:f>
        <x:v>1</x:v>
      </x:c>
      <x:c r="K693" s="6" t="n">
        <x:f>IF(G693&gt;H693,1,0)</x:f>
        <x:v>1</x:v>
      </x:c>
      <x:c r="L693" s="6" t="n">
        <x:f>J693*K693</x:f>
        <x:v>1</x:v>
      </x:c>
    </x:row>
    <x:row r="694">
      <x:c r="A694" s="1" t="n">
        <x:v>6014</x:v>
      </x:c>
      <x:c r="B694" s="5" t="d">
        <x:v>2015-03-29T00:00:00.000Z</x:v>
      </x:c>
      <x:c r="C694" s="1" t="str">
        <x:v>Standard Class</x:v>
      </x:c>
      <x:c r="D694" s="1" t="str">
        <x:v>LATAM</x:v>
      </x:c>
      <x:c r="E694" s="1" t="str">
        <x:v>COMPLETE</x:v>
      </x:c>
      <x:c r="F694" s="1" t="str">
        <x:v>Late delivery</x:v>
      </x:c>
      <x:c r="G694" s="6" t="n">
        <x:v>5</x:v>
      </x:c>
      <x:c r="H694" s="6" t="n">
        <x:v>4</x:v>
      </x:c>
      <x:c r="I694" s="6" t="n">
        <x:f>G694-H694</x:f>
        <x:v>1</x:v>
      </x:c>
      <x:c r="J694" s="6" t="n">
        <x:f>IF(OR(E694="CANCELED",E694="SUSPECTED_FRAUD",F694="Shipping canceled"),0,1)</x:f>
        <x:v>1</x:v>
      </x:c>
      <x:c r="K694" s="6" t="n">
        <x:f>IF(G694&gt;H694,1,0)</x:f>
        <x:v>1</x:v>
      </x:c>
      <x:c r="L694" s="6" t="n">
        <x:f>J694*K694</x:f>
        <x:v>1</x:v>
      </x:c>
    </x:row>
    <x:row r="695">
      <x:c r="A695" s="1" t="n">
        <x:v>6017</x:v>
      </x:c>
      <x:c r="B695" s="5" t="d">
        <x:v>2015-03-29T00:00:00.000Z</x:v>
      </x:c>
      <x:c r="C695" s="1" t="str">
        <x:v>Standard Class</x:v>
      </x:c>
      <x:c r="D695" s="1" t="str">
        <x:v>LATAM</x:v>
      </x:c>
      <x:c r="E695" s="1" t="str">
        <x:v>COMPLETE</x:v>
      </x:c>
      <x:c r="F695" s="1" t="str">
        <x:v>Advance shipping</x:v>
      </x:c>
      <x:c r="G695" s="6" t="n">
        <x:v>3</x:v>
      </x:c>
      <x:c r="H695" s="6" t="n">
        <x:v>4</x:v>
      </x:c>
      <x:c r="I695" s="6" t="n">
        <x:f>G695-H695</x:f>
        <x:v>-1</x:v>
      </x:c>
      <x:c r="J695" s="6" t="n">
        <x:f>IF(OR(E695="CANCELED",E695="SUSPECTED_FRAUD",F695="Shipping canceled"),0,1)</x:f>
        <x:v>1</x:v>
      </x:c>
      <x:c r="K695" s="6" t="n">
        <x:f>IF(G695&gt;H695,1,0)</x:f>
        <x:v>0</x:v>
      </x:c>
      <x:c r="L695" s="6" t="n">
        <x:f>J695*K695</x:f>
        <x:v>0</x:v>
      </x:c>
    </x:row>
    <x:row r="696">
      <x:c r="A696" s="1" t="n">
        <x:v>6018</x:v>
      </x:c>
      <x:c r="B696" s="5" t="d">
        <x:v>2015-03-29T00:00:00.000Z</x:v>
      </x:c>
      <x:c r="C696" s="1" t="str">
        <x:v>Standard Class</x:v>
      </x:c>
      <x:c r="D696" s="1" t="str">
        <x:v>LATAM</x:v>
      </x:c>
      <x:c r="E696" s="1" t="str">
        <x:v>PENDING</x:v>
      </x:c>
      <x:c r="F696" s="1" t="str">
        <x:v>Shipping on time</x:v>
      </x:c>
      <x:c r="G696" s="6" t="n">
        <x:v>4</x:v>
      </x:c>
      <x:c r="H696" s="6" t="n">
        <x:v>4</x:v>
      </x:c>
      <x:c r="I696" s="6" t="n">
        <x:f>G696-H696</x:f>
        <x:v>0</x:v>
      </x:c>
      <x:c r="J696" s="6" t="n">
        <x:f>IF(OR(E696="CANCELED",E696="SUSPECTED_FRAUD",F696="Shipping canceled"),0,1)</x:f>
        <x:v>1</x:v>
      </x:c>
      <x:c r="K696" s="6" t="n">
        <x:f>IF(G696&gt;H696,1,0)</x:f>
        <x:v>0</x:v>
      </x:c>
      <x:c r="L696" s="6" t="n">
        <x:f>J696*K696</x:f>
        <x:v>0</x:v>
      </x:c>
    </x:row>
    <x:row r="697">
      <x:c r="A697" s="1" t="n">
        <x:v>6031</x:v>
      </x:c>
      <x:c r="B697" s="5" t="d">
        <x:v>2015-03-30T00:00:00.000Z</x:v>
      </x:c>
      <x:c r="C697" s="1" t="str">
        <x:v>Standard Class</x:v>
      </x:c>
      <x:c r="D697" s="1" t="str">
        <x:v>LATAM</x:v>
      </x:c>
      <x:c r="E697" s="1" t="str">
        <x:v>PENDING</x:v>
      </x:c>
      <x:c r="F697" s="1" t="str">
        <x:v>Advance shipping</x:v>
      </x:c>
      <x:c r="G697" s="6" t="n">
        <x:v>2</x:v>
      </x:c>
      <x:c r="H697" s="6" t="n">
        <x:v>4</x:v>
      </x:c>
      <x:c r="I697" s="6" t="n">
        <x:f>G697-H697</x:f>
        <x:v>-2</x:v>
      </x:c>
      <x:c r="J697" s="6" t="n">
        <x:f>IF(OR(E697="CANCELED",E697="SUSPECTED_FRAUD",F697="Shipping canceled"),0,1)</x:f>
        <x:v>1</x:v>
      </x:c>
      <x:c r="K697" s="6" t="n">
        <x:f>IF(G697&gt;H697,1,0)</x:f>
        <x:v>0</x:v>
      </x:c>
      <x:c r="L697" s="6" t="n">
        <x:f>J697*K697</x:f>
        <x:v>0</x:v>
      </x:c>
    </x:row>
    <x:row r="698">
      <x:c r="A698" s="1" t="n">
        <x:v>6032</x:v>
      </x:c>
      <x:c r="B698" s="5" t="d">
        <x:v>2015-03-30T00:00:00.000Z</x:v>
      </x:c>
      <x:c r="C698" s="1" t="str">
        <x:v>Standard Class</x:v>
      </x:c>
      <x:c r="D698" s="1" t="str">
        <x:v>LATAM</x:v>
      </x:c>
      <x:c r="E698" s="1" t="str">
        <x:v>CANCELED</x:v>
      </x:c>
      <x:c r="F698" s="1" t="str">
        <x:v>Shipping canceled</x:v>
      </x:c>
      <x:c r="G698" s="6" t="n">
        <x:v>3</x:v>
      </x:c>
      <x:c r="H698" s="6" t="n">
        <x:v>4</x:v>
      </x:c>
      <x:c r="I698" s="6" t="n">
        <x:f>G698-H698</x:f>
        <x:v>-1</x:v>
      </x:c>
      <x:c r="J698" s="6" t="n">
        <x:f>IF(OR(E698="CANCELED",E698="SUSPECTED_FRAUD",F698="Shipping canceled"),0,1)</x:f>
        <x:v>0</x:v>
      </x:c>
      <x:c r="K698" s="6" t="n">
        <x:f>IF(G698&gt;H698,1,0)</x:f>
        <x:v>0</x:v>
      </x:c>
      <x:c r="L698" s="6" t="n">
        <x:f>J698*K698</x:f>
        <x:v>0</x:v>
      </x:c>
    </x:row>
    <x:row r="699">
      <x:c r="A699" s="1" t="n">
        <x:v>6035</x:v>
      </x:c>
      <x:c r="B699" s="5" t="d">
        <x:v>2015-03-30T00:00:00.000Z</x:v>
      </x:c>
      <x:c r="C699" s="1" t="str">
        <x:v>Standard Class</x:v>
      </x:c>
      <x:c r="D699" s="1" t="str">
        <x:v>LATAM</x:v>
      </x:c>
      <x:c r="E699" s="1" t="str">
        <x:v>COMPLETE</x:v>
      </x:c>
      <x:c r="F699" s="1" t="str">
        <x:v>Late delivery</x:v>
      </x:c>
      <x:c r="G699" s="6" t="n">
        <x:v>6</x:v>
      </x:c>
      <x:c r="H699" s="6" t="n">
        <x:v>4</x:v>
      </x:c>
      <x:c r="I699" s="6" t="n">
        <x:f>G699-H699</x:f>
        <x:v>2</x:v>
      </x:c>
      <x:c r="J699" s="6" t="n">
        <x:f>IF(OR(E699="CANCELED",E699="SUSPECTED_FRAUD",F699="Shipping canceled"),0,1)</x:f>
        <x:v>1</x:v>
      </x:c>
      <x:c r="K699" s="6" t="n">
        <x:f>IF(G699&gt;H699,1,0)</x:f>
        <x:v>1</x:v>
      </x:c>
      <x:c r="L699" s="6" t="n">
        <x:f>J699*K699</x:f>
        <x:v>1</x:v>
      </x:c>
    </x:row>
    <x:row r="700">
      <x:c r="A700" s="1" t="n">
        <x:v>6044</x:v>
      </x:c>
      <x:c r="B700" s="5" t="d">
        <x:v>2015-03-30T00:00:00.000Z</x:v>
      </x:c>
      <x:c r="C700" s="1" t="str">
        <x:v>Second Class</x:v>
      </x:c>
      <x:c r="D700" s="1" t="str">
        <x:v>LATAM</x:v>
      </x:c>
      <x:c r="E700" s="1" t="str">
        <x:v>PROCESSING</x:v>
      </x:c>
      <x:c r="F700" s="1" t="str">
        <x:v>Late delivery</x:v>
      </x:c>
      <x:c r="G700" s="6" t="n">
        <x:v>5</x:v>
      </x:c>
      <x:c r="H700" s="6" t="n">
        <x:v>2</x:v>
      </x:c>
      <x:c r="I700" s="6" t="n">
        <x:f>G700-H700</x:f>
        <x:v>3</x:v>
      </x:c>
      <x:c r="J700" s="6" t="n">
        <x:f>IF(OR(E700="CANCELED",E700="SUSPECTED_FRAUD",F700="Shipping canceled"),0,1)</x:f>
        <x:v>1</x:v>
      </x:c>
      <x:c r="K700" s="6" t="n">
        <x:f>IF(G700&gt;H700,1,0)</x:f>
        <x:v>1</x:v>
      </x:c>
      <x:c r="L700" s="6" t="n">
        <x:f>J700*K700</x:f>
        <x:v>1</x:v>
      </x:c>
    </x:row>
    <x:row r="701">
      <x:c r="A701" s="1" t="n">
        <x:v>6052</x:v>
      </x:c>
      <x:c r="B701" s="5" t="d">
        <x:v>2015-03-30T00:00:00.000Z</x:v>
      </x:c>
      <x:c r="C701" s="1" t="str">
        <x:v>Standard Class</x:v>
      </x:c>
      <x:c r="D701" s="1" t="str">
        <x:v>LATAM</x:v>
      </x:c>
      <x:c r="E701" s="1" t="str">
        <x:v>PENDING</x:v>
      </x:c>
      <x:c r="F701" s="1" t="str">
        <x:v>Advance shipping</x:v>
      </x:c>
      <x:c r="G701" s="6" t="n">
        <x:v>3</x:v>
      </x:c>
      <x:c r="H701" s="6" t="n">
        <x:v>4</x:v>
      </x:c>
      <x:c r="I701" s="6" t="n">
        <x:f>G701-H701</x:f>
        <x:v>-1</x:v>
      </x:c>
      <x:c r="J701" s="6" t="n">
        <x:f>IF(OR(E701="CANCELED",E701="SUSPECTED_FRAUD",F701="Shipping canceled"),0,1)</x:f>
        <x:v>1</x:v>
      </x:c>
      <x:c r="K701" s="6" t="n">
        <x:f>IF(G701&gt;H701,1,0)</x:f>
        <x:v>0</x:v>
      </x:c>
      <x:c r="L701" s="6" t="n">
        <x:f>J701*K701</x:f>
        <x:v>0</x:v>
      </x:c>
    </x:row>
    <x:row r="702">
      <x:c r="A702" s="1" t="n">
        <x:v>6056</x:v>
      </x:c>
      <x:c r="B702" s="5" t="d">
        <x:v>2015-03-30T00:00:00.000Z</x:v>
      </x:c>
      <x:c r="C702" s="1" t="str">
        <x:v>Standard Class</x:v>
      </x:c>
      <x:c r="D702" s="1" t="str">
        <x:v>LATAM</x:v>
      </x:c>
      <x:c r="E702" s="1" t="str">
        <x:v>PENDING</x:v>
      </x:c>
      <x:c r="F702" s="1" t="str">
        <x:v>Advance shipping</x:v>
      </x:c>
      <x:c r="G702" s="6" t="n">
        <x:v>2</x:v>
      </x:c>
      <x:c r="H702" s="6" t="n">
        <x:v>4</x:v>
      </x:c>
      <x:c r="I702" s="6" t="n">
        <x:f>G702-H702</x:f>
        <x:v>-2</x:v>
      </x:c>
      <x:c r="J702" s="6" t="n">
        <x:f>IF(OR(E702="CANCELED",E702="SUSPECTED_FRAUD",F702="Shipping canceled"),0,1)</x:f>
        <x:v>1</x:v>
      </x:c>
      <x:c r="K702" s="6" t="n">
        <x:f>IF(G702&gt;H702,1,0)</x:f>
        <x:v>0</x:v>
      </x:c>
      <x:c r="L702" s="6" t="n">
        <x:f>J702*K702</x:f>
        <x:v>0</x:v>
      </x:c>
    </x:row>
    <x:row r="703">
      <x:c r="A703" s="1" t="n">
        <x:v>6058</x:v>
      </x:c>
      <x:c r="B703" s="5" t="d">
        <x:v>2015-03-30T00:00:00.000Z</x:v>
      </x:c>
      <x:c r="C703" s="1" t="str">
        <x:v>Standard Class</x:v>
      </x:c>
      <x:c r="D703" s="1" t="str">
        <x:v>LATAM</x:v>
      </x:c>
      <x:c r="E703" s="1" t="str">
        <x:v>PROCESSING</x:v>
      </x:c>
      <x:c r="F703" s="1" t="str">
        <x:v>Shipping on time</x:v>
      </x:c>
      <x:c r="G703" s="6" t="n">
        <x:v>4</x:v>
      </x:c>
      <x:c r="H703" s="6" t="n">
        <x:v>4</x:v>
      </x:c>
      <x:c r="I703" s="6" t="n">
        <x:f>G703-H703</x:f>
        <x:v>0</x:v>
      </x:c>
      <x:c r="J703" s="6" t="n">
        <x:f>IF(OR(E703="CANCELED",E703="SUSPECTED_FRAUD",F703="Shipping canceled"),0,1)</x:f>
        <x:v>1</x:v>
      </x:c>
      <x:c r="K703" s="6" t="n">
        <x:f>IF(G703&gt;H703,1,0)</x:f>
        <x:v>0</x:v>
      </x:c>
      <x:c r="L703" s="6" t="n">
        <x:f>J703*K703</x:f>
        <x:v>0</x:v>
      </x:c>
    </x:row>
    <x:row r="704">
      <x:c r="A704" s="1" t="n">
        <x:v>6059</x:v>
      </x:c>
      <x:c r="B704" s="5" t="d">
        <x:v>2015-03-30T00:00:00.000Z</x:v>
      </x:c>
      <x:c r="C704" s="1" t="str">
        <x:v>Standard Class</x:v>
      </x:c>
      <x:c r="D704" s="1" t="str">
        <x:v>LATAM</x:v>
      </x:c>
      <x:c r="E704" s="1" t="str">
        <x:v>COMPLETE</x:v>
      </x:c>
      <x:c r="F704" s="1" t="str">
        <x:v>Late delivery</x:v>
      </x:c>
      <x:c r="G704" s="6" t="n">
        <x:v>5</x:v>
      </x:c>
      <x:c r="H704" s="6" t="n">
        <x:v>4</x:v>
      </x:c>
      <x:c r="I704" s="6" t="n">
        <x:f>G704-H704</x:f>
        <x:v>1</x:v>
      </x:c>
      <x:c r="J704" s="6" t="n">
        <x:f>IF(OR(E704="CANCELED",E704="SUSPECTED_FRAUD",F704="Shipping canceled"),0,1)</x:f>
        <x:v>1</x:v>
      </x:c>
      <x:c r="K704" s="6" t="n">
        <x:f>IF(G704&gt;H704,1,0)</x:f>
        <x:v>1</x:v>
      </x:c>
      <x:c r="L704" s="6" t="n">
        <x:f>J704*K704</x:f>
        <x:v>1</x:v>
      </x:c>
    </x:row>
    <x:row r="705">
      <x:c r="A705" s="1" t="n">
        <x:v>6063</x:v>
      </x:c>
      <x:c r="B705" s="5" t="d">
        <x:v>2015-03-30T00:00:00.000Z</x:v>
      </x:c>
      <x:c r="C705" s="1" t="str">
        <x:v>Second Class</x:v>
      </x:c>
      <x:c r="D705" s="1" t="str">
        <x:v>LATAM</x:v>
      </x:c>
      <x:c r="E705" s="1" t="str">
        <x:v>CLOSED</x:v>
      </x:c>
      <x:c r="F705" s="1" t="str">
        <x:v>Late delivery</x:v>
      </x:c>
      <x:c r="G705" s="6" t="n">
        <x:v>4</x:v>
      </x:c>
      <x:c r="H705" s="6" t="n">
        <x:v>2</x:v>
      </x:c>
      <x:c r="I705" s="6" t="n">
        <x:f>G705-H705</x:f>
        <x:v>2</x:v>
      </x:c>
      <x:c r="J705" s="6" t="n">
        <x:f>IF(OR(E705="CANCELED",E705="SUSPECTED_FRAUD",F705="Shipping canceled"),0,1)</x:f>
        <x:v>1</x:v>
      </x:c>
      <x:c r="K705" s="6" t="n">
        <x:f>IF(G705&gt;H705,1,0)</x:f>
        <x:v>1</x:v>
      </x:c>
      <x:c r="L705" s="6" t="n">
        <x:f>J705*K705</x:f>
        <x:v>1</x:v>
      </x:c>
    </x:row>
    <x:row r="706">
      <x:c r="A706" s="1" t="n">
        <x:v>6075</x:v>
      </x:c>
      <x:c r="B706" s="5" t="d">
        <x:v>2015-03-30T00:00:00.000Z</x:v>
      </x:c>
      <x:c r="C706" s="1" t="str">
        <x:v>Standard Class</x:v>
      </x:c>
      <x:c r="D706" s="1" t="str">
        <x:v>LATAM</x:v>
      </x:c>
      <x:c r="E706" s="1" t="str">
        <x:v>COMPLETE</x:v>
      </x:c>
      <x:c r="F706" s="1" t="str">
        <x:v>Late delivery</x:v>
      </x:c>
      <x:c r="G706" s="6" t="n">
        <x:v>6</x:v>
      </x:c>
      <x:c r="H706" s="6" t="n">
        <x:v>4</x:v>
      </x:c>
      <x:c r="I706" s="6" t="n">
        <x:f>G706-H706</x:f>
        <x:v>2</x:v>
      </x:c>
      <x:c r="J706" s="6" t="n">
        <x:f>IF(OR(E706="CANCELED",E706="SUSPECTED_FRAUD",F706="Shipping canceled"),0,1)</x:f>
        <x:v>1</x:v>
      </x:c>
      <x:c r="K706" s="6" t="n">
        <x:f>IF(G706&gt;H706,1,0)</x:f>
        <x:v>1</x:v>
      </x:c>
      <x:c r="L706" s="6" t="n">
        <x:f>J706*K706</x:f>
        <x:v>1</x:v>
      </x:c>
    </x:row>
    <x:row r="707">
      <x:c r="A707" s="1" t="n">
        <x:v>6077</x:v>
      </x:c>
      <x:c r="B707" s="5" t="d">
        <x:v>2015-03-30T00:00:00.000Z</x:v>
      </x:c>
      <x:c r="C707" s="1" t="str">
        <x:v>First Class</x:v>
      </x:c>
      <x:c r="D707" s="1" t="str">
        <x:v>LATAM</x:v>
      </x:c>
      <x:c r="E707" s="1" t="str">
        <x:v>CLOSED</x:v>
      </x:c>
      <x:c r="F707" s="1" t="str">
        <x:v>Late delivery</x:v>
      </x:c>
      <x:c r="G707" s="6" t="n">
        <x:v>2</x:v>
      </x:c>
      <x:c r="H707" s="6" t="n">
        <x:v>1</x:v>
      </x:c>
      <x:c r="I707" s="6" t="n">
        <x:f>G707-H707</x:f>
        <x:v>1</x:v>
      </x:c>
      <x:c r="J707" s="6" t="n">
        <x:f>IF(OR(E707="CANCELED",E707="SUSPECTED_FRAUD",F707="Shipping canceled"),0,1)</x:f>
        <x:v>1</x:v>
      </x:c>
      <x:c r="K707" s="6" t="n">
        <x:f>IF(G707&gt;H707,1,0)</x:f>
        <x:v>1</x:v>
      </x:c>
      <x:c r="L707" s="6" t="n">
        <x:f>J707*K707</x:f>
        <x:v>1</x:v>
      </x:c>
    </x:row>
    <x:row r="708">
      <x:c r="A708" s="1" t="n">
        <x:v>6078</x:v>
      </x:c>
      <x:c r="B708" s="5" t="d">
        <x:v>2015-03-30T00:00:00.000Z</x:v>
      </x:c>
      <x:c r="C708" s="1" t="str">
        <x:v>Second Class</x:v>
      </x:c>
      <x:c r="D708" s="1" t="str">
        <x:v>LATAM</x:v>
      </x:c>
      <x:c r="E708" s="1" t="str">
        <x:v>CLOSED</x:v>
      </x:c>
      <x:c r="F708" s="1" t="str">
        <x:v>Late delivery</x:v>
      </x:c>
      <x:c r="G708" s="6" t="n">
        <x:v>4</x:v>
      </x:c>
      <x:c r="H708" s="6" t="n">
        <x:v>2</x:v>
      </x:c>
      <x:c r="I708" s="6" t="n">
        <x:f>G708-H708</x:f>
        <x:v>2</x:v>
      </x:c>
      <x:c r="J708" s="6" t="n">
        <x:f>IF(OR(E708="CANCELED",E708="SUSPECTED_FRAUD",F708="Shipping canceled"),0,1)</x:f>
        <x:v>1</x:v>
      </x:c>
      <x:c r="K708" s="6" t="n">
        <x:f>IF(G708&gt;H708,1,0)</x:f>
        <x:v>1</x:v>
      </x:c>
      <x:c r="L708" s="6" t="n">
        <x:f>J708*K708</x:f>
        <x:v>1</x:v>
      </x:c>
    </x:row>
    <x:row r="709">
      <x:c r="A709" s="1" t="n">
        <x:v>6084</x:v>
      </x:c>
      <x:c r="B709" s="5" t="d">
        <x:v>2015-03-30T00:00:00.000Z</x:v>
      </x:c>
      <x:c r="C709" s="1" t="str">
        <x:v>Standard Class</x:v>
      </x:c>
      <x:c r="D709" s="1" t="str">
        <x:v>LATAM</x:v>
      </x:c>
      <x:c r="E709" s="1" t="str">
        <x:v>COMPLETE</x:v>
      </x:c>
      <x:c r="F709" s="1" t="str">
        <x:v>Late delivery</x:v>
      </x:c>
      <x:c r="G709" s="6" t="n">
        <x:v>5</x:v>
      </x:c>
      <x:c r="H709" s="6" t="n">
        <x:v>4</x:v>
      </x:c>
      <x:c r="I709" s="6" t="n">
        <x:f>G709-H709</x:f>
        <x:v>1</x:v>
      </x:c>
      <x:c r="J709" s="6" t="n">
        <x:f>IF(OR(E709="CANCELED",E709="SUSPECTED_FRAUD",F709="Shipping canceled"),0,1)</x:f>
        <x:v>1</x:v>
      </x:c>
      <x:c r="K709" s="6" t="n">
        <x:f>IF(G709&gt;H709,1,0)</x:f>
        <x:v>1</x:v>
      </x:c>
      <x:c r="L709" s="6" t="n">
        <x:f>J709*K709</x:f>
        <x:v>1</x:v>
      </x:c>
    </x:row>
    <x:row r="710">
      <x:c r="A710" s="1" t="n">
        <x:v>6085</x:v>
      </x:c>
      <x:c r="B710" s="5" t="d">
        <x:v>2015-03-30T00:00:00.000Z</x:v>
      </x:c>
      <x:c r="C710" s="1" t="str">
        <x:v>Standard Class</x:v>
      </x:c>
      <x:c r="D710" s="1" t="str">
        <x:v>LATAM</x:v>
      </x:c>
      <x:c r="E710" s="1" t="str">
        <x:v>COMPLETE</x:v>
      </x:c>
      <x:c r="F710" s="1" t="str">
        <x:v>Late delivery</x:v>
      </x:c>
      <x:c r="G710" s="6" t="n">
        <x:v>6</x:v>
      </x:c>
      <x:c r="H710" s="6" t="n">
        <x:v>4</x:v>
      </x:c>
      <x:c r="I710" s="6" t="n">
        <x:f>G710-H710</x:f>
        <x:v>2</x:v>
      </x:c>
      <x:c r="J710" s="6" t="n">
        <x:f>IF(OR(E710="CANCELED",E710="SUSPECTED_FRAUD",F710="Shipping canceled"),0,1)</x:f>
        <x:v>1</x:v>
      </x:c>
      <x:c r="K710" s="6" t="n">
        <x:f>IF(G710&gt;H710,1,0)</x:f>
        <x:v>1</x:v>
      </x:c>
      <x:c r="L710" s="6" t="n">
        <x:f>J710*K710</x:f>
        <x:v>1</x:v>
      </x:c>
    </x:row>
    <x:row r="711">
      <x:c r="A711" s="1" t="n">
        <x:v>6102</x:v>
      </x:c>
      <x:c r="B711" s="5" t="d">
        <x:v>2015-03-31T00:00:00.000Z</x:v>
      </x:c>
      <x:c r="C711" s="1" t="str">
        <x:v>Standard Class</x:v>
      </x:c>
      <x:c r="D711" s="1" t="str">
        <x:v>LATAM</x:v>
      </x:c>
      <x:c r="E711" s="1" t="str">
        <x:v>COMPLETE</x:v>
      </x:c>
      <x:c r="F711" s="1" t="str">
        <x:v>Advance shipping</x:v>
      </x:c>
      <x:c r="G711" s="6" t="n">
        <x:v>3</x:v>
      </x:c>
      <x:c r="H711" s="6" t="n">
        <x:v>4</x:v>
      </x:c>
      <x:c r="I711" s="6" t="n">
        <x:f>G711-H711</x:f>
        <x:v>-1</x:v>
      </x:c>
      <x:c r="J711" s="6" t="n">
        <x:f>IF(OR(E711="CANCELED",E711="SUSPECTED_FRAUD",F711="Shipping canceled"),0,1)</x:f>
        <x:v>1</x:v>
      </x:c>
      <x:c r="K711" s="6" t="n">
        <x:f>IF(G711&gt;H711,1,0)</x:f>
        <x:v>0</x:v>
      </x:c>
      <x:c r="L711" s="6" t="n">
        <x:f>J711*K711</x:f>
        <x:v>0</x:v>
      </x:c>
    </x:row>
    <x:row r="712">
      <x:c r="A712" s="1" t="n">
        <x:v>6115</x:v>
      </x:c>
      <x:c r="B712" s="5" t="d">
        <x:v>2015-03-31T00:00:00.000Z</x:v>
      </x:c>
      <x:c r="C712" s="1" t="str">
        <x:v>Standard Class</x:v>
      </x:c>
      <x:c r="D712" s="1" t="str">
        <x:v>LATAM</x:v>
      </x:c>
      <x:c r="E712" s="1" t="str">
        <x:v>PENDING</x:v>
      </x:c>
      <x:c r="F712" s="1" t="str">
        <x:v>Late delivery</x:v>
      </x:c>
      <x:c r="G712" s="6" t="n">
        <x:v>6</x:v>
      </x:c>
      <x:c r="H712" s="6" t="n">
        <x:v>4</x:v>
      </x:c>
      <x:c r="I712" s="6" t="n">
        <x:f>G712-H712</x:f>
        <x:v>2</x:v>
      </x:c>
      <x:c r="J712" s="6" t="n">
        <x:f>IF(OR(E712="CANCELED",E712="SUSPECTED_FRAUD",F712="Shipping canceled"),0,1)</x:f>
        <x:v>1</x:v>
      </x:c>
      <x:c r="K712" s="6" t="n">
        <x:f>IF(G712&gt;H712,1,0)</x:f>
        <x:v>1</x:v>
      </x:c>
      <x:c r="L712" s="6" t="n">
        <x:f>J712*K712</x:f>
        <x:v>1</x:v>
      </x:c>
    </x:row>
    <x:row r="713">
      <x:c r="A713" s="1" t="n">
        <x:v>6129</x:v>
      </x:c>
      <x:c r="B713" s="5" t="d">
        <x:v>2015-03-31T00:00:00.000Z</x:v>
      </x:c>
      <x:c r="C713" s="1" t="str">
        <x:v>Standard Class</x:v>
      </x:c>
      <x:c r="D713" s="1" t="str">
        <x:v>LATAM</x:v>
      </x:c>
      <x:c r="E713" s="1" t="str">
        <x:v>COMPLETE</x:v>
      </x:c>
      <x:c r="F713" s="1" t="str">
        <x:v>Late delivery</x:v>
      </x:c>
      <x:c r="G713" s="6" t="n">
        <x:v>5</x:v>
      </x:c>
      <x:c r="H713" s="6" t="n">
        <x:v>4</x:v>
      </x:c>
      <x:c r="I713" s="6" t="n">
        <x:f>G713-H713</x:f>
        <x:v>1</x:v>
      </x:c>
      <x:c r="J713" s="6" t="n">
        <x:f>IF(OR(E713="CANCELED",E713="SUSPECTED_FRAUD",F713="Shipping canceled"),0,1)</x:f>
        <x:v>1</x:v>
      </x:c>
      <x:c r="K713" s="6" t="n">
        <x:f>IF(G713&gt;H713,1,0)</x:f>
        <x:v>1</x:v>
      </x:c>
      <x:c r="L713" s="6" t="n">
        <x:f>J713*K713</x:f>
        <x:v>1</x:v>
      </x:c>
    </x:row>
    <x:row r="714">
      <x:c r="A714" s="1" t="n">
        <x:v>6153</x:v>
      </x:c>
      <x:c r="B714" s="5" t="d">
        <x:v>2015-03-31T00:00:00.000Z</x:v>
      </x:c>
      <x:c r="C714" s="1" t="str">
        <x:v>Standard Class</x:v>
      </x:c>
      <x:c r="D714" s="1" t="str">
        <x:v>LATAM</x:v>
      </x:c>
      <x:c r="E714" s="1" t="str">
        <x:v>COMPLETE</x:v>
      </x:c>
      <x:c r="F714" s="1" t="str">
        <x:v>Shipping on time</x:v>
      </x:c>
      <x:c r="G714" s="6" t="n">
        <x:v>4</x:v>
      </x:c>
      <x:c r="H714" s="6" t="n">
        <x:v>4</x:v>
      </x:c>
      <x:c r="I714" s="6" t="n">
        <x:f>G714-H714</x:f>
        <x:v>0</x:v>
      </x:c>
      <x:c r="J714" s="6" t="n">
        <x:f>IF(OR(E714="CANCELED",E714="SUSPECTED_FRAUD",F714="Shipping canceled"),0,1)</x:f>
        <x:v>1</x:v>
      </x:c>
      <x:c r="K714" s="6" t="n">
        <x:f>IF(G714&gt;H714,1,0)</x:f>
        <x:v>0</x:v>
      </x:c>
      <x:c r="L714" s="6" t="n">
        <x:f>J714*K714</x:f>
        <x:v>0</x:v>
      </x:c>
    </x:row>
    <x:row r="715">
      <x:c r="A715" s="1" t="n">
        <x:v>6162</x:v>
      </x:c>
      <x:c r="B715" s="5" t="d">
        <x:v>2015-03-31T00:00:00.000Z</x:v>
      </x:c>
      <x:c r="C715" s="1" t="str">
        <x:v>Standard Class</x:v>
      </x:c>
      <x:c r="D715" s="1" t="str">
        <x:v>LATAM</x:v>
      </x:c>
      <x:c r="E715" s="1" t="str">
        <x:v>CLOSED</x:v>
      </x:c>
      <x:c r="F715" s="1" t="str">
        <x:v>Advance shipping</x:v>
      </x:c>
      <x:c r="G715" s="6" t="n">
        <x:v>3</x:v>
      </x:c>
      <x:c r="H715" s="6" t="n">
        <x:v>4</x:v>
      </x:c>
      <x:c r="I715" s="6" t="n">
        <x:f>G715-H715</x:f>
        <x:v>-1</x:v>
      </x:c>
      <x:c r="J715" s="6" t="n">
        <x:f>IF(OR(E715="CANCELED",E715="SUSPECTED_FRAUD",F715="Shipping canceled"),0,1)</x:f>
        <x:v>1</x:v>
      </x:c>
      <x:c r="K715" s="6" t="n">
        <x:f>IF(G715&gt;H715,1,0)</x:f>
        <x:v>0</x:v>
      </x:c>
      <x:c r="L715" s="6" t="n">
        <x:f>J715*K715</x:f>
        <x:v>0</x:v>
      </x:c>
    </x:row>
    <x:row r="716">
      <x:c r="A716" s="1" t="n">
        <x:v>6166</x:v>
      </x:c>
      <x:c r="B716" s="5" t="d">
        <x:v>2015-03-31T00:00:00.000Z</x:v>
      </x:c>
      <x:c r="C716" s="1" t="str">
        <x:v>Standard Class</x:v>
      </x:c>
      <x:c r="D716" s="1" t="str">
        <x:v>LATAM</x:v>
      </x:c>
      <x:c r="E716" s="1" t="str">
        <x:v>PENDING</x:v>
      </x:c>
      <x:c r="F716" s="1" t="str">
        <x:v>Advance shipping</x:v>
      </x:c>
      <x:c r="G716" s="6" t="n">
        <x:v>2</x:v>
      </x:c>
      <x:c r="H716" s="6" t="n">
        <x:v>4</x:v>
      </x:c>
      <x:c r="I716" s="6" t="n">
        <x:f>G716-H716</x:f>
        <x:v>-2</x:v>
      </x:c>
      <x:c r="J716" s="6" t="n">
        <x:f>IF(OR(E716="CANCELED",E716="SUSPECTED_FRAUD",F716="Shipping canceled"),0,1)</x:f>
        <x:v>1</x:v>
      </x:c>
      <x:c r="K716" s="6" t="n">
        <x:f>IF(G716&gt;H716,1,0)</x:f>
        <x:v>0</x:v>
      </x:c>
      <x:c r="L716" s="6" t="n">
        <x:f>J716*K716</x:f>
        <x:v>0</x:v>
      </x:c>
    </x:row>
    <x:row r="717">
      <x:c r="A717" s="1" t="n">
        <x:v>6170</x:v>
      </x:c>
      <x:c r="B717" s="5" t="d">
        <x:v>2015-04-01T00:00:00.000Z</x:v>
      </x:c>
      <x:c r="C717" s="1" t="str">
        <x:v>Standard Class</x:v>
      </x:c>
      <x:c r="D717" s="1" t="str">
        <x:v>LATAM</x:v>
      </x:c>
      <x:c r="E717" s="1" t="str">
        <x:v>COMPLETE</x:v>
      </x:c>
      <x:c r="F717" s="1" t="str">
        <x:v>Late delivery</x:v>
      </x:c>
      <x:c r="G717" s="6" t="n">
        <x:v>6</x:v>
      </x:c>
      <x:c r="H717" s="6" t="n">
        <x:v>4</x:v>
      </x:c>
      <x:c r="I717" s="6" t="n">
        <x:f>G717-H717</x:f>
        <x:v>2</x:v>
      </x:c>
      <x:c r="J717" s="6" t="n">
        <x:f>IF(OR(E717="CANCELED",E717="SUSPECTED_FRAUD",F717="Shipping canceled"),0,1)</x:f>
        <x:v>1</x:v>
      </x:c>
      <x:c r="K717" s="6" t="n">
        <x:f>IF(G717&gt;H717,1,0)</x:f>
        <x:v>1</x:v>
      </x:c>
      <x:c r="L717" s="6" t="n">
        <x:f>J717*K717</x:f>
        <x:v>1</x:v>
      </x:c>
    </x:row>
    <x:row r="718">
      <x:c r="A718" s="1" t="n">
        <x:v>6176</x:v>
      </x:c>
      <x:c r="B718" s="5" t="d">
        <x:v>2015-04-01T00:00:00.000Z</x:v>
      </x:c>
      <x:c r="C718" s="1" t="str">
        <x:v>Standard Class</x:v>
      </x:c>
      <x:c r="D718" s="1" t="str">
        <x:v>LATAM</x:v>
      </x:c>
      <x:c r="E718" s="1" t="str">
        <x:v>SUSPECTED_FRAUD</x:v>
      </x:c>
      <x:c r="F718" s="1" t="str">
        <x:v>Shipping canceled</x:v>
      </x:c>
      <x:c r="G718" s="6" t="n">
        <x:v>2</x:v>
      </x:c>
      <x:c r="H718" s="6" t="n">
        <x:v>4</x:v>
      </x:c>
      <x:c r="I718" s="6" t="n">
        <x:f>G718-H718</x:f>
        <x:v>-2</x:v>
      </x:c>
      <x:c r="J718" s="6" t="n">
        <x:f>IF(OR(E718="CANCELED",E718="SUSPECTED_FRAUD",F718="Shipping canceled"),0,1)</x:f>
        <x:v>0</x:v>
      </x:c>
      <x:c r="K718" s="6" t="n">
        <x:f>IF(G718&gt;H718,1,0)</x:f>
        <x:v>0</x:v>
      </x:c>
      <x:c r="L718" s="6" t="n">
        <x:f>J718*K718</x:f>
        <x:v>0</x:v>
      </x:c>
    </x:row>
    <x:row r="719">
      <x:c r="A719" s="1" t="n">
        <x:v>6179</x:v>
      </x:c>
      <x:c r="B719" s="5" t="d">
        <x:v>2015-04-01T00:00:00.000Z</x:v>
      </x:c>
      <x:c r="C719" s="1" t="str">
        <x:v>Same Day</x:v>
      </x:c>
      <x:c r="D719" s="1" t="str">
        <x:v>LATAM</x:v>
      </x:c>
      <x:c r="E719" s="1" t="str">
        <x:v>PENDING</x:v>
      </x:c>
      <x:c r="F719" s="1" t="str">
        <x:v>Shipping on time</x:v>
      </x:c>
      <x:c r="G719" s="6" t="n">
        <x:v>0</x:v>
      </x:c>
      <x:c r="H719" s="6" t="n">
        <x:v>0</x:v>
      </x:c>
      <x:c r="I719" s="6" t="n">
        <x:f>G719-H719</x:f>
        <x:v>0</x:v>
      </x:c>
      <x:c r="J719" s="6" t="n">
        <x:f>IF(OR(E719="CANCELED",E719="SUSPECTED_FRAUD",F719="Shipping canceled"),0,1)</x:f>
        <x:v>1</x:v>
      </x:c>
      <x:c r="K719" s="6" t="n">
        <x:f>IF(G719&gt;H719,1,0)</x:f>
        <x:v>0</x:v>
      </x:c>
      <x:c r="L719" s="6" t="n">
        <x:f>J719*K719</x:f>
        <x:v>0</x:v>
      </x:c>
    </x:row>
    <x:row r="720">
      <x:c r="A720" s="1" t="n">
        <x:v>6194</x:v>
      </x:c>
      <x:c r="B720" s="5" t="d">
        <x:v>2015-04-01T00:00:00.000Z</x:v>
      </x:c>
      <x:c r="C720" s="1" t="str">
        <x:v>Standard Class</x:v>
      </x:c>
      <x:c r="D720" s="1" t="str">
        <x:v>LATAM</x:v>
      </x:c>
      <x:c r="E720" s="1" t="str">
        <x:v>COMPLETE</x:v>
      </x:c>
      <x:c r="F720" s="1" t="str">
        <x:v>Late delivery</x:v>
      </x:c>
      <x:c r="G720" s="6" t="n">
        <x:v>5</x:v>
      </x:c>
      <x:c r="H720" s="6" t="n">
        <x:v>4</x:v>
      </x:c>
      <x:c r="I720" s="6" t="n">
        <x:f>G720-H720</x:f>
        <x:v>1</x:v>
      </x:c>
      <x:c r="J720" s="6" t="n">
        <x:f>IF(OR(E720="CANCELED",E720="SUSPECTED_FRAUD",F720="Shipping canceled"),0,1)</x:f>
        <x:v>1</x:v>
      </x:c>
      <x:c r="K720" s="6" t="n">
        <x:f>IF(G720&gt;H720,1,0)</x:f>
        <x:v>1</x:v>
      </x:c>
      <x:c r="L720" s="6" t="n">
        <x:f>J720*K720</x:f>
        <x:v>1</x:v>
      </x:c>
    </x:row>
    <x:row r="721">
      <x:c r="A721" s="1" t="n">
        <x:v>6199</x:v>
      </x:c>
      <x:c r="B721" s="5" t="d">
        <x:v>2015-04-01T00:00:00.000Z</x:v>
      </x:c>
      <x:c r="C721" s="1" t="str">
        <x:v>Standard Class</x:v>
      </x:c>
      <x:c r="D721" s="1" t="str">
        <x:v>LATAM</x:v>
      </x:c>
      <x:c r="E721" s="1" t="str">
        <x:v>PROCESSING</x:v>
      </x:c>
      <x:c r="F721" s="1" t="str">
        <x:v>Late delivery</x:v>
      </x:c>
      <x:c r="G721" s="6" t="n">
        <x:v>5</x:v>
      </x:c>
      <x:c r="H721" s="6" t="n">
        <x:v>4</x:v>
      </x:c>
      <x:c r="I721" s="6" t="n">
        <x:f>G721-H721</x:f>
        <x:v>1</x:v>
      </x:c>
      <x:c r="J721" s="6" t="n">
        <x:f>IF(OR(E721="CANCELED",E721="SUSPECTED_FRAUD",F721="Shipping canceled"),0,1)</x:f>
        <x:v>1</x:v>
      </x:c>
      <x:c r="K721" s="6" t="n">
        <x:f>IF(G721&gt;H721,1,0)</x:f>
        <x:v>1</x:v>
      </x:c>
      <x:c r="L721" s="6" t="n">
        <x:f>J721*K721</x:f>
        <x:v>1</x:v>
      </x:c>
    </x:row>
    <x:row r="722">
      <x:c r="A722" s="1" t="n">
        <x:v>6208</x:v>
      </x:c>
      <x:c r="B722" s="5" t="d">
        <x:v>2015-04-01T00:00:00.000Z</x:v>
      </x:c>
      <x:c r="C722" s="1" t="str">
        <x:v>Standard Class</x:v>
      </x:c>
      <x:c r="D722" s="1" t="str">
        <x:v>LATAM</x:v>
      </x:c>
      <x:c r="E722" s="1" t="str">
        <x:v>PROCESSING</x:v>
      </x:c>
      <x:c r="F722" s="1" t="str">
        <x:v>Shipping on time</x:v>
      </x:c>
      <x:c r="G722" s="6" t="n">
        <x:v>4</x:v>
      </x:c>
      <x:c r="H722" s="6" t="n">
        <x:v>4</x:v>
      </x:c>
      <x:c r="I722" s="6" t="n">
        <x:f>G722-H722</x:f>
        <x:v>0</x:v>
      </x:c>
      <x:c r="J722" s="6" t="n">
        <x:f>IF(OR(E722="CANCELED",E722="SUSPECTED_FRAUD",F722="Shipping canceled"),0,1)</x:f>
        <x:v>1</x:v>
      </x:c>
      <x:c r="K722" s="6" t="n">
        <x:f>IF(G722&gt;H722,1,0)</x:f>
        <x:v>0</x:v>
      </x:c>
      <x:c r="L722" s="6" t="n">
        <x:f>J722*K722</x:f>
        <x:v>0</x:v>
      </x:c>
    </x:row>
    <x:row r="723">
      <x:c r="A723" s="1" t="n">
        <x:v>6217</x:v>
      </x:c>
      <x:c r="B723" s="5" t="d">
        <x:v>2015-04-01T00:00:00.000Z</x:v>
      </x:c>
      <x:c r="C723" s="1" t="str">
        <x:v>Standard Class</x:v>
      </x:c>
      <x:c r="D723" s="1" t="str">
        <x:v>LATAM</x:v>
      </x:c>
      <x:c r="E723" s="1" t="str">
        <x:v>COMPLETE</x:v>
      </x:c>
      <x:c r="F723" s="1" t="str">
        <x:v>Advance shipping</x:v>
      </x:c>
      <x:c r="G723" s="6" t="n">
        <x:v>3</x:v>
      </x:c>
      <x:c r="H723" s="6" t="n">
        <x:v>4</x:v>
      </x:c>
      <x:c r="I723" s="6" t="n">
        <x:f>G723-H723</x:f>
        <x:v>-1</x:v>
      </x:c>
      <x:c r="J723" s="6" t="n">
        <x:f>IF(OR(E723="CANCELED",E723="SUSPECTED_FRAUD",F723="Shipping canceled"),0,1)</x:f>
        <x:v>1</x:v>
      </x:c>
      <x:c r="K723" s="6" t="n">
        <x:f>IF(G723&gt;H723,1,0)</x:f>
        <x:v>0</x:v>
      </x:c>
      <x:c r="L723" s="6" t="n">
        <x:f>J723*K723</x:f>
        <x:v>0</x:v>
      </x:c>
    </x:row>
    <x:row r="724">
      <x:c r="A724" s="1" t="n">
        <x:v>6218</x:v>
      </x:c>
      <x:c r="B724" s="5" t="d">
        <x:v>2015-04-01T00:00:00.000Z</x:v>
      </x:c>
      <x:c r="C724" s="1" t="str">
        <x:v>Standard Class</x:v>
      </x:c>
      <x:c r="D724" s="1" t="str">
        <x:v>LATAM</x:v>
      </x:c>
      <x:c r="E724" s="1" t="str">
        <x:v>COMPLETE</x:v>
      </x:c>
      <x:c r="F724" s="1" t="str">
        <x:v>Shipping on time</x:v>
      </x:c>
      <x:c r="G724" s="6" t="n">
        <x:v>4</x:v>
      </x:c>
      <x:c r="H724" s="6" t="n">
        <x:v>4</x:v>
      </x:c>
      <x:c r="I724" s="6" t="n">
        <x:f>G724-H724</x:f>
        <x:v>0</x:v>
      </x:c>
      <x:c r="J724" s="6" t="n">
        <x:f>IF(OR(E724="CANCELED",E724="SUSPECTED_FRAUD",F724="Shipping canceled"),0,1)</x:f>
        <x:v>1</x:v>
      </x:c>
      <x:c r="K724" s="6" t="n">
        <x:f>IF(G724&gt;H724,1,0)</x:f>
        <x:v>0</x:v>
      </x:c>
      <x:c r="L724" s="6" t="n">
        <x:f>J724*K724</x:f>
        <x:v>0</x:v>
      </x:c>
    </x:row>
    <x:row r="725">
      <x:c r="A725" s="1" t="n">
        <x:v>6220</x:v>
      </x:c>
      <x:c r="B725" s="5" t="d">
        <x:v>2015-04-01T00:00:00.000Z</x:v>
      </x:c>
      <x:c r="C725" s="1" t="str">
        <x:v>Standard Class</x:v>
      </x:c>
      <x:c r="D725" s="1" t="str">
        <x:v>LATAM</x:v>
      </x:c>
      <x:c r="E725" s="1" t="str">
        <x:v>COMPLETE</x:v>
      </x:c>
      <x:c r="F725" s="1" t="str">
        <x:v>Late delivery</x:v>
      </x:c>
      <x:c r="G725" s="6" t="n">
        <x:v>6</x:v>
      </x:c>
      <x:c r="H725" s="6" t="n">
        <x:v>4</x:v>
      </x:c>
      <x:c r="I725" s="6" t="n">
        <x:f>G725-H725</x:f>
        <x:v>2</x:v>
      </x:c>
      <x:c r="J725" s="6" t="n">
        <x:f>IF(OR(E725="CANCELED",E725="SUSPECTED_FRAUD",F725="Shipping canceled"),0,1)</x:f>
        <x:v>1</x:v>
      </x:c>
      <x:c r="K725" s="6" t="n">
        <x:f>IF(G725&gt;H725,1,0)</x:f>
        <x:v>1</x:v>
      </x:c>
      <x:c r="L725" s="6" t="n">
        <x:f>J725*K725</x:f>
        <x:v>1</x:v>
      </x:c>
    </x:row>
    <x:row r="726">
      <x:c r="A726" s="1" t="n">
        <x:v>6232</x:v>
      </x:c>
      <x:c r="B726" s="5" t="d">
        <x:v>2015-04-01T00:00:00.000Z</x:v>
      </x:c>
      <x:c r="C726" s="1" t="str">
        <x:v>Standard Class</x:v>
      </x:c>
      <x:c r="D726" s="1" t="str">
        <x:v>LATAM</x:v>
      </x:c>
      <x:c r="E726" s="1" t="str">
        <x:v>COMPLETE</x:v>
      </x:c>
      <x:c r="F726" s="1" t="str">
        <x:v>Advance shipping</x:v>
      </x:c>
      <x:c r="G726" s="6" t="n">
        <x:v>3</x:v>
      </x:c>
      <x:c r="H726" s="6" t="n">
        <x:v>4</x:v>
      </x:c>
      <x:c r="I726" s="6" t="n">
        <x:f>G726-H726</x:f>
        <x:v>-1</x:v>
      </x:c>
      <x:c r="J726" s="6" t="n">
        <x:f>IF(OR(E726="CANCELED",E726="SUSPECTED_FRAUD",F726="Shipping canceled"),0,1)</x:f>
        <x:v>1</x:v>
      </x:c>
      <x:c r="K726" s="6" t="n">
        <x:f>IF(G726&gt;H726,1,0)</x:f>
        <x:v>0</x:v>
      </x:c>
      <x:c r="L726" s="6" t="n">
        <x:f>J726*K726</x:f>
        <x:v>0</x:v>
      </x:c>
    </x:row>
    <x:row r="727">
      <x:c r="A727" s="1" t="n">
        <x:v>6242</x:v>
      </x:c>
      <x:c r="B727" s="5" t="d">
        <x:v>2015-04-02T00:00:00.000Z</x:v>
      </x:c>
      <x:c r="C727" s="1" t="str">
        <x:v>Standard Class</x:v>
      </x:c>
      <x:c r="D727" s="1" t="str">
        <x:v>LATAM</x:v>
      </x:c>
      <x:c r="E727" s="1" t="str">
        <x:v>COMPLETE</x:v>
      </x:c>
      <x:c r="F727" s="1" t="str">
        <x:v>Advance shipping</x:v>
      </x:c>
      <x:c r="G727" s="6" t="n">
        <x:v>3</x:v>
      </x:c>
      <x:c r="H727" s="6" t="n">
        <x:v>4</x:v>
      </x:c>
      <x:c r="I727" s="6" t="n">
        <x:f>G727-H727</x:f>
        <x:v>-1</x:v>
      </x:c>
      <x:c r="J727" s="6" t="n">
        <x:f>IF(OR(E727="CANCELED",E727="SUSPECTED_FRAUD",F727="Shipping canceled"),0,1)</x:f>
        <x:v>1</x:v>
      </x:c>
      <x:c r="K727" s="6" t="n">
        <x:f>IF(G727&gt;H727,1,0)</x:f>
        <x:v>0</x:v>
      </x:c>
      <x:c r="L727" s="6" t="n">
        <x:f>J727*K727</x:f>
        <x:v>0</x:v>
      </x:c>
    </x:row>
    <x:row r="728">
      <x:c r="A728" s="1" t="n">
        <x:v>6245</x:v>
      </x:c>
      <x:c r="B728" s="5" t="d">
        <x:v>2015-04-02T00:00:00.000Z</x:v>
      </x:c>
      <x:c r="C728" s="1" t="str">
        <x:v>Standard Class</x:v>
      </x:c>
      <x:c r="D728" s="1" t="str">
        <x:v>LATAM</x:v>
      </x:c>
      <x:c r="E728" s="1" t="str">
        <x:v>PENDING</x:v>
      </x:c>
      <x:c r="F728" s="1" t="str">
        <x:v>Late delivery</x:v>
      </x:c>
      <x:c r="G728" s="6" t="n">
        <x:v>6</x:v>
      </x:c>
      <x:c r="H728" s="6" t="n">
        <x:v>4</x:v>
      </x:c>
      <x:c r="I728" s="6" t="n">
        <x:f>G728-H728</x:f>
        <x:v>2</x:v>
      </x:c>
      <x:c r="J728" s="6" t="n">
        <x:f>IF(OR(E728="CANCELED",E728="SUSPECTED_FRAUD",F728="Shipping canceled"),0,1)</x:f>
        <x:v>1</x:v>
      </x:c>
      <x:c r="K728" s="6" t="n">
        <x:f>IF(G728&gt;H728,1,0)</x:f>
        <x:v>1</x:v>
      </x:c>
      <x:c r="L728" s="6" t="n">
        <x:f>J728*K728</x:f>
        <x:v>1</x:v>
      </x:c>
    </x:row>
    <x:row r="729">
      <x:c r="A729" s="1" t="n">
        <x:v>6279</x:v>
      </x:c>
      <x:c r="B729" s="5" t="d">
        <x:v>2015-04-02T00:00:00.000Z</x:v>
      </x:c>
      <x:c r="C729" s="1" t="str">
        <x:v>Standard Class</x:v>
      </x:c>
      <x:c r="D729" s="1" t="str">
        <x:v>LATAM</x:v>
      </x:c>
      <x:c r="E729" s="1" t="str">
        <x:v>COMPLETE</x:v>
      </x:c>
      <x:c r="F729" s="1" t="str">
        <x:v>Late delivery</x:v>
      </x:c>
      <x:c r="G729" s="6" t="n">
        <x:v>5</x:v>
      </x:c>
      <x:c r="H729" s="6" t="n">
        <x:v>4</x:v>
      </x:c>
      <x:c r="I729" s="6" t="n">
        <x:f>G729-H729</x:f>
        <x:v>1</x:v>
      </x:c>
      <x:c r="J729" s="6" t="n">
        <x:f>IF(OR(E729="CANCELED",E729="SUSPECTED_FRAUD",F729="Shipping canceled"),0,1)</x:f>
        <x:v>1</x:v>
      </x:c>
      <x:c r="K729" s="6" t="n">
        <x:f>IF(G729&gt;H729,1,0)</x:f>
        <x:v>1</x:v>
      </x:c>
      <x:c r="L729" s="6" t="n">
        <x:f>J729*K729</x:f>
        <x:v>1</x:v>
      </x:c>
    </x:row>
    <x:row r="730">
      <x:c r="A730" s="1" t="n">
        <x:v>6287</x:v>
      </x:c>
      <x:c r="B730" s="5" t="d">
        <x:v>2015-04-02T00:00:00.000Z</x:v>
      </x:c>
      <x:c r="C730" s="1" t="str">
        <x:v>Second Class</x:v>
      </x:c>
      <x:c r="D730" s="1" t="str">
        <x:v>LATAM</x:v>
      </x:c>
      <x:c r="E730" s="1" t="str">
        <x:v>COMPLETE</x:v>
      </x:c>
      <x:c r="F730" s="1" t="str">
        <x:v>Late delivery</x:v>
      </x:c>
      <x:c r="G730" s="6" t="n">
        <x:v>3</x:v>
      </x:c>
      <x:c r="H730" s="6" t="n">
        <x:v>2</x:v>
      </x:c>
      <x:c r="I730" s="6" t="n">
        <x:f>G730-H730</x:f>
        <x:v>1</x:v>
      </x:c>
      <x:c r="J730" s="6" t="n">
        <x:f>IF(OR(E730="CANCELED",E730="SUSPECTED_FRAUD",F730="Shipping canceled"),0,1)</x:f>
        <x:v>1</x:v>
      </x:c>
      <x:c r="K730" s="6" t="n">
        <x:f>IF(G730&gt;H730,1,0)</x:f>
        <x:v>1</x:v>
      </x:c>
      <x:c r="L730" s="6" t="n">
        <x:f>J730*K730</x:f>
        <x:v>1</x:v>
      </x:c>
    </x:row>
    <x:row r="731">
      <x:c r="A731" s="1" t="n">
        <x:v>6299</x:v>
      </x:c>
      <x:c r="B731" s="5" t="d">
        <x:v>2015-04-02T00:00:00.000Z</x:v>
      </x:c>
      <x:c r="C731" s="1" t="str">
        <x:v>Second Class</x:v>
      </x:c>
      <x:c r="D731" s="1" t="str">
        <x:v>LATAM</x:v>
      </x:c>
      <x:c r="E731" s="1" t="str">
        <x:v>CANCELED</x:v>
      </x:c>
      <x:c r="F731" s="1" t="str">
        <x:v>Shipping canceled</x:v>
      </x:c>
      <x:c r="G731" s="6" t="n">
        <x:v>5</x:v>
      </x:c>
      <x:c r="H731" s="6" t="n">
        <x:v>2</x:v>
      </x:c>
      <x:c r="I731" s="6" t="n">
        <x:f>G731-H731</x:f>
        <x:v>3</x:v>
      </x:c>
      <x:c r="J731" s="6" t="n">
        <x:f>IF(OR(E731="CANCELED",E731="SUSPECTED_FRAUD",F731="Shipping canceled"),0,1)</x:f>
        <x:v>0</x:v>
      </x:c>
      <x:c r="K731" s="6" t="n">
        <x:f>IF(G731&gt;H731,1,0)</x:f>
        <x:v>1</x:v>
      </x:c>
      <x:c r="L731" s="6" t="n">
        <x:f>J731*K731</x:f>
        <x:v>0</x:v>
      </x:c>
    </x:row>
    <x:row r="732">
      <x:c r="A732" s="1" t="n">
        <x:v>6308</x:v>
      </x:c>
      <x:c r="B732" s="5" t="d">
        <x:v>2015-04-03T00:00:00.000Z</x:v>
      </x:c>
      <x:c r="C732" s="1" t="str">
        <x:v>Second Class</x:v>
      </x:c>
      <x:c r="D732" s="1" t="str">
        <x:v>LATAM</x:v>
      </x:c>
      <x:c r="E732" s="1" t="str">
        <x:v>COMPLETE</x:v>
      </x:c>
      <x:c r="F732" s="1" t="str">
        <x:v>Late delivery</x:v>
      </x:c>
      <x:c r="G732" s="6" t="n">
        <x:v>4</x:v>
      </x:c>
      <x:c r="H732" s="6" t="n">
        <x:v>2</x:v>
      </x:c>
      <x:c r="I732" s="6" t="n">
        <x:f>G732-H732</x:f>
        <x:v>2</x:v>
      </x:c>
      <x:c r="J732" s="6" t="n">
        <x:f>IF(OR(E732="CANCELED",E732="SUSPECTED_FRAUD",F732="Shipping canceled"),0,1)</x:f>
        <x:v>1</x:v>
      </x:c>
      <x:c r="K732" s="6" t="n">
        <x:f>IF(G732&gt;H732,1,0)</x:f>
        <x:v>1</x:v>
      </x:c>
      <x:c r="L732" s="6" t="n">
        <x:f>J732*K732</x:f>
        <x:v>1</x:v>
      </x:c>
    </x:row>
    <x:row r="733">
      <x:c r="A733" s="1" t="n">
        <x:v>6318</x:v>
      </x:c>
      <x:c r="B733" s="5" t="d">
        <x:v>2015-04-03T00:00:00.000Z</x:v>
      </x:c>
      <x:c r="C733" s="1" t="str">
        <x:v>Standard Class</x:v>
      </x:c>
      <x:c r="D733" s="1" t="str">
        <x:v>LATAM</x:v>
      </x:c>
      <x:c r="E733" s="1" t="str">
        <x:v>COMPLETE</x:v>
      </x:c>
      <x:c r="F733" s="1" t="str">
        <x:v>Shipping on time</x:v>
      </x:c>
      <x:c r="G733" s="6" t="n">
        <x:v>4</x:v>
      </x:c>
      <x:c r="H733" s="6" t="n">
        <x:v>4</x:v>
      </x:c>
      <x:c r="I733" s="6" t="n">
        <x:f>G733-H733</x:f>
        <x:v>0</x:v>
      </x:c>
      <x:c r="J733" s="6" t="n">
        <x:f>IF(OR(E733="CANCELED",E733="SUSPECTED_FRAUD",F733="Shipping canceled"),0,1)</x:f>
        <x:v>1</x:v>
      </x:c>
      <x:c r="K733" s="6" t="n">
        <x:f>IF(G733&gt;H733,1,0)</x:f>
        <x:v>0</x:v>
      </x:c>
      <x:c r="L733" s="6" t="n">
        <x:f>J733*K733</x:f>
        <x:v>0</x:v>
      </x:c>
    </x:row>
    <x:row r="734">
      <x:c r="A734" s="1" t="n">
        <x:v>6326</x:v>
      </x:c>
      <x:c r="B734" s="5" t="d">
        <x:v>2015-04-03T00:00:00.000Z</x:v>
      </x:c>
      <x:c r="C734" s="1" t="str">
        <x:v>Second Class</x:v>
      </x:c>
      <x:c r="D734" s="1" t="str">
        <x:v>LATAM</x:v>
      </x:c>
      <x:c r="E734" s="1" t="str">
        <x:v>PENDING_PAYMENT</x:v>
      </x:c>
      <x:c r="F734" s="1" t="str">
        <x:v>Shipping on time</x:v>
      </x:c>
      <x:c r="G734" s="6" t="n">
        <x:v>2</x:v>
      </x:c>
      <x:c r="H734" s="6" t="n">
        <x:v>2</x:v>
      </x:c>
      <x:c r="I734" s="6" t="n">
        <x:f>G734-H734</x:f>
        <x:v>0</x:v>
      </x:c>
      <x:c r="J734" s="6" t="n">
        <x:f>IF(OR(E734="CANCELED",E734="SUSPECTED_FRAUD",F734="Shipping canceled"),0,1)</x:f>
        <x:v>1</x:v>
      </x:c>
      <x:c r="K734" s="6" t="n">
        <x:f>IF(G734&gt;H734,1,0)</x:f>
        <x:v>0</x:v>
      </x:c>
      <x:c r="L734" s="6" t="n">
        <x:f>J734*K734</x:f>
        <x:v>0</x:v>
      </x:c>
    </x:row>
    <x:row r="735">
      <x:c r="A735" s="1" t="n">
        <x:v>6327</x:v>
      </x:c>
      <x:c r="B735" s="5" t="d">
        <x:v>2015-04-03T00:00:00.000Z</x:v>
      </x:c>
      <x:c r="C735" s="1" t="str">
        <x:v>Standard Class</x:v>
      </x:c>
      <x:c r="D735" s="1" t="str">
        <x:v>LATAM</x:v>
      </x:c>
      <x:c r="E735" s="1" t="str">
        <x:v>CLOSED</x:v>
      </x:c>
      <x:c r="F735" s="1" t="str">
        <x:v>Advance shipping</x:v>
      </x:c>
      <x:c r="G735" s="6" t="n">
        <x:v>3</x:v>
      </x:c>
      <x:c r="H735" s="6" t="n">
        <x:v>4</x:v>
      </x:c>
      <x:c r="I735" s="6" t="n">
        <x:f>G735-H735</x:f>
        <x:v>-1</x:v>
      </x:c>
      <x:c r="J735" s="6" t="n">
        <x:f>IF(OR(E735="CANCELED",E735="SUSPECTED_FRAUD",F735="Shipping canceled"),0,1)</x:f>
        <x:v>1</x:v>
      </x:c>
      <x:c r="K735" s="6" t="n">
        <x:f>IF(G735&gt;H735,1,0)</x:f>
        <x:v>0</x:v>
      </x:c>
      <x:c r="L735" s="6" t="n">
        <x:f>J735*K735</x:f>
        <x:v>0</x:v>
      </x:c>
    </x:row>
    <x:row r="736">
      <x:c r="A736" s="1" t="n">
        <x:v>6330</x:v>
      </x:c>
      <x:c r="B736" s="5" t="d">
        <x:v>2015-04-03T00:00:00.000Z</x:v>
      </x:c>
      <x:c r="C736" s="1" t="str">
        <x:v>Standard Class</x:v>
      </x:c>
      <x:c r="D736" s="1" t="str">
        <x:v>LATAM</x:v>
      </x:c>
      <x:c r="E736" s="1" t="str">
        <x:v>PROCESSING</x:v>
      </x:c>
      <x:c r="F736" s="1" t="str">
        <x:v>Late delivery</x:v>
      </x:c>
      <x:c r="G736" s="6" t="n">
        <x:v>6</x:v>
      </x:c>
      <x:c r="H736" s="6" t="n">
        <x:v>4</x:v>
      </x:c>
      <x:c r="I736" s="6" t="n">
        <x:f>G736-H736</x:f>
        <x:v>2</x:v>
      </x:c>
      <x:c r="J736" s="6" t="n">
        <x:f>IF(OR(E736="CANCELED",E736="SUSPECTED_FRAUD",F736="Shipping canceled"),0,1)</x:f>
        <x:v>1</x:v>
      </x:c>
      <x:c r="K736" s="6" t="n">
        <x:f>IF(G736&gt;H736,1,0)</x:f>
        <x:v>1</x:v>
      </x:c>
      <x:c r="L736" s="6" t="n">
        <x:f>J736*K736</x:f>
        <x:v>1</x:v>
      </x:c>
    </x:row>
    <x:row r="737">
      <x:c r="A737" s="1" t="n">
        <x:v>6332</x:v>
      </x:c>
      <x:c r="B737" s="5" t="d">
        <x:v>2015-04-03T00:00:00.000Z</x:v>
      </x:c>
      <x:c r="C737" s="1" t="str">
        <x:v>Standard Class</x:v>
      </x:c>
      <x:c r="D737" s="1" t="str">
        <x:v>LATAM</x:v>
      </x:c>
      <x:c r="E737" s="1" t="str">
        <x:v>COMPLETE</x:v>
      </x:c>
      <x:c r="F737" s="1" t="str">
        <x:v>Advance shipping</x:v>
      </x:c>
      <x:c r="G737" s="6" t="n">
        <x:v>3</x:v>
      </x:c>
      <x:c r="H737" s="6" t="n">
        <x:v>4</x:v>
      </x:c>
      <x:c r="I737" s="6" t="n">
        <x:f>G737-H737</x:f>
        <x:v>-1</x:v>
      </x:c>
      <x:c r="J737" s="6" t="n">
        <x:f>IF(OR(E737="CANCELED",E737="SUSPECTED_FRAUD",F737="Shipping canceled"),0,1)</x:f>
        <x:v>1</x:v>
      </x:c>
      <x:c r="K737" s="6" t="n">
        <x:f>IF(G737&gt;H737,1,0)</x:f>
        <x:v>0</x:v>
      </x:c>
      <x:c r="L737" s="6" t="n">
        <x:f>J737*K737</x:f>
        <x:v>0</x:v>
      </x:c>
    </x:row>
    <x:row r="738">
      <x:c r="A738" s="1" t="n">
        <x:v>6335</x:v>
      </x:c>
      <x:c r="B738" s="5" t="d">
        <x:v>2015-04-03T00:00:00.000Z</x:v>
      </x:c>
      <x:c r="C738" s="1" t="str">
        <x:v>Standard Class</x:v>
      </x:c>
      <x:c r="D738" s="1" t="str">
        <x:v>LATAM</x:v>
      </x:c>
      <x:c r="E738" s="1" t="str">
        <x:v>PENDING</x:v>
      </x:c>
      <x:c r="F738" s="1" t="str">
        <x:v>Late delivery</x:v>
      </x:c>
      <x:c r="G738" s="6" t="n">
        <x:v>6</x:v>
      </x:c>
      <x:c r="H738" s="6" t="n">
        <x:v>4</x:v>
      </x:c>
      <x:c r="I738" s="6" t="n">
        <x:f>G738-H738</x:f>
        <x:v>2</x:v>
      </x:c>
      <x:c r="J738" s="6" t="n">
        <x:f>IF(OR(E738="CANCELED",E738="SUSPECTED_FRAUD",F738="Shipping canceled"),0,1)</x:f>
        <x:v>1</x:v>
      </x:c>
      <x:c r="K738" s="6" t="n">
        <x:f>IF(G738&gt;H738,1,0)</x:f>
        <x:v>1</x:v>
      </x:c>
      <x:c r="L738" s="6" t="n">
        <x:f>J738*K738</x:f>
        <x:v>1</x:v>
      </x:c>
    </x:row>
    <x:row r="739">
      <x:c r="A739" s="1" t="n">
        <x:v>6343</x:v>
      </x:c>
      <x:c r="B739" s="5" t="d">
        <x:v>2015-04-03T00:00:00.000Z</x:v>
      </x:c>
      <x:c r="C739" s="1" t="str">
        <x:v>Standard Class</x:v>
      </x:c>
      <x:c r="D739" s="1" t="str">
        <x:v>LATAM</x:v>
      </x:c>
      <x:c r="E739" s="1" t="str">
        <x:v>PENDING</x:v>
      </x:c>
      <x:c r="F739" s="1" t="str">
        <x:v>Shipping on time</x:v>
      </x:c>
      <x:c r="G739" s="6" t="n">
        <x:v>4</x:v>
      </x:c>
      <x:c r="H739" s="6" t="n">
        <x:v>4</x:v>
      </x:c>
      <x:c r="I739" s="6" t="n">
        <x:f>G739-H739</x:f>
        <x:v>0</x:v>
      </x:c>
      <x:c r="J739" s="6" t="n">
        <x:f>IF(OR(E739="CANCELED",E739="SUSPECTED_FRAUD",F739="Shipping canceled"),0,1)</x:f>
        <x:v>1</x:v>
      </x:c>
      <x:c r="K739" s="6" t="n">
        <x:f>IF(G739&gt;H739,1,0)</x:f>
        <x:v>0</x:v>
      </x:c>
      <x:c r="L739" s="6" t="n">
        <x:f>J739*K739</x:f>
        <x:v>0</x:v>
      </x:c>
    </x:row>
    <x:row r="740">
      <x:c r="A740" s="1" t="n">
        <x:v>6356</x:v>
      </x:c>
      <x:c r="B740" s="5" t="d">
        <x:v>2015-04-03T00:00:00.000Z</x:v>
      </x:c>
      <x:c r="C740" s="1" t="str">
        <x:v>Standard Class</x:v>
      </x:c>
      <x:c r="D740" s="1" t="str">
        <x:v>LATAM</x:v>
      </x:c>
      <x:c r="E740" s="1" t="str">
        <x:v>ON_HOLD</x:v>
      </x:c>
      <x:c r="F740" s="1" t="str">
        <x:v>Advance shipping</x:v>
      </x:c>
      <x:c r="G740" s="6" t="n">
        <x:v>2</x:v>
      </x:c>
      <x:c r="H740" s="6" t="n">
        <x:v>4</x:v>
      </x:c>
      <x:c r="I740" s="6" t="n">
        <x:f>G740-H740</x:f>
        <x:v>-2</x:v>
      </x:c>
      <x:c r="J740" s="6" t="n">
        <x:f>IF(OR(E740="CANCELED",E740="SUSPECTED_FRAUD",F740="Shipping canceled"),0,1)</x:f>
        <x:v>1</x:v>
      </x:c>
      <x:c r="K740" s="6" t="n">
        <x:f>IF(G740&gt;H740,1,0)</x:f>
        <x:v>0</x:v>
      </x:c>
      <x:c r="L740" s="6" t="n">
        <x:f>J740*K740</x:f>
        <x:v>0</x:v>
      </x:c>
    </x:row>
    <x:row r="741">
      <x:c r="A741" s="1" t="n">
        <x:v>6358</x:v>
      </x:c>
      <x:c r="B741" s="5" t="d">
        <x:v>2015-04-03T00:00:00.000Z</x:v>
      </x:c>
      <x:c r="C741" s="1" t="str">
        <x:v>Standard Class</x:v>
      </x:c>
      <x:c r="D741" s="1" t="str">
        <x:v>LATAM</x:v>
      </x:c>
      <x:c r="E741" s="1" t="str">
        <x:v>PENDING</x:v>
      </x:c>
      <x:c r="F741" s="1" t="str">
        <x:v>Shipping on time</x:v>
      </x:c>
      <x:c r="G741" s="6" t="n">
        <x:v>4</x:v>
      </x:c>
      <x:c r="H741" s="6" t="n">
        <x:v>4</x:v>
      </x:c>
      <x:c r="I741" s="6" t="n">
        <x:f>G741-H741</x:f>
        <x:v>0</x:v>
      </x:c>
      <x:c r="J741" s="6" t="n">
        <x:f>IF(OR(E741="CANCELED",E741="SUSPECTED_FRAUD",F741="Shipping canceled"),0,1)</x:f>
        <x:v>1</x:v>
      </x:c>
      <x:c r="K741" s="6" t="n">
        <x:f>IF(G741&gt;H741,1,0)</x:f>
        <x:v>0</x:v>
      </x:c>
      <x:c r="L741" s="6" t="n">
        <x:f>J741*K741</x:f>
        <x:v>0</x:v>
      </x:c>
    </x:row>
    <x:row r="742">
      <x:c r="A742" s="1" t="n">
        <x:v>6364</x:v>
      </x:c>
      <x:c r="B742" s="5" t="d">
        <x:v>2015-04-03T00:00:00.000Z</x:v>
      </x:c>
      <x:c r="C742" s="1" t="str">
        <x:v>First Class</x:v>
      </x:c>
      <x:c r="D742" s="1" t="str">
        <x:v>LATAM</x:v>
      </x:c>
      <x:c r="E742" s="1" t="str">
        <x:v>CLOSED</x:v>
      </x:c>
      <x:c r="F742" s="1" t="str">
        <x:v>Late delivery</x:v>
      </x:c>
      <x:c r="G742" s="6" t="n">
        <x:v>2</x:v>
      </x:c>
      <x:c r="H742" s="6" t="n">
        <x:v>1</x:v>
      </x:c>
      <x:c r="I742" s="6" t="n">
        <x:f>G742-H742</x:f>
        <x:v>1</x:v>
      </x:c>
      <x:c r="J742" s="6" t="n">
        <x:f>IF(OR(E742="CANCELED",E742="SUSPECTED_FRAUD",F742="Shipping canceled"),0,1)</x:f>
        <x:v>1</x:v>
      </x:c>
      <x:c r="K742" s="6" t="n">
        <x:f>IF(G742&gt;H742,1,0)</x:f>
        <x:v>1</x:v>
      </x:c>
      <x:c r="L742" s="6" t="n">
        <x:f>J742*K742</x:f>
        <x:v>1</x:v>
      </x:c>
    </x:row>
    <x:row r="743">
      <x:c r="A743" s="1" t="n">
        <x:v>6372</x:v>
      </x:c>
      <x:c r="B743" s="5" t="d">
        <x:v>2015-04-04T00:00:00.000Z</x:v>
      </x:c>
      <x:c r="C743" s="1" t="str">
        <x:v>Standard Class</x:v>
      </x:c>
      <x:c r="D743" s="1" t="str">
        <x:v>LATAM</x:v>
      </x:c>
      <x:c r="E743" s="1" t="str">
        <x:v>COMPLETE</x:v>
      </x:c>
      <x:c r="F743" s="1" t="str">
        <x:v>Advance shipping</x:v>
      </x:c>
      <x:c r="G743" s="6" t="n">
        <x:v>3</x:v>
      </x:c>
      <x:c r="H743" s="6" t="n">
        <x:v>4</x:v>
      </x:c>
      <x:c r="I743" s="6" t="n">
        <x:f>G743-H743</x:f>
        <x:v>-1</x:v>
      </x:c>
      <x:c r="J743" s="6" t="n">
        <x:f>IF(OR(E743="CANCELED",E743="SUSPECTED_FRAUD",F743="Shipping canceled"),0,1)</x:f>
        <x:v>1</x:v>
      </x:c>
      <x:c r="K743" s="6" t="n">
        <x:f>IF(G743&gt;H743,1,0)</x:f>
        <x:v>0</x:v>
      </x:c>
      <x:c r="L743" s="6" t="n">
        <x:f>J743*K743</x:f>
        <x:v>0</x:v>
      </x:c>
    </x:row>
    <x:row r="744">
      <x:c r="A744" s="1" t="n">
        <x:v>6377</x:v>
      </x:c>
      <x:c r="B744" s="5" t="d">
        <x:v>2015-04-04T00:00:00.000Z</x:v>
      </x:c>
      <x:c r="C744" s="1" t="str">
        <x:v>First Class</x:v>
      </x:c>
      <x:c r="D744" s="1" t="str">
        <x:v>LATAM</x:v>
      </x:c>
      <x:c r="E744" s="1" t="str">
        <x:v>CLOSED</x:v>
      </x:c>
      <x:c r="F744" s="1" t="str">
        <x:v>Late delivery</x:v>
      </x:c>
      <x:c r="G744" s="6" t="n">
        <x:v>2</x:v>
      </x:c>
      <x:c r="H744" s="6" t="n">
        <x:v>1</x:v>
      </x:c>
      <x:c r="I744" s="6" t="n">
        <x:f>G744-H744</x:f>
        <x:v>1</x:v>
      </x:c>
      <x:c r="J744" s="6" t="n">
        <x:f>IF(OR(E744="CANCELED",E744="SUSPECTED_FRAUD",F744="Shipping canceled"),0,1)</x:f>
        <x:v>1</x:v>
      </x:c>
      <x:c r="K744" s="6" t="n">
        <x:f>IF(G744&gt;H744,1,0)</x:f>
        <x:v>1</x:v>
      </x:c>
      <x:c r="L744" s="6" t="n">
        <x:f>J744*K744</x:f>
        <x:v>1</x:v>
      </x:c>
    </x:row>
    <x:row r="745">
      <x:c r="A745" s="1" t="n">
        <x:v>6401</x:v>
      </x:c>
      <x:c r="B745" s="5" t="d">
        <x:v>2015-04-04T00:00:00.000Z</x:v>
      </x:c>
      <x:c r="C745" s="1" t="str">
        <x:v>Standard Class</x:v>
      </x:c>
      <x:c r="D745" s="1" t="str">
        <x:v>LATAM</x:v>
      </x:c>
      <x:c r="E745" s="1" t="str">
        <x:v>PENDING_PAYMENT</x:v>
      </x:c>
      <x:c r="F745" s="1" t="str">
        <x:v>Advance shipping</x:v>
      </x:c>
      <x:c r="G745" s="6" t="n">
        <x:v>2</x:v>
      </x:c>
      <x:c r="H745" s="6" t="n">
        <x:v>4</x:v>
      </x:c>
      <x:c r="I745" s="6" t="n">
        <x:f>G745-H745</x:f>
        <x:v>-2</x:v>
      </x:c>
      <x:c r="J745" s="6" t="n">
        <x:f>IF(OR(E745="CANCELED",E745="SUSPECTED_FRAUD",F745="Shipping canceled"),0,1)</x:f>
        <x:v>1</x:v>
      </x:c>
      <x:c r="K745" s="6" t="n">
        <x:f>IF(G745&gt;H745,1,0)</x:f>
        <x:v>0</x:v>
      </x:c>
      <x:c r="L745" s="6" t="n">
        <x:f>J745*K745</x:f>
        <x:v>0</x:v>
      </x:c>
    </x:row>
    <x:row r="746">
      <x:c r="A746" s="1" t="n">
        <x:v>6407</x:v>
      </x:c>
      <x:c r="B746" s="5" t="d">
        <x:v>2015-04-04T00:00:00.000Z</x:v>
      </x:c>
      <x:c r="C746" s="1" t="str">
        <x:v>Standard Class</x:v>
      </x:c>
      <x:c r="D746" s="1" t="str">
        <x:v>LATAM</x:v>
      </x:c>
      <x:c r="E746" s="1" t="str">
        <x:v>CLOSED</x:v>
      </x:c>
      <x:c r="F746" s="1" t="str">
        <x:v>Advance shipping</x:v>
      </x:c>
      <x:c r="G746" s="6" t="n">
        <x:v>3</x:v>
      </x:c>
      <x:c r="H746" s="6" t="n">
        <x:v>4</x:v>
      </x:c>
      <x:c r="I746" s="6" t="n">
        <x:f>G746-H746</x:f>
        <x:v>-1</x:v>
      </x:c>
      <x:c r="J746" s="6" t="n">
        <x:f>IF(OR(E746="CANCELED",E746="SUSPECTED_FRAUD",F746="Shipping canceled"),0,1)</x:f>
        <x:v>1</x:v>
      </x:c>
      <x:c r="K746" s="6" t="n">
        <x:f>IF(G746&gt;H746,1,0)</x:f>
        <x:v>0</x:v>
      </x:c>
      <x:c r="L746" s="6" t="n">
        <x:f>J746*K746</x:f>
        <x:v>0</x:v>
      </x:c>
    </x:row>
    <x:row r="747">
      <x:c r="A747" s="1" t="n">
        <x:v>6414</x:v>
      </x:c>
      <x:c r="B747" s="5" t="d">
        <x:v>2015-04-04T00:00:00.000Z</x:v>
      </x:c>
      <x:c r="C747" s="1" t="str">
        <x:v>Standard Class</x:v>
      </x:c>
      <x:c r="D747" s="1" t="str">
        <x:v>LATAM</x:v>
      </x:c>
      <x:c r="E747" s="1" t="str">
        <x:v>COMPLETE</x:v>
      </x:c>
      <x:c r="F747" s="1" t="str">
        <x:v>Late delivery</x:v>
      </x:c>
      <x:c r="G747" s="6" t="n">
        <x:v>5</x:v>
      </x:c>
      <x:c r="H747" s="6" t="n">
        <x:v>4</x:v>
      </x:c>
      <x:c r="I747" s="6" t="n">
        <x:f>G747-H747</x:f>
        <x:v>1</x:v>
      </x:c>
      <x:c r="J747" s="6" t="n">
        <x:f>IF(OR(E747="CANCELED",E747="SUSPECTED_FRAUD",F747="Shipping canceled"),0,1)</x:f>
        <x:v>1</x:v>
      </x:c>
      <x:c r="K747" s="6" t="n">
        <x:f>IF(G747&gt;H747,1,0)</x:f>
        <x:v>1</x:v>
      </x:c>
      <x:c r="L747" s="6" t="n">
        <x:f>J747*K747</x:f>
        <x:v>1</x:v>
      </x:c>
    </x:row>
    <x:row r="748">
      <x:c r="A748" s="1" t="n">
        <x:v>6420</x:v>
      </x:c>
      <x:c r="B748" s="5" t="d">
        <x:v>2015-04-04T00:00:00.000Z</x:v>
      </x:c>
      <x:c r="C748" s="1" t="str">
        <x:v>Standard Class</x:v>
      </x:c>
      <x:c r="D748" s="1" t="str">
        <x:v>LATAM</x:v>
      </x:c>
      <x:c r="E748" s="1" t="str">
        <x:v>COMPLETE</x:v>
      </x:c>
      <x:c r="F748" s="1" t="str">
        <x:v>Late delivery</x:v>
      </x:c>
      <x:c r="G748" s="6" t="n">
        <x:v>6</x:v>
      </x:c>
      <x:c r="H748" s="6" t="n">
        <x:v>4</x:v>
      </x:c>
      <x:c r="I748" s="6" t="n">
        <x:f>G748-H748</x:f>
        <x:v>2</x:v>
      </x:c>
      <x:c r="J748" s="6" t="n">
        <x:f>IF(OR(E748="CANCELED",E748="SUSPECTED_FRAUD",F748="Shipping canceled"),0,1)</x:f>
        <x:v>1</x:v>
      </x:c>
      <x:c r="K748" s="6" t="n">
        <x:f>IF(G748&gt;H748,1,0)</x:f>
        <x:v>1</x:v>
      </x:c>
      <x:c r="L748" s="6" t="n">
        <x:f>J748*K748</x:f>
        <x:v>1</x:v>
      </x:c>
    </x:row>
    <x:row r="749">
      <x:c r="A749" s="1" t="n">
        <x:v>6440</x:v>
      </x:c>
      <x:c r="B749" s="5" t="d">
        <x:v>2015-04-04T00:00:00.000Z</x:v>
      </x:c>
      <x:c r="C749" s="1" t="str">
        <x:v>Standard Class</x:v>
      </x:c>
      <x:c r="D749" s="1" t="str">
        <x:v>LATAM</x:v>
      </x:c>
      <x:c r="E749" s="1" t="str">
        <x:v>PENDING</x:v>
      </x:c>
      <x:c r="F749" s="1" t="str">
        <x:v>Late delivery</x:v>
      </x:c>
      <x:c r="G749" s="6" t="n">
        <x:v>6</x:v>
      </x:c>
      <x:c r="H749" s="6" t="n">
        <x:v>4</x:v>
      </x:c>
      <x:c r="I749" s="6" t="n">
        <x:f>G749-H749</x:f>
        <x:v>2</x:v>
      </x:c>
      <x:c r="J749" s="6" t="n">
        <x:f>IF(OR(E749="CANCELED",E749="SUSPECTED_FRAUD",F749="Shipping canceled"),0,1)</x:f>
        <x:v>1</x:v>
      </x:c>
      <x:c r="K749" s="6" t="n">
        <x:f>IF(G749&gt;H749,1,0)</x:f>
        <x:v>1</x:v>
      </x:c>
      <x:c r="L749" s="6" t="n">
        <x:f>J749*K749</x:f>
        <x:v>1</x:v>
      </x:c>
    </x:row>
    <x:row r="750">
      <x:c r="A750" s="1" t="n">
        <x:v>6447</x:v>
      </x:c>
      <x:c r="B750" s="5" t="d">
        <x:v>2015-04-05T00:00:00.000Z</x:v>
      </x:c>
      <x:c r="C750" s="1" t="str">
        <x:v>Second Class</x:v>
      </x:c>
      <x:c r="D750" s="1" t="str">
        <x:v>LATAM</x:v>
      </x:c>
      <x:c r="E750" s="1" t="str">
        <x:v>COMPLETE</x:v>
      </x:c>
      <x:c r="F750" s="1" t="str">
        <x:v>Late delivery</x:v>
      </x:c>
      <x:c r="G750" s="6" t="n">
        <x:v>3</x:v>
      </x:c>
      <x:c r="H750" s="6" t="n">
        <x:v>2</x:v>
      </x:c>
      <x:c r="I750" s="6" t="n">
        <x:f>G750-H750</x:f>
        <x:v>1</x:v>
      </x:c>
      <x:c r="J750" s="6" t="n">
        <x:f>IF(OR(E750="CANCELED",E750="SUSPECTED_FRAUD",F750="Shipping canceled"),0,1)</x:f>
        <x:v>1</x:v>
      </x:c>
      <x:c r="K750" s="6" t="n">
        <x:f>IF(G750&gt;H750,1,0)</x:f>
        <x:v>1</x:v>
      </x:c>
      <x:c r="L750" s="6" t="n">
        <x:f>J750*K750</x:f>
        <x:v>1</x:v>
      </x:c>
    </x:row>
    <x:row r="751">
      <x:c r="A751" s="1" t="n">
        <x:v>6448</x:v>
      </x:c>
      <x:c r="B751" s="5" t="d">
        <x:v>2015-04-05T00:00:00.000Z</x:v>
      </x:c>
      <x:c r="C751" s="1" t="str">
        <x:v>Standard Class</x:v>
      </x:c>
      <x:c r="D751" s="1" t="str">
        <x:v>LATAM</x:v>
      </x:c>
      <x:c r="E751" s="1" t="str">
        <x:v>PENDING</x:v>
      </x:c>
      <x:c r="F751" s="1" t="str">
        <x:v>Shipping on time</x:v>
      </x:c>
      <x:c r="G751" s="6" t="n">
        <x:v>4</x:v>
      </x:c>
      <x:c r="H751" s="6" t="n">
        <x:v>4</x:v>
      </x:c>
      <x:c r="I751" s="6" t="n">
        <x:f>G751-H751</x:f>
        <x:v>0</x:v>
      </x:c>
      <x:c r="J751" s="6" t="n">
        <x:f>IF(OR(E751="CANCELED",E751="SUSPECTED_FRAUD",F751="Shipping canceled"),0,1)</x:f>
        <x:v>1</x:v>
      </x:c>
      <x:c r="K751" s="6" t="n">
        <x:f>IF(G751&gt;H751,1,0)</x:f>
        <x:v>0</x:v>
      </x:c>
      <x:c r="L751" s="6" t="n">
        <x:f>J751*K751</x:f>
        <x:v>0</x:v>
      </x:c>
    </x:row>
    <x:row r="752">
      <x:c r="A752" s="1" t="n">
        <x:v>6460</x:v>
      </x:c>
      <x:c r="B752" s="5" t="d">
        <x:v>2015-04-05T00:00:00.000Z</x:v>
      </x:c>
      <x:c r="C752" s="1" t="str">
        <x:v>Second Class</x:v>
      </x:c>
      <x:c r="D752" s="1" t="str">
        <x:v>LATAM</x:v>
      </x:c>
      <x:c r="E752" s="1" t="str">
        <x:v>COMPLETE</x:v>
      </x:c>
      <x:c r="F752" s="1" t="str">
        <x:v>Late delivery</x:v>
      </x:c>
      <x:c r="G752" s="6" t="n">
        <x:v>6</x:v>
      </x:c>
      <x:c r="H752" s="6" t="n">
        <x:v>2</x:v>
      </x:c>
      <x:c r="I752" s="6" t="n">
        <x:f>G752-H752</x:f>
        <x:v>4</x:v>
      </x:c>
      <x:c r="J752" s="6" t="n">
        <x:f>IF(OR(E752="CANCELED",E752="SUSPECTED_FRAUD",F752="Shipping canceled"),0,1)</x:f>
        <x:v>1</x:v>
      </x:c>
      <x:c r="K752" s="6" t="n">
        <x:f>IF(G752&gt;H752,1,0)</x:f>
        <x:v>1</x:v>
      </x:c>
      <x:c r="L752" s="6" t="n">
        <x:f>J752*K752</x:f>
        <x:v>1</x:v>
      </x:c>
    </x:row>
    <x:row r="753">
      <x:c r="A753" s="1" t="n">
        <x:v>6465</x:v>
      </x:c>
      <x:c r="B753" s="5" t="d">
        <x:v>2015-04-05T00:00:00.000Z</x:v>
      </x:c>
      <x:c r="C753" s="1" t="str">
        <x:v>Standard Class</x:v>
      </x:c>
      <x:c r="D753" s="1" t="str">
        <x:v>LATAM</x:v>
      </x:c>
      <x:c r="E753" s="1" t="str">
        <x:v>PENDING</x:v>
      </x:c>
      <x:c r="F753" s="1" t="str">
        <x:v>Late delivery</x:v>
      </x:c>
      <x:c r="G753" s="6" t="n">
        <x:v>6</x:v>
      </x:c>
      <x:c r="H753" s="6" t="n">
        <x:v>4</x:v>
      </x:c>
      <x:c r="I753" s="6" t="n">
        <x:f>G753-H753</x:f>
        <x:v>2</x:v>
      </x:c>
      <x:c r="J753" s="6" t="n">
        <x:f>IF(OR(E753="CANCELED",E753="SUSPECTED_FRAUD",F753="Shipping canceled"),0,1)</x:f>
        <x:v>1</x:v>
      </x:c>
      <x:c r="K753" s="6" t="n">
        <x:f>IF(G753&gt;H753,1,0)</x:f>
        <x:v>1</x:v>
      </x:c>
      <x:c r="L753" s="6" t="n">
        <x:f>J753*K753</x:f>
        <x:v>1</x:v>
      </x:c>
    </x:row>
    <x:row r="754">
      <x:c r="A754" s="1" t="n">
        <x:v>6510</x:v>
      </x:c>
      <x:c r="B754" s="5" t="d">
        <x:v>2015-04-06T00:00:00.000Z</x:v>
      </x:c>
      <x:c r="C754" s="1" t="str">
        <x:v>Standard Class</x:v>
      </x:c>
      <x:c r="D754" s="1" t="str">
        <x:v>LATAM</x:v>
      </x:c>
      <x:c r="E754" s="1" t="str">
        <x:v>COMPLETE</x:v>
      </x:c>
      <x:c r="F754" s="1" t="str">
        <x:v>Late delivery</x:v>
      </x:c>
      <x:c r="G754" s="6" t="n">
        <x:v>6</x:v>
      </x:c>
      <x:c r="H754" s="6" t="n">
        <x:v>4</x:v>
      </x:c>
      <x:c r="I754" s="6" t="n">
        <x:f>G754-H754</x:f>
        <x:v>2</x:v>
      </x:c>
      <x:c r="J754" s="6" t="n">
        <x:f>IF(OR(E754="CANCELED",E754="SUSPECTED_FRAUD",F754="Shipping canceled"),0,1)</x:f>
        <x:v>1</x:v>
      </x:c>
      <x:c r="K754" s="6" t="n">
        <x:f>IF(G754&gt;H754,1,0)</x:f>
        <x:v>1</x:v>
      </x:c>
      <x:c r="L754" s="6" t="n">
        <x:f>J754*K754</x:f>
        <x:v>1</x:v>
      </x:c>
    </x:row>
    <x:row r="755">
      <x:c r="A755" s="1" t="n">
        <x:v>6522</x:v>
      </x:c>
      <x:c r="B755" s="5" t="d">
        <x:v>2015-04-06T00:00:00.000Z</x:v>
      </x:c>
      <x:c r="C755" s="1" t="str">
        <x:v>Standard Class</x:v>
      </x:c>
      <x:c r="D755" s="1" t="str">
        <x:v>LATAM</x:v>
      </x:c>
      <x:c r="E755" s="1" t="str">
        <x:v>SUSPECTED_FRAUD</x:v>
      </x:c>
      <x:c r="F755" s="1" t="str">
        <x:v>Shipping canceled</x:v>
      </x:c>
      <x:c r="G755" s="6" t="n">
        <x:v>3</x:v>
      </x:c>
      <x:c r="H755" s="6" t="n">
        <x:v>4</x:v>
      </x:c>
      <x:c r="I755" s="6" t="n">
        <x:f>G755-H755</x:f>
        <x:v>-1</x:v>
      </x:c>
      <x:c r="J755" s="6" t="n">
        <x:f>IF(OR(E755="CANCELED",E755="SUSPECTED_FRAUD",F755="Shipping canceled"),0,1)</x:f>
        <x:v>0</x:v>
      </x:c>
      <x:c r="K755" s="6" t="n">
        <x:f>IF(G755&gt;H755,1,0)</x:f>
        <x:v>0</x:v>
      </x:c>
      <x:c r="L755" s="6" t="n">
        <x:f>J755*K755</x:f>
        <x:v>0</x:v>
      </x:c>
    </x:row>
    <x:row r="756">
      <x:c r="A756" s="1" t="n">
        <x:v>6560</x:v>
      </x:c>
      <x:c r="B756" s="5" t="d">
        <x:v>2015-04-06T00:00:00.000Z</x:v>
      </x:c>
      <x:c r="C756" s="1" t="str">
        <x:v>Second Class</x:v>
      </x:c>
      <x:c r="D756" s="1" t="str">
        <x:v>LATAM</x:v>
      </x:c>
      <x:c r="E756" s="1" t="str">
        <x:v>CLOSED</x:v>
      </x:c>
      <x:c r="F756" s="1" t="str">
        <x:v>Late delivery</x:v>
      </x:c>
      <x:c r="G756" s="6" t="n">
        <x:v>6</x:v>
      </x:c>
      <x:c r="H756" s="6" t="n">
        <x:v>2</x:v>
      </x:c>
      <x:c r="I756" s="6" t="n">
        <x:f>G756-H756</x:f>
        <x:v>4</x:v>
      </x:c>
      <x:c r="J756" s="6" t="n">
        <x:f>IF(OR(E756="CANCELED",E756="SUSPECTED_FRAUD",F756="Shipping canceled"),0,1)</x:f>
        <x:v>1</x:v>
      </x:c>
      <x:c r="K756" s="6" t="n">
        <x:f>IF(G756&gt;H756,1,0)</x:f>
        <x:v>1</x:v>
      </x:c>
      <x:c r="L756" s="6" t="n">
        <x:f>J756*K756</x:f>
        <x:v>1</x:v>
      </x:c>
    </x:row>
    <x:row r="757">
      <x:c r="A757" s="1" t="n">
        <x:v>6572</x:v>
      </x:c>
      <x:c r="B757" s="5" t="d">
        <x:v>2015-04-06T00:00:00.000Z</x:v>
      </x:c>
      <x:c r="C757" s="1" t="str">
        <x:v>First Class</x:v>
      </x:c>
      <x:c r="D757" s="1" t="str">
        <x:v>LATAM</x:v>
      </x:c>
      <x:c r="E757" s="1" t="str">
        <x:v>CLOSED</x:v>
      </x:c>
      <x:c r="F757" s="1" t="str">
        <x:v>Late delivery</x:v>
      </x:c>
      <x:c r="G757" s="6" t="n">
        <x:v>2</x:v>
      </x:c>
      <x:c r="H757" s="6" t="n">
        <x:v>1</x:v>
      </x:c>
      <x:c r="I757" s="6" t="n">
        <x:f>G757-H757</x:f>
        <x:v>1</x:v>
      </x:c>
      <x:c r="J757" s="6" t="n">
        <x:f>IF(OR(E757="CANCELED",E757="SUSPECTED_FRAUD",F757="Shipping canceled"),0,1)</x:f>
        <x:v>1</x:v>
      </x:c>
      <x:c r="K757" s="6" t="n">
        <x:f>IF(G757&gt;H757,1,0)</x:f>
        <x:v>1</x:v>
      </x:c>
      <x:c r="L757" s="6" t="n">
        <x:f>J757*K757</x:f>
        <x:v>1</x:v>
      </x:c>
    </x:row>
    <x:row r="758">
      <x:c r="A758" s="1" t="n">
        <x:v>6588</x:v>
      </x:c>
      <x:c r="B758" s="5" t="d">
        <x:v>2015-04-07T00:00:00.000Z</x:v>
      </x:c>
      <x:c r="C758" s="1" t="str">
        <x:v>Standard Class</x:v>
      </x:c>
      <x:c r="D758" s="1" t="str">
        <x:v>LATAM</x:v>
      </x:c>
      <x:c r="E758" s="1" t="str">
        <x:v>PENDING</x:v>
      </x:c>
      <x:c r="F758" s="1" t="str">
        <x:v>Shipping on time</x:v>
      </x:c>
      <x:c r="G758" s="6" t="n">
        <x:v>4</x:v>
      </x:c>
      <x:c r="H758" s="6" t="n">
        <x:v>4</x:v>
      </x:c>
      <x:c r="I758" s="6" t="n">
        <x:f>G758-H758</x:f>
        <x:v>0</x:v>
      </x:c>
      <x:c r="J758" s="6" t="n">
        <x:f>IF(OR(E758="CANCELED",E758="SUSPECTED_FRAUD",F758="Shipping canceled"),0,1)</x:f>
        <x:v>1</x:v>
      </x:c>
      <x:c r="K758" s="6" t="n">
        <x:f>IF(G758&gt;H758,1,0)</x:f>
        <x:v>0</x:v>
      </x:c>
      <x:c r="L758" s="6" t="n">
        <x:f>J758*K758</x:f>
        <x:v>0</x:v>
      </x:c>
    </x:row>
    <x:row r="759">
      <x:c r="A759" s="1" t="n">
        <x:v>6601</x:v>
      </x:c>
      <x:c r="B759" s="5" t="d">
        <x:v>2015-04-07T00:00:00.000Z</x:v>
      </x:c>
      <x:c r="C759" s="1" t="str">
        <x:v>Second Class</x:v>
      </x:c>
      <x:c r="D759" s="1" t="str">
        <x:v>LATAM</x:v>
      </x:c>
      <x:c r="E759" s="1" t="str">
        <x:v>CLOSED</x:v>
      </x:c>
      <x:c r="F759" s="1" t="str">
        <x:v>Shipping on time</x:v>
      </x:c>
      <x:c r="G759" s="6" t="n">
        <x:v>2</x:v>
      </x:c>
      <x:c r="H759" s="6" t="n">
        <x:v>2</x:v>
      </x:c>
      <x:c r="I759" s="6" t="n">
        <x:f>G759-H759</x:f>
        <x:v>0</x:v>
      </x:c>
      <x:c r="J759" s="6" t="n">
        <x:f>IF(OR(E759="CANCELED",E759="SUSPECTED_FRAUD",F759="Shipping canceled"),0,1)</x:f>
        <x:v>1</x:v>
      </x:c>
      <x:c r="K759" s="6" t="n">
        <x:f>IF(G759&gt;H759,1,0)</x:f>
        <x:v>0</x:v>
      </x:c>
      <x:c r="L759" s="6" t="n">
        <x:f>J759*K759</x:f>
        <x:v>0</x:v>
      </x:c>
    </x:row>
    <x:row r="760">
      <x:c r="A760" s="1" t="n">
        <x:v>6615</x:v>
      </x:c>
      <x:c r="B760" s="5" t="d">
        <x:v>2015-04-07T00:00:00.000Z</x:v>
      </x:c>
      <x:c r="C760" s="1" t="str">
        <x:v>Standard Class</x:v>
      </x:c>
      <x:c r="D760" s="1" t="str">
        <x:v>LATAM</x:v>
      </x:c>
      <x:c r="E760" s="1" t="str">
        <x:v>PENDING_PAYMENT</x:v>
      </x:c>
      <x:c r="F760" s="1" t="str">
        <x:v>Late delivery</x:v>
      </x:c>
      <x:c r="G760" s="6" t="n">
        <x:v>6</x:v>
      </x:c>
      <x:c r="H760" s="6" t="n">
        <x:v>4</x:v>
      </x:c>
      <x:c r="I760" s="6" t="n">
        <x:f>G760-H760</x:f>
        <x:v>2</x:v>
      </x:c>
      <x:c r="J760" s="6" t="n">
        <x:f>IF(OR(E760="CANCELED",E760="SUSPECTED_FRAUD",F760="Shipping canceled"),0,1)</x:f>
        <x:v>1</x:v>
      </x:c>
      <x:c r="K760" s="6" t="n">
        <x:f>IF(G760&gt;H760,1,0)</x:f>
        <x:v>1</x:v>
      </x:c>
      <x:c r="L760" s="6" t="n">
        <x:f>J760*K760</x:f>
        <x:v>1</x:v>
      </x:c>
    </x:row>
    <x:row r="761">
      <x:c r="A761" s="1" t="n">
        <x:v>6623</x:v>
      </x:c>
      <x:c r="B761" s="5" t="d">
        <x:v>2015-04-07T00:00:00.000Z</x:v>
      </x:c>
      <x:c r="C761" s="1" t="str">
        <x:v>Second Class</x:v>
      </x:c>
      <x:c r="D761" s="1" t="str">
        <x:v>LATAM</x:v>
      </x:c>
      <x:c r="E761" s="1" t="str">
        <x:v>CLOSED</x:v>
      </x:c>
      <x:c r="F761" s="1" t="str">
        <x:v>Late delivery</x:v>
      </x:c>
      <x:c r="G761" s="6" t="n">
        <x:v>4</x:v>
      </x:c>
      <x:c r="H761" s="6" t="n">
        <x:v>2</x:v>
      </x:c>
      <x:c r="I761" s="6" t="n">
        <x:f>G761-H761</x:f>
        <x:v>2</x:v>
      </x:c>
      <x:c r="J761" s="6" t="n">
        <x:f>IF(OR(E761="CANCELED",E761="SUSPECTED_FRAUD",F761="Shipping canceled"),0,1)</x:f>
        <x:v>1</x:v>
      </x:c>
      <x:c r="K761" s="6" t="n">
        <x:f>IF(G761&gt;H761,1,0)</x:f>
        <x:v>1</x:v>
      </x:c>
      <x:c r="L761" s="6" t="n">
        <x:f>J761*K761</x:f>
        <x:v>1</x:v>
      </x:c>
    </x:row>
    <x:row r="762">
      <x:c r="A762" s="1" t="n">
        <x:v>6632</x:v>
      </x:c>
      <x:c r="B762" s="5" t="d">
        <x:v>2015-04-07T00:00:00.000Z</x:v>
      </x:c>
      <x:c r="C762" s="1" t="str">
        <x:v>Standard Class</x:v>
      </x:c>
      <x:c r="D762" s="1" t="str">
        <x:v>LATAM</x:v>
      </x:c>
      <x:c r="E762" s="1" t="str">
        <x:v>PROCESSING</x:v>
      </x:c>
      <x:c r="F762" s="1" t="str">
        <x:v>Advance shipping</x:v>
      </x:c>
      <x:c r="G762" s="6" t="n">
        <x:v>3</x:v>
      </x:c>
      <x:c r="H762" s="6" t="n">
        <x:v>4</x:v>
      </x:c>
      <x:c r="I762" s="6" t="n">
        <x:f>G762-H762</x:f>
        <x:v>-1</x:v>
      </x:c>
      <x:c r="J762" s="6" t="n">
        <x:f>IF(OR(E762="CANCELED",E762="SUSPECTED_FRAUD",F762="Shipping canceled"),0,1)</x:f>
        <x:v>1</x:v>
      </x:c>
      <x:c r="K762" s="6" t="n">
        <x:f>IF(G762&gt;H762,1,0)</x:f>
        <x:v>0</x:v>
      </x:c>
      <x:c r="L762" s="6" t="n">
        <x:f>J762*K762</x:f>
        <x:v>0</x:v>
      </x:c>
    </x:row>
    <x:row r="763">
      <x:c r="A763" s="1" t="n">
        <x:v>6657</x:v>
      </x:c>
      <x:c r="B763" s="5" t="d">
        <x:v>2015-04-08T00:00:00.000Z</x:v>
      </x:c>
      <x:c r="C763" s="1" t="str">
        <x:v>Second Class</x:v>
      </x:c>
      <x:c r="D763" s="1" t="str">
        <x:v>LATAM</x:v>
      </x:c>
      <x:c r="E763" s="1" t="str">
        <x:v>COMPLETE</x:v>
      </x:c>
      <x:c r="F763" s="1" t="str">
        <x:v>Late delivery</x:v>
      </x:c>
      <x:c r="G763" s="6" t="n">
        <x:v>3</x:v>
      </x:c>
      <x:c r="H763" s="6" t="n">
        <x:v>2</x:v>
      </x:c>
      <x:c r="I763" s="6" t="n">
        <x:f>G763-H763</x:f>
        <x:v>1</x:v>
      </x:c>
      <x:c r="J763" s="6" t="n">
        <x:f>IF(OR(E763="CANCELED",E763="SUSPECTED_FRAUD",F763="Shipping canceled"),0,1)</x:f>
        <x:v>1</x:v>
      </x:c>
      <x:c r="K763" s="6" t="n">
        <x:f>IF(G763&gt;H763,1,0)</x:f>
        <x:v>1</x:v>
      </x:c>
      <x:c r="L763" s="6" t="n">
        <x:f>J763*K763</x:f>
        <x:v>1</x:v>
      </x:c>
    </x:row>
    <x:row r="764">
      <x:c r="A764" s="1" t="n">
        <x:v>6676</x:v>
      </x:c>
      <x:c r="B764" s="5" t="d">
        <x:v>2015-04-08T00:00:00.000Z</x:v>
      </x:c>
      <x:c r="C764" s="1" t="str">
        <x:v>Standard Class</x:v>
      </x:c>
      <x:c r="D764" s="1" t="str">
        <x:v>LATAM</x:v>
      </x:c>
      <x:c r="E764" s="1" t="str">
        <x:v>PENDING</x:v>
      </x:c>
      <x:c r="F764" s="1" t="str">
        <x:v>Advance shipping</x:v>
      </x:c>
      <x:c r="G764" s="6" t="n">
        <x:v>2</x:v>
      </x:c>
      <x:c r="H764" s="6" t="n">
        <x:v>4</x:v>
      </x:c>
      <x:c r="I764" s="6" t="n">
        <x:f>G764-H764</x:f>
        <x:v>-2</x:v>
      </x:c>
      <x:c r="J764" s="6" t="n">
        <x:f>IF(OR(E764="CANCELED",E764="SUSPECTED_FRAUD",F764="Shipping canceled"),0,1)</x:f>
        <x:v>1</x:v>
      </x:c>
      <x:c r="K764" s="6" t="n">
        <x:f>IF(G764&gt;H764,1,0)</x:f>
        <x:v>0</x:v>
      </x:c>
      <x:c r="L764" s="6" t="n">
        <x:f>J764*K764</x:f>
        <x:v>0</x:v>
      </x:c>
    </x:row>
    <x:row r="765">
      <x:c r="A765" s="1" t="n">
        <x:v>6683</x:v>
      </x:c>
      <x:c r="B765" s="5" t="d">
        <x:v>2015-04-08T00:00:00.000Z</x:v>
      </x:c>
      <x:c r="C765" s="1" t="str">
        <x:v>Standard Class</x:v>
      </x:c>
      <x:c r="D765" s="1" t="str">
        <x:v>LATAM</x:v>
      </x:c>
      <x:c r="E765" s="1" t="str">
        <x:v>COMPLETE</x:v>
      </x:c>
      <x:c r="F765" s="1" t="str">
        <x:v>Shipping on time</x:v>
      </x:c>
      <x:c r="G765" s="6" t="n">
        <x:v>4</x:v>
      </x:c>
      <x:c r="H765" s="6" t="n">
        <x:v>4</x:v>
      </x:c>
      <x:c r="I765" s="6" t="n">
        <x:f>G765-H765</x:f>
        <x:v>0</x:v>
      </x:c>
      <x:c r="J765" s="6" t="n">
        <x:f>IF(OR(E765="CANCELED",E765="SUSPECTED_FRAUD",F765="Shipping canceled"),0,1)</x:f>
        <x:v>1</x:v>
      </x:c>
      <x:c r="K765" s="6" t="n">
        <x:f>IF(G765&gt;H765,1,0)</x:f>
        <x:v>0</x:v>
      </x:c>
      <x:c r="L765" s="6" t="n">
        <x:f>J765*K765</x:f>
        <x:v>0</x:v>
      </x:c>
    </x:row>
    <x:row r="766">
      <x:c r="A766" s="1" t="n">
        <x:v>6690</x:v>
      </x:c>
      <x:c r="B766" s="5" t="d">
        <x:v>2015-04-08T00:00:00.000Z</x:v>
      </x:c>
      <x:c r="C766" s="1" t="str">
        <x:v>Standard Class</x:v>
      </x:c>
      <x:c r="D766" s="1" t="str">
        <x:v>LATAM</x:v>
      </x:c>
      <x:c r="E766" s="1" t="str">
        <x:v>PROCESSING</x:v>
      </x:c>
      <x:c r="F766" s="1" t="str">
        <x:v>Late delivery</x:v>
      </x:c>
      <x:c r="G766" s="6" t="n">
        <x:v>6</x:v>
      </x:c>
      <x:c r="H766" s="6" t="n">
        <x:v>4</x:v>
      </x:c>
      <x:c r="I766" s="6" t="n">
        <x:f>G766-H766</x:f>
        <x:v>2</x:v>
      </x:c>
      <x:c r="J766" s="6" t="n">
        <x:f>IF(OR(E766="CANCELED",E766="SUSPECTED_FRAUD",F766="Shipping canceled"),0,1)</x:f>
        <x:v>1</x:v>
      </x:c>
      <x:c r="K766" s="6" t="n">
        <x:f>IF(G766&gt;H766,1,0)</x:f>
        <x:v>1</x:v>
      </x:c>
      <x:c r="L766" s="6" t="n">
        <x:f>J766*K766</x:f>
        <x:v>1</x:v>
      </x:c>
    </x:row>
    <x:row r="767">
      <x:c r="A767" s="1" t="n">
        <x:v>6696</x:v>
      </x:c>
      <x:c r="B767" s="5" t="d">
        <x:v>2015-04-08T00:00:00.000Z</x:v>
      </x:c>
      <x:c r="C767" s="1" t="str">
        <x:v>Standard Class</x:v>
      </x:c>
      <x:c r="D767" s="1" t="str">
        <x:v>LATAM</x:v>
      </x:c>
      <x:c r="E767" s="1" t="str">
        <x:v>COMPLETE</x:v>
      </x:c>
      <x:c r="F767" s="1" t="str">
        <x:v>Advance shipping</x:v>
      </x:c>
      <x:c r="G767" s="6" t="n">
        <x:v>2</x:v>
      </x:c>
      <x:c r="H767" s="6" t="n">
        <x:v>4</x:v>
      </x:c>
      <x:c r="I767" s="6" t="n">
        <x:f>G767-H767</x:f>
        <x:v>-2</x:v>
      </x:c>
      <x:c r="J767" s="6" t="n">
        <x:f>IF(OR(E767="CANCELED",E767="SUSPECTED_FRAUD",F767="Shipping canceled"),0,1)</x:f>
        <x:v>1</x:v>
      </x:c>
      <x:c r="K767" s="6" t="n">
        <x:f>IF(G767&gt;H767,1,0)</x:f>
        <x:v>0</x:v>
      </x:c>
      <x:c r="L767" s="6" t="n">
        <x:f>J767*K767</x:f>
        <x:v>0</x:v>
      </x:c>
    </x:row>
    <x:row r="768">
      <x:c r="A768" s="1" t="n">
        <x:v>6713</x:v>
      </x:c>
      <x:c r="B768" s="5" t="d">
        <x:v>2015-04-08T00:00:00.000Z</x:v>
      </x:c>
      <x:c r="C768" s="1" t="str">
        <x:v>Standard Class</x:v>
      </x:c>
      <x:c r="D768" s="1" t="str">
        <x:v>LATAM</x:v>
      </x:c>
      <x:c r="E768" s="1" t="str">
        <x:v>SUSPECTED_FRAUD</x:v>
      </x:c>
      <x:c r="F768" s="1" t="str">
        <x:v>Shipping canceled</x:v>
      </x:c>
      <x:c r="G768" s="6" t="n">
        <x:v>4</x:v>
      </x:c>
      <x:c r="H768" s="6" t="n">
        <x:v>4</x:v>
      </x:c>
      <x:c r="I768" s="6" t="n">
        <x:f>G768-H768</x:f>
        <x:v>0</x:v>
      </x:c>
      <x:c r="J768" s="6" t="n">
        <x:f>IF(OR(E768="CANCELED",E768="SUSPECTED_FRAUD",F768="Shipping canceled"),0,1)</x:f>
        <x:v>0</x:v>
      </x:c>
      <x:c r="K768" s="6" t="n">
        <x:f>IF(G768&gt;H768,1,0)</x:f>
        <x:v>0</x:v>
      </x:c>
      <x:c r="L768" s="6" t="n">
        <x:f>J768*K768</x:f>
        <x:v>0</x:v>
      </x:c>
    </x:row>
    <x:row r="769">
      <x:c r="A769" s="1" t="n">
        <x:v>6723</x:v>
      </x:c>
      <x:c r="B769" s="5" t="d">
        <x:v>2015-04-09T00:00:00.000Z</x:v>
      </x:c>
      <x:c r="C769" s="1" t="str">
        <x:v>Standard Class</x:v>
      </x:c>
      <x:c r="D769" s="1" t="str">
        <x:v>LATAM</x:v>
      </x:c>
      <x:c r="E769" s="1" t="str">
        <x:v>PENDING</x:v>
      </x:c>
      <x:c r="F769" s="1" t="str">
        <x:v>Shipping on time</x:v>
      </x:c>
      <x:c r="G769" s="6" t="n">
        <x:v>4</x:v>
      </x:c>
      <x:c r="H769" s="6" t="n">
        <x:v>4</x:v>
      </x:c>
      <x:c r="I769" s="6" t="n">
        <x:f>G769-H769</x:f>
        <x:v>0</x:v>
      </x:c>
      <x:c r="J769" s="6" t="n">
        <x:f>IF(OR(E769="CANCELED",E769="SUSPECTED_FRAUD",F769="Shipping canceled"),0,1)</x:f>
        <x:v>1</x:v>
      </x:c>
      <x:c r="K769" s="6" t="n">
        <x:f>IF(G769&gt;H769,1,0)</x:f>
        <x:v>0</x:v>
      </x:c>
      <x:c r="L769" s="6" t="n">
        <x:f>J769*K769</x:f>
        <x:v>0</x:v>
      </x:c>
    </x:row>
    <x:row r="770">
      <x:c r="A770" s="1" t="n">
        <x:v>6727</x:v>
      </x:c>
      <x:c r="B770" s="5" t="d">
        <x:v>2015-04-09T00:00:00.000Z</x:v>
      </x:c>
      <x:c r="C770" s="1" t="str">
        <x:v>Standard Class</x:v>
      </x:c>
      <x:c r="D770" s="1" t="str">
        <x:v>LATAM</x:v>
      </x:c>
      <x:c r="E770" s="1" t="str">
        <x:v>PENDING_PAYMENT</x:v>
      </x:c>
      <x:c r="F770" s="1" t="str">
        <x:v>Advance shipping</x:v>
      </x:c>
      <x:c r="G770" s="6" t="n">
        <x:v>3</x:v>
      </x:c>
      <x:c r="H770" s="6" t="n">
        <x:v>4</x:v>
      </x:c>
      <x:c r="I770" s="6" t="n">
        <x:f>G770-H770</x:f>
        <x:v>-1</x:v>
      </x:c>
      <x:c r="J770" s="6" t="n">
        <x:f>IF(OR(E770="CANCELED",E770="SUSPECTED_FRAUD",F770="Shipping canceled"),0,1)</x:f>
        <x:v>1</x:v>
      </x:c>
      <x:c r="K770" s="6" t="n">
        <x:f>IF(G770&gt;H770,1,0)</x:f>
        <x:v>0</x:v>
      </x:c>
      <x:c r="L770" s="6" t="n">
        <x:f>J770*K770</x:f>
        <x:v>0</x:v>
      </x:c>
    </x:row>
    <x:row r="771">
      <x:c r="A771" s="1" t="n">
        <x:v>6731</x:v>
      </x:c>
      <x:c r="B771" s="5" t="d">
        <x:v>2015-04-09T00:00:00.000Z</x:v>
      </x:c>
      <x:c r="C771" s="1" t="str">
        <x:v>Second Class</x:v>
      </x:c>
      <x:c r="D771" s="1" t="str">
        <x:v>LATAM</x:v>
      </x:c>
      <x:c r="E771" s="1" t="str">
        <x:v>ON_HOLD</x:v>
      </x:c>
      <x:c r="F771" s="1" t="str">
        <x:v>Shipping on time</x:v>
      </x:c>
      <x:c r="G771" s="6" t="n">
        <x:v>2</x:v>
      </x:c>
      <x:c r="H771" s="6" t="n">
        <x:v>2</x:v>
      </x:c>
      <x:c r="I771" s="6" t="n">
        <x:f>G771-H771</x:f>
        <x:v>0</x:v>
      </x:c>
      <x:c r="J771" s="6" t="n">
        <x:f>IF(OR(E771="CANCELED",E771="SUSPECTED_FRAUD",F771="Shipping canceled"),0,1)</x:f>
        <x:v>1</x:v>
      </x:c>
      <x:c r="K771" s="6" t="n">
        <x:f>IF(G771&gt;H771,1,0)</x:f>
        <x:v>0</x:v>
      </x:c>
      <x:c r="L771" s="6" t="n">
        <x:f>J771*K771</x:f>
        <x:v>0</x:v>
      </x:c>
    </x:row>
    <x:row r="772">
      <x:c r="A772" s="1" t="n">
        <x:v>6733</x:v>
      </x:c>
      <x:c r="B772" s="5" t="d">
        <x:v>2015-04-09T00:00:00.000Z</x:v>
      </x:c>
      <x:c r="C772" s="1" t="str">
        <x:v>Standard Class</x:v>
      </x:c>
      <x:c r="D772" s="1" t="str">
        <x:v>LATAM</x:v>
      </x:c>
      <x:c r="E772" s="1" t="str">
        <x:v>COMPLETE</x:v>
      </x:c>
      <x:c r="F772" s="1" t="str">
        <x:v>Shipping on time</x:v>
      </x:c>
      <x:c r="G772" s="6" t="n">
        <x:v>4</x:v>
      </x:c>
      <x:c r="H772" s="6" t="n">
        <x:v>4</x:v>
      </x:c>
      <x:c r="I772" s="6" t="n">
        <x:f>G772-H772</x:f>
        <x:v>0</x:v>
      </x:c>
      <x:c r="J772" s="6" t="n">
        <x:f>IF(OR(E772="CANCELED",E772="SUSPECTED_FRAUD",F772="Shipping canceled"),0,1)</x:f>
        <x:v>1</x:v>
      </x:c>
      <x:c r="K772" s="6" t="n">
        <x:f>IF(G772&gt;H772,1,0)</x:f>
        <x:v>0</x:v>
      </x:c>
      <x:c r="L772" s="6" t="n">
        <x:f>J772*K772</x:f>
        <x:v>0</x:v>
      </x:c>
    </x:row>
    <x:row r="773">
      <x:c r="A773" s="1" t="n">
        <x:v>6740</x:v>
      </x:c>
      <x:c r="B773" s="5" t="d">
        <x:v>2015-04-09T00:00:00.000Z</x:v>
      </x:c>
      <x:c r="C773" s="1" t="str">
        <x:v>Second Class</x:v>
      </x:c>
      <x:c r="D773" s="1" t="str">
        <x:v>LATAM</x:v>
      </x:c>
      <x:c r="E773" s="1" t="str">
        <x:v>COMPLETE</x:v>
      </x:c>
      <x:c r="F773" s="1" t="str">
        <x:v>Late delivery</x:v>
      </x:c>
      <x:c r="G773" s="6" t="n">
        <x:v>6</x:v>
      </x:c>
      <x:c r="H773" s="6" t="n">
        <x:v>2</x:v>
      </x:c>
      <x:c r="I773" s="6" t="n">
        <x:f>G773-H773</x:f>
        <x:v>4</x:v>
      </x:c>
      <x:c r="J773" s="6" t="n">
        <x:f>IF(OR(E773="CANCELED",E773="SUSPECTED_FRAUD",F773="Shipping canceled"),0,1)</x:f>
        <x:v>1</x:v>
      </x:c>
      <x:c r="K773" s="6" t="n">
        <x:f>IF(G773&gt;H773,1,0)</x:f>
        <x:v>1</x:v>
      </x:c>
      <x:c r="L773" s="6" t="n">
        <x:f>J773*K773</x:f>
        <x:v>1</x:v>
      </x:c>
    </x:row>
    <x:row r="774">
      <x:c r="A774" s="1" t="n">
        <x:v>6744</x:v>
      </x:c>
      <x:c r="B774" s="5" t="d">
        <x:v>2015-04-09T00:00:00.000Z</x:v>
      </x:c>
      <x:c r="C774" s="1" t="str">
        <x:v>Standard Class</x:v>
      </x:c>
      <x:c r="D774" s="1" t="str">
        <x:v>LATAM</x:v>
      </x:c>
      <x:c r="E774" s="1" t="str">
        <x:v>COMPLETE</x:v>
      </x:c>
      <x:c r="F774" s="1" t="str">
        <x:v>Late delivery</x:v>
      </x:c>
      <x:c r="G774" s="6" t="n">
        <x:v>5</x:v>
      </x:c>
      <x:c r="H774" s="6" t="n">
        <x:v>4</x:v>
      </x:c>
      <x:c r="I774" s="6" t="n">
        <x:f>G774-H774</x:f>
        <x:v>1</x:v>
      </x:c>
      <x:c r="J774" s="6" t="n">
        <x:f>IF(OR(E774="CANCELED",E774="SUSPECTED_FRAUD",F774="Shipping canceled"),0,1)</x:f>
        <x:v>1</x:v>
      </x:c>
      <x:c r="K774" s="6" t="n">
        <x:f>IF(G774&gt;H774,1,0)</x:f>
        <x:v>1</x:v>
      </x:c>
      <x:c r="L774" s="6" t="n">
        <x:f>J774*K774</x:f>
        <x:v>1</x:v>
      </x:c>
    </x:row>
    <x:row r="775">
      <x:c r="A775" s="1" t="n">
        <x:v>6756</x:v>
      </x:c>
      <x:c r="B775" s="5" t="d">
        <x:v>2015-04-09T00:00:00.000Z</x:v>
      </x:c>
      <x:c r="C775" s="1" t="str">
        <x:v>Standard Class</x:v>
      </x:c>
      <x:c r="D775" s="1" t="str">
        <x:v>LATAM</x:v>
      </x:c>
      <x:c r="E775" s="1" t="str">
        <x:v>ON_HOLD</x:v>
      </x:c>
      <x:c r="F775" s="1" t="str">
        <x:v>Advance shipping</x:v>
      </x:c>
      <x:c r="G775" s="6" t="n">
        <x:v>2</x:v>
      </x:c>
      <x:c r="H775" s="6" t="n">
        <x:v>4</x:v>
      </x:c>
      <x:c r="I775" s="6" t="n">
        <x:f>G775-H775</x:f>
        <x:v>-2</x:v>
      </x:c>
      <x:c r="J775" s="6" t="n">
        <x:f>IF(OR(E775="CANCELED",E775="SUSPECTED_FRAUD",F775="Shipping canceled"),0,1)</x:f>
        <x:v>1</x:v>
      </x:c>
      <x:c r="K775" s="6" t="n">
        <x:f>IF(G775&gt;H775,1,0)</x:f>
        <x:v>0</x:v>
      </x:c>
      <x:c r="L775" s="6" t="n">
        <x:f>J775*K775</x:f>
        <x:v>0</x:v>
      </x:c>
    </x:row>
    <x:row r="776">
      <x:c r="A776" s="1" t="n">
        <x:v>6769</x:v>
      </x:c>
      <x:c r="B776" s="5" t="d">
        <x:v>2015-04-09T00:00:00.000Z</x:v>
      </x:c>
      <x:c r="C776" s="1" t="str">
        <x:v>Standard Class</x:v>
      </x:c>
      <x:c r="D776" s="1" t="str">
        <x:v>LATAM</x:v>
      </x:c>
      <x:c r="E776" s="1" t="str">
        <x:v>COMPLETE</x:v>
      </x:c>
      <x:c r="F776" s="1" t="str">
        <x:v>Late delivery</x:v>
      </x:c>
      <x:c r="G776" s="6" t="n">
        <x:v>5</x:v>
      </x:c>
      <x:c r="H776" s="6" t="n">
        <x:v>4</x:v>
      </x:c>
      <x:c r="I776" s="6" t="n">
        <x:f>G776-H776</x:f>
        <x:v>1</x:v>
      </x:c>
      <x:c r="J776" s="6" t="n">
        <x:f>IF(OR(E776="CANCELED",E776="SUSPECTED_FRAUD",F776="Shipping canceled"),0,1)</x:f>
        <x:v>1</x:v>
      </x:c>
      <x:c r="K776" s="6" t="n">
        <x:f>IF(G776&gt;H776,1,0)</x:f>
        <x:v>1</x:v>
      </x:c>
      <x:c r="L776" s="6" t="n">
        <x:f>J776*K776</x:f>
        <x:v>1</x:v>
      </x:c>
    </x:row>
    <x:row r="777">
      <x:c r="A777" s="1" t="n">
        <x:v>6770</x:v>
      </x:c>
      <x:c r="B777" s="5" t="d">
        <x:v>2015-04-09T00:00:00.000Z</x:v>
      </x:c>
      <x:c r="C777" s="1" t="str">
        <x:v>Standard Class</x:v>
      </x:c>
      <x:c r="D777" s="1" t="str">
        <x:v>LATAM</x:v>
      </x:c>
      <x:c r="E777" s="1" t="str">
        <x:v>COMPLETE</x:v>
      </x:c>
      <x:c r="F777" s="1" t="str">
        <x:v>Late delivery</x:v>
      </x:c>
      <x:c r="G777" s="6" t="n">
        <x:v>6</x:v>
      </x:c>
      <x:c r="H777" s="6" t="n">
        <x:v>4</x:v>
      </x:c>
      <x:c r="I777" s="6" t="n">
        <x:f>G777-H777</x:f>
        <x:v>2</x:v>
      </x:c>
      <x:c r="J777" s="6" t="n">
        <x:f>IF(OR(E777="CANCELED",E777="SUSPECTED_FRAUD",F777="Shipping canceled"),0,1)</x:f>
        <x:v>1</x:v>
      </x:c>
      <x:c r="K777" s="6" t="n">
        <x:f>IF(G777&gt;H777,1,0)</x:f>
        <x:v>1</x:v>
      </x:c>
      <x:c r="L777" s="6" t="n">
        <x:f>J777*K777</x:f>
        <x:v>1</x:v>
      </x:c>
    </x:row>
    <x:row r="778">
      <x:c r="A778" s="1" t="n">
        <x:v>6772</x:v>
      </x:c>
      <x:c r="B778" s="5" t="d">
        <x:v>2015-04-09T00:00:00.000Z</x:v>
      </x:c>
      <x:c r="C778" s="1" t="str">
        <x:v>Standard Class</x:v>
      </x:c>
      <x:c r="D778" s="1" t="str">
        <x:v>LATAM</x:v>
      </x:c>
      <x:c r="E778" s="1" t="str">
        <x:v>PROCESSING</x:v>
      </x:c>
      <x:c r="F778" s="1" t="str">
        <x:v>Advance shipping</x:v>
      </x:c>
      <x:c r="G778" s="6" t="n">
        <x:v>3</x:v>
      </x:c>
      <x:c r="H778" s="6" t="n">
        <x:v>4</x:v>
      </x:c>
      <x:c r="I778" s="6" t="n">
        <x:f>G778-H778</x:f>
        <x:v>-1</x:v>
      </x:c>
      <x:c r="J778" s="6" t="n">
        <x:f>IF(OR(E778="CANCELED",E778="SUSPECTED_FRAUD",F778="Shipping canceled"),0,1)</x:f>
        <x:v>1</x:v>
      </x:c>
      <x:c r="K778" s="6" t="n">
        <x:f>IF(G778&gt;H778,1,0)</x:f>
        <x:v>0</x:v>
      </x:c>
      <x:c r="L778" s="6" t="n">
        <x:f>J778*K778</x:f>
        <x:v>0</x:v>
      </x:c>
    </x:row>
    <x:row r="779">
      <x:c r="A779" s="1" t="n">
        <x:v>6776</x:v>
      </x:c>
      <x:c r="B779" s="5" t="d">
        <x:v>2015-04-09T00:00:00.000Z</x:v>
      </x:c>
      <x:c r="C779" s="1" t="str">
        <x:v>Standard Class</x:v>
      </x:c>
      <x:c r="D779" s="1" t="str">
        <x:v>LATAM</x:v>
      </x:c>
      <x:c r="E779" s="1" t="str">
        <x:v>PROCESSING</x:v>
      </x:c>
      <x:c r="F779" s="1" t="str">
        <x:v>Advance shipping</x:v>
      </x:c>
      <x:c r="G779" s="6" t="n">
        <x:v>2</x:v>
      </x:c>
      <x:c r="H779" s="6" t="n">
        <x:v>4</x:v>
      </x:c>
      <x:c r="I779" s="6" t="n">
        <x:f>G779-H779</x:f>
        <x:v>-2</x:v>
      </x:c>
      <x:c r="J779" s="6" t="n">
        <x:f>IF(OR(E779="CANCELED",E779="SUSPECTED_FRAUD",F779="Shipping canceled"),0,1)</x:f>
        <x:v>1</x:v>
      </x:c>
      <x:c r="K779" s="6" t="n">
        <x:f>IF(G779&gt;H779,1,0)</x:f>
        <x:v>0</x:v>
      </x:c>
      <x:c r="L779" s="6" t="n">
        <x:f>J779*K779</x:f>
        <x:v>0</x:v>
      </x:c>
    </x:row>
    <x:row r="780">
      <x:c r="A780" s="1" t="n">
        <x:v>6781</x:v>
      </x:c>
      <x:c r="B780" s="5" t="d">
        <x:v>2015-04-09T00:00:00.000Z</x:v>
      </x:c>
      <x:c r="C780" s="1" t="str">
        <x:v>Standard Class</x:v>
      </x:c>
      <x:c r="D780" s="1" t="str">
        <x:v>LATAM</x:v>
      </x:c>
      <x:c r="E780" s="1" t="str">
        <x:v>COMPLETE</x:v>
      </x:c>
      <x:c r="F780" s="1" t="str">
        <x:v>Advance shipping</x:v>
      </x:c>
      <x:c r="G780" s="6" t="n">
        <x:v>2</x:v>
      </x:c>
      <x:c r="H780" s="6" t="n">
        <x:v>4</x:v>
      </x:c>
      <x:c r="I780" s="6" t="n">
        <x:f>G780-H780</x:f>
        <x:v>-2</x:v>
      </x:c>
      <x:c r="J780" s="6" t="n">
        <x:f>IF(OR(E780="CANCELED",E780="SUSPECTED_FRAUD",F780="Shipping canceled"),0,1)</x:f>
        <x:v>1</x:v>
      </x:c>
      <x:c r="K780" s="6" t="n">
        <x:f>IF(G780&gt;H780,1,0)</x:f>
        <x:v>0</x:v>
      </x:c>
      <x:c r="L780" s="6" t="n">
        <x:f>J780*K780</x:f>
        <x:v>0</x:v>
      </x:c>
    </x:row>
    <x:row r="781">
      <x:c r="A781" s="1" t="n">
        <x:v>6782</x:v>
      </x:c>
      <x:c r="B781" s="5" t="d">
        <x:v>2015-04-09T00:00:00.000Z</x:v>
      </x:c>
      <x:c r="C781" s="1" t="str">
        <x:v>Standard Class</x:v>
      </x:c>
      <x:c r="D781" s="1" t="str">
        <x:v>LATAM</x:v>
      </x:c>
      <x:c r="E781" s="1" t="str">
        <x:v>PENDING_PAYMENT</x:v>
      </x:c>
      <x:c r="F781" s="1" t="str">
        <x:v>Advance shipping</x:v>
      </x:c>
      <x:c r="G781" s="6" t="n">
        <x:v>3</x:v>
      </x:c>
      <x:c r="H781" s="6" t="n">
        <x:v>4</x:v>
      </x:c>
      <x:c r="I781" s="6" t="n">
        <x:f>G781-H781</x:f>
        <x:v>-1</x:v>
      </x:c>
      <x:c r="J781" s="6" t="n">
        <x:f>IF(OR(E781="CANCELED",E781="SUSPECTED_FRAUD",F781="Shipping canceled"),0,1)</x:f>
        <x:v>1</x:v>
      </x:c>
      <x:c r="K781" s="6" t="n">
        <x:f>IF(G781&gt;H781,1,0)</x:f>
        <x:v>0</x:v>
      </x:c>
      <x:c r="L781" s="6" t="n">
        <x:f>J781*K781</x:f>
        <x:v>0</x:v>
      </x:c>
    </x:row>
    <x:row r="782">
      <x:c r="A782" s="1" t="n">
        <x:v>6783</x:v>
      </x:c>
      <x:c r="B782" s="5" t="d">
        <x:v>2015-04-10T00:00:00.000Z</x:v>
      </x:c>
      <x:c r="C782" s="1" t="str">
        <x:v>Second Class</x:v>
      </x:c>
      <x:c r="D782" s="1" t="str">
        <x:v>LATAM</x:v>
      </x:c>
      <x:c r="E782" s="1" t="str">
        <x:v>PENDING_PAYMENT</x:v>
      </x:c>
      <x:c r="F782" s="1" t="str">
        <x:v>Late delivery</x:v>
      </x:c>
      <x:c r="G782" s="6" t="n">
        <x:v>4</x:v>
      </x:c>
      <x:c r="H782" s="6" t="n">
        <x:v>2</x:v>
      </x:c>
      <x:c r="I782" s="6" t="n">
        <x:f>G782-H782</x:f>
        <x:v>2</x:v>
      </x:c>
      <x:c r="J782" s="6" t="n">
        <x:f>IF(OR(E782="CANCELED",E782="SUSPECTED_FRAUD",F782="Shipping canceled"),0,1)</x:f>
        <x:v>1</x:v>
      </x:c>
      <x:c r="K782" s="6" t="n">
        <x:f>IF(G782&gt;H782,1,0)</x:f>
        <x:v>1</x:v>
      </x:c>
      <x:c r="L782" s="6" t="n">
        <x:f>J782*K782</x:f>
        <x:v>1</x:v>
      </x:c>
    </x:row>
    <x:row r="783">
      <x:c r="A783" s="1" t="n">
        <x:v>6807</x:v>
      </x:c>
      <x:c r="B783" s="5" t="d">
        <x:v>2015-04-10T00:00:00.000Z</x:v>
      </x:c>
      <x:c r="C783" s="1" t="str">
        <x:v>First Class</x:v>
      </x:c>
      <x:c r="D783" s="1" t="str">
        <x:v>LATAM</x:v>
      </x:c>
      <x:c r="E783" s="1" t="str">
        <x:v>CLOSED</x:v>
      </x:c>
      <x:c r="F783" s="1" t="str">
        <x:v>Late delivery</x:v>
      </x:c>
      <x:c r="G783" s="6" t="n">
        <x:v>2</x:v>
      </x:c>
      <x:c r="H783" s="6" t="n">
        <x:v>1</x:v>
      </x:c>
      <x:c r="I783" s="6" t="n">
        <x:f>G783-H783</x:f>
        <x:v>1</x:v>
      </x:c>
      <x:c r="J783" s="6" t="n">
        <x:f>IF(OR(E783="CANCELED",E783="SUSPECTED_FRAUD",F783="Shipping canceled"),0,1)</x:f>
        <x:v>1</x:v>
      </x:c>
      <x:c r="K783" s="6" t="n">
        <x:f>IF(G783&gt;H783,1,0)</x:f>
        <x:v>1</x:v>
      </x:c>
      <x:c r="L783" s="6" t="n">
        <x:f>J783*K783</x:f>
        <x:v>1</x:v>
      </x:c>
    </x:row>
    <x:row r="784">
      <x:c r="A784" s="1" t="n">
        <x:v>6808</x:v>
      </x:c>
      <x:c r="B784" s="5" t="d">
        <x:v>2015-04-10T00:00:00.000Z</x:v>
      </x:c>
      <x:c r="C784" s="1" t="str">
        <x:v>Standard Class</x:v>
      </x:c>
      <x:c r="D784" s="1" t="str">
        <x:v>LATAM</x:v>
      </x:c>
      <x:c r="E784" s="1" t="str">
        <x:v>PENDING_PAYMENT</x:v>
      </x:c>
      <x:c r="F784" s="1" t="str">
        <x:v>Shipping on time</x:v>
      </x:c>
      <x:c r="G784" s="6" t="n">
        <x:v>4</x:v>
      </x:c>
      <x:c r="H784" s="6" t="n">
        <x:v>4</x:v>
      </x:c>
      <x:c r="I784" s="6" t="n">
        <x:f>G784-H784</x:f>
        <x:v>0</x:v>
      </x:c>
      <x:c r="J784" s="6" t="n">
        <x:f>IF(OR(E784="CANCELED",E784="SUSPECTED_FRAUD",F784="Shipping canceled"),0,1)</x:f>
        <x:v>1</x:v>
      </x:c>
      <x:c r="K784" s="6" t="n">
        <x:f>IF(G784&gt;H784,1,0)</x:f>
        <x:v>0</x:v>
      </x:c>
      <x:c r="L784" s="6" t="n">
        <x:f>J784*K784</x:f>
        <x:v>0</x:v>
      </x:c>
    </x:row>
    <x:row r="785">
      <x:c r="A785" s="1" t="n">
        <x:v>6810</x:v>
      </x:c>
      <x:c r="B785" s="5" t="d">
        <x:v>2015-04-10T00:00:00.000Z</x:v>
      </x:c>
      <x:c r="C785" s="1" t="str">
        <x:v>Second Class</x:v>
      </x:c>
      <x:c r="D785" s="1" t="str">
        <x:v>LATAM</x:v>
      </x:c>
      <x:c r="E785" s="1" t="str">
        <x:v>COMPLETE</x:v>
      </x:c>
      <x:c r="F785" s="1" t="str">
        <x:v>Late delivery</x:v>
      </x:c>
      <x:c r="G785" s="6" t="n">
        <x:v>6</x:v>
      </x:c>
      <x:c r="H785" s="6" t="n">
        <x:v>2</x:v>
      </x:c>
      <x:c r="I785" s="6" t="n">
        <x:f>G785-H785</x:f>
        <x:v>4</x:v>
      </x:c>
      <x:c r="J785" s="6" t="n">
        <x:f>IF(OR(E785="CANCELED",E785="SUSPECTED_FRAUD",F785="Shipping canceled"),0,1)</x:f>
        <x:v>1</x:v>
      </x:c>
      <x:c r="K785" s="6" t="n">
        <x:f>IF(G785&gt;H785,1,0)</x:f>
        <x:v>1</x:v>
      </x:c>
      <x:c r="L785" s="6" t="n">
        <x:f>J785*K785</x:f>
        <x:v>1</x:v>
      </x:c>
    </x:row>
    <x:row r="786">
      <x:c r="A786" s="1" t="n">
        <x:v>6814</x:v>
      </x:c>
      <x:c r="B786" s="5" t="d">
        <x:v>2015-04-10T00:00:00.000Z</x:v>
      </x:c>
      <x:c r="C786" s="1" t="str">
        <x:v>Standard Class</x:v>
      </x:c>
      <x:c r="D786" s="1" t="str">
        <x:v>LATAM</x:v>
      </x:c>
      <x:c r="E786" s="1" t="str">
        <x:v>PROCESSING</x:v>
      </x:c>
      <x:c r="F786" s="1" t="str">
        <x:v>Late delivery</x:v>
      </x:c>
      <x:c r="G786" s="6" t="n">
        <x:v>5</x:v>
      </x:c>
      <x:c r="H786" s="6" t="n">
        <x:v>4</x:v>
      </x:c>
      <x:c r="I786" s="6" t="n">
        <x:f>G786-H786</x:f>
        <x:v>1</x:v>
      </x:c>
      <x:c r="J786" s="6" t="n">
        <x:f>IF(OR(E786="CANCELED",E786="SUSPECTED_FRAUD",F786="Shipping canceled"),0,1)</x:f>
        <x:v>1</x:v>
      </x:c>
      <x:c r="K786" s="6" t="n">
        <x:f>IF(G786&gt;H786,1,0)</x:f>
        <x:v>1</x:v>
      </x:c>
      <x:c r="L786" s="6" t="n">
        <x:f>J786*K786</x:f>
        <x:v>1</x:v>
      </x:c>
    </x:row>
    <x:row r="787">
      <x:c r="A787" s="1" t="n">
        <x:v>6816</x:v>
      </x:c>
      <x:c r="B787" s="5" t="d">
        <x:v>2015-04-10T00:00:00.000Z</x:v>
      </x:c>
      <x:c r="C787" s="1" t="str">
        <x:v>Standard Class</x:v>
      </x:c>
      <x:c r="D787" s="1" t="str">
        <x:v>LATAM</x:v>
      </x:c>
      <x:c r="E787" s="1" t="str">
        <x:v>COMPLETE</x:v>
      </x:c>
      <x:c r="F787" s="1" t="str">
        <x:v>Advance shipping</x:v>
      </x:c>
      <x:c r="G787" s="6" t="n">
        <x:v>2</x:v>
      </x:c>
      <x:c r="H787" s="6" t="n">
        <x:v>4</x:v>
      </x:c>
      <x:c r="I787" s="6" t="n">
        <x:f>G787-H787</x:f>
        <x:v>-2</x:v>
      </x:c>
      <x:c r="J787" s="6" t="n">
        <x:f>IF(OR(E787="CANCELED",E787="SUSPECTED_FRAUD",F787="Shipping canceled"),0,1)</x:f>
        <x:v>1</x:v>
      </x:c>
      <x:c r="K787" s="6" t="n">
        <x:f>IF(G787&gt;H787,1,0)</x:f>
        <x:v>0</x:v>
      </x:c>
      <x:c r="L787" s="6" t="n">
        <x:f>J787*K787</x:f>
        <x:v>0</x:v>
      </x:c>
    </x:row>
    <x:row r="788">
      <x:c r="A788" s="1" t="n">
        <x:v>6820</x:v>
      </x:c>
      <x:c r="B788" s="5" t="d">
        <x:v>2015-04-10T00:00:00.000Z</x:v>
      </x:c>
      <x:c r="C788" s="1" t="str">
        <x:v>Same Day</x:v>
      </x:c>
      <x:c r="D788" s="1" t="str">
        <x:v>LATAM</x:v>
      </x:c>
      <x:c r="E788" s="1" t="str">
        <x:v>PENDING</x:v>
      </x:c>
      <x:c r="F788" s="1" t="str">
        <x:v>Late delivery</x:v>
      </x:c>
      <x:c r="G788" s="6" t="n">
        <x:v>1</x:v>
      </x:c>
      <x:c r="H788" s="6" t="n">
        <x:v>0</x:v>
      </x:c>
      <x:c r="I788" s="6" t="n">
        <x:f>G788-H788</x:f>
        <x:v>1</x:v>
      </x:c>
      <x:c r="J788" s="6" t="n">
        <x:f>IF(OR(E788="CANCELED",E788="SUSPECTED_FRAUD",F788="Shipping canceled"),0,1)</x:f>
        <x:v>1</x:v>
      </x:c>
      <x:c r="K788" s="6" t="n">
        <x:f>IF(G788&gt;H788,1,0)</x:f>
        <x:v>1</x:v>
      </x:c>
      <x:c r="L788" s="6" t="n">
        <x:f>J788*K788</x:f>
        <x:v>1</x:v>
      </x:c>
    </x:row>
    <x:row r="789">
      <x:c r="A789" s="1" t="n">
        <x:v>6831</x:v>
      </x:c>
      <x:c r="B789" s="5" t="d">
        <x:v>2015-04-10T00:00:00.000Z</x:v>
      </x:c>
      <x:c r="C789" s="1" t="str">
        <x:v>Standard Class</x:v>
      </x:c>
      <x:c r="D789" s="1" t="str">
        <x:v>LATAM</x:v>
      </x:c>
      <x:c r="E789" s="1" t="str">
        <x:v>COMPLETE</x:v>
      </x:c>
      <x:c r="F789" s="1" t="str">
        <x:v>Advance shipping</x:v>
      </x:c>
      <x:c r="G789" s="6" t="n">
        <x:v>2</x:v>
      </x:c>
      <x:c r="H789" s="6" t="n">
        <x:v>4</x:v>
      </x:c>
      <x:c r="I789" s="6" t="n">
        <x:f>G789-H789</x:f>
        <x:v>-2</x:v>
      </x:c>
      <x:c r="J789" s="6" t="n">
        <x:f>IF(OR(E789="CANCELED",E789="SUSPECTED_FRAUD",F789="Shipping canceled"),0,1)</x:f>
        <x:v>1</x:v>
      </x:c>
      <x:c r="K789" s="6" t="n">
        <x:f>IF(G789&gt;H789,1,0)</x:f>
        <x:v>0</x:v>
      </x:c>
      <x:c r="L789" s="6" t="n">
        <x:f>J789*K789</x:f>
        <x:v>0</x:v>
      </x:c>
    </x:row>
    <x:row r="790">
      <x:c r="A790" s="1" t="n">
        <x:v>6832</x:v>
      </x:c>
      <x:c r="B790" s="5" t="d">
        <x:v>2015-04-10T00:00:00.000Z</x:v>
      </x:c>
      <x:c r="C790" s="1" t="str">
        <x:v>Standard Class</x:v>
      </x:c>
      <x:c r="D790" s="1" t="str">
        <x:v>LATAM</x:v>
      </x:c>
      <x:c r="E790" s="1" t="str">
        <x:v>PENDING</x:v>
      </x:c>
      <x:c r="F790" s="1" t="str">
        <x:v>Advance shipping</x:v>
      </x:c>
      <x:c r="G790" s="6" t="n">
        <x:v>3</x:v>
      </x:c>
      <x:c r="H790" s="6" t="n">
        <x:v>4</x:v>
      </x:c>
      <x:c r="I790" s="6" t="n">
        <x:f>G790-H790</x:f>
        <x:v>-1</x:v>
      </x:c>
      <x:c r="J790" s="6" t="n">
        <x:f>IF(OR(E790="CANCELED",E790="SUSPECTED_FRAUD",F790="Shipping canceled"),0,1)</x:f>
        <x:v>1</x:v>
      </x:c>
      <x:c r="K790" s="6" t="n">
        <x:f>IF(G790&gt;H790,1,0)</x:f>
        <x:v>0</x:v>
      </x:c>
      <x:c r="L790" s="6" t="n">
        <x:f>J790*K790</x:f>
        <x:v>0</x:v>
      </x:c>
    </x:row>
    <x:row r="791">
      <x:c r="A791" s="1" t="n">
        <x:v>6833</x:v>
      </x:c>
      <x:c r="B791" s="5" t="d">
        <x:v>2015-04-10T00:00:00.000Z</x:v>
      </x:c>
      <x:c r="C791" s="1" t="str">
        <x:v>Standard Class</x:v>
      </x:c>
      <x:c r="D791" s="1" t="str">
        <x:v>LATAM</x:v>
      </x:c>
      <x:c r="E791" s="1" t="str">
        <x:v>CLOSED</x:v>
      </x:c>
      <x:c r="F791" s="1" t="str">
        <x:v>Shipping on time</x:v>
      </x:c>
      <x:c r="G791" s="6" t="n">
        <x:v>4</x:v>
      </x:c>
      <x:c r="H791" s="6" t="n">
        <x:v>4</x:v>
      </x:c>
      <x:c r="I791" s="6" t="n">
        <x:f>G791-H791</x:f>
        <x:v>0</x:v>
      </x:c>
      <x:c r="J791" s="6" t="n">
        <x:f>IF(OR(E791="CANCELED",E791="SUSPECTED_FRAUD",F791="Shipping canceled"),0,1)</x:f>
        <x:v>1</x:v>
      </x:c>
      <x:c r="K791" s="6" t="n">
        <x:f>IF(G791&gt;H791,1,0)</x:f>
        <x:v>0</x:v>
      </x:c>
      <x:c r="L791" s="6" t="n">
        <x:f>J791*K791</x:f>
        <x:v>0</x:v>
      </x:c>
    </x:row>
    <x:row r="792">
      <x:c r="A792" s="1" t="n">
        <x:v>6837</x:v>
      </x:c>
      <x:c r="B792" s="5" t="d">
        <x:v>2015-04-10T00:00:00.000Z</x:v>
      </x:c>
      <x:c r="C792" s="1" t="str">
        <x:v>Second Class</x:v>
      </x:c>
      <x:c r="D792" s="1" t="str">
        <x:v>LATAM</x:v>
      </x:c>
      <x:c r="E792" s="1" t="str">
        <x:v>COMPLETE</x:v>
      </x:c>
      <x:c r="F792" s="1" t="str">
        <x:v>Late delivery</x:v>
      </x:c>
      <x:c r="G792" s="6" t="n">
        <x:v>3</x:v>
      </x:c>
      <x:c r="H792" s="6" t="n">
        <x:v>2</x:v>
      </x:c>
      <x:c r="I792" s="6" t="n">
        <x:f>G792-H792</x:f>
        <x:v>1</x:v>
      </x:c>
      <x:c r="J792" s="6" t="n">
        <x:f>IF(OR(E792="CANCELED",E792="SUSPECTED_FRAUD",F792="Shipping canceled"),0,1)</x:f>
        <x:v>1</x:v>
      </x:c>
      <x:c r="K792" s="6" t="n">
        <x:f>IF(G792&gt;H792,1,0)</x:f>
        <x:v>1</x:v>
      </x:c>
      <x:c r="L792" s="6" t="n">
        <x:f>J792*K792</x:f>
        <x:v>1</x:v>
      </x:c>
    </x:row>
    <x:row r="793">
      <x:c r="A793" s="1" t="n">
        <x:v>6879</x:v>
      </x:c>
      <x:c r="B793" s="5" t="d">
        <x:v>2015-04-11T00:00:00.000Z</x:v>
      </x:c>
      <x:c r="C793" s="1" t="str">
        <x:v>Standard Class</x:v>
      </x:c>
      <x:c r="D793" s="1" t="str">
        <x:v>LATAM</x:v>
      </x:c>
      <x:c r="E793" s="1" t="str">
        <x:v>PENDING_PAYMENT</x:v>
      </x:c>
      <x:c r="F793" s="1" t="str">
        <x:v>Late delivery</x:v>
      </x:c>
      <x:c r="G793" s="6" t="n">
        <x:v>5</x:v>
      </x:c>
      <x:c r="H793" s="6" t="n">
        <x:v>4</x:v>
      </x:c>
      <x:c r="I793" s="6" t="n">
        <x:f>G793-H793</x:f>
        <x:v>1</x:v>
      </x:c>
      <x:c r="J793" s="6" t="n">
        <x:f>IF(OR(E793="CANCELED",E793="SUSPECTED_FRAUD",F793="Shipping canceled"),0,1)</x:f>
        <x:v>1</x:v>
      </x:c>
      <x:c r="K793" s="6" t="n">
        <x:f>IF(G793&gt;H793,1,0)</x:f>
        <x:v>1</x:v>
      </x:c>
      <x:c r="L793" s="6" t="n">
        <x:f>J793*K793</x:f>
        <x:v>1</x:v>
      </x:c>
    </x:row>
    <x:row r="794">
      <x:c r="A794" s="1" t="n">
        <x:v>6904</x:v>
      </x:c>
      <x:c r="B794" s="5" t="d">
        <x:v>2015-04-11T00:00:00.000Z</x:v>
      </x:c>
      <x:c r="C794" s="1" t="str">
        <x:v>Standard Class</x:v>
      </x:c>
      <x:c r="D794" s="1" t="str">
        <x:v>LATAM</x:v>
      </x:c>
      <x:c r="E794" s="1" t="str">
        <x:v>PROCESSING</x:v>
      </x:c>
      <x:c r="F794" s="1" t="str">
        <x:v>Late delivery</x:v>
      </x:c>
      <x:c r="G794" s="6" t="n">
        <x:v>5</x:v>
      </x:c>
      <x:c r="H794" s="6" t="n">
        <x:v>4</x:v>
      </x:c>
      <x:c r="I794" s="6" t="n">
        <x:f>G794-H794</x:f>
        <x:v>1</x:v>
      </x:c>
      <x:c r="J794" s="6" t="n">
        <x:f>IF(OR(E794="CANCELED",E794="SUSPECTED_FRAUD",F794="Shipping canceled"),0,1)</x:f>
        <x:v>1</x:v>
      </x:c>
      <x:c r="K794" s="6" t="n">
        <x:f>IF(G794&gt;H794,1,0)</x:f>
        <x:v>1</x:v>
      </x:c>
      <x:c r="L794" s="6" t="n">
        <x:f>J794*K794</x:f>
        <x:v>1</x:v>
      </x:c>
    </x:row>
    <x:row r="795">
      <x:c r="A795" s="1" t="n">
        <x:v>6921</x:v>
      </x:c>
      <x:c r="B795" s="5" t="d">
        <x:v>2015-04-12T00:00:00.000Z</x:v>
      </x:c>
      <x:c r="C795" s="1" t="str">
        <x:v>Standard Class</x:v>
      </x:c>
      <x:c r="D795" s="1" t="str">
        <x:v>LATAM</x:v>
      </x:c>
      <x:c r="E795" s="1" t="str">
        <x:v>CLOSED</x:v>
      </x:c>
      <x:c r="F795" s="1" t="str">
        <x:v>Advance shipping</x:v>
      </x:c>
      <x:c r="G795" s="6" t="n">
        <x:v>2</x:v>
      </x:c>
      <x:c r="H795" s="6" t="n">
        <x:v>4</x:v>
      </x:c>
      <x:c r="I795" s="6" t="n">
        <x:f>G795-H795</x:f>
        <x:v>-2</x:v>
      </x:c>
      <x:c r="J795" s="6" t="n">
        <x:f>IF(OR(E795="CANCELED",E795="SUSPECTED_FRAUD",F795="Shipping canceled"),0,1)</x:f>
        <x:v>1</x:v>
      </x:c>
      <x:c r="K795" s="6" t="n">
        <x:f>IF(G795&gt;H795,1,0)</x:f>
        <x:v>0</x:v>
      </x:c>
      <x:c r="L795" s="6" t="n">
        <x:f>J795*K795</x:f>
        <x:v>0</x:v>
      </x:c>
    </x:row>
    <x:row r="796">
      <x:c r="A796" s="1" t="n">
        <x:v>6926</x:v>
      </x:c>
      <x:c r="B796" s="5" t="d">
        <x:v>2015-04-12T00:00:00.000Z</x:v>
      </x:c>
      <x:c r="C796" s="1" t="str">
        <x:v>Standard Class</x:v>
      </x:c>
      <x:c r="D796" s="1" t="str">
        <x:v>LATAM</x:v>
      </x:c>
      <x:c r="E796" s="1" t="str">
        <x:v>COMPLETE</x:v>
      </x:c>
      <x:c r="F796" s="1" t="str">
        <x:v>Advance shipping</x:v>
      </x:c>
      <x:c r="G796" s="6" t="n">
        <x:v>2</x:v>
      </x:c>
      <x:c r="H796" s="6" t="n">
        <x:v>4</x:v>
      </x:c>
      <x:c r="I796" s="6" t="n">
        <x:f>G796-H796</x:f>
        <x:v>-2</x:v>
      </x:c>
      <x:c r="J796" s="6" t="n">
        <x:f>IF(OR(E796="CANCELED",E796="SUSPECTED_FRAUD",F796="Shipping canceled"),0,1)</x:f>
        <x:v>1</x:v>
      </x:c>
      <x:c r="K796" s="6" t="n">
        <x:f>IF(G796&gt;H796,1,0)</x:f>
        <x:v>0</x:v>
      </x:c>
      <x:c r="L796" s="6" t="n">
        <x:f>J796*K796</x:f>
        <x:v>0</x:v>
      </x:c>
    </x:row>
    <x:row r="797">
      <x:c r="A797" s="1" t="n">
        <x:v>6929</x:v>
      </x:c>
      <x:c r="B797" s="5" t="d">
        <x:v>2015-04-12T00:00:00.000Z</x:v>
      </x:c>
      <x:c r="C797" s="1" t="str">
        <x:v>Standard Class</x:v>
      </x:c>
      <x:c r="D797" s="1" t="str">
        <x:v>LATAM</x:v>
      </x:c>
      <x:c r="E797" s="1" t="str">
        <x:v>PENDING_PAYMENT</x:v>
      </x:c>
      <x:c r="F797" s="1" t="str">
        <x:v>Late delivery</x:v>
      </x:c>
      <x:c r="G797" s="6" t="n">
        <x:v>5</x:v>
      </x:c>
      <x:c r="H797" s="6" t="n">
        <x:v>4</x:v>
      </x:c>
      <x:c r="I797" s="6" t="n">
        <x:f>G797-H797</x:f>
        <x:v>1</x:v>
      </x:c>
      <x:c r="J797" s="6" t="n">
        <x:f>IF(OR(E797="CANCELED",E797="SUSPECTED_FRAUD",F797="Shipping canceled"),0,1)</x:f>
        <x:v>1</x:v>
      </x:c>
      <x:c r="K797" s="6" t="n">
        <x:f>IF(G797&gt;H797,1,0)</x:f>
        <x:v>1</x:v>
      </x:c>
      <x:c r="L797" s="6" t="n">
        <x:f>J797*K797</x:f>
        <x:v>1</x:v>
      </x:c>
    </x:row>
    <x:row r="798">
      <x:c r="A798" s="1" t="n">
        <x:v>6942</x:v>
      </x:c>
      <x:c r="B798" s="5" t="d">
        <x:v>2015-04-12T00:00:00.000Z</x:v>
      </x:c>
      <x:c r="C798" s="1" t="str">
        <x:v>First Class</x:v>
      </x:c>
      <x:c r="D798" s="1" t="str">
        <x:v>LATAM</x:v>
      </x:c>
      <x:c r="E798" s="1" t="str">
        <x:v>CLOSED</x:v>
      </x:c>
      <x:c r="F798" s="1" t="str">
        <x:v>Late delivery</x:v>
      </x:c>
      <x:c r="G798" s="6" t="n">
        <x:v>2</x:v>
      </x:c>
      <x:c r="H798" s="6" t="n">
        <x:v>1</x:v>
      </x:c>
      <x:c r="I798" s="6" t="n">
        <x:f>G798-H798</x:f>
        <x:v>1</x:v>
      </x:c>
      <x:c r="J798" s="6" t="n">
        <x:f>IF(OR(E798="CANCELED",E798="SUSPECTED_FRAUD",F798="Shipping canceled"),0,1)</x:f>
        <x:v>1</x:v>
      </x:c>
      <x:c r="K798" s="6" t="n">
        <x:f>IF(G798&gt;H798,1,0)</x:f>
        <x:v>1</x:v>
      </x:c>
      <x:c r="L798" s="6" t="n">
        <x:f>J798*K798</x:f>
        <x:v>1</x:v>
      </x:c>
    </x:row>
    <x:row r="799">
      <x:c r="A799" s="1" t="n">
        <x:v>6959</x:v>
      </x:c>
      <x:c r="B799" s="5" t="d">
        <x:v>2015-04-12T00:00:00.000Z</x:v>
      </x:c>
      <x:c r="C799" s="1" t="str">
        <x:v>Second Class</x:v>
      </x:c>
      <x:c r="D799" s="1" t="str">
        <x:v>LATAM</x:v>
      </x:c>
      <x:c r="E799" s="1" t="str">
        <x:v>COMPLETE</x:v>
      </x:c>
      <x:c r="F799" s="1" t="str">
        <x:v>Late delivery</x:v>
      </x:c>
      <x:c r="G799" s="6" t="n">
        <x:v>5</x:v>
      </x:c>
      <x:c r="H799" s="6" t="n">
        <x:v>2</x:v>
      </x:c>
      <x:c r="I799" s="6" t="n">
        <x:f>G799-H799</x:f>
        <x:v>3</x:v>
      </x:c>
      <x:c r="J799" s="6" t="n">
        <x:f>IF(OR(E799="CANCELED",E799="SUSPECTED_FRAUD",F799="Shipping canceled"),0,1)</x:f>
        <x:v>1</x:v>
      </x:c>
      <x:c r="K799" s="6" t="n">
        <x:f>IF(G799&gt;H799,1,0)</x:f>
        <x:v>1</x:v>
      </x:c>
      <x:c r="L799" s="6" t="n">
        <x:f>J799*K799</x:f>
        <x:v>1</x:v>
      </x:c>
    </x:row>
    <x:row r="800">
      <x:c r="A800" s="1" t="n">
        <x:v>6961</x:v>
      </x:c>
      <x:c r="B800" s="5" t="d">
        <x:v>2015-04-12T00:00:00.000Z</x:v>
      </x:c>
      <x:c r="C800" s="1" t="str">
        <x:v>Standard Class</x:v>
      </x:c>
      <x:c r="D800" s="1" t="str">
        <x:v>LATAM</x:v>
      </x:c>
      <x:c r="E800" s="1" t="str">
        <x:v>PENDING_PAYMENT</x:v>
      </x:c>
      <x:c r="F800" s="1" t="str">
        <x:v>Advance shipping</x:v>
      </x:c>
      <x:c r="G800" s="6" t="n">
        <x:v>2</x:v>
      </x:c>
      <x:c r="H800" s="6" t="n">
        <x:v>4</x:v>
      </x:c>
      <x:c r="I800" s="6" t="n">
        <x:f>G800-H800</x:f>
        <x:v>-2</x:v>
      </x:c>
      <x:c r="J800" s="6" t="n">
        <x:f>IF(OR(E800="CANCELED",E800="SUSPECTED_FRAUD",F800="Shipping canceled"),0,1)</x:f>
        <x:v>1</x:v>
      </x:c>
      <x:c r="K800" s="6" t="n">
        <x:f>IF(G800&gt;H800,1,0)</x:f>
        <x:v>0</x:v>
      </x:c>
      <x:c r="L800" s="6" t="n">
        <x:f>J800*K800</x:f>
        <x:v>0</x:v>
      </x:c>
    </x:row>
    <x:row r="801">
      <x:c r="A801" s="1" t="n">
        <x:v>6965</x:v>
      </x:c>
      <x:c r="B801" s="5" t="d">
        <x:v>2015-04-12T00:00:00.000Z</x:v>
      </x:c>
      <x:c r="C801" s="1" t="str">
        <x:v>Second Class</x:v>
      </x:c>
      <x:c r="D801" s="1" t="str">
        <x:v>LATAM</x:v>
      </x:c>
      <x:c r="E801" s="1" t="str">
        <x:v>SUSPECTED_FRAUD</x:v>
      </x:c>
      <x:c r="F801" s="1" t="str">
        <x:v>Shipping canceled</x:v>
      </x:c>
      <x:c r="G801" s="6" t="n">
        <x:v>6</x:v>
      </x:c>
      <x:c r="H801" s="6" t="n">
        <x:v>2</x:v>
      </x:c>
      <x:c r="I801" s="6" t="n">
        <x:f>G801-H801</x:f>
        <x:v>4</x:v>
      </x:c>
      <x:c r="J801" s="6" t="n">
        <x:f>IF(OR(E801="CANCELED",E801="SUSPECTED_FRAUD",F801="Shipping canceled"),0,1)</x:f>
        <x:v>0</x:v>
      </x:c>
      <x:c r="K801" s="6" t="n">
        <x:f>IF(G801&gt;H801,1,0)</x:f>
        <x:v>1</x:v>
      </x:c>
      <x:c r="L801" s="6" t="n">
        <x:f>J801*K801</x:f>
        <x:v>0</x:v>
      </x:c>
    </x:row>
    <x:row r="802">
      <x:c r="A802" s="1" t="n">
        <x:v>6980</x:v>
      </x:c>
      <x:c r="B802" s="5" t="d">
        <x:v>2015-04-12T00:00:00.000Z</x:v>
      </x:c>
      <x:c r="C802" s="1" t="str">
        <x:v>Standard Class</x:v>
      </x:c>
      <x:c r="D802" s="1" t="str">
        <x:v>LATAM</x:v>
      </x:c>
      <x:c r="E802" s="1" t="str">
        <x:v>PENDING</x:v>
      </x:c>
      <x:c r="F802" s="1" t="str">
        <x:v>Late delivery</x:v>
      </x:c>
      <x:c r="G802" s="6" t="n">
        <x:v>6</x:v>
      </x:c>
      <x:c r="H802" s="6" t="n">
        <x:v>4</x:v>
      </x:c>
      <x:c r="I802" s="6" t="n">
        <x:f>G802-H802</x:f>
        <x:v>2</x:v>
      </x:c>
      <x:c r="J802" s="6" t="n">
        <x:f>IF(OR(E802="CANCELED",E802="SUSPECTED_FRAUD",F802="Shipping canceled"),0,1)</x:f>
        <x:v>1</x:v>
      </x:c>
      <x:c r="K802" s="6" t="n">
        <x:f>IF(G802&gt;H802,1,0)</x:f>
        <x:v>1</x:v>
      </x:c>
      <x:c r="L802" s="6" t="n">
        <x:f>J802*K802</x:f>
        <x:v>1</x:v>
      </x:c>
    </x:row>
    <x:row r="803">
      <x:c r="A803" s="1" t="n">
        <x:v>6983</x:v>
      </x:c>
      <x:c r="B803" s="5" t="d">
        <x:v>2015-04-12T00:00:00.000Z</x:v>
      </x:c>
      <x:c r="C803" s="1" t="str">
        <x:v>First Class</x:v>
      </x:c>
      <x:c r="D803" s="1" t="str">
        <x:v>LATAM</x:v>
      </x:c>
      <x:c r="E803" s="1" t="str">
        <x:v>CLOSED</x:v>
      </x:c>
      <x:c r="F803" s="1" t="str">
        <x:v>Late delivery</x:v>
      </x:c>
      <x:c r="G803" s="6" t="n">
        <x:v>2</x:v>
      </x:c>
      <x:c r="H803" s="6" t="n">
        <x:v>1</x:v>
      </x:c>
      <x:c r="I803" s="6" t="n">
        <x:f>G803-H803</x:f>
        <x:v>1</x:v>
      </x:c>
      <x:c r="J803" s="6" t="n">
        <x:f>IF(OR(E803="CANCELED",E803="SUSPECTED_FRAUD",F803="Shipping canceled"),0,1)</x:f>
        <x:v>1</x:v>
      </x:c>
      <x:c r="K803" s="6" t="n">
        <x:f>IF(G803&gt;H803,1,0)</x:f>
        <x:v>1</x:v>
      </x:c>
      <x:c r="L803" s="6" t="n">
        <x:f>J803*K803</x:f>
        <x:v>1</x:v>
      </x:c>
    </x:row>
    <x:row r="804">
      <x:c r="A804" s="1" t="n">
        <x:v>7005</x:v>
      </x:c>
      <x:c r="B804" s="5" t="d">
        <x:v>2015-04-13T00:00:00.000Z</x:v>
      </x:c>
      <x:c r="C804" s="1" t="str">
        <x:v>Second Class</x:v>
      </x:c>
      <x:c r="D804" s="1" t="str">
        <x:v>LATAM</x:v>
      </x:c>
      <x:c r="E804" s="1" t="str">
        <x:v>COMPLETE</x:v>
      </x:c>
      <x:c r="F804" s="1" t="str">
        <x:v>Late delivery</x:v>
      </x:c>
      <x:c r="G804" s="6" t="n">
        <x:v>6</x:v>
      </x:c>
      <x:c r="H804" s="6" t="n">
        <x:v>2</x:v>
      </x:c>
      <x:c r="I804" s="6" t="n">
        <x:f>G804-H804</x:f>
        <x:v>4</x:v>
      </x:c>
      <x:c r="J804" s="6" t="n">
        <x:f>IF(OR(E804="CANCELED",E804="SUSPECTED_FRAUD",F804="Shipping canceled"),0,1)</x:f>
        <x:v>1</x:v>
      </x:c>
      <x:c r="K804" s="6" t="n">
        <x:f>IF(G804&gt;H804,1,0)</x:f>
        <x:v>1</x:v>
      </x:c>
      <x:c r="L804" s="6" t="n">
        <x:f>J804*K804</x:f>
        <x:v>1</x:v>
      </x:c>
    </x:row>
    <x:row r="805">
      <x:c r="A805" s="1" t="n">
        <x:v>7008</x:v>
      </x:c>
      <x:c r="B805" s="5" t="d">
        <x:v>2015-04-13T00:00:00.000Z</x:v>
      </x:c>
      <x:c r="C805" s="1" t="str">
        <x:v>Standard Class</x:v>
      </x:c>
      <x:c r="D805" s="1" t="str">
        <x:v>LATAM</x:v>
      </x:c>
      <x:c r="E805" s="1" t="str">
        <x:v>COMPLETE</x:v>
      </x:c>
      <x:c r="F805" s="1" t="str">
        <x:v>Shipping on time</x:v>
      </x:c>
      <x:c r="G805" s="6" t="n">
        <x:v>4</x:v>
      </x:c>
      <x:c r="H805" s="6" t="n">
        <x:v>4</x:v>
      </x:c>
      <x:c r="I805" s="6" t="n">
        <x:f>G805-H805</x:f>
        <x:v>0</x:v>
      </x:c>
      <x:c r="J805" s="6" t="n">
        <x:f>IF(OR(E805="CANCELED",E805="SUSPECTED_FRAUD",F805="Shipping canceled"),0,1)</x:f>
        <x:v>1</x:v>
      </x:c>
      <x:c r="K805" s="6" t="n">
        <x:f>IF(G805&gt;H805,1,0)</x:f>
        <x:v>0</x:v>
      </x:c>
      <x:c r="L805" s="6" t="n">
        <x:f>J805*K805</x:f>
        <x:v>0</x:v>
      </x:c>
    </x:row>
    <x:row r="806">
      <x:c r="A806" s="1" t="n">
        <x:v>7010</x:v>
      </x:c>
      <x:c r="B806" s="5" t="d">
        <x:v>2015-04-13T00:00:00.000Z</x:v>
      </x:c>
      <x:c r="C806" s="1" t="str">
        <x:v>Standard Class</x:v>
      </x:c>
      <x:c r="D806" s="1" t="str">
        <x:v>LATAM</x:v>
      </x:c>
      <x:c r="E806" s="1" t="str">
        <x:v>PROCESSING</x:v>
      </x:c>
      <x:c r="F806" s="1" t="str">
        <x:v>Late delivery</x:v>
      </x:c>
      <x:c r="G806" s="6" t="n">
        <x:v>6</x:v>
      </x:c>
      <x:c r="H806" s="6" t="n">
        <x:v>4</x:v>
      </x:c>
      <x:c r="I806" s="6" t="n">
        <x:f>G806-H806</x:f>
        <x:v>2</x:v>
      </x:c>
      <x:c r="J806" s="6" t="n">
        <x:f>IF(OR(E806="CANCELED",E806="SUSPECTED_FRAUD",F806="Shipping canceled"),0,1)</x:f>
        <x:v>1</x:v>
      </x:c>
      <x:c r="K806" s="6" t="n">
        <x:f>IF(G806&gt;H806,1,0)</x:f>
        <x:v>1</x:v>
      </x:c>
      <x:c r="L806" s="6" t="n">
        <x:f>J806*K806</x:f>
        <x:v>1</x:v>
      </x:c>
    </x:row>
    <x:row r="807">
      <x:c r="A807" s="1" t="n">
        <x:v>7016</x:v>
      </x:c>
      <x:c r="B807" s="5" t="d">
        <x:v>2015-04-13T00:00:00.000Z</x:v>
      </x:c>
      <x:c r="C807" s="1" t="str">
        <x:v>Standard Class</x:v>
      </x:c>
      <x:c r="D807" s="1" t="str">
        <x:v>LATAM</x:v>
      </x:c>
      <x:c r="E807" s="1" t="str">
        <x:v>CLOSED</x:v>
      </x:c>
      <x:c r="F807" s="1" t="str">
        <x:v>Advance shipping</x:v>
      </x:c>
      <x:c r="G807" s="6" t="n">
        <x:v>2</x:v>
      </x:c>
      <x:c r="H807" s="6" t="n">
        <x:v>4</x:v>
      </x:c>
      <x:c r="I807" s="6" t="n">
        <x:f>G807-H807</x:f>
        <x:v>-2</x:v>
      </x:c>
      <x:c r="J807" s="6" t="n">
        <x:f>IF(OR(E807="CANCELED",E807="SUSPECTED_FRAUD",F807="Shipping canceled"),0,1)</x:f>
        <x:v>1</x:v>
      </x:c>
      <x:c r="K807" s="6" t="n">
        <x:f>IF(G807&gt;H807,1,0)</x:f>
        <x:v>0</x:v>
      </x:c>
      <x:c r="L807" s="6" t="n">
        <x:f>J807*K807</x:f>
        <x:v>0</x:v>
      </x:c>
    </x:row>
    <x:row r="808">
      <x:c r="A808" s="1" t="n">
        <x:v>7022</x:v>
      </x:c>
      <x:c r="B808" s="5" t="d">
        <x:v>2015-04-13T00:00:00.000Z</x:v>
      </x:c>
      <x:c r="C808" s="1" t="str">
        <x:v>First Class</x:v>
      </x:c>
      <x:c r="D808" s="1" t="str">
        <x:v>LATAM</x:v>
      </x:c>
      <x:c r="E808" s="1" t="str">
        <x:v>CLOSED</x:v>
      </x:c>
      <x:c r="F808" s="1" t="str">
        <x:v>Late delivery</x:v>
      </x:c>
      <x:c r="G808" s="6" t="n">
        <x:v>2</x:v>
      </x:c>
      <x:c r="H808" s="6" t="n">
        <x:v>1</x:v>
      </x:c>
      <x:c r="I808" s="6" t="n">
        <x:f>G808-H808</x:f>
        <x:v>1</x:v>
      </x:c>
      <x:c r="J808" s="6" t="n">
        <x:f>IF(OR(E808="CANCELED",E808="SUSPECTED_FRAUD",F808="Shipping canceled"),0,1)</x:f>
        <x:v>1</x:v>
      </x:c>
      <x:c r="K808" s="6" t="n">
        <x:f>IF(G808&gt;H808,1,0)</x:f>
        <x:v>1</x:v>
      </x:c>
      <x:c r="L808" s="6" t="n">
        <x:f>J808*K808</x:f>
        <x:v>1</x:v>
      </x:c>
    </x:row>
    <x:row r="809">
      <x:c r="A809" s="1" t="n">
        <x:v>7043</x:v>
      </x:c>
      <x:c r="B809" s="5" t="d">
        <x:v>2015-04-13T00:00:00.000Z</x:v>
      </x:c>
      <x:c r="C809" s="1" t="str">
        <x:v>Standard Class</x:v>
      </x:c>
      <x:c r="D809" s="1" t="str">
        <x:v>LATAM</x:v>
      </x:c>
      <x:c r="E809" s="1" t="str">
        <x:v>COMPLETE</x:v>
      </x:c>
      <x:c r="F809" s="1" t="str">
        <x:v>Shipping on time</x:v>
      </x:c>
      <x:c r="G809" s="6" t="n">
        <x:v>4</x:v>
      </x:c>
      <x:c r="H809" s="6" t="n">
        <x:v>4</x:v>
      </x:c>
      <x:c r="I809" s="6" t="n">
        <x:f>G809-H809</x:f>
        <x:v>0</x:v>
      </x:c>
      <x:c r="J809" s="6" t="n">
        <x:f>IF(OR(E809="CANCELED",E809="SUSPECTED_FRAUD",F809="Shipping canceled"),0,1)</x:f>
        <x:v>1</x:v>
      </x:c>
      <x:c r="K809" s="6" t="n">
        <x:f>IF(G809&gt;H809,1,0)</x:f>
        <x:v>0</x:v>
      </x:c>
      <x:c r="L809" s="6" t="n">
        <x:f>J809*K809</x:f>
        <x:v>0</x:v>
      </x:c>
    </x:row>
    <x:row r="810">
      <x:c r="A810" s="1" t="n">
        <x:v>7045</x:v>
      </x:c>
      <x:c r="B810" s="5" t="d">
        <x:v>2015-04-13T00:00:00.000Z</x:v>
      </x:c>
      <x:c r="C810" s="1" t="str">
        <x:v>Standard Class</x:v>
      </x:c>
      <x:c r="D810" s="1" t="str">
        <x:v>LATAM</x:v>
      </x:c>
      <x:c r="E810" s="1" t="str">
        <x:v>COMPLETE</x:v>
      </x:c>
      <x:c r="F810" s="1" t="str">
        <x:v>Late delivery</x:v>
      </x:c>
      <x:c r="G810" s="6" t="n">
        <x:v>6</x:v>
      </x:c>
      <x:c r="H810" s="6" t="n">
        <x:v>4</x:v>
      </x:c>
      <x:c r="I810" s="6" t="n">
        <x:f>G810-H810</x:f>
        <x:v>2</x:v>
      </x:c>
      <x:c r="J810" s="6" t="n">
        <x:f>IF(OR(E810="CANCELED",E810="SUSPECTED_FRAUD",F810="Shipping canceled"),0,1)</x:f>
        <x:v>1</x:v>
      </x:c>
      <x:c r="K810" s="6" t="n">
        <x:f>IF(G810&gt;H810,1,0)</x:f>
        <x:v>1</x:v>
      </x:c>
      <x:c r="L810" s="6" t="n">
        <x:f>J810*K810</x:f>
        <x:v>1</x:v>
      </x:c>
    </x:row>
    <x:row r="811">
      <x:c r="A811" s="1" t="n">
        <x:v>7049</x:v>
      </x:c>
      <x:c r="B811" s="5" t="d">
        <x:v>2015-04-13T00:00:00.000Z</x:v>
      </x:c>
      <x:c r="C811" s="1" t="str">
        <x:v>First Class</x:v>
      </x:c>
      <x:c r="D811" s="1" t="str">
        <x:v>LATAM</x:v>
      </x:c>
      <x:c r="E811" s="1" t="str">
        <x:v>CLOSED</x:v>
      </x:c>
      <x:c r="F811" s="1" t="str">
        <x:v>Late delivery</x:v>
      </x:c>
      <x:c r="G811" s="6" t="n">
        <x:v>2</x:v>
      </x:c>
      <x:c r="H811" s="6" t="n">
        <x:v>1</x:v>
      </x:c>
      <x:c r="I811" s="6" t="n">
        <x:f>G811-H811</x:f>
        <x:v>1</x:v>
      </x:c>
      <x:c r="J811" s="6" t="n">
        <x:f>IF(OR(E811="CANCELED",E811="SUSPECTED_FRAUD",F811="Shipping canceled"),0,1)</x:f>
        <x:v>1</x:v>
      </x:c>
      <x:c r="K811" s="6" t="n">
        <x:f>IF(G811&gt;H811,1,0)</x:f>
        <x:v>1</x:v>
      </x:c>
      <x:c r="L811" s="6" t="n">
        <x:f>J811*K811</x:f>
        <x:v>1</x:v>
      </x:c>
    </x:row>
    <x:row r="812">
      <x:c r="A812" s="1" t="n">
        <x:v>7050</x:v>
      </x:c>
      <x:c r="B812" s="5" t="d">
        <x:v>2015-04-13T00:00:00.000Z</x:v>
      </x:c>
      <x:c r="C812" s="1" t="str">
        <x:v>Second Class</x:v>
      </x:c>
      <x:c r="D812" s="1" t="str">
        <x:v>LATAM</x:v>
      </x:c>
      <x:c r="E812" s="1" t="str">
        <x:v>CLOSED</x:v>
      </x:c>
      <x:c r="F812" s="1" t="str">
        <x:v>Late delivery</x:v>
      </x:c>
      <x:c r="G812" s="6" t="n">
        <x:v>6</x:v>
      </x:c>
      <x:c r="H812" s="6" t="n">
        <x:v>2</x:v>
      </x:c>
      <x:c r="I812" s="6" t="n">
        <x:f>G812-H812</x:f>
        <x:v>4</x:v>
      </x:c>
      <x:c r="J812" s="6" t="n">
        <x:f>IF(OR(E812="CANCELED",E812="SUSPECTED_FRAUD",F812="Shipping canceled"),0,1)</x:f>
        <x:v>1</x:v>
      </x:c>
      <x:c r="K812" s="6" t="n">
        <x:f>IF(G812&gt;H812,1,0)</x:f>
        <x:v>1</x:v>
      </x:c>
      <x:c r="L812" s="6" t="n">
        <x:f>J812*K812</x:f>
        <x:v>1</x:v>
      </x:c>
    </x:row>
    <x:row r="813">
      <x:c r="A813" s="1" t="n">
        <x:v>7052</x:v>
      </x:c>
      <x:c r="B813" s="5" t="d">
        <x:v>2015-04-13T00:00:00.000Z</x:v>
      </x:c>
      <x:c r="C813" s="1" t="str">
        <x:v>Standard Class</x:v>
      </x:c>
      <x:c r="D813" s="1" t="str">
        <x:v>LATAM</x:v>
      </x:c>
      <x:c r="E813" s="1" t="str">
        <x:v>COMPLETE</x:v>
      </x:c>
      <x:c r="F813" s="1" t="str">
        <x:v>Advance shipping</x:v>
      </x:c>
      <x:c r="G813" s="6" t="n">
        <x:v>3</x:v>
      </x:c>
      <x:c r="H813" s="6" t="n">
        <x:v>4</x:v>
      </x:c>
      <x:c r="I813" s="6" t="n">
        <x:f>G813-H813</x:f>
        <x:v>-1</x:v>
      </x:c>
      <x:c r="J813" s="6" t="n">
        <x:f>IF(OR(E813="CANCELED",E813="SUSPECTED_FRAUD",F813="Shipping canceled"),0,1)</x:f>
        <x:v>1</x:v>
      </x:c>
      <x:c r="K813" s="6" t="n">
        <x:f>IF(G813&gt;H813,1,0)</x:f>
        <x:v>0</x:v>
      </x:c>
      <x:c r="L813" s="6" t="n">
        <x:f>J813*K813</x:f>
        <x:v>0</x:v>
      </x:c>
    </x:row>
    <x:row r="814">
      <x:c r="A814" s="1" t="n">
        <x:v>7059</x:v>
      </x:c>
      <x:c r="B814" s="5" t="d">
        <x:v>2015-04-14T00:00:00.000Z</x:v>
      </x:c>
      <x:c r="C814" s="1" t="str">
        <x:v>Standard Class</x:v>
      </x:c>
      <x:c r="D814" s="1" t="str">
        <x:v>LATAM</x:v>
      </x:c>
      <x:c r="E814" s="1" t="str">
        <x:v>PENDING</x:v>
      </x:c>
      <x:c r="F814" s="1" t="str">
        <x:v>Late delivery</x:v>
      </x:c>
      <x:c r="G814" s="6" t="n">
        <x:v>5</x:v>
      </x:c>
      <x:c r="H814" s="6" t="n">
        <x:v>4</x:v>
      </x:c>
      <x:c r="I814" s="6" t="n">
        <x:f>G814-H814</x:f>
        <x:v>1</x:v>
      </x:c>
      <x:c r="J814" s="6" t="n">
        <x:f>IF(OR(E814="CANCELED",E814="SUSPECTED_FRAUD",F814="Shipping canceled"),0,1)</x:f>
        <x:v>1</x:v>
      </x:c>
      <x:c r="K814" s="6" t="n">
        <x:f>IF(G814&gt;H814,1,0)</x:f>
        <x:v>1</x:v>
      </x:c>
      <x:c r="L814" s="6" t="n">
        <x:f>J814*K814</x:f>
        <x:v>1</x:v>
      </x:c>
    </x:row>
    <x:row r="815">
      <x:c r="A815" s="1" t="n">
        <x:v>7084</x:v>
      </x:c>
      <x:c r="B815" s="5" t="d">
        <x:v>2015-04-14T00:00:00.000Z</x:v>
      </x:c>
      <x:c r="C815" s="1" t="str">
        <x:v>Standard Class</x:v>
      </x:c>
      <x:c r="D815" s="1" t="str">
        <x:v>LATAM</x:v>
      </x:c>
      <x:c r="E815" s="1" t="str">
        <x:v>PROCESSING</x:v>
      </x:c>
      <x:c r="F815" s="1" t="str">
        <x:v>Late delivery</x:v>
      </x:c>
      <x:c r="G815" s="6" t="n">
        <x:v>5</x:v>
      </x:c>
      <x:c r="H815" s="6" t="n">
        <x:v>4</x:v>
      </x:c>
      <x:c r="I815" s="6" t="n">
        <x:f>G815-H815</x:f>
        <x:v>1</x:v>
      </x:c>
      <x:c r="J815" s="6" t="n">
        <x:f>IF(OR(E815="CANCELED",E815="SUSPECTED_FRAUD",F815="Shipping canceled"),0,1)</x:f>
        <x:v>1</x:v>
      </x:c>
      <x:c r="K815" s="6" t="n">
        <x:f>IF(G815&gt;H815,1,0)</x:f>
        <x:v>1</x:v>
      </x:c>
      <x:c r="L815" s="6" t="n">
        <x:f>J815*K815</x:f>
        <x:v>1</x:v>
      </x:c>
    </x:row>
    <x:row r="816">
      <x:c r="A816" s="1" t="n">
        <x:v>7087</x:v>
      </x:c>
      <x:c r="B816" s="5" t="d">
        <x:v>2015-04-14T00:00:00.000Z</x:v>
      </x:c>
      <x:c r="C816" s="1" t="str">
        <x:v>Standard Class</x:v>
      </x:c>
      <x:c r="D816" s="1" t="str">
        <x:v>LATAM</x:v>
      </x:c>
      <x:c r="E816" s="1" t="str">
        <x:v>CLOSED</x:v>
      </x:c>
      <x:c r="F816" s="1" t="str">
        <x:v>Advance shipping</x:v>
      </x:c>
      <x:c r="G816" s="6" t="n">
        <x:v>3</x:v>
      </x:c>
      <x:c r="H816" s="6" t="n">
        <x:v>4</x:v>
      </x:c>
      <x:c r="I816" s="6" t="n">
        <x:f>G816-H816</x:f>
        <x:v>-1</x:v>
      </x:c>
      <x:c r="J816" s="6" t="n">
        <x:f>IF(OR(E816="CANCELED",E816="SUSPECTED_FRAUD",F816="Shipping canceled"),0,1)</x:f>
        <x:v>1</x:v>
      </x:c>
      <x:c r="K816" s="6" t="n">
        <x:f>IF(G816&gt;H816,1,0)</x:f>
        <x:v>0</x:v>
      </x:c>
      <x:c r="L816" s="6" t="n">
        <x:f>J816*K816</x:f>
        <x:v>0</x:v>
      </x:c>
    </x:row>
    <x:row r="817">
      <x:c r="A817" s="1" t="n">
        <x:v>7088</x:v>
      </x:c>
      <x:c r="B817" s="5" t="d">
        <x:v>2015-04-14T00:00:00.000Z</x:v>
      </x:c>
      <x:c r="C817" s="1" t="str">
        <x:v>Standard Class</x:v>
      </x:c>
      <x:c r="D817" s="1" t="str">
        <x:v>LATAM</x:v>
      </x:c>
      <x:c r="E817" s="1" t="str">
        <x:v>ON_HOLD</x:v>
      </x:c>
      <x:c r="F817" s="1" t="str">
        <x:v>Shipping on time</x:v>
      </x:c>
      <x:c r="G817" s="6" t="n">
        <x:v>4</x:v>
      </x:c>
      <x:c r="H817" s="6" t="n">
        <x:v>4</x:v>
      </x:c>
      <x:c r="I817" s="6" t="n">
        <x:f>G817-H817</x:f>
        <x:v>0</x:v>
      </x:c>
      <x:c r="J817" s="6" t="n">
        <x:f>IF(OR(E817="CANCELED",E817="SUSPECTED_FRAUD",F817="Shipping canceled"),0,1)</x:f>
        <x:v>1</x:v>
      </x:c>
      <x:c r="K817" s="6" t="n">
        <x:f>IF(G817&gt;H817,1,0)</x:f>
        <x:v>0</x:v>
      </x:c>
      <x:c r="L817" s="6" t="n">
        <x:f>J817*K817</x:f>
        <x:v>0</x:v>
      </x:c>
    </x:row>
    <x:row r="818">
      <x:c r="A818" s="1" t="n">
        <x:v>7096</x:v>
      </x:c>
      <x:c r="B818" s="5" t="d">
        <x:v>2015-04-14T00:00:00.000Z</x:v>
      </x:c>
      <x:c r="C818" s="1" t="str">
        <x:v>Standard Class</x:v>
      </x:c>
      <x:c r="D818" s="1" t="str">
        <x:v>LATAM</x:v>
      </x:c>
      <x:c r="E818" s="1" t="str">
        <x:v>PENDING</x:v>
      </x:c>
      <x:c r="F818" s="1" t="str">
        <x:v>Advance shipping</x:v>
      </x:c>
      <x:c r="G818" s="6" t="n">
        <x:v>2</x:v>
      </x:c>
      <x:c r="H818" s="6" t="n">
        <x:v>4</x:v>
      </x:c>
      <x:c r="I818" s="6" t="n">
        <x:f>G818-H818</x:f>
        <x:v>-2</x:v>
      </x:c>
      <x:c r="J818" s="6" t="n">
        <x:f>IF(OR(E818="CANCELED",E818="SUSPECTED_FRAUD",F818="Shipping canceled"),0,1)</x:f>
        <x:v>1</x:v>
      </x:c>
      <x:c r="K818" s="6" t="n">
        <x:f>IF(G818&gt;H818,1,0)</x:f>
        <x:v>0</x:v>
      </x:c>
      <x:c r="L818" s="6" t="n">
        <x:f>J818*K818</x:f>
        <x:v>0</x:v>
      </x:c>
    </x:row>
    <x:row r="819">
      <x:c r="A819" s="1" t="n">
        <x:v>7102</x:v>
      </x:c>
      <x:c r="B819" s="5" t="d">
        <x:v>2015-04-14T00:00:00.000Z</x:v>
      </x:c>
      <x:c r="C819" s="1" t="str">
        <x:v>Standard Class</x:v>
      </x:c>
      <x:c r="D819" s="1" t="str">
        <x:v>LATAM</x:v>
      </x:c>
      <x:c r="E819" s="1" t="str">
        <x:v>PENDING</x:v>
      </x:c>
      <x:c r="F819" s="1" t="str">
        <x:v>Advance shipping</x:v>
      </x:c>
      <x:c r="G819" s="6" t="n">
        <x:v>3</x:v>
      </x:c>
      <x:c r="H819" s="6" t="n">
        <x:v>4</x:v>
      </x:c>
      <x:c r="I819" s="6" t="n">
        <x:f>G819-H819</x:f>
        <x:v>-1</x:v>
      </x:c>
      <x:c r="J819" s="6" t="n">
        <x:f>IF(OR(E819="CANCELED",E819="SUSPECTED_FRAUD",F819="Shipping canceled"),0,1)</x:f>
        <x:v>1</x:v>
      </x:c>
      <x:c r="K819" s="6" t="n">
        <x:f>IF(G819&gt;H819,1,0)</x:f>
        <x:v>0</x:v>
      </x:c>
      <x:c r="L819" s="6" t="n">
        <x:f>J819*K819</x:f>
        <x:v>0</x:v>
      </x:c>
    </x:row>
    <x:row r="820">
      <x:c r="A820" s="1" t="n">
        <x:v>7107</x:v>
      </x:c>
      <x:c r="B820" s="5" t="d">
        <x:v>2015-04-14T00:00:00.000Z</x:v>
      </x:c>
      <x:c r="C820" s="1" t="str">
        <x:v>Standard Class</x:v>
      </x:c>
      <x:c r="D820" s="1" t="str">
        <x:v>LATAM</x:v>
      </x:c>
      <x:c r="E820" s="1" t="str">
        <x:v>COMPLETE</x:v>
      </x:c>
      <x:c r="F820" s="1" t="str">
        <x:v>Advance shipping</x:v>
      </x:c>
      <x:c r="G820" s="6" t="n">
        <x:v>3</x:v>
      </x:c>
      <x:c r="H820" s="6" t="n">
        <x:v>4</x:v>
      </x:c>
      <x:c r="I820" s="6" t="n">
        <x:f>G820-H820</x:f>
        <x:v>-1</x:v>
      </x:c>
      <x:c r="J820" s="6" t="n">
        <x:f>IF(OR(E820="CANCELED",E820="SUSPECTED_FRAUD",F820="Shipping canceled"),0,1)</x:f>
        <x:v>1</x:v>
      </x:c>
      <x:c r="K820" s="6" t="n">
        <x:f>IF(G820&gt;H820,1,0)</x:f>
        <x:v>0</x:v>
      </x:c>
      <x:c r="L820" s="6" t="n">
        <x:f>J820*K820</x:f>
        <x:v>0</x:v>
      </x:c>
    </x:row>
    <x:row r="821">
      <x:c r="A821" s="1" t="n">
        <x:v>7114</x:v>
      </x:c>
      <x:c r="B821" s="5" t="d">
        <x:v>2015-04-14T00:00:00.000Z</x:v>
      </x:c>
      <x:c r="C821" s="1" t="str">
        <x:v>Standard Class</x:v>
      </x:c>
      <x:c r="D821" s="1" t="str">
        <x:v>LATAM</x:v>
      </x:c>
      <x:c r="E821" s="1" t="str">
        <x:v>COMPLETE</x:v>
      </x:c>
      <x:c r="F821" s="1" t="str">
        <x:v>Late delivery</x:v>
      </x:c>
      <x:c r="G821" s="6" t="n">
        <x:v>5</x:v>
      </x:c>
      <x:c r="H821" s="6" t="n">
        <x:v>4</x:v>
      </x:c>
      <x:c r="I821" s="6" t="n">
        <x:f>G821-H821</x:f>
        <x:v>1</x:v>
      </x:c>
      <x:c r="J821" s="6" t="n">
        <x:f>IF(OR(E821="CANCELED",E821="SUSPECTED_FRAUD",F821="Shipping canceled"),0,1)</x:f>
        <x:v>1</x:v>
      </x:c>
      <x:c r="K821" s="6" t="n">
        <x:f>IF(G821&gt;H821,1,0)</x:f>
        <x:v>1</x:v>
      </x:c>
      <x:c r="L821" s="6" t="n">
        <x:f>J821*K821</x:f>
        <x:v>1</x:v>
      </x:c>
    </x:row>
    <x:row r="822">
      <x:c r="A822" s="1" t="n">
        <x:v>7120</x:v>
      </x:c>
      <x:c r="B822" s="5" t="d">
        <x:v>2015-04-14T00:00:00.000Z</x:v>
      </x:c>
      <x:c r="C822" s="1" t="str">
        <x:v>Standard Class</x:v>
      </x:c>
      <x:c r="D822" s="1" t="str">
        <x:v>LATAM</x:v>
      </x:c>
      <x:c r="E822" s="1" t="str">
        <x:v>PENDING_PAYMENT</x:v>
      </x:c>
      <x:c r="F822" s="1" t="str">
        <x:v>Late delivery</x:v>
      </x:c>
      <x:c r="G822" s="6" t="n">
        <x:v>6</x:v>
      </x:c>
      <x:c r="H822" s="6" t="n">
        <x:v>4</x:v>
      </x:c>
      <x:c r="I822" s="6" t="n">
        <x:f>G822-H822</x:f>
        <x:v>2</x:v>
      </x:c>
      <x:c r="J822" s="6" t="n">
        <x:f>IF(OR(E822="CANCELED",E822="SUSPECTED_FRAUD",F822="Shipping canceled"),0,1)</x:f>
        <x:v>1</x:v>
      </x:c>
      <x:c r="K822" s="6" t="n">
        <x:f>IF(G822&gt;H822,1,0)</x:f>
        <x:v>1</x:v>
      </x:c>
      <x:c r="L822" s="6" t="n">
        <x:f>J822*K822</x:f>
        <x:v>1</x:v>
      </x:c>
    </x:row>
    <x:row r="823">
      <x:c r="A823" s="1" t="n">
        <x:v>7129</x:v>
      </x:c>
      <x:c r="B823" s="5" t="d">
        <x:v>2015-04-15T00:00:00.000Z</x:v>
      </x:c>
      <x:c r="C823" s="1" t="str">
        <x:v>Standard Class</x:v>
      </x:c>
      <x:c r="D823" s="1" t="str">
        <x:v>LATAM</x:v>
      </x:c>
      <x:c r="E823" s="1" t="str">
        <x:v>COMPLETE</x:v>
      </x:c>
      <x:c r="F823" s="1" t="str">
        <x:v>Late delivery</x:v>
      </x:c>
      <x:c r="G823" s="6" t="n">
        <x:v>5</x:v>
      </x:c>
      <x:c r="H823" s="6" t="n">
        <x:v>4</x:v>
      </x:c>
      <x:c r="I823" s="6" t="n">
        <x:f>G823-H823</x:f>
        <x:v>1</x:v>
      </x:c>
      <x:c r="J823" s="6" t="n">
        <x:f>IF(OR(E823="CANCELED",E823="SUSPECTED_FRAUD",F823="Shipping canceled"),0,1)</x:f>
        <x:v>1</x:v>
      </x:c>
      <x:c r="K823" s="6" t="n">
        <x:f>IF(G823&gt;H823,1,0)</x:f>
        <x:v>1</x:v>
      </x:c>
      <x:c r="L823" s="6" t="n">
        <x:f>J823*K823</x:f>
        <x:v>1</x:v>
      </x:c>
    </x:row>
    <x:row r="824">
      <x:c r="A824" s="1" t="n">
        <x:v>7136</x:v>
      </x:c>
      <x:c r="B824" s="5" t="d">
        <x:v>2015-04-15T00:00:00.000Z</x:v>
      </x:c>
      <x:c r="C824" s="1" t="str">
        <x:v>Standard Class</x:v>
      </x:c>
      <x:c r="D824" s="1" t="str">
        <x:v>LATAM</x:v>
      </x:c>
      <x:c r="E824" s="1" t="str">
        <x:v>PAYMENT_REVIEW</x:v>
      </x:c>
      <x:c r="F824" s="1" t="str">
        <x:v>Advance shipping</x:v>
      </x:c>
      <x:c r="G824" s="6" t="n">
        <x:v>2</x:v>
      </x:c>
      <x:c r="H824" s="6" t="n">
        <x:v>4</x:v>
      </x:c>
      <x:c r="I824" s="6" t="n">
        <x:f>G824-H824</x:f>
        <x:v>-2</x:v>
      </x:c>
      <x:c r="J824" s="6" t="n">
        <x:f>IF(OR(E824="CANCELED",E824="SUSPECTED_FRAUD",F824="Shipping canceled"),0,1)</x:f>
        <x:v>1</x:v>
      </x:c>
      <x:c r="K824" s="6" t="n">
        <x:f>IF(G824&gt;H824,1,0)</x:f>
        <x:v>0</x:v>
      </x:c>
      <x:c r="L824" s="6" t="n">
        <x:f>J824*K824</x:f>
        <x:v>0</x:v>
      </x:c>
    </x:row>
    <x:row r="825">
      <x:c r="A825" s="1" t="n">
        <x:v>7145</x:v>
      </x:c>
      <x:c r="B825" s="5" t="d">
        <x:v>2015-04-15T00:00:00.000Z</x:v>
      </x:c>
      <x:c r="C825" s="1" t="str">
        <x:v>Standard Class</x:v>
      </x:c>
      <x:c r="D825" s="1" t="str">
        <x:v>LATAM</x:v>
      </x:c>
      <x:c r="E825" s="1" t="str">
        <x:v>COMPLETE</x:v>
      </x:c>
      <x:c r="F825" s="1" t="str">
        <x:v>Late delivery</x:v>
      </x:c>
      <x:c r="G825" s="6" t="n">
        <x:v>6</x:v>
      </x:c>
      <x:c r="H825" s="6" t="n">
        <x:v>4</x:v>
      </x:c>
      <x:c r="I825" s="6" t="n">
        <x:f>G825-H825</x:f>
        <x:v>2</x:v>
      </x:c>
      <x:c r="J825" s="6" t="n">
        <x:f>IF(OR(E825="CANCELED",E825="SUSPECTED_FRAUD",F825="Shipping canceled"),0,1)</x:f>
        <x:v>1</x:v>
      </x:c>
      <x:c r="K825" s="6" t="n">
        <x:f>IF(G825&gt;H825,1,0)</x:f>
        <x:v>1</x:v>
      </x:c>
      <x:c r="L825" s="6" t="n">
        <x:f>J825*K825</x:f>
        <x:v>1</x:v>
      </x:c>
    </x:row>
    <x:row r="826">
      <x:c r="A826" s="1" t="n">
        <x:v>7152</x:v>
      </x:c>
      <x:c r="B826" s="5" t="d">
        <x:v>2015-04-15T00:00:00.000Z</x:v>
      </x:c>
      <x:c r="C826" s="1" t="str">
        <x:v>Standard Class</x:v>
      </x:c>
      <x:c r="D826" s="1" t="str">
        <x:v>LATAM</x:v>
      </x:c>
      <x:c r="E826" s="1" t="str">
        <x:v>CLOSED</x:v>
      </x:c>
      <x:c r="F826" s="1" t="str">
        <x:v>Advance shipping</x:v>
      </x:c>
      <x:c r="G826" s="6" t="n">
        <x:v>3</x:v>
      </x:c>
      <x:c r="H826" s="6" t="n">
        <x:v>4</x:v>
      </x:c>
      <x:c r="I826" s="6" t="n">
        <x:f>G826-H826</x:f>
        <x:v>-1</x:v>
      </x:c>
      <x:c r="J826" s="6" t="n">
        <x:f>IF(OR(E826="CANCELED",E826="SUSPECTED_FRAUD",F826="Shipping canceled"),0,1)</x:f>
        <x:v>1</x:v>
      </x:c>
      <x:c r="K826" s="6" t="n">
        <x:f>IF(G826&gt;H826,1,0)</x:f>
        <x:v>0</x:v>
      </x:c>
      <x:c r="L826" s="6" t="n">
        <x:f>J826*K826</x:f>
        <x:v>0</x:v>
      </x:c>
    </x:row>
    <x:row r="827">
      <x:c r="A827" s="1" t="n">
        <x:v>7163</x:v>
      </x:c>
      <x:c r="B827" s="5" t="d">
        <x:v>2015-04-15T00:00:00.000Z</x:v>
      </x:c>
      <x:c r="C827" s="1" t="str">
        <x:v>Standard Class</x:v>
      </x:c>
      <x:c r="D827" s="1" t="str">
        <x:v>LATAM</x:v>
      </x:c>
      <x:c r="E827" s="1" t="str">
        <x:v>COMPLETE</x:v>
      </x:c>
      <x:c r="F827" s="1" t="str">
        <x:v>Shipping on time</x:v>
      </x:c>
      <x:c r="G827" s="6" t="n">
        <x:v>4</x:v>
      </x:c>
      <x:c r="H827" s="6" t="n">
        <x:v>4</x:v>
      </x:c>
      <x:c r="I827" s="6" t="n">
        <x:f>G827-H827</x:f>
        <x:v>0</x:v>
      </x:c>
      <x:c r="J827" s="6" t="n">
        <x:f>IF(OR(E827="CANCELED",E827="SUSPECTED_FRAUD",F827="Shipping canceled"),0,1)</x:f>
        <x:v>1</x:v>
      </x:c>
      <x:c r="K827" s="6" t="n">
        <x:f>IF(G827&gt;H827,1,0)</x:f>
        <x:v>0</x:v>
      </x:c>
      <x:c r="L827" s="6" t="n">
        <x:f>J827*K827</x:f>
        <x:v>0</x:v>
      </x:c>
    </x:row>
    <x:row r="828">
      <x:c r="A828" s="1" t="n">
        <x:v>7181</x:v>
      </x:c>
      <x:c r="B828" s="5" t="d">
        <x:v>2015-04-15T00:00:00.000Z</x:v>
      </x:c>
      <x:c r="C828" s="1" t="str">
        <x:v>Standard Class</x:v>
      </x:c>
      <x:c r="D828" s="1" t="str">
        <x:v>LATAM</x:v>
      </x:c>
      <x:c r="E828" s="1" t="str">
        <x:v>PENDING_PAYMENT</x:v>
      </x:c>
      <x:c r="F828" s="1" t="str">
        <x:v>Advance shipping</x:v>
      </x:c>
      <x:c r="G828" s="6" t="n">
        <x:v>2</x:v>
      </x:c>
      <x:c r="H828" s="6" t="n">
        <x:v>4</x:v>
      </x:c>
      <x:c r="I828" s="6" t="n">
        <x:f>G828-H828</x:f>
        <x:v>-2</x:v>
      </x:c>
      <x:c r="J828" s="6" t="n">
        <x:f>IF(OR(E828="CANCELED",E828="SUSPECTED_FRAUD",F828="Shipping canceled"),0,1)</x:f>
        <x:v>1</x:v>
      </x:c>
      <x:c r="K828" s="6" t="n">
        <x:f>IF(G828&gt;H828,1,0)</x:f>
        <x:v>0</x:v>
      </x:c>
      <x:c r="L828" s="6" t="n">
        <x:f>J828*K828</x:f>
        <x:v>0</x:v>
      </x:c>
    </x:row>
    <x:row r="829">
      <x:c r="A829" s="1" t="n">
        <x:v>7182</x:v>
      </x:c>
      <x:c r="B829" s="5" t="d">
        <x:v>2015-04-15T00:00:00.000Z</x:v>
      </x:c>
      <x:c r="C829" s="1" t="str">
        <x:v>Standard Class</x:v>
      </x:c>
      <x:c r="D829" s="1" t="str">
        <x:v>LATAM</x:v>
      </x:c>
      <x:c r="E829" s="1" t="str">
        <x:v>COMPLETE</x:v>
      </x:c>
      <x:c r="F829" s="1" t="str">
        <x:v>Advance shipping</x:v>
      </x:c>
      <x:c r="G829" s="6" t="n">
        <x:v>3</x:v>
      </x:c>
      <x:c r="H829" s="6" t="n">
        <x:v>4</x:v>
      </x:c>
      <x:c r="I829" s="6" t="n">
        <x:f>G829-H829</x:f>
        <x:v>-1</x:v>
      </x:c>
      <x:c r="J829" s="6" t="n">
        <x:f>IF(OR(E829="CANCELED",E829="SUSPECTED_FRAUD",F829="Shipping canceled"),0,1)</x:f>
        <x:v>1</x:v>
      </x:c>
      <x:c r="K829" s="6" t="n">
        <x:f>IF(G829&gt;H829,1,0)</x:f>
        <x:v>0</x:v>
      </x:c>
      <x:c r="L829" s="6" t="n">
        <x:f>J829*K829</x:f>
        <x:v>0</x:v>
      </x:c>
    </x:row>
    <x:row r="830">
      <x:c r="A830" s="1" t="n">
        <x:v>7200</x:v>
      </x:c>
      <x:c r="B830" s="5" t="d">
        <x:v>2015-04-16T00:00:00.000Z</x:v>
      </x:c>
      <x:c r="C830" s="1" t="str">
        <x:v>Standard Class</x:v>
      </x:c>
      <x:c r="D830" s="1" t="str">
        <x:v>LATAM</x:v>
      </x:c>
      <x:c r="E830" s="1" t="str">
        <x:v>ON_HOLD</x:v>
      </x:c>
      <x:c r="F830" s="1" t="str">
        <x:v>Late delivery</x:v>
      </x:c>
      <x:c r="G830" s="6" t="n">
        <x:v>6</x:v>
      </x:c>
      <x:c r="H830" s="6" t="n">
        <x:v>4</x:v>
      </x:c>
      <x:c r="I830" s="6" t="n">
        <x:f>G830-H830</x:f>
        <x:v>2</x:v>
      </x:c>
      <x:c r="J830" s="6" t="n">
        <x:f>IF(OR(E830="CANCELED",E830="SUSPECTED_FRAUD",F830="Shipping canceled"),0,1)</x:f>
        <x:v>1</x:v>
      </x:c>
      <x:c r="K830" s="6" t="n">
        <x:f>IF(G830&gt;H830,1,0)</x:f>
        <x:v>1</x:v>
      </x:c>
      <x:c r="L830" s="6" t="n">
        <x:f>J830*K830</x:f>
        <x:v>1</x:v>
      </x:c>
    </x:row>
    <x:row r="831">
      <x:c r="A831" s="1" t="n">
        <x:v>7221</x:v>
      </x:c>
      <x:c r="B831" s="5" t="d">
        <x:v>2015-04-16T00:00:00.000Z</x:v>
      </x:c>
      <x:c r="C831" s="1" t="str">
        <x:v>Standard Class</x:v>
      </x:c>
      <x:c r="D831" s="1" t="str">
        <x:v>LATAM</x:v>
      </x:c>
      <x:c r="E831" s="1" t="str">
        <x:v>COMPLETE</x:v>
      </x:c>
      <x:c r="F831" s="1" t="str">
        <x:v>Advance shipping</x:v>
      </x:c>
      <x:c r="G831" s="6" t="n">
        <x:v>2</x:v>
      </x:c>
      <x:c r="H831" s="6" t="n">
        <x:v>4</x:v>
      </x:c>
      <x:c r="I831" s="6" t="n">
        <x:f>G831-H831</x:f>
        <x:v>-2</x:v>
      </x:c>
      <x:c r="J831" s="6" t="n">
        <x:f>IF(OR(E831="CANCELED",E831="SUSPECTED_FRAUD",F831="Shipping canceled"),0,1)</x:f>
        <x:v>1</x:v>
      </x:c>
      <x:c r="K831" s="6" t="n">
        <x:f>IF(G831&gt;H831,1,0)</x:f>
        <x:v>0</x:v>
      </x:c>
      <x:c r="L831" s="6" t="n">
        <x:f>J831*K831</x:f>
        <x:v>0</x:v>
      </x:c>
    </x:row>
    <x:row r="832">
      <x:c r="A832" s="1" t="n">
        <x:v>7225</x:v>
      </x:c>
      <x:c r="B832" s="5" t="d">
        <x:v>2015-04-16T00:00:00.000Z</x:v>
      </x:c>
      <x:c r="C832" s="1" t="str">
        <x:v>Standard Class</x:v>
      </x:c>
      <x:c r="D832" s="1" t="str">
        <x:v>LATAM</x:v>
      </x:c>
      <x:c r="E832" s="1" t="str">
        <x:v>PENDING_PAYMENT</x:v>
      </x:c>
      <x:c r="F832" s="1" t="str">
        <x:v>Late delivery</x:v>
      </x:c>
      <x:c r="G832" s="6" t="n">
        <x:v>6</x:v>
      </x:c>
      <x:c r="H832" s="6" t="n">
        <x:v>4</x:v>
      </x:c>
      <x:c r="I832" s="6" t="n">
        <x:f>G832-H832</x:f>
        <x:v>2</x:v>
      </x:c>
      <x:c r="J832" s="6" t="n">
        <x:f>IF(OR(E832="CANCELED",E832="SUSPECTED_FRAUD",F832="Shipping canceled"),0,1)</x:f>
        <x:v>1</x:v>
      </x:c>
      <x:c r="K832" s="6" t="n">
        <x:f>IF(G832&gt;H832,1,0)</x:f>
        <x:v>1</x:v>
      </x:c>
      <x:c r="L832" s="6" t="n">
        <x:f>J832*K832</x:f>
        <x:v>1</x:v>
      </x:c>
    </x:row>
    <x:row r="833">
      <x:c r="A833" s="1" t="n">
        <x:v>7229</x:v>
      </x:c>
      <x:c r="B833" s="5" t="d">
        <x:v>2015-04-16T00:00:00.000Z</x:v>
      </x:c>
      <x:c r="C833" s="1" t="str">
        <x:v>First Class</x:v>
      </x:c>
      <x:c r="D833" s="1" t="str">
        <x:v>LATAM</x:v>
      </x:c>
      <x:c r="E833" s="1" t="str">
        <x:v>CLOSED</x:v>
      </x:c>
      <x:c r="F833" s="1" t="str">
        <x:v>Late delivery</x:v>
      </x:c>
      <x:c r="G833" s="6" t="n">
        <x:v>2</x:v>
      </x:c>
      <x:c r="H833" s="6" t="n">
        <x:v>1</x:v>
      </x:c>
      <x:c r="I833" s="6" t="n">
        <x:f>G833-H833</x:f>
        <x:v>1</x:v>
      </x:c>
      <x:c r="J833" s="6" t="n">
        <x:f>IF(OR(E833="CANCELED",E833="SUSPECTED_FRAUD",F833="Shipping canceled"),0,1)</x:f>
        <x:v>1</x:v>
      </x:c>
      <x:c r="K833" s="6" t="n">
        <x:f>IF(G833&gt;H833,1,0)</x:f>
        <x:v>1</x:v>
      </x:c>
      <x:c r="L833" s="6" t="n">
        <x:f>J833*K833</x:f>
        <x:v>1</x:v>
      </x:c>
    </x:row>
    <x:row r="834">
      <x:c r="A834" s="1" t="n">
        <x:v>7235</x:v>
      </x:c>
      <x:c r="B834" s="5" t="d">
        <x:v>2015-04-16T00:00:00.000Z</x:v>
      </x:c>
      <x:c r="C834" s="1" t="str">
        <x:v>Standard Class</x:v>
      </x:c>
      <x:c r="D834" s="1" t="str">
        <x:v>LATAM</x:v>
      </x:c>
      <x:c r="E834" s="1" t="str">
        <x:v>COMPLETE</x:v>
      </x:c>
      <x:c r="F834" s="1" t="str">
        <x:v>Late delivery</x:v>
      </x:c>
      <x:c r="G834" s="6" t="n">
        <x:v>6</x:v>
      </x:c>
      <x:c r="H834" s="6" t="n">
        <x:v>4</x:v>
      </x:c>
      <x:c r="I834" s="6" t="n">
        <x:f>G834-H834</x:f>
        <x:v>2</x:v>
      </x:c>
      <x:c r="J834" s="6" t="n">
        <x:f>IF(OR(E834="CANCELED",E834="SUSPECTED_FRAUD",F834="Shipping canceled"),0,1)</x:f>
        <x:v>1</x:v>
      </x:c>
      <x:c r="K834" s="6" t="n">
        <x:f>IF(G834&gt;H834,1,0)</x:f>
        <x:v>1</x:v>
      </x:c>
      <x:c r="L834" s="6" t="n">
        <x:f>J834*K834</x:f>
        <x:v>1</x:v>
      </x:c>
    </x:row>
    <x:row r="835">
      <x:c r="A835" s="1" t="n">
        <x:v>7238</x:v>
      </x:c>
      <x:c r="B835" s="5" t="d">
        <x:v>2015-04-16T00:00:00.000Z</x:v>
      </x:c>
      <x:c r="C835" s="1" t="str">
        <x:v>Second Class</x:v>
      </x:c>
      <x:c r="D835" s="1" t="str">
        <x:v>LATAM</x:v>
      </x:c>
      <x:c r="E835" s="1" t="str">
        <x:v>COMPLETE</x:v>
      </x:c>
      <x:c r="F835" s="1" t="str">
        <x:v>Late delivery</x:v>
      </x:c>
      <x:c r="G835" s="6" t="n">
        <x:v>4</x:v>
      </x:c>
      <x:c r="H835" s="6" t="n">
        <x:v>2</x:v>
      </x:c>
      <x:c r="I835" s="6" t="n">
        <x:f>G835-H835</x:f>
        <x:v>2</x:v>
      </x:c>
      <x:c r="J835" s="6" t="n">
        <x:f>IF(OR(E835="CANCELED",E835="SUSPECTED_FRAUD",F835="Shipping canceled"),0,1)</x:f>
        <x:v>1</x:v>
      </x:c>
      <x:c r="K835" s="6" t="n">
        <x:f>IF(G835&gt;H835,1,0)</x:f>
        <x:v>1</x:v>
      </x:c>
      <x:c r="L835" s="6" t="n">
        <x:f>J835*K835</x:f>
        <x:v>1</x:v>
      </x:c>
    </x:row>
    <x:row r="836">
      <x:c r="A836" s="1" t="n">
        <x:v>7257</x:v>
      </x:c>
      <x:c r="B836" s="5" t="d">
        <x:v>2015-04-16T00:00:00.000Z</x:v>
      </x:c>
      <x:c r="C836" s="1" t="str">
        <x:v>Standard Class</x:v>
      </x:c>
      <x:c r="D836" s="1" t="str">
        <x:v>LATAM</x:v>
      </x:c>
      <x:c r="E836" s="1" t="str">
        <x:v>COMPLETE</x:v>
      </x:c>
      <x:c r="F836" s="1" t="str">
        <x:v>Advance shipping</x:v>
      </x:c>
      <x:c r="G836" s="6" t="n">
        <x:v>3</x:v>
      </x:c>
      <x:c r="H836" s="6" t="n">
        <x:v>4</x:v>
      </x:c>
      <x:c r="I836" s="6" t="n">
        <x:f>G836-H836</x:f>
        <x:v>-1</x:v>
      </x:c>
      <x:c r="J836" s="6" t="n">
        <x:f>IF(OR(E836="CANCELED",E836="SUSPECTED_FRAUD",F836="Shipping canceled"),0,1)</x:f>
        <x:v>1</x:v>
      </x:c>
      <x:c r="K836" s="6" t="n">
        <x:f>IF(G836&gt;H836,1,0)</x:f>
        <x:v>0</x:v>
      </x:c>
      <x:c r="L836" s="6" t="n">
        <x:f>J836*K836</x:f>
        <x:v>0</x:v>
      </x:c>
    </x:row>
    <x:row r="837">
      <x:c r="A837" s="1" t="n">
        <x:v>7269</x:v>
      </x:c>
      <x:c r="B837" s="5" t="d">
        <x:v>2015-04-17T00:00:00.000Z</x:v>
      </x:c>
      <x:c r="C837" s="1" t="str">
        <x:v>Standard Class</x:v>
      </x:c>
      <x:c r="D837" s="1" t="str">
        <x:v>LATAM</x:v>
      </x:c>
      <x:c r="E837" s="1" t="str">
        <x:v>COMPLETE</x:v>
      </x:c>
      <x:c r="F837" s="1" t="str">
        <x:v>Late delivery</x:v>
      </x:c>
      <x:c r="G837" s="6" t="n">
        <x:v>5</x:v>
      </x:c>
      <x:c r="H837" s="6" t="n">
        <x:v>4</x:v>
      </x:c>
      <x:c r="I837" s="6" t="n">
        <x:f>G837-H837</x:f>
        <x:v>1</x:v>
      </x:c>
      <x:c r="J837" s="6" t="n">
        <x:f>IF(OR(E837="CANCELED",E837="SUSPECTED_FRAUD",F837="Shipping canceled"),0,1)</x:f>
        <x:v>1</x:v>
      </x:c>
      <x:c r="K837" s="6" t="n">
        <x:f>IF(G837&gt;H837,1,0)</x:f>
        <x:v>1</x:v>
      </x:c>
      <x:c r="L837" s="6" t="n">
        <x:f>J837*K837</x:f>
        <x:v>1</x:v>
      </x:c>
    </x:row>
    <x:row r="838">
      <x:c r="A838" s="1" t="n">
        <x:v>7277</x:v>
      </x:c>
      <x:c r="B838" s="5" t="d">
        <x:v>2015-04-17T00:00:00.000Z</x:v>
      </x:c>
      <x:c r="C838" s="1" t="str">
        <x:v>First Class</x:v>
      </x:c>
      <x:c r="D838" s="1" t="str">
        <x:v>LATAM</x:v>
      </x:c>
      <x:c r="E838" s="1" t="str">
        <x:v>CLOSED</x:v>
      </x:c>
      <x:c r="F838" s="1" t="str">
        <x:v>Late delivery</x:v>
      </x:c>
      <x:c r="G838" s="6" t="n">
        <x:v>2</x:v>
      </x:c>
      <x:c r="H838" s="6" t="n">
        <x:v>1</x:v>
      </x:c>
      <x:c r="I838" s="6" t="n">
        <x:f>G838-H838</x:f>
        <x:v>1</x:v>
      </x:c>
      <x:c r="J838" s="6" t="n">
        <x:f>IF(OR(E838="CANCELED",E838="SUSPECTED_FRAUD",F838="Shipping canceled"),0,1)</x:f>
        <x:v>1</x:v>
      </x:c>
      <x:c r="K838" s="6" t="n">
        <x:f>IF(G838&gt;H838,1,0)</x:f>
        <x:v>1</x:v>
      </x:c>
      <x:c r="L838" s="6" t="n">
        <x:f>J838*K838</x:f>
        <x:v>1</x:v>
      </x:c>
    </x:row>
    <x:row r="839">
      <x:c r="A839" s="1" t="n">
        <x:v>7283</x:v>
      </x:c>
      <x:c r="B839" s="5" t="d">
        <x:v>2015-04-17T00:00:00.000Z</x:v>
      </x:c>
      <x:c r="C839" s="1" t="str">
        <x:v>Standard Class</x:v>
      </x:c>
      <x:c r="D839" s="1" t="str">
        <x:v>LATAM</x:v>
      </x:c>
      <x:c r="E839" s="1" t="str">
        <x:v>COMPLETE</x:v>
      </x:c>
      <x:c r="F839" s="1" t="str">
        <x:v>Shipping on time</x:v>
      </x:c>
      <x:c r="G839" s="6" t="n">
        <x:v>4</x:v>
      </x:c>
      <x:c r="H839" s="6" t="n">
        <x:v>4</x:v>
      </x:c>
      <x:c r="I839" s="6" t="n">
        <x:f>G839-H839</x:f>
        <x:v>0</x:v>
      </x:c>
      <x:c r="J839" s="6" t="n">
        <x:f>IF(OR(E839="CANCELED",E839="SUSPECTED_FRAUD",F839="Shipping canceled"),0,1)</x:f>
        <x:v>1</x:v>
      </x:c>
      <x:c r="K839" s="6" t="n">
        <x:f>IF(G839&gt;H839,1,0)</x:f>
        <x:v>0</x:v>
      </x:c>
      <x:c r="L839" s="6" t="n">
        <x:f>J839*K839</x:f>
        <x:v>0</x:v>
      </x:c>
    </x:row>
    <x:row r="840">
      <x:c r="A840" s="1" t="n">
        <x:v>7285</x:v>
      </x:c>
      <x:c r="B840" s="5" t="d">
        <x:v>2015-04-17T00:00:00.000Z</x:v>
      </x:c>
      <x:c r="C840" s="1" t="str">
        <x:v>First Class</x:v>
      </x:c>
      <x:c r="D840" s="1" t="str">
        <x:v>LATAM</x:v>
      </x:c>
      <x:c r="E840" s="1" t="str">
        <x:v>PROCESSING</x:v>
      </x:c>
      <x:c r="F840" s="1" t="str">
        <x:v>Late delivery</x:v>
      </x:c>
      <x:c r="G840" s="6" t="n">
        <x:v>2</x:v>
      </x:c>
      <x:c r="H840" s="6" t="n">
        <x:v>1</x:v>
      </x:c>
      <x:c r="I840" s="6" t="n">
        <x:f>G840-H840</x:f>
        <x:v>1</x:v>
      </x:c>
      <x:c r="J840" s="6" t="n">
        <x:f>IF(OR(E840="CANCELED",E840="SUSPECTED_FRAUD",F840="Shipping canceled"),0,1)</x:f>
        <x:v>1</x:v>
      </x:c>
      <x:c r="K840" s="6" t="n">
        <x:f>IF(G840&gt;H840,1,0)</x:f>
        <x:v>1</x:v>
      </x:c>
      <x:c r="L840" s="6" t="n">
        <x:f>J840*K840</x:f>
        <x:v>1</x:v>
      </x:c>
    </x:row>
    <x:row r="841">
      <x:c r="A841" s="1" t="n">
        <x:v>7288</x:v>
      </x:c>
      <x:c r="B841" s="5" t="d">
        <x:v>2015-04-17T00:00:00.000Z</x:v>
      </x:c>
      <x:c r="C841" s="1" t="str">
        <x:v>Standard Class</x:v>
      </x:c>
      <x:c r="D841" s="1" t="str">
        <x:v>LATAM</x:v>
      </x:c>
      <x:c r="E841" s="1" t="str">
        <x:v>COMPLETE</x:v>
      </x:c>
      <x:c r="F841" s="1" t="str">
        <x:v>Shipping on time</x:v>
      </x:c>
      <x:c r="G841" s="6" t="n">
        <x:v>4</x:v>
      </x:c>
      <x:c r="H841" s="6" t="n">
        <x:v>4</x:v>
      </x:c>
      <x:c r="I841" s="6" t="n">
        <x:f>G841-H841</x:f>
        <x:v>0</x:v>
      </x:c>
      <x:c r="J841" s="6" t="n">
        <x:f>IF(OR(E841="CANCELED",E841="SUSPECTED_FRAUD",F841="Shipping canceled"),0,1)</x:f>
        <x:v>1</x:v>
      </x:c>
      <x:c r="K841" s="6" t="n">
        <x:f>IF(G841&gt;H841,1,0)</x:f>
        <x:v>0</x:v>
      </x:c>
      <x:c r="L841" s="6" t="n">
        <x:f>J841*K841</x:f>
        <x:v>0</x:v>
      </x:c>
    </x:row>
    <x:row r="842">
      <x:c r="A842" s="1" t="n">
        <x:v>7299</x:v>
      </x:c>
      <x:c r="B842" s="5" t="d">
        <x:v>2015-04-17T00:00:00.000Z</x:v>
      </x:c>
      <x:c r="C842" s="1" t="str">
        <x:v>Standard Class</x:v>
      </x:c>
      <x:c r="D842" s="1" t="str">
        <x:v>LATAM</x:v>
      </x:c>
      <x:c r="E842" s="1" t="str">
        <x:v>COMPLETE</x:v>
      </x:c>
      <x:c r="F842" s="1" t="str">
        <x:v>Late delivery</x:v>
      </x:c>
      <x:c r="G842" s="6" t="n">
        <x:v>5</x:v>
      </x:c>
      <x:c r="H842" s="6" t="n">
        <x:v>4</x:v>
      </x:c>
      <x:c r="I842" s="6" t="n">
        <x:f>G842-H842</x:f>
        <x:v>1</x:v>
      </x:c>
      <x:c r="J842" s="6" t="n">
        <x:f>IF(OR(E842="CANCELED",E842="SUSPECTED_FRAUD",F842="Shipping canceled"),0,1)</x:f>
        <x:v>1</x:v>
      </x:c>
      <x:c r="K842" s="6" t="n">
        <x:f>IF(G842&gt;H842,1,0)</x:f>
        <x:v>1</x:v>
      </x:c>
      <x:c r="L842" s="6" t="n">
        <x:f>J842*K842</x:f>
        <x:v>1</x:v>
      </x:c>
    </x:row>
    <x:row r="843">
      <x:c r="A843" s="1" t="n">
        <x:v>7302</x:v>
      </x:c>
      <x:c r="B843" s="5" t="d">
        <x:v>2015-04-17T00:00:00.000Z</x:v>
      </x:c>
      <x:c r="C843" s="1" t="str">
        <x:v>Second Class</x:v>
      </x:c>
      <x:c r="D843" s="1" t="str">
        <x:v>LATAM</x:v>
      </x:c>
      <x:c r="E843" s="1" t="str">
        <x:v>COMPLETE</x:v>
      </x:c>
      <x:c r="F843" s="1" t="str">
        <x:v>Late delivery</x:v>
      </x:c>
      <x:c r="G843" s="6" t="n">
        <x:v>3</x:v>
      </x:c>
      <x:c r="H843" s="6" t="n">
        <x:v>2</x:v>
      </x:c>
      <x:c r="I843" s="6" t="n">
        <x:f>G843-H843</x:f>
        <x:v>1</x:v>
      </x:c>
      <x:c r="J843" s="6" t="n">
        <x:f>IF(OR(E843="CANCELED",E843="SUSPECTED_FRAUD",F843="Shipping canceled"),0,1)</x:f>
        <x:v>1</x:v>
      </x:c>
      <x:c r="K843" s="6" t="n">
        <x:f>IF(G843&gt;H843,1,0)</x:f>
        <x:v>1</x:v>
      </x:c>
      <x:c r="L843" s="6" t="n">
        <x:f>J843*K843</x:f>
        <x:v>1</x:v>
      </x:c>
    </x:row>
    <x:row r="844">
      <x:c r="A844" s="1" t="n">
        <x:v>7314</x:v>
      </x:c>
      <x:c r="B844" s="5" t="d">
        <x:v>2015-04-17T00:00:00.000Z</x:v>
      </x:c>
      <x:c r="C844" s="1" t="str">
        <x:v>Standard Class</x:v>
      </x:c>
      <x:c r="D844" s="1" t="str">
        <x:v>LATAM</x:v>
      </x:c>
      <x:c r="E844" s="1" t="str">
        <x:v>COMPLETE</x:v>
      </x:c>
      <x:c r="F844" s="1" t="str">
        <x:v>Late delivery</x:v>
      </x:c>
      <x:c r="G844" s="6" t="n">
        <x:v>5</x:v>
      </x:c>
      <x:c r="H844" s="6" t="n">
        <x:v>4</x:v>
      </x:c>
      <x:c r="I844" s="6" t="n">
        <x:f>G844-H844</x:f>
        <x:v>1</x:v>
      </x:c>
      <x:c r="J844" s="6" t="n">
        <x:f>IF(OR(E844="CANCELED",E844="SUSPECTED_FRAUD",F844="Shipping canceled"),0,1)</x:f>
        <x:v>1</x:v>
      </x:c>
      <x:c r="K844" s="6" t="n">
        <x:f>IF(G844&gt;H844,1,0)</x:f>
        <x:v>1</x:v>
      </x:c>
      <x:c r="L844" s="6" t="n">
        <x:f>J844*K844</x:f>
        <x:v>1</x:v>
      </x:c>
    </x:row>
    <x:row r="845">
      <x:c r="A845" s="1" t="n">
        <x:v>7321</x:v>
      </x:c>
      <x:c r="B845" s="5" t="d">
        <x:v>2015-04-17T00:00:00.000Z</x:v>
      </x:c>
      <x:c r="C845" s="1" t="str">
        <x:v>First Class</x:v>
      </x:c>
      <x:c r="D845" s="1" t="str">
        <x:v>LATAM</x:v>
      </x:c>
      <x:c r="E845" s="1" t="str">
        <x:v>CLOSED</x:v>
      </x:c>
      <x:c r="F845" s="1" t="str">
        <x:v>Late delivery</x:v>
      </x:c>
      <x:c r="G845" s="6" t="n">
        <x:v>2</x:v>
      </x:c>
      <x:c r="H845" s="6" t="n">
        <x:v>1</x:v>
      </x:c>
      <x:c r="I845" s="6" t="n">
        <x:f>G845-H845</x:f>
        <x:v>1</x:v>
      </x:c>
      <x:c r="J845" s="6" t="n">
        <x:f>IF(OR(E845="CANCELED",E845="SUSPECTED_FRAUD",F845="Shipping canceled"),0,1)</x:f>
        <x:v>1</x:v>
      </x:c>
      <x:c r="K845" s="6" t="n">
        <x:f>IF(G845&gt;H845,1,0)</x:f>
        <x:v>1</x:v>
      </x:c>
      <x:c r="L845" s="6" t="n">
        <x:f>J845*K845</x:f>
        <x:v>1</x:v>
      </x:c>
    </x:row>
    <x:row r="846">
      <x:c r="A846" s="1" t="n">
        <x:v>7323</x:v>
      </x:c>
      <x:c r="B846" s="5" t="d">
        <x:v>2015-04-17T00:00:00.000Z</x:v>
      </x:c>
      <x:c r="C846" s="1" t="str">
        <x:v>First Class</x:v>
      </x:c>
      <x:c r="D846" s="1" t="str">
        <x:v>LATAM</x:v>
      </x:c>
      <x:c r="E846" s="1" t="str">
        <x:v>PENDING</x:v>
      </x:c>
      <x:c r="F846" s="1" t="str">
        <x:v>Late delivery</x:v>
      </x:c>
      <x:c r="G846" s="6" t="n">
        <x:v>2</x:v>
      </x:c>
      <x:c r="H846" s="6" t="n">
        <x:v>1</x:v>
      </x:c>
      <x:c r="I846" s="6" t="n">
        <x:f>G846-H846</x:f>
        <x:v>1</x:v>
      </x:c>
      <x:c r="J846" s="6" t="n">
        <x:f>IF(OR(E846="CANCELED",E846="SUSPECTED_FRAUD",F846="Shipping canceled"),0,1)</x:f>
        <x:v>1</x:v>
      </x:c>
      <x:c r="K846" s="6" t="n">
        <x:f>IF(G846&gt;H846,1,0)</x:f>
        <x:v>1</x:v>
      </x:c>
      <x:c r="L846" s="6" t="n">
        <x:f>J846*K846</x:f>
        <x:v>1</x:v>
      </x:c>
    </x:row>
    <x:row r="847">
      <x:c r="A847" s="1" t="n">
        <x:v>7327</x:v>
      </x:c>
      <x:c r="B847" s="5" t="d">
        <x:v>2015-04-17T00:00:00.000Z</x:v>
      </x:c>
      <x:c r="C847" s="1" t="str">
        <x:v>Standard Class</x:v>
      </x:c>
      <x:c r="D847" s="1" t="str">
        <x:v>LATAM</x:v>
      </x:c>
      <x:c r="E847" s="1" t="str">
        <x:v>PENDING</x:v>
      </x:c>
      <x:c r="F847" s="1" t="str">
        <x:v>Advance shipping</x:v>
      </x:c>
      <x:c r="G847" s="6" t="n">
        <x:v>3</x:v>
      </x:c>
      <x:c r="H847" s="6" t="n">
        <x:v>4</x:v>
      </x:c>
      <x:c r="I847" s="6" t="n">
        <x:f>G847-H847</x:f>
        <x:v>-1</x:v>
      </x:c>
      <x:c r="J847" s="6" t="n">
        <x:f>IF(OR(E847="CANCELED",E847="SUSPECTED_FRAUD",F847="Shipping canceled"),0,1)</x:f>
        <x:v>1</x:v>
      </x:c>
      <x:c r="K847" s="6" t="n">
        <x:f>IF(G847&gt;H847,1,0)</x:f>
        <x:v>0</x:v>
      </x:c>
      <x:c r="L847" s="6" t="n">
        <x:f>J847*K847</x:f>
        <x:v>0</x:v>
      </x:c>
    </x:row>
    <x:row r="848">
      <x:c r="A848" s="1" t="n">
        <x:v>7332</x:v>
      </x:c>
      <x:c r="B848" s="5" t="d">
        <x:v>2015-04-18T00:00:00.000Z</x:v>
      </x:c>
      <x:c r="C848" s="1" t="str">
        <x:v>Standard Class</x:v>
      </x:c>
      <x:c r="D848" s="1" t="str">
        <x:v>LATAM</x:v>
      </x:c>
      <x:c r="E848" s="1" t="str">
        <x:v>COMPLETE</x:v>
      </x:c>
      <x:c r="F848" s="1" t="str">
        <x:v>Advance shipping</x:v>
      </x:c>
      <x:c r="G848" s="6" t="n">
        <x:v>3</x:v>
      </x:c>
      <x:c r="H848" s="6" t="n">
        <x:v>4</x:v>
      </x:c>
      <x:c r="I848" s="6" t="n">
        <x:f>G848-H848</x:f>
        <x:v>-1</x:v>
      </x:c>
      <x:c r="J848" s="6" t="n">
        <x:f>IF(OR(E848="CANCELED",E848="SUSPECTED_FRAUD",F848="Shipping canceled"),0,1)</x:f>
        <x:v>1</x:v>
      </x:c>
      <x:c r="K848" s="6" t="n">
        <x:f>IF(G848&gt;H848,1,0)</x:f>
        <x:v>0</x:v>
      </x:c>
      <x:c r="L848" s="6" t="n">
        <x:f>J848*K848</x:f>
        <x:v>0</x:v>
      </x:c>
    </x:row>
    <x:row r="849">
      <x:c r="A849" s="1" t="n">
        <x:v>7335</x:v>
      </x:c>
      <x:c r="B849" s="5" t="d">
        <x:v>2015-04-18T00:00:00.000Z</x:v>
      </x:c>
      <x:c r="C849" s="1" t="str">
        <x:v>Standard Class</x:v>
      </x:c>
      <x:c r="D849" s="1" t="str">
        <x:v>LATAM</x:v>
      </x:c>
      <x:c r="E849" s="1" t="str">
        <x:v>PENDING_PAYMENT</x:v>
      </x:c>
      <x:c r="F849" s="1" t="str">
        <x:v>Late delivery</x:v>
      </x:c>
      <x:c r="G849" s="6" t="n">
        <x:v>6</x:v>
      </x:c>
      <x:c r="H849" s="6" t="n">
        <x:v>4</x:v>
      </x:c>
      <x:c r="I849" s="6" t="n">
        <x:f>G849-H849</x:f>
        <x:v>2</x:v>
      </x:c>
      <x:c r="J849" s="6" t="n">
        <x:f>IF(OR(E849="CANCELED",E849="SUSPECTED_FRAUD",F849="Shipping canceled"),0,1)</x:f>
        <x:v>1</x:v>
      </x:c>
      <x:c r="K849" s="6" t="n">
        <x:f>IF(G849&gt;H849,1,0)</x:f>
        <x:v>1</x:v>
      </x:c>
      <x:c r="L849" s="6" t="n">
        <x:f>J849*K849</x:f>
        <x:v>1</x:v>
      </x:c>
    </x:row>
    <x:row r="850">
      <x:c r="A850" s="1" t="n">
        <x:v>7339</x:v>
      </x:c>
      <x:c r="B850" s="5" t="d">
        <x:v>2015-04-18T00:00:00.000Z</x:v>
      </x:c>
      <x:c r="C850" s="1" t="str">
        <x:v>First Class</x:v>
      </x:c>
      <x:c r="D850" s="1" t="str">
        <x:v>LATAM</x:v>
      </x:c>
      <x:c r="E850" s="1" t="str">
        <x:v>CLOSED</x:v>
      </x:c>
      <x:c r="F850" s="1" t="str">
        <x:v>Late delivery</x:v>
      </x:c>
      <x:c r="G850" s="6" t="n">
        <x:v>2</x:v>
      </x:c>
      <x:c r="H850" s="6" t="n">
        <x:v>1</x:v>
      </x:c>
      <x:c r="I850" s="6" t="n">
        <x:f>G850-H850</x:f>
        <x:v>1</x:v>
      </x:c>
      <x:c r="J850" s="6" t="n">
        <x:f>IF(OR(E850="CANCELED",E850="SUSPECTED_FRAUD",F850="Shipping canceled"),0,1)</x:f>
        <x:v>1</x:v>
      </x:c>
      <x:c r="K850" s="6" t="n">
        <x:f>IF(G850&gt;H850,1,0)</x:f>
        <x:v>1</x:v>
      </x:c>
      <x:c r="L850" s="6" t="n">
        <x:f>J850*K850</x:f>
        <x:v>1</x:v>
      </x:c>
    </x:row>
    <x:row r="851">
      <x:c r="A851" s="1" t="n">
        <x:v>7365</x:v>
      </x:c>
      <x:c r="B851" s="5" t="d">
        <x:v>2015-04-18T00:00:00.000Z</x:v>
      </x:c>
      <x:c r="C851" s="1" t="str">
        <x:v>Second Class</x:v>
      </x:c>
      <x:c r="D851" s="1" t="str">
        <x:v>LATAM</x:v>
      </x:c>
      <x:c r="E851" s="1" t="str">
        <x:v>COMPLETE</x:v>
      </x:c>
      <x:c r="F851" s="1" t="str">
        <x:v>Late delivery</x:v>
      </x:c>
      <x:c r="G851" s="6" t="n">
        <x:v>6</x:v>
      </x:c>
      <x:c r="H851" s="6" t="n">
        <x:v>2</x:v>
      </x:c>
      <x:c r="I851" s="6" t="n">
        <x:f>G851-H851</x:f>
        <x:v>4</x:v>
      </x:c>
      <x:c r="J851" s="6" t="n">
        <x:f>IF(OR(E851="CANCELED",E851="SUSPECTED_FRAUD",F851="Shipping canceled"),0,1)</x:f>
        <x:v>1</x:v>
      </x:c>
      <x:c r="K851" s="6" t="n">
        <x:f>IF(G851&gt;H851,1,0)</x:f>
        <x:v>1</x:v>
      </x:c>
      <x:c r="L851" s="6" t="n">
        <x:f>J851*K851</x:f>
        <x:v>1</x:v>
      </x:c>
    </x:row>
    <x:row r="852">
      <x:c r="A852" s="1" t="n">
        <x:v>7366</x:v>
      </x:c>
      <x:c r="B852" s="5" t="d">
        <x:v>2015-04-18T00:00:00.000Z</x:v>
      </x:c>
      <x:c r="C852" s="1" t="str">
        <x:v>Standard Class</x:v>
      </x:c>
      <x:c r="D852" s="1" t="str">
        <x:v>LATAM</x:v>
      </x:c>
      <x:c r="E852" s="1" t="str">
        <x:v>COMPLETE</x:v>
      </x:c>
      <x:c r="F852" s="1" t="str">
        <x:v>Advance shipping</x:v>
      </x:c>
      <x:c r="G852" s="6" t="n">
        <x:v>2</x:v>
      </x:c>
      <x:c r="H852" s="6" t="n">
        <x:v>4</x:v>
      </x:c>
      <x:c r="I852" s="6" t="n">
        <x:f>G852-H852</x:f>
        <x:v>-2</x:v>
      </x:c>
      <x:c r="J852" s="6" t="n">
        <x:f>IF(OR(E852="CANCELED",E852="SUSPECTED_FRAUD",F852="Shipping canceled"),0,1)</x:f>
        <x:v>1</x:v>
      </x:c>
      <x:c r="K852" s="6" t="n">
        <x:f>IF(G852&gt;H852,1,0)</x:f>
        <x:v>0</x:v>
      </x:c>
      <x:c r="L852" s="6" t="n">
        <x:f>J852*K852</x:f>
        <x:v>0</x:v>
      </x:c>
    </x:row>
    <x:row r="853">
      <x:c r="A853" s="1" t="n">
        <x:v>7377</x:v>
      </x:c>
      <x:c r="B853" s="5" t="d">
        <x:v>2015-04-18T00:00:00.000Z</x:v>
      </x:c>
      <x:c r="C853" s="1" t="str">
        <x:v>Standard Class</x:v>
      </x:c>
      <x:c r="D853" s="1" t="str">
        <x:v>LATAM</x:v>
      </x:c>
      <x:c r="E853" s="1" t="str">
        <x:v>COMPLETE</x:v>
      </x:c>
      <x:c r="F853" s="1" t="str">
        <x:v>Advance shipping</x:v>
      </x:c>
      <x:c r="G853" s="6" t="n">
        <x:v>3</x:v>
      </x:c>
      <x:c r="H853" s="6" t="n">
        <x:v>4</x:v>
      </x:c>
      <x:c r="I853" s="6" t="n">
        <x:f>G853-H853</x:f>
        <x:v>-1</x:v>
      </x:c>
      <x:c r="J853" s="6" t="n">
        <x:f>IF(OR(E853="CANCELED",E853="SUSPECTED_FRAUD",F853="Shipping canceled"),0,1)</x:f>
        <x:v>1</x:v>
      </x:c>
      <x:c r="K853" s="6" t="n">
        <x:f>IF(G853&gt;H853,1,0)</x:f>
        <x:v>0</x:v>
      </x:c>
      <x:c r="L853" s="6" t="n">
        <x:f>J853*K853</x:f>
        <x:v>0</x:v>
      </x:c>
    </x:row>
    <x:row r="854">
      <x:c r="A854" s="1" t="n">
        <x:v>7383</x:v>
      </x:c>
      <x:c r="B854" s="5" t="d">
        <x:v>2015-04-18T00:00:00.000Z</x:v>
      </x:c>
      <x:c r="C854" s="1" t="str">
        <x:v>Same Day</x:v>
      </x:c>
      <x:c r="D854" s="1" t="str">
        <x:v>LATAM</x:v>
      </x:c>
      <x:c r="E854" s="1" t="str">
        <x:v>PROCESSING</x:v>
      </x:c>
      <x:c r="F854" s="1" t="str">
        <x:v>Late delivery</x:v>
      </x:c>
      <x:c r="G854" s="6" t="n">
        <x:v>1</x:v>
      </x:c>
      <x:c r="H854" s="6" t="n">
        <x:v>0</x:v>
      </x:c>
      <x:c r="I854" s="6" t="n">
        <x:f>G854-H854</x:f>
        <x:v>1</x:v>
      </x:c>
      <x:c r="J854" s="6" t="n">
        <x:f>IF(OR(E854="CANCELED",E854="SUSPECTED_FRAUD",F854="Shipping canceled"),0,1)</x:f>
        <x:v>1</x:v>
      </x:c>
      <x:c r="K854" s="6" t="n">
        <x:f>IF(G854&gt;H854,1,0)</x:f>
        <x:v>1</x:v>
      </x:c>
      <x:c r="L854" s="6" t="n">
        <x:f>J854*K854</x:f>
        <x:v>1</x:v>
      </x:c>
    </x:row>
    <x:row r="855">
      <x:c r="A855" s="1" t="n">
        <x:v>7394</x:v>
      </x:c>
      <x:c r="B855" s="5" t="d">
        <x:v>2015-04-18T00:00:00.000Z</x:v>
      </x:c>
      <x:c r="C855" s="1" t="str">
        <x:v>Standard Class</x:v>
      </x:c>
      <x:c r="D855" s="1" t="str">
        <x:v>LATAM</x:v>
      </x:c>
      <x:c r="E855" s="1" t="str">
        <x:v>COMPLETE</x:v>
      </x:c>
      <x:c r="F855" s="1" t="str">
        <x:v>Late delivery</x:v>
      </x:c>
      <x:c r="G855" s="6" t="n">
        <x:v>5</x:v>
      </x:c>
      <x:c r="H855" s="6" t="n">
        <x:v>4</x:v>
      </x:c>
      <x:c r="I855" s="6" t="n">
        <x:f>G855-H855</x:f>
        <x:v>1</x:v>
      </x:c>
      <x:c r="J855" s="6" t="n">
        <x:f>IF(OR(E855="CANCELED",E855="SUSPECTED_FRAUD",F855="Shipping canceled"),0,1)</x:f>
        <x:v>1</x:v>
      </x:c>
      <x:c r="K855" s="6" t="n">
        <x:f>IF(G855&gt;H855,1,0)</x:f>
        <x:v>1</x:v>
      </x:c>
      <x:c r="L855" s="6" t="n">
        <x:f>J855*K855</x:f>
        <x:v>1</x:v>
      </x:c>
    </x:row>
    <x:row r="856">
      <x:c r="A856" s="1" t="n">
        <x:v>7395</x:v>
      </x:c>
      <x:c r="B856" s="5" t="d">
        <x:v>2015-04-18T00:00:00.000Z</x:v>
      </x:c>
      <x:c r="C856" s="1" t="str">
        <x:v>Standard Class</x:v>
      </x:c>
      <x:c r="D856" s="1" t="str">
        <x:v>LATAM</x:v>
      </x:c>
      <x:c r="E856" s="1" t="str">
        <x:v>CLOSED</x:v>
      </x:c>
      <x:c r="F856" s="1" t="str">
        <x:v>Late delivery</x:v>
      </x:c>
      <x:c r="G856" s="6" t="n">
        <x:v>6</x:v>
      </x:c>
      <x:c r="H856" s="6" t="n">
        <x:v>4</x:v>
      </x:c>
      <x:c r="I856" s="6" t="n">
        <x:f>G856-H856</x:f>
        <x:v>2</x:v>
      </x:c>
      <x:c r="J856" s="6" t="n">
        <x:f>IF(OR(E856="CANCELED",E856="SUSPECTED_FRAUD",F856="Shipping canceled"),0,1)</x:f>
        <x:v>1</x:v>
      </x:c>
      <x:c r="K856" s="6" t="n">
        <x:f>IF(G856&gt;H856,1,0)</x:f>
        <x:v>1</x:v>
      </x:c>
      <x:c r="L856" s="6" t="n">
        <x:f>J856*K856</x:f>
        <x:v>1</x:v>
      </x:c>
    </x:row>
    <x:row r="857">
      <x:c r="A857" s="1" t="n">
        <x:v>7402</x:v>
      </x:c>
      <x:c r="B857" s="5" t="d">
        <x:v>2015-04-19T00:00:00.000Z</x:v>
      </x:c>
      <x:c r="C857" s="1" t="str">
        <x:v>Standard Class</x:v>
      </x:c>
      <x:c r="D857" s="1" t="str">
        <x:v>LATAM</x:v>
      </x:c>
      <x:c r="E857" s="1" t="str">
        <x:v>PROCESSING</x:v>
      </x:c>
      <x:c r="F857" s="1" t="str">
        <x:v>Advance shipping</x:v>
      </x:c>
      <x:c r="G857" s="6" t="n">
        <x:v>3</x:v>
      </x:c>
      <x:c r="H857" s="6" t="n">
        <x:v>4</x:v>
      </x:c>
      <x:c r="I857" s="6" t="n">
        <x:f>G857-H857</x:f>
        <x:v>-1</x:v>
      </x:c>
      <x:c r="J857" s="6" t="n">
        <x:f>IF(OR(E857="CANCELED",E857="SUSPECTED_FRAUD",F857="Shipping canceled"),0,1)</x:f>
        <x:v>1</x:v>
      </x:c>
      <x:c r="K857" s="6" t="n">
        <x:f>IF(G857&gt;H857,1,0)</x:f>
        <x:v>0</x:v>
      </x:c>
      <x:c r="L857" s="6" t="n">
        <x:f>J857*K857</x:f>
        <x:v>0</x:v>
      </x:c>
    </x:row>
    <x:row r="858">
      <x:c r="A858" s="1" t="n">
        <x:v>7411</x:v>
      </x:c>
      <x:c r="B858" s="5" t="d">
        <x:v>2015-04-19T00:00:00.000Z</x:v>
      </x:c>
      <x:c r="C858" s="1" t="str">
        <x:v>Standard Class</x:v>
      </x:c>
      <x:c r="D858" s="1" t="str">
        <x:v>LATAM</x:v>
      </x:c>
      <x:c r="E858" s="1" t="str">
        <x:v>PROCESSING</x:v>
      </x:c>
      <x:c r="F858" s="1" t="str">
        <x:v>Advance shipping</x:v>
      </x:c>
      <x:c r="G858" s="6" t="n">
        <x:v>2</x:v>
      </x:c>
      <x:c r="H858" s="6" t="n">
        <x:v>4</x:v>
      </x:c>
      <x:c r="I858" s="6" t="n">
        <x:f>G858-H858</x:f>
        <x:v>-2</x:v>
      </x:c>
      <x:c r="J858" s="6" t="n">
        <x:f>IF(OR(E858="CANCELED",E858="SUSPECTED_FRAUD",F858="Shipping canceled"),0,1)</x:f>
        <x:v>1</x:v>
      </x:c>
      <x:c r="K858" s="6" t="n">
        <x:f>IF(G858&gt;H858,1,0)</x:f>
        <x:v>0</x:v>
      </x:c>
      <x:c r="L858" s="6" t="n">
        <x:f>J858*K858</x:f>
        <x:v>0</x:v>
      </x:c>
    </x:row>
    <x:row r="859">
      <x:c r="A859" s="1" t="n">
        <x:v>7412</x:v>
      </x:c>
      <x:c r="B859" s="5" t="d">
        <x:v>2015-04-19T00:00:00.000Z</x:v>
      </x:c>
      <x:c r="C859" s="1" t="str">
        <x:v>Standard Class</x:v>
      </x:c>
      <x:c r="D859" s="1" t="str">
        <x:v>LATAM</x:v>
      </x:c>
      <x:c r="E859" s="1" t="str">
        <x:v>ON_HOLD</x:v>
      </x:c>
      <x:c r="F859" s="1" t="str">
        <x:v>Advance shipping</x:v>
      </x:c>
      <x:c r="G859" s="6" t="n">
        <x:v>3</x:v>
      </x:c>
      <x:c r="H859" s="6" t="n">
        <x:v>4</x:v>
      </x:c>
      <x:c r="I859" s="6" t="n">
        <x:f>G859-H859</x:f>
        <x:v>-1</x:v>
      </x:c>
      <x:c r="J859" s="6" t="n">
        <x:f>IF(OR(E859="CANCELED",E859="SUSPECTED_FRAUD",F859="Shipping canceled"),0,1)</x:f>
        <x:v>1</x:v>
      </x:c>
      <x:c r="K859" s="6" t="n">
        <x:f>IF(G859&gt;H859,1,0)</x:f>
        <x:v>0</x:v>
      </x:c>
      <x:c r="L859" s="6" t="n">
        <x:f>J859*K859</x:f>
        <x:v>0</x:v>
      </x:c>
    </x:row>
    <x:row r="860">
      <x:c r="A860" s="1" t="n">
        <x:v>7423</x:v>
      </x:c>
      <x:c r="B860" s="5" t="d">
        <x:v>2015-04-19T00:00:00.000Z</x:v>
      </x:c>
      <x:c r="C860" s="1" t="str">
        <x:v>Standard Class</x:v>
      </x:c>
      <x:c r="D860" s="1" t="str">
        <x:v>LATAM</x:v>
      </x:c>
      <x:c r="E860" s="1" t="str">
        <x:v>CLOSED</x:v>
      </x:c>
      <x:c r="F860" s="1" t="str">
        <x:v>Shipping on time</x:v>
      </x:c>
      <x:c r="G860" s="6" t="n">
        <x:v>4</x:v>
      </x:c>
      <x:c r="H860" s="6" t="n">
        <x:v>4</x:v>
      </x:c>
      <x:c r="I860" s="6" t="n">
        <x:f>G860-H860</x:f>
        <x:v>0</x:v>
      </x:c>
      <x:c r="J860" s="6" t="n">
        <x:f>IF(OR(E860="CANCELED",E860="SUSPECTED_FRAUD",F860="Shipping canceled"),0,1)</x:f>
        <x:v>1</x:v>
      </x:c>
      <x:c r="K860" s="6" t="n">
        <x:f>IF(G860&gt;H860,1,0)</x:f>
        <x:v>0</x:v>
      </x:c>
      <x:c r="L860" s="6" t="n">
        <x:f>J860*K860</x:f>
        <x:v>0</x:v>
      </x:c>
    </x:row>
    <x:row r="861">
      <x:c r="A861" s="1" t="n">
        <x:v>7433</x:v>
      </x:c>
      <x:c r="B861" s="5" t="d">
        <x:v>2015-04-19T00:00:00.000Z</x:v>
      </x:c>
      <x:c r="C861" s="1" t="str">
        <x:v>Standard Class</x:v>
      </x:c>
      <x:c r="D861" s="1" t="str">
        <x:v>LATAM</x:v>
      </x:c>
      <x:c r="E861" s="1" t="str">
        <x:v>ON_HOLD</x:v>
      </x:c>
      <x:c r="F861" s="1" t="str">
        <x:v>Shipping on time</x:v>
      </x:c>
      <x:c r="G861" s="6" t="n">
        <x:v>4</x:v>
      </x:c>
      <x:c r="H861" s="6" t="n">
        <x:v>4</x:v>
      </x:c>
      <x:c r="I861" s="6" t="n">
        <x:f>G861-H861</x:f>
        <x:v>0</x:v>
      </x:c>
      <x:c r="J861" s="6" t="n">
        <x:f>IF(OR(E861="CANCELED",E861="SUSPECTED_FRAUD",F861="Shipping canceled"),0,1)</x:f>
        <x:v>1</x:v>
      </x:c>
      <x:c r="K861" s="6" t="n">
        <x:f>IF(G861&gt;H861,1,0)</x:f>
        <x:v>0</x:v>
      </x:c>
      <x:c r="L861" s="6" t="n">
        <x:f>J861*K861</x:f>
        <x:v>0</x:v>
      </x:c>
    </x:row>
    <x:row r="862">
      <x:c r="A862" s="1" t="n">
        <x:v>7435</x:v>
      </x:c>
      <x:c r="B862" s="5" t="d">
        <x:v>2015-04-19T00:00:00.000Z</x:v>
      </x:c>
      <x:c r="C862" s="1" t="str">
        <x:v>Standard Class</x:v>
      </x:c>
      <x:c r="D862" s="1" t="str">
        <x:v>LATAM</x:v>
      </x:c>
      <x:c r="E862" s="1" t="str">
        <x:v>COMPLETE</x:v>
      </x:c>
      <x:c r="F862" s="1" t="str">
        <x:v>Late delivery</x:v>
      </x:c>
      <x:c r="G862" s="6" t="n">
        <x:v>6</x:v>
      </x:c>
      <x:c r="H862" s="6" t="n">
        <x:v>4</x:v>
      </x:c>
      <x:c r="I862" s="6" t="n">
        <x:f>G862-H862</x:f>
        <x:v>2</x:v>
      </x:c>
      <x:c r="J862" s="6" t="n">
        <x:f>IF(OR(E862="CANCELED",E862="SUSPECTED_FRAUD",F862="Shipping canceled"),0,1)</x:f>
        <x:v>1</x:v>
      </x:c>
      <x:c r="K862" s="6" t="n">
        <x:f>IF(G862&gt;H862,1,0)</x:f>
        <x:v>1</x:v>
      </x:c>
      <x:c r="L862" s="6" t="n">
        <x:f>J862*K862</x:f>
        <x:v>1</x:v>
      </x:c>
    </x:row>
    <x:row r="863">
      <x:c r="A863" s="1" t="n">
        <x:v>7441</x:v>
      </x:c>
      <x:c r="B863" s="5" t="d">
        <x:v>2015-04-19T00:00:00.000Z</x:v>
      </x:c>
      <x:c r="C863" s="1" t="str">
        <x:v>Standard Class</x:v>
      </x:c>
      <x:c r="D863" s="1" t="str">
        <x:v>LATAM</x:v>
      </x:c>
      <x:c r="E863" s="1" t="str">
        <x:v>COMPLETE</x:v>
      </x:c>
      <x:c r="F863" s="1" t="str">
        <x:v>Advance shipping</x:v>
      </x:c>
      <x:c r="G863" s="6" t="n">
        <x:v>2</x:v>
      </x:c>
      <x:c r="H863" s="6" t="n">
        <x:v>4</x:v>
      </x:c>
      <x:c r="I863" s="6" t="n">
        <x:f>G863-H863</x:f>
        <x:v>-2</x:v>
      </x:c>
      <x:c r="J863" s="6" t="n">
        <x:f>IF(OR(E863="CANCELED",E863="SUSPECTED_FRAUD",F863="Shipping canceled"),0,1)</x:f>
        <x:v>1</x:v>
      </x:c>
      <x:c r="K863" s="6" t="n">
        <x:f>IF(G863&gt;H863,1,0)</x:f>
        <x:v>0</x:v>
      </x:c>
      <x:c r="L863" s="6" t="n">
        <x:f>J863*K863</x:f>
        <x:v>0</x:v>
      </x:c>
    </x:row>
    <x:row r="864">
      <x:c r="A864" s="1" t="n">
        <x:v>7447</x:v>
      </x:c>
      <x:c r="B864" s="5" t="d">
        <x:v>2015-04-19T00:00:00.000Z</x:v>
      </x:c>
      <x:c r="C864" s="1" t="str">
        <x:v>Standard Class</x:v>
      </x:c>
      <x:c r="D864" s="1" t="str">
        <x:v>LATAM</x:v>
      </x:c>
      <x:c r="E864" s="1" t="str">
        <x:v>CLOSED</x:v>
      </x:c>
      <x:c r="F864" s="1" t="str">
        <x:v>Advance shipping</x:v>
      </x:c>
      <x:c r="G864" s="6" t="n">
        <x:v>3</x:v>
      </x:c>
      <x:c r="H864" s="6" t="n">
        <x:v>4</x:v>
      </x:c>
      <x:c r="I864" s="6" t="n">
        <x:f>G864-H864</x:f>
        <x:v>-1</x:v>
      </x:c>
      <x:c r="J864" s="6" t="n">
        <x:f>IF(OR(E864="CANCELED",E864="SUSPECTED_FRAUD",F864="Shipping canceled"),0,1)</x:f>
        <x:v>1</x:v>
      </x:c>
      <x:c r="K864" s="6" t="n">
        <x:f>IF(G864&gt;H864,1,0)</x:f>
        <x:v>0</x:v>
      </x:c>
      <x:c r="L864" s="6" t="n">
        <x:f>J864*K864</x:f>
        <x:v>0</x:v>
      </x:c>
    </x:row>
    <x:row r="865">
      <x:c r="A865" s="1" t="n">
        <x:v>7456</x:v>
      </x:c>
      <x:c r="B865" s="5" t="d">
        <x:v>2015-04-19T00:00:00.000Z</x:v>
      </x:c>
      <x:c r="C865" s="1" t="str">
        <x:v>Standard Class</x:v>
      </x:c>
      <x:c r="D865" s="1" t="str">
        <x:v>LATAM</x:v>
      </x:c>
      <x:c r="E865" s="1" t="str">
        <x:v>PENDING</x:v>
      </x:c>
      <x:c r="F865" s="1" t="str">
        <x:v>Advance shipping</x:v>
      </x:c>
      <x:c r="G865" s="6" t="n">
        <x:v>2</x:v>
      </x:c>
      <x:c r="H865" s="6" t="n">
        <x:v>4</x:v>
      </x:c>
      <x:c r="I865" s="6" t="n">
        <x:f>G865-H865</x:f>
        <x:v>-2</x:v>
      </x:c>
      <x:c r="J865" s="6" t="n">
        <x:f>IF(OR(E865="CANCELED",E865="SUSPECTED_FRAUD",F865="Shipping canceled"),0,1)</x:f>
        <x:v>1</x:v>
      </x:c>
      <x:c r="K865" s="6" t="n">
        <x:f>IF(G865&gt;H865,1,0)</x:f>
        <x:v>0</x:v>
      </x:c>
      <x:c r="L865" s="6" t="n">
        <x:f>J865*K865</x:f>
        <x:v>0</x:v>
      </x:c>
    </x:row>
    <x:row r="866">
      <x:c r="A866" s="1" t="n">
        <x:v>7482</x:v>
      </x:c>
      <x:c r="B866" s="5" t="d">
        <x:v>2015-04-20T00:00:00.000Z</x:v>
      </x:c>
      <x:c r="C866" s="1" t="str">
        <x:v>Second Class</x:v>
      </x:c>
      <x:c r="D866" s="1" t="str">
        <x:v>LATAM</x:v>
      </x:c>
      <x:c r="E866" s="1" t="str">
        <x:v>COMPLETE</x:v>
      </x:c>
      <x:c r="F866" s="1" t="str">
        <x:v>Late delivery</x:v>
      </x:c>
      <x:c r="G866" s="6" t="n">
        <x:v>3</x:v>
      </x:c>
      <x:c r="H866" s="6" t="n">
        <x:v>2</x:v>
      </x:c>
      <x:c r="I866" s="6" t="n">
        <x:f>G866-H866</x:f>
        <x:v>1</x:v>
      </x:c>
      <x:c r="J866" s="6" t="n">
        <x:f>IF(OR(E866="CANCELED",E866="SUSPECTED_FRAUD",F866="Shipping canceled"),0,1)</x:f>
        <x:v>1</x:v>
      </x:c>
      <x:c r="K866" s="6" t="n">
        <x:f>IF(G866&gt;H866,1,0)</x:f>
        <x:v>1</x:v>
      </x:c>
      <x:c r="L866" s="6" t="n">
        <x:f>J866*K866</x:f>
        <x:v>1</x:v>
      </x:c>
    </x:row>
    <x:row r="867">
      <x:c r="A867" s="1" t="n">
        <x:v>7485</x:v>
      </x:c>
      <x:c r="B867" s="5" t="d">
        <x:v>2015-04-20T00:00:00.000Z</x:v>
      </x:c>
      <x:c r="C867" s="1" t="str">
        <x:v>Standard Class</x:v>
      </x:c>
      <x:c r="D867" s="1" t="str">
        <x:v>LATAM</x:v>
      </x:c>
      <x:c r="E867" s="1" t="str">
        <x:v>PROCESSING</x:v>
      </x:c>
      <x:c r="F867" s="1" t="str">
        <x:v>Late delivery</x:v>
      </x:c>
      <x:c r="G867" s="6" t="n">
        <x:v>6</x:v>
      </x:c>
      <x:c r="H867" s="6" t="n">
        <x:v>4</x:v>
      </x:c>
      <x:c r="I867" s="6" t="n">
        <x:f>G867-H867</x:f>
        <x:v>2</x:v>
      </x:c>
      <x:c r="J867" s="6" t="n">
        <x:f>IF(OR(E867="CANCELED",E867="SUSPECTED_FRAUD",F867="Shipping canceled"),0,1)</x:f>
        <x:v>1</x:v>
      </x:c>
      <x:c r="K867" s="6" t="n">
        <x:f>IF(G867&gt;H867,1,0)</x:f>
        <x:v>1</x:v>
      </x:c>
      <x:c r="L867" s="6" t="n">
        <x:f>J867*K867</x:f>
        <x:v>1</x:v>
      </x:c>
    </x:row>
    <x:row r="868">
      <x:c r="A868" s="1" t="n">
        <x:v>7488</x:v>
      </x:c>
      <x:c r="B868" s="5" t="d">
        <x:v>2015-04-20T00:00:00.000Z</x:v>
      </x:c>
      <x:c r="C868" s="1" t="str">
        <x:v>Standard Class</x:v>
      </x:c>
      <x:c r="D868" s="1" t="str">
        <x:v>LATAM</x:v>
      </x:c>
      <x:c r="E868" s="1" t="str">
        <x:v>COMPLETE</x:v>
      </x:c>
      <x:c r="F868" s="1" t="str">
        <x:v>Shipping on time</x:v>
      </x:c>
      <x:c r="G868" s="6" t="n">
        <x:v>4</x:v>
      </x:c>
      <x:c r="H868" s="6" t="n">
        <x:v>4</x:v>
      </x:c>
      <x:c r="I868" s="6" t="n">
        <x:f>G868-H868</x:f>
        <x:v>0</x:v>
      </x:c>
      <x:c r="J868" s="6" t="n">
        <x:f>IF(OR(E868="CANCELED",E868="SUSPECTED_FRAUD",F868="Shipping canceled"),0,1)</x:f>
        <x:v>1</x:v>
      </x:c>
      <x:c r="K868" s="6" t="n">
        <x:f>IF(G868&gt;H868,1,0)</x:f>
        <x:v>0</x:v>
      </x:c>
      <x:c r="L868" s="6" t="n">
        <x:f>J868*K868</x:f>
        <x:v>0</x:v>
      </x:c>
    </x:row>
    <x:row r="869">
      <x:c r="A869" s="1" t="n">
        <x:v>7501</x:v>
      </x:c>
      <x:c r="B869" s="5" t="d">
        <x:v>2015-04-20T00:00:00.000Z</x:v>
      </x:c>
      <x:c r="C869" s="1" t="str">
        <x:v>Standard Class</x:v>
      </x:c>
      <x:c r="D869" s="1" t="str">
        <x:v>LATAM</x:v>
      </x:c>
      <x:c r="E869" s="1" t="str">
        <x:v>CLOSED</x:v>
      </x:c>
      <x:c r="F869" s="1" t="str">
        <x:v>Advance shipping</x:v>
      </x:c>
      <x:c r="G869" s="6" t="n">
        <x:v>2</x:v>
      </x:c>
      <x:c r="H869" s="6" t="n">
        <x:v>4</x:v>
      </x:c>
      <x:c r="I869" s="6" t="n">
        <x:f>G869-H869</x:f>
        <x:v>-2</x:v>
      </x:c>
      <x:c r="J869" s="6" t="n">
        <x:f>IF(OR(E869="CANCELED",E869="SUSPECTED_FRAUD",F869="Shipping canceled"),0,1)</x:f>
        <x:v>1</x:v>
      </x:c>
      <x:c r="K869" s="6" t="n">
        <x:f>IF(G869&gt;H869,1,0)</x:f>
        <x:v>0</x:v>
      </x:c>
      <x:c r="L869" s="6" t="n">
        <x:f>J869*K869</x:f>
        <x:v>0</x:v>
      </x:c>
    </x:row>
    <x:row r="870">
      <x:c r="A870" s="1" t="n">
        <x:v>7503</x:v>
      </x:c>
      <x:c r="B870" s="5" t="d">
        <x:v>2015-04-20T00:00:00.000Z</x:v>
      </x:c>
      <x:c r="C870" s="1" t="str">
        <x:v>Standard Class</x:v>
      </x:c>
      <x:c r="D870" s="1" t="str">
        <x:v>LATAM</x:v>
      </x:c>
      <x:c r="E870" s="1" t="str">
        <x:v>COMPLETE</x:v>
      </x:c>
      <x:c r="F870" s="1" t="str">
        <x:v>Shipping on time</x:v>
      </x:c>
      <x:c r="G870" s="6" t="n">
        <x:v>4</x:v>
      </x:c>
      <x:c r="H870" s="6" t="n">
        <x:v>4</x:v>
      </x:c>
      <x:c r="I870" s="6" t="n">
        <x:f>G870-H870</x:f>
        <x:v>0</x:v>
      </x:c>
      <x:c r="J870" s="6" t="n">
        <x:f>IF(OR(E870="CANCELED",E870="SUSPECTED_FRAUD",F870="Shipping canceled"),0,1)</x:f>
        <x:v>1</x:v>
      </x:c>
      <x:c r="K870" s="6" t="n">
        <x:f>IF(G870&gt;H870,1,0)</x:f>
        <x:v>0</x:v>
      </x:c>
      <x:c r="L870" s="6" t="n">
        <x:f>J870*K870</x:f>
        <x:v>0</x:v>
      </x:c>
    </x:row>
    <x:row r="871">
      <x:c r="A871" s="1" t="n">
        <x:v>7506</x:v>
      </x:c>
      <x:c r="B871" s="5" t="d">
        <x:v>2015-04-20T00:00:00.000Z</x:v>
      </x:c>
      <x:c r="C871" s="1" t="str">
        <x:v>Standard Class</x:v>
      </x:c>
      <x:c r="D871" s="1" t="str">
        <x:v>LATAM</x:v>
      </x:c>
      <x:c r="E871" s="1" t="str">
        <x:v>COMPLETE</x:v>
      </x:c>
      <x:c r="F871" s="1" t="str">
        <x:v>Advance shipping</x:v>
      </x:c>
      <x:c r="G871" s="6" t="n">
        <x:v>2</x:v>
      </x:c>
      <x:c r="H871" s="6" t="n">
        <x:v>4</x:v>
      </x:c>
      <x:c r="I871" s="6" t="n">
        <x:f>G871-H871</x:f>
        <x:v>-2</x:v>
      </x:c>
      <x:c r="J871" s="6" t="n">
        <x:f>IF(OR(E871="CANCELED",E871="SUSPECTED_FRAUD",F871="Shipping canceled"),0,1)</x:f>
        <x:v>1</x:v>
      </x:c>
      <x:c r="K871" s="6" t="n">
        <x:f>IF(G871&gt;H871,1,0)</x:f>
        <x:v>0</x:v>
      </x:c>
      <x:c r="L871" s="6" t="n">
        <x:f>J871*K871</x:f>
        <x:v>0</x:v>
      </x:c>
    </x:row>
    <x:row r="872">
      <x:c r="A872" s="1" t="n">
        <x:v>7507</x:v>
      </x:c>
      <x:c r="B872" s="5" t="d">
        <x:v>2015-04-20T00:00:00.000Z</x:v>
      </x:c>
      <x:c r="C872" s="1" t="str">
        <x:v>Standard Class</x:v>
      </x:c>
      <x:c r="D872" s="1" t="str">
        <x:v>LATAM</x:v>
      </x:c>
      <x:c r="E872" s="1" t="str">
        <x:v>PENDING_PAYMENT</x:v>
      </x:c>
      <x:c r="F872" s="1" t="str">
        <x:v>Advance shipping</x:v>
      </x:c>
      <x:c r="G872" s="6" t="n">
        <x:v>3</x:v>
      </x:c>
      <x:c r="H872" s="6" t="n">
        <x:v>4</x:v>
      </x:c>
      <x:c r="I872" s="6" t="n">
        <x:f>G872-H872</x:f>
        <x:v>-1</x:v>
      </x:c>
      <x:c r="J872" s="6" t="n">
        <x:f>IF(OR(E872="CANCELED",E872="SUSPECTED_FRAUD",F872="Shipping canceled"),0,1)</x:f>
        <x:v>1</x:v>
      </x:c>
      <x:c r="K872" s="6" t="n">
        <x:f>IF(G872&gt;H872,1,0)</x:f>
        <x:v>0</x:v>
      </x:c>
      <x:c r="L872" s="6" t="n">
        <x:f>J872*K872</x:f>
        <x:v>0</x:v>
      </x:c>
    </x:row>
    <x:row r="873">
      <x:c r="A873" s="1" t="n">
        <x:v>7522</x:v>
      </x:c>
      <x:c r="B873" s="5" t="d">
        <x:v>2015-04-20T00:00:00.000Z</x:v>
      </x:c>
      <x:c r="C873" s="1" t="str">
        <x:v>Standard Class</x:v>
      </x:c>
      <x:c r="D873" s="1" t="str">
        <x:v>LATAM</x:v>
      </x:c>
      <x:c r="E873" s="1" t="str">
        <x:v>ON_HOLD</x:v>
      </x:c>
      <x:c r="F873" s="1" t="str">
        <x:v>Advance shipping</x:v>
      </x:c>
      <x:c r="G873" s="6" t="n">
        <x:v>3</x:v>
      </x:c>
      <x:c r="H873" s="6" t="n">
        <x:v>4</x:v>
      </x:c>
      <x:c r="I873" s="6" t="n">
        <x:f>G873-H873</x:f>
        <x:v>-1</x:v>
      </x:c>
      <x:c r="J873" s="6" t="n">
        <x:f>IF(OR(E873="CANCELED",E873="SUSPECTED_FRAUD",F873="Shipping canceled"),0,1)</x:f>
        <x:v>1</x:v>
      </x:c>
      <x:c r="K873" s="6" t="n">
        <x:f>IF(G873&gt;H873,1,0)</x:f>
        <x:v>0</x:v>
      </x:c>
      <x:c r="L873" s="6" t="n">
        <x:f>J873*K873</x:f>
        <x:v>0</x:v>
      </x:c>
    </x:row>
    <x:row r="874">
      <x:c r="A874" s="1" t="n">
        <x:v>7528</x:v>
      </x:c>
      <x:c r="B874" s="5" t="d">
        <x:v>2015-04-20T00:00:00.000Z</x:v>
      </x:c>
      <x:c r="C874" s="1" t="str">
        <x:v>Standard Class</x:v>
      </x:c>
      <x:c r="D874" s="1" t="str">
        <x:v>LATAM</x:v>
      </x:c>
      <x:c r="E874" s="1" t="str">
        <x:v>PROCESSING</x:v>
      </x:c>
      <x:c r="F874" s="1" t="str">
        <x:v>Shipping on time</x:v>
      </x:c>
      <x:c r="G874" s="6" t="n">
        <x:v>4</x:v>
      </x:c>
      <x:c r="H874" s="6" t="n">
        <x:v>4</x:v>
      </x:c>
      <x:c r="I874" s="6" t="n">
        <x:f>G874-H874</x:f>
        <x:v>0</x:v>
      </x:c>
      <x:c r="J874" s="6" t="n">
        <x:f>IF(OR(E874="CANCELED",E874="SUSPECTED_FRAUD",F874="Shipping canceled"),0,1)</x:f>
        <x:v>1</x:v>
      </x:c>
      <x:c r="K874" s="6" t="n">
        <x:f>IF(G874&gt;H874,1,0)</x:f>
        <x:v>0</x:v>
      </x:c>
      <x:c r="L874" s="6" t="n">
        <x:f>J874*K874</x:f>
        <x:v>0</x:v>
      </x:c>
    </x:row>
    <x:row r="875">
      <x:c r="A875" s="1" t="n">
        <x:v>7551</x:v>
      </x:c>
      <x:c r="B875" s="5" t="d">
        <x:v>2015-04-21T00:00:00.000Z</x:v>
      </x:c>
      <x:c r="C875" s="1" t="str">
        <x:v>Standard Class</x:v>
      </x:c>
      <x:c r="D875" s="1" t="str">
        <x:v>LATAM</x:v>
      </x:c>
      <x:c r="E875" s="1" t="str">
        <x:v>COMPLETE</x:v>
      </x:c>
      <x:c r="F875" s="1" t="str">
        <x:v>Advance shipping</x:v>
      </x:c>
      <x:c r="G875" s="6" t="n">
        <x:v>2</x:v>
      </x:c>
      <x:c r="H875" s="6" t="n">
        <x:v>4</x:v>
      </x:c>
      <x:c r="I875" s="6" t="n">
        <x:f>G875-H875</x:f>
        <x:v>-2</x:v>
      </x:c>
      <x:c r="J875" s="6" t="n">
        <x:f>IF(OR(E875="CANCELED",E875="SUSPECTED_FRAUD",F875="Shipping canceled"),0,1)</x:f>
        <x:v>1</x:v>
      </x:c>
      <x:c r="K875" s="6" t="n">
        <x:f>IF(G875&gt;H875,1,0)</x:f>
        <x:v>0</x:v>
      </x:c>
      <x:c r="L875" s="6" t="n">
        <x:f>J875*K875</x:f>
        <x:v>0</x:v>
      </x:c>
    </x:row>
    <x:row r="876">
      <x:c r="A876" s="1" t="n">
        <x:v>7552</x:v>
      </x:c>
      <x:c r="B876" s="5" t="d">
        <x:v>2015-04-21T00:00:00.000Z</x:v>
      </x:c>
      <x:c r="C876" s="1" t="str">
        <x:v>Standard Class</x:v>
      </x:c>
      <x:c r="D876" s="1" t="str">
        <x:v>LATAM</x:v>
      </x:c>
      <x:c r="E876" s="1" t="str">
        <x:v>PENDING_PAYMENT</x:v>
      </x:c>
      <x:c r="F876" s="1" t="str">
        <x:v>Advance shipping</x:v>
      </x:c>
      <x:c r="G876" s="6" t="n">
        <x:v>3</x:v>
      </x:c>
      <x:c r="H876" s="6" t="n">
        <x:v>4</x:v>
      </x:c>
      <x:c r="I876" s="6" t="n">
        <x:f>G876-H876</x:f>
        <x:v>-1</x:v>
      </x:c>
      <x:c r="J876" s="6" t="n">
        <x:f>IF(OR(E876="CANCELED",E876="SUSPECTED_FRAUD",F876="Shipping canceled"),0,1)</x:f>
        <x:v>1</x:v>
      </x:c>
      <x:c r="K876" s="6" t="n">
        <x:f>IF(G876&gt;H876,1,0)</x:f>
        <x:v>0</x:v>
      </x:c>
      <x:c r="L876" s="6" t="n">
        <x:f>J876*K876</x:f>
        <x:v>0</x:v>
      </x:c>
    </x:row>
    <x:row r="877">
      <x:c r="A877" s="1" t="n">
        <x:v>7572</x:v>
      </x:c>
      <x:c r="B877" s="5" t="d">
        <x:v>2015-04-21T00:00:00.000Z</x:v>
      </x:c>
      <x:c r="C877" s="1" t="str">
        <x:v>Standard Class</x:v>
      </x:c>
      <x:c r="D877" s="1" t="str">
        <x:v>LATAM</x:v>
      </x:c>
      <x:c r="E877" s="1" t="str">
        <x:v>PROCESSING</x:v>
      </x:c>
      <x:c r="F877" s="1" t="str">
        <x:v>Advance shipping</x:v>
      </x:c>
      <x:c r="G877" s="6" t="n">
        <x:v>3</x:v>
      </x:c>
      <x:c r="H877" s="6" t="n">
        <x:v>4</x:v>
      </x:c>
      <x:c r="I877" s="6" t="n">
        <x:f>G877-H877</x:f>
        <x:v>-1</x:v>
      </x:c>
      <x:c r="J877" s="6" t="n">
        <x:f>IF(OR(E877="CANCELED",E877="SUSPECTED_FRAUD",F877="Shipping canceled"),0,1)</x:f>
        <x:v>1</x:v>
      </x:c>
      <x:c r="K877" s="6" t="n">
        <x:f>IF(G877&gt;H877,1,0)</x:f>
        <x:v>0</x:v>
      </x:c>
      <x:c r="L877" s="6" t="n">
        <x:f>J877*K877</x:f>
        <x:v>0</x:v>
      </x:c>
    </x:row>
    <x:row r="878">
      <x:c r="A878" s="1" t="n">
        <x:v>7595</x:v>
      </x:c>
      <x:c r="B878" s="5" t="d">
        <x:v>2015-04-21T00:00:00.000Z</x:v>
      </x:c>
      <x:c r="C878" s="1" t="str">
        <x:v>First Class</x:v>
      </x:c>
      <x:c r="D878" s="1" t="str">
        <x:v>LATAM</x:v>
      </x:c>
      <x:c r="E878" s="1" t="str">
        <x:v>PROCESSING</x:v>
      </x:c>
      <x:c r="F878" s="1" t="str">
        <x:v>Late delivery</x:v>
      </x:c>
      <x:c r="G878" s="6" t="n">
        <x:v>2</x:v>
      </x:c>
      <x:c r="H878" s="6" t="n">
        <x:v>1</x:v>
      </x:c>
      <x:c r="I878" s="6" t="n">
        <x:f>G878-H878</x:f>
        <x:v>1</x:v>
      </x:c>
      <x:c r="J878" s="6" t="n">
        <x:f>IF(OR(E878="CANCELED",E878="SUSPECTED_FRAUD",F878="Shipping canceled"),0,1)</x:f>
        <x:v>1</x:v>
      </x:c>
      <x:c r="K878" s="6" t="n">
        <x:f>IF(G878&gt;H878,1,0)</x:f>
        <x:v>1</x:v>
      </x:c>
      <x:c r="L878" s="6" t="n">
        <x:f>J878*K878</x:f>
        <x:v>1</x:v>
      </x:c>
    </x:row>
    <x:row r="879">
      <x:c r="A879" s="1" t="n">
        <x:v>7617</x:v>
      </x:c>
      <x:c r="B879" s="5" t="d">
        <x:v>2015-04-22T00:00:00.000Z</x:v>
      </x:c>
      <x:c r="C879" s="1" t="str">
        <x:v>Standard Class</x:v>
      </x:c>
      <x:c r="D879" s="1" t="str">
        <x:v>LATAM</x:v>
      </x:c>
      <x:c r="E879" s="1" t="str">
        <x:v>PENDING</x:v>
      </x:c>
      <x:c r="F879" s="1" t="str">
        <x:v>Advance shipping</x:v>
      </x:c>
      <x:c r="G879" s="6" t="n">
        <x:v>3</x:v>
      </x:c>
      <x:c r="H879" s="6" t="n">
        <x:v>4</x:v>
      </x:c>
      <x:c r="I879" s="6" t="n">
        <x:f>G879-H879</x:f>
        <x:v>-1</x:v>
      </x:c>
      <x:c r="J879" s="6" t="n">
        <x:f>IF(OR(E879="CANCELED",E879="SUSPECTED_FRAUD",F879="Shipping canceled"),0,1)</x:f>
        <x:v>1</x:v>
      </x:c>
      <x:c r="K879" s="6" t="n">
        <x:f>IF(G879&gt;H879,1,0)</x:f>
        <x:v>0</x:v>
      </x:c>
      <x:c r="L879" s="6" t="n">
        <x:f>J879*K879</x:f>
        <x:v>0</x:v>
      </x:c>
    </x:row>
    <x:row r="880">
      <x:c r="A880" s="1" t="n">
        <x:v>7623</x:v>
      </x:c>
      <x:c r="B880" s="5" t="d">
        <x:v>2015-04-22T00:00:00.000Z</x:v>
      </x:c>
      <x:c r="C880" s="1" t="str">
        <x:v>Standard Class</x:v>
      </x:c>
      <x:c r="D880" s="1" t="str">
        <x:v>LATAM</x:v>
      </x:c>
      <x:c r="E880" s="1" t="str">
        <x:v>PENDING</x:v>
      </x:c>
      <x:c r="F880" s="1" t="str">
        <x:v>Shipping on time</x:v>
      </x:c>
      <x:c r="G880" s="6" t="n">
        <x:v>4</x:v>
      </x:c>
      <x:c r="H880" s="6" t="n">
        <x:v>4</x:v>
      </x:c>
      <x:c r="I880" s="6" t="n">
        <x:f>G880-H880</x:f>
        <x:v>0</x:v>
      </x:c>
      <x:c r="J880" s="6" t="n">
        <x:f>IF(OR(E880="CANCELED",E880="SUSPECTED_FRAUD",F880="Shipping canceled"),0,1)</x:f>
        <x:v>1</x:v>
      </x:c>
      <x:c r="K880" s="6" t="n">
        <x:f>IF(G880&gt;H880,1,0)</x:f>
        <x:v>0</x:v>
      </x:c>
      <x:c r="L880" s="6" t="n">
        <x:f>J880*K880</x:f>
        <x:v>0</x:v>
      </x:c>
    </x:row>
    <x:row r="881">
      <x:c r="A881" s="1" t="n">
        <x:v>7650</x:v>
      </x:c>
      <x:c r="B881" s="5" t="d">
        <x:v>2015-04-22T00:00:00.000Z</x:v>
      </x:c>
      <x:c r="C881" s="1" t="str">
        <x:v>First Class</x:v>
      </x:c>
      <x:c r="D881" s="1" t="str">
        <x:v>LATAM</x:v>
      </x:c>
      <x:c r="E881" s="1" t="str">
        <x:v>CLOSED</x:v>
      </x:c>
      <x:c r="F881" s="1" t="str">
        <x:v>Late delivery</x:v>
      </x:c>
      <x:c r="G881" s="6" t="n">
        <x:v>2</x:v>
      </x:c>
      <x:c r="H881" s="6" t="n">
        <x:v>1</x:v>
      </x:c>
      <x:c r="I881" s="6" t="n">
        <x:f>G881-H881</x:f>
        <x:v>1</x:v>
      </x:c>
      <x:c r="J881" s="6" t="n">
        <x:f>IF(OR(E881="CANCELED",E881="SUSPECTED_FRAUD",F881="Shipping canceled"),0,1)</x:f>
        <x:v>1</x:v>
      </x:c>
      <x:c r="K881" s="6" t="n">
        <x:f>IF(G881&gt;H881,1,0)</x:f>
        <x:v>1</x:v>
      </x:c>
      <x:c r="L881" s="6" t="n">
        <x:f>J881*K881</x:f>
        <x:v>1</x:v>
      </x:c>
    </x:row>
    <x:row r="882">
      <x:c r="A882" s="1" t="n">
        <x:v>7682</x:v>
      </x:c>
      <x:c r="B882" s="5" t="d">
        <x:v>2015-04-23T00:00:00.000Z</x:v>
      </x:c>
      <x:c r="C882" s="1" t="str">
        <x:v>Second Class</x:v>
      </x:c>
      <x:c r="D882" s="1" t="str">
        <x:v>LATAM</x:v>
      </x:c>
      <x:c r="E882" s="1" t="str">
        <x:v>CANCELED</x:v>
      </x:c>
      <x:c r="F882" s="1" t="str">
        <x:v>Shipping canceled</x:v>
      </x:c>
      <x:c r="G882" s="6" t="n">
        <x:v>3</x:v>
      </x:c>
      <x:c r="H882" s="6" t="n">
        <x:v>2</x:v>
      </x:c>
      <x:c r="I882" s="6" t="n">
        <x:f>G882-H882</x:f>
        <x:v>1</x:v>
      </x:c>
      <x:c r="J882" s="6" t="n">
        <x:f>IF(OR(E882="CANCELED",E882="SUSPECTED_FRAUD",F882="Shipping canceled"),0,1)</x:f>
        <x:v>0</x:v>
      </x:c>
      <x:c r="K882" s="6" t="n">
        <x:f>IF(G882&gt;H882,1,0)</x:f>
        <x:v>1</x:v>
      </x:c>
      <x:c r="L882" s="6" t="n">
        <x:f>J882*K882</x:f>
        <x:v>0</x:v>
      </x:c>
    </x:row>
    <x:row r="883">
      <x:c r="A883" s="1" t="n">
        <x:v>7688</x:v>
      </x:c>
      <x:c r="B883" s="5" t="d">
        <x:v>2015-04-23T00:00:00.000Z</x:v>
      </x:c>
      <x:c r="C883" s="1" t="str">
        <x:v>Standard Class</x:v>
      </x:c>
      <x:c r="D883" s="1" t="str">
        <x:v>LATAM</x:v>
      </x:c>
      <x:c r="E883" s="1" t="str">
        <x:v>PROCESSING</x:v>
      </x:c>
      <x:c r="F883" s="1" t="str">
        <x:v>Shipping on time</x:v>
      </x:c>
      <x:c r="G883" s="6" t="n">
        <x:v>4</x:v>
      </x:c>
      <x:c r="H883" s="6" t="n">
        <x:v>4</x:v>
      </x:c>
      <x:c r="I883" s="6" t="n">
        <x:f>G883-H883</x:f>
        <x:v>0</x:v>
      </x:c>
      <x:c r="J883" s="6" t="n">
        <x:f>IF(OR(E883="CANCELED",E883="SUSPECTED_FRAUD",F883="Shipping canceled"),0,1)</x:f>
        <x:v>1</x:v>
      </x:c>
      <x:c r="K883" s="6" t="n">
        <x:f>IF(G883&gt;H883,1,0)</x:f>
        <x:v>0</x:v>
      </x:c>
      <x:c r="L883" s="6" t="n">
        <x:f>J883*K883</x:f>
        <x:v>0</x:v>
      </x:c>
    </x:row>
    <x:row r="884">
      <x:c r="A884" s="1" t="n">
        <x:v>7690</x:v>
      </x:c>
      <x:c r="B884" s="5" t="d">
        <x:v>2015-04-23T00:00:00.000Z</x:v>
      </x:c>
      <x:c r="C884" s="1" t="str">
        <x:v>Standard Class</x:v>
      </x:c>
      <x:c r="D884" s="1" t="str">
        <x:v>LATAM</x:v>
      </x:c>
      <x:c r="E884" s="1" t="str">
        <x:v>PENDING_PAYMENT</x:v>
      </x:c>
      <x:c r="F884" s="1" t="str">
        <x:v>Late delivery</x:v>
      </x:c>
      <x:c r="G884" s="6" t="n">
        <x:v>6</x:v>
      </x:c>
      <x:c r="H884" s="6" t="n">
        <x:v>4</x:v>
      </x:c>
      <x:c r="I884" s="6" t="n">
        <x:f>G884-H884</x:f>
        <x:v>2</x:v>
      </x:c>
      <x:c r="J884" s="6" t="n">
        <x:f>IF(OR(E884="CANCELED",E884="SUSPECTED_FRAUD",F884="Shipping canceled"),0,1)</x:f>
        <x:v>1</x:v>
      </x:c>
      <x:c r="K884" s="6" t="n">
        <x:f>IF(G884&gt;H884,1,0)</x:f>
        <x:v>1</x:v>
      </x:c>
      <x:c r="L884" s="6" t="n">
        <x:f>J884*K884</x:f>
        <x:v>1</x:v>
      </x:c>
    </x:row>
    <x:row r="885">
      <x:c r="A885" s="1" t="n">
        <x:v>7702</x:v>
      </x:c>
      <x:c r="B885" s="5" t="d">
        <x:v>2015-04-23T00:00:00.000Z</x:v>
      </x:c>
      <x:c r="C885" s="1" t="str">
        <x:v>Standard Class</x:v>
      </x:c>
      <x:c r="D885" s="1" t="str">
        <x:v>LATAM</x:v>
      </x:c>
      <x:c r="E885" s="1" t="str">
        <x:v>COMPLETE</x:v>
      </x:c>
      <x:c r="F885" s="1" t="str">
        <x:v>Advance shipping</x:v>
      </x:c>
      <x:c r="G885" s="6" t="n">
        <x:v>3</x:v>
      </x:c>
      <x:c r="H885" s="6" t="n">
        <x:v>4</x:v>
      </x:c>
      <x:c r="I885" s="6" t="n">
        <x:f>G885-H885</x:f>
        <x:v>-1</x:v>
      </x:c>
      <x:c r="J885" s="6" t="n">
        <x:f>IF(OR(E885="CANCELED",E885="SUSPECTED_FRAUD",F885="Shipping canceled"),0,1)</x:f>
        <x:v>1</x:v>
      </x:c>
      <x:c r="K885" s="6" t="n">
        <x:f>IF(G885&gt;H885,1,0)</x:f>
        <x:v>0</x:v>
      </x:c>
      <x:c r="L885" s="6" t="n">
        <x:f>J885*K885</x:f>
        <x:v>0</x:v>
      </x:c>
    </x:row>
    <x:row r="886">
      <x:c r="A886" s="1" t="n">
        <x:v>7725</x:v>
      </x:c>
      <x:c r="B886" s="5" t="d">
        <x:v>2015-04-23T00:00:00.000Z</x:v>
      </x:c>
      <x:c r="C886" s="1" t="str">
        <x:v>Second Class</x:v>
      </x:c>
      <x:c r="D886" s="1" t="str">
        <x:v>LATAM</x:v>
      </x:c>
      <x:c r="E886" s="1" t="str">
        <x:v>COMPLETE</x:v>
      </x:c>
      <x:c r="F886" s="1" t="str">
        <x:v>Late delivery</x:v>
      </x:c>
      <x:c r="G886" s="6" t="n">
        <x:v>6</x:v>
      </x:c>
      <x:c r="H886" s="6" t="n">
        <x:v>2</x:v>
      </x:c>
      <x:c r="I886" s="6" t="n">
        <x:f>G886-H886</x:f>
        <x:v>4</x:v>
      </x:c>
      <x:c r="J886" s="6" t="n">
        <x:f>IF(OR(E886="CANCELED",E886="SUSPECTED_FRAUD",F886="Shipping canceled"),0,1)</x:f>
        <x:v>1</x:v>
      </x:c>
      <x:c r="K886" s="6" t="n">
        <x:f>IF(G886&gt;H886,1,0)</x:f>
        <x:v>1</x:v>
      </x:c>
      <x:c r="L886" s="6" t="n">
        <x:f>J886*K886</x:f>
        <x:v>1</x:v>
      </x:c>
    </x:row>
    <x:row r="887">
      <x:c r="A887" s="1" t="n">
        <x:v>7727</x:v>
      </x:c>
      <x:c r="B887" s="5" t="d">
        <x:v>2015-04-23T00:00:00.000Z</x:v>
      </x:c>
      <x:c r="C887" s="1" t="str">
        <x:v>Standard Class</x:v>
      </x:c>
      <x:c r="D887" s="1" t="str">
        <x:v>LATAM</x:v>
      </x:c>
      <x:c r="E887" s="1" t="str">
        <x:v>COMPLETE</x:v>
      </x:c>
      <x:c r="F887" s="1" t="str">
        <x:v>Advance shipping</x:v>
      </x:c>
      <x:c r="G887" s="6" t="n">
        <x:v>3</x:v>
      </x:c>
      <x:c r="H887" s="6" t="n">
        <x:v>4</x:v>
      </x:c>
      <x:c r="I887" s="6" t="n">
        <x:f>G887-H887</x:f>
        <x:v>-1</x:v>
      </x:c>
      <x:c r="J887" s="6" t="n">
        <x:f>IF(OR(E887="CANCELED",E887="SUSPECTED_FRAUD",F887="Shipping canceled"),0,1)</x:f>
        <x:v>1</x:v>
      </x:c>
      <x:c r="K887" s="6" t="n">
        <x:f>IF(G887&gt;H887,1,0)</x:f>
        <x:v>0</x:v>
      </x:c>
      <x:c r="L887" s="6" t="n">
        <x:f>J887*K887</x:f>
        <x:v>0</x:v>
      </x:c>
    </x:row>
    <x:row r="888">
      <x:c r="A888" s="1" t="n">
        <x:v>7728</x:v>
      </x:c>
      <x:c r="B888" s="5" t="d">
        <x:v>2015-04-23T00:00:00.000Z</x:v>
      </x:c>
      <x:c r="C888" s="1" t="str">
        <x:v>Standard Class</x:v>
      </x:c>
      <x:c r="D888" s="1" t="str">
        <x:v>LATAM</x:v>
      </x:c>
      <x:c r="E888" s="1" t="str">
        <x:v>COMPLETE</x:v>
      </x:c>
      <x:c r="F888" s="1" t="str">
        <x:v>Shipping on time</x:v>
      </x:c>
      <x:c r="G888" s="6" t="n">
        <x:v>4</x:v>
      </x:c>
      <x:c r="H888" s="6" t="n">
        <x:v>4</x:v>
      </x:c>
      <x:c r="I888" s="6" t="n">
        <x:f>G888-H888</x:f>
        <x:v>0</x:v>
      </x:c>
      <x:c r="J888" s="6" t="n">
        <x:f>IF(OR(E888="CANCELED",E888="SUSPECTED_FRAUD",F888="Shipping canceled"),0,1)</x:f>
        <x:v>1</x:v>
      </x:c>
      <x:c r="K888" s="6" t="n">
        <x:f>IF(G888&gt;H888,1,0)</x:f>
        <x:v>0</x:v>
      </x:c>
      <x:c r="L888" s="6" t="n">
        <x:f>J888*K888</x:f>
        <x:v>0</x:v>
      </x:c>
    </x:row>
    <x:row r="889">
      <x:c r="A889" s="1" t="n">
        <x:v>7729</x:v>
      </x:c>
      <x:c r="B889" s="5" t="d">
        <x:v>2015-04-23T00:00:00.000Z</x:v>
      </x:c>
      <x:c r="C889" s="1" t="str">
        <x:v>Standard Class</x:v>
      </x:c>
      <x:c r="D889" s="1" t="str">
        <x:v>LATAM</x:v>
      </x:c>
      <x:c r="E889" s="1" t="str">
        <x:v>ON_HOLD</x:v>
      </x:c>
      <x:c r="F889" s="1" t="str">
        <x:v>Late delivery</x:v>
      </x:c>
      <x:c r="G889" s="6" t="n">
        <x:v>5</x:v>
      </x:c>
      <x:c r="H889" s="6" t="n">
        <x:v>4</x:v>
      </x:c>
      <x:c r="I889" s="6" t="n">
        <x:f>G889-H889</x:f>
        <x:v>1</x:v>
      </x:c>
      <x:c r="J889" s="6" t="n">
        <x:f>IF(OR(E889="CANCELED",E889="SUSPECTED_FRAUD",F889="Shipping canceled"),0,1)</x:f>
        <x:v>1</x:v>
      </x:c>
      <x:c r="K889" s="6" t="n">
        <x:f>IF(G889&gt;H889,1,0)</x:f>
        <x:v>1</x:v>
      </x:c>
      <x:c r="L889" s="6" t="n">
        <x:f>J889*K889</x:f>
        <x:v>1</x:v>
      </x:c>
    </x:row>
    <x:row r="890">
      <x:c r="A890" s="1" t="n">
        <x:v>7736</x:v>
      </x:c>
      <x:c r="B890" s="5" t="d">
        <x:v>2015-04-23T00:00:00.000Z</x:v>
      </x:c>
      <x:c r="C890" s="1" t="str">
        <x:v>Standard Class</x:v>
      </x:c>
      <x:c r="D890" s="1" t="str">
        <x:v>LATAM</x:v>
      </x:c>
      <x:c r="E890" s="1" t="str">
        <x:v>COMPLETE</x:v>
      </x:c>
      <x:c r="F890" s="1" t="str">
        <x:v>Advance shipping</x:v>
      </x:c>
      <x:c r="G890" s="6" t="n">
        <x:v>2</x:v>
      </x:c>
      <x:c r="H890" s="6" t="n">
        <x:v>4</x:v>
      </x:c>
      <x:c r="I890" s="6" t="n">
        <x:f>G890-H890</x:f>
        <x:v>-2</x:v>
      </x:c>
      <x:c r="J890" s="6" t="n">
        <x:f>IF(OR(E890="CANCELED",E890="SUSPECTED_FRAUD",F890="Shipping canceled"),0,1)</x:f>
        <x:v>1</x:v>
      </x:c>
      <x:c r="K890" s="6" t="n">
        <x:f>IF(G890&gt;H890,1,0)</x:f>
        <x:v>0</x:v>
      </x:c>
      <x:c r="L890" s="6" t="n">
        <x:f>J890*K890</x:f>
        <x:v>0</x:v>
      </x:c>
    </x:row>
    <x:row r="891">
      <x:c r="A891" s="1" t="n">
        <x:v>7741</x:v>
      </x:c>
      <x:c r="B891" s="5" t="d">
        <x:v>2015-04-23T00:00:00.000Z</x:v>
      </x:c>
      <x:c r="C891" s="1" t="str">
        <x:v>Standard Class</x:v>
      </x:c>
      <x:c r="D891" s="1" t="str">
        <x:v>LATAM</x:v>
      </x:c>
      <x:c r="E891" s="1" t="str">
        <x:v>COMPLETE</x:v>
      </x:c>
      <x:c r="F891" s="1" t="str">
        <x:v>Advance shipping</x:v>
      </x:c>
      <x:c r="G891" s="6" t="n">
        <x:v>2</x:v>
      </x:c>
      <x:c r="H891" s="6" t="n">
        <x:v>4</x:v>
      </x:c>
      <x:c r="I891" s="6" t="n">
        <x:f>G891-H891</x:f>
        <x:v>-2</x:v>
      </x:c>
      <x:c r="J891" s="6" t="n">
        <x:f>IF(OR(E891="CANCELED",E891="SUSPECTED_FRAUD",F891="Shipping canceled"),0,1)</x:f>
        <x:v>1</x:v>
      </x:c>
      <x:c r="K891" s="6" t="n">
        <x:f>IF(G891&gt;H891,1,0)</x:f>
        <x:v>0</x:v>
      </x:c>
      <x:c r="L891" s="6" t="n">
        <x:f>J891*K891</x:f>
        <x:v>0</x:v>
      </x:c>
    </x:row>
    <x:row r="892">
      <x:c r="A892" s="1" t="n">
        <x:v>7755</x:v>
      </x:c>
      <x:c r="B892" s="5" t="d">
        <x:v>2015-04-24T00:00:00.000Z</x:v>
      </x:c>
      <x:c r="C892" s="1" t="str">
        <x:v>Standard Class</x:v>
      </x:c>
      <x:c r="D892" s="1" t="str">
        <x:v>LATAM</x:v>
      </x:c>
      <x:c r="E892" s="1" t="str">
        <x:v>COMPLETE</x:v>
      </x:c>
      <x:c r="F892" s="1" t="str">
        <x:v>Late delivery</x:v>
      </x:c>
      <x:c r="G892" s="6" t="n">
        <x:v>6</x:v>
      </x:c>
      <x:c r="H892" s="6" t="n">
        <x:v>4</x:v>
      </x:c>
      <x:c r="I892" s="6" t="n">
        <x:f>G892-H892</x:f>
        <x:v>2</x:v>
      </x:c>
      <x:c r="J892" s="6" t="n">
        <x:f>IF(OR(E892="CANCELED",E892="SUSPECTED_FRAUD",F892="Shipping canceled"),0,1)</x:f>
        <x:v>1</x:v>
      </x:c>
      <x:c r="K892" s="6" t="n">
        <x:f>IF(G892&gt;H892,1,0)</x:f>
        <x:v>1</x:v>
      </x:c>
      <x:c r="L892" s="6" t="n">
        <x:f>J892*K892</x:f>
        <x:v>1</x:v>
      </x:c>
    </x:row>
    <x:row r="893">
      <x:c r="A893" s="1" t="n">
        <x:v>7761</x:v>
      </x:c>
      <x:c r="B893" s="5" t="d">
        <x:v>2015-04-24T00:00:00.000Z</x:v>
      </x:c>
      <x:c r="C893" s="1" t="str">
        <x:v>Standard Class</x:v>
      </x:c>
      <x:c r="D893" s="1" t="str">
        <x:v>LATAM</x:v>
      </x:c>
      <x:c r="E893" s="1" t="str">
        <x:v>COMPLETE</x:v>
      </x:c>
      <x:c r="F893" s="1" t="str">
        <x:v>Advance shipping</x:v>
      </x:c>
      <x:c r="G893" s="6" t="n">
        <x:v>2</x:v>
      </x:c>
      <x:c r="H893" s="6" t="n">
        <x:v>4</x:v>
      </x:c>
      <x:c r="I893" s="6" t="n">
        <x:f>G893-H893</x:f>
        <x:v>-2</x:v>
      </x:c>
      <x:c r="J893" s="6" t="n">
        <x:f>IF(OR(E893="CANCELED",E893="SUSPECTED_FRAUD",F893="Shipping canceled"),0,1)</x:f>
        <x:v>1</x:v>
      </x:c>
      <x:c r="K893" s="6" t="n">
        <x:f>IF(G893&gt;H893,1,0)</x:f>
        <x:v>0</x:v>
      </x:c>
      <x:c r="L893" s="6" t="n">
        <x:f>J893*K893</x:f>
        <x:v>0</x:v>
      </x:c>
    </x:row>
    <x:row r="894">
      <x:c r="A894" s="1" t="n">
        <x:v>7766</x:v>
      </x:c>
      <x:c r="B894" s="5" t="d">
        <x:v>2015-04-24T00:00:00.000Z</x:v>
      </x:c>
      <x:c r="C894" s="1" t="str">
        <x:v>Standard Class</x:v>
      </x:c>
      <x:c r="D894" s="1" t="str">
        <x:v>LATAM</x:v>
      </x:c>
      <x:c r="E894" s="1" t="str">
        <x:v>CLOSED</x:v>
      </x:c>
      <x:c r="F894" s="1" t="str">
        <x:v>Advance shipping</x:v>
      </x:c>
      <x:c r="G894" s="6" t="n">
        <x:v>2</x:v>
      </x:c>
      <x:c r="H894" s="6" t="n">
        <x:v>4</x:v>
      </x:c>
      <x:c r="I894" s="6" t="n">
        <x:f>G894-H894</x:f>
        <x:v>-2</x:v>
      </x:c>
      <x:c r="J894" s="6" t="n">
        <x:f>IF(OR(E894="CANCELED",E894="SUSPECTED_FRAUD",F894="Shipping canceled"),0,1)</x:f>
        <x:v>1</x:v>
      </x:c>
      <x:c r="K894" s="6" t="n">
        <x:f>IF(G894&gt;H894,1,0)</x:f>
        <x:v>0</x:v>
      </x:c>
      <x:c r="L894" s="6" t="n">
        <x:f>J894*K894</x:f>
        <x:v>0</x:v>
      </x:c>
    </x:row>
    <x:row r="895">
      <x:c r="A895" s="1" t="n">
        <x:v>7814</x:v>
      </x:c>
      <x:c r="B895" s="5" t="d">
        <x:v>2015-04-25T00:00:00.000Z</x:v>
      </x:c>
      <x:c r="C895" s="1" t="str">
        <x:v>Second Class</x:v>
      </x:c>
      <x:c r="D895" s="1" t="str">
        <x:v>LATAM</x:v>
      </x:c>
      <x:c r="E895" s="1" t="str">
        <x:v>PENDING_PAYMENT</x:v>
      </x:c>
      <x:c r="F895" s="1" t="str">
        <x:v>Late delivery</x:v>
      </x:c>
      <x:c r="G895" s="6" t="n">
        <x:v>5</x:v>
      </x:c>
      <x:c r="H895" s="6" t="n">
        <x:v>2</x:v>
      </x:c>
      <x:c r="I895" s="6" t="n">
        <x:f>G895-H895</x:f>
        <x:v>3</x:v>
      </x:c>
      <x:c r="J895" s="6" t="n">
        <x:f>IF(OR(E895="CANCELED",E895="SUSPECTED_FRAUD",F895="Shipping canceled"),0,1)</x:f>
        <x:v>1</x:v>
      </x:c>
      <x:c r="K895" s="6" t="n">
        <x:f>IF(G895&gt;H895,1,0)</x:f>
        <x:v>1</x:v>
      </x:c>
      <x:c r="L895" s="6" t="n">
        <x:f>J895*K895</x:f>
        <x:v>1</x:v>
      </x:c>
    </x:row>
    <x:row r="896">
      <x:c r="A896" s="1" t="n">
        <x:v>7824</x:v>
      </x:c>
      <x:c r="B896" s="5" t="d">
        <x:v>2015-04-25T00:00:00.000Z</x:v>
      </x:c>
      <x:c r="C896" s="1" t="str">
        <x:v>Second Class</x:v>
      </x:c>
      <x:c r="D896" s="1" t="str">
        <x:v>LATAM</x:v>
      </x:c>
      <x:c r="E896" s="1" t="str">
        <x:v>PENDING_PAYMENT</x:v>
      </x:c>
      <x:c r="F896" s="1" t="str">
        <x:v>Late delivery</x:v>
      </x:c>
      <x:c r="G896" s="6" t="n">
        <x:v>5</x:v>
      </x:c>
      <x:c r="H896" s="6" t="n">
        <x:v>2</x:v>
      </x:c>
      <x:c r="I896" s="6" t="n">
        <x:f>G896-H896</x:f>
        <x:v>3</x:v>
      </x:c>
      <x:c r="J896" s="6" t="n">
        <x:f>IF(OR(E896="CANCELED",E896="SUSPECTED_FRAUD",F896="Shipping canceled"),0,1)</x:f>
        <x:v>1</x:v>
      </x:c>
      <x:c r="K896" s="6" t="n">
        <x:f>IF(G896&gt;H896,1,0)</x:f>
        <x:v>1</x:v>
      </x:c>
      <x:c r="L896" s="6" t="n">
        <x:f>J896*K896</x:f>
        <x:v>1</x:v>
      </x:c>
    </x:row>
    <x:row r="897">
      <x:c r="A897" s="1" t="n">
        <x:v>7829</x:v>
      </x:c>
      <x:c r="B897" s="5" t="d">
        <x:v>2015-04-25T00:00:00.000Z</x:v>
      </x:c>
      <x:c r="C897" s="1" t="str">
        <x:v>Same Day</x:v>
      </x:c>
      <x:c r="D897" s="1" t="str">
        <x:v>LATAM</x:v>
      </x:c>
      <x:c r="E897" s="1" t="str">
        <x:v>COMPLETE</x:v>
      </x:c>
      <x:c r="F897" s="1" t="str">
        <x:v>Shipping on time</x:v>
      </x:c>
      <x:c r="G897" s="6" t="n">
        <x:v>0</x:v>
      </x:c>
      <x:c r="H897" s="6" t="n">
        <x:v>0</x:v>
      </x:c>
      <x:c r="I897" s="6" t="n">
        <x:f>G897-H897</x:f>
        <x:v>0</x:v>
      </x:c>
      <x:c r="J897" s="6" t="n">
        <x:f>IF(OR(E897="CANCELED",E897="SUSPECTED_FRAUD",F897="Shipping canceled"),0,1)</x:f>
        <x:v>1</x:v>
      </x:c>
      <x:c r="K897" s="6" t="n">
        <x:f>IF(G897&gt;H897,1,0)</x:f>
        <x:v>0</x:v>
      </x:c>
      <x:c r="L897" s="6" t="n">
        <x:f>J897*K897</x:f>
        <x:v>0</x:v>
      </x:c>
    </x:row>
    <x:row r="898">
      <x:c r="A898" s="1" t="n">
        <x:v>7839</x:v>
      </x:c>
      <x:c r="B898" s="5" t="d">
        <x:v>2015-04-25T00:00:00.000Z</x:v>
      </x:c>
      <x:c r="C898" s="1" t="str">
        <x:v>Standard Class</x:v>
      </x:c>
      <x:c r="D898" s="1" t="str">
        <x:v>LATAM</x:v>
      </x:c>
      <x:c r="E898" s="1" t="str">
        <x:v>ON_HOLD</x:v>
      </x:c>
      <x:c r="F898" s="1" t="str">
        <x:v>Late delivery</x:v>
      </x:c>
      <x:c r="G898" s="6" t="n">
        <x:v>5</x:v>
      </x:c>
      <x:c r="H898" s="6" t="n">
        <x:v>4</x:v>
      </x:c>
      <x:c r="I898" s="6" t="n">
        <x:f>G898-H898</x:f>
        <x:v>1</x:v>
      </x:c>
      <x:c r="J898" s="6" t="n">
        <x:f>IF(OR(E898="CANCELED",E898="SUSPECTED_FRAUD",F898="Shipping canceled"),0,1)</x:f>
        <x:v>1</x:v>
      </x:c>
      <x:c r="K898" s="6" t="n">
        <x:f>IF(G898&gt;H898,1,0)</x:f>
        <x:v>1</x:v>
      </x:c>
      <x:c r="L898" s="6" t="n">
        <x:f>J898*K898</x:f>
        <x:v>1</x:v>
      </x:c>
    </x:row>
    <x:row r="899">
      <x:c r="A899" s="1" t="n">
        <x:v>7842</x:v>
      </x:c>
      <x:c r="B899" s="5" t="d">
        <x:v>2015-04-25T00:00:00.000Z</x:v>
      </x:c>
      <x:c r="C899" s="1" t="str">
        <x:v>Standard Class</x:v>
      </x:c>
      <x:c r="D899" s="1" t="str">
        <x:v>LATAM</x:v>
      </x:c>
      <x:c r="E899" s="1" t="str">
        <x:v>PENDING_PAYMENT</x:v>
      </x:c>
      <x:c r="F899" s="1" t="str">
        <x:v>Advance shipping</x:v>
      </x:c>
      <x:c r="G899" s="6" t="n">
        <x:v>3</x:v>
      </x:c>
      <x:c r="H899" s="6" t="n">
        <x:v>4</x:v>
      </x:c>
      <x:c r="I899" s="6" t="n">
        <x:f>G899-H899</x:f>
        <x:v>-1</x:v>
      </x:c>
      <x:c r="J899" s="6" t="n">
        <x:f>IF(OR(E899="CANCELED",E899="SUSPECTED_FRAUD",F899="Shipping canceled"),0,1)</x:f>
        <x:v>1</x:v>
      </x:c>
      <x:c r="K899" s="6" t="n">
        <x:f>IF(G899&gt;H899,1,0)</x:f>
        <x:v>0</x:v>
      </x:c>
      <x:c r="L899" s="6" t="n">
        <x:f>J899*K899</x:f>
        <x:v>0</x:v>
      </x:c>
    </x:row>
    <x:row r="900">
      <x:c r="A900" s="1" t="n">
        <x:v>7845</x:v>
      </x:c>
      <x:c r="B900" s="5" t="d">
        <x:v>2015-04-25T00:00:00.000Z</x:v>
      </x:c>
      <x:c r="C900" s="1" t="str">
        <x:v>Standard Class</x:v>
      </x:c>
      <x:c r="D900" s="1" t="str">
        <x:v>LATAM</x:v>
      </x:c>
      <x:c r="E900" s="1" t="str">
        <x:v>COMPLETE</x:v>
      </x:c>
      <x:c r="F900" s="1" t="str">
        <x:v>Late delivery</x:v>
      </x:c>
      <x:c r="G900" s="6" t="n">
        <x:v>6</x:v>
      </x:c>
      <x:c r="H900" s="6" t="n">
        <x:v>4</x:v>
      </x:c>
      <x:c r="I900" s="6" t="n">
        <x:f>G900-H900</x:f>
        <x:v>2</x:v>
      </x:c>
      <x:c r="J900" s="6" t="n">
        <x:f>IF(OR(E900="CANCELED",E900="SUSPECTED_FRAUD",F900="Shipping canceled"),0,1)</x:f>
        <x:v>1</x:v>
      </x:c>
      <x:c r="K900" s="6" t="n">
        <x:f>IF(G900&gt;H900,1,0)</x:f>
        <x:v>1</x:v>
      </x:c>
      <x:c r="L900" s="6" t="n">
        <x:f>J900*K900</x:f>
        <x:v>1</x:v>
      </x:c>
    </x:row>
    <x:row r="901">
      <x:c r="A901" s="1" t="n">
        <x:v>7865</x:v>
      </x:c>
      <x:c r="B901" s="5" t="d">
        <x:v>2015-04-25T00:00:00.000Z</x:v>
      </x:c>
      <x:c r="C901" s="1" t="str">
        <x:v>Standard Class</x:v>
      </x:c>
      <x:c r="D901" s="1" t="str">
        <x:v>LATAM</x:v>
      </x:c>
      <x:c r="E901" s="1" t="str">
        <x:v>COMPLETE</x:v>
      </x:c>
      <x:c r="F901" s="1" t="str">
        <x:v>Late delivery</x:v>
      </x:c>
      <x:c r="G901" s="6" t="n">
        <x:v>6</x:v>
      </x:c>
      <x:c r="H901" s="6" t="n">
        <x:v>4</x:v>
      </x:c>
      <x:c r="I901" s="6" t="n">
        <x:f>G901-H901</x:f>
        <x:v>2</x:v>
      </x:c>
      <x:c r="J901" s="6" t="n">
        <x:f>IF(OR(E901="CANCELED",E901="SUSPECTED_FRAUD",F901="Shipping canceled"),0,1)</x:f>
        <x:v>1</x:v>
      </x:c>
      <x:c r="K901" s="6" t="n">
        <x:f>IF(G901&gt;H901,1,0)</x:f>
        <x:v>1</x:v>
      </x:c>
      <x:c r="L901" s="6" t="n">
        <x:f>J901*K901</x:f>
        <x:v>1</x:v>
      </x:c>
    </x:row>
    <x:row r="902">
      <x:c r="A902" s="1" t="n">
        <x:v>7873</x:v>
      </x:c>
      <x:c r="B902" s="5" t="d">
        <x:v>2015-04-25T00:00:00.000Z</x:v>
      </x:c>
      <x:c r="C902" s="1" t="str">
        <x:v>Standard Class</x:v>
      </x:c>
      <x:c r="D902" s="1" t="str">
        <x:v>LATAM</x:v>
      </x:c>
      <x:c r="E902" s="1" t="str">
        <x:v>ON_HOLD</x:v>
      </x:c>
      <x:c r="F902" s="1" t="str">
        <x:v>Shipping on time</x:v>
      </x:c>
      <x:c r="G902" s="6" t="n">
        <x:v>4</x:v>
      </x:c>
      <x:c r="H902" s="6" t="n">
        <x:v>4</x:v>
      </x:c>
      <x:c r="I902" s="6" t="n">
        <x:f>G902-H902</x:f>
        <x:v>0</x:v>
      </x:c>
      <x:c r="J902" s="6" t="n">
        <x:f>IF(OR(E902="CANCELED",E902="SUSPECTED_FRAUD",F902="Shipping canceled"),0,1)</x:f>
        <x:v>1</x:v>
      </x:c>
      <x:c r="K902" s="6" t="n">
        <x:f>IF(G902&gt;H902,1,0)</x:f>
        <x:v>0</x:v>
      </x:c>
      <x:c r="L902" s="6" t="n">
        <x:f>J902*K902</x:f>
        <x:v>0</x:v>
      </x:c>
    </x:row>
    <x:row r="903">
      <x:c r="A903" s="1" t="n">
        <x:v>7874</x:v>
      </x:c>
      <x:c r="B903" s="5" t="d">
        <x:v>2015-04-25T00:00:00.000Z</x:v>
      </x:c>
      <x:c r="C903" s="1" t="str">
        <x:v>Standard Class</x:v>
      </x:c>
      <x:c r="D903" s="1" t="str">
        <x:v>LATAM</x:v>
      </x:c>
      <x:c r="E903" s="1" t="str">
        <x:v>PENDING_PAYMENT</x:v>
      </x:c>
      <x:c r="F903" s="1" t="str">
        <x:v>Late delivery</x:v>
      </x:c>
      <x:c r="G903" s="6" t="n">
        <x:v>5</x:v>
      </x:c>
      <x:c r="H903" s="6" t="n">
        <x:v>4</x:v>
      </x:c>
      <x:c r="I903" s="6" t="n">
        <x:f>G903-H903</x:f>
        <x:v>1</x:v>
      </x:c>
      <x:c r="J903" s="6" t="n">
        <x:f>IF(OR(E903="CANCELED",E903="SUSPECTED_FRAUD",F903="Shipping canceled"),0,1)</x:f>
        <x:v>1</x:v>
      </x:c>
      <x:c r="K903" s="6" t="n">
        <x:f>IF(G903&gt;H903,1,0)</x:f>
        <x:v>1</x:v>
      </x:c>
      <x:c r="L903" s="6" t="n">
        <x:f>J903*K903</x:f>
        <x:v>1</x:v>
      </x:c>
    </x:row>
    <x:row r="904">
      <x:c r="A904" s="1" t="n">
        <x:v>7884</x:v>
      </x:c>
      <x:c r="B904" s="5" t="d">
        <x:v>2015-04-26T00:00:00.000Z</x:v>
      </x:c>
      <x:c r="C904" s="1" t="str">
        <x:v>Second Class</x:v>
      </x:c>
      <x:c r="D904" s="1" t="str">
        <x:v>LATAM</x:v>
      </x:c>
      <x:c r="E904" s="1" t="str">
        <x:v>COMPLETE</x:v>
      </x:c>
      <x:c r="F904" s="1" t="str">
        <x:v>Late delivery</x:v>
      </x:c>
      <x:c r="G904" s="6" t="n">
        <x:v>5</x:v>
      </x:c>
      <x:c r="H904" s="6" t="n">
        <x:v>2</x:v>
      </x:c>
      <x:c r="I904" s="6" t="n">
        <x:f>G904-H904</x:f>
        <x:v>3</x:v>
      </x:c>
      <x:c r="J904" s="6" t="n">
        <x:f>IF(OR(E904="CANCELED",E904="SUSPECTED_FRAUD",F904="Shipping canceled"),0,1)</x:f>
        <x:v>1</x:v>
      </x:c>
      <x:c r="K904" s="6" t="n">
        <x:f>IF(G904&gt;H904,1,0)</x:f>
        <x:v>1</x:v>
      </x:c>
      <x:c r="L904" s="6" t="n">
        <x:f>J904*K904</x:f>
        <x:v>1</x:v>
      </x:c>
    </x:row>
    <x:row r="905">
      <x:c r="A905" s="1" t="n">
        <x:v>7888</x:v>
      </x:c>
      <x:c r="B905" s="5" t="d">
        <x:v>2015-04-26T00:00:00.000Z</x:v>
      </x:c>
      <x:c r="C905" s="1" t="str">
        <x:v>Second Class</x:v>
      </x:c>
      <x:c r="D905" s="1" t="str">
        <x:v>LATAM</x:v>
      </x:c>
      <x:c r="E905" s="1" t="str">
        <x:v>PENDING_PAYMENT</x:v>
      </x:c>
      <x:c r="F905" s="1" t="str">
        <x:v>Late delivery</x:v>
      </x:c>
      <x:c r="G905" s="6" t="n">
        <x:v>4</x:v>
      </x:c>
      <x:c r="H905" s="6" t="n">
        <x:v>2</x:v>
      </x:c>
      <x:c r="I905" s="6" t="n">
        <x:f>G905-H905</x:f>
        <x:v>2</x:v>
      </x:c>
      <x:c r="J905" s="6" t="n">
        <x:f>IF(OR(E905="CANCELED",E905="SUSPECTED_FRAUD",F905="Shipping canceled"),0,1)</x:f>
        <x:v>1</x:v>
      </x:c>
      <x:c r="K905" s="6" t="n">
        <x:f>IF(G905&gt;H905,1,0)</x:f>
        <x:v>1</x:v>
      </x:c>
      <x:c r="L905" s="6" t="n">
        <x:f>J905*K905</x:f>
        <x:v>1</x:v>
      </x:c>
    </x:row>
    <x:row r="906">
      <x:c r="A906" s="1" t="n">
        <x:v>7897</x:v>
      </x:c>
      <x:c r="B906" s="5" t="d">
        <x:v>2015-04-26T00:00:00.000Z</x:v>
      </x:c>
      <x:c r="C906" s="1" t="str">
        <x:v>Standard Class</x:v>
      </x:c>
      <x:c r="D906" s="1" t="str">
        <x:v>LATAM</x:v>
      </x:c>
      <x:c r="E906" s="1" t="str">
        <x:v>COMPLETE</x:v>
      </x:c>
      <x:c r="F906" s="1" t="str">
        <x:v>Advance shipping</x:v>
      </x:c>
      <x:c r="G906" s="6" t="n">
        <x:v>3</x:v>
      </x:c>
      <x:c r="H906" s="6" t="n">
        <x:v>4</x:v>
      </x:c>
      <x:c r="I906" s="6" t="n">
        <x:f>G906-H906</x:f>
        <x:v>-1</x:v>
      </x:c>
      <x:c r="J906" s="6" t="n">
        <x:f>IF(OR(E906="CANCELED",E906="SUSPECTED_FRAUD",F906="Shipping canceled"),0,1)</x:f>
        <x:v>1</x:v>
      </x:c>
      <x:c r="K906" s="6" t="n">
        <x:f>IF(G906&gt;H906,1,0)</x:f>
        <x:v>0</x:v>
      </x:c>
      <x:c r="L906" s="6" t="n">
        <x:f>J906*K906</x:f>
        <x:v>0</x:v>
      </x:c>
    </x:row>
    <x:row r="907">
      <x:c r="A907" s="1" t="n">
        <x:v>7898</x:v>
      </x:c>
      <x:c r="B907" s="5" t="d">
        <x:v>2015-04-26T00:00:00.000Z</x:v>
      </x:c>
      <x:c r="C907" s="1" t="str">
        <x:v>Standard Class</x:v>
      </x:c>
      <x:c r="D907" s="1" t="str">
        <x:v>LATAM</x:v>
      </x:c>
      <x:c r="E907" s="1" t="str">
        <x:v>COMPLETE</x:v>
      </x:c>
      <x:c r="F907" s="1" t="str">
        <x:v>Shipping on time</x:v>
      </x:c>
      <x:c r="G907" s="6" t="n">
        <x:v>4</x:v>
      </x:c>
      <x:c r="H907" s="6" t="n">
        <x:v>4</x:v>
      </x:c>
      <x:c r="I907" s="6" t="n">
        <x:f>G907-H907</x:f>
        <x:v>0</x:v>
      </x:c>
      <x:c r="J907" s="6" t="n">
        <x:f>IF(OR(E907="CANCELED",E907="SUSPECTED_FRAUD",F907="Shipping canceled"),0,1)</x:f>
        <x:v>1</x:v>
      </x:c>
      <x:c r="K907" s="6" t="n">
        <x:f>IF(G907&gt;H907,1,0)</x:f>
        <x:v>0</x:v>
      </x:c>
      <x:c r="L907" s="6" t="n">
        <x:f>J907*K907</x:f>
        <x:v>0</x:v>
      </x:c>
    </x:row>
    <x:row r="908">
      <x:c r="A908" s="1" t="n">
        <x:v>7911</x:v>
      </x:c>
      <x:c r="B908" s="5" t="d">
        <x:v>2015-04-26T00:00:00.000Z</x:v>
      </x:c>
      <x:c r="C908" s="1" t="str">
        <x:v>Standard Class</x:v>
      </x:c>
      <x:c r="D908" s="1" t="str">
        <x:v>LATAM</x:v>
      </x:c>
      <x:c r="E908" s="1" t="str">
        <x:v>COMPLETE</x:v>
      </x:c>
      <x:c r="F908" s="1" t="str">
        <x:v>Advance shipping</x:v>
      </x:c>
      <x:c r="G908" s="6" t="n">
        <x:v>2</x:v>
      </x:c>
      <x:c r="H908" s="6" t="n">
        <x:v>4</x:v>
      </x:c>
      <x:c r="I908" s="6" t="n">
        <x:f>G908-H908</x:f>
        <x:v>-2</x:v>
      </x:c>
      <x:c r="J908" s="6" t="n">
        <x:f>IF(OR(E908="CANCELED",E908="SUSPECTED_FRAUD",F908="Shipping canceled"),0,1)</x:f>
        <x:v>1</x:v>
      </x:c>
      <x:c r="K908" s="6" t="n">
        <x:f>IF(G908&gt;H908,1,0)</x:f>
        <x:v>0</x:v>
      </x:c>
      <x:c r="L908" s="6" t="n">
        <x:f>J908*K908</x:f>
        <x:v>0</x:v>
      </x:c>
    </x:row>
    <x:row r="909">
      <x:c r="A909" s="1" t="n">
        <x:v>7923</x:v>
      </x:c>
      <x:c r="B909" s="5" t="d">
        <x:v>2015-04-26T00:00:00.000Z</x:v>
      </x:c>
      <x:c r="C909" s="1" t="str">
        <x:v>Standard Class</x:v>
      </x:c>
      <x:c r="D909" s="1" t="str">
        <x:v>LATAM</x:v>
      </x:c>
      <x:c r="E909" s="1" t="str">
        <x:v>PENDING_PAYMENT</x:v>
      </x:c>
      <x:c r="F909" s="1" t="str">
        <x:v>Shipping on time</x:v>
      </x:c>
      <x:c r="G909" s="6" t="n">
        <x:v>4</x:v>
      </x:c>
      <x:c r="H909" s="6" t="n">
        <x:v>4</x:v>
      </x:c>
      <x:c r="I909" s="6" t="n">
        <x:f>G909-H909</x:f>
        <x:v>0</x:v>
      </x:c>
      <x:c r="J909" s="6" t="n">
        <x:f>IF(OR(E909="CANCELED",E909="SUSPECTED_FRAUD",F909="Shipping canceled"),0,1)</x:f>
        <x:v>1</x:v>
      </x:c>
      <x:c r="K909" s="6" t="n">
        <x:f>IF(G909&gt;H909,1,0)</x:f>
        <x:v>0</x:v>
      </x:c>
      <x:c r="L909" s="6" t="n">
        <x:f>J909*K909</x:f>
        <x:v>0</x:v>
      </x:c>
    </x:row>
    <x:row r="910">
      <x:c r="A910" s="1" t="n">
        <x:v>7924</x:v>
      </x:c>
      <x:c r="B910" s="5" t="d">
        <x:v>2015-04-26T00:00:00.000Z</x:v>
      </x:c>
      <x:c r="C910" s="1" t="str">
        <x:v>First Class</x:v>
      </x:c>
      <x:c r="D910" s="1" t="str">
        <x:v>LATAM</x:v>
      </x:c>
      <x:c r="E910" s="1" t="str">
        <x:v>PROCESSING</x:v>
      </x:c>
      <x:c r="F910" s="1" t="str">
        <x:v>Late delivery</x:v>
      </x:c>
      <x:c r="G910" s="6" t="n">
        <x:v>2</x:v>
      </x:c>
      <x:c r="H910" s="6" t="n">
        <x:v>1</x:v>
      </x:c>
      <x:c r="I910" s="6" t="n">
        <x:f>G910-H910</x:f>
        <x:v>1</x:v>
      </x:c>
      <x:c r="J910" s="6" t="n">
        <x:f>IF(OR(E910="CANCELED",E910="SUSPECTED_FRAUD",F910="Shipping canceled"),0,1)</x:f>
        <x:v>1</x:v>
      </x:c>
      <x:c r="K910" s="6" t="n">
        <x:f>IF(G910&gt;H910,1,0)</x:f>
        <x:v>1</x:v>
      </x:c>
      <x:c r="L910" s="6" t="n">
        <x:f>J910*K910</x:f>
        <x:v>1</x:v>
      </x:c>
    </x:row>
    <x:row r="911">
      <x:c r="A911" s="1" t="n">
        <x:v>7935</x:v>
      </x:c>
      <x:c r="B911" s="5" t="d">
        <x:v>2015-04-26T00:00:00.000Z</x:v>
      </x:c>
      <x:c r="C911" s="1" t="str">
        <x:v>First Class</x:v>
      </x:c>
      <x:c r="D911" s="1" t="str">
        <x:v>LATAM</x:v>
      </x:c>
      <x:c r="E911" s="1" t="str">
        <x:v>CLOSED</x:v>
      </x:c>
      <x:c r="F911" s="1" t="str">
        <x:v>Late delivery</x:v>
      </x:c>
      <x:c r="G911" s="6" t="n">
        <x:v>2</x:v>
      </x:c>
      <x:c r="H911" s="6" t="n">
        <x:v>1</x:v>
      </x:c>
      <x:c r="I911" s="6" t="n">
        <x:f>G911-H911</x:f>
        <x:v>1</x:v>
      </x:c>
      <x:c r="J911" s="6" t="n">
        <x:f>IF(OR(E911="CANCELED",E911="SUSPECTED_FRAUD",F911="Shipping canceled"),0,1)</x:f>
        <x:v>1</x:v>
      </x:c>
      <x:c r="K911" s="6" t="n">
        <x:f>IF(G911&gt;H911,1,0)</x:f>
        <x:v>1</x:v>
      </x:c>
      <x:c r="L911" s="6" t="n">
        <x:f>J911*K911</x:f>
        <x:v>1</x:v>
      </x:c>
    </x:row>
    <x:row r="912">
      <x:c r="A912" s="1" t="n">
        <x:v>7948</x:v>
      </x:c>
      <x:c r="B912" s="5" t="d">
        <x:v>2015-04-27T00:00:00.000Z</x:v>
      </x:c>
      <x:c r="C912" s="1" t="str">
        <x:v>First Class</x:v>
      </x:c>
      <x:c r="D912" s="1" t="str">
        <x:v>LATAM</x:v>
      </x:c>
      <x:c r="E912" s="1" t="str">
        <x:v>CLOSED</x:v>
      </x:c>
      <x:c r="F912" s="1" t="str">
        <x:v>Late delivery</x:v>
      </x:c>
      <x:c r="G912" s="6" t="n">
        <x:v>2</x:v>
      </x:c>
      <x:c r="H912" s="6" t="n">
        <x:v>1</x:v>
      </x:c>
      <x:c r="I912" s="6" t="n">
        <x:f>G912-H912</x:f>
        <x:v>1</x:v>
      </x:c>
      <x:c r="J912" s="6" t="n">
        <x:f>IF(OR(E912="CANCELED",E912="SUSPECTED_FRAUD",F912="Shipping canceled"),0,1)</x:f>
        <x:v>1</x:v>
      </x:c>
      <x:c r="K912" s="6" t="n">
        <x:f>IF(G912&gt;H912,1,0)</x:f>
        <x:v>1</x:v>
      </x:c>
      <x:c r="L912" s="6" t="n">
        <x:f>J912*K912</x:f>
        <x:v>1</x:v>
      </x:c>
    </x:row>
    <x:row r="913">
      <x:c r="A913" s="1" t="n">
        <x:v>7962</x:v>
      </x:c>
      <x:c r="B913" s="5" t="d">
        <x:v>2015-04-27T00:00:00.000Z</x:v>
      </x:c>
      <x:c r="C913" s="1" t="str">
        <x:v>Standard Class</x:v>
      </x:c>
      <x:c r="D913" s="1" t="str">
        <x:v>LATAM</x:v>
      </x:c>
      <x:c r="E913" s="1" t="str">
        <x:v>PENDING</x:v>
      </x:c>
      <x:c r="F913" s="1" t="str">
        <x:v>Advance shipping</x:v>
      </x:c>
      <x:c r="G913" s="6" t="n">
        <x:v>3</x:v>
      </x:c>
      <x:c r="H913" s="6" t="n">
        <x:v>4</x:v>
      </x:c>
      <x:c r="I913" s="6" t="n">
        <x:f>G913-H913</x:f>
        <x:v>-1</x:v>
      </x:c>
      <x:c r="J913" s="6" t="n">
        <x:f>IF(OR(E913="CANCELED",E913="SUSPECTED_FRAUD",F913="Shipping canceled"),0,1)</x:f>
        <x:v>1</x:v>
      </x:c>
      <x:c r="K913" s="6" t="n">
        <x:f>IF(G913&gt;H913,1,0)</x:f>
        <x:v>0</x:v>
      </x:c>
      <x:c r="L913" s="6" t="n">
        <x:f>J913*K913</x:f>
        <x:v>0</x:v>
      </x:c>
    </x:row>
    <x:row r="914">
      <x:c r="A914" s="1" t="n">
        <x:v>7965</x:v>
      </x:c>
      <x:c r="B914" s="5" t="d">
        <x:v>2015-04-27T00:00:00.000Z</x:v>
      </x:c>
      <x:c r="C914" s="1" t="str">
        <x:v>Standard Class</x:v>
      </x:c>
      <x:c r="D914" s="1" t="str">
        <x:v>LATAM</x:v>
      </x:c>
      <x:c r="E914" s="1" t="str">
        <x:v>COMPLETE</x:v>
      </x:c>
      <x:c r="F914" s="1" t="str">
        <x:v>Late delivery</x:v>
      </x:c>
      <x:c r="G914" s="6" t="n">
        <x:v>6</x:v>
      </x:c>
      <x:c r="H914" s="6" t="n">
        <x:v>4</x:v>
      </x:c>
      <x:c r="I914" s="6" t="n">
        <x:f>G914-H914</x:f>
        <x:v>2</x:v>
      </x:c>
      <x:c r="J914" s="6" t="n">
        <x:f>IF(OR(E914="CANCELED",E914="SUSPECTED_FRAUD",F914="Shipping canceled"),0,1)</x:f>
        <x:v>1</x:v>
      </x:c>
      <x:c r="K914" s="6" t="n">
        <x:f>IF(G914&gt;H914,1,0)</x:f>
        <x:v>1</x:v>
      </x:c>
      <x:c r="L914" s="6" t="n">
        <x:f>J914*K914</x:f>
        <x:v>1</x:v>
      </x:c>
    </x:row>
    <x:row r="915">
      <x:c r="A915" s="1" t="n">
        <x:v>7971</x:v>
      </x:c>
      <x:c r="B915" s="5" t="d">
        <x:v>2015-04-27T00:00:00.000Z</x:v>
      </x:c>
      <x:c r="C915" s="1" t="str">
        <x:v>Standard Class</x:v>
      </x:c>
      <x:c r="D915" s="1" t="str">
        <x:v>LATAM</x:v>
      </x:c>
      <x:c r="E915" s="1" t="str">
        <x:v>PROCESSING</x:v>
      </x:c>
      <x:c r="F915" s="1" t="str">
        <x:v>Advance shipping</x:v>
      </x:c>
      <x:c r="G915" s="6" t="n">
        <x:v>2</x:v>
      </x:c>
      <x:c r="H915" s="6" t="n">
        <x:v>4</x:v>
      </x:c>
      <x:c r="I915" s="6" t="n">
        <x:f>G915-H915</x:f>
        <x:v>-2</x:v>
      </x:c>
      <x:c r="J915" s="6" t="n">
        <x:f>IF(OR(E915="CANCELED",E915="SUSPECTED_FRAUD",F915="Shipping canceled"),0,1)</x:f>
        <x:v>1</x:v>
      </x:c>
      <x:c r="K915" s="6" t="n">
        <x:f>IF(G915&gt;H915,1,0)</x:f>
        <x:v>0</x:v>
      </x:c>
      <x:c r="L915" s="6" t="n">
        <x:f>J915*K915</x:f>
        <x:v>0</x:v>
      </x:c>
    </x:row>
    <x:row r="916">
      <x:c r="A916" s="1" t="n">
        <x:v>7977</x:v>
      </x:c>
      <x:c r="B916" s="5" t="d">
        <x:v>2015-04-27T00:00:00.000Z</x:v>
      </x:c>
      <x:c r="C916" s="1" t="str">
        <x:v>Standard Class</x:v>
      </x:c>
      <x:c r="D916" s="1" t="str">
        <x:v>LATAM</x:v>
      </x:c>
      <x:c r="E916" s="1" t="str">
        <x:v>COMPLETE</x:v>
      </x:c>
      <x:c r="F916" s="1" t="str">
        <x:v>Advance shipping</x:v>
      </x:c>
      <x:c r="G916" s="6" t="n">
        <x:v>3</x:v>
      </x:c>
      <x:c r="H916" s="6" t="n">
        <x:v>4</x:v>
      </x:c>
      <x:c r="I916" s="6" t="n">
        <x:f>G916-H916</x:f>
        <x:v>-1</x:v>
      </x:c>
      <x:c r="J916" s="6" t="n">
        <x:f>IF(OR(E916="CANCELED",E916="SUSPECTED_FRAUD",F916="Shipping canceled"),0,1)</x:f>
        <x:v>1</x:v>
      </x:c>
      <x:c r="K916" s="6" t="n">
        <x:f>IF(G916&gt;H916,1,0)</x:f>
        <x:v>0</x:v>
      </x:c>
      <x:c r="L916" s="6" t="n">
        <x:f>J916*K916</x:f>
        <x:v>0</x:v>
      </x:c>
    </x:row>
    <x:row r="917">
      <x:c r="A917" s="1" t="n">
        <x:v>7980</x:v>
      </x:c>
      <x:c r="B917" s="5" t="d">
        <x:v>2015-04-27T00:00:00.000Z</x:v>
      </x:c>
      <x:c r="C917" s="1" t="str">
        <x:v>Standard Class</x:v>
      </x:c>
      <x:c r="D917" s="1" t="str">
        <x:v>LATAM</x:v>
      </x:c>
      <x:c r="E917" s="1" t="str">
        <x:v>PROCESSING</x:v>
      </x:c>
      <x:c r="F917" s="1" t="str">
        <x:v>Late delivery</x:v>
      </x:c>
      <x:c r="G917" s="6" t="n">
        <x:v>6</x:v>
      </x:c>
      <x:c r="H917" s="6" t="n">
        <x:v>4</x:v>
      </x:c>
      <x:c r="I917" s="6" t="n">
        <x:f>G917-H917</x:f>
        <x:v>2</x:v>
      </x:c>
      <x:c r="J917" s="6" t="n">
        <x:f>IF(OR(E917="CANCELED",E917="SUSPECTED_FRAUD",F917="Shipping canceled"),0,1)</x:f>
        <x:v>1</x:v>
      </x:c>
      <x:c r="K917" s="6" t="n">
        <x:f>IF(G917&gt;H917,1,0)</x:f>
        <x:v>1</x:v>
      </x:c>
      <x:c r="L917" s="6" t="n">
        <x:f>J917*K917</x:f>
        <x:v>1</x:v>
      </x:c>
    </x:row>
    <x:row r="918">
      <x:c r="A918" s="1" t="n">
        <x:v>7983</x:v>
      </x:c>
      <x:c r="B918" s="5" t="d">
        <x:v>2015-04-27T00:00:00.000Z</x:v>
      </x:c>
      <x:c r="C918" s="1" t="str">
        <x:v>Second Class</x:v>
      </x:c>
      <x:c r="D918" s="1" t="str">
        <x:v>LATAM</x:v>
      </x:c>
      <x:c r="E918" s="1" t="str">
        <x:v>COMPLETE</x:v>
      </x:c>
      <x:c r="F918" s="1" t="str">
        <x:v>Late delivery</x:v>
      </x:c>
      <x:c r="G918" s="6" t="n">
        <x:v>4</x:v>
      </x:c>
      <x:c r="H918" s="6" t="n">
        <x:v>2</x:v>
      </x:c>
      <x:c r="I918" s="6" t="n">
        <x:f>G918-H918</x:f>
        <x:v>2</x:v>
      </x:c>
      <x:c r="J918" s="6" t="n">
        <x:f>IF(OR(E918="CANCELED",E918="SUSPECTED_FRAUD",F918="Shipping canceled"),0,1)</x:f>
        <x:v>1</x:v>
      </x:c>
      <x:c r="K918" s="6" t="n">
        <x:f>IF(G918&gt;H918,1,0)</x:f>
        <x:v>1</x:v>
      </x:c>
      <x:c r="L918" s="6" t="n">
        <x:f>J918*K918</x:f>
        <x:v>1</x:v>
      </x:c>
    </x:row>
    <x:row r="919">
      <x:c r="A919" s="1" t="n">
        <x:v>8002</x:v>
      </x:c>
      <x:c r="B919" s="5" t="d">
        <x:v>2015-04-27T00:00:00.000Z</x:v>
      </x:c>
      <x:c r="C919" s="1" t="str">
        <x:v>Standard Class</x:v>
      </x:c>
      <x:c r="D919" s="1" t="str">
        <x:v>LATAM</x:v>
      </x:c>
      <x:c r="E919" s="1" t="str">
        <x:v>COMPLETE</x:v>
      </x:c>
      <x:c r="F919" s="1" t="str">
        <x:v>Advance shipping</x:v>
      </x:c>
      <x:c r="G919" s="6" t="n">
        <x:v>3</x:v>
      </x:c>
      <x:c r="H919" s="6" t="n">
        <x:v>4</x:v>
      </x:c>
      <x:c r="I919" s="6" t="n">
        <x:f>G919-H919</x:f>
        <x:v>-1</x:v>
      </x:c>
      <x:c r="J919" s="6" t="n">
        <x:f>IF(OR(E919="CANCELED",E919="SUSPECTED_FRAUD",F919="Shipping canceled"),0,1)</x:f>
        <x:v>1</x:v>
      </x:c>
      <x:c r="K919" s="6" t="n">
        <x:f>IF(G919&gt;H919,1,0)</x:f>
        <x:v>0</x:v>
      </x:c>
      <x:c r="L919" s="6" t="n">
        <x:f>J919*K919</x:f>
        <x:v>0</x:v>
      </x:c>
    </x:row>
    <x:row r="920">
      <x:c r="A920" s="1" t="n">
        <x:v>8021</x:v>
      </x:c>
      <x:c r="B920" s="5" t="d">
        <x:v>2015-04-28T00:00:00.000Z</x:v>
      </x:c>
      <x:c r="C920" s="1" t="str">
        <x:v>Standard Class</x:v>
      </x:c>
      <x:c r="D920" s="1" t="str">
        <x:v>LATAM</x:v>
      </x:c>
      <x:c r="E920" s="1" t="str">
        <x:v>PENDING_PAYMENT</x:v>
      </x:c>
      <x:c r="F920" s="1" t="str">
        <x:v>Advance shipping</x:v>
      </x:c>
      <x:c r="G920" s="6" t="n">
        <x:v>2</x:v>
      </x:c>
      <x:c r="H920" s="6" t="n">
        <x:v>4</x:v>
      </x:c>
      <x:c r="I920" s="6" t="n">
        <x:f>G920-H920</x:f>
        <x:v>-2</x:v>
      </x:c>
      <x:c r="J920" s="6" t="n">
        <x:f>IF(OR(E920="CANCELED",E920="SUSPECTED_FRAUD",F920="Shipping canceled"),0,1)</x:f>
        <x:v>1</x:v>
      </x:c>
      <x:c r="K920" s="6" t="n">
        <x:f>IF(G920&gt;H920,1,0)</x:f>
        <x:v>0</x:v>
      </x:c>
      <x:c r="L920" s="6" t="n">
        <x:f>J920*K920</x:f>
        <x:v>0</x:v>
      </x:c>
    </x:row>
    <x:row r="921">
      <x:c r="A921" s="1" t="n">
        <x:v>8022</x:v>
      </x:c>
      <x:c r="B921" s="5" t="d">
        <x:v>2015-04-28T00:00:00.000Z</x:v>
      </x:c>
      <x:c r="C921" s="1" t="str">
        <x:v>Standard Class</x:v>
      </x:c>
      <x:c r="D921" s="1" t="str">
        <x:v>LATAM</x:v>
      </x:c>
      <x:c r="E921" s="1" t="str">
        <x:v>COMPLETE</x:v>
      </x:c>
      <x:c r="F921" s="1" t="str">
        <x:v>Advance shipping</x:v>
      </x:c>
      <x:c r="G921" s="6" t="n">
        <x:v>3</x:v>
      </x:c>
      <x:c r="H921" s="6" t="n">
        <x:v>4</x:v>
      </x:c>
      <x:c r="I921" s="6" t="n">
        <x:f>G921-H921</x:f>
        <x:v>-1</x:v>
      </x:c>
      <x:c r="J921" s="6" t="n">
        <x:f>IF(OR(E921="CANCELED",E921="SUSPECTED_FRAUD",F921="Shipping canceled"),0,1)</x:f>
        <x:v>1</x:v>
      </x:c>
      <x:c r="K921" s="6" t="n">
        <x:f>IF(G921&gt;H921,1,0)</x:f>
        <x:v>0</x:v>
      </x:c>
      <x:c r="L921" s="6" t="n">
        <x:f>J921*K921</x:f>
        <x:v>0</x:v>
      </x:c>
    </x:row>
    <x:row r="922">
      <x:c r="A922" s="1" t="n">
        <x:v>8025</x:v>
      </x:c>
      <x:c r="B922" s="5" t="d">
        <x:v>2015-04-28T00:00:00.000Z</x:v>
      </x:c>
      <x:c r="C922" s="1" t="str">
        <x:v>Standard Class</x:v>
      </x:c>
      <x:c r="D922" s="1" t="str">
        <x:v>LATAM</x:v>
      </x:c>
      <x:c r="E922" s="1" t="str">
        <x:v>PROCESSING</x:v>
      </x:c>
      <x:c r="F922" s="1" t="str">
        <x:v>Late delivery</x:v>
      </x:c>
      <x:c r="G922" s="6" t="n">
        <x:v>6</x:v>
      </x:c>
      <x:c r="H922" s="6" t="n">
        <x:v>4</x:v>
      </x:c>
      <x:c r="I922" s="6" t="n">
        <x:f>G922-H922</x:f>
        <x:v>2</x:v>
      </x:c>
      <x:c r="J922" s="6" t="n">
        <x:f>IF(OR(E922="CANCELED",E922="SUSPECTED_FRAUD",F922="Shipping canceled"),0,1)</x:f>
        <x:v>1</x:v>
      </x:c>
      <x:c r="K922" s="6" t="n">
        <x:f>IF(G922&gt;H922,1,0)</x:f>
        <x:v>1</x:v>
      </x:c>
      <x:c r="L922" s="6" t="n">
        <x:f>J922*K922</x:f>
        <x:v>1</x:v>
      </x:c>
    </x:row>
    <x:row r="923">
      <x:c r="A923" s="1" t="n">
        <x:v>8049</x:v>
      </x:c>
      <x:c r="B923" s="5" t="d">
        <x:v>2015-04-28T00:00:00.000Z</x:v>
      </x:c>
      <x:c r="C923" s="1" t="str">
        <x:v>Standard Class</x:v>
      </x:c>
      <x:c r="D923" s="1" t="str">
        <x:v>LATAM</x:v>
      </x:c>
      <x:c r="E923" s="1" t="str">
        <x:v>COMPLETE</x:v>
      </x:c>
      <x:c r="F923" s="1" t="str">
        <x:v>Late delivery</x:v>
      </x:c>
      <x:c r="G923" s="6" t="n">
        <x:v>5</x:v>
      </x:c>
      <x:c r="H923" s="6" t="n">
        <x:v>4</x:v>
      </x:c>
      <x:c r="I923" s="6" t="n">
        <x:f>G923-H923</x:f>
        <x:v>1</x:v>
      </x:c>
      <x:c r="J923" s="6" t="n">
        <x:f>IF(OR(E923="CANCELED",E923="SUSPECTED_FRAUD",F923="Shipping canceled"),0,1)</x:f>
        <x:v>1</x:v>
      </x:c>
      <x:c r="K923" s="6" t="n">
        <x:f>IF(G923&gt;H923,1,0)</x:f>
        <x:v>1</x:v>
      </x:c>
      <x:c r="L923" s="6" t="n">
        <x:f>J923*K923</x:f>
        <x:v>1</x:v>
      </x:c>
    </x:row>
    <x:row r="924">
      <x:c r="A924" s="1" t="n">
        <x:v>8095</x:v>
      </x:c>
      <x:c r="B924" s="5" t="d">
        <x:v>2015-04-29T00:00:00.000Z</x:v>
      </x:c>
      <x:c r="C924" s="1" t="str">
        <x:v>Standard Class</x:v>
      </x:c>
      <x:c r="D924" s="1" t="str">
        <x:v>LATAM</x:v>
      </x:c>
      <x:c r="E924" s="1" t="str">
        <x:v>PROCESSING</x:v>
      </x:c>
      <x:c r="F924" s="1" t="str">
        <x:v>Late delivery</x:v>
      </x:c>
      <x:c r="G924" s="6" t="n">
        <x:v>6</x:v>
      </x:c>
      <x:c r="H924" s="6" t="n">
        <x:v>4</x:v>
      </x:c>
      <x:c r="I924" s="6" t="n">
        <x:f>G924-H924</x:f>
        <x:v>2</x:v>
      </x:c>
      <x:c r="J924" s="6" t="n">
        <x:f>IF(OR(E924="CANCELED",E924="SUSPECTED_FRAUD",F924="Shipping canceled"),0,1)</x:f>
        <x:v>1</x:v>
      </x:c>
      <x:c r="K924" s="6" t="n">
        <x:f>IF(G924&gt;H924,1,0)</x:f>
        <x:v>1</x:v>
      </x:c>
      <x:c r="L924" s="6" t="n">
        <x:f>J924*K924</x:f>
        <x:v>1</x:v>
      </x:c>
    </x:row>
    <x:row r="925">
      <x:c r="A925" s="1" t="n">
        <x:v>8112</x:v>
      </x:c>
      <x:c r="B925" s="5" t="d">
        <x:v>2015-04-29T00:00:00.000Z</x:v>
      </x:c>
      <x:c r="C925" s="1" t="str">
        <x:v>First Class</x:v>
      </x:c>
      <x:c r="D925" s="1" t="str">
        <x:v>LATAM</x:v>
      </x:c>
      <x:c r="E925" s="1" t="str">
        <x:v>CLOSED</x:v>
      </x:c>
      <x:c r="F925" s="1" t="str">
        <x:v>Late delivery</x:v>
      </x:c>
      <x:c r="G925" s="6" t="n">
        <x:v>2</x:v>
      </x:c>
      <x:c r="H925" s="6" t="n">
        <x:v>1</x:v>
      </x:c>
      <x:c r="I925" s="6" t="n">
        <x:f>G925-H925</x:f>
        <x:v>1</x:v>
      </x:c>
      <x:c r="J925" s="6" t="n">
        <x:f>IF(OR(E925="CANCELED",E925="SUSPECTED_FRAUD",F925="Shipping canceled"),0,1)</x:f>
        <x:v>1</x:v>
      </x:c>
      <x:c r="K925" s="6" t="n">
        <x:f>IF(G925&gt;H925,1,0)</x:f>
        <x:v>1</x:v>
      </x:c>
      <x:c r="L925" s="6" t="n">
        <x:f>J925*K925</x:f>
        <x:v>1</x:v>
      </x:c>
    </x:row>
    <x:row r="926">
      <x:c r="A926" s="1" t="n">
        <x:v>8117</x:v>
      </x:c>
      <x:c r="B926" s="5" t="d">
        <x:v>2015-04-29T00:00:00.000Z</x:v>
      </x:c>
      <x:c r="C926" s="1" t="str">
        <x:v>Second Class</x:v>
      </x:c>
      <x:c r="D926" s="1" t="str">
        <x:v>LATAM</x:v>
      </x:c>
      <x:c r="E926" s="1" t="str">
        <x:v>COMPLETE</x:v>
      </x:c>
      <x:c r="F926" s="1" t="str">
        <x:v>Late delivery</x:v>
      </x:c>
      <x:c r="G926" s="6" t="n">
        <x:v>3</x:v>
      </x:c>
      <x:c r="H926" s="6" t="n">
        <x:v>2</x:v>
      </x:c>
      <x:c r="I926" s="6" t="n">
        <x:f>G926-H926</x:f>
        <x:v>1</x:v>
      </x:c>
      <x:c r="J926" s="6" t="n">
        <x:f>IF(OR(E926="CANCELED",E926="SUSPECTED_FRAUD",F926="Shipping canceled"),0,1)</x:f>
        <x:v>1</x:v>
      </x:c>
      <x:c r="K926" s="6" t="n">
        <x:f>IF(G926&gt;H926,1,0)</x:f>
        <x:v>1</x:v>
      </x:c>
      <x:c r="L926" s="6" t="n">
        <x:f>J926*K926</x:f>
        <x:v>1</x:v>
      </x:c>
    </x:row>
    <x:row r="927">
      <x:c r="A927" s="1" t="n">
        <x:v>8123</x:v>
      </x:c>
      <x:c r="B927" s="5" t="d">
        <x:v>2015-04-29T00:00:00.000Z</x:v>
      </x:c>
      <x:c r="C927" s="1" t="str">
        <x:v>Standard Class</x:v>
      </x:c>
      <x:c r="D927" s="1" t="str">
        <x:v>LATAM</x:v>
      </x:c>
      <x:c r="E927" s="1" t="str">
        <x:v>PROCESSING</x:v>
      </x:c>
      <x:c r="F927" s="1" t="str">
        <x:v>Shipping on time</x:v>
      </x:c>
      <x:c r="G927" s="6" t="n">
        <x:v>4</x:v>
      </x:c>
      <x:c r="H927" s="6" t="n">
        <x:v>4</x:v>
      </x:c>
      <x:c r="I927" s="6" t="n">
        <x:f>G927-H927</x:f>
        <x:v>0</x:v>
      </x:c>
      <x:c r="J927" s="6" t="n">
        <x:f>IF(OR(E927="CANCELED",E927="SUSPECTED_FRAUD",F927="Shipping canceled"),0,1)</x:f>
        <x:v>1</x:v>
      </x:c>
      <x:c r="K927" s="6" t="n">
        <x:f>IF(G927&gt;H927,1,0)</x:f>
        <x:v>0</x:v>
      </x:c>
      <x:c r="L927" s="6" t="n">
        <x:f>J927*K927</x:f>
        <x:v>0</x:v>
      </x:c>
    </x:row>
    <x:row r="928">
      <x:c r="A928" s="1" t="n">
        <x:v>8126</x:v>
      </x:c>
      <x:c r="B928" s="5" t="d">
        <x:v>2015-04-29T00:00:00.000Z</x:v>
      </x:c>
      <x:c r="C928" s="1" t="str">
        <x:v>Standard Class</x:v>
      </x:c>
      <x:c r="D928" s="1" t="str">
        <x:v>LATAM</x:v>
      </x:c>
      <x:c r="E928" s="1" t="str">
        <x:v>COMPLETE</x:v>
      </x:c>
      <x:c r="F928" s="1" t="str">
        <x:v>Advance shipping</x:v>
      </x:c>
      <x:c r="G928" s="6" t="n">
        <x:v>2</x:v>
      </x:c>
      <x:c r="H928" s="6" t="n">
        <x:v>4</x:v>
      </x:c>
      <x:c r="I928" s="6" t="n">
        <x:f>G928-H928</x:f>
        <x:v>-2</x:v>
      </x:c>
      <x:c r="J928" s="6" t="n">
        <x:f>IF(OR(E928="CANCELED",E928="SUSPECTED_FRAUD",F928="Shipping canceled"),0,1)</x:f>
        <x:v>1</x:v>
      </x:c>
      <x:c r="K928" s="6" t="n">
        <x:f>IF(G928&gt;H928,1,0)</x:f>
        <x:v>0</x:v>
      </x:c>
      <x:c r="L928" s="6" t="n">
        <x:f>J928*K928</x:f>
        <x:v>0</x:v>
      </x:c>
    </x:row>
    <x:row r="929">
      <x:c r="A929" s="1" t="n">
        <x:v>8128</x:v>
      </x:c>
      <x:c r="B929" s="5" t="d">
        <x:v>2015-04-29T00:00:00.000Z</x:v>
      </x:c>
      <x:c r="C929" s="1" t="str">
        <x:v>Standard Class</x:v>
      </x:c>
      <x:c r="D929" s="1" t="str">
        <x:v>LATAM</x:v>
      </x:c>
      <x:c r="E929" s="1" t="str">
        <x:v>PENDING</x:v>
      </x:c>
      <x:c r="F929" s="1" t="str">
        <x:v>Shipping on time</x:v>
      </x:c>
      <x:c r="G929" s="6" t="n">
        <x:v>4</x:v>
      </x:c>
      <x:c r="H929" s="6" t="n">
        <x:v>4</x:v>
      </x:c>
      <x:c r="I929" s="6" t="n">
        <x:f>G929-H929</x:f>
        <x:v>0</x:v>
      </x:c>
      <x:c r="J929" s="6" t="n">
        <x:f>IF(OR(E929="CANCELED",E929="SUSPECTED_FRAUD",F929="Shipping canceled"),0,1)</x:f>
        <x:v>1</x:v>
      </x:c>
      <x:c r="K929" s="6" t="n">
        <x:f>IF(G929&gt;H929,1,0)</x:f>
        <x:v>0</x:v>
      </x:c>
      <x:c r="L929" s="6" t="n">
        <x:f>J929*K929</x:f>
        <x:v>0</x:v>
      </x:c>
    </x:row>
    <x:row r="930">
      <x:c r="A930" s="1" t="n">
        <x:v>8132</x:v>
      </x:c>
      <x:c r="B930" s="5" t="d">
        <x:v>2015-04-29T00:00:00.000Z</x:v>
      </x:c>
      <x:c r="C930" s="1" t="str">
        <x:v>Standard Class</x:v>
      </x:c>
      <x:c r="D930" s="1" t="str">
        <x:v>LATAM</x:v>
      </x:c>
      <x:c r="E930" s="1" t="str">
        <x:v>COMPLETE</x:v>
      </x:c>
      <x:c r="F930" s="1" t="str">
        <x:v>Advance shipping</x:v>
      </x:c>
      <x:c r="G930" s="6" t="n">
        <x:v>3</x:v>
      </x:c>
      <x:c r="H930" s="6" t="n">
        <x:v>4</x:v>
      </x:c>
      <x:c r="I930" s="6" t="n">
        <x:f>G930-H930</x:f>
        <x:v>-1</x:v>
      </x:c>
      <x:c r="J930" s="6" t="n">
        <x:f>IF(OR(E930="CANCELED",E930="SUSPECTED_FRAUD",F930="Shipping canceled"),0,1)</x:f>
        <x:v>1</x:v>
      </x:c>
      <x:c r="K930" s="6" t="n">
        <x:f>IF(G930&gt;H930,1,0)</x:f>
        <x:v>0</x:v>
      </x:c>
      <x:c r="L930" s="6" t="n">
        <x:f>J930*K930</x:f>
        <x:v>0</x:v>
      </x:c>
    </x:row>
    <x:row r="931">
      <x:c r="A931" s="1" t="n">
        <x:v>8133</x:v>
      </x:c>
      <x:c r="B931" s="5" t="d">
        <x:v>2015-04-29T00:00:00.000Z</x:v>
      </x:c>
      <x:c r="C931" s="1" t="str">
        <x:v>Standard Class</x:v>
      </x:c>
      <x:c r="D931" s="1" t="str">
        <x:v>LATAM</x:v>
      </x:c>
      <x:c r="E931" s="1" t="str">
        <x:v>COMPLETE</x:v>
      </x:c>
      <x:c r="F931" s="1" t="str">
        <x:v>Shipping on time</x:v>
      </x:c>
      <x:c r="G931" s="6" t="n">
        <x:v>4</x:v>
      </x:c>
      <x:c r="H931" s="6" t="n">
        <x:v>4</x:v>
      </x:c>
      <x:c r="I931" s="6" t="n">
        <x:f>G931-H931</x:f>
        <x:v>0</x:v>
      </x:c>
      <x:c r="J931" s="6" t="n">
        <x:f>IF(OR(E931="CANCELED",E931="SUSPECTED_FRAUD",F931="Shipping canceled"),0,1)</x:f>
        <x:v>1</x:v>
      </x:c>
      <x:c r="K931" s="6" t="n">
        <x:f>IF(G931&gt;H931,1,0)</x:f>
        <x:v>0</x:v>
      </x:c>
      <x:c r="L931" s="6" t="n">
        <x:f>J931*K931</x:f>
        <x:v>0</x:v>
      </x:c>
    </x:row>
    <x:row r="932">
      <x:c r="A932" s="1" t="n">
        <x:v>8151</x:v>
      </x:c>
      <x:c r="B932" s="5" t="d">
        <x:v>2015-04-29T00:00:00.000Z</x:v>
      </x:c>
      <x:c r="C932" s="1" t="str">
        <x:v>Standard Class</x:v>
      </x:c>
      <x:c r="D932" s="1" t="str">
        <x:v>LATAM</x:v>
      </x:c>
      <x:c r="E932" s="1" t="str">
        <x:v>COMPLETE</x:v>
      </x:c>
      <x:c r="F932" s="1" t="str">
        <x:v>Advance shipping</x:v>
      </x:c>
      <x:c r="G932" s="6" t="n">
        <x:v>2</x:v>
      </x:c>
      <x:c r="H932" s="6" t="n">
        <x:v>4</x:v>
      </x:c>
      <x:c r="I932" s="6" t="n">
        <x:f>G932-H932</x:f>
        <x:v>-2</x:v>
      </x:c>
      <x:c r="J932" s="6" t="n">
        <x:f>IF(OR(E932="CANCELED",E932="SUSPECTED_FRAUD",F932="Shipping canceled"),0,1)</x:f>
        <x:v>1</x:v>
      </x:c>
      <x:c r="K932" s="6" t="n">
        <x:f>IF(G932&gt;H932,1,0)</x:f>
        <x:v>0</x:v>
      </x:c>
      <x:c r="L932" s="6" t="n">
        <x:f>J932*K932</x:f>
        <x:v>0</x:v>
      </x:c>
    </x:row>
    <x:row r="933">
      <x:c r="A933" s="1" t="n">
        <x:v>8162</x:v>
      </x:c>
      <x:c r="B933" s="5" t="d">
        <x:v>2015-04-30T00:00:00.000Z</x:v>
      </x:c>
      <x:c r="C933" s="1" t="str">
        <x:v>Second Class</x:v>
      </x:c>
      <x:c r="D933" s="1" t="str">
        <x:v>LATAM</x:v>
      </x:c>
      <x:c r="E933" s="1" t="str">
        <x:v>COMPLETE</x:v>
      </x:c>
      <x:c r="F933" s="1" t="str">
        <x:v>Late delivery</x:v>
      </x:c>
      <x:c r="G933" s="6" t="n">
        <x:v>3</x:v>
      </x:c>
      <x:c r="H933" s="6" t="n">
        <x:v>2</x:v>
      </x:c>
      <x:c r="I933" s="6" t="n">
        <x:f>G933-H933</x:f>
        <x:v>1</x:v>
      </x:c>
      <x:c r="J933" s="6" t="n">
        <x:f>IF(OR(E933="CANCELED",E933="SUSPECTED_FRAUD",F933="Shipping canceled"),0,1)</x:f>
        <x:v>1</x:v>
      </x:c>
      <x:c r="K933" s="6" t="n">
        <x:f>IF(G933&gt;H933,1,0)</x:f>
        <x:v>1</x:v>
      </x:c>
      <x:c r="L933" s="6" t="n">
        <x:f>J933*K933</x:f>
        <x:v>1</x:v>
      </x:c>
    </x:row>
    <x:row r="934">
      <x:c r="A934" s="1" t="n">
        <x:v>8163</x:v>
      </x:c>
      <x:c r="B934" s="5" t="d">
        <x:v>2015-04-30T00:00:00.000Z</x:v>
      </x:c>
      <x:c r="C934" s="1" t="str">
        <x:v>Second Class</x:v>
      </x:c>
      <x:c r="D934" s="1" t="str">
        <x:v>LATAM</x:v>
      </x:c>
      <x:c r="E934" s="1" t="str">
        <x:v>PENDING_PAYMENT</x:v>
      </x:c>
      <x:c r="F934" s="1" t="str">
        <x:v>Late delivery</x:v>
      </x:c>
      <x:c r="G934" s="6" t="n">
        <x:v>4</x:v>
      </x:c>
      <x:c r="H934" s="6" t="n">
        <x:v>2</x:v>
      </x:c>
      <x:c r="I934" s="6" t="n">
        <x:f>G934-H934</x:f>
        <x:v>2</x:v>
      </x:c>
      <x:c r="J934" s="6" t="n">
        <x:f>IF(OR(E934="CANCELED",E934="SUSPECTED_FRAUD",F934="Shipping canceled"),0,1)</x:f>
        <x:v>1</x:v>
      </x:c>
      <x:c r="K934" s="6" t="n">
        <x:f>IF(G934&gt;H934,1,0)</x:f>
        <x:v>1</x:v>
      </x:c>
      <x:c r="L934" s="6" t="n">
        <x:f>J934*K934</x:f>
        <x:v>1</x:v>
      </x:c>
    </x:row>
    <x:row r="935">
      <x:c r="A935" s="1" t="n">
        <x:v>8164</x:v>
      </x:c>
      <x:c r="B935" s="5" t="d">
        <x:v>2015-04-30T00:00:00.000Z</x:v>
      </x:c>
      <x:c r="C935" s="1" t="str">
        <x:v>Second Class</x:v>
      </x:c>
      <x:c r="D935" s="1" t="str">
        <x:v>LATAM</x:v>
      </x:c>
      <x:c r="E935" s="1" t="str">
        <x:v>COMPLETE</x:v>
      </x:c>
      <x:c r="F935" s="1" t="str">
        <x:v>Late delivery</x:v>
      </x:c>
      <x:c r="G935" s="6" t="n">
        <x:v>5</x:v>
      </x:c>
      <x:c r="H935" s="6" t="n">
        <x:v>2</x:v>
      </x:c>
      <x:c r="I935" s="6" t="n">
        <x:f>G935-H935</x:f>
        <x:v>3</x:v>
      </x:c>
      <x:c r="J935" s="6" t="n">
        <x:f>IF(OR(E935="CANCELED",E935="SUSPECTED_FRAUD",F935="Shipping canceled"),0,1)</x:f>
        <x:v>1</x:v>
      </x:c>
      <x:c r="K935" s="6" t="n">
        <x:f>IF(G935&gt;H935,1,0)</x:f>
        <x:v>1</x:v>
      </x:c>
      <x:c r="L935" s="6" t="n">
        <x:f>J935*K935</x:f>
        <x:v>1</x:v>
      </x:c>
    </x:row>
    <x:row r="936">
      <x:c r="A936" s="1" t="n">
        <x:v>8170</x:v>
      </x:c>
      <x:c r="B936" s="5" t="d">
        <x:v>2015-04-30T00:00:00.000Z</x:v>
      </x:c>
      <x:c r="C936" s="1" t="str">
        <x:v>Standard Class</x:v>
      </x:c>
      <x:c r="D936" s="1" t="str">
        <x:v>LATAM</x:v>
      </x:c>
      <x:c r="E936" s="1" t="str">
        <x:v>PENDING</x:v>
      </x:c>
      <x:c r="F936" s="1" t="str">
        <x:v>Late delivery</x:v>
      </x:c>
      <x:c r="G936" s="6" t="n">
        <x:v>6</x:v>
      </x:c>
      <x:c r="H936" s="6" t="n">
        <x:v>4</x:v>
      </x:c>
      <x:c r="I936" s="6" t="n">
        <x:f>G936-H936</x:f>
        <x:v>2</x:v>
      </x:c>
      <x:c r="J936" s="6" t="n">
        <x:f>IF(OR(E936="CANCELED",E936="SUSPECTED_FRAUD",F936="Shipping canceled"),0,1)</x:f>
        <x:v>1</x:v>
      </x:c>
      <x:c r="K936" s="6" t="n">
        <x:f>IF(G936&gt;H936,1,0)</x:f>
        <x:v>1</x:v>
      </x:c>
      <x:c r="L936" s="6" t="n">
        <x:f>J936*K936</x:f>
        <x:v>1</x:v>
      </x:c>
    </x:row>
    <x:row r="937">
      <x:c r="A937" s="1" t="n">
        <x:v>8173</x:v>
      </x:c>
      <x:c r="B937" s="5" t="d">
        <x:v>2015-04-30T00:00:00.000Z</x:v>
      </x:c>
      <x:c r="C937" s="1" t="str">
        <x:v>Standard Class</x:v>
      </x:c>
      <x:c r="D937" s="1" t="str">
        <x:v>LATAM</x:v>
      </x:c>
      <x:c r="E937" s="1" t="str">
        <x:v>COMPLETE</x:v>
      </x:c>
      <x:c r="F937" s="1" t="str">
        <x:v>Shipping on time</x:v>
      </x:c>
      <x:c r="G937" s="6" t="n">
        <x:v>4</x:v>
      </x:c>
      <x:c r="H937" s="6" t="n">
        <x:v>4</x:v>
      </x:c>
      <x:c r="I937" s="6" t="n">
        <x:f>G937-H937</x:f>
        <x:v>0</x:v>
      </x:c>
      <x:c r="J937" s="6" t="n">
        <x:f>IF(OR(E937="CANCELED",E937="SUSPECTED_FRAUD",F937="Shipping canceled"),0,1)</x:f>
        <x:v>1</x:v>
      </x:c>
      <x:c r="K937" s="6" t="n">
        <x:f>IF(G937&gt;H937,1,0)</x:f>
        <x:v>0</x:v>
      </x:c>
      <x:c r="L937" s="6" t="n">
        <x:f>J937*K937</x:f>
        <x:v>0</x:v>
      </x:c>
    </x:row>
    <x:row r="938">
      <x:c r="A938" s="1" t="n">
        <x:v>8200</x:v>
      </x:c>
      <x:c r="B938" s="5" t="d">
        <x:v>2015-04-30T00:00:00.000Z</x:v>
      </x:c>
      <x:c r="C938" s="1" t="str">
        <x:v>Standard Class</x:v>
      </x:c>
      <x:c r="D938" s="1" t="str">
        <x:v>LATAM</x:v>
      </x:c>
      <x:c r="E938" s="1" t="str">
        <x:v>SUSPECTED_FRAUD</x:v>
      </x:c>
      <x:c r="F938" s="1" t="str">
        <x:v>Shipping canceled</x:v>
      </x:c>
      <x:c r="G938" s="6" t="n">
        <x:v>6</x:v>
      </x:c>
      <x:c r="H938" s="6" t="n">
        <x:v>4</x:v>
      </x:c>
      <x:c r="I938" s="6" t="n">
        <x:f>G938-H938</x:f>
        <x:v>2</x:v>
      </x:c>
      <x:c r="J938" s="6" t="n">
        <x:f>IF(OR(E938="CANCELED",E938="SUSPECTED_FRAUD",F938="Shipping canceled"),0,1)</x:f>
        <x:v>0</x:v>
      </x:c>
      <x:c r="K938" s="6" t="n">
        <x:f>IF(G938&gt;H938,1,0)</x:f>
        <x:v>1</x:v>
      </x:c>
      <x:c r="L938" s="6" t="n">
        <x:f>J938*K938</x:f>
        <x:v>0</x:v>
      </x:c>
    </x:row>
    <x:row r="939">
      <x:c r="A939" s="1" t="n">
        <x:v>8203</x:v>
      </x:c>
      <x:c r="B939" s="5" t="d">
        <x:v>2015-04-30T00:00:00.000Z</x:v>
      </x:c>
      <x:c r="C939" s="1" t="str">
        <x:v>Standard Class</x:v>
      </x:c>
      <x:c r="D939" s="1" t="str">
        <x:v>LATAM</x:v>
      </x:c>
      <x:c r="E939" s="1" t="str">
        <x:v>COMPLETE</x:v>
      </x:c>
      <x:c r="F939" s="1" t="str">
        <x:v>Shipping on time</x:v>
      </x:c>
      <x:c r="G939" s="6" t="n">
        <x:v>4</x:v>
      </x:c>
      <x:c r="H939" s="6" t="n">
        <x:v>4</x:v>
      </x:c>
      <x:c r="I939" s="6" t="n">
        <x:f>G939-H939</x:f>
        <x:v>0</x:v>
      </x:c>
      <x:c r="J939" s="6" t="n">
        <x:f>IF(OR(E939="CANCELED",E939="SUSPECTED_FRAUD",F939="Shipping canceled"),0,1)</x:f>
        <x:v>1</x:v>
      </x:c>
      <x:c r="K939" s="6" t="n">
        <x:f>IF(G939&gt;H939,1,0)</x:f>
        <x:v>0</x:v>
      </x:c>
      <x:c r="L939" s="6" t="n">
        <x:f>J939*K939</x:f>
        <x:v>0</x:v>
      </x:c>
    </x:row>
    <x:row r="940">
      <x:c r="A940" s="1" t="n">
        <x:v>8219</x:v>
      </x:c>
      <x:c r="B940" s="5" t="d">
        <x:v>2015-04-30T00:00:00.000Z</x:v>
      </x:c>
      <x:c r="C940" s="1" t="str">
        <x:v>Standard Class</x:v>
      </x:c>
      <x:c r="D940" s="1" t="str">
        <x:v>LATAM</x:v>
      </x:c>
      <x:c r="E940" s="1" t="str">
        <x:v>PROCESSING</x:v>
      </x:c>
      <x:c r="F940" s="1" t="str">
        <x:v>Late delivery</x:v>
      </x:c>
      <x:c r="G940" s="6" t="n">
        <x:v>5</x:v>
      </x:c>
      <x:c r="H940" s="6" t="n">
        <x:v>4</x:v>
      </x:c>
      <x:c r="I940" s="6" t="n">
        <x:f>G940-H940</x:f>
        <x:v>1</x:v>
      </x:c>
      <x:c r="J940" s="6" t="n">
        <x:f>IF(OR(E940="CANCELED",E940="SUSPECTED_FRAUD",F940="Shipping canceled"),0,1)</x:f>
        <x:v>1</x:v>
      </x:c>
      <x:c r="K940" s="6" t="n">
        <x:f>IF(G940&gt;H940,1,0)</x:f>
        <x:v>1</x:v>
      </x:c>
      <x:c r="L940" s="6" t="n">
        <x:f>J940*K940</x:f>
        <x:v>1</x:v>
      </x:c>
    </x:row>
    <x:row r="941">
      <x:c r="A941" s="1" t="n">
        <x:v>8220</x:v>
      </x:c>
      <x:c r="B941" s="5" t="d">
        <x:v>2015-04-30T00:00:00.000Z</x:v>
      </x:c>
      <x:c r="C941" s="1" t="str">
        <x:v>Standard Class</x:v>
      </x:c>
      <x:c r="D941" s="1" t="str">
        <x:v>LATAM</x:v>
      </x:c>
      <x:c r="E941" s="1" t="str">
        <x:v>COMPLETE</x:v>
      </x:c>
      <x:c r="F941" s="1" t="str">
        <x:v>Late delivery</x:v>
      </x:c>
      <x:c r="G941" s="6" t="n">
        <x:v>6</x:v>
      </x:c>
      <x:c r="H941" s="6" t="n">
        <x:v>4</x:v>
      </x:c>
      <x:c r="I941" s="6" t="n">
        <x:f>G941-H941</x:f>
        <x:v>2</x:v>
      </x:c>
      <x:c r="J941" s="6" t="n">
        <x:f>IF(OR(E941="CANCELED",E941="SUSPECTED_FRAUD",F941="Shipping canceled"),0,1)</x:f>
        <x:v>1</x:v>
      </x:c>
      <x:c r="K941" s="6" t="n">
        <x:f>IF(G941&gt;H941,1,0)</x:f>
        <x:v>1</x:v>
      </x:c>
      <x:c r="L941" s="6" t="n">
        <x:f>J941*K941</x:f>
        <x:v>1</x:v>
      </x:c>
    </x:row>
    <x:row r="942">
      <x:c r="A942" s="1" t="n">
        <x:v>8221</x:v>
      </x:c>
      <x:c r="B942" s="5" t="d">
        <x:v>2015-04-30T00:00:00.000Z</x:v>
      </x:c>
      <x:c r="C942" s="1" t="str">
        <x:v>Standard Class</x:v>
      </x:c>
      <x:c r="D942" s="1" t="str">
        <x:v>LATAM</x:v>
      </x:c>
      <x:c r="E942" s="1" t="str">
        <x:v>PROCESSING</x:v>
      </x:c>
      <x:c r="F942" s="1" t="str">
        <x:v>Advance shipping</x:v>
      </x:c>
      <x:c r="G942" s="6" t="n">
        <x:v>2</x:v>
      </x:c>
      <x:c r="H942" s="6" t="n">
        <x:v>4</x:v>
      </x:c>
      <x:c r="I942" s="6" t="n">
        <x:f>G942-H942</x:f>
        <x:v>-2</x:v>
      </x:c>
      <x:c r="J942" s="6" t="n">
        <x:f>IF(OR(E942="CANCELED",E942="SUSPECTED_FRAUD",F942="Shipping canceled"),0,1)</x:f>
        <x:v>1</x:v>
      </x:c>
      <x:c r="K942" s="6" t="n">
        <x:f>IF(G942&gt;H942,1,0)</x:f>
        <x:v>0</x:v>
      </x:c>
      <x:c r="L942" s="6" t="n">
        <x:f>J942*K942</x:f>
        <x:v>0</x:v>
      </x:c>
    </x:row>
    <x:row r="943">
      <x:c r="A943" s="1" t="n">
        <x:v>8271</x:v>
      </x:c>
      <x:c r="B943" s="5" t="d">
        <x:v>2015-05-01T00:00:00.000Z</x:v>
      </x:c>
      <x:c r="C943" s="1" t="str">
        <x:v>Standard Class</x:v>
      </x:c>
      <x:c r="D943" s="1" t="str">
        <x:v>LATAM</x:v>
      </x:c>
      <x:c r="E943" s="1" t="str">
        <x:v>COMPLETE</x:v>
      </x:c>
      <x:c r="F943" s="1" t="str">
        <x:v>Advance shipping</x:v>
      </x:c>
      <x:c r="G943" s="6" t="n">
        <x:v>2</x:v>
      </x:c>
      <x:c r="H943" s="6" t="n">
        <x:v>4</x:v>
      </x:c>
      <x:c r="I943" s="6" t="n">
        <x:f>G943-H943</x:f>
        <x:v>-2</x:v>
      </x:c>
      <x:c r="J943" s="6" t="n">
        <x:f>IF(OR(E943="CANCELED",E943="SUSPECTED_FRAUD",F943="Shipping canceled"),0,1)</x:f>
        <x:v>1</x:v>
      </x:c>
      <x:c r="K943" s="6" t="n">
        <x:f>IF(G943&gt;H943,1,0)</x:f>
        <x:v>0</x:v>
      </x:c>
      <x:c r="L943" s="6" t="n">
        <x:f>J943*K943</x:f>
        <x:v>0</x:v>
      </x:c>
    </x:row>
    <x:row r="944">
      <x:c r="A944" s="1" t="n">
        <x:v>8273</x:v>
      </x:c>
      <x:c r="B944" s="5" t="d">
        <x:v>2015-05-01T00:00:00.000Z</x:v>
      </x:c>
      <x:c r="C944" s="1" t="str">
        <x:v>Standard Class</x:v>
      </x:c>
      <x:c r="D944" s="1" t="str">
        <x:v>LATAM</x:v>
      </x:c>
      <x:c r="E944" s="1" t="str">
        <x:v>PENDING_PAYMENT</x:v>
      </x:c>
      <x:c r="F944" s="1" t="str">
        <x:v>Shipping on time</x:v>
      </x:c>
      <x:c r="G944" s="6" t="n">
        <x:v>4</x:v>
      </x:c>
      <x:c r="H944" s="6" t="n">
        <x:v>4</x:v>
      </x:c>
      <x:c r="I944" s="6" t="n">
        <x:f>G944-H944</x:f>
        <x:v>0</x:v>
      </x:c>
      <x:c r="J944" s="6" t="n">
        <x:f>IF(OR(E944="CANCELED",E944="SUSPECTED_FRAUD",F944="Shipping canceled"),0,1)</x:f>
        <x:v>1</x:v>
      </x:c>
      <x:c r="K944" s="6" t="n">
        <x:f>IF(G944&gt;H944,1,0)</x:f>
        <x:v>0</x:v>
      </x:c>
      <x:c r="L944" s="6" t="n">
        <x:f>J944*K944</x:f>
        <x:v>0</x:v>
      </x:c>
    </x:row>
    <x:row r="945">
      <x:c r="A945" s="1" t="n">
        <x:v>8285</x:v>
      </x:c>
      <x:c r="B945" s="5" t="d">
        <x:v>2015-05-01T00:00:00.000Z</x:v>
      </x:c>
      <x:c r="C945" s="1" t="str">
        <x:v>Standard Class</x:v>
      </x:c>
      <x:c r="D945" s="1" t="str">
        <x:v>LATAM</x:v>
      </x:c>
      <x:c r="E945" s="1" t="str">
        <x:v>COMPLETE</x:v>
      </x:c>
      <x:c r="F945" s="1" t="str">
        <x:v>Late delivery</x:v>
      </x:c>
      <x:c r="G945" s="6" t="n">
        <x:v>6</x:v>
      </x:c>
      <x:c r="H945" s="6" t="n">
        <x:v>4</x:v>
      </x:c>
      <x:c r="I945" s="6" t="n">
        <x:f>G945-H945</x:f>
        <x:v>2</x:v>
      </x:c>
      <x:c r="J945" s="6" t="n">
        <x:f>IF(OR(E945="CANCELED",E945="SUSPECTED_FRAUD",F945="Shipping canceled"),0,1)</x:f>
        <x:v>1</x:v>
      </x:c>
      <x:c r="K945" s="6" t="n">
        <x:f>IF(G945&gt;H945,1,0)</x:f>
        <x:v>1</x:v>
      </x:c>
      <x:c r="L945" s="6" t="n">
        <x:f>J945*K945</x:f>
        <x:v>1</x:v>
      </x:c>
    </x:row>
    <x:row r="946">
      <x:c r="A946" s="1" t="n">
        <x:v>8300</x:v>
      </x:c>
      <x:c r="B946" s="5" t="d">
        <x:v>2015-05-02T00:00:00.000Z</x:v>
      </x:c>
      <x:c r="C946" s="1" t="str">
        <x:v>Second Class</x:v>
      </x:c>
      <x:c r="D946" s="1" t="str">
        <x:v>LATAM</x:v>
      </x:c>
      <x:c r="E946" s="1" t="str">
        <x:v>PROCESSING</x:v>
      </x:c>
      <x:c r="F946" s="1" t="str">
        <x:v>Late delivery</x:v>
      </x:c>
      <x:c r="G946" s="6" t="n">
        <x:v>6</x:v>
      </x:c>
      <x:c r="H946" s="6" t="n">
        <x:v>2</x:v>
      </x:c>
      <x:c r="I946" s="6" t="n">
        <x:f>G946-H946</x:f>
        <x:v>4</x:v>
      </x:c>
      <x:c r="J946" s="6" t="n">
        <x:f>IF(OR(E946="CANCELED",E946="SUSPECTED_FRAUD",F946="Shipping canceled"),0,1)</x:f>
        <x:v>1</x:v>
      </x:c>
      <x:c r="K946" s="6" t="n">
        <x:f>IF(G946&gt;H946,1,0)</x:f>
        <x:v>1</x:v>
      </x:c>
      <x:c r="L946" s="6" t="n">
        <x:f>J946*K946</x:f>
        <x:v>1</x:v>
      </x:c>
    </x:row>
    <x:row r="947">
      <x:c r="A947" s="1" t="n">
        <x:v>8315</x:v>
      </x:c>
      <x:c r="B947" s="5" t="d">
        <x:v>2015-05-02T00:00:00.000Z</x:v>
      </x:c>
      <x:c r="C947" s="1" t="str">
        <x:v>Standard Class</x:v>
      </x:c>
      <x:c r="D947" s="1" t="str">
        <x:v>LATAM</x:v>
      </x:c>
      <x:c r="E947" s="1" t="str">
        <x:v>COMPLETE</x:v>
      </x:c>
      <x:c r="F947" s="1" t="str">
        <x:v>Late delivery</x:v>
      </x:c>
      <x:c r="G947" s="6" t="n">
        <x:v>6</x:v>
      </x:c>
      <x:c r="H947" s="6" t="n">
        <x:v>4</x:v>
      </x:c>
      <x:c r="I947" s="6" t="n">
        <x:f>G947-H947</x:f>
        <x:v>2</x:v>
      </x:c>
      <x:c r="J947" s="6" t="n">
        <x:f>IF(OR(E947="CANCELED",E947="SUSPECTED_FRAUD",F947="Shipping canceled"),0,1)</x:f>
        <x:v>1</x:v>
      </x:c>
      <x:c r="K947" s="6" t="n">
        <x:f>IF(G947&gt;H947,1,0)</x:f>
        <x:v>1</x:v>
      </x:c>
      <x:c r="L947" s="6" t="n">
        <x:f>J947*K947</x:f>
        <x:v>1</x:v>
      </x:c>
    </x:row>
    <x:row r="948">
      <x:c r="A948" s="1" t="n">
        <x:v>8319</x:v>
      </x:c>
      <x:c r="B948" s="5" t="d">
        <x:v>2015-05-02T00:00:00.000Z</x:v>
      </x:c>
      <x:c r="C948" s="1" t="str">
        <x:v>First Class</x:v>
      </x:c>
      <x:c r="D948" s="1" t="str">
        <x:v>LATAM</x:v>
      </x:c>
      <x:c r="E948" s="1" t="str">
        <x:v>COMPLETE</x:v>
      </x:c>
      <x:c r="F948" s="1" t="str">
        <x:v>Late delivery</x:v>
      </x:c>
      <x:c r="G948" s="6" t="n">
        <x:v>2</x:v>
      </x:c>
      <x:c r="H948" s="6" t="n">
        <x:v>1</x:v>
      </x:c>
      <x:c r="I948" s="6" t="n">
        <x:f>G948-H948</x:f>
        <x:v>1</x:v>
      </x:c>
      <x:c r="J948" s="6" t="n">
        <x:f>IF(OR(E948="CANCELED",E948="SUSPECTED_FRAUD",F948="Shipping canceled"),0,1)</x:f>
        <x:v>1</x:v>
      </x:c>
      <x:c r="K948" s="6" t="n">
        <x:f>IF(G948&gt;H948,1,0)</x:f>
        <x:v>1</x:v>
      </x:c>
      <x:c r="L948" s="6" t="n">
        <x:f>J948*K948</x:f>
        <x:v>1</x:v>
      </x:c>
    </x:row>
    <x:row r="949">
      <x:c r="A949" s="1" t="n">
        <x:v>8340</x:v>
      </x:c>
      <x:c r="B949" s="5" t="d">
        <x:v>2015-05-02T00:00:00.000Z</x:v>
      </x:c>
      <x:c r="C949" s="1" t="str">
        <x:v>Standard Class</x:v>
      </x:c>
      <x:c r="D949" s="1" t="str">
        <x:v>LATAM</x:v>
      </x:c>
      <x:c r="E949" s="1" t="str">
        <x:v>PENDING_PAYMENT</x:v>
      </x:c>
      <x:c r="F949" s="1" t="str">
        <x:v>Late delivery</x:v>
      </x:c>
      <x:c r="G949" s="6" t="n">
        <x:v>6</x:v>
      </x:c>
      <x:c r="H949" s="6" t="n">
        <x:v>4</x:v>
      </x:c>
      <x:c r="I949" s="6" t="n">
        <x:f>G949-H949</x:f>
        <x:v>2</x:v>
      </x:c>
      <x:c r="J949" s="6" t="n">
        <x:f>IF(OR(E949="CANCELED",E949="SUSPECTED_FRAUD",F949="Shipping canceled"),0,1)</x:f>
        <x:v>1</x:v>
      </x:c>
      <x:c r="K949" s="6" t="n">
        <x:f>IF(G949&gt;H949,1,0)</x:f>
        <x:v>1</x:v>
      </x:c>
      <x:c r="L949" s="6" t="n">
        <x:f>J949*K949</x:f>
        <x:v>1</x:v>
      </x:c>
    </x:row>
    <x:row r="950">
      <x:c r="A950" s="1" t="n">
        <x:v>8343</x:v>
      </x:c>
      <x:c r="B950" s="5" t="d">
        <x:v>2015-05-02T00:00:00.000Z</x:v>
      </x:c>
      <x:c r="C950" s="1" t="str">
        <x:v>Standard Class</x:v>
      </x:c>
      <x:c r="D950" s="1" t="str">
        <x:v>LATAM</x:v>
      </x:c>
      <x:c r="E950" s="1" t="str">
        <x:v>ON_HOLD</x:v>
      </x:c>
      <x:c r="F950" s="1" t="str">
        <x:v>Shipping on time</x:v>
      </x:c>
      <x:c r="G950" s="6" t="n">
        <x:v>4</x:v>
      </x:c>
      <x:c r="H950" s="6" t="n">
        <x:v>4</x:v>
      </x:c>
      <x:c r="I950" s="6" t="n">
        <x:f>G950-H950</x:f>
        <x:v>0</x:v>
      </x:c>
      <x:c r="J950" s="6" t="n">
        <x:f>IF(OR(E950="CANCELED",E950="SUSPECTED_FRAUD",F950="Shipping canceled"),0,1)</x:f>
        <x:v>1</x:v>
      </x:c>
      <x:c r="K950" s="6" t="n">
        <x:f>IF(G950&gt;H950,1,0)</x:f>
        <x:v>0</x:v>
      </x:c>
      <x:c r="L950" s="6" t="n">
        <x:f>J950*K950</x:f>
        <x:v>0</x:v>
      </x:c>
    </x:row>
    <x:row r="951">
      <x:c r="A951" s="1" t="n">
        <x:v>8345</x:v>
      </x:c>
      <x:c r="B951" s="5" t="d">
        <x:v>2015-05-02T00:00:00.000Z</x:v>
      </x:c>
      <x:c r="C951" s="1" t="str">
        <x:v>Standard Class</x:v>
      </x:c>
      <x:c r="D951" s="1" t="str">
        <x:v>LATAM</x:v>
      </x:c>
      <x:c r="E951" s="1" t="str">
        <x:v>PENDING_PAYMENT</x:v>
      </x:c>
      <x:c r="F951" s="1" t="str">
        <x:v>Late delivery</x:v>
      </x:c>
      <x:c r="G951" s="6" t="n">
        <x:v>6</x:v>
      </x:c>
      <x:c r="H951" s="6" t="n">
        <x:v>4</x:v>
      </x:c>
      <x:c r="I951" s="6" t="n">
        <x:f>G951-H951</x:f>
        <x:v>2</x:v>
      </x:c>
      <x:c r="J951" s="6" t="n">
        <x:f>IF(OR(E951="CANCELED",E951="SUSPECTED_FRAUD",F951="Shipping canceled"),0,1)</x:f>
        <x:v>1</x:v>
      </x:c>
      <x:c r="K951" s="6" t="n">
        <x:f>IF(G951&gt;H951,1,0)</x:f>
        <x:v>1</x:v>
      </x:c>
      <x:c r="L951" s="6" t="n">
        <x:f>J951*K951</x:f>
        <x:v>1</x:v>
      </x:c>
    </x:row>
    <x:row r="952">
      <x:c r="A952" s="1" t="n">
        <x:v>8346</x:v>
      </x:c>
      <x:c r="B952" s="5" t="d">
        <x:v>2015-05-02T00:00:00.000Z</x:v>
      </x:c>
      <x:c r="C952" s="1" t="str">
        <x:v>Standard Class</x:v>
      </x:c>
      <x:c r="D952" s="1" t="str">
        <x:v>LATAM</x:v>
      </x:c>
      <x:c r="E952" s="1" t="str">
        <x:v>ON_HOLD</x:v>
      </x:c>
      <x:c r="F952" s="1" t="str">
        <x:v>Advance shipping</x:v>
      </x:c>
      <x:c r="G952" s="6" t="n">
        <x:v>2</x:v>
      </x:c>
      <x:c r="H952" s="6" t="n">
        <x:v>4</x:v>
      </x:c>
      <x:c r="I952" s="6" t="n">
        <x:f>G952-H952</x:f>
        <x:v>-2</x:v>
      </x:c>
      <x:c r="J952" s="6" t="n">
        <x:f>IF(OR(E952="CANCELED",E952="SUSPECTED_FRAUD",F952="Shipping canceled"),0,1)</x:f>
        <x:v>1</x:v>
      </x:c>
      <x:c r="K952" s="6" t="n">
        <x:f>IF(G952&gt;H952,1,0)</x:f>
        <x:v>0</x:v>
      </x:c>
      <x:c r="L952" s="6" t="n">
        <x:f>J952*K952</x:f>
        <x:v>0</x:v>
      </x:c>
    </x:row>
    <x:row r="953">
      <x:c r="A953" s="1" t="n">
        <x:v>8359</x:v>
      </x:c>
      <x:c r="B953" s="5" t="d">
        <x:v>2015-05-03T00:00:00.000Z</x:v>
      </x:c>
      <x:c r="C953" s="1" t="str">
        <x:v>Standard Class</x:v>
      </x:c>
      <x:c r="D953" s="1" t="str">
        <x:v>LATAM</x:v>
      </x:c>
      <x:c r="E953" s="1" t="str">
        <x:v>COMPLETE</x:v>
      </x:c>
      <x:c r="F953" s="1" t="str">
        <x:v>Late delivery</x:v>
      </x:c>
      <x:c r="G953" s="6" t="n">
        <x:v>5</x:v>
      </x:c>
      <x:c r="H953" s="6" t="n">
        <x:v>4</x:v>
      </x:c>
      <x:c r="I953" s="6" t="n">
        <x:f>G953-H953</x:f>
        <x:v>1</x:v>
      </x:c>
      <x:c r="J953" s="6" t="n">
        <x:f>IF(OR(E953="CANCELED",E953="SUSPECTED_FRAUD",F953="Shipping canceled"),0,1)</x:f>
        <x:v>1</x:v>
      </x:c>
      <x:c r="K953" s="6" t="n">
        <x:f>IF(G953&gt;H953,1,0)</x:f>
        <x:v>1</x:v>
      </x:c>
      <x:c r="L953" s="6" t="n">
        <x:f>J953*K953</x:f>
        <x:v>1</x:v>
      </x:c>
    </x:row>
    <x:row r="954">
      <x:c r="A954" s="1" t="n">
        <x:v>8361</x:v>
      </x:c>
      <x:c r="B954" s="5" t="d">
        <x:v>2015-05-03T00:00:00.000Z</x:v>
      </x:c>
      <x:c r="C954" s="1" t="str">
        <x:v>Second Class</x:v>
      </x:c>
      <x:c r="D954" s="1" t="str">
        <x:v>LATAM</x:v>
      </x:c>
      <x:c r="E954" s="1" t="str">
        <x:v>COMPLETE</x:v>
      </x:c>
      <x:c r="F954" s="1" t="str">
        <x:v>Shipping on time</x:v>
      </x:c>
      <x:c r="G954" s="6" t="n">
        <x:v>2</x:v>
      </x:c>
      <x:c r="H954" s="6" t="n">
        <x:v>2</x:v>
      </x:c>
      <x:c r="I954" s="6" t="n">
        <x:f>G954-H954</x:f>
        <x:v>0</x:v>
      </x:c>
      <x:c r="J954" s="6" t="n">
        <x:f>IF(OR(E954="CANCELED",E954="SUSPECTED_FRAUD",F954="Shipping canceled"),0,1)</x:f>
        <x:v>1</x:v>
      </x:c>
      <x:c r="K954" s="6" t="n">
        <x:f>IF(G954&gt;H954,1,0)</x:f>
        <x:v>0</x:v>
      </x:c>
      <x:c r="L954" s="6" t="n">
        <x:f>J954*K954</x:f>
        <x:v>0</x:v>
      </x:c>
    </x:row>
    <x:row r="955">
      <x:c r="A955" s="1" t="n">
        <x:v>8367</x:v>
      </x:c>
      <x:c r="B955" s="5" t="d">
        <x:v>2015-05-03T00:00:00.000Z</x:v>
      </x:c>
      <x:c r="C955" s="1" t="str">
        <x:v>Standard Class</x:v>
      </x:c>
      <x:c r="D955" s="1" t="str">
        <x:v>LATAM</x:v>
      </x:c>
      <x:c r="E955" s="1" t="str">
        <x:v>COMPLETE</x:v>
      </x:c>
      <x:c r="F955" s="1" t="str">
        <x:v>Advance shipping</x:v>
      </x:c>
      <x:c r="G955" s="6" t="n">
        <x:v>3</x:v>
      </x:c>
      <x:c r="H955" s="6" t="n">
        <x:v>4</x:v>
      </x:c>
      <x:c r="I955" s="6" t="n">
        <x:f>G955-H955</x:f>
        <x:v>-1</x:v>
      </x:c>
      <x:c r="J955" s="6" t="n">
        <x:f>IF(OR(E955="CANCELED",E955="SUSPECTED_FRAUD",F955="Shipping canceled"),0,1)</x:f>
        <x:v>1</x:v>
      </x:c>
      <x:c r="K955" s="6" t="n">
        <x:f>IF(G955&gt;H955,1,0)</x:f>
        <x:v>0</x:v>
      </x:c>
      <x:c r="L955" s="6" t="n">
        <x:f>J955*K955</x:f>
        <x:v>0</x:v>
      </x:c>
    </x:row>
    <x:row r="956">
      <x:c r="A956" s="1" t="n">
        <x:v>8398</x:v>
      </x:c>
      <x:c r="B956" s="5" t="d">
        <x:v>2015-05-03T00:00:00.000Z</x:v>
      </x:c>
      <x:c r="C956" s="1" t="str">
        <x:v>Second Class</x:v>
      </x:c>
      <x:c r="D956" s="1" t="str">
        <x:v>LATAM</x:v>
      </x:c>
      <x:c r="E956" s="1" t="str">
        <x:v>PROCESSING</x:v>
      </x:c>
      <x:c r="F956" s="1" t="str">
        <x:v>Late delivery</x:v>
      </x:c>
      <x:c r="G956" s="6" t="n">
        <x:v>4</x:v>
      </x:c>
      <x:c r="H956" s="6" t="n">
        <x:v>2</x:v>
      </x:c>
      <x:c r="I956" s="6" t="n">
        <x:f>G956-H956</x:f>
        <x:v>2</x:v>
      </x:c>
      <x:c r="J956" s="6" t="n">
        <x:f>IF(OR(E956="CANCELED",E956="SUSPECTED_FRAUD",F956="Shipping canceled"),0,1)</x:f>
        <x:v>1</x:v>
      </x:c>
      <x:c r="K956" s="6" t="n">
        <x:f>IF(G956&gt;H956,1,0)</x:f>
        <x:v>1</x:v>
      </x:c>
      <x:c r="L956" s="6" t="n">
        <x:f>J956*K956</x:f>
        <x:v>1</x:v>
      </x:c>
    </x:row>
    <x:row r="957">
      <x:c r="A957" s="1" t="n">
        <x:v>8400</x:v>
      </x:c>
      <x:c r="B957" s="5" t="d">
        <x:v>2015-05-03T00:00:00.000Z</x:v>
      </x:c>
      <x:c r="C957" s="1" t="str">
        <x:v>Second Class</x:v>
      </x:c>
      <x:c r="D957" s="1" t="str">
        <x:v>LATAM</x:v>
      </x:c>
      <x:c r="E957" s="1" t="str">
        <x:v>COMPLETE</x:v>
      </x:c>
      <x:c r="F957" s="1" t="str">
        <x:v>Late delivery</x:v>
      </x:c>
      <x:c r="G957" s="6" t="n">
        <x:v>6</x:v>
      </x:c>
      <x:c r="H957" s="6" t="n">
        <x:v>2</x:v>
      </x:c>
      <x:c r="I957" s="6" t="n">
        <x:f>G957-H957</x:f>
        <x:v>4</x:v>
      </x:c>
      <x:c r="J957" s="6" t="n">
        <x:f>IF(OR(E957="CANCELED",E957="SUSPECTED_FRAUD",F957="Shipping canceled"),0,1)</x:f>
        <x:v>1</x:v>
      </x:c>
      <x:c r="K957" s="6" t="n">
        <x:f>IF(G957&gt;H957,1,0)</x:f>
        <x:v>1</x:v>
      </x:c>
      <x:c r="L957" s="6" t="n">
        <x:f>J957*K957</x:f>
        <x:v>1</x:v>
      </x:c>
    </x:row>
    <x:row r="958">
      <x:c r="A958" s="1" t="n">
        <x:v>8404</x:v>
      </x:c>
      <x:c r="B958" s="5" t="d">
        <x:v>2015-05-03T00:00:00.000Z</x:v>
      </x:c>
      <x:c r="C958" s="1" t="str">
        <x:v>Standard Class</x:v>
      </x:c>
      <x:c r="D958" s="1" t="str">
        <x:v>LATAM</x:v>
      </x:c>
      <x:c r="E958" s="1" t="str">
        <x:v>PROCESSING</x:v>
      </x:c>
      <x:c r="F958" s="1" t="str">
        <x:v>Late delivery</x:v>
      </x:c>
      <x:c r="G958" s="6" t="n">
        <x:v>5</x:v>
      </x:c>
      <x:c r="H958" s="6" t="n">
        <x:v>4</x:v>
      </x:c>
      <x:c r="I958" s="6" t="n">
        <x:f>G958-H958</x:f>
        <x:v>1</x:v>
      </x:c>
      <x:c r="J958" s="6" t="n">
        <x:f>IF(OR(E958="CANCELED",E958="SUSPECTED_FRAUD",F958="Shipping canceled"),0,1)</x:f>
        <x:v>1</x:v>
      </x:c>
      <x:c r="K958" s="6" t="n">
        <x:f>IF(G958&gt;H958,1,0)</x:f>
        <x:v>1</x:v>
      </x:c>
      <x:c r="L958" s="6" t="n">
        <x:f>J958*K958</x:f>
        <x:v>1</x:v>
      </x:c>
    </x:row>
    <x:row r="959">
      <x:c r="A959" s="1" t="n">
        <x:v>8410</x:v>
      </x:c>
      <x:c r="B959" s="5" t="d">
        <x:v>2015-05-03T00:00:00.000Z</x:v>
      </x:c>
      <x:c r="C959" s="1" t="str">
        <x:v>Standard Class</x:v>
      </x:c>
      <x:c r="D959" s="1" t="str">
        <x:v>LATAM</x:v>
      </x:c>
      <x:c r="E959" s="1" t="str">
        <x:v>PROCESSING</x:v>
      </x:c>
      <x:c r="F959" s="1" t="str">
        <x:v>Late delivery</x:v>
      </x:c>
      <x:c r="G959" s="6" t="n">
        <x:v>6</x:v>
      </x:c>
      <x:c r="H959" s="6" t="n">
        <x:v>4</x:v>
      </x:c>
      <x:c r="I959" s="6" t="n">
        <x:f>G959-H959</x:f>
        <x:v>2</x:v>
      </x:c>
      <x:c r="J959" s="6" t="n">
        <x:f>IF(OR(E959="CANCELED",E959="SUSPECTED_FRAUD",F959="Shipping canceled"),0,1)</x:f>
        <x:v>1</x:v>
      </x:c>
      <x:c r="K959" s="6" t="n">
        <x:f>IF(G959&gt;H959,1,0)</x:f>
        <x:v>1</x:v>
      </x:c>
      <x:c r="L959" s="6" t="n">
        <x:f>J959*K959</x:f>
        <x:v>1</x:v>
      </x:c>
    </x:row>
    <x:row r="960">
      <x:c r="A960" s="1" t="n">
        <x:v>8415</x:v>
      </x:c>
      <x:c r="B960" s="5" t="d">
        <x:v>2015-05-03T00:00:00.000Z</x:v>
      </x:c>
      <x:c r="C960" s="1" t="str">
        <x:v>Standard Class</x:v>
      </x:c>
      <x:c r="D960" s="1" t="str">
        <x:v>LATAM</x:v>
      </x:c>
      <x:c r="E960" s="1" t="str">
        <x:v>COMPLETE</x:v>
      </x:c>
      <x:c r="F960" s="1" t="str">
        <x:v>Late delivery</x:v>
      </x:c>
      <x:c r="G960" s="6" t="n">
        <x:v>6</x:v>
      </x:c>
      <x:c r="H960" s="6" t="n">
        <x:v>4</x:v>
      </x:c>
      <x:c r="I960" s="6" t="n">
        <x:f>G960-H960</x:f>
        <x:v>2</x:v>
      </x:c>
      <x:c r="J960" s="6" t="n">
        <x:f>IF(OR(E960="CANCELED",E960="SUSPECTED_FRAUD",F960="Shipping canceled"),0,1)</x:f>
        <x:v>1</x:v>
      </x:c>
      <x:c r="K960" s="6" t="n">
        <x:f>IF(G960&gt;H960,1,0)</x:f>
        <x:v>1</x:v>
      </x:c>
      <x:c r="L960" s="6" t="n">
        <x:f>J960*K960</x:f>
        <x:v>1</x:v>
      </x:c>
    </x:row>
    <x:row r="961">
      <x:c r="A961" s="1" t="n">
        <x:v>8428</x:v>
      </x:c>
      <x:c r="B961" s="5" t="d">
        <x:v>2015-05-04T00:00:00.000Z</x:v>
      </x:c>
      <x:c r="C961" s="1" t="str">
        <x:v>Standard Class</x:v>
      </x:c>
      <x:c r="D961" s="1" t="str">
        <x:v>LATAM</x:v>
      </x:c>
      <x:c r="E961" s="1" t="str">
        <x:v>ON_HOLD</x:v>
      </x:c>
      <x:c r="F961" s="1" t="str">
        <x:v>Shipping on time</x:v>
      </x:c>
      <x:c r="G961" s="6" t="n">
        <x:v>4</x:v>
      </x:c>
      <x:c r="H961" s="6" t="n">
        <x:v>4</x:v>
      </x:c>
      <x:c r="I961" s="6" t="n">
        <x:f>G961-H961</x:f>
        <x:v>0</x:v>
      </x:c>
      <x:c r="J961" s="6" t="n">
        <x:f>IF(OR(E961="CANCELED",E961="SUSPECTED_FRAUD",F961="Shipping canceled"),0,1)</x:f>
        <x:v>1</x:v>
      </x:c>
      <x:c r="K961" s="6" t="n">
        <x:f>IF(G961&gt;H961,1,0)</x:f>
        <x:v>0</x:v>
      </x:c>
      <x:c r="L961" s="6" t="n">
        <x:f>J961*K961</x:f>
        <x:v>0</x:v>
      </x:c>
    </x:row>
    <x:row r="962">
      <x:c r="A962" s="1" t="n">
        <x:v>8443</x:v>
      </x:c>
      <x:c r="B962" s="5" t="d">
        <x:v>2015-05-04T00:00:00.000Z</x:v>
      </x:c>
      <x:c r="C962" s="1" t="str">
        <x:v>Standard Class</x:v>
      </x:c>
      <x:c r="D962" s="1" t="str">
        <x:v>LATAM</x:v>
      </x:c>
      <x:c r="E962" s="1" t="str">
        <x:v>COMPLETE</x:v>
      </x:c>
      <x:c r="F962" s="1" t="str">
        <x:v>Shipping on time</x:v>
      </x:c>
      <x:c r="G962" s="6" t="n">
        <x:v>4</x:v>
      </x:c>
      <x:c r="H962" s="6" t="n">
        <x:v>4</x:v>
      </x:c>
      <x:c r="I962" s="6" t="n">
        <x:f>G962-H962</x:f>
        <x:v>0</x:v>
      </x:c>
      <x:c r="J962" s="6" t="n">
        <x:f>IF(OR(E962="CANCELED",E962="SUSPECTED_FRAUD",F962="Shipping canceled"),0,1)</x:f>
        <x:v>1</x:v>
      </x:c>
      <x:c r="K962" s="6" t="n">
        <x:f>IF(G962&gt;H962,1,0)</x:f>
        <x:v>0</x:v>
      </x:c>
      <x:c r="L962" s="6" t="n">
        <x:f>J962*K962</x:f>
        <x:v>0</x:v>
      </x:c>
    </x:row>
    <x:row r="963">
      <x:c r="A963" s="1" t="n">
        <x:v>8455</x:v>
      </x:c>
      <x:c r="B963" s="5" t="d">
        <x:v>2015-05-04T00:00:00.000Z</x:v>
      </x:c>
      <x:c r="C963" s="1" t="str">
        <x:v>Second Class</x:v>
      </x:c>
      <x:c r="D963" s="1" t="str">
        <x:v>LATAM</x:v>
      </x:c>
      <x:c r="E963" s="1" t="str">
        <x:v>COMPLETE</x:v>
      </x:c>
      <x:c r="F963" s="1" t="str">
        <x:v>Late delivery</x:v>
      </x:c>
      <x:c r="G963" s="6" t="n">
        <x:v>6</x:v>
      </x:c>
      <x:c r="H963" s="6" t="n">
        <x:v>2</x:v>
      </x:c>
      <x:c r="I963" s="6" t="n">
        <x:f>G963-H963</x:f>
        <x:v>4</x:v>
      </x:c>
      <x:c r="J963" s="6" t="n">
        <x:f>IF(OR(E963="CANCELED",E963="SUSPECTED_FRAUD",F963="Shipping canceled"),0,1)</x:f>
        <x:v>1</x:v>
      </x:c>
      <x:c r="K963" s="6" t="n">
        <x:f>IF(G963&gt;H963,1,0)</x:f>
        <x:v>1</x:v>
      </x:c>
      <x:c r="L963" s="6" t="n">
        <x:f>J963*K963</x:f>
        <x:v>1</x:v>
      </x:c>
    </x:row>
    <x:row r="964">
      <x:c r="A964" s="1" t="n">
        <x:v>8466</x:v>
      </x:c>
      <x:c r="B964" s="5" t="d">
        <x:v>2015-05-04T00:00:00.000Z</x:v>
      </x:c>
      <x:c r="C964" s="1" t="str">
        <x:v>Standard Class</x:v>
      </x:c>
      <x:c r="D964" s="1" t="str">
        <x:v>LATAM</x:v>
      </x:c>
      <x:c r="E964" s="1" t="str">
        <x:v>PENDING</x:v>
      </x:c>
      <x:c r="F964" s="1" t="str">
        <x:v>Advance shipping</x:v>
      </x:c>
      <x:c r="G964" s="6" t="n">
        <x:v>2</x:v>
      </x:c>
      <x:c r="H964" s="6" t="n">
        <x:v>4</x:v>
      </x:c>
      <x:c r="I964" s="6" t="n">
        <x:f>G964-H964</x:f>
        <x:v>-2</x:v>
      </x:c>
      <x:c r="J964" s="6" t="n">
        <x:f>IF(OR(E964="CANCELED",E964="SUSPECTED_FRAUD",F964="Shipping canceled"),0,1)</x:f>
        <x:v>1</x:v>
      </x:c>
      <x:c r="K964" s="6" t="n">
        <x:f>IF(G964&gt;H964,1,0)</x:f>
        <x:v>0</x:v>
      </x:c>
      <x:c r="L964" s="6" t="n">
        <x:f>J964*K964</x:f>
        <x:v>0</x:v>
      </x:c>
    </x:row>
    <x:row r="965">
      <x:c r="A965" s="1" t="n">
        <x:v>8467</x:v>
      </x:c>
      <x:c r="B965" s="5" t="d">
        <x:v>2015-05-04T00:00:00.000Z</x:v>
      </x:c>
      <x:c r="C965" s="1" t="str">
        <x:v>Standard Class</x:v>
      </x:c>
      <x:c r="D965" s="1" t="str">
        <x:v>LATAM</x:v>
      </x:c>
      <x:c r="E965" s="1" t="str">
        <x:v>COMPLETE</x:v>
      </x:c>
      <x:c r="F965" s="1" t="str">
        <x:v>Advance shipping</x:v>
      </x:c>
      <x:c r="G965" s="6" t="n">
        <x:v>3</x:v>
      </x:c>
      <x:c r="H965" s="6" t="n">
        <x:v>4</x:v>
      </x:c>
      <x:c r="I965" s="6" t="n">
        <x:f>G965-H965</x:f>
        <x:v>-1</x:v>
      </x:c>
      <x:c r="J965" s="6" t="n">
        <x:f>IF(OR(E965="CANCELED",E965="SUSPECTED_FRAUD",F965="Shipping canceled"),0,1)</x:f>
        <x:v>1</x:v>
      </x:c>
      <x:c r="K965" s="6" t="n">
        <x:f>IF(G965&gt;H965,1,0)</x:f>
        <x:v>0</x:v>
      </x:c>
      <x:c r="L965" s="6" t="n">
        <x:f>J965*K965</x:f>
        <x:v>0</x:v>
      </x:c>
    </x:row>
    <x:row r="966">
      <x:c r="A966" s="1" t="n">
        <x:v>8470</x:v>
      </x:c>
      <x:c r="B966" s="5" t="d">
        <x:v>2015-05-04T00:00:00.000Z</x:v>
      </x:c>
      <x:c r="C966" s="1" t="str">
        <x:v>Standard Class</x:v>
      </x:c>
      <x:c r="D966" s="1" t="str">
        <x:v>LATAM</x:v>
      </x:c>
      <x:c r="E966" s="1" t="str">
        <x:v>PROCESSING</x:v>
      </x:c>
      <x:c r="F966" s="1" t="str">
        <x:v>Late delivery</x:v>
      </x:c>
      <x:c r="G966" s="6" t="n">
        <x:v>6</x:v>
      </x:c>
      <x:c r="H966" s="6" t="n">
        <x:v>4</x:v>
      </x:c>
      <x:c r="I966" s="6" t="n">
        <x:f>G966-H966</x:f>
        <x:v>2</x:v>
      </x:c>
      <x:c r="J966" s="6" t="n">
        <x:f>IF(OR(E966="CANCELED",E966="SUSPECTED_FRAUD",F966="Shipping canceled"),0,1)</x:f>
        <x:v>1</x:v>
      </x:c>
      <x:c r="K966" s="6" t="n">
        <x:f>IF(G966&gt;H966,1,0)</x:f>
        <x:v>1</x:v>
      </x:c>
      <x:c r="L966" s="6" t="n">
        <x:f>J966*K966</x:f>
        <x:v>1</x:v>
      </x:c>
    </x:row>
    <x:row r="967">
      <x:c r="A967" s="1" t="n">
        <x:v>8477</x:v>
      </x:c>
      <x:c r="B967" s="5" t="d">
        <x:v>2015-05-04T00:00:00.000Z</x:v>
      </x:c>
      <x:c r="C967" s="1" t="str">
        <x:v>Standard Class</x:v>
      </x:c>
      <x:c r="D967" s="1" t="str">
        <x:v>LATAM</x:v>
      </x:c>
      <x:c r="E967" s="1" t="str">
        <x:v>COMPLETE</x:v>
      </x:c>
      <x:c r="F967" s="1" t="str">
        <x:v>Advance shipping</x:v>
      </x:c>
      <x:c r="G967" s="6" t="n">
        <x:v>3</x:v>
      </x:c>
      <x:c r="H967" s="6" t="n">
        <x:v>4</x:v>
      </x:c>
      <x:c r="I967" s="6" t="n">
        <x:f>G967-H967</x:f>
        <x:v>-1</x:v>
      </x:c>
      <x:c r="J967" s="6" t="n">
        <x:f>IF(OR(E967="CANCELED",E967="SUSPECTED_FRAUD",F967="Shipping canceled"),0,1)</x:f>
        <x:v>1</x:v>
      </x:c>
      <x:c r="K967" s="6" t="n">
        <x:f>IF(G967&gt;H967,1,0)</x:f>
        <x:v>0</x:v>
      </x:c>
      <x:c r="L967" s="6" t="n">
        <x:f>J967*K967</x:f>
        <x:v>0</x:v>
      </x:c>
    </x:row>
    <x:row r="968">
      <x:c r="A968" s="1" t="n">
        <x:v>8488</x:v>
      </x:c>
      <x:c r="B968" s="5" t="d">
        <x:v>2015-05-04T00:00:00.000Z</x:v>
      </x:c>
      <x:c r="C968" s="1" t="str">
        <x:v>Standard Class</x:v>
      </x:c>
      <x:c r="D968" s="1" t="str">
        <x:v>LATAM</x:v>
      </x:c>
      <x:c r="E968" s="1" t="str">
        <x:v>CANCELED</x:v>
      </x:c>
      <x:c r="F968" s="1" t="str">
        <x:v>Shipping canceled</x:v>
      </x:c>
      <x:c r="G968" s="6" t="n">
        <x:v>4</x:v>
      </x:c>
      <x:c r="H968" s="6" t="n">
        <x:v>4</x:v>
      </x:c>
      <x:c r="I968" s="6" t="n">
        <x:f>G968-H968</x:f>
        <x:v>0</x:v>
      </x:c>
      <x:c r="J968" s="6" t="n">
        <x:f>IF(OR(E968="CANCELED",E968="SUSPECTED_FRAUD",F968="Shipping canceled"),0,1)</x:f>
        <x:v>0</x:v>
      </x:c>
      <x:c r="K968" s="6" t="n">
        <x:f>IF(G968&gt;H968,1,0)</x:f>
        <x:v>0</x:v>
      </x:c>
      <x:c r="L968" s="6" t="n">
        <x:f>J968*K968</x:f>
        <x:v>0</x:v>
      </x:c>
    </x:row>
    <x:row r="969">
      <x:c r="A969" s="1" t="n">
        <x:v>8495</x:v>
      </x:c>
      <x:c r="B969" s="5" t="d">
        <x:v>2015-05-04T00:00:00.000Z</x:v>
      </x:c>
      <x:c r="C969" s="1" t="str">
        <x:v>Standard Class</x:v>
      </x:c>
      <x:c r="D969" s="1" t="str">
        <x:v>LATAM</x:v>
      </x:c>
      <x:c r="E969" s="1" t="str">
        <x:v>PROCESSING</x:v>
      </x:c>
      <x:c r="F969" s="1" t="str">
        <x:v>Late delivery</x:v>
      </x:c>
      <x:c r="G969" s="6" t="n">
        <x:v>6</x:v>
      </x:c>
      <x:c r="H969" s="6" t="n">
        <x:v>4</x:v>
      </x:c>
      <x:c r="I969" s="6" t="n">
        <x:f>G969-H969</x:f>
        <x:v>2</x:v>
      </x:c>
      <x:c r="J969" s="6" t="n">
        <x:f>IF(OR(E969="CANCELED",E969="SUSPECTED_FRAUD",F969="Shipping canceled"),0,1)</x:f>
        <x:v>1</x:v>
      </x:c>
      <x:c r="K969" s="6" t="n">
        <x:f>IF(G969&gt;H969,1,0)</x:f>
        <x:v>1</x:v>
      </x:c>
      <x:c r="L969" s="6" t="n">
        <x:f>J969*K969</x:f>
        <x:v>1</x:v>
      </x:c>
    </x:row>
    <x:row r="970">
      <x:c r="A970" s="1" t="n">
        <x:v>8496</x:v>
      </x:c>
      <x:c r="B970" s="5" t="d">
        <x:v>2015-05-05T00:00:00.000Z</x:v>
      </x:c>
      <x:c r="C970" s="1" t="str">
        <x:v>Standard Class</x:v>
      </x:c>
      <x:c r="D970" s="1" t="str">
        <x:v>LATAM</x:v>
      </x:c>
      <x:c r="E970" s="1" t="str">
        <x:v>PAYMENT_REVIEW</x:v>
      </x:c>
      <x:c r="F970" s="1" t="str">
        <x:v>Advance shipping</x:v>
      </x:c>
      <x:c r="G970" s="6" t="n">
        <x:v>2</x:v>
      </x:c>
      <x:c r="H970" s="6" t="n">
        <x:v>4</x:v>
      </x:c>
      <x:c r="I970" s="6" t="n">
        <x:f>G970-H970</x:f>
        <x:v>-2</x:v>
      </x:c>
      <x:c r="J970" s="6" t="n">
        <x:f>IF(OR(E970="CANCELED",E970="SUSPECTED_FRAUD",F970="Shipping canceled"),0,1)</x:f>
        <x:v>1</x:v>
      </x:c>
      <x:c r="K970" s="6" t="n">
        <x:f>IF(G970&gt;H970,1,0)</x:f>
        <x:v>0</x:v>
      </x:c>
      <x:c r="L970" s="6" t="n">
        <x:f>J970*K970</x:f>
        <x:v>0</x:v>
      </x:c>
    </x:row>
    <x:row r="971">
      <x:c r="A971" s="1" t="n">
        <x:v>8515</x:v>
      </x:c>
      <x:c r="B971" s="5" t="d">
        <x:v>2015-05-05T00:00:00.000Z</x:v>
      </x:c>
      <x:c r="C971" s="1" t="str">
        <x:v>Second Class</x:v>
      </x:c>
      <x:c r="D971" s="1" t="str">
        <x:v>LATAM</x:v>
      </x:c>
      <x:c r="E971" s="1" t="str">
        <x:v>COMPLETE</x:v>
      </x:c>
      <x:c r="F971" s="1" t="str">
        <x:v>Late delivery</x:v>
      </x:c>
      <x:c r="G971" s="6" t="n">
        <x:v>6</x:v>
      </x:c>
      <x:c r="H971" s="6" t="n">
        <x:v>2</x:v>
      </x:c>
      <x:c r="I971" s="6" t="n">
        <x:f>G971-H971</x:f>
        <x:v>4</x:v>
      </x:c>
      <x:c r="J971" s="6" t="n">
        <x:f>IF(OR(E971="CANCELED",E971="SUSPECTED_FRAUD",F971="Shipping canceled"),0,1)</x:f>
        <x:v>1</x:v>
      </x:c>
      <x:c r="K971" s="6" t="n">
        <x:f>IF(G971&gt;H971,1,0)</x:f>
        <x:v>1</x:v>
      </x:c>
      <x:c r="L971" s="6" t="n">
        <x:f>J971*K971</x:f>
        <x:v>1</x:v>
      </x:c>
    </x:row>
    <x:row r="972">
      <x:c r="A972" s="1" t="n">
        <x:v>8518</x:v>
      </x:c>
      <x:c r="B972" s="5" t="d">
        <x:v>2015-05-05T00:00:00.000Z</x:v>
      </x:c>
      <x:c r="C972" s="1" t="str">
        <x:v>Standard Class</x:v>
      </x:c>
      <x:c r="D972" s="1" t="str">
        <x:v>LATAM</x:v>
      </x:c>
      <x:c r="E972" s="1" t="str">
        <x:v>CANCELED</x:v>
      </x:c>
      <x:c r="F972" s="1" t="str">
        <x:v>Shipping canceled</x:v>
      </x:c>
      <x:c r="G972" s="6" t="n">
        <x:v>4</x:v>
      </x:c>
      <x:c r="H972" s="6" t="n">
        <x:v>4</x:v>
      </x:c>
      <x:c r="I972" s="6" t="n">
        <x:f>G972-H972</x:f>
        <x:v>0</x:v>
      </x:c>
      <x:c r="J972" s="6" t="n">
        <x:f>IF(OR(E972="CANCELED",E972="SUSPECTED_FRAUD",F972="Shipping canceled"),0,1)</x:f>
        <x:v>0</x:v>
      </x:c>
      <x:c r="K972" s="6" t="n">
        <x:f>IF(G972&gt;H972,1,0)</x:f>
        <x:v>0</x:v>
      </x:c>
      <x:c r="L972" s="6" t="n">
        <x:f>J972*K972</x:f>
        <x:v>0</x:v>
      </x:c>
    </x:row>
    <x:row r="973">
      <x:c r="A973" s="1" t="n">
        <x:v>8559</x:v>
      </x:c>
      <x:c r="B973" s="5" t="d">
        <x:v>2015-05-05T00:00:00.000Z</x:v>
      </x:c>
      <x:c r="C973" s="1" t="str">
        <x:v>Standard Class</x:v>
      </x:c>
      <x:c r="D973" s="1" t="str">
        <x:v>LATAM</x:v>
      </x:c>
      <x:c r="E973" s="1" t="str">
        <x:v>COMPLETE</x:v>
      </x:c>
      <x:c r="F973" s="1" t="str">
        <x:v>Late delivery</x:v>
      </x:c>
      <x:c r="G973" s="6" t="n">
        <x:v>5</x:v>
      </x:c>
      <x:c r="H973" s="6" t="n">
        <x:v>4</x:v>
      </x:c>
      <x:c r="I973" s="6" t="n">
        <x:f>G973-H973</x:f>
        <x:v>1</x:v>
      </x:c>
      <x:c r="J973" s="6" t="n">
        <x:f>IF(OR(E973="CANCELED",E973="SUSPECTED_FRAUD",F973="Shipping canceled"),0,1)</x:f>
        <x:v>1</x:v>
      </x:c>
      <x:c r="K973" s="6" t="n">
        <x:f>IF(G973&gt;H973,1,0)</x:f>
        <x:v>1</x:v>
      </x:c>
      <x:c r="L973" s="6" t="n">
        <x:f>J973*K973</x:f>
        <x:v>1</x:v>
      </x:c>
    </x:row>
    <x:row r="974">
      <x:c r="A974" s="1" t="n">
        <x:v>8566</x:v>
      </x:c>
      <x:c r="B974" s="5" t="d">
        <x:v>2015-05-06T00:00:00.000Z</x:v>
      </x:c>
      <x:c r="C974" s="1" t="str">
        <x:v>Standard Class</x:v>
      </x:c>
      <x:c r="D974" s="1" t="str">
        <x:v>LATAM</x:v>
      </x:c>
      <x:c r="E974" s="1" t="str">
        <x:v>CLOSED</x:v>
      </x:c>
      <x:c r="F974" s="1" t="str">
        <x:v>Advance shipping</x:v>
      </x:c>
      <x:c r="G974" s="6" t="n">
        <x:v>2</x:v>
      </x:c>
      <x:c r="H974" s="6" t="n">
        <x:v>4</x:v>
      </x:c>
      <x:c r="I974" s="6" t="n">
        <x:f>G974-H974</x:f>
        <x:v>-2</x:v>
      </x:c>
      <x:c r="J974" s="6" t="n">
        <x:f>IF(OR(E974="CANCELED",E974="SUSPECTED_FRAUD",F974="Shipping canceled"),0,1)</x:f>
        <x:v>1</x:v>
      </x:c>
      <x:c r="K974" s="6" t="n">
        <x:f>IF(G974&gt;H974,1,0)</x:f>
        <x:v>0</x:v>
      </x:c>
      <x:c r="L974" s="6" t="n">
        <x:f>J974*K974</x:f>
        <x:v>0</x:v>
      </x:c>
    </x:row>
    <x:row r="975">
      <x:c r="A975" s="1" t="n">
        <x:v>8567</x:v>
      </x:c>
      <x:c r="B975" s="5" t="d">
        <x:v>2015-05-06T00:00:00.000Z</x:v>
      </x:c>
      <x:c r="C975" s="1" t="str">
        <x:v>Standard Class</x:v>
      </x:c>
      <x:c r="D975" s="1" t="str">
        <x:v>LATAM</x:v>
      </x:c>
      <x:c r="E975" s="1" t="str">
        <x:v>PENDING</x:v>
      </x:c>
      <x:c r="F975" s="1" t="str">
        <x:v>Advance shipping</x:v>
      </x:c>
      <x:c r="G975" s="6" t="n">
        <x:v>3</x:v>
      </x:c>
      <x:c r="H975" s="6" t="n">
        <x:v>4</x:v>
      </x:c>
      <x:c r="I975" s="6" t="n">
        <x:f>G975-H975</x:f>
        <x:v>-1</x:v>
      </x:c>
      <x:c r="J975" s="6" t="n">
        <x:f>IF(OR(E975="CANCELED",E975="SUSPECTED_FRAUD",F975="Shipping canceled"),0,1)</x:f>
        <x:v>1</x:v>
      </x:c>
      <x:c r="K975" s="6" t="n">
        <x:f>IF(G975&gt;H975,1,0)</x:f>
        <x:v>0</x:v>
      </x:c>
      <x:c r="L975" s="6" t="n">
        <x:f>J975*K975</x:f>
        <x:v>0</x:v>
      </x:c>
    </x:row>
    <x:row r="976">
      <x:c r="A976" s="1" t="n">
        <x:v>8578</x:v>
      </x:c>
      <x:c r="B976" s="5" t="d">
        <x:v>2015-05-06T00:00:00.000Z</x:v>
      </x:c>
      <x:c r="C976" s="1" t="str">
        <x:v>Second Class</x:v>
      </x:c>
      <x:c r="D976" s="1" t="str">
        <x:v>LATAM</x:v>
      </x:c>
      <x:c r="E976" s="1" t="str">
        <x:v>PENDING_PAYMENT</x:v>
      </x:c>
      <x:c r="F976" s="1" t="str">
        <x:v>Late delivery</x:v>
      </x:c>
      <x:c r="G976" s="6" t="n">
        <x:v>4</x:v>
      </x:c>
      <x:c r="H976" s="6" t="n">
        <x:v>2</x:v>
      </x:c>
      <x:c r="I976" s="6" t="n">
        <x:f>G976-H976</x:f>
        <x:v>2</x:v>
      </x:c>
      <x:c r="J976" s="6" t="n">
        <x:f>IF(OR(E976="CANCELED",E976="SUSPECTED_FRAUD",F976="Shipping canceled"),0,1)</x:f>
        <x:v>1</x:v>
      </x:c>
      <x:c r="K976" s="6" t="n">
        <x:f>IF(G976&gt;H976,1,0)</x:f>
        <x:v>1</x:v>
      </x:c>
      <x:c r="L976" s="6" t="n">
        <x:f>J976*K976</x:f>
        <x:v>1</x:v>
      </x:c>
    </x:row>
    <x:row r="977">
      <x:c r="A977" s="1" t="n">
        <x:v>8586</x:v>
      </x:c>
      <x:c r="B977" s="5" t="d">
        <x:v>2015-05-06T00:00:00.000Z</x:v>
      </x:c>
      <x:c r="C977" s="1" t="str">
        <x:v>First Class</x:v>
      </x:c>
      <x:c r="D977" s="1" t="str">
        <x:v>LATAM</x:v>
      </x:c>
      <x:c r="E977" s="1" t="str">
        <x:v>PENDING</x:v>
      </x:c>
      <x:c r="F977" s="1" t="str">
        <x:v>Late delivery</x:v>
      </x:c>
      <x:c r="G977" s="6" t="n">
        <x:v>2</x:v>
      </x:c>
      <x:c r="H977" s="6" t="n">
        <x:v>1</x:v>
      </x:c>
      <x:c r="I977" s="6" t="n">
        <x:f>G977-H977</x:f>
        <x:v>1</x:v>
      </x:c>
      <x:c r="J977" s="6" t="n">
        <x:f>IF(OR(E977="CANCELED",E977="SUSPECTED_FRAUD",F977="Shipping canceled"),0,1)</x:f>
        <x:v>1</x:v>
      </x:c>
      <x:c r="K977" s="6" t="n">
        <x:f>IF(G977&gt;H977,1,0)</x:f>
        <x:v>1</x:v>
      </x:c>
      <x:c r="L977" s="6" t="n">
        <x:f>J977*K977</x:f>
        <x:v>1</x:v>
      </x:c>
    </x:row>
    <x:row r="978">
      <x:c r="A978" s="1" t="n">
        <x:v>8588</x:v>
      </x:c>
      <x:c r="B978" s="5" t="d">
        <x:v>2015-05-06T00:00:00.000Z</x:v>
      </x:c>
      <x:c r="C978" s="1" t="str">
        <x:v>Standard Class</x:v>
      </x:c>
      <x:c r="D978" s="1" t="str">
        <x:v>LATAM</x:v>
      </x:c>
      <x:c r="E978" s="1" t="str">
        <x:v>PENDING</x:v>
      </x:c>
      <x:c r="F978" s="1" t="str">
        <x:v>Shipping on time</x:v>
      </x:c>
      <x:c r="G978" s="6" t="n">
        <x:v>4</x:v>
      </x:c>
      <x:c r="H978" s="6" t="n">
        <x:v>4</x:v>
      </x:c>
      <x:c r="I978" s="6" t="n">
        <x:f>G978-H978</x:f>
        <x:v>0</x:v>
      </x:c>
      <x:c r="J978" s="6" t="n">
        <x:f>IF(OR(E978="CANCELED",E978="SUSPECTED_FRAUD",F978="Shipping canceled"),0,1)</x:f>
        <x:v>1</x:v>
      </x:c>
      <x:c r="K978" s="6" t="n">
        <x:f>IF(G978&gt;H978,1,0)</x:f>
        <x:v>0</x:v>
      </x:c>
      <x:c r="L978" s="6" t="n">
        <x:f>J978*K978</x:f>
        <x:v>0</x:v>
      </x:c>
    </x:row>
    <x:row r="979">
      <x:c r="A979" s="1" t="n">
        <x:v>8591</x:v>
      </x:c>
      <x:c r="B979" s="5" t="d">
        <x:v>2015-05-06T00:00:00.000Z</x:v>
      </x:c>
      <x:c r="C979" s="1" t="str">
        <x:v>Standard Class</x:v>
      </x:c>
      <x:c r="D979" s="1" t="str">
        <x:v>LATAM</x:v>
      </x:c>
      <x:c r="E979" s="1" t="str">
        <x:v>CLOSED</x:v>
      </x:c>
      <x:c r="F979" s="1" t="str">
        <x:v>Advance shipping</x:v>
      </x:c>
      <x:c r="G979" s="6" t="n">
        <x:v>2</x:v>
      </x:c>
      <x:c r="H979" s="6" t="n">
        <x:v>4</x:v>
      </x:c>
      <x:c r="I979" s="6" t="n">
        <x:f>G979-H979</x:f>
        <x:v>-2</x:v>
      </x:c>
      <x:c r="J979" s="6" t="n">
        <x:f>IF(OR(E979="CANCELED",E979="SUSPECTED_FRAUD",F979="Shipping canceled"),0,1)</x:f>
        <x:v>1</x:v>
      </x:c>
      <x:c r="K979" s="6" t="n">
        <x:f>IF(G979&gt;H979,1,0)</x:f>
        <x:v>0</x:v>
      </x:c>
      <x:c r="L979" s="6" t="n">
        <x:f>J979*K979</x:f>
        <x:v>0</x:v>
      </x:c>
    </x:row>
    <x:row r="980">
      <x:c r="A980" s="1" t="n">
        <x:v>8595</x:v>
      </x:c>
      <x:c r="B980" s="5" t="d">
        <x:v>2015-05-06T00:00:00.000Z</x:v>
      </x:c>
      <x:c r="C980" s="1" t="str">
        <x:v>Standard Class</x:v>
      </x:c>
      <x:c r="D980" s="1" t="str">
        <x:v>LATAM</x:v>
      </x:c>
      <x:c r="E980" s="1" t="str">
        <x:v>COMPLETE</x:v>
      </x:c>
      <x:c r="F980" s="1" t="str">
        <x:v>Late delivery</x:v>
      </x:c>
      <x:c r="G980" s="6" t="n">
        <x:v>6</x:v>
      </x:c>
      <x:c r="H980" s="6" t="n">
        <x:v>4</x:v>
      </x:c>
      <x:c r="I980" s="6" t="n">
        <x:f>G980-H980</x:f>
        <x:v>2</x:v>
      </x:c>
      <x:c r="J980" s="6" t="n">
        <x:f>IF(OR(E980="CANCELED",E980="SUSPECTED_FRAUD",F980="Shipping canceled"),0,1)</x:f>
        <x:v>1</x:v>
      </x:c>
      <x:c r="K980" s="6" t="n">
        <x:f>IF(G980&gt;H980,1,0)</x:f>
        <x:v>1</x:v>
      </x:c>
      <x:c r="L980" s="6" t="n">
        <x:f>J980*K980</x:f>
        <x:v>1</x:v>
      </x:c>
    </x:row>
    <x:row r="981">
      <x:c r="A981" s="1" t="n">
        <x:v>8597</x:v>
      </x:c>
      <x:c r="B981" s="5" t="d">
        <x:v>2015-05-06T00:00:00.000Z</x:v>
      </x:c>
      <x:c r="C981" s="1" t="str">
        <x:v>Second Class</x:v>
      </x:c>
      <x:c r="D981" s="1" t="str">
        <x:v>LATAM</x:v>
      </x:c>
      <x:c r="E981" s="1" t="str">
        <x:v>PROCESSING</x:v>
      </x:c>
      <x:c r="F981" s="1" t="str">
        <x:v>Late delivery</x:v>
      </x:c>
      <x:c r="G981" s="6" t="n">
        <x:v>3</x:v>
      </x:c>
      <x:c r="H981" s="6" t="n">
        <x:v>2</x:v>
      </x:c>
      <x:c r="I981" s="6" t="n">
        <x:f>G981-H981</x:f>
        <x:v>1</x:v>
      </x:c>
      <x:c r="J981" s="6" t="n">
        <x:f>IF(OR(E981="CANCELED",E981="SUSPECTED_FRAUD",F981="Shipping canceled"),0,1)</x:f>
        <x:v>1</x:v>
      </x:c>
      <x:c r="K981" s="6" t="n">
        <x:f>IF(G981&gt;H981,1,0)</x:f>
        <x:v>1</x:v>
      </x:c>
      <x:c r="L981" s="6" t="n">
        <x:f>J981*K981</x:f>
        <x:v>1</x:v>
      </x:c>
    </x:row>
    <x:row r="982">
      <x:c r="A982" s="1" t="n">
        <x:v>8605</x:v>
      </x:c>
      <x:c r="B982" s="5" t="d">
        <x:v>2015-05-06T00:00:00.000Z</x:v>
      </x:c>
      <x:c r="C982" s="1" t="str">
        <x:v>First Class</x:v>
      </x:c>
      <x:c r="D982" s="1" t="str">
        <x:v>LATAM</x:v>
      </x:c>
      <x:c r="E982" s="1" t="str">
        <x:v>CLOSED</x:v>
      </x:c>
      <x:c r="F982" s="1" t="str">
        <x:v>Late delivery</x:v>
      </x:c>
      <x:c r="G982" s="6" t="n">
        <x:v>2</x:v>
      </x:c>
      <x:c r="H982" s="6" t="n">
        <x:v>1</x:v>
      </x:c>
      <x:c r="I982" s="6" t="n">
        <x:f>G982-H982</x:f>
        <x:v>1</x:v>
      </x:c>
      <x:c r="J982" s="6" t="n">
        <x:f>IF(OR(E982="CANCELED",E982="SUSPECTED_FRAUD",F982="Shipping canceled"),0,1)</x:f>
        <x:v>1</x:v>
      </x:c>
      <x:c r="K982" s="6" t="n">
        <x:f>IF(G982&gt;H982,1,0)</x:f>
        <x:v>1</x:v>
      </x:c>
      <x:c r="L982" s="6" t="n">
        <x:f>J982*K982</x:f>
        <x:v>1</x:v>
      </x:c>
    </x:row>
    <x:row r="983">
      <x:c r="A983" s="1" t="n">
        <x:v>8618</x:v>
      </x:c>
      <x:c r="B983" s="5" t="d">
        <x:v>2015-05-06T00:00:00.000Z</x:v>
      </x:c>
      <x:c r="C983" s="1" t="str">
        <x:v>Second Class</x:v>
      </x:c>
      <x:c r="D983" s="1" t="str">
        <x:v>LATAM</x:v>
      </x:c>
      <x:c r="E983" s="1" t="str">
        <x:v>COMPLETE</x:v>
      </x:c>
      <x:c r="F983" s="1" t="str">
        <x:v>Late delivery</x:v>
      </x:c>
      <x:c r="G983" s="6" t="n">
        <x:v>4</x:v>
      </x:c>
      <x:c r="H983" s="6" t="n">
        <x:v>2</x:v>
      </x:c>
      <x:c r="I983" s="6" t="n">
        <x:f>G983-H983</x:f>
        <x:v>2</x:v>
      </x:c>
      <x:c r="J983" s="6" t="n">
        <x:f>IF(OR(E983="CANCELED",E983="SUSPECTED_FRAUD",F983="Shipping canceled"),0,1)</x:f>
        <x:v>1</x:v>
      </x:c>
      <x:c r="K983" s="6" t="n">
        <x:f>IF(G983&gt;H983,1,0)</x:f>
        <x:v>1</x:v>
      </x:c>
      <x:c r="L983" s="6" t="n">
        <x:f>J983*K983</x:f>
        <x:v>1</x:v>
      </x:c>
    </x:row>
    <x:row r="984">
      <x:c r="A984" s="1" t="n">
        <x:v>8621</x:v>
      </x:c>
      <x:c r="B984" s="5" t="d">
        <x:v>2015-05-06T00:00:00.000Z</x:v>
      </x:c>
      <x:c r="C984" s="1" t="str">
        <x:v>Second Class</x:v>
      </x:c>
      <x:c r="D984" s="1" t="str">
        <x:v>LATAM</x:v>
      </x:c>
      <x:c r="E984" s="1" t="str">
        <x:v>COMPLETE</x:v>
      </x:c>
      <x:c r="F984" s="1" t="str">
        <x:v>Shipping on time</x:v>
      </x:c>
      <x:c r="G984" s="6" t="n">
        <x:v>2</x:v>
      </x:c>
      <x:c r="H984" s="6" t="n">
        <x:v>2</x:v>
      </x:c>
      <x:c r="I984" s="6" t="n">
        <x:f>G984-H984</x:f>
        <x:v>0</x:v>
      </x:c>
      <x:c r="J984" s="6" t="n">
        <x:f>IF(OR(E984="CANCELED",E984="SUSPECTED_FRAUD",F984="Shipping canceled"),0,1)</x:f>
        <x:v>1</x:v>
      </x:c>
      <x:c r="K984" s="6" t="n">
        <x:f>IF(G984&gt;H984,1,0)</x:f>
        <x:v>0</x:v>
      </x:c>
      <x:c r="L984" s="6" t="n">
        <x:f>J984*K984</x:f>
        <x:v>0</x:v>
      </x:c>
    </x:row>
    <x:row r="985">
      <x:c r="A985" s="1" t="n">
        <x:v>8633</x:v>
      </x:c>
      <x:c r="B985" s="5" t="d">
        <x:v>2015-05-07T00:00:00.000Z</x:v>
      </x:c>
      <x:c r="C985" s="1" t="str">
        <x:v>Standard Class</x:v>
      </x:c>
      <x:c r="D985" s="1" t="str">
        <x:v>LATAM</x:v>
      </x:c>
      <x:c r="E985" s="1" t="str">
        <x:v>PENDING_PAYMENT</x:v>
      </x:c>
      <x:c r="F985" s="1" t="str">
        <x:v>Shipping on time</x:v>
      </x:c>
      <x:c r="G985" s="6" t="n">
        <x:v>4</x:v>
      </x:c>
      <x:c r="H985" s="6" t="n">
        <x:v>4</x:v>
      </x:c>
      <x:c r="I985" s="6" t="n">
        <x:f>G985-H985</x:f>
        <x:v>0</x:v>
      </x:c>
      <x:c r="J985" s="6" t="n">
        <x:f>IF(OR(E985="CANCELED",E985="SUSPECTED_FRAUD",F985="Shipping canceled"),0,1)</x:f>
        <x:v>1</x:v>
      </x:c>
      <x:c r="K985" s="6" t="n">
        <x:f>IF(G985&gt;H985,1,0)</x:f>
        <x:v>0</x:v>
      </x:c>
      <x:c r="L985" s="6" t="n">
        <x:f>J985*K985</x:f>
        <x:v>0</x:v>
      </x:c>
    </x:row>
    <x:row r="986">
      <x:c r="A986" s="1" t="n">
        <x:v>8636</x:v>
      </x:c>
      <x:c r="B986" s="5" t="d">
        <x:v>2015-05-07T00:00:00.000Z</x:v>
      </x:c>
      <x:c r="C986" s="1" t="str">
        <x:v>Standard Class</x:v>
      </x:c>
      <x:c r="D986" s="1" t="str">
        <x:v>LATAM</x:v>
      </x:c>
      <x:c r="E986" s="1" t="str">
        <x:v>PROCESSING</x:v>
      </x:c>
      <x:c r="F986" s="1" t="str">
        <x:v>Advance shipping</x:v>
      </x:c>
      <x:c r="G986" s="6" t="n">
        <x:v>2</x:v>
      </x:c>
      <x:c r="H986" s="6" t="n">
        <x:v>4</x:v>
      </x:c>
      <x:c r="I986" s="6" t="n">
        <x:f>G986-H986</x:f>
        <x:v>-2</x:v>
      </x:c>
      <x:c r="J986" s="6" t="n">
        <x:f>IF(OR(E986="CANCELED",E986="SUSPECTED_FRAUD",F986="Shipping canceled"),0,1)</x:f>
        <x:v>1</x:v>
      </x:c>
      <x:c r="K986" s="6" t="n">
        <x:f>IF(G986&gt;H986,1,0)</x:f>
        <x:v>0</x:v>
      </x:c>
      <x:c r="L986" s="6" t="n">
        <x:f>J986*K986</x:f>
        <x:v>0</x:v>
      </x:c>
    </x:row>
    <x:row r="987">
      <x:c r="A987" s="1" t="n">
        <x:v>8650</x:v>
      </x:c>
      <x:c r="B987" s="5" t="d">
        <x:v>2015-05-07T00:00:00.000Z</x:v>
      </x:c>
      <x:c r="C987" s="1" t="str">
        <x:v>Standard Class</x:v>
      </x:c>
      <x:c r="D987" s="1" t="str">
        <x:v>LATAM</x:v>
      </x:c>
      <x:c r="E987" s="1" t="str">
        <x:v>PROCESSING</x:v>
      </x:c>
      <x:c r="F987" s="1" t="str">
        <x:v>Late delivery</x:v>
      </x:c>
      <x:c r="G987" s="6" t="n">
        <x:v>6</x:v>
      </x:c>
      <x:c r="H987" s="6" t="n">
        <x:v>4</x:v>
      </x:c>
      <x:c r="I987" s="6" t="n">
        <x:f>G987-H987</x:f>
        <x:v>2</x:v>
      </x:c>
      <x:c r="J987" s="6" t="n">
        <x:f>IF(OR(E987="CANCELED",E987="SUSPECTED_FRAUD",F987="Shipping canceled"),0,1)</x:f>
        <x:v>1</x:v>
      </x:c>
      <x:c r="K987" s="6" t="n">
        <x:f>IF(G987&gt;H987,1,0)</x:f>
        <x:v>1</x:v>
      </x:c>
      <x:c r="L987" s="6" t="n">
        <x:f>J987*K987</x:f>
        <x:v>1</x:v>
      </x:c>
    </x:row>
    <x:row r="988">
      <x:c r="A988" s="1" t="n">
        <x:v>8656</x:v>
      </x:c>
      <x:c r="B988" s="5" t="d">
        <x:v>2015-05-07T00:00:00.000Z</x:v>
      </x:c>
      <x:c r="C988" s="1" t="str">
        <x:v>Standard Class</x:v>
      </x:c>
      <x:c r="D988" s="1" t="str">
        <x:v>LATAM</x:v>
      </x:c>
      <x:c r="E988" s="1" t="str">
        <x:v>COMPLETE</x:v>
      </x:c>
      <x:c r="F988" s="1" t="str">
        <x:v>Advance shipping</x:v>
      </x:c>
      <x:c r="G988" s="6" t="n">
        <x:v>2</x:v>
      </x:c>
      <x:c r="H988" s="6" t="n">
        <x:v>4</x:v>
      </x:c>
      <x:c r="I988" s="6" t="n">
        <x:f>G988-H988</x:f>
        <x:v>-2</x:v>
      </x:c>
      <x:c r="J988" s="6" t="n">
        <x:f>IF(OR(E988="CANCELED",E988="SUSPECTED_FRAUD",F988="Shipping canceled"),0,1)</x:f>
        <x:v>1</x:v>
      </x:c>
      <x:c r="K988" s="6" t="n">
        <x:f>IF(G988&gt;H988,1,0)</x:f>
        <x:v>0</x:v>
      </x:c>
      <x:c r="L988" s="6" t="n">
        <x:f>J988*K988</x:f>
        <x:v>0</x:v>
      </x:c>
    </x:row>
    <x:row r="989">
      <x:c r="A989" s="1" t="n">
        <x:v>8657</x:v>
      </x:c>
      <x:c r="B989" s="5" t="d">
        <x:v>2015-05-07T00:00:00.000Z</x:v>
      </x:c>
      <x:c r="C989" s="1" t="str">
        <x:v>First Class</x:v>
      </x:c>
      <x:c r="D989" s="1" t="str">
        <x:v>LATAM</x:v>
      </x:c>
      <x:c r="E989" s="1" t="str">
        <x:v>CLOSED</x:v>
      </x:c>
      <x:c r="F989" s="1" t="str">
        <x:v>Late delivery</x:v>
      </x:c>
      <x:c r="G989" s="6" t="n">
        <x:v>2</x:v>
      </x:c>
      <x:c r="H989" s="6" t="n">
        <x:v>1</x:v>
      </x:c>
      <x:c r="I989" s="6" t="n">
        <x:f>G989-H989</x:f>
        <x:v>1</x:v>
      </x:c>
      <x:c r="J989" s="6" t="n">
        <x:f>IF(OR(E989="CANCELED",E989="SUSPECTED_FRAUD",F989="Shipping canceled"),0,1)</x:f>
        <x:v>1</x:v>
      </x:c>
      <x:c r="K989" s="6" t="n">
        <x:f>IF(G989&gt;H989,1,0)</x:f>
        <x:v>1</x:v>
      </x:c>
      <x:c r="L989" s="6" t="n">
        <x:f>J989*K989</x:f>
        <x:v>1</x:v>
      </x:c>
    </x:row>
    <x:row r="990">
      <x:c r="A990" s="1" t="n">
        <x:v>8666</x:v>
      </x:c>
      <x:c r="B990" s="5" t="d">
        <x:v>2015-05-07T00:00:00.000Z</x:v>
      </x:c>
      <x:c r="C990" s="1" t="str">
        <x:v>First Class</x:v>
      </x:c>
      <x:c r="D990" s="1" t="str">
        <x:v>LATAM</x:v>
      </x:c>
      <x:c r="E990" s="1" t="str">
        <x:v>CLOSED</x:v>
      </x:c>
      <x:c r="F990" s="1" t="str">
        <x:v>Late delivery</x:v>
      </x:c>
      <x:c r="G990" s="6" t="n">
        <x:v>2</x:v>
      </x:c>
      <x:c r="H990" s="6" t="n">
        <x:v>1</x:v>
      </x:c>
      <x:c r="I990" s="6" t="n">
        <x:f>G990-H990</x:f>
        <x:v>1</x:v>
      </x:c>
      <x:c r="J990" s="6" t="n">
        <x:f>IF(OR(E990="CANCELED",E990="SUSPECTED_FRAUD",F990="Shipping canceled"),0,1)</x:f>
        <x:v>1</x:v>
      </x:c>
      <x:c r="K990" s="6" t="n">
        <x:f>IF(G990&gt;H990,1,0)</x:f>
        <x:v>1</x:v>
      </x:c>
      <x:c r="L990" s="6" t="n">
        <x:f>J990*K990</x:f>
        <x:v>1</x:v>
      </x:c>
    </x:row>
    <x:row r="991">
      <x:c r="A991" s="1" t="n">
        <x:v>8669</x:v>
      </x:c>
      <x:c r="B991" s="5" t="d">
        <x:v>2015-05-07T00:00:00.000Z</x:v>
      </x:c>
      <x:c r="C991" s="1" t="str">
        <x:v>Standard Class</x:v>
      </x:c>
      <x:c r="D991" s="1" t="str">
        <x:v>LATAM</x:v>
      </x:c>
      <x:c r="E991" s="1" t="str">
        <x:v>COMPLETE</x:v>
      </x:c>
      <x:c r="F991" s="1" t="str">
        <x:v>Late delivery</x:v>
      </x:c>
      <x:c r="G991" s="6" t="n">
        <x:v>5</x:v>
      </x:c>
      <x:c r="H991" s="6" t="n">
        <x:v>4</x:v>
      </x:c>
      <x:c r="I991" s="6" t="n">
        <x:f>G991-H991</x:f>
        <x:v>1</x:v>
      </x:c>
      <x:c r="J991" s="6" t="n">
        <x:f>IF(OR(E991="CANCELED",E991="SUSPECTED_FRAUD",F991="Shipping canceled"),0,1)</x:f>
        <x:v>1</x:v>
      </x:c>
      <x:c r="K991" s="6" t="n">
        <x:f>IF(G991&gt;H991,1,0)</x:f>
        <x:v>1</x:v>
      </x:c>
      <x:c r="L991" s="6" t="n">
        <x:f>J991*K991</x:f>
        <x:v>1</x:v>
      </x:c>
    </x:row>
    <x:row r="992">
      <x:c r="A992" s="1" t="n">
        <x:v>8672</x:v>
      </x:c>
      <x:c r="B992" s="5" t="d">
        <x:v>2015-05-07T00:00:00.000Z</x:v>
      </x:c>
      <x:c r="C992" s="1" t="str">
        <x:v>Standard Class</x:v>
      </x:c>
      <x:c r="D992" s="1" t="str">
        <x:v>LATAM</x:v>
      </x:c>
      <x:c r="E992" s="1" t="str">
        <x:v>COMPLETE</x:v>
      </x:c>
      <x:c r="F992" s="1" t="str">
        <x:v>Advance shipping</x:v>
      </x:c>
      <x:c r="G992" s="6" t="n">
        <x:v>3</x:v>
      </x:c>
      <x:c r="H992" s="6" t="n">
        <x:v>4</x:v>
      </x:c>
      <x:c r="I992" s="6" t="n">
        <x:f>G992-H992</x:f>
        <x:v>-1</x:v>
      </x:c>
      <x:c r="J992" s="6" t="n">
        <x:f>IF(OR(E992="CANCELED",E992="SUSPECTED_FRAUD",F992="Shipping canceled"),0,1)</x:f>
        <x:v>1</x:v>
      </x:c>
      <x:c r="K992" s="6" t="n">
        <x:f>IF(G992&gt;H992,1,0)</x:f>
        <x:v>0</x:v>
      </x:c>
      <x:c r="L992" s="6" t="n">
        <x:f>J992*K992</x:f>
        <x:v>0</x:v>
      </x:c>
    </x:row>
    <x:row r="993">
      <x:c r="A993" s="1" t="n">
        <x:v>8673</x:v>
      </x:c>
      <x:c r="B993" s="5" t="d">
        <x:v>2015-05-07T00:00:00.000Z</x:v>
      </x:c>
      <x:c r="C993" s="1" t="str">
        <x:v>Standard Class</x:v>
      </x:c>
      <x:c r="D993" s="1" t="str">
        <x:v>LATAM</x:v>
      </x:c>
      <x:c r="E993" s="1" t="str">
        <x:v>ON_HOLD</x:v>
      </x:c>
      <x:c r="F993" s="1" t="str">
        <x:v>Shipping on time</x:v>
      </x:c>
      <x:c r="G993" s="6" t="n">
        <x:v>4</x:v>
      </x:c>
      <x:c r="H993" s="6" t="n">
        <x:v>4</x:v>
      </x:c>
      <x:c r="I993" s="6" t="n">
        <x:f>G993-H993</x:f>
        <x:v>0</x:v>
      </x:c>
      <x:c r="J993" s="6" t="n">
        <x:f>IF(OR(E993="CANCELED",E993="SUSPECTED_FRAUD",F993="Shipping canceled"),0,1)</x:f>
        <x:v>1</x:v>
      </x:c>
      <x:c r="K993" s="6" t="n">
        <x:f>IF(G993&gt;H993,1,0)</x:f>
        <x:v>0</x:v>
      </x:c>
      <x:c r="L993" s="6" t="n">
        <x:f>J993*K993</x:f>
        <x:v>0</x:v>
      </x:c>
    </x:row>
    <x:row r="994">
      <x:c r="A994" s="1" t="n">
        <x:v>8675</x:v>
      </x:c>
      <x:c r="B994" s="5" t="d">
        <x:v>2015-05-07T00:00:00.000Z</x:v>
      </x:c>
      <x:c r="C994" s="1" t="str">
        <x:v>Standard Class</x:v>
      </x:c>
      <x:c r="D994" s="1" t="str">
        <x:v>LATAM</x:v>
      </x:c>
      <x:c r="E994" s="1" t="str">
        <x:v>COMPLETE</x:v>
      </x:c>
      <x:c r="F994" s="1" t="str">
        <x:v>Late delivery</x:v>
      </x:c>
      <x:c r="G994" s="6" t="n">
        <x:v>6</x:v>
      </x:c>
      <x:c r="H994" s="6" t="n">
        <x:v>4</x:v>
      </x:c>
      <x:c r="I994" s="6" t="n">
        <x:f>G994-H994</x:f>
        <x:v>2</x:v>
      </x:c>
      <x:c r="J994" s="6" t="n">
        <x:f>IF(OR(E994="CANCELED",E994="SUSPECTED_FRAUD",F994="Shipping canceled"),0,1)</x:f>
        <x:v>1</x:v>
      </x:c>
      <x:c r="K994" s="6" t="n">
        <x:f>IF(G994&gt;H994,1,0)</x:f>
        <x:v>1</x:v>
      </x:c>
      <x:c r="L994" s="6" t="n">
        <x:f>J994*K994</x:f>
        <x:v>1</x:v>
      </x:c>
    </x:row>
    <x:row r="995">
      <x:c r="A995" s="1" t="n">
        <x:v>8678</x:v>
      </x:c>
      <x:c r="B995" s="5" t="d">
        <x:v>2015-05-07T00:00:00.000Z</x:v>
      </x:c>
      <x:c r="C995" s="1" t="str">
        <x:v>Standard Class</x:v>
      </x:c>
      <x:c r="D995" s="1" t="str">
        <x:v>LATAM</x:v>
      </x:c>
      <x:c r="E995" s="1" t="str">
        <x:v>PROCESSING</x:v>
      </x:c>
      <x:c r="F995" s="1" t="str">
        <x:v>Shipping on time</x:v>
      </x:c>
      <x:c r="G995" s="6" t="n">
        <x:v>4</x:v>
      </x:c>
      <x:c r="H995" s="6" t="n">
        <x:v>4</x:v>
      </x:c>
      <x:c r="I995" s="6" t="n">
        <x:f>G995-H995</x:f>
        <x:v>0</x:v>
      </x:c>
      <x:c r="J995" s="6" t="n">
        <x:f>IF(OR(E995="CANCELED",E995="SUSPECTED_FRAUD",F995="Shipping canceled"),0,1)</x:f>
        <x:v>1</x:v>
      </x:c>
      <x:c r="K995" s="6" t="n">
        <x:f>IF(G995&gt;H995,1,0)</x:f>
        <x:v>0</x:v>
      </x:c>
      <x:c r="L995" s="6" t="n">
        <x:f>J995*K995</x:f>
        <x:v>0</x:v>
      </x:c>
    </x:row>
    <x:row r="996">
      <x:c r="A996" s="1" t="n">
        <x:v>8683</x:v>
      </x:c>
      <x:c r="B996" s="5" t="d">
        <x:v>2015-05-07T00:00:00.000Z</x:v>
      </x:c>
      <x:c r="C996" s="1" t="str">
        <x:v>Standard Class</x:v>
      </x:c>
      <x:c r="D996" s="1" t="str">
        <x:v>LATAM</x:v>
      </x:c>
      <x:c r="E996" s="1" t="str">
        <x:v>SUSPECTED_FRAUD</x:v>
      </x:c>
      <x:c r="F996" s="1" t="str">
        <x:v>Shipping canceled</x:v>
      </x:c>
      <x:c r="G996" s="6" t="n">
        <x:v>4</x:v>
      </x:c>
      <x:c r="H996" s="6" t="n">
        <x:v>4</x:v>
      </x:c>
      <x:c r="I996" s="6" t="n">
        <x:f>G996-H996</x:f>
        <x:v>0</x:v>
      </x:c>
      <x:c r="J996" s="6" t="n">
        <x:f>IF(OR(E996="CANCELED",E996="SUSPECTED_FRAUD",F996="Shipping canceled"),0,1)</x:f>
        <x:v>0</x:v>
      </x:c>
      <x:c r="K996" s="6" t="n">
        <x:f>IF(G996&gt;H996,1,0)</x:f>
        <x:v>0</x:v>
      </x:c>
      <x:c r="L996" s="6" t="n">
        <x:f>J996*K996</x:f>
        <x:v>0</x:v>
      </x:c>
    </x:row>
    <x:row r="997">
      <x:c r="A997" s="1" t="n">
        <x:v>8686</x:v>
      </x:c>
      <x:c r="B997" s="5" t="d">
        <x:v>2015-05-07T00:00:00.000Z</x:v>
      </x:c>
      <x:c r="C997" s="1" t="str">
        <x:v>Standard Class</x:v>
      </x:c>
      <x:c r="D997" s="1" t="str">
        <x:v>LATAM</x:v>
      </x:c>
      <x:c r="E997" s="1" t="str">
        <x:v>PROCESSING</x:v>
      </x:c>
      <x:c r="F997" s="1" t="str">
        <x:v>Advance shipping</x:v>
      </x:c>
      <x:c r="G997" s="6" t="n">
        <x:v>2</x:v>
      </x:c>
      <x:c r="H997" s="6" t="n">
        <x:v>4</x:v>
      </x:c>
      <x:c r="I997" s="6" t="n">
        <x:f>G997-H997</x:f>
        <x:v>-2</x:v>
      </x:c>
      <x:c r="J997" s="6" t="n">
        <x:f>IF(OR(E997="CANCELED",E997="SUSPECTED_FRAUD",F997="Shipping canceled"),0,1)</x:f>
        <x:v>1</x:v>
      </x:c>
      <x:c r="K997" s="6" t="n">
        <x:f>IF(G997&gt;H997,1,0)</x:f>
        <x:v>0</x:v>
      </x:c>
      <x:c r="L997" s="6" t="n">
        <x:f>J997*K997</x:f>
        <x:v>0</x:v>
      </x:c>
    </x:row>
    <x:row r="998">
      <x:c r="A998" s="1" t="n">
        <x:v>8701</x:v>
      </x:c>
      <x:c r="B998" s="5" t="d">
        <x:v>2015-05-07T00:00:00.000Z</x:v>
      </x:c>
      <x:c r="C998" s="1" t="str">
        <x:v>Standard Class</x:v>
      </x:c>
      <x:c r="D998" s="1" t="str">
        <x:v>LATAM</x:v>
      </x:c>
      <x:c r="E998" s="1" t="str">
        <x:v>COMPLETE</x:v>
      </x:c>
      <x:c r="F998" s="1" t="str">
        <x:v>Advance shipping</x:v>
      </x:c>
      <x:c r="G998" s="6" t="n">
        <x:v>2</x:v>
      </x:c>
      <x:c r="H998" s="6" t="n">
        <x:v>4</x:v>
      </x:c>
      <x:c r="I998" s="6" t="n">
        <x:f>G998-H998</x:f>
        <x:v>-2</x:v>
      </x:c>
      <x:c r="J998" s="6" t="n">
        <x:f>IF(OR(E998="CANCELED",E998="SUSPECTED_FRAUD",F998="Shipping canceled"),0,1)</x:f>
        <x:v>1</x:v>
      </x:c>
      <x:c r="K998" s="6" t="n">
        <x:f>IF(G998&gt;H998,1,0)</x:f>
        <x:v>0</x:v>
      </x:c>
      <x:c r="L998" s="6" t="n">
        <x:f>J998*K998</x:f>
        <x:v>0</x:v>
      </x:c>
    </x:row>
    <x:row r="999">
      <x:c r="A999" s="1" t="n">
        <x:v>8712</x:v>
      </x:c>
      <x:c r="B999" s="5" t="d">
        <x:v>2015-05-08T00:00:00.000Z</x:v>
      </x:c>
      <x:c r="C999" s="1" t="str">
        <x:v>Standard Class</x:v>
      </x:c>
      <x:c r="D999" s="1" t="str">
        <x:v>LATAM</x:v>
      </x:c>
      <x:c r="E999" s="1" t="str">
        <x:v>PENDING</x:v>
      </x:c>
      <x:c r="F999" s="1" t="str">
        <x:v>Advance shipping</x:v>
      </x:c>
      <x:c r="G999" s="6" t="n">
        <x:v>3</x:v>
      </x:c>
      <x:c r="H999" s="6" t="n">
        <x:v>4</x:v>
      </x:c>
      <x:c r="I999" s="6" t="n">
        <x:f>G999-H999</x:f>
        <x:v>-1</x:v>
      </x:c>
      <x:c r="J999" s="6" t="n">
        <x:f>IF(OR(E999="CANCELED",E999="SUSPECTED_FRAUD",F999="Shipping canceled"),0,1)</x:f>
        <x:v>1</x:v>
      </x:c>
      <x:c r="K999" s="6" t="n">
        <x:f>IF(G999&gt;H999,1,0)</x:f>
        <x:v>0</x:v>
      </x:c>
      <x:c r="L999" s="6" t="n">
        <x:f>J999*K999</x:f>
        <x:v>0</x:v>
      </x:c>
    </x:row>
    <x:row r="1000">
      <x:c r="A1000" s="1" t="n">
        <x:v>8722</x:v>
      </x:c>
      <x:c r="B1000" s="5" t="d">
        <x:v>2015-05-08T00:00:00.000Z</x:v>
      </x:c>
      <x:c r="C1000" s="1" t="str">
        <x:v>Standard Class</x:v>
      </x:c>
      <x:c r="D1000" s="1" t="str">
        <x:v>LATAM</x:v>
      </x:c>
      <x:c r="E1000" s="1" t="str">
        <x:v>PENDING</x:v>
      </x:c>
      <x:c r="F1000" s="1" t="str">
        <x:v>Advance shipping</x:v>
      </x:c>
      <x:c r="G1000" s="6" t="n">
        <x:v>3</x:v>
      </x:c>
      <x:c r="H1000" s="6" t="n">
        <x:v>4</x:v>
      </x:c>
      <x:c r="I1000" s="6" t="n">
        <x:f>G1000-H1000</x:f>
        <x:v>-1</x:v>
      </x:c>
      <x:c r="J1000" s="6" t="n">
        <x:f>IF(OR(E1000="CANCELED",E1000="SUSPECTED_FRAUD",F1000="Shipping canceled"),0,1)</x:f>
        <x:v>1</x:v>
      </x:c>
      <x:c r="K1000" s="6" t="n">
        <x:f>IF(G1000&gt;H1000,1,0)</x:f>
        <x:v>0</x:v>
      </x:c>
      <x:c r="L1000" s="6" t="n">
        <x:f>J1000*K1000</x:f>
        <x:v>0</x:v>
      </x:c>
    </x:row>
    <x:row r="1001">
      <x:c r="A1001" s="1" t="n">
        <x:v>8725</x:v>
      </x:c>
      <x:c r="B1001" s="5" t="d">
        <x:v>2015-05-08T00:00:00.000Z</x:v>
      </x:c>
      <x:c r="C1001" s="1" t="str">
        <x:v>Standard Class</x:v>
      </x:c>
      <x:c r="D1001" s="1" t="str">
        <x:v>LATAM</x:v>
      </x:c>
      <x:c r="E1001" s="1" t="str">
        <x:v>COMPLETE</x:v>
      </x:c>
      <x:c r="F1001" s="1" t="str">
        <x:v>Late delivery</x:v>
      </x:c>
      <x:c r="G1001" s="6" t="n">
        <x:v>6</x:v>
      </x:c>
      <x:c r="H1001" s="6" t="n">
        <x:v>4</x:v>
      </x:c>
      <x:c r="I1001" s="6" t="n">
        <x:f>G1001-H1001</x:f>
        <x:v>2</x:v>
      </x:c>
      <x:c r="J1001" s="6" t="n">
        <x:f>IF(OR(E1001="CANCELED",E1001="SUSPECTED_FRAUD",F1001="Shipping canceled"),0,1)</x:f>
        <x:v>1</x:v>
      </x:c>
      <x:c r="K1001" s="6" t="n">
        <x:f>IF(G1001&gt;H1001,1,0)</x:f>
        <x:v>1</x:v>
      </x:c>
      <x:c r="L1001" s="6" t="n">
        <x:f>J1001*K1001</x:f>
        <x:v>1</x:v>
      </x:c>
    </x:row>
    <x:row r="1002">
      <x:c r="A1002" s="1" t="n">
        <x:v>8727</x:v>
      </x:c>
      <x:c r="B1002" s="5" t="d">
        <x:v>2015-05-08T00:00:00.000Z</x:v>
      </x:c>
      <x:c r="C1002" s="1" t="str">
        <x:v>Standard Class</x:v>
      </x:c>
      <x:c r="D1002" s="1" t="str">
        <x:v>LATAM</x:v>
      </x:c>
      <x:c r="E1002" s="1" t="str">
        <x:v>COMPLETE</x:v>
      </x:c>
      <x:c r="F1002" s="1" t="str">
        <x:v>Advance shipping</x:v>
      </x:c>
      <x:c r="G1002" s="6" t="n">
        <x:v>3</x:v>
      </x:c>
      <x:c r="H1002" s="6" t="n">
        <x:v>4</x:v>
      </x:c>
      <x:c r="I1002" s="6" t="n">
        <x:f>G1002-H1002</x:f>
        <x:v>-1</x:v>
      </x:c>
      <x:c r="J1002" s="6" t="n">
        <x:f>IF(OR(E1002="CANCELED",E1002="SUSPECTED_FRAUD",F1002="Shipping canceled"),0,1)</x:f>
        <x:v>1</x:v>
      </x:c>
      <x:c r="K1002" s="6" t="n">
        <x:f>IF(G1002&gt;H1002,1,0)</x:f>
        <x:v>0</x:v>
      </x:c>
      <x:c r="L1002" s="6" t="n">
        <x:f>J1002*K1002</x:f>
        <x:v>0</x:v>
      </x:c>
    </x:row>
    <x:row r="1003">
      <x:c r="A1003" s="1" t="n">
        <x:v>8728</x:v>
      </x:c>
      <x:c r="B1003" s="5" t="d">
        <x:v>2015-05-08T00:00:00.000Z</x:v>
      </x:c>
      <x:c r="C1003" s="1" t="str">
        <x:v>Standard Class</x:v>
      </x:c>
      <x:c r="D1003" s="1" t="str">
        <x:v>LATAM</x:v>
      </x:c>
      <x:c r="E1003" s="1" t="str">
        <x:v>PROCESSING</x:v>
      </x:c>
      <x:c r="F1003" s="1" t="str">
        <x:v>Shipping on time</x:v>
      </x:c>
      <x:c r="G1003" s="6" t="n">
        <x:v>4</x:v>
      </x:c>
      <x:c r="H1003" s="6" t="n">
        <x:v>4</x:v>
      </x:c>
      <x:c r="I1003" s="6" t="n">
        <x:f>G1003-H1003</x:f>
        <x:v>0</x:v>
      </x:c>
      <x:c r="J1003" s="6" t="n">
        <x:f>IF(OR(E1003="CANCELED",E1003="SUSPECTED_FRAUD",F1003="Shipping canceled"),0,1)</x:f>
        <x:v>1</x:v>
      </x:c>
      <x:c r="K1003" s="6" t="n">
        <x:f>IF(G1003&gt;H1003,1,0)</x:f>
        <x:v>0</x:v>
      </x:c>
      <x:c r="L1003" s="6" t="n">
        <x:f>J1003*K1003</x:f>
        <x:v>0</x:v>
      </x:c>
    </x:row>
    <x:row r="1004">
      <x:c r="A1004" s="1" t="n">
        <x:v>8735</x:v>
      </x:c>
      <x:c r="B1004" s="5" t="d">
        <x:v>2015-05-08T00:00:00.000Z</x:v>
      </x:c>
      <x:c r="C1004" s="1" t="str">
        <x:v>Standard Class</x:v>
      </x:c>
      <x:c r="D1004" s="1" t="str">
        <x:v>LATAM</x:v>
      </x:c>
      <x:c r="E1004" s="1" t="str">
        <x:v>PENDING</x:v>
      </x:c>
      <x:c r="F1004" s="1" t="str">
        <x:v>Late delivery</x:v>
      </x:c>
      <x:c r="G1004" s="6" t="n">
        <x:v>6</x:v>
      </x:c>
      <x:c r="H1004" s="6" t="n">
        <x:v>4</x:v>
      </x:c>
      <x:c r="I1004" s="6" t="n">
        <x:f>G1004-H1004</x:f>
        <x:v>2</x:v>
      </x:c>
      <x:c r="J1004" s="6" t="n">
        <x:f>IF(OR(E1004="CANCELED",E1004="SUSPECTED_FRAUD",F1004="Shipping canceled"),0,1)</x:f>
        <x:v>1</x:v>
      </x:c>
      <x:c r="K1004" s="6" t="n">
        <x:f>IF(G1004&gt;H1004,1,0)</x:f>
        <x:v>1</x:v>
      </x:c>
      <x:c r="L1004" s="6" t="n">
        <x:f>J1004*K1004</x:f>
        <x:v>1</x:v>
      </x:c>
    </x:row>
    <x:row r="1005">
      <x:c r="A1005" s="1" t="n">
        <x:v>8752</x:v>
      </x:c>
      <x:c r="B1005" s="5" t="d">
        <x:v>2015-05-08T00:00:00.000Z</x:v>
      </x:c>
      <x:c r="C1005" s="1" t="str">
        <x:v>Standard Class</x:v>
      </x:c>
      <x:c r="D1005" s="1" t="str">
        <x:v>LATAM</x:v>
      </x:c>
      <x:c r="E1005" s="1" t="str">
        <x:v>PENDING</x:v>
      </x:c>
      <x:c r="F1005" s="1" t="str">
        <x:v>Advance shipping</x:v>
      </x:c>
      <x:c r="G1005" s="6" t="n">
        <x:v>3</x:v>
      </x:c>
      <x:c r="H1005" s="6" t="n">
        <x:v>4</x:v>
      </x:c>
      <x:c r="I1005" s="6" t="n">
        <x:f>G1005-H1005</x:f>
        <x:v>-1</x:v>
      </x:c>
      <x:c r="J1005" s="6" t="n">
        <x:f>IF(OR(E1005="CANCELED",E1005="SUSPECTED_FRAUD",F1005="Shipping canceled"),0,1)</x:f>
        <x:v>1</x:v>
      </x:c>
      <x:c r="K1005" s="6" t="n">
        <x:f>IF(G1005&gt;H1005,1,0)</x:f>
        <x:v>0</x:v>
      </x:c>
      <x:c r="L1005" s="6" t="n">
        <x:f>J1005*K1005</x:f>
        <x:v>0</x:v>
      </x:c>
    </x:row>
    <x:row r="1006">
      <x:c r="A1006" s="1" t="n">
        <x:v>8754</x:v>
      </x:c>
      <x:c r="B1006" s="5" t="d">
        <x:v>2015-05-08T00:00:00.000Z</x:v>
      </x:c>
      <x:c r="C1006" s="1" t="str">
        <x:v>Second Class</x:v>
      </x:c>
      <x:c r="D1006" s="1" t="str">
        <x:v>LATAM</x:v>
      </x:c>
      <x:c r="E1006" s="1" t="str">
        <x:v>COMPLETE</x:v>
      </x:c>
      <x:c r="F1006" s="1" t="str">
        <x:v>Late delivery</x:v>
      </x:c>
      <x:c r="G1006" s="6" t="n">
        <x:v>5</x:v>
      </x:c>
      <x:c r="H1006" s="6" t="n">
        <x:v>2</x:v>
      </x:c>
      <x:c r="I1006" s="6" t="n">
        <x:f>G1006-H1006</x:f>
        <x:v>3</x:v>
      </x:c>
      <x:c r="J1006" s="6" t="n">
        <x:f>IF(OR(E1006="CANCELED",E1006="SUSPECTED_FRAUD",F1006="Shipping canceled"),0,1)</x:f>
        <x:v>1</x:v>
      </x:c>
      <x:c r="K1006" s="6" t="n">
        <x:f>IF(G1006&gt;H1006,1,0)</x:f>
        <x:v>1</x:v>
      </x:c>
      <x:c r="L1006" s="6" t="n">
        <x:f>J1006*K1006</x:f>
        <x:v>1</x:v>
      </x:c>
    </x:row>
    <x:row r="1007">
      <x:c r="A1007" s="1" t="n">
        <x:v>8758</x:v>
      </x:c>
      <x:c r="B1007" s="5" t="d">
        <x:v>2015-05-08T00:00:00.000Z</x:v>
      </x:c>
      <x:c r="C1007" s="1" t="str">
        <x:v>Standard Class</x:v>
      </x:c>
      <x:c r="D1007" s="1" t="str">
        <x:v>LATAM</x:v>
      </x:c>
      <x:c r="E1007" s="1" t="str">
        <x:v>PROCESSING</x:v>
      </x:c>
      <x:c r="F1007" s="1" t="str">
        <x:v>Shipping on time</x:v>
      </x:c>
      <x:c r="G1007" s="6" t="n">
        <x:v>4</x:v>
      </x:c>
      <x:c r="H1007" s="6" t="n">
        <x:v>4</x:v>
      </x:c>
      <x:c r="I1007" s="6" t="n">
        <x:f>G1007-H1007</x:f>
        <x:v>0</x:v>
      </x:c>
      <x:c r="J1007" s="6" t="n">
        <x:f>IF(OR(E1007="CANCELED",E1007="SUSPECTED_FRAUD",F1007="Shipping canceled"),0,1)</x:f>
        <x:v>1</x:v>
      </x:c>
      <x:c r="K1007" s="6" t="n">
        <x:f>IF(G1007&gt;H1007,1,0)</x:f>
        <x:v>0</x:v>
      </x:c>
      <x:c r="L1007" s="6" t="n">
        <x:f>J1007*K1007</x:f>
        <x:v>0</x:v>
      </x:c>
    </x:row>
    <x:row r="1008">
      <x:c r="A1008" s="1" t="n">
        <x:v>8788</x:v>
      </x:c>
      <x:c r="B1008" s="5" t="d">
        <x:v>2015-05-09T00:00:00.000Z</x:v>
      </x:c>
      <x:c r="C1008" s="1" t="str">
        <x:v>First Class</x:v>
      </x:c>
      <x:c r="D1008" s="1" t="str">
        <x:v>LATAM</x:v>
      </x:c>
      <x:c r="E1008" s="1" t="str">
        <x:v>CLOSED</x:v>
      </x:c>
      <x:c r="F1008" s="1" t="str">
        <x:v>Late delivery</x:v>
      </x:c>
      <x:c r="G1008" s="6" t="n">
        <x:v>2</x:v>
      </x:c>
      <x:c r="H1008" s="6" t="n">
        <x:v>1</x:v>
      </x:c>
      <x:c r="I1008" s="6" t="n">
        <x:f>G1008-H1008</x:f>
        <x:v>1</x:v>
      </x:c>
      <x:c r="J1008" s="6" t="n">
        <x:f>IF(OR(E1008="CANCELED",E1008="SUSPECTED_FRAUD",F1008="Shipping canceled"),0,1)</x:f>
        <x:v>1</x:v>
      </x:c>
      <x:c r="K1008" s="6" t="n">
        <x:f>IF(G1008&gt;H1008,1,0)</x:f>
        <x:v>1</x:v>
      </x:c>
      <x:c r="L1008" s="6" t="n">
        <x:f>J1008*K1008</x:f>
        <x:v>1</x:v>
      </x:c>
    </x:row>
    <x:row r="1009">
      <x:c r="A1009" s="1" t="n">
        <x:v>8800</x:v>
      </x:c>
      <x:c r="B1009" s="5" t="d">
        <x:v>2015-05-09T00:00:00.000Z</x:v>
      </x:c>
      <x:c r="C1009" s="1" t="str">
        <x:v>Second Class</x:v>
      </x:c>
      <x:c r="D1009" s="1" t="str">
        <x:v>LATAM</x:v>
      </x:c>
      <x:c r="E1009" s="1" t="str">
        <x:v>COMPLETE</x:v>
      </x:c>
      <x:c r="F1009" s="1" t="str">
        <x:v>Late delivery</x:v>
      </x:c>
      <x:c r="G1009" s="6" t="n">
        <x:v>6</x:v>
      </x:c>
      <x:c r="H1009" s="6" t="n">
        <x:v>2</x:v>
      </x:c>
      <x:c r="I1009" s="6" t="n">
        <x:f>G1009-H1009</x:f>
        <x:v>4</x:v>
      </x:c>
      <x:c r="J1009" s="6" t="n">
        <x:f>IF(OR(E1009="CANCELED",E1009="SUSPECTED_FRAUD",F1009="Shipping canceled"),0,1)</x:f>
        <x:v>1</x:v>
      </x:c>
      <x:c r="K1009" s="6" t="n">
        <x:f>IF(G1009&gt;H1009,1,0)</x:f>
        <x:v>1</x:v>
      </x:c>
      <x:c r="L1009" s="6" t="n">
        <x:f>J1009*K1009</x:f>
        <x:v>1</x:v>
      </x:c>
    </x:row>
    <x:row r="1010">
      <x:c r="A1010" s="1" t="n">
        <x:v>8801</x:v>
      </x:c>
      <x:c r="B1010" s="5" t="d">
        <x:v>2015-05-09T00:00:00.000Z</x:v>
      </x:c>
      <x:c r="C1010" s="1" t="str">
        <x:v>Standard Class</x:v>
      </x:c>
      <x:c r="D1010" s="1" t="str">
        <x:v>LATAM</x:v>
      </x:c>
      <x:c r="E1010" s="1" t="str">
        <x:v>COMPLETE</x:v>
      </x:c>
      <x:c r="F1010" s="1" t="str">
        <x:v>Advance shipping</x:v>
      </x:c>
      <x:c r="G1010" s="6" t="n">
        <x:v>2</x:v>
      </x:c>
      <x:c r="H1010" s="6" t="n">
        <x:v>4</x:v>
      </x:c>
      <x:c r="I1010" s="6" t="n">
        <x:f>G1010-H1010</x:f>
        <x:v>-2</x:v>
      </x:c>
      <x:c r="J1010" s="6" t="n">
        <x:f>IF(OR(E1010="CANCELED",E1010="SUSPECTED_FRAUD",F1010="Shipping canceled"),0,1)</x:f>
        <x:v>1</x:v>
      </x:c>
      <x:c r="K1010" s="6" t="n">
        <x:f>IF(G1010&gt;H1010,1,0)</x:f>
        <x:v>0</x:v>
      </x:c>
      <x:c r="L1010" s="6" t="n">
        <x:f>J1010*K1010</x:f>
        <x:v>0</x:v>
      </x:c>
    </x:row>
    <x:row r="1011">
      <x:c r="A1011" s="1" t="n">
        <x:v>8816</x:v>
      </x:c>
      <x:c r="B1011" s="5" t="d">
        <x:v>2015-05-09T00:00:00.000Z</x:v>
      </x:c>
      <x:c r="C1011" s="1" t="str">
        <x:v>Standard Class</x:v>
      </x:c>
      <x:c r="D1011" s="1" t="str">
        <x:v>LATAM</x:v>
      </x:c>
      <x:c r="E1011" s="1" t="str">
        <x:v>COMPLETE</x:v>
      </x:c>
      <x:c r="F1011" s="1" t="str">
        <x:v>Advance shipping</x:v>
      </x:c>
      <x:c r="G1011" s="6" t="n">
        <x:v>2</x:v>
      </x:c>
      <x:c r="H1011" s="6" t="n">
        <x:v>4</x:v>
      </x:c>
      <x:c r="I1011" s="6" t="n">
        <x:f>G1011-H1011</x:f>
        <x:v>-2</x:v>
      </x:c>
      <x:c r="J1011" s="6" t="n">
        <x:f>IF(OR(E1011="CANCELED",E1011="SUSPECTED_FRAUD",F1011="Shipping canceled"),0,1)</x:f>
        <x:v>1</x:v>
      </x:c>
      <x:c r="K1011" s="6" t="n">
        <x:f>IF(G1011&gt;H1011,1,0)</x:f>
        <x:v>0</x:v>
      </x:c>
      <x:c r="L1011" s="6" t="n">
        <x:f>J1011*K1011</x:f>
        <x:v>0</x:v>
      </x:c>
    </x:row>
    <x:row r="1012">
      <x:c r="A1012" s="1" t="n">
        <x:v>8823</x:v>
      </x:c>
      <x:c r="B1012" s="5" t="d">
        <x:v>2015-05-09T00:00:00.000Z</x:v>
      </x:c>
      <x:c r="C1012" s="1" t="str">
        <x:v>Standard Class</x:v>
      </x:c>
      <x:c r="D1012" s="1" t="str">
        <x:v>LATAM</x:v>
      </x:c>
      <x:c r="E1012" s="1" t="str">
        <x:v>COMPLETE</x:v>
      </x:c>
      <x:c r="F1012" s="1" t="str">
        <x:v>Shipping on time</x:v>
      </x:c>
      <x:c r="G1012" s="6" t="n">
        <x:v>4</x:v>
      </x:c>
      <x:c r="H1012" s="6" t="n">
        <x:v>4</x:v>
      </x:c>
      <x:c r="I1012" s="6" t="n">
        <x:f>G1012-H1012</x:f>
        <x:v>0</x:v>
      </x:c>
      <x:c r="J1012" s="6" t="n">
        <x:f>IF(OR(E1012="CANCELED",E1012="SUSPECTED_FRAUD",F1012="Shipping canceled"),0,1)</x:f>
        <x:v>1</x:v>
      </x:c>
      <x:c r="K1012" s="6" t="n">
        <x:f>IF(G1012&gt;H1012,1,0)</x:f>
        <x:v>0</x:v>
      </x:c>
      <x:c r="L1012" s="6" t="n">
        <x:f>J1012*K1012</x:f>
        <x:v>0</x:v>
      </x:c>
    </x:row>
    <x:row r="1013">
      <x:c r="A1013" s="1" t="n">
        <x:v>8826</x:v>
      </x:c>
      <x:c r="B1013" s="5" t="d">
        <x:v>2015-05-09T00:00:00.000Z</x:v>
      </x:c>
      <x:c r="C1013" s="1" t="str">
        <x:v>Standard Class</x:v>
      </x:c>
      <x:c r="D1013" s="1" t="str">
        <x:v>LATAM</x:v>
      </x:c>
      <x:c r="E1013" s="1" t="str">
        <x:v>PENDING_PAYMENT</x:v>
      </x:c>
      <x:c r="F1013" s="1" t="str">
        <x:v>Advance shipping</x:v>
      </x:c>
      <x:c r="G1013" s="6" t="n">
        <x:v>2</x:v>
      </x:c>
      <x:c r="H1013" s="6" t="n">
        <x:v>4</x:v>
      </x:c>
      <x:c r="I1013" s="6" t="n">
        <x:f>G1013-H1013</x:f>
        <x:v>-2</x:v>
      </x:c>
      <x:c r="J1013" s="6" t="n">
        <x:f>IF(OR(E1013="CANCELED",E1013="SUSPECTED_FRAUD",F1013="Shipping canceled"),0,1)</x:f>
        <x:v>1</x:v>
      </x:c>
      <x:c r="K1013" s="6" t="n">
        <x:f>IF(G1013&gt;H1013,1,0)</x:f>
        <x:v>0</x:v>
      </x:c>
      <x:c r="L1013" s="6" t="n">
        <x:f>J1013*K1013</x:f>
        <x:v>0</x:v>
      </x:c>
    </x:row>
    <x:row r="1014">
      <x:c r="A1014" s="1" t="n">
        <x:v>8827</x:v>
      </x:c>
      <x:c r="B1014" s="5" t="d">
        <x:v>2015-05-09T00:00:00.000Z</x:v>
      </x:c>
      <x:c r="C1014" s="1" t="str">
        <x:v>Standard Class</x:v>
      </x:c>
      <x:c r="D1014" s="1" t="str">
        <x:v>LATAM</x:v>
      </x:c>
      <x:c r="E1014" s="1" t="str">
        <x:v>COMPLETE</x:v>
      </x:c>
      <x:c r="F1014" s="1" t="str">
        <x:v>Advance shipping</x:v>
      </x:c>
      <x:c r="G1014" s="6" t="n">
        <x:v>3</x:v>
      </x:c>
      <x:c r="H1014" s="6" t="n">
        <x:v>4</x:v>
      </x:c>
      <x:c r="I1014" s="6" t="n">
        <x:f>G1014-H1014</x:f>
        <x:v>-1</x:v>
      </x:c>
      <x:c r="J1014" s="6" t="n">
        <x:f>IF(OR(E1014="CANCELED",E1014="SUSPECTED_FRAUD",F1014="Shipping canceled"),0,1)</x:f>
        <x:v>1</x:v>
      </x:c>
      <x:c r="K1014" s="6" t="n">
        <x:f>IF(G1014&gt;H1014,1,0)</x:f>
        <x:v>0</x:v>
      </x:c>
      <x:c r="L1014" s="6" t="n">
        <x:f>J1014*K1014</x:f>
        <x:v>0</x:v>
      </x:c>
    </x:row>
    <x:row r="1015">
      <x:c r="A1015" s="1" t="n">
        <x:v>8833</x:v>
      </x:c>
      <x:c r="B1015" s="5" t="d">
        <x:v>2015-05-09T00:00:00.000Z</x:v>
      </x:c>
      <x:c r="C1015" s="1" t="str">
        <x:v>Standard Class</x:v>
      </x:c>
      <x:c r="D1015" s="1" t="str">
        <x:v>LATAM</x:v>
      </x:c>
      <x:c r="E1015" s="1" t="str">
        <x:v>PENDING_PAYMENT</x:v>
      </x:c>
      <x:c r="F1015" s="1" t="str">
        <x:v>Shipping on time</x:v>
      </x:c>
      <x:c r="G1015" s="6" t="n">
        <x:v>4</x:v>
      </x:c>
      <x:c r="H1015" s="6" t="n">
        <x:v>4</x:v>
      </x:c>
      <x:c r="I1015" s="6" t="n">
        <x:f>G1015-H1015</x:f>
        <x:v>0</x:v>
      </x:c>
      <x:c r="J1015" s="6" t="n">
        <x:f>IF(OR(E1015="CANCELED",E1015="SUSPECTED_FRAUD",F1015="Shipping canceled"),0,1)</x:f>
        <x:v>1</x:v>
      </x:c>
      <x:c r="K1015" s="6" t="n">
        <x:f>IF(G1015&gt;H1015,1,0)</x:f>
        <x:v>0</x:v>
      </x:c>
      <x:c r="L1015" s="6" t="n">
        <x:f>J1015*K1015</x:f>
        <x:v>0</x:v>
      </x:c>
    </x:row>
    <x:row r="1016">
      <x:c r="A1016" s="1" t="n">
        <x:v>8844</x:v>
      </x:c>
      <x:c r="B1016" s="5" t="d">
        <x:v>2015-05-10T00:00:00.000Z</x:v>
      </x:c>
      <x:c r="C1016" s="1" t="str">
        <x:v>Standard Class</x:v>
      </x:c>
      <x:c r="D1016" s="1" t="str">
        <x:v>LATAM</x:v>
      </x:c>
      <x:c r="E1016" s="1" t="str">
        <x:v>COMPLETE</x:v>
      </x:c>
      <x:c r="F1016" s="1" t="str">
        <x:v>Late delivery</x:v>
      </x:c>
      <x:c r="G1016" s="6" t="n">
        <x:v>5</x:v>
      </x:c>
      <x:c r="H1016" s="6" t="n">
        <x:v>4</x:v>
      </x:c>
      <x:c r="I1016" s="6" t="n">
        <x:f>G1016-H1016</x:f>
        <x:v>1</x:v>
      </x:c>
      <x:c r="J1016" s="6" t="n">
        <x:f>IF(OR(E1016="CANCELED",E1016="SUSPECTED_FRAUD",F1016="Shipping canceled"),0,1)</x:f>
        <x:v>1</x:v>
      </x:c>
      <x:c r="K1016" s="6" t="n">
        <x:f>IF(G1016&gt;H1016,1,0)</x:f>
        <x:v>1</x:v>
      </x:c>
      <x:c r="L1016" s="6" t="n">
        <x:f>J1016*K1016</x:f>
        <x:v>1</x:v>
      </x:c>
    </x:row>
    <x:row r="1017">
      <x:c r="A1017" s="1" t="n">
        <x:v>8847</x:v>
      </x:c>
      <x:c r="B1017" s="5" t="d">
        <x:v>2015-05-10T00:00:00.000Z</x:v>
      </x:c>
      <x:c r="C1017" s="1" t="str">
        <x:v>Standard Class</x:v>
      </x:c>
      <x:c r="D1017" s="1" t="str">
        <x:v>LATAM</x:v>
      </x:c>
      <x:c r="E1017" s="1" t="str">
        <x:v>PROCESSING</x:v>
      </x:c>
      <x:c r="F1017" s="1" t="str">
        <x:v>Advance shipping</x:v>
      </x:c>
      <x:c r="G1017" s="6" t="n">
        <x:v>3</x:v>
      </x:c>
      <x:c r="H1017" s="6" t="n">
        <x:v>4</x:v>
      </x:c>
      <x:c r="I1017" s="6" t="n">
        <x:f>G1017-H1017</x:f>
        <x:v>-1</x:v>
      </x:c>
      <x:c r="J1017" s="6" t="n">
        <x:f>IF(OR(E1017="CANCELED",E1017="SUSPECTED_FRAUD",F1017="Shipping canceled"),0,1)</x:f>
        <x:v>1</x:v>
      </x:c>
      <x:c r="K1017" s="6" t="n">
        <x:f>IF(G1017&gt;H1017,1,0)</x:f>
        <x:v>0</x:v>
      </x:c>
      <x:c r="L1017" s="6" t="n">
        <x:f>J1017*K1017</x:f>
        <x:v>0</x:v>
      </x:c>
    </x:row>
    <x:row r="1018">
      <x:c r="A1018" s="1" t="n">
        <x:v>8866</x:v>
      </x:c>
      <x:c r="B1018" s="5" t="d">
        <x:v>2015-05-10T00:00:00.000Z</x:v>
      </x:c>
      <x:c r="C1018" s="1" t="str">
        <x:v>Standard Class</x:v>
      </x:c>
      <x:c r="D1018" s="1" t="str">
        <x:v>LATAM</x:v>
      </x:c>
      <x:c r="E1018" s="1" t="str">
        <x:v>PENDING_PAYMENT</x:v>
      </x:c>
      <x:c r="F1018" s="1" t="str">
        <x:v>Advance shipping</x:v>
      </x:c>
      <x:c r="G1018" s="6" t="n">
        <x:v>2</x:v>
      </x:c>
      <x:c r="H1018" s="6" t="n">
        <x:v>4</x:v>
      </x:c>
      <x:c r="I1018" s="6" t="n">
        <x:f>G1018-H1018</x:f>
        <x:v>-2</x:v>
      </x:c>
      <x:c r="J1018" s="6" t="n">
        <x:f>IF(OR(E1018="CANCELED",E1018="SUSPECTED_FRAUD",F1018="Shipping canceled"),0,1)</x:f>
        <x:v>1</x:v>
      </x:c>
      <x:c r="K1018" s="6" t="n">
        <x:f>IF(G1018&gt;H1018,1,0)</x:f>
        <x:v>0</x:v>
      </x:c>
      <x:c r="L1018" s="6" t="n">
        <x:f>J1018*K1018</x:f>
        <x:v>0</x:v>
      </x:c>
    </x:row>
    <x:row r="1019">
      <x:c r="A1019" s="1" t="n">
        <x:v>8870</x:v>
      </x:c>
      <x:c r="B1019" s="5" t="d">
        <x:v>2015-05-10T00:00:00.000Z</x:v>
      </x:c>
      <x:c r="C1019" s="1" t="str">
        <x:v>Same Day</x:v>
      </x:c>
      <x:c r="D1019" s="1" t="str">
        <x:v>LATAM</x:v>
      </x:c>
      <x:c r="E1019" s="1" t="str">
        <x:v>COMPLETE</x:v>
      </x:c>
      <x:c r="F1019" s="1" t="str">
        <x:v>Shipping on time</x:v>
      </x:c>
      <x:c r="G1019" s="6" t="n">
        <x:v>0</x:v>
      </x:c>
      <x:c r="H1019" s="6" t="n">
        <x:v>0</x:v>
      </x:c>
      <x:c r="I1019" s="6" t="n">
        <x:f>G1019-H1019</x:f>
        <x:v>0</x:v>
      </x:c>
      <x:c r="J1019" s="6" t="n">
        <x:f>IF(OR(E1019="CANCELED",E1019="SUSPECTED_FRAUD",F1019="Shipping canceled"),0,1)</x:f>
        <x:v>1</x:v>
      </x:c>
      <x:c r="K1019" s="6" t="n">
        <x:f>IF(G1019&gt;H1019,1,0)</x:f>
        <x:v>0</x:v>
      </x:c>
      <x:c r="L1019" s="6" t="n">
        <x:f>J1019*K1019</x:f>
        <x:v>0</x:v>
      </x:c>
    </x:row>
    <x:row r="1020">
      <x:c r="A1020" s="1" t="n">
        <x:v>8894</x:v>
      </x:c>
      <x:c r="B1020" s="5" t="d">
        <x:v>2015-05-10T00:00:00.000Z</x:v>
      </x:c>
      <x:c r="C1020" s="1" t="str">
        <x:v>Standard Class</x:v>
      </x:c>
      <x:c r="D1020" s="1" t="str">
        <x:v>LATAM</x:v>
      </x:c>
      <x:c r="E1020" s="1" t="str">
        <x:v>CLOSED</x:v>
      </x:c>
      <x:c r="F1020" s="1" t="str">
        <x:v>Late delivery</x:v>
      </x:c>
      <x:c r="G1020" s="6" t="n">
        <x:v>5</x:v>
      </x:c>
      <x:c r="H1020" s="6" t="n">
        <x:v>4</x:v>
      </x:c>
      <x:c r="I1020" s="6" t="n">
        <x:f>G1020-H1020</x:f>
        <x:v>1</x:v>
      </x:c>
      <x:c r="J1020" s="6" t="n">
        <x:f>IF(OR(E1020="CANCELED",E1020="SUSPECTED_FRAUD",F1020="Shipping canceled"),0,1)</x:f>
        <x:v>1</x:v>
      </x:c>
      <x:c r="K1020" s="6" t="n">
        <x:f>IF(G1020&gt;H1020,1,0)</x:f>
        <x:v>1</x:v>
      </x:c>
      <x:c r="L1020" s="6" t="n">
        <x:f>J1020*K1020</x:f>
        <x:v>1</x:v>
      </x:c>
    </x:row>
    <x:row r="1021">
      <x:c r="A1021" s="1" t="n">
        <x:v>8898</x:v>
      </x:c>
      <x:c r="B1021" s="5" t="d">
        <x:v>2015-05-10T00:00:00.000Z</x:v>
      </x:c>
      <x:c r="C1021" s="1" t="str">
        <x:v>Second Class</x:v>
      </x:c>
      <x:c r="D1021" s="1" t="str">
        <x:v>LATAM</x:v>
      </x:c>
      <x:c r="E1021" s="1" t="str">
        <x:v>COMPLETE</x:v>
      </x:c>
      <x:c r="F1021" s="1" t="str">
        <x:v>Late delivery</x:v>
      </x:c>
      <x:c r="G1021" s="6" t="n">
        <x:v>4</x:v>
      </x:c>
      <x:c r="H1021" s="6" t="n">
        <x:v>2</x:v>
      </x:c>
      <x:c r="I1021" s="6" t="n">
        <x:f>G1021-H1021</x:f>
        <x:v>2</x:v>
      </x:c>
      <x:c r="J1021" s="6" t="n">
        <x:f>IF(OR(E1021="CANCELED",E1021="SUSPECTED_FRAUD",F1021="Shipping canceled"),0,1)</x:f>
        <x:v>1</x:v>
      </x:c>
      <x:c r="K1021" s="6" t="n">
        <x:f>IF(G1021&gt;H1021,1,0)</x:f>
        <x:v>1</x:v>
      </x:c>
      <x:c r="L1021" s="6" t="n">
        <x:f>J1021*K1021</x:f>
        <x:v>1</x:v>
      </x:c>
    </x:row>
    <x:row r="1022">
      <x:c r="A1022" s="1" t="n">
        <x:v>8901</x:v>
      </x:c>
      <x:c r="B1022" s="5" t="d">
        <x:v>2015-05-10T00:00:00.000Z</x:v>
      </x:c>
      <x:c r="C1022" s="1" t="str">
        <x:v>Standard Class</x:v>
      </x:c>
      <x:c r="D1022" s="1" t="str">
        <x:v>LATAM</x:v>
      </x:c>
      <x:c r="E1022" s="1" t="str">
        <x:v>ON_HOLD</x:v>
      </x:c>
      <x:c r="F1022" s="1" t="str">
        <x:v>Advance shipping</x:v>
      </x:c>
      <x:c r="G1022" s="6" t="n">
        <x:v>2</x:v>
      </x:c>
      <x:c r="H1022" s="6" t="n">
        <x:v>4</x:v>
      </x:c>
      <x:c r="I1022" s="6" t="n">
        <x:f>G1022-H1022</x:f>
        <x:v>-2</x:v>
      </x:c>
      <x:c r="J1022" s="6" t="n">
        <x:f>IF(OR(E1022="CANCELED",E1022="SUSPECTED_FRAUD",F1022="Shipping canceled"),0,1)</x:f>
        <x:v>1</x:v>
      </x:c>
      <x:c r="K1022" s="6" t="n">
        <x:f>IF(G1022&gt;H1022,1,0)</x:f>
        <x:v>0</x:v>
      </x:c>
      <x:c r="L1022" s="6" t="n">
        <x:f>J1022*K1022</x:f>
        <x:v>0</x:v>
      </x:c>
    </x:row>
    <x:row r="1023">
      <x:c r="A1023" s="1" t="n">
        <x:v>8906</x:v>
      </x:c>
      <x:c r="B1023" s="5" t="d">
        <x:v>2015-05-10T00:00:00.000Z</x:v>
      </x:c>
      <x:c r="C1023" s="1" t="str">
        <x:v>Standard Class</x:v>
      </x:c>
      <x:c r="D1023" s="1" t="str">
        <x:v>LATAM</x:v>
      </x:c>
      <x:c r="E1023" s="1" t="str">
        <x:v>PROCESSING</x:v>
      </x:c>
      <x:c r="F1023" s="1" t="str">
        <x:v>Advance shipping</x:v>
      </x:c>
      <x:c r="G1023" s="6" t="n">
        <x:v>2</x:v>
      </x:c>
      <x:c r="H1023" s="6" t="n">
        <x:v>4</x:v>
      </x:c>
      <x:c r="I1023" s="6" t="n">
        <x:f>G1023-H1023</x:f>
        <x:v>-2</x:v>
      </x:c>
      <x:c r="J1023" s="6" t="n">
        <x:f>IF(OR(E1023="CANCELED",E1023="SUSPECTED_FRAUD",F1023="Shipping canceled"),0,1)</x:f>
        <x:v>1</x:v>
      </x:c>
      <x:c r="K1023" s="6" t="n">
        <x:f>IF(G1023&gt;H1023,1,0)</x:f>
        <x:v>0</x:v>
      </x:c>
      <x:c r="L1023" s="6" t="n">
        <x:f>J1023*K1023</x:f>
        <x:v>0</x:v>
      </x:c>
    </x:row>
    <x:row r="1024">
      <x:c r="A1024" s="1" t="n">
        <x:v>8915</x:v>
      </x:c>
      <x:c r="B1024" s="5" t="d">
        <x:v>2015-05-11T00:00:00.000Z</x:v>
      </x:c>
      <x:c r="C1024" s="1" t="str">
        <x:v>Second Class</x:v>
      </x:c>
      <x:c r="D1024" s="1" t="str">
        <x:v>LATAM</x:v>
      </x:c>
      <x:c r="E1024" s="1" t="str">
        <x:v>ON_HOLD</x:v>
      </x:c>
      <x:c r="F1024" s="1" t="str">
        <x:v>Late delivery</x:v>
      </x:c>
      <x:c r="G1024" s="6" t="n">
        <x:v>6</x:v>
      </x:c>
      <x:c r="H1024" s="6" t="n">
        <x:v>2</x:v>
      </x:c>
      <x:c r="I1024" s="6" t="n">
        <x:f>G1024-H1024</x:f>
        <x:v>4</x:v>
      </x:c>
      <x:c r="J1024" s="6" t="n">
        <x:f>IF(OR(E1024="CANCELED",E1024="SUSPECTED_FRAUD",F1024="Shipping canceled"),0,1)</x:f>
        <x:v>1</x:v>
      </x:c>
      <x:c r="K1024" s="6" t="n">
        <x:f>IF(G1024&gt;H1024,1,0)</x:f>
        <x:v>1</x:v>
      </x:c>
      <x:c r="L1024" s="6" t="n">
        <x:f>J1024*K1024</x:f>
        <x:v>1</x:v>
      </x:c>
    </x:row>
    <x:row r="1025">
      <x:c r="A1025" s="1" t="n">
        <x:v>8918</x:v>
      </x:c>
      <x:c r="B1025" s="5" t="d">
        <x:v>2015-05-11T00:00:00.000Z</x:v>
      </x:c>
      <x:c r="C1025" s="1" t="str">
        <x:v>Standard Class</x:v>
      </x:c>
      <x:c r="D1025" s="1" t="str">
        <x:v>LATAM</x:v>
      </x:c>
      <x:c r="E1025" s="1" t="str">
        <x:v>PENDING</x:v>
      </x:c>
      <x:c r="F1025" s="1" t="str">
        <x:v>Shipping on time</x:v>
      </x:c>
      <x:c r="G1025" s="6" t="n">
        <x:v>4</x:v>
      </x:c>
      <x:c r="H1025" s="6" t="n">
        <x:v>4</x:v>
      </x:c>
      <x:c r="I1025" s="6" t="n">
        <x:f>G1025-H1025</x:f>
        <x:v>0</x:v>
      </x:c>
      <x:c r="J1025" s="6" t="n">
        <x:f>IF(OR(E1025="CANCELED",E1025="SUSPECTED_FRAUD",F1025="Shipping canceled"),0,1)</x:f>
        <x:v>1</x:v>
      </x:c>
      <x:c r="K1025" s="6" t="n">
        <x:f>IF(G1025&gt;H1025,1,0)</x:f>
        <x:v>0</x:v>
      </x:c>
      <x:c r="L1025" s="6" t="n">
        <x:f>J1025*K1025</x:f>
        <x:v>0</x:v>
      </x:c>
    </x:row>
    <x:row r="1026">
      <x:c r="A1026" s="1" t="n">
        <x:v>8920</x:v>
      </x:c>
      <x:c r="B1026" s="5" t="d">
        <x:v>2015-05-11T00:00:00.000Z</x:v>
      </x:c>
      <x:c r="C1026" s="1" t="str">
        <x:v>Standard Class</x:v>
      </x:c>
      <x:c r="D1026" s="1" t="str">
        <x:v>LATAM</x:v>
      </x:c>
      <x:c r="E1026" s="1" t="str">
        <x:v>PENDING_PAYMENT</x:v>
      </x:c>
      <x:c r="F1026" s="1" t="str">
        <x:v>Late delivery</x:v>
      </x:c>
      <x:c r="G1026" s="6" t="n">
        <x:v>6</x:v>
      </x:c>
      <x:c r="H1026" s="6" t="n">
        <x:v>4</x:v>
      </x:c>
      <x:c r="I1026" s="6" t="n">
        <x:f>G1026-H1026</x:f>
        <x:v>2</x:v>
      </x:c>
      <x:c r="J1026" s="6" t="n">
        <x:f>IF(OR(E1026="CANCELED",E1026="SUSPECTED_FRAUD",F1026="Shipping canceled"),0,1)</x:f>
        <x:v>1</x:v>
      </x:c>
      <x:c r="K1026" s="6" t="n">
        <x:f>IF(G1026&gt;H1026,1,0)</x:f>
        <x:v>1</x:v>
      </x:c>
      <x:c r="L1026" s="6" t="n">
        <x:f>J1026*K1026</x:f>
        <x:v>1</x:v>
      </x:c>
    </x:row>
    <x:row r="1027">
      <x:c r="A1027" s="1" t="n">
        <x:v>8940</x:v>
      </x:c>
      <x:c r="B1027" s="5" t="d">
        <x:v>2015-05-11T00:00:00.000Z</x:v>
      </x:c>
      <x:c r="C1027" s="1" t="str">
        <x:v>Standard Class</x:v>
      </x:c>
      <x:c r="D1027" s="1" t="str">
        <x:v>LATAM</x:v>
      </x:c>
      <x:c r="E1027" s="1" t="str">
        <x:v>COMPLETE</x:v>
      </x:c>
      <x:c r="F1027" s="1" t="str">
        <x:v>Late delivery</x:v>
      </x:c>
      <x:c r="G1027" s="6" t="n">
        <x:v>6</x:v>
      </x:c>
      <x:c r="H1027" s="6" t="n">
        <x:v>4</x:v>
      </x:c>
      <x:c r="I1027" s="6" t="n">
        <x:f>G1027-H1027</x:f>
        <x:v>2</x:v>
      </x:c>
      <x:c r="J1027" s="6" t="n">
        <x:f>IF(OR(E1027="CANCELED",E1027="SUSPECTED_FRAUD",F1027="Shipping canceled"),0,1)</x:f>
        <x:v>1</x:v>
      </x:c>
      <x:c r="K1027" s="6" t="n">
        <x:f>IF(G1027&gt;H1027,1,0)</x:f>
        <x:v>1</x:v>
      </x:c>
      <x:c r="L1027" s="6" t="n">
        <x:f>J1027*K1027</x:f>
        <x:v>1</x:v>
      </x:c>
    </x:row>
    <x:row r="1028">
      <x:c r="A1028" s="1" t="n">
        <x:v>8951</x:v>
      </x:c>
      <x:c r="B1028" s="5" t="d">
        <x:v>2015-05-11T00:00:00.000Z</x:v>
      </x:c>
      <x:c r="C1028" s="1" t="str">
        <x:v>Standard Class</x:v>
      </x:c>
      <x:c r="D1028" s="1" t="str">
        <x:v>LATAM</x:v>
      </x:c>
      <x:c r="E1028" s="1" t="str">
        <x:v>COMPLETE</x:v>
      </x:c>
      <x:c r="F1028" s="1" t="str">
        <x:v>Advance shipping</x:v>
      </x:c>
      <x:c r="G1028" s="6" t="n">
        <x:v>2</x:v>
      </x:c>
      <x:c r="H1028" s="6" t="n">
        <x:v>4</x:v>
      </x:c>
      <x:c r="I1028" s="6" t="n">
        <x:f>G1028-H1028</x:f>
        <x:v>-2</x:v>
      </x:c>
      <x:c r="J1028" s="6" t="n">
        <x:f>IF(OR(E1028="CANCELED",E1028="SUSPECTED_FRAUD",F1028="Shipping canceled"),0,1)</x:f>
        <x:v>1</x:v>
      </x:c>
      <x:c r="K1028" s="6" t="n">
        <x:f>IF(G1028&gt;H1028,1,0)</x:f>
        <x:v>0</x:v>
      </x:c>
      <x:c r="L1028" s="6" t="n">
        <x:f>J1028*K1028</x:f>
        <x:v>0</x:v>
      </x:c>
    </x:row>
    <x:row r="1029">
      <x:c r="A1029" s="1" t="n">
        <x:v>8953</x:v>
      </x:c>
      <x:c r="B1029" s="5" t="d">
        <x:v>2015-05-11T00:00:00.000Z</x:v>
      </x:c>
      <x:c r="C1029" s="1" t="str">
        <x:v>Standard Class</x:v>
      </x:c>
      <x:c r="D1029" s="1" t="str">
        <x:v>LATAM</x:v>
      </x:c>
      <x:c r="E1029" s="1" t="str">
        <x:v>COMPLETE</x:v>
      </x:c>
      <x:c r="F1029" s="1" t="str">
        <x:v>Shipping on time</x:v>
      </x:c>
      <x:c r="G1029" s="6" t="n">
        <x:v>4</x:v>
      </x:c>
      <x:c r="H1029" s="6" t="n">
        <x:v>4</x:v>
      </x:c>
      <x:c r="I1029" s="6" t="n">
        <x:f>G1029-H1029</x:f>
        <x:v>0</x:v>
      </x:c>
      <x:c r="J1029" s="6" t="n">
        <x:f>IF(OR(E1029="CANCELED",E1029="SUSPECTED_FRAUD",F1029="Shipping canceled"),0,1)</x:f>
        <x:v>1</x:v>
      </x:c>
      <x:c r="K1029" s="6" t="n">
        <x:f>IF(G1029&gt;H1029,1,0)</x:f>
        <x:v>0</x:v>
      </x:c>
      <x:c r="L1029" s="6" t="n">
        <x:f>J1029*K1029</x:f>
        <x:v>0</x:v>
      </x:c>
    </x:row>
    <x:row r="1030">
      <x:c r="A1030" s="1" t="n">
        <x:v>8967</x:v>
      </x:c>
      <x:c r="B1030" s="5" t="d">
        <x:v>2015-05-11T00:00:00.000Z</x:v>
      </x:c>
      <x:c r="C1030" s="1" t="str">
        <x:v>Standard Class</x:v>
      </x:c>
      <x:c r="D1030" s="1" t="str">
        <x:v>LATAM</x:v>
      </x:c>
      <x:c r="E1030" s="1" t="str">
        <x:v>PROCESSING</x:v>
      </x:c>
      <x:c r="F1030" s="1" t="str">
        <x:v>Advance shipping</x:v>
      </x:c>
      <x:c r="G1030" s="6" t="n">
        <x:v>3</x:v>
      </x:c>
      <x:c r="H1030" s="6" t="n">
        <x:v>4</x:v>
      </x:c>
      <x:c r="I1030" s="6" t="n">
        <x:f>G1030-H1030</x:f>
        <x:v>-1</x:v>
      </x:c>
      <x:c r="J1030" s="6" t="n">
        <x:f>IF(OR(E1030="CANCELED",E1030="SUSPECTED_FRAUD",F1030="Shipping canceled"),0,1)</x:f>
        <x:v>1</x:v>
      </x:c>
      <x:c r="K1030" s="6" t="n">
        <x:f>IF(G1030&gt;H1030,1,0)</x:f>
        <x:v>0</x:v>
      </x:c>
      <x:c r="L1030" s="6" t="n">
        <x:f>J1030*K1030</x:f>
        <x:v>0</x:v>
      </x:c>
    </x:row>
    <x:row r="1031">
      <x:c r="A1031" s="1" t="n">
        <x:v>8968</x:v>
      </x:c>
      <x:c r="B1031" s="5" t="d">
        <x:v>2015-05-11T00:00:00.000Z</x:v>
      </x:c>
      <x:c r="C1031" s="1" t="str">
        <x:v>Standard Class</x:v>
      </x:c>
      <x:c r="D1031" s="1" t="str">
        <x:v>LATAM</x:v>
      </x:c>
      <x:c r="E1031" s="1" t="str">
        <x:v>ON_HOLD</x:v>
      </x:c>
      <x:c r="F1031" s="1" t="str">
        <x:v>Shipping on time</x:v>
      </x:c>
      <x:c r="G1031" s="6" t="n">
        <x:v>4</x:v>
      </x:c>
      <x:c r="H1031" s="6" t="n">
        <x:v>4</x:v>
      </x:c>
      <x:c r="I1031" s="6" t="n">
        <x:f>G1031-H1031</x:f>
        <x:v>0</x:v>
      </x:c>
      <x:c r="J1031" s="6" t="n">
        <x:f>IF(OR(E1031="CANCELED",E1031="SUSPECTED_FRAUD",F1031="Shipping canceled"),0,1)</x:f>
        <x:v>1</x:v>
      </x:c>
      <x:c r="K1031" s="6" t="n">
        <x:f>IF(G1031&gt;H1031,1,0)</x:f>
        <x:v>0</x:v>
      </x:c>
      <x:c r="L1031" s="6" t="n">
        <x:f>J1031*K1031</x:f>
        <x:v>0</x:v>
      </x:c>
    </x:row>
    <x:row r="1032">
      <x:c r="A1032" s="1" t="n">
        <x:v>8976</x:v>
      </x:c>
      <x:c r="B1032" s="5" t="d">
        <x:v>2015-05-12T00:00:00.000Z</x:v>
      </x:c>
      <x:c r="C1032" s="1" t="str">
        <x:v>Standard Class</x:v>
      </x:c>
      <x:c r="D1032" s="1" t="str">
        <x:v>LATAM</x:v>
      </x:c>
      <x:c r="E1032" s="1" t="str">
        <x:v>CLOSED</x:v>
      </x:c>
      <x:c r="F1032" s="1" t="str">
        <x:v>Advance shipping</x:v>
      </x:c>
      <x:c r="G1032" s="6" t="n">
        <x:v>2</x:v>
      </x:c>
      <x:c r="H1032" s="6" t="n">
        <x:v>4</x:v>
      </x:c>
      <x:c r="I1032" s="6" t="n">
        <x:f>G1032-H1032</x:f>
        <x:v>-2</x:v>
      </x:c>
      <x:c r="J1032" s="6" t="n">
        <x:f>IF(OR(E1032="CANCELED",E1032="SUSPECTED_FRAUD",F1032="Shipping canceled"),0,1)</x:f>
        <x:v>1</x:v>
      </x:c>
      <x:c r="K1032" s="6" t="n">
        <x:f>IF(G1032&gt;H1032,1,0)</x:f>
        <x:v>0</x:v>
      </x:c>
      <x:c r="L1032" s="6" t="n">
        <x:f>J1032*K1032</x:f>
        <x:v>0</x:v>
      </x:c>
    </x:row>
    <x:row r="1033">
      <x:c r="A1033" s="1" t="n">
        <x:v>8977</x:v>
      </x:c>
      <x:c r="B1033" s="5" t="d">
        <x:v>2015-05-12T00:00:00.000Z</x:v>
      </x:c>
      <x:c r="C1033" s="1" t="str">
        <x:v>Standard Class</x:v>
      </x:c>
      <x:c r="D1033" s="1" t="str">
        <x:v>LATAM</x:v>
      </x:c>
      <x:c r="E1033" s="1" t="str">
        <x:v>PROCESSING</x:v>
      </x:c>
      <x:c r="F1033" s="1" t="str">
        <x:v>Advance shipping</x:v>
      </x:c>
      <x:c r="G1033" s="6" t="n">
        <x:v>3</x:v>
      </x:c>
      <x:c r="H1033" s="6" t="n">
        <x:v>4</x:v>
      </x:c>
      <x:c r="I1033" s="6" t="n">
        <x:f>G1033-H1033</x:f>
        <x:v>-1</x:v>
      </x:c>
      <x:c r="J1033" s="6" t="n">
        <x:f>IF(OR(E1033="CANCELED",E1033="SUSPECTED_FRAUD",F1033="Shipping canceled"),0,1)</x:f>
        <x:v>1</x:v>
      </x:c>
      <x:c r="K1033" s="6" t="n">
        <x:f>IF(G1033&gt;H1033,1,0)</x:f>
        <x:v>0</x:v>
      </x:c>
      <x:c r="L1033" s="6" t="n">
        <x:f>J1033*K1033</x:f>
        <x:v>0</x:v>
      </x:c>
    </x:row>
    <x:row r="1034">
      <x:c r="A1034" s="1" t="n">
        <x:v>9008</x:v>
      </x:c>
      <x:c r="B1034" s="5" t="d">
        <x:v>2015-05-12T00:00:00.000Z</x:v>
      </x:c>
      <x:c r="C1034" s="1" t="str">
        <x:v>Standard Class</x:v>
      </x:c>
      <x:c r="D1034" s="1" t="str">
        <x:v>LATAM</x:v>
      </x:c>
      <x:c r="E1034" s="1" t="str">
        <x:v>PENDING</x:v>
      </x:c>
      <x:c r="F1034" s="1" t="str">
        <x:v>Shipping on time</x:v>
      </x:c>
      <x:c r="G1034" s="6" t="n">
        <x:v>4</x:v>
      </x:c>
      <x:c r="H1034" s="6" t="n">
        <x:v>4</x:v>
      </x:c>
      <x:c r="I1034" s="6" t="n">
        <x:f>G1034-H1034</x:f>
        <x:v>0</x:v>
      </x:c>
      <x:c r="J1034" s="6" t="n">
        <x:f>IF(OR(E1034="CANCELED",E1034="SUSPECTED_FRAUD",F1034="Shipping canceled"),0,1)</x:f>
        <x:v>1</x:v>
      </x:c>
      <x:c r="K1034" s="6" t="n">
        <x:f>IF(G1034&gt;H1034,1,0)</x:f>
        <x:v>0</x:v>
      </x:c>
      <x:c r="L1034" s="6" t="n">
        <x:f>J1034*K1034</x:f>
        <x:v>0</x:v>
      </x:c>
    </x:row>
    <x:row r="1035">
      <x:c r="A1035" s="1" t="n">
        <x:v>9014</x:v>
      </x:c>
      <x:c r="B1035" s="5" t="d">
        <x:v>2015-05-12T00:00:00.000Z</x:v>
      </x:c>
      <x:c r="C1035" s="1" t="str">
        <x:v>Standard Class</x:v>
      </x:c>
      <x:c r="D1035" s="1" t="str">
        <x:v>LATAM</x:v>
      </x:c>
      <x:c r="E1035" s="1" t="str">
        <x:v>COMPLETE</x:v>
      </x:c>
      <x:c r="F1035" s="1" t="str">
        <x:v>Late delivery</x:v>
      </x:c>
      <x:c r="G1035" s="6" t="n">
        <x:v>5</x:v>
      </x:c>
      <x:c r="H1035" s="6" t="n">
        <x:v>4</x:v>
      </x:c>
      <x:c r="I1035" s="6" t="n">
        <x:f>G1035-H1035</x:f>
        <x:v>1</x:v>
      </x:c>
      <x:c r="J1035" s="6" t="n">
        <x:f>IF(OR(E1035="CANCELED",E1035="SUSPECTED_FRAUD",F1035="Shipping canceled"),0,1)</x:f>
        <x:v>1</x:v>
      </x:c>
      <x:c r="K1035" s="6" t="n">
        <x:f>IF(G1035&gt;H1035,1,0)</x:f>
        <x:v>1</x:v>
      </x:c>
      <x:c r="L1035" s="6" t="n">
        <x:f>J1035*K1035</x:f>
        <x:v>1</x:v>
      </x:c>
    </x:row>
    <x:row r="1036">
      <x:c r="A1036" s="1" t="n">
        <x:v>9018</x:v>
      </x:c>
      <x:c r="B1036" s="5" t="d">
        <x:v>2015-05-12T00:00:00.000Z</x:v>
      </x:c>
      <x:c r="C1036" s="1" t="str">
        <x:v>Same Day</x:v>
      </x:c>
      <x:c r="D1036" s="1" t="str">
        <x:v>LATAM</x:v>
      </x:c>
      <x:c r="E1036" s="1" t="str">
        <x:v>PROCESSING</x:v>
      </x:c>
      <x:c r="F1036" s="1" t="str">
        <x:v>Late delivery</x:v>
      </x:c>
      <x:c r="G1036" s="6" t="n">
        <x:v>1</x:v>
      </x:c>
      <x:c r="H1036" s="6" t="n">
        <x:v>0</x:v>
      </x:c>
      <x:c r="I1036" s="6" t="n">
        <x:f>G1036-H1036</x:f>
        <x:v>1</x:v>
      </x:c>
      <x:c r="J1036" s="6" t="n">
        <x:f>IF(OR(E1036="CANCELED",E1036="SUSPECTED_FRAUD",F1036="Shipping canceled"),0,1)</x:f>
        <x:v>1</x:v>
      </x:c>
      <x:c r="K1036" s="6" t="n">
        <x:f>IF(G1036&gt;H1036,1,0)</x:f>
        <x:v>1</x:v>
      </x:c>
      <x:c r="L1036" s="6" t="n">
        <x:f>J1036*K1036</x:f>
        <x:v>1</x:v>
      </x:c>
    </x:row>
    <x:row r="1037">
      <x:c r="A1037" s="1" t="n">
        <x:v>9027</x:v>
      </x:c>
      <x:c r="B1037" s="5" t="d">
        <x:v>2015-05-12T00:00:00.000Z</x:v>
      </x:c>
      <x:c r="C1037" s="1" t="str">
        <x:v>Standard Class</x:v>
      </x:c>
      <x:c r="D1037" s="1" t="str">
        <x:v>LATAM</x:v>
      </x:c>
      <x:c r="E1037" s="1" t="str">
        <x:v>COMPLETE</x:v>
      </x:c>
      <x:c r="F1037" s="1" t="str">
        <x:v>Advance shipping</x:v>
      </x:c>
      <x:c r="G1037" s="6" t="n">
        <x:v>3</x:v>
      </x:c>
      <x:c r="H1037" s="6" t="n">
        <x:v>4</x:v>
      </x:c>
      <x:c r="I1037" s="6" t="n">
        <x:f>G1037-H1037</x:f>
        <x:v>-1</x:v>
      </x:c>
      <x:c r="J1037" s="6" t="n">
        <x:f>IF(OR(E1037="CANCELED",E1037="SUSPECTED_FRAUD",F1037="Shipping canceled"),0,1)</x:f>
        <x:v>1</x:v>
      </x:c>
      <x:c r="K1037" s="6" t="n">
        <x:f>IF(G1037&gt;H1037,1,0)</x:f>
        <x:v>0</x:v>
      </x:c>
      <x:c r="L1037" s="6" t="n">
        <x:f>J1037*K1037</x:f>
        <x:v>0</x:v>
      </x:c>
    </x:row>
    <x:row r="1038">
      <x:c r="A1038" s="1" t="n">
        <x:v>9031</x:v>
      </x:c>
      <x:c r="B1038" s="5" t="d">
        <x:v>2015-05-12T00:00:00.000Z</x:v>
      </x:c>
      <x:c r="C1038" s="1" t="str">
        <x:v>Standard Class</x:v>
      </x:c>
      <x:c r="D1038" s="1" t="str">
        <x:v>LATAM</x:v>
      </x:c>
      <x:c r="E1038" s="1" t="str">
        <x:v>PENDING</x:v>
      </x:c>
      <x:c r="F1038" s="1" t="str">
        <x:v>Advance shipping</x:v>
      </x:c>
      <x:c r="G1038" s="6" t="n">
        <x:v>2</x:v>
      </x:c>
      <x:c r="H1038" s="6" t="n">
        <x:v>4</x:v>
      </x:c>
      <x:c r="I1038" s="6" t="n">
        <x:f>G1038-H1038</x:f>
        <x:v>-2</x:v>
      </x:c>
      <x:c r="J1038" s="6" t="n">
        <x:f>IF(OR(E1038="CANCELED",E1038="SUSPECTED_FRAUD",F1038="Shipping canceled"),0,1)</x:f>
        <x:v>1</x:v>
      </x:c>
      <x:c r="K1038" s="6" t="n">
        <x:f>IF(G1038&gt;H1038,1,0)</x:f>
        <x:v>0</x:v>
      </x:c>
      <x:c r="L1038" s="6" t="n">
        <x:f>J1038*K1038</x:f>
        <x:v>0</x:v>
      </x:c>
    </x:row>
    <x:row r="1039">
      <x:c r="A1039" s="1" t="n">
        <x:v>9033</x:v>
      </x:c>
      <x:c r="B1039" s="5" t="d">
        <x:v>2015-05-12T00:00:00.000Z</x:v>
      </x:c>
      <x:c r="C1039" s="1" t="str">
        <x:v>Second Class</x:v>
      </x:c>
      <x:c r="D1039" s="1" t="str">
        <x:v>LATAM</x:v>
      </x:c>
      <x:c r="E1039" s="1" t="str">
        <x:v>PROCESSING</x:v>
      </x:c>
      <x:c r="F1039" s="1" t="str">
        <x:v>Late delivery</x:v>
      </x:c>
      <x:c r="G1039" s="6" t="n">
        <x:v>4</x:v>
      </x:c>
      <x:c r="H1039" s="6" t="n">
        <x:v>2</x:v>
      </x:c>
      <x:c r="I1039" s="6" t="n">
        <x:f>G1039-H1039</x:f>
        <x:v>2</x:v>
      </x:c>
      <x:c r="J1039" s="6" t="n">
        <x:f>IF(OR(E1039="CANCELED",E1039="SUSPECTED_FRAUD",F1039="Shipping canceled"),0,1)</x:f>
        <x:v>1</x:v>
      </x:c>
      <x:c r="K1039" s="6" t="n">
        <x:f>IF(G1039&gt;H1039,1,0)</x:f>
        <x:v>1</x:v>
      </x:c>
      <x:c r="L1039" s="6" t="n">
        <x:f>J1039*K1039</x:f>
        <x:v>1</x:v>
      </x:c>
    </x:row>
    <x:row r="1040">
      <x:c r="A1040" s="1" t="n">
        <x:v>9047</x:v>
      </x:c>
      <x:c r="B1040" s="5" t="d">
        <x:v>2015-05-13T00:00:00.000Z</x:v>
      </x:c>
      <x:c r="C1040" s="1" t="str">
        <x:v>Standard Class</x:v>
      </x:c>
      <x:c r="D1040" s="1" t="str">
        <x:v>LATAM</x:v>
      </x:c>
      <x:c r="E1040" s="1" t="str">
        <x:v>PENDING</x:v>
      </x:c>
      <x:c r="F1040" s="1" t="str">
        <x:v>Advance shipping</x:v>
      </x:c>
      <x:c r="G1040" s="6" t="n">
        <x:v>3</x:v>
      </x:c>
      <x:c r="H1040" s="6" t="n">
        <x:v>4</x:v>
      </x:c>
      <x:c r="I1040" s="6" t="n">
        <x:f>G1040-H1040</x:f>
        <x:v>-1</x:v>
      </x:c>
      <x:c r="J1040" s="6" t="n">
        <x:f>IF(OR(E1040="CANCELED",E1040="SUSPECTED_FRAUD",F1040="Shipping canceled"),0,1)</x:f>
        <x:v>1</x:v>
      </x:c>
      <x:c r="K1040" s="6" t="n">
        <x:f>IF(G1040&gt;H1040,1,0)</x:f>
        <x:v>0</x:v>
      </x:c>
      <x:c r="L1040" s="6" t="n">
        <x:f>J1040*K1040</x:f>
        <x:v>0</x:v>
      </x:c>
    </x:row>
    <x:row r="1041">
      <x:c r="A1041" s="1" t="n">
        <x:v>9050</x:v>
      </x:c>
      <x:c r="B1041" s="5" t="d">
        <x:v>2015-05-13T00:00:00.000Z</x:v>
      </x:c>
      <x:c r="C1041" s="1" t="str">
        <x:v>Standard Class</x:v>
      </x:c>
      <x:c r="D1041" s="1" t="str">
        <x:v>LATAM</x:v>
      </x:c>
      <x:c r="E1041" s="1" t="str">
        <x:v>COMPLETE</x:v>
      </x:c>
      <x:c r="F1041" s="1" t="str">
        <x:v>Late delivery</x:v>
      </x:c>
      <x:c r="G1041" s="6" t="n">
        <x:v>6</x:v>
      </x:c>
      <x:c r="H1041" s="6" t="n">
        <x:v>4</x:v>
      </x:c>
      <x:c r="I1041" s="6" t="n">
        <x:f>G1041-H1041</x:f>
        <x:v>2</x:v>
      </x:c>
      <x:c r="J1041" s="6" t="n">
        <x:f>IF(OR(E1041="CANCELED",E1041="SUSPECTED_FRAUD",F1041="Shipping canceled"),0,1)</x:f>
        <x:v>1</x:v>
      </x:c>
      <x:c r="K1041" s="6" t="n">
        <x:f>IF(G1041&gt;H1041,1,0)</x:f>
        <x:v>1</x:v>
      </x:c>
      <x:c r="L1041" s="6" t="n">
        <x:f>J1041*K1041</x:f>
        <x:v>1</x:v>
      </x:c>
    </x:row>
    <x:row r="1042">
      <x:c r="A1042" s="1" t="n">
        <x:v>9052</x:v>
      </x:c>
      <x:c r="B1042" s="5" t="d">
        <x:v>2015-05-13T00:00:00.000Z</x:v>
      </x:c>
      <x:c r="C1042" s="1" t="str">
        <x:v>Standard Class</x:v>
      </x:c>
      <x:c r="D1042" s="1" t="str">
        <x:v>LATAM</x:v>
      </x:c>
      <x:c r="E1042" s="1" t="str">
        <x:v>COMPLETE</x:v>
      </x:c>
      <x:c r="F1042" s="1" t="str">
        <x:v>Advance shipping</x:v>
      </x:c>
      <x:c r="G1042" s="6" t="n">
        <x:v>3</x:v>
      </x:c>
      <x:c r="H1042" s="6" t="n">
        <x:v>4</x:v>
      </x:c>
      <x:c r="I1042" s="6" t="n">
        <x:f>G1042-H1042</x:f>
        <x:v>-1</x:v>
      </x:c>
      <x:c r="J1042" s="6" t="n">
        <x:f>IF(OR(E1042="CANCELED",E1042="SUSPECTED_FRAUD",F1042="Shipping canceled"),0,1)</x:f>
        <x:v>1</x:v>
      </x:c>
      <x:c r="K1042" s="6" t="n">
        <x:f>IF(G1042&gt;H1042,1,0)</x:f>
        <x:v>0</x:v>
      </x:c>
      <x:c r="L1042" s="6" t="n">
        <x:f>J1042*K1042</x:f>
        <x:v>0</x:v>
      </x:c>
    </x:row>
    <x:row r="1043">
      <x:c r="A1043" s="1" t="n">
        <x:v>9055</x:v>
      </x:c>
      <x:c r="B1043" s="5" t="d">
        <x:v>2015-05-13T00:00:00.000Z</x:v>
      </x:c>
      <x:c r="C1043" s="1" t="str">
        <x:v>Standard Class</x:v>
      </x:c>
      <x:c r="D1043" s="1" t="str">
        <x:v>LATAM</x:v>
      </x:c>
      <x:c r="E1043" s="1" t="str">
        <x:v>ON_HOLD</x:v>
      </x:c>
      <x:c r="F1043" s="1" t="str">
        <x:v>Late delivery</x:v>
      </x:c>
      <x:c r="G1043" s="6" t="n">
        <x:v>6</x:v>
      </x:c>
      <x:c r="H1043" s="6" t="n">
        <x:v>4</x:v>
      </x:c>
      <x:c r="I1043" s="6" t="n">
        <x:f>G1043-H1043</x:f>
        <x:v>2</x:v>
      </x:c>
      <x:c r="J1043" s="6" t="n">
        <x:f>IF(OR(E1043="CANCELED",E1043="SUSPECTED_FRAUD",F1043="Shipping canceled"),0,1)</x:f>
        <x:v>1</x:v>
      </x:c>
      <x:c r="K1043" s="6" t="n">
        <x:f>IF(G1043&gt;H1043,1,0)</x:f>
        <x:v>1</x:v>
      </x:c>
      <x:c r="L1043" s="6" t="n">
        <x:f>J1043*K1043</x:f>
        <x:v>1</x:v>
      </x:c>
    </x:row>
    <x:row r="1044">
      <x:c r="A1044" s="1" t="n">
        <x:v>9063</x:v>
      </x:c>
      <x:c r="B1044" s="5" t="d">
        <x:v>2015-05-13T00:00:00.000Z</x:v>
      </x:c>
      <x:c r="C1044" s="1" t="str">
        <x:v>Standard Class</x:v>
      </x:c>
      <x:c r="D1044" s="1" t="str">
        <x:v>LATAM</x:v>
      </x:c>
      <x:c r="E1044" s="1" t="str">
        <x:v>SUSPECTED_FRAUD</x:v>
      </x:c>
      <x:c r="F1044" s="1" t="str">
        <x:v>Shipping canceled</x:v>
      </x:c>
      <x:c r="G1044" s="6" t="n">
        <x:v>4</x:v>
      </x:c>
      <x:c r="H1044" s="6" t="n">
        <x:v>4</x:v>
      </x:c>
      <x:c r="I1044" s="6" t="n">
        <x:f>G1044-H1044</x:f>
        <x:v>0</x:v>
      </x:c>
      <x:c r="J1044" s="6" t="n">
        <x:f>IF(OR(E1044="CANCELED",E1044="SUSPECTED_FRAUD",F1044="Shipping canceled"),0,1)</x:f>
        <x:v>0</x:v>
      </x:c>
      <x:c r="K1044" s="6" t="n">
        <x:f>IF(G1044&gt;H1044,1,0)</x:f>
        <x:v>0</x:v>
      </x:c>
      <x:c r="L1044" s="6" t="n">
        <x:f>J1044*K1044</x:f>
        <x:v>0</x:v>
      </x:c>
    </x:row>
    <x:row r="1045">
      <x:c r="A1045" s="1" t="n">
        <x:v>9099</x:v>
      </x:c>
      <x:c r="B1045" s="5" t="d">
        <x:v>2015-05-13T00:00:00.000Z</x:v>
      </x:c>
      <x:c r="C1045" s="1" t="str">
        <x:v>Standard Class</x:v>
      </x:c>
      <x:c r="D1045" s="1" t="str">
        <x:v>LATAM</x:v>
      </x:c>
      <x:c r="E1045" s="1" t="str">
        <x:v>PENDING</x:v>
      </x:c>
      <x:c r="F1045" s="1" t="str">
        <x:v>Late delivery</x:v>
      </x:c>
      <x:c r="G1045" s="6" t="n">
        <x:v>5</x:v>
      </x:c>
      <x:c r="H1045" s="6" t="n">
        <x:v>4</x:v>
      </x:c>
      <x:c r="I1045" s="6" t="n">
        <x:f>G1045-H1045</x:f>
        <x:v>1</x:v>
      </x:c>
      <x:c r="J1045" s="6" t="n">
        <x:f>IF(OR(E1045="CANCELED",E1045="SUSPECTED_FRAUD",F1045="Shipping canceled"),0,1)</x:f>
        <x:v>1</x:v>
      </x:c>
      <x:c r="K1045" s="6" t="n">
        <x:f>IF(G1045&gt;H1045,1,0)</x:f>
        <x:v>1</x:v>
      </x:c>
      <x:c r="L1045" s="6" t="n">
        <x:f>J1045*K1045</x:f>
        <x:v>1</x:v>
      </x:c>
    </x:row>
    <x:row r="1046">
      <x:c r="A1046" s="1" t="n">
        <x:v>9104</x:v>
      </x:c>
      <x:c r="B1046" s="5" t="d">
        <x:v>2015-05-13T00:00:00.000Z</x:v>
      </x:c>
      <x:c r="C1046" s="1" t="str">
        <x:v>Standard Class</x:v>
      </x:c>
      <x:c r="D1046" s="1" t="str">
        <x:v>LATAM</x:v>
      </x:c>
      <x:c r="E1046" s="1" t="str">
        <x:v>PENDING</x:v>
      </x:c>
      <x:c r="F1046" s="1" t="str">
        <x:v>Late delivery</x:v>
      </x:c>
      <x:c r="G1046" s="6" t="n">
        <x:v>5</x:v>
      </x:c>
      <x:c r="H1046" s="6" t="n">
        <x:v>4</x:v>
      </x:c>
      <x:c r="I1046" s="6" t="n">
        <x:f>G1046-H1046</x:f>
        <x:v>1</x:v>
      </x:c>
      <x:c r="J1046" s="6" t="n">
        <x:f>IF(OR(E1046="CANCELED",E1046="SUSPECTED_FRAUD",F1046="Shipping canceled"),0,1)</x:f>
        <x:v>1</x:v>
      </x:c>
      <x:c r="K1046" s="6" t="n">
        <x:f>IF(G1046&gt;H1046,1,0)</x:f>
        <x:v>1</x:v>
      </x:c>
      <x:c r="L1046" s="6" t="n">
        <x:f>J1046*K1046</x:f>
        <x:v>1</x:v>
      </x:c>
    </x:row>
    <x:row r="1047">
      <x:c r="A1047" s="1" t="n">
        <x:v>9113</x:v>
      </x:c>
      <x:c r="B1047" s="5" t="d">
        <x:v>2015-05-14T00:00:00.000Z</x:v>
      </x:c>
      <x:c r="C1047" s="1" t="str">
        <x:v>Second Class</x:v>
      </x:c>
      <x:c r="D1047" s="1" t="str">
        <x:v>LATAM</x:v>
      </x:c>
      <x:c r="E1047" s="1" t="str">
        <x:v>SUSPECTED_FRAUD</x:v>
      </x:c>
      <x:c r="F1047" s="1" t="str">
        <x:v>Shipping canceled</x:v>
      </x:c>
      <x:c r="G1047" s="6" t="n">
        <x:v>4</x:v>
      </x:c>
      <x:c r="H1047" s="6" t="n">
        <x:v>2</x:v>
      </x:c>
      <x:c r="I1047" s="6" t="n">
        <x:f>G1047-H1047</x:f>
        <x:v>2</x:v>
      </x:c>
      <x:c r="J1047" s="6" t="n">
        <x:f>IF(OR(E1047="CANCELED",E1047="SUSPECTED_FRAUD",F1047="Shipping canceled"),0,1)</x:f>
        <x:v>0</x:v>
      </x:c>
      <x:c r="K1047" s="6" t="n">
        <x:f>IF(G1047&gt;H1047,1,0)</x:f>
        <x:v>1</x:v>
      </x:c>
      <x:c r="L1047" s="6" t="n">
        <x:f>J1047*K1047</x:f>
        <x:v>0</x:v>
      </x:c>
    </x:row>
    <x:row r="1048">
      <x:c r="A1048" s="1" t="n">
        <x:v>9114</x:v>
      </x:c>
      <x:c r="B1048" s="5" t="d">
        <x:v>2015-05-14T00:00:00.000Z</x:v>
      </x:c>
      <x:c r="C1048" s="1" t="str">
        <x:v>Standard Class</x:v>
      </x:c>
      <x:c r="D1048" s="1" t="str">
        <x:v>LATAM</x:v>
      </x:c>
      <x:c r="E1048" s="1" t="str">
        <x:v>PROCESSING</x:v>
      </x:c>
      <x:c r="F1048" s="1" t="str">
        <x:v>Late delivery</x:v>
      </x:c>
      <x:c r="G1048" s="6" t="n">
        <x:v>5</x:v>
      </x:c>
      <x:c r="H1048" s="6" t="n">
        <x:v>4</x:v>
      </x:c>
      <x:c r="I1048" s="6" t="n">
        <x:f>G1048-H1048</x:f>
        <x:v>1</x:v>
      </x:c>
      <x:c r="J1048" s="6" t="n">
        <x:f>IF(OR(E1048="CANCELED",E1048="SUSPECTED_FRAUD",F1048="Shipping canceled"),0,1)</x:f>
        <x:v>1</x:v>
      </x:c>
      <x:c r="K1048" s="6" t="n">
        <x:f>IF(G1048&gt;H1048,1,0)</x:f>
        <x:v>1</x:v>
      </x:c>
      <x:c r="L1048" s="6" t="n">
        <x:f>J1048*K1048</x:f>
        <x:v>1</x:v>
      </x:c>
    </x:row>
    <x:row r="1049">
      <x:c r="A1049" s="1" t="n">
        <x:v>9120</x:v>
      </x:c>
      <x:c r="B1049" s="5" t="d">
        <x:v>2015-05-14T00:00:00.000Z</x:v>
      </x:c>
      <x:c r="C1049" s="1" t="str">
        <x:v>Standard Class</x:v>
      </x:c>
      <x:c r="D1049" s="1" t="str">
        <x:v>LATAM</x:v>
      </x:c>
      <x:c r="E1049" s="1" t="str">
        <x:v>PENDING</x:v>
      </x:c>
      <x:c r="F1049" s="1" t="str">
        <x:v>Late delivery</x:v>
      </x:c>
      <x:c r="G1049" s="6" t="n">
        <x:v>6</x:v>
      </x:c>
      <x:c r="H1049" s="6" t="n">
        <x:v>4</x:v>
      </x:c>
      <x:c r="I1049" s="6" t="n">
        <x:f>G1049-H1049</x:f>
        <x:v>2</x:v>
      </x:c>
      <x:c r="J1049" s="6" t="n">
        <x:f>IF(OR(E1049="CANCELED",E1049="SUSPECTED_FRAUD",F1049="Shipping canceled"),0,1)</x:f>
        <x:v>1</x:v>
      </x:c>
      <x:c r="K1049" s="6" t="n">
        <x:f>IF(G1049&gt;H1049,1,0)</x:f>
        <x:v>1</x:v>
      </x:c>
      <x:c r="L1049" s="6" t="n">
        <x:f>J1049*K1049</x:f>
        <x:v>1</x:v>
      </x:c>
    </x:row>
    <x:row r="1050">
      <x:c r="A1050" s="1" t="n">
        <x:v>9122</x:v>
      </x:c>
      <x:c r="B1050" s="5" t="d">
        <x:v>2015-05-14T00:00:00.000Z</x:v>
      </x:c>
      <x:c r="C1050" s="1" t="str">
        <x:v>Standard Class</x:v>
      </x:c>
      <x:c r="D1050" s="1" t="str">
        <x:v>LATAM</x:v>
      </x:c>
      <x:c r="E1050" s="1" t="str">
        <x:v>PROCESSING</x:v>
      </x:c>
      <x:c r="F1050" s="1" t="str">
        <x:v>Advance shipping</x:v>
      </x:c>
      <x:c r="G1050" s="6" t="n">
        <x:v>3</x:v>
      </x:c>
      <x:c r="H1050" s="6" t="n">
        <x:v>4</x:v>
      </x:c>
      <x:c r="I1050" s="6" t="n">
        <x:f>G1050-H1050</x:f>
        <x:v>-1</x:v>
      </x:c>
      <x:c r="J1050" s="6" t="n">
        <x:f>IF(OR(E1050="CANCELED",E1050="SUSPECTED_FRAUD",F1050="Shipping canceled"),0,1)</x:f>
        <x:v>1</x:v>
      </x:c>
      <x:c r="K1050" s="6" t="n">
        <x:f>IF(G1050&gt;H1050,1,0)</x:f>
        <x:v>0</x:v>
      </x:c>
      <x:c r="L1050" s="6" t="n">
        <x:f>J1050*K1050</x:f>
        <x:v>0</x:v>
      </x:c>
    </x:row>
    <x:row r="1051">
      <x:c r="A1051" s="1" t="n">
        <x:v>9130</x:v>
      </x:c>
      <x:c r="B1051" s="5" t="d">
        <x:v>2015-05-14T00:00:00.000Z</x:v>
      </x:c>
      <x:c r="C1051" s="1" t="str">
        <x:v>Standard Class</x:v>
      </x:c>
      <x:c r="D1051" s="1" t="str">
        <x:v>LATAM</x:v>
      </x:c>
      <x:c r="E1051" s="1" t="str">
        <x:v>COMPLETE</x:v>
      </x:c>
      <x:c r="F1051" s="1" t="str">
        <x:v>Late delivery</x:v>
      </x:c>
      <x:c r="G1051" s="6" t="n">
        <x:v>6</x:v>
      </x:c>
      <x:c r="H1051" s="6" t="n">
        <x:v>4</x:v>
      </x:c>
      <x:c r="I1051" s="6" t="n">
        <x:f>G1051-H1051</x:f>
        <x:v>2</x:v>
      </x:c>
      <x:c r="J1051" s="6" t="n">
        <x:f>IF(OR(E1051="CANCELED",E1051="SUSPECTED_FRAUD",F1051="Shipping canceled"),0,1)</x:f>
        <x:v>1</x:v>
      </x:c>
      <x:c r="K1051" s="6" t="n">
        <x:f>IF(G1051&gt;H1051,1,0)</x:f>
        <x:v>1</x:v>
      </x:c>
      <x:c r="L1051" s="6" t="n">
        <x:f>J1051*K1051</x:f>
        <x:v>1</x:v>
      </x:c>
    </x:row>
    <x:row r="1052">
      <x:c r="A1052" s="1" t="n">
        <x:v>9134</x:v>
      </x:c>
      <x:c r="B1052" s="5" t="d">
        <x:v>2015-05-14T00:00:00.000Z</x:v>
      </x:c>
      <x:c r="C1052" s="1" t="str">
        <x:v>Standard Class</x:v>
      </x:c>
      <x:c r="D1052" s="1" t="str">
        <x:v>LATAM</x:v>
      </x:c>
      <x:c r="E1052" s="1" t="str">
        <x:v>PROCESSING</x:v>
      </x:c>
      <x:c r="F1052" s="1" t="str">
        <x:v>Late delivery</x:v>
      </x:c>
      <x:c r="G1052" s="6" t="n">
        <x:v>5</x:v>
      </x:c>
      <x:c r="H1052" s="6" t="n">
        <x:v>4</x:v>
      </x:c>
      <x:c r="I1052" s="6" t="n">
        <x:f>G1052-H1052</x:f>
        <x:v>1</x:v>
      </x:c>
      <x:c r="J1052" s="6" t="n">
        <x:f>IF(OR(E1052="CANCELED",E1052="SUSPECTED_FRAUD",F1052="Shipping canceled"),0,1)</x:f>
        <x:v>1</x:v>
      </x:c>
      <x:c r="K1052" s="6" t="n">
        <x:f>IF(G1052&gt;H1052,1,0)</x:f>
        <x:v>1</x:v>
      </x:c>
      <x:c r="L1052" s="6" t="n">
        <x:f>J1052*K1052</x:f>
        <x:v>1</x:v>
      </x:c>
    </x:row>
    <x:row r="1053">
      <x:c r="A1053" s="1" t="n">
        <x:v>9140</x:v>
      </x:c>
      <x:c r="B1053" s="5" t="d">
        <x:v>2015-05-14T00:00:00.000Z</x:v>
      </x:c>
      <x:c r="C1053" s="1" t="str">
        <x:v>Second Class</x:v>
      </x:c>
      <x:c r="D1053" s="1" t="str">
        <x:v>LATAM</x:v>
      </x:c>
      <x:c r="E1053" s="1" t="str">
        <x:v>COMPLETE</x:v>
      </x:c>
      <x:c r="F1053" s="1" t="str">
        <x:v>Late delivery</x:v>
      </x:c>
      <x:c r="G1053" s="6" t="n">
        <x:v>6</x:v>
      </x:c>
      <x:c r="H1053" s="6" t="n">
        <x:v>2</x:v>
      </x:c>
      <x:c r="I1053" s="6" t="n">
        <x:f>G1053-H1053</x:f>
        <x:v>4</x:v>
      </x:c>
      <x:c r="J1053" s="6" t="n">
        <x:f>IF(OR(E1053="CANCELED",E1053="SUSPECTED_FRAUD",F1053="Shipping canceled"),0,1)</x:f>
        <x:v>1</x:v>
      </x:c>
      <x:c r="K1053" s="6" t="n">
        <x:f>IF(G1053&gt;H1053,1,0)</x:f>
        <x:v>1</x:v>
      </x:c>
      <x:c r="L1053" s="6" t="n">
        <x:f>J1053*K1053</x:f>
        <x:v>1</x:v>
      </x:c>
    </x:row>
    <x:row r="1054">
      <x:c r="A1054" s="1" t="n">
        <x:v>9161</x:v>
      </x:c>
      <x:c r="B1054" s="5" t="d">
        <x:v>2015-05-14T00:00:00.000Z</x:v>
      </x:c>
      <x:c r="C1054" s="1" t="str">
        <x:v>Standard Class</x:v>
      </x:c>
      <x:c r="D1054" s="1" t="str">
        <x:v>LATAM</x:v>
      </x:c>
      <x:c r="E1054" s="1" t="str">
        <x:v>PENDING_PAYMENT</x:v>
      </x:c>
      <x:c r="F1054" s="1" t="str">
        <x:v>Advance shipping</x:v>
      </x:c>
      <x:c r="G1054" s="6" t="n">
        <x:v>2</x:v>
      </x:c>
      <x:c r="H1054" s="6" t="n">
        <x:v>4</x:v>
      </x:c>
      <x:c r="I1054" s="6" t="n">
        <x:f>G1054-H1054</x:f>
        <x:v>-2</x:v>
      </x:c>
      <x:c r="J1054" s="6" t="n">
        <x:f>IF(OR(E1054="CANCELED",E1054="SUSPECTED_FRAUD",F1054="Shipping canceled"),0,1)</x:f>
        <x:v>1</x:v>
      </x:c>
      <x:c r="K1054" s="6" t="n">
        <x:f>IF(G1054&gt;H1054,1,0)</x:f>
        <x:v>0</x:v>
      </x:c>
      <x:c r="L1054" s="6" t="n">
        <x:f>J1054*K1054</x:f>
        <x:v>0</x:v>
      </x:c>
    </x:row>
    <x:row r="1055">
      <x:c r="A1055" s="1" t="n">
        <x:v>9162</x:v>
      </x:c>
      <x:c r="B1055" s="5" t="d">
        <x:v>2015-05-14T00:00:00.000Z</x:v>
      </x:c>
      <x:c r="C1055" s="1" t="str">
        <x:v>Standard Class</x:v>
      </x:c>
      <x:c r="D1055" s="1" t="str">
        <x:v>LATAM</x:v>
      </x:c>
      <x:c r="E1055" s="1" t="str">
        <x:v>CLOSED</x:v>
      </x:c>
      <x:c r="F1055" s="1" t="str">
        <x:v>Advance shipping</x:v>
      </x:c>
      <x:c r="G1055" s="6" t="n">
        <x:v>3</x:v>
      </x:c>
      <x:c r="H1055" s="6" t="n">
        <x:v>4</x:v>
      </x:c>
      <x:c r="I1055" s="6" t="n">
        <x:f>G1055-H1055</x:f>
        <x:v>-1</x:v>
      </x:c>
      <x:c r="J1055" s="6" t="n">
        <x:f>IF(OR(E1055="CANCELED",E1055="SUSPECTED_FRAUD",F1055="Shipping canceled"),0,1)</x:f>
        <x:v>1</x:v>
      </x:c>
      <x:c r="K1055" s="6" t="n">
        <x:f>IF(G1055&gt;H1055,1,0)</x:f>
        <x:v>0</x:v>
      </x:c>
      <x:c r="L1055" s="6" t="n">
        <x:f>J1055*K1055</x:f>
        <x:v>0</x:v>
      </x:c>
    </x:row>
    <x:row r="1056">
      <x:c r="A1056" s="1" t="n">
        <x:v>9164</x:v>
      </x:c>
      <x:c r="B1056" s="5" t="d">
        <x:v>2015-05-14T00:00:00.000Z</x:v>
      </x:c>
      <x:c r="C1056" s="1" t="str">
        <x:v>Standard Class</x:v>
      </x:c>
      <x:c r="D1056" s="1" t="str">
        <x:v>LATAM</x:v>
      </x:c>
      <x:c r="E1056" s="1" t="str">
        <x:v>COMPLETE</x:v>
      </x:c>
      <x:c r="F1056" s="1" t="str">
        <x:v>Late delivery</x:v>
      </x:c>
      <x:c r="G1056" s="6" t="n">
        <x:v>5</x:v>
      </x:c>
      <x:c r="H1056" s="6" t="n">
        <x:v>4</x:v>
      </x:c>
      <x:c r="I1056" s="6" t="n">
        <x:f>G1056-H1056</x:f>
        <x:v>1</x:v>
      </x:c>
      <x:c r="J1056" s="6" t="n">
        <x:f>IF(OR(E1056="CANCELED",E1056="SUSPECTED_FRAUD",F1056="Shipping canceled"),0,1)</x:f>
        <x:v>1</x:v>
      </x:c>
      <x:c r="K1056" s="6" t="n">
        <x:f>IF(G1056&gt;H1056,1,0)</x:f>
        <x:v>1</x:v>
      </x:c>
      <x:c r="L1056" s="6" t="n">
        <x:f>J1056*K1056</x:f>
        <x:v>1</x:v>
      </x:c>
    </x:row>
    <x:row r="1057">
      <x:c r="A1057" s="1" t="n">
        <x:v>9165</x:v>
      </x:c>
      <x:c r="B1057" s="5" t="d">
        <x:v>2015-05-14T00:00:00.000Z</x:v>
      </x:c>
      <x:c r="C1057" s="1" t="str">
        <x:v>Standard Class</x:v>
      </x:c>
      <x:c r="D1057" s="1" t="str">
        <x:v>LATAM</x:v>
      </x:c>
      <x:c r="E1057" s="1" t="str">
        <x:v>COMPLETE</x:v>
      </x:c>
      <x:c r="F1057" s="1" t="str">
        <x:v>Late delivery</x:v>
      </x:c>
      <x:c r="G1057" s="6" t="n">
        <x:v>6</x:v>
      </x:c>
      <x:c r="H1057" s="6" t="n">
        <x:v>4</x:v>
      </x:c>
      <x:c r="I1057" s="6" t="n">
        <x:f>G1057-H1057</x:f>
        <x:v>2</x:v>
      </x:c>
      <x:c r="J1057" s="6" t="n">
        <x:f>IF(OR(E1057="CANCELED",E1057="SUSPECTED_FRAUD",F1057="Shipping canceled"),0,1)</x:f>
        <x:v>1</x:v>
      </x:c>
      <x:c r="K1057" s="6" t="n">
        <x:f>IF(G1057&gt;H1057,1,0)</x:f>
        <x:v>1</x:v>
      </x:c>
      <x:c r="L1057" s="6" t="n">
        <x:f>J1057*K1057</x:f>
        <x:v>1</x:v>
      </x:c>
    </x:row>
    <x:row r="1058">
      <x:c r="A1058" s="1" t="n">
        <x:v>9168</x:v>
      </x:c>
      <x:c r="B1058" s="5" t="d">
        <x:v>2015-05-14T00:00:00.000Z</x:v>
      </x:c>
      <x:c r="C1058" s="1" t="str">
        <x:v>First Class</x:v>
      </x:c>
      <x:c r="D1058" s="1" t="str">
        <x:v>LATAM</x:v>
      </x:c>
      <x:c r="E1058" s="1" t="str">
        <x:v>PROCESSING</x:v>
      </x:c>
      <x:c r="F1058" s="1" t="str">
        <x:v>Late delivery</x:v>
      </x:c>
      <x:c r="G1058" s="6" t="n">
        <x:v>2</x:v>
      </x:c>
      <x:c r="H1058" s="6" t="n">
        <x:v>1</x:v>
      </x:c>
      <x:c r="I1058" s="6" t="n">
        <x:f>G1058-H1058</x:f>
        <x:v>1</x:v>
      </x:c>
      <x:c r="J1058" s="6" t="n">
        <x:f>IF(OR(E1058="CANCELED",E1058="SUSPECTED_FRAUD",F1058="Shipping canceled"),0,1)</x:f>
        <x:v>1</x:v>
      </x:c>
      <x:c r="K1058" s="6" t="n">
        <x:f>IF(G1058&gt;H1058,1,0)</x:f>
        <x:v>1</x:v>
      </x:c>
      <x:c r="L1058" s="6" t="n">
        <x:f>J1058*K1058</x:f>
        <x:v>1</x:v>
      </x:c>
    </x:row>
    <x:row r="1059">
      <x:c r="A1059" s="1" t="n">
        <x:v>9172</x:v>
      </x:c>
      <x:c r="B1059" s="5" t="d">
        <x:v>2015-05-14T00:00:00.000Z</x:v>
      </x:c>
      <x:c r="C1059" s="1" t="str">
        <x:v>Standard Class</x:v>
      </x:c>
      <x:c r="D1059" s="1" t="str">
        <x:v>LATAM</x:v>
      </x:c>
      <x:c r="E1059" s="1" t="str">
        <x:v>COMPLETE</x:v>
      </x:c>
      <x:c r="F1059" s="1" t="str">
        <x:v>Advance shipping</x:v>
      </x:c>
      <x:c r="G1059" s="6" t="n">
        <x:v>3</x:v>
      </x:c>
      <x:c r="H1059" s="6" t="n">
        <x:v>4</x:v>
      </x:c>
      <x:c r="I1059" s="6" t="n">
        <x:f>G1059-H1059</x:f>
        <x:v>-1</x:v>
      </x:c>
      <x:c r="J1059" s="6" t="n">
        <x:f>IF(OR(E1059="CANCELED",E1059="SUSPECTED_FRAUD",F1059="Shipping canceled"),0,1)</x:f>
        <x:v>1</x:v>
      </x:c>
      <x:c r="K1059" s="6" t="n">
        <x:f>IF(G1059&gt;H1059,1,0)</x:f>
        <x:v>0</x:v>
      </x:c>
      <x:c r="L1059" s="6" t="n">
        <x:f>J1059*K1059</x:f>
        <x:v>0</x:v>
      </x:c>
    </x:row>
    <x:row r="1060">
      <x:c r="A1060" s="1" t="n">
        <x:v>9182</x:v>
      </x:c>
      <x:c r="B1060" s="5" t="d">
        <x:v>2015-05-15T00:00:00.000Z</x:v>
      </x:c>
      <x:c r="C1060" s="1" t="str">
        <x:v>Standard Class</x:v>
      </x:c>
      <x:c r="D1060" s="1" t="str">
        <x:v>LATAM</x:v>
      </x:c>
      <x:c r="E1060" s="1" t="str">
        <x:v>PENDING_PAYMENT</x:v>
      </x:c>
      <x:c r="F1060" s="1" t="str">
        <x:v>Advance shipping</x:v>
      </x:c>
      <x:c r="G1060" s="6" t="n">
        <x:v>3</x:v>
      </x:c>
      <x:c r="H1060" s="6" t="n">
        <x:v>4</x:v>
      </x:c>
      <x:c r="I1060" s="6" t="n">
        <x:f>G1060-H1060</x:f>
        <x:v>-1</x:v>
      </x:c>
      <x:c r="J1060" s="6" t="n">
        <x:f>IF(OR(E1060="CANCELED",E1060="SUSPECTED_FRAUD",F1060="Shipping canceled"),0,1)</x:f>
        <x:v>1</x:v>
      </x:c>
      <x:c r="K1060" s="6" t="n">
        <x:f>IF(G1060&gt;H1060,1,0)</x:f>
        <x:v>0</x:v>
      </x:c>
      <x:c r="L1060" s="6" t="n">
        <x:f>J1060*K1060</x:f>
        <x:v>0</x:v>
      </x:c>
    </x:row>
    <x:row r="1061">
      <x:c r="A1061" s="1" t="n">
        <x:v>9210</x:v>
      </x:c>
      <x:c r="B1061" s="5" t="d">
        <x:v>2015-05-15T00:00:00.000Z</x:v>
      </x:c>
      <x:c r="C1061" s="1" t="str">
        <x:v>Standard Class</x:v>
      </x:c>
      <x:c r="D1061" s="1" t="str">
        <x:v>LATAM</x:v>
      </x:c>
      <x:c r="E1061" s="1" t="str">
        <x:v>CANCELED</x:v>
      </x:c>
      <x:c r="F1061" s="1" t="str">
        <x:v>Shipping canceled</x:v>
      </x:c>
      <x:c r="G1061" s="6" t="n">
        <x:v>6</x:v>
      </x:c>
      <x:c r="H1061" s="6" t="n">
        <x:v>4</x:v>
      </x:c>
      <x:c r="I1061" s="6" t="n">
        <x:f>G1061-H1061</x:f>
        <x:v>2</x:v>
      </x:c>
      <x:c r="J1061" s="6" t="n">
        <x:f>IF(OR(E1061="CANCELED",E1061="SUSPECTED_FRAUD",F1061="Shipping canceled"),0,1)</x:f>
        <x:v>0</x:v>
      </x:c>
      <x:c r="K1061" s="6" t="n">
        <x:f>IF(G1061&gt;H1061,1,0)</x:f>
        <x:v>1</x:v>
      </x:c>
      <x:c r="L1061" s="6" t="n">
        <x:f>J1061*K1061</x:f>
        <x:v>0</x:v>
      </x:c>
    </x:row>
    <x:row r="1062">
      <x:c r="A1062" s="1" t="n">
        <x:v>9228</x:v>
      </x:c>
      <x:c r="B1062" s="5" t="d">
        <x:v>2015-05-15T00:00:00.000Z</x:v>
      </x:c>
      <x:c r="C1062" s="1" t="str">
        <x:v>Standard Class</x:v>
      </x:c>
      <x:c r="D1062" s="1" t="str">
        <x:v>LATAM</x:v>
      </x:c>
      <x:c r="E1062" s="1" t="str">
        <x:v>COMPLETE</x:v>
      </x:c>
      <x:c r="F1062" s="1" t="str">
        <x:v>Shipping on time</x:v>
      </x:c>
      <x:c r="G1062" s="6" t="n">
        <x:v>4</x:v>
      </x:c>
      <x:c r="H1062" s="6" t="n">
        <x:v>4</x:v>
      </x:c>
      <x:c r="I1062" s="6" t="n">
        <x:f>G1062-H1062</x:f>
        <x:v>0</x:v>
      </x:c>
      <x:c r="J1062" s="6" t="n">
        <x:f>IF(OR(E1062="CANCELED",E1062="SUSPECTED_FRAUD",F1062="Shipping canceled"),0,1)</x:f>
        <x:v>1</x:v>
      </x:c>
      <x:c r="K1062" s="6" t="n">
        <x:f>IF(G1062&gt;H1062,1,0)</x:f>
        <x:v>0</x:v>
      </x:c>
      <x:c r="L1062" s="6" t="n">
        <x:f>J1062*K1062</x:f>
        <x:v>0</x:v>
      </x:c>
    </x:row>
    <x:row r="1063">
      <x:c r="A1063" s="1" t="n">
        <x:v>9236</x:v>
      </x:c>
      <x:c r="B1063" s="5" t="d">
        <x:v>2015-05-15T00:00:00.000Z</x:v>
      </x:c>
      <x:c r="C1063" s="1" t="str">
        <x:v>Standard Class</x:v>
      </x:c>
      <x:c r="D1063" s="1" t="str">
        <x:v>LATAM</x:v>
      </x:c>
      <x:c r="E1063" s="1" t="str">
        <x:v>COMPLETE</x:v>
      </x:c>
      <x:c r="F1063" s="1" t="str">
        <x:v>Advance shipping</x:v>
      </x:c>
      <x:c r="G1063" s="6" t="n">
        <x:v>2</x:v>
      </x:c>
      <x:c r="H1063" s="6" t="n">
        <x:v>4</x:v>
      </x:c>
      <x:c r="I1063" s="6" t="n">
        <x:f>G1063-H1063</x:f>
        <x:v>-2</x:v>
      </x:c>
      <x:c r="J1063" s="6" t="n">
        <x:f>IF(OR(E1063="CANCELED",E1063="SUSPECTED_FRAUD",F1063="Shipping canceled"),0,1)</x:f>
        <x:v>1</x:v>
      </x:c>
      <x:c r="K1063" s="6" t="n">
        <x:f>IF(G1063&gt;H1063,1,0)</x:f>
        <x:v>0</x:v>
      </x:c>
      <x:c r="L1063" s="6" t="n">
        <x:f>J1063*K1063</x:f>
        <x:v>0</x:v>
      </x:c>
    </x:row>
    <x:row r="1064">
      <x:c r="A1064" s="1" t="n">
        <x:v>9238</x:v>
      </x:c>
      <x:c r="B1064" s="5" t="d">
        <x:v>2015-05-15T00:00:00.000Z</x:v>
      </x:c>
      <x:c r="C1064" s="1" t="str">
        <x:v>Standard Class</x:v>
      </x:c>
      <x:c r="D1064" s="1" t="str">
        <x:v>LATAM</x:v>
      </x:c>
      <x:c r="E1064" s="1" t="str">
        <x:v>PROCESSING</x:v>
      </x:c>
      <x:c r="F1064" s="1" t="str">
        <x:v>Shipping on time</x:v>
      </x:c>
      <x:c r="G1064" s="6" t="n">
        <x:v>4</x:v>
      </x:c>
      <x:c r="H1064" s="6" t="n">
        <x:v>4</x:v>
      </x:c>
      <x:c r="I1064" s="6" t="n">
        <x:f>G1064-H1064</x:f>
        <x:v>0</x:v>
      </x:c>
      <x:c r="J1064" s="6" t="n">
        <x:f>IF(OR(E1064="CANCELED",E1064="SUSPECTED_FRAUD",F1064="Shipping canceled"),0,1)</x:f>
        <x:v>1</x:v>
      </x:c>
      <x:c r="K1064" s="6" t="n">
        <x:f>IF(G1064&gt;H1064,1,0)</x:f>
        <x:v>0</x:v>
      </x:c>
      <x:c r="L1064" s="6" t="n">
        <x:f>J1064*K1064</x:f>
        <x:v>0</x:v>
      </x:c>
    </x:row>
    <x:row r="1065">
      <x:c r="A1065" s="1" t="n">
        <x:v>9243</x:v>
      </x:c>
      <x:c r="B1065" s="5" t="d">
        <x:v>2015-05-15T00:00:00.000Z</x:v>
      </x:c>
      <x:c r="C1065" s="1" t="str">
        <x:v>Standard Class</x:v>
      </x:c>
      <x:c r="D1065" s="1" t="str">
        <x:v>LATAM</x:v>
      </x:c>
      <x:c r="E1065" s="1" t="str">
        <x:v>CLOSED</x:v>
      </x:c>
      <x:c r="F1065" s="1" t="str">
        <x:v>Shipping on time</x:v>
      </x:c>
      <x:c r="G1065" s="6" t="n">
        <x:v>4</x:v>
      </x:c>
      <x:c r="H1065" s="6" t="n">
        <x:v>4</x:v>
      </x:c>
      <x:c r="I1065" s="6" t="n">
        <x:f>G1065-H1065</x:f>
        <x:v>0</x:v>
      </x:c>
      <x:c r="J1065" s="6" t="n">
        <x:f>IF(OR(E1065="CANCELED",E1065="SUSPECTED_FRAUD",F1065="Shipping canceled"),0,1)</x:f>
        <x:v>1</x:v>
      </x:c>
      <x:c r="K1065" s="6" t="n">
        <x:f>IF(G1065&gt;H1065,1,0)</x:f>
        <x:v>0</x:v>
      </x:c>
      <x:c r="L1065" s="6" t="n">
        <x:f>J1065*K1065</x:f>
        <x:v>0</x:v>
      </x:c>
    </x:row>
    <x:row r="1066">
      <x:c r="A1066" s="1" t="n">
        <x:v>9244</x:v>
      </x:c>
      <x:c r="B1066" s="5" t="d">
        <x:v>2015-05-15T00:00:00.000Z</x:v>
      </x:c>
      <x:c r="C1066" s="1" t="str">
        <x:v>Standard Class</x:v>
      </x:c>
      <x:c r="D1066" s="1" t="str">
        <x:v>LATAM</x:v>
      </x:c>
      <x:c r="E1066" s="1" t="str">
        <x:v>ON_HOLD</x:v>
      </x:c>
      <x:c r="F1066" s="1" t="str">
        <x:v>Late delivery</x:v>
      </x:c>
      <x:c r="G1066" s="6" t="n">
        <x:v>5</x:v>
      </x:c>
      <x:c r="H1066" s="6" t="n">
        <x:v>4</x:v>
      </x:c>
      <x:c r="I1066" s="6" t="n">
        <x:f>G1066-H1066</x:f>
        <x:v>1</x:v>
      </x:c>
      <x:c r="J1066" s="6" t="n">
        <x:f>IF(OR(E1066="CANCELED",E1066="SUSPECTED_FRAUD",F1066="Shipping canceled"),0,1)</x:f>
        <x:v>1</x:v>
      </x:c>
      <x:c r="K1066" s="6" t="n">
        <x:f>IF(G1066&gt;H1066,1,0)</x:f>
        <x:v>1</x:v>
      </x:c>
      <x:c r="L1066" s="6" t="n">
        <x:f>J1066*K1066</x:f>
        <x:v>1</x:v>
      </x:c>
    </x:row>
    <x:row r="1067">
      <x:c r="A1067" s="1" t="n">
        <x:v>9248</x:v>
      </x:c>
      <x:c r="B1067" s="5" t="d">
        <x:v>2015-05-15T00:00:00.000Z</x:v>
      </x:c>
      <x:c r="C1067" s="1" t="str">
        <x:v>Standard Class</x:v>
      </x:c>
      <x:c r="D1067" s="1" t="str">
        <x:v>LATAM</x:v>
      </x:c>
      <x:c r="E1067" s="1" t="str">
        <x:v>COMPLETE</x:v>
      </x:c>
      <x:c r="F1067" s="1" t="str">
        <x:v>Shipping on time</x:v>
      </x:c>
      <x:c r="G1067" s="6" t="n">
        <x:v>4</x:v>
      </x:c>
      <x:c r="H1067" s="6" t="n">
        <x:v>4</x:v>
      </x:c>
      <x:c r="I1067" s="6" t="n">
        <x:f>G1067-H1067</x:f>
        <x:v>0</x:v>
      </x:c>
      <x:c r="J1067" s="6" t="n">
        <x:f>IF(OR(E1067="CANCELED",E1067="SUSPECTED_FRAUD",F1067="Shipping canceled"),0,1)</x:f>
        <x:v>1</x:v>
      </x:c>
      <x:c r="K1067" s="6" t="n">
        <x:f>IF(G1067&gt;H1067,1,0)</x:f>
        <x:v>0</x:v>
      </x:c>
      <x:c r="L1067" s="6" t="n">
        <x:f>J1067*K1067</x:f>
        <x:v>0</x:v>
      </x:c>
    </x:row>
    <x:row r="1068">
      <x:c r="A1068" s="1" t="n">
        <x:v>9292</x:v>
      </x:c>
      <x:c r="B1068" s="5" t="d">
        <x:v>2015-05-16T00:00:00.000Z</x:v>
      </x:c>
      <x:c r="C1068" s="1" t="str">
        <x:v>Standard Class</x:v>
      </x:c>
      <x:c r="D1068" s="1" t="str">
        <x:v>LATAM</x:v>
      </x:c>
      <x:c r="E1068" s="1" t="str">
        <x:v>COMPLETE</x:v>
      </x:c>
      <x:c r="F1068" s="1" t="str">
        <x:v>Advance shipping</x:v>
      </x:c>
      <x:c r="G1068" s="6" t="n">
        <x:v>3</x:v>
      </x:c>
      <x:c r="H1068" s="6" t="n">
        <x:v>4</x:v>
      </x:c>
      <x:c r="I1068" s="6" t="n">
        <x:f>G1068-H1068</x:f>
        <x:v>-1</x:v>
      </x:c>
      <x:c r="J1068" s="6" t="n">
        <x:f>IF(OR(E1068="CANCELED",E1068="SUSPECTED_FRAUD",F1068="Shipping canceled"),0,1)</x:f>
        <x:v>1</x:v>
      </x:c>
      <x:c r="K1068" s="6" t="n">
        <x:f>IF(G1068&gt;H1068,1,0)</x:f>
        <x:v>0</x:v>
      </x:c>
      <x:c r="L1068" s="6" t="n">
        <x:f>J1068*K1068</x:f>
        <x:v>0</x:v>
      </x:c>
    </x:row>
    <x:row r="1069">
      <x:c r="A1069" s="1" t="n">
        <x:v>9298</x:v>
      </x:c>
      <x:c r="B1069" s="5" t="d">
        <x:v>2015-05-16T00:00:00.000Z</x:v>
      </x:c>
      <x:c r="C1069" s="1" t="str">
        <x:v>Standard Class</x:v>
      </x:c>
      <x:c r="D1069" s="1" t="str">
        <x:v>LATAM</x:v>
      </x:c>
      <x:c r="E1069" s="1" t="str">
        <x:v>PENDING_PAYMENT</x:v>
      </x:c>
      <x:c r="F1069" s="1" t="str">
        <x:v>Shipping on time</x:v>
      </x:c>
      <x:c r="G1069" s="6" t="n">
        <x:v>4</x:v>
      </x:c>
      <x:c r="H1069" s="6" t="n">
        <x:v>4</x:v>
      </x:c>
      <x:c r="I1069" s="6" t="n">
        <x:f>G1069-H1069</x:f>
        <x:v>0</x:v>
      </x:c>
      <x:c r="J1069" s="6" t="n">
        <x:f>IF(OR(E1069="CANCELED",E1069="SUSPECTED_FRAUD",F1069="Shipping canceled"),0,1)</x:f>
        <x:v>1</x:v>
      </x:c>
      <x:c r="K1069" s="6" t="n">
        <x:f>IF(G1069&gt;H1069,1,0)</x:f>
        <x:v>0</x:v>
      </x:c>
      <x:c r="L1069" s="6" t="n">
        <x:f>J1069*K1069</x:f>
        <x:v>0</x:v>
      </x:c>
    </x:row>
    <x:row r="1070">
      <x:c r="A1070" s="1" t="n">
        <x:v>9300</x:v>
      </x:c>
      <x:c r="B1070" s="5" t="d">
        <x:v>2015-05-16T00:00:00.000Z</x:v>
      </x:c>
      <x:c r="C1070" s="1" t="str">
        <x:v>Standard Class</x:v>
      </x:c>
      <x:c r="D1070" s="1" t="str">
        <x:v>LATAM</x:v>
      </x:c>
      <x:c r="E1070" s="1" t="str">
        <x:v>COMPLETE</x:v>
      </x:c>
      <x:c r="F1070" s="1" t="str">
        <x:v>Late delivery</x:v>
      </x:c>
      <x:c r="G1070" s="6" t="n">
        <x:v>6</x:v>
      </x:c>
      <x:c r="H1070" s="6" t="n">
        <x:v>4</x:v>
      </x:c>
      <x:c r="I1070" s="6" t="n">
        <x:f>G1070-H1070</x:f>
        <x:v>2</x:v>
      </x:c>
      <x:c r="J1070" s="6" t="n">
        <x:f>IF(OR(E1070="CANCELED",E1070="SUSPECTED_FRAUD",F1070="Shipping canceled"),0,1)</x:f>
        <x:v>1</x:v>
      </x:c>
      <x:c r="K1070" s="6" t="n">
        <x:f>IF(G1070&gt;H1070,1,0)</x:f>
        <x:v>1</x:v>
      </x:c>
      <x:c r="L1070" s="6" t="n">
        <x:f>J1070*K1070</x:f>
        <x:v>1</x:v>
      </x:c>
    </x:row>
    <x:row r="1071">
      <x:c r="A1071" s="1" t="n">
        <x:v>9307</x:v>
      </x:c>
      <x:c r="B1071" s="5" t="d">
        <x:v>2015-05-16T00:00:00.000Z</x:v>
      </x:c>
      <x:c r="C1071" s="1" t="str">
        <x:v>Second Class</x:v>
      </x:c>
      <x:c r="D1071" s="1" t="str">
        <x:v>LATAM</x:v>
      </x:c>
      <x:c r="E1071" s="1" t="str">
        <x:v>PROCESSING</x:v>
      </x:c>
      <x:c r="F1071" s="1" t="str">
        <x:v>Late delivery</x:v>
      </x:c>
      <x:c r="G1071" s="6" t="n">
        <x:v>3</x:v>
      </x:c>
      <x:c r="H1071" s="6" t="n">
        <x:v>2</x:v>
      </x:c>
      <x:c r="I1071" s="6" t="n">
        <x:f>G1071-H1071</x:f>
        <x:v>1</x:v>
      </x:c>
      <x:c r="J1071" s="6" t="n">
        <x:f>IF(OR(E1071="CANCELED",E1071="SUSPECTED_FRAUD",F1071="Shipping canceled"),0,1)</x:f>
        <x:v>1</x:v>
      </x:c>
      <x:c r="K1071" s="6" t="n">
        <x:f>IF(G1071&gt;H1071,1,0)</x:f>
        <x:v>1</x:v>
      </x:c>
      <x:c r="L1071" s="6" t="n">
        <x:f>J1071*K1071</x:f>
        <x:v>1</x:v>
      </x:c>
    </x:row>
    <x:row r="1072">
      <x:c r="A1072" s="1" t="n">
        <x:v>9309</x:v>
      </x:c>
      <x:c r="B1072" s="5" t="d">
        <x:v>2015-05-16T00:00:00.000Z</x:v>
      </x:c>
      <x:c r="C1072" s="1" t="str">
        <x:v>Standard Class</x:v>
      </x:c>
      <x:c r="D1072" s="1" t="str">
        <x:v>LATAM</x:v>
      </x:c>
      <x:c r="E1072" s="1" t="str">
        <x:v>PROCESSING</x:v>
      </x:c>
      <x:c r="F1072" s="1" t="str">
        <x:v>Late delivery</x:v>
      </x:c>
      <x:c r="G1072" s="6" t="n">
        <x:v>5</x:v>
      </x:c>
      <x:c r="H1072" s="6" t="n">
        <x:v>4</x:v>
      </x:c>
      <x:c r="I1072" s="6" t="n">
        <x:f>G1072-H1072</x:f>
        <x:v>1</x:v>
      </x:c>
      <x:c r="J1072" s="6" t="n">
        <x:f>IF(OR(E1072="CANCELED",E1072="SUSPECTED_FRAUD",F1072="Shipping canceled"),0,1)</x:f>
        <x:v>1</x:v>
      </x:c>
      <x:c r="K1072" s="6" t="n">
        <x:f>IF(G1072&gt;H1072,1,0)</x:f>
        <x:v>1</x:v>
      </x:c>
      <x:c r="L1072" s="6" t="n">
        <x:f>J1072*K1072</x:f>
        <x:v>1</x:v>
      </x:c>
    </x:row>
    <x:row r="1073">
      <x:c r="A1073" s="1" t="n">
        <x:v>9321</x:v>
      </x:c>
      <x:c r="B1073" s="5" t="d">
        <x:v>2015-05-17T00:00:00.000Z</x:v>
      </x:c>
      <x:c r="C1073" s="1" t="str">
        <x:v>Second Class</x:v>
      </x:c>
      <x:c r="D1073" s="1" t="str">
        <x:v>LATAM</x:v>
      </x:c>
      <x:c r="E1073" s="1" t="str">
        <x:v>CLOSED</x:v>
      </x:c>
      <x:c r="F1073" s="1" t="str">
        <x:v>Shipping on time</x:v>
      </x:c>
      <x:c r="G1073" s="6" t="n">
        <x:v>2</x:v>
      </x:c>
      <x:c r="H1073" s="6" t="n">
        <x:v>2</x:v>
      </x:c>
      <x:c r="I1073" s="6" t="n">
        <x:f>G1073-H1073</x:f>
        <x:v>0</x:v>
      </x:c>
      <x:c r="J1073" s="6" t="n">
        <x:f>IF(OR(E1073="CANCELED",E1073="SUSPECTED_FRAUD",F1073="Shipping canceled"),0,1)</x:f>
        <x:v>1</x:v>
      </x:c>
      <x:c r="K1073" s="6" t="n">
        <x:f>IF(G1073&gt;H1073,1,0)</x:f>
        <x:v>0</x:v>
      </x:c>
      <x:c r="L1073" s="6" t="n">
        <x:f>J1073*K1073</x:f>
        <x:v>0</x:v>
      </x:c>
    </x:row>
    <x:row r="1074">
      <x:c r="A1074" s="1" t="n">
        <x:v>9323</x:v>
      </x:c>
      <x:c r="B1074" s="5" t="d">
        <x:v>2015-05-17T00:00:00.000Z</x:v>
      </x:c>
      <x:c r="C1074" s="1" t="str">
        <x:v>Standard Class</x:v>
      </x:c>
      <x:c r="D1074" s="1" t="str">
        <x:v>LATAM</x:v>
      </x:c>
      <x:c r="E1074" s="1" t="str">
        <x:v>ON_HOLD</x:v>
      </x:c>
      <x:c r="F1074" s="1" t="str">
        <x:v>Shipping on time</x:v>
      </x:c>
      <x:c r="G1074" s="6" t="n">
        <x:v>4</x:v>
      </x:c>
      <x:c r="H1074" s="6" t="n">
        <x:v>4</x:v>
      </x:c>
      <x:c r="I1074" s="6" t="n">
        <x:f>G1074-H1074</x:f>
        <x:v>0</x:v>
      </x:c>
      <x:c r="J1074" s="6" t="n">
        <x:f>IF(OR(E1074="CANCELED",E1074="SUSPECTED_FRAUD",F1074="Shipping canceled"),0,1)</x:f>
        <x:v>1</x:v>
      </x:c>
      <x:c r="K1074" s="6" t="n">
        <x:f>IF(G1074&gt;H1074,1,0)</x:f>
        <x:v>0</x:v>
      </x:c>
      <x:c r="L1074" s="6" t="n">
        <x:f>J1074*K1074</x:f>
        <x:v>0</x:v>
      </x:c>
    </x:row>
    <x:row r="1075">
      <x:c r="A1075" s="1" t="n">
        <x:v>9325</x:v>
      </x:c>
      <x:c r="B1075" s="5" t="d">
        <x:v>2015-05-17T00:00:00.000Z</x:v>
      </x:c>
      <x:c r="C1075" s="1" t="str">
        <x:v>Standard Class</x:v>
      </x:c>
      <x:c r="D1075" s="1" t="str">
        <x:v>LATAM</x:v>
      </x:c>
      <x:c r="E1075" s="1" t="str">
        <x:v>COMPLETE</x:v>
      </x:c>
      <x:c r="F1075" s="1" t="str">
        <x:v>Late delivery</x:v>
      </x:c>
      <x:c r="G1075" s="6" t="n">
        <x:v>6</x:v>
      </x:c>
      <x:c r="H1075" s="6" t="n">
        <x:v>4</x:v>
      </x:c>
      <x:c r="I1075" s="6" t="n">
        <x:f>G1075-H1075</x:f>
        <x:v>2</x:v>
      </x:c>
      <x:c r="J1075" s="6" t="n">
        <x:f>IF(OR(E1075="CANCELED",E1075="SUSPECTED_FRAUD",F1075="Shipping canceled"),0,1)</x:f>
        <x:v>1</x:v>
      </x:c>
      <x:c r="K1075" s="6" t="n">
        <x:f>IF(G1075&gt;H1075,1,0)</x:f>
        <x:v>1</x:v>
      </x:c>
      <x:c r="L1075" s="6" t="n">
        <x:f>J1075*K1075</x:f>
        <x:v>1</x:v>
      </x:c>
    </x:row>
    <x:row r="1076">
      <x:c r="A1076" s="1" t="n">
        <x:v>9331</x:v>
      </x:c>
      <x:c r="B1076" s="5" t="d">
        <x:v>2015-05-17T00:00:00.000Z</x:v>
      </x:c>
      <x:c r="C1076" s="1" t="str">
        <x:v>Standard Class</x:v>
      </x:c>
      <x:c r="D1076" s="1" t="str">
        <x:v>LATAM</x:v>
      </x:c>
      <x:c r="E1076" s="1" t="str">
        <x:v>PROCESSING</x:v>
      </x:c>
      <x:c r="F1076" s="1" t="str">
        <x:v>Advance shipping</x:v>
      </x:c>
      <x:c r="G1076" s="6" t="n">
        <x:v>2</x:v>
      </x:c>
      <x:c r="H1076" s="6" t="n">
        <x:v>4</x:v>
      </x:c>
      <x:c r="I1076" s="6" t="n">
        <x:f>G1076-H1076</x:f>
        <x:v>-2</x:v>
      </x:c>
      <x:c r="J1076" s="6" t="n">
        <x:f>IF(OR(E1076="CANCELED",E1076="SUSPECTED_FRAUD",F1076="Shipping canceled"),0,1)</x:f>
        <x:v>1</x:v>
      </x:c>
      <x:c r="K1076" s="6" t="n">
        <x:f>IF(G1076&gt;H1076,1,0)</x:f>
        <x:v>0</x:v>
      </x:c>
      <x:c r="L1076" s="6" t="n">
        <x:f>J1076*K1076</x:f>
        <x:v>0</x:v>
      </x:c>
    </x:row>
    <x:row r="1077">
      <x:c r="A1077" s="1" t="n">
        <x:v>9333</x:v>
      </x:c>
      <x:c r="B1077" s="5" t="d">
        <x:v>2015-05-17T00:00:00.000Z</x:v>
      </x:c>
      <x:c r="C1077" s="1" t="str">
        <x:v>Standard Class</x:v>
      </x:c>
      <x:c r="D1077" s="1" t="str">
        <x:v>LATAM</x:v>
      </x:c>
      <x:c r="E1077" s="1" t="str">
        <x:v>COMPLETE</x:v>
      </x:c>
      <x:c r="F1077" s="1" t="str">
        <x:v>Shipping on time</x:v>
      </x:c>
      <x:c r="G1077" s="6" t="n">
        <x:v>4</x:v>
      </x:c>
      <x:c r="H1077" s="6" t="n">
        <x:v>4</x:v>
      </x:c>
      <x:c r="I1077" s="6" t="n">
        <x:f>G1077-H1077</x:f>
        <x:v>0</x:v>
      </x:c>
      <x:c r="J1077" s="6" t="n">
        <x:f>IF(OR(E1077="CANCELED",E1077="SUSPECTED_FRAUD",F1077="Shipping canceled"),0,1)</x:f>
        <x:v>1</x:v>
      </x:c>
      <x:c r="K1077" s="6" t="n">
        <x:f>IF(G1077&gt;H1077,1,0)</x:f>
        <x:v>0</x:v>
      </x:c>
      <x:c r="L1077" s="6" t="n">
        <x:f>J1077*K1077</x:f>
        <x:v>0</x:v>
      </x:c>
    </x:row>
    <x:row r="1078">
      <x:c r="A1078" s="1" t="n">
        <x:v>9340</x:v>
      </x:c>
      <x:c r="B1078" s="5" t="d">
        <x:v>2015-05-17T00:00:00.000Z</x:v>
      </x:c>
      <x:c r="C1078" s="1" t="str">
        <x:v>Standard Class</x:v>
      </x:c>
      <x:c r="D1078" s="1" t="str">
        <x:v>LATAM</x:v>
      </x:c>
      <x:c r="E1078" s="1" t="str">
        <x:v>PROCESSING</x:v>
      </x:c>
      <x:c r="F1078" s="1" t="str">
        <x:v>Late delivery</x:v>
      </x:c>
      <x:c r="G1078" s="6" t="n">
        <x:v>6</x:v>
      </x:c>
      <x:c r="H1078" s="6" t="n">
        <x:v>4</x:v>
      </x:c>
      <x:c r="I1078" s="6" t="n">
        <x:f>G1078-H1078</x:f>
        <x:v>2</x:v>
      </x:c>
      <x:c r="J1078" s="6" t="n">
        <x:f>IF(OR(E1078="CANCELED",E1078="SUSPECTED_FRAUD",F1078="Shipping canceled"),0,1)</x:f>
        <x:v>1</x:v>
      </x:c>
      <x:c r="K1078" s="6" t="n">
        <x:f>IF(G1078&gt;H1078,1,0)</x:f>
        <x:v>1</x:v>
      </x:c>
      <x:c r="L1078" s="6" t="n">
        <x:f>J1078*K1078</x:f>
        <x:v>1</x:v>
      </x:c>
    </x:row>
    <x:row r="1079">
      <x:c r="A1079" s="1" t="n">
        <x:v>9341</x:v>
      </x:c>
      <x:c r="B1079" s="5" t="d">
        <x:v>2015-05-17T00:00:00.000Z</x:v>
      </x:c>
      <x:c r="C1079" s="1" t="str">
        <x:v>Standard Class</x:v>
      </x:c>
      <x:c r="D1079" s="1" t="str">
        <x:v>LATAM</x:v>
      </x:c>
      <x:c r="E1079" s="1" t="str">
        <x:v>COMPLETE</x:v>
      </x:c>
      <x:c r="F1079" s="1" t="str">
        <x:v>Advance shipping</x:v>
      </x:c>
      <x:c r="G1079" s="6" t="n">
        <x:v>2</x:v>
      </x:c>
      <x:c r="H1079" s="6" t="n">
        <x:v>4</x:v>
      </x:c>
      <x:c r="I1079" s="6" t="n">
        <x:f>G1079-H1079</x:f>
        <x:v>-2</x:v>
      </x:c>
      <x:c r="J1079" s="6" t="n">
        <x:f>IF(OR(E1079="CANCELED",E1079="SUSPECTED_FRAUD",F1079="Shipping canceled"),0,1)</x:f>
        <x:v>1</x:v>
      </x:c>
      <x:c r="K1079" s="6" t="n">
        <x:f>IF(G1079&gt;H1079,1,0)</x:f>
        <x:v>0</x:v>
      </x:c>
      <x:c r="L1079" s="6" t="n">
        <x:f>J1079*K1079</x:f>
        <x:v>0</x:v>
      </x:c>
    </x:row>
    <x:row r="1080">
      <x:c r="A1080" s="1" t="n">
        <x:v>9348</x:v>
      </x:c>
      <x:c r="B1080" s="5" t="d">
        <x:v>2015-05-17T00:00:00.000Z</x:v>
      </x:c>
      <x:c r="C1080" s="1" t="str">
        <x:v>Standard Class</x:v>
      </x:c>
      <x:c r="D1080" s="1" t="str">
        <x:v>LATAM</x:v>
      </x:c>
      <x:c r="E1080" s="1" t="str">
        <x:v>PENDING</x:v>
      </x:c>
      <x:c r="F1080" s="1" t="str">
        <x:v>Shipping on time</x:v>
      </x:c>
      <x:c r="G1080" s="6" t="n">
        <x:v>4</x:v>
      </x:c>
      <x:c r="H1080" s="6" t="n">
        <x:v>4</x:v>
      </x:c>
      <x:c r="I1080" s="6" t="n">
        <x:f>G1080-H1080</x:f>
        <x:v>0</x:v>
      </x:c>
      <x:c r="J1080" s="6" t="n">
        <x:f>IF(OR(E1080="CANCELED",E1080="SUSPECTED_FRAUD",F1080="Shipping canceled"),0,1)</x:f>
        <x:v>1</x:v>
      </x:c>
      <x:c r="K1080" s="6" t="n">
        <x:f>IF(G1080&gt;H1080,1,0)</x:f>
        <x:v>0</x:v>
      </x:c>
      <x:c r="L1080" s="6" t="n">
        <x:f>J1080*K1080</x:f>
        <x:v>0</x:v>
      </x:c>
    </x:row>
    <x:row r="1081">
      <x:c r="A1081" s="1" t="n">
        <x:v>9352</x:v>
      </x:c>
      <x:c r="B1081" s="5" t="d">
        <x:v>2015-05-17T00:00:00.000Z</x:v>
      </x:c>
      <x:c r="C1081" s="1" t="str">
        <x:v>Standard Class</x:v>
      </x:c>
      <x:c r="D1081" s="1" t="str">
        <x:v>LATAM</x:v>
      </x:c>
      <x:c r="E1081" s="1" t="str">
        <x:v>COMPLETE</x:v>
      </x:c>
      <x:c r="F1081" s="1" t="str">
        <x:v>Advance shipping</x:v>
      </x:c>
      <x:c r="G1081" s="6" t="n">
        <x:v>3</x:v>
      </x:c>
      <x:c r="H1081" s="6" t="n">
        <x:v>4</x:v>
      </x:c>
      <x:c r="I1081" s="6" t="n">
        <x:f>G1081-H1081</x:f>
        <x:v>-1</x:v>
      </x:c>
      <x:c r="J1081" s="6" t="n">
        <x:f>IF(OR(E1081="CANCELED",E1081="SUSPECTED_FRAUD",F1081="Shipping canceled"),0,1)</x:f>
        <x:v>1</x:v>
      </x:c>
      <x:c r="K1081" s="6" t="n">
        <x:f>IF(G1081&gt;H1081,1,0)</x:f>
        <x:v>0</x:v>
      </x:c>
      <x:c r="L1081" s="6" t="n">
        <x:f>J1081*K1081</x:f>
        <x:v>0</x:v>
      </x:c>
    </x:row>
    <x:row r="1082">
      <x:c r="A1082" s="1" t="n">
        <x:v>9358</x:v>
      </x:c>
      <x:c r="B1082" s="5" t="d">
        <x:v>2015-05-17T00:00:00.000Z</x:v>
      </x:c>
      <x:c r="C1082" s="1" t="str">
        <x:v>Standard Class</x:v>
      </x:c>
      <x:c r="D1082" s="1" t="str">
        <x:v>LATAM</x:v>
      </x:c>
      <x:c r="E1082" s="1" t="str">
        <x:v>PENDING_PAYMENT</x:v>
      </x:c>
      <x:c r="F1082" s="1" t="str">
        <x:v>Shipping on time</x:v>
      </x:c>
      <x:c r="G1082" s="6" t="n">
        <x:v>4</x:v>
      </x:c>
      <x:c r="H1082" s="6" t="n">
        <x:v>4</x:v>
      </x:c>
      <x:c r="I1082" s="6" t="n">
        <x:f>G1082-H1082</x:f>
        <x:v>0</x:v>
      </x:c>
      <x:c r="J1082" s="6" t="n">
        <x:f>IF(OR(E1082="CANCELED",E1082="SUSPECTED_FRAUD",F1082="Shipping canceled"),0,1)</x:f>
        <x:v>1</x:v>
      </x:c>
      <x:c r="K1082" s="6" t="n">
        <x:f>IF(G1082&gt;H1082,1,0)</x:f>
        <x:v>0</x:v>
      </x:c>
      <x:c r="L1082" s="6" t="n">
        <x:f>J1082*K1082</x:f>
        <x:v>0</x:v>
      </x:c>
    </x:row>
    <x:row r="1083">
      <x:c r="A1083" s="1" t="n">
        <x:v>9362</x:v>
      </x:c>
      <x:c r="B1083" s="5" t="d">
        <x:v>2015-05-17T00:00:00.000Z</x:v>
      </x:c>
      <x:c r="C1083" s="1" t="str">
        <x:v>Standard Class</x:v>
      </x:c>
      <x:c r="D1083" s="1" t="str">
        <x:v>LATAM</x:v>
      </x:c>
      <x:c r="E1083" s="1" t="str">
        <x:v>COMPLETE</x:v>
      </x:c>
      <x:c r="F1083" s="1" t="str">
        <x:v>Advance shipping</x:v>
      </x:c>
      <x:c r="G1083" s="6" t="n">
        <x:v>3</x:v>
      </x:c>
      <x:c r="H1083" s="6" t="n">
        <x:v>4</x:v>
      </x:c>
      <x:c r="I1083" s="6" t="n">
        <x:f>G1083-H1083</x:f>
        <x:v>-1</x:v>
      </x:c>
      <x:c r="J1083" s="6" t="n">
        <x:f>IF(OR(E1083="CANCELED",E1083="SUSPECTED_FRAUD",F1083="Shipping canceled"),0,1)</x:f>
        <x:v>1</x:v>
      </x:c>
      <x:c r="K1083" s="6" t="n">
        <x:f>IF(G1083&gt;H1083,1,0)</x:f>
        <x:v>0</x:v>
      </x:c>
      <x:c r="L1083" s="6" t="n">
        <x:f>J1083*K1083</x:f>
        <x:v>0</x:v>
      </x:c>
    </x:row>
    <x:row r="1084">
      <x:c r="A1084" s="1" t="n">
        <x:v>9367</x:v>
      </x:c>
      <x:c r="B1084" s="5" t="d">
        <x:v>2015-05-17T00:00:00.000Z</x:v>
      </x:c>
      <x:c r="C1084" s="1" t="str">
        <x:v>Standard Class</x:v>
      </x:c>
      <x:c r="D1084" s="1" t="str">
        <x:v>LATAM</x:v>
      </x:c>
      <x:c r="E1084" s="1" t="str">
        <x:v>PROCESSING</x:v>
      </x:c>
      <x:c r="F1084" s="1" t="str">
        <x:v>Advance shipping</x:v>
      </x:c>
      <x:c r="G1084" s="6" t="n">
        <x:v>3</x:v>
      </x:c>
      <x:c r="H1084" s="6" t="n">
        <x:v>4</x:v>
      </x:c>
      <x:c r="I1084" s="6" t="n">
        <x:f>G1084-H1084</x:f>
        <x:v>-1</x:v>
      </x:c>
      <x:c r="J1084" s="6" t="n">
        <x:f>IF(OR(E1084="CANCELED",E1084="SUSPECTED_FRAUD",F1084="Shipping canceled"),0,1)</x:f>
        <x:v>1</x:v>
      </x:c>
      <x:c r="K1084" s="6" t="n">
        <x:f>IF(G1084&gt;H1084,1,0)</x:f>
        <x:v>0</x:v>
      </x:c>
      <x:c r="L1084" s="6" t="n">
        <x:f>J1084*K1084</x:f>
        <x:v>0</x:v>
      </x:c>
    </x:row>
    <x:row r="1085">
      <x:c r="A1085" s="1" t="n">
        <x:v>9374</x:v>
      </x:c>
      <x:c r="B1085" s="5" t="d">
        <x:v>2015-05-17T00:00:00.000Z</x:v>
      </x:c>
      <x:c r="C1085" s="1" t="str">
        <x:v>Standard Class</x:v>
      </x:c>
      <x:c r="D1085" s="1" t="str">
        <x:v>LATAM</x:v>
      </x:c>
      <x:c r="E1085" s="1" t="str">
        <x:v>COMPLETE</x:v>
      </x:c>
      <x:c r="F1085" s="1" t="str">
        <x:v>Late delivery</x:v>
      </x:c>
      <x:c r="G1085" s="6" t="n">
        <x:v>5</x:v>
      </x:c>
      <x:c r="H1085" s="6" t="n">
        <x:v>4</x:v>
      </x:c>
      <x:c r="I1085" s="6" t="n">
        <x:f>G1085-H1085</x:f>
        <x:v>1</x:v>
      </x:c>
      <x:c r="J1085" s="6" t="n">
        <x:f>IF(OR(E1085="CANCELED",E1085="SUSPECTED_FRAUD",F1085="Shipping canceled"),0,1)</x:f>
        <x:v>1</x:v>
      </x:c>
      <x:c r="K1085" s="6" t="n">
        <x:f>IF(G1085&gt;H1085,1,0)</x:f>
        <x:v>1</x:v>
      </x:c>
      <x:c r="L1085" s="6" t="n">
        <x:f>J1085*K1085</x:f>
        <x:v>1</x:v>
      </x:c>
    </x:row>
    <x:row r="1086">
      <x:c r="A1086" s="1" t="n">
        <x:v>9412</x:v>
      </x:c>
      <x:c r="B1086" s="5" t="d">
        <x:v>2015-05-18T00:00:00.000Z</x:v>
      </x:c>
      <x:c r="C1086" s="1" t="str">
        <x:v>Standard Class</x:v>
      </x:c>
      <x:c r="D1086" s="1" t="str">
        <x:v>LATAM</x:v>
      </x:c>
      <x:c r="E1086" s="1" t="str">
        <x:v>COMPLETE</x:v>
      </x:c>
      <x:c r="F1086" s="1" t="str">
        <x:v>Advance shipping</x:v>
      </x:c>
      <x:c r="G1086" s="6" t="n">
        <x:v>3</x:v>
      </x:c>
      <x:c r="H1086" s="6" t="n">
        <x:v>4</x:v>
      </x:c>
      <x:c r="I1086" s="6" t="n">
        <x:f>G1086-H1086</x:f>
        <x:v>-1</x:v>
      </x:c>
      <x:c r="J1086" s="6" t="n">
        <x:f>IF(OR(E1086="CANCELED",E1086="SUSPECTED_FRAUD",F1086="Shipping canceled"),0,1)</x:f>
        <x:v>1</x:v>
      </x:c>
      <x:c r="K1086" s="6" t="n">
        <x:f>IF(G1086&gt;H1086,1,0)</x:f>
        <x:v>0</x:v>
      </x:c>
      <x:c r="L1086" s="6" t="n">
        <x:f>J1086*K1086</x:f>
        <x:v>0</x:v>
      </x:c>
    </x:row>
    <x:row r="1087">
      <x:c r="A1087" s="1" t="n">
        <x:v>9413</x:v>
      </x:c>
      <x:c r="B1087" s="5" t="d">
        <x:v>2015-05-18T00:00:00.000Z</x:v>
      </x:c>
      <x:c r="C1087" s="1" t="str">
        <x:v>Standard Class</x:v>
      </x:c>
      <x:c r="D1087" s="1" t="str">
        <x:v>LATAM</x:v>
      </x:c>
      <x:c r="E1087" s="1" t="str">
        <x:v>COMPLETE</x:v>
      </x:c>
      <x:c r="F1087" s="1" t="str">
        <x:v>Shipping on time</x:v>
      </x:c>
      <x:c r="G1087" s="6" t="n">
        <x:v>4</x:v>
      </x:c>
      <x:c r="H1087" s="6" t="n">
        <x:v>4</x:v>
      </x:c>
      <x:c r="I1087" s="6" t="n">
        <x:f>G1087-H1087</x:f>
        <x:v>0</x:v>
      </x:c>
      <x:c r="J1087" s="6" t="n">
        <x:f>IF(OR(E1087="CANCELED",E1087="SUSPECTED_FRAUD",F1087="Shipping canceled"),0,1)</x:f>
        <x:v>1</x:v>
      </x:c>
      <x:c r="K1087" s="6" t="n">
        <x:f>IF(G1087&gt;H1087,1,0)</x:f>
        <x:v>0</x:v>
      </x:c>
      <x:c r="L1087" s="6" t="n">
        <x:f>J1087*K1087</x:f>
        <x:v>0</x:v>
      </x:c>
    </x:row>
    <x:row r="1088">
      <x:c r="A1088" s="1" t="n">
        <x:v>9420</x:v>
      </x:c>
      <x:c r="B1088" s="5" t="d">
        <x:v>2015-05-18T00:00:00.000Z</x:v>
      </x:c>
      <x:c r="C1088" s="1" t="str">
        <x:v>Standard Class</x:v>
      </x:c>
      <x:c r="D1088" s="1" t="str">
        <x:v>LATAM</x:v>
      </x:c>
      <x:c r="E1088" s="1" t="str">
        <x:v>COMPLETE</x:v>
      </x:c>
      <x:c r="F1088" s="1" t="str">
        <x:v>Late delivery</x:v>
      </x:c>
      <x:c r="G1088" s="6" t="n">
        <x:v>6</x:v>
      </x:c>
      <x:c r="H1088" s="6" t="n">
        <x:v>4</x:v>
      </x:c>
      <x:c r="I1088" s="6" t="n">
        <x:f>G1088-H1088</x:f>
        <x:v>2</x:v>
      </x:c>
      <x:c r="J1088" s="6" t="n">
        <x:f>IF(OR(E1088="CANCELED",E1088="SUSPECTED_FRAUD",F1088="Shipping canceled"),0,1)</x:f>
        <x:v>1</x:v>
      </x:c>
      <x:c r="K1088" s="6" t="n">
        <x:f>IF(G1088&gt;H1088,1,0)</x:f>
        <x:v>1</x:v>
      </x:c>
      <x:c r="L1088" s="6" t="n">
        <x:f>J1088*K1088</x:f>
        <x:v>1</x:v>
      </x:c>
    </x:row>
    <x:row r="1089">
      <x:c r="A1089" s="1" t="n">
        <x:v>9434</x:v>
      </x:c>
      <x:c r="B1089" s="5" t="d">
        <x:v>2015-05-18T00:00:00.000Z</x:v>
      </x:c>
      <x:c r="C1089" s="1" t="str">
        <x:v>Standard Class</x:v>
      </x:c>
      <x:c r="D1089" s="1" t="str">
        <x:v>LATAM</x:v>
      </x:c>
      <x:c r="E1089" s="1" t="str">
        <x:v>COMPLETE</x:v>
      </x:c>
      <x:c r="F1089" s="1" t="str">
        <x:v>Late delivery</x:v>
      </x:c>
      <x:c r="G1089" s="6" t="n">
        <x:v>5</x:v>
      </x:c>
      <x:c r="H1089" s="6" t="n">
        <x:v>4</x:v>
      </x:c>
      <x:c r="I1089" s="6" t="n">
        <x:f>G1089-H1089</x:f>
        <x:v>1</x:v>
      </x:c>
      <x:c r="J1089" s="6" t="n">
        <x:f>IF(OR(E1089="CANCELED",E1089="SUSPECTED_FRAUD",F1089="Shipping canceled"),0,1)</x:f>
        <x:v>1</x:v>
      </x:c>
      <x:c r="K1089" s="6" t="n">
        <x:f>IF(G1089&gt;H1089,1,0)</x:f>
        <x:v>1</x:v>
      </x:c>
      <x:c r="L1089" s="6" t="n">
        <x:f>J1089*K1089</x:f>
        <x:v>1</x:v>
      </x:c>
    </x:row>
    <x:row r="1090">
      <x:c r="A1090" s="1" t="n">
        <x:v>9443</x:v>
      </x:c>
      <x:c r="B1090" s="5" t="d">
        <x:v>2015-05-18T00:00:00.000Z</x:v>
      </x:c>
      <x:c r="C1090" s="1" t="str">
        <x:v>First Class</x:v>
      </x:c>
      <x:c r="D1090" s="1" t="str">
        <x:v>LATAM</x:v>
      </x:c>
      <x:c r="E1090" s="1" t="str">
        <x:v>CLOSED</x:v>
      </x:c>
      <x:c r="F1090" s="1" t="str">
        <x:v>Late delivery</x:v>
      </x:c>
      <x:c r="G1090" s="6" t="n">
        <x:v>2</x:v>
      </x:c>
      <x:c r="H1090" s="6" t="n">
        <x:v>1</x:v>
      </x:c>
      <x:c r="I1090" s="6" t="n">
        <x:f>G1090-H1090</x:f>
        <x:v>1</x:v>
      </x:c>
      <x:c r="J1090" s="6" t="n">
        <x:f>IF(OR(E1090="CANCELED",E1090="SUSPECTED_FRAUD",F1090="Shipping canceled"),0,1)</x:f>
        <x:v>1</x:v>
      </x:c>
      <x:c r="K1090" s="6" t="n">
        <x:f>IF(G1090&gt;H1090,1,0)</x:f>
        <x:v>1</x:v>
      </x:c>
      <x:c r="L1090" s="6" t="n">
        <x:f>J1090*K1090</x:f>
        <x:v>1</x:v>
      </x:c>
    </x:row>
    <x:row r="1091">
      <x:c r="A1091" s="1" t="n">
        <x:v>9454</x:v>
      </x:c>
      <x:c r="B1091" s="5" t="d">
        <x:v>2015-05-18T00:00:00.000Z</x:v>
      </x:c>
      <x:c r="C1091" s="1" t="str">
        <x:v>Standard Class</x:v>
      </x:c>
      <x:c r="D1091" s="1" t="str">
        <x:v>LATAM</x:v>
      </x:c>
      <x:c r="E1091" s="1" t="str">
        <x:v>PENDING</x:v>
      </x:c>
      <x:c r="F1091" s="1" t="str">
        <x:v>Late delivery</x:v>
      </x:c>
      <x:c r="G1091" s="6" t="n">
        <x:v>5</x:v>
      </x:c>
      <x:c r="H1091" s="6" t="n">
        <x:v>4</x:v>
      </x:c>
      <x:c r="I1091" s="6" t="n">
        <x:f>G1091-H1091</x:f>
        <x:v>1</x:v>
      </x:c>
      <x:c r="J1091" s="6" t="n">
        <x:f>IF(OR(E1091="CANCELED",E1091="SUSPECTED_FRAUD",F1091="Shipping canceled"),0,1)</x:f>
        <x:v>1</x:v>
      </x:c>
      <x:c r="K1091" s="6" t="n">
        <x:f>IF(G1091&gt;H1091,1,0)</x:f>
        <x:v>1</x:v>
      </x:c>
      <x:c r="L1091" s="6" t="n">
        <x:f>J1091*K1091</x:f>
        <x:v>1</x:v>
      </x:c>
    </x:row>
    <x:row r="1092">
      <x:c r="A1092" s="1" t="n">
        <x:v>9456</x:v>
      </x:c>
      <x:c r="B1092" s="5" t="d">
        <x:v>2015-05-19T00:00:00.000Z</x:v>
      </x:c>
      <x:c r="C1092" s="1" t="str">
        <x:v>Standard Class</x:v>
      </x:c>
      <x:c r="D1092" s="1" t="str">
        <x:v>LATAM</x:v>
      </x:c>
      <x:c r="E1092" s="1" t="str">
        <x:v>COMPLETE</x:v>
      </x:c>
      <x:c r="F1092" s="1" t="str">
        <x:v>Advance shipping</x:v>
      </x:c>
      <x:c r="G1092" s="6" t="n">
        <x:v>2</x:v>
      </x:c>
      <x:c r="H1092" s="6" t="n">
        <x:v>4</x:v>
      </x:c>
      <x:c r="I1092" s="6" t="n">
        <x:f>G1092-H1092</x:f>
        <x:v>-2</x:v>
      </x:c>
      <x:c r="J1092" s="6" t="n">
        <x:f>IF(OR(E1092="CANCELED",E1092="SUSPECTED_FRAUD",F1092="Shipping canceled"),0,1)</x:f>
        <x:v>1</x:v>
      </x:c>
      <x:c r="K1092" s="6" t="n">
        <x:f>IF(G1092&gt;H1092,1,0)</x:f>
        <x:v>0</x:v>
      </x:c>
      <x:c r="L1092" s="6" t="n">
        <x:f>J1092*K1092</x:f>
        <x:v>0</x:v>
      </x:c>
    </x:row>
    <x:row r="1093">
      <x:c r="A1093" s="1" t="n">
        <x:v>9467</x:v>
      </x:c>
      <x:c r="B1093" s="5" t="d">
        <x:v>2015-05-19T00:00:00.000Z</x:v>
      </x:c>
      <x:c r="C1093" s="1" t="str">
        <x:v>First Class</x:v>
      </x:c>
      <x:c r="D1093" s="1" t="str">
        <x:v>LATAM</x:v>
      </x:c>
      <x:c r="E1093" s="1" t="str">
        <x:v>CLOSED</x:v>
      </x:c>
      <x:c r="F1093" s="1" t="str">
        <x:v>Late delivery</x:v>
      </x:c>
      <x:c r="G1093" s="6" t="n">
        <x:v>2</x:v>
      </x:c>
      <x:c r="H1093" s="6" t="n">
        <x:v>1</x:v>
      </x:c>
      <x:c r="I1093" s="6" t="n">
        <x:f>G1093-H1093</x:f>
        <x:v>1</x:v>
      </x:c>
      <x:c r="J1093" s="6" t="n">
        <x:f>IF(OR(E1093="CANCELED",E1093="SUSPECTED_FRAUD",F1093="Shipping canceled"),0,1)</x:f>
        <x:v>1</x:v>
      </x:c>
      <x:c r="K1093" s="6" t="n">
        <x:f>IF(G1093&gt;H1093,1,0)</x:f>
        <x:v>1</x:v>
      </x:c>
      <x:c r="L1093" s="6" t="n">
        <x:f>J1093*K1093</x:f>
        <x:v>1</x:v>
      </x:c>
    </x:row>
    <x:row r="1094">
      <x:c r="A1094" s="1" t="n">
        <x:v>9471</x:v>
      </x:c>
      <x:c r="B1094" s="5" t="d">
        <x:v>2015-05-19T00:00:00.000Z</x:v>
      </x:c>
      <x:c r="C1094" s="1" t="str">
        <x:v>Second Class</x:v>
      </x:c>
      <x:c r="D1094" s="1" t="str">
        <x:v>LATAM</x:v>
      </x:c>
      <x:c r="E1094" s="1" t="str">
        <x:v>ON_HOLD</x:v>
      </x:c>
      <x:c r="F1094" s="1" t="str">
        <x:v>Shipping on time</x:v>
      </x:c>
      <x:c r="G1094" s="6" t="n">
        <x:v>2</x:v>
      </x:c>
      <x:c r="H1094" s="6" t="n">
        <x:v>2</x:v>
      </x:c>
      <x:c r="I1094" s="6" t="n">
        <x:f>G1094-H1094</x:f>
        <x:v>0</x:v>
      </x:c>
      <x:c r="J1094" s="6" t="n">
        <x:f>IF(OR(E1094="CANCELED",E1094="SUSPECTED_FRAUD",F1094="Shipping canceled"),0,1)</x:f>
        <x:v>1</x:v>
      </x:c>
      <x:c r="K1094" s="6" t="n">
        <x:f>IF(G1094&gt;H1094,1,0)</x:f>
        <x:v>0</x:v>
      </x:c>
      <x:c r="L1094" s="6" t="n">
        <x:f>J1094*K1094</x:f>
        <x:v>0</x:v>
      </x:c>
    </x:row>
    <x:row r="1095">
      <x:c r="A1095" s="1" t="n">
        <x:v>9478</x:v>
      </x:c>
      <x:c r="B1095" s="5" t="d">
        <x:v>2015-05-19T00:00:00.000Z</x:v>
      </x:c>
      <x:c r="C1095" s="1" t="str">
        <x:v>First Class</x:v>
      </x:c>
      <x:c r="D1095" s="1" t="str">
        <x:v>LATAM</x:v>
      </x:c>
      <x:c r="E1095" s="1" t="str">
        <x:v>PENDING</x:v>
      </x:c>
      <x:c r="F1095" s="1" t="str">
        <x:v>Late delivery</x:v>
      </x:c>
      <x:c r="G1095" s="6" t="n">
        <x:v>2</x:v>
      </x:c>
      <x:c r="H1095" s="6" t="n">
        <x:v>1</x:v>
      </x:c>
      <x:c r="I1095" s="6" t="n">
        <x:f>G1095-H1095</x:f>
        <x:v>1</x:v>
      </x:c>
      <x:c r="J1095" s="6" t="n">
        <x:f>IF(OR(E1095="CANCELED",E1095="SUSPECTED_FRAUD",F1095="Shipping canceled"),0,1)</x:f>
        <x:v>1</x:v>
      </x:c>
      <x:c r="K1095" s="6" t="n">
        <x:f>IF(G1095&gt;H1095,1,0)</x:f>
        <x:v>1</x:v>
      </x:c>
      <x:c r="L1095" s="6" t="n">
        <x:f>J1095*K1095</x:f>
        <x:v>1</x:v>
      </x:c>
    </x:row>
    <x:row r="1096">
      <x:c r="A1096" s="1" t="n">
        <x:v>9488</x:v>
      </x:c>
      <x:c r="B1096" s="5" t="d">
        <x:v>2015-05-19T00:00:00.000Z</x:v>
      </x:c>
      <x:c r="C1096" s="1" t="str">
        <x:v>Standard Class</x:v>
      </x:c>
      <x:c r="D1096" s="1" t="str">
        <x:v>LATAM</x:v>
      </x:c>
      <x:c r="E1096" s="1" t="str">
        <x:v>CLOSED</x:v>
      </x:c>
      <x:c r="F1096" s="1" t="str">
        <x:v>Shipping on time</x:v>
      </x:c>
      <x:c r="G1096" s="6" t="n">
        <x:v>4</x:v>
      </x:c>
      <x:c r="H1096" s="6" t="n">
        <x:v>4</x:v>
      </x:c>
      <x:c r="I1096" s="6" t="n">
        <x:f>G1096-H1096</x:f>
        <x:v>0</x:v>
      </x:c>
      <x:c r="J1096" s="6" t="n">
        <x:f>IF(OR(E1096="CANCELED",E1096="SUSPECTED_FRAUD",F1096="Shipping canceled"),0,1)</x:f>
        <x:v>1</x:v>
      </x:c>
      <x:c r="K1096" s="6" t="n">
        <x:f>IF(G1096&gt;H1096,1,0)</x:f>
        <x:v>0</x:v>
      </x:c>
      <x:c r="L1096" s="6" t="n">
        <x:f>J1096*K1096</x:f>
        <x:v>0</x:v>
      </x:c>
    </x:row>
    <x:row r="1097">
      <x:c r="A1097" s="1" t="n">
        <x:v>9490</x:v>
      </x:c>
      <x:c r="B1097" s="5" t="d">
        <x:v>2015-05-19T00:00:00.000Z</x:v>
      </x:c>
      <x:c r="C1097" s="1" t="str">
        <x:v>Standard Class</x:v>
      </x:c>
      <x:c r="D1097" s="1" t="str">
        <x:v>LATAM</x:v>
      </x:c>
      <x:c r="E1097" s="1" t="str">
        <x:v>COMPLETE</x:v>
      </x:c>
      <x:c r="F1097" s="1" t="str">
        <x:v>Late delivery</x:v>
      </x:c>
      <x:c r="G1097" s="6" t="n">
        <x:v>6</x:v>
      </x:c>
      <x:c r="H1097" s="6" t="n">
        <x:v>4</x:v>
      </x:c>
      <x:c r="I1097" s="6" t="n">
        <x:f>G1097-H1097</x:f>
        <x:v>2</x:v>
      </x:c>
      <x:c r="J1097" s="6" t="n">
        <x:f>IF(OR(E1097="CANCELED",E1097="SUSPECTED_FRAUD",F1097="Shipping canceled"),0,1)</x:f>
        <x:v>1</x:v>
      </x:c>
      <x:c r="K1097" s="6" t="n">
        <x:f>IF(G1097&gt;H1097,1,0)</x:f>
        <x:v>1</x:v>
      </x:c>
      <x:c r="L1097" s="6" t="n">
        <x:f>J1097*K1097</x:f>
        <x:v>1</x:v>
      </x:c>
    </x:row>
    <x:row r="1098">
      <x:c r="A1098" s="1" t="n">
        <x:v>9491</x:v>
      </x:c>
      <x:c r="B1098" s="5" t="d">
        <x:v>2015-05-19T00:00:00.000Z</x:v>
      </x:c>
      <x:c r="C1098" s="1" t="str">
        <x:v>Standard Class</x:v>
      </x:c>
      <x:c r="D1098" s="1" t="str">
        <x:v>LATAM</x:v>
      </x:c>
      <x:c r="E1098" s="1" t="str">
        <x:v>COMPLETE</x:v>
      </x:c>
      <x:c r="F1098" s="1" t="str">
        <x:v>Advance shipping</x:v>
      </x:c>
      <x:c r="G1098" s="6" t="n">
        <x:v>2</x:v>
      </x:c>
      <x:c r="H1098" s="6" t="n">
        <x:v>4</x:v>
      </x:c>
      <x:c r="I1098" s="6" t="n">
        <x:f>G1098-H1098</x:f>
        <x:v>-2</x:v>
      </x:c>
      <x:c r="J1098" s="6" t="n">
        <x:f>IF(OR(E1098="CANCELED",E1098="SUSPECTED_FRAUD",F1098="Shipping canceled"),0,1)</x:f>
        <x:v>1</x:v>
      </x:c>
      <x:c r="K1098" s="6" t="n">
        <x:f>IF(G1098&gt;H1098,1,0)</x:f>
        <x:v>0</x:v>
      </x:c>
      <x:c r="L1098" s="6" t="n">
        <x:f>J1098*K1098</x:f>
        <x:v>0</x:v>
      </x:c>
    </x:row>
    <x:row r="1099">
      <x:c r="A1099" s="1" t="n">
        <x:v>9497</x:v>
      </x:c>
      <x:c r="B1099" s="5" t="d">
        <x:v>2015-05-19T00:00:00.000Z</x:v>
      </x:c>
      <x:c r="C1099" s="1" t="str">
        <x:v>First Class</x:v>
      </x:c>
      <x:c r="D1099" s="1" t="str">
        <x:v>LATAM</x:v>
      </x:c>
      <x:c r="E1099" s="1" t="str">
        <x:v>CLOSED</x:v>
      </x:c>
      <x:c r="F1099" s="1" t="str">
        <x:v>Late delivery</x:v>
      </x:c>
      <x:c r="G1099" s="6" t="n">
        <x:v>2</x:v>
      </x:c>
      <x:c r="H1099" s="6" t="n">
        <x:v>1</x:v>
      </x:c>
      <x:c r="I1099" s="6" t="n">
        <x:f>G1099-H1099</x:f>
        <x:v>1</x:v>
      </x:c>
      <x:c r="J1099" s="6" t="n">
        <x:f>IF(OR(E1099="CANCELED",E1099="SUSPECTED_FRAUD",F1099="Shipping canceled"),0,1)</x:f>
        <x:v>1</x:v>
      </x:c>
      <x:c r="K1099" s="6" t="n">
        <x:f>IF(G1099&gt;H1099,1,0)</x:f>
        <x:v>1</x:v>
      </x:c>
      <x:c r="L1099" s="6" t="n">
        <x:f>J1099*K1099</x:f>
        <x:v>1</x:v>
      </x:c>
    </x:row>
    <x:row r="1100">
      <x:c r="A1100" s="1" t="n">
        <x:v>9510</x:v>
      </x:c>
      <x:c r="B1100" s="5" t="d">
        <x:v>2015-05-19T00:00:00.000Z</x:v>
      </x:c>
      <x:c r="C1100" s="1" t="str">
        <x:v>Standard Class</x:v>
      </x:c>
      <x:c r="D1100" s="1" t="str">
        <x:v>LATAM</x:v>
      </x:c>
      <x:c r="E1100" s="1" t="str">
        <x:v>COMPLETE</x:v>
      </x:c>
      <x:c r="F1100" s="1" t="str">
        <x:v>Late delivery</x:v>
      </x:c>
      <x:c r="G1100" s="6" t="n">
        <x:v>6</x:v>
      </x:c>
      <x:c r="H1100" s="6" t="n">
        <x:v>4</x:v>
      </x:c>
      <x:c r="I1100" s="6" t="n">
        <x:f>G1100-H1100</x:f>
        <x:v>2</x:v>
      </x:c>
      <x:c r="J1100" s="6" t="n">
        <x:f>IF(OR(E1100="CANCELED",E1100="SUSPECTED_FRAUD",F1100="Shipping canceled"),0,1)</x:f>
        <x:v>1</x:v>
      </x:c>
      <x:c r="K1100" s="6" t="n">
        <x:f>IF(G1100&gt;H1100,1,0)</x:f>
        <x:v>1</x:v>
      </x:c>
      <x:c r="L1100" s="6" t="n">
        <x:f>J1100*K1100</x:f>
        <x:v>1</x:v>
      </x:c>
    </x:row>
    <x:row r="1101">
      <x:c r="A1101" s="1" t="n">
        <x:v>9538</x:v>
      </x:c>
      <x:c r="B1101" s="5" t="d">
        <x:v>2015-05-20T00:00:00.000Z</x:v>
      </x:c>
      <x:c r="C1101" s="1" t="str">
        <x:v>Standard Class</x:v>
      </x:c>
      <x:c r="D1101" s="1" t="str">
        <x:v>LATAM</x:v>
      </x:c>
      <x:c r="E1101" s="1" t="str">
        <x:v>COMPLETE</x:v>
      </x:c>
      <x:c r="F1101" s="1" t="str">
        <x:v>Shipping on time</x:v>
      </x:c>
      <x:c r="G1101" s="6" t="n">
        <x:v>4</x:v>
      </x:c>
      <x:c r="H1101" s="6" t="n">
        <x:v>4</x:v>
      </x:c>
      <x:c r="I1101" s="6" t="n">
        <x:f>G1101-H1101</x:f>
        <x:v>0</x:v>
      </x:c>
      <x:c r="J1101" s="6" t="n">
        <x:f>IF(OR(E1101="CANCELED",E1101="SUSPECTED_FRAUD",F1101="Shipping canceled"),0,1)</x:f>
        <x:v>1</x:v>
      </x:c>
      <x:c r="K1101" s="6" t="n">
        <x:f>IF(G1101&gt;H1101,1,0)</x:f>
        <x:v>0</x:v>
      </x:c>
      <x:c r="L1101" s="6" t="n">
        <x:f>J1101*K1101</x:f>
        <x:v>0</x:v>
      </x:c>
    </x:row>
    <x:row r="1102">
      <x:c r="A1102" s="1" t="n">
        <x:v>9547</x:v>
      </x:c>
      <x:c r="B1102" s="5" t="d">
        <x:v>2015-05-20T00:00:00.000Z</x:v>
      </x:c>
      <x:c r="C1102" s="1" t="str">
        <x:v>Standard Class</x:v>
      </x:c>
      <x:c r="D1102" s="1" t="str">
        <x:v>LATAM</x:v>
      </x:c>
      <x:c r="E1102" s="1" t="str">
        <x:v>PENDING</x:v>
      </x:c>
      <x:c r="F1102" s="1" t="str">
        <x:v>Advance shipping</x:v>
      </x:c>
      <x:c r="G1102" s="6" t="n">
        <x:v>3</x:v>
      </x:c>
      <x:c r="H1102" s="6" t="n">
        <x:v>4</x:v>
      </x:c>
      <x:c r="I1102" s="6" t="n">
        <x:f>G1102-H1102</x:f>
        <x:v>-1</x:v>
      </x:c>
      <x:c r="J1102" s="6" t="n">
        <x:f>IF(OR(E1102="CANCELED",E1102="SUSPECTED_FRAUD",F1102="Shipping canceled"),0,1)</x:f>
        <x:v>1</x:v>
      </x:c>
      <x:c r="K1102" s="6" t="n">
        <x:f>IF(G1102&gt;H1102,1,0)</x:f>
        <x:v>0</x:v>
      </x:c>
      <x:c r="L1102" s="6" t="n">
        <x:f>J1102*K1102</x:f>
        <x:v>0</x:v>
      </x:c>
    </x:row>
    <x:row r="1103">
      <x:c r="A1103" s="1" t="n">
        <x:v>9554</x:v>
      </x:c>
      <x:c r="B1103" s="5" t="d">
        <x:v>2015-05-20T00:00:00.000Z</x:v>
      </x:c>
      <x:c r="C1103" s="1" t="str">
        <x:v>Second Class</x:v>
      </x:c>
      <x:c r="D1103" s="1" t="str">
        <x:v>LATAM</x:v>
      </x:c>
      <x:c r="E1103" s="1" t="str">
        <x:v>COMPLETE</x:v>
      </x:c>
      <x:c r="F1103" s="1" t="str">
        <x:v>Late delivery</x:v>
      </x:c>
      <x:c r="G1103" s="6" t="n">
        <x:v>5</x:v>
      </x:c>
      <x:c r="H1103" s="6" t="n">
        <x:v>2</x:v>
      </x:c>
      <x:c r="I1103" s="6" t="n">
        <x:f>G1103-H1103</x:f>
        <x:v>3</x:v>
      </x:c>
      <x:c r="J1103" s="6" t="n">
        <x:f>IF(OR(E1103="CANCELED",E1103="SUSPECTED_FRAUD",F1103="Shipping canceled"),0,1)</x:f>
        <x:v>1</x:v>
      </x:c>
      <x:c r="K1103" s="6" t="n">
        <x:f>IF(G1103&gt;H1103,1,0)</x:f>
        <x:v>1</x:v>
      </x:c>
      <x:c r="L1103" s="6" t="n">
        <x:f>J1103*K1103</x:f>
        <x:v>1</x:v>
      </x:c>
    </x:row>
    <x:row r="1104">
      <x:c r="A1104" s="1" t="n">
        <x:v>9561</x:v>
      </x:c>
      <x:c r="B1104" s="5" t="d">
        <x:v>2015-05-20T00:00:00.000Z</x:v>
      </x:c>
      <x:c r="C1104" s="1" t="str">
        <x:v>Second Class</x:v>
      </x:c>
      <x:c r="D1104" s="1" t="str">
        <x:v>LATAM</x:v>
      </x:c>
      <x:c r="E1104" s="1" t="str">
        <x:v>COMPLETE</x:v>
      </x:c>
      <x:c r="F1104" s="1" t="str">
        <x:v>Shipping on time</x:v>
      </x:c>
      <x:c r="G1104" s="6" t="n">
        <x:v>2</x:v>
      </x:c>
      <x:c r="H1104" s="6" t="n">
        <x:v>2</x:v>
      </x:c>
      <x:c r="I1104" s="6" t="n">
        <x:f>G1104-H1104</x:f>
        <x:v>0</x:v>
      </x:c>
      <x:c r="J1104" s="6" t="n">
        <x:f>IF(OR(E1104="CANCELED",E1104="SUSPECTED_FRAUD",F1104="Shipping canceled"),0,1)</x:f>
        <x:v>1</x:v>
      </x:c>
      <x:c r="K1104" s="6" t="n">
        <x:f>IF(G1104&gt;H1104,1,0)</x:f>
        <x:v>0</x:v>
      </x:c>
      <x:c r="L1104" s="6" t="n">
        <x:f>J1104*K1104</x:f>
        <x:v>0</x:v>
      </x:c>
    </x:row>
    <x:row r="1105">
      <x:c r="A1105" s="1" t="n">
        <x:v>9563</x:v>
      </x:c>
      <x:c r="B1105" s="5" t="d">
        <x:v>2015-05-20T00:00:00.000Z</x:v>
      </x:c>
      <x:c r="C1105" s="1" t="str">
        <x:v>Second Class</x:v>
      </x:c>
      <x:c r="D1105" s="1" t="str">
        <x:v>LATAM</x:v>
      </x:c>
      <x:c r="E1105" s="1" t="str">
        <x:v>COMPLETE</x:v>
      </x:c>
      <x:c r="F1105" s="1" t="str">
        <x:v>Late delivery</x:v>
      </x:c>
      <x:c r="G1105" s="6" t="n">
        <x:v>4</x:v>
      </x:c>
      <x:c r="H1105" s="6" t="n">
        <x:v>2</x:v>
      </x:c>
      <x:c r="I1105" s="6" t="n">
        <x:f>G1105-H1105</x:f>
        <x:v>2</x:v>
      </x:c>
      <x:c r="J1105" s="6" t="n">
        <x:f>IF(OR(E1105="CANCELED",E1105="SUSPECTED_FRAUD",F1105="Shipping canceled"),0,1)</x:f>
        <x:v>1</x:v>
      </x:c>
      <x:c r="K1105" s="6" t="n">
        <x:f>IF(G1105&gt;H1105,1,0)</x:f>
        <x:v>1</x:v>
      </x:c>
      <x:c r="L1105" s="6" t="n">
        <x:f>J1105*K1105</x:f>
        <x:v>1</x:v>
      </x:c>
    </x:row>
    <x:row r="1106">
      <x:c r="A1106" s="1" t="n">
        <x:v>9581</x:v>
      </x:c>
      <x:c r="B1106" s="5" t="d">
        <x:v>2015-05-20T00:00:00.000Z</x:v>
      </x:c>
      <x:c r="C1106" s="1" t="str">
        <x:v>First Class</x:v>
      </x:c>
      <x:c r="D1106" s="1" t="str">
        <x:v>LATAM</x:v>
      </x:c>
      <x:c r="E1106" s="1" t="str">
        <x:v>PROCESSING</x:v>
      </x:c>
      <x:c r="F1106" s="1" t="str">
        <x:v>Late delivery</x:v>
      </x:c>
      <x:c r="G1106" s="6" t="n">
        <x:v>2</x:v>
      </x:c>
      <x:c r="H1106" s="6" t="n">
        <x:v>1</x:v>
      </x:c>
      <x:c r="I1106" s="6" t="n">
        <x:f>G1106-H1106</x:f>
        <x:v>1</x:v>
      </x:c>
      <x:c r="J1106" s="6" t="n">
        <x:f>IF(OR(E1106="CANCELED",E1106="SUSPECTED_FRAUD",F1106="Shipping canceled"),0,1)</x:f>
        <x:v>1</x:v>
      </x:c>
      <x:c r="K1106" s="6" t="n">
        <x:f>IF(G1106&gt;H1106,1,0)</x:f>
        <x:v>1</x:v>
      </x:c>
      <x:c r="L1106" s="6" t="n">
        <x:f>J1106*K1106</x:f>
        <x:v>1</x:v>
      </x:c>
    </x:row>
    <x:row r="1107">
      <x:c r="A1107" s="1" t="n">
        <x:v>9596</x:v>
      </x:c>
      <x:c r="B1107" s="5" t="d">
        <x:v>2015-05-21T00:00:00.000Z</x:v>
      </x:c>
      <x:c r="C1107" s="1" t="str">
        <x:v>Standard Class</x:v>
      </x:c>
      <x:c r="D1107" s="1" t="str">
        <x:v>LATAM</x:v>
      </x:c>
      <x:c r="E1107" s="1" t="str">
        <x:v>COMPLETE</x:v>
      </x:c>
      <x:c r="F1107" s="1" t="str">
        <x:v>Advance shipping</x:v>
      </x:c>
      <x:c r="G1107" s="6" t="n">
        <x:v>2</x:v>
      </x:c>
      <x:c r="H1107" s="6" t="n">
        <x:v>4</x:v>
      </x:c>
      <x:c r="I1107" s="6" t="n">
        <x:f>G1107-H1107</x:f>
        <x:v>-2</x:v>
      </x:c>
      <x:c r="J1107" s="6" t="n">
        <x:f>IF(OR(E1107="CANCELED",E1107="SUSPECTED_FRAUD",F1107="Shipping canceled"),0,1)</x:f>
        <x:v>1</x:v>
      </x:c>
      <x:c r="K1107" s="6" t="n">
        <x:f>IF(G1107&gt;H1107,1,0)</x:f>
        <x:v>0</x:v>
      </x:c>
      <x:c r="L1107" s="6" t="n">
        <x:f>J1107*K1107</x:f>
        <x:v>0</x:v>
      </x:c>
    </x:row>
    <x:row r="1108">
      <x:c r="A1108" s="1" t="n">
        <x:v>9607</x:v>
      </x:c>
      <x:c r="B1108" s="5" t="d">
        <x:v>2015-05-21T00:00:00.000Z</x:v>
      </x:c>
      <x:c r="C1108" s="1" t="str">
        <x:v>First Class</x:v>
      </x:c>
      <x:c r="D1108" s="1" t="str">
        <x:v>LATAM</x:v>
      </x:c>
      <x:c r="E1108" s="1" t="str">
        <x:v>PROCESSING</x:v>
      </x:c>
      <x:c r="F1108" s="1" t="str">
        <x:v>Late delivery</x:v>
      </x:c>
      <x:c r="G1108" s="6" t="n">
        <x:v>2</x:v>
      </x:c>
      <x:c r="H1108" s="6" t="n">
        <x:v>1</x:v>
      </x:c>
      <x:c r="I1108" s="6" t="n">
        <x:f>G1108-H1108</x:f>
        <x:v>1</x:v>
      </x:c>
      <x:c r="J1108" s="6" t="n">
        <x:f>IF(OR(E1108="CANCELED",E1108="SUSPECTED_FRAUD",F1108="Shipping canceled"),0,1)</x:f>
        <x:v>1</x:v>
      </x:c>
      <x:c r="K1108" s="6" t="n">
        <x:f>IF(G1108&gt;H1108,1,0)</x:f>
        <x:v>1</x:v>
      </x:c>
      <x:c r="L1108" s="6" t="n">
        <x:f>J1108*K1108</x:f>
        <x:v>1</x:v>
      </x:c>
    </x:row>
    <x:row r="1109">
      <x:c r="A1109" s="1" t="n">
        <x:v>9633</x:v>
      </x:c>
      <x:c r="B1109" s="5" t="d">
        <x:v>2015-05-21T00:00:00.000Z</x:v>
      </x:c>
      <x:c r="C1109" s="1" t="str">
        <x:v>Standard Class</x:v>
      </x:c>
      <x:c r="D1109" s="1" t="str">
        <x:v>LATAM</x:v>
      </x:c>
      <x:c r="E1109" s="1" t="str">
        <x:v>COMPLETE</x:v>
      </x:c>
      <x:c r="F1109" s="1" t="str">
        <x:v>Shipping on time</x:v>
      </x:c>
      <x:c r="G1109" s="6" t="n">
        <x:v>4</x:v>
      </x:c>
      <x:c r="H1109" s="6" t="n">
        <x:v>4</x:v>
      </x:c>
      <x:c r="I1109" s="6" t="n">
        <x:f>G1109-H1109</x:f>
        <x:v>0</x:v>
      </x:c>
      <x:c r="J1109" s="6" t="n">
        <x:f>IF(OR(E1109="CANCELED",E1109="SUSPECTED_FRAUD",F1109="Shipping canceled"),0,1)</x:f>
        <x:v>1</x:v>
      </x:c>
      <x:c r="K1109" s="6" t="n">
        <x:f>IF(G1109&gt;H1109,1,0)</x:f>
        <x:v>0</x:v>
      </x:c>
      <x:c r="L1109" s="6" t="n">
        <x:f>J1109*K1109</x:f>
        <x:v>0</x:v>
      </x:c>
    </x:row>
    <x:row r="1110">
      <x:c r="A1110" s="1" t="n">
        <x:v>9661</x:v>
      </x:c>
      <x:c r="B1110" s="5" t="d">
        <x:v>2015-05-22T00:00:00.000Z</x:v>
      </x:c>
      <x:c r="C1110" s="1" t="str">
        <x:v>Standard Class</x:v>
      </x:c>
      <x:c r="D1110" s="1" t="str">
        <x:v>LATAM</x:v>
      </x:c>
      <x:c r="E1110" s="1" t="str">
        <x:v>PENDING_PAYMENT</x:v>
      </x:c>
      <x:c r="F1110" s="1" t="str">
        <x:v>Advance shipping</x:v>
      </x:c>
      <x:c r="G1110" s="6" t="n">
        <x:v>2</x:v>
      </x:c>
      <x:c r="H1110" s="6" t="n">
        <x:v>4</x:v>
      </x:c>
      <x:c r="I1110" s="6" t="n">
        <x:f>G1110-H1110</x:f>
        <x:v>-2</x:v>
      </x:c>
      <x:c r="J1110" s="6" t="n">
        <x:f>IF(OR(E1110="CANCELED",E1110="SUSPECTED_FRAUD",F1110="Shipping canceled"),0,1)</x:f>
        <x:v>1</x:v>
      </x:c>
      <x:c r="K1110" s="6" t="n">
        <x:f>IF(G1110&gt;H1110,1,0)</x:f>
        <x:v>0</x:v>
      </x:c>
      <x:c r="L1110" s="6" t="n">
        <x:f>J1110*K1110</x:f>
        <x:v>0</x:v>
      </x:c>
    </x:row>
    <x:row r="1111">
      <x:c r="A1111" s="1" t="n">
        <x:v>9675</x:v>
      </x:c>
      <x:c r="B1111" s="5" t="d">
        <x:v>2015-05-22T00:00:00.000Z</x:v>
      </x:c>
      <x:c r="C1111" s="1" t="str">
        <x:v>Second Class</x:v>
      </x:c>
      <x:c r="D1111" s="1" t="str">
        <x:v>LATAM</x:v>
      </x:c>
      <x:c r="E1111" s="1" t="str">
        <x:v>ON_HOLD</x:v>
      </x:c>
      <x:c r="F1111" s="1" t="str">
        <x:v>Late delivery</x:v>
      </x:c>
      <x:c r="G1111" s="6" t="n">
        <x:v>6</x:v>
      </x:c>
      <x:c r="H1111" s="6" t="n">
        <x:v>2</x:v>
      </x:c>
      <x:c r="I1111" s="6" t="n">
        <x:f>G1111-H1111</x:f>
        <x:v>4</x:v>
      </x:c>
      <x:c r="J1111" s="6" t="n">
        <x:f>IF(OR(E1111="CANCELED",E1111="SUSPECTED_FRAUD",F1111="Shipping canceled"),0,1)</x:f>
        <x:v>1</x:v>
      </x:c>
      <x:c r="K1111" s="6" t="n">
        <x:f>IF(G1111&gt;H1111,1,0)</x:f>
        <x:v>1</x:v>
      </x:c>
      <x:c r="L1111" s="6" t="n">
        <x:f>J1111*K1111</x:f>
        <x:v>1</x:v>
      </x:c>
    </x:row>
    <x:row r="1112">
      <x:c r="A1112" s="1" t="n">
        <x:v>9678</x:v>
      </x:c>
      <x:c r="B1112" s="5" t="d">
        <x:v>2015-05-22T00:00:00.000Z</x:v>
      </x:c>
      <x:c r="C1112" s="1" t="str">
        <x:v>Standard Class</x:v>
      </x:c>
      <x:c r="D1112" s="1" t="str">
        <x:v>LATAM</x:v>
      </x:c>
      <x:c r="E1112" s="1" t="str">
        <x:v>PROCESSING</x:v>
      </x:c>
      <x:c r="F1112" s="1" t="str">
        <x:v>Shipping on time</x:v>
      </x:c>
      <x:c r="G1112" s="6" t="n">
        <x:v>4</x:v>
      </x:c>
      <x:c r="H1112" s="6" t="n">
        <x:v>4</x:v>
      </x:c>
      <x:c r="I1112" s="6" t="n">
        <x:f>G1112-H1112</x:f>
        <x:v>0</x:v>
      </x:c>
      <x:c r="J1112" s="6" t="n">
        <x:f>IF(OR(E1112="CANCELED",E1112="SUSPECTED_FRAUD",F1112="Shipping canceled"),0,1)</x:f>
        <x:v>1</x:v>
      </x:c>
      <x:c r="K1112" s="6" t="n">
        <x:f>IF(G1112&gt;H1112,1,0)</x:f>
        <x:v>0</x:v>
      </x:c>
      <x:c r="L1112" s="6" t="n">
        <x:f>J1112*K1112</x:f>
        <x:v>0</x:v>
      </x:c>
    </x:row>
    <x:row r="1113">
      <x:c r="A1113" s="1" t="n">
        <x:v>9681</x:v>
      </x:c>
      <x:c r="B1113" s="5" t="d">
        <x:v>2015-05-22T00:00:00.000Z</x:v>
      </x:c>
      <x:c r="C1113" s="1" t="str">
        <x:v>Standard Class</x:v>
      </x:c>
      <x:c r="D1113" s="1" t="str">
        <x:v>LATAM</x:v>
      </x:c>
      <x:c r="E1113" s="1" t="str">
        <x:v>PROCESSING</x:v>
      </x:c>
      <x:c r="F1113" s="1" t="str">
        <x:v>Advance shipping</x:v>
      </x:c>
      <x:c r="G1113" s="6" t="n">
        <x:v>2</x:v>
      </x:c>
      <x:c r="H1113" s="6" t="n">
        <x:v>4</x:v>
      </x:c>
      <x:c r="I1113" s="6" t="n">
        <x:f>G1113-H1113</x:f>
        <x:v>-2</x:v>
      </x:c>
      <x:c r="J1113" s="6" t="n">
        <x:f>IF(OR(E1113="CANCELED",E1113="SUSPECTED_FRAUD",F1113="Shipping canceled"),0,1)</x:f>
        <x:v>1</x:v>
      </x:c>
      <x:c r="K1113" s="6" t="n">
        <x:f>IF(G1113&gt;H1113,1,0)</x:f>
        <x:v>0</x:v>
      </x:c>
      <x:c r="L1113" s="6" t="n">
        <x:f>J1113*K1113</x:f>
        <x:v>0</x:v>
      </x:c>
    </x:row>
    <x:row r="1114">
      <x:c r="A1114" s="1" t="n">
        <x:v>9691</x:v>
      </x:c>
      <x:c r="B1114" s="5" t="d">
        <x:v>2015-05-22T00:00:00.000Z</x:v>
      </x:c>
      <x:c r="C1114" s="1" t="str">
        <x:v>Standard Class</x:v>
      </x:c>
      <x:c r="D1114" s="1" t="str">
        <x:v>LATAM</x:v>
      </x:c>
      <x:c r="E1114" s="1" t="str">
        <x:v>COMPLETE</x:v>
      </x:c>
      <x:c r="F1114" s="1" t="str">
        <x:v>Advance shipping</x:v>
      </x:c>
      <x:c r="G1114" s="6" t="n">
        <x:v>2</x:v>
      </x:c>
      <x:c r="H1114" s="6" t="n">
        <x:v>4</x:v>
      </x:c>
      <x:c r="I1114" s="6" t="n">
        <x:f>G1114-H1114</x:f>
        <x:v>-2</x:v>
      </x:c>
      <x:c r="J1114" s="6" t="n">
        <x:f>IF(OR(E1114="CANCELED",E1114="SUSPECTED_FRAUD",F1114="Shipping canceled"),0,1)</x:f>
        <x:v>1</x:v>
      </x:c>
      <x:c r="K1114" s="6" t="n">
        <x:f>IF(G1114&gt;H1114,1,0)</x:f>
        <x:v>0</x:v>
      </x:c>
      <x:c r="L1114" s="6" t="n">
        <x:f>J1114*K1114</x:f>
        <x:v>0</x:v>
      </x:c>
    </x:row>
    <x:row r="1115">
      <x:c r="A1115" s="1" t="n">
        <x:v>9698</x:v>
      </x:c>
      <x:c r="B1115" s="5" t="d">
        <x:v>2015-05-22T00:00:00.000Z</x:v>
      </x:c>
      <x:c r="C1115" s="1" t="str">
        <x:v>Standard Class</x:v>
      </x:c>
      <x:c r="D1115" s="1" t="str">
        <x:v>LATAM</x:v>
      </x:c>
      <x:c r="E1115" s="1" t="str">
        <x:v>PROCESSING</x:v>
      </x:c>
      <x:c r="F1115" s="1" t="str">
        <x:v>Shipping on time</x:v>
      </x:c>
      <x:c r="G1115" s="6" t="n">
        <x:v>4</x:v>
      </x:c>
      <x:c r="H1115" s="6" t="n">
        <x:v>4</x:v>
      </x:c>
      <x:c r="I1115" s="6" t="n">
        <x:f>G1115-H1115</x:f>
        <x:v>0</x:v>
      </x:c>
      <x:c r="J1115" s="6" t="n">
        <x:f>IF(OR(E1115="CANCELED",E1115="SUSPECTED_FRAUD",F1115="Shipping canceled"),0,1)</x:f>
        <x:v>1</x:v>
      </x:c>
      <x:c r="K1115" s="6" t="n">
        <x:f>IF(G1115&gt;H1115,1,0)</x:f>
        <x:v>0</x:v>
      </x:c>
      <x:c r="L1115" s="6" t="n">
        <x:f>J1115*K1115</x:f>
        <x:v>0</x:v>
      </x:c>
    </x:row>
    <x:row r="1116">
      <x:c r="A1116" s="1" t="n">
        <x:v>9705</x:v>
      </x:c>
      <x:c r="B1116" s="5" t="d">
        <x:v>2015-05-22T00:00:00.000Z</x:v>
      </x:c>
      <x:c r="C1116" s="1" t="str">
        <x:v>Standard Class</x:v>
      </x:c>
      <x:c r="D1116" s="1" t="str">
        <x:v>LATAM</x:v>
      </x:c>
      <x:c r="E1116" s="1" t="str">
        <x:v>COMPLETE</x:v>
      </x:c>
      <x:c r="F1116" s="1" t="str">
        <x:v>Late delivery</x:v>
      </x:c>
      <x:c r="G1116" s="6" t="n">
        <x:v>6</x:v>
      </x:c>
      <x:c r="H1116" s="6" t="n">
        <x:v>4</x:v>
      </x:c>
      <x:c r="I1116" s="6" t="n">
        <x:f>G1116-H1116</x:f>
        <x:v>2</x:v>
      </x:c>
      <x:c r="J1116" s="6" t="n">
        <x:f>IF(OR(E1116="CANCELED",E1116="SUSPECTED_FRAUD",F1116="Shipping canceled"),0,1)</x:f>
        <x:v>1</x:v>
      </x:c>
      <x:c r="K1116" s="6" t="n">
        <x:f>IF(G1116&gt;H1116,1,0)</x:f>
        <x:v>1</x:v>
      </x:c>
      <x:c r="L1116" s="6" t="n">
        <x:f>J1116*K1116</x:f>
        <x:v>1</x:v>
      </x:c>
    </x:row>
    <x:row r="1117">
      <x:c r="A1117" s="1" t="n">
        <x:v>9713</x:v>
      </x:c>
      <x:c r="B1117" s="5" t="d">
        <x:v>2015-05-22T00:00:00.000Z</x:v>
      </x:c>
      <x:c r="C1117" s="1" t="str">
        <x:v>Standard Class</x:v>
      </x:c>
      <x:c r="D1117" s="1" t="str">
        <x:v>LATAM</x:v>
      </x:c>
      <x:c r="E1117" s="1" t="str">
        <x:v>COMPLETE</x:v>
      </x:c>
      <x:c r="F1117" s="1" t="str">
        <x:v>Shipping on time</x:v>
      </x:c>
      <x:c r="G1117" s="6" t="n">
        <x:v>4</x:v>
      </x:c>
      <x:c r="H1117" s="6" t="n">
        <x:v>4</x:v>
      </x:c>
      <x:c r="I1117" s="6" t="n">
        <x:f>G1117-H1117</x:f>
        <x:v>0</x:v>
      </x:c>
      <x:c r="J1117" s="6" t="n">
        <x:f>IF(OR(E1117="CANCELED",E1117="SUSPECTED_FRAUD",F1117="Shipping canceled"),0,1)</x:f>
        <x:v>1</x:v>
      </x:c>
      <x:c r="K1117" s="6" t="n">
        <x:f>IF(G1117&gt;H1117,1,0)</x:f>
        <x:v>0</x:v>
      </x:c>
      <x:c r="L1117" s="6" t="n">
        <x:f>J1117*K1117</x:f>
        <x:v>0</x:v>
      </x:c>
    </x:row>
    <x:row r="1118">
      <x:c r="A1118" s="1" t="n">
        <x:v>9745</x:v>
      </x:c>
      <x:c r="B1118" s="5" t="d">
        <x:v>2015-05-23T00:00:00.000Z</x:v>
      </x:c>
      <x:c r="C1118" s="1" t="str">
        <x:v>Standard Class</x:v>
      </x:c>
      <x:c r="D1118" s="1" t="str">
        <x:v>LATAM</x:v>
      </x:c>
      <x:c r="E1118" s="1" t="str">
        <x:v>COMPLETE</x:v>
      </x:c>
      <x:c r="F1118" s="1" t="str">
        <x:v>Late delivery</x:v>
      </x:c>
      <x:c r="G1118" s="6" t="n">
        <x:v>6</x:v>
      </x:c>
      <x:c r="H1118" s="6" t="n">
        <x:v>4</x:v>
      </x:c>
      <x:c r="I1118" s="6" t="n">
        <x:f>G1118-H1118</x:f>
        <x:v>2</x:v>
      </x:c>
      <x:c r="J1118" s="6" t="n">
        <x:f>IF(OR(E1118="CANCELED",E1118="SUSPECTED_FRAUD",F1118="Shipping canceled"),0,1)</x:f>
        <x:v>1</x:v>
      </x:c>
      <x:c r="K1118" s="6" t="n">
        <x:f>IF(G1118&gt;H1118,1,0)</x:f>
        <x:v>1</x:v>
      </x:c>
      <x:c r="L1118" s="6" t="n">
        <x:f>J1118*K1118</x:f>
        <x:v>1</x:v>
      </x:c>
    </x:row>
    <x:row r="1119">
      <x:c r="A1119" s="1" t="n">
        <x:v>9747</x:v>
      </x:c>
      <x:c r="B1119" s="5" t="d">
        <x:v>2015-05-23T00:00:00.000Z</x:v>
      </x:c>
      <x:c r="C1119" s="1" t="str">
        <x:v>Standard Class</x:v>
      </x:c>
      <x:c r="D1119" s="1" t="str">
        <x:v>LATAM</x:v>
      </x:c>
      <x:c r="E1119" s="1" t="str">
        <x:v>PENDING</x:v>
      </x:c>
      <x:c r="F1119" s="1" t="str">
        <x:v>Advance shipping</x:v>
      </x:c>
      <x:c r="G1119" s="6" t="n">
        <x:v>3</x:v>
      </x:c>
      <x:c r="H1119" s="6" t="n">
        <x:v>4</x:v>
      </x:c>
      <x:c r="I1119" s="6" t="n">
        <x:f>G1119-H1119</x:f>
        <x:v>-1</x:v>
      </x:c>
      <x:c r="J1119" s="6" t="n">
        <x:f>IF(OR(E1119="CANCELED",E1119="SUSPECTED_FRAUD",F1119="Shipping canceled"),0,1)</x:f>
        <x:v>1</x:v>
      </x:c>
      <x:c r="K1119" s="6" t="n">
        <x:f>IF(G1119&gt;H1119,1,0)</x:f>
        <x:v>0</x:v>
      </x:c>
      <x:c r="L1119" s="6" t="n">
        <x:f>J1119*K1119</x:f>
        <x:v>0</x:v>
      </x:c>
    </x:row>
    <x:row r="1120">
      <x:c r="A1120" s="1" t="n">
        <x:v>9748</x:v>
      </x:c>
      <x:c r="B1120" s="5" t="d">
        <x:v>2015-05-23T00:00:00.000Z</x:v>
      </x:c>
      <x:c r="C1120" s="1" t="str">
        <x:v>Standard Class</x:v>
      </x:c>
      <x:c r="D1120" s="1" t="str">
        <x:v>LATAM</x:v>
      </x:c>
      <x:c r="E1120" s="1" t="str">
        <x:v>COMPLETE</x:v>
      </x:c>
      <x:c r="F1120" s="1" t="str">
        <x:v>Shipping on time</x:v>
      </x:c>
      <x:c r="G1120" s="6" t="n">
        <x:v>4</x:v>
      </x:c>
      <x:c r="H1120" s="6" t="n">
        <x:v>4</x:v>
      </x:c>
      <x:c r="I1120" s="6" t="n">
        <x:f>G1120-H1120</x:f>
        <x:v>0</x:v>
      </x:c>
      <x:c r="J1120" s="6" t="n">
        <x:f>IF(OR(E1120="CANCELED",E1120="SUSPECTED_FRAUD",F1120="Shipping canceled"),0,1)</x:f>
        <x:v>1</x:v>
      </x:c>
      <x:c r="K1120" s="6" t="n">
        <x:f>IF(G1120&gt;H1120,1,0)</x:f>
        <x:v>0</x:v>
      </x:c>
      <x:c r="L1120" s="6" t="n">
        <x:f>J1120*K1120</x:f>
        <x:v>0</x:v>
      </x:c>
    </x:row>
    <x:row r="1121">
      <x:c r="A1121" s="1" t="n">
        <x:v>9751</x:v>
      </x:c>
      <x:c r="B1121" s="5" t="d">
        <x:v>2015-05-23T00:00:00.000Z</x:v>
      </x:c>
      <x:c r="C1121" s="1" t="str">
        <x:v>Standard Class</x:v>
      </x:c>
      <x:c r="D1121" s="1" t="str">
        <x:v>LATAM</x:v>
      </x:c>
      <x:c r="E1121" s="1" t="str">
        <x:v>CLOSED</x:v>
      </x:c>
      <x:c r="F1121" s="1" t="str">
        <x:v>Advance shipping</x:v>
      </x:c>
      <x:c r="G1121" s="6" t="n">
        <x:v>2</x:v>
      </x:c>
      <x:c r="H1121" s="6" t="n">
        <x:v>4</x:v>
      </x:c>
      <x:c r="I1121" s="6" t="n">
        <x:f>G1121-H1121</x:f>
        <x:v>-2</x:v>
      </x:c>
      <x:c r="J1121" s="6" t="n">
        <x:f>IF(OR(E1121="CANCELED",E1121="SUSPECTED_FRAUD",F1121="Shipping canceled"),0,1)</x:f>
        <x:v>1</x:v>
      </x:c>
      <x:c r="K1121" s="6" t="n">
        <x:f>IF(G1121&gt;H1121,1,0)</x:f>
        <x:v>0</x:v>
      </x:c>
      <x:c r="L1121" s="6" t="n">
        <x:f>J1121*K1121</x:f>
        <x:v>0</x:v>
      </x:c>
    </x:row>
    <x:row r="1122">
      <x:c r="A1122" s="1" t="n">
        <x:v>9758</x:v>
      </x:c>
      <x:c r="B1122" s="5" t="d">
        <x:v>2015-05-23T00:00:00.000Z</x:v>
      </x:c>
      <x:c r="C1122" s="1" t="str">
        <x:v>Standard Class</x:v>
      </x:c>
      <x:c r="D1122" s="1" t="str">
        <x:v>LATAM</x:v>
      </x:c>
      <x:c r="E1122" s="1" t="str">
        <x:v>PENDING</x:v>
      </x:c>
      <x:c r="F1122" s="1" t="str">
        <x:v>Shipping on time</x:v>
      </x:c>
      <x:c r="G1122" s="6" t="n">
        <x:v>4</x:v>
      </x:c>
      <x:c r="H1122" s="6" t="n">
        <x:v>4</x:v>
      </x:c>
      <x:c r="I1122" s="6" t="n">
        <x:f>G1122-H1122</x:f>
        <x:v>0</x:v>
      </x:c>
      <x:c r="J1122" s="6" t="n">
        <x:f>IF(OR(E1122="CANCELED",E1122="SUSPECTED_FRAUD",F1122="Shipping canceled"),0,1)</x:f>
        <x:v>1</x:v>
      </x:c>
      <x:c r="K1122" s="6" t="n">
        <x:f>IF(G1122&gt;H1122,1,0)</x:f>
        <x:v>0</x:v>
      </x:c>
      <x:c r="L1122" s="6" t="n">
        <x:f>J1122*K1122</x:f>
        <x:v>0</x:v>
      </x:c>
    </x:row>
    <x:row r="1123">
      <x:c r="A1123" s="1" t="n">
        <x:v>9775</x:v>
      </x:c>
      <x:c r="B1123" s="5" t="d">
        <x:v>2015-05-23T00:00:00.000Z</x:v>
      </x:c>
      <x:c r="C1123" s="1" t="str">
        <x:v>Standard Class</x:v>
      </x:c>
      <x:c r="D1123" s="1" t="str">
        <x:v>LATAM</x:v>
      </x:c>
      <x:c r="E1123" s="1" t="str">
        <x:v>PENDING</x:v>
      </x:c>
      <x:c r="F1123" s="1" t="str">
        <x:v>Late delivery</x:v>
      </x:c>
      <x:c r="G1123" s="6" t="n">
        <x:v>6</x:v>
      </x:c>
      <x:c r="H1123" s="6" t="n">
        <x:v>4</x:v>
      </x:c>
      <x:c r="I1123" s="6" t="n">
        <x:f>G1123-H1123</x:f>
        <x:v>2</x:v>
      </x:c>
      <x:c r="J1123" s="6" t="n">
        <x:f>IF(OR(E1123="CANCELED",E1123="SUSPECTED_FRAUD",F1123="Shipping canceled"),0,1)</x:f>
        <x:v>1</x:v>
      </x:c>
      <x:c r="K1123" s="6" t="n">
        <x:f>IF(G1123&gt;H1123,1,0)</x:f>
        <x:v>1</x:v>
      </x:c>
      <x:c r="L1123" s="6" t="n">
        <x:f>J1123*K1123</x:f>
        <x:v>1</x:v>
      </x:c>
    </x:row>
    <x:row r="1124">
      <x:c r="A1124" s="1" t="n">
        <x:v>9777</x:v>
      </x:c>
      <x:c r="B1124" s="5" t="d">
        <x:v>2015-05-23T00:00:00.000Z</x:v>
      </x:c>
      <x:c r="C1124" s="1" t="str">
        <x:v>Standard Class</x:v>
      </x:c>
      <x:c r="D1124" s="1" t="str">
        <x:v>LATAM</x:v>
      </x:c>
      <x:c r="E1124" s="1" t="str">
        <x:v>COMPLETE</x:v>
      </x:c>
      <x:c r="F1124" s="1" t="str">
        <x:v>Advance shipping</x:v>
      </x:c>
      <x:c r="G1124" s="6" t="n">
        <x:v>3</x:v>
      </x:c>
      <x:c r="H1124" s="6" t="n">
        <x:v>4</x:v>
      </x:c>
      <x:c r="I1124" s="6" t="n">
        <x:f>G1124-H1124</x:f>
        <x:v>-1</x:v>
      </x:c>
      <x:c r="J1124" s="6" t="n">
        <x:f>IF(OR(E1124="CANCELED",E1124="SUSPECTED_FRAUD",F1124="Shipping canceled"),0,1)</x:f>
        <x:v>1</x:v>
      </x:c>
      <x:c r="K1124" s="6" t="n">
        <x:f>IF(G1124&gt;H1124,1,0)</x:f>
        <x:v>0</x:v>
      </x:c>
      <x:c r="L1124" s="6" t="n">
        <x:f>J1124*K1124</x:f>
        <x:v>0</x:v>
      </x:c>
    </x:row>
    <x:row r="1125">
      <x:c r="A1125" s="1" t="n">
        <x:v>9789</x:v>
      </x:c>
      <x:c r="B1125" s="5" t="d">
        <x:v>2015-05-23T00:00:00.000Z</x:v>
      </x:c>
      <x:c r="C1125" s="1" t="str">
        <x:v>Standard Class</x:v>
      </x:c>
      <x:c r="D1125" s="1" t="str">
        <x:v>LATAM</x:v>
      </x:c>
      <x:c r="E1125" s="1" t="str">
        <x:v>COMPLETE</x:v>
      </x:c>
      <x:c r="F1125" s="1" t="str">
        <x:v>Late delivery</x:v>
      </x:c>
      <x:c r="G1125" s="6" t="n">
        <x:v>5</x:v>
      </x:c>
      <x:c r="H1125" s="6" t="n">
        <x:v>4</x:v>
      </x:c>
      <x:c r="I1125" s="6" t="n">
        <x:f>G1125-H1125</x:f>
        <x:v>1</x:v>
      </x:c>
      <x:c r="J1125" s="6" t="n">
        <x:f>IF(OR(E1125="CANCELED",E1125="SUSPECTED_FRAUD",F1125="Shipping canceled"),0,1)</x:f>
        <x:v>1</x:v>
      </x:c>
      <x:c r="K1125" s="6" t="n">
        <x:f>IF(G1125&gt;H1125,1,0)</x:f>
        <x:v>1</x:v>
      </x:c>
      <x:c r="L1125" s="6" t="n">
        <x:f>J1125*K1125</x:f>
        <x:v>1</x:v>
      </x:c>
    </x:row>
    <x:row r="1126">
      <x:c r="A1126" s="1" t="n">
        <x:v>9794</x:v>
      </x:c>
      <x:c r="B1126" s="5" t="d">
        <x:v>2015-05-23T00:00:00.000Z</x:v>
      </x:c>
      <x:c r="C1126" s="1" t="str">
        <x:v>Standard Class</x:v>
      </x:c>
      <x:c r="D1126" s="1" t="str">
        <x:v>LATAM</x:v>
      </x:c>
      <x:c r="E1126" s="1" t="str">
        <x:v>PROCESSING</x:v>
      </x:c>
      <x:c r="F1126" s="1" t="str">
        <x:v>Late delivery</x:v>
      </x:c>
      <x:c r="G1126" s="6" t="n">
        <x:v>5</x:v>
      </x:c>
      <x:c r="H1126" s="6" t="n">
        <x:v>4</x:v>
      </x:c>
      <x:c r="I1126" s="6" t="n">
        <x:f>G1126-H1126</x:f>
        <x:v>1</x:v>
      </x:c>
      <x:c r="J1126" s="6" t="n">
        <x:f>IF(OR(E1126="CANCELED",E1126="SUSPECTED_FRAUD",F1126="Shipping canceled"),0,1)</x:f>
        <x:v>1</x:v>
      </x:c>
      <x:c r="K1126" s="6" t="n">
        <x:f>IF(G1126&gt;H1126,1,0)</x:f>
        <x:v>1</x:v>
      </x:c>
      <x:c r="L1126" s="6" t="n">
        <x:f>J1126*K1126</x:f>
        <x:v>1</x:v>
      </x:c>
    </x:row>
    <x:row r="1127">
      <x:c r="A1127" s="1" t="n">
        <x:v>9797</x:v>
      </x:c>
      <x:c r="B1127" s="5" t="d">
        <x:v>2015-05-23T00:00:00.000Z</x:v>
      </x:c>
      <x:c r="C1127" s="1" t="str">
        <x:v>First Class</x:v>
      </x:c>
      <x:c r="D1127" s="1" t="str">
        <x:v>LATAM</x:v>
      </x:c>
      <x:c r="E1127" s="1" t="str">
        <x:v>PROCESSING</x:v>
      </x:c>
      <x:c r="F1127" s="1" t="str">
        <x:v>Late delivery</x:v>
      </x:c>
      <x:c r="G1127" s="6" t="n">
        <x:v>2</x:v>
      </x:c>
      <x:c r="H1127" s="6" t="n">
        <x:v>1</x:v>
      </x:c>
      <x:c r="I1127" s="6" t="n">
        <x:f>G1127-H1127</x:f>
        <x:v>1</x:v>
      </x:c>
      <x:c r="J1127" s="6" t="n">
        <x:f>IF(OR(E1127="CANCELED",E1127="SUSPECTED_FRAUD",F1127="Shipping canceled"),0,1)</x:f>
        <x:v>1</x:v>
      </x:c>
      <x:c r="K1127" s="6" t="n">
        <x:f>IF(G1127&gt;H1127,1,0)</x:f>
        <x:v>1</x:v>
      </x:c>
      <x:c r="L1127" s="6" t="n">
        <x:f>J1127*K1127</x:f>
        <x:v>1</x:v>
      </x:c>
    </x:row>
    <x:row r="1128">
      <x:c r="A1128" s="1" t="n">
        <x:v>9804</x:v>
      </x:c>
      <x:c r="B1128" s="5" t="d">
        <x:v>2015-05-24T00:00:00.000Z</x:v>
      </x:c>
      <x:c r="C1128" s="1" t="str">
        <x:v>Standard Class</x:v>
      </x:c>
      <x:c r="D1128" s="1" t="str">
        <x:v>LATAM</x:v>
      </x:c>
      <x:c r="E1128" s="1" t="str">
        <x:v>PENDING_PAYMENT</x:v>
      </x:c>
      <x:c r="F1128" s="1" t="str">
        <x:v>Late delivery</x:v>
      </x:c>
      <x:c r="G1128" s="6" t="n">
        <x:v>5</x:v>
      </x:c>
      <x:c r="H1128" s="6" t="n">
        <x:v>4</x:v>
      </x:c>
      <x:c r="I1128" s="6" t="n">
        <x:f>G1128-H1128</x:f>
        <x:v>1</x:v>
      </x:c>
      <x:c r="J1128" s="6" t="n">
        <x:f>IF(OR(E1128="CANCELED",E1128="SUSPECTED_FRAUD",F1128="Shipping canceled"),0,1)</x:f>
        <x:v>1</x:v>
      </x:c>
      <x:c r="K1128" s="6" t="n">
        <x:f>IF(G1128&gt;H1128,1,0)</x:f>
        <x:v>1</x:v>
      </x:c>
      <x:c r="L1128" s="6" t="n">
        <x:f>J1128*K1128</x:f>
        <x:v>1</x:v>
      </x:c>
    </x:row>
    <x:row r="1129">
      <x:c r="A1129" s="1" t="n">
        <x:v>9822</x:v>
      </x:c>
      <x:c r="B1129" s="5" t="d">
        <x:v>2015-05-24T00:00:00.000Z</x:v>
      </x:c>
      <x:c r="C1129" s="1" t="str">
        <x:v>First Class</x:v>
      </x:c>
      <x:c r="D1129" s="1" t="str">
        <x:v>LATAM</x:v>
      </x:c>
      <x:c r="E1129" s="1" t="str">
        <x:v>PENDING</x:v>
      </x:c>
      <x:c r="F1129" s="1" t="str">
        <x:v>Late delivery</x:v>
      </x:c>
      <x:c r="G1129" s="6" t="n">
        <x:v>2</x:v>
      </x:c>
      <x:c r="H1129" s="6" t="n">
        <x:v>1</x:v>
      </x:c>
      <x:c r="I1129" s="6" t="n">
        <x:f>G1129-H1129</x:f>
        <x:v>1</x:v>
      </x:c>
      <x:c r="J1129" s="6" t="n">
        <x:f>IF(OR(E1129="CANCELED",E1129="SUSPECTED_FRAUD",F1129="Shipping canceled"),0,1)</x:f>
        <x:v>1</x:v>
      </x:c>
      <x:c r="K1129" s="6" t="n">
        <x:f>IF(G1129&gt;H1129,1,0)</x:f>
        <x:v>1</x:v>
      </x:c>
      <x:c r="L1129" s="6" t="n">
        <x:f>J1129*K1129</x:f>
        <x:v>1</x:v>
      </x:c>
    </x:row>
    <x:row r="1130">
      <x:c r="A1130" s="1" t="n">
        <x:v>9827</x:v>
      </x:c>
      <x:c r="B1130" s="5" t="d">
        <x:v>2015-05-24T00:00:00.000Z</x:v>
      </x:c>
      <x:c r="C1130" s="1" t="str">
        <x:v>First Class</x:v>
      </x:c>
      <x:c r="D1130" s="1" t="str">
        <x:v>LATAM</x:v>
      </x:c>
      <x:c r="E1130" s="1" t="str">
        <x:v>COMPLETE</x:v>
      </x:c>
      <x:c r="F1130" s="1" t="str">
        <x:v>Late delivery</x:v>
      </x:c>
      <x:c r="G1130" s="6" t="n">
        <x:v>2</x:v>
      </x:c>
      <x:c r="H1130" s="6" t="n">
        <x:v>1</x:v>
      </x:c>
      <x:c r="I1130" s="6" t="n">
        <x:f>G1130-H1130</x:f>
        <x:v>1</x:v>
      </x:c>
      <x:c r="J1130" s="6" t="n">
        <x:f>IF(OR(E1130="CANCELED",E1130="SUSPECTED_FRAUD",F1130="Shipping canceled"),0,1)</x:f>
        <x:v>1</x:v>
      </x:c>
      <x:c r="K1130" s="6" t="n">
        <x:f>IF(G1130&gt;H1130,1,0)</x:f>
        <x:v>1</x:v>
      </x:c>
      <x:c r="L1130" s="6" t="n">
        <x:f>J1130*K1130</x:f>
        <x:v>1</x:v>
      </x:c>
    </x:row>
    <x:row r="1131">
      <x:c r="A1131" s="1" t="n">
        <x:v>9829</x:v>
      </x:c>
      <x:c r="B1131" s="5" t="d">
        <x:v>2015-05-24T00:00:00.000Z</x:v>
      </x:c>
      <x:c r="C1131" s="1" t="str">
        <x:v>Standard Class</x:v>
      </x:c>
      <x:c r="D1131" s="1" t="str">
        <x:v>LATAM</x:v>
      </x:c>
      <x:c r="E1131" s="1" t="str">
        <x:v>COMPLETE</x:v>
      </x:c>
      <x:c r="F1131" s="1" t="str">
        <x:v>Late delivery</x:v>
      </x:c>
      <x:c r="G1131" s="6" t="n">
        <x:v>5</x:v>
      </x:c>
      <x:c r="H1131" s="6" t="n">
        <x:v>4</x:v>
      </x:c>
      <x:c r="I1131" s="6" t="n">
        <x:f>G1131-H1131</x:f>
        <x:v>1</x:v>
      </x:c>
      <x:c r="J1131" s="6" t="n">
        <x:f>IF(OR(E1131="CANCELED",E1131="SUSPECTED_FRAUD",F1131="Shipping canceled"),0,1)</x:f>
        <x:v>1</x:v>
      </x:c>
      <x:c r="K1131" s="6" t="n">
        <x:f>IF(G1131&gt;H1131,1,0)</x:f>
        <x:v>1</x:v>
      </x:c>
      <x:c r="L1131" s="6" t="n">
        <x:f>J1131*K1131</x:f>
        <x:v>1</x:v>
      </x:c>
    </x:row>
    <x:row r="1132">
      <x:c r="A1132" s="1" t="n">
        <x:v>9840</x:v>
      </x:c>
      <x:c r="B1132" s="5" t="d">
        <x:v>2015-05-24T00:00:00.000Z</x:v>
      </x:c>
      <x:c r="C1132" s="1" t="str">
        <x:v>Standard Class</x:v>
      </x:c>
      <x:c r="D1132" s="1" t="str">
        <x:v>LATAM</x:v>
      </x:c>
      <x:c r="E1132" s="1" t="str">
        <x:v>COMPLETE</x:v>
      </x:c>
      <x:c r="F1132" s="1" t="str">
        <x:v>Late delivery</x:v>
      </x:c>
      <x:c r="G1132" s="6" t="n">
        <x:v>6</x:v>
      </x:c>
      <x:c r="H1132" s="6" t="n">
        <x:v>4</x:v>
      </x:c>
      <x:c r="I1132" s="6" t="n">
        <x:f>G1132-H1132</x:f>
        <x:v>2</x:v>
      </x:c>
      <x:c r="J1132" s="6" t="n">
        <x:f>IF(OR(E1132="CANCELED",E1132="SUSPECTED_FRAUD",F1132="Shipping canceled"),0,1)</x:f>
        <x:v>1</x:v>
      </x:c>
      <x:c r="K1132" s="6" t="n">
        <x:f>IF(G1132&gt;H1132,1,0)</x:f>
        <x:v>1</x:v>
      </x:c>
      <x:c r="L1132" s="6" t="n">
        <x:f>J1132*K1132</x:f>
        <x:v>1</x:v>
      </x:c>
    </x:row>
    <x:row r="1133">
      <x:c r="A1133" s="1" t="n">
        <x:v>9865</x:v>
      </x:c>
      <x:c r="B1133" s="5" t="d">
        <x:v>2015-05-24T00:00:00.000Z</x:v>
      </x:c>
      <x:c r="C1133" s="1" t="str">
        <x:v>Second Class</x:v>
      </x:c>
      <x:c r="D1133" s="1" t="str">
        <x:v>LATAM</x:v>
      </x:c>
      <x:c r="E1133" s="1" t="str">
        <x:v>PROCESSING</x:v>
      </x:c>
      <x:c r="F1133" s="1" t="str">
        <x:v>Late delivery</x:v>
      </x:c>
      <x:c r="G1133" s="6" t="n">
        <x:v>6</x:v>
      </x:c>
      <x:c r="H1133" s="6" t="n">
        <x:v>2</x:v>
      </x:c>
      <x:c r="I1133" s="6" t="n">
        <x:f>G1133-H1133</x:f>
        <x:v>4</x:v>
      </x:c>
      <x:c r="J1133" s="6" t="n">
        <x:f>IF(OR(E1133="CANCELED",E1133="SUSPECTED_FRAUD",F1133="Shipping canceled"),0,1)</x:f>
        <x:v>1</x:v>
      </x:c>
      <x:c r="K1133" s="6" t="n">
        <x:f>IF(G1133&gt;H1133,1,0)</x:f>
        <x:v>1</x:v>
      </x:c>
      <x:c r="L1133" s="6" t="n">
        <x:f>J1133*K1133</x:f>
        <x:v>1</x:v>
      </x:c>
    </x:row>
    <x:row r="1134">
      <x:c r="A1134" s="1" t="n">
        <x:v>9867</x:v>
      </x:c>
      <x:c r="B1134" s="5" t="d">
        <x:v>2015-05-25T00:00:00.000Z</x:v>
      </x:c>
      <x:c r="C1134" s="1" t="str">
        <x:v>First Class</x:v>
      </x:c>
      <x:c r="D1134" s="1" t="str">
        <x:v>LATAM</x:v>
      </x:c>
      <x:c r="E1134" s="1" t="str">
        <x:v>PENDING</x:v>
      </x:c>
      <x:c r="F1134" s="1" t="str">
        <x:v>Late delivery</x:v>
      </x:c>
      <x:c r="G1134" s="6" t="n">
        <x:v>2</x:v>
      </x:c>
      <x:c r="H1134" s="6" t="n">
        <x:v>1</x:v>
      </x:c>
      <x:c r="I1134" s="6" t="n">
        <x:f>G1134-H1134</x:f>
        <x:v>1</x:v>
      </x:c>
      <x:c r="J1134" s="6" t="n">
        <x:f>IF(OR(E1134="CANCELED",E1134="SUSPECTED_FRAUD",F1134="Shipping canceled"),0,1)</x:f>
        <x:v>1</x:v>
      </x:c>
      <x:c r="K1134" s="6" t="n">
        <x:f>IF(G1134&gt;H1134,1,0)</x:f>
        <x:v>1</x:v>
      </x:c>
      <x:c r="L1134" s="6" t="n">
        <x:f>J1134*K1134</x:f>
        <x:v>1</x:v>
      </x:c>
    </x:row>
    <x:row r="1135">
      <x:c r="A1135" s="1" t="n">
        <x:v>9881</x:v>
      </x:c>
      <x:c r="B1135" s="5" t="d">
        <x:v>2015-05-25T00:00:00.000Z</x:v>
      </x:c>
      <x:c r="C1135" s="1" t="str">
        <x:v>Standard Class</x:v>
      </x:c>
      <x:c r="D1135" s="1" t="str">
        <x:v>LATAM</x:v>
      </x:c>
      <x:c r="E1135" s="1" t="str">
        <x:v>PENDING</x:v>
      </x:c>
      <x:c r="F1135" s="1" t="str">
        <x:v>Advance shipping</x:v>
      </x:c>
      <x:c r="G1135" s="6" t="n">
        <x:v>2</x:v>
      </x:c>
      <x:c r="H1135" s="6" t="n">
        <x:v>4</x:v>
      </x:c>
      <x:c r="I1135" s="6" t="n">
        <x:f>G1135-H1135</x:f>
        <x:v>-2</x:v>
      </x:c>
      <x:c r="J1135" s="6" t="n">
        <x:f>IF(OR(E1135="CANCELED",E1135="SUSPECTED_FRAUD",F1135="Shipping canceled"),0,1)</x:f>
        <x:v>1</x:v>
      </x:c>
      <x:c r="K1135" s="6" t="n">
        <x:f>IF(G1135&gt;H1135,1,0)</x:f>
        <x:v>0</x:v>
      </x:c>
      <x:c r="L1135" s="6" t="n">
        <x:f>J1135*K1135</x:f>
        <x:v>0</x:v>
      </x:c>
    </x:row>
    <x:row r="1136">
      <x:c r="A1136" s="1" t="n">
        <x:v>9882</x:v>
      </x:c>
      <x:c r="B1136" s="5" t="d">
        <x:v>2015-05-25T00:00:00.000Z</x:v>
      </x:c>
      <x:c r="C1136" s="1" t="str">
        <x:v>Standard Class</x:v>
      </x:c>
      <x:c r="D1136" s="1" t="str">
        <x:v>LATAM</x:v>
      </x:c>
      <x:c r="E1136" s="1" t="str">
        <x:v>CLOSED</x:v>
      </x:c>
      <x:c r="F1136" s="1" t="str">
        <x:v>Advance shipping</x:v>
      </x:c>
      <x:c r="G1136" s="6" t="n">
        <x:v>3</x:v>
      </x:c>
      <x:c r="H1136" s="6" t="n">
        <x:v>4</x:v>
      </x:c>
      <x:c r="I1136" s="6" t="n">
        <x:f>G1136-H1136</x:f>
        <x:v>-1</x:v>
      </x:c>
      <x:c r="J1136" s="6" t="n">
        <x:f>IF(OR(E1136="CANCELED",E1136="SUSPECTED_FRAUD",F1136="Shipping canceled"),0,1)</x:f>
        <x:v>1</x:v>
      </x:c>
      <x:c r="K1136" s="6" t="n">
        <x:f>IF(G1136&gt;H1136,1,0)</x:f>
        <x:v>0</x:v>
      </x:c>
      <x:c r="L1136" s="6" t="n">
        <x:f>J1136*K1136</x:f>
        <x:v>0</x:v>
      </x:c>
    </x:row>
    <x:row r="1137">
      <x:c r="A1137" s="1" t="n">
        <x:v>9883</x:v>
      </x:c>
      <x:c r="B1137" s="5" t="d">
        <x:v>2015-05-25T00:00:00.000Z</x:v>
      </x:c>
      <x:c r="C1137" s="1" t="str">
        <x:v>Standard Class</x:v>
      </x:c>
      <x:c r="D1137" s="1" t="str">
        <x:v>LATAM</x:v>
      </x:c>
      <x:c r="E1137" s="1" t="str">
        <x:v>COMPLETE</x:v>
      </x:c>
      <x:c r="F1137" s="1" t="str">
        <x:v>Shipping on time</x:v>
      </x:c>
      <x:c r="G1137" s="6" t="n">
        <x:v>4</x:v>
      </x:c>
      <x:c r="H1137" s="6" t="n">
        <x:v>4</x:v>
      </x:c>
      <x:c r="I1137" s="6" t="n">
        <x:f>G1137-H1137</x:f>
        <x:v>0</x:v>
      </x:c>
      <x:c r="J1137" s="6" t="n">
        <x:f>IF(OR(E1137="CANCELED",E1137="SUSPECTED_FRAUD",F1137="Shipping canceled"),0,1)</x:f>
        <x:v>1</x:v>
      </x:c>
      <x:c r="K1137" s="6" t="n">
        <x:f>IF(G1137&gt;H1137,1,0)</x:f>
        <x:v>0</x:v>
      </x:c>
      <x:c r="L1137" s="6" t="n">
        <x:f>J1137*K1137</x:f>
        <x:v>0</x:v>
      </x:c>
    </x:row>
    <x:row r="1138">
      <x:c r="A1138" s="1" t="n">
        <x:v>9908</x:v>
      </x:c>
      <x:c r="B1138" s="5" t="d">
        <x:v>2015-05-25T00:00:00.000Z</x:v>
      </x:c>
      <x:c r="C1138" s="1" t="str">
        <x:v>Standard Class</x:v>
      </x:c>
      <x:c r="D1138" s="1" t="str">
        <x:v>LATAM</x:v>
      </x:c>
      <x:c r="E1138" s="1" t="str">
        <x:v>PENDING_PAYMENT</x:v>
      </x:c>
      <x:c r="F1138" s="1" t="str">
        <x:v>Shipping on time</x:v>
      </x:c>
      <x:c r="G1138" s="6" t="n">
        <x:v>4</x:v>
      </x:c>
      <x:c r="H1138" s="6" t="n">
        <x:v>4</x:v>
      </x:c>
      <x:c r="I1138" s="6" t="n">
        <x:f>G1138-H1138</x:f>
        <x:v>0</x:v>
      </x:c>
      <x:c r="J1138" s="6" t="n">
        <x:f>IF(OR(E1138="CANCELED",E1138="SUSPECTED_FRAUD",F1138="Shipping canceled"),0,1)</x:f>
        <x:v>1</x:v>
      </x:c>
      <x:c r="K1138" s="6" t="n">
        <x:f>IF(G1138&gt;H1138,1,0)</x:f>
        <x:v>0</x:v>
      </x:c>
      <x:c r="L1138" s="6" t="n">
        <x:f>J1138*K1138</x:f>
        <x:v>0</x:v>
      </x:c>
    </x:row>
    <x:row r="1139">
      <x:c r="A1139" s="1" t="n">
        <x:v>9913</x:v>
      </x:c>
      <x:c r="B1139" s="5" t="d">
        <x:v>2015-05-25T00:00:00.000Z</x:v>
      </x:c>
      <x:c r="C1139" s="1" t="str">
        <x:v>Standard Class</x:v>
      </x:c>
      <x:c r="D1139" s="1" t="str">
        <x:v>LATAM</x:v>
      </x:c>
      <x:c r="E1139" s="1" t="str">
        <x:v>PENDING</x:v>
      </x:c>
      <x:c r="F1139" s="1" t="str">
        <x:v>Shipping on time</x:v>
      </x:c>
      <x:c r="G1139" s="6" t="n">
        <x:v>4</x:v>
      </x:c>
      <x:c r="H1139" s="6" t="n">
        <x:v>4</x:v>
      </x:c>
      <x:c r="I1139" s="6" t="n">
        <x:f>G1139-H1139</x:f>
        <x:v>0</x:v>
      </x:c>
      <x:c r="J1139" s="6" t="n">
        <x:f>IF(OR(E1139="CANCELED",E1139="SUSPECTED_FRAUD",F1139="Shipping canceled"),0,1)</x:f>
        <x:v>1</x:v>
      </x:c>
      <x:c r="K1139" s="6" t="n">
        <x:f>IF(G1139&gt;H1139,1,0)</x:f>
        <x:v>0</x:v>
      </x:c>
      <x:c r="L1139" s="6" t="n">
        <x:f>J1139*K1139</x:f>
        <x:v>0</x:v>
      </x:c>
    </x:row>
    <x:row r="1140">
      <x:c r="A1140" s="1" t="n">
        <x:v>9920</x:v>
      </x:c>
      <x:c r="B1140" s="5" t="d">
        <x:v>2015-05-25T00:00:00.000Z</x:v>
      </x:c>
      <x:c r="C1140" s="1" t="str">
        <x:v>Standard Class</x:v>
      </x:c>
      <x:c r="D1140" s="1" t="str">
        <x:v>LATAM</x:v>
      </x:c>
      <x:c r="E1140" s="1" t="str">
        <x:v>PROCESSING</x:v>
      </x:c>
      <x:c r="F1140" s="1" t="str">
        <x:v>Late delivery</x:v>
      </x:c>
      <x:c r="G1140" s="6" t="n">
        <x:v>6</x:v>
      </x:c>
      <x:c r="H1140" s="6" t="n">
        <x:v>4</x:v>
      </x:c>
      <x:c r="I1140" s="6" t="n">
        <x:f>G1140-H1140</x:f>
        <x:v>2</x:v>
      </x:c>
      <x:c r="J1140" s="6" t="n">
        <x:f>IF(OR(E1140="CANCELED",E1140="SUSPECTED_FRAUD",F1140="Shipping canceled"),0,1)</x:f>
        <x:v>1</x:v>
      </x:c>
      <x:c r="K1140" s="6" t="n">
        <x:f>IF(G1140&gt;H1140,1,0)</x:f>
        <x:v>1</x:v>
      </x:c>
      <x:c r="L1140" s="6" t="n">
        <x:f>J1140*K1140</x:f>
        <x:v>1</x:v>
      </x:c>
    </x:row>
    <x:row r="1141">
      <x:c r="A1141" s="1" t="n">
        <x:v>9931</x:v>
      </x:c>
      <x:c r="B1141" s="5" t="d">
        <x:v>2015-05-25T00:00:00.000Z</x:v>
      </x:c>
      <x:c r="C1141" s="1" t="str">
        <x:v>Standard Class</x:v>
      </x:c>
      <x:c r="D1141" s="1" t="str">
        <x:v>LATAM</x:v>
      </x:c>
      <x:c r="E1141" s="1" t="str">
        <x:v>COMPLETE</x:v>
      </x:c>
      <x:c r="F1141" s="1" t="str">
        <x:v>Advance shipping</x:v>
      </x:c>
      <x:c r="G1141" s="6" t="n">
        <x:v>2</x:v>
      </x:c>
      <x:c r="H1141" s="6" t="n">
        <x:v>4</x:v>
      </x:c>
      <x:c r="I1141" s="6" t="n">
        <x:f>G1141-H1141</x:f>
        <x:v>-2</x:v>
      </x:c>
      <x:c r="J1141" s="6" t="n">
        <x:f>IF(OR(E1141="CANCELED",E1141="SUSPECTED_FRAUD",F1141="Shipping canceled"),0,1)</x:f>
        <x:v>1</x:v>
      </x:c>
      <x:c r="K1141" s="6" t="n">
        <x:f>IF(G1141&gt;H1141,1,0)</x:f>
        <x:v>0</x:v>
      </x:c>
      <x:c r="L1141" s="6" t="n">
        <x:f>J1141*K1141</x:f>
        <x:v>0</x:v>
      </x:c>
    </x:row>
    <x:row r="1142">
      <x:c r="A1142" s="1" t="n">
        <x:v>9932</x:v>
      </x:c>
      <x:c r="B1142" s="5" t="d">
        <x:v>2015-05-25T00:00:00.000Z</x:v>
      </x:c>
      <x:c r="C1142" s="1" t="str">
        <x:v>Standard Class</x:v>
      </x:c>
      <x:c r="D1142" s="1" t="str">
        <x:v>LATAM</x:v>
      </x:c>
      <x:c r="E1142" s="1" t="str">
        <x:v>COMPLETE</x:v>
      </x:c>
      <x:c r="F1142" s="1" t="str">
        <x:v>Advance shipping</x:v>
      </x:c>
      <x:c r="G1142" s="6" t="n">
        <x:v>3</x:v>
      </x:c>
      <x:c r="H1142" s="6" t="n">
        <x:v>4</x:v>
      </x:c>
      <x:c r="I1142" s="6" t="n">
        <x:f>G1142-H1142</x:f>
        <x:v>-1</x:v>
      </x:c>
      <x:c r="J1142" s="6" t="n">
        <x:f>IF(OR(E1142="CANCELED",E1142="SUSPECTED_FRAUD",F1142="Shipping canceled"),0,1)</x:f>
        <x:v>1</x:v>
      </x:c>
      <x:c r="K1142" s="6" t="n">
        <x:f>IF(G1142&gt;H1142,1,0)</x:f>
        <x:v>0</x:v>
      </x:c>
      <x:c r="L1142" s="6" t="n">
        <x:f>J1142*K1142</x:f>
        <x:v>0</x:v>
      </x:c>
    </x:row>
    <x:row r="1143">
      <x:c r="A1143" s="1" t="n">
        <x:v>9944</x:v>
      </x:c>
      <x:c r="B1143" s="5" t="d">
        <x:v>2015-05-26T00:00:00.000Z</x:v>
      </x:c>
      <x:c r="C1143" s="1" t="str">
        <x:v>Second Class</x:v>
      </x:c>
      <x:c r="D1143" s="1" t="str">
        <x:v>LATAM</x:v>
      </x:c>
      <x:c r="E1143" s="1" t="str">
        <x:v>COMPLETE</x:v>
      </x:c>
      <x:c r="F1143" s="1" t="str">
        <x:v>Late delivery</x:v>
      </x:c>
      <x:c r="G1143" s="6" t="n">
        <x:v>5</x:v>
      </x:c>
      <x:c r="H1143" s="6" t="n">
        <x:v>2</x:v>
      </x:c>
      <x:c r="I1143" s="6" t="n">
        <x:f>G1143-H1143</x:f>
        <x:v>3</x:v>
      </x:c>
      <x:c r="J1143" s="6" t="n">
        <x:f>IF(OR(E1143="CANCELED",E1143="SUSPECTED_FRAUD",F1143="Shipping canceled"),0,1)</x:f>
        <x:v>1</x:v>
      </x:c>
      <x:c r="K1143" s="6" t="n">
        <x:f>IF(G1143&gt;H1143,1,0)</x:f>
        <x:v>1</x:v>
      </x:c>
      <x:c r="L1143" s="6" t="n">
        <x:f>J1143*K1143</x:f>
        <x:v>1</x:v>
      </x:c>
    </x:row>
    <x:row r="1144">
      <x:c r="A1144" s="1" t="n">
        <x:v>9952</x:v>
      </x:c>
      <x:c r="B1144" s="5" t="d">
        <x:v>2015-05-26T00:00:00.000Z</x:v>
      </x:c>
      <x:c r="C1144" s="1" t="str">
        <x:v>First Class</x:v>
      </x:c>
      <x:c r="D1144" s="1" t="str">
        <x:v>LATAM</x:v>
      </x:c>
      <x:c r="E1144" s="1" t="str">
        <x:v>PENDING_PAYMENT</x:v>
      </x:c>
      <x:c r="F1144" s="1" t="str">
        <x:v>Late delivery</x:v>
      </x:c>
      <x:c r="G1144" s="6" t="n">
        <x:v>2</x:v>
      </x:c>
      <x:c r="H1144" s="6" t="n">
        <x:v>1</x:v>
      </x:c>
      <x:c r="I1144" s="6" t="n">
        <x:f>G1144-H1144</x:f>
        <x:v>1</x:v>
      </x:c>
      <x:c r="J1144" s="6" t="n">
        <x:f>IF(OR(E1144="CANCELED",E1144="SUSPECTED_FRAUD",F1144="Shipping canceled"),0,1)</x:f>
        <x:v>1</x:v>
      </x:c>
      <x:c r="K1144" s="6" t="n">
        <x:f>IF(G1144&gt;H1144,1,0)</x:f>
        <x:v>1</x:v>
      </x:c>
      <x:c r="L1144" s="6" t="n">
        <x:f>J1144*K1144</x:f>
        <x:v>1</x:v>
      </x:c>
    </x:row>
    <x:row r="1145">
      <x:c r="A1145" s="1" t="n">
        <x:v>9959</x:v>
      </x:c>
      <x:c r="B1145" s="5" t="d">
        <x:v>2015-05-26T00:00:00.000Z</x:v>
      </x:c>
      <x:c r="C1145" s="1" t="str">
        <x:v>Standard Class</x:v>
      </x:c>
      <x:c r="D1145" s="1" t="str">
        <x:v>LATAM</x:v>
      </x:c>
      <x:c r="E1145" s="1" t="str">
        <x:v>COMPLETE</x:v>
      </x:c>
      <x:c r="F1145" s="1" t="str">
        <x:v>Late delivery</x:v>
      </x:c>
      <x:c r="G1145" s="6" t="n">
        <x:v>5</x:v>
      </x:c>
      <x:c r="H1145" s="6" t="n">
        <x:v>4</x:v>
      </x:c>
      <x:c r="I1145" s="6" t="n">
        <x:f>G1145-H1145</x:f>
        <x:v>1</x:v>
      </x:c>
      <x:c r="J1145" s="6" t="n">
        <x:f>IF(OR(E1145="CANCELED",E1145="SUSPECTED_FRAUD",F1145="Shipping canceled"),0,1)</x:f>
        <x:v>1</x:v>
      </x:c>
      <x:c r="K1145" s="6" t="n">
        <x:f>IF(G1145&gt;H1145,1,0)</x:f>
        <x:v>1</x:v>
      </x:c>
      <x:c r="L1145" s="6" t="n">
        <x:f>J1145*K1145</x:f>
        <x:v>1</x:v>
      </x:c>
    </x:row>
    <x:row r="1146">
      <x:c r="A1146" s="1" t="n">
        <x:v>9967</x:v>
      </x:c>
      <x:c r="B1146" s="5" t="d">
        <x:v>2015-05-26T00:00:00.000Z</x:v>
      </x:c>
      <x:c r="C1146" s="1" t="str">
        <x:v>Second Class</x:v>
      </x:c>
      <x:c r="D1146" s="1" t="str">
        <x:v>LATAM</x:v>
      </x:c>
      <x:c r="E1146" s="1" t="str">
        <x:v>CLOSED</x:v>
      </x:c>
      <x:c r="F1146" s="1" t="str">
        <x:v>Late delivery</x:v>
      </x:c>
      <x:c r="G1146" s="6" t="n">
        <x:v>3</x:v>
      </x:c>
      <x:c r="H1146" s="6" t="n">
        <x:v>2</x:v>
      </x:c>
      <x:c r="I1146" s="6" t="n">
        <x:f>G1146-H1146</x:f>
        <x:v>1</x:v>
      </x:c>
      <x:c r="J1146" s="6" t="n">
        <x:f>IF(OR(E1146="CANCELED",E1146="SUSPECTED_FRAUD",F1146="Shipping canceled"),0,1)</x:f>
        <x:v>1</x:v>
      </x:c>
      <x:c r="K1146" s="6" t="n">
        <x:f>IF(G1146&gt;H1146,1,0)</x:f>
        <x:v>1</x:v>
      </x:c>
      <x:c r="L1146" s="6" t="n">
        <x:f>J1146*K1146</x:f>
        <x:v>1</x:v>
      </x:c>
    </x:row>
    <x:row r="1147">
      <x:c r="A1147" s="1" t="n">
        <x:v>9970</x:v>
      </x:c>
      <x:c r="B1147" s="5" t="d">
        <x:v>2015-05-26T00:00:00.000Z</x:v>
      </x:c>
      <x:c r="C1147" s="1" t="str">
        <x:v>Standard Class</x:v>
      </x:c>
      <x:c r="D1147" s="1" t="str">
        <x:v>LATAM</x:v>
      </x:c>
      <x:c r="E1147" s="1" t="str">
        <x:v>COMPLETE</x:v>
      </x:c>
      <x:c r="F1147" s="1" t="str">
        <x:v>Late delivery</x:v>
      </x:c>
      <x:c r="G1147" s="6" t="n">
        <x:v>6</x:v>
      </x:c>
      <x:c r="H1147" s="6" t="n">
        <x:v>4</x:v>
      </x:c>
      <x:c r="I1147" s="6" t="n">
        <x:f>G1147-H1147</x:f>
        <x:v>2</x:v>
      </x:c>
      <x:c r="J1147" s="6" t="n">
        <x:f>IF(OR(E1147="CANCELED",E1147="SUSPECTED_FRAUD",F1147="Shipping canceled"),0,1)</x:f>
        <x:v>1</x:v>
      </x:c>
      <x:c r="K1147" s="6" t="n">
        <x:f>IF(G1147&gt;H1147,1,0)</x:f>
        <x:v>1</x:v>
      </x:c>
      <x:c r="L1147" s="6" t="n">
        <x:f>J1147*K1147</x:f>
        <x:v>1</x:v>
      </x:c>
    </x:row>
    <x:row r="1148">
      <x:c r="A1148" s="1" t="n">
        <x:v>9981</x:v>
      </x:c>
      <x:c r="B1148" s="5" t="d">
        <x:v>2015-05-26T00:00:00.000Z</x:v>
      </x:c>
      <x:c r="C1148" s="1" t="str">
        <x:v>Standard Class</x:v>
      </x:c>
      <x:c r="D1148" s="1" t="str">
        <x:v>LATAM</x:v>
      </x:c>
      <x:c r="E1148" s="1" t="str">
        <x:v>PENDING</x:v>
      </x:c>
      <x:c r="F1148" s="1" t="str">
        <x:v>Advance shipping</x:v>
      </x:c>
      <x:c r="G1148" s="6" t="n">
        <x:v>2</x:v>
      </x:c>
      <x:c r="H1148" s="6" t="n">
        <x:v>4</x:v>
      </x:c>
      <x:c r="I1148" s="6" t="n">
        <x:f>G1148-H1148</x:f>
        <x:v>-2</x:v>
      </x:c>
      <x:c r="J1148" s="6" t="n">
        <x:f>IF(OR(E1148="CANCELED",E1148="SUSPECTED_FRAUD",F1148="Shipping canceled"),0,1)</x:f>
        <x:v>1</x:v>
      </x:c>
      <x:c r="K1148" s="6" t="n">
        <x:f>IF(G1148&gt;H1148,1,0)</x:f>
        <x:v>0</x:v>
      </x:c>
      <x:c r="L1148" s="6" t="n">
        <x:f>J1148*K1148</x:f>
        <x:v>0</x:v>
      </x:c>
    </x:row>
    <x:row r="1149">
      <x:c r="A1149" s="1" t="n">
        <x:v>9983</x:v>
      </x:c>
      <x:c r="B1149" s="5" t="d">
        <x:v>2015-05-26T00:00:00.000Z</x:v>
      </x:c>
      <x:c r="C1149" s="1" t="str">
        <x:v>Standard Class</x:v>
      </x:c>
      <x:c r="D1149" s="1" t="str">
        <x:v>LATAM</x:v>
      </x:c>
      <x:c r="E1149" s="1" t="str">
        <x:v>PENDING</x:v>
      </x:c>
      <x:c r="F1149" s="1" t="str">
        <x:v>Shipping on time</x:v>
      </x:c>
      <x:c r="G1149" s="6" t="n">
        <x:v>4</x:v>
      </x:c>
      <x:c r="H1149" s="6" t="n">
        <x:v>4</x:v>
      </x:c>
      <x:c r="I1149" s="6" t="n">
        <x:f>G1149-H1149</x:f>
        <x:v>0</x:v>
      </x:c>
      <x:c r="J1149" s="6" t="n">
        <x:f>IF(OR(E1149="CANCELED",E1149="SUSPECTED_FRAUD",F1149="Shipping canceled"),0,1)</x:f>
        <x:v>1</x:v>
      </x:c>
      <x:c r="K1149" s="6" t="n">
        <x:f>IF(G1149&gt;H1149,1,0)</x:f>
        <x:v>0</x:v>
      </x:c>
      <x:c r="L1149" s="6" t="n">
        <x:f>J1149*K1149</x:f>
        <x:v>0</x:v>
      </x:c>
    </x:row>
    <x:row r="1150">
      <x:c r="A1150" s="1" t="n">
        <x:v>9995</x:v>
      </x:c>
      <x:c r="B1150" s="5" t="d">
        <x:v>2015-05-26T00:00:00.000Z</x:v>
      </x:c>
      <x:c r="C1150" s="1" t="str">
        <x:v>Standard Class</x:v>
      </x:c>
      <x:c r="D1150" s="1" t="str">
        <x:v>LATAM</x:v>
      </x:c>
      <x:c r="E1150" s="1" t="str">
        <x:v>PROCESSING</x:v>
      </x:c>
      <x:c r="F1150" s="1" t="str">
        <x:v>Late delivery</x:v>
      </x:c>
      <x:c r="G1150" s="6" t="n">
        <x:v>6</x:v>
      </x:c>
      <x:c r="H1150" s="6" t="n">
        <x:v>4</x:v>
      </x:c>
      <x:c r="I1150" s="6" t="n">
        <x:f>G1150-H1150</x:f>
        <x:v>2</x:v>
      </x:c>
      <x:c r="J1150" s="6" t="n">
        <x:f>IF(OR(E1150="CANCELED",E1150="SUSPECTED_FRAUD",F1150="Shipping canceled"),0,1)</x:f>
        <x:v>1</x:v>
      </x:c>
      <x:c r="K1150" s="6" t="n">
        <x:f>IF(G1150&gt;H1150,1,0)</x:f>
        <x:v>1</x:v>
      </x:c>
      <x:c r="L1150" s="6" t="n">
        <x:f>J1150*K1150</x:f>
        <x:v>1</x:v>
      </x:c>
    </x:row>
    <x:row r="1151">
      <x:c r="A1151" s="1" t="n">
        <x:v>9998</x:v>
      </x:c>
      <x:c r="B1151" s="5" t="d">
        <x:v>2015-05-26T00:00:00.000Z</x:v>
      </x:c>
      <x:c r="C1151" s="1" t="str">
        <x:v>Standard Class</x:v>
      </x:c>
      <x:c r="D1151" s="1" t="str">
        <x:v>LATAM</x:v>
      </x:c>
      <x:c r="E1151" s="1" t="str">
        <x:v>PENDING</x:v>
      </x:c>
      <x:c r="F1151" s="1" t="str">
        <x:v>Shipping on time</x:v>
      </x:c>
      <x:c r="G1151" s="6" t="n">
        <x:v>4</x:v>
      </x:c>
      <x:c r="H1151" s="6" t="n">
        <x:v>4</x:v>
      </x:c>
      <x:c r="I1151" s="6" t="n">
        <x:f>G1151-H1151</x:f>
        <x:v>0</x:v>
      </x:c>
      <x:c r="J1151" s="6" t="n">
        <x:f>IF(OR(E1151="CANCELED",E1151="SUSPECTED_FRAUD",F1151="Shipping canceled"),0,1)</x:f>
        <x:v>1</x:v>
      </x:c>
      <x:c r="K1151" s="6" t="n">
        <x:f>IF(G1151&gt;H1151,1,0)</x:f>
        <x:v>0</x:v>
      </x:c>
      <x:c r="L1151" s="6" t="n">
        <x:f>J1151*K1151</x:f>
        <x:v>0</x:v>
      </x:c>
    </x:row>
    <x:row r="1152">
      <x:c r="A1152" s="1" t="n">
        <x:v>10005</x:v>
      </x:c>
      <x:c r="B1152" s="5" t="d">
        <x:v>2015-05-27T00:00:00.000Z</x:v>
      </x:c>
      <x:c r="C1152" s="1" t="str">
        <x:v>Standard Class</x:v>
      </x:c>
      <x:c r="D1152" s="1" t="str">
        <x:v>LATAM</x:v>
      </x:c>
      <x:c r="E1152" s="1" t="str">
        <x:v>COMPLETE</x:v>
      </x:c>
      <x:c r="F1152" s="1" t="str">
        <x:v>Late delivery</x:v>
      </x:c>
      <x:c r="G1152" s="6" t="n">
        <x:v>6</x:v>
      </x:c>
      <x:c r="H1152" s="6" t="n">
        <x:v>4</x:v>
      </x:c>
      <x:c r="I1152" s="6" t="n">
        <x:f>G1152-H1152</x:f>
        <x:v>2</x:v>
      </x:c>
      <x:c r="J1152" s="6" t="n">
        <x:f>IF(OR(E1152="CANCELED",E1152="SUSPECTED_FRAUD",F1152="Shipping canceled"),0,1)</x:f>
        <x:v>1</x:v>
      </x:c>
      <x:c r="K1152" s="6" t="n">
        <x:f>IF(G1152&gt;H1152,1,0)</x:f>
        <x:v>1</x:v>
      </x:c>
      <x:c r="L1152" s="6" t="n">
        <x:f>J1152*K1152</x:f>
        <x:v>1</x:v>
      </x:c>
    </x:row>
    <x:row r="1153">
      <x:c r="A1153" s="1" t="n">
        <x:v>10007</x:v>
      </x:c>
      <x:c r="B1153" s="5" t="d">
        <x:v>2015-05-27T00:00:00.000Z</x:v>
      </x:c>
      <x:c r="C1153" s="1" t="str">
        <x:v>Standard Class</x:v>
      </x:c>
      <x:c r="D1153" s="1" t="str">
        <x:v>LATAM</x:v>
      </x:c>
      <x:c r="E1153" s="1" t="str">
        <x:v>PENDING</x:v>
      </x:c>
      <x:c r="F1153" s="1" t="str">
        <x:v>Advance shipping</x:v>
      </x:c>
      <x:c r="G1153" s="6" t="n">
        <x:v>3</x:v>
      </x:c>
      <x:c r="H1153" s="6" t="n">
        <x:v>4</x:v>
      </x:c>
      <x:c r="I1153" s="6" t="n">
        <x:f>G1153-H1153</x:f>
        <x:v>-1</x:v>
      </x:c>
      <x:c r="J1153" s="6" t="n">
        <x:f>IF(OR(E1153="CANCELED",E1153="SUSPECTED_FRAUD",F1153="Shipping canceled"),0,1)</x:f>
        <x:v>1</x:v>
      </x:c>
      <x:c r="K1153" s="6" t="n">
        <x:f>IF(G1153&gt;H1153,1,0)</x:f>
        <x:v>0</x:v>
      </x:c>
      <x:c r="L1153" s="6" t="n">
        <x:f>J1153*K1153</x:f>
        <x:v>0</x:v>
      </x:c>
    </x:row>
    <x:row r="1154">
      <x:c r="A1154" s="1" t="n">
        <x:v>10009</x:v>
      </x:c>
      <x:c r="B1154" s="5" t="d">
        <x:v>2015-05-27T00:00:00.000Z</x:v>
      </x:c>
      <x:c r="C1154" s="1" t="str">
        <x:v>Standard Class</x:v>
      </x:c>
      <x:c r="D1154" s="1" t="str">
        <x:v>LATAM</x:v>
      </x:c>
      <x:c r="E1154" s="1" t="str">
        <x:v>ON_HOLD</x:v>
      </x:c>
      <x:c r="F1154" s="1" t="str">
        <x:v>Late delivery</x:v>
      </x:c>
      <x:c r="G1154" s="6" t="n">
        <x:v>5</x:v>
      </x:c>
      <x:c r="H1154" s="6" t="n">
        <x:v>4</x:v>
      </x:c>
      <x:c r="I1154" s="6" t="n">
        <x:f>G1154-H1154</x:f>
        <x:v>1</x:v>
      </x:c>
      <x:c r="J1154" s="6" t="n">
        <x:f>IF(OR(E1154="CANCELED",E1154="SUSPECTED_FRAUD",F1154="Shipping canceled"),0,1)</x:f>
        <x:v>1</x:v>
      </x:c>
      <x:c r="K1154" s="6" t="n">
        <x:f>IF(G1154&gt;H1154,1,0)</x:f>
        <x:v>1</x:v>
      </x:c>
      <x:c r="L1154" s="6" t="n">
        <x:f>J1154*K1154</x:f>
        <x:v>1</x:v>
      </x:c>
    </x:row>
    <x:row r="1155">
      <x:c r="A1155" s="1" t="n">
        <x:v>10014</x:v>
      </x:c>
      <x:c r="B1155" s="5" t="d">
        <x:v>2015-05-27T00:00:00.000Z</x:v>
      </x:c>
      <x:c r="C1155" s="1" t="str">
        <x:v>Standard Class</x:v>
      </x:c>
      <x:c r="D1155" s="1" t="str">
        <x:v>LATAM</x:v>
      </x:c>
      <x:c r="E1155" s="1" t="str">
        <x:v>SUSPECTED_FRAUD</x:v>
      </x:c>
      <x:c r="F1155" s="1" t="str">
        <x:v>Shipping canceled</x:v>
      </x:c>
      <x:c r="G1155" s="6" t="n">
        <x:v>5</x:v>
      </x:c>
      <x:c r="H1155" s="6" t="n">
        <x:v>4</x:v>
      </x:c>
      <x:c r="I1155" s="6" t="n">
        <x:f>G1155-H1155</x:f>
        <x:v>1</x:v>
      </x:c>
      <x:c r="J1155" s="6" t="n">
        <x:f>IF(OR(E1155="CANCELED",E1155="SUSPECTED_FRAUD",F1155="Shipping canceled"),0,1)</x:f>
        <x:v>0</x:v>
      </x:c>
      <x:c r="K1155" s="6" t="n">
        <x:f>IF(G1155&gt;H1155,1,0)</x:f>
        <x:v>1</x:v>
      </x:c>
      <x:c r="L1155" s="6" t="n">
        <x:f>J1155*K1155</x:f>
        <x:v>0</x:v>
      </x:c>
    </x:row>
    <x:row r="1156">
      <x:c r="A1156" s="1" t="n">
        <x:v>10017</x:v>
      </x:c>
      <x:c r="B1156" s="5" t="d">
        <x:v>2015-05-27T00:00:00.000Z</x:v>
      </x:c>
      <x:c r="C1156" s="1" t="str">
        <x:v>Second Class</x:v>
      </x:c>
      <x:c r="D1156" s="1" t="str">
        <x:v>LATAM</x:v>
      </x:c>
      <x:c r="E1156" s="1" t="str">
        <x:v>COMPLETE</x:v>
      </x:c>
      <x:c r="F1156" s="1" t="str">
        <x:v>Late delivery</x:v>
      </x:c>
      <x:c r="G1156" s="6" t="n">
        <x:v>3</x:v>
      </x:c>
      <x:c r="H1156" s="6" t="n">
        <x:v>2</x:v>
      </x:c>
      <x:c r="I1156" s="6" t="n">
        <x:f>G1156-H1156</x:f>
        <x:v>1</x:v>
      </x:c>
      <x:c r="J1156" s="6" t="n">
        <x:f>IF(OR(E1156="CANCELED",E1156="SUSPECTED_FRAUD",F1156="Shipping canceled"),0,1)</x:f>
        <x:v>1</x:v>
      </x:c>
      <x:c r="K1156" s="6" t="n">
        <x:f>IF(G1156&gt;H1156,1,0)</x:f>
        <x:v>1</x:v>
      </x:c>
      <x:c r="L1156" s="6" t="n">
        <x:f>J1156*K1156</x:f>
        <x:v>1</x:v>
      </x:c>
    </x:row>
    <x:row r="1157">
      <x:c r="A1157" s="1" t="n">
        <x:v>10026</x:v>
      </x:c>
      <x:c r="B1157" s="5" t="d">
        <x:v>2015-05-27T00:00:00.000Z</x:v>
      </x:c>
      <x:c r="C1157" s="1" t="str">
        <x:v>Standard Class</x:v>
      </x:c>
      <x:c r="D1157" s="1" t="str">
        <x:v>LATAM</x:v>
      </x:c>
      <x:c r="E1157" s="1" t="str">
        <x:v>COMPLETE</x:v>
      </x:c>
      <x:c r="F1157" s="1" t="str">
        <x:v>Advance shipping</x:v>
      </x:c>
      <x:c r="G1157" s="6" t="n">
        <x:v>2</x:v>
      </x:c>
      <x:c r="H1157" s="6" t="n">
        <x:v>4</x:v>
      </x:c>
      <x:c r="I1157" s="6" t="n">
        <x:f>G1157-H1157</x:f>
        <x:v>-2</x:v>
      </x:c>
      <x:c r="J1157" s="6" t="n">
        <x:f>IF(OR(E1157="CANCELED",E1157="SUSPECTED_FRAUD",F1157="Shipping canceled"),0,1)</x:f>
        <x:v>1</x:v>
      </x:c>
      <x:c r="K1157" s="6" t="n">
        <x:f>IF(G1157&gt;H1157,1,0)</x:f>
        <x:v>0</x:v>
      </x:c>
      <x:c r="L1157" s="6" t="n">
        <x:f>J1157*K1157</x:f>
        <x:v>0</x:v>
      </x:c>
    </x:row>
    <x:row r="1158">
      <x:c r="A1158" s="1" t="n">
        <x:v>10028</x:v>
      </x:c>
      <x:c r="B1158" s="5" t="d">
        <x:v>2015-05-27T00:00:00.000Z</x:v>
      </x:c>
      <x:c r="C1158" s="1" t="str">
        <x:v>First Class</x:v>
      </x:c>
      <x:c r="D1158" s="1" t="str">
        <x:v>LATAM</x:v>
      </x:c>
      <x:c r="E1158" s="1" t="str">
        <x:v>PENDING</x:v>
      </x:c>
      <x:c r="F1158" s="1" t="str">
        <x:v>Late delivery</x:v>
      </x:c>
      <x:c r="G1158" s="6" t="n">
        <x:v>2</x:v>
      </x:c>
      <x:c r="H1158" s="6" t="n">
        <x:v>1</x:v>
      </x:c>
      <x:c r="I1158" s="6" t="n">
        <x:f>G1158-H1158</x:f>
        <x:v>1</x:v>
      </x:c>
      <x:c r="J1158" s="6" t="n">
        <x:f>IF(OR(E1158="CANCELED",E1158="SUSPECTED_FRAUD",F1158="Shipping canceled"),0,1)</x:f>
        <x:v>1</x:v>
      </x:c>
      <x:c r="K1158" s="6" t="n">
        <x:f>IF(G1158&gt;H1158,1,0)</x:f>
        <x:v>1</x:v>
      </x:c>
      <x:c r="L1158" s="6" t="n">
        <x:f>J1158*K1158</x:f>
        <x:v>1</x:v>
      </x:c>
    </x:row>
    <x:row r="1159">
      <x:c r="A1159" s="1" t="n">
        <x:v>10032</x:v>
      </x:c>
      <x:c r="B1159" s="5" t="d">
        <x:v>2015-05-27T00:00:00.000Z</x:v>
      </x:c>
      <x:c r="C1159" s="1" t="str">
        <x:v>Second Class</x:v>
      </x:c>
      <x:c r="D1159" s="1" t="str">
        <x:v>LATAM</x:v>
      </x:c>
      <x:c r="E1159" s="1" t="str">
        <x:v>COMPLETE</x:v>
      </x:c>
      <x:c r="F1159" s="1" t="str">
        <x:v>Late delivery</x:v>
      </x:c>
      <x:c r="G1159" s="6" t="n">
        <x:v>3</x:v>
      </x:c>
      <x:c r="H1159" s="6" t="n">
        <x:v>2</x:v>
      </x:c>
      <x:c r="I1159" s="6" t="n">
        <x:f>G1159-H1159</x:f>
        <x:v>1</x:v>
      </x:c>
      <x:c r="J1159" s="6" t="n">
        <x:f>IF(OR(E1159="CANCELED",E1159="SUSPECTED_FRAUD",F1159="Shipping canceled"),0,1)</x:f>
        <x:v>1</x:v>
      </x:c>
      <x:c r="K1159" s="6" t="n">
        <x:f>IF(G1159&gt;H1159,1,0)</x:f>
        <x:v>1</x:v>
      </x:c>
      <x:c r="L1159" s="6" t="n">
        <x:f>J1159*K1159</x:f>
        <x:v>1</x:v>
      </x:c>
    </x:row>
    <x:row r="1160">
      <x:c r="A1160" s="1" t="n">
        <x:v>10036</x:v>
      </x:c>
      <x:c r="B1160" s="5" t="d">
        <x:v>2015-05-27T00:00:00.000Z</x:v>
      </x:c>
      <x:c r="C1160" s="1" t="str">
        <x:v>First Class</x:v>
      </x:c>
      <x:c r="D1160" s="1" t="str">
        <x:v>LATAM</x:v>
      </x:c>
      <x:c r="E1160" s="1" t="str">
        <x:v>SUSPECTED_FRAUD</x:v>
      </x:c>
      <x:c r="F1160" s="1" t="str">
        <x:v>Shipping canceled</x:v>
      </x:c>
      <x:c r="G1160" s="6" t="n">
        <x:v>2</x:v>
      </x:c>
      <x:c r="H1160" s="6" t="n">
        <x:v>1</x:v>
      </x:c>
      <x:c r="I1160" s="6" t="n">
        <x:f>G1160-H1160</x:f>
        <x:v>1</x:v>
      </x:c>
      <x:c r="J1160" s="6" t="n">
        <x:f>IF(OR(E1160="CANCELED",E1160="SUSPECTED_FRAUD",F1160="Shipping canceled"),0,1)</x:f>
        <x:v>0</x:v>
      </x:c>
      <x:c r="K1160" s="6" t="n">
        <x:f>IF(G1160&gt;H1160,1,0)</x:f>
        <x:v>1</x:v>
      </x:c>
      <x:c r="L1160" s="6" t="n">
        <x:f>J1160*K1160</x:f>
        <x:v>0</x:v>
      </x:c>
    </x:row>
    <x:row r="1161">
      <x:c r="A1161" s="1" t="n">
        <x:v>10049</x:v>
      </x:c>
      <x:c r="B1161" s="5" t="d">
        <x:v>2015-05-27T00:00:00.000Z</x:v>
      </x:c>
      <x:c r="C1161" s="1" t="str">
        <x:v>Standard Class</x:v>
      </x:c>
      <x:c r="D1161" s="1" t="str">
        <x:v>LATAM</x:v>
      </x:c>
      <x:c r="E1161" s="1" t="str">
        <x:v>SUSPECTED_FRAUD</x:v>
      </x:c>
      <x:c r="F1161" s="1" t="str">
        <x:v>Shipping canceled</x:v>
      </x:c>
      <x:c r="G1161" s="6" t="n">
        <x:v>5</x:v>
      </x:c>
      <x:c r="H1161" s="6" t="n">
        <x:v>4</x:v>
      </x:c>
      <x:c r="I1161" s="6" t="n">
        <x:f>G1161-H1161</x:f>
        <x:v>1</x:v>
      </x:c>
      <x:c r="J1161" s="6" t="n">
        <x:f>IF(OR(E1161="CANCELED",E1161="SUSPECTED_FRAUD",F1161="Shipping canceled"),0,1)</x:f>
        <x:v>0</x:v>
      </x:c>
      <x:c r="K1161" s="6" t="n">
        <x:f>IF(G1161&gt;H1161,1,0)</x:f>
        <x:v>1</x:v>
      </x:c>
      <x:c r="L1161" s="6" t="n">
        <x:f>J1161*K1161</x:f>
        <x:v>0</x:v>
      </x:c>
    </x:row>
    <x:row r="1162">
      <x:c r="A1162" s="1" t="n">
        <x:v>10056</x:v>
      </x:c>
      <x:c r="B1162" s="5" t="d">
        <x:v>2015-05-27T00:00:00.000Z</x:v>
      </x:c>
      <x:c r="C1162" s="1" t="str">
        <x:v>Standard Class</x:v>
      </x:c>
      <x:c r="D1162" s="1" t="str">
        <x:v>LATAM</x:v>
      </x:c>
      <x:c r="E1162" s="1" t="str">
        <x:v>SUSPECTED_FRAUD</x:v>
      </x:c>
      <x:c r="F1162" s="1" t="str">
        <x:v>Shipping canceled</x:v>
      </x:c>
      <x:c r="G1162" s="6" t="n">
        <x:v>2</x:v>
      </x:c>
      <x:c r="H1162" s="6" t="n">
        <x:v>4</x:v>
      </x:c>
      <x:c r="I1162" s="6" t="n">
        <x:f>G1162-H1162</x:f>
        <x:v>-2</x:v>
      </x:c>
      <x:c r="J1162" s="6" t="n">
        <x:f>IF(OR(E1162="CANCELED",E1162="SUSPECTED_FRAUD",F1162="Shipping canceled"),0,1)</x:f>
        <x:v>0</x:v>
      </x:c>
      <x:c r="K1162" s="6" t="n">
        <x:f>IF(G1162&gt;H1162,1,0)</x:f>
        <x:v>0</x:v>
      </x:c>
      <x:c r="L1162" s="6" t="n">
        <x:f>J1162*K1162</x:f>
        <x:v>0</x:v>
      </x:c>
    </x:row>
    <x:row r="1163">
      <x:c r="A1163" s="1" t="n">
        <x:v>10062</x:v>
      </x:c>
      <x:c r="B1163" s="5" t="d">
        <x:v>2015-05-27T00:00:00.000Z</x:v>
      </x:c>
      <x:c r="C1163" s="1" t="str">
        <x:v>Standard Class</x:v>
      </x:c>
      <x:c r="D1163" s="1" t="str">
        <x:v>LATAM</x:v>
      </x:c>
      <x:c r="E1163" s="1" t="str">
        <x:v>PENDING</x:v>
      </x:c>
      <x:c r="F1163" s="1" t="str">
        <x:v>Advance shipping</x:v>
      </x:c>
      <x:c r="G1163" s="6" t="n">
        <x:v>3</x:v>
      </x:c>
      <x:c r="H1163" s="6" t="n">
        <x:v>4</x:v>
      </x:c>
      <x:c r="I1163" s="6" t="n">
        <x:f>G1163-H1163</x:f>
        <x:v>-1</x:v>
      </x:c>
      <x:c r="J1163" s="6" t="n">
        <x:f>IF(OR(E1163="CANCELED",E1163="SUSPECTED_FRAUD",F1163="Shipping canceled"),0,1)</x:f>
        <x:v>1</x:v>
      </x:c>
      <x:c r="K1163" s="6" t="n">
        <x:f>IF(G1163&gt;H1163,1,0)</x:f>
        <x:v>0</x:v>
      </x:c>
      <x:c r="L1163" s="6" t="n">
        <x:f>J1163*K1163</x:f>
        <x:v>0</x:v>
      </x:c>
    </x:row>
    <x:row r="1164">
      <x:c r="A1164" s="1" t="n">
        <x:v>10085</x:v>
      </x:c>
      <x:c r="B1164" s="5" t="d">
        <x:v>2015-05-28T00:00:00.000Z</x:v>
      </x:c>
      <x:c r="C1164" s="1" t="str">
        <x:v>First Class</x:v>
      </x:c>
      <x:c r="D1164" s="1" t="str">
        <x:v>LATAM</x:v>
      </x:c>
      <x:c r="E1164" s="1" t="str">
        <x:v>COMPLETE</x:v>
      </x:c>
      <x:c r="F1164" s="1" t="str">
        <x:v>Late delivery</x:v>
      </x:c>
      <x:c r="G1164" s="6" t="n">
        <x:v>2</x:v>
      </x:c>
      <x:c r="H1164" s="6" t="n">
        <x:v>1</x:v>
      </x:c>
      <x:c r="I1164" s="6" t="n">
        <x:f>G1164-H1164</x:f>
        <x:v>1</x:v>
      </x:c>
      <x:c r="J1164" s="6" t="n">
        <x:f>IF(OR(E1164="CANCELED",E1164="SUSPECTED_FRAUD",F1164="Shipping canceled"),0,1)</x:f>
        <x:v>1</x:v>
      </x:c>
      <x:c r="K1164" s="6" t="n">
        <x:f>IF(G1164&gt;H1164,1,0)</x:f>
        <x:v>1</x:v>
      </x:c>
      <x:c r="L1164" s="6" t="n">
        <x:f>J1164*K1164</x:f>
        <x:v>1</x:v>
      </x:c>
    </x:row>
    <x:row r="1165">
      <x:c r="A1165" s="1" t="n">
        <x:v>10088</x:v>
      </x:c>
      <x:c r="B1165" s="5" t="d">
        <x:v>2015-05-28T00:00:00.000Z</x:v>
      </x:c>
      <x:c r="C1165" s="1" t="str">
        <x:v>Standard Class</x:v>
      </x:c>
      <x:c r="D1165" s="1" t="str">
        <x:v>LATAM</x:v>
      </x:c>
      <x:c r="E1165" s="1" t="str">
        <x:v>COMPLETE</x:v>
      </x:c>
      <x:c r="F1165" s="1" t="str">
        <x:v>Shipping on time</x:v>
      </x:c>
      <x:c r="G1165" s="6" t="n">
        <x:v>4</x:v>
      </x:c>
      <x:c r="H1165" s="6" t="n">
        <x:v>4</x:v>
      </x:c>
      <x:c r="I1165" s="6" t="n">
        <x:f>G1165-H1165</x:f>
        <x:v>0</x:v>
      </x:c>
      <x:c r="J1165" s="6" t="n">
        <x:f>IF(OR(E1165="CANCELED",E1165="SUSPECTED_FRAUD",F1165="Shipping canceled"),0,1)</x:f>
        <x:v>1</x:v>
      </x:c>
      <x:c r="K1165" s="6" t="n">
        <x:f>IF(G1165&gt;H1165,1,0)</x:f>
        <x:v>0</x:v>
      </x:c>
      <x:c r="L1165" s="6" t="n">
        <x:f>J1165*K1165</x:f>
        <x:v>0</x:v>
      </x:c>
    </x:row>
    <x:row r="1166">
      <x:c r="A1166" s="1" t="n">
        <x:v>10089</x:v>
      </x:c>
      <x:c r="B1166" s="5" t="d">
        <x:v>2015-05-28T00:00:00.000Z</x:v>
      </x:c>
      <x:c r="C1166" s="1" t="str">
        <x:v>First Class</x:v>
      </x:c>
      <x:c r="D1166" s="1" t="str">
        <x:v>LATAM</x:v>
      </x:c>
      <x:c r="E1166" s="1" t="str">
        <x:v>COMPLETE</x:v>
      </x:c>
      <x:c r="F1166" s="1" t="str">
        <x:v>Late delivery</x:v>
      </x:c>
      <x:c r="G1166" s="6" t="n">
        <x:v>2</x:v>
      </x:c>
      <x:c r="H1166" s="6" t="n">
        <x:v>1</x:v>
      </x:c>
      <x:c r="I1166" s="6" t="n">
        <x:f>G1166-H1166</x:f>
        <x:v>1</x:v>
      </x:c>
      <x:c r="J1166" s="6" t="n">
        <x:f>IF(OR(E1166="CANCELED",E1166="SUSPECTED_FRAUD",F1166="Shipping canceled"),0,1)</x:f>
        <x:v>1</x:v>
      </x:c>
      <x:c r="K1166" s="6" t="n">
        <x:f>IF(G1166&gt;H1166,1,0)</x:f>
        <x:v>1</x:v>
      </x:c>
      <x:c r="L1166" s="6" t="n">
        <x:f>J1166*K1166</x:f>
        <x:v>1</x:v>
      </x:c>
    </x:row>
    <x:row r="1167">
      <x:c r="A1167" s="1" t="n">
        <x:v>10090</x:v>
      </x:c>
      <x:c r="B1167" s="5" t="d">
        <x:v>2015-05-28T00:00:00.000Z</x:v>
      </x:c>
      <x:c r="C1167" s="1" t="str">
        <x:v>Second Class</x:v>
      </x:c>
      <x:c r="D1167" s="1" t="str">
        <x:v>LATAM</x:v>
      </x:c>
      <x:c r="E1167" s="1" t="str">
        <x:v>PROCESSING</x:v>
      </x:c>
      <x:c r="F1167" s="1" t="str">
        <x:v>Late delivery</x:v>
      </x:c>
      <x:c r="G1167" s="6" t="n">
        <x:v>6</x:v>
      </x:c>
      <x:c r="H1167" s="6" t="n">
        <x:v>2</x:v>
      </x:c>
      <x:c r="I1167" s="6" t="n">
        <x:f>G1167-H1167</x:f>
        <x:v>4</x:v>
      </x:c>
      <x:c r="J1167" s="6" t="n">
        <x:f>IF(OR(E1167="CANCELED",E1167="SUSPECTED_FRAUD",F1167="Shipping canceled"),0,1)</x:f>
        <x:v>1</x:v>
      </x:c>
      <x:c r="K1167" s="6" t="n">
        <x:f>IF(G1167&gt;H1167,1,0)</x:f>
        <x:v>1</x:v>
      </x:c>
      <x:c r="L1167" s="6" t="n">
        <x:f>J1167*K1167</x:f>
        <x:v>1</x:v>
      </x:c>
    </x:row>
    <x:row r="1168">
      <x:c r="A1168" s="1" t="n">
        <x:v>10098</x:v>
      </x:c>
      <x:c r="B1168" s="5" t="d">
        <x:v>2015-05-28T00:00:00.000Z</x:v>
      </x:c>
      <x:c r="C1168" s="1" t="str">
        <x:v>Standard Class</x:v>
      </x:c>
      <x:c r="D1168" s="1" t="str">
        <x:v>LATAM</x:v>
      </x:c>
      <x:c r="E1168" s="1" t="str">
        <x:v>PENDING_PAYMENT</x:v>
      </x:c>
      <x:c r="F1168" s="1" t="str">
        <x:v>Shipping on time</x:v>
      </x:c>
      <x:c r="G1168" s="6" t="n">
        <x:v>4</x:v>
      </x:c>
      <x:c r="H1168" s="6" t="n">
        <x:v>4</x:v>
      </x:c>
      <x:c r="I1168" s="6" t="n">
        <x:f>G1168-H1168</x:f>
        <x:v>0</x:v>
      </x:c>
      <x:c r="J1168" s="6" t="n">
        <x:f>IF(OR(E1168="CANCELED",E1168="SUSPECTED_FRAUD",F1168="Shipping canceled"),0,1)</x:f>
        <x:v>1</x:v>
      </x:c>
      <x:c r="K1168" s="6" t="n">
        <x:f>IF(G1168&gt;H1168,1,0)</x:f>
        <x:v>0</x:v>
      </x:c>
      <x:c r="L1168" s="6" t="n">
        <x:f>J1168*K1168</x:f>
        <x:v>0</x:v>
      </x:c>
    </x:row>
    <x:row r="1169">
      <x:c r="A1169" s="1" t="n">
        <x:v>10100</x:v>
      </x:c>
      <x:c r="B1169" s="5" t="d">
        <x:v>2015-05-28T00:00:00.000Z</x:v>
      </x:c>
      <x:c r="C1169" s="1" t="str">
        <x:v>Standard Class</x:v>
      </x:c>
      <x:c r="D1169" s="1" t="str">
        <x:v>LATAM</x:v>
      </x:c>
      <x:c r="E1169" s="1" t="str">
        <x:v>COMPLETE</x:v>
      </x:c>
      <x:c r="F1169" s="1" t="str">
        <x:v>Late delivery</x:v>
      </x:c>
      <x:c r="G1169" s="6" t="n">
        <x:v>6</x:v>
      </x:c>
      <x:c r="H1169" s="6" t="n">
        <x:v>4</x:v>
      </x:c>
      <x:c r="I1169" s="6" t="n">
        <x:f>G1169-H1169</x:f>
        <x:v>2</x:v>
      </x:c>
      <x:c r="J1169" s="6" t="n">
        <x:f>IF(OR(E1169="CANCELED",E1169="SUSPECTED_FRAUD",F1169="Shipping canceled"),0,1)</x:f>
        <x:v>1</x:v>
      </x:c>
      <x:c r="K1169" s="6" t="n">
        <x:f>IF(G1169&gt;H1169,1,0)</x:f>
        <x:v>1</x:v>
      </x:c>
      <x:c r="L1169" s="6" t="n">
        <x:f>J1169*K1169</x:f>
        <x:v>1</x:v>
      </x:c>
    </x:row>
    <x:row r="1170">
      <x:c r="A1170" s="1" t="n">
        <x:v>10101</x:v>
      </x:c>
      <x:c r="B1170" s="5" t="d">
        <x:v>2015-05-28T00:00:00.000Z</x:v>
      </x:c>
      <x:c r="C1170" s="1" t="str">
        <x:v>Standard Class</x:v>
      </x:c>
      <x:c r="D1170" s="1" t="str">
        <x:v>LATAM</x:v>
      </x:c>
      <x:c r="E1170" s="1" t="str">
        <x:v>COMPLETE</x:v>
      </x:c>
      <x:c r="F1170" s="1" t="str">
        <x:v>Advance shipping</x:v>
      </x:c>
      <x:c r="G1170" s="6" t="n">
        <x:v>2</x:v>
      </x:c>
      <x:c r="H1170" s="6" t="n">
        <x:v>4</x:v>
      </x:c>
      <x:c r="I1170" s="6" t="n">
        <x:f>G1170-H1170</x:f>
        <x:v>-2</x:v>
      </x:c>
      <x:c r="J1170" s="6" t="n">
        <x:f>IF(OR(E1170="CANCELED",E1170="SUSPECTED_FRAUD",F1170="Shipping canceled"),0,1)</x:f>
        <x:v>1</x:v>
      </x:c>
      <x:c r="K1170" s="6" t="n">
        <x:f>IF(G1170&gt;H1170,1,0)</x:f>
        <x:v>0</x:v>
      </x:c>
      <x:c r="L1170" s="6" t="n">
        <x:f>J1170*K1170</x:f>
        <x:v>0</x:v>
      </x:c>
    </x:row>
    <x:row r="1171">
      <x:c r="A1171" s="1" t="n">
        <x:v>10103</x:v>
      </x:c>
      <x:c r="B1171" s="5" t="d">
        <x:v>2015-05-28T00:00:00.000Z</x:v>
      </x:c>
      <x:c r="C1171" s="1" t="str">
        <x:v>Second Class</x:v>
      </x:c>
      <x:c r="D1171" s="1" t="str">
        <x:v>LATAM</x:v>
      </x:c>
      <x:c r="E1171" s="1" t="str">
        <x:v>CLOSED</x:v>
      </x:c>
      <x:c r="F1171" s="1" t="str">
        <x:v>Late delivery</x:v>
      </x:c>
      <x:c r="G1171" s="6" t="n">
        <x:v>4</x:v>
      </x:c>
      <x:c r="H1171" s="6" t="n">
        <x:v>2</x:v>
      </x:c>
      <x:c r="I1171" s="6" t="n">
        <x:f>G1171-H1171</x:f>
        <x:v>2</x:v>
      </x:c>
      <x:c r="J1171" s="6" t="n">
        <x:f>IF(OR(E1171="CANCELED",E1171="SUSPECTED_FRAUD",F1171="Shipping canceled"),0,1)</x:f>
        <x:v>1</x:v>
      </x:c>
      <x:c r="K1171" s="6" t="n">
        <x:f>IF(G1171&gt;H1171,1,0)</x:f>
        <x:v>1</x:v>
      </x:c>
      <x:c r="L1171" s="6" t="n">
        <x:f>J1171*K1171</x:f>
        <x:v>1</x:v>
      </x:c>
    </x:row>
    <x:row r="1172">
      <x:c r="A1172" s="1" t="n">
        <x:v>10113</x:v>
      </x:c>
      <x:c r="B1172" s="5" t="d">
        <x:v>2015-05-28T00:00:00.000Z</x:v>
      </x:c>
      <x:c r="C1172" s="1" t="str">
        <x:v>Standard Class</x:v>
      </x:c>
      <x:c r="D1172" s="1" t="str">
        <x:v>LATAM</x:v>
      </x:c>
      <x:c r="E1172" s="1" t="str">
        <x:v>PROCESSING</x:v>
      </x:c>
      <x:c r="F1172" s="1" t="str">
        <x:v>Shipping on time</x:v>
      </x:c>
      <x:c r="G1172" s="6" t="n">
        <x:v>4</x:v>
      </x:c>
      <x:c r="H1172" s="6" t="n">
        <x:v>4</x:v>
      </x:c>
      <x:c r="I1172" s="6" t="n">
        <x:f>G1172-H1172</x:f>
        <x:v>0</x:v>
      </x:c>
      <x:c r="J1172" s="6" t="n">
        <x:f>IF(OR(E1172="CANCELED",E1172="SUSPECTED_FRAUD",F1172="Shipping canceled"),0,1)</x:f>
        <x:v>1</x:v>
      </x:c>
      <x:c r="K1172" s="6" t="n">
        <x:f>IF(G1172&gt;H1172,1,0)</x:f>
        <x:v>0</x:v>
      </x:c>
      <x:c r="L1172" s="6" t="n">
        <x:f>J1172*K1172</x:f>
        <x:v>0</x:v>
      </x:c>
    </x:row>
    <x:row r="1173">
      <x:c r="A1173" s="1" t="n">
        <x:v>10116</x:v>
      </x:c>
      <x:c r="B1173" s="5" t="d">
        <x:v>2015-05-28T00:00:00.000Z</x:v>
      </x:c>
      <x:c r="C1173" s="1" t="str">
        <x:v>Standard Class</x:v>
      </x:c>
      <x:c r="D1173" s="1" t="str">
        <x:v>LATAM</x:v>
      </x:c>
      <x:c r="E1173" s="1" t="str">
        <x:v>SUSPECTED_FRAUD</x:v>
      </x:c>
      <x:c r="F1173" s="1" t="str">
        <x:v>Shipping canceled</x:v>
      </x:c>
      <x:c r="G1173" s="6" t="n">
        <x:v>2</x:v>
      </x:c>
      <x:c r="H1173" s="6" t="n">
        <x:v>4</x:v>
      </x:c>
      <x:c r="I1173" s="6" t="n">
        <x:f>G1173-H1173</x:f>
        <x:v>-2</x:v>
      </x:c>
      <x:c r="J1173" s="6" t="n">
        <x:f>IF(OR(E1173="CANCELED",E1173="SUSPECTED_FRAUD",F1173="Shipping canceled"),0,1)</x:f>
        <x:v>0</x:v>
      </x:c>
      <x:c r="K1173" s="6" t="n">
        <x:f>IF(G1173&gt;H1173,1,0)</x:f>
        <x:v>0</x:v>
      </x:c>
      <x:c r="L1173" s="6" t="n">
        <x:f>J1173*K1173</x:f>
        <x:v>0</x:v>
      </x:c>
    </x:row>
    <x:row r="1174">
      <x:c r="A1174" s="1" t="n">
        <x:v>10126</x:v>
      </x:c>
      <x:c r="B1174" s="5" t="d">
        <x:v>2015-05-28T00:00:00.000Z</x:v>
      </x:c>
      <x:c r="C1174" s="1" t="str">
        <x:v>Standard Class</x:v>
      </x:c>
      <x:c r="D1174" s="1" t="str">
        <x:v>LATAM</x:v>
      </x:c>
      <x:c r="E1174" s="1" t="str">
        <x:v>COMPLETE</x:v>
      </x:c>
      <x:c r="F1174" s="1" t="str">
        <x:v>Advance shipping</x:v>
      </x:c>
      <x:c r="G1174" s="6" t="n">
        <x:v>2</x:v>
      </x:c>
      <x:c r="H1174" s="6" t="n">
        <x:v>4</x:v>
      </x:c>
      <x:c r="I1174" s="6" t="n">
        <x:f>G1174-H1174</x:f>
        <x:v>-2</x:v>
      </x:c>
      <x:c r="J1174" s="6" t="n">
        <x:f>IF(OR(E1174="CANCELED",E1174="SUSPECTED_FRAUD",F1174="Shipping canceled"),0,1)</x:f>
        <x:v>1</x:v>
      </x:c>
      <x:c r="K1174" s="6" t="n">
        <x:f>IF(G1174&gt;H1174,1,0)</x:f>
        <x:v>0</x:v>
      </x:c>
      <x:c r="L1174" s="6" t="n">
        <x:f>J1174*K1174</x:f>
        <x:v>0</x:v>
      </x:c>
    </x:row>
    <x:row r="1175">
      <x:c r="A1175" s="1" t="n">
        <x:v>10131</x:v>
      </x:c>
      <x:c r="B1175" s="5" t="d">
        <x:v>2015-05-28T00:00:00.000Z</x:v>
      </x:c>
      <x:c r="C1175" s="1" t="str">
        <x:v>Standard Class</x:v>
      </x:c>
      <x:c r="D1175" s="1" t="str">
        <x:v>LATAM</x:v>
      </x:c>
      <x:c r="E1175" s="1" t="str">
        <x:v>COMPLETE</x:v>
      </x:c>
      <x:c r="F1175" s="1" t="str">
        <x:v>Advance shipping</x:v>
      </x:c>
      <x:c r="G1175" s="6" t="n">
        <x:v>2</x:v>
      </x:c>
      <x:c r="H1175" s="6" t="n">
        <x:v>4</x:v>
      </x:c>
      <x:c r="I1175" s="6" t="n">
        <x:f>G1175-H1175</x:f>
        <x:v>-2</x:v>
      </x:c>
      <x:c r="J1175" s="6" t="n">
        <x:f>IF(OR(E1175="CANCELED",E1175="SUSPECTED_FRAUD",F1175="Shipping canceled"),0,1)</x:f>
        <x:v>1</x:v>
      </x:c>
      <x:c r="K1175" s="6" t="n">
        <x:f>IF(G1175&gt;H1175,1,0)</x:f>
        <x:v>0</x:v>
      </x:c>
      <x:c r="L1175" s="6" t="n">
        <x:f>J1175*K1175</x:f>
        <x:v>0</x:v>
      </x:c>
    </x:row>
    <x:row r="1176">
      <x:c r="A1176" s="1" t="n">
        <x:v>10141</x:v>
      </x:c>
      <x:c r="B1176" s="5" t="d">
        <x:v>2015-05-29T00:00:00.000Z</x:v>
      </x:c>
      <x:c r="C1176" s="1" t="str">
        <x:v>Standard Class</x:v>
      </x:c>
      <x:c r="D1176" s="1" t="str">
        <x:v>LATAM</x:v>
      </x:c>
      <x:c r="E1176" s="1" t="str">
        <x:v>ON_HOLD</x:v>
      </x:c>
      <x:c r="F1176" s="1" t="str">
        <x:v>Advance shipping</x:v>
      </x:c>
      <x:c r="G1176" s="6" t="n">
        <x:v>2</x:v>
      </x:c>
      <x:c r="H1176" s="6" t="n">
        <x:v>4</x:v>
      </x:c>
      <x:c r="I1176" s="6" t="n">
        <x:f>G1176-H1176</x:f>
        <x:v>-2</x:v>
      </x:c>
      <x:c r="J1176" s="6" t="n">
        <x:f>IF(OR(E1176="CANCELED",E1176="SUSPECTED_FRAUD",F1176="Shipping canceled"),0,1)</x:f>
        <x:v>1</x:v>
      </x:c>
      <x:c r="K1176" s="6" t="n">
        <x:f>IF(G1176&gt;H1176,1,0)</x:f>
        <x:v>0</x:v>
      </x:c>
      <x:c r="L1176" s="6" t="n">
        <x:f>J1176*K1176</x:f>
        <x:v>0</x:v>
      </x:c>
    </x:row>
    <x:row r="1177">
      <x:c r="A1177" s="1" t="n">
        <x:v>10146</x:v>
      </x:c>
      <x:c r="B1177" s="5" t="d">
        <x:v>2015-05-29T00:00:00.000Z</x:v>
      </x:c>
      <x:c r="C1177" s="1" t="str">
        <x:v>Second Class</x:v>
      </x:c>
      <x:c r="D1177" s="1" t="str">
        <x:v>LATAM</x:v>
      </x:c>
      <x:c r="E1177" s="1" t="str">
        <x:v>SUSPECTED_FRAUD</x:v>
      </x:c>
      <x:c r="F1177" s="1" t="str">
        <x:v>Shipping canceled</x:v>
      </x:c>
      <x:c r="G1177" s="6" t="n">
        <x:v>2</x:v>
      </x:c>
      <x:c r="H1177" s="6" t="n">
        <x:v>2</x:v>
      </x:c>
      <x:c r="I1177" s="6" t="n">
        <x:f>G1177-H1177</x:f>
        <x:v>0</x:v>
      </x:c>
      <x:c r="J1177" s="6" t="n">
        <x:f>IF(OR(E1177="CANCELED",E1177="SUSPECTED_FRAUD",F1177="Shipping canceled"),0,1)</x:f>
        <x:v>0</x:v>
      </x:c>
      <x:c r="K1177" s="6" t="n">
        <x:f>IF(G1177&gt;H1177,1,0)</x:f>
        <x:v>0</x:v>
      </x:c>
      <x:c r="L1177" s="6" t="n">
        <x:f>J1177*K1177</x:f>
        <x:v>0</x:v>
      </x:c>
    </x:row>
    <x:row r="1178">
      <x:c r="A1178" s="1" t="n">
        <x:v>10164</x:v>
      </x:c>
      <x:c r="B1178" s="5" t="d">
        <x:v>2015-05-29T00:00:00.000Z</x:v>
      </x:c>
      <x:c r="C1178" s="1" t="str">
        <x:v>Second Class</x:v>
      </x:c>
      <x:c r="D1178" s="1" t="str">
        <x:v>LATAM</x:v>
      </x:c>
      <x:c r="E1178" s="1" t="str">
        <x:v>PENDING_PAYMENT</x:v>
      </x:c>
      <x:c r="F1178" s="1" t="str">
        <x:v>Late delivery</x:v>
      </x:c>
      <x:c r="G1178" s="6" t="n">
        <x:v>5</x:v>
      </x:c>
      <x:c r="H1178" s="6" t="n">
        <x:v>2</x:v>
      </x:c>
      <x:c r="I1178" s="6" t="n">
        <x:f>G1178-H1178</x:f>
        <x:v>3</x:v>
      </x:c>
      <x:c r="J1178" s="6" t="n">
        <x:f>IF(OR(E1178="CANCELED",E1178="SUSPECTED_FRAUD",F1178="Shipping canceled"),0,1)</x:f>
        <x:v>1</x:v>
      </x:c>
      <x:c r="K1178" s="6" t="n">
        <x:f>IF(G1178&gt;H1178,1,0)</x:f>
        <x:v>1</x:v>
      </x:c>
      <x:c r="L1178" s="6" t="n">
        <x:f>J1178*K1178</x:f>
        <x:v>1</x:v>
      </x:c>
    </x:row>
    <x:row r="1179">
      <x:c r="A1179" s="1" t="n">
        <x:v>10167</x:v>
      </x:c>
      <x:c r="B1179" s="5" t="d">
        <x:v>2015-05-29T00:00:00.000Z</x:v>
      </x:c>
      <x:c r="C1179" s="1" t="str">
        <x:v>Second Class</x:v>
      </x:c>
      <x:c r="D1179" s="1" t="str">
        <x:v>LATAM</x:v>
      </x:c>
      <x:c r="E1179" s="1" t="str">
        <x:v>CLOSED</x:v>
      </x:c>
      <x:c r="F1179" s="1" t="str">
        <x:v>Late delivery</x:v>
      </x:c>
      <x:c r="G1179" s="6" t="n">
        <x:v>3</x:v>
      </x:c>
      <x:c r="H1179" s="6" t="n">
        <x:v>2</x:v>
      </x:c>
      <x:c r="I1179" s="6" t="n">
        <x:f>G1179-H1179</x:f>
        <x:v>1</x:v>
      </x:c>
      <x:c r="J1179" s="6" t="n">
        <x:f>IF(OR(E1179="CANCELED",E1179="SUSPECTED_FRAUD",F1179="Shipping canceled"),0,1)</x:f>
        <x:v>1</x:v>
      </x:c>
      <x:c r="K1179" s="6" t="n">
        <x:f>IF(G1179&gt;H1179,1,0)</x:f>
        <x:v>1</x:v>
      </x:c>
      <x:c r="L1179" s="6" t="n">
        <x:f>J1179*K1179</x:f>
        <x:v>1</x:v>
      </x:c>
    </x:row>
    <x:row r="1180">
      <x:c r="A1180" s="1" t="n">
        <x:v>10172</x:v>
      </x:c>
      <x:c r="B1180" s="5" t="d">
        <x:v>2015-05-29T00:00:00.000Z</x:v>
      </x:c>
      <x:c r="C1180" s="1" t="str">
        <x:v>Standard Class</x:v>
      </x:c>
      <x:c r="D1180" s="1" t="str">
        <x:v>LATAM</x:v>
      </x:c>
      <x:c r="E1180" s="1" t="str">
        <x:v>COMPLETE</x:v>
      </x:c>
      <x:c r="F1180" s="1" t="str">
        <x:v>Advance shipping</x:v>
      </x:c>
      <x:c r="G1180" s="6" t="n">
        <x:v>3</x:v>
      </x:c>
      <x:c r="H1180" s="6" t="n">
        <x:v>4</x:v>
      </x:c>
      <x:c r="I1180" s="6" t="n">
        <x:f>G1180-H1180</x:f>
        <x:v>-1</x:v>
      </x:c>
      <x:c r="J1180" s="6" t="n">
        <x:f>IF(OR(E1180="CANCELED",E1180="SUSPECTED_FRAUD",F1180="Shipping canceled"),0,1)</x:f>
        <x:v>1</x:v>
      </x:c>
      <x:c r="K1180" s="6" t="n">
        <x:f>IF(G1180&gt;H1180,1,0)</x:f>
        <x:v>0</x:v>
      </x:c>
      <x:c r="L1180" s="6" t="n">
        <x:f>J1180*K1180</x:f>
        <x:v>0</x:v>
      </x:c>
    </x:row>
    <x:row r="1181">
      <x:c r="A1181" s="1" t="n">
        <x:v>10180</x:v>
      </x:c>
      <x:c r="B1181" s="5" t="d">
        <x:v>2015-05-29T00:00:00.000Z</x:v>
      </x:c>
      <x:c r="C1181" s="1" t="str">
        <x:v>Standard Class</x:v>
      </x:c>
      <x:c r="D1181" s="1" t="str">
        <x:v>LATAM</x:v>
      </x:c>
      <x:c r="E1181" s="1" t="str">
        <x:v>PROCESSING</x:v>
      </x:c>
      <x:c r="F1181" s="1" t="str">
        <x:v>Late delivery</x:v>
      </x:c>
      <x:c r="G1181" s="6" t="n">
        <x:v>6</x:v>
      </x:c>
      <x:c r="H1181" s="6" t="n">
        <x:v>4</x:v>
      </x:c>
      <x:c r="I1181" s="6" t="n">
        <x:f>G1181-H1181</x:f>
        <x:v>2</x:v>
      </x:c>
      <x:c r="J1181" s="6" t="n">
        <x:f>IF(OR(E1181="CANCELED",E1181="SUSPECTED_FRAUD",F1181="Shipping canceled"),0,1)</x:f>
        <x:v>1</x:v>
      </x:c>
      <x:c r="K1181" s="6" t="n">
        <x:f>IF(G1181&gt;H1181,1,0)</x:f>
        <x:v>1</x:v>
      </x:c>
      <x:c r="L1181" s="6" t="n">
        <x:f>J1181*K1181</x:f>
        <x:v>1</x:v>
      </x:c>
    </x:row>
    <x:row r="1182">
      <x:c r="A1182" s="1" t="n">
        <x:v>10188</x:v>
      </x:c>
      <x:c r="B1182" s="5" t="d">
        <x:v>2015-05-29T00:00:00.000Z</x:v>
      </x:c>
      <x:c r="C1182" s="1" t="str">
        <x:v>Same Day</x:v>
      </x:c>
      <x:c r="D1182" s="1" t="str">
        <x:v>LATAM</x:v>
      </x:c>
      <x:c r="E1182" s="1" t="str">
        <x:v>PROCESSING</x:v>
      </x:c>
      <x:c r="F1182" s="1" t="str">
        <x:v>Late delivery</x:v>
      </x:c>
      <x:c r="G1182" s="6" t="n">
        <x:v>1</x:v>
      </x:c>
      <x:c r="H1182" s="6" t="n">
        <x:v>0</x:v>
      </x:c>
      <x:c r="I1182" s="6" t="n">
        <x:f>G1182-H1182</x:f>
        <x:v>1</x:v>
      </x:c>
      <x:c r="J1182" s="6" t="n">
        <x:f>IF(OR(E1182="CANCELED",E1182="SUSPECTED_FRAUD",F1182="Shipping canceled"),0,1)</x:f>
        <x:v>1</x:v>
      </x:c>
      <x:c r="K1182" s="6" t="n">
        <x:f>IF(G1182&gt;H1182,1,0)</x:f>
        <x:v>1</x:v>
      </x:c>
      <x:c r="L1182" s="6" t="n">
        <x:f>J1182*K1182</x:f>
        <x:v>1</x:v>
      </x:c>
    </x:row>
    <x:row r="1183">
      <x:c r="A1183" s="1" t="n">
        <x:v>10198</x:v>
      </x:c>
      <x:c r="B1183" s="5" t="d">
        <x:v>2015-05-29T00:00:00.000Z</x:v>
      </x:c>
      <x:c r="C1183" s="1" t="str">
        <x:v>Standard Class</x:v>
      </x:c>
      <x:c r="D1183" s="1" t="str">
        <x:v>LATAM</x:v>
      </x:c>
      <x:c r="E1183" s="1" t="str">
        <x:v>COMPLETE</x:v>
      </x:c>
      <x:c r="F1183" s="1" t="str">
        <x:v>Shipping on time</x:v>
      </x:c>
      <x:c r="G1183" s="6" t="n">
        <x:v>4</x:v>
      </x:c>
      <x:c r="H1183" s="6" t="n">
        <x:v>4</x:v>
      </x:c>
      <x:c r="I1183" s="6" t="n">
        <x:f>G1183-H1183</x:f>
        <x:v>0</x:v>
      </x:c>
      <x:c r="J1183" s="6" t="n">
        <x:f>IF(OR(E1183="CANCELED",E1183="SUSPECTED_FRAUD",F1183="Shipping canceled"),0,1)</x:f>
        <x:v>1</x:v>
      </x:c>
      <x:c r="K1183" s="6" t="n">
        <x:f>IF(G1183&gt;H1183,1,0)</x:f>
        <x:v>0</x:v>
      </x:c>
      <x:c r="L1183" s="6" t="n">
        <x:f>J1183*K1183</x:f>
        <x:v>0</x:v>
      </x:c>
    </x:row>
    <x:row r="1184">
      <x:c r="A1184" s="1" t="n">
        <x:v>10204</x:v>
      </x:c>
      <x:c r="B1184" s="5" t="d">
        <x:v>2015-05-29T00:00:00.000Z</x:v>
      </x:c>
      <x:c r="C1184" s="1" t="str">
        <x:v>Standard Class</x:v>
      </x:c>
      <x:c r="D1184" s="1" t="str">
        <x:v>LATAM</x:v>
      </x:c>
      <x:c r="E1184" s="1" t="str">
        <x:v>SUSPECTED_FRAUD</x:v>
      </x:c>
      <x:c r="F1184" s="1" t="str">
        <x:v>Shipping canceled</x:v>
      </x:c>
      <x:c r="G1184" s="6" t="n">
        <x:v>5</x:v>
      </x:c>
      <x:c r="H1184" s="6" t="n">
        <x:v>4</x:v>
      </x:c>
      <x:c r="I1184" s="6" t="n">
        <x:f>G1184-H1184</x:f>
        <x:v>1</x:v>
      </x:c>
      <x:c r="J1184" s="6" t="n">
        <x:f>IF(OR(E1184="CANCELED",E1184="SUSPECTED_FRAUD",F1184="Shipping canceled"),0,1)</x:f>
        <x:v>0</x:v>
      </x:c>
      <x:c r="K1184" s="6" t="n">
        <x:f>IF(G1184&gt;H1184,1,0)</x:f>
        <x:v>1</x:v>
      </x:c>
      <x:c r="L1184" s="6" t="n">
        <x:f>J1184*K1184</x:f>
        <x:v>0</x:v>
      </x:c>
    </x:row>
    <x:row r="1185">
      <x:c r="A1185" s="1" t="n">
        <x:v>10215</x:v>
      </x:c>
      <x:c r="B1185" s="5" t="d">
        <x:v>2015-05-30T00:00:00.000Z</x:v>
      </x:c>
      <x:c r="C1185" s="1" t="str">
        <x:v>Standard Class</x:v>
      </x:c>
      <x:c r="D1185" s="1" t="str">
        <x:v>LATAM</x:v>
      </x:c>
      <x:c r="E1185" s="1" t="str">
        <x:v>SUSPECTED_FRAUD</x:v>
      </x:c>
      <x:c r="F1185" s="1" t="str">
        <x:v>Shipping canceled</x:v>
      </x:c>
      <x:c r="G1185" s="6" t="n">
        <x:v>6</x:v>
      </x:c>
      <x:c r="H1185" s="6" t="n">
        <x:v>4</x:v>
      </x:c>
      <x:c r="I1185" s="6" t="n">
        <x:f>G1185-H1185</x:f>
        <x:v>2</x:v>
      </x:c>
      <x:c r="J1185" s="6" t="n">
        <x:f>IF(OR(E1185="CANCELED",E1185="SUSPECTED_FRAUD",F1185="Shipping canceled"),0,1)</x:f>
        <x:v>0</x:v>
      </x:c>
      <x:c r="K1185" s="6" t="n">
        <x:f>IF(G1185&gt;H1185,1,0)</x:f>
        <x:v>1</x:v>
      </x:c>
      <x:c r="L1185" s="6" t="n">
        <x:f>J1185*K1185</x:f>
        <x:v>0</x:v>
      </x:c>
    </x:row>
    <x:row r="1186">
      <x:c r="A1186" s="1" t="n">
        <x:v>10218</x:v>
      </x:c>
      <x:c r="B1186" s="5" t="d">
        <x:v>2015-05-30T00:00:00.000Z</x:v>
      </x:c>
      <x:c r="C1186" s="1" t="str">
        <x:v>First Class</x:v>
      </x:c>
      <x:c r="D1186" s="1" t="str">
        <x:v>LATAM</x:v>
      </x:c>
      <x:c r="E1186" s="1" t="str">
        <x:v>CLOSED</x:v>
      </x:c>
      <x:c r="F1186" s="1" t="str">
        <x:v>Late delivery</x:v>
      </x:c>
      <x:c r="G1186" s="6" t="n">
        <x:v>2</x:v>
      </x:c>
      <x:c r="H1186" s="6" t="n">
        <x:v>1</x:v>
      </x:c>
      <x:c r="I1186" s="6" t="n">
        <x:f>G1186-H1186</x:f>
        <x:v>1</x:v>
      </x:c>
      <x:c r="J1186" s="6" t="n">
        <x:f>IF(OR(E1186="CANCELED",E1186="SUSPECTED_FRAUD",F1186="Shipping canceled"),0,1)</x:f>
        <x:v>1</x:v>
      </x:c>
      <x:c r="K1186" s="6" t="n">
        <x:f>IF(G1186&gt;H1186,1,0)</x:f>
        <x:v>1</x:v>
      </x:c>
      <x:c r="L1186" s="6" t="n">
        <x:f>J1186*K1186</x:f>
        <x:v>1</x:v>
      </x:c>
    </x:row>
    <x:row r="1187">
      <x:c r="A1187" s="1" t="n">
        <x:v>10230</x:v>
      </x:c>
      <x:c r="B1187" s="5" t="d">
        <x:v>2015-05-30T00:00:00.000Z</x:v>
      </x:c>
      <x:c r="C1187" s="1" t="str">
        <x:v>Standard Class</x:v>
      </x:c>
      <x:c r="D1187" s="1" t="str">
        <x:v>LATAM</x:v>
      </x:c>
      <x:c r="E1187" s="1" t="str">
        <x:v>COMPLETE</x:v>
      </x:c>
      <x:c r="F1187" s="1" t="str">
        <x:v>Late delivery</x:v>
      </x:c>
      <x:c r="G1187" s="6" t="n">
        <x:v>6</x:v>
      </x:c>
      <x:c r="H1187" s="6" t="n">
        <x:v>4</x:v>
      </x:c>
      <x:c r="I1187" s="6" t="n">
        <x:f>G1187-H1187</x:f>
        <x:v>2</x:v>
      </x:c>
      <x:c r="J1187" s="6" t="n">
        <x:f>IF(OR(E1187="CANCELED",E1187="SUSPECTED_FRAUD",F1187="Shipping canceled"),0,1)</x:f>
        <x:v>1</x:v>
      </x:c>
      <x:c r="K1187" s="6" t="n">
        <x:f>IF(G1187&gt;H1187,1,0)</x:f>
        <x:v>1</x:v>
      </x:c>
      <x:c r="L1187" s="6" t="n">
        <x:f>J1187*K1187</x:f>
        <x:v>1</x:v>
      </x:c>
    </x:row>
    <x:row r="1188">
      <x:c r="A1188" s="1" t="n">
        <x:v>10233</x:v>
      </x:c>
      <x:c r="B1188" s="5" t="d">
        <x:v>2015-05-30T00:00:00.000Z</x:v>
      </x:c>
      <x:c r="C1188" s="1" t="str">
        <x:v>Standard Class</x:v>
      </x:c>
      <x:c r="D1188" s="1" t="str">
        <x:v>LATAM</x:v>
      </x:c>
      <x:c r="E1188" s="1" t="str">
        <x:v>COMPLETE</x:v>
      </x:c>
      <x:c r="F1188" s="1" t="str">
        <x:v>Shipping on time</x:v>
      </x:c>
      <x:c r="G1188" s="6" t="n">
        <x:v>4</x:v>
      </x:c>
      <x:c r="H1188" s="6" t="n">
        <x:v>4</x:v>
      </x:c>
      <x:c r="I1188" s="6" t="n">
        <x:f>G1188-H1188</x:f>
        <x:v>0</x:v>
      </x:c>
      <x:c r="J1188" s="6" t="n">
        <x:f>IF(OR(E1188="CANCELED",E1188="SUSPECTED_FRAUD",F1188="Shipping canceled"),0,1)</x:f>
        <x:v>1</x:v>
      </x:c>
      <x:c r="K1188" s="6" t="n">
        <x:f>IF(G1188&gt;H1188,1,0)</x:f>
        <x:v>0</x:v>
      </x:c>
      <x:c r="L1188" s="6" t="n">
        <x:f>J1188*K1188</x:f>
        <x:v>0</x:v>
      </x:c>
    </x:row>
    <x:row r="1189">
      <x:c r="A1189" s="1" t="n">
        <x:v>10234</x:v>
      </x:c>
      <x:c r="B1189" s="5" t="d">
        <x:v>2015-05-30T00:00:00.000Z</x:v>
      </x:c>
      <x:c r="C1189" s="1" t="str">
        <x:v>Same Day</x:v>
      </x:c>
      <x:c r="D1189" s="1" t="str">
        <x:v>LATAM</x:v>
      </x:c>
      <x:c r="E1189" s="1" t="str">
        <x:v>COMPLETE</x:v>
      </x:c>
      <x:c r="F1189" s="1" t="str">
        <x:v>Shipping on time</x:v>
      </x:c>
      <x:c r="G1189" s="6" t="n">
        <x:v>0</x:v>
      </x:c>
      <x:c r="H1189" s="6" t="n">
        <x:v>0</x:v>
      </x:c>
      <x:c r="I1189" s="6" t="n">
        <x:f>G1189-H1189</x:f>
        <x:v>0</x:v>
      </x:c>
      <x:c r="J1189" s="6" t="n">
        <x:f>IF(OR(E1189="CANCELED",E1189="SUSPECTED_FRAUD",F1189="Shipping canceled"),0,1)</x:f>
        <x:v>1</x:v>
      </x:c>
      <x:c r="K1189" s="6" t="n">
        <x:f>IF(G1189&gt;H1189,1,0)</x:f>
        <x:v>0</x:v>
      </x:c>
      <x:c r="L1189" s="6" t="n">
        <x:f>J1189*K1189</x:f>
        <x:v>0</x:v>
      </x:c>
    </x:row>
    <x:row r="1190">
      <x:c r="A1190" s="1" t="n">
        <x:v>10238</x:v>
      </x:c>
      <x:c r="B1190" s="5" t="d">
        <x:v>2015-05-30T00:00:00.000Z</x:v>
      </x:c>
      <x:c r="C1190" s="1" t="str">
        <x:v>Standard Class</x:v>
      </x:c>
      <x:c r="D1190" s="1" t="str">
        <x:v>LATAM</x:v>
      </x:c>
      <x:c r="E1190" s="1" t="str">
        <x:v>COMPLETE</x:v>
      </x:c>
      <x:c r="F1190" s="1" t="str">
        <x:v>Shipping on time</x:v>
      </x:c>
      <x:c r="G1190" s="6" t="n">
        <x:v>4</x:v>
      </x:c>
      <x:c r="H1190" s="6" t="n">
        <x:v>4</x:v>
      </x:c>
      <x:c r="I1190" s="6" t="n">
        <x:f>G1190-H1190</x:f>
        <x:v>0</x:v>
      </x:c>
      <x:c r="J1190" s="6" t="n">
        <x:f>IF(OR(E1190="CANCELED",E1190="SUSPECTED_FRAUD",F1190="Shipping canceled"),0,1)</x:f>
        <x:v>1</x:v>
      </x:c>
      <x:c r="K1190" s="6" t="n">
        <x:f>IF(G1190&gt;H1190,1,0)</x:f>
        <x:v>0</x:v>
      </x:c>
      <x:c r="L1190" s="6" t="n">
        <x:f>J1190*K1190</x:f>
        <x:v>0</x:v>
      </x:c>
    </x:row>
    <x:row r="1191">
      <x:c r="A1191" s="1" t="n">
        <x:v>10239</x:v>
      </x:c>
      <x:c r="B1191" s="5" t="d">
        <x:v>2015-05-30T00:00:00.000Z</x:v>
      </x:c>
      <x:c r="C1191" s="1" t="str">
        <x:v>First Class</x:v>
      </x:c>
      <x:c r="D1191" s="1" t="str">
        <x:v>LATAM</x:v>
      </x:c>
      <x:c r="E1191" s="1" t="str">
        <x:v>CLOSED</x:v>
      </x:c>
      <x:c r="F1191" s="1" t="str">
        <x:v>Late delivery</x:v>
      </x:c>
      <x:c r="G1191" s="6" t="n">
        <x:v>2</x:v>
      </x:c>
      <x:c r="H1191" s="6" t="n">
        <x:v>1</x:v>
      </x:c>
      <x:c r="I1191" s="6" t="n">
        <x:f>G1191-H1191</x:f>
        <x:v>1</x:v>
      </x:c>
      <x:c r="J1191" s="6" t="n">
        <x:f>IF(OR(E1191="CANCELED",E1191="SUSPECTED_FRAUD",F1191="Shipping canceled"),0,1)</x:f>
        <x:v>1</x:v>
      </x:c>
      <x:c r="K1191" s="6" t="n">
        <x:f>IF(G1191&gt;H1191,1,0)</x:f>
        <x:v>1</x:v>
      </x:c>
      <x:c r="L1191" s="6" t="n">
        <x:f>J1191*K1191</x:f>
        <x:v>1</x:v>
      </x:c>
    </x:row>
    <x:row r="1192">
      <x:c r="A1192" s="1" t="n">
        <x:v>10253</x:v>
      </x:c>
      <x:c r="B1192" s="5" t="d">
        <x:v>2015-05-30T00:00:00.000Z</x:v>
      </x:c>
      <x:c r="C1192" s="1" t="str">
        <x:v>Second Class</x:v>
      </x:c>
      <x:c r="D1192" s="1" t="str">
        <x:v>LATAM</x:v>
      </x:c>
      <x:c r="E1192" s="1" t="str">
        <x:v>COMPLETE</x:v>
      </x:c>
      <x:c r="F1192" s="1" t="str">
        <x:v>Late delivery</x:v>
      </x:c>
      <x:c r="G1192" s="6" t="n">
        <x:v>4</x:v>
      </x:c>
      <x:c r="H1192" s="6" t="n">
        <x:v>2</x:v>
      </x:c>
      <x:c r="I1192" s="6" t="n">
        <x:f>G1192-H1192</x:f>
        <x:v>2</x:v>
      </x:c>
      <x:c r="J1192" s="6" t="n">
        <x:f>IF(OR(E1192="CANCELED",E1192="SUSPECTED_FRAUD",F1192="Shipping canceled"),0,1)</x:f>
        <x:v>1</x:v>
      </x:c>
      <x:c r="K1192" s="6" t="n">
        <x:f>IF(G1192&gt;H1192,1,0)</x:f>
        <x:v>1</x:v>
      </x:c>
      <x:c r="L1192" s="6" t="n">
        <x:f>J1192*K1192</x:f>
        <x:v>1</x:v>
      </x:c>
    </x:row>
    <x:row r="1193">
      <x:c r="A1193" s="1" t="n">
        <x:v>10267</x:v>
      </x:c>
      <x:c r="B1193" s="5" t="d">
        <x:v>2015-05-30T00:00:00.000Z</x:v>
      </x:c>
      <x:c r="C1193" s="1" t="str">
        <x:v>Standard Class</x:v>
      </x:c>
      <x:c r="D1193" s="1" t="str">
        <x:v>LATAM</x:v>
      </x:c>
      <x:c r="E1193" s="1" t="str">
        <x:v>COMPLETE</x:v>
      </x:c>
      <x:c r="F1193" s="1" t="str">
        <x:v>Advance shipping</x:v>
      </x:c>
      <x:c r="G1193" s="6" t="n">
        <x:v>3</x:v>
      </x:c>
      <x:c r="H1193" s="6" t="n">
        <x:v>4</x:v>
      </x:c>
      <x:c r="I1193" s="6" t="n">
        <x:f>G1193-H1193</x:f>
        <x:v>-1</x:v>
      </x:c>
      <x:c r="J1193" s="6" t="n">
        <x:f>IF(OR(E1193="CANCELED",E1193="SUSPECTED_FRAUD",F1193="Shipping canceled"),0,1)</x:f>
        <x:v>1</x:v>
      </x:c>
      <x:c r="K1193" s="6" t="n">
        <x:f>IF(G1193&gt;H1193,1,0)</x:f>
        <x:v>0</x:v>
      </x:c>
      <x:c r="L1193" s="6" t="n">
        <x:f>J1193*K1193</x:f>
        <x:v>0</x:v>
      </x:c>
    </x:row>
    <x:row r="1194">
      <x:c r="A1194" s="1" t="n">
        <x:v>10273</x:v>
      </x:c>
      <x:c r="B1194" s="5" t="d">
        <x:v>2015-05-30T00:00:00.000Z</x:v>
      </x:c>
      <x:c r="C1194" s="1" t="str">
        <x:v>Standard Class</x:v>
      </x:c>
      <x:c r="D1194" s="1" t="str">
        <x:v>LATAM</x:v>
      </x:c>
      <x:c r="E1194" s="1" t="str">
        <x:v>PENDING</x:v>
      </x:c>
      <x:c r="F1194" s="1" t="str">
        <x:v>Shipping on time</x:v>
      </x:c>
      <x:c r="G1194" s="6" t="n">
        <x:v>4</x:v>
      </x:c>
      <x:c r="H1194" s="6" t="n">
        <x:v>4</x:v>
      </x:c>
      <x:c r="I1194" s="6" t="n">
        <x:f>G1194-H1194</x:f>
        <x:v>0</x:v>
      </x:c>
      <x:c r="J1194" s="6" t="n">
        <x:f>IF(OR(E1194="CANCELED",E1194="SUSPECTED_FRAUD",F1194="Shipping canceled"),0,1)</x:f>
        <x:v>1</x:v>
      </x:c>
      <x:c r="K1194" s="6" t="n">
        <x:f>IF(G1194&gt;H1194,1,0)</x:f>
        <x:v>0</x:v>
      </x:c>
      <x:c r="L1194" s="6" t="n">
        <x:f>J1194*K1194</x:f>
        <x:v>0</x:v>
      </x:c>
    </x:row>
    <x:row r="1195">
      <x:c r="A1195" s="1" t="n">
        <x:v>10276</x:v>
      </x:c>
      <x:c r="B1195" s="5" t="d">
        <x:v>2015-05-30T00:00:00.000Z</x:v>
      </x:c>
      <x:c r="C1195" s="1" t="str">
        <x:v>Standard Class</x:v>
      </x:c>
      <x:c r="D1195" s="1" t="str">
        <x:v>LATAM</x:v>
      </x:c>
      <x:c r="E1195" s="1" t="str">
        <x:v>SUSPECTED_FRAUD</x:v>
      </x:c>
      <x:c r="F1195" s="1" t="str">
        <x:v>Shipping canceled</x:v>
      </x:c>
      <x:c r="G1195" s="6" t="n">
        <x:v>2</x:v>
      </x:c>
      <x:c r="H1195" s="6" t="n">
        <x:v>4</x:v>
      </x:c>
      <x:c r="I1195" s="6" t="n">
        <x:f>G1195-H1195</x:f>
        <x:v>-2</x:v>
      </x:c>
      <x:c r="J1195" s="6" t="n">
        <x:f>IF(OR(E1195="CANCELED",E1195="SUSPECTED_FRAUD",F1195="Shipping canceled"),0,1)</x:f>
        <x:v>0</x:v>
      </x:c>
      <x:c r="K1195" s="6" t="n">
        <x:f>IF(G1195&gt;H1195,1,0)</x:f>
        <x:v>0</x:v>
      </x:c>
      <x:c r="L1195" s="6" t="n">
        <x:f>J1195*K1195</x:f>
        <x:v>0</x:v>
      </x:c>
    </x:row>
    <x:row r="1196">
      <x:c r="A1196" s="1" t="n">
        <x:v>10277</x:v>
      </x:c>
      <x:c r="B1196" s="5" t="d">
        <x:v>2015-05-31T00:00:00.000Z</x:v>
      </x:c>
      <x:c r="C1196" s="1" t="str">
        <x:v>Second Class</x:v>
      </x:c>
      <x:c r="D1196" s="1" t="str">
        <x:v>LATAM</x:v>
      </x:c>
      <x:c r="E1196" s="1" t="str">
        <x:v>SUSPECTED_FRAUD</x:v>
      </x:c>
      <x:c r="F1196" s="1" t="str">
        <x:v>Shipping canceled</x:v>
      </x:c>
      <x:c r="G1196" s="6" t="n">
        <x:v>3</x:v>
      </x:c>
      <x:c r="H1196" s="6" t="n">
        <x:v>2</x:v>
      </x:c>
      <x:c r="I1196" s="6" t="n">
        <x:f>G1196-H1196</x:f>
        <x:v>1</x:v>
      </x:c>
      <x:c r="J1196" s="6" t="n">
        <x:f>IF(OR(E1196="CANCELED",E1196="SUSPECTED_FRAUD",F1196="Shipping canceled"),0,1)</x:f>
        <x:v>0</x:v>
      </x:c>
      <x:c r="K1196" s="6" t="n">
        <x:f>IF(G1196&gt;H1196,1,0)</x:f>
        <x:v>1</x:v>
      </x:c>
      <x:c r="L1196" s="6" t="n">
        <x:f>J1196*K1196</x:f>
        <x:v>0</x:v>
      </x:c>
    </x:row>
    <x:row r="1197">
      <x:c r="A1197" s="1" t="n">
        <x:v>10289</x:v>
      </x:c>
      <x:c r="B1197" s="5" t="d">
        <x:v>2015-05-31T00:00:00.000Z</x:v>
      </x:c>
      <x:c r="C1197" s="1" t="str">
        <x:v>Standard Class</x:v>
      </x:c>
      <x:c r="D1197" s="1" t="str">
        <x:v>LATAM</x:v>
      </x:c>
      <x:c r="E1197" s="1" t="str">
        <x:v>COMPLETE</x:v>
      </x:c>
      <x:c r="F1197" s="1" t="str">
        <x:v>Late delivery</x:v>
      </x:c>
      <x:c r="G1197" s="6" t="n">
        <x:v>5</x:v>
      </x:c>
      <x:c r="H1197" s="6" t="n">
        <x:v>4</x:v>
      </x:c>
      <x:c r="I1197" s="6" t="n">
        <x:f>G1197-H1197</x:f>
        <x:v>1</x:v>
      </x:c>
      <x:c r="J1197" s="6" t="n">
        <x:f>IF(OR(E1197="CANCELED",E1197="SUSPECTED_FRAUD",F1197="Shipping canceled"),0,1)</x:f>
        <x:v>1</x:v>
      </x:c>
      <x:c r="K1197" s="6" t="n">
        <x:f>IF(G1197&gt;H1197,1,0)</x:f>
        <x:v>1</x:v>
      </x:c>
      <x:c r="L1197" s="6" t="n">
        <x:f>J1197*K1197</x:f>
        <x:v>1</x:v>
      </x:c>
    </x:row>
    <x:row r="1198">
      <x:c r="A1198" s="1" t="n">
        <x:v>10293</x:v>
      </x:c>
      <x:c r="B1198" s="5" t="d">
        <x:v>2015-05-31T00:00:00.000Z</x:v>
      </x:c>
      <x:c r="C1198" s="1" t="str">
        <x:v>Standard Class</x:v>
      </x:c>
      <x:c r="D1198" s="1" t="str">
        <x:v>LATAM</x:v>
      </x:c>
      <x:c r="E1198" s="1" t="str">
        <x:v>COMPLETE</x:v>
      </x:c>
      <x:c r="F1198" s="1" t="str">
        <x:v>Shipping on time</x:v>
      </x:c>
      <x:c r="G1198" s="6" t="n">
        <x:v>4</x:v>
      </x:c>
      <x:c r="H1198" s="6" t="n">
        <x:v>4</x:v>
      </x:c>
      <x:c r="I1198" s="6" t="n">
        <x:f>G1198-H1198</x:f>
        <x:v>0</x:v>
      </x:c>
      <x:c r="J1198" s="6" t="n">
        <x:f>IF(OR(E1198="CANCELED",E1198="SUSPECTED_FRAUD",F1198="Shipping canceled"),0,1)</x:f>
        <x:v>1</x:v>
      </x:c>
      <x:c r="K1198" s="6" t="n">
        <x:f>IF(G1198&gt;H1198,1,0)</x:f>
        <x:v>0</x:v>
      </x:c>
      <x:c r="L1198" s="6" t="n">
        <x:f>J1198*K1198</x:f>
        <x:v>0</x:v>
      </x:c>
    </x:row>
    <x:row r="1199">
      <x:c r="A1199" s="1" t="n">
        <x:v>10294</x:v>
      </x:c>
      <x:c r="B1199" s="5" t="d">
        <x:v>2015-05-31T00:00:00.000Z</x:v>
      </x:c>
      <x:c r="C1199" s="1" t="str">
        <x:v>Standard Class</x:v>
      </x:c>
      <x:c r="D1199" s="1" t="str">
        <x:v>LATAM</x:v>
      </x:c>
      <x:c r="E1199" s="1" t="str">
        <x:v>PENDING</x:v>
      </x:c>
      <x:c r="F1199" s="1" t="str">
        <x:v>Late delivery</x:v>
      </x:c>
      <x:c r="G1199" s="6" t="n">
        <x:v>5</x:v>
      </x:c>
      <x:c r="H1199" s="6" t="n">
        <x:v>4</x:v>
      </x:c>
      <x:c r="I1199" s="6" t="n">
        <x:f>G1199-H1199</x:f>
        <x:v>1</x:v>
      </x:c>
      <x:c r="J1199" s="6" t="n">
        <x:f>IF(OR(E1199="CANCELED",E1199="SUSPECTED_FRAUD",F1199="Shipping canceled"),0,1)</x:f>
        <x:v>1</x:v>
      </x:c>
      <x:c r="K1199" s="6" t="n">
        <x:f>IF(G1199&gt;H1199,1,0)</x:f>
        <x:v>1</x:v>
      </x:c>
      <x:c r="L1199" s="6" t="n">
        <x:f>J1199*K1199</x:f>
        <x:v>1</x:v>
      </x:c>
    </x:row>
    <x:row r="1200">
      <x:c r="A1200" s="1" t="n">
        <x:v>10312</x:v>
      </x:c>
      <x:c r="B1200" s="5" t="d">
        <x:v>2015-05-31T00:00:00.000Z</x:v>
      </x:c>
      <x:c r="C1200" s="1" t="str">
        <x:v>First Class</x:v>
      </x:c>
      <x:c r="D1200" s="1" t="str">
        <x:v>Europe</x:v>
      </x:c>
      <x:c r="E1200" s="1" t="str">
        <x:v>PENDING_PAYMENT</x:v>
      </x:c>
      <x:c r="F1200" s="1" t="str">
        <x:v>Late delivery</x:v>
      </x:c>
      <x:c r="G1200" s="6" t="n">
        <x:v>2</x:v>
      </x:c>
      <x:c r="H1200" s="6" t="n">
        <x:v>1</x:v>
      </x:c>
      <x:c r="I1200" s="6" t="n">
        <x:f>G1200-H1200</x:f>
        <x:v>1</x:v>
      </x:c>
      <x:c r="J1200" s="6" t="n">
        <x:f>IF(OR(E1200="CANCELED",E1200="SUSPECTED_FRAUD",F1200="Shipping canceled"),0,1)</x:f>
        <x:v>1</x:v>
      </x:c>
      <x:c r="K1200" s="6" t="n">
        <x:f>IF(G1200&gt;H1200,1,0)</x:f>
        <x:v>1</x:v>
      </x:c>
      <x:c r="L1200" s="6" t="n">
        <x:f>J1200*K1200</x:f>
        <x:v>1</x:v>
      </x:c>
    </x:row>
    <x:row r="1201">
      <x:c r="A1201" s="1" t="n">
        <x:v>10317</x:v>
      </x:c>
      <x:c r="B1201" s="5" t="d">
        <x:v>2015-05-31T00:00:00.000Z</x:v>
      </x:c>
      <x:c r="C1201" s="1" t="str">
        <x:v>Second Class</x:v>
      </x:c>
      <x:c r="D1201" s="1" t="str">
        <x:v>Europe</x:v>
      </x:c>
      <x:c r="E1201" s="1" t="str">
        <x:v>COMPLETE</x:v>
      </x:c>
      <x:c r="F1201" s="1" t="str">
        <x:v>Late delivery</x:v>
      </x:c>
      <x:c r="G1201" s="6" t="n">
        <x:v>3</x:v>
      </x:c>
      <x:c r="H1201" s="6" t="n">
        <x:v>2</x:v>
      </x:c>
      <x:c r="I1201" s="6" t="n">
        <x:f>G1201-H1201</x:f>
        <x:v>1</x:v>
      </x:c>
      <x:c r="J1201" s="6" t="n">
        <x:f>IF(OR(E1201="CANCELED",E1201="SUSPECTED_FRAUD",F1201="Shipping canceled"),0,1)</x:f>
        <x:v>1</x:v>
      </x:c>
      <x:c r="K1201" s="6" t="n">
        <x:f>IF(G1201&gt;H1201,1,0)</x:f>
        <x:v>1</x:v>
      </x:c>
      <x:c r="L1201" s="6" t="n">
        <x:f>J1201*K1201</x:f>
        <x:v>1</x:v>
      </x:c>
    </x:row>
    <x:row r="1202">
      <x:c r="A1202" s="1" t="n">
        <x:v>10318</x:v>
      </x:c>
      <x:c r="B1202" s="5" t="d">
        <x:v>2015-05-31T00:00:00.000Z</x:v>
      </x:c>
      <x:c r="C1202" s="1" t="str">
        <x:v>Standard Class</x:v>
      </x:c>
      <x:c r="D1202" s="1" t="str">
        <x:v>Europe</x:v>
      </x:c>
      <x:c r="E1202" s="1" t="str">
        <x:v>PENDING</x:v>
      </x:c>
      <x:c r="F1202" s="1" t="str">
        <x:v>Shipping on time</x:v>
      </x:c>
      <x:c r="G1202" s="6" t="n">
        <x:v>4</x:v>
      </x:c>
      <x:c r="H1202" s="6" t="n">
        <x:v>4</x:v>
      </x:c>
      <x:c r="I1202" s="6" t="n">
        <x:f>G1202-H1202</x:f>
        <x:v>0</x:v>
      </x:c>
      <x:c r="J1202" s="6" t="n">
        <x:f>IF(OR(E1202="CANCELED",E1202="SUSPECTED_FRAUD",F1202="Shipping canceled"),0,1)</x:f>
        <x:v>1</x:v>
      </x:c>
      <x:c r="K1202" s="6" t="n">
        <x:f>IF(G1202&gt;H1202,1,0)</x:f>
        <x:v>0</x:v>
      </x:c>
      <x:c r="L1202" s="6" t="n">
        <x:f>J1202*K1202</x:f>
        <x:v>0</x:v>
      </x:c>
    </x:row>
    <x:row r="1203">
      <x:c r="A1203" s="1" t="n">
        <x:v>10345</x:v>
      </x:c>
      <x:c r="B1203" s="5" t="d">
        <x:v>2015-05-31T00:00:00.000Z</x:v>
      </x:c>
      <x:c r="C1203" s="1" t="str">
        <x:v>Standard Class</x:v>
      </x:c>
      <x:c r="D1203" s="1" t="str">
        <x:v>Europe</x:v>
      </x:c>
      <x:c r="E1203" s="1" t="str">
        <x:v>COMPLETE</x:v>
      </x:c>
      <x:c r="F1203" s="1" t="str">
        <x:v>Late delivery</x:v>
      </x:c>
      <x:c r="G1203" s="6" t="n">
        <x:v>6</x:v>
      </x:c>
      <x:c r="H1203" s="6" t="n">
        <x:v>4</x:v>
      </x:c>
      <x:c r="I1203" s="6" t="n">
        <x:f>G1203-H1203</x:f>
        <x:v>2</x:v>
      </x:c>
      <x:c r="J1203" s="6" t="n">
        <x:f>IF(OR(E1203="CANCELED",E1203="SUSPECTED_FRAUD",F1203="Shipping canceled"),0,1)</x:f>
        <x:v>1</x:v>
      </x:c>
      <x:c r="K1203" s="6" t="n">
        <x:f>IF(G1203&gt;H1203,1,0)</x:f>
        <x:v>1</x:v>
      </x:c>
      <x:c r="L1203" s="6" t="n">
        <x:f>J1203*K1203</x:f>
        <x:v>1</x:v>
      </x:c>
    </x:row>
    <x:row r="1204">
      <x:c r="A1204" s="1" t="n">
        <x:v>10348</x:v>
      </x:c>
      <x:c r="B1204" s="5" t="d">
        <x:v>2015-06-01T00:00:00.000Z</x:v>
      </x:c>
      <x:c r="C1204" s="1" t="str">
        <x:v>Standard Class</x:v>
      </x:c>
      <x:c r="D1204" s="1" t="str">
        <x:v>Europe</x:v>
      </x:c>
      <x:c r="E1204" s="1" t="str">
        <x:v>COMPLETE</x:v>
      </x:c>
      <x:c r="F1204" s="1" t="str">
        <x:v>Shipping on time</x:v>
      </x:c>
      <x:c r="G1204" s="6" t="n">
        <x:v>4</x:v>
      </x:c>
      <x:c r="H1204" s="6" t="n">
        <x:v>4</x:v>
      </x:c>
      <x:c r="I1204" s="6" t="n">
        <x:f>G1204-H1204</x:f>
        <x:v>0</x:v>
      </x:c>
      <x:c r="J1204" s="6" t="n">
        <x:f>IF(OR(E1204="CANCELED",E1204="SUSPECTED_FRAUD",F1204="Shipping canceled"),0,1)</x:f>
        <x:v>1</x:v>
      </x:c>
      <x:c r="K1204" s="6" t="n">
        <x:f>IF(G1204&gt;H1204,1,0)</x:f>
        <x:v>0</x:v>
      </x:c>
      <x:c r="L1204" s="6" t="n">
        <x:f>J1204*K1204</x:f>
        <x:v>0</x:v>
      </x:c>
    </x:row>
    <x:row r="1205">
      <x:c r="A1205" s="1" t="n">
        <x:v>10363</x:v>
      </x:c>
      <x:c r="B1205" s="5" t="d">
        <x:v>2015-06-01T00:00:00.000Z</x:v>
      </x:c>
      <x:c r="C1205" s="1" t="str">
        <x:v>Standard Class</x:v>
      </x:c>
      <x:c r="D1205" s="1" t="str">
        <x:v>Europe</x:v>
      </x:c>
      <x:c r="E1205" s="1" t="str">
        <x:v>CLOSED</x:v>
      </x:c>
      <x:c r="F1205" s="1" t="str">
        <x:v>Shipping on time</x:v>
      </x:c>
      <x:c r="G1205" s="6" t="n">
        <x:v>4</x:v>
      </x:c>
      <x:c r="H1205" s="6" t="n">
        <x:v>4</x:v>
      </x:c>
      <x:c r="I1205" s="6" t="n">
        <x:f>G1205-H1205</x:f>
        <x:v>0</x:v>
      </x:c>
      <x:c r="J1205" s="6" t="n">
        <x:f>IF(OR(E1205="CANCELED",E1205="SUSPECTED_FRAUD",F1205="Shipping canceled"),0,1)</x:f>
        <x:v>1</x:v>
      </x:c>
      <x:c r="K1205" s="6" t="n">
        <x:f>IF(G1205&gt;H1205,1,0)</x:f>
        <x:v>0</x:v>
      </x:c>
      <x:c r="L1205" s="6" t="n">
        <x:f>J1205*K1205</x:f>
        <x:v>0</x:v>
      </x:c>
    </x:row>
    <x:row r="1206">
      <x:c r="A1206" s="1" t="n">
        <x:v>10365</x:v>
      </x:c>
      <x:c r="B1206" s="5" t="d">
        <x:v>2015-06-01T00:00:00.000Z</x:v>
      </x:c>
      <x:c r="C1206" s="1" t="str">
        <x:v>Standard Class</x:v>
      </x:c>
      <x:c r="D1206" s="1" t="str">
        <x:v>Europe</x:v>
      </x:c>
      <x:c r="E1206" s="1" t="str">
        <x:v>COMPLETE</x:v>
      </x:c>
      <x:c r="F1206" s="1" t="str">
        <x:v>Late delivery</x:v>
      </x:c>
      <x:c r="G1206" s="6" t="n">
        <x:v>6</x:v>
      </x:c>
      <x:c r="H1206" s="6" t="n">
        <x:v>4</x:v>
      </x:c>
      <x:c r="I1206" s="6" t="n">
        <x:f>G1206-H1206</x:f>
        <x:v>2</x:v>
      </x:c>
      <x:c r="J1206" s="6" t="n">
        <x:f>IF(OR(E1206="CANCELED",E1206="SUSPECTED_FRAUD",F1206="Shipping canceled"),0,1)</x:f>
        <x:v>1</x:v>
      </x:c>
      <x:c r="K1206" s="6" t="n">
        <x:f>IF(G1206&gt;H1206,1,0)</x:f>
        <x:v>1</x:v>
      </x:c>
      <x:c r="L1206" s="6" t="n">
        <x:f>J1206*K1206</x:f>
        <x:v>1</x:v>
      </x:c>
    </x:row>
    <x:row r="1207">
      <x:c r="A1207" s="1" t="n">
        <x:v>10380</x:v>
      </x:c>
      <x:c r="B1207" s="5" t="d">
        <x:v>2015-06-01T00:00:00.000Z</x:v>
      </x:c>
      <x:c r="C1207" s="1" t="str">
        <x:v>Standard Class</x:v>
      </x:c>
      <x:c r="D1207" s="1" t="str">
        <x:v>Europe</x:v>
      </x:c>
      <x:c r="E1207" s="1" t="str">
        <x:v>ON_HOLD</x:v>
      </x:c>
      <x:c r="F1207" s="1" t="str">
        <x:v>Late delivery</x:v>
      </x:c>
      <x:c r="G1207" s="6" t="n">
        <x:v>6</x:v>
      </x:c>
      <x:c r="H1207" s="6" t="n">
        <x:v>4</x:v>
      </x:c>
      <x:c r="I1207" s="6" t="n">
        <x:f>G1207-H1207</x:f>
        <x:v>2</x:v>
      </x:c>
      <x:c r="J1207" s="6" t="n">
        <x:f>IF(OR(E1207="CANCELED",E1207="SUSPECTED_FRAUD",F1207="Shipping canceled"),0,1)</x:f>
        <x:v>1</x:v>
      </x:c>
      <x:c r="K1207" s="6" t="n">
        <x:f>IF(G1207&gt;H1207,1,0)</x:f>
        <x:v>1</x:v>
      </x:c>
      <x:c r="L1207" s="6" t="n">
        <x:f>J1207*K1207</x:f>
        <x:v>1</x:v>
      </x:c>
    </x:row>
    <x:row r="1208">
      <x:c r="A1208" s="1" t="n">
        <x:v>10384</x:v>
      </x:c>
      <x:c r="B1208" s="5" t="d">
        <x:v>2015-06-01T00:00:00.000Z</x:v>
      </x:c>
      <x:c r="C1208" s="1" t="str">
        <x:v>Standard Class</x:v>
      </x:c>
      <x:c r="D1208" s="1" t="str">
        <x:v>Europe</x:v>
      </x:c>
      <x:c r="E1208" s="1" t="str">
        <x:v>PENDING</x:v>
      </x:c>
      <x:c r="F1208" s="1" t="str">
        <x:v>Late delivery</x:v>
      </x:c>
      <x:c r="G1208" s="6" t="n">
        <x:v>5</x:v>
      </x:c>
      <x:c r="H1208" s="6" t="n">
        <x:v>4</x:v>
      </x:c>
      <x:c r="I1208" s="6" t="n">
        <x:f>G1208-H1208</x:f>
        <x:v>1</x:v>
      </x:c>
      <x:c r="J1208" s="6" t="n">
        <x:f>IF(OR(E1208="CANCELED",E1208="SUSPECTED_FRAUD",F1208="Shipping canceled"),0,1)</x:f>
        <x:v>1</x:v>
      </x:c>
      <x:c r="K1208" s="6" t="n">
        <x:f>IF(G1208&gt;H1208,1,0)</x:f>
        <x:v>1</x:v>
      </x:c>
      <x:c r="L1208" s="6" t="n">
        <x:f>J1208*K1208</x:f>
        <x:v>1</x:v>
      </x:c>
    </x:row>
    <x:row r="1209">
      <x:c r="A1209" s="1" t="n">
        <x:v>10385</x:v>
      </x:c>
      <x:c r="B1209" s="5" t="d">
        <x:v>2015-06-01T00:00:00.000Z</x:v>
      </x:c>
      <x:c r="C1209" s="1" t="str">
        <x:v>Standard Class</x:v>
      </x:c>
      <x:c r="D1209" s="1" t="str">
        <x:v>Europe</x:v>
      </x:c>
      <x:c r="E1209" s="1" t="str">
        <x:v>COMPLETE</x:v>
      </x:c>
      <x:c r="F1209" s="1" t="str">
        <x:v>Late delivery</x:v>
      </x:c>
      <x:c r="G1209" s="6" t="n">
        <x:v>6</x:v>
      </x:c>
      <x:c r="H1209" s="6" t="n">
        <x:v>4</x:v>
      </x:c>
      <x:c r="I1209" s="6" t="n">
        <x:f>G1209-H1209</x:f>
        <x:v>2</x:v>
      </x:c>
      <x:c r="J1209" s="6" t="n">
        <x:f>IF(OR(E1209="CANCELED",E1209="SUSPECTED_FRAUD",F1209="Shipping canceled"),0,1)</x:f>
        <x:v>1</x:v>
      </x:c>
      <x:c r="K1209" s="6" t="n">
        <x:f>IF(G1209&gt;H1209,1,0)</x:f>
        <x:v>1</x:v>
      </x:c>
      <x:c r="L1209" s="6" t="n">
        <x:f>J1209*K1209</x:f>
        <x:v>1</x:v>
      </x:c>
    </x:row>
    <x:row r="1210">
      <x:c r="A1210" s="1" t="n">
        <x:v>10394</x:v>
      </x:c>
      <x:c r="B1210" s="5" t="d">
        <x:v>2015-06-01T00:00:00.000Z</x:v>
      </x:c>
      <x:c r="C1210" s="1" t="str">
        <x:v>First Class</x:v>
      </x:c>
      <x:c r="D1210" s="1" t="str">
        <x:v>Europe</x:v>
      </x:c>
      <x:c r="E1210" s="1" t="str">
        <x:v>CLOSED</x:v>
      </x:c>
      <x:c r="F1210" s="1" t="str">
        <x:v>Late delivery</x:v>
      </x:c>
      <x:c r="G1210" s="6" t="n">
        <x:v>2</x:v>
      </x:c>
      <x:c r="H1210" s="6" t="n">
        <x:v>1</x:v>
      </x:c>
      <x:c r="I1210" s="6" t="n">
        <x:f>G1210-H1210</x:f>
        <x:v>1</x:v>
      </x:c>
      <x:c r="J1210" s="6" t="n">
        <x:f>IF(OR(E1210="CANCELED",E1210="SUSPECTED_FRAUD",F1210="Shipping canceled"),0,1)</x:f>
        <x:v>1</x:v>
      </x:c>
      <x:c r="K1210" s="6" t="n">
        <x:f>IF(G1210&gt;H1210,1,0)</x:f>
        <x:v>1</x:v>
      </x:c>
      <x:c r="L1210" s="6" t="n">
        <x:f>J1210*K1210</x:f>
        <x:v>1</x:v>
      </x:c>
    </x:row>
    <x:row r="1211">
      <x:c r="A1211" s="1" t="n">
        <x:v>10414</x:v>
      </x:c>
      <x:c r="B1211" s="5" t="d">
        <x:v>2015-06-02T00:00:00.000Z</x:v>
      </x:c>
      <x:c r="C1211" s="1" t="str">
        <x:v>First Class</x:v>
      </x:c>
      <x:c r="D1211" s="1" t="str">
        <x:v>Europe</x:v>
      </x:c>
      <x:c r="E1211" s="1" t="str">
        <x:v>PENDING_PAYMENT</x:v>
      </x:c>
      <x:c r="F1211" s="1" t="str">
        <x:v>Late delivery</x:v>
      </x:c>
      <x:c r="G1211" s="6" t="n">
        <x:v>2</x:v>
      </x:c>
      <x:c r="H1211" s="6" t="n">
        <x:v>1</x:v>
      </x:c>
      <x:c r="I1211" s="6" t="n">
        <x:f>G1211-H1211</x:f>
        <x:v>1</x:v>
      </x:c>
      <x:c r="J1211" s="6" t="n">
        <x:f>IF(OR(E1211="CANCELED",E1211="SUSPECTED_FRAUD",F1211="Shipping canceled"),0,1)</x:f>
        <x:v>1</x:v>
      </x:c>
      <x:c r="K1211" s="6" t="n">
        <x:f>IF(G1211&gt;H1211,1,0)</x:f>
        <x:v>1</x:v>
      </x:c>
      <x:c r="L1211" s="6" t="n">
        <x:f>J1211*K1211</x:f>
        <x:v>1</x:v>
      </x:c>
    </x:row>
    <x:row r="1212">
      <x:c r="A1212" s="1" t="n">
        <x:v>10421</x:v>
      </x:c>
      <x:c r="B1212" s="5" t="d">
        <x:v>2015-06-02T00:00:00.000Z</x:v>
      </x:c>
      <x:c r="C1212" s="1" t="str">
        <x:v>First Class</x:v>
      </x:c>
      <x:c r="D1212" s="1" t="str">
        <x:v>Europe</x:v>
      </x:c>
      <x:c r="E1212" s="1" t="str">
        <x:v>CLOSED</x:v>
      </x:c>
      <x:c r="F1212" s="1" t="str">
        <x:v>Late delivery</x:v>
      </x:c>
      <x:c r="G1212" s="6" t="n">
        <x:v>2</x:v>
      </x:c>
      <x:c r="H1212" s="6" t="n">
        <x:v>1</x:v>
      </x:c>
      <x:c r="I1212" s="6" t="n">
        <x:f>G1212-H1212</x:f>
        <x:v>1</x:v>
      </x:c>
      <x:c r="J1212" s="6" t="n">
        <x:f>IF(OR(E1212="CANCELED",E1212="SUSPECTED_FRAUD",F1212="Shipping canceled"),0,1)</x:f>
        <x:v>1</x:v>
      </x:c>
      <x:c r="K1212" s="6" t="n">
        <x:f>IF(G1212&gt;H1212,1,0)</x:f>
        <x:v>1</x:v>
      </x:c>
      <x:c r="L1212" s="6" t="n">
        <x:f>J1212*K1212</x:f>
        <x:v>1</x:v>
      </x:c>
    </x:row>
    <x:row r="1213">
      <x:c r="A1213" s="1" t="n">
        <x:v>10436</x:v>
      </x:c>
      <x:c r="B1213" s="5" t="d">
        <x:v>2015-06-02T00:00:00.000Z</x:v>
      </x:c>
      <x:c r="C1213" s="1" t="str">
        <x:v>Standard Class</x:v>
      </x:c>
      <x:c r="D1213" s="1" t="str">
        <x:v>Europe</x:v>
      </x:c>
      <x:c r="E1213" s="1" t="str">
        <x:v>COMPLETE</x:v>
      </x:c>
      <x:c r="F1213" s="1" t="str">
        <x:v>Advance shipping</x:v>
      </x:c>
      <x:c r="G1213" s="6" t="n">
        <x:v>2</x:v>
      </x:c>
      <x:c r="H1213" s="6" t="n">
        <x:v>4</x:v>
      </x:c>
      <x:c r="I1213" s="6" t="n">
        <x:f>G1213-H1213</x:f>
        <x:v>-2</x:v>
      </x:c>
      <x:c r="J1213" s="6" t="n">
        <x:f>IF(OR(E1213="CANCELED",E1213="SUSPECTED_FRAUD",F1213="Shipping canceled"),0,1)</x:f>
        <x:v>1</x:v>
      </x:c>
      <x:c r="K1213" s="6" t="n">
        <x:f>IF(G1213&gt;H1213,1,0)</x:f>
        <x:v>0</x:v>
      </x:c>
      <x:c r="L1213" s="6" t="n">
        <x:f>J1213*K1213</x:f>
        <x:v>0</x:v>
      </x:c>
    </x:row>
    <x:row r="1214">
      <x:c r="A1214" s="1" t="n">
        <x:v>10444</x:v>
      </x:c>
      <x:c r="B1214" s="5" t="d">
        <x:v>2015-06-02T00:00:00.000Z</x:v>
      </x:c>
      <x:c r="C1214" s="1" t="str">
        <x:v>Second Class</x:v>
      </x:c>
      <x:c r="D1214" s="1" t="str">
        <x:v>Europe</x:v>
      </x:c>
      <x:c r="E1214" s="1" t="str">
        <x:v>COMPLETE</x:v>
      </x:c>
      <x:c r="F1214" s="1" t="str">
        <x:v>Late delivery</x:v>
      </x:c>
      <x:c r="G1214" s="6" t="n">
        <x:v>5</x:v>
      </x:c>
      <x:c r="H1214" s="6" t="n">
        <x:v>2</x:v>
      </x:c>
      <x:c r="I1214" s="6" t="n">
        <x:f>G1214-H1214</x:f>
        <x:v>3</x:v>
      </x:c>
      <x:c r="J1214" s="6" t="n">
        <x:f>IF(OR(E1214="CANCELED",E1214="SUSPECTED_FRAUD",F1214="Shipping canceled"),0,1)</x:f>
        <x:v>1</x:v>
      </x:c>
      <x:c r="K1214" s="6" t="n">
        <x:f>IF(G1214&gt;H1214,1,0)</x:f>
        <x:v>1</x:v>
      </x:c>
      <x:c r="L1214" s="6" t="n">
        <x:f>J1214*K1214</x:f>
        <x:v>1</x:v>
      </x:c>
    </x:row>
    <x:row r="1215">
      <x:c r="A1215" s="1" t="n">
        <x:v>10446</x:v>
      </x:c>
      <x:c r="B1215" s="5" t="d">
        <x:v>2015-06-02T00:00:00.000Z</x:v>
      </x:c>
      <x:c r="C1215" s="1" t="str">
        <x:v>Standard Class</x:v>
      </x:c>
      <x:c r="D1215" s="1" t="str">
        <x:v>Europe</x:v>
      </x:c>
      <x:c r="E1215" s="1" t="str">
        <x:v>CLOSED</x:v>
      </x:c>
      <x:c r="F1215" s="1" t="str">
        <x:v>Advance shipping</x:v>
      </x:c>
      <x:c r="G1215" s="6" t="n">
        <x:v>2</x:v>
      </x:c>
      <x:c r="H1215" s="6" t="n">
        <x:v>4</x:v>
      </x:c>
      <x:c r="I1215" s="6" t="n">
        <x:f>G1215-H1215</x:f>
        <x:v>-2</x:v>
      </x:c>
      <x:c r="J1215" s="6" t="n">
        <x:f>IF(OR(E1215="CANCELED",E1215="SUSPECTED_FRAUD",F1215="Shipping canceled"),0,1)</x:f>
        <x:v>1</x:v>
      </x:c>
      <x:c r="K1215" s="6" t="n">
        <x:f>IF(G1215&gt;H1215,1,0)</x:f>
        <x:v>0</x:v>
      </x:c>
      <x:c r="L1215" s="6" t="n">
        <x:f>J1215*K1215</x:f>
        <x:v>0</x:v>
      </x:c>
    </x:row>
    <x:row r="1216">
      <x:c r="A1216" s="1" t="n">
        <x:v>10451</x:v>
      </x:c>
      <x:c r="B1216" s="5" t="d">
        <x:v>2015-06-02T00:00:00.000Z</x:v>
      </x:c>
      <x:c r="C1216" s="1" t="str">
        <x:v>Standard Class</x:v>
      </x:c>
      <x:c r="D1216" s="1" t="str">
        <x:v>Europe</x:v>
      </x:c>
      <x:c r="E1216" s="1" t="str">
        <x:v>PENDING</x:v>
      </x:c>
      <x:c r="F1216" s="1" t="str">
        <x:v>Advance shipping</x:v>
      </x:c>
      <x:c r="G1216" s="6" t="n">
        <x:v>2</x:v>
      </x:c>
      <x:c r="H1216" s="6" t="n">
        <x:v>4</x:v>
      </x:c>
      <x:c r="I1216" s="6" t="n">
        <x:f>G1216-H1216</x:f>
        <x:v>-2</x:v>
      </x:c>
      <x:c r="J1216" s="6" t="n">
        <x:f>IF(OR(E1216="CANCELED",E1216="SUSPECTED_FRAUD",F1216="Shipping canceled"),0,1)</x:f>
        <x:v>1</x:v>
      </x:c>
      <x:c r="K1216" s="6" t="n">
        <x:f>IF(G1216&gt;H1216,1,0)</x:f>
        <x:v>0</x:v>
      </x:c>
      <x:c r="L1216" s="6" t="n">
        <x:f>J1216*K1216</x:f>
        <x:v>0</x:v>
      </x:c>
    </x:row>
    <x:row r="1217">
      <x:c r="A1217" s="1" t="n">
        <x:v>10454</x:v>
      </x:c>
      <x:c r="B1217" s="5" t="d">
        <x:v>2015-06-02T00:00:00.000Z</x:v>
      </x:c>
      <x:c r="C1217" s="1" t="str">
        <x:v>Standard Class</x:v>
      </x:c>
      <x:c r="D1217" s="1" t="str">
        <x:v>Europe</x:v>
      </x:c>
      <x:c r="E1217" s="1" t="str">
        <x:v>COMPLETE</x:v>
      </x:c>
      <x:c r="F1217" s="1" t="str">
        <x:v>Late delivery</x:v>
      </x:c>
      <x:c r="G1217" s="6" t="n">
        <x:v>5</x:v>
      </x:c>
      <x:c r="H1217" s="6" t="n">
        <x:v>4</x:v>
      </x:c>
      <x:c r="I1217" s="6" t="n">
        <x:f>G1217-H1217</x:f>
        <x:v>1</x:v>
      </x:c>
      <x:c r="J1217" s="6" t="n">
        <x:f>IF(OR(E1217="CANCELED",E1217="SUSPECTED_FRAUD",F1217="Shipping canceled"),0,1)</x:f>
        <x:v>1</x:v>
      </x:c>
      <x:c r="K1217" s="6" t="n">
        <x:f>IF(G1217&gt;H1217,1,0)</x:f>
        <x:v>1</x:v>
      </x:c>
      <x:c r="L1217" s="6" t="n">
        <x:f>J1217*K1217</x:f>
        <x:v>1</x:v>
      </x:c>
    </x:row>
    <x:row r="1218">
      <x:c r="A1218" s="1" t="n">
        <x:v>10455</x:v>
      </x:c>
      <x:c r="B1218" s="5" t="d">
        <x:v>2015-06-02T00:00:00.000Z</x:v>
      </x:c>
      <x:c r="C1218" s="1" t="str">
        <x:v>Standard Class</x:v>
      </x:c>
      <x:c r="D1218" s="1" t="str">
        <x:v>Europe</x:v>
      </x:c>
      <x:c r="E1218" s="1" t="str">
        <x:v>SUSPECTED_FRAUD</x:v>
      </x:c>
      <x:c r="F1218" s="1" t="str">
        <x:v>Shipping canceled</x:v>
      </x:c>
      <x:c r="G1218" s="6" t="n">
        <x:v>6</x:v>
      </x:c>
      <x:c r="H1218" s="6" t="n">
        <x:v>4</x:v>
      </x:c>
      <x:c r="I1218" s="6" t="n">
        <x:f>G1218-H1218</x:f>
        <x:v>2</x:v>
      </x:c>
      <x:c r="J1218" s="6" t="n">
        <x:f>IF(OR(E1218="CANCELED",E1218="SUSPECTED_FRAUD",F1218="Shipping canceled"),0,1)</x:f>
        <x:v>0</x:v>
      </x:c>
      <x:c r="K1218" s="6" t="n">
        <x:f>IF(G1218&gt;H1218,1,0)</x:f>
        <x:v>1</x:v>
      </x:c>
      <x:c r="L1218" s="6" t="n">
        <x:f>J1218*K1218</x:f>
        <x:v>0</x:v>
      </x:c>
    </x:row>
    <x:row r="1219">
      <x:c r="A1219" s="1" t="n">
        <x:v>10459</x:v>
      </x:c>
      <x:c r="B1219" s="5" t="d">
        <x:v>2015-06-02T00:00:00.000Z</x:v>
      </x:c>
      <x:c r="C1219" s="1" t="str">
        <x:v>Standard Class</x:v>
      </x:c>
      <x:c r="D1219" s="1" t="str">
        <x:v>Europe</x:v>
      </x:c>
      <x:c r="E1219" s="1" t="str">
        <x:v>PENDING</x:v>
      </x:c>
      <x:c r="F1219" s="1" t="str">
        <x:v>Late delivery</x:v>
      </x:c>
      <x:c r="G1219" s="6" t="n">
        <x:v>5</x:v>
      </x:c>
      <x:c r="H1219" s="6" t="n">
        <x:v>4</x:v>
      </x:c>
      <x:c r="I1219" s="6" t="n">
        <x:f>G1219-H1219</x:f>
        <x:v>1</x:v>
      </x:c>
      <x:c r="J1219" s="6" t="n">
        <x:f>IF(OR(E1219="CANCELED",E1219="SUSPECTED_FRAUD",F1219="Shipping canceled"),0,1)</x:f>
        <x:v>1</x:v>
      </x:c>
      <x:c r="K1219" s="6" t="n">
        <x:f>IF(G1219&gt;H1219,1,0)</x:f>
        <x:v>1</x:v>
      </x:c>
      <x:c r="L1219" s="6" t="n">
        <x:f>J1219*K1219</x:f>
        <x:v>1</x:v>
      </x:c>
    </x:row>
    <x:row r="1220">
      <x:c r="A1220" s="1" t="n">
        <x:v>10464</x:v>
      </x:c>
      <x:c r="B1220" s="5" t="d">
        <x:v>2015-06-02T00:00:00.000Z</x:v>
      </x:c>
      <x:c r="C1220" s="1" t="str">
        <x:v>First Class</x:v>
      </x:c>
      <x:c r="D1220" s="1" t="str">
        <x:v>Europe</x:v>
      </x:c>
      <x:c r="E1220" s="1" t="str">
        <x:v>COMPLETE</x:v>
      </x:c>
      <x:c r="F1220" s="1" t="str">
        <x:v>Late delivery</x:v>
      </x:c>
      <x:c r="G1220" s="6" t="n">
        <x:v>2</x:v>
      </x:c>
      <x:c r="H1220" s="6" t="n">
        <x:v>1</x:v>
      </x:c>
      <x:c r="I1220" s="6" t="n">
        <x:f>G1220-H1220</x:f>
        <x:v>1</x:v>
      </x:c>
      <x:c r="J1220" s="6" t="n">
        <x:f>IF(OR(E1220="CANCELED",E1220="SUSPECTED_FRAUD",F1220="Shipping canceled"),0,1)</x:f>
        <x:v>1</x:v>
      </x:c>
      <x:c r="K1220" s="6" t="n">
        <x:f>IF(G1220&gt;H1220,1,0)</x:f>
        <x:v>1</x:v>
      </x:c>
      <x:c r="L1220" s="6" t="n">
        <x:f>J1220*K1220</x:f>
        <x:v>1</x:v>
      </x:c>
    </x:row>
    <x:row r="1221">
      <x:c r="A1221" s="1" t="n">
        <x:v>10465</x:v>
      </x:c>
      <x:c r="B1221" s="5" t="d">
        <x:v>2015-06-02T00:00:00.000Z</x:v>
      </x:c>
      <x:c r="C1221" s="1" t="str">
        <x:v>Standard Class</x:v>
      </x:c>
      <x:c r="D1221" s="1" t="str">
        <x:v>Europe</x:v>
      </x:c>
      <x:c r="E1221" s="1" t="str">
        <x:v>COMPLETE</x:v>
      </x:c>
      <x:c r="F1221" s="1" t="str">
        <x:v>Late delivery</x:v>
      </x:c>
      <x:c r="G1221" s="6" t="n">
        <x:v>6</x:v>
      </x:c>
      <x:c r="H1221" s="6" t="n">
        <x:v>4</x:v>
      </x:c>
      <x:c r="I1221" s="6" t="n">
        <x:f>G1221-H1221</x:f>
        <x:v>2</x:v>
      </x:c>
      <x:c r="J1221" s="6" t="n">
        <x:f>IF(OR(E1221="CANCELED",E1221="SUSPECTED_FRAUD",F1221="Shipping canceled"),0,1)</x:f>
        <x:v>1</x:v>
      </x:c>
      <x:c r="K1221" s="6" t="n">
        <x:f>IF(G1221&gt;H1221,1,0)</x:f>
        <x:v>1</x:v>
      </x:c>
      <x:c r="L1221" s="6" t="n">
        <x:f>J1221*K1221</x:f>
        <x:v>1</x:v>
      </x:c>
    </x:row>
    <x:row r="1222">
      <x:c r="A1222" s="1" t="n">
        <x:v>10471</x:v>
      </x:c>
      <x:c r="B1222" s="5" t="d">
        <x:v>2015-06-02T00:00:00.000Z</x:v>
      </x:c>
      <x:c r="C1222" s="1" t="str">
        <x:v>Standard Class</x:v>
      </x:c>
      <x:c r="D1222" s="1" t="str">
        <x:v>Europe</x:v>
      </x:c>
      <x:c r="E1222" s="1" t="str">
        <x:v>PENDING</x:v>
      </x:c>
      <x:c r="F1222" s="1" t="str">
        <x:v>Advance shipping</x:v>
      </x:c>
      <x:c r="G1222" s="6" t="n">
        <x:v>2</x:v>
      </x:c>
      <x:c r="H1222" s="6" t="n">
        <x:v>4</x:v>
      </x:c>
      <x:c r="I1222" s="6" t="n">
        <x:f>G1222-H1222</x:f>
        <x:v>-2</x:v>
      </x:c>
      <x:c r="J1222" s="6" t="n">
        <x:f>IF(OR(E1222="CANCELED",E1222="SUSPECTED_FRAUD",F1222="Shipping canceled"),0,1)</x:f>
        <x:v>1</x:v>
      </x:c>
      <x:c r="K1222" s="6" t="n">
        <x:f>IF(G1222&gt;H1222,1,0)</x:f>
        <x:v>0</x:v>
      </x:c>
      <x:c r="L1222" s="6" t="n">
        <x:f>J1222*K1222</x:f>
        <x:v>0</x:v>
      </x:c>
    </x:row>
    <x:row r="1223">
      <x:c r="A1223" s="1" t="n">
        <x:v>10475</x:v>
      </x:c>
      <x:c r="B1223" s="5" t="d">
        <x:v>2015-06-02T00:00:00.000Z</x:v>
      </x:c>
      <x:c r="C1223" s="1" t="str">
        <x:v>Standard Class</x:v>
      </x:c>
      <x:c r="D1223" s="1" t="str">
        <x:v>Europe</x:v>
      </x:c>
      <x:c r="E1223" s="1" t="str">
        <x:v>COMPLETE</x:v>
      </x:c>
      <x:c r="F1223" s="1" t="str">
        <x:v>Late delivery</x:v>
      </x:c>
      <x:c r="G1223" s="6" t="n">
        <x:v>6</x:v>
      </x:c>
      <x:c r="H1223" s="6" t="n">
        <x:v>4</x:v>
      </x:c>
      <x:c r="I1223" s="6" t="n">
        <x:f>G1223-H1223</x:f>
        <x:v>2</x:v>
      </x:c>
      <x:c r="J1223" s="6" t="n">
        <x:f>IF(OR(E1223="CANCELED",E1223="SUSPECTED_FRAUD",F1223="Shipping canceled"),0,1)</x:f>
        <x:v>1</x:v>
      </x:c>
      <x:c r="K1223" s="6" t="n">
        <x:f>IF(G1223&gt;H1223,1,0)</x:f>
        <x:v>1</x:v>
      </x:c>
      <x:c r="L1223" s="6" t="n">
        <x:f>J1223*K1223</x:f>
        <x:v>1</x:v>
      </x:c>
    </x:row>
    <x:row r="1224">
      <x:c r="A1224" s="1" t="n">
        <x:v>10477</x:v>
      </x:c>
      <x:c r="B1224" s="5" t="d">
        <x:v>2015-06-02T00:00:00.000Z</x:v>
      </x:c>
      <x:c r="C1224" s="1" t="str">
        <x:v>Standard Class</x:v>
      </x:c>
      <x:c r="D1224" s="1" t="str">
        <x:v>Europe</x:v>
      </x:c>
      <x:c r="E1224" s="1" t="str">
        <x:v>PROCESSING</x:v>
      </x:c>
      <x:c r="F1224" s="1" t="str">
        <x:v>Advance shipping</x:v>
      </x:c>
      <x:c r="G1224" s="6" t="n">
        <x:v>3</x:v>
      </x:c>
      <x:c r="H1224" s="6" t="n">
        <x:v>4</x:v>
      </x:c>
      <x:c r="I1224" s="6" t="n">
        <x:f>G1224-H1224</x:f>
        <x:v>-1</x:v>
      </x:c>
      <x:c r="J1224" s="6" t="n">
        <x:f>IF(OR(E1224="CANCELED",E1224="SUSPECTED_FRAUD",F1224="Shipping canceled"),0,1)</x:f>
        <x:v>1</x:v>
      </x:c>
      <x:c r="K1224" s="6" t="n">
        <x:f>IF(G1224&gt;H1224,1,0)</x:f>
        <x:v>0</x:v>
      </x:c>
      <x:c r="L1224" s="6" t="n">
        <x:f>J1224*K1224</x:f>
        <x:v>0</x:v>
      </x:c>
    </x:row>
    <x:row r="1225">
      <x:c r="A1225" s="1" t="n">
        <x:v>10486</x:v>
      </x:c>
      <x:c r="B1225" s="5" t="d">
        <x:v>2015-06-03T00:00:00.000Z</x:v>
      </x:c>
      <x:c r="C1225" s="1" t="str">
        <x:v>Second Class</x:v>
      </x:c>
      <x:c r="D1225" s="1" t="str">
        <x:v>Europe</x:v>
      </x:c>
      <x:c r="E1225" s="1" t="str">
        <x:v>PROCESSING</x:v>
      </x:c>
      <x:c r="F1225" s="1" t="str">
        <x:v>Shipping on time</x:v>
      </x:c>
      <x:c r="G1225" s="6" t="n">
        <x:v>2</x:v>
      </x:c>
      <x:c r="H1225" s="6" t="n">
        <x:v>2</x:v>
      </x:c>
      <x:c r="I1225" s="6" t="n">
        <x:f>G1225-H1225</x:f>
        <x:v>0</x:v>
      </x:c>
      <x:c r="J1225" s="6" t="n">
        <x:f>IF(OR(E1225="CANCELED",E1225="SUSPECTED_FRAUD",F1225="Shipping canceled"),0,1)</x:f>
        <x:v>1</x:v>
      </x:c>
      <x:c r="K1225" s="6" t="n">
        <x:f>IF(G1225&gt;H1225,1,0)</x:f>
        <x:v>0</x:v>
      </x:c>
      <x:c r="L1225" s="6" t="n">
        <x:f>J1225*K1225</x:f>
        <x:v>0</x:v>
      </x:c>
    </x:row>
    <x:row r="1226">
      <x:c r="A1226" s="1" t="n">
        <x:v>10491</x:v>
      </x:c>
      <x:c r="B1226" s="5" t="d">
        <x:v>2015-06-03T00:00:00.000Z</x:v>
      </x:c>
      <x:c r="C1226" s="1" t="str">
        <x:v>Standard Class</x:v>
      </x:c>
      <x:c r="D1226" s="1" t="str">
        <x:v>Europe</x:v>
      </x:c>
      <x:c r="E1226" s="1" t="str">
        <x:v>ON_HOLD</x:v>
      </x:c>
      <x:c r="F1226" s="1" t="str">
        <x:v>Advance shipping</x:v>
      </x:c>
      <x:c r="G1226" s="6" t="n">
        <x:v>2</x:v>
      </x:c>
      <x:c r="H1226" s="6" t="n">
        <x:v>4</x:v>
      </x:c>
      <x:c r="I1226" s="6" t="n">
        <x:f>G1226-H1226</x:f>
        <x:v>-2</x:v>
      </x:c>
      <x:c r="J1226" s="6" t="n">
        <x:f>IF(OR(E1226="CANCELED",E1226="SUSPECTED_FRAUD",F1226="Shipping canceled"),0,1)</x:f>
        <x:v>1</x:v>
      </x:c>
      <x:c r="K1226" s="6" t="n">
        <x:f>IF(G1226&gt;H1226,1,0)</x:f>
        <x:v>0</x:v>
      </x:c>
      <x:c r="L1226" s="6" t="n">
        <x:f>J1226*K1226</x:f>
        <x:v>0</x:v>
      </x:c>
    </x:row>
    <x:row r="1227">
      <x:c r="A1227" s="1" t="n">
        <x:v>10496</x:v>
      </x:c>
      <x:c r="B1227" s="5" t="d">
        <x:v>2015-06-03T00:00:00.000Z</x:v>
      </x:c>
      <x:c r="C1227" s="1" t="str">
        <x:v>Standard Class</x:v>
      </x:c>
      <x:c r="D1227" s="1" t="str">
        <x:v>Europe</x:v>
      </x:c>
      <x:c r="E1227" s="1" t="str">
        <x:v>ON_HOLD</x:v>
      </x:c>
      <x:c r="F1227" s="1" t="str">
        <x:v>Advance shipping</x:v>
      </x:c>
      <x:c r="G1227" s="6" t="n">
        <x:v>2</x:v>
      </x:c>
      <x:c r="H1227" s="6" t="n">
        <x:v>4</x:v>
      </x:c>
      <x:c r="I1227" s="6" t="n">
        <x:f>G1227-H1227</x:f>
        <x:v>-2</x:v>
      </x:c>
      <x:c r="J1227" s="6" t="n">
        <x:f>IF(OR(E1227="CANCELED",E1227="SUSPECTED_FRAUD",F1227="Shipping canceled"),0,1)</x:f>
        <x:v>1</x:v>
      </x:c>
      <x:c r="K1227" s="6" t="n">
        <x:f>IF(G1227&gt;H1227,1,0)</x:f>
        <x:v>0</x:v>
      </x:c>
      <x:c r="L1227" s="6" t="n">
        <x:f>J1227*K1227</x:f>
        <x:v>0</x:v>
      </x:c>
    </x:row>
    <x:row r="1228">
      <x:c r="A1228" s="1" t="n">
        <x:v>10501</x:v>
      </x:c>
      <x:c r="B1228" s="5" t="d">
        <x:v>2015-06-03T00:00:00.000Z</x:v>
      </x:c>
      <x:c r="C1228" s="1" t="str">
        <x:v>Standard Class</x:v>
      </x:c>
      <x:c r="D1228" s="1" t="str">
        <x:v>Europe</x:v>
      </x:c>
      <x:c r="E1228" s="1" t="str">
        <x:v>ON_HOLD</x:v>
      </x:c>
      <x:c r="F1228" s="1" t="str">
        <x:v>Advance shipping</x:v>
      </x:c>
      <x:c r="G1228" s="6" t="n">
        <x:v>2</x:v>
      </x:c>
      <x:c r="H1228" s="6" t="n">
        <x:v>4</x:v>
      </x:c>
      <x:c r="I1228" s="6" t="n">
        <x:f>G1228-H1228</x:f>
        <x:v>-2</x:v>
      </x:c>
      <x:c r="J1228" s="6" t="n">
        <x:f>IF(OR(E1228="CANCELED",E1228="SUSPECTED_FRAUD",F1228="Shipping canceled"),0,1)</x:f>
        <x:v>1</x:v>
      </x:c>
      <x:c r="K1228" s="6" t="n">
        <x:f>IF(G1228&gt;H1228,1,0)</x:f>
        <x:v>0</x:v>
      </x:c>
      <x:c r="L1228" s="6" t="n">
        <x:f>J1228*K1228</x:f>
        <x:v>0</x:v>
      </x:c>
    </x:row>
    <x:row r="1229">
      <x:c r="A1229" s="1" t="n">
        <x:v>10502</x:v>
      </x:c>
      <x:c r="B1229" s="5" t="d">
        <x:v>2015-06-03T00:00:00.000Z</x:v>
      </x:c>
      <x:c r="C1229" s="1" t="str">
        <x:v>Standard Class</x:v>
      </x:c>
      <x:c r="D1229" s="1" t="str">
        <x:v>Europe</x:v>
      </x:c>
      <x:c r="E1229" s="1" t="str">
        <x:v>COMPLETE</x:v>
      </x:c>
      <x:c r="F1229" s="1" t="str">
        <x:v>Advance shipping</x:v>
      </x:c>
      <x:c r="G1229" s="6" t="n">
        <x:v>3</x:v>
      </x:c>
      <x:c r="H1229" s="6" t="n">
        <x:v>4</x:v>
      </x:c>
      <x:c r="I1229" s="6" t="n">
        <x:f>G1229-H1229</x:f>
        <x:v>-1</x:v>
      </x:c>
      <x:c r="J1229" s="6" t="n">
        <x:f>IF(OR(E1229="CANCELED",E1229="SUSPECTED_FRAUD",F1229="Shipping canceled"),0,1)</x:f>
        <x:v>1</x:v>
      </x:c>
      <x:c r="K1229" s="6" t="n">
        <x:f>IF(G1229&gt;H1229,1,0)</x:f>
        <x:v>0</x:v>
      </x:c>
      <x:c r="L1229" s="6" t="n">
        <x:f>J1229*K1229</x:f>
        <x:v>0</x:v>
      </x:c>
    </x:row>
    <x:row r="1230">
      <x:c r="A1230" s="1" t="n">
        <x:v>10511</x:v>
      </x:c>
      <x:c r="B1230" s="5" t="d">
        <x:v>2015-06-03T00:00:00.000Z</x:v>
      </x:c>
      <x:c r="C1230" s="1" t="str">
        <x:v>Standard Class</x:v>
      </x:c>
      <x:c r="D1230" s="1" t="str">
        <x:v>Europe</x:v>
      </x:c>
      <x:c r="E1230" s="1" t="str">
        <x:v>ON_HOLD</x:v>
      </x:c>
      <x:c r="F1230" s="1" t="str">
        <x:v>Advance shipping</x:v>
      </x:c>
      <x:c r="G1230" s="6" t="n">
        <x:v>2</x:v>
      </x:c>
      <x:c r="H1230" s="6" t="n">
        <x:v>4</x:v>
      </x:c>
      <x:c r="I1230" s="6" t="n">
        <x:f>G1230-H1230</x:f>
        <x:v>-2</x:v>
      </x:c>
      <x:c r="J1230" s="6" t="n">
        <x:f>IF(OR(E1230="CANCELED",E1230="SUSPECTED_FRAUD",F1230="Shipping canceled"),0,1)</x:f>
        <x:v>1</x:v>
      </x:c>
      <x:c r="K1230" s="6" t="n">
        <x:f>IF(G1230&gt;H1230,1,0)</x:f>
        <x:v>0</x:v>
      </x:c>
      <x:c r="L1230" s="6" t="n">
        <x:f>J1230*K1230</x:f>
        <x:v>0</x:v>
      </x:c>
    </x:row>
    <x:row r="1231">
      <x:c r="A1231" s="1" t="n">
        <x:v>10522</x:v>
      </x:c>
      <x:c r="B1231" s="5" t="d">
        <x:v>2015-06-03T00:00:00.000Z</x:v>
      </x:c>
      <x:c r="C1231" s="1" t="str">
        <x:v>Standard Class</x:v>
      </x:c>
      <x:c r="D1231" s="1" t="str">
        <x:v>Europe</x:v>
      </x:c>
      <x:c r="E1231" s="1" t="str">
        <x:v>COMPLETE</x:v>
      </x:c>
      <x:c r="F1231" s="1" t="str">
        <x:v>Advance shipping</x:v>
      </x:c>
      <x:c r="G1231" s="6" t="n">
        <x:v>3</x:v>
      </x:c>
      <x:c r="H1231" s="6" t="n">
        <x:v>4</x:v>
      </x:c>
      <x:c r="I1231" s="6" t="n">
        <x:f>G1231-H1231</x:f>
        <x:v>-1</x:v>
      </x:c>
      <x:c r="J1231" s="6" t="n">
        <x:f>IF(OR(E1231="CANCELED",E1231="SUSPECTED_FRAUD",F1231="Shipping canceled"),0,1)</x:f>
        <x:v>1</x:v>
      </x:c>
      <x:c r="K1231" s="6" t="n">
        <x:f>IF(G1231&gt;H1231,1,0)</x:f>
        <x:v>0</x:v>
      </x:c>
      <x:c r="L1231" s="6" t="n">
        <x:f>J1231*K1231</x:f>
        <x:v>0</x:v>
      </x:c>
    </x:row>
    <x:row r="1232">
      <x:c r="A1232" s="1" t="n">
        <x:v>10531</x:v>
      </x:c>
      <x:c r="B1232" s="5" t="d">
        <x:v>2015-06-03T00:00:00.000Z</x:v>
      </x:c>
      <x:c r="C1232" s="1" t="str">
        <x:v>Standard Class</x:v>
      </x:c>
      <x:c r="D1232" s="1" t="str">
        <x:v>Europe</x:v>
      </x:c>
      <x:c r="E1232" s="1" t="str">
        <x:v>PENDING_PAYMENT</x:v>
      </x:c>
      <x:c r="F1232" s="1" t="str">
        <x:v>Advance shipping</x:v>
      </x:c>
      <x:c r="G1232" s="6" t="n">
        <x:v>2</x:v>
      </x:c>
      <x:c r="H1232" s="6" t="n">
        <x:v>4</x:v>
      </x:c>
      <x:c r="I1232" s="6" t="n">
        <x:f>G1232-H1232</x:f>
        <x:v>-2</x:v>
      </x:c>
      <x:c r="J1232" s="6" t="n">
        <x:f>IF(OR(E1232="CANCELED",E1232="SUSPECTED_FRAUD",F1232="Shipping canceled"),0,1)</x:f>
        <x:v>1</x:v>
      </x:c>
      <x:c r="K1232" s="6" t="n">
        <x:f>IF(G1232&gt;H1232,1,0)</x:f>
        <x:v>0</x:v>
      </x:c>
      <x:c r="L1232" s="6" t="n">
        <x:f>J1232*K1232</x:f>
        <x:v>0</x:v>
      </x:c>
    </x:row>
    <x:row r="1233">
      <x:c r="A1233" s="1" t="n">
        <x:v>10532</x:v>
      </x:c>
      <x:c r="B1233" s="5" t="d">
        <x:v>2015-06-03T00:00:00.000Z</x:v>
      </x:c>
      <x:c r="C1233" s="1" t="str">
        <x:v>Standard Class</x:v>
      </x:c>
      <x:c r="D1233" s="1" t="str">
        <x:v>Europe</x:v>
      </x:c>
      <x:c r="E1233" s="1" t="str">
        <x:v>PENDING</x:v>
      </x:c>
      <x:c r="F1233" s="1" t="str">
        <x:v>Advance shipping</x:v>
      </x:c>
      <x:c r="G1233" s="6" t="n">
        <x:v>3</x:v>
      </x:c>
      <x:c r="H1233" s="6" t="n">
        <x:v>4</x:v>
      </x:c>
      <x:c r="I1233" s="6" t="n">
        <x:f>G1233-H1233</x:f>
        <x:v>-1</x:v>
      </x:c>
      <x:c r="J1233" s="6" t="n">
        <x:f>IF(OR(E1233="CANCELED",E1233="SUSPECTED_FRAUD",F1233="Shipping canceled"),0,1)</x:f>
        <x:v>1</x:v>
      </x:c>
      <x:c r="K1233" s="6" t="n">
        <x:f>IF(G1233&gt;H1233,1,0)</x:f>
        <x:v>0</x:v>
      </x:c>
      <x:c r="L1233" s="6" t="n">
        <x:f>J1233*K1233</x:f>
        <x:v>0</x:v>
      </x:c>
    </x:row>
    <x:row r="1234">
      <x:c r="A1234" s="1" t="n">
        <x:v>10544</x:v>
      </x:c>
      <x:c r="B1234" s="5" t="d">
        <x:v>2015-06-03T00:00:00.000Z</x:v>
      </x:c>
      <x:c r="C1234" s="1" t="str">
        <x:v>Standard Class</x:v>
      </x:c>
      <x:c r="D1234" s="1" t="str">
        <x:v>Europe</x:v>
      </x:c>
      <x:c r="E1234" s="1" t="str">
        <x:v>COMPLETE</x:v>
      </x:c>
      <x:c r="F1234" s="1" t="str">
        <x:v>Late delivery</x:v>
      </x:c>
      <x:c r="G1234" s="6" t="n">
        <x:v>5</x:v>
      </x:c>
      <x:c r="H1234" s="6" t="n">
        <x:v>4</x:v>
      </x:c>
      <x:c r="I1234" s="6" t="n">
        <x:f>G1234-H1234</x:f>
        <x:v>1</x:v>
      </x:c>
      <x:c r="J1234" s="6" t="n">
        <x:f>IF(OR(E1234="CANCELED",E1234="SUSPECTED_FRAUD",F1234="Shipping canceled"),0,1)</x:f>
        <x:v>1</x:v>
      </x:c>
      <x:c r="K1234" s="6" t="n">
        <x:f>IF(G1234&gt;H1234,1,0)</x:f>
        <x:v>1</x:v>
      </x:c>
      <x:c r="L1234" s="6" t="n">
        <x:f>J1234*K1234</x:f>
        <x:v>1</x:v>
      </x:c>
    </x:row>
    <x:row r="1235">
      <x:c r="A1235" s="1" t="n">
        <x:v>10560</x:v>
      </x:c>
      <x:c r="B1235" s="5" t="d">
        <x:v>2015-06-04T00:00:00.000Z</x:v>
      </x:c>
      <x:c r="C1235" s="1" t="str">
        <x:v>First Class</x:v>
      </x:c>
      <x:c r="D1235" s="1" t="str">
        <x:v>Europe</x:v>
      </x:c>
      <x:c r="E1235" s="1" t="str">
        <x:v>CLOSED</x:v>
      </x:c>
      <x:c r="F1235" s="1" t="str">
        <x:v>Late delivery</x:v>
      </x:c>
      <x:c r="G1235" s="6" t="n">
        <x:v>2</x:v>
      </x:c>
      <x:c r="H1235" s="6" t="n">
        <x:v>1</x:v>
      </x:c>
      <x:c r="I1235" s="6" t="n">
        <x:f>G1235-H1235</x:f>
        <x:v>1</x:v>
      </x:c>
      <x:c r="J1235" s="6" t="n">
        <x:f>IF(OR(E1235="CANCELED",E1235="SUSPECTED_FRAUD",F1235="Shipping canceled"),0,1)</x:f>
        <x:v>1</x:v>
      </x:c>
      <x:c r="K1235" s="6" t="n">
        <x:f>IF(G1235&gt;H1235,1,0)</x:f>
        <x:v>1</x:v>
      </x:c>
      <x:c r="L1235" s="6" t="n">
        <x:f>J1235*K1235</x:f>
        <x:v>1</x:v>
      </x:c>
    </x:row>
    <x:row r="1236">
      <x:c r="A1236" s="1" t="n">
        <x:v>10562</x:v>
      </x:c>
      <x:c r="B1236" s="5" t="d">
        <x:v>2015-06-04T00:00:00.000Z</x:v>
      </x:c>
      <x:c r="C1236" s="1" t="str">
        <x:v>Standard Class</x:v>
      </x:c>
      <x:c r="D1236" s="1" t="str">
        <x:v>Europe</x:v>
      </x:c>
      <x:c r="E1236" s="1" t="str">
        <x:v>SUSPECTED_FRAUD</x:v>
      </x:c>
      <x:c r="F1236" s="1" t="str">
        <x:v>Shipping canceled</x:v>
      </x:c>
      <x:c r="G1236" s="6" t="n">
        <x:v>3</x:v>
      </x:c>
      <x:c r="H1236" s="6" t="n">
        <x:v>4</x:v>
      </x:c>
      <x:c r="I1236" s="6" t="n">
        <x:f>G1236-H1236</x:f>
        <x:v>-1</x:v>
      </x:c>
      <x:c r="J1236" s="6" t="n">
        <x:f>IF(OR(E1236="CANCELED",E1236="SUSPECTED_FRAUD",F1236="Shipping canceled"),0,1)</x:f>
        <x:v>0</x:v>
      </x:c>
      <x:c r="K1236" s="6" t="n">
        <x:f>IF(G1236&gt;H1236,1,0)</x:f>
        <x:v>0</x:v>
      </x:c>
      <x:c r="L1236" s="6" t="n">
        <x:f>J1236*K1236</x:f>
        <x:v>0</x:v>
      </x:c>
    </x:row>
    <x:row r="1237">
      <x:c r="A1237" s="1" t="n">
        <x:v>10569</x:v>
      </x:c>
      <x:c r="B1237" s="5" t="d">
        <x:v>2015-06-04T00:00:00.000Z</x:v>
      </x:c>
      <x:c r="C1237" s="1" t="str">
        <x:v>Second Class</x:v>
      </x:c>
      <x:c r="D1237" s="1" t="str">
        <x:v>Europe</x:v>
      </x:c>
      <x:c r="E1237" s="1" t="str">
        <x:v>COMPLETE</x:v>
      </x:c>
      <x:c r="F1237" s="1" t="str">
        <x:v>Late delivery</x:v>
      </x:c>
      <x:c r="G1237" s="6" t="n">
        <x:v>5</x:v>
      </x:c>
      <x:c r="H1237" s="6" t="n">
        <x:v>2</x:v>
      </x:c>
      <x:c r="I1237" s="6" t="n">
        <x:f>G1237-H1237</x:f>
        <x:v>3</x:v>
      </x:c>
      <x:c r="J1237" s="6" t="n">
        <x:f>IF(OR(E1237="CANCELED",E1237="SUSPECTED_FRAUD",F1237="Shipping canceled"),0,1)</x:f>
        <x:v>1</x:v>
      </x:c>
      <x:c r="K1237" s="6" t="n">
        <x:f>IF(G1237&gt;H1237,1,0)</x:f>
        <x:v>1</x:v>
      </x:c>
      <x:c r="L1237" s="6" t="n">
        <x:f>J1237*K1237</x:f>
        <x:v>1</x:v>
      </x:c>
    </x:row>
    <x:row r="1238">
      <x:c r="A1238" s="1" t="n">
        <x:v>10577</x:v>
      </x:c>
      <x:c r="B1238" s="5" t="d">
        <x:v>2015-06-04T00:00:00.000Z</x:v>
      </x:c>
      <x:c r="C1238" s="1" t="str">
        <x:v>Second Class</x:v>
      </x:c>
      <x:c r="D1238" s="1" t="str">
        <x:v>Europe</x:v>
      </x:c>
      <x:c r="E1238" s="1" t="str">
        <x:v>PENDING</x:v>
      </x:c>
      <x:c r="F1238" s="1" t="str">
        <x:v>Late delivery</x:v>
      </x:c>
      <x:c r="G1238" s="6" t="n">
        <x:v>3</x:v>
      </x:c>
      <x:c r="H1238" s="6" t="n">
        <x:v>2</x:v>
      </x:c>
      <x:c r="I1238" s="6" t="n">
        <x:f>G1238-H1238</x:f>
        <x:v>1</x:v>
      </x:c>
      <x:c r="J1238" s="6" t="n">
        <x:f>IF(OR(E1238="CANCELED",E1238="SUSPECTED_FRAUD",F1238="Shipping canceled"),0,1)</x:f>
        <x:v>1</x:v>
      </x:c>
      <x:c r="K1238" s="6" t="n">
        <x:f>IF(G1238&gt;H1238,1,0)</x:f>
        <x:v>1</x:v>
      </x:c>
      <x:c r="L1238" s="6" t="n">
        <x:f>J1238*K1238</x:f>
        <x:v>1</x:v>
      </x:c>
    </x:row>
    <x:row r="1239">
      <x:c r="A1239" s="1" t="n">
        <x:v>10580</x:v>
      </x:c>
      <x:c r="B1239" s="5" t="d">
        <x:v>2015-06-04T00:00:00.000Z</x:v>
      </x:c>
      <x:c r="C1239" s="1" t="str">
        <x:v>Second Class</x:v>
      </x:c>
      <x:c r="D1239" s="1" t="str">
        <x:v>Europe</x:v>
      </x:c>
      <x:c r="E1239" s="1" t="str">
        <x:v>COMPLETE</x:v>
      </x:c>
      <x:c r="F1239" s="1" t="str">
        <x:v>Late delivery</x:v>
      </x:c>
      <x:c r="G1239" s="6" t="n">
        <x:v>6</x:v>
      </x:c>
      <x:c r="H1239" s="6" t="n">
        <x:v>2</x:v>
      </x:c>
      <x:c r="I1239" s="6" t="n">
        <x:f>G1239-H1239</x:f>
        <x:v>4</x:v>
      </x:c>
      <x:c r="J1239" s="6" t="n">
        <x:f>IF(OR(E1239="CANCELED",E1239="SUSPECTED_FRAUD",F1239="Shipping canceled"),0,1)</x:f>
        <x:v>1</x:v>
      </x:c>
      <x:c r="K1239" s="6" t="n">
        <x:f>IF(G1239&gt;H1239,1,0)</x:f>
        <x:v>1</x:v>
      </x:c>
      <x:c r="L1239" s="6" t="n">
        <x:f>J1239*K1239</x:f>
        <x:v>1</x:v>
      </x:c>
    </x:row>
    <x:row r="1240">
      <x:c r="A1240" s="1" t="n">
        <x:v>10584</x:v>
      </x:c>
      <x:c r="B1240" s="5" t="d">
        <x:v>2015-06-04T00:00:00.000Z</x:v>
      </x:c>
      <x:c r="C1240" s="1" t="str">
        <x:v>Standard Class</x:v>
      </x:c>
      <x:c r="D1240" s="1" t="str">
        <x:v>Europe</x:v>
      </x:c>
      <x:c r="E1240" s="1" t="str">
        <x:v>COMPLETE</x:v>
      </x:c>
      <x:c r="F1240" s="1" t="str">
        <x:v>Late delivery</x:v>
      </x:c>
      <x:c r="G1240" s="6" t="n">
        <x:v>5</x:v>
      </x:c>
      <x:c r="H1240" s="6" t="n">
        <x:v>4</x:v>
      </x:c>
      <x:c r="I1240" s="6" t="n">
        <x:f>G1240-H1240</x:f>
        <x:v>1</x:v>
      </x:c>
      <x:c r="J1240" s="6" t="n">
        <x:f>IF(OR(E1240="CANCELED",E1240="SUSPECTED_FRAUD",F1240="Shipping canceled"),0,1)</x:f>
        <x:v>1</x:v>
      </x:c>
      <x:c r="K1240" s="6" t="n">
        <x:f>IF(G1240&gt;H1240,1,0)</x:f>
        <x:v>1</x:v>
      </x:c>
      <x:c r="L1240" s="6" t="n">
        <x:f>J1240*K1240</x:f>
        <x:v>1</x:v>
      </x:c>
    </x:row>
    <x:row r="1241">
      <x:c r="A1241" s="1" t="n">
        <x:v>10586</x:v>
      </x:c>
      <x:c r="B1241" s="5" t="d">
        <x:v>2015-06-04T00:00:00.000Z</x:v>
      </x:c>
      <x:c r="C1241" s="1" t="str">
        <x:v>Standard Class</x:v>
      </x:c>
      <x:c r="D1241" s="1" t="str">
        <x:v>Europe</x:v>
      </x:c>
      <x:c r="E1241" s="1" t="str">
        <x:v>COMPLETE</x:v>
      </x:c>
      <x:c r="F1241" s="1" t="str">
        <x:v>Advance shipping</x:v>
      </x:c>
      <x:c r="G1241" s="6" t="n">
        <x:v>2</x:v>
      </x:c>
      <x:c r="H1241" s="6" t="n">
        <x:v>4</x:v>
      </x:c>
      <x:c r="I1241" s="6" t="n">
        <x:f>G1241-H1241</x:f>
        <x:v>-2</x:v>
      </x:c>
      <x:c r="J1241" s="6" t="n">
        <x:f>IF(OR(E1241="CANCELED",E1241="SUSPECTED_FRAUD",F1241="Shipping canceled"),0,1)</x:f>
        <x:v>1</x:v>
      </x:c>
      <x:c r="K1241" s="6" t="n">
        <x:f>IF(G1241&gt;H1241,1,0)</x:f>
        <x:v>0</x:v>
      </x:c>
      <x:c r="L1241" s="6" t="n">
        <x:f>J1241*K1241</x:f>
        <x:v>0</x:v>
      </x:c>
    </x:row>
    <x:row r="1242">
      <x:c r="A1242" s="1" t="n">
        <x:v>10589</x:v>
      </x:c>
      <x:c r="B1242" s="5" t="d">
        <x:v>2015-06-04T00:00:00.000Z</x:v>
      </x:c>
      <x:c r="C1242" s="1" t="str">
        <x:v>Standard Class</x:v>
      </x:c>
      <x:c r="D1242" s="1" t="str">
        <x:v>Europe</x:v>
      </x:c>
      <x:c r="E1242" s="1" t="str">
        <x:v>PROCESSING</x:v>
      </x:c>
      <x:c r="F1242" s="1" t="str">
        <x:v>Late delivery</x:v>
      </x:c>
      <x:c r="G1242" s="6" t="n">
        <x:v>5</x:v>
      </x:c>
      <x:c r="H1242" s="6" t="n">
        <x:v>4</x:v>
      </x:c>
      <x:c r="I1242" s="6" t="n">
        <x:f>G1242-H1242</x:f>
        <x:v>1</x:v>
      </x:c>
      <x:c r="J1242" s="6" t="n">
        <x:f>IF(OR(E1242="CANCELED",E1242="SUSPECTED_FRAUD",F1242="Shipping canceled"),0,1)</x:f>
        <x:v>1</x:v>
      </x:c>
      <x:c r="K1242" s="6" t="n">
        <x:f>IF(G1242&gt;H1242,1,0)</x:f>
        <x:v>1</x:v>
      </x:c>
      <x:c r="L1242" s="6" t="n">
        <x:f>J1242*K1242</x:f>
        <x:v>1</x:v>
      </x:c>
    </x:row>
    <x:row r="1243">
      <x:c r="A1243" s="1" t="n">
        <x:v>10595</x:v>
      </x:c>
      <x:c r="B1243" s="5" t="d">
        <x:v>2015-06-04T00:00:00.000Z</x:v>
      </x:c>
      <x:c r="C1243" s="1" t="str">
        <x:v>Standard Class</x:v>
      </x:c>
      <x:c r="D1243" s="1" t="str">
        <x:v>Europe</x:v>
      </x:c>
      <x:c r="E1243" s="1" t="str">
        <x:v>PENDING_PAYMENT</x:v>
      </x:c>
      <x:c r="F1243" s="1" t="str">
        <x:v>Late delivery</x:v>
      </x:c>
      <x:c r="G1243" s="6" t="n">
        <x:v>6</x:v>
      </x:c>
      <x:c r="H1243" s="6" t="n">
        <x:v>4</x:v>
      </x:c>
      <x:c r="I1243" s="6" t="n">
        <x:f>G1243-H1243</x:f>
        <x:v>2</x:v>
      </x:c>
      <x:c r="J1243" s="6" t="n">
        <x:f>IF(OR(E1243="CANCELED",E1243="SUSPECTED_FRAUD",F1243="Shipping canceled"),0,1)</x:f>
        <x:v>1</x:v>
      </x:c>
      <x:c r="K1243" s="6" t="n">
        <x:f>IF(G1243&gt;H1243,1,0)</x:f>
        <x:v>1</x:v>
      </x:c>
      <x:c r="L1243" s="6" t="n">
        <x:f>J1243*K1243</x:f>
        <x:v>1</x:v>
      </x:c>
    </x:row>
    <x:row r="1244">
      <x:c r="A1244" s="1" t="n">
        <x:v>10598</x:v>
      </x:c>
      <x:c r="B1244" s="5" t="d">
        <x:v>2015-06-04T00:00:00.000Z</x:v>
      </x:c>
      <x:c r="C1244" s="1" t="str">
        <x:v>Standard Class</x:v>
      </x:c>
      <x:c r="D1244" s="1" t="str">
        <x:v>Europe</x:v>
      </x:c>
      <x:c r="E1244" s="1" t="str">
        <x:v>CLOSED</x:v>
      </x:c>
      <x:c r="F1244" s="1" t="str">
        <x:v>Shipping on time</x:v>
      </x:c>
      <x:c r="G1244" s="6" t="n">
        <x:v>4</x:v>
      </x:c>
      <x:c r="H1244" s="6" t="n">
        <x:v>4</x:v>
      </x:c>
      <x:c r="I1244" s="6" t="n">
        <x:f>G1244-H1244</x:f>
        <x:v>0</x:v>
      </x:c>
      <x:c r="J1244" s="6" t="n">
        <x:f>IF(OR(E1244="CANCELED",E1244="SUSPECTED_FRAUD",F1244="Shipping canceled"),0,1)</x:f>
        <x:v>1</x:v>
      </x:c>
      <x:c r="K1244" s="6" t="n">
        <x:f>IF(G1244&gt;H1244,1,0)</x:f>
        <x:v>0</x:v>
      </x:c>
      <x:c r="L1244" s="6" t="n">
        <x:f>J1244*K1244</x:f>
        <x:v>0</x:v>
      </x:c>
    </x:row>
    <x:row r="1245">
      <x:c r="A1245" s="1" t="n">
        <x:v>10614</x:v>
      </x:c>
      <x:c r="B1245" s="5" t="d">
        <x:v>2015-06-04T00:00:00.000Z</x:v>
      </x:c>
      <x:c r="C1245" s="1" t="str">
        <x:v>Standard Class</x:v>
      </x:c>
      <x:c r="D1245" s="1" t="str">
        <x:v>Europe</x:v>
      </x:c>
      <x:c r="E1245" s="1" t="str">
        <x:v>COMPLETE</x:v>
      </x:c>
      <x:c r="F1245" s="1" t="str">
        <x:v>Late delivery</x:v>
      </x:c>
      <x:c r="G1245" s="6" t="n">
        <x:v>5</x:v>
      </x:c>
      <x:c r="H1245" s="6" t="n">
        <x:v>4</x:v>
      </x:c>
      <x:c r="I1245" s="6" t="n">
        <x:f>G1245-H1245</x:f>
        <x:v>1</x:v>
      </x:c>
      <x:c r="J1245" s="6" t="n">
        <x:f>IF(OR(E1245="CANCELED",E1245="SUSPECTED_FRAUD",F1245="Shipping canceled"),0,1)</x:f>
        <x:v>1</x:v>
      </x:c>
      <x:c r="K1245" s="6" t="n">
        <x:f>IF(G1245&gt;H1245,1,0)</x:f>
        <x:v>1</x:v>
      </x:c>
      <x:c r="L1245" s="6" t="n">
        <x:f>J1245*K1245</x:f>
        <x:v>1</x:v>
      </x:c>
    </x:row>
    <x:row r="1246">
      <x:c r="A1246" s="1" t="n">
        <x:v>10629</x:v>
      </x:c>
      <x:c r="B1246" s="5" t="d">
        <x:v>2015-06-05T00:00:00.000Z</x:v>
      </x:c>
      <x:c r="C1246" s="1" t="str">
        <x:v>Standard Class</x:v>
      </x:c>
      <x:c r="D1246" s="1" t="str">
        <x:v>Europe</x:v>
      </x:c>
      <x:c r="E1246" s="1" t="str">
        <x:v>PROCESSING</x:v>
      </x:c>
      <x:c r="F1246" s="1" t="str">
        <x:v>Late delivery</x:v>
      </x:c>
      <x:c r="G1246" s="6" t="n">
        <x:v>5</x:v>
      </x:c>
      <x:c r="H1246" s="6" t="n">
        <x:v>4</x:v>
      </x:c>
      <x:c r="I1246" s="6" t="n">
        <x:f>G1246-H1246</x:f>
        <x:v>1</x:v>
      </x:c>
      <x:c r="J1246" s="6" t="n">
        <x:f>IF(OR(E1246="CANCELED",E1246="SUSPECTED_FRAUD",F1246="Shipping canceled"),0,1)</x:f>
        <x:v>1</x:v>
      </x:c>
      <x:c r="K1246" s="6" t="n">
        <x:f>IF(G1246&gt;H1246,1,0)</x:f>
        <x:v>1</x:v>
      </x:c>
      <x:c r="L1246" s="6" t="n">
        <x:f>J1246*K1246</x:f>
        <x:v>1</x:v>
      </x:c>
    </x:row>
    <x:row r="1247">
      <x:c r="A1247" s="1" t="n">
        <x:v>10634</x:v>
      </x:c>
      <x:c r="B1247" s="5" t="d">
        <x:v>2015-06-05T00:00:00.000Z</x:v>
      </x:c>
      <x:c r="C1247" s="1" t="str">
        <x:v>Standard Class</x:v>
      </x:c>
      <x:c r="D1247" s="1" t="str">
        <x:v>Europe</x:v>
      </x:c>
      <x:c r="E1247" s="1" t="str">
        <x:v>ON_HOLD</x:v>
      </x:c>
      <x:c r="F1247" s="1" t="str">
        <x:v>Late delivery</x:v>
      </x:c>
      <x:c r="G1247" s="6" t="n">
        <x:v>5</x:v>
      </x:c>
      <x:c r="H1247" s="6" t="n">
        <x:v>4</x:v>
      </x:c>
      <x:c r="I1247" s="6" t="n">
        <x:f>G1247-H1247</x:f>
        <x:v>1</x:v>
      </x:c>
      <x:c r="J1247" s="6" t="n">
        <x:f>IF(OR(E1247="CANCELED",E1247="SUSPECTED_FRAUD",F1247="Shipping canceled"),0,1)</x:f>
        <x:v>1</x:v>
      </x:c>
      <x:c r="K1247" s="6" t="n">
        <x:f>IF(G1247&gt;H1247,1,0)</x:f>
        <x:v>1</x:v>
      </x:c>
      <x:c r="L1247" s="6" t="n">
        <x:f>J1247*K1247</x:f>
        <x:v>1</x:v>
      </x:c>
    </x:row>
    <x:row r="1248">
      <x:c r="A1248" s="1" t="n">
        <x:v>10643</x:v>
      </x:c>
      <x:c r="B1248" s="5" t="d">
        <x:v>2015-06-05T00:00:00.000Z</x:v>
      </x:c>
      <x:c r="C1248" s="1" t="str">
        <x:v>First Class</x:v>
      </x:c>
      <x:c r="D1248" s="1" t="str">
        <x:v>Europe</x:v>
      </x:c>
      <x:c r="E1248" s="1" t="str">
        <x:v>PENDING_PAYMENT</x:v>
      </x:c>
      <x:c r="F1248" s="1" t="str">
        <x:v>Late delivery</x:v>
      </x:c>
      <x:c r="G1248" s="6" t="n">
        <x:v>2</x:v>
      </x:c>
      <x:c r="H1248" s="6" t="n">
        <x:v>1</x:v>
      </x:c>
      <x:c r="I1248" s="6" t="n">
        <x:f>G1248-H1248</x:f>
        <x:v>1</x:v>
      </x:c>
      <x:c r="J1248" s="6" t="n">
        <x:f>IF(OR(E1248="CANCELED",E1248="SUSPECTED_FRAUD",F1248="Shipping canceled"),0,1)</x:f>
        <x:v>1</x:v>
      </x:c>
      <x:c r="K1248" s="6" t="n">
        <x:f>IF(G1248&gt;H1248,1,0)</x:f>
        <x:v>1</x:v>
      </x:c>
      <x:c r="L1248" s="6" t="n">
        <x:f>J1248*K1248</x:f>
        <x:v>1</x:v>
      </x:c>
    </x:row>
    <x:row r="1249">
      <x:c r="A1249" s="1" t="n">
        <x:v>10658</x:v>
      </x:c>
      <x:c r="B1249" s="5" t="d">
        <x:v>2015-06-05T00:00:00.000Z</x:v>
      </x:c>
      <x:c r="C1249" s="1" t="str">
        <x:v>Standard Class</x:v>
      </x:c>
      <x:c r="D1249" s="1" t="str">
        <x:v>Europe</x:v>
      </x:c>
      <x:c r="E1249" s="1" t="str">
        <x:v>COMPLETE</x:v>
      </x:c>
      <x:c r="F1249" s="1" t="str">
        <x:v>Shipping on time</x:v>
      </x:c>
      <x:c r="G1249" s="6" t="n">
        <x:v>4</x:v>
      </x:c>
      <x:c r="H1249" s="6" t="n">
        <x:v>4</x:v>
      </x:c>
      <x:c r="I1249" s="6" t="n">
        <x:f>G1249-H1249</x:f>
        <x:v>0</x:v>
      </x:c>
      <x:c r="J1249" s="6" t="n">
        <x:f>IF(OR(E1249="CANCELED",E1249="SUSPECTED_FRAUD",F1249="Shipping canceled"),0,1)</x:f>
        <x:v>1</x:v>
      </x:c>
      <x:c r="K1249" s="6" t="n">
        <x:f>IF(G1249&gt;H1249,1,0)</x:f>
        <x:v>0</x:v>
      </x:c>
      <x:c r="L1249" s="6" t="n">
        <x:f>J1249*K1249</x:f>
        <x:v>0</x:v>
      </x:c>
    </x:row>
    <x:row r="1250">
      <x:c r="A1250" s="1" t="n">
        <x:v>10667</x:v>
      </x:c>
      <x:c r="B1250" s="5" t="d">
        <x:v>2015-06-05T00:00:00.000Z</x:v>
      </x:c>
      <x:c r="C1250" s="1" t="str">
        <x:v>Standard Class</x:v>
      </x:c>
      <x:c r="D1250" s="1" t="str">
        <x:v>Europe</x:v>
      </x:c>
      <x:c r="E1250" s="1" t="str">
        <x:v>COMPLETE</x:v>
      </x:c>
      <x:c r="F1250" s="1" t="str">
        <x:v>Advance shipping</x:v>
      </x:c>
      <x:c r="G1250" s="6" t="n">
        <x:v>3</x:v>
      </x:c>
      <x:c r="H1250" s="6" t="n">
        <x:v>4</x:v>
      </x:c>
      <x:c r="I1250" s="6" t="n">
        <x:f>G1250-H1250</x:f>
        <x:v>-1</x:v>
      </x:c>
      <x:c r="J1250" s="6" t="n">
        <x:f>IF(OR(E1250="CANCELED",E1250="SUSPECTED_FRAUD",F1250="Shipping canceled"),0,1)</x:f>
        <x:v>1</x:v>
      </x:c>
      <x:c r="K1250" s="6" t="n">
        <x:f>IF(G1250&gt;H1250,1,0)</x:f>
        <x:v>0</x:v>
      </x:c>
      <x:c r="L1250" s="6" t="n">
        <x:f>J1250*K1250</x:f>
        <x:v>0</x:v>
      </x:c>
    </x:row>
    <x:row r="1251">
      <x:c r="A1251" s="1" t="n">
        <x:v>10676</x:v>
      </x:c>
      <x:c r="B1251" s="5" t="d">
        <x:v>2015-06-05T00:00:00.000Z</x:v>
      </x:c>
      <x:c r="C1251" s="1" t="str">
        <x:v>Standard Class</x:v>
      </x:c>
      <x:c r="D1251" s="1" t="str">
        <x:v>Europe</x:v>
      </x:c>
      <x:c r="E1251" s="1" t="str">
        <x:v>PENDING</x:v>
      </x:c>
      <x:c r="F1251" s="1" t="str">
        <x:v>Advance shipping</x:v>
      </x:c>
      <x:c r="G1251" s="6" t="n">
        <x:v>2</x:v>
      </x:c>
      <x:c r="H1251" s="6" t="n">
        <x:v>4</x:v>
      </x:c>
      <x:c r="I1251" s="6" t="n">
        <x:f>G1251-H1251</x:f>
        <x:v>-2</x:v>
      </x:c>
      <x:c r="J1251" s="6" t="n">
        <x:f>IF(OR(E1251="CANCELED",E1251="SUSPECTED_FRAUD",F1251="Shipping canceled"),0,1)</x:f>
        <x:v>1</x:v>
      </x:c>
      <x:c r="K1251" s="6" t="n">
        <x:f>IF(G1251&gt;H1251,1,0)</x:f>
        <x:v>0</x:v>
      </x:c>
      <x:c r="L1251" s="6" t="n">
        <x:f>J1251*K1251</x:f>
        <x:v>0</x:v>
      </x:c>
    </x:row>
    <x:row r="1252">
      <x:c r="A1252" s="1" t="n">
        <x:v>10691</x:v>
      </x:c>
      <x:c r="B1252" s="5" t="d">
        <x:v>2015-06-06T00:00:00.000Z</x:v>
      </x:c>
      <x:c r="C1252" s="1" t="str">
        <x:v>Standard Class</x:v>
      </x:c>
      <x:c r="D1252" s="1" t="str">
        <x:v>Europe</x:v>
      </x:c>
      <x:c r="E1252" s="1" t="str">
        <x:v>COMPLETE</x:v>
      </x:c>
      <x:c r="F1252" s="1" t="str">
        <x:v>Advance shipping</x:v>
      </x:c>
      <x:c r="G1252" s="6" t="n">
        <x:v>2</x:v>
      </x:c>
      <x:c r="H1252" s="6" t="n">
        <x:v>4</x:v>
      </x:c>
      <x:c r="I1252" s="6" t="n">
        <x:f>G1252-H1252</x:f>
        <x:v>-2</x:v>
      </x:c>
      <x:c r="J1252" s="6" t="n">
        <x:f>IF(OR(E1252="CANCELED",E1252="SUSPECTED_FRAUD",F1252="Shipping canceled"),0,1)</x:f>
        <x:v>1</x:v>
      </x:c>
      <x:c r="K1252" s="6" t="n">
        <x:f>IF(G1252&gt;H1252,1,0)</x:f>
        <x:v>0</x:v>
      </x:c>
      <x:c r="L1252" s="6" t="n">
        <x:f>J1252*K1252</x:f>
        <x:v>0</x:v>
      </x:c>
    </x:row>
    <x:row r="1253">
      <x:c r="A1253" s="1" t="n">
        <x:v>10693</x:v>
      </x:c>
      <x:c r="B1253" s="5" t="d">
        <x:v>2015-06-06T00:00:00.000Z</x:v>
      </x:c>
      <x:c r="C1253" s="1" t="str">
        <x:v>Standard Class</x:v>
      </x:c>
      <x:c r="D1253" s="1" t="str">
        <x:v>Europe</x:v>
      </x:c>
      <x:c r="E1253" s="1" t="str">
        <x:v>PROCESSING</x:v>
      </x:c>
      <x:c r="F1253" s="1" t="str">
        <x:v>Shipping on time</x:v>
      </x:c>
      <x:c r="G1253" s="6" t="n">
        <x:v>4</x:v>
      </x:c>
      <x:c r="H1253" s="6" t="n">
        <x:v>4</x:v>
      </x:c>
      <x:c r="I1253" s="6" t="n">
        <x:f>G1253-H1253</x:f>
        <x:v>0</x:v>
      </x:c>
      <x:c r="J1253" s="6" t="n">
        <x:f>IF(OR(E1253="CANCELED",E1253="SUSPECTED_FRAUD",F1253="Shipping canceled"),0,1)</x:f>
        <x:v>1</x:v>
      </x:c>
      <x:c r="K1253" s="6" t="n">
        <x:f>IF(G1253&gt;H1253,1,0)</x:f>
        <x:v>0</x:v>
      </x:c>
      <x:c r="L1253" s="6" t="n">
        <x:f>J1253*K1253</x:f>
        <x:v>0</x:v>
      </x:c>
    </x:row>
    <x:row r="1254">
      <x:c r="A1254" s="1" t="n">
        <x:v>10697</x:v>
      </x:c>
      <x:c r="B1254" s="5" t="d">
        <x:v>2015-06-06T00:00:00.000Z</x:v>
      </x:c>
      <x:c r="C1254" s="1" t="str">
        <x:v>Standard Class</x:v>
      </x:c>
      <x:c r="D1254" s="1" t="str">
        <x:v>Europe</x:v>
      </x:c>
      <x:c r="E1254" s="1" t="str">
        <x:v>COMPLETE</x:v>
      </x:c>
      <x:c r="F1254" s="1" t="str">
        <x:v>Advance shipping</x:v>
      </x:c>
      <x:c r="G1254" s="6" t="n">
        <x:v>3</x:v>
      </x:c>
      <x:c r="H1254" s="6" t="n">
        <x:v>4</x:v>
      </x:c>
      <x:c r="I1254" s="6" t="n">
        <x:f>G1254-H1254</x:f>
        <x:v>-1</x:v>
      </x:c>
      <x:c r="J1254" s="6" t="n">
        <x:f>IF(OR(E1254="CANCELED",E1254="SUSPECTED_FRAUD",F1254="Shipping canceled"),0,1)</x:f>
        <x:v>1</x:v>
      </x:c>
      <x:c r="K1254" s="6" t="n">
        <x:f>IF(G1254&gt;H1254,1,0)</x:f>
        <x:v>0</x:v>
      </x:c>
      <x:c r="L1254" s="6" t="n">
        <x:f>J1254*K1254</x:f>
        <x:v>0</x:v>
      </x:c>
    </x:row>
    <x:row r="1255">
      <x:c r="A1255" s="1" t="n">
        <x:v>10707</x:v>
      </x:c>
      <x:c r="B1255" s="5" t="d">
        <x:v>2015-06-06T00:00:00.000Z</x:v>
      </x:c>
      <x:c r="C1255" s="1" t="str">
        <x:v>Standard Class</x:v>
      </x:c>
      <x:c r="D1255" s="1" t="str">
        <x:v>Europe</x:v>
      </x:c>
      <x:c r="E1255" s="1" t="str">
        <x:v>PENDING_PAYMENT</x:v>
      </x:c>
      <x:c r="F1255" s="1" t="str">
        <x:v>Advance shipping</x:v>
      </x:c>
      <x:c r="G1255" s="6" t="n">
        <x:v>3</x:v>
      </x:c>
      <x:c r="H1255" s="6" t="n">
        <x:v>4</x:v>
      </x:c>
      <x:c r="I1255" s="6" t="n">
        <x:f>G1255-H1255</x:f>
        <x:v>-1</x:v>
      </x:c>
      <x:c r="J1255" s="6" t="n">
        <x:f>IF(OR(E1255="CANCELED",E1255="SUSPECTED_FRAUD",F1255="Shipping canceled"),0,1)</x:f>
        <x:v>1</x:v>
      </x:c>
      <x:c r="K1255" s="6" t="n">
        <x:f>IF(G1255&gt;H1255,1,0)</x:f>
        <x:v>0</x:v>
      </x:c>
      <x:c r="L1255" s="6" t="n">
        <x:f>J1255*K1255</x:f>
        <x:v>0</x:v>
      </x:c>
    </x:row>
    <x:row r="1256">
      <x:c r="A1256" s="1" t="n">
        <x:v>10718</x:v>
      </x:c>
      <x:c r="B1256" s="5" t="d">
        <x:v>2015-06-06T00:00:00.000Z</x:v>
      </x:c>
      <x:c r="C1256" s="1" t="str">
        <x:v>Standard Class</x:v>
      </x:c>
      <x:c r="D1256" s="1" t="str">
        <x:v>Europe</x:v>
      </x:c>
      <x:c r="E1256" s="1" t="str">
        <x:v>COMPLETE</x:v>
      </x:c>
      <x:c r="F1256" s="1" t="str">
        <x:v>Shipping on time</x:v>
      </x:c>
      <x:c r="G1256" s="6" t="n">
        <x:v>4</x:v>
      </x:c>
      <x:c r="H1256" s="6" t="n">
        <x:v>4</x:v>
      </x:c>
      <x:c r="I1256" s="6" t="n">
        <x:f>G1256-H1256</x:f>
        <x:v>0</x:v>
      </x:c>
      <x:c r="J1256" s="6" t="n">
        <x:f>IF(OR(E1256="CANCELED",E1256="SUSPECTED_FRAUD",F1256="Shipping canceled"),0,1)</x:f>
        <x:v>1</x:v>
      </x:c>
      <x:c r="K1256" s="6" t="n">
        <x:f>IF(G1256&gt;H1256,1,0)</x:f>
        <x:v>0</x:v>
      </x:c>
      <x:c r="L1256" s="6" t="n">
        <x:f>J1256*K1256</x:f>
        <x:v>0</x:v>
      </x:c>
    </x:row>
    <x:row r="1257">
      <x:c r="A1257" s="1" t="n">
        <x:v>10722</x:v>
      </x:c>
      <x:c r="B1257" s="5" t="d">
        <x:v>2015-06-06T00:00:00.000Z</x:v>
      </x:c>
      <x:c r="C1257" s="1" t="str">
        <x:v>Standard Class</x:v>
      </x:c>
      <x:c r="D1257" s="1" t="str">
        <x:v>Europe</x:v>
      </x:c>
      <x:c r="E1257" s="1" t="str">
        <x:v>COMPLETE</x:v>
      </x:c>
      <x:c r="F1257" s="1" t="str">
        <x:v>Advance shipping</x:v>
      </x:c>
      <x:c r="G1257" s="6" t="n">
        <x:v>3</x:v>
      </x:c>
      <x:c r="H1257" s="6" t="n">
        <x:v>4</x:v>
      </x:c>
      <x:c r="I1257" s="6" t="n">
        <x:f>G1257-H1257</x:f>
        <x:v>-1</x:v>
      </x:c>
      <x:c r="J1257" s="6" t="n">
        <x:f>IF(OR(E1257="CANCELED",E1257="SUSPECTED_FRAUD",F1257="Shipping canceled"),0,1)</x:f>
        <x:v>1</x:v>
      </x:c>
      <x:c r="K1257" s="6" t="n">
        <x:f>IF(G1257&gt;H1257,1,0)</x:f>
        <x:v>0</x:v>
      </x:c>
      <x:c r="L1257" s="6" t="n">
        <x:f>J1257*K1257</x:f>
        <x:v>0</x:v>
      </x:c>
    </x:row>
    <x:row r="1258">
      <x:c r="A1258" s="1" t="n">
        <x:v>10730</x:v>
      </x:c>
      <x:c r="B1258" s="5" t="d">
        <x:v>2015-06-06T00:00:00.000Z</x:v>
      </x:c>
      <x:c r="C1258" s="1" t="str">
        <x:v>Standard Class</x:v>
      </x:c>
      <x:c r="D1258" s="1" t="str">
        <x:v>Europe</x:v>
      </x:c>
      <x:c r="E1258" s="1" t="str">
        <x:v>COMPLETE</x:v>
      </x:c>
      <x:c r="F1258" s="1" t="str">
        <x:v>Late delivery</x:v>
      </x:c>
      <x:c r="G1258" s="6" t="n">
        <x:v>6</x:v>
      </x:c>
      <x:c r="H1258" s="6" t="n">
        <x:v>4</x:v>
      </x:c>
      <x:c r="I1258" s="6" t="n">
        <x:f>G1258-H1258</x:f>
        <x:v>2</x:v>
      </x:c>
      <x:c r="J1258" s="6" t="n">
        <x:f>IF(OR(E1258="CANCELED",E1258="SUSPECTED_FRAUD",F1258="Shipping canceled"),0,1)</x:f>
        <x:v>1</x:v>
      </x:c>
      <x:c r="K1258" s="6" t="n">
        <x:f>IF(G1258&gt;H1258,1,0)</x:f>
        <x:v>1</x:v>
      </x:c>
      <x:c r="L1258" s="6" t="n">
        <x:f>J1258*K1258</x:f>
        <x:v>1</x:v>
      </x:c>
    </x:row>
    <x:row r="1259">
      <x:c r="A1259" s="1" t="n">
        <x:v>10736</x:v>
      </x:c>
      <x:c r="B1259" s="5" t="d">
        <x:v>2015-06-06T00:00:00.000Z</x:v>
      </x:c>
      <x:c r="C1259" s="1" t="str">
        <x:v>Standard Class</x:v>
      </x:c>
      <x:c r="D1259" s="1" t="str">
        <x:v>Europe</x:v>
      </x:c>
      <x:c r="E1259" s="1" t="str">
        <x:v>PROCESSING</x:v>
      </x:c>
      <x:c r="F1259" s="1" t="str">
        <x:v>Advance shipping</x:v>
      </x:c>
      <x:c r="G1259" s="6" t="n">
        <x:v>2</x:v>
      </x:c>
      <x:c r="H1259" s="6" t="n">
        <x:v>4</x:v>
      </x:c>
      <x:c r="I1259" s="6" t="n">
        <x:f>G1259-H1259</x:f>
        <x:v>-2</x:v>
      </x:c>
      <x:c r="J1259" s="6" t="n">
        <x:f>IF(OR(E1259="CANCELED",E1259="SUSPECTED_FRAUD",F1259="Shipping canceled"),0,1)</x:f>
        <x:v>1</x:v>
      </x:c>
      <x:c r="K1259" s="6" t="n">
        <x:f>IF(G1259&gt;H1259,1,0)</x:f>
        <x:v>0</x:v>
      </x:c>
      <x:c r="L1259" s="6" t="n">
        <x:f>J1259*K1259</x:f>
        <x:v>0</x:v>
      </x:c>
    </x:row>
    <x:row r="1260">
      <x:c r="A1260" s="1" t="n">
        <x:v>10739</x:v>
      </x:c>
      <x:c r="B1260" s="5" t="d">
        <x:v>2015-06-06T00:00:00.000Z</x:v>
      </x:c>
      <x:c r="C1260" s="1" t="str">
        <x:v>Standard Class</x:v>
      </x:c>
      <x:c r="D1260" s="1" t="str">
        <x:v>Europe</x:v>
      </x:c>
      <x:c r="E1260" s="1" t="str">
        <x:v>COMPLETE</x:v>
      </x:c>
      <x:c r="F1260" s="1" t="str">
        <x:v>Late delivery</x:v>
      </x:c>
      <x:c r="G1260" s="6" t="n">
        <x:v>5</x:v>
      </x:c>
      <x:c r="H1260" s="6" t="n">
        <x:v>4</x:v>
      </x:c>
      <x:c r="I1260" s="6" t="n">
        <x:f>G1260-H1260</x:f>
        <x:v>1</x:v>
      </x:c>
      <x:c r="J1260" s="6" t="n">
        <x:f>IF(OR(E1260="CANCELED",E1260="SUSPECTED_FRAUD",F1260="Shipping canceled"),0,1)</x:f>
        <x:v>1</x:v>
      </x:c>
      <x:c r="K1260" s="6" t="n">
        <x:f>IF(G1260&gt;H1260,1,0)</x:f>
        <x:v>1</x:v>
      </x:c>
      <x:c r="L1260" s="6" t="n">
        <x:f>J1260*K1260</x:f>
        <x:v>1</x:v>
      </x:c>
    </x:row>
    <x:row r="1261">
      <x:c r="A1261" s="1" t="n">
        <x:v>10743</x:v>
      </x:c>
      <x:c r="B1261" s="5" t="d">
        <x:v>2015-06-06T00:00:00.000Z</x:v>
      </x:c>
      <x:c r="C1261" s="1" t="str">
        <x:v>Standard Class</x:v>
      </x:c>
      <x:c r="D1261" s="1" t="str">
        <x:v>Europe</x:v>
      </x:c>
      <x:c r="E1261" s="1" t="str">
        <x:v>COMPLETE</x:v>
      </x:c>
      <x:c r="F1261" s="1" t="str">
        <x:v>Shipping on time</x:v>
      </x:c>
      <x:c r="G1261" s="6" t="n">
        <x:v>4</x:v>
      </x:c>
      <x:c r="H1261" s="6" t="n">
        <x:v>4</x:v>
      </x:c>
      <x:c r="I1261" s="6" t="n">
        <x:f>G1261-H1261</x:f>
        <x:v>0</x:v>
      </x:c>
      <x:c r="J1261" s="6" t="n">
        <x:f>IF(OR(E1261="CANCELED",E1261="SUSPECTED_FRAUD",F1261="Shipping canceled"),0,1)</x:f>
        <x:v>1</x:v>
      </x:c>
      <x:c r="K1261" s="6" t="n">
        <x:f>IF(G1261&gt;H1261,1,0)</x:f>
        <x:v>0</x:v>
      </x:c>
      <x:c r="L1261" s="6" t="n">
        <x:f>J1261*K1261</x:f>
        <x:v>0</x:v>
      </x:c>
    </x:row>
    <x:row r="1262">
      <x:c r="A1262" s="1" t="n">
        <x:v>10749</x:v>
      </x:c>
      <x:c r="B1262" s="5" t="d">
        <x:v>2015-06-06T00:00:00.000Z</x:v>
      </x:c>
      <x:c r="C1262" s="1" t="str">
        <x:v>First Class</x:v>
      </x:c>
      <x:c r="D1262" s="1" t="str">
        <x:v>Europe</x:v>
      </x:c>
      <x:c r="E1262" s="1" t="str">
        <x:v>CLOSED</x:v>
      </x:c>
      <x:c r="F1262" s="1" t="str">
        <x:v>Late delivery</x:v>
      </x:c>
      <x:c r="G1262" s="6" t="n">
        <x:v>2</x:v>
      </x:c>
      <x:c r="H1262" s="6" t="n">
        <x:v>1</x:v>
      </x:c>
      <x:c r="I1262" s="6" t="n">
        <x:f>G1262-H1262</x:f>
        <x:v>1</x:v>
      </x:c>
      <x:c r="J1262" s="6" t="n">
        <x:f>IF(OR(E1262="CANCELED",E1262="SUSPECTED_FRAUD",F1262="Shipping canceled"),0,1)</x:f>
        <x:v>1</x:v>
      </x:c>
      <x:c r="K1262" s="6" t="n">
        <x:f>IF(G1262&gt;H1262,1,0)</x:f>
        <x:v>1</x:v>
      </x:c>
      <x:c r="L1262" s="6" t="n">
        <x:f>J1262*K1262</x:f>
        <x:v>1</x:v>
      </x:c>
    </x:row>
    <x:row r="1263">
      <x:c r="A1263" s="1" t="n">
        <x:v>10757</x:v>
      </x:c>
      <x:c r="B1263" s="5" t="d">
        <x:v>2015-06-07T00:00:00.000Z</x:v>
      </x:c>
      <x:c r="C1263" s="1" t="str">
        <x:v>Standard Class</x:v>
      </x:c>
      <x:c r="D1263" s="1" t="str">
        <x:v>Europe</x:v>
      </x:c>
      <x:c r="E1263" s="1" t="str">
        <x:v>COMPLETE</x:v>
      </x:c>
      <x:c r="F1263" s="1" t="str">
        <x:v>Advance shipping</x:v>
      </x:c>
      <x:c r="G1263" s="6" t="n">
        <x:v>3</x:v>
      </x:c>
      <x:c r="H1263" s="6" t="n">
        <x:v>4</x:v>
      </x:c>
      <x:c r="I1263" s="6" t="n">
        <x:f>G1263-H1263</x:f>
        <x:v>-1</x:v>
      </x:c>
      <x:c r="J1263" s="6" t="n">
        <x:f>IF(OR(E1263="CANCELED",E1263="SUSPECTED_FRAUD",F1263="Shipping canceled"),0,1)</x:f>
        <x:v>1</x:v>
      </x:c>
      <x:c r="K1263" s="6" t="n">
        <x:f>IF(G1263&gt;H1263,1,0)</x:f>
        <x:v>0</x:v>
      </x:c>
      <x:c r="L1263" s="6" t="n">
        <x:f>J1263*K1263</x:f>
        <x:v>0</x:v>
      </x:c>
    </x:row>
    <x:row r="1264">
      <x:c r="A1264" s="1" t="n">
        <x:v>10759</x:v>
      </x:c>
      <x:c r="B1264" s="5" t="d">
        <x:v>2015-06-07T00:00:00.000Z</x:v>
      </x:c>
      <x:c r="C1264" s="1" t="str">
        <x:v>Standard Class</x:v>
      </x:c>
      <x:c r="D1264" s="1" t="str">
        <x:v>Europe</x:v>
      </x:c>
      <x:c r="E1264" s="1" t="str">
        <x:v>PROCESSING</x:v>
      </x:c>
      <x:c r="F1264" s="1" t="str">
        <x:v>Late delivery</x:v>
      </x:c>
      <x:c r="G1264" s="6" t="n">
        <x:v>5</x:v>
      </x:c>
      <x:c r="H1264" s="6" t="n">
        <x:v>4</x:v>
      </x:c>
      <x:c r="I1264" s="6" t="n">
        <x:f>G1264-H1264</x:f>
        <x:v>1</x:v>
      </x:c>
      <x:c r="J1264" s="6" t="n">
        <x:f>IF(OR(E1264="CANCELED",E1264="SUSPECTED_FRAUD",F1264="Shipping canceled"),0,1)</x:f>
        <x:v>1</x:v>
      </x:c>
      <x:c r="K1264" s="6" t="n">
        <x:f>IF(G1264&gt;H1264,1,0)</x:f>
        <x:v>1</x:v>
      </x:c>
      <x:c r="L1264" s="6" t="n">
        <x:f>J1264*K1264</x:f>
        <x:v>1</x:v>
      </x:c>
    </x:row>
    <x:row r="1265">
      <x:c r="A1265" s="1" t="n">
        <x:v>10763</x:v>
      </x:c>
      <x:c r="B1265" s="5" t="d">
        <x:v>2015-06-07T00:00:00.000Z</x:v>
      </x:c>
      <x:c r="C1265" s="1" t="str">
        <x:v>Standard Class</x:v>
      </x:c>
      <x:c r="D1265" s="1" t="str">
        <x:v>Europe</x:v>
      </x:c>
      <x:c r="E1265" s="1" t="str">
        <x:v>PENDING_PAYMENT</x:v>
      </x:c>
      <x:c r="F1265" s="1" t="str">
        <x:v>Shipping on time</x:v>
      </x:c>
      <x:c r="G1265" s="6" t="n">
        <x:v>4</x:v>
      </x:c>
      <x:c r="H1265" s="6" t="n">
        <x:v>4</x:v>
      </x:c>
      <x:c r="I1265" s="6" t="n">
        <x:f>G1265-H1265</x:f>
        <x:v>0</x:v>
      </x:c>
      <x:c r="J1265" s="6" t="n">
        <x:f>IF(OR(E1265="CANCELED",E1265="SUSPECTED_FRAUD",F1265="Shipping canceled"),0,1)</x:f>
        <x:v>1</x:v>
      </x:c>
      <x:c r="K1265" s="6" t="n">
        <x:f>IF(G1265&gt;H1265,1,0)</x:f>
        <x:v>0</x:v>
      </x:c>
      <x:c r="L1265" s="6" t="n">
        <x:f>J1265*K1265</x:f>
        <x:v>0</x:v>
      </x:c>
    </x:row>
    <x:row r="1266">
      <x:c r="A1266" s="1" t="n">
        <x:v>10764</x:v>
      </x:c>
      <x:c r="B1266" s="5" t="d">
        <x:v>2015-06-07T00:00:00.000Z</x:v>
      </x:c>
      <x:c r="C1266" s="1" t="str">
        <x:v>Standard Class</x:v>
      </x:c>
      <x:c r="D1266" s="1" t="str">
        <x:v>Europe</x:v>
      </x:c>
      <x:c r="E1266" s="1" t="str">
        <x:v>PENDING_PAYMENT</x:v>
      </x:c>
      <x:c r="F1266" s="1" t="str">
        <x:v>Late delivery</x:v>
      </x:c>
      <x:c r="G1266" s="6" t="n">
        <x:v>5</x:v>
      </x:c>
      <x:c r="H1266" s="6" t="n">
        <x:v>4</x:v>
      </x:c>
      <x:c r="I1266" s="6" t="n">
        <x:f>G1266-H1266</x:f>
        <x:v>1</x:v>
      </x:c>
      <x:c r="J1266" s="6" t="n">
        <x:f>IF(OR(E1266="CANCELED",E1266="SUSPECTED_FRAUD",F1266="Shipping canceled"),0,1)</x:f>
        <x:v>1</x:v>
      </x:c>
      <x:c r="K1266" s="6" t="n">
        <x:f>IF(G1266&gt;H1266,1,0)</x:f>
        <x:v>1</x:v>
      </x:c>
      <x:c r="L1266" s="6" t="n">
        <x:f>J1266*K1266</x:f>
        <x:v>1</x:v>
      </x:c>
    </x:row>
    <x:row r="1267">
      <x:c r="A1267" s="1" t="n">
        <x:v>10779</x:v>
      </x:c>
      <x:c r="B1267" s="5" t="d">
        <x:v>2015-06-07T00:00:00.000Z</x:v>
      </x:c>
      <x:c r="C1267" s="1" t="str">
        <x:v>Standard Class</x:v>
      </x:c>
      <x:c r="D1267" s="1" t="str">
        <x:v>Europe</x:v>
      </x:c>
      <x:c r="E1267" s="1" t="str">
        <x:v>COMPLETE</x:v>
      </x:c>
      <x:c r="F1267" s="1" t="str">
        <x:v>Late delivery</x:v>
      </x:c>
      <x:c r="G1267" s="6" t="n">
        <x:v>5</x:v>
      </x:c>
      <x:c r="H1267" s="6" t="n">
        <x:v>4</x:v>
      </x:c>
      <x:c r="I1267" s="6" t="n">
        <x:f>G1267-H1267</x:f>
        <x:v>1</x:v>
      </x:c>
      <x:c r="J1267" s="6" t="n">
        <x:f>IF(OR(E1267="CANCELED",E1267="SUSPECTED_FRAUD",F1267="Shipping canceled"),0,1)</x:f>
        <x:v>1</x:v>
      </x:c>
      <x:c r="K1267" s="6" t="n">
        <x:f>IF(G1267&gt;H1267,1,0)</x:f>
        <x:v>1</x:v>
      </x:c>
      <x:c r="L1267" s="6" t="n">
        <x:f>J1267*K1267</x:f>
        <x:v>1</x:v>
      </x:c>
    </x:row>
    <x:row r="1268">
      <x:c r="A1268" s="1" t="n">
        <x:v>10780</x:v>
      </x:c>
      <x:c r="B1268" s="5" t="d">
        <x:v>2015-06-07T00:00:00.000Z</x:v>
      </x:c>
      <x:c r="C1268" s="1" t="str">
        <x:v>Standard Class</x:v>
      </x:c>
      <x:c r="D1268" s="1" t="str">
        <x:v>Europe</x:v>
      </x:c>
      <x:c r="E1268" s="1" t="str">
        <x:v>COMPLETE</x:v>
      </x:c>
      <x:c r="F1268" s="1" t="str">
        <x:v>Late delivery</x:v>
      </x:c>
      <x:c r="G1268" s="6" t="n">
        <x:v>6</x:v>
      </x:c>
      <x:c r="H1268" s="6" t="n">
        <x:v>4</x:v>
      </x:c>
      <x:c r="I1268" s="6" t="n">
        <x:f>G1268-H1268</x:f>
        <x:v>2</x:v>
      </x:c>
      <x:c r="J1268" s="6" t="n">
        <x:f>IF(OR(E1268="CANCELED",E1268="SUSPECTED_FRAUD",F1268="Shipping canceled"),0,1)</x:f>
        <x:v>1</x:v>
      </x:c>
      <x:c r="K1268" s="6" t="n">
        <x:f>IF(G1268&gt;H1268,1,0)</x:f>
        <x:v>1</x:v>
      </x:c>
      <x:c r="L1268" s="6" t="n">
        <x:f>J1268*K1268</x:f>
        <x:v>1</x:v>
      </x:c>
    </x:row>
    <x:row r="1269">
      <x:c r="A1269" s="1" t="n">
        <x:v>10784</x:v>
      </x:c>
      <x:c r="B1269" s="5" t="d">
        <x:v>2015-06-07T00:00:00.000Z</x:v>
      </x:c>
      <x:c r="C1269" s="1" t="str">
        <x:v>Standard Class</x:v>
      </x:c>
      <x:c r="D1269" s="1" t="str">
        <x:v>Europe</x:v>
      </x:c>
      <x:c r="E1269" s="1" t="str">
        <x:v>COMPLETE</x:v>
      </x:c>
      <x:c r="F1269" s="1" t="str">
        <x:v>Late delivery</x:v>
      </x:c>
      <x:c r="G1269" s="6" t="n">
        <x:v>5</x:v>
      </x:c>
      <x:c r="H1269" s="6" t="n">
        <x:v>4</x:v>
      </x:c>
      <x:c r="I1269" s="6" t="n">
        <x:f>G1269-H1269</x:f>
        <x:v>1</x:v>
      </x:c>
      <x:c r="J1269" s="6" t="n">
        <x:f>IF(OR(E1269="CANCELED",E1269="SUSPECTED_FRAUD",F1269="Shipping canceled"),0,1)</x:f>
        <x:v>1</x:v>
      </x:c>
      <x:c r="K1269" s="6" t="n">
        <x:f>IF(G1269&gt;H1269,1,0)</x:f>
        <x:v>1</x:v>
      </x:c>
      <x:c r="L1269" s="6" t="n">
        <x:f>J1269*K1269</x:f>
        <x:v>1</x:v>
      </x:c>
    </x:row>
    <x:row r="1270">
      <x:c r="A1270" s="1" t="n">
        <x:v>10792</x:v>
      </x:c>
      <x:c r="B1270" s="5" t="d">
        <x:v>2015-06-07T00:00:00.000Z</x:v>
      </x:c>
      <x:c r="C1270" s="1" t="str">
        <x:v>Standard Class</x:v>
      </x:c>
      <x:c r="D1270" s="1" t="str">
        <x:v>Europe</x:v>
      </x:c>
      <x:c r="E1270" s="1" t="str">
        <x:v>COMPLETE</x:v>
      </x:c>
      <x:c r="F1270" s="1" t="str">
        <x:v>Advance shipping</x:v>
      </x:c>
      <x:c r="G1270" s="6" t="n">
        <x:v>3</x:v>
      </x:c>
      <x:c r="H1270" s="6" t="n">
        <x:v>4</x:v>
      </x:c>
      <x:c r="I1270" s="6" t="n">
        <x:f>G1270-H1270</x:f>
        <x:v>-1</x:v>
      </x:c>
      <x:c r="J1270" s="6" t="n">
        <x:f>IF(OR(E1270="CANCELED",E1270="SUSPECTED_FRAUD",F1270="Shipping canceled"),0,1)</x:f>
        <x:v>1</x:v>
      </x:c>
      <x:c r="K1270" s="6" t="n">
        <x:f>IF(G1270&gt;H1270,1,0)</x:f>
        <x:v>0</x:v>
      </x:c>
      <x:c r="L1270" s="6" t="n">
        <x:f>J1270*K1270</x:f>
        <x:v>0</x:v>
      </x:c>
    </x:row>
    <x:row r="1271">
      <x:c r="A1271" s="1" t="n">
        <x:v>10794</x:v>
      </x:c>
      <x:c r="B1271" s="5" t="d">
        <x:v>2015-06-07T00:00:00.000Z</x:v>
      </x:c>
      <x:c r="C1271" s="1" t="str">
        <x:v>Standard Class</x:v>
      </x:c>
      <x:c r="D1271" s="1" t="str">
        <x:v>Europe</x:v>
      </x:c>
      <x:c r="E1271" s="1" t="str">
        <x:v>CLOSED</x:v>
      </x:c>
      <x:c r="F1271" s="1" t="str">
        <x:v>Late delivery</x:v>
      </x:c>
      <x:c r="G1271" s="6" t="n">
        <x:v>5</x:v>
      </x:c>
      <x:c r="H1271" s="6" t="n">
        <x:v>4</x:v>
      </x:c>
      <x:c r="I1271" s="6" t="n">
        <x:f>G1271-H1271</x:f>
        <x:v>1</x:v>
      </x:c>
      <x:c r="J1271" s="6" t="n">
        <x:f>IF(OR(E1271="CANCELED",E1271="SUSPECTED_FRAUD",F1271="Shipping canceled"),0,1)</x:f>
        <x:v>1</x:v>
      </x:c>
      <x:c r="K1271" s="6" t="n">
        <x:f>IF(G1271&gt;H1271,1,0)</x:f>
        <x:v>1</x:v>
      </x:c>
      <x:c r="L1271" s="6" t="n">
        <x:f>J1271*K1271</x:f>
        <x:v>1</x:v>
      </x:c>
    </x:row>
    <x:row r="1272">
      <x:c r="A1272" s="1" t="n">
        <x:v>10797</x:v>
      </x:c>
      <x:c r="B1272" s="5" t="d">
        <x:v>2015-06-07T00:00:00.000Z</x:v>
      </x:c>
      <x:c r="C1272" s="1" t="str">
        <x:v>Standard Class</x:v>
      </x:c>
      <x:c r="D1272" s="1" t="str">
        <x:v>Europe</x:v>
      </x:c>
      <x:c r="E1272" s="1" t="str">
        <x:v>CLOSED</x:v>
      </x:c>
      <x:c r="F1272" s="1" t="str">
        <x:v>Advance shipping</x:v>
      </x:c>
      <x:c r="G1272" s="6" t="n">
        <x:v>3</x:v>
      </x:c>
      <x:c r="H1272" s="6" t="n">
        <x:v>4</x:v>
      </x:c>
      <x:c r="I1272" s="6" t="n">
        <x:f>G1272-H1272</x:f>
        <x:v>-1</x:v>
      </x:c>
      <x:c r="J1272" s="6" t="n">
        <x:f>IF(OR(E1272="CANCELED",E1272="SUSPECTED_FRAUD",F1272="Shipping canceled"),0,1)</x:f>
        <x:v>1</x:v>
      </x:c>
      <x:c r="K1272" s="6" t="n">
        <x:f>IF(G1272&gt;H1272,1,0)</x:f>
        <x:v>0</x:v>
      </x:c>
      <x:c r="L1272" s="6" t="n">
        <x:f>J1272*K1272</x:f>
        <x:v>0</x:v>
      </x:c>
    </x:row>
    <x:row r="1273">
      <x:c r="A1273" s="1" t="n">
        <x:v>10802</x:v>
      </x:c>
      <x:c r="B1273" s="5" t="d">
        <x:v>2015-06-07T00:00:00.000Z</x:v>
      </x:c>
      <x:c r="C1273" s="1" t="str">
        <x:v>Standard Class</x:v>
      </x:c>
      <x:c r="D1273" s="1" t="str">
        <x:v>Europe</x:v>
      </x:c>
      <x:c r="E1273" s="1" t="str">
        <x:v>PAYMENT_REVIEW</x:v>
      </x:c>
      <x:c r="F1273" s="1" t="str">
        <x:v>Advance shipping</x:v>
      </x:c>
      <x:c r="G1273" s="6" t="n">
        <x:v>3</x:v>
      </x:c>
      <x:c r="H1273" s="6" t="n">
        <x:v>4</x:v>
      </x:c>
      <x:c r="I1273" s="6" t="n">
        <x:f>G1273-H1273</x:f>
        <x:v>-1</x:v>
      </x:c>
      <x:c r="J1273" s="6" t="n">
        <x:f>IF(OR(E1273="CANCELED",E1273="SUSPECTED_FRAUD",F1273="Shipping canceled"),0,1)</x:f>
        <x:v>1</x:v>
      </x:c>
      <x:c r="K1273" s="6" t="n">
        <x:f>IF(G1273&gt;H1273,1,0)</x:f>
        <x:v>0</x:v>
      </x:c>
      <x:c r="L1273" s="6" t="n">
        <x:f>J1273*K1273</x:f>
        <x:v>0</x:v>
      </x:c>
    </x:row>
    <x:row r="1274">
      <x:c r="A1274" s="1" t="n">
        <x:v>10803</x:v>
      </x:c>
      <x:c r="B1274" s="5" t="d">
        <x:v>2015-06-07T00:00:00.000Z</x:v>
      </x:c>
      <x:c r="C1274" s="1" t="str">
        <x:v>Standard Class</x:v>
      </x:c>
      <x:c r="D1274" s="1" t="str">
        <x:v>Europe</x:v>
      </x:c>
      <x:c r="E1274" s="1" t="str">
        <x:v>COMPLETE</x:v>
      </x:c>
      <x:c r="F1274" s="1" t="str">
        <x:v>Shipping on time</x:v>
      </x:c>
      <x:c r="G1274" s="6" t="n">
        <x:v>4</x:v>
      </x:c>
      <x:c r="H1274" s="6" t="n">
        <x:v>4</x:v>
      </x:c>
      <x:c r="I1274" s="6" t="n">
        <x:f>G1274-H1274</x:f>
        <x:v>0</x:v>
      </x:c>
      <x:c r="J1274" s="6" t="n">
        <x:f>IF(OR(E1274="CANCELED",E1274="SUSPECTED_FRAUD",F1274="Shipping canceled"),0,1)</x:f>
        <x:v>1</x:v>
      </x:c>
      <x:c r="K1274" s="6" t="n">
        <x:f>IF(G1274&gt;H1274,1,0)</x:f>
        <x:v>0</x:v>
      </x:c>
      <x:c r="L1274" s="6" t="n">
        <x:f>J1274*K1274</x:f>
        <x:v>0</x:v>
      </x:c>
    </x:row>
    <x:row r="1275">
      <x:c r="A1275" s="1" t="n">
        <x:v>10804</x:v>
      </x:c>
      <x:c r="B1275" s="5" t="d">
        <x:v>2015-06-07T00:00:00.000Z</x:v>
      </x:c>
      <x:c r="C1275" s="1" t="str">
        <x:v>Standard Class</x:v>
      </x:c>
      <x:c r="D1275" s="1" t="str">
        <x:v>Europe</x:v>
      </x:c>
      <x:c r="E1275" s="1" t="str">
        <x:v>COMPLETE</x:v>
      </x:c>
      <x:c r="F1275" s="1" t="str">
        <x:v>Late delivery</x:v>
      </x:c>
      <x:c r="G1275" s="6" t="n">
        <x:v>5</x:v>
      </x:c>
      <x:c r="H1275" s="6" t="n">
        <x:v>4</x:v>
      </x:c>
      <x:c r="I1275" s="6" t="n">
        <x:f>G1275-H1275</x:f>
        <x:v>1</x:v>
      </x:c>
      <x:c r="J1275" s="6" t="n">
        <x:f>IF(OR(E1275="CANCELED",E1275="SUSPECTED_FRAUD",F1275="Shipping canceled"),0,1)</x:f>
        <x:v>1</x:v>
      </x:c>
      <x:c r="K1275" s="6" t="n">
        <x:f>IF(G1275&gt;H1275,1,0)</x:f>
        <x:v>1</x:v>
      </x:c>
      <x:c r="L1275" s="6" t="n">
        <x:f>J1275*K1275</x:f>
        <x:v>1</x:v>
      </x:c>
    </x:row>
    <x:row r="1276">
      <x:c r="A1276" s="1" t="n">
        <x:v>10814</x:v>
      </x:c>
      <x:c r="B1276" s="5" t="d">
        <x:v>2015-06-07T00:00:00.000Z</x:v>
      </x:c>
      <x:c r="C1276" s="1" t="str">
        <x:v>Standard Class</x:v>
      </x:c>
      <x:c r="D1276" s="1" t="str">
        <x:v>Europe</x:v>
      </x:c>
      <x:c r="E1276" s="1" t="str">
        <x:v>PROCESSING</x:v>
      </x:c>
      <x:c r="F1276" s="1" t="str">
        <x:v>Late delivery</x:v>
      </x:c>
      <x:c r="G1276" s="6" t="n">
        <x:v>5</x:v>
      </x:c>
      <x:c r="H1276" s="6" t="n">
        <x:v>4</x:v>
      </x:c>
      <x:c r="I1276" s="6" t="n">
        <x:f>G1276-H1276</x:f>
        <x:v>1</x:v>
      </x:c>
      <x:c r="J1276" s="6" t="n">
        <x:f>IF(OR(E1276="CANCELED",E1276="SUSPECTED_FRAUD",F1276="Shipping canceled"),0,1)</x:f>
        <x:v>1</x:v>
      </x:c>
      <x:c r="K1276" s="6" t="n">
        <x:f>IF(G1276&gt;H1276,1,0)</x:f>
        <x:v>1</x:v>
      </x:c>
      <x:c r="L1276" s="6" t="n">
        <x:f>J1276*K1276</x:f>
        <x:v>1</x:v>
      </x:c>
    </x:row>
    <x:row r="1277">
      <x:c r="A1277" s="1" t="n">
        <x:v>10816</x:v>
      </x:c>
      <x:c r="B1277" s="5" t="d">
        <x:v>2015-06-07T00:00:00.000Z</x:v>
      </x:c>
      <x:c r="C1277" s="1" t="str">
        <x:v>Standard Class</x:v>
      </x:c>
      <x:c r="D1277" s="1" t="str">
        <x:v>Europe</x:v>
      </x:c>
      <x:c r="E1277" s="1" t="str">
        <x:v>PROCESSING</x:v>
      </x:c>
      <x:c r="F1277" s="1" t="str">
        <x:v>Advance shipping</x:v>
      </x:c>
      <x:c r="G1277" s="6" t="n">
        <x:v>2</x:v>
      </x:c>
      <x:c r="H1277" s="6" t="n">
        <x:v>4</x:v>
      </x:c>
      <x:c r="I1277" s="6" t="n">
        <x:f>G1277-H1277</x:f>
        <x:v>-2</x:v>
      </x:c>
      <x:c r="J1277" s="6" t="n">
        <x:f>IF(OR(E1277="CANCELED",E1277="SUSPECTED_FRAUD",F1277="Shipping canceled"),0,1)</x:f>
        <x:v>1</x:v>
      </x:c>
      <x:c r="K1277" s="6" t="n">
        <x:f>IF(G1277&gt;H1277,1,0)</x:f>
        <x:v>0</x:v>
      </x:c>
      <x:c r="L1277" s="6" t="n">
        <x:f>J1277*K1277</x:f>
        <x:v>0</x:v>
      </x:c>
    </x:row>
    <x:row r="1278">
      <x:c r="A1278" s="1" t="n">
        <x:v>10826</x:v>
      </x:c>
      <x:c r="B1278" s="5" t="d">
        <x:v>2015-06-08T00:00:00.000Z</x:v>
      </x:c>
      <x:c r="C1278" s="1" t="str">
        <x:v>Standard Class</x:v>
      </x:c>
      <x:c r="D1278" s="1" t="str">
        <x:v>Europe</x:v>
      </x:c>
      <x:c r="E1278" s="1" t="str">
        <x:v>COMPLETE</x:v>
      </x:c>
      <x:c r="F1278" s="1" t="str">
        <x:v>Advance shipping</x:v>
      </x:c>
      <x:c r="G1278" s="6" t="n">
        <x:v>2</x:v>
      </x:c>
      <x:c r="H1278" s="6" t="n">
        <x:v>4</x:v>
      </x:c>
      <x:c r="I1278" s="6" t="n">
        <x:f>G1278-H1278</x:f>
        <x:v>-2</x:v>
      </x:c>
      <x:c r="J1278" s="6" t="n">
        <x:f>IF(OR(E1278="CANCELED",E1278="SUSPECTED_FRAUD",F1278="Shipping canceled"),0,1)</x:f>
        <x:v>1</x:v>
      </x:c>
      <x:c r="K1278" s="6" t="n">
        <x:f>IF(G1278&gt;H1278,1,0)</x:f>
        <x:v>0</x:v>
      </x:c>
      <x:c r="L1278" s="6" t="n">
        <x:f>J1278*K1278</x:f>
        <x:v>0</x:v>
      </x:c>
    </x:row>
    <x:row r="1279">
      <x:c r="A1279" s="1" t="n">
        <x:v>10831</x:v>
      </x:c>
      <x:c r="B1279" s="5" t="d">
        <x:v>2015-06-08T00:00:00.000Z</x:v>
      </x:c>
      <x:c r="C1279" s="1" t="str">
        <x:v>Second Class</x:v>
      </x:c>
      <x:c r="D1279" s="1" t="str">
        <x:v>Europe</x:v>
      </x:c>
      <x:c r="E1279" s="1" t="str">
        <x:v>COMPLETE</x:v>
      </x:c>
      <x:c r="F1279" s="1" t="str">
        <x:v>Shipping on time</x:v>
      </x:c>
      <x:c r="G1279" s="6" t="n">
        <x:v>2</x:v>
      </x:c>
      <x:c r="H1279" s="6" t="n">
        <x:v>2</x:v>
      </x:c>
      <x:c r="I1279" s="6" t="n">
        <x:f>G1279-H1279</x:f>
        <x:v>0</x:v>
      </x:c>
      <x:c r="J1279" s="6" t="n">
        <x:f>IF(OR(E1279="CANCELED",E1279="SUSPECTED_FRAUD",F1279="Shipping canceled"),0,1)</x:f>
        <x:v>1</x:v>
      </x:c>
      <x:c r="K1279" s="6" t="n">
        <x:f>IF(G1279&gt;H1279,1,0)</x:f>
        <x:v>0</x:v>
      </x:c>
      <x:c r="L1279" s="6" t="n">
        <x:f>J1279*K1279</x:f>
        <x:v>0</x:v>
      </x:c>
    </x:row>
    <x:row r="1280">
      <x:c r="A1280" s="1" t="n">
        <x:v>10844</x:v>
      </x:c>
      <x:c r="B1280" s="5" t="d">
        <x:v>2015-06-08T00:00:00.000Z</x:v>
      </x:c>
      <x:c r="C1280" s="1" t="str">
        <x:v>Standard Class</x:v>
      </x:c>
      <x:c r="D1280" s="1" t="str">
        <x:v>Europe</x:v>
      </x:c>
      <x:c r="E1280" s="1" t="str">
        <x:v>COMPLETE</x:v>
      </x:c>
      <x:c r="F1280" s="1" t="str">
        <x:v>Late delivery</x:v>
      </x:c>
      <x:c r="G1280" s="6" t="n">
        <x:v>5</x:v>
      </x:c>
      <x:c r="H1280" s="6" t="n">
        <x:v>4</x:v>
      </x:c>
      <x:c r="I1280" s="6" t="n">
        <x:f>G1280-H1280</x:f>
        <x:v>1</x:v>
      </x:c>
      <x:c r="J1280" s="6" t="n">
        <x:f>IF(OR(E1280="CANCELED",E1280="SUSPECTED_FRAUD",F1280="Shipping canceled"),0,1)</x:f>
        <x:v>1</x:v>
      </x:c>
      <x:c r="K1280" s="6" t="n">
        <x:f>IF(G1280&gt;H1280,1,0)</x:f>
        <x:v>1</x:v>
      </x:c>
      <x:c r="L1280" s="6" t="n">
        <x:f>J1280*K1280</x:f>
        <x:v>1</x:v>
      </x:c>
    </x:row>
    <x:row r="1281">
      <x:c r="A1281" s="1" t="n">
        <x:v>10856</x:v>
      </x:c>
      <x:c r="B1281" s="5" t="d">
        <x:v>2015-06-08T00:00:00.000Z</x:v>
      </x:c>
      <x:c r="C1281" s="1" t="str">
        <x:v>Standard Class</x:v>
      </x:c>
      <x:c r="D1281" s="1" t="str">
        <x:v>Europe</x:v>
      </x:c>
      <x:c r="E1281" s="1" t="str">
        <x:v>PENDING</x:v>
      </x:c>
      <x:c r="F1281" s="1" t="str">
        <x:v>Advance shipping</x:v>
      </x:c>
      <x:c r="G1281" s="6" t="n">
        <x:v>2</x:v>
      </x:c>
      <x:c r="H1281" s="6" t="n">
        <x:v>4</x:v>
      </x:c>
      <x:c r="I1281" s="6" t="n">
        <x:f>G1281-H1281</x:f>
        <x:v>-2</x:v>
      </x:c>
      <x:c r="J1281" s="6" t="n">
        <x:f>IF(OR(E1281="CANCELED",E1281="SUSPECTED_FRAUD",F1281="Shipping canceled"),0,1)</x:f>
        <x:v>1</x:v>
      </x:c>
      <x:c r="K1281" s="6" t="n">
        <x:f>IF(G1281&gt;H1281,1,0)</x:f>
        <x:v>0</x:v>
      </x:c>
      <x:c r="L1281" s="6" t="n">
        <x:f>J1281*K1281</x:f>
        <x:v>0</x:v>
      </x:c>
    </x:row>
    <x:row r="1282">
      <x:c r="A1282" s="1" t="n">
        <x:v>10861</x:v>
      </x:c>
      <x:c r="B1282" s="5" t="d">
        <x:v>2015-06-08T00:00:00.000Z</x:v>
      </x:c>
      <x:c r="C1282" s="1" t="str">
        <x:v>Standard Class</x:v>
      </x:c>
      <x:c r="D1282" s="1" t="str">
        <x:v>Europe</x:v>
      </x:c>
      <x:c r="E1282" s="1" t="str">
        <x:v>PENDING_PAYMENT</x:v>
      </x:c>
      <x:c r="F1282" s="1" t="str">
        <x:v>Advance shipping</x:v>
      </x:c>
      <x:c r="G1282" s="6" t="n">
        <x:v>2</x:v>
      </x:c>
      <x:c r="H1282" s="6" t="n">
        <x:v>4</x:v>
      </x:c>
      <x:c r="I1282" s="6" t="n">
        <x:f>G1282-H1282</x:f>
        <x:v>-2</x:v>
      </x:c>
      <x:c r="J1282" s="6" t="n">
        <x:f>IF(OR(E1282="CANCELED",E1282="SUSPECTED_FRAUD",F1282="Shipping canceled"),0,1)</x:f>
        <x:v>1</x:v>
      </x:c>
      <x:c r="K1282" s="6" t="n">
        <x:f>IF(G1282&gt;H1282,1,0)</x:f>
        <x:v>0</x:v>
      </x:c>
      <x:c r="L1282" s="6" t="n">
        <x:f>J1282*K1282</x:f>
        <x:v>0</x:v>
      </x:c>
    </x:row>
    <x:row r="1283">
      <x:c r="A1283" s="1" t="n">
        <x:v>10865</x:v>
      </x:c>
      <x:c r="B1283" s="5" t="d">
        <x:v>2015-06-08T00:00:00.000Z</x:v>
      </x:c>
      <x:c r="C1283" s="1" t="str">
        <x:v>Standard Class</x:v>
      </x:c>
      <x:c r="D1283" s="1" t="str">
        <x:v>Europe</x:v>
      </x:c>
      <x:c r="E1283" s="1" t="str">
        <x:v>COMPLETE</x:v>
      </x:c>
      <x:c r="F1283" s="1" t="str">
        <x:v>Late delivery</x:v>
      </x:c>
      <x:c r="G1283" s="6" t="n">
        <x:v>6</x:v>
      </x:c>
      <x:c r="H1283" s="6" t="n">
        <x:v>4</x:v>
      </x:c>
      <x:c r="I1283" s="6" t="n">
        <x:f>G1283-H1283</x:f>
        <x:v>2</x:v>
      </x:c>
      <x:c r="J1283" s="6" t="n">
        <x:f>IF(OR(E1283="CANCELED",E1283="SUSPECTED_FRAUD",F1283="Shipping canceled"),0,1)</x:f>
        <x:v>1</x:v>
      </x:c>
      <x:c r="K1283" s="6" t="n">
        <x:f>IF(G1283&gt;H1283,1,0)</x:f>
        <x:v>1</x:v>
      </x:c>
      <x:c r="L1283" s="6" t="n">
        <x:f>J1283*K1283</x:f>
        <x:v>1</x:v>
      </x:c>
    </x:row>
    <x:row r="1284">
      <x:c r="A1284" s="1" t="n">
        <x:v>10869</x:v>
      </x:c>
      <x:c r="B1284" s="5" t="d">
        <x:v>2015-06-08T00:00:00.000Z</x:v>
      </x:c>
      <x:c r="C1284" s="1" t="str">
        <x:v>Standard Class</x:v>
      </x:c>
      <x:c r="D1284" s="1" t="str">
        <x:v>Europe</x:v>
      </x:c>
      <x:c r="E1284" s="1" t="str">
        <x:v>PENDING</x:v>
      </x:c>
      <x:c r="F1284" s="1" t="str">
        <x:v>Late delivery</x:v>
      </x:c>
      <x:c r="G1284" s="6" t="n">
        <x:v>5</x:v>
      </x:c>
      <x:c r="H1284" s="6" t="n">
        <x:v>4</x:v>
      </x:c>
      <x:c r="I1284" s="6" t="n">
        <x:f>G1284-H1284</x:f>
        <x:v>1</x:v>
      </x:c>
      <x:c r="J1284" s="6" t="n">
        <x:f>IF(OR(E1284="CANCELED",E1284="SUSPECTED_FRAUD",F1284="Shipping canceled"),0,1)</x:f>
        <x:v>1</x:v>
      </x:c>
      <x:c r="K1284" s="6" t="n">
        <x:f>IF(G1284&gt;H1284,1,0)</x:f>
        <x:v>1</x:v>
      </x:c>
      <x:c r="L1284" s="6" t="n">
        <x:f>J1284*K1284</x:f>
        <x:v>1</x:v>
      </x:c>
    </x:row>
    <x:row r="1285">
      <x:c r="A1285" s="1" t="n">
        <x:v>10892</x:v>
      </x:c>
      <x:c r="B1285" s="5" t="d">
        <x:v>2015-06-08T00:00:00.000Z</x:v>
      </x:c>
      <x:c r="C1285" s="1" t="str">
        <x:v>Standard Class</x:v>
      </x:c>
      <x:c r="D1285" s="1" t="str">
        <x:v>Europe</x:v>
      </x:c>
      <x:c r="E1285" s="1" t="str">
        <x:v>COMPLETE</x:v>
      </x:c>
      <x:c r="F1285" s="1" t="str">
        <x:v>Advance shipping</x:v>
      </x:c>
      <x:c r="G1285" s="6" t="n">
        <x:v>3</x:v>
      </x:c>
      <x:c r="H1285" s="6" t="n">
        <x:v>4</x:v>
      </x:c>
      <x:c r="I1285" s="6" t="n">
        <x:f>G1285-H1285</x:f>
        <x:v>-1</x:v>
      </x:c>
      <x:c r="J1285" s="6" t="n">
        <x:f>IF(OR(E1285="CANCELED",E1285="SUSPECTED_FRAUD",F1285="Shipping canceled"),0,1)</x:f>
        <x:v>1</x:v>
      </x:c>
      <x:c r="K1285" s="6" t="n">
        <x:f>IF(G1285&gt;H1285,1,0)</x:f>
        <x:v>0</x:v>
      </x:c>
      <x:c r="L1285" s="6" t="n">
        <x:f>J1285*K1285</x:f>
        <x:v>0</x:v>
      </x:c>
    </x:row>
    <x:row r="1286">
      <x:c r="A1286" s="1" t="n">
        <x:v>10899</x:v>
      </x:c>
      <x:c r="B1286" s="5" t="d">
        <x:v>2015-06-09T00:00:00.000Z</x:v>
      </x:c>
      <x:c r="C1286" s="1" t="str">
        <x:v>Standard Class</x:v>
      </x:c>
      <x:c r="D1286" s="1" t="str">
        <x:v>Europe</x:v>
      </x:c>
      <x:c r="E1286" s="1" t="str">
        <x:v>PENDING</x:v>
      </x:c>
      <x:c r="F1286" s="1" t="str">
        <x:v>Late delivery</x:v>
      </x:c>
      <x:c r="G1286" s="6" t="n">
        <x:v>5</x:v>
      </x:c>
      <x:c r="H1286" s="6" t="n">
        <x:v>4</x:v>
      </x:c>
      <x:c r="I1286" s="6" t="n">
        <x:f>G1286-H1286</x:f>
        <x:v>1</x:v>
      </x:c>
      <x:c r="J1286" s="6" t="n">
        <x:f>IF(OR(E1286="CANCELED",E1286="SUSPECTED_FRAUD",F1286="Shipping canceled"),0,1)</x:f>
        <x:v>1</x:v>
      </x:c>
      <x:c r="K1286" s="6" t="n">
        <x:f>IF(G1286&gt;H1286,1,0)</x:f>
        <x:v>1</x:v>
      </x:c>
      <x:c r="L1286" s="6" t="n">
        <x:f>J1286*K1286</x:f>
        <x:v>1</x:v>
      </x:c>
    </x:row>
    <x:row r="1287">
      <x:c r="A1287" s="1" t="n">
        <x:v>10905</x:v>
      </x:c>
      <x:c r="B1287" s="5" t="d">
        <x:v>2015-06-09T00:00:00.000Z</x:v>
      </x:c>
      <x:c r="C1287" s="1" t="str">
        <x:v>Second Class</x:v>
      </x:c>
      <x:c r="D1287" s="1" t="str">
        <x:v>Europe</x:v>
      </x:c>
      <x:c r="E1287" s="1" t="str">
        <x:v>PENDING_PAYMENT</x:v>
      </x:c>
      <x:c r="F1287" s="1" t="str">
        <x:v>Late delivery</x:v>
      </x:c>
      <x:c r="G1287" s="6" t="n">
        <x:v>6</x:v>
      </x:c>
      <x:c r="H1287" s="6" t="n">
        <x:v>2</x:v>
      </x:c>
      <x:c r="I1287" s="6" t="n">
        <x:f>G1287-H1287</x:f>
        <x:v>4</x:v>
      </x:c>
      <x:c r="J1287" s="6" t="n">
        <x:f>IF(OR(E1287="CANCELED",E1287="SUSPECTED_FRAUD",F1287="Shipping canceled"),0,1)</x:f>
        <x:v>1</x:v>
      </x:c>
      <x:c r="K1287" s="6" t="n">
        <x:f>IF(G1287&gt;H1287,1,0)</x:f>
        <x:v>1</x:v>
      </x:c>
      <x:c r="L1287" s="6" t="n">
        <x:f>J1287*K1287</x:f>
        <x:v>1</x:v>
      </x:c>
    </x:row>
    <x:row r="1288">
      <x:c r="A1288" s="1" t="n">
        <x:v>10909</x:v>
      </x:c>
      <x:c r="B1288" s="5" t="d">
        <x:v>2015-06-09T00:00:00.000Z</x:v>
      </x:c>
      <x:c r="C1288" s="1" t="str">
        <x:v>Second Class</x:v>
      </x:c>
      <x:c r="D1288" s="1" t="str">
        <x:v>Europe</x:v>
      </x:c>
      <x:c r="E1288" s="1" t="str">
        <x:v>PROCESSING</x:v>
      </x:c>
      <x:c r="F1288" s="1" t="str">
        <x:v>Late delivery</x:v>
      </x:c>
      <x:c r="G1288" s="6" t="n">
        <x:v>5</x:v>
      </x:c>
      <x:c r="H1288" s="6" t="n">
        <x:v>2</x:v>
      </x:c>
      <x:c r="I1288" s="6" t="n">
        <x:f>G1288-H1288</x:f>
        <x:v>3</x:v>
      </x:c>
      <x:c r="J1288" s="6" t="n">
        <x:f>IF(OR(E1288="CANCELED",E1288="SUSPECTED_FRAUD",F1288="Shipping canceled"),0,1)</x:f>
        <x:v>1</x:v>
      </x:c>
      <x:c r="K1288" s="6" t="n">
        <x:f>IF(G1288&gt;H1288,1,0)</x:f>
        <x:v>1</x:v>
      </x:c>
      <x:c r="L1288" s="6" t="n">
        <x:f>J1288*K1288</x:f>
        <x:v>1</x:v>
      </x:c>
    </x:row>
    <x:row r="1289">
      <x:c r="A1289" s="1" t="n">
        <x:v>10911</x:v>
      </x:c>
      <x:c r="B1289" s="5" t="d">
        <x:v>2015-06-09T00:00:00.000Z</x:v>
      </x:c>
      <x:c r="C1289" s="1" t="str">
        <x:v>Standard Class</x:v>
      </x:c>
      <x:c r="D1289" s="1" t="str">
        <x:v>Europe</x:v>
      </x:c>
      <x:c r="E1289" s="1" t="str">
        <x:v>COMPLETE</x:v>
      </x:c>
      <x:c r="F1289" s="1" t="str">
        <x:v>Advance shipping</x:v>
      </x:c>
      <x:c r="G1289" s="6" t="n">
        <x:v>2</x:v>
      </x:c>
      <x:c r="H1289" s="6" t="n">
        <x:v>4</x:v>
      </x:c>
      <x:c r="I1289" s="6" t="n">
        <x:f>G1289-H1289</x:f>
        <x:v>-2</x:v>
      </x:c>
      <x:c r="J1289" s="6" t="n">
        <x:f>IF(OR(E1289="CANCELED",E1289="SUSPECTED_FRAUD",F1289="Shipping canceled"),0,1)</x:f>
        <x:v>1</x:v>
      </x:c>
      <x:c r="K1289" s="6" t="n">
        <x:f>IF(G1289&gt;H1289,1,0)</x:f>
        <x:v>0</x:v>
      </x:c>
      <x:c r="L1289" s="6" t="n">
        <x:f>J1289*K1289</x:f>
        <x:v>0</x:v>
      </x:c>
    </x:row>
    <x:row r="1290">
      <x:c r="A1290" s="1" t="n">
        <x:v>10920</x:v>
      </x:c>
      <x:c r="B1290" s="5" t="d">
        <x:v>2015-06-09T00:00:00.000Z</x:v>
      </x:c>
      <x:c r="C1290" s="1" t="str">
        <x:v>Standard Class</x:v>
      </x:c>
      <x:c r="D1290" s="1" t="str">
        <x:v>Europe</x:v>
      </x:c>
      <x:c r="E1290" s="1" t="str">
        <x:v>PENDING_PAYMENT</x:v>
      </x:c>
      <x:c r="F1290" s="1" t="str">
        <x:v>Late delivery</x:v>
      </x:c>
      <x:c r="G1290" s="6" t="n">
        <x:v>6</x:v>
      </x:c>
      <x:c r="H1290" s="6" t="n">
        <x:v>4</x:v>
      </x:c>
      <x:c r="I1290" s="6" t="n">
        <x:f>G1290-H1290</x:f>
        <x:v>2</x:v>
      </x:c>
      <x:c r="J1290" s="6" t="n">
        <x:f>IF(OR(E1290="CANCELED",E1290="SUSPECTED_FRAUD",F1290="Shipping canceled"),0,1)</x:f>
        <x:v>1</x:v>
      </x:c>
      <x:c r="K1290" s="6" t="n">
        <x:f>IF(G1290&gt;H1290,1,0)</x:f>
        <x:v>1</x:v>
      </x:c>
      <x:c r="L1290" s="6" t="n">
        <x:f>J1290*K1290</x:f>
        <x:v>1</x:v>
      </x:c>
    </x:row>
    <x:row r="1291">
      <x:c r="A1291" s="1" t="n">
        <x:v>10929</x:v>
      </x:c>
      <x:c r="B1291" s="5" t="d">
        <x:v>2015-06-09T00:00:00.000Z</x:v>
      </x:c>
      <x:c r="C1291" s="1" t="str">
        <x:v>Second Class</x:v>
      </x:c>
      <x:c r="D1291" s="1" t="str">
        <x:v>Europe</x:v>
      </x:c>
      <x:c r="E1291" s="1" t="str">
        <x:v>CLOSED</x:v>
      </x:c>
      <x:c r="F1291" s="1" t="str">
        <x:v>Late delivery</x:v>
      </x:c>
      <x:c r="G1291" s="6" t="n">
        <x:v>5</x:v>
      </x:c>
      <x:c r="H1291" s="6" t="n">
        <x:v>2</x:v>
      </x:c>
      <x:c r="I1291" s="6" t="n">
        <x:f>G1291-H1291</x:f>
        <x:v>3</x:v>
      </x:c>
      <x:c r="J1291" s="6" t="n">
        <x:f>IF(OR(E1291="CANCELED",E1291="SUSPECTED_FRAUD",F1291="Shipping canceled"),0,1)</x:f>
        <x:v>1</x:v>
      </x:c>
      <x:c r="K1291" s="6" t="n">
        <x:f>IF(G1291&gt;H1291,1,0)</x:f>
        <x:v>1</x:v>
      </x:c>
      <x:c r="L1291" s="6" t="n">
        <x:f>J1291*K1291</x:f>
        <x:v>1</x:v>
      </x:c>
    </x:row>
    <x:row r="1292">
      <x:c r="A1292" s="1" t="n">
        <x:v>10936</x:v>
      </x:c>
      <x:c r="B1292" s="5" t="d">
        <x:v>2015-06-09T00:00:00.000Z</x:v>
      </x:c>
      <x:c r="C1292" s="1" t="str">
        <x:v>Standard Class</x:v>
      </x:c>
      <x:c r="D1292" s="1" t="str">
        <x:v>Europe</x:v>
      </x:c>
      <x:c r="E1292" s="1" t="str">
        <x:v>CANCELED</x:v>
      </x:c>
      <x:c r="F1292" s="1" t="str">
        <x:v>Shipping canceled</x:v>
      </x:c>
      <x:c r="G1292" s="6" t="n">
        <x:v>2</x:v>
      </x:c>
      <x:c r="H1292" s="6" t="n">
        <x:v>4</x:v>
      </x:c>
      <x:c r="I1292" s="6" t="n">
        <x:f>G1292-H1292</x:f>
        <x:v>-2</x:v>
      </x:c>
      <x:c r="J1292" s="6" t="n">
        <x:f>IF(OR(E1292="CANCELED",E1292="SUSPECTED_FRAUD",F1292="Shipping canceled"),0,1)</x:f>
        <x:v>0</x:v>
      </x:c>
      <x:c r="K1292" s="6" t="n">
        <x:f>IF(G1292&gt;H1292,1,0)</x:f>
        <x:v>0</x:v>
      </x:c>
      <x:c r="L1292" s="6" t="n">
        <x:f>J1292*K1292</x:f>
        <x:v>0</x:v>
      </x:c>
    </x:row>
    <x:row r="1293">
      <x:c r="A1293" s="1" t="n">
        <x:v>10944</x:v>
      </x:c>
      <x:c r="B1293" s="5" t="d">
        <x:v>2015-06-09T00:00:00.000Z</x:v>
      </x:c>
      <x:c r="C1293" s="1" t="str">
        <x:v>Standard Class</x:v>
      </x:c>
      <x:c r="D1293" s="1" t="str">
        <x:v>Europe</x:v>
      </x:c>
      <x:c r="E1293" s="1" t="str">
        <x:v>PENDING_PAYMENT</x:v>
      </x:c>
      <x:c r="F1293" s="1" t="str">
        <x:v>Late delivery</x:v>
      </x:c>
      <x:c r="G1293" s="6" t="n">
        <x:v>5</x:v>
      </x:c>
      <x:c r="H1293" s="6" t="n">
        <x:v>4</x:v>
      </x:c>
      <x:c r="I1293" s="6" t="n">
        <x:f>G1293-H1293</x:f>
        <x:v>1</x:v>
      </x:c>
      <x:c r="J1293" s="6" t="n">
        <x:f>IF(OR(E1293="CANCELED",E1293="SUSPECTED_FRAUD",F1293="Shipping canceled"),0,1)</x:f>
        <x:v>1</x:v>
      </x:c>
      <x:c r="K1293" s="6" t="n">
        <x:f>IF(G1293&gt;H1293,1,0)</x:f>
        <x:v>1</x:v>
      </x:c>
      <x:c r="L1293" s="6" t="n">
        <x:f>J1293*K1293</x:f>
        <x:v>1</x:v>
      </x:c>
    </x:row>
    <x:row r="1294">
      <x:c r="A1294" s="1" t="n">
        <x:v>10953</x:v>
      </x:c>
      <x:c r="B1294" s="5" t="d">
        <x:v>2015-06-09T00:00:00.000Z</x:v>
      </x:c>
      <x:c r="C1294" s="1" t="str">
        <x:v>Second Class</x:v>
      </x:c>
      <x:c r="D1294" s="1" t="str">
        <x:v>Europe</x:v>
      </x:c>
      <x:c r="E1294" s="1" t="str">
        <x:v>PENDING_PAYMENT</x:v>
      </x:c>
      <x:c r="F1294" s="1" t="str">
        <x:v>Late delivery</x:v>
      </x:c>
      <x:c r="G1294" s="6" t="n">
        <x:v>4</x:v>
      </x:c>
      <x:c r="H1294" s="6" t="n">
        <x:v>2</x:v>
      </x:c>
      <x:c r="I1294" s="6" t="n">
        <x:f>G1294-H1294</x:f>
        <x:v>2</x:v>
      </x:c>
      <x:c r="J1294" s="6" t="n">
        <x:f>IF(OR(E1294="CANCELED",E1294="SUSPECTED_FRAUD",F1294="Shipping canceled"),0,1)</x:f>
        <x:v>1</x:v>
      </x:c>
      <x:c r="K1294" s="6" t="n">
        <x:f>IF(G1294&gt;H1294,1,0)</x:f>
        <x:v>1</x:v>
      </x:c>
      <x:c r="L1294" s="6" t="n">
        <x:f>J1294*K1294</x:f>
        <x:v>1</x:v>
      </x:c>
    </x:row>
    <x:row r="1295">
      <x:c r="A1295" s="1" t="n">
        <x:v>10961</x:v>
      </x:c>
      <x:c r="B1295" s="5" t="d">
        <x:v>2015-06-09T00:00:00.000Z</x:v>
      </x:c>
      <x:c r="C1295" s="1" t="str">
        <x:v>Second Class</x:v>
      </x:c>
      <x:c r="D1295" s="1" t="str">
        <x:v>Europe</x:v>
      </x:c>
      <x:c r="E1295" s="1" t="str">
        <x:v>COMPLETE</x:v>
      </x:c>
      <x:c r="F1295" s="1" t="str">
        <x:v>Shipping on time</x:v>
      </x:c>
      <x:c r="G1295" s="6" t="n">
        <x:v>2</x:v>
      </x:c>
      <x:c r="H1295" s="6" t="n">
        <x:v>2</x:v>
      </x:c>
      <x:c r="I1295" s="6" t="n">
        <x:f>G1295-H1295</x:f>
        <x:v>0</x:v>
      </x:c>
      <x:c r="J1295" s="6" t="n">
        <x:f>IF(OR(E1295="CANCELED",E1295="SUSPECTED_FRAUD",F1295="Shipping canceled"),0,1)</x:f>
        <x:v>1</x:v>
      </x:c>
      <x:c r="K1295" s="6" t="n">
        <x:f>IF(G1295&gt;H1295,1,0)</x:f>
        <x:v>0</x:v>
      </x:c>
      <x:c r="L1295" s="6" t="n">
        <x:f>J1295*K1295</x:f>
        <x:v>0</x:v>
      </x:c>
    </x:row>
    <x:row r="1296">
      <x:c r="A1296" s="1" t="n">
        <x:v>10962</x:v>
      </x:c>
      <x:c r="B1296" s="5" t="d">
        <x:v>2015-06-10T00:00:00.000Z</x:v>
      </x:c>
      <x:c r="C1296" s="1" t="str">
        <x:v>Standard Class</x:v>
      </x:c>
      <x:c r="D1296" s="1" t="str">
        <x:v>Europe</x:v>
      </x:c>
      <x:c r="E1296" s="1" t="str">
        <x:v>PENDING</x:v>
      </x:c>
      <x:c r="F1296" s="1" t="str">
        <x:v>Advance shipping</x:v>
      </x:c>
      <x:c r="G1296" s="6" t="n">
        <x:v>3</x:v>
      </x:c>
      <x:c r="H1296" s="6" t="n">
        <x:v>4</x:v>
      </x:c>
      <x:c r="I1296" s="6" t="n">
        <x:f>G1296-H1296</x:f>
        <x:v>-1</x:v>
      </x:c>
      <x:c r="J1296" s="6" t="n">
        <x:f>IF(OR(E1296="CANCELED",E1296="SUSPECTED_FRAUD",F1296="Shipping canceled"),0,1)</x:f>
        <x:v>1</x:v>
      </x:c>
      <x:c r="K1296" s="6" t="n">
        <x:f>IF(G1296&gt;H1296,1,0)</x:f>
        <x:v>0</x:v>
      </x:c>
      <x:c r="L1296" s="6" t="n">
        <x:f>J1296*K1296</x:f>
        <x:v>0</x:v>
      </x:c>
    </x:row>
    <x:row r="1297">
      <x:c r="A1297" s="1" t="n">
        <x:v>10969</x:v>
      </x:c>
      <x:c r="B1297" s="5" t="d">
        <x:v>2015-06-10T00:00:00.000Z</x:v>
      </x:c>
      <x:c r="C1297" s="1" t="str">
        <x:v>Standard Class</x:v>
      </x:c>
      <x:c r="D1297" s="1" t="str">
        <x:v>Europe</x:v>
      </x:c>
      <x:c r="E1297" s="1" t="str">
        <x:v>COMPLETE</x:v>
      </x:c>
      <x:c r="F1297" s="1" t="str">
        <x:v>Late delivery</x:v>
      </x:c>
      <x:c r="G1297" s="6" t="n">
        <x:v>5</x:v>
      </x:c>
      <x:c r="H1297" s="6" t="n">
        <x:v>4</x:v>
      </x:c>
      <x:c r="I1297" s="6" t="n">
        <x:f>G1297-H1297</x:f>
        <x:v>1</x:v>
      </x:c>
      <x:c r="J1297" s="6" t="n">
        <x:f>IF(OR(E1297="CANCELED",E1297="SUSPECTED_FRAUD",F1297="Shipping canceled"),0,1)</x:f>
        <x:v>1</x:v>
      </x:c>
      <x:c r="K1297" s="6" t="n">
        <x:f>IF(G1297&gt;H1297,1,0)</x:f>
        <x:v>1</x:v>
      </x:c>
      <x:c r="L1297" s="6" t="n">
        <x:f>J1297*K1297</x:f>
        <x:v>1</x:v>
      </x:c>
    </x:row>
    <x:row r="1298">
      <x:c r="A1298" s="1" t="n">
        <x:v>10971</x:v>
      </x:c>
      <x:c r="B1298" s="5" t="d">
        <x:v>2015-06-10T00:00:00.000Z</x:v>
      </x:c>
      <x:c r="C1298" s="1" t="str">
        <x:v>First Class</x:v>
      </x:c>
      <x:c r="D1298" s="1" t="str">
        <x:v>Europe</x:v>
      </x:c>
      <x:c r="E1298" s="1" t="str">
        <x:v>PENDING_PAYMENT</x:v>
      </x:c>
      <x:c r="F1298" s="1" t="str">
        <x:v>Late delivery</x:v>
      </x:c>
      <x:c r="G1298" s="6" t="n">
        <x:v>2</x:v>
      </x:c>
      <x:c r="H1298" s="6" t="n">
        <x:v>1</x:v>
      </x:c>
      <x:c r="I1298" s="6" t="n">
        <x:f>G1298-H1298</x:f>
        <x:v>1</x:v>
      </x:c>
      <x:c r="J1298" s="6" t="n">
        <x:f>IF(OR(E1298="CANCELED",E1298="SUSPECTED_FRAUD",F1298="Shipping canceled"),0,1)</x:f>
        <x:v>1</x:v>
      </x:c>
      <x:c r="K1298" s="6" t="n">
        <x:f>IF(G1298&gt;H1298,1,0)</x:f>
        <x:v>1</x:v>
      </x:c>
      <x:c r="L1298" s="6" t="n">
        <x:f>J1298*K1298</x:f>
        <x:v>1</x:v>
      </x:c>
    </x:row>
    <x:row r="1299">
      <x:c r="A1299" s="1" t="n">
        <x:v>10990</x:v>
      </x:c>
      <x:c r="B1299" s="5" t="d">
        <x:v>2015-06-10T00:00:00.000Z</x:v>
      </x:c>
      <x:c r="C1299" s="1" t="str">
        <x:v>Second Class</x:v>
      </x:c>
      <x:c r="D1299" s="1" t="str">
        <x:v>Europe</x:v>
      </x:c>
      <x:c r="E1299" s="1" t="str">
        <x:v>COMPLETE</x:v>
      </x:c>
      <x:c r="F1299" s="1" t="str">
        <x:v>Late delivery</x:v>
      </x:c>
      <x:c r="G1299" s="6" t="n">
        <x:v>6</x:v>
      </x:c>
      <x:c r="H1299" s="6" t="n">
        <x:v>2</x:v>
      </x:c>
      <x:c r="I1299" s="6" t="n">
        <x:f>G1299-H1299</x:f>
        <x:v>4</x:v>
      </x:c>
      <x:c r="J1299" s="6" t="n">
        <x:f>IF(OR(E1299="CANCELED",E1299="SUSPECTED_FRAUD",F1299="Shipping canceled"),0,1)</x:f>
        <x:v>1</x:v>
      </x:c>
      <x:c r="K1299" s="6" t="n">
        <x:f>IF(G1299&gt;H1299,1,0)</x:f>
        <x:v>1</x:v>
      </x:c>
      <x:c r="L1299" s="6" t="n">
        <x:f>J1299*K1299</x:f>
        <x:v>1</x:v>
      </x:c>
    </x:row>
    <x:row r="1300">
      <x:c r="A1300" s="1" t="n">
        <x:v>11000</x:v>
      </x:c>
      <x:c r="B1300" s="5" t="d">
        <x:v>2015-06-10T00:00:00.000Z</x:v>
      </x:c>
      <x:c r="C1300" s="1" t="str">
        <x:v>Standard Class</x:v>
      </x:c>
      <x:c r="D1300" s="1" t="str">
        <x:v>Europe</x:v>
      </x:c>
      <x:c r="E1300" s="1" t="str">
        <x:v>CLOSED</x:v>
      </x:c>
      <x:c r="F1300" s="1" t="str">
        <x:v>Late delivery</x:v>
      </x:c>
      <x:c r="G1300" s="6" t="n">
        <x:v>6</x:v>
      </x:c>
      <x:c r="H1300" s="6" t="n">
        <x:v>4</x:v>
      </x:c>
      <x:c r="I1300" s="6" t="n">
        <x:f>G1300-H1300</x:f>
        <x:v>2</x:v>
      </x:c>
      <x:c r="J1300" s="6" t="n">
        <x:f>IF(OR(E1300="CANCELED",E1300="SUSPECTED_FRAUD",F1300="Shipping canceled"),0,1)</x:f>
        <x:v>1</x:v>
      </x:c>
      <x:c r="K1300" s="6" t="n">
        <x:f>IF(G1300&gt;H1300,1,0)</x:f>
        <x:v>1</x:v>
      </x:c>
      <x:c r="L1300" s="6" t="n">
        <x:f>J1300*K1300</x:f>
        <x:v>1</x:v>
      </x:c>
    </x:row>
    <x:row r="1301">
      <x:c r="A1301" s="1" t="n">
        <x:v>11006</x:v>
      </x:c>
      <x:c r="B1301" s="5" t="d">
        <x:v>2015-06-10T00:00:00.000Z</x:v>
      </x:c>
      <x:c r="C1301" s="1" t="str">
        <x:v>Standard Class</x:v>
      </x:c>
      <x:c r="D1301" s="1" t="str">
        <x:v>Europe</x:v>
      </x:c>
      <x:c r="E1301" s="1" t="str">
        <x:v>COMPLETE</x:v>
      </x:c>
      <x:c r="F1301" s="1" t="str">
        <x:v>Advance shipping</x:v>
      </x:c>
      <x:c r="G1301" s="6" t="n">
        <x:v>2</x:v>
      </x:c>
      <x:c r="H1301" s="6" t="n">
        <x:v>4</x:v>
      </x:c>
      <x:c r="I1301" s="6" t="n">
        <x:f>G1301-H1301</x:f>
        <x:v>-2</x:v>
      </x:c>
      <x:c r="J1301" s="6" t="n">
        <x:f>IF(OR(E1301="CANCELED",E1301="SUSPECTED_FRAUD",F1301="Shipping canceled"),0,1)</x:f>
        <x:v>1</x:v>
      </x:c>
      <x:c r="K1301" s="6" t="n">
        <x:f>IF(G1301&gt;H1301,1,0)</x:f>
        <x:v>0</x:v>
      </x:c>
      <x:c r="L1301" s="6" t="n">
        <x:f>J1301*K1301</x:f>
        <x:v>0</x:v>
      </x:c>
    </x:row>
    <x:row r="1302">
      <x:c r="A1302" s="1" t="n">
        <x:v>11007</x:v>
      </x:c>
      <x:c r="B1302" s="5" t="d">
        <x:v>2015-06-10T00:00:00.000Z</x:v>
      </x:c>
      <x:c r="C1302" s="1" t="str">
        <x:v>Standard Class</x:v>
      </x:c>
      <x:c r="D1302" s="1" t="str">
        <x:v>Europe</x:v>
      </x:c>
      <x:c r="E1302" s="1" t="str">
        <x:v>PROCESSING</x:v>
      </x:c>
      <x:c r="F1302" s="1" t="str">
        <x:v>Advance shipping</x:v>
      </x:c>
      <x:c r="G1302" s="6" t="n">
        <x:v>3</x:v>
      </x:c>
      <x:c r="H1302" s="6" t="n">
        <x:v>4</x:v>
      </x:c>
      <x:c r="I1302" s="6" t="n">
        <x:f>G1302-H1302</x:f>
        <x:v>-1</x:v>
      </x:c>
      <x:c r="J1302" s="6" t="n">
        <x:f>IF(OR(E1302="CANCELED",E1302="SUSPECTED_FRAUD",F1302="Shipping canceled"),0,1)</x:f>
        <x:v>1</x:v>
      </x:c>
      <x:c r="K1302" s="6" t="n">
        <x:f>IF(G1302&gt;H1302,1,0)</x:f>
        <x:v>0</x:v>
      </x:c>
      <x:c r="L1302" s="6" t="n">
        <x:f>J1302*K1302</x:f>
        <x:v>0</x:v>
      </x:c>
    </x:row>
    <x:row r="1303">
      <x:c r="A1303" s="1" t="n">
        <x:v>11010</x:v>
      </x:c>
      <x:c r="B1303" s="5" t="d">
        <x:v>2015-06-10T00:00:00.000Z</x:v>
      </x:c>
      <x:c r="C1303" s="1" t="str">
        <x:v>First Class</x:v>
      </x:c>
      <x:c r="D1303" s="1" t="str">
        <x:v>Europe</x:v>
      </x:c>
      <x:c r="E1303" s="1" t="str">
        <x:v>PENDING_PAYMENT</x:v>
      </x:c>
      <x:c r="F1303" s="1" t="str">
        <x:v>Late delivery</x:v>
      </x:c>
      <x:c r="G1303" s="6" t="n">
        <x:v>2</x:v>
      </x:c>
      <x:c r="H1303" s="6" t="n">
        <x:v>1</x:v>
      </x:c>
      <x:c r="I1303" s="6" t="n">
        <x:f>G1303-H1303</x:f>
        <x:v>1</x:v>
      </x:c>
      <x:c r="J1303" s="6" t="n">
        <x:f>IF(OR(E1303="CANCELED",E1303="SUSPECTED_FRAUD",F1303="Shipping canceled"),0,1)</x:f>
        <x:v>1</x:v>
      </x:c>
      <x:c r="K1303" s="6" t="n">
        <x:f>IF(G1303&gt;H1303,1,0)</x:f>
        <x:v>1</x:v>
      </x:c>
      <x:c r="L1303" s="6" t="n">
        <x:f>J1303*K1303</x:f>
        <x:v>1</x:v>
      </x:c>
    </x:row>
    <x:row r="1304">
      <x:c r="A1304" s="1" t="n">
        <x:v>11015</x:v>
      </x:c>
      <x:c r="B1304" s="5" t="d">
        <x:v>2015-06-10T00:00:00.000Z</x:v>
      </x:c>
      <x:c r="C1304" s="1" t="str">
        <x:v>Standard Class</x:v>
      </x:c>
      <x:c r="D1304" s="1" t="str">
        <x:v>Europe</x:v>
      </x:c>
      <x:c r="E1304" s="1" t="str">
        <x:v>PROCESSING</x:v>
      </x:c>
      <x:c r="F1304" s="1" t="str">
        <x:v>Late delivery</x:v>
      </x:c>
      <x:c r="G1304" s="6" t="n">
        <x:v>6</x:v>
      </x:c>
      <x:c r="H1304" s="6" t="n">
        <x:v>4</x:v>
      </x:c>
      <x:c r="I1304" s="6" t="n">
        <x:f>G1304-H1304</x:f>
        <x:v>2</x:v>
      </x:c>
      <x:c r="J1304" s="6" t="n">
        <x:f>IF(OR(E1304="CANCELED",E1304="SUSPECTED_FRAUD",F1304="Shipping canceled"),0,1)</x:f>
        <x:v>1</x:v>
      </x:c>
      <x:c r="K1304" s="6" t="n">
        <x:f>IF(G1304&gt;H1304,1,0)</x:f>
        <x:v>1</x:v>
      </x:c>
      <x:c r="L1304" s="6" t="n">
        <x:f>J1304*K1304</x:f>
        <x:v>1</x:v>
      </x:c>
    </x:row>
    <x:row r="1305">
      <x:c r="A1305" s="1" t="n">
        <x:v>11022</x:v>
      </x:c>
      <x:c r="B1305" s="5" t="d">
        <x:v>2015-06-10T00:00:00.000Z</x:v>
      </x:c>
      <x:c r="C1305" s="1" t="str">
        <x:v>Standard Class</x:v>
      </x:c>
      <x:c r="D1305" s="1" t="str">
        <x:v>Europe</x:v>
      </x:c>
      <x:c r="E1305" s="1" t="str">
        <x:v>PROCESSING</x:v>
      </x:c>
      <x:c r="F1305" s="1" t="str">
        <x:v>Advance shipping</x:v>
      </x:c>
      <x:c r="G1305" s="6" t="n">
        <x:v>3</x:v>
      </x:c>
      <x:c r="H1305" s="6" t="n">
        <x:v>4</x:v>
      </x:c>
      <x:c r="I1305" s="6" t="n">
        <x:f>G1305-H1305</x:f>
        <x:v>-1</x:v>
      </x:c>
      <x:c r="J1305" s="6" t="n">
        <x:f>IF(OR(E1305="CANCELED",E1305="SUSPECTED_FRAUD",F1305="Shipping canceled"),0,1)</x:f>
        <x:v>1</x:v>
      </x:c>
      <x:c r="K1305" s="6" t="n">
        <x:f>IF(G1305&gt;H1305,1,0)</x:f>
        <x:v>0</x:v>
      </x:c>
      <x:c r="L1305" s="6" t="n">
        <x:f>J1305*K1305</x:f>
        <x:v>0</x:v>
      </x:c>
    </x:row>
    <x:row r="1306">
      <x:c r="A1306" s="1" t="n">
        <x:v>11025</x:v>
      </x:c>
      <x:c r="B1306" s="5" t="d">
        <x:v>2015-06-10T00:00:00.000Z</x:v>
      </x:c>
      <x:c r="C1306" s="1" t="str">
        <x:v>Standard Class</x:v>
      </x:c>
      <x:c r="D1306" s="1" t="str">
        <x:v>Europe</x:v>
      </x:c>
      <x:c r="E1306" s="1" t="str">
        <x:v>COMPLETE</x:v>
      </x:c>
      <x:c r="F1306" s="1" t="str">
        <x:v>Late delivery</x:v>
      </x:c>
      <x:c r="G1306" s="6" t="n">
        <x:v>6</x:v>
      </x:c>
      <x:c r="H1306" s="6" t="n">
        <x:v>4</x:v>
      </x:c>
      <x:c r="I1306" s="6" t="n">
        <x:f>G1306-H1306</x:f>
        <x:v>2</x:v>
      </x:c>
      <x:c r="J1306" s="6" t="n">
        <x:f>IF(OR(E1306="CANCELED",E1306="SUSPECTED_FRAUD",F1306="Shipping canceled"),0,1)</x:f>
        <x:v>1</x:v>
      </x:c>
      <x:c r="K1306" s="6" t="n">
        <x:f>IF(G1306&gt;H1306,1,0)</x:f>
        <x:v>1</x:v>
      </x:c>
      <x:c r="L1306" s="6" t="n">
        <x:f>J1306*K1306</x:f>
        <x:v>1</x:v>
      </x:c>
    </x:row>
    <x:row r="1307">
      <x:c r="A1307" s="1" t="n">
        <x:v>11038</x:v>
      </x:c>
      <x:c r="B1307" s="5" t="d">
        <x:v>2015-06-11T00:00:00.000Z</x:v>
      </x:c>
      <x:c r="C1307" s="1" t="str">
        <x:v>Second Class</x:v>
      </x:c>
      <x:c r="D1307" s="1" t="str">
        <x:v>Europe</x:v>
      </x:c>
      <x:c r="E1307" s="1" t="str">
        <x:v>COMPLETE</x:v>
      </x:c>
      <x:c r="F1307" s="1" t="str">
        <x:v>Late delivery</x:v>
      </x:c>
      <x:c r="G1307" s="6" t="n">
        <x:v>4</x:v>
      </x:c>
      <x:c r="H1307" s="6" t="n">
        <x:v>2</x:v>
      </x:c>
      <x:c r="I1307" s="6" t="n">
        <x:f>G1307-H1307</x:f>
        <x:v>2</x:v>
      </x:c>
      <x:c r="J1307" s="6" t="n">
        <x:f>IF(OR(E1307="CANCELED",E1307="SUSPECTED_FRAUD",F1307="Shipping canceled"),0,1)</x:f>
        <x:v>1</x:v>
      </x:c>
      <x:c r="K1307" s="6" t="n">
        <x:f>IF(G1307&gt;H1307,1,0)</x:f>
        <x:v>1</x:v>
      </x:c>
      <x:c r="L1307" s="6" t="n">
        <x:f>J1307*K1307</x:f>
        <x:v>1</x:v>
      </x:c>
    </x:row>
    <x:row r="1308">
      <x:c r="A1308" s="1" t="n">
        <x:v>11076</x:v>
      </x:c>
      <x:c r="B1308" s="5" t="d">
        <x:v>2015-06-11T00:00:00.000Z</x:v>
      </x:c>
      <x:c r="C1308" s="1" t="str">
        <x:v>Second Class</x:v>
      </x:c>
      <x:c r="D1308" s="1" t="str">
        <x:v>Europe</x:v>
      </x:c>
      <x:c r="E1308" s="1" t="str">
        <x:v>COMPLETE</x:v>
      </x:c>
      <x:c r="F1308" s="1" t="str">
        <x:v>Shipping on time</x:v>
      </x:c>
      <x:c r="G1308" s="6" t="n">
        <x:v>2</x:v>
      </x:c>
      <x:c r="H1308" s="6" t="n">
        <x:v>2</x:v>
      </x:c>
      <x:c r="I1308" s="6" t="n">
        <x:f>G1308-H1308</x:f>
        <x:v>0</x:v>
      </x:c>
      <x:c r="J1308" s="6" t="n">
        <x:f>IF(OR(E1308="CANCELED",E1308="SUSPECTED_FRAUD",F1308="Shipping canceled"),0,1)</x:f>
        <x:v>1</x:v>
      </x:c>
      <x:c r="K1308" s="6" t="n">
        <x:f>IF(G1308&gt;H1308,1,0)</x:f>
        <x:v>0</x:v>
      </x:c>
      <x:c r="L1308" s="6" t="n">
        <x:f>J1308*K1308</x:f>
        <x:v>0</x:v>
      </x:c>
    </x:row>
    <x:row r="1309">
      <x:c r="A1309" s="1" t="n">
        <x:v>11083</x:v>
      </x:c>
      <x:c r="B1309" s="5" t="d">
        <x:v>2015-06-11T00:00:00.000Z</x:v>
      </x:c>
      <x:c r="C1309" s="1" t="str">
        <x:v>Standard Class</x:v>
      </x:c>
      <x:c r="D1309" s="1" t="str">
        <x:v>Europe</x:v>
      </x:c>
      <x:c r="E1309" s="1" t="str">
        <x:v>COMPLETE</x:v>
      </x:c>
      <x:c r="F1309" s="1" t="str">
        <x:v>Shipping on time</x:v>
      </x:c>
      <x:c r="G1309" s="6" t="n">
        <x:v>4</x:v>
      </x:c>
      <x:c r="H1309" s="6" t="n">
        <x:v>4</x:v>
      </x:c>
      <x:c r="I1309" s="6" t="n">
        <x:f>G1309-H1309</x:f>
        <x:v>0</x:v>
      </x:c>
      <x:c r="J1309" s="6" t="n">
        <x:f>IF(OR(E1309="CANCELED",E1309="SUSPECTED_FRAUD",F1309="Shipping canceled"),0,1)</x:f>
        <x:v>1</x:v>
      </x:c>
      <x:c r="K1309" s="6" t="n">
        <x:f>IF(G1309&gt;H1309,1,0)</x:f>
        <x:v>0</x:v>
      </x:c>
      <x:c r="L1309" s="6" t="n">
        <x:f>J1309*K1309</x:f>
        <x:v>0</x:v>
      </x:c>
    </x:row>
    <x:row r="1310">
      <x:c r="A1310" s="1" t="n">
        <x:v>11090</x:v>
      </x:c>
      <x:c r="B1310" s="5" t="d">
        <x:v>2015-06-11T00:00:00.000Z</x:v>
      </x:c>
      <x:c r="C1310" s="1" t="str">
        <x:v>Standard Class</x:v>
      </x:c>
      <x:c r="D1310" s="1" t="str">
        <x:v>Europe</x:v>
      </x:c>
      <x:c r="E1310" s="1" t="str">
        <x:v>COMPLETE</x:v>
      </x:c>
      <x:c r="F1310" s="1" t="str">
        <x:v>Late delivery</x:v>
      </x:c>
      <x:c r="G1310" s="6" t="n">
        <x:v>6</x:v>
      </x:c>
      <x:c r="H1310" s="6" t="n">
        <x:v>4</x:v>
      </x:c>
      <x:c r="I1310" s="6" t="n">
        <x:f>G1310-H1310</x:f>
        <x:v>2</x:v>
      </x:c>
      <x:c r="J1310" s="6" t="n">
        <x:f>IF(OR(E1310="CANCELED",E1310="SUSPECTED_FRAUD",F1310="Shipping canceled"),0,1)</x:f>
        <x:v>1</x:v>
      </x:c>
      <x:c r="K1310" s="6" t="n">
        <x:f>IF(G1310&gt;H1310,1,0)</x:f>
        <x:v>1</x:v>
      </x:c>
      <x:c r="L1310" s="6" t="n">
        <x:f>J1310*K1310</x:f>
        <x:v>1</x:v>
      </x:c>
    </x:row>
    <x:row r="1311">
      <x:c r="A1311" s="1" t="n">
        <x:v>11107</x:v>
      </x:c>
      <x:c r="B1311" s="5" t="d">
        <x:v>2015-06-12T00:00:00.000Z</x:v>
      </x:c>
      <x:c r="C1311" s="1" t="str">
        <x:v>Standard Class</x:v>
      </x:c>
      <x:c r="D1311" s="1" t="str">
        <x:v>Europe</x:v>
      </x:c>
      <x:c r="E1311" s="1" t="str">
        <x:v>PENDING</x:v>
      </x:c>
      <x:c r="F1311" s="1" t="str">
        <x:v>Advance shipping</x:v>
      </x:c>
      <x:c r="G1311" s="6" t="n">
        <x:v>3</x:v>
      </x:c>
      <x:c r="H1311" s="6" t="n">
        <x:v>4</x:v>
      </x:c>
      <x:c r="I1311" s="6" t="n">
        <x:f>G1311-H1311</x:f>
        <x:v>-1</x:v>
      </x:c>
      <x:c r="J1311" s="6" t="n">
        <x:f>IF(OR(E1311="CANCELED",E1311="SUSPECTED_FRAUD",F1311="Shipping canceled"),0,1)</x:f>
        <x:v>1</x:v>
      </x:c>
      <x:c r="K1311" s="6" t="n">
        <x:f>IF(G1311&gt;H1311,1,0)</x:f>
        <x:v>0</x:v>
      </x:c>
      <x:c r="L1311" s="6" t="n">
        <x:f>J1311*K1311</x:f>
        <x:v>0</x:v>
      </x:c>
    </x:row>
    <x:row r="1312">
      <x:c r="A1312" s="1" t="n">
        <x:v>11110</x:v>
      </x:c>
      <x:c r="B1312" s="5" t="d">
        <x:v>2015-06-12T00:00:00.000Z</x:v>
      </x:c>
      <x:c r="C1312" s="1" t="str">
        <x:v>Second Class</x:v>
      </x:c>
      <x:c r="D1312" s="1" t="str">
        <x:v>Europe</x:v>
      </x:c>
      <x:c r="E1312" s="1" t="str">
        <x:v>ON_HOLD</x:v>
      </x:c>
      <x:c r="F1312" s="1" t="str">
        <x:v>Late delivery</x:v>
      </x:c>
      <x:c r="G1312" s="6" t="n">
        <x:v>6</x:v>
      </x:c>
      <x:c r="H1312" s="6" t="n">
        <x:v>2</x:v>
      </x:c>
      <x:c r="I1312" s="6" t="n">
        <x:f>G1312-H1312</x:f>
        <x:v>4</x:v>
      </x:c>
      <x:c r="J1312" s="6" t="n">
        <x:f>IF(OR(E1312="CANCELED",E1312="SUSPECTED_FRAUD",F1312="Shipping canceled"),0,1)</x:f>
        <x:v>1</x:v>
      </x:c>
      <x:c r="K1312" s="6" t="n">
        <x:f>IF(G1312&gt;H1312,1,0)</x:f>
        <x:v>1</x:v>
      </x:c>
      <x:c r="L1312" s="6" t="n">
        <x:f>J1312*K1312</x:f>
        <x:v>1</x:v>
      </x:c>
    </x:row>
    <x:row r="1313">
      <x:c r="A1313" s="1" t="n">
        <x:v>11137</x:v>
      </x:c>
      <x:c r="B1313" s="5" t="d">
        <x:v>2015-06-12T00:00:00.000Z</x:v>
      </x:c>
      <x:c r="C1313" s="1" t="str">
        <x:v>Standard Class</x:v>
      </x:c>
      <x:c r="D1313" s="1" t="str">
        <x:v>Europe</x:v>
      </x:c>
      <x:c r="E1313" s="1" t="str">
        <x:v>COMPLETE</x:v>
      </x:c>
      <x:c r="F1313" s="1" t="str">
        <x:v>Advance shipping</x:v>
      </x:c>
      <x:c r="G1313" s="6" t="n">
        <x:v>3</x:v>
      </x:c>
      <x:c r="H1313" s="6" t="n">
        <x:v>4</x:v>
      </x:c>
      <x:c r="I1313" s="6" t="n">
        <x:f>G1313-H1313</x:f>
        <x:v>-1</x:v>
      </x:c>
      <x:c r="J1313" s="6" t="n">
        <x:f>IF(OR(E1313="CANCELED",E1313="SUSPECTED_FRAUD",F1313="Shipping canceled"),0,1)</x:f>
        <x:v>1</x:v>
      </x:c>
      <x:c r="K1313" s="6" t="n">
        <x:f>IF(G1313&gt;H1313,1,0)</x:f>
        <x:v>0</x:v>
      </x:c>
      <x:c r="L1313" s="6" t="n">
        <x:f>J1313*K1313</x:f>
        <x:v>0</x:v>
      </x:c>
    </x:row>
    <x:row r="1314">
      <x:c r="A1314" s="1" t="n">
        <x:v>11142</x:v>
      </x:c>
      <x:c r="B1314" s="5" t="d">
        <x:v>2015-06-12T00:00:00.000Z</x:v>
      </x:c>
      <x:c r="C1314" s="1" t="str">
        <x:v>Standard Class</x:v>
      </x:c>
      <x:c r="D1314" s="1" t="str">
        <x:v>Europe</x:v>
      </x:c>
      <x:c r="E1314" s="1" t="str">
        <x:v>COMPLETE</x:v>
      </x:c>
      <x:c r="F1314" s="1" t="str">
        <x:v>Advance shipping</x:v>
      </x:c>
      <x:c r="G1314" s="6" t="n">
        <x:v>3</x:v>
      </x:c>
      <x:c r="H1314" s="6" t="n">
        <x:v>4</x:v>
      </x:c>
      <x:c r="I1314" s="6" t="n">
        <x:f>G1314-H1314</x:f>
        <x:v>-1</x:v>
      </x:c>
      <x:c r="J1314" s="6" t="n">
        <x:f>IF(OR(E1314="CANCELED",E1314="SUSPECTED_FRAUD",F1314="Shipping canceled"),0,1)</x:f>
        <x:v>1</x:v>
      </x:c>
      <x:c r="K1314" s="6" t="n">
        <x:f>IF(G1314&gt;H1314,1,0)</x:f>
        <x:v>0</x:v>
      </x:c>
      <x:c r="L1314" s="6" t="n">
        <x:f>J1314*K1314</x:f>
        <x:v>0</x:v>
      </x:c>
    </x:row>
    <x:row r="1315">
      <x:c r="A1315" s="1" t="n">
        <x:v>11143</x:v>
      </x:c>
      <x:c r="B1315" s="5" t="d">
        <x:v>2015-06-12T00:00:00.000Z</x:v>
      </x:c>
      <x:c r="C1315" s="1" t="str">
        <x:v>Standard Class</x:v>
      </x:c>
      <x:c r="D1315" s="1" t="str">
        <x:v>Europe</x:v>
      </x:c>
      <x:c r="E1315" s="1" t="str">
        <x:v>ON_HOLD</x:v>
      </x:c>
      <x:c r="F1315" s="1" t="str">
        <x:v>Shipping on time</x:v>
      </x:c>
      <x:c r="G1315" s="6" t="n">
        <x:v>4</x:v>
      </x:c>
      <x:c r="H1315" s="6" t="n">
        <x:v>4</x:v>
      </x:c>
      <x:c r="I1315" s="6" t="n">
        <x:f>G1315-H1315</x:f>
        <x:v>0</x:v>
      </x:c>
      <x:c r="J1315" s="6" t="n">
        <x:f>IF(OR(E1315="CANCELED",E1315="SUSPECTED_FRAUD",F1315="Shipping canceled"),0,1)</x:f>
        <x:v>1</x:v>
      </x:c>
      <x:c r="K1315" s="6" t="n">
        <x:f>IF(G1315&gt;H1315,1,0)</x:f>
        <x:v>0</x:v>
      </x:c>
      <x:c r="L1315" s="6" t="n">
        <x:f>J1315*K1315</x:f>
        <x:v>0</x:v>
      </x:c>
    </x:row>
    <x:row r="1316">
      <x:c r="A1316" s="1" t="n">
        <x:v>11144</x:v>
      </x:c>
      <x:c r="B1316" s="5" t="d">
        <x:v>2015-06-12T00:00:00.000Z</x:v>
      </x:c>
      <x:c r="C1316" s="1" t="str">
        <x:v>Standard Class</x:v>
      </x:c>
      <x:c r="D1316" s="1" t="str">
        <x:v>Europe</x:v>
      </x:c>
      <x:c r="E1316" s="1" t="str">
        <x:v>COMPLETE</x:v>
      </x:c>
      <x:c r="F1316" s="1" t="str">
        <x:v>Late delivery</x:v>
      </x:c>
      <x:c r="G1316" s="6" t="n">
        <x:v>5</x:v>
      </x:c>
      <x:c r="H1316" s="6" t="n">
        <x:v>4</x:v>
      </x:c>
      <x:c r="I1316" s="6" t="n">
        <x:f>G1316-H1316</x:f>
        <x:v>1</x:v>
      </x:c>
      <x:c r="J1316" s="6" t="n">
        <x:f>IF(OR(E1316="CANCELED",E1316="SUSPECTED_FRAUD",F1316="Shipping canceled"),0,1)</x:f>
        <x:v>1</x:v>
      </x:c>
      <x:c r="K1316" s="6" t="n">
        <x:f>IF(G1316&gt;H1316,1,0)</x:f>
        <x:v>1</x:v>
      </x:c>
      <x:c r="L1316" s="6" t="n">
        <x:f>J1316*K1316</x:f>
        <x:v>1</x:v>
      </x:c>
    </x:row>
    <x:row r="1317">
      <x:c r="A1317" s="1" t="n">
        <x:v>11146</x:v>
      </x:c>
      <x:c r="B1317" s="5" t="d">
        <x:v>2015-06-12T00:00:00.000Z</x:v>
      </x:c>
      <x:c r="C1317" s="1" t="str">
        <x:v>Standard Class</x:v>
      </x:c>
      <x:c r="D1317" s="1" t="str">
        <x:v>Europe</x:v>
      </x:c>
      <x:c r="E1317" s="1" t="str">
        <x:v>PENDING_PAYMENT</x:v>
      </x:c>
      <x:c r="F1317" s="1" t="str">
        <x:v>Advance shipping</x:v>
      </x:c>
      <x:c r="G1317" s="6" t="n">
        <x:v>2</x:v>
      </x:c>
      <x:c r="H1317" s="6" t="n">
        <x:v>4</x:v>
      </x:c>
      <x:c r="I1317" s="6" t="n">
        <x:f>G1317-H1317</x:f>
        <x:v>-2</x:v>
      </x:c>
      <x:c r="J1317" s="6" t="n">
        <x:f>IF(OR(E1317="CANCELED",E1317="SUSPECTED_FRAUD",F1317="Shipping canceled"),0,1)</x:f>
        <x:v>1</x:v>
      </x:c>
      <x:c r="K1317" s="6" t="n">
        <x:f>IF(G1317&gt;H1317,1,0)</x:f>
        <x:v>0</x:v>
      </x:c>
      <x:c r="L1317" s="6" t="n">
        <x:f>J1317*K1317</x:f>
        <x:v>0</x:v>
      </x:c>
    </x:row>
    <x:row r="1318">
      <x:c r="A1318" s="1" t="n">
        <x:v>11152</x:v>
      </x:c>
      <x:c r="B1318" s="5" t="d">
        <x:v>2015-06-12T00:00:00.000Z</x:v>
      </x:c>
      <x:c r="C1318" s="1" t="str">
        <x:v>Second Class</x:v>
      </x:c>
      <x:c r="D1318" s="1" t="str">
        <x:v>Europe</x:v>
      </x:c>
      <x:c r="E1318" s="1" t="str">
        <x:v>ON_HOLD</x:v>
      </x:c>
      <x:c r="F1318" s="1" t="str">
        <x:v>Late delivery</x:v>
      </x:c>
      <x:c r="G1318" s="6" t="n">
        <x:v>3</x:v>
      </x:c>
      <x:c r="H1318" s="6" t="n">
        <x:v>2</x:v>
      </x:c>
      <x:c r="I1318" s="6" t="n">
        <x:f>G1318-H1318</x:f>
        <x:v>1</x:v>
      </x:c>
      <x:c r="J1318" s="6" t="n">
        <x:f>IF(OR(E1318="CANCELED",E1318="SUSPECTED_FRAUD",F1318="Shipping canceled"),0,1)</x:f>
        <x:v>1</x:v>
      </x:c>
      <x:c r="K1318" s="6" t="n">
        <x:f>IF(G1318&gt;H1318,1,0)</x:f>
        <x:v>1</x:v>
      </x:c>
      <x:c r="L1318" s="6" t="n">
        <x:f>J1318*K1318</x:f>
        <x:v>1</x:v>
      </x:c>
    </x:row>
    <x:row r="1319">
      <x:c r="A1319" s="1" t="n">
        <x:v>11154</x:v>
      </x:c>
      <x:c r="B1319" s="5" t="d">
        <x:v>2015-06-12T00:00:00.000Z</x:v>
      </x:c>
      <x:c r="C1319" s="1" t="str">
        <x:v>Standard Class</x:v>
      </x:c>
      <x:c r="D1319" s="1" t="str">
        <x:v>Europe</x:v>
      </x:c>
      <x:c r="E1319" s="1" t="str">
        <x:v>PENDING_PAYMENT</x:v>
      </x:c>
      <x:c r="F1319" s="1" t="str">
        <x:v>Late delivery</x:v>
      </x:c>
      <x:c r="G1319" s="6" t="n">
        <x:v>5</x:v>
      </x:c>
      <x:c r="H1319" s="6" t="n">
        <x:v>4</x:v>
      </x:c>
      <x:c r="I1319" s="6" t="n">
        <x:f>G1319-H1319</x:f>
        <x:v>1</x:v>
      </x:c>
      <x:c r="J1319" s="6" t="n">
        <x:f>IF(OR(E1319="CANCELED",E1319="SUSPECTED_FRAUD",F1319="Shipping canceled"),0,1)</x:f>
        <x:v>1</x:v>
      </x:c>
      <x:c r="K1319" s="6" t="n">
        <x:f>IF(G1319&gt;H1319,1,0)</x:f>
        <x:v>1</x:v>
      </x:c>
      <x:c r="L1319" s="6" t="n">
        <x:f>J1319*K1319</x:f>
        <x:v>1</x:v>
      </x:c>
    </x:row>
    <x:row r="1320">
      <x:c r="A1320" s="1" t="n">
        <x:v>11160</x:v>
      </x:c>
      <x:c r="B1320" s="5" t="d">
        <x:v>2015-06-12T00:00:00.000Z</x:v>
      </x:c>
      <x:c r="C1320" s="1" t="str">
        <x:v>Standard Class</x:v>
      </x:c>
      <x:c r="D1320" s="1" t="str">
        <x:v>Europe</x:v>
      </x:c>
      <x:c r="E1320" s="1" t="str">
        <x:v>COMPLETE</x:v>
      </x:c>
      <x:c r="F1320" s="1" t="str">
        <x:v>Late delivery</x:v>
      </x:c>
      <x:c r="G1320" s="6" t="n">
        <x:v>6</x:v>
      </x:c>
      <x:c r="H1320" s="6" t="n">
        <x:v>4</x:v>
      </x:c>
      <x:c r="I1320" s="6" t="n">
        <x:f>G1320-H1320</x:f>
        <x:v>2</x:v>
      </x:c>
      <x:c r="J1320" s="6" t="n">
        <x:f>IF(OR(E1320="CANCELED",E1320="SUSPECTED_FRAUD",F1320="Shipping canceled"),0,1)</x:f>
        <x:v>1</x:v>
      </x:c>
      <x:c r="K1320" s="6" t="n">
        <x:f>IF(G1320&gt;H1320,1,0)</x:f>
        <x:v>1</x:v>
      </x:c>
      <x:c r="L1320" s="6" t="n">
        <x:f>J1320*K1320</x:f>
        <x:v>1</x:v>
      </x:c>
    </x:row>
    <x:row r="1321">
      <x:c r="A1321" s="1" t="n">
        <x:v>11166</x:v>
      </x:c>
      <x:c r="B1321" s="5" t="d">
        <x:v>2015-06-12T00:00:00.000Z</x:v>
      </x:c>
      <x:c r="C1321" s="1" t="str">
        <x:v>First Class</x:v>
      </x:c>
      <x:c r="D1321" s="1" t="str">
        <x:v>Europe</x:v>
      </x:c>
      <x:c r="E1321" s="1" t="str">
        <x:v>PENDING_PAYMENT</x:v>
      </x:c>
      <x:c r="F1321" s="1" t="str">
        <x:v>Late delivery</x:v>
      </x:c>
      <x:c r="G1321" s="6" t="n">
        <x:v>2</x:v>
      </x:c>
      <x:c r="H1321" s="6" t="n">
        <x:v>1</x:v>
      </x:c>
      <x:c r="I1321" s="6" t="n">
        <x:f>G1321-H1321</x:f>
        <x:v>1</x:v>
      </x:c>
      <x:c r="J1321" s="6" t="n">
        <x:f>IF(OR(E1321="CANCELED",E1321="SUSPECTED_FRAUD",F1321="Shipping canceled"),0,1)</x:f>
        <x:v>1</x:v>
      </x:c>
      <x:c r="K1321" s="6" t="n">
        <x:f>IF(G1321&gt;H1321,1,0)</x:f>
        <x:v>1</x:v>
      </x:c>
      <x:c r="L1321" s="6" t="n">
        <x:f>J1321*K1321</x:f>
        <x:v>1</x:v>
      </x:c>
    </x:row>
    <x:row r="1322">
      <x:c r="A1322" s="1" t="n">
        <x:v>11167</x:v>
      </x:c>
      <x:c r="B1322" s="5" t="d">
        <x:v>2015-06-12T00:00:00.000Z</x:v>
      </x:c>
      <x:c r="C1322" s="1" t="str">
        <x:v>Standard Class</x:v>
      </x:c>
      <x:c r="D1322" s="1" t="str">
        <x:v>Europe</x:v>
      </x:c>
      <x:c r="E1322" s="1" t="str">
        <x:v>ON_HOLD</x:v>
      </x:c>
      <x:c r="F1322" s="1" t="str">
        <x:v>Advance shipping</x:v>
      </x:c>
      <x:c r="G1322" s="6" t="n">
        <x:v>3</x:v>
      </x:c>
      <x:c r="H1322" s="6" t="n">
        <x:v>4</x:v>
      </x:c>
      <x:c r="I1322" s="6" t="n">
        <x:f>G1322-H1322</x:f>
        <x:v>-1</x:v>
      </x:c>
      <x:c r="J1322" s="6" t="n">
        <x:f>IF(OR(E1322="CANCELED",E1322="SUSPECTED_FRAUD",F1322="Shipping canceled"),0,1)</x:f>
        <x:v>1</x:v>
      </x:c>
      <x:c r="K1322" s="6" t="n">
        <x:f>IF(G1322&gt;H1322,1,0)</x:f>
        <x:v>0</x:v>
      </x:c>
      <x:c r="L1322" s="6" t="n">
        <x:f>J1322*K1322</x:f>
        <x:v>0</x:v>
      </x:c>
    </x:row>
    <x:row r="1323">
      <x:c r="A1323" s="1" t="n">
        <x:v>11170</x:v>
      </x:c>
      <x:c r="B1323" s="5" t="d">
        <x:v>2015-06-13T00:00:00.000Z</x:v>
      </x:c>
      <x:c r="C1323" s="1" t="str">
        <x:v>Standard Class</x:v>
      </x:c>
      <x:c r="D1323" s="1" t="str">
        <x:v>Europe</x:v>
      </x:c>
      <x:c r="E1323" s="1" t="str">
        <x:v>COMPLETE</x:v>
      </x:c>
      <x:c r="F1323" s="1" t="str">
        <x:v>Late delivery</x:v>
      </x:c>
      <x:c r="G1323" s="6" t="n">
        <x:v>6</x:v>
      </x:c>
      <x:c r="H1323" s="6" t="n">
        <x:v>4</x:v>
      </x:c>
      <x:c r="I1323" s="6" t="n">
        <x:f>G1323-H1323</x:f>
        <x:v>2</x:v>
      </x:c>
      <x:c r="J1323" s="6" t="n">
        <x:f>IF(OR(E1323="CANCELED",E1323="SUSPECTED_FRAUD",F1323="Shipping canceled"),0,1)</x:f>
        <x:v>1</x:v>
      </x:c>
      <x:c r="K1323" s="6" t="n">
        <x:f>IF(G1323&gt;H1323,1,0)</x:f>
        <x:v>1</x:v>
      </x:c>
      <x:c r="L1323" s="6" t="n">
        <x:f>J1323*K1323</x:f>
        <x:v>1</x:v>
      </x:c>
    </x:row>
    <x:row r="1324">
      <x:c r="A1324" s="1" t="n">
        <x:v>11176</x:v>
      </x:c>
      <x:c r="B1324" s="5" t="d">
        <x:v>2015-06-13T00:00:00.000Z</x:v>
      </x:c>
      <x:c r="C1324" s="1" t="str">
        <x:v>Same Day</x:v>
      </x:c>
      <x:c r="D1324" s="1" t="str">
        <x:v>Europe</x:v>
      </x:c>
      <x:c r="E1324" s="1" t="str">
        <x:v>COMPLETE</x:v>
      </x:c>
      <x:c r="F1324" s="1" t="str">
        <x:v>Shipping on time</x:v>
      </x:c>
      <x:c r="G1324" s="6" t="n">
        <x:v>0</x:v>
      </x:c>
      <x:c r="H1324" s="6" t="n">
        <x:v>0</x:v>
      </x:c>
      <x:c r="I1324" s="6" t="n">
        <x:f>G1324-H1324</x:f>
        <x:v>0</x:v>
      </x:c>
      <x:c r="J1324" s="6" t="n">
        <x:f>IF(OR(E1324="CANCELED",E1324="SUSPECTED_FRAUD",F1324="Shipping canceled"),0,1)</x:f>
        <x:v>1</x:v>
      </x:c>
      <x:c r="K1324" s="6" t="n">
        <x:f>IF(G1324&gt;H1324,1,0)</x:f>
        <x:v>0</x:v>
      </x:c>
      <x:c r="L1324" s="6" t="n">
        <x:f>J1324*K1324</x:f>
        <x:v>0</x:v>
      </x:c>
    </x:row>
    <x:row r="1325">
      <x:c r="A1325" s="1" t="n">
        <x:v>11200</x:v>
      </x:c>
      <x:c r="B1325" s="5" t="d">
        <x:v>2015-06-13T00:00:00.000Z</x:v>
      </x:c>
      <x:c r="C1325" s="1" t="str">
        <x:v>Standard Class</x:v>
      </x:c>
      <x:c r="D1325" s="1" t="str">
        <x:v>Europe</x:v>
      </x:c>
      <x:c r="E1325" s="1" t="str">
        <x:v>PENDING</x:v>
      </x:c>
      <x:c r="F1325" s="1" t="str">
        <x:v>Late delivery</x:v>
      </x:c>
      <x:c r="G1325" s="6" t="n">
        <x:v>6</x:v>
      </x:c>
      <x:c r="H1325" s="6" t="n">
        <x:v>4</x:v>
      </x:c>
      <x:c r="I1325" s="6" t="n">
        <x:f>G1325-H1325</x:f>
        <x:v>2</x:v>
      </x:c>
      <x:c r="J1325" s="6" t="n">
        <x:f>IF(OR(E1325="CANCELED",E1325="SUSPECTED_FRAUD",F1325="Shipping canceled"),0,1)</x:f>
        <x:v>1</x:v>
      </x:c>
      <x:c r="K1325" s="6" t="n">
        <x:f>IF(G1325&gt;H1325,1,0)</x:f>
        <x:v>1</x:v>
      </x:c>
      <x:c r="L1325" s="6" t="n">
        <x:f>J1325*K1325</x:f>
        <x:v>1</x:v>
      </x:c>
    </x:row>
    <x:row r="1326">
      <x:c r="A1326" s="1" t="n">
        <x:v>11201</x:v>
      </x:c>
      <x:c r="B1326" s="5" t="d">
        <x:v>2015-06-13T00:00:00.000Z</x:v>
      </x:c>
      <x:c r="C1326" s="1" t="str">
        <x:v>Standard Class</x:v>
      </x:c>
      <x:c r="D1326" s="1" t="str">
        <x:v>Europe</x:v>
      </x:c>
      <x:c r="E1326" s="1" t="str">
        <x:v>COMPLETE</x:v>
      </x:c>
      <x:c r="F1326" s="1" t="str">
        <x:v>Advance shipping</x:v>
      </x:c>
      <x:c r="G1326" s="6" t="n">
        <x:v>2</x:v>
      </x:c>
      <x:c r="H1326" s="6" t="n">
        <x:v>4</x:v>
      </x:c>
      <x:c r="I1326" s="6" t="n">
        <x:f>G1326-H1326</x:f>
        <x:v>-2</x:v>
      </x:c>
      <x:c r="J1326" s="6" t="n">
        <x:f>IF(OR(E1326="CANCELED",E1326="SUSPECTED_FRAUD",F1326="Shipping canceled"),0,1)</x:f>
        <x:v>1</x:v>
      </x:c>
      <x:c r="K1326" s="6" t="n">
        <x:f>IF(G1326&gt;H1326,1,0)</x:f>
        <x:v>0</x:v>
      </x:c>
      <x:c r="L1326" s="6" t="n">
        <x:f>J1326*K1326</x:f>
        <x:v>0</x:v>
      </x:c>
    </x:row>
    <x:row r="1327">
      <x:c r="A1327" s="1" t="n">
        <x:v>11202</x:v>
      </x:c>
      <x:c r="B1327" s="5" t="d">
        <x:v>2015-06-13T00:00:00.000Z</x:v>
      </x:c>
      <x:c r="C1327" s="1" t="str">
        <x:v>Standard Class</x:v>
      </x:c>
      <x:c r="D1327" s="1" t="str">
        <x:v>Europe</x:v>
      </x:c>
      <x:c r="E1327" s="1" t="str">
        <x:v>COMPLETE</x:v>
      </x:c>
      <x:c r="F1327" s="1" t="str">
        <x:v>Advance shipping</x:v>
      </x:c>
      <x:c r="G1327" s="6" t="n">
        <x:v>3</x:v>
      </x:c>
      <x:c r="H1327" s="6" t="n">
        <x:v>4</x:v>
      </x:c>
      <x:c r="I1327" s="6" t="n">
        <x:f>G1327-H1327</x:f>
        <x:v>-1</x:v>
      </x:c>
      <x:c r="J1327" s="6" t="n">
        <x:f>IF(OR(E1327="CANCELED",E1327="SUSPECTED_FRAUD",F1327="Shipping canceled"),0,1)</x:f>
        <x:v>1</x:v>
      </x:c>
      <x:c r="K1327" s="6" t="n">
        <x:f>IF(G1327&gt;H1327,1,0)</x:f>
        <x:v>0</x:v>
      </x:c>
      <x:c r="L1327" s="6" t="n">
        <x:f>J1327*K1327</x:f>
        <x:v>0</x:v>
      </x:c>
    </x:row>
    <x:row r="1328">
      <x:c r="A1328" s="1" t="n">
        <x:v>11209</x:v>
      </x:c>
      <x:c r="B1328" s="5" t="d">
        <x:v>2015-06-13T00:00:00.000Z</x:v>
      </x:c>
      <x:c r="C1328" s="1" t="str">
        <x:v>Second Class</x:v>
      </x:c>
      <x:c r="D1328" s="1" t="str">
        <x:v>Europe</x:v>
      </x:c>
      <x:c r="E1328" s="1" t="str">
        <x:v>COMPLETE</x:v>
      </x:c>
      <x:c r="F1328" s="1" t="str">
        <x:v>Late delivery</x:v>
      </x:c>
      <x:c r="G1328" s="6" t="n">
        <x:v>5</x:v>
      </x:c>
      <x:c r="H1328" s="6" t="n">
        <x:v>2</x:v>
      </x:c>
      <x:c r="I1328" s="6" t="n">
        <x:f>G1328-H1328</x:f>
        <x:v>3</x:v>
      </x:c>
      <x:c r="J1328" s="6" t="n">
        <x:f>IF(OR(E1328="CANCELED",E1328="SUSPECTED_FRAUD",F1328="Shipping canceled"),0,1)</x:f>
        <x:v>1</x:v>
      </x:c>
      <x:c r="K1328" s="6" t="n">
        <x:f>IF(G1328&gt;H1328,1,0)</x:f>
        <x:v>1</x:v>
      </x:c>
      <x:c r="L1328" s="6" t="n">
        <x:f>J1328*K1328</x:f>
        <x:v>1</x:v>
      </x:c>
    </x:row>
    <x:row r="1329">
      <x:c r="A1329" s="1" t="n">
        <x:v>11210</x:v>
      </x:c>
      <x:c r="B1329" s="5" t="d">
        <x:v>2015-06-13T00:00:00.000Z</x:v>
      </x:c>
      <x:c r="C1329" s="1" t="str">
        <x:v>First Class</x:v>
      </x:c>
      <x:c r="D1329" s="1" t="str">
        <x:v>Europe</x:v>
      </x:c>
      <x:c r="E1329" s="1" t="str">
        <x:v>PENDING_PAYMENT</x:v>
      </x:c>
      <x:c r="F1329" s="1" t="str">
        <x:v>Late delivery</x:v>
      </x:c>
      <x:c r="G1329" s="6" t="n">
        <x:v>2</x:v>
      </x:c>
      <x:c r="H1329" s="6" t="n">
        <x:v>1</x:v>
      </x:c>
      <x:c r="I1329" s="6" t="n">
        <x:f>G1329-H1329</x:f>
        <x:v>1</x:v>
      </x:c>
      <x:c r="J1329" s="6" t="n">
        <x:f>IF(OR(E1329="CANCELED",E1329="SUSPECTED_FRAUD",F1329="Shipping canceled"),0,1)</x:f>
        <x:v>1</x:v>
      </x:c>
      <x:c r="K1329" s="6" t="n">
        <x:f>IF(G1329&gt;H1329,1,0)</x:f>
        <x:v>1</x:v>
      </x:c>
      <x:c r="L1329" s="6" t="n">
        <x:f>J1329*K1329</x:f>
        <x:v>1</x:v>
      </x:c>
    </x:row>
    <x:row r="1330">
      <x:c r="A1330" s="1" t="n">
        <x:v>11226</x:v>
      </x:c>
      <x:c r="B1330" s="5" t="d">
        <x:v>2015-06-13T00:00:00.000Z</x:v>
      </x:c>
      <x:c r="C1330" s="1" t="str">
        <x:v>First Class</x:v>
      </x:c>
      <x:c r="D1330" s="1" t="str">
        <x:v>Europe</x:v>
      </x:c>
      <x:c r="E1330" s="1" t="str">
        <x:v>PENDING_PAYMENT</x:v>
      </x:c>
      <x:c r="F1330" s="1" t="str">
        <x:v>Late delivery</x:v>
      </x:c>
      <x:c r="G1330" s="6" t="n">
        <x:v>2</x:v>
      </x:c>
      <x:c r="H1330" s="6" t="n">
        <x:v>1</x:v>
      </x:c>
      <x:c r="I1330" s="6" t="n">
        <x:f>G1330-H1330</x:f>
        <x:v>1</x:v>
      </x:c>
      <x:c r="J1330" s="6" t="n">
        <x:f>IF(OR(E1330="CANCELED",E1330="SUSPECTED_FRAUD",F1330="Shipping canceled"),0,1)</x:f>
        <x:v>1</x:v>
      </x:c>
      <x:c r="K1330" s="6" t="n">
        <x:f>IF(G1330&gt;H1330,1,0)</x:f>
        <x:v>1</x:v>
      </x:c>
      <x:c r="L1330" s="6" t="n">
        <x:f>J1330*K1330</x:f>
        <x:v>1</x:v>
      </x:c>
    </x:row>
    <x:row r="1331">
      <x:c r="A1331" s="1" t="n">
        <x:v>11242</x:v>
      </x:c>
      <x:c r="B1331" s="5" t="d">
        <x:v>2015-06-14T00:00:00.000Z</x:v>
      </x:c>
      <x:c r="C1331" s="1" t="str">
        <x:v>Standard Class</x:v>
      </x:c>
      <x:c r="D1331" s="1" t="str">
        <x:v>Europe</x:v>
      </x:c>
      <x:c r="E1331" s="1" t="str">
        <x:v>COMPLETE</x:v>
      </x:c>
      <x:c r="F1331" s="1" t="str">
        <x:v>Advance shipping</x:v>
      </x:c>
      <x:c r="G1331" s="6" t="n">
        <x:v>3</x:v>
      </x:c>
      <x:c r="H1331" s="6" t="n">
        <x:v>4</x:v>
      </x:c>
      <x:c r="I1331" s="6" t="n">
        <x:f>G1331-H1331</x:f>
        <x:v>-1</x:v>
      </x:c>
      <x:c r="J1331" s="6" t="n">
        <x:f>IF(OR(E1331="CANCELED",E1331="SUSPECTED_FRAUD",F1331="Shipping canceled"),0,1)</x:f>
        <x:v>1</x:v>
      </x:c>
      <x:c r="K1331" s="6" t="n">
        <x:f>IF(G1331&gt;H1331,1,0)</x:f>
        <x:v>0</x:v>
      </x:c>
      <x:c r="L1331" s="6" t="n">
        <x:f>J1331*K1331</x:f>
        <x:v>0</x:v>
      </x:c>
    </x:row>
    <x:row r="1332">
      <x:c r="A1332" s="1" t="n">
        <x:v>11251</x:v>
      </x:c>
      <x:c r="B1332" s="5" t="d">
        <x:v>2015-06-14T00:00:00.000Z</x:v>
      </x:c>
      <x:c r="C1332" s="1" t="str">
        <x:v>Second Class</x:v>
      </x:c>
      <x:c r="D1332" s="1" t="str">
        <x:v>Europe</x:v>
      </x:c>
      <x:c r="E1332" s="1" t="str">
        <x:v>COMPLETE</x:v>
      </x:c>
      <x:c r="F1332" s="1" t="str">
        <x:v>Shipping on time</x:v>
      </x:c>
      <x:c r="G1332" s="6" t="n">
        <x:v>2</x:v>
      </x:c>
      <x:c r="H1332" s="6" t="n">
        <x:v>2</x:v>
      </x:c>
      <x:c r="I1332" s="6" t="n">
        <x:f>G1332-H1332</x:f>
        <x:v>0</x:v>
      </x:c>
      <x:c r="J1332" s="6" t="n">
        <x:f>IF(OR(E1332="CANCELED",E1332="SUSPECTED_FRAUD",F1332="Shipping canceled"),0,1)</x:f>
        <x:v>1</x:v>
      </x:c>
      <x:c r="K1332" s="6" t="n">
        <x:f>IF(G1332&gt;H1332,1,0)</x:f>
        <x:v>0</x:v>
      </x:c>
      <x:c r="L1332" s="6" t="n">
        <x:f>J1332*K1332</x:f>
        <x:v>0</x:v>
      </x:c>
    </x:row>
    <x:row r="1333">
      <x:c r="A1333" s="1" t="n">
        <x:v>11267</x:v>
      </x:c>
      <x:c r="B1333" s="5" t="d">
        <x:v>2015-06-14T00:00:00.000Z</x:v>
      </x:c>
      <x:c r="C1333" s="1" t="str">
        <x:v>Standard Class</x:v>
      </x:c>
      <x:c r="D1333" s="1" t="str">
        <x:v>Europe</x:v>
      </x:c>
      <x:c r="E1333" s="1" t="str">
        <x:v>COMPLETE</x:v>
      </x:c>
      <x:c r="F1333" s="1" t="str">
        <x:v>Advance shipping</x:v>
      </x:c>
      <x:c r="G1333" s="6" t="n">
        <x:v>3</x:v>
      </x:c>
      <x:c r="H1333" s="6" t="n">
        <x:v>4</x:v>
      </x:c>
      <x:c r="I1333" s="6" t="n">
        <x:f>G1333-H1333</x:f>
        <x:v>-1</x:v>
      </x:c>
      <x:c r="J1333" s="6" t="n">
        <x:f>IF(OR(E1333="CANCELED",E1333="SUSPECTED_FRAUD",F1333="Shipping canceled"),0,1)</x:f>
        <x:v>1</x:v>
      </x:c>
      <x:c r="K1333" s="6" t="n">
        <x:f>IF(G1333&gt;H1333,1,0)</x:f>
        <x:v>0</x:v>
      </x:c>
      <x:c r="L1333" s="6" t="n">
        <x:f>J1333*K1333</x:f>
        <x:v>0</x:v>
      </x:c>
    </x:row>
    <x:row r="1334">
      <x:c r="A1334" s="1" t="n">
        <x:v>11271</x:v>
      </x:c>
      <x:c r="B1334" s="5" t="d">
        <x:v>2015-06-14T00:00:00.000Z</x:v>
      </x:c>
      <x:c r="C1334" s="1" t="str">
        <x:v>Standard Class</x:v>
      </x:c>
      <x:c r="D1334" s="1" t="str">
        <x:v>Europe</x:v>
      </x:c>
      <x:c r="E1334" s="1" t="str">
        <x:v>COMPLETE</x:v>
      </x:c>
      <x:c r="F1334" s="1" t="str">
        <x:v>Advance shipping</x:v>
      </x:c>
      <x:c r="G1334" s="6" t="n">
        <x:v>2</x:v>
      </x:c>
      <x:c r="H1334" s="6" t="n">
        <x:v>4</x:v>
      </x:c>
      <x:c r="I1334" s="6" t="n">
        <x:f>G1334-H1334</x:f>
        <x:v>-2</x:v>
      </x:c>
      <x:c r="J1334" s="6" t="n">
        <x:f>IF(OR(E1334="CANCELED",E1334="SUSPECTED_FRAUD",F1334="Shipping canceled"),0,1)</x:f>
        <x:v>1</x:v>
      </x:c>
      <x:c r="K1334" s="6" t="n">
        <x:f>IF(G1334&gt;H1334,1,0)</x:f>
        <x:v>0</x:v>
      </x:c>
      <x:c r="L1334" s="6" t="n">
        <x:f>J1334*K1334</x:f>
        <x:v>0</x:v>
      </x:c>
    </x:row>
    <x:row r="1335">
      <x:c r="A1335" s="1" t="n">
        <x:v>11272</x:v>
      </x:c>
      <x:c r="B1335" s="5" t="d">
        <x:v>2015-06-14T00:00:00.000Z</x:v>
      </x:c>
      <x:c r="C1335" s="1" t="str">
        <x:v>Standard Class</x:v>
      </x:c>
      <x:c r="D1335" s="1" t="str">
        <x:v>Europe</x:v>
      </x:c>
      <x:c r="E1335" s="1" t="str">
        <x:v>PENDING_PAYMENT</x:v>
      </x:c>
      <x:c r="F1335" s="1" t="str">
        <x:v>Advance shipping</x:v>
      </x:c>
      <x:c r="G1335" s="6" t="n">
        <x:v>3</x:v>
      </x:c>
      <x:c r="H1335" s="6" t="n">
        <x:v>4</x:v>
      </x:c>
      <x:c r="I1335" s="6" t="n">
        <x:f>G1335-H1335</x:f>
        <x:v>-1</x:v>
      </x:c>
      <x:c r="J1335" s="6" t="n">
        <x:f>IF(OR(E1335="CANCELED",E1335="SUSPECTED_FRAUD",F1335="Shipping canceled"),0,1)</x:f>
        <x:v>1</x:v>
      </x:c>
      <x:c r="K1335" s="6" t="n">
        <x:f>IF(G1335&gt;H1335,1,0)</x:f>
        <x:v>0</x:v>
      </x:c>
      <x:c r="L1335" s="6" t="n">
        <x:f>J1335*K1335</x:f>
        <x:v>0</x:v>
      </x:c>
    </x:row>
    <x:row r="1336">
      <x:c r="A1336" s="1" t="n">
        <x:v>11289</x:v>
      </x:c>
      <x:c r="B1336" s="5" t="d">
        <x:v>2015-06-14T00:00:00.000Z</x:v>
      </x:c>
      <x:c r="C1336" s="1" t="str">
        <x:v>Second Class</x:v>
      </x:c>
      <x:c r="D1336" s="1" t="str">
        <x:v>Europe</x:v>
      </x:c>
      <x:c r="E1336" s="1" t="str">
        <x:v>PENDING_PAYMENT</x:v>
      </x:c>
      <x:c r="F1336" s="1" t="str">
        <x:v>Late delivery</x:v>
      </x:c>
      <x:c r="G1336" s="6" t="n">
        <x:v>5</x:v>
      </x:c>
      <x:c r="H1336" s="6" t="n">
        <x:v>2</x:v>
      </x:c>
      <x:c r="I1336" s="6" t="n">
        <x:f>G1336-H1336</x:f>
        <x:v>3</x:v>
      </x:c>
      <x:c r="J1336" s="6" t="n">
        <x:f>IF(OR(E1336="CANCELED",E1336="SUSPECTED_FRAUD",F1336="Shipping canceled"),0,1)</x:f>
        <x:v>1</x:v>
      </x:c>
      <x:c r="K1336" s="6" t="n">
        <x:f>IF(G1336&gt;H1336,1,0)</x:f>
        <x:v>1</x:v>
      </x:c>
      <x:c r="L1336" s="6" t="n">
        <x:f>J1336*K1336</x:f>
        <x:v>1</x:v>
      </x:c>
    </x:row>
    <x:row r="1337">
      <x:c r="A1337" s="1" t="n">
        <x:v>11300</x:v>
      </x:c>
      <x:c r="B1337" s="5" t="d">
        <x:v>2015-06-14T00:00:00.000Z</x:v>
      </x:c>
      <x:c r="C1337" s="1" t="str">
        <x:v>Standard Class</x:v>
      </x:c>
      <x:c r="D1337" s="1" t="str">
        <x:v>Europe</x:v>
      </x:c>
      <x:c r="E1337" s="1" t="str">
        <x:v>COMPLETE</x:v>
      </x:c>
      <x:c r="F1337" s="1" t="str">
        <x:v>Late delivery</x:v>
      </x:c>
      <x:c r="G1337" s="6" t="n">
        <x:v>6</x:v>
      </x:c>
      <x:c r="H1337" s="6" t="n">
        <x:v>4</x:v>
      </x:c>
      <x:c r="I1337" s="6" t="n">
        <x:f>G1337-H1337</x:f>
        <x:v>2</x:v>
      </x:c>
      <x:c r="J1337" s="6" t="n">
        <x:f>IF(OR(E1337="CANCELED",E1337="SUSPECTED_FRAUD",F1337="Shipping canceled"),0,1)</x:f>
        <x:v>1</x:v>
      </x:c>
      <x:c r="K1337" s="6" t="n">
        <x:f>IF(G1337&gt;H1337,1,0)</x:f>
        <x:v>1</x:v>
      </x:c>
      <x:c r="L1337" s="6" t="n">
        <x:f>J1337*K1337</x:f>
        <x:v>1</x:v>
      </x:c>
    </x:row>
    <x:row r="1338">
      <x:c r="A1338" s="1" t="n">
        <x:v>11305</x:v>
      </x:c>
      <x:c r="B1338" s="5" t="d">
        <x:v>2015-06-15T00:00:00.000Z</x:v>
      </x:c>
      <x:c r="C1338" s="1" t="str">
        <x:v>Standard Class</x:v>
      </x:c>
      <x:c r="D1338" s="1" t="str">
        <x:v>Europe</x:v>
      </x:c>
      <x:c r="E1338" s="1" t="str">
        <x:v>PROCESSING</x:v>
      </x:c>
      <x:c r="F1338" s="1" t="str">
        <x:v>Late delivery</x:v>
      </x:c>
      <x:c r="G1338" s="6" t="n">
        <x:v>6</x:v>
      </x:c>
      <x:c r="H1338" s="6" t="n">
        <x:v>4</x:v>
      </x:c>
      <x:c r="I1338" s="6" t="n">
        <x:f>G1338-H1338</x:f>
        <x:v>2</x:v>
      </x:c>
      <x:c r="J1338" s="6" t="n">
        <x:f>IF(OR(E1338="CANCELED",E1338="SUSPECTED_FRAUD",F1338="Shipping canceled"),0,1)</x:f>
        <x:v>1</x:v>
      </x:c>
      <x:c r="K1338" s="6" t="n">
        <x:f>IF(G1338&gt;H1338,1,0)</x:f>
        <x:v>1</x:v>
      </x:c>
      <x:c r="L1338" s="6" t="n">
        <x:f>J1338*K1338</x:f>
        <x:v>1</x:v>
      </x:c>
    </x:row>
    <x:row r="1339">
      <x:c r="A1339" s="1" t="n">
        <x:v>11316</x:v>
      </x:c>
      <x:c r="B1339" s="5" t="d">
        <x:v>2015-06-15T00:00:00.000Z</x:v>
      </x:c>
      <x:c r="C1339" s="1" t="str">
        <x:v>Standard Class</x:v>
      </x:c>
      <x:c r="D1339" s="1" t="str">
        <x:v>Europe</x:v>
      </x:c>
      <x:c r="E1339" s="1" t="str">
        <x:v>COMPLETE</x:v>
      </x:c>
      <x:c r="F1339" s="1" t="str">
        <x:v>Advance shipping</x:v>
      </x:c>
      <x:c r="G1339" s="6" t="n">
        <x:v>2</x:v>
      </x:c>
      <x:c r="H1339" s="6" t="n">
        <x:v>4</x:v>
      </x:c>
      <x:c r="I1339" s="6" t="n">
        <x:f>G1339-H1339</x:f>
        <x:v>-2</x:v>
      </x:c>
      <x:c r="J1339" s="6" t="n">
        <x:f>IF(OR(E1339="CANCELED",E1339="SUSPECTED_FRAUD",F1339="Shipping canceled"),0,1)</x:f>
        <x:v>1</x:v>
      </x:c>
      <x:c r="K1339" s="6" t="n">
        <x:f>IF(G1339&gt;H1339,1,0)</x:f>
        <x:v>0</x:v>
      </x:c>
      <x:c r="L1339" s="6" t="n">
        <x:f>J1339*K1339</x:f>
        <x:v>0</x:v>
      </x:c>
    </x:row>
    <x:row r="1340">
      <x:c r="A1340" s="1" t="n">
        <x:v>11318</x:v>
      </x:c>
      <x:c r="B1340" s="5" t="d">
        <x:v>2015-06-15T00:00:00.000Z</x:v>
      </x:c>
      <x:c r="C1340" s="1" t="str">
        <x:v>Standard Class</x:v>
      </x:c>
      <x:c r="D1340" s="1" t="str">
        <x:v>Europe</x:v>
      </x:c>
      <x:c r="E1340" s="1" t="str">
        <x:v>COMPLETE</x:v>
      </x:c>
      <x:c r="F1340" s="1" t="str">
        <x:v>Shipping on time</x:v>
      </x:c>
      <x:c r="G1340" s="6" t="n">
        <x:v>4</x:v>
      </x:c>
      <x:c r="H1340" s="6" t="n">
        <x:v>4</x:v>
      </x:c>
      <x:c r="I1340" s="6" t="n">
        <x:f>G1340-H1340</x:f>
        <x:v>0</x:v>
      </x:c>
      <x:c r="J1340" s="6" t="n">
        <x:f>IF(OR(E1340="CANCELED",E1340="SUSPECTED_FRAUD",F1340="Shipping canceled"),0,1)</x:f>
        <x:v>1</x:v>
      </x:c>
      <x:c r="K1340" s="6" t="n">
        <x:f>IF(G1340&gt;H1340,1,0)</x:f>
        <x:v>0</x:v>
      </x:c>
      <x:c r="L1340" s="6" t="n">
        <x:f>J1340*K1340</x:f>
        <x:v>0</x:v>
      </x:c>
    </x:row>
    <x:row r="1341">
      <x:c r="A1341" s="1" t="n">
        <x:v>11321</x:v>
      </x:c>
      <x:c r="B1341" s="5" t="d">
        <x:v>2015-06-15T00:00:00.000Z</x:v>
      </x:c>
      <x:c r="C1341" s="1" t="str">
        <x:v>Second Class</x:v>
      </x:c>
      <x:c r="D1341" s="1" t="str">
        <x:v>Europe</x:v>
      </x:c>
      <x:c r="E1341" s="1" t="str">
        <x:v>PENDING_PAYMENT</x:v>
      </x:c>
      <x:c r="F1341" s="1" t="str">
        <x:v>Shipping on time</x:v>
      </x:c>
      <x:c r="G1341" s="6" t="n">
        <x:v>2</x:v>
      </x:c>
      <x:c r="H1341" s="6" t="n">
        <x:v>2</x:v>
      </x:c>
      <x:c r="I1341" s="6" t="n">
        <x:f>G1341-H1341</x:f>
        <x:v>0</x:v>
      </x:c>
      <x:c r="J1341" s="6" t="n">
        <x:f>IF(OR(E1341="CANCELED",E1341="SUSPECTED_FRAUD",F1341="Shipping canceled"),0,1)</x:f>
        <x:v>1</x:v>
      </x:c>
      <x:c r="K1341" s="6" t="n">
        <x:f>IF(G1341&gt;H1341,1,0)</x:f>
        <x:v>0</x:v>
      </x:c>
      <x:c r="L1341" s="6" t="n">
        <x:f>J1341*K1341</x:f>
        <x:v>0</x:v>
      </x:c>
    </x:row>
    <x:row r="1342">
      <x:c r="A1342" s="1" t="n">
        <x:v>11326</x:v>
      </x:c>
      <x:c r="B1342" s="5" t="d">
        <x:v>2015-06-15T00:00:00.000Z</x:v>
      </x:c>
      <x:c r="C1342" s="1" t="str">
        <x:v>Standard Class</x:v>
      </x:c>
      <x:c r="D1342" s="1" t="str">
        <x:v>Europe</x:v>
      </x:c>
      <x:c r="E1342" s="1" t="str">
        <x:v>CLOSED</x:v>
      </x:c>
      <x:c r="F1342" s="1" t="str">
        <x:v>Advance shipping</x:v>
      </x:c>
      <x:c r="G1342" s="6" t="n">
        <x:v>2</x:v>
      </x:c>
      <x:c r="H1342" s="6" t="n">
        <x:v>4</x:v>
      </x:c>
      <x:c r="I1342" s="6" t="n">
        <x:f>G1342-H1342</x:f>
        <x:v>-2</x:v>
      </x:c>
      <x:c r="J1342" s="6" t="n">
        <x:f>IF(OR(E1342="CANCELED",E1342="SUSPECTED_FRAUD",F1342="Shipping canceled"),0,1)</x:f>
        <x:v>1</x:v>
      </x:c>
      <x:c r="K1342" s="6" t="n">
        <x:f>IF(G1342&gt;H1342,1,0)</x:f>
        <x:v>0</x:v>
      </x:c>
      <x:c r="L1342" s="6" t="n">
        <x:f>J1342*K1342</x:f>
        <x:v>0</x:v>
      </x:c>
    </x:row>
    <x:row r="1343">
      <x:c r="A1343" s="1" t="n">
        <x:v>11329</x:v>
      </x:c>
      <x:c r="B1343" s="5" t="d">
        <x:v>2015-06-15T00:00:00.000Z</x:v>
      </x:c>
      <x:c r="C1343" s="1" t="str">
        <x:v>First Class</x:v>
      </x:c>
      <x:c r="D1343" s="1" t="str">
        <x:v>Europe</x:v>
      </x:c>
      <x:c r="E1343" s="1" t="str">
        <x:v>PENDING_PAYMENT</x:v>
      </x:c>
      <x:c r="F1343" s="1" t="str">
        <x:v>Late delivery</x:v>
      </x:c>
      <x:c r="G1343" s="6" t="n">
        <x:v>2</x:v>
      </x:c>
      <x:c r="H1343" s="6" t="n">
        <x:v>1</x:v>
      </x:c>
      <x:c r="I1343" s="6" t="n">
        <x:f>G1343-H1343</x:f>
        <x:v>1</x:v>
      </x:c>
      <x:c r="J1343" s="6" t="n">
        <x:f>IF(OR(E1343="CANCELED",E1343="SUSPECTED_FRAUD",F1343="Shipping canceled"),0,1)</x:f>
        <x:v>1</x:v>
      </x:c>
      <x:c r="K1343" s="6" t="n">
        <x:f>IF(G1343&gt;H1343,1,0)</x:f>
        <x:v>1</x:v>
      </x:c>
      <x:c r="L1343" s="6" t="n">
        <x:f>J1343*K1343</x:f>
        <x:v>1</x:v>
      </x:c>
    </x:row>
    <x:row r="1344">
      <x:c r="A1344" s="1" t="n">
        <x:v>11334</x:v>
      </x:c>
      <x:c r="B1344" s="5" t="d">
        <x:v>2015-06-15T00:00:00.000Z</x:v>
      </x:c>
      <x:c r="C1344" s="1" t="str">
        <x:v>Standard Class</x:v>
      </x:c>
      <x:c r="D1344" s="1" t="str">
        <x:v>Europe</x:v>
      </x:c>
      <x:c r="E1344" s="1" t="str">
        <x:v>COMPLETE</x:v>
      </x:c>
      <x:c r="F1344" s="1" t="str">
        <x:v>Late delivery</x:v>
      </x:c>
      <x:c r="G1344" s="6" t="n">
        <x:v>5</x:v>
      </x:c>
      <x:c r="H1344" s="6" t="n">
        <x:v>4</x:v>
      </x:c>
      <x:c r="I1344" s="6" t="n">
        <x:f>G1344-H1344</x:f>
        <x:v>1</x:v>
      </x:c>
      <x:c r="J1344" s="6" t="n">
        <x:f>IF(OR(E1344="CANCELED",E1344="SUSPECTED_FRAUD",F1344="Shipping canceled"),0,1)</x:f>
        <x:v>1</x:v>
      </x:c>
      <x:c r="K1344" s="6" t="n">
        <x:f>IF(G1344&gt;H1344,1,0)</x:f>
        <x:v>1</x:v>
      </x:c>
      <x:c r="L1344" s="6" t="n">
        <x:f>J1344*K1344</x:f>
        <x:v>1</x:v>
      </x:c>
    </x:row>
    <x:row r="1345">
      <x:c r="A1345" s="1" t="n">
        <x:v>11338</x:v>
      </x:c>
      <x:c r="B1345" s="5" t="d">
        <x:v>2015-06-15T00:00:00.000Z</x:v>
      </x:c>
      <x:c r="C1345" s="1" t="str">
        <x:v>Standard Class</x:v>
      </x:c>
      <x:c r="D1345" s="1" t="str">
        <x:v>Europe</x:v>
      </x:c>
      <x:c r="E1345" s="1" t="str">
        <x:v>PAYMENT_REVIEW</x:v>
      </x:c>
      <x:c r="F1345" s="1" t="str">
        <x:v>Shipping on time</x:v>
      </x:c>
      <x:c r="G1345" s="6" t="n">
        <x:v>4</x:v>
      </x:c>
      <x:c r="H1345" s="6" t="n">
        <x:v>4</x:v>
      </x:c>
      <x:c r="I1345" s="6" t="n">
        <x:f>G1345-H1345</x:f>
        <x:v>0</x:v>
      </x:c>
      <x:c r="J1345" s="6" t="n">
        <x:f>IF(OR(E1345="CANCELED",E1345="SUSPECTED_FRAUD",F1345="Shipping canceled"),0,1)</x:f>
        <x:v>1</x:v>
      </x:c>
      <x:c r="K1345" s="6" t="n">
        <x:f>IF(G1345&gt;H1345,1,0)</x:f>
        <x:v>0</x:v>
      </x:c>
      <x:c r="L1345" s="6" t="n">
        <x:f>J1345*K1345</x:f>
        <x:v>0</x:v>
      </x:c>
    </x:row>
    <x:row r="1346">
      <x:c r="A1346" s="1" t="n">
        <x:v>11339</x:v>
      </x:c>
      <x:c r="B1346" s="5" t="d">
        <x:v>2015-06-15T00:00:00.000Z</x:v>
      </x:c>
      <x:c r="C1346" s="1" t="str">
        <x:v>Standard Class</x:v>
      </x:c>
      <x:c r="D1346" s="1" t="str">
        <x:v>Europe</x:v>
      </x:c>
      <x:c r="E1346" s="1" t="str">
        <x:v>COMPLETE</x:v>
      </x:c>
      <x:c r="F1346" s="1" t="str">
        <x:v>Late delivery</x:v>
      </x:c>
      <x:c r="G1346" s="6" t="n">
        <x:v>5</x:v>
      </x:c>
      <x:c r="H1346" s="6" t="n">
        <x:v>4</x:v>
      </x:c>
      <x:c r="I1346" s="6" t="n">
        <x:f>G1346-H1346</x:f>
        <x:v>1</x:v>
      </x:c>
      <x:c r="J1346" s="6" t="n">
        <x:f>IF(OR(E1346="CANCELED",E1346="SUSPECTED_FRAUD",F1346="Shipping canceled"),0,1)</x:f>
        <x:v>1</x:v>
      </x:c>
      <x:c r="K1346" s="6" t="n">
        <x:f>IF(G1346&gt;H1346,1,0)</x:f>
        <x:v>1</x:v>
      </x:c>
      <x:c r="L1346" s="6" t="n">
        <x:f>J1346*K1346</x:f>
        <x:v>1</x:v>
      </x:c>
    </x:row>
    <x:row r="1347">
      <x:c r="A1347" s="1" t="n">
        <x:v>11347</x:v>
      </x:c>
      <x:c r="B1347" s="5" t="d">
        <x:v>2015-06-15T00:00:00.000Z</x:v>
      </x:c>
      <x:c r="C1347" s="1" t="str">
        <x:v>Standard Class</x:v>
      </x:c>
      <x:c r="D1347" s="1" t="str">
        <x:v>Europe</x:v>
      </x:c>
      <x:c r="E1347" s="1" t="str">
        <x:v>PENDING</x:v>
      </x:c>
      <x:c r="F1347" s="1" t="str">
        <x:v>Advance shipping</x:v>
      </x:c>
      <x:c r="G1347" s="6" t="n">
        <x:v>3</x:v>
      </x:c>
      <x:c r="H1347" s="6" t="n">
        <x:v>4</x:v>
      </x:c>
      <x:c r="I1347" s="6" t="n">
        <x:f>G1347-H1347</x:f>
        <x:v>-1</x:v>
      </x:c>
      <x:c r="J1347" s="6" t="n">
        <x:f>IF(OR(E1347="CANCELED",E1347="SUSPECTED_FRAUD",F1347="Shipping canceled"),0,1)</x:f>
        <x:v>1</x:v>
      </x:c>
      <x:c r="K1347" s="6" t="n">
        <x:f>IF(G1347&gt;H1347,1,0)</x:f>
        <x:v>0</x:v>
      </x:c>
      <x:c r="L1347" s="6" t="n">
        <x:f>J1347*K1347</x:f>
        <x:v>0</x:v>
      </x:c>
    </x:row>
    <x:row r="1348">
      <x:c r="A1348" s="1" t="n">
        <x:v>11348</x:v>
      </x:c>
      <x:c r="B1348" s="5" t="d">
        <x:v>2015-06-15T00:00:00.000Z</x:v>
      </x:c>
      <x:c r="C1348" s="1" t="str">
        <x:v>Standard Class</x:v>
      </x:c>
      <x:c r="D1348" s="1" t="str">
        <x:v>Europe</x:v>
      </x:c>
      <x:c r="E1348" s="1" t="str">
        <x:v>COMPLETE</x:v>
      </x:c>
      <x:c r="F1348" s="1" t="str">
        <x:v>Shipping on time</x:v>
      </x:c>
      <x:c r="G1348" s="6" t="n">
        <x:v>4</x:v>
      </x:c>
      <x:c r="H1348" s="6" t="n">
        <x:v>4</x:v>
      </x:c>
      <x:c r="I1348" s="6" t="n">
        <x:f>G1348-H1348</x:f>
        <x:v>0</x:v>
      </x:c>
      <x:c r="J1348" s="6" t="n">
        <x:f>IF(OR(E1348="CANCELED",E1348="SUSPECTED_FRAUD",F1348="Shipping canceled"),0,1)</x:f>
        <x:v>1</x:v>
      </x:c>
      <x:c r="K1348" s="6" t="n">
        <x:f>IF(G1348&gt;H1348,1,0)</x:f>
        <x:v>0</x:v>
      </x:c>
      <x:c r="L1348" s="6" t="n">
        <x:f>J1348*K1348</x:f>
        <x:v>0</x:v>
      </x:c>
    </x:row>
    <x:row r="1349">
      <x:c r="A1349" s="1" t="n">
        <x:v>11353</x:v>
      </x:c>
      <x:c r="B1349" s="5" t="d">
        <x:v>2015-06-15T00:00:00.000Z</x:v>
      </x:c>
      <x:c r="C1349" s="1" t="str">
        <x:v>Standard Class</x:v>
      </x:c>
      <x:c r="D1349" s="1" t="str">
        <x:v>Europe</x:v>
      </x:c>
      <x:c r="E1349" s="1" t="str">
        <x:v>COMPLETE</x:v>
      </x:c>
      <x:c r="F1349" s="1" t="str">
        <x:v>Shipping on time</x:v>
      </x:c>
      <x:c r="G1349" s="6" t="n">
        <x:v>4</x:v>
      </x:c>
      <x:c r="H1349" s="6" t="n">
        <x:v>4</x:v>
      </x:c>
      <x:c r="I1349" s="6" t="n">
        <x:f>G1349-H1349</x:f>
        <x:v>0</x:v>
      </x:c>
      <x:c r="J1349" s="6" t="n">
        <x:f>IF(OR(E1349="CANCELED",E1349="SUSPECTED_FRAUD",F1349="Shipping canceled"),0,1)</x:f>
        <x:v>1</x:v>
      </x:c>
      <x:c r="K1349" s="6" t="n">
        <x:f>IF(G1349&gt;H1349,1,0)</x:f>
        <x:v>0</x:v>
      </x:c>
      <x:c r="L1349" s="6" t="n">
        <x:f>J1349*K1349</x:f>
        <x:v>0</x:v>
      </x:c>
    </x:row>
    <x:row r="1350">
      <x:c r="A1350" s="1" t="n">
        <x:v>11357</x:v>
      </x:c>
      <x:c r="B1350" s="5" t="d">
        <x:v>2015-06-15T00:00:00.000Z</x:v>
      </x:c>
      <x:c r="C1350" s="1" t="str">
        <x:v>Standard Class</x:v>
      </x:c>
      <x:c r="D1350" s="1" t="str">
        <x:v>Europe</x:v>
      </x:c>
      <x:c r="E1350" s="1" t="str">
        <x:v>PROCESSING</x:v>
      </x:c>
      <x:c r="F1350" s="1" t="str">
        <x:v>Advance shipping</x:v>
      </x:c>
      <x:c r="G1350" s="6" t="n">
        <x:v>3</x:v>
      </x:c>
      <x:c r="H1350" s="6" t="n">
        <x:v>4</x:v>
      </x:c>
      <x:c r="I1350" s="6" t="n">
        <x:f>G1350-H1350</x:f>
        <x:v>-1</x:v>
      </x:c>
      <x:c r="J1350" s="6" t="n">
        <x:f>IF(OR(E1350="CANCELED",E1350="SUSPECTED_FRAUD",F1350="Shipping canceled"),0,1)</x:f>
        <x:v>1</x:v>
      </x:c>
      <x:c r="K1350" s="6" t="n">
        <x:f>IF(G1350&gt;H1350,1,0)</x:f>
        <x:v>0</x:v>
      </x:c>
      <x:c r="L1350" s="6" t="n">
        <x:f>J1350*K1350</x:f>
        <x:v>0</x:v>
      </x:c>
    </x:row>
    <x:row r="1351">
      <x:c r="A1351" s="1" t="n">
        <x:v>11369</x:v>
      </x:c>
      <x:c r="B1351" s="5" t="d">
        <x:v>2015-06-15T00:00:00.000Z</x:v>
      </x:c>
      <x:c r="C1351" s="1" t="str">
        <x:v>First Class</x:v>
      </x:c>
      <x:c r="D1351" s="1" t="str">
        <x:v>Europe</x:v>
      </x:c>
      <x:c r="E1351" s="1" t="str">
        <x:v>CLOSED</x:v>
      </x:c>
      <x:c r="F1351" s="1" t="str">
        <x:v>Late delivery</x:v>
      </x:c>
      <x:c r="G1351" s="6" t="n">
        <x:v>2</x:v>
      </x:c>
      <x:c r="H1351" s="6" t="n">
        <x:v>1</x:v>
      </x:c>
      <x:c r="I1351" s="6" t="n">
        <x:f>G1351-H1351</x:f>
        <x:v>1</x:v>
      </x:c>
      <x:c r="J1351" s="6" t="n">
        <x:f>IF(OR(E1351="CANCELED",E1351="SUSPECTED_FRAUD",F1351="Shipping canceled"),0,1)</x:f>
        <x:v>1</x:v>
      </x:c>
      <x:c r="K1351" s="6" t="n">
        <x:f>IF(G1351&gt;H1351,1,0)</x:f>
        <x:v>1</x:v>
      </x:c>
      <x:c r="L1351" s="6" t="n">
        <x:f>J1351*K1351</x:f>
        <x:v>1</x:v>
      </x:c>
    </x:row>
    <x:row r="1352">
      <x:c r="A1352" s="1" t="n">
        <x:v>11378</x:v>
      </x:c>
      <x:c r="B1352" s="5" t="d">
        <x:v>2015-06-16T00:00:00.000Z</x:v>
      </x:c>
      <x:c r="C1352" s="1" t="str">
        <x:v>Standard Class</x:v>
      </x:c>
      <x:c r="D1352" s="1" t="str">
        <x:v>Europe</x:v>
      </x:c>
      <x:c r="E1352" s="1" t="str">
        <x:v>COMPLETE</x:v>
      </x:c>
      <x:c r="F1352" s="1" t="str">
        <x:v>Shipping on time</x:v>
      </x:c>
      <x:c r="G1352" s="6" t="n">
        <x:v>4</x:v>
      </x:c>
      <x:c r="H1352" s="6" t="n">
        <x:v>4</x:v>
      </x:c>
      <x:c r="I1352" s="6" t="n">
        <x:f>G1352-H1352</x:f>
        <x:v>0</x:v>
      </x:c>
      <x:c r="J1352" s="6" t="n">
        <x:f>IF(OR(E1352="CANCELED",E1352="SUSPECTED_FRAUD",F1352="Shipping canceled"),0,1)</x:f>
        <x:v>1</x:v>
      </x:c>
      <x:c r="K1352" s="6" t="n">
        <x:f>IF(G1352&gt;H1352,1,0)</x:f>
        <x:v>0</x:v>
      </x:c>
      <x:c r="L1352" s="6" t="n">
        <x:f>J1352*K1352</x:f>
        <x:v>0</x:v>
      </x:c>
    </x:row>
    <x:row r="1353">
      <x:c r="A1353" s="1" t="n">
        <x:v>11383</x:v>
      </x:c>
      <x:c r="B1353" s="5" t="d">
        <x:v>2015-06-16T00:00:00.000Z</x:v>
      </x:c>
      <x:c r="C1353" s="1" t="str">
        <x:v>Standard Class</x:v>
      </x:c>
      <x:c r="D1353" s="1" t="str">
        <x:v>Europe</x:v>
      </x:c>
      <x:c r="E1353" s="1" t="str">
        <x:v>CLOSED</x:v>
      </x:c>
      <x:c r="F1353" s="1" t="str">
        <x:v>Shipping on time</x:v>
      </x:c>
      <x:c r="G1353" s="6" t="n">
        <x:v>4</x:v>
      </x:c>
      <x:c r="H1353" s="6" t="n">
        <x:v>4</x:v>
      </x:c>
      <x:c r="I1353" s="6" t="n">
        <x:f>G1353-H1353</x:f>
        <x:v>0</x:v>
      </x:c>
      <x:c r="J1353" s="6" t="n">
        <x:f>IF(OR(E1353="CANCELED",E1353="SUSPECTED_FRAUD",F1353="Shipping canceled"),0,1)</x:f>
        <x:v>1</x:v>
      </x:c>
      <x:c r="K1353" s="6" t="n">
        <x:f>IF(G1353&gt;H1353,1,0)</x:f>
        <x:v>0</x:v>
      </x:c>
      <x:c r="L1353" s="6" t="n">
        <x:f>J1353*K1353</x:f>
        <x:v>0</x:v>
      </x:c>
    </x:row>
    <x:row r="1354">
      <x:c r="A1354" s="1" t="n">
        <x:v>11391</x:v>
      </x:c>
      <x:c r="B1354" s="5" t="d">
        <x:v>2015-06-16T00:00:00.000Z</x:v>
      </x:c>
      <x:c r="C1354" s="1" t="str">
        <x:v>Standard Class</x:v>
      </x:c>
      <x:c r="D1354" s="1" t="str">
        <x:v>Europe</x:v>
      </x:c>
      <x:c r="E1354" s="1" t="str">
        <x:v>COMPLETE</x:v>
      </x:c>
      <x:c r="F1354" s="1" t="str">
        <x:v>Advance shipping</x:v>
      </x:c>
      <x:c r="G1354" s="6" t="n">
        <x:v>2</x:v>
      </x:c>
      <x:c r="H1354" s="6" t="n">
        <x:v>4</x:v>
      </x:c>
      <x:c r="I1354" s="6" t="n">
        <x:f>G1354-H1354</x:f>
        <x:v>-2</x:v>
      </x:c>
      <x:c r="J1354" s="6" t="n">
        <x:f>IF(OR(E1354="CANCELED",E1354="SUSPECTED_FRAUD",F1354="Shipping canceled"),0,1)</x:f>
        <x:v>1</x:v>
      </x:c>
      <x:c r="K1354" s="6" t="n">
        <x:f>IF(G1354&gt;H1354,1,0)</x:f>
        <x:v>0</x:v>
      </x:c>
      <x:c r="L1354" s="6" t="n">
        <x:f>J1354*K1354</x:f>
        <x:v>0</x:v>
      </x:c>
    </x:row>
    <x:row r="1355">
      <x:c r="A1355" s="1" t="n">
        <x:v>11392</x:v>
      </x:c>
      <x:c r="B1355" s="5" t="d">
        <x:v>2015-06-16T00:00:00.000Z</x:v>
      </x:c>
      <x:c r="C1355" s="1" t="str">
        <x:v>Standard Class</x:v>
      </x:c>
      <x:c r="D1355" s="1" t="str">
        <x:v>Europe</x:v>
      </x:c>
      <x:c r="E1355" s="1" t="str">
        <x:v>COMPLETE</x:v>
      </x:c>
      <x:c r="F1355" s="1" t="str">
        <x:v>Advance shipping</x:v>
      </x:c>
      <x:c r="G1355" s="6" t="n">
        <x:v>3</x:v>
      </x:c>
      <x:c r="H1355" s="6" t="n">
        <x:v>4</x:v>
      </x:c>
      <x:c r="I1355" s="6" t="n">
        <x:f>G1355-H1355</x:f>
        <x:v>-1</x:v>
      </x:c>
      <x:c r="J1355" s="6" t="n">
        <x:f>IF(OR(E1355="CANCELED",E1355="SUSPECTED_FRAUD",F1355="Shipping canceled"),0,1)</x:f>
        <x:v>1</x:v>
      </x:c>
      <x:c r="K1355" s="6" t="n">
        <x:f>IF(G1355&gt;H1355,1,0)</x:f>
        <x:v>0</x:v>
      </x:c>
      <x:c r="L1355" s="6" t="n">
        <x:f>J1355*K1355</x:f>
        <x:v>0</x:v>
      </x:c>
    </x:row>
    <x:row r="1356">
      <x:c r="A1356" s="1" t="n">
        <x:v>11399</x:v>
      </x:c>
      <x:c r="B1356" s="5" t="d">
        <x:v>2015-06-16T00:00:00.000Z</x:v>
      </x:c>
      <x:c r="C1356" s="1" t="str">
        <x:v>Standard Class</x:v>
      </x:c>
      <x:c r="D1356" s="1" t="str">
        <x:v>Europe</x:v>
      </x:c>
      <x:c r="E1356" s="1" t="str">
        <x:v>COMPLETE</x:v>
      </x:c>
      <x:c r="F1356" s="1" t="str">
        <x:v>Late delivery</x:v>
      </x:c>
      <x:c r="G1356" s="6" t="n">
        <x:v>5</x:v>
      </x:c>
      <x:c r="H1356" s="6" t="n">
        <x:v>4</x:v>
      </x:c>
      <x:c r="I1356" s="6" t="n">
        <x:f>G1356-H1356</x:f>
        <x:v>1</x:v>
      </x:c>
      <x:c r="J1356" s="6" t="n">
        <x:f>IF(OR(E1356="CANCELED",E1356="SUSPECTED_FRAUD",F1356="Shipping canceled"),0,1)</x:f>
        <x:v>1</x:v>
      </x:c>
      <x:c r="K1356" s="6" t="n">
        <x:f>IF(G1356&gt;H1356,1,0)</x:f>
        <x:v>1</x:v>
      </x:c>
      <x:c r="L1356" s="6" t="n">
        <x:f>J1356*K1356</x:f>
        <x:v>1</x:v>
      </x:c>
    </x:row>
    <x:row r="1357">
      <x:c r="A1357" s="1" t="n">
        <x:v>11404</x:v>
      </x:c>
      <x:c r="B1357" s="5" t="d">
        <x:v>2015-06-16T00:00:00.000Z</x:v>
      </x:c>
      <x:c r="C1357" s="1" t="str">
        <x:v>Standard Class</x:v>
      </x:c>
      <x:c r="D1357" s="1" t="str">
        <x:v>Europe</x:v>
      </x:c>
      <x:c r="E1357" s="1" t="str">
        <x:v>PENDING</x:v>
      </x:c>
      <x:c r="F1357" s="1" t="str">
        <x:v>Late delivery</x:v>
      </x:c>
      <x:c r="G1357" s="6" t="n">
        <x:v>5</x:v>
      </x:c>
      <x:c r="H1357" s="6" t="n">
        <x:v>4</x:v>
      </x:c>
      <x:c r="I1357" s="6" t="n">
        <x:f>G1357-H1357</x:f>
        <x:v>1</x:v>
      </x:c>
      <x:c r="J1357" s="6" t="n">
        <x:f>IF(OR(E1357="CANCELED",E1357="SUSPECTED_FRAUD",F1357="Shipping canceled"),0,1)</x:f>
        <x:v>1</x:v>
      </x:c>
      <x:c r="K1357" s="6" t="n">
        <x:f>IF(G1357&gt;H1357,1,0)</x:f>
        <x:v>1</x:v>
      </x:c>
      <x:c r="L1357" s="6" t="n">
        <x:f>J1357*K1357</x:f>
        <x:v>1</x:v>
      </x:c>
    </x:row>
    <x:row r="1358">
      <x:c r="A1358" s="1" t="n">
        <x:v>11414</x:v>
      </x:c>
      <x:c r="B1358" s="5" t="d">
        <x:v>2015-06-16T00:00:00.000Z</x:v>
      </x:c>
      <x:c r="C1358" s="1" t="str">
        <x:v>Standard Class</x:v>
      </x:c>
      <x:c r="D1358" s="1" t="str">
        <x:v>Europe</x:v>
      </x:c>
      <x:c r="E1358" s="1" t="str">
        <x:v>COMPLETE</x:v>
      </x:c>
      <x:c r="F1358" s="1" t="str">
        <x:v>Late delivery</x:v>
      </x:c>
      <x:c r="G1358" s="6" t="n">
        <x:v>5</x:v>
      </x:c>
      <x:c r="H1358" s="6" t="n">
        <x:v>4</x:v>
      </x:c>
      <x:c r="I1358" s="6" t="n">
        <x:f>G1358-H1358</x:f>
        <x:v>1</x:v>
      </x:c>
      <x:c r="J1358" s="6" t="n">
        <x:f>IF(OR(E1358="CANCELED",E1358="SUSPECTED_FRAUD",F1358="Shipping canceled"),0,1)</x:f>
        <x:v>1</x:v>
      </x:c>
      <x:c r="K1358" s="6" t="n">
        <x:f>IF(G1358&gt;H1358,1,0)</x:f>
        <x:v>1</x:v>
      </x:c>
      <x:c r="L1358" s="6" t="n">
        <x:f>J1358*K1358</x:f>
        <x:v>1</x:v>
      </x:c>
    </x:row>
    <x:row r="1359">
      <x:c r="A1359" s="1" t="n">
        <x:v>11416</x:v>
      </x:c>
      <x:c r="B1359" s="5" t="d">
        <x:v>2015-06-16T00:00:00.000Z</x:v>
      </x:c>
      <x:c r="C1359" s="1" t="str">
        <x:v>First Class</x:v>
      </x:c>
      <x:c r="D1359" s="1" t="str">
        <x:v>Europe</x:v>
      </x:c>
      <x:c r="E1359" s="1" t="str">
        <x:v>PENDING_PAYMENT</x:v>
      </x:c>
      <x:c r="F1359" s="1" t="str">
        <x:v>Late delivery</x:v>
      </x:c>
      <x:c r="G1359" s="6" t="n">
        <x:v>2</x:v>
      </x:c>
      <x:c r="H1359" s="6" t="n">
        <x:v>1</x:v>
      </x:c>
      <x:c r="I1359" s="6" t="n">
        <x:f>G1359-H1359</x:f>
        <x:v>1</x:v>
      </x:c>
      <x:c r="J1359" s="6" t="n">
        <x:f>IF(OR(E1359="CANCELED",E1359="SUSPECTED_FRAUD",F1359="Shipping canceled"),0,1)</x:f>
        <x:v>1</x:v>
      </x:c>
      <x:c r="K1359" s="6" t="n">
        <x:f>IF(G1359&gt;H1359,1,0)</x:f>
        <x:v>1</x:v>
      </x:c>
      <x:c r="L1359" s="6" t="n">
        <x:f>J1359*K1359</x:f>
        <x:v>1</x:v>
      </x:c>
    </x:row>
    <x:row r="1360">
      <x:c r="A1360" s="1" t="n">
        <x:v>11427</x:v>
      </x:c>
      <x:c r="B1360" s="5" t="d">
        <x:v>2015-06-16T00:00:00.000Z</x:v>
      </x:c>
      <x:c r="C1360" s="1" t="str">
        <x:v>Second Class</x:v>
      </x:c>
      <x:c r="D1360" s="1" t="str">
        <x:v>Europe</x:v>
      </x:c>
      <x:c r="E1360" s="1" t="str">
        <x:v>COMPLETE</x:v>
      </x:c>
      <x:c r="F1360" s="1" t="str">
        <x:v>Late delivery</x:v>
      </x:c>
      <x:c r="G1360" s="6" t="n">
        <x:v>3</x:v>
      </x:c>
      <x:c r="H1360" s="6" t="n">
        <x:v>2</x:v>
      </x:c>
      <x:c r="I1360" s="6" t="n">
        <x:f>G1360-H1360</x:f>
        <x:v>1</x:v>
      </x:c>
      <x:c r="J1360" s="6" t="n">
        <x:f>IF(OR(E1360="CANCELED",E1360="SUSPECTED_FRAUD",F1360="Shipping canceled"),0,1)</x:f>
        <x:v>1</x:v>
      </x:c>
      <x:c r="K1360" s="6" t="n">
        <x:f>IF(G1360&gt;H1360,1,0)</x:f>
        <x:v>1</x:v>
      </x:c>
      <x:c r="L1360" s="6" t="n">
        <x:f>J1360*K1360</x:f>
        <x:v>1</x:v>
      </x:c>
    </x:row>
    <x:row r="1361">
      <x:c r="A1361" s="1" t="n">
        <x:v>11430</x:v>
      </x:c>
      <x:c r="B1361" s="5" t="d">
        <x:v>2015-06-16T00:00:00.000Z</x:v>
      </x:c>
      <x:c r="C1361" s="1" t="str">
        <x:v>Standard Class</x:v>
      </x:c>
      <x:c r="D1361" s="1" t="str">
        <x:v>Europe</x:v>
      </x:c>
      <x:c r="E1361" s="1" t="str">
        <x:v>PENDING</x:v>
      </x:c>
      <x:c r="F1361" s="1" t="str">
        <x:v>Late delivery</x:v>
      </x:c>
      <x:c r="G1361" s="6" t="n">
        <x:v>6</x:v>
      </x:c>
      <x:c r="H1361" s="6" t="n">
        <x:v>4</x:v>
      </x:c>
      <x:c r="I1361" s="6" t="n">
        <x:f>G1361-H1361</x:f>
        <x:v>2</x:v>
      </x:c>
      <x:c r="J1361" s="6" t="n">
        <x:f>IF(OR(E1361="CANCELED",E1361="SUSPECTED_FRAUD",F1361="Shipping canceled"),0,1)</x:f>
        <x:v>1</x:v>
      </x:c>
      <x:c r="K1361" s="6" t="n">
        <x:f>IF(G1361&gt;H1361,1,0)</x:f>
        <x:v>1</x:v>
      </x:c>
      <x:c r="L1361" s="6" t="n">
        <x:f>J1361*K1361</x:f>
        <x:v>1</x:v>
      </x:c>
    </x:row>
    <x:row r="1362">
      <x:c r="A1362" s="1" t="n">
        <x:v>11432</x:v>
      </x:c>
      <x:c r="B1362" s="5" t="d">
        <x:v>2015-06-16T00:00:00.000Z</x:v>
      </x:c>
      <x:c r="C1362" s="1" t="str">
        <x:v>Standard Class</x:v>
      </x:c>
      <x:c r="D1362" s="1" t="str">
        <x:v>Europe</x:v>
      </x:c>
      <x:c r="E1362" s="1" t="str">
        <x:v>COMPLETE</x:v>
      </x:c>
      <x:c r="F1362" s="1" t="str">
        <x:v>Advance shipping</x:v>
      </x:c>
      <x:c r="G1362" s="6" t="n">
        <x:v>3</x:v>
      </x:c>
      <x:c r="H1362" s="6" t="n">
        <x:v>4</x:v>
      </x:c>
      <x:c r="I1362" s="6" t="n">
        <x:f>G1362-H1362</x:f>
        <x:v>-1</x:v>
      </x:c>
      <x:c r="J1362" s="6" t="n">
        <x:f>IF(OR(E1362="CANCELED",E1362="SUSPECTED_FRAUD",F1362="Shipping canceled"),0,1)</x:f>
        <x:v>1</x:v>
      </x:c>
      <x:c r="K1362" s="6" t="n">
        <x:f>IF(G1362&gt;H1362,1,0)</x:f>
        <x:v>0</x:v>
      </x:c>
      <x:c r="L1362" s="6" t="n">
        <x:f>J1362*K1362</x:f>
        <x:v>0</x:v>
      </x:c>
    </x:row>
    <x:row r="1363">
      <x:c r="A1363" s="1" t="n">
        <x:v>11441</x:v>
      </x:c>
      <x:c r="B1363" s="5" t="d">
        <x:v>2015-06-16T00:00:00.000Z</x:v>
      </x:c>
      <x:c r="C1363" s="1" t="str">
        <x:v>Standard Class</x:v>
      </x:c>
      <x:c r="D1363" s="1" t="str">
        <x:v>Europe</x:v>
      </x:c>
      <x:c r="E1363" s="1" t="str">
        <x:v>ON_HOLD</x:v>
      </x:c>
      <x:c r="F1363" s="1" t="str">
        <x:v>Advance shipping</x:v>
      </x:c>
      <x:c r="G1363" s="6" t="n">
        <x:v>2</x:v>
      </x:c>
      <x:c r="H1363" s="6" t="n">
        <x:v>4</x:v>
      </x:c>
      <x:c r="I1363" s="6" t="n">
        <x:f>G1363-H1363</x:f>
        <x:v>-2</x:v>
      </x:c>
      <x:c r="J1363" s="6" t="n">
        <x:f>IF(OR(E1363="CANCELED",E1363="SUSPECTED_FRAUD",F1363="Shipping canceled"),0,1)</x:f>
        <x:v>1</x:v>
      </x:c>
      <x:c r="K1363" s="6" t="n">
        <x:f>IF(G1363&gt;H1363,1,0)</x:f>
        <x:v>0</x:v>
      </x:c>
      <x:c r="L1363" s="6" t="n">
        <x:f>J1363*K1363</x:f>
        <x:v>0</x:v>
      </x:c>
    </x:row>
    <x:row r="1364">
      <x:c r="A1364" s="1" t="n">
        <x:v>11442</x:v>
      </x:c>
      <x:c r="B1364" s="5" t="d">
        <x:v>2015-06-17T00:00:00.000Z</x:v>
      </x:c>
      <x:c r="C1364" s="1" t="str">
        <x:v>Standard Class</x:v>
      </x:c>
      <x:c r="D1364" s="1" t="str">
        <x:v>Europe</x:v>
      </x:c>
      <x:c r="E1364" s="1" t="str">
        <x:v>CLOSED</x:v>
      </x:c>
      <x:c r="F1364" s="1" t="str">
        <x:v>Advance shipping</x:v>
      </x:c>
      <x:c r="G1364" s="6" t="n">
        <x:v>3</x:v>
      </x:c>
      <x:c r="H1364" s="6" t="n">
        <x:v>4</x:v>
      </x:c>
      <x:c r="I1364" s="6" t="n">
        <x:f>G1364-H1364</x:f>
        <x:v>-1</x:v>
      </x:c>
      <x:c r="J1364" s="6" t="n">
        <x:f>IF(OR(E1364="CANCELED",E1364="SUSPECTED_FRAUD",F1364="Shipping canceled"),0,1)</x:f>
        <x:v>1</x:v>
      </x:c>
      <x:c r="K1364" s="6" t="n">
        <x:f>IF(G1364&gt;H1364,1,0)</x:f>
        <x:v>0</x:v>
      </x:c>
      <x:c r="L1364" s="6" t="n">
        <x:f>J1364*K1364</x:f>
        <x:v>0</x:v>
      </x:c>
    </x:row>
    <x:row r="1365">
      <x:c r="A1365" s="1" t="n">
        <x:v>11451</x:v>
      </x:c>
      <x:c r="B1365" s="5" t="d">
        <x:v>2015-06-17T00:00:00.000Z</x:v>
      </x:c>
      <x:c r="C1365" s="1" t="str">
        <x:v>Standard Class</x:v>
      </x:c>
      <x:c r="D1365" s="1" t="str">
        <x:v>Europe</x:v>
      </x:c>
      <x:c r="E1365" s="1" t="str">
        <x:v>COMPLETE</x:v>
      </x:c>
      <x:c r="F1365" s="1" t="str">
        <x:v>Advance shipping</x:v>
      </x:c>
      <x:c r="G1365" s="6" t="n">
        <x:v>2</x:v>
      </x:c>
      <x:c r="H1365" s="6" t="n">
        <x:v>4</x:v>
      </x:c>
      <x:c r="I1365" s="6" t="n">
        <x:f>G1365-H1365</x:f>
        <x:v>-2</x:v>
      </x:c>
      <x:c r="J1365" s="6" t="n">
        <x:f>IF(OR(E1365="CANCELED",E1365="SUSPECTED_FRAUD",F1365="Shipping canceled"),0,1)</x:f>
        <x:v>1</x:v>
      </x:c>
      <x:c r="K1365" s="6" t="n">
        <x:f>IF(G1365&gt;H1365,1,0)</x:f>
        <x:v>0</x:v>
      </x:c>
      <x:c r="L1365" s="6" t="n">
        <x:f>J1365*K1365</x:f>
        <x:v>0</x:v>
      </x:c>
    </x:row>
    <x:row r="1366">
      <x:c r="A1366" s="1" t="n">
        <x:v>11452</x:v>
      </x:c>
      <x:c r="B1366" s="5" t="d">
        <x:v>2015-06-17T00:00:00.000Z</x:v>
      </x:c>
      <x:c r="C1366" s="1" t="str">
        <x:v>Standard Class</x:v>
      </x:c>
      <x:c r="D1366" s="1" t="str">
        <x:v>Europe</x:v>
      </x:c>
      <x:c r="E1366" s="1" t="str">
        <x:v>PENDING</x:v>
      </x:c>
      <x:c r="F1366" s="1" t="str">
        <x:v>Advance shipping</x:v>
      </x:c>
      <x:c r="G1366" s="6" t="n">
        <x:v>3</x:v>
      </x:c>
      <x:c r="H1366" s="6" t="n">
        <x:v>4</x:v>
      </x:c>
      <x:c r="I1366" s="6" t="n">
        <x:f>G1366-H1366</x:f>
        <x:v>-1</x:v>
      </x:c>
      <x:c r="J1366" s="6" t="n">
        <x:f>IF(OR(E1366="CANCELED",E1366="SUSPECTED_FRAUD",F1366="Shipping canceled"),0,1)</x:f>
        <x:v>1</x:v>
      </x:c>
      <x:c r="K1366" s="6" t="n">
        <x:f>IF(G1366&gt;H1366,1,0)</x:f>
        <x:v>0</x:v>
      </x:c>
      <x:c r="L1366" s="6" t="n">
        <x:f>J1366*K1366</x:f>
        <x:v>0</x:v>
      </x:c>
    </x:row>
    <x:row r="1367">
      <x:c r="A1367" s="1" t="n">
        <x:v>11456</x:v>
      </x:c>
      <x:c r="B1367" s="5" t="d">
        <x:v>2015-06-17T00:00:00.000Z</x:v>
      </x:c>
      <x:c r="C1367" s="1" t="str">
        <x:v>Standard Class</x:v>
      </x:c>
      <x:c r="D1367" s="1" t="str">
        <x:v>Europe</x:v>
      </x:c>
      <x:c r="E1367" s="1" t="str">
        <x:v>PROCESSING</x:v>
      </x:c>
      <x:c r="F1367" s="1" t="str">
        <x:v>Advance shipping</x:v>
      </x:c>
      <x:c r="G1367" s="6" t="n">
        <x:v>2</x:v>
      </x:c>
      <x:c r="H1367" s="6" t="n">
        <x:v>4</x:v>
      </x:c>
      <x:c r="I1367" s="6" t="n">
        <x:f>G1367-H1367</x:f>
        <x:v>-2</x:v>
      </x:c>
      <x:c r="J1367" s="6" t="n">
        <x:f>IF(OR(E1367="CANCELED",E1367="SUSPECTED_FRAUD",F1367="Shipping canceled"),0,1)</x:f>
        <x:v>1</x:v>
      </x:c>
      <x:c r="K1367" s="6" t="n">
        <x:f>IF(G1367&gt;H1367,1,0)</x:f>
        <x:v>0</x:v>
      </x:c>
      <x:c r="L1367" s="6" t="n">
        <x:f>J1367*K1367</x:f>
        <x:v>0</x:v>
      </x:c>
    </x:row>
    <x:row r="1368">
      <x:c r="A1368" s="1" t="n">
        <x:v>11458</x:v>
      </x:c>
      <x:c r="B1368" s="5" t="d">
        <x:v>2015-06-17T00:00:00.000Z</x:v>
      </x:c>
      <x:c r="C1368" s="1" t="str">
        <x:v>Standard Class</x:v>
      </x:c>
      <x:c r="D1368" s="1" t="str">
        <x:v>Europe</x:v>
      </x:c>
      <x:c r="E1368" s="1" t="str">
        <x:v>COMPLETE</x:v>
      </x:c>
      <x:c r="F1368" s="1" t="str">
        <x:v>Shipping on time</x:v>
      </x:c>
      <x:c r="G1368" s="6" t="n">
        <x:v>4</x:v>
      </x:c>
      <x:c r="H1368" s="6" t="n">
        <x:v>4</x:v>
      </x:c>
      <x:c r="I1368" s="6" t="n">
        <x:f>G1368-H1368</x:f>
        <x:v>0</x:v>
      </x:c>
      <x:c r="J1368" s="6" t="n">
        <x:f>IF(OR(E1368="CANCELED",E1368="SUSPECTED_FRAUD",F1368="Shipping canceled"),0,1)</x:f>
        <x:v>1</x:v>
      </x:c>
      <x:c r="K1368" s="6" t="n">
        <x:f>IF(G1368&gt;H1368,1,0)</x:f>
        <x:v>0</x:v>
      </x:c>
      <x:c r="L1368" s="6" t="n">
        <x:f>J1368*K1368</x:f>
        <x:v>0</x:v>
      </x:c>
    </x:row>
    <x:row r="1369">
      <x:c r="A1369" s="1" t="n">
        <x:v>11464</x:v>
      </x:c>
      <x:c r="B1369" s="5" t="d">
        <x:v>2015-06-17T00:00:00.000Z</x:v>
      </x:c>
      <x:c r="C1369" s="1" t="str">
        <x:v>Second Class</x:v>
      </x:c>
      <x:c r="D1369" s="1" t="str">
        <x:v>Europe</x:v>
      </x:c>
      <x:c r="E1369" s="1" t="str">
        <x:v>COMPLETE</x:v>
      </x:c>
      <x:c r="F1369" s="1" t="str">
        <x:v>Late delivery</x:v>
      </x:c>
      <x:c r="G1369" s="6" t="n">
        <x:v>5</x:v>
      </x:c>
      <x:c r="H1369" s="6" t="n">
        <x:v>2</x:v>
      </x:c>
      <x:c r="I1369" s="6" t="n">
        <x:f>G1369-H1369</x:f>
        <x:v>3</x:v>
      </x:c>
      <x:c r="J1369" s="6" t="n">
        <x:f>IF(OR(E1369="CANCELED",E1369="SUSPECTED_FRAUD",F1369="Shipping canceled"),0,1)</x:f>
        <x:v>1</x:v>
      </x:c>
      <x:c r="K1369" s="6" t="n">
        <x:f>IF(G1369&gt;H1369,1,0)</x:f>
        <x:v>1</x:v>
      </x:c>
      <x:c r="L1369" s="6" t="n">
        <x:f>J1369*K1369</x:f>
        <x:v>1</x:v>
      </x:c>
    </x:row>
    <x:row r="1370">
      <x:c r="A1370" s="1" t="n">
        <x:v>11470</x:v>
      </x:c>
      <x:c r="B1370" s="5" t="d">
        <x:v>2015-06-17T00:00:00.000Z</x:v>
      </x:c>
      <x:c r="C1370" s="1" t="str">
        <x:v>First Class</x:v>
      </x:c>
      <x:c r="D1370" s="1" t="str">
        <x:v>Europe</x:v>
      </x:c>
      <x:c r="E1370" s="1" t="str">
        <x:v>PENDING_PAYMENT</x:v>
      </x:c>
      <x:c r="F1370" s="1" t="str">
        <x:v>Late delivery</x:v>
      </x:c>
      <x:c r="G1370" s="6" t="n">
        <x:v>2</x:v>
      </x:c>
      <x:c r="H1370" s="6" t="n">
        <x:v>1</x:v>
      </x:c>
      <x:c r="I1370" s="6" t="n">
        <x:f>G1370-H1370</x:f>
        <x:v>1</x:v>
      </x:c>
      <x:c r="J1370" s="6" t="n">
        <x:f>IF(OR(E1370="CANCELED",E1370="SUSPECTED_FRAUD",F1370="Shipping canceled"),0,1)</x:f>
        <x:v>1</x:v>
      </x:c>
      <x:c r="K1370" s="6" t="n">
        <x:f>IF(G1370&gt;H1370,1,0)</x:f>
        <x:v>1</x:v>
      </x:c>
      <x:c r="L1370" s="6" t="n">
        <x:f>J1370*K1370</x:f>
        <x:v>1</x:v>
      </x:c>
    </x:row>
    <x:row r="1371">
      <x:c r="A1371" s="1" t="n">
        <x:v>11479</x:v>
      </x:c>
      <x:c r="B1371" s="5" t="d">
        <x:v>2015-06-17T00:00:00.000Z</x:v>
      </x:c>
      <x:c r="C1371" s="1" t="str">
        <x:v>Standard Class</x:v>
      </x:c>
      <x:c r="D1371" s="1" t="str">
        <x:v>Europe</x:v>
      </x:c>
      <x:c r="E1371" s="1" t="str">
        <x:v>PENDING_PAYMENT</x:v>
      </x:c>
      <x:c r="F1371" s="1" t="str">
        <x:v>Late delivery</x:v>
      </x:c>
      <x:c r="G1371" s="6" t="n">
        <x:v>5</x:v>
      </x:c>
      <x:c r="H1371" s="6" t="n">
        <x:v>4</x:v>
      </x:c>
      <x:c r="I1371" s="6" t="n">
        <x:f>G1371-H1371</x:f>
        <x:v>1</x:v>
      </x:c>
      <x:c r="J1371" s="6" t="n">
        <x:f>IF(OR(E1371="CANCELED",E1371="SUSPECTED_FRAUD",F1371="Shipping canceled"),0,1)</x:f>
        <x:v>1</x:v>
      </x:c>
      <x:c r="K1371" s="6" t="n">
        <x:f>IF(G1371&gt;H1371,1,0)</x:f>
        <x:v>1</x:v>
      </x:c>
      <x:c r="L1371" s="6" t="n">
        <x:f>J1371*K1371</x:f>
        <x:v>1</x:v>
      </x:c>
    </x:row>
    <x:row r="1372">
      <x:c r="A1372" s="1" t="n">
        <x:v>11481</x:v>
      </x:c>
      <x:c r="B1372" s="5" t="d">
        <x:v>2015-06-17T00:00:00.000Z</x:v>
      </x:c>
      <x:c r="C1372" s="1" t="str">
        <x:v>Standard Class</x:v>
      </x:c>
      <x:c r="D1372" s="1" t="str">
        <x:v>Europe</x:v>
      </x:c>
      <x:c r="E1372" s="1" t="str">
        <x:v>COMPLETE</x:v>
      </x:c>
      <x:c r="F1372" s="1" t="str">
        <x:v>Advance shipping</x:v>
      </x:c>
      <x:c r="G1372" s="6" t="n">
        <x:v>2</x:v>
      </x:c>
      <x:c r="H1372" s="6" t="n">
        <x:v>4</x:v>
      </x:c>
      <x:c r="I1372" s="6" t="n">
        <x:f>G1372-H1372</x:f>
        <x:v>-2</x:v>
      </x:c>
      <x:c r="J1372" s="6" t="n">
        <x:f>IF(OR(E1372="CANCELED",E1372="SUSPECTED_FRAUD",F1372="Shipping canceled"),0,1)</x:f>
        <x:v>1</x:v>
      </x:c>
      <x:c r="K1372" s="6" t="n">
        <x:f>IF(G1372&gt;H1372,1,0)</x:f>
        <x:v>0</x:v>
      </x:c>
      <x:c r="L1372" s="6" t="n">
        <x:f>J1372*K1372</x:f>
        <x:v>0</x:v>
      </x:c>
    </x:row>
    <x:row r="1373">
      <x:c r="A1373" s="1" t="n">
        <x:v>11487</x:v>
      </x:c>
      <x:c r="B1373" s="5" t="d">
        <x:v>2015-06-17T00:00:00.000Z</x:v>
      </x:c>
      <x:c r="C1373" s="1" t="str">
        <x:v>Standard Class</x:v>
      </x:c>
      <x:c r="D1373" s="1" t="str">
        <x:v>Europe</x:v>
      </x:c>
      <x:c r="E1373" s="1" t="str">
        <x:v>COMPLETE</x:v>
      </x:c>
      <x:c r="F1373" s="1" t="str">
        <x:v>Advance shipping</x:v>
      </x:c>
      <x:c r="G1373" s="6" t="n">
        <x:v>3</x:v>
      </x:c>
      <x:c r="H1373" s="6" t="n">
        <x:v>4</x:v>
      </x:c>
      <x:c r="I1373" s="6" t="n">
        <x:f>G1373-H1373</x:f>
        <x:v>-1</x:v>
      </x:c>
      <x:c r="J1373" s="6" t="n">
        <x:f>IF(OR(E1373="CANCELED",E1373="SUSPECTED_FRAUD",F1373="Shipping canceled"),0,1)</x:f>
        <x:v>1</x:v>
      </x:c>
      <x:c r="K1373" s="6" t="n">
        <x:f>IF(G1373&gt;H1373,1,0)</x:f>
        <x:v>0</x:v>
      </x:c>
      <x:c r="L1373" s="6" t="n">
        <x:f>J1373*K1373</x:f>
        <x:v>0</x:v>
      </x:c>
    </x:row>
    <x:row r="1374">
      <x:c r="A1374" s="1" t="n">
        <x:v>11488</x:v>
      </x:c>
      <x:c r="B1374" s="5" t="d">
        <x:v>2015-06-17T00:00:00.000Z</x:v>
      </x:c>
      <x:c r="C1374" s="1" t="str">
        <x:v>Standard Class</x:v>
      </x:c>
      <x:c r="D1374" s="1" t="str">
        <x:v>Europe</x:v>
      </x:c>
      <x:c r="E1374" s="1" t="str">
        <x:v>COMPLETE</x:v>
      </x:c>
      <x:c r="F1374" s="1" t="str">
        <x:v>Shipping on time</x:v>
      </x:c>
      <x:c r="G1374" s="6" t="n">
        <x:v>4</x:v>
      </x:c>
      <x:c r="H1374" s="6" t="n">
        <x:v>4</x:v>
      </x:c>
      <x:c r="I1374" s="6" t="n">
        <x:f>G1374-H1374</x:f>
        <x:v>0</x:v>
      </x:c>
      <x:c r="J1374" s="6" t="n">
        <x:f>IF(OR(E1374="CANCELED",E1374="SUSPECTED_FRAUD",F1374="Shipping canceled"),0,1)</x:f>
        <x:v>1</x:v>
      </x:c>
      <x:c r="K1374" s="6" t="n">
        <x:f>IF(G1374&gt;H1374,1,0)</x:f>
        <x:v>0</x:v>
      </x:c>
      <x:c r="L1374" s="6" t="n">
        <x:f>J1374*K1374</x:f>
        <x:v>0</x:v>
      </x:c>
    </x:row>
    <x:row r="1375">
      <x:c r="A1375" s="1" t="n">
        <x:v>11490</x:v>
      </x:c>
      <x:c r="B1375" s="5" t="d">
        <x:v>2015-06-17T00:00:00.000Z</x:v>
      </x:c>
      <x:c r="C1375" s="1" t="str">
        <x:v>Standard Class</x:v>
      </x:c>
      <x:c r="D1375" s="1" t="str">
        <x:v>Europe</x:v>
      </x:c>
      <x:c r="E1375" s="1" t="str">
        <x:v>COMPLETE</x:v>
      </x:c>
      <x:c r="F1375" s="1" t="str">
        <x:v>Late delivery</x:v>
      </x:c>
      <x:c r="G1375" s="6" t="n">
        <x:v>6</x:v>
      </x:c>
      <x:c r="H1375" s="6" t="n">
        <x:v>4</x:v>
      </x:c>
      <x:c r="I1375" s="6" t="n">
        <x:f>G1375-H1375</x:f>
        <x:v>2</x:v>
      </x:c>
      <x:c r="J1375" s="6" t="n">
        <x:f>IF(OR(E1375="CANCELED",E1375="SUSPECTED_FRAUD",F1375="Shipping canceled"),0,1)</x:f>
        <x:v>1</x:v>
      </x:c>
      <x:c r="K1375" s="6" t="n">
        <x:f>IF(G1375&gt;H1375,1,0)</x:f>
        <x:v>1</x:v>
      </x:c>
      <x:c r="L1375" s="6" t="n">
        <x:f>J1375*K1375</x:f>
        <x:v>1</x:v>
      </x:c>
    </x:row>
    <x:row r="1376">
      <x:c r="A1376" s="1" t="n">
        <x:v>11494</x:v>
      </x:c>
      <x:c r="B1376" s="5" t="d">
        <x:v>2015-06-17T00:00:00.000Z</x:v>
      </x:c>
      <x:c r="C1376" s="1" t="str">
        <x:v>Standard Class</x:v>
      </x:c>
      <x:c r="D1376" s="1" t="str">
        <x:v>Europe</x:v>
      </x:c>
      <x:c r="E1376" s="1" t="str">
        <x:v>PENDING_PAYMENT</x:v>
      </x:c>
      <x:c r="F1376" s="1" t="str">
        <x:v>Late delivery</x:v>
      </x:c>
      <x:c r="G1376" s="6" t="n">
        <x:v>5</x:v>
      </x:c>
      <x:c r="H1376" s="6" t="n">
        <x:v>4</x:v>
      </x:c>
      <x:c r="I1376" s="6" t="n">
        <x:f>G1376-H1376</x:f>
        <x:v>1</x:v>
      </x:c>
      <x:c r="J1376" s="6" t="n">
        <x:f>IF(OR(E1376="CANCELED",E1376="SUSPECTED_FRAUD",F1376="Shipping canceled"),0,1)</x:f>
        <x:v>1</x:v>
      </x:c>
      <x:c r="K1376" s="6" t="n">
        <x:f>IF(G1376&gt;H1376,1,0)</x:f>
        <x:v>1</x:v>
      </x:c>
      <x:c r="L1376" s="6" t="n">
        <x:f>J1376*K1376</x:f>
        <x:v>1</x:v>
      </x:c>
    </x:row>
    <x:row r="1377">
      <x:c r="A1377" s="1" t="n">
        <x:v>11498</x:v>
      </x:c>
      <x:c r="B1377" s="5" t="d">
        <x:v>2015-06-17T00:00:00.000Z</x:v>
      </x:c>
      <x:c r="C1377" s="1" t="str">
        <x:v>Standard Class</x:v>
      </x:c>
      <x:c r="D1377" s="1" t="str">
        <x:v>Europe</x:v>
      </x:c>
      <x:c r="E1377" s="1" t="str">
        <x:v>PENDING</x:v>
      </x:c>
      <x:c r="F1377" s="1" t="str">
        <x:v>Shipping on time</x:v>
      </x:c>
      <x:c r="G1377" s="6" t="n">
        <x:v>4</x:v>
      </x:c>
      <x:c r="H1377" s="6" t="n">
        <x:v>4</x:v>
      </x:c>
      <x:c r="I1377" s="6" t="n">
        <x:f>G1377-H1377</x:f>
        <x:v>0</x:v>
      </x:c>
      <x:c r="J1377" s="6" t="n">
        <x:f>IF(OR(E1377="CANCELED",E1377="SUSPECTED_FRAUD",F1377="Shipping canceled"),0,1)</x:f>
        <x:v>1</x:v>
      </x:c>
      <x:c r="K1377" s="6" t="n">
        <x:f>IF(G1377&gt;H1377,1,0)</x:f>
        <x:v>0</x:v>
      </x:c>
      <x:c r="L1377" s="6" t="n">
        <x:f>J1377*K1377</x:f>
        <x:v>0</x:v>
      </x:c>
    </x:row>
    <x:row r="1378">
      <x:c r="A1378" s="1" t="n">
        <x:v>11500</x:v>
      </x:c>
      <x:c r="B1378" s="5" t="d">
        <x:v>2015-06-17T00:00:00.000Z</x:v>
      </x:c>
      <x:c r="C1378" s="1" t="str">
        <x:v>First Class</x:v>
      </x:c>
      <x:c r="D1378" s="1" t="str">
        <x:v>Europe</x:v>
      </x:c>
      <x:c r="E1378" s="1" t="str">
        <x:v>CLOSED</x:v>
      </x:c>
      <x:c r="F1378" s="1" t="str">
        <x:v>Late delivery</x:v>
      </x:c>
      <x:c r="G1378" s="6" t="n">
        <x:v>2</x:v>
      </x:c>
      <x:c r="H1378" s="6" t="n">
        <x:v>1</x:v>
      </x:c>
      <x:c r="I1378" s="6" t="n">
        <x:f>G1378-H1378</x:f>
        <x:v>1</x:v>
      </x:c>
      <x:c r="J1378" s="6" t="n">
        <x:f>IF(OR(E1378="CANCELED",E1378="SUSPECTED_FRAUD",F1378="Shipping canceled"),0,1)</x:f>
        <x:v>1</x:v>
      </x:c>
      <x:c r="K1378" s="6" t="n">
        <x:f>IF(G1378&gt;H1378,1,0)</x:f>
        <x:v>1</x:v>
      </x:c>
      <x:c r="L1378" s="6" t="n">
        <x:f>J1378*K1378</x:f>
        <x:v>1</x:v>
      </x:c>
    </x:row>
    <x:row r="1379">
      <x:c r="A1379" s="1" t="n">
        <x:v>11513</x:v>
      </x:c>
      <x:c r="B1379" s="5" t="d">
        <x:v>2015-06-18T00:00:00.000Z</x:v>
      </x:c>
      <x:c r="C1379" s="1" t="str">
        <x:v>Second Class</x:v>
      </x:c>
      <x:c r="D1379" s="1" t="str">
        <x:v>Europe</x:v>
      </x:c>
      <x:c r="E1379" s="1" t="str">
        <x:v>COMPLETE</x:v>
      </x:c>
      <x:c r="F1379" s="1" t="str">
        <x:v>Late delivery</x:v>
      </x:c>
      <x:c r="G1379" s="6" t="n">
        <x:v>4</x:v>
      </x:c>
      <x:c r="H1379" s="6" t="n">
        <x:v>2</x:v>
      </x:c>
      <x:c r="I1379" s="6" t="n">
        <x:f>G1379-H1379</x:f>
        <x:v>2</x:v>
      </x:c>
      <x:c r="J1379" s="6" t="n">
        <x:f>IF(OR(E1379="CANCELED",E1379="SUSPECTED_FRAUD",F1379="Shipping canceled"),0,1)</x:f>
        <x:v>1</x:v>
      </x:c>
      <x:c r="K1379" s="6" t="n">
        <x:f>IF(G1379&gt;H1379,1,0)</x:f>
        <x:v>1</x:v>
      </x:c>
      <x:c r="L1379" s="6" t="n">
        <x:f>J1379*K1379</x:f>
        <x:v>1</x:v>
      </x:c>
    </x:row>
    <x:row r="1380">
      <x:c r="A1380" s="1" t="n">
        <x:v>11526</x:v>
      </x:c>
      <x:c r="B1380" s="5" t="d">
        <x:v>2015-06-18T00:00:00.000Z</x:v>
      </x:c>
      <x:c r="C1380" s="1" t="str">
        <x:v>Standard Class</x:v>
      </x:c>
      <x:c r="D1380" s="1" t="str">
        <x:v>Europe</x:v>
      </x:c>
      <x:c r="E1380" s="1" t="str">
        <x:v>COMPLETE</x:v>
      </x:c>
      <x:c r="F1380" s="1" t="str">
        <x:v>Advance shipping</x:v>
      </x:c>
      <x:c r="G1380" s="6" t="n">
        <x:v>2</x:v>
      </x:c>
      <x:c r="H1380" s="6" t="n">
        <x:v>4</x:v>
      </x:c>
      <x:c r="I1380" s="6" t="n">
        <x:f>G1380-H1380</x:f>
        <x:v>-2</x:v>
      </x:c>
      <x:c r="J1380" s="6" t="n">
        <x:f>IF(OR(E1380="CANCELED",E1380="SUSPECTED_FRAUD",F1380="Shipping canceled"),0,1)</x:f>
        <x:v>1</x:v>
      </x:c>
      <x:c r="K1380" s="6" t="n">
        <x:f>IF(G1380&gt;H1380,1,0)</x:f>
        <x:v>0</x:v>
      </x:c>
      <x:c r="L1380" s="6" t="n">
        <x:f>J1380*K1380</x:f>
        <x:v>0</x:v>
      </x:c>
    </x:row>
    <x:row r="1381">
      <x:c r="A1381" s="1" t="n">
        <x:v>11529</x:v>
      </x:c>
      <x:c r="B1381" s="5" t="d">
        <x:v>2015-06-18T00:00:00.000Z</x:v>
      </x:c>
      <x:c r="C1381" s="1" t="str">
        <x:v>Standard Class</x:v>
      </x:c>
      <x:c r="D1381" s="1" t="str">
        <x:v>Europe</x:v>
      </x:c>
      <x:c r="E1381" s="1" t="str">
        <x:v>PROCESSING</x:v>
      </x:c>
      <x:c r="F1381" s="1" t="str">
        <x:v>Late delivery</x:v>
      </x:c>
      <x:c r="G1381" s="6" t="n">
        <x:v>5</x:v>
      </x:c>
      <x:c r="H1381" s="6" t="n">
        <x:v>4</x:v>
      </x:c>
      <x:c r="I1381" s="6" t="n">
        <x:f>G1381-H1381</x:f>
        <x:v>1</x:v>
      </x:c>
      <x:c r="J1381" s="6" t="n">
        <x:f>IF(OR(E1381="CANCELED",E1381="SUSPECTED_FRAUD",F1381="Shipping canceled"),0,1)</x:f>
        <x:v>1</x:v>
      </x:c>
      <x:c r="K1381" s="6" t="n">
        <x:f>IF(G1381&gt;H1381,1,0)</x:f>
        <x:v>1</x:v>
      </x:c>
      <x:c r="L1381" s="6" t="n">
        <x:f>J1381*K1381</x:f>
        <x:v>1</x:v>
      </x:c>
    </x:row>
    <x:row r="1382">
      <x:c r="A1382" s="1" t="n">
        <x:v>11533</x:v>
      </x:c>
      <x:c r="B1382" s="5" t="d">
        <x:v>2015-06-18T00:00:00.000Z</x:v>
      </x:c>
      <x:c r="C1382" s="1" t="str">
        <x:v>Standard Class</x:v>
      </x:c>
      <x:c r="D1382" s="1" t="str">
        <x:v>Europe</x:v>
      </x:c>
      <x:c r="E1382" s="1" t="str">
        <x:v>COMPLETE</x:v>
      </x:c>
      <x:c r="F1382" s="1" t="str">
        <x:v>Shipping on time</x:v>
      </x:c>
      <x:c r="G1382" s="6" t="n">
        <x:v>4</x:v>
      </x:c>
      <x:c r="H1382" s="6" t="n">
        <x:v>4</x:v>
      </x:c>
      <x:c r="I1382" s="6" t="n">
        <x:f>G1382-H1382</x:f>
        <x:v>0</x:v>
      </x:c>
      <x:c r="J1382" s="6" t="n">
        <x:f>IF(OR(E1382="CANCELED",E1382="SUSPECTED_FRAUD",F1382="Shipping canceled"),0,1)</x:f>
        <x:v>1</x:v>
      </x:c>
      <x:c r="K1382" s="6" t="n">
        <x:f>IF(G1382&gt;H1382,1,0)</x:f>
        <x:v>0</x:v>
      </x:c>
      <x:c r="L1382" s="6" t="n">
        <x:f>J1382*K1382</x:f>
        <x:v>0</x:v>
      </x:c>
    </x:row>
    <x:row r="1383">
      <x:c r="A1383" s="1" t="n">
        <x:v>11542</x:v>
      </x:c>
      <x:c r="B1383" s="5" t="d">
        <x:v>2015-06-18T00:00:00.000Z</x:v>
      </x:c>
      <x:c r="C1383" s="1" t="str">
        <x:v>Standard Class</x:v>
      </x:c>
      <x:c r="D1383" s="1" t="str">
        <x:v>Europe</x:v>
      </x:c>
      <x:c r="E1383" s="1" t="str">
        <x:v>PENDING</x:v>
      </x:c>
      <x:c r="F1383" s="1" t="str">
        <x:v>Advance shipping</x:v>
      </x:c>
      <x:c r="G1383" s="6" t="n">
        <x:v>3</x:v>
      </x:c>
      <x:c r="H1383" s="6" t="n">
        <x:v>4</x:v>
      </x:c>
      <x:c r="I1383" s="6" t="n">
        <x:f>G1383-H1383</x:f>
        <x:v>-1</x:v>
      </x:c>
      <x:c r="J1383" s="6" t="n">
        <x:f>IF(OR(E1383="CANCELED",E1383="SUSPECTED_FRAUD",F1383="Shipping canceled"),0,1)</x:f>
        <x:v>1</x:v>
      </x:c>
      <x:c r="K1383" s="6" t="n">
        <x:f>IF(G1383&gt;H1383,1,0)</x:f>
        <x:v>0</x:v>
      </x:c>
      <x:c r="L1383" s="6" t="n">
        <x:f>J1383*K1383</x:f>
        <x:v>0</x:v>
      </x:c>
    </x:row>
    <x:row r="1384">
      <x:c r="A1384" s="1" t="n">
        <x:v>11554</x:v>
      </x:c>
      <x:c r="B1384" s="5" t="d">
        <x:v>2015-06-18T00:00:00.000Z</x:v>
      </x:c>
      <x:c r="C1384" s="1" t="str">
        <x:v>Standard Class</x:v>
      </x:c>
      <x:c r="D1384" s="1" t="str">
        <x:v>Europe</x:v>
      </x:c>
      <x:c r="E1384" s="1" t="str">
        <x:v>PROCESSING</x:v>
      </x:c>
      <x:c r="F1384" s="1" t="str">
        <x:v>Late delivery</x:v>
      </x:c>
      <x:c r="G1384" s="6" t="n">
        <x:v>5</x:v>
      </x:c>
      <x:c r="H1384" s="6" t="n">
        <x:v>4</x:v>
      </x:c>
      <x:c r="I1384" s="6" t="n">
        <x:f>G1384-H1384</x:f>
        <x:v>1</x:v>
      </x:c>
      <x:c r="J1384" s="6" t="n">
        <x:f>IF(OR(E1384="CANCELED",E1384="SUSPECTED_FRAUD",F1384="Shipping canceled"),0,1)</x:f>
        <x:v>1</x:v>
      </x:c>
      <x:c r="K1384" s="6" t="n">
        <x:f>IF(G1384&gt;H1384,1,0)</x:f>
        <x:v>1</x:v>
      </x:c>
      <x:c r="L1384" s="6" t="n">
        <x:f>J1384*K1384</x:f>
        <x:v>1</x:v>
      </x:c>
    </x:row>
    <x:row r="1385">
      <x:c r="A1385" s="1" t="n">
        <x:v>11558</x:v>
      </x:c>
      <x:c r="B1385" s="5" t="d">
        <x:v>2015-06-18T00:00:00.000Z</x:v>
      </x:c>
      <x:c r="C1385" s="1" t="str">
        <x:v>Standard Class</x:v>
      </x:c>
      <x:c r="D1385" s="1" t="str">
        <x:v>Europe</x:v>
      </x:c>
      <x:c r="E1385" s="1" t="str">
        <x:v>PROCESSING</x:v>
      </x:c>
      <x:c r="F1385" s="1" t="str">
        <x:v>Shipping on time</x:v>
      </x:c>
      <x:c r="G1385" s="6" t="n">
        <x:v>4</x:v>
      </x:c>
      <x:c r="H1385" s="6" t="n">
        <x:v>4</x:v>
      </x:c>
      <x:c r="I1385" s="6" t="n">
        <x:f>G1385-H1385</x:f>
        <x:v>0</x:v>
      </x:c>
      <x:c r="J1385" s="6" t="n">
        <x:f>IF(OR(E1385="CANCELED",E1385="SUSPECTED_FRAUD",F1385="Shipping canceled"),0,1)</x:f>
        <x:v>1</x:v>
      </x:c>
      <x:c r="K1385" s="6" t="n">
        <x:f>IF(G1385&gt;H1385,1,0)</x:f>
        <x:v>0</x:v>
      </x:c>
      <x:c r="L1385" s="6" t="n">
        <x:f>J1385*K1385</x:f>
        <x:v>0</x:v>
      </x:c>
    </x:row>
    <x:row r="1386">
      <x:c r="A1386" s="1" t="n">
        <x:v>11562</x:v>
      </x:c>
      <x:c r="B1386" s="5" t="d">
        <x:v>2015-06-18T00:00:00.000Z</x:v>
      </x:c>
      <x:c r="C1386" s="1" t="str">
        <x:v>Standard Class</x:v>
      </x:c>
      <x:c r="D1386" s="1" t="str">
        <x:v>Europe</x:v>
      </x:c>
      <x:c r="E1386" s="1" t="str">
        <x:v>PENDING</x:v>
      </x:c>
      <x:c r="F1386" s="1" t="str">
        <x:v>Advance shipping</x:v>
      </x:c>
      <x:c r="G1386" s="6" t="n">
        <x:v>3</x:v>
      </x:c>
      <x:c r="H1386" s="6" t="n">
        <x:v>4</x:v>
      </x:c>
      <x:c r="I1386" s="6" t="n">
        <x:f>G1386-H1386</x:f>
        <x:v>-1</x:v>
      </x:c>
      <x:c r="J1386" s="6" t="n">
        <x:f>IF(OR(E1386="CANCELED",E1386="SUSPECTED_FRAUD",F1386="Shipping canceled"),0,1)</x:f>
        <x:v>1</x:v>
      </x:c>
      <x:c r="K1386" s="6" t="n">
        <x:f>IF(G1386&gt;H1386,1,0)</x:f>
        <x:v>0</x:v>
      </x:c>
      <x:c r="L1386" s="6" t="n">
        <x:f>J1386*K1386</x:f>
        <x:v>0</x:v>
      </x:c>
    </x:row>
    <x:row r="1387">
      <x:c r="A1387" s="1" t="n">
        <x:v>11565</x:v>
      </x:c>
      <x:c r="B1387" s="5" t="d">
        <x:v>2015-06-18T00:00:00.000Z</x:v>
      </x:c>
      <x:c r="C1387" s="1" t="str">
        <x:v>Standard Class</x:v>
      </x:c>
      <x:c r="D1387" s="1" t="str">
        <x:v>Europe</x:v>
      </x:c>
      <x:c r="E1387" s="1" t="str">
        <x:v>PENDING</x:v>
      </x:c>
      <x:c r="F1387" s="1" t="str">
        <x:v>Late delivery</x:v>
      </x:c>
      <x:c r="G1387" s="6" t="n">
        <x:v>6</x:v>
      </x:c>
      <x:c r="H1387" s="6" t="n">
        <x:v>4</x:v>
      </x:c>
      <x:c r="I1387" s="6" t="n">
        <x:f>G1387-H1387</x:f>
        <x:v>2</x:v>
      </x:c>
      <x:c r="J1387" s="6" t="n">
        <x:f>IF(OR(E1387="CANCELED",E1387="SUSPECTED_FRAUD",F1387="Shipping canceled"),0,1)</x:f>
        <x:v>1</x:v>
      </x:c>
      <x:c r="K1387" s="6" t="n">
        <x:f>IF(G1387&gt;H1387,1,0)</x:f>
        <x:v>1</x:v>
      </x:c>
      <x:c r="L1387" s="6" t="n">
        <x:f>J1387*K1387</x:f>
        <x:v>1</x:v>
      </x:c>
    </x:row>
    <x:row r="1388">
      <x:c r="A1388" s="1" t="n">
        <x:v>11566</x:v>
      </x:c>
      <x:c r="B1388" s="5" t="d">
        <x:v>2015-06-18T00:00:00.000Z</x:v>
      </x:c>
      <x:c r="C1388" s="1" t="str">
        <x:v>Standard Class</x:v>
      </x:c>
      <x:c r="D1388" s="1" t="str">
        <x:v>Europe</x:v>
      </x:c>
      <x:c r="E1388" s="1" t="str">
        <x:v>PROCESSING</x:v>
      </x:c>
      <x:c r="F1388" s="1" t="str">
        <x:v>Advance shipping</x:v>
      </x:c>
      <x:c r="G1388" s="6" t="n">
        <x:v>2</x:v>
      </x:c>
      <x:c r="H1388" s="6" t="n">
        <x:v>4</x:v>
      </x:c>
      <x:c r="I1388" s="6" t="n">
        <x:f>G1388-H1388</x:f>
        <x:v>-2</x:v>
      </x:c>
      <x:c r="J1388" s="6" t="n">
        <x:f>IF(OR(E1388="CANCELED",E1388="SUSPECTED_FRAUD",F1388="Shipping canceled"),0,1)</x:f>
        <x:v>1</x:v>
      </x:c>
      <x:c r="K1388" s="6" t="n">
        <x:f>IF(G1388&gt;H1388,1,0)</x:f>
        <x:v>0</x:v>
      </x:c>
      <x:c r="L1388" s="6" t="n">
        <x:f>J1388*K1388</x:f>
        <x:v>0</x:v>
      </x:c>
    </x:row>
    <x:row r="1389">
      <x:c r="A1389" s="1" t="n">
        <x:v>11576</x:v>
      </x:c>
      <x:c r="B1389" s="5" t="d">
        <x:v>2015-06-18T00:00:00.000Z</x:v>
      </x:c>
      <x:c r="C1389" s="1" t="str">
        <x:v>Standard Class</x:v>
      </x:c>
      <x:c r="D1389" s="1" t="str">
        <x:v>Europe</x:v>
      </x:c>
      <x:c r="E1389" s="1" t="str">
        <x:v>CLOSED</x:v>
      </x:c>
      <x:c r="F1389" s="1" t="str">
        <x:v>Advance shipping</x:v>
      </x:c>
      <x:c r="G1389" s="6" t="n">
        <x:v>2</x:v>
      </x:c>
      <x:c r="H1389" s="6" t="n">
        <x:v>4</x:v>
      </x:c>
      <x:c r="I1389" s="6" t="n">
        <x:f>G1389-H1389</x:f>
        <x:v>-2</x:v>
      </x:c>
      <x:c r="J1389" s="6" t="n">
        <x:f>IF(OR(E1389="CANCELED",E1389="SUSPECTED_FRAUD",F1389="Shipping canceled"),0,1)</x:f>
        <x:v>1</x:v>
      </x:c>
      <x:c r="K1389" s="6" t="n">
        <x:f>IF(G1389&gt;H1389,1,0)</x:f>
        <x:v>0</x:v>
      </x:c>
      <x:c r="L1389" s="6" t="n">
        <x:f>J1389*K1389</x:f>
        <x:v>0</x:v>
      </x:c>
    </x:row>
    <x:row r="1390">
      <x:c r="A1390" s="1" t="n">
        <x:v>11591</x:v>
      </x:c>
      <x:c r="B1390" s="5" t="d">
        <x:v>2015-06-19T00:00:00.000Z</x:v>
      </x:c>
      <x:c r="C1390" s="1" t="str">
        <x:v>Standard Class</x:v>
      </x:c>
      <x:c r="D1390" s="1" t="str">
        <x:v>Europe</x:v>
      </x:c>
      <x:c r="E1390" s="1" t="str">
        <x:v>COMPLETE</x:v>
      </x:c>
      <x:c r="F1390" s="1" t="str">
        <x:v>Advance shipping</x:v>
      </x:c>
      <x:c r="G1390" s="6" t="n">
        <x:v>2</x:v>
      </x:c>
      <x:c r="H1390" s="6" t="n">
        <x:v>4</x:v>
      </x:c>
      <x:c r="I1390" s="6" t="n">
        <x:f>G1390-H1390</x:f>
        <x:v>-2</x:v>
      </x:c>
      <x:c r="J1390" s="6" t="n">
        <x:f>IF(OR(E1390="CANCELED",E1390="SUSPECTED_FRAUD",F1390="Shipping canceled"),0,1)</x:f>
        <x:v>1</x:v>
      </x:c>
      <x:c r="K1390" s="6" t="n">
        <x:f>IF(G1390&gt;H1390,1,0)</x:f>
        <x:v>0</x:v>
      </x:c>
      <x:c r="L1390" s="6" t="n">
        <x:f>J1390*K1390</x:f>
        <x:v>0</x:v>
      </x:c>
    </x:row>
    <x:row r="1391">
      <x:c r="A1391" s="1" t="n">
        <x:v>11594</x:v>
      </x:c>
      <x:c r="B1391" s="5" t="d">
        <x:v>2015-06-19T00:00:00.000Z</x:v>
      </x:c>
      <x:c r="C1391" s="1" t="str">
        <x:v>Standard Class</x:v>
      </x:c>
      <x:c r="D1391" s="1" t="str">
        <x:v>Europe</x:v>
      </x:c>
      <x:c r="E1391" s="1" t="str">
        <x:v>COMPLETE</x:v>
      </x:c>
      <x:c r="F1391" s="1" t="str">
        <x:v>Late delivery</x:v>
      </x:c>
      <x:c r="G1391" s="6" t="n">
        <x:v>5</x:v>
      </x:c>
      <x:c r="H1391" s="6" t="n">
        <x:v>4</x:v>
      </x:c>
      <x:c r="I1391" s="6" t="n">
        <x:f>G1391-H1391</x:f>
        <x:v>1</x:v>
      </x:c>
      <x:c r="J1391" s="6" t="n">
        <x:f>IF(OR(E1391="CANCELED",E1391="SUSPECTED_FRAUD",F1391="Shipping canceled"),0,1)</x:f>
        <x:v>1</x:v>
      </x:c>
      <x:c r="K1391" s="6" t="n">
        <x:f>IF(G1391&gt;H1391,1,0)</x:f>
        <x:v>1</x:v>
      </x:c>
      <x:c r="L1391" s="6" t="n">
        <x:f>J1391*K1391</x:f>
        <x:v>1</x:v>
      </x:c>
    </x:row>
    <x:row r="1392">
      <x:c r="A1392" s="1" t="n">
        <x:v>11597</x:v>
      </x:c>
      <x:c r="B1392" s="5" t="d">
        <x:v>2015-06-19T00:00:00.000Z</x:v>
      </x:c>
      <x:c r="C1392" s="1" t="str">
        <x:v>Standard Class</x:v>
      </x:c>
      <x:c r="D1392" s="1" t="str">
        <x:v>Europe</x:v>
      </x:c>
      <x:c r="E1392" s="1" t="str">
        <x:v>PENDING</x:v>
      </x:c>
      <x:c r="F1392" s="1" t="str">
        <x:v>Advance shipping</x:v>
      </x:c>
      <x:c r="G1392" s="6" t="n">
        <x:v>3</x:v>
      </x:c>
      <x:c r="H1392" s="6" t="n">
        <x:v>4</x:v>
      </x:c>
      <x:c r="I1392" s="6" t="n">
        <x:f>G1392-H1392</x:f>
        <x:v>-1</x:v>
      </x:c>
      <x:c r="J1392" s="6" t="n">
        <x:f>IF(OR(E1392="CANCELED",E1392="SUSPECTED_FRAUD",F1392="Shipping canceled"),0,1)</x:f>
        <x:v>1</x:v>
      </x:c>
      <x:c r="K1392" s="6" t="n">
        <x:f>IF(G1392&gt;H1392,1,0)</x:f>
        <x:v>0</x:v>
      </x:c>
      <x:c r="L1392" s="6" t="n">
        <x:f>J1392*K1392</x:f>
        <x:v>0</x:v>
      </x:c>
    </x:row>
    <x:row r="1393">
      <x:c r="A1393" s="1" t="n">
        <x:v>11610</x:v>
      </x:c>
      <x:c r="B1393" s="5" t="d">
        <x:v>2015-06-19T00:00:00.000Z</x:v>
      </x:c>
      <x:c r="C1393" s="1" t="str">
        <x:v>Standard Class</x:v>
      </x:c>
      <x:c r="D1393" s="1" t="str">
        <x:v>Europe</x:v>
      </x:c>
      <x:c r="E1393" s="1" t="str">
        <x:v>COMPLETE</x:v>
      </x:c>
      <x:c r="F1393" s="1" t="str">
        <x:v>Late delivery</x:v>
      </x:c>
      <x:c r="G1393" s="6" t="n">
        <x:v>6</x:v>
      </x:c>
      <x:c r="H1393" s="6" t="n">
        <x:v>4</x:v>
      </x:c>
      <x:c r="I1393" s="6" t="n">
        <x:f>G1393-H1393</x:f>
        <x:v>2</x:v>
      </x:c>
      <x:c r="J1393" s="6" t="n">
        <x:f>IF(OR(E1393="CANCELED",E1393="SUSPECTED_FRAUD",F1393="Shipping canceled"),0,1)</x:f>
        <x:v>1</x:v>
      </x:c>
      <x:c r="K1393" s="6" t="n">
        <x:f>IF(G1393&gt;H1393,1,0)</x:f>
        <x:v>1</x:v>
      </x:c>
      <x:c r="L1393" s="6" t="n">
        <x:f>J1393*K1393</x:f>
        <x:v>1</x:v>
      </x:c>
    </x:row>
    <x:row r="1394">
      <x:c r="A1394" s="1" t="n">
        <x:v>11611</x:v>
      </x:c>
      <x:c r="B1394" s="5" t="d">
        <x:v>2015-06-19T00:00:00.000Z</x:v>
      </x:c>
      <x:c r="C1394" s="1" t="str">
        <x:v>Standard Class</x:v>
      </x:c>
      <x:c r="D1394" s="1" t="str">
        <x:v>Europe</x:v>
      </x:c>
      <x:c r="E1394" s="1" t="str">
        <x:v>PENDING</x:v>
      </x:c>
      <x:c r="F1394" s="1" t="str">
        <x:v>Advance shipping</x:v>
      </x:c>
      <x:c r="G1394" s="6" t="n">
        <x:v>2</x:v>
      </x:c>
      <x:c r="H1394" s="6" t="n">
        <x:v>4</x:v>
      </x:c>
      <x:c r="I1394" s="6" t="n">
        <x:f>G1394-H1394</x:f>
        <x:v>-2</x:v>
      </x:c>
      <x:c r="J1394" s="6" t="n">
        <x:f>IF(OR(E1394="CANCELED",E1394="SUSPECTED_FRAUD",F1394="Shipping canceled"),0,1)</x:f>
        <x:v>1</x:v>
      </x:c>
      <x:c r="K1394" s="6" t="n">
        <x:f>IF(G1394&gt;H1394,1,0)</x:f>
        <x:v>0</x:v>
      </x:c>
      <x:c r="L1394" s="6" t="n">
        <x:f>J1394*K1394</x:f>
        <x:v>0</x:v>
      </x:c>
    </x:row>
    <x:row r="1395">
      <x:c r="A1395" s="1" t="n">
        <x:v>11612</x:v>
      </x:c>
      <x:c r="B1395" s="5" t="d">
        <x:v>2015-06-19T00:00:00.000Z</x:v>
      </x:c>
      <x:c r="C1395" s="1" t="str">
        <x:v>Standard Class</x:v>
      </x:c>
      <x:c r="D1395" s="1" t="str">
        <x:v>Europe</x:v>
      </x:c>
      <x:c r="E1395" s="1" t="str">
        <x:v>COMPLETE</x:v>
      </x:c>
      <x:c r="F1395" s="1" t="str">
        <x:v>Advance shipping</x:v>
      </x:c>
      <x:c r="G1395" s="6" t="n">
        <x:v>3</x:v>
      </x:c>
      <x:c r="H1395" s="6" t="n">
        <x:v>4</x:v>
      </x:c>
      <x:c r="I1395" s="6" t="n">
        <x:f>G1395-H1395</x:f>
        <x:v>-1</x:v>
      </x:c>
      <x:c r="J1395" s="6" t="n">
        <x:f>IF(OR(E1395="CANCELED",E1395="SUSPECTED_FRAUD",F1395="Shipping canceled"),0,1)</x:f>
        <x:v>1</x:v>
      </x:c>
      <x:c r="K1395" s="6" t="n">
        <x:f>IF(G1395&gt;H1395,1,0)</x:f>
        <x:v>0</x:v>
      </x:c>
      <x:c r="L1395" s="6" t="n">
        <x:f>J1395*K1395</x:f>
        <x:v>0</x:v>
      </x:c>
    </x:row>
    <x:row r="1396">
      <x:c r="A1396" s="1" t="n">
        <x:v>11618</x:v>
      </x:c>
      <x:c r="B1396" s="5" t="d">
        <x:v>2015-06-19T00:00:00.000Z</x:v>
      </x:c>
      <x:c r="C1396" s="1" t="str">
        <x:v>Standard Class</x:v>
      </x:c>
      <x:c r="D1396" s="1" t="str">
        <x:v>Europe</x:v>
      </x:c>
      <x:c r="E1396" s="1" t="str">
        <x:v>PENDING</x:v>
      </x:c>
      <x:c r="F1396" s="1" t="str">
        <x:v>Shipping on time</x:v>
      </x:c>
      <x:c r="G1396" s="6" t="n">
        <x:v>4</x:v>
      </x:c>
      <x:c r="H1396" s="6" t="n">
        <x:v>4</x:v>
      </x:c>
      <x:c r="I1396" s="6" t="n">
        <x:f>G1396-H1396</x:f>
        <x:v>0</x:v>
      </x:c>
      <x:c r="J1396" s="6" t="n">
        <x:f>IF(OR(E1396="CANCELED",E1396="SUSPECTED_FRAUD",F1396="Shipping canceled"),0,1)</x:f>
        <x:v>1</x:v>
      </x:c>
      <x:c r="K1396" s="6" t="n">
        <x:f>IF(G1396&gt;H1396,1,0)</x:f>
        <x:v>0</x:v>
      </x:c>
      <x:c r="L1396" s="6" t="n">
        <x:f>J1396*K1396</x:f>
        <x:v>0</x:v>
      </x:c>
    </x:row>
    <x:row r="1397">
      <x:c r="A1397" s="1" t="n">
        <x:v>11625</x:v>
      </x:c>
      <x:c r="B1397" s="5" t="d">
        <x:v>2015-06-19T00:00:00.000Z</x:v>
      </x:c>
      <x:c r="C1397" s="1" t="str">
        <x:v>Standard Class</x:v>
      </x:c>
      <x:c r="D1397" s="1" t="str">
        <x:v>Europe</x:v>
      </x:c>
      <x:c r="E1397" s="1" t="str">
        <x:v>COMPLETE</x:v>
      </x:c>
      <x:c r="F1397" s="1" t="str">
        <x:v>Late delivery</x:v>
      </x:c>
      <x:c r="G1397" s="6" t="n">
        <x:v>6</x:v>
      </x:c>
      <x:c r="H1397" s="6" t="n">
        <x:v>4</x:v>
      </x:c>
      <x:c r="I1397" s="6" t="n">
        <x:f>G1397-H1397</x:f>
        <x:v>2</x:v>
      </x:c>
      <x:c r="J1397" s="6" t="n">
        <x:f>IF(OR(E1397="CANCELED",E1397="SUSPECTED_FRAUD",F1397="Shipping canceled"),0,1)</x:f>
        <x:v>1</x:v>
      </x:c>
      <x:c r="K1397" s="6" t="n">
        <x:f>IF(G1397&gt;H1397,1,0)</x:f>
        <x:v>1</x:v>
      </x:c>
      <x:c r="L1397" s="6" t="n">
        <x:f>J1397*K1397</x:f>
        <x:v>1</x:v>
      </x:c>
    </x:row>
    <x:row r="1398">
      <x:c r="A1398" s="1" t="n">
        <x:v>11628</x:v>
      </x:c>
      <x:c r="B1398" s="5" t="d">
        <x:v>2015-06-19T00:00:00.000Z</x:v>
      </x:c>
      <x:c r="C1398" s="1" t="str">
        <x:v>Standard Class</x:v>
      </x:c>
      <x:c r="D1398" s="1" t="str">
        <x:v>Europe</x:v>
      </x:c>
      <x:c r="E1398" s="1" t="str">
        <x:v>COMPLETE</x:v>
      </x:c>
      <x:c r="F1398" s="1" t="str">
        <x:v>Shipping on time</x:v>
      </x:c>
      <x:c r="G1398" s="6" t="n">
        <x:v>4</x:v>
      </x:c>
      <x:c r="H1398" s="6" t="n">
        <x:v>4</x:v>
      </x:c>
      <x:c r="I1398" s="6" t="n">
        <x:f>G1398-H1398</x:f>
        <x:v>0</x:v>
      </x:c>
      <x:c r="J1398" s="6" t="n">
        <x:f>IF(OR(E1398="CANCELED",E1398="SUSPECTED_FRAUD",F1398="Shipping canceled"),0,1)</x:f>
        <x:v>1</x:v>
      </x:c>
      <x:c r="K1398" s="6" t="n">
        <x:f>IF(G1398&gt;H1398,1,0)</x:f>
        <x:v>0</x:v>
      </x:c>
      <x:c r="L1398" s="6" t="n">
        <x:f>J1398*K1398</x:f>
        <x:v>0</x:v>
      </x:c>
    </x:row>
    <x:row r="1399">
      <x:c r="A1399" s="1" t="n">
        <x:v>11631</x:v>
      </x:c>
      <x:c r="B1399" s="5" t="d">
        <x:v>2015-06-19T00:00:00.000Z</x:v>
      </x:c>
      <x:c r="C1399" s="1" t="str">
        <x:v>Standard Class</x:v>
      </x:c>
      <x:c r="D1399" s="1" t="str">
        <x:v>Europe</x:v>
      </x:c>
      <x:c r="E1399" s="1" t="str">
        <x:v>PROCESSING</x:v>
      </x:c>
      <x:c r="F1399" s="1" t="str">
        <x:v>Advance shipping</x:v>
      </x:c>
      <x:c r="G1399" s="6" t="n">
        <x:v>2</x:v>
      </x:c>
      <x:c r="H1399" s="6" t="n">
        <x:v>4</x:v>
      </x:c>
      <x:c r="I1399" s="6" t="n">
        <x:f>G1399-H1399</x:f>
        <x:v>-2</x:v>
      </x:c>
      <x:c r="J1399" s="6" t="n">
        <x:f>IF(OR(E1399="CANCELED",E1399="SUSPECTED_FRAUD",F1399="Shipping canceled"),0,1)</x:f>
        <x:v>1</x:v>
      </x:c>
      <x:c r="K1399" s="6" t="n">
        <x:f>IF(G1399&gt;H1399,1,0)</x:f>
        <x:v>0</x:v>
      </x:c>
      <x:c r="L1399" s="6" t="n">
        <x:f>J1399*K1399</x:f>
        <x:v>0</x:v>
      </x:c>
    </x:row>
    <x:row r="1400">
      <x:c r="A1400" s="1" t="n">
        <x:v>11634</x:v>
      </x:c>
      <x:c r="B1400" s="5" t="d">
        <x:v>2015-06-19T00:00:00.000Z</x:v>
      </x:c>
      <x:c r="C1400" s="1" t="str">
        <x:v>Standard Class</x:v>
      </x:c>
      <x:c r="D1400" s="1" t="str">
        <x:v>Europe</x:v>
      </x:c>
      <x:c r="E1400" s="1" t="str">
        <x:v>PENDING</x:v>
      </x:c>
      <x:c r="F1400" s="1" t="str">
        <x:v>Late delivery</x:v>
      </x:c>
      <x:c r="G1400" s="6" t="n">
        <x:v>5</x:v>
      </x:c>
      <x:c r="H1400" s="6" t="n">
        <x:v>4</x:v>
      </x:c>
      <x:c r="I1400" s="6" t="n">
        <x:f>G1400-H1400</x:f>
        <x:v>1</x:v>
      </x:c>
      <x:c r="J1400" s="6" t="n">
        <x:f>IF(OR(E1400="CANCELED",E1400="SUSPECTED_FRAUD",F1400="Shipping canceled"),0,1)</x:f>
        <x:v>1</x:v>
      </x:c>
      <x:c r="K1400" s="6" t="n">
        <x:f>IF(G1400&gt;H1400,1,0)</x:f>
        <x:v>1</x:v>
      </x:c>
      <x:c r="L1400" s="6" t="n">
        <x:f>J1400*K1400</x:f>
        <x:v>1</x:v>
      </x:c>
    </x:row>
    <x:row r="1401">
      <x:c r="A1401" s="1" t="n">
        <x:v>11636</x:v>
      </x:c>
      <x:c r="B1401" s="5" t="d">
        <x:v>2015-06-19T00:00:00.000Z</x:v>
      </x:c>
      <x:c r="C1401" s="1" t="str">
        <x:v>Standard Class</x:v>
      </x:c>
      <x:c r="D1401" s="1" t="str">
        <x:v>Europe</x:v>
      </x:c>
      <x:c r="E1401" s="1" t="str">
        <x:v>PROCESSING</x:v>
      </x:c>
      <x:c r="F1401" s="1" t="str">
        <x:v>Advance shipping</x:v>
      </x:c>
      <x:c r="G1401" s="6" t="n">
        <x:v>2</x:v>
      </x:c>
      <x:c r="H1401" s="6" t="n">
        <x:v>4</x:v>
      </x:c>
      <x:c r="I1401" s="6" t="n">
        <x:f>G1401-H1401</x:f>
        <x:v>-2</x:v>
      </x:c>
      <x:c r="J1401" s="6" t="n">
        <x:f>IF(OR(E1401="CANCELED",E1401="SUSPECTED_FRAUD",F1401="Shipping canceled"),0,1)</x:f>
        <x:v>1</x:v>
      </x:c>
      <x:c r="K1401" s="6" t="n">
        <x:f>IF(G1401&gt;H1401,1,0)</x:f>
        <x:v>0</x:v>
      </x:c>
      <x:c r="L1401" s="6" t="n">
        <x:f>J1401*K1401</x:f>
        <x:v>0</x:v>
      </x:c>
    </x:row>
    <x:row r="1402">
      <x:c r="A1402" s="1" t="n">
        <x:v>11643</x:v>
      </x:c>
      <x:c r="B1402" s="5" t="d">
        <x:v>2015-06-19T00:00:00.000Z</x:v>
      </x:c>
      <x:c r="C1402" s="1" t="str">
        <x:v>Standard Class</x:v>
      </x:c>
      <x:c r="D1402" s="1" t="str">
        <x:v>Europe</x:v>
      </x:c>
      <x:c r="E1402" s="1" t="str">
        <x:v>PENDING_PAYMENT</x:v>
      </x:c>
      <x:c r="F1402" s="1" t="str">
        <x:v>Shipping on time</x:v>
      </x:c>
      <x:c r="G1402" s="6" t="n">
        <x:v>4</x:v>
      </x:c>
      <x:c r="H1402" s="6" t="n">
        <x:v>4</x:v>
      </x:c>
      <x:c r="I1402" s="6" t="n">
        <x:f>G1402-H1402</x:f>
        <x:v>0</x:v>
      </x:c>
      <x:c r="J1402" s="6" t="n">
        <x:f>IF(OR(E1402="CANCELED",E1402="SUSPECTED_FRAUD",F1402="Shipping canceled"),0,1)</x:f>
        <x:v>1</x:v>
      </x:c>
      <x:c r="K1402" s="6" t="n">
        <x:f>IF(G1402&gt;H1402,1,0)</x:f>
        <x:v>0</x:v>
      </x:c>
      <x:c r="L1402" s="6" t="n">
        <x:f>J1402*K1402</x:f>
        <x:v>0</x:v>
      </x:c>
    </x:row>
    <x:row r="1403">
      <x:c r="A1403" s="1" t="n">
        <x:v>11646</x:v>
      </x:c>
      <x:c r="B1403" s="5" t="d">
        <x:v>2015-06-19T00:00:00.000Z</x:v>
      </x:c>
      <x:c r="C1403" s="1" t="str">
        <x:v>Standard Class</x:v>
      </x:c>
      <x:c r="D1403" s="1" t="str">
        <x:v>Europe</x:v>
      </x:c>
      <x:c r="E1403" s="1" t="str">
        <x:v>COMPLETE</x:v>
      </x:c>
      <x:c r="F1403" s="1" t="str">
        <x:v>Advance shipping</x:v>
      </x:c>
      <x:c r="G1403" s="6" t="n">
        <x:v>2</x:v>
      </x:c>
      <x:c r="H1403" s="6" t="n">
        <x:v>4</x:v>
      </x:c>
      <x:c r="I1403" s="6" t="n">
        <x:f>G1403-H1403</x:f>
        <x:v>-2</x:v>
      </x:c>
      <x:c r="J1403" s="6" t="n">
        <x:f>IF(OR(E1403="CANCELED",E1403="SUSPECTED_FRAUD",F1403="Shipping canceled"),0,1)</x:f>
        <x:v>1</x:v>
      </x:c>
      <x:c r="K1403" s="6" t="n">
        <x:f>IF(G1403&gt;H1403,1,0)</x:f>
        <x:v>0</x:v>
      </x:c>
      <x:c r="L1403" s="6" t="n">
        <x:f>J1403*K1403</x:f>
        <x:v>0</x:v>
      </x:c>
    </x:row>
    <x:row r="1404">
      <x:c r="A1404" s="1" t="n">
        <x:v>11649</x:v>
      </x:c>
      <x:c r="B1404" s="5" t="d">
        <x:v>2015-06-20T00:00:00.000Z</x:v>
      </x:c>
      <x:c r="C1404" s="1" t="str">
        <x:v>Standard Class</x:v>
      </x:c>
      <x:c r="D1404" s="1" t="str">
        <x:v>Europe</x:v>
      </x:c>
      <x:c r="E1404" s="1" t="str">
        <x:v>CLOSED</x:v>
      </x:c>
      <x:c r="F1404" s="1" t="str">
        <x:v>Late delivery</x:v>
      </x:c>
      <x:c r="G1404" s="6" t="n">
        <x:v>5</x:v>
      </x:c>
      <x:c r="H1404" s="6" t="n">
        <x:v>4</x:v>
      </x:c>
      <x:c r="I1404" s="6" t="n">
        <x:f>G1404-H1404</x:f>
        <x:v>1</x:v>
      </x:c>
      <x:c r="J1404" s="6" t="n">
        <x:f>IF(OR(E1404="CANCELED",E1404="SUSPECTED_FRAUD",F1404="Shipping canceled"),0,1)</x:f>
        <x:v>1</x:v>
      </x:c>
      <x:c r="K1404" s="6" t="n">
        <x:f>IF(G1404&gt;H1404,1,0)</x:f>
        <x:v>1</x:v>
      </x:c>
      <x:c r="L1404" s="6" t="n">
        <x:f>J1404*K1404</x:f>
        <x:v>1</x:v>
      </x:c>
    </x:row>
    <x:row r="1405">
      <x:c r="A1405" s="1" t="n">
        <x:v>11655</x:v>
      </x:c>
      <x:c r="B1405" s="5" t="d">
        <x:v>2015-06-20T00:00:00.000Z</x:v>
      </x:c>
      <x:c r="C1405" s="1" t="str">
        <x:v>Standard Class</x:v>
      </x:c>
      <x:c r="D1405" s="1" t="str">
        <x:v>Europe</x:v>
      </x:c>
      <x:c r="E1405" s="1" t="str">
        <x:v>PENDING_PAYMENT</x:v>
      </x:c>
      <x:c r="F1405" s="1" t="str">
        <x:v>Late delivery</x:v>
      </x:c>
      <x:c r="G1405" s="6" t="n">
        <x:v>6</x:v>
      </x:c>
      <x:c r="H1405" s="6" t="n">
        <x:v>4</x:v>
      </x:c>
      <x:c r="I1405" s="6" t="n">
        <x:f>G1405-H1405</x:f>
        <x:v>2</x:v>
      </x:c>
      <x:c r="J1405" s="6" t="n">
        <x:f>IF(OR(E1405="CANCELED",E1405="SUSPECTED_FRAUD",F1405="Shipping canceled"),0,1)</x:f>
        <x:v>1</x:v>
      </x:c>
      <x:c r="K1405" s="6" t="n">
        <x:f>IF(G1405&gt;H1405,1,0)</x:f>
        <x:v>1</x:v>
      </x:c>
      <x:c r="L1405" s="6" t="n">
        <x:f>J1405*K1405</x:f>
        <x:v>1</x:v>
      </x:c>
    </x:row>
    <x:row r="1406">
      <x:c r="A1406" s="1" t="n">
        <x:v>11658</x:v>
      </x:c>
      <x:c r="B1406" s="5" t="d">
        <x:v>2015-06-20T00:00:00.000Z</x:v>
      </x:c>
      <x:c r="C1406" s="1" t="str">
        <x:v>Standard Class</x:v>
      </x:c>
      <x:c r="D1406" s="1" t="str">
        <x:v>Europe</x:v>
      </x:c>
      <x:c r="E1406" s="1" t="str">
        <x:v>PROCESSING</x:v>
      </x:c>
      <x:c r="F1406" s="1" t="str">
        <x:v>Shipping on time</x:v>
      </x:c>
      <x:c r="G1406" s="6" t="n">
        <x:v>4</x:v>
      </x:c>
      <x:c r="H1406" s="6" t="n">
        <x:v>4</x:v>
      </x:c>
      <x:c r="I1406" s="6" t="n">
        <x:f>G1406-H1406</x:f>
        <x:v>0</x:v>
      </x:c>
      <x:c r="J1406" s="6" t="n">
        <x:f>IF(OR(E1406="CANCELED",E1406="SUSPECTED_FRAUD",F1406="Shipping canceled"),0,1)</x:f>
        <x:v>1</x:v>
      </x:c>
      <x:c r="K1406" s="6" t="n">
        <x:f>IF(G1406&gt;H1406,1,0)</x:f>
        <x:v>0</x:v>
      </x:c>
      <x:c r="L1406" s="6" t="n">
        <x:f>J1406*K1406</x:f>
        <x:v>0</x:v>
      </x:c>
    </x:row>
    <x:row r="1407">
      <x:c r="A1407" s="1" t="n">
        <x:v>11661</x:v>
      </x:c>
      <x:c r="B1407" s="5" t="d">
        <x:v>2015-06-20T00:00:00.000Z</x:v>
      </x:c>
      <x:c r="C1407" s="1" t="str">
        <x:v>Standard Class</x:v>
      </x:c>
      <x:c r="D1407" s="1" t="str">
        <x:v>Europe</x:v>
      </x:c>
      <x:c r="E1407" s="1" t="str">
        <x:v>CLOSED</x:v>
      </x:c>
      <x:c r="F1407" s="1" t="str">
        <x:v>Advance shipping</x:v>
      </x:c>
      <x:c r="G1407" s="6" t="n">
        <x:v>2</x:v>
      </x:c>
      <x:c r="H1407" s="6" t="n">
        <x:v>4</x:v>
      </x:c>
      <x:c r="I1407" s="6" t="n">
        <x:f>G1407-H1407</x:f>
        <x:v>-2</x:v>
      </x:c>
      <x:c r="J1407" s="6" t="n">
        <x:f>IF(OR(E1407="CANCELED",E1407="SUSPECTED_FRAUD",F1407="Shipping canceled"),0,1)</x:f>
        <x:v>1</x:v>
      </x:c>
      <x:c r="K1407" s="6" t="n">
        <x:f>IF(G1407&gt;H1407,1,0)</x:f>
        <x:v>0</x:v>
      </x:c>
      <x:c r="L1407" s="6" t="n">
        <x:f>J1407*K1407</x:f>
        <x:v>0</x:v>
      </x:c>
    </x:row>
    <x:row r="1408">
      <x:c r="A1408" s="1" t="n">
        <x:v>11674</x:v>
      </x:c>
      <x:c r="B1408" s="5" t="d">
        <x:v>2015-06-20T00:00:00.000Z</x:v>
      </x:c>
      <x:c r="C1408" s="1" t="str">
        <x:v>Standard Class</x:v>
      </x:c>
      <x:c r="D1408" s="1" t="str">
        <x:v>Europe</x:v>
      </x:c>
      <x:c r="E1408" s="1" t="str">
        <x:v>PENDING</x:v>
      </x:c>
      <x:c r="F1408" s="1" t="str">
        <x:v>Late delivery</x:v>
      </x:c>
      <x:c r="G1408" s="6" t="n">
        <x:v>5</x:v>
      </x:c>
      <x:c r="H1408" s="6" t="n">
        <x:v>4</x:v>
      </x:c>
      <x:c r="I1408" s="6" t="n">
        <x:f>G1408-H1408</x:f>
        <x:v>1</x:v>
      </x:c>
      <x:c r="J1408" s="6" t="n">
        <x:f>IF(OR(E1408="CANCELED",E1408="SUSPECTED_FRAUD",F1408="Shipping canceled"),0,1)</x:f>
        <x:v>1</x:v>
      </x:c>
      <x:c r="K1408" s="6" t="n">
        <x:f>IF(G1408&gt;H1408,1,0)</x:f>
        <x:v>1</x:v>
      </x:c>
      <x:c r="L1408" s="6" t="n">
        <x:f>J1408*K1408</x:f>
        <x:v>1</x:v>
      </x:c>
    </x:row>
    <x:row r="1409">
      <x:c r="A1409" s="1" t="n">
        <x:v>11681</x:v>
      </x:c>
      <x:c r="B1409" s="5" t="d">
        <x:v>2015-06-20T00:00:00.000Z</x:v>
      </x:c>
      <x:c r="C1409" s="1" t="str">
        <x:v>Second Class</x:v>
      </x:c>
      <x:c r="D1409" s="1" t="str">
        <x:v>Europe</x:v>
      </x:c>
      <x:c r="E1409" s="1" t="str">
        <x:v>COMPLETE</x:v>
      </x:c>
      <x:c r="F1409" s="1" t="str">
        <x:v>Shipping on time</x:v>
      </x:c>
      <x:c r="G1409" s="6" t="n">
        <x:v>2</x:v>
      </x:c>
      <x:c r="H1409" s="6" t="n">
        <x:v>2</x:v>
      </x:c>
      <x:c r="I1409" s="6" t="n">
        <x:f>G1409-H1409</x:f>
        <x:v>0</x:v>
      </x:c>
      <x:c r="J1409" s="6" t="n">
        <x:f>IF(OR(E1409="CANCELED",E1409="SUSPECTED_FRAUD",F1409="Shipping canceled"),0,1)</x:f>
        <x:v>1</x:v>
      </x:c>
      <x:c r="K1409" s="6" t="n">
        <x:f>IF(G1409&gt;H1409,1,0)</x:f>
        <x:v>0</x:v>
      </x:c>
      <x:c r="L1409" s="6" t="n">
        <x:f>J1409*K1409</x:f>
        <x:v>0</x:v>
      </x:c>
    </x:row>
    <x:row r="1410">
      <x:c r="A1410" s="1" t="n">
        <x:v>11693</x:v>
      </x:c>
      <x:c r="B1410" s="5" t="d">
        <x:v>2015-06-20T00:00:00.000Z</x:v>
      </x:c>
      <x:c r="C1410" s="1" t="str">
        <x:v>First Class</x:v>
      </x:c>
      <x:c r="D1410" s="1" t="str">
        <x:v>Europe</x:v>
      </x:c>
      <x:c r="E1410" s="1" t="str">
        <x:v>SUSPECTED_FRAUD</x:v>
      </x:c>
      <x:c r="F1410" s="1" t="str">
        <x:v>Shipping canceled</x:v>
      </x:c>
      <x:c r="G1410" s="6" t="n">
        <x:v>2</x:v>
      </x:c>
      <x:c r="H1410" s="6" t="n">
        <x:v>1</x:v>
      </x:c>
      <x:c r="I1410" s="6" t="n">
        <x:f>G1410-H1410</x:f>
        <x:v>1</x:v>
      </x:c>
      <x:c r="J1410" s="6" t="n">
        <x:f>IF(OR(E1410="CANCELED",E1410="SUSPECTED_FRAUD",F1410="Shipping canceled"),0,1)</x:f>
        <x:v>0</x:v>
      </x:c>
      <x:c r="K1410" s="6" t="n">
        <x:f>IF(G1410&gt;H1410,1,0)</x:f>
        <x:v>1</x:v>
      </x:c>
      <x:c r="L1410" s="6" t="n">
        <x:f>J1410*K1410</x:f>
        <x:v>0</x:v>
      </x:c>
    </x:row>
    <x:row r="1411">
      <x:c r="A1411" s="1" t="n">
        <x:v>11714</x:v>
      </x:c>
      <x:c r="B1411" s="5" t="d">
        <x:v>2015-06-20T00:00:00.000Z</x:v>
      </x:c>
      <x:c r="C1411" s="1" t="str">
        <x:v>Standard Class</x:v>
      </x:c>
      <x:c r="D1411" s="1" t="str">
        <x:v>Europe</x:v>
      </x:c>
      <x:c r="E1411" s="1" t="str">
        <x:v>PROCESSING</x:v>
      </x:c>
      <x:c r="F1411" s="1" t="str">
        <x:v>Late delivery</x:v>
      </x:c>
      <x:c r="G1411" s="6" t="n">
        <x:v>5</x:v>
      </x:c>
      <x:c r="H1411" s="6" t="n">
        <x:v>4</x:v>
      </x:c>
      <x:c r="I1411" s="6" t="n">
        <x:f>G1411-H1411</x:f>
        <x:v>1</x:v>
      </x:c>
      <x:c r="J1411" s="6" t="n">
        <x:f>IF(OR(E1411="CANCELED",E1411="SUSPECTED_FRAUD",F1411="Shipping canceled"),0,1)</x:f>
        <x:v>1</x:v>
      </x:c>
      <x:c r="K1411" s="6" t="n">
        <x:f>IF(G1411&gt;H1411,1,0)</x:f>
        <x:v>1</x:v>
      </x:c>
      <x:c r="L1411" s="6" t="n">
        <x:f>J1411*K1411</x:f>
        <x:v>1</x:v>
      </x:c>
    </x:row>
    <x:row r="1412">
      <x:c r="A1412" s="1" t="n">
        <x:v>11742</x:v>
      </x:c>
      <x:c r="B1412" s="5" t="d">
        <x:v>2015-06-21T00:00:00.000Z</x:v>
      </x:c>
      <x:c r="C1412" s="1" t="str">
        <x:v>Standard Class</x:v>
      </x:c>
      <x:c r="D1412" s="1" t="str">
        <x:v>Europe</x:v>
      </x:c>
      <x:c r="E1412" s="1" t="str">
        <x:v>COMPLETE</x:v>
      </x:c>
      <x:c r="F1412" s="1" t="str">
        <x:v>Advance shipping</x:v>
      </x:c>
      <x:c r="G1412" s="6" t="n">
        <x:v>3</x:v>
      </x:c>
      <x:c r="H1412" s="6" t="n">
        <x:v>4</x:v>
      </x:c>
      <x:c r="I1412" s="6" t="n">
        <x:f>G1412-H1412</x:f>
        <x:v>-1</x:v>
      </x:c>
      <x:c r="J1412" s="6" t="n">
        <x:f>IF(OR(E1412="CANCELED",E1412="SUSPECTED_FRAUD",F1412="Shipping canceled"),0,1)</x:f>
        <x:v>1</x:v>
      </x:c>
      <x:c r="K1412" s="6" t="n">
        <x:f>IF(G1412&gt;H1412,1,0)</x:f>
        <x:v>0</x:v>
      </x:c>
      <x:c r="L1412" s="6" t="n">
        <x:f>J1412*K1412</x:f>
        <x:v>0</x:v>
      </x:c>
    </x:row>
    <x:row r="1413">
      <x:c r="A1413" s="1" t="n">
        <x:v>11745</x:v>
      </x:c>
      <x:c r="B1413" s="5" t="d">
        <x:v>2015-06-21T00:00:00.000Z</x:v>
      </x:c>
      <x:c r="C1413" s="1" t="str">
        <x:v>Standard Class</x:v>
      </x:c>
      <x:c r="D1413" s="1" t="str">
        <x:v>Europe</x:v>
      </x:c>
      <x:c r="E1413" s="1" t="str">
        <x:v>PROCESSING</x:v>
      </x:c>
      <x:c r="F1413" s="1" t="str">
        <x:v>Late delivery</x:v>
      </x:c>
      <x:c r="G1413" s="6" t="n">
        <x:v>6</x:v>
      </x:c>
      <x:c r="H1413" s="6" t="n">
        <x:v>4</x:v>
      </x:c>
      <x:c r="I1413" s="6" t="n">
        <x:f>G1413-H1413</x:f>
        <x:v>2</x:v>
      </x:c>
      <x:c r="J1413" s="6" t="n">
        <x:f>IF(OR(E1413="CANCELED",E1413="SUSPECTED_FRAUD",F1413="Shipping canceled"),0,1)</x:f>
        <x:v>1</x:v>
      </x:c>
      <x:c r="K1413" s="6" t="n">
        <x:f>IF(G1413&gt;H1413,1,0)</x:f>
        <x:v>1</x:v>
      </x:c>
      <x:c r="L1413" s="6" t="n">
        <x:f>J1413*K1413</x:f>
        <x:v>1</x:v>
      </x:c>
    </x:row>
    <x:row r="1414">
      <x:c r="A1414" s="1" t="n">
        <x:v>11749</x:v>
      </x:c>
      <x:c r="B1414" s="5" t="d">
        <x:v>2015-06-21T00:00:00.000Z</x:v>
      </x:c>
      <x:c r="C1414" s="1" t="str">
        <x:v>Standard Class</x:v>
      </x:c>
      <x:c r="D1414" s="1" t="str">
        <x:v>Europe</x:v>
      </x:c>
      <x:c r="E1414" s="1" t="str">
        <x:v>COMPLETE</x:v>
      </x:c>
      <x:c r="F1414" s="1" t="str">
        <x:v>Late delivery</x:v>
      </x:c>
      <x:c r="G1414" s="6" t="n">
        <x:v>5</x:v>
      </x:c>
      <x:c r="H1414" s="6" t="n">
        <x:v>4</x:v>
      </x:c>
      <x:c r="I1414" s="6" t="n">
        <x:f>G1414-H1414</x:f>
        <x:v>1</x:v>
      </x:c>
      <x:c r="J1414" s="6" t="n">
        <x:f>IF(OR(E1414="CANCELED",E1414="SUSPECTED_FRAUD",F1414="Shipping canceled"),0,1)</x:f>
        <x:v>1</x:v>
      </x:c>
      <x:c r="K1414" s="6" t="n">
        <x:f>IF(G1414&gt;H1414,1,0)</x:f>
        <x:v>1</x:v>
      </x:c>
      <x:c r="L1414" s="6" t="n">
        <x:f>J1414*K1414</x:f>
        <x:v>1</x:v>
      </x:c>
    </x:row>
    <x:row r="1415">
      <x:c r="A1415" s="1" t="n">
        <x:v>11754</x:v>
      </x:c>
      <x:c r="B1415" s="5" t="d">
        <x:v>2015-06-21T00:00:00.000Z</x:v>
      </x:c>
      <x:c r="C1415" s="1" t="str">
        <x:v>Same Day</x:v>
      </x:c>
      <x:c r="D1415" s="1" t="str">
        <x:v>Europe</x:v>
      </x:c>
      <x:c r="E1415" s="1" t="str">
        <x:v>PROCESSING</x:v>
      </x:c>
      <x:c r="F1415" s="1" t="str">
        <x:v>Late delivery</x:v>
      </x:c>
      <x:c r="G1415" s="6" t="n">
        <x:v>1</x:v>
      </x:c>
      <x:c r="H1415" s="6" t="n">
        <x:v>0</x:v>
      </x:c>
      <x:c r="I1415" s="6" t="n">
        <x:f>G1415-H1415</x:f>
        <x:v>1</x:v>
      </x:c>
      <x:c r="J1415" s="6" t="n">
        <x:f>IF(OR(E1415="CANCELED",E1415="SUSPECTED_FRAUD",F1415="Shipping canceled"),0,1)</x:f>
        <x:v>1</x:v>
      </x:c>
      <x:c r="K1415" s="6" t="n">
        <x:f>IF(G1415&gt;H1415,1,0)</x:f>
        <x:v>1</x:v>
      </x:c>
      <x:c r="L1415" s="6" t="n">
        <x:f>J1415*K1415</x:f>
        <x:v>1</x:v>
      </x:c>
    </x:row>
    <x:row r="1416">
      <x:c r="A1416" s="1" t="n">
        <x:v>11764</x:v>
      </x:c>
      <x:c r="B1416" s="5" t="d">
        <x:v>2015-06-21T00:00:00.000Z</x:v>
      </x:c>
      <x:c r="C1416" s="1" t="str">
        <x:v>Standard Class</x:v>
      </x:c>
      <x:c r="D1416" s="1" t="str">
        <x:v>Europe</x:v>
      </x:c>
      <x:c r="E1416" s="1" t="str">
        <x:v>COMPLETE</x:v>
      </x:c>
      <x:c r="F1416" s="1" t="str">
        <x:v>Late delivery</x:v>
      </x:c>
      <x:c r="G1416" s="6" t="n">
        <x:v>5</x:v>
      </x:c>
      <x:c r="H1416" s="6" t="n">
        <x:v>4</x:v>
      </x:c>
      <x:c r="I1416" s="6" t="n">
        <x:f>G1416-H1416</x:f>
        <x:v>1</x:v>
      </x:c>
      <x:c r="J1416" s="6" t="n">
        <x:f>IF(OR(E1416="CANCELED",E1416="SUSPECTED_FRAUD",F1416="Shipping canceled"),0,1)</x:f>
        <x:v>1</x:v>
      </x:c>
      <x:c r="K1416" s="6" t="n">
        <x:f>IF(G1416&gt;H1416,1,0)</x:f>
        <x:v>1</x:v>
      </x:c>
      <x:c r="L1416" s="6" t="n">
        <x:f>J1416*K1416</x:f>
        <x:v>1</x:v>
      </x:c>
    </x:row>
    <x:row r="1417">
      <x:c r="A1417" s="1" t="n">
        <x:v>11767</x:v>
      </x:c>
      <x:c r="B1417" s="5" t="d">
        <x:v>2015-06-21T00:00:00.000Z</x:v>
      </x:c>
      <x:c r="C1417" s="1" t="str">
        <x:v>Standard Class</x:v>
      </x:c>
      <x:c r="D1417" s="1" t="str">
        <x:v>Europe</x:v>
      </x:c>
      <x:c r="E1417" s="1" t="str">
        <x:v>CLOSED</x:v>
      </x:c>
      <x:c r="F1417" s="1" t="str">
        <x:v>Advance shipping</x:v>
      </x:c>
      <x:c r="G1417" s="6" t="n">
        <x:v>3</x:v>
      </x:c>
      <x:c r="H1417" s="6" t="n">
        <x:v>4</x:v>
      </x:c>
      <x:c r="I1417" s="6" t="n">
        <x:f>G1417-H1417</x:f>
        <x:v>-1</x:v>
      </x:c>
      <x:c r="J1417" s="6" t="n">
        <x:f>IF(OR(E1417="CANCELED",E1417="SUSPECTED_FRAUD",F1417="Shipping canceled"),0,1)</x:f>
        <x:v>1</x:v>
      </x:c>
      <x:c r="K1417" s="6" t="n">
        <x:f>IF(G1417&gt;H1417,1,0)</x:f>
        <x:v>0</x:v>
      </x:c>
      <x:c r="L1417" s="6" t="n">
        <x:f>J1417*K1417</x:f>
        <x:v>0</x:v>
      </x:c>
    </x:row>
    <x:row r="1418">
      <x:c r="A1418" s="1" t="n">
        <x:v>11769</x:v>
      </x:c>
      <x:c r="B1418" s="5" t="d">
        <x:v>2015-06-21T00:00:00.000Z</x:v>
      </x:c>
      <x:c r="C1418" s="1" t="str">
        <x:v>Second Class</x:v>
      </x:c>
      <x:c r="D1418" s="1" t="str">
        <x:v>Europe</x:v>
      </x:c>
      <x:c r="E1418" s="1" t="str">
        <x:v>PROCESSING</x:v>
      </x:c>
      <x:c r="F1418" s="1" t="str">
        <x:v>Late delivery</x:v>
      </x:c>
      <x:c r="G1418" s="6" t="n">
        <x:v>5</x:v>
      </x:c>
      <x:c r="H1418" s="6" t="n">
        <x:v>2</x:v>
      </x:c>
      <x:c r="I1418" s="6" t="n">
        <x:f>G1418-H1418</x:f>
        <x:v>3</x:v>
      </x:c>
      <x:c r="J1418" s="6" t="n">
        <x:f>IF(OR(E1418="CANCELED",E1418="SUSPECTED_FRAUD",F1418="Shipping canceled"),0,1)</x:f>
        <x:v>1</x:v>
      </x:c>
      <x:c r="K1418" s="6" t="n">
        <x:f>IF(G1418&gt;H1418,1,0)</x:f>
        <x:v>1</x:v>
      </x:c>
      <x:c r="L1418" s="6" t="n">
        <x:f>J1418*K1418</x:f>
        <x:v>1</x:v>
      </x:c>
    </x:row>
    <x:row r="1419">
      <x:c r="A1419" s="1" t="n">
        <x:v>11770</x:v>
      </x:c>
      <x:c r="B1419" s="5" t="d">
        <x:v>2015-06-21T00:00:00.000Z</x:v>
      </x:c>
      <x:c r="C1419" s="1" t="str">
        <x:v>Standard Class</x:v>
      </x:c>
      <x:c r="D1419" s="1" t="str">
        <x:v>Europe</x:v>
      </x:c>
      <x:c r="E1419" s="1" t="str">
        <x:v>CANCELED</x:v>
      </x:c>
      <x:c r="F1419" s="1" t="str">
        <x:v>Shipping canceled</x:v>
      </x:c>
      <x:c r="G1419" s="6" t="n">
        <x:v>6</x:v>
      </x:c>
      <x:c r="H1419" s="6" t="n">
        <x:v>4</x:v>
      </x:c>
      <x:c r="I1419" s="6" t="n">
        <x:f>G1419-H1419</x:f>
        <x:v>2</x:v>
      </x:c>
      <x:c r="J1419" s="6" t="n">
        <x:f>IF(OR(E1419="CANCELED",E1419="SUSPECTED_FRAUD",F1419="Shipping canceled"),0,1)</x:f>
        <x:v>0</x:v>
      </x:c>
      <x:c r="K1419" s="6" t="n">
        <x:f>IF(G1419&gt;H1419,1,0)</x:f>
        <x:v>1</x:v>
      </x:c>
      <x:c r="L1419" s="6" t="n">
        <x:f>J1419*K1419</x:f>
        <x:v>0</x:v>
      </x:c>
    </x:row>
    <x:row r="1420">
      <x:c r="A1420" s="1" t="n">
        <x:v>11787</x:v>
      </x:c>
      <x:c r="B1420" s="5" t="d">
        <x:v>2015-06-22T00:00:00.000Z</x:v>
      </x:c>
      <x:c r="C1420" s="1" t="str">
        <x:v>Same Day</x:v>
      </x:c>
      <x:c r="D1420" s="1" t="str">
        <x:v>Europe</x:v>
      </x:c>
      <x:c r="E1420" s="1" t="str">
        <x:v>CLOSED</x:v>
      </x:c>
      <x:c r="F1420" s="1" t="str">
        <x:v>Shipping on time</x:v>
      </x:c>
      <x:c r="G1420" s="6" t="n">
        <x:v>0</x:v>
      </x:c>
      <x:c r="H1420" s="6" t="n">
        <x:v>0</x:v>
      </x:c>
      <x:c r="I1420" s="6" t="n">
        <x:f>G1420-H1420</x:f>
        <x:v>0</x:v>
      </x:c>
      <x:c r="J1420" s="6" t="n">
        <x:f>IF(OR(E1420="CANCELED",E1420="SUSPECTED_FRAUD",F1420="Shipping canceled"),0,1)</x:f>
        <x:v>1</x:v>
      </x:c>
      <x:c r="K1420" s="6" t="n">
        <x:f>IF(G1420&gt;H1420,1,0)</x:f>
        <x:v>0</x:v>
      </x:c>
      <x:c r="L1420" s="6" t="n">
        <x:f>J1420*K1420</x:f>
        <x:v>0</x:v>
      </x:c>
    </x:row>
    <x:row r="1421">
      <x:c r="A1421" s="1" t="n">
        <x:v>11790</x:v>
      </x:c>
      <x:c r="B1421" s="5" t="d">
        <x:v>2015-06-22T00:00:00.000Z</x:v>
      </x:c>
      <x:c r="C1421" s="1" t="str">
        <x:v>First Class</x:v>
      </x:c>
      <x:c r="D1421" s="1" t="str">
        <x:v>Europe</x:v>
      </x:c>
      <x:c r="E1421" s="1" t="str">
        <x:v>PENDING_PAYMENT</x:v>
      </x:c>
      <x:c r="F1421" s="1" t="str">
        <x:v>Late delivery</x:v>
      </x:c>
      <x:c r="G1421" s="6" t="n">
        <x:v>2</x:v>
      </x:c>
      <x:c r="H1421" s="6" t="n">
        <x:v>1</x:v>
      </x:c>
      <x:c r="I1421" s="6" t="n">
        <x:f>G1421-H1421</x:f>
        <x:v>1</x:v>
      </x:c>
      <x:c r="J1421" s="6" t="n">
        <x:f>IF(OR(E1421="CANCELED",E1421="SUSPECTED_FRAUD",F1421="Shipping canceled"),0,1)</x:f>
        <x:v>1</x:v>
      </x:c>
      <x:c r="K1421" s="6" t="n">
        <x:f>IF(G1421&gt;H1421,1,0)</x:f>
        <x:v>1</x:v>
      </x:c>
      <x:c r="L1421" s="6" t="n">
        <x:f>J1421*K1421</x:f>
        <x:v>1</x:v>
      </x:c>
    </x:row>
    <x:row r="1422">
      <x:c r="A1422" s="1" t="n">
        <x:v>11805</x:v>
      </x:c>
      <x:c r="B1422" s="5" t="d">
        <x:v>2015-06-22T00:00:00.000Z</x:v>
      </x:c>
      <x:c r="C1422" s="1" t="str">
        <x:v>Standard Class</x:v>
      </x:c>
      <x:c r="D1422" s="1" t="str">
        <x:v>Europe</x:v>
      </x:c>
      <x:c r="E1422" s="1" t="str">
        <x:v>COMPLETE</x:v>
      </x:c>
      <x:c r="F1422" s="1" t="str">
        <x:v>Late delivery</x:v>
      </x:c>
      <x:c r="G1422" s="6" t="n">
        <x:v>6</x:v>
      </x:c>
      <x:c r="H1422" s="6" t="n">
        <x:v>4</x:v>
      </x:c>
      <x:c r="I1422" s="6" t="n">
        <x:f>G1422-H1422</x:f>
        <x:v>2</x:v>
      </x:c>
      <x:c r="J1422" s="6" t="n">
        <x:f>IF(OR(E1422="CANCELED",E1422="SUSPECTED_FRAUD",F1422="Shipping canceled"),0,1)</x:f>
        <x:v>1</x:v>
      </x:c>
      <x:c r="K1422" s="6" t="n">
        <x:f>IF(G1422&gt;H1422,1,0)</x:f>
        <x:v>1</x:v>
      </x:c>
      <x:c r="L1422" s="6" t="n">
        <x:f>J1422*K1422</x:f>
        <x:v>1</x:v>
      </x:c>
    </x:row>
    <x:row r="1423">
      <x:c r="A1423" s="1" t="n">
        <x:v>11810</x:v>
      </x:c>
      <x:c r="B1423" s="5" t="d">
        <x:v>2015-06-22T00:00:00.000Z</x:v>
      </x:c>
      <x:c r="C1423" s="1" t="str">
        <x:v>Standard Class</x:v>
      </x:c>
      <x:c r="D1423" s="1" t="str">
        <x:v>Europe</x:v>
      </x:c>
      <x:c r="E1423" s="1" t="str">
        <x:v>ON_HOLD</x:v>
      </x:c>
      <x:c r="F1423" s="1" t="str">
        <x:v>Late delivery</x:v>
      </x:c>
      <x:c r="G1423" s="6" t="n">
        <x:v>6</x:v>
      </x:c>
      <x:c r="H1423" s="6" t="n">
        <x:v>4</x:v>
      </x:c>
      <x:c r="I1423" s="6" t="n">
        <x:f>G1423-H1423</x:f>
        <x:v>2</x:v>
      </x:c>
      <x:c r="J1423" s="6" t="n">
        <x:f>IF(OR(E1423="CANCELED",E1423="SUSPECTED_FRAUD",F1423="Shipping canceled"),0,1)</x:f>
        <x:v>1</x:v>
      </x:c>
      <x:c r="K1423" s="6" t="n">
        <x:f>IF(G1423&gt;H1423,1,0)</x:f>
        <x:v>1</x:v>
      </x:c>
      <x:c r="L1423" s="6" t="n">
        <x:f>J1423*K1423</x:f>
        <x:v>1</x:v>
      </x:c>
    </x:row>
    <x:row r="1424">
      <x:c r="A1424" s="1" t="n">
        <x:v>11822</x:v>
      </x:c>
      <x:c r="B1424" s="5" t="d">
        <x:v>2015-06-22T00:00:00.000Z</x:v>
      </x:c>
      <x:c r="C1424" s="1" t="str">
        <x:v>Standard Class</x:v>
      </x:c>
      <x:c r="D1424" s="1" t="str">
        <x:v>Europe</x:v>
      </x:c>
      <x:c r="E1424" s="1" t="str">
        <x:v>PENDING</x:v>
      </x:c>
      <x:c r="F1424" s="1" t="str">
        <x:v>Advance shipping</x:v>
      </x:c>
      <x:c r="G1424" s="6" t="n">
        <x:v>3</x:v>
      </x:c>
      <x:c r="H1424" s="6" t="n">
        <x:v>4</x:v>
      </x:c>
      <x:c r="I1424" s="6" t="n">
        <x:f>G1424-H1424</x:f>
        <x:v>-1</x:v>
      </x:c>
      <x:c r="J1424" s="6" t="n">
        <x:f>IF(OR(E1424="CANCELED",E1424="SUSPECTED_FRAUD",F1424="Shipping canceled"),0,1)</x:f>
        <x:v>1</x:v>
      </x:c>
      <x:c r="K1424" s="6" t="n">
        <x:f>IF(G1424&gt;H1424,1,0)</x:f>
        <x:v>0</x:v>
      </x:c>
      <x:c r="L1424" s="6" t="n">
        <x:f>J1424*K1424</x:f>
        <x:v>0</x:v>
      </x:c>
    </x:row>
    <x:row r="1425">
      <x:c r="A1425" s="1" t="n">
        <x:v>11824</x:v>
      </x:c>
      <x:c r="B1425" s="5" t="d">
        <x:v>2015-06-22T00:00:00.000Z</x:v>
      </x:c>
      <x:c r="C1425" s="1" t="str">
        <x:v>Standard Class</x:v>
      </x:c>
      <x:c r="D1425" s="1" t="str">
        <x:v>Europe</x:v>
      </x:c>
      <x:c r="E1425" s="1" t="str">
        <x:v>COMPLETE</x:v>
      </x:c>
      <x:c r="F1425" s="1" t="str">
        <x:v>Late delivery</x:v>
      </x:c>
      <x:c r="G1425" s="6" t="n">
        <x:v>5</x:v>
      </x:c>
      <x:c r="H1425" s="6" t="n">
        <x:v>4</x:v>
      </x:c>
      <x:c r="I1425" s="6" t="n">
        <x:f>G1425-H1425</x:f>
        <x:v>1</x:v>
      </x:c>
      <x:c r="J1425" s="6" t="n">
        <x:f>IF(OR(E1425="CANCELED",E1425="SUSPECTED_FRAUD",F1425="Shipping canceled"),0,1)</x:f>
        <x:v>1</x:v>
      </x:c>
      <x:c r="K1425" s="6" t="n">
        <x:f>IF(G1425&gt;H1425,1,0)</x:f>
        <x:v>1</x:v>
      </x:c>
      <x:c r="L1425" s="6" t="n">
        <x:f>J1425*K1425</x:f>
        <x:v>1</x:v>
      </x:c>
    </x:row>
    <x:row r="1426">
      <x:c r="A1426" s="1" t="n">
        <x:v>11825</x:v>
      </x:c>
      <x:c r="B1426" s="5" t="d">
        <x:v>2015-06-22T00:00:00.000Z</x:v>
      </x:c>
      <x:c r="C1426" s="1" t="str">
        <x:v>Same Day</x:v>
      </x:c>
      <x:c r="D1426" s="1" t="str">
        <x:v>Europe</x:v>
      </x:c>
      <x:c r="E1426" s="1" t="str">
        <x:v>CLOSED</x:v>
      </x:c>
      <x:c r="F1426" s="1" t="str">
        <x:v>Late delivery</x:v>
      </x:c>
      <x:c r="G1426" s="6" t="n">
        <x:v>1</x:v>
      </x:c>
      <x:c r="H1426" s="6" t="n">
        <x:v>0</x:v>
      </x:c>
      <x:c r="I1426" s="6" t="n">
        <x:f>G1426-H1426</x:f>
        <x:v>1</x:v>
      </x:c>
      <x:c r="J1426" s="6" t="n">
        <x:f>IF(OR(E1426="CANCELED",E1426="SUSPECTED_FRAUD",F1426="Shipping canceled"),0,1)</x:f>
        <x:v>1</x:v>
      </x:c>
      <x:c r="K1426" s="6" t="n">
        <x:f>IF(G1426&gt;H1426,1,0)</x:f>
        <x:v>1</x:v>
      </x:c>
      <x:c r="L1426" s="6" t="n">
        <x:f>J1426*K1426</x:f>
        <x:v>1</x:v>
      </x:c>
    </x:row>
    <x:row r="1427">
      <x:c r="A1427" s="1" t="n">
        <x:v>11827</x:v>
      </x:c>
      <x:c r="B1427" s="5" t="d">
        <x:v>2015-06-22T00:00:00.000Z</x:v>
      </x:c>
      <x:c r="C1427" s="1" t="str">
        <x:v>Standard Class</x:v>
      </x:c>
      <x:c r="D1427" s="1" t="str">
        <x:v>Europe</x:v>
      </x:c>
      <x:c r="E1427" s="1" t="str">
        <x:v>PENDING_PAYMENT</x:v>
      </x:c>
      <x:c r="F1427" s="1" t="str">
        <x:v>Advance shipping</x:v>
      </x:c>
      <x:c r="G1427" s="6" t="n">
        <x:v>3</x:v>
      </x:c>
      <x:c r="H1427" s="6" t="n">
        <x:v>4</x:v>
      </x:c>
      <x:c r="I1427" s="6" t="n">
        <x:f>G1427-H1427</x:f>
        <x:v>-1</x:v>
      </x:c>
      <x:c r="J1427" s="6" t="n">
        <x:f>IF(OR(E1427="CANCELED",E1427="SUSPECTED_FRAUD",F1427="Shipping canceled"),0,1)</x:f>
        <x:v>1</x:v>
      </x:c>
      <x:c r="K1427" s="6" t="n">
        <x:f>IF(G1427&gt;H1427,1,0)</x:f>
        <x:v>0</x:v>
      </x:c>
      <x:c r="L1427" s="6" t="n">
        <x:f>J1427*K1427</x:f>
        <x:v>0</x:v>
      </x:c>
    </x:row>
    <x:row r="1428">
      <x:c r="A1428" s="1" t="n">
        <x:v>11831</x:v>
      </x:c>
      <x:c r="B1428" s="5" t="d">
        <x:v>2015-06-22T00:00:00.000Z</x:v>
      </x:c>
      <x:c r="C1428" s="1" t="str">
        <x:v>Standard Class</x:v>
      </x:c>
      <x:c r="D1428" s="1" t="str">
        <x:v>Europe</x:v>
      </x:c>
      <x:c r="E1428" s="1" t="str">
        <x:v>PROCESSING</x:v>
      </x:c>
      <x:c r="F1428" s="1" t="str">
        <x:v>Advance shipping</x:v>
      </x:c>
      <x:c r="G1428" s="6" t="n">
        <x:v>2</x:v>
      </x:c>
      <x:c r="H1428" s="6" t="n">
        <x:v>4</x:v>
      </x:c>
      <x:c r="I1428" s="6" t="n">
        <x:f>G1428-H1428</x:f>
        <x:v>-2</x:v>
      </x:c>
      <x:c r="J1428" s="6" t="n">
        <x:f>IF(OR(E1428="CANCELED",E1428="SUSPECTED_FRAUD",F1428="Shipping canceled"),0,1)</x:f>
        <x:v>1</x:v>
      </x:c>
      <x:c r="K1428" s="6" t="n">
        <x:f>IF(G1428&gt;H1428,1,0)</x:f>
        <x:v>0</x:v>
      </x:c>
      <x:c r="L1428" s="6" t="n">
        <x:f>J1428*K1428</x:f>
        <x:v>0</x:v>
      </x:c>
    </x:row>
    <x:row r="1429">
      <x:c r="A1429" s="1" t="n">
        <x:v>11832</x:v>
      </x:c>
      <x:c r="B1429" s="5" t="d">
        <x:v>2015-06-22T00:00:00.000Z</x:v>
      </x:c>
      <x:c r="C1429" s="1" t="str">
        <x:v>Standard Class</x:v>
      </x:c>
      <x:c r="D1429" s="1" t="str">
        <x:v>Europe</x:v>
      </x:c>
      <x:c r="E1429" s="1" t="str">
        <x:v>ON_HOLD</x:v>
      </x:c>
      <x:c r="F1429" s="1" t="str">
        <x:v>Advance shipping</x:v>
      </x:c>
      <x:c r="G1429" s="6" t="n">
        <x:v>3</x:v>
      </x:c>
      <x:c r="H1429" s="6" t="n">
        <x:v>4</x:v>
      </x:c>
      <x:c r="I1429" s="6" t="n">
        <x:f>G1429-H1429</x:f>
        <x:v>-1</x:v>
      </x:c>
      <x:c r="J1429" s="6" t="n">
        <x:f>IF(OR(E1429="CANCELED",E1429="SUSPECTED_FRAUD",F1429="Shipping canceled"),0,1)</x:f>
        <x:v>1</x:v>
      </x:c>
      <x:c r="K1429" s="6" t="n">
        <x:f>IF(G1429&gt;H1429,1,0)</x:f>
        <x:v>0</x:v>
      </x:c>
      <x:c r="L1429" s="6" t="n">
        <x:f>J1429*K1429</x:f>
        <x:v>0</x:v>
      </x:c>
    </x:row>
    <x:row r="1430">
      <x:c r="A1430" s="1" t="n">
        <x:v>11851</x:v>
      </x:c>
      <x:c r="B1430" s="5" t="d">
        <x:v>2015-06-22T00:00:00.000Z</x:v>
      </x:c>
      <x:c r="C1430" s="1" t="str">
        <x:v>Standard Class</x:v>
      </x:c>
      <x:c r="D1430" s="1" t="str">
        <x:v>Europe</x:v>
      </x:c>
      <x:c r="E1430" s="1" t="str">
        <x:v>PROCESSING</x:v>
      </x:c>
      <x:c r="F1430" s="1" t="str">
        <x:v>Advance shipping</x:v>
      </x:c>
      <x:c r="G1430" s="6" t="n">
        <x:v>2</x:v>
      </x:c>
      <x:c r="H1430" s="6" t="n">
        <x:v>4</x:v>
      </x:c>
      <x:c r="I1430" s="6" t="n">
        <x:f>G1430-H1430</x:f>
        <x:v>-2</x:v>
      </x:c>
      <x:c r="J1430" s="6" t="n">
        <x:f>IF(OR(E1430="CANCELED",E1430="SUSPECTED_FRAUD",F1430="Shipping canceled"),0,1)</x:f>
        <x:v>1</x:v>
      </x:c>
      <x:c r="K1430" s="6" t="n">
        <x:f>IF(G1430&gt;H1430,1,0)</x:f>
        <x:v>0</x:v>
      </x:c>
      <x:c r="L1430" s="6" t="n">
        <x:f>J1430*K1430</x:f>
        <x:v>0</x:v>
      </x:c>
    </x:row>
    <x:row r="1431">
      <x:c r="A1431" s="1" t="n">
        <x:v>11858</x:v>
      </x:c>
      <x:c r="B1431" s="5" t="d">
        <x:v>2015-06-23T00:00:00.000Z</x:v>
      </x:c>
      <x:c r="C1431" s="1" t="str">
        <x:v>Standard Class</x:v>
      </x:c>
      <x:c r="D1431" s="1" t="str">
        <x:v>Europe</x:v>
      </x:c>
      <x:c r="E1431" s="1" t="str">
        <x:v>COMPLETE</x:v>
      </x:c>
      <x:c r="F1431" s="1" t="str">
        <x:v>Shipping on time</x:v>
      </x:c>
      <x:c r="G1431" s="6" t="n">
        <x:v>4</x:v>
      </x:c>
      <x:c r="H1431" s="6" t="n">
        <x:v>4</x:v>
      </x:c>
      <x:c r="I1431" s="6" t="n">
        <x:f>G1431-H1431</x:f>
        <x:v>0</x:v>
      </x:c>
      <x:c r="J1431" s="6" t="n">
        <x:f>IF(OR(E1431="CANCELED",E1431="SUSPECTED_FRAUD",F1431="Shipping canceled"),0,1)</x:f>
        <x:v>1</x:v>
      </x:c>
      <x:c r="K1431" s="6" t="n">
        <x:f>IF(G1431&gt;H1431,1,0)</x:f>
        <x:v>0</x:v>
      </x:c>
      <x:c r="L1431" s="6" t="n">
        <x:f>J1431*K1431</x:f>
        <x:v>0</x:v>
      </x:c>
    </x:row>
    <x:row r="1432">
      <x:c r="A1432" s="1" t="n">
        <x:v>11862</x:v>
      </x:c>
      <x:c r="B1432" s="5" t="d">
        <x:v>2015-06-23T00:00:00.000Z</x:v>
      </x:c>
      <x:c r="C1432" s="1" t="str">
        <x:v>Standard Class</x:v>
      </x:c>
      <x:c r="D1432" s="1" t="str">
        <x:v>Europe</x:v>
      </x:c>
      <x:c r="E1432" s="1" t="str">
        <x:v>PROCESSING</x:v>
      </x:c>
      <x:c r="F1432" s="1" t="str">
        <x:v>Advance shipping</x:v>
      </x:c>
      <x:c r="G1432" s="6" t="n">
        <x:v>3</x:v>
      </x:c>
      <x:c r="H1432" s="6" t="n">
        <x:v>4</x:v>
      </x:c>
      <x:c r="I1432" s="6" t="n">
        <x:f>G1432-H1432</x:f>
        <x:v>-1</x:v>
      </x:c>
      <x:c r="J1432" s="6" t="n">
        <x:f>IF(OR(E1432="CANCELED",E1432="SUSPECTED_FRAUD",F1432="Shipping canceled"),0,1)</x:f>
        <x:v>1</x:v>
      </x:c>
      <x:c r="K1432" s="6" t="n">
        <x:f>IF(G1432&gt;H1432,1,0)</x:f>
        <x:v>0</x:v>
      </x:c>
      <x:c r="L1432" s="6" t="n">
        <x:f>J1432*K1432</x:f>
        <x:v>0</x:v>
      </x:c>
    </x:row>
    <x:row r="1433">
      <x:c r="A1433" s="1" t="n">
        <x:v>11873</x:v>
      </x:c>
      <x:c r="B1433" s="5" t="d">
        <x:v>2015-06-23T00:00:00.000Z</x:v>
      </x:c>
      <x:c r="C1433" s="1" t="str">
        <x:v>Standard Class</x:v>
      </x:c>
      <x:c r="D1433" s="1" t="str">
        <x:v>Europe</x:v>
      </x:c>
      <x:c r="E1433" s="1" t="str">
        <x:v>COMPLETE</x:v>
      </x:c>
      <x:c r="F1433" s="1" t="str">
        <x:v>Shipping on time</x:v>
      </x:c>
      <x:c r="G1433" s="6" t="n">
        <x:v>4</x:v>
      </x:c>
      <x:c r="H1433" s="6" t="n">
        <x:v>4</x:v>
      </x:c>
      <x:c r="I1433" s="6" t="n">
        <x:f>G1433-H1433</x:f>
        <x:v>0</x:v>
      </x:c>
      <x:c r="J1433" s="6" t="n">
        <x:f>IF(OR(E1433="CANCELED",E1433="SUSPECTED_FRAUD",F1433="Shipping canceled"),0,1)</x:f>
        <x:v>1</x:v>
      </x:c>
      <x:c r="K1433" s="6" t="n">
        <x:f>IF(G1433&gt;H1433,1,0)</x:f>
        <x:v>0</x:v>
      </x:c>
      <x:c r="L1433" s="6" t="n">
        <x:f>J1433*K1433</x:f>
        <x:v>0</x:v>
      </x:c>
    </x:row>
    <x:row r="1434">
      <x:c r="A1434" s="1" t="n">
        <x:v>11876</x:v>
      </x:c>
      <x:c r="B1434" s="5" t="d">
        <x:v>2015-06-23T00:00:00.000Z</x:v>
      </x:c>
      <x:c r="C1434" s="1" t="str">
        <x:v>Standard Class</x:v>
      </x:c>
      <x:c r="D1434" s="1" t="str">
        <x:v>Europe</x:v>
      </x:c>
      <x:c r="E1434" s="1" t="str">
        <x:v>COMPLETE</x:v>
      </x:c>
      <x:c r="F1434" s="1" t="str">
        <x:v>Advance shipping</x:v>
      </x:c>
      <x:c r="G1434" s="6" t="n">
        <x:v>2</x:v>
      </x:c>
      <x:c r="H1434" s="6" t="n">
        <x:v>4</x:v>
      </x:c>
      <x:c r="I1434" s="6" t="n">
        <x:f>G1434-H1434</x:f>
        <x:v>-2</x:v>
      </x:c>
      <x:c r="J1434" s="6" t="n">
        <x:f>IF(OR(E1434="CANCELED",E1434="SUSPECTED_FRAUD",F1434="Shipping canceled"),0,1)</x:f>
        <x:v>1</x:v>
      </x:c>
      <x:c r="K1434" s="6" t="n">
        <x:f>IF(G1434&gt;H1434,1,0)</x:f>
        <x:v>0</x:v>
      </x:c>
      <x:c r="L1434" s="6" t="n">
        <x:f>J1434*K1434</x:f>
        <x:v>0</x:v>
      </x:c>
    </x:row>
    <x:row r="1435">
      <x:c r="A1435" s="1" t="n">
        <x:v>11882</x:v>
      </x:c>
      <x:c r="B1435" s="5" t="d">
        <x:v>2015-06-23T00:00:00.000Z</x:v>
      </x:c>
      <x:c r="C1435" s="1" t="str">
        <x:v>Standard Class</x:v>
      </x:c>
      <x:c r="D1435" s="1" t="str">
        <x:v>Europe</x:v>
      </x:c>
      <x:c r="E1435" s="1" t="str">
        <x:v>PENDING</x:v>
      </x:c>
      <x:c r="F1435" s="1" t="str">
        <x:v>Advance shipping</x:v>
      </x:c>
      <x:c r="G1435" s="6" t="n">
        <x:v>3</x:v>
      </x:c>
      <x:c r="H1435" s="6" t="n">
        <x:v>4</x:v>
      </x:c>
      <x:c r="I1435" s="6" t="n">
        <x:f>G1435-H1435</x:f>
        <x:v>-1</x:v>
      </x:c>
      <x:c r="J1435" s="6" t="n">
        <x:f>IF(OR(E1435="CANCELED",E1435="SUSPECTED_FRAUD",F1435="Shipping canceled"),0,1)</x:f>
        <x:v>1</x:v>
      </x:c>
      <x:c r="K1435" s="6" t="n">
        <x:f>IF(G1435&gt;H1435,1,0)</x:f>
        <x:v>0</x:v>
      </x:c>
      <x:c r="L1435" s="6" t="n">
        <x:f>J1435*K1435</x:f>
        <x:v>0</x:v>
      </x:c>
    </x:row>
    <x:row r="1436">
      <x:c r="A1436" s="1" t="n">
        <x:v>11883</x:v>
      </x:c>
      <x:c r="B1436" s="5" t="d">
        <x:v>2015-06-23T00:00:00.000Z</x:v>
      </x:c>
      <x:c r="C1436" s="1" t="str">
        <x:v>Standard Class</x:v>
      </x:c>
      <x:c r="D1436" s="1" t="str">
        <x:v>Europe</x:v>
      </x:c>
      <x:c r="E1436" s="1" t="str">
        <x:v>COMPLETE</x:v>
      </x:c>
      <x:c r="F1436" s="1" t="str">
        <x:v>Shipping on time</x:v>
      </x:c>
      <x:c r="G1436" s="6" t="n">
        <x:v>4</x:v>
      </x:c>
      <x:c r="H1436" s="6" t="n">
        <x:v>4</x:v>
      </x:c>
      <x:c r="I1436" s="6" t="n">
        <x:f>G1436-H1436</x:f>
        <x:v>0</x:v>
      </x:c>
      <x:c r="J1436" s="6" t="n">
        <x:f>IF(OR(E1436="CANCELED",E1436="SUSPECTED_FRAUD",F1436="Shipping canceled"),0,1)</x:f>
        <x:v>1</x:v>
      </x:c>
      <x:c r="K1436" s="6" t="n">
        <x:f>IF(G1436&gt;H1436,1,0)</x:f>
        <x:v>0</x:v>
      </x:c>
      <x:c r="L1436" s="6" t="n">
        <x:f>J1436*K1436</x:f>
        <x:v>0</x:v>
      </x:c>
    </x:row>
    <x:row r="1437">
      <x:c r="A1437" s="1" t="n">
        <x:v>11885</x:v>
      </x:c>
      <x:c r="B1437" s="5" t="d">
        <x:v>2015-06-23T00:00:00.000Z</x:v>
      </x:c>
      <x:c r="C1437" s="1" t="str">
        <x:v>Standard Class</x:v>
      </x:c>
      <x:c r="D1437" s="1" t="str">
        <x:v>Europe</x:v>
      </x:c>
      <x:c r="E1437" s="1" t="str">
        <x:v>PROCESSING</x:v>
      </x:c>
      <x:c r="F1437" s="1" t="str">
        <x:v>Late delivery</x:v>
      </x:c>
      <x:c r="G1437" s="6" t="n">
        <x:v>6</x:v>
      </x:c>
      <x:c r="H1437" s="6" t="n">
        <x:v>4</x:v>
      </x:c>
      <x:c r="I1437" s="6" t="n">
        <x:f>G1437-H1437</x:f>
        <x:v>2</x:v>
      </x:c>
      <x:c r="J1437" s="6" t="n">
        <x:f>IF(OR(E1437="CANCELED",E1437="SUSPECTED_FRAUD",F1437="Shipping canceled"),0,1)</x:f>
        <x:v>1</x:v>
      </x:c>
      <x:c r="K1437" s="6" t="n">
        <x:f>IF(G1437&gt;H1437,1,0)</x:f>
        <x:v>1</x:v>
      </x:c>
      <x:c r="L1437" s="6" t="n">
        <x:f>J1437*K1437</x:f>
        <x:v>1</x:v>
      </x:c>
    </x:row>
    <x:row r="1438">
      <x:c r="A1438" s="1" t="n">
        <x:v>11891</x:v>
      </x:c>
      <x:c r="B1438" s="5" t="d">
        <x:v>2015-06-23T00:00:00.000Z</x:v>
      </x:c>
      <x:c r="C1438" s="1" t="str">
        <x:v>Second Class</x:v>
      </x:c>
      <x:c r="D1438" s="1" t="str">
        <x:v>Europe</x:v>
      </x:c>
      <x:c r="E1438" s="1" t="str">
        <x:v>COMPLETE</x:v>
      </x:c>
      <x:c r="F1438" s="1" t="str">
        <x:v>Shipping on time</x:v>
      </x:c>
      <x:c r="G1438" s="6" t="n">
        <x:v>2</x:v>
      </x:c>
      <x:c r="H1438" s="6" t="n">
        <x:v>2</x:v>
      </x:c>
      <x:c r="I1438" s="6" t="n">
        <x:f>G1438-H1438</x:f>
        <x:v>0</x:v>
      </x:c>
      <x:c r="J1438" s="6" t="n">
        <x:f>IF(OR(E1438="CANCELED",E1438="SUSPECTED_FRAUD",F1438="Shipping canceled"),0,1)</x:f>
        <x:v>1</x:v>
      </x:c>
      <x:c r="K1438" s="6" t="n">
        <x:f>IF(G1438&gt;H1438,1,0)</x:f>
        <x:v>0</x:v>
      </x:c>
      <x:c r="L1438" s="6" t="n">
        <x:f>J1438*K1438</x:f>
        <x:v>0</x:v>
      </x:c>
    </x:row>
    <x:row r="1439">
      <x:c r="A1439" s="1" t="n">
        <x:v>11909</x:v>
      </x:c>
      <x:c r="B1439" s="5" t="d">
        <x:v>2015-06-23T00:00:00.000Z</x:v>
      </x:c>
      <x:c r="C1439" s="1" t="str">
        <x:v>Standard Class</x:v>
      </x:c>
      <x:c r="D1439" s="1" t="str">
        <x:v>Europe</x:v>
      </x:c>
      <x:c r="E1439" s="1" t="str">
        <x:v>COMPLETE</x:v>
      </x:c>
      <x:c r="F1439" s="1" t="str">
        <x:v>Late delivery</x:v>
      </x:c>
      <x:c r="G1439" s="6" t="n">
        <x:v>5</x:v>
      </x:c>
      <x:c r="H1439" s="6" t="n">
        <x:v>4</x:v>
      </x:c>
      <x:c r="I1439" s="6" t="n">
        <x:f>G1439-H1439</x:f>
        <x:v>1</x:v>
      </x:c>
      <x:c r="J1439" s="6" t="n">
        <x:f>IF(OR(E1439="CANCELED",E1439="SUSPECTED_FRAUD",F1439="Shipping canceled"),0,1)</x:f>
        <x:v>1</x:v>
      </x:c>
      <x:c r="K1439" s="6" t="n">
        <x:f>IF(G1439&gt;H1439,1,0)</x:f>
        <x:v>1</x:v>
      </x:c>
      <x:c r="L1439" s="6" t="n">
        <x:f>J1439*K1439</x:f>
        <x:v>1</x:v>
      </x:c>
    </x:row>
    <x:row r="1440">
      <x:c r="A1440" s="1" t="n">
        <x:v>11936</x:v>
      </x:c>
      <x:c r="B1440" s="5" t="d">
        <x:v>2015-06-24T00:00:00.000Z</x:v>
      </x:c>
      <x:c r="C1440" s="1" t="str">
        <x:v>Second Class</x:v>
      </x:c>
      <x:c r="D1440" s="1" t="str">
        <x:v>Europe</x:v>
      </x:c>
      <x:c r="E1440" s="1" t="str">
        <x:v>PENDING_PAYMENT</x:v>
      </x:c>
      <x:c r="F1440" s="1" t="str">
        <x:v>Shipping on time</x:v>
      </x:c>
      <x:c r="G1440" s="6" t="n">
        <x:v>2</x:v>
      </x:c>
      <x:c r="H1440" s="6" t="n">
        <x:v>2</x:v>
      </x:c>
      <x:c r="I1440" s="6" t="n">
        <x:f>G1440-H1440</x:f>
        <x:v>0</x:v>
      </x:c>
      <x:c r="J1440" s="6" t="n">
        <x:f>IF(OR(E1440="CANCELED",E1440="SUSPECTED_FRAUD",F1440="Shipping canceled"),0,1)</x:f>
        <x:v>1</x:v>
      </x:c>
      <x:c r="K1440" s="6" t="n">
        <x:f>IF(G1440&gt;H1440,1,0)</x:f>
        <x:v>0</x:v>
      </x:c>
      <x:c r="L1440" s="6" t="n">
        <x:f>J1440*K1440</x:f>
        <x:v>0</x:v>
      </x:c>
    </x:row>
    <x:row r="1441">
      <x:c r="A1441" s="1" t="n">
        <x:v>11941</x:v>
      </x:c>
      <x:c r="B1441" s="5" t="d">
        <x:v>2015-06-24T00:00:00.000Z</x:v>
      </x:c>
      <x:c r="C1441" s="1" t="str">
        <x:v>Standard Class</x:v>
      </x:c>
      <x:c r="D1441" s="1" t="str">
        <x:v>Europe</x:v>
      </x:c>
      <x:c r="E1441" s="1" t="str">
        <x:v>PROCESSING</x:v>
      </x:c>
      <x:c r="F1441" s="1" t="str">
        <x:v>Advance shipping</x:v>
      </x:c>
      <x:c r="G1441" s="6" t="n">
        <x:v>2</x:v>
      </x:c>
      <x:c r="H1441" s="6" t="n">
        <x:v>4</x:v>
      </x:c>
      <x:c r="I1441" s="6" t="n">
        <x:f>G1441-H1441</x:f>
        <x:v>-2</x:v>
      </x:c>
      <x:c r="J1441" s="6" t="n">
        <x:f>IF(OR(E1441="CANCELED",E1441="SUSPECTED_FRAUD",F1441="Shipping canceled"),0,1)</x:f>
        <x:v>1</x:v>
      </x:c>
      <x:c r="K1441" s="6" t="n">
        <x:f>IF(G1441&gt;H1441,1,0)</x:f>
        <x:v>0</x:v>
      </x:c>
      <x:c r="L1441" s="6" t="n">
        <x:f>J1441*K1441</x:f>
        <x:v>0</x:v>
      </x:c>
    </x:row>
    <x:row r="1442">
      <x:c r="A1442" s="1" t="n">
        <x:v>11942</x:v>
      </x:c>
      <x:c r="B1442" s="5" t="d">
        <x:v>2015-06-24T00:00:00.000Z</x:v>
      </x:c>
      <x:c r="C1442" s="1" t="str">
        <x:v>Standard Class</x:v>
      </x:c>
      <x:c r="D1442" s="1" t="str">
        <x:v>Europe</x:v>
      </x:c>
      <x:c r="E1442" s="1" t="str">
        <x:v>PENDING_PAYMENT</x:v>
      </x:c>
      <x:c r="F1442" s="1" t="str">
        <x:v>Advance shipping</x:v>
      </x:c>
      <x:c r="G1442" s="6" t="n">
        <x:v>3</x:v>
      </x:c>
      <x:c r="H1442" s="6" t="n">
        <x:v>4</x:v>
      </x:c>
      <x:c r="I1442" s="6" t="n">
        <x:f>G1442-H1442</x:f>
        <x:v>-1</x:v>
      </x:c>
      <x:c r="J1442" s="6" t="n">
        <x:f>IF(OR(E1442="CANCELED",E1442="SUSPECTED_FRAUD",F1442="Shipping canceled"),0,1)</x:f>
        <x:v>1</x:v>
      </x:c>
      <x:c r="K1442" s="6" t="n">
        <x:f>IF(G1442&gt;H1442,1,0)</x:f>
        <x:v>0</x:v>
      </x:c>
      <x:c r="L1442" s="6" t="n">
        <x:f>J1442*K1442</x:f>
        <x:v>0</x:v>
      </x:c>
    </x:row>
    <x:row r="1443">
      <x:c r="A1443" s="1" t="n">
        <x:v>11948</x:v>
      </x:c>
      <x:c r="B1443" s="5" t="d">
        <x:v>2015-06-24T00:00:00.000Z</x:v>
      </x:c>
      <x:c r="C1443" s="1" t="str">
        <x:v>Standard Class</x:v>
      </x:c>
      <x:c r="D1443" s="1" t="str">
        <x:v>Europe</x:v>
      </x:c>
      <x:c r="E1443" s="1" t="str">
        <x:v>PROCESSING</x:v>
      </x:c>
      <x:c r="F1443" s="1" t="str">
        <x:v>Shipping on time</x:v>
      </x:c>
      <x:c r="G1443" s="6" t="n">
        <x:v>4</x:v>
      </x:c>
      <x:c r="H1443" s="6" t="n">
        <x:v>4</x:v>
      </x:c>
      <x:c r="I1443" s="6" t="n">
        <x:f>G1443-H1443</x:f>
        <x:v>0</x:v>
      </x:c>
      <x:c r="J1443" s="6" t="n">
        <x:f>IF(OR(E1443="CANCELED",E1443="SUSPECTED_FRAUD",F1443="Shipping canceled"),0,1)</x:f>
        <x:v>1</x:v>
      </x:c>
      <x:c r="K1443" s="6" t="n">
        <x:f>IF(G1443&gt;H1443,1,0)</x:f>
        <x:v>0</x:v>
      </x:c>
      <x:c r="L1443" s="6" t="n">
        <x:f>J1443*K1443</x:f>
        <x:v>0</x:v>
      </x:c>
    </x:row>
    <x:row r="1444">
      <x:c r="A1444" s="1" t="n">
        <x:v>11959</x:v>
      </x:c>
      <x:c r="B1444" s="5" t="d">
        <x:v>2015-06-24T00:00:00.000Z</x:v>
      </x:c>
      <x:c r="C1444" s="1" t="str">
        <x:v>Standard Class</x:v>
      </x:c>
      <x:c r="D1444" s="1" t="str">
        <x:v>Europe</x:v>
      </x:c>
      <x:c r="E1444" s="1" t="str">
        <x:v>PENDING_PAYMENT</x:v>
      </x:c>
      <x:c r="F1444" s="1" t="str">
        <x:v>Late delivery</x:v>
      </x:c>
      <x:c r="G1444" s="6" t="n">
        <x:v>5</x:v>
      </x:c>
      <x:c r="H1444" s="6" t="n">
        <x:v>4</x:v>
      </x:c>
      <x:c r="I1444" s="6" t="n">
        <x:f>G1444-H1444</x:f>
        <x:v>1</x:v>
      </x:c>
      <x:c r="J1444" s="6" t="n">
        <x:f>IF(OR(E1444="CANCELED",E1444="SUSPECTED_FRAUD",F1444="Shipping canceled"),0,1)</x:f>
        <x:v>1</x:v>
      </x:c>
      <x:c r="K1444" s="6" t="n">
        <x:f>IF(G1444&gt;H1444,1,0)</x:f>
        <x:v>1</x:v>
      </x:c>
      <x:c r="L1444" s="6" t="n">
        <x:f>J1444*K1444</x:f>
        <x:v>1</x:v>
      </x:c>
    </x:row>
    <x:row r="1445">
      <x:c r="A1445" s="1" t="n">
        <x:v>11968</x:v>
      </x:c>
      <x:c r="B1445" s="5" t="d">
        <x:v>2015-06-24T00:00:00.000Z</x:v>
      </x:c>
      <x:c r="C1445" s="1" t="str">
        <x:v>Standard Class</x:v>
      </x:c>
      <x:c r="D1445" s="1" t="str">
        <x:v>Europe</x:v>
      </x:c>
      <x:c r="E1445" s="1" t="str">
        <x:v>COMPLETE</x:v>
      </x:c>
      <x:c r="F1445" s="1" t="str">
        <x:v>Shipping on time</x:v>
      </x:c>
      <x:c r="G1445" s="6" t="n">
        <x:v>4</x:v>
      </x:c>
      <x:c r="H1445" s="6" t="n">
        <x:v>4</x:v>
      </x:c>
      <x:c r="I1445" s="6" t="n">
        <x:f>G1445-H1445</x:f>
        <x:v>0</x:v>
      </x:c>
      <x:c r="J1445" s="6" t="n">
        <x:f>IF(OR(E1445="CANCELED",E1445="SUSPECTED_FRAUD",F1445="Shipping canceled"),0,1)</x:f>
        <x:v>1</x:v>
      </x:c>
      <x:c r="K1445" s="6" t="n">
        <x:f>IF(G1445&gt;H1445,1,0)</x:f>
        <x:v>0</x:v>
      </x:c>
      <x:c r="L1445" s="6" t="n">
        <x:f>J1445*K1445</x:f>
        <x:v>0</x:v>
      </x:c>
    </x:row>
    <x:row r="1446">
      <x:c r="A1446" s="1" t="n">
        <x:v>11980</x:v>
      </x:c>
      <x:c r="B1446" s="5" t="d">
        <x:v>2015-06-24T00:00:00.000Z</x:v>
      </x:c>
      <x:c r="C1446" s="1" t="str">
        <x:v>Standard Class</x:v>
      </x:c>
      <x:c r="D1446" s="1" t="str">
        <x:v>Europe</x:v>
      </x:c>
      <x:c r="E1446" s="1" t="str">
        <x:v>ON_HOLD</x:v>
      </x:c>
      <x:c r="F1446" s="1" t="str">
        <x:v>Late delivery</x:v>
      </x:c>
      <x:c r="G1446" s="6" t="n">
        <x:v>6</x:v>
      </x:c>
      <x:c r="H1446" s="6" t="n">
        <x:v>4</x:v>
      </x:c>
      <x:c r="I1446" s="6" t="n">
        <x:f>G1446-H1446</x:f>
        <x:v>2</x:v>
      </x:c>
      <x:c r="J1446" s="6" t="n">
        <x:f>IF(OR(E1446="CANCELED",E1446="SUSPECTED_FRAUD",F1446="Shipping canceled"),0,1)</x:f>
        <x:v>1</x:v>
      </x:c>
      <x:c r="K1446" s="6" t="n">
        <x:f>IF(G1446&gt;H1446,1,0)</x:f>
        <x:v>1</x:v>
      </x:c>
      <x:c r="L1446" s="6" t="n">
        <x:f>J1446*K1446</x:f>
        <x:v>1</x:v>
      </x:c>
    </x:row>
    <x:row r="1447">
      <x:c r="A1447" s="1" t="n">
        <x:v>11981</x:v>
      </x:c>
      <x:c r="B1447" s="5" t="d">
        <x:v>2015-06-24T00:00:00.000Z</x:v>
      </x:c>
      <x:c r="C1447" s="1" t="str">
        <x:v>Standard Class</x:v>
      </x:c>
      <x:c r="D1447" s="1" t="str">
        <x:v>Europe</x:v>
      </x:c>
      <x:c r="E1447" s="1" t="str">
        <x:v>COMPLETE</x:v>
      </x:c>
      <x:c r="F1447" s="1" t="str">
        <x:v>Advance shipping</x:v>
      </x:c>
      <x:c r="G1447" s="6" t="n">
        <x:v>2</x:v>
      </x:c>
      <x:c r="H1447" s="6" t="n">
        <x:v>4</x:v>
      </x:c>
      <x:c r="I1447" s="6" t="n">
        <x:f>G1447-H1447</x:f>
        <x:v>-2</x:v>
      </x:c>
      <x:c r="J1447" s="6" t="n">
        <x:f>IF(OR(E1447="CANCELED",E1447="SUSPECTED_FRAUD",F1447="Shipping canceled"),0,1)</x:f>
        <x:v>1</x:v>
      </x:c>
      <x:c r="K1447" s="6" t="n">
        <x:f>IF(G1447&gt;H1447,1,0)</x:f>
        <x:v>0</x:v>
      </x:c>
      <x:c r="L1447" s="6" t="n">
        <x:f>J1447*K1447</x:f>
        <x:v>0</x:v>
      </x:c>
    </x:row>
    <x:row r="1448">
      <x:c r="A1448" s="1" t="n">
        <x:v>12001</x:v>
      </x:c>
      <x:c r="B1448" s="5" t="d">
        <x:v>2015-06-25T00:00:00.000Z</x:v>
      </x:c>
      <x:c r="C1448" s="1" t="str">
        <x:v>Standard Class</x:v>
      </x:c>
      <x:c r="D1448" s="1" t="str">
        <x:v>Europe</x:v>
      </x:c>
      <x:c r="E1448" s="1" t="str">
        <x:v>PENDING</x:v>
      </x:c>
      <x:c r="F1448" s="1" t="str">
        <x:v>Advance shipping</x:v>
      </x:c>
      <x:c r="G1448" s="6" t="n">
        <x:v>2</x:v>
      </x:c>
      <x:c r="H1448" s="6" t="n">
        <x:v>4</x:v>
      </x:c>
      <x:c r="I1448" s="6" t="n">
        <x:f>G1448-H1448</x:f>
        <x:v>-2</x:v>
      </x:c>
      <x:c r="J1448" s="6" t="n">
        <x:f>IF(OR(E1448="CANCELED",E1448="SUSPECTED_FRAUD",F1448="Shipping canceled"),0,1)</x:f>
        <x:v>1</x:v>
      </x:c>
      <x:c r="K1448" s="6" t="n">
        <x:f>IF(G1448&gt;H1448,1,0)</x:f>
        <x:v>0</x:v>
      </x:c>
      <x:c r="L1448" s="6" t="n">
        <x:f>J1448*K1448</x:f>
        <x:v>0</x:v>
      </x:c>
    </x:row>
    <x:row r="1449">
      <x:c r="A1449" s="1" t="n">
        <x:v>12006</x:v>
      </x:c>
      <x:c r="B1449" s="5" t="d">
        <x:v>2015-06-25T00:00:00.000Z</x:v>
      </x:c>
      <x:c r="C1449" s="1" t="str">
        <x:v>Standard Class</x:v>
      </x:c>
      <x:c r="D1449" s="1" t="str">
        <x:v>Europe</x:v>
      </x:c>
      <x:c r="E1449" s="1" t="str">
        <x:v>COMPLETE</x:v>
      </x:c>
      <x:c r="F1449" s="1" t="str">
        <x:v>Advance shipping</x:v>
      </x:c>
      <x:c r="G1449" s="6" t="n">
        <x:v>2</x:v>
      </x:c>
      <x:c r="H1449" s="6" t="n">
        <x:v>4</x:v>
      </x:c>
      <x:c r="I1449" s="6" t="n">
        <x:f>G1449-H1449</x:f>
        <x:v>-2</x:v>
      </x:c>
      <x:c r="J1449" s="6" t="n">
        <x:f>IF(OR(E1449="CANCELED",E1449="SUSPECTED_FRAUD",F1449="Shipping canceled"),0,1)</x:f>
        <x:v>1</x:v>
      </x:c>
      <x:c r="K1449" s="6" t="n">
        <x:f>IF(G1449&gt;H1449,1,0)</x:f>
        <x:v>0</x:v>
      </x:c>
      <x:c r="L1449" s="6" t="n">
        <x:f>J1449*K1449</x:f>
        <x:v>0</x:v>
      </x:c>
    </x:row>
    <x:row r="1450">
      <x:c r="A1450" s="1" t="n">
        <x:v>12023</x:v>
      </x:c>
      <x:c r="B1450" s="5" t="d">
        <x:v>2015-06-25T00:00:00.000Z</x:v>
      </x:c>
      <x:c r="C1450" s="1" t="str">
        <x:v>Standard Class</x:v>
      </x:c>
      <x:c r="D1450" s="1" t="str">
        <x:v>Europe</x:v>
      </x:c>
      <x:c r="E1450" s="1" t="str">
        <x:v>ON_HOLD</x:v>
      </x:c>
      <x:c r="F1450" s="1" t="str">
        <x:v>Shipping on time</x:v>
      </x:c>
      <x:c r="G1450" s="6" t="n">
        <x:v>4</x:v>
      </x:c>
      <x:c r="H1450" s="6" t="n">
        <x:v>4</x:v>
      </x:c>
      <x:c r="I1450" s="6" t="n">
        <x:f>G1450-H1450</x:f>
        <x:v>0</x:v>
      </x:c>
      <x:c r="J1450" s="6" t="n">
        <x:f>IF(OR(E1450="CANCELED",E1450="SUSPECTED_FRAUD",F1450="Shipping canceled"),0,1)</x:f>
        <x:v>1</x:v>
      </x:c>
      <x:c r="K1450" s="6" t="n">
        <x:f>IF(G1450&gt;H1450,1,0)</x:f>
        <x:v>0</x:v>
      </x:c>
      <x:c r="L1450" s="6" t="n">
        <x:f>J1450*K1450</x:f>
        <x:v>0</x:v>
      </x:c>
    </x:row>
    <x:row r="1451">
      <x:c r="A1451" s="1" t="n">
        <x:v>12027</x:v>
      </x:c>
      <x:c r="B1451" s="5" t="d">
        <x:v>2015-06-25T00:00:00.000Z</x:v>
      </x:c>
      <x:c r="C1451" s="1" t="str">
        <x:v>Standard Class</x:v>
      </x:c>
      <x:c r="D1451" s="1" t="str">
        <x:v>Europe</x:v>
      </x:c>
      <x:c r="E1451" s="1" t="str">
        <x:v>COMPLETE</x:v>
      </x:c>
      <x:c r="F1451" s="1" t="str">
        <x:v>Advance shipping</x:v>
      </x:c>
      <x:c r="G1451" s="6" t="n">
        <x:v>3</x:v>
      </x:c>
      <x:c r="H1451" s="6" t="n">
        <x:v>4</x:v>
      </x:c>
      <x:c r="I1451" s="6" t="n">
        <x:f>G1451-H1451</x:f>
        <x:v>-1</x:v>
      </x:c>
      <x:c r="J1451" s="6" t="n">
        <x:f>IF(OR(E1451="CANCELED",E1451="SUSPECTED_FRAUD",F1451="Shipping canceled"),0,1)</x:f>
        <x:v>1</x:v>
      </x:c>
      <x:c r="K1451" s="6" t="n">
        <x:f>IF(G1451&gt;H1451,1,0)</x:f>
        <x:v>0</x:v>
      </x:c>
      <x:c r="L1451" s="6" t="n">
        <x:f>J1451*K1451</x:f>
        <x:v>0</x:v>
      </x:c>
    </x:row>
    <x:row r="1452">
      <x:c r="A1452" s="1" t="n">
        <x:v>12029</x:v>
      </x:c>
      <x:c r="B1452" s="5" t="d">
        <x:v>2015-06-25T00:00:00.000Z</x:v>
      </x:c>
      <x:c r="C1452" s="1" t="str">
        <x:v>Standard Class</x:v>
      </x:c>
      <x:c r="D1452" s="1" t="str">
        <x:v>Europe</x:v>
      </x:c>
      <x:c r="E1452" s="1" t="str">
        <x:v>COMPLETE</x:v>
      </x:c>
      <x:c r="F1452" s="1" t="str">
        <x:v>Late delivery</x:v>
      </x:c>
      <x:c r="G1452" s="6" t="n">
        <x:v>5</x:v>
      </x:c>
      <x:c r="H1452" s="6" t="n">
        <x:v>4</x:v>
      </x:c>
      <x:c r="I1452" s="6" t="n">
        <x:f>G1452-H1452</x:f>
        <x:v>1</x:v>
      </x:c>
      <x:c r="J1452" s="6" t="n">
        <x:f>IF(OR(E1452="CANCELED",E1452="SUSPECTED_FRAUD",F1452="Shipping canceled"),0,1)</x:f>
        <x:v>1</x:v>
      </x:c>
      <x:c r="K1452" s="6" t="n">
        <x:f>IF(G1452&gt;H1452,1,0)</x:f>
        <x:v>1</x:v>
      </x:c>
      <x:c r="L1452" s="6" t="n">
        <x:f>J1452*K1452</x:f>
        <x:v>1</x:v>
      </x:c>
    </x:row>
    <x:row r="1453">
      <x:c r="A1453" s="1" t="n">
        <x:v>12034</x:v>
      </x:c>
      <x:c r="B1453" s="5" t="d">
        <x:v>2015-06-25T00:00:00.000Z</x:v>
      </x:c>
      <x:c r="C1453" s="1" t="str">
        <x:v>Second Class</x:v>
      </x:c>
      <x:c r="D1453" s="1" t="str">
        <x:v>Europe</x:v>
      </x:c>
      <x:c r="E1453" s="1" t="str">
        <x:v>CLOSED</x:v>
      </x:c>
      <x:c r="F1453" s="1" t="str">
        <x:v>Late delivery</x:v>
      </x:c>
      <x:c r="G1453" s="6" t="n">
        <x:v>5</x:v>
      </x:c>
      <x:c r="H1453" s="6" t="n">
        <x:v>2</x:v>
      </x:c>
      <x:c r="I1453" s="6" t="n">
        <x:f>G1453-H1453</x:f>
        <x:v>3</x:v>
      </x:c>
      <x:c r="J1453" s="6" t="n">
        <x:f>IF(OR(E1453="CANCELED",E1453="SUSPECTED_FRAUD",F1453="Shipping canceled"),0,1)</x:f>
        <x:v>1</x:v>
      </x:c>
      <x:c r="K1453" s="6" t="n">
        <x:f>IF(G1453&gt;H1453,1,0)</x:f>
        <x:v>1</x:v>
      </x:c>
      <x:c r="L1453" s="6" t="n">
        <x:f>J1453*K1453</x:f>
        <x:v>1</x:v>
      </x:c>
    </x:row>
    <x:row r="1454">
      <x:c r="A1454" s="1" t="n">
        <x:v>12041</x:v>
      </x:c>
      <x:c r="B1454" s="5" t="d">
        <x:v>2015-06-25T00:00:00.000Z</x:v>
      </x:c>
      <x:c r="C1454" s="1" t="str">
        <x:v>Standard Class</x:v>
      </x:c>
      <x:c r="D1454" s="1" t="str">
        <x:v>Europe</x:v>
      </x:c>
      <x:c r="E1454" s="1" t="str">
        <x:v>PROCESSING</x:v>
      </x:c>
      <x:c r="F1454" s="1" t="str">
        <x:v>Advance shipping</x:v>
      </x:c>
      <x:c r="G1454" s="6" t="n">
        <x:v>2</x:v>
      </x:c>
      <x:c r="H1454" s="6" t="n">
        <x:v>4</x:v>
      </x:c>
      <x:c r="I1454" s="6" t="n">
        <x:f>G1454-H1454</x:f>
        <x:v>-2</x:v>
      </x:c>
      <x:c r="J1454" s="6" t="n">
        <x:f>IF(OR(E1454="CANCELED",E1454="SUSPECTED_FRAUD",F1454="Shipping canceled"),0,1)</x:f>
        <x:v>1</x:v>
      </x:c>
      <x:c r="K1454" s="6" t="n">
        <x:f>IF(G1454&gt;H1454,1,0)</x:f>
        <x:v>0</x:v>
      </x:c>
      <x:c r="L1454" s="6" t="n">
        <x:f>J1454*K1454</x:f>
        <x:v>0</x:v>
      </x:c>
    </x:row>
    <x:row r="1455">
      <x:c r="A1455" s="1" t="n">
        <x:v>12051</x:v>
      </x:c>
      <x:c r="B1455" s="5" t="d">
        <x:v>2015-06-25T00:00:00.000Z</x:v>
      </x:c>
      <x:c r="C1455" s="1" t="str">
        <x:v>Standard Class</x:v>
      </x:c>
      <x:c r="D1455" s="1" t="str">
        <x:v>Europe</x:v>
      </x:c>
      <x:c r="E1455" s="1" t="str">
        <x:v>COMPLETE</x:v>
      </x:c>
      <x:c r="F1455" s="1" t="str">
        <x:v>Advance shipping</x:v>
      </x:c>
      <x:c r="G1455" s="6" t="n">
        <x:v>2</x:v>
      </x:c>
      <x:c r="H1455" s="6" t="n">
        <x:v>4</x:v>
      </x:c>
      <x:c r="I1455" s="6" t="n">
        <x:f>G1455-H1455</x:f>
        <x:v>-2</x:v>
      </x:c>
      <x:c r="J1455" s="6" t="n">
        <x:f>IF(OR(E1455="CANCELED",E1455="SUSPECTED_FRAUD",F1455="Shipping canceled"),0,1)</x:f>
        <x:v>1</x:v>
      </x:c>
      <x:c r="K1455" s="6" t="n">
        <x:f>IF(G1455&gt;H1455,1,0)</x:f>
        <x:v>0</x:v>
      </x:c>
      <x:c r="L1455" s="6" t="n">
        <x:f>J1455*K1455</x:f>
        <x:v>0</x:v>
      </x:c>
    </x:row>
    <x:row r="1456">
      <x:c r="A1456" s="1" t="n">
        <x:v>12075</x:v>
      </x:c>
      <x:c r="B1456" s="5" t="d">
        <x:v>2015-06-26T00:00:00.000Z</x:v>
      </x:c>
      <x:c r="C1456" s="1" t="str">
        <x:v>Standard Class</x:v>
      </x:c>
      <x:c r="D1456" s="1" t="str">
        <x:v>Europe</x:v>
      </x:c>
      <x:c r="E1456" s="1" t="str">
        <x:v>PROCESSING</x:v>
      </x:c>
      <x:c r="F1456" s="1" t="str">
        <x:v>Late delivery</x:v>
      </x:c>
      <x:c r="G1456" s="6" t="n">
        <x:v>6</x:v>
      </x:c>
      <x:c r="H1456" s="6" t="n">
        <x:v>4</x:v>
      </x:c>
      <x:c r="I1456" s="6" t="n">
        <x:f>G1456-H1456</x:f>
        <x:v>2</x:v>
      </x:c>
      <x:c r="J1456" s="6" t="n">
        <x:f>IF(OR(E1456="CANCELED",E1456="SUSPECTED_FRAUD",F1456="Shipping canceled"),0,1)</x:f>
        <x:v>1</x:v>
      </x:c>
      <x:c r="K1456" s="6" t="n">
        <x:f>IF(G1456&gt;H1456,1,0)</x:f>
        <x:v>1</x:v>
      </x:c>
      <x:c r="L1456" s="6" t="n">
        <x:f>J1456*K1456</x:f>
        <x:v>1</x:v>
      </x:c>
    </x:row>
    <x:row r="1457">
      <x:c r="A1457" s="1" t="n">
        <x:v>12083</x:v>
      </x:c>
      <x:c r="B1457" s="5" t="d">
        <x:v>2015-06-26T00:00:00.000Z</x:v>
      </x:c>
      <x:c r="C1457" s="1" t="str">
        <x:v>Second Class</x:v>
      </x:c>
      <x:c r="D1457" s="1" t="str">
        <x:v>Europe</x:v>
      </x:c>
      <x:c r="E1457" s="1" t="str">
        <x:v>ON_HOLD</x:v>
      </x:c>
      <x:c r="F1457" s="1" t="str">
        <x:v>Late delivery</x:v>
      </x:c>
      <x:c r="G1457" s="6" t="n">
        <x:v>4</x:v>
      </x:c>
      <x:c r="H1457" s="6" t="n">
        <x:v>2</x:v>
      </x:c>
      <x:c r="I1457" s="6" t="n">
        <x:f>G1457-H1457</x:f>
        <x:v>2</x:v>
      </x:c>
      <x:c r="J1457" s="6" t="n">
        <x:f>IF(OR(E1457="CANCELED",E1457="SUSPECTED_FRAUD",F1457="Shipping canceled"),0,1)</x:f>
        <x:v>1</x:v>
      </x:c>
      <x:c r="K1457" s="6" t="n">
        <x:f>IF(G1457&gt;H1457,1,0)</x:f>
        <x:v>1</x:v>
      </x:c>
      <x:c r="L1457" s="6" t="n">
        <x:f>J1457*K1457</x:f>
        <x:v>1</x:v>
      </x:c>
    </x:row>
    <x:row r="1458">
      <x:c r="A1458" s="1" t="n">
        <x:v>12085</x:v>
      </x:c>
      <x:c r="B1458" s="5" t="d">
        <x:v>2015-06-26T00:00:00.000Z</x:v>
      </x:c>
      <x:c r="C1458" s="1" t="str">
        <x:v>Standard Class</x:v>
      </x:c>
      <x:c r="D1458" s="1" t="str">
        <x:v>Europe</x:v>
      </x:c>
      <x:c r="E1458" s="1" t="str">
        <x:v>COMPLETE</x:v>
      </x:c>
      <x:c r="F1458" s="1" t="str">
        <x:v>Late delivery</x:v>
      </x:c>
      <x:c r="G1458" s="6" t="n">
        <x:v>6</x:v>
      </x:c>
      <x:c r="H1458" s="6" t="n">
        <x:v>4</x:v>
      </x:c>
      <x:c r="I1458" s="6" t="n">
        <x:f>G1458-H1458</x:f>
        <x:v>2</x:v>
      </x:c>
      <x:c r="J1458" s="6" t="n">
        <x:f>IF(OR(E1458="CANCELED",E1458="SUSPECTED_FRAUD",F1458="Shipping canceled"),0,1)</x:f>
        <x:v>1</x:v>
      </x:c>
      <x:c r="K1458" s="6" t="n">
        <x:f>IF(G1458&gt;H1458,1,0)</x:f>
        <x:v>1</x:v>
      </x:c>
      <x:c r="L1458" s="6" t="n">
        <x:f>J1458*K1458</x:f>
        <x:v>1</x:v>
      </x:c>
    </x:row>
    <x:row r="1459">
      <x:c r="A1459" s="1" t="n">
        <x:v>12088</x:v>
      </x:c>
      <x:c r="B1459" s="5" t="d">
        <x:v>2015-06-26T00:00:00.000Z</x:v>
      </x:c>
      <x:c r="C1459" s="1" t="str">
        <x:v>Standard Class</x:v>
      </x:c>
      <x:c r="D1459" s="1" t="str">
        <x:v>Europe</x:v>
      </x:c>
      <x:c r="E1459" s="1" t="str">
        <x:v>PENDING</x:v>
      </x:c>
      <x:c r="F1459" s="1" t="str">
        <x:v>Shipping on time</x:v>
      </x:c>
      <x:c r="G1459" s="6" t="n">
        <x:v>4</x:v>
      </x:c>
      <x:c r="H1459" s="6" t="n">
        <x:v>4</x:v>
      </x:c>
      <x:c r="I1459" s="6" t="n">
        <x:f>G1459-H1459</x:f>
        <x:v>0</x:v>
      </x:c>
      <x:c r="J1459" s="6" t="n">
        <x:f>IF(OR(E1459="CANCELED",E1459="SUSPECTED_FRAUD",F1459="Shipping canceled"),0,1)</x:f>
        <x:v>1</x:v>
      </x:c>
      <x:c r="K1459" s="6" t="n">
        <x:f>IF(G1459&gt;H1459,1,0)</x:f>
        <x:v>0</x:v>
      </x:c>
      <x:c r="L1459" s="6" t="n">
        <x:f>J1459*K1459</x:f>
        <x:v>0</x:v>
      </x:c>
    </x:row>
    <x:row r="1460">
      <x:c r="A1460" s="1" t="n">
        <x:v>12093</x:v>
      </x:c>
      <x:c r="B1460" s="5" t="d">
        <x:v>2015-06-26T00:00:00.000Z</x:v>
      </x:c>
      <x:c r="C1460" s="1" t="str">
        <x:v>Standard Class</x:v>
      </x:c>
      <x:c r="D1460" s="1" t="str">
        <x:v>Europe</x:v>
      </x:c>
      <x:c r="E1460" s="1" t="str">
        <x:v>COMPLETE</x:v>
      </x:c>
      <x:c r="F1460" s="1" t="str">
        <x:v>Shipping on time</x:v>
      </x:c>
      <x:c r="G1460" s="6" t="n">
        <x:v>4</x:v>
      </x:c>
      <x:c r="H1460" s="6" t="n">
        <x:v>4</x:v>
      </x:c>
      <x:c r="I1460" s="6" t="n">
        <x:f>G1460-H1460</x:f>
        <x:v>0</x:v>
      </x:c>
      <x:c r="J1460" s="6" t="n">
        <x:f>IF(OR(E1460="CANCELED",E1460="SUSPECTED_FRAUD",F1460="Shipping canceled"),0,1)</x:f>
        <x:v>1</x:v>
      </x:c>
      <x:c r="K1460" s="6" t="n">
        <x:f>IF(G1460&gt;H1460,1,0)</x:f>
        <x:v>0</x:v>
      </x:c>
      <x:c r="L1460" s="6" t="n">
        <x:f>J1460*K1460</x:f>
        <x:v>0</x:v>
      </x:c>
    </x:row>
    <x:row r="1461">
      <x:c r="A1461" s="1" t="n">
        <x:v>12101</x:v>
      </x:c>
      <x:c r="B1461" s="5" t="d">
        <x:v>2015-06-26T00:00:00.000Z</x:v>
      </x:c>
      <x:c r="C1461" s="1" t="str">
        <x:v>Second Class</x:v>
      </x:c>
      <x:c r="D1461" s="1" t="str">
        <x:v>Europe</x:v>
      </x:c>
      <x:c r="E1461" s="1" t="str">
        <x:v>PENDING</x:v>
      </x:c>
      <x:c r="F1461" s="1" t="str">
        <x:v>Shipping on time</x:v>
      </x:c>
      <x:c r="G1461" s="6" t="n">
        <x:v>2</x:v>
      </x:c>
      <x:c r="H1461" s="6" t="n">
        <x:v>2</x:v>
      </x:c>
      <x:c r="I1461" s="6" t="n">
        <x:f>G1461-H1461</x:f>
        <x:v>0</x:v>
      </x:c>
      <x:c r="J1461" s="6" t="n">
        <x:f>IF(OR(E1461="CANCELED",E1461="SUSPECTED_FRAUD",F1461="Shipping canceled"),0,1)</x:f>
        <x:v>1</x:v>
      </x:c>
      <x:c r="K1461" s="6" t="n">
        <x:f>IF(G1461&gt;H1461,1,0)</x:f>
        <x:v>0</x:v>
      </x:c>
      <x:c r="L1461" s="6" t="n">
        <x:f>J1461*K1461</x:f>
        <x:v>0</x:v>
      </x:c>
    </x:row>
    <x:row r="1462">
      <x:c r="A1462" s="1" t="n">
        <x:v>12108</x:v>
      </x:c>
      <x:c r="B1462" s="5" t="d">
        <x:v>2015-06-26T00:00:00.000Z</x:v>
      </x:c>
      <x:c r="C1462" s="1" t="str">
        <x:v>Standard Class</x:v>
      </x:c>
      <x:c r="D1462" s="1" t="str">
        <x:v>Europe</x:v>
      </x:c>
      <x:c r="E1462" s="1" t="str">
        <x:v>PENDING_PAYMENT</x:v>
      </x:c>
      <x:c r="F1462" s="1" t="str">
        <x:v>Shipping on time</x:v>
      </x:c>
      <x:c r="G1462" s="6" t="n">
        <x:v>4</x:v>
      </x:c>
      <x:c r="H1462" s="6" t="n">
        <x:v>4</x:v>
      </x:c>
      <x:c r="I1462" s="6" t="n">
        <x:f>G1462-H1462</x:f>
        <x:v>0</x:v>
      </x:c>
      <x:c r="J1462" s="6" t="n">
        <x:f>IF(OR(E1462="CANCELED",E1462="SUSPECTED_FRAUD",F1462="Shipping canceled"),0,1)</x:f>
        <x:v>1</x:v>
      </x:c>
      <x:c r="K1462" s="6" t="n">
        <x:f>IF(G1462&gt;H1462,1,0)</x:f>
        <x:v>0</x:v>
      </x:c>
      <x:c r="L1462" s="6" t="n">
        <x:f>J1462*K1462</x:f>
        <x:v>0</x:v>
      </x:c>
    </x:row>
    <x:row r="1463">
      <x:c r="A1463" s="1" t="n">
        <x:v>12109</x:v>
      </x:c>
      <x:c r="B1463" s="5" t="d">
        <x:v>2015-06-26T00:00:00.000Z</x:v>
      </x:c>
      <x:c r="C1463" s="1" t="str">
        <x:v>Standard Class</x:v>
      </x:c>
      <x:c r="D1463" s="1" t="str">
        <x:v>Europe</x:v>
      </x:c>
      <x:c r="E1463" s="1" t="str">
        <x:v>COMPLETE</x:v>
      </x:c>
      <x:c r="F1463" s="1" t="str">
        <x:v>Late delivery</x:v>
      </x:c>
      <x:c r="G1463" s="6" t="n">
        <x:v>5</x:v>
      </x:c>
      <x:c r="H1463" s="6" t="n">
        <x:v>4</x:v>
      </x:c>
      <x:c r="I1463" s="6" t="n">
        <x:f>G1463-H1463</x:f>
        <x:v>1</x:v>
      </x:c>
      <x:c r="J1463" s="6" t="n">
        <x:f>IF(OR(E1463="CANCELED",E1463="SUSPECTED_FRAUD",F1463="Shipping canceled"),0,1)</x:f>
        <x:v>1</x:v>
      </x:c>
      <x:c r="K1463" s="6" t="n">
        <x:f>IF(G1463&gt;H1463,1,0)</x:f>
        <x:v>1</x:v>
      </x:c>
      <x:c r="L1463" s="6" t="n">
        <x:f>J1463*K1463</x:f>
        <x:v>1</x:v>
      </x:c>
    </x:row>
    <x:row r="1464">
      <x:c r="A1464" s="1" t="n">
        <x:v>12110</x:v>
      </x:c>
      <x:c r="B1464" s="5" t="d">
        <x:v>2015-06-26T00:00:00.000Z</x:v>
      </x:c>
      <x:c r="C1464" s="1" t="str">
        <x:v>Standard Class</x:v>
      </x:c>
      <x:c r="D1464" s="1" t="str">
        <x:v>Europe</x:v>
      </x:c>
      <x:c r="E1464" s="1" t="str">
        <x:v>COMPLETE</x:v>
      </x:c>
      <x:c r="F1464" s="1" t="str">
        <x:v>Late delivery</x:v>
      </x:c>
      <x:c r="G1464" s="6" t="n">
        <x:v>6</x:v>
      </x:c>
      <x:c r="H1464" s="6" t="n">
        <x:v>4</x:v>
      </x:c>
      <x:c r="I1464" s="6" t="n">
        <x:f>G1464-H1464</x:f>
        <x:v>2</x:v>
      </x:c>
      <x:c r="J1464" s="6" t="n">
        <x:f>IF(OR(E1464="CANCELED",E1464="SUSPECTED_FRAUD",F1464="Shipping canceled"),0,1)</x:f>
        <x:v>1</x:v>
      </x:c>
      <x:c r="K1464" s="6" t="n">
        <x:f>IF(G1464&gt;H1464,1,0)</x:f>
        <x:v>1</x:v>
      </x:c>
      <x:c r="L1464" s="6" t="n">
        <x:f>J1464*K1464</x:f>
        <x:v>1</x:v>
      </x:c>
    </x:row>
    <x:row r="1465">
      <x:c r="A1465" s="1" t="n">
        <x:v>12124</x:v>
      </x:c>
      <x:c r="B1465" s="5" t="d">
        <x:v>2015-06-26T00:00:00.000Z</x:v>
      </x:c>
      <x:c r="C1465" s="1" t="str">
        <x:v>Standard Class</x:v>
      </x:c>
      <x:c r="D1465" s="1" t="str">
        <x:v>Europe</x:v>
      </x:c>
      <x:c r="E1465" s="1" t="str">
        <x:v>PENDING_PAYMENT</x:v>
      </x:c>
      <x:c r="F1465" s="1" t="str">
        <x:v>Late delivery</x:v>
      </x:c>
      <x:c r="G1465" s="6" t="n">
        <x:v>5</x:v>
      </x:c>
      <x:c r="H1465" s="6" t="n">
        <x:v>4</x:v>
      </x:c>
      <x:c r="I1465" s="6" t="n">
        <x:f>G1465-H1465</x:f>
        <x:v>1</x:v>
      </x:c>
      <x:c r="J1465" s="6" t="n">
        <x:f>IF(OR(E1465="CANCELED",E1465="SUSPECTED_FRAUD",F1465="Shipping canceled"),0,1)</x:f>
        <x:v>1</x:v>
      </x:c>
      <x:c r="K1465" s="6" t="n">
        <x:f>IF(G1465&gt;H1465,1,0)</x:f>
        <x:v>1</x:v>
      </x:c>
      <x:c r="L1465" s="6" t="n">
        <x:f>J1465*K1465</x:f>
        <x:v>1</x:v>
      </x:c>
    </x:row>
    <x:row r="1466">
      <x:c r="A1466" s="1" t="n">
        <x:v>12156</x:v>
      </x:c>
      <x:c r="B1466" s="5" t="d">
        <x:v>2015-06-27T00:00:00.000Z</x:v>
      </x:c>
      <x:c r="C1466" s="1" t="str">
        <x:v>Standard Class</x:v>
      </x:c>
      <x:c r="D1466" s="1" t="str">
        <x:v>Europe</x:v>
      </x:c>
      <x:c r="E1466" s="1" t="str">
        <x:v>COMPLETE</x:v>
      </x:c>
      <x:c r="F1466" s="1" t="str">
        <x:v>Advance shipping</x:v>
      </x:c>
      <x:c r="G1466" s="6" t="n">
        <x:v>2</x:v>
      </x:c>
      <x:c r="H1466" s="6" t="n">
        <x:v>4</x:v>
      </x:c>
      <x:c r="I1466" s="6" t="n">
        <x:f>G1466-H1466</x:f>
        <x:v>-2</x:v>
      </x:c>
      <x:c r="J1466" s="6" t="n">
        <x:f>IF(OR(E1466="CANCELED",E1466="SUSPECTED_FRAUD",F1466="Shipping canceled"),0,1)</x:f>
        <x:v>1</x:v>
      </x:c>
      <x:c r="K1466" s="6" t="n">
        <x:f>IF(G1466&gt;H1466,1,0)</x:f>
        <x:v>0</x:v>
      </x:c>
      <x:c r="L1466" s="6" t="n">
        <x:f>J1466*K1466</x:f>
        <x:v>0</x:v>
      </x:c>
    </x:row>
    <x:row r="1467">
      <x:c r="A1467" s="1" t="n">
        <x:v>12158</x:v>
      </x:c>
      <x:c r="B1467" s="5" t="d">
        <x:v>2015-06-27T00:00:00.000Z</x:v>
      </x:c>
      <x:c r="C1467" s="1" t="str">
        <x:v>Standard Class</x:v>
      </x:c>
      <x:c r="D1467" s="1" t="str">
        <x:v>Europe</x:v>
      </x:c>
      <x:c r="E1467" s="1" t="str">
        <x:v>PROCESSING</x:v>
      </x:c>
      <x:c r="F1467" s="1" t="str">
        <x:v>Shipping on time</x:v>
      </x:c>
      <x:c r="G1467" s="6" t="n">
        <x:v>4</x:v>
      </x:c>
      <x:c r="H1467" s="6" t="n">
        <x:v>4</x:v>
      </x:c>
      <x:c r="I1467" s="6" t="n">
        <x:f>G1467-H1467</x:f>
        <x:v>0</x:v>
      </x:c>
      <x:c r="J1467" s="6" t="n">
        <x:f>IF(OR(E1467="CANCELED",E1467="SUSPECTED_FRAUD",F1467="Shipping canceled"),0,1)</x:f>
        <x:v>1</x:v>
      </x:c>
      <x:c r="K1467" s="6" t="n">
        <x:f>IF(G1467&gt;H1467,1,0)</x:f>
        <x:v>0</x:v>
      </x:c>
      <x:c r="L1467" s="6" t="n">
        <x:f>J1467*K1467</x:f>
        <x:v>0</x:v>
      </x:c>
    </x:row>
    <x:row r="1468">
      <x:c r="A1468" s="1" t="n">
        <x:v>12170</x:v>
      </x:c>
      <x:c r="B1468" s="5" t="d">
        <x:v>2015-06-27T00:00:00.000Z</x:v>
      </x:c>
      <x:c r="C1468" s="1" t="str">
        <x:v>Standard Class</x:v>
      </x:c>
      <x:c r="D1468" s="1" t="str">
        <x:v>Europe</x:v>
      </x:c>
      <x:c r="E1468" s="1" t="str">
        <x:v>COMPLETE</x:v>
      </x:c>
      <x:c r="F1468" s="1" t="str">
        <x:v>Late delivery</x:v>
      </x:c>
      <x:c r="G1468" s="6" t="n">
        <x:v>6</x:v>
      </x:c>
      <x:c r="H1468" s="6" t="n">
        <x:v>4</x:v>
      </x:c>
      <x:c r="I1468" s="6" t="n">
        <x:f>G1468-H1468</x:f>
        <x:v>2</x:v>
      </x:c>
      <x:c r="J1468" s="6" t="n">
        <x:f>IF(OR(E1468="CANCELED",E1468="SUSPECTED_FRAUD",F1468="Shipping canceled"),0,1)</x:f>
        <x:v>1</x:v>
      </x:c>
      <x:c r="K1468" s="6" t="n">
        <x:f>IF(G1468&gt;H1468,1,0)</x:f>
        <x:v>1</x:v>
      </x:c>
      <x:c r="L1468" s="6" t="n">
        <x:f>J1468*K1468</x:f>
        <x:v>1</x:v>
      </x:c>
    </x:row>
    <x:row r="1469">
      <x:c r="A1469" s="1" t="n">
        <x:v>12171</x:v>
      </x:c>
      <x:c r="B1469" s="5" t="d">
        <x:v>2015-06-27T00:00:00.000Z</x:v>
      </x:c>
      <x:c r="C1469" s="1" t="str">
        <x:v>Standard Class</x:v>
      </x:c>
      <x:c r="D1469" s="1" t="str">
        <x:v>Europe</x:v>
      </x:c>
      <x:c r="E1469" s="1" t="str">
        <x:v>COMPLETE</x:v>
      </x:c>
      <x:c r="F1469" s="1" t="str">
        <x:v>Advance shipping</x:v>
      </x:c>
      <x:c r="G1469" s="6" t="n">
        <x:v>2</x:v>
      </x:c>
      <x:c r="H1469" s="6" t="n">
        <x:v>4</x:v>
      </x:c>
      <x:c r="I1469" s="6" t="n">
        <x:f>G1469-H1469</x:f>
        <x:v>-2</x:v>
      </x:c>
      <x:c r="J1469" s="6" t="n">
        <x:f>IF(OR(E1469="CANCELED",E1469="SUSPECTED_FRAUD",F1469="Shipping canceled"),0,1)</x:f>
        <x:v>1</x:v>
      </x:c>
      <x:c r="K1469" s="6" t="n">
        <x:f>IF(G1469&gt;H1469,1,0)</x:f>
        <x:v>0</x:v>
      </x:c>
      <x:c r="L1469" s="6" t="n">
        <x:f>J1469*K1469</x:f>
        <x:v>0</x:v>
      </x:c>
    </x:row>
    <x:row r="1470">
      <x:c r="A1470" s="1" t="n">
        <x:v>12173</x:v>
      </x:c>
      <x:c r="B1470" s="5" t="d">
        <x:v>2015-06-27T00:00:00.000Z</x:v>
      </x:c>
      <x:c r="C1470" s="1" t="str">
        <x:v>Standard Class</x:v>
      </x:c>
      <x:c r="D1470" s="1" t="str">
        <x:v>Europe</x:v>
      </x:c>
      <x:c r="E1470" s="1" t="str">
        <x:v>COMPLETE</x:v>
      </x:c>
      <x:c r="F1470" s="1" t="str">
        <x:v>Shipping on time</x:v>
      </x:c>
      <x:c r="G1470" s="6" t="n">
        <x:v>4</x:v>
      </x:c>
      <x:c r="H1470" s="6" t="n">
        <x:v>4</x:v>
      </x:c>
      <x:c r="I1470" s="6" t="n">
        <x:f>G1470-H1470</x:f>
        <x:v>0</x:v>
      </x:c>
      <x:c r="J1470" s="6" t="n">
        <x:f>IF(OR(E1470="CANCELED",E1470="SUSPECTED_FRAUD",F1470="Shipping canceled"),0,1)</x:f>
        <x:v>1</x:v>
      </x:c>
      <x:c r="K1470" s="6" t="n">
        <x:f>IF(G1470&gt;H1470,1,0)</x:f>
        <x:v>0</x:v>
      </x:c>
      <x:c r="L1470" s="6" t="n">
        <x:f>J1470*K1470</x:f>
        <x:v>0</x:v>
      </x:c>
    </x:row>
    <x:row r="1471">
      <x:c r="A1471" s="1" t="n">
        <x:v>12179</x:v>
      </x:c>
      <x:c r="B1471" s="5" t="d">
        <x:v>2015-06-27T00:00:00.000Z</x:v>
      </x:c>
      <x:c r="C1471" s="1" t="str">
        <x:v>Second Class</x:v>
      </x:c>
      <x:c r="D1471" s="1" t="str">
        <x:v>Europe</x:v>
      </x:c>
      <x:c r="E1471" s="1" t="str">
        <x:v>PENDING_PAYMENT</x:v>
      </x:c>
      <x:c r="F1471" s="1" t="str">
        <x:v>Late delivery</x:v>
      </x:c>
      <x:c r="G1471" s="6" t="n">
        <x:v>5</x:v>
      </x:c>
      <x:c r="H1471" s="6" t="n">
        <x:v>2</x:v>
      </x:c>
      <x:c r="I1471" s="6" t="n">
        <x:f>G1471-H1471</x:f>
        <x:v>3</x:v>
      </x:c>
      <x:c r="J1471" s="6" t="n">
        <x:f>IF(OR(E1471="CANCELED",E1471="SUSPECTED_FRAUD",F1471="Shipping canceled"),0,1)</x:f>
        <x:v>1</x:v>
      </x:c>
      <x:c r="K1471" s="6" t="n">
        <x:f>IF(G1471&gt;H1471,1,0)</x:f>
        <x:v>1</x:v>
      </x:c>
      <x:c r="L1471" s="6" t="n">
        <x:f>J1471*K1471</x:f>
        <x:v>1</x:v>
      </x:c>
    </x:row>
    <x:row r="1472">
      <x:c r="A1472" s="1" t="n">
        <x:v>12187</x:v>
      </x:c>
      <x:c r="B1472" s="5" t="d">
        <x:v>2015-06-27T00:00:00.000Z</x:v>
      </x:c>
      <x:c r="C1472" s="1" t="str">
        <x:v>Second Class</x:v>
      </x:c>
      <x:c r="D1472" s="1" t="str">
        <x:v>Europe</x:v>
      </x:c>
      <x:c r="E1472" s="1" t="str">
        <x:v>PENDING</x:v>
      </x:c>
      <x:c r="F1472" s="1" t="str">
        <x:v>Late delivery</x:v>
      </x:c>
      <x:c r="G1472" s="6" t="n">
        <x:v>3</x:v>
      </x:c>
      <x:c r="H1472" s="6" t="n">
        <x:v>2</x:v>
      </x:c>
      <x:c r="I1472" s="6" t="n">
        <x:f>G1472-H1472</x:f>
        <x:v>1</x:v>
      </x:c>
      <x:c r="J1472" s="6" t="n">
        <x:f>IF(OR(E1472="CANCELED",E1472="SUSPECTED_FRAUD",F1472="Shipping canceled"),0,1)</x:f>
        <x:v>1</x:v>
      </x:c>
      <x:c r="K1472" s="6" t="n">
        <x:f>IF(G1472&gt;H1472,1,0)</x:f>
        <x:v>1</x:v>
      </x:c>
      <x:c r="L1472" s="6" t="n">
        <x:f>J1472*K1472</x:f>
        <x:v>1</x:v>
      </x:c>
    </x:row>
    <x:row r="1473">
      <x:c r="A1473" s="1" t="n">
        <x:v>12198</x:v>
      </x:c>
      <x:c r="B1473" s="5" t="d">
        <x:v>2015-06-28T00:00:00.000Z</x:v>
      </x:c>
      <x:c r="C1473" s="1" t="str">
        <x:v>Standard Class</x:v>
      </x:c>
      <x:c r="D1473" s="1" t="str">
        <x:v>Europe</x:v>
      </x:c>
      <x:c r="E1473" s="1" t="str">
        <x:v>COMPLETE</x:v>
      </x:c>
      <x:c r="F1473" s="1" t="str">
        <x:v>Shipping on time</x:v>
      </x:c>
      <x:c r="G1473" s="6" t="n">
        <x:v>4</x:v>
      </x:c>
      <x:c r="H1473" s="6" t="n">
        <x:v>4</x:v>
      </x:c>
      <x:c r="I1473" s="6" t="n">
        <x:f>G1473-H1473</x:f>
        <x:v>0</x:v>
      </x:c>
      <x:c r="J1473" s="6" t="n">
        <x:f>IF(OR(E1473="CANCELED",E1473="SUSPECTED_FRAUD",F1473="Shipping canceled"),0,1)</x:f>
        <x:v>1</x:v>
      </x:c>
      <x:c r="K1473" s="6" t="n">
        <x:f>IF(G1473&gt;H1473,1,0)</x:f>
        <x:v>0</x:v>
      </x:c>
      <x:c r="L1473" s="6" t="n">
        <x:f>J1473*K1473</x:f>
        <x:v>0</x:v>
      </x:c>
    </x:row>
    <x:row r="1474">
      <x:c r="A1474" s="1" t="n">
        <x:v>12218</x:v>
      </x:c>
      <x:c r="B1474" s="5" t="d">
        <x:v>2015-06-28T00:00:00.000Z</x:v>
      </x:c>
      <x:c r="C1474" s="1" t="str">
        <x:v>Standard Class</x:v>
      </x:c>
      <x:c r="D1474" s="1" t="str">
        <x:v>Europe</x:v>
      </x:c>
      <x:c r="E1474" s="1" t="str">
        <x:v>PENDING_PAYMENT</x:v>
      </x:c>
      <x:c r="F1474" s="1" t="str">
        <x:v>Shipping on time</x:v>
      </x:c>
      <x:c r="G1474" s="6" t="n">
        <x:v>4</x:v>
      </x:c>
      <x:c r="H1474" s="6" t="n">
        <x:v>4</x:v>
      </x:c>
      <x:c r="I1474" s="6" t="n">
        <x:f>G1474-H1474</x:f>
        <x:v>0</x:v>
      </x:c>
      <x:c r="J1474" s="6" t="n">
        <x:f>IF(OR(E1474="CANCELED",E1474="SUSPECTED_FRAUD",F1474="Shipping canceled"),0,1)</x:f>
        <x:v>1</x:v>
      </x:c>
      <x:c r="K1474" s="6" t="n">
        <x:f>IF(G1474&gt;H1474,1,0)</x:f>
        <x:v>0</x:v>
      </x:c>
      <x:c r="L1474" s="6" t="n">
        <x:f>J1474*K1474</x:f>
        <x:v>0</x:v>
      </x:c>
    </x:row>
    <x:row r="1475">
      <x:c r="A1475" s="1" t="n">
        <x:v>12220</x:v>
      </x:c>
      <x:c r="B1475" s="5" t="d">
        <x:v>2015-06-28T00:00:00.000Z</x:v>
      </x:c>
      <x:c r="C1475" s="1" t="str">
        <x:v>Standard Class</x:v>
      </x:c>
      <x:c r="D1475" s="1" t="str">
        <x:v>Europe</x:v>
      </x:c>
      <x:c r="E1475" s="1" t="str">
        <x:v>PENDING_PAYMENT</x:v>
      </x:c>
      <x:c r="F1475" s="1" t="str">
        <x:v>Late delivery</x:v>
      </x:c>
      <x:c r="G1475" s="6" t="n">
        <x:v>6</x:v>
      </x:c>
      <x:c r="H1475" s="6" t="n">
        <x:v>4</x:v>
      </x:c>
      <x:c r="I1475" s="6" t="n">
        <x:f>G1475-H1475</x:f>
        <x:v>2</x:v>
      </x:c>
      <x:c r="J1475" s="6" t="n">
        <x:f>IF(OR(E1475="CANCELED",E1475="SUSPECTED_FRAUD",F1475="Shipping canceled"),0,1)</x:f>
        <x:v>1</x:v>
      </x:c>
      <x:c r="K1475" s="6" t="n">
        <x:f>IF(G1475&gt;H1475,1,0)</x:f>
        <x:v>1</x:v>
      </x:c>
      <x:c r="L1475" s="6" t="n">
        <x:f>J1475*K1475</x:f>
        <x:v>1</x:v>
      </x:c>
    </x:row>
    <x:row r="1476">
      <x:c r="A1476" s="1" t="n">
        <x:v>12224</x:v>
      </x:c>
      <x:c r="B1476" s="5" t="d">
        <x:v>2015-06-28T00:00:00.000Z</x:v>
      </x:c>
      <x:c r="C1476" s="1" t="str">
        <x:v>Second Class</x:v>
      </x:c>
      <x:c r="D1476" s="1" t="str">
        <x:v>Europe</x:v>
      </x:c>
      <x:c r="E1476" s="1" t="str">
        <x:v>COMPLETE</x:v>
      </x:c>
      <x:c r="F1476" s="1" t="str">
        <x:v>Late delivery</x:v>
      </x:c>
      <x:c r="G1476" s="6" t="n">
        <x:v>5</x:v>
      </x:c>
      <x:c r="H1476" s="6" t="n">
        <x:v>2</x:v>
      </x:c>
      <x:c r="I1476" s="6" t="n">
        <x:f>G1476-H1476</x:f>
        <x:v>3</x:v>
      </x:c>
      <x:c r="J1476" s="6" t="n">
        <x:f>IF(OR(E1476="CANCELED",E1476="SUSPECTED_FRAUD",F1476="Shipping canceled"),0,1)</x:f>
        <x:v>1</x:v>
      </x:c>
      <x:c r="K1476" s="6" t="n">
        <x:f>IF(G1476&gt;H1476,1,0)</x:f>
        <x:v>1</x:v>
      </x:c>
      <x:c r="L1476" s="6" t="n">
        <x:f>J1476*K1476</x:f>
        <x:v>1</x:v>
      </x:c>
    </x:row>
    <x:row r="1477">
      <x:c r="A1477" s="1" t="n">
        <x:v>12231</x:v>
      </x:c>
      <x:c r="B1477" s="5" t="d">
        <x:v>2015-06-28T00:00:00.000Z</x:v>
      </x:c>
      <x:c r="C1477" s="1" t="str">
        <x:v>Standard Class</x:v>
      </x:c>
      <x:c r="D1477" s="1" t="str">
        <x:v>Europe</x:v>
      </x:c>
      <x:c r="E1477" s="1" t="str">
        <x:v>CANCELED</x:v>
      </x:c>
      <x:c r="F1477" s="1" t="str">
        <x:v>Shipping canceled</x:v>
      </x:c>
      <x:c r="G1477" s="6" t="n">
        <x:v>2</x:v>
      </x:c>
      <x:c r="H1477" s="6" t="n">
        <x:v>4</x:v>
      </x:c>
      <x:c r="I1477" s="6" t="n">
        <x:f>G1477-H1477</x:f>
        <x:v>-2</x:v>
      </x:c>
      <x:c r="J1477" s="6" t="n">
        <x:f>IF(OR(E1477="CANCELED",E1477="SUSPECTED_FRAUD",F1477="Shipping canceled"),0,1)</x:f>
        <x:v>0</x:v>
      </x:c>
      <x:c r="K1477" s="6" t="n">
        <x:f>IF(G1477&gt;H1477,1,0)</x:f>
        <x:v>0</x:v>
      </x:c>
      <x:c r="L1477" s="6" t="n">
        <x:f>J1477*K1477</x:f>
        <x:v>0</x:v>
      </x:c>
    </x:row>
    <x:row r="1478">
      <x:c r="A1478" s="1" t="n">
        <x:v>12235</x:v>
      </x:c>
      <x:c r="B1478" s="5" t="d">
        <x:v>2015-06-28T00:00:00.000Z</x:v>
      </x:c>
      <x:c r="C1478" s="1" t="str">
        <x:v>Standard Class</x:v>
      </x:c>
      <x:c r="D1478" s="1" t="str">
        <x:v>Europe</x:v>
      </x:c>
      <x:c r="E1478" s="1" t="str">
        <x:v>COMPLETE</x:v>
      </x:c>
      <x:c r="F1478" s="1" t="str">
        <x:v>Late delivery</x:v>
      </x:c>
      <x:c r="G1478" s="6" t="n">
        <x:v>6</x:v>
      </x:c>
      <x:c r="H1478" s="6" t="n">
        <x:v>4</x:v>
      </x:c>
      <x:c r="I1478" s="6" t="n">
        <x:f>G1478-H1478</x:f>
        <x:v>2</x:v>
      </x:c>
      <x:c r="J1478" s="6" t="n">
        <x:f>IF(OR(E1478="CANCELED",E1478="SUSPECTED_FRAUD",F1478="Shipping canceled"),0,1)</x:f>
        <x:v>1</x:v>
      </x:c>
      <x:c r="K1478" s="6" t="n">
        <x:f>IF(G1478&gt;H1478,1,0)</x:f>
        <x:v>1</x:v>
      </x:c>
      <x:c r="L1478" s="6" t="n">
        <x:f>J1478*K1478</x:f>
        <x:v>1</x:v>
      </x:c>
    </x:row>
    <x:row r="1479">
      <x:c r="A1479" s="1" t="n">
        <x:v>12236</x:v>
      </x:c>
      <x:c r="B1479" s="5" t="d">
        <x:v>2015-06-28T00:00:00.000Z</x:v>
      </x:c>
      <x:c r="C1479" s="1" t="str">
        <x:v>Standard Class</x:v>
      </x:c>
      <x:c r="D1479" s="1" t="str">
        <x:v>Europe</x:v>
      </x:c>
      <x:c r="E1479" s="1" t="str">
        <x:v>COMPLETE</x:v>
      </x:c>
      <x:c r="F1479" s="1" t="str">
        <x:v>Advance shipping</x:v>
      </x:c>
      <x:c r="G1479" s="6" t="n">
        <x:v>2</x:v>
      </x:c>
      <x:c r="H1479" s="6" t="n">
        <x:v>4</x:v>
      </x:c>
      <x:c r="I1479" s="6" t="n">
        <x:f>G1479-H1479</x:f>
        <x:v>-2</x:v>
      </x:c>
      <x:c r="J1479" s="6" t="n">
        <x:f>IF(OR(E1479="CANCELED",E1479="SUSPECTED_FRAUD",F1479="Shipping canceled"),0,1)</x:f>
        <x:v>1</x:v>
      </x:c>
      <x:c r="K1479" s="6" t="n">
        <x:f>IF(G1479&gt;H1479,1,0)</x:f>
        <x:v>0</x:v>
      </x:c>
      <x:c r="L1479" s="6" t="n">
        <x:f>J1479*K1479</x:f>
        <x:v>0</x:v>
      </x:c>
    </x:row>
    <x:row r="1480">
      <x:c r="A1480" s="1" t="n">
        <x:v>12249</x:v>
      </x:c>
      <x:c r="B1480" s="5" t="d">
        <x:v>2015-06-28T00:00:00.000Z</x:v>
      </x:c>
      <x:c r="C1480" s="1" t="str">
        <x:v>Standard Class</x:v>
      </x:c>
      <x:c r="D1480" s="1" t="str">
        <x:v>Europe</x:v>
      </x:c>
      <x:c r="E1480" s="1" t="str">
        <x:v>COMPLETE</x:v>
      </x:c>
      <x:c r="F1480" s="1" t="str">
        <x:v>Late delivery</x:v>
      </x:c>
      <x:c r="G1480" s="6" t="n">
        <x:v>5</x:v>
      </x:c>
      <x:c r="H1480" s="6" t="n">
        <x:v>4</x:v>
      </x:c>
      <x:c r="I1480" s="6" t="n">
        <x:f>G1480-H1480</x:f>
        <x:v>1</x:v>
      </x:c>
      <x:c r="J1480" s="6" t="n">
        <x:f>IF(OR(E1480="CANCELED",E1480="SUSPECTED_FRAUD",F1480="Shipping canceled"),0,1)</x:f>
        <x:v>1</x:v>
      </x:c>
      <x:c r="K1480" s="6" t="n">
        <x:f>IF(G1480&gt;H1480,1,0)</x:f>
        <x:v>1</x:v>
      </x:c>
      <x:c r="L1480" s="6" t="n">
        <x:f>J1480*K1480</x:f>
        <x:v>1</x:v>
      </x:c>
    </x:row>
    <x:row r="1481">
      <x:c r="A1481" s="1" t="n">
        <x:v>12250</x:v>
      </x:c>
      <x:c r="B1481" s="5" t="d">
        <x:v>2015-06-28T00:00:00.000Z</x:v>
      </x:c>
      <x:c r="C1481" s="1" t="str">
        <x:v>Same Day</x:v>
      </x:c>
      <x:c r="D1481" s="1" t="str">
        <x:v>Europe</x:v>
      </x:c>
      <x:c r="E1481" s="1" t="str">
        <x:v>PENDING_PAYMENT</x:v>
      </x:c>
      <x:c r="F1481" s="1" t="str">
        <x:v>Late delivery</x:v>
      </x:c>
      <x:c r="G1481" s="6" t="n">
        <x:v>1</x:v>
      </x:c>
      <x:c r="H1481" s="6" t="n">
        <x:v>0</x:v>
      </x:c>
      <x:c r="I1481" s="6" t="n">
        <x:f>G1481-H1481</x:f>
        <x:v>1</x:v>
      </x:c>
      <x:c r="J1481" s="6" t="n">
        <x:f>IF(OR(E1481="CANCELED",E1481="SUSPECTED_FRAUD",F1481="Shipping canceled"),0,1)</x:f>
        <x:v>1</x:v>
      </x:c>
      <x:c r="K1481" s="6" t="n">
        <x:f>IF(G1481&gt;H1481,1,0)</x:f>
        <x:v>1</x:v>
      </x:c>
      <x:c r="L1481" s="6" t="n">
        <x:f>J1481*K1481</x:f>
        <x:v>1</x:v>
      </x:c>
    </x:row>
    <x:row r="1482">
      <x:c r="A1482" s="1" t="n">
        <x:v>12264</x:v>
      </x:c>
      <x:c r="B1482" s="5" t="d">
        <x:v>2015-06-29T00:00:00.000Z</x:v>
      </x:c>
      <x:c r="C1482" s="1" t="str">
        <x:v>Second Class</x:v>
      </x:c>
      <x:c r="D1482" s="1" t="str">
        <x:v>Europe</x:v>
      </x:c>
      <x:c r="E1482" s="1" t="str">
        <x:v>ON_HOLD</x:v>
      </x:c>
      <x:c r="F1482" s="1" t="str">
        <x:v>Late delivery</x:v>
      </x:c>
      <x:c r="G1482" s="6" t="n">
        <x:v>5</x:v>
      </x:c>
      <x:c r="H1482" s="6" t="n">
        <x:v>2</x:v>
      </x:c>
      <x:c r="I1482" s="6" t="n">
        <x:f>G1482-H1482</x:f>
        <x:v>3</x:v>
      </x:c>
      <x:c r="J1482" s="6" t="n">
        <x:f>IF(OR(E1482="CANCELED",E1482="SUSPECTED_FRAUD",F1482="Shipping canceled"),0,1)</x:f>
        <x:v>1</x:v>
      </x:c>
      <x:c r="K1482" s="6" t="n">
        <x:f>IF(G1482&gt;H1482,1,0)</x:f>
        <x:v>1</x:v>
      </x:c>
      <x:c r="L1482" s="6" t="n">
        <x:f>J1482*K1482</x:f>
        <x:v>1</x:v>
      </x:c>
    </x:row>
    <x:row r="1483">
      <x:c r="A1483" s="1" t="n">
        <x:v>12267</x:v>
      </x:c>
      <x:c r="B1483" s="5" t="d">
        <x:v>2015-06-29T00:00:00.000Z</x:v>
      </x:c>
      <x:c r="C1483" s="1" t="str">
        <x:v>Standard Class</x:v>
      </x:c>
      <x:c r="D1483" s="1" t="str">
        <x:v>Europe</x:v>
      </x:c>
      <x:c r="E1483" s="1" t="str">
        <x:v>ON_HOLD</x:v>
      </x:c>
      <x:c r="F1483" s="1" t="str">
        <x:v>Advance shipping</x:v>
      </x:c>
      <x:c r="G1483" s="6" t="n">
        <x:v>3</x:v>
      </x:c>
      <x:c r="H1483" s="6" t="n">
        <x:v>4</x:v>
      </x:c>
      <x:c r="I1483" s="6" t="n">
        <x:f>G1483-H1483</x:f>
        <x:v>-1</x:v>
      </x:c>
      <x:c r="J1483" s="6" t="n">
        <x:f>IF(OR(E1483="CANCELED",E1483="SUSPECTED_FRAUD",F1483="Shipping canceled"),0,1)</x:f>
        <x:v>1</x:v>
      </x:c>
      <x:c r="K1483" s="6" t="n">
        <x:f>IF(G1483&gt;H1483,1,0)</x:f>
        <x:v>0</x:v>
      </x:c>
      <x:c r="L1483" s="6" t="n">
        <x:f>J1483*K1483</x:f>
        <x:v>0</x:v>
      </x:c>
    </x:row>
    <x:row r="1484">
      <x:c r="A1484" s="1" t="n">
        <x:v>12272</x:v>
      </x:c>
      <x:c r="B1484" s="5" t="d">
        <x:v>2015-06-29T00:00:00.000Z</x:v>
      </x:c>
      <x:c r="C1484" s="1" t="str">
        <x:v>Standard Class</x:v>
      </x:c>
      <x:c r="D1484" s="1" t="str">
        <x:v>Europe</x:v>
      </x:c>
      <x:c r="E1484" s="1" t="str">
        <x:v>CLOSED</x:v>
      </x:c>
      <x:c r="F1484" s="1" t="str">
        <x:v>Advance shipping</x:v>
      </x:c>
      <x:c r="G1484" s="6" t="n">
        <x:v>3</x:v>
      </x:c>
      <x:c r="H1484" s="6" t="n">
        <x:v>4</x:v>
      </x:c>
      <x:c r="I1484" s="6" t="n">
        <x:f>G1484-H1484</x:f>
        <x:v>-1</x:v>
      </x:c>
      <x:c r="J1484" s="6" t="n">
        <x:f>IF(OR(E1484="CANCELED",E1484="SUSPECTED_FRAUD",F1484="Shipping canceled"),0,1)</x:f>
        <x:v>1</x:v>
      </x:c>
      <x:c r="K1484" s="6" t="n">
        <x:f>IF(G1484&gt;H1484,1,0)</x:f>
        <x:v>0</x:v>
      </x:c>
      <x:c r="L1484" s="6" t="n">
        <x:f>J1484*K1484</x:f>
        <x:v>0</x:v>
      </x:c>
    </x:row>
    <x:row r="1485">
      <x:c r="A1485" s="1" t="n">
        <x:v>12277</x:v>
      </x:c>
      <x:c r="B1485" s="5" t="d">
        <x:v>2015-06-29T00:00:00.000Z</x:v>
      </x:c>
      <x:c r="C1485" s="1" t="str">
        <x:v>First Class</x:v>
      </x:c>
      <x:c r="D1485" s="1" t="str">
        <x:v>Europe</x:v>
      </x:c>
      <x:c r="E1485" s="1" t="str">
        <x:v>PENDING_PAYMENT</x:v>
      </x:c>
      <x:c r="F1485" s="1" t="str">
        <x:v>Late delivery</x:v>
      </x:c>
      <x:c r="G1485" s="6" t="n">
        <x:v>2</x:v>
      </x:c>
      <x:c r="H1485" s="6" t="n">
        <x:v>1</x:v>
      </x:c>
      <x:c r="I1485" s="6" t="n">
        <x:f>G1485-H1485</x:f>
        <x:v>1</x:v>
      </x:c>
      <x:c r="J1485" s="6" t="n">
        <x:f>IF(OR(E1485="CANCELED",E1485="SUSPECTED_FRAUD",F1485="Shipping canceled"),0,1)</x:f>
        <x:v>1</x:v>
      </x:c>
      <x:c r="K1485" s="6" t="n">
        <x:f>IF(G1485&gt;H1485,1,0)</x:f>
        <x:v>1</x:v>
      </x:c>
      <x:c r="L1485" s="6" t="n">
        <x:f>J1485*K1485</x:f>
        <x:v>1</x:v>
      </x:c>
    </x:row>
    <x:row r="1486">
      <x:c r="A1486" s="1" t="n">
        <x:v>12291</x:v>
      </x:c>
      <x:c r="B1486" s="5" t="d">
        <x:v>2015-06-29T00:00:00.000Z</x:v>
      </x:c>
      <x:c r="C1486" s="1" t="str">
        <x:v>Standard Class</x:v>
      </x:c>
      <x:c r="D1486" s="1" t="str">
        <x:v>Europe</x:v>
      </x:c>
      <x:c r="E1486" s="1" t="str">
        <x:v>COMPLETE</x:v>
      </x:c>
      <x:c r="F1486" s="1" t="str">
        <x:v>Advance shipping</x:v>
      </x:c>
      <x:c r="G1486" s="6" t="n">
        <x:v>2</x:v>
      </x:c>
      <x:c r="H1486" s="6" t="n">
        <x:v>4</x:v>
      </x:c>
      <x:c r="I1486" s="6" t="n">
        <x:f>G1486-H1486</x:f>
        <x:v>-2</x:v>
      </x:c>
      <x:c r="J1486" s="6" t="n">
        <x:f>IF(OR(E1486="CANCELED",E1486="SUSPECTED_FRAUD",F1486="Shipping canceled"),0,1)</x:f>
        <x:v>1</x:v>
      </x:c>
      <x:c r="K1486" s="6" t="n">
        <x:f>IF(G1486&gt;H1486,1,0)</x:f>
        <x:v>0</x:v>
      </x:c>
      <x:c r="L1486" s="6" t="n">
        <x:f>J1486*K1486</x:f>
        <x:v>0</x:v>
      </x:c>
    </x:row>
    <x:row r="1487">
      <x:c r="A1487" s="1" t="n">
        <x:v>12294</x:v>
      </x:c>
      <x:c r="B1487" s="5" t="d">
        <x:v>2015-06-29T00:00:00.000Z</x:v>
      </x:c>
      <x:c r="C1487" s="1" t="str">
        <x:v>Standard Class</x:v>
      </x:c>
      <x:c r="D1487" s="1" t="str">
        <x:v>Europe</x:v>
      </x:c>
      <x:c r="E1487" s="1" t="str">
        <x:v>COMPLETE</x:v>
      </x:c>
      <x:c r="F1487" s="1" t="str">
        <x:v>Late delivery</x:v>
      </x:c>
      <x:c r="G1487" s="6" t="n">
        <x:v>5</x:v>
      </x:c>
      <x:c r="H1487" s="6" t="n">
        <x:v>4</x:v>
      </x:c>
      <x:c r="I1487" s="6" t="n">
        <x:f>G1487-H1487</x:f>
        <x:v>1</x:v>
      </x:c>
      <x:c r="J1487" s="6" t="n">
        <x:f>IF(OR(E1487="CANCELED",E1487="SUSPECTED_FRAUD",F1487="Shipping canceled"),0,1)</x:f>
        <x:v>1</x:v>
      </x:c>
      <x:c r="K1487" s="6" t="n">
        <x:f>IF(G1487&gt;H1487,1,0)</x:f>
        <x:v>1</x:v>
      </x:c>
      <x:c r="L1487" s="6" t="n">
        <x:f>J1487*K1487</x:f>
        <x:v>1</x:v>
      </x:c>
    </x:row>
    <x:row r="1488">
      <x:c r="A1488" s="1" t="n">
        <x:v>12295</x:v>
      </x:c>
      <x:c r="B1488" s="5" t="d">
        <x:v>2015-06-29T00:00:00.000Z</x:v>
      </x:c>
      <x:c r="C1488" s="1" t="str">
        <x:v>Standard Class</x:v>
      </x:c>
      <x:c r="D1488" s="1" t="str">
        <x:v>Europe</x:v>
      </x:c>
      <x:c r="E1488" s="1" t="str">
        <x:v>COMPLETE</x:v>
      </x:c>
      <x:c r="F1488" s="1" t="str">
        <x:v>Late delivery</x:v>
      </x:c>
      <x:c r="G1488" s="6" t="n">
        <x:v>6</x:v>
      </x:c>
      <x:c r="H1488" s="6" t="n">
        <x:v>4</x:v>
      </x:c>
      <x:c r="I1488" s="6" t="n">
        <x:f>G1488-H1488</x:f>
        <x:v>2</x:v>
      </x:c>
      <x:c r="J1488" s="6" t="n">
        <x:f>IF(OR(E1488="CANCELED",E1488="SUSPECTED_FRAUD",F1488="Shipping canceled"),0,1)</x:f>
        <x:v>1</x:v>
      </x:c>
      <x:c r="K1488" s="6" t="n">
        <x:f>IF(G1488&gt;H1488,1,0)</x:f>
        <x:v>1</x:v>
      </x:c>
      <x:c r="L1488" s="6" t="n">
        <x:f>J1488*K1488</x:f>
        <x:v>1</x:v>
      </x:c>
    </x:row>
    <x:row r="1489">
      <x:c r="A1489" s="1" t="n">
        <x:v>12300</x:v>
      </x:c>
      <x:c r="B1489" s="5" t="d">
        <x:v>2015-06-29T00:00:00.000Z</x:v>
      </x:c>
      <x:c r="C1489" s="1" t="str">
        <x:v>Standard Class</x:v>
      </x:c>
      <x:c r="D1489" s="1" t="str">
        <x:v>Europe</x:v>
      </x:c>
      <x:c r="E1489" s="1" t="str">
        <x:v>PENDING_PAYMENT</x:v>
      </x:c>
      <x:c r="F1489" s="1" t="str">
        <x:v>Late delivery</x:v>
      </x:c>
      <x:c r="G1489" s="6" t="n">
        <x:v>6</x:v>
      </x:c>
      <x:c r="H1489" s="6" t="n">
        <x:v>4</x:v>
      </x:c>
      <x:c r="I1489" s="6" t="n">
        <x:f>G1489-H1489</x:f>
        <x:v>2</x:v>
      </x:c>
      <x:c r="J1489" s="6" t="n">
        <x:f>IF(OR(E1489="CANCELED",E1489="SUSPECTED_FRAUD",F1489="Shipping canceled"),0,1)</x:f>
        <x:v>1</x:v>
      </x:c>
      <x:c r="K1489" s="6" t="n">
        <x:f>IF(G1489&gt;H1489,1,0)</x:f>
        <x:v>1</x:v>
      </x:c>
      <x:c r="L1489" s="6" t="n">
        <x:f>J1489*K1489</x:f>
        <x:v>1</x:v>
      </x:c>
    </x:row>
    <x:row r="1490">
      <x:c r="A1490" s="1" t="n">
        <x:v>12301</x:v>
      </x:c>
      <x:c r="B1490" s="5" t="d">
        <x:v>2015-06-29T00:00:00.000Z</x:v>
      </x:c>
      <x:c r="C1490" s="1" t="str">
        <x:v>Second Class</x:v>
      </x:c>
      <x:c r="D1490" s="1" t="str">
        <x:v>Europe</x:v>
      </x:c>
      <x:c r="E1490" s="1" t="str">
        <x:v>COMPLETE</x:v>
      </x:c>
      <x:c r="F1490" s="1" t="str">
        <x:v>Shipping on time</x:v>
      </x:c>
      <x:c r="G1490" s="6" t="n">
        <x:v>2</x:v>
      </x:c>
      <x:c r="H1490" s="6" t="n">
        <x:v>2</x:v>
      </x:c>
      <x:c r="I1490" s="6" t="n">
        <x:f>G1490-H1490</x:f>
        <x:v>0</x:v>
      </x:c>
      <x:c r="J1490" s="6" t="n">
        <x:f>IF(OR(E1490="CANCELED",E1490="SUSPECTED_FRAUD",F1490="Shipping canceled"),0,1)</x:f>
        <x:v>1</x:v>
      </x:c>
      <x:c r="K1490" s="6" t="n">
        <x:f>IF(G1490&gt;H1490,1,0)</x:f>
        <x:v>0</x:v>
      </x:c>
      <x:c r="L1490" s="6" t="n">
        <x:f>J1490*K1490</x:f>
        <x:v>0</x:v>
      </x:c>
    </x:row>
    <x:row r="1491">
      <x:c r="A1491" s="1" t="n">
        <x:v>12323</x:v>
      </x:c>
      <x:c r="B1491" s="5" t="d">
        <x:v>2015-06-29T00:00:00.000Z</x:v>
      </x:c>
      <x:c r="C1491" s="1" t="str">
        <x:v>Second Class</x:v>
      </x:c>
      <x:c r="D1491" s="1" t="str">
        <x:v>Europe</x:v>
      </x:c>
      <x:c r="E1491" s="1" t="str">
        <x:v>COMPLETE</x:v>
      </x:c>
      <x:c r="F1491" s="1" t="str">
        <x:v>Late delivery</x:v>
      </x:c>
      <x:c r="G1491" s="6" t="n">
        <x:v>4</x:v>
      </x:c>
      <x:c r="H1491" s="6" t="n">
        <x:v>2</x:v>
      </x:c>
      <x:c r="I1491" s="6" t="n">
        <x:f>G1491-H1491</x:f>
        <x:v>2</x:v>
      </x:c>
      <x:c r="J1491" s="6" t="n">
        <x:f>IF(OR(E1491="CANCELED",E1491="SUSPECTED_FRAUD",F1491="Shipping canceled"),0,1)</x:f>
        <x:v>1</x:v>
      </x:c>
      <x:c r="K1491" s="6" t="n">
        <x:f>IF(G1491&gt;H1491,1,0)</x:f>
        <x:v>1</x:v>
      </x:c>
      <x:c r="L1491" s="6" t="n">
        <x:f>J1491*K1491</x:f>
        <x:v>1</x:v>
      </x:c>
    </x:row>
    <x:row r="1492">
      <x:c r="A1492" s="1" t="n">
        <x:v>12324</x:v>
      </x:c>
      <x:c r="B1492" s="5" t="d">
        <x:v>2015-06-29T00:00:00.000Z</x:v>
      </x:c>
      <x:c r="C1492" s="1" t="str">
        <x:v>Standard Class</x:v>
      </x:c>
      <x:c r="D1492" s="1" t="str">
        <x:v>Europe</x:v>
      </x:c>
      <x:c r="E1492" s="1" t="str">
        <x:v>COMPLETE</x:v>
      </x:c>
      <x:c r="F1492" s="1" t="str">
        <x:v>Late delivery</x:v>
      </x:c>
      <x:c r="G1492" s="6" t="n">
        <x:v>5</x:v>
      </x:c>
      <x:c r="H1492" s="6" t="n">
        <x:v>4</x:v>
      </x:c>
      <x:c r="I1492" s="6" t="n">
        <x:f>G1492-H1492</x:f>
        <x:v>1</x:v>
      </x:c>
      <x:c r="J1492" s="6" t="n">
        <x:f>IF(OR(E1492="CANCELED",E1492="SUSPECTED_FRAUD",F1492="Shipping canceled"),0,1)</x:f>
        <x:v>1</x:v>
      </x:c>
      <x:c r="K1492" s="6" t="n">
        <x:f>IF(G1492&gt;H1492,1,0)</x:f>
        <x:v>1</x:v>
      </x:c>
      <x:c r="L1492" s="6" t="n">
        <x:f>J1492*K1492</x:f>
        <x:v>1</x:v>
      </x:c>
    </x:row>
    <x:row r="1493">
      <x:c r="A1493" s="1" t="n">
        <x:v>12327</x:v>
      </x:c>
      <x:c r="B1493" s="5" t="d">
        <x:v>2015-06-29T00:00:00.000Z</x:v>
      </x:c>
      <x:c r="C1493" s="1" t="str">
        <x:v>Standard Class</x:v>
      </x:c>
      <x:c r="D1493" s="1" t="str">
        <x:v>Europe</x:v>
      </x:c>
      <x:c r="E1493" s="1" t="str">
        <x:v>PENDING_PAYMENT</x:v>
      </x:c>
      <x:c r="F1493" s="1" t="str">
        <x:v>Advance shipping</x:v>
      </x:c>
      <x:c r="G1493" s="6" t="n">
        <x:v>3</x:v>
      </x:c>
      <x:c r="H1493" s="6" t="n">
        <x:v>4</x:v>
      </x:c>
      <x:c r="I1493" s="6" t="n">
        <x:f>G1493-H1493</x:f>
        <x:v>-1</x:v>
      </x:c>
      <x:c r="J1493" s="6" t="n">
        <x:f>IF(OR(E1493="CANCELED",E1493="SUSPECTED_FRAUD",F1493="Shipping canceled"),0,1)</x:f>
        <x:v>1</x:v>
      </x:c>
      <x:c r="K1493" s="6" t="n">
        <x:f>IF(G1493&gt;H1493,1,0)</x:f>
        <x:v>0</x:v>
      </x:c>
      <x:c r="L1493" s="6" t="n">
        <x:f>J1493*K1493</x:f>
        <x:v>0</x:v>
      </x:c>
    </x:row>
    <x:row r="1494">
      <x:c r="A1494" s="1" t="n">
        <x:v>12328</x:v>
      </x:c>
      <x:c r="B1494" s="5" t="d">
        <x:v>2015-06-29T00:00:00.000Z</x:v>
      </x:c>
      <x:c r="C1494" s="1" t="str">
        <x:v>Standard Class</x:v>
      </x:c>
      <x:c r="D1494" s="1" t="str">
        <x:v>Europe</x:v>
      </x:c>
      <x:c r="E1494" s="1" t="str">
        <x:v>COMPLETE</x:v>
      </x:c>
      <x:c r="F1494" s="1" t="str">
        <x:v>Shipping on time</x:v>
      </x:c>
      <x:c r="G1494" s="6" t="n">
        <x:v>4</x:v>
      </x:c>
      <x:c r="H1494" s="6" t="n">
        <x:v>4</x:v>
      </x:c>
      <x:c r="I1494" s="6" t="n">
        <x:f>G1494-H1494</x:f>
        <x:v>0</x:v>
      </x:c>
      <x:c r="J1494" s="6" t="n">
        <x:f>IF(OR(E1494="CANCELED",E1494="SUSPECTED_FRAUD",F1494="Shipping canceled"),0,1)</x:f>
        <x:v>1</x:v>
      </x:c>
      <x:c r="K1494" s="6" t="n">
        <x:f>IF(G1494&gt;H1494,1,0)</x:f>
        <x:v>0</x:v>
      </x:c>
      <x:c r="L1494" s="6" t="n">
        <x:f>J1494*K1494</x:f>
        <x:v>0</x:v>
      </x:c>
    </x:row>
    <x:row r="1495">
      <x:c r="A1495" s="1" t="n">
        <x:v>12330</x:v>
      </x:c>
      <x:c r="B1495" s="5" t="d">
        <x:v>2015-06-29T00:00:00.000Z</x:v>
      </x:c>
      <x:c r="C1495" s="1" t="str">
        <x:v>Standard Class</x:v>
      </x:c>
      <x:c r="D1495" s="1" t="str">
        <x:v>Europe</x:v>
      </x:c>
      <x:c r="E1495" s="1" t="str">
        <x:v>CANCELED</x:v>
      </x:c>
      <x:c r="F1495" s="1" t="str">
        <x:v>Shipping canceled</x:v>
      </x:c>
      <x:c r="G1495" s="6" t="n">
        <x:v>6</x:v>
      </x:c>
      <x:c r="H1495" s="6" t="n">
        <x:v>4</x:v>
      </x:c>
      <x:c r="I1495" s="6" t="n">
        <x:f>G1495-H1495</x:f>
        <x:v>2</x:v>
      </x:c>
      <x:c r="J1495" s="6" t="n">
        <x:f>IF(OR(E1495="CANCELED",E1495="SUSPECTED_FRAUD",F1495="Shipping canceled"),0,1)</x:f>
        <x:v>0</x:v>
      </x:c>
      <x:c r="K1495" s="6" t="n">
        <x:f>IF(G1495&gt;H1495,1,0)</x:f>
        <x:v>1</x:v>
      </x:c>
      <x:c r="L1495" s="6" t="n">
        <x:f>J1495*K1495</x:f>
        <x:v>0</x:v>
      </x:c>
    </x:row>
    <x:row r="1496">
      <x:c r="A1496" s="1" t="n">
        <x:v>12334</x:v>
      </x:c>
      <x:c r="B1496" s="5" t="d">
        <x:v>2015-06-30T00:00:00.000Z</x:v>
      </x:c>
      <x:c r="C1496" s="1" t="str">
        <x:v>Standard Class</x:v>
      </x:c>
      <x:c r="D1496" s="1" t="str">
        <x:v>Europe</x:v>
      </x:c>
      <x:c r="E1496" s="1" t="str">
        <x:v>COMPLETE</x:v>
      </x:c>
      <x:c r="F1496" s="1" t="str">
        <x:v>Late delivery</x:v>
      </x:c>
      <x:c r="G1496" s="6" t="n">
        <x:v>5</x:v>
      </x:c>
      <x:c r="H1496" s="6" t="n">
        <x:v>4</x:v>
      </x:c>
      <x:c r="I1496" s="6" t="n">
        <x:f>G1496-H1496</x:f>
        <x:v>1</x:v>
      </x:c>
      <x:c r="J1496" s="6" t="n">
        <x:f>IF(OR(E1496="CANCELED",E1496="SUSPECTED_FRAUD",F1496="Shipping canceled"),0,1)</x:f>
        <x:v>1</x:v>
      </x:c>
      <x:c r="K1496" s="6" t="n">
        <x:f>IF(G1496&gt;H1496,1,0)</x:f>
        <x:v>1</x:v>
      </x:c>
      <x:c r="L1496" s="6" t="n">
        <x:f>J1496*K1496</x:f>
        <x:v>1</x:v>
      </x:c>
    </x:row>
    <x:row r="1497">
      <x:c r="A1497" s="1" t="n">
        <x:v>12339</x:v>
      </x:c>
      <x:c r="B1497" s="5" t="d">
        <x:v>2015-06-30T00:00:00.000Z</x:v>
      </x:c>
      <x:c r="C1497" s="1" t="str">
        <x:v>Standard Class</x:v>
      </x:c>
      <x:c r="D1497" s="1" t="str">
        <x:v>Europe</x:v>
      </x:c>
      <x:c r="E1497" s="1" t="str">
        <x:v>COMPLETE</x:v>
      </x:c>
      <x:c r="F1497" s="1" t="str">
        <x:v>Late delivery</x:v>
      </x:c>
      <x:c r="G1497" s="6" t="n">
        <x:v>5</x:v>
      </x:c>
      <x:c r="H1497" s="6" t="n">
        <x:v>4</x:v>
      </x:c>
      <x:c r="I1497" s="6" t="n">
        <x:f>G1497-H1497</x:f>
        <x:v>1</x:v>
      </x:c>
      <x:c r="J1497" s="6" t="n">
        <x:f>IF(OR(E1497="CANCELED",E1497="SUSPECTED_FRAUD",F1497="Shipping canceled"),0,1)</x:f>
        <x:v>1</x:v>
      </x:c>
      <x:c r="K1497" s="6" t="n">
        <x:f>IF(G1497&gt;H1497,1,0)</x:f>
        <x:v>1</x:v>
      </x:c>
      <x:c r="L1497" s="6" t="n">
        <x:f>J1497*K1497</x:f>
        <x:v>1</x:v>
      </x:c>
    </x:row>
    <x:row r="1498">
      <x:c r="A1498" s="1" t="n">
        <x:v>12341</x:v>
      </x:c>
      <x:c r="B1498" s="5" t="d">
        <x:v>2015-06-30T00:00:00.000Z</x:v>
      </x:c>
      <x:c r="C1498" s="1" t="str">
        <x:v>Standard Class</x:v>
      </x:c>
      <x:c r="D1498" s="1" t="str">
        <x:v>Europe</x:v>
      </x:c>
      <x:c r="E1498" s="1" t="str">
        <x:v>CLOSED</x:v>
      </x:c>
      <x:c r="F1498" s="1" t="str">
        <x:v>Advance shipping</x:v>
      </x:c>
      <x:c r="G1498" s="6" t="n">
        <x:v>2</x:v>
      </x:c>
      <x:c r="H1498" s="6" t="n">
        <x:v>4</x:v>
      </x:c>
      <x:c r="I1498" s="6" t="n">
        <x:f>G1498-H1498</x:f>
        <x:v>-2</x:v>
      </x:c>
      <x:c r="J1498" s="6" t="n">
        <x:f>IF(OR(E1498="CANCELED",E1498="SUSPECTED_FRAUD",F1498="Shipping canceled"),0,1)</x:f>
        <x:v>1</x:v>
      </x:c>
      <x:c r="K1498" s="6" t="n">
        <x:f>IF(G1498&gt;H1498,1,0)</x:f>
        <x:v>0</x:v>
      </x:c>
      <x:c r="L1498" s="6" t="n">
        <x:f>J1498*K1498</x:f>
        <x:v>0</x:v>
      </x:c>
    </x:row>
    <x:row r="1499">
      <x:c r="A1499" s="1" t="n">
        <x:v>12354</x:v>
      </x:c>
      <x:c r="B1499" s="5" t="d">
        <x:v>2015-06-30T00:00:00.000Z</x:v>
      </x:c>
      <x:c r="C1499" s="1" t="str">
        <x:v>Standard Class</x:v>
      </x:c>
      <x:c r="D1499" s="1" t="str">
        <x:v>Europe</x:v>
      </x:c>
      <x:c r="E1499" s="1" t="str">
        <x:v>PENDING_PAYMENT</x:v>
      </x:c>
      <x:c r="F1499" s="1" t="str">
        <x:v>Late delivery</x:v>
      </x:c>
      <x:c r="G1499" s="6" t="n">
        <x:v>5</x:v>
      </x:c>
      <x:c r="H1499" s="6" t="n">
        <x:v>4</x:v>
      </x:c>
      <x:c r="I1499" s="6" t="n">
        <x:f>G1499-H1499</x:f>
        <x:v>1</x:v>
      </x:c>
      <x:c r="J1499" s="6" t="n">
        <x:f>IF(OR(E1499="CANCELED",E1499="SUSPECTED_FRAUD",F1499="Shipping canceled"),0,1)</x:f>
        <x:v>1</x:v>
      </x:c>
      <x:c r="K1499" s="6" t="n">
        <x:f>IF(G1499&gt;H1499,1,0)</x:f>
        <x:v>1</x:v>
      </x:c>
      <x:c r="L1499" s="6" t="n">
        <x:f>J1499*K1499</x:f>
        <x:v>1</x:v>
      </x:c>
    </x:row>
    <x:row r="1500">
      <x:c r="A1500" s="1" t="n">
        <x:v>12356</x:v>
      </x:c>
      <x:c r="B1500" s="5" t="d">
        <x:v>2015-06-30T00:00:00.000Z</x:v>
      </x:c>
      <x:c r="C1500" s="1" t="str">
        <x:v>Standard Class</x:v>
      </x:c>
      <x:c r="D1500" s="1" t="str">
        <x:v>Europe</x:v>
      </x:c>
      <x:c r="E1500" s="1" t="str">
        <x:v>PENDING</x:v>
      </x:c>
      <x:c r="F1500" s="1" t="str">
        <x:v>Advance shipping</x:v>
      </x:c>
      <x:c r="G1500" s="6" t="n">
        <x:v>2</x:v>
      </x:c>
      <x:c r="H1500" s="6" t="n">
        <x:v>4</x:v>
      </x:c>
      <x:c r="I1500" s="6" t="n">
        <x:f>G1500-H1500</x:f>
        <x:v>-2</x:v>
      </x:c>
      <x:c r="J1500" s="6" t="n">
        <x:f>IF(OR(E1500="CANCELED",E1500="SUSPECTED_FRAUD",F1500="Shipping canceled"),0,1)</x:f>
        <x:v>1</x:v>
      </x:c>
      <x:c r="K1500" s="6" t="n">
        <x:f>IF(G1500&gt;H1500,1,0)</x:f>
        <x:v>0</x:v>
      </x:c>
      <x:c r="L1500" s="6" t="n">
        <x:f>J1500*K1500</x:f>
        <x:v>0</x:v>
      </x:c>
    </x:row>
    <x:row r="1501">
      <x:c r="A1501" s="1" t="n">
        <x:v>12358</x:v>
      </x:c>
      <x:c r="B1501" s="5" t="d">
        <x:v>2015-06-30T00:00:00.000Z</x:v>
      </x:c>
      <x:c r="C1501" s="1" t="str">
        <x:v>Second Class</x:v>
      </x:c>
      <x:c r="D1501" s="1" t="str">
        <x:v>Europe</x:v>
      </x:c>
      <x:c r="E1501" s="1" t="str">
        <x:v>CLOSED</x:v>
      </x:c>
      <x:c r="F1501" s="1" t="str">
        <x:v>Late delivery</x:v>
      </x:c>
      <x:c r="G1501" s="6" t="n">
        <x:v>4</x:v>
      </x:c>
      <x:c r="H1501" s="6" t="n">
        <x:v>2</x:v>
      </x:c>
      <x:c r="I1501" s="6" t="n">
        <x:f>G1501-H1501</x:f>
        <x:v>2</x:v>
      </x:c>
      <x:c r="J1501" s="6" t="n">
        <x:f>IF(OR(E1501="CANCELED",E1501="SUSPECTED_FRAUD",F1501="Shipping canceled"),0,1)</x:f>
        <x:v>1</x:v>
      </x:c>
      <x:c r="K1501" s="6" t="n">
        <x:f>IF(G1501&gt;H1501,1,0)</x:f>
        <x:v>1</x:v>
      </x:c>
      <x:c r="L1501" s="6" t="n">
        <x:f>J1501*K1501</x:f>
        <x:v>1</x:v>
      </x:c>
    </x:row>
    <x:row r="1502">
      <x:c r="A1502" s="1" t="n">
        <x:v>12364</x:v>
      </x:c>
      <x:c r="B1502" s="5" t="d">
        <x:v>2015-06-30T00:00:00.000Z</x:v>
      </x:c>
      <x:c r="C1502" s="1" t="str">
        <x:v>Standard Class</x:v>
      </x:c>
      <x:c r="D1502" s="1" t="str">
        <x:v>Europe</x:v>
      </x:c>
      <x:c r="E1502" s="1" t="str">
        <x:v>ON_HOLD</x:v>
      </x:c>
      <x:c r="F1502" s="1" t="str">
        <x:v>Late delivery</x:v>
      </x:c>
      <x:c r="G1502" s="6" t="n">
        <x:v>5</x:v>
      </x:c>
      <x:c r="H1502" s="6" t="n">
        <x:v>4</x:v>
      </x:c>
      <x:c r="I1502" s="6" t="n">
        <x:f>G1502-H1502</x:f>
        <x:v>1</x:v>
      </x:c>
      <x:c r="J1502" s="6" t="n">
        <x:f>IF(OR(E1502="CANCELED",E1502="SUSPECTED_FRAUD",F1502="Shipping canceled"),0,1)</x:f>
        <x:v>1</x:v>
      </x:c>
      <x:c r="K1502" s="6" t="n">
        <x:f>IF(G1502&gt;H1502,1,0)</x:f>
        <x:v>1</x:v>
      </x:c>
      <x:c r="L1502" s="6" t="n">
        <x:f>J1502*K1502</x:f>
        <x:v>1</x:v>
      </x:c>
    </x:row>
    <x:row r="1503">
      <x:c r="A1503" s="1" t="n">
        <x:v>12371</x:v>
      </x:c>
      <x:c r="B1503" s="5" t="d">
        <x:v>2015-06-30T00:00:00.000Z</x:v>
      </x:c>
      <x:c r="C1503" s="1" t="str">
        <x:v>Standard Class</x:v>
      </x:c>
      <x:c r="D1503" s="1" t="str">
        <x:v>Europe</x:v>
      </x:c>
      <x:c r="E1503" s="1" t="str">
        <x:v>COMPLETE</x:v>
      </x:c>
      <x:c r="F1503" s="1" t="str">
        <x:v>Advance shipping</x:v>
      </x:c>
      <x:c r="G1503" s="6" t="n">
        <x:v>2</x:v>
      </x:c>
      <x:c r="H1503" s="6" t="n">
        <x:v>4</x:v>
      </x:c>
      <x:c r="I1503" s="6" t="n">
        <x:f>G1503-H1503</x:f>
        <x:v>-2</x:v>
      </x:c>
      <x:c r="J1503" s="6" t="n">
        <x:f>IF(OR(E1503="CANCELED",E1503="SUSPECTED_FRAUD",F1503="Shipping canceled"),0,1)</x:f>
        <x:v>1</x:v>
      </x:c>
      <x:c r="K1503" s="6" t="n">
        <x:f>IF(G1503&gt;H1503,1,0)</x:f>
        <x:v>0</x:v>
      </x:c>
      <x:c r="L1503" s="6" t="n">
        <x:f>J1503*K1503</x:f>
        <x:v>0</x:v>
      </x:c>
    </x:row>
    <x:row r="1504">
      <x:c r="A1504" s="1" t="n">
        <x:v>12374</x:v>
      </x:c>
      <x:c r="B1504" s="5" t="d">
        <x:v>2015-06-30T00:00:00.000Z</x:v>
      </x:c>
      <x:c r="C1504" s="1" t="str">
        <x:v>First Class</x:v>
      </x:c>
      <x:c r="D1504" s="1" t="str">
        <x:v>Europe</x:v>
      </x:c>
      <x:c r="E1504" s="1" t="str">
        <x:v>PENDING_PAYMENT</x:v>
      </x:c>
      <x:c r="F1504" s="1" t="str">
        <x:v>Late delivery</x:v>
      </x:c>
      <x:c r="G1504" s="6" t="n">
        <x:v>2</x:v>
      </x:c>
      <x:c r="H1504" s="6" t="n">
        <x:v>1</x:v>
      </x:c>
      <x:c r="I1504" s="6" t="n">
        <x:f>G1504-H1504</x:f>
        <x:v>1</x:v>
      </x:c>
      <x:c r="J1504" s="6" t="n">
        <x:f>IF(OR(E1504="CANCELED",E1504="SUSPECTED_FRAUD",F1504="Shipping canceled"),0,1)</x:f>
        <x:v>1</x:v>
      </x:c>
      <x:c r="K1504" s="6" t="n">
        <x:f>IF(G1504&gt;H1504,1,0)</x:f>
        <x:v>1</x:v>
      </x:c>
      <x:c r="L1504" s="6" t="n">
        <x:f>J1504*K1504</x:f>
        <x:v>1</x:v>
      </x:c>
    </x:row>
    <x:row r="1505">
      <x:c r="A1505" s="1" t="n">
        <x:v>12383</x:v>
      </x:c>
      <x:c r="B1505" s="5" t="d">
        <x:v>2015-06-30T00:00:00.000Z</x:v>
      </x:c>
      <x:c r="C1505" s="1" t="str">
        <x:v>Standard Class</x:v>
      </x:c>
      <x:c r="D1505" s="1" t="str">
        <x:v>Europe</x:v>
      </x:c>
      <x:c r="E1505" s="1" t="str">
        <x:v>CLOSED</x:v>
      </x:c>
      <x:c r="F1505" s="1" t="str">
        <x:v>Shipping on time</x:v>
      </x:c>
      <x:c r="G1505" s="6" t="n">
        <x:v>4</x:v>
      </x:c>
      <x:c r="H1505" s="6" t="n">
        <x:v>4</x:v>
      </x:c>
      <x:c r="I1505" s="6" t="n">
        <x:f>G1505-H1505</x:f>
        <x:v>0</x:v>
      </x:c>
      <x:c r="J1505" s="6" t="n">
        <x:f>IF(OR(E1505="CANCELED",E1505="SUSPECTED_FRAUD",F1505="Shipping canceled"),0,1)</x:f>
        <x:v>1</x:v>
      </x:c>
      <x:c r="K1505" s="6" t="n">
        <x:f>IF(G1505&gt;H1505,1,0)</x:f>
        <x:v>0</x:v>
      </x:c>
      <x:c r="L1505" s="6" t="n">
        <x:f>J1505*K1505</x:f>
        <x:v>0</x:v>
      </x:c>
    </x:row>
    <x:row r="1506">
      <x:c r="A1506" s="1" t="n">
        <x:v>12393</x:v>
      </x:c>
      <x:c r="B1506" s="5" t="d">
        <x:v>2015-06-30T00:00:00.000Z</x:v>
      </x:c>
      <x:c r="C1506" s="1" t="str">
        <x:v>Standard Class</x:v>
      </x:c>
      <x:c r="D1506" s="1" t="str">
        <x:v>Europe</x:v>
      </x:c>
      <x:c r="E1506" s="1" t="str">
        <x:v>PENDING</x:v>
      </x:c>
      <x:c r="F1506" s="1" t="str">
        <x:v>Shipping on time</x:v>
      </x:c>
      <x:c r="G1506" s="6" t="n">
        <x:v>4</x:v>
      </x:c>
      <x:c r="H1506" s="6" t="n">
        <x:v>4</x:v>
      </x:c>
      <x:c r="I1506" s="6" t="n">
        <x:f>G1506-H1506</x:f>
        <x:v>0</x:v>
      </x:c>
      <x:c r="J1506" s="6" t="n">
        <x:f>IF(OR(E1506="CANCELED",E1506="SUSPECTED_FRAUD",F1506="Shipping canceled"),0,1)</x:f>
        <x:v>1</x:v>
      </x:c>
      <x:c r="K1506" s="6" t="n">
        <x:f>IF(G1506&gt;H1506,1,0)</x:f>
        <x:v>0</x:v>
      </x:c>
      <x:c r="L1506" s="6" t="n">
        <x:f>J1506*K1506</x:f>
        <x:v>0</x:v>
      </x:c>
    </x:row>
    <x:row r="1507">
      <x:c r="A1507" s="1" t="n">
        <x:v>12394</x:v>
      </x:c>
      <x:c r="B1507" s="5" t="d">
        <x:v>2015-06-30T00:00:00.000Z</x:v>
      </x:c>
      <x:c r="C1507" s="1" t="str">
        <x:v>First Class</x:v>
      </x:c>
      <x:c r="D1507" s="1" t="str">
        <x:v>Europe</x:v>
      </x:c>
      <x:c r="E1507" s="1" t="str">
        <x:v>PENDING_PAYMENT</x:v>
      </x:c>
      <x:c r="F1507" s="1" t="str">
        <x:v>Late delivery</x:v>
      </x:c>
      <x:c r="G1507" s="6" t="n">
        <x:v>2</x:v>
      </x:c>
      <x:c r="H1507" s="6" t="n">
        <x:v>1</x:v>
      </x:c>
      <x:c r="I1507" s="6" t="n">
        <x:f>G1507-H1507</x:f>
        <x:v>1</x:v>
      </x:c>
      <x:c r="J1507" s="6" t="n">
        <x:f>IF(OR(E1507="CANCELED",E1507="SUSPECTED_FRAUD",F1507="Shipping canceled"),0,1)</x:f>
        <x:v>1</x:v>
      </x:c>
      <x:c r="K1507" s="6" t="n">
        <x:f>IF(G1507&gt;H1507,1,0)</x:f>
        <x:v>1</x:v>
      </x:c>
      <x:c r="L1507" s="6" t="n">
        <x:f>J1507*K1507</x:f>
        <x:v>1</x:v>
      </x:c>
    </x:row>
    <x:row r="1508">
      <x:c r="A1508" s="1" t="n">
        <x:v>12399</x:v>
      </x:c>
      <x:c r="B1508" s="5" t="d">
        <x:v>2015-06-30T00:00:00.000Z</x:v>
      </x:c>
      <x:c r="C1508" s="1" t="str">
        <x:v>First Class</x:v>
      </x:c>
      <x:c r="D1508" s="1" t="str">
        <x:v>Europe</x:v>
      </x:c>
      <x:c r="E1508" s="1" t="str">
        <x:v>PENDING_PAYMENT</x:v>
      </x:c>
      <x:c r="F1508" s="1" t="str">
        <x:v>Late delivery</x:v>
      </x:c>
      <x:c r="G1508" s="6" t="n">
        <x:v>2</x:v>
      </x:c>
      <x:c r="H1508" s="6" t="n">
        <x:v>1</x:v>
      </x:c>
      <x:c r="I1508" s="6" t="n">
        <x:f>G1508-H1508</x:f>
        <x:v>1</x:v>
      </x:c>
      <x:c r="J1508" s="6" t="n">
        <x:f>IF(OR(E1508="CANCELED",E1508="SUSPECTED_FRAUD",F1508="Shipping canceled"),0,1)</x:f>
        <x:v>1</x:v>
      </x:c>
      <x:c r="K1508" s="6" t="n">
        <x:f>IF(G1508&gt;H1508,1,0)</x:f>
        <x:v>1</x:v>
      </x:c>
      <x:c r="L1508" s="6" t="n">
        <x:f>J1508*K1508</x:f>
        <x:v>1</x:v>
      </x:c>
    </x:row>
    <x:row r="1509">
      <x:c r="A1509" s="1" t="n">
        <x:v>12415</x:v>
      </x:c>
      <x:c r="B1509" s="5" t="d">
        <x:v>2015-07-01T00:00:00.000Z</x:v>
      </x:c>
      <x:c r="C1509" s="1" t="str">
        <x:v>Second Class</x:v>
      </x:c>
      <x:c r="D1509" s="1" t="str">
        <x:v>Europe</x:v>
      </x:c>
      <x:c r="E1509" s="1" t="str">
        <x:v>COMPLETE</x:v>
      </x:c>
      <x:c r="F1509" s="1" t="str">
        <x:v>Late delivery</x:v>
      </x:c>
      <x:c r="G1509" s="6" t="n">
        <x:v>6</x:v>
      </x:c>
      <x:c r="H1509" s="6" t="n">
        <x:v>2</x:v>
      </x:c>
      <x:c r="I1509" s="6" t="n">
        <x:f>G1509-H1509</x:f>
        <x:v>4</x:v>
      </x:c>
      <x:c r="J1509" s="6" t="n">
        <x:f>IF(OR(E1509="CANCELED",E1509="SUSPECTED_FRAUD",F1509="Shipping canceled"),0,1)</x:f>
        <x:v>1</x:v>
      </x:c>
      <x:c r="K1509" s="6" t="n">
        <x:f>IF(G1509&gt;H1509,1,0)</x:f>
        <x:v>1</x:v>
      </x:c>
      <x:c r="L1509" s="6" t="n">
        <x:f>J1509*K1509</x:f>
        <x:v>1</x:v>
      </x:c>
    </x:row>
    <x:row r="1510">
      <x:c r="A1510" s="1" t="n">
        <x:v>12422</x:v>
      </x:c>
      <x:c r="B1510" s="5" t="d">
        <x:v>2015-07-01T00:00:00.000Z</x:v>
      </x:c>
      <x:c r="C1510" s="1" t="str">
        <x:v>Standard Class</x:v>
      </x:c>
      <x:c r="D1510" s="1" t="str">
        <x:v>Europe</x:v>
      </x:c>
      <x:c r="E1510" s="1" t="str">
        <x:v>COMPLETE</x:v>
      </x:c>
      <x:c r="F1510" s="1" t="str">
        <x:v>Advance shipping</x:v>
      </x:c>
      <x:c r="G1510" s="6" t="n">
        <x:v>3</x:v>
      </x:c>
      <x:c r="H1510" s="6" t="n">
        <x:v>4</x:v>
      </x:c>
      <x:c r="I1510" s="6" t="n">
        <x:f>G1510-H1510</x:f>
        <x:v>-1</x:v>
      </x:c>
      <x:c r="J1510" s="6" t="n">
        <x:f>IF(OR(E1510="CANCELED",E1510="SUSPECTED_FRAUD",F1510="Shipping canceled"),0,1)</x:f>
        <x:v>1</x:v>
      </x:c>
      <x:c r="K1510" s="6" t="n">
        <x:f>IF(G1510&gt;H1510,1,0)</x:f>
        <x:v>0</x:v>
      </x:c>
      <x:c r="L1510" s="6" t="n">
        <x:f>J1510*K1510</x:f>
        <x:v>0</x:v>
      </x:c>
    </x:row>
    <x:row r="1511">
      <x:c r="A1511" s="1" t="n">
        <x:v>12438</x:v>
      </x:c>
      <x:c r="B1511" s="5" t="d">
        <x:v>2015-07-01T00:00:00.000Z</x:v>
      </x:c>
      <x:c r="C1511" s="1" t="str">
        <x:v>Standard Class</x:v>
      </x:c>
      <x:c r="D1511" s="1" t="str">
        <x:v>Europe</x:v>
      </x:c>
      <x:c r="E1511" s="1" t="str">
        <x:v>COMPLETE</x:v>
      </x:c>
      <x:c r="F1511" s="1" t="str">
        <x:v>Shipping on time</x:v>
      </x:c>
      <x:c r="G1511" s="6" t="n">
        <x:v>4</x:v>
      </x:c>
      <x:c r="H1511" s="6" t="n">
        <x:v>4</x:v>
      </x:c>
      <x:c r="I1511" s="6" t="n">
        <x:f>G1511-H1511</x:f>
        <x:v>0</x:v>
      </x:c>
      <x:c r="J1511" s="6" t="n">
        <x:f>IF(OR(E1511="CANCELED",E1511="SUSPECTED_FRAUD",F1511="Shipping canceled"),0,1)</x:f>
        <x:v>1</x:v>
      </x:c>
      <x:c r="K1511" s="6" t="n">
        <x:f>IF(G1511&gt;H1511,1,0)</x:f>
        <x:v>0</x:v>
      </x:c>
      <x:c r="L1511" s="6" t="n">
        <x:f>J1511*K1511</x:f>
        <x:v>0</x:v>
      </x:c>
    </x:row>
    <x:row r="1512">
      <x:c r="A1512" s="1" t="n">
        <x:v>12441</x:v>
      </x:c>
      <x:c r="B1512" s="5" t="d">
        <x:v>2015-07-01T00:00:00.000Z</x:v>
      </x:c>
      <x:c r="C1512" s="1" t="str">
        <x:v>Standard Class</x:v>
      </x:c>
      <x:c r="D1512" s="1" t="str">
        <x:v>Europe</x:v>
      </x:c>
      <x:c r="E1512" s="1" t="str">
        <x:v>CLOSED</x:v>
      </x:c>
      <x:c r="F1512" s="1" t="str">
        <x:v>Advance shipping</x:v>
      </x:c>
      <x:c r="G1512" s="6" t="n">
        <x:v>2</x:v>
      </x:c>
      <x:c r="H1512" s="6" t="n">
        <x:v>4</x:v>
      </x:c>
      <x:c r="I1512" s="6" t="n">
        <x:f>G1512-H1512</x:f>
        <x:v>-2</x:v>
      </x:c>
      <x:c r="J1512" s="6" t="n">
        <x:f>IF(OR(E1512="CANCELED",E1512="SUSPECTED_FRAUD",F1512="Shipping canceled"),0,1)</x:f>
        <x:v>1</x:v>
      </x:c>
      <x:c r="K1512" s="6" t="n">
        <x:f>IF(G1512&gt;H1512,1,0)</x:f>
        <x:v>0</x:v>
      </x:c>
      <x:c r="L1512" s="6" t="n">
        <x:f>J1512*K1512</x:f>
        <x:v>0</x:v>
      </x:c>
    </x:row>
    <x:row r="1513">
      <x:c r="A1513" s="1" t="n">
        <x:v>12442</x:v>
      </x:c>
      <x:c r="B1513" s="5" t="d">
        <x:v>2015-07-01T00:00:00.000Z</x:v>
      </x:c>
      <x:c r="C1513" s="1" t="str">
        <x:v>Standard Class</x:v>
      </x:c>
      <x:c r="D1513" s="1" t="str">
        <x:v>Europe</x:v>
      </x:c>
      <x:c r="E1513" s="1" t="str">
        <x:v>COMPLETE</x:v>
      </x:c>
      <x:c r="F1513" s="1" t="str">
        <x:v>Advance shipping</x:v>
      </x:c>
      <x:c r="G1513" s="6" t="n">
        <x:v>3</x:v>
      </x:c>
      <x:c r="H1513" s="6" t="n">
        <x:v>4</x:v>
      </x:c>
      <x:c r="I1513" s="6" t="n">
        <x:f>G1513-H1513</x:f>
        <x:v>-1</x:v>
      </x:c>
      <x:c r="J1513" s="6" t="n">
        <x:f>IF(OR(E1513="CANCELED",E1513="SUSPECTED_FRAUD",F1513="Shipping canceled"),0,1)</x:f>
        <x:v>1</x:v>
      </x:c>
      <x:c r="K1513" s="6" t="n">
        <x:f>IF(G1513&gt;H1513,1,0)</x:f>
        <x:v>0</x:v>
      </x:c>
      <x:c r="L1513" s="6" t="n">
        <x:f>J1513*K1513</x:f>
        <x:v>0</x:v>
      </x:c>
    </x:row>
    <x:row r="1514">
      <x:c r="A1514" s="1" t="n">
        <x:v>12448</x:v>
      </x:c>
      <x:c r="B1514" s="5" t="d">
        <x:v>2015-07-01T00:00:00.000Z</x:v>
      </x:c>
      <x:c r="C1514" s="1" t="str">
        <x:v>Standard Class</x:v>
      </x:c>
      <x:c r="D1514" s="1" t="str">
        <x:v>Europe</x:v>
      </x:c>
      <x:c r="E1514" s="1" t="str">
        <x:v>COMPLETE</x:v>
      </x:c>
      <x:c r="F1514" s="1" t="str">
        <x:v>Shipping on time</x:v>
      </x:c>
      <x:c r="G1514" s="6" t="n">
        <x:v>4</x:v>
      </x:c>
      <x:c r="H1514" s="6" t="n">
        <x:v>4</x:v>
      </x:c>
      <x:c r="I1514" s="6" t="n">
        <x:f>G1514-H1514</x:f>
        <x:v>0</x:v>
      </x:c>
      <x:c r="J1514" s="6" t="n">
        <x:f>IF(OR(E1514="CANCELED",E1514="SUSPECTED_FRAUD",F1514="Shipping canceled"),0,1)</x:f>
        <x:v>1</x:v>
      </x:c>
      <x:c r="K1514" s="6" t="n">
        <x:f>IF(G1514&gt;H1514,1,0)</x:f>
        <x:v>0</x:v>
      </x:c>
      <x:c r="L1514" s="6" t="n">
        <x:f>J1514*K1514</x:f>
        <x:v>0</x:v>
      </x:c>
    </x:row>
    <x:row r="1515">
      <x:c r="A1515" s="1" t="n">
        <x:v>12461</x:v>
      </x:c>
      <x:c r="B1515" s="5" t="d">
        <x:v>2015-07-01T00:00:00.000Z</x:v>
      </x:c>
      <x:c r="C1515" s="1" t="str">
        <x:v>First Class</x:v>
      </x:c>
      <x:c r="D1515" s="1" t="str">
        <x:v>Europe</x:v>
      </x:c>
      <x:c r="E1515" s="1" t="str">
        <x:v>COMPLETE</x:v>
      </x:c>
      <x:c r="F1515" s="1" t="str">
        <x:v>Late delivery</x:v>
      </x:c>
      <x:c r="G1515" s="6" t="n">
        <x:v>2</x:v>
      </x:c>
      <x:c r="H1515" s="6" t="n">
        <x:v>1</x:v>
      </x:c>
      <x:c r="I1515" s="6" t="n">
        <x:f>G1515-H1515</x:f>
        <x:v>1</x:v>
      </x:c>
      <x:c r="J1515" s="6" t="n">
        <x:f>IF(OR(E1515="CANCELED",E1515="SUSPECTED_FRAUD",F1515="Shipping canceled"),0,1)</x:f>
        <x:v>1</x:v>
      </x:c>
      <x:c r="K1515" s="6" t="n">
        <x:f>IF(G1515&gt;H1515,1,0)</x:f>
        <x:v>1</x:v>
      </x:c>
      <x:c r="L1515" s="6" t="n">
        <x:f>J1515*K1515</x:f>
        <x:v>1</x:v>
      </x:c>
    </x:row>
    <x:row r="1516">
      <x:c r="A1516" s="1" t="n">
        <x:v>12462</x:v>
      </x:c>
      <x:c r="B1516" s="5" t="d">
        <x:v>2015-07-01T00:00:00.000Z</x:v>
      </x:c>
      <x:c r="C1516" s="1" t="str">
        <x:v>Second Class</x:v>
      </x:c>
      <x:c r="D1516" s="1" t="str">
        <x:v>Europe</x:v>
      </x:c>
      <x:c r="E1516" s="1" t="str">
        <x:v>CANCELED</x:v>
      </x:c>
      <x:c r="F1516" s="1" t="str">
        <x:v>Shipping canceled</x:v>
      </x:c>
      <x:c r="G1516" s="6" t="n">
        <x:v>3</x:v>
      </x:c>
      <x:c r="H1516" s="6" t="n">
        <x:v>2</x:v>
      </x:c>
      <x:c r="I1516" s="6" t="n">
        <x:f>G1516-H1516</x:f>
        <x:v>1</x:v>
      </x:c>
      <x:c r="J1516" s="6" t="n">
        <x:f>IF(OR(E1516="CANCELED",E1516="SUSPECTED_FRAUD",F1516="Shipping canceled"),0,1)</x:f>
        <x:v>0</x:v>
      </x:c>
      <x:c r="K1516" s="6" t="n">
        <x:f>IF(G1516&gt;H1516,1,0)</x:f>
        <x:v>1</x:v>
      </x:c>
      <x:c r="L1516" s="6" t="n">
        <x:f>J1516*K1516</x:f>
        <x:v>0</x:v>
      </x:c>
    </x:row>
    <x:row r="1517">
      <x:c r="A1517" s="1" t="n">
        <x:v>12481</x:v>
      </x:c>
      <x:c r="B1517" s="5" t="d">
        <x:v>2015-07-02T00:00:00.000Z</x:v>
      </x:c>
      <x:c r="C1517" s="1" t="str">
        <x:v>Standard Class</x:v>
      </x:c>
      <x:c r="D1517" s="1" t="str">
        <x:v>Europe</x:v>
      </x:c>
      <x:c r="E1517" s="1" t="str">
        <x:v>COMPLETE</x:v>
      </x:c>
      <x:c r="F1517" s="1" t="str">
        <x:v>Advance shipping</x:v>
      </x:c>
      <x:c r="G1517" s="6" t="n">
        <x:v>2</x:v>
      </x:c>
      <x:c r="H1517" s="6" t="n">
        <x:v>4</x:v>
      </x:c>
      <x:c r="I1517" s="6" t="n">
        <x:f>G1517-H1517</x:f>
        <x:v>-2</x:v>
      </x:c>
      <x:c r="J1517" s="6" t="n">
        <x:f>IF(OR(E1517="CANCELED",E1517="SUSPECTED_FRAUD",F1517="Shipping canceled"),0,1)</x:f>
        <x:v>1</x:v>
      </x:c>
      <x:c r="K1517" s="6" t="n">
        <x:f>IF(G1517&gt;H1517,1,0)</x:f>
        <x:v>0</x:v>
      </x:c>
      <x:c r="L1517" s="6" t="n">
        <x:f>J1517*K1517</x:f>
        <x:v>0</x:v>
      </x:c>
    </x:row>
    <x:row r="1518">
      <x:c r="A1518" s="1" t="n">
        <x:v>12486</x:v>
      </x:c>
      <x:c r="B1518" s="5" t="d">
        <x:v>2015-07-02T00:00:00.000Z</x:v>
      </x:c>
      <x:c r="C1518" s="1" t="str">
        <x:v>Standard Class</x:v>
      </x:c>
      <x:c r="D1518" s="1" t="str">
        <x:v>Europe</x:v>
      </x:c>
      <x:c r="E1518" s="1" t="str">
        <x:v>COMPLETE</x:v>
      </x:c>
      <x:c r="F1518" s="1" t="str">
        <x:v>Advance shipping</x:v>
      </x:c>
      <x:c r="G1518" s="6" t="n">
        <x:v>2</x:v>
      </x:c>
      <x:c r="H1518" s="6" t="n">
        <x:v>4</x:v>
      </x:c>
      <x:c r="I1518" s="6" t="n">
        <x:f>G1518-H1518</x:f>
        <x:v>-2</x:v>
      </x:c>
      <x:c r="J1518" s="6" t="n">
        <x:f>IF(OR(E1518="CANCELED",E1518="SUSPECTED_FRAUD",F1518="Shipping canceled"),0,1)</x:f>
        <x:v>1</x:v>
      </x:c>
      <x:c r="K1518" s="6" t="n">
        <x:f>IF(G1518&gt;H1518,1,0)</x:f>
        <x:v>0</x:v>
      </x:c>
      <x:c r="L1518" s="6" t="n">
        <x:f>J1518*K1518</x:f>
        <x:v>0</x:v>
      </x:c>
    </x:row>
    <x:row r="1519">
      <x:c r="A1519" s="1" t="n">
        <x:v>12488</x:v>
      </x:c>
      <x:c r="B1519" s="5" t="d">
        <x:v>2015-07-02T00:00:00.000Z</x:v>
      </x:c>
      <x:c r="C1519" s="1" t="str">
        <x:v>Standard Class</x:v>
      </x:c>
      <x:c r="D1519" s="1" t="str">
        <x:v>Europe</x:v>
      </x:c>
      <x:c r="E1519" s="1" t="str">
        <x:v>CLOSED</x:v>
      </x:c>
      <x:c r="F1519" s="1" t="str">
        <x:v>Shipping on time</x:v>
      </x:c>
      <x:c r="G1519" s="6" t="n">
        <x:v>4</x:v>
      </x:c>
      <x:c r="H1519" s="6" t="n">
        <x:v>4</x:v>
      </x:c>
      <x:c r="I1519" s="6" t="n">
        <x:f>G1519-H1519</x:f>
        <x:v>0</x:v>
      </x:c>
      <x:c r="J1519" s="6" t="n">
        <x:f>IF(OR(E1519="CANCELED",E1519="SUSPECTED_FRAUD",F1519="Shipping canceled"),0,1)</x:f>
        <x:v>1</x:v>
      </x:c>
      <x:c r="K1519" s="6" t="n">
        <x:f>IF(G1519&gt;H1519,1,0)</x:f>
        <x:v>0</x:v>
      </x:c>
      <x:c r="L1519" s="6" t="n">
        <x:f>J1519*K1519</x:f>
        <x:v>0</x:v>
      </x:c>
    </x:row>
    <x:row r="1520">
      <x:c r="A1520" s="1" t="n">
        <x:v>12494</x:v>
      </x:c>
      <x:c r="B1520" s="5" t="d">
        <x:v>2015-07-02T00:00:00.000Z</x:v>
      </x:c>
      <x:c r="C1520" s="1" t="str">
        <x:v>Standard Class</x:v>
      </x:c>
      <x:c r="D1520" s="1" t="str">
        <x:v>Europe</x:v>
      </x:c>
      <x:c r="E1520" s="1" t="str">
        <x:v>COMPLETE</x:v>
      </x:c>
      <x:c r="F1520" s="1" t="str">
        <x:v>Late delivery</x:v>
      </x:c>
      <x:c r="G1520" s="6" t="n">
        <x:v>5</x:v>
      </x:c>
      <x:c r="H1520" s="6" t="n">
        <x:v>4</x:v>
      </x:c>
      <x:c r="I1520" s="6" t="n">
        <x:f>G1520-H1520</x:f>
        <x:v>1</x:v>
      </x:c>
      <x:c r="J1520" s="6" t="n">
        <x:f>IF(OR(E1520="CANCELED",E1520="SUSPECTED_FRAUD",F1520="Shipping canceled"),0,1)</x:f>
        <x:v>1</x:v>
      </x:c>
      <x:c r="K1520" s="6" t="n">
        <x:f>IF(G1520&gt;H1520,1,0)</x:f>
        <x:v>1</x:v>
      </x:c>
      <x:c r="L1520" s="6" t="n">
        <x:f>J1520*K1520</x:f>
        <x:v>1</x:v>
      </x:c>
    </x:row>
    <x:row r="1521">
      <x:c r="A1521" s="1" t="n">
        <x:v>12508</x:v>
      </x:c>
      <x:c r="B1521" s="5" t="d">
        <x:v>2015-07-02T00:00:00.000Z</x:v>
      </x:c>
      <x:c r="C1521" s="1" t="str">
        <x:v>Standard Class</x:v>
      </x:c>
      <x:c r="D1521" s="1" t="str">
        <x:v>Europe</x:v>
      </x:c>
      <x:c r="E1521" s="1" t="str">
        <x:v>PROCESSING</x:v>
      </x:c>
      <x:c r="F1521" s="1" t="str">
        <x:v>Shipping on time</x:v>
      </x:c>
      <x:c r="G1521" s="6" t="n">
        <x:v>4</x:v>
      </x:c>
      <x:c r="H1521" s="6" t="n">
        <x:v>4</x:v>
      </x:c>
      <x:c r="I1521" s="6" t="n">
        <x:f>G1521-H1521</x:f>
        <x:v>0</x:v>
      </x:c>
      <x:c r="J1521" s="6" t="n">
        <x:f>IF(OR(E1521="CANCELED",E1521="SUSPECTED_FRAUD",F1521="Shipping canceled"),0,1)</x:f>
        <x:v>1</x:v>
      </x:c>
      <x:c r="K1521" s="6" t="n">
        <x:f>IF(G1521&gt;H1521,1,0)</x:f>
        <x:v>0</x:v>
      </x:c>
      <x:c r="L1521" s="6" t="n">
        <x:f>J1521*K1521</x:f>
        <x:v>0</x:v>
      </x:c>
    </x:row>
    <x:row r="1522">
      <x:c r="A1522" s="1" t="n">
        <x:v>12513</x:v>
      </x:c>
      <x:c r="B1522" s="5" t="d">
        <x:v>2015-07-02T00:00:00.000Z</x:v>
      </x:c>
      <x:c r="C1522" s="1" t="str">
        <x:v>Standard Class</x:v>
      </x:c>
      <x:c r="D1522" s="1" t="str">
        <x:v>Europe</x:v>
      </x:c>
      <x:c r="E1522" s="1" t="str">
        <x:v>COMPLETE</x:v>
      </x:c>
      <x:c r="F1522" s="1" t="str">
        <x:v>Shipping on time</x:v>
      </x:c>
      <x:c r="G1522" s="6" t="n">
        <x:v>4</x:v>
      </x:c>
      <x:c r="H1522" s="6" t="n">
        <x:v>4</x:v>
      </x:c>
      <x:c r="I1522" s="6" t="n">
        <x:f>G1522-H1522</x:f>
        <x:v>0</x:v>
      </x:c>
      <x:c r="J1522" s="6" t="n">
        <x:f>IF(OR(E1522="CANCELED",E1522="SUSPECTED_FRAUD",F1522="Shipping canceled"),0,1)</x:f>
        <x:v>1</x:v>
      </x:c>
      <x:c r="K1522" s="6" t="n">
        <x:f>IF(G1522&gt;H1522,1,0)</x:f>
        <x:v>0</x:v>
      </x:c>
      <x:c r="L1522" s="6" t="n">
        <x:f>J1522*K1522</x:f>
        <x:v>0</x:v>
      </x:c>
    </x:row>
    <x:row r="1523">
      <x:c r="A1523" s="1" t="n">
        <x:v>12525</x:v>
      </x:c>
      <x:c r="B1523" s="5" t="d">
        <x:v>2015-07-02T00:00:00.000Z</x:v>
      </x:c>
      <x:c r="C1523" s="1" t="str">
        <x:v>Second Class</x:v>
      </x:c>
      <x:c r="D1523" s="1" t="str">
        <x:v>Europe</x:v>
      </x:c>
      <x:c r="E1523" s="1" t="str">
        <x:v>PENDING_PAYMENT</x:v>
      </x:c>
      <x:c r="F1523" s="1" t="str">
        <x:v>Late delivery</x:v>
      </x:c>
      <x:c r="G1523" s="6" t="n">
        <x:v>6</x:v>
      </x:c>
      <x:c r="H1523" s="6" t="n">
        <x:v>2</x:v>
      </x:c>
      <x:c r="I1523" s="6" t="n">
        <x:f>G1523-H1523</x:f>
        <x:v>4</x:v>
      </x:c>
      <x:c r="J1523" s="6" t="n">
        <x:f>IF(OR(E1523="CANCELED",E1523="SUSPECTED_FRAUD",F1523="Shipping canceled"),0,1)</x:f>
        <x:v>1</x:v>
      </x:c>
      <x:c r="K1523" s="6" t="n">
        <x:f>IF(G1523&gt;H1523,1,0)</x:f>
        <x:v>1</x:v>
      </x:c>
      <x:c r="L1523" s="6" t="n">
        <x:f>J1523*K1523</x:f>
        <x:v>1</x:v>
      </x:c>
    </x:row>
    <x:row r="1524">
      <x:c r="A1524" s="1" t="n">
        <x:v>12529</x:v>
      </x:c>
      <x:c r="B1524" s="5" t="d">
        <x:v>2015-07-02T00:00:00.000Z</x:v>
      </x:c>
      <x:c r="C1524" s="1" t="str">
        <x:v>Standard Class</x:v>
      </x:c>
      <x:c r="D1524" s="1" t="str">
        <x:v>Europe</x:v>
      </x:c>
      <x:c r="E1524" s="1" t="str">
        <x:v>PROCESSING</x:v>
      </x:c>
      <x:c r="F1524" s="1" t="str">
        <x:v>Late delivery</x:v>
      </x:c>
      <x:c r="G1524" s="6" t="n">
        <x:v>5</x:v>
      </x:c>
      <x:c r="H1524" s="6" t="n">
        <x:v>4</x:v>
      </x:c>
      <x:c r="I1524" s="6" t="n">
        <x:f>G1524-H1524</x:f>
        <x:v>1</x:v>
      </x:c>
      <x:c r="J1524" s="6" t="n">
        <x:f>IF(OR(E1524="CANCELED",E1524="SUSPECTED_FRAUD",F1524="Shipping canceled"),0,1)</x:f>
        <x:v>1</x:v>
      </x:c>
      <x:c r="K1524" s="6" t="n">
        <x:f>IF(G1524&gt;H1524,1,0)</x:f>
        <x:v>1</x:v>
      </x:c>
      <x:c r="L1524" s="6" t="n">
        <x:f>J1524*K1524</x:f>
        <x:v>1</x:v>
      </x:c>
    </x:row>
    <x:row r="1525">
      <x:c r="A1525" s="1" t="n">
        <x:v>12530</x:v>
      </x:c>
      <x:c r="B1525" s="5" t="d">
        <x:v>2015-07-02T00:00:00.000Z</x:v>
      </x:c>
      <x:c r="C1525" s="1" t="str">
        <x:v>Second Class</x:v>
      </x:c>
      <x:c r="D1525" s="1" t="str">
        <x:v>Europe</x:v>
      </x:c>
      <x:c r="E1525" s="1" t="str">
        <x:v>COMPLETE</x:v>
      </x:c>
      <x:c r="F1525" s="1" t="str">
        <x:v>Late delivery</x:v>
      </x:c>
      <x:c r="G1525" s="6" t="n">
        <x:v>6</x:v>
      </x:c>
      <x:c r="H1525" s="6" t="n">
        <x:v>2</x:v>
      </x:c>
      <x:c r="I1525" s="6" t="n">
        <x:f>G1525-H1525</x:f>
        <x:v>4</x:v>
      </x:c>
      <x:c r="J1525" s="6" t="n">
        <x:f>IF(OR(E1525="CANCELED",E1525="SUSPECTED_FRAUD",F1525="Shipping canceled"),0,1)</x:f>
        <x:v>1</x:v>
      </x:c>
      <x:c r="K1525" s="6" t="n">
        <x:f>IF(G1525&gt;H1525,1,0)</x:f>
        <x:v>1</x:v>
      </x:c>
      <x:c r="L1525" s="6" t="n">
        <x:f>J1525*K1525</x:f>
        <x:v>1</x:v>
      </x:c>
    </x:row>
    <x:row r="1526">
      <x:c r="A1526" s="1" t="n">
        <x:v>12531</x:v>
      </x:c>
      <x:c r="B1526" s="5" t="d">
        <x:v>2015-07-02T00:00:00.000Z</x:v>
      </x:c>
      <x:c r="C1526" s="1" t="str">
        <x:v>Standard Class</x:v>
      </x:c>
      <x:c r="D1526" s="1" t="str">
        <x:v>Europe</x:v>
      </x:c>
      <x:c r="E1526" s="1" t="str">
        <x:v>COMPLETE</x:v>
      </x:c>
      <x:c r="F1526" s="1" t="str">
        <x:v>Advance shipping</x:v>
      </x:c>
      <x:c r="G1526" s="6" t="n">
        <x:v>2</x:v>
      </x:c>
      <x:c r="H1526" s="6" t="n">
        <x:v>4</x:v>
      </x:c>
      <x:c r="I1526" s="6" t="n">
        <x:f>G1526-H1526</x:f>
        <x:v>-2</x:v>
      </x:c>
      <x:c r="J1526" s="6" t="n">
        <x:f>IF(OR(E1526="CANCELED",E1526="SUSPECTED_FRAUD",F1526="Shipping canceled"),0,1)</x:f>
        <x:v>1</x:v>
      </x:c>
      <x:c r="K1526" s="6" t="n">
        <x:f>IF(G1526&gt;H1526,1,0)</x:f>
        <x:v>0</x:v>
      </x:c>
      <x:c r="L1526" s="6" t="n">
        <x:f>J1526*K1526</x:f>
        <x:v>0</x:v>
      </x:c>
    </x:row>
    <x:row r="1527">
      <x:c r="A1527" s="1" t="n">
        <x:v>12535</x:v>
      </x:c>
      <x:c r="B1527" s="5" t="d">
        <x:v>2015-07-02T00:00:00.000Z</x:v>
      </x:c>
      <x:c r="C1527" s="1" t="str">
        <x:v>Second Class</x:v>
      </x:c>
      <x:c r="D1527" s="1" t="str">
        <x:v>Europe</x:v>
      </x:c>
      <x:c r="E1527" s="1" t="str">
        <x:v>COMPLETE</x:v>
      </x:c>
      <x:c r="F1527" s="1" t="str">
        <x:v>Late delivery</x:v>
      </x:c>
      <x:c r="G1527" s="6" t="n">
        <x:v>6</x:v>
      </x:c>
      <x:c r="H1527" s="6" t="n">
        <x:v>2</x:v>
      </x:c>
      <x:c r="I1527" s="6" t="n">
        <x:f>G1527-H1527</x:f>
        <x:v>4</x:v>
      </x:c>
      <x:c r="J1527" s="6" t="n">
        <x:f>IF(OR(E1527="CANCELED",E1527="SUSPECTED_FRAUD",F1527="Shipping canceled"),0,1)</x:f>
        <x:v>1</x:v>
      </x:c>
      <x:c r="K1527" s="6" t="n">
        <x:f>IF(G1527&gt;H1527,1,0)</x:f>
        <x:v>1</x:v>
      </x:c>
      <x:c r="L1527" s="6" t="n">
        <x:f>J1527*K1527</x:f>
        <x:v>1</x:v>
      </x:c>
    </x:row>
    <x:row r="1528">
      <x:c r="A1528" s="1" t="n">
        <x:v>12536</x:v>
      </x:c>
      <x:c r="B1528" s="5" t="d">
        <x:v>2015-07-02T00:00:00.000Z</x:v>
      </x:c>
      <x:c r="C1528" s="1" t="str">
        <x:v>Second Class</x:v>
      </x:c>
      <x:c r="D1528" s="1" t="str">
        <x:v>Europe</x:v>
      </x:c>
      <x:c r="E1528" s="1" t="str">
        <x:v>COMPLETE</x:v>
      </x:c>
      <x:c r="F1528" s="1" t="str">
        <x:v>Shipping on time</x:v>
      </x:c>
      <x:c r="G1528" s="6" t="n">
        <x:v>2</x:v>
      </x:c>
      <x:c r="H1528" s="6" t="n">
        <x:v>2</x:v>
      </x:c>
      <x:c r="I1528" s="6" t="n">
        <x:f>G1528-H1528</x:f>
        <x:v>0</x:v>
      </x:c>
      <x:c r="J1528" s="6" t="n">
        <x:f>IF(OR(E1528="CANCELED",E1528="SUSPECTED_FRAUD",F1528="Shipping canceled"),0,1)</x:f>
        <x:v>1</x:v>
      </x:c>
      <x:c r="K1528" s="6" t="n">
        <x:f>IF(G1528&gt;H1528,1,0)</x:f>
        <x:v>0</x:v>
      </x:c>
      <x:c r="L1528" s="6" t="n">
        <x:f>J1528*K1528</x:f>
        <x:v>0</x:v>
      </x:c>
    </x:row>
    <x:row r="1529">
      <x:c r="A1529" s="1" t="n">
        <x:v>12539</x:v>
      </x:c>
      <x:c r="B1529" s="5" t="d">
        <x:v>2015-07-03T00:00:00.000Z</x:v>
      </x:c>
      <x:c r="C1529" s="1" t="str">
        <x:v>Standard Class</x:v>
      </x:c>
      <x:c r="D1529" s="1" t="str">
        <x:v>Europe</x:v>
      </x:c>
      <x:c r="E1529" s="1" t="str">
        <x:v>PROCESSING</x:v>
      </x:c>
      <x:c r="F1529" s="1" t="str">
        <x:v>Late delivery</x:v>
      </x:c>
      <x:c r="G1529" s="6" t="n">
        <x:v>5</x:v>
      </x:c>
      <x:c r="H1529" s="6" t="n">
        <x:v>4</x:v>
      </x:c>
      <x:c r="I1529" s="6" t="n">
        <x:f>G1529-H1529</x:f>
        <x:v>1</x:v>
      </x:c>
      <x:c r="J1529" s="6" t="n">
        <x:f>IF(OR(E1529="CANCELED",E1529="SUSPECTED_FRAUD",F1529="Shipping canceled"),0,1)</x:f>
        <x:v>1</x:v>
      </x:c>
      <x:c r="K1529" s="6" t="n">
        <x:f>IF(G1529&gt;H1529,1,0)</x:f>
        <x:v>1</x:v>
      </x:c>
      <x:c r="L1529" s="6" t="n">
        <x:f>J1529*K1529</x:f>
        <x:v>1</x:v>
      </x:c>
    </x:row>
    <x:row r="1530">
      <x:c r="A1530" s="1" t="n">
        <x:v>12540</x:v>
      </x:c>
      <x:c r="B1530" s="5" t="d">
        <x:v>2015-07-03T00:00:00.000Z</x:v>
      </x:c>
      <x:c r="C1530" s="1" t="str">
        <x:v>Standard Class</x:v>
      </x:c>
      <x:c r="D1530" s="1" t="str">
        <x:v>Europe</x:v>
      </x:c>
      <x:c r="E1530" s="1" t="str">
        <x:v>COMPLETE</x:v>
      </x:c>
      <x:c r="F1530" s="1" t="str">
        <x:v>Late delivery</x:v>
      </x:c>
      <x:c r="G1530" s="6" t="n">
        <x:v>6</x:v>
      </x:c>
      <x:c r="H1530" s="6" t="n">
        <x:v>4</x:v>
      </x:c>
      <x:c r="I1530" s="6" t="n">
        <x:f>G1530-H1530</x:f>
        <x:v>2</x:v>
      </x:c>
      <x:c r="J1530" s="6" t="n">
        <x:f>IF(OR(E1530="CANCELED",E1530="SUSPECTED_FRAUD",F1530="Shipping canceled"),0,1)</x:f>
        <x:v>1</x:v>
      </x:c>
      <x:c r="K1530" s="6" t="n">
        <x:f>IF(G1530&gt;H1530,1,0)</x:f>
        <x:v>1</x:v>
      </x:c>
      <x:c r="L1530" s="6" t="n">
        <x:f>J1530*K1530</x:f>
        <x:v>1</x:v>
      </x:c>
    </x:row>
    <x:row r="1531">
      <x:c r="A1531" s="1" t="n">
        <x:v>12555</x:v>
      </x:c>
      <x:c r="B1531" s="5" t="d">
        <x:v>2015-07-03T00:00:00.000Z</x:v>
      </x:c>
      <x:c r="C1531" s="1" t="str">
        <x:v>Standard Class</x:v>
      </x:c>
      <x:c r="D1531" s="1" t="str">
        <x:v>Europe</x:v>
      </x:c>
      <x:c r="E1531" s="1" t="str">
        <x:v>COMPLETE</x:v>
      </x:c>
      <x:c r="F1531" s="1" t="str">
        <x:v>Late delivery</x:v>
      </x:c>
      <x:c r="G1531" s="6" t="n">
        <x:v>6</x:v>
      </x:c>
      <x:c r="H1531" s="6" t="n">
        <x:v>4</x:v>
      </x:c>
      <x:c r="I1531" s="6" t="n">
        <x:f>G1531-H1531</x:f>
        <x:v>2</x:v>
      </x:c>
      <x:c r="J1531" s="6" t="n">
        <x:f>IF(OR(E1531="CANCELED",E1531="SUSPECTED_FRAUD",F1531="Shipping canceled"),0,1)</x:f>
        <x:v>1</x:v>
      </x:c>
      <x:c r="K1531" s="6" t="n">
        <x:f>IF(G1531&gt;H1531,1,0)</x:f>
        <x:v>1</x:v>
      </x:c>
      <x:c r="L1531" s="6" t="n">
        <x:f>J1531*K1531</x:f>
        <x:v>1</x:v>
      </x:c>
    </x:row>
    <x:row r="1532">
      <x:c r="A1532" s="1" t="n">
        <x:v>12557</x:v>
      </x:c>
      <x:c r="B1532" s="5" t="d">
        <x:v>2015-07-03T00:00:00.000Z</x:v>
      </x:c>
      <x:c r="C1532" s="1" t="str">
        <x:v>Standard Class</x:v>
      </x:c>
      <x:c r="D1532" s="1" t="str">
        <x:v>Europe</x:v>
      </x:c>
      <x:c r="E1532" s="1" t="str">
        <x:v>PROCESSING</x:v>
      </x:c>
      <x:c r="F1532" s="1" t="str">
        <x:v>Advance shipping</x:v>
      </x:c>
      <x:c r="G1532" s="6" t="n">
        <x:v>3</x:v>
      </x:c>
      <x:c r="H1532" s="6" t="n">
        <x:v>4</x:v>
      </x:c>
      <x:c r="I1532" s="6" t="n">
        <x:f>G1532-H1532</x:f>
        <x:v>-1</x:v>
      </x:c>
      <x:c r="J1532" s="6" t="n">
        <x:f>IF(OR(E1532="CANCELED",E1532="SUSPECTED_FRAUD",F1532="Shipping canceled"),0,1)</x:f>
        <x:v>1</x:v>
      </x:c>
      <x:c r="K1532" s="6" t="n">
        <x:f>IF(G1532&gt;H1532,1,0)</x:f>
        <x:v>0</x:v>
      </x:c>
      <x:c r="L1532" s="6" t="n">
        <x:f>J1532*K1532</x:f>
        <x:v>0</x:v>
      </x:c>
    </x:row>
    <x:row r="1533">
      <x:c r="A1533" s="1" t="n">
        <x:v>12573</x:v>
      </x:c>
      <x:c r="B1533" s="5" t="d">
        <x:v>2015-07-03T00:00:00.000Z</x:v>
      </x:c>
      <x:c r="C1533" s="1" t="str">
        <x:v>Standard Class</x:v>
      </x:c>
      <x:c r="D1533" s="1" t="str">
        <x:v>Europe</x:v>
      </x:c>
      <x:c r="E1533" s="1" t="str">
        <x:v>ON_HOLD</x:v>
      </x:c>
      <x:c r="F1533" s="1" t="str">
        <x:v>Shipping on time</x:v>
      </x:c>
      <x:c r="G1533" s="6" t="n">
        <x:v>4</x:v>
      </x:c>
      <x:c r="H1533" s="6" t="n">
        <x:v>4</x:v>
      </x:c>
      <x:c r="I1533" s="6" t="n">
        <x:f>G1533-H1533</x:f>
        <x:v>0</x:v>
      </x:c>
      <x:c r="J1533" s="6" t="n">
        <x:f>IF(OR(E1533="CANCELED",E1533="SUSPECTED_FRAUD",F1533="Shipping canceled"),0,1)</x:f>
        <x:v>1</x:v>
      </x:c>
      <x:c r="K1533" s="6" t="n">
        <x:f>IF(G1533&gt;H1533,1,0)</x:f>
        <x:v>0</x:v>
      </x:c>
      <x:c r="L1533" s="6" t="n">
        <x:f>J1533*K1533</x:f>
        <x:v>0</x:v>
      </x:c>
    </x:row>
    <x:row r="1534">
      <x:c r="A1534" s="1" t="n">
        <x:v>12575</x:v>
      </x:c>
      <x:c r="B1534" s="5" t="d">
        <x:v>2015-07-03T00:00:00.000Z</x:v>
      </x:c>
      <x:c r="C1534" s="1" t="str">
        <x:v>Standard Class</x:v>
      </x:c>
      <x:c r="D1534" s="1" t="str">
        <x:v>Europe</x:v>
      </x:c>
      <x:c r="E1534" s="1" t="str">
        <x:v>PENDING</x:v>
      </x:c>
      <x:c r="F1534" s="1" t="str">
        <x:v>Late delivery</x:v>
      </x:c>
      <x:c r="G1534" s="6" t="n">
        <x:v>6</x:v>
      </x:c>
      <x:c r="H1534" s="6" t="n">
        <x:v>4</x:v>
      </x:c>
      <x:c r="I1534" s="6" t="n">
        <x:f>G1534-H1534</x:f>
        <x:v>2</x:v>
      </x:c>
      <x:c r="J1534" s="6" t="n">
        <x:f>IF(OR(E1534="CANCELED",E1534="SUSPECTED_FRAUD",F1534="Shipping canceled"),0,1)</x:f>
        <x:v>1</x:v>
      </x:c>
      <x:c r="K1534" s="6" t="n">
        <x:f>IF(G1534&gt;H1534,1,0)</x:f>
        <x:v>1</x:v>
      </x:c>
      <x:c r="L1534" s="6" t="n">
        <x:f>J1534*K1534</x:f>
        <x:v>1</x:v>
      </x:c>
    </x:row>
    <x:row r="1535">
      <x:c r="A1535" s="1" t="n">
        <x:v>12579</x:v>
      </x:c>
      <x:c r="B1535" s="5" t="d">
        <x:v>2015-07-03T00:00:00.000Z</x:v>
      </x:c>
      <x:c r="C1535" s="1" t="str">
        <x:v>Standard Class</x:v>
      </x:c>
      <x:c r="D1535" s="1" t="str">
        <x:v>Europe</x:v>
      </x:c>
      <x:c r="E1535" s="1" t="str">
        <x:v>COMPLETE</x:v>
      </x:c>
      <x:c r="F1535" s="1" t="str">
        <x:v>Late delivery</x:v>
      </x:c>
      <x:c r="G1535" s="6" t="n">
        <x:v>5</x:v>
      </x:c>
      <x:c r="H1535" s="6" t="n">
        <x:v>4</x:v>
      </x:c>
      <x:c r="I1535" s="6" t="n">
        <x:f>G1535-H1535</x:f>
        <x:v>1</x:v>
      </x:c>
      <x:c r="J1535" s="6" t="n">
        <x:f>IF(OR(E1535="CANCELED",E1535="SUSPECTED_FRAUD",F1535="Shipping canceled"),0,1)</x:f>
        <x:v>1</x:v>
      </x:c>
      <x:c r="K1535" s="6" t="n">
        <x:f>IF(G1535&gt;H1535,1,0)</x:f>
        <x:v>1</x:v>
      </x:c>
      <x:c r="L1535" s="6" t="n">
        <x:f>J1535*K1535</x:f>
        <x:v>1</x:v>
      </x:c>
    </x:row>
    <x:row r="1536">
      <x:c r="A1536" s="1" t="n">
        <x:v>12584</x:v>
      </x:c>
      <x:c r="B1536" s="5" t="d">
        <x:v>2015-07-03T00:00:00.000Z</x:v>
      </x:c>
      <x:c r="C1536" s="1" t="str">
        <x:v>Standard Class</x:v>
      </x:c>
      <x:c r="D1536" s="1" t="str">
        <x:v>Europe</x:v>
      </x:c>
      <x:c r="E1536" s="1" t="str">
        <x:v>PENDING</x:v>
      </x:c>
      <x:c r="F1536" s="1" t="str">
        <x:v>Late delivery</x:v>
      </x:c>
      <x:c r="G1536" s="6" t="n">
        <x:v>5</x:v>
      </x:c>
      <x:c r="H1536" s="6" t="n">
        <x:v>4</x:v>
      </x:c>
      <x:c r="I1536" s="6" t="n">
        <x:f>G1536-H1536</x:f>
        <x:v>1</x:v>
      </x:c>
      <x:c r="J1536" s="6" t="n">
        <x:f>IF(OR(E1536="CANCELED",E1536="SUSPECTED_FRAUD",F1536="Shipping canceled"),0,1)</x:f>
        <x:v>1</x:v>
      </x:c>
      <x:c r="K1536" s="6" t="n">
        <x:f>IF(G1536&gt;H1536,1,0)</x:f>
        <x:v>1</x:v>
      </x:c>
      <x:c r="L1536" s="6" t="n">
        <x:f>J1536*K1536</x:f>
        <x:v>1</x:v>
      </x:c>
    </x:row>
    <x:row r="1537">
      <x:c r="A1537" s="1" t="n">
        <x:v>12591</x:v>
      </x:c>
      <x:c r="B1537" s="5" t="d">
        <x:v>2015-07-03T00:00:00.000Z</x:v>
      </x:c>
      <x:c r="C1537" s="1" t="str">
        <x:v>First Class</x:v>
      </x:c>
      <x:c r="D1537" s="1" t="str">
        <x:v>Europe</x:v>
      </x:c>
      <x:c r="E1537" s="1" t="str">
        <x:v>PENDING_PAYMENT</x:v>
      </x:c>
      <x:c r="F1537" s="1" t="str">
        <x:v>Late delivery</x:v>
      </x:c>
      <x:c r="G1537" s="6" t="n">
        <x:v>2</x:v>
      </x:c>
      <x:c r="H1537" s="6" t="n">
        <x:v>1</x:v>
      </x:c>
      <x:c r="I1537" s="6" t="n">
        <x:f>G1537-H1537</x:f>
        <x:v>1</x:v>
      </x:c>
      <x:c r="J1537" s="6" t="n">
        <x:f>IF(OR(E1537="CANCELED",E1537="SUSPECTED_FRAUD",F1537="Shipping canceled"),0,1)</x:f>
        <x:v>1</x:v>
      </x:c>
      <x:c r="K1537" s="6" t="n">
        <x:f>IF(G1537&gt;H1537,1,0)</x:f>
        <x:v>1</x:v>
      </x:c>
      <x:c r="L1537" s="6" t="n">
        <x:f>J1537*K1537</x:f>
        <x:v>1</x:v>
      </x:c>
    </x:row>
    <x:row r="1538">
      <x:c r="A1538" s="1" t="n">
        <x:v>12595</x:v>
      </x:c>
      <x:c r="B1538" s="5" t="d">
        <x:v>2015-07-03T00:00:00.000Z</x:v>
      </x:c>
      <x:c r="C1538" s="1" t="str">
        <x:v>Standard Class</x:v>
      </x:c>
      <x:c r="D1538" s="1" t="str">
        <x:v>Europe</x:v>
      </x:c>
      <x:c r="E1538" s="1" t="str">
        <x:v>COMPLETE</x:v>
      </x:c>
      <x:c r="F1538" s="1" t="str">
        <x:v>Late delivery</x:v>
      </x:c>
      <x:c r="G1538" s="6" t="n">
        <x:v>6</x:v>
      </x:c>
      <x:c r="H1538" s="6" t="n">
        <x:v>4</x:v>
      </x:c>
      <x:c r="I1538" s="6" t="n">
        <x:f>G1538-H1538</x:f>
        <x:v>2</x:v>
      </x:c>
      <x:c r="J1538" s="6" t="n">
        <x:f>IF(OR(E1538="CANCELED",E1538="SUSPECTED_FRAUD",F1538="Shipping canceled"),0,1)</x:f>
        <x:v>1</x:v>
      </x:c>
      <x:c r="K1538" s="6" t="n">
        <x:f>IF(G1538&gt;H1538,1,0)</x:f>
        <x:v>1</x:v>
      </x:c>
      <x:c r="L1538" s="6" t="n">
        <x:f>J1538*K1538</x:f>
        <x:v>1</x:v>
      </x:c>
    </x:row>
    <x:row r="1539">
      <x:c r="A1539" s="1" t="n">
        <x:v>12605</x:v>
      </x:c>
      <x:c r="B1539" s="5" t="d">
        <x:v>2015-07-03T00:00:00.000Z</x:v>
      </x:c>
      <x:c r="C1539" s="1" t="str">
        <x:v>Standard Class</x:v>
      </x:c>
      <x:c r="D1539" s="1" t="str">
        <x:v>Europe</x:v>
      </x:c>
      <x:c r="E1539" s="1" t="str">
        <x:v>COMPLETE</x:v>
      </x:c>
      <x:c r="F1539" s="1" t="str">
        <x:v>Late delivery</x:v>
      </x:c>
      <x:c r="G1539" s="6" t="n">
        <x:v>6</x:v>
      </x:c>
      <x:c r="H1539" s="6" t="n">
        <x:v>4</x:v>
      </x:c>
      <x:c r="I1539" s="6" t="n">
        <x:f>G1539-H1539</x:f>
        <x:v>2</x:v>
      </x:c>
      <x:c r="J1539" s="6" t="n">
        <x:f>IF(OR(E1539="CANCELED",E1539="SUSPECTED_FRAUD",F1539="Shipping canceled"),0,1)</x:f>
        <x:v>1</x:v>
      </x:c>
      <x:c r="K1539" s="6" t="n">
        <x:f>IF(G1539&gt;H1539,1,0)</x:f>
        <x:v>1</x:v>
      </x:c>
      <x:c r="L1539" s="6" t="n">
        <x:f>J1539*K1539</x:f>
        <x:v>1</x:v>
      </x:c>
    </x:row>
    <x:row r="1540">
      <x:c r="A1540" s="1" t="n">
        <x:v>12613</x:v>
      </x:c>
      <x:c r="B1540" s="5" t="d">
        <x:v>2015-07-04T00:00:00.000Z</x:v>
      </x:c>
      <x:c r="C1540" s="1" t="str">
        <x:v>Second Class</x:v>
      </x:c>
      <x:c r="D1540" s="1" t="str">
        <x:v>Europe</x:v>
      </x:c>
      <x:c r="E1540" s="1" t="str">
        <x:v>COMPLETE</x:v>
      </x:c>
      <x:c r="F1540" s="1" t="str">
        <x:v>Late delivery</x:v>
      </x:c>
      <x:c r="G1540" s="6" t="n">
        <x:v>4</x:v>
      </x:c>
      <x:c r="H1540" s="6" t="n">
        <x:v>2</x:v>
      </x:c>
      <x:c r="I1540" s="6" t="n">
        <x:f>G1540-H1540</x:f>
        <x:v>2</x:v>
      </x:c>
      <x:c r="J1540" s="6" t="n">
        <x:f>IF(OR(E1540="CANCELED",E1540="SUSPECTED_FRAUD",F1540="Shipping canceled"),0,1)</x:f>
        <x:v>1</x:v>
      </x:c>
      <x:c r="K1540" s="6" t="n">
        <x:f>IF(G1540&gt;H1540,1,0)</x:f>
        <x:v>1</x:v>
      </x:c>
      <x:c r="L1540" s="6" t="n">
        <x:f>J1540*K1540</x:f>
        <x:v>1</x:v>
      </x:c>
    </x:row>
    <x:row r="1541">
      <x:c r="A1541" s="1" t="n">
        <x:v>12618</x:v>
      </x:c>
      <x:c r="B1541" s="5" t="d">
        <x:v>2015-07-04T00:00:00.000Z</x:v>
      </x:c>
      <x:c r="C1541" s="1" t="str">
        <x:v>Standard Class</x:v>
      </x:c>
      <x:c r="D1541" s="1" t="str">
        <x:v>Europe</x:v>
      </x:c>
      <x:c r="E1541" s="1" t="str">
        <x:v>ON_HOLD</x:v>
      </x:c>
      <x:c r="F1541" s="1" t="str">
        <x:v>Shipping on time</x:v>
      </x:c>
      <x:c r="G1541" s="6" t="n">
        <x:v>4</x:v>
      </x:c>
      <x:c r="H1541" s="6" t="n">
        <x:v>4</x:v>
      </x:c>
      <x:c r="I1541" s="6" t="n">
        <x:f>G1541-H1541</x:f>
        <x:v>0</x:v>
      </x:c>
      <x:c r="J1541" s="6" t="n">
        <x:f>IF(OR(E1541="CANCELED",E1541="SUSPECTED_FRAUD",F1541="Shipping canceled"),0,1)</x:f>
        <x:v>1</x:v>
      </x:c>
      <x:c r="K1541" s="6" t="n">
        <x:f>IF(G1541&gt;H1541,1,0)</x:f>
        <x:v>0</x:v>
      </x:c>
      <x:c r="L1541" s="6" t="n">
        <x:f>J1541*K1541</x:f>
        <x:v>0</x:v>
      </x:c>
    </x:row>
    <x:row r="1542">
      <x:c r="A1542" s="1" t="n">
        <x:v>12625</x:v>
      </x:c>
      <x:c r="B1542" s="5" t="d">
        <x:v>2015-07-04T00:00:00.000Z</x:v>
      </x:c>
      <x:c r="C1542" s="1" t="str">
        <x:v>Standard Class</x:v>
      </x:c>
      <x:c r="D1542" s="1" t="str">
        <x:v>Europe</x:v>
      </x:c>
      <x:c r="E1542" s="1" t="str">
        <x:v>COMPLETE</x:v>
      </x:c>
      <x:c r="F1542" s="1" t="str">
        <x:v>Late delivery</x:v>
      </x:c>
      <x:c r="G1542" s="6" t="n">
        <x:v>6</x:v>
      </x:c>
      <x:c r="H1542" s="6" t="n">
        <x:v>4</x:v>
      </x:c>
      <x:c r="I1542" s="6" t="n">
        <x:f>G1542-H1542</x:f>
        <x:v>2</x:v>
      </x:c>
      <x:c r="J1542" s="6" t="n">
        <x:f>IF(OR(E1542="CANCELED",E1542="SUSPECTED_FRAUD",F1542="Shipping canceled"),0,1)</x:f>
        <x:v>1</x:v>
      </x:c>
      <x:c r="K1542" s="6" t="n">
        <x:f>IF(G1542&gt;H1542,1,0)</x:f>
        <x:v>1</x:v>
      </x:c>
      <x:c r="L1542" s="6" t="n">
        <x:f>J1542*K1542</x:f>
        <x:v>1</x:v>
      </x:c>
    </x:row>
    <x:row r="1543">
      <x:c r="A1543" s="1" t="n">
        <x:v>12630</x:v>
      </x:c>
      <x:c r="B1543" s="5" t="d">
        <x:v>2015-07-04T00:00:00.000Z</x:v>
      </x:c>
      <x:c r="C1543" s="1" t="str">
        <x:v>Standard Class</x:v>
      </x:c>
      <x:c r="D1543" s="1" t="str">
        <x:v>Europe</x:v>
      </x:c>
      <x:c r="E1543" s="1" t="str">
        <x:v>COMPLETE</x:v>
      </x:c>
      <x:c r="F1543" s="1" t="str">
        <x:v>Late delivery</x:v>
      </x:c>
      <x:c r="G1543" s="6" t="n">
        <x:v>6</x:v>
      </x:c>
      <x:c r="H1543" s="6" t="n">
        <x:v>4</x:v>
      </x:c>
      <x:c r="I1543" s="6" t="n">
        <x:f>G1543-H1543</x:f>
        <x:v>2</x:v>
      </x:c>
      <x:c r="J1543" s="6" t="n">
        <x:f>IF(OR(E1543="CANCELED",E1543="SUSPECTED_FRAUD",F1543="Shipping canceled"),0,1)</x:f>
        <x:v>1</x:v>
      </x:c>
      <x:c r="K1543" s="6" t="n">
        <x:f>IF(G1543&gt;H1543,1,0)</x:f>
        <x:v>1</x:v>
      </x:c>
      <x:c r="L1543" s="6" t="n">
        <x:f>J1543*K1543</x:f>
        <x:v>1</x:v>
      </x:c>
    </x:row>
    <x:row r="1544">
      <x:c r="A1544" s="1" t="n">
        <x:v>12631</x:v>
      </x:c>
      <x:c r="B1544" s="5" t="d">
        <x:v>2015-07-04T00:00:00.000Z</x:v>
      </x:c>
      <x:c r="C1544" s="1" t="str">
        <x:v>First Class</x:v>
      </x:c>
      <x:c r="D1544" s="1" t="str">
        <x:v>Europe</x:v>
      </x:c>
      <x:c r="E1544" s="1" t="str">
        <x:v>COMPLETE</x:v>
      </x:c>
      <x:c r="F1544" s="1" t="str">
        <x:v>Late delivery</x:v>
      </x:c>
      <x:c r="G1544" s="6" t="n">
        <x:v>2</x:v>
      </x:c>
      <x:c r="H1544" s="6" t="n">
        <x:v>1</x:v>
      </x:c>
      <x:c r="I1544" s="6" t="n">
        <x:f>G1544-H1544</x:f>
        <x:v>1</x:v>
      </x:c>
      <x:c r="J1544" s="6" t="n">
        <x:f>IF(OR(E1544="CANCELED",E1544="SUSPECTED_FRAUD",F1544="Shipping canceled"),0,1)</x:f>
        <x:v>1</x:v>
      </x:c>
      <x:c r="K1544" s="6" t="n">
        <x:f>IF(G1544&gt;H1544,1,0)</x:f>
        <x:v>1</x:v>
      </x:c>
      <x:c r="L1544" s="6" t="n">
        <x:f>J1544*K1544</x:f>
        <x:v>1</x:v>
      </x:c>
    </x:row>
    <x:row r="1545">
      <x:c r="A1545" s="1" t="n">
        <x:v>12634</x:v>
      </x:c>
      <x:c r="B1545" s="5" t="d">
        <x:v>2015-07-04T00:00:00.000Z</x:v>
      </x:c>
      <x:c r="C1545" s="1" t="str">
        <x:v>Standard Class</x:v>
      </x:c>
      <x:c r="D1545" s="1" t="str">
        <x:v>Europe</x:v>
      </x:c>
      <x:c r="E1545" s="1" t="str">
        <x:v>PROCESSING</x:v>
      </x:c>
      <x:c r="F1545" s="1" t="str">
        <x:v>Late delivery</x:v>
      </x:c>
      <x:c r="G1545" s="6" t="n">
        <x:v>5</x:v>
      </x:c>
      <x:c r="H1545" s="6" t="n">
        <x:v>4</x:v>
      </x:c>
      <x:c r="I1545" s="6" t="n">
        <x:f>G1545-H1545</x:f>
        <x:v>1</x:v>
      </x:c>
      <x:c r="J1545" s="6" t="n">
        <x:f>IF(OR(E1545="CANCELED",E1545="SUSPECTED_FRAUD",F1545="Shipping canceled"),0,1)</x:f>
        <x:v>1</x:v>
      </x:c>
      <x:c r="K1545" s="6" t="n">
        <x:f>IF(G1545&gt;H1545,1,0)</x:f>
        <x:v>1</x:v>
      </x:c>
      <x:c r="L1545" s="6" t="n">
        <x:f>J1545*K1545</x:f>
        <x:v>1</x:v>
      </x:c>
    </x:row>
    <x:row r="1546">
      <x:c r="A1546" s="1" t="n">
        <x:v>12639</x:v>
      </x:c>
      <x:c r="B1546" s="5" t="d">
        <x:v>2015-07-04T00:00:00.000Z</x:v>
      </x:c>
      <x:c r="C1546" s="1" t="str">
        <x:v>Standard Class</x:v>
      </x:c>
      <x:c r="D1546" s="1" t="str">
        <x:v>Europe</x:v>
      </x:c>
      <x:c r="E1546" s="1" t="str">
        <x:v>CLOSED</x:v>
      </x:c>
      <x:c r="F1546" s="1" t="str">
        <x:v>Late delivery</x:v>
      </x:c>
      <x:c r="G1546" s="6" t="n">
        <x:v>5</x:v>
      </x:c>
      <x:c r="H1546" s="6" t="n">
        <x:v>4</x:v>
      </x:c>
      <x:c r="I1546" s="6" t="n">
        <x:f>G1546-H1546</x:f>
        <x:v>1</x:v>
      </x:c>
      <x:c r="J1546" s="6" t="n">
        <x:f>IF(OR(E1546="CANCELED",E1546="SUSPECTED_FRAUD",F1546="Shipping canceled"),0,1)</x:f>
        <x:v>1</x:v>
      </x:c>
      <x:c r="K1546" s="6" t="n">
        <x:f>IF(G1546&gt;H1546,1,0)</x:f>
        <x:v>1</x:v>
      </x:c>
      <x:c r="L1546" s="6" t="n">
        <x:f>J1546*K1546</x:f>
        <x:v>1</x:v>
      </x:c>
    </x:row>
    <x:row r="1547">
      <x:c r="A1547" s="1" t="n">
        <x:v>12661</x:v>
      </x:c>
      <x:c r="B1547" s="5" t="d">
        <x:v>2015-07-04T00:00:00.000Z</x:v>
      </x:c>
      <x:c r="C1547" s="1" t="str">
        <x:v>Standard Class</x:v>
      </x:c>
      <x:c r="D1547" s="1" t="str">
        <x:v>Europe</x:v>
      </x:c>
      <x:c r="E1547" s="1" t="str">
        <x:v>PENDING</x:v>
      </x:c>
      <x:c r="F1547" s="1" t="str">
        <x:v>Advance shipping</x:v>
      </x:c>
      <x:c r="G1547" s="6" t="n">
        <x:v>2</x:v>
      </x:c>
      <x:c r="H1547" s="6" t="n">
        <x:v>4</x:v>
      </x:c>
      <x:c r="I1547" s="6" t="n">
        <x:f>G1547-H1547</x:f>
        <x:v>-2</x:v>
      </x:c>
      <x:c r="J1547" s="6" t="n">
        <x:f>IF(OR(E1547="CANCELED",E1547="SUSPECTED_FRAUD",F1547="Shipping canceled"),0,1)</x:f>
        <x:v>1</x:v>
      </x:c>
      <x:c r="K1547" s="6" t="n">
        <x:f>IF(G1547&gt;H1547,1,0)</x:f>
        <x:v>0</x:v>
      </x:c>
      <x:c r="L1547" s="6" t="n">
        <x:f>J1547*K1547</x:f>
        <x:v>0</x:v>
      </x:c>
    </x:row>
    <x:row r="1548">
      <x:c r="A1548" s="1" t="n">
        <x:v>12666</x:v>
      </x:c>
      <x:c r="B1548" s="5" t="d">
        <x:v>2015-07-04T00:00:00.000Z</x:v>
      </x:c>
      <x:c r="C1548" s="1" t="str">
        <x:v>Standard Class</x:v>
      </x:c>
      <x:c r="D1548" s="1" t="str">
        <x:v>Europe</x:v>
      </x:c>
      <x:c r="E1548" s="1" t="str">
        <x:v>CLOSED</x:v>
      </x:c>
      <x:c r="F1548" s="1" t="str">
        <x:v>Advance shipping</x:v>
      </x:c>
      <x:c r="G1548" s="6" t="n">
        <x:v>2</x:v>
      </x:c>
      <x:c r="H1548" s="6" t="n">
        <x:v>4</x:v>
      </x:c>
      <x:c r="I1548" s="6" t="n">
        <x:f>G1548-H1548</x:f>
        <x:v>-2</x:v>
      </x:c>
      <x:c r="J1548" s="6" t="n">
        <x:f>IF(OR(E1548="CANCELED",E1548="SUSPECTED_FRAUD",F1548="Shipping canceled"),0,1)</x:f>
        <x:v>1</x:v>
      </x:c>
      <x:c r="K1548" s="6" t="n">
        <x:f>IF(G1548&gt;H1548,1,0)</x:f>
        <x:v>0</x:v>
      </x:c>
      <x:c r="L1548" s="6" t="n">
        <x:f>J1548*K1548</x:f>
        <x:v>0</x:v>
      </x:c>
    </x:row>
    <x:row r="1549">
      <x:c r="A1549" s="1" t="n">
        <x:v>12672</x:v>
      </x:c>
      <x:c r="B1549" s="5" t="d">
        <x:v>2015-07-04T00:00:00.000Z</x:v>
      </x:c>
      <x:c r="C1549" s="1" t="str">
        <x:v>Standard Class</x:v>
      </x:c>
      <x:c r="D1549" s="1" t="str">
        <x:v>Europe</x:v>
      </x:c>
      <x:c r="E1549" s="1" t="str">
        <x:v>COMPLETE</x:v>
      </x:c>
      <x:c r="F1549" s="1" t="str">
        <x:v>Advance shipping</x:v>
      </x:c>
      <x:c r="G1549" s="6" t="n">
        <x:v>3</x:v>
      </x:c>
      <x:c r="H1549" s="6" t="n">
        <x:v>4</x:v>
      </x:c>
      <x:c r="I1549" s="6" t="n">
        <x:f>G1549-H1549</x:f>
        <x:v>-1</x:v>
      </x:c>
      <x:c r="J1549" s="6" t="n">
        <x:f>IF(OR(E1549="CANCELED",E1549="SUSPECTED_FRAUD",F1549="Shipping canceled"),0,1)</x:f>
        <x:v>1</x:v>
      </x:c>
      <x:c r="K1549" s="6" t="n">
        <x:f>IF(G1549&gt;H1549,1,0)</x:f>
        <x:v>0</x:v>
      </x:c>
      <x:c r="L1549" s="6" t="n">
        <x:f>J1549*K1549</x:f>
        <x:v>0</x:v>
      </x:c>
    </x:row>
    <x:row r="1550">
      <x:c r="A1550" s="1" t="n">
        <x:v>12675</x:v>
      </x:c>
      <x:c r="B1550" s="5" t="d">
        <x:v>2015-07-05T00:00:00.000Z</x:v>
      </x:c>
      <x:c r="C1550" s="1" t="str">
        <x:v>First Class</x:v>
      </x:c>
      <x:c r="D1550" s="1" t="str">
        <x:v>Europe</x:v>
      </x:c>
      <x:c r="E1550" s="1" t="str">
        <x:v>CLOSED</x:v>
      </x:c>
      <x:c r="F1550" s="1" t="str">
        <x:v>Late delivery</x:v>
      </x:c>
      <x:c r="G1550" s="6" t="n">
        <x:v>2</x:v>
      </x:c>
      <x:c r="H1550" s="6" t="n">
        <x:v>1</x:v>
      </x:c>
      <x:c r="I1550" s="6" t="n">
        <x:f>G1550-H1550</x:f>
        <x:v>1</x:v>
      </x:c>
      <x:c r="J1550" s="6" t="n">
        <x:f>IF(OR(E1550="CANCELED",E1550="SUSPECTED_FRAUD",F1550="Shipping canceled"),0,1)</x:f>
        <x:v>1</x:v>
      </x:c>
      <x:c r="K1550" s="6" t="n">
        <x:f>IF(G1550&gt;H1550,1,0)</x:f>
        <x:v>1</x:v>
      </x:c>
      <x:c r="L1550" s="6" t="n">
        <x:f>J1550*K1550</x:f>
        <x:v>1</x:v>
      </x:c>
    </x:row>
    <x:row r="1551">
      <x:c r="A1551" s="1" t="n">
        <x:v>12684</x:v>
      </x:c>
      <x:c r="B1551" s="5" t="d">
        <x:v>2015-07-05T00:00:00.000Z</x:v>
      </x:c>
      <x:c r="C1551" s="1" t="str">
        <x:v>Standard Class</x:v>
      </x:c>
      <x:c r="D1551" s="1" t="str">
        <x:v>Europe</x:v>
      </x:c>
      <x:c r="E1551" s="1" t="str">
        <x:v>PROCESSING</x:v>
      </x:c>
      <x:c r="F1551" s="1" t="str">
        <x:v>Late delivery</x:v>
      </x:c>
      <x:c r="G1551" s="6" t="n">
        <x:v>5</x:v>
      </x:c>
      <x:c r="H1551" s="6" t="n">
        <x:v>4</x:v>
      </x:c>
      <x:c r="I1551" s="6" t="n">
        <x:f>G1551-H1551</x:f>
        <x:v>1</x:v>
      </x:c>
      <x:c r="J1551" s="6" t="n">
        <x:f>IF(OR(E1551="CANCELED",E1551="SUSPECTED_FRAUD",F1551="Shipping canceled"),0,1)</x:f>
        <x:v>1</x:v>
      </x:c>
      <x:c r="K1551" s="6" t="n">
        <x:f>IF(G1551&gt;H1551,1,0)</x:f>
        <x:v>1</x:v>
      </x:c>
      <x:c r="L1551" s="6" t="n">
        <x:f>J1551*K1551</x:f>
        <x:v>1</x:v>
      </x:c>
    </x:row>
    <x:row r="1552">
      <x:c r="A1552" s="1" t="n">
        <x:v>12685</x:v>
      </x:c>
      <x:c r="B1552" s="5" t="d">
        <x:v>2015-07-05T00:00:00.000Z</x:v>
      </x:c>
      <x:c r="C1552" s="1" t="str">
        <x:v>Standard Class</x:v>
      </x:c>
      <x:c r="D1552" s="1" t="str">
        <x:v>Europe</x:v>
      </x:c>
      <x:c r="E1552" s="1" t="str">
        <x:v>COMPLETE</x:v>
      </x:c>
      <x:c r="F1552" s="1" t="str">
        <x:v>Late delivery</x:v>
      </x:c>
      <x:c r="G1552" s="6" t="n">
        <x:v>6</x:v>
      </x:c>
      <x:c r="H1552" s="6" t="n">
        <x:v>4</x:v>
      </x:c>
      <x:c r="I1552" s="6" t="n">
        <x:f>G1552-H1552</x:f>
        <x:v>2</x:v>
      </x:c>
      <x:c r="J1552" s="6" t="n">
        <x:f>IF(OR(E1552="CANCELED",E1552="SUSPECTED_FRAUD",F1552="Shipping canceled"),0,1)</x:f>
        <x:v>1</x:v>
      </x:c>
      <x:c r="K1552" s="6" t="n">
        <x:f>IF(G1552&gt;H1552,1,0)</x:f>
        <x:v>1</x:v>
      </x:c>
      <x:c r="L1552" s="6" t="n">
        <x:f>J1552*K1552</x:f>
        <x:v>1</x:v>
      </x:c>
    </x:row>
    <x:row r="1553">
      <x:c r="A1553" s="1" t="n">
        <x:v>12691</x:v>
      </x:c>
      <x:c r="B1553" s="5" t="d">
        <x:v>2015-07-05T00:00:00.000Z</x:v>
      </x:c>
      <x:c r="C1553" s="1" t="str">
        <x:v>Standard Class</x:v>
      </x:c>
      <x:c r="D1553" s="1" t="str">
        <x:v>Europe</x:v>
      </x:c>
      <x:c r="E1553" s="1" t="str">
        <x:v>CLOSED</x:v>
      </x:c>
      <x:c r="F1553" s="1" t="str">
        <x:v>Advance shipping</x:v>
      </x:c>
      <x:c r="G1553" s="6" t="n">
        <x:v>2</x:v>
      </x:c>
      <x:c r="H1553" s="6" t="n">
        <x:v>4</x:v>
      </x:c>
      <x:c r="I1553" s="6" t="n">
        <x:f>G1553-H1553</x:f>
        <x:v>-2</x:v>
      </x:c>
      <x:c r="J1553" s="6" t="n">
        <x:f>IF(OR(E1553="CANCELED",E1553="SUSPECTED_FRAUD",F1553="Shipping canceled"),0,1)</x:f>
        <x:v>1</x:v>
      </x:c>
      <x:c r="K1553" s="6" t="n">
        <x:f>IF(G1553&gt;H1553,1,0)</x:f>
        <x:v>0</x:v>
      </x:c>
      <x:c r="L1553" s="6" t="n">
        <x:f>J1553*K1553</x:f>
        <x:v>0</x:v>
      </x:c>
    </x:row>
    <x:row r="1554">
      <x:c r="A1554" s="1" t="n">
        <x:v>12698</x:v>
      </x:c>
      <x:c r="B1554" s="5" t="d">
        <x:v>2015-07-05T00:00:00.000Z</x:v>
      </x:c>
      <x:c r="C1554" s="1" t="str">
        <x:v>Second Class</x:v>
      </x:c>
      <x:c r="D1554" s="1" t="str">
        <x:v>Europe</x:v>
      </x:c>
      <x:c r="E1554" s="1" t="str">
        <x:v>COMPLETE</x:v>
      </x:c>
      <x:c r="F1554" s="1" t="str">
        <x:v>Late delivery</x:v>
      </x:c>
      <x:c r="G1554" s="6" t="n">
        <x:v>4</x:v>
      </x:c>
      <x:c r="H1554" s="6" t="n">
        <x:v>2</x:v>
      </x:c>
      <x:c r="I1554" s="6" t="n">
        <x:f>G1554-H1554</x:f>
        <x:v>2</x:v>
      </x:c>
      <x:c r="J1554" s="6" t="n">
        <x:f>IF(OR(E1554="CANCELED",E1554="SUSPECTED_FRAUD",F1554="Shipping canceled"),0,1)</x:f>
        <x:v>1</x:v>
      </x:c>
      <x:c r="K1554" s="6" t="n">
        <x:f>IF(G1554&gt;H1554,1,0)</x:f>
        <x:v>1</x:v>
      </x:c>
      <x:c r="L1554" s="6" t="n">
        <x:f>J1554*K1554</x:f>
        <x:v>1</x:v>
      </x:c>
    </x:row>
    <x:row r="1555">
      <x:c r="A1555" s="1" t="n">
        <x:v>12699</x:v>
      </x:c>
      <x:c r="B1555" s="5" t="d">
        <x:v>2015-07-05T00:00:00.000Z</x:v>
      </x:c>
      <x:c r="C1555" s="1" t="str">
        <x:v>First Class</x:v>
      </x:c>
      <x:c r="D1555" s="1" t="str">
        <x:v>Europe</x:v>
      </x:c>
      <x:c r="E1555" s="1" t="str">
        <x:v>PENDING_PAYMENT</x:v>
      </x:c>
      <x:c r="F1555" s="1" t="str">
        <x:v>Late delivery</x:v>
      </x:c>
      <x:c r="G1555" s="6" t="n">
        <x:v>2</x:v>
      </x:c>
      <x:c r="H1555" s="6" t="n">
        <x:v>1</x:v>
      </x:c>
      <x:c r="I1555" s="6" t="n">
        <x:f>G1555-H1555</x:f>
        <x:v>1</x:v>
      </x:c>
      <x:c r="J1555" s="6" t="n">
        <x:f>IF(OR(E1555="CANCELED",E1555="SUSPECTED_FRAUD",F1555="Shipping canceled"),0,1)</x:f>
        <x:v>1</x:v>
      </x:c>
      <x:c r="K1555" s="6" t="n">
        <x:f>IF(G1555&gt;H1555,1,0)</x:f>
        <x:v>1</x:v>
      </x:c>
      <x:c r="L1555" s="6" t="n">
        <x:f>J1555*K1555</x:f>
        <x:v>1</x:v>
      </x:c>
    </x:row>
    <x:row r="1556">
      <x:c r="A1556" s="1" t="n">
        <x:v>12718</x:v>
      </x:c>
      <x:c r="B1556" s="5" t="d">
        <x:v>2015-07-05T00:00:00.000Z</x:v>
      </x:c>
      <x:c r="C1556" s="1" t="str">
        <x:v>Standard Class</x:v>
      </x:c>
      <x:c r="D1556" s="1" t="str">
        <x:v>Europe</x:v>
      </x:c>
      <x:c r="E1556" s="1" t="str">
        <x:v>COMPLETE</x:v>
      </x:c>
      <x:c r="F1556" s="1" t="str">
        <x:v>Shipping on time</x:v>
      </x:c>
      <x:c r="G1556" s="6" t="n">
        <x:v>4</x:v>
      </x:c>
      <x:c r="H1556" s="6" t="n">
        <x:v>4</x:v>
      </x:c>
      <x:c r="I1556" s="6" t="n">
        <x:f>G1556-H1556</x:f>
        <x:v>0</x:v>
      </x:c>
      <x:c r="J1556" s="6" t="n">
        <x:f>IF(OR(E1556="CANCELED",E1556="SUSPECTED_FRAUD",F1556="Shipping canceled"),0,1)</x:f>
        <x:v>1</x:v>
      </x:c>
      <x:c r="K1556" s="6" t="n">
        <x:f>IF(G1556&gt;H1556,1,0)</x:f>
        <x:v>0</x:v>
      </x:c>
      <x:c r="L1556" s="6" t="n">
        <x:f>J1556*K1556</x:f>
        <x:v>0</x:v>
      </x:c>
    </x:row>
    <x:row r="1557">
      <x:c r="A1557" s="1" t="n">
        <x:v>12725</x:v>
      </x:c>
      <x:c r="B1557" s="5" t="d">
        <x:v>2015-07-05T00:00:00.000Z</x:v>
      </x:c>
      <x:c r="C1557" s="1" t="str">
        <x:v>Standard Class</x:v>
      </x:c>
      <x:c r="D1557" s="1" t="str">
        <x:v>Europe</x:v>
      </x:c>
      <x:c r="E1557" s="1" t="str">
        <x:v>COMPLETE</x:v>
      </x:c>
      <x:c r="F1557" s="1" t="str">
        <x:v>Late delivery</x:v>
      </x:c>
      <x:c r="G1557" s="6" t="n">
        <x:v>6</x:v>
      </x:c>
      <x:c r="H1557" s="6" t="n">
        <x:v>4</x:v>
      </x:c>
      <x:c r="I1557" s="6" t="n">
        <x:f>G1557-H1557</x:f>
        <x:v>2</x:v>
      </x:c>
      <x:c r="J1557" s="6" t="n">
        <x:f>IF(OR(E1557="CANCELED",E1557="SUSPECTED_FRAUD",F1557="Shipping canceled"),0,1)</x:f>
        <x:v>1</x:v>
      </x:c>
      <x:c r="K1557" s="6" t="n">
        <x:f>IF(G1557&gt;H1557,1,0)</x:f>
        <x:v>1</x:v>
      </x:c>
      <x:c r="L1557" s="6" t="n">
        <x:f>J1557*K1557</x:f>
        <x:v>1</x:v>
      </x:c>
    </x:row>
    <x:row r="1558">
      <x:c r="A1558" s="1" t="n">
        <x:v>12743</x:v>
      </x:c>
      <x:c r="B1558" s="5" t="d">
        <x:v>2015-07-06T00:00:00.000Z</x:v>
      </x:c>
      <x:c r="C1558" s="1" t="str">
        <x:v>Standard Class</x:v>
      </x:c>
      <x:c r="D1558" s="1" t="str">
        <x:v>Europe</x:v>
      </x:c>
      <x:c r="E1558" s="1" t="str">
        <x:v>COMPLETE</x:v>
      </x:c>
      <x:c r="F1558" s="1" t="str">
        <x:v>Shipping on time</x:v>
      </x:c>
      <x:c r="G1558" s="6" t="n">
        <x:v>4</x:v>
      </x:c>
      <x:c r="H1558" s="6" t="n">
        <x:v>4</x:v>
      </x:c>
      <x:c r="I1558" s="6" t="n">
        <x:f>G1558-H1558</x:f>
        <x:v>0</x:v>
      </x:c>
      <x:c r="J1558" s="6" t="n">
        <x:f>IF(OR(E1558="CANCELED",E1558="SUSPECTED_FRAUD",F1558="Shipping canceled"),0,1)</x:f>
        <x:v>1</x:v>
      </x:c>
      <x:c r="K1558" s="6" t="n">
        <x:f>IF(G1558&gt;H1558,1,0)</x:f>
        <x:v>0</x:v>
      </x:c>
      <x:c r="L1558" s="6" t="n">
        <x:f>J1558*K1558</x:f>
        <x:v>0</x:v>
      </x:c>
    </x:row>
    <x:row r="1559">
      <x:c r="A1559" s="1" t="n">
        <x:v>12764</x:v>
      </x:c>
      <x:c r="B1559" s="5" t="d">
        <x:v>2015-07-06T00:00:00.000Z</x:v>
      </x:c>
      <x:c r="C1559" s="1" t="str">
        <x:v>Standard Class</x:v>
      </x:c>
      <x:c r="D1559" s="1" t="str">
        <x:v>Europe</x:v>
      </x:c>
      <x:c r="E1559" s="1" t="str">
        <x:v>COMPLETE</x:v>
      </x:c>
      <x:c r="F1559" s="1" t="str">
        <x:v>Late delivery</x:v>
      </x:c>
      <x:c r="G1559" s="6" t="n">
        <x:v>5</x:v>
      </x:c>
      <x:c r="H1559" s="6" t="n">
        <x:v>4</x:v>
      </x:c>
      <x:c r="I1559" s="6" t="n">
        <x:f>G1559-H1559</x:f>
        <x:v>1</x:v>
      </x:c>
      <x:c r="J1559" s="6" t="n">
        <x:f>IF(OR(E1559="CANCELED",E1559="SUSPECTED_FRAUD",F1559="Shipping canceled"),0,1)</x:f>
        <x:v>1</x:v>
      </x:c>
      <x:c r="K1559" s="6" t="n">
        <x:f>IF(G1559&gt;H1559,1,0)</x:f>
        <x:v>1</x:v>
      </x:c>
      <x:c r="L1559" s="6" t="n">
        <x:f>J1559*K1559</x:f>
        <x:v>1</x:v>
      </x:c>
    </x:row>
    <x:row r="1560">
      <x:c r="A1560" s="1" t="n">
        <x:v>12766</x:v>
      </x:c>
      <x:c r="B1560" s="5" t="d">
        <x:v>2015-07-06T00:00:00.000Z</x:v>
      </x:c>
      <x:c r="C1560" s="1" t="str">
        <x:v>Standard Class</x:v>
      </x:c>
      <x:c r="D1560" s="1" t="str">
        <x:v>Europe</x:v>
      </x:c>
      <x:c r="E1560" s="1" t="str">
        <x:v>COMPLETE</x:v>
      </x:c>
      <x:c r="F1560" s="1" t="str">
        <x:v>Advance shipping</x:v>
      </x:c>
      <x:c r="G1560" s="6" t="n">
        <x:v>2</x:v>
      </x:c>
      <x:c r="H1560" s="6" t="n">
        <x:v>4</x:v>
      </x:c>
      <x:c r="I1560" s="6" t="n">
        <x:f>G1560-H1560</x:f>
        <x:v>-2</x:v>
      </x:c>
      <x:c r="J1560" s="6" t="n">
        <x:f>IF(OR(E1560="CANCELED",E1560="SUSPECTED_FRAUD",F1560="Shipping canceled"),0,1)</x:f>
        <x:v>1</x:v>
      </x:c>
      <x:c r="K1560" s="6" t="n">
        <x:f>IF(G1560&gt;H1560,1,0)</x:f>
        <x:v>0</x:v>
      </x:c>
      <x:c r="L1560" s="6" t="n">
        <x:f>J1560*K1560</x:f>
        <x:v>0</x:v>
      </x:c>
    </x:row>
    <x:row r="1561">
      <x:c r="A1561" s="1" t="n">
        <x:v>12774</x:v>
      </x:c>
      <x:c r="B1561" s="5" t="d">
        <x:v>2015-07-06T00:00:00.000Z</x:v>
      </x:c>
      <x:c r="C1561" s="1" t="str">
        <x:v>Standard Class</x:v>
      </x:c>
      <x:c r="D1561" s="1" t="str">
        <x:v>Europe</x:v>
      </x:c>
      <x:c r="E1561" s="1" t="str">
        <x:v>ON_HOLD</x:v>
      </x:c>
      <x:c r="F1561" s="1" t="str">
        <x:v>Late delivery</x:v>
      </x:c>
      <x:c r="G1561" s="6" t="n">
        <x:v>5</x:v>
      </x:c>
      <x:c r="H1561" s="6" t="n">
        <x:v>4</x:v>
      </x:c>
      <x:c r="I1561" s="6" t="n">
        <x:f>G1561-H1561</x:f>
        <x:v>1</x:v>
      </x:c>
      <x:c r="J1561" s="6" t="n">
        <x:f>IF(OR(E1561="CANCELED",E1561="SUSPECTED_FRAUD",F1561="Shipping canceled"),0,1)</x:f>
        <x:v>1</x:v>
      </x:c>
      <x:c r="K1561" s="6" t="n">
        <x:f>IF(G1561&gt;H1561,1,0)</x:f>
        <x:v>1</x:v>
      </x:c>
      <x:c r="L1561" s="6" t="n">
        <x:f>J1561*K1561</x:f>
        <x:v>1</x:v>
      </x:c>
    </x:row>
    <x:row r="1562">
      <x:c r="A1562" s="1" t="n">
        <x:v>12776</x:v>
      </x:c>
      <x:c r="B1562" s="5" t="d">
        <x:v>2015-07-06T00:00:00.000Z</x:v>
      </x:c>
      <x:c r="C1562" s="1" t="str">
        <x:v>Standard Class</x:v>
      </x:c>
      <x:c r="D1562" s="1" t="str">
        <x:v>Europe</x:v>
      </x:c>
      <x:c r="E1562" s="1" t="str">
        <x:v>ON_HOLD</x:v>
      </x:c>
      <x:c r="F1562" s="1" t="str">
        <x:v>Advance shipping</x:v>
      </x:c>
      <x:c r="G1562" s="6" t="n">
        <x:v>2</x:v>
      </x:c>
      <x:c r="H1562" s="6" t="n">
        <x:v>4</x:v>
      </x:c>
      <x:c r="I1562" s="6" t="n">
        <x:f>G1562-H1562</x:f>
        <x:v>-2</x:v>
      </x:c>
      <x:c r="J1562" s="6" t="n">
        <x:f>IF(OR(E1562="CANCELED",E1562="SUSPECTED_FRAUD",F1562="Shipping canceled"),0,1)</x:f>
        <x:v>1</x:v>
      </x:c>
      <x:c r="K1562" s="6" t="n">
        <x:f>IF(G1562&gt;H1562,1,0)</x:f>
        <x:v>0</x:v>
      </x:c>
      <x:c r="L1562" s="6" t="n">
        <x:f>J1562*K1562</x:f>
        <x:v>0</x:v>
      </x:c>
    </x:row>
    <x:row r="1563">
      <x:c r="A1563" s="1" t="n">
        <x:v>12778</x:v>
      </x:c>
      <x:c r="B1563" s="5" t="d">
        <x:v>2015-07-06T00:00:00.000Z</x:v>
      </x:c>
      <x:c r="C1563" s="1" t="str">
        <x:v>Standard Class</x:v>
      </x:c>
      <x:c r="D1563" s="1" t="str">
        <x:v>Europe</x:v>
      </x:c>
      <x:c r="E1563" s="1" t="str">
        <x:v>PENDING_PAYMENT</x:v>
      </x:c>
      <x:c r="F1563" s="1" t="str">
        <x:v>Shipping on time</x:v>
      </x:c>
      <x:c r="G1563" s="6" t="n">
        <x:v>4</x:v>
      </x:c>
      <x:c r="H1563" s="6" t="n">
        <x:v>4</x:v>
      </x:c>
      <x:c r="I1563" s="6" t="n">
        <x:f>G1563-H1563</x:f>
        <x:v>0</x:v>
      </x:c>
      <x:c r="J1563" s="6" t="n">
        <x:f>IF(OR(E1563="CANCELED",E1563="SUSPECTED_FRAUD",F1563="Shipping canceled"),0,1)</x:f>
        <x:v>1</x:v>
      </x:c>
      <x:c r="K1563" s="6" t="n">
        <x:f>IF(G1563&gt;H1563,1,0)</x:f>
        <x:v>0</x:v>
      </x:c>
      <x:c r="L1563" s="6" t="n">
        <x:f>J1563*K1563</x:f>
        <x:v>0</x:v>
      </x:c>
    </x:row>
    <x:row r="1564">
      <x:c r="A1564" s="1" t="n">
        <x:v>12790</x:v>
      </x:c>
      <x:c r="B1564" s="5" t="d">
        <x:v>2015-07-06T00:00:00.000Z</x:v>
      </x:c>
      <x:c r="C1564" s="1" t="str">
        <x:v>Standard Class</x:v>
      </x:c>
      <x:c r="D1564" s="1" t="str">
        <x:v>Europe</x:v>
      </x:c>
      <x:c r="E1564" s="1" t="str">
        <x:v>PENDING</x:v>
      </x:c>
      <x:c r="F1564" s="1" t="str">
        <x:v>Late delivery</x:v>
      </x:c>
      <x:c r="G1564" s="6" t="n">
        <x:v>6</x:v>
      </x:c>
      <x:c r="H1564" s="6" t="n">
        <x:v>4</x:v>
      </x:c>
      <x:c r="I1564" s="6" t="n">
        <x:f>G1564-H1564</x:f>
        <x:v>2</x:v>
      </x:c>
      <x:c r="J1564" s="6" t="n">
        <x:f>IF(OR(E1564="CANCELED",E1564="SUSPECTED_FRAUD",F1564="Shipping canceled"),0,1)</x:f>
        <x:v>1</x:v>
      </x:c>
      <x:c r="K1564" s="6" t="n">
        <x:f>IF(G1564&gt;H1564,1,0)</x:f>
        <x:v>1</x:v>
      </x:c>
      <x:c r="L1564" s="6" t="n">
        <x:f>J1564*K1564</x:f>
        <x:v>1</x:v>
      </x:c>
    </x:row>
    <x:row r="1565">
      <x:c r="A1565" s="1" t="n">
        <x:v>12791</x:v>
      </x:c>
      <x:c r="B1565" s="5" t="d">
        <x:v>2015-07-06T00:00:00.000Z</x:v>
      </x:c>
      <x:c r="C1565" s="1" t="str">
        <x:v>Standard Class</x:v>
      </x:c>
      <x:c r="D1565" s="1" t="str">
        <x:v>Europe</x:v>
      </x:c>
      <x:c r="E1565" s="1" t="str">
        <x:v>ON_HOLD</x:v>
      </x:c>
      <x:c r="F1565" s="1" t="str">
        <x:v>Advance shipping</x:v>
      </x:c>
      <x:c r="G1565" s="6" t="n">
        <x:v>2</x:v>
      </x:c>
      <x:c r="H1565" s="6" t="n">
        <x:v>4</x:v>
      </x:c>
      <x:c r="I1565" s="6" t="n">
        <x:f>G1565-H1565</x:f>
        <x:v>-2</x:v>
      </x:c>
      <x:c r="J1565" s="6" t="n">
        <x:f>IF(OR(E1565="CANCELED",E1565="SUSPECTED_FRAUD",F1565="Shipping canceled"),0,1)</x:f>
        <x:v>1</x:v>
      </x:c>
      <x:c r="K1565" s="6" t="n">
        <x:f>IF(G1565&gt;H1565,1,0)</x:f>
        <x:v>0</x:v>
      </x:c>
      <x:c r="L1565" s="6" t="n">
        <x:f>J1565*K1565</x:f>
        <x:v>0</x:v>
      </x:c>
    </x:row>
    <x:row r="1566">
      <x:c r="A1566" s="1" t="n">
        <x:v>12804</x:v>
      </x:c>
      <x:c r="B1566" s="5" t="d">
        <x:v>2015-07-06T00:00:00.000Z</x:v>
      </x:c>
      <x:c r="C1566" s="1" t="str">
        <x:v>Second Class</x:v>
      </x:c>
      <x:c r="D1566" s="1" t="str">
        <x:v>Europe</x:v>
      </x:c>
      <x:c r="E1566" s="1" t="str">
        <x:v>COMPLETE</x:v>
      </x:c>
      <x:c r="F1566" s="1" t="str">
        <x:v>Late delivery</x:v>
      </x:c>
      <x:c r="G1566" s="6" t="n">
        <x:v>5</x:v>
      </x:c>
      <x:c r="H1566" s="6" t="n">
        <x:v>2</x:v>
      </x:c>
      <x:c r="I1566" s="6" t="n">
        <x:f>G1566-H1566</x:f>
        <x:v>3</x:v>
      </x:c>
      <x:c r="J1566" s="6" t="n">
        <x:f>IF(OR(E1566="CANCELED",E1566="SUSPECTED_FRAUD",F1566="Shipping canceled"),0,1)</x:f>
        <x:v>1</x:v>
      </x:c>
      <x:c r="K1566" s="6" t="n">
        <x:f>IF(G1566&gt;H1566,1,0)</x:f>
        <x:v>1</x:v>
      </x:c>
      <x:c r="L1566" s="6" t="n">
        <x:f>J1566*K1566</x:f>
        <x:v>1</x:v>
      </x:c>
    </x:row>
    <x:row r="1567">
      <x:c r="A1567" s="1" t="n">
        <x:v>12817</x:v>
      </x:c>
      <x:c r="B1567" s="5" t="d">
        <x:v>2015-07-07T00:00:00.000Z</x:v>
      </x:c>
      <x:c r="C1567" s="1" t="str">
        <x:v>Standard Class</x:v>
      </x:c>
      <x:c r="D1567" s="1" t="str">
        <x:v>Europe</x:v>
      </x:c>
      <x:c r="E1567" s="1" t="str">
        <x:v>COMPLETE</x:v>
      </x:c>
      <x:c r="F1567" s="1" t="str">
        <x:v>Advance shipping</x:v>
      </x:c>
      <x:c r="G1567" s="6" t="n">
        <x:v>3</x:v>
      </x:c>
      <x:c r="H1567" s="6" t="n">
        <x:v>4</x:v>
      </x:c>
      <x:c r="I1567" s="6" t="n">
        <x:f>G1567-H1567</x:f>
        <x:v>-1</x:v>
      </x:c>
      <x:c r="J1567" s="6" t="n">
        <x:f>IF(OR(E1567="CANCELED",E1567="SUSPECTED_FRAUD",F1567="Shipping canceled"),0,1)</x:f>
        <x:v>1</x:v>
      </x:c>
      <x:c r="K1567" s="6" t="n">
        <x:f>IF(G1567&gt;H1567,1,0)</x:f>
        <x:v>0</x:v>
      </x:c>
      <x:c r="L1567" s="6" t="n">
        <x:f>J1567*K1567</x:f>
        <x:v>0</x:v>
      </x:c>
    </x:row>
    <x:row r="1568">
      <x:c r="A1568" s="1" t="n">
        <x:v>12824</x:v>
      </x:c>
      <x:c r="B1568" s="5" t="d">
        <x:v>2015-07-07T00:00:00.000Z</x:v>
      </x:c>
      <x:c r="C1568" s="1" t="str">
        <x:v>Second Class</x:v>
      </x:c>
      <x:c r="D1568" s="1" t="str">
        <x:v>Europe</x:v>
      </x:c>
      <x:c r="E1568" s="1" t="str">
        <x:v>CLOSED</x:v>
      </x:c>
      <x:c r="F1568" s="1" t="str">
        <x:v>Late delivery</x:v>
      </x:c>
      <x:c r="G1568" s="6" t="n">
        <x:v>5</x:v>
      </x:c>
      <x:c r="H1568" s="6" t="n">
        <x:v>2</x:v>
      </x:c>
      <x:c r="I1568" s="6" t="n">
        <x:f>G1568-H1568</x:f>
        <x:v>3</x:v>
      </x:c>
      <x:c r="J1568" s="6" t="n">
        <x:f>IF(OR(E1568="CANCELED",E1568="SUSPECTED_FRAUD",F1568="Shipping canceled"),0,1)</x:f>
        <x:v>1</x:v>
      </x:c>
      <x:c r="K1568" s="6" t="n">
        <x:f>IF(G1568&gt;H1568,1,0)</x:f>
        <x:v>1</x:v>
      </x:c>
      <x:c r="L1568" s="6" t="n">
        <x:f>J1568*K1568</x:f>
        <x:v>1</x:v>
      </x:c>
    </x:row>
    <x:row r="1569">
      <x:c r="A1569" s="1" t="n">
        <x:v>12827</x:v>
      </x:c>
      <x:c r="B1569" s="5" t="d">
        <x:v>2015-07-07T00:00:00.000Z</x:v>
      </x:c>
      <x:c r="C1569" s="1" t="str">
        <x:v>Second Class</x:v>
      </x:c>
      <x:c r="D1569" s="1" t="str">
        <x:v>Europe</x:v>
      </x:c>
      <x:c r="E1569" s="1" t="str">
        <x:v>PENDING_PAYMENT</x:v>
      </x:c>
      <x:c r="F1569" s="1" t="str">
        <x:v>Late delivery</x:v>
      </x:c>
      <x:c r="G1569" s="6" t="n">
        <x:v>3</x:v>
      </x:c>
      <x:c r="H1569" s="6" t="n">
        <x:v>2</x:v>
      </x:c>
      <x:c r="I1569" s="6" t="n">
        <x:f>G1569-H1569</x:f>
        <x:v>1</x:v>
      </x:c>
      <x:c r="J1569" s="6" t="n">
        <x:f>IF(OR(E1569="CANCELED",E1569="SUSPECTED_FRAUD",F1569="Shipping canceled"),0,1)</x:f>
        <x:v>1</x:v>
      </x:c>
      <x:c r="K1569" s="6" t="n">
        <x:f>IF(G1569&gt;H1569,1,0)</x:f>
        <x:v>1</x:v>
      </x:c>
      <x:c r="L1569" s="6" t="n">
        <x:f>J1569*K1569</x:f>
        <x:v>1</x:v>
      </x:c>
    </x:row>
    <x:row r="1570">
      <x:c r="A1570" s="1" t="n">
        <x:v>12828</x:v>
      </x:c>
      <x:c r="B1570" s="5" t="d">
        <x:v>2015-07-07T00:00:00.000Z</x:v>
      </x:c>
      <x:c r="C1570" s="1" t="str">
        <x:v>Second Class</x:v>
      </x:c>
      <x:c r="D1570" s="1" t="str">
        <x:v>Europe</x:v>
      </x:c>
      <x:c r="E1570" s="1" t="str">
        <x:v>COMPLETE</x:v>
      </x:c>
      <x:c r="F1570" s="1" t="str">
        <x:v>Late delivery</x:v>
      </x:c>
      <x:c r="G1570" s="6" t="n">
        <x:v>4</x:v>
      </x:c>
      <x:c r="H1570" s="6" t="n">
        <x:v>2</x:v>
      </x:c>
      <x:c r="I1570" s="6" t="n">
        <x:f>G1570-H1570</x:f>
        <x:v>2</x:v>
      </x:c>
      <x:c r="J1570" s="6" t="n">
        <x:f>IF(OR(E1570="CANCELED",E1570="SUSPECTED_FRAUD",F1570="Shipping canceled"),0,1)</x:f>
        <x:v>1</x:v>
      </x:c>
      <x:c r="K1570" s="6" t="n">
        <x:f>IF(G1570&gt;H1570,1,0)</x:f>
        <x:v>1</x:v>
      </x:c>
      <x:c r="L1570" s="6" t="n">
        <x:f>J1570*K1570</x:f>
        <x:v>1</x:v>
      </x:c>
    </x:row>
    <x:row r="1571">
      <x:c r="A1571" s="1" t="n">
        <x:v>12842</x:v>
      </x:c>
      <x:c r="B1571" s="5" t="d">
        <x:v>2015-07-07T00:00:00.000Z</x:v>
      </x:c>
      <x:c r="C1571" s="1" t="str">
        <x:v>Standard Class</x:v>
      </x:c>
      <x:c r="D1571" s="1" t="str">
        <x:v>Europe</x:v>
      </x:c>
      <x:c r="E1571" s="1" t="str">
        <x:v>COMPLETE</x:v>
      </x:c>
      <x:c r="F1571" s="1" t="str">
        <x:v>Advance shipping</x:v>
      </x:c>
      <x:c r="G1571" s="6" t="n">
        <x:v>3</x:v>
      </x:c>
      <x:c r="H1571" s="6" t="n">
        <x:v>4</x:v>
      </x:c>
      <x:c r="I1571" s="6" t="n">
        <x:f>G1571-H1571</x:f>
        <x:v>-1</x:v>
      </x:c>
      <x:c r="J1571" s="6" t="n">
        <x:f>IF(OR(E1571="CANCELED",E1571="SUSPECTED_FRAUD",F1571="Shipping canceled"),0,1)</x:f>
        <x:v>1</x:v>
      </x:c>
      <x:c r="K1571" s="6" t="n">
        <x:f>IF(G1571&gt;H1571,1,0)</x:f>
        <x:v>0</x:v>
      </x:c>
      <x:c r="L1571" s="6" t="n">
        <x:f>J1571*K1571</x:f>
        <x:v>0</x:v>
      </x:c>
    </x:row>
    <x:row r="1572">
      <x:c r="A1572" s="1" t="n">
        <x:v>12845</x:v>
      </x:c>
      <x:c r="B1572" s="5" t="d">
        <x:v>2015-07-07T00:00:00.000Z</x:v>
      </x:c>
      <x:c r="C1572" s="1" t="str">
        <x:v>Standard Class</x:v>
      </x:c>
      <x:c r="D1572" s="1" t="str">
        <x:v>Europe</x:v>
      </x:c>
      <x:c r="E1572" s="1" t="str">
        <x:v>PENDING_PAYMENT</x:v>
      </x:c>
      <x:c r="F1572" s="1" t="str">
        <x:v>Late delivery</x:v>
      </x:c>
      <x:c r="G1572" s="6" t="n">
        <x:v>6</x:v>
      </x:c>
      <x:c r="H1572" s="6" t="n">
        <x:v>4</x:v>
      </x:c>
      <x:c r="I1572" s="6" t="n">
        <x:f>G1572-H1572</x:f>
        <x:v>2</x:v>
      </x:c>
      <x:c r="J1572" s="6" t="n">
        <x:f>IF(OR(E1572="CANCELED",E1572="SUSPECTED_FRAUD",F1572="Shipping canceled"),0,1)</x:f>
        <x:v>1</x:v>
      </x:c>
      <x:c r="K1572" s="6" t="n">
        <x:f>IF(G1572&gt;H1572,1,0)</x:f>
        <x:v>1</x:v>
      </x:c>
      <x:c r="L1572" s="6" t="n">
        <x:f>J1572*K1572</x:f>
        <x:v>1</x:v>
      </x:c>
    </x:row>
    <x:row r="1573">
      <x:c r="A1573" s="1" t="n">
        <x:v>12848</x:v>
      </x:c>
      <x:c r="B1573" s="5" t="d">
        <x:v>2015-07-07T00:00:00.000Z</x:v>
      </x:c>
      <x:c r="C1573" s="1" t="str">
        <x:v>First Class</x:v>
      </x:c>
      <x:c r="D1573" s="1" t="str">
        <x:v>Europe</x:v>
      </x:c>
      <x:c r="E1573" s="1" t="str">
        <x:v>PENDING_PAYMENT</x:v>
      </x:c>
      <x:c r="F1573" s="1" t="str">
        <x:v>Late delivery</x:v>
      </x:c>
      <x:c r="G1573" s="6" t="n">
        <x:v>2</x:v>
      </x:c>
      <x:c r="H1573" s="6" t="n">
        <x:v>1</x:v>
      </x:c>
      <x:c r="I1573" s="6" t="n">
        <x:f>G1573-H1573</x:f>
        <x:v>1</x:v>
      </x:c>
      <x:c r="J1573" s="6" t="n">
        <x:f>IF(OR(E1573="CANCELED",E1573="SUSPECTED_FRAUD",F1573="Shipping canceled"),0,1)</x:f>
        <x:v>1</x:v>
      </x:c>
      <x:c r="K1573" s="6" t="n">
        <x:f>IF(G1573&gt;H1573,1,0)</x:f>
        <x:v>1</x:v>
      </x:c>
      <x:c r="L1573" s="6" t="n">
        <x:f>J1573*K1573</x:f>
        <x:v>1</x:v>
      </x:c>
    </x:row>
    <x:row r="1574">
      <x:c r="A1574" s="1" t="n">
        <x:v>12852</x:v>
      </x:c>
      <x:c r="B1574" s="5" t="d">
        <x:v>2015-07-07T00:00:00.000Z</x:v>
      </x:c>
      <x:c r="C1574" s="1" t="str">
        <x:v>Standard Class</x:v>
      </x:c>
      <x:c r="D1574" s="1" t="str">
        <x:v>Europe</x:v>
      </x:c>
      <x:c r="E1574" s="1" t="str">
        <x:v>ON_HOLD</x:v>
      </x:c>
      <x:c r="F1574" s="1" t="str">
        <x:v>Advance shipping</x:v>
      </x:c>
      <x:c r="G1574" s="6" t="n">
        <x:v>3</x:v>
      </x:c>
      <x:c r="H1574" s="6" t="n">
        <x:v>4</x:v>
      </x:c>
      <x:c r="I1574" s="6" t="n">
        <x:f>G1574-H1574</x:f>
        <x:v>-1</x:v>
      </x:c>
      <x:c r="J1574" s="6" t="n">
        <x:f>IF(OR(E1574="CANCELED",E1574="SUSPECTED_FRAUD",F1574="Shipping canceled"),0,1)</x:f>
        <x:v>1</x:v>
      </x:c>
      <x:c r="K1574" s="6" t="n">
        <x:f>IF(G1574&gt;H1574,1,0)</x:f>
        <x:v>0</x:v>
      </x:c>
      <x:c r="L1574" s="6" t="n">
        <x:f>J1574*K1574</x:f>
        <x:v>0</x:v>
      </x:c>
    </x:row>
    <x:row r="1575">
      <x:c r="A1575" s="1" t="n">
        <x:v>12854</x:v>
      </x:c>
      <x:c r="B1575" s="5" t="d">
        <x:v>2015-07-07T00:00:00.000Z</x:v>
      </x:c>
      <x:c r="C1575" s="1" t="str">
        <x:v>Second Class</x:v>
      </x:c>
      <x:c r="D1575" s="1" t="str">
        <x:v>Europe</x:v>
      </x:c>
      <x:c r="E1575" s="1" t="str">
        <x:v>PENDING_PAYMENT</x:v>
      </x:c>
      <x:c r="F1575" s="1" t="str">
        <x:v>Late delivery</x:v>
      </x:c>
      <x:c r="G1575" s="6" t="n">
        <x:v>5</x:v>
      </x:c>
      <x:c r="H1575" s="6" t="n">
        <x:v>2</x:v>
      </x:c>
      <x:c r="I1575" s="6" t="n">
        <x:f>G1575-H1575</x:f>
        <x:v>3</x:v>
      </x:c>
      <x:c r="J1575" s="6" t="n">
        <x:f>IF(OR(E1575="CANCELED",E1575="SUSPECTED_FRAUD",F1575="Shipping canceled"),0,1)</x:f>
        <x:v>1</x:v>
      </x:c>
      <x:c r="K1575" s="6" t="n">
        <x:f>IF(G1575&gt;H1575,1,0)</x:f>
        <x:v>1</x:v>
      </x:c>
      <x:c r="L1575" s="6" t="n">
        <x:f>J1575*K1575</x:f>
        <x:v>1</x:v>
      </x:c>
    </x:row>
    <x:row r="1576">
      <x:c r="A1576" s="1" t="n">
        <x:v>12860</x:v>
      </x:c>
      <x:c r="B1576" s="5" t="d">
        <x:v>2015-07-07T00:00:00.000Z</x:v>
      </x:c>
      <x:c r="C1576" s="1" t="str">
        <x:v>Standard Class</x:v>
      </x:c>
      <x:c r="D1576" s="1" t="str">
        <x:v>Europe</x:v>
      </x:c>
      <x:c r="E1576" s="1" t="str">
        <x:v>COMPLETE</x:v>
      </x:c>
      <x:c r="F1576" s="1" t="str">
        <x:v>Late delivery</x:v>
      </x:c>
      <x:c r="G1576" s="6" t="n">
        <x:v>6</x:v>
      </x:c>
      <x:c r="H1576" s="6" t="n">
        <x:v>4</x:v>
      </x:c>
      <x:c r="I1576" s="6" t="n">
        <x:f>G1576-H1576</x:f>
        <x:v>2</x:v>
      </x:c>
      <x:c r="J1576" s="6" t="n">
        <x:f>IF(OR(E1576="CANCELED",E1576="SUSPECTED_FRAUD",F1576="Shipping canceled"),0,1)</x:f>
        <x:v>1</x:v>
      </x:c>
      <x:c r="K1576" s="6" t="n">
        <x:f>IF(G1576&gt;H1576,1,0)</x:f>
        <x:v>1</x:v>
      </x:c>
      <x:c r="L1576" s="6" t="n">
        <x:f>J1576*K1576</x:f>
        <x:v>1</x:v>
      </x:c>
    </x:row>
    <x:row r="1577">
      <x:c r="A1577" s="1" t="n">
        <x:v>12867</x:v>
      </x:c>
      <x:c r="B1577" s="5" t="d">
        <x:v>2015-07-07T00:00:00.000Z</x:v>
      </x:c>
      <x:c r="C1577" s="1" t="str">
        <x:v>Second Class</x:v>
      </x:c>
      <x:c r="D1577" s="1" t="str">
        <x:v>Europe</x:v>
      </x:c>
      <x:c r="E1577" s="1" t="str">
        <x:v>ON_HOLD</x:v>
      </x:c>
      <x:c r="F1577" s="1" t="str">
        <x:v>Late delivery</x:v>
      </x:c>
      <x:c r="G1577" s="6" t="n">
        <x:v>3</x:v>
      </x:c>
      <x:c r="H1577" s="6" t="n">
        <x:v>2</x:v>
      </x:c>
      <x:c r="I1577" s="6" t="n">
        <x:f>G1577-H1577</x:f>
        <x:v>1</x:v>
      </x:c>
      <x:c r="J1577" s="6" t="n">
        <x:f>IF(OR(E1577="CANCELED",E1577="SUSPECTED_FRAUD",F1577="Shipping canceled"),0,1)</x:f>
        <x:v>1</x:v>
      </x:c>
      <x:c r="K1577" s="6" t="n">
        <x:f>IF(G1577&gt;H1577,1,0)</x:f>
        <x:v>1</x:v>
      </x:c>
      <x:c r="L1577" s="6" t="n">
        <x:f>J1577*K1577</x:f>
        <x:v>1</x:v>
      </x:c>
    </x:row>
    <x:row r="1578">
      <x:c r="A1578" s="1" t="n">
        <x:v>12868</x:v>
      </x:c>
      <x:c r="B1578" s="5" t="d">
        <x:v>2015-07-07T00:00:00.000Z</x:v>
      </x:c>
      <x:c r="C1578" s="1" t="str">
        <x:v>Standard Class</x:v>
      </x:c>
      <x:c r="D1578" s="1" t="str">
        <x:v>Europe</x:v>
      </x:c>
      <x:c r="E1578" s="1" t="str">
        <x:v>COMPLETE</x:v>
      </x:c>
      <x:c r="F1578" s="1" t="str">
        <x:v>Shipping on time</x:v>
      </x:c>
      <x:c r="G1578" s="6" t="n">
        <x:v>4</x:v>
      </x:c>
      <x:c r="H1578" s="6" t="n">
        <x:v>4</x:v>
      </x:c>
      <x:c r="I1578" s="6" t="n">
        <x:f>G1578-H1578</x:f>
        <x:v>0</x:v>
      </x:c>
      <x:c r="J1578" s="6" t="n">
        <x:f>IF(OR(E1578="CANCELED",E1578="SUSPECTED_FRAUD",F1578="Shipping canceled"),0,1)</x:f>
        <x:v>1</x:v>
      </x:c>
      <x:c r="K1578" s="6" t="n">
        <x:f>IF(G1578&gt;H1578,1,0)</x:f>
        <x:v>0</x:v>
      </x:c>
      <x:c r="L1578" s="6" t="n">
        <x:f>J1578*K1578</x:f>
        <x:v>0</x:v>
      </x:c>
    </x:row>
    <x:row r="1579">
      <x:c r="A1579" s="1" t="n">
        <x:v>12870</x:v>
      </x:c>
      <x:c r="B1579" s="5" t="d">
        <x:v>2015-07-07T00:00:00.000Z</x:v>
      </x:c>
      <x:c r="C1579" s="1" t="str">
        <x:v>Standard Class</x:v>
      </x:c>
      <x:c r="D1579" s="1" t="str">
        <x:v>Europe</x:v>
      </x:c>
      <x:c r="E1579" s="1" t="str">
        <x:v>COMPLETE</x:v>
      </x:c>
      <x:c r="F1579" s="1" t="str">
        <x:v>Late delivery</x:v>
      </x:c>
      <x:c r="G1579" s="6" t="n">
        <x:v>6</x:v>
      </x:c>
      <x:c r="H1579" s="6" t="n">
        <x:v>4</x:v>
      </x:c>
      <x:c r="I1579" s="6" t="n">
        <x:f>G1579-H1579</x:f>
        <x:v>2</x:v>
      </x:c>
      <x:c r="J1579" s="6" t="n">
        <x:f>IF(OR(E1579="CANCELED",E1579="SUSPECTED_FRAUD",F1579="Shipping canceled"),0,1)</x:f>
        <x:v>1</x:v>
      </x:c>
      <x:c r="K1579" s="6" t="n">
        <x:f>IF(G1579&gt;H1579,1,0)</x:f>
        <x:v>1</x:v>
      </x:c>
      <x:c r="L1579" s="6" t="n">
        <x:f>J1579*K1579</x:f>
        <x:v>1</x:v>
      </x:c>
    </x:row>
    <x:row r="1580">
      <x:c r="A1580" s="1" t="n">
        <x:v>12871</x:v>
      </x:c>
      <x:c r="B1580" s="5" t="d">
        <x:v>2015-07-07T00:00:00.000Z</x:v>
      </x:c>
      <x:c r="C1580" s="1" t="str">
        <x:v>Same Day</x:v>
      </x:c>
      <x:c r="D1580" s="1" t="str">
        <x:v>Europe</x:v>
      </x:c>
      <x:c r="E1580" s="1" t="str">
        <x:v>COMPLETE</x:v>
      </x:c>
      <x:c r="F1580" s="1" t="str">
        <x:v>Late delivery</x:v>
      </x:c>
      <x:c r="G1580" s="6" t="n">
        <x:v>1</x:v>
      </x:c>
      <x:c r="H1580" s="6" t="n">
        <x:v>0</x:v>
      </x:c>
      <x:c r="I1580" s="6" t="n">
        <x:f>G1580-H1580</x:f>
        <x:v>1</x:v>
      </x:c>
      <x:c r="J1580" s="6" t="n">
        <x:f>IF(OR(E1580="CANCELED",E1580="SUSPECTED_FRAUD",F1580="Shipping canceled"),0,1)</x:f>
        <x:v>1</x:v>
      </x:c>
      <x:c r="K1580" s="6" t="n">
        <x:f>IF(G1580&gt;H1580,1,0)</x:f>
        <x:v>1</x:v>
      </x:c>
      <x:c r="L1580" s="6" t="n">
        <x:f>J1580*K1580</x:f>
        <x:v>1</x:v>
      </x:c>
    </x:row>
    <x:row r="1581">
      <x:c r="A1581" s="1" t="n">
        <x:v>12878</x:v>
      </x:c>
      <x:c r="B1581" s="5" t="d">
        <x:v>2015-07-07T00:00:00.000Z</x:v>
      </x:c>
      <x:c r="C1581" s="1" t="str">
        <x:v>Standard Class</x:v>
      </x:c>
      <x:c r="D1581" s="1" t="str">
        <x:v>Europe</x:v>
      </x:c>
      <x:c r="E1581" s="1" t="str">
        <x:v>COMPLETE</x:v>
      </x:c>
      <x:c r="F1581" s="1" t="str">
        <x:v>Shipping on time</x:v>
      </x:c>
      <x:c r="G1581" s="6" t="n">
        <x:v>4</x:v>
      </x:c>
      <x:c r="H1581" s="6" t="n">
        <x:v>4</x:v>
      </x:c>
      <x:c r="I1581" s="6" t="n">
        <x:f>G1581-H1581</x:f>
        <x:v>0</x:v>
      </x:c>
      <x:c r="J1581" s="6" t="n">
        <x:f>IF(OR(E1581="CANCELED",E1581="SUSPECTED_FRAUD",F1581="Shipping canceled"),0,1)</x:f>
        <x:v>1</x:v>
      </x:c>
      <x:c r="K1581" s="6" t="n">
        <x:f>IF(G1581&gt;H1581,1,0)</x:f>
        <x:v>0</x:v>
      </x:c>
      <x:c r="L1581" s="6" t="n">
        <x:f>J1581*K1581</x:f>
        <x:v>0</x:v>
      </x:c>
    </x:row>
    <x:row r="1582">
      <x:c r="A1582" s="1" t="n">
        <x:v>12885</x:v>
      </x:c>
      <x:c r="B1582" s="5" t="d">
        <x:v>2015-07-08T00:00:00.000Z</x:v>
      </x:c>
      <x:c r="C1582" s="1" t="str">
        <x:v>Standard Class</x:v>
      </x:c>
      <x:c r="D1582" s="1" t="str">
        <x:v>Europe</x:v>
      </x:c>
      <x:c r="E1582" s="1" t="str">
        <x:v>ON_HOLD</x:v>
      </x:c>
      <x:c r="F1582" s="1" t="str">
        <x:v>Late delivery</x:v>
      </x:c>
      <x:c r="G1582" s="6" t="n">
        <x:v>6</x:v>
      </x:c>
      <x:c r="H1582" s="6" t="n">
        <x:v>4</x:v>
      </x:c>
      <x:c r="I1582" s="6" t="n">
        <x:f>G1582-H1582</x:f>
        <x:v>2</x:v>
      </x:c>
      <x:c r="J1582" s="6" t="n">
        <x:f>IF(OR(E1582="CANCELED",E1582="SUSPECTED_FRAUD",F1582="Shipping canceled"),0,1)</x:f>
        <x:v>1</x:v>
      </x:c>
      <x:c r="K1582" s="6" t="n">
        <x:f>IF(G1582&gt;H1582,1,0)</x:f>
        <x:v>1</x:v>
      </x:c>
      <x:c r="L1582" s="6" t="n">
        <x:f>J1582*K1582</x:f>
        <x:v>1</x:v>
      </x:c>
    </x:row>
    <x:row r="1583">
      <x:c r="A1583" s="1" t="n">
        <x:v>12888</x:v>
      </x:c>
      <x:c r="B1583" s="5" t="d">
        <x:v>2015-07-08T00:00:00.000Z</x:v>
      </x:c>
      <x:c r="C1583" s="1" t="str">
        <x:v>Standard Class</x:v>
      </x:c>
      <x:c r="D1583" s="1" t="str">
        <x:v>Europe</x:v>
      </x:c>
      <x:c r="E1583" s="1" t="str">
        <x:v>COMPLETE</x:v>
      </x:c>
      <x:c r="F1583" s="1" t="str">
        <x:v>Shipping on time</x:v>
      </x:c>
      <x:c r="G1583" s="6" t="n">
        <x:v>4</x:v>
      </x:c>
      <x:c r="H1583" s="6" t="n">
        <x:v>4</x:v>
      </x:c>
      <x:c r="I1583" s="6" t="n">
        <x:f>G1583-H1583</x:f>
        <x:v>0</x:v>
      </x:c>
      <x:c r="J1583" s="6" t="n">
        <x:f>IF(OR(E1583="CANCELED",E1583="SUSPECTED_FRAUD",F1583="Shipping canceled"),0,1)</x:f>
        <x:v>1</x:v>
      </x:c>
      <x:c r="K1583" s="6" t="n">
        <x:f>IF(G1583&gt;H1583,1,0)</x:f>
        <x:v>0</x:v>
      </x:c>
      <x:c r="L1583" s="6" t="n">
        <x:f>J1583*K1583</x:f>
        <x:v>0</x:v>
      </x:c>
    </x:row>
    <x:row r="1584">
      <x:c r="A1584" s="1" t="n">
        <x:v>12896</x:v>
      </x:c>
      <x:c r="B1584" s="5" t="d">
        <x:v>2015-07-08T00:00:00.000Z</x:v>
      </x:c>
      <x:c r="C1584" s="1" t="str">
        <x:v>Standard Class</x:v>
      </x:c>
      <x:c r="D1584" s="1" t="str">
        <x:v>Europe</x:v>
      </x:c>
      <x:c r="E1584" s="1" t="str">
        <x:v>COMPLETE</x:v>
      </x:c>
      <x:c r="F1584" s="1" t="str">
        <x:v>Advance shipping</x:v>
      </x:c>
      <x:c r="G1584" s="6" t="n">
        <x:v>2</x:v>
      </x:c>
      <x:c r="H1584" s="6" t="n">
        <x:v>4</x:v>
      </x:c>
      <x:c r="I1584" s="6" t="n">
        <x:f>G1584-H1584</x:f>
        <x:v>-2</x:v>
      </x:c>
      <x:c r="J1584" s="6" t="n">
        <x:f>IF(OR(E1584="CANCELED",E1584="SUSPECTED_FRAUD",F1584="Shipping canceled"),0,1)</x:f>
        <x:v>1</x:v>
      </x:c>
      <x:c r="K1584" s="6" t="n">
        <x:f>IF(G1584&gt;H1584,1,0)</x:f>
        <x:v>0</x:v>
      </x:c>
      <x:c r="L1584" s="6" t="n">
        <x:f>J1584*K1584</x:f>
        <x:v>0</x:v>
      </x:c>
    </x:row>
    <x:row r="1585">
      <x:c r="A1585" s="1" t="n">
        <x:v>12905</x:v>
      </x:c>
      <x:c r="B1585" s="5" t="d">
        <x:v>2015-07-08T00:00:00.000Z</x:v>
      </x:c>
      <x:c r="C1585" s="1" t="str">
        <x:v>Standard Class</x:v>
      </x:c>
      <x:c r="D1585" s="1" t="str">
        <x:v>Europe</x:v>
      </x:c>
      <x:c r="E1585" s="1" t="str">
        <x:v>ON_HOLD</x:v>
      </x:c>
      <x:c r="F1585" s="1" t="str">
        <x:v>Late delivery</x:v>
      </x:c>
      <x:c r="G1585" s="6" t="n">
        <x:v>6</x:v>
      </x:c>
      <x:c r="H1585" s="6" t="n">
        <x:v>4</x:v>
      </x:c>
      <x:c r="I1585" s="6" t="n">
        <x:f>G1585-H1585</x:f>
        <x:v>2</x:v>
      </x:c>
      <x:c r="J1585" s="6" t="n">
        <x:f>IF(OR(E1585="CANCELED",E1585="SUSPECTED_FRAUD",F1585="Shipping canceled"),0,1)</x:f>
        <x:v>1</x:v>
      </x:c>
      <x:c r="K1585" s="6" t="n">
        <x:f>IF(G1585&gt;H1585,1,0)</x:f>
        <x:v>1</x:v>
      </x:c>
      <x:c r="L1585" s="6" t="n">
        <x:f>J1585*K1585</x:f>
        <x:v>1</x:v>
      </x:c>
    </x:row>
    <x:row r="1586">
      <x:c r="A1586" s="1" t="n">
        <x:v>12912</x:v>
      </x:c>
      <x:c r="B1586" s="5" t="d">
        <x:v>2015-07-08T00:00:00.000Z</x:v>
      </x:c>
      <x:c r="C1586" s="1" t="str">
        <x:v>Standard Class</x:v>
      </x:c>
      <x:c r="D1586" s="1" t="str">
        <x:v>Europe</x:v>
      </x:c>
      <x:c r="E1586" s="1" t="str">
        <x:v>COMPLETE</x:v>
      </x:c>
      <x:c r="F1586" s="1" t="str">
        <x:v>Advance shipping</x:v>
      </x:c>
      <x:c r="G1586" s="6" t="n">
        <x:v>3</x:v>
      </x:c>
      <x:c r="H1586" s="6" t="n">
        <x:v>4</x:v>
      </x:c>
      <x:c r="I1586" s="6" t="n">
        <x:f>G1586-H1586</x:f>
        <x:v>-1</x:v>
      </x:c>
      <x:c r="J1586" s="6" t="n">
        <x:f>IF(OR(E1586="CANCELED",E1586="SUSPECTED_FRAUD",F1586="Shipping canceled"),0,1)</x:f>
        <x:v>1</x:v>
      </x:c>
      <x:c r="K1586" s="6" t="n">
        <x:f>IF(G1586&gt;H1586,1,0)</x:f>
        <x:v>0</x:v>
      </x:c>
      <x:c r="L1586" s="6" t="n">
        <x:f>J1586*K1586</x:f>
        <x:v>0</x:v>
      </x:c>
    </x:row>
    <x:row r="1587">
      <x:c r="A1587" s="1" t="n">
        <x:v>12915</x:v>
      </x:c>
      <x:c r="B1587" s="5" t="d">
        <x:v>2015-07-08T00:00:00.000Z</x:v>
      </x:c>
      <x:c r="C1587" s="1" t="str">
        <x:v>Standard Class</x:v>
      </x:c>
      <x:c r="D1587" s="1" t="str">
        <x:v>Europe</x:v>
      </x:c>
      <x:c r="E1587" s="1" t="str">
        <x:v>COMPLETE</x:v>
      </x:c>
      <x:c r="F1587" s="1" t="str">
        <x:v>Late delivery</x:v>
      </x:c>
      <x:c r="G1587" s="6" t="n">
        <x:v>6</x:v>
      </x:c>
      <x:c r="H1587" s="6" t="n">
        <x:v>4</x:v>
      </x:c>
      <x:c r="I1587" s="6" t="n">
        <x:f>G1587-H1587</x:f>
        <x:v>2</x:v>
      </x:c>
      <x:c r="J1587" s="6" t="n">
        <x:f>IF(OR(E1587="CANCELED",E1587="SUSPECTED_FRAUD",F1587="Shipping canceled"),0,1)</x:f>
        <x:v>1</x:v>
      </x:c>
      <x:c r="K1587" s="6" t="n">
        <x:f>IF(G1587&gt;H1587,1,0)</x:f>
        <x:v>1</x:v>
      </x:c>
      <x:c r="L1587" s="6" t="n">
        <x:f>J1587*K1587</x:f>
        <x:v>1</x:v>
      </x:c>
    </x:row>
    <x:row r="1588">
      <x:c r="A1588" s="1" t="n">
        <x:v>12918</x:v>
      </x:c>
      <x:c r="B1588" s="5" t="d">
        <x:v>2015-07-08T00:00:00.000Z</x:v>
      </x:c>
      <x:c r="C1588" s="1" t="str">
        <x:v>Standard Class</x:v>
      </x:c>
      <x:c r="D1588" s="1" t="str">
        <x:v>Europe</x:v>
      </x:c>
      <x:c r="E1588" s="1" t="str">
        <x:v>COMPLETE</x:v>
      </x:c>
      <x:c r="F1588" s="1" t="str">
        <x:v>Shipping on time</x:v>
      </x:c>
      <x:c r="G1588" s="6" t="n">
        <x:v>4</x:v>
      </x:c>
      <x:c r="H1588" s="6" t="n">
        <x:v>4</x:v>
      </x:c>
      <x:c r="I1588" s="6" t="n">
        <x:f>G1588-H1588</x:f>
        <x:v>0</x:v>
      </x:c>
      <x:c r="J1588" s="6" t="n">
        <x:f>IF(OR(E1588="CANCELED",E1588="SUSPECTED_FRAUD",F1588="Shipping canceled"),0,1)</x:f>
        <x:v>1</x:v>
      </x:c>
      <x:c r="K1588" s="6" t="n">
        <x:f>IF(G1588&gt;H1588,1,0)</x:f>
        <x:v>0</x:v>
      </x:c>
      <x:c r="L1588" s="6" t="n">
        <x:f>J1588*K1588</x:f>
        <x:v>0</x:v>
      </x:c>
    </x:row>
    <x:row r="1589">
      <x:c r="A1589" s="1" t="n">
        <x:v>12919</x:v>
      </x:c>
      <x:c r="B1589" s="5" t="d">
        <x:v>2015-07-08T00:00:00.000Z</x:v>
      </x:c>
      <x:c r="C1589" s="1" t="str">
        <x:v>Standard Class</x:v>
      </x:c>
      <x:c r="D1589" s="1" t="str">
        <x:v>Europe</x:v>
      </x:c>
      <x:c r="E1589" s="1" t="str">
        <x:v>CLOSED</x:v>
      </x:c>
      <x:c r="F1589" s="1" t="str">
        <x:v>Late delivery</x:v>
      </x:c>
      <x:c r="G1589" s="6" t="n">
        <x:v>5</x:v>
      </x:c>
      <x:c r="H1589" s="6" t="n">
        <x:v>4</x:v>
      </x:c>
      <x:c r="I1589" s="6" t="n">
        <x:f>G1589-H1589</x:f>
        <x:v>1</x:v>
      </x:c>
      <x:c r="J1589" s="6" t="n">
        <x:f>IF(OR(E1589="CANCELED",E1589="SUSPECTED_FRAUD",F1589="Shipping canceled"),0,1)</x:f>
        <x:v>1</x:v>
      </x:c>
      <x:c r="K1589" s="6" t="n">
        <x:f>IF(G1589&gt;H1589,1,0)</x:f>
        <x:v>1</x:v>
      </x:c>
      <x:c r="L1589" s="6" t="n">
        <x:f>J1589*K1589</x:f>
        <x:v>1</x:v>
      </x:c>
    </x:row>
    <x:row r="1590">
      <x:c r="A1590" s="1" t="n">
        <x:v>12923</x:v>
      </x:c>
      <x:c r="B1590" s="5" t="d">
        <x:v>2015-07-08T00:00:00.000Z</x:v>
      </x:c>
      <x:c r="C1590" s="1" t="str">
        <x:v>Second Class</x:v>
      </x:c>
      <x:c r="D1590" s="1" t="str">
        <x:v>Europe</x:v>
      </x:c>
      <x:c r="E1590" s="1" t="str">
        <x:v>PROCESSING</x:v>
      </x:c>
      <x:c r="F1590" s="1" t="str">
        <x:v>Late delivery</x:v>
      </x:c>
      <x:c r="G1590" s="6" t="n">
        <x:v>4</x:v>
      </x:c>
      <x:c r="H1590" s="6" t="n">
        <x:v>2</x:v>
      </x:c>
      <x:c r="I1590" s="6" t="n">
        <x:f>G1590-H1590</x:f>
        <x:v>2</x:v>
      </x:c>
      <x:c r="J1590" s="6" t="n">
        <x:f>IF(OR(E1590="CANCELED",E1590="SUSPECTED_FRAUD",F1590="Shipping canceled"),0,1)</x:f>
        <x:v>1</x:v>
      </x:c>
      <x:c r="K1590" s="6" t="n">
        <x:f>IF(G1590&gt;H1590,1,0)</x:f>
        <x:v>1</x:v>
      </x:c>
      <x:c r="L1590" s="6" t="n">
        <x:f>J1590*K1590</x:f>
        <x:v>1</x:v>
      </x:c>
    </x:row>
    <x:row r="1591">
      <x:c r="A1591" s="1" t="n">
        <x:v>12929</x:v>
      </x:c>
      <x:c r="B1591" s="5" t="d">
        <x:v>2015-07-08T00:00:00.000Z</x:v>
      </x:c>
      <x:c r="C1591" s="1" t="str">
        <x:v>Standard Class</x:v>
      </x:c>
      <x:c r="D1591" s="1" t="str">
        <x:v>Europe</x:v>
      </x:c>
      <x:c r="E1591" s="1" t="str">
        <x:v>COMPLETE</x:v>
      </x:c>
      <x:c r="F1591" s="1" t="str">
        <x:v>Late delivery</x:v>
      </x:c>
      <x:c r="G1591" s="6" t="n">
        <x:v>5</x:v>
      </x:c>
      <x:c r="H1591" s="6" t="n">
        <x:v>4</x:v>
      </x:c>
      <x:c r="I1591" s="6" t="n">
        <x:f>G1591-H1591</x:f>
        <x:v>1</x:v>
      </x:c>
      <x:c r="J1591" s="6" t="n">
        <x:f>IF(OR(E1591="CANCELED",E1591="SUSPECTED_FRAUD",F1591="Shipping canceled"),0,1)</x:f>
        <x:v>1</x:v>
      </x:c>
      <x:c r="K1591" s="6" t="n">
        <x:f>IF(G1591&gt;H1591,1,0)</x:f>
        <x:v>1</x:v>
      </x:c>
      <x:c r="L1591" s="6" t="n">
        <x:f>J1591*K1591</x:f>
        <x:v>1</x:v>
      </x:c>
    </x:row>
    <x:row r="1592">
      <x:c r="A1592" s="1" t="n">
        <x:v>12967</x:v>
      </x:c>
      <x:c r="B1592" s="5" t="d">
        <x:v>2015-07-09T00:00:00.000Z</x:v>
      </x:c>
      <x:c r="C1592" s="1" t="str">
        <x:v>Standard Class</x:v>
      </x:c>
      <x:c r="D1592" s="1" t="str">
        <x:v>Europe</x:v>
      </x:c>
      <x:c r="E1592" s="1" t="str">
        <x:v>COMPLETE</x:v>
      </x:c>
      <x:c r="F1592" s="1" t="str">
        <x:v>Advance shipping</x:v>
      </x:c>
      <x:c r="G1592" s="6" t="n">
        <x:v>3</x:v>
      </x:c>
      <x:c r="H1592" s="6" t="n">
        <x:v>4</x:v>
      </x:c>
      <x:c r="I1592" s="6" t="n">
        <x:f>G1592-H1592</x:f>
        <x:v>-1</x:v>
      </x:c>
      <x:c r="J1592" s="6" t="n">
        <x:f>IF(OR(E1592="CANCELED",E1592="SUSPECTED_FRAUD",F1592="Shipping canceled"),0,1)</x:f>
        <x:v>1</x:v>
      </x:c>
      <x:c r="K1592" s="6" t="n">
        <x:f>IF(G1592&gt;H1592,1,0)</x:f>
        <x:v>0</x:v>
      </x:c>
      <x:c r="L1592" s="6" t="n">
        <x:f>J1592*K1592</x:f>
        <x:v>0</x:v>
      </x:c>
    </x:row>
    <x:row r="1593">
      <x:c r="A1593" s="1" t="n">
        <x:v>12992</x:v>
      </x:c>
      <x:c r="B1593" s="5" t="d">
        <x:v>2015-07-09T00:00:00.000Z</x:v>
      </x:c>
      <x:c r="C1593" s="1" t="str">
        <x:v>First Class</x:v>
      </x:c>
      <x:c r="D1593" s="1" t="str">
        <x:v>Europe</x:v>
      </x:c>
      <x:c r="E1593" s="1" t="str">
        <x:v>PENDING_PAYMENT</x:v>
      </x:c>
      <x:c r="F1593" s="1" t="str">
        <x:v>Late delivery</x:v>
      </x:c>
      <x:c r="G1593" s="6" t="n">
        <x:v>2</x:v>
      </x:c>
      <x:c r="H1593" s="6" t="n">
        <x:v>1</x:v>
      </x:c>
      <x:c r="I1593" s="6" t="n">
        <x:f>G1593-H1593</x:f>
        <x:v>1</x:v>
      </x:c>
      <x:c r="J1593" s="6" t="n">
        <x:f>IF(OR(E1593="CANCELED",E1593="SUSPECTED_FRAUD",F1593="Shipping canceled"),0,1)</x:f>
        <x:v>1</x:v>
      </x:c>
      <x:c r="K1593" s="6" t="n">
        <x:f>IF(G1593&gt;H1593,1,0)</x:f>
        <x:v>1</x:v>
      </x:c>
      <x:c r="L1593" s="6" t="n">
        <x:f>J1593*K1593</x:f>
        <x:v>1</x:v>
      </x:c>
    </x:row>
    <x:row r="1594">
      <x:c r="A1594" s="1" t="n">
        <x:v>12994</x:v>
      </x:c>
      <x:c r="B1594" s="5" t="d">
        <x:v>2015-07-09T00:00:00.000Z</x:v>
      </x:c>
      <x:c r="C1594" s="1" t="str">
        <x:v>Standard Class</x:v>
      </x:c>
      <x:c r="D1594" s="1" t="str">
        <x:v>Europe</x:v>
      </x:c>
      <x:c r="E1594" s="1" t="str">
        <x:v>COMPLETE</x:v>
      </x:c>
      <x:c r="F1594" s="1" t="str">
        <x:v>Late delivery</x:v>
      </x:c>
      <x:c r="G1594" s="6" t="n">
        <x:v>5</x:v>
      </x:c>
      <x:c r="H1594" s="6" t="n">
        <x:v>4</x:v>
      </x:c>
      <x:c r="I1594" s="6" t="n">
        <x:f>G1594-H1594</x:f>
        <x:v>1</x:v>
      </x:c>
      <x:c r="J1594" s="6" t="n">
        <x:f>IF(OR(E1594="CANCELED",E1594="SUSPECTED_FRAUD",F1594="Shipping canceled"),0,1)</x:f>
        <x:v>1</x:v>
      </x:c>
      <x:c r="K1594" s="6" t="n">
        <x:f>IF(G1594&gt;H1594,1,0)</x:f>
        <x:v>1</x:v>
      </x:c>
      <x:c r="L1594" s="6" t="n">
        <x:f>J1594*K1594</x:f>
        <x:v>1</x:v>
      </x:c>
    </x:row>
    <x:row r="1595">
      <x:c r="A1595" s="1" t="n">
        <x:v>13000</x:v>
      </x:c>
      <x:c r="B1595" s="5" t="d">
        <x:v>2015-07-09T00:00:00.000Z</x:v>
      </x:c>
      <x:c r="C1595" s="1" t="str">
        <x:v>Standard Class</x:v>
      </x:c>
      <x:c r="D1595" s="1" t="str">
        <x:v>Europe</x:v>
      </x:c>
      <x:c r="E1595" s="1" t="str">
        <x:v>COMPLETE</x:v>
      </x:c>
      <x:c r="F1595" s="1" t="str">
        <x:v>Late delivery</x:v>
      </x:c>
      <x:c r="G1595" s="6" t="n">
        <x:v>6</x:v>
      </x:c>
      <x:c r="H1595" s="6" t="n">
        <x:v>4</x:v>
      </x:c>
      <x:c r="I1595" s="6" t="n">
        <x:f>G1595-H1595</x:f>
        <x:v>2</x:v>
      </x:c>
      <x:c r="J1595" s="6" t="n">
        <x:f>IF(OR(E1595="CANCELED",E1595="SUSPECTED_FRAUD",F1595="Shipping canceled"),0,1)</x:f>
        <x:v>1</x:v>
      </x:c>
      <x:c r="K1595" s="6" t="n">
        <x:f>IF(G1595&gt;H1595,1,0)</x:f>
        <x:v>1</x:v>
      </x:c>
      <x:c r="L1595" s="6" t="n">
        <x:f>J1595*K1595</x:f>
        <x:v>1</x:v>
      </x:c>
    </x:row>
    <x:row r="1596">
      <x:c r="A1596" s="1" t="n">
        <x:v>13002</x:v>
      </x:c>
      <x:c r="B1596" s="5" t="d">
        <x:v>2015-07-09T00:00:00.000Z</x:v>
      </x:c>
      <x:c r="C1596" s="1" t="str">
        <x:v>Standard Class</x:v>
      </x:c>
      <x:c r="D1596" s="1" t="str">
        <x:v>Europe</x:v>
      </x:c>
      <x:c r="E1596" s="1" t="str">
        <x:v>PROCESSING</x:v>
      </x:c>
      <x:c r="F1596" s="1" t="str">
        <x:v>Advance shipping</x:v>
      </x:c>
      <x:c r="G1596" s="6" t="n">
        <x:v>3</x:v>
      </x:c>
      <x:c r="H1596" s="6" t="n">
        <x:v>4</x:v>
      </x:c>
      <x:c r="I1596" s="6" t="n">
        <x:f>G1596-H1596</x:f>
        <x:v>-1</x:v>
      </x:c>
      <x:c r="J1596" s="6" t="n">
        <x:f>IF(OR(E1596="CANCELED",E1596="SUSPECTED_FRAUD",F1596="Shipping canceled"),0,1)</x:f>
        <x:v>1</x:v>
      </x:c>
      <x:c r="K1596" s="6" t="n">
        <x:f>IF(G1596&gt;H1596,1,0)</x:f>
        <x:v>0</x:v>
      </x:c>
      <x:c r="L1596" s="6" t="n">
        <x:f>J1596*K1596</x:f>
        <x:v>0</x:v>
      </x:c>
    </x:row>
    <x:row r="1597">
      <x:c r="A1597" s="1" t="n">
        <x:v>13013</x:v>
      </x:c>
      <x:c r="B1597" s="5" t="d">
        <x:v>2015-07-09T00:00:00.000Z</x:v>
      </x:c>
      <x:c r="C1597" s="1" t="str">
        <x:v>Standard Class</x:v>
      </x:c>
      <x:c r="D1597" s="1" t="str">
        <x:v>Europe</x:v>
      </x:c>
      <x:c r="E1597" s="1" t="str">
        <x:v>COMPLETE</x:v>
      </x:c>
      <x:c r="F1597" s="1" t="str">
        <x:v>Shipping on time</x:v>
      </x:c>
      <x:c r="G1597" s="6" t="n">
        <x:v>4</x:v>
      </x:c>
      <x:c r="H1597" s="6" t="n">
        <x:v>4</x:v>
      </x:c>
      <x:c r="I1597" s="6" t="n">
        <x:f>G1597-H1597</x:f>
        <x:v>0</x:v>
      </x:c>
      <x:c r="J1597" s="6" t="n">
        <x:f>IF(OR(E1597="CANCELED",E1597="SUSPECTED_FRAUD",F1597="Shipping canceled"),0,1)</x:f>
        <x:v>1</x:v>
      </x:c>
      <x:c r="K1597" s="6" t="n">
        <x:f>IF(G1597&gt;H1597,1,0)</x:f>
        <x:v>0</x:v>
      </x:c>
      <x:c r="L1597" s="6" t="n">
        <x:f>J1597*K1597</x:f>
        <x:v>0</x:v>
      </x:c>
    </x:row>
    <x:row r="1598">
      <x:c r="A1598" s="1" t="n">
        <x:v>13020</x:v>
      </x:c>
      <x:c r="B1598" s="5" t="d">
        <x:v>2015-07-10T00:00:00.000Z</x:v>
      </x:c>
      <x:c r="C1598" s="1" t="str">
        <x:v>Same Day</x:v>
      </x:c>
      <x:c r="D1598" s="1" t="str">
        <x:v>Europe</x:v>
      </x:c>
      <x:c r="E1598" s="1" t="str">
        <x:v>PROCESSING</x:v>
      </x:c>
      <x:c r="F1598" s="1" t="str">
        <x:v>Shipping on time</x:v>
      </x:c>
      <x:c r="G1598" s="6" t="n">
        <x:v>0</x:v>
      </x:c>
      <x:c r="H1598" s="6" t="n">
        <x:v>0</x:v>
      </x:c>
      <x:c r="I1598" s="6" t="n">
        <x:f>G1598-H1598</x:f>
        <x:v>0</x:v>
      </x:c>
      <x:c r="J1598" s="6" t="n">
        <x:f>IF(OR(E1598="CANCELED",E1598="SUSPECTED_FRAUD",F1598="Shipping canceled"),0,1)</x:f>
        <x:v>1</x:v>
      </x:c>
      <x:c r="K1598" s="6" t="n">
        <x:f>IF(G1598&gt;H1598,1,0)</x:f>
        <x:v>0</x:v>
      </x:c>
      <x:c r="L1598" s="6" t="n">
        <x:f>J1598*K1598</x:f>
        <x:v>0</x:v>
      </x:c>
    </x:row>
    <x:row r="1599">
      <x:c r="A1599" s="1" t="n">
        <x:v>13035</x:v>
      </x:c>
      <x:c r="B1599" s="5" t="d">
        <x:v>2015-07-10T00:00:00.000Z</x:v>
      </x:c>
      <x:c r="C1599" s="1" t="str">
        <x:v>Standard Class</x:v>
      </x:c>
      <x:c r="D1599" s="1" t="str">
        <x:v>Europe</x:v>
      </x:c>
      <x:c r="E1599" s="1" t="str">
        <x:v>PAYMENT_REVIEW</x:v>
      </x:c>
      <x:c r="F1599" s="1" t="str">
        <x:v>Late delivery</x:v>
      </x:c>
      <x:c r="G1599" s="6" t="n">
        <x:v>6</x:v>
      </x:c>
      <x:c r="H1599" s="6" t="n">
        <x:v>4</x:v>
      </x:c>
      <x:c r="I1599" s="6" t="n">
        <x:f>G1599-H1599</x:f>
        <x:v>2</x:v>
      </x:c>
      <x:c r="J1599" s="6" t="n">
        <x:f>IF(OR(E1599="CANCELED",E1599="SUSPECTED_FRAUD",F1599="Shipping canceled"),0,1)</x:f>
        <x:v>1</x:v>
      </x:c>
      <x:c r="K1599" s="6" t="n">
        <x:f>IF(G1599&gt;H1599,1,0)</x:f>
        <x:v>1</x:v>
      </x:c>
      <x:c r="L1599" s="6" t="n">
        <x:f>J1599*K1599</x:f>
        <x:v>1</x:v>
      </x:c>
    </x:row>
    <x:row r="1600">
      <x:c r="A1600" s="1" t="n">
        <x:v>13050</x:v>
      </x:c>
      <x:c r="B1600" s="5" t="d">
        <x:v>2015-07-10T00:00:00.000Z</x:v>
      </x:c>
      <x:c r="C1600" s="1" t="str">
        <x:v>Second Class</x:v>
      </x:c>
      <x:c r="D1600" s="1" t="str">
        <x:v>Europe</x:v>
      </x:c>
      <x:c r="E1600" s="1" t="str">
        <x:v>COMPLETE</x:v>
      </x:c>
      <x:c r="F1600" s="1" t="str">
        <x:v>Late delivery</x:v>
      </x:c>
      <x:c r="G1600" s="6" t="n">
        <x:v>6</x:v>
      </x:c>
      <x:c r="H1600" s="6" t="n">
        <x:v>2</x:v>
      </x:c>
      <x:c r="I1600" s="6" t="n">
        <x:f>G1600-H1600</x:f>
        <x:v>4</x:v>
      </x:c>
      <x:c r="J1600" s="6" t="n">
        <x:f>IF(OR(E1600="CANCELED",E1600="SUSPECTED_FRAUD",F1600="Shipping canceled"),0,1)</x:f>
        <x:v>1</x:v>
      </x:c>
      <x:c r="K1600" s="6" t="n">
        <x:f>IF(G1600&gt;H1600,1,0)</x:f>
        <x:v>1</x:v>
      </x:c>
      <x:c r="L1600" s="6" t="n">
        <x:f>J1600*K1600</x:f>
        <x:v>1</x:v>
      </x:c>
    </x:row>
    <x:row r="1601">
      <x:c r="A1601" s="1" t="n">
        <x:v>13058</x:v>
      </x:c>
      <x:c r="B1601" s="5" t="d">
        <x:v>2015-07-10T00:00:00.000Z</x:v>
      </x:c>
      <x:c r="C1601" s="1" t="str">
        <x:v>Standard Class</x:v>
      </x:c>
      <x:c r="D1601" s="1" t="str">
        <x:v>Europe</x:v>
      </x:c>
      <x:c r="E1601" s="1" t="str">
        <x:v>PENDING_PAYMENT</x:v>
      </x:c>
      <x:c r="F1601" s="1" t="str">
        <x:v>Shipping on time</x:v>
      </x:c>
      <x:c r="G1601" s="6" t="n">
        <x:v>4</x:v>
      </x:c>
      <x:c r="H1601" s="6" t="n">
        <x:v>4</x:v>
      </x:c>
      <x:c r="I1601" s="6" t="n">
        <x:f>G1601-H1601</x:f>
        <x:v>0</x:v>
      </x:c>
      <x:c r="J1601" s="6" t="n">
        <x:f>IF(OR(E1601="CANCELED",E1601="SUSPECTED_FRAUD",F1601="Shipping canceled"),0,1)</x:f>
        <x:v>1</x:v>
      </x:c>
      <x:c r="K1601" s="6" t="n">
        <x:f>IF(G1601&gt;H1601,1,0)</x:f>
        <x:v>0</x:v>
      </x:c>
      <x:c r="L1601" s="6" t="n">
        <x:f>J1601*K1601</x:f>
        <x:v>0</x:v>
      </x:c>
    </x:row>
    <x:row r="1602">
      <x:c r="A1602" s="1" t="n">
        <x:v>13062</x:v>
      </x:c>
      <x:c r="B1602" s="5" t="d">
        <x:v>2015-07-10T00:00:00.000Z</x:v>
      </x:c>
      <x:c r="C1602" s="1" t="str">
        <x:v>First Class</x:v>
      </x:c>
      <x:c r="D1602" s="1" t="str">
        <x:v>Europe</x:v>
      </x:c>
      <x:c r="E1602" s="1" t="str">
        <x:v>PENDING_PAYMENT</x:v>
      </x:c>
      <x:c r="F1602" s="1" t="str">
        <x:v>Late delivery</x:v>
      </x:c>
      <x:c r="G1602" s="6" t="n">
        <x:v>2</x:v>
      </x:c>
      <x:c r="H1602" s="6" t="n">
        <x:v>1</x:v>
      </x:c>
      <x:c r="I1602" s="6" t="n">
        <x:f>G1602-H1602</x:f>
        <x:v>1</x:v>
      </x:c>
      <x:c r="J1602" s="6" t="n">
        <x:f>IF(OR(E1602="CANCELED",E1602="SUSPECTED_FRAUD",F1602="Shipping canceled"),0,1)</x:f>
        <x:v>1</x:v>
      </x:c>
      <x:c r="K1602" s="6" t="n">
        <x:f>IF(G1602&gt;H1602,1,0)</x:f>
        <x:v>1</x:v>
      </x:c>
      <x:c r="L1602" s="6" t="n">
        <x:f>J1602*K1602</x:f>
        <x:v>1</x:v>
      </x:c>
    </x:row>
    <x:row r="1603">
      <x:c r="A1603" s="1" t="n">
        <x:v>13067</x:v>
      </x:c>
      <x:c r="B1603" s="5" t="d">
        <x:v>2015-07-10T00:00:00.000Z</x:v>
      </x:c>
      <x:c r="C1603" s="1" t="str">
        <x:v>Standard Class</x:v>
      </x:c>
      <x:c r="D1603" s="1" t="str">
        <x:v>Europe</x:v>
      </x:c>
      <x:c r="E1603" s="1" t="str">
        <x:v>COMPLETE</x:v>
      </x:c>
      <x:c r="F1603" s="1" t="str">
        <x:v>Advance shipping</x:v>
      </x:c>
      <x:c r="G1603" s="6" t="n">
        <x:v>3</x:v>
      </x:c>
      <x:c r="H1603" s="6" t="n">
        <x:v>4</x:v>
      </x:c>
      <x:c r="I1603" s="6" t="n">
        <x:f>G1603-H1603</x:f>
        <x:v>-1</x:v>
      </x:c>
      <x:c r="J1603" s="6" t="n">
        <x:f>IF(OR(E1603="CANCELED",E1603="SUSPECTED_FRAUD",F1603="Shipping canceled"),0,1)</x:f>
        <x:v>1</x:v>
      </x:c>
      <x:c r="K1603" s="6" t="n">
        <x:f>IF(G1603&gt;H1603,1,0)</x:f>
        <x:v>0</x:v>
      </x:c>
      <x:c r="L1603" s="6" t="n">
        <x:f>J1603*K1603</x:f>
        <x:v>0</x:v>
      </x:c>
    </x:row>
    <x:row r="1604">
      <x:c r="A1604" s="1" t="n">
        <x:v>13069</x:v>
      </x:c>
      <x:c r="B1604" s="5" t="d">
        <x:v>2015-07-10T00:00:00.000Z</x:v>
      </x:c>
      <x:c r="C1604" s="1" t="str">
        <x:v>Standard Class</x:v>
      </x:c>
      <x:c r="D1604" s="1" t="str">
        <x:v>Europe</x:v>
      </x:c>
      <x:c r="E1604" s="1" t="str">
        <x:v>PENDING_PAYMENT</x:v>
      </x:c>
      <x:c r="F1604" s="1" t="str">
        <x:v>Late delivery</x:v>
      </x:c>
      <x:c r="G1604" s="6" t="n">
        <x:v>5</x:v>
      </x:c>
      <x:c r="H1604" s="6" t="n">
        <x:v>4</x:v>
      </x:c>
      <x:c r="I1604" s="6" t="n">
        <x:f>G1604-H1604</x:f>
        <x:v>1</x:v>
      </x:c>
      <x:c r="J1604" s="6" t="n">
        <x:f>IF(OR(E1604="CANCELED",E1604="SUSPECTED_FRAUD",F1604="Shipping canceled"),0,1)</x:f>
        <x:v>1</x:v>
      </x:c>
      <x:c r="K1604" s="6" t="n">
        <x:f>IF(G1604&gt;H1604,1,0)</x:f>
        <x:v>1</x:v>
      </x:c>
      <x:c r="L1604" s="6" t="n">
        <x:f>J1604*K1604</x:f>
        <x:v>1</x:v>
      </x:c>
    </x:row>
    <x:row r="1605">
      <x:c r="A1605" s="1" t="n">
        <x:v>13071</x:v>
      </x:c>
      <x:c r="B1605" s="5" t="d">
        <x:v>2015-07-10T00:00:00.000Z</x:v>
      </x:c>
      <x:c r="C1605" s="1" t="str">
        <x:v>Standard Class</x:v>
      </x:c>
      <x:c r="D1605" s="1" t="str">
        <x:v>Europe</x:v>
      </x:c>
      <x:c r="E1605" s="1" t="str">
        <x:v>PROCESSING</x:v>
      </x:c>
      <x:c r="F1605" s="1" t="str">
        <x:v>Advance shipping</x:v>
      </x:c>
      <x:c r="G1605" s="6" t="n">
        <x:v>2</x:v>
      </x:c>
      <x:c r="H1605" s="6" t="n">
        <x:v>4</x:v>
      </x:c>
      <x:c r="I1605" s="6" t="n">
        <x:f>G1605-H1605</x:f>
        <x:v>-2</x:v>
      </x:c>
      <x:c r="J1605" s="6" t="n">
        <x:f>IF(OR(E1605="CANCELED",E1605="SUSPECTED_FRAUD",F1605="Shipping canceled"),0,1)</x:f>
        <x:v>1</x:v>
      </x:c>
      <x:c r="K1605" s="6" t="n">
        <x:f>IF(G1605&gt;H1605,1,0)</x:f>
        <x:v>0</x:v>
      </x:c>
      <x:c r="L1605" s="6" t="n">
        <x:f>J1605*K1605</x:f>
        <x:v>0</x:v>
      </x:c>
    </x:row>
    <x:row r="1606">
      <x:c r="A1606" s="1" t="n">
        <x:v>13073</x:v>
      </x:c>
      <x:c r="B1606" s="5" t="d">
        <x:v>2015-07-10T00:00:00.000Z</x:v>
      </x:c>
      <x:c r="C1606" s="1" t="str">
        <x:v>Second Class</x:v>
      </x:c>
      <x:c r="D1606" s="1" t="str">
        <x:v>Europe</x:v>
      </x:c>
      <x:c r="E1606" s="1" t="str">
        <x:v>CLOSED</x:v>
      </x:c>
      <x:c r="F1606" s="1" t="str">
        <x:v>Late delivery</x:v>
      </x:c>
      <x:c r="G1606" s="6" t="n">
        <x:v>4</x:v>
      </x:c>
      <x:c r="H1606" s="6" t="n">
        <x:v>2</x:v>
      </x:c>
      <x:c r="I1606" s="6" t="n">
        <x:f>G1606-H1606</x:f>
        <x:v>2</x:v>
      </x:c>
      <x:c r="J1606" s="6" t="n">
        <x:f>IF(OR(E1606="CANCELED",E1606="SUSPECTED_FRAUD",F1606="Shipping canceled"),0,1)</x:f>
        <x:v>1</x:v>
      </x:c>
      <x:c r="K1606" s="6" t="n">
        <x:f>IF(G1606&gt;H1606,1,0)</x:f>
        <x:v>1</x:v>
      </x:c>
      <x:c r="L1606" s="6" t="n">
        <x:f>J1606*K1606</x:f>
        <x:v>1</x:v>
      </x:c>
    </x:row>
    <x:row r="1607">
      <x:c r="A1607" s="1" t="n">
        <x:v>13081</x:v>
      </x:c>
      <x:c r="B1607" s="5" t="d">
        <x:v>2015-07-10T00:00:00.000Z</x:v>
      </x:c>
      <x:c r="C1607" s="1" t="str">
        <x:v>Standard Class</x:v>
      </x:c>
      <x:c r="D1607" s="1" t="str">
        <x:v>Europe</x:v>
      </x:c>
      <x:c r="E1607" s="1" t="str">
        <x:v>PROCESSING</x:v>
      </x:c>
      <x:c r="F1607" s="1" t="str">
        <x:v>Advance shipping</x:v>
      </x:c>
      <x:c r="G1607" s="6" t="n">
        <x:v>2</x:v>
      </x:c>
      <x:c r="H1607" s="6" t="n">
        <x:v>4</x:v>
      </x:c>
      <x:c r="I1607" s="6" t="n">
        <x:f>G1607-H1607</x:f>
        <x:v>-2</x:v>
      </x:c>
      <x:c r="J1607" s="6" t="n">
        <x:f>IF(OR(E1607="CANCELED",E1607="SUSPECTED_FRAUD",F1607="Shipping canceled"),0,1)</x:f>
        <x:v>1</x:v>
      </x:c>
      <x:c r="K1607" s="6" t="n">
        <x:f>IF(G1607&gt;H1607,1,0)</x:f>
        <x:v>0</x:v>
      </x:c>
      <x:c r="L1607" s="6" t="n">
        <x:f>J1607*K1607</x:f>
        <x:v>0</x:v>
      </x:c>
    </x:row>
    <x:row r="1608">
      <x:c r="A1608" s="1" t="n">
        <x:v>13100</x:v>
      </x:c>
      <x:c r="B1608" s="5" t="d">
        <x:v>2015-07-11T00:00:00.000Z</x:v>
      </x:c>
      <x:c r="C1608" s="1" t="str">
        <x:v>First Class</x:v>
      </x:c>
      <x:c r="D1608" s="1" t="str">
        <x:v>Europe</x:v>
      </x:c>
      <x:c r="E1608" s="1" t="str">
        <x:v>PENDING_PAYMENT</x:v>
      </x:c>
      <x:c r="F1608" s="1" t="str">
        <x:v>Late delivery</x:v>
      </x:c>
      <x:c r="G1608" s="6" t="n">
        <x:v>2</x:v>
      </x:c>
      <x:c r="H1608" s="6" t="n">
        <x:v>1</x:v>
      </x:c>
      <x:c r="I1608" s="6" t="n">
        <x:f>G1608-H1608</x:f>
        <x:v>1</x:v>
      </x:c>
      <x:c r="J1608" s="6" t="n">
        <x:f>IF(OR(E1608="CANCELED",E1608="SUSPECTED_FRAUD",F1608="Shipping canceled"),0,1)</x:f>
        <x:v>1</x:v>
      </x:c>
      <x:c r="K1608" s="6" t="n">
        <x:f>IF(G1608&gt;H1608,1,0)</x:f>
        <x:v>1</x:v>
      </x:c>
      <x:c r="L1608" s="6" t="n">
        <x:f>J1608*K1608</x:f>
        <x:v>1</x:v>
      </x:c>
    </x:row>
    <x:row r="1609">
      <x:c r="A1609" s="1" t="n">
        <x:v>13106</x:v>
      </x:c>
      <x:c r="B1609" s="5" t="d">
        <x:v>2015-07-11T00:00:00.000Z</x:v>
      </x:c>
      <x:c r="C1609" s="1" t="str">
        <x:v>Standard Class</x:v>
      </x:c>
      <x:c r="D1609" s="1" t="str">
        <x:v>Europe</x:v>
      </x:c>
      <x:c r="E1609" s="1" t="str">
        <x:v>PROCESSING</x:v>
      </x:c>
      <x:c r="F1609" s="1" t="str">
        <x:v>Advance shipping</x:v>
      </x:c>
      <x:c r="G1609" s="6" t="n">
        <x:v>2</x:v>
      </x:c>
      <x:c r="H1609" s="6" t="n">
        <x:v>4</x:v>
      </x:c>
      <x:c r="I1609" s="6" t="n">
        <x:f>G1609-H1609</x:f>
        <x:v>-2</x:v>
      </x:c>
      <x:c r="J1609" s="6" t="n">
        <x:f>IF(OR(E1609="CANCELED",E1609="SUSPECTED_FRAUD",F1609="Shipping canceled"),0,1)</x:f>
        <x:v>1</x:v>
      </x:c>
      <x:c r="K1609" s="6" t="n">
        <x:f>IF(G1609&gt;H1609,1,0)</x:f>
        <x:v>0</x:v>
      </x:c>
      <x:c r="L1609" s="6" t="n">
        <x:f>J1609*K1609</x:f>
        <x:v>0</x:v>
      </x:c>
    </x:row>
    <x:row r="1610">
      <x:c r="A1610" s="1" t="n">
        <x:v>13116</x:v>
      </x:c>
      <x:c r="B1610" s="5" t="d">
        <x:v>2015-07-11T00:00:00.000Z</x:v>
      </x:c>
      <x:c r="C1610" s="1" t="str">
        <x:v>First Class</x:v>
      </x:c>
      <x:c r="D1610" s="1" t="str">
        <x:v>Europe</x:v>
      </x:c>
      <x:c r="E1610" s="1" t="str">
        <x:v>PENDING_PAYMENT</x:v>
      </x:c>
      <x:c r="F1610" s="1" t="str">
        <x:v>Late delivery</x:v>
      </x:c>
      <x:c r="G1610" s="6" t="n">
        <x:v>2</x:v>
      </x:c>
      <x:c r="H1610" s="6" t="n">
        <x:v>1</x:v>
      </x:c>
      <x:c r="I1610" s="6" t="n">
        <x:f>G1610-H1610</x:f>
        <x:v>1</x:v>
      </x:c>
      <x:c r="J1610" s="6" t="n">
        <x:f>IF(OR(E1610="CANCELED",E1610="SUSPECTED_FRAUD",F1610="Shipping canceled"),0,1)</x:f>
        <x:v>1</x:v>
      </x:c>
      <x:c r="K1610" s="6" t="n">
        <x:f>IF(G1610&gt;H1610,1,0)</x:f>
        <x:v>1</x:v>
      </x:c>
      <x:c r="L1610" s="6" t="n">
        <x:f>J1610*K1610</x:f>
        <x:v>1</x:v>
      </x:c>
    </x:row>
    <x:row r="1611">
      <x:c r="A1611" s="1" t="n">
        <x:v>13120</x:v>
      </x:c>
      <x:c r="B1611" s="5" t="d">
        <x:v>2015-07-11T00:00:00.000Z</x:v>
      </x:c>
      <x:c r="C1611" s="1" t="str">
        <x:v>Standard Class</x:v>
      </x:c>
      <x:c r="D1611" s="1" t="str">
        <x:v>Europe</x:v>
      </x:c>
      <x:c r="E1611" s="1" t="str">
        <x:v>COMPLETE</x:v>
      </x:c>
      <x:c r="F1611" s="1" t="str">
        <x:v>Late delivery</x:v>
      </x:c>
      <x:c r="G1611" s="6" t="n">
        <x:v>6</x:v>
      </x:c>
      <x:c r="H1611" s="6" t="n">
        <x:v>4</x:v>
      </x:c>
      <x:c r="I1611" s="6" t="n">
        <x:f>G1611-H1611</x:f>
        <x:v>2</x:v>
      </x:c>
      <x:c r="J1611" s="6" t="n">
        <x:f>IF(OR(E1611="CANCELED",E1611="SUSPECTED_FRAUD",F1611="Shipping canceled"),0,1)</x:f>
        <x:v>1</x:v>
      </x:c>
      <x:c r="K1611" s="6" t="n">
        <x:f>IF(G1611&gt;H1611,1,0)</x:f>
        <x:v>1</x:v>
      </x:c>
      <x:c r="L1611" s="6" t="n">
        <x:f>J1611*K1611</x:f>
        <x:v>1</x:v>
      </x:c>
    </x:row>
    <x:row r="1612">
      <x:c r="A1612" s="1" t="n">
        <x:v>13129</x:v>
      </x:c>
      <x:c r="B1612" s="5" t="d">
        <x:v>2015-07-11T00:00:00.000Z</x:v>
      </x:c>
      <x:c r="C1612" s="1" t="str">
        <x:v>Standard Class</x:v>
      </x:c>
      <x:c r="D1612" s="1" t="str">
        <x:v>Europe</x:v>
      </x:c>
      <x:c r="E1612" s="1" t="str">
        <x:v>PROCESSING</x:v>
      </x:c>
      <x:c r="F1612" s="1" t="str">
        <x:v>Late delivery</x:v>
      </x:c>
      <x:c r="G1612" s="6" t="n">
        <x:v>5</x:v>
      </x:c>
      <x:c r="H1612" s="6" t="n">
        <x:v>4</x:v>
      </x:c>
      <x:c r="I1612" s="6" t="n">
        <x:f>G1612-H1612</x:f>
        <x:v>1</x:v>
      </x:c>
      <x:c r="J1612" s="6" t="n">
        <x:f>IF(OR(E1612="CANCELED",E1612="SUSPECTED_FRAUD",F1612="Shipping canceled"),0,1)</x:f>
        <x:v>1</x:v>
      </x:c>
      <x:c r="K1612" s="6" t="n">
        <x:f>IF(G1612&gt;H1612,1,0)</x:f>
        <x:v>1</x:v>
      </x:c>
      <x:c r="L1612" s="6" t="n">
        <x:f>J1612*K1612</x:f>
        <x:v>1</x:v>
      </x:c>
    </x:row>
    <x:row r="1613">
      <x:c r="A1613" s="1" t="n">
        <x:v>13134</x:v>
      </x:c>
      <x:c r="B1613" s="5" t="d">
        <x:v>2015-07-11T00:00:00.000Z</x:v>
      </x:c>
      <x:c r="C1613" s="1" t="str">
        <x:v>Standard Class</x:v>
      </x:c>
      <x:c r="D1613" s="1" t="str">
        <x:v>Europe</x:v>
      </x:c>
      <x:c r="E1613" s="1" t="str">
        <x:v>CLOSED</x:v>
      </x:c>
      <x:c r="F1613" s="1" t="str">
        <x:v>Late delivery</x:v>
      </x:c>
      <x:c r="G1613" s="6" t="n">
        <x:v>5</x:v>
      </x:c>
      <x:c r="H1613" s="6" t="n">
        <x:v>4</x:v>
      </x:c>
      <x:c r="I1613" s="6" t="n">
        <x:f>G1613-H1613</x:f>
        <x:v>1</x:v>
      </x:c>
      <x:c r="J1613" s="6" t="n">
        <x:f>IF(OR(E1613="CANCELED",E1613="SUSPECTED_FRAUD",F1613="Shipping canceled"),0,1)</x:f>
        <x:v>1</x:v>
      </x:c>
      <x:c r="K1613" s="6" t="n">
        <x:f>IF(G1613&gt;H1613,1,0)</x:f>
        <x:v>1</x:v>
      </x:c>
      <x:c r="L1613" s="6" t="n">
        <x:f>J1613*K1613</x:f>
        <x:v>1</x:v>
      </x:c>
    </x:row>
    <x:row r="1614">
      <x:c r="A1614" s="1" t="n">
        <x:v>13138</x:v>
      </x:c>
      <x:c r="B1614" s="5" t="d">
        <x:v>2015-07-11T00:00:00.000Z</x:v>
      </x:c>
      <x:c r="C1614" s="1" t="str">
        <x:v>Second Class</x:v>
      </x:c>
      <x:c r="D1614" s="1" t="str">
        <x:v>Europe</x:v>
      </x:c>
      <x:c r="E1614" s="1" t="str">
        <x:v>PENDING</x:v>
      </x:c>
      <x:c r="F1614" s="1" t="str">
        <x:v>Late delivery</x:v>
      </x:c>
      <x:c r="G1614" s="6" t="n">
        <x:v>4</x:v>
      </x:c>
      <x:c r="H1614" s="6" t="n">
        <x:v>2</x:v>
      </x:c>
      <x:c r="I1614" s="6" t="n">
        <x:f>G1614-H1614</x:f>
        <x:v>2</x:v>
      </x:c>
      <x:c r="J1614" s="6" t="n">
        <x:f>IF(OR(E1614="CANCELED",E1614="SUSPECTED_FRAUD",F1614="Shipping canceled"),0,1)</x:f>
        <x:v>1</x:v>
      </x:c>
      <x:c r="K1614" s="6" t="n">
        <x:f>IF(G1614&gt;H1614,1,0)</x:f>
        <x:v>1</x:v>
      </x:c>
      <x:c r="L1614" s="6" t="n">
        <x:f>J1614*K1614</x:f>
        <x:v>1</x:v>
      </x:c>
    </x:row>
    <x:row r="1615">
      <x:c r="A1615" s="1" t="n">
        <x:v>13139</x:v>
      </x:c>
      <x:c r="B1615" s="5" t="d">
        <x:v>2015-07-11T00:00:00.000Z</x:v>
      </x:c>
      <x:c r="C1615" s="1" t="str">
        <x:v>Second Class</x:v>
      </x:c>
      <x:c r="D1615" s="1" t="str">
        <x:v>Europe</x:v>
      </x:c>
      <x:c r="E1615" s="1" t="str">
        <x:v>COMPLETE</x:v>
      </x:c>
      <x:c r="F1615" s="1" t="str">
        <x:v>Late delivery</x:v>
      </x:c>
      <x:c r="G1615" s="6" t="n">
        <x:v>5</x:v>
      </x:c>
      <x:c r="H1615" s="6" t="n">
        <x:v>2</x:v>
      </x:c>
      <x:c r="I1615" s="6" t="n">
        <x:f>G1615-H1615</x:f>
        <x:v>3</x:v>
      </x:c>
      <x:c r="J1615" s="6" t="n">
        <x:f>IF(OR(E1615="CANCELED",E1615="SUSPECTED_FRAUD",F1615="Shipping canceled"),0,1)</x:f>
        <x:v>1</x:v>
      </x:c>
      <x:c r="K1615" s="6" t="n">
        <x:f>IF(G1615&gt;H1615,1,0)</x:f>
        <x:v>1</x:v>
      </x:c>
      <x:c r="L1615" s="6" t="n">
        <x:f>J1615*K1615</x:f>
        <x:v>1</x:v>
      </x:c>
    </x:row>
    <x:row r="1616">
      <x:c r="A1616" s="1" t="n">
        <x:v>13140</x:v>
      </x:c>
      <x:c r="B1616" s="5" t="d">
        <x:v>2015-07-11T00:00:00.000Z</x:v>
      </x:c>
      <x:c r="C1616" s="1" t="str">
        <x:v>Second Class</x:v>
      </x:c>
      <x:c r="D1616" s="1" t="str">
        <x:v>Europe</x:v>
      </x:c>
      <x:c r="E1616" s="1" t="str">
        <x:v>PENDING_PAYMENT</x:v>
      </x:c>
      <x:c r="F1616" s="1" t="str">
        <x:v>Late delivery</x:v>
      </x:c>
      <x:c r="G1616" s="6" t="n">
        <x:v>6</x:v>
      </x:c>
      <x:c r="H1616" s="6" t="n">
        <x:v>2</x:v>
      </x:c>
      <x:c r="I1616" s="6" t="n">
        <x:f>G1616-H1616</x:f>
        <x:v>4</x:v>
      </x:c>
      <x:c r="J1616" s="6" t="n">
        <x:f>IF(OR(E1616="CANCELED",E1616="SUSPECTED_FRAUD",F1616="Shipping canceled"),0,1)</x:f>
        <x:v>1</x:v>
      </x:c>
      <x:c r="K1616" s="6" t="n">
        <x:f>IF(G1616&gt;H1616,1,0)</x:f>
        <x:v>1</x:v>
      </x:c>
      <x:c r="L1616" s="6" t="n">
        <x:f>J1616*K1616</x:f>
        <x:v>1</x:v>
      </x:c>
    </x:row>
    <x:row r="1617">
      <x:c r="A1617" s="1" t="n">
        <x:v>13141</x:v>
      </x:c>
      <x:c r="B1617" s="5" t="d">
        <x:v>2015-07-11T00:00:00.000Z</x:v>
      </x:c>
      <x:c r="C1617" s="1" t="str">
        <x:v>Standard Class</x:v>
      </x:c>
      <x:c r="D1617" s="1" t="str">
        <x:v>Europe</x:v>
      </x:c>
      <x:c r="E1617" s="1" t="str">
        <x:v>COMPLETE</x:v>
      </x:c>
      <x:c r="F1617" s="1" t="str">
        <x:v>Advance shipping</x:v>
      </x:c>
      <x:c r="G1617" s="6" t="n">
        <x:v>2</x:v>
      </x:c>
      <x:c r="H1617" s="6" t="n">
        <x:v>4</x:v>
      </x:c>
      <x:c r="I1617" s="6" t="n">
        <x:f>G1617-H1617</x:f>
        <x:v>-2</x:v>
      </x:c>
      <x:c r="J1617" s="6" t="n">
        <x:f>IF(OR(E1617="CANCELED",E1617="SUSPECTED_FRAUD",F1617="Shipping canceled"),0,1)</x:f>
        <x:v>1</x:v>
      </x:c>
      <x:c r="K1617" s="6" t="n">
        <x:f>IF(G1617&gt;H1617,1,0)</x:f>
        <x:v>0</x:v>
      </x:c>
      <x:c r="L1617" s="6" t="n">
        <x:f>J1617*K1617</x:f>
        <x:v>0</x:v>
      </x:c>
    </x:row>
    <x:row r="1618">
      <x:c r="A1618" s="1" t="n">
        <x:v>13149</x:v>
      </x:c>
      <x:c r="B1618" s="5" t="d">
        <x:v>2015-07-11T00:00:00.000Z</x:v>
      </x:c>
      <x:c r="C1618" s="1" t="str">
        <x:v>Standard Class</x:v>
      </x:c>
      <x:c r="D1618" s="1" t="str">
        <x:v>Europe</x:v>
      </x:c>
      <x:c r="E1618" s="1" t="str">
        <x:v>COMPLETE</x:v>
      </x:c>
      <x:c r="F1618" s="1" t="str">
        <x:v>Late delivery</x:v>
      </x:c>
      <x:c r="G1618" s="6" t="n">
        <x:v>5</x:v>
      </x:c>
      <x:c r="H1618" s="6" t="n">
        <x:v>4</x:v>
      </x:c>
      <x:c r="I1618" s="6" t="n">
        <x:f>G1618-H1618</x:f>
        <x:v>1</x:v>
      </x:c>
      <x:c r="J1618" s="6" t="n">
        <x:f>IF(OR(E1618="CANCELED",E1618="SUSPECTED_FRAUD",F1618="Shipping canceled"),0,1)</x:f>
        <x:v>1</x:v>
      </x:c>
      <x:c r="K1618" s="6" t="n">
        <x:f>IF(G1618&gt;H1618,1,0)</x:f>
        <x:v>1</x:v>
      </x:c>
      <x:c r="L1618" s="6" t="n">
        <x:f>J1618*K1618</x:f>
        <x:v>1</x:v>
      </x:c>
    </x:row>
    <x:row r="1619">
      <x:c r="A1619" s="1" t="n">
        <x:v>13152</x:v>
      </x:c>
      <x:c r="B1619" s="5" t="d">
        <x:v>2015-07-11T00:00:00.000Z</x:v>
      </x:c>
      <x:c r="C1619" s="1" t="str">
        <x:v>Standard Class</x:v>
      </x:c>
      <x:c r="D1619" s="1" t="str">
        <x:v>Europe</x:v>
      </x:c>
      <x:c r="E1619" s="1" t="str">
        <x:v>COMPLETE</x:v>
      </x:c>
      <x:c r="F1619" s="1" t="str">
        <x:v>Advance shipping</x:v>
      </x:c>
      <x:c r="G1619" s="6" t="n">
        <x:v>3</x:v>
      </x:c>
      <x:c r="H1619" s="6" t="n">
        <x:v>4</x:v>
      </x:c>
      <x:c r="I1619" s="6" t="n">
        <x:f>G1619-H1619</x:f>
        <x:v>-1</x:v>
      </x:c>
      <x:c r="J1619" s="6" t="n">
        <x:f>IF(OR(E1619="CANCELED",E1619="SUSPECTED_FRAUD",F1619="Shipping canceled"),0,1)</x:f>
        <x:v>1</x:v>
      </x:c>
      <x:c r="K1619" s="6" t="n">
        <x:f>IF(G1619&gt;H1619,1,0)</x:f>
        <x:v>0</x:v>
      </x:c>
      <x:c r="L1619" s="6" t="n">
        <x:f>J1619*K1619</x:f>
        <x:v>0</x:v>
      </x:c>
    </x:row>
    <x:row r="1620">
      <x:c r="A1620" s="1" t="n">
        <x:v>13176</x:v>
      </x:c>
      <x:c r="B1620" s="5" t="d">
        <x:v>2015-07-12T00:00:00.000Z</x:v>
      </x:c>
      <x:c r="C1620" s="1" t="str">
        <x:v>Standard Class</x:v>
      </x:c>
      <x:c r="D1620" s="1" t="str">
        <x:v>Europe</x:v>
      </x:c>
      <x:c r="E1620" s="1" t="str">
        <x:v>COMPLETE</x:v>
      </x:c>
      <x:c r="F1620" s="1" t="str">
        <x:v>Advance shipping</x:v>
      </x:c>
      <x:c r="G1620" s="6" t="n">
        <x:v>2</x:v>
      </x:c>
      <x:c r="H1620" s="6" t="n">
        <x:v>4</x:v>
      </x:c>
      <x:c r="I1620" s="6" t="n">
        <x:f>G1620-H1620</x:f>
        <x:v>-2</x:v>
      </x:c>
      <x:c r="J1620" s="6" t="n">
        <x:f>IF(OR(E1620="CANCELED",E1620="SUSPECTED_FRAUD",F1620="Shipping canceled"),0,1)</x:f>
        <x:v>1</x:v>
      </x:c>
      <x:c r="K1620" s="6" t="n">
        <x:f>IF(G1620&gt;H1620,1,0)</x:f>
        <x:v>0</x:v>
      </x:c>
      <x:c r="L1620" s="6" t="n">
        <x:f>J1620*K1620</x:f>
        <x:v>0</x:v>
      </x:c>
    </x:row>
    <x:row r="1621">
      <x:c r="A1621" s="1" t="n">
        <x:v>13179</x:v>
      </x:c>
      <x:c r="B1621" s="5" t="d">
        <x:v>2015-07-12T00:00:00.000Z</x:v>
      </x:c>
      <x:c r="C1621" s="1" t="str">
        <x:v>Standard Class</x:v>
      </x:c>
      <x:c r="D1621" s="1" t="str">
        <x:v>Europe</x:v>
      </x:c>
      <x:c r="E1621" s="1" t="str">
        <x:v>PROCESSING</x:v>
      </x:c>
      <x:c r="F1621" s="1" t="str">
        <x:v>Late delivery</x:v>
      </x:c>
      <x:c r="G1621" s="6" t="n">
        <x:v>5</x:v>
      </x:c>
      <x:c r="H1621" s="6" t="n">
        <x:v>4</x:v>
      </x:c>
      <x:c r="I1621" s="6" t="n">
        <x:f>G1621-H1621</x:f>
        <x:v>1</x:v>
      </x:c>
      <x:c r="J1621" s="6" t="n">
        <x:f>IF(OR(E1621="CANCELED",E1621="SUSPECTED_FRAUD",F1621="Shipping canceled"),0,1)</x:f>
        <x:v>1</x:v>
      </x:c>
      <x:c r="K1621" s="6" t="n">
        <x:f>IF(G1621&gt;H1621,1,0)</x:f>
        <x:v>1</x:v>
      </x:c>
      <x:c r="L1621" s="6" t="n">
        <x:f>J1621*K1621</x:f>
        <x:v>1</x:v>
      </x:c>
    </x:row>
    <x:row r="1622">
      <x:c r="A1622" s="1" t="n">
        <x:v>13190</x:v>
      </x:c>
      <x:c r="B1622" s="5" t="d">
        <x:v>2015-07-12T00:00:00.000Z</x:v>
      </x:c>
      <x:c r="C1622" s="1" t="str">
        <x:v>Standard Class</x:v>
      </x:c>
      <x:c r="D1622" s="1" t="str">
        <x:v>Europe</x:v>
      </x:c>
      <x:c r="E1622" s="1" t="str">
        <x:v>COMPLETE</x:v>
      </x:c>
      <x:c r="F1622" s="1" t="str">
        <x:v>Late delivery</x:v>
      </x:c>
      <x:c r="G1622" s="6" t="n">
        <x:v>6</x:v>
      </x:c>
      <x:c r="H1622" s="6" t="n">
        <x:v>4</x:v>
      </x:c>
      <x:c r="I1622" s="6" t="n">
        <x:f>G1622-H1622</x:f>
        <x:v>2</x:v>
      </x:c>
      <x:c r="J1622" s="6" t="n">
        <x:f>IF(OR(E1622="CANCELED",E1622="SUSPECTED_FRAUD",F1622="Shipping canceled"),0,1)</x:f>
        <x:v>1</x:v>
      </x:c>
      <x:c r="K1622" s="6" t="n">
        <x:f>IF(G1622&gt;H1622,1,0)</x:f>
        <x:v>1</x:v>
      </x:c>
      <x:c r="L1622" s="6" t="n">
        <x:f>J1622*K1622</x:f>
        <x:v>1</x:v>
      </x:c>
    </x:row>
    <x:row r="1623">
      <x:c r="A1623" s="1" t="n">
        <x:v>13201</x:v>
      </x:c>
      <x:c r="B1623" s="5" t="d">
        <x:v>2015-07-12T00:00:00.000Z</x:v>
      </x:c>
      <x:c r="C1623" s="1" t="str">
        <x:v>Standard Class</x:v>
      </x:c>
      <x:c r="D1623" s="1" t="str">
        <x:v>Europe</x:v>
      </x:c>
      <x:c r="E1623" s="1" t="str">
        <x:v>COMPLETE</x:v>
      </x:c>
      <x:c r="F1623" s="1" t="str">
        <x:v>Advance shipping</x:v>
      </x:c>
      <x:c r="G1623" s="6" t="n">
        <x:v>2</x:v>
      </x:c>
      <x:c r="H1623" s="6" t="n">
        <x:v>4</x:v>
      </x:c>
      <x:c r="I1623" s="6" t="n">
        <x:f>G1623-H1623</x:f>
        <x:v>-2</x:v>
      </x:c>
      <x:c r="J1623" s="6" t="n">
        <x:f>IF(OR(E1623="CANCELED",E1623="SUSPECTED_FRAUD",F1623="Shipping canceled"),0,1)</x:f>
        <x:v>1</x:v>
      </x:c>
      <x:c r="K1623" s="6" t="n">
        <x:f>IF(G1623&gt;H1623,1,0)</x:f>
        <x:v>0</x:v>
      </x:c>
      <x:c r="L1623" s="6" t="n">
        <x:f>J1623*K1623</x:f>
        <x:v>0</x:v>
      </x:c>
    </x:row>
    <x:row r="1624">
      <x:c r="A1624" s="1" t="n">
        <x:v>13202</x:v>
      </x:c>
      <x:c r="B1624" s="5" t="d">
        <x:v>2015-07-12T00:00:00.000Z</x:v>
      </x:c>
      <x:c r="C1624" s="1" t="str">
        <x:v>Standard Class</x:v>
      </x:c>
      <x:c r="D1624" s="1" t="str">
        <x:v>Europe</x:v>
      </x:c>
      <x:c r="E1624" s="1" t="str">
        <x:v>COMPLETE</x:v>
      </x:c>
      <x:c r="F1624" s="1" t="str">
        <x:v>Advance shipping</x:v>
      </x:c>
      <x:c r="G1624" s="6" t="n">
        <x:v>3</x:v>
      </x:c>
      <x:c r="H1624" s="6" t="n">
        <x:v>4</x:v>
      </x:c>
      <x:c r="I1624" s="6" t="n">
        <x:f>G1624-H1624</x:f>
        <x:v>-1</x:v>
      </x:c>
      <x:c r="J1624" s="6" t="n">
        <x:f>IF(OR(E1624="CANCELED",E1624="SUSPECTED_FRAUD",F1624="Shipping canceled"),0,1)</x:f>
        <x:v>1</x:v>
      </x:c>
      <x:c r="K1624" s="6" t="n">
        <x:f>IF(G1624&gt;H1624,1,0)</x:f>
        <x:v>0</x:v>
      </x:c>
      <x:c r="L1624" s="6" t="n">
        <x:f>J1624*K1624</x:f>
        <x:v>0</x:v>
      </x:c>
    </x:row>
    <x:row r="1625">
      <x:c r="A1625" s="1" t="n">
        <x:v>13205</x:v>
      </x:c>
      <x:c r="B1625" s="5" t="d">
        <x:v>2015-07-12T00:00:00.000Z</x:v>
      </x:c>
      <x:c r="C1625" s="1" t="str">
        <x:v>First Class</x:v>
      </x:c>
      <x:c r="D1625" s="1" t="str">
        <x:v>Europe</x:v>
      </x:c>
      <x:c r="E1625" s="1" t="str">
        <x:v>PENDING_PAYMENT</x:v>
      </x:c>
      <x:c r="F1625" s="1" t="str">
        <x:v>Late delivery</x:v>
      </x:c>
      <x:c r="G1625" s="6" t="n">
        <x:v>2</x:v>
      </x:c>
      <x:c r="H1625" s="6" t="n">
        <x:v>1</x:v>
      </x:c>
      <x:c r="I1625" s="6" t="n">
        <x:f>G1625-H1625</x:f>
        <x:v>1</x:v>
      </x:c>
      <x:c r="J1625" s="6" t="n">
        <x:f>IF(OR(E1625="CANCELED",E1625="SUSPECTED_FRAUD",F1625="Shipping canceled"),0,1)</x:f>
        <x:v>1</x:v>
      </x:c>
      <x:c r="K1625" s="6" t="n">
        <x:f>IF(G1625&gt;H1625,1,0)</x:f>
        <x:v>1</x:v>
      </x:c>
      <x:c r="L1625" s="6" t="n">
        <x:f>J1625*K1625</x:f>
        <x:v>1</x:v>
      </x:c>
    </x:row>
    <x:row r="1626">
      <x:c r="A1626" s="1" t="n">
        <x:v>13213</x:v>
      </x:c>
      <x:c r="B1626" s="5" t="d">
        <x:v>2015-07-12T00:00:00.000Z</x:v>
      </x:c>
      <x:c r="C1626" s="1" t="str">
        <x:v>Standard Class</x:v>
      </x:c>
      <x:c r="D1626" s="1" t="str">
        <x:v>Europe</x:v>
      </x:c>
      <x:c r="E1626" s="1" t="str">
        <x:v>COMPLETE</x:v>
      </x:c>
      <x:c r="F1626" s="1" t="str">
        <x:v>Shipping on time</x:v>
      </x:c>
      <x:c r="G1626" s="6" t="n">
        <x:v>4</x:v>
      </x:c>
      <x:c r="H1626" s="6" t="n">
        <x:v>4</x:v>
      </x:c>
      <x:c r="I1626" s="6" t="n">
        <x:f>G1626-H1626</x:f>
        <x:v>0</x:v>
      </x:c>
      <x:c r="J1626" s="6" t="n">
        <x:f>IF(OR(E1626="CANCELED",E1626="SUSPECTED_FRAUD",F1626="Shipping canceled"),0,1)</x:f>
        <x:v>1</x:v>
      </x:c>
      <x:c r="K1626" s="6" t="n">
        <x:f>IF(G1626&gt;H1626,1,0)</x:f>
        <x:v>0</x:v>
      </x:c>
      <x:c r="L1626" s="6" t="n">
        <x:f>J1626*K1626</x:f>
        <x:v>0</x:v>
      </x:c>
    </x:row>
    <x:row r="1627">
      <x:c r="A1627" s="1" t="n">
        <x:v>13214</x:v>
      </x:c>
      <x:c r="B1627" s="5" t="d">
        <x:v>2015-07-12T00:00:00.000Z</x:v>
      </x:c>
      <x:c r="C1627" s="1" t="str">
        <x:v>Standard Class</x:v>
      </x:c>
      <x:c r="D1627" s="1" t="str">
        <x:v>Europe</x:v>
      </x:c>
      <x:c r="E1627" s="1" t="str">
        <x:v>ON_HOLD</x:v>
      </x:c>
      <x:c r="F1627" s="1" t="str">
        <x:v>Late delivery</x:v>
      </x:c>
      <x:c r="G1627" s="6" t="n">
        <x:v>5</x:v>
      </x:c>
      <x:c r="H1627" s="6" t="n">
        <x:v>4</x:v>
      </x:c>
      <x:c r="I1627" s="6" t="n">
        <x:f>G1627-H1627</x:f>
        <x:v>1</x:v>
      </x:c>
      <x:c r="J1627" s="6" t="n">
        <x:f>IF(OR(E1627="CANCELED",E1627="SUSPECTED_FRAUD",F1627="Shipping canceled"),0,1)</x:f>
        <x:v>1</x:v>
      </x:c>
      <x:c r="K1627" s="6" t="n">
        <x:f>IF(G1627&gt;H1627,1,0)</x:f>
        <x:v>1</x:v>
      </x:c>
      <x:c r="L1627" s="6" t="n">
        <x:f>J1627*K1627</x:f>
        <x:v>1</x:v>
      </x:c>
    </x:row>
    <x:row r="1628">
      <x:c r="A1628" s="1" t="n">
        <x:v>13215</x:v>
      </x:c>
      <x:c r="B1628" s="5" t="d">
        <x:v>2015-07-12T00:00:00.000Z</x:v>
      </x:c>
      <x:c r="C1628" s="1" t="str">
        <x:v>Standard Class</x:v>
      </x:c>
      <x:c r="D1628" s="1" t="str">
        <x:v>Europe</x:v>
      </x:c>
      <x:c r="E1628" s="1" t="str">
        <x:v>PENDING</x:v>
      </x:c>
      <x:c r="F1628" s="1" t="str">
        <x:v>Late delivery</x:v>
      </x:c>
      <x:c r="G1628" s="6" t="n">
        <x:v>6</x:v>
      </x:c>
      <x:c r="H1628" s="6" t="n">
        <x:v>4</x:v>
      </x:c>
      <x:c r="I1628" s="6" t="n">
        <x:f>G1628-H1628</x:f>
        <x:v>2</x:v>
      </x:c>
      <x:c r="J1628" s="6" t="n">
        <x:f>IF(OR(E1628="CANCELED",E1628="SUSPECTED_FRAUD",F1628="Shipping canceled"),0,1)</x:f>
        <x:v>1</x:v>
      </x:c>
      <x:c r="K1628" s="6" t="n">
        <x:f>IF(G1628&gt;H1628,1,0)</x:f>
        <x:v>1</x:v>
      </x:c>
      <x:c r="L1628" s="6" t="n">
        <x:f>J1628*K1628</x:f>
        <x:v>1</x:v>
      </x:c>
    </x:row>
    <x:row r="1629">
      <x:c r="A1629" s="1" t="n">
        <x:v>13217</x:v>
      </x:c>
      <x:c r="B1629" s="5" t="d">
        <x:v>2015-07-12T00:00:00.000Z</x:v>
      </x:c>
      <x:c r="C1629" s="1" t="str">
        <x:v>Standard Class</x:v>
      </x:c>
      <x:c r="D1629" s="1" t="str">
        <x:v>Europe</x:v>
      </x:c>
      <x:c r="E1629" s="1" t="str">
        <x:v>PENDING</x:v>
      </x:c>
      <x:c r="F1629" s="1" t="str">
        <x:v>Advance shipping</x:v>
      </x:c>
      <x:c r="G1629" s="6" t="n">
        <x:v>3</x:v>
      </x:c>
      <x:c r="H1629" s="6" t="n">
        <x:v>4</x:v>
      </x:c>
      <x:c r="I1629" s="6" t="n">
        <x:f>G1629-H1629</x:f>
        <x:v>-1</x:v>
      </x:c>
      <x:c r="J1629" s="6" t="n">
        <x:f>IF(OR(E1629="CANCELED",E1629="SUSPECTED_FRAUD",F1629="Shipping canceled"),0,1)</x:f>
        <x:v>1</x:v>
      </x:c>
      <x:c r="K1629" s="6" t="n">
        <x:f>IF(G1629&gt;H1629,1,0)</x:f>
        <x:v>0</x:v>
      </x:c>
      <x:c r="L1629" s="6" t="n">
        <x:f>J1629*K1629</x:f>
        <x:v>0</x:v>
      </x:c>
    </x:row>
    <x:row r="1630">
      <x:c r="A1630" s="1" t="n">
        <x:v>13220</x:v>
      </x:c>
      <x:c r="B1630" s="5" t="d">
        <x:v>2015-07-12T00:00:00.000Z</x:v>
      </x:c>
      <x:c r="C1630" s="1" t="str">
        <x:v>Standard Class</x:v>
      </x:c>
      <x:c r="D1630" s="1" t="str">
        <x:v>Europe</x:v>
      </x:c>
      <x:c r="E1630" s="1" t="str">
        <x:v>PROCESSING</x:v>
      </x:c>
      <x:c r="F1630" s="1" t="str">
        <x:v>Late delivery</x:v>
      </x:c>
      <x:c r="G1630" s="6" t="n">
        <x:v>6</x:v>
      </x:c>
      <x:c r="H1630" s="6" t="n">
        <x:v>4</x:v>
      </x:c>
      <x:c r="I1630" s="6" t="n">
        <x:f>G1630-H1630</x:f>
        <x:v>2</x:v>
      </x:c>
      <x:c r="J1630" s="6" t="n">
        <x:f>IF(OR(E1630="CANCELED",E1630="SUSPECTED_FRAUD",F1630="Shipping canceled"),0,1)</x:f>
        <x:v>1</x:v>
      </x:c>
      <x:c r="K1630" s="6" t="n">
        <x:f>IF(G1630&gt;H1630,1,0)</x:f>
        <x:v>1</x:v>
      </x:c>
      <x:c r="L1630" s="6" t="n">
        <x:f>J1630*K1630</x:f>
        <x:v>1</x:v>
      </x:c>
    </x:row>
    <x:row r="1631">
      <x:c r="A1631" s="1" t="n">
        <x:v>13225</x:v>
      </x:c>
      <x:c r="B1631" s="5" t="d">
        <x:v>2015-07-13T00:00:00.000Z</x:v>
      </x:c>
      <x:c r="C1631" s="1" t="str">
        <x:v>Second Class</x:v>
      </x:c>
      <x:c r="D1631" s="1" t="str">
        <x:v>Europe</x:v>
      </x:c>
      <x:c r="E1631" s="1" t="str">
        <x:v>COMPLETE</x:v>
      </x:c>
      <x:c r="F1631" s="1" t="str">
        <x:v>Late delivery</x:v>
      </x:c>
      <x:c r="G1631" s="6" t="n">
        <x:v>6</x:v>
      </x:c>
      <x:c r="H1631" s="6" t="n">
        <x:v>2</x:v>
      </x:c>
      <x:c r="I1631" s="6" t="n">
        <x:f>G1631-H1631</x:f>
        <x:v>4</x:v>
      </x:c>
      <x:c r="J1631" s="6" t="n">
        <x:f>IF(OR(E1631="CANCELED",E1631="SUSPECTED_FRAUD",F1631="Shipping canceled"),0,1)</x:f>
        <x:v>1</x:v>
      </x:c>
      <x:c r="K1631" s="6" t="n">
        <x:f>IF(G1631&gt;H1631,1,0)</x:f>
        <x:v>1</x:v>
      </x:c>
      <x:c r="L1631" s="6" t="n">
        <x:f>J1631*K1631</x:f>
        <x:v>1</x:v>
      </x:c>
    </x:row>
    <x:row r="1632">
      <x:c r="A1632" s="1" t="n">
        <x:v>13231</x:v>
      </x:c>
      <x:c r="B1632" s="5" t="d">
        <x:v>2015-07-13T00:00:00.000Z</x:v>
      </x:c>
      <x:c r="C1632" s="1" t="str">
        <x:v>Standard Class</x:v>
      </x:c>
      <x:c r="D1632" s="1" t="str">
        <x:v>Europe</x:v>
      </x:c>
      <x:c r="E1632" s="1" t="str">
        <x:v>COMPLETE</x:v>
      </x:c>
      <x:c r="F1632" s="1" t="str">
        <x:v>Advance shipping</x:v>
      </x:c>
      <x:c r="G1632" s="6" t="n">
        <x:v>2</x:v>
      </x:c>
      <x:c r="H1632" s="6" t="n">
        <x:v>4</x:v>
      </x:c>
      <x:c r="I1632" s="6" t="n">
        <x:f>G1632-H1632</x:f>
        <x:v>-2</x:v>
      </x:c>
      <x:c r="J1632" s="6" t="n">
        <x:f>IF(OR(E1632="CANCELED",E1632="SUSPECTED_FRAUD",F1632="Shipping canceled"),0,1)</x:f>
        <x:v>1</x:v>
      </x:c>
      <x:c r="K1632" s="6" t="n">
        <x:f>IF(G1632&gt;H1632,1,0)</x:f>
        <x:v>0</x:v>
      </x:c>
      <x:c r="L1632" s="6" t="n">
        <x:f>J1632*K1632</x:f>
        <x:v>0</x:v>
      </x:c>
    </x:row>
    <x:row r="1633">
      <x:c r="A1633" s="1" t="n">
        <x:v>13232</x:v>
      </x:c>
      <x:c r="B1633" s="5" t="d">
        <x:v>2015-07-13T00:00:00.000Z</x:v>
      </x:c>
      <x:c r="C1633" s="1" t="str">
        <x:v>Second Class</x:v>
      </x:c>
      <x:c r="D1633" s="1" t="str">
        <x:v>Europe</x:v>
      </x:c>
      <x:c r="E1633" s="1" t="str">
        <x:v>COMPLETE</x:v>
      </x:c>
      <x:c r="F1633" s="1" t="str">
        <x:v>Late delivery</x:v>
      </x:c>
      <x:c r="G1633" s="6" t="n">
        <x:v>3</x:v>
      </x:c>
      <x:c r="H1633" s="6" t="n">
        <x:v>2</x:v>
      </x:c>
      <x:c r="I1633" s="6" t="n">
        <x:f>G1633-H1633</x:f>
        <x:v>1</x:v>
      </x:c>
      <x:c r="J1633" s="6" t="n">
        <x:f>IF(OR(E1633="CANCELED",E1633="SUSPECTED_FRAUD",F1633="Shipping canceled"),0,1)</x:f>
        <x:v>1</x:v>
      </x:c>
      <x:c r="K1633" s="6" t="n">
        <x:f>IF(G1633&gt;H1633,1,0)</x:f>
        <x:v>1</x:v>
      </x:c>
      <x:c r="L1633" s="6" t="n">
        <x:f>J1633*K1633</x:f>
        <x:v>1</x:v>
      </x:c>
    </x:row>
    <x:row r="1634">
      <x:c r="A1634" s="1" t="n">
        <x:v>13236</x:v>
      </x:c>
      <x:c r="B1634" s="5" t="d">
        <x:v>2015-07-13T00:00:00.000Z</x:v>
      </x:c>
      <x:c r="C1634" s="1" t="str">
        <x:v>Standard Class</x:v>
      </x:c>
      <x:c r="D1634" s="1" t="str">
        <x:v>Europe</x:v>
      </x:c>
      <x:c r="E1634" s="1" t="str">
        <x:v>COMPLETE</x:v>
      </x:c>
      <x:c r="F1634" s="1" t="str">
        <x:v>Advance shipping</x:v>
      </x:c>
      <x:c r="G1634" s="6" t="n">
        <x:v>2</x:v>
      </x:c>
      <x:c r="H1634" s="6" t="n">
        <x:v>4</x:v>
      </x:c>
      <x:c r="I1634" s="6" t="n">
        <x:f>G1634-H1634</x:f>
        <x:v>-2</x:v>
      </x:c>
      <x:c r="J1634" s="6" t="n">
        <x:f>IF(OR(E1634="CANCELED",E1634="SUSPECTED_FRAUD",F1634="Shipping canceled"),0,1)</x:f>
        <x:v>1</x:v>
      </x:c>
      <x:c r="K1634" s="6" t="n">
        <x:f>IF(G1634&gt;H1634,1,0)</x:f>
        <x:v>0</x:v>
      </x:c>
      <x:c r="L1634" s="6" t="n">
        <x:f>J1634*K1634</x:f>
        <x:v>0</x:v>
      </x:c>
    </x:row>
    <x:row r="1635">
      <x:c r="A1635" s="1" t="n">
        <x:v>13243</x:v>
      </x:c>
      <x:c r="B1635" s="5" t="d">
        <x:v>2015-07-13T00:00:00.000Z</x:v>
      </x:c>
      <x:c r="C1635" s="1" t="str">
        <x:v>Standard Class</x:v>
      </x:c>
      <x:c r="D1635" s="1" t="str">
        <x:v>Europe</x:v>
      </x:c>
      <x:c r="E1635" s="1" t="str">
        <x:v>COMPLETE</x:v>
      </x:c>
      <x:c r="F1635" s="1" t="str">
        <x:v>Shipping on time</x:v>
      </x:c>
      <x:c r="G1635" s="6" t="n">
        <x:v>4</x:v>
      </x:c>
      <x:c r="H1635" s="6" t="n">
        <x:v>4</x:v>
      </x:c>
      <x:c r="I1635" s="6" t="n">
        <x:f>G1635-H1635</x:f>
        <x:v>0</x:v>
      </x:c>
      <x:c r="J1635" s="6" t="n">
        <x:f>IF(OR(E1635="CANCELED",E1635="SUSPECTED_FRAUD",F1635="Shipping canceled"),0,1)</x:f>
        <x:v>1</x:v>
      </x:c>
      <x:c r="K1635" s="6" t="n">
        <x:f>IF(G1635&gt;H1635,1,0)</x:f>
        <x:v>0</x:v>
      </x:c>
      <x:c r="L1635" s="6" t="n">
        <x:f>J1635*K1635</x:f>
        <x:v>0</x:v>
      </x:c>
    </x:row>
    <x:row r="1636">
      <x:c r="A1636" s="1" t="n">
        <x:v>13251</x:v>
      </x:c>
      <x:c r="B1636" s="5" t="d">
        <x:v>2015-07-13T00:00:00.000Z</x:v>
      </x:c>
      <x:c r="C1636" s="1" t="str">
        <x:v>Standard Class</x:v>
      </x:c>
      <x:c r="D1636" s="1" t="str">
        <x:v>Europe</x:v>
      </x:c>
      <x:c r="E1636" s="1" t="str">
        <x:v>ON_HOLD</x:v>
      </x:c>
      <x:c r="F1636" s="1" t="str">
        <x:v>Advance shipping</x:v>
      </x:c>
      <x:c r="G1636" s="6" t="n">
        <x:v>2</x:v>
      </x:c>
      <x:c r="H1636" s="6" t="n">
        <x:v>4</x:v>
      </x:c>
      <x:c r="I1636" s="6" t="n">
        <x:f>G1636-H1636</x:f>
        <x:v>-2</x:v>
      </x:c>
      <x:c r="J1636" s="6" t="n">
        <x:f>IF(OR(E1636="CANCELED",E1636="SUSPECTED_FRAUD",F1636="Shipping canceled"),0,1)</x:f>
        <x:v>1</x:v>
      </x:c>
      <x:c r="K1636" s="6" t="n">
        <x:f>IF(G1636&gt;H1636,1,0)</x:f>
        <x:v>0</x:v>
      </x:c>
      <x:c r="L1636" s="6" t="n">
        <x:f>J1636*K1636</x:f>
        <x:v>0</x:v>
      </x:c>
    </x:row>
    <x:row r="1637">
      <x:c r="A1637" s="1" t="n">
        <x:v>13253</x:v>
      </x:c>
      <x:c r="B1637" s="5" t="d">
        <x:v>2015-07-13T00:00:00.000Z</x:v>
      </x:c>
      <x:c r="C1637" s="1" t="str">
        <x:v>Standard Class</x:v>
      </x:c>
      <x:c r="D1637" s="1" t="str">
        <x:v>Europe</x:v>
      </x:c>
      <x:c r="E1637" s="1" t="str">
        <x:v>COMPLETE</x:v>
      </x:c>
      <x:c r="F1637" s="1" t="str">
        <x:v>Shipping on time</x:v>
      </x:c>
      <x:c r="G1637" s="6" t="n">
        <x:v>4</x:v>
      </x:c>
      <x:c r="H1637" s="6" t="n">
        <x:v>4</x:v>
      </x:c>
      <x:c r="I1637" s="6" t="n">
        <x:f>G1637-H1637</x:f>
        <x:v>0</x:v>
      </x:c>
      <x:c r="J1637" s="6" t="n">
        <x:f>IF(OR(E1637="CANCELED",E1637="SUSPECTED_FRAUD",F1637="Shipping canceled"),0,1)</x:f>
        <x:v>1</x:v>
      </x:c>
      <x:c r="K1637" s="6" t="n">
        <x:f>IF(G1637&gt;H1637,1,0)</x:f>
        <x:v>0</x:v>
      </x:c>
      <x:c r="L1637" s="6" t="n">
        <x:f>J1637*K1637</x:f>
        <x:v>0</x:v>
      </x:c>
    </x:row>
    <x:row r="1638">
      <x:c r="A1638" s="1" t="n">
        <x:v>13258</x:v>
      </x:c>
      <x:c r="B1638" s="5" t="d">
        <x:v>2015-07-13T00:00:00.000Z</x:v>
      </x:c>
      <x:c r="C1638" s="1" t="str">
        <x:v>Standard Class</x:v>
      </x:c>
      <x:c r="D1638" s="1" t="str">
        <x:v>Europe</x:v>
      </x:c>
      <x:c r="E1638" s="1" t="str">
        <x:v>PENDING</x:v>
      </x:c>
      <x:c r="F1638" s="1" t="str">
        <x:v>Shipping on time</x:v>
      </x:c>
      <x:c r="G1638" s="6" t="n">
        <x:v>4</x:v>
      </x:c>
      <x:c r="H1638" s="6" t="n">
        <x:v>4</x:v>
      </x:c>
      <x:c r="I1638" s="6" t="n">
        <x:f>G1638-H1638</x:f>
        <x:v>0</x:v>
      </x:c>
      <x:c r="J1638" s="6" t="n">
        <x:f>IF(OR(E1638="CANCELED",E1638="SUSPECTED_FRAUD",F1638="Shipping canceled"),0,1)</x:f>
        <x:v>1</x:v>
      </x:c>
      <x:c r="K1638" s="6" t="n">
        <x:f>IF(G1638&gt;H1638,1,0)</x:f>
        <x:v>0</x:v>
      </x:c>
      <x:c r="L1638" s="6" t="n">
        <x:f>J1638*K1638</x:f>
        <x:v>0</x:v>
      </x:c>
    </x:row>
    <x:row r="1639">
      <x:c r="A1639" s="1" t="n">
        <x:v>13263</x:v>
      </x:c>
      <x:c r="B1639" s="5" t="d">
        <x:v>2015-07-13T00:00:00.000Z</x:v>
      </x:c>
      <x:c r="C1639" s="1" t="str">
        <x:v>Standard Class</x:v>
      </x:c>
      <x:c r="D1639" s="1" t="str">
        <x:v>Europe</x:v>
      </x:c>
      <x:c r="E1639" s="1" t="str">
        <x:v>PENDING_PAYMENT</x:v>
      </x:c>
      <x:c r="F1639" s="1" t="str">
        <x:v>Shipping on time</x:v>
      </x:c>
      <x:c r="G1639" s="6" t="n">
        <x:v>4</x:v>
      </x:c>
      <x:c r="H1639" s="6" t="n">
        <x:v>4</x:v>
      </x:c>
      <x:c r="I1639" s="6" t="n">
        <x:f>G1639-H1639</x:f>
        <x:v>0</x:v>
      </x:c>
      <x:c r="J1639" s="6" t="n">
        <x:f>IF(OR(E1639="CANCELED",E1639="SUSPECTED_FRAUD",F1639="Shipping canceled"),0,1)</x:f>
        <x:v>1</x:v>
      </x:c>
      <x:c r="K1639" s="6" t="n">
        <x:f>IF(G1639&gt;H1639,1,0)</x:f>
        <x:v>0</x:v>
      </x:c>
      <x:c r="L1639" s="6" t="n">
        <x:f>J1639*K1639</x:f>
        <x:v>0</x:v>
      </x:c>
    </x:row>
    <x:row r="1640">
      <x:c r="A1640" s="1" t="n">
        <x:v>13264</x:v>
      </x:c>
      <x:c r="B1640" s="5" t="d">
        <x:v>2015-07-13T00:00:00.000Z</x:v>
      </x:c>
      <x:c r="C1640" s="1" t="str">
        <x:v>Standard Class</x:v>
      </x:c>
      <x:c r="D1640" s="1" t="str">
        <x:v>Europe</x:v>
      </x:c>
      <x:c r="E1640" s="1" t="str">
        <x:v>COMPLETE</x:v>
      </x:c>
      <x:c r="F1640" s="1" t="str">
        <x:v>Late delivery</x:v>
      </x:c>
      <x:c r="G1640" s="6" t="n">
        <x:v>5</x:v>
      </x:c>
      <x:c r="H1640" s="6" t="n">
        <x:v>4</x:v>
      </x:c>
      <x:c r="I1640" s="6" t="n">
        <x:f>G1640-H1640</x:f>
        <x:v>1</x:v>
      </x:c>
      <x:c r="J1640" s="6" t="n">
        <x:f>IF(OR(E1640="CANCELED",E1640="SUSPECTED_FRAUD",F1640="Shipping canceled"),0,1)</x:f>
        <x:v>1</x:v>
      </x:c>
      <x:c r="K1640" s="6" t="n">
        <x:f>IF(G1640&gt;H1640,1,0)</x:f>
        <x:v>1</x:v>
      </x:c>
      <x:c r="L1640" s="6" t="n">
        <x:f>J1640*K1640</x:f>
        <x:v>1</x:v>
      </x:c>
    </x:row>
    <x:row r="1641">
      <x:c r="A1641" s="1" t="n">
        <x:v>13273</x:v>
      </x:c>
      <x:c r="B1641" s="5" t="d">
        <x:v>2015-07-13T00:00:00.000Z</x:v>
      </x:c>
      <x:c r="C1641" s="1" t="str">
        <x:v>Standard Class</x:v>
      </x:c>
      <x:c r="D1641" s="1" t="str">
        <x:v>Europe</x:v>
      </x:c>
      <x:c r="E1641" s="1" t="str">
        <x:v>PROCESSING</x:v>
      </x:c>
      <x:c r="F1641" s="1" t="str">
        <x:v>Shipping on time</x:v>
      </x:c>
      <x:c r="G1641" s="6" t="n">
        <x:v>4</x:v>
      </x:c>
      <x:c r="H1641" s="6" t="n">
        <x:v>4</x:v>
      </x:c>
      <x:c r="I1641" s="6" t="n">
        <x:f>G1641-H1641</x:f>
        <x:v>0</x:v>
      </x:c>
      <x:c r="J1641" s="6" t="n">
        <x:f>IF(OR(E1641="CANCELED",E1641="SUSPECTED_FRAUD",F1641="Shipping canceled"),0,1)</x:f>
        <x:v>1</x:v>
      </x:c>
      <x:c r="K1641" s="6" t="n">
        <x:f>IF(G1641&gt;H1641,1,0)</x:f>
        <x:v>0</x:v>
      </x:c>
      <x:c r="L1641" s="6" t="n">
        <x:f>J1641*K1641</x:f>
        <x:v>0</x:v>
      </x:c>
    </x:row>
    <x:row r="1642">
      <x:c r="A1642" s="1" t="n">
        <x:v>13276</x:v>
      </x:c>
      <x:c r="B1642" s="5" t="d">
        <x:v>2015-07-13T00:00:00.000Z</x:v>
      </x:c>
      <x:c r="C1642" s="1" t="str">
        <x:v>Standard Class</x:v>
      </x:c>
      <x:c r="D1642" s="1" t="str">
        <x:v>Europe</x:v>
      </x:c>
      <x:c r="E1642" s="1" t="str">
        <x:v>PROCESSING</x:v>
      </x:c>
      <x:c r="F1642" s="1" t="str">
        <x:v>Advance shipping</x:v>
      </x:c>
      <x:c r="G1642" s="6" t="n">
        <x:v>2</x:v>
      </x:c>
      <x:c r="H1642" s="6" t="n">
        <x:v>4</x:v>
      </x:c>
      <x:c r="I1642" s="6" t="n">
        <x:f>G1642-H1642</x:f>
        <x:v>-2</x:v>
      </x:c>
      <x:c r="J1642" s="6" t="n">
        <x:f>IF(OR(E1642="CANCELED",E1642="SUSPECTED_FRAUD",F1642="Shipping canceled"),0,1)</x:f>
        <x:v>1</x:v>
      </x:c>
      <x:c r="K1642" s="6" t="n">
        <x:f>IF(G1642&gt;H1642,1,0)</x:f>
        <x:v>0</x:v>
      </x:c>
      <x:c r="L1642" s="6" t="n">
        <x:f>J1642*K1642</x:f>
        <x:v>0</x:v>
      </x:c>
    </x:row>
    <x:row r="1643">
      <x:c r="A1643" s="1" t="n">
        <x:v>13279</x:v>
      </x:c>
      <x:c r="B1643" s="5" t="d">
        <x:v>2015-07-13T00:00:00.000Z</x:v>
      </x:c>
      <x:c r="C1643" s="1" t="str">
        <x:v>First Class</x:v>
      </x:c>
      <x:c r="D1643" s="1" t="str">
        <x:v>Europe</x:v>
      </x:c>
      <x:c r="E1643" s="1" t="str">
        <x:v>PENDING_PAYMENT</x:v>
      </x:c>
      <x:c r="F1643" s="1" t="str">
        <x:v>Late delivery</x:v>
      </x:c>
      <x:c r="G1643" s="6" t="n">
        <x:v>2</x:v>
      </x:c>
      <x:c r="H1643" s="6" t="n">
        <x:v>1</x:v>
      </x:c>
      <x:c r="I1643" s="6" t="n">
        <x:f>G1643-H1643</x:f>
        <x:v>1</x:v>
      </x:c>
      <x:c r="J1643" s="6" t="n">
        <x:f>IF(OR(E1643="CANCELED",E1643="SUSPECTED_FRAUD",F1643="Shipping canceled"),0,1)</x:f>
        <x:v>1</x:v>
      </x:c>
      <x:c r="K1643" s="6" t="n">
        <x:f>IF(G1643&gt;H1643,1,0)</x:f>
        <x:v>1</x:v>
      </x:c>
      <x:c r="L1643" s="6" t="n">
        <x:f>J1643*K1643</x:f>
        <x:v>1</x:v>
      </x:c>
    </x:row>
    <x:row r="1644">
      <x:c r="A1644" s="1" t="n">
        <x:v>13284</x:v>
      </x:c>
      <x:c r="B1644" s="5" t="d">
        <x:v>2015-07-13T00:00:00.000Z</x:v>
      </x:c>
      <x:c r="C1644" s="1" t="str">
        <x:v>Standard Class</x:v>
      </x:c>
      <x:c r="D1644" s="1" t="str">
        <x:v>Europe</x:v>
      </x:c>
      <x:c r="E1644" s="1" t="str">
        <x:v>SUSPECTED_FRAUD</x:v>
      </x:c>
      <x:c r="F1644" s="1" t="str">
        <x:v>Shipping canceled</x:v>
      </x:c>
      <x:c r="G1644" s="6" t="n">
        <x:v>5</x:v>
      </x:c>
      <x:c r="H1644" s="6" t="n">
        <x:v>4</x:v>
      </x:c>
      <x:c r="I1644" s="6" t="n">
        <x:f>G1644-H1644</x:f>
        <x:v>1</x:v>
      </x:c>
      <x:c r="J1644" s="6" t="n">
        <x:f>IF(OR(E1644="CANCELED",E1644="SUSPECTED_FRAUD",F1644="Shipping canceled"),0,1)</x:f>
        <x:v>0</x:v>
      </x:c>
      <x:c r="K1644" s="6" t="n">
        <x:f>IF(G1644&gt;H1644,1,0)</x:f>
        <x:v>1</x:v>
      </x:c>
      <x:c r="L1644" s="6" t="n">
        <x:f>J1644*K1644</x:f>
        <x:v>0</x:v>
      </x:c>
    </x:row>
    <x:row r="1645">
      <x:c r="A1645" s="1" t="n">
        <x:v>13290</x:v>
      </x:c>
      <x:c r="B1645" s="5" t="d">
        <x:v>2015-07-13T00:00:00.000Z</x:v>
      </x:c>
      <x:c r="C1645" s="1" t="str">
        <x:v>Standard Class</x:v>
      </x:c>
      <x:c r="D1645" s="1" t="str">
        <x:v>Europe</x:v>
      </x:c>
      <x:c r="E1645" s="1" t="str">
        <x:v>ON_HOLD</x:v>
      </x:c>
      <x:c r="F1645" s="1" t="str">
        <x:v>Late delivery</x:v>
      </x:c>
      <x:c r="G1645" s="6" t="n">
        <x:v>6</x:v>
      </x:c>
      <x:c r="H1645" s="6" t="n">
        <x:v>4</x:v>
      </x:c>
      <x:c r="I1645" s="6" t="n">
        <x:f>G1645-H1645</x:f>
        <x:v>2</x:v>
      </x:c>
      <x:c r="J1645" s="6" t="n">
        <x:f>IF(OR(E1645="CANCELED",E1645="SUSPECTED_FRAUD",F1645="Shipping canceled"),0,1)</x:f>
        <x:v>1</x:v>
      </x:c>
      <x:c r="K1645" s="6" t="n">
        <x:f>IF(G1645&gt;H1645,1,0)</x:f>
        <x:v>1</x:v>
      </x:c>
      <x:c r="L1645" s="6" t="n">
        <x:f>J1645*K1645</x:f>
        <x:v>1</x:v>
      </x:c>
    </x:row>
    <x:row r="1646">
      <x:c r="A1646" s="1" t="n">
        <x:v>13295</x:v>
      </x:c>
      <x:c r="B1646" s="5" t="d">
        <x:v>2015-07-14T00:00:00.000Z</x:v>
      </x:c>
      <x:c r="C1646" s="1" t="str">
        <x:v>Standard Class</x:v>
      </x:c>
      <x:c r="D1646" s="1" t="str">
        <x:v>Europe</x:v>
      </x:c>
      <x:c r="E1646" s="1" t="str">
        <x:v>COMPLETE</x:v>
      </x:c>
      <x:c r="F1646" s="1" t="str">
        <x:v>Late delivery</x:v>
      </x:c>
      <x:c r="G1646" s="6" t="n">
        <x:v>6</x:v>
      </x:c>
      <x:c r="H1646" s="6" t="n">
        <x:v>4</x:v>
      </x:c>
      <x:c r="I1646" s="6" t="n">
        <x:f>G1646-H1646</x:f>
        <x:v>2</x:v>
      </x:c>
      <x:c r="J1646" s="6" t="n">
        <x:f>IF(OR(E1646="CANCELED",E1646="SUSPECTED_FRAUD",F1646="Shipping canceled"),0,1)</x:f>
        <x:v>1</x:v>
      </x:c>
      <x:c r="K1646" s="6" t="n">
        <x:f>IF(G1646&gt;H1646,1,0)</x:f>
        <x:v>1</x:v>
      </x:c>
      <x:c r="L1646" s="6" t="n">
        <x:f>J1646*K1646</x:f>
        <x:v>1</x:v>
      </x:c>
    </x:row>
    <x:row r="1647">
      <x:c r="A1647" s="1" t="n">
        <x:v>13298</x:v>
      </x:c>
      <x:c r="B1647" s="5" t="d">
        <x:v>2015-07-14T00:00:00.000Z</x:v>
      </x:c>
      <x:c r="C1647" s="1" t="str">
        <x:v>Standard Class</x:v>
      </x:c>
      <x:c r="D1647" s="1" t="str">
        <x:v>Europe</x:v>
      </x:c>
      <x:c r="E1647" s="1" t="str">
        <x:v>CANCELED</x:v>
      </x:c>
      <x:c r="F1647" s="1" t="str">
        <x:v>Shipping canceled</x:v>
      </x:c>
      <x:c r="G1647" s="6" t="n">
        <x:v>4</x:v>
      </x:c>
      <x:c r="H1647" s="6" t="n">
        <x:v>4</x:v>
      </x:c>
      <x:c r="I1647" s="6" t="n">
        <x:f>G1647-H1647</x:f>
        <x:v>0</x:v>
      </x:c>
      <x:c r="J1647" s="6" t="n">
        <x:f>IF(OR(E1647="CANCELED",E1647="SUSPECTED_FRAUD",F1647="Shipping canceled"),0,1)</x:f>
        <x:v>0</x:v>
      </x:c>
      <x:c r="K1647" s="6" t="n">
        <x:f>IF(G1647&gt;H1647,1,0)</x:f>
        <x:v>0</x:v>
      </x:c>
      <x:c r="L1647" s="6" t="n">
        <x:f>J1647*K1647</x:f>
        <x:v>0</x:v>
      </x:c>
    </x:row>
    <x:row r="1648">
      <x:c r="A1648" s="1" t="n">
        <x:v>13304</x:v>
      </x:c>
      <x:c r="B1648" s="5" t="d">
        <x:v>2015-07-14T00:00:00.000Z</x:v>
      </x:c>
      <x:c r="C1648" s="1" t="str">
        <x:v>Standard Class</x:v>
      </x:c>
      <x:c r="D1648" s="1" t="str">
        <x:v>Europe</x:v>
      </x:c>
      <x:c r="E1648" s="1" t="str">
        <x:v>PROCESSING</x:v>
      </x:c>
      <x:c r="F1648" s="1" t="str">
        <x:v>Late delivery</x:v>
      </x:c>
      <x:c r="G1648" s="6" t="n">
        <x:v>5</x:v>
      </x:c>
      <x:c r="H1648" s="6" t="n">
        <x:v>4</x:v>
      </x:c>
      <x:c r="I1648" s="6" t="n">
        <x:f>G1648-H1648</x:f>
        <x:v>1</x:v>
      </x:c>
      <x:c r="J1648" s="6" t="n">
        <x:f>IF(OR(E1648="CANCELED",E1648="SUSPECTED_FRAUD",F1648="Shipping canceled"),0,1)</x:f>
        <x:v>1</x:v>
      </x:c>
      <x:c r="K1648" s="6" t="n">
        <x:f>IF(G1648&gt;H1648,1,0)</x:f>
        <x:v>1</x:v>
      </x:c>
      <x:c r="L1648" s="6" t="n">
        <x:f>J1648*K1648</x:f>
        <x:v>1</x:v>
      </x:c>
    </x:row>
    <x:row r="1649">
      <x:c r="A1649" s="1" t="n">
        <x:v>13307</x:v>
      </x:c>
      <x:c r="B1649" s="5" t="d">
        <x:v>2015-07-14T00:00:00.000Z</x:v>
      </x:c>
      <x:c r="C1649" s="1" t="str">
        <x:v>Standard Class</x:v>
      </x:c>
      <x:c r="D1649" s="1" t="str">
        <x:v>Europe</x:v>
      </x:c>
      <x:c r="E1649" s="1" t="str">
        <x:v>COMPLETE</x:v>
      </x:c>
      <x:c r="F1649" s="1" t="str">
        <x:v>Advance shipping</x:v>
      </x:c>
      <x:c r="G1649" s="6" t="n">
        <x:v>3</x:v>
      </x:c>
      <x:c r="H1649" s="6" t="n">
        <x:v>4</x:v>
      </x:c>
      <x:c r="I1649" s="6" t="n">
        <x:f>G1649-H1649</x:f>
        <x:v>-1</x:v>
      </x:c>
      <x:c r="J1649" s="6" t="n">
        <x:f>IF(OR(E1649="CANCELED",E1649="SUSPECTED_FRAUD",F1649="Shipping canceled"),0,1)</x:f>
        <x:v>1</x:v>
      </x:c>
      <x:c r="K1649" s="6" t="n">
        <x:f>IF(G1649&gt;H1649,1,0)</x:f>
        <x:v>0</x:v>
      </x:c>
      <x:c r="L1649" s="6" t="n">
        <x:f>J1649*K1649</x:f>
        <x:v>0</x:v>
      </x:c>
    </x:row>
    <x:row r="1650">
      <x:c r="A1650" s="1" t="n">
        <x:v>13308</x:v>
      </x:c>
      <x:c r="B1650" s="5" t="d">
        <x:v>2015-07-14T00:00:00.000Z</x:v>
      </x:c>
      <x:c r="C1650" s="1" t="str">
        <x:v>Standard Class</x:v>
      </x:c>
      <x:c r="D1650" s="1" t="str">
        <x:v>Europe</x:v>
      </x:c>
      <x:c r="E1650" s="1" t="str">
        <x:v>PENDING</x:v>
      </x:c>
      <x:c r="F1650" s="1" t="str">
        <x:v>Shipping on time</x:v>
      </x:c>
      <x:c r="G1650" s="6" t="n">
        <x:v>4</x:v>
      </x:c>
      <x:c r="H1650" s="6" t="n">
        <x:v>4</x:v>
      </x:c>
      <x:c r="I1650" s="6" t="n">
        <x:f>G1650-H1650</x:f>
        <x:v>0</x:v>
      </x:c>
      <x:c r="J1650" s="6" t="n">
        <x:f>IF(OR(E1650="CANCELED",E1650="SUSPECTED_FRAUD",F1650="Shipping canceled"),0,1)</x:f>
        <x:v>1</x:v>
      </x:c>
      <x:c r="K1650" s="6" t="n">
        <x:f>IF(G1650&gt;H1650,1,0)</x:f>
        <x:v>0</x:v>
      </x:c>
      <x:c r="L1650" s="6" t="n">
        <x:f>J1650*K1650</x:f>
        <x:v>0</x:v>
      </x:c>
    </x:row>
    <x:row r="1651">
      <x:c r="A1651" s="1" t="n">
        <x:v>13321</x:v>
      </x:c>
      <x:c r="B1651" s="5" t="d">
        <x:v>2015-07-14T00:00:00.000Z</x:v>
      </x:c>
      <x:c r="C1651" s="1" t="str">
        <x:v>First Class</x:v>
      </x:c>
      <x:c r="D1651" s="1" t="str">
        <x:v>Europe</x:v>
      </x:c>
      <x:c r="E1651" s="1" t="str">
        <x:v>CLOSED</x:v>
      </x:c>
      <x:c r="F1651" s="1" t="str">
        <x:v>Late delivery</x:v>
      </x:c>
      <x:c r="G1651" s="6" t="n">
        <x:v>2</x:v>
      </x:c>
      <x:c r="H1651" s="6" t="n">
        <x:v>1</x:v>
      </x:c>
      <x:c r="I1651" s="6" t="n">
        <x:f>G1651-H1651</x:f>
        <x:v>1</x:v>
      </x:c>
      <x:c r="J1651" s="6" t="n">
        <x:f>IF(OR(E1651="CANCELED",E1651="SUSPECTED_FRAUD",F1651="Shipping canceled"),0,1)</x:f>
        <x:v>1</x:v>
      </x:c>
      <x:c r="K1651" s="6" t="n">
        <x:f>IF(G1651&gt;H1651,1,0)</x:f>
        <x:v>1</x:v>
      </x:c>
      <x:c r="L1651" s="6" t="n">
        <x:f>J1651*K1651</x:f>
        <x:v>1</x:v>
      </x:c>
    </x:row>
    <x:row r="1652">
      <x:c r="A1652" s="1" t="n">
        <x:v>13326</x:v>
      </x:c>
      <x:c r="B1652" s="5" t="d">
        <x:v>2015-07-14T00:00:00.000Z</x:v>
      </x:c>
      <x:c r="C1652" s="1" t="str">
        <x:v>First Class</x:v>
      </x:c>
      <x:c r="D1652" s="1" t="str">
        <x:v>Europe</x:v>
      </x:c>
      <x:c r="E1652" s="1" t="str">
        <x:v>PENDING_PAYMENT</x:v>
      </x:c>
      <x:c r="F1652" s="1" t="str">
        <x:v>Late delivery</x:v>
      </x:c>
      <x:c r="G1652" s="6" t="n">
        <x:v>2</x:v>
      </x:c>
      <x:c r="H1652" s="6" t="n">
        <x:v>1</x:v>
      </x:c>
      <x:c r="I1652" s="6" t="n">
        <x:f>G1652-H1652</x:f>
        <x:v>1</x:v>
      </x:c>
      <x:c r="J1652" s="6" t="n">
        <x:f>IF(OR(E1652="CANCELED",E1652="SUSPECTED_FRAUD",F1652="Shipping canceled"),0,1)</x:f>
        <x:v>1</x:v>
      </x:c>
      <x:c r="K1652" s="6" t="n">
        <x:f>IF(G1652&gt;H1652,1,0)</x:f>
        <x:v>1</x:v>
      </x:c>
      <x:c r="L1652" s="6" t="n">
        <x:f>J1652*K1652</x:f>
        <x:v>1</x:v>
      </x:c>
    </x:row>
    <x:row r="1653">
      <x:c r="A1653" s="1" t="n">
        <x:v>13343</x:v>
      </x:c>
      <x:c r="B1653" s="5" t="d">
        <x:v>2015-07-14T00:00:00.000Z</x:v>
      </x:c>
      <x:c r="C1653" s="1" t="str">
        <x:v>Second Class</x:v>
      </x:c>
      <x:c r="D1653" s="1" t="str">
        <x:v>Europe</x:v>
      </x:c>
      <x:c r="E1653" s="1" t="str">
        <x:v>COMPLETE</x:v>
      </x:c>
      <x:c r="F1653" s="1" t="str">
        <x:v>Late delivery</x:v>
      </x:c>
      <x:c r="G1653" s="6" t="n">
        <x:v>4</x:v>
      </x:c>
      <x:c r="H1653" s="6" t="n">
        <x:v>2</x:v>
      </x:c>
      <x:c r="I1653" s="6" t="n">
        <x:f>G1653-H1653</x:f>
        <x:v>2</x:v>
      </x:c>
      <x:c r="J1653" s="6" t="n">
        <x:f>IF(OR(E1653="CANCELED",E1653="SUSPECTED_FRAUD",F1653="Shipping canceled"),0,1)</x:f>
        <x:v>1</x:v>
      </x:c>
      <x:c r="K1653" s="6" t="n">
        <x:f>IF(G1653&gt;H1653,1,0)</x:f>
        <x:v>1</x:v>
      </x:c>
      <x:c r="L1653" s="6" t="n">
        <x:f>J1653*K1653</x:f>
        <x:v>1</x:v>
      </x:c>
    </x:row>
    <x:row r="1654">
      <x:c r="A1654" s="1" t="n">
        <x:v>13356</x:v>
      </x:c>
      <x:c r="B1654" s="5" t="d">
        <x:v>2015-07-14T00:00:00.000Z</x:v>
      </x:c>
      <x:c r="C1654" s="1" t="str">
        <x:v>Standard Class</x:v>
      </x:c>
      <x:c r="D1654" s="1" t="str">
        <x:v>Europe</x:v>
      </x:c>
      <x:c r="E1654" s="1" t="str">
        <x:v>PROCESSING</x:v>
      </x:c>
      <x:c r="F1654" s="1" t="str">
        <x:v>Advance shipping</x:v>
      </x:c>
      <x:c r="G1654" s="6" t="n">
        <x:v>2</x:v>
      </x:c>
      <x:c r="H1654" s="6" t="n">
        <x:v>4</x:v>
      </x:c>
      <x:c r="I1654" s="6" t="n">
        <x:f>G1654-H1654</x:f>
        <x:v>-2</x:v>
      </x:c>
      <x:c r="J1654" s="6" t="n">
        <x:f>IF(OR(E1654="CANCELED",E1654="SUSPECTED_FRAUD",F1654="Shipping canceled"),0,1)</x:f>
        <x:v>1</x:v>
      </x:c>
      <x:c r="K1654" s="6" t="n">
        <x:f>IF(G1654&gt;H1654,1,0)</x:f>
        <x:v>0</x:v>
      </x:c>
      <x:c r="L1654" s="6" t="n">
        <x:f>J1654*K1654</x:f>
        <x:v>0</x:v>
      </x:c>
    </x:row>
    <x:row r="1655">
      <x:c r="A1655" s="1" t="n">
        <x:v>13357</x:v>
      </x:c>
      <x:c r="B1655" s="5" t="d">
        <x:v>2015-07-14T00:00:00.000Z</x:v>
      </x:c>
      <x:c r="C1655" s="1" t="str">
        <x:v>Second Class</x:v>
      </x:c>
      <x:c r="D1655" s="1" t="str">
        <x:v>Europe</x:v>
      </x:c>
      <x:c r="E1655" s="1" t="str">
        <x:v>PENDING</x:v>
      </x:c>
      <x:c r="F1655" s="1" t="str">
        <x:v>Late delivery</x:v>
      </x:c>
      <x:c r="G1655" s="6" t="n">
        <x:v>3</x:v>
      </x:c>
      <x:c r="H1655" s="6" t="n">
        <x:v>2</x:v>
      </x:c>
      <x:c r="I1655" s="6" t="n">
        <x:f>G1655-H1655</x:f>
        <x:v>1</x:v>
      </x:c>
      <x:c r="J1655" s="6" t="n">
        <x:f>IF(OR(E1655="CANCELED",E1655="SUSPECTED_FRAUD",F1655="Shipping canceled"),0,1)</x:f>
        <x:v>1</x:v>
      </x:c>
      <x:c r="K1655" s="6" t="n">
        <x:f>IF(G1655&gt;H1655,1,0)</x:f>
        <x:v>1</x:v>
      </x:c>
      <x:c r="L1655" s="6" t="n">
        <x:f>J1655*K1655</x:f>
        <x:v>1</x:v>
      </x:c>
    </x:row>
    <x:row r="1656">
      <x:c r="A1656" s="1" t="n">
        <x:v>13365</x:v>
      </x:c>
      <x:c r="B1656" s="5" t="d">
        <x:v>2015-07-15T00:00:00.000Z</x:v>
      </x:c>
      <x:c r="C1656" s="1" t="str">
        <x:v>Second Class</x:v>
      </x:c>
      <x:c r="D1656" s="1" t="str">
        <x:v>Europe</x:v>
      </x:c>
      <x:c r="E1656" s="1" t="str">
        <x:v>CLOSED</x:v>
      </x:c>
      <x:c r="F1656" s="1" t="str">
        <x:v>Late delivery</x:v>
      </x:c>
      <x:c r="G1656" s="6" t="n">
        <x:v>6</x:v>
      </x:c>
      <x:c r="H1656" s="6" t="n">
        <x:v>2</x:v>
      </x:c>
      <x:c r="I1656" s="6" t="n">
        <x:f>G1656-H1656</x:f>
        <x:v>4</x:v>
      </x:c>
      <x:c r="J1656" s="6" t="n">
        <x:f>IF(OR(E1656="CANCELED",E1656="SUSPECTED_FRAUD",F1656="Shipping canceled"),0,1)</x:f>
        <x:v>1</x:v>
      </x:c>
      <x:c r="K1656" s="6" t="n">
        <x:f>IF(G1656&gt;H1656,1,0)</x:f>
        <x:v>1</x:v>
      </x:c>
      <x:c r="L1656" s="6" t="n">
        <x:f>J1656*K1656</x:f>
        <x:v>1</x:v>
      </x:c>
    </x:row>
    <x:row r="1657">
      <x:c r="A1657" s="1" t="n">
        <x:v>13374</x:v>
      </x:c>
      <x:c r="B1657" s="5" t="d">
        <x:v>2015-07-15T00:00:00.000Z</x:v>
      </x:c>
      <x:c r="C1657" s="1" t="str">
        <x:v>Standard Class</x:v>
      </x:c>
      <x:c r="D1657" s="1" t="str">
        <x:v>Europe</x:v>
      </x:c>
      <x:c r="E1657" s="1" t="str">
        <x:v>PENDING_PAYMENT</x:v>
      </x:c>
      <x:c r="F1657" s="1" t="str">
        <x:v>Late delivery</x:v>
      </x:c>
      <x:c r="G1657" s="6" t="n">
        <x:v>5</x:v>
      </x:c>
      <x:c r="H1657" s="6" t="n">
        <x:v>4</x:v>
      </x:c>
      <x:c r="I1657" s="6" t="n">
        <x:f>G1657-H1657</x:f>
        <x:v>1</x:v>
      </x:c>
      <x:c r="J1657" s="6" t="n">
        <x:f>IF(OR(E1657="CANCELED",E1657="SUSPECTED_FRAUD",F1657="Shipping canceled"),0,1)</x:f>
        <x:v>1</x:v>
      </x:c>
      <x:c r="K1657" s="6" t="n">
        <x:f>IF(G1657&gt;H1657,1,0)</x:f>
        <x:v>1</x:v>
      </x:c>
      <x:c r="L1657" s="6" t="n">
        <x:f>J1657*K1657</x:f>
        <x:v>1</x:v>
      </x:c>
    </x:row>
    <x:row r="1658">
      <x:c r="A1658" s="1" t="n">
        <x:v>13391</x:v>
      </x:c>
      <x:c r="B1658" s="5" t="d">
        <x:v>2015-07-15T00:00:00.000Z</x:v>
      </x:c>
      <x:c r="C1658" s="1" t="str">
        <x:v>Standard Class</x:v>
      </x:c>
      <x:c r="D1658" s="1" t="str">
        <x:v>Europe</x:v>
      </x:c>
      <x:c r="E1658" s="1" t="str">
        <x:v>COMPLETE</x:v>
      </x:c>
      <x:c r="F1658" s="1" t="str">
        <x:v>Advance shipping</x:v>
      </x:c>
      <x:c r="G1658" s="6" t="n">
        <x:v>2</x:v>
      </x:c>
      <x:c r="H1658" s="6" t="n">
        <x:v>4</x:v>
      </x:c>
      <x:c r="I1658" s="6" t="n">
        <x:f>G1658-H1658</x:f>
        <x:v>-2</x:v>
      </x:c>
      <x:c r="J1658" s="6" t="n">
        <x:f>IF(OR(E1658="CANCELED",E1658="SUSPECTED_FRAUD",F1658="Shipping canceled"),0,1)</x:f>
        <x:v>1</x:v>
      </x:c>
      <x:c r="K1658" s="6" t="n">
        <x:f>IF(G1658&gt;H1658,1,0)</x:f>
        <x:v>0</x:v>
      </x:c>
      <x:c r="L1658" s="6" t="n">
        <x:f>J1658*K1658</x:f>
        <x:v>0</x:v>
      </x:c>
    </x:row>
    <x:row r="1659">
      <x:c r="A1659" s="1" t="n">
        <x:v>13397</x:v>
      </x:c>
      <x:c r="B1659" s="5" t="d">
        <x:v>2015-07-15T00:00:00.000Z</x:v>
      </x:c>
      <x:c r="C1659" s="1" t="str">
        <x:v>First Class</x:v>
      </x:c>
      <x:c r="D1659" s="1" t="str">
        <x:v>Europe</x:v>
      </x:c>
      <x:c r="E1659" s="1" t="str">
        <x:v>PENDING_PAYMENT</x:v>
      </x:c>
      <x:c r="F1659" s="1" t="str">
        <x:v>Late delivery</x:v>
      </x:c>
      <x:c r="G1659" s="6" t="n">
        <x:v>2</x:v>
      </x:c>
      <x:c r="H1659" s="6" t="n">
        <x:v>1</x:v>
      </x:c>
      <x:c r="I1659" s="6" t="n">
        <x:f>G1659-H1659</x:f>
        <x:v>1</x:v>
      </x:c>
      <x:c r="J1659" s="6" t="n">
        <x:f>IF(OR(E1659="CANCELED",E1659="SUSPECTED_FRAUD",F1659="Shipping canceled"),0,1)</x:f>
        <x:v>1</x:v>
      </x:c>
      <x:c r="K1659" s="6" t="n">
        <x:f>IF(G1659&gt;H1659,1,0)</x:f>
        <x:v>1</x:v>
      </x:c>
      <x:c r="L1659" s="6" t="n">
        <x:f>J1659*K1659</x:f>
        <x:v>1</x:v>
      </x:c>
    </x:row>
    <x:row r="1660">
      <x:c r="A1660" s="1" t="n">
        <x:v>13406</x:v>
      </x:c>
      <x:c r="B1660" s="5" t="d">
        <x:v>2015-07-15T00:00:00.000Z</x:v>
      </x:c>
      <x:c r="C1660" s="1" t="str">
        <x:v>Standard Class</x:v>
      </x:c>
      <x:c r="D1660" s="1" t="str">
        <x:v>Europe</x:v>
      </x:c>
      <x:c r="E1660" s="1" t="str">
        <x:v>COMPLETE</x:v>
      </x:c>
      <x:c r="F1660" s="1" t="str">
        <x:v>Advance shipping</x:v>
      </x:c>
      <x:c r="G1660" s="6" t="n">
        <x:v>2</x:v>
      </x:c>
      <x:c r="H1660" s="6" t="n">
        <x:v>4</x:v>
      </x:c>
      <x:c r="I1660" s="6" t="n">
        <x:f>G1660-H1660</x:f>
        <x:v>-2</x:v>
      </x:c>
      <x:c r="J1660" s="6" t="n">
        <x:f>IF(OR(E1660="CANCELED",E1660="SUSPECTED_FRAUD",F1660="Shipping canceled"),0,1)</x:f>
        <x:v>1</x:v>
      </x:c>
      <x:c r="K1660" s="6" t="n">
        <x:f>IF(G1660&gt;H1660,1,0)</x:f>
        <x:v>0</x:v>
      </x:c>
      <x:c r="L1660" s="6" t="n">
        <x:f>J1660*K1660</x:f>
        <x:v>0</x:v>
      </x:c>
    </x:row>
    <x:row r="1661">
      <x:c r="A1661" s="1" t="n">
        <x:v>13413</x:v>
      </x:c>
      <x:c r="B1661" s="5" t="d">
        <x:v>2015-07-15T00:00:00.000Z</x:v>
      </x:c>
      <x:c r="C1661" s="1" t="str">
        <x:v>Standard Class</x:v>
      </x:c>
      <x:c r="D1661" s="1" t="str">
        <x:v>Europe</x:v>
      </x:c>
      <x:c r="E1661" s="1" t="str">
        <x:v>COMPLETE</x:v>
      </x:c>
      <x:c r="F1661" s="1" t="str">
        <x:v>Shipping on time</x:v>
      </x:c>
      <x:c r="G1661" s="6" t="n">
        <x:v>4</x:v>
      </x:c>
      <x:c r="H1661" s="6" t="n">
        <x:v>4</x:v>
      </x:c>
      <x:c r="I1661" s="6" t="n">
        <x:f>G1661-H1661</x:f>
        <x:v>0</x:v>
      </x:c>
      <x:c r="J1661" s="6" t="n">
        <x:f>IF(OR(E1661="CANCELED",E1661="SUSPECTED_FRAUD",F1661="Shipping canceled"),0,1)</x:f>
        <x:v>1</x:v>
      </x:c>
      <x:c r="K1661" s="6" t="n">
        <x:f>IF(G1661&gt;H1661,1,0)</x:f>
        <x:v>0</x:v>
      </x:c>
      <x:c r="L1661" s="6" t="n">
        <x:f>J1661*K1661</x:f>
        <x:v>0</x:v>
      </x:c>
    </x:row>
    <x:row r="1662">
      <x:c r="A1662" s="1" t="n">
        <x:v>13414</x:v>
      </x:c>
      <x:c r="B1662" s="5" t="d">
        <x:v>2015-07-15T00:00:00.000Z</x:v>
      </x:c>
      <x:c r="C1662" s="1" t="str">
        <x:v>Standard Class</x:v>
      </x:c>
      <x:c r="D1662" s="1" t="str">
        <x:v>Europe</x:v>
      </x:c>
      <x:c r="E1662" s="1" t="str">
        <x:v>PENDING</x:v>
      </x:c>
      <x:c r="F1662" s="1" t="str">
        <x:v>Late delivery</x:v>
      </x:c>
      <x:c r="G1662" s="6" t="n">
        <x:v>5</x:v>
      </x:c>
      <x:c r="H1662" s="6" t="n">
        <x:v>4</x:v>
      </x:c>
      <x:c r="I1662" s="6" t="n">
        <x:f>G1662-H1662</x:f>
        <x:v>1</x:v>
      </x:c>
      <x:c r="J1662" s="6" t="n">
        <x:f>IF(OR(E1662="CANCELED",E1662="SUSPECTED_FRAUD",F1662="Shipping canceled"),0,1)</x:f>
        <x:v>1</x:v>
      </x:c>
      <x:c r="K1662" s="6" t="n">
        <x:f>IF(G1662&gt;H1662,1,0)</x:f>
        <x:v>1</x:v>
      </x:c>
      <x:c r="L1662" s="6" t="n">
        <x:f>J1662*K1662</x:f>
        <x:v>1</x:v>
      </x:c>
    </x:row>
    <x:row r="1663">
      <x:c r="A1663" s="1" t="n">
        <x:v>13415</x:v>
      </x:c>
      <x:c r="B1663" s="5" t="d">
        <x:v>2015-07-15T00:00:00.000Z</x:v>
      </x:c>
      <x:c r="C1663" s="1" t="str">
        <x:v>Standard Class</x:v>
      </x:c>
      <x:c r="D1663" s="1" t="str">
        <x:v>Europe</x:v>
      </x:c>
      <x:c r="E1663" s="1" t="str">
        <x:v>COMPLETE</x:v>
      </x:c>
      <x:c r="F1663" s="1" t="str">
        <x:v>Late delivery</x:v>
      </x:c>
      <x:c r="G1663" s="6" t="n">
        <x:v>6</x:v>
      </x:c>
      <x:c r="H1663" s="6" t="n">
        <x:v>4</x:v>
      </x:c>
      <x:c r="I1663" s="6" t="n">
        <x:f>G1663-H1663</x:f>
        <x:v>2</x:v>
      </x:c>
      <x:c r="J1663" s="6" t="n">
        <x:f>IF(OR(E1663="CANCELED",E1663="SUSPECTED_FRAUD",F1663="Shipping canceled"),0,1)</x:f>
        <x:v>1</x:v>
      </x:c>
      <x:c r="K1663" s="6" t="n">
        <x:f>IF(G1663&gt;H1663,1,0)</x:f>
        <x:v>1</x:v>
      </x:c>
      <x:c r="L1663" s="6" t="n">
        <x:f>J1663*K1663</x:f>
        <x:v>1</x:v>
      </x:c>
    </x:row>
    <x:row r="1664">
      <x:c r="A1664" s="1" t="n">
        <x:v>13428</x:v>
      </x:c>
      <x:c r="B1664" s="5" t="d">
        <x:v>2015-07-16T00:00:00.000Z</x:v>
      </x:c>
      <x:c r="C1664" s="1" t="str">
        <x:v>Second Class</x:v>
      </x:c>
      <x:c r="D1664" s="1" t="str">
        <x:v>Europe</x:v>
      </x:c>
      <x:c r="E1664" s="1" t="str">
        <x:v>COMPLETE</x:v>
      </x:c>
      <x:c r="F1664" s="1" t="str">
        <x:v>Late delivery</x:v>
      </x:c>
      <x:c r="G1664" s="6" t="n">
        <x:v>4</x:v>
      </x:c>
      <x:c r="H1664" s="6" t="n">
        <x:v>2</x:v>
      </x:c>
      <x:c r="I1664" s="6" t="n">
        <x:f>G1664-H1664</x:f>
        <x:v>2</x:v>
      </x:c>
      <x:c r="J1664" s="6" t="n">
        <x:f>IF(OR(E1664="CANCELED",E1664="SUSPECTED_FRAUD",F1664="Shipping canceled"),0,1)</x:f>
        <x:v>1</x:v>
      </x:c>
      <x:c r="K1664" s="6" t="n">
        <x:f>IF(G1664&gt;H1664,1,0)</x:f>
        <x:v>1</x:v>
      </x:c>
      <x:c r="L1664" s="6" t="n">
        <x:f>J1664*K1664</x:f>
        <x:v>1</x:v>
      </x:c>
    </x:row>
    <x:row r="1665">
      <x:c r="A1665" s="1" t="n">
        <x:v>13450</x:v>
      </x:c>
      <x:c r="B1665" s="5" t="d">
        <x:v>2015-07-16T00:00:00.000Z</x:v>
      </x:c>
      <x:c r="C1665" s="1" t="str">
        <x:v>Standard Class</x:v>
      </x:c>
      <x:c r="D1665" s="1" t="str">
        <x:v>Europe</x:v>
      </x:c>
      <x:c r="E1665" s="1" t="str">
        <x:v>COMPLETE</x:v>
      </x:c>
      <x:c r="F1665" s="1" t="str">
        <x:v>Late delivery</x:v>
      </x:c>
      <x:c r="G1665" s="6" t="n">
        <x:v>6</x:v>
      </x:c>
      <x:c r="H1665" s="6" t="n">
        <x:v>4</x:v>
      </x:c>
      <x:c r="I1665" s="6" t="n">
        <x:f>G1665-H1665</x:f>
        <x:v>2</x:v>
      </x:c>
      <x:c r="J1665" s="6" t="n">
        <x:f>IF(OR(E1665="CANCELED",E1665="SUSPECTED_FRAUD",F1665="Shipping canceled"),0,1)</x:f>
        <x:v>1</x:v>
      </x:c>
      <x:c r="K1665" s="6" t="n">
        <x:f>IF(G1665&gt;H1665,1,0)</x:f>
        <x:v>1</x:v>
      </x:c>
      <x:c r="L1665" s="6" t="n">
        <x:f>J1665*K1665</x:f>
        <x:v>1</x:v>
      </x:c>
    </x:row>
    <x:row r="1666">
      <x:c r="A1666" s="1" t="n">
        <x:v>13451</x:v>
      </x:c>
      <x:c r="B1666" s="5" t="d">
        <x:v>2015-07-16T00:00:00.000Z</x:v>
      </x:c>
      <x:c r="C1666" s="1" t="str">
        <x:v>Standard Class</x:v>
      </x:c>
      <x:c r="D1666" s="1" t="str">
        <x:v>Europe</x:v>
      </x:c>
      <x:c r="E1666" s="1" t="str">
        <x:v>COMPLETE</x:v>
      </x:c>
      <x:c r="F1666" s="1" t="str">
        <x:v>Advance shipping</x:v>
      </x:c>
      <x:c r="G1666" s="6" t="n">
        <x:v>2</x:v>
      </x:c>
      <x:c r="H1666" s="6" t="n">
        <x:v>4</x:v>
      </x:c>
      <x:c r="I1666" s="6" t="n">
        <x:f>G1666-H1666</x:f>
        <x:v>-2</x:v>
      </x:c>
      <x:c r="J1666" s="6" t="n">
        <x:f>IF(OR(E1666="CANCELED",E1666="SUSPECTED_FRAUD",F1666="Shipping canceled"),0,1)</x:f>
        <x:v>1</x:v>
      </x:c>
      <x:c r="K1666" s="6" t="n">
        <x:f>IF(G1666&gt;H1666,1,0)</x:f>
        <x:v>0</x:v>
      </x:c>
      <x:c r="L1666" s="6" t="n">
        <x:f>J1666*K1666</x:f>
        <x:v>0</x:v>
      </x:c>
    </x:row>
    <x:row r="1667">
      <x:c r="A1667" s="1" t="n">
        <x:v>13452</x:v>
      </x:c>
      <x:c r="B1667" s="5" t="d">
        <x:v>2015-07-16T00:00:00.000Z</x:v>
      </x:c>
      <x:c r="C1667" s="1" t="str">
        <x:v>Standard Class</x:v>
      </x:c>
      <x:c r="D1667" s="1" t="str">
        <x:v>Europe</x:v>
      </x:c>
      <x:c r="E1667" s="1" t="str">
        <x:v>COMPLETE</x:v>
      </x:c>
      <x:c r="F1667" s="1" t="str">
        <x:v>Advance shipping</x:v>
      </x:c>
      <x:c r="G1667" s="6" t="n">
        <x:v>3</x:v>
      </x:c>
      <x:c r="H1667" s="6" t="n">
        <x:v>4</x:v>
      </x:c>
      <x:c r="I1667" s="6" t="n">
        <x:f>G1667-H1667</x:f>
        <x:v>-1</x:v>
      </x:c>
      <x:c r="J1667" s="6" t="n">
        <x:f>IF(OR(E1667="CANCELED",E1667="SUSPECTED_FRAUD",F1667="Shipping canceled"),0,1)</x:f>
        <x:v>1</x:v>
      </x:c>
      <x:c r="K1667" s="6" t="n">
        <x:f>IF(G1667&gt;H1667,1,0)</x:f>
        <x:v>0</x:v>
      </x:c>
      <x:c r="L1667" s="6" t="n">
        <x:f>J1667*K1667</x:f>
        <x:v>0</x:v>
      </x:c>
    </x:row>
    <x:row r="1668">
      <x:c r="A1668" s="1" t="n">
        <x:v>13457</x:v>
      </x:c>
      <x:c r="B1668" s="5" t="d">
        <x:v>2015-07-16T00:00:00.000Z</x:v>
      </x:c>
      <x:c r="C1668" s="1" t="str">
        <x:v>Standard Class</x:v>
      </x:c>
      <x:c r="D1668" s="1" t="str">
        <x:v>Europe</x:v>
      </x:c>
      <x:c r="E1668" s="1" t="str">
        <x:v>COMPLETE</x:v>
      </x:c>
      <x:c r="F1668" s="1" t="str">
        <x:v>Advance shipping</x:v>
      </x:c>
      <x:c r="G1668" s="6" t="n">
        <x:v>3</x:v>
      </x:c>
      <x:c r="H1668" s="6" t="n">
        <x:v>4</x:v>
      </x:c>
      <x:c r="I1668" s="6" t="n">
        <x:f>G1668-H1668</x:f>
        <x:v>-1</x:v>
      </x:c>
      <x:c r="J1668" s="6" t="n">
        <x:f>IF(OR(E1668="CANCELED",E1668="SUSPECTED_FRAUD",F1668="Shipping canceled"),0,1)</x:f>
        <x:v>1</x:v>
      </x:c>
      <x:c r="K1668" s="6" t="n">
        <x:f>IF(G1668&gt;H1668,1,0)</x:f>
        <x:v>0</x:v>
      </x:c>
      <x:c r="L1668" s="6" t="n">
        <x:f>J1668*K1668</x:f>
        <x:v>0</x:v>
      </x:c>
    </x:row>
    <x:row r="1669">
      <x:c r="A1669" s="1" t="n">
        <x:v>13459</x:v>
      </x:c>
      <x:c r="B1669" s="5" t="d">
        <x:v>2015-07-16T00:00:00.000Z</x:v>
      </x:c>
      <x:c r="C1669" s="1" t="str">
        <x:v>Standard Class</x:v>
      </x:c>
      <x:c r="D1669" s="1" t="str">
        <x:v>Europe</x:v>
      </x:c>
      <x:c r="E1669" s="1" t="str">
        <x:v>COMPLETE</x:v>
      </x:c>
      <x:c r="F1669" s="1" t="str">
        <x:v>Late delivery</x:v>
      </x:c>
      <x:c r="G1669" s="6" t="n">
        <x:v>5</x:v>
      </x:c>
      <x:c r="H1669" s="6" t="n">
        <x:v>4</x:v>
      </x:c>
      <x:c r="I1669" s="6" t="n">
        <x:f>G1669-H1669</x:f>
        <x:v>1</x:v>
      </x:c>
      <x:c r="J1669" s="6" t="n">
        <x:f>IF(OR(E1669="CANCELED",E1669="SUSPECTED_FRAUD",F1669="Shipping canceled"),0,1)</x:f>
        <x:v>1</x:v>
      </x:c>
      <x:c r="K1669" s="6" t="n">
        <x:f>IF(G1669&gt;H1669,1,0)</x:f>
        <x:v>1</x:v>
      </x:c>
      <x:c r="L1669" s="6" t="n">
        <x:f>J1669*K1669</x:f>
        <x:v>1</x:v>
      </x:c>
    </x:row>
    <x:row r="1670">
      <x:c r="A1670" s="1" t="n">
        <x:v>13462</x:v>
      </x:c>
      <x:c r="B1670" s="5" t="d">
        <x:v>2015-07-16T00:00:00.000Z</x:v>
      </x:c>
      <x:c r="C1670" s="1" t="str">
        <x:v>Standard Class</x:v>
      </x:c>
      <x:c r="D1670" s="1" t="str">
        <x:v>Europe</x:v>
      </x:c>
      <x:c r="E1670" s="1" t="str">
        <x:v>COMPLETE</x:v>
      </x:c>
      <x:c r="F1670" s="1" t="str">
        <x:v>Advance shipping</x:v>
      </x:c>
      <x:c r="G1670" s="6" t="n">
        <x:v>3</x:v>
      </x:c>
      <x:c r="H1670" s="6" t="n">
        <x:v>4</x:v>
      </x:c>
      <x:c r="I1670" s="6" t="n">
        <x:f>G1670-H1670</x:f>
        <x:v>-1</x:v>
      </x:c>
      <x:c r="J1670" s="6" t="n">
        <x:f>IF(OR(E1670="CANCELED",E1670="SUSPECTED_FRAUD",F1670="Shipping canceled"),0,1)</x:f>
        <x:v>1</x:v>
      </x:c>
      <x:c r="K1670" s="6" t="n">
        <x:f>IF(G1670&gt;H1670,1,0)</x:f>
        <x:v>0</x:v>
      </x:c>
      <x:c r="L1670" s="6" t="n">
        <x:f>J1670*K1670</x:f>
        <x:v>0</x:v>
      </x:c>
    </x:row>
    <x:row r="1671">
      <x:c r="A1671" s="1" t="n">
        <x:v>13468</x:v>
      </x:c>
      <x:c r="B1671" s="5" t="d">
        <x:v>2015-07-16T00:00:00.000Z</x:v>
      </x:c>
      <x:c r="C1671" s="1" t="str">
        <x:v>First Class</x:v>
      </x:c>
      <x:c r="D1671" s="1" t="str">
        <x:v>Europe</x:v>
      </x:c>
      <x:c r="E1671" s="1" t="str">
        <x:v>CLOSED</x:v>
      </x:c>
      <x:c r="F1671" s="1" t="str">
        <x:v>Late delivery</x:v>
      </x:c>
      <x:c r="G1671" s="6" t="n">
        <x:v>2</x:v>
      </x:c>
      <x:c r="H1671" s="6" t="n">
        <x:v>1</x:v>
      </x:c>
      <x:c r="I1671" s="6" t="n">
        <x:f>G1671-H1671</x:f>
        <x:v>1</x:v>
      </x:c>
      <x:c r="J1671" s="6" t="n">
        <x:f>IF(OR(E1671="CANCELED",E1671="SUSPECTED_FRAUD",F1671="Shipping canceled"),0,1)</x:f>
        <x:v>1</x:v>
      </x:c>
      <x:c r="K1671" s="6" t="n">
        <x:f>IF(G1671&gt;H1671,1,0)</x:f>
        <x:v>1</x:v>
      </x:c>
      <x:c r="L1671" s="6" t="n">
        <x:f>J1671*K1671</x:f>
        <x:v>1</x:v>
      </x:c>
    </x:row>
    <x:row r="1672">
      <x:c r="A1672" s="1" t="n">
        <x:v>13470</x:v>
      </x:c>
      <x:c r="B1672" s="5" t="d">
        <x:v>2015-07-16T00:00:00.000Z</x:v>
      </x:c>
      <x:c r="C1672" s="1" t="str">
        <x:v>Standard Class</x:v>
      </x:c>
      <x:c r="D1672" s="1" t="str">
        <x:v>Europe</x:v>
      </x:c>
      <x:c r="E1672" s="1" t="str">
        <x:v>COMPLETE</x:v>
      </x:c>
      <x:c r="F1672" s="1" t="str">
        <x:v>Late delivery</x:v>
      </x:c>
      <x:c r="G1672" s="6" t="n">
        <x:v>6</x:v>
      </x:c>
      <x:c r="H1672" s="6" t="n">
        <x:v>4</x:v>
      </x:c>
      <x:c r="I1672" s="6" t="n">
        <x:f>G1672-H1672</x:f>
        <x:v>2</x:v>
      </x:c>
      <x:c r="J1672" s="6" t="n">
        <x:f>IF(OR(E1672="CANCELED",E1672="SUSPECTED_FRAUD",F1672="Shipping canceled"),0,1)</x:f>
        <x:v>1</x:v>
      </x:c>
      <x:c r="K1672" s="6" t="n">
        <x:f>IF(G1672&gt;H1672,1,0)</x:f>
        <x:v>1</x:v>
      </x:c>
      <x:c r="L1672" s="6" t="n">
        <x:f>J1672*K1672</x:f>
        <x:v>1</x:v>
      </x:c>
    </x:row>
    <x:row r="1673">
      <x:c r="A1673" s="1" t="n">
        <x:v>13475</x:v>
      </x:c>
      <x:c r="B1673" s="5" t="d">
        <x:v>2015-07-16T00:00:00.000Z</x:v>
      </x:c>
      <x:c r="C1673" s="1" t="str">
        <x:v>Standard Class</x:v>
      </x:c>
      <x:c r="D1673" s="1" t="str">
        <x:v>Europe</x:v>
      </x:c>
      <x:c r="E1673" s="1" t="str">
        <x:v>COMPLETE</x:v>
      </x:c>
      <x:c r="F1673" s="1" t="str">
        <x:v>Late delivery</x:v>
      </x:c>
      <x:c r="G1673" s="6" t="n">
        <x:v>6</x:v>
      </x:c>
      <x:c r="H1673" s="6" t="n">
        <x:v>4</x:v>
      </x:c>
      <x:c r="I1673" s="6" t="n">
        <x:f>G1673-H1673</x:f>
        <x:v>2</x:v>
      </x:c>
      <x:c r="J1673" s="6" t="n">
        <x:f>IF(OR(E1673="CANCELED",E1673="SUSPECTED_FRAUD",F1673="Shipping canceled"),0,1)</x:f>
        <x:v>1</x:v>
      </x:c>
      <x:c r="K1673" s="6" t="n">
        <x:f>IF(G1673&gt;H1673,1,0)</x:f>
        <x:v>1</x:v>
      </x:c>
      <x:c r="L1673" s="6" t="n">
        <x:f>J1673*K1673</x:f>
        <x:v>1</x:v>
      </x:c>
    </x:row>
    <x:row r="1674">
      <x:c r="A1674" s="1" t="n">
        <x:v>13479</x:v>
      </x:c>
      <x:c r="B1674" s="5" t="d">
        <x:v>2015-07-16T00:00:00.000Z</x:v>
      </x:c>
      <x:c r="C1674" s="1" t="str">
        <x:v>Standard Class</x:v>
      </x:c>
      <x:c r="D1674" s="1" t="str">
        <x:v>Europe</x:v>
      </x:c>
      <x:c r="E1674" s="1" t="str">
        <x:v>COMPLETE</x:v>
      </x:c>
      <x:c r="F1674" s="1" t="str">
        <x:v>Late delivery</x:v>
      </x:c>
      <x:c r="G1674" s="6" t="n">
        <x:v>5</x:v>
      </x:c>
      <x:c r="H1674" s="6" t="n">
        <x:v>4</x:v>
      </x:c>
      <x:c r="I1674" s="6" t="n">
        <x:f>G1674-H1674</x:f>
        <x:v>1</x:v>
      </x:c>
      <x:c r="J1674" s="6" t="n">
        <x:f>IF(OR(E1674="CANCELED",E1674="SUSPECTED_FRAUD",F1674="Shipping canceled"),0,1)</x:f>
        <x:v>1</x:v>
      </x:c>
      <x:c r="K1674" s="6" t="n">
        <x:f>IF(G1674&gt;H1674,1,0)</x:f>
        <x:v>1</x:v>
      </x:c>
      <x:c r="L1674" s="6" t="n">
        <x:f>J1674*K1674</x:f>
        <x:v>1</x:v>
      </x:c>
    </x:row>
    <x:row r="1675">
      <x:c r="A1675" s="1" t="n">
        <x:v>13481</x:v>
      </x:c>
      <x:c r="B1675" s="5" t="d">
        <x:v>2015-07-16T00:00:00.000Z</x:v>
      </x:c>
      <x:c r="C1675" s="1" t="str">
        <x:v>Standard Class</x:v>
      </x:c>
      <x:c r="D1675" s="1" t="str">
        <x:v>Europe</x:v>
      </x:c>
      <x:c r="E1675" s="1" t="str">
        <x:v>ON_HOLD</x:v>
      </x:c>
      <x:c r="F1675" s="1" t="str">
        <x:v>Advance shipping</x:v>
      </x:c>
      <x:c r="G1675" s="6" t="n">
        <x:v>2</x:v>
      </x:c>
      <x:c r="H1675" s="6" t="n">
        <x:v>4</x:v>
      </x:c>
      <x:c r="I1675" s="6" t="n">
        <x:f>G1675-H1675</x:f>
        <x:v>-2</x:v>
      </x:c>
      <x:c r="J1675" s="6" t="n">
        <x:f>IF(OR(E1675="CANCELED",E1675="SUSPECTED_FRAUD",F1675="Shipping canceled"),0,1)</x:f>
        <x:v>1</x:v>
      </x:c>
      <x:c r="K1675" s="6" t="n">
        <x:f>IF(G1675&gt;H1675,1,0)</x:f>
        <x:v>0</x:v>
      </x:c>
      <x:c r="L1675" s="6" t="n">
        <x:f>J1675*K1675</x:f>
        <x:v>0</x:v>
      </x:c>
    </x:row>
    <x:row r="1676">
      <x:c r="A1676" s="1" t="n">
        <x:v>13488</x:v>
      </x:c>
      <x:c r="B1676" s="5" t="d">
        <x:v>2015-07-16T00:00:00.000Z</x:v>
      </x:c>
      <x:c r="C1676" s="1" t="str">
        <x:v>Standard Class</x:v>
      </x:c>
      <x:c r="D1676" s="1" t="str">
        <x:v>Europe</x:v>
      </x:c>
      <x:c r="E1676" s="1" t="str">
        <x:v>COMPLETE</x:v>
      </x:c>
      <x:c r="F1676" s="1" t="str">
        <x:v>Shipping on time</x:v>
      </x:c>
      <x:c r="G1676" s="6" t="n">
        <x:v>4</x:v>
      </x:c>
      <x:c r="H1676" s="6" t="n">
        <x:v>4</x:v>
      </x:c>
      <x:c r="I1676" s="6" t="n">
        <x:f>G1676-H1676</x:f>
        <x:v>0</x:v>
      </x:c>
      <x:c r="J1676" s="6" t="n">
        <x:f>IF(OR(E1676="CANCELED",E1676="SUSPECTED_FRAUD",F1676="Shipping canceled"),0,1)</x:f>
        <x:v>1</x:v>
      </x:c>
      <x:c r="K1676" s="6" t="n">
        <x:f>IF(G1676&gt;H1676,1,0)</x:f>
        <x:v>0</x:v>
      </x:c>
      <x:c r="L1676" s="6" t="n">
        <x:f>J1676*K1676</x:f>
        <x:v>0</x:v>
      </x:c>
    </x:row>
    <x:row r="1677">
      <x:c r="A1677" s="1" t="n">
        <x:v>13491</x:v>
      </x:c>
      <x:c r="B1677" s="5" t="d">
        <x:v>2015-07-16T00:00:00.000Z</x:v>
      </x:c>
      <x:c r="C1677" s="1" t="str">
        <x:v>Standard Class</x:v>
      </x:c>
      <x:c r="D1677" s="1" t="str">
        <x:v>Europe</x:v>
      </x:c>
      <x:c r="E1677" s="1" t="str">
        <x:v>PROCESSING</x:v>
      </x:c>
      <x:c r="F1677" s="1" t="str">
        <x:v>Advance shipping</x:v>
      </x:c>
      <x:c r="G1677" s="6" t="n">
        <x:v>2</x:v>
      </x:c>
      <x:c r="H1677" s="6" t="n">
        <x:v>4</x:v>
      </x:c>
      <x:c r="I1677" s="6" t="n">
        <x:f>G1677-H1677</x:f>
        <x:v>-2</x:v>
      </x:c>
      <x:c r="J1677" s="6" t="n">
        <x:f>IF(OR(E1677="CANCELED",E1677="SUSPECTED_FRAUD",F1677="Shipping canceled"),0,1)</x:f>
        <x:v>1</x:v>
      </x:c>
      <x:c r="K1677" s="6" t="n">
        <x:f>IF(G1677&gt;H1677,1,0)</x:f>
        <x:v>0</x:v>
      </x:c>
      <x:c r="L1677" s="6" t="n">
        <x:f>J1677*K1677</x:f>
        <x:v>0</x:v>
      </x:c>
    </x:row>
    <x:row r="1678">
      <x:c r="A1678" s="1" t="n">
        <x:v>13507</x:v>
      </x:c>
      <x:c r="B1678" s="5" t="d">
        <x:v>2015-07-17T00:00:00.000Z</x:v>
      </x:c>
      <x:c r="C1678" s="1" t="str">
        <x:v>Standard Class</x:v>
      </x:c>
      <x:c r="D1678" s="1" t="str">
        <x:v>Europe</x:v>
      </x:c>
      <x:c r="E1678" s="1" t="str">
        <x:v>CLOSED</x:v>
      </x:c>
      <x:c r="F1678" s="1" t="str">
        <x:v>Advance shipping</x:v>
      </x:c>
      <x:c r="G1678" s="6" t="n">
        <x:v>3</x:v>
      </x:c>
      <x:c r="H1678" s="6" t="n">
        <x:v>4</x:v>
      </x:c>
      <x:c r="I1678" s="6" t="n">
        <x:f>G1678-H1678</x:f>
        <x:v>-1</x:v>
      </x:c>
      <x:c r="J1678" s="6" t="n">
        <x:f>IF(OR(E1678="CANCELED",E1678="SUSPECTED_FRAUD",F1678="Shipping canceled"),0,1)</x:f>
        <x:v>1</x:v>
      </x:c>
      <x:c r="K1678" s="6" t="n">
        <x:f>IF(G1678&gt;H1678,1,0)</x:f>
        <x:v>0</x:v>
      </x:c>
      <x:c r="L1678" s="6" t="n">
        <x:f>J1678*K1678</x:f>
        <x:v>0</x:v>
      </x:c>
    </x:row>
    <x:row r="1679">
      <x:c r="A1679" s="1" t="n">
        <x:v>13521</x:v>
      </x:c>
      <x:c r="B1679" s="5" t="d">
        <x:v>2015-07-17T00:00:00.000Z</x:v>
      </x:c>
      <x:c r="C1679" s="1" t="str">
        <x:v>Standard Class</x:v>
      </x:c>
      <x:c r="D1679" s="1" t="str">
        <x:v>Europe</x:v>
      </x:c>
      <x:c r="E1679" s="1" t="str">
        <x:v>SUSPECTED_FRAUD</x:v>
      </x:c>
      <x:c r="F1679" s="1" t="str">
        <x:v>Shipping canceled</x:v>
      </x:c>
      <x:c r="G1679" s="6" t="n">
        <x:v>2</x:v>
      </x:c>
      <x:c r="H1679" s="6" t="n">
        <x:v>4</x:v>
      </x:c>
      <x:c r="I1679" s="6" t="n">
        <x:f>G1679-H1679</x:f>
        <x:v>-2</x:v>
      </x:c>
      <x:c r="J1679" s="6" t="n">
        <x:f>IF(OR(E1679="CANCELED",E1679="SUSPECTED_FRAUD",F1679="Shipping canceled"),0,1)</x:f>
        <x:v>0</x:v>
      </x:c>
      <x:c r="K1679" s="6" t="n">
        <x:f>IF(G1679&gt;H1679,1,0)</x:f>
        <x:v>0</x:v>
      </x:c>
      <x:c r="L1679" s="6" t="n">
        <x:f>J1679*K1679</x:f>
        <x:v>0</x:v>
      </x:c>
    </x:row>
    <x:row r="1680">
      <x:c r="A1680" s="1" t="n">
        <x:v>13524</x:v>
      </x:c>
      <x:c r="B1680" s="5" t="d">
        <x:v>2015-07-17T00:00:00.000Z</x:v>
      </x:c>
      <x:c r="C1680" s="1" t="str">
        <x:v>First Class</x:v>
      </x:c>
      <x:c r="D1680" s="1" t="str">
        <x:v>Europe</x:v>
      </x:c>
      <x:c r="E1680" s="1" t="str">
        <x:v>CLOSED</x:v>
      </x:c>
      <x:c r="F1680" s="1" t="str">
        <x:v>Late delivery</x:v>
      </x:c>
      <x:c r="G1680" s="6" t="n">
        <x:v>2</x:v>
      </x:c>
      <x:c r="H1680" s="6" t="n">
        <x:v>1</x:v>
      </x:c>
      <x:c r="I1680" s="6" t="n">
        <x:f>G1680-H1680</x:f>
        <x:v>1</x:v>
      </x:c>
      <x:c r="J1680" s="6" t="n">
        <x:f>IF(OR(E1680="CANCELED",E1680="SUSPECTED_FRAUD",F1680="Shipping canceled"),0,1)</x:f>
        <x:v>1</x:v>
      </x:c>
      <x:c r="K1680" s="6" t="n">
        <x:f>IF(G1680&gt;H1680,1,0)</x:f>
        <x:v>1</x:v>
      </x:c>
      <x:c r="L1680" s="6" t="n">
        <x:f>J1680*K1680</x:f>
        <x:v>1</x:v>
      </x:c>
    </x:row>
    <x:row r="1681">
      <x:c r="A1681" s="1" t="n">
        <x:v>13525</x:v>
      </x:c>
      <x:c r="B1681" s="5" t="d">
        <x:v>2015-07-17T00:00:00.000Z</x:v>
      </x:c>
      <x:c r="C1681" s="1" t="str">
        <x:v>Second Class</x:v>
      </x:c>
      <x:c r="D1681" s="1" t="str">
        <x:v>Europe</x:v>
      </x:c>
      <x:c r="E1681" s="1" t="str">
        <x:v>COMPLETE</x:v>
      </x:c>
      <x:c r="F1681" s="1" t="str">
        <x:v>Late delivery</x:v>
      </x:c>
      <x:c r="G1681" s="6" t="n">
        <x:v>6</x:v>
      </x:c>
      <x:c r="H1681" s="6" t="n">
        <x:v>2</x:v>
      </x:c>
      <x:c r="I1681" s="6" t="n">
        <x:f>G1681-H1681</x:f>
        <x:v>4</x:v>
      </x:c>
      <x:c r="J1681" s="6" t="n">
        <x:f>IF(OR(E1681="CANCELED",E1681="SUSPECTED_FRAUD",F1681="Shipping canceled"),0,1)</x:f>
        <x:v>1</x:v>
      </x:c>
      <x:c r="K1681" s="6" t="n">
        <x:f>IF(G1681&gt;H1681,1,0)</x:f>
        <x:v>1</x:v>
      </x:c>
      <x:c r="L1681" s="6" t="n">
        <x:f>J1681*K1681</x:f>
        <x:v>1</x:v>
      </x:c>
    </x:row>
    <x:row r="1682">
      <x:c r="A1682" s="1" t="n">
        <x:v>13528</x:v>
      </x:c>
      <x:c r="B1682" s="5" t="d">
        <x:v>2015-07-17T00:00:00.000Z</x:v>
      </x:c>
      <x:c r="C1682" s="1" t="str">
        <x:v>Standard Class</x:v>
      </x:c>
      <x:c r="D1682" s="1" t="str">
        <x:v>Europe</x:v>
      </x:c>
      <x:c r="E1682" s="1" t="str">
        <x:v>COMPLETE</x:v>
      </x:c>
      <x:c r="F1682" s="1" t="str">
        <x:v>Shipping on time</x:v>
      </x:c>
      <x:c r="G1682" s="6" t="n">
        <x:v>4</x:v>
      </x:c>
      <x:c r="H1682" s="6" t="n">
        <x:v>4</x:v>
      </x:c>
      <x:c r="I1682" s="6" t="n">
        <x:f>G1682-H1682</x:f>
        <x:v>0</x:v>
      </x:c>
      <x:c r="J1682" s="6" t="n">
        <x:f>IF(OR(E1682="CANCELED",E1682="SUSPECTED_FRAUD",F1682="Shipping canceled"),0,1)</x:f>
        <x:v>1</x:v>
      </x:c>
      <x:c r="K1682" s="6" t="n">
        <x:f>IF(G1682&gt;H1682,1,0)</x:f>
        <x:v>0</x:v>
      </x:c>
      <x:c r="L1682" s="6" t="n">
        <x:f>J1682*K1682</x:f>
        <x:v>0</x:v>
      </x:c>
    </x:row>
    <x:row r="1683">
      <x:c r="A1683" s="1" t="n">
        <x:v>13539</x:v>
      </x:c>
      <x:c r="B1683" s="5" t="d">
        <x:v>2015-07-17T00:00:00.000Z</x:v>
      </x:c>
      <x:c r="C1683" s="1" t="str">
        <x:v>Standard Class</x:v>
      </x:c>
      <x:c r="D1683" s="1" t="str">
        <x:v>Europe</x:v>
      </x:c>
      <x:c r="E1683" s="1" t="str">
        <x:v>PROCESSING</x:v>
      </x:c>
      <x:c r="F1683" s="1" t="str">
        <x:v>Late delivery</x:v>
      </x:c>
      <x:c r="G1683" s="6" t="n">
        <x:v>5</x:v>
      </x:c>
      <x:c r="H1683" s="6" t="n">
        <x:v>4</x:v>
      </x:c>
      <x:c r="I1683" s="6" t="n">
        <x:f>G1683-H1683</x:f>
        <x:v>1</x:v>
      </x:c>
      <x:c r="J1683" s="6" t="n">
        <x:f>IF(OR(E1683="CANCELED",E1683="SUSPECTED_FRAUD",F1683="Shipping canceled"),0,1)</x:f>
        <x:v>1</x:v>
      </x:c>
      <x:c r="K1683" s="6" t="n">
        <x:f>IF(G1683&gt;H1683,1,0)</x:f>
        <x:v>1</x:v>
      </x:c>
      <x:c r="L1683" s="6" t="n">
        <x:f>J1683*K1683</x:f>
        <x:v>1</x:v>
      </x:c>
    </x:row>
    <x:row r="1684">
      <x:c r="A1684" s="1" t="n">
        <x:v>13542</x:v>
      </x:c>
      <x:c r="B1684" s="5" t="d">
        <x:v>2015-07-17T00:00:00.000Z</x:v>
      </x:c>
      <x:c r="C1684" s="1" t="str">
        <x:v>Standard Class</x:v>
      </x:c>
      <x:c r="D1684" s="1" t="str">
        <x:v>Europe</x:v>
      </x:c>
      <x:c r="E1684" s="1" t="str">
        <x:v>COMPLETE</x:v>
      </x:c>
      <x:c r="F1684" s="1" t="str">
        <x:v>Advance shipping</x:v>
      </x:c>
      <x:c r="G1684" s="6" t="n">
        <x:v>3</x:v>
      </x:c>
      <x:c r="H1684" s="6" t="n">
        <x:v>4</x:v>
      </x:c>
      <x:c r="I1684" s="6" t="n">
        <x:f>G1684-H1684</x:f>
        <x:v>-1</x:v>
      </x:c>
      <x:c r="J1684" s="6" t="n">
        <x:f>IF(OR(E1684="CANCELED",E1684="SUSPECTED_FRAUD",F1684="Shipping canceled"),0,1)</x:f>
        <x:v>1</x:v>
      </x:c>
      <x:c r="K1684" s="6" t="n">
        <x:f>IF(G1684&gt;H1684,1,0)</x:f>
        <x:v>0</x:v>
      </x:c>
      <x:c r="L1684" s="6" t="n">
        <x:f>J1684*K1684</x:f>
        <x:v>0</x:v>
      </x:c>
    </x:row>
    <x:row r="1685">
      <x:c r="A1685" s="1" t="n">
        <x:v>13543</x:v>
      </x:c>
      <x:c r="B1685" s="5" t="d">
        <x:v>2015-07-17T00:00:00.000Z</x:v>
      </x:c>
      <x:c r="C1685" s="1" t="str">
        <x:v>Standard Class</x:v>
      </x:c>
      <x:c r="D1685" s="1" t="str">
        <x:v>Europe</x:v>
      </x:c>
      <x:c r="E1685" s="1" t="str">
        <x:v>CLOSED</x:v>
      </x:c>
      <x:c r="F1685" s="1" t="str">
        <x:v>Shipping on time</x:v>
      </x:c>
      <x:c r="G1685" s="6" t="n">
        <x:v>4</x:v>
      </x:c>
      <x:c r="H1685" s="6" t="n">
        <x:v>4</x:v>
      </x:c>
      <x:c r="I1685" s="6" t="n">
        <x:f>G1685-H1685</x:f>
        <x:v>0</x:v>
      </x:c>
      <x:c r="J1685" s="6" t="n">
        <x:f>IF(OR(E1685="CANCELED",E1685="SUSPECTED_FRAUD",F1685="Shipping canceled"),0,1)</x:f>
        <x:v>1</x:v>
      </x:c>
      <x:c r="K1685" s="6" t="n">
        <x:f>IF(G1685&gt;H1685,1,0)</x:f>
        <x:v>0</x:v>
      </x:c>
      <x:c r="L1685" s="6" t="n">
        <x:f>J1685*K1685</x:f>
        <x:v>0</x:v>
      </x:c>
    </x:row>
    <x:row r="1686">
      <x:c r="A1686" s="1" t="n">
        <x:v>13547</x:v>
      </x:c>
      <x:c r="B1686" s="5" t="d">
        <x:v>2015-07-17T00:00:00.000Z</x:v>
      </x:c>
      <x:c r="C1686" s="1" t="str">
        <x:v>Standard Class</x:v>
      </x:c>
      <x:c r="D1686" s="1" t="str">
        <x:v>Europe</x:v>
      </x:c>
      <x:c r="E1686" s="1" t="str">
        <x:v>PROCESSING</x:v>
      </x:c>
      <x:c r="F1686" s="1" t="str">
        <x:v>Advance shipping</x:v>
      </x:c>
      <x:c r="G1686" s="6" t="n">
        <x:v>3</x:v>
      </x:c>
      <x:c r="H1686" s="6" t="n">
        <x:v>4</x:v>
      </x:c>
      <x:c r="I1686" s="6" t="n">
        <x:f>G1686-H1686</x:f>
        <x:v>-1</x:v>
      </x:c>
      <x:c r="J1686" s="6" t="n">
        <x:f>IF(OR(E1686="CANCELED",E1686="SUSPECTED_FRAUD",F1686="Shipping canceled"),0,1)</x:f>
        <x:v>1</x:v>
      </x:c>
      <x:c r="K1686" s="6" t="n">
        <x:f>IF(G1686&gt;H1686,1,0)</x:f>
        <x:v>0</x:v>
      </x:c>
      <x:c r="L1686" s="6" t="n">
        <x:f>J1686*K1686</x:f>
        <x:v>0</x:v>
      </x:c>
    </x:row>
    <x:row r="1687">
      <x:c r="A1687" s="1" t="n">
        <x:v>13551</x:v>
      </x:c>
      <x:c r="B1687" s="5" t="d">
        <x:v>2015-07-17T00:00:00.000Z</x:v>
      </x:c>
      <x:c r="C1687" s="1" t="str">
        <x:v>Standard Class</x:v>
      </x:c>
      <x:c r="D1687" s="1" t="str">
        <x:v>Europe</x:v>
      </x:c>
      <x:c r="E1687" s="1" t="str">
        <x:v>PENDING</x:v>
      </x:c>
      <x:c r="F1687" s="1" t="str">
        <x:v>Advance shipping</x:v>
      </x:c>
      <x:c r="G1687" s="6" t="n">
        <x:v>2</x:v>
      </x:c>
      <x:c r="H1687" s="6" t="n">
        <x:v>4</x:v>
      </x:c>
      <x:c r="I1687" s="6" t="n">
        <x:f>G1687-H1687</x:f>
        <x:v>-2</x:v>
      </x:c>
      <x:c r="J1687" s="6" t="n">
        <x:f>IF(OR(E1687="CANCELED",E1687="SUSPECTED_FRAUD",F1687="Shipping canceled"),0,1)</x:f>
        <x:v>1</x:v>
      </x:c>
      <x:c r="K1687" s="6" t="n">
        <x:f>IF(G1687&gt;H1687,1,0)</x:f>
        <x:v>0</x:v>
      </x:c>
      <x:c r="L1687" s="6" t="n">
        <x:f>J1687*K1687</x:f>
        <x:v>0</x:v>
      </x:c>
    </x:row>
    <x:row r="1688">
      <x:c r="A1688" s="1" t="n">
        <x:v>13556</x:v>
      </x:c>
      <x:c r="B1688" s="5" t="d">
        <x:v>2015-07-17T00:00:00.000Z</x:v>
      </x:c>
      <x:c r="C1688" s="1" t="str">
        <x:v>Standard Class</x:v>
      </x:c>
      <x:c r="D1688" s="1" t="str">
        <x:v>Europe</x:v>
      </x:c>
      <x:c r="E1688" s="1" t="str">
        <x:v>COMPLETE</x:v>
      </x:c>
      <x:c r="F1688" s="1" t="str">
        <x:v>Advance shipping</x:v>
      </x:c>
      <x:c r="G1688" s="6" t="n">
        <x:v>2</x:v>
      </x:c>
      <x:c r="H1688" s="6" t="n">
        <x:v>4</x:v>
      </x:c>
      <x:c r="I1688" s="6" t="n">
        <x:f>G1688-H1688</x:f>
        <x:v>-2</x:v>
      </x:c>
      <x:c r="J1688" s="6" t="n">
        <x:f>IF(OR(E1688="CANCELED",E1688="SUSPECTED_FRAUD",F1688="Shipping canceled"),0,1)</x:f>
        <x:v>1</x:v>
      </x:c>
      <x:c r="K1688" s="6" t="n">
        <x:f>IF(G1688&gt;H1688,1,0)</x:f>
        <x:v>0</x:v>
      </x:c>
      <x:c r="L1688" s="6" t="n">
        <x:f>J1688*K1688</x:f>
        <x:v>0</x:v>
      </x:c>
    </x:row>
    <x:row r="1689">
      <x:c r="A1689" s="1" t="n">
        <x:v>13558</x:v>
      </x:c>
      <x:c r="B1689" s="5" t="d">
        <x:v>2015-07-17T00:00:00.000Z</x:v>
      </x:c>
      <x:c r="C1689" s="1" t="str">
        <x:v>First Class</x:v>
      </x:c>
      <x:c r="D1689" s="1" t="str">
        <x:v>Europe</x:v>
      </x:c>
      <x:c r="E1689" s="1" t="str">
        <x:v>PENDING_PAYMENT</x:v>
      </x:c>
      <x:c r="F1689" s="1" t="str">
        <x:v>Late delivery</x:v>
      </x:c>
      <x:c r="G1689" s="6" t="n">
        <x:v>2</x:v>
      </x:c>
      <x:c r="H1689" s="6" t="n">
        <x:v>1</x:v>
      </x:c>
      <x:c r="I1689" s="6" t="n">
        <x:f>G1689-H1689</x:f>
        <x:v>1</x:v>
      </x:c>
      <x:c r="J1689" s="6" t="n">
        <x:f>IF(OR(E1689="CANCELED",E1689="SUSPECTED_FRAUD",F1689="Shipping canceled"),0,1)</x:f>
        <x:v>1</x:v>
      </x:c>
      <x:c r="K1689" s="6" t="n">
        <x:f>IF(G1689&gt;H1689,1,0)</x:f>
        <x:v>1</x:v>
      </x:c>
      <x:c r="L1689" s="6" t="n">
        <x:f>J1689*K1689</x:f>
        <x:v>1</x:v>
      </x:c>
    </x:row>
    <x:row r="1690">
      <x:c r="A1690" s="1" t="n">
        <x:v>13561</x:v>
      </x:c>
      <x:c r="B1690" s="5" t="d">
        <x:v>2015-07-17T00:00:00.000Z</x:v>
      </x:c>
      <x:c r="C1690" s="1" t="str">
        <x:v>First Class</x:v>
      </x:c>
      <x:c r="D1690" s="1" t="str">
        <x:v>Europe</x:v>
      </x:c>
      <x:c r="E1690" s="1" t="str">
        <x:v>PENDING_PAYMENT</x:v>
      </x:c>
      <x:c r="F1690" s="1" t="str">
        <x:v>Late delivery</x:v>
      </x:c>
      <x:c r="G1690" s="6" t="n">
        <x:v>2</x:v>
      </x:c>
      <x:c r="H1690" s="6" t="n">
        <x:v>1</x:v>
      </x:c>
      <x:c r="I1690" s="6" t="n">
        <x:f>G1690-H1690</x:f>
        <x:v>1</x:v>
      </x:c>
      <x:c r="J1690" s="6" t="n">
        <x:f>IF(OR(E1690="CANCELED",E1690="SUSPECTED_FRAUD",F1690="Shipping canceled"),0,1)</x:f>
        <x:v>1</x:v>
      </x:c>
      <x:c r="K1690" s="6" t="n">
        <x:f>IF(G1690&gt;H1690,1,0)</x:f>
        <x:v>1</x:v>
      </x:c>
      <x:c r="L1690" s="6" t="n">
        <x:f>J1690*K1690</x:f>
        <x:v>1</x:v>
      </x:c>
    </x:row>
    <x:row r="1691">
      <x:c r="A1691" s="1" t="n">
        <x:v>13573</x:v>
      </x:c>
      <x:c r="B1691" s="5" t="d">
        <x:v>2015-07-18T00:00:00.000Z</x:v>
      </x:c>
      <x:c r="C1691" s="1" t="str">
        <x:v>First Class</x:v>
      </x:c>
      <x:c r="D1691" s="1" t="str">
        <x:v>Europe</x:v>
      </x:c>
      <x:c r="E1691" s="1" t="str">
        <x:v>PENDING_PAYMENT</x:v>
      </x:c>
      <x:c r="F1691" s="1" t="str">
        <x:v>Late delivery</x:v>
      </x:c>
      <x:c r="G1691" s="6" t="n">
        <x:v>2</x:v>
      </x:c>
      <x:c r="H1691" s="6" t="n">
        <x:v>1</x:v>
      </x:c>
      <x:c r="I1691" s="6" t="n">
        <x:f>G1691-H1691</x:f>
        <x:v>1</x:v>
      </x:c>
      <x:c r="J1691" s="6" t="n">
        <x:f>IF(OR(E1691="CANCELED",E1691="SUSPECTED_FRAUD",F1691="Shipping canceled"),0,1)</x:f>
        <x:v>1</x:v>
      </x:c>
      <x:c r="K1691" s="6" t="n">
        <x:f>IF(G1691&gt;H1691,1,0)</x:f>
        <x:v>1</x:v>
      </x:c>
      <x:c r="L1691" s="6" t="n">
        <x:f>J1691*K1691</x:f>
        <x:v>1</x:v>
      </x:c>
    </x:row>
    <x:row r="1692">
      <x:c r="A1692" s="1" t="n">
        <x:v>13575</x:v>
      </x:c>
      <x:c r="B1692" s="5" t="d">
        <x:v>2015-07-18T00:00:00.000Z</x:v>
      </x:c>
      <x:c r="C1692" s="1" t="str">
        <x:v>Standard Class</x:v>
      </x:c>
      <x:c r="D1692" s="1" t="str">
        <x:v>Europe</x:v>
      </x:c>
      <x:c r="E1692" s="1" t="str">
        <x:v>COMPLETE</x:v>
      </x:c>
      <x:c r="F1692" s="1" t="str">
        <x:v>Late delivery</x:v>
      </x:c>
      <x:c r="G1692" s="6" t="n">
        <x:v>6</x:v>
      </x:c>
      <x:c r="H1692" s="6" t="n">
        <x:v>4</x:v>
      </x:c>
      <x:c r="I1692" s="6" t="n">
        <x:f>G1692-H1692</x:f>
        <x:v>2</x:v>
      </x:c>
      <x:c r="J1692" s="6" t="n">
        <x:f>IF(OR(E1692="CANCELED",E1692="SUSPECTED_FRAUD",F1692="Shipping canceled"),0,1)</x:f>
        <x:v>1</x:v>
      </x:c>
      <x:c r="K1692" s="6" t="n">
        <x:f>IF(G1692&gt;H1692,1,0)</x:f>
        <x:v>1</x:v>
      </x:c>
      <x:c r="L1692" s="6" t="n">
        <x:f>J1692*K1692</x:f>
        <x:v>1</x:v>
      </x:c>
    </x:row>
    <x:row r="1693">
      <x:c r="A1693" s="1" t="n">
        <x:v>13588</x:v>
      </x:c>
      <x:c r="B1693" s="5" t="d">
        <x:v>2015-07-18T00:00:00.000Z</x:v>
      </x:c>
      <x:c r="C1693" s="1" t="str">
        <x:v>Standard Class</x:v>
      </x:c>
      <x:c r="D1693" s="1" t="str">
        <x:v>Europe</x:v>
      </x:c>
      <x:c r="E1693" s="1" t="str">
        <x:v>COMPLETE</x:v>
      </x:c>
      <x:c r="F1693" s="1" t="str">
        <x:v>Shipping on time</x:v>
      </x:c>
      <x:c r="G1693" s="6" t="n">
        <x:v>4</x:v>
      </x:c>
      <x:c r="H1693" s="6" t="n">
        <x:v>4</x:v>
      </x:c>
      <x:c r="I1693" s="6" t="n">
        <x:f>G1693-H1693</x:f>
        <x:v>0</x:v>
      </x:c>
      <x:c r="J1693" s="6" t="n">
        <x:f>IF(OR(E1693="CANCELED",E1693="SUSPECTED_FRAUD",F1693="Shipping canceled"),0,1)</x:f>
        <x:v>1</x:v>
      </x:c>
      <x:c r="K1693" s="6" t="n">
        <x:f>IF(G1693&gt;H1693,1,0)</x:f>
        <x:v>0</x:v>
      </x:c>
      <x:c r="L1693" s="6" t="n">
        <x:f>J1693*K1693</x:f>
        <x:v>0</x:v>
      </x:c>
    </x:row>
    <x:row r="1694">
      <x:c r="A1694" s="1" t="n">
        <x:v>13590</x:v>
      </x:c>
      <x:c r="B1694" s="5" t="d">
        <x:v>2015-07-18T00:00:00.000Z</x:v>
      </x:c>
      <x:c r="C1694" s="1" t="str">
        <x:v>Standard Class</x:v>
      </x:c>
      <x:c r="D1694" s="1" t="str">
        <x:v>Europe</x:v>
      </x:c>
      <x:c r="E1694" s="1" t="str">
        <x:v>ON_HOLD</x:v>
      </x:c>
      <x:c r="F1694" s="1" t="str">
        <x:v>Late delivery</x:v>
      </x:c>
      <x:c r="G1694" s="6" t="n">
        <x:v>6</x:v>
      </x:c>
      <x:c r="H1694" s="6" t="n">
        <x:v>4</x:v>
      </x:c>
      <x:c r="I1694" s="6" t="n">
        <x:f>G1694-H1694</x:f>
        <x:v>2</x:v>
      </x:c>
      <x:c r="J1694" s="6" t="n">
        <x:f>IF(OR(E1694="CANCELED",E1694="SUSPECTED_FRAUD",F1694="Shipping canceled"),0,1)</x:f>
        <x:v>1</x:v>
      </x:c>
      <x:c r="K1694" s="6" t="n">
        <x:f>IF(G1694&gt;H1694,1,0)</x:f>
        <x:v>1</x:v>
      </x:c>
      <x:c r="L1694" s="6" t="n">
        <x:f>J1694*K1694</x:f>
        <x:v>1</x:v>
      </x:c>
    </x:row>
    <x:row r="1695">
      <x:c r="A1695" s="1" t="n">
        <x:v>13592</x:v>
      </x:c>
      <x:c r="B1695" s="5" t="d">
        <x:v>2015-07-18T00:00:00.000Z</x:v>
      </x:c>
      <x:c r="C1695" s="1" t="str">
        <x:v>Standard Class</x:v>
      </x:c>
      <x:c r="D1695" s="1" t="str">
        <x:v>Europe</x:v>
      </x:c>
      <x:c r="E1695" s="1" t="str">
        <x:v>PENDING_PAYMENT</x:v>
      </x:c>
      <x:c r="F1695" s="1" t="str">
        <x:v>Advance shipping</x:v>
      </x:c>
      <x:c r="G1695" s="6" t="n">
        <x:v>3</x:v>
      </x:c>
      <x:c r="H1695" s="6" t="n">
        <x:v>4</x:v>
      </x:c>
      <x:c r="I1695" s="6" t="n">
        <x:f>G1695-H1695</x:f>
        <x:v>-1</x:v>
      </x:c>
      <x:c r="J1695" s="6" t="n">
        <x:f>IF(OR(E1695="CANCELED",E1695="SUSPECTED_FRAUD",F1695="Shipping canceled"),0,1)</x:f>
        <x:v>1</x:v>
      </x:c>
      <x:c r="K1695" s="6" t="n">
        <x:f>IF(G1695&gt;H1695,1,0)</x:f>
        <x:v>0</x:v>
      </x:c>
      <x:c r="L1695" s="6" t="n">
        <x:f>J1695*K1695</x:f>
        <x:v>0</x:v>
      </x:c>
    </x:row>
    <x:row r="1696">
      <x:c r="A1696" s="1" t="n">
        <x:v>13595</x:v>
      </x:c>
      <x:c r="B1696" s="5" t="d">
        <x:v>2015-07-18T00:00:00.000Z</x:v>
      </x:c>
      <x:c r="C1696" s="1" t="str">
        <x:v>Standard Class</x:v>
      </x:c>
      <x:c r="D1696" s="1" t="str">
        <x:v>Europe</x:v>
      </x:c>
      <x:c r="E1696" s="1" t="str">
        <x:v>ON_HOLD</x:v>
      </x:c>
      <x:c r="F1696" s="1" t="str">
        <x:v>Late delivery</x:v>
      </x:c>
      <x:c r="G1696" s="6" t="n">
        <x:v>6</x:v>
      </x:c>
      <x:c r="H1696" s="6" t="n">
        <x:v>4</x:v>
      </x:c>
      <x:c r="I1696" s="6" t="n">
        <x:f>G1696-H1696</x:f>
        <x:v>2</x:v>
      </x:c>
      <x:c r="J1696" s="6" t="n">
        <x:f>IF(OR(E1696="CANCELED",E1696="SUSPECTED_FRAUD",F1696="Shipping canceled"),0,1)</x:f>
        <x:v>1</x:v>
      </x:c>
      <x:c r="K1696" s="6" t="n">
        <x:f>IF(G1696&gt;H1696,1,0)</x:f>
        <x:v>1</x:v>
      </x:c>
      <x:c r="L1696" s="6" t="n">
        <x:f>J1696*K1696</x:f>
        <x:v>1</x:v>
      </x:c>
    </x:row>
    <x:row r="1697">
      <x:c r="A1697" s="1" t="n">
        <x:v>13596</x:v>
      </x:c>
      <x:c r="B1697" s="5" t="d">
        <x:v>2015-07-18T00:00:00.000Z</x:v>
      </x:c>
      <x:c r="C1697" s="1" t="str">
        <x:v>Standard Class</x:v>
      </x:c>
      <x:c r="D1697" s="1" t="str">
        <x:v>Europe</x:v>
      </x:c>
      <x:c r="E1697" s="1" t="str">
        <x:v>COMPLETE</x:v>
      </x:c>
      <x:c r="F1697" s="1" t="str">
        <x:v>Advance shipping</x:v>
      </x:c>
      <x:c r="G1697" s="6" t="n">
        <x:v>2</x:v>
      </x:c>
      <x:c r="H1697" s="6" t="n">
        <x:v>4</x:v>
      </x:c>
      <x:c r="I1697" s="6" t="n">
        <x:f>G1697-H1697</x:f>
        <x:v>-2</x:v>
      </x:c>
      <x:c r="J1697" s="6" t="n">
        <x:f>IF(OR(E1697="CANCELED",E1697="SUSPECTED_FRAUD",F1697="Shipping canceled"),0,1)</x:f>
        <x:v>1</x:v>
      </x:c>
      <x:c r="K1697" s="6" t="n">
        <x:f>IF(G1697&gt;H1697,1,0)</x:f>
        <x:v>0</x:v>
      </x:c>
      <x:c r="L1697" s="6" t="n">
        <x:f>J1697*K1697</x:f>
        <x:v>0</x:v>
      </x:c>
    </x:row>
    <x:row r="1698">
      <x:c r="A1698" s="1" t="n">
        <x:v>13599</x:v>
      </x:c>
      <x:c r="B1698" s="5" t="d">
        <x:v>2015-07-18T00:00:00.000Z</x:v>
      </x:c>
      <x:c r="C1698" s="1" t="str">
        <x:v>Standard Class</x:v>
      </x:c>
      <x:c r="D1698" s="1" t="str">
        <x:v>Europe</x:v>
      </x:c>
      <x:c r="E1698" s="1" t="str">
        <x:v>PENDING</x:v>
      </x:c>
      <x:c r="F1698" s="1" t="str">
        <x:v>Late delivery</x:v>
      </x:c>
      <x:c r="G1698" s="6" t="n">
        <x:v>5</x:v>
      </x:c>
      <x:c r="H1698" s="6" t="n">
        <x:v>4</x:v>
      </x:c>
      <x:c r="I1698" s="6" t="n">
        <x:f>G1698-H1698</x:f>
        <x:v>1</x:v>
      </x:c>
      <x:c r="J1698" s="6" t="n">
        <x:f>IF(OR(E1698="CANCELED",E1698="SUSPECTED_FRAUD",F1698="Shipping canceled"),0,1)</x:f>
        <x:v>1</x:v>
      </x:c>
      <x:c r="K1698" s="6" t="n">
        <x:f>IF(G1698&gt;H1698,1,0)</x:f>
        <x:v>1</x:v>
      </x:c>
      <x:c r="L1698" s="6" t="n">
        <x:f>J1698*K1698</x:f>
        <x:v>1</x:v>
      </x:c>
    </x:row>
    <x:row r="1699">
      <x:c r="A1699" s="1" t="n">
        <x:v>13605</x:v>
      </x:c>
      <x:c r="B1699" s="5" t="d">
        <x:v>2015-07-18T00:00:00.000Z</x:v>
      </x:c>
      <x:c r="C1699" s="1" t="str">
        <x:v>Standard Class</x:v>
      </x:c>
      <x:c r="D1699" s="1" t="str">
        <x:v>Europe</x:v>
      </x:c>
      <x:c r="E1699" s="1" t="str">
        <x:v>COMPLETE</x:v>
      </x:c>
      <x:c r="F1699" s="1" t="str">
        <x:v>Late delivery</x:v>
      </x:c>
      <x:c r="G1699" s="6" t="n">
        <x:v>6</x:v>
      </x:c>
      <x:c r="H1699" s="6" t="n">
        <x:v>4</x:v>
      </x:c>
      <x:c r="I1699" s="6" t="n">
        <x:f>G1699-H1699</x:f>
        <x:v>2</x:v>
      </x:c>
      <x:c r="J1699" s="6" t="n">
        <x:f>IF(OR(E1699="CANCELED",E1699="SUSPECTED_FRAUD",F1699="Shipping canceled"),0,1)</x:f>
        <x:v>1</x:v>
      </x:c>
      <x:c r="K1699" s="6" t="n">
        <x:f>IF(G1699&gt;H1699,1,0)</x:f>
        <x:v>1</x:v>
      </x:c>
      <x:c r="L1699" s="6" t="n">
        <x:f>J1699*K1699</x:f>
        <x:v>1</x:v>
      </x:c>
    </x:row>
    <x:row r="1700">
      <x:c r="A1700" s="1" t="n">
        <x:v>13614</x:v>
      </x:c>
      <x:c r="B1700" s="5" t="d">
        <x:v>2015-07-18T00:00:00.000Z</x:v>
      </x:c>
      <x:c r="C1700" s="1" t="str">
        <x:v>Second Class</x:v>
      </x:c>
      <x:c r="D1700" s="1" t="str">
        <x:v>Europe</x:v>
      </x:c>
      <x:c r="E1700" s="1" t="str">
        <x:v>COMPLETE</x:v>
      </x:c>
      <x:c r="F1700" s="1" t="str">
        <x:v>Late delivery</x:v>
      </x:c>
      <x:c r="G1700" s="6" t="n">
        <x:v>5</x:v>
      </x:c>
      <x:c r="H1700" s="6" t="n">
        <x:v>2</x:v>
      </x:c>
      <x:c r="I1700" s="6" t="n">
        <x:f>G1700-H1700</x:f>
        <x:v>3</x:v>
      </x:c>
      <x:c r="J1700" s="6" t="n">
        <x:f>IF(OR(E1700="CANCELED",E1700="SUSPECTED_FRAUD",F1700="Shipping canceled"),0,1)</x:f>
        <x:v>1</x:v>
      </x:c>
      <x:c r="K1700" s="6" t="n">
        <x:f>IF(G1700&gt;H1700,1,0)</x:f>
        <x:v>1</x:v>
      </x:c>
      <x:c r="L1700" s="6" t="n">
        <x:f>J1700*K1700</x:f>
        <x:v>1</x:v>
      </x:c>
    </x:row>
    <x:row r="1701">
      <x:c r="A1701" s="1" t="n">
        <x:v>13616</x:v>
      </x:c>
      <x:c r="B1701" s="5" t="d">
        <x:v>2015-07-18T00:00:00.000Z</x:v>
      </x:c>
      <x:c r="C1701" s="1" t="str">
        <x:v>Standard Class</x:v>
      </x:c>
      <x:c r="D1701" s="1" t="str">
        <x:v>Europe</x:v>
      </x:c>
      <x:c r="E1701" s="1" t="str">
        <x:v>COMPLETE</x:v>
      </x:c>
      <x:c r="F1701" s="1" t="str">
        <x:v>Advance shipping</x:v>
      </x:c>
      <x:c r="G1701" s="6" t="n">
        <x:v>2</x:v>
      </x:c>
      <x:c r="H1701" s="6" t="n">
        <x:v>4</x:v>
      </x:c>
      <x:c r="I1701" s="6" t="n">
        <x:f>G1701-H1701</x:f>
        <x:v>-2</x:v>
      </x:c>
      <x:c r="J1701" s="6" t="n">
        <x:f>IF(OR(E1701="CANCELED",E1701="SUSPECTED_FRAUD",F1701="Shipping canceled"),0,1)</x:f>
        <x:v>1</x:v>
      </x:c>
      <x:c r="K1701" s="6" t="n">
        <x:f>IF(G1701&gt;H1701,1,0)</x:f>
        <x:v>0</x:v>
      </x:c>
      <x:c r="L1701" s="6" t="n">
        <x:f>J1701*K1701</x:f>
        <x:v>0</x:v>
      </x:c>
    </x:row>
    <x:row r="1702">
      <x:c r="A1702" s="1" t="n">
        <x:v>13618</x:v>
      </x:c>
      <x:c r="B1702" s="5" t="d">
        <x:v>2015-07-18T00:00:00.000Z</x:v>
      </x:c>
      <x:c r="C1702" s="1" t="str">
        <x:v>Standard Class</x:v>
      </x:c>
      <x:c r="D1702" s="1" t="str">
        <x:v>Europe</x:v>
      </x:c>
      <x:c r="E1702" s="1" t="str">
        <x:v>COMPLETE</x:v>
      </x:c>
      <x:c r="F1702" s="1" t="str">
        <x:v>Shipping on time</x:v>
      </x:c>
      <x:c r="G1702" s="6" t="n">
        <x:v>4</x:v>
      </x:c>
      <x:c r="H1702" s="6" t="n">
        <x:v>4</x:v>
      </x:c>
      <x:c r="I1702" s="6" t="n">
        <x:f>G1702-H1702</x:f>
        <x:v>0</x:v>
      </x:c>
      <x:c r="J1702" s="6" t="n">
        <x:f>IF(OR(E1702="CANCELED",E1702="SUSPECTED_FRAUD",F1702="Shipping canceled"),0,1)</x:f>
        <x:v>1</x:v>
      </x:c>
      <x:c r="K1702" s="6" t="n">
        <x:f>IF(G1702&gt;H1702,1,0)</x:f>
        <x:v>0</x:v>
      </x:c>
      <x:c r="L1702" s="6" t="n">
        <x:f>J1702*K1702</x:f>
        <x:v>0</x:v>
      </x:c>
    </x:row>
    <x:row r="1703">
      <x:c r="A1703" s="1" t="n">
        <x:v>13619</x:v>
      </x:c>
      <x:c r="B1703" s="5" t="d">
        <x:v>2015-07-18T00:00:00.000Z</x:v>
      </x:c>
      <x:c r="C1703" s="1" t="str">
        <x:v>Standard Class</x:v>
      </x:c>
      <x:c r="D1703" s="1" t="str">
        <x:v>Europe</x:v>
      </x:c>
      <x:c r="E1703" s="1" t="str">
        <x:v>PENDING</x:v>
      </x:c>
      <x:c r="F1703" s="1" t="str">
        <x:v>Late delivery</x:v>
      </x:c>
      <x:c r="G1703" s="6" t="n">
        <x:v>5</x:v>
      </x:c>
      <x:c r="H1703" s="6" t="n">
        <x:v>4</x:v>
      </x:c>
      <x:c r="I1703" s="6" t="n">
        <x:f>G1703-H1703</x:f>
        <x:v>1</x:v>
      </x:c>
      <x:c r="J1703" s="6" t="n">
        <x:f>IF(OR(E1703="CANCELED",E1703="SUSPECTED_FRAUD",F1703="Shipping canceled"),0,1)</x:f>
        <x:v>1</x:v>
      </x:c>
      <x:c r="K1703" s="6" t="n">
        <x:f>IF(G1703&gt;H1703,1,0)</x:f>
        <x:v>1</x:v>
      </x:c>
      <x:c r="L1703" s="6" t="n">
        <x:f>J1703*K1703</x:f>
        <x:v>1</x:v>
      </x:c>
    </x:row>
    <x:row r="1704">
      <x:c r="A1704" s="1" t="n">
        <x:v>13621</x:v>
      </x:c>
      <x:c r="B1704" s="5" t="d">
        <x:v>2015-07-18T00:00:00.000Z</x:v>
      </x:c>
      <x:c r="C1704" s="1" t="str">
        <x:v>Standard Class</x:v>
      </x:c>
      <x:c r="D1704" s="1" t="str">
        <x:v>Europe</x:v>
      </x:c>
      <x:c r="E1704" s="1" t="str">
        <x:v>COMPLETE</x:v>
      </x:c>
      <x:c r="F1704" s="1" t="str">
        <x:v>Advance shipping</x:v>
      </x:c>
      <x:c r="G1704" s="6" t="n">
        <x:v>2</x:v>
      </x:c>
      <x:c r="H1704" s="6" t="n">
        <x:v>4</x:v>
      </x:c>
      <x:c r="I1704" s="6" t="n">
        <x:f>G1704-H1704</x:f>
        <x:v>-2</x:v>
      </x:c>
      <x:c r="J1704" s="6" t="n">
        <x:f>IF(OR(E1704="CANCELED",E1704="SUSPECTED_FRAUD",F1704="Shipping canceled"),0,1)</x:f>
        <x:v>1</x:v>
      </x:c>
      <x:c r="K1704" s="6" t="n">
        <x:f>IF(G1704&gt;H1704,1,0)</x:f>
        <x:v>0</x:v>
      </x:c>
      <x:c r="L1704" s="6" t="n">
        <x:f>J1704*K1704</x:f>
        <x:v>0</x:v>
      </x:c>
    </x:row>
    <x:row r="1705">
      <x:c r="A1705" s="1" t="n">
        <x:v>13638</x:v>
      </x:c>
      <x:c r="B1705" s="5" t="d">
        <x:v>2015-07-19T00:00:00.000Z</x:v>
      </x:c>
      <x:c r="C1705" s="1" t="str">
        <x:v>First Class</x:v>
      </x:c>
      <x:c r="D1705" s="1" t="str">
        <x:v>Europe</x:v>
      </x:c>
      <x:c r="E1705" s="1" t="str">
        <x:v>PENDING_PAYMENT</x:v>
      </x:c>
      <x:c r="F1705" s="1" t="str">
        <x:v>Late delivery</x:v>
      </x:c>
      <x:c r="G1705" s="6" t="n">
        <x:v>2</x:v>
      </x:c>
      <x:c r="H1705" s="6" t="n">
        <x:v>1</x:v>
      </x:c>
      <x:c r="I1705" s="6" t="n">
        <x:f>G1705-H1705</x:f>
        <x:v>1</x:v>
      </x:c>
      <x:c r="J1705" s="6" t="n">
        <x:f>IF(OR(E1705="CANCELED",E1705="SUSPECTED_FRAUD",F1705="Shipping canceled"),0,1)</x:f>
        <x:v>1</x:v>
      </x:c>
      <x:c r="K1705" s="6" t="n">
        <x:f>IF(G1705&gt;H1705,1,0)</x:f>
        <x:v>1</x:v>
      </x:c>
      <x:c r="L1705" s="6" t="n">
        <x:f>J1705*K1705</x:f>
        <x:v>1</x:v>
      </x:c>
    </x:row>
    <x:row r="1706">
      <x:c r="A1706" s="1" t="n">
        <x:v>13647</x:v>
      </x:c>
      <x:c r="B1706" s="5" t="d">
        <x:v>2015-07-19T00:00:00.000Z</x:v>
      </x:c>
      <x:c r="C1706" s="1" t="str">
        <x:v>Standard Class</x:v>
      </x:c>
      <x:c r="D1706" s="1" t="str">
        <x:v>Europe</x:v>
      </x:c>
      <x:c r="E1706" s="1" t="str">
        <x:v>SUSPECTED_FRAUD</x:v>
      </x:c>
      <x:c r="F1706" s="1" t="str">
        <x:v>Shipping canceled</x:v>
      </x:c>
      <x:c r="G1706" s="6" t="n">
        <x:v>3</x:v>
      </x:c>
      <x:c r="H1706" s="6" t="n">
        <x:v>4</x:v>
      </x:c>
      <x:c r="I1706" s="6" t="n">
        <x:f>G1706-H1706</x:f>
        <x:v>-1</x:v>
      </x:c>
      <x:c r="J1706" s="6" t="n">
        <x:f>IF(OR(E1706="CANCELED",E1706="SUSPECTED_FRAUD",F1706="Shipping canceled"),0,1)</x:f>
        <x:v>0</x:v>
      </x:c>
      <x:c r="K1706" s="6" t="n">
        <x:f>IF(G1706&gt;H1706,1,0)</x:f>
        <x:v>0</x:v>
      </x:c>
      <x:c r="L1706" s="6" t="n">
        <x:f>J1706*K1706</x:f>
        <x:v>0</x:v>
      </x:c>
    </x:row>
    <x:row r="1707">
      <x:c r="A1707" s="1" t="n">
        <x:v>13652</x:v>
      </x:c>
      <x:c r="B1707" s="5" t="d">
        <x:v>2015-07-19T00:00:00.000Z</x:v>
      </x:c>
      <x:c r="C1707" s="1" t="str">
        <x:v>Standard Class</x:v>
      </x:c>
      <x:c r="D1707" s="1" t="str">
        <x:v>Europe</x:v>
      </x:c>
      <x:c r="E1707" s="1" t="str">
        <x:v>COMPLETE</x:v>
      </x:c>
      <x:c r="F1707" s="1" t="str">
        <x:v>Advance shipping</x:v>
      </x:c>
      <x:c r="G1707" s="6" t="n">
        <x:v>3</x:v>
      </x:c>
      <x:c r="H1707" s="6" t="n">
        <x:v>4</x:v>
      </x:c>
      <x:c r="I1707" s="6" t="n">
        <x:f>G1707-H1707</x:f>
        <x:v>-1</x:v>
      </x:c>
      <x:c r="J1707" s="6" t="n">
        <x:f>IF(OR(E1707="CANCELED",E1707="SUSPECTED_FRAUD",F1707="Shipping canceled"),0,1)</x:f>
        <x:v>1</x:v>
      </x:c>
      <x:c r="K1707" s="6" t="n">
        <x:f>IF(G1707&gt;H1707,1,0)</x:f>
        <x:v>0</x:v>
      </x:c>
      <x:c r="L1707" s="6" t="n">
        <x:f>J1707*K1707</x:f>
        <x:v>0</x:v>
      </x:c>
    </x:row>
    <x:row r="1708">
      <x:c r="A1708" s="1" t="n">
        <x:v>13653</x:v>
      </x:c>
      <x:c r="B1708" s="5" t="d">
        <x:v>2015-07-19T00:00:00.000Z</x:v>
      </x:c>
      <x:c r="C1708" s="1" t="str">
        <x:v>Second Class</x:v>
      </x:c>
      <x:c r="D1708" s="1" t="str">
        <x:v>Europe</x:v>
      </x:c>
      <x:c r="E1708" s="1" t="str">
        <x:v>COMPLETE</x:v>
      </x:c>
      <x:c r="F1708" s="1" t="str">
        <x:v>Late delivery</x:v>
      </x:c>
      <x:c r="G1708" s="6" t="n">
        <x:v>4</x:v>
      </x:c>
      <x:c r="H1708" s="6" t="n">
        <x:v>2</x:v>
      </x:c>
      <x:c r="I1708" s="6" t="n">
        <x:f>G1708-H1708</x:f>
        <x:v>2</x:v>
      </x:c>
      <x:c r="J1708" s="6" t="n">
        <x:f>IF(OR(E1708="CANCELED",E1708="SUSPECTED_FRAUD",F1708="Shipping canceled"),0,1)</x:f>
        <x:v>1</x:v>
      </x:c>
      <x:c r="K1708" s="6" t="n">
        <x:f>IF(G1708&gt;H1708,1,0)</x:f>
        <x:v>1</x:v>
      </x:c>
      <x:c r="L1708" s="6" t="n">
        <x:f>J1708*K1708</x:f>
        <x:v>1</x:v>
      </x:c>
    </x:row>
    <x:row r="1709">
      <x:c r="A1709" s="1" t="n">
        <x:v>13658</x:v>
      </x:c>
      <x:c r="B1709" s="5" t="d">
        <x:v>2015-07-19T00:00:00.000Z</x:v>
      </x:c>
      <x:c r="C1709" s="1" t="str">
        <x:v>Standard Class</x:v>
      </x:c>
      <x:c r="D1709" s="1" t="str">
        <x:v>Europe</x:v>
      </x:c>
      <x:c r="E1709" s="1" t="str">
        <x:v>PROCESSING</x:v>
      </x:c>
      <x:c r="F1709" s="1" t="str">
        <x:v>Shipping on time</x:v>
      </x:c>
      <x:c r="G1709" s="6" t="n">
        <x:v>4</x:v>
      </x:c>
      <x:c r="H1709" s="6" t="n">
        <x:v>4</x:v>
      </x:c>
      <x:c r="I1709" s="6" t="n">
        <x:f>G1709-H1709</x:f>
        <x:v>0</x:v>
      </x:c>
      <x:c r="J1709" s="6" t="n">
        <x:f>IF(OR(E1709="CANCELED",E1709="SUSPECTED_FRAUD",F1709="Shipping canceled"),0,1)</x:f>
        <x:v>1</x:v>
      </x:c>
      <x:c r="K1709" s="6" t="n">
        <x:f>IF(G1709&gt;H1709,1,0)</x:f>
        <x:v>0</x:v>
      </x:c>
      <x:c r="L1709" s="6" t="n">
        <x:f>J1709*K1709</x:f>
        <x:v>0</x:v>
      </x:c>
    </x:row>
    <x:row r="1710">
      <x:c r="A1710" s="1" t="n">
        <x:v>13669</x:v>
      </x:c>
      <x:c r="B1710" s="5" t="d">
        <x:v>2015-07-19T00:00:00.000Z</x:v>
      </x:c>
      <x:c r="C1710" s="1" t="str">
        <x:v>Standard Class</x:v>
      </x:c>
      <x:c r="D1710" s="1" t="str">
        <x:v>Europe</x:v>
      </x:c>
      <x:c r="E1710" s="1" t="str">
        <x:v>PENDING</x:v>
      </x:c>
      <x:c r="F1710" s="1" t="str">
        <x:v>Late delivery</x:v>
      </x:c>
      <x:c r="G1710" s="6" t="n">
        <x:v>5</x:v>
      </x:c>
      <x:c r="H1710" s="6" t="n">
        <x:v>4</x:v>
      </x:c>
      <x:c r="I1710" s="6" t="n">
        <x:f>G1710-H1710</x:f>
        <x:v>1</x:v>
      </x:c>
      <x:c r="J1710" s="6" t="n">
        <x:f>IF(OR(E1710="CANCELED",E1710="SUSPECTED_FRAUD",F1710="Shipping canceled"),0,1)</x:f>
        <x:v>1</x:v>
      </x:c>
      <x:c r="K1710" s="6" t="n">
        <x:f>IF(G1710&gt;H1710,1,0)</x:f>
        <x:v>1</x:v>
      </x:c>
      <x:c r="L1710" s="6" t="n">
        <x:f>J1710*K1710</x:f>
        <x:v>1</x:v>
      </x:c>
    </x:row>
    <x:row r="1711">
      <x:c r="A1711" s="1" t="n">
        <x:v>13687</x:v>
      </x:c>
      <x:c r="B1711" s="5" t="d">
        <x:v>2015-07-19T00:00:00.000Z</x:v>
      </x:c>
      <x:c r="C1711" s="1" t="str">
        <x:v>Standard Class</x:v>
      </x:c>
      <x:c r="D1711" s="1" t="str">
        <x:v>Europe</x:v>
      </x:c>
      <x:c r="E1711" s="1" t="str">
        <x:v>COMPLETE</x:v>
      </x:c>
      <x:c r="F1711" s="1" t="str">
        <x:v>Advance shipping</x:v>
      </x:c>
      <x:c r="G1711" s="6" t="n">
        <x:v>3</x:v>
      </x:c>
      <x:c r="H1711" s="6" t="n">
        <x:v>4</x:v>
      </x:c>
      <x:c r="I1711" s="6" t="n">
        <x:f>G1711-H1711</x:f>
        <x:v>-1</x:v>
      </x:c>
      <x:c r="J1711" s="6" t="n">
        <x:f>IF(OR(E1711="CANCELED",E1711="SUSPECTED_FRAUD",F1711="Shipping canceled"),0,1)</x:f>
        <x:v>1</x:v>
      </x:c>
      <x:c r="K1711" s="6" t="n">
        <x:f>IF(G1711&gt;H1711,1,0)</x:f>
        <x:v>0</x:v>
      </x:c>
      <x:c r="L1711" s="6" t="n">
        <x:f>J1711*K1711</x:f>
        <x:v>0</x:v>
      </x:c>
    </x:row>
    <x:row r="1712">
      <x:c r="A1712" s="1" t="n">
        <x:v>13702</x:v>
      </x:c>
      <x:c r="B1712" s="5" t="d">
        <x:v>2015-07-20T00:00:00.000Z</x:v>
      </x:c>
      <x:c r="C1712" s="1" t="str">
        <x:v>Standard Class</x:v>
      </x:c>
      <x:c r="D1712" s="1" t="str">
        <x:v>Europe</x:v>
      </x:c>
      <x:c r="E1712" s="1" t="str">
        <x:v>ON_HOLD</x:v>
      </x:c>
      <x:c r="F1712" s="1" t="str">
        <x:v>Advance shipping</x:v>
      </x:c>
      <x:c r="G1712" s="6" t="n">
        <x:v>3</x:v>
      </x:c>
      <x:c r="H1712" s="6" t="n">
        <x:v>4</x:v>
      </x:c>
      <x:c r="I1712" s="6" t="n">
        <x:f>G1712-H1712</x:f>
        <x:v>-1</x:v>
      </x:c>
      <x:c r="J1712" s="6" t="n">
        <x:f>IF(OR(E1712="CANCELED",E1712="SUSPECTED_FRAUD",F1712="Shipping canceled"),0,1)</x:f>
        <x:v>1</x:v>
      </x:c>
      <x:c r="K1712" s="6" t="n">
        <x:f>IF(G1712&gt;H1712,1,0)</x:f>
        <x:v>0</x:v>
      </x:c>
      <x:c r="L1712" s="6" t="n">
        <x:f>J1712*K1712</x:f>
        <x:v>0</x:v>
      </x:c>
    </x:row>
    <x:row r="1713">
      <x:c r="A1713" s="1" t="n">
        <x:v>13706</x:v>
      </x:c>
      <x:c r="B1713" s="5" t="d">
        <x:v>2015-07-20T00:00:00.000Z</x:v>
      </x:c>
      <x:c r="C1713" s="1" t="str">
        <x:v>Standard Class</x:v>
      </x:c>
      <x:c r="D1713" s="1" t="str">
        <x:v>Europe</x:v>
      </x:c>
      <x:c r="E1713" s="1" t="str">
        <x:v>PENDING</x:v>
      </x:c>
      <x:c r="F1713" s="1" t="str">
        <x:v>Advance shipping</x:v>
      </x:c>
      <x:c r="G1713" s="6" t="n">
        <x:v>2</x:v>
      </x:c>
      <x:c r="H1713" s="6" t="n">
        <x:v>4</x:v>
      </x:c>
      <x:c r="I1713" s="6" t="n">
        <x:f>G1713-H1713</x:f>
        <x:v>-2</x:v>
      </x:c>
      <x:c r="J1713" s="6" t="n">
        <x:f>IF(OR(E1713="CANCELED",E1713="SUSPECTED_FRAUD",F1713="Shipping canceled"),0,1)</x:f>
        <x:v>1</x:v>
      </x:c>
      <x:c r="K1713" s="6" t="n">
        <x:f>IF(G1713&gt;H1713,1,0)</x:f>
        <x:v>0</x:v>
      </x:c>
      <x:c r="L1713" s="6" t="n">
        <x:f>J1713*K1713</x:f>
        <x:v>0</x:v>
      </x:c>
    </x:row>
    <x:row r="1714">
      <x:c r="A1714" s="1" t="n">
        <x:v>13723</x:v>
      </x:c>
      <x:c r="B1714" s="5" t="d">
        <x:v>2015-07-20T00:00:00.000Z</x:v>
      </x:c>
      <x:c r="C1714" s="1" t="str">
        <x:v>Standard Class</x:v>
      </x:c>
      <x:c r="D1714" s="1" t="str">
        <x:v>Europe</x:v>
      </x:c>
      <x:c r="E1714" s="1" t="str">
        <x:v>COMPLETE</x:v>
      </x:c>
      <x:c r="F1714" s="1" t="str">
        <x:v>Shipping on time</x:v>
      </x:c>
      <x:c r="G1714" s="6" t="n">
        <x:v>4</x:v>
      </x:c>
      <x:c r="H1714" s="6" t="n">
        <x:v>4</x:v>
      </x:c>
      <x:c r="I1714" s="6" t="n">
        <x:f>G1714-H1714</x:f>
        <x:v>0</x:v>
      </x:c>
      <x:c r="J1714" s="6" t="n">
        <x:f>IF(OR(E1714="CANCELED",E1714="SUSPECTED_FRAUD",F1714="Shipping canceled"),0,1)</x:f>
        <x:v>1</x:v>
      </x:c>
      <x:c r="K1714" s="6" t="n">
        <x:f>IF(G1714&gt;H1714,1,0)</x:f>
        <x:v>0</x:v>
      </x:c>
      <x:c r="L1714" s="6" t="n">
        <x:f>J1714*K1714</x:f>
        <x:v>0</x:v>
      </x:c>
    </x:row>
    <x:row r="1715">
      <x:c r="A1715" s="1" t="n">
        <x:v>13725</x:v>
      </x:c>
      <x:c r="B1715" s="5" t="d">
        <x:v>2015-07-20T00:00:00.000Z</x:v>
      </x:c>
      <x:c r="C1715" s="1" t="str">
        <x:v>Standard Class</x:v>
      </x:c>
      <x:c r="D1715" s="1" t="str">
        <x:v>Europe</x:v>
      </x:c>
      <x:c r="E1715" s="1" t="str">
        <x:v>COMPLETE</x:v>
      </x:c>
      <x:c r="F1715" s="1" t="str">
        <x:v>Late delivery</x:v>
      </x:c>
      <x:c r="G1715" s="6" t="n">
        <x:v>6</x:v>
      </x:c>
      <x:c r="H1715" s="6" t="n">
        <x:v>4</x:v>
      </x:c>
      <x:c r="I1715" s="6" t="n">
        <x:f>G1715-H1715</x:f>
        <x:v>2</x:v>
      </x:c>
      <x:c r="J1715" s="6" t="n">
        <x:f>IF(OR(E1715="CANCELED",E1715="SUSPECTED_FRAUD",F1715="Shipping canceled"),0,1)</x:f>
        <x:v>1</x:v>
      </x:c>
      <x:c r="K1715" s="6" t="n">
        <x:f>IF(G1715&gt;H1715,1,0)</x:f>
        <x:v>1</x:v>
      </x:c>
      <x:c r="L1715" s="6" t="n">
        <x:f>J1715*K1715</x:f>
        <x:v>1</x:v>
      </x:c>
    </x:row>
    <x:row r="1716">
      <x:c r="A1716" s="1" t="n">
        <x:v>13729</x:v>
      </x:c>
      <x:c r="B1716" s="5" t="d">
        <x:v>2015-07-20T00:00:00.000Z</x:v>
      </x:c>
      <x:c r="C1716" s="1" t="str">
        <x:v>Standard Class</x:v>
      </x:c>
      <x:c r="D1716" s="1" t="str">
        <x:v>Europe</x:v>
      </x:c>
      <x:c r="E1716" s="1" t="str">
        <x:v>COMPLETE</x:v>
      </x:c>
      <x:c r="F1716" s="1" t="str">
        <x:v>Late delivery</x:v>
      </x:c>
      <x:c r="G1716" s="6" t="n">
        <x:v>5</x:v>
      </x:c>
      <x:c r="H1716" s="6" t="n">
        <x:v>4</x:v>
      </x:c>
      <x:c r="I1716" s="6" t="n">
        <x:f>G1716-H1716</x:f>
        <x:v>1</x:v>
      </x:c>
      <x:c r="J1716" s="6" t="n">
        <x:f>IF(OR(E1716="CANCELED",E1716="SUSPECTED_FRAUD",F1716="Shipping canceled"),0,1)</x:f>
        <x:v>1</x:v>
      </x:c>
      <x:c r="K1716" s="6" t="n">
        <x:f>IF(G1716&gt;H1716,1,0)</x:f>
        <x:v>1</x:v>
      </x:c>
      <x:c r="L1716" s="6" t="n">
        <x:f>J1716*K1716</x:f>
        <x:v>1</x:v>
      </x:c>
    </x:row>
    <x:row r="1717">
      <x:c r="A1717" s="1" t="n">
        <x:v>13736</x:v>
      </x:c>
      <x:c r="B1717" s="5" t="d">
        <x:v>2015-07-20T00:00:00.000Z</x:v>
      </x:c>
      <x:c r="C1717" s="1" t="str">
        <x:v>Second Class</x:v>
      </x:c>
      <x:c r="D1717" s="1" t="str">
        <x:v>Europe</x:v>
      </x:c>
      <x:c r="E1717" s="1" t="str">
        <x:v>PENDING_PAYMENT</x:v>
      </x:c>
      <x:c r="F1717" s="1" t="str">
        <x:v>Shipping on time</x:v>
      </x:c>
      <x:c r="G1717" s="6" t="n">
        <x:v>2</x:v>
      </x:c>
      <x:c r="H1717" s="6" t="n">
        <x:v>2</x:v>
      </x:c>
      <x:c r="I1717" s="6" t="n">
        <x:f>G1717-H1717</x:f>
        <x:v>0</x:v>
      </x:c>
      <x:c r="J1717" s="6" t="n">
        <x:f>IF(OR(E1717="CANCELED",E1717="SUSPECTED_FRAUD",F1717="Shipping canceled"),0,1)</x:f>
        <x:v>1</x:v>
      </x:c>
      <x:c r="K1717" s="6" t="n">
        <x:f>IF(G1717&gt;H1717,1,0)</x:f>
        <x:v>0</x:v>
      </x:c>
      <x:c r="L1717" s="6" t="n">
        <x:f>J1717*K1717</x:f>
        <x:v>0</x:v>
      </x:c>
    </x:row>
    <x:row r="1718">
      <x:c r="A1718" s="1" t="n">
        <x:v>13753</x:v>
      </x:c>
      <x:c r="B1718" s="5" t="d">
        <x:v>2015-07-20T00:00:00.000Z</x:v>
      </x:c>
      <x:c r="C1718" s="1" t="str">
        <x:v>Standard Class</x:v>
      </x:c>
      <x:c r="D1718" s="1" t="str">
        <x:v>Europe</x:v>
      </x:c>
      <x:c r="E1718" s="1" t="str">
        <x:v>COMPLETE</x:v>
      </x:c>
      <x:c r="F1718" s="1" t="str">
        <x:v>Shipping on time</x:v>
      </x:c>
      <x:c r="G1718" s="6" t="n">
        <x:v>4</x:v>
      </x:c>
      <x:c r="H1718" s="6" t="n">
        <x:v>4</x:v>
      </x:c>
      <x:c r="I1718" s="6" t="n">
        <x:f>G1718-H1718</x:f>
        <x:v>0</x:v>
      </x:c>
      <x:c r="J1718" s="6" t="n">
        <x:f>IF(OR(E1718="CANCELED",E1718="SUSPECTED_FRAUD",F1718="Shipping canceled"),0,1)</x:f>
        <x:v>1</x:v>
      </x:c>
      <x:c r="K1718" s="6" t="n">
        <x:f>IF(G1718&gt;H1718,1,0)</x:f>
        <x:v>0</x:v>
      </x:c>
      <x:c r="L1718" s="6" t="n">
        <x:f>J1718*K1718</x:f>
        <x:v>0</x:v>
      </x:c>
    </x:row>
    <x:row r="1719">
      <x:c r="A1719" s="1" t="n">
        <x:v>13790</x:v>
      </x:c>
      <x:c r="B1719" s="5" t="d">
        <x:v>2015-07-21T00:00:00.000Z</x:v>
      </x:c>
      <x:c r="C1719" s="1" t="str">
        <x:v>Standard Class</x:v>
      </x:c>
      <x:c r="D1719" s="1" t="str">
        <x:v>Europe</x:v>
      </x:c>
      <x:c r="E1719" s="1" t="str">
        <x:v>PENDING</x:v>
      </x:c>
      <x:c r="F1719" s="1" t="str">
        <x:v>Late delivery</x:v>
      </x:c>
      <x:c r="G1719" s="6" t="n">
        <x:v>6</x:v>
      </x:c>
      <x:c r="H1719" s="6" t="n">
        <x:v>4</x:v>
      </x:c>
      <x:c r="I1719" s="6" t="n">
        <x:f>G1719-H1719</x:f>
        <x:v>2</x:v>
      </x:c>
      <x:c r="J1719" s="6" t="n">
        <x:f>IF(OR(E1719="CANCELED",E1719="SUSPECTED_FRAUD",F1719="Shipping canceled"),0,1)</x:f>
        <x:v>1</x:v>
      </x:c>
      <x:c r="K1719" s="6" t="n">
        <x:f>IF(G1719&gt;H1719,1,0)</x:f>
        <x:v>1</x:v>
      </x:c>
      <x:c r="L1719" s="6" t="n">
        <x:f>J1719*K1719</x:f>
        <x:v>1</x:v>
      </x:c>
    </x:row>
    <x:row r="1720">
      <x:c r="A1720" s="1" t="n">
        <x:v>13803</x:v>
      </x:c>
      <x:c r="B1720" s="5" t="d">
        <x:v>2015-07-21T00:00:00.000Z</x:v>
      </x:c>
      <x:c r="C1720" s="1" t="str">
        <x:v>Standard Class</x:v>
      </x:c>
      <x:c r="D1720" s="1" t="str">
        <x:v>Europe</x:v>
      </x:c>
      <x:c r="E1720" s="1" t="str">
        <x:v>COMPLETE</x:v>
      </x:c>
      <x:c r="F1720" s="1" t="str">
        <x:v>Shipping on time</x:v>
      </x:c>
      <x:c r="G1720" s="6" t="n">
        <x:v>4</x:v>
      </x:c>
      <x:c r="H1720" s="6" t="n">
        <x:v>4</x:v>
      </x:c>
      <x:c r="I1720" s="6" t="n">
        <x:f>G1720-H1720</x:f>
        <x:v>0</x:v>
      </x:c>
      <x:c r="J1720" s="6" t="n">
        <x:f>IF(OR(E1720="CANCELED",E1720="SUSPECTED_FRAUD",F1720="Shipping canceled"),0,1)</x:f>
        <x:v>1</x:v>
      </x:c>
      <x:c r="K1720" s="6" t="n">
        <x:f>IF(G1720&gt;H1720,1,0)</x:f>
        <x:v>0</x:v>
      </x:c>
      <x:c r="L1720" s="6" t="n">
        <x:f>J1720*K1720</x:f>
        <x:v>0</x:v>
      </x:c>
    </x:row>
    <x:row r="1721">
      <x:c r="A1721" s="1" t="n">
        <x:v>13807</x:v>
      </x:c>
      <x:c r="B1721" s="5" t="d">
        <x:v>2015-07-21T00:00:00.000Z</x:v>
      </x:c>
      <x:c r="C1721" s="1" t="str">
        <x:v>Standard Class</x:v>
      </x:c>
      <x:c r="D1721" s="1" t="str">
        <x:v>Europe</x:v>
      </x:c>
      <x:c r="E1721" s="1" t="str">
        <x:v>PROCESSING</x:v>
      </x:c>
      <x:c r="F1721" s="1" t="str">
        <x:v>Advance shipping</x:v>
      </x:c>
      <x:c r="G1721" s="6" t="n">
        <x:v>3</x:v>
      </x:c>
      <x:c r="H1721" s="6" t="n">
        <x:v>4</x:v>
      </x:c>
      <x:c r="I1721" s="6" t="n">
        <x:f>G1721-H1721</x:f>
        <x:v>-1</x:v>
      </x:c>
      <x:c r="J1721" s="6" t="n">
        <x:f>IF(OR(E1721="CANCELED",E1721="SUSPECTED_FRAUD",F1721="Shipping canceled"),0,1)</x:f>
        <x:v>1</x:v>
      </x:c>
      <x:c r="K1721" s="6" t="n">
        <x:f>IF(G1721&gt;H1721,1,0)</x:f>
        <x:v>0</x:v>
      </x:c>
      <x:c r="L1721" s="6" t="n">
        <x:f>J1721*K1721</x:f>
        <x:v>0</x:v>
      </x:c>
    </x:row>
    <x:row r="1722">
      <x:c r="A1722" s="1" t="n">
        <x:v>13810</x:v>
      </x:c>
      <x:c r="B1722" s="5" t="d">
        <x:v>2015-07-21T00:00:00.000Z</x:v>
      </x:c>
      <x:c r="C1722" s="1" t="str">
        <x:v>Standard Class</x:v>
      </x:c>
      <x:c r="D1722" s="1" t="str">
        <x:v>Europe</x:v>
      </x:c>
      <x:c r="E1722" s="1" t="str">
        <x:v>COMPLETE</x:v>
      </x:c>
      <x:c r="F1722" s="1" t="str">
        <x:v>Late delivery</x:v>
      </x:c>
      <x:c r="G1722" s="6" t="n">
        <x:v>6</x:v>
      </x:c>
      <x:c r="H1722" s="6" t="n">
        <x:v>4</x:v>
      </x:c>
      <x:c r="I1722" s="6" t="n">
        <x:f>G1722-H1722</x:f>
        <x:v>2</x:v>
      </x:c>
      <x:c r="J1722" s="6" t="n">
        <x:f>IF(OR(E1722="CANCELED",E1722="SUSPECTED_FRAUD",F1722="Shipping canceled"),0,1)</x:f>
        <x:v>1</x:v>
      </x:c>
      <x:c r="K1722" s="6" t="n">
        <x:f>IF(G1722&gt;H1722,1,0)</x:f>
        <x:v>1</x:v>
      </x:c>
      <x:c r="L1722" s="6" t="n">
        <x:f>J1722*K1722</x:f>
        <x:v>1</x:v>
      </x:c>
    </x:row>
    <x:row r="1723">
      <x:c r="A1723" s="1" t="n">
        <x:v>13812</x:v>
      </x:c>
      <x:c r="B1723" s="5" t="d">
        <x:v>2015-07-21T00:00:00.000Z</x:v>
      </x:c>
      <x:c r="C1723" s="1" t="str">
        <x:v>Standard Class</x:v>
      </x:c>
      <x:c r="D1723" s="1" t="str">
        <x:v>Europe</x:v>
      </x:c>
      <x:c r="E1723" s="1" t="str">
        <x:v>COMPLETE</x:v>
      </x:c>
      <x:c r="F1723" s="1" t="str">
        <x:v>Advance shipping</x:v>
      </x:c>
      <x:c r="G1723" s="6" t="n">
        <x:v>3</x:v>
      </x:c>
      <x:c r="H1723" s="6" t="n">
        <x:v>4</x:v>
      </x:c>
      <x:c r="I1723" s="6" t="n">
        <x:f>G1723-H1723</x:f>
        <x:v>-1</x:v>
      </x:c>
      <x:c r="J1723" s="6" t="n">
        <x:f>IF(OR(E1723="CANCELED",E1723="SUSPECTED_FRAUD",F1723="Shipping canceled"),0,1)</x:f>
        <x:v>1</x:v>
      </x:c>
      <x:c r="K1723" s="6" t="n">
        <x:f>IF(G1723&gt;H1723,1,0)</x:f>
        <x:v>0</x:v>
      </x:c>
      <x:c r="L1723" s="6" t="n">
        <x:f>J1723*K1723</x:f>
        <x:v>0</x:v>
      </x:c>
    </x:row>
    <x:row r="1724">
      <x:c r="A1724" s="1" t="n">
        <x:v>13831</x:v>
      </x:c>
      <x:c r="B1724" s="5" t="d">
        <x:v>2015-07-21T00:00:00.000Z</x:v>
      </x:c>
      <x:c r="C1724" s="1" t="str">
        <x:v>Standard Class</x:v>
      </x:c>
      <x:c r="D1724" s="1" t="str">
        <x:v>Europe</x:v>
      </x:c>
      <x:c r="E1724" s="1" t="str">
        <x:v>ON_HOLD</x:v>
      </x:c>
      <x:c r="F1724" s="1" t="str">
        <x:v>Advance shipping</x:v>
      </x:c>
      <x:c r="G1724" s="6" t="n">
        <x:v>2</x:v>
      </x:c>
      <x:c r="H1724" s="6" t="n">
        <x:v>4</x:v>
      </x:c>
      <x:c r="I1724" s="6" t="n">
        <x:f>G1724-H1724</x:f>
        <x:v>-2</x:v>
      </x:c>
      <x:c r="J1724" s="6" t="n">
        <x:f>IF(OR(E1724="CANCELED",E1724="SUSPECTED_FRAUD",F1724="Shipping canceled"),0,1)</x:f>
        <x:v>1</x:v>
      </x:c>
      <x:c r="K1724" s="6" t="n">
        <x:f>IF(G1724&gt;H1724,1,0)</x:f>
        <x:v>0</x:v>
      </x:c>
      <x:c r="L1724" s="6" t="n">
        <x:f>J1724*K1724</x:f>
        <x:v>0</x:v>
      </x:c>
    </x:row>
    <x:row r="1725">
      <x:c r="A1725" s="1" t="n">
        <x:v>13832</x:v>
      </x:c>
      <x:c r="B1725" s="5" t="d">
        <x:v>2015-07-21T00:00:00.000Z</x:v>
      </x:c>
      <x:c r="C1725" s="1" t="str">
        <x:v>Standard Class</x:v>
      </x:c>
      <x:c r="D1725" s="1" t="str">
        <x:v>Europe</x:v>
      </x:c>
      <x:c r="E1725" s="1" t="str">
        <x:v>ON_HOLD</x:v>
      </x:c>
      <x:c r="F1725" s="1" t="str">
        <x:v>Advance shipping</x:v>
      </x:c>
      <x:c r="G1725" s="6" t="n">
        <x:v>3</x:v>
      </x:c>
      <x:c r="H1725" s="6" t="n">
        <x:v>4</x:v>
      </x:c>
      <x:c r="I1725" s="6" t="n">
        <x:f>G1725-H1725</x:f>
        <x:v>-1</x:v>
      </x:c>
      <x:c r="J1725" s="6" t="n">
        <x:f>IF(OR(E1725="CANCELED",E1725="SUSPECTED_FRAUD",F1725="Shipping canceled"),0,1)</x:f>
        <x:v>1</x:v>
      </x:c>
      <x:c r="K1725" s="6" t="n">
        <x:f>IF(G1725&gt;H1725,1,0)</x:f>
        <x:v>0</x:v>
      </x:c>
      <x:c r="L1725" s="6" t="n">
        <x:f>J1725*K1725</x:f>
        <x:v>0</x:v>
      </x:c>
    </x:row>
    <x:row r="1726">
      <x:c r="A1726" s="1" t="n">
        <x:v>13838</x:v>
      </x:c>
      <x:c r="B1726" s="5" t="d">
        <x:v>2015-07-21T00:00:00.000Z</x:v>
      </x:c>
      <x:c r="C1726" s="1" t="str">
        <x:v>First Class</x:v>
      </x:c>
      <x:c r="D1726" s="1" t="str">
        <x:v>Europe</x:v>
      </x:c>
      <x:c r="E1726" s="1" t="str">
        <x:v>PENDING_PAYMENT</x:v>
      </x:c>
      <x:c r="F1726" s="1" t="str">
        <x:v>Late delivery</x:v>
      </x:c>
      <x:c r="G1726" s="6" t="n">
        <x:v>2</x:v>
      </x:c>
      <x:c r="H1726" s="6" t="n">
        <x:v>1</x:v>
      </x:c>
      <x:c r="I1726" s="6" t="n">
        <x:f>G1726-H1726</x:f>
        <x:v>1</x:v>
      </x:c>
      <x:c r="J1726" s="6" t="n">
        <x:f>IF(OR(E1726="CANCELED",E1726="SUSPECTED_FRAUD",F1726="Shipping canceled"),0,1)</x:f>
        <x:v>1</x:v>
      </x:c>
      <x:c r="K1726" s="6" t="n">
        <x:f>IF(G1726&gt;H1726,1,0)</x:f>
        <x:v>1</x:v>
      </x:c>
      <x:c r="L1726" s="6" t="n">
        <x:f>J1726*K1726</x:f>
        <x:v>1</x:v>
      </x:c>
    </x:row>
    <x:row r="1727">
      <x:c r="A1727" s="1" t="n">
        <x:v>13854</x:v>
      </x:c>
      <x:c r="B1727" s="5" t="d">
        <x:v>2015-07-22T00:00:00.000Z</x:v>
      </x:c>
      <x:c r="C1727" s="1" t="str">
        <x:v>Standard Class</x:v>
      </x:c>
      <x:c r="D1727" s="1" t="str">
        <x:v>Europe</x:v>
      </x:c>
      <x:c r="E1727" s="1" t="str">
        <x:v>PENDING</x:v>
      </x:c>
      <x:c r="F1727" s="1" t="str">
        <x:v>Late delivery</x:v>
      </x:c>
      <x:c r="G1727" s="6" t="n">
        <x:v>5</x:v>
      </x:c>
      <x:c r="H1727" s="6" t="n">
        <x:v>4</x:v>
      </x:c>
      <x:c r="I1727" s="6" t="n">
        <x:f>G1727-H1727</x:f>
        <x:v>1</x:v>
      </x:c>
      <x:c r="J1727" s="6" t="n">
        <x:f>IF(OR(E1727="CANCELED",E1727="SUSPECTED_FRAUD",F1727="Shipping canceled"),0,1)</x:f>
        <x:v>1</x:v>
      </x:c>
      <x:c r="K1727" s="6" t="n">
        <x:f>IF(G1727&gt;H1727,1,0)</x:f>
        <x:v>1</x:v>
      </x:c>
      <x:c r="L1727" s="6" t="n">
        <x:f>J1727*K1727</x:f>
        <x:v>1</x:v>
      </x:c>
    </x:row>
    <x:row r="1728">
      <x:c r="A1728" s="1" t="n">
        <x:v>13862</x:v>
      </x:c>
      <x:c r="B1728" s="5" t="d">
        <x:v>2015-07-22T00:00:00.000Z</x:v>
      </x:c>
      <x:c r="C1728" s="1" t="str">
        <x:v>Standard Class</x:v>
      </x:c>
      <x:c r="D1728" s="1" t="str">
        <x:v>Europe</x:v>
      </x:c>
      <x:c r="E1728" s="1" t="str">
        <x:v>PENDING_PAYMENT</x:v>
      </x:c>
      <x:c r="F1728" s="1" t="str">
        <x:v>Advance shipping</x:v>
      </x:c>
      <x:c r="G1728" s="6" t="n">
        <x:v>3</x:v>
      </x:c>
      <x:c r="H1728" s="6" t="n">
        <x:v>4</x:v>
      </x:c>
      <x:c r="I1728" s="6" t="n">
        <x:f>G1728-H1728</x:f>
        <x:v>-1</x:v>
      </x:c>
      <x:c r="J1728" s="6" t="n">
        <x:f>IF(OR(E1728="CANCELED",E1728="SUSPECTED_FRAUD",F1728="Shipping canceled"),0,1)</x:f>
        <x:v>1</x:v>
      </x:c>
      <x:c r="K1728" s="6" t="n">
        <x:f>IF(G1728&gt;H1728,1,0)</x:f>
        <x:v>0</x:v>
      </x:c>
      <x:c r="L1728" s="6" t="n">
        <x:f>J1728*K1728</x:f>
        <x:v>0</x:v>
      </x:c>
    </x:row>
    <x:row r="1729">
      <x:c r="A1729" s="1" t="n">
        <x:v>13873</x:v>
      </x:c>
      <x:c r="B1729" s="5" t="d">
        <x:v>2015-07-22T00:00:00.000Z</x:v>
      </x:c>
      <x:c r="C1729" s="1" t="str">
        <x:v>Standard Class</x:v>
      </x:c>
      <x:c r="D1729" s="1" t="str">
        <x:v>Europe</x:v>
      </x:c>
      <x:c r="E1729" s="1" t="str">
        <x:v>CLOSED</x:v>
      </x:c>
      <x:c r="F1729" s="1" t="str">
        <x:v>Shipping on time</x:v>
      </x:c>
      <x:c r="G1729" s="6" t="n">
        <x:v>4</x:v>
      </x:c>
      <x:c r="H1729" s="6" t="n">
        <x:v>4</x:v>
      </x:c>
      <x:c r="I1729" s="6" t="n">
        <x:f>G1729-H1729</x:f>
        <x:v>0</x:v>
      </x:c>
      <x:c r="J1729" s="6" t="n">
        <x:f>IF(OR(E1729="CANCELED",E1729="SUSPECTED_FRAUD",F1729="Shipping canceled"),0,1)</x:f>
        <x:v>1</x:v>
      </x:c>
      <x:c r="K1729" s="6" t="n">
        <x:f>IF(G1729&gt;H1729,1,0)</x:f>
        <x:v>0</x:v>
      </x:c>
      <x:c r="L1729" s="6" t="n">
        <x:f>J1729*K1729</x:f>
        <x:v>0</x:v>
      </x:c>
    </x:row>
    <x:row r="1730">
      <x:c r="A1730" s="1" t="n">
        <x:v>13890</x:v>
      </x:c>
      <x:c r="B1730" s="5" t="d">
        <x:v>2015-07-22T00:00:00.000Z</x:v>
      </x:c>
      <x:c r="C1730" s="1" t="str">
        <x:v>Second Class</x:v>
      </x:c>
      <x:c r="D1730" s="1" t="str">
        <x:v>Europe</x:v>
      </x:c>
      <x:c r="E1730" s="1" t="str">
        <x:v>PENDING_PAYMENT</x:v>
      </x:c>
      <x:c r="F1730" s="1" t="str">
        <x:v>Late delivery</x:v>
      </x:c>
      <x:c r="G1730" s="6" t="n">
        <x:v>6</x:v>
      </x:c>
      <x:c r="H1730" s="6" t="n">
        <x:v>2</x:v>
      </x:c>
      <x:c r="I1730" s="6" t="n">
        <x:f>G1730-H1730</x:f>
        <x:v>4</x:v>
      </x:c>
      <x:c r="J1730" s="6" t="n">
        <x:f>IF(OR(E1730="CANCELED",E1730="SUSPECTED_FRAUD",F1730="Shipping canceled"),0,1)</x:f>
        <x:v>1</x:v>
      </x:c>
      <x:c r="K1730" s="6" t="n">
        <x:f>IF(G1730&gt;H1730,1,0)</x:f>
        <x:v>1</x:v>
      </x:c>
      <x:c r="L1730" s="6" t="n">
        <x:f>J1730*K1730</x:f>
        <x:v>1</x:v>
      </x:c>
    </x:row>
    <x:row r="1731">
      <x:c r="A1731" s="1" t="n">
        <x:v>13892</x:v>
      </x:c>
      <x:c r="B1731" s="5" t="d">
        <x:v>2015-07-22T00:00:00.000Z</x:v>
      </x:c>
      <x:c r="C1731" s="1" t="str">
        <x:v>Standard Class</x:v>
      </x:c>
      <x:c r="D1731" s="1" t="str">
        <x:v>Europe</x:v>
      </x:c>
      <x:c r="E1731" s="1" t="str">
        <x:v>COMPLETE</x:v>
      </x:c>
      <x:c r="F1731" s="1" t="str">
        <x:v>Advance shipping</x:v>
      </x:c>
      <x:c r="G1731" s="6" t="n">
        <x:v>3</x:v>
      </x:c>
      <x:c r="H1731" s="6" t="n">
        <x:v>4</x:v>
      </x:c>
      <x:c r="I1731" s="6" t="n">
        <x:f>G1731-H1731</x:f>
        <x:v>-1</x:v>
      </x:c>
      <x:c r="J1731" s="6" t="n">
        <x:f>IF(OR(E1731="CANCELED",E1731="SUSPECTED_FRAUD",F1731="Shipping canceled"),0,1)</x:f>
        <x:v>1</x:v>
      </x:c>
      <x:c r="K1731" s="6" t="n">
        <x:f>IF(G1731&gt;H1731,1,0)</x:f>
        <x:v>0</x:v>
      </x:c>
      <x:c r="L1731" s="6" t="n">
        <x:f>J1731*K1731</x:f>
        <x:v>0</x:v>
      </x:c>
    </x:row>
    <x:row r="1732">
      <x:c r="A1732" s="1" t="n">
        <x:v>13906</x:v>
      </x:c>
      <x:c r="B1732" s="5" t="d">
        <x:v>2015-07-22T00:00:00.000Z</x:v>
      </x:c>
      <x:c r="C1732" s="1" t="str">
        <x:v>Standard Class</x:v>
      </x:c>
      <x:c r="D1732" s="1" t="str">
        <x:v>Europe</x:v>
      </x:c>
      <x:c r="E1732" s="1" t="str">
        <x:v>COMPLETE</x:v>
      </x:c>
      <x:c r="F1732" s="1" t="str">
        <x:v>Advance shipping</x:v>
      </x:c>
      <x:c r="G1732" s="6" t="n">
        <x:v>2</x:v>
      </x:c>
      <x:c r="H1732" s="6" t="n">
        <x:v>4</x:v>
      </x:c>
      <x:c r="I1732" s="6" t="n">
        <x:f>G1732-H1732</x:f>
        <x:v>-2</x:v>
      </x:c>
      <x:c r="J1732" s="6" t="n">
        <x:f>IF(OR(E1732="CANCELED",E1732="SUSPECTED_FRAUD",F1732="Shipping canceled"),0,1)</x:f>
        <x:v>1</x:v>
      </x:c>
      <x:c r="K1732" s="6" t="n">
        <x:f>IF(G1732&gt;H1732,1,0)</x:f>
        <x:v>0</x:v>
      </x:c>
      <x:c r="L1732" s="6" t="n">
        <x:f>J1732*K1732</x:f>
        <x:v>0</x:v>
      </x:c>
    </x:row>
    <x:row r="1733">
      <x:c r="A1733" s="1" t="n">
        <x:v>13907</x:v>
      </x:c>
      <x:c r="B1733" s="5" t="d">
        <x:v>2015-07-22T00:00:00.000Z</x:v>
      </x:c>
      <x:c r="C1733" s="1" t="str">
        <x:v>Standard Class</x:v>
      </x:c>
      <x:c r="D1733" s="1" t="str">
        <x:v>Europe</x:v>
      </x:c>
      <x:c r="E1733" s="1" t="str">
        <x:v>COMPLETE</x:v>
      </x:c>
      <x:c r="F1733" s="1" t="str">
        <x:v>Advance shipping</x:v>
      </x:c>
      <x:c r="G1733" s="6" t="n">
        <x:v>3</x:v>
      </x:c>
      <x:c r="H1733" s="6" t="n">
        <x:v>4</x:v>
      </x:c>
      <x:c r="I1733" s="6" t="n">
        <x:f>G1733-H1733</x:f>
        <x:v>-1</x:v>
      </x:c>
      <x:c r="J1733" s="6" t="n">
        <x:f>IF(OR(E1733="CANCELED",E1733="SUSPECTED_FRAUD",F1733="Shipping canceled"),0,1)</x:f>
        <x:v>1</x:v>
      </x:c>
      <x:c r="K1733" s="6" t="n">
        <x:f>IF(G1733&gt;H1733,1,0)</x:f>
        <x:v>0</x:v>
      </x:c>
      <x:c r="L1733" s="6" t="n">
        <x:f>J1733*K1733</x:f>
        <x:v>0</x:v>
      </x:c>
    </x:row>
    <x:row r="1734">
      <x:c r="A1734" s="1" t="n">
        <x:v>13911</x:v>
      </x:c>
      <x:c r="B1734" s="5" t="d">
        <x:v>2015-07-23T00:00:00.000Z</x:v>
      </x:c>
      <x:c r="C1734" s="1" t="str">
        <x:v>First Class</x:v>
      </x:c>
      <x:c r="D1734" s="1" t="str">
        <x:v>Europe</x:v>
      </x:c>
      <x:c r="E1734" s="1" t="str">
        <x:v>CLOSED</x:v>
      </x:c>
      <x:c r="F1734" s="1" t="str">
        <x:v>Late delivery</x:v>
      </x:c>
      <x:c r="G1734" s="6" t="n">
        <x:v>2</x:v>
      </x:c>
      <x:c r="H1734" s="6" t="n">
        <x:v>1</x:v>
      </x:c>
      <x:c r="I1734" s="6" t="n">
        <x:f>G1734-H1734</x:f>
        <x:v>1</x:v>
      </x:c>
      <x:c r="J1734" s="6" t="n">
        <x:f>IF(OR(E1734="CANCELED",E1734="SUSPECTED_FRAUD",F1734="Shipping canceled"),0,1)</x:f>
        <x:v>1</x:v>
      </x:c>
      <x:c r="K1734" s="6" t="n">
        <x:f>IF(G1734&gt;H1734,1,0)</x:f>
        <x:v>1</x:v>
      </x:c>
      <x:c r="L1734" s="6" t="n">
        <x:f>J1734*K1734</x:f>
        <x:v>1</x:v>
      </x:c>
    </x:row>
    <x:row r="1735">
      <x:c r="A1735" s="1" t="n">
        <x:v>13913</x:v>
      </x:c>
      <x:c r="B1735" s="5" t="d">
        <x:v>2015-07-23T00:00:00.000Z</x:v>
      </x:c>
      <x:c r="C1735" s="1" t="str">
        <x:v>First Class</x:v>
      </x:c>
      <x:c r="D1735" s="1" t="str">
        <x:v>Europe</x:v>
      </x:c>
      <x:c r="E1735" s="1" t="str">
        <x:v>CLOSED</x:v>
      </x:c>
      <x:c r="F1735" s="1" t="str">
        <x:v>Late delivery</x:v>
      </x:c>
      <x:c r="G1735" s="6" t="n">
        <x:v>2</x:v>
      </x:c>
      <x:c r="H1735" s="6" t="n">
        <x:v>1</x:v>
      </x:c>
      <x:c r="I1735" s="6" t="n">
        <x:f>G1735-H1735</x:f>
        <x:v>1</x:v>
      </x:c>
      <x:c r="J1735" s="6" t="n">
        <x:f>IF(OR(E1735="CANCELED",E1735="SUSPECTED_FRAUD",F1735="Shipping canceled"),0,1)</x:f>
        <x:v>1</x:v>
      </x:c>
      <x:c r="K1735" s="6" t="n">
        <x:f>IF(G1735&gt;H1735,1,0)</x:f>
        <x:v>1</x:v>
      </x:c>
      <x:c r="L1735" s="6" t="n">
        <x:f>J1735*K1735</x:f>
        <x:v>1</x:v>
      </x:c>
    </x:row>
    <x:row r="1736">
      <x:c r="A1736" s="1" t="n">
        <x:v>13920</x:v>
      </x:c>
      <x:c r="B1736" s="5" t="d">
        <x:v>2015-07-23T00:00:00.000Z</x:v>
      </x:c>
      <x:c r="C1736" s="1" t="str">
        <x:v>First Class</x:v>
      </x:c>
      <x:c r="D1736" s="1" t="str">
        <x:v>Europe</x:v>
      </x:c>
      <x:c r="E1736" s="1" t="str">
        <x:v>PENDING_PAYMENT</x:v>
      </x:c>
      <x:c r="F1736" s="1" t="str">
        <x:v>Late delivery</x:v>
      </x:c>
      <x:c r="G1736" s="6" t="n">
        <x:v>2</x:v>
      </x:c>
      <x:c r="H1736" s="6" t="n">
        <x:v>1</x:v>
      </x:c>
      <x:c r="I1736" s="6" t="n">
        <x:f>G1736-H1736</x:f>
        <x:v>1</x:v>
      </x:c>
      <x:c r="J1736" s="6" t="n">
        <x:f>IF(OR(E1736="CANCELED",E1736="SUSPECTED_FRAUD",F1736="Shipping canceled"),0,1)</x:f>
        <x:v>1</x:v>
      </x:c>
      <x:c r="K1736" s="6" t="n">
        <x:f>IF(G1736&gt;H1736,1,0)</x:f>
        <x:v>1</x:v>
      </x:c>
      <x:c r="L1736" s="6" t="n">
        <x:f>J1736*K1736</x:f>
        <x:v>1</x:v>
      </x:c>
    </x:row>
    <x:row r="1737">
      <x:c r="A1737" s="1" t="n">
        <x:v>13921</x:v>
      </x:c>
      <x:c r="B1737" s="5" t="d">
        <x:v>2015-07-23T00:00:00.000Z</x:v>
      </x:c>
      <x:c r="C1737" s="1" t="str">
        <x:v>First Class</x:v>
      </x:c>
      <x:c r="D1737" s="1" t="str">
        <x:v>Europe</x:v>
      </x:c>
      <x:c r="E1737" s="1" t="str">
        <x:v>PROCESSING</x:v>
      </x:c>
      <x:c r="F1737" s="1" t="str">
        <x:v>Late delivery</x:v>
      </x:c>
      <x:c r="G1737" s="6" t="n">
        <x:v>2</x:v>
      </x:c>
      <x:c r="H1737" s="6" t="n">
        <x:v>1</x:v>
      </x:c>
      <x:c r="I1737" s="6" t="n">
        <x:f>G1737-H1737</x:f>
        <x:v>1</x:v>
      </x:c>
      <x:c r="J1737" s="6" t="n">
        <x:f>IF(OR(E1737="CANCELED",E1737="SUSPECTED_FRAUD",F1737="Shipping canceled"),0,1)</x:f>
        <x:v>1</x:v>
      </x:c>
      <x:c r="K1737" s="6" t="n">
        <x:f>IF(G1737&gt;H1737,1,0)</x:f>
        <x:v>1</x:v>
      </x:c>
      <x:c r="L1737" s="6" t="n">
        <x:f>J1737*K1737</x:f>
        <x:v>1</x:v>
      </x:c>
    </x:row>
    <x:row r="1738">
      <x:c r="A1738" s="1" t="n">
        <x:v>13930</x:v>
      </x:c>
      <x:c r="B1738" s="5" t="d">
        <x:v>2015-07-23T00:00:00.000Z</x:v>
      </x:c>
      <x:c r="C1738" s="1" t="str">
        <x:v>Standard Class</x:v>
      </x:c>
      <x:c r="D1738" s="1" t="str">
        <x:v>Europe</x:v>
      </x:c>
      <x:c r="E1738" s="1" t="str">
        <x:v>COMPLETE</x:v>
      </x:c>
      <x:c r="F1738" s="1" t="str">
        <x:v>Late delivery</x:v>
      </x:c>
      <x:c r="G1738" s="6" t="n">
        <x:v>6</x:v>
      </x:c>
      <x:c r="H1738" s="6" t="n">
        <x:v>4</x:v>
      </x:c>
      <x:c r="I1738" s="6" t="n">
        <x:f>G1738-H1738</x:f>
        <x:v>2</x:v>
      </x:c>
      <x:c r="J1738" s="6" t="n">
        <x:f>IF(OR(E1738="CANCELED",E1738="SUSPECTED_FRAUD",F1738="Shipping canceled"),0,1)</x:f>
        <x:v>1</x:v>
      </x:c>
      <x:c r="K1738" s="6" t="n">
        <x:f>IF(G1738&gt;H1738,1,0)</x:f>
        <x:v>1</x:v>
      </x:c>
      <x:c r="L1738" s="6" t="n">
        <x:f>J1738*K1738</x:f>
        <x:v>1</x:v>
      </x:c>
    </x:row>
    <x:row r="1739">
      <x:c r="A1739" s="1" t="n">
        <x:v>13939</x:v>
      </x:c>
      <x:c r="B1739" s="5" t="d">
        <x:v>2015-07-23T00:00:00.000Z</x:v>
      </x:c>
      <x:c r="C1739" s="1" t="str">
        <x:v>Standard Class</x:v>
      </x:c>
      <x:c r="D1739" s="1" t="str">
        <x:v>Europe</x:v>
      </x:c>
      <x:c r="E1739" s="1" t="str">
        <x:v>CANCELED</x:v>
      </x:c>
      <x:c r="F1739" s="1" t="str">
        <x:v>Shipping canceled</x:v>
      </x:c>
      <x:c r="G1739" s="6" t="n">
        <x:v>5</x:v>
      </x:c>
      <x:c r="H1739" s="6" t="n">
        <x:v>4</x:v>
      </x:c>
      <x:c r="I1739" s="6" t="n">
        <x:f>G1739-H1739</x:f>
        <x:v>1</x:v>
      </x:c>
      <x:c r="J1739" s="6" t="n">
        <x:f>IF(OR(E1739="CANCELED",E1739="SUSPECTED_FRAUD",F1739="Shipping canceled"),0,1)</x:f>
        <x:v>0</x:v>
      </x:c>
      <x:c r="K1739" s="6" t="n">
        <x:f>IF(G1739&gt;H1739,1,0)</x:f>
        <x:v>1</x:v>
      </x:c>
      <x:c r="L1739" s="6" t="n">
        <x:f>J1739*K1739</x:f>
        <x:v>0</x:v>
      </x:c>
    </x:row>
    <x:row r="1740">
      <x:c r="A1740" s="1" t="n">
        <x:v>13942</x:v>
      </x:c>
      <x:c r="B1740" s="5" t="d">
        <x:v>2015-07-23T00:00:00.000Z</x:v>
      </x:c>
      <x:c r="C1740" s="1" t="str">
        <x:v>Standard Class</x:v>
      </x:c>
      <x:c r="D1740" s="1" t="str">
        <x:v>Europe</x:v>
      </x:c>
      <x:c r="E1740" s="1" t="str">
        <x:v>COMPLETE</x:v>
      </x:c>
      <x:c r="F1740" s="1" t="str">
        <x:v>Advance shipping</x:v>
      </x:c>
      <x:c r="G1740" s="6" t="n">
        <x:v>3</x:v>
      </x:c>
      <x:c r="H1740" s="6" t="n">
        <x:v>4</x:v>
      </x:c>
      <x:c r="I1740" s="6" t="n">
        <x:f>G1740-H1740</x:f>
        <x:v>-1</x:v>
      </x:c>
      <x:c r="J1740" s="6" t="n">
        <x:f>IF(OR(E1740="CANCELED",E1740="SUSPECTED_FRAUD",F1740="Shipping canceled"),0,1)</x:f>
        <x:v>1</x:v>
      </x:c>
      <x:c r="K1740" s="6" t="n">
        <x:f>IF(G1740&gt;H1740,1,0)</x:f>
        <x:v>0</x:v>
      </x:c>
      <x:c r="L1740" s="6" t="n">
        <x:f>J1740*K1740</x:f>
        <x:v>0</x:v>
      </x:c>
    </x:row>
    <x:row r="1741">
      <x:c r="A1741" s="1" t="n">
        <x:v>13943</x:v>
      </x:c>
      <x:c r="B1741" s="5" t="d">
        <x:v>2015-07-23T00:00:00.000Z</x:v>
      </x:c>
      <x:c r="C1741" s="1" t="str">
        <x:v>Standard Class</x:v>
      </x:c>
      <x:c r="D1741" s="1" t="str">
        <x:v>Europe</x:v>
      </x:c>
      <x:c r="E1741" s="1" t="str">
        <x:v>PENDING</x:v>
      </x:c>
      <x:c r="F1741" s="1" t="str">
        <x:v>Shipping on time</x:v>
      </x:c>
      <x:c r="G1741" s="6" t="n">
        <x:v>4</x:v>
      </x:c>
      <x:c r="H1741" s="6" t="n">
        <x:v>4</x:v>
      </x:c>
      <x:c r="I1741" s="6" t="n">
        <x:f>G1741-H1741</x:f>
        <x:v>0</x:v>
      </x:c>
      <x:c r="J1741" s="6" t="n">
        <x:f>IF(OR(E1741="CANCELED",E1741="SUSPECTED_FRAUD",F1741="Shipping canceled"),0,1)</x:f>
        <x:v>1</x:v>
      </x:c>
      <x:c r="K1741" s="6" t="n">
        <x:f>IF(G1741&gt;H1741,1,0)</x:f>
        <x:v>0</x:v>
      </x:c>
      <x:c r="L1741" s="6" t="n">
        <x:f>J1741*K1741</x:f>
        <x:v>0</x:v>
      </x:c>
    </x:row>
    <x:row r="1742">
      <x:c r="A1742" s="1" t="n">
        <x:v>13958</x:v>
      </x:c>
      <x:c r="B1742" s="5" t="d">
        <x:v>2015-07-23T00:00:00.000Z</x:v>
      </x:c>
      <x:c r="C1742" s="1" t="str">
        <x:v>Standard Class</x:v>
      </x:c>
      <x:c r="D1742" s="1" t="str">
        <x:v>Europe</x:v>
      </x:c>
      <x:c r="E1742" s="1" t="str">
        <x:v>COMPLETE</x:v>
      </x:c>
      <x:c r="F1742" s="1" t="str">
        <x:v>Shipping on time</x:v>
      </x:c>
      <x:c r="G1742" s="6" t="n">
        <x:v>4</x:v>
      </x:c>
      <x:c r="H1742" s="6" t="n">
        <x:v>4</x:v>
      </x:c>
      <x:c r="I1742" s="6" t="n">
        <x:f>G1742-H1742</x:f>
        <x:v>0</x:v>
      </x:c>
      <x:c r="J1742" s="6" t="n">
        <x:f>IF(OR(E1742="CANCELED",E1742="SUSPECTED_FRAUD",F1742="Shipping canceled"),0,1)</x:f>
        <x:v>1</x:v>
      </x:c>
      <x:c r="K1742" s="6" t="n">
        <x:f>IF(G1742&gt;H1742,1,0)</x:f>
        <x:v>0</x:v>
      </x:c>
      <x:c r="L1742" s="6" t="n">
        <x:f>J1742*K1742</x:f>
        <x:v>0</x:v>
      </x:c>
    </x:row>
    <x:row r="1743">
      <x:c r="A1743" s="1" t="n">
        <x:v>13965</x:v>
      </x:c>
      <x:c r="B1743" s="5" t="d">
        <x:v>2015-07-23T00:00:00.000Z</x:v>
      </x:c>
      <x:c r="C1743" s="1" t="str">
        <x:v>Second Class</x:v>
      </x:c>
      <x:c r="D1743" s="1" t="str">
        <x:v>Europe</x:v>
      </x:c>
      <x:c r="E1743" s="1" t="str">
        <x:v>PROCESSING</x:v>
      </x:c>
      <x:c r="F1743" s="1" t="str">
        <x:v>Late delivery</x:v>
      </x:c>
      <x:c r="G1743" s="6" t="n">
        <x:v>6</x:v>
      </x:c>
      <x:c r="H1743" s="6" t="n">
        <x:v>2</x:v>
      </x:c>
      <x:c r="I1743" s="6" t="n">
        <x:f>G1743-H1743</x:f>
        <x:v>4</x:v>
      </x:c>
      <x:c r="J1743" s="6" t="n">
        <x:f>IF(OR(E1743="CANCELED",E1743="SUSPECTED_FRAUD",F1743="Shipping canceled"),0,1)</x:f>
        <x:v>1</x:v>
      </x:c>
      <x:c r="K1743" s="6" t="n">
        <x:f>IF(G1743&gt;H1743,1,0)</x:f>
        <x:v>1</x:v>
      </x:c>
      <x:c r="L1743" s="6" t="n">
        <x:f>J1743*K1743</x:f>
        <x:v>1</x:v>
      </x:c>
    </x:row>
    <x:row r="1744">
      <x:c r="A1744" s="1" t="n">
        <x:v>13970</x:v>
      </x:c>
      <x:c r="B1744" s="5" t="d">
        <x:v>2015-07-23T00:00:00.000Z</x:v>
      </x:c>
      <x:c r="C1744" s="1" t="str">
        <x:v>Second Class</x:v>
      </x:c>
      <x:c r="D1744" s="1" t="str">
        <x:v>Europe</x:v>
      </x:c>
      <x:c r="E1744" s="1" t="str">
        <x:v>COMPLETE</x:v>
      </x:c>
      <x:c r="F1744" s="1" t="str">
        <x:v>Late delivery</x:v>
      </x:c>
      <x:c r="G1744" s="6" t="n">
        <x:v>6</x:v>
      </x:c>
      <x:c r="H1744" s="6" t="n">
        <x:v>2</x:v>
      </x:c>
      <x:c r="I1744" s="6" t="n">
        <x:f>G1744-H1744</x:f>
        <x:v>4</x:v>
      </x:c>
      <x:c r="J1744" s="6" t="n">
        <x:f>IF(OR(E1744="CANCELED",E1744="SUSPECTED_FRAUD",F1744="Shipping canceled"),0,1)</x:f>
        <x:v>1</x:v>
      </x:c>
      <x:c r="K1744" s="6" t="n">
        <x:f>IF(G1744&gt;H1744,1,0)</x:f>
        <x:v>1</x:v>
      </x:c>
      <x:c r="L1744" s="6" t="n">
        <x:f>J1744*K1744</x:f>
        <x:v>1</x:v>
      </x:c>
    </x:row>
    <x:row r="1745">
      <x:c r="A1745" s="1" t="n">
        <x:v>13971</x:v>
      </x:c>
      <x:c r="B1745" s="5" t="d">
        <x:v>2015-07-23T00:00:00.000Z</x:v>
      </x:c>
      <x:c r="C1745" s="1" t="str">
        <x:v>Standard Class</x:v>
      </x:c>
      <x:c r="D1745" s="1" t="str">
        <x:v>Europe</x:v>
      </x:c>
      <x:c r="E1745" s="1" t="str">
        <x:v>COMPLETE</x:v>
      </x:c>
      <x:c r="F1745" s="1" t="str">
        <x:v>Advance shipping</x:v>
      </x:c>
      <x:c r="G1745" s="6" t="n">
        <x:v>2</x:v>
      </x:c>
      <x:c r="H1745" s="6" t="n">
        <x:v>4</x:v>
      </x:c>
      <x:c r="I1745" s="6" t="n">
        <x:f>G1745-H1745</x:f>
        <x:v>-2</x:v>
      </x:c>
      <x:c r="J1745" s="6" t="n">
        <x:f>IF(OR(E1745="CANCELED",E1745="SUSPECTED_FRAUD",F1745="Shipping canceled"),0,1)</x:f>
        <x:v>1</x:v>
      </x:c>
      <x:c r="K1745" s="6" t="n">
        <x:f>IF(G1745&gt;H1745,1,0)</x:f>
        <x:v>0</x:v>
      </x:c>
      <x:c r="L1745" s="6" t="n">
        <x:f>J1745*K1745</x:f>
        <x:v>0</x:v>
      </x:c>
    </x:row>
    <x:row r="1746">
      <x:c r="A1746" s="1" t="n">
        <x:v>13974</x:v>
      </x:c>
      <x:c r="B1746" s="5" t="d">
        <x:v>2015-07-23T00:00:00.000Z</x:v>
      </x:c>
      <x:c r="C1746" s="1" t="str">
        <x:v>Standard Class</x:v>
      </x:c>
      <x:c r="D1746" s="1" t="str">
        <x:v>Europe</x:v>
      </x:c>
      <x:c r="E1746" s="1" t="str">
        <x:v>PENDING_PAYMENT</x:v>
      </x:c>
      <x:c r="F1746" s="1" t="str">
        <x:v>Late delivery</x:v>
      </x:c>
      <x:c r="G1746" s="6" t="n">
        <x:v>5</x:v>
      </x:c>
      <x:c r="H1746" s="6" t="n">
        <x:v>4</x:v>
      </x:c>
      <x:c r="I1746" s="6" t="n">
        <x:f>G1746-H1746</x:f>
        <x:v>1</x:v>
      </x:c>
      <x:c r="J1746" s="6" t="n">
        <x:f>IF(OR(E1746="CANCELED",E1746="SUSPECTED_FRAUD",F1746="Shipping canceled"),0,1)</x:f>
        <x:v>1</x:v>
      </x:c>
      <x:c r="K1746" s="6" t="n">
        <x:f>IF(G1746&gt;H1746,1,0)</x:f>
        <x:v>1</x:v>
      </x:c>
      <x:c r="L1746" s="6" t="n">
        <x:f>J1746*K1746</x:f>
        <x:v>1</x:v>
      </x:c>
    </x:row>
    <x:row r="1747">
      <x:c r="A1747" s="1" t="n">
        <x:v>13977</x:v>
      </x:c>
      <x:c r="B1747" s="5" t="d">
        <x:v>2015-07-24T00:00:00.000Z</x:v>
      </x:c>
      <x:c r="C1747" s="1" t="str">
        <x:v>Standard Class</x:v>
      </x:c>
      <x:c r="D1747" s="1" t="str">
        <x:v>Europe</x:v>
      </x:c>
      <x:c r="E1747" s="1" t="str">
        <x:v>PENDING</x:v>
      </x:c>
      <x:c r="F1747" s="1" t="str">
        <x:v>Advance shipping</x:v>
      </x:c>
      <x:c r="G1747" s="6" t="n">
        <x:v>3</x:v>
      </x:c>
      <x:c r="H1747" s="6" t="n">
        <x:v>4</x:v>
      </x:c>
      <x:c r="I1747" s="6" t="n">
        <x:f>G1747-H1747</x:f>
        <x:v>-1</x:v>
      </x:c>
      <x:c r="J1747" s="6" t="n">
        <x:f>IF(OR(E1747="CANCELED",E1747="SUSPECTED_FRAUD",F1747="Shipping canceled"),0,1)</x:f>
        <x:v>1</x:v>
      </x:c>
      <x:c r="K1747" s="6" t="n">
        <x:f>IF(G1747&gt;H1747,1,0)</x:f>
        <x:v>0</x:v>
      </x:c>
      <x:c r="L1747" s="6" t="n">
        <x:f>J1747*K1747</x:f>
        <x:v>0</x:v>
      </x:c>
    </x:row>
    <x:row r="1748">
      <x:c r="A1748" s="1" t="n">
        <x:v>13989</x:v>
      </x:c>
      <x:c r="B1748" s="5" t="d">
        <x:v>2015-07-24T00:00:00.000Z</x:v>
      </x:c>
      <x:c r="C1748" s="1" t="str">
        <x:v>Standard Class</x:v>
      </x:c>
      <x:c r="D1748" s="1" t="str">
        <x:v>Europe</x:v>
      </x:c>
      <x:c r="E1748" s="1" t="str">
        <x:v>COMPLETE</x:v>
      </x:c>
      <x:c r="F1748" s="1" t="str">
        <x:v>Late delivery</x:v>
      </x:c>
      <x:c r="G1748" s="6" t="n">
        <x:v>5</x:v>
      </x:c>
      <x:c r="H1748" s="6" t="n">
        <x:v>4</x:v>
      </x:c>
      <x:c r="I1748" s="6" t="n">
        <x:f>G1748-H1748</x:f>
        <x:v>1</x:v>
      </x:c>
      <x:c r="J1748" s="6" t="n">
        <x:f>IF(OR(E1748="CANCELED",E1748="SUSPECTED_FRAUD",F1748="Shipping canceled"),0,1)</x:f>
        <x:v>1</x:v>
      </x:c>
      <x:c r="K1748" s="6" t="n">
        <x:f>IF(G1748&gt;H1748,1,0)</x:f>
        <x:v>1</x:v>
      </x:c>
      <x:c r="L1748" s="6" t="n">
        <x:f>J1748*K1748</x:f>
        <x:v>1</x:v>
      </x:c>
    </x:row>
    <x:row r="1749">
      <x:c r="A1749" s="1" t="n">
        <x:v>13991</x:v>
      </x:c>
      <x:c r="B1749" s="5" t="d">
        <x:v>2015-07-24T00:00:00.000Z</x:v>
      </x:c>
      <x:c r="C1749" s="1" t="str">
        <x:v>Standard Class</x:v>
      </x:c>
      <x:c r="D1749" s="1" t="str">
        <x:v>Europe</x:v>
      </x:c>
      <x:c r="E1749" s="1" t="str">
        <x:v>COMPLETE</x:v>
      </x:c>
      <x:c r="F1749" s="1" t="str">
        <x:v>Advance shipping</x:v>
      </x:c>
      <x:c r="G1749" s="6" t="n">
        <x:v>2</x:v>
      </x:c>
      <x:c r="H1749" s="6" t="n">
        <x:v>4</x:v>
      </x:c>
      <x:c r="I1749" s="6" t="n">
        <x:f>G1749-H1749</x:f>
        <x:v>-2</x:v>
      </x:c>
      <x:c r="J1749" s="6" t="n">
        <x:f>IF(OR(E1749="CANCELED",E1749="SUSPECTED_FRAUD",F1749="Shipping canceled"),0,1)</x:f>
        <x:v>1</x:v>
      </x:c>
      <x:c r="K1749" s="6" t="n">
        <x:f>IF(G1749&gt;H1749,1,0)</x:f>
        <x:v>0</x:v>
      </x:c>
      <x:c r="L1749" s="6" t="n">
        <x:f>J1749*K1749</x:f>
        <x:v>0</x:v>
      </x:c>
    </x:row>
    <x:row r="1750">
      <x:c r="A1750" s="1" t="n">
        <x:v>13992</x:v>
      </x:c>
      <x:c r="B1750" s="5" t="d">
        <x:v>2015-07-24T00:00:00.000Z</x:v>
      </x:c>
      <x:c r="C1750" s="1" t="str">
        <x:v>Standard Class</x:v>
      </x:c>
      <x:c r="D1750" s="1" t="str">
        <x:v>Europe</x:v>
      </x:c>
      <x:c r="E1750" s="1" t="str">
        <x:v>COMPLETE</x:v>
      </x:c>
      <x:c r="F1750" s="1" t="str">
        <x:v>Advance shipping</x:v>
      </x:c>
      <x:c r="G1750" s="6" t="n">
        <x:v>3</x:v>
      </x:c>
      <x:c r="H1750" s="6" t="n">
        <x:v>4</x:v>
      </x:c>
      <x:c r="I1750" s="6" t="n">
        <x:f>G1750-H1750</x:f>
        <x:v>-1</x:v>
      </x:c>
      <x:c r="J1750" s="6" t="n">
        <x:f>IF(OR(E1750="CANCELED",E1750="SUSPECTED_FRAUD",F1750="Shipping canceled"),0,1)</x:f>
        <x:v>1</x:v>
      </x:c>
      <x:c r="K1750" s="6" t="n">
        <x:f>IF(G1750&gt;H1750,1,0)</x:f>
        <x:v>0</x:v>
      </x:c>
      <x:c r="L1750" s="6" t="n">
        <x:f>J1750*K1750</x:f>
        <x:v>0</x:v>
      </x:c>
    </x:row>
    <x:row r="1751">
      <x:c r="A1751" s="1" t="n">
        <x:v>13993</x:v>
      </x:c>
      <x:c r="B1751" s="5" t="d">
        <x:v>2015-07-24T00:00:00.000Z</x:v>
      </x:c>
      <x:c r="C1751" s="1" t="str">
        <x:v>Standard Class</x:v>
      </x:c>
      <x:c r="D1751" s="1" t="str">
        <x:v>Europe</x:v>
      </x:c>
      <x:c r="E1751" s="1" t="str">
        <x:v>COMPLETE</x:v>
      </x:c>
      <x:c r="F1751" s="1" t="str">
        <x:v>Shipping on time</x:v>
      </x:c>
      <x:c r="G1751" s="6" t="n">
        <x:v>4</x:v>
      </x:c>
      <x:c r="H1751" s="6" t="n">
        <x:v>4</x:v>
      </x:c>
      <x:c r="I1751" s="6" t="n">
        <x:f>G1751-H1751</x:f>
        <x:v>0</x:v>
      </x:c>
      <x:c r="J1751" s="6" t="n">
        <x:f>IF(OR(E1751="CANCELED",E1751="SUSPECTED_FRAUD",F1751="Shipping canceled"),0,1)</x:f>
        <x:v>1</x:v>
      </x:c>
      <x:c r="K1751" s="6" t="n">
        <x:f>IF(G1751&gt;H1751,1,0)</x:f>
        <x:v>0</x:v>
      </x:c>
      <x:c r="L1751" s="6" t="n">
        <x:f>J1751*K1751</x:f>
        <x:v>0</x:v>
      </x:c>
    </x:row>
    <x:row r="1752">
      <x:c r="A1752" s="1" t="n">
        <x:v>14003</x:v>
      </x:c>
      <x:c r="B1752" s="5" t="d">
        <x:v>2015-07-24T00:00:00.000Z</x:v>
      </x:c>
      <x:c r="C1752" s="1" t="str">
        <x:v>First Class</x:v>
      </x:c>
      <x:c r="D1752" s="1" t="str">
        <x:v>Europe</x:v>
      </x:c>
      <x:c r="E1752" s="1" t="str">
        <x:v>CLOSED</x:v>
      </x:c>
      <x:c r="F1752" s="1" t="str">
        <x:v>Late delivery</x:v>
      </x:c>
      <x:c r="G1752" s="6" t="n">
        <x:v>2</x:v>
      </x:c>
      <x:c r="H1752" s="6" t="n">
        <x:v>1</x:v>
      </x:c>
      <x:c r="I1752" s="6" t="n">
        <x:f>G1752-H1752</x:f>
        <x:v>1</x:v>
      </x:c>
      <x:c r="J1752" s="6" t="n">
        <x:f>IF(OR(E1752="CANCELED",E1752="SUSPECTED_FRAUD",F1752="Shipping canceled"),0,1)</x:f>
        <x:v>1</x:v>
      </x:c>
      <x:c r="K1752" s="6" t="n">
        <x:f>IF(G1752&gt;H1752,1,0)</x:f>
        <x:v>1</x:v>
      </x:c>
      <x:c r="L1752" s="6" t="n">
        <x:f>J1752*K1752</x:f>
        <x:v>1</x:v>
      </x:c>
    </x:row>
    <x:row r="1753">
      <x:c r="A1753" s="1" t="n">
        <x:v>14023</x:v>
      </x:c>
      <x:c r="B1753" s="5" t="d">
        <x:v>2015-07-24T00:00:00.000Z</x:v>
      </x:c>
      <x:c r="C1753" s="1" t="str">
        <x:v>Standard Class</x:v>
      </x:c>
      <x:c r="D1753" s="1" t="str">
        <x:v>Europe</x:v>
      </x:c>
      <x:c r="E1753" s="1" t="str">
        <x:v>COMPLETE</x:v>
      </x:c>
      <x:c r="F1753" s="1" t="str">
        <x:v>Shipping on time</x:v>
      </x:c>
      <x:c r="G1753" s="6" t="n">
        <x:v>4</x:v>
      </x:c>
      <x:c r="H1753" s="6" t="n">
        <x:v>4</x:v>
      </x:c>
      <x:c r="I1753" s="6" t="n">
        <x:f>G1753-H1753</x:f>
        <x:v>0</x:v>
      </x:c>
      <x:c r="J1753" s="6" t="n">
        <x:f>IF(OR(E1753="CANCELED",E1753="SUSPECTED_FRAUD",F1753="Shipping canceled"),0,1)</x:f>
        <x:v>1</x:v>
      </x:c>
      <x:c r="K1753" s="6" t="n">
        <x:f>IF(G1753&gt;H1753,1,0)</x:f>
        <x:v>0</x:v>
      </x:c>
      <x:c r="L1753" s="6" t="n">
        <x:f>J1753*K1753</x:f>
        <x:v>0</x:v>
      </x:c>
    </x:row>
    <x:row r="1754">
      <x:c r="A1754" s="1" t="n">
        <x:v>14026</x:v>
      </x:c>
      <x:c r="B1754" s="5" t="d">
        <x:v>2015-07-24T00:00:00.000Z</x:v>
      </x:c>
      <x:c r="C1754" s="1" t="str">
        <x:v>First Class</x:v>
      </x:c>
      <x:c r="D1754" s="1" t="str">
        <x:v>Europe</x:v>
      </x:c>
      <x:c r="E1754" s="1" t="str">
        <x:v>PENDING</x:v>
      </x:c>
      <x:c r="F1754" s="1" t="str">
        <x:v>Late delivery</x:v>
      </x:c>
      <x:c r="G1754" s="6" t="n">
        <x:v>2</x:v>
      </x:c>
      <x:c r="H1754" s="6" t="n">
        <x:v>1</x:v>
      </x:c>
      <x:c r="I1754" s="6" t="n">
        <x:f>G1754-H1754</x:f>
        <x:v>1</x:v>
      </x:c>
      <x:c r="J1754" s="6" t="n">
        <x:f>IF(OR(E1754="CANCELED",E1754="SUSPECTED_FRAUD",F1754="Shipping canceled"),0,1)</x:f>
        <x:v>1</x:v>
      </x:c>
      <x:c r="K1754" s="6" t="n">
        <x:f>IF(G1754&gt;H1754,1,0)</x:f>
        <x:v>1</x:v>
      </x:c>
      <x:c r="L1754" s="6" t="n">
        <x:f>J1754*K1754</x:f>
        <x:v>1</x:v>
      </x:c>
    </x:row>
    <x:row r="1755">
      <x:c r="A1755" s="1" t="n">
        <x:v>14043</x:v>
      </x:c>
      <x:c r="B1755" s="5" t="d">
        <x:v>2015-07-24T00:00:00.000Z</x:v>
      </x:c>
      <x:c r="C1755" s="1" t="str">
        <x:v>Standard Class</x:v>
      </x:c>
      <x:c r="D1755" s="1" t="str">
        <x:v>Europe</x:v>
      </x:c>
      <x:c r="E1755" s="1" t="str">
        <x:v>PROCESSING</x:v>
      </x:c>
      <x:c r="F1755" s="1" t="str">
        <x:v>Shipping on time</x:v>
      </x:c>
      <x:c r="G1755" s="6" t="n">
        <x:v>4</x:v>
      </x:c>
      <x:c r="H1755" s="6" t="n">
        <x:v>4</x:v>
      </x:c>
      <x:c r="I1755" s="6" t="n">
        <x:f>G1755-H1755</x:f>
        <x:v>0</x:v>
      </x:c>
      <x:c r="J1755" s="6" t="n">
        <x:f>IF(OR(E1755="CANCELED",E1755="SUSPECTED_FRAUD",F1755="Shipping canceled"),0,1)</x:f>
        <x:v>1</x:v>
      </x:c>
      <x:c r="K1755" s="6" t="n">
        <x:f>IF(G1755&gt;H1755,1,0)</x:f>
        <x:v>0</x:v>
      </x:c>
      <x:c r="L1755" s="6" t="n">
        <x:f>J1755*K1755</x:f>
        <x:v>0</x:v>
      </x:c>
    </x:row>
    <x:row r="1756">
      <x:c r="A1756" s="1" t="n">
        <x:v>14047</x:v>
      </x:c>
      <x:c r="B1756" s="5" t="d">
        <x:v>2015-07-25T00:00:00.000Z</x:v>
      </x:c>
      <x:c r="C1756" s="1" t="str">
        <x:v>First Class</x:v>
      </x:c>
      <x:c r="D1756" s="1" t="str">
        <x:v>Europe</x:v>
      </x:c>
      <x:c r="E1756" s="1" t="str">
        <x:v>CLOSED</x:v>
      </x:c>
      <x:c r="F1756" s="1" t="str">
        <x:v>Late delivery</x:v>
      </x:c>
      <x:c r="G1756" s="6" t="n">
        <x:v>2</x:v>
      </x:c>
      <x:c r="H1756" s="6" t="n">
        <x:v>1</x:v>
      </x:c>
      <x:c r="I1756" s="6" t="n">
        <x:f>G1756-H1756</x:f>
        <x:v>1</x:v>
      </x:c>
      <x:c r="J1756" s="6" t="n">
        <x:f>IF(OR(E1756="CANCELED",E1756="SUSPECTED_FRAUD",F1756="Shipping canceled"),0,1)</x:f>
        <x:v>1</x:v>
      </x:c>
      <x:c r="K1756" s="6" t="n">
        <x:f>IF(G1756&gt;H1756,1,0)</x:f>
        <x:v>1</x:v>
      </x:c>
      <x:c r="L1756" s="6" t="n">
        <x:f>J1756*K1756</x:f>
        <x:v>1</x:v>
      </x:c>
    </x:row>
    <x:row r="1757">
      <x:c r="A1757" s="1" t="n">
        <x:v>14064</x:v>
      </x:c>
      <x:c r="B1757" s="5" t="d">
        <x:v>2015-07-25T00:00:00.000Z</x:v>
      </x:c>
      <x:c r="C1757" s="1" t="str">
        <x:v>Second Class</x:v>
      </x:c>
      <x:c r="D1757" s="1" t="str">
        <x:v>Europe</x:v>
      </x:c>
      <x:c r="E1757" s="1" t="str">
        <x:v>COMPLETE</x:v>
      </x:c>
      <x:c r="F1757" s="1" t="str">
        <x:v>Late delivery</x:v>
      </x:c>
      <x:c r="G1757" s="6" t="n">
        <x:v>5</x:v>
      </x:c>
      <x:c r="H1757" s="6" t="n">
        <x:v>2</x:v>
      </x:c>
      <x:c r="I1757" s="6" t="n">
        <x:f>G1757-H1757</x:f>
        <x:v>3</x:v>
      </x:c>
      <x:c r="J1757" s="6" t="n">
        <x:f>IF(OR(E1757="CANCELED",E1757="SUSPECTED_FRAUD",F1757="Shipping canceled"),0,1)</x:f>
        <x:v>1</x:v>
      </x:c>
      <x:c r="K1757" s="6" t="n">
        <x:f>IF(G1757&gt;H1757,1,0)</x:f>
        <x:v>1</x:v>
      </x:c>
      <x:c r="L1757" s="6" t="n">
        <x:f>J1757*K1757</x:f>
        <x:v>1</x:v>
      </x:c>
    </x:row>
    <x:row r="1758">
      <x:c r="A1758" s="1" t="n">
        <x:v>14066</x:v>
      </x:c>
      <x:c r="B1758" s="5" t="d">
        <x:v>2015-07-25T00:00:00.000Z</x:v>
      </x:c>
      <x:c r="C1758" s="1" t="str">
        <x:v>Standard Class</x:v>
      </x:c>
      <x:c r="D1758" s="1" t="str">
        <x:v>Europe</x:v>
      </x:c>
      <x:c r="E1758" s="1" t="str">
        <x:v>CLOSED</x:v>
      </x:c>
      <x:c r="F1758" s="1" t="str">
        <x:v>Advance shipping</x:v>
      </x:c>
      <x:c r="G1758" s="6" t="n">
        <x:v>2</x:v>
      </x:c>
      <x:c r="H1758" s="6" t="n">
        <x:v>4</x:v>
      </x:c>
      <x:c r="I1758" s="6" t="n">
        <x:f>G1758-H1758</x:f>
        <x:v>-2</x:v>
      </x:c>
      <x:c r="J1758" s="6" t="n">
        <x:f>IF(OR(E1758="CANCELED",E1758="SUSPECTED_FRAUD",F1758="Shipping canceled"),0,1)</x:f>
        <x:v>1</x:v>
      </x:c>
      <x:c r="K1758" s="6" t="n">
        <x:f>IF(G1758&gt;H1758,1,0)</x:f>
        <x:v>0</x:v>
      </x:c>
      <x:c r="L1758" s="6" t="n">
        <x:f>J1758*K1758</x:f>
        <x:v>0</x:v>
      </x:c>
    </x:row>
    <x:row r="1759">
      <x:c r="A1759" s="1" t="n">
        <x:v>14072</x:v>
      </x:c>
      <x:c r="B1759" s="5" t="d">
        <x:v>2015-07-25T00:00:00.000Z</x:v>
      </x:c>
      <x:c r="C1759" s="1" t="str">
        <x:v>Standard Class</x:v>
      </x:c>
      <x:c r="D1759" s="1" t="str">
        <x:v>Europe</x:v>
      </x:c>
      <x:c r="E1759" s="1" t="str">
        <x:v>PROCESSING</x:v>
      </x:c>
      <x:c r="F1759" s="1" t="str">
        <x:v>Advance shipping</x:v>
      </x:c>
      <x:c r="G1759" s="6" t="n">
        <x:v>3</x:v>
      </x:c>
      <x:c r="H1759" s="6" t="n">
        <x:v>4</x:v>
      </x:c>
      <x:c r="I1759" s="6" t="n">
        <x:f>G1759-H1759</x:f>
        <x:v>-1</x:v>
      </x:c>
      <x:c r="J1759" s="6" t="n">
        <x:f>IF(OR(E1759="CANCELED",E1759="SUSPECTED_FRAUD",F1759="Shipping canceled"),0,1)</x:f>
        <x:v>1</x:v>
      </x:c>
      <x:c r="K1759" s="6" t="n">
        <x:f>IF(G1759&gt;H1759,1,0)</x:f>
        <x:v>0</x:v>
      </x:c>
      <x:c r="L1759" s="6" t="n">
        <x:f>J1759*K1759</x:f>
        <x:v>0</x:v>
      </x:c>
    </x:row>
    <x:row r="1760">
      <x:c r="A1760" s="1" t="n">
        <x:v>14092</x:v>
      </x:c>
      <x:c r="B1760" s="5" t="d">
        <x:v>2015-07-25T00:00:00.000Z</x:v>
      </x:c>
      <x:c r="C1760" s="1" t="str">
        <x:v>Standard Class</x:v>
      </x:c>
      <x:c r="D1760" s="1" t="str">
        <x:v>Europe</x:v>
      </x:c>
      <x:c r="E1760" s="1" t="str">
        <x:v>COMPLETE</x:v>
      </x:c>
      <x:c r="F1760" s="1" t="str">
        <x:v>Advance shipping</x:v>
      </x:c>
      <x:c r="G1760" s="6" t="n">
        <x:v>3</x:v>
      </x:c>
      <x:c r="H1760" s="6" t="n">
        <x:v>4</x:v>
      </x:c>
      <x:c r="I1760" s="6" t="n">
        <x:f>G1760-H1760</x:f>
        <x:v>-1</x:v>
      </x:c>
      <x:c r="J1760" s="6" t="n">
        <x:f>IF(OR(E1760="CANCELED",E1760="SUSPECTED_FRAUD",F1760="Shipping canceled"),0,1)</x:f>
        <x:v>1</x:v>
      </x:c>
      <x:c r="K1760" s="6" t="n">
        <x:f>IF(G1760&gt;H1760,1,0)</x:f>
        <x:v>0</x:v>
      </x:c>
      <x:c r="L1760" s="6" t="n">
        <x:f>J1760*K1760</x:f>
        <x:v>0</x:v>
      </x:c>
    </x:row>
    <x:row r="1761">
      <x:c r="A1761" s="1" t="n">
        <x:v>14100</x:v>
      </x:c>
      <x:c r="B1761" s="5" t="d">
        <x:v>2015-07-25T00:00:00.000Z</x:v>
      </x:c>
      <x:c r="C1761" s="1" t="str">
        <x:v>Standard Class</x:v>
      </x:c>
      <x:c r="D1761" s="1" t="str">
        <x:v>Europe</x:v>
      </x:c>
      <x:c r="E1761" s="1" t="str">
        <x:v>COMPLETE</x:v>
      </x:c>
      <x:c r="F1761" s="1" t="str">
        <x:v>Late delivery</x:v>
      </x:c>
      <x:c r="G1761" s="6" t="n">
        <x:v>6</x:v>
      </x:c>
      <x:c r="H1761" s="6" t="n">
        <x:v>4</x:v>
      </x:c>
      <x:c r="I1761" s="6" t="n">
        <x:f>G1761-H1761</x:f>
        <x:v>2</x:v>
      </x:c>
      <x:c r="J1761" s="6" t="n">
        <x:f>IF(OR(E1761="CANCELED",E1761="SUSPECTED_FRAUD",F1761="Shipping canceled"),0,1)</x:f>
        <x:v>1</x:v>
      </x:c>
      <x:c r="K1761" s="6" t="n">
        <x:f>IF(G1761&gt;H1761,1,0)</x:f>
        <x:v>1</x:v>
      </x:c>
      <x:c r="L1761" s="6" t="n">
        <x:f>J1761*K1761</x:f>
        <x:v>1</x:v>
      </x:c>
    </x:row>
    <x:row r="1762">
      <x:c r="A1762" s="1" t="n">
        <x:v>14107</x:v>
      </x:c>
      <x:c r="B1762" s="5" t="d">
        <x:v>2015-07-25T00:00:00.000Z</x:v>
      </x:c>
      <x:c r="C1762" s="1" t="str">
        <x:v>Standard Class</x:v>
      </x:c>
      <x:c r="D1762" s="1" t="str">
        <x:v>Europe</x:v>
      </x:c>
      <x:c r="E1762" s="1" t="str">
        <x:v>COMPLETE</x:v>
      </x:c>
      <x:c r="F1762" s="1" t="str">
        <x:v>Advance shipping</x:v>
      </x:c>
      <x:c r="G1762" s="6" t="n">
        <x:v>3</x:v>
      </x:c>
      <x:c r="H1762" s="6" t="n">
        <x:v>4</x:v>
      </x:c>
      <x:c r="I1762" s="6" t="n">
        <x:f>G1762-H1762</x:f>
        <x:v>-1</x:v>
      </x:c>
      <x:c r="J1762" s="6" t="n">
        <x:f>IF(OR(E1762="CANCELED",E1762="SUSPECTED_FRAUD",F1762="Shipping canceled"),0,1)</x:f>
        <x:v>1</x:v>
      </x:c>
      <x:c r="K1762" s="6" t="n">
        <x:f>IF(G1762&gt;H1762,1,0)</x:f>
        <x:v>0</x:v>
      </x:c>
      <x:c r="L1762" s="6" t="n">
        <x:f>J1762*K1762</x:f>
        <x:v>0</x:v>
      </x:c>
    </x:row>
    <x:row r="1763">
      <x:c r="A1763" s="1" t="n">
        <x:v>14121</x:v>
      </x:c>
      <x:c r="B1763" s="5" t="d">
        <x:v>2015-07-26T00:00:00.000Z</x:v>
      </x:c>
      <x:c r="C1763" s="1" t="str">
        <x:v>Standard Class</x:v>
      </x:c>
      <x:c r="D1763" s="1" t="str">
        <x:v>Europe</x:v>
      </x:c>
      <x:c r="E1763" s="1" t="str">
        <x:v>COMPLETE</x:v>
      </x:c>
      <x:c r="F1763" s="1" t="str">
        <x:v>Advance shipping</x:v>
      </x:c>
      <x:c r="G1763" s="6" t="n">
        <x:v>2</x:v>
      </x:c>
      <x:c r="H1763" s="6" t="n">
        <x:v>4</x:v>
      </x:c>
      <x:c r="I1763" s="6" t="n">
        <x:f>G1763-H1763</x:f>
        <x:v>-2</x:v>
      </x:c>
      <x:c r="J1763" s="6" t="n">
        <x:f>IF(OR(E1763="CANCELED",E1763="SUSPECTED_FRAUD",F1763="Shipping canceled"),0,1)</x:f>
        <x:v>1</x:v>
      </x:c>
      <x:c r="K1763" s="6" t="n">
        <x:f>IF(G1763&gt;H1763,1,0)</x:f>
        <x:v>0</x:v>
      </x:c>
      <x:c r="L1763" s="6" t="n">
        <x:f>J1763*K1763</x:f>
        <x:v>0</x:v>
      </x:c>
    </x:row>
    <x:row r="1764">
      <x:c r="A1764" s="1" t="n">
        <x:v>14140</x:v>
      </x:c>
      <x:c r="B1764" s="5" t="d">
        <x:v>2015-07-26T00:00:00.000Z</x:v>
      </x:c>
      <x:c r="C1764" s="1" t="str">
        <x:v>Same Day</x:v>
      </x:c>
      <x:c r="D1764" s="1" t="str">
        <x:v>Europe</x:v>
      </x:c>
      <x:c r="E1764" s="1" t="str">
        <x:v>PENDING</x:v>
      </x:c>
      <x:c r="F1764" s="1" t="str">
        <x:v>Shipping on time</x:v>
      </x:c>
      <x:c r="G1764" s="6" t="n">
        <x:v>0</x:v>
      </x:c>
      <x:c r="H1764" s="6" t="n">
        <x:v>0</x:v>
      </x:c>
      <x:c r="I1764" s="6" t="n">
        <x:f>G1764-H1764</x:f>
        <x:v>0</x:v>
      </x:c>
      <x:c r="J1764" s="6" t="n">
        <x:f>IF(OR(E1764="CANCELED",E1764="SUSPECTED_FRAUD",F1764="Shipping canceled"),0,1)</x:f>
        <x:v>1</x:v>
      </x:c>
      <x:c r="K1764" s="6" t="n">
        <x:f>IF(G1764&gt;H1764,1,0)</x:f>
        <x:v>0</x:v>
      </x:c>
      <x:c r="L1764" s="6" t="n">
        <x:f>J1764*K1764</x:f>
        <x:v>0</x:v>
      </x:c>
    </x:row>
    <x:row r="1765">
      <x:c r="A1765" s="1" t="n">
        <x:v>14146</x:v>
      </x:c>
      <x:c r="B1765" s="5" t="d">
        <x:v>2015-07-26T00:00:00.000Z</x:v>
      </x:c>
      <x:c r="C1765" s="1" t="str">
        <x:v>Same Day</x:v>
      </x:c>
      <x:c r="D1765" s="1" t="str">
        <x:v>Europe</x:v>
      </x:c>
      <x:c r="E1765" s="1" t="str">
        <x:v>PENDING</x:v>
      </x:c>
      <x:c r="F1765" s="1" t="str">
        <x:v>Shipping on time</x:v>
      </x:c>
      <x:c r="G1765" s="6" t="n">
        <x:v>0</x:v>
      </x:c>
      <x:c r="H1765" s="6" t="n">
        <x:v>0</x:v>
      </x:c>
      <x:c r="I1765" s="6" t="n">
        <x:f>G1765-H1765</x:f>
        <x:v>0</x:v>
      </x:c>
      <x:c r="J1765" s="6" t="n">
        <x:f>IF(OR(E1765="CANCELED",E1765="SUSPECTED_FRAUD",F1765="Shipping canceled"),0,1)</x:f>
        <x:v>1</x:v>
      </x:c>
      <x:c r="K1765" s="6" t="n">
        <x:f>IF(G1765&gt;H1765,1,0)</x:f>
        <x:v>0</x:v>
      </x:c>
      <x:c r="L1765" s="6" t="n">
        <x:f>J1765*K1765</x:f>
        <x:v>0</x:v>
      </x:c>
    </x:row>
    <x:row r="1766">
      <x:c r="A1766" s="1" t="n">
        <x:v>14164</x:v>
      </x:c>
      <x:c r="B1766" s="5" t="d">
        <x:v>2015-07-26T00:00:00.000Z</x:v>
      </x:c>
      <x:c r="C1766" s="1" t="str">
        <x:v>Second Class</x:v>
      </x:c>
      <x:c r="D1766" s="1" t="str">
        <x:v>Europe</x:v>
      </x:c>
      <x:c r="E1766" s="1" t="str">
        <x:v>CLOSED</x:v>
      </x:c>
      <x:c r="F1766" s="1" t="str">
        <x:v>Late delivery</x:v>
      </x:c>
      <x:c r="G1766" s="6" t="n">
        <x:v>5</x:v>
      </x:c>
      <x:c r="H1766" s="6" t="n">
        <x:v>2</x:v>
      </x:c>
      <x:c r="I1766" s="6" t="n">
        <x:f>G1766-H1766</x:f>
        <x:v>3</x:v>
      </x:c>
      <x:c r="J1766" s="6" t="n">
        <x:f>IF(OR(E1766="CANCELED",E1766="SUSPECTED_FRAUD",F1766="Shipping canceled"),0,1)</x:f>
        <x:v>1</x:v>
      </x:c>
      <x:c r="K1766" s="6" t="n">
        <x:f>IF(G1766&gt;H1766,1,0)</x:f>
        <x:v>1</x:v>
      </x:c>
      <x:c r="L1766" s="6" t="n">
        <x:f>J1766*K1766</x:f>
        <x:v>1</x:v>
      </x:c>
    </x:row>
    <x:row r="1767">
      <x:c r="A1767" s="1" t="n">
        <x:v>14170</x:v>
      </x:c>
      <x:c r="B1767" s="5" t="d">
        <x:v>2015-07-26T00:00:00.000Z</x:v>
      </x:c>
      <x:c r="C1767" s="1" t="str">
        <x:v>Standard Class</x:v>
      </x:c>
      <x:c r="D1767" s="1" t="str">
        <x:v>Europe</x:v>
      </x:c>
      <x:c r="E1767" s="1" t="str">
        <x:v>COMPLETE</x:v>
      </x:c>
      <x:c r="F1767" s="1" t="str">
        <x:v>Late delivery</x:v>
      </x:c>
      <x:c r="G1767" s="6" t="n">
        <x:v>6</x:v>
      </x:c>
      <x:c r="H1767" s="6" t="n">
        <x:v>4</x:v>
      </x:c>
      <x:c r="I1767" s="6" t="n">
        <x:f>G1767-H1767</x:f>
        <x:v>2</x:v>
      </x:c>
      <x:c r="J1767" s="6" t="n">
        <x:f>IF(OR(E1767="CANCELED",E1767="SUSPECTED_FRAUD",F1767="Shipping canceled"),0,1)</x:f>
        <x:v>1</x:v>
      </x:c>
      <x:c r="K1767" s="6" t="n">
        <x:f>IF(G1767&gt;H1767,1,0)</x:f>
        <x:v>1</x:v>
      </x:c>
      <x:c r="L1767" s="6" t="n">
        <x:f>J1767*K1767</x:f>
        <x:v>1</x:v>
      </x:c>
    </x:row>
    <x:row r="1768">
      <x:c r="A1768" s="1" t="n">
        <x:v>14178</x:v>
      </x:c>
      <x:c r="B1768" s="5" t="d">
        <x:v>2015-07-26T00:00:00.000Z</x:v>
      </x:c>
      <x:c r="C1768" s="1" t="str">
        <x:v>Standard Class</x:v>
      </x:c>
      <x:c r="D1768" s="1" t="str">
        <x:v>Europe</x:v>
      </x:c>
      <x:c r="E1768" s="1" t="str">
        <x:v>COMPLETE</x:v>
      </x:c>
      <x:c r="F1768" s="1" t="str">
        <x:v>Shipping on time</x:v>
      </x:c>
      <x:c r="G1768" s="6" t="n">
        <x:v>4</x:v>
      </x:c>
      <x:c r="H1768" s="6" t="n">
        <x:v>4</x:v>
      </x:c>
      <x:c r="I1768" s="6" t="n">
        <x:f>G1768-H1768</x:f>
        <x:v>0</x:v>
      </x:c>
      <x:c r="J1768" s="6" t="n">
        <x:f>IF(OR(E1768="CANCELED",E1768="SUSPECTED_FRAUD",F1768="Shipping canceled"),0,1)</x:f>
        <x:v>1</x:v>
      </x:c>
      <x:c r="K1768" s="6" t="n">
        <x:f>IF(G1768&gt;H1768,1,0)</x:f>
        <x:v>0</x:v>
      </x:c>
      <x:c r="L1768" s="6" t="n">
        <x:f>J1768*K1768</x:f>
        <x:v>0</x:v>
      </x:c>
    </x:row>
    <x:row r="1769">
      <x:c r="A1769" s="1" t="n">
        <x:v>14179</x:v>
      </x:c>
      <x:c r="B1769" s="5" t="d">
        <x:v>2015-07-26T00:00:00.000Z</x:v>
      </x:c>
      <x:c r="C1769" s="1" t="str">
        <x:v>Standard Class</x:v>
      </x:c>
      <x:c r="D1769" s="1" t="str">
        <x:v>Europe</x:v>
      </x:c>
      <x:c r="E1769" s="1" t="str">
        <x:v>PROCESSING</x:v>
      </x:c>
      <x:c r="F1769" s="1" t="str">
        <x:v>Late delivery</x:v>
      </x:c>
      <x:c r="G1769" s="6" t="n">
        <x:v>5</x:v>
      </x:c>
      <x:c r="H1769" s="6" t="n">
        <x:v>4</x:v>
      </x:c>
      <x:c r="I1769" s="6" t="n">
        <x:f>G1769-H1769</x:f>
        <x:v>1</x:v>
      </x:c>
      <x:c r="J1769" s="6" t="n">
        <x:f>IF(OR(E1769="CANCELED",E1769="SUSPECTED_FRAUD",F1769="Shipping canceled"),0,1)</x:f>
        <x:v>1</x:v>
      </x:c>
      <x:c r="K1769" s="6" t="n">
        <x:f>IF(G1769&gt;H1769,1,0)</x:f>
        <x:v>1</x:v>
      </x:c>
      <x:c r="L1769" s="6" t="n">
        <x:f>J1769*K1769</x:f>
        <x:v>1</x:v>
      </x:c>
    </x:row>
    <x:row r="1770">
      <x:c r="A1770" s="1" t="n">
        <x:v>14193</x:v>
      </x:c>
      <x:c r="B1770" s="5" t="d">
        <x:v>2015-07-27T00:00:00.000Z</x:v>
      </x:c>
      <x:c r="C1770" s="1" t="str">
        <x:v>Second Class</x:v>
      </x:c>
      <x:c r="D1770" s="1" t="str">
        <x:v>Europe</x:v>
      </x:c>
      <x:c r="E1770" s="1" t="str">
        <x:v>COMPLETE</x:v>
      </x:c>
      <x:c r="F1770" s="1" t="str">
        <x:v>Late delivery</x:v>
      </x:c>
      <x:c r="G1770" s="6" t="n">
        <x:v>4</x:v>
      </x:c>
      <x:c r="H1770" s="6" t="n">
        <x:v>2</x:v>
      </x:c>
      <x:c r="I1770" s="6" t="n">
        <x:f>G1770-H1770</x:f>
        <x:v>2</x:v>
      </x:c>
      <x:c r="J1770" s="6" t="n">
        <x:f>IF(OR(E1770="CANCELED",E1770="SUSPECTED_FRAUD",F1770="Shipping canceled"),0,1)</x:f>
        <x:v>1</x:v>
      </x:c>
      <x:c r="K1770" s="6" t="n">
        <x:f>IF(G1770&gt;H1770,1,0)</x:f>
        <x:v>1</x:v>
      </x:c>
      <x:c r="L1770" s="6" t="n">
        <x:f>J1770*K1770</x:f>
        <x:v>1</x:v>
      </x:c>
    </x:row>
    <x:row r="1771">
      <x:c r="A1771" s="1" t="n">
        <x:v>14210</x:v>
      </x:c>
      <x:c r="B1771" s="5" t="d">
        <x:v>2015-07-27T00:00:00.000Z</x:v>
      </x:c>
      <x:c r="C1771" s="1" t="str">
        <x:v>Standard Class</x:v>
      </x:c>
      <x:c r="D1771" s="1" t="str">
        <x:v>Europe</x:v>
      </x:c>
      <x:c r="E1771" s="1" t="str">
        <x:v>SUSPECTED_FRAUD</x:v>
      </x:c>
      <x:c r="F1771" s="1" t="str">
        <x:v>Shipping canceled</x:v>
      </x:c>
      <x:c r="G1771" s="6" t="n">
        <x:v>6</x:v>
      </x:c>
      <x:c r="H1771" s="6" t="n">
        <x:v>4</x:v>
      </x:c>
      <x:c r="I1771" s="6" t="n">
        <x:f>G1771-H1771</x:f>
        <x:v>2</x:v>
      </x:c>
      <x:c r="J1771" s="6" t="n">
        <x:f>IF(OR(E1771="CANCELED",E1771="SUSPECTED_FRAUD",F1771="Shipping canceled"),0,1)</x:f>
        <x:v>0</x:v>
      </x:c>
      <x:c r="K1771" s="6" t="n">
        <x:f>IF(G1771&gt;H1771,1,0)</x:f>
        <x:v>1</x:v>
      </x:c>
      <x:c r="L1771" s="6" t="n">
        <x:f>J1771*K1771</x:f>
        <x:v>0</x:v>
      </x:c>
    </x:row>
    <x:row r="1772">
      <x:c r="A1772" s="1" t="n">
        <x:v>14227</x:v>
      </x:c>
      <x:c r="B1772" s="5" t="d">
        <x:v>2015-07-27T00:00:00.000Z</x:v>
      </x:c>
      <x:c r="C1772" s="1" t="str">
        <x:v>Standard Class</x:v>
      </x:c>
      <x:c r="D1772" s="1" t="str">
        <x:v>Europe</x:v>
      </x:c>
      <x:c r="E1772" s="1" t="str">
        <x:v>PROCESSING</x:v>
      </x:c>
      <x:c r="F1772" s="1" t="str">
        <x:v>Advance shipping</x:v>
      </x:c>
      <x:c r="G1772" s="6" t="n">
        <x:v>3</x:v>
      </x:c>
      <x:c r="H1772" s="6" t="n">
        <x:v>4</x:v>
      </x:c>
      <x:c r="I1772" s="6" t="n">
        <x:f>G1772-H1772</x:f>
        <x:v>-1</x:v>
      </x:c>
      <x:c r="J1772" s="6" t="n">
        <x:f>IF(OR(E1772="CANCELED",E1772="SUSPECTED_FRAUD",F1772="Shipping canceled"),0,1)</x:f>
        <x:v>1</x:v>
      </x:c>
      <x:c r="K1772" s="6" t="n">
        <x:f>IF(G1772&gt;H1772,1,0)</x:f>
        <x:v>0</x:v>
      </x:c>
      <x:c r="L1772" s="6" t="n">
        <x:f>J1772*K1772</x:f>
        <x:v>0</x:v>
      </x:c>
    </x:row>
    <x:row r="1773">
      <x:c r="A1773" s="1" t="n">
        <x:v>14237</x:v>
      </x:c>
      <x:c r="B1773" s="5" t="d">
        <x:v>2015-07-27T00:00:00.000Z</x:v>
      </x:c>
      <x:c r="C1773" s="1" t="str">
        <x:v>Standard Class</x:v>
      </x:c>
      <x:c r="D1773" s="1" t="str">
        <x:v>Europe</x:v>
      </x:c>
      <x:c r="E1773" s="1" t="str">
        <x:v>COMPLETE</x:v>
      </x:c>
      <x:c r="F1773" s="1" t="str">
        <x:v>Advance shipping</x:v>
      </x:c>
      <x:c r="G1773" s="6" t="n">
        <x:v>3</x:v>
      </x:c>
      <x:c r="H1773" s="6" t="n">
        <x:v>4</x:v>
      </x:c>
      <x:c r="I1773" s="6" t="n">
        <x:f>G1773-H1773</x:f>
        <x:v>-1</x:v>
      </x:c>
      <x:c r="J1773" s="6" t="n">
        <x:f>IF(OR(E1773="CANCELED",E1773="SUSPECTED_FRAUD",F1773="Shipping canceled"),0,1)</x:f>
        <x:v>1</x:v>
      </x:c>
      <x:c r="K1773" s="6" t="n">
        <x:f>IF(G1773&gt;H1773,1,0)</x:f>
        <x:v>0</x:v>
      </x:c>
      <x:c r="L1773" s="6" t="n">
        <x:f>J1773*K1773</x:f>
        <x:v>0</x:v>
      </x:c>
    </x:row>
    <x:row r="1774">
      <x:c r="A1774" s="1" t="n">
        <x:v>14241</x:v>
      </x:c>
      <x:c r="B1774" s="5" t="d">
        <x:v>2015-07-27T00:00:00.000Z</x:v>
      </x:c>
      <x:c r="C1774" s="1" t="str">
        <x:v>Standard Class</x:v>
      </x:c>
      <x:c r="D1774" s="1" t="str">
        <x:v>Europe</x:v>
      </x:c>
      <x:c r="E1774" s="1" t="str">
        <x:v>COMPLETE</x:v>
      </x:c>
      <x:c r="F1774" s="1" t="str">
        <x:v>Advance shipping</x:v>
      </x:c>
      <x:c r="G1774" s="6" t="n">
        <x:v>2</x:v>
      </x:c>
      <x:c r="H1774" s="6" t="n">
        <x:v>4</x:v>
      </x:c>
      <x:c r="I1774" s="6" t="n">
        <x:f>G1774-H1774</x:f>
        <x:v>-2</x:v>
      </x:c>
      <x:c r="J1774" s="6" t="n">
        <x:f>IF(OR(E1774="CANCELED",E1774="SUSPECTED_FRAUD",F1774="Shipping canceled"),0,1)</x:f>
        <x:v>1</x:v>
      </x:c>
      <x:c r="K1774" s="6" t="n">
        <x:f>IF(G1774&gt;H1774,1,0)</x:f>
        <x:v>0</x:v>
      </x:c>
      <x:c r="L1774" s="6" t="n">
        <x:f>J1774*K1774</x:f>
        <x:v>0</x:v>
      </x:c>
    </x:row>
    <x:row r="1775">
      <x:c r="A1775" s="1" t="n">
        <x:v>14242</x:v>
      </x:c>
      <x:c r="B1775" s="5" t="d">
        <x:v>2015-07-27T00:00:00.000Z</x:v>
      </x:c>
      <x:c r="C1775" s="1" t="str">
        <x:v>First Class</x:v>
      </x:c>
      <x:c r="D1775" s="1" t="str">
        <x:v>Europe</x:v>
      </x:c>
      <x:c r="E1775" s="1" t="str">
        <x:v>PAYMENT_REVIEW</x:v>
      </x:c>
      <x:c r="F1775" s="1" t="str">
        <x:v>Late delivery</x:v>
      </x:c>
      <x:c r="G1775" s="6" t="n">
        <x:v>2</x:v>
      </x:c>
      <x:c r="H1775" s="6" t="n">
        <x:v>1</x:v>
      </x:c>
      <x:c r="I1775" s="6" t="n">
        <x:f>G1775-H1775</x:f>
        <x:v>1</x:v>
      </x:c>
      <x:c r="J1775" s="6" t="n">
        <x:f>IF(OR(E1775="CANCELED",E1775="SUSPECTED_FRAUD",F1775="Shipping canceled"),0,1)</x:f>
        <x:v>1</x:v>
      </x:c>
      <x:c r="K1775" s="6" t="n">
        <x:f>IF(G1775&gt;H1775,1,0)</x:f>
        <x:v>1</x:v>
      </x:c>
      <x:c r="L1775" s="6" t="n">
        <x:f>J1775*K1775</x:f>
        <x:v>1</x:v>
      </x:c>
    </x:row>
    <x:row r="1776">
      <x:c r="A1776" s="1" t="n">
        <x:v>14247</x:v>
      </x:c>
      <x:c r="B1776" s="5" t="d">
        <x:v>2015-07-27T00:00:00.000Z</x:v>
      </x:c>
      <x:c r="C1776" s="1" t="str">
        <x:v>Standard Class</x:v>
      </x:c>
      <x:c r="D1776" s="1" t="str">
        <x:v>Europe</x:v>
      </x:c>
      <x:c r="E1776" s="1" t="str">
        <x:v>SUSPECTED_FRAUD</x:v>
      </x:c>
      <x:c r="F1776" s="1" t="str">
        <x:v>Shipping canceled</x:v>
      </x:c>
      <x:c r="G1776" s="6" t="n">
        <x:v>3</x:v>
      </x:c>
      <x:c r="H1776" s="6" t="n">
        <x:v>4</x:v>
      </x:c>
      <x:c r="I1776" s="6" t="n">
        <x:f>G1776-H1776</x:f>
        <x:v>-1</x:v>
      </x:c>
      <x:c r="J1776" s="6" t="n">
        <x:f>IF(OR(E1776="CANCELED",E1776="SUSPECTED_FRAUD",F1776="Shipping canceled"),0,1)</x:f>
        <x:v>0</x:v>
      </x:c>
      <x:c r="K1776" s="6" t="n">
        <x:f>IF(G1776&gt;H1776,1,0)</x:f>
        <x:v>0</x:v>
      </x:c>
      <x:c r="L1776" s="6" t="n">
        <x:f>J1776*K1776</x:f>
        <x:v>0</x:v>
      </x:c>
    </x:row>
    <x:row r="1777">
      <x:c r="A1777" s="1" t="n">
        <x:v>14250</x:v>
      </x:c>
      <x:c r="B1777" s="5" t="d">
        <x:v>2015-07-28T00:00:00.000Z</x:v>
      </x:c>
      <x:c r="C1777" s="1" t="str">
        <x:v>Second Class</x:v>
      </x:c>
      <x:c r="D1777" s="1" t="str">
        <x:v>Europe</x:v>
      </x:c>
      <x:c r="E1777" s="1" t="str">
        <x:v>COMPLETE</x:v>
      </x:c>
      <x:c r="F1777" s="1" t="str">
        <x:v>Late delivery</x:v>
      </x:c>
      <x:c r="G1777" s="6" t="n">
        <x:v>6</x:v>
      </x:c>
      <x:c r="H1777" s="6" t="n">
        <x:v>2</x:v>
      </x:c>
      <x:c r="I1777" s="6" t="n">
        <x:f>G1777-H1777</x:f>
        <x:v>4</x:v>
      </x:c>
      <x:c r="J1777" s="6" t="n">
        <x:f>IF(OR(E1777="CANCELED",E1777="SUSPECTED_FRAUD",F1777="Shipping canceled"),0,1)</x:f>
        <x:v>1</x:v>
      </x:c>
      <x:c r="K1777" s="6" t="n">
        <x:f>IF(G1777&gt;H1777,1,0)</x:f>
        <x:v>1</x:v>
      </x:c>
      <x:c r="L1777" s="6" t="n">
        <x:f>J1777*K1777</x:f>
        <x:v>1</x:v>
      </x:c>
    </x:row>
    <x:row r="1778">
      <x:c r="A1778" s="1" t="n">
        <x:v>14261</x:v>
      </x:c>
      <x:c r="B1778" s="5" t="d">
        <x:v>2015-07-28T00:00:00.000Z</x:v>
      </x:c>
      <x:c r="C1778" s="1" t="str">
        <x:v>First Class</x:v>
      </x:c>
      <x:c r="D1778" s="1" t="str">
        <x:v>Europe</x:v>
      </x:c>
      <x:c r="E1778" s="1" t="str">
        <x:v>CLOSED</x:v>
      </x:c>
      <x:c r="F1778" s="1" t="str">
        <x:v>Late delivery</x:v>
      </x:c>
      <x:c r="G1778" s="6" t="n">
        <x:v>2</x:v>
      </x:c>
      <x:c r="H1778" s="6" t="n">
        <x:v>1</x:v>
      </x:c>
      <x:c r="I1778" s="6" t="n">
        <x:f>G1778-H1778</x:f>
        <x:v>1</x:v>
      </x:c>
      <x:c r="J1778" s="6" t="n">
        <x:f>IF(OR(E1778="CANCELED",E1778="SUSPECTED_FRAUD",F1778="Shipping canceled"),0,1)</x:f>
        <x:v>1</x:v>
      </x:c>
      <x:c r="K1778" s="6" t="n">
        <x:f>IF(G1778&gt;H1778,1,0)</x:f>
        <x:v>1</x:v>
      </x:c>
      <x:c r="L1778" s="6" t="n">
        <x:f>J1778*K1778</x:f>
        <x:v>1</x:v>
      </x:c>
    </x:row>
    <x:row r="1779">
      <x:c r="A1779" s="1" t="n">
        <x:v>14267</x:v>
      </x:c>
      <x:c r="B1779" s="5" t="d">
        <x:v>2015-07-28T00:00:00.000Z</x:v>
      </x:c>
      <x:c r="C1779" s="1" t="str">
        <x:v>Standard Class</x:v>
      </x:c>
      <x:c r="D1779" s="1" t="str">
        <x:v>Europe</x:v>
      </x:c>
      <x:c r="E1779" s="1" t="str">
        <x:v>PENDING</x:v>
      </x:c>
      <x:c r="F1779" s="1" t="str">
        <x:v>Advance shipping</x:v>
      </x:c>
      <x:c r="G1779" s="6" t="n">
        <x:v>3</x:v>
      </x:c>
      <x:c r="H1779" s="6" t="n">
        <x:v>4</x:v>
      </x:c>
      <x:c r="I1779" s="6" t="n">
        <x:f>G1779-H1779</x:f>
        <x:v>-1</x:v>
      </x:c>
      <x:c r="J1779" s="6" t="n">
        <x:f>IF(OR(E1779="CANCELED",E1779="SUSPECTED_FRAUD",F1779="Shipping canceled"),0,1)</x:f>
        <x:v>1</x:v>
      </x:c>
      <x:c r="K1779" s="6" t="n">
        <x:f>IF(G1779&gt;H1779,1,0)</x:f>
        <x:v>0</x:v>
      </x:c>
      <x:c r="L1779" s="6" t="n">
        <x:f>J1779*K1779</x:f>
        <x:v>0</x:v>
      </x:c>
    </x:row>
    <x:row r="1780">
      <x:c r="A1780" s="1" t="n">
        <x:v>14293</x:v>
      </x:c>
      <x:c r="B1780" s="5" t="d">
        <x:v>2015-07-28T00:00:00.000Z</x:v>
      </x:c>
      <x:c r="C1780" s="1" t="str">
        <x:v>Standard Class</x:v>
      </x:c>
      <x:c r="D1780" s="1" t="str">
        <x:v>Europe</x:v>
      </x:c>
      <x:c r="E1780" s="1" t="str">
        <x:v>COMPLETE</x:v>
      </x:c>
      <x:c r="F1780" s="1" t="str">
        <x:v>Shipping on time</x:v>
      </x:c>
      <x:c r="G1780" s="6" t="n">
        <x:v>4</x:v>
      </x:c>
      <x:c r="H1780" s="6" t="n">
        <x:v>4</x:v>
      </x:c>
      <x:c r="I1780" s="6" t="n">
        <x:f>G1780-H1780</x:f>
        <x:v>0</x:v>
      </x:c>
      <x:c r="J1780" s="6" t="n">
        <x:f>IF(OR(E1780="CANCELED",E1780="SUSPECTED_FRAUD",F1780="Shipping canceled"),0,1)</x:f>
        <x:v>1</x:v>
      </x:c>
      <x:c r="K1780" s="6" t="n">
        <x:f>IF(G1780&gt;H1780,1,0)</x:f>
        <x:v>0</x:v>
      </x:c>
      <x:c r="L1780" s="6" t="n">
        <x:f>J1780*K1780</x:f>
        <x:v>0</x:v>
      </x:c>
    </x:row>
    <x:row r="1781">
      <x:c r="A1781" s="1" t="n">
        <x:v>14296</x:v>
      </x:c>
      <x:c r="B1781" s="5" t="d">
        <x:v>2015-07-28T00:00:00.000Z</x:v>
      </x:c>
      <x:c r="C1781" s="1" t="str">
        <x:v>Standard Class</x:v>
      </x:c>
      <x:c r="D1781" s="1" t="str">
        <x:v>Europe</x:v>
      </x:c>
      <x:c r="E1781" s="1" t="str">
        <x:v>COMPLETE</x:v>
      </x:c>
      <x:c r="F1781" s="1" t="str">
        <x:v>Advance shipping</x:v>
      </x:c>
      <x:c r="G1781" s="6" t="n">
        <x:v>2</x:v>
      </x:c>
      <x:c r="H1781" s="6" t="n">
        <x:v>4</x:v>
      </x:c>
      <x:c r="I1781" s="6" t="n">
        <x:f>G1781-H1781</x:f>
        <x:v>-2</x:v>
      </x:c>
      <x:c r="J1781" s="6" t="n">
        <x:f>IF(OR(E1781="CANCELED",E1781="SUSPECTED_FRAUD",F1781="Shipping canceled"),0,1)</x:f>
        <x:v>1</x:v>
      </x:c>
      <x:c r="K1781" s="6" t="n">
        <x:f>IF(G1781&gt;H1781,1,0)</x:f>
        <x:v>0</x:v>
      </x:c>
      <x:c r="L1781" s="6" t="n">
        <x:f>J1781*K1781</x:f>
        <x:v>0</x:v>
      </x:c>
    </x:row>
    <x:row r="1782">
      <x:c r="A1782" s="1" t="n">
        <x:v>14303</x:v>
      </x:c>
      <x:c r="B1782" s="5" t="d">
        <x:v>2015-07-28T00:00:00.000Z</x:v>
      </x:c>
      <x:c r="C1782" s="1" t="str">
        <x:v>Standard Class</x:v>
      </x:c>
      <x:c r="D1782" s="1" t="str">
        <x:v>Europe</x:v>
      </x:c>
      <x:c r="E1782" s="1" t="str">
        <x:v>COMPLETE</x:v>
      </x:c>
      <x:c r="F1782" s="1" t="str">
        <x:v>Shipping on time</x:v>
      </x:c>
      <x:c r="G1782" s="6" t="n">
        <x:v>4</x:v>
      </x:c>
      <x:c r="H1782" s="6" t="n">
        <x:v>4</x:v>
      </x:c>
      <x:c r="I1782" s="6" t="n">
        <x:f>G1782-H1782</x:f>
        <x:v>0</x:v>
      </x:c>
      <x:c r="J1782" s="6" t="n">
        <x:f>IF(OR(E1782="CANCELED",E1782="SUSPECTED_FRAUD",F1782="Shipping canceled"),0,1)</x:f>
        <x:v>1</x:v>
      </x:c>
      <x:c r="K1782" s="6" t="n">
        <x:f>IF(G1782&gt;H1782,1,0)</x:f>
        <x:v>0</x:v>
      </x:c>
      <x:c r="L1782" s="6" t="n">
        <x:f>J1782*K1782</x:f>
        <x:v>0</x:v>
      </x:c>
    </x:row>
    <x:row r="1783">
      <x:c r="A1783" s="1" t="n">
        <x:v>14304</x:v>
      </x:c>
      <x:c r="B1783" s="5" t="d">
        <x:v>2015-07-28T00:00:00.000Z</x:v>
      </x:c>
      <x:c r="C1783" s="1" t="str">
        <x:v>Standard Class</x:v>
      </x:c>
      <x:c r="D1783" s="1" t="str">
        <x:v>Europe</x:v>
      </x:c>
      <x:c r="E1783" s="1" t="str">
        <x:v>COMPLETE</x:v>
      </x:c>
      <x:c r="F1783" s="1" t="str">
        <x:v>Late delivery</x:v>
      </x:c>
      <x:c r="G1783" s="6" t="n">
        <x:v>5</x:v>
      </x:c>
      <x:c r="H1783" s="6" t="n">
        <x:v>4</x:v>
      </x:c>
      <x:c r="I1783" s="6" t="n">
        <x:f>G1783-H1783</x:f>
        <x:v>1</x:v>
      </x:c>
      <x:c r="J1783" s="6" t="n">
        <x:f>IF(OR(E1783="CANCELED",E1783="SUSPECTED_FRAUD",F1783="Shipping canceled"),0,1)</x:f>
        <x:v>1</x:v>
      </x:c>
      <x:c r="K1783" s="6" t="n">
        <x:f>IF(G1783&gt;H1783,1,0)</x:f>
        <x:v>1</x:v>
      </x:c>
      <x:c r="L1783" s="6" t="n">
        <x:f>J1783*K1783</x:f>
        <x:v>1</x:v>
      </x:c>
    </x:row>
    <x:row r="1784">
      <x:c r="A1784" s="1" t="n">
        <x:v>14305</x:v>
      </x:c>
      <x:c r="B1784" s="5" t="d">
        <x:v>2015-07-28T00:00:00.000Z</x:v>
      </x:c>
      <x:c r="C1784" s="1" t="str">
        <x:v>Standard Class</x:v>
      </x:c>
      <x:c r="D1784" s="1" t="str">
        <x:v>Europe</x:v>
      </x:c>
      <x:c r="E1784" s="1" t="str">
        <x:v>ON_HOLD</x:v>
      </x:c>
      <x:c r="F1784" s="1" t="str">
        <x:v>Late delivery</x:v>
      </x:c>
      <x:c r="G1784" s="6" t="n">
        <x:v>6</x:v>
      </x:c>
      <x:c r="H1784" s="6" t="n">
        <x:v>4</x:v>
      </x:c>
      <x:c r="I1784" s="6" t="n">
        <x:f>G1784-H1784</x:f>
        <x:v>2</x:v>
      </x:c>
      <x:c r="J1784" s="6" t="n">
        <x:f>IF(OR(E1784="CANCELED",E1784="SUSPECTED_FRAUD",F1784="Shipping canceled"),0,1)</x:f>
        <x:v>1</x:v>
      </x:c>
      <x:c r="K1784" s="6" t="n">
        <x:f>IF(G1784&gt;H1784,1,0)</x:f>
        <x:v>1</x:v>
      </x:c>
      <x:c r="L1784" s="6" t="n">
        <x:f>J1784*K1784</x:f>
        <x:v>1</x:v>
      </x:c>
    </x:row>
    <x:row r="1785">
      <x:c r="A1785" s="1" t="n">
        <x:v>14317</x:v>
      </x:c>
      <x:c r="B1785" s="5" t="d">
        <x:v>2015-07-28T00:00:00.000Z</x:v>
      </x:c>
      <x:c r="C1785" s="1" t="str">
        <x:v>Standard Class</x:v>
      </x:c>
      <x:c r="D1785" s="1" t="str">
        <x:v>Europe</x:v>
      </x:c>
      <x:c r="E1785" s="1" t="str">
        <x:v>SUSPECTED_FRAUD</x:v>
      </x:c>
      <x:c r="F1785" s="1" t="str">
        <x:v>Shipping canceled</x:v>
      </x:c>
      <x:c r="G1785" s="6" t="n">
        <x:v>3</x:v>
      </x:c>
      <x:c r="H1785" s="6" t="n">
        <x:v>4</x:v>
      </x:c>
      <x:c r="I1785" s="6" t="n">
        <x:f>G1785-H1785</x:f>
        <x:v>-1</x:v>
      </x:c>
      <x:c r="J1785" s="6" t="n">
        <x:f>IF(OR(E1785="CANCELED",E1785="SUSPECTED_FRAUD",F1785="Shipping canceled"),0,1)</x:f>
        <x:v>0</x:v>
      </x:c>
      <x:c r="K1785" s="6" t="n">
        <x:f>IF(G1785&gt;H1785,1,0)</x:f>
        <x:v>0</x:v>
      </x:c>
      <x:c r="L1785" s="6" t="n">
        <x:f>J1785*K1785</x:f>
        <x:v>0</x:v>
      </x:c>
    </x:row>
    <x:row r="1786">
      <x:c r="A1786" s="1" t="n">
        <x:v>14320</x:v>
      </x:c>
      <x:c r="B1786" s="5" t="d">
        <x:v>2015-07-29T00:00:00.000Z</x:v>
      </x:c>
      <x:c r="C1786" s="1" t="str">
        <x:v>Standard Class</x:v>
      </x:c>
      <x:c r="D1786" s="1" t="str">
        <x:v>Europe</x:v>
      </x:c>
      <x:c r="E1786" s="1" t="str">
        <x:v>PENDING</x:v>
      </x:c>
      <x:c r="F1786" s="1" t="str">
        <x:v>Late delivery</x:v>
      </x:c>
      <x:c r="G1786" s="6" t="n">
        <x:v>6</x:v>
      </x:c>
      <x:c r="H1786" s="6" t="n">
        <x:v>4</x:v>
      </x:c>
      <x:c r="I1786" s="6" t="n">
        <x:f>G1786-H1786</x:f>
        <x:v>2</x:v>
      </x:c>
      <x:c r="J1786" s="6" t="n">
        <x:f>IF(OR(E1786="CANCELED",E1786="SUSPECTED_FRAUD",F1786="Shipping canceled"),0,1)</x:f>
        <x:v>1</x:v>
      </x:c>
      <x:c r="K1786" s="6" t="n">
        <x:f>IF(G1786&gt;H1786,1,0)</x:f>
        <x:v>1</x:v>
      </x:c>
      <x:c r="L1786" s="6" t="n">
        <x:f>J1786*K1786</x:f>
        <x:v>1</x:v>
      </x:c>
    </x:row>
    <x:row r="1787">
      <x:c r="A1787" s="1" t="n">
        <x:v>14322</x:v>
      </x:c>
      <x:c r="B1787" s="5" t="d">
        <x:v>2015-07-29T00:00:00.000Z</x:v>
      </x:c>
      <x:c r="C1787" s="1" t="str">
        <x:v>Second Class</x:v>
      </x:c>
      <x:c r="D1787" s="1" t="str">
        <x:v>Europe</x:v>
      </x:c>
      <x:c r="E1787" s="1" t="str">
        <x:v>COMPLETE</x:v>
      </x:c>
      <x:c r="F1787" s="1" t="str">
        <x:v>Late delivery</x:v>
      </x:c>
      <x:c r="G1787" s="6" t="n">
        <x:v>3</x:v>
      </x:c>
      <x:c r="H1787" s="6" t="n">
        <x:v>2</x:v>
      </x:c>
      <x:c r="I1787" s="6" t="n">
        <x:f>G1787-H1787</x:f>
        <x:v>1</x:v>
      </x:c>
      <x:c r="J1787" s="6" t="n">
        <x:f>IF(OR(E1787="CANCELED",E1787="SUSPECTED_FRAUD",F1787="Shipping canceled"),0,1)</x:f>
        <x:v>1</x:v>
      </x:c>
      <x:c r="K1787" s="6" t="n">
        <x:f>IF(G1787&gt;H1787,1,0)</x:f>
        <x:v>1</x:v>
      </x:c>
      <x:c r="L1787" s="6" t="n">
        <x:f>J1787*K1787</x:f>
        <x:v>1</x:v>
      </x:c>
    </x:row>
    <x:row r="1788">
      <x:c r="A1788" s="1" t="n">
        <x:v>14350</x:v>
      </x:c>
      <x:c r="B1788" s="5" t="d">
        <x:v>2015-07-29T00:00:00.000Z</x:v>
      </x:c>
      <x:c r="C1788" s="1" t="str">
        <x:v>Standard Class</x:v>
      </x:c>
      <x:c r="D1788" s="1" t="str">
        <x:v>Europe</x:v>
      </x:c>
      <x:c r="E1788" s="1" t="str">
        <x:v>COMPLETE</x:v>
      </x:c>
      <x:c r="F1788" s="1" t="str">
        <x:v>Late delivery</x:v>
      </x:c>
      <x:c r="G1788" s="6" t="n">
        <x:v>6</x:v>
      </x:c>
      <x:c r="H1788" s="6" t="n">
        <x:v>4</x:v>
      </x:c>
      <x:c r="I1788" s="6" t="n">
        <x:f>G1788-H1788</x:f>
        <x:v>2</x:v>
      </x:c>
      <x:c r="J1788" s="6" t="n">
        <x:f>IF(OR(E1788="CANCELED",E1788="SUSPECTED_FRAUD",F1788="Shipping canceled"),0,1)</x:f>
        <x:v>1</x:v>
      </x:c>
      <x:c r="K1788" s="6" t="n">
        <x:f>IF(G1788&gt;H1788,1,0)</x:f>
        <x:v>1</x:v>
      </x:c>
      <x:c r="L1788" s="6" t="n">
        <x:f>J1788*K1788</x:f>
        <x:v>1</x:v>
      </x:c>
    </x:row>
    <x:row r="1789">
      <x:c r="A1789" s="1" t="n">
        <x:v>14358</x:v>
      </x:c>
      <x:c r="B1789" s="5" t="d">
        <x:v>2015-07-29T00:00:00.000Z</x:v>
      </x:c>
      <x:c r="C1789" s="1" t="str">
        <x:v>Standard Class</x:v>
      </x:c>
      <x:c r="D1789" s="1" t="str">
        <x:v>Europe</x:v>
      </x:c>
      <x:c r="E1789" s="1" t="str">
        <x:v>COMPLETE</x:v>
      </x:c>
      <x:c r="F1789" s="1" t="str">
        <x:v>Shipping on time</x:v>
      </x:c>
      <x:c r="G1789" s="6" t="n">
        <x:v>4</x:v>
      </x:c>
      <x:c r="H1789" s="6" t="n">
        <x:v>4</x:v>
      </x:c>
      <x:c r="I1789" s="6" t="n">
        <x:f>G1789-H1789</x:f>
        <x:v>0</x:v>
      </x:c>
      <x:c r="J1789" s="6" t="n">
        <x:f>IF(OR(E1789="CANCELED",E1789="SUSPECTED_FRAUD",F1789="Shipping canceled"),0,1)</x:f>
        <x:v>1</x:v>
      </x:c>
      <x:c r="K1789" s="6" t="n">
        <x:f>IF(G1789&gt;H1789,1,0)</x:f>
        <x:v>0</x:v>
      </x:c>
      <x:c r="L1789" s="6" t="n">
        <x:f>J1789*K1789</x:f>
        <x:v>0</x:v>
      </x:c>
    </x:row>
    <x:row r="1790">
      <x:c r="A1790" s="1" t="n">
        <x:v>14361</x:v>
      </x:c>
      <x:c r="B1790" s="5" t="d">
        <x:v>2015-07-29T00:00:00.000Z</x:v>
      </x:c>
      <x:c r="C1790" s="1" t="str">
        <x:v>Standard Class</x:v>
      </x:c>
      <x:c r="D1790" s="1" t="str">
        <x:v>Europe</x:v>
      </x:c>
      <x:c r="E1790" s="1" t="str">
        <x:v>PROCESSING</x:v>
      </x:c>
      <x:c r="F1790" s="1" t="str">
        <x:v>Advance shipping</x:v>
      </x:c>
      <x:c r="G1790" s="6" t="n">
        <x:v>2</x:v>
      </x:c>
      <x:c r="H1790" s="6" t="n">
        <x:v>4</x:v>
      </x:c>
      <x:c r="I1790" s="6" t="n">
        <x:f>G1790-H1790</x:f>
        <x:v>-2</x:v>
      </x:c>
      <x:c r="J1790" s="6" t="n">
        <x:f>IF(OR(E1790="CANCELED",E1790="SUSPECTED_FRAUD",F1790="Shipping canceled"),0,1)</x:f>
        <x:v>1</x:v>
      </x:c>
      <x:c r="K1790" s="6" t="n">
        <x:f>IF(G1790&gt;H1790,1,0)</x:f>
        <x:v>0</x:v>
      </x:c>
      <x:c r="L1790" s="6" t="n">
        <x:f>J1790*K1790</x:f>
        <x:v>0</x:v>
      </x:c>
    </x:row>
    <x:row r="1791">
      <x:c r="A1791" s="1" t="n">
        <x:v>14363</x:v>
      </x:c>
      <x:c r="B1791" s="5" t="d">
        <x:v>2015-07-29T00:00:00.000Z</x:v>
      </x:c>
      <x:c r="C1791" s="1" t="str">
        <x:v>Standard Class</x:v>
      </x:c>
      <x:c r="D1791" s="1" t="str">
        <x:v>Europe</x:v>
      </x:c>
      <x:c r="E1791" s="1" t="str">
        <x:v>PROCESSING</x:v>
      </x:c>
      <x:c r="F1791" s="1" t="str">
        <x:v>Shipping on time</x:v>
      </x:c>
      <x:c r="G1791" s="6" t="n">
        <x:v>4</x:v>
      </x:c>
      <x:c r="H1791" s="6" t="n">
        <x:v>4</x:v>
      </x:c>
      <x:c r="I1791" s="6" t="n">
        <x:f>G1791-H1791</x:f>
        <x:v>0</x:v>
      </x:c>
      <x:c r="J1791" s="6" t="n">
        <x:f>IF(OR(E1791="CANCELED",E1791="SUSPECTED_FRAUD",F1791="Shipping canceled"),0,1)</x:f>
        <x:v>1</x:v>
      </x:c>
      <x:c r="K1791" s="6" t="n">
        <x:f>IF(G1791&gt;H1791,1,0)</x:f>
        <x:v>0</x:v>
      </x:c>
      <x:c r="L1791" s="6" t="n">
        <x:f>J1791*K1791</x:f>
        <x:v>0</x:v>
      </x:c>
    </x:row>
    <x:row r="1792">
      <x:c r="A1792" s="1" t="n">
        <x:v>14367</x:v>
      </x:c>
      <x:c r="B1792" s="5" t="d">
        <x:v>2015-07-29T00:00:00.000Z</x:v>
      </x:c>
      <x:c r="C1792" s="1" t="str">
        <x:v>First Class</x:v>
      </x:c>
      <x:c r="D1792" s="1" t="str">
        <x:v>Europe</x:v>
      </x:c>
      <x:c r="E1792" s="1" t="str">
        <x:v>PENDING_PAYMENT</x:v>
      </x:c>
      <x:c r="F1792" s="1" t="str">
        <x:v>Late delivery</x:v>
      </x:c>
      <x:c r="G1792" s="6" t="n">
        <x:v>2</x:v>
      </x:c>
      <x:c r="H1792" s="6" t="n">
        <x:v>1</x:v>
      </x:c>
      <x:c r="I1792" s="6" t="n">
        <x:f>G1792-H1792</x:f>
        <x:v>1</x:v>
      </x:c>
      <x:c r="J1792" s="6" t="n">
        <x:f>IF(OR(E1792="CANCELED",E1792="SUSPECTED_FRAUD",F1792="Shipping canceled"),0,1)</x:f>
        <x:v>1</x:v>
      </x:c>
      <x:c r="K1792" s="6" t="n">
        <x:f>IF(G1792&gt;H1792,1,0)</x:f>
        <x:v>1</x:v>
      </x:c>
      <x:c r="L1792" s="6" t="n">
        <x:f>J1792*K1792</x:f>
        <x:v>1</x:v>
      </x:c>
    </x:row>
    <x:row r="1793">
      <x:c r="A1793" s="1" t="n">
        <x:v>14368</x:v>
      </x:c>
      <x:c r="B1793" s="5" t="d">
        <x:v>2015-07-29T00:00:00.000Z</x:v>
      </x:c>
      <x:c r="C1793" s="1" t="str">
        <x:v>First Class</x:v>
      </x:c>
      <x:c r="D1793" s="1" t="str">
        <x:v>Europe</x:v>
      </x:c>
      <x:c r="E1793" s="1" t="str">
        <x:v>PENDING_PAYMENT</x:v>
      </x:c>
      <x:c r="F1793" s="1" t="str">
        <x:v>Late delivery</x:v>
      </x:c>
      <x:c r="G1793" s="6" t="n">
        <x:v>2</x:v>
      </x:c>
      <x:c r="H1793" s="6" t="n">
        <x:v>1</x:v>
      </x:c>
      <x:c r="I1793" s="6" t="n">
        <x:f>G1793-H1793</x:f>
        <x:v>1</x:v>
      </x:c>
      <x:c r="J1793" s="6" t="n">
        <x:f>IF(OR(E1793="CANCELED",E1793="SUSPECTED_FRAUD",F1793="Shipping canceled"),0,1)</x:f>
        <x:v>1</x:v>
      </x:c>
      <x:c r="K1793" s="6" t="n">
        <x:f>IF(G1793&gt;H1793,1,0)</x:f>
        <x:v>1</x:v>
      </x:c>
      <x:c r="L1793" s="6" t="n">
        <x:f>J1793*K1793</x:f>
        <x:v>1</x:v>
      </x:c>
    </x:row>
    <x:row r="1794">
      <x:c r="A1794" s="1" t="n">
        <x:v>14374</x:v>
      </x:c>
      <x:c r="B1794" s="5" t="d">
        <x:v>2015-07-29T00:00:00.000Z</x:v>
      </x:c>
      <x:c r="C1794" s="1" t="str">
        <x:v>Second Class</x:v>
      </x:c>
      <x:c r="D1794" s="1" t="str">
        <x:v>Europe</x:v>
      </x:c>
      <x:c r="E1794" s="1" t="str">
        <x:v>PENDING</x:v>
      </x:c>
      <x:c r="F1794" s="1" t="str">
        <x:v>Late delivery</x:v>
      </x:c>
      <x:c r="G1794" s="6" t="n">
        <x:v>5</x:v>
      </x:c>
      <x:c r="H1794" s="6" t="n">
        <x:v>2</x:v>
      </x:c>
      <x:c r="I1794" s="6" t="n">
        <x:f>G1794-H1794</x:f>
        <x:v>3</x:v>
      </x:c>
      <x:c r="J1794" s="6" t="n">
        <x:f>IF(OR(E1794="CANCELED",E1794="SUSPECTED_FRAUD",F1794="Shipping canceled"),0,1)</x:f>
        <x:v>1</x:v>
      </x:c>
      <x:c r="K1794" s="6" t="n">
        <x:f>IF(G1794&gt;H1794,1,0)</x:f>
        <x:v>1</x:v>
      </x:c>
      <x:c r="L1794" s="6" t="n">
        <x:f>J1794*K1794</x:f>
        <x:v>1</x:v>
      </x:c>
    </x:row>
    <x:row r="1795">
      <x:c r="A1795" s="1" t="n">
        <x:v>14378</x:v>
      </x:c>
      <x:c r="B1795" s="5" t="d">
        <x:v>2015-07-29T00:00:00.000Z</x:v>
      </x:c>
      <x:c r="C1795" s="1" t="str">
        <x:v>First Class</x:v>
      </x:c>
      <x:c r="D1795" s="1" t="str">
        <x:v>Europe</x:v>
      </x:c>
      <x:c r="E1795" s="1" t="str">
        <x:v>PENDING_PAYMENT</x:v>
      </x:c>
      <x:c r="F1795" s="1" t="str">
        <x:v>Late delivery</x:v>
      </x:c>
      <x:c r="G1795" s="6" t="n">
        <x:v>2</x:v>
      </x:c>
      <x:c r="H1795" s="6" t="n">
        <x:v>1</x:v>
      </x:c>
      <x:c r="I1795" s="6" t="n">
        <x:f>G1795-H1795</x:f>
        <x:v>1</x:v>
      </x:c>
      <x:c r="J1795" s="6" t="n">
        <x:f>IF(OR(E1795="CANCELED",E1795="SUSPECTED_FRAUD",F1795="Shipping canceled"),0,1)</x:f>
        <x:v>1</x:v>
      </x:c>
      <x:c r="K1795" s="6" t="n">
        <x:f>IF(G1795&gt;H1795,1,0)</x:f>
        <x:v>1</x:v>
      </x:c>
      <x:c r="L1795" s="6" t="n">
        <x:f>J1795*K1795</x:f>
        <x:v>1</x:v>
      </x:c>
    </x:row>
    <x:row r="1796">
      <x:c r="A1796" s="1" t="n">
        <x:v>14384</x:v>
      </x:c>
      <x:c r="B1796" s="5" t="d">
        <x:v>2015-07-29T00:00:00.000Z</x:v>
      </x:c>
      <x:c r="C1796" s="1" t="str">
        <x:v>Standard Class</x:v>
      </x:c>
      <x:c r="D1796" s="1" t="str">
        <x:v>Europe</x:v>
      </x:c>
      <x:c r="E1796" s="1" t="str">
        <x:v>COMPLETE</x:v>
      </x:c>
      <x:c r="F1796" s="1" t="str">
        <x:v>Late delivery</x:v>
      </x:c>
      <x:c r="G1796" s="6" t="n">
        <x:v>5</x:v>
      </x:c>
      <x:c r="H1796" s="6" t="n">
        <x:v>4</x:v>
      </x:c>
      <x:c r="I1796" s="6" t="n">
        <x:f>G1796-H1796</x:f>
        <x:v>1</x:v>
      </x:c>
      <x:c r="J1796" s="6" t="n">
        <x:f>IF(OR(E1796="CANCELED",E1796="SUSPECTED_FRAUD",F1796="Shipping canceled"),0,1)</x:f>
        <x:v>1</x:v>
      </x:c>
      <x:c r="K1796" s="6" t="n">
        <x:f>IF(G1796&gt;H1796,1,0)</x:f>
        <x:v>1</x:v>
      </x:c>
      <x:c r="L1796" s="6" t="n">
        <x:f>J1796*K1796</x:f>
        <x:v>1</x:v>
      </x:c>
    </x:row>
    <x:row r="1797">
      <x:c r="A1797" s="1" t="n">
        <x:v>14390</x:v>
      </x:c>
      <x:c r="B1797" s="5" t="d">
        <x:v>2015-07-30T00:00:00.000Z</x:v>
      </x:c>
      <x:c r="C1797" s="1" t="str">
        <x:v>Same Day</x:v>
      </x:c>
      <x:c r="D1797" s="1" t="str">
        <x:v>Europe</x:v>
      </x:c>
      <x:c r="E1797" s="1" t="str">
        <x:v>PENDING</x:v>
      </x:c>
      <x:c r="F1797" s="1" t="str">
        <x:v>Shipping on time</x:v>
      </x:c>
      <x:c r="G1797" s="6" t="n">
        <x:v>0</x:v>
      </x:c>
      <x:c r="H1797" s="6" t="n">
        <x:v>0</x:v>
      </x:c>
      <x:c r="I1797" s="6" t="n">
        <x:f>G1797-H1797</x:f>
        <x:v>0</x:v>
      </x:c>
      <x:c r="J1797" s="6" t="n">
        <x:f>IF(OR(E1797="CANCELED",E1797="SUSPECTED_FRAUD",F1797="Shipping canceled"),0,1)</x:f>
        <x:v>1</x:v>
      </x:c>
      <x:c r="K1797" s="6" t="n">
        <x:f>IF(G1797&gt;H1797,1,0)</x:f>
        <x:v>0</x:v>
      </x:c>
      <x:c r="L1797" s="6" t="n">
        <x:f>J1797*K1797</x:f>
        <x:v>0</x:v>
      </x:c>
    </x:row>
    <x:row r="1798">
      <x:c r="A1798" s="1" t="n">
        <x:v>14408</x:v>
      </x:c>
      <x:c r="B1798" s="5" t="d">
        <x:v>2015-07-30T00:00:00.000Z</x:v>
      </x:c>
      <x:c r="C1798" s="1" t="str">
        <x:v>Second Class</x:v>
      </x:c>
      <x:c r="D1798" s="1" t="str">
        <x:v>Europe</x:v>
      </x:c>
      <x:c r="E1798" s="1" t="str">
        <x:v>CLOSED</x:v>
      </x:c>
      <x:c r="F1798" s="1" t="str">
        <x:v>Late delivery</x:v>
      </x:c>
      <x:c r="G1798" s="6" t="n">
        <x:v>4</x:v>
      </x:c>
      <x:c r="H1798" s="6" t="n">
        <x:v>2</x:v>
      </x:c>
      <x:c r="I1798" s="6" t="n">
        <x:f>G1798-H1798</x:f>
        <x:v>2</x:v>
      </x:c>
      <x:c r="J1798" s="6" t="n">
        <x:f>IF(OR(E1798="CANCELED",E1798="SUSPECTED_FRAUD",F1798="Shipping canceled"),0,1)</x:f>
        <x:v>1</x:v>
      </x:c>
      <x:c r="K1798" s="6" t="n">
        <x:f>IF(G1798&gt;H1798,1,0)</x:f>
        <x:v>1</x:v>
      </x:c>
      <x:c r="L1798" s="6" t="n">
        <x:f>J1798*K1798</x:f>
        <x:v>1</x:v>
      </x:c>
    </x:row>
    <x:row r="1799">
      <x:c r="A1799" s="1" t="n">
        <x:v>14420</x:v>
      </x:c>
      <x:c r="B1799" s="5" t="d">
        <x:v>2015-07-30T00:00:00.000Z</x:v>
      </x:c>
      <x:c r="C1799" s="1" t="str">
        <x:v>Standard Class</x:v>
      </x:c>
      <x:c r="D1799" s="1" t="str">
        <x:v>Europe</x:v>
      </x:c>
      <x:c r="E1799" s="1" t="str">
        <x:v>ON_HOLD</x:v>
      </x:c>
      <x:c r="F1799" s="1" t="str">
        <x:v>Late delivery</x:v>
      </x:c>
      <x:c r="G1799" s="6" t="n">
        <x:v>6</x:v>
      </x:c>
      <x:c r="H1799" s="6" t="n">
        <x:v>4</x:v>
      </x:c>
      <x:c r="I1799" s="6" t="n">
        <x:f>G1799-H1799</x:f>
        <x:v>2</x:v>
      </x:c>
      <x:c r="J1799" s="6" t="n">
        <x:f>IF(OR(E1799="CANCELED",E1799="SUSPECTED_FRAUD",F1799="Shipping canceled"),0,1)</x:f>
        <x:v>1</x:v>
      </x:c>
      <x:c r="K1799" s="6" t="n">
        <x:f>IF(G1799&gt;H1799,1,0)</x:f>
        <x:v>1</x:v>
      </x:c>
      <x:c r="L1799" s="6" t="n">
        <x:f>J1799*K1799</x:f>
        <x:v>1</x:v>
      </x:c>
    </x:row>
    <x:row r="1800">
      <x:c r="A1800" s="1" t="n">
        <x:v>14422</x:v>
      </x:c>
      <x:c r="B1800" s="5" t="d">
        <x:v>2015-07-30T00:00:00.000Z</x:v>
      </x:c>
      <x:c r="C1800" s="1" t="str">
        <x:v>Standard Class</x:v>
      </x:c>
      <x:c r="D1800" s="1" t="str">
        <x:v>Europe</x:v>
      </x:c>
      <x:c r="E1800" s="1" t="str">
        <x:v>COMPLETE</x:v>
      </x:c>
      <x:c r="F1800" s="1" t="str">
        <x:v>Advance shipping</x:v>
      </x:c>
      <x:c r="G1800" s="6" t="n">
        <x:v>3</x:v>
      </x:c>
      <x:c r="H1800" s="6" t="n">
        <x:v>4</x:v>
      </x:c>
      <x:c r="I1800" s="6" t="n">
        <x:f>G1800-H1800</x:f>
        <x:v>-1</x:v>
      </x:c>
      <x:c r="J1800" s="6" t="n">
        <x:f>IF(OR(E1800="CANCELED",E1800="SUSPECTED_FRAUD",F1800="Shipping canceled"),0,1)</x:f>
        <x:v>1</x:v>
      </x:c>
      <x:c r="K1800" s="6" t="n">
        <x:f>IF(G1800&gt;H1800,1,0)</x:f>
        <x:v>0</x:v>
      </x:c>
      <x:c r="L1800" s="6" t="n">
        <x:f>J1800*K1800</x:f>
        <x:v>0</x:v>
      </x:c>
    </x:row>
    <x:row r="1801">
      <x:c r="A1801" s="1" t="n">
        <x:v>14435</x:v>
      </x:c>
      <x:c r="B1801" s="5" t="d">
        <x:v>2015-07-30T00:00:00.000Z</x:v>
      </x:c>
      <x:c r="C1801" s="1" t="str">
        <x:v>Standard Class</x:v>
      </x:c>
      <x:c r="D1801" s="1" t="str">
        <x:v>Europe</x:v>
      </x:c>
      <x:c r="E1801" s="1" t="str">
        <x:v>COMPLETE</x:v>
      </x:c>
      <x:c r="F1801" s="1" t="str">
        <x:v>Late delivery</x:v>
      </x:c>
      <x:c r="G1801" s="6" t="n">
        <x:v>6</x:v>
      </x:c>
      <x:c r="H1801" s="6" t="n">
        <x:v>4</x:v>
      </x:c>
      <x:c r="I1801" s="6" t="n">
        <x:f>G1801-H1801</x:f>
        <x:v>2</x:v>
      </x:c>
      <x:c r="J1801" s="6" t="n">
        <x:f>IF(OR(E1801="CANCELED",E1801="SUSPECTED_FRAUD",F1801="Shipping canceled"),0,1)</x:f>
        <x:v>1</x:v>
      </x:c>
      <x:c r="K1801" s="6" t="n">
        <x:f>IF(G1801&gt;H1801,1,0)</x:f>
        <x:v>1</x:v>
      </x:c>
      <x:c r="L1801" s="6" t="n">
        <x:f>J1801*K1801</x:f>
        <x:v>1</x:v>
      </x:c>
    </x:row>
    <x:row r="1802">
      <x:c r="A1802" s="1" t="n">
        <x:v>14437</x:v>
      </x:c>
      <x:c r="B1802" s="5" t="d">
        <x:v>2015-07-30T00:00:00.000Z</x:v>
      </x:c>
      <x:c r="C1802" s="1" t="str">
        <x:v>First Class</x:v>
      </x:c>
      <x:c r="D1802" s="1" t="str">
        <x:v>Europe</x:v>
      </x:c>
      <x:c r="E1802" s="1" t="str">
        <x:v>PROCESSING</x:v>
      </x:c>
      <x:c r="F1802" s="1" t="str">
        <x:v>Late delivery</x:v>
      </x:c>
      <x:c r="G1802" s="6" t="n">
        <x:v>2</x:v>
      </x:c>
      <x:c r="H1802" s="6" t="n">
        <x:v>1</x:v>
      </x:c>
      <x:c r="I1802" s="6" t="n">
        <x:f>G1802-H1802</x:f>
        <x:v>1</x:v>
      </x:c>
      <x:c r="J1802" s="6" t="n">
        <x:f>IF(OR(E1802="CANCELED",E1802="SUSPECTED_FRAUD",F1802="Shipping canceled"),0,1)</x:f>
        <x:v>1</x:v>
      </x:c>
      <x:c r="K1802" s="6" t="n">
        <x:f>IF(G1802&gt;H1802,1,0)</x:f>
        <x:v>1</x:v>
      </x:c>
      <x:c r="L1802" s="6" t="n">
        <x:f>J1802*K1802</x:f>
        <x:v>1</x:v>
      </x:c>
    </x:row>
    <x:row r="1803">
      <x:c r="A1803" s="1" t="n">
        <x:v>14454</x:v>
      </x:c>
      <x:c r="B1803" s="5" t="d">
        <x:v>2015-07-30T00:00:00.000Z</x:v>
      </x:c>
      <x:c r="C1803" s="1" t="str">
        <x:v>Second Class</x:v>
      </x:c>
      <x:c r="D1803" s="1" t="str">
        <x:v>Europe</x:v>
      </x:c>
      <x:c r="E1803" s="1" t="str">
        <x:v>PENDING_PAYMENT</x:v>
      </x:c>
      <x:c r="F1803" s="1" t="str">
        <x:v>Late delivery</x:v>
      </x:c>
      <x:c r="G1803" s="6" t="n">
        <x:v>5</x:v>
      </x:c>
      <x:c r="H1803" s="6" t="n">
        <x:v>2</x:v>
      </x:c>
      <x:c r="I1803" s="6" t="n">
        <x:f>G1803-H1803</x:f>
        <x:v>3</x:v>
      </x:c>
      <x:c r="J1803" s="6" t="n">
        <x:f>IF(OR(E1803="CANCELED",E1803="SUSPECTED_FRAUD",F1803="Shipping canceled"),0,1)</x:f>
        <x:v>1</x:v>
      </x:c>
      <x:c r="K1803" s="6" t="n">
        <x:f>IF(G1803&gt;H1803,1,0)</x:f>
        <x:v>1</x:v>
      </x:c>
      <x:c r="L1803" s="6" t="n">
        <x:f>J1803*K1803</x:f>
        <x:v>1</x:v>
      </x:c>
    </x:row>
    <x:row r="1804">
      <x:c r="A1804" s="1" t="n">
        <x:v>14457</x:v>
      </x:c>
      <x:c r="B1804" s="5" t="d">
        <x:v>2015-07-31T00:00:00.000Z</x:v>
      </x:c>
      <x:c r="C1804" s="1" t="str">
        <x:v>Standard Class</x:v>
      </x:c>
      <x:c r="D1804" s="1" t="str">
        <x:v>Europe</x:v>
      </x:c>
      <x:c r="E1804" s="1" t="str">
        <x:v>ON_HOLD</x:v>
      </x:c>
      <x:c r="F1804" s="1" t="str">
        <x:v>Advance shipping</x:v>
      </x:c>
      <x:c r="G1804" s="6" t="n">
        <x:v>3</x:v>
      </x:c>
      <x:c r="H1804" s="6" t="n">
        <x:v>4</x:v>
      </x:c>
      <x:c r="I1804" s="6" t="n">
        <x:f>G1804-H1804</x:f>
        <x:v>-1</x:v>
      </x:c>
      <x:c r="J1804" s="6" t="n">
        <x:f>IF(OR(E1804="CANCELED",E1804="SUSPECTED_FRAUD",F1804="Shipping canceled"),0,1)</x:f>
        <x:v>1</x:v>
      </x:c>
      <x:c r="K1804" s="6" t="n">
        <x:f>IF(G1804&gt;H1804,1,0)</x:f>
        <x:v>0</x:v>
      </x:c>
      <x:c r="L1804" s="6" t="n">
        <x:f>J1804*K1804</x:f>
        <x:v>0</x:v>
      </x:c>
    </x:row>
    <x:row r="1805">
      <x:c r="A1805" s="1" t="n">
        <x:v>14464</x:v>
      </x:c>
      <x:c r="B1805" s="5" t="d">
        <x:v>2015-07-31T00:00:00.000Z</x:v>
      </x:c>
      <x:c r="C1805" s="1" t="str">
        <x:v>First Class</x:v>
      </x:c>
      <x:c r="D1805" s="1" t="str">
        <x:v>Europe</x:v>
      </x:c>
      <x:c r="E1805" s="1" t="str">
        <x:v>PENDING_PAYMENT</x:v>
      </x:c>
      <x:c r="F1805" s="1" t="str">
        <x:v>Late delivery</x:v>
      </x:c>
      <x:c r="G1805" s="6" t="n">
        <x:v>2</x:v>
      </x:c>
      <x:c r="H1805" s="6" t="n">
        <x:v>1</x:v>
      </x:c>
      <x:c r="I1805" s="6" t="n">
        <x:f>G1805-H1805</x:f>
        <x:v>1</x:v>
      </x:c>
      <x:c r="J1805" s="6" t="n">
        <x:f>IF(OR(E1805="CANCELED",E1805="SUSPECTED_FRAUD",F1805="Shipping canceled"),0,1)</x:f>
        <x:v>1</x:v>
      </x:c>
      <x:c r="K1805" s="6" t="n">
        <x:f>IF(G1805&gt;H1805,1,0)</x:f>
        <x:v>1</x:v>
      </x:c>
      <x:c r="L1805" s="6" t="n">
        <x:f>J1805*K1805</x:f>
        <x:v>1</x:v>
      </x:c>
    </x:row>
    <x:row r="1806">
      <x:c r="A1806" s="1" t="n">
        <x:v>14469</x:v>
      </x:c>
      <x:c r="B1806" s="5" t="d">
        <x:v>2015-07-31T00:00:00.000Z</x:v>
      </x:c>
      <x:c r="C1806" s="1" t="str">
        <x:v>Standard Class</x:v>
      </x:c>
      <x:c r="D1806" s="1" t="str">
        <x:v>Europe</x:v>
      </x:c>
      <x:c r="E1806" s="1" t="str">
        <x:v>COMPLETE</x:v>
      </x:c>
      <x:c r="F1806" s="1" t="str">
        <x:v>Late delivery</x:v>
      </x:c>
      <x:c r="G1806" s="6" t="n">
        <x:v>5</x:v>
      </x:c>
      <x:c r="H1806" s="6" t="n">
        <x:v>4</x:v>
      </x:c>
      <x:c r="I1806" s="6" t="n">
        <x:f>G1806-H1806</x:f>
        <x:v>1</x:v>
      </x:c>
      <x:c r="J1806" s="6" t="n">
        <x:f>IF(OR(E1806="CANCELED",E1806="SUSPECTED_FRAUD",F1806="Shipping canceled"),0,1)</x:f>
        <x:v>1</x:v>
      </x:c>
      <x:c r="K1806" s="6" t="n">
        <x:f>IF(G1806&gt;H1806,1,0)</x:f>
        <x:v>1</x:v>
      </x:c>
      <x:c r="L1806" s="6" t="n">
        <x:f>J1806*K1806</x:f>
        <x:v>1</x:v>
      </x:c>
    </x:row>
    <x:row r="1807">
      <x:c r="A1807" s="1" t="n">
        <x:v>14471</x:v>
      </x:c>
      <x:c r="B1807" s="5" t="d">
        <x:v>2015-07-31T00:00:00.000Z</x:v>
      </x:c>
      <x:c r="C1807" s="1" t="str">
        <x:v>Standard Class</x:v>
      </x:c>
      <x:c r="D1807" s="1" t="str">
        <x:v>Europe</x:v>
      </x:c>
      <x:c r="E1807" s="1" t="str">
        <x:v>PROCESSING</x:v>
      </x:c>
      <x:c r="F1807" s="1" t="str">
        <x:v>Advance shipping</x:v>
      </x:c>
      <x:c r="G1807" s="6" t="n">
        <x:v>2</x:v>
      </x:c>
      <x:c r="H1807" s="6" t="n">
        <x:v>4</x:v>
      </x:c>
      <x:c r="I1807" s="6" t="n">
        <x:f>G1807-H1807</x:f>
        <x:v>-2</x:v>
      </x:c>
      <x:c r="J1807" s="6" t="n">
        <x:f>IF(OR(E1807="CANCELED",E1807="SUSPECTED_FRAUD",F1807="Shipping canceled"),0,1)</x:f>
        <x:v>1</x:v>
      </x:c>
      <x:c r="K1807" s="6" t="n">
        <x:f>IF(G1807&gt;H1807,1,0)</x:f>
        <x:v>0</x:v>
      </x:c>
      <x:c r="L1807" s="6" t="n">
        <x:f>J1807*K1807</x:f>
        <x:v>0</x:v>
      </x:c>
    </x:row>
    <x:row r="1808">
      <x:c r="A1808" s="1" t="n">
        <x:v>14472</x:v>
      </x:c>
      <x:c r="B1808" s="5" t="d">
        <x:v>2015-07-31T00:00:00.000Z</x:v>
      </x:c>
      <x:c r="C1808" s="1" t="str">
        <x:v>Standard Class</x:v>
      </x:c>
      <x:c r="D1808" s="1" t="str">
        <x:v>Europe</x:v>
      </x:c>
      <x:c r="E1808" s="1" t="str">
        <x:v>PENDING</x:v>
      </x:c>
      <x:c r="F1808" s="1" t="str">
        <x:v>Advance shipping</x:v>
      </x:c>
      <x:c r="G1808" s="6" t="n">
        <x:v>3</x:v>
      </x:c>
      <x:c r="H1808" s="6" t="n">
        <x:v>4</x:v>
      </x:c>
      <x:c r="I1808" s="6" t="n">
        <x:f>G1808-H1808</x:f>
        <x:v>-1</x:v>
      </x:c>
      <x:c r="J1808" s="6" t="n">
        <x:f>IF(OR(E1808="CANCELED",E1808="SUSPECTED_FRAUD",F1808="Shipping canceled"),0,1)</x:f>
        <x:v>1</x:v>
      </x:c>
      <x:c r="K1808" s="6" t="n">
        <x:f>IF(G1808&gt;H1808,1,0)</x:f>
        <x:v>0</x:v>
      </x:c>
      <x:c r="L1808" s="6" t="n">
        <x:f>J1808*K1808</x:f>
        <x:v>0</x:v>
      </x:c>
    </x:row>
    <x:row r="1809">
      <x:c r="A1809" s="1" t="n">
        <x:v>14474</x:v>
      </x:c>
      <x:c r="B1809" s="5" t="d">
        <x:v>2015-07-31T00:00:00.000Z</x:v>
      </x:c>
      <x:c r="C1809" s="1" t="str">
        <x:v>Standard Class</x:v>
      </x:c>
      <x:c r="D1809" s="1" t="str">
        <x:v>Europe</x:v>
      </x:c>
      <x:c r="E1809" s="1" t="str">
        <x:v>PROCESSING</x:v>
      </x:c>
      <x:c r="F1809" s="1" t="str">
        <x:v>Late delivery</x:v>
      </x:c>
      <x:c r="G1809" s="6" t="n">
        <x:v>5</x:v>
      </x:c>
      <x:c r="H1809" s="6" t="n">
        <x:v>4</x:v>
      </x:c>
      <x:c r="I1809" s="6" t="n">
        <x:f>G1809-H1809</x:f>
        <x:v>1</x:v>
      </x:c>
      <x:c r="J1809" s="6" t="n">
        <x:f>IF(OR(E1809="CANCELED",E1809="SUSPECTED_FRAUD",F1809="Shipping canceled"),0,1)</x:f>
        <x:v>1</x:v>
      </x:c>
      <x:c r="K1809" s="6" t="n">
        <x:f>IF(G1809&gt;H1809,1,0)</x:f>
        <x:v>1</x:v>
      </x:c>
      <x:c r="L1809" s="6" t="n">
        <x:f>J1809*K1809</x:f>
        <x:v>1</x:v>
      </x:c>
    </x:row>
    <x:row r="1810">
      <x:c r="A1810" s="1" t="n">
        <x:v>14475</x:v>
      </x:c>
      <x:c r="B1810" s="5" t="d">
        <x:v>2015-07-31T00:00:00.000Z</x:v>
      </x:c>
      <x:c r="C1810" s="1" t="str">
        <x:v>Standard Class</x:v>
      </x:c>
      <x:c r="D1810" s="1" t="str">
        <x:v>Europe</x:v>
      </x:c>
      <x:c r="E1810" s="1" t="str">
        <x:v>ON_HOLD</x:v>
      </x:c>
      <x:c r="F1810" s="1" t="str">
        <x:v>Late delivery</x:v>
      </x:c>
      <x:c r="G1810" s="6" t="n">
        <x:v>6</x:v>
      </x:c>
      <x:c r="H1810" s="6" t="n">
        <x:v>4</x:v>
      </x:c>
      <x:c r="I1810" s="6" t="n">
        <x:f>G1810-H1810</x:f>
        <x:v>2</x:v>
      </x:c>
      <x:c r="J1810" s="6" t="n">
        <x:f>IF(OR(E1810="CANCELED",E1810="SUSPECTED_FRAUD",F1810="Shipping canceled"),0,1)</x:f>
        <x:v>1</x:v>
      </x:c>
      <x:c r="K1810" s="6" t="n">
        <x:f>IF(G1810&gt;H1810,1,0)</x:f>
        <x:v>1</x:v>
      </x:c>
      <x:c r="L1810" s="6" t="n">
        <x:f>J1810*K1810</x:f>
        <x:v>1</x:v>
      </x:c>
    </x:row>
    <x:row r="1811">
      <x:c r="A1811" s="1" t="n">
        <x:v>14482</x:v>
      </x:c>
      <x:c r="B1811" s="5" t="d">
        <x:v>2015-07-31T00:00:00.000Z</x:v>
      </x:c>
      <x:c r="C1811" s="1" t="str">
        <x:v>Standard Class</x:v>
      </x:c>
      <x:c r="D1811" s="1" t="str">
        <x:v>Europe</x:v>
      </x:c>
      <x:c r="E1811" s="1" t="str">
        <x:v>PROCESSING</x:v>
      </x:c>
      <x:c r="F1811" s="1" t="str">
        <x:v>Advance shipping</x:v>
      </x:c>
      <x:c r="G1811" s="6" t="n">
        <x:v>3</x:v>
      </x:c>
      <x:c r="H1811" s="6" t="n">
        <x:v>4</x:v>
      </x:c>
      <x:c r="I1811" s="6" t="n">
        <x:f>G1811-H1811</x:f>
        <x:v>-1</x:v>
      </x:c>
      <x:c r="J1811" s="6" t="n">
        <x:f>IF(OR(E1811="CANCELED",E1811="SUSPECTED_FRAUD",F1811="Shipping canceled"),0,1)</x:f>
        <x:v>1</x:v>
      </x:c>
      <x:c r="K1811" s="6" t="n">
        <x:f>IF(G1811&gt;H1811,1,0)</x:f>
        <x:v>0</x:v>
      </x:c>
      <x:c r="L1811" s="6" t="n">
        <x:f>J1811*K1811</x:f>
        <x:v>0</x:v>
      </x:c>
    </x:row>
    <x:row r="1812">
      <x:c r="A1812" s="1" t="n">
        <x:v>14492</x:v>
      </x:c>
      <x:c r="B1812" s="5" t="d">
        <x:v>2015-07-31T00:00:00.000Z</x:v>
      </x:c>
      <x:c r="C1812" s="1" t="str">
        <x:v>Standard Class</x:v>
      </x:c>
      <x:c r="D1812" s="1" t="str">
        <x:v>Europe</x:v>
      </x:c>
      <x:c r="E1812" s="1" t="str">
        <x:v>COMPLETE</x:v>
      </x:c>
      <x:c r="F1812" s="1" t="str">
        <x:v>Advance shipping</x:v>
      </x:c>
      <x:c r="G1812" s="6" t="n">
        <x:v>3</x:v>
      </x:c>
      <x:c r="H1812" s="6" t="n">
        <x:v>4</x:v>
      </x:c>
      <x:c r="I1812" s="6" t="n">
        <x:f>G1812-H1812</x:f>
        <x:v>-1</x:v>
      </x:c>
      <x:c r="J1812" s="6" t="n">
        <x:f>IF(OR(E1812="CANCELED",E1812="SUSPECTED_FRAUD",F1812="Shipping canceled"),0,1)</x:f>
        <x:v>1</x:v>
      </x:c>
      <x:c r="K1812" s="6" t="n">
        <x:f>IF(G1812&gt;H1812,1,0)</x:f>
        <x:v>0</x:v>
      </x:c>
      <x:c r="L1812" s="6" t="n">
        <x:f>J1812*K1812</x:f>
        <x:v>0</x:v>
      </x:c>
    </x:row>
    <x:row r="1813">
      <x:c r="A1813" s="1" t="n">
        <x:v>14502</x:v>
      </x:c>
      <x:c r="B1813" s="5" t="d">
        <x:v>2015-07-31T00:00:00.000Z</x:v>
      </x:c>
      <x:c r="C1813" s="1" t="str">
        <x:v>Standard Class</x:v>
      </x:c>
      <x:c r="D1813" s="1" t="str">
        <x:v>Europe</x:v>
      </x:c>
      <x:c r="E1813" s="1" t="str">
        <x:v>COMPLETE</x:v>
      </x:c>
      <x:c r="F1813" s="1" t="str">
        <x:v>Advance shipping</x:v>
      </x:c>
      <x:c r="G1813" s="6" t="n">
        <x:v>3</x:v>
      </x:c>
      <x:c r="H1813" s="6" t="n">
        <x:v>4</x:v>
      </x:c>
      <x:c r="I1813" s="6" t="n">
        <x:f>G1813-H1813</x:f>
        <x:v>-1</x:v>
      </x:c>
      <x:c r="J1813" s="6" t="n">
        <x:f>IF(OR(E1813="CANCELED",E1813="SUSPECTED_FRAUD",F1813="Shipping canceled"),0,1)</x:f>
        <x:v>1</x:v>
      </x:c>
      <x:c r="K1813" s="6" t="n">
        <x:f>IF(G1813&gt;H1813,1,0)</x:f>
        <x:v>0</x:v>
      </x:c>
      <x:c r="L1813" s="6" t="n">
        <x:f>J1813*K1813</x:f>
        <x:v>0</x:v>
      </x:c>
    </x:row>
    <x:row r="1814">
      <x:c r="A1814" s="1" t="n">
        <x:v>14519</x:v>
      </x:c>
      <x:c r="B1814" s="5" t="d">
        <x:v>2015-07-31T00:00:00.000Z</x:v>
      </x:c>
      <x:c r="C1814" s="1" t="str">
        <x:v>Standard Class</x:v>
      </x:c>
      <x:c r="D1814" s="1" t="str">
        <x:v>Europe</x:v>
      </x:c>
      <x:c r="E1814" s="1" t="str">
        <x:v>CLOSED</x:v>
      </x:c>
      <x:c r="F1814" s="1" t="str">
        <x:v>Late delivery</x:v>
      </x:c>
      <x:c r="G1814" s="6" t="n">
        <x:v>5</x:v>
      </x:c>
      <x:c r="H1814" s="6" t="n">
        <x:v>4</x:v>
      </x:c>
      <x:c r="I1814" s="6" t="n">
        <x:f>G1814-H1814</x:f>
        <x:v>1</x:v>
      </x:c>
      <x:c r="J1814" s="6" t="n">
        <x:f>IF(OR(E1814="CANCELED",E1814="SUSPECTED_FRAUD",F1814="Shipping canceled"),0,1)</x:f>
        <x:v>1</x:v>
      </x:c>
      <x:c r="K1814" s="6" t="n">
        <x:f>IF(G1814&gt;H1814,1,0)</x:f>
        <x:v>1</x:v>
      </x:c>
      <x:c r="L1814" s="6" t="n">
        <x:f>J1814*K1814</x:f>
        <x:v>1</x:v>
      </x:c>
    </x:row>
    <x:row r="1815">
      <x:c r="A1815" s="1" t="n">
        <x:v>14522</x:v>
      </x:c>
      <x:c r="B1815" s="5" t="d">
        <x:v>2015-07-31T00:00:00.000Z</x:v>
      </x:c>
      <x:c r="C1815" s="1" t="str">
        <x:v>Standard Class</x:v>
      </x:c>
      <x:c r="D1815" s="1" t="str">
        <x:v>Europe</x:v>
      </x:c>
      <x:c r="E1815" s="1" t="str">
        <x:v>PROCESSING</x:v>
      </x:c>
      <x:c r="F1815" s="1" t="str">
        <x:v>Advance shipping</x:v>
      </x:c>
      <x:c r="G1815" s="6" t="n">
        <x:v>3</x:v>
      </x:c>
      <x:c r="H1815" s="6" t="n">
        <x:v>4</x:v>
      </x:c>
      <x:c r="I1815" s="6" t="n">
        <x:f>G1815-H1815</x:f>
        <x:v>-1</x:v>
      </x:c>
      <x:c r="J1815" s="6" t="n">
        <x:f>IF(OR(E1815="CANCELED",E1815="SUSPECTED_FRAUD",F1815="Shipping canceled"),0,1)</x:f>
        <x:v>1</x:v>
      </x:c>
      <x:c r="K1815" s="6" t="n">
        <x:f>IF(G1815&gt;H1815,1,0)</x:f>
        <x:v>0</x:v>
      </x:c>
      <x:c r="L1815" s="6" t="n">
        <x:f>J1815*K1815</x:f>
        <x:v>0</x:v>
      </x:c>
    </x:row>
    <x:row r="1816">
      <x:c r="A1816" s="1" t="n">
        <x:v>14526</x:v>
      </x:c>
      <x:c r="B1816" s="5" t="d">
        <x:v>2015-08-01T00:00:00.000Z</x:v>
      </x:c>
      <x:c r="C1816" s="1" t="str">
        <x:v>Standard Class</x:v>
      </x:c>
      <x:c r="D1816" s="1" t="str">
        <x:v>Europe</x:v>
      </x:c>
      <x:c r="E1816" s="1" t="str">
        <x:v>COMPLETE</x:v>
      </x:c>
      <x:c r="F1816" s="1" t="str">
        <x:v>Advance shipping</x:v>
      </x:c>
      <x:c r="G1816" s="6" t="n">
        <x:v>2</x:v>
      </x:c>
      <x:c r="H1816" s="6" t="n">
        <x:v>4</x:v>
      </x:c>
      <x:c r="I1816" s="6" t="n">
        <x:f>G1816-H1816</x:f>
        <x:v>-2</x:v>
      </x:c>
      <x:c r="J1816" s="6" t="n">
        <x:f>IF(OR(E1816="CANCELED",E1816="SUSPECTED_FRAUD",F1816="Shipping canceled"),0,1)</x:f>
        <x:v>1</x:v>
      </x:c>
      <x:c r="K1816" s="6" t="n">
        <x:f>IF(G1816&gt;H1816,1,0)</x:f>
        <x:v>0</x:v>
      </x:c>
      <x:c r="L1816" s="6" t="n">
        <x:f>J1816*K1816</x:f>
        <x:v>0</x:v>
      </x:c>
    </x:row>
    <x:row r="1817">
      <x:c r="A1817" s="1" t="n">
        <x:v>14530</x:v>
      </x:c>
      <x:c r="B1817" s="5" t="d">
        <x:v>2015-08-01T00:00:00.000Z</x:v>
      </x:c>
      <x:c r="C1817" s="1" t="str">
        <x:v>Standard Class</x:v>
      </x:c>
      <x:c r="D1817" s="1" t="str">
        <x:v>Europe</x:v>
      </x:c>
      <x:c r="E1817" s="1" t="str">
        <x:v>COMPLETE</x:v>
      </x:c>
      <x:c r="F1817" s="1" t="str">
        <x:v>Late delivery</x:v>
      </x:c>
      <x:c r="G1817" s="6" t="n">
        <x:v>6</x:v>
      </x:c>
      <x:c r="H1817" s="6" t="n">
        <x:v>4</x:v>
      </x:c>
      <x:c r="I1817" s="6" t="n">
        <x:f>G1817-H1817</x:f>
        <x:v>2</x:v>
      </x:c>
      <x:c r="J1817" s="6" t="n">
        <x:f>IF(OR(E1817="CANCELED",E1817="SUSPECTED_FRAUD",F1817="Shipping canceled"),0,1)</x:f>
        <x:v>1</x:v>
      </x:c>
      <x:c r="K1817" s="6" t="n">
        <x:f>IF(G1817&gt;H1817,1,0)</x:f>
        <x:v>1</x:v>
      </x:c>
      <x:c r="L1817" s="6" t="n">
        <x:f>J1817*K1817</x:f>
        <x:v>1</x:v>
      </x:c>
    </x:row>
    <x:row r="1818">
      <x:c r="A1818" s="1" t="n">
        <x:v>14540</x:v>
      </x:c>
      <x:c r="B1818" s="5" t="d">
        <x:v>2015-08-01T00:00:00.000Z</x:v>
      </x:c>
      <x:c r="C1818" s="1" t="str">
        <x:v>Standard Class</x:v>
      </x:c>
      <x:c r="D1818" s="1" t="str">
        <x:v>Europe</x:v>
      </x:c>
      <x:c r="E1818" s="1" t="str">
        <x:v>PROCESSING</x:v>
      </x:c>
      <x:c r="F1818" s="1" t="str">
        <x:v>Late delivery</x:v>
      </x:c>
      <x:c r="G1818" s="6" t="n">
        <x:v>6</x:v>
      </x:c>
      <x:c r="H1818" s="6" t="n">
        <x:v>4</x:v>
      </x:c>
      <x:c r="I1818" s="6" t="n">
        <x:f>G1818-H1818</x:f>
        <x:v>2</x:v>
      </x:c>
      <x:c r="J1818" s="6" t="n">
        <x:f>IF(OR(E1818="CANCELED",E1818="SUSPECTED_FRAUD",F1818="Shipping canceled"),0,1)</x:f>
        <x:v>1</x:v>
      </x:c>
      <x:c r="K1818" s="6" t="n">
        <x:f>IF(G1818&gt;H1818,1,0)</x:f>
        <x:v>1</x:v>
      </x:c>
      <x:c r="L1818" s="6" t="n">
        <x:f>J1818*K1818</x:f>
        <x:v>1</x:v>
      </x:c>
    </x:row>
    <x:row r="1819">
      <x:c r="A1819" s="1" t="n">
        <x:v>14544</x:v>
      </x:c>
      <x:c r="B1819" s="5" t="d">
        <x:v>2015-08-01T00:00:00.000Z</x:v>
      </x:c>
      <x:c r="C1819" s="1" t="str">
        <x:v>Standard Class</x:v>
      </x:c>
      <x:c r="D1819" s="1" t="str">
        <x:v>Europe</x:v>
      </x:c>
      <x:c r="E1819" s="1" t="str">
        <x:v>COMPLETE</x:v>
      </x:c>
      <x:c r="F1819" s="1" t="str">
        <x:v>Late delivery</x:v>
      </x:c>
      <x:c r="G1819" s="6" t="n">
        <x:v>5</x:v>
      </x:c>
      <x:c r="H1819" s="6" t="n">
        <x:v>4</x:v>
      </x:c>
      <x:c r="I1819" s="6" t="n">
        <x:f>G1819-H1819</x:f>
        <x:v>1</x:v>
      </x:c>
      <x:c r="J1819" s="6" t="n">
        <x:f>IF(OR(E1819="CANCELED",E1819="SUSPECTED_FRAUD",F1819="Shipping canceled"),0,1)</x:f>
        <x:v>1</x:v>
      </x:c>
      <x:c r="K1819" s="6" t="n">
        <x:f>IF(G1819&gt;H1819,1,0)</x:f>
        <x:v>1</x:v>
      </x:c>
      <x:c r="L1819" s="6" t="n">
        <x:f>J1819*K1819</x:f>
        <x:v>1</x:v>
      </x:c>
    </x:row>
    <x:row r="1820">
      <x:c r="A1820" s="1" t="n">
        <x:v>14551</x:v>
      </x:c>
      <x:c r="B1820" s="5" t="d">
        <x:v>2015-08-01T00:00:00.000Z</x:v>
      </x:c>
      <x:c r="C1820" s="1" t="str">
        <x:v>Second Class</x:v>
      </x:c>
      <x:c r="D1820" s="1" t="str">
        <x:v>Europe</x:v>
      </x:c>
      <x:c r="E1820" s="1" t="str">
        <x:v>COMPLETE</x:v>
      </x:c>
      <x:c r="F1820" s="1" t="str">
        <x:v>Shipping on time</x:v>
      </x:c>
      <x:c r="G1820" s="6" t="n">
        <x:v>2</x:v>
      </x:c>
      <x:c r="H1820" s="6" t="n">
        <x:v>2</x:v>
      </x:c>
      <x:c r="I1820" s="6" t="n">
        <x:f>G1820-H1820</x:f>
        <x:v>0</x:v>
      </x:c>
      <x:c r="J1820" s="6" t="n">
        <x:f>IF(OR(E1820="CANCELED",E1820="SUSPECTED_FRAUD",F1820="Shipping canceled"),0,1)</x:f>
        <x:v>1</x:v>
      </x:c>
      <x:c r="K1820" s="6" t="n">
        <x:f>IF(G1820&gt;H1820,1,0)</x:f>
        <x:v>0</x:v>
      </x:c>
      <x:c r="L1820" s="6" t="n">
        <x:f>J1820*K1820</x:f>
        <x:v>0</x:v>
      </x:c>
    </x:row>
    <x:row r="1821">
      <x:c r="A1821" s="1" t="n">
        <x:v>14574</x:v>
      </x:c>
      <x:c r="B1821" s="5" t="d">
        <x:v>2015-08-01T00:00:00.000Z</x:v>
      </x:c>
      <x:c r="C1821" s="1" t="str">
        <x:v>Second Class</x:v>
      </x:c>
      <x:c r="D1821" s="1" t="str">
        <x:v>Europe</x:v>
      </x:c>
      <x:c r="E1821" s="1" t="str">
        <x:v>COMPLETE</x:v>
      </x:c>
      <x:c r="F1821" s="1" t="str">
        <x:v>Late delivery</x:v>
      </x:c>
      <x:c r="G1821" s="6" t="n">
        <x:v>5</x:v>
      </x:c>
      <x:c r="H1821" s="6" t="n">
        <x:v>2</x:v>
      </x:c>
      <x:c r="I1821" s="6" t="n">
        <x:f>G1821-H1821</x:f>
        <x:v>3</x:v>
      </x:c>
      <x:c r="J1821" s="6" t="n">
        <x:f>IF(OR(E1821="CANCELED",E1821="SUSPECTED_FRAUD",F1821="Shipping canceled"),0,1)</x:f>
        <x:v>1</x:v>
      </x:c>
      <x:c r="K1821" s="6" t="n">
        <x:f>IF(G1821&gt;H1821,1,0)</x:f>
        <x:v>1</x:v>
      </x:c>
      <x:c r="L1821" s="6" t="n">
        <x:f>J1821*K1821</x:f>
        <x:v>1</x:v>
      </x:c>
    </x:row>
    <x:row r="1822">
      <x:c r="A1822" s="1" t="n">
        <x:v>14582</x:v>
      </x:c>
      <x:c r="B1822" s="5" t="d">
        <x:v>2015-08-01T00:00:00.000Z</x:v>
      </x:c>
      <x:c r="C1822" s="1" t="str">
        <x:v>Standard Class</x:v>
      </x:c>
      <x:c r="D1822" s="1" t="str">
        <x:v>Europe</x:v>
      </x:c>
      <x:c r="E1822" s="1" t="str">
        <x:v>CLOSED</x:v>
      </x:c>
      <x:c r="F1822" s="1" t="str">
        <x:v>Advance shipping</x:v>
      </x:c>
      <x:c r="G1822" s="6" t="n">
        <x:v>3</x:v>
      </x:c>
      <x:c r="H1822" s="6" t="n">
        <x:v>4</x:v>
      </x:c>
      <x:c r="I1822" s="6" t="n">
        <x:f>G1822-H1822</x:f>
        <x:v>-1</x:v>
      </x:c>
      <x:c r="J1822" s="6" t="n">
        <x:f>IF(OR(E1822="CANCELED",E1822="SUSPECTED_FRAUD",F1822="Shipping canceled"),0,1)</x:f>
        <x:v>1</x:v>
      </x:c>
      <x:c r="K1822" s="6" t="n">
        <x:f>IF(G1822&gt;H1822,1,0)</x:f>
        <x:v>0</x:v>
      </x:c>
      <x:c r="L1822" s="6" t="n">
        <x:f>J1822*K1822</x:f>
        <x:v>0</x:v>
      </x:c>
    </x:row>
    <x:row r="1823">
      <x:c r="A1823" s="1" t="n">
        <x:v>14583</x:v>
      </x:c>
      <x:c r="B1823" s="5" t="d">
        <x:v>2015-08-01T00:00:00.000Z</x:v>
      </x:c>
      <x:c r="C1823" s="1" t="str">
        <x:v>Standard Class</x:v>
      </x:c>
      <x:c r="D1823" s="1" t="str">
        <x:v>Europe</x:v>
      </x:c>
      <x:c r="E1823" s="1" t="str">
        <x:v>COMPLETE</x:v>
      </x:c>
      <x:c r="F1823" s="1" t="str">
        <x:v>Shipping on time</x:v>
      </x:c>
      <x:c r="G1823" s="6" t="n">
        <x:v>4</x:v>
      </x:c>
      <x:c r="H1823" s="6" t="n">
        <x:v>4</x:v>
      </x:c>
      <x:c r="I1823" s="6" t="n">
        <x:f>G1823-H1823</x:f>
        <x:v>0</x:v>
      </x:c>
      <x:c r="J1823" s="6" t="n">
        <x:f>IF(OR(E1823="CANCELED",E1823="SUSPECTED_FRAUD",F1823="Shipping canceled"),0,1)</x:f>
        <x:v>1</x:v>
      </x:c>
      <x:c r="K1823" s="6" t="n">
        <x:f>IF(G1823&gt;H1823,1,0)</x:f>
        <x:v>0</x:v>
      </x:c>
      <x:c r="L1823" s="6" t="n">
        <x:f>J1823*K1823</x:f>
        <x:v>0</x:v>
      </x:c>
    </x:row>
    <x:row r="1824">
      <x:c r="A1824" s="1" t="n">
        <x:v>14600</x:v>
      </x:c>
      <x:c r="B1824" s="5" t="d">
        <x:v>2015-08-02T00:00:00.000Z</x:v>
      </x:c>
      <x:c r="C1824" s="1" t="str">
        <x:v>Standard Class</x:v>
      </x:c>
      <x:c r="D1824" s="1" t="str">
        <x:v>Europe</x:v>
      </x:c>
      <x:c r="E1824" s="1" t="str">
        <x:v>COMPLETE</x:v>
      </x:c>
      <x:c r="F1824" s="1" t="str">
        <x:v>Late delivery</x:v>
      </x:c>
      <x:c r="G1824" s="6" t="n">
        <x:v>6</x:v>
      </x:c>
      <x:c r="H1824" s="6" t="n">
        <x:v>4</x:v>
      </x:c>
      <x:c r="I1824" s="6" t="n">
        <x:f>G1824-H1824</x:f>
        <x:v>2</x:v>
      </x:c>
      <x:c r="J1824" s="6" t="n">
        <x:f>IF(OR(E1824="CANCELED",E1824="SUSPECTED_FRAUD",F1824="Shipping canceled"),0,1)</x:f>
        <x:v>1</x:v>
      </x:c>
      <x:c r="K1824" s="6" t="n">
        <x:f>IF(G1824&gt;H1824,1,0)</x:f>
        <x:v>1</x:v>
      </x:c>
      <x:c r="L1824" s="6" t="n">
        <x:f>J1824*K1824</x:f>
        <x:v>1</x:v>
      </x:c>
    </x:row>
    <x:row r="1825">
      <x:c r="A1825" s="1" t="n">
        <x:v>14602</x:v>
      </x:c>
      <x:c r="B1825" s="5" t="d">
        <x:v>2015-08-02T00:00:00.000Z</x:v>
      </x:c>
      <x:c r="C1825" s="1" t="str">
        <x:v>Standard Class</x:v>
      </x:c>
      <x:c r="D1825" s="1" t="str">
        <x:v>Europe</x:v>
      </x:c>
      <x:c r="E1825" s="1" t="str">
        <x:v>COMPLETE</x:v>
      </x:c>
      <x:c r="F1825" s="1" t="str">
        <x:v>Advance shipping</x:v>
      </x:c>
      <x:c r="G1825" s="6" t="n">
        <x:v>3</x:v>
      </x:c>
      <x:c r="H1825" s="6" t="n">
        <x:v>4</x:v>
      </x:c>
      <x:c r="I1825" s="6" t="n">
        <x:f>G1825-H1825</x:f>
        <x:v>-1</x:v>
      </x:c>
      <x:c r="J1825" s="6" t="n">
        <x:f>IF(OR(E1825="CANCELED",E1825="SUSPECTED_FRAUD",F1825="Shipping canceled"),0,1)</x:f>
        <x:v>1</x:v>
      </x:c>
      <x:c r="K1825" s="6" t="n">
        <x:f>IF(G1825&gt;H1825,1,0)</x:f>
        <x:v>0</x:v>
      </x:c>
      <x:c r="L1825" s="6" t="n">
        <x:f>J1825*K1825</x:f>
        <x:v>0</x:v>
      </x:c>
    </x:row>
    <x:row r="1826">
      <x:c r="A1826" s="1" t="n">
        <x:v>14606</x:v>
      </x:c>
      <x:c r="B1826" s="5" t="d">
        <x:v>2015-08-02T00:00:00.000Z</x:v>
      </x:c>
      <x:c r="C1826" s="1" t="str">
        <x:v>Second Class</x:v>
      </x:c>
      <x:c r="D1826" s="1" t="str">
        <x:v>Europe</x:v>
      </x:c>
      <x:c r="E1826" s="1" t="str">
        <x:v>PROCESSING</x:v>
      </x:c>
      <x:c r="F1826" s="1" t="str">
        <x:v>Shipping on time</x:v>
      </x:c>
      <x:c r="G1826" s="6" t="n">
        <x:v>2</x:v>
      </x:c>
      <x:c r="H1826" s="6" t="n">
        <x:v>2</x:v>
      </x:c>
      <x:c r="I1826" s="6" t="n">
        <x:f>G1826-H1826</x:f>
        <x:v>0</x:v>
      </x:c>
      <x:c r="J1826" s="6" t="n">
        <x:f>IF(OR(E1826="CANCELED",E1826="SUSPECTED_FRAUD",F1826="Shipping canceled"),0,1)</x:f>
        <x:v>1</x:v>
      </x:c>
      <x:c r="K1826" s="6" t="n">
        <x:f>IF(G1826&gt;H1826,1,0)</x:f>
        <x:v>0</x:v>
      </x:c>
      <x:c r="L1826" s="6" t="n">
        <x:f>J1826*K1826</x:f>
        <x:v>0</x:v>
      </x:c>
    </x:row>
    <x:row r="1827">
      <x:c r="A1827" s="1" t="n">
        <x:v>14609</x:v>
      </x:c>
      <x:c r="B1827" s="5" t="d">
        <x:v>2015-08-02T00:00:00.000Z</x:v>
      </x:c>
      <x:c r="C1827" s="1" t="str">
        <x:v>Standard Class</x:v>
      </x:c>
      <x:c r="D1827" s="1" t="str">
        <x:v>Europe</x:v>
      </x:c>
      <x:c r="E1827" s="1" t="str">
        <x:v>COMPLETE</x:v>
      </x:c>
      <x:c r="F1827" s="1" t="str">
        <x:v>Late delivery</x:v>
      </x:c>
      <x:c r="G1827" s="6" t="n">
        <x:v>5</x:v>
      </x:c>
      <x:c r="H1827" s="6" t="n">
        <x:v>4</x:v>
      </x:c>
      <x:c r="I1827" s="6" t="n">
        <x:f>G1827-H1827</x:f>
        <x:v>1</x:v>
      </x:c>
      <x:c r="J1827" s="6" t="n">
        <x:f>IF(OR(E1827="CANCELED",E1827="SUSPECTED_FRAUD",F1827="Shipping canceled"),0,1)</x:f>
        <x:v>1</x:v>
      </x:c>
      <x:c r="K1827" s="6" t="n">
        <x:f>IF(G1827&gt;H1827,1,0)</x:f>
        <x:v>1</x:v>
      </x:c>
      <x:c r="L1827" s="6" t="n">
        <x:f>J1827*K1827</x:f>
        <x:v>1</x:v>
      </x:c>
    </x:row>
    <x:row r="1828">
      <x:c r="A1828" s="1" t="n">
        <x:v>14612</x:v>
      </x:c>
      <x:c r="B1828" s="5" t="d">
        <x:v>2015-08-02T00:00:00.000Z</x:v>
      </x:c>
      <x:c r="C1828" s="1" t="str">
        <x:v>Second Class</x:v>
      </x:c>
      <x:c r="D1828" s="1" t="str">
        <x:v>Europe</x:v>
      </x:c>
      <x:c r="E1828" s="1" t="str">
        <x:v>ON_HOLD</x:v>
      </x:c>
      <x:c r="F1828" s="1" t="str">
        <x:v>Late delivery</x:v>
      </x:c>
      <x:c r="G1828" s="6" t="n">
        <x:v>3</x:v>
      </x:c>
      <x:c r="H1828" s="6" t="n">
        <x:v>2</x:v>
      </x:c>
      <x:c r="I1828" s="6" t="n">
        <x:f>G1828-H1828</x:f>
        <x:v>1</x:v>
      </x:c>
      <x:c r="J1828" s="6" t="n">
        <x:f>IF(OR(E1828="CANCELED",E1828="SUSPECTED_FRAUD",F1828="Shipping canceled"),0,1)</x:f>
        <x:v>1</x:v>
      </x:c>
      <x:c r="K1828" s="6" t="n">
        <x:f>IF(G1828&gt;H1828,1,0)</x:f>
        <x:v>1</x:v>
      </x:c>
      <x:c r="L1828" s="6" t="n">
        <x:f>J1828*K1828</x:f>
        <x:v>1</x:v>
      </x:c>
    </x:row>
    <x:row r="1829">
      <x:c r="A1829" s="1" t="n">
        <x:v>14621</x:v>
      </x:c>
      <x:c r="B1829" s="5" t="d">
        <x:v>2015-08-02T00:00:00.000Z</x:v>
      </x:c>
      <x:c r="C1829" s="1" t="str">
        <x:v>First Class</x:v>
      </x:c>
      <x:c r="D1829" s="1" t="str">
        <x:v>Europe</x:v>
      </x:c>
      <x:c r="E1829" s="1" t="str">
        <x:v>CLOSED</x:v>
      </x:c>
      <x:c r="F1829" s="1" t="str">
        <x:v>Late delivery</x:v>
      </x:c>
      <x:c r="G1829" s="6" t="n">
        <x:v>2</x:v>
      </x:c>
      <x:c r="H1829" s="6" t="n">
        <x:v>1</x:v>
      </x:c>
      <x:c r="I1829" s="6" t="n">
        <x:f>G1829-H1829</x:f>
        <x:v>1</x:v>
      </x:c>
      <x:c r="J1829" s="6" t="n">
        <x:f>IF(OR(E1829="CANCELED",E1829="SUSPECTED_FRAUD",F1829="Shipping canceled"),0,1)</x:f>
        <x:v>1</x:v>
      </x:c>
      <x:c r="K1829" s="6" t="n">
        <x:f>IF(G1829&gt;H1829,1,0)</x:f>
        <x:v>1</x:v>
      </x:c>
      <x:c r="L1829" s="6" t="n">
        <x:f>J1829*K1829</x:f>
        <x:v>1</x:v>
      </x:c>
    </x:row>
    <x:row r="1830">
      <x:c r="A1830" s="1" t="n">
        <x:v>14627</x:v>
      </x:c>
      <x:c r="B1830" s="5" t="d">
        <x:v>2015-08-02T00:00:00.000Z</x:v>
      </x:c>
      <x:c r="C1830" s="1" t="str">
        <x:v>Standard Class</x:v>
      </x:c>
      <x:c r="D1830" s="1" t="str">
        <x:v>Europe</x:v>
      </x:c>
      <x:c r="E1830" s="1" t="str">
        <x:v>COMPLETE</x:v>
      </x:c>
      <x:c r="F1830" s="1" t="str">
        <x:v>Advance shipping</x:v>
      </x:c>
      <x:c r="G1830" s="6" t="n">
        <x:v>3</x:v>
      </x:c>
      <x:c r="H1830" s="6" t="n">
        <x:v>4</x:v>
      </x:c>
      <x:c r="I1830" s="6" t="n">
        <x:f>G1830-H1830</x:f>
        <x:v>-1</x:v>
      </x:c>
      <x:c r="J1830" s="6" t="n">
        <x:f>IF(OR(E1830="CANCELED",E1830="SUSPECTED_FRAUD",F1830="Shipping canceled"),0,1)</x:f>
        <x:v>1</x:v>
      </x:c>
      <x:c r="K1830" s="6" t="n">
        <x:f>IF(G1830&gt;H1830,1,0)</x:f>
        <x:v>0</x:v>
      </x:c>
      <x:c r="L1830" s="6" t="n">
        <x:f>J1830*K1830</x:f>
        <x:v>0</x:v>
      </x:c>
    </x:row>
    <x:row r="1831">
      <x:c r="A1831" s="1" t="n">
        <x:v>14629</x:v>
      </x:c>
      <x:c r="B1831" s="5" t="d">
        <x:v>2015-08-02T00:00:00.000Z</x:v>
      </x:c>
      <x:c r="C1831" s="1" t="str">
        <x:v>Standard Class</x:v>
      </x:c>
      <x:c r="D1831" s="1" t="str">
        <x:v>Europe</x:v>
      </x:c>
      <x:c r="E1831" s="1" t="str">
        <x:v>CLOSED</x:v>
      </x:c>
      <x:c r="F1831" s="1" t="str">
        <x:v>Late delivery</x:v>
      </x:c>
      <x:c r="G1831" s="6" t="n">
        <x:v>5</x:v>
      </x:c>
      <x:c r="H1831" s="6" t="n">
        <x:v>4</x:v>
      </x:c>
      <x:c r="I1831" s="6" t="n">
        <x:f>G1831-H1831</x:f>
        <x:v>1</x:v>
      </x:c>
      <x:c r="J1831" s="6" t="n">
        <x:f>IF(OR(E1831="CANCELED",E1831="SUSPECTED_FRAUD",F1831="Shipping canceled"),0,1)</x:f>
        <x:v>1</x:v>
      </x:c>
      <x:c r="K1831" s="6" t="n">
        <x:f>IF(G1831&gt;H1831,1,0)</x:f>
        <x:v>1</x:v>
      </x:c>
      <x:c r="L1831" s="6" t="n">
        <x:f>J1831*K1831</x:f>
        <x:v>1</x:v>
      </x:c>
    </x:row>
    <x:row r="1832">
      <x:c r="A1832" s="1" t="n">
        <x:v>14636</x:v>
      </x:c>
      <x:c r="B1832" s="5" t="d">
        <x:v>2015-08-02T00:00:00.000Z</x:v>
      </x:c>
      <x:c r="C1832" s="1" t="str">
        <x:v>Standard Class</x:v>
      </x:c>
      <x:c r="D1832" s="1" t="str">
        <x:v>Europe</x:v>
      </x:c>
      <x:c r="E1832" s="1" t="str">
        <x:v>ON_HOLD</x:v>
      </x:c>
      <x:c r="F1832" s="1" t="str">
        <x:v>Advance shipping</x:v>
      </x:c>
      <x:c r="G1832" s="6" t="n">
        <x:v>2</x:v>
      </x:c>
      <x:c r="H1832" s="6" t="n">
        <x:v>4</x:v>
      </x:c>
      <x:c r="I1832" s="6" t="n">
        <x:f>G1832-H1832</x:f>
        <x:v>-2</x:v>
      </x:c>
      <x:c r="J1832" s="6" t="n">
        <x:f>IF(OR(E1832="CANCELED",E1832="SUSPECTED_FRAUD",F1832="Shipping canceled"),0,1)</x:f>
        <x:v>1</x:v>
      </x:c>
      <x:c r="K1832" s="6" t="n">
        <x:f>IF(G1832&gt;H1832,1,0)</x:f>
        <x:v>0</x:v>
      </x:c>
      <x:c r="L1832" s="6" t="n">
        <x:f>J1832*K1832</x:f>
        <x:v>0</x:v>
      </x:c>
    </x:row>
    <x:row r="1833">
      <x:c r="A1833" s="1" t="n">
        <x:v>14637</x:v>
      </x:c>
      <x:c r="B1833" s="5" t="d">
        <x:v>2015-08-02T00:00:00.000Z</x:v>
      </x:c>
      <x:c r="C1833" s="1" t="str">
        <x:v>Standard Class</x:v>
      </x:c>
      <x:c r="D1833" s="1" t="str">
        <x:v>Europe</x:v>
      </x:c>
      <x:c r="E1833" s="1" t="str">
        <x:v>COMPLETE</x:v>
      </x:c>
      <x:c r="F1833" s="1" t="str">
        <x:v>Advance shipping</x:v>
      </x:c>
      <x:c r="G1833" s="6" t="n">
        <x:v>3</x:v>
      </x:c>
      <x:c r="H1833" s="6" t="n">
        <x:v>4</x:v>
      </x:c>
      <x:c r="I1833" s="6" t="n">
        <x:f>G1833-H1833</x:f>
        <x:v>-1</x:v>
      </x:c>
      <x:c r="J1833" s="6" t="n">
        <x:f>IF(OR(E1833="CANCELED",E1833="SUSPECTED_FRAUD",F1833="Shipping canceled"),0,1)</x:f>
        <x:v>1</x:v>
      </x:c>
      <x:c r="K1833" s="6" t="n">
        <x:f>IF(G1833&gt;H1833,1,0)</x:f>
        <x:v>0</x:v>
      </x:c>
      <x:c r="L1833" s="6" t="n">
        <x:f>J1833*K1833</x:f>
        <x:v>0</x:v>
      </x:c>
    </x:row>
    <x:row r="1834">
      <x:c r="A1834" s="1" t="n">
        <x:v>14648</x:v>
      </x:c>
      <x:c r="B1834" s="5" t="d">
        <x:v>2015-08-02T00:00:00.000Z</x:v>
      </x:c>
      <x:c r="C1834" s="1" t="str">
        <x:v>First Class</x:v>
      </x:c>
      <x:c r="D1834" s="1" t="str">
        <x:v>Europe</x:v>
      </x:c>
      <x:c r="E1834" s="1" t="str">
        <x:v>PENDING_PAYMENT</x:v>
      </x:c>
      <x:c r="F1834" s="1" t="str">
        <x:v>Late delivery</x:v>
      </x:c>
      <x:c r="G1834" s="6" t="n">
        <x:v>2</x:v>
      </x:c>
      <x:c r="H1834" s="6" t="n">
        <x:v>1</x:v>
      </x:c>
      <x:c r="I1834" s="6" t="n">
        <x:f>G1834-H1834</x:f>
        <x:v>1</x:v>
      </x:c>
      <x:c r="J1834" s="6" t="n">
        <x:f>IF(OR(E1834="CANCELED",E1834="SUSPECTED_FRAUD",F1834="Shipping canceled"),0,1)</x:f>
        <x:v>1</x:v>
      </x:c>
      <x:c r="K1834" s="6" t="n">
        <x:f>IF(G1834&gt;H1834,1,0)</x:f>
        <x:v>1</x:v>
      </x:c>
      <x:c r="L1834" s="6" t="n">
        <x:f>J1834*K1834</x:f>
        <x:v>1</x:v>
      </x:c>
    </x:row>
    <x:row r="1835">
      <x:c r="A1835" s="1" t="n">
        <x:v>14650</x:v>
      </x:c>
      <x:c r="B1835" s="5" t="d">
        <x:v>2015-08-02T00:00:00.000Z</x:v>
      </x:c>
      <x:c r="C1835" s="1" t="str">
        <x:v>First Class</x:v>
      </x:c>
      <x:c r="D1835" s="1" t="str">
        <x:v>Europe</x:v>
      </x:c>
      <x:c r="E1835" s="1" t="str">
        <x:v>PENDING</x:v>
      </x:c>
      <x:c r="F1835" s="1" t="str">
        <x:v>Late delivery</x:v>
      </x:c>
      <x:c r="G1835" s="6" t="n">
        <x:v>2</x:v>
      </x:c>
      <x:c r="H1835" s="6" t="n">
        <x:v>1</x:v>
      </x:c>
      <x:c r="I1835" s="6" t="n">
        <x:f>G1835-H1835</x:f>
        <x:v>1</x:v>
      </x:c>
      <x:c r="J1835" s="6" t="n">
        <x:f>IF(OR(E1835="CANCELED",E1835="SUSPECTED_FRAUD",F1835="Shipping canceled"),0,1)</x:f>
        <x:v>1</x:v>
      </x:c>
      <x:c r="K1835" s="6" t="n">
        <x:f>IF(G1835&gt;H1835,1,0)</x:f>
        <x:v>1</x:v>
      </x:c>
      <x:c r="L1835" s="6" t="n">
        <x:f>J1835*K1835</x:f>
        <x:v>1</x:v>
      </x:c>
    </x:row>
    <x:row r="1836">
      <x:c r="A1836" s="1" t="n">
        <x:v>14651</x:v>
      </x:c>
      <x:c r="B1836" s="5" t="d">
        <x:v>2015-08-02T00:00:00.000Z</x:v>
      </x:c>
      <x:c r="C1836" s="1" t="str">
        <x:v>Second Class</x:v>
      </x:c>
      <x:c r="D1836" s="1" t="str">
        <x:v>Europe</x:v>
      </x:c>
      <x:c r="E1836" s="1" t="str">
        <x:v>COMPLETE</x:v>
      </x:c>
      <x:c r="F1836" s="1" t="str">
        <x:v>Shipping on time</x:v>
      </x:c>
      <x:c r="G1836" s="6" t="n">
        <x:v>2</x:v>
      </x:c>
      <x:c r="H1836" s="6" t="n">
        <x:v>2</x:v>
      </x:c>
      <x:c r="I1836" s="6" t="n">
        <x:f>G1836-H1836</x:f>
        <x:v>0</x:v>
      </x:c>
      <x:c r="J1836" s="6" t="n">
        <x:f>IF(OR(E1836="CANCELED",E1836="SUSPECTED_FRAUD",F1836="Shipping canceled"),0,1)</x:f>
        <x:v>1</x:v>
      </x:c>
      <x:c r="K1836" s="6" t="n">
        <x:f>IF(G1836&gt;H1836,1,0)</x:f>
        <x:v>0</x:v>
      </x:c>
      <x:c r="L1836" s="6" t="n">
        <x:f>J1836*K1836</x:f>
        <x:v>0</x:v>
      </x:c>
    </x:row>
    <x:row r="1837">
      <x:c r="A1837" s="1" t="n">
        <x:v>14653</x:v>
      </x:c>
      <x:c r="B1837" s="5" t="d">
        <x:v>2015-08-02T00:00:00.000Z</x:v>
      </x:c>
      <x:c r="C1837" s="1" t="str">
        <x:v>Standard Class</x:v>
      </x:c>
      <x:c r="D1837" s="1" t="str">
        <x:v>Europe</x:v>
      </x:c>
      <x:c r="E1837" s="1" t="str">
        <x:v>PROCESSING</x:v>
      </x:c>
      <x:c r="F1837" s="1" t="str">
        <x:v>Shipping on time</x:v>
      </x:c>
      <x:c r="G1837" s="6" t="n">
        <x:v>4</x:v>
      </x:c>
      <x:c r="H1837" s="6" t="n">
        <x:v>4</x:v>
      </x:c>
      <x:c r="I1837" s="6" t="n">
        <x:f>G1837-H1837</x:f>
        <x:v>0</x:v>
      </x:c>
      <x:c r="J1837" s="6" t="n">
        <x:f>IF(OR(E1837="CANCELED",E1837="SUSPECTED_FRAUD",F1837="Shipping canceled"),0,1)</x:f>
        <x:v>1</x:v>
      </x:c>
      <x:c r="K1837" s="6" t="n">
        <x:f>IF(G1837&gt;H1837,1,0)</x:f>
        <x:v>0</x:v>
      </x:c>
      <x:c r="L1837" s="6" t="n">
        <x:f>J1837*K1837</x:f>
        <x:v>0</x:v>
      </x:c>
    </x:row>
    <x:row r="1838">
      <x:c r="A1838" s="1" t="n">
        <x:v>14660</x:v>
      </x:c>
      <x:c r="B1838" s="5" t="d">
        <x:v>2015-08-02T00:00:00.000Z</x:v>
      </x:c>
      <x:c r="C1838" s="1" t="str">
        <x:v>Standard Class</x:v>
      </x:c>
      <x:c r="D1838" s="1" t="str">
        <x:v>Europe</x:v>
      </x:c>
      <x:c r="E1838" s="1" t="str">
        <x:v>COMPLETE</x:v>
      </x:c>
      <x:c r="F1838" s="1" t="str">
        <x:v>Late delivery</x:v>
      </x:c>
      <x:c r="G1838" s="6" t="n">
        <x:v>6</x:v>
      </x:c>
      <x:c r="H1838" s="6" t="n">
        <x:v>4</x:v>
      </x:c>
      <x:c r="I1838" s="6" t="n">
        <x:f>G1838-H1838</x:f>
        <x:v>2</x:v>
      </x:c>
      <x:c r="J1838" s="6" t="n">
        <x:f>IF(OR(E1838="CANCELED",E1838="SUSPECTED_FRAUD",F1838="Shipping canceled"),0,1)</x:f>
        <x:v>1</x:v>
      </x:c>
      <x:c r="K1838" s="6" t="n">
        <x:f>IF(G1838&gt;H1838,1,0)</x:f>
        <x:v>1</x:v>
      </x:c>
      <x:c r="L1838" s="6" t="n">
        <x:f>J1838*K1838</x:f>
        <x:v>1</x:v>
      </x:c>
    </x:row>
    <x:row r="1839">
      <x:c r="A1839" s="1" t="n">
        <x:v>14685</x:v>
      </x:c>
      <x:c r="B1839" s="5" t="d">
        <x:v>2015-08-03T00:00:00.000Z</x:v>
      </x:c>
      <x:c r="C1839" s="1" t="str">
        <x:v>Standard Class</x:v>
      </x:c>
      <x:c r="D1839" s="1" t="str">
        <x:v>Europe</x:v>
      </x:c>
      <x:c r="E1839" s="1" t="str">
        <x:v>PENDING</x:v>
      </x:c>
      <x:c r="F1839" s="1" t="str">
        <x:v>Late delivery</x:v>
      </x:c>
      <x:c r="G1839" s="6" t="n">
        <x:v>6</x:v>
      </x:c>
      <x:c r="H1839" s="6" t="n">
        <x:v>4</x:v>
      </x:c>
      <x:c r="I1839" s="6" t="n">
        <x:f>G1839-H1839</x:f>
        <x:v>2</x:v>
      </x:c>
      <x:c r="J1839" s="6" t="n">
        <x:f>IF(OR(E1839="CANCELED",E1839="SUSPECTED_FRAUD",F1839="Shipping canceled"),0,1)</x:f>
        <x:v>1</x:v>
      </x:c>
      <x:c r="K1839" s="6" t="n">
        <x:f>IF(G1839&gt;H1839,1,0)</x:f>
        <x:v>1</x:v>
      </x:c>
      <x:c r="L1839" s="6" t="n">
        <x:f>J1839*K1839</x:f>
        <x:v>1</x:v>
      </x:c>
    </x:row>
    <x:row r="1840">
      <x:c r="A1840" s="1" t="n">
        <x:v>14691</x:v>
      </x:c>
      <x:c r="B1840" s="5" t="d">
        <x:v>2015-08-03T00:00:00.000Z</x:v>
      </x:c>
      <x:c r="C1840" s="1" t="str">
        <x:v>Standard Class</x:v>
      </x:c>
      <x:c r="D1840" s="1" t="str">
        <x:v>Europe</x:v>
      </x:c>
      <x:c r="E1840" s="1" t="str">
        <x:v>PROCESSING</x:v>
      </x:c>
      <x:c r="F1840" s="1" t="str">
        <x:v>Advance shipping</x:v>
      </x:c>
      <x:c r="G1840" s="6" t="n">
        <x:v>2</x:v>
      </x:c>
      <x:c r="H1840" s="6" t="n">
        <x:v>4</x:v>
      </x:c>
      <x:c r="I1840" s="6" t="n">
        <x:f>G1840-H1840</x:f>
        <x:v>-2</x:v>
      </x:c>
      <x:c r="J1840" s="6" t="n">
        <x:f>IF(OR(E1840="CANCELED",E1840="SUSPECTED_FRAUD",F1840="Shipping canceled"),0,1)</x:f>
        <x:v>1</x:v>
      </x:c>
      <x:c r="K1840" s="6" t="n">
        <x:f>IF(G1840&gt;H1840,1,0)</x:f>
        <x:v>0</x:v>
      </x:c>
      <x:c r="L1840" s="6" t="n">
        <x:f>J1840*K1840</x:f>
        <x:v>0</x:v>
      </x:c>
    </x:row>
    <x:row r="1841">
      <x:c r="A1841" s="1" t="n">
        <x:v>14692</x:v>
      </x:c>
      <x:c r="B1841" s="5" t="d">
        <x:v>2015-08-03T00:00:00.000Z</x:v>
      </x:c>
      <x:c r="C1841" s="1" t="str">
        <x:v>Standard Class</x:v>
      </x:c>
      <x:c r="D1841" s="1" t="str">
        <x:v>Europe</x:v>
      </x:c>
      <x:c r="E1841" s="1" t="str">
        <x:v>PENDING_PAYMENT</x:v>
      </x:c>
      <x:c r="F1841" s="1" t="str">
        <x:v>Advance shipping</x:v>
      </x:c>
      <x:c r="G1841" s="6" t="n">
        <x:v>3</x:v>
      </x:c>
      <x:c r="H1841" s="6" t="n">
        <x:v>4</x:v>
      </x:c>
      <x:c r="I1841" s="6" t="n">
        <x:f>G1841-H1841</x:f>
        <x:v>-1</x:v>
      </x:c>
      <x:c r="J1841" s="6" t="n">
        <x:f>IF(OR(E1841="CANCELED",E1841="SUSPECTED_FRAUD",F1841="Shipping canceled"),0,1)</x:f>
        <x:v>1</x:v>
      </x:c>
      <x:c r="K1841" s="6" t="n">
        <x:f>IF(G1841&gt;H1841,1,0)</x:f>
        <x:v>0</x:v>
      </x:c>
      <x:c r="L1841" s="6" t="n">
        <x:f>J1841*K1841</x:f>
        <x:v>0</x:v>
      </x:c>
    </x:row>
    <x:row r="1842">
      <x:c r="A1842" s="1" t="n">
        <x:v>14696</x:v>
      </x:c>
      <x:c r="B1842" s="5" t="d">
        <x:v>2015-08-03T00:00:00.000Z</x:v>
      </x:c>
      <x:c r="C1842" s="1" t="str">
        <x:v>Standard Class</x:v>
      </x:c>
      <x:c r="D1842" s="1" t="str">
        <x:v>Europe</x:v>
      </x:c>
      <x:c r="E1842" s="1" t="str">
        <x:v>COMPLETE</x:v>
      </x:c>
      <x:c r="F1842" s="1" t="str">
        <x:v>Advance shipping</x:v>
      </x:c>
      <x:c r="G1842" s="6" t="n">
        <x:v>2</x:v>
      </x:c>
      <x:c r="H1842" s="6" t="n">
        <x:v>4</x:v>
      </x:c>
      <x:c r="I1842" s="6" t="n">
        <x:f>G1842-H1842</x:f>
        <x:v>-2</x:v>
      </x:c>
      <x:c r="J1842" s="6" t="n">
        <x:f>IF(OR(E1842="CANCELED",E1842="SUSPECTED_FRAUD",F1842="Shipping canceled"),0,1)</x:f>
        <x:v>1</x:v>
      </x:c>
      <x:c r="K1842" s="6" t="n">
        <x:f>IF(G1842&gt;H1842,1,0)</x:f>
        <x:v>0</x:v>
      </x:c>
      <x:c r="L1842" s="6" t="n">
        <x:f>J1842*K1842</x:f>
        <x:v>0</x:v>
      </x:c>
    </x:row>
    <x:row r="1843">
      <x:c r="A1843" s="1" t="n">
        <x:v>14702</x:v>
      </x:c>
      <x:c r="B1843" s="5" t="d">
        <x:v>2015-08-03T00:00:00.000Z</x:v>
      </x:c>
      <x:c r="C1843" s="1" t="str">
        <x:v>Standard Class</x:v>
      </x:c>
      <x:c r="D1843" s="1" t="str">
        <x:v>Europe</x:v>
      </x:c>
      <x:c r="E1843" s="1" t="str">
        <x:v>ON_HOLD</x:v>
      </x:c>
      <x:c r="F1843" s="1" t="str">
        <x:v>Advance shipping</x:v>
      </x:c>
      <x:c r="G1843" s="6" t="n">
        <x:v>3</x:v>
      </x:c>
      <x:c r="H1843" s="6" t="n">
        <x:v>4</x:v>
      </x:c>
      <x:c r="I1843" s="6" t="n">
        <x:f>G1843-H1843</x:f>
        <x:v>-1</x:v>
      </x:c>
      <x:c r="J1843" s="6" t="n">
        <x:f>IF(OR(E1843="CANCELED",E1843="SUSPECTED_FRAUD",F1843="Shipping canceled"),0,1)</x:f>
        <x:v>1</x:v>
      </x:c>
      <x:c r="K1843" s="6" t="n">
        <x:f>IF(G1843&gt;H1843,1,0)</x:f>
        <x:v>0</x:v>
      </x:c>
      <x:c r="L1843" s="6" t="n">
        <x:f>J1843*K1843</x:f>
        <x:v>0</x:v>
      </x:c>
    </x:row>
    <x:row r="1844">
      <x:c r="A1844" s="1" t="n">
        <x:v>14713</x:v>
      </x:c>
      <x:c r="B1844" s="5" t="d">
        <x:v>2015-08-03T00:00:00.000Z</x:v>
      </x:c>
      <x:c r="C1844" s="1" t="str">
        <x:v>First Class</x:v>
      </x:c>
      <x:c r="D1844" s="1" t="str">
        <x:v>Europe</x:v>
      </x:c>
      <x:c r="E1844" s="1" t="str">
        <x:v>PENDING_PAYMENT</x:v>
      </x:c>
      <x:c r="F1844" s="1" t="str">
        <x:v>Late delivery</x:v>
      </x:c>
      <x:c r="G1844" s="6" t="n">
        <x:v>2</x:v>
      </x:c>
      <x:c r="H1844" s="6" t="n">
        <x:v>1</x:v>
      </x:c>
      <x:c r="I1844" s="6" t="n">
        <x:f>G1844-H1844</x:f>
        <x:v>1</x:v>
      </x:c>
      <x:c r="J1844" s="6" t="n">
        <x:f>IF(OR(E1844="CANCELED",E1844="SUSPECTED_FRAUD",F1844="Shipping canceled"),0,1)</x:f>
        <x:v>1</x:v>
      </x:c>
      <x:c r="K1844" s="6" t="n">
        <x:f>IF(G1844&gt;H1844,1,0)</x:f>
        <x:v>1</x:v>
      </x:c>
      <x:c r="L1844" s="6" t="n">
        <x:f>J1844*K1844</x:f>
        <x:v>1</x:v>
      </x:c>
    </x:row>
    <x:row r="1845">
      <x:c r="A1845" s="1" t="n">
        <x:v>14719</x:v>
      </x:c>
      <x:c r="B1845" s="5" t="d">
        <x:v>2015-08-03T00:00:00.000Z</x:v>
      </x:c>
      <x:c r="C1845" s="1" t="str">
        <x:v>Standard Class</x:v>
      </x:c>
      <x:c r="D1845" s="1" t="str">
        <x:v>Europe</x:v>
      </x:c>
      <x:c r="E1845" s="1" t="str">
        <x:v>COMPLETE</x:v>
      </x:c>
      <x:c r="F1845" s="1" t="str">
        <x:v>Late delivery</x:v>
      </x:c>
      <x:c r="G1845" s="6" t="n">
        <x:v>5</x:v>
      </x:c>
      <x:c r="H1845" s="6" t="n">
        <x:v>4</x:v>
      </x:c>
      <x:c r="I1845" s="6" t="n">
        <x:f>G1845-H1845</x:f>
        <x:v>1</x:v>
      </x:c>
      <x:c r="J1845" s="6" t="n">
        <x:f>IF(OR(E1845="CANCELED",E1845="SUSPECTED_FRAUD",F1845="Shipping canceled"),0,1)</x:f>
        <x:v>1</x:v>
      </x:c>
      <x:c r="K1845" s="6" t="n">
        <x:f>IF(G1845&gt;H1845,1,0)</x:f>
        <x:v>1</x:v>
      </x:c>
      <x:c r="L1845" s="6" t="n">
        <x:f>J1845*K1845</x:f>
        <x:v>1</x:v>
      </x:c>
    </x:row>
    <x:row r="1846">
      <x:c r="A1846" s="1" t="n">
        <x:v>14730</x:v>
      </x:c>
      <x:c r="B1846" s="5" t="d">
        <x:v>2015-08-04T00:00:00.000Z</x:v>
      </x:c>
      <x:c r="C1846" s="1" t="str">
        <x:v>Second Class</x:v>
      </x:c>
      <x:c r="D1846" s="1" t="str">
        <x:v>Europe</x:v>
      </x:c>
      <x:c r="E1846" s="1" t="str">
        <x:v>COMPLETE</x:v>
      </x:c>
      <x:c r="F1846" s="1" t="str">
        <x:v>Late delivery</x:v>
      </x:c>
      <x:c r="G1846" s="6" t="n">
        <x:v>6</x:v>
      </x:c>
      <x:c r="H1846" s="6" t="n">
        <x:v>2</x:v>
      </x:c>
      <x:c r="I1846" s="6" t="n">
        <x:f>G1846-H1846</x:f>
        <x:v>4</x:v>
      </x:c>
      <x:c r="J1846" s="6" t="n">
        <x:f>IF(OR(E1846="CANCELED",E1846="SUSPECTED_FRAUD",F1846="Shipping canceled"),0,1)</x:f>
        <x:v>1</x:v>
      </x:c>
      <x:c r="K1846" s="6" t="n">
        <x:f>IF(G1846&gt;H1846,1,0)</x:f>
        <x:v>1</x:v>
      </x:c>
      <x:c r="L1846" s="6" t="n">
        <x:f>J1846*K1846</x:f>
        <x:v>1</x:v>
      </x:c>
    </x:row>
    <x:row r="1847">
      <x:c r="A1847" s="1" t="n">
        <x:v>14741</x:v>
      </x:c>
      <x:c r="B1847" s="5" t="d">
        <x:v>2015-08-04T00:00:00.000Z</x:v>
      </x:c>
      <x:c r="C1847" s="1" t="str">
        <x:v>Standard Class</x:v>
      </x:c>
      <x:c r="D1847" s="1" t="str">
        <x:v>Europe</x:v>
      </x:c>
      <x:c r="E1847" s="1" t="str">
        <x:v>COMPLETE</x:v>
      </x:c>
      <x:c r="F1847" s="1" t="str">
        <x:v>Advance shipping</x:v>
      </x:c>
      <x:c r="G1847" s="6" t="n">
        <x:v>2</x:v>
      </x:c>
      <x:c r="H1847" s="6" t="n">
        <x:v>4</x:v>
      </x:c>
      <x:c r="I1847" s="6" t="n">
        <x:f>G1847-H1847</x:f>
        <x:v>-2</x:v>
      </x:c>
      <x:c r="J1847" s="6" t="n">
        <x:f>IF(OR(E1847="CANCELED",E1847="SUSPECTED_FRAUD",F1847="Shipping canceled"),0,1)</x:f>
        <x:v>1</x:v>
      </x:c>
      <x:c r="K1847" s="6" t="n">
        <x:f>IF(G1847&gt;H1847,1,0)</x:f>
        <x:v>0</x:v>
      </x:c>
      <x:c r="L1847" s="6" t="n">
        <x:f>J1847*K1847</x:f>
        <x:v>0</x:v>
      </x:c>
    </x:row>
    <x:row r="1848">
      <x:c r="A1848" s="1" t="n">
        <x:v>14755</x:v>
      </x:c>
      <x:c r="B1848" s="5" t="d">
        <x:v>2015-08-04T00:00:00.000Z</x:v>
      </x:c>
      <x:c r="C1848" s="1" t="str">
        <x:v>Standard Class</x:v>
      </x:c>
      <x:c r="D1848" s="1" t="str">
        <x:v>Europe</x:v>
      </x:c>
      <x:c r="E1848" s="1" t="str">
        <x:v>PENDING_PAYMENT</x:v>
      </x:c>
      <x:c r="F1848" s="1" t="str">
        <x:v>Late delivery</x:v>
      </x:c>
      <x:c r="G1848" s="6" t="n">
        <x:v>6</x:v>
      </x:c>
      <x:c r="H1848" s="6" t="n">
        <x:v>4</x:v>
      </x:c>
      <x:c r="I1848" s="6" t="n">
        <x:f>G1848-H1848</x:f>
        <x:v>2</x:v>
      </x:c>
      <x:c r="J1848" s="6" t="n">
        <x:f>IF(OR(E1848="CANCELED",E1848="SUSPECTED_FRAUD",F1848="Shipping canceled"),0,1)</x:f>
        <x:v>1</x:v>
      </x:c>
      <x:c r="K1848" s="6" t="n">
        <x:f>IF(G1848&gt;H1848,1,0)</x:f>
        <x:v>1</x:v>
      </x:c>
      <x:c r="L1848" s="6" t="n">
        <x:f>J1848*K1848</x:f>
        <x:v>1</x:v>
      </x:c>
    </x:row>
    <x:row r="1849">
      <x:c r="A1849" s="1" t="n">
        <x:v>14765</x:v>
      </x:c>
      <x:c r="B1849" s="5" t="d">
        <x:v>2015-08-04T00:00:00.000Z</x:v>
      </x:c>
      <x:c r="C1849" s="1" t="str">
        <x:v>First Class</x:v>
      </x:c>
      <x:c r="D1849" s="1" t="str">
        <x:v>Europe</x:v>
      </x:c>
      <x:c r="E1849" s="1" t="str">
        <x:v>PROCESSING</x:v>
      </x:c>
      <x:c r="F1849" s="1" t="str">
        <x:v>Late delivery</x:v>
      </x:c>
      <x:c r="G1849" s="6" t="n">
        <x:v>2</x:v>
      </x:c>
      <x:c r="H1849" s="6" t="n">
        <x:v>1</x:v>
      </x:c>
      <x:c r="I1849" s="6" t="n">
        <x:f>G1849-H1849</x:f>
        <x:v>1</x:v>
      </x:c>
      <x:c r="J1849" s="6" t="n">
        <x:f>IF(OR(E1849="CANCELED",E1849="SUSPECTED_FRAUD",F1849="Shipping canceled"),0,1)</x:f>
        <x:v>1</x:v>
      </x:c>
      <x:c r="K1849" s="6" t="n">
        <x:f>IF(G1849&gt;H1849,1,0)</x:f>
        <x:v>1</x:v>
      </x:c>
      <x:c r="L1849" s="6" t="n">
        <x:f>J1849*K1849</x:f>
        <x:v>1</x:v>
      </x:c>
    </x:row>
    <x:row r="1850">
      <x:c r="A1850" s="1" t="n">
        <x:v>14769</x:v>
      </x:c>
      <x:c r="B1850" s="5" t="d">
        <x:v>2015-08-04T00:00:00.000Z</x:v>
      </x:c>
      <x:c r="C1850" s="1" t="str">
        <x:v>First Class</x:v>
      </x:c>
      <x:c r="D1850" s="1" t="str">
        <x:v>Europe</x:v>
      </x:c>
      <x:c r="E1850" s="1" t="str">
        <x:v>PROCESSING</x:v>
      </x:c>
      <x:c r="F1850" s="1" t="str">
        <x:v>Late delivery</x:v>
      </x:c>
      <x:c r="G1850" s="6" t="n">
        <x:v>2</x:v>
      </x:c>
      <x:c r="H1850" s="6" t="n">
        <x:v>1</x:v>
      </x:c>
      <x:c r="I1850" s="6" t="n">
        <x:f>G1850-H1850</x:f>
        <x:v>1</x:v>
      </x:c>
      <x:c r="J1850" s="6" t="n">
        <x:f>IF(OR(E1850="CANCELED",E1850="SUSPECTED_FRAUD",F1850="Shipping canceled"),0,1)</x:f>
        <x:v>1</x:v>
      </x:c>
      <x:c r="K1850" s="6" t="n">
        <x:f>IF(G1850&gt;H1850,1,0)</x:f>
        <x:v>1</x:v>
      </x:c>
      <x:c r="L1850" s="6" t="n">
        <x:f>J1850*K1850</x:f>
        <x:v>1</x:v>
      </x:c>
    </x:row>
    <x:row r="1851">
      <x:c r="A1851" s="1" t="n">
        <x:v>14774</x:v>
      </x:c>
      <x:c r="B1851" s="5" t="d">
        <x:v>2015-08-04T00:00:00.000Z</x:v>
      </x:c>
      <x:c r="C1851" s="1" t="str">
        <x:v>Standard Class</x:v>
      </x:c>
      <x:c r="D1851" s="1" t="str">
        <x:v>Europe</x:v>
      </x:c>
      <x:c r="E1851" s="1" t="str">
        <x:v>COMPLETE</x:v>
      </x:c>
      <x:c r="F1851" s="1" t="str">
        <x:v>Late delivery</x:v>
      </x:c>
      <x:c r="G1851" s="6" t="n">
        <x:v>5</x:v>
      </x:c>
      <x:c r="H1851" s="6" t="n">
        <x:v>4</x:v>
      </x:c>
      <x:c r="I1851" s="6" t="n">
        <x:f>G1851-H1851</x:f>
        <x:v>1</x:v>
      </x:c>
      <x:c r="J1851" s="6" t="n">
        <x:f>IF(OR(E1851="CANCELED",E1851="SUSPECTED_FRAUD",F1851="Shipping canceled"),0,1)</x:f>
        <x:v>1</x:v>
      </x:c>
      <x:c r="K1851" s="6" t="n">
        <x:f>IF(G1851&gt;H1851,1,0)</x:f>
        <x:v>1</x:v>
      </x:c>
      <x:c r="L1851" s="6" t="n">
        <x:f>J1851*K1851</x:f>
        <x:v>1</x:v>
      </x:c>
    </x:row>
    <x:row r="1852">
      <x:c r="A1852" s="1" t="n">
        <x:v>14781</x:v>
      </x:c>
      <x:c r="B1852" s="5" t="d">
        <x:v>2015-08-04T00:00:00.000Z</x:v>
      </x:c>
      <x:c r="C1852" s="1" t="str">
        <x:v>Standard Class</x:v>
      </x:c>
      <x:c r="D1852" s="1" t="str">
        <x:v>Europe</x:v>
      </x:c>
      <x:c r="E1852" s="1" t="str">
        <x:v>CLOSED</x:v>
      </x:c>
      <x:c r="F1852" s="1" t="str">
        <x:v>Advance shipping</x:v>
      </x:c>
      <x:c r="G1852" s="6" t="n">
        <x:v>2</x:v>
      </x:c>
      <x:c r="H1852" s="6" t="n">
        <x:v>4</x:v>
      </x:c>
      <x:c r="I1852" s="6" t="n">
        <x:f>G1852-H1852</x:f>
        <x:v>-2</x:v>
      </x:c>
      <x:c r="J1852" s="6" t="n">
        <x:f>IF(OR(E1852="CANCELED",E1852="SUSPECTED_FRAUD",F1852="Shipping canceled"),0,1)</x:f>
        <x:v>1</x:v>
      </x:c>
      <x:c r="K1852" s="6" t="n">
        <x:f>IF(G1852&gt;H1852,1,0)</x:f>
        <x:v>0</x:v>
      </x:c>
      <x:c r="L1852" s="6" t="n">
        <x:f>J1852*K1852</x:f>
        <x:v>0</x:v>
      </x:c>
    </x:row>
    <x:row r="1853">
      <x:c r="A1853" s="1" t="n">
        <x:v>14793</x:v>
      </x:c>
      <x:c r="B1853" s="5" t="d">
        <x:v>2015-08-04T00:00:00.000Z</x:v>
      </x:c>
      <x:c r="C1853" s="1" t="str">
        <x:v>Standard Class</x:v>
      </x:c>
      <x:c r="D1853" s="1" t="str">
        <x:v>Europe</x:v>
      </x:c>
      <x:c r="E1853" s="1" t="str">
        <x:v>PROCESSING</x:v>
      </x:c>
      <x:c r="F1853" s="1" t="str">
        <x:v>Shipping on time</x:v>
      </x:c>
      <x:c r="G1853" s="6" t="n">
        <x:v>4</x:v>
      </x:c>
      <x:c r="H1853" s="6" t="n">
        <x:v>4</x:v>
      </x:c>
      <x:c r="I1853" s="6" t="n">
        <x:f>G1853-H1853</x:f>
        <x:v>0</x:v>
      </x:c>
      <x:c r="J1853" s="6" t="n">
        <x:f>IF(OR(E1853="CANCELED",E1853="SUSPECTED_FRAUD",F1853="Shipping canceled"),0,1)</x:f>
        <x:v>1</x:v>
      </x:c>
      <x:c r="K1853" s="6" t="n">
        <x:f>IF(G1853&gt;H1853,1,0)</x:f>
        <x:v>0</x:v>
      </x:c>
      <x:c r="L1853" s="6" t="n">
        <x:f>J1853*K1853</x:f>
        <x:v>0</x:v>
      </x:c>
    </x:row>
    <x:row r="1854">
      <x:c r="A1854" s="1" t="n">
        <x:v>14798</x:v>
      </x:c>
      <x:c r="B1854" s="5" t="d">
        <x:v>2015-08-05T00:00:00.000Z</x:v>
      </x:c>
      <x:c r="C1854" s="1" t="str">
        <x:v>Standard Class</x:v>
      </x:c>
      <x:c r="D1854" s="1" t="str">
        <x:v>Europe</x:v>
      </x:c>
      <x:c r="E1854" s="1" t="str">
        <x:v>PENDING</x:v>
      </x:c>
      <x:c r="F1854" s="1" t="str">
        <x:v>Shipping on time</x:v>
      </x:c>
      <x:c r="G1854" s="6" t="n">
        <x:v>4</x:v>
      </x:c>
      <x:c r="H1854" s="6" t="n">
        <x:v>4</x:v>
      </x:c>
      <x:c r="I1854" s="6" t="n">
        <x:f>G1854-H1854</x:f>
        <x:v>0</x:v>
      </x:c>
      <x:c r="J1854" s="6" t="n">
        <x:f>IF(OR(E1854="CANCELED",E1854="SUSPECTED_FRAUD",F1854="Shipping canceled"),0,1)</x:f>
        <x:v>1</x:v>
      </x:c>
      <x:c r="K1854" s="6" t="n">
        <x:f>IF(G1854&gt;H1854,1,0)</x:f>
        <x:v>0</x:v>
      </x:c>
      <x:c r="L1854" s="6" t="n">
        <x:f>J1854*K1854</x:f>
        <x:v>0</x:v>
      </x:c>
    </x:row>
    <x:row r="1855">
      <x:c r="A1855" s="1" t="n">
        <x:v>14799</x:v>
      </x:c>
      <x:c r="B1855" s="5" t="d">
        <x:v>2015-08-05T00:00:00.000Z</x:v>
      </x:c>
      <x:c r="C1855" s="1" t="str">
        <x:v>Standard Class</x:v>
      </x:c>
      <x:c r="D1855" s="1" t="str">
        <x:v>Europe</x:v>
      </x:c>
      <x:c r="E1855" s="1" t="str">
        <x:v>PROCESSING</x:v>
      </x:c>
      <x:c r="F1855" s="1" t="str">
        <x:v>Late delivery</x:v>
      </x:c>
      <x:c r="G1855" s="6" t="n">
        <x:v>5</x:v>
      </x:c>
      <x:c r="H1855" s="6" t="n">
        <x:v>4</x:v>
      </x:c>
      <x:c r="I1855" s="6" t="n">
        <x:f>G1855-H1855</x:f>
        <x:v>1</x:v>
      </x:c>
      <x:c r="J1855" s="6" t="n">
        <x:f>IF(OR(E1855="CANCELED",E1855="SUSPECTED_FRAUD",F1855="Shipping canceled"),0,1)</x:f>
        <x:v>1</x:v>
      </x:c>
      <x:c r="K1855" s="6" t="n">
        <x:f>IF(G1855&gt;H1855,1,0)</x:f>
        <x:v>1</x:v>
      </x:c>
      <x:c r="L1855" s="6" t="n">
        <x:f>J1855*K1855</x:f>
        <x:v>1</x:v>
      </x:c>
    </x:row>
    <x:row r="1856">
      <x:c r="A1856" s="1" t="n">
        <x:v>14805</x:v>
      </x:c>
      <x:c r="B1856" s="5" t="d">
        <x:v>2015-08-05T00:00:00.000Z</x:v>
      </x:c>
      <x:c r="C1856" s="1" t="str">
        <x:v>Standard Class</x:v>
      </x:c>
      <x:c r="D1856" s="1" t="str">
        <x:v>Europe</x:v>
      </x:c>
      <x:c r="E1856" s="1" t="str">
        <x:v>PENDING_PAYMENT</x:v>
      </x:c>
      <x:c r="F1856" s="1" t="str">
        <x:v>Late delivery</x:v>
      </x:c>
      <x:c r="G1856" s="6" t="n">
        <x:v>6</x:v>
      </x:c>
      <x:c r="H1856" s="6" t="n">
        <x:v>4</x:v>
      </x:c>
      <x:c r="I1856" s="6" t="n">
        <x:f>G1856-H1856</x:f>
        <x:v>2</x:v>
      </x:c>
      <x:c r="J1856" s="6" t="n">
        <x:f>IF(OR(E1856="CANCELED",E1856="SUSPECTED_FRAUD",F1856="Shipping canceled"),0,1)</x:f>
        <x:v>1</x:v>
      </x:c>
      <x:c r="K1856" s="6" t="n">
        <x:f>IF(G1856&gt;H1856,1,0)</x:f>
        <x:v>1</x:v>
      </x:c>
      <x:c r="L1856" s="6" t="n">
        <x:f>J1856*K1856</x:f>
        <x:v>1</x:v>
      </x:c>
    </x:row>
    <x:row r="1857">
      <x:c r="A1857" s="1" t="n">
        <x:v>14820</x:v>
      </x:c>
      <x:c r="B1857" s="5" t="d">
        <x:v>2015-08-05T00:00:00.000Z</x:v>
      </x:c>
      <x:c r="C1857" s="1" t="str">
        <x:v>Standard Class</x:v>
      </x:c>
      <x:c r="D1857" s="1" t="str">
        <x:v>Europe</x:v>
      </x:c>
      <x:c r="E1857" s="1" t="str">
        <x:v>COMPLETE</x:v>
      </x:c>
      <x:c r="F1857" s="1" t="str">
        <x:v>Late delivery</x:v>
      </x:c>
      <x:c r="G1857" s="6" t="n">
        <x:v>6</x:v>
      </x:c>
      <x:c r="H1857" s="6" t="n">
        <x:v>4</x:v>
      </x:c>
      <x:c r="I1857" s="6" t="n">
        <x:f>G1857-H1857</x:f>
        <x:v>2</x:v>
      </x:c>
      <x:c r="J1857" s="6" t="n">
        <x:f>IF(OR(E1857="CANCELED",E1857="SUSPECTED_FRAUD",F1857="Shipping canceled"),0,1)</x:f>
        <x:v>1</x:v>
      </x:c>
      <x:c r="K1857" s="6" t="n">
        <x:f>IF(G1857&gt;H1857,1,0)</x:f>
        <x:v>1</x:v>
      </x:c>
      <x:c r="L1857" s="6" t="n">
        <x:f>J1857*K1857</x:f>
        <x:v>1</x:v>
      </x:c>
    </x:row>
    <x:row r="1858">
      <x:c r="A1858" s="1" t="n">
        <x:v>14824</x:v>
      </x:c>
      <x:c r="B1858" s="5" t="d">
        <x:v>2015-08-05T00:00:00.000Z</x:v>
      </x:c>
      <x:c r="C1858" s="1" t="str">
        <x:v>Standard Class</x:v>
      </x:c>
      <x:c r="D1858" s="1" t="str">
        <x:v>Europe</x:v>
      </x:c>
      <x:c r="E1858" s="1" t="str">
        <x:v>COMPLETE</x:v>
      </x:c>
      <x:c r="F1858" s="1" t="str">
        <x:v>Late delivery</x:v>
      </x:c>
      <x:c r="G1858" s="6" t="n">
        <x:v>5</x:v>
      </x:c>
      <x:c r="H1858" s="6" t="n">
        <x:v>4</x:v>
      </x:c>
      <x:c r="I1858" s="6" t="n">
        <x:f>G1858-H1858</x:f>
        <x:v>1</x:v>
      </x:c>
      <x:c r="J1858" s="6" t="n">
        <x:f>IF(OR(E1858="CANCELED",E1858="SUSPECTED_FRAUD",F1858="Shipping canceled"),0,1)</x:f>
        <x:v>1</x:v>
      </x:c>
      <x:c r="K1858" s="6" t="n">
        <x:f>IF(G1858&gt;H1858,1,0)</x:f>
        <x:v>1</x:v>
      </x:c>
      <x:c r="L1858" s="6" t="n">
        <x:f>J1858*K1858</x:f>
        <x:v>1</x:v>
      </x:c>
    </x:row>
    <x:row r="1859">
      <x:c r="A1859" s="1" t="n">
        <x:v>14829</x:v>
      </x:c>
      <x:c r="B1859" s="5" t="d">
        <x:v>2015-08-05T00:00:00.000Z</x:v>
      </x:c>
      <x:c r="C1859" s="1" t="str">
        <x:v>Standard Class</x:v>
      </x:c>
      <x:c r="D1859" s="1" t="str">
        <x:v>Europe</x:v>
      </x:c>
      <x:c r="E1859" s="1" t="str">
        <x:v>COMPLETE</x:v>
      </x:c>
      <x:c r="F1859" s="1" t="str">
        <x:v>Late delivery</x:v>
      </x:c>
      <x:c r="G1859" s="6" t="n">
        <x:v>5</x:v>
      </x:c>
      <x:c r="H1859" s="6" t="n">
        <x:v>4</x:v>
      </x:c>
      <x:c r="I1859" s="6" t="n">
        <x:f>G1859-H1859</x:f>
        <x:v>1</x:v>
      </x:c>
      <x:c r="J1859" s="6" t="n">
        <x:f>IF(OR(E1859="CANCELED",E1859="SUSPECTED_FRAUD",F1859="Shipping canceled"),0,1)</x:f>
        <x:v>1</x:v>
      </x:c>
      <x:c r="K1859" s="6" t="n">
        <x:f>IF(G1859&gt;H1859,1,0)</x:f>
        <x:v>1</x:v>
      </x:c>
      <x:c r="L1859" s="6" t="n">
        <x:f>J1859*K1859</x:f>
        <x:v>1</x:v>
      </x:c>
    </x:row>
    <x:row r="1860">
      <x:c r="A1860" s="1" t="n">
        <x:v>14837</x:v>
      </x:c>
      <x:c r="B1860" s="5" t="d">
        <x:v>2015-08-05T00:00:00.000Z</x:v>
      </x:c>
      <x:c r="C1860" s="1" t="str">
        <x:v>Second Class</x:v>
      </x:c>
      <x:c r="D1860" s="1" t="str">
        <x:v>Europe</x:v>
      </x:c>
      <x:c r="E1860" s="1" t="str">
        <x:v>COMPLETE</x:v>
      </x:c>
      <x:c r="F1860" s="1" t="str">
        <x:v>Late delivery</x:v>
      </x:c>
      <x:c r="G1860" s="6" t="n">
        <x:v>3</x:v>
      </x:c>
      <x:c r="H1860" s="6" t="n">
        <x:v>2</x:v>
      </x:c>
      <x:c r="I1860" s="6" t="n">
        <x:f>G1860-H1860</x:f>
        <x:v>1</x:v>
      </x:c>
      <x:c r="J1860" s="6" t="n">
        <x:f>IF(OR(E1860="CANCELED",E1860="SUSPECTED_FRAUD",F1860="Shipping canceled"),0,1)</x:f>
        <x:v>1</x:v>
      </x:c>
      <x:c r="K1860" s="6" t="n">
        <x:f>IF(G1860&gt;H1860,1,0)</x:f>
        <x:v>1</x:v>
      </x:c>
      <x:c r="L1860" s="6" t="n">
        <x:f>J1860*K1860</x:f>
        <x:v>1</x:v>
      </x:c>
    </x:row>
    <x:row r="1861">
      <x:c r="A1861" s="1" t="n">
        <x:v>14853</x:v>
      </x:c>
      <x:c r="B1861" s="5" t="d">
        <x:v>2015-08-05T00:00:00.000Z</x:v>
      </x:c>
      <x:c r="C1861" s="1" t="str">
        <x:v>Standard Class</x:v>
      </x:c>
      <x:c r="D1861" s="1" t="str">
        <x:v>Europe</x:v>
      </x:c>
      <x:c r="E1861" s="1" t="str">
        <x:v>PROCESSING</x:v>
      </x:c>
      <x:c r="F1861" s="1" t="str">
        <x:v>Shipping on time</x:v>
      </x:c>
      <x:c r="G1861" s="6" t="n">
        <x:v>4</x:v>
      </x:c>
      <x:c r="H1861" s="6" t="n">
        <x:v>4</x:v>
      </x:c>
      <x:c r="I1861" s="6" t="n">
        <x:f>G1861-H1861</x:f>
        <x:v>0</x:v>
      </x:c>
      <x:c r="J1861" s="6" t="n">
        <x:f>IF(OR(E1861="CANCELED",E1861="SUSPECTED_FRAUD",F1861="Shipping canceled"),0,1)</x:f>
        <x:v>1</x:v>
      </x:c>
      <x:c r="K1861" s="6" t="n">
        <x:f>IF(G1861&gt;H1861,1,0)</x:f>
        <x:v>0</x:v>
      </x:c>
      <x:c r="L1861" s="6" t="n">
        <x:f>J1861*K1861</x:f>
        <x:v>0</x:v>
      </x:c>
    </x:row>
    <x:row r="1862">
      <x:c r="A1862" s="1" t="n">
        <x:v>14854</x:v>
      </x:c>
      <x:c r="B1862" s="5" t="d">
        <x:v>2015-08-05T00:00:00.000Z</x:v>
      </x:c>
      <x:c r="C1862" s="1" t="str">
        <x:v>Standard Class</x:v>
      </x:c>
      <x:c r="D1862" s="1" t="str">
        <x:v>Europe</x:v>
      </x:c>
      <x:c r="E1862" s="1" t="str">
        <x:v>COMPLETE</x:v>
      </x:c>
      <x:c r="F1862" s="1" t="str">
        <x:v>Late delivery</x:v>
      </x:c>
      <x:c r="G1862" s="6" t="n">
        <x:v>5</x:v>
      </x:c>
      <x:c r="H1862" s="6" t="n">
        <x:v>4</x:v>
      </x:c>
      <x:c r="I1862" s="6" t="n">
        <x:f>G1862-H1862</x:f>
        <x:v>1</x:v>
      </x:c>
      <x:c r="J1862" s="6" t="n">
        <x:f>IF(OR(E1862="CANCELED",E1862="SUSPECTED_FRAUD",F1862="Shipping canceled"),0,1)</x:f>
        <x:v>1</x:v>
      </x:c>
      <x:c r="K1862" s="6" t="n">
        <x:f>IF(G1862&gt;H1862,1,0)</x:f>
        <x:v>1</x:v>
      </x:c>
      <x:c r="L1862" s="6" t="n">
        <x:f>J1862*K1862</x:f>
        <x:v>1</x:v>
      </x:c>
    </x:row>
    <x:row r="1863">
      <x:c r="A1863" s="1" t="n">
        <x:v>14856</x:v>
      </x:c>
      <x:c r="B1863" s="5" t="d">
        <x:v>2015-08-05T00:00:00.000Z</x:v>
      </x:c>
      <x:c r="C1863" s="1" t="str">
        <x:v>First Class</x:v>
      </x:c>
      <x:c r="D1863" s="1" t="str">
        <x:v>Europe</x:v>
      </x:c>
      <x:c r="E1863" s="1" t="str">
        <x:v>PENDING_PAYMENT</x:v>
      </x:c>
      <x:c r="F1863" s="1" t="str">
        <x:v>Late delivery</x:v>
      </x:c>
      <x:c r="G1863" s="6" t="n">
        <x:v>2</x:v>
      </x:c>
      <x:c r="H1863" s="6" t="n">
        <x:v>1</x:v>
      </x:c>
      <x:c r="I1863" s="6" t="n">
        <x:f>G1863-H1863</x:f>
        <x:v>1</x:v>
      </x:c>
      <x:c r="J1863" s="6" t="n">
        <x:f>IF(OR(E1863="CANCELED",E1863="SUSPECTED_FRAUD",F1863="Shipping canceled"),0,1)</x:f>
        <x:v>1</x:v>
      </x:c>
      <x:c r="K1863" s="6" t="n">
        <x:f>IF(G1863&gt;H1863,1,0)</x:f>
        <x:v>1</x:v>
      </x:c>
      <x:c r="L1863" s="6" t="n">
        <x:f>J1863*K1863</x:f>
        <x:v>1</x:v>
      </x:c>
    </x:row>
    <x:row r="1864">
      <x:c r="A1864" s="1" t="n">
        <x:v>14859</x:v>
      </x:c>
      <x:c r="B1864" s="5" t="d">
        <x:v>2015-08-05T00:00:00.000Z</x:v>
      </x:c>
      <x:c r="C1864" s="1" t="str">
        <x:v>Standard Class</x:v>
      </x:c>
      <x:c r="D1864" s="1" t="str">
        <x:v>Europe</x:v>
      </x:c>
      <x:c r="E1864" s="1" t="str">
        <x:v>PENDING_PAYMENT</x:v>
      </x:c>
      <x:c r="F1864" s="1" t="str">
        <x:v>Late delivery</x:v>
      </x:c>
      <x:c r="G1864" s="6" t="n">
        <x:v>5</x:v>
      </x:c>
      <x:c r="H1864" s="6" t="n">
        <x:v>4</x:v>
      </x:c>
      <x:c r="I1864" s="6" t="n">
        <x:f>G1864-H1864</x:f>
        <x:v>1</x:v>
      </x:c>
      <x:c r="J1864" s="6" t="n">
        <x:f>IF(OR(E1864="CANCELED",E1864="SUSPECTED_FRAUD",F1864="Shipping canceled"),0,1)</x:f>
        <x:v>1</x:v>
      </x:c>
      <x:c r="K1864" s="6" t="n">
        <x:f>IF(G1864&gt;H1864,1,0)</x:f>
        <x:v>1</x:v>
      </x:c>
      <x:c r="L1864" s="6" t="n">
        <x:f>J1864*K1864</x:f>
        <x:v>1</x:v>
      </x:c>
    </x:row>
    <x:row r="1865">
      <x:c r="A1865" s="1" t="n">
        <x:v>14877</x:v>
      </x:c>
      <x:c r="B1865" s="5" t="d">
        <x:v>2015-08-06T00:00:00.000Z</x:v>
      </x:c>
      <x:c r="C1865" s="1" t="str">
        <x:v>Second Class</x:v>
      </x:c>
      <x:c r="D1865" s="1" t="str">
        <x:v>Europe</x:v>
      </x:c>
      <x:c r="E1865" s="1" t="str">
        <x:v>COMPLETE</x:v>
      </x:c>
      <x:c r="F1865" s="1" t="str">
        <x:v>Late delivery</x:v>
      </x:c>
      <x:c r="G1865" s="6" t="n">
        <x:v>3</x:v>
      </x:c>
      <x:c r="H1865" s="6" t="n">
        <x:v>2</x:v>
      </x:c>
      <x:c r="I1865" s="6" t="n">
        <x:f>G1865-H1865</x:f>
        <x:v>1</x:v>
      </x:c>
      <x:c r="J1865" s="6" t="n">
        <x:f>IF(OR(E1865="CANCELED",E1865="SUSPECTED_FRAUD",F1865="Shipping canceled"),0,1)</x:f>
        <x:v>1</x:v>
      </x:c>
      <x:c r="K1865" s="6" t="n">
        <x:f>IF(G1865&gt;H1865,1,0)</x:f>
        <x:v>1</x:v>
      </x:c>
      <x:c r="L1865" s="6" t="n">
        <x:f>J1865*K1865</x:f>
        <x:v>1</x:v>
      </x:c>
    </x:row>
    <x:row r="1866">
      <x:c r="A1866" s="1" t="n">
        <x:v>14894</x:v>
      </x:c>
      <x:c r="B1866" s="5" t="d">
        <x:v>2015-08-06T00:00:00.000Z</x:v>
      </x:c>
      <x:c r="C1866" s="1" t="str">
        <x:v>First Class</x:v>
      </x:c>
      <x:c r="D1866" s="1" t="str">
        <x:v>Europe</x:v>
      </x:c>
      <x:c r="E1866" s="1" t="str">
        <x:v>PENDING_PAYMENT</x:v>
      </x:c>
      <x:c r="F1866" s="1" t="str">
        <x:v>Late delivery</x:v>
      </x:c>
      <x:c r="G1866" s="6" t="n">
        <x:v>2</x:v>
      </x:c>
      <x:c r="H1866" s="6" t="n">
        <x:v>1</x:v>
      </x:c>
      <x:c r="I1866" s="6" t="n">
        <x:f>G1866-H1866</x:f>
        <x:v>1</x:v>
      </x:c>
      <x:c r="J1866" s="6" t="n">
        <x:f>IF(OR(E1866="CANCELED",E1866="SUSPECTED_FRAUD",F1866="Shipping canceled"),0,1)</x:f>
        <x:v>1</x:v>
      </x:c>
      <x:c r="K1866" s="6" t="n">
        <x:f>IF(G1866&gt;H1866,1,0)</x:f>
        <x:v>1</x:v>
      </x:c>
      <x:c r="L1866" s="6" t="n">
        <x:f>J1866*K1866</x:f>
        <x:v>1</x:v>
      </x:c>
    </x:row>
    <x:row r="1867">
      <x:c r="A1867" s="1" t="n">
        <x:v>14906</x:v>
      </x:c>
      <x:c r="B1867" s="5" t="d">
        <x:v>2015-08-06T00:00:00.000Z</x:v>
      </x:c>
      <x:c r="C1867" s="1" t="str">
        <x:v>Standard Class</x:v>
      </x:c>
      <x:c r="D1867" s="1" t="str">
        <x:v>Europe</x:v>
      </x:c>
      <x:c r="E1867" s="1" t="str">
        <x:v>CLOSED</x:v>
      </x:c>
      <x:c r="F1867" s="1" t="str">
        <x:v>Advance shipping</x:v>
      </x:c>
      <x:c r="G1867" s="6" t="n">
        <x:v>2</x:v>
      </x:c>
      <x:c r="H1867" s="6" t="n">
        <x:v>4</x:v>
      </x:c>
      <x:c r="I1867" s="6" t="n">
        <x:f>G1867-H1867</x:f>
        <x:v>-2</x:v>
      </x:c>
      <x:c r="J1867" s="6" t="n">
        <x:f>IF(OR(E1867="CANCELED",E1867="SUSPECTED_FRAUD",F1867="Shipping canceled"),0,1)</x:f>
        <x:v>1</x:v>
      </x:c>
      <x:c r="K1867" s="6" t="n">
        <x:f>IF(G1867&gt;H1867,1,0)</x:f>
        <x:v>0</x:v>
      </x:c>
      <x:c r="L1867" s="6" t="n">
        <x:f>J1867*K1867</x:f>
        <x:v>0</x:v>
      </x:c>
    </x:row>
    <x:row r="1868">
      <x:c r="A1868" s="1" t="n">
        <x:v>14910</x:v>
      </x:c>
      <x:c r="B1868" s="5" t="d">
        <x:v>2015-08-06T00:00:00.000Z</x:v>
      </x:c>
      <x:c r="C1868" s="1" t="str">
        <x:v>Standard Class</x:v>
      </x:c>
      <x:c r="D1868" s="1" t="str">
        <x:v>Europe</x:v>
      </x:c>
      <x:c r="E1868" s="1" t="str">
        <x:v>COMPLETE</x:v>
      </x:c>
      <x:c r="F1868" s="1" t="str">
        <x:v>Late delivery</x:v>
      </x:c>
      <x:c r="G1868" s="6" t="n">
        <x:v>6</x:v>
      </x:c>
      <x:c r="H1868" s="6" t="n">
        <x:v>4</x:v>
      </x:c>
      <x:c r="I1868" s="6" t="n">
        <x:f>G1868-H1868</x:f>
        <x:v>2</x:v>
      </x:c>
      <x:c r="J1868" s="6" t="n">
        <x:f>IF(OR(E1868="CANCELED",E1868="SUSPECTED_FRAUD",F1868="Shipping canceled"),0,1)</x:f>
        <x:v>1</x:v>
      </x:c>
      <x:c r="K1868" s="6" t="n">
        <x:f>IF(G1868&gt;H1868,1,0)</x:f>
        <x:v>1</x:v>
      </x:c>
      <x:c r="L1868" s="6" t="n">
        <x:f>J1868*K1868</x:f>
        <x:v>1</x:v>
      </x:c>
    </x:row>
    <x:row r="1869">
      <x:c r="A1869" s="1" t="n">
        <x:v>14911</x:v>
      </x:c>
      <x:c r="B1869" s="5" t="d">
        <x:v>2015-08-06T00:00:00.000Z</x:v>
      </x:c>
      <x:c r="C1869" s="1" t="str">
        <x:v>Standard Class</x:v>
      </x:c>
      <x:c r="D1869" s="1" t="str">
        <x:v>Europe</x:v>
      </x:c>
      <x:c r="E1869" s="1" t="str">
        <x:v>PENDING_PAYMENT</x:v>
      </x:c>
      <x:c r="F1869" s="1" t="str">
        <x:v>Advance shipping</x:v>
      </x:c>
      <x:c r="G1869" s="6" t="n">
        <x:v>2</x:v>
      </x:c>
      <x:c r="H1869" s="6" t="n">
        <x:v>4</x:v>
      </x:c>
      <x:c r="I1869" s="6" t="n">
        <x:f>G1869-H1869</x:f>
        <x:v>-2</x:v>
      </x:c>
      <x:c r="J1869" s="6" t="n">
        <x:f>IF(OR(E1869="CANCELED",E1869="SUSPECTED_FRAUD",F1869="Shipping canceled"),0,1)</x:f>
        <x:v>1</x:v>
      </x:c>
      <x:c r="K1869" s="6" t="n">
        <x:f>IF(G1869&gt;H1869,1,0)</x:f>
        <x:v>0</x:v>
      </x:c>
      <x:c r="L1869" s="6" t="n">
        <x:f>J1869*K1869</x:f>
        <x:v>0</x:v>
      </x:c>
    </x:row>
    <x:row r="1870">
      <x:c r="A1870" s="1" t="n">
        <x:v>14924</x:v>
      </x:c>
      <x:c r="B1870" s="5" t="d">
        <x:v>2015-08-06T00:00:00.000Z</x:v>
      </x:c>
      <x:c r="C1870" s="1" t="str">
        <x:v>Standard Class</x:v>
      </x:c>
      <x:c r="D1870" s="1" t="str">
        <x:v>Europe</x:v>
      </x:c>
      <x:c r="E1870" s="1" t="str">
        <x:v>PENDING</x:v>
      </x:c>
      <x:c r="F1870" s="1" t="str">
        <x:v>Late delivery</x:v>
      </x:c>
      <x:c r="G1870" s="6" t="n">
        <x:v>5</x:v>
      </x:c>
      <x:c r="H1870" s="6" t="n">
        <x:v>4</x:v>
      </x:c>
      <x:c r="I1870" s="6" t="n">
        <x:f>G1870-H1870</x:f>
        <x:v>1</x:v>
      </x:c>
      <x:c r="J1870" s="6" t="n">
        <x:f>IF(OR(E1870="CANCELED",E1870="SUSPECTED_FRAUD",F1870="Shipping canceled"),0,1)</x:f>
        <x:v>1</x:v>
      </x:c>
      <x:c r="K1870" s="6" t="n">
        <x:f>IF(G1870&gt;H1870,1,0)</x:f>
        <x:v>1</x:v>
      </x:c>
      <x:c r="L1870" s="6" t="n">
        <x:f>J1870*K1870</x:f>
        <x:v>1</x:v>
      </x:c>
    </x:row>
    <x:row r="1871">
      <x:c r="A1871" s="1" t="n">
        <x:v>14933</x:v>
      </x:c>
      <x:c r="B1871" s="5" t="d">
        <x:v>2015-08-06T00:00:00.000Z</x:v>
      </x:c>
      <x:c r="C1871" s="1" t="str">
        <x:v>First Class</x:v>
      </x:c>
      <x:c r="D1871" s="1" t="str">
        <x:v>Europe</x:v>
      </x:c>
      <x:c r="E1871" s="1" t="str">
        <x:v>CLOSED</x:v>
      </x:c>
      <x:c r="F1871" s="1" t="str">
        <x:v>Late delivery</x:v>
      </x:c>
      <x:c r="G1871" s="6" t="n">
        <x:v>2</x:v>
      </x:c>
      <x:c r="H1871" s="6" t="n">
        <x:v>1</x:v>
      </x:c>
      <x:c r="I1871" s="6" t="n">
        <x:f>G1871-H1871</x:f>
        <x:v>1</x:v>
      </x:c>
      <x:c r="J1871" s="6" t="n">
        <x:f>IF(OR(E1871="CANCELED",E1871="SUSPECTED_FRAUD",F1871="Shipping canceled"),0,1)</x:f>
        <x:v>1</x:v>
      </x:c>
      <x:c r="K1871" s="6" t="n">
        <x:f>IF(G1871&gt;H1871,1,0)</x:f>
        <x:v>1</x:v>
      </x:c>
      <x:c r="L1871" s="6" t="n">
        <x:f>J1871*K1871</x:f>
        <x:v>1</x:v>
      </x:c>
    </x:row>
    <x:row r="1872">
      <x:c r="A1872" s="1" t="n">
        <x:v>14949</x:v>
      </x:c>
      <x:c r="B1872" s="5" t="d">
        <x:v>2015-08-07T00:00:00.000Z</x:v>
      </x:c>
      <x:c r="C1872" s="1" t="str">
        <x:v>Standard Class</x:v>
      </x:c>
      <x:c r="D1872" s="1" t="str">
        <x:v>Europe</x:v>
      </x:c>
      <x:c r="E1872" s="1" t="str">
        <x:v>COMPLETE</x:v>
      </x:c>
      <x:c r="F1872" s="1" t="str">
        <x:v>Late delivery</x:v>
      </x:c>
      <x:c r="G1872" s="6" t="n">
        <x:v>5</x:v>
      </x:c>
      <x:c r="H1872" s="6" t="n">
        <x:v>4</x:v>
      </x:c>
      <x:c r="I1872" s="6" t="n">
        <x:f>G1872-H1872</x:f>
        <x:v>1</x:v>
      </x:c>
      <x:c r="J1872" s="6" t="n">
        <x:f>IF(OR(E1872="CANCELED",E1872="SUSPECTED_FRAUD",F1872="Shipping canceled"),0,1)</x:f>
        <x:v>1</x:v>
      </x:c>
      <x:c r="K1872" s="6" t="n">
        <x:f>IF(G1872&gt;H1872,1,0)</x:f>
        <x:v>1</x:v>
      </x:c>
      <x:c r="L1872" s="6" t="n">
        <x:f>J1872*K1872</x:f>
        <x:v>1</x:v>
      </x:c>
    </x:row>
    <x:row r="1873">
      <x:c r="A1873" s="1" t="n">
        <x:v>14953</x:v>
      </x:c>
      <x:c r="B1873" s="5" t="d">
        <x:v>2015-08-07T00:00:00.000Z</x:v>
      </x:c>
      <x:c r="C1873" s="1" t="str">
        <x:v>Standard Class</x:v>
      </x:c>
      <x:c r="D1873" s="1" t="str">
        <x:v>Europe</x:v>
      </x:c>
      <x:c r="E1873" s="1" t="str">
        <x:v>ON_HOLD</x:v>
      </x:c>
      <x:c r="F1873" s="1" t="str">
        <x:v>Shipping on time</x:v>
      </x:c>
      <x:c r="G1873" s="6" t="n">
        <x:v>4</x:v>
      </x:c>
      <x:c r="H1873" s="6" t="n">
        <x:v>4</x:v>
      </x:c>
      <x:c r="I1873" s="6" t="n">
        <x:f>G1873-H1873</x:f>
        <x:v>0</x:v>
      </x:c>
      <x:c r="J1873" s="6" t="n">
        <x:f>IF(OR(E1873="CANCELED",E1873="SUSPECTED_FRAUD",F1873="Shipping canceled"),0,1)</x:f>
        <x:v>1</x:v>
      </x:c>
      <x:c r="K1873" s="6" t="n">
        <x:f>IF(G1873&gt;H1873,1,0)</x:f>
        <x:v>0</x:v>
      </x:c>
      <x:c r="L1873" s="6" t="n">
        <x:f>J1873*K1873</x:f>
        <x:v>0</x:v>
      </x:c>
    </x:row>
    <x:row r="1874">
      <x:c r="A1874" s="1" t="n">
        <x:v>14957</x:v>
      </x:c>
      <x:c r="B1874" s="5" t="d">
        <x:v>2015-08-07T00:00:00.000Z</x:v>
      </x:c>
      <x:c r="C1874" s="1" t="str">
        <x:v>Standard Class</x:v>
      </x:c>
      <x:c r="D1874" s="1" t="str">
        <x:v>Europe</x:v>
      </x:c>
      <x:c r="E1874" s="1" t="str">
        <x:v>PENDING</x:v>
      </x:c>
      <x:c r="F1874" s="1" t="str">
        <x:v>Advance shipping</x:v>
      </x:c>
      <x:c r="G1874" s="6" t="n">
        <x:v>3</x:v>
      </x:c>
      <x:c r="H1874" s="6" t="n">
        <x:v>4</x:v>
      </x:c>
      <x:c r="I1874" s="6" t="n">
        <x:f>G1874-H1874</x:f>
        <x:v>-1</x:v>
      </x:c>
      <x:c r="J1874" s="6" t="n">
        <x:f>IF(OR(E1874="CANCELED",E1874="SUSPECTED_FRAUD",F1874="Shipping canceled"),0,1)</x:f>
        <x:v>1</x:v>
      </x:c>
      <x:c r="K1874" s="6" t="n">
        <x:f>IF(G1874&gt;H1874,1,0)</x:f>
        <x:v>0</x:v>
      </x:c>
      <x:c r="L1874" s="6" t="n">
        <x:f>J1874*K1874</x:f>
        <x:v>0</x:v>
      </x:c>
    </x:row>
    <x:row r="1875">
      <x:c r="A1875" s="1" t="n">
        <x:v>14960</x:v>
      </x:c>
      <x:c r="B1875" s="5" t="d">
        <x:v>2015-08-07T00:00:00.000Z</x:v>
      </x:c>
      <x:c r="C1875" s="1" t="str">
        <x:v>Second Class</x:v>
      </x:c>
      <x:c r="D1875" s="1" t="str">
        <x:v>Europe</x:v>
      </x:c>
      <x:c r="E1875" s="1" t="str">
        <x:v>COMPLETE</x:v>
      </x:c>
      <x:c r="F1875" s="1" t="str">
        <x:v>Late delivery</x:v>
      </x:c>
      <x:c r="G1875" s="6" t="n">
        <x:v>6</x:v>
      </x:c>
      <x:c r="H1875" s="6" t="n">
        <x:v>2</x:v>
      </x:c>
      <x:c r="I1875" s="6" t="n">
        <x:f>G1875-H1875</x:f>
        <x:v>4</x:v>
      </x:c>
      <x:c r="J1875" s="6" t="n">
        <x:f>IF(OR(E1875="CANCELED",E1875="SUSPECTED_FRAUD",F1875="Shipping canceled"),0,1)</x:f>
        <x:v>1</x:v>
      </x:c>
      <x:c r="K1875" s="6" t="n">
        <x:f>IF(G1875&gt;H1875,1,0)</x:f>
        <x:v>1</x:v>
      </x:c>
      <x:c r="L1875" s="6" t="n">
        <x:f>J1875*K1875</x:f>
        <x:v>1</x:v>
      </x:c>
    </x:row>
    <x:row r="1876">
      <x:c r="A1876" s="1" t="n">
        <x:v>14965</x:v>
      </x:c>
      <x:c r="B1876" s="5" t="d">
        <x:v>2015-08-07T00:00:00.000Z</x:v>
      </x:c>
      <x:c r="C1876" s="1" t="str">
        <x:v>Second Class</x:v>
      </x:c>
      <x:c r="D1876" s="1" t="str">
        <x:v>Europe</x:v>
      </x:c>
      <x:c r="E1876" s="1" t="str">
        <x:v>COMPLETE</x:v>
      </x:c>
      <x:c r="F1876" s="1" t="str">
        <x:v>Late delivery</x:v>
      </x:c>
      <x:c r="G1876" s="6" t="n">
        <x:v>6</x:v>
      </x:c>
      <x:c r="H1876" s="6" t="n">
        <x:v>2</x:v>
      </x:c>
      <x:c r="I1876" s="6" t="n">
        <x:f>G1876-H1876</x:f>
        <x:v>4</x:v>
      </x:c>
      <x:c r="J1876" s="6" t="n">
        <x:f>IF(OR(E1876="CANCELED",E1876="SUSPECTED_FRAUD",F1876="Shipping canceled"),0,1)</x:f>
        <x:v>1</x:v>
      </x:c>
      <x:c r="K1876" s="6" t="n">
        <x:f>IF(G1876&gt;H1876,1,0)</x:f>
        <x:v>1</x:v>
      </x:c>
      <x:c r="L1876" s="6" t="n">
        <x:f>J1876*K1876</x:f>
        <x:v>1</x:v>
      </x:c>
    </x:row>
    <x:row r="1877">
      <x:c r="A1877" s="1" t="n">
        <x:v>14976</x:v>
      </x:c>
      <x:c r="B1877" s="5" t="d">
        <x:v>2015-08-07T00:00:00.000Z</x:v>
      </x:c>
      <x:c r="C1877" s="1" t="str">
        <x:v>Standard Class</x:v>
      </x:c>
      <x:c r="D1877" s="1" t="str">
        <x:v>Europe</x:v>
      </x:c>
      <x:c r="E1877" s="1" t="str">
        <x:v>COMPLETE</x:v>
      </x:c>
      <x:c r="F1877" s="1" t="str">
        <x:v>Advance shipping</x:v>
      </x:c>
      <x:c r="G1877" s="6" t="n">
        <x:v>2</x:v>
      </x:c>
      <x:c r="H1877" s="6" t="n">
        <x:v>4</x:v>
      </x:c>
      <x:c r="I1877" s="6" t="n">
        <x:f>G1877-H1877</x:f>
        <x:v>-2</x:v>
      </x:c>
      <x:c r="J1877" s="6" t="n">
        <x:f>IF(OR(E1877="CANCELED",E1877="SUSPECTED_FRAUD",F1877="Shipping canceled"),0,1)</x:f>
        <x:v>1</x:v>
      </x:c>
      <x:c r="K1877" s="6" t="n">
        <x:f>IF(G1877&gt;H1877,1,0)</x:f>
        <x:v>0</x:v>
      </x:c>
      <x:c r="L1877" s="6" t="n">
        <x:f>J1877*K1877</x:f>
        <x:v>0</x:v>
      </x:c>
    </x:row>
    <x:row r="1878">
      <x:c r="A1878" s="1" t="n">
        <x:v>14977</x:v>
      </x:c>
      <x:c r="B1878" s="5" t="d">
        <x:v>2015-08-07T00:00:00.000Z</x:v>
      </x:c>
      <x:c r="C1878" s="1" t="str">
        <x:v>Standard Class</x:v>
      </x:c>
      <x:c r="D1878" s="1" t="str">
        <x:v>Europe</x:v>
      </x:c>
      <x:c r="E1878" s="1" t="str">
        <x:v>COMPLETE</x:v>
      </x:c>
      <x:c r="F1878" s="1" t="str">
        <x:v>Advance shipping</x:v>
      </x:c>
      <x:c r="G1878" s="6" t="n">
        <x:v>3</x:v>
      </x:c>
      <x:c r="H1878" s="6" t="n">
        <x:v>4</x:v>
      </x:c>
      <x:c r="I1878" s="6" t="n">
        <x:f>G1878-H1878</x:f>
        <x:v>-1</x:v>
      </x:c>
      <x:c r="J1878" s="6" t="n">
        <x:f>IF(OR(E1878="CANCELED",E1878="SUSPECTED_FRAUD",F1878="Shipping canceled"),0,1)</x:f>
        <x:v>1</x:v>
      </x:c>
      <x:c r="K1878" s="6" t="n">
        <x:f>IF(G1878&gt;H1878,1,0)</x:f>
        <x:v>0</x:v>
      </x:c>
      <x:c r="L1878" s="6" t="n">
        <x:f>J1878*K1878</x:f>
        <x:v>0</x:v>
      </x:c>
    </x:row>
    <x:row r="1879">
      <x:c r="A1879" s="1" t="n">
        <x:v>14984</x:v>
      </x:c>
      <x:c r="B1879" s="5" t="d">
        <x:v>2015-08-07T00:00:00.000Z</x:v>
      </x:c>
      <x:c r="C1879" s="1" t="str">
        <x:v>First Class</x:v>
      </x:c>
      <x:c r="D1879" s="1" t="str">
        <x:v>Europe</x:v>
      </x:c>
      <x:c r="E1879" s="1" t="str">
        <x:v>PENDING_PAYMENT</x:v>
      </x:c>
      <x:c r="F1879" s="1" t="str">
        <x:v>Late delivery</x:v>
      </x:c>
      <x:c r="G1879" s="6" t="n">
        <x:v>2</x:v>
      </x:c>
      <x:c r="H1879" s="6" t="n">
        <x:v>1</x:v>
      </x:c>
      <x:c r="I1879" s="6" t="n">
        <x:f>G1879-H1879</x:f>
        <x:v>1</x:v>
      </x:c>
      <x:c r="J1879" s="6" t="n">
        <x:f>IF(OR(E1879="CANCELED",E1879="SUSPECTED_FRAUD",F1879="Shipping canceled"),0,1)</x:f>
        <x:v>1</x:v>
      </x:c>
      <x:c r="K1879" s="6" t="n">
        <x:f>IF(G1879&gt;H1879,1,0)</x:f>
        <x:v>1</x:v>
      </x:c>
      <x:c r="L1879" s="6" t="n">
        <x:f>J1879*K1879</x:f>
        <x:v>1</x:v>
      </x:c>
    </x:row>
    <x:row r="1880">
      <x:c r="A1880" s="1" t="n">
        <x:v>15000</x:v>
      </x:c>
      <x:c r="B1880" s="5" t="d">
        <x:v>2015-08-07T00:00:00.000Z</x:v>
      </x:c>
      <x:c r="C1880" s="1" t="str">
        <x:v>Standard Class</x:v>
      </x:c>
      <x:c r="D1880" s="1" t="str">
        <x:v>Europe</x:v>
      </x:c>
      <x:c r="E1880" s="1" t="str">
        <x:v>PENDING</x:v>
      </x:c>
      <x:c r="F1880" s="1" t="str">
        <x:v>Late delivery</x:v>
      </x:c>
      <x:c r="G1880" s="6" t="n">
        <x:v>6</x:v>
      </x:c>
      <x:c r="H1880" s="6" t="n">
        <x:v>4</x:v>
      </x:c>
      <x:c r="I1880" s="6" t="n">
        <x:f>G1880-H1880</x:f>
        <x:v>2</x:v>
      </x:c>
      <x:c r="J1880" s="6" t="n">
        <x:f>IF(OR(E1880="CANCELED",E1880="SUSPECTED_FRAUD",F1880="Shipping canceled"),0,1)</x:f>
        <x:v>1</x:v>
      </x:c>
      <x:c r="K1880" s="6" t="n">
        <x:f>IF(G1880&gt;H1880,1,0)</x:f>
        <x:v>1</x:v>
      </x:c>
      <x:c r="L1880" s="6" t="n">
        <x:f>J1880*K1880</x:f>
        <x:v>1</x:v>
      </x:c>
    </x:row>
    <x:row r="1881">
      <x:c r="A1881" s="1" t="n">
        <x:v>15012</x:v>
      </x:c>
      <x:c r="B1881" s="5" t="d">
        <x:v>2015-08-08T00:00:00.000Z</x:v>
      </x:c>
      <x:c r="C1881" s="1" t="str">
        <x:v>Standard Class</x:v>
      </x:c>
      <x:c r="D1881" s="1" t="str">
        <x:v>Europe</x:v>
      </x:c>
      <x:c r="E1881" s="1" t="str">
        <x:v>COMPLETE</x:v>
      </x:c>
      <x:c r="F1881" s="1" t="str">
        <x:v>Advance shipping</x:v>
      </x:c>
      <x:c r="G1881" s="6" t="n">
        <x:v>3</x:v>
      </x:c>
      <x:c r="H1881" s="6" t="n">
        <x:v>4</x:v>
      </x:c>
      <x:c r="I1881" s="6" t="n">
        <x:f>G1881-H1881</x:f>
        <x:v>-1</x:v>
      </x:c>
      <x:c r="J1881" s="6" t="n">
        <x:f>IF(OR(E1881="CANCELED",E1881="SUSPECTED_FRAUD",F1881="Shipping canceled"),0,1)</x:f>
        <x:v>1</x:v>
      </x:c>
      <x:c r="K1881" s="6" t="n">
        <x:f>IF(G1881&gt;H1881,1,0)</x:f>
        <x:v>0</x:v>
      </x:c>
      <x:c r="L1881" s="6" t="n">
        <x:f>J1881*K1881</x:f>
        <x:v>0</x:v>
      </x:c>
    </x:row>
    <x:row r="1882">
      <x:c r="A1882" s="1" t="n">
        <x:v>15024</x:v>
      </x:c>
      <x:c r="B1882" s="5" t="d">
        <x:v>2015-08-08T00:00:00.000Z</x:v>
      </x:c>
      <x:c r="C1882" s="1" t="str">
        <x:v>Standard Class</x:v>
      </x:c>
      <x:c r="D1882" s="1" t="str">
        <x:v>Europe</x:v>
      </x:c>
      <x:c r="E1882" s="1" t="str">
        <x:v>PENDING</x:v>
      </x:c>
      <x:c r="F1882" s="1" t="str">
        <x:v>Late delivery</x:v>
      </x:c>
      <x:c r="G1882" s="6" t="n">
        <x:v>5</x:v>
      </x:c>
      <x:c r="H1882" s="6" t="n">
        <x:v>4</x:v>
      </x:c>
      <x:c r="I1882" s="6" t="n">
        <x:f>G1882-H1882</x:f>
        <x:v>1</x:v>
      </x:c>
      <x:c r="J1882" s="6" t="n">
        <x:f>IF(OR(E1882="CANCELED",E1882="SUSPECTED_FRAUD",F1882="Shipping canceled"),0,1)</x:f>
        <x:v>1</x:v>
      </x:c>
      <x:c r="K1882" s="6" t="n">
        <x:f>IF(G1882&gt;H1882,1,0)</x:f>
        <x:v>1</x:v>
      </x:c>
      <x:c r="L1882" s="6" t="n">
        <x:f>J1882*K1882</x:f>
        <x:v>1</x:v>
      </x:c>
    </x:row>
    <x:row r="1883">
      <x:c r="A1883" s="1" t="n">
        <x:v>15029</x:v>
      </x:c>
      <x:c r="B1883" s="5" t="d">
        <x:v>2015-08-08T00:00:00.000Z</x:v>
      </x:c>
      <x:c r="C1883" s="1" t="str">
        <x:v>Standard Class</x:v>
      </x:c>
      <x:c r="D1883" s="1" t="str">
        <x:v>Europe</x:v>
      </x:c>
      <x:c r="E1883" s="1" t="str">
        <x:v>PROCESSING</x:v>
      </x:c>
      <x:c r="F1883" s="1" t="str">
        <x:v>Late delivery</x:v>
      </x:c>
      <x:c r="G1883" s="6" t="n">
        <x:v>5</x:v>
      </x:c>
      <x:c r="H1883" s="6" t="n">
        <x:v>4</x:v>
      </x:c>
      <x:c r="I1883" s="6" t="n">
        <x:f>G1883-H1883</x:f>
        <x:v>1</x:v>
      </x:c>
      <x:c r="J1883" s="6" t="n">
        <x:f>IF(OR(E1883="CANCELED",E1883="SUSPECTED_FRAUD",F1883="Shipping canceled"),0,1)</x:f>
        <x:v>1</x:v>
      </x:c>
      <x:c r="K1883" s="6" t="n">
        <x:f>IF(G1883&gt;H1883,1,0)</x:f>
        <x:v>1</x:v>
      </x:c>
      <x:c r="L1883" s="6" t="n">
        <x:f>J1883*K1883</x:f>
        <x:v>1</x:v>
      </x:c>
    </x:row>
    <x:row r="1884">
      <x:c r="A1884" s="1" t="n">
        <x:v>15031</x:v>
      </x:c>
      <x:c r="B1884" s="5" t="d">
        <x:v>2015-08-08T00:00:00.000Z</x:v>
      </x:c>
      <x:c r="C1884" s="1" t="str">
        <x:v>Standard Class</x:v>
      </x:c>
      <x:c r="D1884" s="1" t="str">
        <x:v>Europe</x:v>
      </x:c>
      <x:c r="E1884" s="1" t="str">
        <x:v>COMPLETE</x:v>
      </x:c>
      <x:c r="F1884" s="1" t="str">
        <x:v>Advance shipping</x:v>
      </x:c>
      <x:c r="G1884" s="6" t="n">
        <x:v>2</x:v>
      </x:c>
      <x:c r="H1884" s="6" t="n">
        <x:v>4</x:v>
      </x:c>
      <x:c r="I1884" s="6" t="n">
        <x:f>G1884-H1884</x:f>
        <x:v>-2</x:v>
      </x:c>
      <x:c r="J1884" s="6" t="n">
        <x:f>IF(OR(E1884="CANCELED",E1884="SUSPECTED_FRAUD",F1884="Shipping canceled"),0,1)</x:f>
        <x:v>1</x:v>
      </x:c>
      <x:c r="K1884" s="6" t="n">
        <x:f>IF(G1884&gt;H1884,1,0)</x:f>
        <x:v>0</x:v>
      </x:c>
      <x:c r="L1884" s="6" t="n">
        <x:f>J1884*K1884</x:f>
        <x:v>0</x:v>
      </x:c>
    </x:row>
    <x:row r="1885">
      <x:c r="A1885" s="1" t="n">
        <x:v>15040</x:v>
      </x:c>
      <x:c r="B1885" s="5" t="d">
        <x:v>2015-08-08T00:00:00.000Z</x:v>
      </x:c>
      <x:c r="C1885" s="1" t="str">
        <x:v>Standard Class</x:v>
      </x:c>
      <x:c r="D1885" s="1" t="str">
        <x:v>Europe</x:v>
      </x:c>
      <x:c r="E1885" s="1" t="str">
        <x:v>COMPLETE</x:v>
      </x:c>
      <x:c r="F1885" s="1" t="str">
        <x:v>Late delivery</x:v>
      </x:c>
      <x:c r="G1885" s="6" t="n">
        <x:v>6</x:v>
      </x:c>
      <x:c r="H1885" s="6" t="n">
        <x:v>4</x:v>
      </x:c>
      <x:c r="I1885" s="6" t="n">
        <x:f>G1885-H1885</x:f>
        <x:v>2</x:v>
      </x:c>
      <x:c r="J1885" s="6" t="n">
        <x:f>IF(OR(E1885="CANCELED",E1885="SUSPECTED_FRAUD",F1885="Shipping canceled"),0,1)</x:f>
        <x:v>1</x:v>
      </x:c>
      <x:c r="K1885" s="6" t="n">
        <x:f>IF(G1885&gt;H1885,1,0)</x:f>
        <x:v>1</x:v>
      </x:c>
      <x:c r="L1885" s="6" t="n">
        <x:f>J1885*K1885</x:f>
        <x:v>1</x:v>
      </x:c>
    </x:row>
    <x:row r="1886">
      <x:c r="A1886" s="1" t="n">
        <x:v>15042</x:v>
      </x:c>
      <x:c r="B1886" s="5" t="d">
        <x:v>2015-08-08T00:00:00.000Z</x:v>
      </x:c>
      <x:c r="C1886" s="1" t="str">
        <x:v>Standard Class</x:v>
      </x:c>
      <x:c r="D1886" s="1" t="str">
        <x:v>Europe</x:v>
      </x:c>
      <x:c r="E1886" s="1" t="str">
        <x:v>PROCESSING</x:v>
      </x:c>
      <x:c r="F1886" s="1" t="str">
        <x:v>Advance shipping</x:v>
      </x:c>
      <x:c r="G1886" s="6" t="n">
        <x:v>3</x:v>
      </x:c>
      <x:c r="H1886" s="6" t="n">
        <x:v>4</x:v>
      </x:c>
      <x:c r="I1886" s="6" t="n">
        <x:f>G1886-H1886</x:f>
        <x:v>-1</x:v>
      </x:c>
      <x:c r="J1886" s="6" t="n">
        <x:f>IF(OR(E1886="CANCELED",E1886="SUSPECTED_FRAUD",F1886="Shipping canceled"),0,1)</x:f>
        <x:v>1</x:v>
      </x:c>
      <x:c r="K1886" s="6" t="n">
        <x:f>IF(G1886&gt;H1886,1,0)</x:f>
        <x:v>0</x:v>
      </x:c>
      <x:c r="L1886" s="6" t="n">
        <x:f>J1886*K1886</x:f>
        <x:v>0</x:v>
      </x:c>
    </x:row>
    <x:row r="1887">
      <x:c r="A1887" s="1" t="n">
        <x:v>15047</x:v>
      </x:c>
      <x:c r="B1887" s="5" t="d">
        <x:v>2015-08-08T00:00:00.000Z</x:v>
      </x:c>
      <x:c r="C1887" s="1" t="str">
        <x:v>First Class</x:v>
      </x:c>
      <x:c r="D1887" s="1" t="str">
        <x:v>Europe</x:v>
      </x:c>
      <x:c r="E1887" s="1" t="str">
        <x:v>PENDING_PAYMENT</x:v>
      </x:c>
      <x:c r="F1887" s="1" t="str">
        <x:v>Late delivery</x:v>
      </x:c>
      <x:c r="G1887" s="6" t="n">
        <x:v>2</x:v>
      </x:c>
      <x:c r="H1887" s="6" t="n">
        <x:v>1</x:v>
      </x:c>
      <x:c r="I1887" s="6" t="n">
        <x:f>G1887-H1887</x:f>
        <x:v>1</x:v>
      </x:c>
      <x:c r="J1887" s="6" t="n">
        <x:f>IF(OR(E1887="CANCELED",E1887="SUSPECTED_FRAUD",F1887="Shipping canceled"),0,1)</x:f>
        <x:v>1</x:v>
      </x:c>
      <x:c r="K1887" s="6" t="n">
        <x:f>IF(G1887&gt;H1887,1,0)</x:f>
        <x:v>1</x:v>
      </x:c>
      <x:c r="L1887" s="6" t="n">
        <x:f>J1887*K1887</x:f>
        <x:v>1</x:v>
      </x:c>
    </x:row>
    <x:row r="1888">
      <x:c r="A1888" s="1" t="n">
        <x:v>15069</x:v>
      </x:c>
      <x:c r="B1888" s="5" t="d">
        <x:v>2015-08-08T00:00:00.000Z</x:v>
      </x:c>
      <x:c r="C1888" s="1" t="str">
        <x:v>Second Class</x:v>
      </x:c>
      <x:c r="D1888" s="1" t="str">
        <x:v>Europe</x:v>
      </x:c>
      <x:c r="E1888" s="1" t="str">
        <x:v>PENDING_PAYMENT</x:v>
      </x:c>
      <x:c r="F1888" s="1" t="str">
        <x:v>Late delivery</x:v>
      </x:c>
      <x:c r="G1888" s="6" t="n">
        <x:v>5</x:v>
      </x:c>
      <x:c r="H1888" s="6" t="n">
        <x:v>2</x:v>
      </x:c>
      <x:c r="I1888" s="6" t="n">
        <x:f>G1888-H1888</x:f>
        <x:v>3</x:v>
      </x:c>
      <x:c r="J1888" s="6" t="n">
        <x:f>IF(OR(E1888="CANCELED",E1888="SUSPECTED_FRAUD",F1888="Shipping canceled"),0,1)</x:f>
        <x:v>1</x:v>
      </x:c>
      <x:c r="K1888" s="6" t="n">
        <x:f>IF(G1888&gt;H1888,1,0)</x:f>
        <x:v>1</x:v>
      </x:c>
      <x:c r="L1888" s="6" t="n">
        <x:f>J1888*K1888</x:f>
        <x:v>1</x:v>
      </x:c>
    </x:row>
    <x:row r="1889">
      <x:c r="A1889" s="1" t="n">
        <x:v>15072</x:v>
      </x:c>
      <x:c r="B1889" s="5" t="d">
        <x:v>2015-08-09T00:00:00.000Z</x:v>
      </x:c>
      <x:c r="C1889" s="1" t="str">
        <x:v>Standard Class</x:v>
      </x:c>
      <x:c r="D1889" s="1" t="str">
        <x:v>Europe</x:v>
      </x:c>
      <x:c r="E1889" s="1" t="str">
        <x:v>PROCESSING</x:v>
      </x:c>
      <x:c r="F1889" s="1" t="str">
        <x:v>Advance shipping</x:v>
      </x:c>
      <x:c r="G1889" s="6" t="n">
        <x:v>3</x:v>
      </x:c>
      <x:c r="H1889" s="6" t="n">
        <x:v>4</x:v>
      </x:c>
      <x:c r="I1889" s="6" t="n">
        <x:f>G1889-H1889</x:f>
        <x:v>-1</x:v>
      </x:c>
      <x:c r="J1889" s="6" t="n">
        <x:f>IF(OR(E1889="CANCELED",E1889="SUSPECTED_FRAUD",F1889="Shipping canceled"),0,1)</x:f>
        <x:v>1</x:v>
      </x:c>
      <x:c r="K1889" s="6" t="n">
        <x:f>IF(G1889&gt;H1889,1,0)</x:f>
        <x:v>0</x:v>
      </x:c>
      <x:c r="L1889" s="6" t="n">
        <x:f>J1889*K1889</x:f>
        <x:v>0</x:v>
      </x:c>
    </x:row>
    <x:row r="1890">
      <x:c r="A1890" s="1" t="n">
        <x:v>15073</x:v>
      </x:c>
      <x:c r="B1890" s="5" t="d">
        <x:v>2015-08-09T00:00:00.000Z</x:v>
      </x:c>
      <x:c r="C1890" s="1" t="str">
        <x:v>Standard Class</x:v>
      </x:c>
      <x:c r="D1890" s="1" t="str">
        <x:v>Europe</x:v>
      </x:c>
      <x:c r="E1890" s="1" t="str">
        <x:v>PENDING</x:v>
      </x:c>
      <x:c r="F1890" s="1" t="str">
        <x:v>Shipping on time</x:v>
      </x:c>
      <x:c r="G1890" s="6" t="n">
        <x:v>4</x:v>
      </x:c>
      <x:c r="H1890" s="6" t="n">
        <x:v>4</x:v>
      </x:c>
      <x:c r="I1890" s="6" t="n">
        <x:f>G1890-H1890</x:f>
        <x:v>0</x:v>
      </x:c>
      <x:c r="J1890" s="6" t="n">
        <x:f>IF(OR(E1890="CANCELED",E1890="SUSPECTED_FRAUD",F1890="Shipping canceled"),0,1)</x:f>
        <x:v>1</x:v>
      </x:c>
      <x:c r="K1890" s="6" t="n">
        <x:f>IF(G1890&gt;H1890,1,0)</x:f>
        <x:v>0</x:v>
      </x:c>
      <x:c r="L1890" s="6" t="n">
        <x:f>J1890*K1890</x:f>
        <x:v>0</x:v>
      </x:c>
    </x:row>
    <x:row r="1891">
      <x:c r="A1891" s="1" t="n">
        <x:v>15078</x:v>
      </x:c>
      <x:c r="B1891" s="5" t="d">
        <x:v>2015-08-09T00:00:00.000Z</x:v>
      </x:c>
      <x:c r="C1891" s="1" t="str">
        <x:v>Standard Class</x:v>
      </x:c>
      <x:c r="D1891" s="1" t="str">
        <x:v>Europe</x:v>
      </x:c>
      <x:c r="E1891" s="1" t="str">
        <x:v>PENDING</x:v>
      </x:c>
      <x:c r="F1891" s="1" t="str">
        <x:v>Shipping on time</x:v>
      </x:c>
      <x:c r="G1891" s="6" t="n">
        <x:v>4</x:v>
      </x:c>
      <x:c r="H1891" s="6" t="n">
        <x:v>4</x:v>
      </x:c>
      <x:c r="I1891" s="6" t="n">
        <x:f>G1891-H1891</x:f>
        <x:v>0</x:v>
      </x:c>
      <x:c r="J1891" s="6" t="n">
        <x:f>IF(OR(E1891="CANCELED",E1891="SUSPECTED_FRAUD",F1891="Shipping canceled"),0,1)</x:f>
        <x:v>1</x:v>
      </x:c>
      <x:c r="K1891" s="6" t="n">
        <x:f>IF(G1891&gt;H1891,1,0)</x:f>
        <x:v>0</x:v>
      </x:c>
      <x:c r="L1891" s="6" t="n">
        <x:f>J1891*K1891</x:f>
        <x:v>0</x:v>
      </x:c>
    </x:row>
    <x:row r="1892">
      <x:c r="A1892" s="1" t="n">
        <x:v>15086</x:v>
      </x:c>
      <x:c r="B1892" s="5" t="d">
        <x:v>2015-08-09T00:00:00.000Z</x:v>
      </x:c>
      <x:c r="C1892" s="1" t="str">
        <x:v>Standard Class</x:v>
      </x:c>
      <x:c r="D1892" s="1" t="str">
        <x:v>Europe</x:v>
      </x:c>
      <x:c r="E1892" s="1" t="str">
        <x:v>COMPLETE</x:v>
      </x:c>
      <x:c r="F1892" s="1" t="str">
        <x:v>Advance shipping</x:v>
      </x:c>
      <x:c r="G1892" s="6" t="n">
        <x:v>2</x:v>
      </x:c>
      <x:c r="H1892" s="6" t="n">
        <x:v>4</x:v>
      </x:c>
      <x:c r="I1892" s="6" t="n">
        <x:f>G1892-H1892</x:f>
        <x:v>-2</x:v>
      </x:c>
      <x:c r="J1892" s="6" t="n">
        <x:f>IF(OR(E1892="CANCELED",E1892="SUSPECTED_FRAUD",F1892="Shipping canceled"),0,1)</x:f>
        <x:v>1</x:v>
      </x:c>
      <x:c r="K1892" s="6" t="n">
        <x:f>IF(G1892&gt;H1892,1,0)</x:f>
        <x:v>0</x:v>
      </x:c>
      <x:c r="L1892" s="6" t="n">
        <x:f>J1892*K1892</x:f>
        <x:v>0</x:v>
      </x:c>
    </x:row>
    <x:row r="1893">
      <x:c r="A1893" s="1" t="n">
        <x:v>15087</x:v>
      </x:c>
      <x:c r="B1893" s="5" t="d">
        <x:v>2015-08-09T00:00:00.000Z</x:v>
      </x:c>
      <x:c r="C1893" s="1" t="str">
        <x:v>Standard Class</x:v>
      </x:c>
      <x:c r="D1893" s="1" t="str">
        <x:v>Europe</x:v>
      </x:c>
      <x:c r="E1893" s="1" t="str">
        <x:v>CANCELED</x:v>
      </x:c>
      <x:c r="F1893" s="1" t="str">
        <x:v>Shipping canceled</x:v>
      </x:c>
      <x:c r="G1893" s="6" t="n">
        <x:v>3</x:v>
      </x:c>
      <x:c r="H1893" s="6" t="n">
        <x:v>4</x:v>
      </x:c>
      <x:c r="I1893" s="6" t="n">
        <x:f>G1893-H1893</x:f>
        <x:v>-1</x:v>
      </x:c>
      <x:c r="J1893" s="6" t="n">
        <x:f>IF(OR(E1893="CANCELED",E1893="SUSPECTED_FRAUD",F1893="Shipping canceled"),0,1)</x:f>
        <x:v>0</x:v>
      </x:c>
      <x:c r="K1893" s="6" t="n">
        <x:f>IF(G1893&gt;H1893,1,0)</x:f>
        <x:v>0</x:v>
      </x:c>
      <x:c r="L1893" s="6" t="n">
        <x:f>J1893*K1893</x:f>
        <x:v>0</x:v>
      </x:c>
    </x:row>
    <x:row r="1894">
      <x:c r="A1894" s="1" t="n">
        <x:v>15099</x:v>
      </x:c>
      <x:c r="B1894" s="5" t="d">
        <x:v>2015-08-09T00:00:00.000Z</x:v>
      </x:c>
      <x:c r="C1894" s="1" t="str">
        <x:v>Standard Class</x:v>
      </x:c>
      <x:c r="D1894" s="1" t="str">
        <x:v>Europe</x:v>
      </x:c>
      <x:c r="E1894" s="1" t="str">
        <x:v>COMPLETE</x:v>
      </x:c>
      <x:c r="F1894" s="1" t="str">
        <x:v>Late delivery</x:v>
      </x:c>
      <x:c r="G1894" s="6" t="n">
        <x:v>5</x:v>
      </x:c>
      <x:c r="H1894" s="6" t="n">
        <x:v>4</x:v>
      </x:c>
      <x:c r="I1894" s="6" t="n">
        <x:f>G1894-H1894</x:f>
        <x:v>1</x:v>
      </x:c>
      <x:c r="J1894" s="6" t="n">
        <x:f>IF(OR(E1894="CANCELED",E1894="SUSPECTED_FRAUD",F1894="Shipping canceled"),0,1)</x:f>
        <x:v>1</x:v>
      </x:c>
      <x:c r="K1894" s="6" t="n">
        <x:f>IF(G1894&gt;H1894,1,0)</x:f>
        <x:v>1</x:v>
      </x:c>
      <x:c r="L1894" s="6" t="n">
        <x:f>J1894*K1894</x:f>
        <x:v>1</x:v>
      </x:c>
    </x:row>
    <x:row r="1895">
      <x:c r="A1895" s="1" t="n">
        <x:v>15105</x:v>
      </x:c>
      <x:c r="B1895" s="5" t="d">
        <x:v>2015-08-09T00:00:00.000Z</x:v>
      </x:c>
      <x:c r="C1895" s="1" t="str">
        <x:v>Standard Class</x:v>
      </x:c>
      <x:c r="D1895" s="1" t="str">
        <x:v>Europe</x:v>
      </x:c>
      <x:c r="E1895" s="1" t="str">
        <x:v>COMPLETE</x:v>
      </x:c>
      <x:c r="F1895" s="1" t="str">
        <x:v>Late delivery</x:v>
      </x:c>
      <x:c r="G1895" s="6" t="n">
        <x:v>6</x:v>
      </x:c>
      <x:c r="H1895" s="6" t="n">
        <x:v>4</x:v>
      </x:c>
      <x:c r="I1895" s="6" t="n">
        <x:f>G1895-H1895</x:f>
        <x:v>2</x:v>
      </x:c>
      <x:c r="J1895" s="6" t="n">
        <x:f>IF(OR(E1895="CANCELED",E1895="SUSPECTED_FRAUD",F1895="Shipping canceled"),0,1)</x:f>
        <x:v>1</x:v>
      </x:c>
      <x:c r="K1895" s="6" t="n">
        <x:f>IF(G1895&gt;H1895,1,0)</x:f>
        <x:v>1</x:v>
      </x:c>
      <x:c r="L1895" s="6" t="n">
        <x:f>J1895*K1895</x:f>
        <x:v>1</x:v>
      </x:c>
    </x:row>
    <x:row r="1896">
      <x:c r="A1896" s="1" t="n">
        <x:v>15113</x:v>
      </x:c>
      <x:c r="B1896" s="5" t="d">
        <x:v>2015-08-09T00:00:00.000Z</x:v>
      </x:c>
      <x:c r="C1896" s="1" t="str">
        <x:v>Standard Class</x:v>
      </x:c>
      <x:c r="D1896" s="1" t="str">
        <x:v>Europe</x:v>
      </x:c>
      <x:c r="E1896" s="1" t="str">
        <x:v>PROCESSING</x:v>
      </x:c>
      <x:c r="F1896" s="1" t="str">
        <x:v>Shipping on time</x:v>
      </x:c>
      <x:c r="G1896" s="6" t="n">
        <x:v>4</x:v>
      </x:c>
      <x:c r="H1896" s="6" t="n">
        <x:v>4</x:v>
      </x:c>
      <x:c r="I1896" s="6" t="n">
        <x:f>G1896-H1896</x:f>
        <x:v>0</x:v>
      </x:c>
      <x:c r="J1896" s="6" t="n">
        <x:f>IF(OR(E1896="CANCELED",E1896="SUSPECTED_FRAUD",F1896="Shipping canceled"),0,1)</x:f>
        <x:v>1</x:v>
      </x:c>
      <x:c r="K1896" s="6" t="n">
        <x:f>IF(G1896&gt;H1896,1,0)</x:f>
        <x:v>0</x:v>
      </x:c>
      <x:c r="L1896" s="6" t="n">
        <x:f>J1896*K1896</x:f>
        <x:v>0</x:v>
      </x:c>
    </x:row>
    <x:row r="1897">
      <x:c r="A1897" s="1" t="n">
        <x:v>15116</x:v>
      </x:c>
      <x:c r="B1897" s="5" t="d">
        <x:v>2015-08-09T00:00:00.000Z</x:v>
      </x:c>
      <x:c r="C1897" s="1" t="str">
        <x:v>First Class</x:v>
      </x:c>
      <x:c r="D1897" s="1" t="str">
        <x:v>Europe</x:v>
      </x:c>
      <x:c r="E1897" s="1" t="str">
        <x:v>PENDING</x:v>
      </x:c>
      <x:c r="F1897" s="1" t="str">
        <x:v>Late delivery</x:v>
      </x:c>
      <x:c r="G1897" s="6" t="n">
        <x:v>2</x:v>
      </x:c>
      <x:c r="H1897" s="6" t="n">
        <x:v>1</x:v>
      </x:c>
      <x:c r="I1897" s="6" t="n">
        <x:f>G1897-H1897</x:f>
        <x:v>1</x:v>
      </x:c>
      <x:c r="J1897" s="6" t="n">
        <x:f>IF(OR(E1897="CANCELED",E1897="SUSPECTED_FRAUD",F1897="Shipping canceled"),0,1)</x:f>
        <x:v>1</x:v>
      </x:c>
      <x:c r="K1897" s="6" t="n">
        <x:f>IF(G1897&gt;H1897,1,0)</x:f>
        <x:v>1</x:v>
      </x:c>
      <x:c r="L1897" s="6" t="n">
        <x:f>J1897*K1897</x:f>
        <x:v>1</x:v>
      </x:c>
    </x:row>
    <x:row r="1898">
      <x:c r="A1898" s="1" t="n">
        <x:v>15122</x:v>
      </x:c>
      <x:c r="B1898" s="5" t="d">
        <x:v>2015-08-09T00:00:00.000Z</x:v>
      </x:c>
      <x:c r="C1898" s="1" t="str">
        <x:v>First Class</x:v>
      </x:c>
      <x:c r="D1898" s="1" t="str">
        <x:v>Europe</x:v>
      </x:c>
      <x:c r="E1898" s="1" t="str">
        <x:v>CLOSED</x:v>
      </x:c>
      <x:c r="F1898" s="1" t="str">
        <x:v>Late delivery</x:v>
      </x:c>
      <x:c r="G1898" s="6" t="n">
        <x:v>2</x:v>
      </x:c>
      <x:c r="H1898" s="6" t="n">
        <x:v>1</x:v>
      </x:c>
      <x:c r="I1898" s="6" t="n">
        <x:f>G1898-H1898</x:f>
        <x:v>1</x:v>
      </x:c>
      <x:c r="J1898" s="6" t="n">
        <x:f>IF(OR(E1898="CANCELED",E1898="SUSPECTED_FRAUD",F1898="Shipping canceled"),0,1)</x:f>
        <x:v>1</x:v>
      </x:c>
      <x:c r="K1898" s="6" t="n">
        <x:f>IF(G1898&gt;H1898,1,0)</x:f>
        <x:v>1</x:v>
      </x:c>
      <x:c r="L1898" s="6" t="n">
        <x:f>J1898*K1898</x:f>
        <x:v>1</x:v>
      </x:c>
    </x:row>
    <x:row r="1899">
      <x:c r="A1899" s="1" t="n">
        <x:v>15123</x:v>
      </x:c>
      <x:c r="B1899" s="5" t="d">
        <x:v>2015-08-09T00:00:00.000Z</x:v>
      </x:c>
      <x:c r="C1899" s="1" t="str">
        <x:v>First Class</x:v>
      </x:c>
      <x:c r="D1899" s="1" t="str">
        <x:v>Europe</x:v>
      </x:c>
      <x:c r="E1899" s="1" t="str">
        <x:v>PENDING_PAYMENT</x:v>
      </x:c>
      <x:c r="F1899" s="1" t="str">
        <x:v>Late delivery</x:v>
      </x:c>
      <x:c r="G1899" s="6" t="n">
        <x:v>2</x:v>
      </x:c>
      <x:c r="H1899" s="6" t="n">
        <x:v>1</x:v>
      </x:c>
      <x:c r="I1899" s="6" t="n">
        <x:f>G1899-H1899</x:f>
        <x:v>1</x:v>
      </x:c>
      <x:c r="J1899" s="6" t="n">
        <x:f>IF(OR(E1899="CANCELED",E1899="SUSPECTED_FRAUD",F1899="Shipping canceled"),0,1)</x:f>
        <x:v>1</x:v>
      </x:c>
      <x:c r="K1899" s="6" t="n">
        <x:f>IF(G1899&gt;H1899,1,0)</x:f>
        <x:v>1</x:v>
      </x:c>
      <x:c r="L1899" s="6" t="n">
        <x:f>J1899*K1899</x:f>
        <x:v>1</x:v>
      </x:c>
    </x:row>
    <x:row r="1900">
      <x:c r="A1900" s="1" t="n">
        <x:v>15132</x:v>
      </x:c>
      <x:c r="B1900" s="5" t="d">
        <x:v>2015-08-09T00:00:00.000Z</x:v>
      </x:c>
      <x:c r="C1900" s="1" t="str">
        <x:v>Standard Class</x:v>
      </x:c>
      <x:c r="D1900" s="1" t="str">
        <x:v>Europe</x:v>
      </x:c>
      <x:c r="E1900" s="1" t="str">
        <x:v>COMPLETE</x:v>
      </x:c>
      <x:c r="F1900" s="1" t="str">
        <x:v>Advance shipping</x:v>
      </x:c>
      <x:c r="G1900" s="6" t="n">
        <x:v>3</x:v>
      </x:c>
      <x:c r="H1900" s="6" t="n">
        <x:v>4</x:v>
      </x:c>
      <x:c r="I1900" s="6" t="n">
        <x:f>G1900-H1900</x:f>
        <x:v>-1</x:v>
      </x:c>
      <x:c r="J1900" s="6" t="n">
        <x:f>IF(OR(E1900="CANCELED",E1900="SUSPECTED_FRAUD",F1900="Shipping canceled"),0,1)</x:f>
        <x:v>1</x:v>
      </x:c>
      <x:c r="K1900" s="6" t="n">
        <x:f>IF(G1900&gt;H1900,1,0)</x:f>
        <x:v>0</x:v>
      </x:c>
      <x:c r="L1900" s="6" t="n">
        <x:f>J1900*K1900</x:f>
        <x:v>0</x:v>
      </x:c>
    </x:row>
    <x:row r="1901">
      <x:c r="A1901" s="1" t="n">
        <x:v>15137</x:v>
      </x:c>
      <x:c r="B1901" s="5" t="d">
        <x:v>2015-08-09T00:00:00.000Z</x:v>
      </x:c>
      <x:c r="C1901" s="1" t="str">
        <x:v>Second Class</x:v>
      </x:c>
      <x:c r="D1901" s="1" t="str">
        <x:v>Europe</x:v>
      </x:c>
      <x:c r="E1901" s="1" t="str">
        <x:v>CANCELED</x:v>
      </x:c>
      <x:c r="F1901" s="1" t="str">
        <x:v>Shipping canceled</x:v>
      </x:c>
      <x:c r="G1901" s="6" t="n">
        <x:v>3</x:v>
      </x:c>
      <x:c r="H1901" s="6" t="n">
        <x:v>2</x:v>
      </x:c>
      <x:c r="I1901" s="6" t="n">
        <x:f>G1901-H1901</x:f>
        <x:v>1</x:v>
      </x:c>
      <x:c r="J1901" s="6" t="n">
        <x:f>IF(OR(E1901="CANCELED",E1901="SUSPECTED_FRAUD",F1901="Shipping canceled"),0,1)</x:f>
        <x:v>0</x:v>
      </x:c>
      <x:c r="K1901" s="6" t="n">
        <x:f>IF(G1901&gt;H1901,1,0)</x:f>
        <x:v>1</x:v>
      </x:c>
      <x:c r="L1901" s="6" t="n">
        <x:f>J1901*K1901</x:f>
        <x:v>0</x:v>
      </x:c>
    </x:row>
    <x:row r="1902">
      <x:c r="A1902" s="1" t="n">
        <x:v>15140</x:v>
      </x:c>
      <x:c r="B1902" s="5" t="d">
        <x:v>2015-08-09T00:00:00.000Z</x:v>
      </x:c>
      <x:c r="C1902" s="1" t="str">
        <x:v>Standard Class</x:v>
      </x:c>
      <x:c r="D1902" s="1" t="str">
        <x:v>Europe</x:v>
      </x:c>
      <x:c r="E1902" s="1" t="str">
        <x:v>ON_HOLD</x:v>
      </x:c>
      <x:c r="F1902" s="1" t="str">
        <x:v>Late delivery</x:v>
      </x:c>
      <x:c r="G1902" s="6" t="n">
        <x:v>6</x:v>
      </x:c>
      <x:c r="H1902" s="6" t="n">
        <x:v>4</x:v>
      </x:c>
      <x:c r="I1902" s="6" t="n">
        <x:f>G1902-H1902</x:f>
        <x:v>2</x:v>
      </x:c>
      <x:c r="J1902" s="6" t="n">
        <x:f>IF(OR(E1902="CANCELED",E1902="SUSPECTED_FRAUD",F1902="Shipping canceled"),0,1)</x:f>
        <x:v>1</x:v>
      </x:c>
      <x:c r="K1902" s="6" t="n">
        <x:f>IF(G1902&gt;H1902,1,0)</x:f>
        <x:v>1</x:v>
      </x:c>
      <x:c r="L1902" s="6" t="n">
        <x:f>J1902*K1902</x:f>
        <x:v>1</x:v>
      </x:c>
    </x:row>
    <x:row r="1903">
      <x:c r="A1903" s="1" t="n">
        <x:v>15142</x:v>
      </x:c>
      <x:c r="B1903" s="5" t="d">
        <x:v>2015-08-10T00:00:00.000Z</x:v>
      </x:c>
      <x:c r="C1903" s="1" t="str">
        <x:v>Standard Class</x:v>
      </x:c>
      <x:c r="D1903" s="1" t="str">
        <x:v>Europe</x:v>
      </x:c>
      <x:c r="E1903" s="1" t="str">
        <x:v>COMPLETE</x:v>
      </x:c>
      <x:c r="F1903" s="1" t="str">
        <x:v>Advance shipping</x:v>
      </x:c>
      <x:c r="G1903" s="6" t="n">
        <x:v>3</x:v>
      </x:c>
      <x:c r="H1903" s="6" t="n">
        <x:v>4</x:v>
      </x:c>
      <x:c r="I1903" s="6" t="n">
        <x:f>G1903-H1903</x:f>
        <x:v>-1</x:v>
      </x:c>
      <x:c r="J1903" s="6" t="n">
        <x:f>IF(OR(E1903="CANCELED",E1903="SUSPECTED_FRAUD",F1903="Shipping canceled"),0,1)</x:f>
        <x:v>1</x:v>
      </x:c>
      <x:c r="K1903" s="6" t="n">
        <x:f>IF(G1903&gt;H1903,1,0)</x:f>
        <x:v>0</x:v>
      </x:c>
      <x:c r="L1903" s="6" t="n">
        <x:f>J1903*K1903</x:f>
        <x:v>0</x:v>
      </x:c>
    </x:row>
    <x:row r="1904">
      <x:c r="A1904" s="1" t="n">
        <x:v>15146</x:v>
      </x:c>
      <x:c r="B1904" s="5" t="d">
        <x:v>2015-08-10T00:00:00.000Z</x:v>
      </x:c>
      <x:c r="C1904" s="1" t="str">
        <x:v>Standard Class</x:v>
      </x:c>
      <x:c r="D1904" s="1" t="str">
        <x:v>Europe</x:v>
      </x:c>
      <x:c r="E1904" s="1" t="str">
        <x:v>COMPLETE</x:v>
      </x:c>
      <x:c r="F1904" s="1" t="str">
        <x:v>Advance shipping</x:v>
      </x:c>
      <x:c r="G1904" s="6" t="n">
        <x:v>2</x:v>
      </x:c>
      <x:c r="H1904" s="6" t="n">
        <x:v>4</x:v>
      </x:c>
      <x:c r="I1904" s="6" t="n">
        <x:f>G1904-H1904</x:f>
        <x:v>-2</x:v>
      </x:c>
      <x:c r="J1904" s="6" t="n">
        <x:f>IF(OR(E1904="CANCELED",E1904="SUSPECTED_FRAUD",F1904="Shipping canceled"),0,1)</x:f>
        <x:v>1</x:v>
      </x:c>
      <x:c r="K1904" s="6" t="n">
        <x:f>IF(G1904&gt;H1904,1,0)</x:f>
        <x:v>0</x:v>
      </x:c>
      <x:c r="L1904" s="6" t="n">
        <x:f>J1904*K1904</x:f>
        <x:v>0</x:v>
      </x:c>
    </x:row>
    <x:row r="1905">
      <x:c r="A1905" s="1" t="n">
        <x:v>15148</x:v>
      </x:c>
      <x:c r="B1905" s="5" t="d">
        <x:v>2015-08-10T00:00:00.000Z</x:v>
      </x:c>
      <x:c r="C1905" s="1" t="str">
        <x:v>Standard Class</x:v>
      </x:c>
      <x:c r="D1905" s="1" t="str">
        <x:v>Europe</x:v>
      </x:c>
      <x:c r="E1905" s="1" t="str">
        <x:v>CANCELED</x:v>
      </x:c>
      <x:c r="F1905" s="1" t="str">
        <x:v>Shipping canceled</x:v>
      </x:c>
      <x:c r="G1905" s="6" t="n">
        <x:v>4</x:v>
      </x:c>
      <x:c r="H1905" s="6" t="n">
        <x:v>4</x:v>
      </x:c>
      <x:c r="I1905" s="6" t="n">
        <x:f>G1905-H1905</x:f>
        <x:v>0</x:v>
      </x:c>
      <x:c r="J1905" s="6" t="n">
        <x:f>IF(OR(E1905="CANCELED",E1905="SUSPECTED_FRAUD",F1905="Shipping canceled"),0,1)</x:f>
        <x:v>0</x:v>
      </x:c>
      <x:c r="K1905" s="6" t="n">
        <x:f>IF(G1905&gt;H1905,1,0)</x:f>
        <x:v>0</x:v>
      </x:c>
      <x:c r="L1905" s="6" t="n">
        <x:f>J1905*K1905</x:f>
        <x:v>0</x:v>
      </x:c>
    </x:row>
    <x:row r="1906">
      <x:c r="A1906" s="1" t="n">
        <x:v>15150</x:v>
      </x:c>
      <x:c r="B1906" s="5" t="d">
        <x:v>2015-08-10T00:00:00.000Z</x:v>
      </x:c>
      <x:c r="C1906" s="1" t="str">
        <x:v>Standard Class</x:v>
      </x:c>
      <x:c r="D1906" s="1" t="str">
        <x:v>Europe</x:v>
      </x:c>
      <x:c r="E1906" s="1" t="str">
        <x:v>COMPLETE</x:v>
      </x:c>
      <x:c r="F1906" s="1" t="str">
        <x:v>Late delivery</x:v>
      </x:c>
      <x:c r="G1906" s="6" t="n">
        <x:v>6</x:v>
      </x:c>
      <x:c r="H1906" s="6" t="n">
        <x:v>4</x:v>
      </x:c>
      <x:c r="I1906" s="6" t="n">
        <x:f>G1906-H1906</x:f>
        <x:v>2</x:v>
      </x:c>
      <x:c r="J1906" s="6" t="n">
        <x:f>IF(OR(E1906="CANCELED",E1906="SUSPECTED_FRAUD",F1906="Shipping canceled"),0,1)</x:f>
        <x:v>1</x:v>
      </x:c>
      <x:c r="K1906" s="6" t="n">
        <x:f>IF(G1906&gt;H1906,1,0)</x:f>
        <x:v>1</x:v>
      </x:c>
      <x:c r="L1906" s="6" t="n">
        <x:f>J1906*K1906</x:f>
        <x:v>1</x:v>
      </x:c>
    </x:row>
    <x:row r="1907">
      <x:c r="A1907" s="1" t="n">
        <x:v>15152</x:v>
      </x:c>
      <x:c r="B1907" s="5" t="d">
        <x:v>2015-08-10T00:00:00.000Z</x:v>
      </x:c>
      <x:c r="C1907" s="1" t="str">
        <x:v>Standard Class</x:v>
      </x:c>
      <x:c r="D1907" s="1" t="str">
        <x:v>Europe</x:v>
      </x:c>
      <x:c r="E1907" s="1" t="str">
        <x:v>PROCESSING</x:v>
      </x:c>
      <x:c r="F1907" s="1" t="str">
        <x:v>Advance shipping</x:v>
      </x:c>
      <x:c r="G1907" s="6" t="n">
        <x:v>3</x:v>
      </x:c>
      <x:c r="H1907" s="6" t="n">
        <x:v>4</x:v>
      </x:c>
      <x:c r="I1907" s="6" t="n">
        <x:f>G1907-H1907</x:f>
        <x:v>-1</x:v>
      </x:c>
      <x:c r="J1907" s="6" t="n">
        <x:f>IF(OR(E1907="CANCELED",E1907="SUSPECTED_FRAUD",F1907="Shipping canceled"),0,1)</x:f>
        <x:v>1</x:v>
      </x:c>
      <x:c r="K1907" s="6" t="n">
        <x:f>IF(G1907&gt;H1907,1,0)</x:f>
        <x:v>0</x:v>
      </x:c>
      <x:c r="L1907" s="6" t="n">
        <x:f>J1907*K1907</x:f>
        <x:v>0</x:v>
      </x:c>
    </x:row>
    <x:row r="1908">
      <x:c r="A1908" s="1" t="n">
        <x:v>15153</x:v>
      </x:c>
      <x:c r="B1908" s="5" t="d">
        <x:v>2015-08-10T00:00:00.000Z</x:v>
      </x:c>
      <x:c r="C1908" s="1" t="str">
        <x:v>Standard Class</x:v>
      </x:c>
      <x:c r="D1908" s="1" t="str">
        <x:v>Europe</x:v>
      </x:c>
      <x:c r="E1908" s="1" t="str">
        <x:v>SUSPECTED_FRAUD</x:v>
      </x:c>
      <x:c r="F1908" s="1" t="str">
        <x:v>Shipping canceled</x:v>
      </x:c>
      <x:c r="G1908" s="6" t="n">
        <x:v>4</x:v>
      </x:c>
      <x:c r="H1908" s="6" t="n">
        <x:v>4</x:v>
      </x:c>
      <x:c r="I1908" s="6" t="n">
        <x:f>G1908-H1908</x:f>
        <x:v>0</x:v>
      </x:c>
      <x:c r="J1908" s="6" t="n">
        <x:f>IF(OR(E1908="CANCELED",E1908="SUSPECTED_FRAUD",F1908="Shipping canceled"),0,1)</x:f>
        <x:v>0</x:v>
      </x:c>
      <x:c r="K1908" s="6" t="n">
        <x:f>IF(G1908&gt;H1908,1,0)</x:f>
        <x:v>0</x:v>
      </x:c>
      <x:c r="L1908" s="6" t="n">
        <x:f>J1908*K1908</x:f>
        <x:v>0</x:v>
      </x:c>
    </x:row>
    <x:row r="1909">
      <x:c r="A1909" s="1" t="n">
        <x:v>15155</x:v>
      </x:c>
      <x:c r="B1909" s="5" t="d">
        <x:v>2015-08-10T00:00:00.000Z</x:v>
      </x:c>
      <x:c r="C1909" s="1" t="str">
        <x:v>Standard Class</x:v>
      </x:c>
      <x:c r="D1909" s="1" t="str">
        <x:v>Europe</x:v>
      </x:c>
      <x:c r="E1909" s="1" t="str">
        <x:v>COMPLETE</x:v>
      </x:c>
      <x:c r="F1909" s="1" t="str">
        <x:v>Late delivery</x:v>
      </x:c>
      <x:c r="G1909" s="6" t="n">
        <x:v>6</x:v>
      </x:c>
      <x:c r="H1909" s="6" t="n">
        <x:v>4</x:v>
      </x:c>
      <x:c r="I1909" s="6" t="n">
        <x:f>G1909-H1909</x:f>
        <x:v>2</x:v>
      </x:c>
      <x:c r="J1909" s="6" t="n">
        <x:f>IF(OR(E1909="CANCELED",E1909="SUSPECTED_FRAUD",F1909="Shipping canceled"),0,1)</x:f>
        <x:v>1</x:v>
      </x:c>
      <x:c r="K1909" s="6" t="n">
        <x:f>IF(G1909&gt;H1909,1,0)</x:f>
        <x:v>1</x:v>
      </x:c>
      <x:c r="L1909" s="6" t="n">
        <x:f>J1909*K1909</x:f>
        <x:v>1</x:v>
      </x:c>
    </x:row>
    <x:row r="1910">
      <x:c r="A1910" s="1" t="n">
        <x:v>15158</x:v>
      </x:c>
      <x:c r="B1910" s="5" t="d">
        <x:v>2015-08-10T00:00:00.000Z</x:v>
      </x:c>
      <x:c r="C1910" s="1" t="str">
        <x:v>Standard Class</x:v>
      </x:c>
      <x:c r="D1910" s="1" t="str">
        <x:v>Europe</x:v>
      </x:c>
      <x:c r="E1910" s="1" t="str">
        <x:v>COMPLETE</x:v>
      </x:c>
      <x:c r="F1910" s="1" t="str">
        <x:v>Shipping on time</x:v>
      </x:c>
      <x:c r="G1910" s="6" t="n">
        <x:v>4</x:v>
      </x:c>
      <x:c r="H1910" s="6" t="n">
        <x:v>4</x:v>
      </x:c>
      <x:c r="I1910" s="6" t="n">
        <x:f>G1910-H1910</x:f>
        <x:v>0</x:v>
      </x:c>
      <x:c r="J1910" s="6" t="n">
        <x:f>IF(OR(E1910="CANCELED",E1910="SUSPECTED_FRAUD",F1910="Shipping canceled"),0,1)</x:f>
        <x:v>1</x:v>
      </x:c>
      <x:c r="K1910" s="6" t="n">
        <x:f>IF(G1910&gt;H1910,1,0)</x:f>
        <x:v>0</x:v>
      </x:c>
      <x:c r="L1910" s="6" t="n">
        <x:f>J1910*K1910</x:f>
        <x:v>0</x:v>
      </x:c>
    </x:row>
    <x:row r="1911">
      <x:c r="A1911" s="1" t="n">
        <x:v>15166</x:v>
      </x:c>
      <x:c r="B1911" s="5" t="d">
        <x:v>2015-08-10T00:00:00.000Z</x:v>
      </x:c>
      <x:c r="C1911" s="1" t="str">
        <x:v>First Class</x:v>
      </x:c>
      <x:c r="D1911" s="1" t="str">
        <x:v>Europe</x:v>
      </x:c>
      <x:c r="E1911" s="1" t="str">
        <x:v>CLOSED</x:v>
      </x:c>
      <x:c r="F1911" s="1" t="str">
        <x:v>Late delivery</x:v>
      </x:c>
      <x:c r="G1911" s="6" t="n">
        <x:v>2</x:v>
      </x:c>
      <x:c r="H1911" s="6" t="n">
        <x:v>1</x:v>
      </x:c>
      <x:c r="I1911" s="6" t="n">
        <x:f>G1911-H1911</x:f>
        <x:v>1</x:v>
      </x:c>
      <x:c r="J1911" s="6" t="n">
        <x:f>IF(OR(E1911="CANCELED",E1911="SUSPECTED_FRAUD",F1911="Shipping canceled"),0,1)</x:f>
        <x:v>1</x:v>
      </x:c>
      <x:c r="K1911" s="6" t="n">
        <x:f>IF(G1911&gt;H1911,1,0)</x:f>
        <x:v>1</x:v>
      </x:c>
      <x:c r="L1911" s="6" t="n">
        <x:f>J1911*K1911</x:f>
        <x:v>1</x:v>
      </x:c>
    </x:row>
    <x:row r="1912">
      <x:c r="A1912" s="1" t="n">
        <x:v>15169</x:v>
      </x:c>
      <x:c r="B1912" s="5" t="d">
        <x:v>2015-08-10T00:00:00.000Z</x:v>
      </x:c>
      <x:c r="C1912" s="1" t="str">
        <x:v>Standard Class</x:v>
      </x:c>
      <x:c r="D1912" s="1" t="str">
        <x:v>Europe</x:v>
      </x:c>
      <x:c r="E1912" s="1" t="str">
        <x:v>PROCESSING</x:v>
      </x:c>
      <x:c r="F1912" s="1" t="str">
        <x:v>Late delivery</x:v>
      </x:c>
      <x:c r="G1912" s="6" t="n">
        <x:v>5</x:v>
      </x:c>
      <x:c r="H1912" s="6" t="n">
        <x:v>4</x:v>
      </x:c>
      <x:c r="I1912" s="6" t="n">
        <x:f>G1912-H1912</x:f>
        <x:v>1</x:v>
      </x:c>
      <x:c r="J1912" s="6" t="n">
        <x:f>IF(OR(E1912="CANCELED",E1912="SUSPECTED_FRAUD",F1912="Shipping canceled"),0,1)</x:f>
        <x:v>1</x:v>
      </x:c>
      <x:c r="K1912" s="6" t="n">
        <x:f>IF(G1912&gt;H1912,1,0)</x:f>
        <x:v>1</x:v>
      </x:c>
      <x:c r="L1912" s="6" t="n">
        <x:f>J1912*K1912</x:f>
        <x:v>1</x:v>
      </x:c>
    </x:row>
    <x:row r="1913">
      <x:c r="A1913" s="1" t="n">
        <x:v>15171</x:v>
      </x:c>
      <x:c r="B1913" s="5" t="d">
        <x:v>2015-08-10T00:00:00.000Z</x:v>
      </x:c>
      <x:c r="C1913" s="1" t="str">
        <x:v>Standard Class</x:v>
      </x:c>
      <x:c r="D1913" s="1" t="str">
        <x:v>Europe</x:v>
      </x:c>
      <x:c r="E1913" s="1" t="str">
        <x:v>PENDING</x:v>
      </x:c>
      <x:c r="F1913" s="1" t="str">
        <x:v>Advance shipping</x:v>
      </x:c>
      <x:c r="G1913" s="6" t="n">
        <x:v>2</x:v>
      </x:c>
      <x:c r="H1913" s="6" t="n">
        <x:v>4</x:v>
      </x:c>
      <x:c r="I1913" s="6" t="n">
        <x:f>G1913-H1913</x:f>
        <x:v>-2</x:v>
      </x:c>
      <x:c r="J1913" s="6" t="n">
        <x:f>IF(OR(E1913="CANCELED",E1913="SUSPECTED_FRAUD",F1913="Shipping canceled"),0,1)</x:f>
        <x:v>1</x:v>
      </x:c>
      <x:c r="K1913" s="6" t="n">
        <x:f>IF(G1913&gt;H1913,1,0)</x:f>
        <x:v>0</x:v>
      </x:c>
      <x:c r="L1913" s="6" t="n">
        <x:f>J1913*K1913</x:f>
        <x:v>0</x:v>
      </x:c>
    </x:row>
    <x:row r="1914">
      <x:c r="A1914" s="1" t="n">
        <x:v>15199</x:v>
      </x:c>
      <x:c r="B1914" s="5" t="d">
        <x:v>2015-08-10T00:00:00.000Z</x:v>
      </x:c>
      <x:c r="C1914" s="1" t="str">
        <x:v>Standard Class</x:v>
      </x:c>
      <x:c r="D1914" s="1" t="str">
        <x:v>Europe</x:v>
      </x:c>
      <x:c r="E1914" s="1" t="str">
        <x:v>COMPLETE</x:v>
      </x:c>
      <x:c r="F1914" s="1" t="str">
        <x:v>Late delivery</x:v>
      </x:c>
      <x:c r="G1914" s="6" t="n">
        <x:v>5</x:v>
      </x:c>
      <x:c r="H1914" s="6" t="n">
        <x:v>4</x:v>
      </x:c>
      <x:c r="I1914" s="6" t="n">
        <x:f>G1914-H1914</x:f>
        <x:v>1</x:v>
      </x:c>
      <x:c r="J1914" s="6" t="n">
        <x:f>IF(OR(E1914="CANCELED",E1914="SUSPECTED_FRAUD",F1914="Shipping canceled"),0,1)</x:f>
        <x:v>1</x:v>
      </x:c>
      <x:c r="K1914" s="6" t="n">
        <x:f>IF(G1914&gt;H1914,1,0)</x:f>
        <x:v>1</x:v>
      </x:c>
      <x:c r="L1914" s="6" t="n">
        <x:f>J1914*K1914</x:f>
        <x:v>1</x:v>
      </x:c>
    </x:row>
    <x:row r="1915">
      <x:c r="A1915" s="1" t="n">
        <x:v>15202</x:v>
      </x:c>
      <x:c r="B1915" s="5" t="d">
        <x:v>2015-08-10T00:00:00.000Z</x:v>
      </x:c>
      <x:c r="C1915" s="1" t="str">
        <x:v>Standard Class</x:v>
      </x:c>
      <x:c r="D1915" s="1" t="str">
        <x:v>Europe</x:v>
      </x:c>
      <x:c r="E1915" s="1" t="str">
        <x:v>COMPLETE</x:v>
      </x:c>
      <x:c r="F1915" s="1" t="str">
        <x:v>Advance shipping</x:v>
      </x:c>
      <x:c r="G1915" s="6" t="n">
        <x:v>3</x:v>
      </x:c>
      <x:c r="H1915" s="6" t="n">
        <x:v>4</x:v>
      </x:c>
      <x:c r="I1915" s="6" t="n">
        <x:f>G1915-H1915</x:f>
        <x:v>-1</x:v>
      </x:c>
      <x:c r="J1915" s="6" t="n">
        <x:f>IF(OR(E1915="CANCELED",E1915="SUSPECTED_FRAUD",F1915="Shipping canceled"),0,1)</x:f>
        <x:v>1</x:v>
      </x:c>
      <x:c r="K1915" s="6" t="n">
        <x:f>IF(G1915&gt;H1915,1,0)</x:f>
        <x:v>0</x:v>
      </x:c>
      <x:c r="L1915" s="6" t="n">
        <x:f>J1915*K1915</x:f>
        <x:v>0</x:v>
      </x:c>
    </x:row>
    <x:row r="1916">
      <x:c r="A1916" s="1" t="n">
        <x:v>15206</x:v>
      </x:c>
      <x:c r="B1916" s="5" t="d">
        <x:v>2015-08-10T00:00:00.000Z</x:v>
      </x:c>
      <x:c r="C1916" s="1" t="str">
        <x:v>Standard Class</x:v>
      </x:c>
      <x:c r="D1916" s="1" t="str">
        <x:v>Europe</x:v>
      </x:c>
      <x:c r="E1916" s="1" t="str">
        <x:v>COMPLETE</x:v>
      </x:c>
      <x:c r="F1916" s="1" t="str">
        <x:v>Advance shipping</x:v>
      </x:c>
      <x:c r="G1916" s="6" t="n">
        <x:v>2</x:v>
      </x:c>
      <x:c r="H1916" s="6" t="n">
        <x:v>4</x:v>
      </x:c>
      <x:c r="I1916" s="6" t="n">
        <x:f>G1916-H1916</x:f>
        <x:v>-2</x:v>
      </x:c>
      <x:c r="J1916" s="6" t="n">
        <x:f>IF(OR(E1916="CANCELED",E1916="SUSPECTED_FRAUD",F1916="Shipping canceled"),0,1)</x:f>
        <x:v>1</x:v>
      </x:c>
      <x:c r="K1916" s="6" t="n">
        <x:f>IF(G1916&gt;H1916,1,0)</x:f>
        <x:v>0</x:v>
      </x:c>
      <x:c r="L1916" s="6" t="n">
        <x:f>J1916*K1916</x:f>
        <x:v>0</x:v>
      </x:c>
    </x:row>
    <x:row r="1917">
      <x:c r="A1917" s="1" t="n">
        <x:v>15207</x:v>
      </x:c>
      <x:c r="B1917" s="5" t="d">
        <x:v>2015-08-10T00:00:00.000Z</x:v>
      </x:c>
      <x:c r="C1917" s="1" t="str">
        <x:v>Standard Class</x:v>
      </x:c>
      <x:c r="D1917" s="1" t="str">
        <x:v>Europe</x:v>
      </x:c>
      <x:c r="E1917" s="1" t="str">
        <x:v>COMPLETE</x:v>
      </x:c>
      <x:c r="F1917" s="1" t="str">
        <x:v>Advance shipping</x:v>
      </x:c>
      <x:c r="G1917" s="6" t="n">
        <x:v>3</x:v>
      </x:c>
      <x:c r="H1917" s="6" t="n">
        <x:v>4</x:v>
      </x:c>
      <x:c r="I1917" s="6" t="n">
        <x:f>G1917-H1917</x:f>
        <x:v>-1</x:v>
      </x:c>
      <x:c r="J1917" s="6" t="n">
        <x:f>IF(OR(E1917="CANCELED",E1917="SUSPECTED_FRAUD",F1917="Shipping canceled"),0,1)</x:f>
        <x:v>1</x:v>
      </x:c>
      <x:c r="K1917" s="6" t="n">
        <x:f>IF(G1917&gt;H1917,1,0)</x:f>
        <x:v>0</x:v>
      </x:c>
      <x:c r="L1917" s="6" t="n">
        <x:f>J1917*K1917</x:f>
        <x:v>0</x:v>
      </x:c>
    </x:row>
    <x:row r="1918">
      <x:c r="A1918" s="1" t="n">
        <x:v>15219</x:v>
      </x:c>
      <x:c r="B1918" s="5" t="d">
        <x:v>2015-08-11T00:00:00.000Z</x:v>
      </x:c>
      <x:c r="C1918" s="1" t="str">
        <x:v>Standard Class</x:v>
      </x:c>
      <x:c r="D1918" s="1" t="str">
        <x:v>Europe</x:v>
      </x:c>
      <x:c r="E1918" s="1" t="str">
        <x:v>ON_HOLD</x:v>
      </x:c>
      <x:c r="F1918" s="1" t="str">
        <x:v>Late delivery</x:v>
      </x:c>
      <x:c r="G1918" s="6" t="n">
        <x:v>5</x:v>
      </x:c>
      <x:c r="H1918" s="6" t="n">
        <x:v>4</x:v>
      </x:c>
      <x:c r="I1918" s="6" t="n">
        <x:f>G1918-H1918</x:f>
        <x:v>1</x:v>
      </x:c>
      <x:c r="J1918" s="6" t="n">
        <x:f>IF(OR(E1918="CANCELED",E1918="SUSPECTED_FRAUD",F1918="Shipping canceled"),0,1)</x:f>
        <x:v>1</x:v>
      </x:c>
      <x:c r="K1918" s="6" t="n">
        <x:f>IF(G1918&gt;H1918,1,0)</x:f>
        <x:v>1</x:v>
      </x:c>
      <x:c r="L1918" s="6" t="n">
        <x:f>J1918*K1918</x:f>
        <x:v>1</x:v>
      </x:c>
    </x:row>
    <x:row r="1919">
      <x:c r="A1919" s="1" t="n">
        <x:v>15228</x:v>
      </x:c>
      <x:c r="B1919" s="5" t="d">
        <x:v>2015-08-11T00:00:00.000Z</x:v>
      </x:c>
      <x:c r="C1919" s="1" t="str">
        <x:v>Standard Class</x:v>
      </x:c>
      <x:c r="D1919" s="1" t="str">
        <x:v>Europe</x:v>
      </x:c>
      <x:c r="E1919" s="1" t="str">
        <x:v>PROCESSING</x:v>
      </x:c>
      <x:c r="F1919" s="1" t="str">
        <x:v>Shipping on time</x:v>
      </x:c>
      <x:c r="G1919" s="6" t="n">
        <x:v>4</x:v>
      </x:c>
      <x:c r="H1919" s="6" t="n">
        <x:v>4</x:v>
      </x:c>
      <x:c r="I1919" s="6" t="n">
        <x:f>G1919-H1919</x:f>
        <x:v>0</x:v>
      </x:c>
      <x:c r="J1919" s="6" t="n">
        <x:f>IF(OR(E1919="CANCELED",E1919="SUSPECTED_FRAUD",F1919="Shipping canceled"),0,1)</x:f>
        <x:v>1</x:v>
      </x:c>
      <x:c r="K1919" s="6" t="n">
        <x:f>IF(G1919&gt;H1919,1,0)</x:f>
        <x:v>0</x:v>
      </x:c>
      <x:c r="L1919" s="6" t="n">
        <x:f>J1919*K1919</x:f>
        <x:v>0</x:v>
      </x:c>
    </x:row>
    <x:row r="1920">
      <x:c r="A1920" s="1" t="n">
        <x:v>15231</x:v>
      </x:c>
      <x:c r="B1920" s="5" t="d">
        <x:v>2015-08-11T00:00:00.000Z</x:v>
      </x:c>
      <x:c r="C1920" s="1" t="str">
        <x:v>Standard Class</x:v>
      </x:c>
      <x:c r="D1920" s="1" t="str">
        <x:v>Europe</x:v>
      </x:c>
      <x:c r="E1920" s="1" t="str">
        <x:v>PENDING</x:v>
      </x:c>
      <x:c r="F1920" s="1" t="str">
        <x:v>Advance shipping</x:v>
      </x:c>
      <x:c r="G1920" s="6" t="n">
        <x:v>2</x:v>
      </x:c>
      <x:c r="H1920" s="6" t="n">
        <x:v>4</x:v>
      </x:c>
      <x:c r="I1920" s="6" t="n">
        <x:f>G1920-H1920</x:f>
        <x:v>-2</x:v>
      </x:c>
      <x:c r="J1920" s="6" t="n">
        <x:f>IF(OR(E1920="CANCELED",E1920="SUSPECTED_FRAUD",F1920="Shipping canceled"),0,1)</x:f>
        <x:v>1</x:v>
      </x:c>
      <x:c r="K1920" s="6" t="n">
        <x:f>IF(G1920&gt;H1920,1,0)</x:f>
        <x:v>0</x:v>
      </x:c>
      <x:c r="L1920" s="6" t="n">
        <x:f>J1920*K1920</x:f>
        <x:v>0</x:v>
      </x:c>
    </x:row>
    <x:row r="1921">
      <x:c r="A1921" s="1" t="n">
        <x:v>15247</x:v>
      </x:c>
      <x:c r="B1921" s="5" t="d">
        <x:v>2015-08-11T00:00:00.000Z</x:v>
      </x:c>
      <x:c r="C1921" s="1" t="str">
        <x:v>First Class</x:v>
      </x:c>
      <x:c r="D1921" s="1" t="str">
        <x:v>Europe</x:v>
      </x:c>
      <x:c r="E1921" s="1" t="str">
        <x:v>PROCESSING</x:v>
      </x:c>
      <x:c r="F1921" s="1" t="str">
        <x:v>Late delivery</x:v>
      </x:c>
      <x:c r="G1921" s="6" t="n">
        <x:v>2</x:v>
      </x:c>
      <x:c r="H1921" s="6" t="n">
        <x:v>1</x:v>
      </x:c>
      <x:c r="I1921" s="6" t="n">
        <x:f>G1921-H1921</x:f>
        <x:v>1</x:v>
      </x:c>
      <x:c r="J1921" s="6" t="n">
        <x:f>IF(OR(E1921="CANCELED",E1921="SUSPECTED_FRAUD",F1921="Shipping canceled"),0,1)</x:f>
        <x:v>1</x:v>
      </x:c>
      <x:c r="K1921" s="6" t="n">
        <x:f>IF(G1921&gt;H1921,1,0)</x:f>
        <x:v>1</x:v>
      </x:c>
      <x:c r="L1921" s="6" t="n">
        <x:f>J1921*K1921</x:f>
        <x:v>1</x:v>
      </x:c>
    </x:row>
    <x:row r="1922">
      <x:c r="A1922" s="1" t="n">
        <x:v>15269</x:v>
      </x:c>
      <x:c r="B1922" s="5" t="d">
        <x:v>2015-08-11T00:00:00.000Z</x:v>
      </x:c>
      <x:c r="C1922" s="1" t="str">
        <x:v>Second Class</x:v>
      </x:c>
      <x:c r="D1922" s="1" t="str">
        <x:v>Europe</x:v>
      </x:c>
      <x:c r="E1922" s="1" t="str">
        <x:v>COMPLETE</x:v>
      </x:c>
      <x:c r="F1922" s="1" t="str">
        <x:v>Late delivery</x:v>
      </x:c>
      <x:c r="G1922" s="6" t="n">
        <x:v>5</x:v>
      </x:c>
      <x:c r="H1922" s="6" t="n">
        <x:v>2</x:v>
      </x:c>
      <x:c r="I1922" s="6" t="n">
        <x:f>G1922-H1922</x:f>
        <x:v>3</x:v>
      </x:c>
      <x:c r="J1922" s="6" t="n">
        <x:f>IF(OR(E1922="CANCELED",E1922="SUSPECTED_FRAUD",F1922="Shipping canceled"),0,1)</x:f>
        <x:v>1</x:v>
      </x:c>
      <x:c r="K1922" s="6" t="n">
        <x:f>IF(G1922&gt;H1922,1,0)</x:f>
        <x:v>1</x:v>
      </x:c>
      <x:c r="L1922" s="6" t="n">
        <x:f>J1922*K1922</x:f>
        <x:v>1</x:v>
      </x:c>
    </x:row>
    <x:row r="1923">
      <x:c r="A1923" s="1" t="n">
        <x:v>15278</x:v>
      </x:c>
      <x:c r="B1923" s="5" t="d">
        <x:v>2015-08-12T00:00:00.000Z</x:v>
      </x:c>
      <x:c r="C1923" s="1" t="str">
        <x:v>Standard Class</x:v>
      </x:c>
      <x:c r="D1923" s="1" t="str">
        <x:v>Europe</x:v>
      </x:c>
      <x:c r="E1923" s="1" t="str">
        <x:v>SUSPECTED_FRAUD</x:v>
      </x:c>
      <x:c r="F1923" s="1" t="str">
        <x:v>Shipping canceled</x:v>
      </x:c>
      <x:c r="G1923" s="6" t="n">
        <x:v>4</x:v>
      </x:c>
      <x:c r="H1923" s="6" t="n">
        <x:v>4</x:v>
      </x:c>
      <x:c r="I1923" s="6" t="n">
        <x:f>G1923-H1923</x:f>
        <x:v>0</x:v>
      </x:c>
      <x:c r="J1923" s="6" t="n">
        <x:f>IF(OR(E1923="CANCELED",E1923="SUSPECTED_FRAUD",F1923="Shipping canceled"),0,1)</x:f>
        <x:v>0</x:v>
      </x:c>
      <x:c r="K1923" s="6" t="n">
        <x:f>IF(G1923&gt;H1923,1,0)</x:f>
        <x:v>0</x:v>
      </x:c>
      <x:c r="L1923" s="6" t="n">
        <x:f>J1923*K1923</x:f>
        <x:v>0</x:v>
      </x:c>
    </x:row>
    <x:row r="1924">
      <x:c r="A1924" s="1" t="n">
        <x:v>15281</x:v>
      </x:c>
      <x:c r="B1924" s="5" t="d">
        <x:v>2015-08-12T00:00:00.000Z</x:v>
      </x:c>
      <x:c r="C1924" s="1" t="str">
        <x:v>Standard Class</x:v>
      </x:c>
      <x:c r="D1924" s="1" t="str">
        <x:v>Europe</x:v>
      </x:c>
      <x:c r="E1924" s="1" t="str">
        <x:v>COMPLETE</x:v>
      </x:c>
      <x:c r="F1924" s="1" t="str">
        <x:v>Advance shipping</x:v>
      </x:c>
      <x:c r="G1924" s="6" t="n">
        <x:v>2</x:v>
      </x:c>
      <x:c r="H1924" s="6" t="n">
        <x:v>4</x:v>
      </x:c>
      <x:c r="I1924" s="6" t="n">
        <x:f>G1924-H1924</x:f>
        <x:v>-2</x:v>
      </x:c>
      <x:c r="J1924" s="6" t="n">
        <x:f>IF(OR(E1924="CANCELED",E1924="SUSPECTED_FRAUD",F1924="Shipping canceled"),0,1)</x:f>
        <x:v>1</x:v>
      </x:c>
      <x:c r="K1924" s="6" t="n">
        <x:f>IF(G1924&gt;H1924,1,0)</x:f>
        <x:v>0</x:v>
      </x:c>
      <x:c r="L1924" s="6" t="n">
        <x:f>J1924*K1924</x:f>
        <x:v>0</x:v>
      </x:c>
    </x:row>
    <x:row r="1925">
      <x:c r="A1925" s="1" t="n">
        <x:v>15292</x:v>
      </x:c>
      <x:c r="B1925" s="5" t="d">
        <x:v>2015-08-12T00:00:00.000Z</x:v>
      </x:c>
      <x:c r="C1925" s="1" t="str">
        <x:v>First Class</x:v>
      </x:c>
      <x:c r="D1925" s="1" t="str">
        <x:v>Europe</x:v>
      </x:c>
      <x:c r="E1925" s="1" t="str">
        <x:v>CLOSED</x:v>
      </x:c>
      <x:c r="F1925" s="1" t="str">
        <x:v>Late delivery</x:v>
      </x:c>
      <x:c r="G1925" s="6" t="n">
        <x:v>2</x:v>
      </x:c>
      <x:c r="H1925" s="6" t="n">
        <x:v>1</x:v>
      </x:c>
      <x:c r="I1925" s="6" t="n">
        <x:f>G1925-H1925</x:f>
        <x:v>1</x:v>
      </x:c>
      <x:c r="J1925" s="6" t="n">
        <x:f>IF(OR(E1925="CANCELED",E1925="SUSPECTED_FRAUD",F1925="Shipping canceled"),0,1)</x:f>
        <x:v>1</x:v>
      </x:c>
      <x:c r="K1925" s="6" t="n">
        <x:f>IF(G1925&gt;H1925,1,0)</x:f>
        <x:v>1</x:v>
      </x:c>
      <x:c r="L1925" s="6" t="n">
        <x:f>J1925*K1925</x:f>
        <x:v>1</x:v>
      </x:c>
    </x:row>
    <x:row r="1926">
      <x:c r="A1926" s="1" t="n">
        <x:v>15305</x:v>
      </x:c>
      <x:c r="B1926" s="5" t="d">
        <x:v>2015-08-12T00:00:00.000Z</x:v>
      </x:c>
      <x:c r="C1926" s="1" t="str">
        <x:v>Standard Class</x:v>
      </x:c>
      <x:c r="D1926" s="1" t="str">
        <x:v>Europe</x:v>
      </x:c>
      <x:c r="E1926" s="1" t="str">
        <x:v>COMPLETE</x:v>
      </x:c>
      <x:c r="F1926" s="1" t="str">
        <x:v>Late delivery</x:v>
      </x:c>
      <x:c r="G1926" s="6" t="n">
        <x:v>6</x:v>
      </x:c>
      <x:c r="H1926" s="6" t="n">
        <x:v>4</x:v>
      </x:c>
      <x:c r="I1926" s="6" t="n">
        <x:f>G1926-H1926</x:f>
        <x:v>2</x:v>
      </x:c>
      <x:c r="J1926" s="6" t="n">
        <x:f>IF(OR(E1926="CANCELED",E1926="SUSPECTED_FRAUD",F1926="Shipping canceled"),0,1)</x:f>
        <x:v>1</x:v>
      </x:c>
      <x:c r="K1926" s="6" t="n">
        <x:f>IF(G1926&gt;H1926,1,0)</x:f>
        <x:v>1</x:v>
      </x:c>
      <x:c r="L1926" s="6" t="n">
        <x:f>J1926*K1926</x:f>
        <x:v>1</x:v>
      </x:c>
    </x:row>
    <x:row r="1927">
      <x:c r="A1927" s="1" t="n">
        <x:v>15307</x:v>
      </x:c>
      <x:c r="B1927" s="5" t="d">
        <x:v>2015-08-12T00:00:00.000Z</x:v>
      </x:c>
      <x:c r="C1927" s="1" t="str">
        <x:v>Standard Class</x:v>
      </x:c>
      <x:c r="D1927" s="1" t="str">
        <x:v>Europe</x:v>
      </x:c>
      <x:c r="E1927" s="1" t="str">
        <x:v>PAYMENT_REVIEW</x:v>
      </x:c>
      <x:c r="F1927" s="1" t="str">
        <x:v>Advance shipping</x:v>
      </x:c>
      <x:c r="G1927" s="6" t="n">
        <x:v>3</x:v>
      </x:c>
      <x:c r="H1927" s="6" t="n">
        <x:v>4</x:v>
      </x:c>
      <x:c r="I1927" s="6" t="n">
        <x:f>G1927-H1927</x:f>
        <x:v>-1</x:v>
      </x:c>
      <x:c r="J1927" s="6" t="n">
        <x:f>IF(OR(E1927="CANCELED",E1927="SUSPECTED_FRAUD",F1927="Shipping canceled"),0,1)</x:f>
        <x:v>1</x:v>
      </x:c>
      <x:c r="K1927" s="6" t="n">
        <x:f>IF(G1927&gt;H1927,1,0)</x:f>
        <x:v>0</x:v>
      </x:c>
      <x:c r="L1927" s="6" t="n">
        <x:f>J1927*K1927</x:f>
        <x:v>0</x:v>
      </x:c>
    </x:row>
    <x:row r="1928">
      <x:c r="A1928" s="1" t="n">
        <x:v>15319</x:v>
      </x:c>
      <x:c r="B1928" s="5" t="d">
        <x:v>2015-08-12T00:00:00.000Z</x:v>
      </x:c>
      <x:c r="C1928" s="1" t="str">
        <x:v>Standard Class</x:v>
      </x:c>
      <x:c r="D1928" s="1" t="str">
        <x:v>Europe</x:v>
      </x:c>
      <x:c r="E1928" s="1" t="str">
        <x:v>PROCESSING</x:v>
      </x:c>
      <x:c r="F1928" s="1" t="str">
        <x:v>Late delivery</x:v>
      </x:c>
      <x:c r="G1928" s="6" t="n">
        <x:v>5</x:v>
      </x:c>
      <x:c r="H1928" s="6" t="n">
        <x:v>4</x:v>
      </x:c>
      <x:c r="I1928" s="6" t="n">
        <x:f>G1928-H1928</x:f>
        <x:v>1</x:v>
      </x:c>
      <x:c r="J1928" s="6" t="n">
        <x:f>IF(OR(E1928="CANCELED",E1928="SUSPECTED_FRAUD",F1928="Shipping canceled"),0,1)</x:f>
        <x:v>1</x:v>
      </x:c>
      <x:c r="K1928" s="6" t="n">
        <x:f>IF(G1928&gt;H1928,1,0)</x:f>
        <x:v>1</x:v>
      </x:c>
      <x:c r="L1928" s="6" t="n">
        <x:f>J1928*K1928</x:f>
        <x:v>1</x:v>
      </x:c>
    </x:row>
    <x:row r="1929">
      <x:c r="A1929" s="1" t="n">
        <x:v>15321</x:v>
      </x:c>
      <x:c r="B1929" s="5" t="d">
        <x:v>2015-08-12T00:00:00.000Z</x:v>
      </x:c>
      <x:c r="C1929" s="1" t="str">
        <x:v>Standard Class</x:v>
      </x:c>
      <x:c r="D1929" s="1" t="str">
        <x:v>Europe</x:v>
      </x:c>
      <x:c r="E1929" s="1" t="str">
        <x:v>COMPLETE</x:v>
      </x:c>
      <x:c r="F1929" s="1" t="str">
        <x:v>Advance shipping</x:v>
      </x:c>
      <x:c r="G1929" s="6" t="n">
        <x:v>2</x:v>
      </x:c>
      <x:c r="H1929" s="6" t="n">
        <x:v>4</x:v>
      </x:c>
      <x:c r="I1929" s="6" t="n">
        <x:f>G1929-H1929</x:f>
        <x:v>-2</x:v>
      </x:c>
      <x:c r="J1929" s="6" t="n">
        <x:f>IF(OR(E1929="CANCELED",E1929="SUSPECTED_FRAUD",F1929="Shipping canceled"),0,1)</x:f>
        <x:v>1</x:v>
      </x:c>
      <x:c r="K1929" s="6" t="n">
        <x:f>IF(G1929&gt;H1929,1,0)</x:f>
        <x:v>0</x:v>
      </x:c>
      <x:c r="L1929" s="6" t="n">
        <x:f>J1929*K1929</x:f>
        <x:v>0</x:v>
      </x:c>
    </x:row>
    <x:row r="1930">
      <x:c r="A1930" s="1" t="n">
        <x:v>15322</x:v>
      </x:c>
      <x:c r="B1930" s="5" t="d">
        <x:v>2015-08-12T00:00:00.000Z</x:v>
      </x:c>
      <x:c r="C1930" s="1" t="str">
        <x:v>Standard Class</x:v>
      </x:c>
      <x:c r="D1930" s="1" t="str">
        <x:v>Europe</x:v>
      </x:c>
      <x:c r="E1930" s="1" t="str">
        <x:v>PENDING</x:v>
      </x:c>
      <x:c r="F1930" s="1" t="str">
        <x:v>Advance shipping</x:v>
      </x:c>
      <x:c r="G1930" s="6" t="n">
        <x:v>3</x:v>
      </x:c>
      <x:c r="H1930" s="6" t="n">
        <x:v>4</x:v>
      </x:c>
      <x:c r="I1930" s="6" t="n">
        <x:f>G1930-H1930</x:f>
        <x:v>-1</x:v>
      </x:c>
      <x:c r="J1930" s="6" t="n">
        <x:f>IF(OR(E1930="CANCELED",E1930="SUSPECTED_FRAUD",F1930="Shipping canceled"),0,1)</x:f>
        <x:v>1</x:v>
      </x:c>
      <x:c r="K1930" s="6" t="n">
        <x:f>IF(G1930&gt;H1930,1,0)</x:f>
        <x:v>0</x:v>
      </x:c>
      <x:c r="L1930" s="6" t="n">
        <x:f>J1930*K1930</x:f>
        <x:v>0</x:v>
      </x:c>
    </x:row>
    <x:row r="1931">
      <x:c r="A1931" s="1" t="n">
        <x:v>15328</x:v>
      </x:c>
      <x:c r="B1931" s="5" t="d">
        <x:v>2015-08-12T00:00:00.000Z</x:v>
      </x:c>
      <x:c r="C1931" s="1" t="str">
        <x:v>Same Day</x:v>
      </x:c>
      <x:c r="D1931" s="1" t="str">
        <x:v>Europe</x:v>
      </x:c>
      <x:c r="E1931" s="1" t="str">
        <x:v>PENDING</x:v>
      </x:c>
      <x:c r="F1931" s="1" t="str">
        <x:v>Late delivery</x:v>
      </x:c>
      <x:c r="G1931" s="6" t="n">
        <x:v>1</x:v>
      </x:c>
      <x:c r="H1931" s="6" t="n">
        <x:v>0</x:v>
      </x:c>
      <x:c r="I1931" s="6" t="n">
        <x:f>G1931-H1931</x:f>
        <x:v>1</x:v>
      </x:c>
      <x:c r="J1931" s="6" t="n">
        <x:f>IF(OR(E1931="CANCELED",E1931="SUSPECTED_FRAUD",F1931="Shipping canceled"),0,1)</x:f>
        <x:v>1</x:v>
      </x:c>
      <x:c r="K1931" s="6" t="n">
        <x:f>IF(G1931&gt;H1931,1,0)</x:f>
        <x:v>1</x:v>
      </x:c>
      <x:c r="L1931" s="6" t="n">
        <x:f>J1931*K1931</x:f>
        <x:v>1</x:v>
      </x:c>
    </x:row>
    <x:row r="1932">
      <x:c r="A1932" s="1" t="n">
        <x:v>15338</x:v>
      </x:c>
      <x:c r="B1932" s="5" t="d">
        <x:v>2015-08-12T00:00:00.000Z</x:v>
      </x:c>
      <x:c r="C1932" s="1" t="str">
        <x:v>First Class</x:v>
      </x:c>
      <x:c r="D1932" s="1" t="str">
        <x:v>Europe</x:v>
      </x:c>
      <x:c r="E1932" s="1" t="str">
        <x:v>CLOSED</x:v>
      </x:c>
      <x:c r="F1932" s="1" t="str">
        <x:v>Late delivery</x:v>
      </x:c>
      <x:c r="G1932" s="6" t="n">
        <x:v>2</x:v>
      </x:c>
      <x:c r="H1932" s="6" t="n">
        <x:v>1</x:v>
      </x:c>
      <x:c r="I1932" s="6" t="n">
        <x:f>G1932-H1932</x:f>
        <x:v>1</x:v>
      </x:c>
      <x:c r="J1932" s="6" t="n">
        <x:f>IF(OR(E1932="CANCELED",E1932="SUSPECTED_FRAUD",F1932="Shipping canceled"),0,1)</x:f>
        <x:v>1</x:v>
      </x:c>
      <x:c r="K1932" s="6" t="n">
        <x:f>IF(G1932&gt;H1932,1,0)</x:f>
        <x:v>1</x:v>
      </x:c>
      <x:c r="L1932" s="6" t="n">
        <x:f>J1932*K1932</x:f>
        <x:v>1</x:v>
      </x:c>
    </x:row>
    <x:row r="1933">
      <x:c r="A1933" s="1" t="n">
        <x:v>15343</x:v>
      </x:c>
      <x:c r="B1933" s="5" t="d">
        <x:v>2015-08-12T00:00:00.000Z</x:v>
      </x:c>
      <x:c r="C1933" s="1" t="str">
        <x:v>Same Day</x:v>
      </x:c>
      <x:c r="D1933" s="1" t="str">
        <x:v>Europe</x:v>
      </x:c>
      <x:c r="E1933" s="1" t="str">
        <x:v>CLOSED</x:v>
      </x:c>
      <x:c r="F1933" s="1" t="str">
        <x:v>Late delivery</x:v>
      </x:c>
      <x:c r="G1933" s="6" t="n">
        <x:v>1</x:v>
      </x:c>
      <x:c r="H1933" s="6" t="n">
        <x:v>0</x:v>
      </x:c>
      <x:c r="I1933" s="6" t="n">
        <x:f>G1933-H1933</x:f>
        <x:v>1</x:v>
      </x:c>
      <x:c r="J1933" s="6" t="n">
        <x:f>IF(OR(E1933="CANCELED",E1933="SUSPECTED_FRAUD",F1933="Shipping canceled"),0,1)</x:f>
        <x:v>1</x:v>
      </x:c>
      <x:c r="K1933" s="6" t="n">
        <x:f>IF(G1933&gt;H1933,1,0)</x:f>
        <x:v>1</x:v>
      </x:c>
      <x:c r="L1933" s="6" t="n">
        <x:f>J1933*K1933</x:f>
        <x:v>1</x:v>
      </x:c>
    </x:row>
    <x:row r="1934">
      <x:c r="A1934" s="1" t="n">
        <x:v>15351</x:v>
      </x:c>
      <x:c r="B1934" s="5" t="d">
        <x:v>2015-08-13T00:00:00.000Z</x:v>
      </x:c>
      <x:c r="C1934" s="1" t="str">
        <x:v>First Class</x:v>
      </x:c>
      <x:c r="D1934" s="1" t="str">
        <x:v>Europe</x:v>
      </x:c>
      <x:c r="E1934" s="1" t="str">
        <x:v>CLOSED</x:v>
      </x:c>
      <x:c r="F1934" s="1" t="str">
        <x:v>Late delivery</x:v>
      </x:c>
      <x:c r="G1934" s="6" t="n">
        <x:v>2</x:v>
      </x:c>
      <x:c r="H1934" s="6" t="n">
        <x:v>1</x:v>
      </x:c>
      <x:c r="I1934" s="6" t="n">
        <x:f>G1934-H1934</x:f>
        <x:v>1</x:v>
      </x:c>
      <x:c r="J1934" s="6" t="n">
        <x:f>IF(OR(E1934="CANCELED",E1934="SUSPECTED_FRAUD",F1934="Shipping canceled"),0,1)</x:f>
        <x:v>1</x:v>
      </x:c>
      <x:c r="K1934" s="6" t="n">
        <x:f>IF(G1934&gt;H1934,1,0)</x:f>
        <x:v>1</x:v>
      </x:c>
      <x:c r="L1934" s="6" t="n">
        <x:f>J1934*K1934</x:f>
        <x:v>1</x:v>
      </x:c>
    </x:row>
    <x:row r="1935">
      <x:c r="A1935" s="1" t="n">
        <x:v>15358</x:v>
      </x:c>
      <x:c r="B1935" s="5" t="d">
        <x:v>2015-08-13T00:00:00.000Z</x:v>
      </x:c>
      <x:c r="C1935" s="1" t="str">
        <x:v>Standard Class</x:v>
      </x:c>
      <x:c r="D1935" s="1" t="str">
        <x:v>Europe</x:v>
      </x:c>
      <x:c r="E1935" s="1" t="str">
        <x:v>PENDING</x:v>
      </x:c>
      <x:c r="F1935" s="1" t="str">
        <x:v>Shipping on time</x:v>
      </x:c>
      <x:c r="G1935" s="6" t="n">
        <x:v>4</x:v>
      </x:c>
      <x:c r="H1935" s="6" t="n">
        <x:v>4</x:v>
      </x:c>
      <x:c r="I1935" s="6" t="n">
        <x:f>G1935-H1935</x:f>
        <x:v>0</x:v>
      </x:c>
      <x:c r="J1935" s="6" t="n">
        <x:f>IF(OR(E1935="CANCELED",E1935="SUSPECTED_FRAUD",F1935="Shipping canceled"),0,1)</x:f>
        <x:v>1</x:v>
      </x:c>
      <x:c r="K1935" s="6" t="n">
        <x:f>IF(G1935&gt;H1935,1,0)</x:f>
        <x:v>0</x:v>
      </x:c>
      <x:c r="L1935" s="6" t="n">
        <x:f>J1935*K1935</x:f>
        <x:v>0</x:v>
      </x:c>
    </x:row>
    <x:row r="1936">
      <x:c r="A1936" s="1" t="n">
        <x:v>15363</x:v>
      </x:c>
      <x:c r="B1936" s="5" t="d">
        <x:v>2015-08-13T00:00:00.000Z</x:v>
      </x:c>
      <x:c r="C1936" s="1" t="str">
        <x:v>Standard Class</x:v>
      </x:c>
      <x:c r="D1936" s="1" t="str">
        <x:v>Europe</x:v>
      </x:c>
      <x:c r="E1936" s="1" t="str">
        <x:v>PROCESSING</x:v>
      </x:c>
      <x:c r="F1936" s="1" t="str">
        <x:v>Shipping on time</x:v>
      </x:c>
      <x:c r="G1936" s="6" t="n">
        <x:v>4</x:v>
      </x:c>
      <x:c r="H1936" s="6" t="n">
        <x:v>4</x:v>
      </x:c>
      <x:c r="I1936" s="6" t="n">
        <x:f>G1936-H1936</x:f>
        <x:v>0</x:v>
      </x:c>
      <x:c r="J1936" s="6" t="n">
        <x:f>IF(OR(E1936="CANCELED",E1936="SUSPECTED_FRAUD",F1936="Shipping canceled"),0,1)</x:f>
        <x:v>1</x:v>
      </x:c>
      <x:c r="K1936" s="6" t="n">
        <x:f>IF(G1936&gt;H1936,1,0)</x:f>
        <x:v>0</x:v>
      </x:c>
      <x:c r="L1936" s="6" t="n">
        <x:f>J1936*K1936</x:f>
        <x:v>0</x:v>
      </x:c>
    </x:row>
    <x:row r="1937">
      <x:c r="A1937" s="1" t="n">
        <x:v>15367</x:v>
      </x:c>
      <x:c r="B1937" s="5" t="d">
        <x:v>2015-08-13T00:00:00.000Z</x:v>
      </x:c>
      <x:c r="C1937" s="1" t="str">
        <x:v>First Class</x:v>
      </x:c>
      <x:c r="D1937" s="1" t="str">
        <x:v>Europe</x:v>
      </x:c>
      <x:c r="E1937" s="1" t="str">
        <x:v>PENDING_PAYMENT</x:v>
      </x:c>
      <x:c r="F1937" s="1" t="str">
        <x:v>Late delivery</x:v>
      </x:c>
      <x:c r="G1937" s="6" t="n">
        <x:v>2</x:v>
      </x:c>
      <x:c r="H1937" s="6" t="n">
        <x:v>1</x:v>
      </x:c>
      <x:c r="I1937" s="6" t="n">
        <x:f>G1937-H1937</x:f>
        <x:v>1</x:v>
      </x:c>
      <x:c r="J1937" s="6" t="n">
        <x:f>IF(OR(E1937="CANCELED",E1937="SUSPECTED_FRAUD",F1937="Shipping canceled"),0,1)</x:f>
        <x:v>1</x:v>
      </x:c>
      <x:c r="K1937" s="6" t="n">
        <x:f>IF(G1937&gt;H1937,1,0)</x:f>
        <x:v>1</x:v>
      </x:c>
      <x:c r="L1937" s="6" t="n">
        <x:f>J1937*K1937</x:f>
        <x:v>1</x:v>
      </x:c>
    </x:row>
    <x:row r="1938">
      <x:c r="A1938" s="1" t="n">
        <x:v>15369</x:v>
      </x:c>
      <x:c r="B1938" s="5" t="d">
        <x:v>2015-08-13T00:00:00.000Z</x:v>
      </x:c>
      <x:c r="C1938" s="1" t="str">
        <x:v>First Class</x:v>
      </x:c>
      <x:c r="D1938" s="1" t="str">
        <x:v>Europe</x:v>
      </x:c>
      <x:c r="E1938" s="1" t="str">
        <x:v>CLOSED</x:v>
      </x:c>
      <x:c r="F1938" s="1" t="str">
        <x:v>Late delivery</x:v>
      </x:c>
      <x:c r="G1938" s="6" t="n">
        <x:v>2</x:v>
      </x:c>
      <x:c r="H1938" s="6" t="n">
        <x:v>1</x:v>
      </x:c>
      <x:c r="I1938" s="6" t="n">
        <x:f>G1938-H1938</x:f>
        <x:v>1</x:v>
      </x:c>
      <x:c r="J1938" s="6" t="n">
        <x:f>IF(OR(E1938="CANCELED",E1938="SUSPECTED_FRAUD",F1938="Shipping canceled"),0,1)</x:f>
        <x:v>1</x:v>
      </x:c>
      <x:c r="K1938" s="6" t="n">
        <x:f>IF(G1938&gt;H1938,1,0)</x:f>
        <x:v>1</x:v>
      </x:c>
      <x:c r="L1938" s="6" t="n">
        <x:f>J1938*K1938</x:f>
        <x:v>1</x:v>
      </x:c>
    </x:row>
    <x:row r="1939">
      <x:c r="A1939" s="1" t="n">
        <x:v>15376</x:v>
      </x:c>
      <x:c r="B1939" s="5" t="d">
        <x:v>2015-08-13T00:00:00.000Z</x:v>
      </x:c>
      <x:c r="C1939" s="1" t="str">
        <x:v>Standard Class</x:v>
      </x:c>
      <x:c r="D1939" s="1" t="str">
        <x:v>Europe</x:v>
      </x:c>
      <x:c r="E1939" s="1" t="str">
        <x:v>COMPLETE</x:v>
      </x:c>
      <x:c r="F1939" s="1" t="str">
        <x:v>Advance shipping</x:v>
      </x:c>
      <x:c r="G1939" s="6" t="n">
        <x:v>2</x:v>
      </x:c>
      <x:c r="H1939" s="6" t="n">
        <x:v>4</x:v>
      </x:c>
      <x:c r="I1939" s="6" t="n">
        <x:f>G1939-H1939</x:f>
        <x:v>-2</x:v>
      </x:c>
      <x:c r="J1939" s="6" t="n">
        <x:f>IF(OR(E1939="CANCELED",E1939="SUSPECTED_FRAUD",F1939="Shipping canceled"),0,1)</x:f>
        <x:v>1</x:v>
      </x:c>
      <x:c r="K1939" s="6" t="n">
        <x:f>IF(G1939&gt;H1939,1,0)</x:f>
        <x:v>0</x:v>
      </x:c>
      <x:c r="L1939" s="6" t="n">
        <x:f>J1939*K1939</x:f>
        <x:v>0</x:v>
      </x:c>
    </x:row>
    <x:row r="1940">
      <x:c r="A1940" s="1" t="n">
        <x:v>15377</x:v>
      </x:c>
      <x:c r="B1940" s="5" t="d">
        <x:v>2015-08-13T00:00:00.000Z</x:v>
      </x:c>
      <x:c r="C1940" s="1" t="str">
        <x:v>Standard Class</x:v>
      </x:c>
      <x:c r="D1940" s="1" t="str">
        <x:v>Europe</x:v>
      </x:c>
      <x:c r="E1940" s="1" t="str">
        <x:v>ON_HOLD</x:v>
      </x:c>
      <x:c r="F1940" s="1" t="str">
        <x:v>Advance shipping</x:v>
      </x:c>
      <x:c r="G1940" s="6" t="n">
        <x:v>3</x:v>
      </x:c>
      <x:c r="H1940" s="6" t="n">
        <x:v>4</x:v>
      </x:c>
      <x:c r="I1940" s="6" t="n">
        <x:f>G1940-H1940</x:f>
        <x:v>-1</x:v>
      </x:c>
      <x:c r="J1940" s="6" t="n">
        <x:f>IF(OR(E1940="CANCELED",E1940="SUSPECTED_FRAUD",F1940="Shipping canceled"),0,1)</x:f>
        <x:v>1</x:v>
      </x:c>
      <x:c r="K1940" s="6" t="n">
        <x:f>IF(G1940&gt;H1940,1,0)</x:f>
        <x:v>0</x:v>
      </x:c>
      <x:c r="L1940" s="6" t="n">
        <x:f>J1940*K1940</x:f>
        <x:v>0</x:v>
      </x:c>
    </x:row>
    <x:row r="1941">
      <x:c r="A1941" s="1" t="n">
        <x:v>15379</x:v>
      </x:c>
      <x:c r="B1941" s="5" t="d">
        <x:v>2015-08-13T00:00:00.000Z</x:v>
      </x:c>
      <x:c r="C1941" s="1" t="str">
        <x:v>Standard Class</x:v>
      </x:c>
      <x:c r="D1941" s="1" t="str">
        <x:v>Europe</x:v>
      </x:c>
      <x:c r="E1941" s="1" t="str">
        <x:v>ON_HOLD</x:v>
      </x:c>
      <x:c r="F1941" s="1" t="str">
        <x:v>Late delivery</x:v>
      </x:c>
      <x:c r="G1941" s="6" t="n">
        <x:v>5</x:v>
      </x:c>
      <x:c r="H1941" s="6" t="n">
        <x:v>4</x:v>
      </x:c>
      <x:c r="I1941" s="6" t="n">
        <x:f>G1941-H1941</x:f>
        <x:v>1</x:v>
      </x:c>
      <x:c r="J1941" s="6" t="n">
        <x:f>IF(OR(E1941="CANCELED",E1941="SUSPECTED_FRAUD",F1941="Shipping canceled"),0,1)</x:f>
        <x:v>1</x:v>
      </x:c>
      <x:c r="K1941" s="6" t="n">
        <x:f>IF(G1941&gt;H1941,1,0)</x:f>
        <x:v>1</x:v>
      </x:c>
      <x:c r="L1941" s="6" t="n">
        <x:f>J1941*K1941</x:f>
        <x:v>1</x:v>
      </x:c>
    </x:row>
    <x:row r="1942">
      <x:c r="A1942" s="1" t="n">
        <x:v>15380</x:v>
      </x:c>
      <x:c r="B1942" s="5" t="d">
        <x:v>2015-08-13T00:00:00.000Z</x:v>
      </x:c>
      <x:c r="C1942" s="1" t="str">
        <x:v>Standard Class</x:v>
      </x:c>
      <x:c r="D1942" s="1" t="str">
        <x:v>Europe</x:v>
      </x:c>
      <x:c r="E1942" s="1" t="str">
        <x:v>PROCESSING</x:v>
      </x:c>
      <x:c r="F1942" s="1" t="str">
        <x:v>Late delivery</x:v>
      </x:c>
      <x:c r="G1942" s="6" t="n">
        <x:v>6</x:v>
      </x:c>
      <x:c r="H1942" s="6" t="n">
        <x:v>4</x:v>
      </x:c>
      <x:c r="I1942" s="6" t="n">
        <x:f>G1942-H1942</x:f>
        <x:v>2</x:v>
      </x:c>
      <x:c r="J1942" s="6" t="n">
        <x:f>IF(OR(E1942="CANCELED",E1942="SUSPECTED_FRAUD",F1942="Shipping canceled"),0,1)</x:f>
        <x:v>1</x:v>
      </x:c>
      <x:c r="K1942" s="6" t="n">
        <x:f>IF(G1942&gt;H1942,1,0)</x:f>
        <x:v>1</x:v>
      </x:c>
      <x:c r="L1942" s="6" t="n">
        <x:f>J1942*K1942</x:f>
        <x:v>1</x:v>
      </x:c>
    </x:row>
    <x:row r="1943">
      <x:c r="A1943" s="1" t="n">
        <x:v>15396</x:v>
      </x:c>
      <x:c r="B1943" s="5" t="d">
        <x:v>2015-08-13T00:00:00.000Z</x:v>
      </x:c>
      <x:c r="C1943" s="1" t="str">
        <x:v>Standard Class</x:v>
      </x:c>
      <x:c r="D1943" s="1" t="str">
        <x:v>Europe</x:v>
      </x:c>
      <x:c r="E1943" s="1" t="str">
        <x:v>PENDING</x:v>
      </x:c>
      <x:c r="F1943" s="1" t="str">
        <x:v>Advance shipping</x:v>
      </x:c>
      <x:c r="G1943" s="6" t="n">
        <x:v>2</x:v>
      </x:c>
      <x:c r="H1943" s="6" t="n">
        <x:v>4</x:v>
      </x:c>
      <x:c r="I1943" s="6" t="n">
        <x:f>G1943-H1943</x:f>
        <x:v>-2</x:v>
      </x:c>
      <x:c r="J1943" s="6" t="n">
        <x:f>IF(OR(E1943="CANCELED",E1943="SUSPECTED_FRAUD",F1943="Shipping canceled"),0,1)</x:f>
        <x:v>1</x:v>
      </x:c>
      <x:c r="K1943" s="6" t="n">
        <x:f>IF(G1943&gt;H1943,1,0)</x:f>
        <x:v>0</x:v>
      </x:c>
      <x:c r="L1943" s="6" t="n">
        <x:f>J1943*K1943</x:f>
        <x:v>0</x:v>
      </x:c>
    </x:row>
    <x:row r="1944">
      <x:c r="A1944" s="1" t="n">
        <x:v>15400</x:v>
      </x:c>
      <x:c r="B1944" s="5" t="d">
        <x:v>2015-08-13T00:00:00.000Z</x:v>
      </x:c>
      <x:c r="C1944" s="1" t="str">
        <x:v>Standard Class</x:v>
      </x:c>
      <x:c r="D1944" s="1" t="str">
        <x:v>Europe</x:v>
      </x:c>
      <x:c r="E1944" s="1" t="str">
        <x:v>COMPLETE</x:v>
      </x:c>
      <x:c r="F1944" s="1" t="str">
        <x:v>Late delivery</x:v>
      </x:c>
      <x:c r="G1944" s="6" t="n">
        <x:v>6</x:v>
      </x:c>
      <x:c r="H1944" s="6" t="n">
        <x:v>4</x:v>
      </x:c>
      <x:c r="I1944" s="6" t="n">
        <x:f>G1944-H1944</x:f>
        <x:v>2</x:v>
      </x:c>
      <x:c r="J1944" s="6" t="n">
        <x:f>IF(OR(E1944="CANCELED",E1944="SUSPECTED_FRAUD",F1944="Shipping canceled"),0,1)</x:f>
        <x:v>1</x:v>
      </x:c>
      <x:c r="K1944" s="6" t="n">
        <x:f>IF(G1944&gt;H1944,1,0)</x:f>
        <x:v>1</x:v>
      </x:c>
      <x:c r="L1944" s="6" t="n">
        <x:f>J1944*K1944</x:f>
        <x:v>1</x:v>
      </x:c>
    </x:row>
    <x:row r="1945">
      <x:c r="A1945" s="1" t="n">
        <x:v>15403</x:v>
      </x:c>
      <x:c r="B1945" s="5" t="d">
        <x:v>2015-08-13T00:00:00.000Z</x:v>
      </x:c>
      <x:c r="C1945" s="1" t="str">
        <x:v>Standard Class</x:v>
      </x:c>
      <x:c r="D1945" s="1" t="str">
        <x:v>Europe</x:v>
      </x:c>
      <x:c r="E1945" s="1" t="str">
        <x:v>COMPLETE</x:v>
      </x:c>
      <x:c r="F1945" s="1" t="str">
        <x:v>Shipping on time</x:v>
      </x:c>
      <x:c r="G1945" s="6" t="n">
        <x:v>4</x:v>
      </x:c>
      <x:c r="H1945" s="6" t="n">
        <x:v>4</x:v>
      </x:c>
      <x:c r="I1945" s="6" t="n">
        <x:f>G1945-H1945</x:f>
        <x:v>0</x:v>
      </x:c>
      <x:c r="J1945" s="6" t="n">
        <x:f>IF(OR(E1945="CANCELED",E1945="SUSPECTED_FRAUD",F1945="Shipping canceled"),0,1)</x:f>
        <x:v>1</x:v>
      </x:c>
      <x:c r="K1945" s="6" t="n">
        <x:f>IF(G1945&gt;H1945,1,0)</x:f>
        <x:v>0</x:v>
      </x:c>
      <x:c r="L1945" s="6" t="n">
        <x:f>J1945*K1945</x:f>
        <x:v>0</x:v>
      </x:c>
    </x:row>
    <x:row r="1946">
      <x:c r="A1946" s="1" t="n">
        <x:v>15421</x:v>
      </x:c>
      <x:c r="B1946" s="5" t="d">
        <x:v>2015-08-14T00:00:00.000Z</x:v>
      </x:c>
      <x:c r="C1946" s="1" t="str">
        <x:v>Second Class</x:v>
      </x:c>
      <x:c r="D1946" s="1" t="str">
        <x:v>Europe</x:v>
      </x:c>
      <x:c r="E1946" s="1" t="str">
        <x:v>COMPLETE</x:v>
      </x:c>
      <x:c r="F1946" s="1" t="str">
        <x:v>Shipping on time</x:v>
      </x:c>
      <x:c r="G1946" s="6" t="n">
        <x:v>2</x:v>
      </x:c>
      <x:c r="H1946" s="6" t="n">
        <x:v>2</x:v>
      </x:c>
      <x:c r="I1946" s="6" t="n">
        <x:f>G1946-H1946</x:f>
        <x:v>0</x:v>
      </x:c>
      <x:c r="J1946" s="6" t="n">
        <x:f>IF(OR(E1946="CANCELED",E1946="SUSPECTED_FRAUD",F1946="Shipping canceled"),0,1)</x:f>
        <x:v>1</x:v>
      </x:c>
      <x:c r="K1946" s="6" t="n">
        <x:f>IF(G1946&gt;H1946,1,0)</x:f>
        <x:v>0</x:v>
      </x:c>
      <x:c r="L1946" s="6" t="n">
        <x:f>J1946*K1946</x:f>
        <x:v>0</x:v>
      </x:c>
    </x:row>
    <x:row r="1947">
      <x:c r="A1947" s="1" t="n">
        <x:v>15427</x:v>
      </x:c>
      <x:c r="B1947" s="5" t="d">
        <x:v>2015-08-14T00:00:00.000Z</x:v>
      </x:c>
      <x:c r="C1947" s="1" t="str">
        <x:v>Standard Class</x:v>
      </x:c>
      <x:c r="D1947" s="1" t="str">
        <x:v>Europe</x:v>
      </x:c>
      <x:c r="E1947" s="1" t="str">
        <x:v>CLOSED</x:v>
      </x:c>
      <x:c r="F1947" s="1" t="str">
        <x:v>Advance shipping</x:v>
      </x:c>
      <x:c r="G1947" s="6" t="n">
        <x:v>3</x:v>
      </x:c>
      <x:c r="H1947" s="6" t="n">
        <x:v>4</x:v>
      </x:c>
      <x:c r="I1947" s="6" t="n">
        <x:f>G1947-H1947</x:f>
        <x:v>-1</x:v>
      </x:c>
      <x:c r="J1947" s="6" t="n">
        <x:f>IF(OR(E1947="CANCELED",E1947="SUSPECTED_FRAUD",F1947="Shipping canceled"),0,1)</x:f>
        <x:v>1</x:v>
      </x:c>
      <x:c r="K1947" s="6" t="n">
        <x:f>IF(G1947&gt;H1947,1,0)</x:f>
        <x:v>0</x:v>
      </x:c>
      <x:c r="L1947" s="6" t="n">
        <x:f>J1947*K1947</x:f>
        <x:v>0</x:v>
      </x:c>
    </x:row>
    <x:row r="1948">
      <x:c r="A1948" s="1" t="n">
        <x:v>15430</x:v>
      </x:c>
      <x:c r="B1948" s="5" t="d">
        <x:v>2015-08-14T00:00:00.000Z</x:v>
      </x:c>
      <x:c r="C1948" s="1" t="str">
        <x:v>Standard Class</x:v>
      </x:c>
      <x:c r="D1948" s="1" t="str">
        <x:v>Europe</x:v>
      </x:c>
      <x:c r="E1948" s="1" t="str">
        <x:v>ON_HOLD</x:v>
      </x:c>
      <x:c r="F1948" s="1" t="str">
        <x:v>Late delivery</x:v>
      </x:c>
      <x:c r="G1948" s="6" t="n">
        <x:v>6</x:v>
      </x:c>
      <x:c r="H1948" s="6" t="n">
        <x:v>4</x:v>
      </x:c>
      <x:c r="I1948" s="6" t="n">
        <x:f>G1948-H1948</x:f>
        <x:v>2</x:v>
      </x:c>
      <x:c r="J1948" s="6" t="n">
        <x:f>IF(OR(E1948="CANCELED",E1948="SUSPECTED_FRAUD",F1948="Shipping canceled"),0,1)</x:f>
        <x:v>1</x:v>
      </x:c>
      <x:c r="K1948" s="6" t="n">
        <x:f>IF(G1948&gt;H1948,1,0)</x:f>
        <x:v>1</x:v>
      </x:c>
      <x:c r="L1948" s="6" t="n">
        <x:f>J1948*K1948</x:f>
        <x:v>1</x:v>
      </x:c>
    </x:row>
    <x:row r="1949">
      <x:c r="A1949" s="1" t="n">
        <x:v>15437</x:v>
      </x:c>
      <x:c r="B1949" s="5" t="d">
        <x:v>2015-08-14T00:00:00.000Z</x:v>
      </x:c>
      <x:c r="C1949" s="1" t="str">
        <x:v>Standard Class</x:v>
      </x:c>
      <x:c r="D1949" s="1" t="str">
        <x:v>Europe</x:v>
      </x:c>
      <x:c r="E1949" s="1" t="str">
        <x:v>PENDING_PAYMENT</x:v>
      </x:c>
      <x:c r="F1949" s="1" t="str">
        <x:v>Advance shipping</x:v>
      </x:c>
      <x:c r="G1949" s="6" t="n">
        <x:v>3</x:v>
      </x:c>
      <x:c r="H1949" s="6" t="n">
        <x:v>4</x:v>
      </x:c>
      <x:c r="I1949" s="6" t="n">
        <x:f>G1949-H1949</x:f>
        <x:v>-1</x:v>
      </x:c>
      <x:c r="J1949" s="6" t="n">
        <x:f>IF(OR(E1949="CANCELED",E1949="SUSPECTED_FRAUD",F1949="Shipping canceled"),0,1)</x:f>
        <x:v>1</x:v>
      </x:c>
      <x:c r="K1949" s="6" t="n">
        <x:f>IF(G1949&gt;H1949,1,0)</x:f>
        <x:v>0</x:v>
      </x:c>
      <x:c r="L1949" s="6" t="n">
        <x:f>J1949*K1949</x:f>
        <x:v>0</x:v>
      </x:c>
    </x:row>
    <x:row r="1950">
      <x:c r="A1950" s="1" t="n">
        <x:v>15438</x:v>
      </x:c>
      <x:c r="B1950" s="5" t="d">
        <x:v>2015-08-14T00:00:00.000Z</x:v>
      </x:c>
      <x:c r="C1950" s="1" t="str">
        <x:v>Standard Class</x:v>
      </x:c>
      <x:c r="D1950" s="1" t="str">
        <x:v>Europe</x:v>
      </x:c>
      <x:c r="E1950" s="1" t="str">
        <x:v>COMPLETE</x:v>
      </x:c>
      <x:c r="F1950" s="1" t="str">
        <x:v>Shipping on time</x:v>
      </x:c>
      <x:c r="G1950" s="6" t="n">
        <x:v>4</x:v>
      </x:c>
      <x:c r="H1950" s="6" t="n">
        <x:v>4</x:v>
      </x:c>
      <x:c r="I1950" s="6" t="n">
        <x:f>G1950-H1950</x:f>
        <x:v>0</x:v>
      </x:c>
      <x:c r="J1950" s="6" t="n">
        <x:f>IF(OR(E1950="CANCELED",E1950="SUSPECTED_FRAUD",F1950="Shipping canceled"),0,1)</x:f>
        <x:v>1</x:v>
      </x:c>
      <x:c r="K1950" s="6" t="n">
        <x:f>IF(G1950&gt;H1950,1,0)</x:f>
        <x:v>0</x:v>
      </x:c>
      <x:c r="L1950" s="6" t="n">
        <x:f>J1950*K1950</x:f>
        <x:v>0</x:v>
      </x:c>
    </x:row>
    <x:row r="1951">
      <x:c r="A1951" s="1" t="n">
        <x:v>15440</x:v>
      </x:c>
      <x:c r="B1951" s="5" t="d">
        <x:v>2015-08-14T00:00:00.000Z</x:v>
      </x:c>
      <x:c r="C1951" s="1" t="str">
        <x:v>Standard Class</x:v>
      </x:c>
      <x:c r="D1951" s="1" t="str">
        <x:v>Europe</x:v>
      </x:c>
      <x:c r="E1951" s="1" t="str">
        <x:v>PENDING_PAYMENT</x:v>
      </x:c>
      <x:c r="F1951" s="1" t="str">
        <x:v>Late delivery</x:v>
      </x:c>
      <x:c r="G1951" s="6" t="n">
        <x:v>6</x:v>
      </x:c>
      <x:c r="H1951" s="6" t="n">
        <x:v>4</x:v>
      </x:c>
      <x:c r="I1951" s="6" t="n">
        <x:f>G1951-H1951</x:f>
        <x:v>2</x:v>
      </x:c>
      <x:c r="J1951" s="6" t="n">
        <x:f>IF(OR(E1951="CANCELED",E1951="SUSPECTED_FRAUD",F1951="Shipping canceled"),0,1)</x:f>
        <x:v>1</x:v>
      </x:c>
      <x:c r="K1951" s="6" t="n">
        <x:f>IF(G1951&gt;H1951,1,0)</x:f>
        <x:v>1</x:v>
      </x:c>
      <x:c r="L1951" s="6" t="n">
        <x:f>J1951*K1951</x:f>
        <x:v>1</x:v>
      </x:c>
    </x:row>
    <x:row r="1952">
      <x:c r="A1952" s="1" t="n">
        <x:v>15443</x:v>
      </x:c>
      <x:c r="B1952" s="5" t="d">
        <x:v>2015-08-14T00:00:00.000Z</x:v>
      </x:c>
      <x:c r="C1952" s="1" t="str">
        <x:v>Standard Class</x:v>
      </x:c>
      <x:c r="D1952" s="1" t="str">
        <x:v>Europe</x:v>
      </x:c>
      <x:c r="E1952" s="1" t="str">
        <x:v>PENDING</x:v>
      </x:c>
      <x:c r="F1952" s="1" t="str">
        <x:v>Shipping on time</x:v>
      </x:c>
      <x:c r="G1952" s="6" t="n">
        <x:v>4</x:v>
      </x:c>
      <x:c r="H1952" s="6" t="n">
        <x:v>4</x:v>
      </x:c>
      <x:c r="I1952" s="6" t="n">
        <x:f>G1952-H1952</x:f>
        <x:v>0</x:v>
      </x:c>
      <x:c r="J1952" s="6" t="n">
        <x:f>IF(OR(E1952="CANCELED",E1952="SUSPECTED_FRAUD",F1952="Shipping canceled"),0,1)</x:f>
        <x:v>1</x:v>
      </x:c>
      <x:c r="K1952" s="6" t="n">
        <x:f>IF(G1952&gt;H1952,1,0)</x:f>
        <x:v>0</x:v>
      </x:c>
      <x:c r="L1952" s="6" t="n">
        <x:f>J1952*K1952</x:f>
        <x:v>0</x:v>
      </x:c>
    </x:row>
    <x:row r="1953">
      <x:c r="A1953" s="1" t="n">
        <x:v>15445</x:v>
      </x:c>
      <x:c r="B1953" s="5" t="d">
        <x:v>2015-08-14T00:00:00.000Z</x:v>
      </x:c>
      <x:c r="C1953" s="1" t="str">
        <x:v>Standard Class</x:v>
      </x:c>
      <x:c r="D1953" s="1" t="str">
        <x:v>Europe</x:v>
      </x:c>
      <x:c r="E1953" s="1" t="str">
        <x:v>COMPLETE</x:v>
      </x:c>
      <x:c r="F1953" s="1" t="str">
        <x:v>Late delivery</x:v>
      </x:c>
      <x:c r="G1953" s="6" t="n">
        <x:v>6</x:v>
      </x:c>
      <x:c r="H1953" s="6" t="n">
        <x:v>4</x:v>
      </x:c>
      <x:c r="I1953" s="6" t="n">
        <x:f>G1953-H1953</x:f>
        <x:v>2</x:v>
      </x:c>
      <x:c r="J1953" s="6" t="n">
        <x:f>IF(OR(E1953="CANCELED",E1953="SUSPECTED_FRAUD",F1953="Shipping canceled"),0,1)</x:f>
        <x:v>1</x:v>
      </x:c>
      <x:c r="K1953" s="6" t="n">
        <x:f>IF(G1953&gt;H1953,1,0)</x:f>
        <x:v>1</x:v>
      </x:c>
      <x:c r="L1953" s="6" t="n">
        <x:f>J1953*K1953</x:f>
        <x:v>1</x:v>
      </x:c>
    </x:row>
    <x:row r="1954">
      <x:c r="A1954" s="1" t="n">
        <x:v>15449</x:v>
      </x:c>
      <x:c r="B1954" s="5" t="d">
        <x:v>2015-08-14T00:00:00.000Z</x:v>
      </x:c>
      <x:c r="C1954" s="1" t="str">
        <x:v>Standard Class</x:v>
      </x:c>
      <x:c r="D1954" s="1" t="str">
        <x:v>Europe</x:v>
      </x:c>
      <x:c r="E1954" s="1" t="str">
        <x:v>COMPLETE</x:v>
      </x:c>
      <x:c r="F1954" s="1" t="str">
        <x:v>Late delivery</x:v>
      </x:c>
      <x:c r="G1954" s="6" t="n">
        <x:v>5</x:v>
      </x:c>
      <x:c r="H1954" s="6" t="n">
        <x:v>4</x:v>
      </x:c>
      <x:c r="I1954" s="6" t="n">
        <x:f>G1954-H1954</x:f>
        <x:v>1</x:v>
      </x:c>
      <x:c r="J1954" s="6" t="n">
        <x:f>IF(OR(E1954="CANCELED",E1954="SUSPECTED_FRAUD",F1954="Shipping canceled"),0,1)</x:f>
        <x:v>1</x:v>
      </x:c>
      <x:c r="K1954" s="6" t="n">
        <x:f>IF(G1954&gt;H1954,1,0)</x:f>
        <x:v>1</x:v>
      </x:c>
      <x:c r="L1954" s="6" t="n">
        <x:f>J1954*K1954</x:f>
        <x:v>1</x:v>
      </x:c>
    </x:row>
    <x:row r="1955">
      <x:c r="A1955" s="1" t="n">
        <x:v>15455</x:v>
      </x:c>
      <x:c r="B1955" s="5" t="d">
        <x:v>2015-08-14T00:00:00.000Z</x:v>
      </x:c>
      <x:c r="C1955" s="1" t="str">
        <x:v>Standard Class</x:v>
      </x:c>
      <x:c r="D1955" s="1" t="str">
        <x:v>Europe</x:v>
      </x:c>
      <x:c r="E1955" s="1" t="str">
        <x:v>ON_HOLD</x:v>
      </x:c>
      <x:c r="F1955" s="1" t="str">
        <x:v>Late delivery</x:v>
      </x:c>
      <x:c r="G1955" s="6" t="n">
        <x:v>6</x:v>
      </x:c>
      <x:c r="H1955" s="6" t="n">
        <x:v>4</x:v>
      </x:c>
      <x:c r="I1955" s="6" t="n">
        <x:f>G1955-H1955</x:f>
        <x:v>2</x:v>
      </x:c>
      <x:c r="J1955" s="6" t="n">
        <x:f>IF(OR(E1955="CANCELED",E1955="SUSPECTED_FRAUD",F1955="Shipping canceled"),0,1)</x:f>
        <x:v>1</x:v>
      </x:c>
      <x:c r="K1955" s="6" t="n">
        <x:f>IF(G1955&gt;H1955,1,0)</x:f>
        <x:v>1</x:v>
      </x:c>
      <x:c r="L1955" s="6" t="n">
        <x:f>J1955*K1955</x:f>
        <x:v>1</x:v>
      </x:c>
    </x:row>
    <x:row r="1956">
      <x:c r="A1956" s="1" t="n">
        <x:v>15459</x:v>
      </x:c>
      <x:c r="B1956" s="5" t="d">
        <x:v>2015-08-14T00:00:00.000Z</x:v>
      </x:c>
      <x:c r="C1956" s="1" t="str">
        <x:v>Standard Class</x:v>
      </x:c>
      <x:c r="D1956" s="1" t="str">
        <x:v>Europe</x:v>
      </x:c>
      <x:c r="E1956" s="1" t="str">
        <x:v>COMPLETE</x:v>
      </x:c>
      <x:c r="F1956" s="1" t="str">
        <x:v>Late delivery</x:v>
      </x:c>
      <x:c r="G1956" s="6" t="n">
        <x:v>5</x:v>
      </x:c>
      <x:c r="H1956" s="6" t="n">
        <x:v>4</x:v>
      </x:c>
      <x:c r="I1956" s="6" t="n">
        <x:f>G1956-H1956</x:f>
        <x:v>1</x:v>
      </x:c>
      <x:c r="J1956" s="6" t="n">
        <x:f>IF(OR(E1956="CANCELED",E1956="SUSPECTED_FRAUD",F1956="Shipping canceled"),0,1)</x:f>
        <x:v>1</x:v>
      </x:c>
      <x:c r="K1956" s="6" t="n">
        <x:f>IF(G1956&gt;H1956,1,0)</x:f>
        <x:v>1</x:v>
      </x:c>
      <x:c r="L1956" s="6" t="n">
        <x:f>J1956*K1956</x:f>
        <x:v>1</x:v>
      </x:c>
    </x:row>
    <x:row r="1957">
      <x:c r="A1957" s="1" t="n">
        <x:v>15462</x:v>
      </x:c>
      <x:c r="B1957" s="5" t="d">
        <x:v>2015-08-14T00:00:00.000Z</x:v>
      </x:c>
      <x:c r="C1957" s="1" t="str">
        <x:v>Standard Class</x:v>
      </x:c>
      <x:c r="D1957" s="1" t="str">
        <x:v>Europe</x:v>
      </x:c>
      <x:c r="E1957" s="1" t="str">
        <x:v>COMPLETE</x:v>
      </x:c>
      <x:c r="F1957" s="1" t="str">
        <x:v>Advance shipping</x:v>
      </x:c>
      <x:c r="G1957" s="6" t="n">
        <x:v>3</x:v>
      </x:c>
      <x:c r="H1957" s="6" t="n">
        <x:v>4</x:v>
      </x:c>
      <x:c r="I1957" s="6" t="n">
        <x:f>G1957-H1957</x:f>
        <x:v>-1</x:v>
      </x:c>
      <x:c r="J1957" s="6" t="n">
        <x:f>IF(OR(E1957="CANCELED",E1957="SUSPECTED_FRAUD",F1957="Shipping canceled"),0,1)</x:f>
        <x:v>1</x:v>
      </x:c>
      <x:c r="K1957" s="6" t="n">
        <x:f>IF(G1957&gt;H1957,1,0)</x:f>
        <x:v>0</x:v>
      </x:c>
      <x:c r="L1957" s="6" t="n">
        <x:f>J1957*K1957</x:f>
        <x:v>0</x:v>
      </x:c>
    </x:row>
    <x:row r="1958">
      <x:c r="A1958" s="1" t="n">
        <x:v>15467</x:v>
      </x:c>
      <x:c r="B1958" s="5" t="d">
        <x:v>2015-08-14T00:00:00.000Z</x:v>
      </x:c>
      <x:c r="C1958" s="1" t="str">
        <x:v>First Class</x:v>
      </x:c>
      <x:c r="D1958" s="1" t="str">
        <x:v>Europe</x:v>
      </x:c>
      <x:c r="E1958" s="1" t="str">
        <x:v>PENDING_PAYMENT</x:v>
      </x:c>
      <x:c r="F1958" s="1" t="str">
        <x:v>Late delivery</x:v>
      </x:c>
      <x:c r="G1958" s="6" t="n">
        <x:v>2</x:v>
      </x:c>
      <x:c r="H1958" s="6" t="n">
        <x:v>1</x:v>
      </x:c>
      <x:c r="I1958" s="6" t="n">
        <x:f>G1958-H1958</x:f>
        <x:v>1</x:v>
      </x:c>
      <x:c r="J1958" s="6" t="n">
        <x:f>IF(OR(E1958="CANCELED",E1958="SUSPECTED_FRAUD",F1958="Shipping canceled"),0,1)</x:f>
        <x:v>1</x:v>
      </x:c>
      <x:c r="K1958" s="6" t="n">
        <x:f>IF(G1958&gt;H1958,1,0)</x:f>
        <x:v>1</x:v>
      </x:c>
      <x:c r="L1958" s="6" t="n">
        <x:f>J1958*K1958</x:f>
        <x:v>1</x:v>
      </x:c>
    </x:row>
    <x:row r="1959">
      <x:c r="A1959" s="1" t="n">
        <x:v>15469</x:v>
      </x:c>
      <x:c r="B1959" s="5" t="d">
        <x:v>2015-08-14T00:00:00.000Z</x:v>
      </x:c>
      <x:c r="C1959" s="1" t="str">
        <x:v>Standard Class</x:v>
      </x:c>
      <x:c r="D1959" s="1" t="str">
        <x:v>Europe</x:v>
      </x:c>
      <x:c r="E1959" s="1" t="str">
        <x:v>PROCESSING</x:v>
      </x:c>
      <x:c r="F1959" s="1" t="str">
        <x:v>Late delivery</x:v>
      </x:c>
      <x:c r="G1959" s="6" t="n">
        <x:v>5</x:v>
      </x:c>
      <x:c r="H1959" s="6" t="n">
        <x:v>4</x:v>
      </x:c>
      <x:c r="I1959" s="6" t="n">
        <x:f>G1959-H1959</x:f>
        <x:v>1</x:v>
      </x:c>
      <x:c r="J1959" s="6" t="n">
        <x:f>IF(OR(E1959="CANCELED",E1959="SUSPECTED_FRAUD",F1959="Shipping canceled"),0,1)</x:f>
        <x:v>1</x:v>
      </x:c>
      <x:c r="K1959" s="6" t="n">
        <x:f>IF(G1959&gt;H1959,1,0)</x:f>
        <x:v>1</x:v>
      </x:c>
      <x:c r="L1959" s="6" t="n">
        <x:f>J1959*K1959</x:f>
        <x:v>1</x:v>
      </x:c>
    </x:row>
    <x:row r="1960">
      <x:c r="A1960" s="1" t="n">
        <x:v>15480</x:v>
      </x:c>
      <x:c r="B1960" s="5" t="d">
        <x:v>2015-08-14T00:00:00.000Z</x:v>
      </x:c>
      <x:c r="C1960" s="1" t="str">
        <x:v>First Class</x:v>
      </x:c>
      <x:c r="D1960" s="1" t="str">
        <x:v>Europe</x:v>
      </x:c>
      <x:c r="E1960" s="1" t="str">
        <x:v>CLOSED</x:v>
      </x:c>
      <x:c r="F1960" s="1" t="str">
        <x:v>Late delivery</x:v>
      </x:c>
      <x:c r="G1960" s="6" t="n">
        <x:v>2</x:v>
      </x:c>
      <x:c r="H1960" s="6" t="n">
        <x:v>1</x:v>
      </x:c>
      <x:c r="I1960" s="6" t="n">
        <x:f>G1960-H1960</x:f>
        <x:v>1</x:v>
      </x:c>
      <x:c r="J1960" s="6" t="n">
        <x:f>IF(OR(E1960="CANCELED",E1960="SUSPECTED_FRAUD",F1960="Shipping canceled"),0,1)</x:f>
        <x:v>1</x:v>
      </x:c>
      <x:c r="K1960" s="6" t="n">
        <x:f>IF(G1960&gt;H1960,1,0)</x:f>
        <x:v>1</x:v>
      </x:c>
      <x:c r="L1960" s="6" t="n">
        <x:f>J1960*K1960</x:f>
        <x:v>1</x:v>
      </x:c>
    </x:row>
    <x:row r="1961">
      <x:c r="A1961" s="1" t="n">
        <x:v>15483</x:v>
      </x:c>
      <x:c r="B1961" s="5" t="d">
        <x:v>2015-08-15T00:00:00.000Z</x:v>
      </x:c>
      <x:c r="C1961" s="1" t="str">
        <x:v>Standard Class</x:v>
      </x:c>
      <x:c r="D1961" s="1" t="str">
        <x:v>Europe</x:v>
      </x:c>
      <x:c r="E1961" s="1" t="str">
        <x:v>ON_HOLD</x:v>
      </x:c>
      <x:c r="F1961" s="1" t="str">
        <x:v>Shipping on time</x:v>
      </x:c>
      <x:c r="G1961" s="6" t="n">
        <x:v>4</x:v>
      </x:c>
      <x:c r="H1961" s="6" t="n">
        <x:v>4</x:v>
      </x:c>
      <x:c r="I1961" s="6" t="n">
        <x:f>G1961-H1961</x:f>
        <x:v>0</x:v>
      </x:c>
      <x:c r="J1961" s="6" t="n">
        <x:f>IF(OR(E1961="CANCELED",E1961="SUSPECTED_FRAUD",F1961="Shipping canceled"),0,1)</x:f>
        <x:v>1</x:v>
      </x:c>
      <x:c r="K1961" s="6" t="n">
        <x:f>IF(G1961&gt;H1961,1,0)</x:f>
        <x:v>0</x:v>
      </x:c>
      <x:c r="L1961" s="6" t="n">
        <x:f>J1961*K1961</x:f>
        <x:v>0</x:v>
      </x:c>
    </x:row>
    <x:row r="1962">
      <x:c r="A1962" s="1" t="n">
        <x:v>15484</x:v>
      </x:c>
      <x:c r="B1962" s="5" t="d">
        <x:v>2015-08-15T00:00:00.000Z</x:v>
      </x:c>
      <x:c r="C1962" s="1" t="str">
        <x:v>Standard Class</x:v>
      </x:c>
      <x:c r="D1962" s="1" t="str">
        <x:v>Europe</x:v>
      </x:c>
      <x:c r="E1962" s="1" t="str">
        <x:v>CANCELED</x:v>
      </x:c>
      <x:c r="F1962" s="1" t="str">
        <x:v>Shipping canceled</x:v>
      </x:c>
      <x:c r="G1962" s="6" t="n">
        <x:v>5</x:v>
      </x:c>
      <x:c r="H1962" s="6" t="n">
        <x:v>4</x:v>
      </x:c>
      <x:c r="I1962" s="6" t="n">
        <x:f>G1962-H1962</x:f>
        <x:v>1</x:v>
      </x:c>
      <x:c r="J1962" s="6" t="n">
        <x:f>IF(OR(E1962="CANCELED",E1962="SUSPECTED_FRAUD",F1962="Shipping canceled"),0,1)</x:f>
        <x:v>0</x:v>
      </x:c>
      <x:c r="K1962" s="6" t="n">
        <x:f>IF(G1962&gt;H1962,1,0)</x:f>
        <x:v>1</x:v>
      </x:c>
      <x:c r="L1962" s="6" t="n">
        <x:f>J1962*K1962</x:f>
        <x:v>0</x:v>
      </x:c>
    </x:row>
    <x:row r="1963">
      <x:c r="A1963" s="1" t="n">
        <x:v>15487</x:v>
      </x:c>
      <x:c r="B1963" s="5" t="d">
        <x:v>2015-08-15T00:00:00.000Z</x:v>
      </x:c>
      <x:c r="C1963" s="1" t="str">
        <x:v>Standard Class</x:v>
      </x:c>
      <x:c r="D1963" s="1" t="str">
        <x:v>Europe</x:v>
      </x:c>
      <x:c r="E1963" s="1" t="str">
        <x:v>PROCESSING</x:v>
      </x:c>
      <x:c r="F1963" s="1" t="str">
        <x:v>Advance shipping</x:v>
      </x:c>
      <x:c r="G1963" s="6" t="n">
        <x:v>3</x:v>
      </x:c>
      <x:c r="H1963" s="6" t="n">
        <x:v>4</x:v>
      </x:c>
      <x:c r="I1963" s="6" t="n">
        <x:f>G1963-H1963</x:f>
        <x:v>-1</x:v>
      </x:c>
      <x:c r="J1963" s="6" t="n">
        <x:f>IF(OR(E1963="CANCELED",E1963="SUSPECTED_FRAUD",F1963="Shipping canceled"),0,1)</x:f>
        <x:v>1</x:v>
      </x:c>
      <x:c r="K1963" s="6" t="n">
        <x:f>IF(G1963&gt;H1963,1,0)</x:f>
        <x:v>0</x:v>
      </x:c>
      <x:c r="L1963" s="6" t="n">
        <x:f>J1963*K1963</x:f>
        <x:v>0</x:v>
      </x:c>
    </x:row>
    <x:row r="1964">
      <x:c r="A1964" s="1" t="n">
        <x:v>15491</x:v>
      </x:c>
      <x:c r="B1964" s="5" t="d">
        <x:v>2015-08-15T00:00:00.000Z</x:v>
      </x:c>
      <x:c r="C1964" s="1" t="str">
        <x:v>Standard Class</x:v>
      </x:c>
      <x:c r="D1964" s="1" t="str">
        <x:v>Europe</x:v>
      </x:c>
      <x:c r="E1964" s="1" t="str">
        <x:v>ON_HOLD</x:v>
      </x:c>
      <x:c r="F1964" s="1" t="str">
        <x:v>Advance shipping</x:v>
      </x:c>
      <x:c r="G1964" s="6" t="n">
        <x:v>2</x:v>
      </x:c>
      <x:c r="H1964" s="6" t="n">
        <x:v>4</x:v>
      </x:c>
      <x:c r="I1964" s="6" t="n">
        <x:f>G1964-H1964</x:f>
        <x:v>-2</x:v>
      </x:c>
      <x:c r="J1964" s="6" t="n">
        <x:f>IF(OR(E1964="CANCELED",E1964="SUSPECTED_FRAUD",F1964="Shipping canceled"),0,1)</x:f>
        <x:v>1</x:v>
      </x:c>
      <x:c r="K1964" s="6" t="n">
        <x:f>IF(G1964&gt;H1964,1,0)</x:f>
        <x:v>0</x:v>
      </x:c>
      <x:c r="L1964" s="6" t="n">
        <x:f>J1964*K1964</x:f>
        <x:v>0</x:v>
      </x:c>
    </x:row>
    <x:row r="1965">
      <x:c r="A1965" s="1" t="n">
        <x:v>15507</x:v>
      </x:c>
      <x:c r="B1965" s="5" t="d">
        <x:v>2015-08-15T00:00:00.000Z</x:v>
      </x:c>
      <x:c r="C1965" s="1" t="str">
        <x:v>Standard Class</x:v>
      </x:c>
      <x:c r="D1965" s="1" t="str">
        <x:v>Europe</x:v>
      </x:c>
      <x:c r="E1965" s="1" t="str">
        <x:v>COMPLETE</x:v>
      </x:c>
      <x:c r="F1965" s="1" t="str">
        <x:v>Advance shipping</x:v>
      </x:c>
      <x:c r="G1965" s="6" t="n">
        <x:v>3</x:v>
      </x:c>
      <x:c r="H1965" s="6" t="n">
        <x:v>4</x:v>
      </x:c>
      <x:c r="I1965" s="6" t="n">
        <x:f>G1965-H1965</x:f>
        <x:v>-1</x:v>
      </x:c>
      <x:c r="J1965" s="6" t="n">
        <x:f>IF(OR(E1965="CANCELED",E1965="SUSPECTED_FRAUD",F1965="Shipping canceled"),0,1)</x:f>
        <x:v>1</x:v>
      </x:c>
      <x:c r="K1965" s="6" t="n">
        <x:f>IF(G1965&gt;H1965,1,0)</x:f>
        <x:v>0</x:v>
      </x:c>
      <x:c r="L1965" s="6" t="n">
        <x:f>J1965*K1965</x:f>
        <x:v>0</x:v>
      </x:c>
    </x:row>
    <x:row r="1966">
      <x:c r="A1966" s="1" t="n">
        <x:v>15512</x:v>
      </x:c>
      <x:c r="B1966" s="5" t="d">
        <x:v>2015-08-15T00:00:00.000Z</x:v>
      </x:c>
      <x:c r="C1966" s="1" t="str">
        <x:v>Standard Class</x:v>
      </x:c>
      <x:c r="D1966" s="1" t="str">
        <x:v>Europe</x:v>
      </x:c>
      <x:c r="E1966" s="1" t="str">
        <x:v>COMPLETE</x:v>
      </x:c>
      <x:c r="F1966" s="1" t="str">
        <x:v>Advance shipping</x:v>
      </x:c>
      <x:c r="G1966" s="6" t="n">
        <x:v>3</x:v>
      </x:c>
      <x:c r="H1966" s="6" t="n">
        <x:v>4</x:v>
      </x:c>
      <x:c r="I1966" s="6" t="n">
        <x:f>G1966-H1966</x:f>
        <x:v>-1</x:v>
      </x:c>
      <x:c r="J1966" s="6" t="n">
        <x:f>IF(OR(E1966="CANCELED",E1966="SUSPECTED_FRAUD",F1966="Shipping canceled"),0,1)</x:f>
        <x:v>1</x:v>
      </x:c>
      <x:c r="K1966" s="6" t="n">
        <x:f>IF(G1966&gt;H1966,1,0)</x:f>
        <x:v>0</x:v>
      </x:c>
      <x:c r="L1966" s="6" t="n">
        <x:f>J1966*K1966</x:f>
        <x:v>0</x:v>
      </x:c>
    </x:row>
    <x:row r="1967">
      <x:c r="A1967" s="1" t="n">
        <x:v>15519</x:v>
      </x:c>
      <x:c r="B1967" s="5" t="d">
        <x:v>2015-08-15T00:00:00.000Z</x:v>
      </x:c>
      <x:c r="C1967" s="1" t="str">
        <x:v>Standard Class</x:v>
      </x:c>
      <x:c r="D1967" s="1" t="str">
        <x:v>Europe</x:v>
      </x:c>
      <x:c r="E1967" s="1" t="str">
        <x:v>CLOSED</x:v>
      </x:c>
      <x:c r="F1967" s="1" t="str">
        <x:v>Late delivery</x:v>
      </x:c>
      <x:c r="G1967" s="6" t="n">
        <x:v>5</x:v>
      </x:c>
      <x:c r="H1967" s="6" t="n">
        <x:v>4</x:v>
      </x:c>
      <x:c r="I1967" s="6" t="n">
        <x:f>G1967-H1967</x:f>
        <x:v>1</x:v>
      </x:c>
      <x:c r="J1967" s="6" t="n">
        <x:f>IF(OR(E1967="CANCELED",E1967="SUSPECTED_FRAUD",F1967="Shipping canceled"),0,1)</x:f>
        <x:v>1</x:v>
      </x:c>
      <x:c r="K1967" s="6" t="n">
        <x:f>IF(G1967&gt;H1967,1,0)</x:f>
        <x:v>1</x:v>
      </x:c>
      <x:c r="L1967" s="6" t="n">
        <x:f>J1967*K1967</x:f>
        <x:v>1</x:v>
      </x:c>
    </x:row>
    <x:row r="1968">
      <x:c r="A1968" s="1" t="n">
        <x:v>15524</x:v>
      </x:c>
      <x:c r="B1968" s="5" t="d">
        <x:v>2015-08-15T00:00:00.000Z</x:v>
      </x:c>
      <x:c r="C1968" s="1" t="str">
        <x:v>Standard Class</x:v>
      </x:c>
      <x:c r="D1968" s="1" t="str">
        <x:v>Europe</x:v>
      </x:c>
      <x:c r="E1968" s="1" t="str">
        <x:v>PROCESSING</x:v>
      </x:c>
      <x:c r="F1968" s="1" t="str">
        <x:v>Late delivery</x:v>
      </x:c>
      <x:c r="G1968" s="6" t="n">
        <x:v>5</x:v>
      </x:c>
      <x:c r="H1968" s="6" t="n">
        <x:v>4</x:v>
      </x:c>
      <x:c r="I1968" s="6" t="n">
        <x:f>G1968-H1968</x:f>
        <x:v>1</x:v>
      </x:c>
      <x:c r="J1968" s="6" t="n">
        <x:f>IF(OR(E1968="CANCELED",E1968="SUSPECTED_FRAUD",F1968="Shipping canceled"),0,1)</x:f>
        <x:v>1</x:v>
      </x:c>
      <x:c r="K1968" s="6" t="n">
        <x:f>IF(G1968&gt;H1968,1,0)</x:f>
        <x:v>1</x:v>
      </x:c>
      <x:c r="L1968" s="6" t="n">
        <x:f>J1968*K1968</x:f>
        <x:v>1</x:v>
      </x:c>
    </x:row>
    <x:row r="1969">
      <x:c r="A1969" s="1" t="n">
        <x:v>15530</x:v>
      </x:c>
      <x:c r="B1969" s="5" t="d">
        <x:v>2015-08-15T00:00:00.000Z</x:v>
      </x:c>
      <x:c r="C1969" s="1" t="str">
        <x:v>Second Class</x:v>
      </x:c>
      <x:c r="D1969" s="1" t="str">
        <x:v>Europe</x:v>
      </x:c>
      <x:c r="E1969" s="1" t="str">
        <x:v>ON_HOLD</x:v>
      </x:c>
      <x:c r="F1969" s="1" t="str">
        <x:v>Late delivery</x:v>
      </x:c>
      <x:c r="G1969" s="6" t="n">
        <x:v>6</x:v>
      </x:c>
      <x:c r="H1969" s="6" t="n">
        <x:v>2</x:v>
      </x:c>
      <x:c r="I1969" s="6" t="n">
        <x:f>G1969-H1969</x:f>
        <x:v>4</x:v>
      </x:c>
      <x:c r="J1969" s="6" t="n">
        <x:f>IF(OR(E1969="CANCELED",E1969="SUSPECTED_FRAUD",F1969="Shipping canceled"),0,1)</x:f>
        <x:v>1</x:v>
      </x:c>
      <x:c r="K1969" s="6" t="n">
        <x:f>IF(G1969&gt;H1969,1,0)</x:f>
        <x:v>1</x:v>
      </x:c>
      <x:c r="L1969" s="6" t="n">
        <x:f>J1969*K1969</x:f>
        <x:v>1</x:v>
      </x:c>
    </x:row>
    <x:row r="1970">
      <x:c r="A1970" s="1" t="n">
        <x:v>15536</x:v>
      </x:c>
      <x:c r="B1970" s="5" t="d">
        <x:v>2015-08-15T00:00:00.000Z</x:v>
      </x:c>
      <x:c r="C1970" s="1" t="str">
        <x:v>Standard Class</x:v>
      </x:c>
      <x:c r="D1970" s="1" t="str">
        <x:v>Europe</x:v>
      </x:c>
      <x:c r="E1970" s="1" t="str">
        <x:v>COMPLETE</x:v>
      </x:c>
      <x:c r="F1970" s="1" t="str">
        <x:v>Advance shipping</x:v>
      </x:c>
      <x:c r="G1970" s="6" t="n">
        <x:v>2</x:v>
      </x:c>
      <x:c r="H1970" s="6" t="n">
        <x:v>4</x:v>
      </x:c>
      <x:c r="I1970" s="6" t="n">
        <x:f>G1970-H1970</x:f>
        <x:v>-2</x:v>
      </x:c>
      <x:c r="J1970" s="6" t="n">
        <x:f>IF(OR(E1970="CANCELED",E1970="SUSPECTED_FRAUD",F1970="Shipping canceled"),0,1)</x:f>
        <x:v>1</x:v>
      </x:c>
      <x:c r="K1970" s="6" t="n">
        <x:f>IF(G1970&gt;H1970,1,0)</x:f>
        <x:v>0</x:v>
      </x:c>
      <x:c r="L1970" s="6" t="n">
        <x:f>J1970*K1970</x:f>
        <x:v>0</x:v>
      </x:c>
    </x:row>
    <x:row r="1971">
      <x:c r="A1971" s="1" t="n">
        <x:v>15542</x:v>
      </x:c>
      <x:c r="B1971" s="5" t="d">
        <x:v>2015-08-15T00:00:00.000Z</x:v>
      </x:c>
      <x:c r="C1971" s="1" t="str">
        <x:v>Standard Class</x:v>
      </x:c>
      <x:c r="D1971" s="1" t="str">
        <x:v>Europe</x:v>
      </x:c>
      <x:c r="E1971" s="1" t="str">
        <x:v>COMPLETE</x:v>
      </x:c>
      <x:c r="F1971" s="1" t="str">
        <x:v>Advance shipping</x:v>
      </x:c>
      <x:c r="G1971" s="6" t="n">
        <x:v>3</x:v>
      </x:c>
      <x:c r="H1971" s="6" t="n">
        <x:v>4</x:v>
      </x:c>
      <x:c r="I1971" s="6" t="n">
        <x:f>G1971-H1971</x:f>
        <x:v>-1</x:v>
      </x:c>
      <x:c r="J1971" s="6" t="n">
        <x:f>IF(OR(E1971="CANCELED",E1971="SUSPECTED_FRAUD",F1971="Shipping canceled"),0,1)</x:f>
        <x:v>1</x:v>
      </x:c>
      <x:c r="K1971" s="6" t="n">
        <x:f>IF(G1971&gt;H1971,1,0)</x:f>
        <x:v>0</x:v>
      </x:c>
      <x:c r="L1971" s="6" t="n">
        <x:f>J1971*K1971</x:f>
        <x:v>0</x:v>
      </x:c>
    </x:row>
    <x:row r="1972">
      <x:c r="A1972" s="1" t="n">
        <x:v>15555</x:v>
      </x:c>
      <x:c r="B1972" s="5" t="d">
        <x:v>2015-08-16T00:00:00.000Z</x:v>
      </x:c>
      <x:c r="C1972" s="1" t="str">
        <x:v>Standard Class</x:v>
      </x:c>
      <x:c r="D1972" s="1" t="str">
        <x:v>Europe</x:v>
      </x:c>
      <x:c r="E1972" s="1" t="str">
        <x:v>COMPLETE</x:v>
      </x:c>
      <x:c r="F1972" s="1" t="str">
        <x:v>Late delivery</x:v>
      </x:c>
      <x:c r="G1972" s="6" t="n">
        <x:v>6</x:v>
      </x:c>
      <x:c r="H1972" s="6" t="n">
        <x:v>4</x:v>
      </x:c>
      <x:c r="I1972" s="6" t="n">
        <x:f>G1972-H1972</x:f>
        <x:v>2</x:v>
      </x:c>
      <x:c r="J1972" s="6" t="n">
        <x:f>IF(OR(E1972="CANCELED",E1972="SUSPECTED_FRAUD",F1972="Shipping canceled"),0,1)</x:f>
        <x:v>1</x:v>
      </x:c>
      <x:c r="K1972" s="6" t="n">
        <x:f>IF(G1972&gt;H1972,1,0)</x:f>
        <x:v>1</x:v>
      </x:c>
      <x:c r="L1972" s="6" t="n">
        <x:f>J1972*K1972</x:f>
        <x:v>1</x:v>
      </x:c>
    </x:row>
    <x:row r="1973">
      <x:c r="A1973" s="1" t="n">
        <x:v>15572</x:v>
      </x:c>
      <x:c r="B1973" s="5" t="d">
        <x:v>2015-08-16T00:00:00.000Z</x:v>
      </x:c>
      <x:c r="C1973" s="1" t="str">
        <x:v>Standard Class</x:v>
      </x:c>
      <x:c r="D1973" s="1" t="str">
        <x:v>Europe</x:v>
      </x:c>
      <x:c r="E1973" s="1" t="str">
        <x:v>COMPLETE</x:v>
      </x:c>
      <x:c r="F1973" s="1" t="str">
        <x:v>Advance shipping</x:v>
      </x:c>
      <x:c r="G1973" s="6" t="n">
        <x:v>3</x:v>
      </x:c>
      <x:c r="H1973" s="6" t="n">
        <x:v>4</x:v>
      </x:c>
      <x:c r="I1973" s="6" t="n">
        <x:f>G1973-H1973</x:f>
        <x:v>-1</x:v>
      </x:c>
      <x:c r="J1973" s="6" t="n">
        <x:f>IF(OR(E1973="CANCELED",E1973="SUSPECTED_FRAUD",F1973="Shipping canceled"),0,1)</x:f>
        <x:v>1</x:v>
      </x:c>
      <x:c r="K1973" s="6" t="n">
        <x:f>IF(G1973&gt;H1973,1,0)</x:f>
        <x:v>0</x:v>
      </x:c>
      <x:c r="L1973" s="6" t="n">
        <x:f>J1973*K1973</x:f>
        <x:v>0</x:v>
      </x:c>
    </x:row>
    <x:row r="1974">
      <x:c r="A1974" s="1" t="n">
        <x:v>15576</x:v>
      </x:c>
      <x:c r="B1974" s="5" t="d">
        <x:v>2015-08-16T00:00:00.000Z</x:v>
      </x:c>
      <x:c r="C1974" s="1" t="str">
        <x:v>Standard Class</x:v>
      </x:c>
      <x:c r="D1974" s="1" t="str">
        <x:v>Europe</x:v>
      </x:c>
      <x:c r="E1974" s="1" t="str">
        <x:v>COMPLETE</x:v>
      </x:c>
      <x:c r="F1974" s="1" t="str">
        <x:v>Advance shipping</x:v>
      </x:c>
      <x:c r="G1974" s="6" t="n">
        <x:v>2</x:v>
      </x:c>
      <x:c r="H1974" s="6" t="n">
        <x:v>4</x:v>
      </x:c>
      <x:c r="I1974" s="6" t="n">
        <x:f>G1974-H1974</x:f>
        <x:v>-2</x:v>
      </x:c>
      <x:c r="J1974" s="6" t="n">
        <x:f>IF(OR(E1974="CANCELED",E1974="SUSPECTED_FRAUD",F1974="Shipping canceled"),0,1)</x:f>
        <x:v>1</x:v>
      </x:c>
      <x:c r="K1974" s="6" t="n">
        <x:f>IF(G1974&gt;H1974,1,0)</x:f>
        <x:v>0</x:v>
      </x:c>
      <x:c r="L1974" s="6" t="n">
        <x:f>J1974*K1974</x:f>
        <x:v>0</x:v>
      </x:c>
    </x:row>
    <x:row r="1975">
      <x:c r="A1975" s="1" t="n">
        <x:v>15585</x:v>
      </x:c>
      <x:c r="B1975" s="5" t="d">
        <x:v>2015-08-16T00:00:00.000Z</x:v>
      </x:c>
      <x:c r="C1975" s="1" t="str">
        <x:v>First Class</x:v>
      </x:c>
      <x:c r="D1975" s="1" t="str">
        <x:v>Europe</x:v>
      </x:c>
      <x:c r="E1975" s="1" t="str">
        <x:v>CLOSED</x:v>
      </x:c>
      <x:c r="F1975" s="1" t="str">
        <x:v>Late delivery</x:v>
      </x:c>
      <x:c r="G1975" s="6" t="n">
        <x:v>2</x:v>
      </x:c>
      <x:c r="H1975" s="6" t="n">
        <x:v>1</x:v>
      </x:c>
      <x:c r="I1975" s="6" t="n">
        <x:f>G1975-H1975</x:f>
        <x:v>1</x:v>
      </x:c>
      <x:c r="J1975" s="6" t="n">
        <x:f>IF(OR(E1975="CANCELED",E1975="SUSPECTED_FRAUD",F1975="Shipping canceled"),0,1)</x:f>
        <x:v>1</x:v>
      </x:c>
      <x:c r="K1975" s="6" t="n">
        <x:f>IF(G1975&gt;H1975,1,0)</x:f>
        <x:v>1</x:v>
      </x:c>
      <x:c r="L1975" s="6" t="n">
        <x:f>J1975*K1975</x:f>
        <x:v>1</x:v>
      </x:c>
    </x:row>
    <x:row r="1976">
      <x:c r="A1976" s="1" t="n">
        <x:v>15599</x:v>
      </x:c>
      <x:c r="B1976" s="5" t="d">
        <x:v>2015-08-16T00:00:00.000Z</x:v>
      </x:c>
      <x:c r="C1976" s="1" t="str">
        <x:v>Second Class</x:v>
      </x:c>
      <x:c r="D1976" s="1" t="str">
        <x:v>Europe</x:v>
      </x:c>
      <x:c r="E1976" s="1" t="str">
        <x:v>COMPLETE</x:v>
      </x:c>
      <x:c r="F1976" s="1" t="str">
        <x:v>Late delivery</x:v>
      </x:c>
      <x:c r="G1976" s="6" t="n">
        <x:v>5</x:v>
      </x:c>
      <x:c r="H1976" s="6" t="n">
        <x:v>2</x:v>
      </x:c>
      <x:c r="I1976" s="6" t="n">
        <x:f>G1976-H1976</x:f>
        <x:v>3</x:v>
      </x:c>
      <x:c r="J1976" s="6" t="n">
        <x:f>IF(OR(E1976="CANCELED",E1976="SUSPECTED_FRAUD",F1976="Shipping canceled"),0,1)</x:f>
        <x:v>1</x:v>
      </x:c>
      <x:c r="K1976" s="6" t="n">
        <x:f>IF(G1976&gt;H1976,1,0)</x:f>
        <x:v>1</x:v>
      </x:c>
      <x:c r="L1976" s="6" t="n">
        <x:f>J1976*K1976</x:f>
        <x:v>1</x:v>
      </x:c>
    </x:row>
    <x:row r="1977">
      <x:c r="A1977" s="1" t="n">
        <x:v>15601</x:v>
      </x:c>
      <x:c r="B1977" s="5" t="d">
        <x:v>2015-08-16T00:00:00.000Z</x:v>
      </x:c>
      <x:c r="C1977" s="1" t="str">
        <x:v>Standard Class</x:v>
      </x:c>
      <x:c r="D1977" s="1" t="str">
        <x:v>Europe</x:v>
      </x:c>
      <x:c r="E1977" s="1" t="str">
        <x:v>COMPLETE</x:v>
      </x:c>
      <x:c r="F1977" s="1" t="str">
        <x:v>Advance shipping</x:v>
      </x:c>
      <x:c r="G1977" s="6" t="n">
        <x:v>2</x:v>
      </x:c>
      <x:c r="H1977" s="6" t="n">
        <x:v>4</x:v>
      </x:c>
      <x:c r="I1977" s="6" t="n">
        <x:f>G1977-H1977</x:f>
        <x:v>-2</x:v>
      </x:c>
      <x:c r="J1977" s="6" t="n">
        <x:f>IF(OR(E1977="CANCELED",E1977="SUSPECTED_FRAUD",F1977="Shipping canceled"),0,1)</x:f>
        <x:v>1</x:v>
      </x:c>
      <x:c r="K1977" s="6" t="n">
        <x:f>IF(G1977&gt;H1977,1,0)</x:f>
        <x:v>0</x:v>
      </x:c>
      <x:c r="L1977" s="6" t="n">
        <x:f>J1977*K1977</x:f>
        <x:v>0</x:v>
      </x:c>
    </x:row>
    <x:row r="1978">
      <x:c r="A1978" s="1" t="n">
        <x:v>15607</x:v>
      </x:c>
      <x:c r="B1978" s="5" t="d">
        <x:v>2015-08-16T00:00:00.000Z</x:v>
      </x:c>
      <x:c r="C1978" s="1" t="str">
        <x:v>Standard Class</x:v>
      </x:c>
      <x:c r="D1978" s="1" t="str">
        <x:v>Europe</x:v>
      </x:c>
      <x:c r="E1978" s="1" t="str">
        <x:v>COMPLETE</x:v>
      </x:c>
      <x:c r="F1978" s="1" t="str">
        <x:v>Advance shipping</x:v>
      </x:c>
      <x:c r="G1978" s="6" t="n">
        <x:v>3</x:v>
      </x:c>
      <x:c r="H1978" s="6" t="n">
        <x:v>4</x:v>
      </x:c>
      <x:c r="I1978" s="6" t="n">
        <x:f>G1978-H1978</x:f>
        <x:v>-1</x:v>
      </x:c>
      <x:c r="J1978" s="6" t="n">
        <x:f>IF(OR(E1978="CANCELED",E1978="SUSPECTED_FRAUD",F1978="Shipping canceled"),0,1)</x:f>
        <x:v>1</x:v>
      </x:c>
      <x:c r="K1978" s="6" t="n">
        <x:f>IF(G1978&gt;H1978,1,0)</x:f>
        <x:v>0</x:v>
      </x:c>
      <x:c r="L1978" s="6" t="n">
        <x:f>J1978*K1978</x:f>
        <x:v>0</x:v>
      </x:c>
    </x:row>
    <x:row r="1979">
      <x:c r="A1979" s="1" t="n">
        <x:v>15624</x:v>
      </x:c>
      <x:c r="B1979" s="5" t="d">
        <x:v>2015-08-17T00:00:00.000Z</x:v>
      </x:c>
      <x:c r="C1979" s="1" t="str">
        <x:v>First Class</x:v>
      </x:c>
      <x:c r="D1979" s="1" t="str">
        <x:v>Europe</x:v>
      </x:c>
      <x:c r="E1979" s="1" t="str">
        <x:v>PROCESSING</x:v>
      </x:c>
      <x:c r="F1979" s="1" t="str">
        <x:v>Late delivery</x:v>
      </x:c>
      <x:c r="G1979" s="6" t="n">
        <x:v>2</x:v>
      </x:c>
      <x:c r="H1979" s="6" t="n">
        <x:v>1</x:v>
      </x:c>
      <x:c r="I1979" s="6" t="n">
        <x:f>G1979-H1979</x:f>
        <x:v>1</x:v>
      </x:c>
      <x:c r="J1979" s="6" t="n">
        <x:f>IF(OR(E1979="CANCELED",E1979="SUSPECTED_FRAUD",F1979="Shipping canceled"),0,1)</x:f>
        <x:v>1</x:v>
      </x:c>
      <x:c r="K1979" s="6" t="n">
        <x:f>IF(G1979&gt;H1979,1,0)</x:f>
        <x:v>1</x:v>
      </x:c>
      <x:c r="L1979" s="6" t="n">
        <x:f>J1979*K1979</x:f>
        <x:v>1</x:v>
      </x:c>
    </x:row>
    <x:row r="1980">
      <x:c r="A1980" s="1" t="n">
        <x:v>15633</x:v>
      </x:c>
      <x:c r="B1980" s="5" t="d">
        <x:v>2015-08-17T00:00:00.000Z</x:v>
      </x:c>
      <x:c r="C1980" s="1" t="str">
        <x:v>Standard Class</x:v>
      </x:c>
      <x:c r="D1980" s="1" t="str">
        <x:v>Europe</x:v>
      </x:c>
      <x:c r="E1980" s="1" t="str">
        <x:v>ON_HOLD</x:v>
      </x:c>
      <x:c r="F1980" s="1" t="str">
        <x:v>Shipping on time</x:v>
      </x:c>
      <x:c r="G1980" s="6" t="n">
        <x:v>4</x:v>
      </x:c>
      <x:c r="H1980" s="6" t="n">
        <x:v>4</x:v>
      </x:c>
      <x:c r="I1980" s="6" t="n">
        <x:f>G1980-H1980</x:f>
        <x:v>0</x:v>
      </x:c>
      <x:c r="J1980" s="6" t="n">
        <x:f>IF(OR(E1980="CANCELED",E1980="SUSPECTED_FRAUD",F1980="Shipping canceled"),0,1)</x:f>
        <x:v>1</x:v>
      </x:c>
      <x:c r="K1980" s="6" t="n">
        <x:f>IF(G1980&gt;H1980,1,0)</x:f>
        <x:v>0</x:v>
      </x:c>
      <x:c r="L1980" s="6" t="n">
        <x:f>J1980*K1980</x:f>
        <x:v>0</x:v>
      </x:c>
    </x:row>
    <x:row r="1981">
      <x:c r="A1981" s="1" t="n">
        <x:v>15638</x:v>
      </x:c>
      <x:c r="B1981" s="5" t="d">
        <x:v>2015-08-17T00:00:00.000Z</x:v>
      </x:c>
      <x:c r="C1981" s="1" t="str">
        <x:v>Standard Class</x:v>
      </x:c>
      <x:c r="D1981" s="1" t="str">
        <x:v>Europe</x:v>
      </x:c>
      <x:c r="E1981" s="1" t="str">
        <x:v>COMPLETE</x:v>
      </x:c>
      <x:c r="F1981" s="1" t="str">
        <x:v>Shipping on time</x:v>
      </x:c>
      <x:c r="G1981" s="6" t="n">
        <x:v>4</x:v>
      </x:c>
      <x:c r="H1981" s="6" t="n">
        <x:v>4</x:v>
      </x:c>
      <x:c r="I1981" s="6" t="n">
        <x:f>G1981-H1981</x:f>
        <x:v>0</x:v>
      </x:c>
      <x:c r="J1981" s="6" t="n">
        <x:f>IF(OR(E1981="CANCELED",E1981="SUSPECTED_FRAUD",F1981="Shipping canceled"),0,1)</x:f>
        <x:v>1</x:v>
      </x:c>
      <x:c r="K1981" s="6" t="n">
        <x:f>IF(G1981&gt;H1981,1,0)</x:f>
        <x:v>0</x:v>
      </x:c>
      <x:c r="L1981" s="6" t="n">
        <x:f>J1981*K1981</x:f>
        <x:v>0</x:v>
      </x:c>
    </x:row>
    <x:row r="1982">
      <x:c r="A1982" s="1" t="n">
        <x:v>15654</x:v>
      </x:c>
      <x:c r="B1982" s="5" t="d">
        <x:v>2015-08-17T00:00:00.000Z</x:v>
      </x:c>
      <x:c r="C1982" s="1" t="str">
        <x:v>Standard Class</x:v>
      </x:c>
      <x:c r="D1982" s="1" t="str">
        <x:v>Europe</x:v>
      </x:c>
      <x:c r="E1982" s="1" t="str">
        <x:v>PENDING</x:v>
      </x:c>
      <x:c r="F1982" s="1" t="str">
        <x:v>Late delivery</x:v>
      </x:c>
      <x:c r="G1982" s="6" t="n">
        <x:v>5</x:v>
      </x:c>
      <x:c r="H1982" s="6" t="n">
        <x:v>4</x:v>
      </x:c>
      <x:c r="I1982" s="6" t="n">
        <x:f>G1982-H1982</x:f>
        <x:v>1</x:v>
      </x:c>
      <x:c r="J1982" s="6" t="n">
        <x:f>IF(OR(E1982="CANCELED",E1982="SUSPECTED_FRAUD",F1982="Shipping canceled"),0,1)</x:f>
        <x:v>1</x:v>
      </x:c>
      <x:c r="K1982" s="6" t="n">
        <x:f>IF(G1982&gt;H1982,1,0)</x:f>
        <x:v>1</x:v>
      </x:c>
      <x:c r="L1982" s="6" t="n">
        <x:f>J1982*K1982</x:f>
        <x:v>1</x:v>
      </x:c>
    </x:row>
    <x:row r="1983">
      <x:c r="A1983" s="1" t="n">
        <x:v>15655</x:v>
      </x:c>
      <x:c r="B1983" s="5" t="d">
        <x:v>2015-08-17T00:00:00.000Z</x:v>
      </x:c>
      <x:c r="C1983" s="1" t="str">
        <x:v>Standard Class</x:v>
      </x:c>
      <x:c r="D1983" s="1" t="str">
        <x:v>Europe</x:v>
      </x:c>
      <x:c r="E1983" s="1" t="str">
        <x:v>PROCESSING</x:v>
      </x:c>
      <x:c r="F1983" s="1" t="str">
        <x:v>Late delivery</x:v>
      </x:c>
      <x:c r="G1983" s="6" t="n">
        <x:v>6</x:v>
      </x:c>
      <x:c r="H1983" s="6" t="n">
        <x:v>4</x:v>
      </x:c>
      <x:c r="I1983" s="6" t="n">
        <x:f>G1983-H1983</x:f>
        <x:v>2</x:v>
      </x:c>
      <x:c r="J1983" s="6" t="n">
        <x:f>IF(OR(E1983="CANCELED",E1983="SUSPECTED_FRAUD",F1983="Shipping canceled"),0,1)</x:f>
        <x:v>1</x:v>
      </x:c>
      <x:c r="K1983" s="6" t="n">
        <x:f>IF(G1983&gt;H1983,1,0)</x:f>
        <x:v>1</x:v>
      </x:c>
      <x:c r="L1983" s="6" t="n">
        <x:f>J1983*K1983</x:f>
        <x:v>1</x:v>
      </x:c>
    </x:row>
    <x:row r="1984">
      <x:c r="A1984" s="1" t="n">
        <x:v>15664</x:v>
      </x:c>
      <x:c r="B1984" s="5" t="d">
        <x:v>2015-08-17T00:00:00.000Z</x:v>
      </x:c>
      <x:c r="C1984" s="1" t="str">
        <x:v>Standard Class</x:v>
      </x:c>
      <x:c r="D1984" s="1" t="str">
        <x:v>Europe</x:v>
      </x:c>
      <x:c r="E1984" s="1" t="str">
        <x:v>COMPLETE</x:v>
      </x:c>
      <x:c r="F1984" s="1" t="str">
        <x:v>Late delivery</x:v>
      </x:c>
      <x:c r="G1984" s="6" t="n">
        <x:v>5</x:v>
      </x:c>
      <x:c r="H1984" s="6" t="n">
        <x:v>4</x:v>
      </x:c>
      <x:c r="I1984" s="6" t="n">
        <x:f>G1984-H1984</x:f>
        <x:v>1</x:v>
      </x:c>
      <x:c r="J1984" s="6" t="n">
        <x:f>IF(OR(E1984="CANCELED",E1984="SUSPECTED_FRAUD",F1984="Shipping canceled"),0,1)</x:f>
        <x:v>1</x:v>
      </x:c>
      <x:c r="K1984" s="6" t="n">
        <x:f>IF(G1984&gt;H1984,1,0)</x:f>
        <x:v>1</x:v>
      </x:c>
      <x:c r="L1984" s="6" t="n">
        <x:f>J1984*K1984</x:f>
        <x:v>1</x:v>
      </x:c>
    </x:row>
    <x:row r="1985">
      <x:c r="A1985" s="1" t="n">
        <x:v>15673</x:v>
      </x:c>
      <x:c r="B1985" s="5" t="d">
        <x:v>2015-08-17T00:00:00.000Z</x:v>
      </x:c>
      <x:c r="C1985" s="1" t="str">
        <x:v>Second Class</x:v>
      </x:c>
      <x:c r="D1985" s="1" t="str">
        <x:v>Europe</x:v>
      </x:c>
      <x:c r="E1985" s="1" t="str">
        <x:v>COMPLETE</x:v>
      </x:c>
      <x:c r="F1985" s="1" t="str">
        <x:v>Late delivery</x:v>
      </x:c>
      <x:c r="G1985" s="6" t="n">
        <x:v>4</x:v>
      </x:c>
      <x:c r="H1985" s="6" t="n">
        <x:v>2</x:v>
      </x:c>
      <x:c r="I1985" s="6" t="n">
        <x:f>G1985-H1985</x:f>
        <x:v>2</x:v>
      </x:c>
      <x:c r="J1985" s="6" t="n">
        <x:f>IF(OR(E1985="CANCELED",E1985="SUSPECTED_FRAUD",F1985="Shipping canceled"),0,1)</x:f>
        <x:v>1</x:v>
      </x:c>
      <x:c r="K1985" s="6" t="n">
        <x:f>IF(G1985&gt;H1985,1,0)</x:f>
        <x:v>1</x:v>
      </x:c>
      <x:c r="L1985" s="6" t="n">
        <x:f>J1985*K1985</x:f>
        <x:v>1</x:v>
      </x:c>
    </x:row>
    <x:row r="1986">
      <x:c r="A1986" s="1" t="n">
        <x:v>15692</x:v>
      </x:c>
      <x:c r="B1986" s="5" t="d">
        <x:v>2015-08-18T00:00:00.000Z</x:v>
      </x:c>
      <x:c r="C1986" s="1" t="str">
        <x:v>Standard Class</x:v>
      </x:c>
      <x:c r="D1986" s="1" t="str">
        <x:v>Europe</x:v>
      </x:c>
      <x:c r="E1986" s="1" t="str">
        <x:v>ON_HOLD</x:v>
      </x:c>
      <x:c r="F1986" s="1" t="str">
        <x:v>Advance shipping</x:v>
      </x:c>
      <x:c r="G1986" s="6" t="n">
        <x:v>3</x:v>
      </x:c>
      <x:c r="H1986" s="6" t="n">
        <x:v>4</x:v>
      </x:c>
      <x:c r="I1986" s="6" t="n">
        <x:f>G1986-H1986</x:f>
        <x:v>-1</x:v>
      </x:c>
      <x:c r="J1986" s="6" t="n">
        <x:f>IF(OR(E1986="CANCELED",E1986="SUSPECTED_FRAUD",F1986="Shipping canceled"),0,1)</x:f>
        <x:v>1</x:v>
      </x:c>
      <x:c r="K1986" s="6" t="n">
        <x:f>IF(G1986&gt;H1986,1,0)</x:f>
        <x:v>0</x:v>
      </x:c>
      <x:c r="L1986" s="6" t="n">
        <x:f>J1986*K1986</x:f>
        <x:v>0</x:v>
      </x:c>
    </x:row>
    <x:row r="1987">
      <x:c r="A1987" s="1" t="n">
        <x:v>15705</x:v>
      </x:c>
      <x:c r="B1987" s="5" t="d">
        <x:v>2015-08-18T00:00:00.000Z</x:v>
      </x:c>
      <x:c r="C1987" s="1" t="str">
        <x:v>Standard Class</x:v>
      </x:c>
      <x:c r="D1987" s="1" t="str">
        <x:v>Europe</x:v>
      </x:c>
      <x:c r="E1987" s="1" t="str">
        <x:v>COMPLETE</x:v>
      </x:c>
      <x:c r="F1987" s="1" t="str">
        <x:v>Late delivery</x:v>
      </x:c>
      <x:c r="G1987" s="6" t="n">
        <x:v>6</x:v>
      </x:c>
      <x:c r="H1987" s="6" t="n">
        <x:v>4</x:v>
      </x:c>
      <x:c r="I1987" s="6" t="n">
        <x:f>G1987-H1987</x:f>
        <x:v>2</x:v>
      </x:c>
      <x:c r="J1987" s="6" t="n">
        <x:f>IF(OR(E1987="CANCELED",E1987="SUSPECTED_FRAUD",F1987="Shipping canceled"),0,1)</x:f>
        <x:v>1</x:v>
      </x:c>
      <x:c r="K1987" s="6" t="n">
        <x:f>IF(G1987&gt;H1987,1,0)</x:f>
        <x:v>1</x:v>
      </x:c>
      <x:c r="L1987" s="6" t="n">
        <x:f>J1987*K1987</x:f>
        <x:v>1</x:v>
      </x:c>
    </x:row>
    <x:row r="1988">
      <x:c r="A1988" s="1" t="n">
        <x:v>15706</x:v>
      </x:c>
      <x:c r="B1988" s="5" t="d">
        <x:v>2015-08-18T00:00:00.000Z</x:v>
      </x:c>
      <x:c r="C1988" s="1" t="str">
        <x:v>Standard Class</x:v>
      </x:c>
      <x:c r="D1988" s="1" t="str">
        <x:v>Europe</x:v>
      </x:c>
      <x:c r="E1988" s="1" t="str">
        <x:v>COMPLETE</x:v>
      </x:c>
      <x:c r="F1988" s="1" t="str">
        <x:v>Advance shipping</x:v>
      </x:c>
      <x:c r="G1988" s="6" t="n">
        <x:v>2</x:v>
      </x:c>
      <x:c r="H1988" s="6" t="n">
        <x:v>4</x:v>
      </x:c>
      <x:c r="I1988" s="6" t="n">
        <x:f>G1988-H1988</x:f>
        <x:v>-2</x:v>
      </x:c>
      <x:c r="J1988" s="6" t="n">
        <x:f>IF(OR(E1988="CANCELED",E1988="SUSPECTED_FRAUD",F1988="Shipping canceled"),0,1)</x:f>
        <x:v>1</x:v>
      </x:c>
      <x:c r="K1988" s="6" t="n">
        <x:f>IF(G1988&gt;H1988,1,0)</x:f>
        <x:v>0</x:v>
      </x:c>
      <x:c r="L1988" s="6" t="n">
        <x:f>J1988*K1988</x:f>
        <x:v>0</x:v>
      </x:c>
    </x:row>
    <x:row r="1989">
      <x:c r="A1989" s="1" t="n">
        <x:v>15725</x:v>
      </x:c>
      <x:c r="B1989" s="5" t="d">
        <x:v>2015-08-18T00:00:00.000Z</x:v>
      </x:c>
      <x:c r="C1989" s="1" t="str">
        <x:v>Same Day</x:v>
      </x:c>
      <x:c r="D1989" s="1" t="str">
        <x:v>Europe</x:v>
      </x:c>
      <x:c r="E1989" s="1" t="str">
        <x:v>PROCESSING</x:v>
      </x:c>
      <x:c r="F1989" s="1" t="str">
        <x:v>Late delivery</x:v>
      </x:c>
      <x:c r="G1989" s="6" t="n">
        <x:v>1</x:v>
      </x:c>
      <x:c r="H1989" s="6" t="n">
        <x:v>0</x:v>
      </x:c>
      <x:c r="I1989" s="6" t="n">
        <x:f>G1989-H1989</x:f>
        <x:v>1</x:v>
      </x:c>
      <x:c r="J1989" s="6" t="n">
        <x:f>IF(OR(E1989="CANCELED",E1989="SUSPECTED_FRAUD",F1989="Shipping canceled"),0,1)</x:f>
        <x:v>1</x:v>
      </x:c>
      <x:c r="K1989" s="6" t="n">
        <x:f>IF(G1989&gt;H1989,1,0)</x:f>
        <x:v>1</x:v>
      </x:c>
      <x:c r="L1989" s="6" t="n">
        <x:f>J1989*K1989</x:f>
        <x:v>1</x:v>
      </x:c>
    </x:row>
    <x:row r="1990">
      <x:c r="A1990" s="1" t="n">
        <x:v>15730</x:v>
      </x:c>
      <x:c r="B1990" s="5" t="d">
        <x:v>2015-08-18T00:00:00.000Z</x:v>
      </x:c>
      <x:c r="C1990" s="1" t="str">
        <x:v>Standard Class</x:v>
      </x:c>
      <x:c r="D1990" s="1" t="str">
        <x:v>Europe</x:v>
      </x:c>
      <x:c r="E1990" s="1" t="str">
        <x:v>PENDING</x:v>
      </x:c>
      <x:c r="F1990" s="1" t="str">
        <x:v>Late delivery</x:v>
      </x:c>
      <x:c r="G1990" s="6" t="n">
        <x:v>6</x:v>
      </x:c>
      <x:c r="H1990" s="6" t="n">
        <x:v>4</x:v>
      </x:c>
      <x:c r="I1990" s="6" t="n">
        <x:f>G1990-H1990</x:f>
        <x:v>2</x:v>
      </x:c>
      <x:c r="J1990" s="6" t="n">
        <x:f>IF(OR(E1990="CANCELED",E1990="SUSPECTED_FRAUD",F1990="Shipping canceled"),0,1)</x:f>
        <x:v>1</x:v>
      </x:c>
      <x:c r="K1990" s="6" t="n">
        <x:f>IF(G1990&gt;H1990,1,0)</x:f>
        <x:v>1</x:v>
      </x:c>
      <x:c r="L1990" s="6" t="n">
        <x:f>J1990*K1990</x:f>
        <x:v>1</x:v>
      </x:c>
    </x:row>
    <x:row r="1991">
      <x:c r="A1991" s="1" t="n">
        <x:v>15734</x:v>
      </x:c>
      <x:c r="B1991" s="5" t="d">
        <x:v>2015-08-18T00:00:00.000Z</x:v>
      </x:c>
      <x:c r="C1991" s="1" t="str">
        <x:v>Standard Class</x:v>
      </x:c>
      <x:c r="D1991" s="1" t="str">
        <x:v>Europe</x:v>
      </x:c>
      <x:c r="E1991" s="1" t="str">
        <x:v>PENDING</x:v>
      </x:c>
      <x:c r="F1991" s="1" t="str">
        <x:v>Late delivery</x:v>
      </x:c>
      <x:c r="G1991" s="6" t="n">
        <x:v>5</x:v>
      </x:c>
      <x:c r="H1991" s="6" t="n">
        <x:v>4</x:v>
      </x:c>
      <x:c r="I1991" s="6" t="n">
        <x:f>G1991-H1991</x:f>
        <x:v>1</x:v>
      </x:c>
      <x:c r="J1991" s="6" t="n">
        <x:f>IF(OR(E1991="CANCELED",E1991="SUSPECTED_FRAUD",F1991="Shipping canceled"),0,1)</x:f>
        <x:v>1</x:v>
      </x:c>
      <x:c r="K1991" s="6" t="n">
        <x:f>IF(G1991&gt;H1991,1,0)</x:f>
        <x:v>1</x:v>
      </x:c>
      <x:c r="L1991" s="6" t="n">
        <x:f>J1991*K1991</x:f>
        <x:v>1</x:v>
      </x:c>
    </x:row>
    <x:row r="1992">
      <x:c r="A1992" s="1" t="n">
        <x:v>15746</x:v>
      </x:c>
      <x:c r="B1992" s="5" t="d">
        <x:v>2015-08-18T00:00:00.000Z</x:v>
      </x:c>
      <x:c r="C1992" s="1" t="str">
        <x:v>Second Class</x:v>
      </x:c>
      <x:c r="D1992" s="1" t="str">
        <x:v>Europe</x:v>
      </x:c>
      <x:c r="E1992" s="1" t="str">
        <x:v>COMPLETE</x:v>
      </x:c>
      <x:c r="F1992" s="1" t="str">
        <x:v>Shipping on time</x:v>
      </x:c>
      <x:c r="G1992" s="6" t="n">
        <x:v>2</x:v>
      </x:c>
      <x:c r="H1992" s="6" t="n">
        <x:v>2</x:v>
      </x:c>
      <x:c r="I1992" s="6" t="n">
        <x:f>G1992-H1992</x:f>
        <x:v>0</x:v>
      </x:c>
      <x:c r="J1992" s="6" t="n">
        <x:f>IF(OR(E1992="CANCELED",E1992="SUSPECTED_FRAUD",F1992="Shipping canceled"),0,1)</x:f>
        <x:v>1</x:v>
      </x:c>
      <x:c r="K1992" s="6" t="n">
        <x:f>IF(G1992&gt;H1992,1,0)</x:f>
        <x:v>0</x:v>
      </x:c>
      <x:c r="L1992" s="6" t="n">
        <x:f>J1992*K1992</x:f>
        <x:v>0</x:v>
      </x:c>
    </x:row>
    <x:row r="1993">
      <x:c r="A1993" s="1" t="n">
        <x:v>15749</x:v>
      </x:c>
      <x:c r="B1993" s="5" t="d">
        <x:v>2015-08-18T00:00:00.000Z</x:v>
      </x:c>
      <x:c r="C1993" s="1" t="str">
        <x:v>Second Class</x:v>
      </x:c>
      <x:c r="D1993" s="1" t="str">
        <x:v>Europe</x:v>
      </x:c>
      <x:c r="E1993" s="1" t="str">
        <x:v>ON_HOLD</x:v>
      </x:c>
      <x:c r="F1993" s="1" t="str">
        <x:v>Late delivery</x:v>
      </x:c>
      <x:c r="G1993" s="6" t="n">
        <x:v>5</x:v>
      </x:c>
      <x:c r="H1993" s="6" t="n">
        <x:v>2</x:v>
      </x:c>
      <x:c r="I1993" s="6" t="n">
        <x:f>G1993-H1993</x:f>
        <x:v>3</x:v>
      </x:c>
      <x:c r="J1993" s="6" t="n">
        <x:f>IF(OR(E1993="CANCELED",E1993="SUSPECTED_FRAUD",F1993="Shipping canceled"),0,1)</x:f>
        <x:v>1</x:v>
      </x:c>
      <x:c r="K1993" s="6" t="n">
        <x:f>IF(G1993&gt;H1993,1,0)</x:f>
        <x:v>1</x:v>
      </x:c>
      <x:c r="L1993" s="6" t="n">
        <x:f>J1993*K1993</x:f>
        <x:v>1</x:v>
      </x:c>
    </x:row>
    <x:row r="1994">
      <x:c r="A1994" s="1" t="n">
        <x:v>15751</x:v>
      </x:c>
      <x:c r="B1994" s="5" t="d">
        <x:v>2015-08-18T00:00:00.000Z</x:v>
      </x:c>
      <x:c r="C1994" s="1" t="str">
        <x:v>Second Class</x:v>
      </x:c>
      <x:c r="D1994" s="1" t="str">
        <x:v>Europe</x:v>
      </x:c>
      <x:c r="E1994" s="1" t="str">
        <x:v>COMPLETE</x:v>
      </x:c>
      <x:c r="F1994" s="1" t="str">
        <x:v>Shipping on time</x:v>
      </x:c>
      <x:c r="G1994" s="6" t="n">
        <x:v>2</x:v>
      </x:c>
      <x:c r="H1994" s="6" t="n">
        <x:v>2</x:v>
      </x:c>
      <x:c r="I1994" s="6" t="n">
        <x:f>G1994-H1994</x:f>
        <x:v>0</x:v>
      </x:c>
      <x:c r="J1994" s="6" t="n">
        <x:f>IF(OR(E1994="CANCELED",E1994="SUSPECTED_FRAUD",F1994="Shipping canceled"),0,1)</x:f>
        <x:v>1</x:v>
      </x:c>
      <x:c r="K1994" s="6" t="n">
        <x:f>IF(G1994&gt;H1994,1,0)</x:f>
        <x:v>0</x:v>
      </x:c>
      <x:c r="L1994" s="6" t="n">
        <x:f>J1994*K1994</x:f>
        <x:v>0</x:v>
      </x:c>
    </x:row>
    <x:row r="1995">
      <x:c r="A1995" s="1" t="n">
        <x:v>15766</x:v>
      </x:c>
      <x:c r="B1995" s="5" t="d">
        <x:v>2015-08-19T00:00:00.000Z</x:v>
      </x:c>
      <x:c r="C1995" s="1" t="str">
        <x:v>Second Class</x:v>
      </x:c>
      <x:c r="D1995" s="1" t="str">
        <x:v>Europe</x:v>
      </x:c>
      <x:c r="E1995" s="1" t="str">
        <x:v>PENDING_PAYMENT</x:v>
      </x:c>
      <x:c r="F1995" s="1" t="str">
        <x:v>Shipping on time</x:v>
      </x:c>
      <x:c r="G1995" s="6" t="n">
        <x:v>2</x:v>
      </x:c>
      <x:c r="H1995" s="6" t="n">
        <x:v>2</x:v>
      </x:c>
      <x:c r="I1995" s="6" t="n">
        <x:f>G1995-H1995</x:f>
        <x:v>0</x:v>
      </x:c>
      <x:c r="J1995" s="6" t="n">
        <x:f>IF(OR(E1995="CANCELED",E1995="SUSPECTED_FRAUD",F1995="Shipping canceled"),0,1)</x:f>
        <x:v>1</x:v>
      </x:c>
      <x:c r="K1995" s="6" t="n">
        <x:f>IF(G1995&gt;H1995,1,0)</x:f>
        <x:v>0</x:v>
      </x:c>
      <x:c r="L1995" s="6" t="n">
        <x:f>J1995*K1995</x:f>
        <x:v>0</x:v>
      </x:c>
    </x:row>
    <x:row r="1996">
      <x:c r="A1996" s="1" t="n">
        <x:v>15772</x:v>
      </x:c>
      <x:c r="B1996" s="5" t="d">
        <x:v>2015-08-19T00:00:00.000Z</x:v>
      </x:c>
      <x:c r="C1996" s="1" t="str">
        <x:v>Standard Class</x:v>
      </x:c>
      <x:c r="D1996" s="1" t="str">
        <x:v>Europe</x:v>
      </x:c>
      <x:c r="E1996" s="1" t="str">
        <x:v>PENDING_PAYMENT</x:v>
      </x:c>
      <x:c r="F1996" s="1" t="str">
        <x:v>Advance shipping</x:v>
      </x:c>
      <x:c r="G1996" s="6" t="n">
        <x:v>3</x:v>
      </x:c>
      <x:c r="H1996" s="6" t="n">
        <x:v>4</x:v>
      </x:c>
      <x:c r="I1996" s="6" t="n">
        <x:f>G1996-H1996</x:f>
        <x:v>-1</x:v>
      </x:c>
      <x:c r="J1996" s="6" t="n">
        <x:f>IF(OR(E1996="CANCELED",E1996="SUSPECTED_FRAUD",F1996="Shipping canceled"),0,1)</x:f>
        <x:v>1</x:v>
      </x:c>
      <x:c r="K1996" s="6" t="n">
        <x:f>IF(G1996&gt;H1996,1,0)</x:f>
        <x:v>0</x:v>
      </x:c>
      <x:c r="L1996" s="6" t="n">
        <x:f>J1996*K1996</x:f>
        <x:v>0</x:v>
      </x:c>
    </x:row>
    <x:row r="1997">
      <x:c r="A1997" s="1" t="n">
        <x:v>15777</x:v>
      </x:c>
      <x:c r="B1997" s="5" t="d">
        <x:v>2015-08-19T00:00:00.000Z</x:v>
      </x:c>
      <x:c r="C1997" s="1" t="str">
        <x:v>Standard Class</x:v>
      </x:c>
      <x:c r="D1997" s="1" t="str">
        <x:v>Europe</x:v>
      </x:c>
      <x:c r="E1997" s="1" t="str">
        <x:v>COMPLETE</x:v>
      </x:c>
      <x:c r="F1997" s="1" t="str">
        <x:v>Advance shipping</x:v>
      </x:c>
      <x:c r="G1997" s="6" t="n">
        <x:v>3</x:v>
      </x:c>
      <x:c r="H1997" s="6" t="n">
        <x:v>4</x:v>
      </x:c>
      <x:c r="I1997" s="6" t="n">
        <x:f>G1997-H1997</x:f>
        <x:v>-1</x:v>
      </x:c>
      <x:c r="J1997" s="6" t="n">
        <x:f>IF(OR(E1997="CANCELED",E1997="SUSPECTED_FRAUD",F1997="Shipping canceled"),0,1)</x:f>
        <x:v>1</x:v>
      </x:c>
      <x:c r="K1997" s="6" t="n">
        <x:f>IF(G1997&gt;H1997,1,0)</x:f>
        <x:v>0</x:v>
      </x:c>
      <x:c r="L1997" s="6" t="n">
        <x:f>J1997*K1997</x:f>
        <x:v>0</x:v>
      </x:c>
    </x:row>
    <x:row r="1998">
      <x:c r="A1998" s="1" t="n">
        <x:v>15778</x:v>
      </x:c>
      <x:c r="B1998" s="5" t="d">
        <x:v>2015-08-19T00:00:00.000Z</x:v>
      </x:c>
      <x:c r="C1998" s="1" t="str">
        <x:v>Standard Class</x:v>
      </x:c>
      <x:c r="D1998" s="1" t="str">
        <x:v>Europe</x:v>
      </x:c>
      <x:c r="E1998" s="1" t="str">
        <x:v>PENDING_PAYMENT</x:v>
      </x:c>
      <x:c r="F1998" s="1" t="str">
        <x:v>Shipping on time</x:v>
      </x:c>
      <x:c r="G1998" s="6" t="n">
        <x:v>4</x:v>
      </x:c>
      <x:c r="H1998" s="6" t="n">
        <x:v>4</x:v>
      </x:c>
      <x:c r="I1998" s="6" t="n">
        <x:f>G1998-H1998</x:f>
        <x:v>0</x:v>
      </x:c>
      <x:c r="J1998" s="6" t="n">
        <x:f>IF(OR(E1998="CANCELED",E1998="SUSPECTED_FRAUD",F1998="Shipping canceled"),0,1)</x:f>
        <x:v>1</x:v>
      </x:c>
      <x:c r="K1998" s="6" t="n">
        <x:f>IF(G1998&gt;H1998,1,0)</x:f>
        <x:v>0</x:v>
      </x:c>
      <x:c r="L1998" s="6" t="n">
        <x:f>J1998*K1998</x:f>
        <x:v>0</x:v>
      </x:c>
    </x:row>
    <x:row r="1999">
      <x:c r="A1999" s="1" t="n">
        <x:v>15784</x:v>
      </x:c>
      <x:c r="B1999" s="5" t="d">
        <x:v>2015-08-19T00:00:00.000Z</x:v>
      </x:c>
      <x:c r="C1999" s="1" t="str">
        <x:v>Second Class</x:v>
      </x:c>
      <x:c r="D1999" s="1" t="str">
        <x:v>Europe</x:v>
      </x:c>
      <x:c r="E1999" s="1" t="str">
        <x:v>ON_HOLD</x:v>
      </x:c>
      <x:c r="F1999" s="1" t="str">
        <x:v>Late delivery</x:v>
      </x:c>
      <x:c r="G1999" s="6" t="n">
        <x:v>5</x:v>
      </x:c>
      <x:c r="H1999" s="6" t="n">
        <x:v>2</x:v>
      </x:c>
      <x:c r="I1999" s="6" t="n">
        <x:f>G1999-H1999</x:f>
        <x:v>3</x:v>
      </x:c>
      <x:c r="J1999" s="6" t="n">
        <x:f>IF(OR(E1999="CANCELED",E1999="SUSPECTED_FRAUD",F1999="Shipping canceled"),0,1)</x:f>
        <x:v>1</x:v>
      </x:c>
      <x:c r="K1999" s="6" t="n">
        <x:f>IF(G1999&gt;H1999,1,0)</x:f>
        <x:v>1</x:v>
      </x:c>
      <x:c r="L1999" s="6" t="n">
        <x:f>J1999*K1999</x:f>
        <x:v>1</x:v>
      </x:c>
    </x:row>
    <x:row r="2000">
      <x:c r="A2000" s="1" t="n">
        <x:v>15787</x:v>
      </x:c>
      <x:c r="B2000" s="5" t="d">
        <x:v>2015-08-19T00:00:00.000Z</x:v>
      </x:c>
      <x:c r="C2000" s="1" t="str">
        <x:v>Standard Class</x:v>
      </x:c>
      <x:c r="D2000" s="1" t="str">
        <x:v>Europe</x:v>
      </x:c>
      <x:c r="E2000" s="1" t="str">
        <x:v>COMPLETE</x:v>
      </x:c>
      <x:c r="F2000" s="1" t="str">
        <x:v>Advance shipping</x:v>
      </x:c>
      <x:c r="G2000" s="6" t="n">
        <x:v>3</x:v>
      </x:c>
      <x:c r="H2000" s="6" t="n">
        <x:v>4</x:v>
      </x:c>
      <x:c r="I2000" s="6" t="n">
        <x:f>G2000-H2000</x:f>
        <x:v>-1</x:v>
      </x:c>
      <x:c r="J2000" s="6" t="n">
        <x:f>IF(OR(E2000="CANCELED",E2000="SUSPECTED_FRAUD",F2000="Shipping canceled"),0,1)</x:f>
        <x:v>1</x:v>
      </x:c>
      <x:c r="K2000" s="6" t="n">
        <x:f>IF(G2000&gt;H2000,1,0)</x:f>
        <x:v>0</x:v>
      </x:c>
      <x:c r="L2000" s="6" t="n">
        <x:f>J2000*K2000</x:f>
        <x:v>0</x:v>
      </x:c>
    </x:row>
    <x:row r="2001">
      <x:c r="A2001" s="1" t="n">
        <x:v>15791</x:v>
      </x:c>
      <x:c r="B2001" s="5" t="d">
        <x:v>2015-08-19T00:00:00.000Z</x:v>
      </x:c>
      <x:c r="C2001" s="1" t="str">
        <x:v>Standard Class</x:v>
      </x:c>
      <x:c r="D2001" s="1" t="str">
        <x:v>Europe</x:v>
      </x:c>
      <x:c r="E2001" s="1" t="str">
        <x:v>COMPLETE</x:v>
      </x:c>
      <x:c r="F2001" s="1" t="str">
        <x:v>Advance shipping</x:v>
      </x:c>
      <x:c r="G2001" s="6" t="n">
        <x:v>2</x:v>
      </x:c>
      <x:c r="H2001" s="6" t="n">
        <x:v>4</x:v>
      </x:c>
      <x:c r="I2001" s="6" t="n">
        <x:f>G2001-H2001</x:f>
        <x:v>-2</x:v>
      </x:c>
      <x:c r="J2001" s="6" t="n">
        <x:f>IF(OR(E2001="CANCELED",E2001="SUSPECTED_FRAUD",F2001="Shipping canceled"),0,1)</x:f>
        <x:v>1</x:v>
      </x:c>
      <x:c r="K2001" s="6" t="n">
        <x:f>IF(G2001&gt;H2001,1,0)</x:f>
        <x:v>0</x:v>
      </x:c>
      <x:c r="L2001" s="6" t="n">
        <x:f>J2001*K2001</x:f>
        <x:v>0</x:v>
      </x:c>
    </x:row>
    <x:row r="2002">
      <x:c r="A2002" s="1" t="n">
        <x:v>15793</x:v>
      </x:c>
      <x:c r="B2002" s="5" t="d">
        <x:v>2015-08-19T00:00:00.000Z</x:v>
      </x:c>
      <x:c r="C2002" s="1" t="str">
        <x:v>Standard Class</x:v>
      </x:c>
      <x:c r="D2002" s="1" t="str">
        <x:v>Europe</x:v>
      </x:c>
      <x:c r="E2002" s="1" t="str">
        <x:v>COMPLETE</x:v>
      </x:c>
      <x:c r="F2002" s="1" t="str">
        <x:v>Shipping on time</x:v>
      </x:c>
      <x:c r="G2002" s="6" t="n">
        <x:v>4</x:v>
      </x:c>
      <x:c r="H2002" s="6" t="n">
        <x:v>4</x:v>
      </x:c>
      <x:c r="I2002" s="6" t="n">
        <x:f>G2002-H2002</x:f>
        <x:v>0</x:v>
      </x:c>
      <x:c r="J2002" s="6" t="n">
        <x:f>IF(OR(E2002="CANCELED",E2002="SUSPECTED_FRAUD",F2002="Shipping canceled"),0,1)</x:f>
        <x:v>1</x:v>
      </x:c>
      <x:c r="K2002" s="6" t="n">
        <x:f>IF(G2002&gt;H2002,1,0)</x:f>
        <x:v>0</x:v>
      </x:c>
      <x:c r="L2002" s="6" t="n">
        <x:f>J2002*K2002</x:f>
        <x:v>0</x:v>
      </x:c>
    </x:row>
    <x:row r="2003">
      <x:c r="A2003" s="1" t="n">
        <x:v>15795</x:v>
      </x:c>
      <x:c r="B2003" s="5" t="d">
        <x:v>2015-08-19T00:00:00.000Z</x:v>
      </x:c>
      <x:c r="C2003" s="1" t="str">
        <x:v>First Class</x:v>
      </x:c>
      <x:c r="D2003" s="1" t="str">
        <x:v>Europe</x:v>
      </x:c>
      <x:c r="E2003" s="1" t="str">
        <x:v>CLOSED</x:v>
      </x:c>
      <x:c r="F2003" s="1" t="str">
        <x:v>Late delivery</x:v>
      </x:c>
      <x:c r="G2003" s="6" t="n">
        <x:v>2</x:v>
      </x:c>
      <x:c r="H2003" s="6" t="n">
        <x:v>1</x:v>
      </x:c>
      <x:c r="I2003" s="6" t="n">
        <x:f>G2003-H2003</x:f>
        <x:v>1</x:v>
      </x:c>
      <x:c r="J2003" s="6" t="n">
        <x:f>IF(OR(E2003="CANCELED",E2003="SUSPECTED_FRAUD",F2003="Shipping canceled"),0,1)</x:f>
        <x:v>1</x:v>
      </x:c>
      <x:c r="K2003" s="6" t="n">
        <x:f>IF(G2003&gt;H2003,1,0)</x:f>
        <x:v>1</x:v>
      </x:c>
      <x:c r="L2003" s="6" t="n">
        <x:f>J2003*K2003</x:f>
        <x:v>1</x:v>
      </x:c>
    </x:row>
    <x:row r="2004">
      <x:c r="A2004" s="1" t="n">
        <x:v>15800</x:v>
      </x:c>
      <x:c r="B2004" s="5" t="d">
        <x:v>2015-08-19T00:00:00.000Z</x:v>
      </x:c>
      <x:c r="C2004" s="1" t="str">
        <x:v>Second Class</x:v>
      </x:c>
      <x:c r="D2004" s="1" t="str">
        <x:v>Europe</x:v>
      </x:c>
      <x:c r="E2004" s="1" t="str">
        <x:v>PROCESSING</x:v>
      </x:c>
      <x:c r="F2004" s="1" t="str">
        <x:v>Late delivery</x:v>
      </x:c>
      <x:c r="G2004" s="6" t="n">
        <x:v>6</x:v>
      </x:c>
      <x:c r="H2004" s="6" t="n">
        <x:v>2</x:v>
      </x:c>
      <x:c r="I2004" s="6" t="n">
        <x:f>G2004-H2004</x:f>
        <x:v>4</x:v>
      </x:c>
      <x:c r="J2004" s="6" t="n">
        <x:f>IF(OR(E2004="CANCELED",E2004="SUSPECTED_FRAUD",F2004="Shipping canceled"),0,1)</x:f>
        <x:v>1</x:v>
      </x:c>
      <x:c r="K2004" s="6" t="n">
        <x:f>IF(G2004&gt;H2004,1,0)</x:f>
        <x:v>1</x:v>
      </x:c>
      <x:c r="L2004" s="6" t="n">
        <x:f>J2004*K2004</x:f>
        <x:v>1</x:v>
      </x:c>
    </x:row>
    <x:row r="2005">
      <x:c r="A2005" s="1" t="n">
        <x:v>15803</x:v>
      </x:c>
      <x:c r="B2005" s="5" t="d">
        <x:v>2015-08-19T00:00:00.000Z</x:v>
      </x:c>
      <x:c r="C2005" s="1" t="str">
        <x:v>Standard Class</x:v>
      </x:c>
      <x:c r="D2005" s="1" t="str">
        <x:v>Europe</x:v>
      </x:c>
      <x:c r="E2005" s="1" t="str">
        <x:v>PROCESSING</x:v>
      </x:c>
      <x:c r="F2005" s="1" t="str">
        <x:v>Shipping on time</x:v>
      </x:c>
      <x:c r="G2005" s="6" t="n">
        <x:v>4</x:v>
      </x:c>
      <x:c r="H2005" s="6" t="n">
        <x:v>4</x:v>
      </x:c>
      <x:c r="I2005" s="6" t="n">
        <x:f>G2005-H2005</x:f>
        <x:v>0</x:v>
      </x:c>
      <x:c r="J2005" s="6" t="n">
        <x:f>IF(OR(E2005="CANCELED",E2005="SUSPECTED_FRAUD",F2005="Shipping canceled"),0,1)</x:f>
        <x:v>1</x:v>
      </x:c>
      <x:c r="K2005" s="6" t="n">
        <x:f>IF(G2005&gt;H2005,1,0)</x:f>
        <x:v>0</x:v>
      </x:c>
      <x:c r="L2005" s="6" t="n">
        <x:f>J2005*K2005</x:f>
        <x:v>0</x:v>
      </x:c>
    </x:row>
    <x:row r="2006">
      <x:c r="A2006" s="1" t="n">
        <x:v>15808</x:v>
      </x:c>
      <x:c r="B2006" s="5" t="d">
        <x:v>2015-08-19T00:00:00.000Z</x:v>
      </x:c>
      <x:c r="C2006" s="1" t="str">
        <x:v>First Class</x:v>
      </x:c>
      <x:c r="D2006" s="1" t="str">
        <x:v>Europe</x:v>
      </x:c>
      <x:c r="E2006" s="1" t="str">
        <x:v>PENDING_PAYMENT</x:v>
      </x:c>
      <x:c r="F2006" s="1" t="str">
        <x:v>Late delivery</x:v>
      </x:c>
      <x:c r="G2006" s="6" t="n">
        <x:v>2</x:v>
      </x:c>
      <x:c r="H2006" s="6" t="n">
        <x:v>1</x:v>
      </x:c>
      <x:c r="I2006" s="6" t="n">
        <x:f>G2006-H2006</x:f>
        <x:v>1</x:v>
      </x:c>
      <x:c r="J2006" s="6" t="n">
        <x:f>IF(OR(E2006="CANCELED",E2006="SUSPECTED_FRAUD",F2006="Shipping canceled"),0,1)</x:f>
        <x:v>1</x:v>
      </x:c>
      <x:c r="K2006" s="6" t="n">
        <x:f>IF(G2006&gt;H2006,1,0)</x:f>
        <x:v>1</x:v>
      </x:c>
      <x:c r="L2006" s="6" t="n">
        <x:f>J2006*K2006</x:f>
        <x:v>1</x:v>
      </x:c>
    </x:row>
    <x:row r="2007">
      <x:c r="A2007" s="1" t="n">
        <x:v>15816</x:v>
      </x:c>
      <x:c r="B2007" s="5" t="d">
        <x:v>2015-08-19T00:00:00.000Z</x:v>
      </x:c>
      <x:c r="C2007" s="1" t="str">
        <x:v>Standard Class</x:v>
      </x:c>
      <x:c r="D2007" s="1" t="str">
        <x:v>Europe</x:v>
      </x:c>
      <x:c r="E2007" s="1" t="str">
        <x:v>COMPLETE</x:v>
      </x:c>
      <x:c r="F2007" s="1" t="str">
        <x:v>Advance shipping</x:v>
      </x:c>
      <x:c r="G2007" s="6" t="n">
        <x:v>2</x:v>
      </x:c>
      <x:c r="H2007" s="6" t="n">
        <x:v>4</x:v>
      </x:c>
      <x:c r="I2007" s="6" t="n">
        <x:f>G2007-H2007</x:f>
        <x:v>-2</x:v>
      </x:c>
      <x:c r="J2007" s="6" t="n">
        <x:f>IF(OR(E2007="CANCELED",E2007="SUSPECTED_FRAUD",F2007="Shipping canceled"),0,1)</x:f>
        <x:v>1</x:v>
      </x:c>
      <x:c r="K2007" s="6" t="n">
        <x:f>IF(G2007&gt;H2007,1,0)</x:f>
        <x:v>0</x:v>
      </x:c>
      <x:c r="L2007" s="6" t="n">
        <x:f>J2007*K2007</x:f>
        <x:v>0</x:v>
      </x:c>
    </x:row>
    <x:row r="2008">
      <x:c r="A2008" s="1" t="n">
        <x:v>15817</x:v>
      </x:c>
      <x:c r="B2008" s="5" t="d">
        <x:v>2015-08-19T00:00:00.000Z</x:v>
      </x:c>
      <x:c r="C2008" s="1" t="str">
        <x:v>Standard Class</x:v>
      </x:c>
      <x:c r="D2008" s="1" t="str">
        <x:v>Europe</x:v>
      </x:c>
      <x:c r="E2008" s="1" t="str">
        <x:v>CANCELED</x:v>
      </x:c>
      <x:c r="F2008" s="1" t="str">
        <x:v>Shipping canceled</x:v>
      </x:c>
      <x:c r="G2008" s="6" t="n">
        <x:v>3</x:v>
      </x:c>
      <x:c r="H2008" s="6" t="n">
        <x:v>4</x:v>
      </x:c>
      <x:c r="I2008" s="6" t="n">
        <x:f>G2008-H2008</x:f>
        <x:v>-1</x:v>
      </x:c>
      <x:c r="J2008" s="6" t="n">
        <x:f>IF(OR(E2008="CANCELED",E2008="SUSPECTED_FRAUD",F2008="Shipping canceled"),0,1)</x:f>
        <x:v>0</x:v>
      </x:c>
      <x:c r="K2008" s="6" t="n">
        <x:f>IF(G2008&gt;H2008,1,0)</x:f>
        <x:v>0</x:v>
      </x:c>
      <x:c r="L2008" s="6" t="n">
        <x:f>J2008*K2008</x:f>
        <x:v>0</x:v>
      </x:c>
    </x:row>
    <x:row r="2009">
      <x:c r="A2009" s="1" t="n">
        <x:v>15819</x:v>
      </x:c>
      <x:c r="B2009" s="5" t="d">
        <x:v>2015-08-19T00:00:00.000Z</x:v>
      </x:c>
      <x:c r="C2009" s="1" t="str">
        <x:v>Standard Class</x:v>
      </x:c>
      <x:c r="D2009" s="1" t="str">
        <x:v>Europe</x:v>
      </x:c>
      <x:c r="E2009" s="1" t="str">
        <x:v>PROCESSING</x:v>
      </x:c>
      <x:c r="F2009" s="1" t="str">
        <x:v>Late delivery</x:v>
      </x:c>
      <x:c r="G2009" s="6" t="n">
        <x:v>5</x:v>
      </x:c>
      <x:c r="H2009" s="6" t="n">
        <x:v>4</x:v>
      </x:c>
      <x:c r="I2009" s="6" t="n">
        <x:f>G2009-H2009</x:f>
        <x:v>1</x:v>
      </x:c>
      <x:c r="J2009" s="6" t="n">
        <x:f>IF(OR(E2009="CANCELED",E2009="SUSPECTED_FRAUD",F2009="Shipping canceled"),0,1)</x:f>
        <x:v>1</x:v>
      </x:c>
      <x:c r="K2009" s="6" t="n">
        <x:f>IF(G2009&gt;H2009,1,0)</x:f>
        <x:v>1</x:v>
      </x:c>
      <x:c r="L2009" s="6" t="n">
        <x:f>J2009*K2009</x:f>
        <x:v>1</x:v>
      </x:c>
    </x:row>
    <x:row r="2010">
      <x:c r="A2010" s="1" t="n">
        <x:v>15820</x:v>
      </x:c>
      <x:c r="B2010" s="5" t="d">
        <x:v>2015-08-19T00:00:00.000Z</x:v>
      </x:c>
      <x:c r="C2010" s="1" t="str">
        <x:v>Standard Class</x:v>
      </x:c>
      <x:c r="D2010" s="1" t="str">
        <x:v>Europe</x:v>
      </x:c>
      <x:c r="E2010" s="1" t="str">
        <x:v>CLOSED</x:v>
      </x:c>
      <x:c r="F2010" s="1" t="str">
        <x:v>Late delivery</x:v>
      </x:c>
      <x:c r="G2010" s="6" t="n">
        <x:v>6</x:v>
      </x:c>
      <x:c r="H2010" s="6" t="n">
        <x:v>4</x:v>
      </x:c>
      <x:c r="I2010" s="6" t="n">
        <x:f>G2010-H2010</x:f>
        <x:v>2</x:v>
      </x:c>
      <x:c r="J2010" s="6" t="n">
        <x:f>IF(OR(E2010="CANCELED",E2010="SUSPECTED_FRAUD",F2010="Shipping canceled"),0,1)</x:f>
        <x:v>1</x:v>
      </x:c>
      <x:c r="K2010" s="6" t="n">
        <x:f>IF(G2010&gt;H2010,1,0)</x:f>
        <x:v>1</x:v>
      </x:c>
      <x:c r="L2010" s="6" t="n">
        <x:f>J2010*K2010</x:f>
        <x:v>1</x:v>
      </x:c>
    </x:row>
    <x:row r="2011">
      <x:c r="A2011" s="1" t="n">
        <x:v>15825</x:v>
      </x:c>
      <x:c r="B2011" s="5" t="d">
        <x:v>2015-08-19T00:00:00.000Z</x:v>
      </x:c>
      <x:c r="C2011" s="1" t="str">
        <x:v>First Class</x:v>
      </x:c>
      <x:c r="D2011" s="1" t="str">
        <x:v>Europe</x:v>
      </x:c>
      <x:c r="E2011" s="1" t="str">
        <x:v>PENDING_PAYMENT</x:v>
      </x:c>
      <x:c r="F2011" s="1" t="str">
        <x:v>Late delivery</x:v>
      </x:c>
      <x:c r="G2011" s="6" t="n">
        <x:v>2</x:v>
      </x:c>
      <x:c r="H2011" s="6" t="n">
        <x:v>1</x:v>
      </x:c>
      <x:c r="I2011" s="6" t="n">
        <x:f>G2011-H2011</x:f>
        <x:v>1</x:v>
      </x:c>
      <x:c r="J2011" s="6" t="n">
        <x:f>IF(OR(E2011="CANCELED",E2011="SUSPECTED_FRAUD",F2011="Shipping canceled"),0,1)</x:f>
        <x:v>1</x:v>
      </x:c>
      <x:c r="K2011" s="6" t="n">
        <x:f>IF(G2011&gt;H2011,1,0)</x:f>
        <x:v>1</x:v>
      </x:c>
      <x:c r="L2011" s="6" t="n">
        <x:f>J2011*K2011</x:f>
        <x:v>1</x:v>
      </x:c>
    </x:row>
    <x:row r="2012">
      <x:c r="A2012" s="1" t="n">
        <x:v>15831</x:v>
      </x:c>
      <x:c r="B2012" s="5" t="d">
        <x:v>2015-08-20T00:00:00.000Z</x:v>
      </x:c>
      <x:c r="C2012" s="1" t="str">
        <x:v>Standard Class</x:v>
      </x:c>
      <x:c r="D2012" s="1" t="str">
        <x:v>Europe</x:v>
      </x:c>
      <x:c r="E2012" s="1" t="str">
        <x:v>PENDING</x:v>
      </x:c>
      <x:c r="F2012" s="1" t="str">
        <x:v>Advance shipping</x:v>
      </x:c>
      <x:c r="G2012" s="6" t="n">
        <x:v>2</x:v>
      </x:c>
      <x:c r="H2012" s="6" t="n">
        <x:v>4</x:v>
      </x:c>
      <x:c r="I2012" s="6" t="n">
        <x:f>G2012-H2012</x:f>
        <x:v>-2</x:v>
      </x:c>
      <x:c r="J2012" s="6" t="n">
        <x:f>IF(OR(E2012="CANCELED",E2012="SUSPECTED_FRAUD",F2012="Shipping canceled"),0,1)</x:f>
        <x:v>1</x:v>
      </x:c>
      <x:c r="K2012" s="6" t="n">
        <x:f>IF(G2012&gt;H2012,1,0)</x:f>
        <x:v>0</x:v>
      </x:c>
      <x:c r="L2012" s="6" t="n">
        <x:f>J2012*K2012</x:f>
        <x:v>0</x:v>
      </x:c>
    </x:row>
    <x:row r="2013">
      <x:c r="A2013" s="1" t="n">
        <x:v>15835</x:v>
      </x:c>
      <x:c r="B2013" s="5" t="d">
        <x:v>2015-08-20T00:00:00.000Z</x:v>
      </x:c>
      <x:c r="C2013" s="1" t="str">
        <x:v>Standard Class</x:v>
      </x:c>
      <x:c r="D2013" s="1" t="str">
        <x:v>Europe</x:v>
      </x:c>
      <x:c r="E2013" s="1" t="str">
        <x:v>PENDING_PAYMENT</x:v>
      </x:c>
      <x:c r="F2013" s="1" t="str">
        <x:v>Late delivery</x:v>
      </x:c>
      <x:c r="G2013" s="6" t="n">
        <x:v>6</x:v>
      </x:c>
      <x:c r="H2013" s="6" t="n">
        <x:v>4</x:v>
      </x:c>
      <x:c r="I2013" s="6" t="n">
        <x:f>G2013-H2013</x:f>
        <x:v>2</x:v>
      </x:c>
      <x:c r="J2013" s="6" t="n">
        <x:f>IF(OR(E2013="CANCELED",E2013="SUSPECTED_FRAUD",F2013="Shipping canceled"),0,1)</x:f>
        <x:v>1</x:v>
      </x:c>
      <x:c r="K2013" s="6" t="n">
        <x:f>IF(G2013&gt;H2013,1,0)</x:f>
        <x:v>1</x:v>
      </x:c>
      <x:c r="L2013" s="6" t="n">
        <x:f>J2013*K2013</x:f>
        <x:v>1</x:v>
      </x:c>
    </x:row>
    <x:row r="2014">
      <x:c r="A2014" s="1" t="n">
        <x:v>15845</x:v>
      </x:c>
      <x:c r="B2014" s="5" t="d">
        <x:v>2015-08-20T00:00:00.000Z</x:v>
      </x:c>
      <x:c r="C2014" s="1" t="str">
        <x:v>Second Class</x:v>
      </x:c>
      <x:c r="D2014" s="1" t="str">
        <x:v>Europe</x:v>
      </x:c>
      <x:c r="E2014" s="1" t="str">
        <x:v>COMPLETE</x:v>
      </x:c>
      <x:c r="F2014" s="1" t="str">
        <x:v>Late delivery</x:v>
      </x:c>
      <x:c r="G2014" s="6" t="n">
        <x:v>6</x:v>
      </x:c>
      <x:c r="H2014" s="6" t="n">
        <x:v>2</x:v>
      </x:c>
      <x:c r="I2014" s="6" t="n">
        <x:f>G2014-H2014</x:f>
        <x:v>4</x:v>
      </x:c>
      <x:c r="J2014" s="6" t="n">
        <x:f>IF(OR(E2014="CANCELED",E2014="SUSPECTED_FRAUD",F2014="Shipping canceled"),0,1)</x:f>
        <x:v>1</x:v>
      </x:c>
      <x:c r="K2014" s="6" t="n">
        <x:f>IF(G2014&gt;H2014,1,0)</x:f>
        <x:v>1</x:v>
      </x:c>
      <x:c r="L2014" s="6" t="n">
        <x:f>J2014*K2014</x:f>
        <x:v>1</x:v>
      </x:c>
    </x:row>
    <x:row r="2015">
      <x:c r="A2015" s="1" t="n">
        <x:v>15854</x:v>
      </x:c>
      <x:c r="B2015" s="5" t="d">
        <x:v>2015-08-20T00:00:00.000Z</x:v>
      </x:c>
      <x:c r="C2015" s="1" t="str">
        <x:v>Standard Class</x:v>
      </x:c>
      <x:c r="D2015" s="1" t="str">
        <x:v>Europe</x:v>
      </x:c>
      <x:c r="E2015" s="1" t="str">
        <x:v>COMPLETE</x:v>
      </x:c>
      <x:c r="F2015" s="1" t="str">
        <x:v>Late delivery</x:v>
      </x:c>
      <x:c r="G2015" s="6" t="n">
        <x:v>5</x:v>
      </x:c>
      <x:c r="H2015" s="6" t="n">
        <x:v>4</x:v>
      </x:c>
      <x:c r="I2015" s="6" t="n">
        <x:f>G2015-H2015</x:f>
        <x:v>1</x:v>
      </x:c>
      <x:c r="J2015" s="6" t="n">
        <x:f>IF(OR(E2015="CANCELED",E2015="SUSPECTED_FRAUD",F2015="Shipping canceled"),0,1)</x:f>
        <x:v>1</x:v>
      </x:c>
      <x:c r="K2015" s="6" t="n">
        <x:f>IF(G2015&gt;H2015,1,0)</x:f>
        <x:v>1</x:v>
      </x:c>
      <x:c r="L2015" s="6" t="n">
        <x:f>J2015*K2015</x:f>
        <x:v>1</x:v>
      </x:c>
    </x:row>
    <x:row r="2016">
      <x:c r="A2016" s="1" t="n">
        <x:v>15856</x:v>
      </x:c>
      <x:c r="B2016" s="5" t="d">
        <x:v>2015-08-20T00:00:00.000Z</x:v>
      </x:c>
      <x:c r="C2016" s="1" t="str">
        <x:v>Standard Class</x:v>
      </x:c>
      <x:c r="D2016" s="1" t="str">
        <x:v>Europe</x:v>
      </x:c>
      <x:c r="E2016" s="1" t="str">
        <x:v>COMPLETE</x:v>
      </x:c>
      <x:c r="F2016" s="1" t="str">
        <x:v>Advance shipping</x:v>
      </x:c>
      <x:c r="G2016" s="6" t="n">
        <x:v>2</x:v>
      </x:c>
      <x:c r="H2016" s="6" t="n">
        <x:v>4</x:v>
      </x:c>
      <x:c r="I2016" s="6" t="n">
        <x:f>G2016-H2016</x:f>
        <x:v>-2</x:v>
      </x:c>
      <x:c r="J2016" s="6" t="n">
        <x:f>IF(OR(E2016="CANCELED",E2016="SUSPECTED_FRAUD",F2016="Shipping canceled"),0,1)</x:f>
        <x:v>1</x:v>
      </x:c>
      <x:c r="K2016" s="6" t="n">
        <x:f>IF(G2016&gt;H2016,1,0)</x:f>
        <x:v>0</x:v>
      </x:c>
      <x:c r="L2016" s="6" t="n">
        <x:f>J2016*K2016</x:f>
        <x:v>0</x:v>
      </x:c>
    </x:row>
    <x:row r="2017">
      <x:c r="A2017" s="1" t="n">
        <x:v>15864</x:v>
      </x:c>
      <x:c r="B2017" s="5" t="d">
        <x:v>2015-08-20T00:00:00.000Z</x:v>
      </x:c>
      <x:c r="C2017" s="1" t="str">
        <x:v>Standard Class</x:v>
      </x:c>
      <x:c r="D2017" s="1" t="str">
        <x:v>Europe</x:v>
      </x:c>
      <x:c r="E2017" s="1" t="str">
        <x:v>COMPLETE</x:v>
      </x:c>
      <x:c r="F2017" s="1" t="str">
        <x:v>Late delivery</x:v>
      </x:c>
      <x:c r="G2017" s="6" t="n">
        <x:v>5</x:v>
      </x:c>
      <x:c r="H2017" s="6" t="n">
        <x:v>4</x:v>
      </x:c>
      <x:c r="I2017" s="6" t="n">
        <x:f>G2017-H2017</x:f>
        <x:v>1</x:v>
      </x:c>
      <x:c r="J2017" s="6" t="n">
        <x:f>IF(OR(E2017="CANCELED",E2017="SUSPECTED_FRAUD",F2017="Shipping canceled"),0,1)</x:f>
        <x:v>1</x:v>
      </x:c>
      <x:c r="K2017" s="6" t="n">
        <x:f>IF(G2017&gt;H2017,1,0)</x:f>
        <x:v>1</x:v>
      </x:c>
      <x:c r="L2017" s="6" t="n">
        <x:f>J2017*K2017</x:f>
        <x:v>1</x:v>
      </x:c>
    </x:row>
    <x:row r="2018">
      <x:c r="A2018" s="1" t="n">
        <x:v>15884</x:v>
      </x:c>
      <x:c r="B2018" s="5" t="d">
        <x:v>2015-08-20T00:00:00.000Z</x:v>
      </x:c>
      <x:c r="C2018" s="1" t="str">
        <x:v>Second Class</x:v>
      </x:c>
      <x:c r="D2018" s="1" t="str">
        <x:v>Europe</x:v>
      </x:c>
      <x:c r="E2018" s="1" t="str">
        <x:v>COMPLETE</x:v>
      </x:c>
      <x:c r="F2018" s="1" t="str">
        <x:v>Late delivery</x:v>
      </x:c>
      <x:c r="G2018" s="6" t="n">
        <x:v>5</x:v>
      </x:c>
      <x:c r="H2018" s="6" t="n">
        <x:v>2</x:v>
      </x:c>
      <x:c r="I2018" s="6" t="n">
        <x:f>G2018-H2018</x:f>
        <x:v>3</x:v>
      </x:c>
      <x:c r="J2018" s="6" t="n">
        <x:f>IF(OR(E2018="CANCELED",E2018="SUSPECTED_FRAUD",F2018="Shipping canceled"),0,1)</x:f>
        <x:v>1</x:v>
      </x:c>
      <x:c r="K2018" s="6" t="n">
        <x:f>IF(G2018&gt;H2018,1,0)</x:f>
        <x:v>1</x:v>
      </x:c>
      <x:c r="L2018" s="6" t="n">
        <x:f>J2018*K2018</x:f>
        <x:v>1</x:v>
      </x:c>
    </x:row>
    <x:row r="2019">
      <x:c r="A2019" s="1" t="n">
        <x:v>15887</x:v>
      </x:c>
      <x:c r="B2019" s="5" t="d">
        <x:v>2015-08-20T00:00:00.000Z</x:v>
      </x:c>
      <x:c r="C2019" s="1" t="str">
        <x:v>Standard Class</x:v>
      </x:c>
      <x:c r="D2019" s="1" t="str">
        <x:v>Europe</x:v>
      </x:c>
      <x:c r="E2019" s="1" t="str">
        <x:v>COMPLETE</x:v>
      </x:c>
      <x:c r="F2019" s="1" t="str">
        <x:v>Advance shipping</x:v>
      </x:c>
      <x:c r="G2019" s="6" t="n">
        <x:v>3</x:v>
      </x:c>
      <x:c r="H2019" s="6" t="n">
        <x:v>4</x:v>
      </x:c>
      <x:c r="I2019" s="6" t="n">
        <x:f>G2019-H2019</x:f>
        <x:v>-1</x:v>
      </x:c>
      <x:c r="J2019" s="6" t="n">
        <x:f>IF(OR(E2019="CANCELED",E2019="SUSPECTED_FRAUD",F2019="Shipping canceled"),0,1)</x:f>
        <x:v>1</x:v>
      </x:c>
      <x:c r="K2019" s="6" t="n">
        <x:f>IF(G2019&gt;H2019,1,0)</x:f>
        <x:v>0</x:v>
      </x:c>
      <x:c r="L2019" s="6" t="n">
        <x:f>J2019*K2019</x:f>
        <x:v>0</x:v>
      </x:c>
    </x:row>
    <x:row r="2020">
      <x:c r="A2020" s="1" t="n">
        <x:v>15890</x:v>
      </x:c>
      <x:c r="B2020" s="5" t="d">
        <x:v>2015-08-20T00:00:00.000Z</x:v>
      </x:c>
      <x:c r="C2020" s="1" t="str">
        <x:v>Second Class</x:v>
      </x:c>
      <x:c r="D2020" s="1" t="str">
        <x:v>Europe</x:v>
      </x:c>
      <x:c r="E2020" s="1" t="str">
        <x:v>CLOSED</x:v>
      </x:c>
      <x:c r="F2020" s="1" t="str">
        <x:v>Late delivery</x:v>
      </x:c>
      <x:c r="G2020" s="6" t="n">
        <x:v>6</x:v>
      </x:c>
      <x:c r="H2020" s="6" t="n">
        <x:v>2</x:v>
      </x:c>
      <x:c r="I2020" s="6" t="n">
        <x:f>G2020-H2020</x:f>
        <x:v>4</x:v>
      </x:c>
      <x:c r="J2020" s="6" t="n">
        <x:f>IF(OR(E2020="CANCELED",E2020="SUSPECTED_FRAUD",F2020="Shipping canceled"),0,1)</x:f>
        <x:v>1</x:v>
      </x:c>
      <x:c r="K2020" s="6" t="n">
        <x:f>IF(G2020&gt;H2020,1,0)</x:f>
        <x:v>1</x:v>
      </x:c>
      <x:c r="L2020" s="6" t="n">
        <x:f>J2020*K2020</x:f>
        <x:v>1</x:v>
      </x:c>
    </x:row>
    <x:row r="2021">
      <x:c r="A2021" s="1" t="n">
        <x:v>15898</x:v>
      </x:c>
      <x:c r="B2021" s="5" t="d">
        <x:v>2015-08-21T00:00:00.000Z</x:v>
      </x:c>
      <x:c r="C2021" s="1" t="str">
        <x:v>Standard Class</x:v>
      </x:c>
      <x:c r="D2021" s="1" t="str">
        <x:v>Europe</x:v>
      </x:c>
      <x:c r="E2021" s="1" t="str">
        <x:v>COMPLETE</x:v>
      </x:c>
      <x:c r="F2021" s="1" t="str">
        <x:v>Shipping on time</x:v>
      </x:c>
      <x:c r="G2021" s="6" t="n">
        <x:v>4</x:v>
      </x:c>
      <x:c r="H2021" s="6" t="n">
        <x:v>4</x:v>
      </x:c>
      <x:c r="I2021" s="6" t="n">
        <x:f>G2021-H2021</x:f>
        <x:v>0</x:v>
      </x:c>
      <x:c r="J2021" s="6" t="n">
        <x:f>IF(OR(E2021="CANCELED",E2021="SUSPECTED_FRAUD",F2021="Shipping canceled"),0,1)</x:f>
        <x:v>1</x:v>
      </x:c>
      <x:c r="K2021" s="6" t="n">
        <x:f>IF(G2021&gt;H2021,1,0)</x:f>
        <x:v>0</x:v>
      </x:c>
      <x:c r="L2021" s="6" t="n">
        <x:f>J2021*K2021</x:f>
        <x:v>0</x:v>
      </x:c>
    </x:row>
    <x:row r="2022">
      <x:c r="A2022" s="1" t="n">
        <x:v>15912</x:v>
      </x:c>
      <x:c r="B2022" s="5" t="d">
        <x:v>2015-08-21T00:00:00.000Z</x:v>
      </x:c>
      <x:c r="C2022" s="1" t="str">
        <x:v>Standard Class</x:v>
      </x:c>
      <x:c r="D2022" s="1" t="str">
        <x:v>Europe</x:v>
      </x:c>
      <x:c r="E2022" s="1" t="str">
        <x:v>PENDING</x:v>
      </x:c>
      <x:c r="F2022" s="1" t="str">
        <x:v>Advance shipping</x:v>
      </x:c>
      <x:c r="G2022" s="6" t="n">
        <x:v>3</x:v>
      </x:c>
      <x:c r="H2022" s="6" t="n">
        <x:v>4</x:v>
      </x:c>
      <x:c r="I2022" s="6" t="n">
        <x:f>G2022-H2022</x:f>
        <x:v>-1</x:v>
      </x:c>
      <x:c r="J2022" s="6" t="n">
        <x:f>IF(OR(E2022="CANCELED",E2022="SUSPECTED_FRAUD",F2022="Shipping canceled"),0,1)</x:f>
        <x:v>1</x:v>
      </x:c>
      <x:c r="K2022" s="6" t="n">
        <x:f>IF(G2022&gt;H2022,1,0)</x:f>
        <x:v>0</x:v>
      </x:c>
      <x:c r="L2022" s="6" t="n">
        <x:f>J2022*K2022</x:f>
        <x:v>0</x:v>
      </x:c>
    </x:row>
    <x:row r="2023">
      <x:c r="A2023" s="1" t="n">
        <x:v>15914</x:v>
      </x:c>
      <x:c r="B2023" s="5" t="d">
        <x:v>2015-08-21T00:00:00.000Z</x:v>
      </x:c>
      <x:c r="C2023" s="1" t="str">
        <x:v>Standard Class</x:v>
      </x:c>
      <x:c r="D2023" s="1" t="str">
        <x:v>Europe</x:v>
      </x:c>
      <x:c r="E2023" s="1" t="str">
        <x:v>COMPLETE</x:v>
      </x:c>
      <x:c r="F2023" s="1" t="str">
        <x:v>Late delivery</x:v>
      </x:c>
      <x:c r="G2023" s="6" t="n">
        <x:v>5</x:v>
      </x:c>
      <x:c r="H2023" s="6" t="n">
        <x:v>4</x:v>
      </x:c>
      <x:c r="I2023" s="6" t="n">
        <x:f>G2023-H2023</x:f>
        <x:v>1</x:v>
      </x:c>
      <x:c r="J2023" s="6" t="n">
        <x:f>IF(OR(E2023="CANCELED",E2023="SUSPECTED_FRAUD",F2023="Shipping canceled"),0,1)</x:f>
        <x:v>1</x:v>
      </x:c>
      <x:c r="K2023" s="6" t="n">
        <x:f>IF(G2023&gt;H2023,1,0)</x:f>
        <x:v>1</x:v>
      </x:c>
      <x:c r="L2023" s="6" t="n">
        <x:f>J2023*K2023</x:f>
        <x:v>1</x:v>
      </x:c>
    </x:row>
    <x:row r="2024">
      <x:c r="A2024" s="1" t="n">
        <x:v>15915</x:v>
      </x:c>
      <x:c r="B2024" s="5" t="d">
        <x:v>2015-08-21T00:00:00.000Z</x:v>
      </x:c>
      <x:c r="C2024" s="1" t="str">
        <x:v>Standard Class</x:v>
      </x:c>
      <x:c r="D2024" s="1" t="str">
        <x:v>Europe</x:v>
      </x:c>
      <x:c r="E2024" s="1" t="str">
        <x:v>PENDING_PAYMENT</x:v>
      </x:c>
      <x:c r="F2024" s="1" t="str">
        <x:v>Late delivery</x:v>
      </x:c>
      <x:c r="G2024" s="6" t="n">
        <x:v>6</x:v>
      </x:c>
      <x:c r="H2024" s="6" t="n">
        <x:v>4</x:v>
      </x:c>
      <x:c r="I2024" s="6" t="n">
        <x:f>G2024-H2024</x:f>
        <x:v>2</x:v>
      </x:c>
      <x:c r="J2024" s="6" t="n">
        <x:f>IF(OR(E2024="CANCELED",E2024="SUSPECTED_FRAUD",F2024="Shipping canceled"),0,1)</x:f>
        <x:v>1</x:v>
      </x:c>
      <x:c r="K2024" s="6" t="n">
        <x:f>IF(G2024&gt;H2024,1,0)</x:f>
        <x:v>1</x:v>
      </x:c>
      <x:c r="L2024" s="6" t="n">
        <x:f>J2024*K2024</x:f>
        <x:v>1</x:v>
      </x:c>
    </x:row>
    <x:row r="2025">
      <x:c r="A2025" s="1" t="n">
        <x:v>15916</x:v>
      </x:c>
      <x:c r="B2025" s="5" t="d">
        <x:v>2015-08-21T00:00:00.000Z</x:v>
      </x:c>
      <x:c r="C2025" s="1" t="str">
        <x:v>Standard Class</x:v>
      </x:c>
      <x:c r="D2025" s="1" t="str">
        <x:v>Europe</x:v>
      </x:c>
      <x:c r="E2025" s="1" t="str">
        <x:v>PENDING</x:v>
      </x:c>
      <x:c r="F2025" s="1" t="str">
        <x:v>Advance shipping</x:v>
      </x:c>
      <x:c r="G2025" s="6" t="n">
        <x:v>2</x:v>
      </x:c>
      <x:c r="H2025" s="6" t="n">
        <x:v>4</x:v>
      </x:c>
      <x:c r="I2025" s="6" t="n">
        <x:f>G2025-H2025</x:f>
        <x:v>-2</x:v>
      </x:c>
      <x:c r="J2025" s="6" t="n">
        <x:f>IF(OR(E2025="CANCELED",E2025="SUSPECTED_FRAUD",F2025="Shipping canceled"),0,1)</x:f>
        <x:v>1</x:v>
      </x:c>
      <x:c r="K2025" s="6" t="n">
        <x:f>IF(G2025&gt;H2025,1,0)</x:f>
        <x:v>0</x:v>
      </x:c>
      <x:c r="L2025" s="6" t="n">
        <x:f>J2025*K2025</x:f>
        <x:v>0</x:v>
      </x:c>
    </x:row>
    <x:row r="2026">
      <x:c r="A2026" s="1" t="n">
        <x:v>15924</x:v>
      </x:c>
      <x:c r="B2026" s="5" t="d">
        <x:v>2015-08-21T00:00:00.000Z</x:v>
      </x:c>
      <x:c r="C2026" s="1" t="str">
        <x:v>Standard Class</x:v>
      </x:c>
      <x:c r="D2026" s="1" t="str">
        <x:v>Europe</x:v>
      </x:c>
      <x:c r="E2026" s="1" t="str">
        <x:v>COMPLETE</x:v>
      </x:c>
      <x:c r="F2026" s="1" t="str">
        <x:v>Late delivery</x:v>
      </x:c>
      <x:c r="G2026" s="6" t="n">
        <x:v>5</x:v>
      </x:c>
      <x:c r="H2026" s="6" t="n">
        <x:v>4</x:v>
      </x:c>
      <x:c r="I2026" s="6" t="n">
        <x:f>G2026-H2026</x:f>
        <x:v>1</x:v>
      </x:c>
      <x:c r="J2026" s="6" t="n">
        <x:f>IF(OR(E2026="CANCELED",E2026="SUSPECTED_FRAUD",F2026="Shipping canceled"),0,1)</x:f>
        <x:v>1</x:v>
      </x:c>
      <x:c r="K2026" s="6" t="n">
        <x:f>IF(G2026&gt;H2026,1,0)</x:f>
        <x:v>1</x:v>
      </x:c>
      <x:c r="L2026" s="6" t="n">
        <x:f>J2026*K2026</x:f>
        <x:v>1</x:v>
      </x:c>
    </x:row>
    <x:row r="2027">
      <x:c r="A2027" s="1" t="n">
        <x:v>15929</x:v>
      </x:c>
      <x:c r="B2027" s="5" t="d">
        <x:v>2015-08-21T00:00:00.000Z</x:v>
      </x:c>
      <x:c r="C2027" s="1" t="str">
        <x:v>Standard Class</x:v>
      </x:c>
      <x:c r="D2027" s="1" t="str">
        <x:v>Europe</x:v>
      </x:c>
      <x:c r="E2027" s="1" t="str">
        <x:v>COMPLETE</x:v>
      </x:c>
      <x:c r="F2027" s="1" t="str">
        <x:v>Late delivery</x:v>
      </x:c>
      <x:c r="G2027" s="6" t="n">
        <x:v>5</x:v>
      </x:c>
      <x:c r="H2027" s="6" t="n">
        <x:v>4</x:v>
      </x:c>
      <x:c r="I2027" s="6" t="n">
        <x:f>G2027-H2027</x:f>
        <x:v>1</x:v>
      </x:c>
      <x:c r="J2027" s="6" t="n">
        <x:f>IF(OR(E2027="CANCELED",E2027="SUSPECTED_FRAUD",F2027="Shipping canceled"),0,1)</x:f>
        <x:v>1</x:v>
      </x:c>
      <x:c r="K2027" s="6" t="n">
        <x:f>IF(G2027&gt;H2027,1,0)</x:f>
        <x:v>1</x:v>
      </x:c>
      <x:c r="L2027" s="6" t="n">
        <x:f>J2027*K2027</x:f>
        <x:v>1</x:v>
      </x:c>
    </x:row>
    <x:row r="2028">
      <x:c r="A2028" s="1" t="n">
        <x:v>15935</x:v>
      </x:c>
      <x:c r="B2028" s="5" t="d">
        <x:v>2015-08-21T00:00:00.000Z</x:v>
      </x:c>
      <x:c r="C2028" s="1" t="str">
        <x:v>Same Day</x:v>
      </x:c>
      <x:c r="D2028" s="1" t="str">
        <x:v>Europe</x:v>
      </x:c>
      <x:c r="E2028" s="1" t="str">
        <x:v>CLOSED</x:v>
      </x:c>
      <x:c r="F2028" s="1" t="str">
        <x:v>Late delivery</x:v>
      </x:c>
      <x:c r="G2028" s="6" t="n">
        <x:v>1</x:v>
      </x:c>
      <x:c r="H2028" s="6" t="n">
        <x:v>0</x:v>
      </x:c>
      <x:c r="I2028" s="6" t="n">
        <x:f>G2028-H2028</x:f>
        <x:v>1</x:v>
      </x:c>
      <x:c r="J2028" s="6" t="n">
        <x:f>IF(OR(E2028="CANCELED",E2028="SUSPECTED_FRAUD",F2028="Shipping canceled"),0,1)</x:f>
        <x:v>1</x:v>
      </x:c>
      <x:c r="K2028" s="6" t="n">
        <x:f>IF(G2028&gt;H2028,1,0)</x:f>
        <x:v>1</x:v>
      </x:c>
      <x:c r="L2028" s="6" t="n">
        <x:f>J2028*K2028</x:f>
        <x:v>1</x:v>
      </x:c>
    </x:row>
    <x:row r="2029">
      <x:c r="A2029" s="1" t="n">
        <x:v>15940</x:v>
      </x:c>
      <x:c r="B2029" s="5" t="d">
        <x:v>2015-08-21T00:00:00.000Z</x:v>
      </x:c>
      <x:c r="C2029" s="1" t="str">
        <x:v>First Class</x:v>
      </x:c>
      <x:c r="D2029" s="1" t="str">
        <x:v>Europe</x:v>
      </x:c>
      <x:c r="E2029" s="1" t="str">
        <x:v>CLOSED</x:v>
      </x:c>
      <x:c r="F2029" s="1" t="str">
        <x:v>Late delivery</x:v>
      </x:c>
      <x:c r="G2029" s="6" t="n">
        <x:v>2</x:v>
      </x:c>
      <x:c r="H2029" s="6" t="n">
        <x:v>1</x:v>
      </x:c>
      <x:c r="I2029" s="6" t="n">
        <x:f>G2029-H2029</x:f>
        <x:v>1</x:v>
      </x:c>
      <x:c r="J2029" s="6" t="n">
        <x:f>IF(OR(E2029="CANCELED",E2029="SUSPECTED_FRAUD",F2029="Shipping canceled"),0,1)</x:f>
        <x:v>1</x:v>
      </x:c>
      <x:c r="K2029" s="6" t="n">
        <x:f>IF(G2029&gt;H2029,1,0)</x:f>
        <x:v>1</x:v>
      </x:c>
      <x:c r="L2029" s="6" t="n">
        <x:f>J2029*K2029</x:f>
        <x:v>1</x:v>
      </x:c>
    </x:row>
    <x:row r="2030">
      <x:c r="A2030" s="1" t="n">
        <x:v>15941</x:v>
      </x:c>
      <x:c r="B2030" s="5" t="d">
        <x:v>2015-08-21T00:00:00.000Z</x:v>
      </x:c>
      <x:c r="C2030" s="1" t="str">
        <x:v>First Class</x:v>
      </x:c>
      <x:c r="D2030" s="1" t="str">
        <x:v>Europe</x:v>
      </x:c>
      <x:c r="E2030" s="1" t="str">
        <x:v>PAYMENT_REVIEW</x:v>
      </x:c>
      <x:c r="F2030" s="1" t="str">
        <x:v>Late delivery</x:v>
      </x:c>
      <x:c r="G2030" s="6" t="n">
        <x:v>2</x:v>
      </x:c>
      <x:c r="H2030" s="6" t="n">
        <x:v>1</x:v>
      </x:c>
      <x:c r="I2030" s="6" t="n">
        <x:f>G2030-H2030</x:f>
        <x:v>1</x:v>
      </x:c>
      <x:c r="J2030" s="6" t="n">
        <x:f>IF(OR(E2030="CANCELED",E2030="SUSPECTED_FRAUD",F2030="Shipping canceled"),0,1)</x:f>
        <x:v>1</x:v>
      </x:c>
      <x:c r="K2030" s="6" t="n">
        <x:f>IF(G2030&gt;H2030,1,0)</x:f>
        <x:v>1</x:v>
      </x:c>
      <x:c r="L2030" s="6" t="n">
        <x:f>J2030*K2030</x:f>
        <x:v>1</x:v>
      </x:c>
    </x:row>
    <x:row r="2031">
      <x:c r="A2031" s="1" t="n">
        <x:v>15979</x:v>
      </x:c>
      <x:c r="B2031" s="5" t="d">
        <x:v>2015-08-22T00:00:00.000Z</x:v>
      </x:c>
      <x:c r="C2031" s="1" t="str">
        <x:v>Standard Class</x:v>
      </x:c>
      <x:c r="D2031" s="1" t="str">
        <x:v>Europe</x:v>
      </x:c>
      <x:c r="E2031" s="1" t="str">
        <x:v>PROCESSING</x:v>
      </x:c>
      <x:c r="F2031" s="1" t="str">
        <x:v>Late delivery</x:v>
      </x:c>
      <x:c r="G2031" s="6" t="n">
        <x:v>5</x:v>
      </x:c>
      <x:c r="H2031" s="6" t="n">
        <x:v>4</x:v>
      </x:c>
      <x:c r="I2031" s="6" t="n">
        <x:f>G2031-H2031</x:f>
        <x:v>1</x:v>
      </x:c>
      <x:c r="J2031" s="6" t="n">
        <x:f>IF(OR(E2031="CANCELED",E2031="SUSPECTED_FRAUD",F2031="Shipping canceled"),0,1)</x:f>
        <x:v>1</x:v>
      </x:c>
      <x:c r="K2031" s="6" t="n">
        <x:f>IF(G2031&gt;H2031,1,0)</x:f>
        <x:v>1</x:v>
      </x:c>
      <x:c r="L2031" s="6" t="n">
        <x:f>J2031*K2031</x:f>
        <x:v>1</x:v>
      </x:c>
    </x:row>
    <x:row r="2032">
      <x:c r="A2032" s="1" t="n">
        <x:v>15980</x:v>
      </x:c>
      <x:c r="B2032" s="5" t="d">
        <x:v>2015-08-22T00:00:00.000Z</x:v>
      </x:c>
      <x:c r="C2032" s="1" t="str">
        <x:v>Standard Class</x:v>
      </x:c>
      <x:c r="D2032" s="1" t="str">
        <x:v>Europe</x:v>
      </x:c>
      <x:c r="E2032" s="1" t="str">
        <x:v>COMPLETE</x:v>
      </x:c>
      <x:c r="F2032" s="1" t="str">
        <x:v>Late delivery</x:v>
      </x:c>
      <x:c r="G2032" s="6" t="n">
        <x:v>6</x:v>
      </x:c>
      <x:c r="H2032" s="6" t="n">
        <x:v>4</x:v>
      </x:c>
      <x:c r="I2032" s="6" t="n">
        <x:f>G2032-H2032</x:f>
        <x:v>2</x:v>
      </x:c>
      <x:c r="J2032" s="6" t="n">
        <x:f>IF(OR(E2032="CANCELED",E2032="SUSPECTED_FRAUD",F2032="Shipping canceled"),0,1)</x:f>
        <x:v>1</x:v>
      </x:c>
      <x:c r="K2032" s="6" t="n">
        <x:f>IF(G2032&gt;H2032,1,0)</x:f>
        <x:v>1</x:v>
      </x:c>
      <x:c r="L2032" s="6" t="n">
        <x:f>J2032*K2032</x:f>
        <x:v>1</x:v>
      </x:c>
    </x:row>
    <x:row r="2033">
      <x:c r="A2033" s="1" t="n">
        <x:v>15995</x:v>
      </x:c>
      <x:c r="B2033" s="5" t="d">
        <x:v>2015-08-22T00:00:00.000Z</x:v>
      </x:c>
      <x:c r="C2033" s="1" t="str">
        <x:v>Standard Class</x:v>
      </x:c>
      <x:c r="D2033" s="1" t="str">
        <x:v>Europe</x:v>
      </x:c>
      <x:c r="E2033" s="1" t="str">
        <x:v>ON_HOLD</x:v>
      </x:c>
      <x:c r="F2033" s="1" t="str">
        <x:v>Late delivery</x:v>
      </x:c>
      <x:c r="G2033" s="6" t="n">
        <x:v>6</x:v>
      </x:c>
      <x:c r="H2033" s="6" t="n">
        <x:v>4</x:v>
      </x:c>
      <x:c r="I2033" s="6" t="n">
        <x:f>G2033-H2033</x:f>
        <x:v>2</x:v>
      </x:c>
      <x:c r="J2033" s="6" t="n">
        <x:f>IF(OR(E2033="CANCELED",E2033="SUSPECTED_FRAUD",F2033="Shipping canceled"),0,1)</x:f>
        <x:v>1</x:v>
      </x:c>
      <x:c r="K2033" s="6" t="n">
        <x:f>IF(G2033&gt;H2033,1,0)</x:f>
        <x:v>1</x:v>
      </x:c>
      <x:c r="L2033" s="6" t="n">
        <x:f>J2033*K2033</x:f>
        <x:v>1</x:v>
      </x:c>
    </x:row>
    <x:row r="2034">
      <x:c r="A2034" s="1" t="n">
        <x:v>16005</x:v>
      </x:c>
      <x:c r="B2034" s="5" t="d">
        <x:v>2015-08-22T00:00:00.000Z</x:v>
      </x:c>
      <x:c r="C2034" s="1" t="str">
        <x:v>Standard Class</x:v>
      </x:c>
      <x:c r="D2034" s="1" t="str">
        <x:v>Europe</x:v>
      </x:c>
      <x:c r="E2034" s="1" t="str">
        <x:v>PENDING_PAYMENT</x:v>
      </x:c>
      <x:c r="F2034" s="1" t="str">
        <x:v>Late delivery</x:v>
      </x:c>
      <x:c r="G2034" s="6" t="n">
        <x:v>6</x:v>
      </x:c>
      <x:c r="H2034" s="6" t="n">
        <x:v>4</x:v>
      </x:c>
      <x:c r="I2034" s="6" t="n">
        <x:f>G2034-H2034</x:f>
        <x:v>2</x:v>
      </x:c>
      <x:c r="J2034" s="6" t="n">
        <x:f>IF(OR(E2034="CANCELED",E2034="SUSPECTED_FRAUD",F2034="Shipping canceled"),0,1)</x:f>
        <x:v>1</x:v>
      </x:c>
      <x:c r="K2034" s="6" t="n">
        <x:f>IF(G2034&gt;H2034,1,0)</x:f>
        <x:v>1</x:v>
      </x:c>
      <x:c r="L2034" s="6" t="n">
        <x:f>J2034*K2034</x:f>
        <x:v>1</x:v>
      </x:c>
    </x:row>
    <x:row r="2035">
      <x:c r="A2035" s="1" t="n">
        <x:v>16007</x:v>
      </x:c>
      <x:c r="B2035" s="5" t="d">
        <x:v>2015-08-22T00:00:00.000Z</x:v>
      </x:c>
      <x:c r="C2035" s="1" t="str">
        <x:v>Standard Class</x:v>
      </x:c>
      <x:c r="D2035" s="1" t="str">
        <x:v>Europe</x:v>
      </x:c>
      <x:c r="E2035" s="1" t="str">
        <x:v>PROCESSING</x:v>
      </x:c>
      <x:c r="F2035" s="1" t="str">
        <x:v>Advance shipping</x:v>
      </x:c>
      <x:c r="G2035" s="6" t="n">
        <x:v>3</x:v>
      </x:c>
      <x:c r="H2035" s="6" t="n">
        <x:v>4</x:v>
      </x:c>
      <x:c r="I2035" s="6" t="n">
        <x:f>G2035-H2035</x:f>
        <x:v>-1</x:v>
      </x:c>
      <x:c r="J2035" s="6" t="n">
        <x:f>IF(OR(E2035="CANCELED",E2035="SUSPECTED_FRAUD",F2035="Shipping canceled"),0,1)</x:f>
        <x:v>1</x:v>
      </x:c>
      <x:c r="K2035" s="6" t="n">
        <x:f>IF(G2035&gt;H2035,1,0)</x:f>
        <x:v>0</x:v>
      </x:c>
      <x:c r="L2035" s="6" t="n">
        <x:f>J2035*K2035</x:f>
        <x:v>0</x:v>
      </x:c>
    </x:row>
    <x:row r="2036">
      <x:c r="A2036" s="1" t="n">
        <x:v>16013</x:v>
      </x:c>
      <x:c r="B2036" s="5" t="d">
        <x:v>2015-08-22T00:00:00.000Z</x:v>
      </x:c>
      <x:c r="C2036" s="1" t="str">
        <x:v>Standard Class</x:v>
      </x:c>
      <x:c r="D2036" s="1" t="str">
        <x:v>Europe</x:v>
      </x:c>
      <x:c r="E2036" s="1" t="str">
        <x:v>PENDING</x:v>
      </x:c>
      <x:c r="F2036" s="1" t="str">
        <x:v>Shipping on time</x:v>
      </x:c>
      <x:c r="G2036" s="6" t="n">
        <x:v>4</x:v>
      </x:c>
      <x:c r="H2036" s="6" t="n">
        <x:v>4</x:v>
      </x:c>
      <x:c r="I2036" s="6" t="n">
        <x:f>G2036-H2036</x:f>
        <x:v>0</x:v>
      </x:c>
      <x:c r="J2036" s="6" t="n">
        <x:f>IF(OR(E2036="CANCELED",E2036="SUSPECTED_FRAUD",F2036="Shipping canceled"),0,1)</x:f>
        <x:v>1</x:v>
      </x:c>
      <x:c r="K2036" s="6" t="n">
        <x:f>IF(G2036&gt;H2036,1,0)</x:f>
        <x:v>0</x:v>
      </x:c>
      <x:c r="L2036" s="6" t="n">
        <x:f>J2036*K2036</x:f>
        <x:v>0</x:v>
      </x:c>
    </x:row>
    <x:row r="2037">
      <x:c r="A2037" s="1" t="n">
        <x:v>16014</x:v>
      </x:c>
      <x:c r="B2037" s="5" t="d">
        <x:v>2015-08-22T00:00:00.000Z</x:v>
      </x:c>
      <x:c r="C2037" s="1" t="str">
        <x:v>Standard Class</x:v>
      </x:c>
      <x:c r="D2037" s="1" t="str">
        <x:v>Europe</x:v>
      </x:c>
      <x:c r="E2037" s="1" t="str">
        <x:v>ON_HOLD</x:v>
      </x:c>
      <x:c r="F2037" s="1" t="str">
        <x:v>Late delivery</x:v>
      </x:c>
      <x:c r="G2037" s="6" t="n">
        <x:v>5</x:v>
      </x:c>
      <x:c r="H2037" s="6" t="n">
        <x:v>4</x:v>
      </x:c>
      <x:c r="I2037" s="6" t="n">
        <x:f>G2037-H2037</x:f>
        <x:v>1</x:v>
      </x:c>
      <x:c r="J2037" s="6" t="n">
        <x:f>IF(OR(E2037="CANCELED",E2037="SUSPECTED_FRAUD",F2037="Shipping canceled"),0,1)</x:f>
        <x:v>1</x:v>
      </x:c>
      <x:c r="K2037" s="6" t="n">
        <x:f>IF(G2037&gt;H2037,1,0)</x:f>
        <x:v>1</x:v>
      </x:c>
      <x:c r="L2037" s="6" t="n">
        <x:f>J2037*K2037</x:f>
        <x:v>1</x:v>
      </x:c>
    </x:row>
    <x:row r="2038">
      <x:c r="A2038" s="1" t="n">
        <x:v>16029</x:v>
      </x:c>
      <x:c r="B2038" s="5" t="d">
        <x:v>2015-08-22T00:00:00.000Z</x:v>
      </x:c>
      <x:c r="C2038" s="1" t="str">
        <x:v>Standard Class</x:v>
      </x:c>
      <x:c r="D2038" s="1" t="str">
        <x:v>Europe</x:v>
      </x:c>
      <x:c r="E2038" s="1" t="str">
        <x:v>CLOSED</x:v>
      </x:c>
      <x:c r="F2038" s="1" t="str">
        <x:v>Late delivery</x:v>
      </x:c>
      <x:c r="G2038" s="6" t="n">
        <x:v>5</x:v>
      </x:c>
      <x:c r="H2038" s="6" t="n">
        <x:v>4</x:v>
      </x:c>
      <x:c r="I2038" s="6" t="n">
        <x:f>G2038-H2038</x:f>
        <x:v>1</x:v>
      </x:c>
      <x:c r="J2038" s="6" t="n">
        <x:f>IF(OR(E2038="CANCELED",E2038="SUSPECTED_FRAUD",F2038="Shipping canceled"),0,1)</x:f>
        <x:v>1</x:v>
      </x:c>
      <x:c r="K2038" s="6" t="n">
        <x:f>IF(G2038&gt;H2038,1,0)</x:f>
        <x:v>1</x:v>
      </x:c>
      <x:c r="L2038" s="6" t="n">
        <x:f>J2038*K2038</x:f>
        <x:v>1</x:v>
      </x:c>
    </x:row>
    <x:row r="2039">
      <x:c r="A2039" s="1" t="n">
        <x:v>16042</x:v>
      </x:c>
      <x:c r="B2039" s="5" t="d">
        <x:v>2015-08-23T00:00:00.000Z</x:v>
      </x:c>
      <x:c r="C2039" s="1" t="str">
        <x:v>Standard Class</x:v>
      </x:c>
      <x:c r="D2039" s="1" t="str">
        <x:v>Europe</x:v>
      </x:c>
      <x:c r="E2039" s="1" t="str">
        <x:v>COMPLETE</x:v>
      </x:c>
      <x:c r="F2039" s="1" t="str">
        <x:v>Advance shipping</x:v>
      </x:c>
      <x:c r="G2039" s="6" t="n">
        <x:v>3</x:v>
      </x:c>
      <x:c r="H2039" s="6" t="n">
        <x:v>4</x:v>
      </x:c>
      <x:c r="I2039" s="6" t="n">
        <x:f>G2039-H2039</x:f>
        <x:v>-1</x:v>
      </x:c>
      <x:c r="J2039" s="6" t="n">
        <x:f>IF(OR(E2039="CANCELED",E2039="SUSPECTED_FRAUD",F2039="Shipping canceled"),0,1)</x:f>
        <x:v>1</x:v>
      </x:c>
      <x:c r="K2039" s="6" t="n">
        <x:f>IF(G2039&gt;H2039,1,0)</x:f>
        <x:v>0</x:v>
      </x:c>
      <x:c r="L2039" s="6" t="n">
        <x:f>J2039*K2039</x:f>
        <x:v>0</x:v>
      </x:c>
    </x:row>
    <x:row r="2040">
      <x:c r="A2040" s="1" t="n">
        <x:v>16045</x:v>
      </x:c>
      <x:c r="B2040" s="5" t="d">
        <x:v>2015-08-23T00:00:00.000Z</x:v>
      </x:c>
      <x:c r="C2040" s="1" t="str">
        <x:v>Standard Class</x:v>
      </x:c>
      <x:c r="D2040" s="1" t="str">
        <x:v>Europe</x:v>
      </x:c>
      <x:c r="E2040" s="1" t="str">
        <x:v>PENDING_PAYMENT</x:v>
      </x:c>
      <x:c r="F2040" s="1" t="str">
        <x:v>Late delivery</x:v>
      </x:c>
      <x:c r="G2040" s="6" t="n">
        <x:v>6</x:v>
      </x:c>
      <x:c r="H2040" s="6" t="n">
        <x:v>4</x:v>
      </x:c>
      <x:c r="I2040" s="6" t="n">
        <x:f>G2040-H2040</x:f>
        <x:v>2</x:v>
      </x:c>
      <x:c r="J2040" s="6" t="n">
        <x:f>IF(OR(E2040="CANCELED",E2040="SUSPECTED_FRAUD",F2040="Shipping canceled"),0,1)</x:f>
        <x:v>1</x:v>
      </x:c>
      <x:c r="K2040" s="6" t="n">
        <x:f>IF(G2040&gt;H2040,1,0)</x:f>
        <x:v>1</x:v>
      </x:c>
      <x:c r="L2040" s="6" t="n">
        <x:f>J2040*K2040</x:f>
        <x:v>1</x:v>
      </x:c>
    </x:row>
    <x:row r="2041">
      <x:c r="A2041" s="1" t="n">
        <x:v>16047</x:v>
      </x:c>
      <x:c r="B2041" s="5" t="d">
        <x:v>2015-08-23T00:00:00.000Z</x:v>
      </x:c>
      <x:c r="C2041" s="1" t="str">
        <x:v>Standard Class</x:v>
      </x:c>
      <x:c r="D2041" s="1" t="str">
        <x:v>Europe</x:v>
      </x:c>
      <x:c r="E2041" s="1" t="str">
        <x:v>PROCESSING</x:v>
      </x:c>
      <x:c r="F2041" s="1" t="str">
        <x:v>Advance shipping</x:v>
      </x:c>
      <x:c r="G2041" s="6" t="n">
        <x:v>3</x:v>
      </x:c>
      <x:c r="H2041" s="6" t="n">
        <x:v>4</x:v>
      </x:c>
      <x:c r="I2041" s="6" t="n">
        <x:f>G2041-H2041</x:f>
        <x:v>-1</x:v>
      </x:c>
      <x:c r="J2041" s="6" t="n">
        <x:f>IF(OR(E2041="CANCELED",E2041="SUSPECTED_FRAUD",F2041="Shipping canceled"),0,1)</x:f>
        <x:v>1</x:v>
      </x:c>
      <x:c r="K2041" s="6" t="n">
        <x:f>IF(G2041&gt;H2041,1,0)</x:f>
        <x:v>0</x:v>
      </x:c>
      <x:c r="L2041" s="6" t="n">
        <x:f>J2041*K2041</x:f>
        <x:v>0</x:v>
      </x:c>
    </x:row>
    <x:row r="2042">
      <x:c r="A2042" s="1" t="n">
        <x:v>16053</x:v>
      </x:c>
      <x:c r="B2042" s="5" t="d">
        <x:v>2015-08-23T00:00:00.000Z</x:v>
      </x:c>
      <x:c r="C2042" s="1" t="str">
        <x:v>Standard Class</x:v>
      </x:c>
      <x:c r="D2042" s="1" t="str">
        <x:v>Europe</x:v>
      </x:c>
      <x:c r="E2042" s="1" t="str">
        <x:v>COMPLETE</x:v>
      </x:c>
      <x:c r="F2042" s="1" t="str">
        <x:v>Shipping on time</x:v>
      </x:c>
      <x:c r="G2042" s="6" t="n">
        <x:v>4</x:v>
      </x:c>
      <x:c r="H2042" s="6" t="n">
        <x:v>4</x:v>
      </x:c>
      <x:c r="I2042" s="6" t="n">
        <x:f>G2042-H2042</x:f>
        <x:v>0</x:v>
      </x:c>
      <x:c r="J2042" s="6" t="n">
        <x:f>IF(OR(E2042="CANCELED",E2042="SUSPECTED_FRAUD",F2042="Shipping canceled"),0,1)</x:f>
        <x:v>1</x:v>
      </x:c>
      <x:c r="K2042" s="6" t="n">
        <x:f>IF(G2042&gt;H2042,1,0)</x:f>
        <x:v>0</x:v>
      </x:c>
      <x:c r="L2042" s="6" t="n">
        <x:f>J2042*K2042</x:f>
        <x:v>0</x:v>
      </x:c>
    </x:row>
    <x:row r="2043">
      <x:c r="A2043" s="1" t="n">
        <x:v>16068</x:v>
      </x:c>
      <x:c r="B2043" s="5" t="d">
        <x:v>2015-08-23T00:00:00.000Z</x:v>
      </x:c>
      <x:c r="C2043" s="1" t="str">
        <x:v>Standard Class</x:v>
      </x:c>
      <x:c r="D2043" s="1" t="str">
        <x:v>Europe</x:v>
      </x:c>
      <x:c r="E2043" s="1" t="str">
        <x:v>COMPLETE</x:v>
      </x:c>
      <x:c r="F2043" s="1" t="str">
        <x:v>Shipping on time</x:v>
      </x:c>
      <x:c r="G2043" s="6" t="n">
        <x:v>4</x:v>
      </x:c>
      <x:c r="H2043" s="6" t="n">
        <x:v>4</x:v>
      </x:c>
      <x:c r="I2043" s="6" t="n">
        <x:f>G2043-H2043</x:f>
        <x:v>0</x:v>
      </x:c>
      <x:c r="J2043" s="6" t="n">
        <x:f>IF(OR(E2043="CANCELED",E2043="SUSPECTED_FRAUD",F2043="Shipping canceled"),0,1)</x:f>
        <x:v>1</x:v>
      </x:c>
      <x:c r="K2043" s="6" t="n">
        <x:f>IF(G2043&gt;H2043,1,0)</x:f>
        <x:v>0</x:v>
      </x:c>
      <x:c r="L2043" s="6" t="n">
        <x:f>J2043*K2043</x:f>
        <x:v>0</x:v>
      </x:c>
    </x:row>
    <x:row r="2044">
      <x:c r="A2044" s="1" t="n">
        <x:v>16075</x:v>
      </x:c>
      <x:c r="B2044" s="5" t="d">
        <x:v>2015-08-23T00:00:00.000Z</x:v>
      </x:c>
      <x:c r="C2044" s="1" t="str">
        <x:v>Standard Class</x:v>
      </x:c>
      <x:c r="D2044" s="1" t="str">
        <x:v>Europe</x:v>
      </x:c>
      <x:c r="E2044" s="1" t="str">
        <x:v>SUSPECTED_FRAUD</x:v>
      </x:c>
      <x:c r="F2044" s="1" t="str">
        <x:v>Shipping canceled</x:v>
      </x:c>
      <x:c r="G2044" s="6" t="n">
        <x:v>6</x:v>
      </x:c>
      <x:c r="H2044" s="6" t="n">
        <x:v>4</x:v>
      </x:c>
      <x:c r="I2044" s="6" t="n">
        <x:f>G2044-H2044</x:f>
        <x:v>2</x:v>
      </x:c>
      <x:c r="J2044" s="6" t="n">
        <x:f>IF(OR(E2044="CANCELED",E2044="SUSPECTED_FRAUD",F2044="Shipping canceled"),0,1)</x:f>
        <x:v>0</x:v>
      </x:c>
      <x:c r="K2044" s="6" t="n">
        <x:f>IF(G2044&gt;H2044,1,0)</x:f>
        <x:v>1</x:v>
      </x:c>
      <x:c r="L2044" s="6" t="n">
        <x:f>J2044*K2044</x:f>
        <x:v>0</x:v>
      </x:c>
    </x:row>
    <x:row r="2045">
      <x:c r="A2045" s="1" t="n">
        <x:v>16080</x:v>
      </x:c>
      <x:c r="B2045" s="5" t="d">
        <x:v>2015-08-23T00:00:00.000Z</x:v>
      </x:c>
      <x:c r="C2045" s="1" t="str">
        <x:v>Standard Class</x:v>
      </x:c>
      <x:c r="D2045" s="1" t="str">
        <x:v>Europe</x:v>
      </x:c>
      <x:c r="E2045" s="1" t="str">
        <x:v>COMPLETE</x:v>
      </x:c>
      <x:c r="F2045" s="1" t="str">
        <x:v>Late delivery</x:v>
      </x:c>
      <x:c r="G2045" s="6" t="n">
        <x:v>6</x:v>
      </x:c>
      <x:c r="H2045" s="6" t="n">
        <x:v>4</x:v>
      </x:c>
      <x:c r="I2045" s="6" t="n">
        <x:f>G2045-H2045</x:f>
        <x:v>2</x:v>
      </x:c>
      <x:c r="J2045" s="6" t="n">
        <x:f>IF(OR(E2045="CANCELED",E2045="SUSPECTED_FRAUD",F2045="Shipping canceled"),0,1)</x:f>
        <x:v>1</x:v>
      </x:c>
      <x:c r="K2045" s="6" t="n">
        <x:f>IF(G2045&gt;H2045,1,0)</x:f>
        <x:v>1</x:v>
      </x:c>
      <x:c r="L2045" s="6" t="n">
        <x:f>J2045*K2045</x:f>
        <x:v>1</x:v>
      </x:c>
    </x:row>
    <x:row r="2046">
      <x:c r="A2046" s="1" t="n">
        <x:v>16081</x:v>
      </x:c>
      <x:c r="B2046" s="5" t="d">
        <x:v>2015-08-23T00:00:00.000Z</x:v>
      </x:c>
      <x:c r="C2046" s="1" t="str">
        <x:v>Standard Class</x:v>
      </x:c>
      <x:c r="D2046" s="1" t="str">
        <x:v>Europe</x:v>
      </x:c>
      <x:c r="E2046" s="1" t="str">
        <x:v>PENDING_PAYMENT</x:v>
      </x:c>
      <x:c r="F2046" s="1" t="str">
        <x:v>Advance shipping</x:v>
      </x:c>
      <x:c r="G2046" s="6" t="n">
        <x:v>2</x:v>
      </x:c>
      <x:c r="H2046" s="6" t="n">
        <x:v>4</x:v>
      </x:c>
      <x:c r="I2046" s="6" t="n">
        <x:f>G2046-H2046</x:f>
        <x:v>-2</x:v>
      </x:c>
      <x:c r="J2046" s="6" t="n">
        <x:f>IF(OR(E2046="CANCELED",E2046="SUSPECTED_FRAUD",F2046="Shipping canceled"),0,1)</x:f>
        <x:v>1</x:v>
      </x:c>
      <x:c r="K2046" s="6" t="n">
        <x:f>IF(G2046&gt;H2046,1,0)</x:f>
        <x:v>0</x:v>
      </x:c>
      <x:c r="L2046" s="6" t="n">
        <x:f>J2046*K2046</x:f>
        <x:v>0</x:v>
      </x:c>
    </x:row>
    <x:row r="2047">
      <x:c r="A2047" s="1" t="n">
        <x:v>16083</x:v>
      </x:c>
      <x:c r="B2047" s="5" t="d">
        <x:v>2015-08-23T00:00:00.000Z</x:v>
      </x:c>
      <x:c r="C2047" s="1" t="str">
        <x:v>Standard Class</x:v>
      </x:c>
      <x:c r="D2047" s="1" t="str">
        <x:v>Europe</x:v>
      </x:c>
      <x:c r="E2047" s="1" t="str">
        <x:v>COMPLETE</x:v>
      </x:c>
      <x:c r="F2047" s="1" t="str">
        <x:v>Shipping on time</x:v>
      </x:c>
      <x:c r="G2047" s="6" t="n">
        <x:v>4</x:v>
      </x:c>
      <x:c r="H2047" s="6" t="n">
        <x:v>4</x:v>
      </x:c>
      <x:c r="I2047" s="6" t="n">
        <x:f>G2047-H2047</x:f>
        <x:v>0</x:v>
      </x:c>
      <x:c r="J2047" s="6" t="n">
        <x:f>IF(OR(E2047="CANCELED",E2047="SUSPECTED_FRAUD",F2047="Shipping canceled"),0,1)</x:f>
        <x:v>1</x:v>
      </x:c>
      <x:c r="K2047" s="6" t="n">
        <x:f>IF(G2047&gt;H2047,1,0)</x:f>
        <x:v>0</x:v>
      </x:c>
      <x:c r="L2047" s="6" t="n">
        <x:f>J2047*K2047</x:f>
        <x:v>0</x:v>
      </x:c>
    </x:row>
    <x:row r="2048">
      <x:c r="A2048" s="1" t="n">
        <x:v>16087</x:v>
      </x:c>
      <x:c r="B2048" s="5" t="d">
        <x:v>2015-08-23T00:00:00.000Z</x:v>
      </x:c>
      <x:c r="C2048" s="1" t="str">
        <x:v>First Class</x:v>
      </x:c>
      <x:c r="D2048" s="1" t="str">
        <x:v>Europe</x:v>
      </x:c>
      <x:c r="E2048" s="1" t="str">
        <x:v>CLOSED</x:v>
      </x:c>
      <x:c r="F2048" s="1" t="str">
        <x:v>Late delivery</x:v>
      </x:c>
      <x:c r="G2048" s="6" t="n">
        <x:v>2</x:v>
      </x:c>
      <x:c r="H2048" s="6" t="n">
        <x:v>1</x:v>
      </x:c>
      <x:c r="I2048" s="6" t="n">
        <x:f>G2048-H2048</x:f>
        <x:v>1</x:v>
      </x:c>
      <x:c r="J2048" s="6" t="n">
        <x:f>IF(OR(E2048="CANCELED",E2048="SUSPECTED_FRAUD",F2048="Shipping canceled"),0,1)</x:f>
        <x:v>1</x:v>
      </x:c>
      <x:c r="K2048" s="6" t="n">
        <x:f>IF(G2048&gt;H2048,1,0)</x:f>
        <x:v>1</x:v>
      </x:c>
      <x:c r="L2048" s="6" t="n">
        <x:f>J2048*K2048</x:f>
        <x:v>1</x:v>
      </x:c>
    </x:row>
    <x:row r="2049">
      <x:c r="A2049" s="1" t="n">
        <x:v>16093</x:v>
      </x:c>
      <x:c r="B2049" s="5" t="d">
        <x:v>2015-08-23T00:00:00.000Z</x:v>
      </x:c>
      <x:c r="C2049" s="1" t="str">
        <x:v>Standard Class</x:v>
      </x:c>
      <x:c r="D2049" s="1" t="str">
        <x:v>Europe</x:v>
      </x:c>
      <x:c r="E2049" s="1" t="str">
        <x:v>COMPLETE</x:v>
      </x:c>
      <x:c r="F2049" s="1" t="str">
        <x:v>Shipping on time</x:v>
      </x:c>
      <x:c r="G2049" s="6" t="n">
        <x:v>4</x:v>
      </x:c>
      <x:c r="H2049" s="6" t="n">
        <x:v>4</x:v>
      </x:c>
      <x:c r="I2049" s="6" t="n">
        <x:f>G2049-H2049</x:f>
        <x:v>0</x:v>
      </x:c>
      <x:c r="J2049" s="6" t="n">
        <x:f>IF(OR(E2049="CANCELED",E2049="SUSPECTED_FRAUD",F2049="Shipping canceled"),0,1)</x:f>
        <x:v>1</x:v>
      </x:c>
      <x:c r="K2049" s="6" t="n">
        <x:f>IF(G2049&gt;H2049,1,0)</x:f>
        <x:v>0</x:v>
      </x:c>
      <x:c r="L2049" s="6" t="n">
        <x:f>J2049*K2049</x:f>
        <x:v>0</x:v>
      </x:c>
    </x:row>
    <x:row r="2050">
      <x:c r="A2050" s="1" t="n">
        <x:v>16094</x:v>
      </x:c>
      <x:c r="B2050" s="5" t="d">
        <x:v>2015-08-23T00:00:00.000Z</x:v>
      </x:c>
      <x:c r="C2050" s="1" t="str">
        <x:v>Standard Class</x:v>
      </x:c>
      <x:c r="D2050" s="1" t="str">
        <x:v>Europe</x:v>
      </x:c>
      <x:c r="E2050" s="1" t="str">
        <x:v>PENDING_PAYMENT</x:v>
      </x:c>
      <x:c r="F2050" s="1" t="str">
        <x:v>Late delivery</x:v>
      </x:c>
      <x:c r="G2050" s="6" t="n">
        <x:v>5</x:v>
      </x:c>
      <x:c r="H2050" s="6" t="n">
        <x:v>4</x:v>
      </x:c>
      <x:c r="I2050" s="6" t="n">
        <x:f>G2050-H2050</x:f>
        <x:v>1</x:v>
      </x:c>
      <x:c r="J2050" s="6" t="n">
        <x:f>IF(OR(E2050="CANCELED",E2050="SUSPECTED_FRAUD",F2050="Shipping canceled"),0,1)</x:f>
        <x:v>1</x:v>
      </x:c>
      <x:c r="K2050" s="6" t="n">
        <x:f>IF(G2050&gt;H2050,1,0)</x:f>
        <x:v>1</x:v>
      </x:c>
      <x:c r="L2050" s="6" t="n">
        <x:f>J2050*K2050</x:f>
        <x:v>1</x:v>
      </x:c>
    </x:row>
    <x:row r="2051">
      <x:c r="A2051" s="1" t="n">
        <x:v>16098</x:v>
      </x:c>
      <x:c r="B2051" s="5" t="d">
        <x:v>2015-08-23T00:00:00.000Z</x:v>
      </x:c>
      <x:c r="C2051" s="1" t="str">
        <x:v>Standard Class</x:v>
      </x:c>
      <x:c r="D2051" s="1" t="str">
        <x:v>Europe</x:v>
      </x:c>
      <x:c r="E2051" s="1" t="str">
        <x:v>COMPLETE</x:v>
      </x:c>
      <x:c r="F2051" s="1" t="str">
        <x:v>Shipping on time</x:v>
      </x:c>
      <x:c r="G2051" s="6" t="n">
        <x:v>4</x:v>
      </x:c>
      <x:c r="H2051" s="6" t="n">
        <x:v>4</x:v>
      </x:c>
      <x:c r="I2051" s="6" t="n">
        <x:f>G2051-H2051</x:f>
        <x:v>0</x:v>
      </x:c>
      <x:c r="J2051" s="6" t="n">
        <x:f>IF(OR(E2051="CANCELED",E2051="SUSPECTED_FRAUD",F2051="Shipping canceled"),0,1)</x:f>
        <x:v>1</x:v>
      </x:c>
      <x:c r="K2051" s="6" t="n">
        <x:f>IF(G2051&gt;H2051,1,0)</x:f>
        <x:v>0</x:v>
      </x:c>
      <x:c r="L2051" s="6" t="n">
        <x:f>J2051*K2051</x:f>
        <x:v>0</x:v>
      </x:c>
    </x:row>
    <x:row r="2052">
      <x:c r="A2052" s="1" t="n">
        <x:v>16107</x:v>
      </x:c>
      <x:c r="B2052" s="5" t="d">
        <x:v>2015-08-24T00:00:00.000Z</x:v>
      </x:c>
      <x:c r="C2052" s="1" t="str">
        <x:v>Standard Class</x:v>
      </x:c>
      <x:c r="D2052" s="1" t="str">
        <x:v>Europe</x:v>
      </x:c>
      <x:c r="E2052" s="1" t="str">
        <x:v>PROCESSING</x:v>
      </x:c>
      <x:c r="F2052" s="1" t="str">
        <x:v>Advance shipping</x:v>
      </x:c>
      <x:c r="G2052" s="6" t="n">
        <x:v>3</x:v>
      </x:c>
      <x:c r="H2052" s="6" t="n">
        <x:v>4</x:v>
      </x:c>
      <x:c r="I2052" s="6" t="n">
        <x:f>G2052-H2052</x:f>
        <x:v>-1</x:v>
      </x:c>
      <x:c r="J2052" s="6" t="n">
        <x:f>IF(OR(E2052="CANCELED",E2052="SUSPECTED_FRAUD",F2052="Shipping canceled"),0,1)</x:f>
        <x:v>1</x:v>
      </x:c>
      <x:c r="K2052" s="6" t="n">
        <x:f>IF(G2052&gt;H2052,1,0)</x:f>
        <x:v>0</x:v>
      </x:c>
      <x:c r="L2052" s="6" t="n">
        <x:f>J2052*K2052</x:f>
        <x:v>0</x:v>
      </x:c>
    </x:row>
    <x:row r="2053">
      <x:c r="A2053" s="1" t="n">
        <x:v>16111</x:v>
      </x:c>
      <x:c r="B2053" s="5" t="d">
        <x:v>2015-08-24T00:00:00.000Z</x:v>
      </x:c>
      <x:c r="C2053" s="1" t="str">
        <x:v>Standard Class</x:v>
      </x:c>
      <x:c r="D2053" s="1" t="str">
        <x:v>Europe</x:v>
      </x:c>
      <x:c r="E2053" s="1" t="str">
        <x:v>PENDING_PAYMENT</x:v>
      </x:c>
      <x:c r="F2053" s="1" t="str">
        <x:v>Advance shipping</x:v>
      </x:c>
      <x:c r="G2053" s="6" t="n">
        <x:v>2</x:v>
      </x:c>
      <x:c r="H2053" s="6" t="n">
        <x:v>4</x:v>
      </x:c>
      <x:c r="I2053" s="6" t="n">
        <x:f>G2053-H2053</x:f>
        <x:v>-2</x:v>
      </x:c>
      <x:c r="J2053" s="6" t="n">
        <x:f>IF(OR(E2053="CANCELED",E2053="SUSPECTED_FRAUD",F2053="Shipping canceled"),0,1)</x:f>
        <x:v>1</x:v>
      </x:c>
      <x:c r="K2053" s="6" t="n">
        <x:f>IF(G2053&gt;H2053,1,0)</x:f>
        <x:v>0</x:v>
      </x:c>
      <x:c r="L2053" s="6" t="n">
        <x:f>J2053*K2053</x:f>
        <x:v>0</x:v>
      </x:c>
    </x:row>
    <x:row r="2054">
      <x:c r="A2054" s="1" t="n">
        <x:v>16125</x:v>
      </x:c>
      <x:c r="B2054" s="5" t="d">
        <x:v>2015-08-24T00:00:00.000Z</x:v>
      </x:c>
      <x:c r="C2054" s="1" t="str">
        <x:v>Standard Class</x:v>
      </x:c>
      <x:c r="D2054" s="1" t="str">
        <x:v>Europe</x:v>
      </x:c>
      <x:c r="E2054" s="1" t="str">
        <x:v>CLOSED</x:v>
      </x:c>
      <x:c r="F2054" s="1" t="str">
        <x:v>Late delivery</x:v>
      </x:c>
      <x:c r="G2054" s="6" t="n">
        <x:v>6</x:v>
      </x:c>
      <x:c r="H2054" s="6" t="n">
        <x:v>4</x:v>
      </x:c>
      <x:c r="I2054" s="6" t="n">
        <x:f>G2054-H2054</x:f>
        <x:v>2</x:v>
      </x:c>
      <x:c r="J2054" s="6" t="n">
        <x:f>IF(OR(E2054="CANCELED",E2054="SUSPECTED_FRAUD",F2054="Shipping canceled"),0,1)</x:f>
        <x:v>1</x:v>
      </x:c>
      <x:c r="K2054" s="6" t="n">
        <x:f>IF(G2054&gt;H2054,1,0)</x:f>
        <x:v>1</x:v>
      </x:c>
      <x:c r="L2054" s="6" t="n">
        <x:f>J2054*K2054</x:f>
        <x:v>1</x:v>
      </x:c>
    </x:row>
    <x:row r="2055">
      <x:c r="A2055" s="1" t="n">
        <x:v>16155</x:v>
      </x:c>
      <x:c r="B2055" s="5" t="d">
        <x:v>2015-08-24T00:00:00.000Z</x:v>
      </x:c>
      <x:c r="C2055" s="1" t="str">
        <x:v>Standard Class</x:v>
      </x:c>
      <x:c r="D2055" s="1" t="str">
        <x:v>Europe</x:v>
      </x:c>
      <x:c r="E2055" s="1" t="str">
        <x:v>COMPLETE</x:v>
      </x:c>
      <x:c r="F2055" s="1" t="str">
        <x:v>Late delivery</x:v>
      </x:c>
      <x:c r="G2055" s="6" t="n">
        <x:v>6</x:v>
      </x:c>
      <x:c r="H2055" s="6" t="n">
        <x:v>4</x:v>
      </x:c>
      <x:c r="I2055" s="6" t="n">
        <x:f>G2055-H2055</x:f>
        <x:v>2</x:v>
      </x:c>
      <x:c r="J2055" s="6" t="n">
        <x:f>IF(OR(E2055="CANCELED",E2055="SUSPECTED_FRAUD",F2055="Shipping canceled"),0,1)</x:f>
        <x:v>1</x:v>
      </x:c>
      <x:c r="K2055" s="6" t="n">
        <x:f>IF(G2055&gt;H2055,1,0)</x:f>
        <x:v>1</x:v>
      </x:c>
      <x:c r="L2055" s="6" t="n">
        <x:f>J2055*K2055</x:f>
        <x:v>1</x:v>
      </x:c>
    </x:row>
    <x:row r="2056">
      <x:c r="A2056" s="1" t="n">
        <x:v>16164</x:v>
      </x:c>
      <x:c r="B2056" s="5" t="d">
        <x:v>2015-08-24T00:00:00.000Z</x:v>
      </x:c>
      <x:c r="C2056" s="1" t="str">
        <x:v>Standard Class</x:v>
      </x:c>
      <x:c r="D2056" s="1" t="str">
        <x:v>Europe</x:v>
      </x:c>
      <x:c r="E2056" s="1" t="str">
        <x:v>PROCESSING</x:v>
      </x:c>
      <x:c r="F2056" s="1" t="str">
        <x:v>Late delivery</x:v>
      </x:c>
      <x:c r="G2056" s="6" t="n">
        <x:v>5</x:v>
      </x:c>
      <x:c r="H2056" s="6" t="n">
        <x:v>4</x:v>
      </x:c>
      <x:c r="I2056" s="6" t="n">
        <x:f>G2056-H2056</x:f>
        <x:v>1</x:v>
      </x:c>
      <x:c r="J2056" s="6" t="n">
        <x:f>IF(OR(E2056="CANCELED",E2056="SUSPECTED_FRAUD",F2056="Shipping canceled"),0,1)</x:f>
        <x:v>1</x:v>
      </x:c>
      <x:c r="K2056" s="6" t="n">
        <x:f>IF(G2056&gt;H2056,1,0)</x:f>
        <x:v>1</x:v>
      </x:c>
      <x:c r="L2056" s="6" t="n">
        <x:f>J2056*K2056</x:f>
        <x:v>1</x:v>
      </x:c>
    </x:row>
    <x:row r="2057">
      <x:c r="A2057" s="1" t="n">
        <x:v>16183</x:v>
      </x:c>
      <x:c r="B2057" s="5" t="d">
        <x:v>2015-08-25T00:00:00.000Z</x:v>
      </x:c>
      <x:c r="C2057" s="1" t="str">
        <x:v>Standard Class</x:v>
      </x:c>
      <x:c r="D2057" s="1" t="str">
        <x:v>Europe</x:v>
      </x:c>
      <x:c r="E2057" s="1" t="str">
        <x:v>PENDING_PAYMENT</x:v>
      </x:c>
      <x:c r="F2057" s="1" t="str">
        <x:v>Shipping on time</x:v>
      </x:c>
      <x:c r="G2057" s="6" t="n">
        <x:v>4</x:v>
      </x:c>
      <x:c r="H2057" s="6" t="n">
        <x:v>4</x:v>
      </x:c>
      <x:c r="I2057" s="6" t="n">
        <x:f>G2057-H2057</x:f>
        <x:v>0</x:v>
      </x:c>
      <x:c r="J2057" s="6" t="n">
        <x:f>IF(OR(E2057="CANCELED",E2057="SUSPECTED_FRAUD",F2057="Shipping canceled"),0,1)</x:f>
        <x:v>1</x:v>
      </x:c>
      <x:c r="K2057" s="6" t="n">
        <x:f>IF(G2057&gt;H2057,1,0)</x:f>
        <x:v>0</x:v>
      </x:c>
      <x:c r="L2057" s="6" t="n">
        <x:f>J2057*K2057</x:f>
        <x:v>0</x:v>
      </x:c>
    </x:row>
    <x:row r="2058">
      <x:c r="A2058" s="1" t="n">
        <x:v>16192</x:v>
      </x:c>
      <x:c r="B2058" s="5" t="d">
        <x:v>2015-08-25T00:00:00.000Z</x:v>
      </x:c>
      <x:c r="C2058" s="1" t="str">
        <x:v>Standard Class</x:v>
      </x:c>
      <x:c r="D2058" s="1" t="str">
        <x:v>Europe</x:v>
      </x:c>
      <x:c r="E2058" s="1" t="str">
        <x:v>COMPLETE</x:v>
      </x:c>
      <x:c r="F2058" s="1" t="str">
        <x:v>Advance shipping</x:v>
      </x:c>
      <x:c r="G2058" s="6" t="n">
        <x:v>3</x:v>
      </x:c>
      <x:c r="H2058" s="6" t="n">
        <x:v>4</x:v>
      </x:c>
      <x:c r="I2058" s="6" t="n">
        <x:f>G2058-H2058</x:f>
        <x:v>-1</x:v>
      </x:c>
      <x:c r="J2058" s="6" t="n">
        <x:f>IF(OR(E2058="CANCELED",E2058="SUSPECTED_FRAUD",F2058="Shipping canceled"),0,1)</x:f>
        <x:v>1</x:v>
      </x:c>
      <x:c r="K2058" s="6" t="n">
        <x:f>IF(G2058&gt;H2058,1,0)</x:f>
        <x:v>0</x:v>
      </x:c>
      <x:c r="L2058" s="6" t="n">
        <x:f>J2058*K2058</x:f>
        <x:v>0</x:v>
      </x:c>
    </x:row>
    <x:row r="2059">
      <x:c r="A2059" s="1" t="n">
        <x:v>16205</x:v>
      </x:c>
      <x:c r="B2059" s="5" t="d">
        <x:v>2015-08-25T00:00:00.000Z</x:v>
      </x:c>
      <x:c r="C2059" s="1" t="str">
        <x:v>Standard Class</x:v>
      </x:c>
      <x:c r="D2059" s="1" t="str">
        <x:v>Europe</x:v>
      </x:c>
      <x:c r="E2059" s="1" t="str">
        <x:v>COMPLETE</x:v>
      </x:c>
      <x:c r="F2059" s="1" t="str">
        <x:v>Late delivery</x:v>
      </x:c>
      <x:c r="G2059" s="6" t="n">
        <x:v>6</x:v>
      </x:c>
      <x:c r="H2059" s="6" t="n">
        <x:v>4</x:v>
      </x:c>
      <x:c r="I2059" s="6" t="n">
        <x:f>G2059-H2059</x:f>
        <x:v>2</x:v>
      </x:c>
      <x:c r="J2059" s="6" t="n">
        <x:f>IF(OR(E2059="CANCELED",E2059="SUSPECTED_FRAUD",F2059="Shipping canceled"),0,1)</x:f>
        <x:v>1</x:v>
      </x:c>
      <x:c r="K2059" s="6" t="n">
        <x:f>IF(G2059&gt;H2059,1,0)</x:f>
        <x:v>1</x:v>
      </x:c>
      <x:c r="L2059" s="6" t="n">
        <x:f>J2059*K2059</x:f>
        <x:v>1</x:v>
      </x:c>
    </x:row>
    <x:row r="2060">
      <x:c r="A2060" s="1" t="n">
        <x:v>16214</x:v>
      </x:c>
      <x:c r="B2060" s="5" t="d">
        <x:v>2015-08-25T00:00:00.000Z</x:v>
      </x:c>
      <x:c r="C2060" s="1" t="str">
        <x:v>Standard Class</x:v>
      </x:c>
      <x:c r="D2060" s="1" t="str">
        <x:v>Europe</x:v>
      </x:c>
      <x:c r="E2060" s="1" t="str">
        <x:v>COMPLETE</x:v>
      </x:c>
      <x:c r="F2060" s="1" t="str">
        <x:v>Late delivery</x:v>
      </x:c>
      <x:c r="G2060" s="6" t="n">
        <x:v>5</x:v>
      </x:c>
      <x:c r="H2060" s="6" t="n">
        <x:v>4</x:v>
      </x:c>
      <x:c r="I2060" s="6" t="n">
        <x:f>G2060-H2060</x:f>
        <x:v>1</x:v>
      </x:c>
      <x:c r="J2060" s="6" t="n">
        <x:f>IF(OR(E2060="CANCELED",E2060="SUSPECTED_FRAUD",F2060="Shipping canceled"),0,1)</x:f>
        <x:v>1</x:v>
      </x:c>
      <x:c r="K2060" s="6" t="n">
        <x:f>IF(G2060&gt;H2060,1,0)</x:f>
        <x:v>1</x:v>
      </x:c>
      <x:c r="L2060" s="6" t="n">
        <x:f>J2060*K2060</x:f>
        <x:v>1</x:v>
      </x:c>
    </x:row>
    <x:row r="2061">
      <x:c r="A2061" s="1" t="n">
        <x:v>16218</x:v>
      </x:c>
      <x:c r="B2061" s="5" t="d">
        <x:v>2015-08-25T00:00:00.000Z</x:v>
      </x:c>
      <x:c r="C2061" s="1" t="str">
        <x:v>Standard Class</x:v>
      </x:c>
      <x:c r="D2061" s="1" t="str">
        <x:v>Europe</x:v>
      </x:c>
      <x:c r="E2061" s="1" t="str">
        <x:v>COMPLETE</x:v>
      </x:c>
      <x:c r="F2061" s="1" t="str">
        <x:v>Shipping on time</x:v>
      </x:c>
      <x:c r="G2061" s="6" t="n">
        <x:v>4</x:v>
      </x:c>
      <x:c r="H2061" s="6" t="n">
        <x:v>4</x:v>
      </x:c>
      <x:c r="I2061" s="6" t="n">
        <x:f>G2061-H2061</x:f>
        <x:v>0</x:v>
      </x:c>
      <x:c r="J2061" s="6" t="n">
        <x:f>IF(OR(E2061="CANCELED",E2061="SUSPECTED_FRAUD",F2061="Shipping canceled"),0,1)</x:f>
        <x:v>1</x:v>
      </x:c>
      <x:c r="K2061" s="6" t="n">
        <x:f>IF(G2061&gt;H2061,1,0)</x:f>
        <x:v>0</x:v>
      </x:c>
      <x:c r="L2061" s="6" t="n">
        <x:f>J2061*K2061</x:f>
        <x:v>0</x:v>
      </x:c>
    </x:row>
    <x:row r="2062">
      <x:c r="A2062" s="1" t="n">
        <x:v>16221</x:v>
      </x:c>
      <x:c r="B2062" s="5" t="d">
        <x:v>2015-08-25T00:00:00.000Z</x:v>
      </x:c>
      <x:c r="C2062" s="1" t="str">
        <x:v>Second Class</x:v>
      </x:c>
      <x:c r="D2062" s="1" t="str">
        <x:v>Europe</x:v>
      </x:c>
      <x:c r="E2062" s="1" t="str">
        <x:v>COMPLETE</x:v>
      </x:c>
      <x:c r="F2062" s="1" t="str">
        <x:v>Shipping on time</x:v>
      </x:c>
      <x:c r="G2062" s="6" t="n">
        <x:v>2</x:v>
      </x:c>
      <x:c r="H2062" s="6" t="n">
        <x:v>2</x:v>
      </x:c>
      <x:c r="I2062" s="6" t="n">
        <x:f>G2062-H2062</x:f>
        <x:v>0</x:v>
      </x:c>
      <x:c r="J2062" s="6" t="n">
        <x:f>IF(OR(E2062="CANCELED",E2062="SUSPECTED_FRAUD",F2062="Shipping canceled"),0,1)</x:f>
        <x:v>1</x:v>
      </x:c>
      <x:c r="K2062" s="6" t="n">
        <x:f>IF(G2062&gt;H2062,1,0)</x:f>
        <x:v>0</x:v>
      </x:c>
      <x:c r="L2062" s="6" t="n">
        <x:f>J2062*K2062</x:f>
        <x:v>0</x:v>
      </x:c>
    </x:row>
    <x:row r="2063">
      <x:c r="A2063" s="1" t="n">
        <x:v>16228</x:v>
      </x:c>
      <x:c r="B2063" s="5" t="d">
        <x:v>2015-08-25T00:00:00.000Z</x:v>
      </x:c>
      <x:c r="C2063" s="1" t="str">
        <x:v>Second Class</x:v>
      </x:c>
      <x:c r="D2063" s="1" t="str">
        <x:v>Europe</x:v>
      </x:c>
      <x:c r="E2063" s="1" t="str">
        <x:v>COMPLETE</x:v>
      </x:c>
      <x:c r="F2063" s="1" t="str">
        <x:v>Late delivery</x:v>
      </x:c>
      <x:c r="G2063" s="6" t="n">
        <x:v>4</x:v>
      </x:c>
      <x:c r="H2063" s="6" t="n">
        <x:v>2</x:v>
      </x:c>
      <x:c r="I2063" s="6" t="n">
        <x:f>G2063-H2063</x:f>
        <x:v>2</x:v>
      </x:c>
      <x:c r="J2063" s="6" t="n">
        <x:f>IF(OR(E2063="CANCELED",E2063="SUSPECTED_FRAUD",F2063="Shipping canceled"),0,1)</x:f>
        <x:v>1</x:v>
      </x:c>
      <x:c r="K2063" s="6" t="n">
        <x:f>IF(G2063&gt;H2063,1,0)</x:f>
        <x:v>1</x:v>
      </x:c>
      <x:c r="L2063" s="6" t="n">
        <x:f>J2063*K2063</x:f>
        <x:v>1</x:v>
      </x:c>
    </x:row>
    <x:row r="2064">
      <x:c r="A2064" s="1" t="n">
        <x:v>16233</x:v>
      </x:c>
      <x:c r="B2064" s="5" t="d">
        <x:v>2015-08-25T00:00:00.000Z</x:v>
      </x:c>
      <x:c r="C2064" s="1" t="str">
        <x:v>Standard Class</x:v>
      </x:c>
      <x:c r="D2064" s="1" t="str">
        <x:v>Europe</x:v>
      </x:c>
      <x:c r="E2064" s="1" t="str">
        <x:v>COMPLETE</x:v>
      </x:c>
      <x:c r="F2064" s="1" t="str">
        <x:v>Shipping on time</x:v>
      </x:c>
      <x:c r="G2064" s="6" t="n">
        <x:v>4</x:v>
      </x:c>
      <x:c r="H2064" s="6" t="n">
        <x:v>4</x:v>
      </x:c>
      <x:c r="I2064" s="6" t="n">
        <x:f>G2064-H2064</x:f>
        <x:v>0</x:v>
      </x:c>
      <x:c r="J2064" s="6" t="n">
        <x:f>IF(OR(E2064="CANCELED",E2064="SUSPECTED_FRAUD",F2064="Shipping canceled"),0,1)</x:f>
        <x:v>1</x:v>
      </x:c>
      <x:c r="K2064" s="6" t="n">
        <x:f>IF(G2064&gt;H2064,1,0)</x:f>
        <x:v>0</x:v>
      </x:c>
      <x:c r="L2064" s="6" t="n">
        <x:f>J2064*K2064</x:f>
        <x:v>0</x:v>
      </x:c>
    </x:row>
    <x:row r="2065">
      <x:c r="A2065" s="1" t="n">
        <x:v>16238</x:v>
      </x:c>
      <x:c r="B2065" s="5" t="d">
        <x:v>2015-08-26T00:00:00.000Z</x:v>
      </x:c>
      <x:c r="C2065" s="1" t="str">
        <x:v>Standard Class</x:v>
      </x:c>
      <x:c r="D2065" s="1" t="str">
        <x:v>Europe</x:v>
      </x:c>
      <x:c r="E2065" s="1" t="str">
        <x:v>COMPLETE</x:v>
      </x:c>
      <x:c r="F2065" s="1" t="str">
        <x:v>Shipping on time</x:v>
      </x:c>
      <x:c r="G2065" s="6" t="n">
        <x:v>4</x:v>
      </x:c>
      <x:c r="H2065" s="6" t="n">
        <x:v>4</x:v>
      </x:c>
      <x:c r="I2065" s="6" t="n">
        <x:f>G2065-H2065</x:f>
        <x:v>0</x:v>
      </x:c>
      <x:c r="J2065" s="6" t="n">
        <x:f>IF(OR(E2065="CANCELED",E2065="SUSPECTED_FRAUD",F2065="Shipping canceled"),0,1)</x:f>
        <x:v>1</x:v>
      </x:c>
      <x:c r="K2065" s="6" t="n">
        <x:f>IF(G2065&gt;H2065,1,0)</x:f>
        <x:v>0</x:v>
      </x:c>
      <x:c r="L2065" s="6" t="n">
        <x:f>J2065*K2065</x:f>
        <x:v>0</x:v>
      </x:c>
    </x:row>
    <x:row r="2066">
      <x:c r="A2066" s="1" t="n">
        <x:v>16240</x:v>
      </x:c>
      <x:c r="B2066" s="5" t="d">
        <x:v>2015-08-26T00:00:00.000Z</x:v>
      </x:c>
      <x:c r="C2066" s="1" t="str">
        <x:v>Standard Class</x:v>
      </x:c>
      <x:c r="D2066" s="1" t="str">
        <x:v>Europe</x:v>
      </x:c>
      <x:c r="E2066" s="1" t="str">
        <x:v>PENDING</x:v>
      </x:c>
      <x:c r="F2066" s="1" t="str">
        <x:v>Late delivery</x:v>
      </x:c>
      <x:c r="G2066" s="6" t="n">
        <x:v>6</x:v>
      </x:c>
      <x:c r="H2066" s="6" t="n">
        <x:v>4</x:v>
      </x:c>
      <x:c r="I2066" s="6" t="n">
        <x:f>G2066-H2066</x:f>
        <x:v>2</x:v>
      </x:c>
      <x:c r="J2066" s="6" t="n">
        <x:f>IF(OR(E2066="CANCELED",E2066="SUSPECTED_FRAUD",F2066="Shipping canceled"),0,1)</x:f>
        <x:v>1</x:v>
      </x:c>
      <x:c r="K2066" s="6" t="n">
        <x:f>IF(G2066&gt;H2066,1,0)</x:f>
        <x:v>1</x:v>
      </x:c>
      <x:c r="L2066" s="6" t="n">
        <x:f>J2066*K2066</x:f>
        <x:v>1</x:v>
      </x:c>
    </x:row>
    <x:row r="2067">
      <x:c r="A2067" s="1" t="n">
        <x:v>16252</x:v>
      </x:c>
      <x:c r="B2067" s="5" t="d">
        <x:v>2015-08-26T00:00:00.000Z</x:v>
      </x:c>
      <x:c r="C2067" s="1" t="str">
        <x:v>Standard Class</x:v>
      </x:c>
      <x:c r="D2067" s="1" t="str">
        <x:v>Europe</x:v>
      </x:c>
      <x:c r="E2067" s="1" t="str">
        <x:v>CLOSED</x:v>
      </x:c>
      <x:c r="F2067" s="1" t="str">
        <x:v>Advance shipping</x:v>
      </x:c>
      <x:c r="G2067" s="6" t="n">
        <x:v>3</x:v>
      </x:c>
      <x:c r="H2067" s="6" t="n">
        <x:v>4</x:v>
      </x:c>
      <x:c r="I2067" s="6" t="n">
        <x:f>G2067-H2067</x:f>
        <x:v>-1</x:v>
      </x:c>
      <x:c r="J2067" s="6" t="n">
        <x:f>IF(OR(E2067="CANCELED",E2067="SUSPECTED_FRAUD",F2067="Shipping canceled"),0,1)</x:f>
        <x:v>1</x:v>
      </x:c>
      <x:c r="K2067" s="6" t="n">
        <x:f>IF(G2067&gt;H2067,1,0)</x:f>
        <x:v>0</x:v>
      </x:c>
      <x:c r="L2067" s="6" t="n">
        <x:f>J2067*K2067</x:f>
        <x:v>0</x:v>
      </x:c>
    </x:row>
    <x:row r="2068">
      <x:c r="A2068" s="1" t="n">
        <x:v>16258</x:v>
      </x:c>
      <x:c r="B2068" s="5" t="d">
        <x:v>2015-08-26T00:00:00.000Z</x:v>
      </x:c>
      <x:c r="C2068" s="1" t="str">
        <x:v>Second Class</x:v>
      </x:c>
      <x:c r="D2068" s="1" t="str">
        <x:v>Europe</x:v>
      </x:c>
      <x:c r="E2068" s="1" t="str">
        <x:v>CLOSED</x:v>
      </x:c>
      <x:c r="F2068" s="1" t="str">
        <x:v>Late delivery</x:v>
      </x:c>
      <x:c r="G2068" s="6" t="n">
        <x:v>4</x:v>
      </x:c>
      <x:c r="H2068" s="6" t="n">
        <x:v>2</x:v>
      </x:c>
      <x:c r="I2068" s="6" t="n">
        <x:f>G2068-H2068</x:f>
        <x:v>2</x:v>
      </x:c>
      <x:c r="J2068" s="6" t="n">
        <x:f>IF(OR(E2068="CANCELED",E2068="SUSPECTED_FRAUD",F2068="Shipping canceled"),0,1)</x:f>
        <x:v>1</x:v>
      </x:c>
      <x:c r="K2068" s="6" t="n">
        <x:f>IF(G2068&gt;H2068,1,0)</x:f>
        <x:v>1</x:v>
      </x:c>
      <x:c r="L2068" s="6" t="n">
        <x:f>J2068*K2068</x:f>
        <x:v>1</x:v>
      </x:c>
    </x:row>
    <x:row r="2069">
      <x:c r="A2069" s="1" t="n">
        <x:v>16260</x:v>
      </x:c>
      <x:c r="B2069" s="5" t="d">
        <x:v>2015-08-26T00:00:00.000Z</x:v>
      </x:c>
      <x:c r="C2069" s="1" t="str">
        <x:v>Standard Class</x:v>
      </x:c>
      <x:c r="D2069" s="1" t="str">
        <x:v>Europe</x:v>
      </x:c>
      <x:c r="E2069" s="1" t="str">
        <x:v>COMPLETE</x:v>
      </x:c>
      <x:c r="F2069" s="1" t="str">
        <x:v>Late delivery</x:v>
      </x:c>
      <x:c r="G2069" s="6" t="n">
        <x:v>6</x:v>
      </x:c>
      <x:c r="H2069" s="6" t="n">
        <x:v>4</x:v>
      </x:c>
      <x:c r="I2069" s="6" t="n">
        <x:f>G2069-H2069</x:f>
        <x:v>2</x:v>
      </x:c>
      <x:c r="J2069" s="6" t="n">
        <x:f>IF(OR(E2069="CANCELED",E2069="SUSPECTED_FRAUD",F2069="Shipping canceled"),0,1)</x:f>
        <x:v>1</x:v>
      </x:c>
      <x:c r="K2069" s="6" t="n">
        <x:f>IF(G2069&gt;H2069,1,0)</x:f>
        <x:v>1</x:v>
      </x:c>
      <x:c r="L2069" s="6" t="n">
        <x:f>J2069*K2069</x:f>
        <x:v>1</x:v>
      </x:c>
    </x:row>
    <x:row r="2070">
      <x:c r="A2070" s="1" t="n">
        <x:v>16273</x:v>
      </x:c>
      <x:c r="B2070" s="5" t="d">
        <x:v>2015-08-26T00:00:00.000Z</x:v>
      </x:c>
      <x:c r="C2070" s="1" t="str">
        <x:v>Standard Class</x:v>
      </x:c>
      <x:c r="D2070" s="1" t="str">
        <x:v>Europe</x:v>
      </x:c>
      <x:c r="E2070" s="1" t="str">
        <x:v>PROCESSING</x:v>
      </x:c>
      <x:c r="F2070" s="1" t="str">
        <x:v>Shipping on time</x:v>
      </x:c>
      <x:c r="G2070" s="6" t="n">
        <x:v>4</x:v>
      </x:c>
      <x:c r="H2070" s="6" t="n">
        <x:v>4</x:v>
      </x:c>
      <x:c r="I2070" s="6" t="n">
        <x:f>G2070-H2070</x:f>
        <x:v>0</x:v>
      </x:c>
      <x:c r="J2070" s="6" t="n">
        <x:f>IF(OR(E2070="CANCELED",E2070="SUSPECTED_FRAUD",F2070="Shipping canceled"),0,1)</x:f>
        <x:v>1</x:v>
      </x:c>
      <x:c r="K2070" s="6" t="n">
        <x:f>IF(G2070&gt;H2070,1,0)</x:f>
        <x:v>0</x:v>
      </x:c>
      <x:c r="L2070" s="6" t="n">
        <x:f>J2070*K2070</x:f>
        <x:v>0</x:v>
      </x:c>
    </x:row>
    <x:row r="2071">
      <x:c r="A2071" s="1" t="n">
        <x:v>16292</x:v>
      </x:c>
      <x:c r="B2071" s="5" t="d">
        <x:v>2015-08-26T00:00:00.000Z</x:v>
      </x:c>
      <x:c r="C2071" s="1" t="str">
        <x:v>Standard Class</x:v>
      </x:c>
      <x:c r="D2071" s="1" t="str">
        <x:v>Europe</x:v>
      </x:c>
      <x:c r="E2071" s="1" t="str">
        <x:v>CANCELED</x:v>
      </x:c>
      <x:c r="F2071" s="1" t="str">
        <x:v>Shipping canceled</x:v>
      </x:c>
      <x:c r="G2071" s="6" t="n">
        <x:v>3</x:v>
      </x:c>
      <x:c r="H2071" s="6" t="n">
        <x:v>4</x:v>
      </x:c>
      <x:c r="I2071" s="6" t="n">
        <x:f>G2071-H2071</x:f>
        <x:v>-1</x:v>
      </x:c>
      <x:c r="J2071" s="6" t="n">
        <x:f>IF(OR(E2071="CANCELED",E2071="SUSPECTED_FRAUD",F2071="Shipping canceled"),0,1)</x:f>
        <x:v>0</x:v>
      </x:c>
      <x:c r="K2071" s="6" t="n">
        <x:f>IF(G2071&gt;H2071,1,0)</x:f>
        <x:v>0</x:v>
      </x:c>
      <x:c r="L2071" s="6" t="n">
        <x:f>J2071*K2071</x:f>
        <x:v>0</x:v>
      </x:c>
    </x:row>
    <x:row r="2072">
      <x:c r="A2072" s="1" t="n">
        <x:v>16299</x:v>
      </x:c>
      <x:c r="B2072" s="5" t="d">
        <x:v>2015-08-26T00:00:00.000Z</x:v>
      </x:c>
      <x:c r="C2072" s="1" t="str">
        <x:v>Standard Class</x:v>
      </x:c>
      <x:c r="D2072" s="1" t="str">
        <x:v>Europe</x:v>
      </x:c>
      <x:c r="E2072" s="1" t="str">
        <x:v>COMPLETE</x:v>
      </x:c>
      <x:c r="F2072" s="1" t="str">
        <x:v>Late delivery</x:v>
      </x:c>
      <x:c r="G2072" s="6" t="n">
        <x:v>5</x:v>
      </x:c>
      <x:c r="H2072" s="6" t="n">
        <x:v>4</x:v>
      </x:c>
      <x:c r="I2072" s="6" t="n">
        <x:f>G2072-H2072</x:f>
        <x:v>1</x:v>
      </x:c>
      <x:c r="J2072" s="6" t="n">
        <x:f>IF(OR(E2072="CANCELED",E2072="SUSPECTED_FRAUD",F2072="Shipping canceled"),0,1)</x:f>
        <x:v>1</x:v>
      </x:c>
      <x:c r="K2072" s="6" t="n">
        <x:f>IF(G2072&gt;H2072,1,0)</x:f>
        <x:v>1</x:v>
      </x:c>
      <x:c r="L2072" s="6" t="n">
        <x:f>J2072*K2072</x:f>
        <x:v>1</x:v>
      </x:c>
    </x:row>
    <x:row r="2073">
      <x:c r="A2073" s="1" t="n">
        <x:v>16302</x:v>
      </x:c>
      <x:c r="B2073" s="5" t="d">
        <x:v>2015-08-26T00:00:00.000Z</x:v>
      </x:c>
      <x:c r="C2073" s="1" t="str">
        <x:v>Second Class</x:v>
      </x:c>
      <x:c r="D2073" s="1" t="str">
        <x:v>Europe</x:v>
      </x:c>
      <x:c r="E2073" s="1" t="str">
        <x:v>COMPLETE</x:v>
      </x:c>
      <x:c r="F2073" s="1" t="str">
        <x:v>Late delivery</x:v>
      </x:c>
      <x:c r="G2073" s="6" t="n">
        <x:v>3</x:v>
      </x:c>
      <x:c r="H2073" s="6" t="n">
        <x:v>2</x:v>
      </x:c>
      <x:c r="I2073" s="6" t="n">
        <x:f>G2073-H2073</x:f>
        <x:v>1</x:v>
      </x:c>
      <x:c r="J2073" s="6" t="n">
        <x:f>IF(OR(E2073="CANCELED",E2073="SUSPECTED_FRAUD",F2073="Shipping canceled"),0,1)</x:f>
        <x:v>1</x:v>
      </x:c>
      <x:c r="K2073" s="6" t="n">
        <x:f>IF(G2073&gt;H2073,1,0)</x:f>
        <x:v>1</x:v>
      </x:c>
      <x:c r="L2073" s="6" t="n">
        <x:f>J2073*K2073</x:f>
        <x:v>1</x:v>
      </x:c>
    </x:row>
    <x:row r="2074">
      <x:c r="A2074" s="1" t="n">
        <x:v>16313</x:v>
      </x:c>
      <x:c r="B2074" s="5" t="d">
        <x:v>2015-08-27T00:00:00.000Z</x:v>
      </x:c>
      <x:c r="C2074" s="1" t="str">
        <x:v>Standard Class</x:v>
      </x:c>
      <x:c r="D2074" s="1" t="str">
        <x:v>Europe</x:v>
      </x:c>
      <x:c r="E2074" s="1" t="str">
        <x:v>PENDING</x:v>
      </x:c>
      <x:c r="F2074" s="1" t="str">
        <x:v>Shipping on time</x:v>
      </x:c>
      <x:c r="G2074" s="6" t="n">
        <x:v>4</x:v>
      </x:c>
      <x:c r="H2074" s="6" t="n">
        <x:v>4</x:v>
      </x:c>
      <x:c r="I2074" s="6" t="n">
        <x:f>G2074-H2074</x:f>
        <x:v>0</x:v>
      </x:c>
      <x:c r="J2074" s="6" t="n">
        <x:f>IF(OR(E2074="CANCELED",E2074="SUSPECTED_FRAUD",F2074="Shipping canceled"),0,1)</x:f>
        <x:v>1</x:v>
      </x:c>
      <x:c r="K2074" s="6" t="n">
        <x:f>IF(G2074&gt;H2074,1,0)</x:f>
        <x:v>0</x:v>
      </x:c>
      <x:c r="L2074" s="6" t="n">
        <x:f>J2074*K2074</x:f>
        <x:v>0</x:v>
      </x:c>
    </x:row>
    <x:row r="2075">
      <x:c r="A2075" s="1" t="n">
        <x:v>16317</x:v>
      </x:c>
      <x:c r="B2075" s="5" t="d">
        <x:v>2015-08-27T00:00:00.000Z</x:v>
      </x:c>
      <x:c r="C2075" s="1" t="str">
        <x:v>Second Class</x:v>
      </x:c>
      <x:c r="D2075" s="1" t="str">
        <x:v>Europe</x:v>
      </x:c>
      <x:c r="E2075" s="1" t="str">
        <x:v>CLOSED</x:v>
      </x:c>
      <x:c r="F2075" s="1" t="str">
        <x:v>Late delivery</x:v>
      </x:c>
      <x:c r="G2075" s="6" t="n">
        <x:v>3</x:v>
      </x:c>
      <x:c r="H2075" s="6" t="n">
        <x:v>2</x:v>
      </x:c>
      <x:c r="I2075" s="6" t="n">
        <x:f>G2075-H2075</x:f>
        <x:v>1</x:v>
      </x:c>
      <x:c r="J2075" s="6" t="n">
        <x:f>IF(OR(E2075="CANCELED",E2075="SUSPECTED_FRAUD",F2075="Shipping canceled"),0,1)</x:f>
        <x:v>1</x:v>
      </x:c>
      <x:c r="K2075" s="6" t="n">
        <x:f>IF(G2075&gt;H2075,1,0)</x:f>
        <x:v>1</x:v>
      </x:c>
      <x:c r="L2075" s="6" t="n">
        <x:f>J2075*K2075</x:f>
        <x:v>1</x:v>
      </x:c>
    </x:row>
    <x:row r="2076">
      <x:c r="A2076" s="1" t="n">
        <x:v>16337</x:v>
      </x:c>
      <x:c r="B2076" s="5" t="d">
        <x:v>2015-08-27T00:00:00.000Z</x:v>
      </x:c>
      <x:c r="C2076" s="1" t="str">
        <x:v>Standard Class</x:v>
      </x:c>
      <x:c r="D2076" s="1" t="str">
        <x:v>Europe</x:v>
      </x:c>
      <x:c r="E2076" s="1" t="str">
        <x:v>COMPLETE</x:v>
      </x:c>
      <x:c r="F2076" s="1" t="str">
        <x:v>Advance shipping</x:v>
      </x:c>
      <x:c r="G2076" s="6" t="n">
        <x:v>3</x:v>
      </x:c>
      <x:c r="H2076" s="6" t="n">
        <x:v>4</x:v>
      </x:c>
      <x:c r="I2076" s="6" t="n">
        <x:f>G2076-H2076</x:f>
        <x:v>-1</x:v>
      </x:c>
      <x:c r="J2076" s="6" t="n">
        <x:f>IF(OR(E2076="CANCELED",E2076="SUSPECTED_FRAUD",F2076="Shipping canceled"),0,1)</x:f>
        <x:v>1</x:v>
      </x:c>
      <x:c r="K2076" s="6" t="n">
        <x:f>IF(G2076&gt;H2076,1,0)</x:f>
        <x:v>0</x:v>
      </x:c>
      <x:c r="L2076" s="6" t="n">
        <x:f>J2076*K2076</x:f>
        <x:v>0</x:v>
      </x:c>
    </x:row>
    <x:row r="2077">
      <x:c r="A2077" s="1" t="n">
        <x:v>16345</x:v>
      </x:c>
      <x:c r="B2077" s="5" t="d">
        <x:v>2015-08-27T00:00:00.000Z</x:v>
      </x:c>
      <x:c r="C2077" s="1" t="str">
        <x:v>Second Class</x:v>
      </x:c>
      <x:c r="D2077" s="1" t="str">
        <x:v>Europe</x:v>
      </x:c>
      <x:c r="E2077" s="1" t="str">
        <x:v>COMPLETE</x:v>
      </x:c>
      <x:c r="F2077" s="1" t="str">
        <x:v>Late delivery</x:v>
      </x:c>
      <x:c r="G2077" s="6" t="n">
        <x:v>6</x:v>
      </x:c>
      <x:c r="H2077" s="6" t="n">
        <x:v>2</x:v>
      </x:c>
      <x:c r="I2077" s="6" t="n">
        <x:f>G2077-H2077</x:f>
        <x:v>4</x:v>
      </x:c>
      <x:c r="J2077" s="6" t="n">
        <x:f>IF(OR(E2077="CANCELED",E2077="SUSPECTED_FRAUD",F2077="Shipping canceled"),0,1)</x:f>
        <x:v>1</x:v>
      </x:c>
      <x:c r="K2077" s="6" t="n">
        <x:f>IF(G2077&gt;H2077,1,0)</x:f>
        <x:v>1</x:v>
      </x:c>
      <x:c r="L2077" s="6" t="n">
        <x:f>J2077*K2077</x:f>
        <x:v>1</x:v>
      </x:c>
    </x:row>
    <x:row r="2078">
      <x:c r="A2078" s="1" t="n">
        <x:v>16347</x:v>
      </x:c>
      <x:c r="B2078" s="5" t="d">
        <x:v>2015-08-27T00:00:00.000Z</x:v>
      </x:c>
      <x:c r="C2078" s="1" t="str">
        <x:v>First Class</x:v>
      </x:c>
      <x:c r="D2078" s="1" t="str">
        <x:v>Europe</x:v>
      </x:c>
      <x:c r="E2078" s="1" t="str">
        <x:v>PENDING_PAYMENT</x:v>
      </x:c>
      <x:c r="F2078" s="1" t="str">
        <x:v>Late delivery</x:v>
      </x:c>
      <x:c r="G2078" s="6" t="n">
        <x:v>2</x:v>
      </x:c>
      <x:c r="H2078" s="6" t="n">
        <x:v>1</x:v>
      </x:c>
      <x:c r="I2078" s="6" t="n">
        <x:f>G2078-H2078</x:f>
        <x:v>1</x:v>
      </x:c>
      <x:c r="J2078" s="6" t="n">
        <x:f>IF(OR(E2078="CANCELED",E2078="SUSPECTED_FRAUD",F2078="Shipping canceled"),0,1)</x:f>
        <x:v>1</x:v>
      </x:c>
      <x:c r="K2078" s="6" t="n">
        <x:f>IF(G2078&gt;H2078,1,0)</x:f>
        <x:v>1</x:v>
      </x:c>
      <x:c r="L2078" s="6" t="n">
        <x:f>J2078*K2078</x:f>
        <x:v>1</x:v>
      </x:c>
    </x:row>
    <x:row r="2079">
      <x:c r="A2079" s="1" t="n">
        <x:v>16362</x:v>
      </x:c>
      <x:c r="B2079" s="5" t="d">
        <x:v>2015-08-27T00:00:00.000Z</x:v>
      </x:c>
      <x:c r="C2079" s="1" t="str">
        <x:v>Standard Class</x:v>
      </x:c>
      <x:c r="D2079" s="1" t="str">
        <x:v>Europe</x:v>
      </x:c>
      <x:c r="E2079" s="1" t="str">
        <x:v>PENDING_PAYMENT</x:v>
      </x:c>
      <x:c r="F2079" s="1" t="str">
        <x:v>Advance shipping</x:v>
      </x:c>
      <x:c r="G2079" s="6" t="n">
        <x:v>3</x:v>
      </x:c>
      <x:c r="H2079" s="6" t="n">
        <x:v>4</x:v>
      </x:c>
      <x:c r="I2079" s="6" t="n">
        <x:f>G2079-H2079</x:f>
        <x:v>-1</x:v>
      </x:c>
      <x:c r="J2079" s="6" t="n">
        <x:f>IF(OR(E2079="CANCELED",E2079="SUSPECTED_FRAUD",F2079="Shipping canceled"),0,1)</x:f>
        <x:v>1</x:v>
      </x:c>
      <x:c r="K2079" s="6" t="n">
        <x:f>IF(G2079&gt;H2079,1,0)</x:f>
        <x:v>0</x:v>
      </x:c>
      <x:c r="L2079" s="6" t="n">
        <x:f>J2079*K2079</x:f>
        <x:v>0</x:v>
      </x:c>
    </x:row>
    <x:row r="2080">
      <x:c r="A2080" s="1" t="n">
        <x:v>16365</x:v>
      </x:c>
      <x:c r="B2080" s="5" t="d">
        <x:v>2015-08-27T00:00:00.000Z</x:v>
      </x:c>
      <x:c r="C2080" s="1" t="str">
        <x:v>Standard Class</x:v>
      </x:c>
      <x:c r="D2080" s="1" t="str">
        <x:v>Europe</x:v>
      </x:c>
      <x:c r="E2080" s="1" t="str">
        <x:v>PENDING</x:v>
      </x:c>
      <x:c r="F2080" s="1" t="str">
        <x:v>Late delivery</x:v>
      </x:c>
      <x:c r="G2080" s="6" t="n">
        <x:v>6</x:v>
      </x:c>
      <x:c r="H2080" s="6" t="n">
        <x:v>4</x:v>
      </x:c>
      <x:c r="I2080" s="6" t="n">
        <x:f>G2080-H2080</x:f>
        <x:v>2</x:v>
      </x:c>
      <x:c r="J2080" s="6" t="n">
        <x:f>IF(OR(E2080="CANCELED",E2080="SUSPECTED_FRAUD",F2080="Shipping canceled"),0,1)</x:f>
        <x:v>1</x:v>
      </x:c>
      <x:c r="K2080" s="6" t="n">
        <x:f>IF(G2080&gt;H2080,1,0)</x:f>
        <x:v>1</x:v>
      </x:c>
      <x:c r="L2080" s="6" t="n">
        <x:f>J2080*K2080</x:f>
        <x:v>1</x:v>
      </x:c>
    </x:row>
    <x:row r="2081">
      <x:c r="A2081" s="1" t="n">
        <x:v>16367</x:v>
      </x:c>
      <x:c r="B2081" s="5" t="d">
        <x:v>2015-08-27T00:00:00.000Z</x:v>
      </x:c>
      <x:c r="C2081" s="1" t="str">
        <x:v>Standard Class</x:v>
      </x:c>
      <x:c r="D2081" s="1" t="str">
        <x:v>Europe</x:v>
      </x:c>
      <x:c r="E2081" s="1" t="str">
        <x:v>PENDING</x:v>
      </x:c>
      <x:c r="F2081" s="1" t="str">
        <x:v>Advance shipping</x:v>
      </x:c>
      <x:c r="G2081" s="6" t="n">
        <x:v>3</x:v>
      </x:c>
      <x:c r="H2081" s="6" t="n">
        <x:v>4</x:v>
      </x:c>
      <x:c r="I2081" s="6" t="n">
        <x:f>G2081-H2081</x:f>
        <x:v>-1</x:v>
      </x:c>
      <x:c r="J2081" s="6" t="n">
        <x:f>IF(OR(E2081="CANCELED",E2081="SUSPECTED_FRAUD",F2081="Shipping canceled"),0,1)</x:f>
        <x:v>1</x:v>
      </x:c>
      <x:c r="K2081" s="6" t="n">
        <x:f>IF(G2081&gt;H2081,1,0)</x:f>
        <x:v>0</x:v>
      </x:c>
      <x:c r="L2081" s="6" t="n">
        <x:f>J2081*K2081</x:f>
        <x:v>0</x:v>
      </x:c>
    </x:row>
    <x:row r="2082">
      <x:c r="A2082" s="1" t="n">
        <x:v>16369</x:v>
      </x:c>
      <x:c r="B2082" s="5" t="d">
        <x:v>2015-08-27T00:00:00.000Z</x:v>
      </x:c>
      <x:c r="C2082" s="1" t="str">
        <x:v>Standard Class</x:v>
      </x:c>
      <x:c r="D2082" s="1" t="str">
        <x:v>Europe</x:v>
      </x:c>
      <x:c r="E2082" s="1" t="str">
        <x:v>COMPLETE</x:v>
      </x:c>
      <x:c r="F2082" s="1" t="str">
        <x:v>Late delivery</x:v>
      </x:c>
      <x:c r="G2082" s="6" t="n">
        <x:v>5</x:v>
      </x:c>
      <x:c r="H2082" s="6" t="n">
        <x:v>4</x:v>
      </x:c>
      <x:c r="I2082" s="6" t="n">
        <x:f>G2082-H2082</x:f>
        <x:v>1</x:v>
      </x:c>
      <x:c r="J2082" s="6" t="n">
        <x:f>IF(OR(E2082="CANCELED",E2082="SUSPECTED_FRAUD",F2082="Shipping canceled"),0,1)</x:f>
        <x:v>1</x:v>
      </x:c>
      <x:c r="K2082" s="6" t="n">
        <x:f>IF(G2082&gt;H2082,1,0)</x:f>
        <x:v>1</x:v>
      </x:c>
      <x:c r="L2082" s="6" t="n">
        <x:f>J2082*K2082</x:f>
        <x:v>1</x:v>
      </x:c>
    </x:row>
    <x:row r="2083">
      <x:c r="A2083" s="1" t="n">
        <x:v>16378</x:v>
      </x:c>
      <x:c r="B2083" s="5" t="d">
        <x:v>2015-08-28T00:00:00.000Z</x:v>
      </x:c>
      <x:c r="C2083" s="1" t="str">
        <x:v>Standard Class</x:v>
      </x:c>
      <x:c r="D2083" s="1" t="str">
        <x:v>Europe</x:v>
      </x:c>
      <x:c r="E2083" s="1" t="str">
        <x:v>COMPLETE</x:v>
      </x:c>
      <x:c r="F2083" s="1" t="str">
        <x:v>Shipping on time</x:v>
      </x:c>
      <x:c r="G2083" s="6" t="n">
        <x:v>4</x:v>
      </x:c>
      <x:c r="H2083" s="6" t="n">
        <x:v>4</x:v>
      </x:c>
      <x:c r="I2083" s="6" t="n">
        <x:f>G2083-H2083</x:f>
        <x:v>0</x:v>
      </x:c>
      <x:c r="J2083" s="6" t="n">
        <x:f>IF(OR(E2083="CANCELED",E2083="SUSPECTED_FRAUD",F2083="Shipping canceled"),0,1)</x:f>
        <x:v>1</x:v>
      </x:c>
      <x:c r="K2083" s="6" t="n">
        <x:f>IF(G2083&gt;H2083,1,0)</x:f>
        <x:v>0</x:v>
      </x:c>
      <x:c r="L2083" s="6" t="n">
        <x:f>J2083*K2083</x:f>
        <x:v>0</x:v>
      </x:c>
    </x:row>
    <x:row r="2084">
      <x:c r="A2084" s="1" t="n">
        <x:v>16419</x:v>
      </x:c>
      <x:c r="B2084" s="5" t="d">
        <x:v>2015-08-28T00:00:00.000Z</x:v>
      </x:c>
      <x:c r="C2084" s="1" t="str">
        <x:v>Standard Class</x:v>
      </x:c>
      <x:c r="D2084" s="1" t="str">
        <x:v>Europe</x:v>
      </x:c>
      <x:c r="E2084" s="1" t="str">
        <x:v>COMPLETE</x:v>
      </x:c>
      <x:c r="F2084" s="1" t="str">
        <x:v>Late delivery</x:v>
      </x:c>
      <x:c r="G2084" s="6" t="n">
        <x:v>5</x:v>
      </x:c>
      <x:c r="H2084" s="6" t="n">
        <x:v>4</x:v>
      </x:c>
      <x:c r="I2084" s="6" t="n">
        <x:f>G2084-H2084</x:f>
        <x:v>1</x:v>
      </x:c>
      <x:c r="J2084" s="6" t="n">
        <x:f>IF(OR(E2084="CANCELED",E2084="SUSPECTED_FRAUD",F2084="Shipping canceled"),0,1)</x:f>
        <x:v>1</x:v>
      </x:c>
      <x:c r="K2084" s="6" t="n">
        <x:f>IF(G2084&gt;H2084,1,0)</x:f>
        <x:v>1</x:v>
      </x:c>
      <x:c r="L2084" s="6" t="n">
        <x:f>J2084*K2084</x:f>
        <x:v>1</x:v>
      </x:c>
    </x:row>
    <x:row r="2085">
      <x:c r="A2085" s="1" t="n">
        <x:v>16421</x:v>
      </x:c>
      <x:c r="B2085" s="5" t="d">
        <x:v>2015-08-28T00:00:00.000Z</x:v>
      </x:c>
      <x:c r="C2085" s="1" t="str">
        <x:v>Standard Class</x:v>
      </x:c>
      <x:c r="D2085" s="1" t="str">
        <x:v>Europe</x:v>
      </x:c>
      <x:c r="E2085" s="1" t="str">
        <x:v>COMPLETE</x:v>
      </x:c>
      <x:c r="F2085" s="1" t="str">
        <x:v>Advance shipping</x:v>
      </x:c>
      <x:c r="G2085" s="6" t="n">
        <x:v>2</x:v>
      </x:c>
      <x:c r="H2085" s="6" t="n">
        <x:v>4</x:v>
      </x:c>
      <x:c r="I2085" s="6" t="n">
        <x:f>G2085-H2085</x:f>
        <x:v>-2</x:v>
      </x:c>
      <x:c r="J2085" s="6" t="n">
        <x:f>IF(OR(E2085="CANCELED",E2085="SUSPECTED_FRAUD",F2085="Shipping canceled"),0,1)</x:f>
        <x:v>1</x:v>
      </x:c>
      <x:c r="K2085" s="6" t="n">
        <x:f>IF(G2085&gt;H2085,1,0)</x:f>
        <x:v>0</x:v>
      </x:c>
      <x:c r="L2085" s="6" t="n">
        <x:f>J2085*K2085</x:f>
        <x:v>0</x:v>
      </x:c>
    </x:row>
    <x:row r="2086">
      <x:c r="A2086" s="1" t="n">
        <x:v>16425</x:v>
      </x:c>
      <x:c r="B2086" s="5" t="d">
        <x:v>2015-08-28T00:00:00.000Z</x:v>
      </x:c>
      <x:c r="C2086" s="1" t="str">
        <x:v>Second Class</x:v>
      </x:c>
      <x:c r="D2086" s="1" t="str">
        <x:v>Europe</x:v>
      </x:c>
      <x:c r="E2086" s="1" t="str">
        <x:v>PROCESSING</x:v>
      </x:c>
      <x:c r="F2086" s="1" t="str">
        <x:v>Late delivery</x:v>
      </x:c>
      <x:c r="G2086" s="6" t="n">
        <x:v>6</x:v>
      </x:c>
      <x:c r="H2086" s="6" t="n">
        <x:v>2</x:v>
      </x:c>
      <x:c r="I2086" s="6" t="n">
        <x:f>G2086-H2086</x:f>
        <x:v>4</x:v>
      </x:c>
      <x:c r="J2086" s="6" t="n">
        <x:f>IF(OR(E2086="CANCELED",E2086="SUSPECTED_FRAUD",F2086="Shipping canceled"),0,1)</x:f>
        <x:v>1</x:v>
      </x:c>
      <x:c r="K2086" s="6" t="n">
        <x:f>IF(G2086&gt;H2086,1,0)</x:f>
        <x:v>1</x:v>
      </x:c>
      <x:c r="L2086" s="6" t="n">
        <x:f>J2086*K2086</x:f>
        <x:v>1</x:v>
      </x:c>
    </x:row>
    <x:row r="2087">
      <x:c r="A2087" s="1" t="n">
        <x:v>16427</x:v>
      </x:c>
      <x:c r="B2087" s="5" t="d">
        <x:v>2015-08-28T00:00:00.000Z</x:v>
      </x:c>
      <x:c r="C2087" s="1" t="str">
        <x:v>Second Class</x:v>
      </x:c>
      <x:c r="D2087" s="1" t="str">
        <x:v>Europe</x:v>
      </x:c>
      <x:c r="E2087" s="1" t="str">
        <x:v>COMPLETE</x:v>
      </x:c>
      <x:c r="F2087" s="1" t="str">
        <x:v>Late delivery</x:v>
      </x:c>
      <x:c r="G2087" s="6" t="n">
        <x:v>3</x:v>
      </x:c>
      <x:c r="H2087" s="6" t="n">
        <x:v>2</x:v>
      </x:c>
      <x:c r="I2087" s="6" t="n">
        <x:f>G2087-H2087</x:f>
        <x:v>1</x:v>
      </x:c>
      <x:c r="J2087" s="6" t="n">
        <x:f>IF(OR(E2087="CANCELED",E2087="SUSPECTED_FRAUD",F2087="Shipping canceled"),0,1)</x:f>
        <x:v>1</x:v>
      </x:c>
      <x:c r="K2087" s="6" t="n">
        <x:f>IF(G2087&gt;H2087,1,0)</x:f>
        <x:v>1</x:v>
      </x:c>
      <x:c r="L2087" s="6" t="n">
        <x:f>J2087*K2087</x:f>
        <x:v>1</x:v>
      </x:c>
    </x:row>
    <x:row r="2088">
      <x:c r="A2088" s="1" t="n">
        <x:v>16435</x:v>
      </x:c>
      <x:c r="B2088" s="5" t="d">
        <x:v>2015-08-28T00:00:00.000Z</x:v>
      </x:c>
      <x:c r="C2088" s="1" t="str">
        <x:v>Standard Class</x:v>
      </x:c>
      <x:c r="D2088" s="1" t="str">
        <x:v>Europe</x:v>
      </x:c>
      <x:c r="E2088" s="1" t="str">
        <x:v>COMPLETE</x:v>
      </x:c>
      <x:c r="F2088" s="1" t="str">
        <x:v>Late delivery</x:v>
      </x:c>
      <x:c r="G2088" s="6" t="n">
        <x:v>6</x:v>
      </x:c>
      <x:c r="H2088" s="6" t="n">
        <x:v>4</x:v>
      </x:c>
      <x:c r="I2088" s="6" t="n">
        <x:f>G2088-H2088</x:f>
        <x:v>2</x:v>
      </x:c>
      <x:c r="J2088" s="6" t="n">
        <x:f>IF(OR(E2088="CANCELED",E2088="SUSPECTED_FRAUD",F2088="Shipping canceled"),0,1)</x:f>
        <x:v>1</x:v>
      </x:c>
      <x:c r="K2088" s="6" t="n">
        <x:f>IF(G2088&gt;H2088,1,0)</x:f>
        <x:v>1</x:v>
      </x:c>
      <x:c r="L2088" s="6" t="n">
        <x:f>J2088*K2088</x:f>
        <x:v>1</x:v>
      </x:c>
    </x:row>
    <x:row r="2089">
      <x:c r="A2089" s="1" t="n">
        <x:v>16436</x:v>
      </x:c>
      <x:c r="B2089" s="5" t="d">
        <x:v>2015-08-28T00:00:00.000Z</x:v>
      </x:c>
      <x:c r="C2089" s="1" t="str">
        <x:v>Standard Class</x:v>
      </x:c>
      <x:c r="D2089" s="1" t="str">
        <x:v>Europe</x:v>
      </x:c>
      <x:c r="E2089" s="1" t="str">
        <x:v>PENDING</x:v>
      </x:c>
      <x:c r="F2089" s="1" t="str">
        <x:v>Advance shipping</x:v>
      </x:c>
      <x:c r="G2089" s="6" t="n">
        <x:v>2</x:v>
      </x:c>
      <x:c r="H2089" s="6" t="n">
        <x:v>4</x:v>
      </x:c>
      <x:c r="I2089" s="6" t="n">
        <x:f>G2089-H2089</x:f>
        <x:v>-2</x:v>
      </x:c>
      <x:c r="J2089" s="6" t="n">
        <x:f>IF(OR(E2089="CANCELED",E2089="SUSPECTED_FRAUD",F2089="Shipping canceled"),0,1)</x:f>
        <x:v>1</x:v>
      </x:c>
      <x:c r="K2089" s="6" t="n">
        <x:f>IF(G2089&gt;H2089,1,0)</x:f>
        <x:v>0</x:v>
      </x:c>
      <x:c r="L2089" s="6" t="n">
        <x:f>J2089*K2089</x:f>
        <x:v>0</x:v>
      </x:c>
    </x:row>
    <x:row r="2090">
      <x:c r="A2090" s="1" t="n">
        <x:v>16437</x:v>
      </x:c>
      <x:c r="B2090" s="5" t="d">
        <x:v>2015-08-28T00:00:00.000Z</x:v>
      </x:c>
      <x:c r="C2090" s="1" t="str">
        <x:v>Standard Class</x:v>
      </x:c>
      <x:c r="D2090" s="1" t="str">
        <x:v>Europe</x:v>
      </x:c>
      <x:c r="E2090" s="1" t="str">
        <x:v>ON_HOLD</x:v>
      </x:c>
      <x:c r="F2090" s="1" t="str">
        <x:v>Advance shipping</x:v>
      </x:c>
      <x:c r="G2090" s="6" t="n">
        <x:v>3</x:v>
      </x:c>
      <x:c r="H2090" s="6" t="n">
        <x:v>4</x:v>
      </x:c>
      <x:c r="I2090" s="6" t="n">
        <x:f>G2090-H2090</x:f>
        <x:v>-1</x:v>
      </x:c>
      <x:c r="J2090" s="6" t="n">
        <x:f>IF(OR(E2090="CANCELED",E2090="SUSPECTED_FRAUD",F2090="Shipping canceled"),0,1)</x:f>
        <x:v>1</x:v>
      </x:c>
      <x:c r="K2090" s="6" t="n">
        <x:f>IF(G2090&gt;H2090,1,0)</x:f>
        <x:v>0</x:v>
      </x:c>
      <x:c r="L2090" s="6" t="n">
        <x:f>J2090*K2090</x:f>
        <x:v>0</x:v>
      </x:c>
    </x:row>
    <x:row r="2091">
      <x:c r="A2091" s="1" t="n">
        <x:v>16444</x:v>
      </x:c>
      <x:c r="B2091" s="5" t="d">
        <x:v>2015-08-29T00:00:00.000Z</x:v>
      </x:c>
      <x:c r="C2091" s="1" t="str">
        <x:v>Second Class</x:v>
      </x:c>
      <x:c r="D2091" s="1" t="str">
        <x:v>Europe</x:v>
      </x:c>
      <x:c r="E2091" s="1" t="str">
        <x:v>PENDING_PAYMENT</x:v>
      </x:c>
      <x:c r="F2091" s="1" t="str">
        <x:v>Late delivery</x:v>
      </x:c>
      <x:c r="G2091" s="6" t="n">
        <x:v>5</x:v>
      </x:c>
      <x:c r="H2091" s="6" t="n">
        <x:v>2</x:v>
      </x:c>
      <x:c r="I2091" s="6" t="n">
        <x:f>G2091-H2091</x:f>
        <x:v>3</x:v>
      </x:c>
      <x:c r="J2091" s="6" t="n">
        <x:f>IF(OR(E2091="CANCELED",E2091="SUSPECTED_FRAUD",F2091="Shipping canceled"),0,1)</x:f>
        <x:v>1</x:v>
      </x:c>
      <x:c r="K2091" s="6" t="n">
        <x:f>IF(G2091&gt;H2091,1,0)</x:f>
        <x:v>1</x:v>
      </x:c>
      <x:c r="L2091" s="6" t="n">
        <x:f>J2091*K2091</x:f>
        <x:v>1</x:v>
      </x:c>
    </x:row>
    <x:row r="2092">
      <x:c r="A2092" s="1" t="n">
        <x:v>16446</x:v>
      </x:c>
      <x:c r="B2092" s="5" t="d">
        <x:v>2015-08-29T00:00:00.000Z</x:v>
      </x:c>
      <x:c r="C2092" s="1" t="str">
        <x:v>Second Class</x:v>
      </x:c>
      <x:c r="D2092" s="1" t="str">
        <x:v>Europe</x:v>
      </x:c>
      <x:c r="E2092" s="1" t="str">
        <x:v>COMPLETE</x:v>
      </x:c>
      <x:c r="F2092" s="1" t="str">
        <x:v>Shipping on time</x:v>
      </x:c>
      <x:c r="G2092" s="6" t="n">
        <x:v>2</x:v>
      </x:c>
      <x:c r="H2092" s="6" t="n">
        <x:v>2</x:v>
      </x:c>
      <x:c r="I2092" s="6" t="n">
        <x:f>G2092-H2092</x:f>
        <x:v>0</x:v>
      </x:c>
      <x:c r="J2092" s="6" t="n">
        <x:f>IF(OR(E2092="CANCELED",E2092="SUSPECTED_FRAUD",F2092="Shipping canceled"),0,1)</x:f>
        <x:v>1</x:v>
      </x:c>
      <x:c r="K2092" s="6" t="n">
        <x:f>IF(G2092&gt;H2092,1,0)</x:f>
        <x:v>0</x:v>
      </x:c>
      <x:c r="L2092" s="6" t="n">
        <x:f>J2092*K2092</x:f>
        <x:v>0</x:v>
      </x:c>
    </x:row>
    <x:row r="2093">
      <x:c r="A2093" s="1" t="n">
        <x:v>16457</x:v>
      </x:c>
      <x:c r="B2093" s="5" t="d">
        <x:v>2015-08-29T00:00:00.000Z</x:v>
      </x:c>
      <x:c r="C2093" s="1" t="str">
        <x:v>Standard Class</x:v>
      </x:c>
      <x:c r="D2093" s="1" t="str">
        <x:v>Europe</x:v>
      </x:c>
      <x:c r="E2093" s="1" t="str">
        <x:v>PROCESSING</x:v>
      </x:c>
      <x:c r="F2093" s="1" t="str">
        <x:v>Advance shipping</x:v>
      </x:c>
      <x:c r="G2093" s="6" t="n">
        <x:v>3</x:v>
      </x:c>
      <x:c r="H2093" s="6" t="n">
        <x:v>4</x:v>
      </x:c>
      <x:c r="I2093" s="6" t="n">
        <x:f>G2093-H2093</x:f>
        <x:v>-1</x:v>
      </x:c>
      <x:c r="J2093" s="6" t="n">
        <x:f>IF(OR(E2093="CANCELED",E2093="SUSPECTED_FRAUD",F2093="Shipping canceled"),0,1)</x:f>
        <x:v>1</x:v>
      </x:c>
      <x:c r="K2093" s="6" t="n">
        <x:f>IF(G2093&gt;H2093,1,0)</x:f>
        <x:v>0</x:v>
      </x:c>
      <x:c r="L2093" s="6" t="n">
        <x:f>J2093*K2093</x:f>
        <x:v>0</x:v>
      </x:c>
    </x:row>
    <x:row r="2094">
      <x:c r="A2094" s="1" t="n">
        <x:v>16459</x:v>
      </x:c>
      <x:c r="B2094" s="5" t="d">
        <x:v>2015-08-29T00:00:00.000Z</x:v>
      </x:c>
      <x:c r="C2094" s="1" t="str">
        <x:v>Standard Class</x:v>
      </x:c>
      <x:c r="D2094" s="1" t="str">
        <x:v>Europe</x:v>
      </x:c>
      <x:c r="E2094" s="1" t="str">
        <x:v>SUSPECTED_FRAUD</x:v>
      </x:c>
      <x:c r="F2094" s="1" t="str">
        <x:v>Shipping canceled</x:v>
      </x:c>
      <x:c r="G2094" s="6" t="n">
        <x:v>5</x:v>
      </x:c>
      <x:c r="H2094" s="6" t="n">
        <x:v>4</x:v>
      </x:c>
      <x:c r="I2094" s="6" t="n">
        <x:f>G2094-H2094</x:f>
        <x:v>1</x:v>
      </x:c>
      <x:c r="J2094" s="6" t="n">
        <x:f>IF(OR(E2094="CANCELED",E2094="SUSPECTED_FRAUD",F2094="Shipping canceled"),0,1)</x:f>
        <x:v>0</x:v>
      </x:c>
      <x:c r="K2094" s="6" t="n">
        <x:f>IF(G2094&gt;H2094,1,0)</x:f>
        <x:v>1</x:v>
      </x:c>
      <x:c r="L2094" s="6" t="n">
        <x:f>J2094*K2094</x:f>
        <x:v>0</x:v>
      </x:c>
    </x:row>
    <x:row r="2095">
      <x:c r="A2095" s="1" t="n">
        <x:v>16464</x:v>
      </x:c>
      <x:c r="B2095" s="5" t="d">
        <x:v>2015-08-29T00:00:00.000Z</x:v>
      </x:c>
      <x:c r="C2095" s="1" t="str">
        <x:v>Standard Class</x:v>
      </x:c>
      <x:c r="D2095" s="1" t="str">
        <x:v>Europe</x:v>
      </x:c>
      <x:c r="E2095" s="1" t="str">
        <x:v>PENDING</x:v>
      </x:c>
      <x:c r="F2095" s="1" t="str">
        <x:v>Late delivery</x:v>
      </x:c>
      <x:c r="G2095" s="6" t="n">
        <x:v>5</x:v>
      </x:c>
      <x:c r="H2095" s="6" t="n">
        <x:v>4</x:v>
      </x:c>
      <x:c r="I2095" s="6" t="n">
        <x:f>G2095-H2095</x:f>
        <x:v>1</x:v>
      </x:c>
      <x:c r="J2095" s="6" t="n">
        <x:f>IF(OR(E2095="CANCELED",E2095="SUSPECTED_FRAUD",F2095="Shipping canceled"),0,1)</x:f>
        <x:v>1</x:v>
      </x:c>
      <x:c r="K2095" s="6" t="n">
        <x:f>IF(G2095&gt;H2095,1,0)</x:f>
        <x:v>1</x:v>
      </x:c>
      <x:c r="L2095" s="6" t="n">
        <x:f>J2095*K2095</x:f>
        <x:v>1</x:v>
      </x:c>
    </x:row>
    <x:row r="2096">
      <x:c r="A2096" s="1" t="n">
        <x:v>16466</x:v>
      </x:c>
      <x:c r="B2096" s="5" t="d">
        <x:v>2015-08-29T00:00:00.000Z</x:v>
      </x:c>
      <x:c r="C2096" s="1" t="str">
        <x:v>Standard Class</x:v>
      </x:c>
      <x:c r="D2096" s="1" t="str">
        <x:v>Europe</x:v>
      </x:c>
      <x:c r="E2096" s="1" t="str">
        <x:v>COMPLETE</x:v>
      </x:c>
      <x:c r="F2096" s="1" t="str">
        <x:v>Advance shipping</x:v>
      </x:c>
      <x:c r="G2096" s="6" t="n">
        <x:v>2</x:v>
      </x:c>
      <x:c r="H2096" s="6" t="n">
        <x:v>4</x:v>
      </x:c>
      <x:c r="I2096" s="6" t="n">
        <x:f>G2096-H2096</x:f>
        <x:v>-2</x:v>
      </x:c>
      <x:c r="J2096" s="6" t="n">
        <x:f>IF(OR(E2096="CANCELED",E2096="SUSPECTED_FRAUD",F2096="Shipping canceled"),0,1)</x:f>
        <x:v>1</x:v>
      </x:c>
      <x:c r="K2096" s="6" t="n">
        <x:f>IF(G2096&gt;H2096,1,0)</x:f>
        <x:v>0</x:v>
      </x:c>
      <x:c r="L2096" s="6" t="n">
        <x:f>J2096*K2096</x:f>
        <x:v>0</x:v>
      </x:c>
    </x:row>
    <x:row r="2097">
      <x:c r="A2097" s="1" t="n">
        <x:v>16471</x:v>
      </x:c>
      <x:c r="B2097" s="5" t="d">
        <x:v>2015-08-29T00:00:00.000Z</x:v>
      </x:c>
      <x:c r="C2097" s="1" t="str">
        <x:v>Standard Class</x:v>
      </x:c>
      <x:c r="D2097" s="1" t="str">
        <x:v>Europe</x:v>
      </x:c>
      <x:c r="E2097" s="1" t="str">
        <x:v>COMPLETE</x:v>
      </x:c>
      <x:c r="F2097" s="1" t="str">
        <x:v>Advance shipping</x:v>
      </x:c>
      <x:c r="G2097" s="6" t="n">
        <x:v>2</x:v>
      </x:c>
      <x:c r="H2097" s="6" t="n">
        <x:v>4</x:v>
      </x:c>
      <x:c r="I2097" s="6" t="n">
        <x:f>G2097-H2097</x:f>
        <x:v>-2</x:v>
      </x:c>
      <x:c r="J2097" s="6" t="n">
        <x:f>IF(OR(E2097="CANCELED",E2097="SUSPECTED_FRAUD",F2097="Shipping canceled"),0,1)</x:f>
        <x:v>1</x:v>
      </x:c>
      <x:c r="K2097" s="6" t="n">
        <x:f>IF(G2097&gt;H2097,1,0)</x:f>
        <x:v>0</x:v>
      </x:c>
      <x:c r="L2097" s="6" t="n">
        <x:f>J2097*K2097</x:f>
        <x:v>0</x:v>
      </x:c>
    </x:row>
    <x:row r="2098">
      <x:c r="A2098" s="1" t="n">
        <x:v>16475</x:v>
      </x:c>
      <x:c r="B2098" s="5" t="d">
        <x:v>2015-08-29T00:00:00.000Z</x:v>
      </x:c>
      <x:c r="C2098" s="1" t="str">
        <x:v>First Class</x:v>
      </x:c>
      <x:c r="D2098" s="1" t="str">
        <x:v>Europe</x:v>
      </x:c>
      <x:c r="E2098" s="1" t="str">
        <x:v>PENDING_PAYMENT</x:v>
      </x:c>
      <x:c r="F2098" s="1" t="str">
        <x:v>Late delivery</x:v>
      </x:c>
      <x:c r="G2098" s="6" t="n">
        <x:v>2</x:v>
      </x:c>
      <x:c r="H2098" s="6" t="n">
        <x:v>1</x:v>
      </x:c>
      <x:c r="I2098" s="6" t="n">
        <x:f>G2098-H2098</x:f>
        <x:v>1</x:v>
      </x:c>
      <x:c r="J2098" s="6" t="n">
        <x:f>IF(OR(E2098="CANCELED",E2098="SUSPECTED_FRAUD",F2098="Shipping canceled"),0,1)</x:f>
        <x:v>1</x:v>
      </x:c>
      <x:c r="K2098" s="6" t="n">
        <x:f>IF(G2098&gt;H2098,1,0)</x:f>
        <x:v>1</x:v>
      </x:c>
      <x:c r="L2098" s="6" t="n">
        <x:f>J2098*K2098</x:f>
        <x:v>1</x:v>
      </x:c>
    </x:row>
    <x:row r="2099">
      <x:c r="A2099" s="1" t="n">
        <x:v>16477</x:v>
      </x:c>
      <x:c r="B2099" s="5" t="d">
        <x:v>2015-08-29T00:00:00.000Z</x:v>
      </x:c>
      <x:c r="C2099" s="1" t="str">
        <x:v>First Class</x:v>
      </x:c>
      <x:c r="D2099" s="1" t="str">
        <x:v>Europe</x:v>
      </x:c>
      <x:c r="E2099" s="1" t="str">
        <x:v>CLOSED</x:v>
      </x:c>
      <x:c r="F2099" s="1" t="str">
        <x:v>Late delivery</x:v>
      </x:c>
      <x:c r="G2099" s="6" t="n">
        <x:v>2</x:v>
      </x:c>
      <x:c r="H2099" s="6" t="n">
        <x:v>1</x:v>
      </x:c>
      <x:c r="I2099" s="6" t="n">
        <x:f>G2099-H2099</x:f>
        <x:v>1</x:v>
      </x:c>
      <x:c r="J2099" s="6" t="n">
        <x:f>IF(OR(E2099="CANCELED",E2099="SUSPECTED_FRAUD",F2099="Shipping canceled"),0,1)</x:f>
        <x:v>1</x:v>
      </x:c>
      <x:c r="K2099" s="6" t="n">
        <x:f>IF(G2099&gt;H2099,1,0)</x:f>
        <x:v>1</x:v>
      </x:c>
      <x:c r="L2099" s="6" t="n">
        <x:f>J2099*K2099</x:f>
        <x:v>1</x:v>
      </x:c>
    </x:row>
    <x:row r="2100">
      <x:c r="A2100" s="1" t="n">
        <x:v>16494</x:v>
      </x:c>
      <x:c r="B2100" s="5" t="d">
        <x:v>2015-08-29T00:00:00.000Z</x:v>
      </x:c>
      <x:c r="C2100" s="1" t="str">
        <x:v>Standard Class</x:v>
      </x:c>
      <x:c r="D2100" s="1" t="str">
        <x:v>Europe</x:v>
      </x:c>
      <x:c r="E2100" s="1" t="str">
        <x:v>COMPLETE</x:v>
      </x:c>
      <x:c r="F2100" s="1" t="str">
        <x:v>Late delivery</x:v>
      </x:c>
      <x:c r="G2100" s="6" t="n">
        <x:v>5</x:v>
      </x:c>
      <x:c r="H2100" s="6" t="n">
        <x:v>4</x:v>
      </x:c>
      <x:c r="I2100" s="6" t="n">
        <x:f>G2100-H2100</x:f>
        <x:v>1</x:v>
      </x:c>
      <x:c r="J2100" s="6" t="n">
        <x:f>IF(OR(E2100="CANCELED",E2100="SUSPECTED_FRAUD",F2100="Shipping canceled"),0,1)</x:f>
        <x:v>1</x:v>
      </x:c>
      <x:c r="K2100" s="6" t="n">
        <x:f>IF(G2100&gt;H2100,1,0)</x:f>
        <x:v>1</x:v>
      </x:c>
      <x:c r="L2100" s="6" t="n">
        <x:f>J2100*K2100</x:f>
        <x:v>1</x:v>
      </x:c>
    </x:row>
    <x:row r="2101">
      <x:c r="A2101" s="1" t="n">
        <x:v>16497</x:v>
      </x:c>
      <x:c r="B2101" s="5" t="d">
        <x:v>2015-08-29T00:00:00.000Z</x:v>
      </x:c>
      <x:c r="C2101" s="1" t="str">
        <x:v>Standard Class</x:v>
      </x:c>
      <x:c r="D2101" s="1" t="str">
        <x:v>Europe</x:v>
      </x:c>
      <x:c r="E2101" s="1" t="str">
        <x:v>ON_HOLD</x:v>
      </x:c>
      <x:c r="F2101" s="1" t="str">
        <x:v>Advance shipping</x:v>
      </x:c>
      <x:c r="G2101" s="6" t="n">
        <x:v>3</x:v>
      </x:c>
      <x:c r="H2101" s="6" t="n">
        <x:v>4</x:v>
      </x:c>
      <x:c r="I2101" s="6" t="n">
        <x:f>G2101-H2101</x:f>
        <x:v>-1</x:v>
      </x:c>
      <x:c r="J2101" s="6" t="n">
        <x:f>IF(OR(E2101="CANCELED",E2101="SUSPECTED_FRAUD",F2101="Shipping canceled"),0,1)</x:f>
        <x:v>1</x:v>
      </x:c>
      <x:c r="K2101" s="6" t="n">
        <x:f>IF(G2101&gt;H2101,1,0)</x:f>
        <x:v>0</x:v>
      </x:c>
      <x:c r="L2101" s="6" t="n">
        <x:f>J2101*K2101</x:f>
        <x:v>0</x:v>
      </x:c>
    </x:row>
    <x:row r="2102">
      <x:c r="A2102" s="1" t="n">
        <x:v>16499</x:v>
      </x:c>
      <x:c r="B2102" s="5" t="d">
        <x:v>2015-08-29T00:00:00.000Z</x:v>
      </x:c>
      <x:c r="C2102" s="1" t="str">
        <x:v>Standard Class</x:v>
      </x:c>
      <x:c r="D2102" s="1" t="str">
        <x:v>Europe</x:v>
      </x:c>
      <x:c r="E2102" s="1" t="str">
        <x:v>PENDING_PAYMENT</x:v>
      </x:c>
      <x:c r="F2102" s="1" t="str">
        <x:v>Late delivery</x:v>
      </x:c>
      <x:c r="G2102" s="6" t="n">
        <x:v>5</x:v>
      </x:c>
      <x:c r="H2102" s="6" t="n">
        <x:v>4</x:v>
      </x:c>
      <x:c r="I2102" s="6" t="n">
        <x:f>G2102-H2102</x:f>
        <x:v>1</x:v>
      </x:c>
      <x:c r="J2102" s="6" t="n">
        <x:f>IF(OR(E2102="CANCELED",E2102="SUSPECTED_FRAUD",F2102="Shipping canceled"),0,1)</x:f>
        <x:v>1</x:v>
      </x:c>
      <x:c r="K2102" s="6" t="n">
        <x:f>IF(G2102&gt;H2102,1,0)</x:f>
        <x:v>1</x:v>
      </x:c>
      <x:c r="L2102" s="6" t="n">
        <x:f>J2102*K2102</x:f>
        <x:v>1</x:v>
      </x:c>
    </x:row>
    <x:row r="2103">
      <x:c r="A2103" s="1" t="n">
        <x:v>16501</x:v>
      </x:c>
      <x:c r="B2103" s="5" t="d">
        <x:v>2015-08-29T00:00:00.000Z</x:v>
      </x:c>
      <x:c r="C2103" s="1" t="str">
        <x:v>Standard Class</x:v>
      </x:c>
      <x:c r="D2103" s="1" t="str">
        <x:v>Europe</x:v>
      </x:c>
      <x:c r="E2103" s="1" t="str">
        <x:v>COMPLETE</x:v>
      </x:c>
      <x:c r="F2103" s="1" t="str">
        <x:v>Advance shipping</x:v>
      </x:c>
      <x:c r="G2103" s="6" t="n">
        <x:v>2</x:v>
      </x:c>
      <x:c r="H2103" s="6" t="n">
        <x:v>4</x:v>
      </x:c>
      <x:c r="I2103" s="6" t="n">
        <x:f>G2103-H2103</x:f>
        <x:v>-2</x:v>
      </x:c>
      <x:c r="J2103" s="6" t="n">
        <x:f>IF(OR(E2103="CANCELED",E2103="SUSPECTED_FRAUD",F2103="Shipping canceled"),0,1)</x:f>
        <x:v>1</x:v>
      </x:c>
      <x:c r="K2103" s="6" t="n">
        <x:f>IF(G2103&gt;H2103,1,0)</x:f>
        <x:v>0</x:v>
      </x:c>
      <x:c r="L2103" s="6" t="n">
        <x:f>J2103*K2103</x:f>
        <x:v>0</x:v>
      </x:c>
    </x:row>
    <x:row r="2104">
      <x:c r="A2104" s="1" t="n">
        <x:v>16505</x:v>
      </x:c>
      <x:c r="B2104" s="5" t="d">
        <x:v>2015-08-29T00:00:00.000Z</x:v>
      </x:c>
      <x:c r="C2104" s="1" t="str">
        <x:v>Standard Class</x:v>
      </x:c>
      <x:c r="D2104" s="1" t="str">
        <x:v>Europe</x:v>
      </x:c>
      <x:c r="E2104" s="1" t="str">
        <x:v>CLOSED</x:v>
      </x:c>
      <x:c r="F2104" s="1" t="str">
        <x:v>Late delivery</x:v>
      </x:c>
      <x:c r="G2104" s="6" t="n">
        <x:v>6</x:v>
      </x:c>
      <x:c r="H2104" s="6" t="n">
        <x:v>4</x:v>
      </x:c>
      <x:c r="I2104" s="6" t="n">
        <x:f>G2104-H2104</x:f>
        <x:v>2</x:v>
      </x:c>
      <x:c r="J2104" s="6" t="n">
        <x:f>IF(OR(E2104="CANCELED",E2104="SUSPECTED_FRAUD",F2104="Shipping canceled"),0,1)</x:f>
        <x:v>1</x:v>
      </x:c>
      <x:c r="K2104" s="6" t="n">
        <x:f>IF(G2104&gt;H2104,1,0)</x:f>
        <x:v>1</x:v>
      </x:c>
      <x:c r="L2104" s="6" t="n">
        <x:f>J2104*K2104</x:f>
        <x:v>1</x:v>
      </x:c>
    </x:row>
    <x:row r="2105">
      <x:c r="A2105" s="1" t="n">
        <x:v>16513</x:v>
      </x:c>
      <x:c r="B2105" s="5" t="d">
        <x:v>2015-08-30T00:00:00.000Z</x:v>
      </x:c>
      <x:c r="C2105" s="1" t="str">
        <x:v>First Class</x:v>
      </x:c>
      <x:c r="D2105" s="1" t="str">
        <x:v>Europe</x:v>
      </x:c>
      <x:c r="E2105" s="1" t="str">
        <x:v>CLOSED</x:v>
      </x:c>
      <x:c r="F2105" s="1" t="str">
        <x:v>Late delivery</x:v>
      </x:c>
      <x:c r="G2105" s="6" t="n">
        <x:v>2</x:v>
      </x:c>
      <x:c r="H2105" s="6" t="n">
        <x:v>1</x:v>
      </x:c>
      <x:c r="I2105" s="6" t="n">
        <x:f>G2105-H2105</x:f>
        <x:v>1</x:v>
      </x:c>
      <x:c r="J2105" s="6" t="n">
        <x:f>IF(OR(E2105="CANCELED",E2105="SUSPECTED_FRAUD",F2105="Shipping canceled"),0,1)</x:f>
        <x:v>1</x:v>
      </x:c>
      <x:c r="K2105" s="6" t="n">
        <x:f>IF(G2105&gt;H2105,1,0)</x:f>
        <x:v>1</x:v>
      </x:c>
      <x:c r="L2105" s="6" t="n">
        <x:f>J2105*K2105</x:f>
        <x:v>1</x:v>
      </x:c>
    </x:row>
    <x:row r="2106">
      <x:c r="A2106" s="1" t="n">
        <x:v>16515</x:v>
      </x:c>
      <x:c r="B2106" s="5" t="d">
        <x:v>2015-08-30T00:00:00.000Z</x:v>
      </x:c>
      <x:c r="C2106" s="1" t="str">
        <x:v>First Class</x:v>
      </x:c>
      <x:c r="D2106" s="1" t="str">
        <x:v>Europe</x:v>
      </x:c>
      <x:c r="E2106" s="1" t="str">
        <x:v>PENDING</x:v>
      </x:c>
      <x:c r="F2106" s="1" t="str">
        <x:v>Late delivery</x:v>
      </x:c>
      <x:c r="G2106" s="6" t="n">
        <x:v>2</x:v>
      </x:c>
      <x:c r="H2106" s="6" t="n">
        <x:v>1</x:v>
      </x:c>
      <x:c r="I2106" s="6" t="n">
        <x:f>G2106-H2106</x:f>
        <x:v>1</x:v>
      </x:c>
      <x:c r="J2106" s="6" t="n">
        <x:f>IF(OR(E2106="CANCELED",E2106="SUSPECTED_FRAUD",F2106="Shipping canceled"),0,1)</x:f>
        <x:v>1</x:v>
      </x:c>
      <x:c r="K2106" s="6" t="n">
        <x:f>IF(G2106&gt;H2106,1,0)</x:f>
        <x:v>1</x:v>
      </x:c>
      <x:c r="L2106" s="6" t="n">
        <x:f>J2106*K2106</x:f>
        <x:v>1</x:v>
      </x:c>
    </x:row>
    <x:row r="2107">
      <x:c r="A2107" s="1" t="n">
        <x:v>16520</x:v>
      </x:c>
      <x:c r="B2107" s="5" t="d">
        <x:v>2015-08-30T00:00:00.000Z</x:v>
      </x:c>
      <x:c r="C2107" s="1" t="str">
        <x:v>Standard Class</x:v>
      </x:c>
      <x:c r="D2107" s="1" t="str">
        <x:v>Europe</x:v>
      </x:c>
      <x:c r="E2107" s="1" t="str">
        <x:v>COMPLETE</x:v>
      </x:c>
      <x:c r="F2107" s="1" t="str">
        <x:v>Late delivery</x:v>
      </x:c>
      <x:c r="G2107" s="6" t="n">
        <x:v>6</x:v>
      </x:c>
      <x:c r="H2107" s="6" t="n">
        <x:v>4</x:v>
      </x:c>
      <x:c r="I2107" s="6" t="n">
        <x:f>G2107-H2107</x:f>
        <x:v>2</x:v>
      </x:c>
      <x:c r="J2107" s="6" t="n">
        <x:f>IF(OR(E2107="CANCELED",E2107="SUSPECTED_FRAUD",F2107="Shipping canceled"),0,1)</x:f>
        <x:v>1</x:v>
      </x:c>
      <x:c r="K2107" s="6" t="n">
        <x:f>IF(G2107&gt;H2107,1,0)</x:f>
        <x:v>1</x:v>
      </x:c>
      <x:c r="L2107" s="6" t="n">
        <x:f>J2107*K2107</x:f>
        <x:v>1</x:v>
      </x:c>
    </x:row>
    <x:row r="2108">
      <x:c r="A2108" s="1" t="n">
        <x:v>16523</x:v>
      </x:c>
      <x:c r="B2108" s="5" t="d">
        <x:v>2015-08-30T00:00:00.000Z</x:v>
      </x:c>
      <x:c r="C2108" s="1" t="str">
        <x:v>Standard Class</x:v>
      </x:c>
      <x:c r="D2108" s="1" t="str">
        <x:v>Europe</x:v>
      </x:c>
      <x:c r="E2108" s="1" t="str">
        <x:v>COMPLETE</x:v>
      </x:c>
      <x:c r="F2108" s="1" t="str">
        <x:v>Shipping on time</x:v>
      </x:c>
      <x:c r="G2108" s="6" t="n">
        <x:v>4</x:v>
      </x:c>
      <x:c r="H2108" s="6" t="n">
        <x:v>4</x:v>
      </x:c>
      <x:c r="I2108" s="6" t="n">
        <x:f>G2108-H2108</x:f>
        <x:v>0</x:v>
      </x:c>
      <x:c r="J2108" s="6" t="n">
        <x:f>IF(OR(E2108="CANCELED",E2108="SUSPECTED_FRAUD",F2108="Shipping canceled"),0,1)</x:f>
        <x:v>1</x:v>
      </x:c>
      <x:c r="K2108" s="6" t="n">
        <x:f>IF(G2108&gt;H2108,1,0)</x:f>
        <x:v>0</x:v>
      </x:c>
      <x:c r="L2108" s="6" t="n">
        <x:f>J2108*K2108</x:f>
        <x:v>0</x:v>
      </x:c>
    </x:row>
    <x:row r="2109">
      <x:c r="A2109" s="1" t="n">
        <x:v>16524</x:v>
      </x:c>
      <x:c r="B2109" s="5" t="d">
        <x:v>2015-08-30T00:00:00.000Z</x:v>
      </x:c>
      <x:c r="C2109" s="1" t="str">
        <x:v>Standard Class</x:v>
      </x:c>
      <x:c r="D2109" s="1" t="str">
        <x:v>Europe</x:v>
      </x:c>
      <x:c r="E2109" s="1" t="str">
        <x:v>CLOSED</x:v>
      </x:c>
      <x:c r="F2109" s="1" t="str">
        <x:v>Late delivery</x:v>
      </x:c>
      <x:c r="G2109" s="6" t="n">
        <x:v>5</x:v>
      </x:c>
      <x:c r="H2109" s="6" t="n">
        <x:v>4</x:v>
      </x:c>
      <x:c r="I2109" s="6" t="n">
        <x:f>G2109-H2109</x:f>
        <x:v>1</x:v>
      </x:c>
      <x:c r="J2109" s="6" t="n">
        <x:f>IF(OR(E2109="CANCELED",E2109="SUSPECTED_FRAUD",F2109="Shipping canceled"),0,1)</x:f>
        <x:v>1</x:v>
      </x:c>
      <x:c r="K2109" s="6" t="n">
        <x:f>IF(G2109&gt;H2109,1,0)</x:f>
        <x:v>1</x:v>
      </x:c>
      <x:c r="L2109" s="6" t="n">
        <x:f>J2109*K2109</x:f>
        <x:v>1</x:v>
      </x:c>
    </x:row>
    <x:row r="2110">
      <x:c r="A2110" s="1" t="n">
        <x:v>16537</x:v>
      </x:c>
      <x:c r="B2110" s="5" t="d">
        <x:v>2015-08-30T00:00:00.000Z</x:v>
      </x:c>
      <x:c r="C2110" s="1" t="str">
        <x:v>Second Class</x:v>
      </x:c>
      <x:c r="D2110" s="1" t="str">
        <x:v>Europe</x:v>
      </x:c>
      <x:c r="E2110" s="1" t="str">
        <x:v>CLOSED</x:v>
      </x:c>
      <x:c r="F2110" s="1" t="str">
        <x:v>Late delivery</x:v>
      </x:c>
      <x:c r="G2110" s="6" t="n">
        <x:v>3</x:v>
      </x:c>
      <x:c r="H2110" s="6" t="n">
        <x:v>2</x:v>
      </x:c>
      <x:c r="I2110" s="6" t="n">
        <x:f>G2110-H2110</x:f>
        <x:v>1</x:v>
      </x:c>
      <x:c r="J2110" s="6" t="n">
        <x:f>IF(OR(E2110="CANCELED",E2110="SUSPECTED_FRAUD",F2110="Shipping canceled"),0,1)</x:f>
        <x:v>1</x:v>
      </x:c>
      <x:c r="K2110" s="6" t="n">
        <x:f>IF(G2110&gt;H2110,1,0)</x:f>
        <x:v>1</x:v>
      </x:c>
      <x:c r="L2110" s="6" t="n">
        <x:f>J2110*K2110</x:f>
        <x:v>1</x:v>
      </x:c>
    </x:row>
    <x:row r="2111">
      <x:c r="A2111" s="1" t="n">
        <x:v>16544</x:v>
      </x:c>
      <x:c r="B2111" s="5" t="d">
        <x:v>2015-08-30T00:00:00.000Z</x:v>
      </x:c>
      <x:c r="C2111" s="1" t="str">
        <x:v>First Class</x:v>
      </x:c>
      <x:c r="D2111" s="1" t="str">
        <x:v>Europe</x:v>
      </x:c>
      <x:c r="E2111" s="1" t="str">
        <x:v>PENDING_PAYMENT</x:v>
      </x:c>
      <x:c r="F2111" s="1" t="str">
        <x:v>Late delivery</x:v>
      </x:c>
      <x:c r="G2111" s="6" t="n">
        <x:v>2</x:v>
      </x:c>
      <x:c r="H2111" s="6" t="n">
        <x:v>1</x:v>
      </x:c>
      <x:c r="I2111" s="6" t="n">
        <x:f>G2111-H2111</x:f>
        <x:v>1</x:v>
      </x:c>
      <x:c r="J2111" s="6" t="n">
        <x:f>IF(OR(E2111="CANCELED",E2111="SUSPECTED_FRAUD",F2111="Shipping canceled"),0,1)</x:f>
        <x:v>1</x:v>
      </x:c>
      <x:c r="K2111" s="6" t="n">
        <x:f>IF(G2111&gt;H2111,1,0)</x:f>
        <x:v>1</x:v>
      </x:c>
      <x:c r="L2111" s="6" t="n">
        <x:f>J2111*K2111</x:f>
        <x:v>1</x:v>
      </x:c>
    </x:row>
    <x:row r="2112">
      <x:c r="A2112" s="1" t="n">
        <x:v>16548</x:v>
      </x:c>
      <x:c r="B2112" s="5" t="d">
        <x:v>2015-08-30T00:00:00.000Z</x:v>
      </x:c>
      <x:c r="C2112" s="1" t="str">
        <x:v>Standard Class</x:v>
      </x:c>
      <x:c r="D2112" s="1" t="str">
        <x:v>Europe</x:v>
      </x:c>
      <x:c r="E2112" s="1" t="str">
        <x:v>CANCELED</x:v>
      </x:c>
      <x:c r="F2112" s="1" t="str">
        <x:v>Shipping canceled</x:v>
      </x:c>
      <x:c r="G2112" s="6" t="n">
        <x:v>4</x:v>
      </x:c>
      <x:c r="H2112" s="6" t="n">
        <x:v>4</x:v>
      </x:c>
      <x:c r="I2112" s="6" t="n">
        <x:f>G2112-H2112</x:f>
        <x:v>0</x:v>
      </x:c>
      <x:c r="J2112" s="6" t="n">
        <x:f>IF(OR(E2112="CANCELED",E2112="SUSPECTED_FRAUD",F2112="Shipping canceled"),0,1)</x:f>
        <x:v>0</x:v>
      </x:c>
      <x:c r="K2112" s="6" t="n">
        <x:f>IF(G2112&gt;H2112,1,0)</x:f>
        <x:v>0</x:v>
      </x:c>
      <x:c r="L2112" s="6" t="n">
        <x:f>J2112*K2112</x:f>
        <x:v>0</x:v>
      </x:c>
    </x:row>
    <x:row r="2113">
      <x:c r="A2113" s="1" t="n">
        <x:v>16555</x:v>
      </x:c>
      <x:c r="B2113" s="5" t="d">
        <x:v>2015-08-30T00:00:00.000Z</x:v>
      </x:c>
      <x:c r="C2113" s="1" t="str">
        <x:v>Second Class</x:v>
      </x:c>
      <x:c r="D2113" s="1" t="str">
        <x:v>Europe</x:v>
      </x:c>
      <x:c r="E2113" s="1" t="str">
        <x:v>ON_HOLD</x:v>
      </x:c>
      <x:c r="F2113" s="1" t="str">
        <x:v>Late delivery</x:v>
      </x:c>
      <x:c r="G2113" s="6" t="n">
        <x:v>6</x:v>
      </x:c>
      <x:c r="H2113" s="6" t="n">
        <x:v>2</x:v>
      </x:c>
      <x:c r="I2113" s="6" t="n">
        <x:f>G2113-H2113</x:f>
        <x:v>4</x:v>
      </x:c>
      <x:c r="J2113" s="6" t="n">
        <x:f>IF(OR(E2113="CANCELED",E2113="SUSPECTED_FRAUD",F2113="Shipping canceled"),0,1)</x:f>
        <x:v>1</x:v>
      </x:c>
      <x:c r="K2113" s="6" t="n">
        <x:f>IF(G2113&gt;H2113,1,0)</x:f>
        <x:v>1</x:v>
      </x:c>
      <x:c r="L2113" s="6" t="n">
        <x:f>J2113*K2113</x:f>
        <x:v>1</x:v>
      </x:c>
    </x:row>
    <x:row r="2114">
      <x:c r="A2114" s="1" t="n">
        <x:v>16557</x:v>
      </x:c>
      <x:c r="B2114" s="5" t="d">
        <x:v>2015-08-30T00:00:00.000Z</x:v>
      </x:c>
      <x:c r="C2114" s="1" t="str">
        <x:v>Standard Class</x:v>
      </x:c>
      <x:c r="D2114" s="1" t="str">
        <x:v>Europe</x:v>
      </x:c>
      <x:c r="E2114" s="1" t="str">
        <x:v>PROCESSING</x:v>
      </x:c>
      <x:c r="F2114" s="1" t="str">
        <x:v>Advance shipping</x:v>
      </x:c>
      <x:c r="G2114" s="6" t="n">
        <x:v>3</x:v>
      </x:c>
      <x:c r="H2114" s="6" t="n">
        <x:v>4</x:v>
      </x:c>
      <x:c r="I2114" s="6" t="n">
        <x:f>G2114-H2114</x:f>
        <x:v>-1</x:v>
      </x:c>
      <x:c r="J2114" s="6" t="n">
        <x:f>IF(OR(E2114="CANCELED",E2114="SUSPECTED_FRAUD",F2114="Shipping canceled"),0,1)</x:f>
        <x:v>1</x:v>
      </x:c>
      <x:c r="K2114" s="6" t="n">
        <x:f>IF(G2114&gt;H2114,1,0)</x:f>
        <x:v>0</x:v>
      </x:c>
      <x:c r="L2114" s="6" t="n">
        <x:f>J2114*K2114</x:f>
        <x:v>0</x:v>
      </x:c>
    </x:row>
    <x:row r="2115">
      <x:c r="A2115" s="1" t="n">
        <x:v>16561</x:v>
      </x:c>
      <x:c r="B2115" s="5" t="d">
        <x:v>2015-08-30T00:00:00.000Z</x:v>
      </x:c>
      <x:c r="C2115" s="1" t="str">
        <x:v>Standard Class</x:v>
      </x:c>
      <x:c r="D2115" s="1" t="str">
        <x:v>Europe</x:v>
      </x:c>
      <x:c r="E2115" s="1" t="str">
        <x:v>CANCELED</x:v>
      </x:c>
      <x:c r="F2115" s="1" t="str">
        <x:v>Shipping canceled</x:v>
      </x:c>
      <x:c r="G2115" s="6" t="n">
        <x:v>2</x:v>
      </x:c>
      <x:c r="H2115" s="6" t="n">
        <x:v>4</x:v>
      </x:c>
      <x:c r="I2115" s="6" t="n">
        <x:f>G2115-H2115</x:f>
        <x:v>-2</x:v>
      </x:c>
      <x:c r="J2115" s="6" t="n">
        <x:f>IF(OR(E2115="CANCELED",E2115="SUSPECTED_FRAUD",F2115="Shipping canceled"),0,1)</x:f>
        <x:v>0</x:v>
      </x:c>
      <x:c r="K2115" s="6" t="n">
        <x:f>IF(G2115&gt;H2115,1,0)</x:f>
        <x:v>0</x:v>
      </x:c>
      <x:c r="L2115" s="6" t="n">
        <x:f>J2115*K2115</x:f>
        <x:v>0</x:v>
      </x:c>
    </x:row>
    <x:row r="2116">
      <x:c r="A2116" s="1" t="n">
        <x:v>16571</x:v>
      </x:c>
      <x:c r="B2116" s="5" t="d">
        <x:v>2015-08-30T00:00:00.000Z</x:v>
      </x:c>
      <x:c r="C2116" s="1" t="str">
        <x:v>Standard Class</x:v>
      </x:c>
      <x:c r="D2116" s="1" t="str">
        <x:v>Europe</x:v>
      </x:c>
      <x:c r="E2116" s="1" t="str">
        <x:v>ON_HOLD</x:v>
      </x:c>
      <x:c r="F2116" s="1" t="str">
        <x:v>Advance shipping</x:v>
      </x:c>
      <x:c r="G2116" s="6" t="n">
        <x:v>2</x:v>
      </x:c>
      <x:c r="H2116" s="6" t="n">
        <x:v>4</x:v>
      </x:c>
      <x:c r="I2116" s="6" t="n">
        <x:f>G2116-H2116</x:f>
        <x:v>-2</x:v>
      </x:c>
      <x:c r="J2116" s="6" t="n">
        <x:f>IF(OR(E2116="CANCELED",E2116="SUSPECTED_FRAUD",F2116="Shipping canceled"),0,1)</x:f>
        <x:v>1</x:v>
      </x:c>
      <x:c r="K2116" s="6" t="n">
        <x:f>IF(G2116&gt;H2116,1,0)</x:f>
        <x:v>0</x:v>
      </x:c>
      <x:c r="L2116" s="6" t="n">
        <x:f>J2116*K2116</x:f>
        <x:v>0</x:v>
      </x:c>
    </x:row>
    <x:row r="2117">
      <x:c r="A2117" s="1" t="n">
        <x:v>16584</x:v>
      </x:c>
      <x:c r="B2117" s="5" t="d">
        <x:v>2015-08-31T00:00:00.000Z</x:v>
      </x:c>
      <x:c r="C2117" s="1" t="str">
        <x:v>Standard Class</x:v>
      </x:c>
      <x:c r="D2117" s="1" t="str">
        <x:v>Europe</x:v>
      </x:c>
      <x:c r="E2117" s="1" t="str">
        <x:v>PROCESSING</x:v>
      </x:c>
      <x:c r="F2117" s="1" t="str">
        <x:v>Late delivery</x:v>
      </x:c>
      <x:c r="G2117" s="6" t="n">
        <x:v>5</x:v>
      </x:c>
      <x:c r="H2117" s="6" t="n">
        <x:v>4</x:v>
      </x:c>
      <x:c r="I2117" s="6" t="n">
        <x:f>G2117-H2117</x:f>
        <x:v>1</x:v>
      </x:c>
      <x:c r="J2117" s="6" t="n">
        <x:f>IF(OR(E2117="CANCELED",E2117="SUSPECTED_FRAUD",F2117="Shipping canceled"),0,1)</x:f>
        <x:v>1</x:v>
      </x:c>
      <x:c r="K2117" s="6" t="n">
        <x:f>IF(G2117&gt;H2117,1,0)</x:f>
        <x:v>1</x:v>
      </x:c>
      <x:c r="L2117" s="6" t="n">
        <x:f>J2117*K2117</x:f>
        <x:v>1</x:v>
      </x:c>
    </x:row>
    <x:row r="2118">
      <x:c r="A2118" s="1" t="n">
        <x:v>16590</x:v>
      </x:c>
      <x:c r="B2118" s="5" t="d">
        <x:v>2015-08-31T00:00:00.000Z</x:v>
      </x:c>
      <x:c r="C2118" s="1" t="str">
        <x:v>Standard Class</x:v>
      </x:c>
      <x:c r="D2118" s="1" t="str">
        <x:v>Europe</x:v>
      </x:c>
      <x:c r="E2118" s="1" t="str">
        <x:v>CANCELED</x:v>
      </x:c>
      <x:c r="F2118" s="1" t="str">
        <x:v>Shipping canceled</x:v>
      </x:c>
      <x:c r="G2118" s="6" t="n">
        <x:v>6</x:v>
      </x:c>
      <x:c r="H2118" s="6" t="n">
        <x:v>4</x:v>
      </x:c>
      <x:c r="I2118" s="6" t="n">
        <x:f>G2118-H2118</x:f>
        <x:v>2</x:v>
      </x:c>
      <x:c r="J2118" s="6" t="n">
        <x:f>IF(OR(E2118="CANCELED",E2118="SUSPECTED_FRAUD",F2118="Shipping canceled"),0,1)</x:f>
        <x:v>0</x:v>
      </x:c>
      <x:c r="K2118" s="6" t="n">
        <x:f>IF(G2118&gt;H2118,1,0)</x:f>
        <x:v>1</x:v>
      </x:c>
      <x:c r="L2118" s="6" t="n">
        <x:f>J2118*K2118</x:f>
        <x:v>0</x:v>
      </x:c>
    </x:row>
    <x:row r="2119">
      <x:c r="A2119" s="1" t="n">
        <x:v>16591</x:v>
      </x:c>
      <x:c r="B2119" s="5" t="d">
        <x:v>2015-08-31T00:00:00.000Z</x:v>
      </x:c>
      <x:c r="C2119" s="1" t="str">
        <x:v>Standard Class</x:v>
      </x:c>
      <x:c r="D2119" s="1" t="str">
        <x:v>Europe</x:v>
      </x:c>
      <x:c r="E2119" s="1" t="str">
        <x:v>ON_HOLD</x:v>
      </x:c>
      <x:c r="F2119" s="1" t="str">
        <x:v>Advance shipping</x:v>
      </x:c>
      <x:c r="G2119" s="6" t="n">
        <x:v>2</x:v>
      </x:c>
      <x:c r="H2119" s="6" t="n">
        <x:v>4</x:v>
      </x:c>
      <x:c r="I2119" s="6" t="n">
        <x:f>G2119-H2119</x:f>
        <x:v>-2</x:v>
      </x:c>
      <x:c r="J2119" s="6" t="n">
        <x:f>IF(OR(E2119="CANCELED",E2119="SUSPECTED_FRAUD",F2119="Shipping canceled"),0,1)</x:f>
        <x:v>1</x:v>
      </x:c>
      <x:c r="K2119" s="6" t="n">
        <x:f>IF(G2119&gt;H2119,1,0)</x:f>
        <x:v>0</x:v>
      </x:c>
      <x:c r="L2119" s="6" t="n">
        <x:f>J2119*K2119</x:f>
        <x:v>0</x:v>
      </x:c>
    </x:row>
    <x:row r="2120">
      <x:c r="A2120" s="1" t="n">
        <x:v>16600</x:v>
      </x:c>
      <x:c r="B2120" s="5" t="d">
        <x:v>2015-08-31T00:00:00.000Z</x:v>
      </x:c>
      <x:c r="C2120" s="1" t="str">
        <x:v>Standard Class</x:v>
      </x:c>
      <x:c r="D2120" s="1" t="str">
        <x:v>Europe</x:v>
      </x:c>
      <x:c r="E2120" s="1" t="str">
        <x:v>PENDING</x:v>
      </x:c>
      <x:c r="F2120" s="1" t="str">
        <x:v>Late delivery</x:v>
      </x:c>
      <x:c r="G2120" s="6" t="n">
        <x:v>6</x:v>
      </x:c>
      <x:c r="H2120" s="6" t="n">
        <x:v>4</x:v>
      </x:c>
      <x:c r="I2120" s="6" t="n">
        <x:f>G2120-H2120</x:f>
        <x:v>2</x:v>
      </x:c>
      <x:c r="J2120" s="6" t="n">
        <x:f>IF(OR(E2120="CANCELED",E2120="SUSPECTED_FRAUD",F2120="Shipping canceled"),0,1)</x:f>
        <x:v>1</x:v>
      </x:c>
      <x:c r="K2120" s="6" t="n">
        <x:f>IF(G2120&gt;H2120,1,0)</x:f>
        <x:v>1</x:v>
      </x:c>
      <x:c r="L2120" s="6" t="n">
        <x:f>J2120*K2120</x:f>
        <x:v>1</x:v>
      </x:c>
    </x:row>
    <x:row r="2121">
      <x:c r="A2121" s="1" t="n">
        <x:v>16615</x:v>
      </x:c>
      <x:c r="B2121" s="5" t="d">
        <x:v>2015-08-31T00:00:00.000Z</x:v>
      </x:c>
      <x:c r="C2121" s="1" t="str">
        <x:v>Standard Class</x:v>
      </x:c>
      <x:c r="D2121" s="1" t="str">
        <x:v>Europe</x:v>
      </x:c>
      <x:c r="E2121" s="1" t="str">
        <x:v>COMPLETE</x:v>
      </x:c>
      <x:c r="F2121" s="1" t="str">
        <x:v>Late delivery</x:v>
      </x:c>
      <x:c r="G2121" s="6" t="n">
        <x:v>6</x:v>
      </x:c>
      <x:c r="H2121" s="6" t="n">
        <x:v>4</x:v>
      </x:c>
      <x:c r="I2121" s="6" t="n">
        <x:f>G2121-H2121</x:f>
        <x:v>2</x:v>
      </x:c>
      <x:c r="J2121" s="6" t="n">
        <x:f>IF(OR(E2121="CANCELED",E2121="SUSPECTED_FRAUD",F2121="Shipping canceled"),0,1)</x:f>
        <x:v>1</x:v>
      </x:c>
      <x:c r="K2121" s="6" t="n">
        <x:f>IF(G2121&gt;H2121,1,0)</x:f>
        <x:v>1</x:v>
      </x:c>
      <x:c r="L2121" s="6" t="n">
        <x:f>J2121*K2121</x:f>
        <x:v>1</x:v>
      </x:c>
    </x:row>
    <x:row r="2122">
      <x:c r="A2122" s="1" t="n">
        <x:v>16617</x:v>
      </x:c>
      <x:c r="B2122" s="5" t="d">
        <x:v>2015-08-31T00:00:00.000Z</x:v>
      </x:c>
      <x:c r="C2122" s="1" t="str">
        <x:v>Second Class</x:v>
      </x:c>
      <x:c r="D2122" s="1" t="str">
        <x:v>Europe</x:v>
      </x:c>
      <x:c r="E2122" s="1" t="str">
        <x:v>COMPLETE</x:v>
      </x:c>
      <x:c r="F2122" s="1" t="str">
        <x:v>Late delivery</x:v>
      </x:c>
      <x:c r="G2122" s="6" t="n">
        <x:v>3</x:v>
      </x:c>
      <x:c r="H2122" s="6" t="n">
        <x:v>2</x:v>
      </x:c>
      <x:c r="I2122" s="6" t="n">
        <x:f>G2122-H2122</x:f>
        <x:v>1</x:v>
      </x:c>
      <x:c r="J2122" s="6" t="n">
        <x:f>IF(OR(E2122="CANCELED",E2122="SUSPECTED_FRAUD",F2122="Shipping canceled"),0,1)</x:f>
        <x:v>1</x:v>
      </x:c>
      <x:c r="K2122" s="6" t="n">
        <x:f>IF(G2122&gt;H2122,1,0)</x:f>
        <x:v>1</x:v>
      </x:c>
      <x:c r="L2122" s="6" t="n">
        <x:f>J2122*K2122</x:f>
        <x:v>1</x:v>
      </x:c>
    </x:row>
    <x:row r="2123">
      <x:c r="A2123" s="1" t="n">
        <x:v>16646</x:v>
      </x:c>
      <x:c r="B2123" s="5" t="d">
        <x:v>2015-08-31T00:00:00.000Z</x:v>
      </x:c>
      <x:c r="C2123" s="1" t="str">
        <x:v>Standard Class</x:v>
      </x:c>
      <x:c r="D2123" s="1" t="str">
        <x:v>Europe</x:v>
      </x:c>
      <x:c r="E2123" s="1" t="str">
        <x:v>COMPLETE</x:v>
      </x:c>
      <x:c r="F2123" s="1" t="str">
        <x:v>Advance shipping</x:v>
      </x:c>
      <x:c r="G2123" s="6" t="n">
        <x:v>2</x:v>
      </x:c>
      <x:c r="H2123" s="6" t="n">
        <x:v>4</x:v>
      </x:c>
      <x:c r="I2123" s="6" t="n">
        <x:f>G2123-H2123</x:f>
        <x:v>-2</x:v>
      </x:c>
      <x:c r="J2123" s="6" t="n">
        <x:f>IF(OR(E2123="CANCELED",E2123="SUSPECTED_FRAUD",F2123="Shipping canceled"),0,1)</x:f>
        <x:v>1</x:v>
      </x:c>
      <x:c r="K2123" s="6" t="n">
        <x:f>IF(G2123&gt;H2123,1,0)</x:f>
        <x:v>0</x:v>
      </x:c>
      <x:c r="L2123" s="6" t="n">
        <x:f>J2123*K2123</x:f>
        <x:v>0</x:v>
      </x:c>
    </x:row>
    <x:row r="2124">
      <x:c r="A2124" s="1" t="n">
        <x:v>16654</x:v>
      </x:c>
      <x:c r="B2124" s="5" t="d">
        <x:v>2015-09-01T00:00:00.000Z</x:v>
      </x:c>
      <x:c r="C2124" s="1" t="str">
        <x:v>Standard Class</x:v>
      </x:c>
      <x:c r="D2124" s="1" t="str">
        <x:v>Europe</x:v>
      </x:c>
      <x:c r="E2124" s="1" t="str">
        <x:v>PENDING_PAYMENT</x:v>
      </x:c>
      <x:c r="F2124" s="1" t="str">
        <x:v>Late delivery</x:v>
      </x:c>
      <x:c r="G2124" s="6" t="n">
        <x:v>5</x:v>
      </x:c>
      <x:c r="H2124" s="6" t="n">
        <x:v>4</x:v>
      </x:c>
      <x:c r="I2124" s="6" t="n">
        <x:f>G2124-H2124</x:f>
        <x:v>1</x:v>
      </x:c>
      <x:c r="J2124" s="6" t="n">
        <x:f>IF(OR(E2124="CANCELED",E2124="SUSPECTED_FRAUD",F2124="Shipping canceled"),0,1)</x:f>
        <x:v>1</x:v>
      </x:c>
      <x:c r="K2124" s="6" t="n">
        <x:f>IF(G2124&gt;H2124,1,0)</x:f>
        <x:v>1</x:v>
      </x:c>
      <x:c r="L2124" s="6" t="n">
        <x:f>J2124*K2124</x:f>
        <x:v>1</x:v>
      </x:c>
    </x:row>
    <x:row r="2125">
      <x:c r="A2125" s="1" t="n">
        <x:v>16656</x:v>
      </x:c>
      <x:c r="B2125" s="5" t="d">
        <x:v>2015-09-01T00:00:00.000Z</x:v>
      </x:c>
      <x:c r="C2125" s="1" t="str">
        <x:v>Standard Class</x:v>
      </x:c>
      <x:c r="D2125" s="1" t="str">
        <x:v>Europe</x:v>
      </x:c>
      <x:c r="E2125" s="1" t="str">
        <x:v>SUSPECTED_FRAUD</x:v>
      </x:c>
      <x:c r="F2125" s="1" t="str">
        <x:v>Shipping canceled</x:v>
      </x:c>
      <x:c r="G2125" s="6" t="n">
        <x:v>2</x:v>
      </x:c>
      <x:c r="H2125" s="6" t="n">
        <x:v>4</x:v>
      </x:c>
      <x:c r="I2125" s="6" t="n">
        <x:f>G2125-H2125</x:f>
        <x:v>-2</x:v>
      </x:c>
      <x:c r="J2125" s="6" t="n">
        <x:f>IF(OR(E2125="CANCELED",E2125="SUSPECTED_FRAUD",F2125="Shipping canceled"),0,1)</x:f>
        <x:v>0</x:v>
      </x:c>
      <x:c r="K2125" s="6" t="n">
        <x:f>IF(G2125&gt;H2125,1,0)</x:f>
        <x:v>0</x:v>
      </x:c>
      <x:c r="L2125" s="6" t="n">
        <x:f>J2125*K2125</x:f>
        <x:v>0</x:v>
      </x:c>
    </x:row>
    <x:row r="2126">
      <x:c r="A2126" s="1" t="n">
        <x:v>16659</x:v>
      </x:c>
      <x:c r="B2126" s="5" t="d">
        <x:v>2015-09-01T00:00:00.000Z</x:v>
      </x:c>
      <x:c r="C2126" s="1" t="str">
        <x:v>Standard Class</x:v>
      </x:c>
      <x:c r="D2126" s="1" t="str">
        <x:v>Europe</x:v>
      </x:c>
      <x:c r="E2126" s="1" t="str">
        <x:v>COMPLETE</x:v>
      </x:c>
      <x:c r="F2126" s="1" t="str">
        <x:v>Late delivery</x:v>
      </x:c>
      <x:c r="G2126" s="6" t="n">
        <x:v>5</x:v>
      </x:c>
      <x:c r="H2126" s="6" t="n">
        <x:v>4</x:v>
      </x:c>
      <x:c r="I2126" s="6" t="n">
        <x:f>G2126-H2126</x:f>
        <x:v>1</x:v>
      </x:c>
      <x:c r="J2126" s="6" t="n">
        <x:f>IF(OR(E2126="CANCELED",E2126="SUSPECTED_FRAUD",F2126="Shipping canceled"),0,1)</x:f>
        <x:v>1</x:v>
      </x:c>
      <x:c r="K2126" s="6" t="n">
        <x:f>IF(G2126&gt;H2126,1,0)</x:f>
        <x:v>1</x:v>
      </x:c>
      <x:c r="L2126" s="6" t="n">
        <x:f>J2126*K2126</x:f>
        <x:v>1</x:v>
      </x:c>
    </x:row>
    <x:row r="2127">
      <x:c r="A2127" s="1" t="n">
        <x:v>16662</x:v>
      </x:c>
      <x:c r="B2127" s="5" t="d">
        <x:v>2015-09-01T00:00:00.000Z</x:v>
      </x:c>
      <x:c r="C2127" s="1" t="str">
        <x:v>Standard Class</x:v>
      </x:c>
      <x:c r="D2127" s="1" t="str">
        <x:v>Europe</x:v>
      </x:c>
      <x:c r="E2127" s="1" t="str">
        <x:v>PENDING</x:v>
      </x:c>
      <x:c r="F2127" s="1" t="str">
        <x:v>Advance shipping</x:v>
      </x:c>
      <x:c r="G2127" s="6" t="n">
        <x:v>3</x:v>
      </x:c>
      <x:c r="H2127" s="6" t="n">
        <x:v>4</x:v>
      </x:c>
      <x:c r="I2127" s="6" t="n">
        <x:f>G2127-H2127</x:f>
        <x:v>-1</x:v>
      </x:c>
      <x:c r="J2127" s="6" t="n">
        <x:f>IF(OR(E2127="CANCELED",E2127="SUSPECTED_FRAUD",F2127="Shipping canceled"),0,1)</x:f>
        <x:v>1</x:v>
      </x:c>
      <x:c r="K2127" s="6" t="n">
        <x:f>IF(G2127&gt;H2127,1,0)</x:f>
        <x:v>0</x:v>
      </x:c>
      <x:c r="L2127" s="6" t="n">
        <x:f>J2127*K2127</x:f>
        <x:v>0</x:v>
      </x:c>
    </x:row>
    <x:row r="2128">
      <x:c r="A2128" s="1" t="n">
        <x:v>16663</x:v>
      </x:c>
      <x:c r="B2128" s="5" t="d">
        <x:v>2015-09-01T00:00:00.000Z</x:v>
      </x:c>
      <x:c r="C2128" s="1" t="str">
        <x:v>Standard Class</x:v>
      </x:c>
      <x:c r="D2128" s="1" t="str">
        <x:v>Europe</x:v>
      </x:c>
      <x:c r="E2128" s="1" t="str">
        <x:v>COMPLETE</x:v>
      </x:c>
      <x:c r="F2128" s="1" t="str">
        <x:v>Shipping on time</x:v>
      </x:c>
      <x:c r="G2128" s="6" t="n">
        <x:v>4</x:v>
      </x:c>
      <x:c r="H2128" s="6" t="n">
        <x:v>4</x:v>
      </x:c>
      <x:c r="I2128" s="6" t="n">
        <x:f>G2128-H2128</x:f>
        <x:v>0</x:v>
      </x:c>
      <x:c r="J2128" s="6" t="n">
        <x:f>IF(OR(E2128="CANCELED",E2128="SUSPECTED_FRAUD",F2128="Shipping canceled"),0,1)</x:f>
        <x:v>1</x:v>
      </x:c>
      <x:c r="K2128" s="6" t="n">
        <x:f>IF(G2128&gt;H2128,1,0)</x:f>
        <x:v>0</x:v>
      </x:c>
      <x:c r="L2128" s="6" t="n">
        <x:f>J2128*K2128</x:f>
        <x:v>0</x:v>
      </x:c>
    </x:row>
    <x:row r="2129">
      <x:c r="A2129" s="1" t="n">
        <x:v>16669</x:v>
      </x:c>
      <x:c r="B2129" s="5" t="d">
        <x:v>2015-09-01T00:00:00.000Z</x:v>
      </x:c>
      <x:c r="C2129" s="1" t="str">
        <x:v>Standard Class</x:v>
      </x:c>
      <x:c r="D2129" s="1" t="str">
        <x:v>Europe</x:v>
      </x:c>
      <x:c r="E2129" s="1" t="str">
        <x:v>COMPLETE</x:v>
      </x:c>
      <x:c r="F2129" s="1" t="str">
        <x:v>Late delivery</x:v>
      </x:c>
      <x:c r="G2129" s="6" t="n">
        <x:v>5</x:v>
      </x:c>
      <x:c r="H2129" s="6" t="n">
        <x:v>4</x:v>
      </x:c>
      <x:c r="I2129" s="6" t="n">
        <x:f>G2129-H2129</x:f>
        <x:v>1</x:v>
      </x:c>
      <x:c r="J2129" s="6" t="n">
        <x:f>IF(OR(E2129="CANCELED",E2129="SUSPECTED_FRAUD",F2129="Shipping canceled"),0,1)</x:f>
        <x:v>1</x:v>
      </x:c>
      <x:c r="K2129" s="6" t="n">
        <x:f>IF(G2129&gt;H2129,1,0)</x:f>
        <x:v>1</x:v>
      </x:c>
      <x:c r="L2129" s="6" t="n">
        <x:f>J2129*K2129</x:f>
        <x:v>1</x:v>
      </x:c>
    </x:row>
    <x:row r="2130">
      <x:c r="A2130" s="1" t="n">
        <x:v>16670</x:v>
      </x:c>
      <x:c r="B2130" s="5" t="d">
        <x:v>2015-09-01T00:00:00.000Z</x:v>
      </x:c>
      <x:c r="C2130" s="1" t="str">
        <x:v>Standard Class</x:v>
      </x:c>
      <x:c r="D2130" s="1" t="str">
        <x:v>Europe</x:v>
      </x:c>
      <x:c r="E2130" s="1" t="str">
        <x:v>COMPLETE</x:v>
      </x:c>
      <x:c r="F2130" s="1" t="str">
        <x:v>Late delivery</x:v>
      </x:c>
      <x:c r="G2130" s="6" t="n">
        <x:v>6</x:v>
      </x:c>
      <x:c r="H2130" s="6" t="n">
        <x:v>4</x:v>
      </x:c>
      <x:c r="I2130" s="6" t="n">
        <x:f>G2130-H2130</x:f>
        <x:v>2</x:v>
      </x:c>
      <x:c r="J2130" s="6" t="n">
        <x:f>IF(OR(E2130="CANCELED",E2130="SUSPECTED_FRAUD",F2130="Shipping canceled"),0,1)</x:f>
        <x:v>1</x:v>
      </x:c>
      <x:c r="K2130" s="6" t="n">
        <x:f>IF(G2130&gt;H2130,1,0)</x:f>
        <x:v>1</x:v>
      </x:c>
      <x:c r="L2130" s="6" t="n">
        <x:f>J2130*K2130</x:f>
        <x:v>1</x:v>
      </x:c>
    </x:row>
    <x:row r="2131">
      <x:c r="A2131" s="1" t="n">
        <x:v>16682</x:v>
      </x:c>
      <x:c r="B2131" s="5" t="d">
        <x:v>2015-09-01T00:00:00.000Z</x:v>
      </x:c>
      <x:c r="C2131" s="1" t="str">
        <x:v>Standard Class</x:v>
      </x:c>
      <x:c r="D2131" s="1" t="str">
        <x:v>Europe</x:v>
      </x:c>
      <x:c r="E2131" s="1" t="str">
        <x:v>COMPLETE</x:v>
      </x:c>
      <x:c r="F2131" s="1" t="str">
        <x:v>Advance shipping</x:v>
      </x:c>
      <x:c r="G2131" s="6" t="n">
        <x:v>3</x:v>
      </x:c>
      <x:c r="H2131" s="6" t="n">
        <x:v>4</x:v>
      </x:c>
      <x:c r="I2131" s="6" t="n">
        <x:f>G2131-H2131</x:f>
        <x:v>-1</x:v>
      </x:c>
      <x:c r="J2131" s="6" t="n">
        <x:f>IF(OR(E2131="CANCELED",E2131="SUSPECTED_FRAUD",F2131="Shipping canceled"),0,1)</x:f>
        <x:v>1</x:v>
      </x:c>
      <x:c r="K2131" s="6" t="n">
        <x:f>IF(G2131&gt;H2131,1,0)</x:f>
        <x:v>0</x:v>
      </x:c>
      <x:c r="L2131" s="6" t="n">
        <x:f>J2131*K2131</x:f>
        <x:v>0</x:v>
      </x:c>
    </x:row>
    <x:row r="2132">
      <x:c r="A2132" s="1" t="n">
        <x:v>16689</x:v>
      </x:c>
      <x:c r="B2132" s="5" t="d">
        <x:v>2015-09-01T00:00:00.000Z</x:v>
      </x:c>
      <x:c r="C2132" s="1" t="str">
        <x:v>Standard Class</x:v>
      </x:c>
      <x:c r="D2132" s="1" t="str">
        <x:v>Europe</x:v>
      </x:c>
      <x:c r="E2132" s="1" t="str">
        <x:v>PENDING</x:v>
      </x:c>
      <x:c r="F2132" s="1" t="str">
        <x:v>Late delivery</x:v>
      </x:c>
      <x:c r="G2132" s="6" t="n">
        <x:v>5</x:v>
      </x:c>
      <x:c r="H2132" s="6" t="n">
        <x:v>4</x:v>
      </x:c>
      <x:c r="I2132" s="6" t="n">
        <x:f>G2132-H2132</x:f>
        <x:v>1</x:v>
      </x:c>
      <x:c r="J2132" s="6" t="n">
        <x:f>IF(OR(E2132="CANCELED",E2132="SUSPECTED_FRAUD",F2132="Shipping canceled"),0,1)</x:f>
        <x:v>1</x:v>
      </x:c>
      <x:c r="K2132" s="6" t="n">
        <x:f>IF(G2132&gt;H2132,1,0)</x:f>
        <x:v>1</x:v>
      </x:c>
      <x:c r="L2132" s="6" t="n">
        <x:f>J2132*K2132</x:f>
        <x:v>1</x:v>
      </x:c>
    </x:row>
    <x:row r="2133">
      <x:c r="A2133" s="1" t="n">
        <x:v>16690</x:v>
      </x:c>
      <x:c r="B2133" s="5" t="d">
        <x:v>2015-09-01T00:00:00.000Z</x:v>
      </x:c>
      <x:c r="C2133" s="1" t="str">
        <x:v>Standard Class</x:v>
      </x:c>
      <x:c r="D2133" s="1" t="str">
        <x:v>Europe</x:v>
      </x:c>
      <x:c r="E2133" s="1" t="str">
        <x:v>COMPLETE</x:v>
      </x:c>
      <x:c r="F2133" s="1" t="str">
        <x:v>Late delivery</x:v>
      </x:c>
      <x:c r="G2133" s="6" t="n">
        <x:v>6</x:v>
      </x:c>
      <x:c r="H2133" s="6" t="n">
        <x:v>4</x:v>
      </x:c>
      <x:c r="I2133" s="6" t="n">
        <x:f>G2133-H2133</x:f>
        <x:v>2</x:v>
      </x:c>
      <x:c r="J2133" s="6" t="n">
        <x:f>IF(OR(E2133="CANCELED",E2133="SUSPECTED_FRAUD",F2133="Shipping canceled"),0,1)</x:f>
        <x:v>1</x:v>
      </x:c>
      <x:c r="K2133" s="6" t="n">
        <x:f>IF(G2133&gt;H2133,1,0)</x:f>
        <x:v>1</x:v>
      </x:c>
      <x:c r="L2133" s="6" t="n">
        <x:f>J2133*K2133</x:f>
        <x:v>1</x:v>
      </x:c>
    </x:row>
    <x:row r="2134">
      <x:c r="A2134" s="1" t="n">
        <x:v>16691</x:v>
      </x:c>
      <x:c r="B2134" s="5" t="d">
        <x:v>2015-09-01T00:00:00.000Z</x:v>
      </x:c>
      <x:c r="C2134" s="1" t="str">
        <x:v>Standard Class</x:v>
      </x:c>
      <x:c r="D2134" s="1" t="str">
        <x:v>Europe</x:v>
      </x:c>
      <x:c r="E2134" s="1" t="str">
        <x:v>PENDING</x:v>
      </x:c>
      <x:c r="F2134" s="1" t="str">
        <x:v>Advance shipping</x:v>
      </x:c>
      <x:c r="G2134" s="6" t="n">
        <x:v>2</x:v>
      </x:c>
      <x:c r="H2134" s="6" t="n">
        <x:v>4</x:v>
      </x:c>
      <x:c r="I2134" s="6" t="n">
        <x:f>G2134-H2134</x:f>
        <x:v>-2</x:v>
      </x:c>
      <x:c r="J2134" s="6" t="n">
        <x:f>IF(OR(E2134="CANCELED",E2134="SUSPECTED_FRAUD",F2134="Shipping canceled"),0,1)</x:f>
        <x:v>1</x:v>
      </x:c>
      <x:c r="K2134" s="6" t="n">
        <x:f>IF(G2134&gt;H2134,1,0)</x:f>
        <x:v>0</x:v>
      </x:c>
      <x:c r="L2134" s="6" t="n">
        <x:f>J2134*K2134</x:f>
        <x:v>0</x:v>
      </x:c>
    </x:row>
    <x:row r="2135">
      <x:c r="A2135" s="1" t="n">
        <x:v>16693</x:v>
      </x:c>
      <x:c r="B2135" s="5" t="d">
        <x:v>2015-09-01T00:00:00.000Z</x:v>
      </x:c>
      <x:c r="C2135" s="1" t="str">
        <x:v>Second Class</x:v>
      </x:c>
      <x:c r="D2135" s="1" t="str">
        <x:v>Europe</x:v>
      </x:c>
      <x:c r="E2135" s="1" t="str">
        <x:v>PENDING</x:v>
      </x:c>
      <x:c r="F2135" s="1" t="str">
        <x:v>Late delivery</x:v>
      </x:c>
      <x:c r="G2135" s="6" t="n">
        <x:v>4</x:v>
      </x:c>
      <x:c r="H2135" s="6" t="n">
        <x:v>2</x:v>
      </x:c>
      <x:c r="I2135" s="6" t="n">
        <x:f>G2135-H2135</x:f>
        <x:v>2</x:v>
      </x:c>
      <x:c r="J2135" s="6" t="n">
        <x:f>IF(OR(E2135="CANCELED",E2135="SUSPECTED_FRAUD",F2135="Shipping canceled"),0,1)</x:f>
        <x:v>1</x:v>
      </x:c>
      <x:c r="K2135" s="6" t="n">
        <x:f>IF(G2135&gt;H2135,1,0)</x:f>
        <x:v>1</x:v>
      </x:c>
      <x:c r="L2135" s="6" t="n">
        <x:f>J2135*K2135</x:f>
        <x:v>1</x:v>
      </x:c>
    </x:row>
    <x:row r="2136">
      <x:c r="A2136" s="1" t="n">
        <x:v>16694</x:v>
      </x:c>
      <x:c r="B2136" s="5" t="d">
        <x:v>2015-09-01T00:00:00.000Z</x:v>
      </x:c>
      <x:c r="C2136" s="1" t="str">
        <x:v>Standard Class</x:v>
      </x:c>
      <x:c r="D2136" s="1" t="str">
        <x:v>Europe</x:v>
      </x:c>
      <x:c r="E2136" s="1" t="str">
        <x:v>ON_HOLD</x:v>
      </x:c>
      <x:c r="F2136" s="1" t="str">
        <x:v>Late delivery</x:v>
      </x:c>
      <x:c r="G2136" s="6" t="n">
        <x:v>5</x:v>
      </x:c>
      <x:c r="H2136" s="6" t="n">
        <x:v>4</x:v>
      </x:c>
      <x:c r="I2136" s="6" t="n">
        <x:f>G2136-H2136</x:f>
        <x:v>1</x:v>
      </x:c>
      <x:c r="J2136" s="6" t="n">
        <x:f>IF(OR(E2136="CANCELED",E2136="SUSPECTED_FRAUD",F2136="Shipping canceled"),0,1)</x:f>
        <x:v>1</x:v>
      </x:c>
      <x:c r="K2136" s="6" t="n">
        <x:f>IF(G2136&gt;H2136,1,0)</x:f>
        <x:v>1</x:v>
      </x:c>
      <x:c r="L2136" s="6" t="n">
        <x:f>J2136*K2136</x:f>
        <x:v>1</x:v>
      </x:c>
    </x:row>
    <x:row r="2137">
      <x:c r="A2137" s="1" t="n">
        <x:v>16697</x:v>
      </x:c>
      <x:c r="B2137" s="5" t="d">
        <x:v>2015-09-01T00:00:00.000Z</x:v>
      </x:c>
      <x:c r="C2137" s="1" t="str">
        <x:v>Standard Class</x:v>
      </x:c>
      <x:c r="D2137" s="1" t="str">
        <x:v>Europe</x:v>
      </x:c>
      <x:c r="E2137" s="1" t="str">
        <x:v>PENDING</x:v>
      </x:c>
      <x:c r="F2137" s="1" t="str">
        <x:v>Advance shipping</x:v>
      </x:c>
      <x:c r="G2137" s="6" t="n">
        <x:v>3</x:v>
      </x:c>
      <x:c r="H2137" s="6" t="n">
        <x:v>4</x:v>
      </x:c>
      <x:c r="I2137" s="6" t="n">
        <x:f>G2137-H2137</x:f>
        <x:v>-1</x:v>
      </x:c>
      <x:c r="J2137" s="6" t="n">
        <x:f>IF(OR(E2137="CANCELED",E2137="SUSPECTED_FRAUD",F2137="Shipping canceled"),0,1)</x:f>
        <x:v>1</x:v>
      </x:c>
      <x:c r="K2137" s="6" t="n">
        <x:f>IF(G2137&gt;H2137,1,0)</x:f>
        <x:v>0</x:v>
      </x:c>
      <x:c r="L2137" s="6" t="n">
        <x:f>J2137*K2137</x:f>
        <x:v>0</x:v>
      </x:c>
    </x:row>
    <x:row r="2138">
      <x:c r="A2138" s="1" t="n">
        <x:v>16698</x:v>
      </x:c>
      <x:c r="B2138" s="5" t="d">
        <x:v>2015-09-01T00:00:00.000Z</x:v>
      </x:c>
      <x:c r="C2138" s="1" t="str">
        <x:v>Standard Class</x:v>
      </x:c>
      <x:c r="D2138" s="1" t="str">
        <x:v>Europe</x:v>
      </x:c>
      <x:c r="E2138" s="1" t="str">
        <x:v>COMPLETE</x:v>
      </x:c>
      <x:c r="F2138" s="1" t="str">
        <x:v>Shipping on time</x:v>
      </x:c>
      <x:c r="G2138" s="6" t="n">
        <x:v>4</x:v>
      </x:c>
      <x:c r="H2138" s="6" t="n">
        <x:v>4</x:v>
      </x:c>
      <x:c r="I2138" s="6" t="n">
        <x:f>G2138-H2138</x:f>
        <x:v>0</x:v>
      </x:c>
      <x:c r="J2138" s="6" t="n">
        <x:f>IF(OR(E2138="CANCELED",E2138="SUSPECTED_FRAUD",F2138="Shipping canceled"),0,1)</x:f>
        <x:v>1</x:v>
      </x:c>
      <x:c r="K2138" s="6" t="n">
        <x:f>IF(G2138&gt;H2138,1,0)</x:f>
        <x:v>0</x:v>
      </x:c>
      <x:c r="L2138" s="6" t="n">
        <x:f>J2138*K2138</x:f>
        <x:v>0</x:v>
      </x:c>
    </x:row>
    <x:row r="2139">
      <x:c r="A2139" s="1" t="n">
        <x:v>16700</x:v>
      </x:c>
      <x:c r="B2139" s="5" t="d">
        <x:v>2015-09-01T00:00:00.000Z</x:v>
      </x:c>
      <x:c r="C2139" s="1" t="str">
        <x:v>Standard Class</x:v>
      </x:c>
      <x:c r="D2139" s="1" t="str">
        <x:v>Europe</x:v>
      </x:c>
      <x:c r="E2139" s="1" t="str">
        <x:v>COMPLETE</x:v>
      </x:c>
      <x:c r="F2139" s="1" t="str">
        <x:v>Late delivery</x:v>
      </x:c>
      <x:c r="G2139" s="6" t="n">
        <x:v>6</x:v>
      </x:c>
      <x:c r="H2139" s="6" t="n">
        <x:v>4</x:v>
      </x:c>
      <x:c r="I2139" s="6" t="n">
        <x:f>G2139-H2139</x:f>
        <x:v>2</x:v>
      </x:c>
      <x:c r="J2139" s="6" t="n">
        <x:f>IF(OR(E2139="CANCELED",E2139="SUSPECTED_FRAUD",F2139="Shipping canceled"),0,1)</x:f>
        <x:v>1</x:v>
      </x:c>
      <x:c r="K2139" s="6" t="n">
        <x:f>IF(G2139&gt;H2139,1,0)</x:f>
        <x:v>1</x:v>
      </x:c>
      <x:c r="L2139" s="6" t="n">
        <x:f>J2139*K2139</x:f>
        <x:v>1</x:v>
      </x:c>
    </x:row>
    <x:row r="2140">
      <x:c r="A2140" s="1" t="n">
        <x:v>16707</x:v>
      </x:c>
      <x:c r="B2140" s="5" t="d">
        <x:v>2015-09-01T00:00:00.000Z</x:v>
      </x:c>
      <x:c r="C2140" s="1" t="str">
        <x:v>Standard Class</x:v>
      </x:c>
      <x:c r="D2140" s="1" t="str">
        <x:v>Europe</x:v>
      </x:c>
      <x:c r="E2140" s="1" t="str">
        <x:v>ON_HOLD</x:v>
      </x:c>
      <x:c r="F2140" s="1" t="str">
        <x:v>Advance shipping</x:v>
      </x:c>
      <x:c r="G2140" s="6" t="n">
        <x:v>3</x:v>
      </x:c>
      <x:c r="H2140" s="6" t="n">
        <x:v>4</x:v>
      </x:c>
      <x:c r="I2140" s="6" t="n">
        <x:f>G2140-H2140</x:f>
        <x:v>-1</x:v>
      </x:c>
      <x:c r="J2140" s="6" t="n">
        <x:f>IF(OR(E2140="CANCELED",E2140="SUSPECTED_FRAUD",F2140="Shipping canceled"),0,1)</x:f>
        <x:v>1</x:v>
      </x:c>
      <x:c r="K2140" s="6" t="n">
        <x:f>IF(G2140&gt;H2140,1,0)</x:f>
        <x:v>0</x:v>
      </x:c>
      <x:c r="L2140" s="6" t="n">
        <x:f>J2140*K2140</x:f>
        <x:v>0</x:v>
      </x:c>
    </x:row>
    <x:row r="2141">
      <x:c r="A2141" s="1" t="n">
        <x:v>16710</x:v>
      </x:c>
      <x:c r="B2141" s="5" t="d">
        <x:v>2015-09-01T00:00:00.000Z</x:v>
      </x:c>
      <x:c r="C2141" s="1" t="str">
        <x:v>Standard Class</x:v>
      </x:c>
      <x:c r="D2141" s="1" t="str">
        <x:v>Europe</x:v>
      </x:c>
      <x:c r="E2141" s="1" t="str">
        <x:v>COMPLETE</x:v>
      </x:c>
      <x:c r="F2141" s="1" t="str">
        <x:v>Late delivery</x:v>
      </x:c>
      <x:c r="G2141" s="6" t="n">
        <x:v>6</x:v>
      </x:c>
      <x:c r="H2141" s="6" t="n">
        <x:v>4</x:v>
      </x:c>
      <x:c r="I2141" s="6" t="n">
        <x:f>G2141-H2141</x:f>
        <x:v>2</x:v>
      </x:c>
      <x:c r="J2141" s="6" t="n">
        <x:f>IF(OR(E2141="CANCELED",E2141="SUSPECTED_FRAUD",F2141="Shipping canceled"),0,1)</x:f>
        <x:v>1</x:v>
      </x:c>
      <x:c r="K2141" s="6" t="n">
        <x:f>IF(G2141&gt;H2141,1,0)</x:f>
        <x:v>1</x:v>
      </x:c>
      <x:c r="L2141" s="6" t="n">
        <x:f>J2141*K2141</x:f>
        <x:v>1</x:v>
      </x:c>
    </x:row>
    <x:row r="2142">
      <x:c r="A2142" s="1" t="n">
        <x:v>16717</x:v>
      </x:c>
      <x:c r="B2142" s="5" t="d">
        <x:v>2015-09-02T00:00:00.000Z</x:v>
      </x:c>
      <x:c r="C2142" s="1" t="str">
        <x:v>Standard Class</x:v>
      </x:c>
      <x:c r="D2142" s="1" t="str">
        <x:v>Europe</x:v>
      </x:c>
      <x:c r="E2142" s="1" t="str">
        <x:v>PROCESSING</x:v>
      </x:c>
      <x:c r="F2142" s="1" t="str">
        <x:v>Advance shipping</x:v>
      </x:c>
      <x:c r="G2142" s="6" t="n">
        <x:v>3</x:v>
      </x:c>
      <x:c r="H2142" s="6" t="n">
        <x:v>4</x:v>
      </x:c>
      <x:c r="I2142" s="6" t="n">
        <x:f>G2142-H2142</x:f>
        <x:v>-1</x:v>
      </x:c>
      <x:c r="J2142" s="6" t="n">
        <x:f>IF(OR(E2142="CANCELED",E2142="SUSPECTED_FRAUD",F2142="Shipping canceled"),0,1)</x:f>
        <x:v>1</x:v>
      </x:c>
      <x:c r="K2142" s="6" t="n">
        <x:f>IF(G2142&gt;H2142,1,0)</x:f>
        <x:v>0</x:v>
      </x:c>
      <x:c r="L2142" s="6" t="n">
        <x:f>J2142*K2142</x:f>
        <x:v>0</x:v>
      </x:c>
    </x:row>
    <x:row r="2143">
      <x:c r="A2143" s="1" t="n">
        <x:v>16718</x:v>
      </x:c>
      <x:c r="B2143" s="5" t="d">
        <x:v>2015-09-02T00:00:00.000Z</x:v>
      </x:c>
      <x:c r="C2143" s="1" t="str">
        <x:v>Standard Class</x:v>
      </x:c>
      <x:c r="D2143" s="1" t="str">
        <x:v>Europe</x:v>
      </x:c>
      <x:c r="E2143" s="1" t="str">
        <x:v>PENDING_PAYMENT</x:v>
      </x:c>
      <x:c r="F2143" s="1" t="str">
        <x:v>Shipping on time</x:v>
      </x:c>
      <x:c r="G2143" s="6" t="n">
        <x:v>4</x:v>
      </x:c>
      <x:c r="H2143" s="6" t="n">
        <x:v>4</x:v>
      </x:c>
      <x:c r="I2143" s="6" t="n">
        <x:f>G2143-H2143</x:f>
        <x:v>0</x:v>
      </x:c>
      <x:c r="J2143" s="6" t="n">
        <x:f>IF(OR(E2143="CANCELED",E2143="SUSPECTED_FRAUD",F2143="Shipping canceled"),0,1)</x:f>
        <x:v>1</x:v>
      </x:c>
      <x:c r="K2143" s="6" t="n">
        <x:f>IF(G2143&gt;H2143,1,0)</x:f>
        <x:v>0</x:v>
      </x:c>
      <x:c r="L2143" s="6" t="n">
        <x:f>J2143*K2143</x:f>
        <x:v>0</x:v>
      </x:c>
    </x:row>
    <x:row r="2144">
      <x:c r="A2144" s="1" t="n">
        <x:v>16721</x:v>
      </x:c>
      <x:c r="B2144" s="5" t="d">
        <x:v>2015-09-02T00:00:00.000Z</x:v>
      </x:c>
      <x:c r="C2144" s="1" t="str">
        <x:v>Standard Class</x:v>
      </x:c>
      <x:c r="D2144" s="1" t="str">
        <x:v>Europe</x:v>
      </x:c>
      <x:c r="E2144" s="1" t="str">
        <x:v>PENDING_PAYMENT</x:v>
      </x:c>
      <x:c r="F2144" s="1" t="str">
        <x:v>Advance shipping</x:v>
      </x:c>
      <x:c r="G2144" s="6" t="n">
        <x:v>2</x:v>
      </x:c>
      <x:c r="H2144" s="6" t="n">
        <x:v>4</x:v>
      </x:c>
      <x:c r="I2144" s="6" t="n">
        <x:f>G2144-H2144</x:f>
        <x:v>-2</x:v>
      </x:c>
      <x:c r="J2144" s="6" t="n">
        <x:f>IF(OR(E2144="CANCELED",E2144="SUSPECTED_FRAUD",F2144="Shipping canceled"),0,1)</x:f>
        <x:v>1</x:v>
      </x:c>
      <x:c r="K2144" s="6" t="n">
        <x:f>IF(G2144&gt;H2144,1,0)</x:f>
        <x:v>0</x:v>
      </x:c>
      <x:c r="L2144" s="6" t="n">
        <x:f>J2144*K2144</x:f>
        <x:v>0</x:v>
      </x:c>
    </x:row>
    <x:row r="2145">
      <x:c r="A2145" s="1" t="n">
        <x:v>16736</x:v>
      </x:c>
      <x:c r="B2145" s="5" t="d">
        <x:v>2015-09-02T00:00:00.000Z</x:v>
      </x:c>
      <x:c r="C2145" s="1" t="str">
        <x:v>Standard Class</x:v>
      </x:c>
      <x:c r="D2145" s="1" t="str">
        <x:v>Europe</x:v>
      </x:c>
      <x:c r="E2145" s="1" t="str">
        <x:v>COMPLETE</x:v>
      </x:c>
      <x:c r="F2145" s="1" t="str">
        <x:v>Advance shipping</x:v>
      </x:c>
      <x:c r="G2145" s="6" t="n">
        <x:v>2</x:v>
      </x:c>
      <x:c r="H2145" s="6" t="n">
        <x:v>4</x:v>
      </x:c>
      <x:c r="I2145" s="6" t="n">
        <x:f>G2145-H2145</x:f>
        <x:v>-2</x:v>
      </x:c>
      <x:c r="J2145" s="6" t="n">
        <x:f>IF(OR(E2145="CANCELED",E2145="SUSPECTED_FRAUD",F2145="Shipping canceled"),0,1)</x:f>
        <x:v>1</x:v>
      </x:c>
      <x:c r="K2145" s="6" t="n">
        <x:f>IF(G2145&gt;H2145,1,0)</x:f>
        <x:v>0</x:v>
      </x:c>
      <x:c r="L2145" s="6" t="n">
        <x:f>J2145*K2145</x:f>
        <x:v>0</x:v>
      </x:c>
    </x:row>
    <x:row r="2146">
      <x:c r="A2146" s="1" t="n">
        <x:v>16738</x:v>
      </x:c>
      <x:c r="B2146" s="5" t="d">
        <x:v>2015-09-02T00:00:00.000Z</x:v>
      </x:c>
      <x:c r="C2146" s="1" t="str">
        <x:v>Standard Class</x:v>
      </x:c>
      <x:c r="D2146" s="1" t="str">
        <x:v>Europe</x:v>
      </x:c>
      <x:c r="E2146" s="1" t="str">
        <x:v>COMPLETE</x:v>
      </x:c>
      <x:c r="F2146" s="1" t="str">
        <x:v>Shipping on time</x:v>
      </x:c>
      <x:c r="G2146" s="6" t="n">
        <x:v>4</x:v>
      </x:c>
      <x:c r="H2146" s="6" t="n">
        <x:v>4</x:v>
      </x:c>
      <x:c r="I2146" s="6" t="n">
        <x:f>G2146-H2146</x:f>
        <x:v>0</x:v>
      </x:c>
      <x:c r="J2146" s="6" t="n">
        <x:f>IF(OR(E2146="CANCELED",E2146="SUSPECTED_FRAUD",F2146="Shipping canceled"),0,1)</x:f>
        <x:v>1</x:v>
      </x:c>
      <x:c r="K2146" s="6" t="n">
        <x:f>IF(G2146&gt;H2146,1,0)</x:f>
        <x:v>0</x:v>
      </x:c>
      <x:c r="L2146" s="6" t="n">
        <x:f>J2146*K2146</x:f>
        <x:v>0</x:v>
      </x:c>
    </x:row>
    <x:row r="2147">
      <x:c r="A2147" s="1" t="n">
        <x:v>16755</x:v>
      </x:c>
      <x:c r="B2147" s="5" t="d">
        <x:v>2015-09-02T00:00:00.000Z</x:v>
      </x:c>
      <x:c r="C2147" s="1" t="str">
        <x:v>Second Class</x:v>
      </x:c>
      <x:c r="D2147" s="1" t="str">
        <x:v>Europe</x:v>
      </x:c>
      <x:c r="E2147" s="1" t="str">
        <x:v>PROCESSING</x:v>
      </x:c>
      <x:c r="F2147" s="1" t="str">
        <x:v>Late delivery</x:v>
      </x:c>
      <x:c r="G2147" s="6" t="n">
        <x:v>6</x:v>
      </x:c>
      <x:c r="H2147" s="6" t="n">
        <x:v>2</x:v>
      </x:c>
      <x:c r="I2147" s="6" t="n">
        <x:f>G2147-H2147</x:f>
        <x:v>4</x:v>
      </x:c>
      <x:c r="J2147" s="6" t="n">
        <x:f>IF(OR(E2147="CANCELED",E2147="SUSPECTED_FRAUD",F2147="Shipping canceled"),0,1)</x:f>
        <x:v>1</x:v>
      </x:c>
      <x:c r="K2147" s="6" t="n">
        <x:f>IF(G2147&gt;H2147,1,0)</x:f>
        <x:v>1</x:v>
      </x:c>
      <x:c r="L2147" s="6" t="n">
        <x:f>J2147*K2147</x:f>
        <x:v>1</x:v>
      </x:c>
    </x:row>
    <x:row r="2148">
      <x:c r="A2148" s="1" t="n">
        <x:v>16763</x:v>
      </x:c>
      <x:c r="B2148" s="5" t="d">
        <x:v>2015-09-02T00:00:00.000Z</x:v>
      </x:c>
      <x:c r="C2148" s="1" t="str">
        <x:v>Standard Class</x:v>
      </x:c>
      <x:c r="D2148" s="1" t="str">
        <x:v>Europe</x:v>
      </x:c>
      <x:c r="E2148" s="1" t="str">
        <x:v>ON_HOLD</x:v>
      </x:c>
      <x:c r="F2148" s="1" t="str">
        <x:v>Shipping on time</x:v>
      </x:c>
      <x:c r="G2148" s="6" t="n">
        <x:v>4</x:v>
      </x:c>
      <x:c r="H2148" s="6" t="n">
        <x:v>4</x:v>
      </x:c>
      <x:c r="I2148" s="6" t="n">
        <x:f>G2148-H2148</x:f>
        <x:v>0</x:v>
      </x:c>
      <x:c r="J2148" s="6" t="n">
        <x:f>IF(OR(E2148="CANCELED",E2148="SUSPECTED_FRAUD",F2148="Shipping canceled"),0,1)</x:f>
        <x:v>1</x:v>
      </x:c>
      <x:c r="K2148" s="6" t="n">
        <x:f>IF(G2148&gt;H2148,1,0)</x:f>
        <x:v>0</x:v>
      </x:c>
      <x:c r="L2148" s="6" t="n">
        <x:f>J2148*K2148</x:f>
        <x:v>0</x:v>
      </x:c>
    </x:row>
    <x:row r="2149">
      <x:c r="A2149" s="1" t="n">
        <x:v>16767</x:v>
      </x:c>
      <x:c r="B2149" s="5" t="d">
        <x:v>2015-09-02T00:00:00.000Z</x:v>
      </x:c>
      <x:c r="C2149" s="1" t="str">
        <x:v>Standard Class</x:v>
      </x:c>
      <x:c r="D2149" s="1" t="str">
        <x:v>Europe</x:v>
      </x:c>
      <x:c r="E2149" s="1" t="str">
        <x:v>COMPLETE</x:v>
      </x:c>
      <x:c r="F2149" s="1" t="str">
        <x:v>Advance shipping</x:v>
      </x:c>
      <x:c r="G2149" s="6" t="n">
        <x:v>3</x:v>
      </x:c>
      <x:c r="H2149" s="6" t="n">
        <x:v>4</x:v>
      </x:c>
      <x:c r="I2149" s="6" t="n">
        <x:f>G2149-H2149</x:f>
        <x:v>-1</x:v>
      </x:c>
      <x:c r="J2149" s="6" t="n">
        <x:f>IF(OR(E2149="CANCELED",E2149="SUSPECTED_FRAUD",F2149="Shipping canceled"),0,1)</x:f>
        <x:v>1</x:v>
      </x:c>
      <x:c r="K2149" s="6" t="n">
        <x:f>IF(G2149&gt;H2149,1,0)</x:f>
        <x:v>0</x:v>
      </x:c>
      <x:c r="L2149" s="6" t="n">
        <x:f>J2149*K2149</x:f>
        <x:v>0</x:v>
      </x:c>
    </x:row>
    <x:row r="2150">
      <x:c r="A2150" s="1" t="n">
        <x:v>16791</x:v>
      </x:c>
      <x:c r="B2150" s="5" t="d">
        <x:v>2015-09-03T00:00:00.000Z</x:v>
      </x:c>
      <x:c r="C2150" s="1" t="str">
        <x:v>Standard Class</x:v>
      </x:c>
      <x:c r="D2150" s="1" t="str">
        <x:v>Europe</x:v>
      </x:c>
      <x:c r="E2150" s="1" t="str">
        <x:v>CLOSED</x:v>
      </x:c>
      <x:c r="F2150" s="1" t="str">
        <x:v>Advance shipping</x:v>
      </x:c>
      <x:c r="G2150" s="6" t="n">
        <x:v>2</x:v>
      </x:c>
      <x:c r="H2150" s="6" t="n">
        <x:v>4</x:v>
      </x:c>
      <x:c r="I2150" s="6" t="n">
        <x:f>G2150-H2150</x:f>
        <x:v>-2</x:v>
      </x:c>
      <x:c r="J2150" s="6" t="n">
        <x:f>IF(OR(E2150="CANCELED",E2150="SUSPECTED_FRAUD",F2150="Shipping canceled"),0,1)</x:f>
        <x:v>1</x:v>
      </x:c>
      <x:c r="K2150" s="6" t="n">
        <x:f>IF(G2150&gt;H2150,1,0)</x:f>
        <x:v>0</x:v>
      </x:c>
      <x:c r="L2150" s="6" t="n">
        <x:f>J2150*K2150</x:f>
        <x:v>0</x:v>
      </x:c>
    </x:row>
    <x:row r="2151">
      <x:c r="A2151" s="1" t="n">
        <x:v>16794</x:v>
      </x:c>
      <x:c r="B2151" s="5" t="d">
        <x:v>2015-09-03T00:00:00.000Z</x:v>
      </x:c>
      <x:c r="C2151" s="1" t="str">
        <x:v>Standard Class</x:v>
      </x:c>
      <x:c r="D2151" s="1" t="str">
        <x:v>Europe</x:v>
      </x:c>
      <x:c r="E2151" s="1" t="str">
        <x:v>PENDING</x:v>
      </x:c>
      <x:c r="F2151" s="1" t="str">
        <x:v>Late delivery</x:v>
      </x:c>
      <x:c r="G2151" s="6" t="n">
        <x:v>5</x:v>
      </x:c>
      <x:c r="H2151" s="6" t="n">
        <x:v>4</x:v>
      </x:c>
      <x:c r="I2151" s="6" t="n">
        <x:f>G2151-H2151</x:f>
        <x:v>1</x:v>
      </x:c>
      <x:c r="J2151" s="6" t="n">
        <x:f>IF(OR(E2151="CANCELED",E2151="SUSPECTED_FRAUD",F2151="Shipping canceled"),0,1)</x:f>
        <x:v>1</x:v>
      </x:c>
      <x:c r="K2151" s="6" t="n">
        <x:f>IF(G2151&gt;H2151,1,0)</x:f>
        <x:v>1</x:v>
      </x:c>
      <x:c r="L2151" s="6" t="n">
        <x:f>J2151*K2151</x:f>
        <x:v>1</x:v>
      </x:c>
    </x:row>
    <x:row r="2152">
      <x:c r="A2152" s="1" t="n">
        <x:v>16797</x:v>
      </x:c>
      <x:c r="B2152" s="5" t="d">
        <x:v>2015-09-03T00:00:00.000Z</x:v>
      </x:c>
      <x:c r="C2152" s="1" t="str">
        <x:v>Standard Class</x:v>
      </x:c>
      <x:c r="D2152" s="1" t="str">
        <x:v>Europe</x:v>
      </x:c>
      <x:c r="E2152" s="1" t="str">
        <x:v>ON_HOLD</x:v>
      </x:c>
      <x:c r="F2152" s="1" t="str">
        <x:v>Advance shipping</x:v>
      </x:c>
      <x:c r="G2152" s="6" t="n">
        <x:v>3</x:v>
      </x:c>
      <x:c r="H2152" s="6" t="n">
        <x:v>4</x:v>
      </x:c>
      <x:c r="I2152" s="6" t="n">
        <x:f>G2152-H2152</x:f>
        <x:v>-1</x:v>
      </x:c>
      <x:c r="J2152" s="6" t="n">
        <x:f>IF(OR(E2152="CANCELED",E2152="SUSPECTED_FRAUD",F2152="Shipping canceled"),0,1)</x:f>
        <x:v>1</x:v>
      </x:c>
      <x:c r="K2152" s="6" t="n">
        <x:f>IF(G2152&gt;H2152,1,0)</x:f>
        <x:v>0</x:v>
      </x:c>
      <x:c r="L2152" s="6" t="n">
        <x:f>J2152*K2152</x:f>
        <x:v>0</x:v>
      </x:c>
    </x:row>
    <x:row r="2153">
      <x:c r="A2153" s="1" t="n">
        <x:v>16806</x:v>
      </x:c>
      <x:c r="B2153" s="5" t="d">
        <x:v>2015-09-03T00:00:00.000Z</x:v>
      </x:c>
      <x:c r="C2153" s="1" t="str">
        <x:v>Standard Class</x:v>
      </x:c>
      <x:c r="D2153" s="1" t="str">
        <x:v>Europe</x:v>
      </x:c>
      <x:c r="E2153" s="1" t="str">
        <x:v>COMPLETE</x:v>
      </x:c>
      <x:c r="F2153" s="1" t="str">
        <x:v>Advance shipping</x:v>
      </x:c>
      <x:c r="G2153" s="6" t="n">
        <x:v>2</x:v>
      </x:c>
      <x:c r="H2153" s="6" t="n">
        <x:v>4</x:v>
      </x:c>
      <x:c r="I2153" s="6" t="n">
        <x:f>G2153-H2153</x:f>
        <x:v>-2</x:v>
      </x:c>
      <x:c r="J2153" s="6" t="n">
        <x:f>IF(OR(E2153="CANCELED",E2153="SUSPECTED_FRAUD",F2153="Shipping canceled"),0,1)</x:f>
        <x:v>1</x:v>
      </x:c>
      <x:c r="K2153" s="6" t="n">
        <x:f>IF(G2153&gt;H2153,1,0)</x:f>
        <x:v>0</x:v>
      </x:c>
      <x:c r="L2153" s="6" t="n">
        <x:f>J2153*K2153</x:f>
        <x:v>0</x:v>
      </x:c>
    </x:row>
    <x:row r="2154">
      <x:c r="A2154" s="1" t="n">
        <x:v>16811</x:v>
      </x:c>
      <x:c r="B2154" s="5" t="d">
        <x:v>2015-09-03T00:00:00.000Z</x:v>
      </x:c>
      <x:c r="C2154" s="1" t="str">
        <x:v>Standard Class</x:v>
      </x:c>
      <x:c r="D2154" s="1" t="str">
        <x:v>Europe</x:v>
      </x:c>
      <x:c r="E2154" s="1" t="str">
        <x:v>SUSPECTED_FRAUD</x:v>
      </x:c>
      <x:c r="F2154" s="1" t="str">
        <x:v>Shipping canceled</x:v>
      </x:c>
      <x:c r="G2154" s="6" t="n">
        <x:v>2</x:v>
      </x:c>
      <x:c r="H2154" s="6" t="n">
        <x:v>4</x:v>
      </x:c>
      <x:c r="I2154" s="6" t="n">
        <x:f>G2154-H2154</x:f>
        <x:v>-2</x:v>
      </x:c>
      <x:c r="J2154" s="6" t="n">
        <x:f>IF(OR(E2154="CANCELED",E2154="SUSPECTED_FRAUD",F2154="Shipping canceled"),0,1)</x:f>
        <x:v>0</x:v>
      </x:c>
      <x:c r="K2154" s="6" t="n">
        <x:f>IF(G2154&gt;H2154,1,0)</x:f>
        <x:v>0</x:v>
      </x:c>
      <x:c r="L2154" s="6" t="n">
        <x:f>J2154*K2154</x:f>
        <x:v>0</x:v>
      </x:c>
    </x:row>
    <x:row r="2155">
      <x:c r="A2155" s="1" t="n">
        <x:v>16817</x:v>
      </x:c>
      <x:c r="B2155" s="5" t="d">
        <x:v>2015-09-03T00:00:00.000Z</x:v>
      </x:c>
      <x:c r="C2155" s="1" t="str">
        <x:v>Same Day</x:v>
      </x:c>
      <x:c r="D2155" s="1" t="str">
        <x:v>Europe</x:v>
      </x:c>
      <x:c r="E2155" s="1" t="str">
        <x:v>CLOSED</x:v>
      </x:c>
      <x:c r="F2155" s="1" t="str">
        <x:v>Shipping on time</x:v>
      </x:c>
      <x:c r="G2155" s="6" t="n">
        <x:v>0</x:v>
      </x:c>
      <x:c r="H2155" s="6" t="n">
        <x:v>0</x:v>
      </x:c>
      <x:c r="I2155" s="6" t="n">
        <x:f>G2155-H2155</x:f>
        <x:v>0</x:v>
      </x:c>
      <x:c r="J2155" s="6" t="n">
        <x:f>IF(OR(E2155="CANCELED",E2155="SUSPECTED_FRAUD",F2155="Shipping canceled"),0,1)</x:f>
        <x:v>1</x:v>
      </x:c>
      <x:c r="K2155" s="6" t="n">
        <x:f>IF(G2155&gt;H2155,1,0)</x:f>
        <x:v>0</x:v>
      </x:c>
      <x:c r="L2155" s="6" t="n">
        <x:f>J2155*K2155</x:f>
        <x:v>0</x:v>
      </x:c>
    </x:row>
    <x:row r="2156">
      <x:c r="A2156" s="1" t="n">
        <x:v>16831</x:v>
      </x:c>
      <x:c r="B2156" s="5" t="d">
        <x:v>2015-09-03T00:00:00.000Z</x:v>
      </x:c>
      <x:c r="C2156" s="1" t="str">
        <x:v>Second Class</x:v>
      </x:c>
      <x:c r="D2156" s="1" t="str">
        <x:v>Europe</x:v>
      </x:c>
      <x:c r="E2156" s="1" t="str">
        <x:v>COMPLETE</x:v>
      </x:c>
      <x:c r="F2156" s="1" t="str">
        <x:v>Shipping on time</x:v>
      </x:c>
      <x:c r="G2156" s="6" t="n">
        <x:v>2</x:v>
      </x:c>
      <x:c r="H2156" s="6" t="n">
        <x:v>2</x:v>
      </x:c>
      <x:c r="I2156" s="6" t="n">
        <x:f>G2156-H2156</x:f>
        <x:v>0</x:v>
      </x:c>
      <x:c r="J2156" s="6" t="n">
        <x:f>IF(OR(E2156="CANCELED",E2156="SUSPECTED_FRAUD",F2156="Shipping canceled"),0,1)</x:f>
        <x:v>1</x:v>
      </x:c>
      <x:c r="K2156" s="6" t="n">
        <x:f>IF(G2156&gt;H2156,1,0)</x:f>
        <x:v>0</x:v>
      </x:c>
      <x:c r="L2156" s="6" t="n">
        <x:f>J2156*K2156</x:f>
        <x:v>0</x:v>
      </x:c>
    </x:row>
    <x:row r="2157">
      <x:c r="A2157" s="1" t="n">
        <x:v>16845</x:v>
      </x:c>
      <x:c r="B2157" s="5" t="d">
        <x:v>2015-09-03T00:00:00.000Z</x:v>
      </x:c>
      <x:c r="C2157" s="1" t="str">
        <x:v>Standard Class</x:v>
      </x:c>
      <x:c r="D2157" s="1" t="str">
        <x:v>Europe</x:v>
      </x:c>
      <x:c r="E2157" s="1" t="str">
        <x:v>PENDING</x:v>
      </x:c>
      <x:c r="F2157" s="1" t="str">
        <x:v>Late delivery</x:v>
      </x:c>
      <x:c r="G2157" s="6" t="n">
        <x:v>6</x:v>
      </x:c>
      <x:c r="H2157" s="6" t="n">
        <x:v>4</x:v>
      </x:c>
      <x:c r="I2157" s="6" t="n">
        <x:f>G2157-H2157</x:f>
        <x:v>2</x:v>
      </x:c>
      <x:c r="J2157" s="6" t="n">
        <x:f>IF(OR(E2157="CANCELED",E2157="SUSPECTED_FRAUD",F2157="Shipping canceled"),0,1)</x:f>
        <x:v>1</x:v>
      </x:c>
      <x:c r="K2157" s="6" t="n">
        <x:f>IF(G2157&gt;H2157,1,0)</x:f>
        <x:v>1</x:v>
      </x:c>
      <x:c r="L2157" s="6" t="n">
        <x:f>J2157*K2157</x:f>
        <x:v>1</x:v>
      </x:c>
    </x:row>
    <x:row r="2158">
      <x:c r="A2158" s="1" t="n">
        <x:v>16846</x:v>
      </x:c>
      <x:c r="B2158" s="5" t="d">
        <x:v>2015-09-03T00:00:00.000Z</x:v>
      </x:c>
      <x:c r="C2158" s="1" t="str">
        <x:v>Standard Class</x:v>
      </x:c>
      <x:c r="D2158" s="1" t="str">
        <x:v>Europe</x:v>
      </x:c>
      <x:c r="E2158" s="1" t="str">
        <x:v>SUSPECTED_FRAUD</x:v>
      </x:c>
      <x:c r="F2158" s="1" t="str">
        <x:v>Shipping canceled</x:v>
      </x:c>
      <x:c r="G2158" s="6" t="n">
        <x:v>2</x:v>
      </x:c>
      <x:c r="H2158" s="6" t="n">
        <x:v>4</x:v>
      </x:c>
      <x:c r="I2158" s="6" t="n">
        <x:f>G2158-H2158</x:f>
        <x:v>-2</x:v>
      </x:c>
      <x:c r="J2158" s="6" t="n">
        <x:f>IF(OR(E2158="CANCELED",E2158="SUSPECTED_FRAUD",F2158="Shipping canceled"),0,1)</x:f>
        <x:v>0</x:v>
      </x:c>
      <x:c r="K2158" s="6" t="n">
        <x:f>IF(G2158&gt;H2158,1,0)</x:f>
        <x:v>0</x:v>
      </x:c>
      <x:c r="L2158" s="6" t="n">
        <x:f>J2158*K2158</x:f>
        <x:v>0</x:v>
      </x:c>
    </x:row>
    <x:row r="2159">
      <x:c r="A2159" s="1" t="n">
        <x:v>16850</x:v>
      </x:c>
      <x:c r="B2159" s="5" t="d">
        <x:v>2015-09-03T00:00:00.000Z</x:v>
      </x:c>
      <x:c r="C2159" s="1" t="str">
        <x:v>Standard Class</x:v>
      </x:c>
      <x:c r="D2159" s="1" t="str">
        <x:v>Europe</x:v>
      </x:c>
      <x:c r="E2159" s="1" t="str">
        <x:v>COMPLETE</x:v>
      </x:c>
      <x:c r="F2159" s="1" t="str">
        <x:v>Late delivery</x:v>
      </x:c>
      <x:c r="G2159" s="6" t="n">
        <x:v>6</x:v>
      </x:c>
      <x:c r="H2159" s="6" t="n">
        <x:v>4</x:v>
      </x:c>
      <x:c r="I2159" s="6" t="n">
        <x:f>G2159-H2159</x:f>
        <x:v>2</x:v>
      </x:c>
      <x:c r="J2159" s="6" t="n">
        <x:f>IF(OR(E2159="CANCELED",E2159="SUSPECTED_FRAUD",F2159="Shipping canceled"),0,1)</x:f>
        <x:v>1</x:v>
      </x:c>
      <x:c r="K2159" s="6" t="n">
        <x:f>IF(G2159&gt;H2159,1,0)</x:f>
        <x:v>1</x:v>
      </x:c>
      <x:c r="L2159" s="6" t="n">
        <x:f>J2159*K2159</x:f>
        <x:v>1</x:v>
      </x:c>
    </x:row>
    <x:row r="2160">
      <x:c r="A2160" s="1" t="n">
        <x:v>16852</x:v>
      </x:c>
      <x:c r="B2160" s="5" t="d">
        <x:v>2015-09-03T00:00:00.000Z</x:v>
      </x:c>
      <x:c r="C2160" s="1" t="str">
        <x:v>Standard Class</x:v>
      </x:c>
      <x:c r="D2160" s="1" t="str">
        <x:v>Europe</x:v>
      </x:c>
      <x:c r="E2160" s="1" t="str">
        <x:v>PROCESSING</x:v>
      </x:c>
      <x:c r="F2160" s="1" t="str">
        <x:v>Advance shipping</x:v>
      </x:c>
      <x:c r="G2160" s="6" t="n">
        <x:v>3</x:v>
      </x:c>
      <x:c r="H2160" s="6" t="n">
        <x:v>4</x:v>
      </x:c>
      <x:c r="I2160" s="6" t="n">
        <x:f>G2160-H2160</x:f>
        <x:v>-1</x:v>
      </x:c>
      <x:c r="J2160" s="6" t="n">
        <x:f>IF(OR(E2160="CANCELED",E2160="SUSPECTED_FRAUD",F2160="Shipping canceled"),0,1)</x:f>
        <x:v>1</x:v>
      </x:c>
      <x:c r="K2160" s="6" t="n">
        <x:f>IF(G2160&gt;H2160,1,0)</x:f>
        <x:v>0</x:v>
      </x:c>
      <x:c r="L2160" s="6" t="n">
        <x:f>J2160*K2160</x:f>
        <x:v>0</x:v>
      </x:c>
    </x:row>
    <x:row r="2161">
      <x:c r="A2161" s="1" t="n">
        <x:v>16854</x:v>
      </x:c>
      <x:c r="B2161" s="5" t="d">
        <x:v>2015-09-04T00:00:00.000Z</x:v>
      </x:c>
      <x:c r="C2161" s="1" t="str">
        <x:v>Standard Class</x:v>
      </x:c>
      <x:c r="D2161" s="1" t="str">
        <x:v>Europe</x:v>
      </x:c>
      <x:c r="E2161" s="1" t="str">
        <x:v>COMPLETE</x:v>
      </x:c>
      <x:c r="F2161" s="1" t="str">
        <x:v>Late delivery</x:v>
      </x:c>
      <x:c r="G2161" s="6" t="n">
        <x:v>5</x:v>
      </x:c>
      <x:c r="H2161" s="6" t="n">
        <x:v>4</x:v>
      </x:c>
      <x:c r="I2161" s="6" t="n">
        <x:f>G2161-H2161</x:f>
        <x:v>1</x:v>
      </x:c>
      <x:c r="J2161" s="6" t="n">
        <x:f>IF(OR(E2161="CANCELED",E2161="SUSPECTED_FRAUD",F2161="Shipping canceled"),0,1)</x:f>
        <x:v>1</x:v>
      </x:c>
      <x:c r="K2161" s="6" t="n">
        <x:f>IF(G2161&gt;H2161,1,0)</x:f>
        <x:v>1</x:v>
      </x:c>
      <x:c r="L2161" s="6" t="n">
        <x:f>J2161*K2161</x:f>
        <x:v>1</x:v>
      </x:c>
    </x:row>
    <x:row r="2162">
      <x:c r="A2162" s="1" t="n">
        <x:v>16863</x:v>
      </x:c>
      <x:c r="B2162" s="5" t="d">
        <x:v>2015-09-04T00:00:00.000Z</x:v>
      </x:c>
      <x:c r="C2162" s="1" t="str">
        <x:v>Standard Class</x:v>
      </x:c>
      <x:c r="D2162" s="1" t="str">
        <x:v>Europe</x:v>
      </x:c>
      <x:c r="E2162" s="1" t="str">
        <x:v>PENDING</x:v>
      </x:c>
      <x:c r="F2162" s="1" t="str">
        <x:v>Shipping on time</x:v>
      </x:c>
      <x:c r="G2162" s="6" t="n">
        <x:v>4</x:v>
      </x:c>
      <x:c r="H2162" s="6" t="n">
        <x:v>4</x:v>
      </x:c>
      <x:c r="I2162" s="6" t="n">
        <x:f>G2162-H2162</x:f>
        <x:v>0</x:v>
      </x:c>
      <x:c r="J2162" s="6" t="n">
        <x:f>IF(OR(E2162="CANCELED",E2162="SUSPECTED_FRAUD",F2162="Shipping canceled"),0,1)</x:f>
        <x:v>1</x:v>
      </x:c>
      <x:c r="K2162" s="6" t="n">
        <x:f>IF(G2162&gt;H2162,1,0)</x:f>
        <x:v>0</x:v>
      </x:c>
      <x:c r="L2162" s="6" t="n">
        <x:f>J2162*K2162</x:f>
        <x:v>0</x:v>
      </x:c>
    </x:row>
    <x:row r="2163">
      <x:c r="A2163" s="1" t="n">
        <x:v>16864</x:v>
      </x:c>
      <x:c r="B2163" s="5" t="d">
        <x:v>2015-09-04T00:00:00.000Z</x:v>
      </x:c>
      <x:c r="C2163" s="1" t="str">
        <x:v>Standard Class</x:v>
      </x:c>
      <x:c r="D2163" s="1" t="str">
        <x:v>Europe</x:v>
      </x:c>
      <x:c r="E2163" s="1" t="str">
        <x:v>PENDING_PAYMENT</x:v>
      </x:c>
      <x:c r="F2163" s="1" t="str">
        <x:v>Late delivery</x:v>
      </x:c>
      <x:c r="G2163" s="6" t="n">
        <x:v>5</x:v>
      </x:c>
      <x:c r="H2163" s="6" t="n">
        <x:v>4</x:v>
      </x:c>
      <x:c r="I2163" s="6" t="n">
        <x:f>G2163-H2163</x:f>
        <x:v>1</x:v>
      </x:c>
      <x:c r="J2163" s="6" t="n">
        <x:f>IF(OR(E2163="CANCELED",E2163="SUSPECTED_FRAUD",F2163="Shipping canceled"),0,1)</x:f>
        <x:v>1</x:v>
      </x:c>
      <x:c r="K2163" s="6" t="n">
        <x:f>IF(G2163&gt;H2163,1,0)</x:f>
        <x:v>1</x:v>
      </x:c>
      <x:c r="L2163" s="6" t="n">
        <x:f>J2163*K2163</x:f>
        <x:v>1</x:v>
      </x:c>
    </x:row>
    <x:row r="2164">
      <x:c r="A2164" s="1" t="n">
        <x:v>16865</x:v>
      </x:c>
      <x:c r="B2164" s="5" t="d">
        <x:v>2015-09-04T00:00:00.000Z</x:v>
      </x:c>
      <x:c r="C2164" s="1" t="str">
        <x:v>Standard Class</x:v>
      </x:c>
      <x:c r="D2164" s="1" t="str">
        <x:v>Europe</x:v>
      </x:c>
      <x:c r="E2164" s="1" t="str">
        <x:v>COMPLETE</x:v>
      </x:c>
      <x:c r="F2164" s="1" t="str">
        <x:v>Late delivery</x:v>
      </x:c>
      <x:c r="G2164" s="6" t="n">
        <x:v>6</x:v>
      </x:c>
      <x:c r="H2164" s="6" t="n">
        <x:v>4</x:v>
      </x:c>
      <x:c r="I2164" s="6" t="n">
        <x:f>G2164-H2164</x:f>
        <x:v>2</x:v>
      </x:c>
      <x:c r="J2164" s="6" t="n">
        <x:f>IF(OR(E2164="CANCELED",E2164="SUSPECTED_FRAUD",F2164="Shipping canceled"),0,1)</x:f>
        <x:v>1</x:v>
      </x:c>
      <x:c r="K2164" s="6" t="n">
        <x:f>IF(G2164&gt;H2164,1,0)</x:f>
        <x:v>1</x:v>
      </x:c>
      <x:c r="L2164" s="6" t="n">
        <x:f>J2164*K2164</x:f>
        <x:v>1</x:v>
      </x:c>
    </x:row>
    <x:row r="2165">
      <x:c r="A2165" s="1" t="n">
        <x:v>16877</x:v>
      </x:c>
      <x:c r="B2165" s="5" t="d">
        <x:v>2015-09-04T00:00:00.000Z</x:v>
      </x:c>
      <x:c r="C2165" s="1" t="str">
        <x:v>Standard Class</x:v>
      </x:c>
      <x:c r="D2165" s="1" t="str">
        <x:v>Europe</x:v>
      </x:c>
      <x:c r="E2165" s="1" t="str">
        <x:v>PENDING</x:v>
      </x:c>
      <x:c r="F2165" s="1" t="str">
        <x:v>Advance shipping</x:v>
      </x:c>
      <x:c r="G2165" s="6" t="n">
        <x:v>3</x:v>
      </x:c>
      <x:c r="H2165" s="6" t="n">
        <x:v>4</x:v>
      </x:c>
      <x:c r="I2165" s="6" t="n">
        <x:f>G2165-H2165</x:f>
        <x:v>-1</x:v>
      </x:c>
      <x:c r="J2165" s="6" t="n">
        <x:f>IF(OR(E2165="CANCELED",E2165="SUSPECTED_FRAUD",F2165="Shipping canceled"),0,1)</x:f>
        <x:v>1</x:v>
      </x:c>
      <x:c r="K2165" s="6" t="n">
        <x:f>IF(G2165&gt;H2165,1,0)</x:f>
        <x:v>0</x:v>
      </x:c>
      <x:c r="L2165" s="6" t="n">
        <x:f>J2165*K2165</x:f>
        <x:v>0</x:v>
      </x:c>
    </x:row>
    <x:row r="2166">
      <x:c r="A2166" s="1" t="n">
        <x:v>16880</x:v>
      </x:c>
      <x:c r="B2166" s="5" t="d">
        <x:v>2015-09-04T00:00:00.000Z</x:v>
      </x:c>
      <x:c r="C2166" s="1" t="str">
        <x:v>First Class</x:v>
      </x:c>
      <x:c r="D2166" s="1" t="str">
        <x:v>Europe</x:v>
      </x:c>
      <x:c r="E2166" s="1" t="str">
        <x:v>PENDING</x:v>
      </x:c>
      <x:c r="F2166" s="1" t="str">
        <x:v>Late delivery</x:v>
      </x:c>
      <x:c r="G2166" s="6" t="n">
        <x:v>2</x:v>
      </x:c>
      <x:c r="H2166" s="6" t="n">
        <x:v>1</x:v>
      </x:c>
      <x:c r="I2166" s="6" t="n">
        <x:f>G2166-H2166</x:f>
        <x:v>1</x:v>
      </x:c>
      <x:c r="J2166" s="6" t="n">
        <x:f>IF(OR(E2166="CANCELED",E2166="SUSPECTED_FRAUD",F2166="Shipping canceled"),0,1)</x:f>
        <x:v>1</x:v>
      </x:c>
      <x:c r="K2166" s="6" t="n">
        <x:f>IF(G2166&gt;H2166,1,0)</x:f>
        <x:v>1</x:v>
      </x:c>
      <x:c r="L2166" s="6" t="n">
        <x:f>J2166*K2166</x:f>
        <x:v>1</x:v>
      </x:c>
    </x:row>
    <x:row r="2167">
      <x:c r="A2167" s="1" t="n">
        <x:v>16886</x:v>
      </x:c>
      <x:c r="B2167" s="5" t="d">
        <x:v>2015-09-04T00:00:00.000Z</x:v>
      </x:c>
      <x:c r="C2167" s="1" t="str">
        <x:v>Standard Class</x:v>
      </x:c>
      <x:c r="D2167" s="1" t="str">
        <x:v>Europe</x:v>
      </x:c>
      <x:c r="E2167" s="1" t="str">
        <x:v>COMPLETE</x:v>
      </x:c>
      <x:c r="F2167" s="1" t="str">
        <x:v>Advance shipping</x:v>
      </x:c>
      <x:c r="G2167" s="6" t="n">
        <x:v>2</x:v>
      </x:c>
      <x:c r="H2167" s="6" t="n">
        <x:v>4</x:v>
      </x:c>
      <x:c r="I2167" s="6" t="n">
        <x:f>G2167-H2167</x:f>
        <x:v>-2</x:v>
      </x:c>
      <x:c r="J2167" s="6" t="n">
        <x:f>IF(OR(E2167="CANCELED",E2167="SUSPECTED_FRAUD",F2167="Shipping canceled"),0,1)</x:f>
        <x:v>1</x:v>
      </x:c>
      <x:c r="K2167" s="6" t="n">
        <x:f>IF(G2167&gt;H2167,1,0)</x:f>
        <x:v>0</x:v>
      </x:c>
      <x:c r="L2167" s="6" t="n">
        <x:f>J2167*K2167</x:f>
        <x:v>0</x:v>
      </x:c>
    </x:row>
    <x:row r="2168">
      <x:c r="A2168" s="1" t="n">
        <x:v>16894</x:v>
      </x:c>
      <x:c r="B2168" s="5" t="d">
        <x:v>2015-09-04T00:00:00.000Z</x:v>
      </x:c>
      <x:c r="C2168" s="1" t="str">
        <x:v>Standard Class</x:v>
      </x:c>
      <x:c r="D2168" s="1" t="str">
        <x:v>Europe</x:v>
      </x:c>
      <x:c r="E2168" s="1" t="str">
        <x:v>COMPLETE</x:v>
      </x:c>
      <x:c r="F2168" s="1" t="str">
        <x:v>Late delivery</x:v>
      </x:c>
      <x:c r="G2168" s="6" t="n">
        <x:v>5</x:v>
      </x:c>
      <x:c r="H2168" s="6" t="n">
        <x:v>4</x:v>
      </x:c>
      <x:c r="I2168" s="6" t="n">
        <x:f>G2168-H2168</x:f>
        <x:v>1</x:v>
      </x:c>
      <x:c r="J2168" s="6" t="n">
        <x:f>IF(OR(E2168="CANCELED",E2168="SUSPECTED_FRAUD",F2168="Shipping canceled"),0,1)</x:f>
        <x:v>1</x:v>
      </x:c>
      <x:c r="K2168" s="6" t="n">
        <x:f>IF(G2168&gt;H2168,1,0)</x:f>
        <x:v>1</x:v>
      </x:c>
      <x:c r="L2168" s="6" t="n">
        <x:f>J2168*K2168</x:f>
        <x:v>1</x:v>
      </x:c>
    </x:row>
    <x:row r="2169">
      <x:c r="A2169" s="1" t="n">
        <x:v>16898</x:v>
      </x:c>
      <x:c r="B2169" s="5" t="d">
        <x:v>2015-09-04T00:00:00.000Z</x:v>
      </x:c>
      <x:c r="C2169" s="1" t="str">
        <x:v>Standard Class</x:v>
      </x:c>
      <x:c r="D2169" s="1" t="str">
        <x:v>Europe</x:v>
      </x:c>
      <x:c r="E2169" s="1" t="str">
        <x:v>COMPLETE</x:v>
      </x:c>
      <x:c r="F2169" s="1" t="str">
        <x:v>Shipping on time</x:v>
      </x:c>
      <x:c r="G2169" s="6" t="n">
        <x:v>4</x:v>
      </x:c>
      <x:c r="H2169" s="6" t="n">
        <x:v>4</x:v>
      </x:c>
      <x:c r="I2169" s="6" t="n">
        <x:f>G2169-H2169</x:f>
        <x:v>0</x:v>
      </x:c>
      <x:c r="J2169" s="6" t="n">
        <x:f>IF(OR(E2169="CANCELED",E2169="SUSPECTED_FRAUD",F2169="Shipping canceled"),0,1)</x:f>
        <x:v>1</x:v>
      </x:c>
      <x:c r="K2169" s="6" t="n">
        <x:f>IF(G2169&gt;H2169,1,0)</x:f>
        <x:v>0</x:v>
      </x:c>
      <x:c r="L2169" s="6" t="n">
        <x:f>J2169*K2169</x:f>
        <x:v>0</x:v>
      </x:c>
    </x:row>
    <x:row r="2170">
      <x:c r="A2170" s="1" t="n">
        <x:v>16899</x:v>
      </x:c>
      <x:c r="B2170" s="5" t="d">
        <x:v>2015-09-04T00:00:00.000Z</x:v>
      </x:c>
      <x:c r="C2170" s="1" t="str">
        <x:v>Second Class</x:v>
      </x:c>
      <x:c r="D2170" s="1" t="str">
        <x:v>Europe</x:v>
      </x:c>
      <x:c r="E2170" s="1" t="str">
        <x:v>CLOSED</x:v>
      </x:c>
      <x:c r="F2170" s="1" t="str">
        <x:v>Late delivery</x:v>
      </x:c>
      <x:c r="G2170" s="6" t="n">
        <x:v>5</x:v>
      </x:c>
      <x:c r="H2170" s="6" t="n">
        <x:v>2</x:v>
      </x:c>
      <x:c r="I2170" s="6" t="n">
        <x:f>G2170-H2170</x:f>
        <x:v>3</x:v>
      </x:c>
      <x:c r="J2170" s="6" t="n">
        <x:f>IF(OR(E2170="CANCELED",E2170="SUSPECTED_FRAUD",F2170="Shipping canceled"),0,1)</x:f>
        <x:v>1</x:v>
      </x:c>
      <x:c r="K2170" s="6" t="n">
        <x:f>IF(G2170&gt;H2170,1,0)</x:f>
        <x:v>1</x:v>
      </x:c>
      <x:c r="L2170" s="6" t="n">
        <x:f>J2170*K2170</x:f>
        <x:v>1</x:v>
      </x:c>
    </x:row>
    <x:row r="2171">
      <x:c r="A2171" s="1" t="n">
        <x:v>16915</x:v>
      </x:c>
      <x:c r="B2171" s="5" t="d">
        <x:v>2015-09-04T00:00:00.000Z</x:v>
      </x:c>
      <x:c r="C2171" s="1" t="str">
        <x:v>Standard Class</x:v>
      </x:c>
      <x:c r="D2171" s="1" t="str">
        <x:v>Europe</x:v>
      </x:c>
      <x:c r="E2171" s="1" t="str">
        <x:v>PENDING</x:v>
      </x:c>
      <x:c r="F2171" s="1" t="str">
        <x:v>Late delivery</x:v>
      </x:c>
      <x:c r="G2171" s="6" t="n">
        <x:v>6</x:v>
      </x:c>
      <x:c r="H2171" s="6" t="n">
        <x:v>4</x:v>
      </x:c>
      <x:c r="I2171" s="6" t="n">
        <x:f>G2171-H2171</x:f>
        <x:v>2</x:v>
      </x:c>
      <x:c r="J2171" s="6" t="n">
        <x:f>IF(OR(E2171="CANCELED",E2171="SUSPECTED_FRAUD",F2171="Shipping canceled"),0,1)</x:f>
        <x:v>1</x:v>
      </x:c>
      <x:c r="K2171" s="6" t="n">
        <x:f>IF(G2171&gt;H2171,1,0)</x:f>
        <x:v>1</x:v>
      </x:c>
      <x:c r="L2171" s="6" t="n">
        <x:f>J2171*K2171</x:f>
        <x:v>1</x:v>
      </x:c>
    </x:row>
    <x:row r="2172">
      <x:c r="A2172" s="1" t="n">
        <x:v>16944</x:v>
      </x:c>
      <x:c r="B2172" s="5" t="d">
        <x:v>2015-09-05T00:00:00.000Z</x:v>
      </x:c>
      <x:c r="C2172" s="1" t="str">
        <x:v>First Class</x:v>
      </x:c>
      <x:c r="D2172" s="1" t="str">
        <x:v>Europe</x:v>
      </x:c>
      <x:c r="E2172" s="1" t="str">
        <x:v>PENDING_PAYMENT</x:v>
      </x:c>
      <x:c r="F2172" s="1" t="str">
        <x:v>Late delivery</x:v>
      </x:c>
      <x:c r="G2172" s="6" t="n">
        <x:v>2</x:v>
      </x:c>
      <x:c r="H2172" s="6" t="n">
        <x:v>1</x:v>
      </x:c>
      <x:c r="I2172" s="6" t="n">
        <x:f>G2172-H2172</x:f>
        <x:v>1</x:v>
      </x:c>
      <x:c r="J2172" s="6" t="n">
        <x:f>IF(OR(E2172="CANCELED",E2172="SUSPECTED_FRAUD",F2172="Shipping canceled"),0,1)</x:f>
        <x:v>1</x:v>
      </x:c>
      <x:c r="K2172" s="6" t="n">
        <x:f>IF(G2172&gt;H2172,1,0)</x:f>
        <x:v>1</x:v>
      </x:c>
      <x:c r="L2172" s="6" t="n">
        <x:f>J2172*K2172</x:f>
        <x:v>1</x:v>
      </x:c>
    </x:row>
    <x:row r="2173">
      <x:c r="A2173" s="1" t="n">
        <x:v>16948</x:v>
      </x:c>
      <x:c r="B2173" s="5" t="d">
        <x:v>2015-09-05T00:00:00.000Z</x:v>
      </x:c>
      <x:c r="C2173" s="1" t="str">
        <x:v>Standard Class</x:v>
      </x:c>
      <x:c r="D2173" s="1" t="str">
        <x:v>Europe</x:v>
      </x:c>
      <x:c r="E2173" s="1" t="str">
        <x:v>COMPLETE</x:v>
      </x:c>
      <x:c r="F2173" s="1" t="str">
        <x:v>Shipping on time</x:v>
      </x:c>
      <x:c r="G2173" s="6" t="n">
        <x:v>4</x:v>
      </x:c>
      <x:c r="H2173" s="6" t="n">
        <x:v>4</x:v>
      </x:c>
      <x:c r="I2173" s="6" t="n">
        <x:f>G2173-H2173</x:f>
        <x:v>0</x:v>
      </x:c>
      <x:c r="J2173" s="6" t="n">
        <x:f>IF(OR(E2173="CANCELED",E2173="SUSPECTED_FRAUD",F2173="Shipping canceled"),0,1)</x:f>
        <x:v>1</x:v>
      </x:c>
      <x:c r="K2173" s="6" t="n">
        <x:f>IF(G2173&gt;H2173,1,0)</x:f>
        <x:v>0</x:v>
      </x:c>
      <x:c r="L2173" s="6" t="n">
        <x:f>J2173*K2173</x:f>
        <x:v>0</x:v>
      </x:c>
    </x:row>
    <x:row r="2174">
      <x:c r="A2174" s="1" t="n">
        <x:v>16953</x:v>
      </x:c>
      <x:c r="B2174" s="5" t="d">
        <x:v>2015-09-05T00:00:00.000Z</x:v>
      </x:c>
      <x:c r="C2174" s="1" t="str">
        <x:v>Second Class</x:v>
      </x:c>
      <x:c r="D2174" s="1" t="str">
        <x:v>Europe</x:v>
      </x:c>
      <x:c r="E2174" s="1" t="str">
        <x:v>COMPLETE</x:v>
      </x:c>
      <x:c r="F2174" s="1" t="str">
        <x:v>Late delivery</x:v>
      </x:c>
      <x:c r="G2174" s="6" t="n">
        <x:v>4</x:v>
      </x:c>
      <x:c r="H2174" s="6" t="n">
        <x:v>2</x:v>
      </x:c>
      <x:c r="I2174" s="6" t="n">
        <x:f>G2174-H2174</x:f>
        <x:v>2</x:v>
      </x:c>
      <x:c r="J2174" s="6" t="n">
        <x:f>IF(OR(E2174="CANCELED",E2174="SUSPECTED_FRAUD",F2174="Shipping canceled"),0,1)</x:f>
        <x:v>1</x:v>
      </x:c>
      <x:c r="K2174" s="6" t="n">
        <x:f>IF(G2174&gt;H2174,1,0)</x:f>
        <x:v>1</x:v>
      </x:c>
      <x:c r="L2174" s="6" t="n">
        <x:f>J2174*K2174</x:f>
        <x:v>1</x:v>
      </x:c>
    </x:row>
    <x:row r="2175">
      <x:c r="A2175" s="1" t="n">
        <x:v>16955</x:v>
      </x:c>
      <x:c r="B2175" s="5" t="d">
        <x:v>2015-09-05T00:00:00.000Z</x:v>
      </x:c>
      <x:c r="C2175" s="1" t="str">
        <x:v>Standard Class</x:v>
      </x:c>
      <x:c r="D2175" s="1" t="str">
        <x:v>Europe</x:v>
      </x:c>
      <x:c r="E2175" s="1" t="str">
        <x:v>PROCESSING</x:v>
      </x:c>
      <x:c r="F2175" s="1" t="str">
        <x:v>Late delivery</x:v>
      </x:c>
      <x:c r="G2175" s="6" t="n">
        <x:v>6</x:v>
      </x:c>
      <x:c r="H2175" s="6" t="n">
        <x:v>4</x:v>
      </x:c>
      <x:c r="I2175" s="6" t="n">
        <x:f>G2175-H2175</x:f>
        <x:v>2</x:v>
      </x:c>
      <x:c r="J2175" s="6" t="n">
        <x:f>IF(OR(E2175="CANCELED",E2175="SUSPECTED_FRAUD",F2175="Shipping canceled"),0,1)</x:f>
        <x:v>1</x:v>
      </x:c>
      <x:c r="K2175" s="6" t="n">
        <x:f>IF(G2175&gt;H2175,1,0)</x:f>
        <x:v>1</x:v>
      </x:c>
      <x:c r="L2175" s="6" t="n">
        <x:f>J2175*K2175</x:f>
        <x:v>1</x:v>
      </x:c>
    </x:row>
    <x:row r="2176">
      <x:c r="A2176" s="1" t="n">
        <x:v>16966</x:v>
      </x:c>
      <x:c r="B2176" s="5" t="d">
        <x:v>2015-09-05T00:00:00.000Z</x:v>
      </x:c>
      <x:c r="C2176" s="1" t="str">
        <x:v>Second Class</x:v>
      </x:c>
      <x:c r="D2176" s="1" t="str">
        <x:v>Europe</x:v>
      </x:c>
      <x:c r="E2176" s="1" t="str">
        <x:v>COMPLETE</x:v>
      </x:c>
      <x:c r="F2176" s="1" t="str">
        <x:v>Shipping on time</x:v>
      </x:c>
      <x:c r="G2176" s="6" t="n">
        <x:v>2</x:v>
      </x:c>
      <x:c r="H2176" s="6" t="n">
        <x:v>2</x:v>
      </x:c>
      <x:c r="I2176" s="6" t="n">
        <x:f>G2176-H2176</x:f>
        <x:v>0</x:v>
      </x:c>
      <x:c r="J2176" s="6" t="n">
        <x:f>IF(OR(E2176="CANCELED",E2176="SUSPECTED_FRAUD",F2176="Shipping canceled"),0,1)</x:f>
        <x:v>1</x:v>
      </x:c>
      <x:c r="K2176" s="6" t="n">
        <x:f>IF(G2176&gt;H2176,1,0)</x:f>
        <x:v>0</x:v>
      </x:c>
      <x:c r="L2176" s="6" t="n">
        <x:f>J2176*K2176</x:f>
        <x:v>0</x:v>
      </x:c>
    </x:row>
    <x:row r="2177">
      <x:c r="A2177" s="1" t="n">
        <x:v>16969</x:v>
      </x:c>
      <x:c r="B2177" s="5" t="d">
        <x:v>2015-09-05T00:00:00.000Z</x:v>
      </x:c>
      <x:c r="C2177" s="1" t="str">
        <x:v>Standard Class</x:v>
      </x:c>
      <x:c r="D2177" s="1" t="str">
        <x:v>Europe</x:v>
      </x:c>
      <x:c r="E2177" s="1" t="str">
        <x:v>COMPLETE</x:v>
      </x:c>
      <x:c r="F2177" s="1" t="str">
        <x:v>Late delivery</x:v>
      </x:c>
      <x:c r="G2177" s="6" t="n">
        <x:v>5</x:v>
      </x:c>
      <x:c r="H2177" s="6" t="n">
        <x:v>4</x:v>
      </x:c>
      <x:c r="I2177" s="6" t="n">
        <x:f>G2177-H2177</x:f>
        <x:v>1</x:v>
      </x:c>
      <x:c r="J2177" s="6" t="n">
        <x:f>IF(OR(E2177="CANCELED",E2177="SUSPECTED_FRAUD",F2177="Shipping canceled"),0,1)</x:f>
        <x:v>1</x:v>
      </x:c>
      <x:c r="K2177" s="6" t="n">
        <x:f>IF(G2177&gt;H2177,1,0)</x:f>
        <x:v>1</x:v>
      </x:c>
      <x:c r="L2177" s="6" t="n">
        <x:f>J2177*K2177</x:f>
        <x:v>1</x:v>
      </x:c>
    </x:row>
    <x:row r="2178">
      <x:c r="A2178" s="1" t="n">
        <x:v>16971</x:v>
      </x:c>
      <x:c r="B2178" s="5" t="d">
        <x:v>2015-09-05T00:00:00.000Z</x:v>
      </x:c>
      <x:c r="C2178" s="1" t="str">
        <x:v>Standard Class</x:v>
      </x:c>
      <x:c r="D2178" s="1" t="str">
        <x:v>Europe</x:v>
      </x:c>
      <x:c r="E2178" s="1" t="str">
        <x:v>PENDING_PAYMENT</x:v>
      </x:c>
      <x:c r="F2178" s="1" t="str">
        <x:v>Advance shipping</x:v>
      </x:c>
      <x:c r="G2178" s="6" t="n">
        <x:v>2</x:v>
      </x:c>
      <x:c r="H2178" s="6" t="n">
        <x:v>4</x:v>
      </x:c>
      <x:c r="I2178" s="6" t="n">
        <x:f>G2178-H2178</x:f>
        <x:v>-2</x:v>
      </x:c>
      <x:c r="J2178" s="6" t="n">
        <x:f>IF(OR(E2178="CANCELED",E2178="SUSPECTED_FRAUD",F2178="Shipping canceled"),0,1)</x:f>
        <x:v>1</x:v>
      </x:c>
      <x:c r="K2178" s="6" t="n">
        <x:f>IF(G2178&gt;H2178,1,0)</x:f>
        <x:v>0</x:v>
      </x:c>
      <x:c r="L2178" s="6" t="n">
        <x:f>J2178*K2178</x:f>
        <x:v>0</x:v>
      </x:c>
    </x:row>
    <x:row r="2179">
      <x:c r="A2179" s="1" t="n">
        <x:v>16974</x:v>
      </x:c>
      <x:c r="B2179" s="5" t="d">
        <x:v>2015-09-05T00:00:00.000Z</x:v>
      </x:c>
      <x:c r="C2179" s="1" t="str">
        <x:v>Standard Class</x:v>
      </x:c>
      <x:c r="D2179" s="1" t="str">
        <x:v>Europe</x:v>
      </x:c>
      <x:c r="E2179" s="1" t="str">
        <x:v>PENDING_PAYMENT</x:v>
      </x:c>
      <x:c r="F2179" s="1" t="str">
        <x:v>Late delivery</x:v>
      </x:c>
      <x:c r="G2179" s="6" t="n">
        <x:v>5</x:v>
      </x:c>
      <x:c r="H2179" s="6" t="n">
        <x:v>4</x:v>
      </x:c>
      <x:c r="I2179" s="6" t="n">
        <x:f>G2179-H2179</x:f>
        <x:v>1</x:v>
      </x:c>
      <x:c r="J2179" s="6" t="n">
        <x:f>IF(OR(E2179="CANCELED",E2179="SUSPECTED_FRAUD",F2179="Shipping canceled"),0,1)</x:f>
        <x:v>1</x:v>
      </x:c>
      <x:c r="K2179" s="6" t="n">
        <x:f>IF(G2179&gt;H2179,1,0)</x:f>
        <x:v>1</x:v>
      </x:c>
      <x:c r="L2179" s="6" t="n">
        <x:f>J2179*K2179</x:f>
        <x:v>1</x:v>
      </x:c>
    </x:row>
    <x:row r="2180">
      <x:c r="A2180" s="1" t="n">
        <x:v>16977</x:v>
      </x:c>
      <x:c r="B2180" s="5" t="d">
        <x:v>2015-09-05T00:00:00.000Z</x:v>
      </x:c>
      <x:c r="C2180" s="1" t="str">
        <x:v>First Class</x:v>
      </x:c>
      <x:c r="D2180" s="1" t="str">
        <x:v>Europe</x:v>
      </x:c>
      <x:c r="E2180" s="1" t="str">
        <x:v>PENDING_PAYMENT</x:v>
      </x:c>
      <x:c r="F2180" s="1" t="str">
        <x:v>Late delivery</x:v>
      </x:c>
      <x:c r="G2180" s="6" t="n">
        <x:v>2</x:v>
      </x:c>
      <x:c r="H2180" s="6" t="n">
        <x:v>1</x:v>
      </x:c>
      <x:c r="I2180" s="6" t="n">
        <x:f>G2180-H2180</x:f>
        <x:v>1</x:v>
      </x:c>
      <x:c r="J2180" s="6" t="n">
        <x:f>IF(OR(E2180="CANCELED",E2180="SUSPECTED_FRAUD",F2180="Shipping canceled"),0,1)</x:f>
        <x:v>1</x:v>
      </x:c>
      <x:c r="K2180" s="6" t="n">
        <x:f>IF(G2180&gt;H2180,1,0)</x:f>
        <x:v>1</x:v>
      </x:c>
      <x:c r="L2180" s="6" t="n">
        <x:f>J2180*K2180</x:f>
        <x:v>1</x:v>
      </x:c>
    </x:row>
    <x:row r="2181">
      <x:c r="A2181" s="1" t="n">
        <x:v>16989</x:v>
      </x:c>
      <x:c r="B2181" s="5" t="d">
        <x:v>2015-09-05T00:00:00.000Z</x:v>
      </x:c>
      <x:c r="C2181" s="1" t="str">
        <x:v>Standard Class</x:v>
      </x:c>
      <x:c r="D2181" s="1" t="str">
        <x:v>Europe</x:v>
      </x:c>
      <x:c r="E2181" s="1" t="str">
        <x:v>PENDING_PAYMENT</x:v>
      </x:c>
      <x:c r="F2181" s="1" t="str">
        <x:v>Late delivery</x:v>
      </x:c>
      <x:c r="G2181" s="6" t="n">
        <x:v>5</x:v>
      </x:c>
      <x:c r="H2181" s="6" t="n">
        <x:v>4</x:v>
      </x:c>
      <x:c r="I2181" s="6" t="n">
        <x:f>G2181-H2181</x:f>
        <x:v>1</x:v>
      </x:c>
      <x:c r="J2181" s="6" t="n">
        <x:f>IF(OR(E2181="CANCELED",E2181="SUSPECTED_FRAUD",F2181="Shipping canceled"),0,1)</x:f>
        <x:v>1</x:v>
      </x:c>
      <x:c r="K2181" s="6" t="n">
        <x:f>IF(G2181&gt;H2181,1,0)</x:f>
        <x:v>1</x:v>
      </x:c>
      <x:c r="L2181" s="6" t="n">
        <x:f>J2181*K2181</x:f>
        <x:v>1</x:v>
      </x:c>
    </x:row>
    <x:row r="2182">
      <x:c r="A2182" s="1" t="n">
        <x:v>16998</x:v>
      </x:c>
      <x:c r="B2182" s="5" t="d">
        <x:v>2015-09-06T00:00:00.000Z</x:v>
      </x:c>
      <x:c r="C2182" s="1" t="str">
        <x:v>Second Class</x:v>
      </x:c>
      <x:c r="D2182" s="1" t="str">
        <x:v>Europe</x:v>
      </x:c>
      <x:c r="E2182" s="1" t="str">
        <x:v>COMPLETE</x:v>
      </x:c>
      <x:c r="F2182" s="1" t="str">
        <x:v>Late delivery</x:v>
      </x:c>
      <x:c r="G2182" s="6" t="n">
        <x:v>4</x:v>
      </x:c>
      <x:c r="H2182" s="6" t="n">
        <x:v>2</x:v>
      </x:c>
      <x:c r="I2182" s="6" t="n">
        <x:f>G2182-H2182</x:f>
        <x:v>2</x:v>
      </x:c>
      <x:c r="J2182" s="6" t="n">
        <x:f>IF(OR(E2182="CANCELED",E2182="SUSPECTED_FRAUD",F2182="Shipping canceled"),0,1)</x:f>
        <x:v>1</x:v>
      </x:c>
      <x:c r="K2182" s="6" t="n">
        <x:f>IF(G2182&gt;H2182,1,0)</x:f>
        <x:v>1</x:v>
      </x:c>
      <x:c r="L2182" s="6" t="n">
        <x:f>J2182*K2182</x:f>
        <x:v>1</x:v>
      </x:c>
    </x:row>
    <x:row r="2183">
      <x:c r="A2183" s="1" t="n">
        <x:v>17002</x:v>
      </x:c>
      <x:c r="B2183" s="5" t="d">
        <x:v>2015-09-06T00:00:00.000Z</x:v>
      </x:c>
      <x:c r="C2183" s="1" t="str">
        <x:v>Standard Class</x:v>
      </x:c>
      <x:c r="D2183" s="1" t="str">
        <x:v>Europe</x:v>
      </x:c>
      <x:c r="E2183" s="1" t="str">
        <x:v>COMPLETE</x:v>
      </x:c>
      <x:c r="F2183" s="1" t="str">
        <x:v>Advance shipping</x:v>
      </x:c>
      <x:c r="G2183" s="6" t="n">
        <x:v>3</x:v>
      </x:c>
      <x:c r="H2183" s="6" t="n">
        <x:v>4</x:v>
      </x:c>
      <x:c r="I2183" s="6" t="n">
        <x:f>G2183-H2183</x:f>
        <x:v>-1</x:v>
      </x:c>
      <x:c r="J2183" s="6" t="n">
        <x:f>IF(OR(E2183="CANCELED",E2183="SUSPECTED_FRAUD",F2183="Shipping canceled"),0,1)</x:f>
        <x:v>1</x:v>
      </x:c>
      <x:c r="K2183" s="6" t="n">
        <x:f>IF(G2183&gt;H2183,1,0)</x:f>
        <x:v>0</x:v>
      </x:c>
      <x:c r="L2183" s="6" t="n">
        <x:f>J2183*K2183</x:f>
        <x:v>0</x:v>
      </x:c>
    </x:row>
    <x:row r="2184">
      <x:c r="A2184" s="1" t="n">
        <x:v>17005</x:v>
      </x:c>
      <x:c r="B2184" s="5" t="d">
        <x:v>2015-09-06T00:00:00.000Z</x:v>
      </x:c>
      <x:c r="C2184" s="1" t="str">
        <x:v>Standard Class</x:v>
      </x:c>
      <x:c r="D2184" s="1" t="str">
        <x:v>Europe</x:v>
      </x:c>
      <x:c r="E2184" s="1" t="str">
        <x:v>COMPLETE</x:v>
      </x:c>
      <x:c r="F2184" s="1" t="str">
        <x:v>Late delivery</x:v>
      </x:c>
      <x:c r="G2184" s="6" t="n">
        <x:v>6</x:v>
      </x:c>
      <x:c r="H2184" s="6" t="n">
        <x:v>4</x:v>
      </x:c>
      <x:c r="I2184" s="6" t="n">
        <x:f>G2184-H2184</x:f>
        <x:v>2</x:v>
      </x:c>
      <x:c r="J2184" s="6" t="n">
        <x:f>IF(OR(E2184="CANCELED",E2184="SUSPECTED_FRAUD",F2184="Shipping canceled"),0,1)</x:f>
        <x:v>1</x:v>
      </x:c>
      <x:c r="K2184" s="6" t="n">
        <x:f>IF(G2184&gt;H2184,1,0)</x:f>
        <x:v>1</x:v>
      </x:c>
      <x:c r="L2184" s="6" t="n">
        <x:f>J2184*K2184</x:f>
        <x:v>1</x:v>
      </x:c>
    </x:row>
    <x:row r="2185">
      <x:c r="A2185" s="1" t="n">
        <x:v>17013</x:v>
      </x:c>
      <x:c r="B2185" s="5" t="d">
        <x:v>2015-09-06T00:00:00.000Z</x:v>
      </x:c>
      <x:c r="C2185" s="1" t="str">
        <x:v>Standard Class</x:v>
      </x:c>
      <x:c r="D2185" s="1" t="str">
        <x:v>Europe</x:v>
      </x:c>
      <x:c r="E2185" s="1" t="str">
        <x:v>CLOSED</x:v>
      </x:c>
      <x:c r="F2185" s="1" t="str">
        <x:v>Shipping on time</x:v>
      </x:c>
      <x:c r="G2185" s="6" t="n">
        <x:v>4</x:v>
      </x:c>
      <x:c r="H2185" s="6" t="n">
        <x:v>4</x:v>
      </x:c>
      <x:c r="I2185" s="6" t="n">
        <x:f>G2185-H2185</x:f>
        <x:v>0</x:v>
      </x:c>
      <x:c r="J2185" s="6" t="n">
        <x:f>IF(OR(E2185="CANCELED",E2185="SUSPECTED_FRAUD",F2185="Shipping canceled"),0,1)</x:f>
        <x:v>1</x:v>
      </x:c>
      <x:c r="K2185" s="6" t="n">
        <x:f>IF(G2185&gt;H2185,1,0)</x:f>
        <x:v>0</x:v>
      </x:c>
      <x:c r="L2185" s="6" t="n">
        <x:f>J2185*K2185</x:f>
        <x:v>0</x:v>
      </x:c>
    </x:row>
    <x:row r="2186">
      <x:c r="A2186" s="1" t="n">
        <x:v>17016</x:v>
      </x:c>
      <x:c r="B2186" s="5" t="d">
        <x:v>2015-09-06T00:00:00.000Z</x:v>
      </x:c>
      <x:c r="C2186" s="1" t="str">
        <x:v>First Class</x:v>
      </x:c>
      <x:c r="D2186" s="1" t="str">
        <x:v>Europe</x:v>
      </x:c>
      <x:c r="E2186" s="1" t="str">
        <x:v>PENDING</x:v>
      </x:c>
      <x:c r="F2186" s="1" t="str">
        <x:v>Late delivery</x:v>
      </x:c>
      <x:c r="G2186" s="6" t="n">
        <x:v>2</x:v>
      </x:c>
      <x:c r="H2186" s="6" t="n">
        <x:v>1</x:v>
      </x:c>
      <x:c r="I2186" s="6" t="n">
        <x:f>G2186-H2186</x:f>
        <x:v>1</x:v>
      </x:c>
      <x:c r="J2186" s="6" t="n">
        <x:f>IF(OR(E2186="CANCELED",E2186="SUSPECTED_FRAUD",F2186="Shipping canceled"),0,1)</x:f>
        <x:v>1</x:v>
      </x:c>
      <x:c r="K2186" s="6" t="n">
        <x:f>IF(G2186&gt;H2186,1,0)</x:f>
        <x:v>1</x:v>
      </x:c>
      <x:c r="L2186" s="6" t="n">
        <x:f>J2186*K2186</x:f>
        <x:v>1</x:v>
      </x:c>
    </x:row>
    <x:row r="2187">
      <x:c r="A2187" s="1" t="n">
        <x:v>17021</x:v>
      </x:c>
      <x:c r="B2187" s="5" t="d">
        <x:v>2015-09-06T00:00:00.000Z</x:v>
      </x:c>
      <x:c r="C2187" s="1" t="str">
        <x:v>Same Day</x:v>
      </x:c>
      <x:c r="D2187" s="1" t="str">
        <x:v>Europe</x:v>
      </x:c>
      <x:c r="E2187" s="1" t="str">
        <x:v>CLOSED</x:v>
      </x:c>
      <x:c r="F2187" s="1" t="str">
        <x:v>Shipping on time</x:v>
      </x:c>
      <x:c r="G2187" s="6" t="n">
        <x:v>0</x:v>
      </x:c>
      <x:c r="H2187" s="6" t="n">
        <x:v>0</x:v>
      </x:c>
      <x:c r="I2187" s="6" t="n">
        <x:f>G2187-H2187</x:f>
        <x:v>0</x:v>
      </x:c>
      <x:c r="J2187" s="6" t="n">
        <x:f>IF(OR(E2187="CANCELED",E2187="SUSPECTED_FRAUD",F2187="Shipping canceled"),0,1)</x:f>
        <x:v>1</x:v>
      </x:c>
      <x:c r="K2187" s="6" t="n">
        <x:f>IF(G2187&gt;H2187,1,0)</x:f>
        <x:v>0</x:v>
      </x:c>
      <x:c r="L2187" s="6" t="n">
        <x:f>J2187*K2187</x:f>
        <x:v>0</x:v>
      </x:c>
    </x:row>
    <x:row r="2188">
      <x:c r="A2188" s="1" t="n">
        <x:v>17043</x:v>
      </x:c>
      <x:c r="B2188" s="5" t="d">
        <x:v>2015-09-06T00:00:00.000Z</x:v>
      </x:c>
      <x:c r="C2188" s="1" t="str">
        <x:v>First Class</x:v>
      </x:c>
      <x:c r="D2188" s="1" t="str">
        <x:v>Europe</x:v>
      </x:c>
      <x:c r="E2188" s="1" t="str">
        <x:v>CLOSED</x:v>
      </x:c>
      <x:c r="F2188" s="1" t="str">
        <x:v>Late delivery</x:v>
      </x:c>
      <x:c r="G2188" s="6" t="n">
        <x:v>2</x:v>
      </x:c>
      <x:c r="H2188" s="6" t="n">
        <x:v>1</x:v>
      </x:c>
      <x:c r="I2188" s="6" t="n">
        <x:f>G2188-H2188</x:f>
        <x:v>1</x:v>
      </x:c>
      <x:c r="J2188" s="6" t="n">
        <x:f>IF(OR(E2188="CANCELED",E2188="SUSPECTED_FRAUD",F2188="Shipping canceled"),0,1)</x:f>
        <x:v>1</x:v>
      </x:c>
      <x:c r="K2188" s="6" t="n">
        <x:f>IF(G2188&gt;H2188,1,0)</x:f>
        <x:v>1</x:v>
      </x:c>
      <x:c r="L2188" s="6" t="n">
        <x:f>J2188*K2188</x:f>
        <x:v>1</x:v>
      </x:c>
    </x:row>
    <x:row r="2189">
      <x:c r="A2189" s="1" t="n">
        <x:v>17055</x:v>
      </x:c>
      <x:c r="B2189" s="5" t="d">
        <x:v>2015-09-06T00:00:00.000Z</x:v>
      </x:c>
      <x:c r="C2189" s="1" t="str">
        <x:v>Standard Class</x:v>
      </x:c>
      <x:c r="D2189" s="1" t="str">
        <x:v>Europe</x:v>
      </x:c>
      <x:c r="E2189" s="1" t="str">
        <x:v>PENDING_PAYMENT</x:v>
      </x:c>
      <x:c r="F2189" s="1" t="str">
        <x:v>Late delivery</x:v>
      </x:c>
      <x:c r="G2189" s="6" t="n">
        <x:v>6</x:v>
      </x:c>
      <x:c r="H2189" s="6" t="n">
        <x:v>4</x:v>
      </x:c>
      <x:c r="I2189" s="6" t="n">
        <x:f>G2189-H2189</x:f>
        <x:v>2</x:v>
      </x:c>
      <x:c r="J2189" s="6" t="n">
        <x:f>IF(OR(E2189="CANCELED",E2189="SUSPECTED_FRAUD",F2189="Shipping canceled"),0,1)</x:f>
        <x:v>1</x:v>
      </x:c>
      <x:c r="K2189" s="6" t="n">
        <x:f>IF(G2189&gt;H2189,1,0)</x:f>
        <x:v>1</x:v>
      </x:c>
      <x:c r="L2189" s="6" t="n">
        <x:f>J2189*K2189</x:f>
        <x:v>1</x:v>
      </x:c>
    </x:row>
    <x:row r="2190">
      <x:c r="A2190" s="1" t="n">
        <x:v>17056</x:v>
      </x:c>
      <x:c r="B2190" s="5" t="d">
        <x:v>2015-09-06T00:00:00.000Z</x:v>
      </x:c>
      <x:c r="C2190" s="1" t="str">
        <x:v>Standard Class</x:v>
      </x:c>
      <x:c r="D2190" s="1" t="str">
        <x:v>Europe</x:v>
      </x:c>
      <x:c r="E2190" s="1" t="str">
        <x:v>PENDING</x:v>
      </x:c>
      <x:c r="F2190" s="1" t="str">
        <x:v>Advance shipping</x:v>
      </x:c>
      <x:c r="G2190" s="6" t="n">
        <x:v>2</x:v>
      </x:c>
      <x:c r="H2190" s="6" t="n">
        <x:v>4</x:v>
      </x:c>
      <x:c r="I2190" s="6" t="n">
        <x:f>G2190-H2190</x:f>
        <x:v>-2</x:v>
      </x:c>
      <x:c r="J2190" s="6" t="n">
        <x:f>IF(OR(E2190="CANCELED",E2190="SUSPECTED_FRAUD",F2190="Shipping canceled"),0,1)</x:f>
        <x:v>1</x:v>
      </x:c>
      <x:c r="K2190" s="6" t="n">
        <x:f>IF(G2190&gt;H2190,1,0)</x:f>
        <x:v>0</x:v>
      </x:c>
      <x:c r="L2190" s="6" t="n">
        <x:f>J2190*K2190</x:f>
        <x:v>0</x:v>
      </x:c>
    </x:row>
    <x:row r="2191">
      <x:c r="A2191" s="1" t="n">
        <x:v>17063</x:v>
      </x:c>
      <x:c r="B2191" s="5" t="d">
        <x:v>2015-09-07T00:00:00.000Z</x:v>
      </x:c>
      <x:c r="C2191" s="1" t="str">
        <x:v>Standard Class</x:v>
      </x:c>
      <x:c r="D2191" s="1" t="str">
        <x:v>Europe</x:v>
      </x:c>
      <x:c r="E2191" s="1" t="str">
        <x:v>COMPLETE</x:v>
      </x:c>
      <x:c r="F2191" s="1" t="str">
        <x:v>Shipping on time</x:v>
      </x:c>
      <x:c r="G2191" s="6" t="n">
        <x:v>4</x:v>
      </x:c>
      <x:c r="H2191" s="6" t="n">
        <x:v>4</x:v>
      </x:c>
      <x:c r="I2191" s="6" t="n">
        <x:f>G2191-H2191</x:f>
        <x:v>0</x:v>
      </x:c>
      <x:c r="J2191" s="6" t="n">
        <x:f>IF(OR(E2191="CANCELED",E2191="SUSPECTED_FRAUD",F2191="Shipping canceled"),0,1)</x:f>
        <x:v>1</x:v>
      </x:c>
      <x:c r="K2191" s="6" t="n">
        <x:f>IF(G2191&gt;H2191,1,0)</x:f>
        <x:v>0</x:v>
      </x:c>
      <x:c r="L2191" s="6" t="n">
        <x:f>J2191*K2191</x:f>
        <x:v>0</x:v>
      </x:c>
    </x:row>
    <x:row r="2192">
      <x:c r="A2192" s="1" t="n">
        <x:v>17071</x:v>
      </x:c>
      <x:c r="B2192" s="5" t="d">
        <x:v>2015-09-07T00:00:00.000Z</x:v>
      </x:c>
      <x:c r="C2192" s="1" t="str">
        <x:v>Second Class</x:v>
      </x:c>
      <x:c r="D2192" s="1" t="str">
        <x:v>Europe</x:v>
      </x:c>
      <x:c r="E2192" s="1" t="str">
        <x:v>PENDING_PAYMENT</x:v>
      </x:c>
      <x:c r="F2192" s="1" t="str">
        <x:v>Shipping on time</x:v>
      </x:c>
      <x:c r="G2192" s="6" t="n">
        <x:v>2</x:v>
      </x:c>
      <x:c r="H2192" s="6" t="n">
        <x:v>2</x:v>
      </x:c>
      <x:c r="I2192" s="6" t="n">
        <x:f>G2192-H2192</x:f>
        <x:v>0</x:v>
      </x:c>
      <x:c r="J2192" s="6" t="n">
        <x:f>IF(OR(E2192="CANCELED",E2192="SUSPECTED_FRAUD",F2192="Shipping canceled"),0,1)</x:f>
        <x:v>1</x:v>
      </x:c>
      <x:c r="K2192" s="6" t="n">
        <x:f>IF(G2192&gt;H2192,1,0)</x:f>
        <x:v>0</x:v>
      </x:c>
      <x:c r="L2192" s="6" t="n">
        <x:f>J2192*K2192</x:f>
        <x:v>0</x:v>
      </x:c>
    </x:row>
    <x:row r="2193">
      <x:c r="A2193" s="1" t="n">
        <x:v>17078</x:v>
      </x:c>
      <x:c r="B2193" s="5" t="d">
        <x:v>2015-09-07T00:00:00.000Z</x:v>
      </x:c>
      <x:c r="C2193" s="1" t="str">
        <x:v>Standard Class</x:v>
      </x:c>
      <x:c r="D2193" s="1" t="str">
        <x:v>Europe</x:v>
      </x:c>
      <x:c r="E2193" s="1" t="str">
        <x:v>COMPLETE</x:v>
      </x:c>
      <x:c r="F2193" s="1" t="str">
        <x:v>Shipping on time</x:v>
      </x:c>
      <x:c r="G2193" s="6" t="n">
        <x:v>4</x:v>
      </x:c>
      <x:c r="H2193" s="6" t="n">
        <x:v>4</x:v>
      </x:c>
      <x:c r="I2193" s="6" t="n">
        <x:f>G2193-H2193</x:f>
        <x:v>0</x:v>
      </x:c>
      <x:c r="J2193" s="6" t="n">
        <x:f>IF(OR(E2193="CANCELED",E2193="SUSPECTED_FRAUD",F2193="Shipping canceled"),0,1)</x:f>
        <x:v>1</x:v>
      </x:c>
      <x:c r="K2193" s="6" t="n">
        <x:f>IF(G2193&gt;H2193,1,0)</x:f>
        <x:v>0</x:v>
      </x:c>
      <x:c r="L2193" s="6" t="n">
        <x:f>J2193*K2193</x:f>
        <x:v>0</x:v>
      </x:c>
    </x:row>
    <x:row r="2194">
      <x:c r="A2194" s="1" t="n">
        <x:v>17080</x:v>
      </x:c>
      <x:c r="B2194" s="5" t="d">
        <x:v>2015-09-07T00:00:00.000Z</x:v>
      </x:c>
      <x:c r="C2194" s="1" t="str">
        <x:v>First Class</x:v>
      </x:c>
      <x:c r="D2194" s="1" t="str">
        <x:v>Europe</x:v>
      </x:c>
      <x:c r="E2194" s="1" t="str">
        <x:v>CLOSED</x:v>
      </x:c>
      <x:c r="F2194" s="1" t="str">
        <x:v>Late delivery</x:v>
      </x:c>
      <x:c r="G2194" s="6" t="n">
        <x:v>2</x:v>
      </x:c>
      <x:c r="H2194" s="6" t="n">
        <x:v>1</x:v>
      </x:c>
      <x:c r="I2194" s="6" t="n">
        <x:f>G2194-H2194</x:f>
        <x:v>1</x:v>
      </x:c>
      <x:c r="J2194" s="6" t="n">
        <x:f>IF(OR(E2194="CANCELED",E2194="SUSPECTED_FRAUD",F2194="Shipping canceled"),0,1)</x:f>
        <x:v>1</x:v>
      </x:c>
      <x:c r="K2194" s="6" t="n">
        <x:f>IF(G2194&gt;H2194,1,0)</x:f>
        <x:v>1</x:v>
      </x:c>
      <x:c r="L2194" s="6" t="n">
        <x:f>J2194*K2194</x:f>
        <x:v>1</x:v>
      </x:c>
    </x:row>
    <x:row r="2195">
      <x:c r="A2195" s="1" t="n">
        <x:v>17091</x:v>
      </x:c>
      <x:c r="B2195" s="5" t="d">
        <x:v>2015-09-07T00:00:00.000Z</x:v>
      </x:c>
      <x:c r="C2195" s="1" t="str">
        <x:v>Standard Class</x:v>
      </x:c>
      <x:c r="D2195" s="1" t="str">
        <x:v>Europe</x:v>
      </x:c>
      <x:c r="E2195" s="1" t="str">
        <x:v>COMPLETE</x:v>
      </x:c>
      <x:c r="F2195" s="1" t="str">
        <x:v>Advance shipping</x:v>
      </x:c>
      <x:c r="G2195" s="6" t="n">
        <x:v>2</x:v>
      </x:c>
      <x:c r="H2195" s="6" t="n">
        <x:v>4</x:v>
      </x:c>
      <x:c r="I2195" s="6" t="n">
        <x:f>G2195-H2195</x:f>
        <x:v>-2</x:v>
      </x:c>
      <x:c r="J2195" s="6" t="n">
        <x:f>IF(OR(E2195="CANCELED",E2195="SUSPECTED_FRAUD",F2195="Shipping canceled"),0,1)</x:f>
        <x:v>1</x:v>
      </x:c>
      <x:c r="K2195" s="6" t="n">
        <x:f>IF(G2195&gt;H2195,1,0)</x:f>
        <x:v>0</x:v>
      </x:c>
      <x:c r="L2195" s="6" t="n">
        <x:f>J2195*K2195</x:f>
        <x:v>0</x:v>
      </x:c>
    </x:row>
    <x:row r="2196">
      <x:c r="A2196" s="1" t="n">
        <x:v>17093</x:v>
      </x:c>
      <x:c r="B2196" s="5" t="d">
        <x:v>2015-09-07T00:00:00.000Z</x:v>
      </x:c>
      <x:c r="C2196" s="1" t="str">
        <x:v>Standard Class</x:v>
      </x:c>
      <x:c r="D2196" s="1" t="str">
        <x:v>Europe</x:v>
      </x:c>
      <x:c r="E2196" s="1" t="str">
        <x:v>PENDING</x:v>
      </x:c>
      <x:c r="F2196" s="1" t="str">
        <x:v>Shipping on time</x:v>
      </x:c>
      <x:c r="G2196" s="6" t="n">
        <x:v>4</x:v>
      </x:c>
      <x:c r="H2196" s="6" t="n">
        <x:v>4</x:v>
      </x:c>
      <x:c r="I2196" s="6" t="n">
        <x:f>G2196-H2196</x:f>
        <x:v>0</x:v>
      </x:c>
      <x:c r="J2196" s="6" t="n">
        <x:f>IF(OR(E2196="CANCELED",E2196="SUSPECTED_FRAUD",F2196="Shipping canceled"),0,1)</x:f>
        <x:v>1</x:v>
      </x:c>
      <x:c r="K2196" s="6" t="n">
        <x:f>IF(G2196&gt;H2196,1,0)</x:f>
        <x:v>0</x:v>
      </x:c>
      <x:c r="L2196" s="6" t="n">
        <x:f>J2196*K2196</x:f>
        <x:v>0</x:v>
      </x:c>
    </x:row>
    <x:row r="2197">
      <x:c r="A2197" s="1" t="n">
        <x:v>17101</x:v>
      </x:c>
      <x:c r="B2197" s="5" t="d">
        <x:v>2015-09-07T00:00:00.000Z</x:v>
      </x:c>
      <x:c r="C2197" s="1" t="str">
        <x:v>Standard Class</x:v>
      </x:c>
      <x:c r="D2197" s="1" t="str">
        <x:v>Europe</x:v>
      </x:c>
      <x:c r="E2197" s="1" t="str">
        <x:v>COMPLETE</x:v>
      </x:c>
      <x:c r="F2197" s="1" t="str">
        <x:v>Advance shipping</x:v>
      </x:c>
      <x:c r="G2197" s="6" t="n">
        <x:v>2</x:v>
      </x:c>
      <x:c r="H2197" s="6" t="n">
        <x:v>4</x:v>
      </x:c>
      <x:c r="I2197" s="6" t="n">
        <x:f>G2197-H2197</x:f>
        <x:v>-2</x:v>
      </x:c>
      <x:c r="J2197" s="6" t="n">
        <x:f>IF(OR(E2197="CANCELED",E2197="SUSPECTED_FRAUD",F2197="Shipping canceled"),0,1)</x:f>
        <x:v>1</x:v>
      </x:c>
      <x:c r="K2197" s="6" t="n">
        <x:f>IF(G2197&gt;H2197,1,0)</x:f>
        <x:v>0</x:v>
      </x:c>
      <x:c r="L2197" s="6" t="n">
        <x:f>J2197*K2197</x:f>
        <x:v>0</x:v>
      </x:c>
    </x:row>
    <x:row r="2198">
      <x:c r="A2198" s="1" t="n">
        <x:v>17102</x:v>
      </x:c>
      <x:c r="B2198" s="5" t="d">
        <x:v>2015-09-07T00:00:00.000Z</x:v>
      </x:c>
      <x:c r="C2198" s="1" t="str">
        <x:v>Standard Class</x:v>
      </x:c>
      <x:c r="D2198" s="1" t="str">
        <x:v>Europe</x:v>
      </x:c>
      <x:c r="E2198" s="1" t="str">
        <x:v>CANCELED</x:v>
      </x:c>
      <x:c r="F2198" s="1" t="str">
        <x:v>Shipping canceled</x:v>
      </x:c>
      <x:c r="G2198" s="6" t="n">
        <x:v>3</x:v>
      </x:c>
      <x:c r="H2198" s="6" t="n">
        <x:v>4</x:v>
      </x:c>
      <x:c r="I2198" s="6" t="n">
        <x:f>G2198-H2198</x:f>
        <x:v>-1</x:v>
      </x:c>
      <x:c r="J2198" s="6" t="n">
        <x:f>IF(OR(E2198="CANCELED",E2198="SUSPECTED_FRAUD",F2198="Shipping canceled"),0,1)</x:f>
        <x:v>0</x:v>
      </x:c>
      <x:c r="K2198" s="6" t="n">
        <x:f>IF(G2198&gt;H2198,1,0)</x:f>
        <x:v>0</x:v>
      </x:c>
      <x:c r="L2198" s="6" t="n">
        <x:f>J2198*K2198</x:f>
        <x:v>0</x:v>
      </x:c>
    </x:row>
    <x:row r="2199">
      <x:c r="A2199" s="1" t="n">
        <x:v>17103</x:v>
      </x:c>
      <x:c r="B2199" s="5" t="d">
        <x:v>2015-09-07T00:00:00.000Z</x:v>
      </x:c>
      <x:c r="C2199" s="1" t="str">
        <x:v>Standard Class</x:v>
      </x:c>
      <x:c r="D2199" s="1" t="str">
        <x:v>Europe</x:v>
      </x:c>
      <x:c r="E2199" s="1" t="str">
        <x:v>COMPLETE</x:v>
      </x:c>
      <x:c r="F2199" s="1" t="str">
        <x:v>Shipping on time</x:v>
      </x:c>
      <x:c r="G2199" s="6" t="n">
        <x:v>4</x:v>
      </x:c>
      <x:c r="H2199" s="6" t="n">
        <x:v>4</x:v>
      </x:c>
      <x:c r="I2199" s="6" t="n">
        <x:f>G2199-H2199</x:f>
        <x:v>0</x:v>
      </x:c>
      <x:c r="J2199" s="6" t="n">
        <x:f>IF(OR(E2199="CANCELED",E2199="SUSPECTED_FRAUD",F2199="Shipping canceled"),0,1)</x:f>
        <x:v>1</x:v>
      </x:c>
      <x:c r="K2199" s="6" t="n">
        <x:f>IF(G2199&gt;H2199,1,0)</x:f>
        <x:v>0</x:v>
      </x:c>
      <x:c r="L2199" s="6" t="n">
        <x:f>J2199*K2199</x:f>
        <x:v>0</x:v>
      </x:c>
    </x:row>
    <x:row r="2200">
      <x:c r="A2200" s="1" t="n">
        <x:v>17104</x:v>
      </x:c>
      <x:c r="B2200" s="5" t="d">
        <x:v>2015-09-07T00:00:00.000Z</x:v>
      </x:c>
      <x:c r="C2200" s="1" t="str">
        <x:v>Standard Class</x:v>
      </x:c>
      <x:c r="D2200" s="1" t="str">
        <x:v>Europe</x:v>
      </x:c>
      <x:c r="E2200" s="1" t="str">
        <x:v>SUSPECTED_FRAUD</x:v>
      </x:c>
      <x:c r="F2200" s="1" t="str">
        <x:v>Shipping canceled</x:v>
      </x:c>
      <x:c r="G2200" s="6" t="n">
        <x:v>5</x:v>
      </x:c>
      <x:c r="H2200" s="6" t="n">
        <x:v>4</x:v>
      </x:c>
      <x:c r="I2200" s="6" t="n">
        <x:f>G2200-H2200</x:f>
        <x:v>1</x:v>
      </x:c>
      <x:c r="J2200" s="6" t="n">
        <x:f>IF(OR(E2200="CANCELED",E2200="SUSPECTED_FRAUD",F2200="Shipping canceled"),0,1)</x:f>
        <x:v>0</x:v>
      </x:c>
      <x:c r="K2200" s="6" t="n">
        <x:f>IF(G2200&gt;H2200,1,0)</x:f>
        <x:v>1</x:v>
      </x:c>
      <x:c r="L2200" s="6" t="n">
        <x:f>J2200*K2200</x:f>
        <x:v>0</x:v>
      </x:c>
    </x:row>
    <x:row r="2201">
      <x:c r="A2201" s="1" t="n">
        <x:v>17108</x:v>
      </x:c>
      <x:c r="B2201" s="5" t="d">
        <x:v>2015-09-07T00:00:00.000Z</x:v>
      </x:c>
      <x:c r="C2201" s="1" t="str">
        <x:v>Standard Class</x:v>
      </x:c>
      <x:c r="D2201" s="1" t="str">
        <x:v>Europe</x:v>
      </x:c>
      <x:c r="E2201" s="1" t="str">
        <x:v>COMPLETE</x:v>
      </x:c>
      <x:c r="F2201" s="1" t="str">
        <x:v>Shipping on time</x:v>
      </x:c>
      <x:c r="G2201" s="6" t="n">
        <x:v>4</x:v>
      </x:c>
      <x:c r="H2201" s="6" t="n">
        <x:v>4</x:v>
      </x:c>
      <x:c r="I2201" s="6" t="n">
        <x:f>G2201-H2201</x:f>
        <x:v>0</x:v>
      </x:c>
      <x:c r="J2201" s="6" t="n">
        <x:f>IF(OR(E2201="CANCELED",E2201="SUSPECTED_FRAUD",F2201="Shipping canceled"),0,1)</x:f>
        <x:v>1</x:v>
      </x:c>
      <x:c r="K2201" s="6" t="n">
        <x:f>IF(G2201&gt;H2201,1,0)</x:f>
        <x:v>0</x:v>
      </x:c>
      <x:c r="L2201" s="6" t="n">
        <x:f>J2201*K2201</x:f>
        <x:v>0</x:v>
      </x:c>
    </x:row>
    <x:row r="2202">
      <x:c r="A2202" s="1" t="n">
        <x:v>17119</x:v>
      </x:c>
      <x:c r="B2202" s="5" t="d">
        <x:v>2015-09-07T00:00:00.000Z</x:v>
      </x:c>
      <x:c r="C2202" s="1" t="str">
        <x:v>Standard Class</x:v>
      </x:c>
      <x:c r="D2202" s="1" t="str">
        <x:v>Europe</x:v>
      </x:c>
      <x:c r="E2202" s="1" t="str">
        <x:v>PENDING_PAYMENT</x:v>
      </x:c>
      <x:c r="F2202" s="1" t="str">
        <x:v>Late delivery</x:v>
      </x:c>
      <x:c r="G2202" s="6" t="n">
        <x:v>5</x:v>
      </x:c>
      <x:c r="H2202" s="6" t="n">
        <x:v>4</x:v>
      </x:c>
      <x:c r="I2202" s="6" t="n">
        <x:f>G2202-H2202</x:f>
        <x:v>1</x:v>
      </x:c>
      <x:c r="J2202" s="6" t="n">
        <x:f>IF(OR(E2202="CANCELED",E2202="SUSPECTED_FRAUD",F2202="Shipping canceled"),0,1)</x:f>
        <x:v>1</x:v>
      </x:c>
      <x:c r="K2202" s="6" t="n">
        <x:f>IF(G2202&gt;H2202,1,0)</x:f>
        <x:v>1</x:v>
      </x:c>
      <x:c r="L2202" s="6" t="n">
        <x:f>J2202*K2202</x:f>
        <x:v>1</x:v>
      </x:c>
    </x:row>
    <x:row r="2203">
      <x:c r="A2203" s="1" t="n">
        <x:v>17136</x:v>
      </x:c>
      <x:c r="B2203" s="5" t="d">
        <x:v>2015-09-08T00:00:00.000Z</x:v>
      </x:c>
      <x:c r="C2203" s="1" t="str">
        <x:v>Standard Class</x:v>
      </x:c>
      <x:c r="D2203" s="1" t="str">
        <x:v>Europe</x:v>
      </x:c>
      <x:c r="E2203" s="1" t="str">
        <x:v>CLOSED</x:v>
      </x:c>
      <x:c r="F2203" s="1" t="str">
        <x:v>Advance shipping</x:v>
      </x:c>
      <x:c r="G2203" s="6" t="n">
        <x:v>2</x:v>
      </x:c>
      <x:c r="H2203" s="6" t="n">
        <x:v>4</x:v>
      </x:c>
      <x:c r="I2203" s="6" t="n">
        <x:f>G2203-H2203</x:f>
        <x:v>-2</x:v>
      </x:c>
      <x:c r="J2203" s="6" t="n">
        <x:f>IF(OR(E2203="CANCELED",E2203="SUSPECTED_FRAUD",F2203="Shipping canceled"),0,1)</x:f>
        <x:v>1</x:v>
      </x:c>
      <x:c r="K2203" s="6" t="n">
        <x:f>IF(G2203&gt;H2203,1,0)</x:f>
        <x:v>0</x:v>
      </x:c>
      <x:c r="L2203" s="6" t="n">
        <x:f>J2203*K2203</x:f>
        <x:v>0</x:v>
      </x:c>
    </x:row>
    <x:row r="2204">
      <x:c r="A2204" s="1" t="n">
        <x:v>17144</x:v>
      </x:c>
      <x:c r="B2204" s="5" t="d">
        <x:v>2015-09-08T00:00:00.000Z</x:v>
      </x:c>
      <x:c r="C2204" s="1" t="str">
        <x:v>Standard Class</x:v>
      </x:c>
      <x:c r="D2204" s="1" t="str">
        <x:v>Europe</x:v>
      </x:c>
      <x:c r="E2204" s="1" t="str">
        <x:v>PENDING</x:v>
      </x:c>
      <x:c r="F2204" s="1" t="str">
        <x:v>Late delivery</x:v>
      </x:c>
      <x:c r="G2204" s="6" t="n">
        <x:v>5</x:v>
      </x:c>
      <x:c r="H2204" s="6" t="n">
        <x:v>4</x:v>
      </x:c>
      <x:c r="I2204" s="6" t="n">
        <x:f>G2204-H2204</x:f>
        <x:v>1</x:v>
      </x:c>
      <x:c r="J2204" s="6" t="n">
        <x:f>IF(OR(E2204="CANCELED",E2204="SUSPECTED_FRAUD",F2204="Shipping canceled"),0,1)</x:f>
        <x:v>1</x:v>
      </x:c>
      <x:c r="K2204" s="6" t="n">
        <x:f>IF(G2204&gt;H2204,1,0)</x:f>
        <x:v>1</x:v>
      </x:c>
      <x:c r="L2204" s="6" t="n">
        <x:f>J2204*K2204</x:f>
        <x:v>1</x:v>
      </x:c>
    </x:row>
    <x:row r="2205">
      <x:c r="A2205" s="1" t="n">
        <x:v>17146</x:v>
      </x:c>
      <x:c r="B2205" s="5" t="d">
        <x:v>2015-09-08T00:00:00.000Z</x:v>
      </x:c>
      <x:c r="C2205" s="1" t="str">
        <x:v>Standard Class</x:v>
      </x:c>
      <x:c r="D2205" s="1" t="str">
        <x:v>Europe</x:v>
      </x:c>
      <x:c r="E2205" s="1" t="str">
        <x:v>COMPLETE</x:v>
      </x:c>
      <x:c r="F2205" s="1" t="str">
        <x:v>Advance shipping</x:v>
      </x:c>
      <x:c r="G2205" s="6" t="n">
        <x:v>2</x:v>
      </x:c>
      <x:c r="H2205" s="6" t="n">
        <x:v>4</x:v>
      </x:c>
      <x:c r="I2205" s="6" t="n">
        <x:f>G2205-H2205</x:f>
        <x:v>-2</x:v>
      </x:c>
      <x:c r="J2205" s="6" t="n">
        <x:f>IF(OR(E2205="CANCELED",E2205="SUSPECTED_FRAUD",F2205="Shipping canceled"),0,1)</x:f>
        <x:v>1</x:v>
      </x:c>
      <x:c r="K2205" s="6" t="n">
        <x:f>IF(G2205&gt;H2205,1,0)</x:f>
        <x:v>0</x:v>
      </x:c>
      <x:c r="L2205" s="6" t="n">
        <x:f>J2205*K2205</x:f>
        <x:v>0</x:v>
      </x:c>
    </x:row>
    <x:row r="2206">
      <x:c r="A2206" s="1" t="n">
        <x:v>17153</x:v>
      </x:c>
      <x:c r="B2206" s="5" t="d">
        <x:v>2015-09-08T00:00:00.000Z</x:v>
      </x:c>
      <x:c r="C2206" s="1" t="str">
        <x:v>Standard Class</x:v>
      </x:c>
      <x:c r="D2206" s="1" t="str">
        <x:v>Europe</x:v>
      </x:c>
      <x:c r="E2206" s="1" t="str">
        <x:v>COMPLETE</x:v>
      </x:c>
      <x:c r="F2206" s="1" t="str">
        <x:v>Shipping on time</x:v>
      </x:c>
      <x:c r="G2206" s="6" t="n">
        <x:v>4</x:v>
      </x:c>
      <x:c r="H2206" s="6" t="n">
        <x:v>4</x:v>
      </x:c>
      <x:c r="I2206" s="6" t="n">
        <x:f>G2206-H2206</x:f>
        <x:v>0</x:v>
      </x:c>
      <x:c r="J2206" s="6" t="n">
        <x:f>IF(OR(E2206="CANCELED",E2206="SUSPECTED_FRAUD",F2206="Shipping canceled"),0,1)</x:f>
        <x:v>1</x:v>
      </x:c>
      <x:c r="K2206" s="6" t="n">
        <x:f>IF(G2206&gt;H2206,1,0)</x:f>
        <x:v>0</x:v>
      </x:c>
      <x:c r="L2206" s="6" t="n">
        <x:f>J2206*K2206</x:f>
        <x:v>0</x:v>
      </x:c>
    </x:row>
    <x:row r="2207">
      <x:c r="A2207" s="1" t="n">
        <x:v>17155</x:v>
      </x:c>
      <x:c r="B2207" s="5" t="d">
        <x:v>2015-09-08T00:00:00.000Z</x:v>
      </x:c>
      <x:c r="C2207" s="1" t="str">
        <x:v>Standard Class</x:v>
      </x:c>
      <x:c r="D2207" s="1" t="str">
        <x:v>Europe</x:v>
      </x:c>
      <x:c r="E2207" s="1" t="str">
        <x:v>COMPLETE</x:v>
      </x:c>
      <x:c r="F2207" s="1" t="str">
        <x:v>Late delivery</x:v>
      </x:c>
      <x:c r="G2207" s="6" t="n">
        <x:v>6</x:v>
      </x:c>
      <x:c r="H2207" s="6" t="n">
        <x:v>4</x:v>
      </x:c>
      <x:c r="I2207" s="6" t="n">
        <x:f>G2207-H2207</x:f>
        <x:v>2</x:v>
      </x:c>
      <x:c r="J2207" s="6" t="n">
        <x:f>IF(OR(E2207="CANCELED",E2207="SUSPECTED_FRAUD",F2207="Shipping canceled"),0,1)</x:f>
        <x:v>1</x:v>
      </x:c>
      <x:c r="K2207" s="6" t="n">
        <x:f>IF(G2207&gt;H2207,1,0)</x:f>
        <x:v>1</x:v>
      </x:c>
      <x:c r="L2207" s="6" t="n">
        <x:f>J2207*K2207</x:f>
        <x:v>1</x:v>
      </x:c>
    </x:row>
    <x:row r="2208">
      <x:c r="A2208" s="1" t="n">
        <x:v>17162</x:v>
      </x:c>
      <x:c r="B2208" s="5" t="d">
        <x:v>2015-09-08T00:00:00.000Z</x:v>
      </x:c>
      <x:c r="C2208" s="1" t="str">
        <x:v>Second Class</x:v>
      </x:c>
      <x:c r="D2208" s="1" t="str">
        <x:v>Europe</x:v>
      </x:c>
      <x:c r="E2208" s="1" t="str">
        <x:v>PENDING_PAYMENT</x:v>
      </x:c>
      <x:c r="F2208" s="1" t="str">
        <x:v>Late delivery</x:v>
      </x:c>
      <x:c r="G2208" s="6" t="n">
        <x:v>3</x:v>
      </x:c>
      <x:c r="H2208" s="6" t="n">
        <x:v>2</x:v>
      </x:c>
      <x:c r="I2208" s="6" t="n">
        <x:f>G2208-H2208</x:f>
        <x:v>1</x:v>
      </x:c>
      <x:c r="J2208" s="6" t="n">
        <x:f>IF(OR(E2208="CANCELED",E2208="SUSPECTED_FRAUD",F2208="Shipping canceled"),0,1)</x:f>
        <x:v>1</x:v>
      </x:c>
      <x:c r="K2208" s="6" t="n">
        <x:f>IF(G2208&gt;H2208,1,0)</x:f>
        <x:v>1</x:v>
      </x:c>
      <x:c r="L2208" s="6" t="n">
        <x:f>J2208*K2208</x:f>
        <x:v>1</x:v>
      </x:c>
    </x:row>
    <x:row r="2209">
      <x:c r="A2209" s="1" t="n">
        <x:v>17166</x:v>
      </x:c>
      <x:c r="B2209" s="5" t="d">
        <x:v>2015-09-08T00:00:00.000Z</x:v>
      </x:c>
      <x:c r="C2209" s="1" t="str">
        <x:v>First Class</x:v>
      </x:c>
      <x:c r="D2209" s="1" t="str">
        <x:v>Europe</x:v>
      </x:c>
      <x:c r="E2209" s="1" t="str">
        <x:v>PROCESSING</x:v>
      </x:c>
      <x:c r="F2209" s="1" t="str">
        <x:v>Late delivery</x:v>
      </x:c>
      <x:c r="G2209" s="6" t="n">
        <x:v>2</x:v>
      </x:c>
      <x:c r="H2209" s="6" t="n">
        <x:v>1</x:v>
      </x:c>
      <x:c r="I2209" s="6" t="n">
        <x:f>G2209-H2209</x:f>
        <x:v>1</x:v>
      </x:c>
      <x:c r="J2209" s="6" t="n">
        <x:f>IF(OR(E2209="CANCELED",E2209="SUSPECTED_FRAUD",F2209="Shipping canceled"),0,1)</x:f>
        <x:v>1</x:v>
      </x:c>
      <x:c r="K2209" s="6" t="n">
        <x:f>IF(G2209&gt;H2209,1,0)</x:f>
        <x:v>1</x:v>
      </x:c>
      <x:c r="L2209" s="6" t="n">
        <x:f>J2209*K2209</x:f>
        <x:v>1</x:v>
      </x:c>
    </x:row>
    <x:row r="2210">
      <x:c r="A2210" s="1" t="n">
        <x:v>17179</x:v>
      </x:c>
      <x:c r="B2210" s="5" t="d">
        <x:v>2015-09-08T00:00:00.000Z</x:v>
      </x:c>
      <x:c r="C2210" s="1" t="str">
        <x:v>Standard Class</x:v>
      </x:c>
      <x:c r="D2210" s="1" t="str">
        <x:v>Europe</x:v>
      </x:c>
      <x:c r="E2210" s="1" t="str">
        <x:v>COMPLETE</x:v>
      </x:c>
      <x:c r="F2210" s="1" t="str">
        <x:v>Late delivery</x:v>
      </x:c>
      <x:c r="G2210" s="6" t="n">
        <x:v>5</x:v>
      </x:c>
      <x:c r="H2210" s="6" t="n">
        <x:v>4</x:v>
      </x:c>
      <x:c r="I2210" s="6" t="n">
        <x:f>G2210-H2210</x:f>
        <x:v>1</x:v>
      </x:c>
      <x:c r="J2210" s="6" t="n">
        <x:f>IF(OR(E2210="CANCELED",E2210="SUSPECTED_FRAUD",F2210="Shipping canceled"),0,1)</x:f>
        <x:v>1</x:v>
      </x:c>
      <x:c r="K2210" s="6" t="n">
        <x:f>IF(G2210&gt;H2210,1,0)</x:f>
        <x:v>1</x:v>
      </x:c>
      <x:c r="L2210" s="6" t="n">
        <x:f>J2210*K2210</x:f>
        <x:v>1</x:v>
      </x:c>
    </x:row>
    <x:row r="2211">
      <x:c r="A2211" s="1" t="n">
        <x:v>17186</x:v>
      </x:c>
      <x:c r="B2211" s="5" t="d">
        <x:v>2015-09-08T00:00:00.000Z</x:v>
      </x:c>
      <x:c r="C2211" s="1" t="str">
        <x:v>Standard Class</x:v>
      </x:c>
      <x:c r="D2211" s="1" t="str">
        <x:v>Europe</x:v>
      </x:c>
      <x:c r="E2211" s="1" t="str">
        <x:v>PROCESSING</x:v>
      </x:c>
      <x:c r="F2211" s="1" t="str">
        <x:v>Advance shipping</x:v>
      </x:c>
      <x:c r="G2211" s="6" t="n">
        <x:v>2</x:v>
      </x:c>
      <x:c r="H2211" s="6" t="n">
        <x:v>4</x:v>
      </x:c>
      <x:c r="I2211" s="6" t="n">
        <x:f>G2211-H2211</x:f>
        <x:v>-2</x:v>
      </x:c>
      <x:c r="J2211" s="6" t="n">
        <x:f>IF(OR(E2211="CANCELED",E2211="SUSPECTED_FRAUD",F2211="Shipping canceled"),0,1)</x:f>
        <x:v>1</x:v>
      </x:c>
      <x:c r="K2211" s="6" t="n">
        <x:f>IF(G2211&gt;H2211,1,0)</x:f>
        <x:v>0</x:v>
      </x:c>
      <x:c r="L2211" s="6" t="n">
        <x:f>J2211*K2211</x:f>
        <x:v>0</x:v>
      </x:c>
    </x:row>
    <x:row r="2212">
      <x:c r="A2212" s="1" t="n">
        <x:v>17206</x:v>
      </x:c>
      <x:c r="B2212" s="5" t="d">
        <x:v>2015-09-09T00:00:00.000Z</x:v>
      </x:c>
      <x:c r="C2212" s="1" t="str">
        <x:v>Standard Class</x:v>
      </x:c>
      <x:c r="D2212" s="1" t="str">
        <x:v>Europe</x:v>
      </x:c>
      <x:c r="E2212" s="1" t="str">
        <x:v>PROCESSING</x:v>
      </x:c>
      <x:c r="F2212" s="1" t="str">
        <x:v>Advance shipping</x:v>
      </x:c>
      <x:c r="G2212" s="6" t="n">
        <x:v>2</x:v>
      </x:c>
      <x:c r="H2212" s="6" t="n">
        <x:v>4</x:v>
      </x:c>
      <x:c r="I2212" s="6" t="n">
        <x:f>G2212-H2212</x:f>
        <x:v>-2</x:v>
      </x:c>
      <x:c r="J2212" s="6" t="n">
        <x:f>IF(OR(E2212="CANCELED",E2212="SUSPECTED_FRAUD",F2212="Shipping canceled"),0,1)</x:f>
        <x:v>1</x:v>
      </x:c>
      <x:c r="K2212" s="6" t="n">
        <x:f>IF(G2212&gt;H2212,1,0)</x:f>
        <x:v>0</x:v>
      </x:c>
      <x:c r="L2212" s="6" t="n">
        <x:f>J2212*K2212</x:f>
        <x:v>0</x:v>
      </x:c>
    </x:row>
    <x:row r="2213">
      <x:c r="A2213" s="1" t="n">
        <x:v>17211</x:v>
      </x:c>
      <x:c r="B2213" s="5" t="d">
        <x:v>2015-09-09T00:00:00.000Z</x:v>
      </x:c>
      <x:c r="C2213" s="1" t="str">
        <x:v>Standard Class</x:v>
      </x:c>
      <x:c r="D2213" s="1" t="str">
        <x:v>Europe</x:v>
      </x:c>
      <x:c r="E2213" s="1" t="str">
        <x:v>COMPLETE</x:v>
      </x:c>
      <x:c r="F2213" s="1" t="str">
        <x:v>Advance shipping</x:v>
      </x:c>
      <x:c r="G2213" s="6" t="n">
        <x:v>2</x:v>
      </x:c>
      <x:c r="H2213" s="6" t="n">
        <x:v>4</x:v>
      </x:c>
      <x:c r="I2213" s="6" t="n">
        <x:f>G2213-H2213</x:f>
        <x:v>-2</x:v>
      </x:c>
      <x:c r="J2213" s="6" t="n">
        <x:f>IF(OR(E2213="CANCELED",E2213="SUSPECTED_FRAUD",F2213="Shipping canceled"),0,1)</x:f>
        <x:v>1</x:v>
      </x:c>
      <x:c r="K2213" s="6" t="n">
        <x:f>IF(G2213&gt;H2213,1,0)</x:f>
        <x:v>0</x:v>
      </x:c>
      <x:c r="L2213" s="6" t="n">
        <x:f>J2213*K2213</x:f>
        <x:v>0</x:v>
      </x:c>
    </x:row>
    <x:row r="2214">
      <x:c r="A2214" s="1" t="n">
        <x:v>17212</x:v>
      </x:c>
      <x:c r="B2214" s="5" t="d">
        <x:v>2015-09-09T00:00:00.000Z</x:v>
      </x:c>
      <x:c r="C2214" s="1" t="str">
        <x:v>Standard Class</x:v>
      </x:c>
      <x:c r="D2214" s="1" t="str">
        <x:v>Europe</x:v>
      </x:c>
      <x:c r="E2214" s="1" t="str">
        <x:v>COMPLETE</x:v>
      </x:c>
      <x:c r="F2214" s="1" t="str">
        <x:v>Advance shipping</x:v>
      </x:c>
      <x:c r="G2214" s="6" t="n">
        <x:v>3</x:v>
      </x:c>
      <x:c r="H2214" s="6" t="n">
        <x:v>4</x:v>
      </x:c>
      <x:c r="I2214" s="6" t="n">
        <x:f>G2214-H2214</x:f>
        <x:v>-1</x:v>
      </x:c>
      <x:c r="J2214" s="6" t="n">
        <x:f>IF(OR(E2214="CANCELED",E2214="SUSPECTED_FRAUD",F2214="Shipping canceled"),0,1)</x:f>
        <x:v>1</x:v>
      </x:c>
      <x:c r="K2214" s="6" t="n">
        <x:f>IF(G2214&gt;H2214,1,0)</x:f>
        <x:v>0</x:v>
      </x:c>
      <x:c r="L2214" s="6" t="n">
        <x:f>J2214*K2214</x:f>
        <x:v>0</x:v>
      </x:c>
    </x:row>
    <x:row r="2215">
      <x:c r="A2215" s="1" t="n">
        <x:v>17219</x:v>
      </x:c>
      <x:c r="B2215" s="5" t="d">
        <x:v>2015-09-09T00:00:00.000Z</x:v>
      </x:c>
      <x:c r="C2215" s="1" t="str">
        <x:v>Standard Class</x:v>
      </x:c>
      <x:c r="D2215" s="1" t="str">
        <x:v>Europe</x:v>
      </x:c>
      <x:c r="E2215" s="1" t="str">
        <x:v>CLOSED</x:v>
      </x:c>
      <x:c r="F2215" s="1" t="str">
        <x:v>Late delivery</x:v>
      </x:c>
      <x:c r="G2215" s="6" t="n">
        <x:v>5</x:v>
      </x:c>
      <x:c r="H2215" s="6" t="n">
        <x:v>4</x:v>
      </x:c>
      <x:c r="I2215" s="6" t="n">
        <x:f>G2215-H2215</x:f>
        <x:v>1</x:v>
      </x:c>
      <x:c r="J2215" s="6" t="n">
        <x:f>IF(OR(E2215="CANCELED",E2215="SUSPECTED_FRAUD",F2215="Shipping canceled"),0,1)</x:f>
        <x:v>1</x:v>
      </x:c>
      <x:c r="K2215" s="6" t="n">
        <x:f>IF(G2215&gt;H2215,1,0)</x:f>
        <x:v>1</x:v>
      </x:c>
      <x:c r="L2215" s="6" t="n">
        <x:f>J2215*K2215</x:f>
        <x:v>1</x:v>
      </x:c>
    </x:row>
    <x:row r="2216">
      <x:c r="A2216" s="1" t="n">
        <x:v>17228</x:v>
      </x:c>
      <x:c r="B2216" s="5" t="d">
        <x:v>2015-09-09T00:00:00.000Z</x:v>
      </x:c>
      <x:c r="C2216" s="1" t="str">
        <x:v>Standard Class</x:v>
      </x:c>
      <x:c r="D2216" s="1" t="str">
        <x:v>Europe</x:v>
      </x:c>
      <x:c r="E2216" s="1" t="str">
        <x:v>COMPLETE</x:v>
      </x:c>
      <x:c r="F2216" s="1" t="str">
        <x:v>Shipping on time</x:v>
      </x:c>
      <x:c r="G2216" s="6" t="n">
        <x:v>4</x:v>
      </x:c>
      <x:c r="H2216" s="6" t="n">
        <x:v>4</x:v>
      </x:c>
      <x:c r="I2216" s="6" t="n">
        <x:f>G2216-H2216</x:f>
        <x:v>0</x:v>
      </x:c>
      <x:c r="J2216" s="6" t="n">
        <x:f>IF(OR(E2216="CANCELED",E2216="SUSPECTED_FRAUD",F2216="Shipping canceled"),0,1)</x:f>
        <x:v>1</x:v>
      </x:c>
      <x:c r="K2216" s="6" t="n">
        <x:f>IF(G2216&gt;H2216,1,0)</x:f>
        <x:v>0</x:v>
      </x:c>
      <x:c r="L2216" s="6" t="n">
        <x:f>J2216*K2216</x:f>
        <x:v>0</x:v>
      </x:c>
    </x:row>
    <x:row r="2217">
      <x:c r="A2217" s="1" t="n">
        <x:v>17230</x:v>
      </x:c>
      <x:c r="B2217" s="5" t="d">
        <x:v>2015-09-09T00:00:00.000Z</x:v>
      </x:c>
      <x:c r="C2217" s="1" t="str">
        <x:v>Second Class</x:v>
      </x:c>
      <x:c r="D2217" s="1" t="str">
        <x:v>Europe</x:v>
      </x:c>
      <x:c r="E2217" s="1" t="str">
        <x:v>SUSPECTED_FRAUD</x:v>
      </x:c>
      <x:c r="F2217" s="1" t="str">
        <x:v>Shipping canceled</x:v>
      </x:c>
      <x:c r="G2217" s="6" t="n">
        <x:v>6</x:v>
      </x:c>
      <x:c r="H2217" s="6" t="n">
        <x:v>2</x:v>
      </x:c>
      <x:c r="I2217" s="6" t="n">
        <x:f>G2217-H2217</x:f>
        <x:v>4</x:v>
      </x:c>
      <x:c r="J2217" s="6" t="n">
        <x:f>IF(OR(E2217="CANCELED",E2217="SUSPECTED_FRAUD",F2217="Shipping canceled"),0,1)</x:f>
        <x:v>0</x:v>
      </x:c>
      <x:c r="K2217" s="6" t="n">
        <x:f>IF(G2217&gt;H2217,1,0)</x:f>
        <x:v>1</x:v>
      </x:c>
      <x:c r="L2217" s="6" t="n">
        <x:f>J2217*K2217</x:f>
        <x:v>0</x:v>
      </x:c>
    </x:row>
    <x:row r="2218">
      <x:c r="A2218" s="1" t="n">
        <x:v>17239</x:v>
      </x:c>
      <x:c r="B2218" s="5" t="d">
        <x:v>2015-09-09T00:00:00.000Z</x:v>
      </x:c>
      <x:c r="C2218" s="1" t="str">
        <x:v>Standard Class</x:v>
      </x:c>
      <x:c r="D2218" s="1" t="str">
        <x:v>Europe</x:v>
      </x:c>
      <x:c r="E2218" s="1" t="str">
        <x:v>ON_HOLD</x:v>
      </x:c>
      <x:c r="F2218" s="1" t="str">
        <x:v>Late delivery</x:v>
      </x:c>
      <x:c r="G2218" s="6" t="n">
        <x:v>5</x:v>
      </x:c>
      <x:c r="H2218" s="6" t="n">
        <x:v>4</x:v>
      </x:c>
      <x:c r="I2218" s="6" t="n">
        <x:f>G2218-H2218</x:f>
        <x:v>1</x:v>
      </x:c>
      <x:c r="J2218" s="6" t="n">
        <x:f>IF(OR(E2218="CANCELED",E2218="SUSPECTED_FRAUD",F2218="Shipping canceled"),0,1)</x:f>
        <x:v>1</x:v>
      </x:c>
      <x:c r="K2218" s="6" t="n">
        <x:f>IF(G2218&gt;H2218,1,0)</x:f>
        <x:v>1</x:v>
      </x:c>
      <x:c r="L2218" s="6" t="n">
        <x:f>J2218*K2218</x:f>
        <x:v>1</x:v>
      </x:c>
    </x:row>
    <x:row r="2219">
      <x:c r="A2219" s="1" t="n">
        <x:v>17242</x:v>
      </x:c>
      <x:c r="B2219" s="5" t="d">
        <x:v>2015-09-09T00:00:00.000Z</x:v>
      </x:c>
      <x:c r="C2219" s="1" t="str">
        <x:v>Same Day</x:v>
      </x:c>
      <x:c r="D2219" s="1" t="str">
        <x:v>Europe</x:v>
      </x:c>
      <x:c r="E2219" s="1" t="str">
        <x:v>PROCESSING</x:v>
      </x:c>
      <x:c r="F2219" s="1" t="str">
        <x:v>Late delivery</x:v>
      </x:c>
      <x:c r="G2219" s="6" t="n">
        <x:v>1</x:v>
      </x:c>
      <x:c r="H2219" s="6" t="n">
        <x:v>0</x:v>
      </x:c>
      <x:c r="I2219" s="6" t="n">
        <x:f>G2219-H2219</x:f>
        <x:v>1</x:v>
      </x:c>
      <x:c r="J2219" s="6" t="n">
        <x:f>IF(OR(E2219="CANCELED",E2219="SUSPECTED_FRAUD",F2219="Shipping canceled"),0,1)</x:f>
        <x:v>1</x:v>
      </x:c>
      <x:c r="K2219" s="6" t="n">
        <x:f>IF(G2219&gt;H2219,1,0)</x:f>
        <x:v>1</x:v>
      </x:c>
      <x:c r="L2219" s="6" t="n">
        <x:f>J2219*K2219</x:f>
        <x:v>1</x:v>
      </x:c>
    </x:row>
    <x:row r="2220">
      <x:c r="A2220" s="1" t="n">
        <x:v>17249</x:v>
      </x:c>
      <x:c r="B2220" s="5" t="d">
        <x:v>2015-09-09T00:00:00.000Z</x:v>
      </x:c>
      <x:c r="C2220" s="1" t="str">
        <x:v>Standard Class</x:v>
      </x:c>
      <x:c r="D2220" s="1" t="str">
        <x:v>Europe</x:v>
      </x:c>
      <x:c r="E2220" s="1" t="str">
        <x:v>PENDING_PAYMENT</x:v>
      </x:c>
      <x:c r="F2220" s="1" t="str">
        <x:v>Late delivery</x:v>
      </x:c>
      <x:c r="G2220" s="6" t="n">
        <x:v>5</x:v>
      </x:c>
      <x:c r="H2220" s="6" t="n">
        <x:v>4</x:v>
      </x:c>
      <x:c r="I2220" s="6" t="n">
        <x:f>G2220-H2220</x:f>
        <x:v>1</x:v>
      </x:c>
      <x:c r="J2220" s="6" t="n">
        <x:f>IF(OR(E2220="CANCELED",E2220="SUSPECTED_FRAUD",F2220="Shipping canceled"),0,1)</x:f>
        <x:v>1</x:v>
      </x:c>
      <x:c r="K2220" s="6" t="n">
        <x:f>IF(G2220&gt;H2220,1,0)</x:f>
        <x:v>1</x:v>
      </x:c>
      <x:c r="L2220" s="6" t="n">
        <x:f>J2220*K2220</x:f>
        <x:v>1</x:v>
      </x:c>
    </x:row>
    <x:row r="2221">
      <x:c r="A2221" s="1" t="n">
        <x:v>17267</x:v>
      </x:c>
      <x:c r="B2221" s="5" t="d">
        <x:v>2015-09-10T00:00:00.000Z</x:v>
      </x:c>
      <x:c r="C2221" s="1" t="str">
        <x:v>Standard Class</x:v>
      </x:c>
      <x:c r="D2221" s="1" t="str">
        <x:v>Europe</x:v>
      </x:c>
      <x:c r="E2221" s="1" t="str">
        <x:v>COMPLETE</x:v>
      </x:c>
      <x:c r="F2221" s="1" t="str">
        <x:v>Advance shipping</x:v>
      </x:c>
      <x:c r="G2221" s="6" t="n">
        <x:v>3</x:v>
      </x:c>
      <x:c r="H2221" s="6" t="n">
        <x:v>4</x:v>
      </x:c>
      <x:c r="I2221" s="6" t="n">
        <x:f>G2221-H2221</x:f>
        <x:v>-1</x:v>
      </x:c>
      <x:c r="J2221" s="6" t="n">
        <x:f>IF(OR(E2221="CANCELED",E2221="SUSPECTED_FRAUD",F2221="Shipping canceled"),0,1)</x:f>
        <x:v>1</x:v>
      </x:c>
      <x:c r="K2221" s="6" t="n">
        <x:f>IF(G2221&gt;H2221,1,0)</x:f>
        <x:v>0</x:v>
      </x:c>
      <x:c r="L2221" s="6" t="n">
        <x:f>J2221*K2221</x:f>
        <x:v>0</x:v>
      </x:c>
    </x:row>
    <x:row r="2222">
      <x:c r="A2222" s="1" t="n">
        <x:v>17275</x:v>
      </x:c>
      <x:c r="B2222" s="5" t="d">
        <x:v>2015-09-10T00:00:00.000Z</x:v>
      </x:c>
      <x:c r="C2222" s="1" t="str">
        <x:v>Standard Class</x:v>
      </x:c>
      <x:c r="D2222" s="1" t="str">
        <x:v>Europe</x:v>
      </x:c>
      <x:c r="E2222" s="1" t="str">
        <x:v>COMPLETE</x:v>
      </x:c>
      <x:c r="F2222" s="1" t="str">
        <x:v>Late delivery</x:v>
      </x:c>
      <x:c r="G2222" s="6" t="n">
        <x:v>6</x:v>
      </x:c>
      <x:c r="H2222" s="6" t="n">
        <x:v>4</x:v>
      </x:c>
      <x:c r="I2222" s="6" t="n">
        <x:f>G2222-H2222</x:f>
        <x:v>2</x:v>
      </x:c>
      <x:c r="J2222" s="6" t="n">
        <x:f>IF(OR(E2222="CANCELED",E2222="SUSPECTED_FRAUD",F2222="Shipping canceled"),0,1)</x:f>
        <x:v>1</x:v>
      </x:c>
      <x:c r="K2222" s="6" t="n">
        <x:f>IF(G2222&gt;H2222,1,0)</x:f>
        <x:v>1</x:v>
      </x:c>
      <x:c r="L2222" s="6" t="n">
        <x:f>J2222*K2222</x:f>
        <x:v>1</x:v>
      </x:c>
    </x:row>
    <x:row r="2223">
      <x:c r="A2223" s="1" t="n">
        <x:v>17279</x:v>
      </x:c>
      <x:c r="B2223" s="5" t="d">
        <x:v>2015-09-10T00:00:00.000Z</x:v>
      </x:c>
      <x:c r="C2223" s="1" t="str">
        <x:v>First Class</x:v>
      </x:c>
      <x:c r="D2223" s="1" t="str">
        <x:v>Europe</x:v>
      </x:c>
      <x:c r="E2223" s="1" t="str">
        <x:v>CLOSED</x:v>
      </x:c>
      <x:c r="F2223" s="1" t="str">
        <x:v>Late delivery</x:v>
      </x:c>
      <x:c r="G2223" s="6" t="n">
        <x:v>2</x:v>
      </x:c>
      <x:c r="H2223" s="6" t="n">
        <x:v>1</x:v>
      </x:c>
      <x:c r="I2223" s="6" t="n">
        <x:f>G2223-H2223</x:f>
        <x:v>1</x:v>
      </x:c>
      <x:c r="J2223" s="6" t="n">
        <x:f>IF(OR(E2223="CANCELED",E2223="SUSPECTED_FRAUD",F2223="Shipping canceled"),0,1)</x:f>
        <x:v>1</x:v>
      </x:c>
      <x:c r="K2223" s="6" t="n">
        <x:f>IF(G2223&gt;H2223,1,0)</x:f>
        <x:v>1</x:v>
      </x:c>
      <x:c r="L2223" s="6" t="n">
        <x:f>J2223*K2223</x:f>
        <x:v>1</x:v>
      </x:c>
    </x:row>
    <x:row r="2224">
      <x:c r="A2224" s="1" t="n">
        <x:v>17304</x:v>
      </x:c>
      <x:c r="B2224" s="5" t="d">
        <x:v>2015-09-10T00:00:00.000Z</x:v>
      </x:c>
      <x:c r="C2224" s="1" t="str">
        <x:v>Standard Class</x:v>
      </x:c>
      <x:c r="D2224" s="1" t="str">
        <x:v>Europe</x:v>
      </x:c>
      <x:c r="E2224" s="1" t="str">
        <x:v>COMPLETE</x:v>
      </x:c>
      <x:c r="F2224" s="1" t="str">
        <x:v>Late delivery</x:v>
      </x:c>
      <x:c r="G2224" s="6" t="n">
        <x:v>5</x:v>
      </x:c>
      <x:c r="H2224" s="6" t="n">
        <x:v>4</x:v>
      </x:c>
      <x:c r="I2224" s="6" t="n">
        <x:f>G2224-H2224</x:f>
        <x:v>1</x:v>
      </x:c>
      <x:c r="J2224" s="6" t="n">
        <x:f>IF(OR(E2224="CANCELED",E2224="SUSPECTED_FRAUD",F2224="Shipping canceled"),0,1)</x:f>
        <x:v>1</x:v>
      </x:c>
      <x:c r="K2224" s="6" t="n">
        <x:f>IF(G2224&gt;H2224,1,0)</x:f>
        <x:v>1</x:v>
      </x:c>
      <x:c r="L2224" s="6" t="n">
        <x:f>J2224*K2224</x:f>
        <x:v>1</x:v>
      </x:c>
    </x:row>
    <x:row r="2225">
      <x:c r="A2225" s="1" t="n">
        <x:v>17305</x:v>
      </x:c>
      <x:c r="B2225" s="5" t="d">
        <x:v>2015-09-10T00:00:00.000Z</x:v>
      </x:c>
      <x:c r="C2225" s="1" t="str">
        <x:v>Standard Class</x:v>
      </x:c>
      <x:c r="D2225" s="1" t="str">
        <x:v>Europe</x:v>
      </x:c>
      <x:c r="E2225" s="1" t="str">
        <x:v>COMPLETE</x:v>
      </x:c>
      <x:c r="F2225" s="1" t="str">
        <x:v>Late delivery</x:v>
      </x:c>
      <x:c r="G2225" s="6" t="n">
        <x:v>6</x:v>
      </x:c>
      <x:c r="H2225" s="6" t="n">
        <x:v>4</x:v>
      </x:c>
      <x:c r="I2225" s="6" t="n">
        <x:f>G2225-H2225</x:f>
        <x:v>2</x:v>
      </x:c>
      <x:c r="J2225" s="6" t="n">
        <x:f>IF(OR(E2225="CANCELED",E2225="SUSPECTED_FRAUD",F2225="Shipping canceled"),0,1)</x:f>
        <x:v>1</x:v>
      </x:c>
      <x:c r="K2225" s="6" t="n">
        <x:f>IF(G2225&gt;H2225,1,0)</x:f>
        <x:v>1</x:v>
      </x:c>
      <x:c r="L2225" s="6" t="n">
        <x:f>J2225*K2225</x:f>
        <x:v>1</x:v>
      </x:c>
    </x:row>
    <x:row r="2226">
      <x:c r="A2226" s="1" t="n">
        <x:v>17321</x:v>
      </x:c>
      <x:c r="B2226" s="5" t="d">
        <x:v>2015-09-10T00:00:00.000Z</x:v>
      </x:c>
      <x:c r="C2226" s="1" t="str">
        <x:v>Standard Class</x:v>
      </x:c>
      <x:c r="D2226" s="1" t="str">
        <x:v>Europe</x:v>
      </x:c>
      <x:c r="E2226" s="1" t="str">
        <x:v>COMPLETE</x:v>
      </x:c>
      <x:c r="F2226" s="1" t="str">
        <x:v>Advance shipping</x:v>
      </x:c>
      <x:c r="G2226" s="6" t="n">
        <x:v>2</x:v>
      </x:c>
      <x:c r="H2226" s="6" t="n">
        <x:v>4</x:v>
      </x:c>
      <x:c r="I2226" s="6" t="n">
        <x:f>G2226-H2226</x:f>
        <x:v>-2</x:v>
      </x:c>
      <x:c r="J2226" s="6" t="n">
        <x:f>IF(OR(E2226="CANCELED",E2226="SUSPECTED_FRAUD",F2226="Shipping canceled"),0,1)</x:f>
        <x:v>1</x:v>
      </x:c>
      <x:c r="K2226" s="6" t="n">
        <x:f>IF(G2226&gt;H2226,1,0)</x:f>
        <x:v>0</x:v>
      </x:c>
      <x:c r="L2226" s="6" t="n">
        <x:f>J2226*K2226</x:f>
        <x:v>0</x:v>
      </x:c>
    </x:row>
    <x:row r="2227">
      <x:c r="A2227" s="1" t="n">
        <x:v>17322</x:v>
      </x:c>
      <x:c r="B2227" s="5" t="d">
        <x:v>2015-09-10T00:00:00.000Z</x:v>
      </x:c>
      <x:c r="C2227" s="1" t="str">
        <x:v>Standard Class</x:v>
      </x:c>
      <x:c r="D2227" s="1" t="str">
        <x:v>Europe</x:v>
      </x:c>
      <x:c r="E2227" s="1" t="str">
        <x:v>COMPLETE</x:v>
      </x:c>
      <x:c r="F2227" s="1" t="str">
        <x:v>Advance shipping</x:v>
      </x:c>
      <x:c r="G2227" s="6" t="n">
        <x:v>3</x:v>
      </x:c>
      <x:c r="H2227" s="6" t="n">
        <x:v>4</x:v>
      </x:c>
      <x:c r="I2227" s="6" t="n">
        <x:f>G2227-H2227</x:f>
        <x:v>-1</x:v>
      </x:c>
      <x:c r="J2227" s="6" t="n">
        <x:f>IF(OR(E2227="CANCELED",E2227="SUSPECTED_FRAUD",F2227="Shipping canceled"),0,1)</x:f>
        <x:v>1</x:v>
      </x:c>
      <x:c r="K2227" s="6" t="n">
        <x:f>IF(G2227&gt;H2227,1,0)</x:f>
        <x:v>0</x:v>
      </x:c>
      <x:c r="L2227" s="6" t="n">
        <x:f>J2227*K2227</x:f>
        <x:v>0</x:v>
      </x:c>
    </x:row>
    <x:row r="2228">
      <x:c r="A2228" s="1" t="n">
        <x:v>17347</x:v>
      </x:c>
      <x:c r="B2228" s="5" t="d">
        <x:v>2015-09-11T00:00:00.000Z</x:v>
      </x:c>
      <x:c r="C2228" s="1" t="str">
        <x:v>Standard Class</x:v>
      </x:c>
      <x:c r="D2228" s="1" t="str">
        <x:v>Europe</x:v>
      </x:c>
      <x:c r="E2228" s="1" t="str">
        <x:v>PENDING</x:v>
      </x:c>
      <x:c r="F2228" s="1" t="str">
        <x:v>Advance shipping</x:v>
      </x:c>
      <x:c r="G2228" s="6" t="n">
        <x:v>3</x:v>
      </x:c>
      <x:c r="H2228" s="6" t="n">
        <x:v>4</x:v>
      </x:c>
      <x:c r="I2228" s="6" t="n">
        <x:f>G2228-H2228</x:f>
        <x:v>-1</x:v>
      </x:c>
      <x:c r="J2228" s="6" t="n">
        <x:f>IF(OR(E2228="CANCELED",E2228="SUSPECTED_FRAUD",F2228="Shipping canceled"),0,1)</x:f>
        <x:v>1</x:v>
      </x:c>
      <x:c r="K2228" s="6" t="n">
        <x:f>IF(G2228&gt;H2228,1,0)</x:f>
        <x:v>0</x:v>
      </x:c>
      <x:c r="L2228" s="6" t="n">
        <x:f>J2228*K2228</x:f>
        <x:v>0</x:v>
      </x:c>
    </x:row>
    <x:row r="2229">
      <x:c r="A2229" s="1" t="n">
        <x:v>17350</x:v>
      </x:c>
      <x:c r="B2229" s="5" t="d">
        <x:v>2015-09-11T00:00:00.000Z</x:v>
      </x:c>
      <x:c r="C2229" s="1" t="str">
        <x:v>Standard Class</x:v>
      </x:c>
      <x:c r="D2229" s="1" t="str">
        <x:v>Europe</x:v>
      </x:c>
      <x:c r="E2229" s="1" t="str">
        <x:v>CLOSED</x:v>
      </x:c>
      <x:c r="F2229" s="1" t="str">
        <x:v>Late delivery</x:v>
      </x:c>
      <x:c r="G2229" s="6" t="n">
        <x:v>6</x:v>
      </x:c>
      <x:c r="H2229" s="6" t="n">
        <x:v>4</x:v>
      </x:c>
      <x:c r="I2229" s="6" t="n">
        <x:f>G2229-H2229</x:f>
        <x:v>2</x:v>
      </x:c>
      <x:c r="J2229" s="6" t="n">
        <x:f>IF(OR(E2229="CANCELED",E2229="SUSPECTED_FRAUD",F2229="Shipping canceled"),0,1)</x:f>
        <x:v>1</x:v>
      </x:c>
      <x:c r="K2229" s="6" t="n">
        <x:f>IF(G2229&gt;H2229,1,0)</x:f>
        <x:v>1</x:v>
      </x:c>
      <x:c r="L2229" s="6" t="n">
        <x:f>J2229*K2229</x:f>
        <x:v>1</x:v>
      </x:c>
    </x:row>
    <x:row r="2230">
      <x:c r="A2230" s="1" t="n">
        <x:v>17355</x:v>
      </x:c>
      <x:c r="B2230" s="5" t="d">
        <x:v>2015-09-11T00:00:00.000Z</x:v>
      </x:c>
      <x:c r="C2230" s="1" t="str">
        <x:v>Second Class</x:v>
      </x:c>
      <x:c r="D2230" s="1" t="str">
        <x:v>Europe</x:v>
      </x:c>
      <x:c r="E2230" s="1" t="str">
        <x:v>CLOSED</x:v>
      </x:c>
      <x:c r="F2230" s="1" t="str">
        <x:v>Late delivery</x:v>
      </x:c>
      <x:c r="G2230" s="6" t="n">
        <x:v>6</x:v>
      </x:c>
      <x:c r="H2230" s="6" t="n">
        <x:v>2</x:v>
      </x:c>
      <x:c r="I2230" s="6" t="n">
        <x:f>G2230-H2230</x:f>
        <x:v>4</x:v>
      </x:c>
      <x:c r="J2230" s="6" t="n">
        <x:f>IF(OR(E2230="CANCELED",E2230="SUSPECTED_FRAUD",F2230="Shipping canceled"),0,1)</x:f>
        <x:v>1</x:v>
      </x:c>
      <x:c r="K2230" s="6" t="n">
        <x:f>IF(G2230&gt;H2230,1,0)</x:f>
        <x:v>1</x:v>
      </x:c>
      <x:c r="L2230" s="6" t="n">
        <x:f>J2230*K2230</x:f>
        <x:v>1</x:v>
      </x:c>
    </x:row>
    <x:row r="2231">
      <x:c r="A2231" s="1" t="n">
        <x:v>17361</x:v>
      </x:c>
      <x:c r="B2231" s="5" t="d">
        <x:v>2015-09-11T00:00:00.000Z</x:v>
      </x:c>
      <x:c r="C2231" s="1" t="str">
        <x:v>Standard Class</x:v>
      </x:c>
      <x:c r="D2231" s="1" t="str">
        <x:v>Europe</x:v>
      </x:c>
      <x:c r="E2231" s="1" t="str">
        <x:v>COMPLETE</x:v>
      </x:c>
      <x:c r="F2231" s="1" t="str">
        <x:v>Advance shipping</x:v>
      </x:c>
      <x:c r="G2231" s="6" t="n">
        <x:v>2</x:v>
      </x:c>
      <x:c r="H2231" s="6" t="n">
        <x:v>4</x:v>
      </x:c>
      <x:c r="I2231" s="6" t="n">
        <x:f>G2231-H2231</x:f>
        <x:v>-2</x:v>
      </x:c>
      <x:c r="J2231" s="6" t="n">
        <x:f>IF(OR(E2231="CANCELED",E2231="SUSPECTED_FRAUD",F2231="Shipping canceled"),0,1)</x:f>
        <x:v>1</x:v>
      </x:c>
      <x:c r="K2231" s="6" t="n">
        <x:f>IF(G2231&gt;H2231,1,0)</x:f>
        <x:v>0</x:v>
      </x:c>
      <x:c r="L2231" s="6" t="n">
        <x:f>J2231*K2231</x:f>
        <x:v>0</x:v>
      </x:c>
    </x:row>
    <x:row r="2232">
      <x:c r="A2232" s="1" t="n">
        <x:v>17363</x:v>
      </x:c>
      <x:c r="B2232" s="5" t="d">
        <x:v>2015-09-11T00:00:00.000Z</x:v>
      </x:c>
      <x:c r="C2232" s="1" t="str">
        <x:v>Standard Class</x:v>
      </x:c>
      <x:c r="D2232" s="1" t="str">
        <x:v>Europe</x:v>
      </x:c>
      <x:c r="E2232" s="1" t="str">
        <x:v>CANCELED</x:v>
      </x:c>
      <x:c r="F2232" s="1" t="str">
        <x:v>Shipping canceled</x:v>
      </x:c>
      <x:c r="G2232" s="6" t="n">
        <x:v>4</x:v>
      </x:c>
      <x:c r="H2232" s="6" t="n">
        <x:v>4</x:v>
      </x:c>
      <x:c r="I2232" s="6" t="n">
        <x:f>G2232-H2232</x:f>
        <x:v>0</x:v>
      </x:c>
      <x:c r="J2232" s="6" t="n">
        <x:f>IF(OR(E2232="CANCELED",E2232="SUSPECTED_FRAUD",F2232="Shipping canceled"),0,1)</x:f>
        <x:v>0</x:v>
      </x:c>
      <x:c r="K2232" s="6" t="n">
        <x:f>IF(G2232&gt;H2232,1,0)</x:f>
        <x:v>0</x:v>
      </x:c>
      <x:c r="L2232" s="6" t="n">
        <x:f>J2232*K2232</x:f>
        <x:v>0</x:v>
      </x:c>
    </x:row>
    <x:row r="2233">
      <x:c r="A2233" s="1" t="n">
        <x:v>17368</x:v>
      </x:c>
      <x:c r="B2233" s="5" t="d">
        <x:v>2015-09-11T00:00:00.000Z</x:v>
      </x:c>
      <x:c r="C2233" s="1" t="str">
        <x:v>Standard Class</x:v>
      </x:c>
      <x:c r="D2233" s="1" t="str">
        <x:v>Europe</x:v>
      </x:c>
      <x:c r="E2233" s="1" t="str">
        <x:v>COMPLETE</x:v>
      </x:c>
      <x:c r="F2233" s="1" t="str">
        <x:v>Shipping on time</x:v>
      </x:c>
      <x:c r="G2233" s="6" t="n">
        <x:v>4</x:v>
      </x:c>
      <x:c r="H2233" s="6" t="n">
        <x:v>4</x:v>
      </x:c>
      <x:c r="I2233" s="6" t="n">
        <x:f>G2233-H2233</x:f>
        <x:v>0</x:v>
      </x:c>
      <x:c r="J2233" s="6" t="n">
        <x:f>IF(OR(E2233="CANCELED",E2233="SUSPECTED_FRAUD",F2233="Shipping canceled"),0,1)</x:f>
        <x:v>1</x:v>
      </x:c>
      <x:c r="K2233" s="6" t="n">
        <x:f>IF(G2233&gt;H2233,1,0)</x:f>
        <x:v>0</x:v>
      </x:c>
      <x:c r="L2233" s="6" t="n">
        <x:f>J2233*K2233</x:f>
        <x:v>0</x:v>
      </x:c>
    </x:row>
    <x:row r="2234">
      <x:c r="A2234" s="1" t="n">
        <x:v>17369</x:v>
      </x:c>
      <x:c r="B2234" s="5" t="d">
        <x:v>2015-09-11T00:00:00.000Z</x:v>
      </x:c>
      <x:c r="C2234" s="1" t="str">
        <x:v>Standard Class</x:v>
      </x:c>
      <x:c r="D2234" s="1" t="str">
        <x:v>Europe</x:v>
      </x:c>
      <x:c r="E2234" s="1" t="str">
        <x:v>COMPLETE</x:v>
      </x:c>
      <x:c r="F2234" s="1" t="str">
        <x:v>Late delivery</x:v>
      </x:c>
      <x:c r="G2234" s="6" t="n">
        <x:v>5</x:v>
      </x:c>
      <x:c r="H2234" s="6" t="n">
        <x:v>4</x:v>
      </x:c>
      <x:c r="I2234" s="6" t="n">
        <x:f>G2234-H2234</x:f>
        <x:v>1</x:v>
      </x:c>
      <x:c r="J2234" s="6" t="n">
        <x:f>IF(OR(E2234="CANCELED",E2234="SUSPECTED_FRAUD",F2234="Shipping canceled"),0,1)</x:f>
        <x:v>1</x:v>
      </x:c>
      <x:c r="K2234" s="6" t="n">
        <x:f>IF(G2234&gt;H2234,1,0)</x:f>
        <x:v>1</x:v>
      </x:c>
      <x:c r="L2234" s="6" t="n">
        <x:f>J2234*K2234</x:f>
        <x:v>1</x:v>
      </x:c>
    </x:row>
    <x:row r="2235">
      <x:c r="A2235" s="1" t="n">
        <x:v>17372</x:v>
      </x:c>
      <x:c r="B2235" s="5" t="d">
        <x:v>2015-09-11T00:00:00.000Z</x:v>
      </x:c>
      <x:c r="C2235" s="1" t="str">
        <x:v>Standard Class</x:v>
      </x:c>
      <x:c r="D2235" s="1" t="str">
        <x:v>Europe</x:v>
      </x:c>
      <x:c r="E2235" s="1" t="str">
        <x:v>PENDING</x:v>
      </x:c>
      <x:c r="F2235" s="1" t="str">
        <x:v>Advance shipping</x:v>
      </x:c>
      <x:c r="G2235" s="6" t="n">
        <x:v>3</x:v>
      </x:c>
      <x:c r="H2235" s="6" t="n">
        <x:v>4</x:v>
      </x:c>
      <x:c r="I2235" s="6" t="n">
        <x:f>G2235-H2235</x:f>
        <x:v>-1</x:v>
      </x:c>
      <x:c r="J2235" s="6" t="n">
        <x:f>IF(OR(E2235="CANCELED",E2235="SUSPECTED_FRAUD",F2235="Shipping canceled"),0,1)</x:f>
        <x:v>1</x:v>
      </x:c>
      <x:c r="K2235" s="6" t="n">
        <x:f>IF(G2235&gt;H2235,1,0)</x:f>
        <x:v>0</x:v>
      </x:c>
      <x:c r="L2235" s="6" t="n">
        <x:f>J2235*K2235</x:f>
        <x:v>0</x:v>
      </x:c>
    </x:row>
    <x:row r="2236">
      <x:c r="A2236" s="1" t="n">
        <x:v>17373</x:v>
      </x:c>
      <x:c r="B2236" s="5" t="d">
        <x:v>2015-09-11T00:00:00.000Z</x:v>
      </x:c>
      <x:c r="C2236" s="1" t="str">
        <x:v>Standard Class</x:v>
      </x:c>
      <x:c r="D2236" s="1" t="str">
        <x:v>Europe</x:v>
      </x:c>
      <x:c r="E2236" s="1" t="str">
        <x:v>PENDING_PAYMENT</x:v>
      </x:c>
      <x:c r="F2236" s="1" t="str">
        <x:v>Shipping on time</x:v>
      </x:c>
      <x:c r="G2236" s="6" t="n">
        <x:v>4</x:v>
      </x:c>
      <x:c r="H2236" s="6" t="n">
        <x:v>4</x:v>
      </x:c>
      <x:c r="I2236" s="6" t="n">
        <x:f>G2236-H2236</x:f>
        <x:v>0</x:v>
      </x:c>
      <x:c r="J2236" s="6" t="n">
        <x:f>IF(OR(E2236="CANCELED",E2236="SUSPECTED_FRAUD",F2236="Shipping canceled"),0,1)</x:f>
        <x:v>1</x:v>
      </x:c>
      <x:c r="K2236" s="6" t="n">
        <x:f>IF(G2236&gt;H2236,1,0)</x:f>
        <x:v>0</x:v>
      </x:c>
      <x:c r="L2236" s="6" t="n">
        <x:f>J2236*K2236</x:f>
        <x:v>0</x:v>
      </x:c>
    </x:row>
    <x:row r="2237">
      <x:c r="A2237" s="1" t="n">
        <x:v>17378</x:v>
      </x:c>
      <x:c r="B2237" s="5" t="d">
        <x:v>2015-09-11T00:00:00.000Z</x:v>
      </x:c>
      <x:c r="C2237" s="1" t="str">
        <x:v>Same Day</x:v>
      </x:c>
      <x:c r="D2237" s="1" t="str">
        <x:v>Europe</x:v>
      </x:c>
      <x:c r="E2237" s="1" t="str">
        <x:v>PENDING</x:v>
      </x:c>
      <x:c r="F2237" s="1" t="str">
        <x:v>Late delivery</x:v>
      </x:c>
      <x:c r="G2237" s="6" t="n">
        <x:v>1</x:v>
      </x:c>
      <x:c r="H2237" s="6" t="n">
        <x:v>0</x:v>
      </x:c>
      <x:c r="I2237" s="6" t="n">
        <x:f>G2237-H2237</x:f>
        <x:v>1</x:v>
      </x:c>
      <x:c r="J2237" s="6" t="n">
        <x:f>IF(OR(E2237="CANCELED",E2237="SUSPECTED_FRAUD",F2237="Shipping canceled"),0,1)</x:f>
        <x:v>1</x:v>
      </x:c>
      <x:c r="K2237" s="6" t="n">
        <x:f>IF(G2237&gt;H2237,1,0)</x:f>
        <x:v>1</x:v>
      </x:c>
      <x:c r="L2237" s="6" t="n">
        <x:f>J2237*K2237</x:f>
        <x:v>1</x:v>
      </x:c>
    </x:row>
    <x:row r="2238">
      <x:c r="A2238" s="1" t="n">
        <x:v>17381</x:v>
      </x:c>
      <x:c r="B2238" s="5" t="d">
        <x:v>2015-09-11T00:00:00.000Z</x:v>
      </x:c>
      <x:c r="C2238" s="1" t="str">
        <x:v>Standard Class</x:v>
      </x:c>
      <x:c r="D2238" s="1" t="str">
        <x:v>Europe</x:v>
      </x:c>
      <x:c r="E2238" s="1" t="str">
        <x:v>PENDING</x:v>
      </x:c>
      <x:c r="F2238" s="1" t="str">
        <x:v>Advance shipping</x:v>
      </x:c>
      <x:c r="G2238" s="6" t="n">
        <x:v>2</x:v>
      </x:c>
      <x:c r="H2238" s="6" t="n">
        <x:v>4</x:v>
      </x:c>
      <x:c r="I2238" s="6" t="n">
        <x:f>G2238-H2238</x:f>
        <x:v>-2</x:v>
      </x:c>
      <x:c r="J2238" s="6" t="n">
        <x:f>IF(OR(E2238="CANCELED",E2238="SUSPECTED_FRAUD",F2238="Shipping canceled"),0,1)</x:f>
        <x:v>1</x:v>
      </x:c>
      <x:c r="K2238" s="6" t="n">
        <x:f>IF(G2238&gt;H2238,1,0)</x:f>
        <x:v>0</x:v>
      </x:c>
      <x:c r="L2238" s="6" t="n">
        <x:f>J2238*K2238</x:f>
        <x:v>0</x:v>
      </x:c>
    </x:row>
    <x:row r="2239">
      <x:c r="A2239" s="1" t="n">
        <x:v>17386</x:v>
      </x:c>
      <x:c r="B2239" s="5" t="d">
        <x:v>2015-09-11T00:00:00.000Z</x:v>
      </x:c>
      <x:c r="C2239" s="1" t="str">
        <x:v>Standard Class</x:v>
      </x:c>
      <x:c r="D2239" s="1" t="str">
        <x:v>Europe</x:v>
      </x:c>
      <x:c r="E2239" s="1" t="str">
        <x:v>COMPLETE</x:v>
      </x:c>
      <x:c r="F2239" s="1" t="str">
        <x:v>Advance shipping</x:v>
      </x:c>
      <x:c r="G2239" s="6" t="n">
        <x:v>2</x:v>
      </x:c>
      <x:c r="H2239" s="6" t="n">
        <x:v>4</x:v>
      </x:c>
      <x:c r="I2239" s="6" t="n">
        <x:f>G2239-H2239</x:f>
        <x:v>-2</x:v>
      </x:c>
      <x:c r="J2239" s="6" t="n">
        <x:f>IF(OR(E2239="CANCELED",E2239="SUSPECTED_FRAUD",F2239="Shipping canceled"),0,1)</x:f>
        <x:v>1</x:v>
      </x:c>
      <x:c r="K2239" s="6" t="n">
        <x:f>IF(G2239&gt;H2239,1,0)</x:f>
        <x:v>0</x:v>
      </x:c>
      <x:c r="L2239" s="6" t="n">
        <x:f>J2239*K2239</x:f>
        <x:v>0</x:v>
      </x:c>
    </x:row>
    <x:row r="2240">
      <x:c r="A2240" s="1" t="n">
        <x:v>17387</x:v>
      </x:c>
      <x:c r="B2240" s="5" t="d">
        <x:v>2015-09-11T00:00:00.000Z</x:v>
      </x:c>
      <x:c r="C2240" s="1" t="str">
        <x:v>Standard Class</x:v>
      </x:c>
      <x:c r="D2240" s="1" t="str">
        <x:v>Europe</x:v>
      </x:c>
      <x:c r="E2240" s="1" t="str">
        <x:v>CLOSED</x:v>
      </x:c>
      <x:c r="F2240" s="1" t="str">
        <x:v>Advance shipping</x:v>
      </x:c>
      <x:c r="G2240" s="6" t="n">
        <x:v>3</x:v>
      </x:c>
      <x:c r="H2240" s="6" t="n">
        <x:v>4</x:v>
      </x:c>
      <x:c r="I2240" s="6" t="n">
        <x:f>G2240-H2240</x:f>
        <x:v>-1</x:v>
      </x:c>
      <x:c r="J2240" s="6" t="n">
        <x:f>IF(OR(E2240="CANCELED",E2240="SUSPECTED_FRAUD",F2240="Shipping canceled"),0,1)</x:f>
        <x:v>1</x:v>
      </x:c>
      <x:c r="K2240" s="6" t="n">
        <x:f>IF(G2240&gt;H2240,1,0)</x:f>
        <x:v>0</x:v>
      </x:c>
      <x:c r="L2240" s="6" t="n">
        <x:f>J2240*K2240</x:f>
        <x:v>0</x:v>
      </x:c>
    </x:row>
    <x:row r="2241">
      <x:c r="A2241" s="1" t="n">
        <x:v>17388</x:v>
      </x:c>
      <x:c r="B2241" s="5" t="d">
        <x:v>2015-09-11T00:00:00.000Z</x:v>
      </x:c>
      <x:c r="C2241" s="1" t="str">
        <x:v>Standard Class</x:v>
      </x:c>
      <x:c r="D2241" s="1" t="str">
        <x:v>Europe</x:v>
      </x:c>
      <x:c r="E2241" s="1" t="str">
        <x:v>PENDING_PAYMENT</x:v>
      </x:c>
      <x:c r="F2241" s="1" t="str">
        <x:v>Shipping on time</x:v>
      </x:c>
      <x:c r="G2241" s="6" t="n">
        <x:v>4</x:v>
      </x:c>
      <x:c r="H2241" s="6" t="n">
        <x:v>4</x:v>
      </x:c>
      <x:c r="I2241" s="6" t="n">
        <x:f>G2241-H2241</x:f>
        <x:v>0</x:v>
      </x:c>
      <x:c r="J2241" s="6" t="n">
        <x:f>IF(OR(E2241="CANCELED",E2241="SUSPECTED_FRAUD",F2241="Shipping canceled"),0,1)</x:f>
        <x:v>1</x:v>
      </x:c>
      <x:c r="K2241" s="6" t="n">
        <x:f>IF(G2241&gt;H2241,1,0)</x:f>
        <x:v>0</x:v>
      </x:c>
      <x:c r="L2241" s="6" t="n">
        <x:f>J2241*K2241</x:f>
        <x:v>0</x:v>
      </x:c>
    </x:row>
    <x:row r="2242">
      <x:c r="A2242" s="1" t="n">
        <x:v>17399</x:v>
      </x:c>
      <x:c r="B2242" s="5" t="d">
        <x:v>2015-09-11T00:00:00.000Z</x:v>
      </x:c>
      <x:c r="C2242" s="1" t="str">
        <x:v>Standard Class</x:v>
      </x:c>
      <x:c r="D2242" s="1" t="str">
        <x:v>Europe</x:v>
      </x:c>
      <x:c r="E2242" s="1" t="str">
        <x:v>COMPLETE</x:v>
      </x:c>
      <x:c r="F2242" s="1" t="str">
        <x:v>Late delivery</x:v>
      </x:c>
      <x:c r="G2242" s="6" t="n">
        <x:v>5</x:v>
      </x:c>
      <x:c r="H2242" s="6" t="n">
        <x:v>4</x:v>
      </x:c>
      <x:c r="I2242" s="6" t="n">
        <x:f>G2242-H2242</x:f>
        <x:v>1</x:v>
      </x:c>
      <x:c r="J2242" s="6" t="n">
        <x:f>IF(OR(E2242="CANCELED",E2242="SUSPECTED_FRAUD",F2242="Shipping canceled"),0,1)</x:f>
        <x:v>1</x:v>
      </x:c>
      <x:c r="K2242" s="6" t="n">
        <x:f>IF(G2242&gt;H2242,1,0)</x:f>
        <x:v>1</x:v>
      </x:c>
      <x:c r="L2242" s="6" t="n">
        <x:f>J2242*K2242</x:f>
        <x:v>1</x:v>
      </x:c>
    </x:row>
    <x:row r="2243">
      <x:c r="A2243" s="1" t="n">
        <x:v>17400</x:v>
      </x:c>
      <x:c r="B2243" s="5" t="d">
        <x:v>2015-09-11T00:00:00.000Z</x:v>
      </x:c>
      <x:c r="C2243" s="1" t="str">
        <x:v>Standard Class</x:v>
      </x:c>
      <x:c r="D2243" s="1" t="str">
        <x:v>Europe</x:v>
      </x:c>
      <x:c r="E2243" s="1" t="str">
        <x:v>COMPLETE</x:v>
      </x:c>
      <x:c r="F2243" s="1" t="str">
        <x:v>Late delivery</x:v>
      </x:c>
      <x:c r="G2243" s="6" t="n">
        <x:v>6</x:v>
      </x:c>
      <x:c r="H2243" s="6" t="n">
        <x:v>4</x:v>
      </x:c>
      <x:c r="I2243" s="6" t="n">
        <x:f>G2243-H2243</x:f>
        <x:v>2</x:v>
      </x:c>
      <x:c r="J2243" s="6" t="n">
        <x:f>IF(OR(E2243="CANCELED",E2243="SUSPECTED_FRAUD",F2243="Shipping canceled"),0,1)</x:f>
        <x:v>1</x:v>
      </x:c>
      <x:c r="K2243" s="6" t="n">
        <x:f>IF(G2243&gt;H2243,1,0)</x:f>
        <x:v>1</x:v>
      </x:c>
      <x:c r="L2243" s="6" t="n">
        <x:f>J2243*K2243</x:f>
        <x:v>1</x:v>
      </x:c>
    </x:row>
    <x:row r="2244">
      <x:c r="A2244" s="1" t="n">
        <x:v>17407</x:v>
      </x:c>
      <x:c r="B2244" s="5" t="d">
        <x:v>2015-09-12T00:00:00.000Z</x:v>
      </x:c>
      <x:c r="C2244" s="1" t="str">
        <x:v>Standard Class</x:v>
      </x:c>
      <x:c r="D2244" s="1" t="str">
        <x:v>Europe</x:v>
      </x:c>
      <x:c r="E2244" s="1" t="str">
        <x:v>COMPLETE</x:v>
      </x:c>
      <x:c r="F2244" s="1" t="str">
        <x:v>Advance shipping</x:v>
      </x:c>
      <x:c r="G2244" s="6" t="n">
        <x:v>3</x:v>
      </x:c>
      <x:c r="H2244" s="6" t="n">
        <x:v>4</x:v>
      </x:c>
      <x:c r="I2244" s="6" t="n">
        <x:f>G2244-H2244</x:f>
        <x:v>-1</x:v>
      </x:c>
      <x:c r="J2244" s="6" t="n">
        <x:f>IF(OR(E2244="CANCELED",E2244="SUSPECTED_FRAUD",F2244="Shipping canceled"),0,1)</x:f>
        <x:v>1</x:v>
      </x:c>
      <x:c r="K2244" s="6" t="n">
        <x:f>IF(G2244&gt;H2244,1,0)</x:f>
        <x:v>0</x:v>
      </x:c>
      <x:c r="L2244" s="6" t="n">
        <x:f>J2244*K2244</x:f>
        <x:v>0</x:v>
      </x:c>
    </x:row>
    <x:row r="2245">
      <x:c r="A2245" s="1" t="n">
        <x:v>17415</x:v>
      </x:c>
      <x:c r="B2245" s="5" t="d">
        <x:v>2015-09-12T00:00:00.000Z</x:v>
      </x:c>
      <x:c r="C2245" s="1" t="str">
        <x:v>Standard Class</x:v>
      </x:c>
      <x:c r="D2245" s="1" t="str">
        <x:v>Europe</x:v>
      </x:c>
      <x:c r="E2245" s="1" t="str">
        <x:v>PENDING_PAYMENT</x:v>
      </x:c>
      <x:c r="F2245" s="1" t="str">
        <x:v>Late delivery</x:v>
      </x:c>
      <x:c r="G2245" s="6" t="n">
        <x:v>6</x:v>
      </x:c>
      <x:c r="H2245" s="6" t="n">
        <x:v>4</x:v>
      </x:c>
      <x:c r="I2245" s="6" t="n">
        <x:f>G2245-H2245</x:f>
        <x:v>2</x:v>
      </x:c>
      <x:c r="J2245" s="6" t="n">
        <x:f>IF(OR(E2245="CANCELED",E2245="SUSPECTED_FRAUD",F2245="Shipping canceled"),0,1)</x:f>
        <x:v>1</x:v>
      </x:c>
      <x:c r="K2245" s="6" t="n">
        <x:f>IF(G2245&gt;H2245,1,0)</x:f>
        <x:v>1</x:v>
      </x:c>
      <x:c r="L2245" s="6" t="n">
        <x:f>J2245*K2245</x:f>
        <x:v>1</x:v>
      </x:c>
    </x:row>
    <x:row r="2246">
      <x:c r="A2246" s="1" t="n">
        <x:v>17425</x:v>
      </x:c>
      <x:c r="B2246" s="5" t="d">
        <x:v>2015-09-12T00:00:00.000Z</x:v>
      </x:c>
      <x:c r="C2246" s="1" t="str">
        <x:v>Standard Class</x:v>
      </x:c>
      <x:c r="D2246" s="1" t="str">
        <x:v>Europe</x:v>
      </x:c>
      <x:c r="E2246" s="1" t="str">
        <x:v>PENDING</x:v>
      </x:c>
      <x:c r="F2246" s="1" t="str">
        <x:v>Late delivery</x:v>
      </x:c>
      <x:c r="G2246" s="6" t="n">
        <x:v>6</x:v>
      </x:c>
      <x:c r="H2246" s="6" t="n">
        <x:v>4</x:v>
      </x:c>
      <x:c r="I2246" s="6" t="n">
        <x:f>G2246-H2246</x:f>
        <x:v>2</x:v>
      </x:c>
      <x:c r="J2246" s="6" t="n">
        <x:f>IF(OR(E2246="CANCELED",E2246="SUSPECTED_FRAUD",F2246="Shipping canceled"),0,1)</x:f>
        <x:v>1</x:v>
      </x:c>
      <x:c r="K2246" s="6" t="n">
        <x:f>IF(G2246&gt;H2246,1,0)</x:f>
        <x:v>1</x:v>
      </x:c>
      <x:c r="L2246" s="6" t="n">
        <x:f>J2246*K2246</x:f>
        <x:v>1</x:v>
      </x:c>
    </x:row>
    <x:row r="2247">
      <x:c r="A2247" s="1" t="n">
        <x:v>17432</x:v>
      </x:c>
      <x:c r="B2247" s="5" t="d">
        <x:v>2015-09-12T00:00:00.000Z</x:v>
      </x:c>
      <x:c r="C2247" s="1" t="str">
        <x:v>Standard Class</x:v>
      </x:c>
      <x:c r="D2247" s="1" t="str">
        <x:v>Europe</x:v>
      </x:c>
      <x:c r="E2247" s="1" t="str">
        <x:v>ON_HOLD</x:v>
      </x:c>
      <x:c r="F2247" s="1" t="str">
        <x:v>Advance shipping</x:v>
      </x:c>
      <x:c r="G2247" s="6" t="n">
        <x:v>3</x:v>
      </x:c>
      <x:c r="H2247" s="6" t="n">
        <x:v>4</x:v>
      </x:c>
      <x:c r="I2247" s="6" t="n">
        <x:f>G2247-H2247</x:f>
        <x:v>-1</x:v>
      </x:c>
      <x:c r="J2247" s="6" t="n">
        <x:f>IF(OR(E2247="CANCELED",E2247="SUSPECTED_FRAUD",F2247="Shipping canceled"),0,1)</x:f>
        <x:v>1</x:v>
      </x:c>
      <x:c r="K2247" s="6" t="n">
        <x:f>IF(G2247&gt;H2247,1,0)</x:f>
        <x:v>0</x:v>
      </x:c>
      <x:c r="L2247" s="6" t="n">
        <x:f>J2247*K2247</x:f>
        <x:v>0</x:v>
      </x:c>
    </x:row>
    <x:row r="2248">
      <x:c r="A2248" s="1" t="n">
        <x:v>17436</x:v>
      </x:c>
      <x:c r="B2248" s="5" t="d">
        <x:v>2015-09-12T00:00:00.000Z</x:v>
      </x:c>
      <x:c r="C2248" s="1" t="str">
        <x:v>Standard Class</x:v>
      </x:c>
      <x:c r="D2248" s="1" t="str">
        <x:v>Europe</x:v>
      </x:c>
      <x:c r="E2248" s="1" t="str">
        <x:v>SUSPECTED_FRAUD</x:v>
      </x:c>
      <x:c r="F2248" s="1" t="str">
        <x:v>Shipping canceled</x:v>
      </x:c>
      <x:c r="G2248" s="6" t="n">
        <x:v>2</x:v>
      </x:c>
      <x:c r="H2248" s="6" t="n">
        <x:v>4</x:v>
      </x:c>
      <x:c r="I2248" s="6" t="n">
        <x:f>G2248-H2248</x:f>
        <x:v>-2</x:v>
      </x:c>
      <x:c r="J2248" s="6" t="n">
        <x:f>IF(OR(E2248="CANCELED",E2248="SUSPECTED_FRAUD",F2248="Shipping canceled"),0,1)</x:f>
        <x:v>0</x:v>
      </x:c>
      <x:c r="K2248" s="6" t="n">
        <x:f>IF(G2248&gt;H2248,1,0)</x:f>
        <x:v>0</x:v>
      </x:c>
      <x:c r="L2248" s="6" t="n">
        <x:f>J2248*K2248</x:f>
        <x:v>0</x:v>
      </x:c>
    </x:row>
    <x:row r="2249">
      <x:c r="A2249" s="1" t="n">
        <x:v>17449</x:v>
      </x:c>
      <x:c r="B2249" s="5" t="d">
        <x:v>2015-09-12T00:00:00.000Z</x:v>
      </x:c>
      <x:c r="C2249" s="1" t="str">
        <x:v>Standard Class</x:v>
      </x:c>
      <x:c r="D2249" s="1" t="str">
        <x:v>Europe</x:v>
      </x:c>
      <x:c r="E2249" s="1" t="str">
        <x:v>COMPLETE</x:v>
      </x:c>
      <x:c r="F2249" s="1" t="str">
        <x:v>Late delivery</x:v>
      </x:c>
      <x:c r="G2249" s="6" t="n">
        <x:v>5</x:v>
      </x:c>
      <x:c r="H2249" s="6" t="n">
        <x:v>4</x:v>
      </x:c>
      <x:c r="I2249" s="6" t="n">
        <x:f>G2249-H2249</x:f>
        <x:v>1</x:v>
      </x:c>
      <x:c r="J2249" s="6" t="n">
        <x:f>IF(OR(E2249="CANCELED",E2249="SUSPECTED_FRAUD",F2249="Shipping canceled"),0,1)</x:f>
        <x:v>1</x:v>
      </x:c>
      <x:c r="K2249" s="6" t="n">
        <x:f>IF(G2249&gt;H2249,1,0)</x:f>
        <x:v>1</x:v>
      </x:c>
      <x:c r="L2249" s="6" t="n">
        <x:f>J2249*K2249</x:f>
        <x:v>1</x:v>
      </x:c>
    </x:row>
    <x:row r="2250">
      <x:c r="A2250" s="1" t="n">
        <x:v>17453</x:v>
      </x:c>
      <x:c r="B2250" s="5" t="d">
        <x:v>2015-09-12T00:00:00.000Z</x:v>
      </x:c>
      <x:c r="C2250" s="1" t="str">
        <x:v>Standard Class</x:v>
      </x:c>
      <x:c r="D2250" s="1" t="str">
        <x:v>Europe</x:v>
      </x:c>
      <x:c r="E2250" s="1" t="str">
        <x:v>PENDING_PAYMENT</x:v>
      </x:c>
      <x:c r="F2250" s="1" t="str">
        <x:v>Shipping on time</x:v>
      </x:c>
      <x:c r="G2250" s="6" t="n">
        <x:v>4</x:v>
      </x:c>
      <x:c r="H2250" s="6" t="n">
        <x:v>4</x:v>
      </x:c>
      <x:c r="I2250" s="6" t="n">
        <x:f>G2250-H2250</x:f>
        <x:v>0</x:v>
      </x:c>
      <x:c r="J2250" s="6" t="n">
        <x:f>IF(OR(E2250="CANCELED",E2250="SUSPECTED_FRAUD",F2250="Shipping canceled"),0,1)</x:f>
        <x:v>1</x:v>
      </x:c>
      <x:c r="K2250" s="6" t="n">
        <x:f>IF(G2250&gt;H2250,1,0)</x:f>
        <x:v>0</x:v>
      </x:c>
      <x:c r="L2250" s="6" t="n">
        <x:f>J2250*K2250</x:f>
        <x:v>0</x:v>
      </x:c>
    </x:row>
    <x:row r="2251">
      <x:c r="A2251" s="1" t="n">
        <x:v>17458</x:v>
      </x:c>
      <x:c r="B2251" s="5" t="d">
        <x:v>2015-09-12T00:00:00.000Z</x:v>
      </x:c>
      <x:c r="C2251" s="1" t="str">
        <x:v>Standard Class</x:v>
      </x:c>
      <x:c r="D2251" s="1" t="str">
        <x:v>Europe</x:v>
      </x:c>
      <x:c r="E2251" s="1" t="str">
        <x:v>COMPLETE</x:v>
      </x:c>
      <x:c r="F2251" s="1" t="str">
        <x:v>Shipping on time</x:v>
      </x:c>
      <x:c r="G2251" s="6" t="n">
        <x:v>4</x:v>
      </x:c>
      <x:c r="H2251" s="6" t="n">
        <x:v>4</x:v>
      </x:c>
      <x:c r="I2251" s="6" t="n">
        <x:f>G2251-H2251</x:f>
        <x:v>0</x:v>
      </x:c>
      <x:c r="J2251" s="6" t="n">
        <x:f>IF(OR(E2251="CANCELED",E2251="SUSPECTED_FRAUD",F2251="Shipping canceled"),0,1)</x:f>
        <x:v>1</x:v>
      </x:c>
      <x:c r="K2251" s="6" t="n">
        <x:f>IF(G2251&gt;H2251,1,0)</x:f>
        <x:v>0</x:v>
      </x:c>
      <x:c r="L2251" s="6" t="n">
        <x:f>J2251*K2251</x:f>
        <x:v>0</x:v>
      </x:c>
    </x:row>
    <x:row r="2252">
      <x:c r="A2252" s="1" t="n">
        <x:v>17460</x:v>
      </x:c>
      <x:c r="B2252" s="5" t="d">
        <x:v>2015-09-12T00:00:00.000Z</x:v>
      </x:c>
      <x:c r="C2252" s="1" t="str">
        <x:v>First Class</x:v>
      </x:c>
      <x:c r="D2252" s="1" t="str">
        <x:v>Europe</x:v>
      </x:c>
      <x:c r="E2252" s="1" t="str">
        <x:v>CLOSED</x:v>
      </x:c>
      <x:c r="F2252" s="1" t="str">
        <x:v>Late delivery</x:v>
      </x:c>
      <x:c r="G2252" s="6" t="n">
        <x:v>2</x:v>
      </x:c>
      <x:c r="H2252" s="6" t="n">
        <x:v>1</x:v>
      </x:c>
      <x:c r="I2252" s="6" t="n">
        <x:f>G2252-H2252</x:f>
        <x:v>1</x:v>
      </x:c>
      <x:c r="J2252" s="6" t="n">
        <x:f>IF(OR(E2252="CANCELED",E2252="SUSPECTED_FRAUD",F2252="Shipping canceled"),0,1)</x:f>
        <x:v>1</x:v>
      </x:c>
      <x:c r="K2252" s="6" t="n">
        <x:f>IF(G2252&gt;H2252,1,0)</x:f>
        <x:v>1</x:v>
      </x:c>
      <x:c r="L2252" s="6" t="n">
        <x:f>J2252*K2252</x:f>
        <x:v>1</x:v>
      </x:c>
    </x:row>
    <x:row r="2253">
      <x:c r="A2253" s="1" t="n">
        <x:v>17465</x:v>
      </x:c>
      <x:c r="B2253" s="5" t="d">
        <x:v>2015-09-12T00:00:00.000Z</x:v>
      </x:c>
      <x:c r="C2253" s="1" t="str">
        <x:v>Second Class</x:v>
      </x:c>
      <x:c r="D2253" s="1" t="str">
        <x:v>Europe</x:v>
      </x:c>
      <x:c r="E2253" s="1" t="str">
        <x:v>COMPLETE</x:v>
      </x:c>
      <x:c r="F2253" s="1" t="str">
        <x:v>Late delivery</x:v>
      </x:c>
      <x:c r="G2253" s="6" t="n">
        <x:v>6</x:v>
      </x:c>
      <x:c r="H2253" s="6" t="n">
        <x:v>2</x:v>
      </x:c>
      <x:c r="I2253" s="6" t="n">
        <x:f>G2253-H2253</x:f>
        <x:v>4</x:v>
      </x:c>
      <x:c r="J2253" s="6" t="n">
        <x:f>IF(OR(E2253="CANCELED",E2253="SUSPECTED_FRAUD",F2253="Shipping canceled"),0,1)</x:f>
        <x:v>1</x:v>
      </x:c>
      <x:c r="K2253" s="6" t="n">
        <x:f>IF(G2253&gt;H2253,1,0)</x:f>
        <x:v>1</x:v>
      </x:c>
      <x:c r="L2253" s="6" t="n">
        <x:f>J2253*K2253</x:f>
        <x:v>1</x:v>
      </x:c>
    </x:row>
    <x:row r="2254">
      <x:c r="A2254" s="1" t="n">
        <x:v>17467</x:v>
      </x:c>
      <x:c r="B2254" s="5" t="d">
        <x:v>2015-09-12T00:00:00.000Z</x:v>
      </x:c>
      <x:c r="C2254" s="1" t="str">
        <x:v>Standard Class</x:v>
      </x:c>
      <x:c r="D2254" s="1" t="str">
        <x:v>Europe</x:v>
      </x:c>
      <x:c r="E2254" s="1" t="str">
        <x:v>COMPLETE</x:v>
      </x:c>
      <x:c r="F2254" s="1" t="str">
        <x:v>Advance shipping</x:v>
      </x:c>
      <x:c r="G2254" s="6" t="n">
        <x:v>3</x:v>
      </x:c>
      <x:c r="H2254" s="6" t="n">
        <x:v>4</x:v>
      </x:c>
      <x:c r="I2254" s="6" t="n">
        <x:f>G2254-H2254</x:f>
        <x:v>-1</x:v>
      </x:c>
      <x:c r="J2254" s="6" t="n">
        <x:f>IF(OR(E2254="CANCELED",E2254="SUSPECTED_FRAUD",F2254="Shipping canceled"),0,1)</x:f>
        <x:v>1</x:v>
      </x:c>
      <x:c r="K2254" s="6" t="n">
        <x:f>IF(G2254&gt;H2254,1,0)</x:f>
        <x:v>0</x:v>
      </x:c>
      <x:c r="L2254" s="6" t="n">
        <x:f>J2254*K2254</x:f>
        <x:v>0</x:v>
      </x:c>
    </x:row>
    <x:row r="2255">
      <x:c r="A2255" s="1" t="n">
        <x:v>17481</x:v>
      </x:c>
      <x:c r="B2255" s="5" t="d">
        <x:v>2015-09-13T00:00:00.000Z</x:v>
      </x:c>
      <x:c r="C2255" s="1" t="str">
        <x:v>Standard Class</x:v>
      </x:c>
      <x:c r="D2255" s="1" t="str">
        <x:v>Europe</x:v>
      </x:c>
      <x:c r="E2255" s="1" t="str">
        <x:v>PROCESSING</x:v>
      </x:c>
      <x:c r="F2255" s="1" t="str">
        <x:v>Advance shipping</x:v>
      </x:c>
      <x:c r="G2255" s="6" t="n">
        <x:v>2</x:v>
      </x:c>
      <x:c r="H2255" s="6" t="n">
        <x:v>4</x:v>
      </x:c>
      <x:c r="I2255" s="6" t="n">
        <x:f>G2255-H2255</x:f>
        <x:v>-2</x:v>
      </x:c>
      <x:c r="J2255" s="6" t="n">
        <x:f>IF(OR(E2255="CANCELED",E2255="SUSPECTED_FRAUD",F2255="Shipping canceled"),0,1)</x:f>
        <x:v>1</x:v>
      </x:c>
      <x:c r="K2255" s="6" t="n">
        <x:f>IF(G2255&gt;H2255,1,0)</x:f>
        <x:v>0</x:v>
      </x:c>
      <x:c r="L2255" s="6" t="n">
        <x:f>J2255*K2255</x:f>
        <x:v>0</x:v>
      </x:c>
    </x:row>
    <x:row r="2256">
      <x:c r="A2256" s="1" t="n">
        <x:v>17490</x:v>
      </x:c>
      <x:c r="B2256" s="5" t="d">
        <x:v>2015-09-13T00:00:00.000Z</x:v>
      </x:c>
      <x:c r="C2256" s="1" t="str">
        <x:v>Standard Class</x:v>
      </x:c>
      <x:c r="D2256" s="1" t="str">
        <x:v>Europe</x:v>
      </x:c>
      <x:c r="E2256" s="1" t="str">
        <x:v>PENDING</x:v>
      </x:c>
      <x:c r="F2256" s="1" t="str">
        <x:v>Late delivery</x:v>
      </x:c>
      <x:c r="G2256" s="6" t="n">
        <x:v>6</x:v>
      </x:c>
      <x:c r="H2256" s="6" t="n">
        <x:v>4</x:v>
      </x:c>
      <x:c r="I2256" s="6" t="n">
        <x:f>G2256-H2256</x:f>
        <x:v>2</x:v>
      </x:c>
      <x:c r="J2256" s="6" t="n">
        <x:f>IF(OR(E2256="CANCELED",E2256="SUSPECTED_FRAUD",F2256="Shipping canceled"),0,1)</x:f>
        <x:v>1</x:v>
      </x:c>
      <x:c r="K2256" s="6" t="n">
        <x:f>IF(G2256&gt;H2256,1,0)</x:f>
        <x:v>1</x:v>
      </x:c>
      <x:c r="L2256" s="6" t="n">
        <x:f>J2256*K2256</x:f>
        <x:v>1</x:v>
      </x:c>
    </x:row>
    <x:row r="2257">
      <x:c r="A2257" s="1" t="n">
        <x:v>17506</x:v>
      </x:c>
      <x:c r="B2257" s="5" t="d">
        <x:v>2015-09-13T00:00:00.000Z</x:v>
      </x:c>
      <x:c r="C2257" s="1" t="str">
        <x:v>Standard Class</x:v>
      </x:c>
      <x:c r="D2257" s="1" t="str">
        <x:v>Europe</x:v>
      </x:c>
      <x:c r="E2257" s="1" t="str">
        <x:v>PENDING_PAYMENT</x:v>
      </x:c>
      <x:c r="F2257" s="1" t="str">
        <x:v>Advance shipping</x:v>
      </x:c>
      <x:c r="G2257" s="6" t="n">
        <x:v>2</x:v>
      </x:c>
      <x:c r="H2257" s="6" t="n">
        <x:v>4</x:v>
      </x:c>
      <x:c r="I2257" s="6" t="n">
        <x:f>G2257-H2257</x:f>
        <x:v>-2</x:v>
      </x:c>
      <x:c r="J2257" s="6" t="n">
        <x:f>IF(OR(E2257="CANCELED",E2257="SUSPECTED_FRAUD",F2257="Shipping canceled"),0,1)</x:f>
        <x:v>1</x:v>
      </x:c>
      <x:c r="K2257" s="6" t="n">
        <x:f>IF(G2257&gt;H2257,1,0)</x:f>
        <x:v>0</x:v>
      </x:c>
      <x:c r="L2257" s="6" t="n">
        <x:f>J2257*K2257</x:f>
        <x:v>0</x:v>
      </x:c>
    </x:row>
    <x:row r="2258">
      <x:c r="A2258" s="1" t="n">
        <x:v>17514</x:v>
      </x:c>
      <x:c r="B2258" s="5" t="d">
        <x:v>2015-09-13T00:00:00.000Z</x:v>
      </x:c>
      <x:c r="C2258" s="1" t="str">
        <x:v>First Class</x:v>
      </x:c>
      <x:c r="D2258" s="1" t="str">
        <x:v>Europe</x:v>
      </x:c>
      <x:c r="E2258" s="1" t="str">
        <x:v>PENDING_PAYMENT</x:v>
      </x:c>
      <x:c r="F2258" s="1" t="str">
        <x:v>Late delivery</x:v>
      </x:c>
      <x:c r="G2258" s="6" t="n">
        <x:v>2</x:v>
      </x:c>
      <x:c r="H2258" s="6" t="n">
        <x:v>1</x:v>
      </x:c>
      <x:c r="I2258" s="6" t="n">
        <x:f>G2258-H2258</x:f>
        <x:v>1</x:v>
      </x:c>
      <x:c r="J2258" s="6" t="n">
        <x:f>IF(OR(E2258="CANCELED",E2258="SUSPECTED_FRAUD",F2258="Shipping canceled"),0,1)</x:f>
        <x:v>1</x:v>
      </x:c>
      <x:c r="K2258" s="6" t="n">
        <x:f>IF(G2258&gt;H2258,1,0)</x:f>
        <x:v>1</x:v>
      </x:c>
      <x:c r="L2258" s="6" t="n">
        <x:f>J2258*K2258</x:f>
        <x:v>1</x:v>
      </x:c>
    </x:row>
    <x:row r="2259">
      <x:c r="A2259" s="1" t="n">
        <x:v>17520</x:v>
      </x:c>
      <x:c r="B2259" s="5" t="d">
        <x:v>2015-09-13T00:00:00.000Z</x:v>
      </x:c>
      <x:c r="C2259" s="1" t="str">
        <x:v>Standard Class</x:v>
      </x:c>
      <x:c r="D2259" s="1" t="str">
        <x:v>Europe</x:v>
      </x:c>
      <x:c r="E2259" s="1" t="str">
        <x:v>PROCESSING</x:v>
      </x:c>
      <x:c r="F2259" s="1" t="str">
        <x:v>Late delivery</x:v>
      </x:c>
      <x:c r="G2259" s="6" t="n">
        <x:v>6</x:v>
      </x:c>
      <x:c r="H2259" s="6" t="n">
        <x:v>4</x:v>
      </x:c>
      <x:c r="I2259" s="6" t="n">
        <x:f>G2259-H2259</x:f>
        <x:v>2</x:v>
      </x:c>
      <x:c r="J2259" s="6" t="n">
        <x:f>IF(OR(E2259="CANCELED",E2259="SUSPECTED_FRAUD",F2259="Shipping canceled"),0,1)</x:f>
        <x:v>1</x:v>
      </x:c>
      <x:c r="K2259" s="6" t="n">
        <x:f>IF(G2259&gt;H2259,1,0)</x:f>
        <x:v>1</x:v>
      </x:c>
      <x:c r="L2259" s="6" t="n">
        <x:f>J2259*K2259</x:f>
        <x:v>1</x:v>
      </x:c>
    </x:row>
    <x:row r="2260">
      <x:c r="A2260" s="1" t="n">
        <x:v>17521</x:v>
      </x:c>
      <x:c r="B2260" s="5" t="d">
        <x:v>2015-09-13T00:00:00.000Z</x:v>
      </x:c>
      <x:c r="C2260" s="1" t="str">
        <x:v>Standard Class</x:v>
      </x:c>
      <x:c r="D2260" s="1" t="str">
        <x:v>Europe</x:v>
      </x:c>
      <x:c r="E2260" s="1" t="str">
        <x:v>COMPLETE</x:v>
      </x:c>
      <x:c r="F2260" s="1" t="str">
        <x:v>Advance shipping</x:v>
      </x:c>
      <x:c r="G2260" s="6" t="n">
        <x:v>2</x:v>
      </x:c>
      <x:c r="H2260" s="6" t="n">
        <x:v>4</x:v>
      </x:c>
      <x:c r="I2260" s="6" t="n">
        <x:f>G2260-H2260</x:f>
        <x:v>-2</x:v>
      </x:c>
      <x:c r="J2260" s="6" t="n">
        <x:f>IF(OR(E2260="CANCELED",E2260="SUSPECTED_FRAUD",F2260="Shipping canceled"),0,1)</x:f>
        <x:v>1</x:v>
      </x:c>
      <x:c r="K2260" s="6" t="n">
        <x:f>IF(G2260&gt;H2260,1,0)</x:f>
        <x:v>0</x:v>
      </x:c>
      <x:c r="L2260" s="6" t="n">
        <x:f>J2260*K2260</x:f>
        <x:v>0</x:v>
      </x:c>
    </x:row>
    <x:row r="2261">
      <x:c r="A2261" s="1" t="n">
        <x:v>17524</x:v>
      </x:c>
      <x:c r="B2261" s="5" t="d">
        <x:v>2015-09-13T00:00:00.000Z</x:v>
      </x:c>
      <x:c r="C2261" s="1" t="str">
        <x:v>Standard Class</x:v>
      </x:c>
      <x:c r="D2261" s="1" t="str">
        <x:v>Europe</x:v>
      </x:c>
      <x:c r="E2261" s="1" t="str">
        <x:v>COMPLETE</x:v>
      </x:c>
      <x:c r="F2261" s="1" t="str">
        <x:v>Late delivery</x:v>
      </x:c>
      <x:c r="G2261" s="6" t="n">
        <x:v>5</x:v>
      </x:c>
      <x:c r="H2261" s="6" t="n">
        <x:v>4</x:v>
      </x:c>
      <x:c r="I2261" s="6" t="n">
        <x:f>G2261-H2261</x:f>
        <x:v>1</x:v>
      </x:c>
      <x:c r="J2261" s="6" t="n">
        <x:f>IF(OR(E2261="CANCELED",E2261="SUSPECTED_FRAUD",F2261="Shipping canceled"),0,1)</x:f>
        <x:v>1</x:v>
      </x:c>
      <x:c r="K2261" s="6" t="n">
        <x:f>IF(G2261&gt;H2261,1,0)</x:f>
        <x:v>1</x:v>
      </x:c>
      <x:c r="L2261" s="6" t="n">
        <x:f>J2261*K2261</x:f>
        <x:v>1</x:v>
      </x:c>
    </x:row>
    <x:row r="2262">
      <x:c r="A2262" s="1" t="n">
        <x:v>17525</x:v>
      </x:c>
      <x:c r="B2262" s="5" t="d">
        <x:v>2015-09-13T00:00:00.000Z</x:v>
      </x:c>
      <x:c r="C2262" s="1" t="str">
        <x:v>Standard Class</x:v>
      </x:c>
      <x:c r="D2262" s="1" t="str">
        <x:v>Europe</x:v>
      </x:c>
      <x:c r="E2262" s="1" t="str">
        <x:v>COMPLETE</x:v>
      </x:c>
      <x:c r="F2262" s="1" t="str">
        <x:v>Late delivery</x:v>
      </x:c>
      <x:c r="G2262" s="6" t="n">
        <x:v>6</x:v>
      </x:c>
      <x:c r="H2262" s="6" t="n">
        <x:v>4</x:v>
      </x:c>
      <x:c r="I2262" s="6" t="n">
        <x:f>G2262-H2262</x:f>
        <x:v>2</x:v>
      </x:c>
      <x:c r="J2262" s="6" t="n">
        <x:f>IF(OR(E2262="CANCELED",E2262="SUSPECTED_FRAUD",F2262="Shipping canceled"),0,1)</x:f>
        <x:v>1</x:v>
      </x:c>
      <x:c r="K2262" s="6" t="n">
        <x:f>IF(G2262&gt;H2262,1,0)</x:f>
        <x:v>1</x:v>
      </x:c>
      <x:c r="L2262" s="6" t="n">
        <x:f>J2262*K2262</x:f>
        <x:v>1</x:v>
      </x:c>
    </x:row>
    <x:row r="2263">
      <x:c r="A2263" s="1" t="n">
        <x:v>17542</x:v>
      </x:c>
      <x:c r="B2263" s="5" t="d">
        <x:v>2015-09-14T00:00:00.000Z</x:v>
      </x:c>
      <x:c r="C2263" s="1" t="str">
        <x:v>Standard Class</x:v>
      </x:c>
      <x:c r="D2263" s="1" t="str">
        <x:v>Europe</x:v>
      </x:c>
      <x:c r="E2263" s="1" t="str">
        <x:v>PENDING_PAYMENT</x:v>
      </x:c>
      <x:c r="F2263" s="1" t="str">
        <x:v>Advance shipping</x:v>
      </x:c>
      <x:c r="G2263" s="6" t="n">
        <x:v>3</x:v>
      </x:c>
      <x:c r="H2263" s="6" t="n">
        <x:v>4</x:v>
      </x:c>
      <x:c r="I2263" s="6" t="n">
        <x:f>G2263-H2263</x:f>
        <x:v>-1</x:v>
      </x:c>
      <x:c r="J2263" s="6" t="n">
        <x:f>IF(OR(E2263="CANCELED",E2263="SUSPECTED_FRAUD",F2263="Shipping canceled"),0,1)</x:f>
        <x:v>1</x:v>
      </x:c>
      <x:c r="K2263" s="6" t="n">
        <x:f>IF(G2263&gt;H2263,1,0)</x:f>
        <x:v>0</x:v>
      </x:c>
      <x:c r="L2263" s="6" t="n">
        <x:f>J2263*K2263</x:f>
        <x:v>0</x:v>
      </x:c>
    </x:row>
    <x:row r="2264">
      <x:c r="A2264" s="1" t="n">
        <x:v>17543</x:v>
      </x:c>
      <x:c r="B2264" s="5" t="d">
        <x:v>2015-09-14T00:00:00.000Z</x:v>
      </x:c>
      <x:c r="C2264" s="1" t="str">
        <x:v>Standard Class</x:v>
      </x:c>
      <x:c r="D2264" s="1" t="str">
        <x:v>Europe</x:v>
      </x:c>
      <x:c r="E2264" s="1" t="str">
        <x:v>COMPLETE</x:v>
      </x:c>
      <x:c r="F2264" s="1" t="str">
        <x:v>Shipping on time</x:v>
      </x:c>
      <x:c r="G2264" s="6" t="n">
        <x:v>4</x:v>
      </x:c>
      <x:c r="H2264" s="6" t="n">
        <x:v>4</x:v>
      </x:c>
      <x:c r="I2264" s="6" t="n">
        <x:f>G2264-H2264</x:f>
        <x:v>0</x:v>
      </x:c>
      <x:c r="J2264" s="6" t="n">
        <x:f>IF(OR(E2264="CANCELED",E2264="SUSPECTED_FRAUD",F2264="Shipping canceled"),0,1)</x:f>
        <x:v>1</x:v>
      </x:c>
      <x:c r="K2264" s="6" t="n">
        <x:f>IF(G2264&gt;H2264,1,0)</x:f>
        <x:v>0</x:v>
      </x:c>
      <x:c r="L2264" s="6" t="n">
        <x:f>J2264*K2264</x:f>
        <x:v>0</x:v>
      </x:c>
    </x:row>
    <x:row r="2265">
      <x:c r="A2265" s="1" t="n">
        <x:v>17544</x:v>
      </x:c>
      <x:c r="B2265" s="5" t="d">
        <x:v>2015-09-14T00:00:00.000Z</x:v>
      </x:c>
      <x:c r="C2265" s="1" t="str">
        <x:v>Standard Class</x:v>
      </x:c>
      <x:c r="D2265" s="1" t="str">
        <x:v>Europe</x:v>
      </x:c>
      <x:c r="E2265" s="1" t="str">
        <x:v>PROCESSING</x:v>
      </x:c>
      <x:c r="F2265" s="1" t="str">
        <x:v>Late delivery</x:v>
      </x:c>
      <x:c r="G2265" s="6" t="n">
        <x:v>5</x:v>
      </x:c>
      <x:c r="H2265" s="6" t="n">
        <x:v>4</x:v>
      </x:c>
      <x:c r="I2265" s="6" t="n">
        <x:f>G2265-H2265</x:f>
        <x:v>1</x:v>
      </x:c>
      <x:c r="J2265" s="6" t="n">
        <x:f>IF(OR(E2265="CANCELED",E2265="SUSPECTED_FRAUD",F2265="Shipping canceled"),0,1)</x:f>
        <x:v>1</x:v>
      </x:c>
      <x:c r="K2265" s="6" t="n">
        <x:f>IF(G2265&gt;H2265,1,0)</x:f>
        <x:v>1</x:v>
      </x:c>
      <x:c r="L2265" s="6" t="n">
        <x:f>J2265*K2265</x:f>
        <x:v>1</x:v>
      </x:c>
    </x:row>
    <x:row r="2266">
      <x:c r="A2266" s="1" t="n">
        <x:v>17547</x:v>
      </x:c>
      <x:c r="B2266" s="5" t="d">
        <x:v>2015-09-14T00:00:00.000Z</x:v>
      </x:c>
      <x:c r="C2266" s="1" t="str">
        <x:v>Standard Class</x:v>
      </x:c>
      <x:c r="D2266" s="1" t="str">
        <x:v>Europe</x:v>
      </x:c>
      <x:c r="E2266" s="1" t="str">
        <x:v>COMPLETE</x:v>
      </x:c>
      <x:c r="F2266" s="1" t="str">
        <x:v>Advance shipping</x:v>
      </x:c>
      <x:c r="G2266" s="6" t="n">
        <x:v>3</x:v>
      </x:c>
      <x:c r="H2266" s="6" t="n">
        <x:v>4</x:v>
      </x:c>
      <x:c r="I2266" s="6" t="n">
        <x:f>G2266-H2266</x:f>
        <x:v>-1</x:v>
      </x:c>
      <x:c r="J2266" s="6" t="n">
        <x:f>IF(OR(E2266="CANCELED",E2266="SUSPECTED_FRAUD",F2266="Shipping canceled"),0,1)</x:f>
        <x:v>1</x:v>
      </x:c>
      <x:c r="K2266" s="6" t="n">
        <x:f>IF(G2266&gt;H2266,1,0)</x:f>
        <x:v>0</x:v>
      </x:c>
      <x:c r="L2266" s="6" t="n">
        <x:f>J2266*K2266</x:f>
        <x:v>0</x:v>
      </x:c>
    </x:row>
    <x:row r="2267">
      <x:c r="A2267" s="1" t="n">
        <x:v>17549</x:v>
      </x:c>
      <x:c r="B2267" s="5" t="d">
        <x:v>2015-09-14T00:00:00.000Z</x:v>
      </x:c>
      <x:c r="C2267" s="1" t="str">
        <x:v>Standard Class</x:v>
      </x:c>
      <x:c r="D2267" s="1" t="str">
        <x:v>Europe</x:v>
      </x:c>
      <x:c r="E2267" s="1" t="str">
        <x:v>PENDING</x:v>
      </x:c>
      <x:c r="F2267" s="1" t="str">
        <x:v>Late delivery</x:v>
      </x:c>
      <x:c r="G2267" s="6" t="n">
        <x:v>5</x:v>
      </x:c>
      <x:c r="H2267" s="6" t="n">
        <x:v>4</x:v>
      </x:c>
      <x:c r="I2267" s="6" t="n">
        <x:f>G2267-H2267</x:f>
        <x:v>1</x:v>
      </x:c>
      <x:c r="J2267" s="6" t="n">
        <x:f>IF(OR(E2267="CANCELED",E2267="SUSPECTED_FRAUD",F2267="Shipping canceled"),0,1)</x:f>
        <x:v>1</x:v>
      </x:c>
      <x:c r="K2267" s="6" t="n">
        <x:f>IF(G2267&gt;H2267,1,0)</x:f>
        <x:v>1</x:v>
      </x:c>
      <x:c r="L2267" s="6" t="n">
        <x:f>J2267*K2267</x:f>
        <x:v>1</x:v>
      </x:c>
    </x:row>
    <x:row r="2268">
      <x:c r="A2268" s="1" t="n">
        <x:v>17551</x:v>
      </x:c>
      <x:c r="B2268" s="5" t="d">
        <x:v>2015-09-14T00:00:00.000Z</x:v>
      </x:c>
      <x:c r="C2268" s="1" t="str">
        <x:v>Standard Class</x:v>
      </x:c>
      <x:c r="D2268" s="1" t="str">
        <x:v>Europe</x:v>
      </x:c>
      <x:c r="E2268" s="1" t="str">
        <x:v>COMPLETE</x:v>
      </x:c>
      <x:c r="F2268" s="1" t="str">
        <x:v>Advance shipping</x:v>
      </x:c>
      <x:c r="G2268" s="6" t="n">
        <x:v>2</x:v>
      </x:c>
      <x:c r="H2268" s="6" t="n">
        <x:v>4</x:v>
      </x:c>
      <x:c r="I2268" s="6" t="n">
        <x:f>G2268-H2268</x:f>
        <x:v>-2</x:v>
      </x:c>
      <x:c r="J2268" s="6" t="n">
        <x:f>IF(OR(E2268="CANCELED",E2268="SUSPECTED_FRAUD",F2268="Shipping canceled"),0,1)</x:f>
        <x:v>1</x:v>
      </x:c>
      <x:c r="K2268" s="6" t="n">
        <x:f>IF(G2268&gt;H2268,1,0)</x:f>
        <x:v>0</x:v>
      </x:c>
      <x:c r="L2268" s="6" t="n">
        <x:f>J2268*K2268</x:f>
        <x:v>0</x:v>
      </x:c>
    </x:row>
    <x:row r="2269">
      <x:c r="A2269" s="1" t="n">
        <x:v>17553</x:v>
      </x:c>
      <x:c r="B2269" s="5" t="d">
        <x:v>2015-09-14T00:00:00.000Z</x:v>
      </x:c>
      <x:c r="C2269" s="1" t="str">
        <x:v>Standard Class</x:v>
      </x:c>
      <x:c r="D2269" s="1" t="str">
        <x:v>Europe</x:v>
      </x:c>
      <x:c r="E2269" s="1" t="str">
        <x:v>CLOSED</x:v>
      </x:c>
      <x:c r="F2269" s="1" t="str">
        <x:v>Shipping on time</x:v>
      </x:c>
      <x:c r="G2269" s="6" t="n">
        <x:v>4</x:v>
      </x:c>
      <x:c r="H2269" s="6" t="n">
        <x:v>4</x:v>
      </x:c>
      <x:c r="I2269" s="6" t="n">
        <x:f>G2269-H2269</x:f>
        <x:v>0</x:v>
      </x:c>
      <x:c r="J2269" s="6" t="n">
        <x:f>IF(OR(E2269="CANCELED",E2269="SUSPECTED_FRAUD",F2269="Shipping canceled"),0,1)</x:f>
        <x:v>1</x:v>
      </x:c>
      <x:c r="K2269" s="6" t="n">
        <x:f>IF(G2269&gt;H2269,1,0)</x:f>
        <x:v>0</x:v>
      </x:c>
      <x:c r="L2269" s="6" t="n">
        <x:f>J2269*K2269</x:f>
        <x:v>0</x:v>
      </x:c>
    </x:row>
    <x:row r="2270">
      <x:c r="A2270" s="1" t="n">
        <x:v>17563</x:v>
      </x:c>
      <x:c r="B2270" s="5" t="d">
        <x:v>2015-09-14T00:00:00.000Z</x:v>
      </x:c>
      <x:c r="C2270" s="1" t="str">
        <x:v>Standard Class</x:v>
      </x:c>
      <x:c r="D2270" s="1" t="str">
        <x:v>Europe</x:v>
      </x:c>
      <x:c r="E2270" s="1" t="str">
        <x:v>COMPLETE</x:v>
      </x:c>
      <x:c r="F2270" s="1" t="str">
        <x:v>Shipping on time</x:v>
      </x:c>
      <x:c r="G2270" s="6" t="n">
        <x:v>4</x:v>
      </x:c>
      <x:c r="H2270" s="6" t="n">
        <x:v>4</x:v>
      </x:c>
      <x:c r="I2270" s="6" t="n">
        <x:f>G2270-H2270</x:f>
        <x:v>0</x:v>
      </x:c>
      <x:c r="J2270" s="6" t="n">
        <x:f>IF(OR(E2270="CANCELED",E2270="SUSPECTED_FRAUD",F2270="Shipping canceled"),0,1)</x:f>
        <x:v>1</x:v>
      </x:c>
      <x:c r="K2270" s="6" t="n">
        <x:f>IF(G2270&gt;H2270,1,0)</x:f>
        <x:v>0</x:v>
      </x:c>
      <x:c r="L2270" s="6" t="n">
        <x:f>J2270*K2270</x:f>
        <x:v>0</x:v>
      </x:c>
    </x:row>
    <x:row r="2271">
      <x:c r="A2271" s="1" t="n">
        <x:v>17568</x:v>
      </x:c>
      <x:c r="B2271" s="5" t="d">
        <x:v>2015-09-14T00:00:00.000Z</x:v>
      </x:c>
      <x:c r="C2271" s="1" t="str">
        <x:v>Standard Class</x:v>
      </x:c>
      <x:c r="D2271" s="1" t="str">
        <x:v>Europe</x:v>
      </x:c>
      <x:c r="E2271" s="1" t="str">
        <x:v>PROCESSING</x:v>
      </x:c>
      <x:c r="F2271" s="1" t="str">
        <x:v>Shipping on time</x:v>
      </x:c>
      <x:c r="G2271" s="6" t="n">
        <x:v>4</x:v>
      </x:c>
      <x:c r="H2271" s="6" t="n">
        <x:v>4</x:v>
      </x:c>
      <x:c r="I2271" s="6" t="n">
        <x:f>G2271-H2271</x:f>
        <x:v>0</x:v>
      </x:c>
      <x:c r="J2271" s="6" t="n">
        <x:f>IF(OR(E2271="CANCELED",E2271="SUSPECTED_FRAUD",F2271="Shipping canceled"),0,1)</x:f>
        <x:v>1</x:v>
      </x:c>
      <x:c r="K2271" s="6" t="n">
        <x:f>IF(G2271&gt;H2271,1,0)</x:f>
        <x:v>0</x:v>
      </x:c>
      <x:c r="L2271" s="6" t="n">
        <x:f>J2271*K2271</x:f>
        <x:v>0</x:v>
      </x:c>
    </x:row>
    <x:row r="2272">
      <x:c r="A2272" s="1" t="n">
        <x:v>17572</x:v>
      </x:c>
      <x:c r="B2272" s="5" t="d">
        <x:v>2015-09-14T00:00:00.000Z</x:v>
      </x:c>
      <x:c r="C2272" s="1" t="str">
        <x:v>Second Class</x:v>
      </x:c>
      <x:c r="D2272" s="1" t="str">
        <x:v>Europe</x:v>
      </x:c>
      <x:c r="E2272" s="1" t="str">
        <x:v>COMPLETE</x:v>
      </x:c>
      <x:c r="F2272" s="1" t="str">
        <x:v>Late delivery</x:v>
      </x:c>
      <x:c r="G2272" s="6" t="n">
        <x:v>3</x:v>
      </x:c>
      <x:c r="H2272" s="6" t="n">
        <x:v>2</x:v>
      </x:c>
      <x:c r="I2272" s="6" t="n">
        <x:f>G2272-H2272</x:f>
        <x:v>1</x:v>
      </x:c>
      <x:c r="J2272" s="6" t="n">
        <x:f>IF(OR(E2272="CANCELED",E2272="SUSPECTED_FRAUD",F2272="Shipping canceled"),0,1)</x:f>
        <x:v>1</x:v>
      </x:c>
      <x:c r="K2272" s="6" t="n">
        <x:f>IF(G2272&gt;H2272,1,0)</x:f>
        <x:v>1</x:v>
      </x:c>
      <x:c r="L2272" s="6" t="n">
        <x:f>J2272*K2272</x:f>
        <x:v>1</x:v>
      </x:c>
    </x:row>
    <x:row r="2273">
      <x:c r="A2273" s="1" t="n">
        <x:v>17582</x:v>
      </x:c>
      <x:c r="B2273" s="5" t="d">
        <x:v>2015-09-14T00:00:00.000Z</x:v>
      </x:c>
      <x:c r="C2273" s="1" t="str">
        <x:v>Second Class</x:v>
      </x:c>
      <x:c r="D2273" s="1" t="str">
        <x:v>Europe</x:v>
      </x:c>
      <x:c r="E2273" s="1" t="str">
        <x:v>COMPLETE</x:v>
      </x:c>
      <x:c r="F2273" s="1" t="str">
        <x:v>Late delivery</x:v>
      </x:c>
      <x:c r="G2273" s="6" t="n">
        <x:v>3</x:v>
      </x:c>
      <x:c r="H2273" s="6" t="n">
        <x:v>2</x:v>
      </x:c>
      <x:c r="I2273" s="6" t="n">
        <x:f>G2273-H2273</x:f>
        <x:v>1</x:v>
      </x:c>
      <x:c r="J2273" s="6" t="n">
        <x:f>IF(OR(E2273="CANCELED",E2273="SUSPECTED_FRAUD",F2273="Shipping canceled"),0,1)</x:f>
        <x:v>1</x:v>
      </x:c>
      <x:c r="K2273" s="6" t="n">
        <x:f>IF(G2273&gt;H2273,1,0)</x:f>
        <x:v>1</x:v>
      </x:c>
      <x:c r="L2273" s="6" t="n">
        <x:f>J2273*K2273</x:f>
        <x:v>1</x:v>
      </x:c>
    </x:row>
    <x:row r="2274">
      <x:c r="A2274" s="1" t="n">
        <x:v>17588</x:v>
      </x:c>
      <x:c r="B2274" s="5" t="d">
        <x:v>2015-09-14T00:00:00.000Z</x:v>
      </x:c>
      <x:c r="C2274" s="1" t="str">
        <x:v>First Class</x:v>
      </x:c>
      <x:c r="D2274" s="1" t="str">
        <x:v>Europe</x:v>
      </x:c>
      <x:c r="E2274" s="1" t="str">
        <x:v>PENDING_PAYMENT</x:v>
      </x:c>
      <x:c r="F2274" s="1" t="str">
        <x:v>Late delivery</x:v>
      </x:c>
      <x:c r="G2274" s="6" t="n">
        <x:v>2</x:v>
      </x:c>
      <x:c r="H2274" s="6" t="n">
        <x:v>1</x:v>
      </x:c>
      <x:c r="I2274" s="6" t="n">
        <x:f>G2274-H2274</x:f>
        <x:v>1</x:v>
      </x:c>
      <x:c r="J2274" s="6" t="n">
        <x:f>IF(OR(E2274="CANCELED",E2274="SUSPECTED_FRAUD",F2274="Shipping canceled"),0,1)</x:f>
        <x:v>1</x:v>
      </x:c>
      <x:c r="K2274" s="6" t="n">
        <x:f>IF(G2274&gt;H2274,1,0)</x:f>
        <x:v>1</x:v>
      </x:c>
      <x:c r="L2274" s="6" t="n">
        <x:f>J2274*K2274</x:f>
        <x:v>1</x:v>
      </x:c>
    </x:row>
    <x:row r="2275">
      <x:c r="A2275" s="1" t="n">
        <x:v>17594</x:v>
      </x:c>
      <x:c r="B2275" s="5" t="d">
        <x:v>2015-09-14T00:00:00.000Z</x:v>
      </x:c>
      <x:c r="C2275" s="1" t="str">
        <x:v>Standard Class</x:v>
      </x:c>
      <x:c r="D2275" s="1" t="str">
        <x:v>Europe</x:v>
      </x:c>
      <x:c r="E2275" s="1" t="str">
        <x:v>ON_HOLD</x:v>
      </x:c>
      <x:c r="F2275" s="1" t="str">
        <x:v>Late delivery</x:v>
      </x:c>
      <x:c r="G2275" s="6" t="n">
        <x:v>5</x:v>
      </x:c>
      <x:c r="H2275" s="6" t="n">
        <x:v>4</x:v>
      </x:c>
      <x:c r="I2275" s="6" t="n">
        <x:f>G2275-H2275</x:f>
        <x:v>1</x:v>
      </x:c>
      <x:c r="J2275" s="6" t="n">
        <x:f>IF(OR(E2275="CANCELED",E2275="SUSPECTED_FRAUD",F2275="Shipping canceled"),0,1)</x:f>
        <x:v>1</x:v>
      </x:c>
      <x:c r="K2275" s="6" t="n">
        <x:f>IF(G2275&gt;H2275,1,0)</x:f>
        <x:v>1</x:v>
      </x:c>
      <x:c r="L2275" s="6" t="n">
        <x:f>J2275*K2275</x:f>
        <x:v>1</x:v>
      </x:c>
    </x:row>
    <x:row r="2276">
      <x:c r="A2276" s="1" t="n">
        <x:v>17613</x:v>
      </x:c>
      <x:c r="B2276" s="5" t="d">
        <x:v>2015-09-15T00:00:00.000Z</x:v>
      </x:c>
      <x:c r="C2276" s="1" t="str">
        <x:v>Standard Class</x:v>
      </x:c>
      <x:c r="D2276" s="1" t="str">
        <x:v>Europe</x:v>
      </x:c>
      <x:c r="E2276" s="1" t="str">
        <x:v>COMPLETE</x:v>
      </x:c>
      <x:c r="F2276" s="1" t="str">
        <x:v>Shipping on time</x:v>
      </x:c>
      <x:c r="G2276" s="6" t="n">
        <x:v>4</x:v>
      </x:c>
      <x:c r="H2276" s="6" t="n">
        <x:v>4</x:v>
      </x:c>
      <x:c r="I2276" s="6" t="n">
        <x:f>G2276-H2276</x:f>
        <x:v>0</x:v>
      </x:c>
      <x:c r="J2276" s="6" t="n">
        <x:f>IF(OR(E2276="CANCELED",E2276="SUSPECTED_FRAUD",F2276="Shipping canceled"),0,1)</x:f>
        <x:v>1</x:v>
      </x:c>
      <x:c r="K2276" s="6" t="n">
        <x:f>IF(G2276&gt;H2276,1,0)</x:f>
        <x:v>0</x:v>
      </x:c>
      <x:c r="L2276" s="6" t="n">
        <x:f>J2276*K2276</x:f>
        <x:v>0</x:v>
      </x:c>
    </x:row>
    <x:row r="2277">
      <x:c r="A2277" s="1" t="n">
        <x:v>17614</x:v>
      </x:c>
      <x:c r="B2277" s="5" t="d">
        <x:v>2015-09-15T00:00:00.000Z</x:v>
      </x:c>
      <x:c r="C2277" s="1" t="str">
        <x:v>Standard Class</x:v>
      </x:c>
      <x:c r="D2277" s="1" t="str">
        <x:v>Europe</x:v>
      </x:c>
      <x:c r="E2277" s="1" t="str">
        <x:v>COMPLETE</x:v>
      </x:c>
      <x:c r="F2277" s="1" t="str">
        <x:v>Late delivery</x:v>
      </x:c>
      <x:c r="G2277" s="6" t="n">
        <x:v>5</x:v>
      </x:c>
      <x:c r="H2277" s="6" t="n">
        <x:v>4</x:v>
      </x:c>
      <x:c r="I2277" s="6" t="n">
        <x:f>G2277-H2277</x:f>
        <x:v>1</x:v>
      </x:c>
      <x:c r="J2277" s="6" t="n">
        <x:f>IF(OR(E2277="CANCELED",E2277="SUSPECTED_FRAUD",F2277="Shipping canceled"),0,1)</x:f>
        <x:v>1</x:v>
      </x:c>
      <x:c r="K2277" s="6" t="n">
        <x:f>IF(G2277&gt;H2277,1,0)</x:f>
        <x:v>1</x:v>
      </x:c>
      <x:c r="L2277" s="6" t="n">
        <x:f>J2277*K2277</x:f>
        <x:v>1</x:v>
      </x:c>
    </x:row>
    <x:row r="2278">
      <x:c r="A2278" s="1" t="n">
        <x:v>17628</x:v>
      </x:c>
      <x:c r="B2278" s="5" t="d">
        <x:v>2015-09-15T00:00:00.000Z</x:v>
      </x:c>
      <x:c r="C2278" s="1" t="str">
        <x:v>Standard Class</x:v>
      </x:c>
      <x:c r="D2278" s="1" t="str">
        <x:v>Europe</x:v>
      </x:c>
      <x:c r="E2278" s="1" t="str">
        <x:v>COMPLETE</x:v>
      </x:c>
      <x:c r="F2278" s="1" t="str">
        <x:v>Shipping on time</x:v>
      </x:c>
      <x:c r="G2278" s="6" t="n">
        <x:v>4</x:v>
      </x:c>
      <x:c r="H2278" s="6" t="n">
        <x:v>4</x:v>
      </x:c>
      <x:c r="I2278" s="6" t="n">
        <x:f>G2278-H2278</x:f>
        <x:v>0</x:v>
      </x:c>
      <x:c r="J2278" s="6" t="n">
        <x:f>IF(OR(E2278="CANCELED",E2278="SUSPECTED_FRAUD",F2278="Shipping canceled"),0,1)</x:f>
        <x:v>1</x:v>
      </x:c>
      <x:c r="K2278" s="6" t="n">
        <x:f>IF(G2278&gt;H2278,1,0)</x:f>
        <x:v>0</x:v>
      </x:c>
      <x:c r="L2278" s="6" t="n">
        <x:f>J2278*K2278</x:f>
        <x:v>0</x:v>
      </x:c>
    </x:row>
    <x:row r="2279">
      <x:c r="A2279" s="1" t="n">
        <x:v>17683</x:v>
      </x:c>
      <x:c r="B2279" s="5" t="d">
        <x:v>2015-09-16T00:00:00.000Z</x:v>
      </x:c>
      <x:c r="C2279" s="1" t="str">
        <x:v>Standard Class</x:v>
      </x:c>
      <x:c r="D2279" s="1" t="str">
        <x:v>Europe</x:v>
      </x:c>
      <x:c r="E2279" s="1" t="str">
        <x:v>PENDING</x:v>
      </x:c>
      <x:c r="F2279" s="1" t="str">
        <x:v>Shipping on time</x:v>
      </x:c>
      <x:c r="G2279" s="6" t="n">
        <x:v>4</x:v>
      </x:c>
      <x:c r="H2279" s="6" t="n">
        <x:v>4</x:v>
      </x:c>
      <x:c r="I2279" s="6" t="n">
        <x:f>G2279-H2279</x:f>
        <x:v>0</x:v>
      </x:c>
      <x:c r="J2279" s="6" t="n">
        <x:f>IF(OR(E2279="CANCELED",E2279="SUSPECTED_FRAUD",F2279="Shipping canceled"),0,1)</x:f>
        <x:v>1</x:v>
      </x:c>
      <x:c r="K2279" s="6" t="n">
        <x:f>IF(G2279&gt;H2279,1,0)</x:f>
        <x:v>0</x:v>
      </x:c>
      <x:c r="L2279" s="6" t="n">
        <x:f>J2279*K2279</x:f>
        <x:v>0</x:v>
      </x:c>
    </x:row>
    <x:row r="2280">
      <x:c r="A2280" s="1" t="n">
        <x:v>17684</x:v>
      </x:c>
      <x:c r="B2280" s="5" t="d">
        <x:v>2015-09-16T00:00:00.000Z</x:v>
      </x:c>
      <x:c r="C2280" s="1" t="str">
        <x:v>Standard Class</x:v>
      </x:c>
      <x:c r="D2280" s="1" t="str">
        <x:v>Europe</x:v>
      </x:c>
      <x:c r="E2280" s="1" t="str">
        <x:v>COMPLETE</x:v>
      </x:c>
      <x:c r="F2280" s="1" t="str">
        <x:v>Late delivery</x:v>
      </x:c>
      <x:c r="G2280" s="6" t="n">
        <x:v>5</x:v>
      </x:c>
      <x:c r="H2280" s="6" t="n">
        <x:v>4</x:v>
      </x:c>
      <x:c r="I2280" s="6" t="n">
        <x:f>G2280-H2280</x:f>
        <x:v>1</x:v>
      </x:c>
      <x:c r="J2280" s="6" t="n">
        <x:f>IF(OR(E2280="CANCELED",E2280="SUSPECTED_FRAUD",F2280="Shipping canceled"),0,1)</x:f>
        <x:v>1</x:v>
      </x:c>
      <x:c r="K2280" s="6" t="n">
        <x:f>IF(G2280&gt;H2280,1,0)</x:f>
        <x:v>1</x:v>
      </x:c>
      <x:c r="L2280" s="6" t="n">
        <x:f>J2280*K2280</x:f>
        <x:v>1</x:v>
      </x:c>
    </x:row>
    <x:row r="2281">
      <x:c r="A2281" s="1" t="n">
        <x:v>17688</x:v>
      </x:c>
      <x:c r="B2281" s="5" t="d">
        <x:v>2015-09-16T00:00:00.000Z</x:v>
      </x:c>
      <x:c r="C2281" s="1" t="str">
        <x:v>Standard Class</x:v>
      </x:c>
      <x:c r="D2281" s="1" t="str">
        <x:v>Europe</x:v>
      </x:c>
      <x:c r="E2281" s="1" t="str">
        <x:v>PENDING</x:v>
      </x:c>
      <x:c r="F2281" s="1" t="str">
        <x:v>Shipping on time</x:v>
      </x:c>
      <x:c r="G2281" s="6" t="n">
        <x:v>4</x:v>
      </x:c>
      <x:c r="H2281" s="6" t="n">
        <x:v>4</x:v>
      </x:c>
      <x:c r="I2281" s="6" t="n">
        <x:f>G2281-H2281</x:f>
        <x:v>0</x:v>
      </x:c>
      <x:c r="J2281" s="6" t="n">
        <x:f>IF(OR(E2281="CANCELED",E2281="SUSPECTED_FRAUD",F2281="Shipping canceled"),0,1)</x:f>
        <x:v>1</x:v>
      </x:c>
      <x:c r="K2281" s="6" t="n">
        <x:f>IF(G2281&gt;H2281,1,0)</x:f>
        <x:v>0</x:v>
      </x:c>
      <x:c r="L2281" s="6" t="n">
        <x:f>J2281*K2281</x:f>
        <x:v>0</x:v>
      </x:c>
    </x:row>
    <x:row r="2282">
      <x:c r="A2282" s="1" t="n">
        <x:v>17689</x:v>
      </x:c>
      <x:c r="B2282" s="5" t="d">
        <x:v>2015-09-16T00:00:00.000Z</x:v>
      </x:c>
      <x:c r="C2282" s="1" t="str">
        <x:v>Standard Class</x:v>
      </x:c>
      <x:c r="D2282" s="1" t="str">
        <x:v>Europe</x:v>
      </x:c>
      <x:c r="E2282" s="1" t="str">
        <x:v>COMPLETE</x:v>
      </x:c>
      <x:c r="F2282" s="1" t="str">
        <x:v>Late delivery</x:v>
      </x:c>
      <x:c r="G2282" s="6" t="n">
        <x:v>5</x:v>
      </x:c>
      <x:c r="H2282" s="6" t="n">
        <x:v>4</x:v>
      </x:c>
      <x:c r="I2282" s="6" t="n">
        <x:f>G2282-H2282</x:f>
        <x:v>1</x:v>
      </x:c>
      <x:c r="J2282" s="6" t="n">
        <x:f>IF(OR(E2282="CANCELED",E2282="SUSPECTED_FRAUD",F2282="Shipping canceled"),0,1)</x:f>
        <x:v>1</x:v>
      </x:c>
      <x:c r="K2282" s="6" t="n">
        <x:f>IF(G2282&gt;H2282,1,0)</x:f>
        <x:v>1</x:v>
      </x:c>
      <x:c r="L2282" s="6" t="n">
        <x:f>J2282*K2282</x:f>
        <x:v>1</x:v>
      </x:c>
    </x:row>
    <x:row r="2283">
      <x:c r="A2283" s="1" t="n">
        <x:v>17705</x:v>
      </x:c>
      <x:c r="B2283" s="5" t="d">
        <x:v>2015-09-16T00:00:00.000Z</x:v>
      </x:c>
      <x:c r="C2283" s="1" t="str">
        <x:v>Standard Class</x:v>
      </x:c>
      <x:c r="D2283" s="1" t="str">
        <x:v>Europe</x:v>
      </x:c>
      <x:c r="E2283" s="1" t="str">
        <x:v>COMPLETE</x:v>
      </x:c>
      <x:c r="F2283" s="1" t="str">
        <x:v>Late delivery</x:v>
      </x:c>
      <x:c r="G2283" s="6" t="n">
        <x:v>6</x:v>
      </x:c>
      <x:c r="H2283" s="6" t="n">
        <x:v>4</x:v>
      </x:c>
      <x:c r="I2283" s="6" t="n">
        <x:f>G2283-H2283</x:f>
        <x:v>2</x:v>
      </x:c>
      <x:c r="J2283" s="6" t="n">
        <x:f>IF(OR(E2283="CANCELED",E2283="SUSPECTED_FRAUD",F2283="Shipping canceled"),0,1)</x:f>
        <x:v>1</x:v>
      </x:c>
      <x:c r="K2283" s="6" t="n">
        <x:f>IF(G2283&gt;H2283,1,0)</x:f>
        <x:v>1</x:v>
      </x:c>
      <x:c r="L2283" s="6" t="n">
        <x:f>J2283*K2283</x:f>
        <x:v>1</x:v>
      </x:c>
    </x:row>
    <x:row r="2284">
      <x:c r="A2284" s="1" t="n">
        <x:v>17708</x:v>
      </x:c>
      <x:c r="B2284" s="5" t="d">
        <x:v>2015-09-16T00:00:00.000Z</x:v>
      </x:c>
      <x:c r="C2284" s="1" t="str">
        <x:v>First Class</x:v>
      </x:c>
      <x:c r="D2284" s="1" t="str">
        <x:v>Europe</x:v>
      </x:c>
      <x:c r="E2284" s="1" t="str">
        <x:v>PENDING_PAYMENT</x:v>
      </x:c>
      <x:c r="F2284" s="1" t="str">
        <x:v>Late delivery</x:v>
      </x:c>
      <x:c r="G2284" s="6" t="n">
        <x:v>2</x:v>
      </x:c>
      <x:c r="H2284" s="6" t="n">
        <x:v>1</x:v>
      </x:c>
      <x:c r="I2284" s="6" t="n">
        <x:f>G2284-H2284</x:f>
        <x:v>1</x:v>
      </x:c>
      <x:c r="J2284" s="6" t="n">
        <x:f>IF(OR(E2284="CANCELED",E2284="SUSPECTED_FRAUD",F2284="Shipping canceled"),0,1)</x:f>
        <x:v>1</x:v>
      </x:c>
      <x:c r="K2284" s="6" t="n">
        <x:f>IF(G2284&gt;H2284,1,0)</x:f>
        <x:v>1</x:v>
      </x:c>
      <x:c r="L2284" s="6" t="n">
        <x:f>J2284*K2284</x:f>
        <x:v>1</x:v>
      </x:c>
    </x:row>
    <x:row r="2285">
      <x:c r="A2285" s="1" t="n">
        <x:v>17709</x:v>
      </x:c>
      <x:c r="B2285" s="5" t="d">
        <x:v>2015-09-16T00:00:00.000Z</x:v>
      </x:c>
      <x:c r="C2285" s="1" t="str">
        <x:v>First Class</x:v>
      </x:c>
      <x:c r="D2285" s="1" t="str">
        <x:v>Europe</x:v>
      </x:c>
      <x:c r="E2285" s="1" t="str">
        <x:v>CLOSED</x:v>
      </x:c>
      <x:c r="F2285" s="1" t="str">
        <x:v>Late delivery</x:v>
      </x:c>
      <x:c r="G2285" s="6" t="n">
        <x:v>2</x:v>
      </x:c>
      <x:c r="H2285" s="6" t="n">
        <x:v>1</x:v>
      </x:c>
      <x:c r="I2285" s="6" t="n">
        <x:f>G2285-H2285</x:f>
        <x:v>1</x:v>
      </x:c>
      <x:c r="J2285" s="6" t="n">
        <x:f>IF(OR(E2285="CANCELED",E2285="SUSPECTED_FRAUD",F2285="Shipping canceled"),0,1)</x:f>
        <x:v>1</x:v>
      </x:c>
      <x:c r="K2285" s="6" t="n">
        <x:f>IF(G2285&gt;H2285,1,0)</x:f>
        <x:v>1</x:v>
      </x:c>
      <x:c r="L2285" s="6" t="n">
        <x:f>J2285*K2285</x:f>
        <x:v>1</x:v>
      </x:c>
    </x:row>
    <x:row r="2286">
      <x:c r="A2286" s="1" t="n">
        <x:v>17712</x:v>
      </x:c>
      <x:c r="B2286" s="5" t="d">
        <x:v>2015-09-16T00:00:00.000Z</x:v>
      </x:c>
      <x:c r="C2286" s="1" t="str">
        <x:v>First Class</x:v>
      </x:c>
      <x:c r="D2286" s="1" t="str">
        <x:v>Europe</x:v>
      </x:c>
      <x:c r="E2286" s="1" t="str">
        <x:v>PAYMENT_REVIEW</x:v>
      </x:c>
      <x:c r="F2286" s="1" t="str">
        <x:v>Late delivery</x:v>
      </x:c>
      <x:c r="G2286" s="6" t="n">
        <x:v>2</x:v>
      </x:c>
      <x:c r="H2286" s="6" t="n">
        <x:v>1</x:v>
      </x:c>
      <x:c r="I2286" s="6" t="n">
        <x:f>G2286-H2286</x:f>
        <x:v>1</x:v>
      </x:c>
      <x:c r="J2286" s="6" t="n">
        <x:f>IF(OR(E2286="CANCELED",E2286="SUSPECTED_FRAUD",F2286="Shipping canceled"),0,1)</x:f>
        <x:v>1</x:v>
      </x:c>
      <x:c r="K2286" s="6" t="n">
        <x:f>IF(G2286&gt;H2286,1,0)</x:f>
        <x:v>1</x:v>
      </x:c>
      <x:c r="L2286" s="6" t="n">
        <x:f>J2286*K2286</x:f>
        <x:v>1</x:v>
      </x:c>
    </x:row>
    <x:row r="2287">
      <x:c r="A2287" s="1" t="n">
        <x:v>17719</x:v>
      </x:c>
      <x:c r="B2287" s="5" t="d">
        <x:v>2015-09-16T00:00:00.000Z</x:v>
      </x:c>
      <x:c r="C2287" s="1" t="str">
        <x:v>Second Class</x:v>
      </x:c>
      <x:c r="D2287" s="1" t="str">
        <x:v>Europe</x:v>
      </x:c>
      <x:c r="E2287" s="1" t="str">
        <x:v>PENDING_PAYMENT</x:v>
      </x:c>
      <x:c r="F2287" s="1" t="str">
        <x:v>Late delivery</x:v>
      </x:c>
      <x:c r="G2287" s="6" t="n">
        <x:v>5</x:v>
      </x:c>
      <x:c r="H2287" s="6" t="n">
        <x:v>2</x:v>
      </x:c>
      <x:c r="I2287" s="6" t="n">
        <x:f>G2287-H2287</x:f>
        <x:v>3</x:v>
      </x:c>
      <x:c r="J2287" s="6" t="n">
        <x:f>IF(OR(E2287="CANCELED",E2287="SUSPECTED_FRAUD",F2287="Shipping canceled"),0,1)</x:f>
        <x:v>1</x:v>
      </x:c>
      <x:c r="K2287" s="6" t="n">
        <x:f>IF(G2287&gt;H2287,1,0)</x:f>
        <x:v>1</x:v>
      </x:c>
      <x:c r="L2287" s="6" t="n">
        <x:f>J2287*K2287</x:f>
        <x:v>1</x:v>
      </x:c>
    </x:row>
    <x:row r="2288">
      <x:c r="A2288" s="1" t="n">
        <x:v>17720</x:v>
      </x:c>
      <x:c r="B2288" s="5" t="d">
        <x:v>2015-09-16T00:00:00.000Z</x:v>
      </x:c>
      <x:c r="C2288" s="1" t="str">
        <x:v>First Class</x:v>
      </x:c>
      <x:c r="D2288" s="1" t="str">
        <x:v>Europe</x:v>
      </x:c>
      <x:c r="E2288" s="1" t="str">
        <x:v>CLOSED</x:v>
      </x:c>
      <x:c r="F2288" s="1" t="str">
        <x:v>Late delivery</x:v>
      </x:c>
      <x:c r="G2288" s="6" t="n">
        <x:v>2</x:v>
      </x:c>
      <x:c r="H2288" s="6" t="n">
        <x:v>1</x:v>
      </x:c>
      <x:c r="I2288" s="6" t="n">
        <x:f>G2288-H2288</x:f>
        <x:v>1</x:v>
      </x:c>
      <x:c r="J2288" s="6" t="n">
        <x:f>IF(OR(E2288="CANCELED",E2288="SUSPECTED_FRAUD",F2288="Shipping canceled"),0,1)</x:f>
        <x:v>1</x:v>
      </x:c>
      <x:c r="K2288" s="6" t="n">
        <x:f>IF(G2288&gt;H2288,1,0)</x:f>
        <x:v>1</x:v>
      </x:c>
      <x:c r="L2288" s="6" t="n">
        <x:f>J2288*K2288</x:f>
        <x:v>1</x:v>
      </x:c>
    </x:row>
    <x:row r="2289">
      <x:c r="A2289" s="1" t="n">
        <x:v>17724</x:v>
      </x:c>
      <x:c r="B2289" s="5" t="d">
        <x:v>2015-09-16T00:00:00.000Z</x:v>
      </x:c>
      <x:c r="C2289" s="1" t="str">
        <x:v>Standard Class</x:v>
      </x:c>
      <x:c r="D2289" s="1" t="str">
        <x:v>Europe</x:v>
      </x:c>
      <x:c r="E2289" s="1" t="str">
        <x:v>COMPLETE</x:v>
      </x:c>
      <x:c r="F2289" s="1" t="str">
        <x:v>Late delivery</x:v>
      </x:c>
      <x:c r="G2289" s="6" t="n">
        <x:v>5</x:v>
      </x:c>
      <x:c r="H2289" s="6" t="n">
        <x:v>4</x:v>
      </x:c>
      <x:c r="I2289" s="6" t="n">
        <x:f>G2289-H2289</x:f>
        <x:v>1</x:v>
      </x:c>
      <x:c r="J2289" s="6" t="n">
        <x:f>IF(OR(E2289="CANCELED",E2289="SUSPECTED_FRAUD",F2289="Shipping canceled"),0,1)</x:f>
        <x:v>1</x:v>
      </x:c>
      <x:c r="K2289" s="6" t="n">
        <x:f>IF(G2289&gt;H2289,1,0)</x:f>
        <x:v>1</x:v>
      </x:c>
      <x:c r="L2289" s="6" t="n">
        <x:f>J2289*K2289</x:f>
        <x:v>1</x:v>
      </x:c>
    </x:row>
    <x:row r="2290">
      <x:c r="A2290" s="1" t="n">
        <x:v>17726</x:v>
      </x:c>
      <x:c r="B2290" s="5" t="d">
        <x:v>2015-09-16T00:00:00.000Z</x:v>
      </x:c>
      <x:c r="C2290" s="1" t="str">
        <x:v>Standard Class</x:v>
      </x:c>
      <x:c r="D2290" s="1" t="str">
        <x:v>Europe</x:v>
      </x:c>
      <x:c r="E2290" s="1" t="str">
        <x:v>COMPLETE</x:v>
      </x:c>
      <x:c r="F2290" s="1" t="str">
        <x:v>Advance shipping</x:v>
      </x:c>
      <x:c r="G2290" s="6" t="n">
        <x:v>2</x:v>
      </x:c>
      <x:c r="H2290" s="6" t="n">
        <x:v>4</x:v>
      </x:c>
      <x:c r="I2290" s="6" t="n">
        <x:f>G2290-H2290</x:f>
        <x:v>-2</x:v>
      </x:c>
      <x:c r="J2290" s="6" t="n">
        <x:f>IF(OR(E2290="CANCELED",E2290="SUSPECTED_FRAUD",F2290="Shipping canceled"),0,1)</x:f>
        <x:v>1</x:v>
      </x:c>
      <x:c r="K2290" s="6" t="n">
        <x:f>IF(G2290&gt;H2290,1,0)</x:f>
        <x:v>0</x:v>
      </x:c>
      <x:c r="L2290" s="6" t="n">
        <x:f>J2290*K2290</x:f>
        <x:v>0</x:v>
      </x:c>
    </x:row>
    <x:row r="2291">
      <x:c r="A2291" s="1" t="n">
        <x:v>17727</x:v>
      </x:c>
      <x:c r="B2291" s="5" t="d">
        <x:v>2015-09-16T00:00:00.000Z</x:v>
      </x:c>
      <x:c r="C2291" s="1" t="str">
        <x:v>Second Class</x:v>
      </x:c>
      <x:c r="D2291" s="1" t="str">
        <x:v>Europe</x:v>
      </x:c>
      <x:c r="E2291" s="1" t="str">
        <x:v>COMPLETE</x:v>
      </x:c>
      <x:c r="F2291" s="1" t="str">
        <x:v>Late delivery</x:v>
      </x:c>
      <x:c r="G2291" s="6" t="n">
        <x:v>3</x:v>
      </x:c>
      <x:c r="H2291" s="6" t="n">
        <x:v>2</x:v>
      </x:c>
      <x:c r="I2291" s="6" t="n">
        <x:f>G2291-H2291</x:f>
        <x:v>1</x:v>
      </x:c>
      <x:c r="J2291" s="6" t="n">
        <x:f>IF(OR(E2291="CANCELED",E2291="SUSPECTED_FRAUD",F2291="Shipping canceled"),0,1)</x:f>
        <x:v>1</x:v>
      </x:c>
      <x:c r="K2291" s="6" t="n">
        <x:f>IF(G2291&gt;H2291,1,0)</x:f>
        <x:v>1</x:v>
      </x:c>
      <x:c r="L2291" s="6" t="n">
        <x:f>J2291*K2291</x:f>
        <x:v>1</x:v>
      </x:c>
    </x:row>
    <x:row r="2292">
      <x:c r="A2292" s="1" t="n">
        <x:v>17734</x:v>
      </x:c>
      <x:c r="B2292" s="5" t="d">
        <x:v>2015-09-16T00:00:00.000Z</x:v>
      </x:c>
      <x:c r="C2292" s="1" t="str">
        <x:v>Standard Class</x:v>
      </x:c>
      <x:c r="D2292" s="1" t="str">
        <x:v>Europe</x:v>
      </x:c>
      <x:c r="E2292" s="1" t="str">
        <x:v>COMPLETE</x:v>
      </x:c>
      <x:c r="F2292" s="1" t="str">
        <x:v>Late delivery</x:v>
      </x:c>
      <x:c r="G2292" s="6" t="n">
        <x:v>5</x:v>
      </x:c>
      <x:c r="H2292" s="6" t="n">
        <x:v>4</x:v>
      </x:c>
      <x:c r="I2292" s="6" t="n">
        <x:f>G2292-H2292</x:f>
        <x:v>1</x:v>
      </x:c>
      <x:c r="J2292" s="6" t="n">
        <x:f>IF(OR(E2292="CANCELED",E2292="SUSPECTED_FRAUD",F2292="Shipping canceled"),0,1)</x:f>
        <x:v>1</x:v>
      </x:c>
      <x:c r="K2292" s="6" t="n">
        <x:f>IF(G2292&gt;H2292,1,0)</x:f>
        <x:v>1</x:v>
      </x:c>
      <x:c r="L2292" s="6" t="n">
        <x:f>J2292*K2292</x:f>
        <x:v>1</x:v>
      </x:c>
    </x:row>
    <x:row r="2293">
      <x:c r="A2293" s="1" t="n">
        <x:v>17750</x:v>
      </x:c>
      <x:c r="B2293" s="5" t="d">
        <x:v>2015-09-17T00:00:00.000Z</x:v>
      </x:c>
      <x:c r="C2293" s="1" t="str">
        <x:v>Standard Class</x:v>
      </x:c>
      <x:c r="D2293" s="1" t="str">
        <x:v>Europe</x:v>
      </x:c>
      <x:c r="E2293" s="1" t="str">
        <x:v>COMPLETE</x:v>
      </x:c>
      <x:c r="F2293" s="1" t="str">
        <x:v>Late delivery</x:v>
      </x:c>
      <x:c r="G2293" s="6" t="n">
        <x:v>6</x:v>
      </x:c>
      <x:c r="H2293" s="6" t="n">
        <x:v>4</x:v>
      </x:c>
      <x:c r="I2293" s="6" t="n">
        <x:f>G2293-H2293</x:f>
        <x:v>2</x:v>
      </x:c>
      <x:c r="J2293" s="6" t="n">
        <x:f>IF(OR(E2293="CANCELED",E2293="SUSPECTED_FRAUD",F2293="Shipping canceled"),0,1)</x:f>
        <x:v>1</x:v>
      </x:c>
      <x:c r="K2293" s="6" t="n">
        <x:f>IF(G2293&gt;H2293,1,0)</x:f>
        <x:v>1</x:v>
      </x:c>
      <x:c r="L2293" s="6" t="n">
        <x:f>J2293*K2293</x:f>
        <x:v>1</x:v>
      </x:c>
    </x:row>
    <x:row r="2294">
      <x:c r="A2294" s="1" t="n">
        <x:v>17754</x:v>
      </x:c>
      <x:c r="B2294" s="5" t="d">
        <x:v>2015-09-17T00:00:00.000Z</x:v>
      </x:c>
      <x:c r="C2294" s="1" t="str">
        <x:v>Second Class</x:v>
      </x:c>
      <x:c r="D2294" s="1" t="str">
        <x:v>Europe</x:v>
      </x:c>
      <x:c r="E2294" s="1" t="str">
        <x:v>CLOSED</x:v>
      </x:c>
      <x:c r="F2294" s="1" t="str">
        <x:v>Late delivery</x:v>
      </x:c>
      <x:c r="G2294" s="6" t="n">
        <x:v>5</x:v>
      </x:c>
      <x:c r="H2294" s="6" t="n">
        <x:v>2</x:v>
      </x:c>
      <x:c r="I2294" s="6" t="n">
        <x:f>G2294-H2294</x:f>
        <x:v>3</x:v>
      </x:c>
      <x:c r="J2294" s="6" t="n">
        <x:f>IF(OR(E2294="CANCELED",E2294="SUSPECTED_FRAUD",F2294="Shipping canceled"),0,1)</x:f>
        <x:v>1</x:v>
      </x:c>
      <x:c r="K2294" s="6" t="n">
        <x:f>IF(G2294&gt;H2294,1,0)</x:f>
        <x:v>1</x:v>
      </x:c>
      <x:c r="L2294" s="6" t="n">
        <x:f>J2294*K2294</x:f>
        <x:v>1</x:v>
      </x:c>
    </x:row>
    <x:row r="2295">
      <x:c r="A2295" s="1" t="n">
        <x:v>17755</x:v>
      </x:c>
      <x:c r="B2295" s="5" t="d">
        <x:v>2015-09-17T00:00:00.000Z</x:v>
      </x:c>
      <x:c r="C2295" s="1" t="str">
        <x:v>Standard Class</x:v>
      </x:c>
      <x:c r="D2295" s="1" t="str">
        <x:v>Europe</x:v>
      </x:c>
      <x:c r="E2295" s="1" t="str">
        <x:v>PENDING_PAYMENT</x:v>
      </x:c>
      <x:c r="F2295" s="1" t="str">
        <x:v>Late delivery</x:v>
      </x:c>
      <x:c r="G2295" s="6" t="n">
        <x:v>6</x:v>
      </x:c>
      <x:c r="H2295" s="6" t="n">
        <x:v>4</x:v>
      </x:c>
      <x:c r="I2295" s="6" t="n">
        <x:f>G2295-H2295</x:f>
        <x:v>2</x:v>
      </x:c>
      <x:c r="J2295" s="6" t="n">
        <x:f>IF(OR(E2295="CANCELED",E2295="SUSPECTED_FRAUD",F2295="Shipping canceled"),0,1)</x:f>
        <x:v>1</x:v>
      </x:c>
      <x:c r="K2295" s="6" t="n">
        <x:f>IF(G2295&gt;H2295,1,0)</x:f>
        <x:v>1</x:v>
      </x:c>
      <x:c r="L2295" s="6" t="n">
        <x:f>J2295*K2295</x:f>
        <x:v>1</x:v>
      </x:c>
    </x:row>
    <x:row r="2296">
      <x:c r="A2296" s="1" t="n">
        <x:v>17759</x:v>
      </x:c>
      <x:c r="B2296" s="5" t="d">
        <x:v>2015-09-17T00:00:00.000Z</x:v>
      </x:c>
      <x:c r="C2296" s="1" t="str">
        <x:v>Standard Class</x:v>
      </x:c>
      <x:c r="D2296" s="1" t="str">
        <x:v>Europe</x:v>
      </x:c>
      <x:c r="E2296" s="1" t="str">
        <x:v>COMPLETE</x:v>
      </x:c>
      <x:c r="F2296" s="1" t="str">
        <x:v>Late delivery</x:v>
      </x:c>
      <x:c r="G2296" s="6" t="n">
        <x:v>5</x:v>
      </x:c>
      <x:c r="H2296" s="6" t="n">
        <x:v>4</x:v>
      </x:c>
      <x:c r="I2296" s="6" t="n">
        <x:f>G2296-H2296</x:f>
        <x:v>1</x:v>
      </x:c>
      <x:c r="J2296" s="6" t="n">
        <x:f>IF(OR(E2296="CANCELED",E2296="SUSPECTED_FRAUD",F2296="Shipping canceled"),0,1)</x:f>
        <x:v>1</x:v>
      </x:c>
      <x:c r="K2296" s="6" t="n">
        <x:f>IF(G2296&gt;H2296,1,0)</x:f>
        <x:v>1</x:v>
      </x:c>
      <x:c r="L2296" s="6" t="n">
        <x:f>J2296*K2296</x:f>
        <x:v>1</x:v>
      </x:c>
    </x:row>
    <x:row r="2297">
      <x:c r="A2297" s="1" t="n">
        <x:v>17766</x:v>
      </x:c>
      <x:c r="B2297" s="5" t="d">
        <x:v>2015-09-17T00:00:00.000Z</x:v>
      </x:c>
      <x:c r="C2297" s="1" t="str">
        <x:v>Standard Class</x:v>
      </x:c>
      <x:c r="D2297" s="1" t="str">
        <x:v>Europe</x:v>
      </x:c>
      <x:c r="E2297" s="1" t="str">
        <x:v>PENDING_PAYMENT</x:v>
      </x:c>
      <x:c r="F2297" s="1" t="str">
        <x:v>Advance shipping</x:v>
      </x:c>
      <x:c r="G2297" s="6" t="n">
        <x:v>2</x:v>
      </x:c>
      <x:c r="H2297" s="6" t="n">
        <x:v>4</x:v>
      </x:c>
      <x:c r="I2297" s="6" t="n">
        <x:f>G2297-H2297</x:f>
        <x:v>-2</x:v>
      </x:c>
      <x:c r="J2297" s="6" t="n">
        <x:f>IF(OR(E2297="CANCELED",E2297="SUSPECTED_FRAUD",F2297="Shipping canceled"),0,1)</x:f>
        <x:v>1</x:v>
      </x:c>
      <x:c r="K2297" s="6" t="n">
        <x:f>IF(G2297&gt;H2297,1,0)</x:f>
        <x:v>0</x:v>
      </x:c>
      <x:c r="L2297" s="6" t="n">
        <x:f>J2297*K2297</x:f>
        <x:v>0</x:v>
      </x:c>
    </x:row>
    <x:row r="2298">
      <x:c r="A2298" s="1" t="n">
        <x:v>17767</x:v>
      </x:c>
      <x:c r="B2298" s="5" t="d">
        <x:v>2015-09-17T00:00:00.000Z</x:v>
      </x:c>
      <x:c r="C2298" s="1" t="str">
        <x:v>First Class</x:v>
      </x:c>
      <x:c r="D2298" s="1" t="str">
        <x:v>Europe</x:v>
      </x:c>
      <x:c r="E2298" s="1" t="str">
        <x:v>PENDING_PAYMENT</x:v>
      </x:c>
      <x:c r="F2298" s="1" t="str">
        <x:v>Late delivery</x:v>
      </x:c>
      <x:c r="G2298" s="6" t="n">
        <x:v>2</x:v>
      </x:c>
      <x:c r="H2298" s="6" t="n">
        <x:v>1</x:v>
      </x:c>
      <x:c r="I2298" s="6" t="n">
        <x:f>G2298-H2298</x:f>
        <x:v>1</x:v>
      </x:c>
      <x:c r="J2298" s="6" t="n">
        <x:f>IF(OR(E2298="CANCELED",E2298="SUSPECTED_FRAUD",F2298="Shipping canceled"),0,1)</x:f>
        <x:v>1</x:v>
      </x:c>
      <x:c r="K2298" s="6" t="n">
        <x:f>IF(G2298&gt;H2298,1,0)</x:f>
        <x:v>1</x:v>
      </x:c>
      <x:c r="L2298" s="6" t="n">
        <x:f>J2298*K2298</x:f>
        <x:v>1</x:v>
      </x:c>
    </x:row>
    <x:row r="2299">
      <x:c r="A2299" s="1" t="n">
        <x:v>17770</x:v>
      </x:c>
      <x:c r="B2299" s="5" t="d">
        <x:v>2015-09-17T00:00:00.000Z</x:v>
      </x:c>
      <x:c r="C2299" s="1" t="str">
        <x:v>Second Class</x:v>
      </x:c>
      <x:c r="D2299" s="1" t="str">
        <x:v>Europe</x:v>
      </x:c>
      <x:c r="E2299" s="1" t="str">
        <x:v>COMPLETE</x:v>
      </x:c>
      <x:c r="F2299" s="1" t="str">
        <x:v>Late delivery</x:v>
      </x:c>
      <x:c r="G2299" s="6" t="n">
        <x:v>6</x:v>
      </x:c>
      <x:c r="H2299" s="6" t="n">
        <x:v>2</x:v>
      </x:c>
      <x:c r="I2299" s="6" t="n">
        <x:f>G2299-H2299</x:f>
        <x:v>4</x:v>
      </x:c>
      <x:c r="J2299" s="6" t="n">
        <x:f>IF(OR(E2299="CANCELED",E2299="SUSPECTED_FRAUD",F2299="Shipping canceled"),0,1)</x:f>
        <x:v>1</x:v>
      </x:c>
      <x:c r="K2299" s="6" t="n">
        <x:f>IF(G2299&gt;H2299,1,0)</x:f>
        <x:v>1</x:v>
      </x:c>
      <x:c r="L2299" s="6" t="n">
        <x:f>J2299*K2299</x:f>
        <x:v>1</x:v>
      </x:c>
    </x:row>
    <x:row r="2300">
      <x:c r="A2300" s="1" t="n">
        <x:v>17774</x:v>
      </x:c>
      <x:c r="B2300" s="5" t="d">
        <x:v>2015-09-17T00:00:00.000Z</x:v>
      </x:c>
      <x:c r="C2300" s="1" t="str">
        <x:v>Second Class</x:v>
      </x:c>
      <x:c r="D2300" s="1" t="str">
        <x:v>Europe</x:v>
      </x:c>
      <x:c r="E2300" s="1" t="str">
        <x:v>PROCESSING</x:v>
      </x:c>
      <x:c r="F2300" s="1" t="str">
        <x:v>Late delivery</x:v>
      </x:c>
      <x:c r="G2300" s="6" t="n">
        <x:v>5</x:v>
      </x:c>
      <x:c r="H2300" s="6" t="n">
        <x:v>2</x:v>
      </x:c>
      <x:c r="I2300" s="6" t="n">
        <x:f>G2300-H2300</x:f>
        <x:v>3</x:v>
      </x:c>
      <x:c r="J2300" s="6" t="n">
        <x:f>IF(OR(E2300="CANCELED",E2300="SUSPECTED_FRAUD",F2300="Shipping canceled"),0,1)</x:f>
        <x:v>1</x:v>
      </x:c>
      <x:c r="K2300" s="6" t="n">
        <x:f>IF(G2300&gt;H2300,1,0)</x:f>
        <x:v>1</x:v>
      </x:c>
      <x:c r="L2300" s="6" t="n">
        <x:f>J2300*K2300</x:f>
        <x:v>1</x:v>
      </x:c>
    </x:row>
    <x:row r="2301">
      <x:c r="A2301" s="1" t="n">
        <x:v>17791</x:v>
      </x:c>
      <x:c r="B2301" s="5" t="d">
        <x:v>2015-09-17T00:00:00.000Z</x:v>
      </x:c>
      <x:c r="C2301" s="1" t="str">
        <x:v>Second Class</x:v>
      </x:c>
      <x:c r="D2301" s="1" t="str">
        <x:v>Europe</x:v>
      </x:c>
      <x:c r="E2301" s="1" t="str">
        <x:v>SUSPECTED_FRAUD</x:v>
      </x:c>
      <x:c r="F2301" s="1" t="str">
        <x:v>Shipping canceled</x:v>
      </x:c>
      <x:c r="G2301" s="6" t="n">
        <x:v>2</x:v>
      </x:c>
      <x:c r="H2301" s="6" t="n">
        <x:v>2</x:v>
      </x:c>
      <x:c r="I2301" s="6" t="n">
        <x:f>G2301-H2301</x:f>
        <x:v>0</x:v>
      </x:c>
      <x:c r="J2301" s="6" t="n">
        <x:f>IF(OR(E2301="CANCELED",E2301="SUSPECTED_FRAUD",F2301="Shipping canceled"),0,1)</x:f>
        <x:v>0</x:v>
      </x:c>
      <x:c r="K2301" s="6" t="n">
        <x:f>IF(G2301&gt;H2301,1,0)</x:f>
        <x:v>0</x:v>
      </x:c>
      <x:c r="L2301" s="6" t="n">
        <x:f>J2301*K2301</x:f>
        <x:v>0</x:v>
      </x:c>
    </x:row>
    <x:row r="2302">
      <x:c r="A2302" s="1" t="n">
        <x:v>17794</x:v>
      </x:c>
      <x:c r="B2302" s="5" t="d">
        <x:v>2015-09-17T00:00:00.000Z</x:v>
      </x:c>
      <x:c r="C2302" s="1" t="str">
        <x:v>Standard Class</x:v>
      </x:c>
      <x:c r="D2302" s="1" t="str">
        <x:v>Europe</x:v>
      </x:c>
      <x:c r="E2302" s="1" t="str">
        <x:v>COMPLETE</x:v>
      </x:c>
      <x:c r="F2302" s="1" t="str">
        <x:v>Late delivery</x:v>
      </x:c>
      <x:c r="G2302" s="6" t="n">
        <x:v>5</x:v>
      </x:c>
      <x:c r="H2302" s="6" t="n">
        <x:v>4</x:v>
      </x:c>
      <x:c r="I2302" s="6" t="n">
        <x:f>G2302-H2302</x:f>
        <x:v>1</x:v>
      </x:c>
      <x:c r="J2302" s="6" t="n">
        <x:f>IF(OR(E2302="CANCELED",E2302="SUSPECTED_FRAUD",F2302="Shipping canceled"),0,1)</x:f>
        <x:v>1</x:v>
      </x:c>
      <x:c r="K2302" s="6" t="n">
        <x:f>IF(G2302&gt;H2302,1,0)</x:f>
        <x:v>1</x:v>
      </x:c>
      <x:c r="L2302" s="6" t="n">
        <x:f>J2302*K2302</x:f>
        <x:v>1</x:v>
      </x:c>
    </x:row>
    <x:row r="2303">
      <x:c r="A2303" s="1" t="n">
        <x:v>17804</x:v>
      </x:c>
      <x:c r="B2303" s="5" t="d">
        <x:v>2015-09-17T00:00:00.000Z</x:v>
      </x:c>
      <x:c r="C2303" s="1" t="str">
        <x:v>First Class</x:v>
      </x:c>
      <x:c r="D2303" s="1" t="str">
        <x:v>Europe</x:v>
      </x:c>
      <x:c r="E2303" s="1" t="str">
        <x:v>SUSPECTED_FRAUD</x:v>
      </x:c>
      <x:c r="F2303" s="1" t="str">
        <x:v>Shipping canceled</x:v>
      </x:c>
      <x:c r="G2303" s="6" t="n">
        <x:v>2</x:v>
      </x:c>
      <x:c r="H2303" s="6" t="n">
        <x:v>1</x:v>
      </x:c>
      <x:c r="I2303" s="6" t="n">
        <x:f>G2303-H2303</x:f>
        <x:v>1</x:v>
      </x:c>
      <x:c r="J2303" s="6" t="n">
        <x:f>IF(OR(E2303="CANCELED",E2303="SUSPECTED_FRAUD",F2303="Shipping canceled"),0,1)</x:f>
        <x:v>0</x:v>
      </x:c>
      <x:c r="K2303" s="6" t="n">
        <x:f>IF(G2303&gt;H2303,1,0)</x:f>
        <x:v>1</x:v>
      </x:c>
      <x:c r="L2303" s="6" t="n">
        <x:f>J2303*K2303</x:f>
        <x:v>0</x:v>
      </x:c>
    </x:row>
    <x:row r="2304">
      <x:c r="A2304" s="1" t="n">
        <x:v>17810</x:v>
      </x:c>
      <x:c r="B2304" s="5" t="d">
        <x:v>2015-09-17T00:00:00.000Z</x:v>
      </x:c>
      <x:c r="C2304" s="1" t="str">
        <x:v>Second Class</x:v>
      </x:c>
      <x:c r="D2304" s="1" t="str">
        <x:v>Europe</x:v>
      </x:c>
      <x:c r="E2304" s="1" t="str">
        <x:v>COMPLETE</x:v>
      </x:c>
      <x:c r="F2304" s="1" t="str">
        <x:v>Late delivery</x:v>
      </x:c>
      <x:c r="G2304" s="6" t="n">
        <x:v>6</x:v>
      </x:c>
      <x:c r="H2304" s="6" t="n">
        <x:v>2</x:v>
      </x:c>
      <x:c r="I2304" s="6" t="n">
        <x:f>G2304-H2304</x:f>
        <x:v>4</x:v>
      </x:c>
      <x:c r="J2304" s="6" t="n">
        <x:f>IF(OR(E2304="CANCELED",E2304="SUSPECTED_FRAUD",F2304="Shipping canceled"),0,1)</x:f>
        <x:v>1</x:v>
      </x:c>
      <x:c r="K2304" s="6" t="n">
        <x:f>IF(G2304&gt;H2304,1,0)</x:f>
        <x:v>1</x:v>
      </x:c>
      <x:c r="L2304" s="6" t="n">
        <x:f>J2304*K2304</x:f>
        <x:v>1</x:v>
      </x:c>
    </x:row>
    <x:row r="2305">
      <x:c r="A2305" s="1" t="n">
        <x:v>17814</x:v>
      </x:c>
      <x:c r="B2305" s="5" t="d">
        <x:v>2015-09-18T00:00:00.000Z</x:v>
      </x:c>
      <x:c r="C2305" s="1" t="str">
        <x:v>Standard Class</x:v>
      </x:c>
      <x:c r="D2305" s="1" t="str">
        <x:v>Europe</x:v>
      </x:c>
      <x:c r="E2305" s="1" t="str">
        <x:v>PROCESSING</x:v>
      </x:c>
      <x:c r="F2305" s="1" t="str">
        <x:v>Late delivery</x:v>
      </x:c>
      <x:c r="G2305" s="6" t="n">
        <x:v>5</x:v>
      </x:c>
      <x:c r="H2305" s="6" t="n">
        <x:v>4</x:v>
      </x:c>
      <x:c r="I2305" s="6" t="n">
        <x:f>G2305-H2305</x:f>
        <x:v>1</x:v>
      </x:c>
      <x:c r="J2305" s="6" t="n">
        <x:f>IF(OR(E2305="CANCELED",E2305="SUSPECTED_FRAUD",F2305="Shipping canceled"),0,1)</x:f>
        <x:v>1</x:v>
      </x:c>
      <x:c r="K2305" s="6" t="n">
        <x:f>IF(G2305&gt;H2305,1,0)</x:f>
        <x:v>1</x:v>
      </x:c>
      <x:c r="L2305" s="6" t="n">
        <x:f>J2305*K2305</x:f>
        <x:v>1</x:v>
      </x:c>
    </x:row>
    <x:row r="2306">
      <x:c r="A2306" s="1" t="n">
        <x:v>17829</x:v>
      </x:c>
      <x:c r="B2306" s="5" t="d">
        <x:v>2015-09-18T00:00:00.000Z</x:v>
      </x:c>
      <x:c r="C2306" s="1" t="str">
        <x:v>Standard Class</x:v>
      </x:c>
      <x:c r="D2306" s="1" t="str">
        <x:v>Europe</x:v>
      </x:c>
      <x:c r="E2306" s="1" t="str">
        <x:v>PENDING_PAYMENT</x:v>
      </x:c>
      <x:c r="F2306" s="1" t="str">
        <x:v>Late delivery</x:v>
      </x:c>
      <x:c r="G2306" s="6" t="n">
        <x:v>5</x:v>
      </x:c>
      <x:c r="H2306" s="6" t="n">
        <x:v>4</x:v>
      </x:c>
      <x:c r="I2306" s="6" t="n">
        <x:f>G2306-H2306</x:f>
        <x:v>1</x:v>
      </x:c>
      <x:c r="J2306" s="6" t="n">
        <x:f>IF(OR(E2306="CANCELED",E2306="SUSPECTED_FRAUD",F2306="Shipping canceled"),0,1)</x:f>
        <x:v>1</x:v>
      </x:c>
      <x:c r="K2306" s="6" t="n">
        <x:f>IF(G2306&gt;H2306,1,0)</x:f>
        <x:v>1</x:v>
      </x:c>
      <x:c r="L2306" s="6" t="n">
        <x:f>J2306*K2306</x:f>
        <x:v>1</x:v>
      </x:c>
    </x:row>
    <x:row r="2307">
      <x:c r="A2307" s="1" t="n">
        <x:v>17834</x:v>
      </x:c>
      <x:c r="B2307" s="5" t="d">
        <x:v>2015-09-18T00:00:00.000Z</x:v>
      </x:c>
      <x:c r="C2307" s="1" t="str">
        <x:v>Standard Class</x:v>
      </x:c>
      <x:c r="D2307" s="1" t="str">
        <x:v>Europe</x:v>
      </x:c>
      <x:c r="E2307" s="1" t="str">
        <x:v>COMPLETE</x:v>
      </x:c>
      <x:c r="F2307" s="1" t="str">
        <x:v>Late delivery</x:v>
      </x:c>
      <x:c r="G2307" s="6" t="n">
        <x:v>5</x:v>
      </x:c>
      <x:c r="H2307" s="6" t="n">
        <x:v>4</x:v>
      </x:c>
      <x:c r="I2307" s="6" t="n">
        <x:f>G2307-H2307</x:f>
        <x:v>1</x:v>
      </x:c>
      <x:c r="J2307" s="6" t="n">
        <x:f>IF(OR(E2307="CANCELED",E2307="SUSPECTED_FRAUD",F2307="Shipping canceled"),0,1)</x:f>
        <x:v>1</x:v>
      </x:c>
      <x:c r="K2307" s="6" t="n">
        <x:f>IF(G2307&gt;H2307,1,0)</x:f>
        <x:v>1</x:v>
      </x:c>
      <x:c r="L2307" s="6" t="n">
        <x:f>J2307*K2307</x:f>
        <x:v>1</x:v>
      </x:c>
    </x:row>
    <x:row r="2308">
      <x:c r="A2308" s="1" t="n">
        <x:v>17835</x:v>
      </x:c>
      <x:c r="B2308" s="5" t="d">
        <x:v>2015-09-18T00:00:00.000Z</x:v>
      </x:c>
      <x:c r="C2308" s="1" t="str">
        <x:v>Standard Class</x:v>
      </x:c>
      <x:c r="D2308" s="1" t="str">
        <x:v>Europe</x:v>
      </x:c>
      <x:c r="E2308" s="1" t="str">
        <x:v>ON_HOLD</x:v>
      </x:c>
      <x:c r="F2308" s="1" t="str">
        <x:v>Late delivery</x:v>
      </x:c>
      <x:c r="G2308" s="6" t="n">
        <x:v>6</x:v>
      </x:c>
      <x:c r="H2308" s="6" t="n">
        <x:v>4</x:v>
      </x:c>
      <x:c r="I2308" s="6" t="n">
        <x:f>G2308-H2308</x:f>
        <x:v>2</x:v>
      </x:c>
      <x:c r="J2308" s="6" t="n">
        <x:f>IF(OR(E2308="CANCELED",E2308="SUSPECTED_FRAUD",F2308="Shipping canceled"),0,1)</x:f>
        <x:v>1</x:v>
      </x:c>
      <x:c r="K2308" s="6" t="n">
        <x:f>IF(G2308&gt;H2308,1,0)</x:f>
        <x:v>1</x:v>
      </x:c>
      <x:c r="L2308" s="6" t="n">
        <x:f>J2308*K2308</x:f>
        <x:v>1</x:v>
      </x:c>
    </x:row>
    <x:row r="2309">
      <x:c r="A2309" s="1" t="n">
        <x:v>17862</x:v>
      </x:c>
      <x:c r="B2309" s="5" t="d">
        <x:v>2015-09-18T00:00:00.000Z</x:v>
      </x:c>
      <x:c r="C2309" s="1" t="str">
        <x:v>Standard Class</x:v>
      </x:c>
      <x:c r="D2309" s="1" t="str">
        <x:v>Europe</x:v>
      </x:c>
      <x:c r="E2309" s="1" t="str">
        <x:v>PENDING_PAYMENT</x:v>
      </x:c>
      <x:c r="F2309" s="1" t="str">
        <x:v>Advance shipping</x:v>
      </x:c>
      <x:c r="G2309" s="6" t="n">
        <x:v>3</x:v>
      </x:c>
      <x:c r="H2309" s="6" t="n">
        <x:v>4</x:v>
      </x:c>
      <x:c r="I2309" s="6" t="n">
        <x:f>G2309-H2309</x:f>
        <x:v>-1</x:v>
      </x:c>
      <x:c r="J2309" s="6" t="n">
        <x:f>IF(OR(E2309="CANCELED",E2309="SUSPECTED_FRAUD",F2309="Shipping canceled"),0,1)</x:f>
        <x:v>1</x:v>
      </x:c>
      <x:c r="K2309" s="6" t="n">
        <x:f>IF(G2309&gt;H2309,1,0)</x:f>
        <x:v>0</x:v>
      </x:c>
      <x:c r="L2309" s="6" t="n">
        <x:f>J2309*K2309</x:f>
        <x:v>0</x:v>
      </x:c>
    </x:row>
    <x:row r="2310">
      <x:c r="A2310" s="1" t="n">
        <x:v>17864</x:v>
      </x:c>
      <x:c r="B2310" s="5" t="d">
        <x:v>2015-09-18T00:00:00.000Z</x:v>
      </x:c>
      <x:c r="C2310" s="1" t="str">
        <x:v>Standard Class</x:v>
      </x:c>
      <x:c r="D2310" s="1" t="str">
        <x:v>Europe</x:v>
      </x:c>
      <x:c r="E2310" s="1" t="str">
        <x:v>PENDING</x:v>
      </x:c>
      <x:c r="F2310" s="1" t="str">
        <x:v>Late delivery</x:v>
      </x:c>
      <x:c r="G2310" s="6" t="n">
        <x:v>5</x:v>
      </x:c>
      <x:c r="H2310" s="6" t="n">
        <x:v>4</x:v>
      </x:c>
      <x:c r="I2310" s="6" t="n">
        <x:f>G2310-H2310</x:f>
        <x:v>1</x:v>
      </x:c>
      <x:c r="J2310" s="6" t="n">
        <x:f>IF(OR(E2310="CANCELED",E2310="SUSPECTED_FRAUD",F2310="Shipping canceled"),0,1)</x:f>
        <x:v>1</x:v>
      </x:c>
      <x:c r="K2310" s="6" t="n">
        <x:f>IF(G2310&gt;H2310,1,0)</x:f>
        <x:v>1</x:v>
      </x:c>
      <x:c r="L2310" s="6" t="n">
        <x:f>J2310*K2310</x:f>
        <x:v>1</x:v>
      </x:c>
    </x:row>
    <x:row r="2311">
      <x:c r="A2311" s="1" t="n">
        <x:v>17869</x:v>
      </x:c>
      <x:c r="B2311" s="5" t="d">
        <x:v>2015-09-18T00:00:00.000Z</x:v>
      </x:c>
      <x:c r="C2311" s="1" t="str">
        <x:v>Standard Class</x:v>
      </x:c>
      <x:c r="D2311" s="1" t="str">
        <x:v>Europe</x:v>
      </x:c>
      <x:c r="E2311" s="1" t="str">
        <x:v>COMPLETE</x:v>
      </x:c>
      <x:c r="F2311" s="1" t="str">
        <x:v>Late delivery</x:v>
      </x:c>
      <x:c r="G2311" s="6" t="n">
        <x:v>5</x:v>
      </x:c>
      <x:c r="H2311" s="6" t="n">
        <x:v>4</x:v>
      </x:c>
      <x:c r="I2311" s="6" t="n">
        <x:f>G2311-H2311</x:f>
        <x:v>1</x:v>
      </x:c>
      <x:c r="J2311" s="6" t="n">
        <x:f>IF(OR(E2311="CANCELED",E2311="SUSPECTED_FRAUD",F2311="Shipping canceled"),0,1)</x:f>
        <x:v>1</x:v>
      </x:c>
      <x:c r="K2311" s="6" t="n">
        <x:f>IF(G2311&gt;H2311,1,0)</x:f>
        <x:v>1</x:v>
      </x:c>
      <x:c r="L2311" s="6" t="n">
        <x:f>J2311*K2311</x:f>
        <x:v>1</x:v>
      </x:c>
    </x:row>
    <x:row r="2312">
      <x:c r="A2312" s="1" t="n">
        <x:v>17877</x:v>
      </x:c>
      <x:c r="B2312" s="5" t="d">
        <x:v>2015-09-18T00:00:00.000Z</x:v>
      </x:c>
      <x:c r="C2312" s="1" t="str">
        <x:v>Second Class</x:v>
      </x:c>
      <x:c r="D2312" s="1" t="str">
        <x:v>Europe</x:v>
      </x:c>
      <x:c r="E2312" s="1" t="str">
        <x:v>COMPLETE</x:v>
      </x:c>
      <x:c r="F2312" s="1" t="str">
        <x:v>Late delivery</x:v>
      </x:c>
      <x:c r="G2312" s="6" t="n">
        <x:v>3</x:v>
      </x:c>
      <x:c r="H2312" s="6" t="n">
        <x:v>2</x:v>
      </x:c>
      <x:c r="I2312" s="6" t="n">
        <x:f>G2312-H2312</x:f>
        <x:v>1</x:v>
      </x:c>
      <x:c r="J2312" s="6" t="n">
        <x:f>IF(OR(E2312="CANCELED",E2312="SUSPECTED_FRAUD",F2312="Shipping canceled"),0,1)</x:f>
        <x:v>1</x:v>
      </x:c>
      <x:c r="K2312" s="6" t="n">
        <x:f>IF(G2312&gt;H2312,1,0)</x:f>
        <x:v>1</x:v>
      </x:c>
      <x:c r="L2312" s="6" t="n">
        <x:f>J2312*K2312</x:f>
        <x:v>1</x:v>
      </x:c>
    </x:row>
    <x:row r="2313">
      <x:c r="A2313" s="1" t="n">
        <x:v>17878</x:v>
      </x:c>
      <x:c r="B2313" s="5" t="d">
        <x:v>2015-09-18T00:00:00.000Z</x:v>
      </x:c>
      <x:c r="C2313" s="1" t="str">
        <x:v>Second Class</x:v>
      </x:c>
      <x:c r="D2313" s="1" t="str">
        <x:v>Europe</x:v>
      </x:c>
      <x:c r="E2313" s="1" t="str">
        <x:v>COMPLETE</x:v>
      </x:c>
      <x:c r="F2313" s="1" t="str">
        <x:v>Late delivery</x:v>
      </x:c>
      <x:c r="G2313" s="6" t="n">
        <x:v>4</x:v>
      </x:c>
      <x:c r="H2313" s="6" t="n">
        <x:v>2</x:v>
      </x:c>
      <x:c r="I2313" s="6" t="n">
        <x:f>G2313-H2313</x:f>
        <x:v>2</x:v>
      </x:c>
      <x:c r="J2313" s="6" t="n">
        <x:f>IF(OR(E2313="CANCELED",E2313="SUSPECTED_FRAUD",F2313="Shipping canceled"),0,1)</x:f>
        <x:v>1</x:v>
      </x:c>
      <x:c r="K2313" s="6" t="n">
        <x:f>IF(G2313&gt;H2313,1,0)</x:f>
        <x:v>1</x:v>
      </x:c>
      <x:c r="L2313" s="6" t="n">
        <x:f>J2313*K2313</x:f>
        <x:v>1</x:v>
      </x:c>
    </x:row>
    <x:row r="2314">
      <x:c r="A2314" s="1" t="n">
        <x:v>17883</x:v>
      </x:c>
      <x:c r="B2314" s="5" t="d">
        <x:v>2015-09-19T00:00:00.000Z</x:v>
      </x:c>
      <x:c r="C2314" s="1" t="str">
        <x:v>Second Class</x:v>
      </x:c>
      <x:c r="D2314" s="1" t="str">
        <x:v>Europe</x:v>
      </x:c>
      <x:c r="E2314" s="1" t="str">
        <x:v>CLOSED</x:v>
      </x:c>
      <x:c r="F2314" s="1" t="str">
        <x:v>Late delivery</x:v>
      </x:c>
      <x:c r="G2314" s="6" t="n">
        <x:v>4</x:v>
      </x:c>
      <x:c r="H2314" s="6" t="n">
        <x:v>2</x:v>
      </x:c>
      <x:c r="I2314" s="6" t="n">
        <x:f>G2314-H2314</x:f>
        <x:v>2</x:v>
      </x:c>
      <x:c r="J2314" s="6" t="n">
        <x:f>IF(OR(E2314="CANCELED",E2314="SUSPECTED_FRAUD",F2314="Shipping canceled"),0,1)</x:f>
        <x:v>1</x:v>
      </x:c>
      <x:c r="K2314" s="6" t="n">
        <x:f>IF(G2314&gt;H2314,1,0)</x:f>
        <x:v>1</x:v>
      </x:c>
      <x:c r="L2314" s="6" t="n">
        <x:f>J2314*K2314</x:f>
        <x:v>1</x:v>
      </x:c>
    </x:row>
    <x:row r="2315">
      <x:c r="A2315" s="1" t="n">
        <x:v>17889</x:v>
      </x:c>
      <x:c r="B2315" s="5" t="d">
        <x:v>2015-09-19T00:00:00.000Z</x:v>
      </x:c>
      <x:c r="C2315" s="1" t="str">
        <x:v>Standard Class</x:v>
      </x:c>
      <x:c r="D2315" s="1" t="str">
        <x:v>Europe</x:v>
      </x:c>
      <x:c r="E2315" s="1" t="str">
        <x:v>PENDING_PAYMENT</x:v>
      </x:c>
      <x:c r="F2315" s="1" t="str">
        <x:v>Late delivery</x:v>
      </x:c>
      <x:c r="G2315" s="6" t="n">
        <x:v>5</x:v>
      </x:c>
      <x:c r="H2315" s="6" t="n">
        <x:v>4</x:v>
      </x:c>
      <x:c r="I2315" s="6" t="n">
        <x:f>G2315-H2315</x:f>
        <x:v>1</x:v>
      </x:c>
      <x:c r="J2315" s="6" t="n">
        <x:f>IF(OR(E2315="CANCELED",E2315="SUSPECTED_FRAUD",F2315="Shipping canceled"),0,1)</x:f>
        <x:v>1</x:v>
      </x:c>
      <x:c r="K2315" s="6" t="n">
        <x:f>IF(G2315&gt;H2315,1,0)</x:f>
        <x:v>1</x:v>
      </x:c>
      <x:c r="L2315" s="6" t="n">
        <x:f>J2315*K2315</x:f>
        <x:v>1</x:v>
      </x:c>
    </x:row>
    <x:row r="2316">
      <x:c r="A2316" s="1" t="n">
        <x:v>17895</x:v>
      </x:c>
      <x:c r="B2316" s="5" t="d">
        <x:v>2015-09-19T00:00:00.000Z</x:v>
      </x:c>
      <x:c r="C2316" s="1" t="str">
        <x:v>Standard Class</x:v>
      </x:c>
      <x:c r="D2316" s="1" t="str">
        <x:v>Europe</x:v>
      </x:c>
      <x:c r="E2316" s="1" t="str">
        <x:v>COMPLETE</x:v>
      </x:c>
      <x:c r="F2316" s="1" t="str">
        <x:v>Late delivery</x:v>
      </x:c>
      <x:c r="G2316" s="6" t="n">
        <x:v>6</x:v>
      </x:c>
      <x:c r="H2316" s="6" t="n">
        <x:v>4</x:v>
      </x:c>
      <x:c r="I2316" s="6" t="n">
        <x:f>G2316-H2316</x:f>
        <x:v>2</x:v>
      </x:c>
      <x:c r="J2316" s="6" t="n">
        <x:f>IF(OR(E2316="CANCELED",E2316="SUSPECTED_FRAUD",F2316="Shipping canceled"),0,1)</x:f>
        <x:v>1</x:v>
      </x:c>
      <x:c r="K2316" s="6" t="n">
        <x:f>IF(G2316&gt;H2316,1,0)</x:f>
        <x:v>1</x:v>
      </x:c>
      <x:c r="L2316" s="6" t="n">
        <x:f>J2316*K2316</x:f>
        <x:v>1</x:v>
      </x:c>
    </x:row>
    <x:row r="2317">
      <x:c r="A2317" s="1" t="n">
        <x:v>17896</x:v>
      </x:c>
      <x:c r="B2317" s="5" t="d">
        <x:v>2015-09-19T00:00:00.000Z</x:v>
      </x:c>
      <x:c r="C2317" s="1" t="str">
        <x:v>Standard Class</x:v>
      </x:c>
      <x:c r="D2317" s="1" t="str">
        <x:v>Europe</x:v>
      </x:c>
      <x:c r="E2317" s="1" t="str">
        <x:v>COMPLETE</x:v>
      </x:c>
      <x:c r="F2317" s="1" t="str">
        <x:v>Advance shipping</x:v>
      </x:c>
      <x:c r="G2317" s="6" t="n">
        <x:v>2</x:v>
      </x:c>
      <x:c r="H2317" s="6" t="n">
        <x:v>4</x:v>
      </x:c>
      <x:c r="I2317" s="6" t="n">
        <x:f>G2317-H2317</x:f>
        <x:v>-2</x:v>
      </x:c>
      <x:c r="J2317" s="6" t="n">
        <x:f>IF(OR(E2317="CANCELED",E2317="SUSPECTED_FRAUD",F2317="Shipping canceled"),0,1)</x:f>
        <x:v>1</x:v>
      </x:c>
      <x:c r="K2317" s="6" t="n">
        <x:f>IF(G2317&gt;H2317,1,0)</x:f>
        <x:v>0</x:v>
      </x:c>
      <x:c r="L2317" s="6" t="n">
        <x:f>J2317*K2317</x:f>
        <x:v>0</x:v>
      </x:c>
    </x:row>
    <x:row r="2318">
      <x:c r="A2318" s="1" t="n">
        <x:v>17906</x:v>
      </x:c>
      <x:c r="B2318" s="5" t="d">
        <x:v>2015-09-19T00:00:00.000Z</x:v>
      </x:c>
      <x:c r="C2318" s="1" t="str">
        <x:v>Standard Class</x:v>
      </x:c>
      <x:c r="D2318" s="1" t="str">
        <x:v>Europe</x:v>
      </x:c>
      <x:c r="E2318" s="1" t="str">
        <x:v>PROCESSING</x:v>
      </x:c>
      <x:c r="F2318" s="1" t="str">
        <x:v>Advance shipping</x:v>
      </x:c>
      <x:c r="G2318" s="6" t="n">
        <x:v>2</x:v>
      </x:c>
      <x:c r="H2318" s="6" t="n">
        <x:v>4</x:v>
      </x:c>
      <x:c r="I2318" s="6" t="n">
        <x:f>G2318-H2318</x:f>
        <x:v>-2</x:v>
      </x:c>
      <x:c r="J2318" s="6" t="n">
        <x:f>IF(OR(E2318="CANCELED",E2318="SUSPECTED_FRAUD",F2318="Shipping canceled"),0,1)</x:f>
        <x:v>1</x:v>
      </x:c>
      <x:c r="K2318" s="6" t="n">
        <x:f>IF(G2318&gt;H2318,1,0)</x:f>
        <x:v>0</x:v>
      </x:c>
      <x:c r="L2318" s="6" t="n">
        <x:f>J2318*K2318</x:f>
        <x:v>0</x:v>
      </x:c>
    </x:row>
    <x:row r="2319">
      <x:c r="A2319" s="1" t="n">
        <x:v>17907</x:v>
      </x:c>
      <x:c r="B2319" s="5" t="d">
        <x:v>2015-09-19T00:00:00.000Z</x:v>
      </x:c>
      <x:c r="C2319" s="1" t="str">
        <x:v>Standard Class</x:v>
      </x:c>
      <x:c r="D2319" s="1" t="str">
        <x:v>Europe</x:v>
      </x:c>
      <x:c r="E2319" s="1" t="str">
        <x:v>COMPLETE</x:v>
      </x:c>
      <x:c r="F2319" s="1" t="str">
        <x:v>Advance shipping</x:v>
      </x:c>
      <x:c r="G2319" s="6" t="n">
        <x:v>3</x:v>
      </x:c>
      <x:c r="H2319" s="6" t="n">
        <x:v>4</x:v>
      </x:c>
      <x:c r="I2319" s="6" t="n">
        <x:f>G2319-H2319</x:f>
        <x:v>-1</x:v>
      </x:c>
      <x:c r="J2319" s="6" t="n">
        <x:f>IF(OR(E2319="CANCELED",E2319="SUSPECTED_FRAUD",F2319="Shipping canceled"),0,1)</x:f>
        <x:v>1</x:v>
      </x:c>
      <x:c r="K2319" s="6" t="n">
        <x:f>IF(G2319&gt;H2319,1,0)</x:f>
        <x:v>0</x:v>
      </x:c>
      <x:c r="L2319" s="6" t="n">
        <x:f>J2319*K2319</x:f>
        <x:v>0</x:v>
      </x:c>
    </x:row>
    <x:row r="2320">
      <x:c r="A2320" s="1" t="n">
        <x:v>17909</x:v>
      </x:c>
      <x:c r="B2320" s="5" t="d">
        <x:v>2015-09-19T00:00:00.000Z</x:v>
      </x:c>
      <x:c r="C2320" s="1" t="str">
        <x:v>Second Class</x:v>
      </x:c>
      <x:c r="D2320" s="1" t="str">
        <x:v>Europe</x:v>
      </x:c>
      <x:c r="E2320" s="1" t="str">
        <x:v>COMPLETE</x:v>
      </x:c>
      <x:c r="F2320" s="1" t="str">
        <x:v>Late delivery</x:v>
      </x:c>
      <x:c r="G2320" s="6" t="n">
        <x:v>5</x:v>
      </x:c>
      <x:c r="H2320" s="6" t="n">
        <x:v>2</x:v>
      </x:c>
      <x:c r="I2320" s="6" t="n">
        <x:f>G2320-H2320</x:f>
        <x:v>3</x:v>
      </x:c>
      <x:c r="J2320" s="6" t="n">
        <x:f>IF(OR(E2320="CANCELED",E2320="SUSPECTED_FRAUD",F2320="Shipping canceled"),0,1)</x:f>
        <x:v>1</x:v>
      </x:c>
      <x:c r="K2320" s="6" t="n">
        <x:f>IF(G2320&gt;H2320,1,0)</x:f>
        <x:v>1</x:v>
      </x:c>
      <x:c r="L2320" s="6" t="n">
        <x:f>J2320*K2320</x:f>
        <x:v>1</x:v>
      </x:c>
    </x:row>
    <x:row r="2321">
      <x:c r="A2321" s="1" t="n">
        <x:v>17914</x:v>
      </x:c>
      <x:c r="B2321" s="5" t="d">
        <x:v>2015-09-19T00:00:00.000Z</x:v>
      </x:c>
      <x:c r="C2321" s="1" t="str">
        <x:v>Standard Class</x:v>
      </x:c>
      <x:c r="D2321" s="1" t="str">
        <x:v>Europe</x:v>
      </x:c>
      <x:c r="E2321" s="1" t="str">
        <x:v>COMPLETE</x:v>
      </x:c>
      <x:c r="F2321" s="1" t="str">
        <x:v>Late delivery</x:v>
      </x:c>
      <x:c r="G2321" s="6" t="n">
        <x:v>5</x:v>
      </x:c>
      <x:c r="H2321" s="6" t="n">
        <x:v>4</x:v>
      </x:c>
      <x:c r="I2321" s="6" t="n">
        <x:f>G2321-H2321</x:f>
        <x:v>1</x:v>
      </x:c>
      <x:c r="J2321" s="6" t="n">
        <x:f>IF(OR(E2321="CANCELED",E2321="SUSPECTED_FRAUD",F2321="Shipping canceled"),0,1)</x:f>
        <x:v>1</x:v>
      </x:c>
      <x:c r="K2321" s="6" t="n">
        <x:f>IF(G2321&gt;H2321,1,0)</x:f>
        <x:v>1</x:v>
      </x:c>
      <x:c r="L2321" s="6" t="n">
        <x:f>J2321*K2321</x:f>
        <x:v>1</x:v>
      </x:c>
    </x:row>
    <x:row r="2322">
      <x:c r="A2322" s="1" t="n">
        <x:v>17927</x:v>
      </x:c>
      <x:c r="B2322" s="5" t="d">
        <x:v>2015-09-19T00:00:00.000Z</x:v>
      </x:c>
      <x:c r="C2322" s="1" t="str">
        <x:v>Standard Class</x:v>
      </x:c>
      <x:c r="D2322" s="1" t="str">
        <x:v>Europe</x:v>
      </x:c>
      <x:c r="E2322" s="1" t="str">
        <x:v>COMPLETE</x:v>
      </x:c>
      <x:c r="F2322" s="1" t="str">
        <x:v>Advance shipping</x:v>
      </x:c>
      <x:c r="G2322" s="6" t="n">
        <x:v>3</x:v>
      </x:c>
      <x:c r="H2322" s="6" t="n">
        <x:v>4</x:v>
      </x:c>
      <x:c r="I2322" s="6" t="n">
        <x:f>G2322-H2322</x:f>
        <x:v>-1</x:v>
      </x:c>
      <x:c r="J2322" s="6" t="n">
        <x:f>IF(OR(E2322="CANCELED",E2322="SUSPECTED_FRAUD",F2322="Shipping canceled"),0,1)</x:f>
        <x:v>1</x:v>
      </x:c>
      <x:c r="K2322" s="6" t="n">
        <x:f>IF(G2322&gt;H2322,1,0)</x:f>
        <x:v>0</x:v>
      </x:c>
      <x:c r="L2322" s="6" t="n">
        <x:f>J2322*K2322</x:f>
        <x:v>0</x:v>
      </x:c>
    </x:row>
    <x:row r="2323">
      <x:c r="A2323" s="1" t="n">
        <x:v>17930</x:v>
      </x:c>
      <x:c r="B2323" s="5" t="d">
        <x:v>2015-09-19T00:00:00.000Z</x:v>
      </x:c>
      <x:c r="C2323" s="1" t="str">
        <x:v>Standard Class</x:v>
      </x:c>
      <x:c r="D2323" s="1" t="str">
        <x:v>Europe</x:v>
      </x:c>
      <x:c r="E2323" s="1" t="str">
        <x:v>COMPLETE</x:v>
      </x:c>
      <x:c r="F2323" s="1" t="str">
        <x:v>Late delivery</x:v>
      </x:c>
      <x:c r="G2323" s="6" t="n">
        <x:v>6</x:v>
      </x:c>
      <x:c r="H2323" s="6" t="n">
        <x:v>4</x:v>
      </x:c>
      <x:c r="I2323" s="6" t="n">
        <x:f>G2323-H2323</x:f>
        <x:v>2</x:v>
      </x:c>
      <x:c r="J2323" s="6" t="n">
        <x:f>IF(OR(E2323="CANCELED",E2323="SUSPECTED_FRAUD",F2323="Shipping canceled"),0,1)</x:f>
        <x:v>1</x:v>
      </x:c>
      <x:c r="K2323" s="6" t="n">
        <x:f>IF(G2323&gt;H2323,1,0)</x:f>
        <x:v>1</x:v>
      </x:c>
      <x:c r="L2323" s="6" t="n">
        <x:f>J2323*K2323</x:f>
        <x:v>1</x:v>
      </x:c>
    </x:row>
    <x:row r="2324">
      <x:c r="A2324" s="1" t="n">
        <x:v>17949</x:v>
      </x:c>
      <x:c r="B2324" s="5" t="d">
        <x:v>2015-09-19T00:00:00.000Z</x:v>
      </x:c>
      <x:c r="C2324" s="1" t="str">
        <x:v>Standard Class</x:v>
      </x:c>
      <x:c r="D2324" s="1" t="str">
        <x:v>Europe</x:v>
      </x:c>
      <x:c r="E2324" s="1" t="str">
        <x:v>COMPLETE</x:v>
      </x:c>
      <x:c r="F2324" s="1" t="str">
        <x:v>Late delivery</x:v>
      </x:c>
      <x:c r="G2324" s="6" t="n">
        <x:v>5</x:v>
      </x:c>
      <x:c r="H2324" s="6" t="n">
        <x:v>4</x:v>
      </x:c>
      <x:c r="I2324" s="6" t="n">
        <x:f>G2324-H2324</x:f>
        <x:v>1</x:v>
      </x:c>
      <x:c r="J2324" s="6" t="n">
        <x:f>IF(OR(E2324="CANCELED",E2324="SUSPECTED_FRAUD",F2324="Shipping canceled"),0,1)</x:f>
        <x:v>1</x:v>
      </x:c>
      <x:c r="K2324" s="6" t="n">
        <x:f>IF(G2324&gt;H2324,1,0)</x:f>
        <x:v>1</x:v>
      </x:c>
      <x:c r="L2324" s="6" t="n">
        <x:f>J2324*K2324</x:f>
        <x:v>1</x:v>
      </x:c>
    </x:row>
    <x:row r="2325">
      <x:c r="A2325" s="1" t="n">
        <x:v>17952</x:v>
      </x:c>
      <x:c r="B2325" s="5" t="d">
        <x:v>2015-09-20T00:00:00.000Z</x:v>
      </x:c>
      <x:c r="C2325" s="1" t="str">
        <x:v>Standard Class</x:v>
      </x:c>
      <x:c r="D2325" s="1" t="str">
        <x:v>Europe</x:v>
      </x:c>
      <x:c r="E2325" s="1" t="str">
        <x:v>COMPLETE</x:v>
      </x:c>
      <x:c r="F2325" s="1" t="str">
        <x:v>Advance shipping</x:v>
      </x:c>
      <x:c r="G2325" s="6" t="n">
        <x:v>3</x:v>
      </x:c>
      <x:c r="H2325" s="6" t="n">
        <x:v>4</x:v>
      </x:c>
      <x:c r="I2325" s="6" t="n">
        <x:f>G2325-H2325</x:f>
        <x:v>-1</x:v>
      </x:c>
      <x:c r="J2325" s="6" t="n">
        <x:f>IF(OR(E2325="CANCELED",E2325="SUSPECTED_FRAUD",F2325="Shipping canceled"),0,1)</x:f>
        <x:v>1</x:v>
      </x:c>
      <x:c r="K2325" s="6" t="n">
        <x:f>IF(G2325&gt;H2325,1,0)</x:f>
        <x:v>0</x:v>
      </x:c>
      <x:c r="L2325" s="6" t="n">
        <x:f>J2325*K2325</x:f>
        <x:v>0</x:v>
      </x:c>
    </x:row>
    <x:row r="2326">
      <x:c r="A2326" s="1" t="n">
        <x:v>17962</x:v>
      </x:c>
      <x:c r="B2326" s="5" t="d">
        <x:v>2015-09-20T00:00:00.000Z</x:v>
      </x:c>
      <x:c r="C2326" s="1" t="str">
        <x:v>Standard Class</x:v>
      </x:c>
      <x:c r="D2326" s="1" t="str">
        <x:v>Europe</x:v>
      </x:c>
      <x:c r="E2326" s="1" t="str">
        <x:v>COMPLETE</x:v>
      </x:c>
      <x:c r="F2326" s="1" t="str">
        <x:v>Advance shipping</x:v>
      </x:c>
      <x:c r="G2326" s="6" t="n">
        <x:v>3</x:v>
      </x:c>
      <x:c r="H2326" s="6" t="n">
        <x:v>4</x:v>
      </x:c>
      <x:c r="I2326" s="6" t="n">
        <x:f>G2326-H2326</x:f>
        <x:v>-1</x:v>
      </x:c>
      <x:c r="J2326" s="6" t="n">
        <x:f>IF(OR(E2326="CANCELED",E2326="SUSPECTED_FRAUD",F2326="Shipping canceled"),0,1)</x:f>
        <x:v>1</x:v>
      </x:c>
      <x:c r="K2326" s="6" t="n">
        <x:f>IF(G2326&gt;H2326,1,0)</x:f>
        <x:v>0</x:v>
      </x:c>
      <x:c r="L2326" s="6" t="n">
        <x:f>J2326*K2326</x:f>
        <x:v>0</x:v>
      </x:c>
    </x:row>
    <x:row r="2327">
      <x:c r="A2327" s="1" t="n">
        <x:v>17973</x:v>
      </x:c>
      <x:c r="B2327" s="5" t="d">
        <x:v>2015-09-20T00:00:00.000Z</x:v>
      </x:c>
      <x:c r="C2327" s="1" t="str">
        <x:v>Standard Class</x:v>
      </x:c>
      <x:c r="D2327" s="1" t="str">
        <x:v>Europe</x:v>
      </x:c>
      <x:c r="E2327" s="1" t="str">
        <x:v>PENDING</x:v>
      </x:c>
      <x:c r="F2327" s="1" t="str">
        <x:v>Shipping on time</x:v>
      </x:c>
      <x:c r="G2327" s="6" t="n">
        <x:v>4</x:v>
      </x:c>
      <x:c r="H2327" s="6" t="n">
        <x:v>4</x:v>
      </x:c>
      <x:c r="I2327" s="6" t="n">
        <x:f>G2327-H2327</x:f>
        <x:v>0</x:v>
      </x:c>
      <x:c r="J2327" s="6" t="n">
        <x:f>IF(OR(E2327="CANCELED",E2327="SUSPECTED_FRAUD",F2327="Shipping canceled"),0,1)</x:f>
        <x:v>1</x:v>
      </x:c>
      <x:c r="K2327" s="6" t="n">
        <x:f>IF(G2327&gt;H2327,1,0)</x:f>
        <x:v>0</x:v>
      </x:c>
      <x:c r="L2327" s="6" t="n">
        <x:f>J2327*K2327</x:f>
        <x:v>0</x:v>
      </x:c>
    </x:row>
    <x:row r="2328">
      <x:c r="A2328" s="1" t="n">
        <x:v>17984</x:v>
      </x:c>
      <x:c r="B2328" s="5" t="d">
        <x:v>2015-09-20T00:00:00.000Z</x:v>
      </x:c>
      <x:c r="C2328" s="1" t="str">
        <x:v>Standard Class</x:v>
      </x:c>
      <x:c r="D2328" s="1" t="str">
        <x:v>Europe</x:v>
      </x:c>
      <x:c r="E2328" s="1" t="str">
        <x:v>PENDING</x:v>
      </x:c>
      <x:c r="F2328" s="1" t="str">
        <x:v>Late delivery</x:v>
      </x:c>
      <x:c r="G2328" s="6" t="n">
        <x:v>5</x:v>
      </x:c>
      <x:c r="H2328" s="6" t="n">
        <x:v>4</x:v>
      </x:c>
      <x:c r="I2328" s="6" t="n">
        <x:f>G2328-H2328</x:f>
        <x:v>1</x:v>
      </x:c>
      <x:c r="J2328" s="6" t="n">
        <x:f>IF(OR(E2328="CANCELED",E2328="SUSPECTED_FRAUD",F2328="Shipping canceled"),0,1)</x:f>
        <x:v>1</x:v>
      </x:c>
      <x:c r="K2328" s="6" t="n">
        <x:f>IF(G2328&gt;H2328,1,0)</x:f>
        <x:v>1</x:v>
      </x:c>
      <x:c r="L2328" s="6" t="n">
        <x:f>J2328*K2328</x:f>
        <x:v>1</x:v>
      </x:c>
    </x:row>
    <x:row r="2329">
      <x:c r="A2329" s="1" t="n">
        <x:v>17986</x:v>
      </x:c>
      <x:c r="B2329" s="5" t="d">
        <x:v>2015-09-20T00:00:00.000Z</x:v>
      </x:c>
      <x:c r="C2329" s="1" t="str">
        <x:v>Standard Class</x:v>
      </x:c>
      <x:c r="D2329" s="1" t="str">
        <x:v>Europe</x:v>
      </x:c>
      <x:c r="E2329" s="1" t="str">
        <x:v>ON_HOLD</x:v>
      </x:c>
      <x:c r="F2329" s="1" t="str">
        <x:v>Advance shipping</x:v>
      </x:c>
      <x:c r="G2329" s="6" t="n">
        <x:v>2</x:v>
      </x:c>
      <x:c r="H2329" s="6" t="n">
        <x:v>4</x:v>
      </x:c>
      <x:c r="I2329" s="6" t="n">
        <x:f>G2329-H2329</x:f>
        <x:v>-2</x:v>
      </x:c>
      <x:c r="J2329" s="6" t="n">
        <x:f>IF(OR(E2329="CANCELED",E2329="SUSPECTED_FRAUD",F2329="Shipping canceled"),0,1)</x:f>
        <x:v>1</x:v>
      </x:c>
      <x:c r="K2329" s="6" t="n">
        <x:f>IF(G2329&gt;H2329,1,0)</x:f>
        <x:v>0</x:v>
      </x:c>
      <x:c r="L2329" s="6" t="n">
        <x:f>J2329*K2329</x:f>
        <x:v>0</x:v>
      </x:c>
    </x:row>
    <x:row r="2330">
      <x:c r="A2330" s="1" t="n">
        <x:v>17988</x:v>
      </x:c>
      <x:c r="B2330" s="5" t="d">
        <x:v>2015-09-20T00:00:00.000Z</x:v>
      </x:c>
      <x:c r="C2330" s="1" t="str">
        <x:v>Standard Class</x:v>
      </x:c>
      <x:c r="D2330" s="1" t="str">
        <x:v>Europe</x:v>
      </x:c>
      <x:c r="E2330" s="1" t="str">
        <x:v>PROCESSING</x:v>
      </x:c>
      <x:c r="F2330" s="1" t="str">
        <x:v>Shipping on time</x:v>
      </x:c>
      <x:c r="G2330" s="6" t="n">
        <x:v>4</x:v>
      </x:c>
      <x:c r="H2330" s="6" t="n">
        <x:v>4</x:v>
      </x:c>
      <x:c r="I2330" s="6" t="n">
        <x:f>G2330-H2330</x:f>
        <x:v>0</x:v>
      </x:c>
      <x:c r="J2330" s="6" t="n">
        <x:f>IF(OR(E2330="CANCELED",E2330="SUSPECTED_FRAUD",F2330="Shipping canceled"),0,1)</x:f>
        <x:v>1</x:v>
      </x:c>
      <x:c r="K2330" s="6" t="n">
        <x:f>IF(G2330&gt;H2330,1,0)</x:f>
        <x:v>0</x:v>
      </x:c>
      <x:c r="L2330" s="6" t="n">
        <x:f>J2330*K2330</x:f>
        <x:v>0</x:v>
      </x:c>
    </x:row>
    <x:row r="2331">
      <x:c r="A2331" s="1" t="n">
        <x:v>17992</x:v>
      </x:c>
      <x:c r="B2331" s="5" t="d">
        <x:v>2015-09-20T00:00:00.000Z</x:v>
      </x:c>
      <x:c r="C2331" s="1" t="str">
        <x:v>Standard Class</x:v>
      </x:c>
      <x:c r="D2331" s="1" t="str">
        <x:v>Europe</x:v>
      </x:c>
      <x:c r="E2331" s="1" t="str">
        <x:v>COMPLETE</x:v>
      </x:c>
      <x:c r="F2331" s="1" t="str">
        <x:v>Advance shipping</x:v>
      </x:c>
      <x:c r="G2331" s="6" t="n">
        <x:v>3</x:v>
      </x:c>
      <x:c r="H2331" s="6" t="n">
        <x:v>4</x:v>
      </x:c>
      <x:c r="I2331" s="6" t="n">
        <x:f>G2331-H2331</x:f>
        <x:v>-1</x:v>
      </x:c>
      <x:c r="J2331" s="6" t="n">
        <x:f>IF(OR(E2331="CANCELED",E2331="SUSPECTED_FRAUD",F2331="Shipping canceled"),0,1)</x:f>
        <x:v>1</x:v>
      </x:c>
      <x:c r="K2331" s="6" t="n">
        <x:f>IF(G2331&gt;H2331,1,0)</x:f>
        <x:v>0</x:v>
      </x:c>
      <x:c r="L2331" s="6" t="n">
        <x:f>J2331*K2331</x:f>
        <x:v>0</x:v>
      </x:c>
    </x:row>
    <x:row r="2332">
      <x:c r="A2332" s="1" t="n">
        <x:v>17999</x:v>
      </x:c>
      <x:c r="B2332" s="5" t="d">
        <x:v>2015-09-20T00:00:00.000Z</x:v>
      </x:c>
      <x:c r="C2332" s="1" t="str">
        <x:v>Second Class</x:v>
      </x:c>
      <x:c r="D2332" s="1" t="str">
        <x:v>Europe</x:v>
      </x:c>
      <x:c r="E2332" s="1" t="str">
        <x:v>ON_HOLD</x:v>
      </x:c>
      <x:c r="F2332" s="1" t="str">
        <x:v>Late delivery</x:v>
      </x:c>
      <x:c r="G2332" s="6" t="n">
        <x:v>5</x:v>
      </x:c>
      <x:c r="H2332" s="6" t="n">
        <x:v>2</x:v>
      </x:c>
      <x:c r="I2332" s="6" t="n">
        <x:f>G2332-H2332</x:f>
        <x:v>3</x:v>
      </x:c>
      <x:c r="J2332" s="6" t="n">
        <x:f>IF(OR(E2332="CANCELED",E2332="SUSPECTED_FRAUD",F2332="Shipping canceled"),0,1)</x:f>
        <x:v>1</x:v>
      </x:c>
      <x:c r="K2332" s="6" t="n">
        <x:f>IF(G2332&gt;H2332,1,0)</x:f>
        <x:v>1</x:v>
      </x:c>
      <x:c r="L2332" s="6" t="n">
        <x:f>J2332*K2332</x:f>
        <x:v>1</x:v>
      </x:c>
    </x:row>
    <x:row r="2333">
      <x:c r="A2333" s="1" t="n">
        <x:v>18001</x:v>
      </x:c>
      <x:c r="B2333" s="5" t="d">
        <x:v>2015-09-20T00:00:00.000Z</x:v>
      </x:c>
      <x:c r="C2333" s="1" t="str">
        <x:v>Standard Class</x:v>
      </x:c>
      <x:c r="D2333" s="1" t="str">
        <x:v>Europe</x:v>
      </x:c>
      <x:c r="E2333" s="1" t="str">
        <x:v>PENDING</x:v>
      </x:c>
      <x:c r="F2333" s="1" t="str">
        <x:v>Advance shipping</x:v>
      </x:c>
      <x:c r="G2333" s="6" t="n">
        <x:v>2</x:v>
      </x:c>
      <x:c r="H2333" s="6" t="n">
        <x:v>4</x:v>
      </x:c>
      <x:c r="I2333" s="6" t="n">
        <x:f>G2333-H2333</x:f>
        <x:v>-2</x:v>
      </x:c>
      <x:c r="J2333" s="6" t="n">
        <x:f>IF(OR(E2333="CANCELED",E2333="SUSPECTED_FRAUD",F2333="Shipping canceled"),0,1)</x:f>
        <x:v>1</x:v>
      </x:c>
      <x:c r="K2333" s="6" t="n">
        <x:f>IF(G2333&gt;H2333,1,0)</x:f>
        <x:v>0</x:v>
      </x:c>
      <x:c r="L2333" s="6" t="n">
        <x:f>J2333*K2333</x:f>
        <x:v>0</x:v>
      </x:c>
    </x:row>
    <x:row r="2334">
      <x:c r="A2334" s="1" t="n">
        <x:v>18005</x:v>
      </x:c>
      <x:c r="B2334" s="5" t="d">
        <x:v>2015-09-20T00:00:00.000Z</x:v>
      </x:c>
      <x:c r="C2334" s="1" t="str">
        <x:v>Second Class</x:v>
      </x:c>
      <x:c r="D2334" s="1" t="str">
        <x:v>Europe</x:v>
      </x:c>
      <x:c r="E2334" s="1" t="str">
        <x:v>COMPLETE</x:v>
      </x:c>
      <x:c r="F2334" s="1" t="str">
        <x:v>Late delivery</x:v>
      </x:c>
      <x:c r="G2334" s="6" t="n">
        <x:v>6</x:v>
      </x:c>
      <x:c r="H2334" s="6" t="n">
        <x:v>2</x:v>
      </x:c>
      <x:c r="I2334" s="6" t="n">
        <x:f>G2334-H2334</x:f>
        <x:v>4</x:v>
      </x:c>
      <x:c r="J2334" s="6" t="n">
        <x:f>IF(OR(E2334="CANCELED",E2334="SUSPECTED_FRAUD",F2334="Shipping canceled"),0,1)</x:f>
        <x:v>1</x:v>
      </x:c>
      <x:c r="K2334" s="6" t="n">
        <x:f>IF(G2334&gt;H2334,1,0)</x:f>
        <x:v>1</x:v>
      </x:c>
      <x:c r="L2334" s="6" t="n">
        <x:f>J2334*K2334</x:f>
        <x:v>1</x:v>
      </x:c>
    </x:row>
    <x:row r="2335">
      <x:c r="A2335" s="1" t="n">
        <x:v>18009</x:v>
      </x:c>
      <x:c r="B2335" s="5" t="d">
        <x:v>2015-09-20T00:00:00.000Z</x:v>
      </x:c>
      <x:c r="C2335" s="1" t="str">
        <x:v>Second Class</x:v>
      </x:c>
      <x:c r="D2335" s="1" t="str">
        <x:v>Europe</x:v>
      </x:c>
      <x:c r="E2335" s="1" t="str">
        <x:v>COMPLETE</x:v>
      </x:c>
      <x:c r="F2335" s="1" t="str">
        <x:v>Late delivery</x:v>
      </x:c>
      <x:c r="G2335" s="6" t="n">
        <x:v>5</x:v>
      </x:c>
      <x:c r="H2335" s="6" t="n">
        <x:v>2</x:v>
      </x:c>
      <x:c r="I2335" s="6" t="n">
        <x:f>G2335-H2335</x:f>
        <x:v>3</x:v>
      </x:c>
      <x:c r="J2335" s="6" t="n">
        <x:f>IF(OR(E2335="CANCELED",E2335="SUSPECTED_FRAUD",F2335="Shipping canceled"),0,1)</x:f>
        <x:v>1</x:v>
      </x:c>
      <x:c r="K2335" s="6" t="n">
        <x:f>IF(G2335&gt;H2335,1,0)</x:f>
        <x:v>1</x:v>
      </x:c>
      <x:c r="L2335" s="6" t="n">
        <x:f>J2335*K2335</x:f>
        <x:v>1</x:v>
      </x:c>
    </x:row>
    <x:row r="2336">
      <x:c r="A2336" s="1" t="n">
        <x:v>18010</x:v>
      </x:c>
      <x:c r="B2336" s="5" t="d">
        <x:v>2015-09-20T00:00:00.000Z</x:v>
      </x:c>
      <x:c r="C2336" s="1" t="str">
        <x:v>Standard Class</x:v>
      </x:c>
      <x:c r="D2336" s="1" t="str">
        <x:v>Europe</x:v>
      </x:c>
      <x:c r="E2336" s="1" t="str">
        <x:v>COMPLETE</x:v>
      </x:c>
      <x:c r="F2336" s="1" t="str">
        <x:v>Late delivery</x:v>
      </x:c>
      <x:c r="G2336" s="6" t="n">
        <x:v>6</x:v>
      </x:c>
      <x:c r="H2336" s="6" t="n">
        <x:v>4</x:v>
      </x:c>
      <x:c r="I2336" s="6" t="n">
        <x:f>G2336-H2336</x:f>
        <x:v>2</x:v>
      </x:c>
      <x:c r="J2336" s="6" t="n">
        <x:f>IF(OR(E2336="CANCELED",E2336="SUSPECTED_FRAUD",F2336="Shipping canceled"),0,1)</x:f>
        <x:v>1</x:v>
      </x:c>
      <x:c r="K2336" s="6" t="n">
        <x:f>IF(G2336&gt;H2336,1,0)</x:f>
        <x:v>1</x:v>
      </x:c>
      <x:c r="L2336" s="6" t="n">
        <x:f>J2336*K2336</x:f>
        <x:v>1</x:v>
      </x:c>
    </x:row>
    <x:row r="2337">
      <x:c r="A2337" s="1" t="n">
        <x:v>18013</x:v>
      </x:c>
      <x:c r="B2337" s="5" t="d">
        <x:v>2015-09-20T00:00:00.000Z</x:v>
      </x:c>
      <x:c r="C2337" s="1" t="str">
        <x:v>Standard Class</x:v>
      </x:c>
      <x:c r="D2337" s="1" t="str">
        <x:v>Europe</x:v>
      </x:c>
      <x:c r="E2337" s="1" t="str">
        <x:v>COMPLETE</x:v>
      </x:c>
      <x:c r="F2337" s="1" t="str">
        <x:v>Shipping on time</x:v>
      </x:c>
      <x:c r="G2337" s="6" t="n">
        <x:v>4</x:v>
      </x:c>
      <x:c r="H2337" s="6" t="n">
        <x:v>4</x:v>
      </x:c>
      <x:c r="I2337" s="6" t="n">
        <x:f>G2337-H2337</x:f>
        <x:v>0</x:v>
      </x:c>
      <x:c r="J2337" s="6" t="n">
        <x:f>IF(OR(E2337="CANCELED",E2337="SUSPECTED_FRAUD",F2337="Shipping canceled"),0,1)</x:f>
        <x:v>1</x:v>
      </x:c>
      <x:c r="K2337" s="6" t="n">
        <x:f>IF(G2337&gt;H2337,1,0)</x:f>
        <x:v>0</x:v>
      </x:c>
      <x:c r="L2337" s="6" t="n">
        <x:f>J2337*K2337</x:f>
        <x:v>0</x:v>
      </x:c>
    </x:row>
    <x:row r="2338">
      <x:c r="A2338" s="1" t="n">
        <x:v>18016</x:v>
      </x:c>
      <x:c r="B2338" s="5" t="d">
        <x:v>2015-09-20T00:00:00.000Z</x:v>
      </x:c>
      <x:c r="C2338" s="1" t="str">
        <x:v>Standard Class</x:v>
      </x:c>
      <x:c r="D2338" s="1" t="str">
        <x:v>Europe</x:v>
      </x:c>
      <x:c r="E2338" s="1" t="str">
        <x:v>COMPLETE</x:v>
      </x:c>
      <x:c r="F2338" s="1" t="str">
        <x:v>Advance shipping</x:v>
      </x:c>
      <x:c r="G2338" s="6" t="n">
        <x:v>2</x:v>
      </x:c>
      <x:c r="H2338" s="6" t="n">
        <x:v>4</x:v>
      </x:c>
      <x:c r="I2338" s="6" t="n">
        <x:f>G2338-H2338</x:f>
        <x:v>-2</x:v>
      </x:c>
      <x:c r="J2338" s="6" t="n">
        <x:f>IF(OR(E2338="CANCELED",E2338="SUSPECTED_FRAUD",F2338="Shipping canceled"),0,1)</x:f>
        <x:v>1</x:v>
      </x:c>
      <x:c r="K2338" s="6" t="n">
        <x:f>IF(G2338&gt;H2338,1,0)</x:f>
        <x:v>0</x:v>
      </x:c>
      <x:c r="L2338" s="6" t="n">
        <x:f>J2338*K2338</x:f>
        <x:v>0</x:v>
      </x:c>
    </x:row>
    <x:row r="2339">
      <x:c r="A2339" s="1" t="n">
        <x:v>18019</x:v>
      </x:c>
      <x:c r="B2339" s="5" t="d">
        <x:v>2015-09-21T00:00:00.000Z</x:v>
      </x:c>
      <x:c r="C2339" s="1" t="str">
        <x:v>Standard Class</x:v>
      </x:c>
      <x:c r="D2339" s="1" t="str">
        <x:v>Europe</x:v>
      </x:c>
      <x:c r="E2339" s="1" t="str">
        <x:v>PROCESSING</x:v>
      </x:c>
      <x:c r="F2339" s="1" t="str">
        <x:v>Late delivery</x:v>
      </x:c>
      <x:c r="G2339" s="6" t="n">
        <x:v>5</x:v>
      </x:c>
      <x:c r="H2339" s="6" t="n">
        <x:v>4</x:v>
      </x:c>
      <x:c r="I2339" s="6" t="n">
        <x:f>G2339-H2339</x:f>
        <x:v>1</x:v>
      </x:c>
      <x:c r="J2339" s="6" t="n">
        <x:f>IF(OR(E2339="CANCELED",E2339="SUSPECTED_FRAUD",F2339="Shipping canceled"),0,1)</x:f>
        <x:v>1</x:v>
      </x:c>
      <x:c r="K2339" s="6" t="n">
        <x:f>IF(G2339&gt;H2339,1,0)</x:f>
        <x:v>1</x:v>
      </x:c>
      <x:c r="L2339" s="6" t="n">
        <x:f>J2339*K2339</x:f>
        <x:v>1</x:v>
      </x:c>
    </x:row>
    <x:row r="2340">
      <x:c r="A2340" s="1" t="n">
        <x:v>18022</x:v>
      </x:c>
      <x:c r="B2340" s="5" t="d">
        <x:v>2015-09-21T00:00:00.000Z</x:v>
      </x:c>
      <x:c r="C2340" s="1" t="str">
        <x:v>Standard Class</x:v>
      </x:c>
      <x:c r="D2340" s="1" t="str">
        <x:v>Europe</x:v>
      </x:c>
      <x:c r="E2340" s="1" t="str">
        <x:v>COMPLETE</x:v>
      </x:c>
      <x:c r="F2340" s="1" t="str">
        <x:v>Advance shipping</x:v>
      </x:c>
      <x:c r="G2340" s="6" t="n">
        <x:v>3</x:v>
      </x:c>
      <x:c r="H2340" s="6" t="n">
        <x:v>4</x:v>
      </x:c>
      <x:c r="I2340" s="6" t="n">
        <x:f>G2340-H2340</x:f>
        <x:v>-1</x:v>
      </x:c>
      <x:c r="J2340" s="6" t="n">
        <x:f>IF(OR(E2340="CANCELED",E2340="SUSPECTED_FRAUD",F2340="Shipping canceled"),0,1)</x:f>
        <x:v>1</x:v>
      </x:c>
      <x:c r="K2340" s="6" t="n">
        <x:f>IF(G2340&gt;H2340,1,0)</x:f>
        <x:v>0</x:v>
      </x:c>
      <x:c r="L2340" s="6" t="n">
        <x:f>J2340*K2340</x:f>
        <x:v>0</x:v>
      </x:c>
    </x:row>
    <x:row r="2341">
      <x:c r="A2341" s="1" t="n">
        <x:v>18023</x:v>
      </x:c>
      <x:c r="B2341" s="5" t="d">
        <x:v>2015-09-21T00:00:00.000Z</x:v>
      </x:c>
      <x:c r="C2341" s="1" t="str">
        <x:v>Standard Class</x:v>
      </x:c>
      <x:c r="D2341" s="1" t="str">
        <x:v>Europe</x:v>
      </x:c>
      <x:c r="E2341" s="1" t="str">
        <x:v>COMPLETE</x:v>
      </x:c>
      <x:c r="F2341" s="1" t="str">
        <x:v>Shipping on time</x:v>
      </x:c>
      <x:c r="G2341" s="6" t="n">
        <x:v>4</x:v>
      </x:c>
      <x:c r="H2341" s="6" t="n">
        <x:v>4</x:v>
      </x:c>
      <x:c r="I2341" s="6" t="n">
        <x:f>G2341-H2341</x:f>
        <x:v>0</x:v>
      </x:c>
      <x:c r="J2341" s="6" t="n">
        <x:f>IF(OR(E2341="CANCELED",E2341="SUSPECTED_FRAUD",F2341="Shipping canceled"),0,1)</x:f>
        <x:v>1</x:v>
      </x:c>
      <x:c r="K2341" s="6" t="n">
        <x:f>IF(G2341&gt;H2341,1,0)</x:f>
        <x:v>0</x:v>
      </x:c>
      <x:c r="L2341" s="6" t="n">
        <x:f>J2341*K2341</x:f>
        <x:v>0</x:v>
      </x:c>
    </x:row>
    <x:row r="2342">
      <x:c r="A2342" s="1" t="n">
        <x:v>18026</x:v>
      </x:c>
      <x:c r="B2342" s="5" t="d">
        <x:v>2015-09-21T00:00:00.000Z</x:v>
      </x:c>
      <x:c r="C2342" s="1" t="str">
        <x:v>First Class</x:v>
      </x:c>
      <x:c r="D2342" s="1" t="str">
        <x:v>Europe</x:v>
      </x:c>
      <x:c r="E2342" s="1" t="str">
        <x:v>CLOSED</x:v>
      </x:c>
      <x:c r="F2342" s="1" t="str">
        <x:v>Late delivery</x:v>
      </x:c>
      <x:c r="G2342" s="6" t="n">
        <x:v>2</x:v>
      </x:c>
      <x:c r="H2342" s="6" t="n">
        <x:v>1</x:v>
      </x:c>
      <x:c r="I2342" s="6" t="n">
        <x:f>G2342-H2342</x:f>
        <x:v>1</x:v>
      </x:c>
      <x:c r="J2342" s="6" t="n">
        <x:f>IF(OR(E2342="CANCELED",E2342="SUSPECTED_FRAUD",F2342="Shipping canceled"),0,1)</x:f>
        <x:v>1</x:v>
      </x:c>
      <x:c r="K2342" s="6" t="n">
        <x:f>IF(G2342&gt;H2342,1,0)</x:f>
        <x:v>1</x:v>
      </x:c>
      <x:c r="L2342" s="6" t="n">
        <x:f>J2342*K2342</x:f>
        <x:v>1</x:v>
      </x:c>
    </x:row>
    <x:row r="2343">
      <x:c r="A2343" s="1" t="n">
        <x:v>18034</x:v>
      </x:c>
      <x:c r="B2343" s="5" t="d">
        <x:v>2015-09-21T00:00:00.000Z</x:v>
      </x:c>
      <x:c r="C2343" s="1" t="str">
        <x:v>Standard Class</x:v>
      </x:c>
      <x:c r="D2343" s="1" t="str">
        <x:v>Europe</x:v>
      </x:c>
      <x:c r="E2343" s="1" t="str">
        <x:v>COMPLETE</x:v>
      </x:c>
      <x:c r="F2343" s="1" t="str">
        <x:v>Late delivery</x:v>
      </x:c>
      <x:c r="G2343" s="6" t="n">
        <x:v>5</x:v>
      </x:c>
      <x:c r="H2343" s="6" t="n">
        <x:v>4</x:v>
      </x:c>
      <x:c r="I2343" s="6" t="n">
        <x:f>G2343-H2343</x:f>
        <x:v>1</x:v>
      </x:c>
      <x:c r="J2343" s="6" t="n">
        <x:f>IF(OR(E2343="CANCELED",E2343="SUSPECTED_FRAUD",F2343="Shipping canceled"),0,1)</x:f>
        <x:v>1</x:v>
      </x:c>
      <x:c r="K2343" s="6" t="n">
        <x:f>IF(G2343&gt;H2343,1,0)</x:f>
        <x:v>1</x:v>
      </x:c>
      <x:c r="L2343" s="6" t="n">
        <x:f>J2343*K2343</x:f>
        <x:v>1</x:v>
      </x:c>
    </x:row>
    <x:row r="2344">
      <x:c r="A2344" s="1" t="n">
        <x:v>18036</x:v>
      </x:c>
      <x:c r="B2344" s="5" t="d">
        <x:v>2015-09-21T00:00:00.000Z</x:v>
      </x:c>
      <x:c r="C2344" s="1" t="str">
        <x:v>Standard Class</x:v>
      </x:c>
      <x:c r="D2344" s="1" t="str">
        <x:v>Europe</x:v>
      </x:c>
      <x:c r="E2344" s="1" t="str">
        <x:v>PROCESSING</x:v>
      </x:c>
      <x:c r="F2344" s="1" t="str">
        <x:v>Advance shipping</x:v>
      </x:c>
      <x:c r="G2344" s="6" t="n">
        <x:v>2</x:v>
      </x:c>
      <x:c r="H2344" s="6" t="n">
        <x:v>4</x:v>
      </x:c>
      <x:c r="I2344" s="6" t="n">
        <x:f>G2344-H2344</x:f>
        <x:v>-2</x:v>
      </x:c>
      <x:c r="J2344" s="6" t="n">
        <x:f>IF(OR(E2344="CANCELED",E2344="SUSPECTED_FRAUD",F2344="Shipping canceled"),0,1)</x:f>
        <x:v>1</x:v>
      </x:c>
      <x:c r="K2344" s="6" t="n">
        <x:f>IF(G2344&gt;H2344,1,0)</x:f>
        <x:v>0</x:v>
      </x:c>
      <x:c r="L2344" s="6" t="n">
        <x:f>J2344*K2344</x:f>
        <x:v>0</x:v>
      </x:c>
    </x:row>
    <x:row r="2345">
      <x:c r="A2345" s="1" t="n">
        <x:v>18064</x:v>
      </x:c>
      <x:c r="B2345" s="5" t="d">
        <x:v>2015-09-21T00:00:00.000Z</x:v>
      </x:c>
      <x:c r="C2345" s="1" t="str">
        <x:v>Standard Class</x:v>
      </x:c>
      <x:c r="D2345" s="1" t="str">
        <x:v>Europe</x:v>
      </x:c>
      <x:c r="E2345" s="1" t="str">
        <x:v>COMPLETE</x:v>
      </x:c>
      <x:c r="F2345" s="1" t="str">
        <x:v>Late delivery</x:v>
      </x:c>
      <x:c r="G2345" s="6" t="n">
        <x:v>5</x:v>
      </x:c>
      <x:c r="H2345" s="6" t="n">
        <x:v>4</x:v>
      </x:c>
      <x:c r="I2345" s="6" t="n">
        <x:f>G2345-H2345</x:f>
        <x:v>1</x:v>
      </x:c>
      <x:c r="J2345" s="6" t="n">
        <x:f>IF(OR(E2345="CANCELED",E2345="SUSPECTED_FRAUD",F2345="Shipping canceled"),0,1)</x:f>
        <x:v>1</x:v>
      </x:c>
      <x:c r="K2345" s="6" t="n">
        <x:f>IF(G2345&gt;H2345,1,0)</x:f>
        <x:v>1</x:v>
      </x:c>
      <x:c r="L2345" s="6" t="n">
        <x:f>J2345*K2345</x:f>
        <x:v>1</x:v>
      </x:c>
    </x:row>
    <x:row r="2346">
      <x:c r="A2346" s="1" t="n">
        <x:v>18065</x:v>
      </x:c>
      <x:c r="B2346" s="5" t="d">
        <x:v>2015-09-21T00:00:00.000Z</x:v>
      </x:c>
      <x:c r="C2346" s="1" t="str">
        <x:v>Standard Class</x:v>
      </x:c>
      <x:c r="D2346" s="1" t="str">
        <x:v>Europe</x:v>
      </x:c>
      <x:c r="E2346" s="1" t="str">
        <x:v>PROCESSING</x:v>
      </x:c>
      <x:c r="F2346" s="1" t="str">
        <x:v>Late delivery</x:v>
      </x:c>
      <x:c r="G2346" s="6" t="n">
        <x:v>6</x:v>
      </x:c>
      <x:c r="H2346" s="6" t="n">
        <x:v>4</x:v>
      </x:c>
      <x:c r="I2346" s="6" t="n">
        <x:f>G2346-H2346</x:f>
        <x:v>2</x:v>
      </x:c>
      <x:c r="J2346" s="6" t="n">
        <x:f>IF(OR(E2346="CANCELED",E2346="SUSPECTED_FRAUD",F2346="Shipping canceled"),0,1)</x:f>
        <x:v>1</x:v>
      </x:c>
      <x:c r="K2346" s="6" t="n">
        <x:f>IF(G2346&gt;H2346,1,0)</x:f>
        <x:v>1</x:v>
      </x:c>
      <x:c r="L2346" s="6" t="n">
        <x:f>J2346*K2346</x:f>
        <x:v>1</x:v>
      </x:c>
    </x:row>
    <x:row r="2347">
      <x:c r="A2347" s="1" t="n">
        <x:v>18069</x:v>
      </x:c>
      <x:c r="B2347" s="5" t="d">
        <x:v>2015-09-21T00:00:00.000Z</x:v>
      </x:c>
      <x:c r="C2347" s="1" t="str">
        <x:v>Standard Class</x:v>
      </x:c>
      <x:c r="D2347" s="1" t="str">
        <x:v>Europe</x:v>
      </x:c>
      <x:c r="E2347" s="1" t="str">
        <x:v>COMPLETE</x:v>
      </x:c>
      <x:c r="F2347" s="1" t="str">
        <x:v>Late delivery</x:v>
      </x:c>
      <x:c r="G2347" s="6" t="n">
        <x:v>5</x:v>
      </x:c>
      <x:c r="H2347" s="6" t="n">
        <x:v>4</x:v>
      </x:c>
      <x:c r="I2347" s="6" t="n">
        <x:f>G2347-H2347</x:f>
        <x:v>1</x:v>
      </x:c>
      <x:c r="J2347" s="6" t="n">
        <x:f>IF(OR(E2347="CANCELED",E2347="SUSPECTED_FRAUD",F2347="Shipping canceled"),0,1)</x:f>
        <x:v>1</x:v>
      </x:c>
      <x:c r="K2347" s="6" t="n">
        <x:f>IF(G2347&gt;H2347,1,0)</x:f>
        <x:v>1</x:v>
      </x:c>
      <x:c r="L2347" s="6" t="n">
        <x:f>J2347*K2347</x:f>
        <x:v>1</x:v>
      </x:c>
    </x:row>
    <x:row r="2348">
      <x:c r="A2348" s="1" t="n">
        <x:v>18070</x:v>
      </x:c>
      <x:c r="B2348" s="5" t="d">
        <x:v>2015-09-21T00:00:00.000Z</x:v>
      </x:c>
      <x:c r="C2348" s="1" t="str">
        <x:v>First Class</x:v>
      </x:c>
      <x:c r="D2348" s="1" t="str">
        <x:v>Europe</x:v>
      </x:c>
      <x:c r="E2348" s="1" t="str">
        <x:v>PENDING_PAYMENT</x:v>
      </x:c>
      <x:c r="F2348" s="1" t="str">
        <x:v>Late delivery</x:v>
      </x:c>
      <x:c r="G2348" s="6" t="n">
        <x:v>2</x:v>
      </x:c>
      <x:c r="H2348" s="6" t="n">
        <x:v>1</x:v>
      </x:c>
      <x:c r="I2348" s="6" t="n">
        <x:f>G2348-H2348</x:f>
        <x:v>1</x:v>
      </x:c>
      <x:c r="J2348" s="6" t="n">
        <x:f>IF(OR(E2348="CANCELED",E2348="SUSPECTED_FRAUD",F2348="Shipping canceled"),0,1)</x:f>
        <x:v>1</x:v>
      </x:c>
      <x:c r="K2348" s="6" t="n">
        <x:f>IF(G2348&gt;H2348,1,0)</x:f>
        <x:v>1</x:v>
      </x:c>
      <x:c r="L2348" s="6" t="n">
        <x:f>J2348*K2348</x:f>
        <x:v>1</x:v>
      </x:c>
    </x:row>
    <x:row r="2349">
      <x:c r="A2349" s="1" t="n">
        <x:v>18081</x:v>
      </x:c>
      <x:c r="B2349" s="5" t="d">
        <x:v>2015-09-21T00:00:00.000Z</x:v>
      </x:c>
      <x:c r="C2349" s="1" t="str">
        <x:v>First Class</x:v>
      </x:c>
      <x:c r="D2349" s="1" t="str">
        <x:v>Europe</x:v>
      </x:c>
      <x:c r="E2349" s="1" t="str">
        <x:v>PENDING_PAYMENT</x:v>
      </x:c>
      <x:c r="F2349" s="1" t="str">
        <x:v>Late delivery</x:v>
      </x:c>
      <x:c r="G2349" s="6" t="n">
        <x:v>2</x:v>
      </x:c>
      <x:c r="H2349" s="6" t="n">
        <x:v>1</x:v>
      </x:c>
      <x:c r="I2349" s="6" t="n">
        <x:f>G2349-H2349</x:f>
        <x:v>1</x:v>
      </x:c>
      <x:c r="J2349" s="6" t="n">
        <x:f>IF(OR(E2349="CANCELED",E2349="SUSPECTED_FRAUD",F2349="Shipping canceled"),0,1)</x:f>
        <x:v>1</x:v>
      </x:c>
      <x:c r="K2349" s="6" t="n">
        <x:f>IF(G2349&gt;H2349,1,0)</x:f>
        <x:v>1</x:v>
      </x:c>
      <x:c r="L2349" s="6" t="n">
        <x:f>J2349*K2349</x:f>
        <x:v>1</x:v>
      </x:c>
    </x:row>
    <x:row r="2350">
      <x:c r="A2350" s="1" t="n">
        <x:v>18087</x:v>
      </x:c>
      <x:c r="B2350" s="5" t="d">
        <x:v>2015-09-22T00:00:00.000Z</x:v>
      </x:c>
      <x:c r="C2350" s="1" t="str">
        <x:v>Standard Class</x:v>
      </x:c>
      <x:c r="D2350" s="1" t="str">
        <x:v>Europe</x:v>
      </x:c>
      <x:c r="E2350" s="1" t="str">
        <x:v>COMPLETE</x:v>
      </x:c>
      <x:c r="F2350" s="1" t="str">
        <x:v>Advance shipping</x:v>
      </x:c>
      <x:c r="G2350" s="6" t="n">
        <x:v>3</x:v>
      </x:c>
      <x:c r="H2350" s="6" t="n">
        <x:v>4</x:v>
      </x:c>
      <x:c r="I2350" s="6" t="n">
        <x:f>G2350-H2350</x:f>
        <x:v>-1</x:v>
      </x:c>
      <x:c r="J2350" s="6" t="n">
        <x:f>IF(OR(E2350="CANCELED",E2350="SUSPECTED_FRAUD",F2350="Shipping canceled"),0,1)</x:f>
        <x:v>1</x:v>
      </x:c>
      <x:c r="K2350" s="6" t="n">
        <x:f>IF(G2350&gt;H2350,1,0)</x:f>
        <x:v>0</x:v>
      </x:c>
      <x:c r="L2350" s="6" t="n">
        <x:f>J2350*K2350</x:f>
        <x:v>0</x:v>
      </x:c>
    </x:row>
    <x:row r="2351">
      <x:c r="A2351" s="1" t="n">
        <x:v>18089</x:v>
      </x:c>
      <x:c r="B2351" s="5" t="d">
        <x:v>2015-09-22T00:00:00.000Z</x:v>
      </x:c>
      <x:c r="C2351" s="1" t="str">
        <x:v>Standard Class</x:v>
      </x:c>
      <x:c r="D2351" s="1" t="str">
        <x:v>Europe</x:v>
      </x:c>
      <x:c r="E2351" s="1" t="str">
        <x:v>COMPLETE</x:v>
      </x:c>
      <x:c r="F2351" s="1" t="str">
        <x:v>Late delivery</x:v>
      </x:c>
      <x:c r="G2351" s="6" t="n">
        <x:v>5</x:v>
      </x:c>
      <x:c r="H2351" s="6" t="n">
        <x:v>4</x:v>
      </x:c>
      <x:c r="I2351" s="6" t="n">
        <x:f>G2351-H2351</x:f>
        <x:v>1</x:v>
      </x:c>
      <x:c r="J2351" s="6" t="n">
        <x:f>IF(OR(E2351="CANCELED",E2351="SUSPECTED_FRAUD",F2351="Shipping canceled"),0,1)</x:f>
        <x:v>1</x:v>
      </x:c>
      <x:c r="K2351" s="6" t="n">
        <x:f>IF(G2351&gt;H2351,1,0)</x:f>
        <x:v>1</x:v>
      </x:c>
      <x:c r="L2351" s="6" t="n">
        <x:f>J2351*K2351</x:f>
        <x:v>1</x:v>
      </x:c>
    </x:row>
    <x:row r="2352">
      <x:c r="A2352" s="1" t="n">
        <x:v>18108</x:v>
      </x:c>
      <x:c r="B2352" s="5" t="d">
        <x:v>2015-09-22T00:00:00.000Z</x:v>
      </x:c>
      <x:c r="C2352" s="1" t="str">
        <x:v>Second Class</x:v>
      </x:c>
      <x:c r="D2352" s="1" t="str">
        <x:v>Europe</x:v>
      </x:c>
      <x:c r="E2352" s="1" t="str">
        <x:v>PENDING_PAYMENT</x:v>
      </x:c>
      <x:c r="F2352" s="1" t="str">
        <x:v>Late delivery</x:v>
      </x:c>
      <x:c r="G2352" s="6" t="n">
        <x:v>4</x:v>
      </x:c>
      <x:c r="H2352" s="6" t="n">
        <x:v>2</x:v>
      </x:c>
      <x:c r="I2352" s="6" t="n">
        <x:f>G2352-H2352</x:f>
        <x:v>2</x:v>
      </x:c>
      <x:c r="J2352" s="6" t="n">
        <x:f>IF(OR(E2352="CANCELED",E2352="SUSPECTED_FRAUD",F2352="Shipping canceled"),0,1)</x:f>
        <x:v>1</x:v>
      </x:c>
      <x:c r="K2352" s="6" t="n">
        <x:f>IF(G2352&gt;H2352,1,0)</x:f>
        <x:v>1</x:v>
      </x:c>
      <x:c r="L2352" s="6" t="n">
        <x:f>J2352*K2352</x:f>
        <x:v>1</x:v>
      </x:c>
    </x:row>
    <x:row r="2353">
      <x:c r="A2353" s="1" t="n">
        <x:v>18112</x:v>
      </x:c>
      <x:c r="B2353" s="5" t="d">
        <x:v>2015-09-22T00:00:00.000Z</x:v>
      </x:c>
      <x:c r="C2353" s="1" t="str">
        <x:v>Second Class</x:v>
      </x:c>
      <x:c r="D2353" s="1" t="str">
        <x:v>Europe</x:v>
      </x:c>
      <x:c r="E2353" s="1" t="str">
        <x:v>PENDING</x:v>
      </x:c>
      <x:c r="F2353" s="1" t="str">
        <x:v>Late delivery</x:v>
      </x:c>
      <x:c r="G2353" s="6" t="n">
        <x:v>3</x:v>
      </x:c>
      <x:c r="H2353" s="6" t="n">
        <x:v>2</x:v>
      </x:c>
      <x:c r="I2353" s="6" t="n">
        <x:f>G2353-H2353</x:f>
        <x:v>1</x:v>
      </x:c>
      <x:c r="J2353" s="6" t="n">
        <x:f>IF(OR(E2353="CANCELED",E2353="SUSPECTED_FRAUD",F2353="Shipping canceled"),0,1)</x:f>
        <x:v>1</x:v>
      </x:c>
      <x:c r="K2353" s="6" t="n">
        <x:f>IF(G2353&gt;H2353,1,0)</x:f>
        <x:v>1</x:v>
      </x:c>
      <x:c r="L2353" s="6" t="n">
        <x:f>J2353*K2353</x:f>
        <x:v>1</x:v>
      </x:c>
    </x:row>
    <x:row r="2354">
      <x:c r="A2354" s="1" t="n">
        <x:v>18120</x:v>
      </x:c>
      <x:c r="B2354" s="5" t="d">
        <x:v>2015-09-22T00:00:00.000Z</x:v>
      </x:c>
      <x:c r="C2354" s="1" t="str">
        <x:v>Standard Class</x:v>
      </x:c>
      <x:c r="D2354" s="1" t="str">
        <x:v>Europe</x:v>
      </x:c>
      <x:c r="E2354" s="1" t="str">
        <x:v>COMPLETE</x:v>
      </x:c>
      <x:c r="F2354" s="1" t="str">
        <x:v>Late delivery</x:v>
      </x:c>
      <x:c r="G2354" s="6" t="n">
        <x:v>6</x:v>
      </x:c>
      <x:c r="H2354" s="6" t="n">
        <x:v>4</x:v>
      </x:c>
      <x:c r="I2354" s="6" t="n">
        <x:f>G2354-H2354</x:f>
        <x:v>2</x:v>
      </x:c>
      <x:c r="J2354" s="6" t="n">
        <x:f>IF(OR(E2354="CANCELED",E2354="SUSPECTED_FRAUD",F2354="Shipping canceled"),0,1)</x:f>
        <x:v>1</x:v>
      </x:c>
      <x:c r="K2354" s="6" t="n">
        <x:f>IF(G2354&gt;H2354,1,0)</x:f>
        <x:v>1</x:v>
      </x:c>
      <x:c r="L2354" s="6" t="n">
        <x:f>J2354*K2354</x:f>
        <x:v>1</x:v>
      </x:c>
    </x:row>
    <x:row r="2355">
      <x:c r="A2355" s="1" t="n">
        <x:v>18124</x:v>
      </x:c>
      <x:c r="B2355" s="5" t="d">
        <x:v>2015-09-22T00:00:00.000Z</x:v>
      </x:c>
      <x:c r="C2355" s="1" t="str">
        <x:v>Standard Class</x:v>
      </x:c>
      <x:c r="D2355" s="1" t="str">
        <x:v>Europe</x:v>
      </x:c>
      <x:c r="E2355" s="1" t="str">
        <x:v>CLOSED</x:v>
      </x:c>
      <x:c r="F2355" s="1" t="str">
        <x:v>Late delivery</x:v>
      </x:c>
      <x:c r="G2355" s="6" t="n">
        <x:v>5</x:v>
      </x:c>
      <x:c r="H2355" s="6" t="n">
        <x:v>4</x:v>
      </x:c>
      <x:c r="I2355" s="6" t="n">
        <x:f>G2355-H2355</x:f>
        <x:v>1</x:v>
      </x:c>
      <x:c r="J2355" s="6" t="n">
        <x:f>IF(OR(E2355="CANCELED",E2355="SUSPECTED_FRAUD",F2355="Shipping canceled"),0,1)</x:f>
        <x:v>1</x:v>
      </x:c>
      <x:c r="K2355" s="6" t="n">
        <x:f>IF(G2355&gt;H2355,1,0)</x:f>
        <x:v>1</x:v>
      </x:c>
      <x:c r="L2355" s="6" t="n">
        <x:f>J2355*K2355</x:f>
        <x:v>1</x:v>
      </x:c>
    </x:row>
    <x:row r="2356">
      <x:c r="A2356" s="1" t="n">
        <x:v>18128</x:v>
      </x:c>
      <x:c r="B2356" s="5" t="d">
        <x:v>2015-09-22T00:00:00.000Z</x:v>
      </x:c>
      <x:c r="C2356" s="1" t="str">
        <x:v>Standard Class</x:v>
      </x:c>
      <x:c r="D2356" s="1" t="str">
        <x:v>Europe</x:v>
      </x:c>
      <x:c r="E2356" s="1" t="str">
        <x:v>ON_HOLD</x:v>
      </x:c>
      <x:c r="F2356" s="1" t="str">
        <x:v>Shipping on time</x:v>
      </x:c>
      <x:c r="G2356" s="6" t="n">
        <x:v>4</x:v>
      </x:c>
      <x:c r="H2356" s="6" t="n">
        <x:v>4</x:v>
      </x:c>
      <x:c r="I2356" s="6" t="n">
        <x:f>G2356-H2356</x:f>
        <x:v>0</x:v>
      </x:c>
      <x:c r="J2356" s="6" t="n">
        <x:f>IF(OR(E2356="CANCELED",E2356="SUSPECTED_FRAUD",F2356="Shipping canceled"),0,1)</x:f>
        <x:v>1</x:v>
      </x:c>
      <x:c r="K2356" s="6" t="n">
        <x:f>IF(G2356&gt;H2356,1,0)</x:f>
        <x:v>0</x:v>
      </x:c>
      <x:c r="L2356" s="6" t="n">
        <x:f>J2356*K2356</x:f>
        <x:v>0</x:v>
      </x:c>
    </x:row>
    <x:row r="2357">
      <x:c r="A2357" s="1" t="n">
        <x:v>18130</x:v>
      </x:c>
      <x:c r="B2357" s="5" t="d">
        <x:v>2015-09-22T00:00:00.000Z</x:v>
      </x:c>
      <x:c r="C2357" s="1" t="str">
        <x:v>Standard Class</x:v>
      </x:c>
      <x:c r="D2357" s="1" t="str">
        <x:v>Europe</x:v>
      </x:c>
      <x:c r="E2357" s="1" t="str">
        <x:v>COMPLETE</x:v>
      </x:c>
      <x:c r="F2357" s="1" t="str">
        <x:v>Late delivery</x:v>
      </x:c>
      <x:c r="G2357" s="6" t="n">
        <x:v>6</x:v>
      </x:c>
      <x:c r="H2357" s="6" t="n">
        <x:v>4</x:v>
      </x:c>
      <x:c r="I2357" s="6" t="n">
        <x:f>G2357-H2357</x:f>
        <x:v>2</x:v>
      </x:c>
      <x:c r="J2357" s="6" t="n">
        <x:f>IF(OR(E2357="CANCELED",E2357="SUSPECTED_FRAUD",F2357="Shipping canceled"),0,1)</x:f>
        <x:v>1</x:v>
      </x:c>
      <x:c r="K2357" s="6" t="n">
        <x:f>IF(G2357&gt;H2357,1,0)</x:f>
        <x:v>1</x:v>
      </x:c>
      <x:c r="L2357" s="6" t="n">
        <x:f>J2357*K2357</x:f>
        <x:v>1</x:v>
      </x:c>
    </x:row>
    <x:row r="2358">
      <x:c r="A2358" s="1" t="n">
        <x:v>18133</x:v>
      </x:c>
      <x:c r="B2358" s="5" t="d">
        <x:v>2015-09-22T00:00:00.000Z</x:v>
      </x:c>
      <x:c r="C2358" s="1" t="str">
        <x:v>Standard Class</x:v>
      </x:c>
      <x:c r="D2358" s="1" t="str">
        <x:v>Europe</x:v>
      </x:c>
      <x:c r="E2358" s="1" t="str">
        <x:v>PENDING_PAYMENT</x:v>
      </x:c>
      <x:c r="F2358" s="1" t="str">
        <x:v>Shipping on time</x:v>
      </x:c>
      <x:c r="G2358" s="6" t="n">
        <x:v>4</x:v>
      </x:c>
      <x:c r="H2358" s="6" t="n">
        <x:v>4</x:v>
      </x:c>
      <x:c r="I2358" s="6" t="n">
        <x:f>G2358-H2358</x:f>
        <x:v>0</x:v>
      </x:c>
      <x:c r="J2358" s="6" t="n">
        <x:f>IF(OR(E2358="CANCELED",E2358="SUSPECTED_FRAUD",F2358="Shipping canceled"),0,1)</x:f>
        <x:v>1</x:v>
      </x:c>
      <x:c r="K2358" s="6" t="n">
        <x:f>IF(G2358&gt;H2358,1,0)</x:f>
        <x:v>0</x:v>
      </x:c>
      <x:c r="L2358" s="6" t="n">
        <x:f>J2358*K2358</x:f>
        <x:v>0</x:v>
      </x:c>
    </x:row>
    <x:row r="2359">
      <x:c r="A2359" s="1" t="n">
        <x:v>18135</x:v>
      </x:c>
      <x:c r="B2359" s="5" t="d">
        <x:v>2015-09-22T00:00:00.000Z</x:v>
      </x:c>
      <x:c r="C2359" s="1" t="str">
        <x:v>Standard Class</x:v>
      </x:c>
      <x:c r="D2359" s="1" t="str">
        <x:v>Europe</x:v>
      </x:c>
      <x:c r="E2359" s="1" t="str">
        <x:v>COMPLETE</x:v>
      </x:c>
      <x:c r="F2359" s="1" t="str">
        <x:v>Late delivery</x:v>
      </x:c>
      <x:c r="G2359" s="6" t="n">
        <x:v>6</x:v>
      </x:c>
      <x:c r="H2359" s="6" t="n">
        <x:v>4</x:v>
      </x:c>
      <x:c r="I2359" s="6" t="n">
        <x:f>G2359-H2359</x:f>
        <x:v>2</x:v>
      </x:c>
      <x:c r="J2359" s="6" t="n">
        <x:f>IF(OR(E2359="CANCELED",E2359="SUSPECTED_FRAUD",F2359="Shipping canceled"),0,1)</x:f>
        <x:v>1</x:v>
      </x:c>
      <x:c r="K2359" s="6" t="n">
        <x:f>IF(G2359&gt;H2359,1,0)</x:f>
        <x:v>1</x:v>
      </x:c>
      <x:c r="L2359" s="6" t="n">
        <x:f>J2359*K2359</x:f>
        <x:v>1</x:v>
      </x:c>
    </x:row>
    <x:row r="2360">
      <x:c r="A2360" s="1" t="n">
        <x:v>18138</x:v>
      </x:c>
      <x:c r="B2360" s="5" t="d">
        <x:v>2015-09-22T00:00:00.000Z</x:v>
      </x:c>
      <x:c r="C2360" s="1" t="str">
        <x:v>Standard Class</x:v>
      </x:c>
      <x:c r="D2360" s="1" t="str">
        <x:v>Europe</x:v>
      </x:c>
      <x:c r="E2360" s="1" t="str">
        <x:v>COMPLETE</x:v>
      </x:c>
      <x:c r="F2360" s="1" t="str">
        <x:v>Shipping on time</x:v>
      </x:c>
      <x:c r="G2360" s="6" t="n">
        <x:v>4</x:v>
      </x:c>
      <x:c r="H2360" s="6" t="n">
        <x:v>4</x:v>
      </x:c>
      <x:c r="I2360" s="6" t="n">
        <x:f>G2360-H2360</x:f>
        <x:v>0</x:v>
      </x:c>
      <x:c r="J2360" s="6" t="n">
        <x:f>IF(OR(E2360="CANCELED",E2360="SUSPECTED_FRAUD",F2360="Shipping canceled"),0,1)</x:f>
        <x:v>1</x:v>
      </x:c>
      <x:c r="K2360" s="6" t="n">
        <x:f>IF(G2360&gt;H2360,1,0)</x:f>
        <x:v>0</x:v>
      </x:c>
      <x:c r="L2360" s="6" t="n">
        <x:f>J2360*K2360</x:f>
        <x:v>0</x:v>
      </x:c>
    </x:row>
    <x:row r="2361">
      <x:c r="A2361" s="1" t="n">
        <x:v>18140</x:v>
      </x:c>
      <x:c r="B2361" s="5" t="d">
        <x:v>2015-09-22T00:00:00.000Z</x:v>
      </x:c>
      <x:c r="C2361" s="1" t="str">
        <x:v>Standard Class</x:v>
      </x:c>
      <x:c r="D2361" s="1" t="str">
        <x:v>Europe</x:v>
      </x:c>
      <x:c r="E2361" s="1" t="str">
        <x:v>COMPLETE</x:v>
      </x:c>
      <x:c r="F2361" s="1" t="str">
        <x:v>Late delivery</x:v>
      </x:c>
      <x:c r="G2361" s="6" t="n">
        <x:v>6</x:v>
      </x:c>
      <x:c r="H2361" s="6" t="n">
        <x:v>4</x:v>
      </x:c>
      <x:c r="I2361" s="6" t="n">
        <x:f>G2361-H2361</x:f>
        <x:v>2</x:v>
      </x:c>
      <x:c r="J2361" s="6" t="n">
        <x:f>IF(OR(E2361="CANCELED",E2361="SUSPECTED_FRAUD",F2361="Shipping canceled"),0,1)</x:f>
        <x:v>1</x:v>
      </x:c>
      <x:c r="K2361" s="6" t="n">
        <x:f>IF(G2361&gt;H2361,1,0)</x:f>
        <x:v>1</x:v>
      </x:c>
      <x:c r="L2361" s="6" t="n">
        <x:f>J2361*K2361</x:f>
        <x:v>1</x:v>
      </x:c>
    </x:row>
    <x:row r="2362">
      <x:c r="A2362" s="1" t="n">
        <x:v>18144</x:v>
      </x:c>
      <x:c r="B2362" s="5" t="d">
        <x:v>2015-09-22T00:00:00.000Z</x:v>
      </x:c>
      <x:c r="C2362" s="1" t="str">
        <x:v>Standard Class</x:v>
      </x:c>
      <x:c r="D2362" s="1" t="str">
        <x:v>Europe</x:v>
      </x:c>
      <x:c r="E2362" s="1" t="str">
        <x:v>COMPLETE</x:v>
      </x:c>
      <x:c r="F2362" s="1" t="str">
        <x:v>Late delivery</x:v>
      </x:c>
      <x:c r="G2362" s="6" t="n">
        <x:v>5</x:v>
      </x:c>
      <x:c r="H2362" s="6" t="n">
        <x:v>4</x:v>
      </x:c>
      <x:c r="I2362" s="6" t="n">
        <x:f>G2362-H2362</x:f>
        <x:v>1</x:v>
      </x:c>
      <x:c r="J2362" s="6" t="n">
        <x:f>IF(OR(E2362="CANCELED",E2362="SUSPECTED_FRAUD",F2362="Shipping canceled"),0,1)</x:f>
        <x:v>1</x:v>
      </x:c>
      <x:c r="K2362" s="6" t="n">
        <x:f>IF(G2362&gt;H2362,1,0)</x:f>
        <x:v>1</x:v>
      </x:c>
      <x:c r="L2362" s="6" t="n">
        <x:f>J2362*K2362</x:f>
        <x:v>1</x:v>
      </x:c>
    </x:row>
    <x:row r="2363">
      <x:c r="A2363" s="1" t="n">
        <x:v>18154</x:v>
      </x:c>
      <x:c r="B2363" s="5" t="d">
        <x:v>2015-09-22T00:00:00.000Z</x:v>
      </x:c>
      <x:c r="C2363" s="1" t="str">
        <x:v>First Class</x:v>
      </x:c>
      <x:c r="D2363" s="1" t="str">
        <x:v>Europe</x:v>
      </x:c>
      <x:c r="E2363" s="1" t="str">
        <x:v>CLOSED</x:v>
      </x:c>
      <x:c r="F2363" s="1" t="str">
        <x:v>Late delivery</x:v>
      </x:c>
      <x:c r="G2363" s="6" t="n">
        <x:v>2</x:v>
      </x:c>
      <x:c r="H2363" s="6" t="n">
        <x:v>1</x:v>
      </x:c>
      <x:c r="I2363" s="6" t="n">
        <x:f>G2363-H2363</x:f>
        <x:v>1</x:v>
      </x:c>
      <x:c r="J2363" s="6" t="n">
        <x:f>IF(OR(E2363="CANCELED",E2363="SUSPECTED_FRAUD",F2363="Shipping canceled"),0,1)</x:f>
        <x:v>1</x:v>
      </x:c>
      <x:c r="K2363" s="6" t="n">
        <x:f>IF(G2363&gt;H2363,1,0)</x:f>
        <x:v>1</x:v>
      </x:c>
      <x:c r="L2363" s="6" t="n">
        <x:f>J2363*K2363</x:f>
        <x:v>1</x:v>
      </x:c>
    </x:row>
    <x:row r="2364">
      <x:c r="A2364" s="1" t="n">
        <x:v>18156</x:v>
      </x:c>
      <x:c r="B2364" s="5" t="d">
        <x:v>2015-09-23T00:00:00.000Z</x:v>
      </x:c>
      <x:c r="C2364" s="1" t="str">
        <x:v>Second Class</x:v>
      </x:c>
      <x:c r="D2364" s="1" t="str">
        <x:v>Europe</x:v>
      </x:c>
      <x:c r="E2364" s="1" t="str">
        <x:v>COMPLETE</x:v>
      </x:c>
      <x:c r="F2364" s="1" t="str">
        <x:v>Shipping on time</x:v>
      </x:c>
      <x:c r="G2364" s="6" t="n">
        <x:v>2</x:v>
      </x:c>
      <x:c r="H2364" s="6" t="n">
        <x:v>2</x:v>
      </x:c>
      <x:c r="I2364" s="6" t="n">
        <x:f>G2364-H2364</x:f>
        <x:v>0</x:v>
      </x:c>
      <x:c r="J2364" s="6" t="n">
        <x:f>IF(OR(E2364="CANCELED",E2364="SUSPECTED_FRAUD",F2364="Shipping canceled"),0,1)</x:f>
        <x:v>1</x:v>
      </x:c>
      <x:c r="K2364" s="6" t="n">
        <x:f>IF(G2364&gt;H2364,1,0)</x:f>
        <x:v>0</x:v>
      </x:c>
      <x:c r="L2364" s="6" t="n">
        <x:f>J2364*K2364</x:f>
        <x:v>0</x:v>
      </x:c>
    </x:row>
    <x:row r="2365">
      <x:c r="A2365" s="1" t="n">
        <x:v>18160</x:v>
      </x:c>
      <x:c r="B2365" s="5" t="d">
        <x:v>2015-09-23T00:00:00.000Z</x:v>
      </x:c>
      <x:c r="C2365" s="1" t="str">
        <x:v>First Class</x:v>
      </x:c>
      <x:c r="D2365" s="1" t="str">
        <x:v>Europe</x:v>
      </x:c>
      <x:c r="E2365" s="1" t="str">
        <x:v>CLOSED</x:v>
      </x:c>
      <x:c r="F2365" s="1" t="str">
        <x:v>Late delivery</x:v>
      </x:c>
      <x:c r="G2365" s="6" t="n">
        <x:v>2</x:v>
      </x:c>
      <x:c r="H2365" s="6" t="n">
        <x:v>1</x:v>
      </x:c>
      <x:c r="I2365" s="6" t="n">
        <x:f>G2365-H2365</x:f>
        <x:v>1</x:v>
      </x:c>
      <x:c r="J2365" s="6" t="n">
        <x:f>IF(OR(E2365="CANCELED",E2365="SUSPECTED_FRAUD",F2365="Shipping canceled"),0,1)</x:f>
        <x:v>1</x:v>
      </x:c>
      <x:c r="K2365" s="6" t="n">
        <x:f>IF(G2365&gt;H2365,1,0)</x:f>
        <x:v>1</x:v>
      </x:c>
      <x:c r="L2365" s="6" t="n">
        <x:f>J2365*K2365</x:f>
        <x:v>1</x:v>
      </x:c>
    </x:row>
    <x:row r="2366">
      <x:c r="A2366" s="1" t="n">
        <x:v>18165</x:v>
      </x:c>
      <x:c r="B2366" s="5" t="d">
        <x:v>2015-09-23T00:00:00.000Z</x:v>
      </x:c>
      <x:c r="C2366" s="1" t="str">
        <x:v>Standard Class</x:v>
      </x:c>
      <x:c r="D2366" s="1" t="str">
        <x:v>Europe</x:v>
      </x:c>
      <x:c r="E2366" s="1" t="str">
        <x:v>COMPLETE</x:v>
      </x:c>
      <x:c r="F2366" s="1" t="str">
        <x:v>Late delivery</x:v>
      </x:c>
      <x:c r="G2366" s="6" t="n">
        <x:v>6</x:v>
      </x:c>
      <x:c r="H2366" s="6" t="n">
        <x:v>4</x:v>
      </x:c>
      <x:c r="I2366" s="6" t="n">
        <x:f>G2366-H2366</x:f>
        <x:v>2</x:v>
      </x:c>
      <x:c r="J2366" s="6" t="n">
        <x:f>IF(OR(E2366="CANCELED",E2366="SUSPECTED_FRAUD",F2366="Shipping canceled"),0,1)</x:f>
        <x:v>1</x:v>
      </x:c>
      <x:c r="K2366" s="6" t="n">
        <x:f>IF(G2366&gt;H2366,1,0)</x:f>
        <x:v>1</x:v>
      </x:c>
      <x:c r="L2366" s="6" t="n">
        <x:f>J2366*K2366</x:f>
        <x:v>1</x:v>
      </x:c>
    </x:row>
    <x:row r="2367">
      <x:c r="A2367" s="1" t="n">
        <x:v>18168</x:v>
      </x:c>
      <x:c r="B2367" s="5" t="d">
        <x:v>2015-09-23T00:00:00.000Z</x:v>
      </x:c>
      <x:c r="C2367" s="1" t="str">
        <x:v>Standard Class</x:v>
      </x:c>
      <x:c r="D2367" s="1" t="str">
        <x:v>Europe</x:v>
      </x:c>
      <x:c r="E2367" s="1" t="str">
        <x:v>PROCESSING</x:v>
      </x:c>
      <x:c r="F2367" s="1" t="str">
        <x:v>Shipping on time</x:v>
      </x:c>
      <x:c r="G2367" s="6" t="n">
        <x:v>4</x:v>
      </x:c>
      <x:c r="H2367" s="6" t="n">
        <x:v>4</x:v>
      </x:c>
      <x:c r="I2367" s="6" t="n">
        <x:f>G2367-H2367</x:f>
        <x:v>0</x:v>
      </x:c>
      <x:c r="J2367" s="6" t="n">
        <x:f>IF(OR(E2367="CANCELED",E2367="SUSPECTED_FRAUD",F2367="Shipping canceled"),0,1)</x:f>
        <x:v>1</x:v>
      </x:c>
      <x:c r="K2367" s="6" t="n">
        <x:f>IF(G2367&gt;H2367,1,0)</x:f>
        <x:v>0</x:v>
      </x:c>
      <x:c r="L2367" s="6" t="n">
        <x:f>J2367*K2367</x:f>
        <x:v>0</x:v>
      </x:c>
    </x:row>
    <x:row r="2368">
      <x:c r="A2368" s="1" t="n">
        <x:v>18180</x:v>
      </x:c>
      <x:c r="B2368" s="5" t="d">
        <x:v>2015-09-23T00:00:00.000Z</x:v>
      </x:c>
      <x:c r="C2368" s="1" t="str">
        <x:v>Standard Class</x:v>
      </x:c>
      <x:c r="D2368" s="1" t="str">
        <x:v>Europe</x:v>
      </x:c>
      <x:c r="E2368" s="1" t="str">
        <x:v>ON_HOLD</x:v>
      </x:c>
      <x:c r="F2368" s="1" t="str">
        <x:v>Late delivery</x:v>
      </x:c>
      <x:c r="G2368" s="6" t="n">
        <x:v>6</x:v>
      </x:c>
      <x:c r="H2368" s="6" t="n">
        <x:v>4</x:v>
      </x:c>
      <x:c r="I2368" s="6" t="n">
        <x:f>G2368-H2368</x:f>
        <x:v>2</x:v>
      </x:c>
      <x:c r="J2368" s="6" t="n">
        <x:f>IF(OR(E2368="CANCELED",E2368="SUSPECTED_FRAUD",F2368="Shipping canceled"),0,1)</x:f>
        <x:v>1</x:v>
      </x:c>
      <x:c r="K2368" s="6" t="n">
        <x:f>IF(G2368&gt;H2368,1,0)</x:f>
        <x:v>1</x:v>
      </x:c>
      <x:c r="L2368" s="6" t="n">
        <x:f>J2368*K2368</x:f>
        <x:v>1</x:v>
      </x:c>
    </x:row>
    <x:row r="2369">
      <x:c r="A2369" s="1" t="n">
        <x:v>18181</x:v>
      </x:c>
      <x:c r="B2369" s="5" t="d">
        <x:v>2015-09-23T00:00:00.000Z</x:v>
      </x:c>
      <x:c r="C2369" s="1" t="str">
        <x:v>Standard Class</x:v>
      </x:c>
      <x:c r="D2369" s="1" t="str">
        <x:v>Europe</x:v>
      </x:c>
      <x:c r="E2369" s="1" t="str">
        <x:v>COMPLETE</x:v>
      </x:c>
      <x:c r="F2369" s="1" t="str">
        <x:v>Advance shipping</x:v>
      </x:c>
      <x:c r="G2369" s="6" t="n">
        <x:v>2</x:v>
      </x:c>
      <x:c r="H2369" s="6" t="n">
        <x:v>4</x:v>
      </x:c>
      <x:c r="I2369" s="6" t="n">
        <x:f>G2369-H2369</x:f>
        <x:v>-2</x:v>
      </x:c>
      <x:c r="J2369" s="6" t="n">
        <x:f>IF(OR(E2369="CANCELED",E2369="SUSPECTED_FRAUD",F2369="Shipping canceled"),0,1)</x:f>
        <x:v>1</x:v>
      </x:c>
      <x:c r="K2369" s="6" t="n">
        <x:f>IF(G2369&gt;H2369,1,0)</x:f>
        <x:v>0</x:v>
      </x:c>
      <x:c r="L2369" s="6" t="n">
        <x:f>J2369*K2369</x:f>
        <x:v>0</x:v>
      </x:c>
    </x:row>
    <x:row r="2370">
      <x:c r="A2370" s="1" t="n">
        <x:v>18183</x:v>
      </x:c>
      <x:c r="B2370" s="5" t="d">
        <x:v>2015-09-23T00:00:00.000Z</x:v>
      </x:c>
      <x:c r="C2370" s="1" t="str">
        <x:v>Second Class</x:v>
      </x:c>
      <x:c r="D2370" s="1" t="str">
        <x:v>Europe</x:v>
      </x:c>
      <x:c r="E2370" s="1" t="str">
        <x:v>COMPLETE</x:v>
      </x:c>
      <x:c r="F2370" s="1" t="str">
        <x:v>Late delivery</x:v>
      </x:c>
      <x:c r="G2370" s="6" t="n">
        <x:v>4</x:v>
      </x:c>
      <x:c r="H2370" s="6" t="n">
        <x:v>2</x:v>
      </x:c>
      <x:c r="I2370" s="6" t="n">
        <x:f>G2370-H2370</x:f>
        <x:v>2</x:v>
      </x:c>
      <x:c r="J2370" s="6" t="n">
        <x:f>IF(OR(E2370="CANCELED",E2370="SUSPECTED_FRAUD",F2370="Shipping canceled"),0,1)</x:f>
        <x:v>1</x:v>
      </x:c>
      <x:c r="K2370" s="6" t="n">
        <x:f>IF(G2370&gt;H2370,1,0)</x:f>
        <x:v>1</x:v>
      </x:c>
      <x:c r="L2370" s="6" t="n">
        <x:f>J2370*K2370</x:f>
        <x:v>1</x:v>
      </x:c>
    </x:row>
    <x:row r="2371">
      <x:c r="A2371" s="1" t="n">
        <x:v>18190</x:v>
      </x:c>
      <x:c r="B2371" s="5" t="d">
        <x:v>2015-09-23T00:00:00.000Z</x:v>
      </x:c>
      <x:c r="C2371" s="1" t="str">
        <x:v>Standard Class</x:v>
      </x:c>
      <x:c r="D2371" s="1" t="str">
        <x:v>Europe</x:v>
      </x:c>
      <x:c r="E2371" s="1" t="str">
        <x:v>ON_HOLD</x:v>
      </x:c>
      <x:c r="F2371" s="1" t="str">
        <x:v>Late delivery</x:v>
      </x:c>
      <x:c r="G2371" s="6" t="n">
        <x:v>6</x:v>
      </x:c>
      <x:c r="H2371" s="6" t="n">
        <x:v>4</x:v>
      </x:c>
      <x:c r="I2371" s="6" t="n">
        <x:f>G2371-H2371</x:f>
        <x:v>2</x:v>
      </x:c>
      <x:c r="J2371" s="6" t="n">
        <x:f>IF(OR(E2371="CANCELED",E2371="SUSPECTED_FRAUD",F2371="Shipping canceled"),0,1)</x:f>
        <x:v>1</x:v>
      </x:c>
      <x:c r="K2371" s="6" t="n">
        <x:f>IF(G2371&gt;H2371,1,0)</x:f>
        <x:v>1</x:v>
      </x:c>
      <x:c r="L2371" s="6" t="n">
        <x:f>J2371*K2371</x:f>
        <x:v>1</x:v>
      </x:c>
    </x:row>
    <x:row r="2372">
      <x:c r="A2372" s="1" t="n">
        <x:v>18213</x:v>
      </x:c>
      <x:c r="B2372" s="5" t="d">
        <x:v>2015-09-23T00:00:00.000Z</x:v>
      </x:c>
      <x:c r="C2372" s="1" t="str">
        <x:v>Standard Class</x:v>
      </x:c>
      <x:c r="D2372" s="1" t="str">
        <x:v>Europe</x:v>
      </x:c>
      <x:c r="E2372" s="1" t="str">
        <x:v>PENDING</x:v>
      </x:c>
      <x:c r="F2372" s="1" t="str">
        <x:v>Shipping on time</x:v>
      </x:c>
      <x:c r="G2372" s="6" t="n">
        <x:v>4</x:v>
      </x:c>
      <x:c r="H2372" s="6" t="n">
        <x:v>4</x:v>
      </x:c>
      <x:c r="I2372" s="6" t="n">
        <x:f>G2372-H2372</x:f>
        <x:v>0</x:v>
      </x:c>
      <x:c r="J2372" s="6" t="n">
        <x:f>IF(OR(E2372="CANCELED",E2372="SUSPECTED_FRAUD",F2372="Shipping canceled"),0,1)</x:f>
        <x:v>1</x:v>
      </x:c>
      <x:c r="K2372" s="6" t="n">
        <x:f>IF(G2372&gt;H2372,1,0)</x:f>
        <x:v>0</x:v>
      </x:c>
      <x:c r="L2372" s="6" t="n">
        <x:f>J2372*K2372</x:f>
        <x:v>0</x:v>
      </x:c>
    </x:row>
    <x:row r="2373">
      <x:c r="A2373" s="1" t="n">
        <x:v>18219</x:v>
      </x:c>
      <x:c r="B2373" s="5" t="d">
        <x:v>2015-09-23T00:00:00.000Z</x:v>
      </x:c>
      <x:c r="C2373" s="1" t="str">
        <x:v>Standard Class</x:v>
      </x:c>
      <x:c r="D2373" s="1" t="str">
        <x:v>Europe</x:v>
      </x:c>
      <x:c r="E2373" s="1" t="str">
        <x:v>CANCELED</x:v>
      </x:c>
      <x:c r="F2373" s="1" t="str">
        <x:v>Shipping canceled</x:v>
      </x:c>
      <x:c r="G2373" s="6" t="n">
        <x:v>5</x:v>
      </x:c>
      <x:c r="H2373" s="6" t="n">
        <x:v>4</x:v>
      </x:c>
      <x:c r="I2373" s="6" t="n">
        <x:f>G2373-H2373</x:f>
        <x:v>1</x:v>
      </x:c>
      <x:c r="J2373" s="6" t="n">
        <x:f>IF(OR(E2373="CANCELED",E2373="SUSPECTED_FRAUD",F2373="Shipping canceled"),0,1)</x:f>
        <x:v>0</x:v>
      </x:c>
      <x:c r="K2373" s="6" t="n">
        <x:f>IF(G2373&gt;H2373,1,0)</x:f>
        <x:v>1</x:v>
      </x:c>
      <x:c r="L2373" s="6" t="n">
        <x:f>J2373*K2373</x:f>
        <x:v>0</x:v>
      </x:c>
    </x:row>
    <x:row r="2374">
      <x:c r="A2374" s="1" t="n">
        <x:v>18224</x:v>
      </x:c>
      <x:c r="B2374" s="5" t="d">
        <x:v>2015-09-24T00:00:00.000Z</x:v>
      </x:c>
      <x:c r="C2374" s="1" t="str">
        <x:v>Standard Class</x:v>
      </x:c>
      <x:c r="D2374" s="1" t="str">
        <x:v>Europe</x:v>
      </x:c>
      <x:c r="E2374" s="1" t="str">
        <x:v>COMPLETE</x:v>
      </x:c>
      <x:c r="F2374" s="1" t="str">
        <x:v>Late delivery</x:v>
      </x:c>
      <x:c r="G2374" s="6" t="n">
        <x:v>5</x:v>
      </x:c>
      <x:c r="H2374" s="6" t="n">
        <x:v>4</x:v>
      </x:c>
      <x:c r="I2374" s="6" t="n">
        <x:f>G2374-H2374</x:f>
        <x:v>1</x:v>
      </x:c>
      <x:c r="J2374" s="6" t="n">
        <x:f>IF(OR(E2374="CANCELED",E2374="SUSPECTED_FRAUD",F2374="Shipping canceled"),0,1)</x:f>
        <x:v>1</x:v>
      </x:c>
      <x:c r="K2374" s="6" t="n">
        <x:f>IF(G2374&gt;H2374,1,0)</x:f>
        <x:v>1</x:v>
      </x:c>
      <x:c r="L2374" s="6" t="n">
        <x:f>J2374*K2374</x:f>
        <x:v>1</x:v>
      </x:c>
    </x:row>
    <x:row r="2375">
      <x:c r="A2375" s="1" t="n">
        <x:v>18235</x:v>
      </x:c>
      <x:c r="B2375" s="5" t="d">
        <x:v>2015-09-24T00:00:00.000Z</x:v>
      </x:c>
      <x:c r="C2375" s="1" t="str">
        <x:v>Standard Class</x:v>
      </x:c>
      <x:c r="D2375" s="1" t="str">
        <x:v>Europe</x:v>
      </x:c>
      <x:c r="E2375" s="1" t="str">
        <x:v>PENDING_PAYMENT</x:v>
      </x:c>
      <x:c r="F2375" s="1" t="str">
        <x:v>Late delivery</x:v>
      </x:c>
      <x:c r="G2375" s="6" t="n">
        <x:v>6</x:v>
      </x:c>
      <x:c r="H2375" s="6" t="n">
        <x:v>4</x:v>
      </x:c>
      <x:c r="I2375" s="6" t="n">
        <x:f>G2375-H2375</x:f>
        <x:v>2</x:v>
      </x:c>
      <x:c r="J2375" s="6" t="n">
        <x:f>IF(OR(E2375="CANCELED",E2375="SUSPECTED_FRAUD",F2375="Shipping canceled"),0,1)</x:f>
        <x:v>1</x:v>
      </x:c>
      <x:c r="K2375" s="6" t="n">
        <x:f>IF(G2375&gt;H2375,1,0)</x:f>
        <x:v>1</x:v>
      </x:c>
      <x:c r="L2375" s="6" t="n">
        <x:f>J2375*K2375</x:f>
        <x:v>1</x:v>
      </x:c>
    </x:row>
    <x:row r="2376">
      <x:c r="A2376" s="1" t="n">
        <x:v>18237</x:v>
      </x:c>
      <x:c r="B2376" s="5" t="d">
        <x:v>2015-09-24T00:00:00.000Z</x:v>
      </x:c>
      <x:c r="C2376" s="1" t="str">
        <x:v>Standard Class</x:v>
      </x:c>
      <x:c r="D2376" s="1" t="str">
        <x:v>Europe</x:v>
      </x:c>
      <x:c r="E2376" s="1" t="str">
        <x:v>CANCELED</x:v>
      </x:c>
      <x:c r="F2376" s="1" t="str">
        <x:v>Shipping canceled</x:v>
      </x:c>
      <x:c r="G2376" s="6" t="n">
        <x:v>3</x:v>
      </x:c>
      <x:c r="H2376" s="6" t="n">
        <x:v>4</x:v>
      </x:c>
      <x:c r="I2376" s="6" t="n">
        <x:f>G2376-H2376</x:f>
        <x:v>-1</x:v>
      </x:c>
      <x:c r="J2376" s="6" t="n">
        <x:f>IF(OR(E2376="CANCELED",E2376="SUSPECTED_FRAUD",F2376="Shipping canceled"),0,1)</x:f>
        <x:v>0</x:v>
      </x:c>
      <x:c r="K2376" s="6" t="n">
        <x:f>IF(G2376&gt;H2376,1,0)</x:f>
        <x:v>0</x:v>
      </x:c>
      <x:c r="L2376" s="6" t="n">
        <x:f>J2376*K2376</x:f>
        <x:v>0</x:v>
      </x:c>
    </x:row>
    <x:row r="2377">
      <x:c r="A2377" s="1" t="n">
        <x:v>18245</x:v>
      </x:c>
      <x:c r="B2377" s="5" t="d">
        <x:v>2015-09-24T00:00:00.000Z</x:v>
      </x:c>
      <x:c r="C2377" s="1" t="str">
        <x:v>Second Class</x:v>
      </x:c>
      <x:c r="D2377" s="1" t="str">
        <x:v>Europe</x:v>
      </x:c>
      <x:c r="E2377" s="1" t="str">
        <x:v>COMPLETE</x:v>
      </x:c>
      <x:c r="F2377" s="1" t="str">
        <x:v>Late delivery</x:v>
      </x:c>
      <x:c r="G2377" s="6" t="n">
        <x:v>6</x:v>
      </x:c>
      <x:c r="H2377" s="6" t="n">
        <x:v>2</x:v>
      </x:c>
      <x:c r="I2377" s="6" t="n">
        <x:f>G2377-H2377</x:f>
        <x:v>4</x:v>
      </x:c>
      <x:c r="J2377" s="6" t="n">
        <x:f>IF(OR(E2377="CANCELED",E2377="SUSPECTED_FRAUD",F2377="Shipping canceled"),0,1)</x:f>
        <x:v>1</x:v>
      </x:c>
      <x:c r="K2377" s="6" t="n">
        <x:f>IF(G2377&gt;H2377,1,0)</x:f>
        <x:v>1</x:v>
      </x:c>
      <x:c r="L2377" s="6" t="n">
        <x:f>J2377*K2377</x:f>
        <x:v>1</x:v>
      </x:c>
    </x:row>
    <x:row r="2378">
      <x:c r="A2378" s="1" t="n">
        <x:v>18247</x:v>
      </x:c>
      <x:c r="B2378" s="5" t="d">
        <x:v>2015-09-24T00:00:00.000Z</x:v>
      </x:c>
      <x:c r="C2378" s="1" t="str">
        <x:v>Standard Class</x:v>
      </x:c>
      <x:c r="D2378" s="1" t="str">
        <x:v>Europe</x:v>
      </x:c>
      <x:c r="E2378" s="1" t="str">
        <x:v>COMPLETE</x:v>
      </x:c>
      <x:c r="F2378" s="1" t="str">
        <x:v>Advance shipping</x:v>
      </x:c>
      <x:c r="G2378" s="6" t="n">
        <x:v>3</x:v>
      </x:c>
      <x:c r="H2378" s="6" t="n">
        <x:v>4</x:v>
      </x:c>
      <x:c r="I2378" s="6" t="n">
        <x:f>G2378-H2378</x:f>
        <x:v>-1</x:v>
      </x:c>
      <x:c r="J2378" s="6" t="n">
        <x:f>IF(OR(E2378="CANCELED",E2378="SUSPECTED_FRAUD",F2378="Shipping canceled"),0,1)</x:f>
        <x:v>1</x:v>
      </x:c>
      <x:c r="K2378" s="6" t="n">
        <x:f>IF(G2378&gt;H2378,1,0)</x:f>
        <x:v>0</x:v>
      </x:c>
      <x:c r="L2378" s="6" t="n">
        <x:f>J2378*K2378</x:f>
        <x:v>0</x:v>
      </x:c>
    </x:row>
    <x:row r="2379">
      <x:c r="A2379" s="1" t="n">
        <x:v>18249</x:v>
      </x:c>
      <x:c r="B2379" s="5" t="d">
        <x:v>2015-09-24T00:00:00.000Z</x:v>
      </x:c>
      <x:c r="C2379" s="1" t="str">
        <x:v>Standard Class</x:v>
      </x:c>
      <x:c r="D2379" s="1" t="str">
        <x:v>Europe</x:v>
      </x:c>
      <x:c r="E2379" s="1" t="str">
        <x:v>COMPLETE</x:v>
      </x:c>
      <x:c r="F2379" s="1" t="str">
        <x:v>Late delivery</x:v>
      </x:c>
      <x:c r="G2379" s="6" t="n">
        <x:v>5</x:v>
      </x:c>
      <x:c r="H2379" s="6" t="n">
        <x:v>4</x:v>
      </x:c>
      <x:c r="I2379" s="6" t="n">
        <x:f>G2379-H2379</x:f>
        <x:v>1</x:v>
      </x:c>
      <x:c r="J2379" s="6" t="n">
        <x:f>IF(OR(E2379="CANCELED",E2379="SUSPECTED_FRAUD",F2379="Shipping canceled"),0,1)</x:f>
        <x:v>1</x:v>
      </x:c>
      <x:c r="K2379" s="6" t="n">
        <x:f>IF(G2379&gt;H2379,1,0)</x:f>
        <x:v>1</x:v>
      </x:c>
      <x:c r="L2379" s="6" t="n">
        <x:f>J2379*K2379</x:f>
        <x:v>1</x:v>
      </x:c>
    </x:row>
    <x:row r="2380">
      <x:c r="A2380" s="1" t="n">
        <x:v>18253</x:v>
      </x:c>
      <x:c r="B2380" s="5" t="d">
        <x:v>2015-09-24T00:00:00.000Z</x:v>
      </x:c>
      <x:c r="C2380" s="1" t="str">
        <x:v>Standard Class</x:v>
      </x:c>
      <x:c r="D2380" s="1" t="str">
        <x:v>Europe</x:v>
      </x:c>
      <x:c r="E2380" s="1" t="str">
        <x:v>COMPLETE</x:v>
      </x:c>
      <x:c r="F2380" s="1" t="str">
        <x:v>Shipping on time</x:v>
      </x:c>
      <x:c r="G2380" s="6" t="n">
        <x:v>4</x:v>
      </x:c>
      <x:c r="H2380" s="6" t="n">
        <x:v>4</x:v>
      </x:c>
      <x:c r="I2380" s="6" t="n">
        <x:f>G2380-H2380</x:f>
        <x:v>0</x:v>
      </x:c>
      <x:c r="J2380" s="6" t="n">
        <x:f>IF(OR(E2380="CANCELED",E2380="SUSPECTED_FRAUD",F2380="Shipping canceled"),0,1)</x:f>
        <x:v>1</x:v>
      </x:c>
      <x:c r="K2380" s="6" t="n">
        <x:f>IF(G2380&gt;H2380,1,0)</x:f>
        <x:v>0</x:v>
      </x:c>
      <x:c r="L2380" s="6" t="n">
        <x:f>J2380*K2380</x:f>
        <x:v>0</x:v>
      </x:c>
    </x:row>
    <x:row r="2381">
      <x:c r="A2381" s="1" t="n">
        <x:v>18254</x:v>
      </x:c>
      <x:c r="B2381" s="5" t="d">
        <x:v>2015-09-24T00:00:00.000Z</x:v>
      </x:c>
      <x:c r="C2381" s="1" t="str">
        <x:v>Standard Class</x:v>
      </x:c>
      <x:c r="D2381" s="1" t="str">
        <x:v>Europe</x:v>
      </x:c>
      <x:c r="E2381" s="1" t="str">
        <x:v>ON_HOLD</x:v>
      </x:c>
      <x:c r="F2381" s="1" t="str">
        <x:v>Late delivery</x:v>
      </x:c>
      <x:c r="G2381" s="6" t="n">
        <x:v>5</x:v>
      </x:c>
      <x:c r="H2381" s="6" t="n">
        <x:v>4</x:v>
      </x:c>
      <x:c r="I2381" s="6" t="n">
        <x:f>G2381-H2381</x:f>
        <x:v>1</x:v>
      </x:c>
      <x:c r="J2381" s="6" t="n">
        <x:f>IF(OR(E2381="CANCELED",E2381="SUSPECTED_FRAUD",F2381="Shipping canceled"),0,1)</x:f>
        <x:v>1</x:v>
      </x:c>
      <x:c r="K2381" s="6" t="n">
        <x:f>IF(G2381&gt;H2381,1,0)</x:f>
        <x:v>1</x:v>
      </x:c>
      <x:c r="L2381" s="6" t="n">
        <x:f>J2381*K2381</x:f>
        <x:v>1</x:v>
      </x:c>
    </x:row>
    <x:row r="2382">
      <x:c r="A2382" s="1" t="n">
        <x:v>18257</x:v>
      </x:c>
      <x:c r="B2382" s="5" t="d">
        <x:v>2015-09-24T00:00:00.000Z</x:v>
      </x:c>
      <x:c r="C2382" s="1" t="str">
        <x:v>Standard Class</x:v>
      </x:c>
      <x:c r="D2382" s="1" t="str">
        <x:v>Europe</x:v>
      </x:c>
      <x:c r="E2382" s="1" t="str">
        <x:v>PENDING</x:v>
      </x:c>
      <x:c r="F2382" s="1" t="str">
        <x:v>Advance shipping</x:v>
      </x:c>
      <x:c r="G2382" s="6" t="n">
        <x:v>3</x:v>
      </x:c>
      <x:c r="H2382" s="6" t="n">
        <x:v>4</x:v>
      </x:c>
      <x:c r="I2382" s="6" t="n">
        <x:f>G2382-H2382</x:f>
        <x:v>-1</x:v>
      </x:c>
      <x:c r="J2382" s="6" t="n">
        <x:f>IF(OR(E2382="CANCELED",E2382="SUSPECTED_FRAUD",F2382="Shipping canceled"),0,1)</x:f>
        <x:v>1</x:v>
      </x:c>
      <x:c r="K2382" s="6" t="n">
        <x:f>IF(G2382&gt;H2382,1,0)</x:f>
        <x:v>0</x:v>
      </x:c>
      <x:c r="L2382" s="6" t="n">
        <x:f>J2382*K2382</x:f>
        <x:v>0</x:v>
      </x:c>
    </x:row>
    <x:row r="2383">
      <x:c r="A2383" s="1" t="n">
        <x:v>18258</x:v>
      </x:c>
      <x:c r="B2383" s="5" t="d">
        <x:v>2015-09-24T00:00:00.000Z</x:v>
      </x:c>
      <x:c r="C2383" s="1" t="str">
        <x:v>Standard Class</x:v>
      </x:c>
      <x:c r="D2383" s="1" t="str">
        <x:v>Europe</x:v>
      </x:c>
      <x:c r="E2383" s="1" t="str">
        <x:v>PENDING</x:v>
      </x:c>
      <x:c r="F2383" s="1" t="str">
        <x:v>Shipping on time</x:v>
      </x:c>
      <x:c r="G2383" s="6" t="n">
        <x:v>4</x:v>
      </x:c>
      <x:c r="H2383" s="6" t="n">
        <x:v>4</x:v>
      </x:c>
      <x:c r="I2383" s="6" t="n">
        <x:f>G2383-H2383</x:f>
        <x:v>0</x:v>
      </x:c>
      <x:c r="J2383" s="6" t="n">
        <x:f>IF(OR(E2383="CANCELED",E2383="SUSPECTED_FRAUD",F2383="Shipping canceled"),0,1)</x:f>
        <x:v>1</x:v>
      </x:c>
      <x:c r="K2383" s="6" t="n">
        <x:f>IF(G2383&gt;H2383,1,0)</x:f>
        <x:v>0</x:v>
      </x:c>
      <x:c r="L2383" s="6" t="n">
        <x:f>J2383*K2383</x:f>
        <x:v>0</x:v>
      </x:c>
    </x:row>
    <x:row r="2384">
      <x:c r="A2384" s="1" t="n">
        <x:v>18260</x:v>
      </x:c>
      <x:c r="B2384" s="5" t="d">
        <x:v>2015-09-24T00:00:00.000Z</x:v>
      </x:c>
      <x:c r="C2384" s="1" t="str">
        <x:v>Standard Class</x:v>
      </x:c>
      <x:c r="D2384" s="1" t="str">
        <x:v>Europe</x:v>
      </x:c>
      <x:c r="E2384" s="1" t="str">
        <x:v>COMPLETE</x:v>
      </x:c>
      <x:c r="F2384" s="1" t="str">
        <x:v>Late delivery</x:v>
      </x:c>
      <x:c r="G2384" s="6" t="n">
        <x:v>6</x:v>
      </x:c>
      <x:c r="H2384" s="6" t="n">
        <x:v>4</x:v>
      </x:c>
      <x:c r="I2384" s="6" t="n">
        <x:f>G2384-H2384</x:f>
        <x:v>2</x:v>
      </x:c>
      <x:c r="J2384" s="6" t="n">
        <x:f>IF(OR(E2384="CANCELED",E2384="SUSPECTED_FRAUD",F2384="Shipping canceled"),0,1)</x:f>
        <x:v>1</x:v>
      </x:c>
      <x:c r="K2384" s="6" t="n">
        <x:f>IF(G2384&gt;H2384,1,0)</x:f>
        <x:v>1</x:v>
      </x:c>
      <x:c r="L2384" s="6" t="n">
        <x:f>J2384*K2384</x:f>
        <x:v>1</x:v>
      </x:c>
    </x:row>
    <x:row r="2385">
      <x:c r="A2385" s="1" t="n">
        <x:v>18266</x:v>
      </x:c>
      <x:c r="B2385" s="5" t="d">
        <x:v>2015-09-24T00:00:00.000Z</x:v>
      </x:c>
      <x:c r="C2385" s="1" t="str">
        <x:v>Standard Class</x:v>
      </x:c>
      <x:c r="D2385" s="1" t="str">
        <x:v>Europe</x:v>
      </x:c>
      <x:c r="E2385" s="1" t="str">
        <x:v>COMPLETE</x:v>
      </x:c>
      <x:c r="F2385" s="1" t="str">
        <x:v>Advance shipping</x:v>
      </x:c>
      <x:c r="G2385" s="6" t="n">
        <x:v>2</x:v>
      </x:c>
      <x:c r="H2385" s="6" t="n">
        <x:v>4</x:v>
      </x:c>
      <x:c r="I2385" s="6" t="n">
        <x:f>G2385-H2385</x:f>
        <x:v>-2</x:v>
      </x:c>
      <x:c r="J2385" s="6" t="n">
        <x:f>IF(OR(E2385="CANCELED",E2385="SUSPECTED_FRAUD",F2385="Shipping canceled"),0,1)</x:f>
        <x:v>1</x:v>
      </x:c>
      <x:c r="K2385" s="6" t="n">
        <x:f>IF(G2385&gt;H2385,1,0)</x:f>
        <x:v>0</x:v>
      </x:c>
      <x:c r="L2385" s="6" t="n">
        <x:f>J2385*K2385</x:f>
        <x:v>0</x:v>
      </x:c>
    </x:row>
    <x:row r="2386">
      <x:c r="A2386" s="1" t="n">
        <x:v>18270</x:v>
      </x:c>
      <x:c r="B2386" s="5" t="d">
        <x:v>2015-09-24T00:00:00.000Z</x:v>
      </x:c>
      <x:c r="C2386" s="1" t="str">
        <x:v>Standard Class</x:v>
      </x:c>
      <x:c r="D2386" s="1" t="str">
        <x:v>Europe</x:v>
      </x:c>
      <x:c r="E2386" s="1" t="str">
        <x:v>COMPLETE</x:v>
      </x:c>
      <x:c r="F2386" s="1" t="str">
        <x:v>Late delivery</x:v>
      </x:c>
      <x:c r="G2386" s="6" t="n">
        <x:v>6</x:v>
      </x:c>
      <x:c r="H2386" s="6" t="n">
        <x:v>4</x:v>
      </x:c>
      <x:c r="I2386" s="6" t="n">
        <x:f>G2386-H2386</x:f>
        <x:v>2</x:v>
      </x:c>
      <x:c r="J2386" s="6" t="n">
        <x:f>IF(OR(E2386="CANCELED",E2386="SUSPECTED_FRAUD",F2386="Shipping canceled"),0,1)</x:f>
        <x:v>1</x:v>
      </x:c>
      <x:c r="K2386" s="6" t="n">
        <x:f>IF(G2386&gt;H2386,1,0)</x:f>
        <x:v>1</x:v>
      </x:c>
      <x:c r="L2386" s="6" t="n">
        <x:f>J2386*K2386</x:f>
        <x:v>1</x:v>
      </x:c>
    </x:row>
    <x:row r="2387">
      <x:c r="A2387" s="1" t="n">
        <x:v>18275</x:v>
      </x:c>
      <x:c r="B2387" s="5" t="d">
        <x:v>2015-09-24T00:00:00.000Z</x:v>
      </x:c>
      <x:c r="C2387" s="1" t="str">
        <x:v>Standard Class</x:v>
      </x:c>
      <x:c r="D2387" s="1" t="str">
        <x:v>Europe</x:v>
      </x:c>
      <x:c r="E2387" s="1" t="str">
        <x:v>COMPLETE</x:v>
      </x:c>
      <x:c r="F2387" s="1" t="str">
        <x:v>Late delivery</x:v>
      </x:c>
      <x:c r="G2387" s="6" t="n">
        <x:v>6</x:v>
      </x:c>
      <x:c r="H2387" s="6" t="n">
        <x:v>4</x:v>
      </x:c>
      <x:c r="I2387" s="6" t="n">
        <x:f>G2387-H2387</x:f>
        <x:v>2</x:v>
      </x:c>
      <x:c r="J2387" s="6" t="n">
        <x:f>IF(OR(E2387="CANCELED",E2387="SUSPECTED_FRAUD",F2387="Shipping canceled"),0,1)</x:f>
        <x:v>1</x:v>
      </x:c>
      <x:c r="K2387" s="6" t="n">
        <x:f>IF(G2387&gt;H2387,1,0)</x:f>
        <x:v>1</x:v>
      </x:c>
      <x:c r="L2387" s="6" t="n">
        <x:f>J2387*K2387</x:f>
        <x:v>1</x:v>
      </x:c>
    </x:row>
    <x:row r="2388">
      <x:c r="A2388" s="1" t="n">
        <x:v>18289</x:v>
      </x:c>
      <x:c r="B2388" s="5" t="d">
        <x:v>2015-09-24T00:00:00.000Z</x:v>
      </x:c>
      <x:c r="C2388" s="1" t="str">
        <x:v>Second Class</x:v>
      </x:c>
      <x:c r="D2388" s="1" t="str">
        <x:v>Europe</x:v>
      </x:c>
      <x:c r="E2388" s="1" t="str">
        <x:v>CLOSED</x:v>
      </x:c>
      <x:c r="F2388" s="1" t="str">
        <x:v>Late delivery</x:v>
      </x:c>
      <x:c r="G2388" s="6" t="n">
        <x:v>5</x:v>
      </x:c>
      <x:c r="H2388" s="6" t="n">
        <x:v>2</x:v>
      </x:c>
      <x:c r="I2388" s="6" t="n">
        <x:f>G2388-H2388</x:f>
        <x:v>3</x:v>
      </x:c>
      <x:c r="J2388" s="6" t="n">
        <x:f>IF(OR(E2388="CANCELED",E2388="SUSPECTED_FRAUD",F2388="Shipping canceled"),0,1)</x:f>
        <x:v>1</x:v>
      </x:c>
      <x:c r="K2388" s="6" t="n">
        <x:f>IF(G2388&gt;H2388,1,0)</x:f>
        <x:v>1</x:v>
      </x:c>
      <x:c r="L2388" s="6" t="n">
        <x:f>J2388*K2388</x:f>
        <x:v>1</x:v>
      </x:c>
    </x:row>
    <x:row r="2389">
      <x:c r="A2389" s="1" t="n">
        <x:v>18304</x:v>
      </x:c>
      <x:c r="B2389" s="5" t="d">
        <x:v>2015-09-25T00:00:00.000Z</x:v>
      </x:c>
      <x:c r="C2389" s="1" t="str">
        <x:v>Standard Class</x:v>
      </x:c>
      <x:c r="D2389" s="1" t="str">
        <x:v>Europe</x:v>
      </x:c>
      <x:c r="E2389" s="1" t="str">
        <x:v>ON_HOLD</x:v>
      </x:c>
      <x:c r="F2389" s="1" t="str">
        <x:v>Late delivery</x:v>
      </x:c>
      <x:c r="G2389" s="6" t="n">
        <x:v>5</x:v>
      </x:c>
      <x:c r="H2389" s="6" t="n">
        <x:v>4</x:v>
      </x:c>
      <x:c r="I2389" s="6" t="n">
        <x:f>G2389-H2389</x:f>
        <x:v>1</x:v>
      </x:c>
      <x:c r="J2389" s="6" t="n">
        <x:f>IF(OR(E2389="CANCELED",E2389="SUSPECTED_FRAUD",F2389="Shipping canceled"),0,1)</x:f>
        <x:v>1</x:v>
      </x:c>
      <x:c r="K2389" s="6" t="n">
        <x:f>IF(G2389&gt;H2389,1,0)</x:f>
        <x:v>1</x:v>
      </x:c>
      <x:c r="L2389" s="6" t="n">
        <x:f>J2389*K2389</x:f>
        <x:v>1</x:v>
      </x:c>
    </x:row>
    <x:row r="2390">
      <x:c r="A2390" s="1" t="n">
        <x:v>18307</x:v>
      </x:c>
      <x:c r="B2390" s="5" t="d">
        <x:v>2015-09-25T00:00:00.000Z</x:v>
      </x:c>
      <x:c r="C2390" s="1" t="str">
        <x:v>Standard Class</x:v>
      </x:c>
      <x:c r="D2390" s="1" t="str">
        <x:v>Europe</x:v>
      </x:c>
      <x:c r="E2390" s="1" t="str">
        <x:v>PROCESSING</x:v>
      </x:c>
      <x:c r="F2390" s="1" t="str">
        <x:v>Advance shipping</x:v>
      </x:c>
      <x:c r="G2390" s="6" t="n">
        <x:v>3</x:v>
      </x:c>
      <x:c r="H2390" s="6" t="n">
        <x:v>4</x:v>
      </x:c>
      <x:c r="I2390" s="6" t="n">
        <x:f>G2390-H2390</x:f>
        <x:v>-1</x:v>
      </x:c>
      <x:c r="J2390" s="6" t="n">
        <x:f>IF(OR(E2390="CANCELED",E2390="SUSPECTED_FRAUD",F2390="Shipping canceled"),0,1)</x:f>
        <x:v>1</x:v>
      </x:c>
      <x:c r="K2390" s="6" t="n">
        <x:f>IF(G2390&gt;H2390,1,0)</x:f>
        <x:v>0</x:v>
      </x:c>
      <x:c r="L2390" s="6" t="n">
        <x:f>J2390*K2390</x:f>
        <x:v>0</x:v>
      </x:c>
    </x:row>
    <x:row r="2391">
      <x:c r="A2391" s="1" t="n">
        <x:v>18311</x:v>
      </x:c>
      <x:c r="B2391" s="5" t="d">
        <x:v>2015-09-25T00:00:00.000Z</x:v>
      </x:c>
      <x:c r="C2391" s="1" t="str">
        <x:v>Standard Class</x:v>
      </x:c>
      <x:c r="D2391" s="1" t="str">
        <x:v>Europe</x:v>
      </x:c>
      <x:c r="E2391" s="1" t="str">
        <x:v>PROCESSING</x:v>
      </x:c>
      <x:c r="F2391" s="1" t="str">
        <x:v>Advance shipping</x:v>
      </x:c>
      <x:c r="G2391" s="6" t="n">
        <x:v>2</x:v>
      </x:c>
      <x:c r="H2391" s="6" t="n">
        <x:v>4</x:v>
      </x:c>
      <x:c r="I2391" s="6" t="n">
        <x:f>G2391-H2391</x:f>
        <x:v>-2</x:v>
      </x:c>
      <x:c r="J2391" s="6" t="n">
        <x:f>IF(OR(E2391="CANCELED",E2391="SUSPECTED_FRAUD",F2391="Shipping canceled"),0,1)</x:f>
        <x:v>1</x:v>
      </x:c>
      <x:c r="K2391" s="6" t="n">
        <x:f>IF(G2391&gt;H2391,1,0)</x:f>
        <x:v>0</x:v>
      </x:c>
      <x:c r="L2391" s="6" t="n">
        <x:f>J2391*K2391</x:f>
        <x:v>0</x:v>
      </x:c>
    </x:row>
    <x:row r="2392">
      <x:c r="A2392" s="1" t="n">
        <x:v>18312</x:v>
      </x:c>
      <x:c r="B2392" s="5" t="d">
        <x:v>2015-09-25T00:00:00.000Z</x:v>
      </x:c>
      <x:c r="C2392" s="1" t="str">
        <x:v>Standard Class</x:v>
      </x:c>
      <x:c r="D2392" s="1" t="str">
        <x:v>Europe</x:v>
      </x:c>
      <x:c r="E2392" s="1" t="str">
        <x:v>COMPLETE</x:v>
      </x:c>
      <x:c r="F2392" s="1" t="str">
        <x:v>Advance shipping</x:v>
      </x:c>
      <x:c r="G2392" s="6" t="n">
        <x:v>3</x:v>
      </x:c>
      <x:c r="H2392" s="6" t="n">
        <x:v>4</x:v>
      </x:c>
      <x:c r="I2392" s="6" t="n">
        <x:f>G2392-H2392</x:f>
        <x:v>-1</x:v>
      </x:c>
      <x:c r="J2392" s="6" t="n">
        <x:f>IF(OR(E2392="CANCELED",E2392="SUSPECTED_FRAUD",F2392="Shipping canceled"),0,1)</x:f>
        <x:v>1</x:v>
      </x:c>
      <x:c r="K2392" s="6" t="n">
        <x:f>IF(G2392&gt;H2392,1,0)</x:f>
        <x:v>0</x:v>
      </x:c>
      <x:c r="L2392" s="6" t="n">
        <x:f>J2392*K2392</x:f>
        <x:v>0</x:v>
      </x:c>
    </x:row>
    <x:row r="2393">
      <x:c r="A2393" s="1" t="n">
        <x:v>18343</x:v>
      </x:c>
      <x:c r="B2393" s="5" t="d">
        <x:v>2015-09-25T00:00:00.000Z</x:v>
      </x:c>
      <x:c r="C2393" s="1" t="str">
        <x:v>Second Class</x:v>
      </x:c>
      <x:c r="D2393" s="1" t="str">
        <x:v>Europe</x:v>
      </x:c>
      <x:c r="E2393" s="1" t="str">
        <x:v>COMPLETE</x:v>
      </x:c>
      <x:c r="F2393" s="1" t="str">
        <x:v>Late delivery</x:v>
      </x:c>
      <x:c r="G2393" s="6" t="n">
        <x:v>4</x:v>
      </x:c>
      <x:c r="H2393" s="6" t="n">
        <x:v>2</x:v>
      </x:c>
      <x:c r="I2393" s="6" t="n">
        <x:f>G2393-H2393</x:f>
        <x:v>2</x:v>
      </x:c>
      <x:c r="J2393" s="6" t="n">
        <x:f>IF(OR(E2393="CANCELED",E2393="SUSPECTED_FRAUD",F2393="Shipping canceled"),0,1)</x:f>
        <x:v>1</x:v>
      </x:c>
      <x:c r="K2393" s="6" t="n">
        <x:f>IF(G2393&gt;H2393,1,0)</x:f>
        <x:v>1</x:v>
      </x:c>
      <x:c r="L2393" s="6" t="n">
        <x:f>J2393*K2393</x:f>
        <x:v>1</x:v>
      </x:c>
    </x:row>
    <x:row r="2394">
      <x:c r="A2394" s="1" t="n">
        <x:v>18345</x:v>
      </x:c>
      <x:c r="B2394" s="5" t="d">
        <x:v>2015-09-25T00:00:00.000Z</x:v>
      </x:c>
      <x:c r="C2394" s="1" t="str">
        <x:v>First Class</x:v>
      </x:c>
      <x:c r="D2394" s="1" t="str">
        <x:v>Europe</x:v>
      </x:c>
      <x:c r="E2394" s="1" t="str">
        <x:v>CLOSED</x:v>
      </x:c>
      <x:c r="F2394" s="1" t="str">
        <x:v>Late delivery</x:v>
      </x:c>
      <x:c r="G2394" s="6" t="n">
        <x:v>2</x:v>
      </x:c>
      <x:c r="H2394" s="6" t="n">
        <x:v>1</x:v>
      </x:c>
      <x:c r="I2394" s="6" t="n">
        <x:f>G2394-H2394</x:f>
        <x:v>1</x:v>
      </x:c>
      <x:c r="J2394" s="6" t="n">
        <x:f>IF(OR(E2394="CANCELED",E2394="SUSPECTED_FRAUD",F2394="Shipping canceled"),0,1)</x:f>
        <x:v>1</x:v>
      </x:c>
      <x:c r="K2394" s="6" t="n">
        <x:f>IF(G2394&gt;H2394,1,0)</x:f>
        <x:v>1</x:v>
      </x:c>
      <x:c r="L2394" s="6" t="n">
        <x:f>J2394*K2394</x:f>
        <x:v>1</x:v>
      </x:c>
    </x:row>
    <x:row r="2395">
      <x:c r="A2395" s="1" t="n">
        <x:v>18352</x:v>
      </x:c>
      <x:c r="B2395" s="5" t="d">
        <x:v>2015-09-25T00:00:00.000Z</x:v>
      </x:c>
      <x:c r="C2395" s="1" t="str">
        <x:v>Standard Class</x:v>
      </x:c>
      <x:c r="D2395" s="1" t="str">
        <x:v>Europe</x:v>
      </x:c>
      <x:c r="E2395" s="1" t="str">
        <x:v>COMPLETE</x:v>
      </x:c>
      <x:c r="F2395" s="1" t="str">
        <x:v>Advance shipping</x:v>
      </x:c>
      <x:c r="G2395" s="6" t="n">
        <x:v>3</x:v>
      </x:c>
      <x:c r="H2395" s="6" t="n">
        <x:v>4</x:v>
      </x:c>
      <x:c r="I2395" s="6" t="n">
        <x:f>G2395-H2395</x:f>
        <x:v>-1</x:v>
      </x:c>
      <x:c r="J2395" s="6" t="n">
        <x:f>IF(OR(E2395="CANCELED",E2395="SUSPECTED_FRAUD",F2395="Shipping canceled"),0,1)</x:f>
        <x:v>1</x:v>
      </x:c>
      <x:c r="K2395" s="6" t="n">
        <x:f>IF(G2395&gt;H2395,1,0)</x:f>
        <x:v>0</x:v>
      </x:c>
      <x:c r="L2395" s="6" t="n">
        <x:f>J2395*K2395</x:f>
        <x:v>0</x:v>
      </x:c>
    </x:row>
    <x:row r="2396">
      <x:c r="A2396" s="1" t="n">
        <x:v>18359</x:v>
      </x:c>
      <x:c r="B2396" s="5" t="d">
        <x:v>2015-09-25T00:00:00.000Z</x:v>
      </x:c>
      <x:c r="C2396" s="1" t="str">
        <x:v>Standard Class</x:v>
      </x:c>
      <x:c r="D2396" s="1" t="str">
        <x:v>Europe</x:v>
      </x:c>
      <x:c r="E2396" s="1" t="str">
        <x:v>COMPLETE</x:v>
      </x:c>
      <x:c r="F2396" s="1" t="str">
        <x:v>Late delivery</x:v>
      </x:c>
      <x:c r="G2396" s="6" t="n">
        <x:v>5</x:v>
      </x:c>
      <x:c r="H2396" s="6" t="n">
        <x:v>4</x:v>
      </x:c>
      <x:c r="I2396" s="6" t="n">
        <x:f>G2396-H2396</x:f>
        <x:v>1</x:v>
      </x:c>
      <x:c r="J2396" s="6" t="n">
        <x:f>IF(OR(E2396="CANCELED",E2396="SUSPECTED_FRAUD",F2396="Shipping canceled"),0,1)</x:f>
        <x:v>1</x:v>
      </x:c>
      <x:c r="K2396" s="6" t="n">
        <x:f>IF(G2396&gt;H2396,1,0)</x:f>
        <x:v>1</x:v>
      </x:c>
      <x:c r="L2396" s="6" t="n">
        <x:f>J2396*K2396</x:f>
        <x:v>1</x:v>
      </x:c>
    </x:row>
    <x:row r="2397">
      <x:c r="A2397" s="1" t="n">
        <x:v>18387</x:v>
      </x:c>
      <x:c r="B2397" s="5" t="d">
        <x:v>2015-09-26T00:00:00.000Z</x:v>
      </x:c>
      <x:c r="C2397" s="1" t="str">
        <x:v>Second Class</x:v>
      </x:c>
      <x:c r="D2397" s="1" t="str">
        <x:v>Europe</x:v>
      </x:c>
      <x:c r="E2397" s="1" t="str">
        <x:v>COMPLETE</x:v>
      </x:c>
      <x:c r="F2397" s="1" t="str">
        <x:v>Late delivery</x:v>
      </x:c>
      <x:c r="G2397" s="6" t="n">
        <x:v>3</x:v>
      </x:c>
      <x:c r="H2397" s="6" t="n">
        <x:v>2</x:v>
      </x:c>
      <x:c r="I2397" s="6" t="n">
        <x:f>G2397-H2397</x:f>
        <x:v>1</x:v>
      </x:c>
      <x:c r="J2397" s="6" t="n">
        <x:f>IF(OR(E2397="CANCELED",E2397="SUSPECTED_FRAUD",F2397="Shipping canceled"),0,1)</x:f>
        <x:v>1</x:v>
      </x:c>
      <x:c r="K2397" s="6" t="n">
        <x:f>IF(G2397&gt;H2397,1,0)</x:f>
        <x:v>1</x:v>
      </x:c>
      <x:c r="L2397" s="6" t="n">
        <x:f>J2397*K2397</x:f>
        <x:v>1</x:v>
      </x:c>
    </x:row>
    <x:row r="2398">
      <x:c r="A2398" s="1" t="n">
        <x:v>18389</x:v>
      </x:c>
      <x:c r="B2398" s="5" t="d">
        <x:v>2015-09-26T00:00:00.000Z</x:v>
      </x:c>
      <x:c r="C2398" s="1" t="str">
        <x:v>Standard Class</x:v>
      </x:c>
      <x:c r="D2398" s="1" t="str">
        <x:v>Europe</x:v>
      </x:c>
      <x:c r="E2398" s="1" t="str">
        <x:v>COMPLETE</x:v>
      </x:c>
      <x:c r="F2398" s="1" t="str">
        <x:v>Late delivery</x:v>
      </x:c>
      <x:c r="G2398" s="6" t="n">
        <x:v>5</x:v>
      </x:c>
      <x:c r="H2398" s="6" t="n">
        <x:v>4</x:v>
      </x:c>
      <x:c r="I2398" s="6" t="n">
        <x:f>G2398-H2398</x:f>
        <x:v>1</x:v>
      </x:c>
      <x:c r="J2398" s="6" t="n">
        <x:f>IF(OR(E2398="CANCELED",E2398="SUSPECTED_FRAUD",F2398="Shipping canceled"),0,1)</x:f>
        <x:v>1</x:v>
      </x:c>
      <x:c r="K2398" s="6" t="n">
        <x:f>IF(G2398&gt;H2398,1,0)</x:f>
        <x:v>1</x:v>
      </x:c>
      <x:c r="L2398" s="6" t="n">
        <x:f>J2398*K2398</x:f>
        <x:v>1</x:v>
      </x:c>
    </x:row>
    <x:row r="2399">
      <x:c r="A2399" s="1" t="n">
        <x:v>18393</x:v>
      </x:c>
      <x:c r="B2399" s="5" t="d">
        <x:v>2015-09-26T00:00:00.000Z</x:v>
      </x:c>
      <x:c r="C2399" s="1" t="str">
        <x:v>Standard Class</x:v>
      </x:c>
      <x:c r="D2399" s="1" t="str">
        <x:v>Europe</x:v>
      </x:c>
      <x:c r="E2399" s="1" t="str">
        <x:v>COMPLETE</x:v>
      </x:c>
      <x:c r="F2399" s="1" t="str">
        <x:v>Shipping on time</x:v>
      </x:c>
      <x:c r="G2399" s="6" t="n">
        <x:v>4</x:v>
      </x:c>
      <x:c r="H2399" s="6" t="n">
        <x:v>4</x:v>
      </x:c>
      <x:c r="I2399" s="6" t="n">
        <x:f>G2399-H2399</x:f>
        <x:v>0</x:v>
      </x:c>
      <x:c r="J2399" s="6" t="n">
        <x:f>IF(OR(E2399="CANCELED",E2399="SUSPECTED_FRAUD",F2399="Shipping canceled"),0,1)</x:f>
        <x:v>1</x:v>
      </x:c>
      <x:c r="K2399" s="6" t="n">
        <x:f>IF(G2399&gt;H2399,1,0)</x:f>
        <x:v>0</x:v>
      </x:c>
      <x:c r="L2399" s="6" t="n">
        <x:f>J2399*K2399</x:f>
        <x:v>0</x:v>
      </x:c>
    </x:row>
    <x:row r="2400">
      <x:c r="A2400" s="1" t="n">
        <x:v>18399</x:v>
      </x:c>
      <x:c r="B2400" s="5" t="d">
        <x:v>2015-09-26T00:00:00.000Z</x:v>
      </x:c>
      <x:c r="C2400" s="1" t="str">
        <x:v>Standard Class</x:v>
      </x:c>
      <x:c r="D2400" s="1" t="str">
        <x:v>Europe</x:v>
      </x:c>
      <x:c r="E2400" s="1" t="str">
        <x:v>COMPLETE</x:v>
      </x:c>
      <x:c r="F2400" s="1" t="str">
        <x:v>Late delivery</x:v>
      </x:c>
      <x:c r="G2400" s="6" t="n">
        <x:v>5</x:v>
      </x:c>
      <x:c r="H2400" s="6" t="n">
        <x:v>4</x:v>
      </x:c>
      <x:c r="I2400" s="6" t="n">
        <x:f>G2400-H2400</x:f>
        <x:v>1</x:v>
      </x:c>
      <x:c r="J2400" s="6" t="n">
        <x:f>IF(OR(E2400="CANCELED",E2400="SUSPECTED_FRAUD",F2400="Shipping canceled"),0,1)</x:f>
        <x:v>1</x:v>
      </x:c>
      <x:c r="K2400" s="6" t="n">
        <x:f>IF(G2400&gt;H2400,1,0)</x:f>
        <x:v>1</x:v>
      </x:c>
      <x:c r="L2400" s="6" t="n">
        <x:f>J2400*K2400</x:f>
        <x:v>1</x:v>
      </x:c>
    </x:row>
    <x:row r="2401">
      <x:c r="A2401" s="1" t="n">
        <x:v>18402</x:v>
      </x:c>
      <x:c r="B2401" s="5" t="d">
        <x:v>2015-09-26T00:00:00.000Z</x:v>
      </x:c>
      <x:c r="C2401" s="1" t="str">
        <x:v>Standard Class</x:v>
      </x:c>
      <x:c r="D2401" s="1" t="str">
        <x:v>Europe</x:v>
      </x:c>
      <x:c r="E2401" s="1" t="str">
        <x:v>CANCELED</x:v>
      </x:c>
      <x:c r="F2401" s="1" t="str">
        <x:v>Shipping canceled</x:v>
      </x:c>
      <x:c r="G2401" s="6" t="n">
        <x:v>3</x:v>
      </x:c>
      <x:c r="H2401" s="6" t="n">
        <x:v>4</x:v>
      </x:c>
      <x:c r="I2401" s="6" t="n">
        <x:f>G2401-H2401</x:f>
        <x:v>-1</x:v>
      </x:c>
      <x:c r="J2401" s="6" t="n">
        <x:f>IF(OR(E2401="CANCELED",E2401="SUSPECTED_FRAUD",F2401="Shipping canceled"),0,1)</x:f>
        <x:v>0</x:v>
      </x:c>
      <x:c r="K2401" s="6" t="n">
        <x:f>IF(G2401&gt;H2401,1,0)</x:f>
        <x:v>0</x:v>
      </x:c>
      <x:c r="L2401" s="6" t="n">
        <x:f>J2401*K2401</x:f>
        <x:v>0</x:v>
      </x:c>
    </x:row>
    <x:row r="2402">
      <x:c r="A2402" s="1" t="n">
        <x:v>18405</x:v>
      </x:c>
      <x:c r="B2402" s="5" t="d">
        <x:v>2015-09-26T00:00:00.000Z</x:v>
      </x:c>
      <x:c r="C2402" s="1" t="str">
        <x:v>Standard Class</x:v>
      </x:c>
      <x:c r="D2402" s="1" t="str">
        <x:v>Europe</x:v>
      </x:c>
      <x:c r="E2402" s="1" t="str">
        <x:v>PENDING_PAYMENT</x:v>
      </x:c>
      <x:c r="F2402" s="1" t="str">
        <x:v>Late delivery</x:v>
      </x:c>
      <x:c r="G2402" s="6" t="n">
        <x:v>6</x:v>
      </x:c>
      <x:c r="H2402" s="6" t="n">
        <x:v>4</x:v>
      </x:c>
      <x:c r="I2402" s="6" t="n">
        <x:f>G2402-H2402</x:f>
        <x:v>2</x:v>
      </x:c>
      <x:c r="J2402" s="6" t="n">
        <x:f>IF(OR(E2402="CANCELED",E2402="SUSPECTED_FRAUD",F2402="Shipping canceled"),0,1)</x:f>
        <x:v>1</x:v>
      </x:c>
      <x:c r="K2402" s="6" t="n">
        <x:f>IF(G2402&gt;H2402,1,0)</x:f>
        <x:v>1</x:v>
      </x:c>
      <x:c r="L2402" s="6" t="n">
        <x:f>J2402*K2402</x:f>
        <x:v>1</x:v>
      </x:c>
    </x:row>
    <x:row r="2403">
      <x:c r="A2403" s="1" t="n">
        <x:v>18406</x:v>
      </x:c>
      <x:c r="B2403" s="5" t="d">
        <x:v>2015-09-26T00:00:00.000Z</x:v>
      </x:c>
      <x:c r="C2403" s="1" t="str">
        <x:v>Standard Class</x:v>
      </x:c>
      <x:c r="D2403" s="1" t="str">
        <x:v>Europe</x:v>
      </x:c>
      <x:c r="E2403" s="1" t="str">
        <x:v>CANCELED</x:v>
      </x:c>
      <x:c r="F2403" s="1" t="str">
        <x:v>Shipping canceled</x:v>
      </x:c>
      <x:c r="G2403" s="6" t="n">
        <x:v>2</x:v>
      </x:c>
      <x:c r="H2403" s="6" t="n">
        <x:v>4</x:v>
      </x:c>
      <x:c r="I2403" s="6" t="n">
        <x:f>G2403-H2403</x:f>
        <x:v>-2</x:v>
      </x:c>
      <x:c r="J2403" s="6" t="n">
        <x:f>IF(OR(E2403="CANCELED",E2403="SUSPECTED_FRAUD",F2403="Shipping canceled"),0,1)</x:f>
        <x:v>0</x:v>
      </x:c>
      <x:c r="K2403" s="6" t="n">
        <x:f>IF(G2403&gt;H2403,1,0)</x:f>
        <x:v>0</x:v>
      </x:c>
      <x:c r="L2403" s="6" t="n">
        <x:f>J2403*K2403</x:f>
        <x:v>0</x:v>
      </x:c>
    </x:row>
    <x:row r="2404">
      <x:c r="A2404" s="1" t="n">
        <x:v>18426</x:v>
      </x:c>
      <x:c r="B2404" s="5" t="d">
        <x:v>2015-09-26T00:00:00.000Z</x:v>
      </x:c>
      <x:c r="C2404" s="1" t="str">
        <x:v>Standard Class</x:v>
      </x:c>
      <x:c r="D2404" s="1" t="str">
        <x:v>Europe</x:v>
      </x:c>
      <x:c r="E2404" s="1" t="str">
        <x:v>COMPLETE</x:v>
      </x:c>
      <x:c r="F2404" s="1" t="str">
        <x:v>Advance shipping</x:v>
      </x:c>
      <x:c r="G2404" s="6" t="n">
        <x:v>2</x:v>
      </x:c>
      <x:c r="H2404" s="6" t="n">
        <x:v>4</x:v>
      </x:c>
      <x:c r="I2404" s="6" t="n">
        <x:f>G2404-H2404</x:f>
        <x:v>-2</x:v>
      </x:c>
      <x:c r="J2404" s="6" t="n">
        <x:f>IF(OR(E2404="CANCELED",E2404="SUSPECTED_FRAUD",F2404="Shipping canceled"),0,1)</x:f>
        <x:v>1</x:v>
      </x:c>
      <x:c r="K2404" s="6" t="n">
        <x:f>IF(G2404&gt;H2404,1,0)</x:f>
        <x:v>0</x:v>
      </x:c>
      <x:c r="L2404" s="6" t="n">
        <x:f>J2404*K2404</x:f>
        <x:v>0</x:v>
      </x:c>
    </x:row>
    <x:row r="2405">
      <x:c r="A2405" s="1" t="n">
        <x:v>18429</x:v>
      </x:c>
      <x:c r="B2405" s="5" t="d">
        <x:v>2015-09-27T00:00:00.000Z</x:v>
      </x:c>
      <x:c r="C2405" s="1" t="str">
        <x:v>First Class</x:v>
      </x:c>
      <x:c r="D2405" s="1" t="str">
        <x:v>Europe</x:v>
      </x:c>
      <x:c r="E2405" s="1" t="str">
        <x:v>PROCESSING</x:v>
      </x:c>
      <x:c r="F2405" s="1" t="str">
        <x:v>Late delivery</x:v>
      </x:c>
      <x:c r="G2405" s="6" t="n">
        <x:v>2</x:v>
      </x:c>
      <x:c r="H2405" s="6" t="n">
        <x:v>1</x:v>
      </x:c>
      <x:c r="I2405" s="6" t="n">
        <x:f>G2405-H2405</x:f>
        <x:v>1</x:v>
      </x:c>
      <x:c r="J2405" s="6" t="n">
        <x:f>IF(OR(E2405="CANCELED",E2405="SUSPECTED_FRAUD",F2405="Shipping canceled"),0,1)</x:f>
        <x:v>1</x:v>
      </x:c>
      <x:c r="K2405" s="6" t="n">
        <x:f>IF(G2405&gt;H2405,1,0)</x:f>
        <x:v>1</x:v>
      </x:c>
      <x:c r="L2405" s="6" t="n">
        <x:f>J2405*K2405</x:f>
        <x:v>1</x:v>
      </x:c>
    </x:row>
    <x:row r="2406">
      <x:c r="A2406" s="1" t="n">
        <x:v>18448</x:v>
      </x:c>
      <x:c r="B2406" s="5" t="d">
        <x:v>2015-09-27T00:00:00.000Z</x:v>
      </x:c>
      <x:c r="C2406" s="1" t="str">
        <x:v>Standard Class</x:v>
      </x:c>
      <x:c r="D2406" s="1" t="str">
        <x:v>Europe</x:v>
      </x:c>
      <x:c r="E2406" s="1" t="str">
        <x:v>COMPLETE</x:v>
      </x:c>
      <x:c r="F2406" s="1" t="str">
        <x:v>Shipping on time</x:v>
      </x:c>
      <x:c r="G2406" s="6" t="n">
        <x:v>4</x:v>
      </x:c>
      <x:c r="H2406" s="6" t="n">
        <x:v>4</x:v>
      </x:c>
      <x:c r="I2406" s="6" t="n">
        <x:f>G2406-H2406</x:f>
        <x:v>0</x:v>
      </x:c>
      <x:c r="J2406" s="6" t="n">
        <x:f>IF(OR(E2406="CANCELED",E2406="SUSPECTED_FRAUD",F2406="Shipping canceled"),0,1)</x:f>
        <x:v>1</x:v>
      </x:c>
      <x:c r="K2406" s="6" t="n">
        <x:f>IF(G2406&gt;H2406,1,0)</x:f>
        <x:v>0</x:v>
      </x:c>
      <x:c r="L2406" s="6" t="n">
        <x:f>J2406*K2406</x:f>
        <x:v>0</x:v>
      </x:c>
    </x:row>
    <x:row r="2407">
      <x:c r="A2407" s="1" t="n">
        <x:v>18458</x:v>
      </x:c>
      <x:c r="B2407" s="5" t="d">
        <x:v>2015-09-27T00:00:00.000Z</x:v>
      </x:c>
      <x:c r="C2407" s="1" t="str">
        <x:v>Standard Class</x:v>
      </x:c>
      <x:c r="D2407" s="1" t="str">
        <x:v>Europe</x:v>
      </x:c>
      <x:c r="E2407" s="1" t="str">
        <x:v>ON_HOLD</x:v>
      </x:c>
      <x:c r="F2407" s="1" t="str">
        <x:v>Shipping on time</x:v>
      </x:c>
      <x:c r="G2407" s="6" t="n">
        <x:v>4</x:v>
      </x:c>
      <x:c r="H2407" s="6" t="n">
        <x:v>4</x:v>
      </x:c>
      <x:c r="I2407" s="6" t="n">
        <x:f>G2407-H2407</x:f>
        <x:v>0</x:v>
      </x:c>
      <x:c r="J2407" s="6" t="n">
        <x:f>IF(OR(E2407="CANCELED",E2407="SUSPECTED_FRAUD",F2407="Shipping canceled"),0,1)</x:f>
        <x:v>1</x:v>
      </x:c>
      <x:c r="K2407" s="6" t="n">
        <x:f>IF(G2407&gt;H2407,1,0)</x:f>
        <x:v>0</x:v>
      </x:c>
      <x:c r="L2407" s="6" t="n">
        <x:f>J2407*K2407</x:f>
        <x:v>0</x:v>
      </x:c>
    </x:row>
    <x:row r="2408">
      <x:c r="A2408" s="1" t="n">
        <x:v>18461</x:v>
      </x:c>
      <x:c r="B2408" s="5" t="d">
        <x:v>2015-09-27T00:00:00.000Z</x:v>
      </x:c>
      <x:c r="C2408" s="1" t="str">
        <x:v>Standard Class</x:v>
      </x:c>
      <x:c r="D2408" s="1" t="str">
        <x:v>Europe</x:v>
      </x:c>
      <x:c r="E2408" s="1" t="str">
        <x:v>COMPLETE</x:v>
      </x:c>
      <x:c r="F2408" s="1" t="str">
        <x:v>Advance shipping</x:v>
      </x:c>
      <x:c r="G2408" s="6" t="n">
        <x:v>2</x:v>
      </x:c>
      <x:c r="H2408" s="6" t="n">
        <x:v>4</x:v>
      </x:c>
      <x:c r="I2408" s="6" t="n">
        <x:f>G2408-H2408</x:f>
        <x:v>-2</x:v>
      </x:c>
      <x:c r="J2408" s="6" t="n">
        <x:f>IF(OR(E2408="CANCELED",E2408="SUSPECTED_FRAUD",F2408="Shipping canceled"),0,1)</x:f>
        <x:v>1</x:v>
      </x:c>
      <x:c r="K2408" s="6" t="n">
        <x:f>IF(G2408&gt;H2408,1,0)</x:f>
        <x:v>0</x:v>
      </x:c>
      <x:c r="L2408" s="6" t="n">
        <x:f>J2408*K2408</x:f>
        <x:v>0</x:v>
      </x:c>
    </x:row>
    <x:row r="2409">
      <x:c r="A2409" s="1" t="n">
        <x:v>18463</x:v>
      </x:c>
      <x:c r="B2409" s="5" t="d">
        <x:v>2015-09-27T00:00:00.000Z</x:v>
      </x:c>
      <x:c r="C2409" s="1" t="str">
        <x:v>Standard Class</x:v>
      </x:c>
      <x:c r="D2409" s="1" t="str">
        <x:v>Europe</x:v>
      </x:c>
      <x:c r="E2409" s="1" t="str">
        <x:v>SUSPECTED_FRAUD</x:v>
      </x:c>
      <x:c r="F2409" s="1" t="str">
        <x:v>Shipping canceled</x:v>
      </x:c>
      <x:c r="G2409" s="6" t="n">
        <x:v>4</x:v>
      </x:c>
      <x:c r="H2409" s="6" t="n">
        <x:v>4</x:v>
      </x:c>
      <x:c r="I2409" s="6" t="n">
        <x:f>G2409-H2409</x:f>
        <x:v>0</x:v>
      </x:c>
      <x:c r="J2409" s="6" t="n">
        <x:f>IF(OR(E2409="CANCELED",E2409="SUSPECTED_FRAUD",F2409="Shipping canceled"),0,1)</x:f>
        <x:v>0</x:v>
      </x:c>
      <x:c r="K2409" s="6" t="n">
        <x:f>IF(G2409&gt;H2409,1,0)</x:f>
        <x:v>0</x:v>
      </x:c>
      <x:c r="L2409" s="6" t="n">
        <x:f>J2409*K2409</x:f>
        <x:v>0</x:v>
      </x:c>
    </x:row>
    <x:row r="2410">
      <x:c r="A2410" s="1" t="n">
        <x:v>18471</x:v>
      </x:c>
      <x:c r="B2410" s="5" t="d">
        <x:v>2015-09-27T00:00:00.000Z</x:v>
      </x:c>
      <x:c r="C2410" s="1" t="str">
        <x:v>Standard Class</x:v>
      </x:c>
      <x:c r="D2410" s="1" t="str">
        <x:v>Europe</x:v>
      </x:c>
      <x:c r="E2410" s="1" t="str">
        <x:v>COMPLETE</x:v>
      </x:c>
      <x:c r="F2410" s="1" t="str">
        <x:v>Advance shipping</x:v>
      </x:c>
      <x:c r="G2410" s="6" t="n">
        <x:v>2</x:v>
      </x:c>
      <x:c r="H2410" s="6" t="n">
        <x:v>4</x:v>
      </x:c>
      <x:c r="I2410" s="6" t="n">
        <x:f>G2410-H2410</x:f>
        <x:v>-2</x:v>
      </x:c>
      <x:c r="J2410" s="6" t="n">
        <x:f>IF(OR(E2410="CANCELED",E2410="SUSPECTED_FRAUD",F2410="Shipping canceled"),0,1)</x:f>
        <x:v>1</x:v>
      </x:c>
      <x:c r="K2410" s="6" t="n">
        <x:f>IF(G2410&gt;H2410,1,0)</x:f>
        <x:v>0</x:v>
      </x:c>
      <x:c r="L2410" s="6" t="n">
        <x:f>J2410*K2410</x:f>
        <x:v>0</x:v>
      </x:c>
    </x:row>
    <x:row r="2411">
      <x:c r="A2411" s="1" t="n">
        <x:v>18477</x:v>
      </x:c>
      <x:c r="B2411" s="5" t="d">
        <x:v>2015-09-27T00:00:00.000Z</x:v>
      </x:c>
      <x:c r="C2411" s="1" t="str">
        <x:v>Standard Class</x:v>
      </x:c>
      <x:c r="D2411" s="1" t="str">
        <x:v>Europe</x:v>
      </x:c>
      <x:c r="E2411" s="1" t="str">
        <x:v>ON_HOLD</x:v>
      </x:c>
      <x:c r="F2411" s="1" t="str">
        <x:v>Advance shipping</x:v>
      </x:c>
      <x:c r="G2411" s="6" t="n">
        <x:v>3</x:v>
      </x:c>
      <x:c r="H2411" s="6" t="n">
        <x:v>4</x:v>
      </x:c>
      <x:c r="I2411" s="6" t="n">
        <x:f>G2411-H2411</x:f>
        <x:v>-1</x:v>
      </x:c>
      <x:c r="J2411" s="6" t="n">
        <x:f>IF(OR(E2411="CANCELED",E2411="SUSPECTED_FRAUD",F2411="Shipping canceled"),0,1)</x:f>
        <x:v>1</x:v>
      </x:c>
      <x:c r="K2411" s="6" t="n">
        <x:f>IF(G2411&gt;H2411,1,0)</x:f>
        <x:v>0</x:v>
      </x:c>
      <x:c r="L2411" s="6" t="n">
        <x:f>J2411*K2411</x:f>
        <x:v>0</x:v>
      </x:c>
    </x:row>
    <x:row r="2412">
      <x:c r="A2412" s="1" t="n">
        <x:v>18482</x:v>
      </x:c>
      <x:c r="B2412" s="5" t="d">
        <x:v>2015-09-27T00:00:00.000Z</x:v>
      </x:c>
      <x:c r="C2412" s="1" t="str">
        <x:v>Standard Class</x:v>
      </x:c>
      <x:c r="D2412" s="1" t="str">
        <x:v>Europe</x:v>
      </x:c>
      <x:c r="E2412" s="1" t="str">
        <x:v>PROCESSING</x:v>
      </x:c>
      <x:c r="F2412" s="1" t="str">
        <x:v>Advance shipping</x:v>
      </x:c>
      <x:c r="G2412" s="6" t="n">
        <x:v>3</x:v>
      </x:c>
      <x:c r="H2412" s="6" t="n">
        <x:v>4</x:v>
      </x:c>
      <x:c r="I2412" s="6" t="n">
        <x:f>G2412-H2412</x:f>
        <x:v>-1</x:v>
      </x:c>
      <x:c r="J2412" s="6" t="n">
        <x:f>IF(OR(E2412="CANCELED",E2412="SUSPECTED_FRAUD",F2412="Shipping canceled"),0,1)</x:f>
        <x:v>1</x:v>
      </x:c>
      <x:c r="K2412" s="6" t="n">
        <x:f>IF(G2412&gt;H2412,1,0)</x:f>
        <x:v>0</x:v>
      </x:c>
      <x:c r="L2412" s="6" t="n">
        <x:f>J2412*K2412</x:f>
        <x:v>0</x:v>
      </x:c>
    </x:row>
    <x:row r="2413">
      <x:c r="A2413" s="1" t="n">
        <x:v>18486</x:v>
      </x:c>
      <x:c r="B2413" s="5" t="d">
        <x:v>2015-09-27T00:00:00.000Z</x:v>
      </x:c>
      <x:c r="C2413" s="1" t="str">
        <x:v>Standard Class</x:v>
      </x:c>
      <x:c r="D2413" s="1" t="str">
        <x:v>Europe</x:v>
      </x:c>
      <x:c r="E2413" s="1" t="str">
        <x:v>PENDING</x:v>
      </x:c>
      <x:c r="F2413" s="1" t="str">
        <x:v>Advance shipping</x:v>
      </x:c>
      <x:c r="G2413" s="6" t="n">
        <x:v>2</x:v>
      </x:c>
      <x:c r="H2413" s="6" t="n">
        <x:v>4</x:v>
      </x:c>
      <x:c r="I2413" s="6" t="n">
        <x:f>G2413-H2413</x:f>
        <x:v>-2</x:v>
      </x:c>
      <x:c r="J2413" s="6" t="n">
        <x:f>IF(OR(E2413="CANCELED",E2413="SUSPECTED_FRAUD",F2413="Shipping canceled"),0,1)</x:f>
        <x:v>1</x:v>
      </x:c>
      <x:c r="K2413" s="6" t="n">
        <x:f>IF(G2413&gt;H2413,1,0)</x:f>
        <x:v>0</x:v>
      </x:c>
      <x:c r="L2413" s="6" t="n">
        <x:f>J2413*K2413</x:f>
        <x:v>0</x:v>
      </x:c>
    </x:row>
    <x:row r="2414">
      <x:c r="A2414" s="1" t="n">
        <x:v>18498</x:v>
      </x:c>
      <x:c r="B2414" s="5" t="d">
        <x:v>2015-09-28T00:00:00.000Z</x:v>
      </x:c>
      <x:c r="C2414" s="1" t="str">
        <x:v>Standard Class</x:v>
      </x:c>
      <x:c r="D2414" s="1" t="str">
        <x:v>Europe</x:v>
      </x:c>
      <x:c r="E2414" s="1" t="str">
        <x:v>COMPLETE</x:v>
      </x:c>
      <x:c r="F2414" s="1" t="str">
        <x:v>Shipping on time</x:v>
      </x:c>
      <x:c r="G2414" s="6" t="n">
        <x:v>4</x:v>
      </x:c>
      <x:c r="H2414" s="6" t="n">
        <x:v>4</x:v>
      </x:c>
      <x:c r="I2414" s="6" t="n">
        <x:f>G2414-H2414</x:f>
        <x:v>0</x:v>
      </x:c>
      <x:c r="J2414" s="6" t="n">
        <x:f>IF(OR(E2414="CANCELED",E2414="SUSPECTED_FRAUD",F2414="Shipping canceled"),0,1)</x:f>
        <x:v>1</x:v>
      </x:c>
      <x:c r="K2414" s="6" t="n">
        <x:f>IF(G2414&gt;H2414,1,0)</x:f>
        <x:v>0</x:v>
      </x:c>
      <x:c r="L2414" s="6" t="n">
        <x:f>J2414*K2414</x:f>
        <x:v>0</x:v>
      </x:c>
    </x:row>
    <x:row r="2415">
      <x:c r="A2415" s="1" t="n">
        <x:v>18512</x:v>
      </x:c>
      <x:c r="B2415" s="5" t="d">
        <x:v>2015-09-28T00:00:00.000Z</x:v>
      </x:c>
      <x:c r="C2415" s="1" t="str">
        <x:v>Standard Class</x:v>
      </x:c>
      <x:c r="D2415" s="1" t="str">
        <x:v>Europe</x:v>
      </x:c>
      <x:c r="E2415" s="1" t="str">
        <x:v>COMPLETE</x:v>
      </x:c>
      <x:c r="F2415" s="1" t="str">
        <x:v>Advance shipping</x:v>
      </x:c>
      <x:c r="G2415" s="6" t="n">
        <x:v>3</x:v>
      </x:c>
      <x:c r="H2415" s="6" t="n">
        <x:v>4</x:v>
      </x:c>
      <x:c r="I2415" s="6" t="n">
        <x:f>G2415-H2415</x:f>
        <x:v>-1</x:v>
      </x:c>
      <x:c r="J2415" s="6" t="n">
        <x:f>IF(OR(E2415="CANCELED",E2415="SUSPECTED_FRAUD",F2415="Shipping canceled"),0,1)</x:f>
        <x:v>1</x:v>
      </x:c>
      <x:c r="K2415" s="6" t="n">
        <x:f>IF(G2415&gt;H2415,1,0)</x:f>
        <x:v>0</x:v>
      </x:c>
      <x:c r="L2415" s="6" t="n">
        <x:f>J2415*K2415</x:f>
        <x:v>0</x:v>
      </x:c>
    </x:row>
    <x:row r="2416">
      <x:c r="A2416" s="1" t="n">
        <x:v>18539</x:v>
      </x:c>
      <x:c r="B2416" s="5" t="d">
        <x:v>2015-09-28T00:00:00.000Z</x:v>
      </x:c>
      <x:c r="C2416" s="1" t="str">
        <x:v>First Class</x:v>
      </x:c>
      <x:c r="D2416" s="1" t="str">
        <x:v>Europe</x:v>
      </x:c>
      <x:c r="E2416" s="1" t="str">
        <x:v>PENDING_PAYMENT</x:v>
      </x:c>
      <x:c r="F2416" s="1" t="str">
        <x:v>Late delivery</x:v>
      </x:c>
      <x:c r="G2416" s="6" t="n">
        <x:v>2</x:v>
      </x:c>
      <x:c r="H2416" s="6" t="n">
        <x:v>1</x:v>
      </x:c>
      <x:c r="I2416" s="6" t="n">
        <x:f>G2416-H2416</x:f>
        <x:v>1</x:v>
      </x:c>
      <x:c r="J2416" s="6" t="n">
        <x:f>IF(OR(E2416="CANCELED",E2416="SUSPECTED_FRAUD",F2416="Shipping canceled"),0,1)</x:f>
        <x:v>1</x:v>
      </x:c>
      <x:c r="K2416" s="6" t="n">
        <x:f>IF(G2416&gt;H2416,1,0)</x:f>
        <x:v>1</x:v>
      </x:c>
      <x:c r="L2416" s="6" t="n">
        <x:f>J2416*K2416</x:f>
        <x:v>1</x:v>
      </x:c>
    </x:row>
    <x:row r="2417">
      <x:c r="A2417" s="1" t="n">
        <x:v>18544</x:v>
      </x:c>
      <x:c r="B2417" s="5" t="d">
        <x:v>2015-09-28T00:00:00.000Z</x:v>
      </x:c>
      <x:c r="C2417" s="1" t="str">
        <x:v>Standard Class</x:v>
      </x:c>
      <x:c r="D2417" s="1" t="str">
        <x:v>Europe</x:v>
      </x:c>
      <x:c r="E2417" s="1" t="str">
        <x:v>COMPLETE</x:v>
      </x:c>
      <x:c r="F2417" s="1" t="str">
        <x:v>Late delivery</x:v>
      </x:c>
      <x:c r="G2417" s="6" t="n">
        <x:v>5</x:v>
      </x:c>
      <x:c r="H2417" s="6" t="n">
        <x:v>4</x:v>
      </x:c>
      <x:c r="I2417" s="6" t="n">
        <x:f>G2417-H2417</x:f>
        <x:v>1</x:v>
      </x:c>
      <x:c r="J2417" s="6" t="n">
        <x:f>IF(OR(E2417="CANCELED",E2417="SUSPECTED_FRAUD",F2417="Shipping canceled"),0,1)</x:f>
        <x:v>1</x:v>
      </x:c>
      <x:c r="K2417" s="6" t="n">
        <x:f>IF(G2417&gt;H2417,1,0)</x:f>
        <x:v>1</x:v>
      </x:c>
      <x:c r="L2417" s="6" t="n">
        <x:f>J2417*K2417</x:f>
        <x:v>1</x:v>
      </x:c>
    </x:row>
    <x:row r="2418">
      <x:c r="A2418" s="1" t="n">
        <x:v>18551</x:v>
      </x:c>
      <x:c r="B2418" s="5" t="d">
        <x:v>2015-09-28T00:00:00.000Z</x:v>
      </x:c>
      <x:c r="C2418" s="1" t="str">
        <x:v>Standard Class</x:v>
      </x:c>
      <x:c r="D2418" s="1" t="str">
        <x:v>Europe</x:v>
      </x:c>
      <x:c r="E2418" s="1" t="str">
        <x:v>PENDING</x:v>
      </x:c>
      <x:c r="F2418" s="1" t="str">
        <x:v>Advance shipping</x:v>
      </x:c>
      <x:c r="G2418" s="6" t="n">
        <x:v>2</x:v>
      </x:c>
      <x:c r="H2418" s="6" t="n">
        <x:v>4</x:v>
      </x:c>
      <x:c r="I2418" s="6" t="n">
        <x:f>G2418-H2418</x:f>
        <x:v>-2</x:v>
      </x:c>
      <x:c r="J2418" s="6" t="n">
        <x:f>IF(OR(E2418="CANCELED",E2418="SUSPECTED_FRAUD",F2418="Shipping canceled"),0,1)</x:f>
        <x:v>1</x:v>
      </x:c>
      <x:c r="K2418" s="6" t="n">
        <x:f>IF(G2418&gt;H2418,1,0)</x:f>
        <x:v>0</x:v>
      </x:c>
      <x:c r="L2418" s="6" t="n">
        <x:f>J2418*K2418</x:f>
        <x:v>0</x:v>
      </x:c>
    </x:row>
    <x:row r="2419">
      <x:c r="A2419" s="1" t="n">
        <x:v>18555</x:v>
      </x:c>
      <x:c r="B2419" s="5" t="d">
        <x:v>2015-09-28T00:00:00.000Z</x:v>
      </x:c>
      <x:c r="C2419" s="1" t="str">
        <x:v>Standard Class</x:v>
      </x:c>
      <x:c r="D2419" s="1" t="str">
        <x:v>Europe</x:v>
      </x:c>
      <x:c r="E2419" s="1" t="str">
        <x:v>PENDING</x:v>
      </x:c>
      <x:c r="F2419" s="1" t="str">
        <x:v>Late delivery</x:v>
      </x:c>
      <x:c r="G2419" s="6" t="n">
        <x:v>6</x:v>
      </x:c>
      <x:c r="H2419" s="6" t="n">
        <x:v>4</x:v>
      </x:c>
      <x:c r="I2419" s="6" t="n">
        <x:f>G2419-H2419</x:f>
        <x:v>2</x:v>
      </x:c>
      <x:c r="J2419" s="6" t="n">
        <x:f>IF(OR(E2419="CANCELED",E2419="SUSPECTED_FRAUD",F2419="Shipping canceled"),0,1)</x:f>
        <x:v>1</x:v>
      </x:c>
      <x:c r="K2419" s="6" t="n">
        <x:f>IF(G2419&gt;H2419,1,0)</x:f>
        <x:v>1</x:v>
      </x:c>
      <x:c r="L2419" s="6" t="n">
        <x:f>J2419*K2419</x:f>
        <x:v>1</x:v>
      </x:c>
    </x:row>
    <x:row r="2420">
      <x:c r="A2420" s="1" t="n">
        <x:v>18566</x:v>
      </x:c>
      <x:c r="B2420" s="5" t="d">
        <x:v>2015-09-29T00:00:00.000Z</x:v>
      </x:c>
      <x:c r="C2420" s="1" t="str">
        <x:v>Standard Class</x:v>
      </x:c>
      <x:c r="D2420" s="1" t="str">
        <x:v>Europe</x:v>
      </x:c>
      <x:c r="E2420" s="1" t="str">
        <x:v>COMPLETE</x:v>
      </x:c>
      <x:c r="F2420" s="1" t="str">
        <x:v>Advance shipping</x:v>
      </x:c>
      <x:c r="G2420" s="6" t="n">
        <x:v>2</x:v>
      </x:c>
      <x:c r="H2420" s="6" t="n">
        <x:v>4</x:v>
      </x:c>
      <x:c r="I2420" s="6" t="n">
        <x:f>G2420-H2420</x:f>
        <x:v>-2</x:v>
      </x:c>
      <x:c r="J2420" s="6" t="n">
        <x:f>IF(OR(E2420="CANCELED",E2420="SUSPECTED_FRAUD",F2420="Shipping canceled"),0,1)</x:f>
        <x:v>1</x:v>
      </x:c>
      <x:c r="K2420" s="6" t="n">
        <x:f>IF(G2420&gt;H2420,1,0)</x:f>
        <x:v>0</x:v>
      </x:c>
      <x:c r="L2420" s="6" t="n">
        <x:f>J2420*K2420</x:f>
        <x:v>0</x:v>
      </x:c>
    </x:row>
    <x:row r="2421">
      <x:c r="A2421" s="1" t="n">
        <x:v>18577</x:v>
      </x:c>
      <x:c r="B2421" s="5" t="d">
        <x:v>2015-09-29T00:00:00.000Z</x:v>
      </x:c>
      <x:c r="C2421" s="1" t="str">
        <x:v>Standard Class</x:v>
      </x:c>
      <x:c r="D2421" s="1" t="str">
        <x:v>Europe</x:v>
      </x:c>
      <x:c r="E2421" s="1" t="str">
        <x:v>COMPLETE</x:v>
      </x:c>
      <x:c r="F2421" s="1" t="str">
        <x:v>Advance shipping</x:v>
      </x:c>
      <x:c r="G2421" s="6" t="n">
        <x:v>3</x:v>
      </x:c>
      <x:c r="H2421" s="6" t="n">
        <x:v>4</x:v>
      </x:c>
      <x:c r="I2421" s="6" t="n">
        <x:f>G2421-H2421</x:f>
        <x:v>-1</x:v>
      </x:c>
      <x:c r="J2421" s="6" t="n">
        <x:f>IF(OR(E2421="CANCELED",E2421="SUSPECTED_FRAUD",F2421="Shipping canceled"),0,1)</x:f>
        <x:v>1</x:v>
      </x:c>
      <x:c r="K2421" s="6" t="n">
        <x:f>IF(G2421&gt;H2421,1,0)</x:f>
        <x:v>0</x:v>
      </x:c>
      <x:c r="L2421" s="6" t="n">
        <x:f>J2421*K2421</x:f>
        <x:v>0</x:v>
      </x:c>
    </x:row>
    <x:row r="2422">
      <x:c r="A2422" s="1" t="n">
        <x:v>18593</x:v>
      </x:c>
      <x:c r="B2422" s="5" t="d">
        <x:v>2015-09-29T00:00:00.000Z</x:v>
      </x:c>
      <x:c r="C2422" s="1" t="str">
        <x:v>Second Class</x:v>
      </x:c>
      <x:c r="D2422" s="1" t="str">
        <x:v>Europe</x:v>
      </x:c>
      <x:c r="E2422" s="1" t="str">
        <x:v>COMPLETE</x:v>
      </x:c>
      <x:c r="F2422" s="1" t="str">
        <x:v>Late delivery</x:v>
      </x:c>
      <x:c r="G2422" s="6" t="n">
        <x:v>4</x:v>
      </x:c>
      <x:c r="H2422" s="6" t="n">
        <x:v>2</x:v>
      </x:c>
      <x:c r="I2422" s="6" t="n">
        <x:f>G2422-H2422</x:f>
        <x:v>2</x:v>
      </x:c>
      <x:c r="J2422" s="6" t="n">
        <x:f>IF(OR(E2422="CANCELED",E2422="SUSPECTED_FRAUD",F2422="Shipping canceled"),0,1)</x:f>
        <x:v>1</x:v>
      </x:c>
      <x:c r="K2422" s="6" t="n">
        <x:f>IF(G2422&gt;H2422,1,0)</x:f>
        <x:v>1</x:v>
      </x:c>
      <x:c r="L2422" s="6" t="n">
        <x:f>J2422*K2422</x:f>
        <x:v>1</x:v>
      </x:c>
    </x:row>
    <x:row r="2423">
      <x:c r="A2423" s="1" t="n">
        <x:v>18596</x:v>
      </x:c>
      <x:c r="B2423" s="5" t="d">
        <x:v>2015-09-29T00:00:00.000Z</x:v>
      </x:c>
      <x:c r="C2423" s="1" t="str">
        <x:v>First Class</x:v>
      </x:c>
      <x:c r="D2423" s="1" t="str">
        <x:v>Europe</x:v>
      </x:c>
      <x:c r="E2423" s="1" t="str">
        <x:v>PENDING_PAYMENT</x:v>
      </x:c>
      <x:c r="F2423" s="1" t="str">
        <x:v>Late delivery</x:v>
      </x:c>
      <x:c r="G2423" s="6" t="n">
        <x:v>2</x:v>
      </x:c>
      <x:c r="H2423" s="6" t="n">
        <x:v>1</x:v>
      </x:c>
      <x:c r="I2423" s="6" t="n">
        <x:f>G2423-H2423</x:f>
        <x:v>1</x:v>
      </x:c>
      <x:c r="J2423" s="6" t="n">
        <x:f>IF(OR(E2423="CANCELED",E2423="SUSPECTED_FRAUD",F2423="Shipping canceled"),0,1)</x:f>
        <x:v>1</x:v>
      </x:c>
      <x:c r="K2423" s="6" t="n">
        <x:f>IF(G2423&gt;H2423,1,0)</x:f>
        <x:v>1</x:v>
      </x:c>
      <x:c r="L2423" s="6" t="n">
        <x:f>J2423*K2423</x:f>
        <x:v>1</x:v>
      </x:c>
    </x:row>
    <x:row r="2424">
      <x:c r="A2424" s="1" t="n">
        <x:v>18610</x:v>
      </x:c>
      <x:c r="B2424" s="5" t="d">
        <x:v>2015-09-29T00:00:00.000Z</x:v>
      </x:c>
      <x:c r="C2424" s="1" t="str">
        <x:v>Standard Class</x:v>
      </x:c>
      <x:c r="D2424" s="1" t="str">
        <x:v>Europe</x:v>
      </x:c>
      <x:c r="E2424" s="1" t="str">
        <x:v>COMPLETE</x:v>
      </x:c>
      <x:c r="F2424" s="1" t="str">
        <x:v>Late delivery</x:v>
      </x:c>
      <x:c r="G2424" s="6" t="n">
        <x:v>6</x:v>
      </x:c>
      <x:c r="H2424" s="6" t="n">
        <x:v>4</x:v>
      </x:c>
      <x:c r="I2424" s="6" t="n">
        <x:f>G2424-H2424</x:f>
        <x:v>2</x:v>
      </x:c>
      <x:c r="J2424" s="6" t="n">
        <x:f>IF(OR(E2424="CANCELED",E2424="SUSPECTED_FRAUD",F2424="Shipping canceled"),0,1)</x:f>
        <x:v>1</x:v>
      </x:c>
      <x:c r="K2424" s="6" t="n">
        <x:f>IF(G2424&gt;H2424,1,0)</x:f>
        <x:v>1</x:v>
      </x:c>
      <x:c r="L2424" s="6" t="n">
        <x:f>J2424*K2424</x:f>
        <x:v>1</x:v>
      </x:c>
    </x:row>
    <x:row r="2425">
      <x:c r="A2425" s="1" t="n">
        <x:v>18617</x:v>
      </x:c>
      <x:c r="B2425" s="5" t="d">
        <x:v>2015-09-29T00:00:00.000Z</x:v>
      </x:c>
      <x:c r="C2425" s="1" t="str">
        <x:v>Standard Class</x:v>
      </x:c>
      <x:c r="D2425" s="1" t="str">
        <x:v>Europe</x:v>
      </x:c>
      <x:c r="E2425" s="1" t="str">
        <x:v>SUSPECTED_FRAUD</x:v>
      </x:c>
      <x:c r="F2425" s="1" t="str">
        <x:v>Shipping canceled</x:v>
      </x:c>
      <x:c r="G2425" s="6" t="n">
        <x:v>3</x:v>
      </x:c>
      <x:c r="H2425" s="6" t="n">
        <x:v>4</x:v>
      </x:c>
      <x:c r="I2425" s="6" t="n">
        <x:f>G2425-H2425</x:f>
        <x:v>-1</x:v>
      </x:c>
      <x:c r="J2425" s="6" t="n">
        <x:f>IF(OR(E2425="CANCELED",E2425="SUSPECTED_FRAUD",F2425="Shipping canceled"),0,1)</x:f>
        <x:v>0</x:v>
      </x:c>
      <x:c r="K2425" s="6" t="n">
        <x:f>IF(G2425&gt;H2425,1,0)</x:f>
        <x:v>0</x:v>
      </x:c>
      <x:c r="L2425" s="6" t="n">
        <x:f>J2425*K2425</x:f>
        <x:v>0</x:v>
      </x:c>
    </x:row>
    <x:row r="2426">
      <x:c r="A2426" s="1" t="n">
        <x:v>18626</x:v>
      </x:c>
      <x:c r="B2426" s="5" t="d">
        <x:v>2015-09-29T00:00:00.000Z</x:v>
      </x:c>
      <x:c r="C2426" s="1" t="str">
        <x:v>Standard Class</x:v>
      </x:c>
      <x:c r="D2426" s="1" t="str">
        <x:v>Europe</x:v>
      </x:c>
      <x:c r="E2426" s="1" t="str">
        <x:v>COMPLETE</x:v>
      </x:c>
      <x:c r="F2426" s="1" t="str">
        <x:v>Advance shipping</x:v>
      </x:c>
      <x:c r="G2426" s="6" t="n">
        <x:v>2</x:v>
      </x:c>
      <x:c r="H2426" s="6" t="n">
        <x:v>4</x:v>
      </x:c>
      <x:c r="I2426" s="6" t="n">
        <x:f>G2426-H2426</x:f>
        <x:v>-2</x:v>
      </x:c>
      <x:c r="J2426" s="6" t="n">
        <x:f>IF(OR(E2426="CANCELED",E2426="SUSPECTED_FRAUD",F2426="Shipping canceled"),0,1)</x:f>
        <x:v>1</x:v>
      </x:c>
      <x:c r="K2426" s="6" t="n">
        <x:f>IF(G2426&gt;H2426,1,0)</x:f>
        <x:v>0</x:v>
      </x:c>
      <x:c r="L2426" s="6" t="n">
        <x:f>J2426*K2426</x:f>
        <x:v>0</x:v>
      </x:c>
    </x:row>
    <x:row r="2427">
      <x:c r="A2427" s="1" t="n">
        <x:v>18642</x:v>
      </x:c>
      <x:c r="B2427" s="5" t="d">
        <x:v>2015-09-30T00:00:00.000Z</x:v>
      </x:c>
      <x:c r="C2427" s="1" t="str">
        <x:v>Standard Class</x:v>
      </x:c>
      <x:c r="D2427" s="1" t="str">
        <x:v>Europe</x:v>
      </x:c>
      <x:c r="E2427" s="1" t="str">
        <x:v>PENDING_PAYMENT</x:v>
      </x:c>
      <x:c r="F2427" s="1" t="str">
        <x:v>Advance shipping</x:v>
      </x:c>
      <x:c r="G2427" s="6" t="n">
        <x:v>3</x:v>
      </x:c>
      <x:c r="H2427" s="6" t="n">
        <x:v>4</x:v>
      </x:c>
      <x:c r="I2427" s="6" t="n">
        <x:f>G2427-H2427</x:f>
        <x:v>-1</x:v>
      </x:c>
      <x:c r="J2427" s="6" t="n">
        <x:f>IF(OR(E2427="CANCELED",E2427="SUSPECTED_FRAUD",F2427="Shipping canceled"),0,1)</x:f>
        <x:v>1</x:v>
      </x:c>
      <x:c r="K2427" s="6" t="n">
        <x:f>IF(G2427&gt;H2427,1,0)</x:f>
        <x:v>0</x:v>
      </x:c>
      <x:c r="L2427" s="6" t="n">
        <x:f>J2427*K2427</x:f>
        <x:v>0</x:v>
      </x:c>
    </x:row>
    <x:row r="2428">
      <x:c r="A2428" s="1" t="n">
        <x:v>18645</x:v>
      </x:c>
      <x:c r="B2428" s="5" t="d">
        <x:v>2015-09-30T00:00:00.000Z</x:v>
      </x:c>
      <x:c r="C2428" s="1" t="str">
        <x:v>Standard Class</x:v>
      </x:c>
      <x:c r="D2428" s="1" t="str">
        <x:v>Europe</x:v>
      </x:c>
      <x:c r="E2428" s="1" t="str">
        <x:v>PENDING_PAYMENT</x:v>
      </x:c>
      <x:c r="F2428" s="1" t="str">
        <x:v>Late delivery</x:v>
      </x:c>
      <x:c r="G2428" s="6" t="n">
        <x:v>6</x:v>
      </x:c>
      <x:c r="H2428" s="6" t="n">
        <x:v>4</x:v>
      </x:c>
      <x:c r="I2428" s="6" t="n">
        <x:f>G2428-H2428</x:f>
        <x:v>2</x:v>
      </x:c>
      <x:c r="J2428" s="6" t="n">
        <x:f>IF(OR(E2428="CANCELED",E2428="SUSPECTED_FRAUD",F2428="Shipping canceled"),0,1)</x:f>
        <x:v>1</x:v>
      </x:c>
      <x:c r="K2428" s="6" t="n">
        <x:f>IF(G2428&gt;H2428,1,0)</x:f>
        <x:v>1</x:v>
      </x:c>
      <x:c r="L2428" s="6" t="n">
        <x:f>J2428*K2428</x:f>
        <x:v>1</x:v>
      </x:c>
    </x:row>
    <x:row r="2429">
      <x:c r="A2429" s="1" t="n">
        <x:v>18660</x:v>
      </x:c>
      <x:c r="B2429" s="5" t="d">
        <x:v>2015-09-30T00:00:00.000Z</x:v>
      </x:c>
      <x:c r="C2429" s="1" t="str">
        <x:v>First Class</x:v>
      </x:c>
      <x:c r="D2429" s="1" t="str">
        <x:v>Europe</x:v>
      </x:c>
      <x:c r="E2429" s="1" t="str">
        <x:v>CLOSED</x:v>
      </x:c>
      <x:c r="F2429" s="1" t="str">
        <x:v>Late delivery</x:v>
      </x:c>
      <x:c r="G2429" s="6" t="n">
        <x:v>2</x:v>
      </x:c>
      <x:c r="H2429" s="6" t="n">
        <x:v>1</x:v>
      </x:c>
      <x:c r="I2429" s="6" t="n">
        <x:f>G2429-H2429</x:f>
        <x:v>1</x:v>
      </x:c>
      <x:c r="J2429" s="6" t="n">
        <x:f>IF(OR(E2429="CANCELED",E2429="SUSPECTED_FRAUD",F2429="Shipping canceled"),0,1)</x:f>
        <x:v>1</x:v>
      </x:c>
      <x:c r="K2429" s="6" t="n">
        <x:f>IF(G2429&gt;H2429,1,0)</x:f>
        <x:v>1</x:v>
      </x:c>
      <x:c r="L2429" s="6" t="n">
        <x:f>J2429*K2429</x:f>
        <x:v>1</x:v>
      </x:c>
    </x:row>
    <x:row r="2430">
      <x:c r="A2430" s="1" t="n">
        <x:v>18661</x:v>
      </x:c>
      <x:c r="B2430" s="5" t="d">
        <x:v>2015-09-30T00:00:00.000Z</x:v>
      </x:c>
      <x:c r="C2430" s="1" t="str">
        <x:v>First Class</x:v>
      </x:c>
      <x:c r="D2430" s="1" t="str">
        <x:v>Europe</x:v>
      </x:c>
      <x:c r="E2430" s="1" t="str">
        <x:v>PENDING_PAYMENT</x:v>
      </x:c>
      <x:c r="F2430" s="1" t="str">
        <x:v>Late delivery</x:v>
      </x:c>
      <x:c r="G2430" s="6" t="n">
        <x:v>2</x:v>
      </x:c>
      <x:c r="H2430" s="6" t="n">
        <x:v>1</x:v>
      </x:c>
      <x:c r="I2430" s="6" t="n">
        <x:f>G2430-H2430</x:f>
        <x:v>1</x:v>
      </x:c>
      <x:c r="J2430" s="6" t="n">
        <x:f>IF(OR(E2430="CANCELED",E2430="SUSPECTED_FRAUD",F2430="Shipping canceled"),0,1)</x:f>
        <x:v>1</x:v>
      </x:c>
      <x:c r="K2430" s="6" t="n">
        <x:f>IF(G2430&gt;H2430,1,0)</x:f>
        <x:v>1</x:v>
      </x:c>
      <x:c r="L2430" s="6" t="n">
        <x:f>J2430*K2430</x:f>
        <x:v>1</x:v>
      </x:c>
    </x:row>
    <x:row r="2431">
      <x:c r="A2431" s="1" t="n">
        <x:v>18664</x:v>
      </x:c>
      <x:c r="B2431" s="5" t="d">
        <x:v>2015-09-30T00:00:00.000Z</x:v>
      </x:c>
      <x:c r="C2431" s="1" t="str">
        <x:v>Standard Class</x:v>
      </x:c>
      <x:c r="D2431" s="1" t="str">
        <x:v>Europe</x:v>
      </x:c>
      <x:c r="E2431" s="1" t="str">
        <x:v>COMPLETE</x:v>
      </x:c>
      <x:c r="F2431" s="1" t="str">
        <x:v>Late delivery</x:v>
      </x:c>
      <x:c r="G2431" s="6" t="n">
        <x:v>5</x:v>
      </x:c>
      <x:c r="H2431" s="6" t="n">
        <x:v>4</x:v>
      </x:c>
      <x:c r="I2431" s="6" t="n">
        <x:f>G2431-H2431</x:f>
        <x:v>1</x:v>
      </x:c>
      <x:c r="J2431" s="6" t="n">
        <x:f>IF(OR(E2431="CANCELED",E2431="SUSPECTED_FRAUD",F2431="Shipping canceled"),0,1)</x:f>
        <x:v>1</x:v>
      </x:c>
      <x:c r="K2431" s="6" t="n">
        <x:f>IF(G2431&gt;H2431,1,0)</x:f>
        <x:v>1</x:v>
      </x:c>
      <x:c r="L2431" s="6" t="n">
        <x:f>J2431*K2431</x:f>
        <x:v>1</x:v>
      </x:c>
    </x:row>
    <x:row r="2432">
      <x:c r="A2432" s="1" t="n">
        <x:v>18666</x:v>
      </x:c>
      <x:c r="B2432" s="5" t="d">
        <x:v>2015-09-30T00:00:00.000Z</x:v>
      </x:c>
      <x:c r="C2432" s="1" t="str">
        <x:v>Standard Class</x:v>
      </x:c>
      <x:c r="D2432" s="1" t="str">
        <x:v>Europe</x:v>
      </x:c>
      <x:c r="E2432" s="1" t="str">
        <x:v>COMPLETE</x:v>
      </x:c>
      <x:c r="F2432" s="1" t="str">
        <x:v>Advance shipping</x:v>
      </x:c>
      <x:c r="G2432" s="6" t="n">
        <x:v>2</x:v>
      </x:c>
      <x:c r="H2432" s="6" t="n">
        <x:v>4</x:v>
      </x:c>
      <x:c r="I2432" s="6" t="n">
        <x:f>G2432-H2432</x:f>
        <x:v>-2</x:v>
      </x:c>
      <x:c r="J2432" s="6" t="n">
        <x:f>IF(OR(E2432="CANCELED",E2432="SUSPECTED_FRAUD",F2432="Shipping canceled"),0,1)</x:f>
        <x:v>1</x:v>
      </x:c>
      <x:c r="K2432" s="6" t="n">
        <x:f>IF(G2432&gt;H2432,1,0)</x:f>
        <x:v>0</x:v>
      </x:c>
      <x:c r="L2432" s="6" t="n">
        <x:f>J2432*K2432</x:f>
        <x:v>0</x:v>
      </x:c>
    </x:row>
    <x:row r="2433">
      <x:c r="A2433" s="1" t="n">
        <x:v>18672</x:v>
      </x:c>
      <x:c r="B2433" s="5" t="d">
        <x:v>2015-09-30T00:00:00.000Z</x:v>
      </x:c>
      <x:c r="C2433" s="1" t="str">
        <x:v>Standard Class</x:v>
      </x:c>
      <x:c r="D2433" s="1" t="str">
        <x:v>Europe</x:v>
      </x:c>
      <x:c r="E2433" s="1" t="str">
        <x:v>COMPLETE</x:v>
      </x:c>
      <x:c r="F2433" s="1" t="str">
        <x:v>Advance shipping</x:v>
      </x:c>
      <x:c r="G2433" s="6" t="n">
        <x:v>3</x:v>
      </x:c>
      <x:c r="H2433" s="6" t="n">
        <x:v>4</x:v>
      </x:c>
      <x:c r="I2433" s="6" t="n">
        <x:f>G2433-H2433</x:f>
        <x:v>-1</x:v>
      </x:c>
      <x:c r="J2433" s="6" t="n">
        <x:f>IF(OR(E2433="CANCELED",E2433="SUSPECTED_FRAUD",F2433="Shipping canceled"),0,1)</x:f>
        <x:v>1</x:v>
      </x:c>
      <x:c r="K2433" s="6" t="n">
        <x:f>IF(G2433&gt;H2433,1,0)</x:f>
        <x:v>0</x:v>
      </x:c>
      <x:c r="L2433" s="6" t="n">
        <x:f>J2433*K2433</x:f>
        <x:v>0</x:v>
      </x:c>
    </x:row>
    <x:row r="2434">
      <x:c r="A2434" s="1" t="n">
        <x:v>18683</x:v>
      </x:c>
      <x:c r="B2434" s="5" t="d">
        <x:v>2015-09-30T00:00:00.000Z</x:v>
      </x:c>
      <x:c r="C2434" s="1" t="str">
        <x:v>Standard Class</x:v>
      </x:c>
      <x:c r="D2434" s="1" t="str">
        <x:v>Europe</x:v>
      </x:c>
      <x:c r="E2434" s="1" t="str">
        <x:v>COMPLETE</x:v>
      </x:c>
      <x:c r="F2434" s="1" t="str">
        <x:v>Shipping on time</x:v>
      </x:c>
      <x:c r="G2434" s="6" t="n">
        <x:v>4</x:v>
      </x:c>
      <x:c r="H2434" s="6" t="n">
        <x:v>4</x:v>
      </x:c>
      <x:c r="I2434" s="6" t="n">
        <x:f>G2434-H2434</x:f>
        <x:v>0</x:v>
      </x:c>
      <x:c r="J2434" s="6" t="n">
        <x:f>IF(OR(E2434="CANCELED",E2434="SUSPECTED_FRAUD",F2434="Shipping canceled"),0,1)</x:f>
        <x:v>1</x:v>
      </x:c>
      <x:c r="K2434" s="6" t="n">
        <x:f>IF(G2434&gt;H2434,1,0)</x:f>
        <x:v>0</x:v>
      </x:c>
      <x:c r="L2434" s="6" t="n">
        <x:f>J2434*K2434</x:f>
        <x:v>0</x:v>
      </x:c>
    </x:row>
    <x:row r="2435">
      <x:c r="A2435" s="1" t="n">
        <x:v>18684</x:v>
      </x:c>
      <x:c r="B2435" s="5" t="d">
        <x:v>2015-09-30T00:00:00.000Z</x:v>
      </x:c>
      <x:c r="C2435" s="1" t="str">
        <x:v>Standard Class</x:v>
      </x:c>
      <x:c r="D2435" s="1" t="str">
        <x:v>Europe</x:v>
      </x:c>
      <x:c r="E2435" s="1" t="str">
        <x:v>CLOSED</x:v>
      </x:c>
      <x:c r="F2435" s="1" t="str">
        <x:v>Late delivery</x:v>
      </x:c>
      <x:c r="G2435" s="6" t="n">
        <x:v>5</x:v>
      </x:c>
      <x:c r="H2435" s="6" t="n">
        <x:v>4</x:v>
      </x:c>
      <x:c r="I2435" s="6" t="n">
        <x:f>G2435-H2435</x:f>
        <x:v>1</x:v>
      </x:c>
      <x:c r="J2435" s="6" t="n">
        <x:f>IF(OR(E2435="CANCELED",E2435="SUSPECTED_FRAUD",F2435="Shipping canceled"),0,1)</x:f>
        <x:v>1</x:v>
      </x:c>
      <x:c r="K2435" s="6" t="n">
        <x:f>IF(G2435&gt;H2435,1,0)</x:f>
        <x:v>1</x:v>
      </x:c>
      <x:c r="L2435" s="6" t="n">
        <x:f>J2435*K2435</x:f>
        <x:v>1</x:v>
      </x:c>
    </x:row>
    <x:row r="2436">
      <x:c r="A2436" s="1" t="n">
        <x:v>18688</x:v>
      </x:c>
      <x:c r="B2436" s="5" t="d">
        <x:v>2015-09-30T00:00:00.000Z</x:v>
      </x:c>
      <x:c r="C2436" s="1" t="str">
        <x:v>Standard Class</x:v>
      </x:c>
      <x:c r="D2436" s="1" t="str">
        <x:v>Europe</x:v>
      </x:c>
      <x:c r="E2436" s="1" t="str">
        <x:v>PENDING</x:v>
      </x:c>
      <x:c r="F2436" s="1" t="str">
        <x:v>Shipping on time</x:v>
      </x:c>
      <x:c r="G2436" s="6" t="n">
        <x:v>4</x:v>
      </x:c>
      <x:c r="H2436" s="6" t="n">
        <x:v>4</x:v>
      </x:c>
      <x:c r="I2436" s="6" t="n">
        <x:f>G2436-H2436</x:f>
        <x:v>0</x:v>
      </x:c>
      <x:c r="J2436" s="6" t="n">
        <x:f>IF(OR(E2436="CANCELED",E2436="SUSPECTED_FRAUD",F2436="Shipping canceled"),0,1)</x:f>
        <x:v>1</x:v>
      </x:c>
      <x:c r="K2436" s="6" t="n">
        <x:f>IF(G2436&gt;H2436,1,0)</x:f>
        <x:v>0</x:v>
      </x:c>
      <x:c r="L2436" s="6" t="n">
        <x:f>J2436*K2436</x:f>
        <x:v>0</x:v>
      </x:c>
    </x:row>
    <x:row r="2437">
      <x:c r="A2437" s="1" t="n">
        <x:v>18692</x:v>
      </x:c>
      <x:c r="B2437" s="5" t="d">
        <x:v>2015-09-30T00:00:00.000Z</x:v>
      </x:c>
      <x:c r="C2437" s="1" t="str">
        <x:v>Second Class</x:v>
      </x:c>
      <x:c r="D2437" s="1" t="str">
        <x:v>Europe</x:v>
      </x:c>
      <x:c r="E2437" s="1" t="str">
        <x:v>COMPLETE</x:v>
      </x:c>
      <x:c r="F2437" s="1" t="str">
        <x:v>Late delivery</x:v>
      </x:c>
      <x:c r="G2437" s="6" t="n">
        <x:v>3</x:v>
      </x:c>
      <x:c r="H2437" s="6" t="n">
        <x:v>2</x:v>
      </x:c>
      <x:c r="I2437" s="6" t="n">
        <x:f>G2437-H2437</x:f>
        <x:v>1</x:v>
      </x:c>
      <x:c r="J2437" s="6" t="n">
        <x:f>IF(OR(E2437="CANCELED",E2437="SUSPECTED_FRAUD",F2437="Shipping canceled"),0,1)</x:f>
        <x:v>1</x:v>
      </x:c>
      <x:c r="K2437" s="6" t="n">
        <x:f>IF(G2437&gt;H2437,1,0)</x:f>
        <x:v>1</x:v>
      </x:c>
      <x:c r="L2437" s="6" t="n">
        <x:f>J2437*K2437</x:f>
        <x:v>1</x:v>
      </x:c>
    </x:row>
    <x:row r="2438">
      <x:c r="A2438" s="1" t="n">
        <x:v>18704</x:v>
      </x:c>
      <x:c r="B2438" s="5" t="d">
        <x:v>2015-10-01T00:00:00.000Z</x:v>
      </x:c>
      <x:c r="C2438" s="1" t="str">
        <x:v>Standard Class</x:v>
      </x:c>
      <x:c r="D2438" s="1" t="str">
        <x:v>Europe</x:v>
      </x:c>
      <x:c r="E2438" s="1" t="str">
        <x:v>SUSPECTED_FRAUD</x:v>
      </x:c>
      <x:c r="F2438" s="1" t="str">
        <x:v>Shipping canceled</x:v>
      </x:c>
      <x:c r="G2438" s="6" t="n">
        <x:v>5</x:v>
      </x:c>
      <x:c r="H2438" s="6" t="n">
        <x:v>4</x:v>
      </x:c>
      <x:c r="I2438" s="6" t="n">
        <x:f>G2438-H2438</x:f>
        <x:v>1</x:v>
      </x:c>
      <x:c r="J2438" s="6" t="n">
        <x:f>IF(OR(E2438="CANCELED",E2438="SUSPECTED_FRAUD",F2438="Shipping canceled"),0,1)</x:f>
        <x:v>0</x:v>
      </x:c>
      <x:c r="K2438" s="6" t="n">
        <x:f>IF(G2438&gt;H2438,1,0)</x:f>
        <x:v>1</x:v>
      </x:c>
      <x:c r="L2438" s="6" t="n">
        <x:f>J2438*K2438</x:f>
        <x:v>0</x:v>
      </x:c>
    </x:row>
    <x:row r="2439">
      <x:c r="A2439" s="1" t="n">
        <x:v>18726</x:v>
      </x:c>
      <x:c r="B2439" s="5" t="d">
        <x:v>2015-10-01T00:00:00.000Z</x:v>
      </x:c>
      <x:c r="C2439" s="1" t="str">
        <x:v>Standard Class</x:v>
      </x:c>
      <x:c r="D2439" s="1" t="str">
        <x:v>Europe</x:v>
      </x:c>
      <x:c r="E2439" s="1" t="str">
        <x:v>COMPLETE</x:v>
      </x:c>
      <x:c r="F2439" s="1" t="str">
        <x:v>Advance shipping</x:v>
      </x:c>
      <x:c r="G2439" s="6" t="n">
        <x:v>2</x:v>
      </x:c>
      <x:c r="H2439" s="6" t="n">
        <x:v>4</x:v>
      </x:c>
      <x:c r="I2439" s="6" t="n">
        <x:f>G2439-H2439</x:f>
        <x:v>-2</x:v>
      </x:c>
      <x:c r="J2439" s="6" t="n">
        <x:f>IF(OR(E2439="CANCELED",E2439="SUSPECTED_FRAUD",F2439="Shipping canceled"),0,1)</x:f>
        <x:v>1</x:v>
      </x:c>
      <x:c r="K2439" s="6" t="n">
        <x:f>IF(G2439&gt;H2439,1,0)</x:f>
        <x:v>0</x:v>
      </x:c>
      <x:c r="L2439" s="6" t="n">
        <x:f>J2439*K2439</x:f>
        <x:v>0</x:v>
      </x:c>
    </x:row>
    <x:row r="2440">
      <x:c r="A2440" s="1" t="n">
        <x:v>18729</x:v>
      </x:c>
      <x:c r="B2440" s="5" t="d">
        <x:v>2015-10-01T00:00:00.000Z</x:v>
      </x:c>
      <x:c r="C2440" s="1" t="str">
        <x:v>Standard Class</x:v>
      </x:c>
      <x:c r="D2440" s="1" t="str">
        <x:v>Europe</x:v>
      </x:c>
      <x:c r="E2440" s="1" t="str">
        <x:v>PENDING</x:v>
      </x:c>
      <x:c r="F2440" s="1" t="str">
        <x:v>Late delivery</x:v>
      </x:c>
      <x:c r="G2440" s="6" t="n">
        <x:v>5</x:v>
      </x:c>
      <x:c r="H2440" s="6" t="n">
        <x:v>4</x:v>
      </x:c>
      <x:c r="I2440" s="6" t="n">
        <x:f>G2440-H2440</x:f>
        <x:v>1</x:v>
      </x:c>
      <x:c r="J2440" s="6" t="n">
        <x:f>IF(OR(E2440="CANCELED",E2440="SUSPECTED_FRAUD",F2440="Shipping canceled"),0,1)</x:f>
        <x:v>1</x:v>
      </x:c>
      <x:c r="K2440" s="6" t="n">
        <x:f>IF(G2440&gt;H2440,1,0)</x:f>
        <x:v>1</x:v>
      </x:c>
      <x:c r="L2440" s="6" t="n">
        <x:f>J2440*K2440</x:f>
        <x:v>1</x:v>
      </x:c>
    </x:row>
    <x:row r="2441">
      <x:c r="A2441" s="1" t="n">
        <x:v>18733</x:v>
      </x:c>
      <x:c r="B2441" s="5" t="d">
        <x:v>2015-10-01T00:00:00.000Z</x:v>
      </x:c>
      <x:c r="C2441" s="1" t="str">
        <x:v>Standard Class</x:v>
      </x:c>
      <x:c r="D2441" s="1" t="str">
        <x:v>Europe</x:v>
      </x:c>
      <x:c r="E2441" s="1" t="str">
        <x:v>COMPLETE</x:v>
      </x:c>
      <x:c r="F2441" s="1" t="str">
        <x:v>Shipping on time</x:v>
      </x:c>
      <x:c r="G2441" s="6" t="n">
        <x:v>4</x:v>
      </x:c>
      <x:c r="H2441" s="6" t="n">
        <x:v>4</x:v>
      </x:c>
      <x:c r="I2441" s="6" t="n">
        <x:f>G2441-H2441</x:f>
        <x:v>0</x:v>
      </x:c>
      <x:c r="J2441" s="6" t="n">
        <x:f>IF(OR(E2441="CANCELED",E2441="SUSPECTED_FRAUD",F2441="Shipping canceled"),0,1)</x:f>
        <x:v>1</x:v>
      </x:c>
      <x:c r="K2441" s="6" t="n">
        <x:f>IF(G2441&gt;H2441,1,0)</x:f>
        <x:v>0</x:v>
      </x:c>
      <x:c r="L2441" s="6" t="n">
        <x:f>J2441*K2441</x:f>
        <x:v>0</x:v>
      </x:c>
    </x:row>
    <x:row r="2442">
      <x:c r="A2442" s="1" t="n">
        <x:v>18736</x:v>
      </x:c>
      <x:c r="B2442" s="5" t="d">
        <x:v>2015-10-01T00:00:00.000Z</x:v>
      </x:c>
      <x:c r="C2442" s="1" t="str">
        <x:v>Second Class</x:v>
      </x:c>
      <x:c r="D2442" s="1" t="str">
        <x:v>Europe</x:v>
      </x:c>
      <x:c r="E2442" s="1" t="str">
        <x:v>ON_HOLD</x:v>
      </x:c>
      <x:c r="F2442" s="1" t="str">
        <x:v>Shipping on time</x:v>
      </x:c>
      <x:c r="G2442" s="6" t="n">
        <x:v>2</x:v>
      </x:c>
      <x:c r="H2442" s="6" t="n">
        <x:v>2</x:v>
      </x:c>
      <x:c r="I2442" s="6" t="n">
        <x:f>G2442-H2442</x:f>
        <x:v>0</x:v>
      </x:c>
      <x:c r="J2442" s="6" t="n">
        <x:f>IF(OR(E2442="CANCELED",E2442="SUSPECTED_FRAUD",F2442="Shipping canceled"),0,1)</x:f>
        <x:v>1</x:v>
      </x:c>
      <x:c r="K2442" s="6" t="n">
        <x:f>IF(G2442&gt;H2442,1,0)</x:f>
        <x:v>0</x:v>
      </x:c>
      <x:c r="L2442" s="6" t="n">
        <x:f>J2442*K2442</x:f>
        <x:v>0</x:v>
      </x:c>
    </x:row>
    <x:row r="2443">
      <x:c r="A2443" s="1" t="n">
        <x:v>18743</x:v>
      </x:c>
      <x:c r="B2443" s="5" t="d">
        <x:v>2015-10-01T00:00:00.000Z</x:v>
      </x:c>
      <x:c r="C2443" s="1" t="str">
        <x:v>Standard Class</x:v>
      </x:c>
      <x:c r="D2443" s="1" t="str">
        <x:v>Europe</x:v>
      </x:c>
      <x:c r="E2443" s="1" t="str">
        <x:v>PROCESSING</x:v>
      </x:c>
      <x:c r="F2443" s="1" t="str">
        <x:v>Shipping on time</x:v>
      </x:c>
      <x:c r="G2443" s="6" t="n">
        <x:v>4</x:v>
      </x:c>
      <x:c r="H2443" s="6" t="n">
        <x:v>4</x:v>
      </x:c>
      <x:c r="I2443" s="6" t="n">
        <x:f>G2443-H2443</x:f>
        <x:v>0</x:v>
      </x:c>
      <x:c r="J2443" s="6" t="n">
        <x:f>IF(OR(E2443="CANCELED",E2443="SUSPECTED_FRAUD",F2443="Shipping canceled"),0,1)</x:f>
        <x:v>1</x:v>
      </x:c>
      <x:c r="K2443" s="6" t="n">
        <x:f>IF(G2443&gt;H2443,1,0)</x:f>
        <x:v>0</x:v>
      </x:c>
      <x:c r="L2443" s="6" t="n">
        <x:f>J2443*K2443</x:f>
        <x:v>0</x:v>
      </x:c>
    </x:row>
    <x:row r="2444">
      <x:c r="A2444" s="1" t="n">
        <x:v>18763</x:v>
      </x:c>
      <x:c r="B2444" s="5" t="d">
        <x:v>2015-10-01T00:00:00.000Z</x:v>
      </x:c>
      <x:c r="C2444" s="1" t="str">
        <x:v>First Class</x:v>
      </x:c>
      <x:c r="D2444" s="1" t="str">
        <x:v>Europe</x:v>
      </x:c>
      <x:c r="E2444" s="1" t="str">
        <x:v>CLOSED</x:v>
      </x:c>
      <x:c r="F2444" s="1" t="str">
        <x:v>Late delivery</x:v>
      </x:c>
      <x:c r="G2444" s="6" t="n">
        <x:v>2</x:v>
      </x:c>
      <x:c r="H2444" s="6" t="n">
        <x:v>1</x:v>
      </x:c>
      <x:c r="I2444" s="6" t="n">
        <x:f>G2444-H2444</x:f>
        <x:v>1</x:v>
      </x:c>
      <x:c r="J2444" s="6" t="n">
        <x:f>IF(OR(E2444="CANCELED",E2444="SUSPECTED_FRAUD",F2444="Shipping canceled"),0,1)</x:f>
        <x:v>1</x:v>
      </x:c>
      <x:c r="K2444" s="6" t="n">
        <x:f>IF(G2444&gt;H2444,1,0)</x:f>
        <x:v>1</x:v>
      </x:c>
      <x:c r="L2444" s="6" t="n">
        <x:f>J2444*K2444</x:f>
        <x:v>1</x:v>
      </x:c>
    </x:row>
    <x:row r="2445">
      <x:c r="A2445" s="1" t="n">
        <x:v>18773</x:v>
      </x:c>
      <x:c r="B2445" s="5" t="d">
        <x:v>2015-10-02T00:00:00.000Z</x:v>
      </x:c>
      <x:c r="C2445" s="1" t="str">
        <x:v>Standard Class</x:v>
      </x:c>
      <x:c r="D2445" s="1" t="str">
        <x:v>Europe</x:v>
      </x:c>
      <x:c r="E2445" s="1" t="str">
        <x:v>COMPLETE</x:v>
      </x:c>
      <x:c r="F2445" s="1" t="str">
        <x:v>Shipping on time</x:v>
      </x:c>
      <x:c r="G2445" s="6" t="n">
        <x:v>4</x:v>
      </x:c>
      <x:c r="H2445" s="6" t="n">
        <x:v>4</x:v>
      </x:c>
      <x:c r="I2445" s="6" t="n">
        <x:f>G2445-H2445</x:f>
        <x:v>0</x:v>
      </x:c>
      <x:c r="J2445" s="6" t="n">
        <x:f>IF(OR(E2445="CANCELED",E2445="SUSPECTED_FRAUD",F2445="Shipping canceled"),0,1)</x:f>
        <x:v>1</x:v>
      </x:c>
      <x:c r="K2445" s="6" t="n">
        <x:f>IF(G2445&gt;H2445,1,0)</x:f>
        <x:v>0</x:v>
      </x:c>
      <x:c r="L2445" s="6" t="n">
        <x:f>J2445*K2445</x:f>
        <x:v>0</x:v>
      </x:c>
    </x:row>
    <x:row r="2446">
      <x:c r="A2446" s="1" t="n">
        <x:v>18787</x:v>
      </x:c>
      <x:c r="B2446" s="5" t="d">
        <x:v>2015-10-02T00:00:00.000Z</x:v>
      </x:c>
      <x:c r="C2446" s="1" t="str">
        <x:v>Standard Class</x:v>
      </x:c>
      <x:c r="D2446" s="1" t="str">
        <x:v>Europe</x:v>
      </x:c>
      <x:c r="E2446" s="1" t="str">
        <x:v>PENDING</x:v>
      </x:c>
      <x:c r="F2446" s="1" t="str">
        <x:v>Advance shipping</x:v>
      </x:c>
      <x:c r="G2446" s="6" t="n">
        <x:v>3</x:v>
      </x:c>
      <x:c r="H2446" s="6" t="n">
        <x:v>4</x:v>
      </x:c>
      <x:c r="I2446" s="6" t="n">
        <x:f>G2446-H2446</x:f>
        <x:v>-1</x:v>
      </x:c>
      <x:c r="J2446" s="6" t="n">
        <x:f>IF(OR(E2446="CANCELED",E2446="SUSPECTED_FRAUD",F2446="Shipping canceled"),0,1)</x:f>
        <x:v>1</x:v>
      </x:c>
      <x:c r="K2446" s="6" t="n">
        <x:f>IF(G2446&gt;H2446,1,0)</x:f>
        <x:v>0</x:v>
      </x:c>
      <x:c r="L2446" s="6" t="n">
        <x:f>J2446*K2446</x:f>
        <x:v>0</x:v>
      </x:c>
    </x:row>
    <x:row r="2447">
      <x:c r="A2447" s="1" t="n">
        <x:v>18793</x:v>
      </x:c>
      <x:c r="B2447" s="5" t="d">
        <x:v>2015-10-02T00:00:00.000Z</x:v>
      </x:c>
      <x:c r="C2447" s="1" t="str">
        <x:v>Second Class</x:v>
      </x:c>
      <x:c r="D2447" s="1" t="str">
        <x:v>Europe</x:v>
      </x:c>
      <x:c r="E2447" s="1" t="str">
        <x:v>COMPLETE</x:v>
      </x:c>
      <x:c r="F2447" s="1" t="str">
        <x:v>Late delivery</x:v>
      </x:c>
      <x:c r="G2447" s="6" t="n">
        <x:v>4</x:v>
      </x:c>
      <x:c r="H2447" s="6" t="n">
        <x:v>2</x:v>
      </x:c>
      <x:c r="I2447" s="6" t="n">
        <x:f>G2447-H2447</x:f>
        <x:v>2</x:v>
      </x:c>
      <x:c r="J2447" s="6" t="n">
        <x:f>IF(OR(E2447="CANCELED",E2447="SUSPECTED_FRAUD",F2447="Shipping canceled"),0,1)</x:f>
        <x:v>1</x:v>
      </x:c>
      <x:c r="K2447" s="6" t="n">
        <x:f>IF(G2447&gt;H2447,1,0)</x:f>
        <x:v>1</x:v>
      </x:c>
      <x:c r="L2447" s="6" t="n">
        <x:f>J2447*K2447</x:f>
        <x:v>1</x:v>
      </x:c>
    </x:row>
    <x:row r="2448">
      <x:c r="A2448" s="1" t="n">
        <x:v>18794</x:v>
      </x:c>
      <x:c r="B2448" s="5" t="d">
        <x:v>2015-10-02T00:00:00.000Z</x:v>
      </x:c>
      <x:c r="C2448" s="1" t="str">
        <x:v>Second Class</x:v>
      </x:c>
      <x:c r="D2448" s="1" t="str">
        <x:v>Europe</x:v>
      </x:c>
      <x:c r="E2448" s="1" t="str">
        <x:v>ON_HOLD</x:v>
      </x:c>
      <x:c r="F2448" s="1" t="str">
        <x:v>Late delivery</x:v>
      </x:c>
      <x:c r="G2448" s="6" t="n">
        <x:v>5</x:v>
      </x:c>
      <x:c r="H2448" s="6" t="n">
        <x:v>2</x:v>
      </x:c>
      <x:c r="I2448" s="6" t="n">
        <x:f>G2448-H2448</x:f>
        <x:v>3</x:v>
      </x:c>
      <x:c r="J2448" s="6" t="n">
        <x:f>IF(OR(E2448="CANCELED",E2448="SUSPECTED_FRAUD",F2448="Shipping canceled"),0,1)</x:f>
        <x:v>1</x:v>
      </x:c>
      <x:c r="K2448" s="6" t="n">
        <x:f>IF(G2448&gt;H2448,1,0)</x:f>
        <x:v>1</x:v>
      </x:c>
      <x:c r="L2448" s="6" t="n">
        <x:f>J2448*K2448</x:f>
        <x:v>1</x:v>
      </x:c>
    </x:row>
    <x:row r="2449">
      <x:c r="A2449" s="1" t="n">
        <x:v>18823</x:v>
      </x:c>
      <x:c r="B2449" s="5" t="d">
        <x:v>2015-10-02T00:00:00.000Z</x:v>
      </x:c>
      <x:c r="C2449" s="1" t="str">
        <x:v>Second Class</x:v>
      </x:c>
      <x:c r="D2449" s="1" t="str">
        <x:v>Europe</x:v>
      </x:c>
      <x:c r="E2449" s="1" t="str">
        <x:v>COMPLETE</x:v>
      </x:c>
      <x:c r="F2449" s="1" t="str">
        <x:v>Late delivery</x:v>
      </x:c>
      <x:c r="G2449" s="6" t="n">
        <x:v>4</x:v>
      </x:c>
      <x:c r="H2449" s="6" t="n">
        <x:v>2</x:v>
      </x:c>
      <x:c r="I2449" s="6" t="n">
        <x:f>G2449-H2449</x:f>
        <x:v>2</x:v>
      </x:c>
      <x:c r="J2449" s="6" t="n">
        <x:f>IF(OR(E2449="CANCELED",E2449="SUSPECTED_FRAUD",F2449="Shipping canceled"),0,1)</x:f>
        <x:v>1</x:v>
      </x:c>
      <x:c r="K2449" s="6" t="n">
        <x:f>IF(G2449&gt;H2449,1,0)</x:f>
        <x:v>1</x:v>
      </x:c>
      <x:c r="L2449" s="6" t="n">
        <x:f>J2449*K2449</x:f>
        <x:v>1</x:v>
      </x:c>
    </x:row>
    <x:row r="2450">
      <x:c r="A2450" s="1" t="n">
        <x:v>18832</x:v>
      </x:c>
      <x:c r="B2450" s="5" t="d">
        <x:v>2015-10-02T00:00:00.000Z</x:v>
      </x:c>
      <x:c r="C2450" s="1" t="str">
        <x:v>Standard Class</x:v>
      </x:c>
      <x:c r="D2450" s="1" t="str">
        <x:v>Europe</x:v>
      </x:c>
      <x:c r="E2450" s="1" t="str">
        <x:v>COMPLETE</x:v>
      </x:c>
      <x:c r="F2450" s="1" t="str">
        <x:v>Advance shipping</x:v>
      </x:c>
      <x:c r="G2450" s="6" t="n">
        <x:v>3</x:v>
      </x:c>
      <x:c r="H2450" s="6" t="n">
        <x:v>4</x:v>
      </x:c>
      <x:c r="I2450" s="6" t="n">
        <x:f>G2450-H2450</x:f>
        <x:v>-1</x:v>
      </x:c>
      <x:c r="J2450" s="6" t="n">
        <x:f>IF(OR(E2450="CANCELED",E2450="SUSPECTED_FRAUD",F2450="Shipping canceled"),0,1)</x:f>
        <x:v>1</x:v>
      </x:c>
      <x:c r="K2450" s="6" t="n">
        <x:f>IF(G2450&gt;H2450,1,0)</x:f>
        <x:v>0</x:v>
      </x:c>
      <x:c r="L2450" s="6" t="n">
        <x:f>J2450*K2450</x:f>
        <x:v>0</x:v>
      </x:c>
    </x:row>
    <x:row r="2451">
      <x:c r="A2451" s="1" t="n">
        <x:v>18838</x:v>
      </x:c>
      <x:c r="B2451" s="5" t="d">
        <x:v>2015-10-02T00:00:00.000Z</x:v>
      </x:c>
      <x:c r="C2451" s="1" t="str">
        <x:v>Standard Class</x:v>
      </x:c>
      <x:c r="D2451" s="1" t="str">
        <x:v>Europe</x:v>
      </x:c>
      <x:c r="E2451" s="1" t="str">
        <x:v>COMPLETE</x:v>
      </x:c>
      <x:c r="F2451" s="1" t="str">
        <x:v>Shipping on time</x:v>
      </x:c>
      <x:c r="G2451" s="6" t="n">
        <x:v>4</x:v>
      </x:c>
      <x:c r="H2451" s="6" t="n">
        <x:v>4</x:v>
      </x:c>
      <x:c r="I2451" s="6" t="n">
        <x:f>G2451-H2451</x:f>
        <x:v>0</x:v>
      </x:c>
      <x:c r="J2451" s="6" t="n">
        <x:f>IF(OR(E2451="CANCELED",E2451="SUSPECTED_FRAUD",F2451="Shipping canceled"),0,1)</x:f>
        <x:v>1</x:v>
      </x:c>
      <x:c r="K2451" s="6" t="n">
        <x:f>IF(G2451&gt;H2451,1,0)</x:f>
        <x:v>0</x:v>
      </x:c>
      <x:c r="L2451" s="6" t="n">
        <x:f>J2451*K2451</x:f>
        <x:v>0</x:v>
      </x:c>
    </x:row>
    <x:row r="2452">
      <x:c r="A2452" s="1" t="n">
        <x:v>18841</x:v>
      </x:c>
      <x:c r="B2452" s="5" t="d">
        <x:v>2015-10-03T00:00:00.000Z</x:v>
      </x:c>
      <x:c r="C2452" s="1" t="str">
        <x:v>Standard Class</x:v>
      </x:c>
      <x:c r="D2452" s="1" t="str">
        <x:v>Europe</x:v>
      </x:c>
      <x:c r="E2452" s="1" t="str">
        <x:v>COMPLETE</x:v>
      </x:c>
      <x:c r="F2452" s="1" t="str">
        <x:v>Advance shipping</x:v>
      </x:c>
      <x:c r="G2452" s="6" t="n">
        <x:v>2</x:v>
      </x:c>
      <x:c r="H2452" s="6" t="n">
        <x:v>4</x:v>
      </x:c>
      <x:c r="I2452" s="6" t="n">
        <x:f>G2452-H2452</x:f>
        <x:v>-2</x:v>
      </x:c>
      <x:c r="J2452" s="6" t="n">
        <x:f>IF(OR(E2452="CANCELED",E2452="SUSPECTED_FRAUD",F2452="Shipping canceled"),0,1)</x:f>
        <x:v>1</x:v>
      </x:c>
      <x:c r="K2452" s="6" t="n">
        <x:f>IF(G2452&gt;H2452,1,0)</x:f>
        <x:v>0</x:v>
      </x:c>
      <x:c r="L2452" s="6" t="n">
        <x:f>J2452*K2452</x:f>
        <x:v>0</x:v>
      </x:c>
    </x:row>
    <x:row r="2453">
      <x:c r="A2453" s="1" t="n">
        <x:v>18842</x:v>
      </x:c>
      <x:c r="B2453" s="5" t="d">
        <x:v>2015-10-03T00:00:00.000Z</x:v>
      </x:c>
      <x:c r="C2453" s="1" t="str">
        <x:v>Standard Class</x:v>
      </x:c>
      <x:c r="D2453" s="1" t="str">
        <x:v>Europe</x:v>
      </x:c>
      <x:c r="E2453" s="1" t="str">
        <x:v>COMPLETE</x:v>
      </x:c>
      <x:c r="F2453" s="1" t="str">
        <x:v>Advance shipping</x:v>
      </x:c>
      <x:c r="G2453" s="6" t="n">
        <x:v>3</x:v>
      </x:c>
      <x:c r="H2453" s="6" t="n">
        <x:v>4</x:v>
      </x:c>
      <x:c r="I2453" s="6" t="n">
        <x:f>G2453-H2453</x:f>
        <x:v>-1</x:v>
      </x:c>
      <x:c r="J2453" s="6" t="n">
        <x:f>IF(OR(E2453="CANCELED",E2453="SUSPECTED_FRAUD",F2453="Shipping canceled"),0,1)</x:f>
        <x:v>1</x:v>
      </x:c>
      <x:c r="K2453" s="6" t="n">
        <x:f>IF(G2453&gt;H2453,1,0)</x:f>
        <x:v>0</x:v>
      </x:c>
      <x:c r="L2453" s="6" t="n">
        <x:f>J2453*K2453</x:f>
        <x:v>0</x:v>
      </x:c>
    </x:row>
    <x:row r="2454">
      <x:c r="A2454" s="1" t="n">
        <x:v>18845</x:v>
      </x:c>
      <x:c r="B2454" s="5" t="d">
        <x:v>2015-10-03T00:00:00.000Z</x:v>
      </x:c>
      <x:c r="C2454" s="1" t="str">
        <x:v>Standard Class</x:v>
      </x:c>
      <x:c r="D2454" s="1" t="str">
        <x:v>Europe</x:v>
      </x:c>
      <x:c r="E2454" s="1" t="str">
        <x:v>COMPLETE</x:v>
      </x:c>
      <x:c r="F2454" s="1" t="str">
        <x:v>Late delivery</x:v>
      </x:c>
      <x:c r="G2454" s="6" t="n">
        <x:v>6</x:v>
      </x:c>
      <x:c r="H2454" s="6" t="n">
        <x:v>4</x:v>
      </x:c>
      <x:c r="I2454" s="6" t="n">
        <x:f>G2454-H2454</x:f>
        <x:v>2</x:v>
      </x:c>
      <x:c r="J2454" s="6" t="n">
        <x:f>IF(OR(E2454="CANCELED",E2454="SUSPECTED_FRAUD",F2454="Shipping canceled"),0,1)</x:f>
        <x:v>1</x:v>
      </x:c>
      <x:c r="K2454" s="6" t="n">
        <x:f>IF(G2454&gt;H2454,1,0)</x:f>
        <x:v>1</x:v>
      </x:c>
      <x:c r="L2454" s="6" t="n">
        <x:f>J2454*K2454</x:f>
        <x:v>1</x:v>
      </x:c>
    </x:row>
    <x:row r="2455">
      <x:c r="A2455" s="1" t="n">
        <x:v>18857</x:v>
      </x:c>
      <x:c r="B2455" s="5" t="d">
        <x:v>2015-10-03T00:00:00.000Z</x:v>
      </x:c>
      <x:c r="C2455" s="1" t="str">
        <x:v>Second Class</x:v>
      </x:c>
      <x:c r="D2455" s="1" t="str">
        <x:v>Europe</x:v>
      </x:c>
      <x:c r="E2455" s="1" t="str">
        <x:v>COMPLETE</x:v>
      </x:c>
      <x:c r="F2455" s="1" t="str">
        <x:v>Late delivery</x:v>
      </x:c>
      <x:c r="G2455" s="6" t="n">
        <x:v>3</x:v>
      </x:c>
      <x:c r="H2455" s="6" t="n">
        <x:v>2</x:v>
      </x:c>
      <x:c r="I2455" s="6" t="n">
        <x:f>G2455-H2455</x:f>
        <x:v>1</x:v>
      </x:c>
      <x:c r="J2455" s="6" t="n">
        <x:f>IF(OR(E2455="CANCELED",E2455="SUSPECTED_FRAUD",F2455="Shipping canceled"),0,1)</x:f>
        <x:v>1</x:v>
      </x:c>
      <x:c r="K2455" s="6" t="n">
        <x:f>IF(G2455&gt;H2455,1,0)</x:f>
        <x:v>1</x:v>
      </x:c>
      <x:c r="L2455" s="6" t="n">
        <x:f>J2455*K2455</x:f>
        <x:v>1</x:v>
      </x:c>
    </x:row>
    <x:row r="2456">
      <x:c r="A2456" s="1" t="n">
        <x:v>18870</x:v>
      </x:c>
      <x:c r="B2456" s="5" t="d">
        <x:v>2015-10-03T00:00:00.000Z</x:v>
      </x:c>
      <x:c r="C2456" s="1" t="str">
        <x:v>Standard Class</x:v>
      </x:c>
      <x:c r="D2456" s="1" t="str">
        <x:v>Europe</x:v>
      </x:c>
      <x:c r="E2456" s="1" t="str">
        <x:v>PENDING</x:v>
      </x:c>
      <x:c r="F2456" s="1" t="str">
        <x:v>Late delivery</x:v>
      </x:c>
      <x:c r="G2456" s="6" t="n">
        <x:v>6</x:v>
      </x:c>
      <x:c r="H2456" s="6" t="n">
        <x:v>4</x:v>
      </x:c>
      <x:c r="I2456" s="6" t="n">
        <x:f>G2456-H2456</x:f>
        <x:v>2</x:v>
      </x:c>
      <x:c r="J2456" s="6" t="n">
        <x:f>IF(OR(E2456="CANCELED",E2456="SUSPECTED_FRAUD",F2456="Shipping canceled"),0,1)</x:f>
        <x:v>1</x:v>
      </x:c>
      <x:c r="K2456" s="6" t="n">
        <x:f>IF(G2456&gt;H2456,1,0)</x:f>
        <x:v>1</x:v>
      </x:c>
      <x:c r="L2456" s="6" t="n">
        <x:f>J2456*K2456</x:f>
        <x:v>1</x:v>
      </x:c>
    </x:row>
    <x:row r="2457">
      <x:c r="A2457" s="1" t="n">
        <x:v>18884</x:v>
      </x:c>
      <x:c r="B2457" s="5" t="d">
        <x:v>2015-10-03T00:00:00.000Z</x:v>
      </x:c>
      <x:c r="C2457" s="1" t="str">
        <x:v>Standard Class</x:v>
      </x:c>
      <x:c r="D2457" s="1" t="str">
        <x:v>Europe</x:v>
      </x:c>
      <x:c r="E2457" s="1" t="str">
        <x:v>COMPLETE</x:v>
      </x:c>
      <x:c r="F2457" s="1" t="str">
        <x:v>Late delivery</x:v>
      </x:c>
      <x:c r="G2457" s="6" t="n">
        <x:v>5</x:v>
      </x:c>
      <x:c r="H2457" s="6" t="n">
        <x:v>4</x:v>
      </x:c>
      <x:c r="I2457" s="6" t="n">
        <x:f>G2457-H2457</x:f>
        <x:v>1</x:v>
      </x:c>
      <x:c r="J2457" s="6" t="n">
        <x:f>IF(OR(E2457="CANCELED",E2457="SUSPECTED_FRAUD",F2457="Shipping canceled"),0,1)</x:f>
        <x:v>1</x:v>
      </x:c>
      <x:c r="K2457" s="6" t="n">
        <x:f>IF(G2457&gt;H2457,1,0)</x:f>
        <x:v>1</x:v>
      </x:c>
      <x:c r="L2457" s="6" t="n">
        <x:f>J2457*K2457</x:f>
        <x:v>1</x:v>
      </x:c>
    </x:row>
    <x:row r="2458">
      <x:c r="A2458" s="1" t="n">
        <x:v>18901</x:v>
      </x:c>
      <x:c r="B2458" s="5" t="d">
        <x:v>2015-10-03T00:00:00.000Z</x:v>
      </x:c>
      <x:c r="C2458" s="1" t="str">
        <x:v>Standard Class</x:v>
      </x:c>
      <x:c r="D2458" s="1" t="str">
        <x:v>Europe</x:v>
      </x:c>
      <x:c r="E2458" s="1" t="str">
        <x:v>PENDING_PAYMENT</x:v>
      </x:c>
      <x:c r="F2458" s="1" t="str">
        <x:v>Advance shipping</x:v>
      </x:c>
      <x:c r="G2458" s="6" t="n">
        <x:v>2</x:v>
      </x:c>
      <x:c r="H2458" s="6" t="n">
        <x:v>4</x:v>
      </x:c>
      <x:c r="I2458" s="6" t="n">
        <x:f>G2458-H2458</x:f>
        <x:v>-2</x:v>
      </x:c>
      <x:c r="J2458" s="6" t="n">
        <x:f>IF(OR(E2458="CANCELED",E2458="SUSPECTED_FRAUD",F2458="Shipping canceled"),0,1)</x:f>
        <x:v>1</x:v>
      </x:c>
      <x:c r="K2458" s="6" t="n">
        <x:f>IF(G2458&gt;H2458,1,0)</x:f>
        <x:v>0</x:v>
      </x:c>
      <x:c r="L2458" s="6" t="n">
        <x:f>J2458*K2458</x:f>
        <x:v>0</x:v>
      </x:c>
    </x:row>
    <x:row r="2459">
      <x:c r="A2459" s="1" t="n">
        <x:v>18904</x:v>
      </x:c>
      <x:c r="B2459" s="5" t="d">
        <x:v>2015-10-03T00:00:00.000Z</x:v>
      </x:c>
      <x:c r="C2459" s="1" t="str">
        <x:v>Standard Class</x:v>
      </x:c>
      <x:c r="D2459" s="1" t="str">
        <x:v>Europe</x:v>
      </x:c>
      <x:c r="E2459" s="1" t="str">
        <x:v>COMPLETE</x:v>
      </x:c>
      <x:c r="F2459" s="1" t="str">
        <x:v>Late delivery</x:v>
      </x:c>
      <x:c r="G2459" s="6" t="n">
        <x:v>5</x:v>
      </x:c>
      <x:c r="H2459" s="6" t="n">
        <x:v>4</x:v>
      </x:c>
      <x:c r="I2459" s="6" t="n">
        <x:f>G2459-H2459</x:f>
        <x:v>1</x:v>
      </x:c>
      <x:c r="J2459" s="6" t="n">
        <x:f>IF(OR(E2459="CANCELED",E2459="SUSPECTED_FRAUD",F2459="Shipping canceled"),0,1)</x:f>
        <x:v>1</x:v>
      </x:c>
      <x:c r="K2459" s="6" t="n">
        <x:f>IF(G2459&gt;H2459,1,0)</x:f>
        <x:v>1</x:v>
      </x:c>
      <x:c r="L2459" s="6" t="n">
        <x:f>J2459*K2459</x:f>
        <x:v>1</x:v>
      </x:c>
    </x:row>
    <x:row r="2460">
      <x:c r="A2460" s="1" t="n">
        <x:v>18923</x:v>
      </x:c>
      <x:c r="B2460" s="5" t="d">
        <x:v>2015-10-04T00:00:00.000Z</x:v>
      </x:c>
      <x:c r="C2460" s="1" t="str">
        <x:v>Standard Class</x:v>
      </x:c>
      <x:c r="D2460" s="1" t="str">
        <x:v>Europe</x:v>
      </x:c>
      <x:c r="E2460" s="1" t="str">
        <x:v>PROCESSING</x:v>
      </x:c>
      <x:c r="F2460" s="1" t="str">
        <x:v>Shipping on time</x:v>
      </x:c>
      <x:c r="G2460" s="6" t="n">
        <x:v>4</x:v>
      </x:c>
      <x:c r="H2460" s="6" t="n">
        <x:v>4</x:v>
      </x:c>
      <x:c r="I2460" s="6" t="n">
        <x:f>G2460-H2460</x:f>
        <x:v>0</x:v>
      </x:c>
      <x:c r="J2460" s="6" t="n">
        <x:f>IF(OR(E2460="CANCELED",E2460="SUSPECTED_FRAUD",F2460="Shipping canceled"),0,1)</x:f>
        <x:v>1</x:v>
      </x:c>
      <x:c r="K2460" s="6" t="n">
        <x:f>IF(G2460&gt;H2460,1,0)</x:f>
        <x:v>0</x:v>
      </x:c>
      <x:c r="L2460" s="6" t="n">
        <x:f>J2460*K2460</x:f>
        <x:v>0</x:v>
      </x:c>
    </x:row>
    <x:row r="2461">
      <x:c r="A2461" s="1" t="n">
        <x:v>18924</x:v>
      </x:c>
      <x:c r="B2461" s="5" t="d">
        <x:v>2015-10-04T00:00:00.000Z</x:v>
      </x:c>
      <x:c r="C2461" s="1" t="str">
        <x:v>Standard Class</x:v>
      </x:c>
      <x:c r="D2461" s="1" t="str">
        <x:v>Europe</x:v>
      </x:c>
      <x:c r="E2461" s="1" t="str">
        <x:v>ON_HOLD</x:v>
      </x:c>
      <x:c r="F2461" s="1" t="str">
        <x:v>Late delivery</x:v>
      </x:c>
      <x:c r="G2461" s="6" t="n">
        <x:v>5</x:v>
      </x:c>
      <x:c r="H2461" s="6" t="n">
        <x:v>4</x:v>
      </x:c>
      <x:c r="I2461" s="6" t="n">
        <x:f>G2461-H2461</x:f>
        <x:v>1</x:v>
      </x:c>
      <x:c r="J2461" s="6" t="n">
        <x:f>IF(OR(E2461="CANCELED",E2461="SUSPECTED_FRAUD",F2461="Shipping canceled"),0,1)</x:f>
        <x:v>1</x:v>
      </x:c>
      <x:c r="K2461" s="6" t="n">
        <x:f>IF(G2461&gt;H2461,1,0)</x:f>
        <x:v>1</x:v>
      </x:c>
      <x:c r="L2461" s="6" t="n">
        <x:f>J2461*K2461</x:f>
        <x:v>1</x:v>
      </x:c>
    </x:row>
    <x:row r="2462">
      <x:c r="A2462" s="1" t="n">
        <x:v>18926</x:v>
      </x:c>
      <x:c r="B2462" s="5" t="d">
        <x:v>2015-10-04T00:00:00.000Z</x:v>
      </x:c>
      <x:c r="C2462" s="1" t="str">
        <x:v>Standard Class</x:v>
      </x:c>
      <x:c r="D2462" s="1" t="str">
        <x:v>Europe</x:v>
      </x:c>
      <x:c r="E2462" s="1" t="str">
        <x:v>PROCESSING</x:v>
      </x:c>
      <x:c r="F2462" s="1" t="str">
        <x:v>Advance shipping</x:v>
      </x:c>
      <x:c r="G2462" s="6" t="n">
        <x:v>2</x:v>
      </x:c>
      <x:c r="H2462" s="6" t="n">
        <x:v>4</x:v>
      </x:c>
      <x:c r="I2462" s="6" t="n">
        <x:f>G2462-H2462</x:f>
        <x:v>-2</x:v>
      </x:c>
      <x:c r="J2462" s="6" t="n">
        <x:f>IF(OR(E2462="CANCELED",E2462="SUSPECTED_FRAUD",F2462="Shipping canceled"),0,1)</x:f>
        <x:v>1</x:v>
      </x:c>
      <x:c r="K2462" s="6" t="n">
        <x:f>IF(G2462&gt;H2462,1,0)</x:f>
        <x:v>0</x:v>
      </x:c>
      <x:c r="L2462" s="6" t="n">
        <x:f>J2462*K2462</x:f>
        <x:v>0</x:v>
      </x:c>
    </x:row>
    <x:row r="2463">
      <x:c r="A2463" s="1" t="n">
        <x:v>18934</x:v>
      </x:c>
      <x:c r="B2463" s="5" t="d">
        <x:v>2015-10-04T00:00:00.000Z</x:v>
      </x:c>
      <x:c r="C2463" s="1" t="str">
        <x:v>Standard Class</x:v>
      </x:c>
      <x:c r="D2463" s="1" t="str">
        <x:v>Europe</x:v>
      </x:c>
      <x:c r="E2463" s="1" t="str">
        <x:v>COMPLETE</x:v>
      </x:c>
      <x:c r="F2463" s="1" t="str">
        <x:v>Late delivery</x:v>
      </x:c>
      <x:c r="G2463" s="6" t="n">
        <x:v>5</x:v>
      </x:c>
      <x:c r="H2463" s="6" t="n">
        <x:v>4</x:v>
      </x:c>
      <x:c r="I2463" s="6" t="n">
        <x:f>G2463-H2463</x:f>
        <x:v>1</x:v>
      </x:c>
      <x:c r="J2463" s="6" t="n">
        <x:f>IF(OR(E2463="CANCELED",E2463="SUSPECTED_FRAUD",F2463="Shipping canceled"),0,1)</x:f>
        <x:v>1</x:v>
      </x:c>
      <x:c r="K2463" s="6" t="n">
        <x:f>IF(G2463&gt;H2463,1,0)</x:f>
        <x:v>1</x:v>
      </x:c>
      <x:c r="L2463" s="6" t="n">
        <x:f>J2463*K2463</x:f>
        <x:v>1</x:v>
      </x:c>
    </x:row>
    <x:row r="2464">
      <x:c r="A2464" s="1" t="n">
        <x:v>18938</x:v>
      </x:c>
      <x:c r="B2464" s="5" t="d">
        <x:v>2015-10-04T00:00:00.000Z</x:v>
      </x:c>
      <x:c r="C2464" s="1" t="str">
        <x:v>First Class</x:v>
      </x:c>
      <x:c r="D2464" s="1" t="str">
        <x:v>Europe</x:v>
      </x:c>
      <x:c r="E2464" s="1" t="str">
        <x:v>PROCESSING</x:v>
      </x:c>
      <x:c r="F2464" s="1" t="str">
        <x:v>Late delivery</x:v>
      </x:c>
      <x:c r="G2464" s="6" t="n">
        <x:v>2</x:v>
      </x:c>
      <x:c r="H2464" s="6" t="n">
        <x:v>1</x:v>
      </x:c>
      <x:c r="I2464" s="6" t="n">
        <x:f>G2464-H2464</x:f>
        <x:v>1</x:v>
      </x:c>
      <x:c r="J2464" s="6" t="n">
        <x:f>IF(OR(E2464="CANCELED",E2464="SUSPECTED_FRAUD",F2464="Shipping canceled"),0,1)</x:f>
        <x:v>1</x:v>
      </x:c>
      <x:c r="K2464" s="6" t="n">
        <x:f>IF(G2464&gt;H2464,1,0)</x:f>
        <x:v>1</x:v>
      </x:c>
      <x:c r="L2464" s="6" t="n">
        <x:f>J2464*K2464</x:f>
        <x:v>1</x:v>
      </x:c>
    </x:row>
    <x:row r="2465">
      <x:c r="A2465" s="1" t="n">
        <x:v>18950</x:v>
      </x:c>
      <x:c r="B2465" s="5" t="d">
        <x:v>2015-10-04T00:00:00.000Z</x:v>
      </x:c>
      <x:c r="C2465" s="1" t="str">
        <x:v>Second Class</x:v>
      </x:c>
      <x:c r="D2465" s="1" t="str">
        <x:v>Europe</x:v>
      </x:c>
      <x:c r="E2465" s="1" t="str">
        <x:v>COMPLETE</x:v>
      </x:c>
      <x:c r="F2465" s="1" t="str">
        <x:v>Late delivery</x:v>
      </x:c>
      <x:c r="G2465" s="6" t="n">
        <x:v>6</x:v>
      </x:c>
      <x:c r="H2465" s="6" t="n">
        <x:v>2</x:v>
      </x:c>
      <x:c r="I2465" s="6" t="n">
        <x:f>G2465-H2465</x:f>
        <x:v>4</x:v>
      </x:c>
      <x:c r="J2465" s="6" t="n">
        <x:f>IF(OR(E2465="CANCELED",E2465="SUSPECTED_FRAUD",F2465="Shipping canceled"),0,1)</x:f>
        <x:v>1</x:v>
      </x:c>
      <x:c r="K2465" s="6" t="n">
        <x:f>IF(G2465&gt;H2465,1,0)</x:f>
        <x:v>1</x:v>
      </x:c>
      <x:c r="L2465" s="6" t="n">
        <x:f>J2465*K2465</x:f>
        <x:v>1</x:v>
      </x:c>
    </x:row>
    <x:row r="2466">
      <x:c r="A2466" s="1" t="n">
        <x:v>18961</x:v>
      </x:c>
      <x:c r="B2466" s="5" t="d">
        <x:v>2015-10-04T00:00:00.000Z</x:v>
      </x:c>
      <x:c r="C2466" s="1" t="str">
        <x:v>Standard Class</x:v>
      </x:c>
      <x:c r="D2466" s="1" t="str">
        <x:v>Europe</x:v>
      </x:c>
      <x:c r="E2466" s="1" t="str">
        <x:v>PROCESSING</x:v>
      </x:c>
      <x:c r="F2466" s="1" t="str">
        <x:v>Advance shipping</x:v>
      </x:c>
      <x:c r="G2466" s="6" t="n">
        <x:v>2</x:v>
      </x:c>
      <x:c r="H2466" s="6" t="n">
        <x:v>4</x:v>
      </x:c>
      <x:c r="I2466" s="6" t="n">
        <x:f>G2466-H2466</x:f>
        <x:v>-2</x:v>
      </x:c>
      <x:c r="J2466" s="6" t="n">
        <x:f>IF(OR(E2466="CANCELED",E2466="SUSPECTED_FRAUD",F2466="Shipping canceled"),0,1)</x:f>
        <x:v>1</x:v>
      </x:c>
      <x:c r="K2466" s="6" t="n">
        <x:f>IF(G2466&gt;H2466,1,0)</x:f>
        <x:v>0</x:v>
      </x:c>
      <x:c r="L2466" s="6" t="n">
        <x:f>J2466*K2466</x:f>
        <x:v>0</x:v>
      </x:c>
    </x:row>
    <x:row r="2467">
      <x:c r="A2467" s="1" t="n">
        <x:v>18970</x:v>
      </x:c>
      <x:c r="B2467" s="5" t="d">
        <x:v>2015-10-04T00:00:00.000Z</x:v>
      </x:c>
      <x:c r="C2467" s="1" t="str">
        <x:v>Standard Class</x:v>
      </x:c>
      <x:c r="D2467" s="1" t="str">
        <x:v>Europe</x:v>
      </x:c>
      <x:c r="E2467" s="1" t="str">
        <x:v>COMPLETE</x:v>
      </x:c>
      <x:c r="F2467" s="1" t="str">
        <x:v>Late delivery</x:v>
      </x:c>
      <x:c r="G2467" s="6" t="n">
        <x:v>6</x:v>
      </x:c>
      <x:c r="H2467" s="6" t="n">
        <x:v>4</x:v>
      </x:c>
      <x:c r="I2467" s="6" t="n">
        <x:f>G2467-H2467</x:f>
        <x:v>2</x:v>
      </x:c>
      <x:c r="J2467" s="6" t="n">
        <x:f>IF(OR(E2467="CANCELED",E2467="SUSPECTED_FRAUD",F2467="Shipping canceled"),0,1)</x:f>
        <x:v>1</x:v>
      </x:c>
      <x:c r="K2467" s="6" t="n">
        <x:f>IF(G2467&gt;H2467,1,0)</x:f>
        <x:v>1</x:v>
      </x:c>
      <x:c r="L2467" s="6" t="n">
        <x:f>J2467*K2467</x:f>
        <x:v>1</x:v>
      </x:c>
    </x:row>
    <x:row r="2468">
      <x:c r="A2468" s="1" t="n">
        <x:v>18973</x:v>
      </x:c>
      <x:c r="B2468" s="5" t="d">
        <x:v>2015-10-04T00:00:00.000Z</x:v>
      </x:c>
      <x:c r="C2468" s="1" t="str">
        <x:v>Standard Class</x:v>
      </x:c>
      <x:c r="D2468" s="1" t="str">
        <x:v>Europe</x:v>
      </x:c>
      <x:c r="E2468" s="1" t="str">
        <x:v>COMPLETE</x:v>
      </x:c>
      <x:c r="F2468" s="1" t="str">
        <x:v>Shipping on time</x:v>
      </x:c>
      <x:c r="G2468" s="6" t="n">
        <x:v>4</x:v>
      </x:c>
      <x:c r="H2468" s="6" t="n">
        <x:v>4</x:v>
      </x:c>
      <x:c r="I2468" s="6" t="n">
        <x:f>G2468-H2468</x:f>
        <x:v>0</x:v>
      </x:c>
      <x:c r="J2468" s="6" t="n">
        <x:f>IF(OR(E2468="CANCELED",E2468="SUSPECTED_FRAUD",F2468="Shipping canceled"),0,1)</x:f>
        <x:v>1</x:v>
      </x:c>
      <x:c r="K2468" s="6" t="n">
        <x:f>IF(G2468&gt;H2468,1,0)</x:f>
        <x:v>0</x:v>
      </x:c>
      <x:c r="L2468" s="6" t="n">
        <x:f>J2468*K2468</x:f>
        <x:v>0</x:v>
      </x:c>
    </x:row>
    <x:row r="2469">
      <x:c r="A2469" s="1" t="n">
        <x:v>18983</x:v>
      </x:c>
      <x:c r="B2469" s="5" t="d">
        <x:v>2015-10-05T00:00:00.000Z</x:v>
      </x:c>
      <x:c r="C2469" s="1" t="str">
        <x:v>Standard Class</x:v>
      </x:c>
      <x:c r="D2469" s="1" t="str">
        <x:v>Europe</x:v>
      </x:c>
      <x:c r="E2469" s="1" t="str">
        <x:v>PENDING</x:v>
      </x:c>
      <x:c r="F2469" s="1" t="str">
        <x:v>Shipping on time</x:v>
      </x:c>
      <x:c r="G2469" s="6" t="n">
        <x:v>4</x:v>
      </x:c>
      <x:c r="H2469" s="6" t="n">
        <x:v>4</x:v>
      </x:c>
      <x:c r="I2469" s="6" t="n">
        <x:f>G2469-H2469</x:f>
        <x:v>0</x:v>
      </x:c>
      <x:c r="J2469" s="6" t="n">
        <x:f>IF(OR(E2469="CANCELED",E2469="SUSPECTED_FRAUD",F2469="Shipping canceled"),0,1)</x:f>
        <x:v>1</x:v>
      </x:c>
      <x:c r="K2469" s="6" t="n">
        <x:f>IF(G2469&gt;H2469,1,0)</x:f>
        <x:v>0</x:v>
      </x:c>
      <x:c r="L2469" s="6" t="n">
        <x:f>J2469*K2469</x:f>
        <x:v>0</x:v>
      </x:c>
    </x:row>
    <x:row r="2470">
      <x:c r="A2470" s="1" t="n">
        <x:v>18991</x:v>
      </x:c>
      <x:c r="B2470" s="5" t="d">
        <x:v>2015-10-05T00:00:00.000Z</x:v>
      </x:c>
      <x:c r="C2470" s="1" t="str">
        <x:v>Standard Class</x:v>
      </x:c>
      <x:c r="D2470" s="1" t="str">
        <x:v>Europe</x:v>
      </x:c>
      <x:c r="E2470" s="1" t="str">
        <x:v>PENDING</x:v>
      </x:c>
      <x:c r="F2470" s="1" t="str">
        <x:v>Advance shipping</x:v>
      </x:c>
      <x:c r="G2470" s="6" t="n">
        <x:v>2</x:v>
      </x:c>
      <x:c r="H2470" s="6" t="n">
        <x:v>4</x:v>
      </x:c>
      <x:c r="I2470" s="6" t="n">
        <x:f>G2470-H2470</x:f>
        <x:v>-2</x:v>
      </x:c>
      <x:c r="J2470" s="6" t="n">
        <x:f>IF(OR(E2470="CANCELED",E2470="SUSPECTED_FRAUD",F2470="Shipping canceled"),0,1)</x:f>
        <x:v>1</x:v>
      </x:c>
      <x:c r="K2470" s="6" t="n">
        <x:f>IF(G2470&gt;H2470,1,0)</x:f>
        <x:v>0</x:v>
      </x:c>
      <x:c r="L2470" s="6" t="n">
        <x:f>J2470*K2470</x:f>
        <x:v>0</x:v>
      </x:c>
    </x:row>
    <x:row r="2471">
      <x:c r="A2471" s="1" t="n">
        <x:v>18997</x:v>
      </x:c>
      <x:c r="B2471" s="5" t="d">
        <x:v>2015-10-05T00:00:00.000Z</x:v>
      </x:c>
      <x:c r="C2471" s="1" t="str">
        <x:v>Standard Class</x:v>
      </x:c>
      <x:c r="D2471" s="1" t="str">
        <x:v>Europe</x:v>
      </x:c>
      <x:c r="E2471" s="1" t="str">
        <x:v>COMPLETE</x:v>
      </x:c>
      <x:c r="F2471" s="1" t="str">
        <x:v>Advance shipping</x:v>
      </x:c>
      <x:c r="G2471" s="6" t="n">
        <x:v>3</x:v>
      </x:c>
      <x:c r="H2471" s="6" t="n">
        <x:v>4</x:v>
      </x:c>
      <x:c r="I2471" s="6" t="n">
        <x:f>G2471-H2471</x:f>
        <x:v>-1</x:v>
      </x:c>
      <x:c r="J2471" s="6" t="n">
        <x:f>IF(OR(E2471="CANCELED",E2471="SUSPECTED_FRAUD",F2471="Shipping canceled"),0,1)</x:f>
        <x:v>1</x:v>
      </x:c>
      <x:c r="K2471" s="6" t="n">
        <x:f>IF(G2471&gt;H2471,1,0)</x:f>
        <x:v>0</x:v>
      </x:c>
      <x:c r="L2471" s="6" t="n">
        <x:f>J2471*K2471</x:f>
        <x:v>0</x:v>
      </x:c>
    </x:row>
    <x:row r="2472">
      <x:c r="A2472" s="1" t="n">
        <x:v>18998</x:v>
      </x:c>
      <x:c r="B2472" s="5" t="d">
        <x:v>2015-10-05T00:00:00.000Z</x:v>
      </x:c>
      <x:c r="C2472" s="1" t="str">
        <x:v>Standard Class</x:v>
      </x:c>
      <x:c r="D2472" s="1" t="str">
        <x:v>Europe</x:v>
      </x:c>
      <x:c r="E2472" s="1" t="str">
        <x:v>CANCELED</x:v>
      </x:c>
      <x:c r="F2472" s="1" t="str">
        <x:v>Shipping canceled</x:v>
      </x:c>
      <x:c r="G2472" s="6" t="n">
        <x:v>4</x:v>
      </x:c>
      <x:c r="H2472" s="6" t="n">
        <x:v>4</x:v>
      </x:c>
      <x:c r="I2472" s="6" t="n">
        <x:f>G2472-H2472</x:f>
        <x:v>0</x:v>
      </x:c>
      <x:c r="J2472" s="6" t="n">
        <x:f>IF(OR(E2472="CANCELED",E2472="SUSPECTED_FRAUD",F2472="Shipping canceled"),0,1)</x:f>
        <x:v>0</x:v>
      </x:c>
      <x:c r="K2472" s="6" t="n">
        <x:f>IF(G2472&gt;H2472,1,0)</x:f>
        <x:v>0</x:v>
      </x:c>
      <x:c r="L2472" s="6" t="n">
        <x:f>J2472*K2472</x:f>
        <x:v>0</x:v>
      </x:c>
    </x:row>
    <x:row r="2473">
      <x:c r="A2473" s="1" t="n">
        <x:v>19000</x:v>
      </x:c>
      <x:c r="B2473" s="5" t="d">
        <x:v>2015-10-05T00:00:00.000Z</x:v>
      </x:c>
      <x:c r="C2473" s="1" t="str">
        <x:v>Standard Class</x:v>
      </x:c>
      <x:c r="D2473" s="1" t="str">
        <x:v>Europe</x:v>
      </x:c>
      <x:c r="E2473" s="1" t="str">
        <x:v>ON_HOLD</x:v>
      </x:c>
      <x:c r="F2473" s="1" t="str">
        <x:v>Late delivery</x:v>
      </x:c>
      <x:c r="G2473" s="6" t="n">
        <x:v>6</x:v>
      </x:c>
      <x:c r="H2473" s="6" t="n">
        <x:v>4</x:v>
      </x:c>
      <x:c r="I2473" s="6" t="n">
        <x:f>G2473-H2473</x:f>
        <x:v>2</x:v>
      </x:c>
      <x:c r="J2473" s="6" t="n">
        <x:f>IF(OR(E2473="CANCELED",E2473="SUSPECTED_FRAUD",F2473="Shipping canceled"),0,1)</x:f>
        <x:v>1</x:v>
      </x:c>
      <x:c r="K2473" s="6" t="n">
        <x:f>IF(G2473&gt;H2473,1,0)</x:f>
        <x:v>1</x:v>
      </x:c>
      <x:c r="L2473" s="6" t="n">
        <x:f>J2473*K2473</x:f>
        <x:v>1</x:v>
      </x:c>
    </x:row>
    <x:row r="2474">
      <x:c r="A2474" s="1" t="n">
        <x:v>19009</x:v>
      </x:c>
      <x:c r="B2474" s="5" t="d">
        <x:v>2015-10-05T00:00:00.000Z</x:v>
      </x:c>
      <x:c r="C2474" s="1" t="str">
        <x:v>Standard Class</x:v>
      </x:c>
      <x:c r="D2474" s="1" t="str">
        <x:v>Europe</x:v>
      </x:c>
      <x:c r="E2474" s="1" t="str">
        <x:v>PROCESSING</x:v>
      </x:c>
      <x:c r="F2474" s="1" t="str">
        <x:v>Late delivery</x:v>
      </x:c>
      <x:c r="G2474" s="6" t="n">
        <x:v>5</x:v>
      </x:c>
      <x:c r="H2474" s="6" t="n">
        <x:v>4</x:v>
      </x:c>
      <x:c r="I2474" s="6" t="n">
        <x:f>G2474-H2474</x:f>
        <x:v>1</x:v>
      </x:c>
      <x:c r="J2474" s="6" t="n">
        <x:f>IF(OR(E2474="CANCELED",E2474="SUSPECTED_FRAUD",F2474="Shipping canceled"),0,1)</x:f>
        <x:v>1</x:v>
      </x:c>
      <x:c r="K2474" s="6" t="n">
        <x:f>IF(G2474&gt;H2474,1,0)</x:f>
        <x:v>1</x:v>
      </x:c>
      <x:c r="L2474" s="6" t="n">
        <x:f>J2474*K2474</x:f>
        <x:v>1</x:v>
      </x:c>
    </x:row>
    <x:row r="2475">
      <x:c r="A2475" s="1" t="n">
        <x:v>19010</x:v>
      </x:c>
      <x:c r="B2475" s="5" t="d">
        <x:v>2015-10-05T00:00:00.000Z</x:v>
      </x:c>
      <x:c r="C2475" s="1" t="str">
        <x:v>Standard Class</x:v>
      </x:c>
      <x:c r="D2475" s="1" t="str">
        <x:v>Europe</x:v>
      </x:c>
      <x:c r="E2475" s="1" t="str">
        <x:v>CLOSED</x:v>
      </x:c>
      <x:c r="F2475" s="1" t="str">
        <x:v>Late delivery</x:v>
      </x:c>
      <x:c r="G2475" s="6" t="n">
        <x:v>6</x:v>
      </x:c>
      <x:c r="H2475" s="6" t="n">
        <x:v>4</x:v>
      </x:c>
      <x:c r="I2475" s="6" t="n">
        <x:f>G2475-H2475</x:f>
        <x:v>2</x:v>
      </x:c>
      <x:c r="J2475" s="6" t="n">
        <x:f>IF(OR(E2475="CANCELED",E2475="SUSPECTED_FRAUD",F2475="Shipping canceled"),0,1)</x:f>
        <x:v>1</x:v>
      </x:c>
      <x:c r="K2475" s="6" t="n">
        <x:f>IF(G2475&gt;H2475,1,0)</x:f>
        <x:v>1</x:v>
      </x:c>
      <x:c r="L2475" s="6" t="n">
        <x:f>J2475*K2475</x:f>
        <x:v>1</x:v>
      </x:c>
    </x:row>
    <x:row r="2476">
      <x:c r="A2476" s="1" t="n">
        <x:v>19024</x:v>
      </x:c>
      <x:c r="B2476" s="5" t="d">
        <x:v>2015-10-05T00:00:00.000Z</x:v>
      </x:c>
      <x:c r="C2476" s="1" t="str">
        <x:v>Standard Class</x:v>
      </x:c>
      <x:c r="D2476" s="1" t="str">
        <x:v>Europe</x:v>
      </x:c>
      <x:c r="E2476" s="1" t="str">
        <x:v>PENDING</x:v>
      </x:c>
      <x:c r="F2476" s="1" t="str">
        <x:v>Late delivery</x:v>
      </x:c>
      <x:c r="G2476" s="6" t="n">
        <x:v>5</x:v>
      </x:c>
      <x:c r="H2476" s="6" t="n">
        <x:v>4</x:v>
      </x:c>
      <x:c r="I2476" s="6" t="n">
        <x:f>G2476-H2476</x:f>
        <x:v>1</x:v>
      </x:c>
      <x:c r="J2476" s="6" t="n">
        <x:f>IF(OR(E2476="CANCELED",E2476="SUSPECTED_FRAUD",F2476="Shipping canceled"),0,1)</x:f>
        <x:v>1</x:v>
      </x:c>
      <x:c r="K2476" s="6" t="n">
        <x:f>IF(G2476&gt;H2476,1,0)</x:f>
        <x:v>1</x:v>
      </x:c>
      <x:c r="L2476" s="6" t="n">
        <x:f>J2476*K2476</x:f>
        <x:v>1</x:v>
      </x:c>
    </x:row>
    <x:row r="2477">
      <x:c r="A2477" s="1" t="n">
        <x:v>19027</x:v>
      </x:c>
      <x:c r="B2477" s="5" t="d">
        <x:v>2015-10-05T00:00:00.000Z</x:v>
      </x:c>
      <x:c r="C2477" s="1" t="str">
        <x:v>Second Class</x:v>
      </x:c>
      <x:c r="D2477" s="1" t="str">
        <x:v>Europe</x:v>
      </x:c>
      <x:c r="E2477" s="1" t="str">
        <x:v>COMPLETE</x:v>
      </x:c>
      <x:c r="F2477" s="1" t="str">
        <x:v>Late delivery</x:v>
      </x:c>
      <x:c r="G2477" s="6" t="n">
        <x:v>3</x:v>
      </x:c>
      <x:c r="H2477" s="6" t="n">
        <x:v>2</x:v>
      </x:c>
      <x:c r="I2477" s="6" t="n">
        <x:f>G2477-H2477</x:f>
        <x:v>1</x:v>
      </x:c>
      <x:c r="J2477" s="6" t="n">
        <x:f>IF(OR(E2477="CANCELED",E2477="SUSPECTED_FRAUD",F2477="Shipping canceled"),0,1)</x:f>
        <x:v>1</x:v>
      </x:c>
      <x:c r="K2477" s="6" t="n">
        <x:f>IF(G2477&gt;H2477,1,0)</x:f>
        <x:v>1</x:v>
      </x:c>
      <x:c r="L2477" s="6" t="n">
        <x:f>J2477*K2477</x:f>
        <x:v>1</x:v>
      </x:c>
    </x:row>
    <x:row r="2478">
      <x:c r="A2478" s="1" t="n">
        <x:v>19030</x:v>
      </x:c>
      <x:c r="B2478" s="5" t="d">
        <x:v>2015-10-05T00:00:00.000Z</x:v>
      </x:c>
      <x:c r="C2478" s="1" t="str">
        <x:v>Standard Class</x:v>
      </x:c>
      <x:c r="D2478" s="1" t="str">
        <x:v>Europe</x:v>
      </x:c>
      <x:c r="E2478" s="1" t="str">
        <x:v>COMPLETE</x:v>
      </x:c>
      <x:c r="F2478" s="1" t="str">
        <x:v>Late delivery</x:v>
      </x:c>
      <x:c r="G2478" s="6" t="n">
        <x:v>6</x:v>
      </x:c>
      <x:c r="H2478" s="6" t="n">
        <x:v>4</x:v>
      </x:c>
      <x:c r="I2478" s="6" t="n">
        <x:f>G2478-H2478</x:f>
        <x:v>2</x:v>
      </x:c>
      <x:c r="J2478" s="6" t="n">
        <x:f>IF(OR(E2478="CANCELED",E2478="SUSPECTED_FRAUD",F2478="Shipping canceled"),0,1)</x:f>
        <x:v>1</x:v>
      </x:c>
      <x:c r="K2478" s="6" t="n">
        <x:f>IF(G2478&gt;H2478,1,0)</x:f>
        <x:v>1</x:v>
      </x:c>
      <x:c r="L2478" s="6" t="n">
        <x:f>J2478*K2478</x:f>
        <x:v>1</x:v>
      </x:c>
    </x:row>
    <x:row r="2479">
      <x:c r="A2479" s="1" t="n">
        <x:v>19032</x:v>
      </x:c>
      <x:c r="B2479" s="5" t="d">
        <x:v>2015-10-05T00:00:00.000Z</x:v>
      </x:c>
      <x:c r="C2479" s="1" t="str">
        <x:v>Standard Class</x:v>
      </x:c>
      <x:c r="D2479" s="1" t="str">
        <x:v>Europe</x:v>
      </x:c>
      <x:c r="E2479" s="1" t="str">
        <x:v>PENDING</x:v>
      </x:c>
      <x:c r="F2479" s="1" t="str">
        <x:v>Advance shipping</x:v>
      </x:c>
      <x:c r="G2479" s="6" t="n">
        <x:v>3</x:v>
      </x:c>
      <x:c r="H2479" s="6" t="n">
        <x:v>4</x:v>
      </x:c>
      <x:c r="I2479" s="6" t="n">
        <x:f>G2479-H2479</x:f>
        <x:v>-1</x:v>
      </x:c>
      <x:c r="J2479" s="6" t="n">
        <x:f>IF(OR(E2479="CANCELED",E2479="SUSPECTED_FRAUD",F2479="Shipping canceled"),0,1)</x:f>
        <x:v>1</x:v>
      </x:c>
      <x:c r="K2479" s="6" t="n">
        <x:f>IF(G2479&gt;H2479,1,0)</x:f>
        <x:v>0</x:v>
      </x:c>
      <x:c r="L2479" s="6" t="n">
        <x:f>J2479*K2479</x:f>
        <x:v>0</x:v>
      </x:c>
    </x:row>
    <x:row r="2480">
      <x:c r="A2480" s="1" t="n">
        <x:v>19035</x:v>
      </x:c>
      <x:c r="B2480" s="5" t="d">
        <x:v>2015-10-05T00:00:00.000Z</x:v>
      </x:c>
      <x:c r="C2480" s="1" t="str">
        <x:v>Standard Class</x:v>
      </x:c>
      <x:c r="D2480" s="1" t="str">
        <x:v>Europe</x:v>
      </x:c>
      <x:c r="E2480" s="1" t="str">
        <x:v>PENDING_PAYMENT</x:v>
      </x:c>
      <x:c r="F2480" s="1" t="str">
        <x:v>Late delivery</x:v>
      </x:c>
      <x:c r="G2480" s="6" t="n">
        <x:v>6</x:v>
      </x:c>
      <x:c r="H2480" s="6" t="n">
        <x:v>4</x:v>
      </x:c>
      <x:c r="I2480" s="6" t="n">
        <x:f>G2480-H2480</x:f>
        <x:v>2</x:v>
      </x:c>
      <x:c r="J2480" s="6" t="n">
        <x:f>IF(OR(E2480="CANCELED",E2480="SUSPECTED_FRAUD",F2480="Shipping canceled"),0,1)</x:f>
        <x:v>1</x:v>
      </x:c>
      <x:c r="K2480" s="6" t="n">
        <x:f>IF(G2480&gt;H2480,1,0)</x:f>
        <x:v>1</x:v>
      </x:c>
      <x:c r="L2480" s="6" t="n">
        <x:f>J2480*K2480</x:f>
        <x:v>1</x:v>
      </x:c>
    </x:row>
    <x:row r="2481">
      <x:c r="A2481" s="1" t="n">
        <x:v>19036</x:v>
      </x:c>
      <x:c r="B2481" s="5" t="d">
        <x:v>2015-10-05T00:00:00.000Z</x:v>
      </x:c>
      <x:c r="C2481" s="1" t="str">
        <x:v>Standard Class</x:v>
      </x:c>
      <x:c r="D2481" s="1" t="str">
        <x:v>Europe</x:v>
      </x:c>
      <x:c r="E2481" s="1" t="str">
        <x:v>COMPLETE</x:v>
      </x:c>
      <x:c r="F2481" s="1" t="str">
        <x:v>Advance shipping</x:v>
      </x:c>
      <x:c r="G2481" s="6" t="n">
        <x:v>2</x:v>
      </x:c>
      <x:c r="H2481" s="6" t="n">
        <x:v>4</x:v>
      </x:c>
      <x:c r="I2481" s="6" t="n">
        <x:f>G2481-H2481</x:f>
        <x:v>-2</x:v>
      </x:c>
      <x:c r="J2481" s="6" t="n">
        <x:f>IF(OR(E2481="CANCELED",E2481="SUSPECTED_FRAUD",F2481="Shipping canceled"),0,1)</x:f>
        <x:v>1</x:v>
      </x:c>
      <x:c r="K2481" s="6" t="n">
        <x:f>IF(G2481&gt;H2481,1,0)</x:f>
        <x:v>0</x:v>
      </x:c>
      <x:c r="L2481" s="6" t="n">
        <x:f>J2481*K2481</x:f>
        <x:v>0</x:v>
      </x:c>
    </x:row>
    <x:row r="2482">
      <x:c r="A2482" s="1" t="n">
        <x:v>19041</x:v>
      </x:c>
      <x:c r="B2482" s="5" t="d">
        <x:v>2015-10-05T00:00:00.000Z</x:v>
      </x:c>
      <x:c r="C2482" s="1" t="str">
        <x:v>Standard Class</x:v>
      </x:c>
      <x:c r="D2482" s="1" t="str">
        <x:v>Europe</x:v>
      </x:c>
      <x:c r="E2482" s="1" t="str">
        <x:v>COMPLETE</x:v>
      </x:c>
      <x:c r="F2482" s="1" t="str">
        <x:v>Advance shipping</x:v>
      </x:c>
      <x:c r="G2482" s="6" t="n">
        <x:v>2</x:v>
      </x:c>
      <x:c r="H2482" s="6" t="n">
        <x:v>4</x:v>
      </x:c>
      <x:c r="I2482" s="6" t="n">
        <x:f>G2482-H2482</x:f>
        <x:v>-2</x:v>
      </x:c>
      <x:c r="J2482" s="6" t="n">
        <x:f>IF(OR(E2482="CANCELED",E2482="SUSPECTED_FRAUD",F2482="Shipping canceled"),0,1)</x:f>
        <x:v>1</x:v>
      </x:c>
      <x:c r="K2482" s="6" t="n">
        <x:f>IF(G2482&gt;H2482,1,0)</x:f>
        <x:v>0</x:v>
      </x:c>
      <x:c r="L2482" s="6" t="n">
        <x:f>J2482*K2482</x:f>
        <x:v>0</x:v>
      </x:c>
    </x:row>
    <x:row r="2483">
      <x:c r="A2483" s="1" t="n">
        <x:v>19057</x:v>
      </x:c>
      <x:c r="B2483" s="5" t="d">
        <x:v>2015-10-06T00:00:00.000Z</x:v>
      </x:c>
      <x:c r="C2483" s="1" t="str">
        <x:v>Standard Class</x:v>
      </x:c>
      <x:c r="D2483" s="1" t="str">
        <x:v>Europe</x:v>
      </x:c>
      <x:c r="E2483" s="1" t="str">
        <x:v>COMPLETE</x:v>
      </x:c>
      <x:c r="F2483" s="1" t="str">
        <x:v>Advance shipping</x:v>
      </x:c>
      <x:c r="G2483" s="6" t="n">
        <x:v>3</x:v>
      </x:c>
      <x:c r="H2483" s="6" t="n">
        <x:v>4</x:v>
      </x:c>
      <x:c r="I2483" s="6" t="n">
        <x:f>G2483-H2483</x:f>
        <x:v>-1</x:v>
      </x:c>
      <x:c r="J2483" s="6" t="n">
        <x:f>IF(OR(E2483="CANCELED",E2483="SUSPECTED_FRAUD",F2483="Shipping canceled"),0,1)</x:f>
        <x:v>1</x:v>
      </x:c>
      <x:c r="K2483" s="6" t="n">
        <x:f>IF(G2483&gt;H2483,1,0)</x:f>
        <x:v>0</x:v>
      </x:c>
      <x:c r="L2483" s="6" t="n">
        <x:f>J2483*K2483</x:f>
        <x:v>0</x:v>
      </x:c>
    </x:row>
    <x:row r="2484">
      <x:c r="A2484" s="1" t="n">
        <x:v>19058</x:v>
      </x:c>
      <x:c r="B2484" s="5" t="d">
        <x:v>2015-10-06T00:00:00.000Z</x:v>
      </x:c>
      <x:c r="C2484" s="1" t="str">
        <x:v>Standard Class</x:v>
      </x:c>
      <x:c r="D2484" s="1" t="str">
        <x:v>Europe</x:v>
      </x:c>
      <x:c r="E2484" s="1" t="str">
        <x:v>COMPLETE</x:v>
      </x:c>
      <x:c r="F2484" s="1" t="str">
        <x:v>Shipping on time</x:v>
      </x:c>
      <x:c r="G2484" s="6" t="n">
        <x:v>4</x:v>
      </x:c>
      <x:c r="H2484" s="6" t="n">
        <x:v>4</x:v>
      </x:c>
      <x:c r="I2484" s="6" t="n">
        <x:f>G2484-H2484</x:f>
        <x:v>0</x:v>
      </x:c>
      <x:c r="J2484" s="6" t="n">
        <x:f>IF(OR(E2484="CANCELED",E2484="SUSPECTED_FRAUD",F2484="Shipping canceled"),0,1)</x:f>
        <x:v>1</x:v>
      </x:c>
      <x:c r="K2484" s="6" t="n">
        <x:f>IF(G2484&gt;H2484,1,0)</x:f>
        <x:v>0</x:v>
      </x:c>
      <x:c r="L2484" s="6" t="n">
        <x:f>J2484*K2484</x:f>
        <x:v>0</x:v>
      </x:c>
    </x:row>
    <x:row r="2485">
      <x:c r="A2485" s="1" t="n">
        <x:v>19061</x:v>
      </x:c>
      <x:c r="B2485" s="5" t="d">
        <x:v>2015-10-06T00:00:00.000Z</x:v>
      </x:c>
      <x:c r="C2485" s="1" t="str">
        <x:v>Same Day</x:v>
      </x:c>
      <x:c r="D2485" s="1" t="str">
        <x:v>Europe</x:v>
      </x:c>
      <x:c r="E2485" s="1" t="str">
        <x:v>PENDING_PAYMENT</x:v>
      </x:c>
      <x:c r="F2485" s="1" t="str">
        <x:v>Shipping on time</x:v>
      </x:c>
      <x:c r="G2485" s="6" t="n">
        <x:v>0</x:v>
      </x:c>
      <x:c r="H2485" s="6" t="n">
        <x:v>0</x:v>
      </x:c>
      <x:c r="I2485" s="6" t="n">
        <x:f>G2485-H2485</x:f>
        <x:v>0</x:v>
      </x:c>
      <x:c r="J2485" s="6" t="n">
        <x:f>IF(OR(E2485="CANCELED",E2485="SUSPECTED_FRAUD",F2485="Shipping canceled"),0,1)</x:f>
        <x:v>1</x:v>
      </x:c>
      <x:c r="K2485" s="6" t="n">
        <x:f>IF(G2485&gt;H2485,1,0)</x:f>
        <x:v>0</x:v>
      </x:c>
      <x:c r="L2485" s="6" t="n">
        <x:f>J2485*K2485</x:f>
        <x:v>0</x:v>
      </x:c>
    </x:row>
    <x:row r="2486">
      <x:c r="A2486" s="1" t="n">
        <x:v>19073</x:v>
      </x:c>
      <x:c r="B2486" s="5" t="d">
        <x:v>2015-10-06T00:00:00.000Z</x:v>
      </x:c>
      <x:c r="C2486" s="1" t="str">
        <x:v>Second Class</x:v>
      </x:c>
      <x:c r="D2486" s="1" t="str">
        <x:v>Europe</x:v>
      </x:c>
      <x:c r="E2486" s="1" t="str">
        <x:v>PROCESSING</x:v>
      </x:c>
      <x:c r="F2486" s="1" t="str">
        <x:v>Late delivery</x:v>
      </x:c>
      <x:c r="G2486" s="6" t="n">
        <x:v>4</x:v>
      </x:c>
      <x:c r="H2486" s="6" t="n">
        <x:v>2</x:v>
      </x:c>
      <x:c r="I2486" s="6" t="n">
        <x:f>G2486-H2486</x:f>
        <x:v>2</x:v>
      </x:c>
      <x:c r="J2486" s="6" t="n">
        <x:f>IF(OR(E2486="CANCELED",E2486="SUSPECTED_FRAUD",F2486="Shipping canceled"),0,1)</x:f>
        <x:v>1</x:v>
      </x:c>
      <x:c r="K2486" s="6" t="n">
        <x:f>IF(G2486&gt;H2486,1,0)</x:f>
        <x:v>1</x:v>
      </x:c>
      <x:c r="L2486" s="6" t="n">
        <x:f>J2486*K2486</x:f>
        <x:v>1</x:v>
      </x:c>
    </x:row>
    <x:row r="2487">
      <x:c r="A2487" s="1" t="n">
        <x:v>19091</x:v>
      </x:c>
      <x:c r="B2487" s="5" t="d">
        <x:v>2015-10-06T00:00:00.000Z</x:v>
      </x:c>
      <x:c r="C2487" s="1" t="str">
        <x:v>Second Class</x:v>
      </x:c>
      <x:c r="D2487" s="1" t="str">
        <x:v>Europe</x:v>
      </x:c>
      <x:c r="E2487" s="1" t="str">
        <x:v>COMPLETE</x:v>
      </x:c>
      <x:c r="F2487" s="1" t="str">
        <x:v>Shipping on time</x:v>
      </x:c>
      <x:c r="G2487" s="6" t="n">
        <x:v>2</x:v>
      </x:c>
      <x:c r="H2487" s="6" t="n">
        <x:v>2</x:v>
      </x:c>
      <x:c r="I2487" s="6" t="n">
        <x:f>G2487-H2487</x:f>
        <x:v>0</x:v>
      </x:c>
      <x:c r="J2487" s="6" t="n">
        <x:f>IF(OR(E2487="CANCELED",E2487="SUSPECTED_FRAUD",F2487="Shipping canceled"),0,1)</x:f>
        <x:v>1</x:v>
      </x:c>
      <x:c r="K2487" s="6" t="n">
        <x:f>IF(G2487&gt;H2487,1,0)</x:f>
        <x:v>0</x:v>
      </x:c>
      <x:c r="L2487" s="6" t="n">
        <x:f>J2487*K2487</x:f>
        <x:v>0</x:v>
      </x:c>
    </x:row>
    <x:row r="2488">
      <x:c r="A2488" s="1" t="n">
        <x:v>19100</x:v>
      </x:c>
      <x:c r="B2488" s="5" t="d">
        <x:v>2015-10-06T00:00:00.000Z</x:v>
      </x:c>
      <x:c r="C2488" s="1" t="str">
        <x:v>Standard Class</x:v>
      </x:c>
      <x:c r="D2488" s="1" t="str">
        <x:v>Europe</x:v>
      </x:c>
      <x:c r="E2488" s="1" t="str">
        <x:v>COMPLETE</x:v>
      </x:c>
      <x:c r="F2488" s="1" t="str">
        <x:v>Late delivery</x:v>
      </x:c>
      <x:c r="G2488" s="6" t="n">
        <x:v>6</x:v>
      </x:c>
      <x:c r="H2488" s="6" t="n">
        <x:v>4</x:v>
      </x:c>
      <x:c r="I2488" s="6" t="n">
        <x:f>G2488-H2488</x:f>
        <x:v>2</x:v>
      </x:c>
      <x:c r="J2488" s="6" t="n">
        <x:f>IF(OR(E2488="CANCELED",E2488="SUSPECTED_FRAUD",F2488="Shipping canceled"),0,1)</x:f>
        <x:v>1</x:v>
      </x:c>
      <x:c r="K2488" s="6" t="n">
        <x:f>IF(G2488&gt;H2488,1,0)</x:f>
        <x:v>1</x:v>
      </x:c>
      <x:c r="L2488" s="6" t="n">
        <x:f>J2488*K2488</x:f>
        <x:v>1</x:v>
      </x:c>
    </x:row>
    <x:row r="2489">
      <x:c r="A2489" s="1" t="n">
        <x:v>19111</x:v>
      </x:c>
      <x:c r="B2489" s="5" t="d">
        <x:v>2015-10-06T00:00:00.000Z</x:v>
      </x:c>
      <x:c r="C2489" s="1" t="str">
        <x:v>Standard Class</x:v>
      </x:c>
      <x:c r="D2489" s="1" t="str">
        <x:v>Europe</x:v>
      </x:c>
      <x:c r="E2489" s="1" t="str">
        <x:v>ON_HOLD</x:v>
      </x:c>
      <x:c r="F2489" s="1" t="str">
        <x:v>Advance shipping</x:v>
      </x:c>
      <x:c r="G2489" s="6" t="n">
        <x:v>2</x:v>
      </x:c>
      <x:c r="H2489" s="6" t="n">
        <x:v>4</x:v>
      </x:c>
      <x:c r="I2489" s="6" t="n">
        <x:f>G2489-H2489</x:f>
        <x:v>-2</x:v>
      </x:c>
      <x:c r="J2489" s="6" t="n">
        <x:f>IF(OR(E2489="CANCELED",E2489="SUSPECTED_FRAUD",F2489="Shipping canceled"),0,1)</x:f>
        <x:v>1</x:v>
      </x:c>
      <x:c r="K2489" s="6" t="n">
        <x:f>IF(G2489&gt;H2489,1,0)</x:f>
        <x:v>0</x:v>
      </x:c>
      <x:c r="L2489" s="6" t="n">
        <x:f>J2489*K2489</x:f>
        <x:v>0</x:v>
      </x:c>
    </x:row>
    <x:row r="2490">
      <x:c r="A2490" s="1" t="n">
        <x:v>19114</x:v>
      </x:c>
      <x:c r="B2490" s="5" t="d">
        <x:v>2015-10-07T00:00:00.000Z</x:v>
      </x:c>
      <x:c r="C2490" s="1" t="str">
        <x:v>Standard Class</x:v>
      </x:c>
      <x:c r="D2490" s="1" t="str">
        <x:v>Europe</x:v>
      </x:c>
      <x:c r="E2490" s="1" t="str">
        <x:v>COMPLETE</x:v>
      </x:c>
      <x:c r="F2490" s="1" t="str">
        <x:v>Late delivery</x:v>
      </x:c>
      <x:c r="G2490" s="6" t="n">
        <x:v>5</x:v>
      </x:c>
      <x:c r="H2490" s="6" t="n">
        <x:v>4</x:v>
      </x:c>
      <x:c r="I2490" s="6" t="n">
        <x:f>G2490-H2490</x:f>
        <x:v>1</x:v>
      </x:c>
      <x:c r="J2490" s="6" t="n">
        <x:f>IF(OR(E2490="CANCELED",E2490="SUSPECTED_FRAUD",F2490="Shipping canceled"),0,1)</x:f>
        <x:v>1</x:v>
      </x:c>
      <x:c r="K2490" s="6" t="n">
        <x:f>IF(G2490&gt;H2490,1,0)</x:f>
        <x:v>1</x:v>
      </x:c>
      <x:c r="L2490" s="6" t="n">
        <x:f>J2490*K2490</x:f>
        <x:v>1</x:v>
      </x:c>
    </x:row>
    <x:row r="2491">
      <x:c r="A2491" s="1" t="n">
        <x:v>19116</x:v>
      </x:c>
      <x:c r="B2491" s="5" t="d">
        <x:v>2015-10-07T00:00:00.000Z</x:v>
      </x:c>
      <x:c r="C2491" s="1" t="str">
        <x:v>Standard Class</x:v>
      </x:c>
      <x:c r="D2491" s="1" t="str">
        <x:v>Europe</x:v>
      </x:c>
      <x:c r="E2491" s="1" t="str">
        <x:v>PENDING</x:v>
      </x:c>
      <x:c r="F2491" s="1" t="str">
        <x:v>Advance shipping</x:v>
      </x:c>
      <x:c r="G2491" s="6" t="n">
        <x:v>2</x:v>
      </x:c>
      <x:c r="H2491" s="6" t="n">
        <x:v>4</x:v>
      </x:c>
      <x:c r="I2491" s="6" t="n">
        <x:f>G2491-H2491</x:f>
        <x:v>-2</x:v>
      </x:c>
      <x:c r="J2491" s="6" t="n">
        <x:f>IF(OR(E2491="CANCELED",E2491="SUSPECTED_FRAUD",F2491="Shipping canceled"),0,1)</x:f>
        <x:v>1</x:v>
      </x:c>
      <x:c r="K2491" s="6" t="n">
        <x:f>IF(G2491&gt;H2491,1,0)</x:f>
        <x:v>0</x:v>
      </x:c>
      <x:c r="L2491" s="6" t="n">
        <x:f>J2491*K2491</x:f>
        <x:v>0</x:v>
      </x:c>
    </x:row>
    <x:row r="2492">
      <x:c r="A2492" s="1" t="n">
        <x:v>19122</x:v>
      </x:c>
      <x:c r="B2492" s="5" t="d">
        <x:v>2015-10-07T00:00:00.000Z</x:v>
      </x:c>
      <x:c r="C2492" s="1" t="str">
        <x:v>Standard Class</x:v>
      </x:c>
      <x:c r="D2492" s="1" t="str">
        <x:v>Europe</x:v>
      </x:c>
      <x:c r="E2492" s="1" t="str">
        <x:v>PROCESSING</x:v>
      </x:c>
      <x:c r="F2492" s="1" t="str">
        <x:v>Advance shipping</x:v>
      </x:c>
      <x:c r="G2492" s="6" t="n">
        <x:v>3</x:v>
      </x:c>
      <x:c r="H2492" s="6" t="n">
        <x:v>4</x:v>
      </x:c>
      <x:c r="I2492" s="6" t="n">
        <x:f>G2492-H2492</x:f>
        <x:v>-1</x:v>
      </x:c>
      <x:c r="J2492" s="6" t="n">
        <x:f>IF(OR(E2492="CANCELED",E2492="SUSPECTED_FRAUD",F2492="Shipping canceled"),0,1)</x:f>
        <x:v>1</x:v>
      </x:c>
      <x:c r="K2492" s="6" t="n">
        <x:f>IF(G2492&gt;H2492,1,0)</x:f>
        <x:v>0</x:v>
      </x:c>
      <x:c r="L2492" s="6" t="n">
        <x:f>J2492*K2492</x:f>
        <x:v>0</x:v>
      </x:c>
    </x:row>
    <x:row r="2493">
      <x:c r="A2493" s="1" t="n">
        <x:v>19126</x:v>
      </x:c>
      <x:c r="B2493" s="5" t="d">
        <x:v>2015-10-07T00:00:00.000Z</x:v>
      </x:c>
      <x:c r="C2493" s="1" t="str">
        <x:v>Second Class</x:v>
      </x:c>
      <x:c r="D2493" s="1" t="str">
        <x:v>Europe</x:v>
      </x:c>
      <x:c r="E2493" s="1" t="str">
        <x:v>ON_HOLD</x:v>
      </x:c>
      <x:c r="F2493" s="1" t="str">
        <x:v>Shipping on time</x:v>
      </x:c>
      <x:c r="G2493" s="6" t="n">
        <x:v>2</x:v>
      </x:c>
      <x:c r="H2493" s="6" t="n">
        <x:v>2</x:v>
      </x:c>
      <x:c r="I2493" s="6" t="n">
        <x:f>G2493-H2493</x:f>
        <x:v>0</x:v>
      </x:c>
      <x:c r="J2493" s="6" t="n">
        <x:f>IF(OR(E2493="CANCELED",E2493="SUSPECTED_FRAUD",F2493="Shipping canceled"),0,1)</x:f>
        <x:v>1</x:v>
      </x:c>
      <x:c r="K2493" s="6" t="n">
        <x:f>IF(G2493&gt;H2493,1,0)</x:f>
        <x:v>0</x:v>
      </x:c>
      <x:c r="L2493" s="6" t="n">
        <x:f>J2493*K2493</x:f>
        <x:v>0</x:v>
      </x:c>
    </x:row>
    <x:row r="2494">
      <x:c r="A2494" s="1" t="n">
        <x:v>19131</x:v>
      </x:c>
      <x:c r="B2494" s="5" t="d">
        <x:v>2015-10-07T00:00:00.000Z</x:v>
      </x:c>
      <x:c r="C2494" s="1" t="str">
        <x:v>Second Class</x:v>
      </x:c>
      <x:c r="D2494" s="1" t="str">
        <x:v>Europe</x:v>
      </x:c>
      <x:c r="E2494" s="1" t="str">
        <x:v>ON_HOLD</x:v>
      </x:c>
      <x:c r="F2494" s="1" t="str">
        <x:v>Shipping on time</x:v>
      </x:c>
      <x:c r="G2494" s="6" t="n">
        <x:v>2</x:v>
      </x:c>
      <x:c r="H2494" s="6" t="n">
        <x:v>2</x:v>
      </x:c>
      <x:c r="I2494" s="6" t="n">
        <x:f>G2494-H2494</x:f>
        <x:v>0</x:v>
      </x:c>
      <x:c r="J2494" s="6" t="n">
        <x:f>IF(OR(E2494="CANCELED",E2494="SUSPECTED_FRAUD",F2494="Shipping canceled"),0,1)</x:f>
        <x:v>1</x:v>
      </x:c>
      <x:c r="K2494" s="6" t="n">
        <x:f>IF(G2494&gt;H2494,1,0)</x:f>
        <x:v>0</x:v>
      </x:c>
      <x:c r="L2494" s="6" t="n">
        <x:f>J2494*K2494</x:f>
        <x:v>0</x:v>
      </x:c>
    </x:row>
    <x:row r="2495">
      <x:c r="A2495" s="1" t="n">
        <x:v>19138</x:v>
      </x:c>
      <x:c r="B2495" s="5" t="d">
        <x:v>2015-10-07T00:00:00.000Z</x:v>
      </x:c>
      <x:c r="C2495" s="1" t="str">
        <x:v>Standard Class</x:v>
      </x:c>
      <x:c r="D2495" s="1" t="str">
        <x:v>Europe</x:v>
      </x:c>
      <x:c r="E2495" s="1" t="str">
        <x:v>COMPLETE</x:v>
      </x:c>
      <x:c r="F2495" s="1" t="str">
        <x:v>Shipping on time</x:v>
      </x:c>
      <x:c r="G2495" s="6" t="n">
        <x:v>4</x:v>
      </x:c>
      <x:c r="H2495" s="6" t="n">
        <x:v>4</x:v>
      </x:c>
      <x:c r="I2495" s="6" t="n">
        <x:f>G2495-H2495</x:f>
        <x:v>0</x:v>
      </x:c>
      <x:c r="J2495" s="6" t="n">
        <x:f>IF(OR(E2495="CANCELED",E2495="SUSPECTED_FRAUD",F2495="Shipping canceled"),0,1)</x:f>
        <x:v>1</x:v>
      </x:c>
      <x:c r="K2495" s="6" t="n">
        <x:f>IF(G2495&gt;H2495,1,0)</x:f>
        <x:v>0</x:v>
      </x:c>
      <x:c r="L2495" s="6" t="n">
        <x:f>J2495*K2495</x:f>
        <x:v>0</x:v>
      </x:c>
    </x:row>
    <x:row r="2496">
      <x:c r="A2496" s="1" t="n">
        <x:v>19140</x:v>
      </x:c>
      <x:c r="B2496" s="5" t="d">
        <x:v>2015-10-07T00:00:00.000Z</x:v>
      </x:c>
      <x:c r="C2496" s="1" t="str">
        <x:v>Standard Class</x:v>
      </x:c>
      <x:c r="D2496" s="1" t="str">
        <x:v>Europe</x:v>
      </x:c>
      <x:c r="E2496" s="1" t="str">
        <x:v>COMPLETE</x:v>
      </x:c>
      <x:c r="F2496" s="1" t="str">
        <x:v>Late delivery</x:v>
      </x:c>
      <x:c r="G2496" s="6" t="n">
        <x:v>6</x:v>
      </x:c>
      <x:c r="H2496" s="6" t="n">
        <x:v>4</x:v>
      </x:c>
      <x:c r="I2496" s="6" t="n">
        <x:f>G2496-H2496</x:f>
        <x:v>2</x:v>
      </x:c>
      <x:c r="J2496" s="6" t="n">
        <x:f>IF(OR(E2496="CANCELED",E2496="SUSPECTED_FRAUD",F2496="Shipping canceled"),0,1)</x:f>
        <x:v>1</x:v>
      </x:c>
      <x:c r="K2496" s="6" t="n">
        <x:f>IF(G2496&gt;H2496,1,0)</x:f>
        <x:v>1</x:v>
      </x:c>
      <x:c r="L2496" s="6" t="n">
        <x:f>J2496*K2496</x:f>
        <x:v>1</x:v>
      </x:c>
    </x:row>
    <x:row r="2497">
      <x:c r="A2497" s="1" t="n">
        <x:v>19142</x:v>
      </x:c>
      <x:c r="B2497" s="5" t="d">
        <x:v>2015-10-07T00:00:00.000Z</x:v>
      </x:c>
      <x:c r="C2497" s="1" t="str">
        <x:v>First Class</x:v>
      </x:c>
      <x:c r="D2497" s="1" t="str">
        <x:v>Europe</x:v>
      </x:c>
      <x:c r="E2497" s="1" t="str">
        <x:v>PENDING_PAYMENT</x:v>
      </x:c>
      <x:c r="F2497" s="1" t="str">
        <x:v>Late delivery</x:v>
      </x:c>
      <x:c r="G2497" s="6" t="n">
        <x:v>2</x:v>
      </x:c>
      <x:c r="H2497" s="6" t="n">
        <x:v>1</x:v>
      </x:c>
      <x:c r="I2497" s="6" t="n">
        <x:f>G2497-H2497</x:f>
        <x:v>1</x:v>
      </x:c>
      <x:c r="J2497" s="6" t="n">
        <x:f>IF(OR(E2497="CANCELED",E2497="SUSPECTED_FRAUD",F2497="Shipping canceled"),0,1)</x:f>
        <x:v>1</x:v>
      </x:c>
      <x:c r="K2497" s="6" t="n">
        <x:f>IF(G2497&gt;H2497,1,0)</x:f>
        <x:v>1</x:v>
      </x:c>
      <x:c r="L2497" s="6" t="n">
        <x:f>J2497*K2497</x:f>
        <x:v>1</x:v>
      </x:c>
    </x:row>
    <x:row r="2498">
      <x:c r="A2498" s="1" t="n">
        <x:v>19154</x:v>
      </x:c>
      <x:c r="B2498" s="5" t="d">
        <x:v>2015-10-07T00:00:00.000Z</x:v>
      </x:c>
      <x:c r="C2498" s="1" t="str">
        <x:v>Standard Class</x:v>
      </x:c>
      <x:c r="D2498" s="1" t="str">
        <x:v>Europe</x:v>
      </x:c>
      <x:c r="E2498" s="1" t="str">
        <x:v>COMPLETE</x:v>
      </x:c>
      <x:c r="F2498" s="1" t="str">
        <x:v>Late delivery</x:v>
      </x:c>
      <x:c r="G2498" s="6" t="n">
        <x:v>5</x:v>
      </x:c>
      <x:c r="H2498" s="6" t="n">
        <x:v>4</x:v>
      </x:c>
      <x:c r="I2498" s="6" t="n">
        <x:f>G2498-H2498</x:f>
        <x:v>1</x:v>
      </x:c>
      <x:c r="J2498" s="6" t="n">
        <x:f>IF(OR(E2498="CANCELED",E2498="SUSPECTED_FRAUD",F2498="Shipping canceled"),0,1)</x:f>
        <x:v>1</x:v>
      </x:c>
      <x:c r="K2498" s="6" t="n">
        <x:f>IF(G2498&gt;H2498,1,0)</x:f>
        <x:v>1</x:v>
      </x:c>
      <x:c r="L2498" s="6" t="n">
        <x:f>J2498*K2498</x:f>
        <x:v>1</x:v>
      </x:c>
    </x:row>
    <x:row r="2499">
      <x:c r="A2499" s="1" t="n">
        <x:v>19168</x:v>
      </x:c>
      <x:c r="B2499" s="5" t="d">
        <x:v>2015-10-07T00:00:00.000Z</x:v>
      </x:c>
      <x:c r="C2499" s="1" t="str">
        <x:v>Standard Class</x:v>
      </x:c>
      <x:c r="D2499" s="1" t="str">
        <x:v>Europe</x:v>
      </x:c>
      <x:c r="E2499" s="1" t="str">
        <x:v>COMPLETE</x:v>
      </x:c>
      <x:c r="F2499" s="1" t="str">
        <x:v>Shipping on time</x:v>
      </x:c>
      <x:c r="G2499" s="6" t="n">
        <x:v>4</x:v>
      </x:c>
      <x:c r="H2499" s="6" t="n">
        <x:v>4</x:v>
      </x:c>
      <x:c r="I2499" s="6" t="n">
        <x:f>G2499-H2499</x:f>
        <x:v>0</x:v>
      </x:c>
      <x:c r="J2499" s="6" t="n">
        <x:f>IF(OR(E2499="CANCELED",E2499="SUSPECTED_FRAUD",F2499="Shipping canceled"),0,1)</x:f>
        <x:v>1</x:v>
      </x:c>
      <x:c r="K2499" s="6" t="n">
        <x:f>IF(G2499&gt;H2499,1,0)</x:f>
        <x:v>0</x:v>
      </x:c>
      <x:c r="L2499" s="6" t="n">
        <x:f>J2499*K2499</x:f>
        <x:v>0</x:v>
      </x:c>
    </x:row>
    <x:row r="2500">
      <x:c r="A2500" s="1" t="n">
        <x:v>19178</x:v>
      </x:c>
      <x:c r="B2500" s="5" t="d">
        <x:v>2015-10-07T00:00:00.000Z</x:v>
      </x:c>
      <x:c r="C2500" s="1" t="str">
        <x:v>Standard Class</x:v>
      </x:c>
      <x:c r="D2500" s="1" t="str">
        <x:v>Europe</x:v>
      </x:c>
      <x:c r="E2500" s="1" t="str">
        <x:v>PENDING</x:v>
      </x:c>
      <x:c r="F2500" s="1" t="str">
        <x:v>Shipping on time</x:v>
      </x:c>
      <x:c r="G2500" s="6" t="n">
        <x:v>4</x:v>
      </x:c>
      <x:c r="H2500" s="6" t="n">
        <x:v>4</x:v>
      </x:c>
      <x:c r="I2500" s="6" t="n">
        <x:f>G2500-H2500</x:f>
        <x:v>0</x:v>
      </x:c>
      <x:c r="J2500" s="6" t="n">
        <x:f>IF(OR(E2500="CANCELED",E2500="SUSPECTED_FRAUD",F2500="Shipping canceled"),0,1)</x:f>
        <x:v>1</x:v>
      </x:c>
      <x:c r="K2500" s="6" t="n">
        <x:f>IF(G2500&gt;H2500,1,0)</x:f>
        <x:v>0</x:v>
      </x:c>
      <x:c r="L2500" s="6" t="n">
        <x:f>J2500*K2500</x:f>
        <x:v>0</x:v>
      </x:c>
    </x:row>
    <x:row r="2501">
      <x:c r="A2501" s="1" t="n">
        <x:v>19191</x:v>
      </x:c>
      <x:c r="B2501" s="5" t="d">
        <x:v>2015-10-08T00:00:00.000Z</x:v>
      </x:c>
      <x:c r="C2501" s="1" t="str">
        <x:v>Standard Class</x:v>
      </x:c>
      <x:c r="D2501" s="1" t="str">
        <x:v>Europe</x:v>
      </x:c>
      <x:c r="E2501" s="1" t="str">
        <x:v>CLOSED</x:v>
      </x:c>
      <x:c r="F2501" s="1" t="str">
        <x:v>Advance shipping</x:v>
      </x:c>
      <x:c r="G2501" s="6" t="n">
        <x:v>2</x:v>
      </x:c>
      <x:c r="H2501" s="6" t="n">
        <x:v>4</x:v>
      </x:c>
      <x:c r="I2501" s="6" t="n">
        <x:f>G2501-H2501</x:f>
        <x:v>-2</x:v>
      </x:c>
      <x:c r="J2501" s="6" t="n">
        <x:f>IF(OR(E2501="CANCELED",E2501="SUSPECTED_FRAUD",F2501="Shipping canceled"),0,1)</x:f>
        <x:v>1</x:v>
      </x:c>
      <x:c r="K2501" s="6" t="n">
        <x:f>IF(G2501&gt;H2501,1,0)</x:f>
        <x:v>0</x:v>
      </x:c>
      <x:c r="L2501" s="6" t="n">
        <x:f>J2501*K2501</x:f>
        <x:v>0</x:v>
      </x:c>
    </x:row>
    <x:row r="2502">
      <x:c r="A2502" s="1" t="n">
        <x:v>19200</x:v>
      </x:c>
      <x:c r="B2502" s="5" t="d">
        <x:v>2015-10-08T00:00:00.000Z</x:v>
      </x:c>
      <x:c r="C2502" s="1" t="str">
        <x:v>Second Class</x:v>
      </x:c>
      <x:c r="D2502" s="1" t="str">
        <x:v>Europe</x:v>
      </x:c>
      <x:c r="E2502" s="1" t="str">
        <x:v>COMPLETE</x:v>
      </x:c>
      <x:c r="F2502" s="1" t="str">
        <x:v>Late delivery</x:v>
      </x:c>
      <x:c r="G2502" s="6" t="n">
        <x:v>6</x:v>
      </x:c>
      <x:c r="H2502" s="6" t="n">
        <x:v>2</x:v>
      </x:c>
      <x:c r="I2502" s="6" t="n">
        <x:f>G2502-H2502</x:f>
        <x:v>4</x:v>
      </x:c>
      <x:c r="J2502" s="6" t="n">
        <x:f>IF(OR(E2502="CANCELED",E2502="SUSPECTED_FRAUD",F2502="Shipping canceled"),0,1)</x:f>
        <x:v>1</x:v>
      </x:c>
      <x:c r="K2502" s="6" t="n">
        <x:f>IF(G2502&gt;H2502,1,0)</x:f>
        <x:v>1</x:v>
      </x:c>
      <x:c r="L2502" s="6" t="n">
        <x:f>J2502*K2502</x:f>
        <x:v>1</x:v>
      </x:c>
    </x:row>
    <x:row r="2503">
      <x:c r="A2503" s="1" t="n">
        <x:v>19203</x:v>
      </x:c>
      <x:c r="B2503" s="5" t="d">
        <x:v>2015-10-08T00:00:00.000Z</x:v>
      </x:c>
      <x:c r="C2503" s="1" t="str">
        <x:v>Standard Class</x:v>
      </x:c>
      <x:c r="D2503" s="1" t="str">
        <x:v>Europe</x:v>
      </x:c>
      <x:c r="E2503" s="1" t="str">
        <x:v>PENDING</x:v>
      </x:c>
      <x:c r="F2503" s="1" t="str">
        <x:v>Shipping on time</x:v>
      </x:c>
      <x:c r="G2503" s="6" t="n">
        <x:v>4</x:v>
      </x:c>
      <x:c r="H2503" s="6" t="n">
        <x:v>4</x:v>
      </x:c>
      <x:c r="I2503" s="6" t="n">
        <x:f>G2503-H2503</x:f>
        <x:v>0</x:v>
      </x:c>
      <x:c r="J2503" s="6" t="n">
        <x:f>IF(OR(E2503="CANCELED",E2503="SUSPECTED_FRAUD",F2503="Shipping canceled"),0,1)</x:f>
        <x:v>1</x:v>
      </x:c>
      <x:c r="K2503" s="6" t="n">
        <x:f>IF(G2503&gt;H2503,1,0)</x:f>
        <x:v>0</x:v>
      </x:c>
      <x:c r="L2503" s="6" t="n">
        <x:f>J2503*K2503</x:f>
        <x:v>0</x:v>
      </x:c>
    </x:row>
    <x:row r="2504">
      <x:c r="A2504" s="1" t="n">
        <x:v>19213</x:v>
      </x:c>
      <x:c r="B2504" s="5" t="d">
        <x:v>2015-10-08T00:00:00.000Z</x:v>
      </x:c>
      <x:c r="C2504" s="1" t="str">
        <x:v>Second Class</x:v>
      </x:c>
      <x:c r="D2504" s="1" t="str">
        <x:v>Europe</x:v>
      </x:c>
      <x:c r="E2504" s="1" t="str">
        <x:v>COMPLETE</x:v>
      </x:c>
      <x:c r="F2504" s="1" t="str">
        <x:v>Late delivery</x:v>
      </x:c>
      <x:c r="G2504" s="6" t="n">
        <x:v>4</x:v>
      </x:c>
      <x:c r="H2504" s="6" t="n">
        <x:v>2</x:v>
      </x:c>
      <x:c r="I2504" s="6" t="n">
        <x:f>G2504-H2504</x:f>
        <x:v>2</x:v>
      </x:c>
      <x:c r="J2504" s="6" t="n">
        <x:f>IF(OR(E2504="CANCELED",E2504="SUSPECTED_FRAUD",F2504="Shipping canceled"),0,1)</x:f>
        <x:v>1</x:v>
      </x:c>
      <x:c r="K2504" s="6" t="n">
        <x:f>IF(G2504&gt;H2504,1,0)</x:f>
        <x:v>1</x:v>
      </x:c>
      <x:c r="L2504" s="6" t="n">
        <x:f>J2504*K2504</x:f>
        <x:v>1</x:v>
      </x:c>
    </x:row>
    <x:row r="2505">
      <x:c r="A2505" s="1" t="n">
        <x:v>19219</x:v>
      </x:c>
      <x:c r="B2505" s="5" t="d">
        <x:v>2015-10-08T00:00:00.000Z</x:v>
      </x:c>
      <x:c r="C2505" s="1" t="str">
        <x:v>Standard Class</x:v>
      </x:c>
      <x:c r="D2505" s="1" t="str">
        <x:v>Europe</x:v>
      </x:c>
      <x:c r="E2505" s="1" t="str">
        <x:v>ON_HOLD</x:v>
      </x:c>
      <x:c r="F2505" s="1" t="str">
        <x:v>Late delivery</x:v>
      </x:c>
      <x:c r="G2505" s="6" t="n">
        <x:v>5</x:v>
      </x:c>
      <x:c r="H2505" s="6" t="n">
        <x:v>4</x:v>
      </x:c>
      <x:c r="I2505" s="6" t="n">
        <x:f>G2505-H2505</x:f>
        <x:v>1</x:v>
      </x:c>
      <x:c r="J2505" s="6" t="n">
        <x:f>IF(OR(E2505="CANCELED",E2505="SUSPECTED_FRAUD",F2505="Shipping canceled"),0,1)</x:f>
        <x:v>1</x:v>
      </x:c>
      <x:c r="K2505" s="6" t="n">
        <x:f>IF(G2505&gt;H2505,1,0)</x:f>
        <x:v>1</x:v>
      </x:c>
      <x:c r="L2505" s="6" t="n">
        <x:f>J2505*K2505</x:f>
        <x:v>1</x:v>
      </x:c>
    </x:row>
    <x:row r="2506">
      <x:c r="A2506" s="1" t="n">
        <x:v>19221</x:v>
      </x:c>
      <x:c r="B2506" s="5" t="d">
        <x:v>2015-10-08T00:00:00.000Z</x:v>
      </x:c>
      <x:c r="C2506" s="1" t="str">
        <x:v>Standard Class</x:v>
      </x:c>
      <x:c r="D2506" s="1" t="str">
        <x:v>Europe</x:v>
      </x:c>
      <x:c r="E2506" s="1" t="str">
        <x:v>ON_HOLD</x:v>
      </x:c>
      <x:c r="F2506" s="1" t="str">
        <x:v>Advance shipping</x:v>
      </x:c>
      <x:c r="G2506" s="6" t="n">
        <x:v>2</x:v>
      </x:c>
      <x:c r="H2506" s="6" t="n">
        <x:v>4</x:v>
      </x:c>
      <x:c r="I2506" s="6" t="n">
        <x:f>G2506-H2506</x:f>
        <x:v>-2</x:v>
      </x:c>
      <x:c r="J2506" s="6" t="n">
        <x:f>IF(OR(E2506="CANCELED",E2506="SUSPECTED_FRAUD",F2506="Shipping canceled"),0,1)</x:f>
        <x:v>1</x:v>
      </x:c>
      <x:c r="K2506" s="6" t="n">
        <x:f>IF(G2506&gt;H2506,1,0)</x:f>
        <x:v>0</x:v>
      </x:c>
      <x:c r="L2506" s="6" t="n">
        <x:f>J2506*K2506</x:f>
        <x:v>0</x:v>
      </x:c>
    </x:row>
    <x:row r="2507">
      <x:c r="A2507" s="1" t="n">
        <x:v>19223</x:v>
      </x:c>
      <x:c r="B2507" s="5" t="d">
        <x:v>2015-10-08T00:00:00.000Z</x:v>
      </x:c>
      <x:c r="C2507" s="1" t="str">
        <x:v>Standard Class</x:v>
      </x:c>
      <x:c r="D2507" s="1" t="str">
        <x:v>Europe</x:v>
      </x:c>
      <x:c r="E2507" s="1" t="str">
        <x:v>COMPLETE</x:v>
      </x:c>
      <x:c r="F2507" s="1" t="str">
        <x:v>Shipping on time</x:v>
      </x:c>
      <x:c r="G2507" s="6" t="n">
        <x:v>4</x:v>
      </x:c>
      <x:c r="H2507" s="6" t="n">
        <x:v>4</x:v>
      </x:c>
      <x:c r="I2507" s="6" t="n">
        <x:f>G2507-H2507</x:f>
        <x:v>0</x:v>
      </x:c>
      <x:c r="J2507" s="6" t="n">
        <x:f>IF(OR(E2507="CANCELED",E2507="SUSPECTED_FRAUD",F2507="Shipping canceled"),0,1)</x:f>
        <x:v>1</x:v>
      </x:c>
      <x:c r="K2507" s="6" t="n">
        <x:f>IF(G2507&gt;H2507,1,0)</x:f>
        <x:v>0</x:v>
      </x:c>
      <x:c r="L2507" s="6" t="n">
        <x:f>J2507*K2507</x:f>
        <x:v>0</x:v>
      </x:c>
    </x:row>
    <x:row r="2508">
      <x:c r="A2508" s="1" t="n">
        <x:v>19226</x:v>
      </x:c>
      <x:c r="B2508" s="5" t="d">
        <x:v>2015-10-08T00:00:00.000Z</x:v>
      </x:c>
      <x:c r="C2508" s="1" t="str">
        <x:v>Standard Class</x:v>
      </x:c>
      <x:c r="D2508" s="1" t="str">
        <x:v>Europe</x:v>
      </x:c>
      <x:c r="E2508" s="1" t="str">
        <x:v>COMPLETE</x:v>
      </x:c>
      <x:c r="F2508" s="1" t="str">
        <x:v>Advance shipping</x:v>
      </x:c>
      <x:c r="G2508" s="6" t="n">
        <x:v>2</x:v>
      </x:c>
      <x:c r="H2508" s="6" t="n">
        <x:v>4</x:v>
      </x:c>
      <x:c r="I2508" s="6" t="n">
        <x:f>G2508-H2508</x:f>
        <x:v>-2</x:v>
      </x:c>
      <x:c r="J2508" s="6" t="n">
        <x:f>IF(OR(E2508="CANCELED",E2508="SUSPECTED_FRAUD",F2508="Shipping canceled"),0,1)</x:f>
        <x:v>1</x:v>
      </x:c>
      <x:c r="K2508" s="6" t="n">
        <x:f>IF(G2508&gt;H2508,1,0)</x:f>
        <x:v>0</x:v>
      </x:c>
      <x:c r="L2508" s="6" t="n">
        <x:f>J2508*K2508</x:f>
        <x:v>0</x:v>
      </x:c>
    </x:row>
    <x:row r="2509">
      <x:c r="A2509" s="1" t="n">
        <x:v>19234</x:v>
      </x:c>
      <x:c r="B2509" s="5" t="d">
        <x:v>2015-10-08T00:00:00.000Z</x:v>
      </x:c>
      <x:c r="C2509" s="1" t="str">
        <x:v>Second Class</x:v>
      </x:c>
      <x:c r="D2509" s="1" t="str">
        <x:v>Europe</x:v>
      </x:c>
      <x:c r="E2509" s="1" t="str">
        <x:v>PROCESSING</x:v>
      </x:c>
      <x:c r="F2509" s="1" t="str">
        <x:v>Late delivery</x:v>
      </x:c>
      <x:c r="G2509" s="6" t="n">
        <x:v>5</x:v>
      </x:c>
      <x:c r="H2509" s="6" t="n">
        <x:v>2</x:v>
      </x:c>
      <x:c r="I2509" s="6" t="n">
        <x:f>G2509-H2509</x:f>
        <x:v>3</x:v>
      </x:c>
      <x:c r="J2509" s="6" t="n">
        <x:f>IF(OR(E2509="CANCELED",E2509="SUSPECTED_FRAUD",F2509="Shipping canceled"),0,1)</x:f>
        <x:v>1</x:v>
      </x:c>
      <x:c r="K2509" s="6" t="n">
        <x:f>IF(G2509&gt;H2509,1,0)</x:f>
        <x:v>1</x:v>
      </x:c>
      <x:c r="L2509" s="6" t="n">
        <x:f>J2509*K2509</x:f>
        <x:v>1</x:v>
      </x:c>
    </x:row>
    <x:row r="2510">
      <x:c r="A2510" s="1" t="n">
        <x:v>19243</x:v>
      </x:c>
      <x:c r="B2510" s="5" t="d">
        <x:v>2015-10-08T00:00:00.000Z</x:v>
      </x:c>
      <x:c r="C2510" s="1" t="str">
        <x:v>First Class</x:v>
      </x:c>
      <x:c r="D2510" s="1" t="str">
        <x:v>Europe</x:v>
      </x:c>
      <x:c r="E2510" s="1" t="str">
        <x:v>PENDING_PAYMENT</x:v>
      </x:c>
      <x:c r="F2510" s="1" t="str">
        <x:v>Late delivery</x:v>
      </x:c>
      <x:c r="G2510" s="6" t="n">
        <x:v>2</x:v>
      </x:c>
      <x:c r="H2510" s="6" t="n">
        <x:v>1</x:v>
      </x:c>
      <x:c r="I2510" s="6" t="n">
        <x:f>G2510-H2510</x:f>
        <x:v>1</x:v>
      </x:c>
      <x:c r="J2510" s="6" t="n">
        <x:f>IF(OR(E2510="CANCELED",E2510="SUSPECTED_FRAUD",F2510="Shipping canceled"),0,1)</x:f>
        <x:v>1</x:v>
      </x:c>
      <x:c r="K2510" s="6" t="n">
        <x:f>IF(G2510&gt;H2510,1,0)</x:f>
        <x:v>1</x:v>
      </x:c>
      <x:c r="L2510" s="6" t="n">
        <x:f>J2510*K2510</x:f>
        <x:v>1</x:v>
      </x:c>
    </x:row>
    <x:row r="2511">
      <x:c r="A2511" s="1" t="n">
        <x:v>19249</x:v>
      </x:c>
      <x:c r="B2511" s="5" t="d">
        <x:v>2015-10-08T00:00:00.000Z</x:v>
      </x:c>
      <x:c r="C2511" s="1" t="str">
        <x:v>First Class</x:v>
      </x:c>
      <x:c r="D2511" s="1" t="str">
        <x:v>Europe</x:v>
      </x:c>
      <x:c r="E2511" s="1" t="str">
        <x:v>PENDING_PAYMENT</x:v>
      </x:c>
      <x:c r="F2511" s="1" t="str">
        <x:v>Late delivery</x:v>
      </x:c>
      <x:c r="G2511" s="6" t="n">
        <x:v>2</x:v>
      </x:c>
      <x:c r="H2511" s="6" t="n">
        <x:v>1</x:v>
      </x:c>
      <x:c r="I2511" s="6" t="n">
        <x:f>G2511-H2511</x:f>
        <x:v>1</x:v>
      </x:c>
      <x:c r="J2511" s="6" t="n">
        <x:f>IF(OR(E2511="CANCELED",E2511="SUSPECTED_FRAUD",F2511="Shipping canceled"),0,1)</x:f>
        <x:v>1</x:v>
      </x:c>
      <x:c r="K2511" s="6" t="n">
        <x:f>IF(G2511&gt;H2511,1,0)</x:f>
        <x:v>1</x:v>
      </x:c>
      <x:c r="L2511" s="6" t="n">
        <x:f>J2511*K2511</x:f>
        <x:v>1</x:v>
      </x:c>
    </x:row>
    <x:row r="2512">
      <x:c r="A2512" s="1" t="n">
        <x:v>19267</x:v>
      </x:c>
      <x:c r="B2512" s="5" t="d">
        <x:v>2015-10-09T00:00:00.000Z</x:v>
      </x:c>
      <x:c r="C2512" s="1" t="str">
        <x:v>Standard Class</x:v>
      </x:c>
      <x:c r="D2512" s="1" t="str">
        <x:v>Europe</x:v>
      </x:c>
      <x:c r="E2512" s="1" t="str">
        <x:v>PENDING_PAYMENT</x:v>
      </x:c>
      <x:c r="F2512" s="1" t="str">
        <x:v>Advance shipping</x:v>
      </x:c>
      <x:c r="G2512" s="6" t="n">
        <x:v>3</x:v>
      </x:c>
      <x:c r="H2512" s="6" t="n">
        <x:v>4</x:v>
      </x:c>
      <x:c r="I2512" s="6" t="n">
        <x:f>G2512-H2512</x:f>
        <x:v>-1</x:v>
      </x:c>
      <x:c r="J2512" s="6" t="n">
        <x:f>IF(OR(E2512="CANCELED",E2512="SUSPECTED_FRAUD",F2512="Shipping canceled"),0,1)</x:f>
        <x:v>1</x:v>
      </x:c>
      <x:c r="K2512" s="6" t="n">
        <x:f>IF(G2512&gt;H2512,1,0)</x:f>
        <x:v>0</x:v>
      </x:c>
      <x:c r="L2512" s="6" t="n">
        <x:f>J2512*K2512</x:f>
        <x:v>0</x:v>
      </x:c>
    </x:row>
    <x:row r="2513">
      <x:c r="A2513" s="1" t="n">
        <x:v>19272</x:v>
      </x:c>
      <x:c r="B2513" s="5" t="d">
        <x:v>2015-10-09T00:00:00.000Z</x:v>
      </x:c>
      <x:c r="C2513" s="1" t="str">
        <x:v>Standard Class</x:v>
      </x:c>
      <x:c r="D2513" s="1" t="str">
        <x:v>Europe</x:v>
      </x:c>
      <x:c r="E2513" s="1" t="str">
        <x:v>COMPLETE</x:v>
      </x:c>
      <x:c r="F2513" s="1" t="str">
        <x:v>Advance shipping</x:v>
      </x:c>
      <x:c r="G2513" s="6" t="n">
        <x:v>3</x:v>
      </x:c>
      <x:c r="H2513" s="6" t="n">
        <x:v>4</x:v>
      </x:c>
      <x:c r="I2513" s="6" t="n">
        <x:f>G2513-H2513</x:f>
        <x:v>-1</x:v>
      </x:c>
      <x:c r="J2513" s="6" t="n">
        <x:f>IF(OR(E2513="CANCELED",E2513="SUSPECTED_FRAUD",F2513="Shipping canceled"),0,1)</x:f>
        <x:v>1</x:v>
      </x:c>
      <x:c r="K2513" s="6" t="n">
        <x:f>IF(G2513&gt;H2513,1,0)</x:f>
        <x:v>0</x:v>
      </x:c>
      <x:c r="L2513" s="6" t="n">
        <x:f>J2513*K2513</x:f>
        <x:v>0</x:v>
      </x:c>
    </x:row>
    <x:row r="2514">
      <x:c r="A2514" s="1" t="n">
        <x:v>19273</x:v>
      </x:c>
      <x:c r="B2514" s="5" t="d">
        <x:v>2015-10-09T00:00:00.000Z</x:v>
      </x:c>
      <x:c r="C2514" s="1" t="str">
        <x:v>Standard Class</x:v>
      </x:c>
      <x:c r="D2514" s="1" t="str">
        <x:v>Europe</x:v>
      </x:c>
      <x:c r="E2514" s="1" t="str">
        <x:v>COMPLETE</x:v>
      </x:c>
      <x:c r="F2514" s="1" t="str">
        <x:v>Shipping on time</x:v>
      </x:c>
      <x:c r="G2514" s="6" t="n">
        <x:v>4</x:v>
      </x:c>
      <x:c r="H2514" s="6" t="n">
        <x:v>4</x:v>
      </x:c>
      <x:c r="I2514" s="6" t="n">
        <x:f>G2514-H2514</x:f>
        <x:v>0</x:v>
      </x:c>
      <x:c r="J2514" s="6" t="n">
        <x:f>IF(OR(E2514="CANCELED",E2514="SUSPECTED_FRAUD",F2514="Shipping canceled"),0,1)</x:f>
        <x:v>1</x:v>
      </x:c>
      <x:c r="K2514" s="6" t="n">
        <x:f>IF(G2514&gt;H2514,1,0)</x:f>
        <x:v>0</x:v>
      </x:c>
      <x:c r="L2514" s="6" t="n">
        <x:f>J2514*K2514</x:f>
        <x:v>0</x:v>
      </x:c>
    </x:row>
    <x:row r="2515">
      <x:c r="A2515" s="1" t="n">
        <x:v>19276</x:v>
      </x:c>
      <x:c r="B2515" s="5" t="d">
        <x:v>2015-10-09T00:00:00.000Z</x:v>
      </x:c>
      <x:c r="C2515" s="1" t="str">
        <x:v>Standard Class</x:v>
      </x:c>
      <x:c r="D2515" s="1" t="str">
        <x:v>Europe</x:v>
      </x:c>
      <x:c r="E2515" s="1" t="str">
        <x:v>COMPLETE</x:v>
      </x:c>
      <x:c r="F2515" s="1" t="str">
        <x:v>Advance shipping</x:v>
      </x:c>
      <x:c r="G2515" s="6" t="n">
        <x:v>2</x:v>
      </x:c>
      <x:c r="H2515" s="6" t="n">
        <x:v>4</x:v>
      </x:c>
      <x:c r="I2515" s="6" t="n">
        <x:f>G2515-H2515</x:f>
        <x:v>-2</x:v>
      </x:c>
      <x:c r="J2515" s="6" t="n">
        <x:f>IF(OR(E2515="CANCELED",E2515="SUSPECTED_FRAUD",F2515="Shipping canceled"),0,1)</x:f>
        <x:v>1</x:v>
      </x:c>
      <x:c r="K2515" s="6" t="n">
        <x:f>IF(G2515&gt;H2515,1,0)</x:f>
        <x:v>0</x:v>
      </x:c>
      <x:c r="L2515" s="6" t="n">
        <x:f>J2515*K2515</x:f>
        <x:v>0</x:v>
      </x:c>
    </x:row>
    <x:row r="2516">
      <x:c r="A2516" s="1" t="n">
        <x:v>19295</x:v>
      </x:c>
      <x:c r="B2516" s="5" t="d">
        <x:v>2015-10-09T00:00:00.000Z</x:v>
      </x:c>
      <x:c r="C2516" s="1" t="str">
        <x:v>Standard Class</x:v>
      </x:c>
      <x:c r="D2516" s="1" t="str">
        <x:v>Europe</x:v>
      </x:c>
      <x:c r="E2516" s="1" t="str">
        <x:v>COMPLETE</x:v>
      </x:c>
      <x:c r="F2516" s="1" t="str">
        <x:v>Late delivery</x:v>
      </x:c>
      <x:c r="G2516" s="6" t="n">
        <x:v>6</x:v>
      </x:c>
      <x:c r="H2516" s="6" t="n">
        <x:v>4</x:v>
      </x:c>
      <x:c r="I2516" s="6" t="n">
        <x:f>G2516-H2516</x:f>
        <x:v>2</x:v>
      </x:c>
      <x:c r="J2516" s="6" t="n">
        <x:f>IF(OR(E2516="CANCELED",E2516="SUSPECTED_FRAUD",F2516="Shipping canceled"),0,1)</x:f>
        <x:v>1</x:v>
      </x:c>
      <x:c r="K2516" s="6" t="n">
        <x:f>IF(G2516&gt;H2516,1,0)</x:f>
        <x:v>1</x:v>
      </x:c>
      <x:c r="L2516" s="6" t="n">
        <x:f>J2516*K2516</x:f>
        <x:v>1</x:v>
      </x:c>
    </x:row>
    <x:row r="2517">
      <x:c r="A2517" s="1" t="n">
        <x:v>19307</x:v>
      </x:c>
      <x:c r="B2517" s="5" t="d">
        <x:v>2015-10-09T00:00:00.000Z</x:v>
      </x:c>
      <x:c r="C2517" s="1" t="str">
        <x:v>Standard Class</x:v>
      </x:c>
      <x:c r="D2517" s="1" t="str">
        <x:v>Europe</x:v>
      </x:c>
      <x:c r="E2517" s="1" t="str">
        <x:v>CLOSED</x:v>
      </x:c>
      <x:c r="F2517" s="1" t="str">
        <x:v>Advance shipping</x:v>
      </x:c>
      <x:c r="G2517" s="6" t="n">
        <x:v>3</x:v>
      </x:c>
      <x:c r="H2517" s="6" t="n">
        <x:v>4</x:v>
      </x:c>
      <x:c r="I2517" s="6" t="n">
        <x:f>G2517-H2517</x:f>
        <x:v>-1</x:v>
      </x:c>
      <x:c r="J2517" s="6" t="n">
        <x:f>IF(OR(E2517="CANCELED",E2517="SUSPECTED_FRAUD",F2517="Shipping canceled"),0,1)</x:f>
        <x:v>1</x:v>
      </x:c>
      <x:c r="K2517" s="6" t="n">
        <x:f>IF(G2517&gt;H2517,1,0)</x:f>
        <x:v>0</x:v>
      </x:c>
      <x:c r="L2517" s="6" t="n">
        <x:f>J2517*K2517</x:f>
        <x:v>0</x:v>
      </x:c>
    </x:row>
    <x:row r="2518">
      <x:c r="A2518" s="1" t="n">
        <x:v>19309</x:v>
      </x:c>
      <x:c r="B2518" s="5" t="d">
        <x:v>2015-10-09T00:00:00.000Z</x:v>
      </x:c>
      <x:c r="C2518" s="1" t="str">
        <x:v>Standard Class</x:v>
      </x:c>
      <x:c r="D2518" s="1" t="str">
        <x:v>Europe</x:v>
      </x:c>
      <x:c r="E2518" s="1" t="str">
        <x:v>COMPLETE</x:v>
      </x:c>
      <x:c r="F2518" s="1" t="str">
        <x:v>Late delivery</x:v>
      </x:c>
      <x:c r="G2518" s="6" t="n">
        <x:v>5</x:v>
      </x:c>
      <x:c r="H2518" s="6" t="n">
        <x:v>4</x:v>
      </x:c>
      <x:c r="I2518" s="6" t="n">
        <x:f>G2518-H2518</x:f>
        <x:v>1</x:v>
      </x:c>
      <x:c r="J2518" s="6" t="n">
        <x:f>IF(OR(E2518="CANCELED",E2518="SUSPECTED_FRAUD",F2518="Shipping canceled"),0,1)</x:f>
        <x:v>1</x:v>
      </x:c>
      <x:c r="K2518" s="6" t="n">
        <x:f>IF(G2518&gt;H2518,1,0)</x:f>
        <x:v>1</x:v>
      </x:c>
      <x:c r="L2518" s="6" t="n">
        <x:f>J2518*K2518</x:f>
        <x:v>1</x:v>
      </x:c>
    </x:row>
    <x:row r="2519">
      <x:c r="A2519" s="1" t="n">
        <x:v>19315</x:v>
      </x:c>
      <x:c r="B2519" s="5" t="d">
        <x:v>2015-10-09T00:00:00.000Z</x:v>
      </x:c>
      <x:c r="C2519" s="1" t="str">
        <x:v>Second Class</x:v>
      </x:c>
      <x:c r="D2519" s="1" t="str">
        <x:v>Europe</x:v>
      </x:c>
      <x:c r="E2519" s="1" t="str">
        <x:v>CLOSED</x:v>
      </x:c>
      <x:c r="F2519" s="1" t="str">
        <x:v>Late delivery</x:v>
      </x:c>
      <x:c r="G2519" s="6" t="n">
        <x:v>6</x:v>
      </x:c>
      <x:c r="H2519" s="6" t="n">
        <x:v>2</x:v>
      </x:c>
      <x:c r="I2519" s="6" t="n">
        <x:f>G2519-H2519</x:f>
        <x:v>4</x:v>
      </x:c>
      <x:c r="J2519" s="6" t="n">
        <x:f>IF(OR(E2519="CANCELED",E2519="SUSPECTED_FRAUD",F2519="Shipping canceled"),0,1)</x:f>
        <x:v>1</x:v>
      </x:c>
      <x:c r="K2519" s="6" t="n">
        <x:f>IF(G2519&gt;H2519,1,0)</x:f>
        <x:v>1</x:v>
      </x:c>
      <x:c r="L2519" s="6" t="n">
        <x:f>J2519*K2519</x:f>
        <x:v>1</x:v>
      </x:c>
    </x:row>
    <x:row r="2520">
      <x:c r="A2520" s="1" t="n">
        <x:v>19319</x:v>
      </x:c>
      <x:c r="B2520" s="5" t="d">
        <x:v>2015-10-09T00:00:00.000Z</x:v>
      </x:c>
      <x:c r="C2520" s="1" t="str">
        <x:v>Standard Class</x:v>
      </x:c>
      <x:c r="D2520" s="1" t="str">
        <x:v>Europe</x:v>
      </x:c>
      <x:c r="E2520" s="1" t="str">
        <x:v>COMPLETE</x:v>
      </x:c>
      <x:c r="F2520" s="1" t="str">
        <x:v>Late delivery</x:v>
      </x:c>
      <x:c r="G2520" s="6" t="n">
        <x:v>5</x:v>
      </x:c>
      <x:c r="H2520" s="6" t="n">
        <x:v>4</x:v>
      </x:c>
      <x:c r="I2520" s="6" t="n">
        <x:f>G2520-H2520</x:f>
        <x:v>1</x:v>
      </x:c>
      <x:c r="J2520" s="6" t="n">
        <x:f>IF(OR(E2520="CANCELED",E2520="SUSPECTED_FRAUD",F2520="Shipping canceled"),0,1)</x:f>
        <x:v>1</x:v>
      </x:c>
      <x:c r="K2520" s="6" t="n">
        <x:f>IF(G2520&gt;H2520,1,0)</x:f>
        <x:v>1</x:v>
      </x:c>
      <x:c r="L2520" s="6" t="n">
        <x:f>J2520*K2520</x:f>
        <x:v>1</x:v>
      </x:c>
    </x:row>
    <x:row r="2521">
      <x:c r="A2521" s="1" t="n">
        <x:v>19327</x:v>
      </x:c>
      <x:c r="B2521" s="5" t="d">
        <x:v>2015-10-10T00:00:00.000Z</x:v>
      </x:c>
      <x:c r="C2521" s="1" t="str">
        <x:v>Standard Class</x:v>
      </x:c>
      <x:c r="D2521" s="1" t="str">
        <x:v>Europe</x:v>
      </x:c>
      <x:c r="E2521" s="1" t="str">
        <x:v>SUSPECTED_FRAUD</x:v>
      </x:c>
      <x:c r="F2521" s="1" t="str">
        <x:v>Shipping canceled</x:v>
      </x:c>
      <x:c r="G2521" s="6" t="n">
        <x:v>3</x:v>
      </x:c>
      <x:c r="H2521" s="6" t="n">
        <x:v>4</x:v>
      </x:c>
      <x:c r="I2521" s="6" t="n">
        <x:f>G2521-H2521</x:f>
        <x:v>-1</x:v>
      </x:c>
      <x:c r="J2521" s="6" t="n">
        <x:f>IF(OR(E2521="CANCELED",E2521="SUSPECTED_FRAUD",F2521="Shipping canceled"),0,1)</x:f>
        <x:v>0</x:v>
      </x:c>
      <x:c r="K2521" s="6" t="n">
        <x:f>IF(G2521&gt;H2521,1,0)</x:f>
        <x:v>0</x:v>
      </x:c>
      <x:c r="L2521" s="6" t="n">
        <x:f>J2521*K2521</x:f>
        <x:v>0</x:v>
      </x:c>
    </x:row>
    <x:row r="2522">
      <x:c r="A2522" s="1" t="n">
        <x:v>19333</x:v>
      </x:c>
      <x:c r="B2522" s="5" t="d">
        <x:v>2015-10-10T00:00:00.000Z</x:v>
      </x:c>
      <x:c r="C2522" s="1" t="str">
        <x:v>Standard Class</x:v>
      </x:c>
      <x:c r="D2522" s="1" t="str">
        <x:v>Europe</x:v>
      </x:c>
      <x:c r="E2522" s="1" t="str">
        <x:v>COMPLETE</x:v>
      </x:c>
      <x:c r="F2522" s="1" t="str">
        <x:v>Shipping on time</x:v>
      </x:c>
      <x:c r="G2522" s="6" t="n">
        <x:v>4</x:v>
      </x:c>
      <x:c r="H2522" s="6" t="n">
        <x:v>4</x:v>
      </x:c>
      <x:c r="I2522" s="6" t="n">
        <x:f>G2522-H2522</x:f>
        <x:v>0</x:v>
      </x:c>
      <x:c r="J2522" s="6" t="n">
        <x:f>IF(OR(E2522="CANCELED",E2522="SUSPECTED_FRAUD",F2522="Shipping canceled"),0,1)</x:f>
        <x:v>1</x:v>
      </x:c>
      <x:c r="K2522" s="6" t="n">
        <x:f>IF(G2522&gt;H2522,1,0)</x:f>
        <x:v>0</x:v>
      </x:c>
      <x:c r="L2522" s="6" t="n">
        <x:f>J2522*K2522</x:f>
        <x:v>0</x:v>
      </x:c>
    </x:row>
    <x:row r="2523">
      <x:c r="A2523" s="1" t="n">
        <x:v>19342</x:v>
      </x:c>
      <x:c r="B2523" s="5" t="d">
        <x:v>2015-10-10T00:00:00.000Z</x:v>
      </x:c>
      <x:c r="C2523" s="1" t="str">
        <x:v>Standard Class</x:v>
      </x:c>
      <x:c r="D2523" s="1" t="str">
        <x:v>Europe</x:v>
      </x:c>
      <x:c r="E2523" s="1" t="str">
        <x:v>COMPLETE</x:v>
      </x:c>
      <x:c r="F2523" s="1" t="str">
        <x:v>Advance shipping</x:v>
      </x:c>
      <x:c r="G2523" s="6" t="n">
        <x:v>3</x:v>
      </x:c>
      <x:c r="H2523" s="6" t="n">
        <x:v>4</x:v>
      </x:c>
      <x:c r="I2523" s="6" t="n">
        <x:f>G2523-H2523</x:f>
        <x:v>-1</x:v>
      </x:c>
      <x:c r="J2523" s="6" t="n">
        <x:f>IF(OR(E2523="CANCELED",E2523="SUSPECTED_FRAUD",F2523="Shipping canceled"),0,1)</x:f>
        <x:v>1</x:v>
      </x:c>
      <x:c r="K2523" s="6" t="n">
        <x:f>IF(G2523&gt;H2523,1,0)</x:f>
        <x:v>0</x:v>
      </x:c>
      <x:c r="L2523" s="6" t="n">
        <x:f>J2523*K2523</x:f>
        <x:v>0</x:v>
      </x:c>
    </x:row>
    <x:row r="2524">
      <x:c r="A2524" s="1" t="n">
        <x:v>19346</x:v>
      </x:c>
      <x:c r="B2524" s="5" t="d">
        <x:v>2015-10-10T00:00:00.000Z</x:v>
      </x:c>
      <x:c r="C2524" s="1" t="str">
        <x:v>Standard Class</x:v>
      </x:c>
      <x:c r="D2524" s="1" t="str">
        <x:v>Europe</x:v>
      </x:c>
      <x:c r="E2524" s="1" t="str">
        <x:v>PENDING_PAYMENT</x:v>
      </x:c>
      <x:c r="F2524" s="1" t="str">
        <x:v>Advance shipping</x:v>
      </x:c>
      <x:c r="G2524" s="6" t="n">
        <x:v>2</x:v>
      </x:c>
      <x:c r="H2524" s="6" t="n">
        <x:v>4</x:v>
      </x:c>
      <x:c r="I2524" s="6" t="n">
        <x:f>G2524-H2524</x:f>
        <x:v>-2</x:v>
      </x:c>
      <x:c r="J2524" s="6" t="n">
        <x:f>IF(OR(E2524="CANCELED",E2524="SUSPECTED_FRAUD",F2524="Shipping canceled"),0,1)</x:f>
        <x:v>1</x:v>
      </x:c>
      <x:c r="K2524" s="6" t="n">
        <x:f>IF(G2524&gt;H2524,1,0)</x:f>
        <x:v>0</x:v>
      </x:c>
      <x:c r="L2524" s="6" t="n">
        <x:f>J2524*K2524</x:f>
        <x:v>0</x:v>
      </x:c>
    </x:row>
    <x:row r="2525">
      <x:c r="A2525" s="1" t="n">
        <x:v>19357</x:v>
      </x:c>
      <x:c r="B2525" s="5" t="d">
        <x:v>2015-10-10T00:00:00.000Z</x:v>
      </x:c>
      <x:c r="C2525" s="1" t="str">
        <x:v>Standard Class</x:v>
      </x:c>
      <x:c r="D2525" s="1" t="str">
        <x:v>Europe</x:v>
      </x:c>
      <x:c r="E2525" s="1" t="str">
        <x:v>PENDING_PAYMENT</x:v>
      </x:c>
      <x:c r="F2525" s="1" t="str">
        <x:v>Advance shipping</x:v>
      </x:c>
      <x:c r="G2525" s="6" t="n">
        <x:v>3</x:v>
      </x:c>
      <x:c r="H2525" s="6" t="n">
        <x:v>4</x:v>
      </x:c>
      <x:c r="I2525" s="6" t="n">
        <x:f>G2525-H2525</x:f>
        <x:v>-1</x:v>
      </x:c>
      <x:c r="J2525" s="6" t="n">
        <x:f>IF(OR(E2525="CANCELED",E2525="SUSPECTED_FRAUD",F2525="Shipping canceled"),0,1)</x:f>
        <x:v>1</x:v>
      </x:c>
      <x:c r="K2525" s="6" t="n">
        <x:f>IF(G2525&gt;H2525,1,0)</x:f>
        <x:v>0</x:v>
      </x:c>
      <x:c r="L2525" s="6" t="n">
        <x:f>J2525*K2525</x:f>
        <x:v>0</x:v>
      </x:c>
    </x:row>
    <x:row r="2526">
      <x:c r="A2526" s="1" t="n">
        <x:v>19361</x:v>
      </x:c>
      <x:c r="B2526" s="5" t="d">
        <x:v>2015-10-10T00:00:00.000Z</x:v>
      </x:c>
      <x:c r="C2526" s="1" t="str">
        <x:v>Standard Class</x:v>
      </x:c>
      <x:c r="D2526" s="1" t="str">
        <x:v>Europe</x:v>
      </x:c>
      <x:c r="E2526" s="1" t="str">
        <x:v>CANCELED</x:v>
      </x:c>
      <x:c r="F2526" s="1" t="str">
        <x:v>Shipping canceled</x:v>
      </x:c>
      <x:c r="G2526" s="6" t="n">
        <x:v>2</x:v>
      </x:c>
      <x:c r="H2526" s="6" t="n">
        <x:v>4</x:v>
      </x:c>
      <x:c r="I2526" s="6" t="n">
        <x:f>G2526-H2526</x:f>
        <x:v>-2</x:v>
      </x:c>
      <x:c r="J2526" s="6" t="n">
        <x:f>IF(OR(E2526="CANCELED",E2526="SUSPECTED_FRAUD",F2526="Shipping canceled"),0,1)</x:f>
        <x:v>0</x:v>
      </x:c>
      <x:c r="K2526" s="6" t="n">
        <x:f>IF(G2526&gt;H2526,1,0)</x:f>
        <x:v>0</x:v>
      </x:c>
      <x:c r="L2526" s="6" t="n">
        <x:f>J2526*K2526</x:f>
        <x:v>0</x:v>
      </x:c>
    </x:row>
    <x:row r="2527">
      <x:c r="A2527" s="1" t="n">
        <x:v>19380</x:v>
      </x:c>
      <x:c r="B2527" s="5" t="d">
        <x:v>2015-10-10T00:00:00.000Z</x:v>
      </x:c>
      <x:c r="C2527" s="1" t="str">
        <x:v>Second Class</x:v>
      </x:c>
      <x:c r="D2527" s="1" t="str">
        <x:v>Europe</x:v>
      </x:c>
      <x:c r="E2527" s="1" t="str">
        <x:v>COMPLETE</x:v>
      </x:c>
      <x:c r="F2527" s="1" t="str">
        <x:v>Late delivery</x:v>
      </x:c>
      <x:c r="G2527" s="6" t="n">
        <x:v>6</x:v>
      </x:c>
      <x:c r="H2527" s="6" t="n">
        <x:v>2</x:v>
      </x:c>
      <x:c r="I2527" s="6" t="n">
        <x:f>G2527-H2527</x:f>
        <x:v>4</x:v>
      </x:c>
      <x:c r="J2527" s="6" t="n">
        <x:f>IF(OR(E2527="CANCELED",E2527="SUSPECTED_FRAUD",F2527="Shipping canceled"),0,1)</x:f>
        <x:v>1</x:v>
      </x:c>
      <x:c r="K2527" s="6" t="n">
        <x:f>IF(G2527&gt;H2527,1,0)</x:f>
        <x:v>1</x:v>
      </x:c>
      <x:c r="L2527" s="6" t="n">
        <x:f>J2527*K2527</x:f>
        <x:v>1</x:v>
      </x:c>
    </x:row>
    <x:row r="2528">
      <x:c r="A2528" s="1" t="n">
        <x:v>19388</x:v>
      </x:c>
      <x:c r="B2528" s="5" t="d">
        <x:v>2015-10-11T00:00:00.000Z</x:v>
      </x:c>
      <x:c r="C2528" s="1" t="str">
        <x:v>Standard Class</x:v>
      </x:c>
      <x:c r="D2528" s="1" t="str">
        <x:v>Europe</x:v>
      </x:c>
      <x:c r="E2528" s="1" t="str">
        <x:v>COMPLETE</x:v>
      </x:c>
      <x:c r="F2528" s="1" t="str">
        <x:v>Shipping on time</x:v>
      </x:c>
      <x:c r="G2528" s="6" t="n">
        <x:v>4</x:v>
      </x:c>
      <x:c r="H2528" s="6" t="n">
        <x:v>4</x:v>
      </x:c>
      <x:c r="I2528" s="6" t="n">
        <x:f>G2528-H2528</x:f>
        <x:v>0</x:v>
      </x:c>
      <x:c r="J2528" s="6" t="n">
        <x:f>IF(OR(E2528="CANCELED",E2528="SUSPECTED_FRAUD",F2528="Shipping canceled"),0,1)</x:f>
        <x:v>1</x:v>
      </x:c>
      <x:c r="K2528" s="6" t="n">
        <x:f>IF(G2528&gt;H2528,1,0)</x:f>
        <x:v>0</x:v>
      </x:c>
      <x:c r="L2528" s="6" t="n">
        <x:f>J2528*K2528</x:f>
        <x:v>0</x:v>
      </x:c>
    </x:row>
    <x:row r="2529">
      <x:c r="A2529" s="1" t="n">
        <x:v>19389</x:v>
      </x:c>
      <x:c r="B2529" s="5" t="d">
        <x:v>2015-10-11T00:00:00.000Z</x:v>
      </x:c>
      <x:c r="C2529" s="1" t="str">
        <x:v>Standard Class</x:v>
      </x:c>
      <x:c r="D2529" s="1" t="str">
        <x:v>Europe</x:v>
      </x:c>
      <x:c r="E2529" s="1" t="str">
        <x:v>COMPLETE</x:v>
      </x:c>
      <x:c r="F2529" s="1" t="str">
        <x:v>Late delivery</x:v>
      </x:c>
      <x:c r="G2529" s="6" t="n">
        <x:v>5</x:v>
      </x:c>
      <x:c r="H2529" s="6" t="n">
        <x:v>4</x:v>
      </x:c>
      <x:c r="I2529" s="6" t="n">
        <x:f>G2529-H2529</x:f>
        <x:v>1</x:v>
      </x:c>
      <x:c r="J2529" s="6" t="n">
        <x:f>IF(OR(E2529="CANCELED",E2529="SUSPECTED_FRAUD",F2529="Shipping canceled"),0,1)</x:f>
        <x:v>1</x:v>
      </x:c>
      <x:c r="K2529" s="6" t="n">
        <x:f>IF(G2529&gt;H2529,1,0)</x:f>
        <x:v>1</x:v>
      </x:c>
      <x:c r="L2529" s="6" t="n">
        <x:f>J2529*K2529</x:f>
        <x:v>1</x:v>
      </x:c>
    </x:row>
    <x:row r="2530">
      <x:c r="A2530" s="1" t="n">
        <x:v>19391</x:v>
      </x:c>
      <x:c r="B2530" s="5" t="d">
        <x:v>2015-10-11T00:00:00.000Z</x:v>
      </x:c>
      <x:c r="C2530" s="1" t="str">
        <x:v>Standard Class</x:v>
      </x:c>
      <x:c r="D2530" s="1" t="str">
        <x:v>Europe</x:v>
      </x:c>
      <x:c r="E2530" s="1" t="str">
        <x:v>COMPLETE</x:v>
      </x:c>
      <x:c r="F2530" s="1" t="str">
        <x:v>Advance shipping</x:v>
      </x:c>
      <x:c r="G2530" s="6" t="n">
        <x:v>2</x:v>
      </x:c>
      <x:c r="H2530" s="6" t="n">
        <x:v>4</x:v>
      </x:c>
      <x:c r="I2530" s="6" t="n">
        <x:f>G2530-H2530</x:f>
        <x:v>-2</x:v>
      </x:c>
      <x:c r="J2530" s="6" t="n">
        <x:f>IF(OR(E2530="CANCELED",E2530="SUSPECTED_FRAUD",F2530="Shipping canceled"),0,1)</x:f>
        <x:v>1</x:v>
      </x:c>
      <x:c r="K2530" s="6" t="n">
        <x:f>IF(G2530&gt;H2530,1,0)</x:f>
        <x:v>0</x:v>
      </x:c>
      <x:c r="L2530" s="6" t="n">
        <x:f>J2530*K2530</x:f>
        <x:v>0</x:v>
      </x:c>
    </x:row>
    <x:row r="2531">
      <x:c r="A2531" s="1" t="n">
        <x:v>19396</x:v>
      </x:c>
      <x:c r="B2531" s="5" t="d">
        <x:v>2015-10-11T00:00:00.000Z</x:v>
      </x:c>
      <x:c r="C2531" s="1" t="str">
        <x:v>First Class</x:v>
      </x:c>
      <x:c r="D2531" s="1" t="str">
        <x:v>Europe</x:v>
      </x:c>
      <x:c r="E2531" s="1" t="str">
        <x:v>PENDING_PAYMENT</x:v>
      </x:c>
      <x:c r="F2531" s="1" t="str">
        <x:v>Late delivery</x:v>
      </x:c>
      <x:c r="G2531" s="6" t="n">
        <x:v>2</x:v>
      </x:c>
      <x:c r="H2531" s="6" t="n">
        <x:v>1</x:v>
      </x:c>
      <x:c r="I2531" s="6" t="n">
        <x:f>G2531-H2531</x:f>
        <x:v>1</x:v>
      </x:c>
      <x:c r="J2531" s="6" t="n">
        <x:f>IF(OR(E2531="CANCELED",E2531="SUSPECTED_FRAUD",F2531="Shipping canceled"),0,1)</x:f>
        <x:v>1</x:v>
      </x:c>
      <x:c r="K2531" s="6" t="n">
        <x:f>IF(G2531&gt;H2531,1,0)</x:f>
        <x:v>1</x:v>
      </x:c>
      <x:c r="L2531" s="6" t="n">
        <x:f>J2531*K2531</x:f>
        <x:v>1</x:v>
      </x:c>
    </x:row>
    <x:row r="2532">
      <x:c r="A2532" s="1" t="n">
        <x:v>19404</x:v>
      </x:c>
      <x:c r="B2532" s="5" t="d">
        <x:v>2015-10-11T00:00:00.000Z</x:v>
      </x:c>
      <x:c r="C2532" s="1" t="str">
        <x:v>Standard Class</x:v>
      </x:c>
      <x:c r="D2532" s="1" t="str">
        <x:v>Europe</x:v>
      </x:c>
      <x:c r="E2532" s="1" t="str">
        <x:v>CLOSED</x:v>
      </x:c>
      <x:c r="F2532" s="1" t="str">
        <x:v>Late delivery</x:v>
      </x:c>
      <x:c r="G2532" s="6" t="n">
        <x:v>5</x:v>
      </x:c>
      <x:c r="H2532" s="6" t="n">
        <x:v>4</x:v>
      </x:c>
      <x:c r="I2532" s="6" t="n">
        <x:f>G2532-H2532</x:f>
        <x:v>1</x:v>
      </x:c>
      <x:c r="J2532" s="6" t="n">
        <x:f>IF(OR(E2532="CANCELED",E2532="SUSPECTED_FRAUD",F2532="Shipping canceled"),0,1)</x:f>
        <x:v>1</x:v>
      </x:c>
      <x:c r="K2532" s="6" t="n">
        <x:f>IF(G2532&gt;H2532,1,0)</x:f>
        <x:v>1</x:v>
      </x:c>
      <x:c r="L2532" s="6" t="n">
        <x:f>J2532*K2532</x:f>
        <x:v>1</x:v>
      </x:c>
    </x:row>
    <x:row r="2533">
      <x:c r="A2533" s="1" t="n">
        <x:v>19415</x:v>
      </x:c>
      <x:c r="B2533" s="5" t="d">
        <x:v>2015-10-11T00:00:00.000Z</x:v>
      </x:c>
      <x:c r="C2533" s="1" t="str">
        <x:v>Standard Class</x:v>
      </x:c>
      <x:c r="D2533" s="1" t="str">
        <x:v>Europe</x:v>
      </x:c>
      <x:c r="E2533" s="1" t="str">
        <x:v>PENDING_PAYMENT</x:v>
      </x:c>
      <x:c r="F2533" s="1" t="str">
        <x:v>Late delivery</x:v>
      </x:c>
      <x:c r="G2533" s="6" t="n">
        <x:v>6</x:v>
      </x:c>
      <x:c r="H2533" s="6" t="n">
        <x:v>4</x:v>
      </x:c>
      <x:c r="I2533" s="6" t="n">
        <x:f>G2533-H2533</x:f>
        <x:v>2</x:v>
      </x:c>
      <x:c r="J2533" s="6" t="n">
        <x:f>IF(OR(E2533="CANCELED",E2533="SUSPECTED_FRAUD",F2533="Shipping canceled"),0,1)</x:f>
        <x:v>1</x:v>
      </x:c>
      <x:c r="K2533" s="6" t="n">
        <x:f>IF(G2533&gt;H2533,1,0)</x:f>
        <x:v>1</x:v>
      </x:c>
      <x:c r="L2533" s="6" t="n">
        <x:f>J2533*K2533</x:f>
        <x:v>1</x:v>
      </x:c>
    </x:row>
    <x:row r="2534">
      <x:c r="A2534" s="1" t="n">
        <x:v>19418</x:v>
      </x:c>
      <x:c r="B2534" s="5" t="d">
        <x:v>2015-10-11T00:00:00.000Z</x:v>
      </x:c>
      <x:c r="C2534" s="1" t="str">
        <x:v>Standard Class</x:v>
      </x:c>
      <x:c r="D2534" s="1" t="str">
        <x:v>Europe</x:v>
      </x:c>
      <x:c r="E2534" s="1" t="str">
        <x:v>COMPLETE</x:v>
      </x:c>
      <x:c r="F2534" s="1" t="str">
        <x:v>Shipping on time</x:v>
      </x:c>
      <x:c r="G2534" s="6" t="n">
        <x:v>4</x:v>
      </x:c>
      <x:c r="H2534" s="6" t="n">
        <x:v>4</x:v>
      </x:c>
      <x:c r="I2534" s="6" t="n">
        <x:f>G2534-H2534</x:f>
        <x:v>0</x:v>
      </x:c>
      <x:c r="J2534" s="6" t="n">
        <x:f>IF(OR(E2534="CANCELED",E2534="SUSPECTED_FRAUD",F2534="Shipping canceled"),0,1)</x:f>
        <x:v>1</x:v>
      </x:c>
      <x:c r="K2534" s="6" t="n">
        <x:f>IF(G2534&gt;H2534,1,0)</x:f>
        <x:v>0</x:v>
      </x:c>
      <x:c r="L2534" s="6" t="n">
        <x:f>J2534*K2534</x:f>
        <x:v>0</x:v>
      </x:c>
    </x:row>
    <x:row r="2535">
      <x:c r="A2535" s="1" t="n">
        <x:v>19422</x:v>
      </x:c>
      <x:c r="B2535" s="5" t="d">
        <x:v>2015-10-11T00:00:00.000Z</x:v>
      </x:c>
      <x:c r="C2535" s="1" t="str">
        <x:v>Standard Class</x:v>
      </x:c>
      <x:c r="D2535" s="1" t="str">
        <x:v>Europe</x:v>
      </x:c>
      <x:c r="E2535" s="1" t="str">
        <x:v>PENDING_PAYMENT</x:v>
      </x:c>
      <x:c r="F2535" s="1" t="str">
        <x:v>Advance shipping</x:v>
      </x:c>
      <x:c r="G2535" s="6" t="n">
        <x:v>3</x:v>
      </x:c>
      <x:c r="H2535" s="6" t="n">
        <x:v>4</x:v>
      </x:c>
      <x:c r="I2535" s="6" t="n">
        <x:f>G2535-H2535</x:f>
        <x:v>-1</x:v>
      </x:c>
      <x:c r="J2535" s="6" t="n">
        <x:f>IF(OR(E2535="CANCELED",E2535="SUSPECTED_FRAUD",F2535="Shipping canceled"),0,1)</x:f>
        <x:v>1</x:v>
      </x:c>
      <x:c r="K2535" s="6" t="n">
        <x:f>IF(G2535&gt;H2535,1,0)</x:f>
        <x:v>0</x:v>
      </x:c>
      <x:c r="L2535" s="6" t="n">
        <x:f>J2535*K2535</x:f>
        <x:v>0</x:v>
      </x:c>
    </x:row>
    <x:row r="2536">
      <x:c r="A2536" s="1" t="n">
        <x:v>19423</x:v>
      </x:c>
      <x:c r="B2536" s="5" t="d">
        <x:v>2015-10-11T00:00:00.000Z</x:v>
      </x:c>
      <x:c r="C2536" s="1" t="str">
        <x:v>Standard Class</x:v>
      </x:c>
      <x:c r="D2536" s="1" t="str">
        <x:v>Europe</x:v>
      </x:c>
      <x:c r="E2536" s="1" t="str">
        <x:v>PENDING</x:v>
      </x:c>
      <x:c r="F2536" s="1" t="str">
        <x:v>Shipping on time</x:v>
      </x:c>
      <x:c r="G2536" s="6" t="n">
        <x:v>4</x:v>
      </x:c>
      <x:c r="H2536" s="6" t="n">
        <x:v>4</x:v>
      </x:c>
      <x:c r="I2536" s="6" t="n">
        <x:f>G2536-H2536</x:f>
        <x:v>0</x:v>
      </x:c>
      <x:c r="J2536" s="6" t="n">
        <x:f>IF(OR(E2536="CANCELED",E2536="SUSPECTED_FRAUD",F2536="Shipping canceled"),0,1)</x:f>
        <x:v>1</x:v>
      </x:c>
      <x:c r="K2536" s="6" t="n">
        <x:f>IF(G2536&gt;H2536,1,0)</x:f>
        <x:v>0</x:v>
      </x:c>
      <x:c r="L2536" s="6" t="n">
        <x:f>J2536*K2536</x:f>
        <x:v>0</x:v>
      </x:c>
    </x:row>
    <x:row r="2537">
      <x:c r="A2537" s="1" t="n">
        <x:v>19433</x:v>
      </x:c>
      <x:c r="B2537" s="5" t="d">
        <x:v>2015-10-11T00:00:00.000Z</x:v>
      </x:c>
      <x:c r="C2537" s="1" t="str">
        <x:v>First Class</x:v>
      </x:c>
      <x:c r="D2537" s="1" t="str">
        <x:v>Europe</x:v>
      </x:c>
      <x:c r="E2537" s="1" t="str">
        <x:v>PENDING_PAYMENT</x:v>
      </x:c>
      <x:c r="F2537" s="1" t="str">
        <x:v>Late delivery</x:v>
      </x:c>
      <x:c r="G2537" s="6" t="n">
        <x:v>2</x:v>
      </x:c>
      <x:c r="H2537" s="6" t="n">
        <x:v>1</x:v>
      </x:c>
      <x:c r="I2537" s="6" t="n">
        <x:f>G2537-H2537</x:f>
        <x:v>1</x:v>
      </x:c>
      <x:c r="J2537" s="6" t="n">
        <x:f>IF(OR(E2537="CANCELED",E2537="SUSPECTED_FRAUD",F2537="Shipping canceled"),0,1)</x:f>
        <x:v>1</x:v>
      </x:c>
      <x:c r="K2537" s="6" t="n">
        <x:f>IF(G2537&gt;H2537,1,0)</x:f>
        <x:v>1</x:v>
      </x:c>
      <x:c r="L2537" s="6" t="n">
        <x:f>J2537*K2537</x:f>
        <x:v>1</x:v>
      </x:c>
    </x:row>
    <x:row r="2538">
      <x:c r="A2538" s="1" t="n">
        <x:v>19442</x:v>
      </x:c>
      <x:c r="B2538" s="5" t="d">
        <x:v>2015-10-11T00:00:00.000Z</x:v>
      </x:c>
      <x:c r="C2538" s="1" t="str">
        <x:v>Standard Class</x:v>
      </x:c>
      <x:c r="D2538" s="1" t="str">
        <x:v>Europe</x:v>
      </x:c>
      <x:c r="E2538" s="1" t="str">
        <x:v>PENDING</x:v>
      </x:c>
      <x:c r="F2538" s="1" t="str">
        <x:v>Advance shipping</x:v>
      </x:c>
      <x:c r="G2538" s="6" t="n">
        <x:v>3</x:v>
      </x:c>
      <x:c r="H2538" s="6" t="n">
        <x:v>4</x:v>
      </x:c>
      <x:c r="I2538" s="6" t="n">
        <x:f>G2538-H2538</x:f>
        <x:v>-1</x:v>
      </x:c>
      <x:c r="J2538" s="6" t="n">
        <x:f>IF(OR(E2538="CANCELED",E2538="SUSPECTED_FRAUD",F2538="Shipping canceled"),0,1)</x:f>
        <x:v>1</x:v>
      </x:c>
      <x:c r="K2538" s="6" t="n">
        <x:f>IF(G2538&gt;H2538,1,0)</x:f>
        <x:v>0</x:v>
      </x:c>
      <x:c r="L2538" s="6" t="n">
        <x:f>J2538*K2538</x:f>
        <x:v>0</x:v>
      </x:c>
    </x:row>
    <x:row r="2539">
      <x:c r="A2539" s="1" t="n">
        <x:v>19444</x:v>
      </x:c>
      <x:c r="B2539" s="5" t="d">
        <x:v>2015-10-11T00:00:00.000Z</x:v>
      </x:c>
      <x:c r="C2539" s="1" t="str">
        <x:v>Second Class</x:v>
      </x:c>
      <x:c r="D2539" s="1" t="str">
        <x:v>Europe</x:v>
      </x:c>
      <x:c r="E2539" s="1" t="str">
        <x:v>PENDING_PAYMENT</x:v>
      </x:c>
      <x:c r="F2539" s="1" t="str">
        <x:v>Late delivery</x:v>
      </x:c>
      <x:c r="G2539" s="6" t="n">
        <x:v>5</x:v>
      </x:c>
      <x:c r="H2539" s="6" t="n">
        <x:v>2</x:v>
      </x:c>
      <x:c r="I2539" s="6" t="n">
        <x:f>G2539-H2539</x:f>
        <x:v>3</x:v>
      </x:c>
      <x:c r="J2539" s="6" t="n">
        <x:f>IF(OR(E2539="CANCELED",E2539="SUSPECTED_FRAUD",F2539="Shipping canceled"),0,1)</x:f>
        <x:v>1</x:v>
      </x:c>
      <x:c r="K2539" s="6" t="n">
        <x:f>IF(G2539&gt;H2539,1,0)</x:f>
        <x:v>1</x:v>
      </x:c>
      <x:c r="L2539" s="6" t="n">
        <x:f>J2539*K2539</x:f>
        <x:v>1</x:v>
      </x:c>
    </x:row>
    <x:row r="2540">
      <x:c r="A2540" s="1" t="n">
        <x:v>19445</x:v>
      </x:c>
      <x:c r="B2540" s="5" t="d">
        <x:v>2015-10-11T00:00:00.000Z</x:v>
      </x:c>
      <x:c r="C2540" s="1" t="str">
        <x:v>Second Class</x:v>
      </x:c>
      <x:c r="D2540" s="1" t="str">
        <x:v>Europe</x:v>
      </x:c>
      <x:c r="E2540" s="1" t="str">
        <x:v>CANCELED</x:v>
      </x:c>
      <x:c r="F2540" s="1" t="str">
        <x:v>Shipping canceled</x:v>
      </x:c>
      <x:c r="G2540" s="6" t="n">
        <x:v>6</x:v>
      </x:c>
      <x:c r="H2540" s="6" t="n">
        <x:v>2</x:v>
      </x:c>
      <x:c r="I2540" s="6" t="n">
        <x:f>G2540-H2540</x:f>
        <x:v>4</x:v>
      </x:c>
      <x:c r="J2540" s="6" t="n">
        <x:f>IF(OR(E2540="CANCELED",E2540="SUSPECTED_FRAUD",F2540="Shipping canceled"),0,1)</x:f>
        <x:v>0</x:v>
      </x:c>
      <x:c r="K2540" s="6" t="n">
        <x:f>IF(G2540&gt;H2540,1,0)</x:f>
        <x:v>1</x:v>
      </x:c>
      <x:c r="L2540" s="6" t="n">
        <x:f>J2540*K2540</x:f>
        <x:v>0</x:v>
      </x:c>
    </x:row>
    <x:row r="2541">
      <x:c r="A2541" s="1" t="n">
        <x:v>19449</x:v>
      </x:c>
      <x:c r="B2541" s="5" t="d">
        <x:v>2015-10-11T00:00:00.000Z</x:v>
      </x:c>
      <x:c r="C2541" s="1" t="str">
        <x:v>Standard Class</x:v>
      </x:c>
      <x:c r="D2541" s="1" t="str">
        <x:v>Europe</x:v>
      </x:c>
      <x:c r="E2541" s="1" t="str">
        <x:v>COMPLETE</x:v>
      </x:c>
      <x:c r="F2541" s="1" t="str">
        <x:v>Late delivery</x:v>
      </x:c>
      <x:c r="G2541" s="6" t="n">
        <x:v>5</x:v>
      </x:c>
      <x:c r="H2541" s="6" t="n">
        <x:v>4</x:v>
      </x:c>
      <x:c r="I2541" s="6" t="n">
        <x:f>G2541-H2541</x:f>
        <x:v>1</x:v>
      </x:c>
      <x:c r="J2541" s="6" t="n">
        <x:f>IF(OR(E2541="CANCELED",E2541="SUSPECTED_FRAUD",F2541="Shipping canceled"),0,1)</x:f>
        <x:v>1</x:v>
      </x:c>
      <x:c r="K2541" s="6" t="n">
        <x:f>IF(G2541&gt;H2541,1,0)</x:f>
        <x:v>1</x:v>
      </x:c>
      <x:c r="L2541" s="6" t="n">
        <x:f>J2541*K2541</x:f>
        <x:v>1</x:v>
      </x:c>
    </x:row>
    <x:row r="2542">
      <x:c r="A2542" s="1" t="n">
        <x:v>19450</x:v>
      </x:c>
      <x:c r="B2542" s="5" t="d">
        <x:v>2015-10-11T00:00:00.000Z</x:v>
      </x:c>
      <x:c r="C2542" s="1" t="str">
        <x:v>Standard Class</x:v>
      </x:c>
      <x:c r="D2542" s="1" t="str">
        <x:v>Europe</x:v>
      </x:c>
      <x:c r="E2542" s="1" t="str">
        <x:v>ON_HOLD</x:v>
      </x:c>
      <x:c r="F2542" s="1" t="str">
        <x:v>Late delivery</x:v>
      </x:c>
      <x:c r="G2542" s="6" t="n">
        <x:v>6</x:v>
      </x:c>
      <x:c r="H2542" s="6" t="n">
        <x:v>4</x:v>
      </x:c>
      <x:c r="I2542" s="6" t="n">
        <x:f>G2542-H2542</x:f>
        <x:v>2</x:v>
      </x:c>
      <x:c r="J2542" s="6" t="n">
        <x:f>IF(OR(E2542="CANCELED",E2542="SUSPECTED_FRAUD",F2542="Shipping canceled"),0,1)</x:f>
        <x:v>1</x:v>
      </x:c>
      <x:c r="K2542" s="6" t="n">
        <x:f>IF(G2542&gt;H2542,1,0)</x:f>
        <x:v>1</x:v>
      </x:c>
      <x:c r="L2542" s="6" t="n">
        <x:f>J2542*K2542</x:f>
        <x:v>1</x:v>
      </x:c>
    </x:row>
    <x:row r="2543">
      <x:c r="A2543" s="1" t="n">
        <x:v>19459</x:v>
      </x:c>
      <x:c r="B2543" s="5" t="d">
        <x:v>2015-10-12T00:00:00.000Z</x:v>
      </x:c>
      <x:c r="C2543" s="1" t="str">
        <x:v>First Class</x:v>
      </x:c>
      <x:c r="D2543" s="1" t="str">
        <x:v>Europe</x:v>
      </x:c>
      <x:c r="E2543" s="1" t="str">
        <x:v>PENDING_PAYMENT</x:v>
      </x:c>
      <x:c r="F2543" s="1" t="str">
        <x:v>Late delivery</x:v>
      </x:c>
      <x:c r="G2543" s="6" t="n">
        <x:v>2</x:v>
      </x:c>
      <x:c r="H2543" s="6" t="n">
        <x:v>1</x:v>
      </x:c>
      <x:c r="I2543" s="6" t="n">
        <x:f>G2543-H2543</x:f>
        <x:v>1</x:v>
      </x:c>
      <x:c r="J2543" s="6" t="n">
        <x:f>IF(OR(E2543="CANCELED",E2543="SUSPECTED_FRAUD",F2543="Shipping canceled"),0,1)</x:f>
        <x:v>1</x:v>
      </x:c>
      <x:c r="K2543" s="6" t="n">
        <x:f>IF(G2543&gt;H2543,1,0)</x:f>
        <x:v>1</x:v>
      </x:c>
      <x:c r="L2543" s="6" t="n">
        <x:f>J2543*K2543</x:f>
        <x:v>1</x:v>
      </x:c>
    </x:row>
    <x:row r="2544">
      <x:c r="A2544" s="1" t="n">
        <x:v>19464</x:v>
      </x:c>
      <x:c r="B2544" s="5" t="d">
        <x:v>2015-10-12T00:00:00.000Z</x:v>
      </x:c>
      <x:c r="C2544" s="1" t="str">
        <x:v>First Class</x:v>
      </x:c>
      <x:c r="D2544" s="1" t="str">
        <x:v>Europe</x:v>
      </x:c>
      <x:c r="E2544" s="1" t="str">
        <x:v>SUSPECTED_FRAUD</x:v>
      </x:c>
      <x:c r="F2544" s="1" t="str">
        <x:v>Shipping canceled</x:v>
      </x:c>
      <x:c r="G2544" s="6" t="n">
        <x:v>2</x:v>
      </x:c>
      <x:c r="H2544" s="6" t="n">
        <x:v>1</x:v>
      </x:c>
      <x:c r="I2544" s="6" t="n">
        <x:f>G2544-H2544</x:f>
        <x:v>1</x:v>
      </x:c>
      <x:c r="J2544" s="6" t="n">
        <x:f>IF(OR(E2544="CANCELED",E2544="SUSPECTED_FRAUD",F2544="Shipping canceled"),0,1)</x:f>
        <x:v>0</x:v>
      </x:c>
      <x:c r="K2544" s="6" t="n">
        <x:f>IF(G2544&gt;H2544,1,0)</x:f>
        <x:v>1</x:v>
      </x:c>
      <x:c r="L2544" s="6" t="n">
        <x:f>J2544*K2544</x:f>
        <x:v>0</x:v>
      </x:c>
    </x:row>
    <x:row r="2545">
      <x:c r="A2545" s="1" t="n">
        <x:v>19478</x:v>
      </x:c>
      <x:c r="B2545" s="5" t="d">
        <x:v>2015-10-12T00:00:00.000Z</x:v>
      </x:c>
      <x:c r="C2545" s="1" t="str">
        <x:v>First Class</x:v>
      </x:c>
      <x:c r="D2545" s="1" t="str">
        <x:v>Europe</x:v>
      </x:c>
      <x:c r="E2545" s="1" t="str">
        <x:v>CLOSED</x:v>
      </x:c>
      <x:c r="F2545" s="1" t="str">
        <x:v>Late delivery</x:v>
      </x:c>
      <x:c r="G2545" s="6" t="n">
        <x:v>2</x:v>
      </x:c>
      <x:c r="H2545" s="6" t="n">
        <x:v>1</x:v>
      </x:c>
      <x:c r="I2545" s="6" t="n">
        <x:f>G2545-H2545</x:f>
        <x:v>1</x:v>
      </x:c>
      <x:c r="J2545" s="6" t="n">
        <x:f>IF(OR(E2545="CANCELED",E2545="SUSPECTED_FRAUD",F2545="Shipping canceled"),0,1)</x:f>
        <x:v>1</x:v>
      </x:c>
      <x:c r="K2545" s="6" t="n">
        <x:f>IF(G2545&gt;H2545,1,0)</x:f>
        <x:v>1</x:v>
      </x:c>
      <x:c r="L2545" s="6" t="n">
        <x:f>J2545*K2545</x:f>
        <x:v>1</x:v>
      </x:c>
    </x:row>
    <x:row r="2546">
      <x:c r="A2546" s="1" t="n">
        <x:v>19479</x:v>
      </x:c>
      <x:c r="B2546" s="5" t="d">
        <x:v>2015-10-12T00:00:00.000Z</x:v>
      </x:c>
      <x:c r="C2546" s="1" t="str">
        <x:v>First Class</x:v>
      </x:c>
      <x:c r="D2546" s="1" t="str">
        <x:v>Europe</x:v>
      </x:c>
      <x:c r="E2546" s="1" t="str">
        <x:v>CLOSED</x:v>
      </x:c>
      <x:c r="F2546" s="1" t="str">
        <x:v>Late delivery</x:v>
      </x:c>
      <x:c r="G2546" s="6" t="n">
        <x:v>2</x:v>
      </x:c>
      <x:c r="H2546" s="6" t="n">
        <x:v>1</x:v>
      </x:c>
      <x:c r="I2546" s="6" t="n">
        <x:f>G2546-H2546</x:f>
        <x:v>1</x:v>
      </x:c>
      <x:c r="J2546" s="6" t="n">
        <x:f>IF(OR(E2546="CANCELED",E2546="SUSPECTED_FRAUD",F2546="Shipping canceled"),0,1)</x:f>
        <x:v>1</x:v>
      </x:c>
      <x:c r="K2546" s="6" t="n">
        <x:f>IF(G2546&gt;H2546,1,0)</x:f>
        <x:v>1</x:v>
      </x:c>
      <x:c r="L2546" s="6" t="n">
        <x:f>J2546*K2546</x:f>
        <x:v>1</x:v>
      </x:c>
    </x:row>
    <x:row r="2547">
      <x:c r="A2547" s="1" t="n">
        <x:v>19496</x:v>
      </x:c>
      <x:c r="B2547" s="5" t="d">
        <x:v>2015-10-12T00:00:00.000Z</x:v>
      </x:c>
      <x:c r="C2547" s="1" t="str">
        <x:v>Standard Class</x:v>
      </x:c>
      <x:c r="D2547" s="1" t="str">
        <x:v>Europe</x:v>
      </x:c>
      <x:c r="E2547" s="1" t="str">
        <x:v>PENDING</x:v>
      </x:c>
      <x:c r="F2547" s="1" t="str">
        <x:v>Advance shipping</x:v>
      </x:c>
      <x:c r="G2547" s="6" t="n">
        <x:v>2</x:v>
      </x:c>
      <x:c r="H2547" s="6" t="n">
        <x:v>4</x:v>
      </x:c>
      <x:c r="I2547" s="6" t="n">
        <x:f>G2547-H2547</x:f>
        <x:v>-2</x:v>
      </x:c>
      <x:c r="J2547" s="6" t="n">
        <x:f>IF(OR(E2547="CANCELED",E2547="SUSPECTED_FRAUD",F2547="Shipping canceled"),0,1)</x:f>
        <x:v>1</x:v>
      </x:c>
      <x:c r="K2547" s="6" t="n">
        <x:f>IF(G2547&gt;H2547,1,0)</x:f>
        <x:v>0</x:v>
      </x:c>
      <x:c r="L2547" s="6" t="n">
        <x:f>J2547*K2547</x:f>
        <x:v>0</x:v>
      </x:c>
    </x:row>
    <x:row r="2548">
      <x:c r="A2548" s="1" t="n">
        <x:v>19497</x:v>
      </x:c>
      <x:c r="B2548" s="5" t="d">
        <x:v>2015-10-12T00:00:00.000Z</x:v>
      </x:c>
      <x:c r="C2548" s="1" t="str">
        <x:v>Standard Class</x:v>
      </x:c>
      <x:c r="D2548" s="1" t="str">
        <x:v>Europe</x:v>
      </x:c>
      <x:c r="E2548" s="1" t="str">
        <x:v>PENDING_PAYMENT</x:v>
      </x:c>
      <x:c r="F2548" s="1" t="str">
        <x:v>Advance shipping</x:v>
      </x:c>
      <x:c r="G2548" s="6" t="n">
        <x:v>3</x:v>
      </x:c>
      <x:c r="H2548" s="6" t="n">
        <x:v>4</x:v>
      </x:c>
      <x:c r="I2548" s="6" t="n">
        <x:f>G2548-H2548</x:f>
        <x:v>-1</x:v>
      </x:c>
      <x:c r="J2548" s="6" t="n">
        <x:f>IF(OR(E2548="CANCELED",E2548="SUSPECTED_FRAUD",F2548="Shipping canceled"),0,1)</x:f>
        <x:v>1</x:v>
      </x:c>
      <x:c r="K2548" s="6" t="n">
        <x:f>IF(G2548&gt;H2548,1,0)</x:f>
        <x:v>0</x:v>
      </x:c>
      <x:c r="L2548" s="6" t="n">
        <x:f>J2548*K2548</x:f>
        <x:v>0</x:v>
      </x:c>
    </x:row>
    <x:row r="2549">
      <x:c r="A2549" s="1" t="n">
        <x:v>19501</x:v>
      </x:c>
      <x:c r="B2549" s="5" t="d">
        <x:v>2015-10-12T00:00:00.000Z</x:v>
      </x:c>
      <x:c r="C2549" s="1" t="str">
        <x:v>Second Class</x:v>
      </x:c>
      <x:c r="D2549" s="1" t="str">
        <x:v>Europe</x:v>
      </x:c>
      <x:c r="E2549" s="1" t="str">
        <x:v>ON_HOLD</x:v>
      </x:c>
      <x:c r="F2549" s="1" t="str">
        <x:v>Shipping on time</x:v>
      </x:c>
      <x:c r="G2549" s="6" t="n">
        <x:v>2</x:v>
      </x:c>
      <x:c r="H2549" s="6" t="n">
        <x:v>2</x:v>
      </x:c>
      <x:c r="I2549" s="6" t="n">
        <x:f>G2549-H2549</x:f>
        <x:v>0</x:v>
      </x:c>
      <x:c r="J2549" s="6" t="n">
        <x:f>IF(OR(E2549="CANCELED",E2549="SUSPECTED_FRAUD",F2549="Shipping canceled"),0,1)</x:f>
        <x:v>1</x:v>
      </x:c>
      <x:c r="K2549" s="6" t="n">
        <x:f>IF(G2549&gt;H2549,1,0)</x:f>
        <x:v>0</x:v>
      </x:c>
      <x:c r="L2549" s="6" t="n">
        <x:f>J2549*K2549</x:f>
        <x:v>0</x:v>
      </x:c>
    </x:row>
    <x:row r="2550">
      <x:c r="A2550" s="1" t="n">
        <x:v>19510</x:v>
      </x:c>
      <x:c r="B2550" s="5" t="d">
        <x:v>2015-10-12T00:00:00.000Z</x:v>
      </x:c>
      <x:c r="C2550" s="1" t="str">
        <x:v>Standard Class</x:v>
      </x:c>
      <x:c r="D2550" s="1" t="str">
        <x:v>Europe</x:v>
      </x:c>
      <x:c r="E2550" s="1" t="str">
        <x:v>COMPLETE</x:v>
      </x:c>
      <x:c r="F2550" s="1" t="str">
        <x:v>Late delivery</x:v>
      </x:c>
      <x:c r="G2550" s="6" t="n">
        <x:v>6</x:v>
      </x:c>
      <x:c r="H2550" s="6" t="n">
        <x:v>4</x:v>
      </x:c>
      <x:c r="I2550" s="6" t="n">
        <x:f>G2550-H2550</x:f>
        <x:v>2</x:v>
      </x:c>
      <x:c r="J2550" s="6" t="n">
        <x:f>IF(OR(E2550="CANCELED",E2550="SUSPECTED_FRAUD",F2550="Shipping canceled"),0,1)</x:f>
        <x:v>1</x:v>
      </x:c>
      <x:c r="K2550" s="6" t="n">
        <x:f>IF(G2550&gt;H2550,1,0)</x:f>
        <x:v>1</x:v>
      </x:c>
      <x:c r="L2550" s="6" t="n">
        <x:f>J2550*K2550</x:f>
        <x:v>1</x:v>
      </x:c>
    </x:row>
    <x:row r="2551">
      <x:c r="A2551" s="1" t="n">
        <x:v>19522</x:v>
      </x:c>
      <x:c r="B2551" s="5" t="d">
        <x:v>2015-10-12T00:00:00.000Z</x:v>
      </x:c>
      <x:c r="C2551" s="1" t="str">
        <x:v>Standard Class</x:v>
      </x:c>
      <x:c r="D2551" s="1" t="str">
        <x:v>Europe</x:v>
      </x:c>
      <x:c r="E2551" s="1" t="str">
        <x:v>CLOSED</x:v>
      </x:c>
      <x:c r="F2551" s="1" t="str">
        <x:v>Advance shipping</x:v>
      </x:c>
      <x:c r="G2551" s="6" t="n">
        <x:v>3</x:v>
      </x:c>
      <x:c r="H2551" s="6" t="n">
        <x:v>4</x:v>
      </x:c>
      <x:c r="I2551" s="6" t="n">
        <x:f>G2551-H2551</x:f>
        <x:v>-1</x:v>
      </x:c>
      <x:c r="J2551" s="6" t="n">
        <x:f>IF(OR(E2551="CANCELED",E2551="SUSPECTED_FRAUD",F2551="Shipping canceled"),0,1)</x:f>
        <x:v>1</x:v>
      </x:c>
      <x:c r="K2551" s="6" t="n">
        <x:f>IF(G2551&gt;H2551,1,0)</x:f>
        <x:v>0</x:v>
      </x:c>
      <x:c r="L2551" s="6" t="n">
        <x:f>J2551*K2551</x:f>
        <x:v>0</x:v>
      </x:c>
    </x:row>
    <x:row r="2552">
      <x:c r="A2552" s="1" t="n">
        <x:v>19528</x:v>
      </x:c>
      <x:c r="B2552" s="5" t="d">
        <x:v>2015-10-13T00:00:00.000Z</x:v>
      </x:c>
      <x:c r="C2552" s="1" t="str">
        <x:v>Standard Class</x:v>
      </x:c>
      <x:c r="D2552" s="1" t="str">
        <x:v>Europe</x:v>
      </x:c>
      <x:c r="E2552" s="1" t="str">
        <x:v>PENDING</x:v>
      </x:c>
      <x:c r="F2552" s="1" t="str">
        <x:v>Shipping on time</x:v>
      </x:c>
      <x:c r="G2552" s="6" t="n">
        <x:v>4</x:v>
      </x:c>
      <x:c r="H2552" s="6" t="n">
        <x:v>4</x:v>
      </x:c>
      <x:c r="I2552" s="6" t="n">
        <x:f>G2552-H2552</x:f>
        <x:v>0</x:v>
      </x:c>
      <x:c r="J2552" s="6" t="n">
        <x:f>IF(OR(E2552="CANCELED",E2552="SUSPECTED_FRAUD",F2552="Shipping canceled"),0,1)</x:f>
        <x:v>1</x:v>
      </x:c>
      <x:c r="K2552" s="6" t="n">
        <x:f>IF(G2552&gt;H2552,1,0)</x:f>
        <x:v>0</x:v>
      </x:c>
      <x:c r="L2552" s="6" t="n">
        <x:f>J2552*K2552</x:f>
        <x:v>0</x:v>
      </x:c>
    </x:row>
    <x:row r="2553">
      <x:c r="A2553" s="1" t="n">
        <x:v>19530</x:v>
      </x:c>
      <x:c r="B2553" s="5" t="d">
        <x:v>2015-10-13T00:00:00.000Z</x:v>
      </x:c>
      <x:c r="C2553" s="1" t="str">
        <x:v>Second Class</x:v>
      </x:c>
      <x:c r="D2553" s="1" t="str">
        <x:v>Europe</x:v>
      </x:c>
      <x:c r="E2553" s="1" t="str">
        <x:v>PENDING</x:v>
      </x:c>
      <x:c r="F2553" s="1" t="str">
        <x:v>Late delivery</x:v>
      </x:c>
      <x:c r="G2553" s="6" t="n">
        <x:v>6</x:v>
      </x:c>
      <x:c r="H2553" s="6" t="n">
        <x:v>2</x:v>
      </x:c>
      <x:c r="I2553" s="6" t="n">
        <x:f>G2553-H2553</x:f>
        <x:v>4</x:v>
      </x:c>
      <x:c r="J2553" s="6" t="n">
        <x:f>IF(OR(E2553="CANCELED",E2553="SUSPECTED_FRAUD",F2553="Shipping canceled"),0,1)</x:f>
        <x:v>1</x:v>
      </x:c>
      <x:c r="K2553" s="6" t="n">
        <x:f>IF(G2553&gt;H2553,1,0)</x:f>
        <x:v>1</x:v>
      </x:c>
      <x:c r="L2553" s="6" t="n">
        <x:f>J2553*K2553</x:f>
        <x:v>1</x:v>
      </x:c>
    </x:row>
    <x:row r="2554">
      <x:c r="A2554" s="1" t="n">
        <x:v>19533</x:v>
      </x:c>
      <x:c r="B2554" s="5" t="d">
        <x:v>2015-10-13T00:00:00.000Z</x:v>
      </x:c>
      <x:c r="C2554" s="1" t="str">
        <x:v>Standard Class</x:v>
      </x:c>
      <x:c r="D2554" s="1" t="str">
        <x:v>Europe</x:v>
      </x:c>
      <x:c r="E2554" s="1" t="str">
        <x:v>ON_HOLD</x:v>
      </x:c>
      <x:c r="F2554" s="1" t="str">
        <x:v>Shipping on time</x:v>
      </x:c>
      <x:c r="G2554" s="6" t="n">
        <x:v>4</x:v>
      </x:c>
      <x:c r="H2554" s="6" t="n">
        <x:v>4</x:v>
      </x:c>
      <x:c r="I2554" s="6" t="n">
        <x:f>G2554-H2554</x:f>
        <x:v>0</x:v>
      </x:c>
      <x:c r="J2554" s="6" t="n">
        <x:f>IF(OR(E2554="CANCELED",E2554="SUSPECTED_FRAUD",F2554="Shipping canceled"),0,1)</x:f>
        <x:v>1</x:v>
      </x:c>
      <x:c r="K2554" s="6" t="n">
        <x:f>IF(G2554&gt;H2554,1,0)</x:f>
        <x:v>0</x:v>
      </x:c>
      <x:c r="L2554" s="6" t="n">
        <x:f>J2554*K2554</x:f>
        <x:v>0</x:v>
      </x:c>
    </x:row>
    <x:row r="2555">
      <x:c r="A2555" s="1" t="n">
        <x:v>19540</x:v>
      </x:c>
      <x:c r="B2555" s="5" t="d">
        <x:v>2015-10-13T00:00:00.000Z</x:v>
      </x:c>
      <x:c r="C2555" s="1" t="str">
        <x:v>Standard Class</x:v>
      </x:c>
      <x:c r="D2555" s="1" t="str">
        <x:v>Europe</x:v>
      </x:c>
      <x:c r="E2555" s="1" t="str">
        <x:v>SUSPECTED_FRAUD</x:v>
      </x:c>
      <x:c r="F2555" s="1" t="str">
        <x:v>Shipping canceled</x:v>
      </x:c>
      <x:c r="G2555" s="6" t="n">
        <x:v>6</x:v>
      </x:c>
      <x:c r="H2555" s="6" t="n">
        <x:v>4</x:v>
      </x:c>
      <x:c r="I2555" s="6" t="n">
        <x:f>G2555-H2555</x:f>
        <x:v>2</x:v>
      </x:c>
      <x:c r="J2555" s="6" t="n">
        <x:f>IF(OR(E2555="CANCELED",E2555="SUSPECTED_FRAUD",F2555="Shipping canceled"),0,1)</x:f>
        <x:v>0</x:v>
      </x:c>
      <x:c r="K2555" s="6" t="n">
        <x:f>IF(G2555&gt;H2555,1,0)</x:f>
        <x:v>1</x:v>
      </x:c>
      <x:c r="L2555" s="6" t="n">
        <x:f>J2555*K2555</x:f>
        <x:v>0</x:v>
      </x:c>
    </x:row>
    <x:row r="2556">
      <x:c r="A2556" s="1" t="n">
        <x:v>19544</x:v>
      </x:c>
      <x:c r="B2556" s="5" t="d">
        <x:v>2015-10-13T00:00:00.000Z</x:v>
      </x:c>
      <x:c r="C2556" s="1" t="str">
        <x:v>Second Class</x:v>
      </x:c>
      <x:c r="D2556" s="1" t="str">
        <x:v>Europe</x:v>
      </x:c>
      <x:c r="E2556" s="1" t="str">
        <x:v>ON_HOLD</x:v>
      </x:c>
      <x:c r="F2556" s="1" t="str">
        <x:v>Late delivery</x:v>
      </x:c>
      <x:c r="G2556" s="6" t="n">
        <x:v>5</x:v>
      </x:c>
      <x:c r="H2556" s="6" t="n">
        <x:v>2</x:v>
      </x:c>
      <x:c r="I2556" s="6" t="n">
        <x:f>G2556-H2556</x:f>
        <x:v>3</x:v>
      </x:c>
      <x:c r="J2556" s="6" t="n">
        <x:f>IF(OR(E2556="CANCELED",E2556="SUSPECTED_FRAUD",F2556="Shipping canceled"),0,1)</x:f>
        <x:v>1</x:v>
      </x:c>
      <x:c r="K2556" s="6" t="n">
        <x:f>IF(G2556&gt;H2556,1,0)</x:f>
        <x:v>1</x:v>
      </x:c>
      <x:c r="L2556" s="6" t="n">
        <x:f>J2556*K2556</x:f>
        <x:v>1</x:v>
      </x:c>
    </x:row>
    <x:row r="2557">
      <x:c r="A2557" s="1" t="n">
        <x:v>19545</x:v>
      </x:c>
      <x:c r="B2557" s="5" t="d">
        <x:v>2015-10-13T00:00:00.000Z</x:v>
      </x:c>
      <x:c r="C2557" s="1" t="str">
        <x:v>Standard Class</x:v>
      </x:c>
      <x:c r="D2557" s="1" t="str">
        <x:v>Europe</x:v>
      </x:c>
      <x:c r="E2557" s="1" t="str">
        <x:v>COMPLETE</x:v>
      </x:c>
      <x:c r="F2557" s="1" t="str">
        <x:v>Late delivery</x:v>
      </x:c>
      <x:c r="G2557" s="6" t="n">
        <x:v>6</x:v>
      </x:c>
      <x:c r="H2557" s="6" t="n">
        <x:v>4</x:v>
      </x:c>
      <x:c r="I2557" s="6" t="n">
        <x:f>G2557-H2557</x:f>
        <x:v>2</x:v>
      </x:c>
      <x:c r="J2557" s="6" t="n">
        <x:f>IF(OR(E2557="CANCELED",E2557="SUSPECTED_FRAUD",F2557="Shipping canceled"),0,1)</x:f>
        <x:v>1</x:v>
      </x:c>
      <x:c r="K2557" s="6" t="n">
        <x:f>IF(G2557&gt;H2557,1,0)</x:f>
        <x:v>1</x:v>
      </x:c>
      <x:c r="L2557" s="6" t="n">
        <x:f>J2557*K2557</x:f>
        <x:v>1</x:v>
      </x:c>
    </x:row>
    <x:row r="2558">
      <x:c r="A2558" s="1" t="n">
        <x:v>19550</x:v>
      </x:c>
      <x:c r="B2558" s="5" t="d">
        <x:v>2015-10-13T00:00:00.000Z</x:v>
      </x:c>
      <x:c r="C2558" s="1" t="str">
        <x:v>Second Class</x:v>
      </x:c>
      <x:c r="D2558" s="1" t="str">
        <x:v>Europe</x:v>
      </x:c>
      <x:c r="E2558" s="1" t="str">
        <x:v>COMPLETE</x:v>
      </x:c>
      <x:c r="F2558" s="1" t="str">
        <x:v>Late delivery</x:v>
      </x:c>
      <x:c r="G2558" s="6" t="n">
        <x:v>6</x:v>
      </x:c>
      <x:c r="H2558" s="6" t="n">
        <x:v>2</x:v>
      </x:c>
      <x:c r="I2558" s="6" t="n">
        <x:f>G2558-H2558</x:f>
        <x:v>4</x:v>
      </x:c>
      <x:c r="J2558" s="6" t="n">
        <x:f>IF(OR(E2558="CANCELED",E2558="SUSPECTED_FRAUD",F2558="Shipping canceled"),0,1)</x:f>
        <x:v>1</x:v>
      </x:c>
      <x:c r="K2558" s="6" t="n">
        <x:f>IF(G2558&gt;H2558,1,0)</x:f>
        <x:v>1</x:v>
      </x:c>
      <x:c r="L2558" s="6" t="n">
        <x:f>J2558*K2558</x:f>
        <x:v>1</x:v>
      </x:c>
    </x:row>
    <x:row r="2559">
      <x:c r="A2559" s="1" t="n">
        <x:v>19555</x:v>
      </x:c>
      <x:c r="B2559" s="5" t="d">
        <x:v>2015-10-13T00:00:00.000Z</x:v>
      </x:c>
      <x:c r="C2559" s="1" t="str">
        <x:v>Second Class</x:v>
      </x:c>
      <x:c r="D2559" s="1" t="str">
        <x:v>Europe</x:v>
      </x:c>
      <x:c r="E2559" s="1" t="str">
        <x:v>COMPLETE</x:v>
      </x:c>
      <x:c r="F2559" s="1" t="str">
        <x:v>Late delivery</x:v>
      </x:c>
      <x:c r="G2559" s="6" t="n">
        <x:v>6</x:v>
      </x:c>
      <x:c r="H2559" s="6" t="n">
        <x:v>2</x:v>
      </x:c>
      <x:c r="I2559" s="6" t="n">
        <x:f>G2559-H2559</x:f>
        <x:v>4</x:v>
      </x:c>
      <x:c r="J2559" s="6" t="n">
        <x:f>IF(OR(E2559="CANCELED",E2559="SUSPECTED_FRAUD",F2559="Shipping canceled"),0,1)</x:f>
        <x:v>1</x:v>
      </x:c>
      <x:c r="K2559" s="6" t="n">
        <x:f>IF(G2559&gt;H2559,1,0)</x:f>
        <x:v>1</x:v>
      </x:c>
      <x:c r="L2559" s="6" t="n">
        <x:f>J2559*K2559</x:f>
        <x:v>1</x:v>
      </x:c>
    </x:row>
    <x:row r="2560">
      <x:c r="A2560" s="1" t="n">
        <x:v>19565</x:v>
      </x:c>
      <x:c r="B2560" s="5" t="d">
        <x:v>2015-10-13T00:00:00.000Z</x:v>
      </x:c>
      <x:c r="C2560" s="1" t="str">
        <x:v>Standard Class</x:v>
      </x:c>
      <x:c r="D2560" s="1" t="str">
        <x:v>Europe</x:v>
      </x:c>
      <x:c r="E2560" s="1" t="str">
        <x:v>PROCESSING</x:v>
      </x:c>
      <x:c r="F2560" s="1" t="str">
        <x:v>Late delivery</x:v>
      </x:c>
      <x:c r="G2560" s="6" t="n">
        <x:v>6</x:v>
      </x:c>
      <x:c r="H2560" s="6" t="n">
        <x:v>4</x:v>
      </x:c>
      <x:c r="I2560" s="6" t="n">
        <x:f>G2560-H2560</x:f>
        <x:v>2</x:v>
      </x:c>
      <x:c r="J2560" s="6" t="n">
        <x:f>IF(OR(E2560="CANCELED",E2560="SUSPECTED_FRAUD",F2560="Shipping canceled"),0,1)</x:f>
        <x:v>1</x:v>
      </x:c>
      <x:c r="K2560" s="6" t="n">
        <x:f>IF(G2560&gt;H2560,1,0)</x:f>
        <x:v>1</x:v>
      </x:c>
      <x:c r="L2560" s="6" t="n">
        <x:f>J2560*K2560</x:f>
        <x:v>1</x:v>
      </x:c>
    </x:row>
    <x:row r="2561">
      <x:c r="A2561" s="1" t="n">
        <x:v>19566</x:v>
      </x:c>
      <x:c r="B2561" s="5" t="d">
        <x:v>2015-10-13T00:00:00.000Z</x:v>
      </x:c>
      <x:c r="C2561" s="1" t="str">
        <x:v>Standard Class</x:v>
      </x:c>
      <x:c r="D2561" s="1" t="str">
        <x:v>Europe</x:v>
      </x:c>
      <x:c r="E2561" s="1" t="str">
        <x:v>COMPLETE</x:v>
      </x:c>
      <x:c r="F2561" s="1" t="str">
        <x:v>Advance shipping</x:v>
      </x:c>
      <x:c r="G2561" s="6" t="n">
        <x:v>2</x:v>
      </x:c>
      <x:c r="H2561" s="6" t="n">
        <x:v>4</x:v>
      </x:c>
      <x:c r="I2561" s="6" t="n">
        <x:f>G2561-H2561</x:f>
        <x:v>-2</x:v>
      </x:c>
      <x:c r="J2561" s="6" t="n">
        <x:f>IF(OR(E2561="CANCELED",E2561="SUSPECTED_FRAUD",F2561="Shipping canceled"),0,1)</x:f>
        <x:v>1</x:v>
      </x:c>
      <x:c r="K2561" s="6" t="n">
        <x:f>IF(G2561&gt;H2561,1,0)</x:f>
        <x:v>0</x:v>
      </x:c>
      <x:c r="L2561" s="6" t="n">
        <x:f>J2561*K2561</x:f>
        <x:v>0</x:v>
      </x:c>
    </x:row>
    <x:row r="2562">
      <x:c r="A2562" s="1" t="n">
        <x:v>19568</x:v>
      </x:c>
      <x:c r="B2562" s="5" t="d">
        <x:v>2015-10-13T00:00:00.000Z</x:v>
      </x:c>
      <x:c r="C2562" s="1" t="str">
        <x:v>Second Class</x:v>
      </x:c>
      <x:c r="D2562" s="1" t="str">
        <x:v>Europe</x:v>
      </x:c>
      <x:c r="E2562" s="1" t="str">
        <x:v>PROCESSING</x:v>
      </x:c>
      <x:c r="F2562" s="1" t="str">
        <x:v>Late delivery</x:v>
      </x:c>
      <x:c r="G2562" s="6" t="n">
        <x:v>4</x:v>
      </x:c>
      <x:c r="H2562" s="6" t="n">
        <x:v>2</x:v>
      </x:c>
      <x:c r="I2562" s="6" t="n">
        <x:f>G2562-H2562</x:f>
        <x:v>2</x:v>
      </x:c>
      <x:c r="J2562" s="6" t="n">
        <x:f>IF(OR(E2562="CANCELED",E2562="SUSPECTED_FRAUD",F2562="Shipping canceled"),0,1)</x:f>
        <x:v>1</x:v>
      </x:c>
      <x:c r="K2562" s="6" t="n">
        <x:f>IF(G2562&gt;H2562,1,0)</x:f>
        <x:v>1</x:v>
      </x:c>
      <x:c r="L2562" s="6" t="n">
        <x:f>J2562*K2562</x:f>
        <x:v>1</x:v>
      </x:c>
    </x:row>
    <x:row r="2563">
      <x:c r="A2563" s="1" t="n">
        <x:v>19576</x:v>
      </x:c>
      <x:c r="B2563" s="5" t="d">
        <x:v>2015-10-13T00:00:00.000Z</x:v>
      </x:c>
      <x:c r="C2563" s="1" t="str">
        <x:v>Standard Class</x:v>
      </x:c>
      <x:c r="D2563" s="1" t="str">
        <x:v>Europe</x:v>
      </x:c>
      <x:c r="E2563" s="1" t="str">
        <x:v>COMPLETE</x:v>
      </x:c>
      <x:c r="F2563" s="1" t="str">
        <x:v>Advance shipping</x:v>
      </x:c>
      <x:c r="G2563" s="6" t="n">
        <x:v>2</x:v>
      </x:c>
      <x:c r="H2563" s="6" t="n">
        <x:v>4</x:v>
      </x:c>
      <x:c r="I2563" s="6" t="n">
        <x:f>G2563-H2563</x:f>
        <x:v>-2</x:v>
      </x:c>
      <x:c r="J2563" s="6" t="n">
        <x:f>IF(OR(E2563="CANCELED",E2563="SUSPECTED_FRAUD",F2563="Shipping canceled"),0,1)</x:f>
        <x:v>1</x:v>
      </x:c>
      <x:c r="K2563" s="6" t="n">
        <x:f>IF(G2563&gt;H2563,1,0)</x:f>
        <x:v>0</x:v>
      </x:c>
      <x:c r="L2563" s="6" t="n">
        <x:f>J2563*K2563</x:f>
        <x:v>0</x:v>
      </x:c>
    </x:row>
    <x:row r="2564">
      <x:c r="A2564" s="1" t="n">
        <x:v>19580</x:v>
      </x:c>
      <x:c r="B2564" s="5" t="d">
        <x:v>2015-10-13T00:00:00.000Z</x:v>
      </x:c>
      <x:c r="C2564" s="1" t="str">
        <x:v>Standard Class</x:v>
      </x:c>
      <x:c r="D2564" s="1" t="str">
        <x:v>Europe</x:v>
      </x:c>
      <x:c r="E2564" s="1" t="str">
        <x:v>PROCESSING</x:v>
      </x:c>
      <x:c r="F2564" s="1" t="str">
        <x:v>Late delivery</x:v>
      </x:c>
      <x:c r="G2564" s="6" t="n">
        <x:v>6</x:v>
      </x:c>
      <x:c r="H2564" s="6" t="n">
        <x:v>4</x:v>
      </x:c>
      <x:c r="I2564" s="6" t="n">
        <x:f>G2564-H2564</x:f>
        <x:v>2</x:v>
      </x:c>
      <x:c r="J2564" s="6" t="n">
        <x:f>IF(OR(E2564="CANCELED",E2564="SUSPECTED_FRAUD",F2564="Shipping canceled"),0,1)</x:f>
        <x:v>1</x:v>
      </x:c>
      <x:c r="K2564" s="6" t="n">
        <x:f>IF(G2564&gt;H2564,1,0)</x:f>
        <x:v>1</x:v>
      </x:c>
      <x:c r="L2564" s="6" t="n">
        <x:f>J2564*K2564</x:f>
        <x:v>1</x:v>
      </x:c>
    </x:row>
    <x:row r="2565">
      <x:c r="A2565" s="1" t="n">
        <x:v>19583</x:v>
      </x:c>
      <x:c r="B2565" s="5" t="d">
        <x:v>2015-10-13T00:00:00.000Z</x:v>
      </x:c>
      <x:c r="C2565" s="1" t="str">
        <x:v>Second Class</x:v>
      </x:c>
      <x:c r="D2565" s="1" t="str">
        <x:v>Europe</x:v>
      </x:c>
      <x:c r="E2565" s="1" t="str">
        <x:v>COMPLETE</x:v>
      </x:c>
      <x:c r="F2565" s="1" t="str">
        <x:v>Late delivery</x:v>
      </x:c>
      <x:c r="G2565" s="6" t="n">
        <x:v>4</x:v>
      </x:c>
      <x:c r="H2565" s="6" t="n">
        <x:v>2</x:v>
      </x:c>
      <x:c r="I2565" s="6" t="n">
        <x:f>G2565-H2565</x:f>
        <x:v>2</x:v>
      </x:c>
      <x:c r="J2565" s="6" t="n">
        <x:f>IF(OR(E2565="CANCELED",E2565="SUSPECTED_FRAUD",F2565="Shipping canceled"),0,1)</x:f>
        <x:v>1</x:v>
      </x:c>
      <x:c r="K2565" s="6" t="n">
        <x:f>IF(G2565&gt;H2565,1,0)</x:f>
        <x:v>1</x:v>
      </x:c>
      <x:c r="L2565" s="6" t="n">
        <x:f>J2565*K2565</x:f>
        <x:v>1</x:v>
      </x:c>
    </x:row>
    <x:row r="2566">
      <x:c r="A2566" s="1" t="n">
        <x:v>19590</x:v>
      </x:c>
      <x:c r="B2566" s="5" t="d">
        <x:v>2015-10-13T00:00:00.000Z</x:v>
      </x:c>
      <x:c r="C2566" s="1" t="str">
        <x:v>Standard Class</x:v>
      </x:c>
      <x:c r="D2566" s="1" t="str">
        <x:v>Europe</x:v>
      </x:c>
      <x:c r="E2566" s="1" t="str">
        <x:v>COMPLETE</x:v>
      </x:c>
      <x:c r="F2566" s="1" t="str">
        <x:v>Late delivery</x:v>
      </x:c>
      <x:c r="G2566" s="6" t="n">
        <x:v>6</x:v>
      </x:c>
      <x:c r="H2566" s="6" t="n">
        <x:v>4</x:v>
      </x:c>
      <x:c r="I2566" s="6" t="n">
        <x:f>G2566-H2566</x:f>
        <x:v>2</x:v>
      </x:c>
      <x:c r="J2566" s="6" t="n">
        <x:f>IF(OR(E2566="CANCELED",E2566="SUSPECTED_FRAUD",F2566="Shipping canceled"),0,1)</x:f>
        <x:v>1</x:v>
      </x:c>
      <x:c r="K2566" s="6" t="n">
        <x:f>IF(G2566&gt;H2566,1,0)</x:f>
        <x:v>1</x:v>
      </x:c>
      <x:c r="L2566" s="6" t="n">
        <x:f>J2566*K2566</x:f>
        <x:v>1</x:v>
      </x:c>
    </x:row>
    <x:row r="2567">
      <x:c r="A2567" s="1" t="n">
        <x:v>19591</x:v>
      </x:c>
      <x:c r="B2567" s="5" t="d">
        <x:v>2015-10-13T00:00:00.000Z</x:v>
      </x:c>
      <x:c r="C2567" s="1" t="str">
        <x:v>Standard Class</x:v>
      </x:c>
      <x:c r="D2567" s="1" t="str">
        <x:v>Europe</x:v>
      </x:c>
      <x:c r="E2567" s="1" t="str">
        <x:v>COMPLETE</x:v>
      </x:c>
      <x:c r="F2567" s="1" t="str">
        <x:v>Advance shipping</x:v>
      </x:c>
      <x:c r="G2567" s="6" t="n">
        <x:v>2</x:v>
      </x:c>
      <x:c r="H2567" s="6" t="n">
        <x:v>4</x:v>
      </x:c>
      <x:c r="I2567" s="6" t="n">
        <x:f>G2567-H2567</x:f>
        <x:v>-2</x:v>
      </x:c>
      <x:c r="J2567" s="6" t="n">
        <x:f>IF(OR(E2567="CANCELED",E2567="SUSPECTED_FRAUD",F2567="Shipping canceled"),0,1)</x:f>
        <x:v>1</x:v>
      </x:c>
      <x:c r="K2567" s="6" t="n">
        <x:f>IF(G2567&gt;H2567,1,0)</x:f>
        <x:v>0</x:v>
      </x:c>
      <x:c r="L2567" s="6" t="n">
        <x:f>J2567*K2567</x:f>
        <x:v>0</x:v>
      </x:c>
    </x:row>
    <x:row r="2568">
      <x:c r="A2568" s="1" t="n">
        <x:v>19593</x:v>
      </x:c>
      <x:c r="B2568" s="5" t="d">
        <x:v>2015-10-13T00:00:00.000Z</x:v>
      </x:c>
      <x:c r="C2568" s="1" t="str">
        <x:v>Standard Class</x:v>
      </x:c>
      <x:c r="D2568" s="1" t="str">
        <x:v>Europe</x:v>
      </x:c>
      <x:c r="E2568" s="1" t="str">
        <x:v>PENDING</x:v>
      </x:c>
      <x:c r="F2568" s="1" t="str">
        <x:v>Shipping on time</x:v>
      </x:c>
      <x:c r="G2568" s="6" t="n">
        <x:v>4</x:v>
      </x:c>
      <x:c r="H2568" s="6" t="n">
        <x:v>4</x:v>
      </x:c>
      <x:c r="I2568" s="6" t="n">
        <x:f>G2568-H2568</x:f>
        <x:v>0</x:v>
      </x:c>
      <x:c r="J2568" s="6" t="n">
        <x:f>IF(OR(E2568="CANCELED",E2568="SUSPECTED_FRAUD",F2568="Shipping canceled"),0,1)</x:f>
        <x:v>1</x:v>
      </x:c>
      <x:c r="K2568" s="6" t="n">
        <x:f>IF(G2568&gt;H2568,1,0)</x:f>
        <x:v>0</x:v>
      </x:c>
      <x:c r="L2568" s="6" t="n">
        <x:f>J2568*K2568</x:f>
        <x:v>0</x:v>
      </x:c>
    </x:row>
    <x:row r="2569">
      <x:c r="A2569" s="1" t="n">
        <x:v>19603</x:v>
      </x:c>
      <x:c r="B2569" s="5" t="d">
        <x:v>2015-10-14T00:00:00.000Z</x:v>
      </x:c>
      <x:c r="C2569" s="1" t="str">
        <x:v>Standard Class</x:v>
      </x:c>
      <x:c r="D2569" s="1" t="str">
        <x:v>Europe</x:v>
      </x:c>
      <x:c r="E2569" s="1" t="str">
        <x:v>COMPLETE</x:v>
      </x:c>
      <x:c r="F2569" s="1" t="str">
        <x:v>Shipping on time</x:v>
      </x:c>
      <x:c r="G2569" s="6" t="n">
        <x:v>4</x:v>
      </x:c>
      <x:c r="H2569" s="6" t="n">
        <x:v>4</x:v>
      </x:c>
      <x:c r="I2569" s="6" t="n">
        <x:f>G2569-H2569</x:f>
        <x:v>0</x:v>
      </x:c>
      <x:c r="J2569" s="6" t="n">
        <x:f>IF(OR(E2569="CANCELED",E2569="SUSPECTED_FRAUD",F2569="Shipping canceled"),0,1)</x:f>
        <x:v>1</x:v>
      </x:c>
      <x:c r="K2569" s="6" t="n">
        <x:f>IF(G2569&gt;H2569,1,0)</x:f>
        <x:v>0</x:v>
      </x:c>
      <x:c r="L2569" s="6" t="n">
        <x:f>J2569*K2569</x:f>
        <x:v>0</x:v>
      </x:c>
    </x:row>
    <x:row r="2570">
      <x:c r="A2570" s="1" t="n">
        <x:v>19610</x:v>
      </x:c>
      <x:c r="B2570" s="5" t="d">
        <x:v>2015-10-14T00:00:00.000Z</x:v>
      </x:c>
      <x:c r="C2570" s="1" t="str">
        <x:v>Second Class</x:v>
      </x:c>
      <x:c r="D2570" s="1" t="str">
        <x:v>Europe</x:v>
      </x:c>
      <x:c r="E2570" s="1" t="str">
        <x:v>COMPLETE</x:v>
      </x:c>
      <x:c r="F2570" s="1" t="str">
        <x:v>Late delivery</x:v>
      </x:c>
      <x:c r="G2570" s="6" t="n">
        <x:v>6</x:v>
      </x:c>
      <x:c r="H2570" s="6" t="n">
        <x:v>2</x:v>
      </x:c>
      <x:c r="I2570" s="6" t="n">
        <x:f>G2570-H2570</x:f>
        <x:v>4</x:v>
      </x:c>
      <x:c r="J2570" s="6" t="n">
        <x:f>IF(OR(E2570="CANCELED",E2570="SUSPECTED_FRAUD",F2570="Shipping canceled"),0,1)</x:f>
        <x:v>1</x:v>
      </x:c>
      <x:c r="K2570" s="6" t="n">
        <x:f>IF(G2570&gt;H2570,1,0)</x:f>
        <x:v>1</x:v>
      </x:c>
      <x:c r="L2570" s="6" t="n">
        <x:f>J2570*K2570</x:f>
        <x:v>1</x:v>
      </x:c>
    </x:row>
    <x:row r="2571">
      <x:c r="A2571" s="1" t="n">
        <x:v>19618</x:v>
      </x:c>
      <x:c r="B2571" s="5" t="d">
        <x:v>2015-10-14T00:00:00.000Z</x:v>
      </x:c>
      <x:c r="C2571" s="1" t="str">
        <x:v>Standard Class</x:v>
      </x:c>
      <x:c r="D2571" s="1" t="str">
        <x:v>Europe</x:v>
      </x:c>
      <x:c r="E2571" s="1" t="str">
        <x:v>PENDING_PAYMENT</x:v>
      </x:c>
      <x:c r="F2571" s="1" t="str">
        <x:v>Shipping on time</x:v>
      </x:c>
      <x:c r="G2571" s="6" t="n">
        <x:v>4</x:v>
      </x:c>
      <x:c r="H2571" s="6" t="n">
        <x:v>4</x:v>
      </x:c>
      <x:c r="I2571" s="6" t="n">
        <x:f>G2571-H2571</x:f>
        <x:v>0</x:v>
      </x:c>
      <x:c r="J2571" s="6" t="n">
        <x:f>IF(OR(E2571="CANCELED",E2571="SUSPECTED_FRAUD",F2571="Shipping canceled"),0,1)</x:f>
        <x:v>1</x:v>
      </x:c>
      <x:c r="K2571" s="6" t="n">
        <x:f>IF(G2571&gt;H2571,1,0)</x:f>
        <x:v>0</x:v>
      </x:c>
      <x:c r="L2571" s="6" t="n">
        <x:f>J2571*K2571</x:f>
        <x:v>0</x:v>
      </x:c>
    </x:row>
    <x:row r="2572">
      <x:c r="A2572" s="1" t="n">
        <x:v>19626</x:v>
      </x:c>
      <x:c r="B2572" s="5" t="d">
        <x:v>2015-10-14T00:00:00.000Z</x:v>
      </x:c>
      <x:c r="C2572" s="1" t="str">
        <x:v>Standard Class</x:v>
      </x:c>
      <x:c r="D2572" s="1" t="str">
        <x:v>Europe</x:v>
      </x:c>
      <x:c r="E2572" s="1" t="str">
        <x:v>PENDING_PAYMENT</x:v>
      </x:c>
      <x:c r="F2572" s="1" t="str">
        <x:v>Advance shipping</x:v>
      </x:c>
      <x:c r="G2572" s="6" t="n">
        <x:v>2</x:v>
      </x:c>
      <x:c r="H2572" s="6" t="n">
        <x:v>4</x:v>
      </x:c>
      <x:c r="I2572" s="6" t="n">
        <x:f>G2572-H2572</x:f>
        <x:v>-2</x:v>
      </x:c>
      <x:c r="J2572" s="6" t="n">
        <x:f>IF(OR(E2572="CANCELED",E2572="SUSPECTED_FRAUD",F2572="Shipping canceled"),0,1)</x:f>
        <x:v>1</x:v>
      </x:c>
      <x:c r="K2572" s="6" t="n">
        <x:f>IF(G2572&gt;H2572,1,0)</x:f>
        <x:v>0</x:v>
      </x:c>
      <x:c r="L2572" s="6" t="n">
        <x:f>J2572*K2572</x:f>
        <x:v>0</x:v>
      </x:c>
    </x:row>
    <x:row r="2573">
      <x:c r="A2573" s="1" t="n">
        <x:v>19628</x:v>
      </x:c>
      <x:c r="B2573" s="5" t="d">
        <x:v>2015-10-14T00:00:00.000Z</x:v>
      </x:c>
      <x:c r="C2573" s="1" t="str">
        <x:v>Standard Class</x:v>
      </x:c>
      <x:c r="D2573" s="1" t="str">
        <x:v>Europe</x:v>
      </x:c>
      <x:c r="E2573" s="1" t="str">
        <x:v>COMPLETE</x:v>
      </x:c>
      <x:c r="F2573" s="1" t="str">
        <x:v>Shipping on time</x:v>
      </x:c>
      <x:c r="G2573" s="6" t="n">
        <x:v>4</x:v>
      </x:c>
      <x:c r="H2573" s="6" t="n">
        <x:v>4</x:v>
      </x:c>
      <x:c r="I2573" s="6" t="n">
        <x:f>G2573-H2573</x:f>
        <x:v>0</x:v>
      </x:c>
      <x:c r="J2573" s="6" t="n">
        <x:f>IF(OR(E2573="CANCELED",E2573="SUSPECTED_FRAUD",F2573="Shipping canceled"),0,1)</x:f>
        <x:v>1</x:v>
      </x:c>
      <x:c r="K2573" s="6" t="n">
        <x:f>IF(G2573&gt;H2573,1,0)</x:f>
        <x:v>0</x:v>
      </x:c>
      <x:c r="L2573" s="6" t="n">
        <x:f>J2573*K2573</x:f>
        <x:v>0</x:v>
      </x:c>
    </x:row>
    <x:row r="2574">
      <x:c r="A2574" s="1" t="n">
        <x:v>19642</x:v>
      </x:c>
      <x:c r="B2574" s="5" t="d">
        <x:v>2015-10-14T00:00:00.000Z</x:v>
      </x:c>
      <x:c r="C2574" s="1" t="str">
        <x:v>Standard Class</x:v>
      </x:c>
      <x:c r="D2574" s="1" t="str">
        <x:v>Europe</x:v>
      </x:c>
      <x:c r="E2574" s="1" t="str">
        <x:v>CANCELED</x:v>
      </x:c>
      <x:c r="F2574" s="1" t="str">
        <x:v>Shipping canceled</x:v>
      </x:c>
      <x:c r="G2574" s="6" t="n">
        <x:v>3</x:v>
      </x:c>
      <x:c r="H2574" s="6" t="n">
        <x:v>4</x:v>
      </x:c>
      <x:c r="I2574" s="6" t="n">
        <x:f>G2574-H2574</x:f>
        <x:v>-1</x:v>
      </x:c>
      <x:c r="J2574" s="6" t="n">
        <x:f>IF(OR(E2574="CANCELED",E2574="SUSPECTED_FRAUD",F2574="Shipping canceled"),0,1)</x:f>
        <x:v>0</x:v>
      </x:c>
      <x:c r="K2574" s="6" t="n">
        <x:f>IF(G2574&gt;H2574,1,0)</x:f>
        <x:v>0</x:v>
      </x:c>
      <x:c r="L2574" s="6" t="n">
        <x:f>J2574*K2574</x:f>
        <x:v>0</x:v>
      </x:c>
    </x:row>
    <x:row r="2575">
      <x:c r="A2575" s="1" t="n">
        <x:v>19649</x:v>
      </x:c>
      <x:c r="B2575" s="5" t="d">
        <x:v>2015-10-14T00:00:00.000Z</x:v>
      </x:c>
      <x:c r="C2575" s="1" t="str">
        <x:v>First Class</x:v>
      </x:c>
      <x:c r="D2575" s="1" t="str">
        <x:v>Europe</x:v>
      </x:c>
      <x:c r="E2575" s="1" t="str">
        <x:v>PENDING_PAYMENT</x:v>
      </x:c>
      <x:c r="F2575" s="1" t="str">
        <x:v>Late delivery</x:v>
      </x:c>
      <x:c r="G2575" s="6" t="n">
        <x:v>2</x:v>
      </x:c>
      <x:c r="H2575" s="6" t="n">
        <x:v>1</x:v>
      </x:c>
      <x:c r="I2575" s="6" t="n">
        <x:f>G2575-H2575</x:f>
        <x:v>1</x:v>
      </x:c>
      <x:c r="J2575" s="6" t="n">
        <x:f>IF(OR(E2575="CANCELED",E2575="SUSPECTED_FRAUD",F2575="Shipping canceled"),0,1)</x:f>
        <x:v>1</x:v>
      </x:c>
      <x:c r="K2575" s="6" t="n">
        <x:f>IF(G2575&gt;H2575,1,0)</x:f>
        <x:v>1</x:v>
      </x:c>
      <x:c r="L2575" s="6" t="n">
        <x:f>J2575*K2575</x:f>
        <x:v>1</x:v>
      </x:c>
    </x:row>
    <x:row r="2576">
      <x:c r="A2576" s="1" t="n">
        <x:v>19651</x:v>
      </x:c>
      <x:c r="B2576" s="5" t="d">
        <x:v>2015-10-14T00:00:00.000Z</x:v>
      </x:c>
      <x:c r="C2576" s="1" t="str">
        <x:v>First Class</x:v>
      </x:c>
      <x:c r="D2576" s="1" t="str">
        <x:v>Europe</x:v>
      </x:c>
      <x:c r="E2576" s="1" t="str">
        <x:v>PROCESSING</x:v>
      </x:c>
      <x:c r="F2576" s="1" t="str">
        <x:v>Late delivery</x:v>
      </x:c>
      <x:c r="G2576" s="6" t="n">
        <x:v>2</x:v>
      </x:c>
      <x:c r="H2576" s="6" t="n">
        <x:v>1</x:v>
      </x:c>
      <x:c r="I2576" s="6" t="n">
        <x:f>G2576-H2576</x:f>
        <x:v>1</x:v>
      </x:c>
      <x:c r="J2576" s="6" t="n">
        <x:f>IF(OR(E2576="CANCELED",E2576="SUSPECTED_FRAUD",F2576="Shipping canceled"),0,1)</x:f>
        <x:v>1</x:v>
      </x:c>
      <x:c r="K2576" s="6" t="n">
        <x:f>IF(G2576&gt;H2576,1,0)</x:f>
        <x:v>1</x:v>
      </x:c>
      <x:c r="L2576" s="6" t="n">
        <x:f>J2576*K2576</x:f>
        <x:v>1</x:v>
      </x:c>
    </x:row>
    <x:row r="2577">
      <x:c r="A2577" s="1" t="n">
        <x:v>19662</x:v>
      </x:c>
      <x:c r="B2577" s="5" t="d">
        <x:v>2015-10-15T00:00:00.000Z</x:v>
      </x:c>
      <x:c r="C2577" s="1" t="str">
        <x:v>Standard Class</x:v>
      </x:c>
      <x:c r="D2577" s="1" t="str">
        <x:v>Europe</x:v>
      </x:c>
      <x:c r="E2577" s="1" t="str">
        <x:v>CLOSED</x:v>
      </x:c>
      <x:c r="F2577" s="1" t="str">
        <x:v>Advance shipping</x:v>
      </x:c>
      <x:c r="G2577" s="6" t="n">
        <x:v>3</x:v>
      </x:c>
      <x:c r="H2577" s="6" t="n">
        <x:v>4</x:v>
      </x:c>
      <x:c r="I2577" s="6" t="n">
        <x:f>G2577-H2577</x:f>
        <x:v>-1</x:v>
      </x:c>
      <x:c r="J2577" s="6" t="n">
        <x:f>IF(OR(E2577="CANCELED",E2577="SUSPECTED_FRAUD",F2577="Shipping canceled"),0,1)</x:f>
        <x:v>1</x:v>
      </x:c>
      <x:c r="K2577" s="6" t="n">
        <x:f>IF(G2577&gt;H2577,1,0)</x:f>
        <x:v>0</x:v>
      </x:c>
      <x:c r="L2577" s="6" t="n">
        <x:f>J2577*K2577</x:f>
        <x:v>0</x:v>
      </x:c>
    </x:row>
    <x:row r="2578">
      <x:c r="A2578" s="1" t="n">
        <x:v>19665</x:v>
      </x:c>
      <x:c r="B2578" s="5" t="d">
        <x:v>2015-10-15T00:00:00.000Z</x:v>
      </x:c>
      <x:c r="C2578" s="1" t="str">
        <x:v>Second Class</x:v>
      </x:c>
      <x:c r="D2578" s="1" t="str">
        <x:v>Europe</x:v>
      </x:c>
      <x:c r="E2578" s="1" t="str">
        <x:v>COMPLETE</x:v>
      </x:c>
      <x:c r="F2578" s="1" t="str">
        <x:v>Late delivery</x:v>
      </x:c>
      <x:c r="G2578" s="6" t="n">
        <x:v>6</x:v>
      </x:c>
      <x:c r="H2578" s="6" t="n">
        <x:v>2</x:v>
      </x:c>
      <x:c r="I2578" s="6" t="n">
        <x:f>G2578-H2578</x:f>
        <x:v>4</x:v>
      </x:c>
      <x:c r="J2578" s="6" t="n">
        <x:f>IF(OR(E2578="CANCELED",E2578="SUSPECTED_FRAUD",F2578="Shipping canceled"),0,1)</x:f>
        <x:v>1</x:v>
      </x:c>
      <x:c r="K2578" s="6" t="n">
        <x:f>IF(G2578&gt;H2578,1,0)</x:f>
        <x:v>1</x:v>
      </x:c>
      <x:c r="L2578" s="6" t="n">
        <x:f>J2578*K2578</x:f>
        <x:v>1</x:v>
      </x:c>
    </x:row>
    <x:row r="2579">
      <x:c r="A2579" s="1" t="n">
        <x:v>19687</x:v>
      </x:c>
      <x:c r="B2579" s="5" t="d">
        <x:v>2015-10-15T00:00:00.000Z</x:v>
      </x:c>
      <x:c r="C2579" s="1" t="str">
        <x:v>Standard Class</x:v>
      </x:c>
      <x:c r="D2579" s="1" t="str">
        <x:v>Europe</x:v>
      </x:c>
      <x:c r="E2579" s="1" t="str">
        <x:v>PENDING_PAYMENT</x:v>
      </x:c>
      <x:c r="F2579" s="1" t="str">
        <x:v>Advance shipping</x:v>
      </x:c>
      <x:c r="G2579" s="6" t="n">
        <x:v>3</x:v>
      </x:c>
      <x:c r="H2579" s="6" t="n">
        <x:v>4</x:v>
      </x:c>
      <x:c r="I2579" s="6" t="n">
        <x:f>G2579-H2579</x:f>
        <x:v>-1</x:v>
      </x:c>
      <x:c r="J2579" s="6" t="n">
        <x:f>IF(OR(E2579="CANCELED",E2579="SUSPECTED_FRAUD",F2579="Shipping canceled"),0,1)</x:f>
        <x:v>1</x:v>
      </x:c>
      <x:c r="K2579" s="6" t="n">
        <x:f>IF(G2579&gt;H2579,1,0)</x:f>
        <x:v>0</x:v>
      </x:c>
      <x:c r="L2579" s="6" t="n">
        <x:f>J2579*K2579</x:f>
        <x:v>0</x:v>
      </x:c>
    </x:row>
    <x:row r="2580">
      <x:c r="A2580" s="1" t="n">
        <x:v>19688</x:v>
      </x:c>
      <x:c r="B2580" s="5" t="d">
        <x:v>2015-10-15T00:00:00.000Z</x:v>
      </x:c>
      <x:c r="C2580" s="1" t="str">
        <x:v>First Class</x:v>
      </x:c>
      <x:c r="D2580" s="1" t="str">
        <x:v>Europe</x:v>
      </x:c>
      <x:c r="E2580" s="1" t="str">
        <x:v>CLOSED</x:v>
      </x:c>
      <x:c r="F2580" s="1" t="str">
        <x:v>Late delivery</x:v>
      </x:c>
      <x:c r="G2580" s="6" t="n">
        <x:v>2</x:v>
      </x:c>
      <x:c r="H2580" s="6" t="n">
        <x:v>1</x:v>
      </x:c>
      <x:c r="I2580" s="6" t="n">
        <x:f>G2580-H2580</x:f>
        <x:v>1</x:v>
      </x:c>
      <x:c r="J2580" s="6" t="n">
        <x:f>IF(OR(E2580="CANCELED",E2580="SUSPECTED_FRAUD",F2580="Shipping canceled"),0,1)</x:f>
        <x:v>1</x:v>
      </x:c>
      <x:c r="K2580" s="6" t="n">
        <x:f>IF(G2580&gt;H2580,1,0)</x:f>
        <x:v>1</x:v>
      </x:c>
      <x:c r="L2580" s="6" t="n">
        <x:f>J2580*K2580</x:f>
        <x:v>1</x:v>
      </x:c>
    </x:row>
    <x:row r="2581">
      <x:c r="A2581" s="1" t="n">
        <x:v>19694</x:v>
      </x:c>
      <x:c r="B2581" s="5" t="d">
        <x:v>2015-10-15T00:00:00.000Z</x:v>
      </x:c>
      <x:c r="C2581" s="1" t="str">
        <x:v>Standard Class</x:v>
      </x:c>
      <x:c r="D2581" s="1" t="str">
        <x:v>Europe</x:v>
      </x:c>
      <x:c r="E2581" s="1" t="str">
        <x:v>ON_HOLD</x:v>
      </x:c>
      <x:c r="F2581" s="1" t="str">
        <x:v>Late delivery</x:v>
      </x:c>
      <x:c r="G2581" s="6" t="n">
        <x:v>5</x:v>
      </x:c>
      <x:c r="H2581" s="6" t="n">
        <x:v>4</x:v>
      </x:c>
      <x:c r="I2581" s="6" t="n">
        <x:f>G2581-H2581</x:f>
        <x:v>1</x:v>
      </x:c>
      <x:c r="J2581" s="6" t="n">
        <x:f>IF(OR(E2581="CANCELED",E2581="SUSPECTED_FRAUD",F2581="Shipping canceled"),0,1)</x:f>
        <x:v>1</x:v>
      </x:c>
      <x:c r="K2581" s="6" t="n">
        <x:f>IF(G2581&gt;H2581,1,0)</x:f>
        <x:v>1</x:v>
      </x:c>
      <x:c r="L2581" s="6" t="n">
        <x:f>J2581*K2581</x:f>
        <x:v>1</x:v>
      </x:c>
    </x:row>
    <x:row r="2582">
      <x:c r="A2582" s="1" t="n">
        <x:v>19699</x:v>
      </x:c>
      <x:c r="B2582" s="5" t="d">
        <x:v>2015-10-15T00:00:00.000Z</x:v>
      </x:c>
      <x:c r="C2582" s="1" t="str">
        <x:v>Standard Class</x:v>
      </x:c>
      <x:c r="D2582" s="1" t="str">
        <x:v>Europe</x:v>
      </x:c>
      <x:c r="E2582" s="1" t="str">
        <x:v>COMPLETE</x:v>
      </x:c>
      <x:c r="F2582" s="1" t="str">
        <x:v>Late delivery</x:v>
      </x:c>
      <x:c r="G2582" s="6" t="n">
        <x:v>5</x:v>
      </x:c>
      <x:c r="H2582" s="6" t="n">
        <x:v>4</x:v>
      </x:c>
      <x:c r="I2582" s="6" t="n">
        <x:f>G2582-H2582</x:f>
        <x:v>1</x:v>
      </x:c>
      <x:c r="J2582" s="6" t="n">
        <x:f>IF(OR(E2582="CANCELED",E2582="SUSPECTED_FRAUD",F2582="Shipping canceled"),0,1)</x:f>
        <x:v>1</x:v>
      </x:c>
      <x:c r="K2582" s="6" t="n">
        <x:f>IF(G2582&gt;H2582,1,0)</x:f>
        <x:v>1</x:v>
      </x:c>
      <x:c r="L2582" s="6" t="n">
        <x:f>J2582*K2582</x:f>
        <x:v>1</x:v>
      </x:c>
    </x:row>
    <x:row r="2583">
      <x:c r="A2583" s="1" t="n">
        <x:v>19702</x:v>
      </x:c>
      <x:c r="B2583" s="5" t="d">
        <x:v>2015-10-15T00:00:00.000Z</x:v>
      </x:c>
      <x:c r="C2583" s="1" t="str">
        <x:v>Standard Class</x:v>
      </x:c>
      <x:c r="D2583" s="1" t="str">
        <x:v>Europe</x:v>
      </x:c>
      <x:c r="E2583" s="1" t="str">
        <x:v>PROCESSING</x:v>
      </x:c>
      <x:c r="F2583" s="1" t="str">
        <x:v>Advance shipping</x:v>
      </x:c>
      <x:c r="G2583" s="6" t="n">
        <x:v>3</x:v>
      </x:c>
      <x:c r="H2583" s="6" t="n">
        <x:v>4</x:v>
      </x:c>
      <x:c r="I2583" s="6" t="n">
        <x:f>G2583-H2583</x:f>
        <x:v>-1</x:v>
      </x:c>
      <x:c r="J2583" s="6" t="n">
        <x:f>IF(OR(E2583="CANCELED",E2583="SUSPECTED_FRAUD",F2583="Shipping canceled"),0,1)</x:f>
        <x:v>1</x:v>
      </x:c>
      <x:c r="K2583" s="6" t="n">
        <x:f>IF(G2583&gt;H2583,1,0)</x:f>
        <x:v>0</x:v>
      </x:c>
      <x:c r="L2583" s="6" t="n">
        <x:f>J2583*K2583</x:f>
        <x:v>0</x:v>
      </x:c>
    </x:row>
    <x:row r="2584">
      <x:c r="A2584" s="1" t="n">
        <x:v>19706</x:v>
      </x:c>
      <x:c r="B2584" s="5" t="d">
        <x:v>2015-10-15T00:00:00.000Z</x:v>
      </x:c>
      <x:c r="C2584" s="1" t="str">
        <x:v>Standard Class</x:v>
      </x:c>
      <x:c r="D2584" s="1" t="str">
        <x:v>Europe</x:v>
      </x:c>
      <x:c r="E2584" s="1" t="str">
        <x:v>COMPLETE</x:v>
      </x:c>
      <x:c r="F2584" s="1" t="str">
        <x:v>Advance shipping</x:v>
      </x:c>
      <x:c r="G2584" s="6" t="n">
        <x:v>2</x:v>
      </x:c>
      <x:c r="H2584" s="6" t="n">
        <x:v>4</x:v>
      </x:c>
      <x:c r="I2584" s="6" t="n">
        <x:f>G2584-H2584</x:f>
        <x:v>-2</x:v>
      </x:c>
      <x:c r="J2584" s="6" t="n">
        <x:f>IF(OR(E2584="CANCELED",E2584="SUSPECTED_FRAUD",F2584="Shipping canceled"),0,1)</x:f>
        <x:v>1</x:v>
      </x:c>
      <x:c r="K2584" s="6" t="n">
        <x:f>IF(G2584&gt;H2584,1,0)</x:f>
        <x:v>0</x:v>
      </x:c>
      <x:c r="L2584" s="6" t="n">
        <x:f>J2584*K2584</x:f>
        <x:v>0</x:v>
      </x:c>
    </x:row>
    <x:row r="2585">
      <x:c r="A2585" s="1" t="n">
        <x:v>19707</x:v>
      </x:c>
      <x:c r="B2585" s="5" t="d">
        <x:v>2015-10-15T00:00:00.000Z</x:v>
      </x:c>
      <x:c r="C2585" s="1" t="str">
        <x:v>Standard Class</x:v>
      </x:c>
      <x:c r="D2585" s="1" t="str">
        <x:v>Europe</x:v>
      </x:c>
      <x:c r="E2585" s="1" t="str">
        <x:v>COMPLETE</x:v>
      </x:c>
      <x:c r="F2585" s="1" t="str">
        <x:v>Advance shipping</x:v>
      </x:c>
      <x:c r="G2585" s="6" t="n">
        <x:v>3</x:v>
      </x:c>
      <x:c r="H2585" s="6" t="n">
        <x:v>4</x:v>
      </x:c>
      <x:c r="I2585" s="6" t="n">
        <x:f>G2585-H2585</x:f>
        <x:v>-1</x:v>
      </x:c>
      <x:c r="J2585" s="6" t="n">
        <x:f>IF(OR(E2585="CANCELED",E2585="SUSPECTED_FRAUD",F2585="Shipping canceled"),0,1)</x:f>
        <x:v>1</x:v>
      </x:c>
      <x:c r="K2585" s="6" t="n">
        <x:f>IF(G2585&gt;H2585,1,0)</x:f>
        <x:v>0</x:v>
      </x:c>
      <x:c r="L2585" s="6" t="n">
        <x:f>J2585*K2585</x:f>
        <x:v>0</x:v>
      </x:c>
    </x:row>
    <x:row r="2586">
      <x:c r="A2586" s="1" t="n">
        <x:v>19711</x:v>
      </x:c>
      <x:c r="B2586" s="5" t="d">
        <x:v>2015-10-15T00:00:00.000Z</x:v>
      </x:c>
      <x:c r="C2586" s="1" t="str">
        <x:v>Standard Class</x:v>
      </x:c>
      <x:c r="D2586" s="1" t="str">
        <x:v>Europe</x:v>
      </x:c>
      <x:c r="E2586" s="1" t="str">
        <x:v>COMPLETE</x:v>
      </x:c>
      <x:c r="F2586" s="1" t="str">
        <x:v>Advance shipping</x:v>
      </x:c>
      <x:c r="G2586" s="6" t="n">
        <x:v>2</x:v>
      </x:c>
      <x:c r="H2586" s="6" t="n">
        <x:v>4</x:v>
      </x:c>
      <x:c r="I2586" s="6" t="n">
        <x:f>G2586-H2586</x:f>
        <x:v>-2</x:v>
      </x:c>
      <x:c r="J2586" s="6" t="n">
        <x:f>IF(OR(E2586="CANCELED",E2586="SUSPECTED_FRAUD",F2586="Shipping canceled"),0,1)</x:f>
        <x:v>1</x:v>
      </x:c>
      <x:c r="K2586" s="6" t="n">
        <x:f>IF(G2586&gt;H2586,1,0)</x:f>
        <x:v>0</x:v>
      </x:c>
      <x:c r="L2586" s="6" t="n">
        <x:f>J2586*K2586</x:f>
        <x:v>0</x:v>
      </x:c>
    </x:row>
    <x:row r="2587">
      <x:c r="A2587" s="1" t="n">
        <x:v>19712</x:v>
      </x:c>
      <x:c r="B2587" s="5" t="d">
        <x:v>2015-10-15T00:00:00.000Z</x:v>
      </x:c>
      <x:c r="C2587" s="1" t="str">
        <x:v>Standard Class</x:v>
      </x:c>
      <x:c r="D2587" s="1" t="str">
        <x:v>Europe</x:v>
      </x:c>
      <x:c r="E2587" s="1" t="str">
        <x:v>ON_HOLD</x:v>
      </x:c>
      <x:c r="F2587" s="1" t="str">
        <x:v>Advance shipping</x:v>
      </x:c>
      <x:c r="G2587" s="6" t="n">
        <x:v>3</x:v>
      </x:c>
      <x:c r="H2587" s="6" t="n">
        <x:v>4</x:v>
      </x:c>
      <x:c r="I2587" s="6" t="n">
        <x:f>G2587-H2587</x:f>
        <x:v>-1</x:v>
      </x:c>
      <x:c r="J2587" s="6" t="n">
        <x:f>IF(OR(E2587="CANCELED",E2587="SUSPECTED_FRAUD",F2587="Shipping canceled"),0,1)</x:f>
        <x:v>1</x:v>
      </x:c>
      <x:c r="K2587" s="6" t="n">
        <x:f>IF(G2587&gt;H2587,1,0)</x:f>
        <x:v>0</x:v>
      </x:c>
      <x:c r="L2587" s="6" t="n">
        <x:f>J2587*K2587</x:f>
        <x:v>0</x:v>
      </x:c>
    </x:row>
    <x:row r="2588">
      <x:c r="A2588" s="1" t="n">
        <x:v>19715</x:v>
      </x:c>
      <x:c r="B2588" s="5" t="d">
        <x:v>2015-10-15T00:00:00.000Z</x:v>
      </x:c>
      <x:c r="C2588" s="1" t="str">
        <x:v>Standard Class</x:v>
      </x:c>
      <x:c r="D2588" s="1" t="str">
        <x:v>Europe</x:v>
      </x:c>
      <x:c r="E2588" s="1" t="str">
        <x:v>COMPLETE</x:v>
      </x:c>
      <x:c r="F2588" s="1" t="str">
        <x:v>Late delivery</x:v>
      </x:c>
      <x:c r="G2588" s="6" t="n">
        <x:v>6</x:v>
      </x:c>
      <x:c r="H2588" s="6" t="n">
        <x:v>4</x:v>
      </x:c>
      <x:c r="I2588" s="6" t="n">
        <x:f>G2588-H2588</x:f>
        <x:v>2</x:v>
      </x:c>
      <x:c r="J2588" s="6" t="n">
        <x:f>IF(OR(E2588="CANCELED",E2588="SUSPECTED_FRAUD",F2588="Shipping canceled"),0,1)</x:f>
        <x:v>1</x:v>
      </x:c>
      <x:c r="K2588" s="6" t="n">
        <x:f>IF(G2588&gt;H2588,1,0)</x:f>
        <x:v>1</x:v>
      </x:c>
      <x:c r="L2588" s="6" t="n">
        <x:f>J2588*K2588</x:f>
        <x:v>1</x:v>
      </x:c>
    </x:row>
    <x:row r="2589">
      <x:c r="A2589" s="1" t="n">
        <x:v>19722</x:v>
      </x:c>
      <x:c r="B2589" s="5" t="d">
        <x:v>2015-10-15T00:00:00.000Z</x:v>
      </x:c>
      <x:c r="C2589" s="1" t="str">
        <x:v>First Class</x:v>
      </x:c>
      <x:c r="D2589" s="1" t="str">
        <x:v>Europe</x:v>
      </x:c>
      <x:c r="E2589" s="1" t="str">
        <x:v>CLOSED</x:v>
      </x:c>
      <x:c r="F2589" s="1" t="str">
        <x:v>Late delivery</x:v>
      </x:c>
      <x:c r="G2589" s="6" t="n">
        <x:v>2</x:v>
      </x:c>
      <x:c r="H2589" s="6" t="n">
        <x:v>1</x:v>
      </x:c>
      <x:c r="I2589" s="6" t="n">
        <x:f>G2589-H2589</x:f>
        <x:v>1</x:v>
      </x:c>
      <x:c r="J2589" s="6" t="n">
        <x:f>IF(OR(E2589="CANCELED",E2589="SUSPECTED_FRAUD",F2589="Shipping canceled"),0,1)</x:f>
        <x:v>1</x:v>
      </x:c>
      <x:c r="K2589" s="6" t="n">
        <x:f>IF(G2589&gt;H2589,1,0)</x:f>
        <x:v>1</x:v>
      </x:c>
      <x:c r="L2589" s="6" t="n">
        <x:f>J2589*K2589</x:f>
        <x:v>1</x:v>
      </x:c>
    </x:row>
    <x:row r="2590">
      <x:c r="A2590" s="1" t="n">
        <x:v>19726</x:v>
      </x:c>
      <x:c r="B2590" s="5" t="d">
        <x:v>2015-10-15T00:00:00.000Z</x:v>
      </x:c>
      <x:c r="C2590" s="1" t="str">
        <x:v>First Class</x:v>
      </x:c>
      <x:c r="D2590" s="1" t="str">
        <x:v>Europe</x:v>
      </x:c>
      <x:c r="E2590" s="1" t="str">
        <x:v>PAYMENT_REVIEW</x:v>
      </x:c>
      <x:c r="F2590" s="1" t="str">
        <x:v>Late delivery</x:v>
      </x:c>
      <x:c r="G2590" s="6" t="n">
        <x:v>2</x:v>
      </x:c>
      <x:c r="H2590" s="6" t="n">
        <x:v>1</x:v>
      </x:c>
      <x:c r="I2590" s="6" t="n">
        <x:f>G2590-H2590</x:f>
        <x:v>1</x:v>
      </x:c>
      <x:c r="J2590" s="6" t="n">
        <x:f>IF(OR(E2590="CANCELED",E2590="SUSPECTED_FRAUD",F2590="Shipping canceled"),0,1)</x:f>
        <x:v>1</x:v>
      </x:c>
      <x:c r="K2590" s="6" t="n">
        <x:f>IF(G2590&gt;H2590,1,0)</x:f>
        <x:v>1</x:v>
      </x:c>
      <x:c r="L2590" s="6" t="n">
        <x:f>J2590*K2590</x:f>
        <x:v>1</x:v>
      </x:c>
    </x:row>
    <x:row r="2591">
      <x:c r="A2591" s="1" t="n">
        <x:v>19732</x:v>
      </x:c>
      <x:c r="B2591" s="5" t="d">
        <x:v>2015-10-16T00:00:00.000Z</x:v>
      </x:c>
      <x:c r="C2591" s="1" t="str">
        <x:v>Standard Class</x:v>
      </x:c>
      <x:c r="D2591" s="1" t="str">
        <x:v>Europe</x:v>
      </x:c>
      <x:c r="E2591" s="1" t="str">
        <x:v>PENDING</x:v>
      </x:c>
      <x:c r="F2591" s="1" t="str">
        <x:v>Advance shipping</x:v>
      </x:c>
      <x:c r="G2591" s="6" t="n">
        <x:v>3</x:v>
      </x:c>
      <x:c r="H2591" s="6" t="n">
        <x:v>4</x:v>
      </x:c>
      <x:c r="I2591" s="6" t="n">
        <x:f>G2591-H2591</x:f>
        <x:v>-1</x:v>
      </x:c>
      <x:c r="J2591" s="6" t="n">
        <x:f>IF(OR(E2591="CANCELED",E2591="SUSPECTED_FRAUD",F2591="Shipping canceled"),0,1)</x:f>
        <x:v>1</x:v>
      </x:c>
      <x:c r="K2591" s="6" t="n">
        <x:f>IF(G2591&gt;H2591,1,0)</x:f>
        <x:v>0</x:v>
      </x:c>
      <x:c r="L2591" s="6" t="n">
        <x:f>J2591*K2591</x:f>
        <x:v>0</x:v>
      </x:c>
    </x:row>
    <x:row r="2592">
      <x:c r="A2592" s="1" t="n">
        <x:v>19736</x:v>
      </x:c>
      <x:c r="B2592" s="5" t="d">
        <x:v>2015-10-16T00:00:00.000Z</x:v>
      </x:c>
      <x:c r="C2592" s="1" t="str">
        <x:v>Standard Class</x:v>
      </x:c>
      <x:c r="D2592" s="1" t="str">
        <x:v>Europe</x:v>
      </x:c>
      <x:c r="E2592" s="1" t="str">
        <x:v>PENDING</x:v>
      </x:c>
      <x:c r="F2592" s="1" t="str">
        <x:v>Advance shipping</x:v>
      </x:c>
      <x:c r="G2592" s="6" t="n">
        <x:v>2</x:v>
      </x:c>
      <x:c r="H2592" s="6" t="n">
        <x:v>4</x:v>
      </x:c>
      <x:c r="I2592" s="6" t="n">
        <x:f>G2592-H2592</x:f>
        <x:v>-2</x:v>
      </x:c>
      <x:c r="J2592" s="6" t="n">
        <x:f>IF(OR(E2592="CANCELED",E2592="SUSPECTED_FRAUD",F2592="Shipping canceled"),0,1)</x:f>
        <x:v>1</x:v>
      </x:c>
      <x:c r="K2592" s="6" t="n">
        <x:f>IF(G2592&gt;H2592,1,0)</x:f>
        <x:v>0</x:v>
      </x:c>
      <x:c r="L2592" s="6" t="n">
        <x:f>J2592*K2592</x:f>
        <x:v>0</x:v>
      </x:c>
    </x:row>
    <x:row r="2593">
      <x:c r="A2593" s="1" t="n">
        <x:v>19743</x:v>
      </x:c>
      <x:c r="B2593" s="5" t="d">
        <x:v>2015-10-16T00:00:00.000Z</x:v>
      </x:c>
      <x:c r="C2593" s="1" t="str">
        <x:v>Standard Class</x:v>
      </x:c>
      <x:c r="D2593" s="1" t="str">
        <x:v>Europe</x:v>
      </x:c>
      <x:c r="E2593" s="1" t="str">
        <x:v>COMPLETE</x:v>
      </x:c>
      <x:c r="F2593" s="1" t="str">
        <x:v>Shipping on time</x:v>
      </x:c>
      <x:c r="G2593" s="6" t="n">
        <x:v>4</x:v>
      </x:c>
      <x:c r="H2593" s="6" t="n">
        <x:v>4</x:v>
      </x:c>
      <x:c r="I2593" s="6" t="n">
        <x:f>G2593-H2593</x:f>
        <x:v>0</x:v>
      </x:c>
      <x:c r="J2593" s="6" t="n">
        <x:f>IF(OR(E2593="CANCELED",E2593="SUSPECTED_FRAUD",F2593="Shipping canceled"),0,1)</x:f>
        <x:v>1</x:v>
      </x:c>
      <x:c r="K2593" s="6" t="n">
        <x:f>IF(G2593&gt;H2593,1,0)</x:f>
        <x:v>0</x:v>
      </x:c>
      <x:c r="L2593" s="6" t="n">
        <x:f>J2593*K2593</x:f>
        <x:v>0</x:v>
      </x:c>
    </x:row>
    <x:row r="2594">
      <x:c r="A2594" s="1" t="n">
        <x:v>19746</x:v>
      </x:c>
      <x:c r="B2594" s="5" t="d">
        <x:v>2015-10-16T00:00:00.000Z</x:v>
      </x:c>
      <x:c r="C2594" s="1" t="str">
        <x:v>Standard Class</x:v>
      </x:c>
      <x:c r="D2594" s="1" t="str">
        <x:v>Europe</x:v>
      </x:c>
      <x:c r="E2594" s="1" t="str">
        <x:v>COMPLETE</x:v>
      </x:c>
      <x:c r="F2594" s="1" t="str">
        <x:v>Advance shipping</x:v>
      </x:c>
      <x:c r="G2594" s="6" t="n">
        <x:v>2</x:v>
      </x:c>
      <x:c r="H2594" s="6" t="n">
        <x:v>4</x:v>
      </x:c>
      <x:c r="I2594" s="6" t="n">
        <x:f>G2594-H2594</x:f>
        <x:v>-2</x:v>
      </x:c>
      <x:c r="J2594" s="6" t="n">
        <x:f>IF(OR(E2594="CANCELED",E2594="SUSPECTED_FRAUD",F2594="Shipping canceled"),0,1)</x:f>
        <x:v>1</x:v>
      </x:c>
      <x:c r="K2594" s="6" t="n">
        <x:f>IF(G2594&gt;H2594,1,0)</x:f>
        <x:v>0</x:v>
      </x:c>
      <x:c r="L2594" s="6" t="n">
        <x:f>J2594*K2594</x:f>
        <x:v>0</x:v>
      </x:c>
    </x:row>
    <x:row r="2595">
      <x:c r="A2595" s="1" t="n">
        <x:v>19751</x:v>
      </x:c>
      <x:c r="B2595" s="5" t="d">
        <x:v>2015-10-16T00:00:00.000Z</x:v>
      </x:c>
      <x:c r="C2595" s="1" t="str">
        <x:v>Standard Class</x:v>
      </x:c>
      <x:c r="D2595" s="1" t="str">
        <x:v>Europe</x:v>
      </x:c>
      <x:c r="E2595" s="1" t="str">
        <x:v>PROCESSING</x:v>
      </x:c>
      <x:c r="F2595" s="1" t="str">
        <x:v>Advance shipping</x:v>
      </x:c>
      <x:c r="G2595" s="6" t="n">
        <x:v>2</x:v>
      </x:c>
      <x:c r="H2595" s="6" t="n">
        <x:v>4</x:v>
      </x:c>
      <x:c r="I2595" s="6" t="n">
        <x:f>G2595-H2595</x:f>
        <x:v>-2</x:v>
      </x:c>
      <x:c r="J2595" s="6" t="n">
        <x:f>IF(OR(E2595="CANCELED",E2595="SUSPECTED_FRAUD",F2595="Shipping canceled"),0,1)</x:f>
        <x:v>1</x:v>
      </x:c>
      <x:c r="K2595" s="6" t="n">
        <x:f>IF(G2595&gt;H2595,1,0)</x:f>
        <x:v>0</x:v>
      </x:c>
      <x:c r="L2595" s="6" t="n">
        <x:f>J2595*K2595</x:f>
        <x:v>0</x:v>
      </x:c>
    </x:row>
    <x:row r="2596">
      <x:c r="A2596" s="1" t="n">
        <x:v>19754</x:v>
      </x:c>
      <x:c r="B2596" s="5" t="d">
        <x:v>2015-10-16T00:00:00.000Z</x:v>
      </x:c>
      <x:c r="C2596" s="1" t="str">
        <x:v>First Class</x:v>
      </x:c>
      <x:c r="D2596" s="1" t="str">
        <x:v>Europe</x:v>
      </x:c>
      <x:c r="E2596" s="1" t="str">
        <x:v>CLOSED</x:v>
      </x:c>
      <x:c r="F2596" s="1" t="str">
        <x:v>Late delivery</x:v>
      </x:c>
      <x:c r="G2596" s="6" t="n">
        <x:v>2</x:v>
      </x:c>
      <x:c r="H2596" s="6" t="n">
        <x:v>1</x:v>
      </x:c>
      <x:c r="I2596" s="6" t="n">
        <x:f>G2596-H2596</x:f>
        <x:v>1</x:v>
      </x:c>
      <x:c r="J2596" s="6" t="n">
        <x:f>IF(OR(E2596="CANCELED",E2596="SUSPECTED_FRAUD",F2596="Shipping canceled"),0,1)</x:f>
        <x:v>1</x:v>
      </x:c>
      <x:c r="K2596" s="6" t="n">
        <x:f>IF(G2596&gt;H2596,1,0)</x:f>
        <x:v>1</x:v>
      </x:c>
      <x:c r="L2596" s="6" t="n">
        <x:f>J2596*K2596</x:f>
        <x:v>1</x:v>
      </x:c>
    </x:row>
    <x:row r="2597">
      <x:c r="A2597" s="1" t="n">
        <x:v>19775</x:v>
      </x:c>
      <x:c r="B2597" s="5" t="d">
        <x:v>2015-10-16T00:00:00.000Z</x:v>
      </x:c>
      <x:c r="C2597" s="1" t="str">
        <x:v>Standard Class</x:v>
      </x:c>
      <x:c r="D2597" s="1" t="str">
        <x:v>Europe</x:v>
      </x:c>
      <x:c r="E2597" s="1" t="str">
        <x:v>PROCESSING</x:v>
      </x:c>
      <x:c r="F2597" s="1" t="str">
        <x:v>Late delivery</x:v>
      </x:c>
      <x:c r="G2597" s="6" t="n">
        <x:v>6</x:v>
      </x:c>
      <x:c r="H2597" s="6" t="n">
        <x:v>4</x:v>
      </x:c>
      <x:c r="I2597" s="6" t="n">
        <x:f>G2597-H2597</x:f>
        <x:v>2</x:v>
      </x:c>
      <x:c r="J2597" s="6" t="n">
        <x:f>IF(OR(E2597="CANCELED",E2597="SUSPECTED_FRAUD",F2597="Shipping canceled"),0,1)</x:f>
        <x:v>1</x:v>
      </x:c>
      <x:c r="K2597" s="6" t="n">
        <x:f>IF(G2597&gt;H2597,1,0)</x:f>
        <x:v>1</x:v>
      </x:c>
      <x:c r="L2597" s="6" t="n">
        <x:f>J2597*K2597</x:f>
        <x:v>1</x:v>
      </x:c>
    </x:row>
    <x:row r="2598">
      <x:c r="A2598" s="1" t="n">
        <x:v>19782</x:v>
      </x:c>
      <x:c r="B2598" s="5" t="d">
        <x:v>2015-10-16T00:00:00.000Z</x:v>
      </x:c>
      <x:c r="C2598" s="1" t="str">
        <x:v>Standard Class</x:v>
      </x:c>
      <x:c r="D2598" s="1" t="str">
        <x:v>Europe</x:v>
      </x:c>
      <x:c r="E2598" s="1" t="str">
        <x:v>COMPLETE</x:v>
      </x:c>
      <x:c r="F2598" s="1" t="str">
        <x:v>Advance shipping</x:v>
      </x:c>
      <x:c r="G2598" s="6" t="n">
        <x:v>3</x:v>
      </x:c>
      <x:c r="H2598" s="6" t="n">
        <x:v>4</x:v>
      </x:c>
      <x:c r="I2598" s="6" t="n">
        <x:f>G2598-H2598</x:f>
        <x:v>-1</x:v>
      </x:c>
      <x:c r="J2598" s="6" t="n">
        <x:f>IF(OR(E2598="CANCELED",E2598="SUSPECTED_FRAUD",F2598="Shipping canceled"),0,1)</x:f>
        <x:v>1</x:v>
      </x:c>
      <x:c r="K2598" s="6" t="n">
        <x:f>IF(G2598&gt;H2598,1,0)</x:f>
        <x:v>0</x:v>
      </x:c>
      <x:c r="L2598" s="6" t="n">
        <x:f>J2598*K2598</x:f>
        <x:v>0</x:v>
      </x:c>
    </x:row>
    <x:row r="2599">
      <x:c r="A2599" s="1" t="n">
        <x:v>19783</x:v>
      </x:c>
      <x:c r="B2599" s="5" t="d">
        <x:v>2015-10-16T00:00:00.000Z</x:v>
      </x:c>
      <x:c r="C2599" s="1" t="str">
        <x:v>Standard Class</x:v>
      </x:c>
      <x:c r="D2599" s="1" t="str">
        <x:v>Europe</x:v>
      </x:c>
      <x:c r="E2599" s="1" t="str">
        <x:v>COMPLETE</x:v>
      </x:c>
      <x:c r="F2599" s="1" t="str">
        <x:v>Shipping on time</x:v>
      </x:c>
      <x:c r="G2599" s="6" t="n">
        <x:v>4</x:v>
      </x:c>
      <x:c r="H2599" s="6" t="n">
        <x:v>4</x:v>
      </x:c>
      <x:c r="I2599" s="6" t="n">
        <x:f>G2599-H2599</x:f>
        <x:v>0</x:v>
      </x:c>
      <x:c r="J2599" s="6" t="n">
        <x:f>IF(OR(E2599="CANCELED",E2599="SUSPECTED_FRAUD",F2599="Shipping canceled"),0,1)</x:f>
        <x:v>1</x:v>
      </x:c>
      <x:c r="K2599" s="6" t="n">
        <x:f>IF(G2599&gt;H2599,1,0)</x:f>
        <x:v>0</x:v>
      </x:c>
      <x:c r="L2599" s="6" t="n">
        <x:f>J2599*K2599</x:f>
        <x:v>0</x:v>
      </x:c>
    </x:row>
    <x:row r="2600">
      <x:c r="A2600" s="1" t="n">
        <x:v>19785</x:v>
      </x:c>
      <x:c r="B2600" s="5" t="d">
        <x:v>2015-10-16T00:00:00.000Z</x:v>
      </x:c>
      <x:c r="C2600" s="1" t="str">
        <x:v>Standard Class</x:v>
      </x:c>
      <x:c r="D2600" s="1" t="str">
        <x:v>Europe</x:v>
      </x:c>
      <x:c r="E2600" s="1" t="str">
        <x:v>PROCESSING</x:v>
      </x:c>
      <x:c r="F2600" s="1" t="str">
        <x:v>Late delivery</x:v>
      </x:c>
      <x:c r="G2600" s="6" t="n">
        <x:v>6</x:v>
      </x:c>
      <x:c r="H2600" s="6" t="n">
        <x:v>4</x:v>
      </x:c>
      <x:c r="I2600" s="6" t="n">
        <x:f>G2600-H2600</x:f>
        <x:v>2</x:v>
      </x:c>
      <x:c r="J2600" s="6" t="n">
        <x:f>IF(OR(E2600="CANCELED",E2600="SUSPECTED_FRAUD",F2600="Shipping canceled"),0,1)</x:f>
        <x:v>1</x:v>
      </x:c>
      <x:c r="K2600" s="6" t="n">
        <x:f>IF(G2600&gt;H2600,1,0)</x:f>
        <x:v>1</x:v>
      </x:c>
      <x:c r="L2600" s="6" t="n">
        <x:f>J2600*K2600</x:f>
        <x:v>1</x:v>
      </x:c>
    </x:row>
    <x:row r="2601">
      <x:c r="A2601" s="1" t="n">
        <x:v>19794</x:v>
      </x:c>
      <x:c r="B2601" s="5" t="d">
        <x:v>2015-10-16T00:00:00.000Z</x:v>
      </x:c>
      <x:c r="C2601" s="1" t="str">
        <x:v>First Class</x:v>
      </x:c>
      <x:c r="D2601" s="1" t="str">
        <x:v>Europe</x:v>
      </x:c>
      <x:c r="E2601" s="1" t="str">
        <x:v>CLOSED</x:v>
      </x:c>
      <x:c r="F2601" s="1" t="str">
        <x:v>Late delivery</x:v>
      </x:c>
      <x:c r="G2601" s="6" t="n">
        <x:v>2</x:v>
      </x:c>
      <x:c r="H2601" s="6" t="n">
        <x:v>1</x:v>
      </x:c>
      <x:c r="I2601" s="6" t="n">
        <x:f>G2601-H2601</x:f>
        <x:v>1</x:v>
      </x:c>
      <x:c r="J2601" s="6" t="n">
        <x:f>IF(OR(E2601="CANCELED",E2601="SUSPECTED_FRAUD",F2601="Shipping canceled"),0,1)</x:f>
        <x:v>1</x:v>
      </x:c>
      <x:c r="K2601" s="6" t="n">
        <x:f>IF(G2601&gt;H2601,1,0)</x:f>
        <x:v>1</x:v>
      </x:c>
      <x:c r="L2601" s="6" t="n">
        <x:f>J2601*K2601</x:f>
        <x:v>1</x:v>
      </x:c>
    </x:row>
    <x:row r="2602">
      <x:c r="A2602" s="1" t="n">
        <x:v>19800</x:v>
      </x:c>
      <x:c r="B2602" s="5" t="d">
        <x:v>2015-10-17T00:00:00.000Z</x:v>
      </x:c>
      <x:c r="C2602" s="1" t="str">
        <x:v>Standard Class</x:v>
      </x:c>
      <x:c r="D2602" s="1" t="str">
        <x:v>Europe</x:v>
      </x:c>
      <x:c r="E2602" s="1" t="str">
        <x:v>PENDING</x:v>
      </x:c>
      <x:c r="F2602" s="1" t="str">
        <x:v>Late delivery</x:v>
      </x:c>
      <x:c r="G2602" s="6" t="n">
        <x:v>6</x:v>
      </x:c>
      <x:c r="H2602" s="6" t="n">
        <x:v>4</x:v>
      </x:c>
      <x:c r="I2602" s="6" t="n">
        <x:f>G2602-H2602</x:f>
        <x:v>2</x:v>
      </x:c>
      <x:c r="J2602" s="6" t="n">
        <x:f>IF(OR(E2602="CANCELED",E2602="SUSPECTED_FRAUD",F2602="Shipping canceled"),0,1)</x:f>
        <x:v>1</x:v>
      </x:c>
      <x:c r="K2602" s="6" t="n">
        <x:f>IF(G2602&gt;H2602,1,0)</x:f>
        <x:v>1</x:v>
      </x:c>
      <x:c r="L2602" s="6" t="n">
        <x:f>J2602*K2602</x:f>
        <x:v>1</x:v>
      </x:c>
    </x:row>
    <x:row r="2603">
      <x:c r="A2603" s="1" t="n">
        <x:v>19801</x:v>
      </x:c>
      <x:c r="B2603" s="5" t="d">
        <x:v>2015-10-17T00:00:00.000Z</x:v>
      </x:c>
      <x:c r="C2603" s="1" t="str">
        <x:v>Standard Class</x:v>
      </x:c>
      <x:c r="D2603" s="1" t="str">
        <x:v>Europe</x:v>
      </x:c>
      <x:c r="E2603" s="1" t="str">
        <x:v>PENDING</x:v>
      </x:c>
      <x:c r="F2603" s="1" t="str">
        <x:v>Advance shipping</x:v>
      </x:c>
      <x:c r="G2603" s="6" t="n">
        <x:v>2</x:v>
      </x:c>
      <x:c r="H2603" s="6" t="n">
        <x:v>4</x:v>
      </x:c>
      <x:c r="I2603" s="6" t="n">
        <x:f>G2603-H2603</x:f>
        <x:v>-2</x:v>
      </x:c>
      <x:c r="J2603" s="6" t="n">
        <x:f>IF(OR(E2603="CANCELED",E2603="SUSPECTED_FRAUD",F2603="Shipping canceled"),0,1)</x:f>
        <x:v>1</x:v>
      </x:c>
      <x:c r="K2603" s="6" t="n">
        <x:f>IF(G2603&gt;H2603,1,0)</x:f>
        <x:v>0</x:v>
      </x:c>
      <x:c r="L2603" s="6" t="n">
        <x:f>J2603*K2603</x:f>
        <x:v>0</x:v>
      </x:c>
    </x:row>
    <x:row r="2604">
      <x:c r="A2604" s="1" t="n">
        <x:v>19817</x:v>
      </x:c>
      <x:c r="B2604" s="5" t="d">
        <x:v>2015-10-17T00:00:00.000Z</x:v>
      </x:c>
      <x:c r="C2604" s="1" t="str">
        <x:v>Second Class</x:v>
      </x:c>
      <x:c r="D2604" s="1" t="str">
        <x:v>Europe</x:v>
      </x:c>
      <x:c r="E2604" s="1" t="str">
        <x:v>COMPLETE</x:v>
      </x:c>
      <x:c r="F2604" s="1" t="str">
        <x:v>Late delivery</x:v>
      </x:c>
      <x:c r="G2604" s="6" t="n">
        <x:v>3</x:v>
      </x:c>
      <x:c r="H2604" s="6" t="n">
        <x:v>2</x:v>
      </x:c>
      <x:c r="I2604" s="6" t="n">
        <x:f>G2604-H2604</x:f>
        <x:v>1</x:v>
      </x:c>
      <x:c r="J2604" s="6" t="n">
        <x:f>IF(OR(E2604="CANCELED",E2604="SUSPECTED_FRAUD",F2604="Shipping canceled"),0,1)</x:f>
        <x:v>1</x:v>
      </x:c>
      <x:c r="K2604" s="6" t="n">
        <x:f>IF(G2604&gt;H2604,1,0)</x:f>
        <x:v>1</x:v>
      </x:c>
      <x:c r="L2604" s="6" t="n">
        <x:f>J2604*K2604</x:f>
        <x:v>1</x:v>
      </x:c>
    </x:row>
    <x:row r="2605">
      <x:c r="A2605" s="1" t="n">
        <x:v>19821</x:v>
      </x:c>
      <x:c r="B2605" s="5" t="d">
        <x:v>2015-10-17T00:00:00.000Z</x:v>
      </x:c>
      <x:c r="C2605" s="1" t="str">
        <x:v>First Class</x:v>
      </x:c>
      <x:c r="D2605" s="1" t="str">
        <x:v>Europe</x:v>
      </x:c>
      <x:c r="E2605" s="1" t="str">
        <x:v>PROCESSING</x:v>
      </x:c>
      <x:c r="F2605" s="1" t="str">
        <x:v>Late delivery</x:v>
      </x:c>
      <x:c r="G2605" s="6" t="n">
        <x:v>2</x:v>
      </x:c>
      <x:c r="H2605" s="6" t="n">
        <x:v>1</x:v>
      </x:c>
      <x:c r="I2605" s="6" t="n">
        <x:f>G2605-H2605</x:f>
        <x:v>1</x:v>
      </x:c>
      <x:c r="J2605" s="6" t="n">
        <x:f>IF(OR(E2605="CANCELED",E2605="SUSPECTED_FRAUD",F2605="Shipping canceled"),0,1)</x:f>
        <x:v>1</x:v>
      </x:c>
      <x:c r="K2605" s="6" t="n">
        <x:f>IF(G2605&gt;H2605,1,0)</x:f>
        <x:v>1</x:v>
      </x:c>
      <x:c r="L2605" s="6" t="n">
        <x:f>J2605*K2605</x:f>
        <x:v>1</x:v>
      </x:c>
    </x:row>
    <x:row r="2606">
      <x:c r="A2606" s="1" t="n">
        <x:v>19830</x:v>
      </x:c>
      <x:c r="B2606" s="5" t="d">
        <x:v>2015-10-17T00:00:00.000Z</x:v>
      </x:c>
      <x:c r="C2606" s="1" t="str">
        <x:v>First Class</x:v>
      </x:c>
      <x:c r="D2606" s="1" t="str">
        <x:v>Europe</x:v>
      </x:c>
      <x:c r="E2606" s="1" t="str">
        <x:v>PENDING</x:v>
      </x:c>
      <x:c r="F2606" s="1" t="str">
        <x:v>Late delivery</x:v>
      </x:c>
      <x:c r="G2606" s="6" t="n">
        <x:v>2</x:v>
      </x:c>
      <x:c r="H2606" s="6" t="n">
        <x:v>1</x:v>
      </x:c>
      <x:c r="I2606" s="6" t="n">
        <x:f>G2606-H2606</x:f>
        <x:v>1</x:v>
      </x:c>
      <x:c r="J2606" s="6" t="n">
        <x:f>IF(OR(E2606="CANCELED",E2606="SUSPECTED_FRAUD",F2606="Shipping canceled"),0,1)</x:f>
        <x:v>1</x:v>
      </x:c>
      <x:c r="K2606" s="6" t="n">
        <x:f>IF(G2606&gt;H2606,1,0)</x:f>
        <x:v>1</x:v>
      </x:c>
      <x:c r="L2606" s="6" t="n">
        <x:f>J2606*K2606</x:f>
        <x:v>1</x:v>
      </x:c>
    </x:row>
    <x:row r="2607">
      <x:c r="A2607" s="1" t="n">
        <x:v>19840</x:v>
      </x:c>
      <x:c r="B2607" s="5" t="d">
        <x:v>2015-10-17T00:00:00.000Z</x:v>
      </x:c>
      <x:c r="C2607" s="1" t="str">
        <x:v>Second Class</x:v>
      </x:c>
      <x:c r="D2607" s="1" t="str">
        <x:v>Europe</x:v>
      </x:c>
      <x:c r="E2607" s="1" t="str">
        <x:v>ON_HOLD</x:v>
      </x:c>
      <x:c r="F2607" s="1" t="str">
        <x:v>Late delivery</x:v>
      </x:c>
      <x:c r="G2607" s="6" t="n">
        <x:v>6</x:v>
      </x:c>
      <x:c r="H2607" s="6" t="n">
        <x:v>2</x:v>
      </x:c>
      <x:c r="I2607" s="6" t="n">
        <x:f>G2607-H2607</x:f>
        <x:v>4</x:v>
      </x:c>
      <x:c r="J2607" s="6" t="n">
        <x:f>IF(OR(E2607="CANCELED",E2607="SUSPECTED_FRAUD",F2607="Shipping canceled"),0,1)</x:f>
        <x:v>1</x:v>
      </x:c>
      <x:c r="K2607" s="6" t="n">
        <x:f>IF(G2607&gt;H2607,1,0)</x:f>
        <x:v>1</x:v>
      </x:c>
      <x:c r="L2607" s="6" t="n">
        <x:f>J2607*K2607</x:f>
        <x:v>1</x:v>
      </x:c>
    </x:row>
    <x:row r="2608">
      <x:c r="A2608" s="1" t="n">
        <x:v>19843</x:v>
      </x:c>
      <x:c r="B2608" s="5" t="d">
        <x:v>2015-10-17T00:00:00.000Z</x:v>
      </x:c>
      <x:c r="C2608" s="1" t="str">
        <x:v>Standard Class</x:v>
      </x:c>
      <x:c r="D2608" s="1" t="str">
        <x:v>Europe</x:v>
      </x:c>
      <x:c r="E2608" s="1" t="str">
        <x:v>COMPLETE</x:v>
      </x:c>
      <x:c r="F2608" s="1" t="str">
        <x:v>Shipping on time</x:v>
      </x:c>
      <x:c r="G2608" s="6" t="n">
        <x:v>4</x:v>
      </x:c>
      <x:c r="H2608" s="6" t="n">
        <x:v>4</x:v>
      </x:c>
      <x:c r="I2608" s="6" t="n">
        <x:f>G2608-H2608</x:f>
        <x:v>0</x:v>
      </x:c>
      <x:c r="J2608" s="6" t="n">
        <x:f>IF(OR(E2608="CANCELED",E2608="SUSPECTED_FRAUD",F2608="Shipping canceled"),0,1)</x:f>
        <x:v>1</x:v>
      </x:c>
      <x:c r="K2608" s="6" t="n">
        <x:f>IF(G2608&gt;H2608,1,0)</x:f>
        <x:v>0</x:v>
      </x:c>
      <x:c r="L2608" s="6" t="n">
        <x:f>J2608*K2608</x:f>
        <x:v>0</x:v>
      </x:c>
    </x:row>
    <x:row r="2609">
      <x:c r="A2609" s="1" t="n">
        <x:v>19844</x:v>
      </x:c>
      <x:c r="B2609" s="5" t="d">
        <x:v>2015-10-17T00:00:00.000Z</x:v>
      </x:c>
      <x:c r="C2609" s="1" t="str">
        <x:v>Standard Class</x:v>
      </x:c>
      <x:c r="D2609" s="1" t="str">
        <x:v>Europe</x:v>
      </x:c>
      <x:c r="E2609" s="1" t="str">
        <x:v>PROCESSING</x:v>
      </x:c>
      <x:c r="F2609" s="1" t="str">
        <x:v>Late delivery</x:v>
      </x:c>
      <x:c r="G2609" s="6" t="n">
        <x:v>5</x:v>
      </x:c>
      <x:c r="H2609" s="6" t="n">
        <x:v>4</x:v>
      </x:c>
      <x:c r="I2609" s="6" t="n">
        <x:f>G2609-H2609</x:f>
        <x:v>1</x:v>
      </x:c>
      <x:c r="J2609" s="6" t="n">
        <x:f>IF(OR(E2609="CANCELED",E2609="SUSPECTED_FRAUD",F2609="Shipping canceled"),0,1)</x:f>
        <x:v>1</x:v>
      </x:c>
      <x:c r="K2609" s="6" t="n">
        <x:f>IF(G2609&gt;H2609,1,0)</x:f>
        <x:v>1</x:v>
      </x:c>
      <x:c r="L2609" s="6" t="n">
        <x:f>J2609*K2609</x:f>
        <x:v>1</x:v>
      </x:c>
    </x:row>
    <x:row r="2610">
      <x:c r="A2610" s="1" t="n">
        <x:v>19850</x:v>
      </x:c>
      <x:c r="B2610" s="5" t="d">
        <x:v>2015-10-17T00:00:00.000Z</x:v>
      </x:c>
      <x:c r="C2610" s="1" t="str">
        <x:v>First Class</x:v>
      </x:c>
      <x:c r="D2610" s="1" t="str">
        <x:v>Europe</x:v>
      </x:c>
      <x:c r="E2610" s="1" t="str">
        <x:v>PENDING_PAYMENT</x:v>
      </x:c>
      <x:c r="F2610" s="1" t="str">
        <x:v>Late delivery</x:v>
      </x:c>
      <x:c r="G2610" s="6" t="n">
        <x:v>2</x:v>
      </x:c>
      <x:c r="H2610" s="6" t="n">
        <x:v>1</x:v>
      </x:c>
      <x:c r="I2610" s="6" t="n">
        <x:f>G2610-H2610</x:f>
        <x:v>1</x:v>
      </x:c>
      <x:c r="J2610" s="6" t="n">
        <x:f>IF(OR(E2610="CANCELED",E2610="SUSPECTED_FRAUD",F2610="Shipping canceled"),0,1)</x:f>
        <x:v>1</x:v>
      </x:c>
      <x:c r="K2610" s="6" t="n">
        <x:f>IF(G2610&gt;H2610,1,0)</x:f>
        <x:v>1</x:v>
      </x:c>
      <x:c r="L2610" s="6" t="n">
        <x:f>J2610*K2610</x:f>
        <x:v>1</x:v>
      </x:c>
    </x:row>
    <x:row r="2611">
      <x:c r="A2611" s="1" t="n">
        <x:v>19861</x:v>
      </x:c>
      <x:c r="B2611" s="5" t="d">
        <x:v>2015-10-17T00:00:00.000Z</x:v>
      </x:c>
      <x:c r="C2611" s="1" t="str">
        <x:v>First Class</x:v>
      </x:c>
      <x:c r="D2611" s="1" t="str">
        <x:v>Europe</x:v>
      </x:c>
      <x:c r="E2611" s="1" t="str">
        <x:v>CLOSED</x:v>
      </x:c>
      <x:c r="F2611" s="1" t="str">
        <x:v>Late delivery</x:v>
      </x:c>
      <x:c r="G2611" s="6" t="n">
        <x:v>2</x:v>
      </x:c>
      <x:c r="H2611" s="6" t="n">
        <x:v>1</x:v>
      </x:c>
      <x:c r="I2611" s="6" t="n">
        <x:f>G2611-H2611</x:f>
        <x:v>1</x:v>
      </x:c>
      <x:c r="J2611" s="6" t="n">
        <x:f>IF(OR(E2611="CANCELED",E2611="SUSPECTED_FRAUD",F2611="Shipping canceled"),0,1)</x:f>
        <x:v>1</x:v>
      </x:c>
      <x:c r="K2611" s="6" t="n">
        <x:f>IF(G2611&gt;H2611,1,0)</x:f>
        <x:v>1</x:v>
      </x:c>
      <x:c r="L2611" s="6" t="n">
        <x:f>J2611*K2611</x:f>
        <x:v>1</x:v>
      </x:c>
    </x:row>
    <x:row r="2612">
      <x:c r="A2612" s="1" t="n">
        <x:v>19864</x:v>
      </x:c>
      <x:c r="B2612" s="5" t="d">
        <x:v>2015-10-17T00:00:00.000Z</x:v>
      </x:c>
      <x:c r="C2612" s="1" t="str">
        <x:v>Standard Class</x:v>
      </x:c>
      <x:c r="D2612" s="1" t="str">
        <x:v>Europe</x:v>
      </x:c>
      <x:c r="E2612" s="1" t="str">
        <x:v>ON_HOLD</x:v>
      </x:c>
      <x:c r="F2612" s="1" t="str">
        <x:v>Late delivery</x:v>
      </x:c>
      <x:c r="G2612" s="6" t="n">
        <x:v>5</x:v>
      </x:c>
      <x:c r="H2612" s="6" t="n">
        <x:v>4</x:v>
      </x:c>
      <x:c r="I2612" s="6" t="n">
        <x:f>G2612-H2612</x:f>
        <x:v>1</x:v>
      </x:c>
      <x:c r="J2612" s="6" t="n">
        <x:f>IF(OR(E2612="CANCELED",E2612="SUSPECTED_FRAUD",F2612="Shipping canceled"),0,1)</x:f>
        <x:v>1</x:v>
      </x:c>
      <x:c r="K2612" s="6" t="n">
        <x:f>IF(G2612&gt;H2612,1,0)</x:f>
        <x:v>1</x:v>
      </x:c>
      <x:c r="L2612" s="6" t="n">
        <x:f>J2612*K2612</x:f>
        <x:v>1</x:v>
      </x:c>
    </x:row>
    <x:row r="2613">
      <x:c r="A2613" s="1" t="n">
        <x:v>19871</x:v>
      </x:c>
      <x:c r="B2613" s="5" t="d">
        <x:v>2015-10-18T00:00:00.000Z</x:v>
      </x:c>
      <x:c r="C2613" s="1" t="str">
        <x:v>Standard Class</x:v>
      </x:c>
      <x:c r="D2613" s="1" t="str">
        <x:v>Europe</x:v>
      </x:c>
      <x:c r="E2613" s="1" t="str">
        <x:v>PENDING_PAYMENT</x:v>
      </x:c>
      <x:c r="F2613" s="1" t="str">
        <x:v>Advance shipping</x:v>
      </x:c>
      <x:c r="G2613" s="6" t="n">
        <x:v>2</x:v>
      </x:c>
      <x:c r="H2613" s="6" t="n">
        <x:v>4</x:v>
      </x:c>
      <x:c r="I2613" s="6" t="n">
        <x:f>G2613-H2613</x:f>
        <x:v>-2</x:v>
      </x:c>
      <x:c r="J2613" s="6" t="n">
        <x:f>IF(OR(E2613="CANCELED",E2613="SUSPECTED_FRAUD",F2613="Shipping canceled"),0,1)</x:f>
        <x:v>1</x:v>
      </x:c>
      <x:c r="K2613" s="6" t="n">
        <x:f>IF(G2613&gt;H2613,1,0)</x:f>
        <x:v>0</x:v>
      </x:c>
      <x:c r="L2613" s="6" t="n">
        <x:f>J2613*K2613</x:f>
        <x:v>0</x:v>
      </x:c>
    </x:row>
    <x:row r="2614">
      <x:c r="A2614" s="1" t="n">
        <x:v>19874</x:v>
      </x:c>
      <x:c r="B2614" s="5" t="d">
        <x:v>2015-10-18T00:00:00.000Z</x:v>
      </x:c>
      <x:c r="C2614" s="1" t="str">
        <x:v>Standard Class</x:v>
      </x:c>
      <x:c r="D2614" s="1" t="str">
        <x:v>Europe</x:v>
      </x:c>
      <x:c r="E2614" s="1" t="str">
        <x:v>COMPLETE</x:v>
      </x:c>
      <x:c r="F2614" s="1" t="str">
        <x:v>Late delivery</x:v>
      </x:c>
      <x:c r="G2614" s="6" t="n">
        <x:v>5</x:v>
      </x:c>
      <x:c r="H2614" s="6" t="n">
        <x:v>4</x:v>
      </x:c>
      <x:c r="I2614" s="6" t="n">
        <x:f>G2614-H2614</x:f>
        <x:v>1</x:v>
      </x:c>
      <x:c r="J2614" s="6" t="n">
        <x:f>IF(OR(E2614="CANCELED",E2614="SUSPECTED_FRAUD",F2614="Shipping canceled"),0,1)</x:f>
        <x:v>1</x:v>
      </x:c>
      <x:c r="K2614" s="6" t="n">
        <x:f>IF(G2614&gt;H2614,1,0)</x:f>
        <x:v>1</x:v>
      </x:c>
      <x:c r="L2614" s="6" t="n">
        <x:f>J2614*K2614</x:f>
        <x:v>1</x:v>
      </x:c>
    </x:row>
    <x:row r="2615">
      <x:c r="A2615" s="1" t="n">
        <x:v>19880</x:v>
      </x:c>
      <x:c r="B2615" s="5" t="d">
        <x:v>2015-10-18T00:00:00.000Z</x:v>
      </x:c>
      <x:c r="C2615" s="1" t="str">
        <x:v>First Class</x:v>
      </x:c>
      <x:c r="D2615" s="1" t="str">
        <x:v>Europe</x:v>
      </x:c>
      <x:c r="E2615" s="1" t="str">
        <x:v>PENDING_PAYMENT</x:v>
      </x:c>
      <x:c r="F2615" s="1" t="str">
        <x:v>Late delivery</x:v>
      </x:c>
      <x:c r="G2615" s="6" t="n">
        <x:v>2</x:v>
      </x:c>
      <x:c r="H2615" s="6" t="n">
        <x:v>1</x:v>
      </x:c>
      <x:c r="I2615" s="6" t="n">
        <x:f>G2615-H2615</x:f>
        <x:v>1</x:v>
      </x:c>
      <x:c r="J2615" s="6" t="n">
        <x:f>IF(OR(E2615="CANCELED",E2615="SUSPECTED_FRAUD",F2615="Shipping canceled"),0,1)</x:f>
        <x:v>1</x:v>
      </x:c>
      <x:c r="K2615" s="6" t="n">
        <x:f>IF(G2615&gt;H2615,1,0)</x:f>
        <x:v>1</x:v>
      </x:c>
      <x:c r="L2615" s="6" t="n">
        <x:f>J2615*K2615</x:f>
        <x:v>1</x:v>
      </x:c>
    </x:row>
    <x:row r="2616">
      <x:c r="A2616" s="1" t="n">
        <x:v>19885</x:v>
      </x:c>
      <x:c r="B2616" s="5" t="d">
        <x:v>2015-10-18T00:00:00.000Z</x:v>
      </x:c>
      <x:c r="C2616" s="1" t="str">
        <x:v>Second Class</x:v>
      </x:c>
      <x:c r="D2616" s="1" t="str">
        <x:v>Europe</x:v>
      </x:c>
      <x:c r="E2616" s="1" t="str">
        <x:v>ON_HOLD</x:v>
      </x:c>
      <x:c r="F2616" s="1" t="str">
        <x:v>Late delivery</x:v>
      </x:c>
      <x:c r="G2616" s="6" t="n">
        <x:v>6</x:v>
      </x:c>
      <x:c r="H2616" s="6" t="n">
        <x:v>2</x:v>
      </x:c>
      <x:c r="I2616" s="6" t="n">
        <x:f>G2616-H2616</x:f>
        <x:v>4</x:v>
      </x:c>
      <x:c r="J2616" s="6" t="n">
        <x:f>IF(OR(E2616="CANCELED",E2616="SUSPECTED_FRAUD",F2616="Shipping canceled"),0,1)</x:f>
        <x:v>1</x:v>
      </x:c>
      <x:c r="K2616" s="6" t="n">
        <x:f>IF(G2616&gt;H2616,1,0)</x:f>
        <x:v>1</x:v>
      </x:c>
      <x:c r="L2616" s="6" t="n">
        <x:f>J2616*K2616</x:f>
        <x:v>1</x:v>
      </x:c>
    </x:row>
    <x:row r="2617">
      <x:c r="A2617" s="1" t="n">
        <x:v>19887</x:v>
      </x:c>
      <x:c r="B2617" s="5" t="d">
        <x:v>2015-10-18T00:00:00.000Z</x:v>
      </x:c>
      <x:c r="C2617" s="1" t="str">
        <x:v>Standard Class</x:v>
      </x:c>
      <x:c r="D2617" s="1" t="str">
        <x:v>Europe</x:v>
      </x:c>
      <x:c r="E2617" s="1" t="str">
        <x:v>ON_HOLD</x:v>
      </x:c>
      <x:c r="F2617" s="1" t="str">
        <x:v>Advance shipping</x:v>
      </x:c>
      <x:c r="G2617" s="6" t="n">
        <x:v>3</x:v>
      </x:c>
      <x:c r="H2617" s="6" t="n">
        <x:v>4</x:v>
      </x:c>
      <x:c r="I2617" s="6" t="n">
        <x:f>G2617-H2617</x:f>
        <x:v>-1</x:v>
      </x:c>
      <x:c r="J2617" s="6" t="n">
        <x:f>IF(OR(E2617="CANCELED",E2617="SUSPECTED_FRAUD",F2617="Shipping canceled"),0,1)</x:f>
        <x:v>1</x:v>
      </x:c>
      <x:c r="K2617" s="6" t="n">
        <x:f>IF(G2617&gt;H2617,1,0)</x:f>
        <x:v>0</x:v>
      </x:c>
      <x:c r="L2617" s="6" t="n">
        <x:f>J2617*K2617</x:f>
        <x:v>0</x:v>
      </x:c>
    </x:row>
    <x:row r="2618">
      <x:c r="A2618" s="1" t="n">
        <x:v>19889</x:v>
      </x:c>
      <x:c r="B2618" s="5" t="d">
        <x:v>2015-10-18T00:00:00.000Z</x:v>
      </x:c>
      <x:c r="C2618" s="1" t="str">
        <x:v>Standard Class</x:v>
      </x:c>
      <x:c r="D2618" s="1" t="str">
        <x:v>Europe</x:v>
      </x:c>
      <x:c r="E2618" s="1" t="str">
        <x:v>COMPLETE</x:v>
      </x:c>
      <x:c r="F2618" s="1" t="str">
        <x:v>Late delivery</x:v>
      </x:c>
      <x:c r="G2618" s="6" t="n">
        <x:v>5</x:v>
      </x:c>
      <x:c r="H2618" s="6" t="n">
        <x:v>4</x:v>
      </x:c>
      <x:c r="I2618" s="6" t="n">
        <x:f>G2618-H2618</x:f>
        <x:v>1</x:v>
      </x:c>
      <x:c r="J2618" s="6" t="n">
        <x:f>IF(OR(E2618="CANCELED",E2618="SUSPECTED_FRAUD",F2618="Shipping canceled"),0,1)</x:f>
        <x:v>1</x:v>
      </x:c>
      <x:c r="K2618" s="6" t="n">
        <x:f>IF(G2618&gt;H2618,1,0)</x:f>
        <x:v>1</x:v>
      </x:c>
      <x:c r="L2618" s="6" t="n">
        <x:f>J2618*K2618</x:f>
        <x:v>1</x:v>
      </x:c>
    </x:row>
    <x:row r="2619">
      <x:c r="A2619" s="1" t="n">
        <x:v>19894</x:v>
      </x:c>
      <x:c r="B2619" s="5" t="d">
        <x:v>2015-10-18T00:00:00.000Z</x:v>
      </x:c>
      <x:c r="C2619" s="1" t="str">
        <x:v>Standard Class</x:v>
      </x:c>
      <x:c r="D2619" s="1" t="str">
        <x:v>Europe</x:v>
      </x:c>
      <x:c r="E2619" s="1" t="str">
        <x:v>COMPLETE</x:v>
      </x:c>
      <x:c r="F2619" s="1" t="str">
        <x:v>Late delivery</x:v>
      </x:c>
      <x:c r="G2619" s="6" t="n">
        <x:v>5</x:v>
      </x:c>
      <x:c r="H2619" s="6" t="n">
        <x:v>4</x:v>
      </x:c>
      <x:c r="I2619" s="6" t="n">
        <x:f>G2619-H2619</x:f>
        <x:v>1</x:v>
      </x:c>
      <x:c r="J2619" s="6" t="n">
        <x:f>IF(OR(E2619="CANCELED",E2619="SUSPECTED_FRAUD",F2619="Shipping canceled"),0,1)</x:f>
        <x:v>1</x:v>
      </x:c>
      <x:c r="K2619" s="6" t="n">
        <x:f>IF(G2619&gt;H2619,1,0)</x:f>
        <x:v>1</x:v>
      </x:c>
      <x:c r="L2619" s="6" t="n">
        <x:f>J2619*K2619</x:f>
        <x:v>1</x:v>
      </x:c>
    </x:row>
    <x:row r="2620">
      <x:c r="A2620" s="1" t="n">
        <x:v>19902</x:v>
      </x:c>
      <x:c r="B2620" s="5" t="d">
        <x:v>2015-10-18T00:00:00.000Z</x:v>
      </x:c>
      <x:c r="C2620" s="1" t="str">
        <x:v>Standard Class</x:v>
      </x:c>
      <x:c r="D2620" s="1" t="str">
        <x:v>Europe</x:v>
      </x:c>
      <x:c r="E2620" s="1" t="str">
        <x:v>PROCESSING</x:v>
      </x:c>
      <x:c r="F2620" s="1" t="str">
        <x:v>Advance shipping</x:v>
      </x:c>
      <x:c r="G2620" s="6" t="n">
        <x:v>3</x:v>
      </x:c>
      <x:c r="H2620" s="6" t="n">
        <x:v>4</x:v>
      </x:c>
      <x:c r="I2620" s="6" t="n">
        <x:f>G2620-H2620</x:f>
        <x:v>-1</x:v>
      </x:c>
      <x:c r="J2620" s="6" t="n">
        <x:f>IF(OR(E2620="CANCELED",E2620="SUSPECTED_FRAUD",F2620="Shipping canceled"),0,1)</x:f>
        <x:v>1</x:v>
      </x:c>
      <x:c r="K2620" s="6" t="n">
        <x:f>IF(G2620&gt;H2620,1,0)</x:f>
        <x:v>0</x:v>
      </x:c>
      <x:c r="L2620" s="6" t="n">
        <x:f>J2620*K2620</x:f>
        <x:v>0</x:v>
      </x:c>
    </x:row>
    <x:row r="2621">
      <x:c r="A2621" s="1" t="n">
        <x:v>19904</x:v>
      </x:c>
      <x:c r="B2621" s="5" t="d">
        <x:v>2015-10-18T00:00:00.000Z</x:v>
      </x:c>
      <x:c r="C2621" s="1" t="str">
        <x:v>Standard Class</x:v>
      </x:c>
      <x:c r="D2621" s="1" t="str">
        <x:v>Europe</x:v>
      </x:c>
      <x:c r="E2621" s="1" t="str">
        <x:v>PENDING_PAYMENT</x:v>
      </x:c>
      <x:c r="F2621" s="1" t="str">
        <x:v>Late delivery</x:v>
      </x:c>
      <x:c r="G2621" s="6" t="n">
        <x:v>5</x:v>
      </x:c>
      <x:c r="H2621" s="6" t="n">
        <x:v>4</x:v>
      </x:c>
      <x:c r="I2621" s="6" t="n">
        <x:f>G2621-H2621</x:f>
        <x:v>1</x:v>
      </x:c>
      <x:c r="J2621" s="6" t="n">
        <x:f>IF(OR(E2621="CANCELED",E2621="SUSPECTED_FRAUD",F2621="Shipping canceled"),0,1)</x:f>
        <x:v>1</x:v>
      </x:c>
      <x:c r="K2621" s="6" t="n">
        <x:f>IF(G2621&gt;H2621,1,0)</x:f>
        <x:v>1</x:v>
      </x:c>
      <x:c r="L2621" s="6" t="n">
        <x:f>J2621*K2621</x:f>
        <x:v>1</x:v>
      </x:c>
    </x:row>
    <x:row r="2622">
      <x:c r="A2622" s="1" t="n">
        <x:v>19905</x:v>
      </x:c>
      <x:c r="B2622" s="5" t="d">
        <x:v>2015-10-18T00:00:00.000Z</x:v>
      </x:c>
      <x:c r="C2622" s="1" t="str">
        <x:v>Second Class</x:v>
      </x:c>
      <x:c r="D2622" s="1" t="str">
        <x:v>Europe</x:v>
      </x:c>
      <x:c r="E2622" s="1" t="str">
        <x:v>PROCESSING</x:v>
      </x:c>
      <x:c r="F2622" s="1" t="str">
        <x:v>Late delivery</x:v>
      </x:c>
      <x:c r="G2622" s="6" t="n">
        <x:v>6</x:v>
      </x:c>
      <x:c r="H2622" s="6" t="n">
        <x:v>2</x:v>
      </x:c>
      <x:c r="I2622" s="6" t="n">
        <x:f>G2622-H2622</x:f>
        <x:v>4</x:v>
      </x:c>
      <x:c r="J2622" s="6" t="n">
        <x:f>IF(OR(E2622="CANCELED",E2622="SUSPECTED_FRAUD",F2622="Shipping canceled"),0,1)</x:f>
        <x:v>1</x:v>
      </x:c>
      <x:c r="K2622" s="6" t="n">
        <x:f>IF(G2622&gt;H2622,1,0)</x:f>
        <x:v>1</x:v>
      </x:c>
      <x:c r="L2622" s="6" t="n">
        <x:f>J2622*K2622</x:f>
        <x:v>1</x:v>
      </x:c>
    </x:row>
    <x:row r="2623">
      <x:c r="A2623" s="1" t="n">
        <x:v>19911</x:v>
      </x:c>
      <x:c r="B2623" s="5" t="d">
        <x:v>2015-10-18T00:00:00.000Z</x:v>
      </x:c>
      <x:c r="C2623" s="1" t="str">
        <x:v>First Class</x:v>
      </x:c>
      <x:c r="D2623" s="1" t="str">
        <x:v>Europe</x:v>
      </x:c>
      <x:c r="E2623" s="1" t="str">
        <x:v>CLOSED</x:v>
      </x:c>
      <x:c r="F2623" s="1" t="str">
        <x:v>Late delivery</x:v>
      </x:c>
      <x:c r="G2623" s="6" t="n">
        <x:v>2</x:v>
      </x:c>
      <x:c r="H2623" s="6" t="n">
        <x:v>1</x:v>
      </x:c>
      <x:c r="I2623" s="6" t="n">
        <x:f>G2623-H2623</x:f>
        <x:v>1</x:v>
      </x:c>
      <x:c r="J2623" s="6" t="n">
        <x:f>IF(OR(E2623="CANCELED",E2623="SUSPECTED_FRAUD",F2623="Shipping canceled"),0,1)</x:f>
        <x:v>1</x:v>
      </x:c>
      <x:c r="K2623" s="6" t="n">
        <x:f>IF(G2623&gt;H2623,1,0)</x:f>
        <x:v>1</x:v>
      </x:c>
      <x:c r="L2623" s="6" t="n">
        <x:f>J2623*K2623</x:f>
        <x:v>1</x:v>
      </x:c>
    </x:row>
    <x:row r="2624">
      <x:c r="A2624" s="1" t="n">
        <x:v>19914</x:v>
      </x:c>
      <x:c r="B2624" s="5" t="d">
        <x:v>2015-10-18T00:00:00.000Z</x:v>
      </x:c>
      <x:c r="C2624" s="1" t="str">
        <x:v>Standard Class</x:v>
      </x:c>
      <x:c r="D2624" s="1" t="str">
        <x:v>Europe</x:v>
      </x:c>
      <x:c r="E2624" s="1" t="str">
        <x:v>COMPLETE</x:v>
      </x:c>
      <x:c r="F2624" s="1" t="str">
        <x:v>Late delivery</x:v>
      </x:c>
      <x:c r="G2624" s="6" t="n">
        <x:v>5</x:v>
      </x:c>
      <x:c r="H2624" s="6" t="n">
        <x:v>4</x:v>
      </x:c>
      <x:c r="I2624" s="6" t="n">
        <x:f>G2624-H2624</x:f>
        <x:v>1</x:v>
      </x:c>
      <x:c r="J2624" s="6" t="n">
        <x:f>IF(OR(E2624="CANCELED",E2624="SUSPECTED_FRAUD",F2624="Shipping canceled"),0,1)</x:f>
        <x:v>1</x:v>
      </x:c>
      <x:c r="K2624" s="6" t="n">
        <x:f>IF(G2624&gt;H2624,1,0)</x:f>
        <x:v>1</x:v>
      </x:c>
      <x:c r="L2624" s="6" t="n">
        <x:f>J2624*K2624</x:f>
        <x:v>1</x:v>
      </x:c>
    </x:row>
    <x:row r="2625">
      <x:c r="A2625" s="1" t="n">
        <x:v>19915</x:v>
      </x:c>
      <x:c r="B2625" s="5" t="d">
        <x:v>2015-10-18T00:00:00.000Z</x:v>
      </x:c>
      <x:c r="C2625" s="1" t="str">
        <x:v>Standard Class</x:v>
      </x:c>
      <x:c r="D2625" s="1" t="str">
        <x:v>Europe</x:v>
      </x:c>
      <x:c r="E2625" s="1" t="str">
        <x:v>PENDING_PAYMENT</x:v>
      </x:c>
      <x:c r="F2625" s="1" t="str">
        <x:v>Late delivery</x:v>
      </x:c>
      <x:c r="G2625" s="6" t="n">
        <x:v>6</x:v>
      </x:c>
      <x:c r="H2625" s="6" t="n">
        <x:v>4</x:v>
      </x:c>
      <x:c r="I2625" s="6" t="n">
        <x:f>G2625-H2625</x:f>
        <x:v>2</x:v>
      </x:c>
      <x:c r="J2625" s="6" t="n">
        <x:f>IF(OR(E2625="CANCELED",E2625="SUSPECTED_FRAUD",F2625="Shipping canceled"),0,1)</x:f>
        <x:v>1</x:v>
      </x:c>
      <x:c r="K2625" s="6" t="n">
        <x:f>IF(G2625&gt;H2625,1,0)</x:f>
        <x:v>1</x:v>
      </x:c>
      <x:c r="L2625" s="6" t="n">
        <x:f>J2625*K2625</x:f>
        <x:v>1</x:v>
      </x:c>
    </x:row>
    <x:row r="2626">
      <x:c r="A2626" s="1" t="n">
        <x:v>19921</x:v>
      </x:c>
      <x:c r="B2626" s="5" t="d">
        <x:v>2015-10-18T00:00:00.000Z</x:v>
      </x:c>
      <x:c r="C2626" s="1" t="str">
        <x:v>Second Class</x:v>
      </x:c>
      <x:c r="D2626" s="1" t="str">
        <x:v>Europe</x:v>
      </x:c>
      <x:c r="E2626" s="1" t="str">
        <x:v>PENDING</x:v>
      </x:c>
      <x:c r="F2626" s="1" t="str">
        <x:v>Shipping on time</x:v>
      </x:c>
      <x:c r="G2626" s="6" t="n">
        <x:v>2</x:v>
      </x:c>
      <x:c r="H2626" s="6" t="n">
        <x:v>2</x:v>
      </x:c>
      <x:c r="I2626" s="6" t="n">
        <x:f>G2626-H2626</x:f>
        <x:v>0</x:v>
      </x:c>
      <x:c r="J2626" s="6" t="n">
        <x:f>IF(OR(E2626="CANCELED",E2626="SUSPECTED_FRAUD",F2626="Shipping canceled"),0,1)</x:f>
        <x:v>1</x:v>
      </x:c>
      <x:c r="K2626" s="6" t="n">
        <x:f>IF(G2626&gt;H2626,1,0)</x:f>
        <x:v>0</x:v>
      </x:c>
      <x:c r="L2626" s="6" t="n">
        <x:f>J2626*K2626</x:f>
        <x:v>0</x:v>
      </x:c>
    </x:row>
    <x:row r="2627">
      <x:c r="A2627" s="1" t="n">
        <x:v>19924</x:v>
      </x:c>
      <x:c r="B2627" s="5" t="d">
        <x:v>2015-10-18T00:00:00.000Z</x:v>
      </x:c>
      <x:c r="C2627" s="1" t="str">
        <x:v>Standard Class</x:v>
      </x:c>
      <x:c r="D2627" s="1" t="str">
        <x:v>Europe</x:v>
      </x:c>
      <x:c r="E2627" s="1" t="str">
        <x:v>PENDING</x:v>
      </x:c>
      <x:c r="F2627" s="1" t="str">
        <x:v>Late delivery</x:v>
      </x:c>
      <x:c r="G2627" s="6" t="n">
        <x:v>5</x:v>
      </x:c>
      <x:c r="H2627" s="6" t="n">
        <x:v>4</x:v>
      </x:c>
      <x:c r="I2627" s="6" t="n">
        <x:f>G2627-H2627</x:f>
        <x:v>1</x:v>
      </x:c>
      <x:c r="J2627" s="6" t="n">
        <x:f>IF(OR(E2627="CANCELED",E2627="SUSPECTED_FRAUD",F2627="Shipping canceled"),0,1)</x:f>
        <x:v>1</x:v>
      </x:c>
      <x:c r="K2627" s="6" t="n">
        <x:f>IF(G2627&gt;H2627,1,0)</x:f>
        <x:v>1</x:v>
      </x:c>
      <x:c r="L2627" s="6" t="n">
        <x:f>J2627*K2627</x:f>
        <x:v>1</x:v>
      </x:c>
    </x:row>
    <x:row r="2628">
      <x:c r="A2628" s="1" t="n">
        <x:v>19930</x:v>
      </x:c>
      <x:c r="B2628" s="5" t="d">
        <x:v>2015-10-18T00:00:00.000Z</x:v>
      </x:c>
      <x:c r="C2628" s="1" t="str">
        <x:v>Standard Class</x:v>
      </x:c>
      <x:c r="D2628" s="1" t="str">
        <x:v>Europe</x:v>
      </x:c>
      <x:c r="E2628" s="1" t="str">
        <x:v>PENDING</x:v>
      </x:c>
      <x:c r="F2628" s="1" t="str">
        <x:v>Late delivery</x:v>
      </x:c>
      <x:c r="G2628" s="6" t="n">
        <x:v>6</x:v>
      </x:c>
      <x:c r="H2628" s="6" t="n">
        <x:v>4</x:v>
      </x:c>
      <x:c r="I2628" s="6" t="n">
        <x:f>G2628-H2628</x:f>
        <x:v>2</x:v>
      </x:c>
      <x:c r="J2628" s="6" t="n">
        <x:f>IF(OR(E2628="CANCELED",E2628="SUSPECTED_FRAUD",F2628="Shipping canceled"),0,1)</x:f>
        <x:v>1</x:v>
      </x:c>
      <x:c r="K2628" s="6" t="n">
        <x:f>IF(G2628&gt;H2628,1,0)</x:f>
        <x:v>1</x:v>
      </x:c>
      <x:c r="L2628" s="6" t="n">
        <x:f>J2628*K2628</x:f>
        <x:v>1</x:v>
      </x:c>
    </x:row>
    <x:row r="2629">
      <x:c r="A2629" s="1" t="n">
        <x:v>19952</x:v>
      </x:c>
      <x:c r="B2629" s="5" t="d">
        <x:v>2015-10-19T00:00:00.000Z</x:v>
      </x:c>
      <x:c r="C2629" s="1" t="str">
        <x:v>Standard Class</x:v>
      </x:c>
      <x:c r="D2629" s="1" t="str">
        <x:v>Europe</x:v>
      </x:c>
      <x:c r="E2629" s="1" t="str">
        <x:v>COMPLETE</x:v>
      </x:c>
      <x:c r="F2629" s="1" t="str">
        <x:v>Advance shipping</x:v>
      </x:c>
      <x:c r="G2629" s="6" t="n">
        <x:v>3</x:v>
      </x:c>
      <x:c r="H2629" s="6" t="n">
        <x:v>4</x:v>
      </x:c>
      <x:c r="I2629" s="6" t="n">
        <x:f>G2629-H2629</x:f>
        <x:v>-1</x:v>
      </x:c>
      <x:c r="J2629" s="6" t="n">
        <x:f>IF(OR(E2629="CANCELED",E2629="SUSPECTED_FRAUD",F2629="Shipping canceled"),0,1)</x:f>
        <x:v>1</x:v>
      </x:c>
      <x:c r="K2629" s="6" t="n">
        <x:f>IF(G2629&gt;H2629,1,0)</x:f>
        <x:v>0</x:v>
      </x:c>
      <x:c r="L2629" s="6" t="n">
        <x:f>J2629*K2629</x:f>
        <x:v>0</x:v>
      </x:c>
    </x:row>
    <x:row r="2630">
      <x:c r="A2630" s="1" t="n">
        <x:v>19954</x:v>
      </x:c>
      <x:c r="B2630" s="5" t="d">
        <x:v>2015-10-19T00:00:00.000Z</x:v>
      </x:c>
      <x:c r="C2630" s="1" t="str">
        <x:v>Standard Class</x:v>
      </x:c>
      <x:c r="D2630" s="1" t="str">
        <x:v>Europe</x:v>
      </x:c>
      <x:c r="E2630" s="1" t="str">
        <x:v>COMPLETE</x:v>
      </x:c>
      <x:c r="F2630" s="1" t="str">
        <x:v>Late delivery</x:v>
      </x:c>
      <x:c r="G2630" s="6" t="n">
        <x:v>5</x:v>
      </x:c>
      <x:c r="H2630" s="6" t="n">
        <x:v>4</x:v>
      </x:c>
      <x:c r="I2630" s="6" t="n">
        <x:f>G2630-H2630</x:f>
        <x:v>1</x:v>
      </x:c>
      <x:c r="J2630" s="6" t="n">
        <x:f>IF(OR(E2630="CANCELED",E2630="SUSPECTED_FRAUD",F2630="Shipping canceled"),0,1)</x:f>
        <x:v>1</x:v>
      </x:c>
      <x:c r="K2630" s="6" t="n">
        <x:f>IF(G2630&gt;H2630,1,0)</x:f>
        <x:v>1</x:v>
      </x:c>
      <x:c r="L2630" s="6" t="n">
        <x:f>J2630*K2630</x:f>
        <x:v>1</x:v>
      </x:c>
    </x:row>
    <x:row r="2631">
      <x:c r="A2631" s="1" t="n">
        <x:v>19956</x:v>
      </x:c>
      <x:c r="B2631" s="5" t="d">
        <x:v>2015-10-19T00:00:00.000Z</x:v>
      </x:c>
      <x:c r="C2631" s="1" t="str">
        <x:v>Second Class</x:v>
      </x:c>
      <x:c r="D2631" s="1" t="str">
        <x:v>Europe</x:v>
      </x:c>
      <x:c r="E2631" s="1" t="str">
        <x:v>CLOSED</x:v>
      </x:c>
      <x:c r="F2631" s="1" t="str">
        <x:v>Shipping on time</x:v>
      </x:c>
      <x:c r="G2631" s="6" t="n">
        <x:v>2</x:v>
      </x:c>
      <x:c r="H2631" s="6" t="n">
        <x:v>2</x:v>
      </x:c>
      <x:c r="I2631" s="6" t="n">
        <x:f>G2631-H2631</x:f>
        <x:v>0</x:v>
      </x:c>
      <x:c r="J2631" s="6" t="n">
        <x:f>IF(OR(E2631="CANCELED",E2631="SUSPECTED_FRAUD",F2631="Shipping canceled"),0,1)</x:f>
        <x:v>1</x:v>
      </x:c>
      <x:c r="K2631" s="6" t="n">
        <x:f>IF(G2631&gt;H2631,1,0)</x:f>
        <x:v>0</x:v>
      </x:c>
      <x:c r="L2631" s="6" t="n">
        <x:f>J2631*K2631</x:f>
        <x:v>0</x:v>
      </x:c>
    </x:row>
    <x:row r="2632">
      <x:c r="A2632" s="1" t="n">
        <x:v>19973</x:v>
      </x:c>
      <x:c r="B2632" s="5" t="d">
        <x:v>2015-10-19T00:00:00.000Z</x:v>
      </x:c>
      <x:c r="C2632" s="1" t="str">
        <x:v>Standard Class</x:v>
      </x:c>
      <x:c r="D2632" s="1" t="str">
        <x:v>Europe</x:v>
      </x:c>
      <x:c r="E2632" s="1" t="str">
        <x:v>COMPLETE</x:v>
      </x:c>
      <x:c r="F2632" s="1" t="str">
        <x:v>Shipping on time</x:v>
      </x:c>
      <x:c r="G2632" s="6" t="n">
        <x:v>4</x:v>
      </x:c>
      <x:c r="H2632" s="6" t="n">
        <x:v>4</x:v>
      </x:c>
      <x:c r="I2632" s="6" t="n">
        <x:f>G2632-H2632</x:f>
        <x:v>0</x:v>
      </x:c>
      <x:c r="J2632" s="6" t="n">
        <x:f>IF(OR(E2632="CANCELED",E2632="SUSPECTED_FRAUD",F2632="Shipping canceled"),0,1)</x:f>
        <x:v>1</x:v>
      </x:c>
      <x:c r="K2632" s="6" t="n">
        <x:f>IF(G2632&gt;H2632,1,0)</x:f>
        <x:v>0</x:v>
      </x:c>
      <x:c r="L2632" s="6" t="n">
        <x:f>J2632*K2632</x:f>
        <x:v>0</x:v>
      </x:c>
    </x:row>
    <x:row r="2633">
      <x:c r="A2633" s="1" t="n">
        <x:v>19989</x:v>
      </x:c>
      <x:c r="B2633" s="5" t="d">
        <x:v>2015-10-19T00:00:00.000Z</x:v>
      </x:c>
      <x:c r="C2633" s="1" t="str">
        <x:v>Standard Class</x:v>
      </x:c>
      <x:c r="D2633" s="1" t="str">
        <x:v>Europe</x:v>
      </x:c>
      <x:c r="E2633" s="1" t="str">
        <x:v>COMPLETE</x:v>
      </x:c>
      <x:c r="F2633" s="1" t="str">
        <x:v>Late delivery</x:v>
      </x:c>
      <x:c r="G2633" s="6" t="n">
        <x:v>5</x:v>
      </x:c>
      <x:c r="H2633" s="6" t="n">
        <x:v>4</x:v>
      </x:c>
      <x:c r="I2633" s="6" t="n">
        <x:f>G2633-H2633</x:f>
        <x:v>1</x:v>
      </x:c>
      <x:c r="J2633" s="6" t="n">
        <x:f>IF(OR(E2633="CANCELED",E2633="SUSPECTED_FRAUD",F2633="Shipping canceled"),0,1)</x:f>
        <x:v>1</x:v>
      </x:c>
      <x:c r="K2633" s="6" t="n">
        <x:f>IF(G2633&gt;H2633,1,0)</x:f>
        <x:v>1</x:v>
      </x:c>
      <x:c r="L2633" s="6" t="n">
        <x:f>J2633*K2633</x:f>
        <x:v>1</x:v>
      </x:c>
    </x:row>
    <x:row r="2634">
      <x:c r="A2634" s="1" t="n">
        <x:v>20002</x:v>
      </x:c>
      <x:c r="B2634" s="5" t="d">
        <x:v>2015-10-19T00:00:00.000Z</x:v>
      </x:c>
      <x:c r="C2634" s="1" t="str">
        <x:v>Standard Class</x:v>
      </x:c>
      <x:c r="D2634" s="1" t="str">
        <x:v>Europe</x:v>
      </x:c>
      <x:c r="E2634" s="1" t="str">
        <x:v>SUSPECTED_FRAUD</x:v>
      </x:c>
      <x:c r="F2634" s="1" t="str">
        <x:v>Shipping canceled</x:v>
      </x:c>
      <x:c r="G2634" s="6" t="n">
        <x:v>3</x:v>
      </x:c>
      <x:c r="H2634" s="6" t="n">
        <x:v>4</x:v>
      </x:c>
      <x:c r="I2634" s="6" t="n">
        <x:f>G2634-H2634</x:f>
        <x:v>-1</x:v>
      </x:c>
      <x:c r="J2634" s="6" t="n">
        <x:f>IF(OR(E2634="CANCELED",E2634="SUSPECTED_FRAUD",F2634="Shipping canceled"),0,1)</x:f>
        <x:v>0</x:v>
      </x:c>
      <x:c r="K2634" s="6" t="n">
        <x:f>IF(G2634&gt;H2634,1,0)</x:f>
        <x:v>0</x:v>
      </x:c>
      <x:c r="L2634" s="6" t="n">
        <x:f>J2634*K2634</x:f>
        <x:v>0</x:v>
      </x:c>
    </x:row>
    <x:row r="2635">
      <x:c r="A2635" s="1" t="n">
        <x:v>20005</x:v>
      </x:c>
      <x:c r="B2635" s="5" t="d">
        <x:v>2015-10-20T00:00:00.000Z</x:v>
      </x:c>
      <x:c r="C2635" s="1" t="str">
        <x:v>Standard Class</x:v>
      </x:c>
      <x:c r="D2635" s="1" t="str">
        <x:v>Europe</x:v>
      </x:c>
      <x:c r="E2635" s="1" t="str">
        <x:v>PROCESSING</x:v>
      </x:c>
      <x:c r="F2635" s="1" t="str">
        <x:v>Late delivery</x:v>
      </x:c>
      <x:c r="G2635" s="6" t="n">
        <x:v>6</x:v>
      </x:c>
      <x:c r="H2635" s="6" t="n">
        <x:v>4</x:v>
      </x:c>
      <x:c r="I2635" s="6" t="n">
        <x:f>G2635-H2635</x:f>
        <x:v>2</x:v>
      </x:c>
      <x:c r="J2635" s="6" t="n">
        <x:f>IF(OR(E2635="CANCELED",E2635="SUSPECTED_FRAUD",F2635="Shipping canceled"),0,1)</x:f>
        <x:v>1</x:v>
      </x:c>
      <x:c r="K2635" s="6" t="n">
        <x:f>IF(G2635&gt;H2635,1,0)</x:f>
        <x:v>1</x:v>
      </x:c>
      <x:c r="L2635" s="6" t="n">
        <x:f>J2635*K2635</x:f>
        <x:v>1</x:v>
      </x:c>
    </x:row>
    <x:row r="2636">
      <x:c r="A2636" s="1" t="n">
        <x:v>20008</x:v>
      </x:c>
      <x:c r="B2636" s="5" t="d">
        <x:v>2015-10-20T00:00:00.000Z</x:v>
      </x:c>
      <x:c r="C2636" s="1" t="str">
        <x:v>Standard Class</x:v>
      </x:c>
      <x:c r="D2636" s="1" t="str">
        <x:v>Europe</x:v>
      </x:c>
      <x:c r="E2636" s="1" t="str">
        <x:v>COMPLETE</x:v>
      </x:c>
      <x:c r="F2636" s="1" t="str">
        <x:v>Shipping on time</x:v>
      </x:c>
      <x:c r="G2636" s="6" t="n">
        <x:v>4</x:v>
      </x:c>
      <x:c r="H2636" s="6" t="n">
        <x:v>4</x:v>
      </x:c>
      <x:c r="I2636" s="6" t="n">
        <x:f>G2636-H2636</x:f>
        <x:v>0</x:v>
      </x:c>
      <x:c r="J2636" s="6" t="n">
        <x:f>IF(OR(E2636="CANCELED",E2636="SUSPECTED_FRAUD",F2636="Shipping canceled"),0,1)</x:f>
        <x:v>1</x:v>
      </x:c>
      <x:c r="K2636" s="6" t="n">
        <x:f>IF(G2636&gt;H2636,1,0)</x:f>
        <x:v>0</x:v>
      </x:c>
      <x:c r="L2636" s="6" t="n">
        <x:f>J2636*K2636</x:f>
        <x:v>0</x:v>
      </x:c>
    </x:row>
    <x:row r="2637">
      <x:c r="A2637" s="1" t="n">
        <x:v>20019</x:v>
      </x:c>
      <x:c r="B2637" s="5" t="d">
        <x:v>2015-10-20T00:00:00.000Z</x:v>
      </x:c>
      <x:c r="C2637" s="1" t="str">
        <x:v>Standard Class</x:v>
      </x:c>
      <x:c r="D2637" s="1" t="str">
        <x:v>Europe</x:v>
      </x:c>
      <x:c r="E2637" s="1" t="str">
        <x:v>COMPLETE</x:v>
      </x:c>
      <x:c r="F2637" s="1" t="str">
        <x:v>Late delivery</x:v>
      </x:c>
      <x:c r="G2637" s="6" t="n">
        <x:v>5</x:v>
      </x:c>
      <x:c r="H2637" s="6" t="n">
        <x:v>4</x:v>
      </x:c>
      <x:c r="I2637" s="6" t="n">
        <x:f>G2637-H2637</x:f>
        <x:v>1</x:v>
      </x:c>
      <x:c r="J2637" s="6" t="n">
        <x:f>IF(OR(E2637="CANCELED",E2637="SUSPECTED_FRAUD",F2637="Shipping canceled"),0,1)</x:f>
        <x:v>1</x:v>
      </x:c>
      <x:c r="K2637" s="6" t="n">
        <x:f>IF(G2637&gt;H2637,1,0)</x:f>
        <x:v>1</x:v>
      </x:c>
      <x:c r="L2637" s="6" t="n">
        <x:f>J2637*K2637</x:f>
        <x:v>1</x:v>
      </x:c>
    </x:row>
    <x:row r="2638">
      <x:c r="A2638" s="1" t="n">
        <x:v>20020</x:v>
      </x:c>
      <x:c r="B2638" s="5" t="d">
        <x:v>2015-10-20T00:00:00.000Z</x:v>
      </x:c>
      <x:c r="C2638" s="1" t="str">
        <x:v>Standard Class</x:v>
      </x:c>
      <x:c r="D2638" s="1" t="str">
        <x:v>Europe</x:v>
      </x:c>
      <x:c r="E2638" s="1" t="str">
        <x:v>COMPLETE</x:v>
      </x:c>
      <x:c r="F2638" s="1" t="str">
        <x:v>Late delivery</x:v>
      </x:c>
      <x:c r="G2638" s="6" t="n">
        <x:v>6</x:v>
      </x:c>
      <x:c r="H2638" s="6" t="n">
        <x:v>4</x:v>
      </x:c>
      <x:c r="I2638" s="6" t="n">
        <x:f>G2638-H2638</x:f>
        <x:v>2</x:v>
      </x:c>
      <x:c r="J2638" s="6" t="n">
        <x:f>IF(OR(E2638="CANCELED",E2638="SUSPECTED_FRAUD",F2638="Shipping canceled"),0,1)</x:f>
        <x:v>1</x:v>
      </x:c>
      <x:c r="K2638" s="6" t="n">
        <x:f>IF(G2638&gt;H2638,1,0)</x:f>
        <x:v>1</x:v>
      </x:c>
      <x:c r="L2638" s="6" t="n">
        <x:f>J2638*K2638</x:f>
        <x:v>1</x:v>
      </x:c>
    </x:row>
    <x:row r="2639">
      <x:c r="A2639" s="1" t="n">
        <x:v>20029</x:v>
      </x:c>
      <x:c r="B2639" s="5" t="d">
        <x:v>2015-10-20T00:00:00.000Z</x:v>
      </x:c>
      <x:c r="C2639" s="1" t="str">
        <x:v>First Class</x:v>
      </x:c>
      <x:c r="D2639" s="1" t="str">
        <x:v>Europe</x:v>
      </x:c>
      <x:c r="E2639" s="1" t="str">
        <x:v>CLOSED</x:v>
      </x:c>
      <x:c r="F2639" s="1" t="str">
        <x:v>Late delivery</x:v>
      </x:c>
      <x:c r="G2639" s="6" t="n">
        <x:v>2</x:v>
      </x:c>
      <x:c r="H2639" s="6" t="n">
        <x:v>1</x:v>
      </x:c>
      <x:c r="I2639" s="6" t="n">
        <x:f>G2639-H2639</x:f>
        <x:v>1</x:v>
      </x:c>
      <x:c r="J2639" s="6" t="n">
        <x:f>IF(OR(E2639="CANCELED",E2639="SUSPECTED_FRAUD",F2639="Shipping canceled"),0,1)</x:f>
        <x:v>1</x:v>
      </x:c>
      <x:c r="K2639" s="6" t="n">
        <x:f>IF(G2639&gt;H2639,1,0)</x:f>
        <x:v>1</x:v>
      </x:c>
      <x:c r="L2639" s="6" t="n">
        <x:f>J2639*K2639</x:f>
        <x:v>1</x:v>
      </x:c>
    </x:row>
    <x:row r="2640">
      <x:c r="A2640" s="1" t="n">
        <x:v>20034</x:v>
      </x:c>
      <x:c r="B2640" s="5" t="d">
        <x:v>2015-10-20T00:00:00.000Z</x:v>
      </x:c>
      <x:c r="C2640" s="1" t="str">
        <x:v>Standard Class</x:v>
      </x:c>
      <x:c r="D2640" s="1" t="str">
        <x:v>Europe</x:v>
      </x:c>
      <x:c r="E2640" s="1" t="str">
        <x:v>COMPLETE</x:v>
      </x:c>
      <x:c r="F2640" s="1" t="str">
        <x:v>Late delivery</x:v>
      </x:c>
      <x:c r="G2640" s="6" t="n">
        <x:v>5</x:v>
      </x:c>
      <x:c r="H2640" s="6" t="n">
        <x:v>4</x:v>
      </x:c>
      <x:c r="I2640" s="6" t="n">
        <x:f>G2640-H2640</x:f>
        <x:v>1</x:v>
      </x:c>
      <x:c r="J2640" s="6" t="n">
        <x:f>IF(OR(E2640="CANCELED",E2640="SUSPECTED_FRAUD",F2640="Shipping canceled"),0,1)</x:f>
        <x:v>1</x:v>
      </x:c>
      <x:c r="K2640" s="6" t="n">
        <x:f>IF(G2640&gt;H2640,1,0)</x:f>
        <x:v>1</x:v>
      </x:c>
      <x:c r="L2640" s="6" t="n">
        <x:f>J2640*K2640</x:f>
        <x:v>1</x:v>
      </x:c>
    </x:row>
    <x:row r="2641">
      <x:c r="A2641" s="1" t="n">
        <x:v>20038</x:v>
      </x:c>
      <x:c r="B2641" s="5" t="d">
        <x:v>2015-10-20T00:00:00.000Z</x:v>
      </x:c>
      <x:c r="C2641" s="1" t="str">
        <x:v>Standard Class</x:v>
      </x:c>
      <x:c r="D2641" s="1" t="str">
        <x:v>Europe</x:v>
      </x:c>
      <x:c r="E2641" s="1" t="str">
        <x:v>COMPLETE</x:v>
      </x:c>
      <x:c r="F2641" s="1" t="str">
        <x:v>Shipping on time</x:v>
      </x:c>
      <x:c r="G2641" s="6" t="n">
        <x:v>4</x:v>
      </x:c>
      <x:c r="H2641" s="6" t="n">
        <x:v>4</x:v>
      </x:c>
      <x:c r="I2641" s="6" t="n">
        <x:f>G2641-H2641</x:f>
        <x:v>0</x:v>
      </x:c>
      <x:c r="J2641" s="6" t="n">
        <x:f>IF(OR(E2641="CANCELED",E2641="SUSPECTED_FRAUD",F2641="Shipping canceled"),0,1)</x:f>
        <x:v>1</x:v>
      </x:c>
      <x:c r="K2641" s="6" t="n">
        <x:f>IF(G2641&gt;H2641,1,0)</x:f>
        <x:v>0</x:v>
      </x:c>
      <x:c r="L2641" s="6" t="n">
        <x:f>J2641*K2641</x:f>
        <x:v>0</x:v>
      </x:c>
    </x:row>
    <x:row r="2642">
      <x:c r="A2642" s="1" t="n">
        <x:v>20040</x:v>
      </x:c>
      <x:c r="B2642" s="5" t="d">
        <x:v>2015-10-20T00:00:00.000Z</x:v>
      </x:c>
      <x:c r="C2642" s="1" t="str">
        <x:v>Standard Class</x:v>
      </x:c>
      <x:c r="D2642" s="1" t="str">
        <x:v>Europe</x:v>
      </x:c>
      <x:c r="E2642" s="1" t="str">
        <x:v>PENDING</x:v>
      </x:c>
      <x:c r="F2642" s="1" t="str">
        <x:v>Late delivery</x:v>
      </x:c>
      <x:c r="G2642" s="6" t="n">
        <x:v>6</x:v>
      </x:c>
      <x:c r="H2642" s="6" t="n">
        <x:v>4</x:v>
      </x:c>
      <x:c r="I2642" s="6" t="n">
        <x:f>G2642-H2642</x:f>
        <x:v>2</x:v>
      </x:c>
      <x:c r="J2642" s="6" t="n">
        <x:f>IF(OR(E2642="CANCELED",E2642="SUSPECTED_FRAUD",F2642="Shipping canceled"),0,1)</x:f>
        <x:v>1</x:v>
      </x:c>
      <x:c r="K2642" s="6" t="n">
        <x:f>IF(G2642&gt;H2642,1,0)</x:f>
        <x:v>1</x:v>
      </x:c>
      <x:c r="L2642" s="6" t="n">
        <x:f>J2642*K2642</x:f>
        <x:v>1</x:v>
      </x:c>
    </x:row>
    <x:row r="2643">
      <x:c r="A2643" s="1" t="n">
        <x:v>20042</x:v>
      </x:c>
      <x:c r="B2643" s="5" t="d">
        <x:v>2015-10-20T00:00:00.000Z</x:v>
      </x:c>
      <x:c r="C2643" s="1" t="str">
        <x:v>Standard Class</x:v>
      </x:c>
      <x:c r="D2643" s="1" t="str">
        <x:v>Europe</x:v>
      </x:c>
      <x:c r="E2643" s="1" t="str">
        <x:v>CANCELED</x:v>
      </x:c>
      <x:c r="F2643" s="1" t="str">
        <x:v>Shipping canceled</x:v>
      </x:c>
      <x:c r="G2643" s="6" t="n">
        <x:v>3</x:v>
      </x:c>
      <x:c r="H2643" s="6" t="n">
        <x:v>4</x:v>
      </x:c>
      <x:c r="I2643" s="6" t="n">
        <x:f>G2643-H2643</x:f>
        <x:v>-1</x:v>
      </x:c>
      <x:c r="J2643" s="6" t="n">
        <x:f>IF(OR(E2643="CANCELED",E2643="SUSPECTED_FRAUD",F2643="Shipping canceled"),0,1)</x:f>
        <x:v>0</x:v>
      </x:c>
      <x:c r="K2643" s="6" t="n">
        <x:f>IF(G2643&gt;H2643,1,0)</x:f>
        <x:v>0</x:v>
      </x:c>
      <x:c r="L2643" s="6" t="n">
        <x:f>J2643*K2643</x:f>
        <x:v>0</x:v>
      </x:c>
    </x:row>
    <x:row r="2644">
      <x:c r="A2644" s="1" t="n">
        <x:v>20047</x:v>
      </x:c>
      <x:c r="B2644" s="5" t="d">
        <x:v>2015-10-20T00:00:00.000Z</x:v>
      </x:c>
      <x:c r="C2644" s="1" t="str">
        <x:v>Standard Class</x:v>
      </x:c>
      <x:c r="D2644" s="1" t="str">
        <x:v>Europe</x:v>
      </x:c>
      <x:c r="E2644" s="1" t="str">
        <x:v>COMPLETE</x:v>
      </x:c>
      <x:c r="F2644" s="1" t="str">
        <x:v>Advance shipping</x:v>
      </x:c>
      <x:c r="G2644" s="6" t="n">
        <x:v>3</x:v>
      </x:c>
      <x:c r="H2644" s="6" t="n">
        <x:v>4</x:v>
      </x:c>
      <x:c r="I2644" s="6" t="n">
        <x:f>G2644-H2644</x:f>
        <x:v>-1</x:v>
      </x:c>
      <x:c r="J2644" s="6" t="n">
        <x:f>IF(OR(E2644="CANCELED",E2644="SUSPECTED_FRAUD",F2644="Shipping canceled"),0,1)</x:f>
        <x:v>1</x:v>
      </x:c>
      <x:c r="K2644" s="6" t="n">
        <x:f>IF(G2644&gt;H2644,1,0)</x:f>
        <x:v>0</x:v>
      </x:c>
      <x:c r="L2644" s="6" t="n">
        <x:f>J2644*K2644</x:f>
        <x:v>0</x:v>
      </x:c>
    </x:row>
    <x:row r="2645">
      <x:c r="A2645" s="1" t="n">
        <x:v>20051</x:v>
      </x:c>
      <x:c r="B2645" s="5" t="d">
        <x:v>2015-10-20T00:00:00.000Z</x:v>
      </x:c>
      <x:c r="C2645" s="1" t="str">
        <x:v>Standard Class</x:v>
      </x:c>
      <x:c r="D2645" s="1" t="str">
        <x:v>Europe</x:v>
      </x:c>
      <x:c r="E2645" s="1" t="str">
        <x:v>COMPLETE</x:v>
      </x:c>
      <x:c r="F2645" s="1" t="str">
        <x:v>Advance shipping</x:v>
      </x:c>
      <x:c r="G2645" s="6" t="n">
        <x:v>2</x:v>
      </x:c>
      <x:c r="H2645" s="6" t="n">
        <x:v>4</x:v>
      </x:c>
      <x:c r="I2645" s="6" t="n">
        <x:f>G2645-H2645</x:f>
        <x:v>-2</x:v>
      </x:c>
      <x:c r="J2645" s="6" t="n">
        <x:f>IF(OR(E2645="CANCELED",E2645="SUSPECTED_FRAUD",F2645="Shipping canceled"),0,1)</x:f>
        <x:v>1</x:v>
      </x:c>
      <x:c r="K2645" s="6" t="n">
        <x:f>IF(G2645&gt;H2645,1,0)</x:f>
        <x:v>0</x:v>
      </x:c>
      <x:c r="L2645" s="6" t="n">
        <x:f>J2645*K2645</x:f>
        <x:v>0</x:v>
      </x:c>
    </x:row>
    <x:row r="2646">
      <x:c r="A2646" s="1" t="n">
        <x:v>20072</x:v>
      </x:c>
      <x:c r="B2646" s="5" t="d">
        <x:v>2015-10-20T00:00:00.000Z</x:v>
      </x:c>
      <x:c r="C2646" s="1" t="str">
        <x:v>Second Class</x:v>
      </x:c>
      <x:c r="D2646" s="1" t="str">
        <x:v>Europe</x:v>
      </x:c>
      <x:c r="E2646" s="1" t="str">
        <x:v>COMPLETE</x:v>
      </x:c>
      <x:c r="F2646" s="1" t="str">
        <x:v>Late delivery</x:v>
      </x:c>
      <x:c r="G2646" s="6" t="n">
        <x:v>3</x:v>
      </x:c>
      <x:c r="H2646" s="6" t="n">
        <x:v>2</x:v>
      </x:c>
      <x:c r="I2646" s="6" t="n">
        <x:f>G2646-H2646</x:f>
        <x:v>1</x:v>
      </x:c>
      <x:c r="J2646" s="6" t="n">
        <x:f>IF(OR(E2646="CANCELED",E2646="SUSPECTED_FRAUD",F2646="Shipping canceled"),0,1)</x:f>
        <x:v>1</x:v>
      </x:c>
      <x:c r="K2646" s="6" t="n">
        <x:f>IF(G2646&gt;H2646,1,0)</x:f>
        <x:v>1</x:v>
      </x:c>
      <x:c r="L2646" s="6" t="n">
        <x:f>J2646*K2646</x:f>
        <x:v>1</x:v>
      </x:c>
    </x:row>
    <x:row r="2647">
      <x:c r="A2647" s="1" t="n">
        <x:v>20076</x:v>
      </x:c>
      <x:c r="B2647" s="5" t="d">
        <x:v>2015-10-21T00:00:00.000Z</x:v>
      </x:c>
      <x:c r="C2647" s="1" t="str">
        <x:v>Standard Class</x:v>
      </x:c>
      <x:c r="D2647" s="1" t="str">
        <x:v>Europe</x:v>
      </x:c>
      <x:c r="E2647" s="1" t="str">
        <x:v>COMPLETE</x:v>
      </x:c>
      <x:c r="F2647" s="1" t="str">
        <x:v>Advance shipping</x:v>
      </x:c>
      <x:c r="G2647" s="6" t="n">
        <x:v>2</x:v>
      </x:c>
      <x:c r="H2647" s="6" t="n">
        <x:v>4</x:v>
      </x:c>
      <x:c r="I2647" s="6" t="n">
        <x:f>G2647-H2647</x:f>
        <x:v>-2</x:v>
      </x:c>
      <x:c r="J2647" s="6" t="n">
        <x:f>IF(OR(E2647="CANCELED",E2647="SUSPECTED_FRAUD",F2647="Shipping canceled"),0,1)</x:f>
        <x:v>1</x:v>
      </x:c>
      <x:c r="K2647" s="6" t="n">
        <x:f>IF(G2647&gt;H2647,1,0)</x:f>
        <x:v>0</x:v>
      </x:c>
      <x:c r="L2647" s="6" t="n">
        <x:f>J2647*K2647</x:f>
        <x:v>0</x:v>
      </x:c>
    </x:row>
    <x:row r="2648">
      <x:c r="A2648" s="1" t="n">
        <x:v>20077</x:v>
      </x:c>
      <x:c r="B2648" s="5" t="d">
        <x:v>2015-10-21T00:00:00.000Z</x:v>
      </x:c>
      <x:c r="C2648" s="1" t="str">
        <x:v>First Class</x:v>
      </x:c>
      <x:c r="D2648" s="1" t="str">
        <x:v>Europe</x:v>
      </x:c>
      <x:c r="E2648" s="1" t="str">
        <x:v>CLOSED</x:v>
      </x:c>
      <x:c r="F2648" s="1" t="str">
        <x:v>Late delivery</x:v>
      </x:c>
      <x:c r="G2648" s="6" t="n">
        <x:v>2</x:v>
      </x:c>
      <x:c r="H2648" s="6" t="n">
        <x:v>1</x:v>
      </x:c>
      <x:c r="I2648" s="6" t="n">
        <x:f>G2648-H2648</x:f>
        <x:v>1</x:v>
      </x:c>
      <x:c r="J2648" s="6" t="n">
        <x:f>IF(OR(E2648="CANCELED",E2648="SUSPECTED_FRAUD",F2648="Shipping canceled"),0,1)</x:f>
        <x:v>1</x:v>
      </x:c>
      <x:c r="K2648" s="6" t="n">
        <x:f>IF(G2648&gt;H2648,1,0)</x:f>
        <x:v>1</x:v>
      </x:c>
      <x:c r="L2648" s="6" t="n">
        <x:f>J2648*K2648</x:f>
        <x:v>1</x:v>
      </x:c>
    </x:row>
    <x:row r="2649">
      <x:c r="A2649" s="1" t="n">
        <x:v>20085</x:v>
      </x:c>
      <x:c r="B2649" s="5" t="d">
        <x:v>2015-10-21T00:00:00.000Z</x:v>
      </x:c>
      <x:c r="C2649" s="1" t="str">
        <x:v>Second Class</x:v>
      </x:c>
      <x:c r="D2649" s="1" t="str">
        <x:v>Europe</x:v>
      </x:c>
      <x:c r="E2649" s="1" t="str">
        <x:v>COMPLETE</x:v>
      </x:c>
      <x:c r="F2649" s="1" t="str">
        <x:v>Late delivery</x:v>
      </x:c>
      <x:c r="G2649" s="6" t="n">
        <x:v>6</x:v>
      </x:c>
      <x:c r="H2649" s="6" t="n">
        <x:v>2</x:v>
      </x:c>
      <x:c r="I2649" s="6" t="n">
        <x:f>G2649-H2649</x:f>
        <x:v>4</x:v>
      </x:c>
      <x:c r="J2649" s="6" t="n">
        <x:f>IF(OR(E2649="CANCELED",E2649="SUSPECTED_FRAUD",F2649="Shipping canceled"),0,1)</x:f>
        <x:v>1</x:v>
      </x:c>
      <x:c r="K2649" s="6" t="n">
        <x:f>IF(G2649&gt;H2649,1,0)</x:f>
        <x:v>1</x:v>
      </x:c>
      <x:c r="L2649" s="6" t="n">
        <x:f>J2649*K2649</x:f>
        <x:v>1</x:v>
      </x:c>
    </x:row>
    <x:row r="2650">
      <x:c r="A2650" s="1" t="n">
        <x:v>20097</x:v>
      </x:c>
      <x:c r="B2650" s="5" t="d">
        <x:v>2015-10-21T00:00:00.000Z</x:v>
      </x:c>
      <x:c r="C2650" s="1" t="str">
        <x:v>Second Class</x:v>
      </x:c>
      <x:c r="D2650" s="1" t="str">
        <x:v>Europe</x:v>
      </x:c>
      <x:c r="E2650" s="1" t="str">
        <x:v>PROCESSING</x:v>
      </x:c>
      <x:c r="F2650" s="1" t="str">
        <x:v>Late delivery</x:v>
      </x:c>
      <x:c r="G2650" s="6" t="n">
        <x:v>3</x:v>
      </x:c>
      <x:c r="H2650" s="6" t="n">
        <x:v>2</x:v>
      </x:c>
      <x:c r="I2650" s="6" t="n">
        <x:f>G2650-H2650</x:f>
        <x:v>1</x:v>
      </x:c>
      <x:c r="J2650" s="6" t="n">
        <x:f>IF(OR(E2650="CANCELED",E2650="SUSPECTED_FRAUD",F2650="Shipping canceled"),0,1)</x:f>
        <x:v>1</x:v>
      </x:c>
      <x:c r="K2650" s="6" t="n">
        <x:f>IF(G2650&gt;H2650,1,0)</x:f>
        <x:v>1</x:v>
      </x:c>
      <x:c r="L2650" s="6" t="n">
        <x:f>J2650*K2650</x:f>
        <x:v>1</x:v>
      </x:c>
    </x:row>
    <x:row r="2651">
      <x:c r="A2651" s="1" t="n">
        <x:v>20100</x:v>
      </x:c>
      <x:c r="B2651" s="5" t="d">
        <x:v>2015-10-21T00:00:00.000Z</x:v>
      </x:c>
      <x:c r="C2651" s="1" t="str">
        <x:v>Standard Class</x:v>
      </x:c>
      <x:c r="D2651" s="1" t="str">
        <x:v>Europe</x:v>
      </x:c>
      <x:c r="E2651" s="1" t="str">
        <x:v>COMPLETE</x:v>
      </x:c>
      <x:c r="F2651" s="1" t="str">
        <x:v>Late delivery</x:v>
      </x:c>
      <x:c r="G2651" s="6" t="n">
        <x:v>6</x:v>
      </x:c>
      <x:c r="H2651" s="6" t="n">
        <x:v>4</x:v>
      </x:c>
      <x:c r="I2651" s="6" t="n">
        <x:f>G2651-H2651</x:f>
        <x:v>2</x:v>
      </x:c>
      <x:c r="J2651" s="6" t="n">
        <x:f>IF(OR(E2651="CANCELED",E2651="SUSPECTED_FRAUD",F2651="Shipping canceled"),0,1)</x:f>
        <x:v>1</x:v>
      </x:c>
      <x:c r="K2651" s="6" t="n">
        <x:f>IF(G2651&gt;H2651,1,0)</x:f>
        <x:v>1</x:v>
      </x:c>
      <x:c r="L2651" s="6" t="n">
        <x:f>J2651*K2651</x:f>
        <x:v>1</x:v>
      </x:c>
    </x:row>
    <x:row r="2652">
      <x:c r="A2652" s="1" t="n">
        <x:v>20106</x:v>
      </x:c>
      <x:c r="B2652" s="5" t="d">
        <x:v>2015-10-21T00:00:00.000Z</x:v>
      </x:c>
      <x:c r="C2652" s="1" t="str">
        <x:v>Standard Class</x:v>
      </x:c>
      <x:c r="D2652" s="1" t="str">
        <x:v>Europe</x:v>
      </x:c>
      <x:c r="E2652" s="1" t="str">
        <x:v>PENDING_PAYMENT</x:v>
      </x:c>
      <x:c r="F2652" s="1" t="str">
        <x:v>Advance shipping</x:v>
      </x:c>
      <x:c r="G2652" s="6" t="n">
        <x:v>2</x:v>
      </x:c>
      <x:c r="H2652" s="6" t="n">
        <x:v>4</x:v>
      </x:c>
      <x:c r="I2652" s="6" t="n">
        <x:f>G2652-H2652</x:f>
        <x:v>-2</x:v>
      </x:c>
      <x:c r="J2652" s="6" t="n">
        <x:f>IF(OR(E2652="CANCELED",E2652="SUSPECTED_FRAUD",F2652="Shipping canceled"),0,1)</x:f>
        <x:v>1</x:v>
      </x:c>
      <x:c r="K2652" s="6" t="n">
        <x:f>IF(G2652&gt;H2652,1,0)</x:f>
        <x:v>0</x:v>
      </x:c>
      <x:c r="L2652" s="6" t="n">
        <x:f>J2652*K2652</x:f>
        <x:v>0</x:v>
      </x:c>
    </x:row>
    <x:row r="2653">
      <x:c r="A2653" s="1" t="n">
        <x:v>20111</x:v>
      </x:c>
      <x:c r="B2653" s="5" t="d">
        <x:v>2015-10-21T00:00:00.000Z</x:v>
      </x:c>
      <x:c r="C2653" s="1" t="str">
        <x:v>Standard Class</x:v>
      </x:c>
      <x:c r="D2653" s="1" t="str">
        <x:v>Europe</x:v>
      </x:c>
      <x:c r="E2653" s="1" t="str">
        <x:v>CLOSED</x:v>
      </x:c>
      <x:c r="F2653" s="1" t="str">
        <x:v>Advance shipping</x:v>
      </x:c>
      <x:c r="G2653" s="6" t="n">
        <x:v>2</x:v>
      </x:c>
      <x:c r="H2653" s="6" t="n">
        <x:v>4</x:v>
      </x:c>
      <x:c r="I2653" s="6" t="n">
        <x:f>G2653-H2653</x:f>
        <x:v>-2</x:v>
      </x:c>
      <x:c r="J2653" s="6" t="n">
        <x:f>IF(OR(E2653="CANCELED",E2653="SUSPECTED_FRAUD",F2653="Shipping canceled"),0,1)</x:f>
        <x:v>1</x:v>
      </x:c>
      <x:c r="K2653" s="6" t="n">
        <x:f>IF(G2653&gt;H2653,1,0)</x:f>
        <x:v>0</x:v>
      </x:c>
      <x:c r="L2653" s="6" t="n">
        <x:f>J2653*K2653</x:f>
        <x:v>0</x:v>
      </x:c>
    </x:row>
    <x:row r="2654">
      <x:c r="A2654" s="1" t="n">
        <x:v>20112</x:v>
      </x:c>
      <x:c r="B2654" s="5" t="d">
        <x:v>2015-10-21T00:00:00.000Z</x:v>
      </x:c>
      <x:c r="C2654" s="1" t="str">
        <x:v>Standard Class</x:v>
      </x:c>
      <x:c r="D2654" s="1" t="str">
        <x:v>Europe</x:v>
      </x:c>
      <x:c r="E2654" s="1" t="str">
        <x:v>COMPLETE</x:v>
      </x:c>
      <x:c r="F2654" s="1" t="str">
        <x:v>Advance shipping</x:v>
      </x:c>
      <x:c r="G2654" s="6" t="n">
        <x:v>3</x:v>
      </x:c>
      <x:c r="H2654" s="6" t="n">
        <x:v>4</x:v>
      </x:c>
      <x:c r="I2654" s="6" t="n">
        <x:f>G2654-H2654</x:f>
        <x:v>-1</x:v>
      </x:c>
      <x:c r="J2654" s="6" t="n">
        <x:f>IF(OR(E2654="CANCELED",E2654="SUSPECTED_FRAUD",F2654="Shipping canceled"),0,1)</x:f>
        <x:v>1</x:v>
      </x:c>
      <x:c r="K2654" s="6" t="n">
        <x:f>IF(G2654&gt;H2654,1,0)</x:f>
        <x:v>0</x:v>
      </x:c>
      <x:c r="L2654" s="6" t="n">
        <x:f>J2654*K2654</x:f>
        <x:v>0</x:v>
      </x:c>
    </x:row>
    <x:row r="2655">
      <x:c r="A2655" s="1" t="n">
        <x:v>20118</x:v>
      </x:c>
      <x:c r="B2655" s="5" t="d">
        <x:v>2015-10-21T00:00:00.000Z</x:v>
      </x:c>
      <x:c r="C2655" s="1" t="str">
        <x:v>Standard Class</x:v>
      </x:c>
      <x:c r="D2655" s="1" t="str">
        <x:v>Europe</x:v>
      </x:c>
      <x:c r="E2655" s="1" t="str">
        <x:v>COMPLETE</x:v>
      </x:c>
      <x:c r="F2655" s="1" t="str">
        <x:v>Shipping on time</x:v>
      </x:c>
      <x:c r="G2655" s="6" t="n">
        <x:v>4</x:v>
      </x:c>
      <x:c r="H2655" s="6" t="n">
        <x:v>4</x:v>
      </x:c>
      <x:c r="I2655" s="6" t="n">
        <x:f>G2655-H2655</x:f>
        <x:v>0</x:v>
      </x:c>
      <x:c r="J2655" s="6" t="n">
        <x:f>IF(OR(E2655="CANCELED",E2655="SUSPECTED_FRAUD",F2655="Shipping canceled"),0,1)</x:f>
        <x:v>1</x:v>
      </x:c>
      <x:c r="K2655" s="6" t="n">
        <x:f>IF(G2655&gt;H2655,1,0)</x:f>
        <x:v>0</x:v>
      </x:c>
      <x:c r="L2655" s="6" t="n">
        <x:f>J2655*K2655</x:f>
        <x:v>0</x:v>
      </x:c>
    </x:row>
    <x:row r="2656">
      <x:c r="A2656" s="1" t="n">
        <x:v>20120</x:v>
      </x:c>
      <x:c r="B2656" s="5" t="d">
        <x:v>2015-10-21T00:00:00.000Z</x:v>
      </x:c>
      <x:c r="C2656" s="1" t="str">
        <x:v>Standard Class</x:v>
      </x:c>
      <x:c r="D2656" s="1" t="str">
        <x:v>Europe</x:v>
      </x:c>
      <x:c r="E2656" s="1" t="str">
        <x:v>COMPLETE</x:v>
      </x:c>
      <x:c r="F2656" s="1" t="str">
        <x:v>Late delivery</x:v>
      </x:c>
      <x:c r="G2656" s="6" t="n">
        <x:v>6</x:v>
      </x:c>
      <x:c r="H2656" s="6" t="n">
        <x:v>4</x:v>
      </x:c>
      <x:c r="I2656" s="6" t="n">
        <x:f>G2656-H2656</x:f>
        <x:v>2</x:v>
      </x:c>
      <x:c r="J2656" s="6" t="n">
        <x:f>IF(OR(E2656="CANCELED",E2656="SUSPECTED_FRAUD",F2656="Shipping canceled"),0,1)</x:f>
        <x:v>1</x:v>
      </x:c>
      <x:c r="K2656" s="6" t="n">
        <x:f>IF(G2656&gt;H2656,1,0)</x:f>
        <x:v>1</x:v>
      </x:c>
      <x:c r="L2656" s="6" t="n">
        <x:f>J2656*K2656</x:f>
        <x:v>1</x:v>
      </x:c>
    </x:row>
    <x:row r="2657">
      <x:c r="A2657" s="1" t="n">
        <x:v>20124</x:v>
      </x:c>
      <x:c r="B2657" s="5" t="d">
        <x:v>2015-10-21T00:00:00.000Z</x:v>
      </x:c>
      <x:c r="C2657" s="1" t="str">
        <x:v>Standard Class</x:v>
      </x:c>
      <x:c r="D2657" s="1" t="str">
        <x:v>Europe</x:v>
      </x:c>
      <x:c r="E2657" s="1" t="str">
        <x:v>COMPLETE</x:v>
      </x:c>
      <x:c r="F2657" s="1" t="str">
        <x:v>Late delivery</x:v>
      </x:c>
      <x:c r="G2657" s="6" t="n">
        <x:v>5</x:v>
      </x:c>
      <x:c r="H2657" s="6" t="n">
        <x:v>4</x:v>
      </x:c>
      <x:c r="I2657" s="6" t="n">
        <x:f>G2657-H2657</x:f>
        <x:v>1</x:v>
      </x:c>
      <x:c r="J2657" s="6" t="n">
        <x:f>IF(OR(E2657="CANCELED",E2657="SUSPECTED_FRAUD",F2657="Shipping canceled"),0,1)</x:f>
        <x:v>1</x:v>
      </x:c>
      <x:c r="K2657" s="6" t="n">
        <x:f>IF(G2657&gt;H2657,1,0)</x:f>
        <x:v>1</x:v>
      </x:c>
      <x:c r="L2657" s="6" t="n">
        <x:f>J2657*K2657</x:f>
        <x:v>1</x:v>
      </x:c>
    </x:row>
    <x:row r="2658">
      <x:c r="A2658" s="1" t="n">
        <x:v>20131</x:v>
      </x:c>
      <x:c r="B2658" s="5" t="d">
        <x:v>2015-10-21T00:00:00.000Z</x:v>
      </x:c>
      <x:c r="C2658" s="1" t="str">
        <x:v>Standard Class</x:v>
      </x:c>
      <x:c r="D2658" s="1" t="str">
        <x:v>Europe</x:v>
      </x:c>
      <x:c r="E2658" s="1" t="str">
        <x:v>COMPLETE</x:v>
      </x:c>
      <x:c r="F2658" s="1" t="str">
        <x:v>Advance shipping</x:v>
      </x:c>
      <x:c r="G2658" s="6" t="n">
        <x:v>2</x:v>
      </x:c>
      <x:c r="H2658" s="6" t="n">
        <x:v>4</x:v>
      </x:c>
      <x:c r="I2658" s="6" t="n">
        <x:f>G2658-H2658</x:f>
        <x:v>-2</x:v>
      </x:c>
      <x:c r="J2658" s="6" t="n">
        <x:f>IF(OR(E2658="CANCELED",E2658="SUSPECTED_FRAUD",F2658="Shipping canceled"),0,1)</x:f>
        <x:v>1</x:v>
      </x:c>
      <x:c r="K2658" s="6" t="n">
        <x:f>IF(G2658&gt;H2658,1,0)</x:f>
        <x:v>0</x:v>
      </x:c>
      <x:c r="L2658" s="6" t="n">
        <x:f>J2658*K2658</x:f>
        <x:v>0</x:v>
      </x:c>
    </x:row>
    <x:row r="2659">
      <x:c r="A2659" s="1" t="n">
        <x:v>20149</x:v>
      </x:c>
      <x:c r="B2659" s="5" t="d">
        <x:v>2015-10-22T00:00:00.000Z</x:v>
      </x:c>
      <x:c r="C2659" s="1" t="str">
        <x:v>Standard Class</x:v>
      </x:c>
      <x:c r="D2659" s="1" t="str">
        <x:v>Europe</x:v>
      </x:c>
      <x:c r="E2659" s="1" t="str">
        <x:v>COMPLETE</x:v>
      </x:c>
      <x:c r="F2659" s="1" t="str">
        <x:v>Late delivery</x:v>
      </x:c>
      <x:c r="G2659" s="6" t="n">
        <x:v>5</x:v>
      </x:c>
      <x:c r="H2659" s="6" t="n">
        <x:v>4</x:v>
      </x:c>
      <x:c r="I2659" s="6" t="n">
        <x:f>G2659-H2659</x:f>
        <x:v>1</x:v>
      </x:c>
      <x:c r="J2659" s="6" t="n">
        <x:f>IF(OR(E2659="CANCELED",E2659="SUSPECTED_FRAUD",F2659="Shipping canceled"),0,1)</x:f>
        <x:v>1</x:v>
      </x:c>
      <x:c r="K2659" s="6" t="n">
        <x:f>IF(G2659&gt;H2659,1,0)</x:f>
        <x:v>1</x:v>
      </x:c>
      <x:c r="L2659" s="6" t="n">
        <x:f>J2659*K2659</x:f>
        <x:v>1</x:v>
      </x:c>
    </x:row>
    <x:row r="2660">
      <x:c r="A2660" s="1" t="n">
        <x:v>20152</x:v>
      </x:c>
      <x:c r="B2660" s="5" t="d">
        <x:v>2015-10-22T00:00:00.000Z</x:v>
      </x:c>
      <x:c r="C2660" s="1" t="str">
        <x:v>Standard Class</x:v>
      </x:c>
      <x:c r="D2660" s="1" t="str">
        <x:v>Europe</x:v>
      </x:c>
      <x:c r="E2660" s="1" t="str">
        <x:v>PENDING_PAYMENT</x:v>
      </x:c>
      <x:c r="F2660" s="1" t="str">
        <x:v>Advance shipping</x:v>
      </x:c>
      <x:c r="G2660" s="6" t="n">
        <x:v>3</x:v>
      </x:c>
      <x:c r="H2660" s="6" t="n">
        <x:v>4</x:v>
      </x:c>
      <x:c r="I2660" s="6" t="n">
        <x:f>G2660-H2660</x:f>
        <x:v>-1</x:v>
      </x:c>
      <x:c r="J2660" s="6" t="n">
        <x:f>IF(OR(E2660="CANCELED",E2660="SUSPECTED_FRAUD",F2660="Shipping canceled"),0,1)</x:f>
        <x:v>1</x:v>
      </x:c>
      <x:c r="K2660" s="6" t="n">
        <x:f>IF(G2660&gt;H2660,1,0)</x:f>
        <x:v>0</x:v>
      </x:c>
      <x:c r="L2660" s="6" t="n">
        <x:f>J2660*K2660</x:f>
        <x:v>0</x:v>
      </x:c>
    </x:row>
    <x:row r="2661">
      <x:c r="A2661" s="1" t="n">
        <x:v>20153</x:v>
      </x:c>
      <x:c r="B2661" s="5" t="d">
        <x:v>2015-10-22T00:00:00.000Z</x:v>
      </x:c>
      <x:c r="C2661" s="1" t="str">
        <x:v>Standard Class</x:v>
      </x:c>
      <x:c r="D2661" s="1" t="str">
        <x:v>Europe</x:v>
      </x:c>
      <x:c r="E2661" s="1" t="str">
        <x:v>PENDING</x:v>
      </x:c>
      <x:c r="F2661" s="1" t="str">
        <x:v>Shipping on time</x:v>
      </x:c>
      <x:c r="G2661" s="6" t="n">
        <x:v>4</x:v>
      </x:c>
      <x:c r="H2661" s="6" t="n">
        <x:v>4</x:v>
      </x:c>
      <x:c r="I2661" s="6" t="n">
        <x:f>G2661-H2661</x:f>
        <x:v>0</x:v>
      </x:c>
      <x:c r="J2661" s="6" t="n">
        <x:f>IF(OR(E2661="CANCELED",E2661="SUSPECTED_FRAUD",F2661="Shipping canceled"),0,1)</x:f>
        <x:v>1</x:v>
      </x:c>
      <x:c r="K2661" s="6" t="n">
        <x:f>IF(G2661&gt;H2661,1,0)</x:f>
        <x:v>0</x:v>
      </x:c>
      <x:c r="L2661" s="6" t="n">
        <x:f>J2661*K2661</x:f>
        <x:v>0</x:v>
      </x:c>
    </x:row>
    <x:row r="2662">
      <x:c r="A2662" s="1" t="n">
        <x:v>20155</x:v>
      </x:c>
      <x:c r="B2662" s="5" t="d">
        <x:v>2015-10-22T00:00:00.000Z</x:v>
      </x:c>
      <x:c r="C2662" s="1" t="str">
        <x:v>Second Class</x:v>
      </x:c>
      <x:c r="D2662" s="1" t="str">
        <x:v>Europe</x:v>
      </x:c>
      <x:c r="E2662" s="1" t="str">
        <x:v>PROCESSING</x:v>
      </x:c>
      <x:c r="F2662" s="1" t="str">
        <x:v>Late delivery</x:v>
      </x:c>
      <x:c r="G2662" s="6" t="n">
        <x:v>6</x:v>
      </x:c>
      <x:c r="H2662" s="6" t="n">
        <x:v>2</x:v>
      </x:c>
      <x:c r="I2662" s="6" t="n">
        <x:f>G2662-H2662</x:f>
        <x:v>4</x:v>
      </x:c>
      <x:c r="J2662" s="6" t="n">
        <x:f>IF(OR(E2662="CANCELED",E2662="SUSPECTED_FRAUD",F2662="Shipping canceled"),0,1)</x:f>
        <x:v>1</x:v>
      </x:c>
      <x:c r="K2662" s="6" t="n">
        <x:f>IF(G2662&gt;H2662,1,0)</x:f>
        <x:v>1</x:v>
      </x:c>
      <x:c r="L2662" s="6" t="n">
        <x:f>J2662*K2662</x:f>
        <x:v>1</x:v>
      </x:c>
    </x:row>
    <x:row r="2663">
      <x:c r="A2663" s="1" t="n">
        <x:v>20168</x:v>
      </x:c>
      <x:c r="B2663" s="5" t="d">
        <x:v>2015-10-22T00:00:00.000Z</x:v>
      </x:c>
      <x:c r="C2663" s="1" t="str">
        <x:v>Standard Class</x:v>
      </x:c>
      <x:c r="D2663" s="1" t="str">
        <x:v>Europe</x:v>
      </x:c>
      <x:c r="E2663" s="1" t="str">
        <x:v>COMPLETE</x:v>
      </x:c>
      <x:c r="F2663" s="1" t="str">
        <x:v>Shipping on time</x:v>
      </x:c>
      <x:c r="G2663" s="6" t="n">
        <x:v>4</x:v>
      </x:c>
      <x:c r="H2663" s="6" t="n">
        <x:v>4</x:v>
      </x:c>
      <x:c r="I2663" s="6" t="n">
        <x:f>G2663-H2663</x:f>
        <x:v>0</x:v>
      </x:c>
      <x:c r="J2663" s="6" t="n">
        <x:f>IF(OR(E2663="CANCELED",E2663="SUSPECTED_FRAUD",F2663="Shipping canceled"),0,1)</x:f>
        <x:v>1</x:v>
      </x:c>
      <x:c r="K2663" s="6" t="n">
        <x:f>IF(G2663&gt;H2663,1,0)</x:f>
        <x:v>0</x:v>
      </x:c>
      <x:c r="L2663" s="6" t="n">
        <x:f>J2663*K2663</x:f>
        <x:v>0</x:v>
      </x:c>
    </x:row>
    <x:row r="2664">
      <x:c r="A2664" s="1" t="n">
        <x:v>20173</x:v>
      </x:c>
      <x:c r="B2664" s="5" t="d">
        <x:v>2015-10-22T00:00:00.000Z</x:v>
      </x:c>
      <x:c r="C2664" s="1" t="str">
        <x:v>Standard Class</x:v>
      </x:c>
      <x:c r="D2664" s="1" t="str">
        <x:v>Europe</x:v>
      </x:c>
      <x:c r="E2664" s="1" t="str">
        <x:v>COMPLETE</x:v>
      </x:c>
      <x:c r="F2664" s="1" t="str">
        <x:v>Shipping on time</x:v>
      </x:c>
      <x:c r="G2664" s="6" t="n">
        <x:v>4</x:v>
      </x:c>
      <x:c r="H2664" s="6" t="n">
        <x:v>4</x:v>
      </x:c>
      <x:c r="I2664" s="6" t="n">
        <x:f>G2664-H2664</x:f>
        <x:v>0</x:v>
      </x:c>
      <x:c r="J2664" s="6" t="n">
        <x:f>IF(OR(E2664="CANCELED",E2664="SUSPECTED_FRAUD",F2664="Shipping canceled"),0,1)</x:f>
        <x:v>1</x:v>
      </x:c>
      <x:c r="K2664" s="6" t="n">
        <x:f>IF(G2664&gt;H2664,1,0)</x:f>
        <x:v>0</x:v>
      </x:c>
      <x:c r="L2664" s="6" t="n">
        <x:f>J2664*K2664</x:f>
        <x:v>0</x:v>
      </x:c>
    </x:row>
    <x:row r="2665">
      <x:c r="A2665" s="1" t="n">
        <x:v>20186</x:v>
      </x:c>
      <x:c r="B2665" s="5" t="d">
        <x:v>2015-10-22T00:00:00.000Z</x:v>
      </x:c>
      <x:c r="C2665" s="1" t="str">
        <x:v>Standard Class</x:v>
      </x:c>
      <x:c r="D2665" s="1" t="str">
        <x:v>Europe</x:v>
      </x:c>
      <x:c r="E2665" s="1" t="str">
        <x:v>CLOSED</x:v>
      </x:c>
      <x:c r="F2665" s="1" t="str">
        <x:v>Advance shipping</x:v>
      </x:c>
      <x:c r="G2665" s="6" t="n">
        <x:v>2</x:v>
      </x:c>
      <x:c r="H2665" s="6" t="n">
        <x:v>4</x:v>
      </x:c>
      <x:c r="I2665" s="6" t="n">
        <x:f>G2665-H2665</x:f>
        <x:v>-2</x:v>
      </x:c>
      <x:c r="J2665" s="6" t="n">
        <x:f>IF(OR(E2665="CANCELED",E2665="SUSPECTED_FRAUD",F2665="Shipping canceled"),0,1)</x:f>
        <x:v>1</x:v>
      </x:c>
      <x:c r="K2665" s="6" t="n">
        <x:f>IF(G2665&gt;H2665,1,0)</x:f>
        <x:v>0</x:v>
      </x:c>
      <x:c r="L2665" s="6" t="n">
        <x:f>J2665*K2665</x:f>
        <x:v>0</x:v>
      </x:c>
    </x:row>
    <x:row r="2666">
      <x:c r="A2666" s="1" t="n">
        <x:v>20208</x:v>
      </x:c>
      <x:c r="B2666" s="5" t="d">
        <x:v>2015-10-22T00:00:00.000Z</x:v>
      </x:c>
      <x:c r="C2666" s="1" t="str">
        <x:v>Standard Class</x:v>
      </x:c>
      <x:c r="D2666" s="1" t="str">
        <x:v>Europe</x:v>
      </x:c>
      <x:c r="E2666" s="1" t="str">
        <x:v>COMPLETE</x:v>
      </x:c>
      <x:c r="F2666" s="1" t="str">
        <x:v>Shipping on time</x:v>
      </x:c>
      <x:c r="G2666" s="6" t="n">
        <x:v>4</x:v>
      </x:c>
      <x:c r="H2666" s="6" t="n">
        <x:v>4</x:v>
      </x:c>
      <x:c r="I2666" s="6" t="n">
        <x:f>G2666-H2666</x:f>
        <x:v>0</x:v>
      </x:c>
      <x:c r="J2666" s="6" t="n">
        <x:f>IF(OR(E2666="CANCELED",E2666="SUSPECTED_FRAUD",F2666="Shipping canceled"),0,1)</x:f>
        <x:v>1</x:v>
      </x:c>
      <x:c r="K2666" s="6" t="n">
        <x:f>IF(G2666&gt;H2666,1,0)</x:f>
        <x:v>0</x:v>
      </x:c>
      <x:c r="L2666" s="6" t="n">
        <x:f>J2666*K2666</x:f>
        <x:v>0</x:v>
      </x:c>
    </x:row>
    <x:row r="2667">
      <x:c r="A2667" s="1" t="n">
        <x:v>20215</x:v>
      </x:c>
      <x:c r="B2667" s="5" t="d">
        <x:v>2015-10-23T00:00:00.000Z</x:v>
      </x:c>
      <x:c r="C2667" s="1" t="str">
        <x:v>First Class</x:v>
      </x:c>
      <x:c r="D2667" s="1" t="str">
        <x:v>Europe</x:v>
      </x:c>
      <x:c r="E2667" s="1" t="str">
        <x:v>PENDING</x:v>
      </x:c>
      <x:c r="F2667" s="1" t="str">
        <x:v>Late delivery</x:v>
      </x:c>
      <x:c r="G2667" s="6" t="n">
        <x:v>2</x:v>
      </x:c>
      <x:c r="H2667" s="6" t="n">
        <x:v>1</x:v>
      </x:c>
      <x:c r="I2667" s="6" t="n">
        <x:f>G2667-H2667</x:f>
        <x:v>1</x:v>
      </x:c>
      <x:c r="J2667" s="6" t="n">
        <x:f>IF(OR(E2667="CANCELED",E2667="SUSPECTED_FRAUD",F2667="Shipping canceled"),0,1)</x:f>
        <x:v>1</x:v>
      </x:c>
      <x:c r="K2667" s="6" t="n">
        <x:f>IF(G2667&gt;H2667,1,0)</x:f>
        <x:v>1</x:v>
      </x:c>
      <x:c r="L2667" s="6" t="n">
        <x:f>J2667*K2667</x:f>
        <x:v>1</x:v>
      </x:c>
    </x:row>
    <x:row r="2668">
      <x:c r="A2668" s="1" t="n">
        <x:v>20233</x:v>
      </x:c>
      <x:c r="B2668" s="5" t="d">
        <x:v>2015-10-23T00:00:00.000Z</x:v>
      </x:c>
      <x:c r="C2668" s="1" t="str">
        <x:v>First Class</x:v>
      </x:c>
      <x:c r="D2668" s="1" t="str">
        <x:v>Europe</x:v>
      </x:c>
      <x:c r="E2668" s="1" t="str">
        <x:v>COMPLETE</x:v>
      </x:c>
      <x:c r="F2668" s="1" t="str">
        <x:v>Late delivery</x:v>
      </x:c>
      <x:c r="G2668" s="6" t="n">
        <x:v>2</x:v>
      </x:c>
      <x:c r="H2668" s="6" t="n">
        <x:v>1</x:v>
      </x:c>
      <x:c r="I2668" s="6" t="n">
        <x:f>G2668-H2668</x:f>
        <x:v>1</x:v>
      </x:c>
      <x:c r="J2668" s="6" t="n">
        <x:f>IF(OR(E2668="CANCELED",E2668="SUSPECTED_FRAUD",F2668="Shipping canceled"),0,1)</x:f>
        <x:v>1</x:v>
      </x:c>
      <x:c r="K2668" s="6" t="n">
        <x:f>IF(G2668&gt;H2668,1,0)</x:f>
        <x:v>1</x:v>
      </x:c>
      <x:c r="L2668" s="6" t="n">
        <x:f>J2668*K2668</x:f>
        <x:v>1</x:v>
      </x:c>
    </x:row>
    <x:row r="2669">
      <x:c r="A2669" s="1" t="n">
        <x:v>20234</x:v>
      </x:c>
      <x:c r="B2669" s="5" t="d">
        <x:v>2015-10-23T00:00:00.000Z</x:v>
      </x:c>
      <x:c r="C2669" s="1" t="str">
        <x:v>Second Class</x:v>
      </x:c>
      <x:c r="D2669" s="1" t="str">
        <x:v>Europe</x:v>
      </x:c>
      <x:c r="E2669" s="1" t="str">
        <x:v>COMPLETE</x:v>
      </x:c>
      <x:c r="F2669" s="1" t="str">
        <x:v>Late delivery</x:v>
      </x:c>
      <x:c r="G2669" s="6" t="n">
        <x:v>5</x:v>
      </x:c>
      <x:c r="H2669" s="6" t="n">
        <x:v>2</x:v>
      </x:c>
      <x:c r="I2669" s="6" t="n">
        <x:f>G2669-H2669</x:f>
        <x:v>3</x:v>
      </x:c>
      <x:c r="J2669" s="6" t="n">
        <x:f>IF(OR(E2669="CANCELED",E2669="SUSPECTED_FRAUD",F2669="Shipping canceled"),0,1)</x:f>
        <x:v>1</x:v>
      </x:c>
      <x:c r="K2669" s="6" t="n">
        <x:f>IF(G2669&gt;H2669,1,0)</x:f>
        <x:v>1</x:v>
      </x:c>
      <x:c r="L2669" s="6" t="n">
        <x:f>J2669*K2669</x:f>
        <x:v>1</x:v>
      </x:c>
    </x:row>
    <x:row r="2670">
      <x:c r="A2670" s="1" t="n">
        <x:v>20236</x:v>
      </x:c>
      <x:c r="B2670" s="5" t="d">
        <x:v>2015-10-23T00:00:00.000Z</x:v>
      </x:c>
      <x:c r="C2670" s="1" t="str">
        <x:v>Standard Class</x:v>
      </x:c>
      <x:c r="D2670" s="1" t="str">
        <x:v>Europe</x:v>
      </x:c>
      <x:c r="E2670" s="1" t="str">
        <x:v>COMPLETE</x:v>
      </x:c>
      <x:c r="F2670" s="1" t="str">
        <x:v>Advance shipping</x:v>
      </x:c>
      <x:c r="G2670" s="6" t="n">
        <x:v>2</x:v>
      </x:c>
      <x:c r="H2670" s="6" t="n">
        <x:v>4</x:v>
      </x:c>
      <x:c r="I2670" s="6" t="n">
        <x:f>G2670-H2670</x:f>
        <x:v>-2</x:v>
      </x:c>
      <x:c r="J2670" s="6" t="n">
        <x:f>IF(OR(E2670="CANCELED",E2670="SUSPECTED_FRAUD",F2670="Shipping canceled"),0,1)</x:f>
        <x:v>1</x:v>
      </x:c>
      <x:c r="K2670" s="6" t="n">
        <x:f>IF(G2670&gt;H2670,1,0)</x:f>
        <x:v>0</x:v>
      </x:c>
      <x:c r="L2670" s="6" t="n">
        <x:f>J2670*K2670</x:f>
        <x:v>0</x:v>
      </x:c>
    </x:row>
    <x:row r="2671">
      <x:c r="A2671" s="1" t="n">
        <x:v>20240</x:v>
      </x:c>
      <x:c r="B2671" s="5" t="d">
        <x:v>2015-10-23T00:00:00.000Z</x:v>
      </x:c>
      <x:c r="C2671" s="1" t="str">
        <x:v>Standard Class</x:v>
      </x:c>
      <x:c r="D2671" s="1" t="str">
        <x:v>Europe</x:v>
      </x:c>
      <x:c r="E2671" s="1" t="str">
        <x:v>COMPLETE</x:v>
      </x:c>
      <x:c r="F2671" s="1" t="str">
        <x:v>Late delivery</x:v>
      </x:c>
      <x:c r="G2671" s="6" t="n">
        <x:v>6</x:v>
      </x:c>
      <x:c r="H2671" s="6" t="n">
        <x:v>4</x:v>
      </x:c>
      <x:c r="I2671" s="6" t="n">
        <x:f>G2671-H2671</x:f>
        <x:v>2</x:v>
      </x:c>
      <x:c r="J2671" s="6" t="n">
        <x:f>IF(OR(E2671="CANCELED",E2671="SUSPECTED_FRAUD",F2671="Shipping canceled"),0,1)</x:f>
        <x:v>1</x:v>
      </x:c>
      <x:c r="K2671" s="6" t="n">
        <x:f>IF(G2671&gt;H2671,1,0)</x:f>
        <x:v>1</x:v>
      </x:c>
      <x:c r="L2671" s="6" t="n">
        <x:f>J2671*K2671</x:f>
        <x:v>1</x:v>
      </x:c>
    </x:row>
    <x:row r="2672">
      <x:c r="A2672" s="1" t="n">
        <x:v>20243</x:v>
      </x:c>
      <x:c r="B2672" s="5" t="d">
        <x:v>2015-10-23T00:00:00.000Z</x:v>
      </x:c>
      <x:c r="C2672" s="1" t="str">
        <x:v>Second Class</x:v>
      </x:c>
      <x:c r="D2672" s="1" t="str">
        <x:v>Europe</x:v>
      </x:c>
      <x:c r="E2672" s="1" t="str">
        <x:v>PROCESSING</x:v>
      </x:c>
      <x:c r="F2672" s="1" t="str">
        <x:v>Late delivery</x:v>
      </x:c>
      <x:c r="G2672" s="6" t="n">
        <x:v>4</x:v>
      </x:c>
      <x:c r="H2672" s="6" t="n">
        <x:v>2</x:v>
      </x:c>
      <x:c r="I2672" s="6" t="n">
        <x:f>G2672-H2672</x:f>
        <x:v>2</x:v>
      </x:c>
      <x:c r="J2672" s="6" t="n">
        <x:f>IF(OR(E2672="CANCELED",E2672="SUSPECTED_FRAUD",F2672="Shipping canceled"),0,1)</x:f>
        <x:v>1</x:v>
      </x:c>
      <x:c r="K2672" s="6" t="n">
        <x:f>IF(G2672&gt;H2672,1,0)</x:f>
        <x:v>1</x:v>
      </x:c>
      <x:c r="L2672" s="6" t="n">
        <x:f>J2672*K2672</x:f>
        <x:v>1</x:v>
      </x:c>
    </x:row>
    <x:row r="2673">
      <x:c r="A2673" s="1" t="n">
        <x:v>20246</x:v>
      </x:c>
      <x:c r="B2673" s="5" t="d">
        <x:v>2015-10-23T00:00:00.000Z</x:v>
      </x:c>
      <x:c r="C2673" s="1" t="str">
        <x:v>Second Class</x:v>
      </x:c>
      <x:c r="D2673" s="1" t="str">
        <x:v>Europe</x:v>
      </x:c>
      <x:c r="E2673" s="1" t="str">
        <x:v>COMPLETE</x:v>
      </x:c>
      <x:c r="F2673" s="1" t="str">
        <x:v>Shipping on time</x:v>
      </x:c>
      <x:c r="G2673" s="6" t="n">
        <x:v>2</x:v>
      </x:c>
      <x:c r="H2673" s="6" t="n">
        <x:v>2</x:v>
      </x:c>
      <x:c r="I2673" s="6" t="n">
        <x:f>G2673-H2673</x:f>
        <x:v>0</x:v>
      </x:c>
      <x:c r="J2673" s="6" t="n">
        <x:f>IF(OR(E2673="CANCELED",E2673="SUSPECTED_FRAUD",F2673="Shipping canceled"),0,1)</x:f>
        <x:v>1</x:v>
      </x:c>
      <x:c r="K2673" s="6" t="n">
        <x:f>IF(G2673&gt;H2673,1,0)</x:f>
        <x:v>0</x:v>
      </x:c>
      <x:c r="L2673" s="6" t="n">
        <x:f>J2673*K2673</x:f>
        <x:v>0</x:v>
      </x:c>
    </x:row>
    <x:row r="2674">
      <x:c r="A2674" s="1" t="n">
        <x:v>20250</x:v>
      </x:c>
      <x:c r="B2674" s="5" t="d">
        <x:v>2015-10-23T00:00:00.000Z</x:v>
      </x:c>
      <x:c r="C2674" s="1" t="str">
        <x:v>Standard Class</x:v>
      </x:c>
      <x:c r="D2674" s="1" t="str">
        <x:v>Europe</x:v>
      </x:c>
      <x:c r="E2674" s="1" t="str">
        <x:v>PENDING_PAYMENT</x:v>
      </x:c>
      <x:c r="F2674" s="1" t="str">
        <x:v>Late delivery</x:v>
      </x:c>
      <x:c r="G2674" s="6" t="n">
        <x:v>6</x:v>
      </x:c>
      <x:c r="H2674" s="6" t="n">
        <x:v>4</x:v>
      </x:c>
      <x:c r="I2674" s="6" t="n">
        <x:f>G2674-H2674</x:f>
        <x:v>2</x:v>
      </x:c>
      <x:c r="J2674" s="6" t="n">
        <x:f>IF(OR(E2674="CANCELED",E2674="SUSPECTED_FRAUD",F2674="Shipping canceled"),0,1)</x:f>
        <x:v>1</x:v>
      </x:c>
      <x:c r="K2674" s="6" t="n">
        <x:f>IF(G2674&gt;H2674,1,0)</x:f>
        <x:v>1</x:v>
      </x:c>
      <x:c r="L2674" s="6" t="n">
        <x:f>J2674*K2674</x:f>
        <x:v>1</x:v>
      </x:c>
    </x:row>
    <x:row r="2675">
      <x:c r="A2675" s="1" t="n">
        <x:v>20255</x:v>
      </x:c>
      <x:c r="B2675" s="5" t="d">
        <x:v>2015-10-23T00:00:00.000Z</x:v>
      </x:c>
      <x:c r="C2675" s="1" t="str">
        <x:v>First Class</x:v>
      </x:c>
      <x:c r="D2675" s="1" t="str">
        <x:v>Europe</x:v>
      </x:c>
      <x:c r="E2675" s="1" t="str">
        <x:v>PENDING_PAYMENT</x:v>
      </x:c>
      <x:c r="F2675" s="1" t="str">
        <x:v>Late delivery</x:v>
      </x:c>
      <x:c r="G2675" s="6" t="n">
        <x:v>2</x:v>
      </x:c>
      <x:c r="H2675" s="6" t="n">
        <x:v>1</x:v>
      </x:c>
      <x:c r="I2675" s="6" t="n">
        <x:f>G2675-H2675</x:f>
        <x:v>1</x:v>
      </x:c>
      <x:c r="J2675" s="6" t="n">
        <x:f>IF(OR(E2675="CANCELED",E2675="SUSPECTED_FRAUD",F2675="Shipping canceled"),0,1)</x:f>
        <x:v>1</x:v>
      </x:c>
      <x:c r="K2675" s="6" t="n">
        <x:f>IF(G2675&gt;H2675,1,0)</x:f>
        <x:v>1</x:v>
      </x:c>
      <x:c r="L2675" s="6" t="n">
        <x:f>J2675*K2675</x:f>
        <x:v>1</x:v>
      </x:c>
    </x:row>
    <x:row r="2676">
      <x:c r="A2676" s="1" t="n">
        <x:v>20261</x:v>
      </x:c>
      <x:c r="B2676" s="5" t="d">
        <x:v>2015-10-23T00:00:00.000Z</x:v>
      </x:c>
      <x:c r="C2676" s="1" t="str">
        <x:v>Standard Class</x:v>
      </x:c>
      <x:c r="D2676" s="1" t="str">
        <x:v>Europe</x:v>
      </x:c>
      <x:c r="E2676" s="1" t="str">
        <x:v>COMPLETE</x:v>
      </x:c>
      <x:c r="F2676" s="1" t="str">
        <x:v>Advance shipping</x:v>
      </x:c>
      <x:c r="G2676" s="6" t="n">
        <x:v>2</x:v>
      </x:c>
      <x:c r="H2676" s="6" t="n">
        <x:v>4</x:v>
      </x:c>
      <x:c r="I2676" s="6" t="n">
        <x:f>G2676-H2676</x:f>
        <x:v>-2</x:v>
      </x:c>
      <x:c r="J2676" s="6" t="n">
        <x:f>IF(OR(E2676="CANCELED",E2676="SUSPECTED_FRAUD",F2676="Shipping canceled"),0,1)</x:f>
        <x:v>1</x:v>
      </x:c>
      <x:c r="K2676" s="6" t="n">
        <x:f>IF(G2676&gt;H2676,1,0)</x:f>
        <x:v>0</x:v>
      </x:c>
      <x:c r="L2676" s="6" t="n">
        <x:f>J2676*K2676</x:f>
        <x:v>0</x:v>
      </x:c>
    </x:row>
    <x:row r="2677">
      <x:c r="A2677" s="1" t="n">
        <x:v>20269</x:v>
      </x:c>
      <x:c r="B2677" s="5" t="d">
        <x:v>2015-10-23T00:00:00.000Z</x:v>
      </x:c>
      <x:c r="C2677" s="1" t="str">
        <x:v>Standard Class</x:v>
      </x:c>
      <x:c r="D2677" s="1" t="str">
        <x:v>Europe</x:v>
      </x:c>
      <x:c r="E2677" s="1" t="str">
        <x:v>COMPLETE</x:v>
      </x:c>
      <x:c r="F2677" s="1" t="str">
        <x:v>Late delivery</x:v>
      </x:c>
      <x:c r="G2677" s="6" t="n">
        <x:v>5</x:v>
      </x:c>
      <x:c r="H2677" s="6" t="n">
        <x:v>4</x:v>
      </x:c>
      <x:c r="I2677" s="6" t="n">
        <x:f>G2677-H2677</x:f>
        <x:v>1</x:v>
      </x:c>
      <x:c r="J2677" s="6" t="n">
        <x:f>IF(OR(E2677="CANCELED",E2677="SUSPECTED_FRAUD",F2677="Shipping canceled"),0,1)</x:f>
        <x:v>1</x:v>
      </x:c>
      <x:c r="K2677" s="6" t="n">
        <x:f>IF(G2677&gt;H2677,1,0)</x:f>
        <x:v>1</x:v>
      </x:c>
      <x:c r="L2677" s="6" t="n">
        <x:f>J2677*K2677</x:f>
        <x:v>1</x:v>
      </x:c>
    </x:row>
    <x:row r="2678">
      <x:c r="A2678" s="1" t="n">
        <x:v>20291</x:v>
      </x:c>
      <x:c r="B2678" s="5" t="d">
        <x:v>2015-10-24T00:00:00.000Z</x:v>
      </x:c>
      <x:c r="C2678" s="1" t="str">
        <x:v>Standard Class</x:v>
      </x:c>
      <x:c r="D2678" s="1" t="str">
        <x:v>Europe</x:v>
      </x:c>
      <x:c r="E2678" s="1" t="str">
        <x:v>COMPLETE</x:v>
      </x:c>
      <x:c r="F2678" s="1" t="str">
        <x:v>Advance shipping</x:v>
      </x:c>
      <x:c r="G2678" s="6" t="n">
        <x:v>2</x:v>
      </x:c>
      <x:c r="H2678" s="6" t="n">
        <x:v>4</x:v>
      </x:c>
      <x:c r="I2678" s="6" t="n">
        <x:f>G2678-H2678</x:f>
        <x:v>-2</x:v>
      </x:c>
      <x:c r="J2678" s="6" t="n">
        <x:f>IF(OR(E2678="CANCELED",E2678="SUSPECTED_FRAUD",F2678="Shipping canceled"),0,1)</x:f>
        <x:v>1</x:v>
      </x:c>
      <x:c r="K2678" s="6" t="n">
        <x:f>IF(G2678&gt;H2678,1,0)</x:f>
        <x:v>0</x:v>
      </x:c>
      <x:c r="L2678" s="6" t="n">
        <x:f>J2678*K2678</x:f>
        <x:v>0</x:v>
      </x:c>
    </x:row>
    <x:row r="2679">
      <x:c r="A2679" s="1" t="n">
        <x:v>20292</x:v>
      </x:c>
      <x:c r="B2679" s="5" t="d">
        <x:v>2015-10-24T00:00:00.000Z</x:v>
      </x:c>
      <x:c r="C2679" s="1" t="str">
        <x:v>Second Class</x:v>
      </x:c>
      <x:c r="D2679" s="1" t="str">
        <x:v>Europe</x:v>
      </x:c>
      <x:c r="E2679" s="1" t="str">
        <x:v>COMPLETE</x:v>
      </x:c>
      <x:c r="F2679" s="1" t="str">
        <x:v>Late delivery</x:v>
      </x:c>
      <x:c r="G2679" s="6" t="n">
        <x:v>3</x:v>
      </x:c>
      <x:c r="H2679" s="6" t="n">
        <x:v>2</x:v>
      </x:c>
      <x:c r="I2679" s="6" t="n">
        <x:f>G2679-H2679</x:f>
        <x:v>1</x:v>
      </x:c>
      <x:c r="J2679" s="6" t="n">
        <x:f>IF(OR(E2679="CANCELED",E2679="SUSPECTED_FRAUD",F2679="Shipping canceled"),0,1)</x:f>
        <x:v>1</x:v>
      </x:c>
      <x:c r="K2679" s="6" t="n">
        <x:f>IF(G2679&gt;H2679,1,0)</x:f>
        <x:v>1</x:v>
      </x:c>
      <x:c r="L2679" s="6" t="n">
        <x:f>J2679*K2679</x:f>
        <x:v>1</x:v>
      </x:c>
    </x:row>
    <x:row r="2680">
      <x:c r="A2680" s="1" t="n">
        <x:v>20294</x:v>
      </x:c>
      <x:c r="B2680" s="5" t="d">
        <x:v>2015-10-24T00:00:00.000Z</x:v>
      </x:c>
      <x:c r="C2680" s="1" t="str">
        <x:v>Second Class</x:v>
      </x:c>
      <x:c r="D2680" s="1" t="str">
        <x:v>Europe</x:v>
      </x:c>
      <x:c r="E2680" s="1" t="str">
        <x:v>PENDING</x:v>
      </x:c>
      <x:c r="F2680" s="1" t="str">
        <x:v>Late delivery</x:v>
      </x:c>
      <x:c r="G2680" s="6" t="n">
        <x:v>5</x:v>
      </x:c>
      <x:c r="H2680" s="6" t="n">
        <x:v>2</x:v>
      </x:c>
      <x:c r="I2680" s="6" t="n">
        <x:f>G2680-H2680</x:f>
        <x:v>3</x:v>
      </x:c>
      <x:c r="J2680" s="6" t="n">
        <x:f>IF(OR(E2680="CANCELED",E2680="SUSPECTED_FRAUD",F2680="Shipping canceled"),0,1)</x:f>
        <x:v>1</x:v>
      </x:c>
      <x:c r="K2680" s="6" t="n">
        <x:f>IF(G2680&gt;H2680,1,0)</x:f>
        <x:v>1</x:v>
      </x:c>
      <x:c r="L2680" s="6" t="n">
        <x:f>J2680*K2680</x:f>
        <x:v>1</x:v>
      </x:c>
    </x:row>
    <x:row r="2681">
      <x:c r="A2681" s="1" t="n">
        <x:v>20321</x:v>
      </x:c>
      <x:c r="B2681" s="5" t="d">
        <x:v>2015-10-24T00:00:00.000Z</x:v>
      </x:c>
      <x:c r="C2681" s="1" t="str">
        <x:v>Standard Class</x:v>
      </x:c>
      <x:c r="D2681" s="1" t="str">
        <x:v>Pacific Asia</x:v>
      </x:c>
      <x:c r="E2681" s="1" t="str">
        <x:v>PENDING</x:v>
      </x:c>
      <x:c r="F2681" s="1" t="str">
        <x:v>Advance shipping</x:v>
      </x:c>
      <x:c r="G2681" s="6" t="n">
        <x:v>2</x:v>
      </x:c>
      <x:c r="H2681" s="6" t="n">
        <x:v>4</x:v>
      </x:c>
      <x:c r="I2681" s="6" t="n">
        <x:f>G2681-H2681</x:f>
        <x:v>-2</x:v>
      </x:c>
      <x:c r="J2681" s="6" t="n">
        <x:f>IF(OR(E2681="CANCELED",E2681="SUSPECTED_FRAUD",F2681="Shipping canceled"),0,1)</x:f>
        <x:v>1</x:v>
      </x:c>
      <x:c r="K2681" s="6" t="n">
        <x:f>IF(G2681&gt;H2681,1,0)</x:f>
        <x:v>0</x:v>
      </x:c>
      <x:c r="L2681" s="6" t="n">
        <x:f>J2681*K2681</x:f>
        <x:v>0</x:v>
      </x:c>
    </x:row>
    <x:row r="2682">
      <x:c r="A2682" s="1" t="n">
        <x:v>20324</x:v>
      </x:c>
      <x:c r="B2682" s="5" t="d">
        <x:v>2015-10-24T00:00:00.000Z</x:v>
      </x:c>
      <x:c r="C2682" s="1" t="str">
        <x:v>Standard Class</x:v>
      </x:c>
      <x:c r="D2682" s="1" t="str">
        <x:v>Pacific Asia</x:v>
      </x:c>
      <x:c r="E2682" s="1" t="str">
        <x:v>CLOSED</x:v>
      </x:c>
      <x:c r="F2682" s="1" t="str">
        <x:v>Late delivery</x:v>
      </x:c>
      <x:c r="G2682" s="6" t="n">
        <x:v>5</x:v>
      </x:c>
      <x:c r="H2682" s="6" t="n">
        <x:v>4</x:v>
      </x:c>
      <x:c r="I2682" s="6" t="n">
        <x:f>G2682-H2682</x:f>
        <x:v>1</x:v>
      </x:c>
      <x:c r="J2682" s="6" t="n">
        <x:f>IF(OR(E2682="CANCELED",E2682="SUSPECTED_FRAUD",F2682="Shipping canceled"),0,1)</x:f>
        <x:v>1</x:v>
      </x:c>
      <x:c r="K2682" s="6" t="n">
        <x:f>IF(G2682&gt;H2682,1,0)</x:f>
        <x:v>1</x:v>
      </x:c>
      <x:c r="L2682" s="6" t="n">
        <x:f>J2682*K2682</x:f>
        <x:v>1</x:v>
      </x:c>
    </x:row>
    <x:row r="2683">
      <x:c r="A2683" s="1" t="n">
        <x:v>20326</x:v>
      </x:c>
      <x:c r="B2683" s="5" t="d">
        <x:v>2015-10-24T00:00:00.000Z</x:v>
      </x:c>
      <x:c r="C2683" s="1" t="str">
        <x:v>Standard Class</x:v>
      </x:c>
      <x:c r="D2683" s="1" t="str">
        <x:v>Pacific Asia</x:v>
      </x:c>
      <x:c r="E2683" s="1" t="str">
        <x:v>COMPLETE</x:v>
      </x:c>
      <x:c r="F2683" s="1" t="str">
        <x:v>Advance shipping</x:v>
      </x:c>
      <x:c r="G2683" s="6" t="n">
        <x:v>2</x:v>
      </x:c>
      <x:c r="H2683" s="6" t="n">
        <x:v>4</x:v>
      </x:c>
      <x:c r="I2683" s="6" t="n">
        <x:f>G2683-H2683</x:f>
        <x:v>-2</x:v>
      </x:c>
      <x:c r="J2683" s="6" t="n">
        <x:f>IF(OR(E2683="CANCELED",E2683="SUSPECTED_FRAUD",F2683="Shipping canceled"),0,1)</x:f>
        <x:v>1</x:v>
      </x:c>
      <x:c r="K2683" s="6" t="n">
        <x:f>IF(G2683&gt;H2683,1,0)</x:f>
        <x:v>0</x:v>
      </x:c>
      <x:c r="L2683" s="6" t="n">
        <x:f>J2683*K2683</x:f>
        <x:v>0</x:v>
      </x:c>
    </x:row>
    <x:row r="2684">
      <x:c r="A2684" s="1" t="n">
        <x:v>20334</x:v>
      </x:c>
      <x:c r="B2684" s="5" t="d">
        <x:v>2015-10-24T00:00:00.000Z</x:v>
      </x:c>
      <x:c r="C2684" s="1" t="str">
        <x:v>Standard Class</x:v>
      </x:c>
      <x:c r="D2684" s="1" t="str">
        <x:v>Pacific Asia</x:v>
      </x:c>
      <x:c r="E2684" s="1" t="str">
        <x:v>COMPLETE</x:v>
      </x:c>
      <x:c r="F2684" s="1" t="str">
        <x:v>Late delivery</x:v>
      </x:c>
      <x:c r="G2684" s="6" t="n">
        <x:v>5</x:v>
      </x:c>
      <x:c r="H2684" s="6" t="n">
        <x:v>4</x:v>
      </x:c>
      <x:c r="I2684" s="6" t="n">
        <x:f>G2684-H2684</x:f>
        <x:v>1</x:v>
      </x:c>
      <x:c r="J2684" s="6" t="n">
        <x:f>IF(OR(E2684="CANCELED",E2684="SUSPECTED_FRAUD",F2684="Shipping canceled"),0,1)</x:f>
        <x:v>1</x:v>
      </x:c>
      <x:c r="K2684" s="6" t="n">
        <x:f>IF(G2684&gt;H2684,1,0)</x:f>
        <x:v>1</x:v>
      </x:c>
      <x:c r="L2684" s="6" t="n">
        <x:f>J2684*K2684</x:f>
        <x:v>1</x:v>
      </x:c>
    </x:row>
    <x:row r="2685">
      <x:c r="A2685" s="1" t="n">
        <x:v>20344</x:v>
      </x:c>
      <x:c r="B2685" s="5" t="d">
        <x:v>2015-10-24T00:00:00.000Z</x:v>
      </x:c>
      <x:c r="C2685" s="1" t="str">
        <x:v>Standard Class</x:v>
      </x:c>
      <x:c r="D2685" s="1" t="str">
        <x:v>Pacific Asia</x:v>
      </x:c>
      <x:c r="E2685" s="1" t="str">
        <x:v>COMPLETE</x:v>
      </x:c>
      <x:c r="F2685" s="1" t="str">
        <x:v>Late delivery</x:v>
      </x:c>
      <x:c r="G2685" s="6" t="n">
        <x:v>5</x:v>
      </x:c>
      <x:c r="H2685" s="6" t="n">
        <x:v>4</x:v>
      </x:c>
      <x:c r="I2685" s="6" t="n">
        <x:f>G2685-H2685</x:f>
        <x:v>1</x:v>
      </x:c>
      <x:c r="J2685" s="6" t="n">
        <x:f>IF(OR(E2685="CANCELED",E2685="SUSPECTED_FRAUD",F2685="Shipping canceled"),0,1)</x:f>
        <x:v>1</x:v>
      </x:c>
      <x:c r="K2685" s="6" t="n">
        <x:f>IF(G2685&gt;H2685,1,0)</x:f>
        <x:v>1</x:v>
      </x:c>
      <x:c r="L2685" s="6" t="n">
        <x:f>J2685*K2685</x:f>
        <x:v>1</x:v>
      </x:c>
    </x:row>
    <x:row r="2686">
      <x:c r="A2686" s="1" t="n">
        <x:v>20346</x:v>
      </x:c>
      <x:c r="B2686" s="5" t="d">
        <x:v>2015-10-24T00:00:00.000Z</x:v>
      </x:c>
      <x:c r="C2686" s="1" t="str">
        <x:v>Second Class</x:v>
      </x:c>
      <x:c r="D2686" s="1" t="str">
        <x:v>Pacific Asia</x:v>
      </x:c>
      <x:c r="E2686" s="1" t="str">
        <x:v>COMPLETE</x:v>
      </x:c>
      <x:c r="F2686" s="1" t="str">
        <x:v>Shipping on time</x:v>
      </x:c>
      <x:c r="G2686" s="6" t="n">
        <x:v>2</x:v>
      </x:c>
      <x:c r="H2686" s="6" t="n">
        <x:v>2</x:v>
      </x:c>
      <x:c r="I2686" s="6" t="n">
        <x:f>G2686-H2686</x:f>
        <x:v>0</x:v>
      </x:c>
      <x:c r="J2686" s="6" t="n">
        <x:f>IF(OR(E2686="CANCELED",E2686="SUSPECTED_FRAUD",F2686="Shipping canceled"),0,1)</x:f>
        <x:v>1</x:v>
      </x:c>
      <x:c r="K2686" s="6" t="n">
        <x:f>IF(G2686&gt;H2686,1,0)</x:f>
        <x:v>0</x:v>
      </x:c>
      <x:c r="L2686" s="6" t="n">
        <x:f>J2686*K2686</x:f>
        <x:v>0</x:v>
      </x:c>
    </x:row>
    <x:row r="2687">
      <x:c r="A2687" s="1" t="n">
        <x:v>20348</x:v>
      </x:c>
      <x:c r="B2687" s="5" t="d">
        <x:v>2015-10-25T00:00:00.000Z</x:v>
      </x:c>
      <x:c r="C2687" s="1" t="str">
        <x:v>Second Class</x:v>
      </x:c>
      <x:c r="D2687" s="1" t="str">
        <x:v>Pacific Asia</x:v>
      </x:c>
      <x:c r="E2687" s="1" t="str">
        <x:v>COMPLETE</x:v>
      </x:c>
      <x:c r="F2687" s="1" t="str">
        <x:v>Late delivery</x:v>
      </x:c>
      <x:c r="G2687" s="6" t="n">
        <x:v>4</x:v>
      </x:c>
      <x:c r="H2687" s="6" t="n">
        <x:v>2</x:v>
      </x:c>
      <x:c r="I2687" s="6" t="n">
        <x:f>G2687-H2687</x:f>
        <x:v>2</x:v>
      </x:c>
      <x:c r="J2687" s="6" t="n">
        <x:f>IF(OR(E2687="CANCELED",E2687="SUSPECTED_FRAUD",F2687="Shipping canceled"),0,1)</x:f>
        <x:v>1</x:v>
      </x:c>
      <x:c r="K2687" s="6" t="n">
        <x:f>IF(G2687&gt;H2687,1,0)</x:f>
        <x:v>1</x:v>
      </x:c>
      <x:c r="L2687" s="6" t="n">
        <x:f>J2687*K2687</x:f>
        <x:v>1</x:v>
      </x:c>
    </x:row>
    <x:row r="2688">
      <x:c r="A2688" s="1" t="n">
        <x:v>20357</x:v>
      </x:c>
      <x:c r="B2688" s="5" t="d">
        <x:v>2015-10-25T00:00:00.000Z</x:v>
      </x:c>
      <x:c r="C2688" s="1" t="str">
        <x:v>Standard Class</x:v>
      </x:c>
      <x:c r="D2688" s="1" t="str">
        <x:v>Pacific Asia</x:v>
      </x:c>
      <x:c r="E2688" s="1" t="str">
        <x:v>COMPLETE</x:v>
      </x:c>
      <x:c r="F2688" s="1" t="str">
        <x:v>Advance shipping</x:v>
      </x:c>
      <x:c r="G2688" s="6" t="n">
        <x:v>3</x:v>
      </x:c>
      <x:c r="H2688" s="6" t="n">
        <x:v>4</x:v>
      </x:c>
      <x:c r="I2688" s="6" t="n">
        <x:f>G2688-H2688</x:f>
        <x:v>-1</x:v>
      </x:c>
      <x:c r="J2688" s="6" t="n">
        <x:f>IF(OR(E2688="CANCELED",E2688="SUSPECTED_FRAUD",F2688="Shipping canceled"),0,1)</x:f>
        <x:v>1</x:v>
      </x:c>
      <x:c r="K2688" s="6" t="n">
        <x:f>IF(G2688&gt;H2688,1,0)</x:f>
        <x:v>0</x:v>
      </x:c>
      <x:c r="L2688" s="6" t="n">
        <x:f>J2688*K2688</x:f>
        <x:v>0</x:v>
      </x:c>
    </x:row>
    <x:row r="2689">
      <x:c r="A2689" s="1" t="n">
        <x:v>20365</x:v>
      </x:c>
      <x:c r="B2689" s="5" t="d">
        <x:v>2015-10-25T00:00:00.000Z</x:v>
      </x:c>
      <x:c r="C2689" s="1" t="str">
        <x:v>Second Class</x:v>
      </x:c>
      <x:c r="D2689" s="1" t="str">
        <x:v>Pacific Asia</x:v>
      </x:c>
      <x:c r="E2689" s="1" t="str">
        <x:v>PENDING_PAYMENT</x:v>
      </x:c>
      <x:c r="F2689" s="1" t="str">
        <x:v>Late delivery</x:v>
      </x:c>
      <x:c r="G2689" s="6" t="n">
        <x:v>6</x:v>
      </x:c>
      <x:c r="H2689" s="6" t="n">
        <x:v>2</x:v>
      </x:c>
      <x:c r="I2689" s="6" t="n">
        <x:f>G2689-H2689</x:f>
        <x:v>4</x:v>
      </x:c>
      <x:c r="J2689" s="6" t="n">
        <x:f>IF(OR(E2689="CANCELED",E2689="SUSPECTED_FRAUD",F2689="Shipping canceled"),0,1)</x:f>
        <x:v>1</x:v>
      </x:c>
      <x:c r="K2689" s="6" t="n">
        <x:f>IF(G2689&gt;H2689,1,0)</x:f>
        <x:v>1</x:v>
      </x:c>
      <x:c r="L2689" s="6" t="n">
        <x:f>J2689*K2689</x:f>
        <x:v>1</x:v>
      </x:c>
    </x:row>
    <x:row r="2690">
      <x:c r="A2690" s="1" t="n">
        <x:v>20368</x:v>
      </x:c>
      <x:c r="B2690" s="5" t="d">
        <x:v>2015-10-25T00:00:00.000Z</x:v>
      </x:c>
      <x:c r="C2690" s="1" t="str">
        <x:v>Standard Class</x:v>
      </x:c>
      <x:c r="D2690" s="1" t="str">
        <x:v>Pacific Asia</x:v>
      </x:c>
      <x:c r="E2690" s="1" t="str">
        <x:v>COMPLETE</x:v>
      </x:c>
      <x:c r="F2690" s="1" t="str">
        <x:v>Shipping on time</x:v>
      </x:c>
      <x:c r="G2690" s="6" t="n">
        <x:v>4</x:v>
      </x:c>
      <x:c r="H2690" s="6" t="n">
        <x:v>4</x:v>
      </x:c>
      <x:c r="I2690" s="6" t="n">
        <x:f>G2690-H2690</x:f>
        <x:v>0</x:v>
      </x:c>
      <x:c r="J2690" s="6" t="n">
        <x:f>IF(OR(E2690="CANCELED",E2690="SUSPECTED_FRAUD",F2690="Shipping canceled"),0,1)</x:f>
        <x:v>1</x:v>
      </x:c>
      <x:c r="K2690" s="6" t="n">
        <x:f>IF(G2690&gt;H2690,1,0)</x:f>
        <x:v>0</x:v>
      </x:c>
      <x:c r="L2690" s="6" t="n">
        <x:f>J2690*K2690</x:f>
        <x:v>0</x:v>
      </x:c>
    </x:row>
    <x:row r="2691">
      <x:c r="A2691" s="1" t="n">
        <x:v>20369</x:v>
      </x:c>
      <x:c r="B2691" s="5" t="d">
        <x:v>2015-10-25T00:00:00.000Z</x:v>
      </x:c>
      <x:c r="C2691" s="1" t="str">
        <x:v>Standard Class</x:v>
      </x:c>
      <x:c r="D2691" s="1" t="str">
        <x:v>Pacific Asia</x:v>
      </x:c>
      <x:c r="E2691" s="1" t="str">
        <x:v>PROCESSING</x:v>
      </x:c>
      <x:c r="F2691" s="1" t="str">
        <x:v>Late delivery</x:v>
      </x:c>
      <x:c r="G2691" s="6" t="n">
        <x:v>5</x:v>
      </x:c>
      <x:c r="H2691" s="6" t="n">
        <x:v>4</x:v>
      </x:c>
      <x:c r="I2691" s="6" t="n">
        <x:f>G2691-H2691</x:f>
        <x:v>1</x:v>
      </x:c>
      <x:c r="J2691" s="6" t="n">
        <x:f>IF(OR(E2691="CANCELED",E2691="SUSPECTED_FRAUD",F2691="Shipping canceled"),0,1)</x:f>
        <x:v>1</x:v>
      </x:c>
      <x:c r="K2691" s="6" t="n">
        <x:f>IF(G2691&gt;H2691,1,0)</x:f>
        <x:v>1</x:v>
      </x:c>
      <x:c r="L2691" s="6" t="n">
        <x:f>J2691*K2691</x:f>
        <x:v>1</x:v>
      </x:c>
    </x:row>
    <x:row r="2692">
      <x:c r="A2692" s="1" t="n">
        <x:v>20374</x:v>
      </x:c>
      <x:c r="B2692" s="5" t="d">
        <x:v>2015-10-25T00:00:00.000Z</x:v>
      </x:c>
      <x:c r="C2692" s="1" t="str">
        <x:v>Standard Class</x:v>
      </x:c>
      <x:c r="D2692" s="1" t="str">
        <x:v>Pacific Asia</x:v>
      </x:c>
      <x:c r="E2692" s="1" t="str">
        <x:v>COMPLETE</x:v>
      </x:c>
      <x:c r="F2692" s="1" t="str">
        <x:v>Late delivery</x:v>
      </x:c>
      <x:c r="G2692" s="6" t="n">
        <x:v>5</x:v>
      </x:c>
      <x:c r="H2692" s="6" t="n">
        <x:v>4</x:v>
      </x:c>
      <x:c r="I2692" s="6" t="n">
        <x:f>G2692-H2692</x:f>
        <x:v>1</x:v>
      </x:c>
      <x:c r="J2692" s="6" t="n">
        <x:f>IF(OR(E2692="CANCELED",E2692="SUSPECTED_FRAUD",F2692="Shipping canceled"),0,1)</x:f>
        <x:v>1</x:v>
      </x:c>
      <x:c r="K2692" s="6" t="n">
        <x:f>IF(G2692&gt;H2692,1,0)</x:f>
        <x:v>1</x:v>
      </x:c>
      <x:c r="L2692" s="6" t="n">
        <x:f>J2692*K2692</x:f>
        <x:v>1</x:v>
      </x:c>
    </x:row>
    <x:row r="2693">
      <x:c r="A2693" s="1" t="n">
        <x:v>20376</x:v>
      </x:c>
      <x:c r="B2693" s="5" t="d">
        <x:v>2015-10-25T00:00:00.000Z</x:v>
      </x:c>
      <x:c r="C2693" s="1" t="str">
        <x:v>Standard Class</x:v>
      </x:c>
      <x:c r="D2693" s="1" t="str">
        <x:v>Pacific Asia</x:v>
      </x:c>
      <x:c r="E2693" s="1" t="str">
        <x:v>PENDING</x:v>
      </x:c>
      <x:c r="F2693" s="1" t="str">
        <x:v>Advance shipping</x:v>
      </x:c>
      <x:c r="G2693" s="6" t="n">
        <x:v>2</x:v>
      </x:c>
      <x:c r="H2693" s="6" t="n">
        <x:v>4</x:v>
      </x:c>
      <x:c r="I2693" s="6" t="n">
        <x:f>G2693-H2693</x:f>
        <x:v>-2</x:v>
      </x:c>
      <x:c r="J2693" s="6" t="n">
        <x:f>IF(OR(E2693="CANCELED",E2693="SUSPECTED_FRAUD",F2693="Shipping canceled"),0,1)</x:f>
        <x:v>1</x:v>
      </x:c>
      <x:c r="K2693" s="6" t="n">
        <x:f>IF(G2693&gt;H2693,1,0)</x:f>
        <x:v>0</x:v>
      </x:c>
      <x:c r="L2693" s="6" t="n">
        <x:f>J2693*K2693</x:f>
        <x:v>0</x:v>
      </x:c>
    </x:row>
    <x:row r="2694">
      <x:c r="A2694" s="1" t="n">
        <x:v>20377</x:v>
      </x:c>
      <x:c r="B2694" s="5" t="d">
        <x:v>2015-10-25T00:00:00.000Z</x:v>
      </x:c>
      <x:c r="C2694" s="1" t="str">
        <x:v>Standard Class</x:v>
      </x:c>
      <x:c r="D2694" s="1" t="str">
        <x:v>Pacific Asia</x:v>
      </x:c>
      <x:c r="E2694" s="1" t="str">
        <x:v>COMPLETE</x:v>
      </x:c>
      <x:c r="F2694" s="1" t="str">
        <x:v>Advance shipping</x:v>
      </x:c>
      <x:c r="G2694" s="6" t="n">
        <x:v>3</x:v>
      </x:c>
      <x:c r="H2694" s="6" t="n">
        <x:v>4</x:v>
      </x:c>
      <x:c r="I2694" s="6" t="n">
        <x:f>G2694-H2694</x:f>
        <x:v>-1</x:v>
      </x:c>
      <x:c r="J2694" s="6" t="n">
        <x:f>IF(OR(E2694="CANCELED",E2694="SUSPECTED_FRAUD",F2694="Shipping canceled"),0,1)</x:f>
        <x:v>1</x:v>
      </x:c>
      <x:c r="K2694" s="6" t="n">
        <x:f>IF(G2694&gt;H2694,1,0)</x:f>
        <x:v>0</x:v>
      </x:c>
      <x:c r="L2694" s="6" t="n">
        <x:f>J2694*K2694</x:f>
        <x:v>0</x:v>
      </x:c>
    </x:row>
    <x:row r="2695">
      <x:c r="A2695" s="1" t="n">
        <x:v>20380</x:v>
      </x:c>
      <x:c r="B2695" s="5" t="d">
        <x:v>2015-10-25T00:00:00.000Z</x:v>
      </x:c>
      <x:c r="C2695" s="1" t="str">
        <x:v>Standard Class</x:v>
      </x:c>
      <x:c r="D2695" s="1" t="str">
        <x:v>Pacific Asia</x:v>
      </x:c>
      <x:c r="E2695" s="1" t="str">
        <x:v>COMPLETE</x:v>
      </x:c>
      <x:c r="F2695" s="1" t="str">
        <x:v>Late delivery</x:v>
      </x:c>
      <x:c r="G2695" s="6" t="n">
        <x:v>6</x:v>
      </x:c>
      <x:c r="H2695" s="6" t="n">
        <x:v>4</x:v>
      </x:c>
      <x:c r="I2695" s="6" t="n">
        <x:f>G2695-H2695</x:f>
        <x:v>2</x:v>
      </x:c>
      <x:c r="J2695" s="6" t="n">
        <x:f>IF(OR(E2695="CANCELED",E2695="SUSPECTED_FRAUD",F2695="Shipping canceled"),0,1)</x:f>
        <x:v>1</x:v>
      </x:c>
      <x:c r="K2695" s="6" t="n">
        <x:f>IF(G2695&gt;H2695,1,0)</x:f>
        <x:v>1</x:v>
      </x:c>
      <x:c r="L2695" s="6" t="n">
        <x:f>J2695*K2695</x:f>
        <x:v>1</x:v>
      </x:c>
    </x:row>
    <x:row r="2696">
      <x:c r="A2696" s="1" t="n">
        <x:v>20395</x:v>
      </x:c>
      <x:c r="B2696" s="5" t="d">
        <x:v>2015-10-25T00:00:00.000Z</x:v>
      </x:c>
      <x:c r="C2696" s="1" t="str">
        <x:v>Standard Class</x:v>
      </x:c>
      <x:c r="D2696" s="1" t="str">
        <x:v>Pacific Asia</x:v>
      </x:c>
      <x:c r="E2696" s="1" t="str">
        <x:v>CANCELED</x:v>
      </x:c>
      <x:c r="F2696" s="1" t="str">
        <x:v>Shipping canceled</x:v>
      </x:c>
      <x:c r="G2696" s="6" t="n">
        <x:v>6</x:v>
      </x:c>
      <x:c r="H2696" s="6" t="n">
        <x:v>4</x:v>
      </x:c>
      <x:c r="I2696" s="6" t="n">
        <x:f>G2696-H2696</x:f>
        <x:v>2</x:v>
      </x:c>
      <x:c r="J2696" s="6" t="n">
        <x:f>IF(OR(E2696="CANCELED",E2696="SUSPECTED_FRAUD",F2696="Shipping canceled"),0,1)</x:f>
        <x:v>0</x:v>
      </x:c>
      <x:c r="K2696" s="6" t="n">
        <x:f>IF(G2696&gt;H2696,1,0)</x:f>
        <x:v>1</x:v>
      </x:c>
      <x:c r="L2696" s="6" t="n">
        <x:f>J2696*K2696</x:f>
        <x:v>0</x:v>
      </x:c>
    </x:row>
    <x:row r="2697">
      <x:c r="A2697" s="1" t="n">
        <x:v>20399</x:v>
      </x:c>
      <x:c r="B2697" s="5" t="d">
        <x:v>2015-10-25T00:00:00.000Z</x:v>
      </x:c>
      <x:c r="C2697" s="1" t="str">
        <x:v>Standard Class</x:v>
      </x:c>
      <x:c r="D2697" s="1" t="str">
        <x:v>Pacific Asia</x:v>
      </x:c>
      <x:c r="E2697" s="1" t="str">
        <x:v>CLOSED</x:v>
      </x:c>
      <x:c r="F2697" s="1" t="str">
        <x:v>Late delivery</x:v>
      </x:c>
      <x:c r="G2697" s="6" t="n">
        <x:v>5</x:v>
      </x:c>
      <x:c r="H2697" s="6" t="n">
        <x:v>4</x:v>
      </x:c>
      <x:c r="I2697" s="6" t="n">
        <x:f>G2697-H2697</x:f>
        <x:v>1</x:v>
      </x:c>
      <x:c r="J2697" s="6" t="n">
        <x:f>IF(OR(E2697="CANCELED",E2697="SUSPECTED_FRAUD",F2697="Shipping canceled"),0,1)</x:f>
        <x:v>1</x:v>
      </x:c>
      <x:c r="K2697" s="6" t="n">
        <x:f>IF(G2697&gt;H2697,1,0)</x:f>
        <x:v>1</x:v>
      </x:c>
      <x:c r="L2697" s="6" t="n">
        <x:f>J2697*K2697</x:f>
        <x:v>1</x:v>
      </x:c>
    </x:row>
    <x:row r="2698">
      <x:c r="A2698" s="1" t="n">
        <x:v>20407</x:v>
      </x:c>
      <x:c r="B2698" s="5" t="d">
        <x:v>2015-10-25T00:00:00.000Z</x:v>
      </x:c>
      <x:c r="C2698" s="1" t="str">
        <x:v>Second Class</x:v>
      </x:c>
      <x:c r="D2698" s="1" t="str">
        <x:v>Pacific Asia</x:v>
      </x:c>
      <x:c r="E2698" s="1" t="str">
        <x:v>PROCESSING</x:v>
      </x:c>
      <x:c r="F2698" s="1" t="str">
        <x:v>Late delivery</x:v>
      </x:c>
      <x:c r="G2698" s="6" t="n">
        <x:v>3</x:v>
      </x:c>
      <x:c r="H2698" s="6" t="n">
        <x:v>2</x:v>
      </x:c>
      <x:c r="I2698" s="6" t="n">
        <x:f>G2698-H2698</x:f>
        <x:v>1</x:v>
      </x:c>
      <x:c r="J2698" s="6" t="n">
        <x:f>IF(OR(E2698="CANCELED",E2698="SUSPECTED_FRAUD",F2698="Shipping canceled"),0,1)</x:f>
        <x:v>1</x:v>
      </x:c>
      <x:c r="K2698" s="6" t="n">
        <x:f>IF(G2698&gt;H2698,1,0)</x:f>
        <x:v>1</x:v>
      </x:c>
      <x:c r="L2698" s="6" t="n">
        <x:f>J2698*K2698</x:f>
        <x:v>1</x:v>
      </x:c>
    </x:row>
    <x:row r="2699">
      <x:c r="A2699" s="1" t="n">
        <x:v>20410</x:v>
      </x:c>
      <x:c r="B2699" s="5" t="d">
        <x:v>2015-10-25T00:00:00.000Z</x:v>
      </x:c>
      <x:c r="C2699" s="1" t="str">
        <x:v>Standard Class</x:v>
      </x:c>
      <x:c r="D2699" s="1" t="str">
        <x:v>Pacific Asia</x:v>
      </x:c>
      <x:c r="E2699" s="1" t="str">
        <x:v>COMPLETE</x:v>
      </x:c>
      <x:c r="F2699" s="1" t="str">
        <x:v>Late delivery</x:v>
      </x:c>
      <x:c r="G2699" s="6" t="n">
        <x:v>6</x:v>
      </x:c>
      <x:c r="H2699" s="6" t="n">
        <x:v>4</x:v>
      </x:c>
      <x:c r="I2699" s="6" t="n">
        <x:f>G2699-H2699</x:f>
        <x:v>2</x:v>
      </x:c>
      <x:c r="J2699" s="6" t="n">
        <x:f>IF(OR(E2699="CANCELED",E2699="SUSPECTED_FRAUD",F2699="Shipping canceled"),0,1)</x:f>
        <x:v>1</x:v>
      </x:c>
      <x:c r="K2699" s="6" t="n">
        <x:f>IF(G2699&gt;H2699,1,0)</x:f>
        <x:v>1</x:v>
      </x:c>
      <x:c r="L2699" s="6" t="n">
        <x:f>J2699*K2699</x:f>
        <x:v>1</x:v>
      </x:c>
    </x:row>
    <x:row r="2700">
      <x:c r="A2700" s="1" t="n">
        <x:v>20413</x:v>
      </x:c>
      <x:c r="B2700" s="5" t="d">
        <x:v>2015-10-25T00:00:00.000Z</x:v>
      </x:c>
      <x:c r="C2700" s="1" t="str">
        <x:v>First Class</x:v>
      </x:c>
      <x:c r="D2700" s="1" t="str">
        <x:v>Pacific Asia</x:v>
      </x:c>
      <x:c r="E2700" s="1" t="str">
        <x:v>PENDING</x:v>
      </x:c>
      <x:c r="F2700" s="1" t="str">
        <x:v>Late delivery</x:v>
      </x:c>
      <x:c r="G2700" s="6" t="n">
        <x:v>2</x:v>
      </x:c>
      <x:c r="H2700" s="6" t="n">
        <x:v>1</x:v>
      </x:c>
      <x:c r="I2700" s="6" t="n">
        <x:f>G2700-H2700</x:f>
        <x:v>1</x:v>
      </x:c>
      <x:c r="J2700" s="6" t="n">
        <x:f>IF(OR(E2700="CANCELED",E2700="SUSPECTED_FRAUD",F2700="Shipping canceled"),0,1)</x:f>
        <x:v>1</x:v>
      </x:c>
      <x:c r="K2700" s="6" t="n">
        <x:f>IF(G2700&gt;H2700,1,0)</x:f>
        <x:v>1</x:v>
      </x:c>
      <x:c r="L2700" s="6" t="n">
        <x:f>J2700*K2700</x:f>
        <x:v>1</x:v>
      </x:c>
    </x:row>
    <x:row r="2701">
      <x:c r="A2701" s="1" t="n">
        <x:v>20416</x:v>
      </x:c>
      <x:c r="B2701" s="5" t="d">
        <x:v>2015-10-26T00:00:00.000Z</x:v>
      </x:c>
      <x:c r="C2701" s="1" t="str">
        <x:v>Standard Class</x:v>
      </x:c>
      <x:c r="D2701" s="1" t="str">
        <x:v>Pacific Asia</x:v>
      </x:c>
      <x:c r="E2701" s="1" t="str">
        <x:v>PROCESSING</x:v>
      </x:c>
      <x:c r="F2701" s="1" t="str">
        <x:v>Advance shipping</x:v>
      </x:c>
      <x:c r="G2701" s="6" t="n">
        <x:v>2</x:v>
      </x:c>
      <x:c r="H2701" s="6" t="n">
        <x:v>4</x:v>
      </x:c>
      <x:c r="I2701" s="6" t="n">
        <x:f>G2701-H2701</x:f>
        <x:v>-2</x:v>
      </x:c>
      <x:c r="J2701" s="6" t="n">
        <x:f>IF(OR(E2701="CANCELED",E2701="SUSPECTED_FRAUD",F2701="Shipping canceled"),0,1)</x:f>
        <x:v>1</x:v>
      </x:c>
      <x:c r="K2701" s="6" t="n">
        <x:f>IF(G2701&gt;H2701,1,0)</x:f>
        <x:v>0</x:v>
      </x:c>
      <x:c r="L2701" s="6" t="n">
        <x:f>J2701*K2701</x:f>
        <x:v>0</x:v>
      </x:c>
    </x:row>
    <x:row r="2702">
      <x:c r="A2702" s="1" t="n">
        <x:v>20424</x:v>
      </x:c>
      <x:c r="B2702" s="5" t="d">
        <x:v>2015-10-26T00:00:00.000Z</x:v>
      </x:c>
      <x:c r="C2702" s="1" t="str">
        <x:v>Standard Class</x:v>
      </x:c>
      <x:c r="D2702" s="1" t="str">
        <x:v>Pacific Asia</x:v>
      </x:c>
      <x:c r="E2702" s="1" t="str">
        <x:v>ON_HOLD</x:v>
      </x:c>
      <x:c r="F2702" s="1" t="str">
        <x:v>Late delivery</x:v>
      </x:c>
      <x:c r="G2702" s="6" t="n">
        <x:v>5</x:v>
      </x:c>
      <x:c r="H2702" s="6" t="n">
        <x:v>4</x:v>
      </x:c>
      <x:c r="I2702" s="6" t="n">
        <x:f>G2702-H2702</x:f>
        <x:v>1</x:v>
      </x:c>
      <x:c r="J2702" s="6" t="n">
        <x:f>IF(OR(E2702="CANCELED",E2702="SUSPECTED_FRAUD",F2702="Shipping canceled"),0,1)</x:f>
        <x:v>1</x:v>
      </x:c>
      <x:c r="K2702" s="6" t="n">
        <x:f>IF(G2702&gt;H2702,1,0)</x:f>
        <x:v>1</x:v>
      </x:c>
      <x:c r="L2702" s="6" t="n">
        <x:f>J2702*K2702</x:f>
        <x:v>1</x:v>
      </x:c>
    </x:row>
    <x:row r="2703">
      <x:c r="A2703" s="1" t="n">
        <x:v>20426</x:v>
      </x:c>
      <x:c r="B2703" s="5" t="d">
        <x:v>2015-10-26T00:00:00.000Z</x:v>
      </x:c>
      <x:c r="C2703" s="1" t="str">
        <x:v>Standard Class</x:v>
      </x:c>
      <x:c r="D2703" s="1" t="str">
        <x:v>Pacific Asia</x:v>
      </x:c>
      <x:c r="E2703" s="1" t="str">
        <x:v>PENDING</x:v>
      </x:c>
      <x:c r="F2703" s="1" t="str">
        <x:v>Advance shipping</x:v>
      </x:c>
      <x:c r="G2703" s="6" t="n">
        <x:v>2</x:v>
      </x:c>
      <x:c r="H2703" s="6" t="n">
        <x:v>4</x:v>
      </x:c>
      <x:c r="I2703" s="6" t="n">
        <x:f>G2703-H2703</x:f>
        <x:v>-2</x:v>
      </x:c>
      <x:c r="J2703" s="6" t="n">
        <x:f>IF(OR(E2703="CANCELED",E2703="SUSPECTED_FRAUD",F2703="Shipping canceled"),0,1)</x:f>
        <x:v>1</x:v>
      </x:c>
      <x:c r="K2703" s="6" t="n">
        <x:f>IF(G2703&gt;H2703,1,0)</x:f>
        <x:v>0</x:v>
      </x:c>
      <x:c r="L2703" s="6" t="n">
        <x:f>J2703*K2703</x:f>
        <x:v>0</x:v>
      </x:c>
    </x:row>
    <x:row r="2704">
      <x:c r="A2704" s="1" t="n">
        <x:v>20474</x:v>
      </x:c>
      <x:c r="B2704" s="5" t="d">
        <x:v>2015-10-26T00:00:00.000Z</x:v>
      </x:c>
      <x:c r="C2704" s="1" t="str">
        <x:v>Second Class</x:v>
      </x:c>
      <x:c r="D2704" s="1" t="str">
        <x:v>Pacific Asia</x:v>
      </x:c>
      <x:c r="E2704" s="1" t="str">
        <x:v>COMPLETE</x:v>
      </x:c>
      <x:c r="F2704" s="1" t="str">
        <x:v>Late delivery</x:v>
      </x:c>
      <x:c r="G2704" s="6" t="n">
        <x:v>5</x:v>
      </x:c>
      <x:c r="H2704" s="6" t="n">
        <x:v>2</x:v>
      </x:c>
      <x:c r="I2704" s="6" t="n">
        <x:f>G2704-H2704</x:f>
        <x:v>3</x:v>
      </x:c>
      <x:c r="J2704" s="6" t="n">
        <x:f>IF(OR(E2704="CANCELED",E2704="SUSPECTED_FRAUD",F2704="Shipping canceled"),0,1)</x:f>
        <x:v>1</x:v>
      </x:c>
      <x:c r="K2704" s="6" t="n">
        <x:f>IF(G2704&gt;H2704,1,0)</x:f>
        <x:v>1</x:v>
      </x:c>
      <x:c r="L2704" s="6" t="n">
        <x:f>J2704*K2704</x:f>
        <x:v>1</x:v>
      </x:c>
    </x:row>
    <x:row r="2705">
      <x:c r="A2705" s="1" t="n">
        <x:v>20476</x:v>
      </x:c>
      <x:c r="B2705" s="5" t="d">
        <x:v>2015-10-26T00:00:00.000Z</x:v>
      </x:c>
      <x:c r="C2705" s="1" t="str">
        <x:v>Second Class</x:v>
      </x:c>
      <x:c r="D2705" s="1" t="str">
        <x:v>Pacific Asia</x:v>
      </x:c>
      <x:c r="E2705" s="1" t="str">
        <x:v>PROCESSING</x:v>
      </x:c>
      <x:c r="F2705" s="1" t="str">
        <x:v>Shipping on time</x:v>
      </x:c>
      <x:c r="G2705" s="6" t="n">
        <x:v>2</x:v>
      </x:c>
      <x:c r="H2705" s="6" t="n">
        <x:v>2</x:v>
      </x:c>
      <x:c r="I2705" s="6" t="n">
        <x:f>G2705-H2705</x:f>
        <x:v>0</x:v>
      </x:c>
      <x:c r="J2705" s="6" t="n">
        <x:f>IF(OR(E2705="CANCELED",E2705="SUSPECTED_FRAUD",F2705="Shipping canceled"),0,1)</x:f>
        <x:v>1</x:v>
      </x:c>
      <x:c r="K2705" s="6" t="n">
        <x:f>IF(G2705&gt;H2705,1,0)</x:f>
        <x:v>0</x:v>
      </x:c>
      <x:c r="L2705" s="6" t="n">
        <x:f>J2705*K2705</x:f>
        <x:v>0</x:v>
      </x:c>
    </x:row>
    <x:row r="2706">
      <x:c r="A2706" s="1" t="n">
        <x:v>20488</x:v>
      </x:c>
      <x:c r="B2706" s="5" t="d">
        <x:v>2015-10-27T00:00:00.000Z</x:v>
      </x:c>
      <x:c r="C2706" s="1" t="str">
        <x:v>Standard Class</x:v>
      </x:c>
      <x:c r="D2706" s="1" t="str">
        <x:v>Pacific Asia</x:v>
      </x:c>
      <x:c r="E2706" s="1" t="str">
        <x:v>PROCESSING</x:v>
      </x:c>
      <x:c r="F2706" s="1" t="str">
        <x:v>Shipping on time</x:v>
      </x:c>
      <x:c r="G2706" s="6" t="n">
        <x:v>4</x:v>
      </x:c>
      <x:c r="H2706" s="6" t="n">
        <x:v>4</x:v>
      </x:c>
      <x:c r="I2706" s="6" t="n">
        <x:f>G2706-H2706</x:f>
        <x:v>0</x:v>
      </x:c>
      <x:c r="J2706" s="6" t="n">
        <x:f>IF(OR(E2706="CANCELED",E2706="SUSPECTED_FRAUD",F2706="Shipping canceled"),0,1)</x:f>
        <x:v>1</x:v>
      </x:c>
      <x:c r="K2706" s="6" t="n">
        <x:f>IF(G2706&gt;H2706,1,0)</x:f>
        <x:v>0</x:v>
      </x:c>
      <x:c r="L2706" s="6" t="n">
        <x:f>J2706*K2706</x:f>
        <x:v>0</x:v>
      </x:c>
    </x:row>
    <x:row r="2707">
      <x:c r="A2707" s="1" t="n">
        <x:v>20492</x:v>
      </x:c>
      <x:c r="B2707" s="5" t="d">
        <x:v>2015-10-27T00:00:00.000Z</x:v>
      </x:c>
      <x:c r="C2707" s="1" t="str">
        <x:v>Standard Class</x:v>
      </x:c>
      <x:c r="D2707" s="1" t="str">
        <x:v>Pacific Asia</x:v>
      </x:c>
      <x:c r="E2707" s="1" t="str">
        <x:v>COMPLETE</x:v>
      </x:c>
      <x:c r="F2707" s="1" t="str">
        <x:v>Advance shipping</x:v>
      </x:c>
      <x:c r="G2707" s="6" t="n">
        <x:v>3</x:v>
      </x:c>
      <x:c r="H2707" s="6" t="n">
        <x:v>4</x:v>
      </x:c>
      <x:c r="I2707" s="6" t="n">
        <x:f>G2707-H2707</x:f>
        <x:v>-1</x:v>
      </x:c>
      <x:c r="J2707" s="6" t="n">
        <x:f>IF(OR(E2707="CANCELED",E2707="SUSPECTED_FRAUD",F2707="Shipping canceled"),0,1)</x:f>
        <x:v>1</x:v>
      </x:c>
      <x:c r="K2707" s="6" t="n">
        <x:f>IF(G2707&gt;H2707,1,0)</x:f>
        <x:v>0</x:v>
      </x:c>
      <x:c r="L2707" s="6" t="n">
        <x:f>J2707*K2707</x:f>
        <x:v>0</x:v>
      </x:c>
    </x:row>
    <x:row r="2708">
      <x:c r="A2708" s="1" t="n">
        <x:v>20494</x:v>
      </x:c>
      <x:c r="B2708" s="5" t="d">
        <x:v>2015-10-27T00:00:00.000Z</x:v>
      </x:c>
      <x:c r="C2708" s="1" t="str">
        <x:v>Standard Class</x:v>
      </x:c>
      <x:c r="D2708" s="1" t="str">
        <x:v>Pacific Asia</x:v>
      </x:c>
      <x:c r="E2708" s="1" t="str">
        <x:v>COMPLETE</x:v>
      </x:c>
      <x:c r="F2708" s="1" t="str">
        <x:v>Late delivery</x:v>
      </x:c>
      <x:c r="G2708" s="6" t="n">
        <x:v>5</x:v>
      </x:c>
      <x:c r="H2708" s="6" t="n">
        <x:v>4</x:v>
      </x:c>
      <x:c r="I2708" s="6" t="n">
        <x:f>G2708-H2708</x:f>
        <x:v>1</x:v>
      </x:c>
      <x:c r="J2708" s="6" t="n">
        <x:f>IF(OR(E2708="CANCELED",E2708="SUSPECTED_FRAUD",F2708="Shipping canceled"),0,1)</x:f>
        <x:v>1</x:v>
      </x:c>
      <x:c r="K2708" s="6" t="n">
        <x:f>IF(G2708&gt;H2708,1,0)</x:f>
        <x:v>1</x:v>
      </x:c>
      <x:c r="L2708" s="6" t="n">
        <x:f>J2708*K2708</x:f>
        <x:v>1</x:v>
      </x:c>
    </x:row>
    <x:row r="2709">
      <x:c r="A2709" s="1" t="n">
        <x:v>20507</x:v>
      </x:c>
      <x:c r="B2709" s="5" t="d">
        <x:v>2015-10-27T00:00:00.000Z</x:v>
      </x:c>
      <x:c r="C2709" s="1" t="str">
        <x:v>Standard Class</x:v>
      </x:c>
      <x:c r="D2709" s="1" t="str">
        <x:v>Pacific Asia</x:v>
      </x:c>
      <x:c r="E2709" s="1" t="str">
        <x:v>SUSPECTED_FRAUD</x:v>
      </x:c>
      <x:c r="F2709" s="1" t="str">
        <x:v>Shipping canceled</x:v>
      </x:c>
      <x:c r="G2709" s="6" t="n">
        <x:v>3</x:v>
      </x:c>
      <x:c r="H2709" s="6" t="n">
        <x:v>4</x:v>
      </x:c>
      <x:c r="I2709" s="6" t="n">
        <x:f>G2709-H2709</x:f>
        <x:v>-1</x:v>
      </x:c>
      <x:c r="J2709" s="6" t="n">
        <x:f>IF(OR(E2709="CANCELED",E2709="SUSPECTED_FRAUD",F2709="Shipping canceled"),0,1)</x:f>
        <x:v>0</x:v>
      </x:c>
      <x:c r="K2709" s="6" t="n">
        <x:f>IF(G2709&gt;H2709,1,0)</x:f>
        <x:v>0</x:v>
      </x:c>
      <x:c r="L2709" s="6" t="n">
        <x:f>J2709*K2709</x:f>
        <x:v>0</x:v>
      </x:c>
    </x:row>
    <x:row r="2710">
      <x:c r="A2710" s="1" t="n">
        <x:v>20508</x:v>
      </x:c>
      <x:c r="B2710" s="5" t="d">
        <x:v>2015-10-27T00:00:00.000Z</x:v>
      </x:c>
      <x:c r="C2710" s="1" t="str">
        <x:v>Standard Class</x:v>
      </x:c>
      <x:c r="D2710" s="1" t="str">
        <x:v>Pacific Asia</x:v>
      </x:c>
      <x:c r="E2710" s="1" t="str">
        <x:v>PENDING</x:v>
      </x:c>
      <x:c r="F2710" s="1" t="str">
        <x:v>Shipping on time</x:v>
      </x:c>
      <x:c r="G2710" s="6" t="n">
        <x:v>4</x:v>
      </x:c>
      <x:c r="H2710" s="6" t="n">
        <x:v>4</x:v>
      </x:c>
      <x:c r="I2710" s="6" t="n">
        <x:f>G2710-H2710</x:f>
        <x:v>0</x:v>
      </x:c>
      <x:c r="J2710" s="6" t="n">
        <x:f>IF(OR(E2710="CANCELED",E2710="SUSPECTED_FRAUD",F2710="Shipping canceled"),0,1)</x:f>
        <x:v>1</x:v>
      </x:c>
      <x:c r="K2710" s="6" t="n">
        <x:f>IF(G2710&gt;H2710,1,0)</x:f>
        <x:v>0</x:v>
      </x:c>
      <x:c r="L2710" s="6" t="n">
        <x:f>J2710*K2710</x:f>
        <x:v>0</x:v>
      </x:c>
    </x:row>
    <x:row r="2711">
      <x:c r="A2711" s="1" t="n">
        <x:v>20513</x:v>
      </x:c>
      <x:c r="B2711" s="5" t="d">
        <x:v>2015-10-27T00:00:00.000Z</x:v>
      </x:c>
      <x:c r="C2711" s="1" t="str">
        <x:v>Second Class</x:v>
      </x:c>
      <x:c r="D2711" s="1" t="str">
        <x:v>Pacific Asia</x:v>
      </x:c>
      <x:c r="E2711" s="1" t="str">
        <x:v>COMPLETE</x:v>
      </x:c>
      <x:c r="F2711" s="1" t="str">
        <x:v>Late delivery</x:v>
      </x:c>
      <x:c r="G2711" s="6" t="n">
        <x:v>4</x:v>
      </x:c>
      <x:c r="H2711" s="6" t="n">
        <x:v>2</x:v>
      </x:c>
      <x:c r="I2711" s="6" t="n">
        <x:f>G2711-H2711</x:f>
        <x:v>2</x:v>
      </x:c>
      <x:c r="J2711" s="6" t="n">
        <x:f>IF(OR(E2711="CANCELED",E2711="SUSPECTED_FRAUD",F2711="Shipping canceled"),0,1)</x:f>
        <x:v>1</x:v>
      </x:c>
      <x:c r="K2711" s="6" t="n">
        <x:f>IF(G2711&gt;H2711,1,0)</x:f>
        <x:v>1</x:v>
      </x:c>
      <x:c r="L2711" s="6" t="n">
        <x:f>J2711*K2711</x:f>
        <x:v>1</x:v>
      </x:c>
    </x:row>
    <x:row r="2712">
      <x:c r="A2712" s="1" t="n">
        <x:v>20522</x:v>
      </x:c>
      <x:c r="B2712" s="5" t="d">
        <x:v>2015-10-27T00:00:00.000Z</x:v>
      </x:c>
      <x:c r="C2712" s="1" t="str">
        <x:v>Standard Class</x:v>
      </x:c>
      <x:c r="D2712" s="1" t="str">
        <x:v>Pacific Asia</x:v>
      </x:c>
      <x:c r="E2712" s="1" t="str">
        <x:v>PENDING_PAYMENT</x:v>
      </x:c>
      <x:c r="F2712" s="1" t="str">
        <x:v>Advance shipping</x:v>
      </x:c>
      <x:c r="G2712" s="6" t="n">
        <x:v>3</x:v>
      </x:c>
      <x:c r="H2712" s="6" t="n">
        <x:v>4</x:v>
      </x:c>
      <x:c r="I2712" s="6" t="n">
        <x:f>G2712-H2712</x:f>
        <x:v>-1</x:v>
      </x:c>
      <x:c r="J2712" s="6" t="n">
        <x:f>IF(OR(E2712="CANCELED",E2712="SUSPECTED_FRAUD",F2712="Shipping canceled"),0,1)</x:f>
        <x:v>1</x:v>
      </x:c>
      <x:c r="K2712" s="6" t="n">
        <x:f>IF(G2712&gt;H2712,1,0)</x:f>
        <x:v>0</x:v>
      </x:c>
      <x:c r="L2712" s="6" t="n">
        <x:f>J2712*K2712</x:f>
        <x:v>0</x:v>
      </x:c>
    </x:row>
    <x:row r="2713">
      <x:c r="A2713" s="1" t="n">
        <x:v>20529</x:v>
      </x:c>
      <x:c r="B2713" s="5" t="d">
        <x:v>2015-10-27T00:00:00.000Z</x:v>
      </x:c>
      <x:c r="C2713" s="1" t="str">
        <x:v>Second Class</x:v>
      </x:c>
      <x:c r="D2713" s="1" t="str">
        <x:v>Pacific Asia</x:v>
      </x:c>
      <x:c r="E2713" s="1" t="str">
        <x:v>PENDING_PAYMENT</x:v>
      </x:c>
      <x:c r="F2713" s="1" t="str">
        <x:v>Late delivery</x:v>
      </x:c>
      <x:c r="G2713" s="6" t="n">
        <x:v>5</x:v>
      </x:c>
      <x:c r="H2713" s="6" t="n">
        <x:v>2</x:v>
      </x:c>
      <x:c r="I2713" s="6" t="n">
        <x:f>G2713-H2713</x:f>
        <x:v>3</x:v>
      </x:c>
      <x:c r="J2713" s="6" t="n">
        <x:f>IF(OR(E2713="CANCELED",E2713="SUSPECTED_FRAUD",F2713="Shipping canceled"),0,1)</x:f>
        <x:v>1</x:v>
      </x:c>
      <x:c r="K2713" s="6" t="n">
        <x:f>IF(G2713&gt;H2713,1,0)</x:f>
        <x:v>1</x:v>
      </x:c>
      <x:c r="L2713" s="6" t="n">
        <x:f>J2713*K2713</x:f>
        <x:v>1</x:v>
      </x:c>
    </x:row>
    <x:row r="2714">
      <x:c r="A2714" s="1" t="n">
        <x:v>20562</x:v>
      </x:c>
      <x:c r="B2714" s="5" t="d">
        <x:v>2015-10-28T00:00:00.000Z</x:v>
      </x:c>
      <x:c r="C2714" s="1" t="str">
        <x:v>Standard Class</x:v>
      </x:c>
      <x:c r="D2714" s="1" t="str">
        <x:v>Pacific Asia</x:v>
      </x:c>
      <x:c r="E2714" s="1" t="str">
        <x:v>PENDING_PAYMENT</x:v>
      </x:c>
      <x:c r="F2714" s="1" t="str">
        <x:v>Advance shipping</x:v>
      </x:c>
      <x:c r="G2714" s="6" t="n">
        <x:v>3</x:v>
      </x:c>
      <x:c r="H2714" s="6" t="n">
        <x:v>4</x:v>
      </x:c>
      <x:c r="I2714" s="6" t="n">
        <x:f>G2714-H2714</x:f>
        <x:v>-1</x:v>
      </x:c>
      <x:c r="J2714" s="6" t="n">
        <x:f>IF(OR(E2714="CANCELED",E2714="SUSPECTED_FRAUD",F2714="Shipping canceled"),0,1)</x:f>
        <x:v>1</x:v>
      </x:c>
      <x:c r="K2714" s="6" t="n">
        <x:f>IF(G2714&gt;H2714,1,0)</x:f>
        <x:v>0</x:v>
      </x:c>
      <x:c r="L2714" s="6" t="n">
        <x:f>J2714*K2714</x:f>
        <x:v>0</x:v>
      </x:c>
    </x:row>
    <x:row r="2715">
      <x:c r="A2715" s="1" t="n">
        <x:v>20563</x:v>
      </x:c>
      <x:c r="B2715" s="5" t="d">
        <x:v>2015-10-28T00:00:00.000Z</x:v>
      </x:c>
      <x:c r="C2715" s="1" t="str">
        <x:v>Second Class</x:v>
      </x:c>
      <x:c r="D2715" s="1" t="str">
        <x:v>Pacific Asia</x:v>
      </x:c>
      <x:c r="E2715" s="1" t="str">
        <x:v>COMPLETE</x:v>
      </x:c>
      <x:c r="F2715" s="1" t="str">
        <x:v>Late delivery</x:v>
      </x:c>
      <x:c r="G2715" s="6" t="n">
        <x:v>4</x:v>
      </x:c>
      <x:c r="H2715" s="6" t="n">
        <x:v>2</x:v>
      </x:c>
      <x:c r="I2715" s="6" t="n">
        <x:f>G2715-H2715</x:f>
        <x:v>2</x:v>
      </x:c>
      <x:c r="J2715" s="6" t="n">
        <x:f>IF(OR(E2715="CANCELED",E2715="SUSPECTED_FRAUD",F2715="Shipping canceled"),0,1)</x:f>
        <x:v>1</x:v>
      </x:c>
      <x:c r="K2715" s="6" t="n">
        <x:f>IF(G2715&gt;H2715,1,0)</x:f>
        <x:v>1</x:v>
      </x:c>
      <x:c r="L2715" s="6" t="n">
        <x:f>J2715*K2715</x:f>
        <x:v>1</x:v>
      </x:c>
    </x:row>
    <x:row r="2716">
      <x:c r="A2716" s="1" t="n">
        <x:v>20566</x:v>
      </x:c>
      <x:c r="B2716" s="5" t="d">
        <x:v>2015-10-28T00:00:00.000Z</x:v>
      </x:c>
      <x:c r="C2716" s="1" t="str">
        <x:v>Standard Class</x:v>
      </x:c>
      <x:c r="D2716" s="1" t="str">
        <x:v>Pacific Asia</x:v>
      </x:c>
      <x:c r="E2716" s="1" t="str">
        <x:v>PENDING</x:v>
      </x:c>
      <x:c r="F2716" s="1" t="str">
        <x:v>Advance shipping</x:v>
      </x:c>
      <x:c r="G2716" s="6" t="n">
        <x:v>2</x:v>
      </x:c>
      <x:c r="H2716" s="6" t="n">
        <x:v>4</x:v>
      </x:c>
      <x:c r="I2716" s="6" t="n">
        <x:f>G2716-H2716</x:f>
        <x:v>-2</x:v>
      </x:c>
      <x:c r="J2716" s="6" t="n">
        <x:f>IF(OR(E2716="CANCELED",E2716="SUSPECTED_FRAUD",F2716="Shipping canceled"),0,1)</x:f>
        <x:v>1</x:v>
      </x:c>
      <x:c r="K2716" s="6" t="n">
        <x:f>IF(G2716&gt;H2716,1,0)</x:f>
        <x:v>0</x:v>
      </x:c>
      <x:c r="L2716" s="6" t="n">
        <x:f>J2716*K2716</x:f>
        <x:v>0</x:v>
      </x:c>
    </x:row>
    <x:row r="2717">
      <x:c r="A2717" s="1" t="n">
        <x:v>20570</x:v>
      </x:c>
      <x:c r="B2717" s="5" t="d">
        <x:v>2015-10-28T00:00:00.000Z</x:v>
      </x:c>
      <x:c r="C2717" s="1" t="str">
        <x:v>Second Class</x:v>
      </x:c>
      <x:c r="D2717" s="1" t="str">
        <x:v>Pacific Asia</x:v>
      </x:c>
      <x:c r="E2717" s="1" t="str">
        <x:v>ON_HOLD</x:v>
      </x:c>
      <x:c r="F2717" s="1" t="str">
        <x:v>Late delivery</x:v>
      </x:c>
      <x:c r="G2717" s="6" t="n">
        <x:v>6</x:v>
      </x:c>
      <x:c r="H2717" s="6" t="n">
        <x:v>2</x:v>
      </x:c>
      <x:c r="I2717" s="6" t="n">
        <x:f>G2717-H2717</x:f>
        <x:v>4</x:v>
      </x:c>
      <x:c r="J2717" s="6" t="n">
        <x:f>IF(OR(E2717="CANCELED",E2717="SUSPECTED_FRAUD",F2717="Shipping canceled"),0,1)</x:f>
        <x:v>1</x:v>
      </x:c>
      <x:c r="K2717" s="6" t="n">
        <x:f>IF(G2717&gt;H2717,1,0)</x:f>
        <x:v>1</x:v>
      </x:c>
      <x:c r="L2717" s="6" t="n">
        <x:f>J2717*K2717</x:f>
        <x:v>1</x:v>
      </x:c>
    </x:row>
    <x:row r="2718">
      <x:c r="A2718" s="1" t="n">
        <x:v>20594</x:v>
      </x:c>
      <x:c r="B2718" s="5" t="d">
        <x:v>2015-10-28T00:00:00.000Z</x:v>
      </x:c>
      <x:c r="C2718" s="1" t="str">
        <x:v>Standard Class</x:v>
      </x:c>
      <x:c r="D2718" s="1" t="str">
        <x:v>Pacific Asia</x:v>
      </x:c>
      <x:c r="E2718" s="1" t="str">
        <x:v>PENDING</x:v>
      </x:c>
      <x:c r="F2718" s="1" t="str">
        <x:v>Late delivery</x:v>
      </x:c>
      <x:c r="G2718" s="6" t="n">
        <x:v>5</x:v>
      </x:c>
      <x:c r="H2718" s="6" t="n">
        <x:v>4</x:v>
      </x:c>
      <x:c r="I2718" s="6" t="n">
        <x:f>G2718-H2718</x:f>
        <x:v>1</x:v>
      </x:c>
      <x:c r="J2718" s="6" t="n">
        <x:f>IF(OR(E2718="CANCELED",E2718="SUSPECTED_FRAUD",F2718="Shipping canceled"),0,1)</x:f>
        <x:v>1</x:v>
      </x:c>
      <x:c r="K2718" s="6" t="n">
        <x:f>IF(G2718&gt;H2718,1,0)</x:f>
        <x:v>1</x:v>
      </x:c>
      <x:c r="L2718" s="6" t="n">
        <x:f>J2718*K2718</x:f>
        <x:v>1</x:v>
      </x:c>
    </x:row>
    <x:row r="2719">
      <x:c r="A2719" s="1" t="n">
        <x:v>20595</x:v>
      </x:c>
      <x:c r="B2719" s="5" t="d">
        <x:v>2015-10-28T00:00:00.000Z</x:v>
      </x:c>
      <x:c r="C2719" s="1" t="str">
        <x:v>Standard Class</x:v>
      </x:c>
      <x:c r="D2719" s="1" t="str">
        <x:v>Pacific Asia</x:v>
      </x:c>
      <x:c r="E2719" s="1" t="str">
        <x:v>COMPLETE</x:v>
      </x:c>
      <x:c r="F2719" s="1" t="str">
        <x:v>Late delivery</x:v>
      </x:c>
      <x:c r="G2719" s="6" t="n">
        <x:v>6</x:v>
      </x:c>
      <x:c r="H2719" s="6" t="n">
        <x:v>4</x:v>
      </x:c>
      <x:c r="I2719" s="6" t="n">
        <x:f>G2719-H2719</x:f>
        <x:v>2</x:v>
      </x:c>
      <x:c r="J2719" s="6" t="n">
        <x:f>IF(OR(E2719="CANCELED",E2719="SUSPECTED_FRAUD",F2719="Shipping canceled"),0,1)</x:f>
        <x:v>1</x:v>
      </x:c>
      <x:c r="K2719" s="6" t="n">
        <x:f>IF(G2719&gt;H2719,1,0)</x:f>
        <x:v>1</x:v>
      </x:c>
      <x:c r="L2719" s="6" t="n">
        <x:f>J2719*K2719</x:f>
        <x:v>1</x:v>
      </x:c>
    </x:row>
    <x:row r="2720">
      <x:c r="A2720" s="1" t="n">
        <x:v>20602</x:v>
      </x:c>
      <x:c r="B2720" s="5" t="d">
        <x:v>2015-10-28T00:00:00.000Z</x:v>
      </x:c>
      <x:c r="C2720" s="1" t="str">
        <x:v>Standard Class</x:v>
      </x:c>
      <x:c r="D2720" s="1" t="str">
        <x:v>Pacific Asia</x:v>
      </x:c>
      <x:c r="E2720" s="1" t="str">
        <x:v>PENDING</x:v>
      </x:c>
      <x:c r="F2720" s="1" t="str">
        <x:v>Advance shipping</x:v>
      </x:c>
      <x:c r="G2720" s="6" t="n">
        <x:v>3</x:v>
      </x:c>
      <x:c r="H2720" s="6" t="n">
        <x:v>4</x:v>
      </x:c>
      <x:c r="I2720" s="6" t="n">
        <x:f>G2720-H2720</x:f>
        <x:v>-1</x:v>
      </x:c>
      <x:c r="J2720" s="6" t="n">
        <x:f>IF(OR(E2720="CANCELED",E2720="SUSPECTED_FRAUD",F2720="Shipping canceled"),0,1)</x:f>
        <x:v>1</x:v>
      </x:c>
      <x:c r="K2720" s="6" t="n">
        <x:f>IF(G2720&gt;H2720,1,0)</x:f>
        <x:v>0</x:v>
      </x:c>
      <x:c r="L2720" s="6" t="n">
        <x:f>J2720*K2720</x:f>
        <x:v>0</x:v>
      </x:c>
    </x:row>
    <x:row r="2721">
      <x:c r="A2721" s="1" t="n">
        <x:v>20604</x:v>
      </x:c>
      <x:c r="B2721" s="5" t="d">
        <x:v>2015-10-28T00:00:00.000Z</x:v>
      </x:c>
      <x:c r="C2721" s="1" t="str">
        <x:v>Standard Class</x:v>
      </x:c>
      <x:c r="D2721" s="1" t="str">
        <x:v>Pacific Asia</x:v>
      </x:c>
      <x:c r="E2721" s="1" t="str">
        <x:v>PROCESSING</x:v>
      </x:c>
      <x:c r="F2721" s="1" t="str">
        <x:v>Late delivery</x:v>
      </x:c>
      <x:c r="G2721" s="6" t="n">
        <x:v>5</x:v>
      </x:c>
      <x:c r="H2721" s="6" t="n">
        <x:v>4</x:v>
      </x:c>
      <x:c r="I2721" s="6" t="n">
        <x:f>G2721-H2721</x:f>
        <x:v>1</x:v>
      </x:c>
      <x:c r="J2721" s="6" t="n">
        <x:f>IF(OR(E2721="CANCELED",E2721="SUSPECTED_FRAUD",F2721="Shipping canceled"),0,1)</x:f>
        <x:v>1</x:v>
      </x:c>
      <x:c r="K2721" s="6" t="n">
        <x:f>IF(G2721&gt;H2721,1,0)</x:f>
        <x:v>1</x:v>
      </x:c>
      <x:c r="L2721" s="6" t="n">
        <x:f>J2721*K2721</x:f>
        <x:v>1</x:v>
      </x:c>
    </x:row>
    <x:row r="2722">
      <x:c r="A2722" s="1" t="n">
        <x:v>20652</x:v>
      </x:c>
      <x:c r="B2722" s="5" t="d">
        <x:v>2015-10-29T00:00:00.000Z</x:v>
      </x:c>
      <x:c r="C2722" s="1" t="str">
        <x:v>Standard Class</x:v>
      </x:c>
      <x:c r="D2722" s="1" t="str">
        <x:v>Pacific Asia</x:v>
      </x:c>
      <x:c r="E2722" s="1" t="str">
        <x:v>PENDING</x:v>
      </x:c>
      <x:c r="F2722" s="1" t="str">
        <x:v>Advance shipping</x:v>
      </x:c>
      <x:c r="G2722" s="6" t="n">
        <x:v>3</x:v>
      </x:c>
      <x:c r="H2722" s="6" t="n">
        <x:v>4</x:v>
      </x:c>
      <x:c r="I2722" s="6" t="n">
        <x:f>G2722-H2722</x:f>
        <x:v>-1</x:v>
      </x:c>
      <x:c r="J2722" s="6" t="n">
        <x:f>IF(OR(E2722="CANCELED",E2722="SUSPECTED_FRAUD",F2722="Shipping canceled"),0,1)</x:f>
        <x:v>1</x:v>
      </x:c>
      <x:c r="K2722" s="6" t="n">
        <x:f>IF(G2722&gt;H2722,1,0)</x:f>
        <x:v>0</x:v>
      </x:c>
      <x:c r="L2722" s="6" t="n">
        <x:f>J2722*K2722</x:f>
        <x:v>0</x:v>
      </x:c>
    </x:row>
    <x:row r="2723">
      <x:c r="A2723" s="1" t="n">
        <x:v>20660</x:v>
      </x:c>
      <x:c r="B2723" s="5" t="d">
        <x:v>2015-10-29T00:00:00.000Z</x:v>
      </x:c>
      <x:c r="C2723" s="1" t="str">
        <x:v>Standard Class</x:v>
      </x:c>
      <x:c r="D2723" s="1" t="str">
        <x:v>Pacific Asia</x:v>
      </x:c>
      <x:c r="E2723" s="1" t="str">
        <x:v>PENDING_PAYMENT</x:v>
      </x:c>
      <x:c r="F2723" s="1" t="str">
        <x:v>Late delivery</x:v>
      </x:c>
      <x:c r="G2723" s="6" t="n">
        <x:v>6</x:v>
      </x:c>
      <x:c r="H2723" s="6" t="n">
        <x:v>4</x:v>
      </x:c>
      <x:c r="I2723" s="6" t="n">
        <x:f>G2723-H2723</x:f>
        <x:v>2</x:v>
      </x:c>
      <x:c r="J2723" s="6" t="n">
        <x:f>IF(OR(E2723="CANCELED",E2723="SUSPECTED_FRAUD",F2723="Shipping canceled"),0,1)</x:f>
        <x:v>1</x:v>
      </x:c>
      <x:c r="K2723" s="6" t="n">
        <x:f>IF(G2723&gt;H2723,1,0)</x:f>
        <x:v>1</x:v>
      </x:c>
      <x:c r="L2723" s="6" t="n">
        <x:f>J2723*K2723</x:f>
        <x:v>1</x:v>
      </x:c>
    </x:row>
    <x:row r="2724">
      <x:c r="A2724" s="1" t="n">
        <x:v>20662</x:v>
      </x:c>
      <x:c r="B2724" s="5" t="d">
        <x:v>2015-10-29T00:00:00.000Z</x:v>
      </x:c>
      <x:c r="C2724" s="1" t="str">
        <x:v>Standard Class</x:v>
      </x:c>
      <x:c r="D2724" s="1" t="str">
        <x:v>Pacific Asia</x:v>
      </x:c>
      <x:c r="E2724" s="1" t="str">
        <x:v>COMPLETE</x:v>
      </x:c>
      <x:c r="F2724" s="1" t="str">
        <x:v>Advance shipping</x:v>
      </x:c>
      <x:c r="G2724" s="6" t="n">
        <x:v>3</x:v>
      </x:c>
      <x:c r="H2724" s="6" t="n">
        <x:v>4</x:v>
      </x:c>
      <x:c r="I2724" s="6" t="n">
        <x:f>G2724-H2724</x:f>
        <x:v>-1</x:v>
      </x:c>
      <x:c r="J2724" s="6" t="n">
        <x:f>IF(OR(E2724="CANCELED",E2724="SUSPECTED_FRAUD",F2724="Shipping canceled"),0,1)</x:f>
        <x:v>1</x:v>
      </x:c>
      <x:c r="K2724" s="6" t="n">
        <x:f>IF(G2724&gt;H2724,1,0)</x:f>
        <x:v>0</x:v>
      </x:c>
      <x:c r="L2724" s="6" t="n">
        <x:f>J2724*K2724</x:f>
        <x:v>0</x:v>
      </x:c>
    </x:row>
    <x:row r="2725">
      <x:c r="A2725" s="1" t="n">
        <x:v>20689</x:v>
      </x:c>
      <x:c r="B2725" s="5" t="d">
        <x:v>2015-10-29T00:00:00.000Z</x:v>
      </x:c>
      <x:c r="C2725" s="1" t="str">
        <x:v>Standard Class</x:v>
      </x:c>
      <x:c r="D2725" s="1" t="str">
        <x:v>Pacific Asia</x:v>
      </x:c>
      <x:c r="E2725" s="1" t="str">
        <x:v>COMPLETE</x:v>
      </x:c>
      <x:c r="F2725" s="1" t="str">
        <x:v>Late delivery</x:v>
      </x:c>
      <x:c r="G2725" s="6" t="n">
        <x:v>5</x:v>
      </x:c>
      <x:c r="H2725" s="6" t="n">
        <x:v>4</x:v>
      </x:c>
      <x:c r="I2725" s="6" t="n">
        <x:f>G2725-H2725</x:f>
        <x:v>1</x:v>
      </x:c>
      <x:c r="J2725" s="6" t="n">
        <x:f>IF(OR(E2725="CANCELED",E2725="SUSPECTED_FRAUD",F2725="Shipping canceled"),0,1)</x:f>
        <x:v>1</x:v>
      </x:c>
      <x:c r="K2725" s="6" t="n">
        <x:f>IF(G2725&gt;H2725,1,0)</x:f>
        <x:v>1</x:v>
      </x:c>
      <x:c r="L2725" s="6" t="n">
        <x:f>J2725*K2725</x:f>
        <x:v>1</x:v>
      </x:c>
    </x:row>
    <x:row r="2726">
      <x:c r="A2726" s="1" t="n">
        <x:v>20704</x:v>
      </x:c>
      <x:c r="B2726" s="5" t="d">
        <x:v>2015-10-30T00:00:00.000Z</x:v>
      </x:c>
      <x:c r="C2726" s="1" t="str">
        <x:v>Standard Class</x:v>
      </x:c>
      <x:c r="D2726" s="1" t="str">
        <x:v>Pacific Asia</x:v>
      </x:c>
      <x:c r="E2726" s="1" t="str">
        <x:v>COMPLETE</x:v>
      </x:c>
      <x:c r="F2726" s="1" t="str">
        <x:v>Late delivery</x:v>
      </x:c>
      <x:c r="G2726" s="6" t="n">
        <x:v>5</x:v>
      </x:c>
      <x:c r="H2726" s="6" t="n">
        <x:v>4</x:v>
      </x:c>
      <x:c r="I2726" s="6" t="n">
        <x:f>G2726-H2726</x:f>
        <x:v>1</x:v>
      </x:c>
      <x:c r="J2726" s="6" t="n">
        <x:f>IF(OR(E2726="CANCELED",E2726="SUSPECTED_FRAUD",F2726="Shipping canceled"),0,1)</x:f>
        <x:v>1</x:v>
      </x:c>
      <x:c r="K2726" s="6" t="n">
        <x:f>IF(G2726&gt;H2726,1,0)</x:f>
        <x:v>1</x:v>
      </x:c>
      <x:c r="L2726" s="6" t="n">
        <x:f>J2726*K2726</x:f>
        <x:v>1</x:v>
      </x:c>
    </x:row>
    <x:row r="2727">
      <x:c r="A2727" s="1" t="n">
        <x:v>20705</x:v>
      </x:c>
      <x:c r="B2727" s="5" t="d">
        <x:v>2015-10-30T00:00:00.000Z</x:v>
      </x:c>
      <x:c r="C2727" s="1" t="str">
        <x:v>Standard Class</x:v>
      </x:c>
      <x:c r="D2727" s="1" t="str">
        <x:v>Pacific Asia</x:v>
      </x:c>
      <x:c r="E2727" s="1" t="str">
        <x:v>COMPLETE</x:v>
      </x:c>
      <x:c r="F2727" s="1" t="str">
        <x:v>Late delivery</x:v>
      </x:c>
      <x:c r="G2727" s="6" t="n">
        <x:v>6</x:v>
      </x:c>
      <x:c r="H2727" s="6" t="n">
        <x:v>4</x:v>
      </x:c>
      <x:c r="I2727" s="6" t="n">
        <x:f>G2727-H2727</x:f>
        <x:v>2</x:v>
      </x:c>
      <x:c r="J2727" s="6" t="n">
        <x:f>IF(OR(E2727="CANCELED",E2727="SUSPECTED_FRAUD",F2727="Shipping canceled"),0,1)</x:f>
        <x:v>1</x:v>
      </x:c>
      <x:c r="K2727" s="6" t="n">
        <x:f>IF(G2727&gt;H2727,1,0)</x:f>
        <x:v>1</x:v>
      </x:c>
      <x:c r="L2727" s="6" t="n">
        <x:f>J2727*K2727</x:f>
        <x:v>1</x:v>
      </x:c>
    </x:row>
    <x:row r="2728">
      <x:c r="A2728" s="1" t="n">
        <x:v>20710</x:v>
      </x:c>
      <x:c r="B2728" s="5" t="d">
        <x:v>2015-10-30T00:00:00.000Z</x:v>
      </x:c>
      <x:c r="C2728" s="1" t="str">
        <x:v>Standard Class</x:v>
      </x:c>
      <x:c r="D2728" s="1" t="str">
        <x:v>Pacific Asia</x:v>
      </x:c>
      <x:c r="E2728" s="1" t="str">
        <x:v>PENDING</x:v>
      </x:c>
      <x:c r="F2728" s="1" t="str">
        <x:v>Late delivery</x:v>
      </x:c>
      <x:c r="G2728" s="6" t="n">
        <x:v>6</x:v>
      </x:c>
      <x:c r="H2728" s="6" t="n">
        <x:v>4</x:v>
      </x:c>
      <x:c r="I2728" s="6" t="n">
        <x:f>G2728-H2728</x:f>
        <x:v>2</x:v>
      </x:c>
      <x:c r="J2728" s="6" t="n">
        <x:f>IF(OR(E2728="CANCELED",E2728="SUSPECTED_FRAUD",F2728="Shipping canceled"),0,1)</x:f>
        <x:v>1</x:v>
      </x:c>
      <x:c r="K2728" s="6" t="n">
        <x:f>IF(G2728&gt;H2728,1,0)</x:f>
        <x:v>1</x:v>
      </x:c>
      <x:c r="L2728" s="6" t="n">
        <x:f>J2728*K2728</x:f>
        <x:v>1</x:v>
      </x:c>
    </x:row>
    <x:row r="2729">
      <x:c r="A2729" s="1" t="n">
        <x:v>20718</x:v>
      </x:c>
      <x:c r="B2729" s="5" t="d">
        <x:v>2015-10-30T00:00:00.000Z</x:v>
      </x:c>
      <x:c r="C2729" s="1" t="str">
        <x:v>Standard Class</x:v>
      </x:c>
      <x:c r="D2729" s="1" t="str">
        <x:v>Pacific Asia</x:v>
      </x:c>
      <x:c r="E2729" s="1" t="str">
        <x:v>PENDING</x:v>
      </x:c>
      <x:c r="F2729" s="1" t="str">
        <x:v>Shipping on time</x:v>
      </x:c>
      <x:c r="G2729" s="6" t="n">
        <x:v>4</x:v>
      </x:c>
      <x:c r="H2729" s="6" t="n">
        <x:v>4</x:v>
      </x:c>
      <x:c r="I2729" s="6" t="n">
        <x:f>G2729-H2729</x:f>
        <x:v>0</x:v>
      </x:c>
      <x:c r="J2729" s="6" t="n">
        <x:f>IF(OR(E2729="CANCELED",E2729="SUSPECTED_FRAUD",F2729="Shipping canceled"),0,1)</x:f>
        <x:v>1</x:v>
      </x:c>
      <x:c r="K2729" s="6" t="n">
        <x:f>IF(G2729&gt;H2729,1,0)</x:f>
        <x:v>0</x:v>
      </x:c>
      <x:c r="L2729" s="6" t="n">
        <x:f>J2729*K2729</x:f>
        <x:v>0</x:v>
      </x:c>
    </x:row>
    <x:row r="2730">
      <x:c r="A2730" s="1" t="n">
        <x:v>20724</x:v>
      </x:c>
      <x:c r="B2730" s="5" t="d">
        <x:v>2015-10-30T00:00:00.000Z</x:v>
      </x:c>
      <x:c r="C2730" s="1" t="str">
        <x:v>Standard Class</x:v>
      </x:c>
      <x:c r="D2730" s="1" t="str">
        <x:v>Pacific Asia</x:v>
      </x:c>
      <x:c r="E2730" s="1" t="str">
        <x:v>COMPLETE</x:v>
      </x:c>
      <x:c r="F2730" s="1" t="str">
        <x:v>Late delivery</x:v>
      </x:c>
      <x:c r="G2730" s="6" t="n">
        <x:v>5</x:v>
      </x:c>
      <x:c r="H2730" s="6" t="n">
        <x:v>4</x:v>
      </x:c>
      <x:c r="I2730" s="6" t="n">
        <x:f>G2730-H2730</x:f>
        <x:v>1</x:v>
      </x:c>
      <x:c r="J2730" s="6" t="n">
        <x:f>IF(OR(E2730="CANCELED",E2730="SUSPECTED_FRAUD",F2730="Shipping canceled"),0,1)</x:f>
        <x:v>1</x:v>
      </x:c>
      <x:c r="K2730" s="6" t="n">
        <x:f>IF(G2730&gt;H2730,1,0)</x:f>
        <x:v>1</x:v>
      </x:c>
      <x:c r="L2730" s="6" t="n">
        <x:f>J2730*K2730</x:f>
        <x:v>1</x:v>
      </x:c>
    </x:row>
    <x:row r="2731">
      <x:c r="A2731" s="1" t="n">
        <x:v>20730</x:v>
      </x:c>
      <x:c r="B2731" s="5" t="d">
        <x:v>2015-10-30T00:00:00.000Z</x:v>
      </x:c>
      <x:c r="C2731" s="1" t="str">
        <x:v>Standard Class</x:v>
      </x:c>
      <x:c r="D2731" s="1" t="str">
        <x:v>Pacific Asia</x:v>
      </x:c>
      <x:c r="E2731" s="1" t="str">
        <x:v>CLOSED</x:v>
      </x:c>
      <x:c r="F2731" s="1" t="str">
        <x:v>Late delivery</x:v>
      </x:c>
      <x:c r="G2731" s="6" t="n">
        <x:v>6</x:v>
      </x:c>
      <x:c r="H2731" s="6" t="n">
        <x:v>4</x:v>
      </x:c>
      <x:c r="I2731" s="6" t="n">
        <x:f>G2731-H2731</x:f>
        <x:v>2</x:v>
      </x:c>
      <x:c r="J2731" s="6" t="n">
        <x:f>IF(OR(E2731="CANCELED",E2731="SUSPECTED_FRAUD",F2731="Shipping canceled"),0,1)</x:f>
        <x:v>1</x:v>
      </x:c>
      <x:c r="K2731" s="6" t="n">
        <x:f>IF(G2731&gt;H2731,1,0)</x:f>
        <x:v>1</x:v>
      </x:c>
      <x:c r="L2731" s="6" t="n">
        <x:f>J2731*K2731</x:f>
        <x:v>1</x:v>
      </x:c>
    </x:row>
    <x:row r="2732">
      <x:c r="A2732" s="1" t="n">
        <x:v>20731</x:v>
      </x:c>
      <x:c r="B2732" s="5" t="d">
        <x:v>2015-10-30T00:00:00.000Z</x:v>
      </x:c>
      <x:c r="C2732" s="1" t="str">
        <x:v>Standard Class</x:v>
      </x:c>
      <x:c r="D2732" s="1" t="str">
        <x:v>Pacific Asia</x:v>
      </x:c>
      <x:c r="E2732" s="1" t="str">
        <x:v>COMPLETE</x:v>
      </x:c>
      <x:c r="F2732" s="1" t="str">
        <x:v>Advance shipping</x:v>
      </x:c>
      <x:c r="G2732" s="6" t="n">
        <x:v>2</x:v>
      </x:c>
      <x:c r="H2732" s="6" t="n">
        <x:v>4</x:v>
      </x:c>
      <x:c r="I2732" s="6" t="n">
        <x:f>G2732-H2732</x:f>
        <x:v>-2</x:v>
      </x:c>
      <x:c r="J2732" s="6" t="n">
        <x:f>IF(OR(E2732="CANCELED",E2732="SUSPECTED_FRAUD",F2732="Shipping canceled"),0,1)</x:f>
        <x:v>1</x:v>
      </x:c>
      <x:c r="K2732" s="6" t="n">
        <x:f>IF(G2732&gt;H2732,1,0)</x:f>
        <x:v>0</x:v>
      </x:c>
      <x:c r="L2732" s="6" t="n">
        <x:f>J2732*K2732</x:f>
        <x:v>0</x:v>
      </x:c>
    </x:row>
    <x:row r="2733">
      <x:c r="A2733" s="1" t="n">
        <x:v>20743</x:v>
      </x:c>
      <x:c r="B2733" s="5" t="d">
        <x:v>2015-10-30T00:00:00.000Z</x:v>
      </x:c>
      <x:c r="C2733" s="1" t="str">
        <x:v>First Class</x:v>
      </x:c>
      <x:c r="D2733" s="1" t="str">
        <x:v>Pacific Asia</x:v>
      </x:c>
      <x:c r="E2733" s="1" t="str">
        <x:v>PENDING</x:v>
      </x:c>
      <x:c r="F2733" s="1" t="str">
        <x:v>Late delivery</x:v>
      </x:c>
      <x:c r="G2733" s="6" t="n">
        <x:v>2</x:v>
      </x:c>
      <x:c r="H2733" s="6" t="n">
        <x:v>1</x:v>
      </x:c>
      <x:c r="I2733" s="6" t="n">
        <x:f>G2733-H2733</x:f>
        <x:v>1</x:v>
      </x:c>
      <x:c r="J2733" s="6" t="n">
        <x:f>IF(OR(E2733="CANCELED",E2733="SUSPECTED_FRAUD",F2733="Shipping canceled"),0,1)</x:f>
        <x:v>1</x:v>
      </x:c>
      <x:c r="K2733" s="6" t="n">
        <x:f>IF(G2733&gt;H2733,1,0)</x:f>
        <x:v>1</x:v>
      </x:c>
      <x:c r="L2733" s="6" t="n">
        <x:f>J2733*K2733</x:f>
        <x:v>1</x:v>
      </x:c>
    </x:row>
    <x:row r="2734">
      <x:c r="A2734" s="1" t="n">
        <x:v>20754</x:v>
      </x:c>
      <x:c r="B2734" s="5" t="d">
        <x:v>2015-10-30T00:00:00.000Z</x:v>
      </x:c>
      <x:c r="C2734" s="1" t="str">
        <x:v>Standard Class</x:v>
      </x:c>
      <x:c r="D2734" s="1" t="str">
        <x:v>Pacific Asia</x:v>
      </x:c>
      <x:c r="E2734" s="1" t="str">
        <x:v>COMPLETE</x:v>
      </x:c>
      <x:c r="F2734" s="1" t="str">
        <x:v>Late delivery</x:v>
      </x:c>
      <x:c r="G2734" s="6" t="n">
        <x:v>5</x:v>
      </x:c>
      <x:c r="H2734" s="6" t="n">
        <x:v>4</x:v>
      </x:c>
      <x:c r="I2734" s="6" t="n">
        <x:f>G2734-H2734</x:f>
        <x:v>1</x:v>
      </x:c>
      <x:c r="J2734" s="6" t="n">
        <x:f>IF(OR(E2734="CANCELED",E2734="SUSPECTED_FRAUD",F2734="Shipping canceled"),0,1)</x:f>
        <x:v>1</x:v>
      </x:c>
      <x:c r="K2734" s="6" t="n">
        <x:f>IF(G2734&gt;H2734,1,0)</x:f>
        <x:v>1</x:v>
      </x:c>
      <x:c r="L2734" s="6" t="n">
        <x:f>J2734*K2734</x:f>
        <x:v>1</x:v>
      </x:c>
    </x:row>
    <x:row r="2735">
      <x:c r="A2735" s="1" t="n">
        <x:v>20755</x:v>
      </x:c>
      <x:c r="B2735" s="5" t="d">
        <x:v>2015-10-30T00:00:00.000Z</x:v>
      </x:c>
      <x:c r="C2735" s="1" t="str">
        <x:v>Standard Class</x:v>
      </x:c>
      <x:c r="D2735" s="1" t="str">
        <x:v>Pacific Asia</x:v>
      </x:c>
      <x:c r="E2735" s="1" t="str">
        <x:v>PENDING</x:v>
      </x:c>
      <x:c r="F2735" s="1" t="str">
        <x:v>Late delivery</x:v>
      </x:c>
      <x:c r="G2735" s="6" t="n">
        <x:v>6</x:v>
      </x:c>
      <x:c r="H2735" s="6" t="n">
        <x:v>4</x:v>
      </x:c>
      <x:c r="I2735" s="6" t="n">
        <x:f>G2735-H2735</x:f>
        <x:v>2</x:v>
      </x:c>
      <x:c r="J2735" s="6" t="n">
        <x:f>IF(OR(E2735="CANCELED",E2735="SUSPECTED_FRAUD",F2735="Shipping canceled"),0,1)</x:f>
        <x:v>1</x:v>
      </x:c>
      <x:c r="K2735" s="6" t="n">
        <x:f>IF(G2735&gt;H2735,1,0)</x:f>
        <x:v>1</x:v>
      </x:c>
      <x:c r="L2735" s="6" t="n">
        <x:f>J2735*K2735</x:f>
        <x:v>1</x:v>
      </x:c>
    </x:row>
    <x:row r="2736">
      <x:c r="A2736" s="1" t="n">
        <x:v>20756</x:v>
      </x:c>
      <x:c r="B2736" s="5" t="d">
        <x:v>2015-10-30T00:00:00.000Z</x:v>
      </x:c>
      <x:c r="C2736" s="1" t="str">
        <x:v>Standard Class</x:v>
      </x:c>
      <x:c r="D2736" s="1" t="str">
        <x:v>Pacific Asia</x:v>
      </x:c>
      <x:c r="E2736" s="1" t="str">
        <x:v>COMPLETE</x:v>
      </x:c>
      <x:c r="F2736" s="1" t="str">
        <x:v>Advance shipping</x:v>
      </x:c>
      <x:c r="G2736" s="6" t="n">
        <x:v>2</x:v>
      </x:c>
      <x:c r="H2736" s="6" t="n">
        <x:v>4</x:v>
      </x:c>
      <x:c r="I2736" s="6" t="n">
        <x:f>G2736-H2736</x:f>
        <x:v>-2</x:v>
      </x:c>
      <x:c r="J2736" s="6" t="n">
        <x:f>IF(OR(E2736="CANCELED",E2736="SUSPECTED_FRAUD",F2736="Shipping canceled"),0,1)</x:f>
        <x:v>1</x:v>
      </x:c>
      <x:c r="K2736" s="6" t="n">
        <x:f>IF(G2736&gt;H2736,1,0)</x:f>
        <x:v>0</x:v>
      </x:c>
      <x:c r="L2736" s="6" t="n">
        <x:f>J2736*K2736</x:f>
        <x:v>0</x:v>
      </x:c>
    </x:row>
    <x:row r="2737">
      <x:c r="A2737" s="1" t="n">
        <x:v>20757</x:v>
      </x:c>
      <x:c r="B2737" s="5" t="d">
        <x:v>2015-10-30T00:00:00.000Z</x:v>
      </x:c>
      <x:c r="C2737" s="1" t="str">
        <x:v>Standard Class</x:v>
      </x:c>
      <x:c r="D2737" s="1" t="str">
        <x:v>Pacific Asia</x:v>
      </x:c>
      <x:c r="E2737" s="1" t="str">
        <x:v>COMPLETE</x:v>
      </x:c>
      <x:c r="F2737" s="1" t="str">
        <x:v>Advance shipping</x:v>
      </x:c>
      <x:c r="G2737" s="6" t="n">
        <x:v>3</x:v>
      </x:c>
      <x:c r="H2737" s="6" t="n">
        <x:v>4</x:v>
      </x:c>
      <x:c r="I2737" s="6" t="n">
        <x:f>G2737-H2737</x:f>
        <x:v>-1</x:v>
      </x:c>
      <x:c r="J2737" s="6" t="n">
        <x:f>IF(OR(E2737="CANCELED",E2737="SUSPECTED_FRAUD",F2737="Shipping canceled"),0,1)</x:f>
        <x:v>1</x:v>
      </x:c>
      <x:c r="K2737" s="6" t="n">
        <x:f>IF(G2737&gt;H2737,1,0)</x:f>
        <x:v>0</x:v>
      </x:c>
      <x:c r="L2737" s="6" t="n">
        <x:f>J2737*K2737</x:f>
        <x:v>0</x:v>
      </x:c>
    </x:row>
    <x:row r="2738">
      <x:c r="A2738" s="1" t="n">
        <x:v>20758</x:v>
      </x:c>
      <x:c r="B2738" s="5" t="d">
        <x:v>2015-10-31T00:00:00.000Z</x:v>
      </x:c>
      <x:c r="C2738" s="1" t="str">
        <x:v>Standard Class</x:v>
      </x:c>
      <x:c r="D2738" s="1" t="str">
        <x:v>Pacific Asia</x:v>
      </x:c>
      <x:c r="E2738" s="1" t="str">
        <x:v>PROCESSING</x:v>
      </x:c>
      <x:c r="F2738" s="1" t="str">
        <x:v>Shipping on time</x:v>
      </x:c>
      <x:c r="G2738" s="6" t="n">
        <x:v>4</x:v>
      </x:c>
      <x:c r="H2738" s="6" t="n">
        <x:v>4</x:v>
      </x:c>
      <x:c r="I2738" s="6" t="n">
        <x:f>G2738-H2738</x:f>
        <x:v>0</x:v>
      </x:c>
      <x:c r="J2738" s="6" t="n">
        <x:f>IF(OR(E2738="CANCELED",E2738="SUSPECTED_FRAUD",F2738="Shipping canceled"),0,1)</x:f>
        <x:v>1</x:v>
      </x:c>
      <x:c r="K2738" s="6" t="n">
        <x:f>IF(G2738&gt;H2738,1,0)</x:f>
        <x:v>0</x:v>
      </x:c>
      <x:c r="L2738" s="6" t="n">
        <x:f>J2738*K2738</x:f>
        <x:v>0</x:v>
      </x:c>
    </x:row>
    <x:row r="2739">
      <x:c r="A2739" s="1" t="n">
        <x:v>20760</x:v>
      </x:c>
      <x:c r="B2739" s="5" t="d">
        <x:v>2015-10-31T00:00:00.000Z</x:v>
      </x:c>
      <x:c r="C2739" s="1" t="str">
        <x:v>Standard Class</x:v>
      </x:c>
      <x:c r="D2739" s="1" t="str">
        <x:v>Pacific Asia</x:v>
      </x:c>
      <x:c r="E2739" s="1" t="str">
        <x:v>PROCESSING</x:v>
      </x:c>
      <x:c r="F2739" s="1" t="str">
        <x:v>Late delivery</x:v>
      </x:c>
      <x:c r="G2739" s="6" t="n">
        <x:v>6</x:v>
      </x:c>
      <x:c r="H2739" s="6" t="n">
        <x:v>4</x:v>
      </x:c>
      <x:c r="I2739" s="6" t="n">
        <x:f>G2739-H2739</x:f>
        <x:v>2</x:v>
      </x:c>
      <x:c r="J2739" s="6" t="n">
        <x:f>IF(OR(E2739="CANCELED",E2739="SUSPECTED_FRAUD",F2739="Shipping canceled"),0,1)</x:f>
        <x:v>1</x:v>
      </x:c>
      <x:c r="K2739" s="6" t="n">
        <x:f>IF(G2739&gt;H2739,1,0)</x:f>
        <x:v>1</x:v>
      </x:c>
      <x:c r="L2739" s="6" t="n">
        <x:f>J2739*K2739</x:f>
        <x:v>1</x:v>
      </x:c>
    </x:row>
    <x:row r="2740">
      <x:c r="A2740" s="1" t="n">
        <x:v>20768</x:v>
      </x:c>
      <x:c r="B2740" s="5" t="d">
        <x:v>2015-10-31T00:00:00.000Z</x:v>
      </x:c>
      <x:c r="C2740" s="1" t="str">
        <x:v>Standard Class</x:v>
      </x:c>
      <x:c r="D2740" s="1" t="str">
        <x:v>Pacific Asia</x:v>
      </x:c>
      <x:c r="E2740" s="1" t="str">
        <x:v>CLOSED</x:v>
      </x:c>
      <x:c r="F2740" s="1" t="str">
        <x:v>Shipping on time</x:v>
      </x:c>
      <x:c r="G2740" s="6" t="n">
        <x:v>4</x:v>
      </x:c>
      <x:c r="H2740" s="6" t="n">
        <x:v>4</x:v>
      </x:c>
      <x:c r="I2740" s="6" t="n">
        <x:f>G2740-H2740</x:f>
        <x:v>0</x:v>
      </x:c>
      <x:c r="J2740" s="6" t="n">
        <x:f>IF(OR(E2740="CANCELED",E2740="SUSPECTED_FRAUD",F2740="Shipping canceled"),0,1)</x:f>
        <x:v>1</x:v>
      </x:c>
      <x:c r="K2740" s="6" t="n">
        <x:f>IF(G2740&gt;H2740,1,0)</x:f>
        <x:v>0</x:v>
      </x:c>
      <x:c r="L2740" s="6" t="n">
        <x:f>J2740*K2740</x:f>
        <x:v>0</x:v>
      </x:c>
    </x:row>
    <x:row r="2741">
      <x:c r="A2741" s="1" t="n">
        <x:v>20772</x:v>
      </x:c>
      <x:c r="B2741" s="5" t="d">
        <x:v>2015-10-31T00:00:00.000Z</x:v>
      </x:c>
      <x:c r="C2741" s="1" t="str">
        <x:v>Standard Class</x:v>
      </x:c>
      <x:c r="D2741" s="1" t="str">
        <x:v>Pacific Asia</x:v>
      </x:c>
      <x:c r="E2741" s="1" t="str">
        <x:v>COMPLETE</x:v>
      </x:c>
      <x:c r="F2741" s="1" t="str">
        <x:v>Advance shipping</x:v>
      </x:c>
      <x:c r="G2741" s="6" t="n">
        <x:v>3</x:v>
      </x:c>
      <x:c r="H2741" s="6" t="n">
        <x:v>4</x:v>
      </x:c>
      <x:c r="I2741" s="6" t="n">
        <x:f>G2741-H2741</x:f>
        <x:v>-1</x:v>
      </x:c>
      <x:c r="J2741" s="6" t="n">
        <x:f>IF(OR(E2741="CANCELED",E2741="SUSPECTED_FRAUD",F2741="Shipping canceled"),0,1)</x:f>
        <x:v>1</x:v>
      </x:c>
      <x:c r="K2741" s="6" t="n">
        <x:f>IF(G2741&gt;H2741,1,0)</x:f>
        <x:v>0</x:v>
      </x:c>
      <x:c r="L2741" s="6" t="n">
        <x:f>J2741*K2741</x:f>
        <x:v>0</x:v>
      </x:c>
    </x:row>
    <x:row r="2742">
      <x:c r="A2742" s="1" t="n">
        <x:v>20773</x:v>
      </x:c>
      <x:c r="B2742" s="5" t="d">
        <x:v>2015-10-31T00:00:00.000Z</x:v>
      </x:c>
      <x:c r="C2742" s="1" t="str">
        <x:v>Standard Class</x:v>
      </x:c>
      <x:c r="D2742" s="1" t="str">
        <x:v>Pacific Asia</x:v>
      </x:c>
      <x:c r="E2742" s="1" t="str">
        <x:v>PROCESSING</x:v>
      </x:c>
      <x:c r="F2742" s="1" t="str">
        <x:v>Shipping on time</x:v>
      </x:c>
      <x:c r="G2742" s="6" t="n">
        <x:v>4</x:v>
      </x:c>
      <x:c r="H2742" s="6" t="n">
        <x:v>4</x:v>
      </x:c>
      <x:c r="I2742" s="6" t="n">
        <x:f>G2742-H2742</x:f>
        <x:v>0</x:v>
      </x:c>
      <x:c r="J2742" s="6" t="n">
        <x:f>IF(OR(E2742="CANCELED",E2742="SUSPECTED_FRAUD",F2742="Shipping canceled"),0,1)</x:f>
        <x:v>1</x:v>
      </x:c>
      <x:c r="K2742" s="6" t="n">
        <x:f>IF(G2742&gt;H2742,1,0)</x:f>
        <x:v>0</x:v>
      </x:c>
      <x:c r="L2742" s="6" t="n">
        <x:f>J2742*K2742</x:f>
        <x:v>0</x:v>
      </x:c>
    </x:row>
    <x:row r="2743">
      <x:c r="A2743" s="1" t="n">
        <x:v>20775</x:v>
      </x:c>
      <x:c r="B2743" s="5" t="d">
        <x:v>2015-10-31T00:00:00.000Z</x:v>
      </x:c>
      <x:c r="C2743" s="1" t="str">
        <x:v>Standard Class</x:v>
      </x:c>
      <x:c r="D2743" s="1" t="str">
        <x:v>Pacific Asia</x:v>
      </x:c>
      <x:c r="E2743" s="1" t="str">
        <x:v>PROCESSING</x:v>
      </x:c>
      <x:c r="F2743" s="1" t="str">
        <x:v>Late delivery</x:v>
      </x:c>
      <x:c r="G2743" s="6" t="n">
        <x:v>6</x:v>
      </x:c>
      <x:c r="H2743" s="6" t="n">
        <x:v>4</x:v>
      </x:c>
      <x:c r="I2743" s="6" t="n">
        <x:f>G2743-H2743</x:f>
        <x:v>2</x:v>
      </x:c>
      <x:c r="J2743" s="6" t="n">
        <x:f>IF(OR(E2743="CANCELED",E2743="SUSPECTED_FRAUD",F2743="Shipping canceled"),0,1)</x:f>
        <x:v>1</x:v>
      </x:c>
      <x:c r="K2743" s="6" t="n">
        <x:f>IF(G2743&gt;H2743,1,0)</x:f>
        <x:v>1</x:v>
      </x:c>
      <x:c r="L2743" s="6" t="n">
        <x:f>J2743*K2743</x:f>
        <x:v>1</x:v>
      </x:c>
    </x:row>
    <x:row r="2744">
      <x:c r="A2744" s="1" t="n">
        <x:v>20787</x:v>
      </x:c>
      <x:c r="B2744" s="5" t="d">
        <x:v>2015-10-31T00:00:00.000Z</x:v>
      </x:c>
      <x:c r="C2744" s="1" t="str">
        <x:v>Standard Class</x:v>
      </x:c>
      <x:c r="D2744" s="1" t="str">
        <x:v>Pacific Asia</x:v>
      </x:c>
      <x:c r="E2744" s="1" t="str">
        <x:v>COMPLETE</x:v>
      </x:c>
      <x:c r="F2744" s="1" t="str">
        <x:v>Advance shipping</x:v>
      </x:c>
      <x:c r="G2744" s="6" t="n">
        <x:v>3</x:v>
      </x:c>
      <x:c r="H2744" s="6" t="n">
        <x:v>4</x:v>
      </x:c>
      <x:c r="I2744" s="6" t="n">
        <x:f>G2744-H2744</x:f>
        <x:v>-1</x:v>
      </x:c>
      <x:c r="J2744" s="6" t="n">
        <x:f>IF(OR(E2744="CANCELED",E2744="SUSPECTED_FRAUD",F2744="Shipping canceled"),0,1)</x:f>
        <x:v>1</x:v>
      </x:c>
      <x:c r="K2744" s="6" t="n">
        <x:f>IF(G2744&gt;H2744,1,0)</x:f>
        <x:v>0</x:v>
      </x:c>
      <x:c r="L2744" s="6" t="n">
        <x:f>J2744*K2744</x:f>
        <x:v>0</x:v>
      </x:c>
    </x:row>
    <x:row r="2745">
      <x:c r="A2745" s="1" t="n">
        <x:v>20789</x:v>
      </x:c>
      <x:c r="B2745" s="5" t="d">
        <x:v>2015-10-31T00:00:00.000Z</x:v>
      </x:c>
      <x:c r="C2745" s="1" t="str">
        <x:v>Standard Class</x:v>
      </x:c>
      <x:c r="D2745" s="1" t="str">
        <x:v>Pacific Asia</x:v>
      </x:c>
      <x:c r="E2745" s="1" t="str">
        <x:v>ON_HOLD</x:v>
      </x:c>
      <x:c r="F2745" s="1" t="str">
        <x:v>Late delivery</x:v>
      </x:c>
      <x:c r="G2745" s="6" t="n">
        <x:v>5</x:v>
      </x:c>
      <x:c r="H2745" s="6" t="n">
        <x:v>4</x:v>
      </x:c>
      <x:c r="I2745" s="6" t="n">
        <x:f>G2745-H2745</x:f>
        <x:v>1</x:v>
      </x:c>
      <x:c r="J2745" s="6" t="n">
        <x:f>IF(OR(E2745="CANCELED",E2745="SUSPECTED_FRAUD",F2745="Shipping canceled"),0,1)</x:f>
        <x:v>1</x:v>
      </x:c>
      <x:c r="K2745" s="6" t="n">
        <x:f>IF(G2745&gt;H2745,1,0)</x:f>
        <x:v>1</x:v>
      </x:c>
      <x:c r="L2745" s="6" t="n">
        <x:f>J2745*K2745</x:f>
        <x:v>1</x:v>
      </x:c>
    </x:row>
    <x:row r="2746">
      <x:c r="A2746" s="1" t="n">
        <x:v>20805</x:v>
      </x:c>
      <x:c r="B2746" s="5" t="d">
        <x:v>2015-10-31T00:00:00.000Z</x:v>
      </x:c>
      <x:c r="C2746" s="1" t="str">
        <x:v>Standard Class</x:v>
      </x:c>
      <x:c r="D2746" s="1" t="str">
        <x:v>Pacific Asia</x:v>
      </x:c>
      <x:c r="E2746" s="1" t="str">
        <x:v>PROCESSING</x:v>
      </x:c>
      <x:c r="F2746" s="1" t="str">
        <x:v>Late delivery</x:v>
      </x:c>
      <x:c r="G2746" s="6" t="n">
        <x:v>6</x:v>
      </x:c>
      <x:c r="H2746" s="6" t="n">
        <x:v>4</x:v>
      </x:c>
      <x:c r="I2746" s="6" t="n">
        <x:f>G2746-H2746</x:f>
        <x:v>2</x:v>
      </x:c>
      <x:c r="J2746" s="6" t="n">
        <x:f>IF(OR(E2746="CANCELED",E2746="SUSPECTED_FRAUD",F2746="Shipping canceled"),0,1)</x:f>
        <x:v>1</x:v>
      </x:c>
      <x:c r="K2746" s="6" t="n">
        <x:f>IF(G2746&gt;H2746,1,0)</x:f>
        <x:v>1</x:v>
      </x:c>
      <x:c r="L2746" s="6" t="n">
        <x:f>J2746*K2746</x:f>
        <x:v>1</x:v>
      </x:c>
    </x:row>
    <x:row r="2747">
      <x:c r="A2747" s="1" t="n">
        <x:v>20838</x:v>
      </x:c>
      <x:c r="B2747" s="5" t="d">
        <x:v>2015-11-01T00:00:00.000Z</x:v>
      </x:c>
      <x:c r="C2747" s="1" t="str">
        <x:v>Standard Class</x:v>
      </x:c>
      <x:c r="D2747" s="1" t="str">
        <x:v>Pacific Asia</x:v>
      </x:c>
      <x:c r="E2747" s="1" t="str">
        <x:v>PENDING</x:v>
      </x:c>
      <x:c r="F2747" s="1" t="str">
        <x:v>Shipping on time</x:v>
      </x:c>
      <x:c r="G2747" s="6" t="n">
        <x:v>4</x:v>
      </x:c>
      <x:c r="H2747" s="6" t="n">
        <x:v>4</x:v>
      </x:c>
      <x:c r="I2747" s="6" t="n">
        <x:f>G2747-H2747</x:f>
        <x:v>0</x:v>
      </x:c>
      <x:c r="J2747" s="6" t="n">
        <x:f>IF(OR(E2747="CANCELED",E2747="SUSPECTED_FRAUD",F2747="Shipping canceled"),0,1)</x:f>
        <x:v>1</x:v>
      </x:c>
      <x:c r="K2747" s="6" t="n">
        <x:f>IF(G2747&gt;H2747,1,0)</x:f>
        <x:v>0</x:v>
      </x:c>
      <x:c r="L2747" s="6" t="n">
        <x:f>J2747*K2747</x:f>
        <x:v>0</x:v>
      </x:c>
    </x:row>
    <x:row r="2748">
      <x:c r="A2748" s="1" t="n">
        <x:v>20843</x:v>
      </x:c>
      <x:c r="B2748" s="5" t="d">
        <x:v>2015-11-01T00:00:00.000Z</x:v>
      </x:c>
      <x:c r="C2748" s="1" t="str">
        <x:v>Second Class</x:v>
      </x:c>
      <x:c r="D2748" s="1" t="str">
        <x:v>Pacific Asia</x:v>
      </x:c>
      <x:c r="E2748" s="1" t="str">
        <x:v>COMPLETE</x:v>
      </x:c>
      <x:c r="F2748" s="1" t="str">
        <x:v>Late delivery</x:v>
      </x:c>
      <x:c r="G2748" s="6" t="n">
        <x:v>4</x:v>
      </x:c>
      <x:c r="H2748" s="6" t="n">
        <x:v>2</x:v>
      </x:c>
      <x:c r="I2748" s="6" t="n">
        <x:f>G2748-H2748</x:f>
        <x:v>2</x:v>
      </x:c>
      <x:c r="J2748" s="6" t="n">
        <x:f>IF(OR(E2748="CANCELED",E2748="SUSPECTED_FRAUD",F2748="Shipping canceled"),0,1)</x:f>
        <x:v>1</x:v>
      </x:c>
      <x:c r="K2748" s="6" t="n">
        <x:f>IF(G2748&gt;H2748,1,0)</x:f>
        <x:v>1</x:v>
      </x:c>
      <x:c r="L2748" s="6" t="n">
        <x:f>J2748*K2748</x:f>
        <x:v>1</x:v>
      </x:c>
    </x:row>
    <x:row r="2749">
      <x:c r="A2749" s="1" t="n">
        <x:v>20863</x:v>
      </x:c>
      <x:c r="B2749" s="5" t="d">
        <x:v>2015-11-01T00:00:00.000Z</x:v>
      </x:c>
      <x:c r="C2749" s="1" t="str">
        <x:v>Standard Class</x:v>
      </x:c>
      <x:c r="D2749" s="1" t="str">
        <x:v>Pacific Asia</x:v>
      </x:c>
      <x:c r="E2749" s="1" t="str">
        <x:v>COMPLETE</x:v>
      </x:c>
      <x:c r="F2749" s="1" t="str">
        <x:v>Shipping on time</x:v>
      </x:c>
      <x:c r="G2749" s="6" t="n">
        <x:v>4</x:v>
      </x:c>
      <x:c r="H2749" s="6" t="n">
        <x:v>4</x:v>
      </x:c>
      <x:c r="I2749" s="6" t="n">
        <x:f>G2749-H2749</x:f>
        <x:v>0</x:v>
      </x:c>
      <x:c r="J2749" s="6" t="n">
        <x:f>IF(OR(E2749="CANCELED",E2749="SUSPECTED_FRAUD",F2749="Shipping canceled"),0,1)</x:f>
        <x:v>1</x:v>
      </x:c>
      <x:c r="K2749" s="6" t="n">
        <x:f>IF(G2749&gt;H2749,1,0)</x:f>
        <x:v>0</x:v>
      </x:c>
      <x:c r="L2749" s="6" t="n">
        <x:f>J2749*K2749</x:f>
        <x:v>0</x:v>
      </x:c>
    </x:row>
    <x:row r="2750">
      <x:c r="A2750" s="1" t="n">
        <x:v>20880</x:v>
      </x:c>
      <x:c r="B2750" s="5" t="d">
        <x:v>2015-11-01T00:00:00.000Z</x:v>
      </x:c>
      <x:c r="C2750" s="1" t="str">
        <x:v>Standard Class</x:v>
      </x:c>
      <x:c r="D2750" s="1" t="str">
        <x:v>Pacific Asia</x:v>
      </x:c>
      <x:c r="E2750" s="1" t="str">
        <x:v>PROCESSING</x:v>
      </x:c>
      <x:c r="F2750" s="1" t="str">
        <x:v>Late delivery</x:v>
      </x:c>
      <x:c r="G2750" s="6" t="n">
        <x:v>6</x:v>
      </x:c>
      <x:c r="H2750" s="6" t="n">
        <x:v>4</x:v>
      </x:c>
      <x:c r="I2750" s="6" t="n">
        <x:f>G2750-H2750</x:f>
        <x:v>2</x:v>
      </x:c>
      <x:c r="J2750" s="6" t="n">
        <x:f>IF(OR(E2750="CANCELED",E2750="SUSPECTED_FRAUD",F2750="Shipping canceled"),0,1)</x:f>
        <x:v>1</x:v>
      </x:c>
      <x:c r="K2750" s="6" t="n">
        <x:f>IF(G2750&gt;H2750,1,0)</x:f>
        <x:v>1</x:v>
      </x:c>
      <x:c r="L2750" s="6" t="n">
        <x:f>J2750*K2750</x:f>
        <x:v>1</x:v>
      </x:c>
    </x:row>
    <x:row r="2751">
      <x:c r="A2751" s="1" t="n">
        <x:v>20887</x:v>
      </x:c>
      <x:c r="B2751" s="5" t="d">
        <x:v>2015-11-01T00:00:00.000Z</x:v>
      </x:c>
      <x:c r="C2751" s="1" t="str">
        <x:v>Standard Class</x:v>
      </x:c>
      <x:c r="D2751" s="1" t="str">
        <x:v>Pacific Asia</x:v>
      </x:c>
      <x:c r="E2751" s="1" t="str">
        <x:v>PENDING_PAYMENT</x:v>
      </x:c>
      <x:c r="F2751" s="1" t="str">
        <x:v>Advance shipping</x:v>
      </x:c>
      <x:c r="G2751" s="6" t="n">
        <x:v>3</x:v>
      </x:c>
      <x:c r="H2751" s="6" t="n">
        <x:v>4</x:v>
      </x:c>
      <x:c r="I2751" s="6" t="n">
        <x:f>G2751-H2751</x:f>
        <x:v>-1</x:v>
      </x:c>
      <x:c r="J2751" s="6" t="n">
        <x:f>IF(OR(E2751="CANCELED",E2751="SUSPECTED_FRAUD",F2751="Shipping canceled"),0,1)</x:f>
        <x:v>1</x:v>
      </x:c>
      <x:c r="K2751" s="6" t="n">
        <x:f>IF(G2751&gt;H2751,1,0)</x:f>
        <x:v>0</x:v>
      </x:c>
      <x:c r="L2751" s="6" t="n">
        <x:f>J2751*K2751</x:f>
        <x:v>0</x:v>
      </x:c>
    </x:row>
    <x:row r="2752">
      <x:c r="A2752" s="1" t="n">
        <x:v>20901</x:v>
      </x:c>
      <x:c r="B2752" s="5" t="d">
        <x:v>2015-11-02T00:00:00.000Z</x:v>
      </x:c>
      <x:c r="C2752" s="1" t="str">
        <x:v>Standard Class</x:v>
      </x:c>
      <x:c r="D2752" s="1" t="str">
        <x:v>Pacific Asia</x:v>
      </x:c>
      <x:c r="E2752" s="1" t="str">
        <x:v>COMPLETE</x:v>
      </x:c>
      <x:c r="F2752" s="1" t="str">
        <x:v>Advance shipping</x:v>
      </x:c>
      <x:c r="G2752" s="6" t="n">
        <x:v>2</x:v>
      </x:c>
      <x:c r="H2752" s="6" t="n">
        <x:v>4</x:v>
      </x:c>
      <x:c r="I2752" s="6" t="n">
        <x:f>G2752-H2752</x:f>
        <x:v>-2</x:v>
      </x:c>
      <x:c r="J2752" s="6" t="n">
        <x:f>IF(OR(E2752="CANCELED",E2752="SUSPECTED_FRAUD",F2752="Shipping canceled"),0,1)</x:f>
        <x:v>1</x:v>
      </x:c>
      <x:c r="K2752" s="6" t="n">
        <x:f>IF(G2752&gt;H2752,1,0)</x:f>
        <x:v>0</x:v>
      </x:c>
      <x:c r="L2752" s="6" t="n">
        <x:f>J2752*K2752</x:f>
        <x:v>0</x:v>
      </x:c>
    </x:row>
    <x:row r="2753">
      <x:c r="A2753" s="1" t="n">
        <x:v>20918</x:v>
      </x:c>
      <x:c r="B2753" s="5" t="d">
        <x:v>2015-11-02T00:00:00.000Z</x:v>
      </x:c>
      <x:c r="C2753" s="1" t="str">
        <x:v>Standard Class</x:v>
      </x:c>
      <x:c r="D2753" s="1" t="str">
        <x:v>Pacific Asia</x:v>
      </x:c>
      <x:c r="E2753" s="1" t="str">
        <x:v>PENDING</x:v>
      </x:c>
      <x:c r="F2753" s="1" t="str">
        <x:v>Shipping on time</x:v>
      </x:c>
      <x:c r="G2753" s="6" t="n">
        <x:v>4</x:v>
      </x:c>
      <x:c r="H2753" s="6" t="n">
        <x:v>4</x:v>
      </x:c>
      <x:c r="I2753" s="6" t="n">
        <x:f>G2753-H2753</x:f>
        <x:v>0</x:v>
      </x:c>
      <x:c r="J2753" s="6" t="n">
        <x:f>IF(OR(E2753="CANCELED",E2753="SUSPECTED_FRAUD",F2753="Shipping canceled"),0,1)</x:f>
        <x:v>1</x:v>
      </x:c>
      <x:c r="K2753" s="6" t="n">
        <x:f>IF(G2753&gt;H2753,1,0)</x:f>
        <x:v>0</x:v>
      </x:c>
      <x:c r="L2753" s="6" t="n">
        <x:f>J2753*K2753</x:f>
        <x:v>0</x:v>
      </x:c>
    </x:row>
    <x:row r="2754">
      <x:c r="A2754" s="1" t="n">
        <x:v>20929</x:v>
      </x:c>
      <x:c r="B2754" s="5" t="d">
        <x:v>2015-11-02T00:00:00.000Z</x:v>
      </x:c>
      <x:c r="C2754" s="1" t="str">
        <x:v>Standard Class</x:v>
      </x:c>
      <x:c r="D2754" s="1" t="str">
        <x:v>Pacific Asia</x:v>
      </x:c>
      <x:c r="E2754" s="1" t="str">
        <x:v>PROCESSING</x:v>
      </x:c>
      <x:c r="F2754" s="1" t="str">
        <x:v>Late delivery</x:v>
      </x:c>
      <x:c r="G2754" s="6" t="n">
        <x:v>5</x:v>
      </x:c>
      <x:c r="H2754" s="6" t="n">
        <x:v>4</x:v>
      </x:c>
      <x:c r="I2754" s="6" t="n">
        <x:f>G2754-H2754</x:f>
        <x:v>1</x:v>
      </x:c>
      <x:c r="J2754" s="6" t="n">
        <x:f>IF(OR(E2754="CANCELED",E2754="SUSPECTED_FRAUD",F2754="Shipping canceled"),0,1)</x:f>
        <x:v>1</x:v>
      </x:c>
      <x:c r="K2754" s="6" t="n">
        <x:f>IF(G2754&gt;H2754,1,0)</x:f>
        <x:v>1</x:v>
      </x:c>
      <x:c r="L2754" s="6" t="n">
        <x:f>J2754*K2754</x:f>
        <x:v>1</x:v>
      </x:c>
    </x:row>
    <x:row r="2755">
      <x:c r="A2755" s="1" t="n">
        <x:v>20931</x:v>
      </x:c>
      <x:c r="B2755" s="5" t="d">
        <x:v>2015-11-02T00:00:00.000Z</x:v>
      </x:c>
      <x:c r="C2755" s="1" t="str">
        <x:v>Standard Class</x:v>
      </x:c>
      <x:c r="D2755" s="1" t="str">
        <x:v>Pacific Asia</x:v>
      </x:c>
      <x:c r="E2755" s="1" t="str">
        <x:v>PENDING</x:v>
      </x:c>
      <x:c r="F2755" s="1" t="str">
        <x:v>Advance shipping</x:v>
      </x:c>
      <x:c r="G2755" s="6" t="n">
        <x:v>2</x:v>
      </x:c>
      <x:c r="H2755" s="6" t="n">
        <x:v>4</x:v>
      </x:c>
      <x:c r="I2755" s="6" t="n">
        <x:f>G2755-H2755</x:f>
        <x:v>-2</x:v>
      </x:c>
      <x:c r="J2755" s="6" t="n">
        <x:f>IF(OR(E2755="CANCELED",E2755="SUSPECTED_FRAUD",F2755="Shipping canceled"),0,1)</x:f>
        <x:v>1</x:v>
      </x:c>
      <x:c r="K2755" s="6" t="n">
        <x:f>IF(G2755&gt;H2755,1,0)</x:f>
        <x:v>0</x:v>
      </x:c>
      <x:c r="L2755" s="6" t="n">
        <x:f>J2755*K2755</x:f>
        <x:v>0</x:v>
      </x:c>
    </x:row>
    <x:row r="2756">
      <x:c r="A2756" s="1" t="n">
        <x:v>20937</x:v>
      </x:c>
      <x:c r="B2756" s="5" t="d">
        <x:v>2015-11-02T00:00:00.000Z</x:v>
      </x:c>
      <x:c r="C2756" s="1" t="str">
        <x:v>Standard Class</x:v>
      </x:c>
      <x:c r="D2756" s="1" t="str">
        <x:v>Pacific Asia</x:v>
      </x:c>
      <x:c r="E2756" s="1" t="str">
        <x:v>ON_HOLD</x:v>
      </x:c>
      <x:c r="F2756" s="1" t="str">
        <x:v>Advance shipping</x:v>
      </x:c>
      <x:c r="G2756" s="6" t="n">
        <x:v>3</x:v>
      </x:c>
      <x:c r="H2756" s="6" t="n">
        <x:v>4</x:v>
      </x:c>
      <x:c r="I2756" s="6" t="n">
        <x:f>G2756-H2756</x:f>
        <x:v>-1</x:v>
      </x:c>
      <x:c r="J2756" s="6" t="n">
        <x:f>IF(OR(E2756="CANCELED",E2756="SUSPECTED_FRAUD",F2756="Shipping canceled"),0,1)</x:f>
        <x:v>1</x:v>
      </x:c>
      <x:c r="K2756" s="6" t="n">
        <x:f>IF(G2756&gt;H2756,1,0)</x:f>
        <x:v>0</x:v>
      </x:c>
      <x:c r="L2756" s="6" t="n">
        <x:f>J2756*K2756</x:f>
        <x:v>0</x:v>
      </x:c>
    </x:row>
    <x:row r="2757">
      <x:c r="A2757" s="1" t="n">
        <x:v>20939</x:v>
      </x:c>
      <x:c r="B2757" s="5" t="d">
        <x:v>2015-11-02T00:00:00.000Z</x:v>
      </x:c>
      <x:c r="C2757" s="1" t="str">
        <x:v>Standard Class</x:v>
      </x:c>
      <x:c r="D2757" s="1" t="str">
        <x:v>Pacific Asia</x:v>
      </x:c>
      <x:c r="E2757" s="1" t="str">
        <x:v>PROCESSING</x:v>
      </x:c>
      <x:c r="F2757" s="1" t="str">
        <x:v>Late delivery</x:v>
      </x:c>
      <x:c r="G2757" s="6" t="n">
        <x:v>5</x:v>
      </x:c>
      <x:c r="H2757" s="6" t="n">
        <x:v>4</x:v>
      </x:c>
      <x:c r="I2757" s="6" t="n">
        <x:f>G2757-H2757</x:f>
        <x:v>1</x:v>
      </x:c>
      <x:c r="J2757" s="6" t="n">
        <x:f>IF(OR(E2757="CANCELED",E2757="SUSPECTED_FRAUD",F2757="Shipping canceled"),0,1)</x:f>
        <x:v>1</x:v>
      </x:c>
      <x:c r="K2757" s="6" t="n">
        <x:f>IF(G2757&gt;H2757,1,0)</x:f>
        <x:v>1</x:v>
      </x:c>
      <x:c r="L2757" s="6" t="n">
        <x:f>J2757*K2757</x:f>
        <x:v>1</x:v>
      </x:c>
    </x:row>
    <x:row r="2758">
      <x:c r="A2758" s="1" t="n">
        <x:v>20974</x:v>
      </x:c>
      <x:c r="B2758" s="5" t="d">
        <x:v>2015-11-03T00:00:00.000Z</x:v>
      </x:c>
      <x:c r="C2758" s="1" t="str">
        <x:v>First Class</x:v>
      </x:c>
      <x:c r="D2758" s="1" t="str">
        <x:v>Pacific Asia</x:v>
      </x:c>
      <x:c r="E2758" s="1" t="str">
        <x:v>PENDING</x:v>
      </x:c>
      <x:c r="F2758" s="1" t="str">
        <x:v>Late delivery</x:v>
      </x:c>
      <x:c r="G2758" s="6" t="n">
        <x:v>2</x:v>
      </x:c>
      <x:c r="H2758" s="6" t="n">
        <x:v>1</x:v>
      </x:c>
      <x:c r="I2758" s="6" t="n">
        <x:f>G2758-H2758</x:f>
        <x:v>1</x:v>
      </x:c>
      <x:c r="J2758" s="6" t="n">
        <x:f>IF(OR(E2758="CANCELED",E2758="SUSPECTED_FRAUD",F2758="Shipping canceled"),0,1)</x:f>
        <x:v>1</x:v>
      </x:c>
      <x:c r="K2758" s="6" t="n">
        <x:f>IF(G2758&gt;H2758,1,0)</x:f>
        <x:v>1</x:v>
      </x:c>
      <x:c r="L2758" s="6" t="n">
        <x:f>J2758*K2758</x:f>
        <x:v>1</x:v>
      </x:c>
    </x:row>
    <x:row r="2759">
      <x:c r="A2759" s="1" t="n">
        <x:v>20998</x:v>
      </x:c>
      <x:c r="B2759" s="5" t="d">
        <x:v>2015-11-03T00:00:00.000Z</x:v>
      </x:c>
      <x:c r="C2759" s="1" t="str">
        <x:v>Standard Class</x:v>
      </x:c>
      <x:c r="D2759" s="1" t="str">
        <x:v>Pacific Asia</x:v>
      </x:c>
      <x:c r="E2759" s="1" t="str">
        <x:v>COMPLETE</x:v>
      </x:c>
      <x:c r="F2759" s="1" t="str">
        <x:v>Shipping on time</x:v>
      </x:c>
      <x:c r="G2759" s="6" t="n">
        <x:v>4</x:v>
      </x:c>
      <x:c r="H2759" s="6" t="n">
        <x:v>4</x:v>
      </x:c>
      <x:c r="I2759" s="6" t="n">
        <x:f>G2759-H2759</x:f>
        <x:v>0</x:v>
      </x:c>
      <x:c r="J2759" s="6" t="n">
        <x:f>IF(OR(E2759="CANCELED",E2759="SUSPECTED_FRAUD",F2759="Shipping canceled"),0,1)</x:f>
        <x:v>1</x:v>
      </x:c>
      <x:c r="K2759" s="6" t="n">
        <x:f>IF(G2759&gt;H2759,1,0)</x:f>
        <x:v>0</x:v>
      </x:c>
      <x:c r="L2759" s="6" t="n">
        <x:f>J2759*K2759</x:f>
        <x:v>0</x:v>
      </x:c>
    </x:row>
    <x:row r="2760">
      <x:c r="A2760" s="1" t="n">
        <x:v>20999</x:v>
      </x:c>
      <x:c r="B2760" s="5" t="d">
        <x:v>2015-11-03T00:00:00.000Z</x:v>
      </x:c>
      <x:c r="C2760" s="1" t="str">
        <x:v>Standard Class</x:v>
      </x:c>
      <x:c r="D2760" s="1" t="str">
        <x:v>Pacific Asia</x:v>
      </x:c>
      <x:c r="E2760" s="1" t="str">
        <x:v>COMPLETE</x:v>
      </x:c>
      <x:c r="F2760" s="1" t="str">
        <x:v>Late delivery</x:v>
      </x:c>
      <x:c r="G2760" s="6" t="n">
        <x:v>5</x:v>
      </x:c>
      <x:c r="H2760" s="6" t="n">
        <x:v>4</x:v>
      </x:c>
      <x:c r="I2760" s="6" t="n">
        <x:f>G2760-H2760</x:f>
        <x:v>1</x:v>
      </x:c>
      <x:c r="J2760" s="6" t="n">
        <x:f>IF(OR(E2760="CANCELED",E2760="SUSPECTED_FRAUD",F2760="Shipping canceled"),0,1)</x:f>
        <x:v>1</x:v>
      </x:c>
      <x:c r="K2760" s="6" t="n">
        <x:f>IF(G2760&gt;H2760,1,0)</x:f>
        <x:v>1</x:v>
      </x:c>
      <x:c r="L2760" s="6" t="n">
        <x:f>J2760*K2760</x:f>
        <x:v>1</x:v>
      </x:c>
    </x:row>
    <x:row r="2761">
      <x:c r="A2761" s="1" t="n">
        <x:v>21000</x:v>
      </x:c>
      <x:c r="B2761" s="5" t="d">
        <x:v>2015-11-03T00:00:00.000Z</x:v>
      </x:c>
      <x:c r="C2761" s="1" t="str">
        <x:v>Standard Class</x:v>
      </x:c>
      <x:c r="D2761" s="1" t="str">
        <x:v>Pacific Asia</x:v>
      </x:c>
      <x:c r="E2761" s="1" t="str">
        <x:v>PROCESSING</x:v>
      </x:c>
      <x:c r="F2761" s="1" t="str">
        <x:v>Late delivery</x:v>
      </x:c>
      <x:c r="G2761" s="6" t="n">
        <x:v>6</x:v>
      </x:c>
      <x:c r="H2761" s="6" t="n">
        <x:v>4</x:v>
      </x:c>
      <x:c r="I2761" s="6" t="n">
        <x:f>G2761-H2761</x:f>
        <x:v>2</x:v>
      </x:c>
      <x:c r="J2761" s="6" t="n">
        <x:f>IF(OR(E2761="CANCELED",E2761="SUSPECTED_FRAUD",F2761="Shipping canceled"),0,1)</x:f>
        <x:v>1</x:v>
      </x:c>
      <x:c r="K2761" s="6" t="n">
        <x:f>IF(G2761&gt;H2761,1,0)</x:f>
        <x:v>1</x:v>
      </x:c>
      <x:c r="L2761" s="6" t="n">
        <x:f>J2761*K2761</x:f>
        <x:v>1</x:v>
      </x:c>
    </x:row>
    <x:row r="2762">
      <x:c r="A2762" s="1" t="n">
        <x:v>21016</x:v>
      </x:c>
      <x:c r="B2762" s="5" t="d">
        <x:v>2015-11-03T00:00:00.000Z</x:v>
      </x:c>
      <x:c r="C2762" s="1" t="str">
        <x:v>Standard Class</x:v>
      </x:c>
      <x:c r="D2762" s="1" t="str">
        <x:v>Pacific Asia</x:v>
      </x:c>
      <x:c r="E2762" s="1" t="str">
        <x:v>PROCESSING</x:v>
      </x:c>
      <x:c r="F2762" s="1" t="str">
        <x:v>Advance shipping</x:v>
      </x:c>
      <x:c r="G2762" s="6" t="n">
        <x:v>2</x:v>
      </x:c>
      <x:c r="H2762" s="6" t="n">
        <x:v>4</x:v>
      </x:c>
      <x:c r="I2762" s="6" t="n">
        <x:f>G2762-H2762</x:f>
        <x:v>-2</x:v>
      </x:c>
      <x:c r="J2762" s="6" t="n">
        <x:f>IF(OR(E2762="CANCELED",E2762="SUSPECTED_FRAUD",F2762="Shipping canceled"),0,1)</x:f>
        <x:v>1</x:v>
      </x:c>
      <x:c r="K2762" s="6" t="n">
        <x:f>IF(G2762&gt;H2762,1,0)</x:f>
        <x:v>0</x:v>
      </x:c>
      <x:c r="L2762" s="6" t="n">
        <x:f>J2762*K2762</x:f>
        <x:v>0</x:v>
      </x:c>
    </x:row>
    <x:row r="2763">
      <x:c r="A2763" s="1" t="n">
        <x:v>21028</x:v>
      </x:c>
      <x:c r="B2763" s="5" t="d">
        <x:v>2015-11-03T00:00:00.000Z</x:v>
      </x:c>
      <x:c r="C2763" s="1" t="str">
        <x:v>Same Day</x:v>
      </x:c>
      <x:c r="D2763" s="1" t="str">
        <x:v>Pacific Asia</x:v>
      </x:c>
      <x:c r="E2763" s="1" t="str">
        <x:v>CLOSED</x:v>
      </x:c>
      <x:c r="F2763" s="1" t="str">
        <x:v>Late delivery</x:v>
      </x:c>
      <x:c r="G2763" s="6" t="n">
        <x:v>1</x:v>
      </x:c>
      <x:c r="H2763" s="6" t="n">
        <x:v>0</x:v>
      </x:c>
      <x:c r="I2763" s="6" t="n">
        <x:f>G2763-H2763</x:f>
        <x:v>1</x:v>
      </x:c>
      <x:c r="J2763" s="6" t="n">
        <x:f>IF(OR(E2763="CANCELED",E2763="SUSPECTED_FRAUD",F2763="Shipping canceled"),0,1)</x:f>
        <x:v>1</x:v>
      </x:c>
      <x:c r="K2763" s="6" t="n">
        <x:f>IF(G2763&gt;H2763,1,0)</x:f>
        <x:v>1</x:v>
      </x:c>
      <x:c r="L2763" s="6" t="n">
        <x:f>J2763*K2763</x:f>
        <x:v>1</x:v>
      </x:c>
    </x:row>
    <x:row r="2764">
      <x:c r="A2764" s="1" t="n">
        <x:v>21036</x:v>
      </x:c>
      <x:c r="B2764" s="5" t="d">
        <x:v>2015-11-04T00:00:00.000Z</x:v>
      </x:c>
      <x:c r="C2764" s="1" t="str">
        <x:v>Second Class</x:v>
      </x:c>
      <x:c r="D2764" s="1" t="str">
        <x:v>Pacific Asia</x:v>
      </x:c>
      <x:c r="E2764" s="1" t="str">
        <x:v>COMPLETE</x:v>
      </x:c>
      <x:c r="F2764" s="1" t="str">
        <x:v>Shipping on time</x:v>
      </x:c>
      <x:c r="G2764" s="6" t="n">
        <x:v>2</x:v>
      </x:c>
      <x:c r="H2764" s="6" t="n">
        <x:v>2</x:v>
      </x:c>
      <x:c r="I2764" s="6" t="n">
        <x:f>G2764-H2764</x:f>
        <x:v>0</x:v>
      </x:c>
      <x:c r="J2764" s="6" t="n">
        <x:f>IF(OR(E2764="CANCELED",E2764="SUSPECTED_FRAUD",F2764="Shipping canceled"),0,1)</x:f>
        <x:v>1</x:v>
      </x:c>
      <x:c r="K2764" s="6" t="n">
        <x:f>IF(G2764&gt;H2764,1,0)</x:f>
        <x:v>0</x:v>
      </x:c>
      <x:c r="L2764" s="6" t="n">
        <x:f>J2764*K2764</x:f>
        <x:v>0</x:v>
      </x:c>
    </x:row>
    <x:row r="2765">
      <x:c r="A2765" s="1" t="n">
        <x:v>21067</x:v>
      </x:c>
      <x:c r="B2765" s="5" t="d">
        <x:v>2015-11-04T00:00:00.000Z</x:v>
      </x:c>
      <x:c r="C2765" s="1" t="str">
        <x:v>Second Class</x:v>
      </x:c>
      <x:c r="D2765" s="1" t="str">
        <x:v>Pacific Asia</x:v>
      </x:c>
      <x:c r="E2765" s="1" t="str">
        <x:v>PENDING</x:v>
      </x:c>
      <x:c r="F2765" s="1" t="str">
        <x:v>Late delivery</x:v>
      </x:c>
      <x:c r="G2765" s="6" t="n">
        <x:v>3</x:v>
      </x:c>
      <x:c r="H2765" s="6" t="n">
        <x:v>2</x:v>
      </x:c>
      <x:c r="I2765" s="6" t="n">
        <x:f>G2765-H2765</x:f>
        <x:v>1</x:v>
      </x:c>
      <x:c r="J2765" s="6" t="n">
        <x:f>IF(OR(E2765="CANCELED",E2765="SUSPECTED_FRAUD",F2765="Shipping canceled"),0,1)</x:f>
        <x:v>1</x:v>
      </x:c>
      <x:c r="K2765" s="6" t="n">
        <x:f>IF(G2765&gt;H2765,1,0)</x:f>
        <x:v>1</x:v>
      </x:c>
      <x:c r="L2765" s="6" t="n">
        <x:f>J2765*K2765</x:f>
        <x:v>1</x:v>
      </x:c>
    </x:row>
    <x:row r="2766">
      <x:c r="A2766" s="1" t="n">
        <x:v>21073</x:v>
      </x:c>
      <x:c r="B2766" s="5" t="d">
        <x:v>2015-11-04T00:00:00.000Z</x:v>
      </x:c>
      <x:c r="C2766" s="1" t="str">
        <x:v>Standard Class</x:v>
      </x:c>
      <x:c r="D2766" s="1" t="str">
        <x:v>Pacific Asia</x:v>
      </x:c>
      <x:c r="E2766" s="1" t="str">
        <x:v>CANCELED</x:v>
      </x:c>
      <x:c r="F2766" s="1" t="str">
        <x:v>Shipping canceled</x:v>
      </x:c>
      <x:c r="G2766" s="6" t="n">
        <x:v>4</x:v>
      </x:c>
      <x:c r="H2766" s="6" t="n">
        <x:v>4</x:v>
      </x:c>
      <x:c r="I2766" s="6" t="n">
        <x:f>G2766-H2766</x:f>
        <x:v>0</x:v>
      </x:c>
      <x:c r="J2766" s="6" t="n">
        <x:f>IF(OR(E2766="CANCELED",E2766="SUSPECTED_FRAUD",F2766="Shipping canceled"),0,1)</x:f>
        <x:v>0</x:v>
      </x:c>
      <x:c r="K2766" s="6" t="n">
        <x:f>IF(G2766&gt;H2766,1,0)</x:f>
        <x:v>0</x:v>
      </x:c>
      <x:c r="L2766" s="6" t="n">
        <x:f>J2766*K2766</x:f>
        <x:v>0</x:v>
      </x:c>
    </x:row>
    <x:row r="2767">
      <x:c r="A2767" s="1" t="n">
        <x:v>21086</x:v>
      </x:c>
      <x:c r="B2767" s="5" t="d">
        <x:v>2015-11-04T00:00:00.000Z</x:v>
      </x:c>
      <x:c r="C2767" s="1" t="str">
        <x:v>Standard Class</x:v>
      </x:c>
      <x:c r="D2767" s="1" t="str">
        <x:v>Pacific Asia</x:v>
      </x:c>
      <x:c r="E2767" s="1" t="str">
        <x:v>PENDING_PAYMENT</x:v>
      </x:c>
      <x:c r="F2767" s="1" t="str">
        <x:v>Advance shipping</x:v>
      </x:c>
      <x:c r="G2767" s="6" t="n">
        <x:v>2</x:v>
      </x:c>
      <x:c r="H2767" s="6" t="n">
        <x:v>4</x:v>
      </x:c>
      <x:c r="I2767" s="6" t="n">
        <x:f>G2767-H2767</x:f>
        <x:v>-2</x:v>
      </x:c>
      <x:c r="J2767" s="6" t="n">
        <x:f>IF(OR(E2767="CANCELED",E2767="SUSPECTED_FRAUD",F2767="Shipping canceled"),0,1)</x:f>
        <x:v>1</x:v>
      </x:c>
      <x:c r="K2767" s="6" t="n">
        <x:f>IF(G2767&gt;H2767,1,0)</x:f>
        <x:v>0</x:v>
      </x:c>
      <x:c r="L2767" s="6" t="n">
        <x:f>J2767*K2767</x:f>
        <x:v>0</x:v>
      </x:c>
    </x:row>
    <x:row r="2768">
      <x:c r="A2768" s="1" t="n">
        <x:v>21121</x:v>
      </x:c>
      <x:c r="B2768" s="5" t="d">
        <x:v>2015-11-05T00:00:00.000Z</x:v>
      </x:c>
      <x:c r="C2768" s="1" t="str">
        <x:v>Second Class</x:v>
      </x:c>
      <x:c r="D2768" s="1" t="str">
        <x:v>Pacific Asia</x:v>
      </x:c>
      <x:c r="E2768" s="1" t="str">
        <x:v>COMPLETE</x:v>
      </x:c>
      <x:c r="F2768" s="1" t="str">
        <x:v>Shipping on time</x:v>
      </x:c>
      <x:c r="G2768" s="6" t="n">
        <x:v>2</x:v>
      </x:c>
      <x:c r="H2768" s="6" t="n">
        <x:v>2</x:v>
      </x:c>
      <x:c r="I2768" s="6" t="n">
        <x:f>G2768-H2768</x:f>
        <x:v>0</x:v>
      </x:c>
      <x:c r="J2768" s="6" t="n">
        <x:f>IF(OR(E2768="CANCELED",E2768="SUSPECTED_FRAUD",F2768="Shipping canceled"),0,1)</x:f>
        <x:v>1</x:v>
      </x:c>
      <x:c r="K2768" s="6" t="n">
        <x:f>IF(G2768&gt;H2768,1,0)</x:f>
        <x:v>0</x:v>
      </x:c>
      <x:c r="L2768" s="6" t="n">
        <x:f>J2768*K2768</x:f>
        <x:v>0</x:v>
      </x:c>
    </x:row>
    <x:row r="2769">
      <x:c r="A2769" s="1" t="n">
        <x:v>21125</x:v>
      </x:c>
      <x:c r="B2769" s="5" t="d">
        <x:v>2015-11-05T00:00:00.000Z</x:v>
      </x:c>
      <x:c r="C2769" s="1" t="str">
        <x:v>Standard Class</x:v>
      </x:c>
      <x:c r="D2769" s="1" t="str">
        <x:v>Pacific Asia</x:v>
      </x:c>
      <x:c r="E2769" s="1" t="str">
        <x:v>COMPLETE</x:v>
      </x:c>
      <x:c r="F2769" s="1" t="str">
        <x:v>Late delivery</x:v>
      </x:c>
      <x:c r="G2769" s="6" t="n">
        <x:v>6</x:v>
      </x:c>
      <x:c r="H2769" s="6" t="n">
        <x:v>4</x:v>
      </x:c>
      <x:c r="I2769" s="6" t="n">
        <x:f>G2769-H2769</x:f>
        <x:v>2</x:v>
      </x:c>
      <x:c r="J2769" s="6" t="n">
        <x:f>IF(OR(E2769="CANCELED",E2769="SUSPECTED_FRAUD",F2769="Shipping canceled"),0,1)</x:f>
        <x:v>1</x:v>
      </x:c>
      <x:c r="K2769" s="6" t="n">
        <x:f>IF(G2769&gt;H2769,1,0)</x:f>
        <x:v>1</x:v>
      </x:c>
      <x:c r="L2769" s="6" t="n">
        <x:f>J2769*K2769</x:f>
        <x:v>1</x:v>
      </x:c>
    </x:row>
    <x:row r="2770">
      <x:c r="A2770" s="1" t="n">
        <x:v>21126</x:v>
      </x:c>
      <x:c r="B2770" s="5" t="d">
        <x:v>2015-11-05T00:00:00.000Z</x:v>
      </x:c>
      <x:c r="C2770" s="1" t="str">
        <x:v>Standard Class</x:v>
      </x:c>
      <x:c r="D2770" s="1" t="str">
        <x:v>Pacific Asia</x:v>
      </x:c>
      <x:c r="E2770" s="1" t="str">
        <x:v>PENDING</x:v>
      </x:c>
      <x:c r="F2770" s="1" t="str">
        <x:v>Advance shipping</x:v>
      </x:c>
      <x:c r="G2770" s="6" t="n">
        <x:v>2</x:v>
      </x:c>
      <x:c r="H2770" s="6" t="n">
        <x:v>4</x:v>
      </x:c>
      <x:c r="I2770" s="6" t="n">
        <x:f>G2770-H2770</x:f>
        <x:v>-2</x:v>
      </x:c>
      <x:c r="J2770" s="6" t="n">
        <x:f>IF(OR(E2770="CANCELED",E2770="SUSPECTED_FRAUD",F2770="Shipping canceled"),0,1)</x:f>
        <x:v>1</x:v>
      </x:c>
      <x:c r="K2770" s="6" t="n">
        <x:f>IF(G2770&gt;H2770,1,0)</x:f>
        <x:v>0</x:v>
      </x:c>
      <x:c r="L2770" s="6" t="n">
        <x:f>J2770*K2770</x:f>
        <x:v>0</x:v>
      </x:c>
    </x:row>
    <x:row r="2771">
      <x:c r="A2771" s="1" t="n">
        <x:v>21139</x:v>
      </x:c>
      <x:c r="B2771" s="5" t="d">
        <x:v>2015-11-05T00:00:00.000Z</x:v>
      </x:c>
      <x:c r="C2771" s="1" t="str">
        <x:v>Standard Class</x:v>
      </x:c>
      <x:c r="D2771" s="1" t="str">
        <x:v>Pacific Asia</x:v>
      </x:c>
      <x:c r="E2771" s="1" t="str">
        <x:v>PENDING_PAYMENT</x:v>
      </x:c>
      <x:c r="F2771" s="1" t="str">
        <x:v>Late delivery</x:v>
      </x:c>
      <x:c r="G2771" s="6" t="n">
        <x:v>5</x:v>
      </x:c>
      <x:c r="H2771" s="6" t="n">
        <x:v>4</x:v>
      </x:c>
      <x:c r="I2771" s="6" t="n">
        <x:f>G2771-H2771</x:f>
        <x:v>1</x:v>
      </x:c>
      <x:c r="J2771" s="6" t="n">
        <x:f>IF(OR(E2771="CANCELED",E2771="SUSPECTED_FRAUD",F2771="Shipping canceled"),0,1)</x:f>
        <x:v>1</x:v>
      </x:c>
      <x:c r="K2771" s="6" t="n">
        <x:f>IF(G2771&gt;H2771,1,0)</x:f>
        <x:v>1</x:v>
      </x:c>
      <x:c r="L2771" s="6" t="n">
        <x:f>J2771*K2771</x:f>
        <x:v>1</x:v>
      </x:c>
    </x:row>
    <x:row r="2772">
      <x:c r="A2772" s="1" t="n">
        <x:v>21151</x:v>
      </x:c>
      <x:c r="B2772" s="5" t="d">
        <x:v>2015-11-05T00:00:00.000Z</x:v>
      </x:c>
      <x:c r="C2772" s="1" t="str">
        <x:v>Standard Class</x:v>
      </x:c>
      <x:c r="D2772" s="1" t="str">
        <x:v>Pacific Asia</x:v>
      </x:c>
      <x:c r="E2772" s="1" t="str">
        <x:v>ON_HOLD</x:v>
      </x:c>
      <x:c r="F2772" s="1" t="str">
        <x:v>Advance shipping</x:v>
      </x:c>
      <x:c r="G2772" s="6" t="n">
        <x:v>2</x:v>
      </x:c>
      <x:c r="H2772" s="6" t="n">
        <x:v>4</x:v>
      </x:c>
      <x:c r="I2772" s="6" t="n">
        <x:f>G2772-H2772</x:f>
        <x:v>-2</x:v>
      </x:c>
      <x:c r="J2772" s="6" t="n">
        <x:f>IF(OR(E2772="CANCELED",E2772="SUSPECTED_FRAUD",F2772="Shipping canceled"),0,1)</x:f>
        <x:v>1</x:v>
      </x:c>
      <x:c r="K2772" s="6" t="n">
        <x:f>IF(G2772&gt;H2772,1,0)</x:f>
        <x:v>0</x:v>
      </x:c>
      <x:c r="L2772" s="6" t="n">
        <x:f>J2772*K2772</x:f>
        <x:v>0</x:v>
      </x:c>
    </x:row>
    <x:row r="2773">
      <x:c r="A2773" s="1" t="n">
        <x:v>21166</x:v>
      </x:c>
      <x:c r="B2773" s="5" t="d">
        <x:v>2015-11-05T00:00:00.000Z</x:v>
      </x:c>
      <x:c r="C2773" s="1" t="str">
        <x:v>Standard Class</x:v>
      </x:c>
      <x:c r="D2773" s="1" t="str">
        <x:v>Pacific Asia</x:v>
      </x:c>
      <x:c r="E2773" s="1" t="str">
        <x:v>PENDING_PAYMENT</x:v>
      </x:c>
      <x:c r="F2773" s="1" t="str">
        <x:v>Advance shipping</x:v>
      </x:c>
      <x:c r="G2773" s="6" t="n">
        <x:v>2</x:v>
      </x:c>
      <x:c r="H2773" s="6" t="n">
        <x:v>4</x:v>
      </x:c>
      <x:c r="I2773" s="6" t="n">
        <x:f>G2773-H2773</x:f>
        <x:v>-2</x:v>
      </x:c>
      <x:c r="J2773" s="6" t="n">
        <x:f>IF(OR(E2773="CANCELED",E2773="SUSPECTED_FRAUD",F2773="Shipping canceled"),0,1)</x:f>
        <x:v>1</x:v>
      </x:c>
      <x:c r="K2773" s="6" t="n">
        <x:f>IF(G2773&gt;H2773,1,0)</x:f>
        <x:v>0</x:v>
      </x:c>
      <x:c r="L2773" s="6" t="n">
        <x:f>J2773*K2773</x:f>
        <x:v>0</x:v>
      </x:c>
    </x:row>
    <x:row r="2774">
      <x:c r="A2774" s="1" t="n">
        <x:v>21173</x:v>
      </x:c>
      <x:c r="B2774" s="5" t="d">
        <x:v>2015-11-06T00:00:00.000Z</x:v>
      </x:c>
      <x:c r="C2774" s="1" t="str">
        <x:v>Standard Class</x:v>
      </x:c>
      <x:c r="D2774" s="1" t="str">
        <x:v>Pacific Asia</x:v>
      </x:c>
      <x:c r="E2774" s="1" t="str">
        <x:v>PROCESSING</x:v>
      </x:c>
      <x:c r="F2774" s="1" t="str">
        <x:v>Shipping on time</x:v>
      </x:c>
      <x:c r="G2774" s="6" t="n">
        <x:v>4</x:v>
      </x:c>
      <x:c r="H2774" s="6" t="n">
        <x:v>4</x:v>
      </x:c>
      <x:c r="I2774" s="6" t="n">
        <x:f>G2774-H2774</x:f>
        <x:v>0</x:v>
      </x:c>
      <x:c r="J2774" s="6" t="n">
        <x:f>IF(OR(E2774="CANCELED",E2774="SUSPECTED_FRAUD",F2774="Shipping canceled"),0,1)</x:f>
        <x:v>1</x:v>
      </x:c>
      <x:c r="K2774" s="6" t="n">
        <x:f>IF(G2774&gt;H2774,1,0)</x:f>
        <x:v>0</x:v>
      </x:c>
      <x:c r="L2774" s="6" t="n">
        <x:f>J2774*K2774</x:f>
        <x:v>0</x:v>
      </x:c>
    </x:row>
    <x:row r="2775">
      <x:c r="A2775" s="1" t="n">
        <x:v>21176</x:v>
      </x:c>
      <x:c r="B2775" s="5" t="d">
        <x:v>2015-11-06T00:00:00.000Z</x:v>
      </x:c>
      <x:c r="C2775" s="1" t="str">
        <x:v>Standard Class</x:v>
      </x:c>
      <x:c r="D2775" s="1" t="str">
        <x:v>Pacific Asia</x:v>
      </x:c>
      <x:c r="E2775" s="1" t="str">
        <x:v>PROCESSING</x:v>
      </x:c>
      <x:c r="F2775" s="1" t="str">
        <x:v>Advance shipping</x:v>
      </x:c>
      <x:c r="G2775" s="6" t="n">
        <x:v>2</x:v>
      </x:c>
      <x:c r="H2775" s="6" t="n">
        <x:v>4</x:v>
      </x:c>
      <x:c r="I2775" s="6" t="n">
        <x:f>G2775-H2775</x:f>
        <x:v>-2</x:v>
      </x:c>
      <x:c r="J2775" s="6" t="n">
        <x:f>IF(OR(E2775="CANCELED",E2775="SUSPECTED_FRAUD",F2775="Shipping canceled"),0,1)</x:f>
        <x:v>1</x:v>
      </x:c>
      <x:c r="K2775" s="6" t="n">
        <x:f>IF(G2775&gt;H2775,1,0)</x:f>
        <x:v>0</x:v>
      </x:c>
      <x:c r="L2775" s="6" t="n">
        <x:f>J2775*K2775</x:f>
        <x:v>0</x:v>
      </x:c>
    </x:row>
    <x:row r="2776">
      <x:c r="A2776" s="1" t="n">
        <x:v>21181</x:v>
      </x:c>
      <x:c r="B2776" s="5" t="d">
        <x:v>2015-11-06T00:00:00.000Z</x:v>
      </x:c>
      <x:c r="C2776" s="1" t="str">
        <x:v>Standard Class</x:v>
      </x:c>
      <x:c r="D2776" s="1" t="str">
        <x:v>Pacific Asia</x:v>
      </x:c>
      <x:c r="E2776" s="1" t="str">
        <x:v>PROCESSING</x:v>
      </x:c>
      <x:c r="F2776" s="1" t="str">
        <x:v>Advance shipping</x:v>
      </x:c>
      <x:c r="G2776" s="6" t="n">
        <x:v>2</x:v>
      </x:c>
      <x:c r="H2776" s="6" t="n">
        <x:v>4</x:v>
      </x:c>
      <x:c r="I2776" s="6" t="n">
        <x:f>G2776-H2776</x:f>
        <x:v>-2</x:v>
      </x:c>
      <x:c r="J2776" s="6" t="n">
        <x:f>IF(OR(E2776="CANCELED",E2776="SUSPECTED_FRAUD",F2776="Shipping canceled"),0,1)</x:f>
        <x:v>1</x:v>
      </x:c>
      <x:c r="K2776" s="6" t="n">
        <x:f>IF(G2776&gt;H2776,1,0)</x:f>
        <x:v>0</x:v>
      </x:c>
      <x:c r="L2776" s="6" t="n">
        <x:f>J2776*K2776</x:f>
        <x:v>0</x:v>
      </x:c>
    </x:row>
    <x:row r="2777">
      <x:c r="A2777" s="1" t="n">
        <x:v>21186</x:v>
      </x:c>
      <x:c r="B2777" s="5" t="d">
        <x:v>2015-11-06T00:00:00.000Z</x:v>
      </x:c>
      <x:c r="C2777" s="1" t="str">
        <x:v>Standard Class</x:v>
      </x:c>
      <x:c r="D2777" s="1" t="str">
        <x:v>Pacific Asia</x:v>
      </x:c>
      <x:c r="E2777" s="1" t="str">
        <x:v>COMPLETE</x:v>
      </x:c>
      <x:c r="F2777" s="1" t="str">
        <x:v>Advance shipping</x:v>
      </x:c>
      <x:c r="G2777" s="6" t="n">
        <x:v>2</x:v>
      </x:c>
      <x:c r="H2777" s="6" t="n">
        <x:v>4</x:v>
      </x:c>
      <x:c r="I2777" s="6" t="n">
        <x:f>G2777-H2777</x:f>
        <x:v>-2</x:v>
      </x:c>
      <x:c r="J2777" s="6" t="n">
        <x:f>IF(OR(E2777="CANCELED",E2777="SUSPECTED_FRAUD",F2777="Shipping canceled"),0,1)</x:f>
        <x:v>1</x:v>
      </x:c>
      <x:c r="K2777" s="6" t="n">
        <x:f>IF(G2777&gt;H2777,1,0)</x:f>
        <x:v>0</x:v>
      </x:c>
      <x:c r="L2777" s="6" t="n">
        <x:f>J2777*K2777</x:f>
        <x:v>0</x:v>
      </x:c>
    </x:row>
    <x:row r="2778">
      <x:c r="A2778" s="1" t="n">
        <x:v>21192</x:v>
      </x:c>
      <x:c r="B2778" s="5" t="d">
        <x:v>2015-11-06T00:00:00.000Z</x:v>
      </x:c>
      <x:c r="C2778" s="1" t="str">
        <x:v>Standard Class</x:v>
      </x:c>
      <x:c r="D2778" s="1" t="str">
        <x:v>Pacific Asia</x:v>
      </x:c>
      <x:c r="E2778" s="1" t="str">
        <x:v>PENDING</x:v>
      </x:c>
      <x:c r="F2778" s="1" t="str">
        <x:v>Advance shipping</x:v>
      </x:c>
      <x:c r="G2778" s="6" t="n">
        <x:v>3</x:v>
      </x:c>
      <x:c r="H2778" s="6" t="n">
        <x:v>4</x:v>
      </x:c>
      <x:c r="I2778" s="6" t="n">
        <x:f>G2778-H2778</x:f>
        <x:v>-1</x:v>
      </x:c>
      <x:c r="J2778" s="6" t="n">
        <x:f>IF(OR(E2778="CANCELED",E2778="SUSPECTED_FRAUD",F2778="Shipping canceled"),0,1)</x:f>
        <x:v>1</x:v>
      </x:c>
      <x:c r="K2778" s="6" t="n">
        <x:f>IF(G2778&gt;H2778,1,0)</x:f>
        <x:v>0</x:v>
      </x:c>
      <x:c r="L2778" s="6" t="n">
        <x:f>J2778*K2778</x:f>
        <x:v>0</x:v>
      </x:c>
    </x:row>
    <x:row r="2779">
      <x:c r="A2779" s="1" t="n">
        <x:v>21193</x:v>
      </x:c>
      <x:c r="B2779" s="5" t="d">
        <x:v>2015-11-06T00:00:00.000Z</x:v>
      </x:c>
      <x:c r="C2779" s="1" t="str">
        <x:v>Standard Class</x:v>
      </x:c>
      <x:c r="D2779" s="1" t="str">
        <x:v>Pacific Asia</x:v>
      </x:c>
      <x:c r="E2779" s="1" t="str">
        <x:v>PENDING</x:v>
      </x:c>
      <x:c r="F2779" s="1" t="str">
        <x:v>Shipping on time</x:v>
      </x:c>
      <x:c r="G2779" s="6" t="n">
        <x:v>4</x:v>
      </x:c>
      <x:c r="H2779" s="6" t="n">
        <x:v>4</x:v>
      </x:c>
      <x:c r="I2779" s="6" t="n">
        <x:f>G2779-H2779</x:f>
        <x:v>0</x:v>
      </x:c>
      <x:c r="J2779" s="6" t="n">
        <x:f>IF(OR(E2779="CANCELED",E2779="SUSPECTED_FRAUD",F2779="Shipping canceled"),0,1)</x:f>
        <x:v>1</x:v>
      </x:c>
      <x:c r="K2779" s="6" t="n">
        <x:f>IF(G2779&gt;H2779,1,0)</x:f>
        <x:v>0</x:v>
      </x:c>
      <x:c r="L2779" s="6" t="n">
        <x:f>J2779*K2779</x:f>
        <x:v>0</x:v>
      </x:c>
    </x:row>
    <x:row r="2780">
      <x:c r="A2780" s="1" t="n">
        <x:v>21196</x:v>
      </x:c>
      <x:c r="B2780" s="5" t="d">
        <x:v>2015-11-06T00:00:00.000Z</x:v>
      </x:c>
      <x:c r="C2780" s="1" t="str">
        <x:v>Standard Class</x:v>
      </x:c>
      <x:c r="D2780" s="1" t="str">
        <x:v>Pacific Asia</x:v>
      </x:c>
      <x:c r="E2780" s="1" t="str">
        <x:v>PENDING</x:v>
      </x:c>
      <x:c r="F2780" s="1" t="str">
        <x:v>Advance shipping</x:v>
      </x:c>
      <x:c r="G2780" s="6" t="n">
        <x:v>2</x:v>
      </x:c>
      <x:c r="H2780" s="6" t="n">
        <x:v>4</x:v>
      </x:c>
      <x:c r="I2780" s="6" t="n">
        <x:f>G2780-H2780</x:f>
        <x:v>-2</x:v>
      </x:c>
      <x:c r="J2780" s="6" t="n">
        <x:f>IF(OR(E2780="CANCELED",E2780="SUSPECTED_FRAUD",F2780="Shipping canceled"),0,1)</x:f>
        <x:v>1</x:v>
      </x:c>
      <x:c r="K2780" s="6" t="n">
        <x:f>IF(G2780&gt;H2780,1,0)</x:f>
        <x:v>0</x:v>
      </x:c>
      <x:c r="L2780" s="6" t="n">
        <x:f>J2780*K2780</x:f>
        <x:v>0</x:v>
      </x:c>
    </x:row>
    <x:row r="2781">
      <x:c r="A2781" s="1" t="n">
        <x:v>21197</x:v>
      </x:c>
      <x:c r="B2781" s="5" t="d">
        <x:v>2015-11-06T00:00:00.000Z</x:v>
      </x:c>
      <x:c r="C2781" s="1" t="str">
        <x:v>Standard Class</x:v>
      </x:c>
      <x:c r="D2781" s="1" t="str">
        <x:v>Pacific Asia</x:v>
      </x:c>
      <x:c r="E2781" s="1" t="str">
        <x:v>PENDING</x:v>
      </x:c>
      <x:c r="F2781" s="1" t="str">
        <x:v>Advance shipping</x:v>
      </x:c>
      <x:c r="G2781" s="6" t="n">
        <x:v>3</x:v>
      </x:c>
      <x:c r="H2781" s="6" t="n">
        <x:v>4</x:v>
      </x:c>
      <x:c r="I2781" s="6" t="n">
        <x:f>G2781-H2781</x:f>
        <x:v>-1</x:v>
      </x:c>
      <x:c r="J2781" s="6" t="n">
        <x:f>IF(OR(E2781="CANCELED",E2781="SUSPECTED_FRAUD",F2781="Shipping canceled"),0,1)</x:f>
        <x:v>1</x:v>
      </x:c>
      <x:c r="K2781" s="6" t="n">
        <x:f>IF(G2781&gt;H2781,1,0)</x:f>
        <x:v>0</x:v>
      </x:c>
      <x:c r="L2781" s="6" t="n">
        <x:f>J2781*K2781</x:f>
        <x:v>0</x:v>
      </x:c>
    </x:row>
    <x:row r="2782">
      <x:c r="A2782" s="1" t="n">
        <x:v>21198</x:v>
      </x:c>
      <x:c r="B2782" s="5" t="d">
        <x:v>2015-11-06T00:00:00.000Z</x:v>
      </x:c>
      <x:c r="C2782" s="1" t="str">
        <x:v>Standard Class</x:v>
      </x:c>
      <x:c r="D2782" s="1" t="str">
        <x:v>Pacific Asia</x:v>
      </x:c>
      <x:c r="E2782" s="1" t="str">
        <x:v>PENDING_PAYMENT</x:v>
      </x:c>
      <x:c r="F2782" s="1" t="str">
        <x:v>Shipping on time</x:v>
      </x:c>
      <x:c r="G2782" s="6" t="n">
        <x:v>4</x:v>
      </x:c>
      <x:c r="H2782" s="6" t="n">
        <x:v>4</x:v>
      </x:c>
      <x:c r="I2782" s="6" t="n">
        <x:f>G2782-H2782</x:f>
        <x:v>0</x:v>
      </x:c>
      <x:c r="J2782" s="6" t="n">
        <x:f>IF(OR(E2782="CANCELED",E2782="SUSPECTED_FRAUD",F2782="Shipping canceled"),0,1)</x:f>
        <x:v>1</x:v>
      </x:c>
      <x:c r="K2782" s="6" t="n">
        <x:f>IF(G2782&gt;H2782,1,0)</x:f>
        <x:v>0</x:v>
      </x:c>
      <x:c r="L2782" s="6" t="n">
        <x:f>J2782*K2782</x:f>
        <x:v>0</x:v>
      </x:c>
    </x:row>
    <x:row r="2783">
      <x:c r="A2783" s="1" t="n">
        <x:v>21214</x:v>
      </x:c>
      <x:c r="B2783" s="5" t="d">
        <x:v>2015-11-06T00:00:00.000Z</x:v>
      </x:c>
      <x:c r="C2783" s="1" t="str">
        <x:v>Standard Class</x:v>
      </x:c>
      <x:c r="D2783" s="1" t="str">
        <x:v>Pacific Asia</x:v>
      </x:c>
      <x:c r="E2783" s="1" t="str">
        <x:v>COMPLETE</x:v>
      </x:c>
      <x:c r="F2783" s="1" t="str">
        <x:v>Late delivery</x:v>
      </x:c>
      <x:c r="G2783" s="6" t="n">
        <x:v>5</x:v>
      </x:c>
      <x:c r="H2783" s="6" t="n">
        <x:v>4</x:v>
      </x:c>
      <x:c r="I2783" s="6" t="n">
        <x:f>G2783-H2783</x:f>
        <x:v>1</x:v>
      </x:c>
      <x:c r="J2783" s="6" t="n">
        <x:f>IF(OR(E2783="CANCELED",E2783="SUSPECTED_FRAUD",F2783="Shipping canceled"),0,1)</x:f>
        <x:v>1</x:v>
      </x:c>
      <x:c r="K2783" s="6" t="n">
        <x:f>IF(G2783&gt;H2783,1,0)</x:f>
        <x:v>1</x:v>
      </x:c>
      <x:c r="L2783" s="6" t="n">
        <x:f>J2783*K2783</x:f>
        <x:v>1</x:v>
      </x:c>
    </x:row>
    <x:row r="2784">
      <x:c r="A2784" s="1" t="n">
        <x:v>21219</x:v>
      </x:c>
      <x:c r="B2784" s="5" t="d">
        <x:v>2015-11-06T00:00:00.000Z</x:v>
      </x:c>
      <x:c r="C2784" s="1" t="str">
        <x:v>Standard Class</x:v>
      </x:c>
      <x:c r="D2784" s="1" t="str">
        <x:v>Pacific Asia</x:v>
      </x:c>
      <x:c r="E2784" s="1" t="str">
        <x:v>COMPLETE</x:v>
      </x:c>
      <x:c r="F2784" s="1" t="str">
        <x:v>Late delivery</x:v>
      </x:c>
      <x:c r="G2784" s="6" t="n">
        <x:v>5</x:v>
      </x:c>
      <x:c r="H2784" s="6" t="n">
        <x:v>4</x:v>
      </x:c>
      <x:c r="I2784" s="6" t="n">
        <x:f>G2784-H2784</x:f>
        <x:v>1</x:v>
      </x:c>
      <x:c r="J2784" s="6" t="n">
        <x:f>IF(OR(E2784="CANCELED",E2784="SUSPECTED_FRAUD",F2784="Shipping canceled"),0,1)</x:f>
        <x:v>1</x:v>
      </x:c>
      <x:c r="K2784" s="6" t="n">
        <x:f>IF(G2784&gt;H2784,1,0)</x:f>
        <x:v>1</x:v>
      </x:c>
      <x:c r="L2784" s="6" t="n">
        <x:f>J2784*K2784</x:f>
        <x:v>1</x:v>
      </x:c>
    </x:row>
    <x:row r="2785">
      <x:c r="A2785" s="1" t="n">
        <x:v>21230</x:v>
      </x:c>
      <x:c r="B2785" s="5" t="d">
        <x:v>2015-11-06T00:00:00.000Z</x:v>
      </x:c>
      <x:c r="C2785" s="1" t="str">
        <x:v>Standard Class</x:v>
      </x:c>
      <x:c r="D2785" s="1" t="str">
        <x:v>Pacific Asia</x:v>
      </x:c>
      <x:c r="E2785" s="1" t="str">
        <x:v>ON_HOLD</x:v>
      </x:c>
      <x:c r="F2785" s="1" t="str">
        <x:v>Late delivery</x:v>
      </x:c>
      <x:c r="G2785" s="6" t="n">
        <x:v>6</x:v>
      </x:c>
      <x:c r="H2785" s="6" t="n">
        <x:v>4</x:v>
      </x:c>
      <x:c r="I2785" s="6" t="n">
        <x:f>G2785-H2785</x:f>
        <x:v>2</x:v>
      </x:c>
      <x:c r="J2785" s="6" t="n">
        <x:f>IF(OR(E2785="CANCELED",E2785="SUSPECTED_FRAUD",F2785="Shipping canceled"),0,1)</x:f>
        <x:v>1</x:v>
      </x:c>
      <x:c r="K2785" s="6" t="n">
        <x:f>IF(G2785&gt;H2785,1,0)</x:f>
        <x:v>1</x:v>
      </x:c>
      <x:c r="L2785" s="6" t="n">
        <x:f>J2785*K2785</x:f>
        <x:v>1</x:v>
      </x:c>
    </x:row>
    <x:row r="2786">
      <x:c r="A2786" s="1" t="n">
        <x:v>21235</x:v>
      </x:c>
      <x:c r="B2786" s="5" t="d">
        <x:v>2015-11-06T00:00:00.000Z</x:v>
      </x:c>
      <x:c r="C2786" s="1" t="str">
        <x:v>Standard Class</x:v>
      </x:c>
      <x:c r="D2786" s="1" t="str">
        <x:v>Pacific Asia</x:v>
      </x:c>
      <x:c r="E2786" s="1" t="str">
        <x:v>COMPLETE</x:v>
      </x:c>
      <x:c r="F2786" s="1" t="str">
        <x:v>Late delivery</x:v>
      </x:c>
      <x:c r="G2786" s="6" t="n">
        <x:v>6</x:v>
      </x:c>
      <x:c r="H2786" s="6" t="n">
        <x:v>4</x:v>
      </x:c>
      <x:c r="I2786" s="6" t="n">
        <x:f>G2786-H2786</x:f>
        <x:v>2</x:v>
      </x:c>
      <x:c r="J2786" s="6" t="n">
        <x:f>IF(OR(E2786="CANCELED",E2786="SUSPECTED_FRAUD",F2786="Shipping canceled"),0,1)</x:f>
        <x:v>1</x:v>
      </x:c>
      <x:c r="K2786" s="6" t="n">
        <x:f>IF(G2786&gt;H2786,1,0)</x:f>
        <x:v>1</x:v>
      </x:c>
      <x:c r="L2786" s="6" t="n">
        <x:f>J2786*K2786</x:f>
        <x:v>1</x:v>
      </x:c>
    </x:row>
    <x:row r="2787">
      <x:c r="A2787" s="1" t="n">
        <x:v>21244</x:v>
      </x:c>
      <x:c r="B2787" s="5" t="d">
        <x:v>2015-11-07T00:00:00.000Z</x:v>
      </x:c>
      <x:c r="C2787" s="1" t="str">
        <x:v>Second Class</x:v>
      </x:c>
      <x:c r="D2787" s="1" t="str">
        <x:v>Pacific Asia</x:v>
      </x:c>
      <x:c r="E2787" s="1" t="str">
        <x:v>PAYMENT_REVIEW</x:v>
      </x:c>
      <x:c r="F2787" s="1" t="str">
        <x:v>Late delivery</x:v>
      </x:c>
      <x:c r="G2787" s="6" t="n">
        <x:v>5</x:v>
      </x:c>
      <x:c r="H2787" s="6" t="n">
        <x:v>2</x:v>
      </x:c>
      <x:c r="I2787" s="6" t="n">
        <x:f>G2787-H2787</x:f>
        <x:v>3</x:v>
      </x:c>
      <x:c r="J2787" s="6" t="n">
        <x:f>IF(OR(E2787="CANCELED",E2787="SUSPECTED_FRAUD",F2787="Shipping canceled"),0,1)</x:f>
        <x:v>1</x:v>
      </x:c>
      <x:c r="K2787" s="6" t="n">
        <x:f>IF(G2787&gt;H2787,1,0)</x:f>
        <x:v>1</x:v>
      </x:c>
      <x:c r="L2787" s="6" t="n">
        <x:f>J2787*K2787</x:f>
        <x:v>1</x:v>
      </x:c>
    </x:row>
    <x:row r="2788">
      <x:c r="A2788" s="1" t="n">
        <x:v>21248</x:v>
      </x:c>
      <x:c r="B2788" s="5" t="d">
        <x:v>2015-11-07T00:00:00.000Z</x:v>
      </x:c>
      <x:c r="C2788" s="1" t="str">
        <x:v>Second Class</x:v>
      </x:c>
      <x:c r="D2788" s="1" t="str">
        <x:v>Pacific Asia</x:v>
      </x:c>
      <x:c r="E2788" s="1" t="str">
        <x:v>COMPLETE</x:v>
      </x:c>
      <x:c r="F2788" s="1" t="str">
        <x:v>Late delivery</x:v>
      </x:c>
      <x:c r="G2788" s="6" t="n">
        <x:v>4</x:v>
      </x:c>
      <x:c r="H2788" s="6" t="n">
        <x:v>2</x:v>
      </x:c>
      <x:c r="I2788" s="6" t="n">
        <x:f>G2788-H2788</x:f>
        <x:v>2</x:v>
      </x:c>
      <x:c r="J2788" s="6" t="n">
        <x:f>IF(OR(E2788="CANCELED",E2788="SUSPECTED_FRAUD",F2788="Shipping canceled"),0,1)</x:f>
        <x:v>1</x:v>
      </x:c>
      <x:c r="K2788" s="6" t="n">
        <x:f>IF(G2788&gt;H2788,1,0)</x:f>
        <x:v>1</x:v>
      </x:c>
      <x:c r="L2788" s="6" t="n">
        <x:f>J2788*K2788</x:f>
        <x:v>1</x:v>
      </x:c>
    </x:row>
    <x:row r="2789">
      <x:c r="A2789" s="1" t="n">
        <x:v>21266</x:v>
      </x:c>
      <x:c r="B2789" s="5" t="d">
        <x:v>2015-11-07T00:00:00.000Z</x:v>
      </x:c>
      <x:c r="C2789" s="1" t="str">
        <x:v>Standard Class</x:v>
      </x:c>
      <x:c r="D2789" s="1" t="str">
        <x:v>Pacific Asia</x:v>
      </x:c>
      <x:c r="E2789" s="1" t="str">
        <x:v>ON_HOLD</x:v>
      </x:c>
      <x:c r="F2789" s="1" t="str">
        <x:v>Advance shipping</x:v>
      </x:c>
      <x:c r="G2789" s="6" t="n">
        <x:v>2</x:v>
      </x:c>
      <x:c r="H2789" s="6" t="n">
        <x:v>4</x:v>
      </x:c>
      <x:c r="I2789" s="6" t="n">
        <x:f>G2789-H2789</x:f>
        <x:v>-2</x:v>
      </x:c>
      <x:c r="J2789" s="6" t="n">
        <x:f>IF(OR(E2789="CANCELED",E2789="SUSPECTED_FRAUD",F2789="Shipping canceled"),0,1)</x:f>
        <x:v>1</x:v>
      </x:c>
      <x:c r="K2789" s="6" t="n">
        <x:f>IF(G2789&gt;H2789,1,0)</x:f>
        <x:v>0</x:v>
      </x:c>
      <x:c r="L2789" s="6" t="n">
        <x:f>J2789*K2789</x:f>
        <x:v>0</x:v>
      </x:c>
    </x:row>
    <x:row r="2790">
      <x:c r="A2790" s="1" t="n">
        <x:v>21267</x:v>
      </x:c>
      <x:c r="B2790" s="5" t="d">
        <x:v>2015-11-07T00:00:00.000Z</x:v>
      </x:c>
      <x:c r="C2790" s="1" t="str">
        <x:v>Standard Class</x:v>
      </x:c>
      <x:c r="D2790" s="1" t="str">
        <x:v>Pacific Asia</x:v>
      </x:c>
      <x:c r="E2790" s="1" t="str">
        <x:v>COMPLETE</x:v>
      </x:c>
      <x:c r="F2790" s="1" t="str">
        <x:v>Advance shipping</x:v>
      </x:c>
      <x:c r="G2790" s="6" t="n">
        <x:v>3</x:v>
      </x:c>
      <x:c r="H2790" s="6" t="n">
        <x:v>4</x:v>
      </x:c>
      <x:c r="I2790" s="6" t="n">
        <x:f>G2790-H2790</x:f>
        <x:v>-1</x:v>
      </x:c>
      <x:c r="J2790" s="6" t="n">
        <x:f>IF(OR(E2790="CANCELED",E2790="SUSPECTED_FRAUD",F2790="Shipping canceled"),0,1)</x:f>
        <x:v>1</x:v>
      </x:c>
      <x:c r="K2790" s="6" t="n">
        <x:f>IF(G2790&gt;H2790,1,0)</x:f>
        <x:v>0</x:v>
      </x:c>
      <x:c r="L2790" s="6" t="n">
        <x:f>J2790*K2790</x:f>
        <x:v>0</x:v>
      </x:c>
    </x:row>
    <x:row r="2791">
      <x:c r="A2791" s="1" t="n">
        <x:v>21283</x:v>
      </x:c>
      <x:c r="B2791" s="5" t="d">
        <x:v>2015-11-07T00:00:00.000Z</x:v>
      </x:c>
      <x:c r="C2791" s="1" t="str">
        <x:v>Second Class</x:v>
      </x:c>
      <x:c r="D2791" s="1" t="str">
        <x:v>Pacific Asia</x:v>
      </x:c>
      <x:c r="E2791" s="1" t="str">
        <x:v>COMPLETE</x:v>
      </x:c>
      <x:c r="F2791" s="1" t="str">
        <x:v>Late delivery</x:v>
      </x:c>
      <x:c r="G2791" s="6" t="n">
        <x:v>4</x:v>
      </x:c>
      <x:c r="H2791" s="6" t="n">
        <x:v>2</x:v>
      </x:c>
      <x:c r="I2791" s="6" t="n">
        <x:f>G2791-H2791</x:f>
        <x:v>2</x:v>
      </x:c>
      <x:c r="J2791" s="6" t="n">
        <x:f>IF(OR(E2791="CANCELED",E2791="SUSPECTED_FRAUD",F2791="Shipping canceled"),0,1)</x:f>
        <x:v>1</x:v>
      </x:c>
      <x:c r="K2791" s="6" t="n">
        <x:f>IF(G2791&gt;H2791,1,0)</x:f>
        <x:v>1</x:v>
      </x:c>
      <x:c r="L2791" s="6" t="n">
        <x:f>J2791*K2791</x:f>
        <x:v>1</x:v>
      </x:c>
    </x:row>
    <x:row r="2792">
      <x:c r="A2792" s="1" t="n">
        <x:v>21297</x:v>
      </x:c>
      <x:c r="B2792" s="5" t="d">
        <x:v>2015-11-07T00:00:00.000Z</x:v>
      </x:c>
      <x:c r="C2792" s="1" t="str">
        <x:v>Standard Class</x:v>
      </x:c>
      <x:c r="D2792" s="1" t="str">
        <x:v>Pacific Asia</x:v>
      </x:c>
      <x:c r="E2792" s="1" t="str">
        <x:v>PENDING</x:v>
      </x:c>
      <x:c r="F2792" s="1" t="str">
        <x:v>Advance shipping</x:v>
      </x:c>
      <x:c r="G2792" s="6" t="n">
        <x:v>3</x:v>
      </x:c>
      <x:c r="H2792" s="6" t="n">
        <x:v>4</x:v>
      </x:c>
      <x:c r="I2792" s="6" t="n">
        <x:f>G2792-H2792</x:f>
        <x:v>-1</x:v>
      </x:c>
      <x:c r="J2792" s="6" t="n">
        <x:f>IF(OR(E2792="CANCELED",E2792="SUSPECTED_FRAUD",F2792="Shipping canceled"),0,1)</x:f>
        <x:v>1</x:v>
      </x:c>
      <x:c r="K2792" s="6" t="n">
        <x:f>IF(G2792&gt;H2792,1,0)</x:f>
        <x:v>0</x:v>
      </x:c>
      <x:c r="L2792" s="6" t="n">
        <x:f>J2792*K2792</x:f>
        <x:v>0</x:v>
      </x:c>
    </x:row>
    <x:row r="2793">
      <x:c r="A2793" s="1" t="n">
        <x:v>21298</x:v>
      </x:c>
      <x:c r="B2793" s="5" t="d">
        <x:v>2015-11-07T00:00:00.000Z</x:v>
      </x:c>
      <x:c r="C2793" s="1" t="str">
        <x:v>Standard Class</x:v>
      </x:c>
      <x:c r="D2793" s="1" t="str">
        <x:v>Pacific Asia</x:v>
      </x:c>
      <x:c r="E2793" s="1" t="str">
        <x:v>COMPLETE</x:v>
      </x:c>
      <x:c r="F2793" s="1" t="str">
        <x:v>Shipping on time</x:v>
      </x:c>
      <x:c r="G2793" s="6" t="n">
        <x:v>4</x:v>
      </x:c>
      <x:c r="H2793" s="6" t="n">
        <x:v>4</x:v>
      </x:c>
      <x:c r="I2793" s="6" t="n">
        <x:f>G2793-H2793</x:f>
        <x:v>0</x:v>
      </x:c>
      <x:c r="J2793" s="6" t="n">
        <x:f>IF(OR(E2793="CANCELED",E2793="SUSPECTED_FRAUD",F2793="Shipping canceled"),0,1)</x:f>
        <x:v>1</x:v>
      </x:c>
      <x:c r="K2793" s="6" t="n">
        <x:f>IF(G2793&gt;H2793,1,0)</x:f>
        <x:v>0</x:v>
      </x:c>
      <x:c r="L2793" s="6" t="n">
        <x:f>J2793*K2793</x:f>
        <x:v>0</x:v>
      </x:c>
    </x:row>
    <x:row r="2794">
      <x:c r="A2794" s="1" t="n">
        <x:v>21302</x:v>
      </x:c>
      <x:c r="B2794" s="5" t="d">
        <x:v>2015-11-07T00:00:00.000Z</x:v>
      </x:c>
      <x:c r="C2794" s="1" t="str">
        <x:v>Second Class</x:v>
      </x:c>
      <x:c r="D2794" s="1" t="str">
        <x:v>Pacific Asia</x:v>
      </x:c>
      <x:c r="E2794" s="1" t="str">
        <x:v>COMPLETE</x:v>
      </x:c>
      <x:c r="F2794" s="1" t="str">
        <x:v>Late delivery</x:v>
      </x:c>
      <x:c r="G2794" s="6" t="n">
        <x:v>3</x:v>
      </x:c>
      <x:c r="H2794" s="6" t="n">
        <x:v>2</x:v>
      </x:c>
      <x:c r="I2794" s="6" t="n">
        <x:f>G2794-H2794</x:f>
        <x:v>1</x:v>
      </x:c>
      <x:c r="J2794" s="6" t="n">
        <x:f>IF(OR(E2794="CANCELED",E2794="SUSPECTED_FRAUD",F2794="Shipping canceled"),0,1)</x:f>
        <x:v>1</x:v>
      </x:c>
      <x:c r="K2794" s="6" t="n">
        <x:f>IF(G2794&gt;H2794,1,0)</x:f>
        <x:v>1</x:v>
      </x:c>
      <x:c r="L2794" s="6" t="n">
        <x:f>J2794*K2794</x:f>
        <x:v>1</x:v>
      </x:c>
    </x:row>
    <x:row r="2795">
      <x:c r="A2795" s="1" t="n">
        <x:v>21303</x:v>
      </x:c>
      <x:c r="B2795" s="5" t="d">
        <x:v>2015-11-07T00:00:00.000Z</x:v>
      </x:c>
      <x:c r="C2795" s="1" t="str">
        <x:v>Standard Class</x:v>
      </x:c>
      <x:c r="D2795" s="1" t="str">
        <x:v>Pacific Asia</x:v>
      </x:c>
      <x:c r="E2795" s="1" t="str">
        <x:v>PENDING_PAYMENT</x:v>
      </x:c>
      <x:c r="F2795" s="1" t="str">
        <x:v>Shipping on time</x:v>
      </x:c>
      <x:c r="G2795" s="6" t="n">
        <x:v>4</x:v>
      </x:c>
      <x:c r="H2795" s="6" t="n">
        <x:v>4</x:v>
      </x:c>
      <x:c r="I2795" s="6" t="n">
        <x:f>G2795-H2795</x:f>
        <x:v>0</x:v>
      </x:c>
      <x:c r="J2795" s="6" t="n">
        <x:f>IF(OR(E2795="CANCELED",E2795="SUSPECTED_FRAUD",F2795="Shipping canceled"),0,1)</x:f>
        <x:v>1</x:v>
      </x:c>
      <x:c r="K2795" s="6" t="n">
        <x:f>IF(G2795&gt;H2795,1,0)</x:f>
        <x:v>0</x:v>
      </x:c>
      <x:c r="L2795" s="6" t="n">
        <x:f>J2795*K2795</x:f>
        <x:v>0</x:v>
      </x:c>
    </x:row>
    <x:row r="2796">
      <x:c r="A2796" s="1" t="n">
        <x:v>21309</x:v>
      </x:c>
      <x:c r="B2796" s="5" t="d">
        <x:v>2015-11-08T00:00:00.000Z</x:v>
      </x:c>
      <x:c r="C2796" s="1" t="str">
        <x:v>Standard Class</x:v>
      </x:c>
      <x:c r="D2796" s="1" t="str">
        <x:v>Pacific Asia</x:v>
      </x:c>
      <x:c r="E2796" s="1" t="str">
        <x:v>COMPLETE</x:v>
      </x:c>
      <x:c r="F2796" s="1" t="str">
        <x:v>Late delivery</x:v>
      </x:c>
      <x:c r="G2796" s="6" t="n">
        <x:v>5</x:v>
      </x:c>
      <x:c r="H2796" s="6" t="n">
        <x:v>4</x:v>
      </x:c>
      <x:c r="I2796" s="6" t="n">
        <x:f>G2796-H2796</x:f>
        <x:v>1</x:v>
      </x:c>
      <x:c r="J2796" s="6" t="n">
        <x:f>IF(OR(E2796="CANCELED",E2796="SUSPECTED_FRAUD",F2796="Shipping canceled"),0,1)</x:f>
        <x:v>1</x:v>
      </x:c>
      <x:c r="K2796" s="6" t="n">
        <x:f>IF(G2796&gt;H2796,1,0)</x:f>
        <x:v>1</x:v>
      </x:c>
      <x:c r="L2796" s="6" t="n">
        <x:f>J2796*K2796</x:f>
        <x:v>1</x:v>
      </x:c>
    </x:row>
    <x:row r="2797">
      <x:c r="A2797" s="1" t="n">
        <x:v>21312</x:v>
      </x:c>
      <x:c r="B2797" s="5" t="d">
        <x:v>2015-11-08T00:00:00.000Z</x:v>
      </x:c>
      <x:c r="C2797" s="1" t="str">
        <x:v>Standard Class</x:v>
      </x:c>
      <x:c r="D2797" s="1" t="str">
        <x:v>Pacific Asia</x:v>
      </x:c>
      <x:c r="E2797" s="1" t="str">
        <x:v>PROCESSING</x:v>
      </x:c>
      <x:c r="F2797" s="1" t="str">
        <x:v>Advance shipping</x:v>
      </x:c>
      <x:c r="G2797" s="6" t="n">
        <x:v>3</x:v>
      </x:c>
      <x:c r="H2797" s="6" t="n">
        <x:v>4</x:v>
      </x:c>
      <x:c r="I2797" s="6" t="n">
        <x:f>G2797-H2797</x:f>
        <x:v>-1</x:v>
      </x:c>
      <x:c r="J2797" s="6" t="n">
        <x:f>IF(OR(E2797="CANCELED",E2797="SUSPECTED_FRAUD",F2797="Shipping canceled"),0,1)</x:f>
        <x:v>1</x:v>
      </x:c>
      <x:c r="K2797" s="6" t="n">
        <x:f>IF(G2797&gt;H2797,1,0)</x:f>
        <x:v>0</x:v>
      </x:c>
      <x:c r="L2797" s="6" t="n">
        <x:f>J2797*K2797</x:f>
        <x:v>0</x:v>
      </x:c>
    </x:row>
    <x:row r="2798">
      <x:c r="A2798" s="1" t="n">
        <x:v>21326</x:v>
      </x:c>
      <x:c r="B2798" s="5" t="d">
        <x:v>2015-11-08T00:00:00.000Z</x:v>
      </x:c>
      <x:c r="C2798" s="1" t="str">
        <x:v>Second Class</x:v>
      </x:c>
      <x:c r="D2798" s="1" t="str">
        <x:v>Pacific Asia</x:v>
      </x:c>
      <x:c r="E2798" s="1" t="str">
        <x:v>PROCESSING</x:v>
      </x:c>
      <x:c r="F2798" s="1" t="str">
        <x:v>Shipping on time</x:v>
      </x:c>
      <x:c r="G2798" s="6" t="n">
        <x:v>2</x:v>
      </x:c>
      <x:c r="H2798" s="6" t="n">
        <x:v>2</x:v>
      </x:c>
      <x:c r="I2798" s="6" t="n">
        <x:f>G2798-H2798</x:f>
        <x:v>0</x:v>
      </x:c>
      <x:c r="J2798" s="6" t="n">
        <x:f>IF(OR(E2798="CANCELED",E2798="SUSPECTED_FRAUD",F2798="Shipping canceled"),0,1)</x:f>
        <x:v>1</x:v>
      </x:c>
      <x:c r="K2798" s="6" t="n">
        <x:f>IF(G2798&gt;H2798,1,0)</x:f>
        <x:v>0</x:v>
      </x:c>
      <x:c r="L2798" s="6" t="n">
        <x:f>J2798*K2798</x:f>
        <x:v>0</x:v>
      </x:c>
    </x:row>
    <x:row r="2799">
      <x:c r="A2799" s="1" t="n">
        <x:v>21333</x:v>
      </x:c>
      <x:c r="B2799" s="5" t="d">
        <x:v>2015-11-08T00:00:00.000Z</x:v>
      </x:c>
      <x:c r="C2799" s="1" t="str">
        <x:v>Standard Class</x:v>
      </x:c>
      <x:c r="D2799" s="1" t="str">
        <x:v>Pacific Asia</x:v>
      </x:c>
      <x:c r="E2799" s="1" t="str">
        <x:v>COMPLETE</x:v>
      </x:c>
      <x:c r="F2799" s="1" t="str">
        <x:v>Shipping on time</x:v>
      </x:c>
      <x:c r="G2799" s="6" t="n">
        <x:v>4</x:v>
      </x:c>
      <x:c r="H2799" s="6" t="n">
        <x:v>4</x:v>
      </x:c>
      <x:c r="I2799" s="6" t="n">
        <x:f>G2799-H2799</x:f>
        <x:v>0</x:v>
      </x:c>
      <x:c r="J2799" s="6" t="n">
        <x:f>IF(OR(E2799="CANCELED",E2799="SUSPECTED_FRAUD",F2799="Shipping canceled"),0,1)</x:f>
        <x:v>1</x:v>
      </x:c>
      <x:c r="K2799" s="6" t="n">
        <x:f>IF(G2799&gt;H2799,1,0)</x:f>
        <x:v>0</x:v>
      </x:c>
      <x:c r="L2799" s="6" t="n">
        <x:f>J2799*K2799</x:f>
        <x:v>0</x:v>
      </x:c>
    </x:row>
    <x:row r="2800">
      <x:c r="A2800" s="1" t="n">
        <x:v>21335</x:v>
      </x:c>
      <x:c r="B2800" s="5" t="d">
        <x:v>2015-11-08T00:00:00.000Z</x:v>
      </x:c>
      <x:c r="C2800" s="1" t="str">
        <x:v>Standard Class</x:v>
      </x:c>
      <x:c r="D2800" s="1" t="str">
        <x:v>Pacific Asia</x:v>
      </x:c>
      <x:c r="E2800" s="1" t="str">
        <x:v>PROCESSING</x:v>
      </x:c>
      <x:c r="F2800" s="1" t="str">
        <x:v>Late delivery</x:v>
      </x:c>
      <x:c r="G2800" s="6" t="n">
        <x:v>6</x:v>
      </x:c>
      <x:c r="H2800" s="6" t="n">
        <x:v>4</x:v>
      </x:c>
      <x:c r="I2800" s="6" t="n">
        <x:f>G2800-H2800</x:f>
        <x:v>2</x:v>
      </x:c>
      <x:c r="J2800" s="6" t="n">
        <x:f>IF(OR(E2800="CANCELED",E2800="SUSPECTED_FRAUD",F2800="Shipping canceled"),0,1)</x:f>
        <x:v>1</x:v>
      </x:c>
      <x:c r="K2800" s="6" t="n">
        <x:f>IF(G2800&gt;H2800,1,0)</x:f>
        <x:v>1</x:v>
      </x:c>
      <x:c r="L2800" s="6" t="n">
        <x:f>J2800*K2800</x:f>
        <x:v>1</x:v>
      </x:c>
    </x:row>
    <x:row r="2801">
      <x:c r="A2801" s="1" t="n">
        <x:v>21338</x:v>
      </x:c>
      <x:c r="B2801" s="5" t="d">
        <x:v>2015-11-08T00:00:00.000Z</x:v>
      </x:c>
      <x:c r="C2801" s="1" t="str">
        <x:v>Standard Class</x:v>
      </x:c>
      <x:c r="D2801" s="1" t="str">
        <x:v>Pacific Asia</x:v>
      </x:c>
      <x:c r="E2801" s="1" t="str">
        <x:v>COMPLETE</x:v>
      </x:c>
      <x:c r="F2801" s="1" t="str">
        <x:v>Shipping on time</x:v>
      </x:c>
      <x:c r="G2801" s="6" t="n">
        <x:v>4</x:v>
      </x:c>
      <x:c r="H2801" s="6" t="n">
        <x:v>4</x:v>
      </x:c>
      <x:c r="I2801" s="6" t="n">
        <x:f>G2801-H2801</x:f>
        <x:v>0</x:v>
      </x:c>
      <x:c r="J2801" s="6" t="n">
        <x:f>IF(OR(E2801="CANCELED",E2801="SUSPECTED_FRAUD",F2801="Shipping canceled"),0,1)</x:f>
        <x:v>1</x:v>
      </x:c>
      <x:c r="K2801" s="6" t="n">
        <x:f>IF(G2801&gt;H2801,1,0)</x:f>
        <x:v>0</x:v>
      </x:c>
      <x:c r="L2801" s="6" t="n">
        <x:f>J2801*K2801</x:f>
        <x:v>0</x:v>
      </x:c>
    </x:row>
    <x:row r="2802">
      <x:c r="A2802" s="1" t="n">
        <x:v>21346</x:v>
      </x:c>
      <x:c r="B2802" s="5" t="d">
        <x:v>2015-11-08T00:00:00.000Z</x:v>
      </x:c>
      <x:c r="C2802" s="1" t="str">
        <x:v>Standard Class</x:v>
      </x:c>
      <x:c r="D2802" s="1" t="str">
        <x:v>Pacific Asia</x:v>
      </x:c>
      <x:c r="E2802" s="1" t="str">
        <x:v>PROCESSING</x:v>
      </x:c>
      <x:c r="F2802" s="1" t="str">
        <x:v>Advance shipping</x:v>
      </x:c>
      <x:c r="G2802" s="6" t="n">
        <x:v>2</x:v>
      </x:c>
      <x:c r="H2802" s="6" t="n">
        <x:v>4</x:v>
      </x:c>
      <x:c r="I2802" s="6" t="n">
        <x:f>G2802-H2802</x:f>
        <x:v>-2</x:v>
      </x:c>
      <x:c r="J2802" s="6" t="n">
        <x:f>IF(OR(E2802="CANCELED",E2802="SUSPECTED_FRAUD",F2802="Shipping canceled"),0,1)</x:f>
        <x:v>1</x:v>
      </x:c>
      <x:c r="K2802" s="6" t="n">
        <x:f>IF(G2802&gt;H2802,1,0)</x:f>
        <x:v>0</x:v>
      </x:c>
      <x:c r="L2802" s="6" t="n">
        <x:f>J2802*K2802</x:f>
        <x:v>0</x:v>
      </x:c>
    </x:row>
    <x:row r="2803">
      <x:c r="A2803" s="1" t="n">
        <x:v>21348</x:v>
      </x:c>
      <x:c r="B2803" s="5" t="d">
        <x:v>2015-11-08T00:00:00.000Z</x:v>
      </x:c>
      <x:c r="C2803" s="1" t="str">
        <x:v>Standard Class</x:v>
      </x:c>
      <x:c r="D2803" s="1" t="str">
        <x:v>Pacific Asia</x:v>
      </x:c>
      <x:c r="E2803" s="1" t="str">
        <x:v>PENDING_PAYMENT</x:v>
      </x:c>
      <x:c r="F2803" s="1" t="str">
        <x:v>Shipping on time</x:v>
      </x:c>
      <x:c r="G2803" s="6" t="n">
        <x:v>4</x:v>
      </x:c>
      <x:c r="H2803" s="6" t="n">
        <x:v>4</x:v>
      </x:c>
      <x:c r="I2803" s="6" t="n">
        <x:f>G2803-H2803</x:f>
        <x:v>0</x:v>
      </x:c>
      <x:c r="J2803" s="6" t="n">
        <x:f>IF(OR(E2803="CANCELED",E2803="SUSPECTED_FRAUD",F2803="Shipping canceled"),0,1)</x:f>
        <x:v>1</x:v>
      </x:c>
      <x:c r="K2803" s="6" t="n">
        <x:f>IF(G2803&gt;H2803,1,0)</x:f>
        <x:v>0</x:v>
      </x:c>
      <x:c r="L2803" s="6" t="n">
        <x:f>J2803*K2803</x:f>
        <x:v>0</x:v>
      </x:c>
    </x:row>
    <x:row r="2804">
      <x:c r="A2804" s="1" t="n">
        <x:v>21349</x:v>
      </x:c>
      <x:c r="B2804" s="5" t="d">
        <x:v>2015-11-08T00:00:00.000Z</x:v>
      </x:c>
      <x:c r="C2804" s="1" t="str">
        <x:v>Standard Class</x:v>
      </x:c>
      <x:c r="D2804" s="1" t="str">
        <x:v>Pacific Asia</x:v>
      </x:c>
      <x:c r="E2804" s="1" t="str">
        <x:v>COMPLETE</x:v>
      </x:c>
      <x:c r="F2804" s="1" t="str">
        <x:v>Late delivery</x:v>
      </x:c>
      <x:c r="G2804" s="6" t="n">
        <x:v>5</x:v>
      </x:c>
      <x:c r="H2804" s="6" t="n">
        <x:v>4</x:v>
      </x:c>
      <x:c r="I2804" s="6" t="n">
        <x:f>G2804-H2804</x:f>
        <x:v>1</x:v>
      </x:c>
      <x:c r="J2804" s="6" t="n">
        <x:f>IF(OR(E2804="CANCELED",E2804="SUSPECTED_FRAUD",F2804="Shipping canceled"),0,1)</x:f>
        <x:v>1</x:v>
      </x:c>
      <x:c r="K2804" s="6" t="n">
        <x:f>IF(G2804&gt;H2804,1,0)</x:f>
        <x:v>1</x:v>
      </x:c>
      <x:c r="L2804" s="6" t="n">
        <x:f>J2804*K2804</x:f>
        <x:v>1</x:v>
      </x:c>
    </x:row>
    <x:row r="2805">
      <x:c r="A2805" s="1" t="n">
        <x:v>21351</x:v>
      </x:c>
      <x:c r="B2805" s="5" t="d">
        <x:v>2015-11-08T00:00:00.000Z</x:v>
      </x:c>
      <x:c r="C2805" s="1" t="str">
        <x:v>Standard Class</x:v>
      </x:c>
      <x:c r="D2805" s="1" t="str">
        <x:v>Pacific Asia</x:v>
      </x:c>
      <x:c r="E2805" s="1" t="str">
        <x:v>PROCESSING</x:v>
      </x:c>
      <x:c r="F2805" s="1" t="str">
        <x:v>Advance shipping</x:v>
      </x:c>
      <x:c r="G2805" s="6" t="n">
        <x:v>2</x:v>
      </x:c>
      <x:c r="H2805" s="6" t="n">
        <x:v>4</x:v>
      </x:c>
      <x:c r="I2805" s="6" t="n">
        <x:f>G2805-H2805</x:f>
        <x:v>-2</x:v>
      </x:c>
      <x:c r="J2805" s="6" t="n">
        <x:f>IF(OR(E2805="CANCELED",E2805="SUSPECTED_FRAUD",F2805="Shipping canceled"),0,1)</x:f>
        <x:v>1</x:v>
      </x:c>
      <x:c r="K2805" s="6" t="n">
        <x:f>IF(G2805&gt;H2805,1,0)</x:f>
        <x:v>0</x:v>
      </x:c>
      <x:c r="L2805" s="6" t="n">
        <x:f>J2805*K2805</x:f>
        <x:v>0</x:v>
      </x:c>
    </x:row>
    <x:row r="2806">
      <x:c r="A2806" s="1" t="n">
        <x:v>21358</x:v>
      </x:c>
      <x:c r="B2806" s="5" t="d">
        <x:v>2015-11-08T00:00:00.000Z</x:v>
      </x:c>
      <x:c r="C2806" s="1" t="str">
        <x:v>Standard Class</x:v>
      </x:c>
      <x:c r="D2806" s="1" t="str">
        <x:v>Pacific Asia</x:v>
      </x:c>
      <x:c r="E2806" s="1" t="str">
        <x:v>COMPLETE</x:v>
      </x:c>
      <x:c r="F2806" s="1" t="str">
        <x:v>Shipping on time</x:v>
      </x:c>
      <x:c r="G2806" s="6" t="n">
        <x:v>4</x:v>
      </x:c>
      <x:c r="H2806" s="6" t="n">
        <x:v>4</x:v>
      </x:c>
      <x:c r="I2806" s="6" t="n">
        <x:f>G2806-H2806</x:f>
        <x:v>0</x:v>
      </x:c>
      <x:c r="J2806" s="6" t="n">
        <x:f>IF(OR(E2806="CANCELED",E2806="SUSPECTED_FRAUD",F2806="Shipping canceled"),0,1)</x:f>
        <x:v>1</x:v>
      </x:c>
      <x:c r="K2806" s="6" t="n">
        <x:f>IF(G2806&gt;H2806,1,0)</x:f>
        <x:v>0</x:v>
      </x:c>
      <x:c r="L2806" s="6" t="n">
        <x:f>J2806*K2806</x:f>
        <x:v>0</x:v>
      </x:c>
    </x:row>
    <x:row r="2807">
      <x:c r="A2807" s="1" t="n">
        <x:v>21359</x:v>
      </x:c>
      <x:c r="B2807" s="5" t="d">
        <x:v>2015-11-08T00:00:00.000Z</x:v>
      </x:c>
      <x:c r="C2807" s="1" t="str">
        <x:v>Standard Class</x:v>
      </x:c>
      <x:c r="D2807" s="1" t="str">
        <x:v>Pacific Asia</x:v>
      </x:c>
      <x:c r="E2807" s="1" t="str">
        <x:v>SUSPECTED_FRAUD</x:v>
      </x:c>
      <x:c r="F2807" s="1" t="str">
        <x:v>Shipping canceled</x:v>
      </x:c>
      <x:c r="G2807" s="6" t="n">
        <x:v>5</x:v>
      </x:c>
      <x:c r="H2807" s="6" t="n">
        <x:v>4</x:v>
      </x:c>
      <x:c r="I2807" s="6" t="n">
        <x:f>G2807-H2807</x:f>
        <x:v>1</x:v>
      </x:c>
      <x:c r="J2807" s="6" t="n">
        <x:f>IF(OR(E2807="CANCELED",E2807="SUSPECTED_FRAUD",F2807="Shipping canceled"),0,1)</x:f>
        <x:v>0</x:v>
      </x:c>
      <x:c r="K2807" s="6" t="n">
        <x:f>IF(G2807&gt;H2807,1,0)</x:f>
        <x:v>1</x:v>
      </x:c>
      <x:c r="L2807" s="6" t="n">
        <x:f>J2807*K2807</x:f>
        <x:v>0</x:v>
      </x:c>
    </x:row>
    <x:row r="2808">
      <x:c r="A2808" s="1" t="n">
        <x:v>21360</x:v>
      </x:c>
      <x:c r="B2808" s="5" t="d">
        <x:v>2015-11-08T00:00:00.000Z</x:v>
      </x:c>
      <x:c r="C2808" s="1" t="str">
        <x:v>Standard Class</x:v>
      </x:c>
      <x:c r="D2808" s="1" t="str">
        <x:v>Pacific Asia</x:v>
      </x:c>
      <x:c r="E2808" s="1" t="str">
        <x:v>COMPLETE</x:v>
      </x:c>
      <x:c r="F2808" s="1" t="str">
        <x:v>Late delivery</x:v>
      </x:c>
      <x:c r="G2808" s="6" t="n">
        <x:v>6</x:v>
      </x:c>
      <x:c r="H2808" s="6" t="n">
        <x:v>4</x:v>
      </x:c>
      <x:c r="I2808" s="6" t="n">
        <x:f>G2808-H2808</x:f>
        <x:v>2</x:v>
      </x:c>
      <x:c r="J2808" s="6" t="n">
        <x:f>IF(OR(E2808="CANCELED",E2808="SUSPECTED_FRAUD",F2808="Shipping canceled"),0,1)</x:f>
        <x:v>1</x:v>
      </x:c>
      <x:c r="K2808" s="6" t="n">
        <x:f>IF(G2808&gt;H2808,1,0)</x:f>
        <x:v>1</x:v>
      </x:c>
      <x:c r="L2808" s="6" t="n">
        <x:f>J2808*K2808</x:f>
        <x:v>1</x:v>
      </x:c>
    </x:row>
    <x:row r="2809">
      <x:c r="A2809" s="1" t="n">
        <x:v>21380</x:v>
      </x:c>
      <x:c r="B2809" s="5" t="d">
        <x:v>2015-11-09T00:00:00.000Z</x:v>
      </x:c>
      <x:c r="C2809" s="1" t="str">
        <x:v>Standard Class</x:v>
      </x:c>
      <x:c r="D2809" s="1" t="str">
        <x:v>Pacific Asia</x:v>
      </x:c>
      <x:c r="E2809" s="1" t="str">
        <x:v>COMPLETE</x:v>
      </x:c>
      <x:c r="F2809" s="1" t="str">
        <x:v>Late delivery</x:v>
      </x:c>
      <x:c r="G2809" s="6" t="n">
        <x:v>6</x:v>
      </x:c>
      <x:c r="H2809" s="6" t="n">
        <x:v>4</x:v>
      </x:c>
      <x:c r="I2809" s="6" t="n">
        <x:f>G2809-H2809</x:f>
        <x:v>2</x:v>
      </x:c>
      <x:c r="J2809" s="6" t="n">
        <x:f>IF(OR(E2809="CANCELED",E2809="SUSPECTED_FRAUD",F2809="Shipping canceled"),0,1)</x:f>
        <x:v>1</x:v>
      </x:c>
      <x:c r="K2809" s="6" t="n">
        <x:f>IF(G2809&gt;H2809,1,0)</x:f>
        <x:v>1</x:v>
      </x:c>
      <x:c r="L2809" s="6" t="n">
        <x:f>J2809*K2809</x:f>
        <x:v>1</x:v>
      </x:c>
    </x:row>
    <x:row r="2810">
      <x:c r="A2810" s="1" t="n">
        <x:v>21389</x:v>
      </x:c>
      <x:c r="B2810" s="5" t="d">
        <x:v>2015-11-09T00:00:00.000Z</x:v>
      </x:c>
      <x:c r="C2810" s="1" t="str">
        <x:v>Second Class</x:v>
      </x:c>
      <x:c r="D2810" s="1" t="str">
        <x:v>Pacific Asia</x:v>
      </x:c>
      <x:c r="E2810" s="1" t="str">
        <x:v>PENDING</x:v>
      </x:c>
      <x:c r="F2810" s="1" t="str">
        <x:v>Late delivery</x:v>
      </x:c>
      <x:c r="G2810" s="6" t="n">
        <x:v>5</x:v>
      </x:c>
      <x:c r="H2810" s="6" t="n">
        <x:v>2</x:v>
      </x:c>
      <x:c r="I2810" s="6" t="n">
        <x:f>G2810-H2810</x:f>
        <x:v>3</x:v>
      </x:c>
      <x:c r="J2810" s="6" t="n">
        <x:f>IF(OR(E2810="CANCELED",E2810="SUSPECTED_FRAUD",F2810="Shipping canceled"),0,1)</x:f>
        <x:v>1</x:v>
      </x:c>
      <x:c r="K2810" s="6" t="n">
        <x:f>IF(G2810&gt;H2810,1,0)</x:f>
        <x:v>1</x:v>
      </x:c>
      <x:c r="L2810" s="6" t="n">
        <x:f>J2810*K2810</x:f>
        <x:v>1</x:v>
      </x:c>
    </x:row>
    <x:row r="2811">
      <x:c r="A2811" s="1" t="n">
        <x:v>21401</x:v>
      </x:c>
      <x:c r="B2811" s="5" t="d">
        <x:v>2015-11-09T00:00:00.000Z</x:v>
      </x:c>
      <x:c r="C2811" s="1" t="str">
        <x:v>Standard Class</x:v>
      </x:c>
      <x:c r="D2811" s="1" t="str">
        <x:v>Pacific Asia</x:v>
      </x:c>
      <x:c r="E2811" s="1" t="str">
        <x:v>PROCESSING</x:v>
      </x:c>
      <x:c r="F2811" s="1" t="str">
        <x:v>Advance shipping</x:v>
      </x:c>
      <x:c r="G2811" s="6" t="n">
        <x:v>2</x:v>
      </x:c>
      <x:c r="H2811" s="6" t="n">
        <x:v>4</x:v>
      </x:c>
      <x:c r="I2811" s="6" t="n">
        <x:f>G2811-H2811</x:f>
        <x:v>-2</x:v>
      </x:c>
      <x:c r="J2811" s="6" t="n">
        <x:f>IF(OR(E2811="CANCELED",E2811="SUSPECTED_FRAUD",F2811="Shipping canceled"),0,1)</x:f>
        <x:v>1</x:v>
      </x:c>
      <x:c r="K2811" s="6" t="n">
        <x:f>IF(G2811&gt;H2811,1,0)</x:f>
        <x:v>0</x:v>
      </x:c>
      <x:c r="L2811" s="6" t="n">
        <x:f>J2811*K2811</x:f>
        <x:v>0</x:v>
      </x:c>
    </x:row>
    <x:row r="2812">
      <x:c r="A2812" s="1" t="n">
        <x:v>21402</x:v>
      </x:c>
      <x:c r="B2812" s="5" t="d">
        <x:v>2015-11-09T00:00:00.000Z</x:v>
      </x:c>
      <x:c r="C2812" s="1" t="str">
        <x:v>Standard Class</x:v>
      </x:c>
      <x:c r="D2812" s="1" t="str">
        <x:v>Pacific Asia</x:v>
      </x:c>
      <x:c r="E2812" s="1" t="str">
        <x:v>ON_HOLD</x:v>
      </x:c>
      <x:c r="F2812" s="1" t="str">
        <x:v>Advance shipping</x:v>
      </x:c>
      <x:c r="G2812" s="6" t="n">
        <x:v>3</x:v>
      </x:c>
      <x:c r="H2812" s="6" t="n">
        <x:v>4</x:v>
      </x:c>
      <x:c r="I2812" s="6" t="n">
        <x:f>G2812-H2812</x:f>
        <x:v>-1</x:v>
      </x:c>
      <x:c r="J2812" s="6" t="n">
        <x:f>IF(OR(E2812="CANCELED",E2812="SUSPECTED_FRAUD",F2812="Shipping canceled"),0,1)</x:f>
        <x:v>1</x:v>
      </x:c>
      <x:c r="K2812" s="6" t="n">
        <x:f>IF(G2812&gt;H2812,1,0)</x:f>
        <x:v>0</x:v>
      </x:c>
      <x:c r="L2812" s="6" t="n">
        <x:f>J2812*K2812</x:f>
        <x:v>0</x:v>
      </x:c>
    </x:row>
    <x:row r="2813">
      <x:c r="A2813" s="1" t="n">
        <x:v>21406</x:v>
      </x:c>
      <x:c r="B2813" s="5" t="d">
        <x:v>2015-11-09T00:00:00.000Z</x:v>
      </x:c>
      <x:c r="C2813" s="1" t="str">
        <x:v>Standard Class</x:v>
      </x:c>
      <x:c r="D2813" s="1" t="str">
        <x:v>Pacific Asia</x:v>
      </x:c>
      <x:c r="E2813" s="1" t="str">
        <x:v>PROCESSING</x:v>
      </x:c>
      <x:c r="F2813" s="1" t="str">
        <x:v>Advance shipping</x:v>
      </x:c>
      <x:c r="G2813" s="6" t="n">
        <x:v>2</x:v>
      </x:c>
      <x:c r="H2813" s="6" t="n">
        <x:v>4</x:v>
      </x:c>
      <x:c r="I2813" s="6" t="n">
        <x:f>G2813-H2813</x:f>
        <x:v>-2</x:v>
      </x:c>
      <x:c r="J2813" s="6" t="n">
        <x:f>IF(OR(E2813="CANCELED",E2813="SUSPECTED_FRAUD",F2813="Shipping canceled"),0,1)</x:f>
        <x:v>1</x:v>
      </x:c>
      <x:c r="K2813" s="6" t="n">
        <x:f>IF(G2813&gt;H2813,1,0)</x:f>
        <x:v>0</x:v>
      </x:c>
      <x:c r="L2813" s="6" t="n">
        <x:f>J2813*K2813</x:f>
        <x:v>0</x:v>
      </x:c>
    </x:row>
    <x:row r="2814">
      <x:c r="A2814" s="1" t="n">
        <x:v>21407</x:v>
      </x:c>
      <x:c r="B2814" s="5" t="d">
        <x:v>2015-11-09T00:00:00.000Z</x:v>
      </x:c>
      <x:c r="C2814" s="1" t="str">
        <x:v>Standard Class</x:v>
      </x:c>
      <x:c r="D2814" s="1" t="str">
        <x:v>Pacific Asia</x:v>
      </x:c>
      <x:c r="E2814" s="1" t="str">
        <x:v>COMPLETE</x:v>
      </x:c>
      <x:c r="F2814" s="1" t="str">
        <x:v>Advance shipping</x:v>
      </x:c>
      <x:c r="G2814" s="6" t="n">
        <x:v>3</x:v>
      </x:c>
      <x:c r="H2814" s="6" t="n">
        <x:v>4</x:v>
      </x:c>
      <x:c r="I2814" s="6" t="n">
        <x:f>G2814-H2814</x:f>
        <x:v>-1</x:v>
      </x:c>
      <x:c r="J2814" s="6" t="n">
        <x:f>IF(OR(E2814="CANCELED",E2814="SUSPECTED_FRAUD",F2814="Shipping canceled"),0,1)</x:f>
        <x:v>1</x:v>
      </x:c>
      <x:c r="K2814" s="6" t="n">
        <x:f>IF(G2814&gt;H2814,1,0)</x:f>
        <x:v>0</x:v>
      </x:c>
      <x:c r="L2814" s="6" t="n">
        <x:f>J2814*K2814</x:f>
        <x:v>0</x:v>
      </x:c>
    </x:row>
    <x:row r="2815">
      <x:c r="A2815" s="1" t="n">
        <x:v>21419</x:v>
      </x:c>
      <x:c r="B2815" s="5" t="d">
        <x:v>2015-11-09T00:00:00.000Z</x:v>
      </x:c>
      <x:c r="C2815" s="1" t="str">
        <x:v>First Class</x:v>
      </x:c>
      <x:c r="D2815" s="1" t="str">
        <x:v>Pacific Asia</x:v>
      </x:c>
      <x:c r="E2815" s="1" t="str">
        <x:v>CLOSED</x:v>
      </x:c>
      <x:c r="F2815" s="1" t="str">
        <x:v>Late delivery</x:v>
      </x:c>
      <x:c r="G2815" s="6" t="n">
        <x:v>2</x:v>
      </x:c>
      <x:c r="H2815" s="6" t="n">
        <x:v>1</x:v>
      </x:c>
      <x:c r="I2815" s="6" t="n">
        <x:f>G2815-H2815</x:f>
        <x:v>1</x:v>
      </x:c>
      <x:c r="J2815" s="6" t="n">
        <x:f>IF(OR(E2815="CANCELED",E2815="SUSPECTED_FRAUD",F2815="Shipping canceled"),0,1)</x:f>
        <x:v>1</x:v>
      </x:c>
      <x:c r="K2815" s="6" t="n">
        <x:f>IF(G2815&gt;H2815,1,0)</x:f>
        <x:v>1</x:v>
      </x:c>
      <x:c r="L2815" s="6" t="n">
        <x:f>J2815*K2815</x:f>
        <x:v>1</x:v>
      </x:c>
    </x:row>
    <x:row r="2816">
      <x:c r="A2816" s="1" t="n">
        <x:v>21432</x:v>
      </x:c>
      <x:c r="B2816" s="5" t="d">
        <x:v>2015-11-09T00:00:00.000Z</x:v>
      </x:c>
      <x:c r="C2816" s="1" t="str">
        <x:v>Standard Class</x:v>
      </x:c>
      <x:c r="D2816" s="1" t="str">
        <x:v>Pacific Asia</x:v>
      </x:c>
      <x:c r="E2816" s="1" t="str">
        <x:v>ON_HOLD</x:v>
      </x:c>
      <x:c r="F2816" s="1" t="str">
        <x:v>Advance shipping</x:v>
      </x:c>
      <x:c r="G2816" s="6" t="n">
        <x:v>3</x:v>
      </x:c>
      <x:c r="H2816" s="6" t="n">
        <x:v>4</x:v>
      </x:c>
      <x:c r="I2816" s="6" t="n">
        <x:f>G2816-H2816</x:f>
        <x:v>-1</x:v>
      </x:c>
      <x:c r="J2816" s="6" t="n">
        <x:f>IF(OR(E2816="CANCELED",E2816="SUSPECTED_FRAUD",F2816="Shipping canceled"),0,1)</x:f>
        <x:v>1</x:v>
      </x:c>
      <x:c r="K2816" s="6" t="n">
        <x:f>IF(G2816&gt;H2816,1,0)</x:f>
        <x:v>0</x:v>
      </x:c>
      <x:c r="L2816" s="6" t="n">
        <x:f>J2816*K2816</x:f>
        <x:v>0</x:v>
      </x:c>
    </x:row>
    <x:row r="2817">
      <x:c r="A2817" s="1" t="n">
        <x:v>21434</x:v>
      </x:c>
      <x:c r="B2817" s="5" t="d">
        <x:v>2015-11-09T00:00:00.000Z</x:v>
      </x:c>
      <x:c r="C2817" s="1" t="str">
        <x:v>Standard Class</x:v>
      </x:c>
      <x:c r="D2817" s="1" t="str">
        <x:v>Pacific Asia</x:v>
      </x:c>
      <x:c r="E2817" s="1" t="str">
        <x:v>PENDING</x:v>
      </x:c>
      <x:c r="F2817" s="1" t="str">
        <x:v>Late delivery</x:v>
      </x:c>
      <x:c r="G2817" s="6" t="n">
        <x:v>5</x:v>
      </x:c>
      <x:c r="H2817" s="6" t="n">
        <x:v>4</x:v>
      </x:c>
      <x:c r="I2817" s="6" t="n">
        <x:f>G2817-H2817</x:f>
        <x:v>1</x:v>
      </x:c>
      <x:c r="J2817" s="6" t="n">
        <x:f>IF(OR(E2817="CANCELED",E2817="SUSPECTED_FRAUD",F2817="Shipping canceled"),0,1)</x:f>
        <x:v>1</x:v>
      </x:c>
      <x:c r="K2817" s="6" t="n">
        <x:f>IF(G2817&gt;H2817,1,0)</x:f>
        <x:v>1</x:v>
      </x:c>
      <x:c r="L2817" s="6" t="n">
        <x:f>J2817*K2817</x:f>
        <x:v>1</x:v>
      </x:c>
    </x:row>
    <x:row r="2818">
      <x:c r="A2818" s="1" t="n">
        <x:v>21436</x:v>
      </x:c>
      <x:c r="B2818" s="5" t="d">
        <x:v>2015-11-09T00:00:00.000Z</x:v>
      </x:c>
      <x:c r="C2818" s="1" t="str">
        <x:v>Standard Class</x:v>
      </x:c>
      <x:c r="D2818" s="1" t="str">
        <x:v>Pacific Asia</x:v>
      </x:c>
      <x:c r="E2818" s="1" t="str">
        <x:v>COMPLETE</x:v>
      </x:c>
      <x:c r="F2818" s="1" t="str">
        <x:v>Advance shipping</x:v>
      </x:c>
      <x:c r="G2818" s="6" t="n">
        <x:v>2</x:v>
      </x:c>
      <x:c r="H2818" s="6" t="n">
        <x:v>4</x:v>
      </x:c>
      <x:c r="I2818" s="6" t="n">
        <x:f>G2818-H2818</x:f>
        <x:v>-2</x:v>
      </x:c>
      <x:c r="J2818" s="6" t="n">
        <x:f>IF(OR(E2818="CANCELED",E2818="SUSPECTED_FRAUD",F2818="Shipping canceled"),0,1)</x:f>
        <x:v>1</x:v>
      </x:c>
      <x:c r="K2818" s="6" t="n">
        <x:f>IF(G2818&gt;H2818,1,0)</x:f>
        <x:v>0</x:v>
      </x:c>
      <x:c r="L2818" s="6" t="n">
        <x:f>J2818*K2818</x:f>
        <x:v>0</x:v>
      </x:c>
    </x:row>
    <x:row r="2819">
      <x:c r="A2819" s="1" t="n">
        <x:v>21451</x:v>
      </x:c>
      <x:c r="B2819" s="5" t="d">
        <x:v>2015-11-10T00:00:00.000Z</x:v>
      </x:c>
      <x:c r="C2819" s="1" t="str">
        <x:v>Standard Class</x:v>
      </x:c>
      <x:c r="D2819" s="1" t="str">
        <x:v>Pacific Asia</x:v>
      </x:c>
      <x:c r="E2819" s="1" t="str">
        <x:v>PENDING_PAYMENT</x:v>
      </x:c>
      <x:c r="F2819" s="1" t="str">
        <x:v>Advance shipping</x:v>
      </x:c>
      <x:c r="G2819" s="6" t="n">
        <x:v>2</x:v>
      </x:c>
      <x:c r="H2819" s="6" t="n">
        <x:v>4</x:v>
      </x:c>
      <x:c r="I2819" s="6" t="n">
        <x:f>G2819-H2819</x:f>
        <x:v>-2</x:v>
      </x:c>
      <x:c r="J2819" s="6" t="n">
        <x:f>IF(OR(E2819="CANCELED",E2819="SUSPECTED_FRAUD",F2819="Shipping canceled"),0,1)</x:f>
        <x:v>1</x:v>
      </x:c>
      <x:c r="K2819" s="6" t="n">
        <x:f>IF(G2819&gt;H2819,1,0)</x:f>
        <x:v>0</x:v>
      </x:c>
      <x:c r="L2819" s="6" t="n">
        <x:f>J2819*K2819</x:f>
        <x:v>0</x:v>
      </x:c>
    </x:row>
    <x:row r="2820">
      <x:c r="A2820" s="1" t="n">
        <x:v>21456</x:v>
      </x:c>
      <x:c r="B2820" s="5" t="d">
        <x:v>2015-11-10T00:00:00.000Z</x:v>
      </x:c>
      <x:c r="C2820" s="1" t="str">
        <x:v>Standard Class</x:v>
      </x:c>
      <x:c r="D2820" s="1" t="str">
        <x:v>Pacific Asia</x:v>
      </x:c>
      <x:c r="E2820" s="1" t="str">
        <x:v>COMPLETE</x:v>
      </x:c>
      <x:c r="F2820" s="1" t="str">
        <x:v>Advance shipping</x:v>
      </x:c>
      <x:c r="G2820" s="6" t="n">
        <x:v>2</x:v>
      </x:c>
      <x:c r="H2820" s="6" t="n">
        <x:v>4</x:v>
      </x:c>
      <x:c r="I2820" s="6" t="n">
        <x:f>G2820-H2820</x:f>
        <x:v>-2</x:v>
      </x:c>
      <x:c r="J2820" s="6" t="n">
        <x:f>IF(OR(E2820="CANCELED",E2820="SUSPECTED_FRAUD",F2820="Shipping canceled"),0,1)</x:f>
        <x:v>1</x:v>
      </x:c>
      <x:c r="K2820" s="6" t="n">
        <x:f>IF(G2820&gt;H2820,1,0)</x:f>
        <x:v>0</x:v>
      </x:c>
      <x:c r="L2820" s="6" t="n">
        <x:f>J2820*K2820</x:f>
        <x:v>0</x:v>
      </x:c>
    </x:row>
    <x:row r="2821">
      <x:c r="A2821" s="1" t="n">
        <x:v>21459</x:v>
      </x:c>
      <x:c r="B2821" s="5" t="d">
        <x:v>2015-11-10T00:00:00.000Z</x:v>
      </x:c>
      <x:c r="C2821" s="1" t="str">
        <x:v>Standard Class</x:v>
      </x:c>
      <x:c r="D2821" s="1" t="str">
        <x:v>Pacific Asia</x:v>
      </x:c>
      <x:c r="E2821" s="1" t="str">
        <x:v>COMPLETE</x:v>
      </x:c>
      <x:c r="F2821" s="1" t="str">
        <x:v>Late delivery</x:v>
      </x:c>
      <x:c r="G2821" s="6" t="n">
        <x:v>5</x:v>
      </x:c>
      <x:c r="H2821" s="6" t="n">
        <x:v>4</x:v>
      </x:c>
      <x:c r="I2821" s="6" t="n">
        <x:f>G2821-H2821</x:f>
        <x:v>1</x:v>
      </x:c>
      <x:c r="J2821" s="6" t="n">
        <x:f>IF(OR(E2821="CANCELED",E2821="SUSPECTED_FRAUD",F2821="Shipping canceled"),0,1)</x:f>
        <x:v>1</x:v>
      </x:c>
      <x:c r="K2821" s="6" t="n">
        <x:f>IF(G2821&gt;H2821,1,0)</x:f>
        <x:v>1</x:v>
      </x:c>
      <x:c r="L2821" s="6" t="n">
        <x:f>J2821*K2821</x:f>
        <x:v>1</x:v>
      </x:c>
    </x:row>
    <x:row r="2822">
      <x:c r="A2822" s="1" t="n">
        <x:v>21460</x:v>
      </x:c>
      <x:c r="B2822" s="5" t="d">
        <x:v>2015-11-10T00:00:00.000Z</x:v>
      </x:c>
      <x:c r="C2822" s="1" t="str">
        <x:v>Standard Class</x:v>
      </x:c>
      <x:c r="D2822" s="1" t="str">
        <x:v>Pacific Asia</x:v>
      </x:c>
      <x:c r="E2822" s="1" t="str">
        <x:v>COMPLETE</x:v>
      </x:c>
      <x:c r="F2822" s="1" t="str">
        <x:v>Late delivery</x:v>
      </x:c>
      <x:c r="G2822" s="6" t="n">
        <x:v>6</x:v>
      </x:c>
      <x:c r="H2822" s="6" t="n">
        <x:v>4</x:v>
      </x:c>
      <x:c r="I2822" s="6" t="n">
        <x:f>G2822-H2822</x:f>
        <x:v>2</x:v>
      </x:c>
      <x:c r="J2822" s="6" t="n">
        <x:f>IF(OR(E2822="CANCELED",E2822="SUSPECTED_FRAUD",F2822="Shipping canceled"),0,1)</x:f>
        <x:v>1</x:v>
      </x:c>
      <x:c r="K2822" s="6" t="n">
        <x:f>IF(G2822&gt;H2822,1,0)</x:f>
        <x:v>1</x:v>
      </x:c>
      <x:c r="L2822" s="6" t="n">
        <x:f>J2822*K2822</x:f>
        <x:v>1</x:v>
      </x:c>
    </x:row>
    <x:row r="2823">
      <x:c r="A2823" s="1" t="n">
        <x:v>21475</x:v>
      </x:c>
      <x:c r="B2823" s="5" t="d">
        <x:v>2015-11-10T00:00:00.000Z</x:v>
      </x:c>
      <x:c r="C2823" s="1" t="str">
        <x:v>Standard Class</x:v>
      </x:c>
      <x:c r="D2823" s="1" t="str">
        <x:v>Pacific Asia</x:v>
      </x:c>
      <x:c r="E2823" s="1" t="str">
        <x:v>PENDING</x:v>
      </x:c>
      <x:c r="F2823" s="1" t="str">
        <x:v>Late delivery</x:v>
      </x:c>
      <x:c r="G2823" s="6" t="n">
        <x:v>6</x:v>
      </x:c>
      <x:c r="H2823" s="6" t="n">
        <x:v>4</x:v>
      </x:c>
      <x:c r="I2823" s="6" t="n">
        <x:f>G2823-H2823</x:f>
        <x:v>2</x:v>
      </x:c>
      <x:c r="J2823" s="6" t="n">
        <x:f>IF(OR(E2823="CANCELED",E2823="SUSPECTED_FRAUD",F2823="Shipping canceled"),0,1)</x:f>
        <x:v>1</x:v>
      </x:c>
      <x:c r="K2823" s="6" t="n">
        <x:f>IF(G2823&gt;H2823,1,0)</x:f>
        <x:v>1</x:v>
      </x:c>
      <x:c r="L2823" s="6" t="n">
        <x:f>J2823*K2823</x:f>
        <x:v>1</x:v>
      </x:c>
    </x:row>
    <x:row r="2824">
      <x:c r="A2824" s="1" t="n">
        <x:v>21484</x:v>
      </x:c>
      <x:c r="B2824" s="5" t="d">
        <x:v>2015-11-10T00:00:00.000Z</x:v>
      </x:c>
      <x:c r="C2824" s="1" t="str">
        <x:v>Standard Class</x:v>
      </x:c>
      <x:c r="D2824" s="1" t="str">
        <x:v>Pacific Asia</x:v>
      </x:c>
      <x:c r="E2824" s="1" t="str">
        <x:v>SUSPECTED_FRAUD</x:v>
      </x:c>
      <x:c r="F2824" s="1" t="str">
        <x:v>Shipping canceled</x:v>
      </x:c>
      <x:c r="G2824" s="6" t="n">
        <x:v>5</x:v>
      </x:c>
      <x:c r="H2824" s="6" t="n">
        <x:v>4</x:v>
      </x:c>
      <x:c r="I2824" s="6" t="n">
        <x:f>G2824-H2824</x:f>
        <x:v>1</x:v>
      </x:c>
      <x:c r="J2824" s="6" t="n">
        <x:f>IF(OR(E2824="CANCELED",E2824="SUSPECTED_FRAUD",F2824="Shipping canceled"),0,1)</x:f>
        <x:v>0</x:v>
      </x:c>
      <x:c r="K2824" s="6" t="n">
        <x:f>IF(G2824&gt;H2824,1,0)</x:f>
        <x:v>1</x:v>
      </x:c>
      <x:c r="L2824" s="6" t="n">
        <x:f>J2824*K2824</x:f>
        <x:v>0</x:v>
      </x:c>
    </x:row>
    <x:row r="2825">
      <x:c r="A2825" s="1" t="n">
        <x:v>21487</x:v>
      </x:c>
      <x:c r="B2825" s="5" t="d">
        <x:v>2015-11-10T00:00:00.000Z</x:v>
      </x:c>
      <x:c r="C2825" s="1" t="str">
        <x:v>Standard Class</x:v>
      </x:c>
      <x:c r="D2825" s="1" t="str">
        <x:v>Pacific Asia</x:v>
      </x:c>
      <x:c r="E2825" s="1" t="str">
        <x:v>PENDING</x:v>
      </x:c>
      <x:c r="F2825" s="1" t="str">
        <x:v>Advance shipping</x:v>
      </x:c>
      <x:c r="G2825" s="6" t="n">
        <x:v>3</x:v>
      </x:c>
      <x:c r="H2825" s="6" t="n">
        <x:v>4</x:v>
      </x:c>
      <x:c r="I2825" s="6" t="n">
        <x:f>G2825-H2825</x:f>
        <x:v>-1</x:v>
      </x:c>
      <x:c r="J2825" s="6" t="n">
        <x:f>IF(OR(E2825="CANCELED",E2825="SUSPECTED_FRAUD",F2825="Shipping canceled"),0,1)</x:f>
        <x:v>1</x:v>
      </x:c>
      <x:c r="K2825" s="6" t="n">
        <x:f>IF(G2825&gt;H2825,1,0)</x:f>
        <x:v>0</x:v>
      </x:c>
      <x:c r="L2825" s="6" t="n">
        <x:f>J2825*K2825</x:f>
        <x:v>0</x:v>
      </x:c>
    </x:row>
    <x:row r="2826">
      <x:c r="A2826" s="1" t="n">
        <x:v>21494</x:v>
      </x:c>
      <x:c r="B2826" s="5" t="d">
        <x:v>2015-11-10T00:00:00.000Z</x:v>
      </x:c>
      <x:c r="C2826" s="1" t="str">
        <x:v>First Class</x:v>
      </x:c>
      <x:c r="D2826" s="1" t="str">
        <x:v>Pacific Asia</x:v>
      </x:c>
      <x:c r="E2826" s="1" t="str">
        <x:v>CLOSED</x:v>
      </x:c>
      <x:c r="F2826" s="1" t="str">
        <x:v>Late delivery</x:v>
      </x:c>
      <x:c r="G2826" s="6" t="n">
        <x:v>2</x:v>
      </x:c>
      <x:c r="H2826" s="6" t="n">
        <x:v>1</x:v>
      </x:c>
      <x:c r="I2826" s="6" t="n">
        <x:f>G2826-H2826</x:f>
        <x:v>1</x:v>
      </x:c>
      <x:c r="J2826" s="6" t="n">
        <x:f>IF(OR(E2826="CANCELED",E2826="SUSPECTED_FRAUD",F2826="Shipping canceled"),0,1)</x:f>
        <x:v>1</x:v>
      </x:c>
      <x:c r="K2826" s="6" t="n">
        <x:f>IF(G2826&gt;H2826,1,0)</x:f>
        <x:v>1</x:v>
      </x:c>
      <x:c r="L2826" s="6" t="n">
        <x:f>J2826*K2826</x:f>
        <x:v>1</x:v>
      </x:c>
    </x:row>
    <x:row r="2827">
      <x:c r="A2827" s="1" t="n">
        <x:v>21505</x:v>
      </x:c>
      <x:c r="B2827" s="5" t="d">
        <x:v>2015-11-10T00:00:00.000Z</x:v>
      </x:c>
      <x:c r="C2827" s="1" t="str">
        <x:v>Second Class</x:v>
      </x:c>
      <x:c r="D2827" s="1" t="str">
        <x:v>Pacific Asia</x:v>
      </x:c>
      <x:c r="E2827" s="1" t="str">
        <x:v>CLOSED</x:v>
      </x:c>
      <x:c r="F2827" s="1" t="str">
        <x:v>Late delivery</x:v>
      </x:c>
      <x:c r="G2827" s="6" t="n">
        <x:v>6</x:v>
      </x:c>
      <x:c r="H2827" s="6" t="n">
        <x:v>2</x:v>
      </x:c>
      <x:c r="I2827" s="6" t="n">
        <x:f>G2827-H2827</x:f>
        <x:v>4</x:v>
      </x:c>
      <x:c r="J2827" s="6" t="n">
        <x:f>IF(OR(E2827="CANCELED",E2827="SUSPECTED_FRAUD",F2827="Shipping canceled"),0,1)</x:f>
        <x:v>1</x:v>
      </x:c>
      <x:c r="K2827" s="6" t="n">
        <x:f>IF(G2827&gt;H2827,1,0)</x:f>
        <x:v>1</x:v>
      </x:c>
      <x:c r="L2827" s="6" t="n">
        <x:f>J2827*K2827</x:f>
        <x:v>1</x:v>
      </x:c>
    </x:row>
    <x:row r="2828">
      <x:c r="A2828" s="1" t="n">
        <x:v>21509</x:v>
      </x:c>
      <x:c r="B2828" s="5" t="d">
        <x:v>2015-11-10T00:00:00.000Z</x:v>
      </x:c>
      <x:c r="C2828" s="1" t="str">
        <x:v>Second Class</x:v>
      </x:c>
      <x:c r="D2828" s="1" t="str">
        <x:v>Pacific Asia</x:v>
      </x:c>
      <x:c r="E2828" s="1" t="str">
        <x:v>CLOSED</x:v>
      </x:c>
      <x:c r="F2828" s="1" t="str">
        <x:v>Late delivery</x:v>
      </x:c>
      <x:c r="G2828" s="6" t="n">
        <x:v>5</x:v>
      </x:c>
      <x:c r="H2828" s="6" t="n">
        <x:v>2</x:v>
      </x:c>
      <x:c r="I2828" s="6" t="n">
        <x:f>G2828-H2828</x:f>
        <x:v>3</x:v>
      </x:c>
      <x:c r="J2828" s="6" t="n">
        <x:f>IF(OR(E2828="CANCELED",E2828="SUSPECTED_FRAUD",F2828="Shipping canceled"),0,1)</x:f>
        <x:v>1</x:v>
      </x:c>
      <x:c r="K2828" s="6" t="n">
        <x:f>IF(G2828&gt;H2828,1,0)</x:f>
        <x:v>1</x:v>
      </x:c>
      <x:c r="L2828" s="6" t="n">
        <x:f>J2828*K2828</x:f>
        <x:v>1</x:v>
      </x:c>
    </x:row>
    <x:row r="2829">
      <x:c r="A2829" s="1" t="n">
        <x:v>21522</x:v>
      </x:c>
      <x:c r="B2829" s="5" t="d">
        <x:v>2015-11-11T00:00:00.000Z</x:v>
      </x:c>
      <x:c r="C2829" s="1" t="str">
        <x:v>Standard Class</x:v>
      </x:c>
      <x:c r="D2829" s="1" t="str">
        <x:v>Pacific Asia</x:v>
      </x:c>
      <x:c r="E2829" s="1" t="str">
        <x:v>COMPLETE</x:v>
      </x:c>
      <x:c r="F2829" s="1" t="str">
        <x:v>Advance shipping</x:v>
      </x:c>
      <x:c r="G2829" s="6" t="n">
        <x:v>3</x:v>
      </x:c>
      <x:c r="H2829" s="6" t="n">
        <x:v>4</x:v>
      </x:c>
      <x:c r="I2829" s="6" t="n">
        <x:f>G2829-H2829</x:f>
        <x:v>-1</x:v>
      </x:c>
      <x:c r="J2829" s="6" t="n">
        <x:f>IF(OR(E2829="CANCELED",E2829="SUSPECTED_FRAUD",F2829="Shipping canceled"),0,1)</x:f>
        <x:v>1</x:v>
      </x:c>
      <x:c r="K2829" s="6" t="n">
        <x:f>IF(G2829&gt;H2829,1,0)</x:f>
        <x:v>0</x:v>
      </x:c>
      <x:c r="L2829" s="6" t="n">
        <x:f>J2829*K2829</x:f>
        <x:v>0</x:v>
      </x:c>
    </x:row>
    <x:row r="2830">
      <x:c r="A2830" s="1" t="n">
        <x:v>21534</x:v>
      </x:c>
      <x:c r="B2830" s="5" t="d">
        <x:v>2015-11-11T00:00:00.000Z</x:v>
      </x:c>
      <x:c r="C2830" s="1" t="str">
        <x:v>Second Class</x:v>
      </x:c>
      <x:c r="D2830" s="1" t="str">
        <x:v>Pacific Asia</x:v>
      </x:c>
      <x:c r="E2830" s="1" t="str">
        <x:v>PENDING_PAYMENT</x:v>
      </x:c>
      <x:c r="F2830" s="1" t="str">
        <x:v>Late delivery</x:v>
      </x:c>
      <x:c r="G2830" s="6" t="n">
        <x:v>5</x:v>
      </x:c>
      <x:c r="H2830" s="6" t="n">
        <x:v>2</x:v>
      </x:c>
      <x:c r="I2830" s="6" t="n">
        <x:f>G2830-H2830</x:f>
        <x:v>3</x:v>
      </x:c>
      <x:c r="J2830" s="6" t="n">
        <x:f>IF(OR(E2830="CANCELED",E2830="SUSPECTED_FRAUD",F2830="Shipping canceled"),0,1)</x:f>
        <x:v>1</x:v>
      </x:c>
      <x:c r="K2830" s="6" t="n">
        <x:f>IF(G2830&gt;H2830,1,0)</x:f>
        <x:v>1</x:v>
      </x:c>
      <x:c r="L2830" s="6" t="n">
        <x:f>J2830*K2830</x:f>
        <x:v>1</x:v>
      </x:c>
    </x:row>
    <x:row r="2831">
      <x:c r="A2831" s="1" t="n">
        <x:v>21539</x:v>
      </x:c>
      <x:c r="B2831" s="5" t="d">
        <x:v>2015-11-11T00:00:00.000Z</x:v>
      </x:c>
      <x:c r="C2831" s="1" t="str">
        <x:v>Standard Class</x:v>
      </x:c>
      <x:c r="D2831" s="1" t="str">
        <x:v>Pacific Asia</x:v>
      </x:c>
      <x:c r="E2831" s="1" t="str">
        <x:v>CANCELED</x:v>
      </x:c>
      <x:c r="F2831" s="1" t="str">
        <x:v>Shipping canceled</x:v>
      </x:c>
      <x:c r="G2831" s="6" t="n">
        <x:v>5</x:v>
      </x:c>
      <x:c r="H2831" s="6" t="n">
        <x:v>4</x:v>
      </x:c>
      <x:c r="I2831" s="6" t="n">
        <x:f>G2831-H2831</x:f>
        <x:v>1</x:v>
      </x:c>
      <x:c r="J2831" s="6" t="n">
        <x:f>IF(OR(E2831="CANCELED",E2831="SUSPECTED_FRAUD",F2831="Shipping canceled"),0,1)</x:f>
        <x:v>0</x:v>
      </x:c>
      <x:c r="K2831" s="6" t="n">
        <x:f>IF(G2831&gt;H2831,1,0)</x:f>
        <x:v>1</x:v>
      </x:c>
      <x:c r="L2831" s="6" t="n">
        <x:f>J2831*K2831</x:f>
        <x:v>0</x:v>
      </x:c>
    </x:row>
    <x:row r="2832">
      <x:c r="A2832" s="1" t="n">
        <x:v>21549</x:v>
      </x:c>
      <x:c r="B2832" s="5" t="d">
        <x:v>2015-11-11T00:00:00.000Z</x:v>
      </x:c>
      <x:c r="C2832" s="1" t="str">
        <x:v>Standard Class</x:v>
      </x:c>
      <x:c r="D2832" s="1" t="str">
        <x:v>Pacific Asia</x:v>
      </x:c>
      <x:c r="E2832" s="1" t="str">
        <x:v>PAYMENT_REVIEW</x:v>
      </x:c>
      <x:c r="F2832" s="1" t="str">
        <x:v>Late delivery</x:v>
      </x:c>
      <x:c r="G2832" s="6" t="n">
        <x:v>5</x:v>
      </x:c>
      <x:c r="H2832" s="6" t="n">
        <x:v>4</x:v>
      </x:c>
      <x:c r="I2832" s="6" t="n">
        <x:f>G2832-H2832</x:f>
        <x:v>1</x:v>
      </x:c>
      <x:c r="J2832" s="6" t="n">
        <x:f>IF(OR(E2832="CANCELED",E2832="SUSPECTED_FRAUD",F2832="Shipping canceled"),0,1)</x:f>
        <x:v>1</x:v>
      </x:c>
      <x:c r="K2832" s="6" t="n">
        <x:f>IF(G2832&gt;H2832,1,0)</x:f>
        <x:v>1</x:v>
      </x:c>
      <x:c r="L2832" s="6" t="n">
        <x:f>J2832*K2832</x:f>
        <x:v>1</x:v>
      </x:c>
    </x:row>
    <x:row r="2833">
      <x:c r="A2833" s="1" t="n">
        <x:v>21589</x:v>
      </x:c>
      <x:c r="B2833" s="5" t="d">
        <x:v>2015-11-12T00:00:00.000Z</x:v>
      </x:c>
      <x:c r="C2833" s="1" t="str">
        <x:v>Standard Class</x:v>
      </x:c>
      <x:c r="D2833" s="1" t="str">
        <x:v>Pacific Asia</x:v>
      </x:c>
      <x:c r="E2833" s="1" t="str">
        <x:v>ON_HOLD</x:v>
      </x:c>
      <x:c r="F2833" s="1" t="str">
        <x:v>Late delivery</x:v>
      </x:c>
      <x:c r="G2833" s="6" t="n">
        <x:v>5</x:v>
      </x:c>
      <x:c r="H2833" s="6" t="n">
        <x:v>4</x:v>
      </x:c>
      <x:c r="I2833" s="6" t="n">
        <x:f>G2833-H2833</x:f>
        <x:v>1</x:v>
      </x:c>
      <x:c r="J2833" s="6" t="n">
        <x:f>IF(OR(E2833="CANCELED",E2833="SUSPECTED_FRAUD",F2833="Shipping canceled"),0,1)</x:f>
        <x:v>1</x:v>
      </x:c>
      <x:c r="K2833" s="6" t="n">
        <x:f>IF(G2833&gt;H2833,1,0)</x:f>
        <x:v>1</x:v>
      </x:c>
      <x:c r="L2833" s="6" t="n">
        <x:f>J2833*K2833</x:f>
        <x:v>1</x:v>
      </x:c>
    </x:row>
    <x:row r="2834">
      <x:c r="A2834" s="1" t="n">
        <x:v>21591</x:v>
      </x:c>
      <x:c r="B2834" s="5" t="d">
        <x:v>2015-11-12T00:00:00.000Z</x:v>
      </x:c>
      <x:c r="C2834" s="1" t="str">
        <x:v>Standard Class</x:v>
      </x:c>
      <x:c r="D2834" s="1" t="str">
        <x:v>Pacific Asia</x:v>
      </x:c>
      <x:c r="E2834" s="1" t="str">
        <x:v>PENDING</x:v>
      </x:c>
      <x:c r="F2834" s="1" t="str">
        <x:v>Advance shipping</x:v>
      </x:c>
      <x:c r="G2834" s="6" t="n">
        <x:v>2</x:v>
      </x:c>
      <x:c r="H2834" s="6" t="n">
        <x:v>4</x:v>
      </x:c>
      <x:c r="I2834" s="6" t="n">
        <x:f>G2834-H2834</x:f>
        <x:v>-2</x:v>
      </x:c>
      <x:c r="J2834" s="6" t="n">
        <x:f>IF(OR(E2834="CANCELED",E2834="SUSPECTED_FRAUD",F2834="Shipping canceled"),0,1)</x:f>
        <x:v>1</x:v>
      </x:c>
      <x:c r="K2834" s="6" t="n">
        <x:f>IF(G2834&gt;H2834,1,0)</x:f>
        <x:v>0</x:v>
      </x:c>
      <x:c r="L2834" s="6" t="n">
        <x:f>J2834*K2834</x:f>
        <x:v>0</x:v>
      </x:c>
    </x:row>
    <x:row r="2835">
      <x:c r="A2835" s="1" t="n">
        <x:v>21603</x:v>
      </x:c>
      <x:c r="B2835" s="5" t="d">
        <x:v>2015-11-12T00:00:00.000Z</x:v>
      </x:c>
      <x:c r="C2835" s="1" t="str">
        <x:v>Standard Class</x:v>
      </x:c>
      <x:c r="D2835" s="1" t="str">
        <x:v>Pacific Asia</x:v>
      </x:c>
      <x:c r="E2835" s="1" t="str">
        <x:v>COMPLETE</x:v>
      </x:c>
      <x:c r="F2835" s="1" t="str">
        <x:v>Shipping on time</x:v>
      </x:c>
      <x:c r="G2835" s="6" t="n">
        <x:v>4</x:v>
      </x:c>
      <x:c r="H2835" s="6" t="n">
        <x:v>4</x:v>
      </x:c>
      <x:c r="I2835" s="6" t="n">
        <x:f>G2835-H2835</x:f>
        <x:v>0</x:v>
      </x:c>
      <x:c r="J2835" s="6" t="n">
        <x:f>IF(OR(E2835="CANCELED",E2835="SUSPECTED_FRAUD",F2835="Shipping canceled"),0,1)</x:f>
        <x:v>1</x:v>
      </x:c>
      <x:c r="K2835" s="6" t="n">
        <x:f>IF(G2835&gt;H2835,1,0)</x:f>
        <x:v>0</x:v>
      </x:c>
      <x:c r="L2835" s="6" t="n">
        <x:f>J2835*K2835</x:f>
        <x:v>0</x:v>
      </x:c>
    </x:row>
    <x:row r="2836">
      <x:c r="A2836" s="1" t="n">
        <x:v>21611</x:v>
      </x:c>
      <x:c r="B2836" s="5" t="d">
        <x:v>2015-11-12T00:00:00.000Z</x:v>
      </x:c>
      <x:c r="C2836" s="1" t="str">
        <x:v>Standard Class</x:v>
      </x:c>
      <x:c r="D2836" s="1" t="str">
        <x:v>Pacific Asia</x:v>
      </x:c>
      <x:c r="E2836" s="1" t="str">
        <x:v>ON_HOLD</x:v>
      </x:c>
      <x:c r="F2836" s="1" t="str">
        <x:v>Advance shipping</x:v>
      </x:c>
      <x:c r="G2836" s="6" t="n">
        <x:v>2</x:v>
      </x:c>
      <x:c r="H2836" s="6" t="n">
        <x:v>4</x:v>
      </x:c>
      <x:c r="I2836" s="6" t="n">
        <x:f>G2836-H2836</x:f>
        <x:v>-2</x:v>
      </x:c>
      <x:c r="J2836" s="6" t="n">
        <x:f>IF(OR(E2836="CANCELED",E2836="SUSPECTED_FRAUD",F2836="Shipping canceled"),0,1)</x:f>
        <x:v>1</x:v>
      </x:c>
      <x:c r="K2836" s="6" t="n">
        <x:f>IF(G2836&gt;H2836,1,0)</x:f>
        <x:v>0</x:v>
      </x:c>
      <x:c r="L2836" s="6" t="n">
        <x:f>J2836*K2836</x:f>
        <x:v>0</x:v>
      </x:c>
    </x:row>
    <x:row r="2837">
      <x:c r="A2837" s="1" t="n">
        <x:v>21613</x:v>
      </x:c>
      <x:c r="B2837" s="5" t="d">
        <x:v>2015-11-12T00:00:00.000Z</x:v>
      </x:c>
      <x:c r="C2837" s="1" t="str">
        <x:v>Standard Class</x:v>
      </x:c>
      <x:c r="D2837" s="1" t="str">
        <x:v>Pacific Asia</x:v>
      </x:c>
      <x:c r="E2837" s="1" t="str">
        <x:v>PROCESSING</x:v>
      </x:c>
      <x:c r="F2837" s="1" t="str">
        <x:v>Shipping on time</x:v>
      </x:c>
      <x:c r="G2837" s="6" t="n">
        <x:v>4</x:v>
      </x:c>
      <x:c r="H2837" s="6" t="n">
        <x:v>4</x:v>
      </x:c>
      <x:c r="I2837" s="6" t="n">
        <x:f>G2837-H2837</x:f>
        <x:v>0</x:v>
      </x:c>
      <x:c r="J2837" s="6" t="n">
        <x:f>IF(OR(E2837="CANCELED",E2837="SUSPECTED_FRAUD",F2837="Shipping canceled"),0,1)</x:f>
        <x:v>1</x:v>
      </x:c>
      <x:c r="K2837" s="6" t="n">
        <x:f>IF(G2837&gt;H2837,1,0)</x:f>
        <x:v>0</x:v>
      </x:c>
      <x:c r="L2837" s="6" t="n">
        <x:f>J2837*K2837</x:f>
        <x:v>0</x:v>
      </x:c>
    </x:row>
    <x:row r="2838">
      <x:c r="A2838" s="1" t="n">
        <x:v>21617</x:v>
      </x:c>
      <x:c r="B2838" s="5" t="d">
        <x:v>2015-11-12T00:00:00.000Z</x:v>
      </x:c>
      <x:c r="C2838" s="1" t="str">
        <x:v>Standard Class</x:v>
      </x:c>
      <x:c r="D2838" s="1" t="str">
        <x:v>Pacific Asia</x:v>
      </x:c>
      <x:c r="E2838" s="1" t="str">
        <x:v>PENDING_PAYMENT</x:v>
      </x:c>
      <x:c r="F2838" s="1" t="str">
        <x:v>Advance shipping</x:v>
      </x:c>
      <x:c r="G2838" s="6" t="n">
        <x:v>3</x:v>
      </x:c>
      <x:c r="H2838" s="6" t="n">
        <x:v>4</x:v>
      </x:c>
      <x:c r="I2838" s="6" t="n">
        <x:f>G2838-H2838</x:f>
        <x:v>-1</x:v>
      </x:c>
      <x:c r="J2838" s="6" t="n">
        <x:f>IF(OR(E2838="CANCELED",E2838="SUSPECTED_FRAUD",F2838="Shipping canceled"),0,1)</x:f>
        <x:v>1</x:v>
      </x:c>
      <x:c r="K2838" s="6" t="n">
        <x:f>IF(G2838&gt;H2838,1,0)</x:f>
        <x:v>0</x:v>
      </x:c>
      <x:c r="L2838" s="6" t="n">
        <x:f>J2838*K2838</x:f>
        <x:v>0</x:v>
      </x:c>
    </x:row>
    <x:row r="2839">
      <x:c r="A2839" s="1" t="n">
        <x:v>21624</x:v>
      </x:c>
      <x:c r="B2839" s="5" t="d">
        <x:v>2015-11-12T00:00:00.000Z</x:v>
      </x:c>
      <x:c r="C2839" s="1" t="str">
        <x:v>Standard Class</x:v>
      </x:c>
      <x:c r="D2839" s="1" t="str">
        <x:v>Pacific Asia</x:v>
      </x:c>
      <x:c r="E2839" s="1" t="str">
        <x:v>PROCESSING</x:v>
      </x:c>
      <x:c r="F2839" s="1" t="str">
        <x:v>Late delivery</x:v>
      </x:c>
      <x:c r="G2839" s="6" t="n">
        <x:v>5</x:v>
      </x:c>
      <x:c r="H2839" s="6" t="n">
        <x:v>4</x:v>
      </x:c>
      <x:c r="I2839" s="6" t="n">
        <x:f>G2839-H2839</x:f>
        <x:v>1</x:v>
      </x:c>
      <x:c r="J2839" s="6" t="n">
        <x:f>IF(OR(E2839="CANCELED",E2839="SUSPECTED_FRAUD",F2839="Shipping canceled"),0,1)</x:f>
        <x:v>1</x:v>
      </x:c>
      <x:c r="K2839" s="6" t="n">
        <x:f>IF(G2839&gt;H2839,1,0)</x:f>
        <x:v>1</x:v>
      </x:c>
      <x:c r="L2839" s="6" t="n">
        <x:f>J2839*K2839</x:f>
        <x:v>1</x:v>
      </x:c>
    </x:row>
    <x:row r="2840">
      <x:c r="A2840" s="1" t="n">
        <x:v>21636</x:v>
      </x:c>
      <x:c r="B2840" s="5" t="d">
        <x:v>2015-11-12T00:00:00.000Z</x:v>
      </x:c>
      <x:c r="C2840" s="1" t="str">
        <x:v>Standard Class</x:v>
      </x:c>
      <x:c r="D2840" s="1" t="str">
        <x:v>Pacific Asia</x:v>
      </x:c>
      <x:c r="E2840" s="1" t="str">
        <x:v>PENDING_PAYMENT</x:v>
      </x:c>
      <x:c r="F2840" s="1" t="str">
        <x:v>Advance shipping</x:v>
      </x:c>
      <x:c r="G2840" s="6" t="n">
        <x:v>2</x:v>
      </x:c>
      <x:c r="H2840" s="6" t="n">
        <x:v>4</x:v>
      </x:c>
      <x:c r="I2840" s="6" t="n">
        <x:f>G2840-H2840</x:f>
        <x:v>-2</x:v>
      </x:c>
      <x:c r="J2840" s="6" t="n">
        <x:f>IF(OR(E2840="CANCELED",E2840="SUSPECTED_FRAUD",F2840="Shipping canceled"),0,1)</x:f>
        <x:v>1</x:v>
      </x:c>
      <x:c r="K2840" s="6" t="n">
        <x:f>IF(G2840&gt;H2840,1,0)</x:f>
        <x:v>0</x:v>
      </x:c>
      <x:c r="L2840" s="6" t="n">
        <x:f>J2840*K2840</x:f>
        <x:v>0</x:v>
      </x:c>
    </x:row>
    <x:row r="2841">
      <x:c r="A2841" s="1" t="n">
        <x:v>21647</x:v>
      </x:c>
      <x:c r="B2841" s="5" t="d">
        <x:v>2015-11-12T00:00:00.000Z</x:v>
      </x:c>
      <x:c r="C2841" s="1" t="str">
        <x:v>First Class</x:v>
      </x:c>
      <x:c r="D2841" s="1" t="str">
        <x:v>Pacific Asia</x:v>
      </x:c>
      <x:c r="E2841" s="1" t="str">
        <x:v>CLOSED</x:v>
      </x:c>
      <x:c r="F2841" s="1" t="str">
        <x:v>Late delivery</x:v>
      </x:c>
      <x:c r="G2841" s="6" t="n">
        <x:v>2</x:v>
      </x:c>
      <x:c r="H2841" s="6" t="n">
        <x:v>1</x:v>
      </x:c>
      <x:c r="I2841" s="6" t="n">
        <x:f>G2841-H2841</x:f>
        <x:v>1</x:v>
      </x:c>
      <x:c r="J2841" s="6" t="n">
        <x:f>IF(OR(E2841="CANCELED",E2841="SUSPECTED_FRAUD",F2841="Shipping canceled"),0,1)</x:f>
        <x:v>1</x:v>
      </x:c>
      <x:c r="K2841" s="6" t="n">
        <x:f>IF(G2841&gt;H2841,1,0)</x:f>
        <x:v>1</x:v>
      </x:c>
      <x:c r="L2841" s="6" t="n">
        <x:f>J2841*K2841</x:f>
        <x:v>1</x:v>
      </x:c>
    </x:row>
    <x:row r="2842">
      <x:c r="A2842" s="1" t="n">
        <x:v>21652</x:v>
      </x:c>
      <x:c r="B2842" s="5" t="d">
        <x:v>2015-11-13T00:00:00.000Z</x:v>
      </x:c>
      <x:c r="C2842" s="1" t="str">
        <x:v>Standard Class</x:v>
      </x:c>
      <x:c r="D2842" s="1" t="str">
        <x:v>Pacific Asia</x:v>
      </x:c>
      <x:c r="E2842" s="1" t="str">
        <x:v>COMPLETE</x:v>
      </x:c>
      <x:c r="F2842" s="1" t="str">
        <x:v>Advance shipping</x:v>
      </x:c>
      <x:c r="G2842" s="6" t="n">
        <x:v>3</x:v>
      </x:c>
      <x:c r="H2842" s="6" t="n">
        <x:v>4</x:v>
      </x:c>
      <x:c r="I2842" s="6" t="n">
        <x:f>G2842-H2842</x:f>
        <x:v>-1</x:v>
      </x:c>
      <x:c r="J2842" s="6" t="n">
        <x:f>IF(OR(E2842="CANCELED",E2842="SUSPECTED_FRAUD",F2842="Shipping canceled"),0,1)</x:f>
        <x:v>1</x:v>
      </x:c>
      <x:c r="K2842" s="6" t="n">
        <x:f>IF(G2842&gt;H2842,1,0)</x:f>
        <x:v>0</x:v>
      </x:c>
      <x:c r="L2842" s="6" t="n">
        <x:f>J2842*K2842</x:f>
        <x:v>0</x:v>
      </x:c>
    </x:row>
    <x:row r="2843">
      <x:c r="A2843" s="1" t="n">
        <x:v>21653</x:v>
      </x:c>
      <x:c r="B2843" s="5" t="d">
        <x:v>2015-11-13T00:00:00.000Z</x:v>
      </x:c>
      <x:c r="C2843" s="1" t="str">
        <x:v>Standard Class</x:v>
      </x:c>
      <x:c r="D2843" s="1" t="str">
        <x:v>Pacific Asia</x:v>
      </x:c>
      <x:c r="E2843" s="1" t="str">
        <x:v>PENDING</x:v>
      </x:c>
      <x:c r="F2843" s="1" t="str">
        <x:v>Shipping on time</x:v>
      </x:c>
      <x:c r="G2843" s="6" t="n">
        <x:v>4</x:v>
      </x:c>
      <x:c r="H2843" s="6" t="n">
        <x:v>4</x:v>
      </x:c>
      <x:c r="I2843" s="6" t="n">
        <x:f>G2843-H2843</x:f>
        <x:v>0</x:v>
      </x:c>
      <x:c r="J2843" s="6" t="n">
        <x:f>IF(OR(E2843="CANCELED",E2843="SUSPECTED_FRAUD",F2843="Shipping canceled"),0,1)</x:f>
        <x:v>1</x:v>
      </x:c>
      <x:c r="K2843" s="6" t="n">
        <x:f>IF(G2843&gt;H2843,1,0)</x:f>
        <x:v>0</x:v>
      </x:c>
      <x:c r="L2843" s="6" t="n">
        <x:f>J2843*K2843</x:f>
        <x:v>0</x:v>
      </x:c>
    </x:row>
    <x:row r="2844">
      <x:c r="A2844" s="1" t="n">
        <x:v>21655</x:v>
      </x:c>
      <x:c r="B2844" s="5" t="d">
        <x:v>2015-11-13T00:00:00.000Z</x:v>
      </x:c>
      <x:c r="C2844" s="1" t="str">
        <x:v>Standard Class</x:v>
      </x:c>
      <x:c r="D2844" s="1" t="str">
        <x:v>Pacific Asia</x:v>
      </x:c>
      <x:c r="E2844" s="1" t="str">
        <x:v>CLOSED</x:v>
      </x:c>
      <x:c r="F2844" s="1" t="str">
        <x:v>Late delivery</x:v>
      </x:c>
      <x:c r="G2844" s="6" t="n">
        <x:v>6</x:v>
      </x:c>
      <x:c r="H2844" s="6" t="n">
        <x:v>4</x:v>
      </x:c>
      <x:c r="I2844" s="6" t="n">
        <x:f>G2844-H2844</x:f>
        <x:v>2</x:v>
      </x:c>
      <x:c r="J2844" s="6" t="n">
        <x:f>IF(OR(E2844="CANCELED",E2844="SUSPECTED_FRAUD",F2844="Shipping canceled"),0,1)</x:f>
        <x:v>1</x:v>
      </x:c>
      <x:c r="K2844" s="6" t="n">
        <x:f>IF(G2844&gt;H2844,1,0)</x:f>
        <x:v>1</x:v>
      </x:c>
      <x:c r="L2844" s="6" t="n">
        <x:f>J2844*K2844</x:f>
        <x:v>1</x:v>
      </x:c>
    </x:row>
    <x:row r="2845">
      <x:c r="A2845" s="1" t="n">
        <x:v>21659</x:v>
      </x:c>
      <x:c r="B2845" s="5" t="d">
        <x:v>2015-11-13T00:00:00.000Z</x:v>
      </x:c>
      <x:c r="C2845" s="1" t="str">
        <x:v>Standard Class</x:v>
      </x:c>
      <x:c r="D2845" s="1" t="str">
        <x:v>Pacific Asia</x:v>
      </x:c>
      <x:c r="E2845" s="1" t="str">
        <x:v>ON_HOLD</x:v>
      </x:c>
      <x:c r="F2845" s="1" t="str">
        <x:v>Late delivery</x:v>
      </x:c>
      <x:c r="G2845" s="6" t="n">
        <x:v>5</x:v>
      </x:c>
      <x:c r="H2845" s="6" t="n">
        <x:v>4</x:v>
      </x:c>
      <x:c r="I2845" s="6" t="n">
        <x:f>G2845-H2845</x:f>
        <x:v>1</x:v>
      </x:c>
      <x:c r="J2845" s="6" t="n">
        <x:f>IF(OR(E2845="CANCELED",E2845="SUSPECTED_FRAUD",F2845="Shipping canceled"),0,1)</x:f>
        <x:v>1</x:v>
      </x:c>
      <x:c r="K2845" s="6" t="n">
        <x:f>IF(G2845&gt;H2845,1,0)</x:f>
        <x:v>1</x:v>
      </x:c>
      <x:c r="L2845" s="6" t="n">
        <x:f>J2845*K2845</x:f>
        <x:v>1</x:v>
      </x:c>
    </x:row>
    <x:row r="2846">
      <x:c r="A2846" s="1" t="n">
        <x:v>21662</x:v>
      </x:c>
      <x:c r="B2846" s="5" t="d">
        <x:v>2015-11-13T00:00:00.000Z</x:v>
      </x:c>
      <x:c r="C2846" s="1" t="str">
        <x:v>First Class</x:v>
      </x:c>
      <x:c r="D2846" s="1" t="str">
        <x:v>Pacific Asia</x:v>
      </x:c>
      <x:c r="E2846" s="1" t="str">
        <x:v>CLOSED</x:v>
      </x:c>
      <x:c r="F2846" s="1" t="str">
        <x:v>Late delivery</x:v>
      </x:c>
      <x:c r="G2846" s="6" t="n">
        <x:v>2</x:v>
      </x:c>
      <x:c r="H2846" s="6" t="n">
        <x:v>1</x:v>
      </x:c>
      <x:c r="I2846" s="6" t="n">
        <x:f>G2846-H2846</x:f>
        <x:v>1</x:v>
      </x:c>
      <x:c r="J2846" s="6" t="n">
        <x:f>IF(OR(E2846="CANCELED",E2846="SUSPECTED_FRAUD",F2846="Shipping canceled"),0,1)</x:f>
        <x:v>1</x:v>
      </x:c>
      <x:c r="K2846" s="6" t="n">
        <x:f>IF(G2846&gt;H2846,1,0)</x:f>
        <x:v>1</x:v>
      </x:c>
      <x:c r="L2846" s="6" t="n">
        <x:f>J2846*K2846</x:f>
        <x:v>1</x:v>
      </x:c>
    </x:row>
    <x:row r="2847">
      <x:c r="A2847" s="1" t="n">
        <x:v>21664</x:v>
      </x:c>
      <x:c r="B2847" s="5" t="d">
        <x:v>2015-11-13T00:00:00.000Z</x:v>
      </x:c>
      <x:c r="C2847" s="1" t="str">
        <x:v>First Class</x:v>
      </x:c>
      <x:c r="D2847" s="1" t="str">
        <x:v>Pacific Asia</x:v>
      </x:c>
      <x:c r="E2847" s="1" t="str">
        <x:v>PENDING</x:v>
      </x:c>
      <x:c r="F2847" s="1" t="str">
        <x:v>Late delivery</x:v>
      </x:c>
      <x:c r="G2847" s="6" t="n">
        <x:v>2</x:v>
      </x:c>
      <x:c r="H2847" s="6" t="n">
        <x:v>1</x:v>
      </x:c>
      <x:c r="I2847" s="6" t="n">
        <x:f>G2847-H2847</x:f>
        <x:v>1</x:v>
      </x:c>
      <x:c r="J2847" s="6" t="n">
        <x:f>IF(OR(E2847="CANCELED",E2847="SUSPECTED_FRAUD",F2847="Shipping canceled"),0,1)</x:f>
        <x:v>1</x:v>
      </x:c>
      <x:c r="K2847" s="6" t="n">
        <x:f>IF(G2847&gt;H2847,1,0)</x:f>
        <x:v>1</x:v>
      </x:c>
      <x:c r="L2847" s="6" t="n">
        <x:f>J2847*K2847</x:f>
        <x:v>1</x:v>
      </x:c>
    </x:row>
    <x:row r="2848">
      <x:c r="A2848" s="1" t="n">
        <x:v>21670</x:v>
      </x:c>
      <x:c r="B2848" s="5" t="d">
        <x:v>2015-11-13T00:00:00.000Z</x:v>
      </x:c>
      <x:c r="C2848" s="1" t="str">
        <x:v>Standard Class</x:v>
      </x:c>
      <x:c r="D2848" s="1" t="str">
        <x:v>Pacific Asia</x:v>
      </x:c>
      <x:c r="E2848" s="1" t="str">
        <x:v>CLOSED</x:v>
      </x:c>
      <x:c r="F2848" s="1" t="str">
        <x:v>Late delivery</x:v>
      </x:c>
      <x:c r="G2848" s="6" t="n">
        <x:v>6</x:v>
      </x:c>
      <x:c r="H2848" s="6" t="n">
        <x:v>4</x:v>
      </x:c>
      <x:c r="I2848" s="6" t="n">
        <x:f>G2848-H2848</x:f>
        <x:v>2</x:v>
      </x:c>
      <x:c r="J2848" s="6" t="n">
        <x:f>IF(OR(E2848="CANCELED",E2848="SUSPECTED_FRAUD",F2848="Shipping canceled"),0,1)</x:f>
        <x:v>1</x:v>
      </x:c>
      <x:c r="K2848" s="6" t="n">
        <x:f>IF(G2848&gt;H2848,1,0)</x:f>
        <x:v>1</x:v>
      </x:c>
      <x:c r="L2848" s="6" t="n">
        <x:f>J2848*K2848</x:f>
        <x:v>1</x:v>
      </x:c>
    </x:row>
    <x:row r="2849">
      <x:c r="A2849" s="1" t="n">
        <x:v>21674</x:v>
      </x:c>
      <x:c r="B2849" s="5" t="d">
        <x:v>2015-11-13T00:00:00.000Z</x:v>
      </x:c>
      <x:c r="C2849" s="1" t="str">
        <x:v>Second Class</x:v>
      </x:c>
      <x:c r="D2849" s="1" t="str">
        <x:v>Pacific Asia</x:v>
      </x:c>
      <x:c r="E2849" s="1" t="str">
        <x:v>ON_HOLD</x:v>
      </x:c>
      <x:c r="F2849" s="1" t="str">
        <x:v>Late delivery</x:v>
      </x:c>
      <x:c r="G2849" s="6" t="n">
        <x:v>5</x:v>
      </x:c>
      <x:c r="H2849" s="6" t="n">
        <x:v>2</x:v>
      </x:c>
      <x:c r="I2849" s="6" t="n">
        <x:f>G2849-H2849</x:f>
        <x:v>3</x:v>
      </x:c>
      <x:c r="J2849" s="6" t="n">
        <x:f>IF(OR(E2849="CANCELED",E2849="SUSPECTED_FRAUD",F2849="Shipping canceled"),0,1)</x:f>
        <x:v>1</x:v>
      </x:c>
      <x:c r="K2849" s="6" t="n">
        <x:f>IF(G2849&gt;H2849,1,0)</x:f>
        <x:v>1</x:v>
      </x:c>
      <x:c r="L2849" s="6" t="n">
        <x:f>J2849*K2849</x:f>
        <x:v>1</x:v>
      </x:c>
    </x:row>
    <x:row r="2850">
      <x:c r="A2850" s="1" t="n">
        <x:v>21676</x:v>
      </x:c>
      <x:c r="B2850" s="5" t="d">
        <x:v>2015-11-13T00:00:00.000Z</x:v>
      </x:c>
      <x:c r="C2850" s="1" t="str">
        <x:v>Standard Class</x:v>
      </x:c>
      <x:c r="D2850" s="1" t="str">
        <x:v>Pacific Asia</x:v>
      </x:c>
      <x:c r="E2850" s="1" t="str">
        <x:v>COMPLETE</x:v>
      </x:c>
      <x:c r="F2850" s="1" t="str">
        <x:v>Advance shipping</x:v>
      </x:c>
      <x:c r="G2850" s="6" t="n">
        <x:v>2</x:v>
      </x:c>
      <x:c r="H2850" s="6" t="n">
        <x:v>4</x:v>
      </x:c>
      <x:c r="I2850" s="6" t="n">
        <x:f>G2850-H2850</x:f>
        <x:v>-2</x:v>
      </x:c>
      <x:c r="J2850" s="6" t="n">
        <x:f>IF(OR(E2850="CANCELED",E2850="SUSPECTED_FRAUD",F2850="Shipping canceled"),0,1)</x:f>
        <x:v>1</x:v>
      </x:c>
      <x:c r="K2850" s="6" t="n">
        <x:f>IF(G2850&gt;H2850,1,0)</x:f>
        <x:v>0</x:v>
      </x:c>
      <x:c r="L2850" s="6" t="n">
        <x:f>J2850*K2850</x:f>
        <x:v>0</x:v>
      </x:c>
    </x:row>
    <x:row r="2851">
      <x:c r="A2851" s="1" t="n">
        <x:v>21685</x:v>
      </x:c>
      <x:c r="B2851" s="5" t="d">
        <x:v>2015-11-13T00:00:00.000Z</x:v>
      </x:c>
      <x:c r="C2851" s="1" t="str">
        <x:v>Standard Class</x:v>
      </x:c>
      <x:c r="D2851" s="1" t="str">
        <x:v>Pacific Asia</x:v>
      </x:c>
      <x:c r="E2851" s="1" t="str">
        <x:v>PENDING_PAYMENT</x:v>
      </x:c>
      <x:c r="F2851" s="1" t="str">
        <x:v>Late delivery</x:v>
      </x:c>
      <x:c r="G2851" s="6" t="n">
        <x:v>6</x:v>
      </x:c>
      <x:c r="H2851" s="6" t="n">
        <x:v>4</x:v>
      </x:c>
      <x:c r="I2851" s="6" t="n">
        <x:f>G2851-H2851</x:f>
        <x:v>2</x:v>
      </x:c>
      <x:c r="J2851" s="6" t="n">
        <x:f>IF(OR(E2851="CANCELED",E2851="SUSPECTED_FRAUD",F2851="Shipping canceled"),0,1)</x:f>
        <x:v>1</x:v>
      </x:c>
      <x:c r="K2851" s="6" t="n">
        <x:f>IF(G2851&gt;H2851,1,0)</x:f>
        <x:v>1</x:v>
      </x:c>
      <x:c r="L2851" s="6" t="n">
        <x:f>J2851*K2851</x:f>
        <x:v>1</x:v>
      </x:c>
    </x:row>
    <x:row r="2852">
      <x:c r="A2852" s="1" t="n">
        <x:v>21688</x:v>
      </x:c>
      <x:c r="B2852" s="5" t="d">
        <x:v>2015-11-13T00:00:00.000Z</x:v>
      </x:c>
      <x:c r="C2852" s="1" t="str">
        <x:v>Standard Class</x:v>
      </x:c>
      <x:c r="D2852" s="1" t="str">
        <x:v>Pacific Asia</x:v>
      </x:c>
      <x:c r="E2852" s="1" t="str">
        <x:v>COMPLETE</x:v>
      </x:c>
      <x:c r="F2852" s="1" t="str">
        <x:v>Shipping on time</x:v>
      </x:c>
      <x:c r="G2852" s="6" t="n">
        <x:v>4</x:v>
      </x:c>
      <x:c r="H2852" s="6" t="n">
        <x:v>4</x:v>
      </x:c>
      <x:c r="I2852" s="6" t="n">
        <x:f>G2852-H2852</x:f>
        <x:v>0</x:v>
      </x:c>
      <x:c r="J2852" s="6" t="n">
        <x:f>IF(OR(E2852="CANCELED",E2852="SUSPECTED_FRAUD",F2852="Shipping canceled"),0,1)</x:f>
        <x:v>1</x:v>
      </x:c>
      <x:c r="K2852" s="6" t="n">
        <x:f>IF(G2852&gt;H2852,1,0)</x:f>
        <x:v>0</x:v>
      </x:c>
      <x:c r="L2852" s="6" t="n">
        <x:f>J2852*K2852</x:f>
        <x:v>0</x:v>
      </x:c>
    </x:row>
    <x:row r="2853">
      <x:c r="A2853" s="1" t="n">
        <x:v>21690</x:v>
      </x:c>
      <x:c r="B2853" s="5" t="d">
        <x:v>2015-11-13T00:00:00.000Z</x:v>
      </x:c>
      <x:c r="C2853" s="1" t="str">
        <x:v>Standard Class</x:v>
      </x:c>
      <x:c r="D2853" s="1" t="str">
        <x:v>Pacific Asia</x:v>
      </x:c>
      <x:c r="E2853" s="1" t="str">
        <x:v>PROCESSING</x:v>
      </x:c>
      <x:c r="F2853" s="1" t="str">
        <x:v>Late delivery</x:v>
      </x:c>
      <x:c r="G2853" s="6" t="n">
        <x:v>6</x:v>
      </x:c>
      <x:c r="H2853" s="6" t="n">
        <x:v>4</x:v>
      </x:c>
      <x:c r="I2853" s="6" t="n">
        <x:f>G2853-H2853</x:f>
        <x:v>2</x:v>
      </x:c>
      <x:c r="J2853" s="6" t="n">
        <x:f>IF(OR(E2853="CANCELED",E2853="SUSPECTED_FRAUD",F2853="Shipping canceled"),0,1)</x:f>
        <x:v>1</x:v>
      </x:c>
      <x:c r="K2853" s="6" t="n">
        <x:f>IF(G2853&gt;H2853,1,0)</x:f>
        <x:v>1</x:v>
      </x:c>
      <x:c r="L2853" s="6" t="n">
        <x:f>J2853*K2853</x:f>
        <x:v>1</x:v>
      </x:c>
    </x:row>
    <x:row r="2854">
      <x:c r="A2854" s="1" t="n">
        <x:v>21691</x:v>
      </x:c>
      <x:c r="B2854" s="5" t="d">
        <x:v>2015-11-13T00:00:00.000Z</x:v>
      </x:c>
      <x:c r="C2854" s="1" t="str">
        <x:v>Standard Class</x:v>
      </x:c>
      <x:c r="D2854" s="1" t="str">
        <x:v>Pacific Asia</x:v>
      </x:c>
      <x:c r="E2854" s="1" t="str">
        <x:v>PENDING</x:v>
      </x:c>
      <x:c r="F2854" s="1" t="str">
        <x:v>Advance shipping</x:v>
      </x:c>
      <x:c r="G2854" s="6" t="n">
        <x:v>2</x:v>
      </x:c>
      <x:c r="H2854" s="6" t="n">
        <x:v>4</x:v>
      </x:c>
      <x:c r="I2854" s="6" t="n">
        <x:f>G2854-H2854</x:f>
        <x:v>-2</x:v>
      </x:c>
      <x:c r="J2854" s="6" t="n">
        <x:f>IF(OR(E2854="CANCELED",E2854="SUSPECTED_FRAUD",F2854="Shipping canceled"),0,1)</x:f>
        <x:v>1</x:v>
      </x:c>
      <x:c r="K2854" s="6" t="n">
        <x:f>IF(G2854&gt;H2854,1,0)</x:f>
        <x:v>0</x:v>
      </x:c>
      <x:c r="L2854" s="6" t="n">
        <x:f>J2854*K2854</x:f>
        <x:v>0</x:v>
      </x:c>
    </x:row>
    <x:row r="2855">
      <x:c r="A2855" s="1" t="n">
        <x:v>21693</x:v>
      </x:c>
      <x:c r="B2855" s="5" t="d">
        <x:v>2015-11-13T00:00:00.000Z</x:v>
      </x:c>
      <x:c r="C2855" s="1" t="str">
        <x:v>Standard Class</x:v>
      </x:c>
      <x:c r="D2855" s="1" t="str">
        <x:v>Pacific Asia</x:v>
      </x:c>
      <x:c r="E2855" s="1" t="str">
        <x:v>COMPLETE</x:v>
      </x:c>
      <x:c r="F2855" s="1" t="str">
        <x:v>Shipping on time</x:v>
      </x:c>
      <x:c r="G2855" s="6" t="n">
        <x:v>4</x:v>
      </x:c>
      <x:c r="H2855" s="6" t="n">
        <x:v>4</x:v>
      </x:c>
      <x:c r="I2855" s="6" t="n">
        <x:f>G2855-H2855</x:f>
        <x:v>0</x:v>
      </x:c>
      <x:c r="J2855" s="6" t="n">
        <x:f>IF(OR(E2855="CANCELED",E2855="SUSPECTED_FRAUD",F2855="Shipping canceled"),0,1)</x:f>
        <x:v>1</x:v>
      </x:c>
      <x:c r="K2855" s="6" t="n">
        <x:f>IF(G2855&gt;H2855,1,0)</x:f>
        <x:v>0</x:v>
      </x:c>
      <x:c r="L2855" s="6" t="n">
        <x:f>J2855*K2855</x:f>
        <x:v>0</x:v>
      </x:c>
    </x:row>
    <x:row r="2856">
      <x:c r="A2856" s="1" t="n">
        <x:v>21697</x:v>
      </x:c>
      <x:c r="B2856" s="5" t="d">
        <x:v>2015-11-13T00:00:00.000Z</x:v>
      </x:c>
      <x:c r="C2856" s="1" t="str">
        <x:v>Standard Class</x:v>
      </x:c>
      <x:c r="D2856" s="1" t="str">
        <x:v>Pacific Asia</x:v>
      </x:c>
      <x:c r="E2856" s="1" t="str">
        <x:v>PENDING</x:v>
      </x:c>
      <x:c r="F2856" s="1" t="str">
        <x:v>Advance shipping</x:v>
      </x:c>
      <x:c r="G2856" s="6" t="n">
        <x:v>3</x:v>
      </x:c>
      <x:c r="H2856" s="6" t="n">
        <x:v>4</x:v>
      </x:c>
      <x:c r="I2856" s="6" t="n">
        <x:f>G2856-H2856</x:f>
        <x:v>-1</x:v>
      </x:c>
      <x:c r="J2856" s="6" t="n">
        <x:f>IF(OR(E2856="CANCELED",E2856="SUSPECTED_FRAUD",F2856="Shipping canceled"),0,1)</x:f>
        <x:v>1</x:v>
      </x:c>
      <x:c r="K2856" s="6" t="n">
        <x:f>IF(G2856&gt;H2856,1,0)</x:f>
        <x:v>0</x:v>
      </x:c>
      <x:c r="L2856" s="6" t="n">
        <x:f>J2856*K2856</x:f>
        <x:v>0</x:v>
      </x:c>
    </x:row>
    <x:row r="2857">
      <x:c r="A2857" s="1" t="n">
        <x:v>21698</x:v>
      </x:c>
      <x:c r="B2857" s="5" t="d">
        <x:v>2015-11-13T00:00:00.000Z</x:v>
      </x:c>
      <x:c r="C2857" s="1" t="str">
        <x:v>Standard Class</x:v>
      </x:c>
      <x:c r="D2857" s="1" t="str">
        <x:v>Pacific Asia</x:v>
      </x:c>
      <x:c r="E2857" s="1" t="str">
        <x:v>PENDING</x:v>
      </x:c>
      <x:c r="F2857" s="1" t="str">
        <x:v>Shipping on time</x:v>
      </x:c>
      <x:c r="G2857" s="6" t="n">
        <x:v>4</x:v>
      </x:c>
      <x:c r="H2857" s="6" t="n">
        <x:v>4</x:v>
      </x:c>
      <x:c r="I2857" s="6" t="n">
        <x:f>G2857-H2857</x:f>
        <x:v>0</x:v>
      </x:c>
      <x:c r="J2857" s="6" t="n">
        <x:f>IF(OR(E2857="CANCELED",E2857="SUSPECTED_FRAUD",F2857="Shipping canceled"),0,1)</x:f>
        <x:v>1</x:v>
      </x:c>
      <x:c r="K2857" s="6" t="n">
        <x:f>IF(G2857&gt;H2857,1,0)</x:f>
        <x:v>0</x:v>
      </x:c>
      <x:c r="L2857" s="6" t="n">
        <x:f>J2857*K2857</x:f>
        <x:v>0</x:v>
      </x:c>
    </x:row>
    <x:row r="2858">
      <x:c r="A2858" s="1" t="n">
        <x:v>21723</x:v>
      </x:c>
      <x:c r="B2858" s="5" t="d">
        <x:v>2015-11-14T00:00:00.000Z</x:v>
      </x:c>
      <x:c r="C2858" s="1" t="str">
        <x:v>Standard Class</x:v>
      </x:c>
      <x:c r="D2858" s="1" t="str">
        <x:v>Pacific Asia</x:v>
      </x:c>
      <x:c r="E2858" s="1" t="str">
        <x:v>PROCESSING</x:v>
      </x:c>
      <x:c r="F2858" s="1" t="str">
        <x:v>Shipping on time</x:v>
      </x:c>
      <x:c r="G2858" s="6" t="n">
        <x:v>4</x:v>
      </x:c>
      <x:c r="H2858" s="6" t="n">
        <x:v>4</x:v>
      </x:c>
      <x:c r="I2858" s="6" t="n">
        <x:f>G2858-H2858</x:f>
        <x:v>0</x:v>
      </x:c>
      <x:c r="J2858" s="6" t="n">
        <x:f>IF(OR(E2858="CANCELED",E2858="SUSPECTED_FRAUD",F2858="Shipping canceled"),0,1)</x:f>
        <x:v>1</x:v>
      </x:c>
      <x:c r="K2858" s="6" t="n">
        <x:f>IF(G2858&gt;H2858,1,0)</x:f>
        <x:v>0</x:v>
      </x:c>
      <x:c r="L2858" s="6" t="n">
        <x:f>J2858*K2858</x:f>
        <x:v>0</x:v>
      </x:c>
    </x:row>
    <x:row r="2859">
      <x:c r="A2859" s="1" t="n">
        <x:v>21734</x:v>
      </x:c>
      <x:c r="B2859" s="5" t="d">
        <x:v>2015-11-14T00:00:00.000Z</x:v>
      </x:c>
      <x:c r="C2859" s="1" t="str">
        <x:v>Standard Class</x:v>
      </x:c>
      <x:c r="D2859" s="1" t="str">
        <x:v>Pacific Asia</x:v>
      </x:c>
      <x:c r="E2859" s="1" t="str">
        <x:v>PENDING</x:v>
      </x:c>
      <x:c r="F2859" s="1" t="str">
        <x:v>Late delivery</x:v>
      </x:c>
      <x:c r="G2859" s="6" t="n">
        <x:v>5</x:v>
      </x:c>
      <x:c r="H2859" s="6" t="n">
        <x:v>4</x:v>
      </x:c>
      <x:c r="I2859" s="6" t="n">
        <x:f>G2859-H2859</x:f>
        <x:v>1</x:v>
      </x:c>
      <x:c r="J2859" s="6" t="n">
        <x:f>IF(OR(E2859="CANCELED",E2859="SUSPECTED_FRAUD",F2859="Shipping canceled"),0,1)</x:f>
        <x:v>1</x:v>
      </x:c>
      <x:c r="K2859" s="6" t="n">
        <x:f>IF(G2859&gt;H2859,1,0)</x:f>
        <x:v>1</x:v>
      </x:c>
      <x:c r="L2859" s="6" t="n">
        <x:f>J2859*K2859</x:f>
        <x:v>1</x:v>
      </x:c>
    </x:row>
    <x:row r="2860">
      <x:c r="A2860" s="1" t="n">
        <x:v>21769</x:v>
      </x:c>
      <x:c r="B2860" s="5" t="d">
        <x:v>2015-11-14T00:00:00.000Z</x:v>
      </x:c>
      <x:c r="C2860" s="1" t="str">
        <x:v>Second Class</x:v>
      </x:c>
      <x:c r="D2860" s="1" t="str">
        <x:v>Pacific Asia</x:v>
      </x:c>
      <x:c r="E2860" s="1" t="str">
        <x:v>COMPLETE</x:v>
      </x:c>
      <x:c r="F2860" s="1" t="str">
        <x:v>Late delivery</x:v>
      </x:c>
      <x:c r="G2860" s="6" t="n">
        <x:v>5</x:v>
      </x:c>
      <x:c r="H2860" s="6" t="n">
        <x:v>2</x:v>
      </x:c>
      <x:c r="I2860" s="6" t="n">
        <x:f>G2860-H2860</x:f>
        <x:v>3</x:v>
      </x:c>
      <x:c r="J2860" s="6" t="n">
        <x:f>IF(OR(E2860="CANCELED",E2860="SUSPECTED_FRAUD",F2860="Shipping canceled"),0,1)</x:f>
        <x:v>1</x:v>
      </x:c>
      <x:c r="K2860" s="6" t="n">
        <x:f>IF(G2860&gt;H2860,1,0)</x:f>
        <x:v>1</x:v>
      </x:c>
      <x:c r="L2860" s="6" t="n">
        <x:f>J2860*K2860</x:f>
        <x:v>1</x:v>
      </x:c>
    </x:row>
    <x:row r="2861">
      <x:c r="A2861" s="1" t="n">
        <x:v>21777</x:v>
      </x:c>
      <x:c r="B2861" s="5" t="d">
        <x:v>2015-11-14T00:00:00.000Z</x:v>
      </x:c>
      <x:c r="C2861" s="1" t="str">
        <x:v>Standard Class</x:v>
      </x:c>
      <x:c r="D2861" s="1" t="str">
        <x:v>Pacific Asia</x:v>
      </x:c>
      <x:c r="E2861" s="1" t="str">
        <x:v>COMPLETE</x:v>
      </x:c>
      <x:c r="F2861" s="1" t="str">
        <x:v>Advance shipping</x:v>
      </x:c>
      <x:c r="G2861" s="6" t="n">
        <x:v>3</x:v>
      </x:c>
      <x:c r="H2861" s="6" t="n">
        <x:v>4</x:v>
      </x:c>
      <x:c r="I2861" s="6" t="n">
        <x:f>G2861-H2861</x:f>
        <x:v>-1</x:v>
      </x:c>
      <x:c r="J2861" s="6" t="n">
        <x:f>IF(OR(E2861="CANCELED",E2861="SUSPECTED_FRAUD",F2861="Shipping canceled"),0,1)</x:f>
        <x:v>1</x:v>
      </x:c>
      <x:c r="K2861" s="6" t="n">
        <x:f>IF(G2861&gt;H2861,1,0)</x:f>
        <x:v>0</x:v>
      </x:c>
      <x:c r="L2861" s="6" t="n">
        <x:f>J2861*K2861</x:f>
        <x:v>0</x:v>
      </x:c>
    </x:row>
    <x:row r="2862">
      <x:c r="A2862" s="1" t="n">
        <x:v>21788</x:v>
      </x:c>
      <x:c r="B2862" s="5" t="d">
        <x:v>2015-11-15T00:00:00.000Z</x:v>
      </x:c>
      <x:c r="C2862" s="1" t="str">
        <x:v>First Class</x:v>
      </x:c>
      <x:c r="D2862" s="1" t="str">
        <x:v>Pacific Asia</x:v>
      </x:c>
      <x:c r="E2862" s="1" t="str">
        <x:v>PENDING</x:v>
      </x:c>
      <x:c r="F2862" s="1" t="str">
        <x:v>Late delivery</x:v>
      </x:c>
      <x:c r="G2862" s="6" t="n">
        <x:v>2</x:v>
      </x:c>
      <x:c r="H2862" s="6" t="n">
        <x:v>1</x:v>
      </x:c>
      <x:c r="I2862" s="6" t="n">
        <x:f>G2862-H2862</x:f>
        <x:v>1</x:v>
      </x:c>
      <x:c r="J2862" s="6" t="n">
        <x:f>IF(OR(E2862="CANCELED",E2862="SUSPECTED_FRAUD",F2862="Shipping canceled"),0,1)</x:f>
        <x:v>1</x:v>
      </x:c>
      <x:c r="K2862" s="6" t="n">
        <x:f>IF(G2862&gt;H2862,1,0)</x:f>
        <x:v>1</x:v>
      </x:c>
      <x:c r="L2862" s="6" t="n">
        <x:f>J2862*K2862</x:f>
        <x:v>1</x:v>
      </x:c>
    </x:row>
    <x:row r="2863">
      <x:c r="A2863" s="1" t="n">
        <x:v>21801</x:v>
      </x:c>
      <x:c r="B2863" s="5" t="d">
        <x:v>2015-11-15T00:00:00.000Z</x:v>
      </x:c>
      <x:c r="C2863" s="1" t="str">
        <x:v>Standard Class</x:v>
      </x:c>
      <x:c r="D2863" s="1" t="str">
        <x:v>Pacific Asia</x:v>
      </x:c>
      <x:c r="E2863" s="1" t="str">
        <x:v>ON_HOLD</x:v>
      </x:c>
      <x:c r="F2863" s="1" t="str">
        <x:v>Advance shipping</x:v>
      </x:c>
      <x:c r="G2863" s="6" t="n">
        <x:v>2</x:v>
      </x:c>
      <x:c r="H2863" s="6" t="n">
        <x:v>4</x:v>
      </x:c>
      <x:c r="I2863" s="6" t="n">
        <x:f>G2863-H2863</x:f>
        <x:v>-2</x:v>
      </x:c>
      <x:c r="J2863" s="6" t="n">
        <x:f>IF(OR(E2863="CANCELED",E2863="SUSPECTED_FRAUD",F2863="Shipping canceled"),0,1)</x:f>
        <x:v>1</x:v>
      </x:c>
      <x:c r="K2863" s="6" t="n">
        <x:f>IF(G2863&gt;H2863,1,0)</x:f>
        <x:v>0</x:v>
      </x:c>
      <x:c r="L2863" s="6" t="n">
        <x:f>J2863*K2863</x:f>
        <x:v>0</x:v>
      </x:c>
    </x:row>
    <x:row r="2864">
      <x:c r="A2864" s="1" t="n">
        <x:v>21808</x:v>
      </x:c>
      <x:c r="B2864" s="5" t="d">
        <x:v>2015-11-15T00:00:00.000Z</x:v>
      </x:c>
      <x:c r="C2864" s="1" t="str">
        <x:v>Standard Class</x:v>
      </x:c>
      <x:c r="D2864" s="1" t="str">
        <x:v>Pacific Asia</x:v>
      </x:c>
      <x:c r="E2864" s="1" t="str">
        <x:v>COMPLETE</x:v>
      </x:c>
      <x:c r="F2864" s="1" t="str">
        <x:v>Shipping on time</x:v>
      </x:c>
      <x:c r="G2864" s="6" t="n">
        <x:v>4</x:v>
      </x:c>
      <x:c r="H2864" s="6" t="n">
        <x:v>4</x:v>
      </x:c>
      <x:c r="I2864" s="6" t="n">
        <x:f>G2864-H2864</x:f>
        <x:v>0</x:v>
      </x:c>
      <x:c r="J2864" s="6" t="n">
        <x:f>IF(OR(E2864="CANCELED",E2864="SUSPECTED_FRAUD",F2864="Shipping canceled"),0,1)</x:f>
        <x:v>1</x:v>
      </x:c>
      <x:c r="K2864" s="6" t="n">
        <x:f>IF(G2864&gt;H2864,1,0)</x:f>
        <x:v>0</x:v>
      </x:c>
      <x:c r="L2864" s="6" t="n">
        <x:f>J2864*K2864</x:f>
        <x:v>0</x:v>
      </x:c>
    </x:row>
    <x:row r="2865">
      <x:c r="A2865" s="1" t="n">
        <x:v>21830</x:v>
      </x:c>
      <x:c r="B2865" s="5" t="d">
        <x:v>2015-11-15T00:00:00.000Z</x:v>
      </x:c>
      <x:c r="C2865" s="1" t="str">
        <x:v>First Class</x:v>
      </x:c>
      <x:c r="D2865" s="1" t="str">
        <x:v>Pacific Asia</x:v>
      </x:c>
      <x:c r="E2865" s="1" t="str">
        <x:v>CLOSED</x:v>
      </x:c>
      <x:c r="F2865" s="1" t="str">
        <x:v>Late delivery</x:v>
      </x:c>
      <x:c r="G2865" s="6" t="n">
        <x:v>2</x:v>
      </x:c>
      <x:c r="H2865" s="6" t="n">
        <x:v>1</x:v>
      </x:c>
      <x:c r="I2865" s="6" t="n">
        <x:f>G2865-H2865</x:f>
        <x:v>1</x:v>
      </x:c>
      <x:c r="J2865" s="6" t="n">
        <x:f>IF(OR(E2865="CANCELED",E2865="SUSPECTED_FRAUD",F2865="Shipping canceled"),0,1)</x:f>
        <x:v>1</x:v>
      </x:c>
      <x:c r="K2865" s="6" t="n">
        <x:f>IF(G2865&gt;H2865,1,0)</x:f>
        <x:v>1</x:v>
      </x:c>
      <x:c r="L2865" s="6" t="n">
        <x:f>J2865*K2865</x:f>
        <x:v>1</x:v>
      </x:c>
    </x:row>
    <x:row r="2866">
      <x:c r="A2866" s="1" t="n">
        <x:v>21837</x:v>
      </x:c>
      <x:c r="B2866" s="5" t="d">
        <x:v>2015-11-15T00:00:00.000Z</x:v>
      </x:c>
      <x:c r="C2866" s="1" t="str">
        <x:v>Standard Class</x:v>
      </x:c>
      <x:c r="D2866" s="1" t="str">
        <x:v>Pacific Asia</x:v>
      </x:c>
      <x:c r="E2866" s="1" t="str">
        <x:v>PROCESSING</x:v>
      </x:c>
      <x:c r="F2866" s="1" t="str">
        <x:v>Advance shipping</x:v>
      </x:c>
      <x:c r="G2866" s="6" t="n">
        <x:v>3</x:v>
      </x:c>
      <x:c r="H2866" s="6" t="n">
        <x:v>4</x:v>
      </x:c>
      <x:c r="I2866" s="6" t="n">
        <x:f>G2866-H2866</x:f>
        <x:v>-1</x:v>
      </x:c>
      <x:c r="J2866" s="6" t="n">
        <x:f>IF(OR(E2866="CANCELED",E2866="SUSPECTED_FRAUD",F2866="Shipping canceled"),0,1)</x:f>
        <x:v>1</x:v>
      </x:c>
      <x:c r="K2866" s="6" t="n">
        <x:f>IF(G2866&gt;H2866,1,0)</x:f>
        <x:v>0</x:v>
      </x:c>
      <x:c r="L2866" s="6" t="n">
        <x:f>J2866*K2866</x:f>
        <x:v>0</x:v>
      </x:c>
    </x:row>
    <x:row r="2867">
      <x:c r="A2867" s="1" t="n">
        <x:v>21839</x:v>
      </x:c>
      <x:c r="B2867" s="5" t="d">
        <x:v>2015-11-15T00:00:00.000Z</x:v>
      </x:c>
      <x:c r="C2867" s="1" t="str">
        <x:v>Standard Class</x:v>
      </x:c>
      <x:c r="D2867" s="1" t="str">
        <x:v>Pacific Asia</x:v>
      </x:c>
      <x:c r="E2867" s="1" t="str">
        <x:v>COMPLETE</x:v>
      </x:c>
      <x:c r="F2867" s="1" t="str">
        <x:v>Late delivery</x:v>
      </x:c>
      <x:c r="G2867" s="6" t="n">
        <x:v>5</x:v>
      </x:c>
      <x:c r="H2867" s="6" t="n">
        <x:v>4</x:v>
      </x:c>
      <x:c r="I2867" s="6" t="n">
        <x:f>G2867-H2867</x:f>
        <x:v>1</x:v>
      </x:c>
      <x:c r="J2867" s="6" t="n">
        <x:f>IF(OR(E2867="CANCELED",E2867="SUSPECTED_FRAUD",F2867="Shipping canceled"),0,1)</x:f>
        <x:v>1</x:v>
      </x:c>
      <x:c r="K2867" s="6" t="n">
        <x:f>IF(G2867&gt;H2867,1,0)</x:f>
        <x:v>1</x:v>
      </x:c>
      <x:c r="L2867" s="6" t="n">
        <x:f>J2867*K2867</x:f>
        <x:v>1</x:v>
      </x:c>
    </x:row>
    <x:row r="2868">
      <x:c r="A2868" s="1" t="n">
        <x:v>21840</x:v>
      </x:c>
      <x:c r="B2868" s="5" t="d">
        <x:v>2015-11-15T00:00:00.000Z</x:v>
      </x:c>
      <x:c r="C2868" s="1" t="str">
        <x:v>Standard Class</x:v>
      </x:c>
      <x:c r="D2868" s="1" t="str">
        <x:v>Pacific Asia</x:v>
      </x:c>
      <x:c r="E2868" s="1" t="str">
        <x:v>PROCESSING</x:v>
      </x:c>
      <x:c r="F2868" s="1" t="str">
        <x:v>Late delivery</x:v>
      </x:c>
      <x:c r="G2868" s="6" t="n">
        <x:v>6</x:v>
      </x:c>
      <x:c r="H2868" s="6" t="n">
        <x:v>4</x:v>
      </x:c>
      <x:c r="I2868" s="6" t="n">
        <x:f>G2868-H2868</x:f>
        <x:v>2</x:v>
      </x:c>
      <x:c r="J2868" s="6" t="n">
        <x:f>IF(OR(E2868="CANCELED",E2868="SUSPECTED_FRAUD",F2868="Shipping canceled"),0,1)</x:f>
        <x:v>1</x:v>
      </x:c>
      <x:c r="K2868" s="6" t="n">
        <x:f>IF(G2868&gt;H2868,1,0)</x:f>
        <x:v>1</x:v>
      </x:c>
      <x:c r="L2868" s="6" t="n">
        <x:f>J2868*K2868</x:f>
        <x:v>1</x:v>
      </x:c>
    </x:row>
    <x:row r="2869">
      <x:c r="A2869" s="1" t="n">
        <x:v>21848</x:v>
      </x:c>
      <x:c r="B2869" s="5" t="d">
        <x:v>2015-11-15T00:00:00.000Z</x:v>
      </x:c>
      <x:c r="C2869" s="1" t="str">
        <x:v>Standard Class</x:v>
      </x:c>
      <x:c r="D2869" s="1" t="str">
        <x:v>Pacific Asia</x:v>
      </x:c>
      <x:c r="E2869" s="1" t="str">
        <x:v>PENDING_PAYMENT</x:v>
      </x:c>
      <x:c r="F2869" s="1" t="str">
        <x:v>Shipping on time</x:v>
      </x:c>
      <x:c r="G2869" s="6" t="n">
        <x:v>4</x:v>
      </x:c>
      <x:c r="H2869" s="6" t="n">
        <x:v>4</x:v>
      </x:c>
      <x:c r="I2869" s="6" t="n">
        <x:f>G2869-H2869</x:f>
        <x:v>0</x:v>
      </x:c>
      <x:c r="J2869" s="6" t="n">
        <x:f>IF(OR(E2869="CANCELED",E2869="SUSPECTED_FRAUD",F2869="Shipping canceled"),0,1)</x:f>
        <x:v>1</x:v>
      </x:c>
      <x:c r="K2869" s="6" t="n">
        <x:f>IF(G2869&gt;H2869,1,0)</x:f>
        <x:v>0</x:v>
      </x:c>
      <x:c r="L2869" s="6" t="n">
        <x:f>J2869*K2869</x:f>
        <x:v>0</x:v>
      </x:c>
    </x:row>
    <x:row r="2870">
      <x:c r="A2870" s="1" t="n">
        <x:v>21853</x:v>
      </x:c>
      <x:c r="B2870" s="5" t="d">
        <x:v>2015-11-15T00:00:00.000Z</x:v>
      </x:c>
      <x:c r="C2870" s="1" t="str">
        <x:v>Standard Class</x:v>
      </x:c>
      <x:c r="D2870" s="1" t="str">
        <x:v>Pacific Asia</x:v>
      </x:c>
      <x:c r="E2870" s="1" t="str">
        <x:v>ON_HOLD</x:v>
      </x:c>
      <x:c r="F2870" s="1" t="str">
        <x:v>Shipping on time</x:v>
      </x:c>
      <x:c r="G2870" s="6" t="n">
        <x:v>4</x:v>
      </x:c>
      <x:c r="H2870" s="6" t="n">
        <x:v>4</x:v>
      </x:c>
      <x:c r="I2870" s="6" t="n">
        <x:f>G2870-H2870</x:f>
        <x:v>0</x:v>
      </x:c>
      <x:c r="J2870" s="6" t="n">
        <x:f>IF(OR(E2870="CANCELED",E2870="SUSPECTED_FRAUD",F2870="Shipping canceled"),0,1)</x:f>
        <x:v>1</x:v>
      </x:c>
      <x:c r="K2870" s="6" t="n">
        <x:f>IF(G2870&gt;H2870,1,0)</x:f>
        <x:v>0</x:v>
      </x:c>
      <x:c r="L2870" s="6" t="n">
        <x:f>J2870*K2870</x:f>
        <x:v>0</x:v>
      </x:c>
    </x:row>
    <x:row r="2871">
      <x:c r="A2871" s="1" t="n">
        <x:v>21864</x:v>
      </x:c>
      <x:c r="B2871" s="5" t="d">
        <x:v>2015-11-16T00:00:00.000Z</x:v>
      </x:c>
      <x:c r="C2871" s="1" t="str">
        <x:v>Standard Class</x:v>
      </x:c>
      <x:c r="D2871" s="1" t="str">
        <x:v>Pacific Asia</x:v>
      </x:c>
      <x:c r="E2871" s="1" t="str">
        <x:v>COMPLETE</x:v>
      </x:c>
      <x:c r="F2871" s="1" t="str">
        <x:v>Late delivery</x:v>
      </x:c>
      <x:c r="G2871" s="6" t="n">
        <x:v>5</x:v>
      </x:c>
      <x:c r="H2871" s="6" t="n">
        <x:v>4</x:v>
      </x:c>
      <x:c r="I2871" s="6" t="n">
        <x:f>G2871-H2871</x:f>
        <x:v>1</x:v>
      </x:c>
      <x:c r="J2871" s="6" t="n">
        <x:f>IF(OR(E2871="CANCELED",E2871="SUSPECTED_FRAUD",F2871="Shipping canceled"),0,1)</x:f>
        <x:v>1</x:v>
      </x:c>
      <x:c r="K2871" s="6" t="n">
        <x:f>IF(G2871&gt;H2871,1,0)</x:f>
        <x:v>1</x:v>
      </x:c>
      <x:c r="L2871" s="6" t="n">
        <x:f>J2871*K2871</x:f>
        <x:v>1</x:v>
      </x:c>
    </x:row>
    <x:row r="2872">
      <x:c r="A2872" s="1" t="n">
        <x:v>21868</x:v>
      </x:c>
      <x:c r="B2872" s="5" t="d">
        <x:v>2015-11-16T00:00:00.000Z</x:v>
      </x:c>
      <x:c r="C2872" s="1" t="str">
        <x:v>Standard Class</x:v>
      </x:c>
      <x:c r="D2872" s="1" t="str">
        <x:v>Pacific Asia</x:v>
      </x:c>
      <x:c r="E2872" s="1" t="str">
        <x:v>COMPLETE</x:v>
      </x:c>
      <x:c r="F2872" s="1" t="str">
        <x:v>Shipping on time</x:v>
      </x:c>
      <x:c r="G2872" s="6" t="n">
        <x:v>4</x:v>
      </x:c>
      <x:c r="H2872" s="6" t="n">
        <x:v>4</x:v>
      </x:c>
      <x:c r="I2872" s="6" t="n">
        <x:f>G2872-H2872</x:f>
        <x:v>0</x:v>
      </x:c>
      <x:c r="J2872" s="6" t="n">
        <x:f>IF(OR(E2872="CANCELED",E2872="SUSPECTED_FRAUD",F2872="Shipping canceled"),0,1)</x:f>
        <x:v>1</x:v>
      </x:c>
      <x:c r="K2872" s="6" t="n">
        <x:f>IF(G2872&gt;H2872,1,0)</x:f>
        <x:v>0</x:v>
      </x:c>
      <x:c r="L2872" s="6" t="n">
        <x:f>J2872*K2872</x:f>
        <x:v>0</x:v>
      </x:c>
    </x:row>
    <x:row r="2873">
      <x:c r="A2873" s="1" t="n">
        <x:v>21872</x:v>
      </x:c>
      <x:c r="B2873" s="5" t="d">
        <x:v>2015-11-16T00:00:00.000Z</x:v>
      </x:c>
      <x:c r="C2873" s="1" t="str">
        <x:v>Standard Class</x:v>
      </x:c>
      <x:c r="D2873" s="1" t="str">
        <x:v>Pacific Asia</x:v>
      </x:c>
      <x:c r="E2873" s="1" t="str">
        <x:v>PROCESSING</x:v>
      </x:c>
      <x:c r="F2873" s="1" t="str">
        <x:v>Advance shipping</x:v>
      </x:c>
      <x:c r="G2873" s="6" t="n">
        <x:v>3</x:v>
      </x:c>
      <x:c r="H2873" s="6" t="n">
        <x:v>4</x:v>
      </x:c>
      <x:c r="I2873" s="6" t="n">
        <x:f>G2873-H2873</x:f>
        <x:v>-1</x:v>
      </x:c>
      <x:c r="J2873" s="6" t="n">
        <x:f>IF(OR(E2873="CANCELED",E2873="SUSPECTED_FRAUD",F2873="Shipping canceled"),0,1)</x:f>
        <x:v>1</x:v>
      </x:c>
      <x:c r="K2873" s="6" t="n">
        <x:f>IF(G2873&gt;H2873,1,0)</x:f>
        <x:v>0</x:v>
      </x:c>
      <x:c r="L2873" s="6" t="n">
        <x:f>J2873*K2873</x:f>
        <x:v>0</x:v>
      </x:c>
    </x:row>
    <x:row r="2874">
      <x:c r="A2874" s="1" t="n">
        <x:v>21873</x:v>
      </x:c>
      <x:c r="B2874" s="5" t="d">
        <x:v>2015-11-16T00:00:00.000Z</x:v>
      </x:c>
      <x:c r="C2874" s="1" t="str">
        <x:v>Standard Class</x:v>
      </x:c>
      <x:c r="D2874" s="1" t="str">
        <x:v>Pacific Asia</x:v>
      </x:c>
      <x:c r="E2874" s="1" t="str">
        <x:v>COMPLETE</x:v>
      </x:c>
      <x:c r="F2874" s="1" t="str">
        <x:v>Shipping on time</x:v>
      </x:c>
      <x:c r="G2874" s="6" t="n">
        <x:v>4</x:v>
      </x:c>
      <x:c r="H2874" s="6" t="n">
        <x:v>4</x:v>
      </x:c>
      <x:c r="I2874" s="6" t="n">
        <x:f>G2874-H2874</x:f>
        <x:v>0</x:v>
      </x:c>
      <x:c r="J2874" s="6" t="n">
        <x:f>IF(OR(E2874="CANCELED",E2874="SUSPECTED_FRAUD",F2874="Shipping canceled"),0,1)</x:f>
        <x:v>1</x:v>
      </x:c>
      <x:c r="K2874" s="6" t="n">
        <x:f>IF(G2874&gt;H2874,1,0)</x:f>
        <x:v>0</x:v>
      </x:c>
      <x:c r="L2874" s="6" t="n">
        <x:f>J2874*K2874</x:f>
        <x:v>0</x:v>
      </x:c>
    </x:row>
    <x:row r="2875">
      <x:c r="A2875" s="1" t="n">
        <x:v>21874</x:v>
      </x:c>
      <x:c r="B2875" s="5" t="d">
        <x:v>2015-11-16T00:00:00.000Z</x:v>
      </x:c>
      <x:c r="C2875" s="1" t="str">
        <x:v>Standard Class</x:v>
      </x:c>
      <x:c r="D2875" s="1" t="str">
        <x:v>Pacific Asia</x:v>
      </x:c>
      <x:c r="E2875" s="1" t="str">
        <x:v>PROCESSING</x:v>
      </x:c>
      <x:c r="F2875" s="1" t="str">
        <x:v>Late delivery</x:v>
      </x:c>
      <x:c r="G2875" s="6" t="n">
        <x:v>5</x:v>
      </x:c>
      <x:c r="H2875" s="6" t="n">
        <x:v>4</x:v>
      </x:c>
      <x:c r="I2875" s="6" t="n">
        <x:f>G2875-H2875</x:f>
        <x:v>1</x:v>
      </x:c>
      <x:c r="J2875" s="6" t="n">
        <x:f>IF(OR(E2875="CANCELED",E2875="SUSPECTED_FRAUD",F2875="Shipping canceled"),0,1)</x:f>
        <x:v>1</x:v>
      </x:c>
      <x:c r="K2875" s="6" t="n">
        <x:f>IF(G2875&gt;H2875,1,0)</x:f>
        <x:v>1</x:v>
      </x:c>
      <x:c r="L2875" s="6" t="n">
        <x:f>J2875*K2875</x:f>
        <x:v>1</x:v>
      </x:c>
    </x:row>
    <x:row r="2876">
      <x:c r="A2876" s="1" t="n">
        <x:v>21886</x:v>
      </x:c>
      <x:c r="B2876" s="5" t="d">
        <x:v>2015-11-16T00:00:00.000Z</x:v>
      </x:c>
      <x:c r="C2876" s="1" t="str">
        <x:v>Standard Class</x:v>
      </x:c>
      <x:c r="D2876" s="1" t="str">
        <x:v>Pacific Asia</x:v>
      </x:c>
      <x:c r="E2876" s="1" t="str">
        <x:v>COMPLETE</x:v>
      </x:c>
      <x:c r="F2876" s="1" t="str">
        <x:v>Advance shipping</x:v>
      </x:c>
      <x:c r="G2876" s="6" t="n">
        <x:v>2</x:v>
      </x:c>
      <x:c r="H2876" s="6" t="n">
        <x:v>4</x:v>
      </x:c>
      <x:c r="I2876" s="6" t="n">
        <x:f>G2876-H2876</x:f>
        <x:v>-2</x:v>
      </x:c>
      <x:c r="J2876" s="6" t="n">
        <x:f>IF(OR(E2876="CANCELED",E2876="SUSPECTED_FRAUD",F2876="Shipping canceled"),0,1)</x:f>
        <x:v>1</x:v>
      </x:c>
      <x:c r="K2876" s="6" t="n">
        <x:f>IF(G2876&gt;H2876,1,0)</x:f>
        <x:v>0</x:v>
      </x:c>
      <x:c r="L2876" s="6" t="n">
        <x:f>J2876*K2876</x:f>
        <x:v>0</x:v>
      </x:c>
    </x:row>
    <x:row r="2877">
      <x:c r="A2877" s="1" t="n">
        <x:v>21902</x:v>
      </x:c>
      <x:c r="B2877" s="5" t="d">
        <x:v>2015-11-16T00:00:00.000Z</x:v>
      </x:c>
      <x:c r="C2877" s="1" t="str">
        <x:v>Second Class</x:v>
      </x:c>
      <x:c r="D2877" s="1" t="str">
        <x:v>Pacific Asia</x:v>
      </x:c>
      <x:c r="E2877" s="1" t="str">
        <x:v>PENDING_PAYMENT</x:v>
      </x:c>
      <x:c r="F2877" s="1" t="str">
        <x:v>Late delivery</x:v>
      </x:c>
      <x:c r="G2877" s="6" t="n">
        <x:v>3</x:v>
      </x:c>
      <x:c r="H2877" s="6" t="n">
        <x:v>2</x:v>
      </x:c>
      <x:c r="I2877" s="6" t="n">
        <x:f>G2877-H2877</x:f>
        <x:v>1</x:v>
      </x:c>
      <x:c r="J2877" s="6" t="n">
        <x:f>IF(OR(E2877="CANCELED",E2877="SUSPECTED_FRAUD",F2877="Shipping canceled"),0,1)</x:f>
        <x:v>1</x:v>
      </x:c>
      <x:c r="K2877" s="6" t="n">
        <x:f>IF(G2877&gt;H2877,1,0)</x:f>
        <x:v>1</x:v>
      </x:c>
      <x:c r="L2877" s="6" t="n">
        <x:f>J2877*K2877</x:f>
        <x:v>1</x:v>
      </x:c>
    </x:row>
    <x:row r="2878">
      <x:c r="A2878" s="1" t="n">
        <x:v>21906</x:v>
      </x:c>
      <x:c r="B2878" s="5" t="d">
        <x:v>2015-11-16T00:00:00.000Z</x:v>
      </x:c>
      <x:c r="C2878" s="1" t="str">
        <x:v>Standard Class</x:v>
      </x:c>
      <x:c r="D2878" s="1" t="str">
        <x:v>Pacific Asia</x:v>
      </x:c>
      <x:c r="E2878" s="1" t="str">
        <x:v>COMPLETE</x:v>
      </x:c>
      <x:c r="F2878" s="1" t="str">
        <x:v>Advance shipping</x:v>
      </x:c>
      <x:c r="G2878" s="6" t="n">
        <x:v>2</x:v>
      </x:c>
      <x:c r="H2878" s="6" t="n">
        <x:v>4</x:v>
      </x:c>
      <x:c r="I2878" s="6" t="n">
        <x:f>G2878-H2878</x:f>
        <x:v>-2</x:v>
      </x:c>
      <x:c r="J2878" s="6" t="n">
        <x:f>IF(OR(E2878="CANCELED",E2878="SUSPECTED_FRAUD",F2878="Shipping canceled"),0,1)</x:f>
        <x:v>1</x:v>
      </x:c>
      <x:c r="K2878" s="6" t="n">
        <x:f>IF(G2878&gt;H2878,1,0)</x:f>
        <x:v>0</x:v>
      </x:c>
      <x:c r="L2878" s="6" t="n">
        <x:f>J2878*K2878</x:f>
        <x:v>0</x:v>
      </x:c>
    </x:row>
    <x:row r="2879">
      <x:c r="A2879" s="1" t="n">
        <x:v>21907</x:v>
      </x:c>
      <x:c r="B2879" s="5" t="d">
        <x:v>2015-11-16T00:00:00.000Z</x:v>
      </x:c>
      <x:c r="C2879" s="1" t="str">
        <x:v>Standard Class</x:v>
      </x:c>
      <x:c r="D2879" s="1" t="str">
        <x:v>Pacific Asia</x:v>
      </x:c>
      <x:c r="E2879" s="1" t="str">
        <x:v>COMPLETE</x:v>
      </x:c>
      <x:c r="F2879" s="1" t="str">
        <x:v>Advance shipping</x:v>
      </x:c>
      <x:c r="G2879" s="6" t="n">
        <x:v>3</x:v>
      </x:c>
      <x:c r="H2879" s="6" t="n">
        <x:v>4</x:v>
      </x:c>
      <x:c r="I2879" s="6" t="n">
        <x:f>G2879-H2879</x:f>
        <x:v>-1</x:v>
      </x:c>
      <x:c r="J2879" s="6" t="n">
        <x:f>IF(OR(E2879="CANCELED",E2879="SUSPECTED_FRAUD",F2879="Shipping canceled"),0,1)</x:f>
        <x:v>1</x:v>
      </x:c>
      <x:c r="K2879" s="6" t="n">
        <x:f>IF(G2879&gt;H2879,1,0)</x:f>
        <x:v>0</x:v>
      </x:c>
      <x:c r="L2879" s="6" t="n">
        <x:f>J2879*K2879</x:f>
        <x:v>0</x:v>
      </x:c>
    </x:row>
    <x:row r="2880">
      <x:c r="A2880" s="1" t="n">
        <x:v>21926</x:v>
      </x:c>
      <x:c r="B2880" s="5" t="d">
        <x:v>2015-11-17T00:00:00.000Z</x:v>
      </x:c>
      <x:c r="C2880" s="1" t="str">
        <x:v>Standard Class</x:v>
      </x:c>
      <x:c r="D2880" s="1" t="str">
        <x:v>Pacific Asia</x:v>
      </x:c>
      <x:c r="E2880" s="1" t="str">
        <x:v>COMPLETE</x:v>
      </x:c>
      <x:c r="F2880" s="1" t="str">
        <x:v>Advance shipping</x:v>
      </x:c>
      <x:c r="G2880" s="6" t="n">
        <x:v>2</x:v>
      </x:c>
      <x:c r="H2880" s="6" t="n">
        <x:v>4</x:v>
      </x:c>
      <x:c r="I2880" s="6" t="n">
        <x:f>G2880-H2880</x:f>
        <x:v>-2</x:v>
      </x:c>
      <x:c r="J2880" s="6" t="n">
        <x:f>IF(OR(E2880="CANCELED",E2880="SUSPECTED_FRAUD",F2880="Shipping canceled"),0,1)</x:f>
        <x:v>1</x:v>
      </x:c>
      <x:c r="K2880" s="6" t="n">
        <x:f>IF(G2880&gt;H2880,1,0)</x:f>
        <x:v>0</x:v>
      </x:c>
      <x:c r="L2880" s="6" t="n">
        <x:f>J2880*K2880</x:f>
        <x:v>0</x:v>
      </x:c>
    </x:row>
    <x:row r="2881">
      <x:c r="A2881" s="1" t="n">
        <x:v>21930</x:v>
      </x:c>
      <x:c r="B2881" s="5" t="d">
        <x:v>2015-11-17T00:00:00.000Z</x:v>
      </x:c>
      <x:c r="C2881" s="1" t="str">
        <x:v>Second Class</x:v>
      </x:c>
      <x:c r="D2881" s="1" t="str">
        <x:v>Pacific Asia</x:v>
      </x:c>
      <x:c r="E2881" s="1" t="str">
        <x:v>COMPLETE</x:v>
      </x:c>
      <x:c r="F2881" s="1" t="str">
        <x:v>Late delivery</x:v>
      </x:c>
      <x:c r="G2881" s="6" t="n">
        <x:v>6</x:v>
      </x:c>
      <x:c r="H2881" s="6" t="n">
        <x:v>2</x:v>
      </x:c>
      <x:c r="I2881" s="6" t="n">
        <x:f>G2881-H2881</x:f>
        <x:v>4</x:v>
      </x:c>
      <x:c r="J2881" s="6" t="n">
        <x:f>IF(OR(E2881="CANCELED",E2881="SUSPECTED_FRAUD",F2881="Shipping canceled"),0,1)</x:f>
        <x:v>1</x:v>
      </x:c>
      <x:c r="K2881" s="6" t="n">
        <x:f>IF(G2881&gt;H2881,1,0)</x:f>
        <x:v>1</x:v>
      </x:c>
      <x:c r="L2881" s="6" t="n">
        <x:f>J2881*K2881</x:f>
        <x:v>1</x:v>
      </x:c>
    </x:row>
    <x:row r="2882">
      <x:c r="A2882" s="1" t="n">
        <x:v>21936</x:v>
      </x:c>
      <x:c r="B2882" s="5" t="d">
        <x:v>2015-11-17T00:00:00.000Z</x:v>
      </x:c>
      <x:c r="C2882" s="1" t="str">
        <x:v>Standard Class</x:v>
      </x:c>
      <x:c r="D2882" s="1" t="str">
        <x:v>Pacific Asia</x:v>
      </x:c>
      <x:c r="E2882" s="1" t="str">
        <x:v>COMPLETE</x:v>
      </x:c>
      <x:c r="F2882" s="1" t="str">
        <x:v>Advance shipping</x:v>
      </x:c>
      <x:c r="G2882" s="6" t="n">
        <x:v>2</x:v>
      </x:c>
      <x:c r="H2882" s="6" t="n">
        <x:v>4</x:v>
      </x:c>
      <x:c r="I2882" s="6" t="n">
        <x:f>G2882-H2882</x:f>
        <x:v>-2</x:v>
      </x:c>
      <x:c r="J2882" s="6" t="n">
        <x:f>IF(OR(E2882="CANCELED",E2882="SUSPECTED_FRAUD",F2882="Shipping canceled"),0,1)</x:f>
        <x:v>1</x:v>
      </x:c>
      <x:c r="K2882" s="6" t="n">
        <x:f>IF(G2882&gt;H2882,1,0)</x:f>
        <x:v>0</x:v>
      </x:c>
      <x:c r="L2882" s="6" t="n">
        <x:f>J2882*K2882</x:f>
        <x:v>0</x:v>
      </x:c>
    </x:row>
    <x:row r="2883">
      <x:c r="A2883" s="1" t="n">
        <x:v>21937</x:v>
      </x:c>
      <x:c r="B2883" s="5" t="d">
        <x:v>2015-11-17T00:00:00.000Z</x:v>
      </x:c>
      <x:c r="C2883" s="1" t="str">
        <x:v>Standard Class</x:v>
      </x:c>
      <x:c r="D2883" s="1" t="str">
        <x:v>Pacific Asia</x:v>
      </x:c>
      <x:c r="E2883" s="1" t="str">
        <x:v>COMPLETE</x:v>
      </x:c>
      <x:c r="F2883" s="1" t="str">
        <x:v>Advance shipping</x:v>
      </x:c>
      <x:c r="G2883" s="6" t="n">
        <x:v>3</x:v>
      </x:c>
      <x:c r="H2883" s="6" t="n">
        <x:v>4</x:v>
      </x:c>
      <x:c r="I2883" s="6" t="n">
        <x:f>G2883-H2883</x:f>
        <x:v>-1</x:v>
      </x:c>
      <x:c r="J2883" s="6" t="n">
        <x:f>IF(OR(E2883="CANCELED",E2883="SUSPECTED_FRAUD",F2883="Shipping canceled"),0,1)</x:f>
        <x:v>1</x:v>
      </x:c>
      <x:c r="K2883" s="6" t="n">
        <x:f>IF(G2883&gt;H2883,1,0)</x:f>
        <x:v>0</x:v>
      </x:c>
      <x:c r="L2883" s="6" t="n">
        <x:f>J2883*K2883</x:f>
        <x:v>0</x:v>
      </x:c>
    </x:row>
    <x:row r="2884">
      <x:c r="A2884" s="1" t="n">
        <x:v>21941</x:v>
      </x:c>
      <x:c r="B2884" s="5" t="d">
        <x:v>2015-11-17T00:00:00.000Z</x:v>
      </x:c>
      <x:c r="C2884" s="1" t="str">
        <x:v>Standard Class</x:v>
      </x:c>
      <x:c r="D2884" s="1" t="str">
        <x:v>Pacific Asia</x:v>
      </x:c>
      <x:c r="E2884" s="1" t="str">
        <x:v>PROCESSING</x:v>
      </x:c>
      <x:c r="F2884" s="1" t="str">
        <x:v>Advance shipping</x:v>
      </x:c>
      <x:c r="G2884" s="6" t="n">
        <x:v>2</x:v>
      </x:c>
      <x:c r="H2884" s="6" t="n">
        <x:v>4</x:v>
      </x:c>
      <x:c r="I2884" s="6" t="n">
        <x:f>G2884-H2884</x:f>
        <x:v>-2</x:v>
      </x:c>
      <x:c r="J2884" s="6" t="n">
        <x:f>IF(OR(E2884="CANCELED",E2884="SUSPECTED_FRAUD",F2884="Shipping canceled"),0,1)</x:f>
        <x:v>1</x:v>
      </x:c>
      <x:c r="K2884" s="6" t="n">
        <x:f>IF(G2884&gt;H2884,1,0)</x:f>
        <x:v>0</x:v>
      </x:c>
      <x:c r="L2884" s="6" t="n">
        <x:f>J2884*K2884</x:f>
        <x:v>0</x:v>
      </x:c>
    </x:row>
    <x:row r="2885">
      <x:c r="A2885" s="1" t="n">
        <x:v>21953</x:v>
      </x:c>
      <x:c r="B2885" s="5" t="d">
        <x:v>2015-11-17T00:00:00.000Z</x:v>
      </x:c>
      <x:c r="C2885" s="1" t="str">
        <x:v>Standard Class</x:v>
      </x:c>
      <x:c r="D2885" s="1" t="str">
        <x:v>Pacific Asia</x:v>
      </x:c>
      <x:c r="E2885" s="1" t="str">
        <x:v>ON_HOLD</x:v>
      </x:c>
      <x:c r="F2885" s="1" t="str">
        <x:v>Shipping on time</x:v>
      </x:c>
      <x:c r="G2885" s="6" t="n">
        <x:v>4</x:v>
      </x:c>
      <x:c r="H2885" s="6" t="n">
        <x:v>4</x:v>
      </x:c>
      <x:c r="I2885" s="6" t="n">
        <x:f>G2885-H2885</x:f>
        <x:v>0</x:v>
      </x:c>
      <x:c r="J2885" s="6" t="n">
        <x:f>IF(OR(E2885="CANCELED",E2885="SUSPECTED_FRAUD",F2885="Shipping canceled"),0,1)</x:f>
        <x:v>1</x:v>
      </x:c>
      <x:c r="K2885" s="6" t="n">
        <x:f>IF(G2885&gt;H2885,1,0)</x:f>
        <x:v>0</x:v>
      </x:c>
      <x:c r="L2885" s="6" t="n">
        <x:f>J2885*K2885</x:f>
        <x:v>0</x:v>
      </x:c>
    </x:row>
    <x:row r="2886">
      <x:c r="A2886" s="1" t="n">
        <x:v>21966</x:v>
      </x:c>
      <x:c r="B2886" s="5" t="d">
        <x:v>2015-11-17T00:00:00.000Z</x:v>
      </x:c>
      <x:c r="C2886" s="1" t="str">
        <x:v>Standard Class</x:v>
      </x:c>
      <x:c r="D2886" s="1" t="str">
        <x:v>Pacific Asia</x:v>
      </x:c>
      <x:c r="E2886" s="1" t="str">
        <x:v>COMPLETE</x:v>
      </x:c>
      <x:c r="F2886" s="1" t="str">
        <x:v>Advance shipping</x:v>
      </x:c>
      <x:c r="G2886" s="6" t="n">
        <x:v>2</x:v>
      </x:c>
      <x:c r="H2886" s="6" t="n">
        <x:v>4</x:v>
      </x:c>
      <x:c r="I2886" s="6" t="n">
        <x:f>G2886-H2886</x:f>
        <x:v>-2</x:v>
      </x:c>
      <x:c r="J2886" s="6" t="n">
        <x:f>IF(OR(E2886="CANCELED",E2886="SUSPECTED_FRAUD",F2886="Shipping canceled"),0,1)</x:f>
        <x:v>1</x:v>
      </x:c>
      <x:c r="K2886" s="6" t="n">
        <x:f>IF(G2886&gt;H2886,1,0)</x:f>
        <x:v>0</x:v>
      </x:c>
      <x:c r="L2886" s="6" t="n">
        <x:f>J2886*K2886</x:f>
        <x:v>0</x:v>
      </x:c>
    </x:row>
    <x:row r="2887">
      <x:c r="A2887" s="1" t="n">
        <x:v>21968</x:v>
      </x:c>
      <x:c r="B2887" s="5" t="d">
        <x:v>2015-11-17T00:00:00.000Z</x:v>
      </x:c>
      <x:c r="C2887" s="1" t="str">
        <x:v>Second Class</x:v>
      </x:c>
      <x:c r="D2887" s="1" t="str">
        <x:v>Pacific Asia</x:v>
      </x:c>
      <x:c r="E2887" s="1" t="str">
        <x:v>COMPLETE</x:v>
      </x:c>
      <x:c r="F2887" s="1" t="str">
        <x:v>Late delivery</x:v>
      </x:c>
      <x:c r="G2887" s="6" t="n">
        <x:v>4</x:v>
      </x:c>
      <x:c r="H2887" s="6" t="n">
        <x:v>2</x:v>
      </x:c>
      <x:c r="I2887" s="6" t="n">
        <x:f>G2887-H2887</x:f>
        <x:v>2</x:v>
      </x:c>
      <x:c r="J2887" s="6" t="n">
        <x:f>IF(OR(E2887="CANCELED",E2887="SUSPECTED_FRAUD",F2887="Shipping canceled"),0,1)</x:f>
        <x:v>1</x:v>
      </x:c>
      <x:c r="K2887" s="6" t="n">
        <x:f>IF(G2887&gt;H2887,1,0)</x:f>
        <x:v>1</x:v>
      </x:c>
      <x:c r="L2887" s="6" t="n">
        <x:f>J2887*K2887</x:f>
        <x:v>1</x:v>
      </x:c>
    </x:row>
    <x:row r="2888">
      <x:c r="A2888" s="1" t="n">
        <x:v>21969</x:v>
      </x:c>
      <x:c r="B2888" s="5" t="d">
        <x:v>2015-11-17T00:00:00.000Z</x:v>
      </x:c>
      <x:c r="C2888" s="1" t="str">
        <x:v>Standard Class</x:v>
      </x:c>
      <x:c r="D2888" s="1" t="str">
        <x:v>Pacific Asia</x:v>
      </x:c>
      <x:c r="E2888" s="1" t="str">
        <x:v>COMPLETE</x:v>
      </x:c>
      <x:c r="F2888" s="1" t="str">
        <x:v>Late delivery</x:v>
      </x:c>
      <x:c r="G2888" s="6" t="n">
        <x:v>5</x:v>
      </x:c>
      <x:c r="H2888" s="6" t="n">
        <x:v>4</x:v>
      </x:c>
      <x:c r="I2888" s="6" t="n">
        <x:f>G2888-H2888</x:f>
        <x:v>1</x:v>
      </x:c>
      <x:c r="J2888" s="6" t="n">
        <x:f>IF(OR(E2888="CANCELED",E2888="SUSPECTED_FRAUD",F2888="Shipping canceled"),0,1)</x:f>
        <x:v>1</x:v>
      </x:c>
      <x:c r="K2888" s="6" t="n">
        <x:f>IF(G2888&gt;H2888,1,0)</x:f>
        <x:v>1</x:v>
      </x:c>
      <x:c r="L2888" s="6" t="n">
        <x:f>J2888*K2888</x:f>
        <x:v>1</x:v>
      </x:c>
    </x:row>
    <x:row r="2889">
      <x:c r="A2889" s="1" t="n">
        <x:v>21971</x:v>
      </x:c>
      <x:c r="B2889" s="5" t="d">
        <x:v>2015-11-17T00:00:00.000Z</x:v>
      </x:c>
      <x:c r="C2889" s="1" t="str">
        <x:v>Standard Class</x:v>
      </x:c>
      <x:c r="D2889" s="1" t="str">
        <x:v>Pacific Asia</x:v>
      </x:c>
      <x:c r="E2889" s="1" t="str">
        <x:v>COMPLETE</x:v>
      </x:c>
      <x:c r="F2889" s="1" t="str">
        <x:v>Advance shipping</x:v>
      </x:c>
      <x:c r="G2889" s="6" t="n">
        <x:v>2</x:v>
      </x:c>
      <x:c r="H2889" s="6" t="n">
        <x:v>4</x:v>
      </x:c>
      <x:c r="I2889" s="6" t="n">
        <x:f>G2889-H2889</x:f>
        <x:v>-2</x:v>
      </x:c>
      <x:c r="J2889" s="6" t="n">
        <x:f>IF(OR(E2889="CANCELED",E2889="SUSPECTED_FRAUD",F2889="Shipping canceled"),0,1)</x:f>
        <x:v>1</x:v>
      </x:c>
      <x:c r="K2889" s="6" t="n">
        <x:f>IF(G2889&gt;H2889,1,0)</x:f>
        <x:v>0</x:v>
      </x:c>
      <x:c r="L2889" s="6" t="n">
        <x:f>J2889*K2889</x:f>
        <x:v>0</x:v>
      </x:c>
    </x:row>
    <x:row r="2890">
      <x:c r="A2890" s="1" t="n">
        <x:v>21973</x:v>
      </x:c>
      <x:c r="B2890" s="5" t="d">
        <x:v>2015-11-17T00:00:00.000Z</x:v>
      </x:c>
      <x:c r="C2890" s="1" t="str">
        <x:v>Standard Class</x:v>
      </x:c>
      <x:c r="D2890" s="1" t="str">
        <x:v>Pacific Asia</x:v>
      </x:c>
      <x:c r="E2890" s="1" t="str">
        <x:v>PENDING</x:v>
      </x:c>
      <x:c r="F2890" s="1" t="str">
        <x:v>Shipping on time</x:v>
      </x:c>
      <x:c r="G2890" s="6" t="n">
        <x:v>4</x:v>
      </x:c>
      <x:c r="H2890" s="6" t="n">
        <x:v>4</x:v>
      </x:c>
      <x:c r="I2890" s="6" t="n">
        <x:f>G2890-H2890</x:f>
        <x:v>0</x:v>
      </x:c>
      <x:c r="J2890" s="6" t="n">
        <x:f>IF(OR(E2890="CANCELED",E2890="SUSPECTED_FRAUD",F2890="Shipping canceled"),0,1)</x:f>
        <x:v>1</x:v>
      </x:c>
      <x:c r="K2890" s="6" t="n">
        <x:f>IF(G2890&gt;H2890,1,0)</x:f>
        <x:v>0</x:v>
      </x:c>
      <x:c r="L2890" s="6" t="n">
        <x:f>J2890*K2890</x:f>
        <x:v>0</x:v>
      </x:c>
    </x:row>
    <x:row r="2891">
      <x:c r="A2891" s="1" t="n">
        <x:v>21980</x:v>
      </x:c>
      <x:c r="B2891" s="5" t="d">
        <x:v>2015-11-17T00:00:00.000Z</x:v>
      </x:c>
      <x:c r="C2891" s="1" t="str">
        <x:v>First Class</x:v>
      </x:c>
      <x:c r="D2891" s="1" t="str">
        <x:v>Pacific Asia</x:v>
      </x:c>
      <x:c r="E2891" s="1" t="str">
        <x:v>CLOSED</x:v>
      </x:c>
      <x:c r="F2891" s="1" t="str">
        <x:v>Late delivery</x:v>
      </x:c>
      <x:c r="G2891" s="6" t="n">
        <x:v>2</x:v>
      </x:c>
      <x:c r="H2891" s="6" t="n">
        <x:v>1</x:v>
      </x:c>
      <x:c r="I2891" s="6" t="n">
        <x:f>G2891-H2891</x:f>
        <x:v>1</x:v>
      </x:c>
      <x:c r="J2891" s="6" t="n">
        <x:f>IF(OR(E2891="CANCELED",E2891="SUSPECTED_FRAUD",F2891="Shipping canceled"),0,1)</x:f>
        <x:v>1</x:v>
      </x:c>
      <x:c r="K2891" s="6" t="n">
        <x:f>IF(G2891&gt;H2891,1,0)</x:f>
        <x:v>1</x:v>
      </x:c>
      <x:c r="L2891" s="6" t="n">
        <x:f>J2891*K2891</x:f>
        <x:v>1</x:v>
      </x:c>
    </x:row>
    <x:row r="2892">
      <x:c r="A2892" s="1" t="n">
        <x:v>21993</x:v>
      </x:c>
      <x:c r="B2892" s="5" t="d">
        <x:v>2015-11-18T00:00:00.000Z</x:v>
      </x:c>
      <x:c r="C2892" s="1" t="str">
        <x:v>Second Class</x:v>
      </x:c>
      <x:c r="D2892" s="1" t="str">
        <x:v>Pacific Asia</x:v>
      </x:c>
      <x:c r="E2892" s="1" t="str">
        <x:v>ON_HOLD</x:v>
      </x:c>
      <x:c r="F2892" s="1" t="str">
        <x:v>Late delivery</x:v>
      </x:c>
      <x:c r="G2892" s="6" t="n">
        <x:v>4</x:v>
      </x:c>
      <x:c r="H2892" s="6" t="n">
        <x:v>2</x:v>
      </x:c>
      <x:c r="I2892" s="6" t="n">
        <x:f>G2892-H2892</x:f>
        <x:v>2</x:v>
      </x:c>
      <x:c r="J2892" s="6" t="n">
        <x:f>IF(OR(E2892="CANCELED",E2892="SUSPECTED_FRAUD",F2892="Shipping canceled"),0,1)</x:f>
        <x:v>1</x:v>
      </x:c>
      <x:c r="K2892" s="6" t="n">
        <x:f>IF(G2892&gt;H2892,1,0)</x:f>
        <x:v>1</x:v>
      </x:c>
      <x:c r="L2892" s="6" t="n">
        <x:f>J2892*K2892</x:f>
        <x:v>1</x:v>
      </x:c>
    </x:row>
    <x:row r="2893">
      <x:c r="A2893" s="1" t="n">
        <x:v>22008</x:v>
      </x:c>
      <x:c r="B2893" s="5" t="d">
        <x:v>2015-11-18T00:00:00.000Z</x:v>
      </x:c>
      <x:c r="C2893" s="1" t="str">
        <x:v>Second Class</x:v>
      </x:c>
      <x:c r="D2893" s="1" t="str">
        <x:v>Pacific Asia</x:v>
      </x:c>
      <x:c r="E2893" s="1" t="str">
        <x:v>PROCESSING</x:v>
      </x:c>
      <x:c r="F2893" s="1" t="str">
        <x:v>Late delivery</x:v>
      </x:c>
      <x:c r="G2893" s="6" t="n">
        <x:v>4</x:v>
      </x:c>
      <x:c r="H2893" s="6" t="n">
        <x:v>2</x:v>
      </x:c>
      <x:c r="I2893" s="6" t="n">
        <x:f>G2893-H2893</x:f>
        <x:v>2</x:v>
      </x:c>
      <x:c r="J2893" s="6" t="n">
        <x:f>IF(OR(E2893="CANCELED",E2893="SUSPECTED_FRAUD",F2893="Shipping canceled"),0,1)</x:f>
        <x:v>1</x:v>
      </x:c>
      <x:c r="K2893" s="6" t="n">
        <x:f>IF(G2893&gt;H2893,1,0)</x:f>
        <x:v>1</x:v>
      </x:c>
      <x:c r="L2893" s="6" t="n">
        <x:f>J2893*K2893</x:f>
        <x:v>1</x:v>
      </x:c>
    </x:row>
    <x:row r="2894">
      <x:c r="A2894" s="1" t="n">
        <x:v>22012</x:v>
      </x:c>
      <x:c r="B2894" s="5" t="d">
        <x:v>2015-11-18T00:00:00.000Z</x:v>
      </x:c>
      <x:c r="C2894" s="1" t="str">
        <x:v>Second Class</x:v>
      </x:c>
      <x:c r="D2894" s="1" t="str">
        <x:v>Pacific Asia</x:v>
      </x:c>
      <x:c r="E2894" s="1" t="str">
        <x:v>CLOSED</x:v>
      </x:c>
      <x:c r="F2894" s="1" t="str">
        <x:v>Late delivery</x:v>
      </x:c>
      <x:c r="G2894" s="6" t="n">
        <x:v>3</x:v>
      </x:c>
      <x:c r="H2894" s="6" t="n">
        <x:v>2</x:v>
      </x:c>
      <x:c r="I2894" s="6" t="n">
        <x:f>G2894-H2894</x:f>
        <x:v>1</x:v>
      </x:c>
      <x:c r="J2894" s="6" t="n">
        <x:f>IF(OR(E2894="CANCELED",E2894="SUSPECTED_FRAUD",F2894="Shipping canceled"),0,1)</x:f>
        <x:v>1</x:v>
      </x:c>
      <x:c r="K2894" s="6" t="n">
        <x:f>IF(G2894&gt;H2894,1,0)</x:f>
        <x:v>1</x:v>
      </x:c>
      <x:c r="L2894" s="6" t="n">
        <x:f>J2894*K2894</x:f>
        <x:v>1</x:v>
      </x:c>
    </x:row>
    <x:row r="2895">
      <x:c r="A2895" s="1" t="n">
        <x:v>22019</x:v>
      </x:c>
      <x:c r="B2895" s="5" t="d">
        <x:v>2015-11-18T00:00:00.000Z</x:v>
      </x:c>
      <x:c r="C2895" s="1" t="str">
        <x:v>Standard Class</x:v>
      </x:c>
      <x:c r="D2895" s="1" t="str">
        <x:v>Pacific Asia</x:v>
      </x:c>
      <x:c r="E2895" s="1" t="str">
        <x:v>COMPLETE</x:v>
      </x:c>
      <x:c r="F2895" s="1" t="str">
        <x:v>Late delivery</x:v>
      </x:c>
      <x:c r="G2895" s="6" t="n">
        <x:v>5</x:v>
      </x:c>
      <x:c r="H2895" s="6" t="n">
        <x:v>4</x:v>
      </x:c>
      <x:c r="I2895" s="6" t="n">
        <x:f>G2895-H2895</x:f>
        <x:v>1</x:v>
      </x:c>
      <x:c r="J2895" s="6" t="n">
        <x:f>IF(OR(E2895="CANCELED",E2895="SUSPECTED_FRAUD",F2895="Shipping canceled"),0,1)</x:f>
        <x:v>1</x:v>
      </x:c>
      <x:c r="K2895" s="6" t="n">
        <x:f>IF(G2895&gt;H2895,1,0)</x:f>
        <x:v>1</x:v>
      </x:c>
      <x:c r="L2895" s="6" t="n">
        <x:f>J2895*K2895</x:f>
        <x:v>1</x:v>
      </x:c>
    </x:row>
    <x:row r="2896">
      <x:c r="A2896" s="1" t="n">
        <x:v>22033</x:v>
      </x:c>
      <x:c r="B2896" s="5" t="d">
        <x:v>2015-11-18T00:00:00.000Z</x:v>
      </x:c>
      <x:c r="C2896" s="1" t="str">
        <x:v>Standard Class</x:v>
      </x:c>
      <x:c r="D2896" s="1" t="str">
        <x:v>Pacific Asia</x:v>
      </x:c>
      <x:c r="E2896" s="1" t="str">
        <x:v>COMPLETE</x:v>
      </x:c>
      <x:c r="F2896" s="1" t="str">
        <x:v>Shipping on time</x:v>
      </x:c>
      <x:c r="G2896" s="6" t="n">
        <x:v>4</x:v>
      </x:c>
      <x:c r="H2896" s="6" t="n">
        <x:v>4</x:v>
      </x:c>
      <x:c r="I2896" s="6" t="n">
        <x:f>G2896-H2896</x:f>
        <x:v>0</x:v>
      </x:c>
      <x:c r="J2896" s="6" t="n">
        <x:f>IF(OR(E2896="CANCELED",E2896="SUSPECTED_FRAUD",F2896="Shipping canceled"),0,1)</x:f>
        <x:v>1</x:v>
      </x:c>
      <x:c r="K2896" s="6" t="n">
        <x:f>IF(G2896&gt;H2896,1,0)</x:f>
        <x:v>0</x:v>
      </x:c>
      <x:c r="L2896" s="6" t="n">
        <x:f>J2896*K2896</x:f>
        <x:v>0</x:v>
      </x:c>
    </x:row>
    <x:row r="2897">
      <x:c r="A2897" s="1" t="n">
        <x:v>22044</x:v>
      </x:c>
      <x:c r="B2897" s="5" t="d">
        <x:v>2015-11-18T00:00:00.000Z</x:v>
      </x:c>
      <x:c r="C2897" s="1" t="str">
        <x:v>Standard Class</x:v>
      </x:c>
      <x:c r="D2897" s="1" t="str">
        <x:v>Pacific Asia</x:v>
      </x:c>
      <x:c r="E2897" s="1" t="str">
        <x:v>PROCESSING</x:v>
      </x:c>
      <x:c r="F2897" s="1" t="str">
        <x:v>Late delivery</x:v>
      </x:c>
      <x:c r="G2897" s="6" t="n">
        <x:v>5</x:v>
      </x:c>
      <x:c r="H2897" s="6" t="n">
        <x:v>4</x:v>
      </x:c>
      <x:c r="I2897" s="6" t="n">
        <x:f>G2897-H2897</x:f>
        <x:v>1</x:v>
      </x:c>
      <x:c r="J2897" s="6" t="n">
        <x:f>IF(OR(E2897="CANCELED",E2897="SUSPECTED_FRAUD",F2897="Shipping canceled"),0,1)</x:f>
        <x:v>1</x:v>
      </x:c>
      <x:c r="K2897" s="6" t="n">
        <x:f>IF(G2897&gt;H2897,1,0)</x:f>
        <x:v>1</x:v>
      </x:c>
      <x:c r="L2897" s="6" t="n">
        <x:f>J2897*K2897</x:f>
        <x:v>1</x:v>
      </x:c>
    </x:row>
    <x:row r="2898">
      <x:c r="A2898" s="1" t="n">
        <x:v>22052</x:v>
      </x:c>
      <x:c r="B2898" s="5" t="d">
        <x:v>2015-11-18T00:00:00.000Z</x:v>
      </x:c>
      <x:c r="C2898" s="1" t="str">
        <x:v>Standard Class</x:v>
      </x:c>
      <x:c r="D2898" s="1" t="str">
        <x:v>Pacific Asia</x:v>
      </x:c>
      <x:c r="E2898" s="1" t="str">
        <x:v>COMPLETE</x:v>
      </x:c>
      <x:c r="F2898" s="1" t="str">
        <x:v>Advance shipping</x:v>
      </x:c>
      <x:c r="G2898" s="6" t="n">
        <x:v>3</x:v>
      </x:c>
      <x:c r="H2898" s="6" t="n">
        <x:v>4</x:v>
      </x:c>
      <x:c r="I2898" s="6" t="n">
        <x:f>G2898-H2898</x:f>
        <x:v>-1</x:v>
      </x:c>
      <x:c r="J2898" s="6" t="n">
        <x:f>IF(OR(E2898="CANCELED",E2898="SUSPECTED_FRAUD",F2898="Shipping canceled"),0,1)</x:f>
        <x:v>1</x:v>
      </x:c>
      <x:c r="K2898" s="6" t="n">
        <x:f>IF(G2898&gt;H2898,1,0)</x:f>
        <x:v>0</x:v>
      </x:c>
      <x:c r="L2898" s="6" t="n">
        <x:f>J2898*K2898</x:f>
        <x:v>0</x:v>
      </x:c>
    </x:row>
    <x:row r="2899">
      <x:c r="A2899" s="1" t="n">
        <x:v>22061</x:v>
      </x:c>
      <x:c r="B2899" s="5" t="d">
        <x:v>2015-11-19T00:00:00.000Z</x:v>
      </x:c>
      <x:c r="C2899" s="1" t="str">
        <x:v>First Class</x:v>
      </x:c>
      <x:c r="D2899" s="1" t="str">
        <x:v>Pacific Asia</x:v>
      </x:c>
      <x:c r="E2899" s="1" t="str">
        <x:v>CLOSED</x:v>
      </x:c>
      <x:c r="F2899" s="1" t="str">
        <x:v>Late delivery</x:v>
      </x:c>
      <x:c r="G2899" s="6" t="n">
        <x:v>2</x:v>
      </x:c>
      <x:c r="H2899" s="6" t="n">
        <x:v>1</x:v>
      </x:c>
      <x:c r="I2899" s="6" t="n">
        <x:f>G2899-H2899</x:f>
        <x:v>1</x:v>
      </x:c>
      <x:c r="J2899" s="6" t="n">
        <x:f>IF(OR(E2899="CANCELED",E2899="SUSPECTED_FRAUD",F2899="Shipping canceled"),0,1)</x:f>
        <x:v>1</x:v>
      </x:c>
      <x:c r="K2899" s="6" t="n">
        <x:f>IF(G2899&gt;H2899,1,0)</x:f>
        <x:v>1</x:v>
      </x:c>
      <x:c r="L2899" s="6" t="n">
        <x:f>J2899*K2899</x:f>
        <x:v>1</x:v>
      </x:c>
    </x:row>
    <x:row r="2900">
      <x:c r="A2900" s="1" t="n">
        <x:v>22063</x:v>
      </x:c>
      <x:c r="B2900" s="5" t="d">
        <x:v>2015-11-19T00:00:00.000Z</x:v>
      </x:c>
      <x:c r="C2900" s="1" t="str">
        <x:v>Standard Class</x:v>
      </x:c>
      <x:c r="D2900" s="1" t="str">
        <x:v>Pacific Asia</x:v>
      </x:c>
      <x:c r="E2900" s="1" t="str">
        <x:v>COMPLETE</x:v>
      </x:c>
      <x:c r="F2900" s="1" t="str">
        <x:v>Shipping on time</x:v>
      </x:c>
      <x:c r="G2900" s="6" t="n">
        <x:v>4</x:v>
      </x:c>
      <x:c r="H2900" s="6" t="n">
        <x:v>4</x:v>
      </x:c>
      <x:c r="I2900" s="6" t="n">
        <x:f>G2900-H2900</x:f>
        <x:v>0</x:v>
      </x:c>
      <x:c r="J2900" s="6" t="n">
        <x:f>IF(OR(E2900="CANCELED",E2900="SUSPECTED_FRAUD",F2900="Shipping canceled"),0,1)</x:f>
        <x:v>1</x:v>
      </x:c>
      <x:c r="K2900" s="6" t="n">
        <x:f>IF(G2900&gt;H2900,1,0)</x:f>
        <x:v>0</x:v>
      </x:c>
      <x:c r="L2900" s="6" t="n">
        <x:f>J2900*K2900</x:f>
        <x:v>0</x:v>
      </x:c>
    </x:row>
    <x:row r="2901">
      <x:c r="A2901" s="1" t="n">
        <x:v>22076</x:v>
      </x:c>
      <x:c r="B2901" s="5" t="d">
        <x:v>2015-11-19T00:00:00.000Z</x:v>
      </x:c>
      <x:c r="C2901" s="1" t="str">
        <x:v>Second Class</x:v>
      </x:c>
      <x:c r="D2901" s="1" t="str">
        <x:v>Pacific Asia</x:v>
      </x:c>
      <x:c r="E2901" s="1" t="str">
        <x:v>PENDING_PAYMENT</x:v>
      </x:c>
      <x:c r="F2901" s="1" t="str">
        <x:v>Shipping on time</x:v>
      </x:c>
      <x:c r="G2901" s="6" t="n">
        <x:v>2</x:v>
      </x:c>
      <x:c r="H2901" s="6" t="n">
        <x:v>2</x:v>
      </x:c>
      <x:c r="I2901" s="6" t="n">
        <x:f>G2901-H2901</x:f>
        <x:v>0</x:v>
      </x:c>
      <x:c r="J2901" s="6" t="n">
        <x:f>IF(OR(E2901="CANCELED",E2901="SUSPECTED_FRAUD",F2901="Shipping canceled"),0,1)</x:f>
        <x:v>1</x:v>
      </x:c>
      <x:c r="K2901" s="6" t="n">
        <x:f>IF(G2901&gt;H2901,1,0)</x:f>
        <x:v>0</x:v>
      </x:c>
      <x:c r="L2901" s="6" t="n">
        <x:f>J2901*K2901</x:f>
        <x:v>0</x:v>
      </x:c>
    </x:row>
    <x:row r="2902">
      <x:c r="A2902" s="1" t="n">
        <x:v>22078</x:v>
      </x:c>
      <x:c r="B2902" s="5" t="d">
        <x:v>2015-11-19T00:00:00.000Z</x:v>
      </x:c>
      <x:c r="C2902" s="1" t="str">
        <x:v>Standard Class</x:v>
      </x:c>
      <x:c r="D2902" s="1" t="str">
        <x:v>Pacific Asia</x:v>
      </x:c>
      <x:c r="E2902" s="1" t="str">
        <x:v>PENDING_PAYMENT</x:v>
      </x:c>
      <x:c r="F2902" s="1" t="str">
        <x:v>Shipping on time</x:v>
      </x:c>
      <x:c r="G2902" s="6" t="n">
        <x:v>4</x:v>
      </x:c>
      <x:c r="H2902" s="6" t="n">
        <x:v>4</x:v>
      </x:c>
      <x:c r="I2902" s="6" t="n">
        <x:f>G2902-H2902</x:f>
        <x:v>0</x:v>
      </x:c>
      <x:c r="J2902" s="6" t="n">
        <x:f>IF(OR(E2902="CANCELED",E2902="SUSPECTED_FRAUD",F2902="Shipping canceled"),0,1)</x:f>
        <x:v>1</x:v>
      </x:c>
      <x:c r="K2902" s="6" t="n">
        <x:f>IF(G2902&gt;H2902,1,0)</x:f>
        <x:v>0</x:v>
      </x:c>
      <x:c r="L2902" s="6" t="n">
        <x:f>J2902*K2902</x:f>
        <x:v>0</x:v>
      </x:c>
    </x:row>
    <x:row r="2903">
      <x:c r="A2903" s="1" t="n">
        <x:v>22080</x:v>
      </x:c>
      <x:c r="B2903" s="5" t="d">
        <x:v>2015-11-19T00:00:00.000Z</x:v>
      </x:c>
      <x:c r="C2903" s="1" t="str">
        <x:v>Standard Class</x:v>
      </x:c>
      <x:c r="D2903" s="1" t="str">
        <x:v>Pacific Asia</x:v>
      </x:c>
      <x:c r="E2903" s="1" t="str">
        <x:v>PENDING_PAYMENT</x:v>
      </x:c>
      <x:c r="F2903" s="1" t="str">
        <x:v>Late delivery</x:v>
      </x:c>
      <x:c r="G2903" s="6" t="n">
        <x:v>6</x:v>
      </x:c>
      <x:c r="H2903" s="6" t="n">
        <x:v>4</x:v>
      </x:c>
      <x:c r="I2903" s="6" t="n">
        <x:f>G2903-H2903</x:f>
        <x:v>2</x:v>
      </x:c>
      <x:c r="J2903" s="6" t="n">
        <x:f>IF(OR(E2903="CANCELED",E2903="SUSPECTED_FRAUD",F2903="Shipping canceled"),0,1)</x:f>
        <x:v>1</x:v>
      </x:c>
      <x:c r="K2903" s="6" t="n">
        <x:f>IF(G2903&gt;H2903,1,0)</x:f>
        <x:v>1</x:v>
      </x:c>
      <x:c r="L2903" s="6" t="n">
        <x:f>J2903*K2903</x:f>
        <x:v>1</x:v>
      </x:c>
    </x:row>
    <x:row r="2904">
      <x:c r="A2904" s="1" t="n">
        <x:v>22081</x:v>
      </x:c>
      <x:c r="B2904" s="5" t="d">
        <x:v>2015-11-19T00:00:00.000Z</x:v>
      </x:c>
      <x:c r="C2904" s="1" t="str">
        <x:v>Standard Class</x:v>
      </x:c>
      <x:c r="D2904" s="1" t="str">
        <x:v>Pacific Asia</x:v>
      </x:c>
      <x:c r="E2904" s="1" t="str">
        <x:v>PENDING_PAYMENT</x:v>
      </x:c>
      <x:c r="F2904" s="1" t="str">
        <x:v>Advance shipping</x:v>
      </x:c>
      <x:c r="G2904" s="6" t="n">
        <x:v>2</x:v>
      </x:c>
      <x:c r="H2904" s="6" t="n">
        <x:v>4</x:v>
      </x:c>
      <x:c r="I2904" s="6" t="n">
        <x:f>G2904-H2904</x:f>
        <x:v>-2</x:v>
      </x:c>
      <x:c r="J2904" s="6" t="n">
        <x:f>IF(OR(E2904="CANCELED",E2904="SUSPECTED_FRAUD",F2904="Shipping canceled"),0,1)</x:f>
        <x:v>1</x:v>
      </x:c>
      <x:c r="K2904" s="6" t="n">
        <x:f>IF(G2904&gt;H2904,1,0)</x:f>
        <x:v>0</x:v>
      </x:c>
      <x:c r="L2904" s="6" t="n">
        <x:f>J2904*K2904</x:f>
        <x:v>0</x:v>
      </x:c>
    </x:row>
    <x:row r="2905">
      <x:c r="A2905" s="1" t="n">
        <x:v>22091</x:v>
      </x:c>
      <x:c r="B2905" s="5" t="d">
        <x:v>2015-11-19T00:00:00.000Z</x:v>
      </x:c>
      <x:c r="C2905" s="1" t="str">
        <x:v>Standard Class</x:v>
      </x:c>
      <x:c r="D2905" s="1" t="str">
        <x:v>Pacific Asia</x:v>
      </x:c>
      <x:c r="E2905" s="1" t="str">
        <x:v>CLOSED</x:v>
      </x:c>
      <x:c r="F2905" s="1" t="str">
        <x:v>Advance shipping</x:v>
      </x:c>
      <x:c r="G2905" s="6" t="n">
        <x:v>2</x:v>
      </x:c>
      <x:c r="H2905" s="6" t="n">
        <x:v>4</x:v>
      </x:c>
      <x:c r="I2905" s="6" t="n">
        <x:f>G2905-H2905</x:f>
        <x:v>-2</x:v>
      </x:c>
      <x:c r="J2905" s="6" t="n">
        <x:f>IF(OR(E2905="CANCELED",E2905="SUSPECTED_FRAUD",F2905="Shipping canceled"),0,1)</x:f>
        <x:v>1</x:v>
      </x:c>
      <x:c r="K2905" s="6" t="n">
        <x:f>IF(G2905&gt;H2905,1,0)</x:f>
        <x:v>0</x:v>
      </x:c>
      <x:c r="L2905" s="6" t="n">
        <x:f>J2905*K2905</x:f>
        <x:v>0</x:v>
      </x:c>
    </x:row>
    <x:row r="2906">
      <x:c r="A2906" s="1" t="n">
        <x:v>22099</x:v>
      </x:c>
      <x:c r="B2906" s="5" t="d">
        <x:v>2015-11-19T00:00:00.000Z</x:v>
      </x:c>
      <x:c r="C2906" s="1" t="str">
        <x:v>Standard Class</x:v>
      </x:c>
      <x:c r="D2906" s="1" t="str">
        <x:v>Pacific Asia</x:v>
      </x:c>
      <x:c r="E2906" s="1" t="str">
        <x:v>ON_HOLD</x:v>
      </x:c>
      <x:c r="F2906" s="1" t="str">
        <x:v>Late delivery</x:v>
      </x:c>
      <x:c r="G2906" s="6" t="n">
        <x:v>5</x:v>
      </x:c>
      <x:c r="H2906" s="6" t="n">
        <x:v>4</x:v>
      </x:c>
      <x:c r="I2906" s="6" t="n">
        <x:f>G2906-H2906</x:f>
        <x:v>1</x:v>
      </x:c>
      <x:c r="J2906" s="6" t="n">
        <x:f>IF(OR(E2906="CANCELED",E2906="SUSPECTED_FRAUD",F2906="Shipping canceled"),0,1)</x:f>
        <x:v>1</x:v>
      </x:c>
      <x:c r="K2906" s="6" t="n">
        <x:f>IF(G2906&gt;H2906,1,0)</x:f>
        <x:v>1</x:v>
      </x:c>
      <x:c r="L2906" s="6" t="n">
        <x:f>J2906*K2906</x:f>
        <x:v>1</x:v>
      </x:c>
    </x:row>
    <x:row r="2907">
      <x:c r="A2907" s="1" t="n">
        <x:v>22100</x:v>
      </x:c>
      <x:c r="B2907" s="5" t="d">
        <x:v>2015-11-19T00:00:00.000Z</x:v>
      </x:c>
      <x:c r="C2907" s="1" t="str">
        <x:v>Standard Class</x:v>
      </x:c>
      <x:c r="D2907" s="1" t="str">
        <x:v>Pacific Asia</x:v>
      </x:c>
      <x:c r="E2907" s="1" t="str">
        <x:v>PENDING_PAYMENT</x:v>
      </x:c>
      <x:c r="F2907" s="1" t="str">
        <x:v>Late delivery</x:v>
      </x:c>
      <x:c r="G2907" s="6" t="n">
        <x:v>6</x:v>
      </x:c>
      <x:c r="H2907" s="6" t="n">
        <x:v>4</x:v>
      </x:c>
      <x:c r="I2907" s="6" t="n">
        <x:f>G2907-H2907</x:f>
        <x:v>2</x:v>
      </x:c>
      <x:c r="J2907" s="6" t="n">
        <x:f>IF(OR(E2907="CANCELED",E2907="SUSPECTED_FRAUD",F2907="Shipping canceled"),0,1)</x:f>
        <x:v>1</x:v>
      </x:c>
      <x:c r="K2907" s="6" t="n">
        <x:f>IF(G2907&gt;H2907,1,0)</x:f>
        <x:v>1</x:v>
      </x:c>
      <x:c r="L2907" s="6" t="n">
        <x:f>J2907*K2907</x:f>
        <x:v>1</x:v>
      </x:c>
    </x:row>
    <x:row r="2908">
      <x:c r="A2908" s="1" t="n">
        <x:v>22101</x:v>
      </x:c>
      <x:c r="B2908" s="5" t="d">
        <x:v>2015-11-19T00:00:00.000Z</x:v>
      </x:c>
      <x:c r="C2908" s="1" t="str">
        <x:v>Standard Class</x:v>
      </x:c>
      <x:c r="D2908" s="1" t="str">
        <x:v>Pacific Asia</x:v>
      </x:c>
      <x:c r="E2908" s="1" t="str">
        <x:v>PROCESSING</x:v>
      </x:c>
      <x:c r="F2908" s="1" t="str">
        <x:v>Advance shipping</x:v>
      </x:c>
      <x:c r="G2908" s="6" t="n">
        <x:v>2</x:v>
      </x:c>
      <x:c r="H2908" s="6" t="n">
        <x:v>4</x:v>
      </x:c>
      <x:c r="I2908" s="6" t="n">
        <x:f>G2908-H2908</x:f>
        <x:v>-2</x:v>
      </x:c>
      <x:c r="J2908" s="6" t="n">
        <x:f>IF(OR(E2908="CANCELED",E2908="SUSPECTED_FRAUD",F2908="Shipping canceled"),0,1)</x:f>
        <x:v>1</x:v>
      </x:c>
      <x:c r="K2908" s="6" t="n">
        <x:f>IF(G2908&gt;H2908,1,0)</x:f>
        <x:v>0</x:v>
      </x:c>
      <x:c r="L2908" s="6" t="n">
        <x:f>J2908*K2908</x:f>
        <x:v>0</x:v>
      </x:c>
    </x:row>
    <x:row r="2909">
      <x:c r="A2909" s="1" t="n">
        <x:v>22102</x:v>
      </x:c>
      <x:c r="B2909" s="5" t="d">
        <x:v>2015-11-19T00:00:00.000Z</x:v>
      </x:c>
      <x:c r="C2909" s="1" t="str">
        <x:v>Standard Class</x:v>
      </x:c>
      <x:c r="D2909" s="1" t="str">
        <x:v>Pacific Asia</x:v>
      </x:c>
      <x:c r="E2909" s="1" t="str">
        <x:v>PENDING_PAYMENT</x:v>
      </x:c>
      <x:c r="F2909" s="1" t="str">
        <x:v>Advance shipping</x:v>
      </x:c>
      <x:c r="G2909" s="6" t="n">
        <x:v>3</x:v>
      </x:c>
      <x:c r="H2909" s="6" t="n">
        <x:v>4</x:v>
      </x:c>
      <x:c r="I2909" s="6" t="n">
        <x:f>G2909-H2909</x:f>
        <x:v>-1</x:v>
      </x:c>
      <x:c r="J2909" s="6" t="n">
        <x:f>IF(OR(E2909="CANCELED",E2909="SUSPECTED_FRAUD",F2909="Shipping canceled"),0,1)</x:f>
        <x:v>1</x:v>
      </x:c>
      <x:c r="K2909" s="6" t="n">
        <x:f>IF(G2909&gt;H2909,1,0)</x:f>
        <x:v>0</x:v>
      </x:c>
      <x:c r="L2909" s="6" t="n">
        <x:f>J2909*K2909</x:f>
        <x:v>0</x:v>
      </x:c>
    </x:row>
    <x:row r="2910">
      <x:c r="A2910" s="1" t="n">
        <x:v>22107</x:v>
      </x:c>
      <x:c r="B2910" s="5" t="d">
        <x:v>2015-11-19T00:00:00.000Z</x:v>
      </x:c>
      <x:c r="C2910" s="1" t="str">
        <x:v>First Class</x:v>
      </x:c>
      <x:c r="D2910" s="1" t="str">
        <x:v>Pacific Asia</x:v>
      </x:c>
      <x:c r="E2910" s="1" t="str">
        <x:v>CLOSED</x:v>
      </x:c>
      <x:c r="F2910" s="1" t="str">
        <x:v>Late delivery</x:v>
      </x:c>
      <x:c r="G2910" s="6" t="n">
        <x:v>2</x:v>
      </x:c>
      <x:c r="H2910" s="6" t="n">
        <x:v>1</x:v>
      </x:c>
      <x:c r="I2910" s="6" t="n">
        <x:f>G2910-H2910</x:f>
        <x:v>1</x:v>
      </x:c>
      <x:c r="J2910" s="6" t="n">
        <x:f>IF(OR(E2910="CANCELED",E2910="SUSPECTED_FRAUD",F2910="Shipping canceled"),0,1)</x:f>
        <x:v>1</x:v>
      </x:c>
      <x:c r="K2910" s="6" t="n">
        <x:f>IF(G2910&gt;H2910,1,0)</x:f>
        <x:v>1</x:v>
      </x:c>
      <x:c r="L2910" s="6" t="n">
        <x:f>J2910*K2910</x:f>
        <x:v>1</x:v>
      </x:c>
    </x:row>
    <x:row r="2911">
      <x:c r="A2911" s="1" t="n">
        <x:v>22114</x:v>
      </x:c>
      <x:c r="B2911" s="5" t="d">
        <x:v>2015-11-19T00:00:00.000Z</x:v>
      </x:c>
      <x:c r="C2911" s="1" t="str">
        <x:v>Standard Class</x:v>
      </x:c>
      <x:c r="D2911" s="1" t="str">
        <x:v>Pacific Asia</x:v>
      </x:c>
      <x:c r="E2911" s="1" t="str">
        <x:v>CLOSED</x:v>
      </x:c>
      <x:c r="F2911" s="1" t="str">
        <x:v>Late delivery</x:v>
      </x:c>
      <x:c r="G2911" s="6" t="n">
        <x:v>5</x:v>
      </x:c>
      <x:c r="H2911" s="6" t="n">
        <x:v>4</x:v>
      </x:c>
      <x:c r="I2911" s="6" t="n">
        <x:f>G2911-H2911</x:f>
        <x:v>1</x:v>
      </x:c>
      <x:c r="J2911" s="6" t="n">
        <x:f>IF(OR(E2911="CANCELED",E2911="SUSPECTED_FRAUD",F2911="Shipping canceled"),0,1)</x:f>
        <x:v>1</x:v>
      </x:c>
      <x:c r="K2911" s="6" t="n">
        <x:f>IF(G2911&gt;H2911,1,0)</x:f>
        <x:v>1</x:v>
      </x:c>
      <x:c r="L2911" s="6" t="n">
        <x:f>J2911*K2911</x:f>
        <x:v>1</x:v>
      </x:c>
    </x:row>
    <x:row r="2912">
      <x:c r="A2912" s="1" t="n">
        <x:v>22115</x:v>
      </x:c>
      <x:c r="B2912" s="5" t="d">
        <x:v>2015-11-19T00:00:00.000Z</x:v>
      </x:c>
      <x:c r="C2912" s="1" t="str">
        <x:v>Standard Class</x:v>
      </x:c>
      <x:c r="D2912" s="1" t="str">
        <x:v>Pacific Asia</x:v>
      </x:c>
      <x:c r="E2912" s="1" t="str">
        <x:v>PROCESSING</x:v>
      </x:c>
      <x:c r="F2912" s="1" t="str">
        <x:v>Late delivery</x:v>
      </x:c>
      <x:c r="G2912" s="6" t="n">
        <x:v>6</x:v>
      </x:c>
      <x:c r="H2912" s="6" t="n">
        <x:v>4</x:v>
      </x:c>
      <x:c r="I2912" s="6" t="n">
        <x:f>G2912-H2912</x:f>
        <x:v>2</x:v>
      </x:c>
      <x:c r="J2912" s="6" t="n">
        <x:f>IF(OR(E2912="CANCELED",E2912="SUSPECTED_FRAUD",F2912="Shipping canceled"),0,1)</x:f>
        <x:v>1</x:v>
      </x:c>
      <x:c r="K2912" s="6" t="n">
        <x:f>IF(G2912&gt;H2912,1,0)</x:f>
        <x:v>1</x:v>
      </x:c>
      <x:c r="L2912" s="6" t="n">
        <x:f>J2912*K2912</x:f>
        <x:v>1</x:v>
      </x:c>
    </x:row>
    <x:row r="2913">
      <x:c r="A2913" s="1" t="n">
        <x:v>22116</x:v>
      </x:c>
      <x:c r="B2913" s="5" t="d">
        <x:v>2015-11-19T00:00:00.000Z</x:v>
      </x:c>
      <x:c r="C2913" s="1" t="str">
        <x:v>Standard Class</x:v>
      </x:c>
      <x:c r="D2913" s="1" t="str">
        <x:v>Pacific Asia</x:v>
      </x:c>
      <x:c r="E2913" s="1" t="str">
        <x:v>CLOSED</x:v>
      </x:c>
      <x:c r="F2913" s="1" t="str">
        <x:v>Advance shipping</x:v>
      </x:c>
      <x:c r="G2913" s="6" t="n">
        <x:v>2</x:v>
      </x:c>
      <x:c r="H2913" s="6" t="n">
        <x:v>4</x:v>
      </x:c>
      <x:c r="I2913" s="6" t="n">
        <x:f>G2913-H2913</x:f>
        <x:v>-2</x:v>
      </x:c>
      <x:c r="J2913" s="6" t="n">
        <x:f>IF(OR(E2913="CANCELED",E2913="SUSPECTED_FRAUD",F2913="Shipping canceled"),0,1)</x:f>
        <x:v>1</x:v>
      </x:c>
      <x:c r="K2913" s="6" t="n">
        <x:f>IF(G2913&gt;H2913,1,0)</x:f>
        <x:v>0</x:v>
      </x:c>
      <x:c r="L2913" s="6" t="n">
        <x:f>J2913*K2913</x:f>
        <x:v>0</x:v>
      </x:c>
    </x:row>
    <x:row r="2914">
      <x:c r="A2914" s="1" t="n">
        <x:v>22117</x:v>
      </x:c>
      <x:c r="B2914" s="5" t="d">
        <x:v>2015-11-19T00:00:00.000Z</x:v>
      </x:c>
      <x:c r="C2914" s="1" t="str">
        <x:v>Standard Class</x:v>
      </x:c>
      <x:c r="D2914" s="1" t="str">
        <x:v>Pacific Asia</x:v>
      </x:c>
      <x:c r="E2914" s="1" t="str">
        <x:v>COMPLETE</x:v>
      </x:c>
      <x:c r="F2914" s="1" t="str">
        <x:v>Advance shipping</x:v>
      </x:c>
      <x:c r="G2914" s="6" t="n">
        <x:v>3</x:v>
      </x:c>
      <x:c r="H2914" s="6" t="n">
        <x:v>4</x:v>
      </x:c>
      <x:c r="I2914" s="6" t="n">
        <x:f>G2914-H2914</x:f>
        <x:v>-1</x:v>
      </x:c>
      <x:c r="J2914" s="6" t="n">
        <x:f>IF(OR(E2914="CANCELED",E2914="SUSPECTED_FRAUD",F2914="Shipping canceled"),0,1)</x:f>
        <x:v>1</x:v>
      </x:c>
      <x:c r="K2914" s="6" t="n">
        <x:f>IF(G2914&gt;H2914,1,0)</x:f>
        <x:v>0</x:v>
      </x:c>
      <x:c r="L2914" s="6" t="n">
        <x:f>J2914*K2914</x:f>
        <x:v>0</x:v>
      </x:c>
    </x:row>
    <x:row r="2915">
      <x:c r="A2915" s="1" t="n">
        <x:v>22124</x:v>
      </x:c>
      <x:c r="B2915" s="5" t="d">
        <x:v>2015-11-19T00:00:00.000Z</x:v>
      </x:c>
      <x:c r="C2915" s="1" t="str">
        <x:v>Standard Class</x:v>
      </x:c>
      <x:c r="D2915" s="1" t="str">
        <x:v>Pacific Asia</x:v>
      </x:c>
      <x:c r="E2915" s="1" t="str">
        <x:v>COMPLETE</x:v>
      </x:c>
      <x:c r="F2915" s="1" t="str">
        <x:v>Late delivery</x:v>
      </x:c>
      <x:c r="G2915" s="6" t="n">
        <x:v>5</x:v>
      </x:c>
      <x:c r="H2915" s="6" t="n">
        <x:v>4</x:v>
      </x:c>
      <x:c r="I2915" s="6" t="n">
        <x:f>G2915-H2915</x:f>
        <x:v>1</x:v>
      </x:c>
      <x:c r="J2915" s="6" t="n">
        <x:f>IF(OR(E2915="CANCELED",E2915="SUSPECTED_FRAUD",F2915="Shipping canceled"),0,1)</x:f>
        <x:v>1</x:v>
      </x:c>
      <x:c r="K2915" s="6" t="n">
        <x:f>IF(G2915&gt;H2915,1,0)</x:f>
        <x:v>1</x:v>
      </x:c>
      <x:c r="L2915" s="6" t="n">
        <x:f>J2915*K2915</x:f>
        <x:v>1</x:v>
      </x:c>
    </x:row>
    <x:row r="2916">
      <x:c r="A2916" s="1" t="n">
        <x:v>22131</x:v>
      </x:c>
      <x:c r="B2916" s="5" t="d">
        <x:v>2015-11-20T00:00:00.000Z</x:v>
      </x:c>
      <x:c r="C2916" s="1" t="str">
        <x:v>First Class</x:v>
      </x:c>
      <x:c r="D2916" s="1" t="str">
        <x:v>Pacific Asia</x:v>
      </x:c>
      <x:c r="E2916" s="1" t="str">
        <x:v>PENDING</x:v>
      </x:c>
      <x:c r="F2916" s="1" t="str">
        <x:v>Late delivery</x:v>
      </x:c>
      <x:c r="G2916" s="6" t="n">
        <x:v>2</x:v>
      </x:c>
      <x:c r="H2916" s="6" t="n">
        <x:v>1</x:v>
      </x:c>
      <x:c r="I2916" s="6" t="n">
        <x:f>G2916-H2916</x:f>
        <x:v>1</x:v>
      </x:c>
      <x:c r="J2916" s="6" t="n">
        <x:f>IF(OR(E2916="CANCELED",E2916="SUSPECTED_FRAUD",F2916="Shipping canceled"),0,1)</x:f>
        <x:v>1</x:v>
      </x:c>
      <x:c r="K2916" s="6" t="n">
        <x:f>IF(G2916&gt;H2916,1,0)</x:f>
        <x:v>1</x:v>
      </x:c>
      <x:c r="L2916" s="6" t="n">
        <x:f>J2916*K2916</x:f>
        <x:v>1</x:v>
      </x:c>
    </x:row>
    <x:row r="2917">
      <x:c r="A2917" s="1" t="n">
        <x:v>22134</x:v>
      </x:c>
      <x:c r="B2917" s="5" t="d">
        <x:v>2015-11-20T00:00:00.000Z</x:v>
      </x:c>
      <x:c r="C2917" s="1" t="str">
        <x:v>Standard Class</x:v>
      </x:c>
      <x:c r="D2917" s="1" t="str">
        <x:v>Pacific Asia</x:v>
      </x:c>
      <x:c r="E2917" s="1" t="str">
        <x:v>PROCESSING</x:v>
      </x:c>
      <x:c r="F2917" s="1" t="str">
        <x:v>Late delivery</x:v>
      </x:c>
      <x:c r="G2917" s="6" t="n">
        <x:v>5</x:v>
      </x:c>
      <x:c r="H2917" s="6" t="n">
        <x:v>4</x:v>
      </x:c>
      <x:c r="I2917" s="6" t="n">
        <x:f>G2917-H2917</x:f>
        <x:v>1</x:v>
      </x:c>
      <x:c r="J2917" s="6" t="n">
        <x:f>IF(OR(E2917="CANCELED",E2917="SUSPECTED_FRAUD",F2917="Shipping canceled"),0,1)</x:f>
        <x:v>1</x:v>
      </x:c>
      <x:c r="K2917" s="6" t="n">
        <x:f>IF(G2917&gt;H2917,1,0)</x:f>
        <x:v>1</x:v>
      </x:c>
      <x:c r="L2917" s="6" t="n">
        <x:f>J2917*K2917</x:f>
        <x:v>1</x:v>
      </x:c>
    </x:row>
    <x:row r="2918">
      <x:c r="A2918" s="1" t="n">
        <x:v>22142</x:v>
      </x:c>
      <x:c r="B2918" s="5" t="d">
        <x:v>2015-11-20T00:00:00.000Z</x:v>
      </x:c>
      <x:c r="C2918" s="1" t="str">
        <x:v>Standard Class</x:v>
      </x:c>
      <x:c r="D2918" s="1" t="str">
        <x:v>Pacific Asia</x:v>
      </x:c>
      <x:c r="E2918" s="1" t="str">
        <x:v>COMPLETE</x:v>
      </x:c>
      <x:c r="F2918" s="1" t="str">
        <x:v>Advance shipping</x:v>
      </x:c>
      <x:c r="G2918" s="6" t="n">
        <x:v>3</x:v>
      </x:c>
      <x:c r="H2918" s="6" t="n">
        <x:v>4</x:v>
      </x:c>
      <x:c r="I2918" s="6" t="n">
        <x:f>G2918-H2918</x:f>
        <x:v>-1</x:v>
      </x:c>
      <x:c r="J2918" s="6" t="n">
        <x:f>IF(OR(E2918="CANCELED",E2918="SUSPECTED_FRAUD",F2918="Shipping canceled"),0,1)</x:f>
        <x:v>1</x:v>
      </x:c>
      <x:c r="K2918" s="6" t="n">
        <x:f>IF(G2918&gt;H2918,1,0)</x:f>
        <x:v>0</x:v>
      </x:c>
      <x:c r="L2918" s="6" t="n">
        <x:f>J2918*K2918</x:f>
        <x:v>0</x:v>
      </x:c>
    </x:row>
    <x:row r="2919">
      <x:c r="A2919" s="1" t="n">
        <x:v>22171</x:v>
      </x:c>
      <x:c r="B2919" s="5" t="d">
        <x:v>2015-11-20T00:00:00.000Z</x:v>
      </x:c>
      <x:c r="C2919" s="1" t="str">
        <x:v>First Class</x:v>
      </x:c>
      <x:c r="D2919" s="1" t="str">
        <x:v>Pacific Asia</x:v>
      </x:c>
      <x:c r="E2919" s="1" t="str">
        <x:v>CLOSED</x:v>
      </x:c>
      <x:c r="F2919" s="1" t="str">
        <x:v>Late delivery</x:v>
      </x:c>
      <x:c r="G2919" s="6" t="n">
        <x:v>2</x:v>
      </x:c>
      <x:c r="H2919" s="6" t="n">
        <x:v>1</x:v>
      </x:c>
      <x:c r="I2919" s="6" t="n">
        <x:f>G2919-H2919</x:f>
        <x:v>1</x:v>
      </x:c>
      <x:c r="J2919" s="6" t="n">
        <x:f>IF(OR(E2919="CANCELED",E2919="SUSPECTED_FRAUD",F2919="Shipping canceled"),0,1)</x:f>
        <x:v>1</x:v>
      </x:c>
      <x:c r="K2919" s="6" t="n">
        <x:f>IF(G2919&gt;H2919,1,0)</x:f>
        <x:v>1</x:v>
      </x:c>
      <x:c r="L2919" s="6" t="n">
        <x:f>J2919*K2919</x:f>
        <x:v>1</x:v>
      </x:c>
    </x:row>
    <x:row r="2920">
      <x:c r="A2920" s="1" t="n">
        <x:v>22184</x:v>
      </x:c>
      <x:c r="B2920" s="5" t="d">
        <x:v>2015-11-20T00:00:00.000Z</x:v>
      </x:c>
      <x:c r="C2920" s="1" t="str">
        <x:v>Standard Class</x:v>
      </x:c>
      <x:c r="D2920" s="1" t="str">
        <x:v>Pacific Asia</x:v>
      </x:c>
      <x:c r="E2920" s="1" t="str">
        <x:v>COMPLETE</x:v>
      </x:c>
      <x:c r="F2920" s="1" t="str">
        <x:v>Late delivery</x:v>
      </x:c>
      <x:c r="G2920" s="6" t="n">
        <x:v>5</x:v>
      </x:c>
      <x:c r="H2920" s="6" t="n">
        <x:v>4</x:v>
      </x:c>
      <x:c r="I2920" s="6" t="n">
        <x:f>G2920-H2920</x:f>
        <x:v>1</x:v>
      </x:c>
      <x:c r="J2920" s="6" t="n">
        <x:f>IF(OR(E2920="CANCELED",E2920="SUSPECTED_FRAUD",F2920="Shipping canceled"),0,1)</x:f>
        <x:v>1</x:v>
      </x:c>
      <x:c r="K2920" s="6" t="n">
        <x:f>IF(G2920&gt;H2920,1,0)</x:f>
        <x:v>1</x:v>
      </x:c>
      <x:c r="L2920" s="6" t="n">
        <x:f>J2920*K2920</x:f>
        <x:v>1</x:v>
      </x:c>
    </x:row>
    <x:row r="2921">
      <x:c r="A2921" s="1" t="n">
        <x:v>22187</x:v>
      </x:c>
      <x:c r="B2921" s="5" t="d">
        <x:v>2015-11-20T00:00:00.000Z</x:v>
      </x:c>
      <x:c r="C2921" s="1" t="str">
        <x:v>Standard Class</x:v>
      </x:c>
      <x:c r="D2921" s="1" t="str">
        <x:v>Pacific Asia</x:v>
      </x:c>
      <x:c r="E2921" s="1" t="str">
        <x:v>COMPLETE</x:v>
      </x:c>
      <x:c r="F2921" s="1" t="str">
        <x:v>Advance shipping</x:v>
      </x:c>
      <x:c r="G2921" s="6" t="n">
        <x:v>3</x:v>
      </x:c>
      <x:c r="H2921" s="6" t="n">
        <x:v>4</x:v>
      </x:c>
      <x:c r="I2921" s="6" t="n">
        <x:f>G2921-H2921</x:f>
        <x:v>-1</x:v>
      </x:c>
      <x:c r="J2921" s="6" t="n">
        <x:f>IF(OR(E2921="CANCELED",E2921="SUSPECTED_FRAUD",F2921="Shipping canceled"),0,1)</x:f>
        <x:v>1</x:v>
      </x:c>
      <x:c r="K2921" s="6" t="n">
        <x:f>IF(G2921&gt;H2921,1,0)</x:f>
        <x:v>0</x:v>
      </x:c>
      <x:c r="L2921" s="6" t="n">
        <x:f>J2921*K2921</x:f>
        <x:v>0</x:v>
      </x:c>
    </x:row>
    <x:row r="2922">
      <x:c r="A2922" s="1" t="n">
        <x:v>22188</x:v>
      </x:c>
      <x:c r="B2922" s="5" t="d">
        <x:v>2015-11-20T00:00:00.000Z</x:v>
      </x:c>
      <x:c r="C2922" s="1" t="str">
        <x:v>Standard Class</x:v>
      </x:c>
      <x:c r="D2922" s="1" t="str">
        <x:v>Pacific Asia</x:v>
      </x:c>
      <x:c r="E2922" s="1" t="str">
        <x:v>SUSPECTED_FRAUD</x:v>
      </x:c>
      <x:c r="F2922" s="1" t="str">
        <x:v>Shipping canceled</x:v>
      </x:c>
      <x:c r="G2922" s="6" t="n">
        <x:v>4</x:v>
      </x:c>
      <x:c r="H2922" s="6" t="n">
        <x:v>4</x:v>
      </x:c>
      <x:c r="I2922" s="6" t="n">
        <x:f>G2922-H2922</x:f>
        <x:v>0</x:v>
      </x:c>
      <x:c r="J2922" s="6" t="n">
        <x:f>IF(OR(E2922="CANCELED",E2922="SUSPECTED_FRAUD",F2922="Shipping canceled"),0,1)</x:f>
        <x:v>0</x:v>
      </x:c>
      <x:c r="K2922" s="6" t="n">
        <x:f>IF(G2922&gt;H2922,1,0)</x:f>
        <x:v>0</x:v>
      </x:c>
      <x:c r="L2922" s="6" t="n">
        <x:f>J2922*K2922</x:f>
        <x:v>0</x:v>
      </x:c>
    </x:row>
    <x:row r="2923">
      <x:c r="A2923" s="1" t="n">
        <x:v>22193</x:v>
      </x:c>
      <x:c r="B2923" s="5" t="d">
        <x:v>2015-11-20T00:00:00.000Z</x:v>
      </x:c>
      <x:c r="C2923" s="1" t="str">
        <x:v>Standard Class</x:v>
      </x:c>
      <x:c r="D2923" s="1" t="str">
        <x:v>Pacific Asia</x:v>
      </x:c>
      <x:c r="E2923" s="1" t="str">
        <x:v>COMPLETE</x:v>
      </x:c>
      <x:c r="F2923" s="1" t="str">
        <x:v>Shipping on time</x:v>
      </x:c>
      <x:c r="G2923" s="6" t="n">
        <x:v>4</x:v>
      </x:c>
      <x:c r="H2923" s="6" t="n">
        <x:v>4</x:v>
      </x:c>
      <x:c r="I2923" s="6" t="n">
        <x:f>G2923-H2923</x:f>
        <x:v>0</x:v>
      </x:c>
      <x:c r="J2923" s="6" t="n">
        <x:f>IF(OR(E2923="CANCELED",E2923="SUSPECTED_FRAUD",F2923="Shipping canceled"),0,1)</x:f>
        <x:v>1</x:v>
      </x:c>
      <x:c r="K2923" s="6" t="n">
        <x:f>IF(G2923&gt;H2923,1,0)</x:f>
        <x:v>0</x:v>
      </x:c>
      <x:c r="L2923" s="6" t="n">
        <x:f>J2923*K2923</x:f>
        <x:v>0</x:v>
      </x:c>
    </x:row>
    <x:row r="2924">
      <x:c r="A2924" s="1" t="n">
        <x:v>22196</x:v>
      </x:c>
      <x:c r="B2924" s="5" t="d">
        <x:v>2015-11-20T00:00:00.000Z</x:v>
      </x:c>
      <x:c r="C2924" s="1" t="str">
        <x:v>Standard Class</x:v>
      </x:c>
      <x:c r="D2924" s="1" t="str">
        <x:v>Pacific Asia</x:v>
      </x:c>
      <x:c r="E2924" s="1" t="str">
        <x:v>COMPLETE</x:v>
      </x:c>
      <x:c r="F2924" s="1" t="str">
        <x:v>Advance shipping</x:v>
      </x:c>
      <x:c r="G2924" s="6" t="n">
        <x:v>2</x:v>
      </x:c>
      <x:c r="H2924" s="6" t="n">
        <x:v>4</x:v>
      </x:c>
      <x:c r="I2924" s="6" t="n">
        <x:f>G2924-H2924</x:f>
        <x:v>-2</x:v>
      </x:c>
      <x:c r="J2924" s="6" t="n">
        <x:f>IF(OR(E2924="CANCELED",E2924="SUSPECTED_FRAUD",F2924="Shipping canceled"),0,1)</x:f>
        <x:v>1</x:v>
      </x:c>
      <x:c r="K2924" s="6" t="n">
        <x:f>IF(G2924&gt;H2924,1,0)</x:f>
        <x:v>0</x:v>
      </x:c>
      <x:c r="L2924" s="6" t="n">
        <x:f>J2924*K2924</x:f>
        <x:v>0</x:v>
      </x:c>
    </x:row>
    <x:row r="2925">
      <x:c r="A2925" s="1" t="n">
        <x:v>22200</x:v>
      </x:c>
      <x:c r="B2925" s="5" t="d">
        <x:v>2015-11-21T00:00:00.000Z</x:v>
      </x:c>
      <x:c r="C2925" s="1" t="str">
        <x:v>Standard Class</x:v>
      </x:c>
      <x:c r="D2925" s="1" t="str">
        <x:v>Pacific Asia</x:v>
      </x:c>
      <x:c r="E2925" s="1" t="str">
        <x:v>COMPLETE</x:v>
      </x:c>
      <x:c r="F2925" s="1" t="str">
        <x:v>Late delivery</x:v>
      </x:c>
      <x:c r="G2925" s="6" t="n">
        <x:v>6</x:v>
      </x:c>
      <x:c r="H2925" s="6" t="n">
        <x:v>4</x:v>
      </x:c>
      <x:c r="I2925" s="6" t="n">
        <x:f>G2925-H2925</x:f>
        <x:v>2</x:v>
      </x:c>
      <x:c r="J2925" s="6" t="n">
        <x:f>IF(OR(E2925="CANCELED",E2925="SUSPECTED_FRAUD",F2925="Shipping canceled"),0,1)</x:f>
        <x:v>1</x:v>
      </x:c>
      <x:c r="K2925" s="6" t="n">
        <x:f>IF(G2925&gt;H2925,1,0)</x:f>
        <x:v>1</x:v>
      </x:c>
      <x:c r="L2925" s="6" t="n">
        <x:f>J2925*K2925</x:f>
        <x:v>1</x:v>
      </x:c>
    </x:row>
    <x:row r="2926">
      <x:c r="A2926" s="1" t="n">
        <x:v>22203</x:v>
      </x:c>
      <x:c r="B2926" s="5" t="d">
        <x:v>2015-11-21T00:00:00.000Z</x:v>
      </x:c>
      <x:c r="C2926" s="1" t="str">
        <x:v>Same Day</x:v>
      </x:c>
      <x:c r="D2926" s="1" t="str">
        <x:v>Pacific Asia</x:v>
      </x:c>
      <x:c r="E2926" s="1" t="str">
        <x:v>COMPLETE</x:v>
      </x:c>
      <x:c r="F2926" s="1" t="str">
        <x:v>Shipping on time</x:v>
      </x:c>
      <x:c r="G2926" s="6" t="n">
        <x:v>0</x:v>
      </x:c>
      <x:c r="H2926" s="6" t="n">
        <x:v>0</x:v>
      </x:c>
      <x:c r="I2926" s="6" t="n">
        <x:f>G2926-H2926</x:f>
        <x:v>0</x:v>
      </x:c>
      <x:c r="J2926" s="6" t="n">
        <x:f>IF(OR(E2926="CANCELED",E2926="SUSPECTED_FRAUD",F2926="Shipping canceled"),0,1)</x:f>
        <x:v>1</x:v>
      </x:c>
      <x:c r="K2926" s="6" t="n">
        <x:f>IF(G2926&gt;H2926,1,0)</x:f>
        <x:v>0</x:v>
      </x:c>
      <x:c r="L2926" s="6" t="n">
        <x:f>J2926*K2926</x:f>
        <x:v>0</x:v>
      </x:c>
    </x:row>
    <x:row r="2927">
      <x:c r="A2927" s="1" t="n">
        <x:v>22207</x:v>
      </x:c>
      <x:c r="B2927" s="5" t="d">
        <x:v>2015-11-21T00:00:00.000Z</x:v>
      </x:c>
      <x:c r="C2927" s="1" t="str">
        <x:v>Standard Class</x:v>
      </x:c>
      <x:c r="D2927" s="1" t="str">
        <x:v>Pacific Asia</x:v>
      </x:c>
      <x:c r="E2927" s="1" t="str">
        <x:v>PROCESSING</x:v>
      </x:c>
      <x:c r="F2927" s="1" t="str">
        <x:v>Advance shipping</x:v>
      </x:c>
      <x:c r="G2927" s="6" t="n">
        <x:v>3</x:v>
      </x:c>
      <x:c r="H2927" s="6" t="n">
        <x:v>4</x:v>
      </x:c>
      <x:c r="I2927" s="6" t="n">
        <x:f>G2927-H2927</x:f>
        <x:v>-1</x:v>
      </x:c>
      <x:c r="J2927" s="6" t="n">
        <x:f>IF(OR(E2927="CANCELED",E2927="SUSPECTED_FRAUD",F2927="Shipping canceled"),0,1)</x:f>
        <x:v>1</x:v>
      </x:c>
      <x:c r="K2927" s="6" t="n">
        <x:f>IF(G2927&gt;H2927,1,0)</x:f>
        <x:v>0</x:v>
      </x:c>
      <x:c r="L2927" s="6" t="n">
        <x:f>J2927*K2927</x:f>
        <x:v>0</x:v>
      </x:c>
    </x:row>
    <x:row r="2928">
      <x:c r="A2928" s="1" t="n">
        <x:v>22211</x:v>
      </x:c>
      <x:c r="B2928" s="5" t="d">
        <x:v>2015-11-21T00:00:00.000Z</x:v>
      </x:c>
      <x:c r="C2928" s="1" t="str">
        <x:v>First Class</x:v>
      </x:c>
      <x:c r="D2928" s="1" t="str">
        <x:v>Pacific Asia</x:v>
      </x:c>
      <x:c r="E2928" s="1" t="str">
        <x:v>CLOSED</x:v>
      </x:c>
      <x:c r="F2928" s="1" t="str">
        <x:v>Late delivery</x:v>
      </x:c>
      <x:c r="G2928" s="6" t="n">
        <x:v>2</x:v>
      </x:c>
      <x:c r="H2928" s="6" t="n">
        <x:v>1</x:v>
      </x:c>
      <x:c r="I2928" s="6" t="n">
        <x:f>G2928-H2928</x:f>
        <x:v>1</x:v>
      </x:c>
      <x:c r="J2928" s="6" t="n">
        <x:f>IF(OR(E2928="CANCELED",E2928="SUSPECTED_FRAUD",F2928="Shipping canceled"),0,1)</x:f>
        <x:v>1</x:v>
      </x:c>
      <x:c r="K2928" s="6" t="n">
        <x:f>IF(G2928&gt;H2928,1,0)</x:f>
        <x:v>1</x:v>
      </x:c>
      <x:c r="L2928" s="6" t="n">
        <x:f>J2928*K2928</x:f>
        <x:v>1</x:v>
      </x:c>
    </x:row>
    <x:row r="2929">
      <x:c r="A2929" s="1" t="n">
        <x:v>22212</x:v>
      </x:c>
      <x:c r="B2929" s="5" t="d">
        <x:v>2015-11-21T00:00:00.000Z</x:v>
      </x:c>
      <x:c r="C2929" s="1" t="str">
        <x:v>Standard Class</x:v>
      </x:c>
      <x:c r="D2929" s="1" t="str">
        <x:v>Pacific Asia</x:v>
      </x:c>
      <x:c r="E2929" s="1" t="str">
        <x:v>COMPLETE</x:v>
      </x:c>
      <x:c r="F2929" s="1" t="str">
        <x:v>Advance shipping</x:v>
      </x:c>
      <x:c r="G2929" s="6" t="n">
        <x:v>3</x:v>
      </x:c>
      <x:c r="H2929" s="6" t="n">
        <x:v>4</x:v>
      </x:c>
      <x:c r="I2929" s="6" t="n">
        <x:f>G2929-H2929</x:f>
        <x:v>-1</x:v>
      </x:c>
      <x:c r="J2929" s="6" t="n">
        <x:f>IF(OR(E2929="CANCELED",E2929="SUSPECTED_FRAUD",F2929="Shipping canceled"),0,1)</x:f>
        <x:v>1</x:v>
      </x:c>
      <x:c r="K2929" s="6" t="n">
        <x:f>IF(G2929&gt;H2929,1,0)</x:f>
        <x:v>0</x:v>
      </x:c>
      <x:c r="L2929" s="6" t="n">
        <x:f>J2929*K2929</x:f>
        <x:v>0</x:v>
      </x:c>
    </x:row>
    <x:row r="2930">
      <x:c r="A2930" s="1" t="n">
        <x:v>22223</x:v>
      </x:c>
      <x:c r="B2930" s="5" t="d">
        <x:v>2015-11-21T00:00:00.000Z</x:v>
      </x:c>
      <x:c r="C2930" s="1" t="str">
        <x:v>Standard Class</x:v>
      </x:c>
      <x:c r="D2930" s="1" t="str">
        <x:v>Pacific Asia</x:v>
      </x:c>
      <x:c r="E2930" s="1" t="str">
        <x:v>CLOSED</x:v>
      </x:c>
      <x:c r="F2930" s="1" t="str">
        <x:v>Shipping on time</x:v>
      </x:c>
      <x:c r="G2930" s="6" t="n">
        <x:v>4</x:v>
      </x:c>
      <x:c r="H2930" s="6" t="n">
        <x:v>4</x:v>
      </x:c>
      <x:c r="I2930" s="6" t="n">
        <x:f>G2930-H2930</x:f>
        <x:v>0</x:v>
      </x:c>
      <x:c r="J2930" s="6" t="n">
        <x:f>IF(OR(E2930="CANCELED",E2930="SUSPECTED_FRAUD",F2930="Shipping canceled"),0,1)</x:f>
        <x:v>1</x:v>
      </x:c>
      <x:c r="K2930" s="6" t="n">
        <x:f>IF(G2930&gt;H2930,1,0)</x:f>
        <x:v>0</x:v>
      </x:c>
      <x:c r="L2930" s="6" t="n">
        <x:f>J2930*K2930</x:f>
        <x:v>0</x:v>
      </x:c>
    </x:row>
    <x:row r="2931">
      <x:c r="A2931" s="1" t="n">
        <x:v>22224</x:v>
      </x:c>
      <x:c r="B2931" s="5" t="d">
        <x:v>2015-11-21T00:00:00.000Z</x:v>
      </x:c>
      <x:c r="C2931" s="1" t="str">
        <x:v>Standard Class</x:v>
      </x:c>
      <x:c r="D2931" s="1" t="str">
        <x:v>Pacific Asia</x:v>
      </x:c>
      <x:c r="E2931" s="1" t="str">
        <x:v>COMPLETE</x:v>
      </x:c>
      <x:c r="F2931" s="1" t="str">
        <x:v>Late delivery</x:v>
      </x:c>
      <x:c r="G2931" s="6" t="n">
        <x:v>5</x:v>
      </x:c>
      <x:c r="H2931" s="6" t="n">
        <x:v>4</x:v>
      </x:c>
      <x:c r="I2931" s="6" t="n">
        <x:f>G2931-H2931</x:f>
        <x:v>1</x:v>
      </x:c>
      <x:c r="J2931" s="6" t="n">
        <x:f>IF(OR(E2931="CANCELED",E2931="SUSPECTED_FRAUD",F2931="Shipping canceled"),0,1)</x:f>
        <x:v>1</x:v>
      </x:c>
      <x:c r="K2931" s="6" t="n">
        <x:f>IF(G2931&gt;H2931,1,0)</x:f>
        <x:v>1</x:v>
      </x:c>
      <x:c r="L2931" s="6" t="n">
        <x:f>J2931*K2931</x:f>
        <x:v>1</x:v>
      </x:c>
    </x:row>
    <x:row r="2932">
      <x:c r="A2932" s="1" t="n">
        <x:v>22238</x:v>
      </x:c>
      <x:c r="B2932" s="5" t="d">
        <x:v>2015-11-21T00:00:00.000Z</x:v>
      </x:c>
      <x:c r="C2932" s="1" t="str">
        <x:v>Standard Class</x:v>
      </x:c>
      <x:c r="D2932" s="1" t="str">
        <x:v>Pacific Asia</x:v>
      </x:c>
      <x:c r="E2932" s="1" t="str">
        <x:v>COMPLETE</x:v>
      </x:c>
      <x:c r="F2932" s="1" t="str">
        <x:v>Shipping on time</x:v>
      </x:c>
      <x:c r="G2932" s="6" t="n">
        <x:v>4</x:v>
      </x:c>
      <x:c r="H2932" s="6" t="n">
        <x:v>4</x:v>
      </x:c>
      <x:c r="I2932" s="6" t="n">
        <x:f>G2932-H2932</x:f>
        <x:v>0</x:v>
      </x:c>
      <x:c r="J2932" s="6" t="n">
        <x:f>IF(OR(E2932="CANCELED",E2932="SUSPECTED_FRAUD",F2932="Shipping canceled"),0,1)</x:f>
        <x:v>1</x:v>
      </x:c>
      <x:c r="K2932" s="6" t="n">
        <x:f>IF(G2932&gt;H2932,1,0)</x:f>
        <x:v>0</x:v>
      </x:c>
      <x:c r="L2932" s="6" t="n">
        <x:f>J2932*K2932</x:f>
        <x:v>0</x:v>
      </x:c>
    </x:row>
    <x:row r="2933">
      <x:c r="A2933" s="1" t="n">
        <x:v>22243</x:v>
      </x:c>
      <x:c r="B2933" s="5" t="d">
        <x:v>2015-11-21T00:00:00.000Z</x:v>
      </x:c>
      <x:c r="C2933" s="1" t="str">
        <x:v>Standard Class</x:v>
      </x:c>
      <x:c r="D2933" s="1" t="str">
        <x:v>Pacific Asia</x:v>
      </x:c>
      <x:c r="E2933" s="1" t="str">
        <x:v>CLOSED</x:v>
      </x:c>
      <x:c r="F2933" s="1" t="str">
        <x:v>Shipping on time</x:v>
      </x:c>
      <x:c r="G2933" s="6" t="n">
        <x:v>4</x:v>
      </x:c>
      <x:c r="H2933" s="6" t="n">
        <x:v>4</x:v>
      </x:c>
      <x:c r="I2933" s="6" t="n">
        <x:f>G2933-H2933</x:f>
        <x:v>0</x:v>
      </x:c>
      <x:c r="J2933" s="6" t="n">
        <x:f>IF(OR(E2933="CANCELED",E2933="SUSPECTED_FRAUD",F2933="Shipping canceled"),0,1)</x:f>
        <x:v>1</x:v>
      </x:c>
      <x:c r="K2933" s="6" t="n">
        <x:f>IF(G2933&gt;H2933,1,0)</x:f>
        <x:v>0</x:v>
      </x:c>
      <x:c r="L2933" s="6" t="n">
        <x:f>J2933*K2933</x:f>
        <x:v>0</x:v>
      </x:c>
    </x:row>
    <x:row r="2934">
      <x:c r="A2934" s="1" t="n">
        <x:v>22257</x:v>
      </x:c>
      <x:c r="B2934" s="5" t="d">
        <x:v>2015-11-21T00:00:00.000Z</x:v>
      </x:c>
      <x:c r="C2934" s="1" t="str">
        <x:v>Standard Class</x:v>
      </x:c>
      <x:c r="D2934" s="1" t="str">
        <x:v>Pacific Asia</x:v>
      </x:c>
      <x:c r="E2934" s="1" t="str">
        <x:v>COMPLETE</x:v>
      </x:c>
      <x:c r="F2934" s="1" t="str">
        <x:v>Advance shipping</x:v>
      </x:c>
      <x:c r="G2934" s="6" t="n">
        <x:v>3</x:v>
      </x:c>
      <x:c r="H2934" s="6" t="n">
        <x:v>4</x:v>
      </x:c>
      <x:c r="I2934" s="6" t="n">
        <x:f>G2934-H2934</x:f>
        <x:v>-1</x:v>
      </x:c>
      <x:c r="J2934" s="6" t="n">
        <x:f>IF(OR(E2934="CANCELED",E2934="SUSPECTED_FRAUD",F2934="Shipping canceled"),0,1)</x:f>
        <x:v>1</x:v>
      </x:c>
      <x:c r="K2934" s="6" t="n">
        <x:f>IF(G2934&gt;H2934,1,0)</x:f>
        <x:v>0</x:v>
      </x:c>
      <x:c r="L2934" s="6" t="n">
        <x:f>J2934*K2934</x:f>
        <x:v>0</x:v>
      </x:c>
    </x:row>
    <x:row r="2935">
      <x:c r="A2935" s="1" t="n">
        <x:v>22261</x:v>
      </x:c>
      <x:c r="B2935" s="5" t="d">
        <x:v>2015-11-21T00:00:00.000Z</x:v>
      </x:c>
      <x:c r="C2935" s="1" t="str">
        <x:v>Standard Class</x:v>
      </x:c>
      <x:c r="D2935" s="1" t="str">
        <x:v>Pacific Asia</x:v>
      </x:c>
      <x:c r="E2935" s="1" t="str">
        <x:v>PENDING</x:v>
      </x:c>
      <x:c r="F2935" s="1" t="str">
        <x:v>Advance shipping</x:v>
      </x:c>
      <x:c r="G2935" s="6" t="n">
        <x:v>2</x:v>
      </x:c>
      <x:c r="H2935" s="6" t="n">
        <x:v>4</x:v>
      </x:c>
      <x:c r="I2935" s="6" t="n">
        <x:f>G2935-H2935</x:f>
        <x:v>-2</x:v>
      </x:c>
      <x:c r="J2935" s="6" t="n">
        <x:f>IF(OR(E2935="CANCELED",E2935="SUSPECTED_FRAUD",F2935="Shipping canceled"),0,1)</x:f>
        <x:v>1</x:v>
      </x:c>
      <x:c r="K2935" s="6" t="n">
        <x:f>IF(G2935&gt;H2935,1,0)</x:f>
        <x:v>0</x:v>
      </x:c>
      <x:c r="L2935" s="6" t="n">
        <x:f>J2935*K2935</x:f>
        <x:v>0</x:v>
      </x:c>
    </x:row>
    <x:row r="2936">
      <x:c r="A2936" s="1" t="n">
        <x:v>22281</x:v>
      </x:c>
      <x:c r="B2936" s="5" t="d">
        <x:v>2015-11-22T00:00:00.000Z</x:v>
      </x:c>
      <x:c r="C2936" s="1" t="str">
        <x:v>Standard Class</x:v>
      </x:c>
      <x:c r="D2936" s="1" t="str">
        <x:v>Pacific Asia</x:v>
      </x:c>
      <x:c r="E2936" s="1" t="str">
        <x:v>ON_HOLD</x:v>
      </x:c>
      <x:c r="F2936" s="1" t="str">
        <x:v>Advance shipping</x:v>
      </x:c>
      <x:c r="G2936" s="6" t="n">
        <x:v>2</x:v>
      </x:c>
      <x:c r="H2936" s="6" t="n">
        <x:v>4</x:v>
      </x:c>
      <x:c r="I2936" s="6" t="n">
        <x:f>G2936-H2936</x:f>
        <x:v>-2</x:v>
      </x:c>
      <x:c r="J2936" s="6" t="n">
        <x:f>IF(OR(E2936="CANCELED",E2936="SUSPECTED_FRAUD",F2936="Shipping canceled"),0,1)</x:f>
        <x:v>1</x:v>
      </x:c>
      <x:c r="K2936" s="6" t="n">
        <x:f>IF(G2936&gt;H2936,1,0)</x:f>
        <x:v>0</x:v>
      </x:c>
      <x:c r="L2936" s="6" t="n">
        <x:f>J2936*K2936</x:f>
        <x:v>0</x:v>
      </x:c>
    </x:row>
    <x:row r="2937">
      <x:c r="A2937" s="1" t="n">
        <x:v>22292</x:v>
      </x:c>
      <x:c r="B2937" s="5" t="d">
        <x:v>2015-11-22T00:00:00.000Z</x:v>
      </x:c>
      <x:c r="C2937" s="1" t="str">
        <x:v>First Class</x:v>
      </x:c>
      <x:c r="D2937" s="1" t="str">
        <x:v>Pacific Asia</x:v>
      </x:c>
      <x:c r="E2937" s="1" t="str">
        <x:v>CLOSED</x:v>
      </x:c>
      <x:c r="F2937" s="1" t="str">
        <x:v>Late delivery</x:v>
      </x:c>
      <x:c r="G2937" s="6" t="n">
        <x:v>2</x:v>
      </x:c>
      <x:c r="H2937" s="6" t="n">
        <x:v>1</x:v>
      </x:c>
      <x:c r="I2937" s="6" t="n">
        <x:f>G2937-H2937</x:f>
        <x:v>1</x:v>
      </x:c>
      <x:c r="J2937" s="6" t="n">
        <x:f>IF(OR(E2937="CANCELED",E2937="SUSPECTED_FRAUD",F2937="Shipping canceled"),0,1)</x:f>
        <x:v>1</x:v>
      </x:c>
      <x:c r="K2937" s="6" t="n">
        <x:f>IF(G2937&gt;H2937,1,0)</x:f>
        <x:v>1</x:v>
      </x:c>
      <x:c r="L2937" s="6" t="n">
        <x:f>J2937*K2937</x:f>
        <x:v>1</x:v>
      </x:c>
    </x:row>
    <x:row r="2938">
      <x:c r="A2938" s="1" t="n">
        <x:v>22297</x:v>
      </x:c>
      <x:c r="B2938" s="5" t="d">
        <x:v>2015-11-22T00:00:00.000Z</x:v>
      </x:c>
      <x:c r="C2938" s="1" t="str">
        <x:v>Standard Class</x:v>
      </x:c>
      <x:c r="D2938" s="1" t="str">
        <x:v>Pacific Asia</x:v>
      </x:c>
      <x:c r="E2938" s="1" t="str">
        <x:v>COMPLETE</x:v>
      </x:c>
      <x:c r="F2938" s="1" t="str">
        <x:v>Advance shipping</x:v>
      </x:c>
      <x:c r="G2938" s="6" t="n">
        <x:v>3</x:v>
      </x:c>
      <x:c r="H2938" s="6" t="n">
        <x:v>4</x:v>
      </x:c>
      <x:c r="I2938" s="6" t="n">
        <x:f>G2938-H2938</x:f>
        <x:v>-1</x:v>
      </x:c>
      <x:c r="J2938" s="6" t="n">
        <x:f>IF(OR(E2938="CANCELED",E2938="SUSPECTED_FRAUD",F2938="Shipping canceled"),0,1)</x:f>
        <x:v>1</x:v>
      </x:c>
      <x:c r="K2938" s="6" t="n">
        <x:f>IF(G2938&gt;H2938,1,0)</x:f>
        <x:v>0</x:v>
      </x:c>
      <x:c r="L2938" s="6" t="n">
        <x:f>J2938*K2938</x:f>
        <x:v>0</x:v>
      </x:c>
    </x:row>
    <x:row r="2939">
      <x:c r="A2939" s="1" t="n">
        <x:v>22298</x:v>
      </x:c>
      <x:c r="B2939" s="5" t="d">
        <x:v>2015-11-22T00:00:00.000Z</x:v>
      </x:c>
      <x:c r="C2939" s="1" t="str">
        <x:v>Standard Class</x:v>
      </x:c>
      <x:c r="D2939" s="1" t="str">
        <x:v>Pacific Asia</x:v>
      </x:c>
      <x:c r="E2939" s="1" t="str">
        <x:v>PENDING</x:v>
      </x:c>
      <x:c r="F2939" s="1" t="str">
        <x:v>Shipping on time</x:v>
      </x:c>
      <x:c r="G2939" s="6" t="n">
        <x:v>4</x:v>
      </x:c>
      <x:c r="H2939" s="6" t="n">
        <x:v>4</x:v>
      </x:c>
      <x:c r="I2939" s="6" t="n">
        <x:f>G2939-H2939</x:f>
        <x:v>0</x:v>
      </x:c>
      <x:c r="J2939" s="6" t="n">
        <x:f>IF(OR(E2939="CANCELED",E2939="SUSPECTED_FRAUD",F2939="Shipping canceled"),0,1)</x:f>
        <x:v>1</x:v>
      </x:c>
      <x:c r="K2939" s="6" t="n">
        <x:f>IF(G2939&gt;H2939,1,0)</x:f>
        <x:v>0</x:v>
      </x:c>
      <x:c r="L2939" s="6" t="n">
        <x:f>J2939*K2939</x:f>
        <x:v>0</x:v>
      </x:c>
    </x:row>
    <x:row r="2940">
      <x:c r="A2940" s="1" t="n">
        <x:v>22310</x:v>
      </x:c>
      <x:c r="B2940" s="5" t="d">
        <x:v>2015-11-22T00:00:00.000Z</x:v>
      </x:c>
      <x:c r="C2940" s="1" t="str">
        <x:v>Standard Class</x:v>
      </x:c>
      <x:c r="D2940" s="1" t="str">
        <x:v>Pacific Asia</x:v>
      </x:c>
      <x:c r="E2940" s="1" t="str">
        <x:v>PENDING_PAYMENT</x:v>
      </x:c>
      <x:c r="F2940" s="1" t="str">
        <x:v>Late delivery</x:v>
      </x:c>
      <x:c r="G2940" s="6" t="n">
        <x:v>6</x:v>
      </x:c>
      <x:c r="H2940" s="6" t="n">
        <x:v>4</x:v>
      </x:c>
      <x:c r="I2940" s="6" t="n">
        <x:f>G2940-H2940</x:f>
        <x:v>2</x:v>
      </x:c>
      <x:c r="J2940" s="6" t="n">
        <x:f>IF(OR(E2940="CANCELED",E2940="SUSPECTED_FRAUD",F2940="Shipping canceled"),0,1)</x:f>
        <x:v>1</x:v>
      </x:c>
      <x:c r="K2940" s="6" t="n">
        <x:f>IF(G2940&gt;H2940,1,0)</x:f>
        <x:v>1</x:v>
      </x:c>
      <x:c r="L2940" s="6" t="n">
        <x:f>J2940*K2940</x:f>
        <x:v>1</x:v>
      </x:c>
    </x:row>
    <x:row r="2941">
      <x:c r="A2941" s="1" t="n">
        <x:v>22314</x:v>
      </x:c>
      <x:c r="B2941" s="5" t="d">
        <x:v>2015-11-22T00:00:00.000Z</x:v>
      </x:c>
      <x:c r="C2941" s="1" t="str">
        <x:v>Standard Class</x:v>
      </x:c>
      <x:c r="D2941" s="1" t="str">
        <x:v>Pacific Asia</x:v>
      </x:c>
      <x:c r="E2941" s="1" t="str">
        <x:v>PENDING_PAYMENT</x:v>
      </x:c>
      <x:c r="F2941" s="1" t="str">
        <x:v>Late delivery</x:v>
      </x:c>
      <x:c r="G2941" s="6" t="n">
        <x:v>5</x:v>
      </x:c>
      <x:c r="H2941" s="6" t="n">
        <x:v>4</x:v>
      </x:c>
      <x:c r="I2941" s="6" t="n">
        <x:f>G2941-H2941</x:f>
        <x:v>1</x:v>
      </x:c>
      <x:c r="J2941" s="6" t="n">
        <x:f>IF(OR(E2941="CANCELED",E2941="SUSPECTED_FRAUD",F2941="Shipping canceled"),0,1)</x:f>
        <x:v>1</x:v>
      </x:c>
      <x:c r="K2941" s="6" t="n">
        <x:f>IF(G2941&gt;H2941,1,0)</x:f>
        <x:v>1</x:v>
      </x:c>
      <x:c r="L2941" s="6" t="n">
        <x:f>J2941*K2941</x:f>
        <x:v>1</x:v>
      </x:c>
    </x:row>
    <x:row r="2942">
      <x:c r="A2942" s="1" t="n">
        <x:v>22327</x:v>
      </x:c>
      <x:c r="B2942" s="5" t="d">
        <x:v>2015-11-22T00:00:00.000Z</x:v>
      </x:c>
      <x:c r="C2942" s="1" t="str">
        <x:v>Standard Class</x:v>
      </x:c>
      <x:c r="D2942" s="1" t="str">
        <x:v>Pacific Asia</x:v>
      </x:c>
      <x:c r="E2942" s="1" t="str">
        <x:v>COMPLETE</x:v>
      </x:c>
      <x:c r="F2942" s="1" t="str">
        <x:v>Advance shipping</x:v>
      </x:c>
      <x:c r="G2942" s="6" t="n">
        <x:v>3</x:v>
      </x:c>
      <x:c r="H2942" s="6" t="n">
        <x:v>4</x:v>
      </x:c>
      <x:c r="I2942" s="6" t="n">
        <x:f>G2942-H2942</x:f>
        <x:v>-1</x:v>
      </x:c>
      <x:c r="J2942" s="6" t="n">
        <x:f>IF(OR(E2942="CANCELED",E2942="SUSPECTED_FRAUD",F2942="Shipping canceled"),0,1)</x:f>
        <x:v>1</x:v>
      </x:c>
      <x:c r="K2942" s="6" t="n">
        <x:f>IF(G2942&gt;H2942,1,0)</x:f>
        <x:v>0</x:v>
      </x:c>
      <x:c r="L2942" s="6" t="n">
        <x:f>J2942*K2942</x:f>
        <x:v>0</x:v>
      </x:c>
    </x:row>
    <x:row r="2943">
      <x:c r="A2943" s="1" t="n">
        <x:v>22336</x:v>
      </x:c>
      <x:c r="B2943" s="5" t="d">
        <x:v>2015-11-23T00:00:00.000Z</x:v>
      </x:c>
      <x:c r="C2943" s="1" t="str">
        <x:v>Standard Class</x:v>
      </x:c>
      <x:c r="D2943" s="1" t="str">
        <x:v>Pacific Asia</x:v>
      </x:c>
      <x:c r="E2943" s="1" t="str">
        <x:v>COMPLETE</x:v>
      </x:c>
      <x:c r="F2943" s="1" t="str">
        <x:v>Advance shipping</x:v>
      </x:c>
      <x:c r="G2943" s="6" t="n">
        <x:v>2</x:v>
      </x:c>
      <x:c r="H2943" s="6" t="n">
        <x:v>4</x:v>
      </x:c>
      <x:c r="I2943" s="6" t="n">
        <x:f>G2943-H2943</x:f>
        <x:v>-2</x:v>
      </x:c>
      <x:c r="J2943" s="6" t="n">
        <x:f>IF(OR(E2943="CANCELED",E2943="SUSPECTED_FRAUD",F2943="Shipping canceled"),0,1)</x:f>
        <x:v>1</x:v>
      </x:c>
      <x:c r="K2943" s="6" t="n">
        <x:f>IF(G2943&gt;H2943,1,0)</x:f>
        <x:v>0</x:v>
      </x:c>
      <x:c r="L2943" s="6" t="n">
        <x:f>J2943*K2943</x:f>
        <x:v>0</x:v>
      </x:c>
    </x:row>
    <x:row r="2944">
      <x:c r="A2944" s="1" t="n">
        <x:v>22352</x:v>
      </x:c>
      <x:c r="B2944" s="5" t="d">
        <x:v>2015-11-23T00:00:00.000Z</x:v>
      </x:c>
      <x:c r="C2944" s="1" t="str">
        <x:v>Second Class</x:v>
      </x:c>
      <x:c r="D2944" s="1" t="str">
        <x:v>Pacific Asia</x:v>
      </x:c>
      <x:c r="E2944" s="1" t="str">
        <x:v>COMPLETE</x:v>
      </x:c>
      <x:c r="F2944" s="1" t="str">
        <x:v>Late delivery</x:v>
      </x:c>
      <x:c r="G2944" s="6" t="n">
        <x:v>3</x:v>
      </x:c>
      <x:c r="H2944" s="6" t="n">
        <x:v>2</x:v>
      </x:c>
      <x:c r="I2944" s="6" t="n">
        <x:f>G2944-H2944</x:f>
        <x:v>1</x:v>
      </x:c>
      <x:c r="J2944" s="6" t="n">
        <x:f>IF(OR(E2944="CANCELED",E2944="SUSPECTED_FRAUD",F2944="Shipping canceled"),0,1)</x:f>
        <x:v>1</x:v>
      </x:c>
      <x:c r="K2944" s="6" t="n">
        <x:f>IF(G2944&gt;H2944,1,0)</x:f>
        <x:v>1</x:v>
      </x:c>
      <x:c r="L2944" s="6" t="n">
        <x:f>J2944*K2944</x:f>
        <x:v>1</x:v>
      </x:c>
    </x:row>
    <x:row r="2945">
      <x:c r="A2945" s="1" t="n">
        <x:v>22371</x:v>
      </x:c>
      <x:c r="B2945" s="5" t="d">
        <x:v>2015-11-23T00:00:00.000Z</x:v>
      </x:c>
      <x:c r="C2945" s="1" t="str">
        <x:v>Standard Class</x:v>
      </x:c>
      <x:c r="D2945" s="1" t="str">
        <x:v>Pacific Asia</x:v>
      </x:c>
      <x:c r="E2945" s="1" t="str">
        <x:v>PENDING_PAYMENT</x:v>
      </x:c>
      <x:c r="F2945" s="1" t="str">
        <x:v>Advance shipping</x:v>
      </x:c>
      <x:c r="G2945" s="6" t="n">
        <x:v>2</x:v>
      </x:c>
      <x:c r="H2945" s="6" t="n">
        <x:v>4</x:v>
      </x:c>
      <x:c r="I2945" s="6" t="n">
        <x:f>G2945-H2945</x:f>
        <x:v>-2</x:v>
      </x:c>
      <x:c r="J2945" s="6" t="n">
        <x:f>IF(OR(E2945="CANCELED",E2945="SUSPECTED_FRAUD",F2945="Shipping canceled"),0,1)</x:f>
        <x:v>1</x:v>
      </x:c>
      <x:c r="K2945" s="6" t="n">
        <x:f>IF(G2945&gt;H2945,1,0)</x:f>
        <x:v>0</x:v>
      </x:c>
      <x:c r="L2945" s="6" t="n">
        <x:f>J2945*K2945</x:f>
        <x:v>0</x:v>
      </x:c>
    </x:row>
    <x:row r="2946">
      <x:c r="A2946" s="1" t="n">
        <x:v>22374</x:v>
      </x:c>
      <x:c r="B2946" s="5" t="d">
        <x:v>2015-11-23T00:00:00.000Z</x:v>
      </x:c>
      <x:c r="C2946" s="1" t="str">
        <x:v>Standard Class</x:v>
      </x:c>
      <x:c r="D2946" s="1" t="str">
        <x:v>Pacific Asia</x:v>
      </x:c>
      <x:c r="E2946" s="1" t="str">
        <x:v>COMPLETE</x:v>
      </x:c>
      <x:c r="F2946" s="1" t="str">
        <x:v>Late delivery</x:v>
      </x:c>
      <x:c r="G2946" s="6" t="n">
        <x:v>5</x:v>
      </x:c>
      <x:c r="H2946" s="6" t="n">
        <x:v>4</x:v>
      </x:c>
      <x:c r="I2946" s="6" t="n">
        <x:f>G2946-H2946</x:f>
        <x:v>1</x:v>
      </x:c>
      <x:c r="J2946" s="6" t="n">
        <x:f>IF(OR(E2946="CANCELED",E2946="SUSPECTED_FRAUD",F2946="Shipping canceled"),0,1)</x:f>
        <x:v>1</x:v>
      </x:c>
      <x:c r="K2946" s="6" t="n">
        <x:f>IF(G2946&gt;H2946,1,0)</x:f>
        <x:v>1</x:v>
      </x:c>
      <x:c r="L2946" s="6" t="n">
        <x:f>J2946*K2946</x:f>
        <x:v>1</x:v>
      </x:c>
    </x:row>
    <x:row r="2947">
      <x:c r="A2947" s="1" t="n">
        <x:v>22375</x:v>
      </x:c>
      <x:c r="B2947" s="5" t="d">
        <x:v>2015-11-23T00:00:00.000Z</x:v>
      </x:c>
      <x:c r="C2947" s="1" t="str">
        <x:v>Standard Class</x:v>
      </x:c>
      <x:c r="D2947" s="1" t="str">
        <x:v>Pacific Asia</x:v>
      </x:c>
      <x:c r="E2947" s="1" t="str">
        <x:v>PROCESSING</x:v>
      </x:c>
      <x:c r="F2947" s="1" t="str">
        <x:v>Late delivery</x:v>
      </x:c>
      <x:c r="G2947" s="6" t="n">
        <x:v>6</x:v>
      </x:c>
      <x:c r="H2947" s="6" t="n">
        <x:v>4</x:v>
      </x:c>
      <x:c r="I2947" s="6" t="n">
        <x:f>G2947-H2947</x:f>
        <x:v>2</x:v>
      </x:c>
      <x:c r="J2947" s="6" t="n">
        <x:f>IF(OR(E2947="CANCELED",E2947="SUSPECTED_FRAUD",F2947="Shipping canceled"),0,1)</x:f>
        <x:v>1</x:v>
      </x:c>
      <x:c r="K2947" s="6" t="n">
        <x:f>IF(G2947&gt;H2947,1,0)</x:f>
        <x:v>1</x:v>
      </x:c>
      <x:c r="L2947" s="6" t="n">
        <x:f>J2947*K2947</x:f>
        <x:v>1</x:v>
      </x:c>
    </x:row>
    <x:row r="2948">
      <x:c r="A2948" s="1" t="n">
        <x:v>22379</x:v>
      </x:c>
      <x:c r="B2948" s="5" t="d">
        <x:v>2015-11-23T00:00:00.000Z</x:v>
      </x:c>
      <x:c r="C2948" s="1" t="str">
        <x:v>Standard Class</x:v>
      </x:c>
      <x:c r="D2948" s="1" t="str">
        <x:v>Pacific Asia</x:v>
      </x:c>
      <x:c r="E2948" s="1" t="str">
        <x:v>PROCESSING</x:v>
      </x:c>
      <x:c r="F2948" s="1" t="str">
        <x:v>Late delivery</x:v>
      </x:c>
      <x:c r="G2948" s="6" t="n">
        <x:v>5</x:v>
      </x:c>
      <x:c r="H2948" s="6" t="n">
        <x:v>4</x:v>
      </x:c>
      <x:c r="I2948" s="6" t="n">
        <x:f>G2948-H2948</x:f>
        <x:v>1</x:v>
      </x:c>
      <x:c r="J2948" s="6" t="n">
        <x:f>IF(OR(E2948="CANCELED",E2948="SUSPECTED_FRAUD",F2948="Shipping canceled"),0,1)</x:f>
        <x:v>1</x:v>
      </x:c>
      <x:c r="K2948" s="6" t="n">
        <x:f>IF(G2948&gt;H2948,1,0)</x:f>
        <x:v>1</x:v>
      </x:c>
      <x:c r="L2948" s="6" t="n">
        <x:f>J2948*K2948</x:f>
        <x:v>1</x:v>
      </x:c>
    </x:row>
    <x:row r="2949">
      <x:c r="A2949" s="1" t="n">
        <x:v>22394</x:v>
      </x:c>
      <x:c r="B2949" s="5" t="d">
        <x:v>2015-11-23T00:00:00.000Z</x:v>
      </x:c>
      <x:c r="C2949" s="1" t="str">
        <x:v>First Class</x:v>
      </x:c>
      <x:c r="D2949" s="1" t="str">
        <x:v>Pacific Asia</x:v>
      </x:c>
      <x:c r="E2949" s="1" t="str">
        <x:v>CLOSED</x:v>
      </x:c>
      <x:c r="F2949" s="1" t="str">
        <x:v>Late delivery</x:v>
      </x:c>
      <x:c r="G2949" s="6" t="n">
        <x:v>2</x:v>
      </x:c>
      <x:c r="H2949" s="6" t="n">
        <x:v>1</x:v>
      </x:c>
      <x:c r="I2949" s="6" t="n">
        <x:f>G2949-H2949</x:f>
        <x:v>1</x:v>
      </x:c>
      <x:c r="J2949" s="6" t="n">
        <x:f>IF(OR(E2949="CANCELED",E2949="SUSPECTED_FRAUD",F2949="Shipping canceled"),0,1)</x:f>
        <x:v>1</x:v>
      </x:c>
      <x:c r="K2949" s="6" t="n">
        <x:f>IF(G2949&gt;H2949,1,0)</x:f>
        <x:v>1</x:v>
      </x:c>
      <x:c r="L2949" s="6" t="n">
        <x:f>J2949*K2949</x:f>
        <x:v>1</x:v>
      </x:c>
    </x:row>
    <x:row r="2950">
      <x:c r="A2950" s="1" t="n">
        <x:v>22412</x:v>
      </x:c>
      <x:c r="B2950" s="5" t="d">
        <x:v>2015-11-24T00:00:00.000Z</x:v>
      </x:c>
      <x:c r="C2950" s="1" t="str">
        <x:v>Standard Class</x:v>
      </x:c>
      <x:c r="D2950" s="1" t="str">
        <x:v>Pacific Asia</x:v>
      </x:c>
      <x:c r="E2950" s="1" t="str">
        <x:v>PENDING_PAYMENT</x:v>
      </x:c>
      <x:c r="F2950" s="1" t="str">
        <x:v>Advance shipping</x:v>
      </x:c>
      <x:c r="G2950" s="6" t="n">
        <x:v>3</x:v>
      </x:c>
      <x:c r="H2950" s="6" t="n">
        <x:v>4</x:v>
      </x:c>
      <x:c r="I2950" s="6" t="n">
        <x:f>G2950-H2950</x:f>
        <x:v>-1</x:v>
      </x:c>
      <x:c r="J2950" s="6" t="n">
        <x:f>IF(OR(E2950="CANCELED",E2950="SUSPECTED_FRAUD",F2950="Shipping canceled"),0,1)</x:f>
        <x:v>1</x:v>
      </x:c>
      <x:c r="K2950" s="6" t="n">
        <x:f>IF(G2950&gt;H2950,1,0)</x:f>
        <x:v>0</x:v>
      </x:c>
      <x:c r="L2950" s="6" t="n">
        <x:f>J2950*K2950</x:f>
        <x:v>0</x:v>
      </x:c>
    </x:row>
    <x:row r="2951">
      <x:c r="A2951" s="1" t="n">
        <x:v>22423</x:v>
      </x:c>
      <x:c r="B2951" s="5" t="d">
        <x:v>2015-11-24T00:00:00.000Z</x:v>
      </x:c>
      <x:c r="C2951" s="1" t="str">
        <x:v>First Class</x:v>
      </x:c>
      <x:c r="D2951" s="1" t="str">
        <x:v>Pacific Asia</x:v>
      </x:c>
      <x:c r="E2951" s="1" t="str">
        <x:v>CLOSED</x:v>
      </x:c>
      <x:c r="F2951" s="1" t="str">
        <x:v>Late delivery</x:v>
      </x:c>
      <x:c r="G2951" s="6" t="n">
        <x:v>2</x:v>
      </x:c>
      <x:c r="H2951" s="6" t="n">
        <x:v>1</x:v>
      </x:c>
      <x:c r="I2951" s="6" t="n">
        <x:f>G2951-H2951</x:f>
        <x:v>1</x:v>
      </x:c>
      <x:c r="J2951" s="6" t="n">
        <x:f>IF(OR(E2951="CANCELED",E2951="SUSPECTED_FRAUD",F2951="Shipping canceled"),0,1)</x:f>
        <x:v>1</x:v>
      </x:c>
      <x:c r="K2951" s="6" t="n">
        <x:f>IF(G2951&gt;H2951,1,0)</x:f>
        <x:v>1</x:v>
      </x:c>
      <x:c r="L2951" s="6" t="n">
        <x:f>J2951*K2951</x:f>
        <x:v>1</x:v>
      </x:c>
    </x:row>
    <x:row r="2952">
      <x:c r="A2952" s="1" t="n">
        <x:v>22425</x:v>
      </x:c>
      <x:c r="B2952" s="5" t="d">
        <x:v>2015-11-24T00:00:00.000Z</x:v>
      </x:c>
      <x:c r="C2952" s="1" t="str">
        <x:v>Second Class</x:v>
      </x:c>
      <x:c r="D2952" s="1" t="str">
        <x:v>Pacific Asia</x:v>
      </x:c>
      <x:c r="E2952" s="1" t="str">
        <x:v>COMPLETE</x:v>
      </x:c>
      <x:c r="F2952" s="1" t="str">
        <x:v>Late delivery</x:v>
      </x:c>
      <x:c r="G2952" s="6" t="n">
        <x:v>6</x:v>
      </x:c>
      <x:c r="H2952" s="6" t="n">
        <x:v>2</x:v>
      </x:c>
      <x:c r="I2952" s="6" t="n">
        <x:f>G2952-H2952</x:f>
        <x:v>4</x:v>
      </x:c>
      <x:c r="J2952" s="6" t="n">
        <x:f>IF(OR(E2952="CANCELED",E2952="SUSPECTED_FRAUD",F2952="Shipping canceled"),0,1)</x:f>
        <x:v>1</x:v>
      </x:c>
      <x:c r="K2952" s="6" t="n">
        <x:f>IF(G2952&gt;H2952,1,0)</x:f>
        <x:v>1</x:v>
      </x:c>
      <x:c r="L2952" s="6" t="n">
        <x:f>J2952*K2952</x:f>
        <x:v>1</x:v>
      </x:c>
    </x:row>
    <x:row r="2953">
      <x:c r="A2953" s="1" t="n">
        <x:v>22426</x:v>
      </x:c>
      <x:c r="B2953" s="5" t="d">
        <x:v>2015-11-24T00:00:00.000Z</x:v>
      </x:c>
      <x:c r="C2953" s="1" t="str">
        <x:v>Second Class</x:v>
      </x:c>
      <x:c r="D2953" s="1" t="str">
        <x:v>Pacific Asia</x:v>
      </x:c>
      <x:c r="E2953" s="1" t="str">
        <x:v>CLOSED</x:v>
      </x:c>
      <x:c r="F2953" s="1" t="str">
        <x:v>Shipping on time</x:v>
      </x:c>
      <x:c r="G2953" s="6" t="n">
        <x:v>2</x:v>
      </x:c>
      <x:c r="H2953" s="6" t="n">
        <x:v>2</x:v>
      </x:c>
      <x:c r="I2953" s="6" t="n">
        <x:f>G2953-H2953</x:f>
        <x:v>0</x:v>
      </x:c>
      <x:c r="J2953" s="6" t="n">
        <x:f>IF(OR(E2953="CANCELED",E2953="SUSPECTED_FRAUD",F2953="Shipping canceled"),0,1)</x:f>
        <x:v>1</x:v>
      </x:c>
      <x:c r="K2953" s="6" t="n">
        <x:f>IF(G2953&gt;H2953,1,0)</x:f>
        <x:v>0</x:v>
      </x:c>
      <x:c r="L2953" s="6" t="n">
        <x:f>J2953*K2953</x:f>
        <x:v>0</x:v>
      </x:c>
    </x:row>
    <x:row r="2954">
      <x:c r="A2954" s="1" t="n">
        <x:v>22429</x:v>
      </x:c>
      <x:c r="B2954" s="5" t="d">
        <x:v>2015-11-24T00:00:00.000Z</x:v>
      </x:c>
      <x:c r="C2954" s="1" t="str">
        <x:v>Second Class</x:v>
      </x:c>
      <x:c r="D2954" s="1" t="str">
        <x:v>Pacific Asia</x:v>
      </x:c>
      <x:c r="E2954" s="1" t="str">
        <x:v>COMPLETE</x:v>
      </x:c>
      <x:c r="F2954" s="1" t="str">
        <x:v>Late delivery</x:v>
      </x:c>
      <x:c r="G2954" s="6" t="n">
        <x:v>5</x:v>
      </x:c>
      <x:c r="H2954" s="6" t="n">
        <x:v>2</x:v>
      </x:c>
      <x:c r="I2954" s="6" t="n">
        <x:f>G2954-H2954</x:f>
        <x:v>3</x:v>
      </x:c>
      <x:c r="J2954" s="6" t="n">
        <x:f>IF(OR(E2954="CANCELED",E2954="SUSPECTED_FRAUD",F2954="Shipping canceled"),0,1)</x:f>
        <x:v>1</x:v>
      </x:c>
      <x:c r="K2954" s="6" t="n">
        <x:f>IF(G2954&gt;H2954,1,0)</x:f>
        <x:v>1</x:v>
      </x:c>
      <x:c r="L2954" s="6" t="n">
        <x:f>J2954*K2954</x:f>
        <x:v>1</x:v>
      </x:c>
    </x:row>
    <x:row r="2955">
      <x:c r="A2955" s="1" t="n">
        <x:v>22431</x:v>
      </x:c>
      <x:c r="B2955" s="5" t="d">
        <x:v>2015-11-24T00:00:00.000Z</x:v>
      </x:c>
      <x:c r="C2955" s="1" t="str">
        <x:v>Standard Class</x:v>
      </x:c>
      <x:c r="D2955" s="1" t="str">
        <x:v>Pacific Asia</x:v>
      </x:c>
      <x:c r="E2955" s="1" t="str">
        <x:v>PENDING_PAYMENT</x:v>
      </x:c>
      <x:c r="F2955" s="1" t="str">
        <x:v>Advance shipping</x:v>
      </x:c>
      <x:c r="G2955" s="6" t="n">
        <x:v>2</x:v>
      </x:c>
      <x:c r="H2955" s="6" t="n">
        <x:v>4</x:v>
      </x:c>
      <x:c r="I2955" s="6" t="n">
        <x:f>G2955-H2955</x:f>
        <x:v>-2</x:v>
      </x:c>
      <x:c r="J2955" s="6" t="n">
        <x:f>IF(OR(E2955="CANCELED",E2955="SUSPECTED_FRAUD",F2955="Shipping canceled"),0,1)</x:f>
        <x:v>1</x:v>
      </x:c>
      <x:c r="K2955" s="6" t="n">
        <x:f>IF(G2955&gt;H2955,1,0)</x:f>
        <x:v>0</x:v>
      </x:c>
      <x:c r="L2955" s="6" t="n">
        <x:f>J2955*K2955</x:f>
        <x:v>0</x:v>
      </x:c>
    </x:row>
    <x:row r="2956">
      <x:c r="A2956" s="1" t="n">
        <x:v>22464</x:v>
      </x:c>
      <x:c r="B2956" s="5" t="d">
        <x:v>2015-11-24T00:00:00.000Z</x:v>
      </x:c>
      <x:c r="C2956" s="1" t="str">
        <x:v>Standard Class</x:v>
      </x:c>
      <x:c r="D2956" s="1" t="str">
        <x:v>Pacific Asia</x:v>
      </x:c>
      <x:c r="E2956" s="1" t="str">
        <x:v>PENDING</x:v>
      </x:c>
      <x:c r="F2956" s="1" t="str">
        <x:v>Late delivery</x:v>
      </x:c>
      <x:c r="G2956" s="6" t="n">
        <x:v>5</x:v>
      </x:c>
      <x:c r="H2956" s="6" t="n">
        <x:v>4</x:v>
      </x:c>
      <x:c r="I2956" s="6" t="n">
        <x:f>G2956-H2956</x:f>
        <x:v>1</x:v>
      </x:c>
      <x:c r="J2956" s="6" t="n">
        <x:f>IF(OR(E2956="CANCELED",E2956="SUSPECTED_FRAUD",F2956="Shipping canceled"),0,1)</x:f>
        <x:v>1</x:v>
      </x:c>
      <x:c r="K2956" s="6" t="n">
        <x:f>IF(G2956&gt;H2956,1,0)</x:f>
        <x:v>1</x:v>
      </x:c>
      <x:c r="L2956" s="6" t="n">
        <x:f>J2956*K2956</x:f>
        <x:v>1</x:v>
      </x:c>
    </x:row>
    <x:row r="2957">
      <x:c r="A2957" s="1" t="n">
        <x:v>22467</x:v>
      </x:c>
      <x:c r="B2957" s="5" t="d">
        <x:v>2015-11-24T00:00:00.000Z</x:v>
      </x:c>
      <x:c r="C2957" s="1" t="str">
        <x:v>Standard Class</x:v>
      </x:c>
      <x:c r="D2957" s="1" t="str">
        <x:v>Pacific Asia</x:v>
      </x:c>
      <x:c r="E2957" s="1" t="str">
        <x:v>COMPLETE</x:v>
      </x:c>
      <x:c r="F2957" s="1" t="str">
        <x:v>Advance shipping</x:v>
      </x:c>
      <x:c r="G2957" s="6" t="n">
        <x:v>3</x:v>
      </x:c>
      <x:c r="H2957" s="6" t="n">
        <x:v>4</x:v>
      </x:c>
      <x:c r="I2957" s="6" t="n">
        <x:f>G2957-H2957</x:f>
        <x:v>-1</x:v>
      </x:c>
      <x:c r="J2957" s="6" t="n">
        <x:f>IF(OR(E2957="CANCELED",E2957="SUSPECTED_FRAUD",F2957="Shipping canceled"),0,1)</x:f>
        <x:v>1</x:v>
      </x:c>
      <x:c r="K2957" s="6" t="n">
        <x:f>IF(G2957&gt;H2957,1,0)</x:f>
        <x:v>0</x:v>
      </x:c>
      <x:c r="L2957" s="6" t="n">
        <x:f>J2957*K2957</x:f>
        <x:v>0</x:v>
      </x:c>
    </x:row>
    <x:row r="2958">
      <x:c r="A2958" s="1" t="n">
        <x:v>22468</x:v>
      </x:c>
      <x:c r="B2958" s="5" t="d">
        <x:v>2015-11-24T00:00:00.000Z</x:v>
      </x:c>
      <x:c r="C2958" s="1" t="str">
        <x:v>Standard Class</x:v>
      </x:c>
      <x:c r="D2958" s="1" t="str">
        <x:v>Pacific Asia</x:v>
      </x:c>
      <x:c r="E2958" s="1" t="str">
        <x:v>PENDING</x:v>
      </x:c>
      <x:c r="F2958" s="1" t="str">
        <x:v>Shipping on time</x:v>
      </x:c>
      <x:c r="G2958" s="6" t="n">
        <x:v>4</x:v>
      </x:c>
      <x:c r="H2958" s="6" t="n">
        <x:v>4</x:v>
      </x:c>
      <x:c r="I2958" s="6" t="n">
        <x:f>G2958-H2958</x:f>
        <x:v>0</x:v>
      </x:c>
      <x:c r="J2958" s="6" t="n">
        <x:f>IF(OR(E2958="CANCELED",E2958="SUSPECTED_FRAUD",F2958="Shipping canceled"),0,1)</x:f>
        <x:v>1</x:v>
      </x:c>
      <x:c r="K2958" s="6" t="n">
        <x:f>IF(G2958&gt;H2958,1,0)</x:f>
        <x:v>0</x:v>
      </x:c>
      <x:c r="L2958" s="6" t="n">
        <x:f>J2958*K2958</x:f>
        <x:v>0</x:v>
      </x:c>
    </x:row>
    <x:row r="2959">
      <x:c r="A2959" s="1" t="n">
        <x:v>22481</x:v>
      </x:c>
      <x:c r="B2959" s="5" t="d">
        <x:v>2015-11-25T00:00:00.000Z</x:v>
      </x:c>
      <x:c r="C2959" s="1" t="str">
        <x:v>Standard Class</x:v>
      </x:c>
      <x:c r="D2959" s="1" t="str">
        <x:v>Pacific Asia</x:v>
      </x:c>
      <x:c r="E2959" s="1" t="str">
        <x:v>PROCESSING</x:v>
      </x:c>
      <x:c r="F2959" s="1" t="str">
        <x:v>Advance shipping</x:v>
      </x:c>
      <x:c r="G2959" s="6" t="n">
        <x:v>2</x:v>
      </x:c>
      <x:c r="H2959" s="6" t="n">
        <x:v>4</x:v>
      </x:c>
      <x:c r="I2959" s="6" t="n">
        <x:f>G2959-H2959</x:f>
        <x:v>-2</x:v>
      </x:c>
      <x:c r="J2959" s="6" t="n">
        <x:f>IF(OR(E2959="CANCELED",E2959="SUSPECTED_FRAUD",F2959="Shipping canceled"),0,1)</x:f>
        <x:v>1</x:v>
      </x:c>
      <x:c r="K2959" s="6" t="n">
        <x:f>IF(G2959&gt;H2959,1,0)</x:f>
        <x:v>0</x:v>
      </x:c>
      <x:c r="L2959" s="6" t="n">
        <x:f>J2959*K2959</x:f>
        <x:v>0</x:v>
      </x:c>
    </x:row>
    <x:row r="2960">
      <x:c r="A2960" s="1" t="n">
        <x:v>22482</x:v>
      </x:c>
      <x:c r="B2960" s="5" t="d">
        <x:v>2015-11-25T00:00:00.000Z</x:v>
      </x:c>
      <x:c r="C2960" s="1" t="str">
        <x:v>Standard Class</x:v>
      </x:c>
      <x:c r="D2960" s="1" t="str">
        <x:v>Pacific Asia</x:v>
      </x:c>
      <x:c r="E2960" s="1" t="str">
        <x:v>COMPLETE</x:v>
      </x:c>
      <x:c r="F2960" s="1" t="str">
        <x:v>Advance shipping</x:v>
      </x:c>
      <x:c r="G2960" s="6" t="n">
        <x:v>3</x:v>
      </x:c>
      <x:c r="H2960" s="6" t="n">
        <x:v>4</x:v>
      </x:c>
      <x:c r="I2960" s="6" t="n">
        <x:f>G2960-H2960</x:f>
        <x:v>-1</x:v>
      </x:c>
      <x:c r="J2960" s="6" t="n">
        <x:f>IF(OR(E2960="CANCELED",E2960="SUSPECTED_FRAUD",F2960="Shipping canceled"),0,1)</x:f>
        <x:v>1</x:v>
      </x:c>
      <x:c r="K2960" s="6" t="n">
        <x:f>IF(G2960&gt;H2960,1,0)</x:f>
        <x:v>0</x:v>
      </x:c>
      <x:c r="L2960" s="6" t="n">
        <x:f>J2960*K2960</x:f>
        <x:v>0</x:v>
      </x:c>
    </x:row>
    <x:row r="2961">
      <x:c r="A2961" s="1" t="n">
        <x:v>22488</x:v>
      </x:c>
      <x:c r="B2961" s="5" t="d">
        <x:v>2015-11-25T00:00:00.000Z</x:v>
      </x:c>
      <x:c r="C2961" s="1" t="str">
        <x:v>Standard Class</x:v>
      </x:c>
      <x:c r="D2961" s="1" t="str">
        <x:v>Pacific Asia</x:v>
      </x:c>
      <x:c r="E2961" s="1" t="str">
        <x:v>COMPLETE</x:v>
      </x:c>
      <x:c r="F2961" s="1" t="str">
        <x:v>Shipping on time</x:v>
      </x:c>
      <x:c r="G2961" s="6" t="n">
        <x:v>4</x:v>
      </x:c>
      <x:c r="H2961" s="6" t="n">
        <x:v>4</x:v>
      </x:c>
      <x:c r="I2961" s="6" t="n">
        <x:f>G2961-H2961</x:f>
        <x:v>0</x:v>
      </x:c>
      <x:c r="J2961" s="6" t="n">
        <x:f>IF(OR(E2961="CANCELED",E2961="SUSPECTED_FRAUD",F2961="Shipping canceled"),0,1)</x:f>
        <x:v>1</x:v>
      </x:c>
      <x:c r="K2961" s="6" t="n">
        <x:f>IF(G2961&gt;H2961,1,0)</x:f>
        <x:v>0</x:v>
      </x:c>
      <x:c r="L2961" s="6" t="n">
        <x:f>J2961*K2961</x:f>
        <x:v>0</x:v>
      </x:c>
    </x:row>
    <x:row r="2962">
      <x:c r="A2962" s="1" t="n">
        <x:v>22490</x:v>
      </x:c>
      <x:c r="B2962" s="5" t="d">
        <x:v>2015-11-25T00:00:00.000Z</x:v>
      </x:c>
      <x:c r="C2962" s="1" t="str">
        <x:v>Standard Class</x:v>
      </x:c>
      <x:c r="D2962" s="1" t="str">
        <x:v>Pacific Asia</x:v>
      </x:c>
      <x:c r="E2962" s="1" t="str">
        <x:v>PENDING_PAYMENT</x:v>
      </x:c>
      <x:c r="F2962" s="1" t="str">
        <x:v>Late delivery</x:v>
      </x:c>
      <x:c r="G2962" s="6" t="n">
        <x:v>6</x:v>
      </x:c>
      <x:c r="H2962" s="6" t="n">
        <x:v>4</x:v>
      </x:c>
      <x:c r="I2962" s="6" t="n">
        <x:f>G2962-H2962</x:f>
        <x:v>2</x:v>
      </x:c>
      <x:c r="J2962" s="6" t="n">
        <x:f>IF(OR(E2962="CANCELED",E2962="SUSPECTED_FRAUD",F2962="Shipping canceled"),0,1)</x:f>
        <x:v>1</x:v>
      </x:c>
      <x:c r="K2962" s="6" t="n">
        <x:f>IF(G2962&gt;H2962,1,0)</x:f>
        <x:v>1</x:v>
      </x:c>
      <x:c r="L2962" s="6" t="n">
        <x:f>J2962*K2962</x:f>
        <x:v>1</x:v>
      </x:c>
    </x:row>
    <x:row r="2963">
      <x:c r="A2963" s="1" t="n">
        <x:v>22496</x:v>
      </x:c>
      <x:c r="B2963" s="5" t="d">
        <x:v>2015-11-25T00:00:00.000Z</x:v>
      </x:c>
      <x:c r="C2963" s="1" t="str">
        <x:v>Standard Class</x:v>
      </x:c>
      <x:c r="D2963" s="1" t="str">
        <x:v>Pacific Asia</x:v>
      </x:c>
      <x:c r="E2963" s="1" t="str">
        <x:v>COMPLETE</x:v>
      </x:c>
      <x:c r="F2963" s="1" t="str">
        <x:v>Advance shipping</x:v>
      </x:c>
      <x:c r="G2963" s="6" t="n">
        <x:v>2</x:v>
      </x:c>
      <x:c r="H2963" s="6" t="n">
        <x:v>4</x:v>
      </x:c>
      <x:c r="I2963" s="6" t="n">
        <x:f>G2963-H2963</x:f>
        <x:v>-2</x:v>
      </x:c>
      <x:c r="J2963" s="6" t="n">
        <x:f>IF(OR(E2963="CANCELED",E2963="SUSPECTED_FRAUD",F2963="Shipping canceled"),0,1)</x:f>
        <x:v>1</x:v>
      </x:c>
      <x:c r="K2963" s="6" t="n">
        <x:f>IF(G2963&gt;H2963,1,0)</x:f>
        <x:v>0</x:v>
      </x:c>
      <x:c r="L2963" s="6" t="n">
        <x:f>J2963*K2963</x:f>
        <x:v>0</x:v>
      </x:c>
    </x:row>
    <x:row r="2964">
      <x:c r="A2964" s="1" t="n">
        <x:v>22499</x:v>
      </x:c>
      <x:c r="B2964" s="5" t="d">
        <x:v>2015-11-25T00:00:00.000Z</x:v>
      </x:c>
      <x:c r="C2964" s="1" t="str">
        <x:v>Standard Class</x:v>
      </x:c>
      <x:c r="D2964" s="1" t="str">
        <x:v>Pacific Asia</x:v>
      </x:c>
      <x:c r="E2964" s="1" t="str">
        <x:v>COMPLETE</x:v>
      </x:c>
      <x:c r="F2964" s="1" t="str">
        <x:v>Late delivery</x:v>
      </x:c>
      <x:c r="G2964" s="6" t="n">
        <x:v>5</x:v>
      </x:c>
      <x:c r="H2964" s="6" t="n">
        <x:v>4</x:v>
      </x:c>
      <x:c r="I2964" s="6" t="n">
        <x:f>G2964-H2964</x:f>
        <x:v>1</x:v>
      </x:c>
      <x:c r="J2964" s="6" t="n">
        <x:f>IF(OR(E2964="CANCELED",E2964="SUSPECTED_FRAUD",F2964="Shipping canceled"),0,1)</x:f>
        <x:v>1</x:v>
      </x:c>
      <x:c r="K2964" s="6" t="n">
        <x:f>IF(G2964&gt;H2964,1,0)</x:f>
        <x:v>1</x:v>
      </x:c>
      <x:c r="L2964" s="6" t="n">
        <x:f>J2964*K2964</x:f>
        <x:v>1</x:v>
      </x:c>
    </x:row>
    <x:row r="2965">
      <x:c r="A2965" s="1" t="n">
        <x:v>22502</x:v>
      </x:c>
      <x:c r="B2965" s="5" t="d">
        <x:v>2015-11-25T00:00:00.000Z</x:v>
      </x:c>
      <x:c r="C2965" s="1" t="str">
        <x:v>Standard Class</x:v>
      </x:c>
      <x:c r="D2965" s="1" t="str">
        <x:v>Pacific Asia</x:v>
      </x:c>
      <x:c r="E2965" s="1" t="str">
        <x:v>PENDING</x:v>
      </x:c>
      <x:c r="F2965" s="1" t="str">
        <x:v>Advance shipping</x:v>
      </x:c>
      <x:c r="G2965" s="6" t="n">
        <x:v>3</x:v>
      </x:c>
      <x:c r="H2965" s="6" t="n">
        <x:v>4</x:v>
      </x:c>
      <x:c r="I2965" s="6" t="n">
        <x:f>G2965-H2965</x:f>
        <x:v>-1</x:v>
      </x:c>
      <x:c r="J2965" s="6" t="n">
        <x:f>IF(OR(E2965="CANCELED",E2965="SUSPECTED_FRAUD",F2965="Shipping canceled"),0,1)</x:f>
        <x:v>1</x:v>
      </x:c>
      <x:c r="K2965" s="6" t="n">
        <x:f>IF(G2965&gt;H2965,1,0)</x:f>
        <x:v>0</x:v>
      </x:c>
      <x:c r="L2965" s="6" t="n">
        <x:f>J2965*K2965</x:f>
        <x:v>0</x:v>
      </x:c>
    </x:row>
    <x:row r="2966">
      <x:c r="A2966" s="1" t="n">
        <x:v>22505</x:v>
      </x:c>
      <x:c r="B2966" s="5" t="d">
        <x:v>2015-11-25T00:00:00.000Z</x:v>
      </x:c>
      <x:c r="C2966" s="1" t="str">
        <x:v>Standard Class</x:v>
      </x:c>
      <x:c r="D2966" s="1" t="str">
        <x:v>Pacific Asia</x:v>
      </x:c>
      <x:c r="E2966" s="1" t="str">
        <x:v>COMPLETE</x:v>
      </x:c>
      <x:c r="F2966" s="1" t="str">
        <x:v>Late delivery</x:v>
      </x:c>
      <x:c r="G2966" s="6" t="n">
        <x:v>6</x:v>
      </x:c>
      <x:c r="H2966" s="6" t="n">
        <x:v>4</x:v>
      </x:c>
      <x:c r="I2966" s="6" t="n">
        <x:f>G2966-H2966</x:f>
        <x:v>2</x:v>
      </x:c>
      <x:c r="J2966" s="6" t="n">
        <x:f>IF(OR(E2966="CANCELED",E2966="SUSPECTED_FRAUD",F2966="Shipping canceled"),0,1)</x:f>
        <x:v>1</x:v>
      </x:c>
      <x:c r="K2966" s="6" t="n">
        <x:f>IF(G2966&gt;H2966,1,0)</x:f>
        <x:v>1</x:v>
      </x:c>
      <x:c r="L2966" s="6" t="n">
        <x:f>J2966*K2966</x:f>
        <x:v>1</x:v>
      </x:c>
    </x:row>
    <x:row r="2967">
      <x:c r="A2967" s="1" t="n">
        <x:v>22510</x:v>
      </x:c>
      <x:c r="B2967" s="5" t="d">
        <x:v>2015-11-25T00:00:00.000Z</x:v>
      </x:c>
      <x:c r="C2967" s="1" t="str">
        <x:v>Standard Class</x:v>
      </x:c>
      <x:c r="D2967" s="1" t="str">
        <x:v>Pacific Asia</x:v>
      </x:c>
      <x:c r="E2967" s="1" t="str">
        <x:v>COMPLETE</x:v>
      </x:c>
      <x:c r="F2967" s="1" t="str">
        <x:v>Late delivery</x:v>
      </x:c>
      <x:c r="G2967" s="6" t="n">
        <x:v>6</x:v>
      </x:c>
      <x:c r="H2967" s="6" t="n">
        <x:v>4</x:v>
      </x:c>
      <x:c r="I2967" s="6" t="n">
        <x:f>G2967-H2967</x:f>
        <x:v>2</x:v>
      </x:c>
      <x:c r="J2967" s="6" t="n">
        <x:f>IF(OR(E2967="CANCELED",E2967="SUSPECTED_FRAUD",F2967="Shipping canceled"),0,1)</x:f>
        <x:v>1</x:v>
      </x:c>
      <x:c r="K2967" s="6" t="n">
        <x:f>IF(G2967&gt;H2967,1,0)</x:f>
        <x:v>1</x:v>
      </x:c>
      <x:c r="L2967" s="6" t="n">
        <x:f>J2967*K2967</x:f>
        <x:v>1</x:v>
      </x:c>
    </x:row>
    <x:row r="2968">
      <x:c r="A2968" s="1" t="n">
        <x:v>22511</x:v>
      </x:c>
      <x:c r="B2968" s="5" t="d">
        <x:v>2015-11-25T00:00:00.000Z</x:v>
      </x:c>
      <x:c r="C2968" s="1" t="str">
        <x:v>Standard Class</x:v>
      </x:c>
      <x:c r="D2968" s="1" t="str">
        <x:v>Pacific Asia</x:v>
      </x:c>
      <x:c r="E2968" s="1" t="str">
        <x:v>CLOSED</x:v>
      </x:c>
      <x:c r="F2968" s="1" t="str">
        <x:v>Advance shipping</x:v>
      </x:c>
      <x:c r="G2968" s="6" t="n">
        <x:v>2</x:v>
      </x:c>
      <x:c r="H2968" s="6" t="n">
        <x:v>4</x:v>
      </x:c>
      <x:c r="I2968" s="6" t="n">
        <x:f>G2968-H2968</x:f>
        <x:v>-2</x:v>
      </x:c>
      <x:c r="J2968" s="6" t="n">
        <x:f>IF(OR(E2968="CANCELED",E2968="SUSPECTED_FRAUD",F2968="Shipping canceled"),0,1)</x:f>
        <x:v>1</x:v>
      </x:c>
      <x:c r="K2968" s="6" t="n">
        <x:f>IF(G2968&gt;H2968,1,0)</x:f>
        <x:v>0</x:v>
      </x:c>
      <x:c r="L2968" s="6" t="n">
        <x:f>J2968*K2968</x:f>
        <x:v>0</x:v>
      </x:c>
    </x:row>
    <x:row r="2969">
      <x:c r="A2969" s="1" t="n">
        <x:v>22515</x:v>
      </x:c>
      <x:c r="B2969" s="5" t="d">
        <x:v>2015-11-25T00:00:00.000Z</x:v>
      </x:c>
      <x:c r="C2969" s="1" t="str">
        <x:v>First Class</x:v>
      </x:c>
      <x:c r="D2969" s="1" t="str">
        <x:v>Pacific Asia</x:v>
      </x:c>
      <x:c r="E2969" s="1" t="str">
        <x:v>CLOSED</x:v>
      </x:c>
      <x:c r="F2969" s="1" t="str">
        <x:v>Late delivery</x:v>
      </x:c>
      <x:c r="G2969" s="6" t="n">
        <x:v>2</x:v>
      </x:c>
      <x:c r="H2969" s="6" t="n">
        <x:v>1</x:v>
      </x:c>
      <x:c r="I2969" s="6" t="n">
        <x:f>G2969-H2969</x:f>
        <x:v>1</x:v>
      </x:c>
      <x:c r="J2969" s="6" t="n">
        <x:f>IF(OR(E2969="CANCELED",E2969="SUSPECTED_FRAUD",F2969="Shipping canceled"),0,1)</x:f>
        <x:v>1</x:v>
      </x:c>
      <x:c r="K2969" s="6" t="n">
        <x:f>IF(G2969&gt;H2969,1,0)</x:f>
        <x:v>1</x:v>
      </x:c>
      <x:c r="L2969" s="6" t="n">
        <x:f>J2969*K2969</x:f>
        <x:v>1</x:v>
      </x:c>
    </x:row>
    <x:row r="2970">
      <x:c r="A2970" s="1" t="n">
        <x:v>22533</x:v>
      </x:c>
      <x:c r="B2970" s="5" t="d">
        <x:v>2015-11-25T00:00:00.000Z</x:v>
      </x:c>
      <x:c r="C2970" s="1" t="str">
        <x:v>Standard Class</x:v>
      </x:c>
      <x:c r="D2970" s="1" t="str">
        <x:v>Pacific Asia</x:v>
      </x:c>
      <x:c r="E2970" s="1" t="str">
        <x:v>PENDING</x:v>
      </x:c>
      <x:c r="F2970" s="1" t="str">
        <x:v>Shipping on time</x:v>
      </x:c>
      <x:c r="G2970" s="6" t="n">
        <x:v>4</x:v>
      </x:c>
      <x:c r="H2970" s="6" t="n">
        <x:v>4</x:v>
      </x:c>
      <x:c r="I2970" s="6" t="n">
        <x:f>G2970-H2970</x:f>
        <x:v>0</x:v>
      </x:c>
      <x:c r="J2970" s="6" t="n">
        <x:f>IF(OR(E2970="CANCELED",E2970="SUSPECTED_FRAUD",F2970="Shipping canceled"),0,1)</x:f>
        <x:v>1</x:v>
      </x:c>
      <x:c r="K2970" s="6" t="n">
        <x:f>IF(G2970&gt;H2970,1,0)</x:f>
        <x:v>0</x:v>
      </x:c>
      <x:c r="L2970" s="6" t="n">
        <x:f>J2970*K2970</x:f>
        <x:v>0</x:v>
      </x:c>
    </x:row>
    <x:row r="2971">
      <x:c r="A2971" s="1" t="n">
        <x:v>22536</x:v>
      </x:c>
      <x:c r="B2971" s="5" t="d">
        <x:v>2015-11-25T00:00:00.000Z</x:v>
      </x:c>
      <x:c r="C2971" s="1" t="str">
        <x:v>Standard Class</x:v>
      </x:c>
      <x:c r="D2971" s="1" t="str">
        <x:v>Pacific Asia</x:v>
      </x:c>
      <x:c r="E2971" s="1" t="str">
        <x:v>PROCESSING</x:v>
      </x:c>
      <x:c r="F2971" s="1" t="str">
        <x:v>Advance shipping</x:v>
      </x:c>
      <x:c r="G2971" s="6" t="n">
        <x:v>2</x:v>
      </x:c>
      <x:c r="H2971" s="6" t="n">
        <x:v>4</x:v>
      </x:c>
      <x:c r="I2971" s="6" t="n">
        <x:f>G2971-H2971</x:f>
        <x:v>-2</x:v>
      </x:c>
      <x:c r="J2971" s="6" t="n">
        <x:f>IF(OR(E2971="CANCELED",E2971="SUSPECTED_FRAUD",F2971="Shipping canceled"),0,1)</x:f>
        <x:v>1</x:v>
      </x:c>
      <x:c r="K2971" s="6" t="n">
        <x:f>IF(G2971&gt;H2971,1,0)</x:f>
        <x:v>0</x:v>
      </x:c>
      <x:c r="L2971" s="6" t="n">
        <x:f>J2971*K2971</x:f>
        <x:v>0</x:v>
      </x:c>
    </x:row>
    <x:row r="2972">
      <x:c r="A2972" s="1" t="n">
        <x:v>22549</x:v>
      </x:c>
      <x:c r="B2972" s="5" t="d">
        <x:v>2015-11-26T00:00:00.000Z</x:v>
      </x:c>
      <x:c r="C2972" s="1" t="str">
        <x:v>Standard Class</x:v>
      </x:c>
      <x:c r="D2972" s="1" t="str">
        <x:v>Pacific Asia</x:v>
      </x:c>
      <x:c r="E2972" s="1" t="str">
        <x:v>COMPLETE</x:v>
      </x:c>
      <x:c r="F2972" s="1" t="str">
        <x:v>Late delivery</x:v>
      </x:c>
      <x:c r="G2972" s="6" t="n">
        <x:v>5</x:v>
      </x:c>
      <x:c r="H2972" s="6" t="n">
        <x:v>4</x:v>
      </x:c>
      <x:c r="I2972" s="6" t="n">
        <x:f>G2972-H2972</x:f>
        <x:v>1</x:v>
      </x:c>
      <x:c r="J2972" s="6" t="n">
        <x:f>IF(OR(E2972="CANCELED",E2972="SUSPECTED_FRAUD",F2972="Shipping canceled"),0,1)</x:f>
        <x:v>1</x:v>
      </x:c>
      <x:c r="K2972" s="6" t="n">
        <x:f>IF(G2972&gt;H2972,1,0)</x:f>
        <x:v>1</x:v>
      </x:c>
      <x:c r="L2972" s="6" t="n">
        <x:f>J2972*K2972</x:f>
        <x:v>1</x:v>
      </x:c>
    </x:row>
    <x:row r="2973">
      <x:c r="A2973" s="1" t="n">
        <x:v>22558</x:v>
      </x:c>
      <x:c r="B2973" s="5" t="d">
        <x:v>2015-11-26T00:00:00.000Z</x:v>
      </x:c>
      <x:c r="C2973" s="1" t="str">
        <x:v>Second Class</x:v>
      </x:c>
      <x:c r="D2973" s="1" t="str">
        <x:v>Pacific Asia</x:v>
      </x:c>
      <x:c r="E2973" s="1" t="str">
        <x:v>COMPLETE</x:v>
      </x:c>
      <x:c r="F2973" s="1" t="str">
        <x:v>Late delivery</x:v>
      </x:c>
      <x:c r="G2973" s="6" t="n">
        <x:v>4</x:v>
      </x:c>
      <x:c r="H2973" s="6" t="n">
        <x:v>2</x:v>
      </x:c>
      <x:c r="I2973" s="6" t="n">
        <x:f>G2973-H2973</x:f>
        <x:v>2</x:v>
      </x:c>
      <x:c r="J2973" s="6" t="n">
        <x:f>IF(OR(E2973="CANCELED",E2973="SUSPECTED_FRAUD",F2973="Shipping canceled"),0,1)</x:f>
        <x:v>1</x:v>
      </x:c>
      <x:c r="K2973" s="6" t="n">
        <x:f>IF(G2973&gt;H2973,1,0)</x:f>
        <x:v>1</x:v>
      </x:c>
      <x:c r="L2973" s="6" t="n">
        <x:f>J2973*K2973</x:f>
        <x:v>1</x:v>
      </x:c>
    </x:row>
    <x:row r="2974">
      <x:c r="A2974" s="1" t="n">
        <x:v>22572</x:v>
      </x:c>
      <x:c r="B2974" s="5" t="d">
        <x:v>2015-11-26T00:00:00.000Z</x:v>
      </x:c>
      <x:c r="C2974" s="1" t="str">
        <x:v>Standard Class</x:v>
      </x:c>
      <x:c r="D2974" s="1" t="str">
        <x:v>Pacific Asia</x:v>
      </x:c>
      <x:c r="E2974" s="1" t="str">
        <x:v>COMPLETE</x:v>
      </x:c>
      <x:c r="F2974" s="1" t="str">
        <x:v>Advance shipping</x:v>
      </x:c>
      <x:c r="G2974" s="6" t="n">
        <x:v>3</x:v>
      </x:c>
      <x:c r="H2974" s="6" t="n">
        <x:v>4</x:v>
      </x:c>
      <x:c r="I2974" s="6" t="n">
        <x:f>G2974-H2974</x:f>
        <x:v>-1</x:v>
      </x:c>
      <x:c r="J2974" s="6" t="n">
        <x:f>IF(OR(E2974="CANCELED",E2974="SUSPECTED_FRAUD",F2974="Shipping canceled"),0,1)</x:f>
        <x:v>1</x:v>
      </x:c>
      <x:c r="K2974" s="6" t="n">
        <x:f>IF(G2974&gt;H2974,1,0)</x:f>
        <x:v>0</x:v>
      </x:c>
      <x:c r="L2974" s="6" t="n">
        <x:f>J2974*K2974</x:f>
        <x:v>0</x:v>
      </x:c>
    </x:row>
    <x:row r="2975">
      <x:c r="A2975" s="1" t="n">
        <x:v>22573</x:v>
      </x:c>
      <x:c r="B2975" s="5" t="d">
        <x:v>2015-11-26T00:00:00.000Z</x:v>
      </x:c>
      <x:c r="C2975" s="1" t="str">
        <x:v>Standard Class</x:v>
      </x:c>
      <x:c r="D2975" s="1" t="str">
        <x:v>Pacific Asia</x:v>
      </x:c>
      <x:c r="E2975" s="1" t="str">
        <x:v>COMPLETE</x:v>
      </x:c>
      <x:c r="F2975" s="1" t="str">
        <x:v>Shipping on time</x:v>
      </x:c>
      <x:c r="G2975" s="6" t="n">
        <x:v>4</x:v>
      </x:c>
      <x:c r="H2975" s="6" t="n">
        <x:v>4</x:v>
      </x:c>
      <x:c r="I2975" s="6" t="n">
        <x:f>G2975-H2975</x:f>
        <x:v>0</x:v>
      </x:c>
      <x:c r="J2975" s="6" t="n">
        <x:f>IF(OR(E2975="CANCELED",E2975="SUSPECTED_FRAUD",F2975="Shipping canceled"),0,1)</x:f>
        <x:v>1</x:v>
      </x:c>
      <x:c r="K2975" s="6" t="n">
        <x:f>IF(G2975&gt;H2975,1,0)</x:f>
        <x:v>0</x:v>
      </x:c>
      <x:c r="L2975" s="6" t="n">
        <x:f>J2975*K2975</x:f>
        <x:v>0</x:v>
      </x:c>
    </x:row>
    <x:row r="2976">
      <x:c r="A2976" s="1" t="n">
        <x:v>22579</x:v>
      </x:c>
      <x:c r="B2976" s="5" t="d">
        <x:v>2015-11-26T00:00:00.000Z</x:v>
      </x:c>
      <x:c r="C2976" s="1" t="str">
        <x:v>Standard Class</x:v>
      </x:c>
      <x:c r="D2976" s="1" t="str">
        <x:v>Pacific Asia</x:v>
      </x:c>
      <x:c r="E2976" s="1" t="str">
        <x:v>COMPLETE</x:v>
      </x:c>
      <x:c r="F2976" s="1" t="str">
        <x:v>Late delivery</x:v>
      </x:c>
      <x:c r="G2976" s="6" t="n">
        <x:v>5</x:v>
      </x:c>
      <x:c r="H2976" s="6" t="n">
        <x:v>4</x:v>
      </x:c>
      <x:c r="I2976" s="6" t="n">
        <x:f>G2976-H2976</x:f>
        <x:v>1</x:v>
      </x:c>
      <x:c r="J2976" s="6" t="n">
        <x:f>IF(OR(E2976="CANCELED",E2976="SUSPECTED_FRAUD",F2976="Shipping canceled"),0,1)</x:f>
        <x:v>1</x:v>
      </x:c>
      <x:c r="K2976" s="6" t="n">
        <x:f>IF(G2976&gt;H2976,1,0)</x:f>
        <x:v>1</x:v>
      </x:c>
      <x:c r="L2976" s="6" t="n">
        <x:f>J2976*K2976</x:f>
        <x:v>1</x:v>
      </x:c>
    </x:row>
    <x:row r="2977">
      <x:c r="A2977" s="1" t="n">
        <x:v>22582</x:v>
      </x:c>
      <x:c r="B2977" s="5" t="d">
        <x:v>2015-11-26T00:00:00.000Z</x:v>
      </x:c>
      <x:c r="C2977" s="1" t="str">
        <x:v>Second Class</x:v>
      </x:c>
      <x:c r="D2977" s="1" t="str">
        <x:v>Pacific Asia</x:v>
      </x:c>
      <x:c r="E2977" s="1" t="str">
        <x:v>COMPLETE</x:v>
      </x:c>
      <x:c r="F2977" s="1" t="str">
        <x:v>Late delivery</x:v>
      </x:c>
      <x:c r="G2977" s="6" t="n">
        <x:v>3</x:v>
      </x:c>
      <x:c r="H2977" s="6" t="n">
        <x:v>2</x:v>
      </x:c>
      <x:c r="I2977" s="6" t="n">
        <x:f>G2977-H2977</x:f>
        <x:v>1</x:v>
      </x:c>
      <x:c r="J2977" s="6" t="n">
        <x:f>IF(OR(E2977="CANCELED",E2977="SUSPECTED_FRAUD",F2977="Shipping canceled"),0,1)</x:f>
        <x:v>1</x:v>
      </x:c>
      <x:c r="K2977" s="6" t="n">
        <x:f>IF(G2977&gt;H2977,1,0)</x:f>
        <x:v>1</x:v>
      </x:c>
      <x:c r="L2977" s="6" t="n">
        <x:f>J2977*K2977</x:f>
        <x:v>1</x:v>
      </x:c>
    </x:row>
    <x:row r="2978">
      <x:c r="A2978" s="1" t="n">
        <x:v>22595</x:v>
      </x:c>
      <x:c r="B2978" s="5" t="d">
        <x:v>2015-11-26T00:00:00.000Z</x:v>
      </x:c>
      <x:c r="C2978" s="1" t="str">
        <x:v>Second Class</x:v>
      </x:c>
      <x:c r="D2978" s="1" t="str">
        <x:v>Pacific Asia</x:v>
      </x:c>
      <x:c r="E2978" s="1" t="str">
        <x:v>CLOSED</x:v>
      </x:c>
      <x:c r="F2978" s="1" t="str">
        <x:v>Late delivery</x:v>
      </x:c>
      <x:c r="G2978" s="6" t="n">
        <x:v>6</x:v>
      </x:c>
      <x:c r="H2978" s="6" t="n">
        <x:v>2</x:v>
      </x:c>
      <x:c r="I2978" s="6" t="n">
        <x:f>G2978-H2978</x:f>
        <x:v>4</x:v>
      </x:c>
      <x:c r="J2978" s="6" t="n">
        <x:f>IF(OR(E2978="CANCELED",E2978="SUSPECTED_FRAUD",F2978="Shipping canceled"),0,1)</x:f>
        <x:v>1</x:v>
      </x:c>
      <x:c r="K2978" s="6" t="n">
        <x:f>IF(G2978&gt;H2978,1,0)</x:f>
        <x:v>1</x:v>
      </x:c>
      <x:c r="L2978" s="6" t="n">
        <x:f>J2978*K2978</x:f>
        <x:v>1</x:v>
      </x:c>
    </x:row>
    <x:row r="2979">
      <x:c r="A2979" s="1" t="n">
        <x:v>22601</x:v>
      </x:c>
      <x:c r="B2979" s="5" t="d">
        <x:v>2015-11-26T00:00:00.000Z</x:v>
      </x:c>
      <x:c r="C2979" s="1" t="str">
        <x:v>Standard Class</x:v>
      </x:c>
      <x:c r="D2979" s="1" t="str">
        <x:v>Pacific Asia</x:v>
      </x:c>
      <x:c r="E2979" s="1" t="str">
        <x:v>PROCESSING</x:v>
      </x:c>
      <x:c r="F2979" s="1" t="str">
        <x:v>Advance shipping</x:v>
      </x:c>
      <x:c r="G2979" s="6" t="n">
        <x:v>2</x:v>
      </x:c>
      <x:c r="H2979" s="6" t="n">
        <x:v>4</x:v>
      </x:c>
      <x:c r="I2979" s="6" t="n">
        <x:f>G2979-H2979</x:f>
        <x:v>-2</x:v>
      </x:c>
      <x:c r="J2979" s="6" t="n">
        <x:f>IF(OR(E2979="CANCELED",E2979="SUSPECTED_FRAUD",F2979="Shipping canceled"),0,1)</x:f>
        <x:v>1</x:v>
      </x:c>
      <x:c r="K2979" s="6" t="n">
        <x:f>IF(G2979&gt;H2979,1,0)</x:f>
        <x:v>0</x:v>
      </x:c>
      <x:c r="L2979" s="6" t="n">
        <x:f>J2979*K2979</x:f>
        <x:v>0</x:v>
      </x:c>
    </x:row>
    <x:row r="2980">
      <x:c r="A2980" s="1" t="n">
        <x:v>22603</x:v>
      </x:c>
      <x:c r="B2980" s="5" t="d">
        <x:v>2015-11-26T00:00:00.000Z</x:v>
      </x:c>
      <x:c r="C2980" s="1" t="str">
        <x:v>Second Class</x:v>
      </x:c>
      <x:c r="D2980" s="1" t="str">
        <x:v>Pacific Asia</x:v>
      </x:c>
      <x:c r="E2980" s="1" t="str">
        <x:v>COMPLETE</x:v>
      </x:c>
      <x:c r="F2980" s="1" t="str">
        <x:v>Late delivery</x:v>
      </x:c>
      <x:c r="G2980" s="6" t="n">
        <x:v>4</x:v>
      </x:c>
      <x:c r="H2980" s="6" t="n">
        <x:v>2</x:v>
      </x:c>
      <x:c r="I2980" s="6" t="n">
        <x:f>G2980-H2980</x:f>
        <x:v>2</x:v>
      </x:c>
      <x:c r="J2980" s="6" t="n">
        <x:f>IF(OR(E2980="CANCELED",E2980="SUSPECTED_FRAUD",F2980="Shipping canceled"),0,1)</x:f>
        <x:v>1</x:v>
      </x:c>
      <x:c r="K2980" s="6" t="n">
        <x:f>IF(G2980&gt;H2980,1,0)</x:f>
        <x:v>1</x:v>
      </x:c>
      <x:c r="L2980" s="6" t="n">
        <x:f>J2980*K2980</x:f>
        <x:v>1</x:v>
      </x:c>
    </x:row>
    <x:row r="2981">
      <x:c r="A2981" s="1" t="n">
        <x:v>22604</x:v>
      </x:c>
      <x:c r="B2981" s="5" t="d">
        <x:v>2015-11-26T00:00:00.000Z</x:v>
      </x:c>
      <x:c r="C2981" s="1" t="str">
        <x:v>Standard Class</x:v>
      </x:c>
      <x:c r="D2981" s="1" t="str">
        <x:v>Pacific Asia</x:v>
      </x:c>
      <x:c r="E2981" s="1" t="str">
        <x:v>PENDING</x:v>
      </x:c>
      <x:c r="F2981" s="1" t="str">
        <x:v>Late delivery</x:v>
      </x:c>
      <x:c r="G2981" s="6" t="n">
        <x:v>5</x:v>
      </x:c>
      <x:c r="H2981" s="6" t="n">
        <x:v>4</x:v>
      </x:c>
      <x:c r="I2981" s="6" t="n">
        <x:f>G2981-H2981</x:f>
        <x:v>1</x:v>
      </x:c>
      <x:c r="J2981" s="6" t="n">
        <x:f>IF(OR(E2981="CANCELED",E2981="SUSPECTED_FRAUD",F2981="Shipping canceled"),0,1)</x:f>
        <x:v>1</x:v>
      </x:c>
      <x:c r="K2981" s="6" t="n">
        <x:f>IF(G2981&gt;H2981,1,0)</x:f>
        <x:v>1</x:v>
      </x:c>
      <x:c r="L2981" s="6" t="n">
        <x:f>J2981*K2981</x:f>
        <x:v>1</x:v>
      </x:c>
    </x:row>
    <x:row r="2982">
      <x:c r="A2982" s="1" t="n">
        <x:v>22605</x:v>
      </x:c>
      <x:c r="B2982" s="5" t="d">
        <x:v>2015-11-26T00:00:00.000Z</x:v>
      </x:c>
      <x:c r="C2982" s="1" t="str">
        <x:v>Second Class</x:v>
      </x:c>
      <x:c r="D2982" s="1" t="str">
        <x:v>Pacific Asia</x:v>
      </x:c>
      <x:c r="E2982" s="1" t="str">
        <x:v>PROCESSING</x:v>
      </x:c>
      <x:c r="F2982" s="1" t="str">
        <x:v>Late delivery</x:v>
      </x:c>
      <x:c r="G2982" s="6" t="n">
        <x:v>6</x:v>
      </x:c>
      <x:c r="H2982" s="6" t="n">
        <x:v>2</x:v>
      </x:c>
      <x:c r="I2982" s="6" t="n">
        <x:f>G2982-H2982</x:f>
        <x:v>4</x:v>
      </x:c>
      <x:c r="J2982" s="6" t="n">
        <x:f>IF(OR(E2982="CANCELED",E2982="SUSPECTED_FRAUD",F2982="Shipping canceled"),0,1)</x:f>
        <x:v>1</x:v>
      </x:c>
      <x:c r="K2982" s="6" t="n">
        <x:f>IF(G2982&gt;H2982,1,0)</x:f>
        <x:v>1</x:v>
      </x:c>
      <x:c r="L2982" s="6" t="n">
        <x:f>J2982*K2982</x:f>
        <x:v>1</x:v>
      </x:c>
    </x:row>
    <x:row r="2983">
      <x:c r="A2983" s="1" t="n">
        <x:v>22606</x:v>
      </x:c>
      <x:c r="B2983" s="5" t="d">
        <x:v>2015-11-26T00:00:00.000Z</x:v>
      </x:c>
      <x:c r="C2983" s="1" t="str">
        <x:v>Second Class</x:v>
      </x:c>
      <x:c r="D2983" s="1" t="str">
        <x:v>Pacific Asia</x:v>
      </x:c>
      <x:c r="E2983" s="1" t="str">
        <x:v>PROCESSING</x:v>
      </x:c>
      <x:c r="F2983" s="1" t="str">
        <x:v>Shipping on time</x:v>
      </x:c>
      <x:c r="G2983" s="6" t="n">
        <x:v>2</x:v>
      </x:c>
      <x:c r="H2983" s="6" t="n">
        <x:v>2</x:v>
      </x:c>
      <x:c r="I2983" s="6" t="n">
        <x:f>G2983-H2983</x:f>
        <x:v>0</x:v>
      </x:c>
      <x:c r="J2983" s="6" t="n">
        <x:f>IF(OR(E2983="CANCELED",E2983="SUSPECTED_FRAUD",F2983="Shipping canceled"),0,1)</x:f>
        <x:v>1</x:v>
      </x:c>
      <x:c r="K2983" s="6" t="n">
        <x:f>IF(G2983&gt;H2983,1,0)</x:f>
        <x:v>0</x:v>
      </x:c>
      <x:c r="L2983" s="6" t="n">
        <x:f>J2983*K2983</x:f>
        <x:v>0</x:v>
      </x:c>
    </x:row>
    <x:row r="2984">
      <x:c r="A2984" s="1" t="n">
        <x:v>22609</x:v>
      </x:c>
      <x:c r="B2984" s="5" t="d">
        <x:v>2015-11-27T00:00:00.000Z</x:v>
      </x:c>
      <x:c r="C2984" s="1" t="str">
        <x:v>Second Class</x:v>
      </x:c>
      <x:c r="D2984" s="1" t="str">
        <x:v>Pacific Asia</x:v>
      </x:c>
      <x:c r="E2984" s="1" t="str">
        <x:v>COMPLETE</x:v>
      </x:c>
      <x:c r="F2984" s="1" t="str">
        <x:v>Late delivery</x:v>
      </x:c>
      <x:c r="G2984" s="6" t="n">
        <x:v>5</x:v>
      </x:c>
      <x:c r="H2984" s="6" t="n">
        <x:v>2</x:v>
      </x:c>
      <x:c r="I2984" s="6" t="n">
        <x:f>G2984-H2984</x:f>
        <x:v>3</x:v>
      </x:c>
      <x:c r="J2984" s="6" t="n">
        <x:f>IF(OR(E2984="CANCELED",E2984="SUSPECTED_FRAUD",F2984="Shipping canceled"),0,1)</x:f>
        <x:v>1</x:v>
      </x:c>
      <x:c r="K2984" s="6" t="n">
        <x:f>IF(G2984&gt;H2984,1,0)</x:f>
        <x:v>1</x:v>
      </x:c>
      <x:c r="L2984" s="6" t="n">
        <x:f>J2984*K2984</x:f>
        <x:v>1</x:v>
      </x:c>
    </x:row>
    <x:row r="2985">
      <x:c r="A2985" s="1" t="n">
        <x:v>22612</x:v>
      </x:c>
      <x:c r="B2985" s="5" t="d">
        <x:v>2015-11-27T00:00:00.000Z</x:v>
      </x:c>
      <x:c r="C2985" s="1" t="str">
        <x:v>Standard Class</x:v>
      </x:c>
      <x:c r="D2985" s="1" t="str">
        <x:v>Pacific Asia</x:v>
      </x:c>
      <x:c r="E2985" s="1" t="str">
        <x:v>PENDING</x:v>
      </x:c>
      <x:c r="F2985" s="1" t="str">
        <x:v>Advance shipping</x:v>
      </x:c>
      <x:c r="G2985" s="6" t="n">
        <x:v>3</x:v>
      </x:c>
      <x:c r="H2985" s="6" t="n">
        <x:v>4</x:v>
      </x:c>
      <x:c r="I2985" s="6" t="n">
        <x:f>G2985-H2985</x:f>
        <x:v>-1</x:v>
      </x:c>
      <x:c r="J2985" s="6" t="n">
        <x:f>IF(OR(E2985="CANCELED",E2985="SUSPECTED_FRAUD",F2985="Shipping canceled"),0,1)</x:f>
        <x:v>1</x:v>
      </x:c>
      <x:c r="K2985" s="6" t="n">
        <x:f>IF(G2985&gt;H2985,1,0)</x:f>
        <x:v>0</x:v>
      </x:c>
      <x:c r="L2985" s="6" t="n">
        <x:f>J2985*K2985</x:f>
        <x:v>0</x:v>
      </x:c>
    </x:row>
    <x:row r="2986">
      <x:c r="A2986" s="1" t="n">
        <x:v>22622</x:v>
      </x:c>
      <x:c r="B2986" s="5" t="d">
        <x:v>2015-11-27T00:00:00.000Z</x:v>
      </x:c>
      <x:c r="C2986" s="1" t="str">
        <x:v>Standard Class</x:v>
      </x:c>
      <x:c r="D2986" s="1" t="str">
        <x:v>Pacific Asia</x:v>
      </x:c>
      <x:c r="E2986" s="1" t="str">
        <x:v>PENDING_PAYMENT</x:v>
      </x:c>
      <x:c r="F2986" s="1" t="str">
        <x:v>Advance shipping</x:v>
      </x:c>
      <x:c r="G2986" s="6" t="n">
        <x:v>3</x:v>
      </x:c>
      <x:c r="H2986" s="6" t="n">
        <x:v>4</x:v>
      </x:c>
      <x:c r="I2986" s="6" t="n">
        <x:f>G2986-H2986</x:f>
        <x:v>-1</x:v>
      </x:c>
      <x:c r="J2986" s="6" t="n">
        <x:f>IF(OR(E2986="CANCELED",E2986="SUSPECTED_FRAUD",F2986="Shipping canceled"),0,1)</x:f>
        <x:v>1</x:v>
      </x:c>
      <x:c r="K2986" s="6" t="n">
        <x:f>IF(G2986&gt;H2986,1,0)</x:f>
        <x:v>0</x:v>
      </x:c>
      <x:c r="L2986" s="6" t="n">
        <x:f>J2986*K2986</x:f>
        <x:v>0</x:v>
      </x:c>
    </x:row>
    <x:row r="2987">
      <x:c r="A2987" s="1" t="n">
        <x:v>22638</x:v>
      </x:c>
      <x:c r="B2987" s="5" t="d">
        <x:v>2015-11-27T00:00:00.000Z</x:v>
      </x:c>
      <x:c r="C2987" s="1" t="str">
        <x:v>Standard Class</x:v>
      </x:c>
      <x:c r="D2987" s="1" t="str">
        <x:v>Pacific Asia</x:v>
      </x:c>
      <x:c r="E2987" s="1" t="str">
        <x:v>COMPLETE</x:v>
      </x:c>
      <x:c r="F2987" s="1" t="str">
        <x:v>Shipping on time</x:v>
      </x:c>
      <x:c r="G2987" s="6" t="n">
        <x:v>4</x:v>
      </x:c>
      <x:c r="H2987" s="6" t="n">
        <x:v>4</x:v>
      </x:c>
      <x:c r="I2987" s="6" t="n">
        <x:f>G2987-H2987</x:f>
        <x:v>0</x:v>
      </x:c>
      <x:c r="J2987" s="6" t="n">
        <x:f>IF(OR(E2987="CANCELED",E2987="SUSPECTED_FRAUD",F2987="Shipping canceled"),0,1)</x:f>
        <x:v>1</x:v>
      </x:c>
      <x:c r="K2987" s="6" t="n">
        <x:f>IF(G2987&gt;H2987,1,0)</x:f>
        <x:v>0</x:v>
      </x:c>
      <x:c r="L2987" s="6" t="n">
        <x:f>J2987*K2987</x:f>
        <x:v>0</x:v>
      </x:c>
    </x:row>
    <x:row r="2988">
      <x:c r="A2988" s="1" t="n">
        <x:v>22642</x:v>
      </x:c>
      <x:c r="B2988" s="5" t="d">
        <x:v>2015-11-27T00:00:00.000Z</x:v>
      </x:c>
      <x:c r="C2988" s="1" t="str">
        <x:v>First Class</x:v>
      </x:c>
      <x:c r="D2988" s="1" t="str">
        <x:v>Pacific Asia</x:v>
      </x:c>
      <x:c r="E2988" s="1" t="str">
        <x:v>CLOSED</x:v>
      </x:c>
      <x:c r="F2988" s="1" t="str">
        <x:v>Late delivery</x:v>
      </x:c>
      <x:c r="G2988" s="6" t="n">
        <x:v>2</x:v>
      </x:c>
      <x:c r="H2988" s="6" t="n">
        <x:v>1</x:v>
      </x:c>
      <x:c r="I2988" s="6" t="n">
        <x:f>G2988-H2988</x:f>
        <x:v>1</x:v>
      </x:c>
      <x:c r="J2988" s="6" t="n">
        <x:f>IF(OR(E2988="CANCELED",E2988="SUSPECTED_FRAUD",F2988="Shipping canceled"),0,1)</x:f>
        <x:v>1</x:v>
      </x:c>
      <x:c r="K2988" s="6" t="n">
        <x:f>IF(G2988&gt;H2988,1,0)</x:f>
        <x:v>1</x:v>
      </x:c>
      <x:c r="L2988" s="6" t="n">
        <x:f>J2988*K2988</x:f>
        <x:v>1</x:v>
      </x:c>
    </x:row>
    <x:row r="2989">
      <x:c r="A2989" s="1" t="n">
        <x:v>22652</x:v>
      </x:c>
      <x:c r="B2989" s="5" t="d">
        <x:v>2015-11-27T00:00:00.000Z</x:v>
      </x:c>
      <x:c r="C2989" s="1" t="str">
        <x:v>Second Class</x:v>
      </x:c>
      <x:c r="D2989" s="1" t="str">
        <x:v>Pacific Asia</x:v>
      </x:c>
      <x:c r="E2989" s="1" t="str">
        <x:v>COMPLETE</x:v>
      </x:c>
      <x:c r="F2989" s="1" t="str">
        <x:v>Late delivery</x:v>
      </x:c>
      <x:c r="G2989" s="6" t="n">
        <x:v>3</x:v>
      </x:c>
      <x:c r="H2989" s="6" t="n">
        <x:v>2</x:v>
      </x:c>
      <x:c r="I2989" s="6" t="n">
        <x:f>G2989-H2989</x:f>
        <x:v>1</x:v>
      </x:c>
      <x:c r="J2989" s="6" t="n">
        <x:f>IF(OR(E2989="CANCELED",E2989="SUSPECTED_FRAUD",F2989="Shipping canceled"),0,1)</x:f>
        <x:v>1</x:v>
      </x:c>
      <x:c r="K2989" s="6" t="n">
        <x:f>IF(G2989&gt;H2989,1,0)</x:f>
        <x:v>1</x:v>
      </x:c>
      <x:c r="L2989" s="6" t="n">
        <x:f>J2989*K2989</x:f>
        <x:v>1</x:v>
      </x:c>
    </x:row>
    <x:row r="2990">
      <x:c r="A2990" s="1" t="n">
        <x:v>22657</x:v>
      </x:c>
      <x:c r="B2990" s="5" t="d">
        <x:v>2015-11-27T00:00:00.000Z</x:v>
      </x:c>
      <x:c r="C2990" s="1" t="str">
        <x:v>First Class</x:v>
      </x:c>
      <x:c r="D2990" s="1" t="str">
        <x:v>Pacific Asia</x:v>
      </x:c>
      <x:c r="E2990" s="1" t="str">
        <x:v>PROCESSING</x:v>
      </x:c>
      <x:c r="F2990" s="1" t="str">
        <x:v>Late delivery</x:v>
      </x:c>
      <x:c r="G2990" s="6" t="n">
        <x:v>2</x:v>
      </x:c>
      <x:c r="H2990" s="6" t="n">
        <x:v>1</x:v>
      </x:c>
      <x:c r="I2990" s="6" t="n">
        <x:f>G2990-H2990</x:f>
        <x:v>1</x:v>
      </x:c>
      <x:c r="J2990" s="6" t="n">
        <x:f>IF(OR(E2990="CANCELED",E2990="SUSPECTED_FRAUD",F2990="Shipping canceled"),0,1)</x:f>
        <x:v>1</x:v>
      </x:c>
      <x:c r="K2990" s="6" t="n">
        <x:f>IF(G2990&gt;H2990,1,0)</x:f>
        <x:v>1</x:v>
      </x:c>
      <x:c r="L2990" s="6" t="n">
        <x:f>J2990*K2990</x:f>
        <x:v>1</x:v>
      </x:c>
    </x:row>
    <x:row r="2991">
      <x:c r="A2991" s="1" t="n">
        <x:v>22660</x:v>
      </x:c>
      <x:c r="B2991" s="5" t="d">
        <x:v>2015-11-27T00:00:00.000Z</x:v>
      </x:c>
      <x:c r="C2991" s="1" t="str">
        <x:v>Standard Class</x:v>
      </x:c>
      <x:c r="D2991" s="1" t="str">
        <x:v>Pacific Asia</x:v>
      </x:c>
      <x:c r="E2991" s="1" t="str">
        <x:v>COMPLETE</x:v>
      </x:c>
      <x:c r="F2991" s="1" t="str">
        <x:v>Late delivery</x:v>
      </x:c>
      <x:c r="G2991" s="6" t="n">
        <x:v>6</x:v>
      </x:c>
      <x:c r="H2991" s="6" t="n">
        <x:v>4</x:v>
      </x:c>
      <x:c r="I2991" s="6" t="n">
        <x:f>G2991-H2991</x:f>
        <x:v>2</x:v>
      </x:c>
      <x:c r="J2991" s="6" t="n">
        <x:f>IF(OR(E2991="CANCELED",E2991="SUSPECTED_FRAUD",F2991="Shipping canceled"),0,1)</x:f>
        <x:v>1</x:v>
      </x:c>
      <x:c r="K2991" s="6" t="n">
        <x:f>IF(G2991&gt;H2991,1,0)</x:f>
        <x:v>1</x:v>
      </x:c>
      <x:c r="L2991" s="6" t="n">
        <x:f>J2991*K2991</x:f>
        <x:v>1</x:v>
      </x:c>
    </x:row>
    <x:row r="2992">
      <x:c r="A2992" s="1" t="n">
        <x:v>22675</x:v>
      </x:c>
      <x:c r="B2992" s="5" t="d">
        <x:v>2015-11-27T00:00:00.000Z</x:v>
      </x:c>
      <x:c r="C2992" s="1" t="str">
        <x:v>Standard Class</x:v>
      </x:c>
      <x:c r="D2992" s="1" t="str">
        <x:v>Pacific Asia</x:v>
      </x:c>
      <x:c r="E2992" s="1" t="str">
        <x:v>ON_HOLD</x:v>
      </x:c>
      <x:c r="F2992" s="1" t="str">
        <x:v>Late delivery</x:v>
      </x:c>
      <x:c r="G2992" s="6" t="n">
        <x:v>6</x:v>
      </x:c>
      <x:c r="H2992" s="6" t="n">
        <x:v>4</x:v>
      </x:c>
      <x:c r="I2992" s="6" t="n">
        <x:f>G2992-H2992</x:f>
        <x:v>2</x:v>
      </x:c>
      <x:c r="J2992" s="6" t="n">
        <x:f>IF(OR(E2992="CANCELED",E2992="SUSPECTED_FRAUD",F2992="Shipping canceled"),0,1)</x:f>
        <x:v>1</x:v>
      </x:c>
      <x:c r="K2992" s="6" t="n">
        <x:f>IF(G2992&gt;H2992,1,0)</x:f>
        <x:v>1</x:v>
      </x:c>
      <x:c r="L2992" s="6" t="n">
        <x:f>J2992*K2992</x:f>
        <x:v>1</x:v>
      </x:c>
    </x:row>
    <x:row r="2993">
      <x:c r="A2993" s="1" t="n">
        <x:v>22676</x:v>
      </x:c>
      <x:c r="B2993" s="5" t="d">
        <x:v>2015-11-28T00:00:00.000Z</x:v>
      </x:c>
      <x:c r="C2993" s="1" t="str">
        <x:v>Standard Class</x:v>
      </x:c>
      <x:c r="D2993" s="1" t="str">
        <x:v>Pacific Asia</x:v>
      </x:c>
      <x:c r="E2993" s="1" t="str">
        <x:v>PENDING_PAYMENT</x:v>
      </x:c>
      <x:c r="F2993" s="1" t="str">
        <x:v>Advance shipping</x:v>
      </x:c>
      <x:c r="G2993" s="6" t="n">
        <x:v>2</x:v>
      </x:c>
      <x:c r="H2993" s="6" t="n">
        <x:v>4</x:v>
      </x:c>
      <x:c r="I2993" s="6" t="n">
        <x:f>G2993-H2993</x:f>
        <x:v>-2</x:v>
      </x:c>
      <x:c r="J2993" s="6" t="n">
        <x:f>IF(OR(E2993="CANCELED",E2993="SUSPECTED_FRAUD",F2993="Shipping canceled"),0,1)</x:f>
        <x:v>1</x:v>
      </x:c>
      <x:c r="K2993" s="6" t="n">
        <x:f>IF(G2993&gt;H2993,1,0)</x:f>
        <x:v>0</x:v>
      </x:c>
      <x:c r="L2993" s="6" t="n">
        <x:f>J2993*K2993</x:f>
        <x:v>0</x:v>
      </x:c>
    </x:row>
    <x:row r="2994">
      <x:c r="A2994" s="1" t="n">
        <x:v>22679</x:v>
      </x:c>
      <x:c r="B2994" s="5" t="d">
        <x:v>2015-11-28T00:00:00.000Z</x:v>
      </x:c>
      <x:c r="C2994" s="1" t="str">
        <x:v>Standard Class</x:v>
      </x:c>
      <x:c r="D2994" s="1" t="str">
        <x:v>Pacific Asia</x:v>
      </x:c>
      <x:c r="E2994" s="1" t="str">
        <x:v>COMPLETE</x:v>
      </x:c>
      <x:c r="F2994" s="1" t="str">
        <x:v>Late delivery</x:v>
      </x:c>
      <x:c r="G2994" s="6" t="n">
        <x:v>5</x:v>
      </x:c>
      <x:c r="H2994" s="6" t="n">
        <x:v>4</x:v>
      </x:c>
      <x:c r="I2994" s="6" t="n">
        <x:f>G2994-H2994</x:f>
        <x:v>1</x:v>
      </x:c>
      <x:c r="J2994" s="6" t="n">
        <x:f>IF(OR(E2994="CANCELED",E2994="SUSPECTED_FRAUD",F2994="Shipping canceled"),0,1)</x:f>
        <x:v>1</x:v>
      </x:c>
      <x:c r="K2994" s="6" t="n">
        <x:f>IF(G2994&gt;H2994,1,0)</x:f>
        <x:v>1</x:v>
      </x:c>
      <x:c r="L2994" s="6" t="n">
        <x:f>J2994*K2994</x:f>
        <x:v>1</x:v>
      </x:c>
    </x:row>
    <x:row r="2995">
      <x:c r="A2995" s="1" t="n">
        <x:v>22688</x:v>
      </x:c>
      <x:c r="B2995" s="5" t="d">
        <x:v>2015-11-28T00:00:00.000Z</x:v>
      </x:c>
      <x:c r="C2995" s="1" t="str">
        <x:v>Standard Class</x:v>
      </x:c>
      <x:c r="D2995" s="1" t="str">
        <x:v>Pacific Asia</x:v>
      </x:c>
      <x:c r="E2995" s="1" t="str">
        <x:v>CLOSED</x:v>
      </x:c>
      <x:c r="F2995" s="1" t="str">
        <x:v>Shipping on time</x:v>
      </x:c>
      <x:c r="G2995" s="6" t="n">
        <x:v>4</x:v>
      </x:c>
      <x:c r="H2995" s="6" t="n">
        <x:v>4</x:v>
      </x:c>
      <x:c r="I2995" s="6" t="n">
        <x:f>G2995-H2995</x:f>
        <x:v>0</x:v>
      </x:c>
      <x:c r="J2995" s="6" t="n">
        <x:f>IF(OR(E2995="CANCELED",E2995="SUSPECTED_FRAUD",F2995="Shipping canceled"),0,1)</x:f>
        <x:v>1</x:v>
      </x:c>
      <x:c r="K2995" s="6" t="n">
        <x:f>IF(G2995&gt;H2995,1,0)</x:f>
        <x:v>0</x:v>
      </x:c>
      <x:c r="L2995" s="6" t="n">
        <x:f>J2995*K2995</x:f>
        <x:v>0</x:v>
      </x:c>
    </x:row>
    <x:row r="2996">
      <x:c r="A2996" s="1" t="n">
        <x:v>22703</x:v>
      </x:c>
      <x:c r="B2996" s="5" t="d">
        <x:v>2015-11-28T00:00:00.000Z</x:v>
      </x:c>
      <x:c r="C2996" s="1" t="str">
        <x:v>Standard Class</x:v>
      </x:c>
      <x:c r="D2996" s="1" t="str">
        <x:v>Pacific Asia</x:v>
      </x:c>
      <x:c r="E2996" s="1" t="str">
        <x:v>COMPLETE</x:v>
      </x:c>
      <x:c r="F2996" s="1" t="str">
        <x:v>Shipping on time</x:v>
      </x:c>
      <x:c r="G2996" s="6" t="n">
        <x:v>4</x:v>
      </x:c>
      <x:c r="H2996" s="6" t="n">
        <x:v>4</x:v>
      </x:c>
      <x:c r="I2996" s="6" t="n">
        <x:f>G2996-H2996</x:f>
        <x:v>0</x:v>
      </x:c>
      <x:c r="J2996" s="6" t="n">
        <x:f>IF(OR(E2996="CANCELED",E2996="SUSPECTED_FRAUD",F2996="Shipping canceled"),0,1)</x:f>
        <x:v>1</x:v>
      </x:c>
      <x:c r="K2996" s="6" t="n">
        <x:f>IF(G2996&gt;H2996,1,0)</x:f>
        <x:v>0</x:v>
      </x:c>
      <x:c r="L2996" s="6" t="n">
        <x:f>J2996*K2996</x:f>
        <x:v>0</x:v>
      </x:c>
    </x:row>
    <x:row r="2997">
      <x:c r="A2997" s="1" t="n">
        <x:v>22705</x:v>
      </x:c>
      <x:c r="B2997" s="5" t="d">
        <x:v>2015-11-28T00:00:00.000Z</x:v>
      </x:c>
      <x:c r="C2997" s="1" t="str">
        <x:v>Standard Class</x:v>
      </x:c>
      <x:c r="D2997" s="1" t="str">
        <x:v>Pacific Asia</x:v>
      </x:c>
      <x:c r="E2997" s="1" t="str">
        <x:v>PROCESSING</x:v>
      </x:c>
      <x:c r="F2997" s="1" t="str">
        <x:v>Late delivery</x:v>
      </x:c>
      <x:c r="G2997" s="6" t="n">
        <x:v>6</x:v>
      </x:c>
      <x:c r="H2997" s="6" t="n">
        <x:v>4</x:v>
      </x:c>
      <x:c r="I2997" s="6" t="n">
        <x:f>G2997-H2997</x:f>
        <x:v>2</x:v>
      </x:c>
      <x:c r="J2997" s="6" t="n">
        <x:f>IF(OR(E2997="CANCELED",E2997="SUSPECTED_FRAUD",F2997="Shipping canceled"),0,1)</x:f>
        <x:v>1</x:v>
      </x:c>
      <x:c r="K2997" s="6" t="n">
        <x:f>IF(G2997&gt;H2997,1,0)</x:f>
        <x:v>1</x:v>
      </x:c>
      <x:c r="L2997" s="6" t="n">
        <x:f>J2997*K2997</x:f>
        <x:v>1</x:v>
      </x:c>
    </x:row>
    <x:row r="2998">
      <x:c r="A2998" s="1" t="n">
        <x:v>22716</x:v>
      </x:c>
      <x:c r="B2998" s="5" t="d">
        <x:v>2015-11-28T00:00:00.000Z</x:v>
      </x:c>
      <x:c r="C2998" s="1" t="str">
        <x:v>Standard Class</x:v>
      </x:c>
      <x:c r="D2998" s="1" t="str">
        <x:v>Pacific Asia</x:v>
      </x:c>
      <x:c r="E2998" s="1" t="str">
        <x:v>COMPLETE</x:v>
      </x:c>
      <x:c r="F2998" s="1" t="str">
        <x:v>Advance shipping</x:v>
      </x:c>
      <x:c r="G2998" s="6" t="n">
        <x:v>2</x:v>
      </x:c>
      <x:c r="H2998" s="6" t="n">
        <x:v>4</x:v>
      </x:c>
      <x:c r="I2998" s="6" t="n">
        <x:f>G2998-H2998</x:f>
        <x:v>-2</x:v>
      </x:c>
      <x:c r="J2998" s="6" t="n">
        <x:f>IF(OR(E2998="CANCELED",E2998="SUSPECTED_FRAUD",F2998="Shipping canceled"),0,1)</x:f>
        <x:v>1</x:v>
      </x:c>
      <x:c r="K2998" s="6" t="n">
        <x:f>IF(G2998&gt;H2998,1,0)</x:f>
        <x:v>0</x:v>
      </x:c>
      <x:c r="L2998" s="6" t="n">
        <x:f>J2998*K2998</x:f>
        <x:v>0</x:v>
      </x:c>
    </x:row>
    <x:row r="2999">
      <x:c r="A2999" s="1" t="n">
        <x:v>22719</x:v>
      </x:c>
      <x:c r="B2999" s="5" t="d">
        <x:v>2015-11-28T00:00:00.000Z</x:v>
      </x:c>
      <x:c r="C2999" s="1" t="str">
        <x:v>Standard Class</x:v>
      </x:c>
      <x:c r="D2999" s="1" t="str">
        <x:v>Pacific Asia</x:v>
      </x:c>
      <x:c r="E2999" s="1" t="str">
        <x:v>PROCESSING</x:v>
      </x:c>
      <x:c r="F2999" s="1" t="str">
        <x:v>Late delivery</x:v>
      </x:c>
      <x:c r="G2999" s="6" t="n">
        <x:v>5</x:v>
      </x:c>
      <x:c r="H2999" s="6" t="n">
        <x:v>4</x:v>
      </x:c>
      <x:c r="I2999" s="6" t="n">
        <x:f>G2999-H2999</x:f>
        <x:v>1</x:v>
      </x:c>
      <x:c r="J2999" s="6" t="n">
        <x:f>IF(OR(E2999="CANCELED",E2999="SUSPECTED_FRAUD",F2999="Shipping canceled"),0,1)</x:f>
        <x:v>1</x:v>
      </x:c>
      <x:c r="K2999" s="6" t="n">
        <x:f>IF(G2999&gt;H2999,1,0)</x:f>
        <x:v>1</x:v>
      </x:c>
      <x:c r="L2999" s="6" t="n">
        <x:f>J2999*K2999</x:f>
        <x:v>1</x:v>
      </x:c>
    </x:row>
    <x:row r="3000">
      <x:c r="A3000" s="1" t="n">
        <x:v>22721</x:v>
      </x:c>
      <x:c r="B3000" s="5" t="d">
        <x:v>2015-11-28T00:00:00.000Z</x:v>
      </x:c>
      <x:c r="C3000" s="1" t="str">
        <x:v>Second Class</x:v>
      </x:c>
      <x:c r="D3000" s="1" t="str">
        <x:v>Pacific Asia</x:v>
      </x:c>
      <x:c r="E3000" s="1" t="str">
        <x:v>ON_HOLD</x:v>
      </x:c>
      <x:c r="F3000" s="1" t="str">
        <x:v>Shipping on time</x:v>
      </x:c>
      <x:c r="G3000" s="6" t="n">
        <x:v>2</x:v>
      </x:c>
      <x:c r="H3000" s="6" t="n">
        <x:v>2</x:v>
      </x:c>
      <x:c r="I3000" s="6" t="n">
        <x:f>G3000-H3000</x:f>
        <x:v>0</x:v>
      </x:c>
      <x:c r="J3000" s="6" t="n">
        <x:f>IF(OR(E3000="CANCELED",E3000="SUSPECTED_FRAUD",F3000="Shipping canceled"),0,1)</x:f>
        <x:v>1</x:v>
      </x:c>
      <x:c r="K3000" s="6" t="n">
        <x:f>IF(G3000&gt;H3000,1,0)</x:f>
        <x:v>0</x:v>
      </x:c>
      <x:c r="L3000" s="6" t="n">
        <x:f>J3000*K3000</x:f>
        <x:v>0</x:v>
      </x:c>
    </x:row>
    <x:row r="3001">
      <x:c r="A3001" s="1" t="n">
        <x:v>22743</x:v>
      </x:c>
      <x:c r="B3001" s="5" t="d">
        <x:v>2015-11-28T00:00:00.000Z</x:v>
      </x:c>
      <x:c r="C3001" s="1" t="str">
        <x:v>Standard Class</x:v>
      </x:c>
      <x:c r="D3001" s="1" t="str">
        <x:v>Pacific Asia</x:v>
      </x:c>
      <x:c r="E3001" s="1" t="str">
        <x:v>PENDING_PAYMENT</x:v>
      </x:c>
      <x:c r="F3001" s="1" t="str">
        <x:v>Shipping on time</x:v>
      </x:c>
      <x:c r="G3001" s="6" t="n">
        <x:v>4</x:v>
      </x:c>
      <x:c r="H3001" s="6" t="n">
        <x:v>4</x:v>
      </x:c>
      <x:c r="I3001" s="6" t="n">
        <x:f>G3001-H3001</x:f>
        <x:v>0</x:v>
      </x:c>
      <x:c r="J3001" s="6" t="n">
        <x:f>IF(OR(E3001="CANCELED",E3001="SUSPECTED_FRAUD",F3001="Shipping canceled"),0,1)</x:f>
        <x:v>1</x:v>
      </x:c>
      <x:c r="K3001" s="6" t="n">
        <x:f>IF(G3001&gt;H3001,1,0)</x:f>
        <x:v>0</x:v>
      </x:c>
      <x:c r="L3001" s="6" t="n">
        <x:f>J3001*K3001</x:f>
        <x:v>0</x:v>
      </x:c>
    </x:row>
    <x:row r="3002">
      <x:c r="A3002" s="1" t="n">
        <x:v>22748</x:v>
      </x:c>
      <x:c r="B3002" s="5" t="d">
        <x:v>2015-11-29T00:00:00.000Z</x:v>
      </x:c>
      <x:c r="C3002" s="1" t="str">
        <x:v>Standard Class</x:v>
      </x:c>
      <x:c r="D3002" s="1" t="str">
        <x:v>Pacific Asia</x:v>
      </x:c>
      <x:c r="E3002" s="1" t="str">
        <x:v>COMPLETE</x:v>
      </x:c>
      <x:c r="F3002" s="1" t="str">
        <x:v>Shipping on time</x:v>
      </x:c>
      <x:c r="G3002" s="6" t="n">
        <x:v>4</x:v>
      </x:c>
      <x:c r="H3002" s="6" t="n">
        <x:v>4</x:v>
      </x:c>
      <x:c r="I3002" s="6" t="n">
        <x:f>G3002-H3002</x:f>
        <x:v>0</x:v>
      </x:c>
      <x:c r="J3002" s="6" t="n">
        <x:f>IF(OR(E3002="CANCELED",E3002="SUSPECTED_FRAUD",F3002="Shipping canceled"),0,1)</x:f>
        <x:v>1</x:v>
      </x:c>
      <x:c r="K3002" s="6" t="n">
        <x:f>IF(G3002&gt;H3002,1,0)</x:f>
        <x:v>0</x:v>
      </x:c>
      <x:c r="L3002" s="6" t="n">
        <x:f>J3002*K3002</x:f>
        <x:v>0</x:v>
      </x:c>
    </x:row>
    <x:row r="3003">
      <x:c r="A3003" s="1" t="n">
        <x:v>22758</x:v>
      </x:c>
      <x:c r="B3003" s="5" t="d">
        <x:v>2015-11-29T00:00:00.000Z</x:v>
      </x:c>
      <x:c r="C3003" s="1" t="str">
        <x:v>Standard Class</x:v>
      </x:c>
      <x:c r="D3003" s="1" t="str">
        <x:v>Pacific Asia</x:v>
      </x:c>
      <x:c r="E3003" s="1" t="str">
        <x:v>COMPLETE</x:v>
      </x:c>
      <x:c r="F3003" s="1" t="str">
        <x:v>Shipping on time</x:v>
      </x:c>
      <x:c r="G3003" s="6" t="n">
        <x:v>4</x:v>
      </x:c>
      <x:c r="H3003" s="6" t="n">
        <x:v>4</x:v>
      </x:c>
      <x:c r="I3003" s="6" t="n">
        <x:f>G3003-H3003</x:f>
        <x:v>0</x:v>
      </x:c>
      <x:c r="J3003" s="6" t="n">
        <x:f>IF(OR(E3003="CANCELED",E3003="SUSPECTED_FRAUD",F3003="Shipping canceled"),0,1)</x:f>
        <x:v>1</x:v>
      </x:c>
      <x:c r="K3003" s="6" t="n">
        <x:f>IF(G3003&gt;H3003,1,0)</x:f>
        <x:v>0</x:v>
      </x:c>
      <x:c r="L3003" s="6" t="n">
        <x:f>J3003*K3003</x:f>
        <x:v>0</x:v>
      </x:c>
    </x:row>
    <x:row r="3004">
      <x:c r="A3004" s="1" t="n">
        <x:v>22759</x:v>
      </x:c>
      <x:c r="B3004" s="5" t="d">
        <x:v>2015-11-29T00:00:00.000Z</x:v>
      </x:c>
      <x:c r="C3004" s="1" t="str">
        <x:v>Standard Class</x:v>
      </x:c>
      <x:c r="D3004" s="1" t="str">
        <x:v>Pacific Asia</x:v>
      </x:c>
      <x:c r="E3004" s="1" t="str">
        <x:v>PENDING_PAYMENT</x:v>
      </x:c>
      <x:c r="F3004" s="1" t="str">
        <x:v>Late delivery</x:v>
      </x:c>
      <x:c r="G3004" s="6" t="n">
        <x:v>5</x:v>
      </x:c>
      <x:c r="H3004" s="6" t="n">
        <x:v>4</x:v>
      </x:c>
      <x:c r="I3004" s="6" t="n">
        <x:f>G3004-H3004</x:f>
        <x:v>1</x:v>
      </x:c>
      <x:c r="J3004" s="6" t="n">
        <x:f>IF(OR(E3004="CANCELED",E3004="SUSPECTED_FRAUD",F3004="Shipping canceled"),0,1)</x:f>
        <x:v>1</x:v>
      </x:c>
      <x:c r="K3004" s="6" t="n">
        <x:f>IF(G3004&gt;H3004,1,0)</x:f>
        <x:v>1</x:v>
      </x:c>
      <x:c r="L3004" s="6" t="n">
        <x:f>J3004*K3004</x:f>
        <x:v>1</x:v>
      </x:c>
    </x:row>
    <x:row r="3005">
      <x:c r="A3005" s="1" t="n">
        <x:v>22760</x:v>
      </x:c>
      <x:c r="B3005" s="5" t="d">
        <x:v>2015-11-29T00:00:00.000Z</x:v>
      </x:c>
      <x:c r="C3005" s="1" t="str">
        <x:v>Standard Class</x:v>
      </x:c>
      <x:c r="D3005" s="1" t="str">
        <x:v>Pacific Asia</x:v>
      </x:c>
      <x:c r="E3005" s="1" t="str">
        <x:v>COMPLETE</x:v>
      </x:c>
      <x:c r="F3005" s="1" t="str">
        <x:v>Late delivery</x:v>
      </x:c>
      <x:c r="G3005" s="6" t="n">
        <x:v>6</x:v>
      </x:c>
      <x:c r="H3005" s="6" t="n">
        <x:v>4</x:v>
      </x:c>
      <x:c r="I3005" s="6" t="n">
        <x:f>G3005-H3005</x:f>
        <x:v>2</x:v>
      </x:c>
      <x:c r="J3005" s="6" t="n">
        <x:f>IF(OR(E3005="CANCELED",E3005="SUSPECTED_FRAUD",F3005="Shipping canceled"),0,1)</x:f>
        <x:v>1</x:v>
      </x:c>
      <x:c r="K3005" s="6" t="n">
        <x:f>IF(G3005&gt;H3005,1,0)</x:f>
        <x:v>1</x:v>
      </x:c>
      <x:c r="L3005" s="6" t="n">
        <x:f>J3005*K3005</x:f>
        <x:v>1</x:v>
      </x:c>
    </x:row>
    <x:row r="3006">
      <x:c r="A3006" s="1" t="n">
        <x:v>22769</x:v>
      </x:c>
      <x:c r="B3006" s="5" t="d">
        <x:v>2015-11-29T00:00:00.000Z</x:v>
      </x:c>
      <x:c r="C3006" s="1" t="str">
        <x:v>Standard Class</x:v>
      </x:c>
      <x:c r="D3006" s="1" t="str">
        <x:v>Pacific Asia</x:v>
      </x:c>
      <x:c r="E3006" s="1" t="str">
        <x:v>PROCESSING</x:v>
      </x:c>
      <x:c r="F3006" s="1" t="str">
        <x:v>Late delivery</x:v>
      </x:c>
      <x:c r="G3006" s="6" t="n">
        <x:v>5</x:v>
      </x:c>
      <x:c r="H3006" s="6" t="n">
        <x:v>4</x:v>
      </x:c>
      <x:c r="I3006" s="6" t="n">
        <x:f>G3006-H3006</x:f>
        <x:v>1</x:v>
      </x:c>
      <x:c r="J3006" s="6" t="n">
        <x:f>IF(OR(E3006="CANCELED",E3006="SUSPECTED_FRAUD",F3006="Shipping canceled"),0,1)</x:f>
        <x:v>1</x:v>
      </x:c>
      <x:c r="K3006" s="6" t="n">
        <x:f>IF(G3006&gt;H3006,1,0)</x:f>
        <x:v>1</x:v>
      </x:c>
      <x:c r="L3006" s="6" t="n">
        <x:f>J3006*K3006</x:f>
        <x:v>1</x:v>
      </x:c>
    </x:row>
    <x:row r="3007">
      <x:c r="A3007" s="1" t="n">
        <x:v>22778</x:v>
      </x:c>
      <x:c r="B3007" s="5" t="d">
        <x:v>2015-11-29T00:00:00.000Z</x:v>
      </x:c>
      <x:c r="C3007" s="1" t="str">
        <x:v>First Class</x:v>
      </x:c>
      <x:c r="D3007" s="1" t="str">
        <x:v>Pacific Asia</x:v>
      </x:c>
      <x:c r="E3007" s="1" t="str">
        <x:v>CLOSED</x:v>
      </x:c>
      <x:c r="F3007" s="1" t="str">
        <x:v>Late delivery</x:v>
      </x:c>
      <x:c r="G3007" s="6" t="n">
        <x:v>2</x:v>
      </x:c>
      <x:c r="H3007" s="6" t="n">
        <x:v>1</x:v>
      </x:c>
      <x:c r="I3007" s="6" t="n">
        <x:f>G3007-H3007</x:f>
        <x:v>1</x:v>
      </x:c>
      <x:c r="J3007" s="6" t="n">
        <x:f>IF(OR(E3007="CANCELED",E3007="SUSPECTED_FRAUD",F3007="Shipping canceled"),0,1)</x:f>
        <x:v>1</x:v>
      </x:c>
      <x:c r="K3007" s="6" t="n">
        <x:f>IF(G3007&gt;H3007,1,0)</x:f>
        <x:v>1</x:v>
      </x:c>
      <x:c r="L3007" s="6" t="n">
        <x:f>J3007*K3007</x:f>
        <x:v>1</x:v>
      </x:c>
    </x:row>
    <x:row r="3008">
      <x:c r="A3008" s="1" t="n">
        <x:v>22782</x:v>
      </x:c>
      <x:c r="B3008" s="5" t="d">
        <x:v>2015-11-29T00:00:00.000Z</x:v>
      </x:c>
      <x:c r="C3008" s="1" t="str">
        <x:v>Standard Class</x:v>
      </x:c>
      <x:c r="D3008" s="1" t="str">
        <x:v>Pacific Asia</x:v>
      </x:c>
      <x:c r="E3008" s="1" t="str">
        <x:v>COMPLETE</x:v>
      </x:c>
      <x:c r="F3008" s="1" t="str">
        <x:v>Advance shipping</x:v>
      </x:c>
      <x:c r="G3008" s="6" t="n">
        <x:v>3</x:v>
      </x:c>
      <x:c r="H3008" s="6" t="n">
        <x:v>4</x:v>
      </x:c>
      <x:c r="I3008" s="6" t="n">
        <x:f>G3008-H3008</x:f>
        <x:v>-1</x:v>
      </x:c>
      <x:c r="J3008" s="6" t="n">
        <x:f>IF(OR(E3008="CANCELED",E3008="SUSPECTED_FRAUD",F3008="Shipping canceled"),0,1)</x:f>
        <x:v>1</x:v>
      </x:c>
      <x:c r="K3008" s="6" t="n">
        <x:f>IF(G3008&gt;H3008,1,0)</x:f>
        <x:v>0</x:v>
      </x:c>
      <x:c r="L3008" s="6" t="n">
        <x:f>J3008*K3008</x:f>
        <x:v>0</x:v>
      </x:c>
    </x:row>
    <x:row r="3009">
      <x:c r="A3009" s="1" t="n">
        <x:v>22784</x:v>
      </x:c>
      <x:c r="B3009" s="5" t="d">
        <x:v>2015-11-29T00:00:00.000Z</x:v>
      </x:c>
      <x:c r="C3009" s="1" t="str">
        <x:v>Standard Class</x:v>
      </x:c>
      <x:c r="D3009" s="1" t="str">
        <x:v>Pacific Asia</x:v>
      </x:c>
      <x:c r="E3009" s="1" t="str">
        <x:v>COMPLETE</x:v>
      </x:c>
      <x:c r="F3009" s="1" t="str">
        <x:v>Late delivery</x:v>
      </x:c>
      <x:c r="G3009" s="6" t="n">
        <x:v>5</x:v>
      </x:c>
      <x:c r="H3009" s="6" t="n">
        <x:v>4</x:v>
      </x:c>
      <x:c r="I3009" s="6" t="n">
        <x:f>G3009-H3009</x:f>
        <x:v>1</x:v>
      </x:c>
      <x:c r="J3009" s="6" t="n">
        <x:f>IF(OR(E3009="CANCELED",E3009="SUSPECTED_FRAUD",F3009="Shipping canceled"),0,1)</x:f>
        <x:v>1</x:v>
      </x:c>
      <x:c r="K3009" s="6" t="n">
        <x:f>IF(G3009&gt;H3009,1,0)</x:f>
        <x:v>1</x:v>
      </x:c>
      <x:c r="L3009" s="6" t="n">
        <x:f>J3009*K3009</x:f>
        <x:v>1</x:v>
      </x:c>
    </x:row>
    <x:row r="3010">
      <x:c r="A3010" s="1" t="n">
        <x:v>22788</x:v>
      </x:c>
      <x:c r="B3010" s="5" t="d">
        <x:v>2015-11-29T00:00:00.000Z</x:v>
      </x:c>
      <x:c r="C3010" s="1" t="str">
        <x:v>Standard Class</x:v>
      </x:c>
      <x:c r="D3010" s="1" t="str">
        <x:v>Pacific Asia</x:v>
      </x:c>
      <x:c r="E3010" s="1" t="str">
        <x:v>SUSPECTED_FRAUD</x:v>
      </x:c>
      <x:c r="F3010" s="1" t="str">
        <x:v>Shipping canceled</x:v>
      </x:c>
      <x:c r="G3010" s="6" t="n">
        <x:v>4</x:v>
      </x:c>
      <x:c r="H3010" s="6" t="n">
        <x:v>4</x:v>
      </x:c>
      <x:c r="I3010" s="6" t="n">
        <x:f>G3010-H3010</x:f>
        <x:v>0</x:v>
      </x:c>
      <x:c r="J3010" s="6" t="n">
        <x:f>IF(OR(E3010="CANCELED",E3010="SUSPECTED_FRAUD",F3010="Shipping canceled"),0,1)</x:f>
        <x:v>0</x:v>
      </x:c>
      <x:c r="K3010" s="6" t="n">
        <x:f>IF(G3010&gt;H3010,1,0)</x:f>
        <x:v>0</x:v>
      </x:c>
      <x:c r="L3010" s="6" t="n">
        <x:f>J3010*K3010</x:f>
        <x:v>0</x:v>
      </x:c>
    </x:row>
    <x:row r="3011">
      <x:c r="A3011" s="1" t="n">
        <x:v>22792</x:v>
      </x:c>
      <x:c r="B3011" s="5" t="d">
        <x:v>2015-11-29T00:00:00.000Z</x:v>
      </x:c>
      <x:c r="C3011" s="1" t="str">
        <x:v>Standard Class</x:v>
      </x:c>
      <x:c r="D3011" s="1" t="str">
        <x:v>Pacific Asia</x:v>
      </x:c>
      <x:c r="E3011" s="1" t="str">
        <x:v>COMPLETE</x:v>
      </x:c>
      <x:c r="F3011" s="1" t="str">
        <x:v>Advance shipping</x:v>
      </x:c>
      <x:c r="G3011" s="6" t="n">
        <x:v>3</x:v>
      </x:c>
      <x:c r="H3011" s="6" t="n">
        <x:v>4</x:v>
      </x:c>
      <x:c r="I3011" s="6" t="n">
        <x:f>G3011-H3011</x:f>
        <x:v>-1</x:v>
      </x:c>
      <x:c r="J3011" s="6" t="n">
        <x:f>IF(OR(E3011="CANCELED",E3011="SUSPECTED_FRAUD",F3011="Shipping canceled"),0,1)</x:f>
        <x:v>1</x:v>
      </x:c>
      <x:c r="K3011" s="6" t="n">
        <x:f>IF(G3011&gt;H3011,1,0)</x:f>
        <x:v>0</x:v>
      </x:c>
      <x:c r="L3011" s="6" t="n">
        <x:f>J3011*K3011</x:f>
        <x:v>0</x:v>
      </x:c>
    </x:row>
    <x:row r="3012">
      <x:c r="A3012" s="1" t="n">
        <x:v>22794</x:v>
      </x:c>
      <x:c r="B3012" s="5" t="d">
        <x:v>2015-11-29T00:00:00.000Z</x:v>
      </x:c>
      <x:c r="C3012" s="1" t="str">
        <x:v>Standard Class</x:v>
      </x:c>
      <x:c r="D3012" s="1" t="str">
        <x:v>Pacific Asia</x:v>
      </x:c>
      <x:c r="E3012" s="1" t="str">
        <x:v>PROCESSING</x:v>
      </x:c>
      <x:c r="F3012" s="1" t="str">
        <x:v>Late delivery</x:v>
      </x:c>
      <x:c r="G3012" s="6" t="n">
        <x:v>5</x:v>
      </x:c>
      <x:c r="H3012" s="6" t="n">
        <x:v>4</x:v>
      </x:c>
      <x:c r="I3012" s="6" t="n">
        <x:f>G3012-H3012</x:f>
        <x:v>1</x:v>
      </x:c>
      <x:c r="J3012" s="6" t="n">
        <x:f>IF(OR(E3012="CANCELED",E3012="SUSPECTED_FRAUD",F3012="Shipping canceled"),0,1)</x:f>
        <x:v>1</x:v>
      </x:c>
      <x:c r="K3012" s="6" t="n">
        <x:f>IF(G3012&gt;H3012,1,0)</x:f>
        <x:v>1</x:v>
      </x:c>
      <x:c r="L3012" s="6" t="n">
        <x:f>J3012*K3012</x:f>
        <x:v>1</x:v>
      </x:c>
    </x:row>
    <x:row r="3013">
      <x:c r="A3013" s="1" t="n">
        <x:v>22811</x:v>
      </x:c>
      <x:c r="B3013" s="5" t="d">
        <x:v>2015-11-29T00:00:00.000Z</x:v>
      </x:c>
      <x:c r="C3013" s="1" t="str">
        <x:v>Standard Class</x:v>
      </x:c>
      <x:c r="D3013" s="1" t="str">
        <x:v>Pacific Asia</x:v>
      </x:c>
      <x:c r="E3013" s="1" t="str">
        <x:v>PENDING</x:v>
      </x:c>
      <x:c r="F3013" s="1" t="str">
        <x:v>Advance shipping</x:v>
      </x:c>
      <x:c r="G3013" s="6" t="n">
        <x:v>2</x:v>
      </x:c>
      <x:c r="H3013" s="6" t="n">
        <x:v>4</x:v>
      </x:c>
      <x:c r="I3013" s="6" t="n">
        <x:f>G3013-H3013</x:f>
        <x:v>-2</x:v>
      </x:c>
      <x:c r="J3013" s="6" t="n">
        <x:f>IF(OR(E3013="CANCELED",E3013="SUSPECTED_FRAUD",F3013="Shipping canceled"),0,1)</x:f>
        <x:v>1</x:v>
      </x:c>
      <x:c r="K3013" s="6" t="n">
        <x:f>IF(G3013&gt;H3013,1,0)</x:f>
        <x:v>0</x:v>
      </x:c>
      <x:c r="L3013" s="6" t="n">
        <x:f>J3013*K3013</x:f>
        <x:v>0</x:v>
      </x:c>
    </x:row>
    <x:row r="3014">
      <x:c r="A3014" s="1" t="n">
        <x:v>22819</x:v>
      </x:c>
      <x:c r="B3014" s="5" t="d">
        <x:v>2015-11-30T00:00:00.000Z</x:v>
      </x:c>
      <x:c r="C3014" s="1" t="str">
        <x:v>Second Class</x:v>
      </x:c>
      <x:c r="D3014" s="1" t="str">
        <x:v>Pacific Asia</x:v>
      </x:c>
      <x:c r="E3014" s="1" t="str">
        <x:v>PENDING_PAYMENT</x:v>
      </x:c>
      <x:c r="F3014" s="1" t="str">
        <x:v>Late delivery</x:v>
      </x:c>
      <x:c r="G3014" s="6" t="n">
        <x:v>5</x:v>
      </x:c>
      <x:c r="H3014" s="6" t="n">
        <x:v>2</x:v>
      </x:c>
      <x:c r="I3014" s="6" t="n">
        <x:f>G3014-H3014</x:f>
        <x:v>3</x:v>
      </x:c>
      <x:c r="J3014" s="6" t="n">
        <x:f>IF(OR(E3014="CANCELED",E3014="SUSPECTED_FRAUD",F3014="Shipping canceled"),0,1)</x:f>
        <x:v>1</x:v>
      </x:c>
      <x:c r="K3014" s="6" t="n">
        <x:f>IF(G3014&gt;H3014,1,0)</x:f>
        <x:v>1</x:v>
      </x:c>
      <x:c r="L3014" s="6" t="n">
        <x:f>J3014*K3014</x:f>
        <x:v>1</x:v>
      </x:c>
    </x:row>
    <x:row r="3015">
      <x:c r="A3015" s="1" t="n">
        <x:v>22822</x:v>
      </x:c>
      <x:c r="B3015" s="5" t="d">
        <x:v>2015-11-30T00:00:00.000Z</x:v>
      </x:c>
      <x:c r="C3015" s="1" t="str">
        <x:v>Second Class</x:v>
      </x:c>
      <x:c r="D3015" s="1" t="str">
        <x:v>Pacific Asia</x:v>
      </x:c>
      <x:c r="E3015" s="1" t="str">
        <x:v>COMPLETE</x:v>
      </x:c>
      <x:c r="F3015" s="1" t="str">
        <x:v>Late delivery</x:v>
      </x:c>
      <x:c r="G3015" s="6" t="n">
        <x:v>3</x:v>
      </x:c>
      <x:c r="H3015" s="6" t="n">
        <x:v>2</x:v>
      </x:c>
      <x:c r="I3015" s="6" t="n">
        <x:f>G3015-H3015</x:f>
        <x:v>1</x:v>
      </x:c>
      <x:c r="J3015" s="6" t="n">
        <x:f>IF(OR(E3015="CANCELED",E3015="SUSPECTED_FRAUD",F3015="Shipping canceled"),0,1)</x:f>
        <x:v>1</x:v>
      </x:c>
      <x:c r="K3015" s="6" t="n">
        <x:f>IF(G3015&gt;H3015,1,0)</x:f>
        <x:v>1</x:v>
      </x:c>
      <x:c r="L3015" s="6" t="n">
        <x:f>J3015*K3015</x:f>
        <x:v>1</x:v>
      </x:c>
    </x:row>
    <x:row r="3016">
      <x:c r="A3016" s="1" t="n">
        <x:v>22840</x:v>
      </x:c>
      <x:c r="B3016" s="5" t="d">
        <x:v>2015-11-30T00:00:00.000Z</x:v>
      </x:c>
      <x:c r="C3016" s="1" t="str">
        <x:v>Standard Class</x:v>
      </x:c>
      <x:c r="D3016" s="1" t="str">
        <x:v>Pacific Asia</x:v>
      </x:c>
      <x:c r="E3016" s="1" t="str">
        <x:v>SUSPECTED_FRAUD</x:v>
      </x:c>
      <x:c r="F3016" s="1" t="str">
        <x:v>Shipping canceled</x:v>
      </x:c>
      <x:c r="G3016" s="6" t="n">
        <x:v>6</x:v>
      </x:c>
      <x:c r="H3016" s="6" t="n">
        <x:v>4</x:v>
      </x:c>
      <x:c r="I3016" s="6" t="n">
        <x:f>G3016-H3016</x:f>
        <x:v>2</x:v>
      </x:c>
      <x:c r="J3016" s="6" t="n">
        <x:f>IF(OR(E3016="CANCELED",E3016="SUSPECTED_FRAUD",F3016="Shipping canceled"),0,1)</x:f>
        <x:v>0</x:v>
      </x:c>
      <x:c r="K3016" s="6" t="n">
        <x:f>IF(G3016&gt;H3016,1,0)</x:f>
        <x:v>1</x:v>
      </x:c>
      <x:c r="L3016" s="6" t="n">
        <x:f>J3016*K3016</x:f>
        <x:v>0</x:v>
      </x:c>
    </x:row>
    <x:row r="3017">
      <x:c r="A3017" s="1" t="n">
        <x:v>22848</x:v>
      </x:c>
      <x:c r="B3017" s="5" t="d">
        <x:v>2015-11-30T00:00:00.000Z</x:v>
      </x:c>
      <x:c r="C3017" s="1" t="str">
        <x:v>Second Class</x:v>
      </x:c>
      <x:c r="D3017" s="1" t="str">
        <x:v>Pacific Asia</x:v>
      </x:c>
      <x:c r="E3017" s="1" t="str">
        <x:v>COMPLETE</x:v>
      </x:c>
      <x:c r="F3017" s="1" t="str">
        <x:v>Late delivery</x:v>
      </x:c>
      <x:c r="G3017" s="6" t="n">
        <x:v>4</x:v>
      </x:c>
      <x:c r="H3017" s="6" t="n">
        <x:v>2</x:v>
      </x:c>
      <x:c r="I3017" s="6" t="n">
        <x:f>G3017-H3017</x:f>
        <x:v>2</x:v>
      </x:c>
      <x:c r="J3017" s="6" t="n">
        <x:f>IF(OR(E3017="CANCELED",E3017="SUSPECTED_FRAUD",F3017="Shipping canceled"),0,1)</x:f>
        <x:v>1</x:v>
      </x:c>
      <x:c r="K3017" s="6" t="n">
        <x:f>IF(G3017&gt;H3017,1,0)</x:f>
        <x:v>1</x:v>
      </x:c>
      <x:c r="L3017" s="6" t="n">
        <x:f>J3017*K3017</x:f>
        <x:v>1</x:v>
      </x:c>
    </x:row>
    <x:row r="3018">
      <x:c r="A3018" s="1" t="n">
        <x:v>22871</x:v>
      </x:c>
      <x:c r="B3018" s="5" t="d">
        <x:v>2015-11-30T00:00:00.000Z</x:v>
      </x:c>
      <x:c r="C3018" s="1" t="str">
        <x:v>Standard Class</x:v>
      </x:c>
      <x:c r="D3018" s="1" t="str">
        <x:v>Pacific Asia</x:v>
      </x:c>
      <x:c r="E3018" s="1" t="str">
        <x:v>COMPLETE</x:v>
      </x:c>
      <x:c r="F3018" s="1" t="str">
        <x:v>Advance shipping</x:v>
      </x:c>
      <x:c r="G3018" s="6" t="n">
        <x:v>2</x:v>
      </x:c>
      <x:c r="H3018" s="6" t="n">
        <x:v>4</x:v>
      </x:c>
      <x:c r="I3018" s="6" t="n">
        <x:f>G3018-H3018</x:f>
        <x:v>-2</x:v>
      </x:c>
      <x:c r="J3018" s="6" t="n">
        <x:f>IF(OR(E3018="CANCELED",E3018="SUSPECTED_FRAUD",F3018="Shipping canceled"),0,1)</x:f>
        <x:v>1</x:v>
      </x:c>
      <x:c r="K3018" s="6" t="n">
        <x:f>IF(G3018&gt;H3018,1,0)</x:f>
        <x:v>0</x:v>
      </x:c>
      <x:c r="L3018" s="6" t="n">
        <x:f>J3018*K3018</x:f>
        <x:v>0</x:v>
      </x:c>
    </x:row>
    <x:row r="3019">
      <x:c r="A3019" s="1" t="n">
        <x:v>22872</x:v>
      </x:c>
      <x:c r="B3019" s="5" t="d">
        <x:v>2015-11-30T00:00:00.000Z</x:v>
      </x:c>
      <x:c r="C3019" s="1" t="str">
        <x:v>Standard Class</x:v>
      </x:c>
      <x:c r="D3019" s="1" t="str">
        <x:v>Pacific Asia</x:v>
      </x:c>
      <x:c r="E3019" s="1" t="str">
        <x:v>PROCESSING</x:v>
      </x:c>
      <x:c r="F3019" s="1" t="str">
        <x:v>Advance shipping</x:v>
      </x:c>
      <x:c r="G3019" s="6" t="n">
        <x:v>3</x:v>
      </x:c>
      <x:c r="H3019" s="6" t="n">
        <x:v>4</x:v>
      </x:c>
      <x:c r="I3019" s="6" t="n">
        <x:f>G3019-H3019</x:f>
        <x:v>-1</x:v>
      </x:c>
      <x:c r="J3019" s="6" t="n">
        <x:f>IF(OR(E3019="CANCELED",E3019="SUSPECTED_FRAUD",F3019="Shipping canceled"),0,1)</x:f>
        <x:v>1</x:v>
      </x:c>
      <x:c r="K3019" s="6" t="n">
        <x:f>IF(G3019&gt;H3019,1,0)</x:f>
        <x:v>0</x:v>
      </x:c>
      <x:c r="L3019" s="6" t="n">
        <x:f>J3019*K3019</x:f>
        <x:v>0</x:v>
      </x:c>
    </x:row>
    <x:row r="3020">
      <x:c r="A3020" s="1" t="n">
        <x:v>22875</x:v>
      </x:c>
      <x:c r="B3020" s="5" t="d">
        <x:v>2015-11-30T00:00:00.000Z</x:v>
      </x:c>
      <x:c r="C3020" s="1" t="str">
        <x:v>Standard Class</x:v>
      </x:c>
      <x:c r="D3020" s="1" t="str">
        <x:v>Pacific Asia</x:v>
      </x:c>
      <x:c r="E3020" s="1" t="str">
        <x:v>CANCELED</x:v>
      </x:c>
      <x:c r="F3020" s="1" t="str">
        <x:v>Shipping canceled</x:v>
      </x:c>
      <x:c r="G3020" s="6" t="n">
        <x:v>6</x:v>
      </x:c>
      <x:c r="H3020" s="6" t="n">
        <x:v>4</x:v>
      </x:c>
      <x:c r="I3020" s="6" t="n">
        <x:f>G3020-H3020</x:f>
        <x:v>2</x:v>
      </x:c>
      <x:c r="J3020" s="6" t="n">
        <x:f>IF(OR(E3020="CANCELED",E3020="SUSPECTED_FRAUD",F3020="Shipping canceled"),0,1)</x:f>
        <x:v>0</x:v>
      </x:c>
      <x:c r="K3020" s="6" t="n">
        <x:f>IF(G3020&gt;H3020,1,0)</x:f>
        <x:v>1</x:v>
      </x:c>
      <x:c r="L3020" s="6" t="n">
        <x:f>J3020*K3020</x:f>
        <x:v>0</x:v>
      </x:c>
    </x:row>
    <x:row r="3021">
      <x:c r="A3021" s="1" t="n">
        <x:v>22884</x:v>
      </x:c>
      <x:c r="B3021" s="5" t="d">
        <x:v>2015-12-01T00:00:00.000Z</x:v>
      </x:c>
      <x:c r="C3021" s="1" t="str">
        <x:v>Standard Class</x:v>
      </x:c>
      <x:c r="D3021" s="1" t="str">
        <x:v>Pacific Asia</x:v>
      </x:c>
      <x:c r="E3021" s="1" t="str">
        <x:v>PROCESSING</x:v>
      </x:c>
      <x:c r="F3021" s="1" t="str">
        <x:v>Late delivery</x:v>
      </x:c>
      <x:c r="G3021" s="6" t="n">
        <x:v>5</x:v>
      </x:c>
      <x:c r="H3021" s="6" t="n">
        <x:v>4</x:v>
      </x:c>
      <x:c r="I3021" s="6" t="n">
        <x:f>G3021-H3021</x:f>
        <x:v>1</x:v>
      </x:c>
      <x:c r="J3021" s="6" t="n">
        <x:f>IF(OR(E3021="CANCELED",E3021="SUSPECTED_FRAUD",F3021="Shipping canceled"),0,1)</x:f>
        <x:v>1</x:v>
      </x:c>
      <x:c r="K3021" s="6" t="n">
        <x:f>IF(G3021&gt;H3021,1,0)</x:f>
        <x:v>1</x:v>
      </x:c>
      <x:c r="L3021" s="6" t="n">
        <x:f>J3021*K3021</x:f>
        <x:v>1</x:v>
      </x:c>
    </x:row>
    <x:row r="3022">
      <x:c r="A3022" s="1" t="n">
        <x:v>22893</x:v>
      </x:c>
      <x:c r="B3022" s="5" t="d">
        <x:v>2015-12-01T00:00:00.000Z</x:v>
      </x:c>
      <x:c r="C3022" s="1" t="str">
        <x:v>Standard Class</x:v>
      </x:c>
      <x:c r="D3022" s="1" t="str">
        <x:v>Pacific Asia</x:v>
      </x:c>
      <x:c r="E3022" s="1" t="str">
        <x:v>COMPLETE</x:v>
      </x:c>
      <x:c r="F3022" s="1" t="str">
        <x:v>Shipping on time</x:v>
      </x:c>
      <x:c r="G3022" s="6" t="n">
        <x:v>4</x:v>
      </x:c>
      <x:c r="H3022" s="6" t="n">
        <x:v>4</x:v>
      </x:c>
      <x:c r="I3022" s="6" t="n">
        <x:f>G3022-H3022</x:f>
        <x:v>0</x:v>
      </x:c>
      <x:c r="J3022" s="6" t="n">
        <x:f>IF(OR(E3022="CANCELED",E3022="SUSPECTED_FRAUD",F3022="Shipping canceled"),0,1)</x:f>
        <x:v>1</x:v>
      </x:c>
      <x:c r="K3022" s="6" t="n">
        <x:f>IF(G3022&gt;H3022,1,0)</x:f>
        <x:v>0</x:v>
      </x:c>
      <x:c r="L3022" s="6" t="n">
        <x:f>J3022*K3022</x:f>
        <x:v>0</x:v>
      </x:c>
    </x:row>
    <x:row r="3023">
      <x:c r="A3023" s="1" t="n">
        <x:v>22897</x:v>
      </x:c>
      <x:c r="B3023" s="5" t="d">
        <x:v>2015-12-01T00:00:00.000Z</x:v>
      </x:c>
      <x:c r="C3023" s="1" t="str">
        <x:v>Standard Class</x:v>
      </x:c>
      <x:c r="D3023" s="1" t="str">
        <x:v>Pacific Asia</x:v>
      </x:c>
      <x:c r="E3023" s="1" t="str">
        <x:v>CLOSED</x:v>
      </x:c>
      <x:c r="F3023" s="1" t="str">
        <x:v>Advance shipping</x:v>
      </x:c>
      <x:c r="G3023" s="6" t="n">
        <x:v>3</x:v>
      </x:c>
      <x:c r="H3023" s="6" t="n">
        <x:v>4</x:v>
      </x:c>
      <x:c r="I3023" s="6" t="n">
        <x:f>G3023-H3023</x:f>
        <x:v>-1</x:v>
      </x:c>
      <x:c r="J3023" s="6" t="n">
        <x:f>IF(OR(E3023="CANCELED",E3023="SUSPECTED_FRAUD",F3023="Shipping canceled"),0,1)</x:f>
        <x:v>1</x:v>
      </x:c>
      <x:c r="K3023" s="6" t="n">
        <x:f>IF(G3023&gt;H3023,1,0)</x:f>
        <x:v>0</x:v>
      </x:c>
      <x:c r="L3023" s="6" t="n">
        <x:f>J3023*K3023</x:f>
        <x:v>0</x:v>
      </x:c>
    </x:row>
    <x:row r="3024">
      <x:c r="A3024" s="1" t="n">
        <x:v>22900</x:v>
      </x:c>
      <x:c r="B3024" s="5" t="d">
        <x:v>2015-12-01T00:00:00.000Z</x:v>
      </x:c>
      <x:c r="C3024" s="1" t="str">
        <x:v>Standard Class</x:v>
      </x:c>
      <x:c r="D3024" s="1" t="str">
        <x:v>Pacific Asia</x:v>
      </x:c>
      <x:c r="E3024" s="1" t="str">
        <x:v>COMPLETE</x:v>
      </x:c>
      <x:c r="F3024" s="1" t="str">
        <x:v>Late delivery</x:v>
      </x:c>
      <x:c r="G3024" s="6" t="n">
        <x:v>6</x:v>
      </x:c>
      <x:c r="H3024" s="6" t="n">
        <x:v>4</x:v>
      </x:c>
      <x:c r="I3024" s="6" t="n">
        <x:f>G3024-H3024</x:f>
        <x:v>2</x:v>
      </x:c>
      <x:c r="J3024" s="6" t="n">
        <x:f>IF(OR(E3024="CANCELED",E3024="SUSPECTED_FRAUD",F3024="Shipping canceled"),0,1)</x:f>
        <x:v>1</x:v>
      </x:c>
      <x:c r="K3024" s="6" t="n">
        <x:f>IF(G3024&gt;H3024,1,0)</x:f>
        <x:v>1</x:v>
      </x:c>
      <x:c r="L3024" s="6" t="n">
        <x:f>J3024*K3024</x:f>
        <x:v>1</x:v>
      </x:c>
    </x:row>
    <x:row r="3025">
      <x:c r="A3025" s="1" t="n">
        <x:v>22905</x:v>
      </x:c>
      <x:c r="B3025" s="5" t="d">
        <x:v>2015-12-01T00:00:00.000Z</x:v>
      </x:c>
      <x:c r="C3025" s="1" t="str">
        <x:v>Second Class</x:v>
      </x:c>
      <x:c r="D3025" s="1" t="str">
        <x:v>Pacific Asia</x:v>
      </x:c>
      <x:c r="E3025" s="1" t="str">
        <x:v>COMPLETE</x:v>
      </x:c>
      <x:c r="F3025" s="1" t="str">
        <x:v>Late delivery</x:v>
      </x:c>
      <x:c r="G3025" s="6" t="n">
        <x:v>6</x:v>
      </x:c>
      <x:c r="H3025" s="6" t="n">
        <x:v>2</x:v>
      </x:c>
      <x:c r="I3025" s="6" t="n">
        <x:f>G3025-H3025</x:f>
        <x:v>4</x:v>
      </x:c>
      <x:c r="J3025" s="6" t="n">
        <x:f>IF(OR(E3025="CANCELED",E3025="SUSPECTED_FRAUD",F3025="Shipping canceled"),0,1)</x:f>
        <x:v>1</x:v>
      </x:c>
      <x:c r="K3025" s="6" t="n">
        <x:f>IF(G3025&gt;H3025,1,0)</x:f>
        <x:v>1</x:v>
      </x:c>
      <x:c r="L3025" s="6" t="n">
        <x:f>J3025*K3025</x:f>
        <x:v>1</x:v>
      </x:c>
    </x:row>
    <x:row r="3026">
      <x:c r="A3026" s="1" t="n">
        <x:v>22920</x:v>
      </x:c>
      <x:c r="B3026" s="5" t="d">
        <x:v>2015-12-01T00:00:00.000Z</x:v>
      </x:c>
      <x:c r="C3026" s="1" t="str">
        <x:v>Second Class</x:v>
      </x:c>
      <x:c r="D3026" s="1" t="str">
        <x:v>Pacific Asia</x:v>
      </x:c>
      <x:c r="E3026" s="1" t="str">
        <x:v>COMPLETE</x:v>
      </x:c>
      <x:c r="F3026" s="1" t="str">
        <x:v>Late delivery</x:v>
      </x:c>
      <x:c r="G3026" s="6" t="n">
        <x:v>6</x:v>
      </x:c>
      <x:c r="H3026" s="6" t="n">
        <x:v>2</x:v>
      </x:c>
      <x:c r="I3026" s="6" t="n">
        <x:f>G3026-H3026</x:f>
        <x:v>4</x:v>
      </x:c>
      <x:c r="J3026" s="6" t="n">
        <x:f>IF(OR(E3026="CANCELED",E3026="SUSPECTED_FRAUD",F3026="Shipping canceled"),0,1)</x:f>
        <x:v>1</x:v>
      </x:c>
      <x:c r="K3026" s="6" t="n">
        <x:f>IF(G3026&gt;H3026,1,0)</x:f>
        <x:v>1</x:v>
      </x:c>
      <x:c r="L3026" s="6" t="n">
        <x:f>J3026*K3026</x:f>
        <x:v>1</x:v>
      </x:c>
    </x:row>
    <x:row r="3027">
      <x:c r="A3027" s="1" t="n">
        <x:v>22923</x:v>
      </x:c>
      <x:c r="B3027" s="5" t="d">
        <x:v>2015-12-01T00:00:00.000Z</x:v>
      </x:c>
      <x:c r="C3027" s="1" t="str">
        <x:v>Standard Class</x:v>
      </x:c>
      <x:c r="D3027" s="1" t="str">
        <x:v>Pacific Asia</x:v>
      </x:c>
      <x:c r="E3027" s="1" t="str">
        <x:v>COMPLETE</x:v>
      </x:c>
      <x:c r="F3027" s="1" t="str">
        <x:v>Shipping on time</x:v>
      </x:c>
      <x:c r="G3027" s="6" t="n">
        <x:v>4</x:v>
      </x:c>
      <x:c r="H3027" s="6" t="n">
        <x:v>4</x:v>
      </x:c>
      <x:c r="I3027" s="6" t="n">
        <x:f>G3027-H3027</x:f>
        <x:v>0</x:v>
      </x:c>
      <x:c r="J3027" s="6" t="n">
        <x:f>IF(OR(E3027="CANCELED",E3027="SUSPECTED_FRAUD",F3027="Shipping canceled"),0,1)</x:f>
        <x:v>1</x:v>
      </x:c>
      <x:c r="K3027" s="6" t="n">
        <x:f>IF(G3027&gt;H3027,1,0)</x:f>
        <x:v>0</x:v>
      </x:c>
      <x:c r="L3027" s="6" t="n">
        <x:f>J3027*K3027</x:f>
        <x:v>0</x:v>
      </x:c>
    </x:row>
    <x:row r="3028">
      <x:c r="A3028" s="1" t="n">
        <x:v>22924</x:v>
      </x:c>
      <x:c r="B3028" s="5" t="d">
        <x:v>2015-12-01T00:00:00.000Z</x:v>
      </x:c>
      <x:c r="C3028" s="1" t="str">
        <x:v>Second Class</x:v>
      </x:c>
      <x:c r="D3028" s="1" t="str">
        <x:v>Pacific Asia</x:v>
      </x:c>
      <x:c r="E3028" s="1" t="str">
        <x:v>PENDING_PAYMENT</x:v>
      </x:c>
      <x:c r="F3028" s="1" t="str">
        <x:v>Late delivery</x:v>
      </x:c>
      <x:c r="G3028" s="6" t="n">
        <x:v>5</x:v>
      </x:c>
      <x:c r="H3028" s="6" t="n">
        <x:v>2</x:v>
      </x:c>
      <x:c r="I3028" s="6" t="n">
        <x:f>G3028-H3028</x:f>
        <x:v>3</x:v>
      </x:c>
      <x:c r="J3028" s="6" t="n">
        <x:f>IF(OR(E3028="CANCELED",E3028="SUSPECTED_FRAUD",F3028="Shipping canceled"),0,1)</x:f>
        <x:v>1</x:v>
      </x:c>
      <x:c r="K3028" s="6" t="n">
        <x:f>IF(G3028&gt;H3028,1,0)</x:f>
        <x:v>1</x:v>
      </x:c>
      <x:c r="L3028" s="6" t="n">
        <x:f>J3028*K3028</x:f>
        <x:v>1</x:v>
      </x:c>
    </x:row>
    <x:row r="3029">
      <x:c r="A3029" s="1" t="n">
        <x:v>22926</x:v>
      </x:c>
      <x:c r="B3029" s="5" t="d">
        <x:v>2015-12-01T00:00:00.000Z</x:v>
      </x:c>
      <x:c r="C3029" s="1" t="str">
        <x:v>Standard Class</x:v>
      </x:c>
      <x:c r="D3029" s="1" t="str">
        <x:v>Pacific Asia</x:v>
      </x:c>
      <x:c r="E3029" s="1" t="str">
        <x:v>PROCESSING</x:v>
      </x:c>
      <x:c r="F3029" s="1" t="str">
        <x:v>Advance shipping</x:v>
      </x:c>
      <x:c r="G3029" s="6" t="n">
        <x:v>2</x:v>
      </x:c>
      <x:c r="H3029" s="6" t="n">
        <x:v>4</x:v>
      </x:c>
      <x:c r="I3029" s="6" t="n">
        <x:f>G3029-H3029</x:f>
        <x:v>-2</x:v>
      </x:c>
      <x:c r="J3029" s="6" t="n">
        <x:f>IF(OR(E3029="CANCELED",E3029="SUSPECTED_FRAUD",F3029="Shipping canceled"),0,1)</x:f>
        <x:v>1</x:v>
      </x:c>
      <x:c r="K3029" s="6" t="n">
        <x:f>IF(G3029&gt;H3029,1,0)</x:f>
        <x:v>0</x:v>
      </x:c>
      <x:c r="L3029" s="6" t="n">
        <x:f>J3029*K3029</x:f>
        <x:v>0</x:v>
      </x:c>
    </x:row>
    <x:row r="3030">
      <x:c r="A3030" s="1" t="n">
        <x:v>22945</x:v>
      </x:c>
      <x:c r="B3030" s="5" t="d">
        <x:v>2015-12-01T00:00:00.000Z</x:v>
      </x:c>
      <x:c r="C3030" s="1" t="str">
        <x:v>Standard Class</x:v>
      </x:c>
      <x:c r="D3030" s="1" t="str">
        <x:v>Pacific Asia</x:v>
      </x:c>
      <x:c r="E3030" s="1" t="str">
        <x:v>COMPLETE</x:v>
      </x:c>
      <x:c r="F3030" s="1" t="str">
        <x:v>Late delivery</x:v>
      </x:c>
      <x:c r="G3030" s="6" t="n">
        <x:v>6</x:v>
      </x:c>
      <x:c r="H3030" s="6" t="n">
        <x:v>4</x:v>
      </x:c>
      <x:c r="I3030" s="6" t="n">
        <x:f>G3030-H3030</x:f>
        <x:v>2</x:v>
      </x:c>
      <x:c r="J3030" s="6" t="n">
        <x:f>IF(OR(E3030="CANCELED",E3030="SUSPECTED_FRAUD",F3030="Shipping canceled"),0,1)</x:f>
        <x:v>1</x:v>
      </x:c>
      <x:c r="K3030" s="6" t="n">
        <x:f>IF(G3030&gt;H3030,1,0)</x:f>
        <x:v>1</x:v>
      </x:c>
      <x:c r="L3030" s="6" t="n">
        <x:f>J3030*K3030</x:f>
        <x:v>1</x:v>
      </x:c>
    </x:row>
    <x:row r="3031">
      <x:c r="A3031" s="1" t="n">
        <x:v>22966</x:v>
      </x:c>
      <x:c r="B3031" s="5" t="d">
        <x:v>2015-12-02T00:00:00.000Z</x:v>
      </x:c>
      <x:c r="C3031" s="1" t="str">
        <x:v>Standard Class</x:v>
      </x:c>
      <x:c r="D3031" s="1" t="str">
        <x:v>Pacific Asia</x:v>
      </x:c>
      <x:c r="E3031" s="1" t="str">
        <x:v>PENDING_PAYMENT</x:v>
      </x:c>
      <x:c r="F3031" s="1" t="str">
        <x:v>Advance shipping</x:v>
      </x:c>
      <x:c r="G3031" s="6" t="n">
        <x:v>2</x:v>
      </x:c>
      <x:c r="H3031" s="6" t="n">
        <x:v>4</x:v>
      </x:c>
      <x:c r="I3031" s="6" t="n">
        <x:f>G3031-H3031</x:f>
        <x:v>-2</x:v>
      </x:c>
      <x:c r="J3031" s="6" t="n">
        <x:f>IF(OR(E3031="CANCELED",E3031="SUSPECTED_FRAUD",F3031="Shipping canceled"),0,1)</x:f>
        <x:v>1</x:v>
      </x:c>
      <x:c r="K3031" s="6" t="n">
        <x:f>IF(G3031&gt;H3031,1,0)</x:f>
        <x:v>0</x:v>
      </x:c>
      <x:c r="L3031" s="6" t="n">
        <x:f>J3031*K3031</x:f>
        <x:v>0</x:v>
      </x:c>
    </x:row>
    <x:row r="3032">
      <x:c r="A3032" s="1" t="n">
        <x:v>22968</x:v>
      </x:c>
      <x:c r="B3032" s="5" t="d">
        <x:v>2015-12-02T00:00:00.000Z</x:v>
      </x:c>
      <x:c r="C3032" s="1" t="str">
        <x:v>Standard Class</x:v>
      </x:c>
      <x:c r="D3032" s="1" t="str">
        <x:v>Pacific Asia</x:v>
      </x:c>
      <x:c r="E3032" s="1" t="str">
        <x:v>PROCESSING</x:v>
      </x:c>
      <x:c r="F3032" s="1" t="str">
        <x:v>Shipping on time</x:v>
      </x:c>
      <x:c r="G3032" s="6" t="n">
        <x:v>4</x:v>
      </x:c>
      <x:c r="H3032" s="6" t="n">
        <x:v>4</x:v>
      </x:c>
      <x:c r="I3032" s="6" t="n">
        <x:f>G3032-H3032</x:f>
        <x:v>0</x:v>
      </x:c>
      <x:c r="J3032" s="6" t="n">
        <x:f>IF(OR(E3032="CANCELED",E3032="SUSPECTED_FRAUD",F3032="Shipping canceled"),0,1)</x:f>
        <x:v>1</x:v>
      </x:c>
      <x:c r="K3032" s="6" t="n">
        <x:f>IF(G3032&gt;H3032,1,0)</x:f>
        <x:v>0</x:v>
      </x:c>
      <x:c r="L3032" s="6" t="n">
        <x:f>J3032*K3032</x:f>
        <x:v>0</x:v>
      </x:c>
    </x:row>
    <x:row r="3033">
      <x:c r="A3033" s="1" t="n">
        <x:v>22975</x:v>
      </x:c>
      <x:c r="B3033" s="5" t="d">
        <x:v>2015-12-02T00:00:00.000Z</x:v>
      </x:c>
      <x:c r="C3033" s="1" t="str">
        <x:v>First Class</x:v>
      </x:c>
      <x:c r="D3033" s="1" t="str">
        <x:v>Pacific Asia</x:v>
      </x:c>
      <x:c r="E3033" s="1" t="str">
        <x:v>CANCELED</x:v>
      </x:c>
      <x:c r="F3033" s="1" t="str">
        <x:v>Shipping canceled</x:v>
      </x:c>
      <x:c r="G3033" s="6" t="n">
        <x:v>2</x:v>
      </x:c>
      <x:c r="H3033" s="6" t="n">
        <x:v>1</x:v>
      </x:c>
      <x:c r="I3033" s="6" t="n">
        <x:f>G3033-H3033</x:f>
        <x:v>1</x:v>
      </x:c>
      <x:c r="J3033" s="6" t="n">
        <x:f>IF(OR(E3033="CANCELED",E3033="SUSPECTED_FRAUD",F3033="Shipping canceled"),0,1)</x:f>
        <x:v>0</x:v>
      </x:c>
      <x:c r="K3033" s="6" t="n">
        <x:f>IF(G3033&gt;H3033,1,0)</x:f>
        <x:v>1</x:v>
      </x:c>
      <x:c r="L3033" s="6" t="n">
        <x:f>J3033*K3033</x:f>
        <x:v>0</x:v>
      </x:c>
    </x:row>
    <x:row r="3034">
      <x:c r="A3034" s="1" t="n">
        <x:v>22980</x:v>
      </x:c>
      <x:c r="B3034" s="5" t="d">
        <x:v>2015-12-02T00:00:00.000Z</x:v>
      </x:c>
      <x:c r="C3034" s="1" t="str">
        <x:v>Second Class</x:v>
      </x:c>
      <x:c r="D3034" s="1" t="str">
        <x:v>Pacific Asia</x:v>
      </x:c>
      <x:c r="E3034" s="1" t="str">
        <x:v>COMPLETE</x:v>
      </x:c>
      <x:c r="F3034" s="1" t="str">
        <x:v>Late delivery</x:v>
      </x:c>
      <x:c r="G3034" s="6" t="n">
        <x:v>6</x:v>
      </x:c>
      <x:c r="H3034" s="6" t="n">
        <x:v>2</x:v>
      </x:c>
      <x:c r="I3034" s="6" t="n">
        <x:f>G3034-H3034</x:f>
        <x:v>4</x:v>
      </x:c>
      <x:c r="J3034" s="6" t="n">
        <x:f>IF(OR(E3034="CANCELED",E3034="SUSPECTED_FRAUD",F3034="Shipping canceled"),0,1)</x:f>
        <x:v>1</x:v>
      </x:c>
      <x:c r="K3034" s="6" t="n">
        <x:f>IF(G3034&gt;H3034,1,0)</x:f>
        <x:v>1</x:v>
      </x:c>
      <x:c r="L3034" s="6" t="n">
        <x:f>J3034*K3034</x:f>
        <x:v>1</x:v>
      </x:c>
    </x:row>
    <x:row r="3035">
      <x:c r="A3035" s="1" t="n">
        <x:v>22985</x:v>
      </x:c>
      <x:c r="B3035" s="5" t="d">
        <x:v>2015-12-02T00:00:00.000Z</x:v>
      </x:c>
      <x:c r="C3035" s="1" t="str">
        <x:v>First Class</x:v>
      </x:c>
      <x:c r="D3035" s="1" t="str">
        <x:v>Pacific Asia</x:v>
      </x:c>
      <x:c r="E3035" s="1" t="str">
        <x:v>CLOSED</x:v>
      </x:c>
      <x:c r="F3035" s="1" t="str">
        <x:v>Late delivery</x:v>
      </x:c>
      <x:c r="G3035" s="6" t="n">
        <x:v>2</x:v>
      </x:c>
      <x:c r="H3035" s="6" t="n">
        <x:v>1</x:v>
      </x:c>
      <x:c r="I3035" s="6" t="n">
        <x:f>G3035-H3035</x:f>
        <x:v>1</x:v>
      </x:c>
      <x:c r="J3035" s="6" t="n">
        <x:f>IF(OR(E3035="CANCELED",E3035="SUSPECTED_FRAUD",F3035="Shipping canceled"),0,1)</x:f>
        <x:v>1</x:v>
      </x:c>
      <x:c r="K3035" s="6" t="n">
        <x:f>IF(G3035&gt;H3035,1,0)</x:f>
        <x:v>1</x:v>
      </x:c>
      <x:c r="L3035" s="6" t="n">
        <x:f>J3035*K3035</x:f>
        <x:v>1</x:v>
      </x:c>
    </x:row>
    <x:row r="3036">
      <x:c r="A3036" s="1" t="n">
        <x:v>22988</x:v>
      </x:c>
      <x:c r="B3036" s="5" t="d">
        <x:v>2015-12-02T00:00:00.000Z</x:v>
      </x:c>
      <x:c r="C3036" s="1" t="str">
        <x:v>Standard Class</x:v>
      </x:c>
      <x:c r="D3036" s="1" t="str">
        <x:v>Pacific Asia</x:v>
      </x:c>
      <x:c r="E3036" s="1" t="str">
        <x:v>PROCESSING</x:v>
      </x:c>
      <x:c r="F3036" s="1" t="str">
        <x:v>Shipping on time</x:v>
      </x:c>
      <x:c r="G3036" s="6" t="n">
        <x:v>4</x:v>
      </x:c>
      <x:c r="H3036" s="6" t="n">
        <x:v>4</x:v>
      </x:c>
      <x:c r="I3036" s="6" t="n">
        <x:f>G3036-H3036</x:f>
        <x:v>0</x:v>
      </x:c>
      <x:c r="J3036" s="6" t="n">
        <x:f>IF(OR(E3036="CANCELED",E3036="SUSPECTED_FRAUD",F3036="Shipping canceled"),0,1)</x:f>
        <x:v>1</x:v>
      </x:c>
      <x:c r="K3036" s="6" t="n">
        <x:f>IF(G3036&gt;H3036,1,0)</x:f>
        <x:v>0</x:v>
      </x:c>
      <x:c r="L3036" s="6" t="n">
        <x:f>J3036*K3036</x:f>
        <x:v>0</x:v>
      </x:c>
    </x:row>
    <x:row r="3037">
      <x:c r="A3037" s="1" t="n">
        <x:v>23001</x:v>
      </x:c>
      <x:c r="B3037" s="5" t="d">
        <x:v>2015-12-02T00:00:00.000Z</x:v>
      </x:c>
      <x:c r="C3037" s="1" t="str">
        <x:v>Standard Class</x:v>
      </x:c>
      <x:c r="D3037" s="1" t="str">
        <x:v>Pacific Asia</x:v>
      </x:c>
      <x:c r="E3037" s="1" t="str">
        <x:v>COMPLETE</x:v>
      </x:c>
      <x:c r="F3037" s="1" t="str">
        <x:v>Advance shipping</x:v>
      </x:c>
      <x:c r="G3037" s="6" t="n">
        <x:v>2</x:v>
      </x:c>
      <x:c r="H3037" s="6" t="n">
        <x:v>4</x:v>
      </x:c>
      <x:c r="I3037" s="6" t="n">
        <x:f>G3037-H3037</x:f>
        <x:v>-2</x:v>
      </x:c>
      <x:c r="J3037" s="6" t="n">
        <x:f>IF(OR(E3037="CANCELED",E3037="SUSPECTED_FRAUD",F3037="Shipping canceled"),0,1)</x:f>
        <x:v>1</x:v>
      </x:c>
      <x:c r="K3037" s="6" t="n">
        <x:f>IF(G3037&gt;H3037,1,0)</x:f>
        <x:v>0</x:v>
      </x:c>
      <x:c r="L3037" s="6" t="n">
        <x:f>J3037*K3037</x:f>
        <x:v>0</x:v>
      </x:c>
    </x:row>
    <x:row r="3038">
      <x:c r="A3038" s="1" t="n">
        <x:v>23011</x:v>
      </x:c>
      <x:c r="B3038" s="5" t="d">
        <x:v>2015-12-02T00:00:00.000Z</x:v>
      </x:c>
      <x:c r="C3038" s="1" t="str">
        <x:v>Standard Class</x:v>
      </x:c>
      <x:c r="D3038" s="1" t="str">
        <x:v>Pacific Asia</x:v>
      </x:c>
      <x:c r="E3038" s="1" t="str">
        <x:v>PROCESSING</x:v>
      </x:c>
      <x:c r="F3038" s="1" t="str">
        <x:v>Advance shipping</x:v>
      </x:c>
      <x:c r="G3038" s="6" t="n">
        <x:v>2</x:v>
      </x:c>
      <x:c r="H3038" s="6" t="n">
        <x:v>4</x:v>
      </x:c>
      <x:c r="I3038" s="6" t="n">
        <x:f>G3038-H3038</x:f>
        <x:v>-2</x:v>
      </x:c>
      <x:c r="J3038" s="6" t="n">
        <x:f>IF(OR(E3038="CANCELED",E3038="SUSPECTED_FRAUD",F3038="Shipping canceled"),0,1)</x:f>
        <x:v>1</x:v>
      </x:c>
      <x:c r="K3038" s="6" t="n">
        <x:f>IF(G3038&gt;H3038,1,0)</x:f>
        <x:v>0</x:v>
      </x:c>
      <x:c r="L3038" s="6" t="n">
        <x:f>J3038*K3038</x:f>
        <x:v>0</x:v>
      </x:c>
    </x:row>
    <x:row r="3039">
      <x:c r="A3039" s="1" t="n">
        <x:v>23012</x:v>
      </x:c>
      <x:c r="B3039" s="5" t="d">
        <x:v>2015-12-02T00:00:00.000Z</x:v>
      </x:c>
      <x:c r="C3039" s="1" t="str">
        <x:v>Standard Class</x:v>
      </x:c>
      <x:c r="D3039" s="1" t="str">
        <x:v>Pacific Asia</x:v>
      </x:c>
      <x:c r="E3039" s="1" t="str">
        <x:v>PENDING_PAYMENT</x:v>
      </x:c>
      <x:c r="F3039" s="1" t="str">
        <x:v>Advance shipping</x:v>
      </x:c>
      <x:c r="G3039" s="6" t="n">
        <x:v>3</x:v>
      </x:c>
      <x:c r="H3039" s="6" t="n">
        <x:v>4</x:v>
      </x:c>
      <x:c r="I3039" s="6" t="n">
        <x:f>G3039-H3039</x:f>
        <x:v>-1</x:v>
      </x:c>
      <x:c r="J3039" s="6" t="n">
        <x:f>IF(OR(E3039="CANCELED",E3039="SUSPECTED_FRAUD",F3039="Shipping canceled"),0,1)</x:f>
        <x:v>1</x:v>
      </x:c>
      <x:c r="K3039" s="6" t="n">
        <x:f>IF(G3039&gt;H3039,1,0)</x:f>
        <x:v>0</x:v>
      </x:c>
      <x:c r="L3039" s="6" t="n">
        <x:f>J3039*K3039</x:f>
        <x:v>0</x:v>
      </x:c>
    </x:row>
    <x:row r="3040">
      <x:c r="A3040" s="1" t="n">
        <x:v>23017</x:v>
      </x:c>
      <x:c r="B3040" s="5" t="d">
        <x:v>2015-12-02T00:00:00.000Z</x:v>
      </x:c>
      <x:c r="C3040" s="1" t="str">
        <x:v>First Class</x:v>
      </x:c>
      <x:c r="D3040" s="1" t="str">
        <x:v>Pacific Asia</x:v>
      </x:c>
      <x:c r="E3040" s="1" t="str">
        <x:v>PROCESSING</x:v>
      </x:c>
      <x:c r="F3040" s="1" t="str">
        <x:v>Late delivery</x:v>
      </x:c>
      <x:c r="G3040" s="6" t="n">
        <x:v>2</x:v>
      </x:c>
      <x:c r="H3040" s="6" t="n">
        <x:v>1</x:v>
      </x:c>
      <x:c r="I3040" s="6" t="n">
        <x:f>G3040-H3040</x:f>
        <x:v>1</x:v>
      </x:c>
      <x:c r="J3040" s="6" t="n">
        <x:f>IF(OR(E3040="CANCELED",E3040="SUSPECTED_FRAUD",F3040="Shipping canceled"),0,1)</x:f>
        <x:v>1</x:v>
      </x:c>
      <x:c r="K3040" s="6" t="n">
        <x:f>IF(G3040&gt;H3040,1,0)</x:f>
        <x:v>1</x:v>
      </x:c>
      <x:c r="L3040" s="6" t="n">
        <x:f>J3040*K3040</x:f>
        <x:v>1</x:v>
      </x:c>
    </x:row>
    <x:row r="3041">
      <x:c r="A3041" s="1" t="n">
        <x:v>23022</x:v>
      </x:c>
      <x:c r="B3041" s="5" t="d">
        <x:v>2015-12-03T00:00:00.000Z</x:v>
      </x:c>
      <x:c r="C3041" s="1" t="str">
        <x:v>Second Class</x:v>
      </x:c>
      <x:c r="D3041" s="1" t="str">
        <x:v>Pacific Asia</x:v>
      </x:c>
      <x:c r="E3041" s="1" t="str">
        <x:v>PENDING_PAYMENT</x:v>
      </x:c>
      <x:c r="F3041" s="1" t="str">
        <x:v>Late delivery</x:v>
      </x:c>
      <x:c r="G3041" s="6" t="n">
        <x:v>3</x:v>
      </x:c>
      <x:c r="H3041" s="6" t="n">
        <x:v>2</x:v>
      </x:c>
      <x:c r="I3041" s="6" t="n">
        <x:f>G3041-H3041</x:f>
        <x:v>1</x:v>
      </x:c>
      <x:c r="J3041" s="6" t="n">
        <x:f>IF(OR(E3041="CANCELED",E3041="SUSPECTED_FRAUD",F3041="Shipping canceled"),0,1)</x:f>
        <x:v>1</x:v>
      </x:c>
      <x:c r="K3041" s="6" t="n">
        <x:f>IF(G3041&gt;H3041,1,0)</x:f>
        <x:v>1</x:v>
      </x:c>
      <x:c r="L3041" s="6" t="n">
        <x:f>J3041*K3041</x:f>
        <x:v>1</x:v>
      </x:c>
    </x:row>
    <x:row r="3042">
      <x:c r="A3042" s="1" t="n">
        <x:v>23025</x:v>
      </x:c>
      <x:c r="B3042" s="5" t="d">
        <x:v>2015-12-03T00:00:00.000Z</x:v>
      </x:c>
      <x:c r="C3042" s="1" t="str">
        <x:v>Standard Class</x:v>
      </x:c>
      <x:c r="D3042" s="1" t="str">
        <x:v>Pacific Asia</x:v>
      </x:c>
      <x:c r="E3042" s="1" t="str">
        <x:v>COMPLETE</x:v>
      </x:c>
      <x:c r="F3042" s="1" t="str">
        <x:v>Late delivery</x:v>
      </x:c>
      <x:c r="G3042" s="6" t="n">
        <x:v>6</x:v>
      </x:c>
      <x:c r="H3042" s="6" t="n">
        <x:v>4</x:v>
      </x:c>
      <x:c r="I3042" s="6" t="n">
        <x:f>G3042-H3042</x:f>
        <x:v>2</x:v>
      </x:c>
      <x:c r="J3042" s="6" t="n">
        <x:f>IF(OR(E3042="CANCELED",E3042="SUSPECTED_FRAUD",F3042="Shipping canceled"),0,1)</x:f>
        <x:v>1</x:v>
      </x:c>
      <x:c r="K3042" s="6" t="n">
        <x:f>IF(G3042&gt;H3042,1,0)</x:f>
        <x:v>1</x:v>
      </x:c>
      <x:c r="L3042" s="6" t="n">
        <x:f>J3042*K3042</x:f>
        <x:v>1</x:v>
      </x:c>
    </x:row>
    <x:row r="3043">
      <x:c r="A3043" s="1" t="n">
        <x:v>23026</x:v>
      </x:c>
      <x:c r="B3043" s="5" t="d">
        <x:v>2015-12-03T00:00:00.000Z</x:v>
      </x:c>
      <x:c r="C3043" s="1" t="str">
        <x:v>Second Class</x:v>
      </x:c>
      <x:c r="D3043" s="1" t="str">
        <x:v>Pacific Asia</x:v>
      </x:c>
      <x:c r="E3043" s="1" t="str">
        <x:v>COMPLETE</x:v>
      </x:c>
      <x:c r="F3043" s="1" t="str">
        <x:v>Shipping on time</x:v>
      </x:c>
      <x:c r="G3043" s="6" t="n">
        <x:v>2</x:v>
      </x:c>
      <x:c r="H3043" s="6" t="n">
        <x:v>2</x:v>
      </x:c>
      <x:c r="I3043" s="6" t="n">
        <x:f>G3043-H3043</x:f>
        <x:v>0</x:v>
      </x:c>
      <x:c r="J3043" s="6" t="n">
        <x:f>IF(OR(E3043="CANCELED",E3043="SUSPECTED_FRAUD",F3043="Shipping canceled"),0,1)</x:f>
        <x:v>1</x:v>
      </x:c>
      <x:c r="K3043" s="6" t="n">
        <x:f>IF(G3043&gt;H3043,1,0)</x:f>
        <x:v>0</x:v>
      </x:c>
      <x:c r="L3043" s="6" t="n">
        <x:f>J3043*K3043</x:f>
        <x:v>0</x:v>
      </x:c>
    </x:row>
    <x:row r="3044">
      <x:c r="A3044" s="1" t="n">
        <x:v>23028</x:v>
      </x:c>
      <x:c r="B3044" s="5" t="d">
        <x:v>2015-12-03T00:00:00.000Z</x:v>
      </x:c>
      <x:c r="C3044" s="1" t="str">
        <x:v>Standard Class</x:v>
      </x:c>
      <x:c r="D3044" s="1" t="str">
        <x:v>Pacific Asia</x:v>
      </x:c>
      <x:c r="E3044" s="1" t="str">
        <x:v>PENDING</x:v>
      </x:c>
      <x:c r="F3044" s="1" t="str">
        <x:v>Shipping on time</x:v>
      </x:c>
      <x:c r="G3044" s="6" t="n">
        <x:v>4</x:v>
      </x:c>
      <x:c r="H3044" s="6" t="n">
        <x:v>4</x:v>
      </x:c>
      <x:c r="I3044" s="6" t="n">
        <x:f>G3044-H3044</x:f>
        <x:v>0</x:v>
      </x:c>
      <x:c r="J3044" s="6" t="n">
        <x:f>IF(OR(E3044="CANCELED",E3044="SUSPECTED_FRAUD",F3044="Shipping canceled"),0,1)</x:f>
        <x:v>1</x:v>
      </x:c>
      <x:c r="K3044" s="6" t="n">
        <x:f>IF(G3044&gt;H3044,1,0)</x:f>
        <x:v>0</x:v>
      </x:c>
      <x:c r="L3044" s="6" t="n">
        <x:f>J3044*K3044</x:f>
        <x:v>0</x:v>
      </x:c>
    </x:row>
    <x:row r="3045">
      <x:c r="A3045" s="1" t="n">
        <x:v>23030</x:v>
      </x:c>
      <x:c r="B3045" s="5" t="d">
        <x:v>2015-12-03T00:00:00.000Z</x:v>
      </x:c>
      <x:c r="C3045" s="1" t="str">
        <x:v>Standard Class</x:v>
      </x:c>
      <x:c r="D3045" s="1" t="str">
        <x:v>Pacific Asia</x:v>
      </x:c>
      <x:c r="E3045" s="1" t="str">
        <x:v>COMPLETE</x:v>
      </x:c>
      <x:c r="F3045" s="1" t="str">
        <x:v>Late delivery</x:v>
      </x:c>
      <x:c r="G3045" s="6" t="n">
        <x:v>6</x:v>
      </x:c>
      <x:c r="H3045" s="6" t="n">
        <x:v>4</x:v>
      </x:c>
      <x:c r="I3045" s="6" t="n">
        <x:f>G3045-H3045</x:f>
        <x:v>2</x:v>
      </x:c>
      <x:c r="J3045" s="6" t="n">
        <x:f>IF(OR(E3045="CANCELED",E3045="SUSPECTED_FRAUD",F3045="Shipping canceled"),0,1)</x:f>
        <x:v>1</x:v>
      </x:c>
      <x:c r="K3045" s="6" t="n">
        <x:f>IF(G3045&gt;H3045,1,0)</x:f>
        <x:v>1</x:v>
      </x:c>
      <x:c r="L3045" s="6" t="n">
        <x:f>J3045*K3045</x:f>
        <x:v>1</x:v>
      </x:c>
    </x:row>
    <x:row r="3046">
      <x:c r="A3046" s="1" t="n">
        <x:v>23033</x:v>
      </x:c>
      <x:c r="B3046" s="5" t="d">
        <x:v>2015-12-03T00:00:00.000Z</x:v>
      </x:c>
      <x:c r="C3046" s="1" t="str">
        <x:v>Same Day</x:v>
      </x:c>
      <x:c r="D3046" s="1" t="str">
        <x:v>Pacific Asia</x:v>
      </x:c>
      <x:c r="E3046" s="1" t="str">
        <x:v>CLOSED</x:v>
      </x:c>
      <x:c r="F3046" s="1" t="str">
        <x:v>Shipping on time</x:v>
      </x:c>
      <x:c r="G3046" s="6" t="n">
        <x:v>0</x:v>
      </x:c>
      <x:c r="H3046" s="6" t="n">
        <x:v>0</x:v>
      </x:c>
      <x:c r="I3046" s="6" t="n">
        <x:f>G3046-H3046</x:f>
        <x:v>0</x:v>
      </x:c>
      <x:c r="J3046" s="6" t="n">
        <x:f>IF(OR(E3046="CANCELED",E3046="SUSPECTED_FRAUD",F3046="Shipping canceled"),0,1)</x:f>
        <x:v>1</x:v>
      </x:c>
      <x:c r="K3046" s="6" t="n">
        <x:f>IF(G3046&gt;H3046,1,0)</x:f>
        <x:v>0</x:v>
      </x:c>
      <x:c r="L3046" s="6" t="n">
        <x:f>J3046*K3046</x:f>
        <x:v>0</x:v>
      </x:c>
    </x:row>
    <x:row r="3047">
      <x:c r="A3047" s="1" t="n">
        <x:v>23049</x:v>
      </x:c>
      <x:c r="B3047" s="5" t="d">
        <x:v>2015-12-03T00:00:00.000Z</x:v>
      </x:c>
      <x:c r="C3047" s="1" t="str">
        <x:v>Standard Class</x:v>
      </x:c>
      <x:c r="D3047" s="1" t="str">
        <x:v>Pacific Asia</x:v>
      </x:c>
      <x:c r="E3047" s="1" t="str">
        <x:v>PROCESSING</x:v>
      </x:c>
      <x:c r="F3047" s="1" t="str">
        <x:v>Late delivery</x:v>
      </x:c>
      <x:c r="G3047" s="6" t="n">
        <x:v>5</x:v>
      </x:c>
      <x:c r="H3047" s="6" t="n">
        <x:v>4</x:v>
      </x:c>
      <x:c r="I3047" s="6" t="n">
        <x:f>G3047-H3047</x:f>
        <x:v>1</x:v>
      </x:c>
      <x:c r="J3047" s="6" t="n">
        <x:f>IF(OR(E3047="CANCELED",E3047="SUSPECTED_FRAUD",F3047="Shipping canceled"),0,1)</x:f>
        <x:v>1</x:v>
      </x:c>
      <x:c r="K3047" s="6" t="n">
        <x:f>IF(G3047&gt;H3047,1,0)</x:f>
        <x:v>1</x:v>
      </x:c>
      <x:c r="L3047" s="6" t="n">
        <x:f>J3047*K3047</x:f>
        <x:v>1</x:v>
      </x:c>
    </x:row>
    <x:row r="3048">
      <x:c r="A3048" s="1" t="n">
        <x:v>23065</x:v>
      </x:c>
      <x:c r="B3048" s="5" t="d">
        <x:v>2015-12-03T00:00:00.000Z</x:v>
      </x:c>
      <x:c r="C3048" s="1" t="str">
        <x:v>Standard Class</x:v>
      </x:c>
      <x:c r="D3048" s="1" t="str">
        <x:v>Pacific Asia</x:v>
      </x:c>
      <x:c r="E3048" s="1" t="str">
        <x:v>COMPLETE</x:v>
      </x:c>
      <x:c r="F3048" s="1" t="str">
        <x:v>Late delivery</x:v>
      </x:c>
      <x:c r="G3048" s="6" t="n">
        <x:v>6</x:v>
      </x:c>
      <x:c r="H3048" s="6" t="n">
        <x:v>4</x:v>
      </x:c>
      <x:c r="I3048" s="6" t="n">
        <x:f>G3048-H3048</x:f>
        <x:v>2</x:v>
      </x:c>
      <x:c r="J3048" s="6" t="n">
        <x:f>IF(OR(E3048="CANCELED",E3048="SUSPECTED_FRAUD",F3048="Shipping canceled"),0,1)</x:f>
        <x:v>1</x:v>
      </x:c>
      <x:c r="K3048" s="6" t="n">
        <x:f>IF(G3048&gt;H3048,1,0)</x:f>
        <x:v>1</x:v>
      </x:c>
      <x:c r="L3048" s="6" t="n">
        <x:f>J3048*K3048</x:f>
        <x:v>1</x:v>
      </x:c>
    </x:row>
    <x:row r="3049">
      <x:c r="A3049" s="1" t="n">
        <x:v>23066</x:v>
      </x:c>
      <x:c r="B3049" s="5" t="d">
        <x:v>2015-12-03T00:00:00.000Z</x:v>
      </x:c>
      <x:c r="C3049" s="1" t="str">
        <x:v>Second Class</x:v>
      </x:c>
      <x:c r="D3049" s="1" t="str">
        <x:v>Pacific Asia</x:v>
      </x:c>
      <x:c r="E3049" s="1" t="str">
        <x:v>COMPLETE</x:v>
      </x:c>
      <x:c r="F3049" s="1" t="str">
        <x:v>Shipping on time</x:v>
      </x:c>
      <x:c r="G3049" s="6" t="n">
        <x:v>2</x:v>
      </x:c>
      <x:c r="H3049" s="6" t="n">
        <x:v>2</x:v>
      </x:c>
      <x:c r="I3049" s="6" t="n">
        <x:f>G3049-H3049</x:f>
        <x:v>0</x:v>
      </x:c>
      <x:c r="J3049" s="6" t="n">
        <x:f>IF(OR(E3049="CANCELED",E3049="SUSPECTED_FRAUD",F3049="Shipping canceled"),0,1)</x:f>
        <x:v>1</x:v>
      </x:c>
      <x:c r="K3049" s="6" t="n">
        <x:f>IF(G3049&gt;H3049,1,0)</x:f>
        <x:v>0</x:v>
      </x:c>
      <x:c r="L3049" s="6" t="n">
        <x:f>J3049*K3049</x:f>
        <x:v>0</x:v>
      </x:c>
    </x:row>
    <x:row r="3050">
      <x:c r="A3050" s="1" t="n">
        <x:v>23076</x:v>
      </x:c>
      <x:c r="B3050" s="5" t="d">
        <x:v>2015-12-03T00:00:00.000Z</x:v>
      </x:c>
      <x:c r="C3050" s="1" t="str">
        <x:v>Second Class</x:v>
      </x:c>
      <x:c r="D3050" s="1" t="str">
        <x:v>Pacific Asia</x:v>
      </x:c>
      <x:c r="E3050" s="1" t="str">
        <x:v>CLOSED</x:v>
      </x:c>
      <x:c r="F3050" s="1" t="str">
        <x:v>Shipping on time</x:v>
      </x:c>
      <x:c r="G3050" s="6" t="n">
        <x:v>2</x:v>
      </x:c>
      <x:c r="H3050" s="6" t="n">
        <x:v>2</x:v>
      </x:c>
      <x:c r="I3050" s="6" t="n">
        <x:f>G3050-H3050</x:f>
        <x:v>0</x:v>
      </x:c>
      <x:c r="J3050" s="6" t="n">
        <x:f>IF(OR(E3050="CANCELED",E3050="SUSPECTED_FRAUD",F3050="Shipping canceled"),0,1)</x:f>
        <x:v>1</x:v>
      </x:c>
      <x:c r="K3050" s="6" t="n">
        <x:f>IF(G3050&gt;H3050,1,0)</x:f>
        <x:v>0</x:v>
      </x:c>
      <x:c r="L3050" s="6" t="n">
        <x:f>J3050*K3050</x:f>
        <x:v>0</x:v>
      </x:c>
    </x:row>
    <x:row r="3051">
      <x:c r="A3051" s="1" t="n">
        <x:v>23078</x:v>
      </x:c>
      <x:c r="B3051" s="5" t="d">
        <x:v>2015-12-03T00:00:00.000Z</x:v>
      </x:c>
      <x:c r="C3051" s="1" t="str">
        <x:v>Second Class</x:v>
      </x:c>
      <x:c r="D3051" s="1" t="str">
        <x:v>Pacific Asia</x:v>
      </x:c>
      <x:c r="E3051" s="1" t="str">
        <x:v>SUSPECTED_FRAUD</x:v>
      </x:c>
      <x:c r="F3051" s="1" t="str">
        <x:v>Shipping canceled</x:v>
      </x:c>
      <x:c r="G3051" s="6" t="n">
        <x:v>4</x:v>
      </x:c>
      <x:c r="H3051" s="6" t="n">
        <x:v>2</x:v>
      </x:c>
      <x:c r="I3051" s="6" t="n">
        <x:f>G3051-H3051</x:f>
        <x:v>2</x:v>
      </x:c>
      <x:c r="J3051" s="6" t="n">
        <x:f>IF(OR(E3051="CANCELED",E3051="SUSPECTED_FRAUD",F3051="Shipping canceled"),0,1)</x:f>
        <x:v>0</x:v>
      </x:c>
      <x:c r="K3051" s="6" t="n">
        <x:f>IF(G3051&gt;H3051,1,0)</x:f>
        <x:v>1</x:v>
      </x:c>
      <x:c r="L3051" s="6" t="n">
        <x:f>J3051*K3051</x:f>
        <x:v>0</x:v>
      </x:c>
    </x:row>
    <x:row r="3052">
      <x:c r="A3052" s="1" t="n">
        <x:v>23083</x:v>
      </x:c>
      <x:c r="B3052" s="5" t="d">
        <x:v>2015-12-03T00:00:00.000Z</x:v>
      </x:c>
      <x:c r="C3052" s="1" t="str">
        <x:v>Standard Class</x:v>
      </x:c>
      <x:c r="D3052" s="1" t="str">
        <x:v>Pacific Asia</x:v>
      </x:c>
      <x:c r="E3052" s="1" t="str">
        <x:v>COMPLETE</x:v>
      </x:c>
      <x:c r="F3052" s="1" t="str">
        <x:v>Shipping on time</x:v>
      </x:c>
      <x:c r="G3052" s="6" t="n">
        <x:v>4</x:v>
      </x:c>
      <x:c r="H3052" s="6" t="n">
        <x:v>4</x:v>
      </x:c>
      <x:c r="I3052" s="6" t="n">
        <x:f>G3052-H3052</x:f>
        <x:v>0</x:v>
      </x:c>
      <x:c r="J3052" s="6" t="n">
        <x:f>IF(OR(E3052="CANCELED",E3052="SUSPECTED_FRAUD",F3052="Shipping canceled"),0,1)</x:f>
        <x:v>1</x:v>
      </x:c>
      <x:c r="K3052" s="6" t="n">
        <x:f>IF(G3052&gt;H3052,1,0)</x:f>
        <x:v>0</x:v>
      </x:c>
      <x:c r="L3052" s="6" t="n">
        <x:f>J3052*K3052</x:f>
        <x:v>0</x:v>
      </x:c>
    </x:row>
    <x:row r="3053">
      <x:c r="A3053" s="1" t="n">
        <x:v>23088</x:v>
      </x:c>
      <x:c r="B3053" s="5" t="d">
        <x:v>2015-12-04T00:00:00.000Z</x:v>
      </x:c>
      <x:c r="C3053" s="1" t="str">
        <x:v>Standard Class</x:v>
      </x:c>
      <x:c r="D3053" s="1" t="str">
        <x:v>Pacific Asia</x:v>
      </x:c>
      <x:c r="E3053" s="1" t="str">
        <x:v>COMPLETE</x:v>
      </x:c>
      <x:c r="F3053" s="1" t="str">
        <x:v>Shipping on time</x:v>
      </x:c>
      <x:c r="G3053" s="6" t="n">
        <x:v>4</x:v>
      </x:c>
      <x:c r="H3053" s="6" t="n">
        <x:v>4</x:v>
      </x:c>
      <x:c r="I3053" s="6" t="n">
        <x:f>G3053-H3053</x:f>
        <x:v>0</x:v>
      </x:c>
      <x:c r="J3053" s="6" t="n">
        <x:f>IF(OR(E3053="CANCELED",E3053="SUSPECTED_FRAUD",F3053="Shipping canceled"),0,1)</x:f>
        <x:v>1</x:v>
      </x:c>
      <x:c r="K3053" s="6" t="n">
        <x:f>IF(G3053&gt;H3053,1,0)</x:f>
        <x:v>0</x:v>
      </x:c>
      <x:c r="L3053" s="6" t="n">
        <x:f>J3053*K3053</x:f>
        <x:v>0</x:v>
      </x:c>
    </x:row>
    <x:row r="3054">
      <x:c r="A3054" s="1" t="n">
        <x:v>23099</x:v>
      </x:c>
      <x:c r="B3054" s="5" t="d">
        <x:v>2015-12-04T00:00:00.000Z</x:v>
      </x:c>
      <x:c r="C3054" s="1" t="str">
        <x:v>Standard Class</x:v>
      </x:c>
      <x:c r="D3054" s="1" t="str">
        <x:v>Pacific Asia</x:v>
      </x:c>
      <x:c r="E3054" s="1" t="str">
        <x:v>COMPLETE</x:v>
      </x:c>
      <x:c r="F3054" s="1" t="str">
        <x:v>Late delivery</x:v>
      </x:c>
      <x:c r="G3054" s="6" t="n">
        <x:v>5</x:v>
      </x:c>
      <x:c r="H3054" s="6" t="n">
        <x:v>4</x:v>
      </x:c>
      <x:c r="I3054" s="6" t="n">
        <x:f>G3054-H3054</x:f>
        <x:v>1</x:v>
      </x:c>
      <x:c r="J3054" s="6" t="n">
        <x:f>IF(OR(E3054="CANCELED",E3054="SUSPECTED_FRAUD",F3054="Shipping canceled"),0,1)</x:f>
        <x:v>1</x:v>
      </x:c>
      <x:c r="K3054" s="6" t="n">
        <x:f>IF(G3054&gt;H3054,1,0)</x:f>
        <x:v>1</x:v>
      </x:c>
      <x:c r="L3054" s="6" t="n">
        <x:f>J3054*K3054</x:f>
        <x:v>1</x:v>
      </x:c>
    </x:row>
    <x:row r="3055">
      <x:c r="A3055" s="1" t="n">
        <x:v>23103</x:v>
      </x:c>
      <x:c r="B3055" s="5" t="d">
        <x:v>2015-12-04T00:00:00.000Z</x:v>
      </x:c>
      <x:c r="C3055" s="1" t="str">
        <x:v>First Class</x:v>
      </x:c>
      <x:c r="D3055" s="1" t="str">
        <x:v>Pacific Asia</x:v>
      </x:c>
      <x:c r="E3055" s="1" t="str">
        <x:v>PENDING</x:v>
      </x:c>
      <x:c r="F3055" s="1" t="str">
        <x:v>Late delivery</x:v>
      </x:c>
      <x:c r="G3055" s="6" t="n">
        <x:v>2</x:v>
      </x:c>
      <x:c r="H3055" s="6" t="n">
        <x:v>1</x:v>
      </x:c>
      <x:c r="I3055" s="6" t="n">
        <x:f>G3055-H3055</x:f>
        <x:v>1</x:v>
      </x:c>
      <x:c r="J3055" s="6" t="n">
        <x:f>IF(OR(E3055="CANCELED",E3055="SUSPECTED_FRAUD",F3055="Shipping canceled"),0,1)</x:f>
        <x:v>1</x:v>
      </x:c>
      <x:c r="K3055" s="6" t="n">
        <x:f>IF(G3055&gt;H3055,1,0)</x:f>
        <x:v>1</x:v>
      </x:c>
      <x:c r="L3055" s="6" t="n">
        <x:f>J3055*K3055</x:f>
        <x:v>1</x:v>
      </x:c>
    </x:row>
    <x:row r="3056">
      <x:c r="A3056" s="1" t="n">
        <x:v>23129</x:v>
      </x:c>
      <x:c r="B3056" s="5" t="d">
        <x:v>2015-12-04T00:00:00.000Z</x:v>
      </x:c>
      <x:c r="C3056" s="1" t="str">
        <x:v>Same Day</x:v>
      </x:c>
      <x:c r="D3056" s="1" t="str">
        <x:v>Pacific Asia</x:v>
      </x:c>
      <x:c r="E3056" s="1" t="str">
        <x:v>CLOSED</x:v>
      </x:c>
      <x:c r="F3056" s="1" t="str">
        <x:v>Late delivery</x:v>
      </x:c>
      <x:c r="G3056" s="6" t="n">
        <x:v>1</x:v>
      </x:c>
      <x:c r="H3056" s="6" t="n">
        <x:v>0</x:v>
      </x:c>
      <x:c r="I3056" s="6" t="n">
        <x:f>G3056-H3056</x:f>
        <x:v>1</x:v>
      </x:c>
      <x:c r="J3056" s="6" t="n">
        <x:f>IF(OR(E3056="CANCELED",E3056="SUSPECTED_FRAUD",F3056="Shipping canceled"),0,1)</x:f>
        <x:v>1</x:v>
      </x:c>
      <x:c r="K3056" s="6" t="n">
        <x:f>IF(G3056&gt;H3056,1,0)</x:f>
        <x:v>1</x:v>
      </x:c>
      <x:c r="L3056" s="6" t="n">
        <x:f>J3056*K3056</x:f>
        <x:v>1</x:v>
      </x:c>
    </x:row>
    <x:row r="3057">
      <x:c r="A3057" s="1" t="n">
        <x:v>23138</x:v>
      </x:c>
      <x:c r="B3057" s="5" t="d">
        <x:v>2015-12-04T00:00:00.000Z</x:v>
      </x:c>
      <x:c r="C3057" s="1" t="str">
        <x:v>Standard Class</x:v>
      </x:c>
      <x:c r="D3057" s="1" t="str">
        <x:v>Pacific Asia</x:v>
      </x:c>
      <x:c r="E3057" s="1" t="str">
        <x:v>CLOSED</x:v>
      </x:c>
      <x:c r="F3057" s="1" t="str">
        <x:v>Shipping on time</x:v>
      </x:c>
      <x:c r="G3057" s="6" t="n">
        <x:v>4</x:v>
      </x:c>
      <x:c r="H3057" s="6" t="n">
        <x:v>4</x:v>
      </x:c>
      <x:c r="I3057" s="6" t="n">
        <x:f>G3057-H3057</x:f>
        <x:v>0</x:v>
      </x:c>
      <x:c r="J3057" s="6" t="n">
        <x:f>IF(OR(E3057="CANCELED",E3057="SUSPECTED_FRAUD",F3057="Shipping canceled"),0,1)</x:f>
        <x:v>1</x:v>
      </x:c>
      <x:c r="K3057" s="6" t="n">
        <x:f>IF(G3057&gt;H3057,1,0)</x:f>
        <x:v>0</x:v>
      </x:c>
      <x:c r="L3057" s="6" t="n">
        <x:f>J3057*K3057</x:f>
        <x:v>0</x:v>
      </x:c>
    </x:row>
    <x:row r="3058">
      <x:c r="A3058" s="1" t="n">
        <x:v>23156</x:v>
      </x:c>
      <x:c r="B3058" s="5" t="d">
        <x:v>2015-12-05T00:00:00.000Z</x:v>
      </x:c>
      <x:c r="C3058" s="1" t="str">
        <x:v>Standard Class</x:v>
      </x:c>
      <x:c r="D3058" s="1" t="str">
        <x:v>Pacific Asia</x:v>
      </x:c>
      <x:c r="E3058" s="1" t="str">
        <x:v>PENDING</x:v>
      </x:c>
      <x:c r="F3058" s="1" t="str">
        <x:v>Advance shipping</x:v>
      </x:c>
      <x:c r="G3058" s="6" t="n">
        <x:v>2</x:v>
      </x:c>
      <x:c r="H3058" s="6" t="n">
        <x:v>4</x:v>
      </x:c>
      <x:c r="I3058" s="6" t="n">
        <x:f>G3058-H3058</x:f>
        <x:v>-2</x:v>
      </x:c>
      <x:c r="J3058" s="6" t="n">
        <x:f>IF(OR(E3058="CANCELED",E3058="SUSPECTED_FRAUD",F3058="Shipping canceled"),0,1)</x:f>
        <x:v>1</x:v>
      </x:c>
      <x:c r="K3058" s="6" t="n">
        <x:f>IF(G3058&gt;H3058,1,0)</x:f>
        <x:v>0</x:v>
      </x:c>
      <x:c r="L3058" s="6" t="n">
        <x:f>J3058*K3058</x:f>
        <x:v>0</x:v>
      </x:c>
    </x:row>
    <x:row r="3059">
      <x:c r="A3059" s="1" t="n">
        <x:v>23171</x:v>
      </x:c>
      <x:c r="B3059" s="5" t="d">
        <x:v>2015-12-05T00:00:00.000Z</x:v>
      </x:c>
      <x:c r="C3059" s="1" t="str">
        <x:v>Standard Class</x:v>
      </x:c>
      <x:c r="D3059" s="1" t="str">
        <x:v>Pacific Asia</x:v>
      </x:c>
      <x:c r="E3059" s="1" t="str">
        <x:v>PROCESSING</x:v>
      </x:c>
      <x:c r="F3059" s="1" t="str">
        <x:v>Advance shipping</x:v>
      </x:c>
      <x:c r="G3059" s="6" t="n">
        <x:v>2</x:v>
      </x:c>
      <x:c r="H3059" s="6" t="n">
        <x:v>4</x:v>
      </x:c>
      <x:c r="I3059" s="6" t="n">
        <x:f>G3059-H3059</x:f>
        <x:v>-2</x:v>
      </x:c>
      <x:c r="J3059" s="6" t="n">
        <x:f>IF(OR(E3059="CANCELED",E3059="SUSPECTED_FRAUD",F3059="Shipping canceled"),0,1)</x:f>
        <x:v>1</x:v>
      </x:c>
      <x:c r="K3059" s="6" t="n">
        <x:f>IF(G3059&gt;H3059,1,0)</x:f>
        <x:v>0</x:v>
      </x:c>
      <x:c r="L3059" s="6" t="n">
        <x:f>J3059*K3059</x:f>
        <x:v>0</x:v>
      </x:c>
    </x:row>
    <x:row r="3060">
      <x:c r="A3060" s="1" t="n">
        <x:v>23173</x:v>
      </x:c>
      <x:c r="B3060" s="5" t="d">
        <x:v>2015-12-05T00:00:00.000Z</x:v>
      </x:c>
      <x:c r="C3060" s="1" t="str">
        <x:v>Standard Class</x:v>
      </x:c>
      <x:c r="D3060" s="1" t="str">
        <x:v>Pacific Asia</x:v>
      </x:c>
      <x:c r="E3060" s="1" t="str">
        <x:v>CLOSED</x:v>
      </x:c>
      <x:c r="F3060" s="1" t="str">
        <x:v>Shipping on time</x:v>
      </x:c>
      <x:c r="G3060" s="6" t="n">
        <x:v>4</x:v>
      </x:c>
      <x:c r="H3060" s="6" t="n">
        <x:v>4</x:v>
      </x:c>
      <x:c r="I3060" s="6" t="n">
        <x:f>G3060-H3060</x:f>
        <x:v>0</x:v>
      </x:c>
      <x:c r="J3060" s="6" t="n">
        <x:f>IF(OR(E3060="CANCELED",E3060="SUSPECTED_FRAUD",F3060="Shipping canceled"),0,1)</x:f>
        <x:v>1</x:v>
      </x:c>
      <x:c r="K3060" s="6" t="n">
        <x:f>IF(G3060&gt;H3060,1,0)</x:f>
        <x:v>0</x:v>
      </x:c>
      <x:c r="L3060" s="6" t="n">
        <x:f>J3060*K3060</x:f>
        <x:v>0</x:v>
      </x:c>
    </x:row>
    <x:row r="3061">
      <x:c r="A3061" s="1" t="n">
        <x:v>23176</x:v>
      </x:c>
      <x:c r="B3061" s="5" t="d">
        <x:v>2015-12-05T00:00:00.000Z</x:v>
      </x:c>
      <x:c r="C3061" s="1" t="str">
        <x:v>Second Class</x:v>
      </x:c>
      <x:c r="D3061" s="1" t="str">
        <x:v>Pacific Asia</x:v>
      </x:c>
      <x:c r="E3061" s="1" t="str">
        <x:v>PENDING_PAYMENT</x:v>
      </x:c>
      <x:c r="F3061" s="1" t="str">
        <x:v>Shipping on time</x:v>
      </x:c>
      <x:c r="G3061" s="6" t="n">
        <x:v>2</x:v>
      </x:c>
      <x:c r="H3061" s="6" t="n">
        <x:v>2</x:v>
      </x:c>
      <x:c r="I3061" s="6" t="n">
        <x:f>G3061-H3061</x:f>
        <x:v>0</x:v>
      </x:c>
      <x:c r="J3061" s="6" t="n">
        <x:f>IF(OR(E3061="CANCELED",E3061="SUSPECTED_FRAUD",F3061="Shipping canceled"),0,1)</x:f>
        <x:v>1</x:v>
      </x:c>
      <x:c r="K3061" s="6" t="n">
        <x:f>IF(G3061&gt;H3061,1,0)</x:f>
        <x:v>0</x:v>
      </x:c>
      <x:c r="L3061" s="6" t="n">
        <x:f>J3061*K3061</x:f>
        <x:v>0</x:v>
      </x:c>
    </x:row>
    <x:row r="3062">
      <x:c r="A3062" s="1" t="n">
        <x:v>23184</x:v>
      </x:c>
      <x:c r="B3062" s="5" t="d">
        <x:v>2015-12-05T00:00:00.000Z</x:v>
      </x:c>
      <x:c r="C3062" s="1" t="str">
        <x:v>Standard Class</x:v>
      </x:c>
      <x:c r="D3062" s="1" t="str">
        <x:v>Pacific Asia</x:v>
      </x:c>
      <x:c r="E3062" s="1" t="str">
        <x:v>COMPLETE</x:v>
      </x:c>
      <x:c r="F3062" s="1" t="str">
        <x:v>Late delivery</x:v>
      </x:c>
      <x:c r="G3062" s="6" t="n">
        <x:v>5</x:v>
      </x:c>
      <x:c r="H3062" s="6" t="n">
        <x:v>4</x:v>
      </x:c>
      <x:c r="I3062" s="6" t="n">
        <x:f>G3062-H3062</x:f>
        <x:v>1</x:v>
      </x:c>
      <x:c r="J3062" s="6" t="n">
        <x:f>IF(OR(E3062="CANCELED",E3062="SUSPECTED_FRAUD",F3062="Shipping canceled"),0,1)</x:f>
        <x:v>1</x:v>
      </x:c>
      <x:c r="K3062" s="6" t="n">
        <x:f>IF(G3062&gt;H3062,1,0)</x:f>
        <x:v>1</x:v>
      </x:c>
      <x:c r="L3062" s="6" t="n">
        <x:f>J3062*K3062</x:f>
        <x:v>1</x:v>
      </x:c>
    </x:row>
    <x:row r="3063">
      <x:c r="A3063" s="1" t="n">
        <x:v>23189</x:v>
      </x:c>
      <x:c r="B3063" s="5" t="d">
        <x:v>2015-12-05T00:00:00.000Z</x:v>
      </x:c>
      <x:c r="C3063" s="1" t="str">
        <x:v>Standard Class</x:v>
      </x:c>
      <x:c r="D3063" s="1" t="str">
        <x:v>Pacific Asia</x:v>
      </x:c>
      <x:c r="E3063" s="1" t="str">
        <x:v>ON_HOLD</x:v>
      </x:c>
      <x:c r="F3063" s="1" t="str">
        <x:v>Late delivery</x:v>
      </x:c>
      <x:c r="G3063" s="6" t="n">
        <x:v>5</x:v>
      </x:c>
      <x:c r="H3063" s="6" t="n">
        <x:v>4</x:v>
      </x:c>
      <x:c r="I3063" s="6" t="n">
        <x:f>G3063-H3063</x:f>
        <x:v>1</x:v>
      </x:c>
      <x:c r="J3063" s="6" t="n">
        <x:f>IF(OR(E3063="CANCELED",E3063="SUSPECTED_FRAUD",F3063="Shipping canceled"),0,1)</x:f>
        <x:v>1</x:v>
      </x:c>
      <x:c r="K3063" s="6" t="n">
        <x:f>IF(G3063&gt;H3063,1,0)</x:f>
        <x:v>1</x:v>
      </x:c>
      <x:c r="L3063" s="6" t="n">
        <x:f>J3063*K3063</x:f>
        <x:v>1</x:v>
      </x:c>
    </x:row>
    <x:row r="3064">
      <x:c r="A3064" s="1" t="n">
        <x:v>23191</x:v>
      </x:c>
      <x:c r="B3064" s="5" t="d">
        <x:v>2015-12-05T00:00:00.000Z</x:v>
      </x:c>
      <x:c r="C3064" s="1" t="str">
        <x:v>Standard Class</x:v>
      </x:c>
      <x:c r="D3064" s="1" t="str">
        <x:v>Pacific Asia</x:v>
      </x:c>
      <x:c r="E3064" s="1" t="str">
        <x:v>ON_HOLD</x:v>
      </x:c>
      <x:c r="F3064" s="1" t="str">
        <x:v>Advance shipping</x:v>
      </x:c>
      <x:c r="G3064" s="6" t="n">
        <x:v>2</x:v>
      </x:c>
      <x:c r="H3064" s="6" t="n">
        <x:v>4</x:v>
      </x:c>
      <x:c r="I3064" s="6" t="n">
        <x:f>G3064-H3064</x:f>
        <x:v>-2</x:v>
      </x:c>
      <x:c r="J3064" s="6" t="n">
        <x:f>IF(OR(E3064="CANCELED",E3064="SUSPECTED_FRAUD",F3064="Shipping canceled"),0,1)</x:f>
        <x:v>1</x:v>
      </x:c>
      <x:c r="K3064" s="6" t="n">
        <x:f>IF(G3064&gt;H3064,1,0)</x:f>
        <x:v>0</x:v>
      </x:c>
      <x:c r="L3064" s="6" t="n">
        <x:f>J3064*K3064</x:f>
        <x:v>0</x:v>
      </x:c>
    </x:row>
    <x:row r="3065">
      <x:c r="A3065" s="1" t="n">
        <x:v>23196</x:v>
      </x:c>
      <x:c r="B3065" s="5" t="d">
        <x:v>2015-12-05T00:00:00.000Z</x:v>
      </x:c>
      <x:c r="C3065" s="1" t="str">
        <x:v>Standard Class</x:v>
      </x:c>
      <x:c r="D3065" s="1" t="str">
        <x:v>Pacific Asia</x:v>
      </x:c>
      <x:c r="E3065" s="1" t="str">
        <x:v>COMPLETE</x:v>
      </x:c>
      <x:c r="F3065" s="1" t="str">
        <x:v>Advance shipping</x:v>
      </x:c>
      <x:c r="G3065" s="6" t="n">
        <x:v>2</x:v>
      </x:c>
      <x:c r="H3065" s="6" t="n">
        <x:v>4</x:v>
      </x:c>
      <x:c r="I3065" s="6" t="n">
        <x:f>G3065-H3065</x:f>
        <x:v>-2</x:v>
      </x:c>
      <x:c r="J3065" s="6" t="n">
        <x:f>IF(OR(E3065="CANCELED",E3065="SUSPECTED_FRAUD",F3065="Shipping canceled"),0,1)</x:f>
        <x:v>1</x:v>
      </x:c>
      <x:c r="K3065" s="6" t="n">
        <x:f>IF(G3065&gt;H3065,1,0)</x:f>
        <x:v>0</x:v>
      </x:c>
      <x:c r="L3065" s="6" t="n">
        <x:f>J3065*K3065</x:f>
        <x:v>0</x:v>
      </x:c>
    </x:row>
    <x:row r="3066">
      <x:c r="A3066" s="1" t="n">
        <x:v>23211</x:v>
      </x:c>
      <x:c r="B3066" s="5" t="d">
        <x:v>2015-12-05T00:00:00.000Z</x:v>
      </x:c>
      <x:c r="C3066" s="1" t="str">
        <x:v>Standard Class</x:v>
      </x:c>
      <x:c r="D3066" s="1" t="str">
        <x:v>Pacific Asia</x:v>
      </x:c>
      <x:c r="E3066" s="1" t="str">
        <x:v>COMPLETE</x:v>
      </x:c>
      <x:c r="F3066" s="1" t="str">
        <x:v>Advance shipping</x:v>
      </x:c>
      <x:c r="G3066" s="6" t="n">
        <x:v>2</x:v>
      </x:c>
      <x:c r="H3066" s="6" t="n">
        <x:v>4</x:v>
      </x:c>
      <x:c r="I3066" s="6" t="n">
        <x:f>G3066-H3066</x:f>
        <x:v>-2</x:v>
      </x:c>
      <x:c r="J3066" s="6" t="n">
        <x:f>IF(OR(E3066="CANCELED",E3066="SUSPECTED_FRAUD",F3066="Shipping canceled"),0,1)</x:f>
        <x:v>1</x:v>
      </x:c>
      <x:c r="K3066" s="6" t="n">
        <x:f>IF(G3066&gt;H3066,1,0)</x:f>
        <x:v>0</x:v>
      </x:c>
      <x:c r="L3066" s="6" t="n">
        <x:f>J3066*K3066</x:f>
        <x:v>0</x:v>
      </x:c>
    </x:row>
    <x:row r="3067">
      <x:c r="A3067" s="1" t="n">
        <x:v>23222</x:v>
      </x:c>
      <x:c r="B3067" s="5" t="d">
        <x:v>2015-12-05T00:00:00.000Z</x:v>
      </x:c>
      <x:c r="C3067" s="1" t="str">
        <x:v>Standard Class</x:v>
      </x:c>
      <x:c r="D3067" s="1" t="str">
        <x:v>Pacific Asia</x:v>
      </x:c>
      <x:c r="E3067" s="1" t="str">
        <x:v>CLOSED</x:v>
      </x:c>
      <x:c r="F3067" s="1" t="str">
        <x:v>Advance shipping</x:v>
      </x:c>
      <x:c r="G3067" s="6" t="n">
        <x:v>3</x:v>
      </x:c>
      <x:c r="H3067" s="6" t="n">
        <x:v>4</x:v>
      </x:c>
      <x:c r="I3067" s="6" t="n">
        <x:f>G3067-H3067</x:f>
        <x:v>-1</x:v>
      </x:c>
      <x:c r="J3067" s="6" t="n">
        <x:f>IF(OR(E3067="CANCELED",E3067="SUSPECTED_FRAUD",F3067="Shipping canceled"),0,1)</x:f>
        <x:v>1</x:v>
      </x:c>
      <x:c r="K3067" s="6" t="n">
        <x:f>IF(G3067&gt;H3067,1,0)</x:f>
        <x:v>0</x:v>
      </x:c>
      <x:c r="L3067" s="6" t="n">
        <x:f>J3067*K3067</x:f>
        <x:v>0</x:v>
      </x:c>
    </x:row>
    <x:row r="3068">
      <x:c r="A3068" s="1" t="n">
        <x:v>23224</x:v>
      </x:c>
      <x:c r="B3068" s="5" t="d">
        <x:v>2015-12-06T00:00:00.000Z</x:v>
      </x:c>
      <x:c r="C3068" s="1" t="str">
        <x:v>Second Class</x:v>
      </x:c>
      <x:c r="D3068" s="1" t="str">
        <x:v>Pacific Asia</x:v>
      </x:c>
      <x:c r="E3068" s="1" t="str">
        <x:v>ON_HOLD</x:v>
      </x:c>
      <x:c r="F3068" s="1" t="str">
        <x:v>Late delivery</x:v>
      </x:c>
      <x:c r="G3068" s="6" t="n">
        <x:v>5</x:v>
      </x:c>
      <x:c r="H3068" s="6" t="n">
        <x:v>2</x:v>
      </x:c>
      <x:c r="I3068" s="6" t="n">
        <x:f>G3068-H3068</x:f>
        <x:v>3</x:v>
      </x:c>
      <x:c r="J3068" s="6" t="n">
        <x:f>IF(OR(E3068="CANCELED",E3068="SUSPECTED_FRAUD",F3068="Shipping canceled"),0,1)</x:f>
        <x:v>1</x:v>
      </x:c>
      <x:c r="K3068" s="6" t="n">
        <x:f>IF(G3068&gt;H3068,1,0)</x:f>
        <x:v>1</x:v>
      </x:c>
      <x:c r="L3068" s="6" t="n">
        <x:f>J3068*K3068</x:f>
        <x:v>1</x:v>
      </x:c>
    </x:row>
    <x:row r="3069">
      <x:c r="A3069" s="1" t="n">
        <x:v>23229</x:v>
      </x:c>
      <x:c r="B3069" s="5" t="d">
        <x:v>2015-12-06T00:00:00.000Z</x:v>
      </x:c>
      <x:c r="C3069" s="1" t="str">
        <x:v>Standard Class</x:v>
      </x:c>
      <x:c r="D3069" s="1" t="str">
        <x:v>Pacific Asia</x:v>
      </x:c>
      <x:c r="E3069" s="1" t="str">
        <x:v>PENDING_PAYMENT</x:v>
      </x:c>
      <x:c r="F3069" s="1" t="str">
        <x:v>Late delivery</x:v>
      </x:c>
      <x:c r="G3069" s="6" t="n">
        <x:v>5</x:v>
      </x:c>
      <x:c r="H3069" s="6" t="n">
        <x:v>4</x:v>
      </x:c>
      <x:c r="I3069" s="6" t="n">
        <x:f>G3069-H3069</x:f>
        <x:v>1</x:v>
      </x:c>
      <x:c r="J3069" s="6" t="n">
        <x:f>IF(OR(E3069="CANCELED",E3069="SUSPECTED_FRAUD",F3069="Shipping canceled"),0,1)</x:f>
        <x:v>1</x:v>
      </x:c>
      <x:c r="K3069" s="6" t="n">
        <x:f>IF(G3069&gt;H3069,1,0)</x:f>
        <x:v>1</x:v>
      </x:c>
      <x:c r="L3069" s="6" t="n">
        <x:f>J3069*K3069</x:f>
        <x:v>1</x:v>
      </x:c>
    </x:row>
    <x:row r="3070">
      <x:c r="A3070" s="1" t="n">
        <x:v>23241</x:v>
      </x:c>
      <x:c r="B3070" s="5" t="d">
        <x:v>2015-12-06T00:00:00.000Z</x:v>
      </x:c>
      <x:c r="C3070" s="1" t="str">
        <x:v>Standard Class</x:v>
      </x:c>
      <x:c r="D3070" s="1" t="str">
        <x:v>Pacific Asia</x:v>
      </x:c>
      <x:c r="E3070" s="1" t="str">
        <x:v>COMPLETE</x:v>
      </x:c>
      <x:c r="F3070" s="1" t="str">
        <x:v>Advance shipping</x:v>
      </x:c>
      <x:c r="G3070" s="6" t="n">
        <x:v>2</x:v>
      </x:c>
      <x:c r="H3070" s="6" t="n">
        <x:v>4</x:v>
      </x:c>
      <x:c r="I3070" s="6" t="n">
        <x:f>G3070-H3070</x:f>
        <x:v>-2</x:v>
      </x:c>
      <x:c r="J3070" s="6" t="n">
        <x:f>IF(OR(E3070="CANCELED",E3070="SUSPECTED_FRAUD",F3070="Shipping canceled"),0,1)</x:f>
        <x:v>1</x:v>
      </x:c>
      <x:c r="K3070" s="6" t="n">
        <x:f>IF(G3070&gt;H3070,1,0)</x:f>
        <x:v>0</x:v>
      </x:c>
      <x:c r="L3070" s="6" t="n">
        <x:f>J3070*K3070</x:f>
        <x:v>0</x:v>
      </x:c>
    </x:row>
    <x:row r="3071">
      <x:c r="A3071" s="1" t="n">
        <x:v>23248</x:v>
      </x:c>
      <x:c r="B3071" s="5" t="d">
        <x:v>2015-12-06T00:00:00.000Z</x:v>
      </x:c>
      <x:c r="C3071" s="1" t="str">
        <x:v>Standard Class</x:v>
      </x:c>
      <x:c r="D3071" s="1" t="str">
        <x:v>Pacific Asia</x:v>
      </x:c>
      <x:c r="E3071" s="1" t="str">
        <x:v>ON_HOLD</x:v>
      </x:c>
      <x:c r="F3071" s="1" t="str">
        <x:v>Shipping on time</x:v>
      </x:c>
      <x:c r="G3071" s="6" t="n">
        <x:v>4</x:v>
      </x:c>
      <x:c r="H3071" s="6" t="n">
        <x:v>4</x:v>
      </x:c>
      <x:c r="I3071" s="6" t="n">
        <x:f>G3071-H3071</x:f>
        <x:v>0</x:v>
      </x:c>
      <x:c r="J3071" s="6" t="n">
        <x:f>IF(OR(E3071="CANCELED",E3071="SUSPECTED_FRAUD",F3071="Shipping canceled"),0,1)</x:f>
        <x:v>1</x:v>
      </x:c>
      <x:c r="K3071" s="6" t="n">
        <x:f>IF(G3071&gt;H3071,1,0)</x:f>
        <x:v>0</x:v>
      </x:c>
      <x:c r="L3071" s="6" t="n">
        <x:f>J3071*K3071</x:f>
        <x:v>0</x:v>
      </x:c>
    </x:row>
    <x:row r="3072">
      <x:c r="A3072" s="1" t="n">
        <x:v>23257</x:v>
      </x:c>
      <x:c r="B3072" s="5" t="d">
        <x:v>2015-12-06T00:00:00.000Z</x:v>
      </x:c>
      <x:c r="C3072" s="1" t="str">
        <x:v>Standard Class</x:v>
      </x:c>
      <x:c r="D3072" s="1" t="str">
        <x:v>Pacific Asia</x:v>
      </x:c>
      <x:c r="E3072" s="1" t="str">
        <x:v>ON_HOLD</x:v>
      </x:c>
      <x:c r="F3072" s="1" t="str">
        <x:v>Advance shipping</x:v>
      </x:c>
      <x:c r="G3072" s="6" t="n">
        <x:v>3</x:v>
      </x:c>
      <x:c r="H3072" s="6" t="n">
        <x:v>4</x:v>
      </x:c>
      <x:c r="I3072" s="6" t="n">
        <x:f>G3072-H3072</x:f>
        <x:v>-1</x:v>
      </x:c>
      <x:c r="J3072" s="6" t="n">
        <x:f>IF(OR(E3072="CANCELED",E3072="SUSPECTED_FRAUD",F3072="Shipping canceled"),0,1)</x:f>
        <x:v>1</x:v>
      </x:c>
      <x:c r="K3072" s="6" t="n">
        <x:f>IF(G3072&gt;H3072,1,0)</x:f>
        <x:v>0</x:v>
      </x:c>
      <x:c r="L3072" s="6" t="n">
        <x:f>J3072*K3072</x:f>
        <x:v>0</x:v>
      </x:c>
    </x:row>
    <x:row r="3073">
      <x:c r="A3073" s="1" t="n">
        <x:v>23267</x:v>
      </x:c>
      <x:c r="B3073" s="5" t="d">
        <x:v>2015-12-06T00:00:00.000Z</x:v>
      </x:c>
      <x:c r="C3073" s="1" t="str">
        <x:v>Standard Class</x:v>
      </x:c>
      <x:c r="D3073" s="1" t="str">
        <x:v>Pacific Asia</x:v>
      </x:c>
      <x:c r="E3073" s="1" t="str">
        <x:v>COMPLETE</x:v>
      </x:c>
      <x:c r="F3073" s="1" t="str">
        <x:v>Advance shipping</x:v>
      </x:c>
      <x:c r="G3073" s="6" t="n">
        <x:v>3</x:v>
      </x:c>
      <x:c r="H3073" s="6" t="n">
        <x:v>4</x:v>
      </x:c>
      <x:c r="I3073" s="6" t="n">
        <x:f>G3073-H3073</x:f>
        <x:v>-1</x:v>
      </x:c>
      <x:c r="J3073" s="6" t="n">
        <x:f>IF(OR(E3073="CANCELED",E3073="SUSPECTED_FRAUD",F3073="Shipping canceled"),0,1)</x:f>
        <x:v>1</x:v>
      </x:c>
      <x:c r="K3073" s="6" t="n">
        <x:f>IF(G3073&gt;H3073,1,0)</x:f>
        <x:v>0</x:v>
      </x:c>
      <x:c r="L3073" s="6" t="n">
        <x:f>J3073*K3073</x:f>
        <x:v>0</x:v>
      </x:c>
    </x:row>
    <x:row r="3074">
      <x:c r="A3074" s="1" t="n">
        <x:v>23276</x:v>
      </x:c>
      <x:c r="B3074" s="5" t="d">
        <x:v>2015-12-06T00:00:00.000Z</x:v>
      </x:c>
      <x:c r="C3074" s="1" t="str">
        <x:v>Standard Class</x:v>
      </x:c>
      <x:c r="D3074" s="1" t="str">
        <x:v>Pacific Asia</x:v>
      </x:c>
      <x:c r="E3074" s="1" t="str">
        <x:v>PENDING_PAYMENT</x:v>
      </x:c>
      <x:c r="F3074" s="1" t="str">
        <x:v>Advance shipping</x:v>
      </x:c>
      <x:c r="G3074" s="6" t="n">
        <x:v>2</x:v>
      </x:c>
      <x:c r="H3074" s="6" t="n">
        <x:v>4</x:v>
      </x:c>
      <x:c r="I3074" s="6" t="n">
        <x:f>G3074-H3074</x:f>
        <x:v>-2</x:v>
      </x:c>
      <x:c r="J3074" s="6" t="n">
        <x:f>IF(OR(E3074="CANCELED",E3074="SUSPECTED_FRAUD",F3074="Shipping canceled"),0,1)</x:f>
        <x:v>1</x:v>
      </x:c>
      <x:c r="K3074" s="6" t="n">
        <x:f>IF(G3074&gt;H3074,1,0)</x:f>
        <x:v>0</x:v>
      </x:c>
      <x:c r="L3074" s="6" t="n">
        <x:f>J3074*K3074</x:f>
        <x:v>0</x:v>
      </x:c>
    </x:row>
    <x:row r="3075">
      <x:c r="A3075" s="1" t="n">
        <x:v>23280</x:v>
      </x:c>
      <x:c r="B3075" s="5" t="d">
        <x:v>2015-12-06T00:00:00.000Z</x:v>
      </x:c>
      <x:c r="C3075" s="1" t="str">
        <x:v>Standard Class</x:v>
      </x:c>
      <x:c r="D3075" s="1" t="str">
        <x:v>Pacific Asia</x:v>
      </x:c>
      <x:c r="E3075" s="1" t="str">
        <x:v>PENDING_PAYMENT</x:v>
      </x:c>
      <x:c r="F3075" s="1" t="str">
        <x:v>Late delivery</x:v>
      </x:c>
      <x:c r="G3075" s="6" t="n">
        <x:v>6</x:v>
      </x:c>
      <x:c r="H3075" s="6" t="n">
        <x:v>4</x:v>
      </x:c>
      <x:c r="I3075" s="6" t="n">
        <x:f>G3075-H3075</x:f>
        <x:v>2</x:v>
      </x:c>
      <x:c r="J3075" s="6" t="n">
        <x:f>IF(OR(E3075="CANCELED",E3075="SUSPECTED_FRAUD",F3075="Shipping canceled"),0,1)</x:f>
        <x:v>1</x:v>
      </x:c>
      <x:c r="K3075" s="6" t="n">
        <x:f>IF(G3075&gt;H3075,1,0)</x:f>
        <x:v>1</x:v>
      </x:c>
      <x:c r="L3075" s="6" t="n">
        <x:f>J3075*K3075</x:f>
        <x:v>1</x:v>
      </x:c>
    </x:row>
    <x:row r="3076">
      <x:c r="A3076" s="1" t="n">
        <x:v>23283</x:v>
      </x:c>
      <x:c r="B3076" s="5" t="d">
        <x:v>2015-12-06T00:00:00.000Z</x:v>
      </x:c>
      <x:c r="C3076" s="1" t="str">
        <x:v>Second Class</x:v>
      </x:c>
      <x:c r="D3076" s="1" t="str">
        <x:v>Pacific Asia</x:v>
      </x:c>
      <x:c r="E3076" s="1" t="str">
        <x:v>ON_HOLD</x:v>
      </x:c>
      <x:c r="F3076" s="1" t="str">
        <x:v>Late delivery</x:v>
      </x:c>
      <x:c r="G3076" s="6" t="n">
        <x:v>4</x:v>
      </x:c>
      <x:c r="H3076" s="6" t="n">
        <x:v>2</x:v>
      </x:c>
      <x:c r="I3076" s="6" t="n">
        <x:f>G3076-H3076</x:f>
        <x:v>2</x:v>
      </x:c>
      <x:c r="J3076" s="6" t="n">
        <x:f>IF(OR(E3076="CANCELED",E3076="SUSPECTED_FRAUD",F3076="Shipping canceled"),0,1)</x:f>
        <x:v>1</x:v>
      </x:c>
      <x:c r="K3076" s="6" t="n">
        <x:f>IF(G3076&gt;H3076,1,0)</x:f>
        <x:v>1</x:v>
      </x:c>
      <x:c r="L3076" s="6" t="n">
        <x:f>J3076*K3076</x:f>
        <x:v>1</x:v>
      </x:c>
    </x:row>
    <x:row r="3077">
      <x:c r="A3077" s="1" t="n">
        <x:v>23288</x:v>
      </x:c>
      <x:c r="B3077" s="5" t="d">
        <x:v>2015-12-06T00:00:00.000Z</x:v>
      </x:c>
      <x:c r="C3077" s="1" t="str">
        <x:v>Standard Class</x:v>
      </x:c>
      <x:c r="D3077" s="1" t="str">
        <x:v>Pacific Asia</x:v>
      </x:c>
      <x:c r="E3077" s="1" t="str">
        <x:v>PROCESSING</x:v>
      </x:c>
      <x:c r="F3077" s="1" t="str">
        <x:v>Shipping on time</x:v>
      </x:c>
      <x:c r="G3077" s="6" t="n">
        <x:v>4</x:v>
      </x:c>
      <x:c r="H3077" s="6" t="n">
        <x:v>4</x:v>
      </x:c>
      <x:c r="I3077" s="6" t="n">
        <x:f>G3077-H3077</x:f>
        <x:v>0</x:v>
      </x:c>
      <x:c r="J3077" s="6" t="n">
        <x:f>IF(OR(E3077="CANCELED",E3077="SUSPECTED_FRAUD",F3077="Shipping canceled"),0,1)</x:f>
        <x:v>1</x:v>
      </x:c>
      <x:c r="K3077" s="6" t="n">
        <x:f>IF(G3077&gt;H3077,1,0)</x:f>
        <x:v>0</x:v>
      </x:c>
      <x:c r="L3077" s="6" t="n">
        <x:f>J3077*K3077</x:f>
        <x:v>0</x:v>
      </x:c>
    </x:row>
    <x:row r="3078">
      <x:c r="A3078" s="1" t="n">
        <x:v>23302</x:v>
      </x:c>
      <x:c r="B3078" s="5" t="d">
        <x:v>2015-12-07T00:00:00.000Z</x:v>
      </x:c>
      <x:c r="C3078" s="1" t="str">
        <x:v>Standard Class</x:v>
      </x:c>
      <x:c r="D3078" s="1" t="str">
        <x:v>Pacific Asia</x:v>
      </x:c>
      <x:c r="E3078" s="1" t="str">
        <x:v>SUSPECTED_FRAUD</x:v>
      </x:c>
      <x:c r="F3078" s="1" t="str">
        <x:v>Shipping canceled</x:v>
      </x:c>
      <x:c r="G3078" s="6" t="n">
        <x:v>3</x:v>
      </x:c>
      <x:c r="H3078" s="6" t="n">
        <x:v>4</x:v>
      </x:c>
      <x:c r="I3078" s="6" t="n">
        <x:f>G3078-H3078</x:f>
        <x:v>-1</x:v>
      </x:c>
      <x:c r="J3078" s="6" t="n">
        <x:f>IF(OR(E3078="CANCELED",E3078="SUSPECTED_FRAUD",F3078="Shipping canceled"),0,1)</x:f>
        <x:v>0</x:v>
      </x:c>
      <x:c r="K3078" s="6" t="n">
        <x:f>IF(G3078&gt;H3078,1,0)</x:f>
        <x:v>0</x:v>
      </x:c>
      <x:c r="L3078" s="6" t="n">
        <x:f>J3078*K3078</x:f>
        <x:v>0</x:v>
      </x:c>
    </x:row>
    <x:row r="3079">
      <x:c r="A3079" s="1" t="n">
        <x:v>23303</x:v>
      </x:c>
      <x:c r="B3079" s="5" t="d">
        <x:v>2015-12-07T00:00:00.000Z</x:v>
      </x:c>
      <x:c r="C3079" s="1" t="str">
        <x:v>Standard Class</x:v>
      </x:c>
      <x:c r="D3079" s="1" t="str">
        <x:v>Pacific Asia</x:v>
      </x:c>
      <x:c r="E3079" s="1" t="str">
        <x:v>PROCESSING</x:v>
      </x:c>
      <x:c r="F3079" s="1" t="str">
        <x:v>Shipping on time</x:v>
      </x:c>
      <x:c r="G3079" s="6" t="n">
        <x:v>4</x:v>
      </x:c>
      <x:c r="H3079" s="6" t="n">
        <x:v>4</x:v>
      </x:c>
      <x:c r="I3079" s="6" t="n">
        <x:f>G3079-H3079</x:f>
        <x:v>0</x:v>
      </x:c>
      <x:c r="J3079" s="6" t="n">
        <x:f>IF(OR(E3079="CANCELED",E3079="SUSPECTED_FRAUD",F3079="Shipping canceled"),0,1)</x:f>
        <x:v>1</x:v>
      </x:c>
      <x:c r="K3079" s="6" t="n">
        <x:f>IF(G3079&gt;H3079,1,0)</x:f>
        <x:v>0</x:v>
      </x:c>
      <x:c r="L3079" s="6" t="n">
        <x:f>J3079*K3079</x:f>
        <x:v>0</x:v>
      </x:c>
    </x:row>
    <x:row r="3080">
      <x:c r="A3080" s="1" t="n">
        <x:v>23316</x:v>
      </x:c>
      <x:c r="B3080" s="5" t="d">
        <x:v>2015-12-07T00:00:00.000Z</x:v>
      </x:c>
      <x:c r="C3080" s="1" t="str">
        <x:v>First Class</x:v>
      </x:c>
      <x:c r="D3080" s="1" t="str">
        <x:v>Pacific Asia</x:v>
      </x:c>
      <x:c r="E3080" s="1" t="str">
        <x:v>COMPLETE</x:v>
      </x:c>
      <x:c r="F3080" s="1" t="str">
        <x:v>Late delivery</x:v>
      </x:c>
      <x:c r="G3080" s="6" t="n">
        <x:v>2</x:v>
      </x:c>
      <x:c r="H3080" s="6" t="n">
        <x:v>1</x:v>
      </x:c>
      <x:c r="I3080" s="6" t="n">
        <x:f>G3080-H3080</x:f>
        <x:v>1</x:v>
      </x:c>
      <x:c r="J3080" s="6" t="n">
        <x:f>IF(OR(E3080="CANCELED",E3080="SUSPECTED_FRAUD",F3080="Shipping canceled"),0,1)</x:f>
        <x:v>1</x:v>
      </x:c>
      <x:c r="K3080" s="6" t="n">
        <x:f>IF(G3080&gt;H3080,1,0)</x:f>
        <x:v>1</x:v>
      </x:c>
      <x:c r="L3080" s="6" t="n">
        <x:f>J3080*K3080</x:f>
        <x:v>1</x:v>
      </x:c>
    </x:row>
    <x:row r="3081">
      <x:c r="A3081" s="1" t="n">
        <x:v>23347</x:v>
      </x:c>
      <x:c r="B3081" s="5" t="d">
        <x:v>2015-12-07T00:00:00.000Z</x:v>
      </x:c>
      <x:c r="C3081" s="1" t="str">
        <x:v>Second Class</x:v>
      </x:c>
      <x:c r="D3081" s="1" t="str">
        <x:v>Pacific Asia</x:v>
      </x:c>
      <x:c r="E3081" s="1" t="str">
        <x:v>COMPLETE</x:v>
      </x:c>
      <x:c r="F3081" s="1" t="str">
        <x:v>Late delivery</x:v>
      </x:c>
      <x:c r="G3081" s="6" t="n">
        <x:v>3</x:v>
      </x:c>
      <x:c r="H3081" s="6" t="n">
        <x:v>2</x:v>
      </x:c>
      <x:c r="I3081" s="6" t="n">
        <x:f>G3081-H3081</x:f>
        <x:v>1</x:v>
      </x:c>
      <x:c r="J3081" s="6" t="n">
        <x:f>IF(OR(E3081="CANCELED",E3081="SUSPECTED_FRAUD",F3081="Shipping canceled"),0,1)</x:f>
        <x:v>1</x:v>
      </x:c>
      <x:c r="K3081" s="6" t="n">
        <x:f>IF(G3081&gt;H3081,1,0)</x:f>
        <x:v>1</x:v>
      </x:c>
      <x:c r="L3081" s="6" t="n">
        <x:f>J3081*K3081</x:f>
        <x:v>1</x:v>
      </x:c>
    </x:row>
    <x:row r="3082">
      <x:c r="A3082" s="1" t="n">
        <x:v>23366</x:v>
      </x:c>
      <x:c r="B3082" s="5" t="d">
        <x:v>2015-12-08T00:00:00.000Z</x:v>
      </x:c>
      <x:c r="C3082" s="1" t="str">
        <x:v>Standard Class</x:v>
      </x:c>
      <x:c r="D3082" s="1" t="str">
        <x:v>Pacific Asia</x:v>
      </x:c>
      <x:c r="E3082" s="1" t="str">
        <x:v>ON_HOLD</x:v>
      </x:c>
      <x:c r="F3082" s="1" t="str">
        <x:v>Advance shipping</x:v>
      </x:c>
      <x:c r="G3082" s="6" t="n">
        <x:v>2</x:v>
      </x:c>
      <x:c r="H3082" s="6" t="n">
        <x:v>4</x:v>
      </x:c>
      <x:c r="I3082" s="6" t="n">
        <x:f>G3082-H3082</x:f>
        <x:v>-2</x:v>
      </x:c>
      <x:c r="J3082" s="6" t="n">
        <x:f>IF(OR(E3082="CANCELED",E3082="SUSPECTED_FRAUD",F3082="Shipping canceled"),0,1)</x:f>
        <x:v>1</x:v>
      </x:c>
      <x:c r="K3082" s="6" t="n">
        <x:f>IF(G3082&gt;H3082,1,0)</x:f>
        <x:v>0</x:v>
      </x:c>
      <x:c r="L3082" s="6" t="n">
        <x:f>J3082*K3082</x:f>
        <x:v>0</x:v>
      </x:c>
    </x:row>
    <x:row r="3083">
      <x:c r="A3083" s="1" t="n">
        <x:v>23372</x:v>
      </x:c>
      <x:c r="B3083" s="5" t="d">
        <x:v>2015-12-08T00:00:00.000Z</x:v>
      </x:c>
      <x:c r="C3083" s="1" t="str">
        <x:v>Standard Class</x:v>
      </x:c>
      <x:c r="D3083" s="1" t="str">
        <x:v>Pacific Asia</x:v>
      </x:c>
      <x:c r="E3083" s="1" t="str">
        <x:v>COMPLETE</x:v>
      </x:c>
      <x:c r="F3083" s="1" t="str">
        <x:v>Advance shipping</x:v>
      </x:c>
      <x:c r="G3083" s="6" t="n">
        <x:v>3</x:v>
      </x:c>
      <x:c r="H3083" s="6" t="n">
        <x:v>4</x:v>
      </x:c>
      <x:c r="I3083" s="6" t="n">
        <x:f>G3083-H3083</x:f>
        <x:v>-1</x:v>
      </x:c>
      <x:c r="J3083" s="6" t="n">
        <x:f>IF(OR(E3083="CANCELED",E3083="SUSPECTED_FRAUD",F3083="Shipping canceled"),0,1)</x:f>
        <x:v>1</x:v>
      </x:c>
      <x:c r="K3083" s="6" t="n">
        <x:f>IF(G3083&gt;H3083,1,0)</x:f>
        <x:v>0</x:v>
      </x:c>
      <x:c r="L3083" s="6" t="n">
        <x:f>J3083*K3083</x:f>
        <x:v>0</x:v>
      </x:c>
    </x:row>
    <x:row r="3084">
      <x:c r="A3084" s="1" t="n">
        <x:v>23377</x:v>
      </x:c>
      <x:c r="B3084" s="5" t="d">
        <x:v>2015-12-08T00:00:00.000Z</x:v>
      </x:c>
      <x:c r="C3084" s="1" t="str">
        <x:v>Second Class</x:v>
      </x:c>
      <x:c r="D3084" s="1" t="str">
        <x:v>Pacific Asia</x:v>
      </x:c>
      <x:c r="E3084" s="1" t="str">
        <x:v>PENDING</x:v>
      </x:c>
      <x:c r="F3084" s="1" t="str">
        <x:v>Late delivery</x:v>
      </x:c>
      <x:c r="G3084" s="6" t="n">
        <x:v>3</x:v>
      </x:c>
      <x:c r="H3084" s="6" t="n">
        <x:v>2</x:v>
      </x:c>
      <x:c r="I3084" s="6" t="n">
        <x:f>G3084-H3084</x:f>
        <x:v>1</x:v>
      </x:c>
      <x:c r="J3084" s="6" t="n">
        <x:f>IF(OR(E3084="CANCELED",E3084="SUSPECTED_FRAUD",F3084="Shipping canceled"),0,1)</x:f>
        <x:v>1</x:v>
      </x:c>
      <x:c r="K3084" s="6" t="n">
        <x:f>IF(G3084&gt;H3084,1,0)</x:f>
        <x:v>1</x:v>
      </x:c>
      <x:c r="L3084" s="6" t="n">
        <x:f>J3084*K3084</x:f>
        <x:v>1</x:v>
      </x:c>
    </x:row>
    <x:row r="3085">
      <x:c r="A3085" s="1" t="n">
        <x:v>23378</x:v>
      </x:c>
      <x:c r="B3085" s="5" t="d">
        <x:v>2015-12-08T00:00:00.000Z</x:v>
      </x:c>
      <x:c r="C3085" s="1" t="str">
        <x:v>Standard Class</x:v>
      </x:c>
      <x:c r="D3085" s="1" t="str">
        <x:v>Pacific Asia</x:v>
      </x:c>
      <x:c r="E3085" s="1" t="str">
        <x:v>PROCESSING</x:v>
      </x:c>
      <x:c r="F3085" s="1" t="str">
        <x:v>Shipping on time</x:v>
      </x:c>
      <x:c r="G3085" s="6" t="n">
        <x:v>4</x:v>
      </x:c>
      <x:c r="H3085" s="6" t="n">
        <x:v>4</x:v>
      </x:c>
      <x:c r="I3085" s="6" t="n">
        <x:f>G3085-H3085</x:f>
        <x:v>0</x:v>
      </x:c>
      <x:c r="J3085" s="6" t="n">
        <x:f>IF(OR(E3085="CANCELED",E3085="SUSPECTED_FRAUD",F3085="Shipping canceled"),0,1)</x:f>
        <x:v>1</x:v>
      </x:c>
      <x:c r="K3085" s="6" t="n">
        <x:f>IF(G3085&gt;H3085,1,0)</x:f>
        <x:v>0</x:v>
      </x:c>
      <x:c r="L3085" s="6" t="n">
        <x:f>J3085*K3085</x:f>
        <x:v>0</x:v>
      </x:c>
    </x:row>
    <x:row r="3086">
      <x:c r="A3086" s="1" t="n">
        <x:v>23393</x:v>
      </x:c>
      <x:c r="B3086" s="5" t="d">
        <x:v>2015-12-08T00:00:00.000Z</x:v>
      </x:c>
      <x:c r="C3086" s="1" t="str">
        <x:v>First Class</x:v>
      </x:c>
      <x:c r="D3086" s="1" t="str">
        <x:v>Pacific Asia</x:v>
      </x:c>
      <x:c r="E3086" s="1" t="str">
        <x:v>PENDING</x:v>
      </x:c>
      <x:c r="F3086" s="1" t="str">
        <x:v>Late delivery</x:v>
      </x:c>
      <x:c r="G3086" s="6" t="n">
        <x:v>2</x:v>
      </x:c>
      <x:c r="H3086" s="6" t="n">
        <x:v>1</x:v>
      </x:c>
      <x:c r="I3086" s="6" t="n">
        <x:f>G3086-H3086</x:f>
        <x:v>1</x:v>
      </x:c>
      <x:c r="J3086" s="6" t="n">
        <x:f>IF(OR(E3086="CANCELED",E3086="SUSPECTED_FRAUD",F3086="Shipping canceled"),0,1)</x:f>
        <x:v>1</x:v>
      </x:c>
      <x:c r="K3086" s="6" t="n">
        <x:f>IF(G3086&gt;H3086,1,0)</x:f>
        <x:v>1</x:v>
      </x:c>
      <x:c r="L3086" s="6" t="n">
        <x:f>J3086*K3086</x:f>
        <x:v>1</x:v>
      </x:c>
    </x:row>
    <x:row r="3087">
      <x:c r="A3087" s="1" t="n">
        <x:v>23401</x:v>
      </x:c>
      <x:c r="B3087" s="5" t="d">
        <x:v>2015-12-08T00:00:00.000Z</x:v>
      </x:c>
      <x:c r="C3087" s="1" t="str">
        <x:v>Standard Class</x:v>
      </x:c>
      <x:c r="D3087" s="1" t="str">
        <x:v>Pacific Asia</x:v>
      </x:c>
      <x:c r="E3087" s="1" t="str">
        <x:v>PROCESSING</x:v>
      </x:c>
      <x:c r="F3087" s="1" t="str">
        <x:v>Advance shipping</x:v>
      </x:c>
      <x:c r="G3087" s="6" t="n">
        <x:v>2</x:v>
      </x:c>
      <x:c r="H3087" s="6" t="n">
        <x:v>4</x:v>
      </x:c>
      <x:c r="I3087" s="6" t="n">
        <x:f>G3087-H3087</x:f>
        <x:v>-2</x:v>
      </x:c>
      <x:c r="J3087" s="6" t="n">
        <x:f>IF(OR(E3087="CANCELED",E3087="SUSPECTED_FRAUD",F3087="Shipping canceled"),0,1)</x:f>
        <x:v>1</x:v>
      </x:c>
      <x:c r="K3087" s="6" t="n">
        <x:f>IF(G3087&gt;H3087,1,0)</x:f>
        <x:v>0</x:v>
      </x:c>
      <x:c r="L3087" s="6" t="n">
        <x:f>J3087*K3087</x:f>
        <x:v>0</x:v>
      </x:c>
    </x:row>
    <x:row r="3088">
      <x:c r="A3088" s="1" t="n">
        <x:v>23402</x:v>
      </x:c>
      <x:c r="B3088" s="5" t="d">
        <x:v>2015-12-08T00:00:00.000Z</x:v>
      </x:c>
      <x:c r="C3088" s="1" t="str">
        <x:v>Second Class</x:v>
      </x:c>
      <x:c r="D3088" s="1" t="str">
        <x:v>Pacific Asia</x:v>
      </x:c>
      <x:c r="E3088" s="1" t="str">
        <x:v>PENDING</x:v>
      </x:c>
      <x:c r="F3088" s="1" t="str">
        <x:v>Late delivery</x:v>
      </x:c>
      <x:c r="G3088" s="6" t="n">
        <x:v>3</x:v>
      </x:c>
      <x:c r="H3088" s="6" t="n">
        <x:v>2</x:v>
      </x:c>
      <x:c r="I3088" s="6" t="n">
        <x:f>G3088-H3088</x:f>
        <x:v>1</x:v>
      </x:c>
      <x:c r="J3088" s="6" t="n">
        <x:f>IF(OR(E3088="CANCELED",E3088="SUSPECTED_FRAUD",F3088="Shipping canceled"),0,1)</x:f>
        <x:v>1</x:v>
      </x:c>
      <x:c r="K3088" s="6" t="n">
        <x:f>IF(G3088&gt;H3088,1,0)</x:f>
        <x:v>1</x:v>
      </x:c>
      <x:c r="L3088" s="6" t="n">
        <x:f>J3088*K3088</x:f>
        <x:v>1</x:v>
      </x:c>
    </x:row>
    <x:row r="3089">
      <x:c r="A3089" s="1" t="n">
        <x:v>23413</x:v>
      </x:c>
      <x:c r="B3089" s="5" t="d">
        <x:v>2015-12-08T00:00:00.000Z</x:v>
      </x:c>
      <x:c r="C3089" s="1" t="str">
        <x:v>First Class</x:v>
      </x:c>
      <x:c r="D3089" s="1" t="str">
        <x:v>Pacific Asia</x:v>
      </x:c>
      <x:c r="E3089" s="1" t="str">
        <x:v>PENDING_PAYMENT</x:v>
      </x:c>
      <x:c r="F3089" s="1" t="str">
        <x:v>Late delivery</x:v>
      </x:c>
      <x:c r="G3089" s="6" t="n">
        <x:v>2</x:v>
      </x:c>
      <x:c r="H3089" s="6" t="n">
        <x:v>1</x:v>
      </x:c>
      <x:c r="I3089" s="6" t="n">
        <x:f>G3089-H3089</x:f>
        <x:v>1</x:v>
      </x:c>
      <x:c r="J3089" s="6" t="n">
        <x:f>IF(OR(E3089="CANCELED",E3089="SUSPECTED_FRAUD",F3089="Shipping canceled"),0,1)</x:f>
        <x:v>1</x:v>
      </x:c>
      <x:c r="K3089" s="6" t="n">
        <x:f>IF(G3089&gt;H3089,1,0)</x:f>
        <x:v>1</x:v>
      </x:c>
      <x:c r="L3089" s="6" t="n">
        <x:f>J3089*K3089</x:f>
        <x:v>1</x:v>
      </x:c>
    </x:row>
    <x:row r="3090">
      <x:c r="A3090" s="1" t="n">
        <x:v>23419</x:v>
      </x:c>
      <x:c r="B3090" s="5" t="d">
        <x:v>2015-12-08T00:00:00.000Z</x:v>
      </x:c>
      <x:c r="C3090" s="1" t="str">
        <x:v>First Class</x:v>
      </x:c>
      <x:c r="D3090" s="1" t="str">
        <x:v>Pacific Asia</x:v>
      </x:c>
      <x:c r="E3090" s="1" t="str">
        <x:v>CLOSED</x:v>
      </x:c>
      <x:c r="F3090" s="1" t="str">
        <x:v>Late delivery</x:v>
      </x:c>
      <x:c r="G3090" s="6" t="n">
        <x:v>2</x:v>
      </x:c>
      <x:c r="H3090" s="6" t="n">
        <x:v>1</x:v>
      </x:c>
      <x:c r="I3090" s="6" t="n">
        <x:f>G3090-H3090</x:f>
        <x:v>1</x:v>
      </x:c>
      <x:c r="J3090" s="6" t="n">
        <x:f>IF(OR(E3090="CANCELED",E3090="SUSPECTED_FRAUD",F3090="Shipping canceled"),0,1)</x:f>
        <x:v>1</x:v>
      </x:c>
      <x:c r="K3090" s="6" t="n">
        <x:f>IF(G3090&gt;H3090,1,0)</x:f>
        <x:v>1</x:v>
      </x:c>
      <x:c r="L3090" s="6" t="n">
        <x:f>J3090*K3090</x:f>
        <x:v>1</x:v>
      </x:c>
    </x:row>
    <x:row r="3091">
      <x:c r="A3091" s="1" t="n">
        <x:v>23420</x:v>
      </x:c>
      <x:c r="B3091" s="5" t="d">
        <x:v>2015-12-08T00:00:00.000Z</x:v>
      </x:c>
      <x:c r="C3091" s="1" t="str">
        <x:v>First Class</x:v>
      </x:c>
      <x:c r="D3091" s="1" t="str">
        <x:v>Pacific Asia</x:v>
      </x:c>
      <x:c r="E3091" s="1" t="str">
        <x:v>CLOSED</x:v>
      </x:c>
      <x:c r="F3091" s="1" t="str">
        <x:v>Late delivery</x:v>
      </x:c>
      <x:c r="G3091" s="6" t="n">
        <x:v>2</x:v>
      </x:c>
      <x:c r="H3091" s="6" t="n">
        <x:v>1</x:v>
      </x:c>
      <x:c r="I3091" s="6" t="n">
        <x:f>G3091-H3091</x:f>
        <x:v>1</x:v>
      </x:c>
      <x:c r="J3091" s="6" t="n">
        <x:f>IF(OR(E3091="CANCELED",E3091="SUSPECTED_FRAUD",F3091="Shipping canceled"),0,1)</x:f>
        <x:v>1</x:v>
      </x:c>
      <x:c r="K3091" s="6" t="n">
        <x:f>IF(G3091&gt;H3091,1,0)</x:f>
        <x:v>1</x:v>
      </x:c>
      <x:c r="L3091" s="6" t="n">
        <x:f>J3091*K3091</x:f>
        <x:v>1</x:v>
      </x:c>
    </x:row>
    <x:row r="3092">
      <x:c r="A3092" s="1" t="n">
        <x:v>23423</x:v>
      </x:c>
      <x:c r="B3092" s="5" t="d">
        <x:v>2015-12-08T00:00:00.000Z</x:v>
      </x:c>
      <x:c r="C3092" s="1" t="str">
        <x:v>Standard Class</x:v>
      </x:c>
      <x:c r="D3092" s="1" t="str">
        <x:v>Pacific Asia</x:v>
      </x:c>
      <x:c r="E3092" s="1" t="str">
        <x:v>PENDING_PAYMENT</x:v>
      </x:c>
      <x:c r="F3092" s="1" t="str">
        <x:v>Shipping on time</x:v>
      </x:c>
      <x:c r="G3092" s="6" t="n">
        <x:v>4</x:v>
      </x:c>
      <x:c r="H3092" s="6" t="n">
        <x:v>4</x:v>
      </x:c>
      <x:c r="I3092" s="6" t="n">
        <x:f>G3092-H3092</x:f>
        <x:v>0</x:v>
      </x:c>
      <x:c r="J3092" s="6" t="n">
        <x:f>IF(OR(E3092="CANCELED",E3092="SUSPECTED_FRAUD",F3092="Shipping canceled"),0,1)</x:f>
        <x:v>1</x:v>
      </x:c>
      <x:c r="K3092" s="6" t="n">
        <x:f>IF(G3092&gt;H3092,1,0)</x:f>
        <x:v>0</x:v>
      </x:c>
      <x:c r="L3092" s="6" t="n">
        <x:f>J3092*K3092</x:f>
        <x:v>0</x:v>
      </x:c>
    </x:row>
    <x:row r="3093">
      <x:c r="A3093" s="1" t="n">
        <x:v>23429</x:v>
      </x:c>
      <x:c r="B3093" s="5" t="d">
        <x:v>2015-12-08T00:00:00.000Z</x:v>
      </x:c>
      <x:c r="C3093" s="1" t="str">
        <x:v>Second Class</x:v>
      </x:c>
      <x:c r="D3093" s="1" t="str">
        <x:v>Pacific Asia</x:v>
      </x:c>
      <x:c r="E3093" s="1" t="str">
        <x:v>COMPLETE</x:v>
      </x:c>
      <x:c r="F3093" s="1" t="str">
        <x:v>Late delivery</x:v>
      </x:c>
      <x:c r="G3093" s="6" t="n">
        <x:v>5</x:v>
      </x:c>
      <x:c r="H3093" s="6" t="n">
        <x:v>2</x:v>
      </x:c>
      <x:c r="I3093" s="6" t="n">
        <x:f>G3093-H3093</x:f>
        <x:v>3</x:v>
      </x:c>
      <x:c r="J3093" s="6" t="n">
        <x:f>IF(OR(E3093="CANCELED",E3093="SUSPECTED_FRAUD",F3093="Shipping canceled"),0,1)</x:f>
        <x:v>1</x:v>
      </x:c>
      <x:c r="K3093" s="6" t="n">
        <x:f>IF(G3093&gt;H3093,1,0)</x:f>
        <x:v>1</x:v>
      </x:c>
      <x:c r="L3093" s="6" t="n">
        <x:f>J3093*K3093</x:f>
        <x:v>1</x:v>
      </x:c>
    </x:row>
    <x:row r="3094">
      <x:c r="A3094" s="1" t="n">
        <x:v>23452</x:v>
      </x:c>
      <x:c r="B3094" s="5" t="d">
        <x:v>2015-12-09T00:00:00.000Z</x:v>
      </x:c>
      <x:c r="C3094" s="1" t="str">
        <x:v>Standard Class</x:v>
      </x:c>
      <x:c r="D3094" s="1" t="str">
        <x:v>Pacific Asia</x:v>
      </x:c>
      <x:c r="E3094" s="1" t="str">
        <x:v>PENDING_PAYMENT</x:v>
      </x:c>
      <x:c r="F3094" s="1" t="str">
        <x:v>Advance shipping</x:v>
      </x:c>
      <x:c r="G3094" s="6" t="n">
        <x:v>3</x:v>
      </x:c>
      <x:c r="H3094" s="6" t="n">
        <x:v>4</x:v>
      </x:c>
      <x:c r="I3094" s="6" t="n">
        <x:f>G3094-H3094</x:f>
        <x:v>-1</x:v>
      </x:c>
      <x:c r="J3094" s="6" t="n">
        <x:f>IF(OR(E3094="CANCELED",E3094="SUSPECTED_FRAUD",F3094="Shipping canceled"),0,1)</x:f>
        <x:v>1</x:v>
      </x:c>
      <x:c r="K3094" s="6" t="n">
        <x:f>IF(G3094&gt;H3094,1,0)</x:f>
        <x:v>0</x:v>
      </x:c>
      <x:c r="L3094" s="6" t="n">
        <x:f>J3094*K3094</x:f>
        <x:v>0</x:v>
      </x:c>
    </x:row>
    <x:row r="3095">
      <x:c r="A3095" s="1" t="n">
        <x:v>23456</x:v>
      </x:c>
      <x:c r="B3095" s="5" t="d">
        <x:v>2015-12-09T00:00:00.000Z</x:v>
      </x:c>
      <x:c r="C3095" s="1" t="str">
        <x:v>Standard Class</x:v>
      </x:c>
      <x:c r="D3095" s="1" t="str">
        <x:v>Pacific Asia</x:v>
      </x:c>
      <x:c r="E3095" s="1" t="str">
        <x:v>COMPLETE</x:v>
      </x:c>
      <x:c r="F3095" s="1" t="str">
        <x:v>Advance shipping</x:v>
      </x:c>
      <x:c r="G3095" s="6" t="n">
        <x:v>2</x:v>
      </x:c>
      <x:c r="H3095" s="6" t="n">
        <x:v>4</x:v>
      </x:c>
      <x:c r="I3095" s="6" t="n">
        <x:f>G3095-H3095</x:f>
        <x:v>-2</x:v>
      </x:c>
      <x:c r="J3095" s="6" t="n">
        <x:f>IF(OR(E3095="CANCELED",E3095="SUSPECTED_FRAUD",F3095="Shipping canceled"),0,1)</x:f>
        <x:v>1</x:v>
      </x:c>
      <x:c r="K3095" s="6" t="n">
        <x:f>IF(G3095&gt;H3095,1,0)</x:f>
        <x:v>0</x:v>
      </x:c>
      <x:c r="L3095" s="6" t="n">
        <x:f>J3095*K3095</x:f>
        <x:v>0</x:v>
      </x:c>
    </x:row>
    <x:row r="3096">
      <x:c r="A3096" s="1" t="n">
        <x:v>23464</x:v>
      </x:c>
      <x:c r="B3096" s="5" t="d">
        <x:v>2015-12-09T00:00:00.000Z</x:v>
      </x:c>
      <x:c r="C3096" s="1" t="str">
        <x:v>Standard Class</x:v>
      </x:c>
      <x:c r="D3096" s="1" t="str">
        <x:v>Pacific Asia</x:v>
      </x:c>
      <x:c r="E3096" s="1" t="str">
        <x:v>PROCESSING</x:v>
      </x:c>
      <x:c r="F3096" s="1" t="str">
        <x:v>Late delivery</x:v>
      </x:c>
      <x:c r="G3096" s="6" t="n">
        <x:v>5</x:v>
      </x:c>
      <x:c r="H3096" s="6" t="n">
        <x:v>4</x:v>
      </x:c>
      <x:c r="I3096" s="6" t="n">
        <x:f>G3096-H3096</x:f>
        <x:v>1</x:v>
      </x:c>
      <x:c r="J3096" s="6" t="n">
        <x:f>IF(OR(E3096="CANCELED",E3096="SUSPECTED_FRAUD",F3096="Shipping canceled"),0,1)</x:f>
        <x:v>1</x:v>
      </x:c>
      <x:c r="K3096" s="6" t="n">
        <x:f>IF(G3096&gt;H3096,1,0)</x:f>
        <x:v>1</x:v>
      </x:c>
      <x:c r="L3096" s="6" t="n">
        <x:f>J3096*K3096</x:f>
        <x:v>1</x:v>
      </x:c>
    </x:row>
    <x:row r="3097">
      <x:c r="A3097" s="1" t="n">
        <x:v>23468</x:v>
      </x:c>
      <x:c r="B3097" s="5" t="d">
        <x:v>2015-12-09T00:00:00.000Z</x:v>
      </x:c>
      <x:c r="C3097" s="1" t="str">
        <x:v>Standard Class</x:v>
      </x:c>
      <x:c r="D3097" s="1" t="str">
        <x:v>Pacific Asia</x:v>
      </x:c>
      <x:c r="E3097" s="1" t="str">
        <x:v>COMPLETE</x:v>
      </x:c>
      <x:c r="F3097" s="1" t="str">
        <x:v>Shipping on time</x:v>
      </x:c>
      <x:c r="G3097" s="6" t="n">
        <x:v>4</x:v>
      </x:c>
      <x:c r="H3097" s="6" t="n">
        <x:v>4</x:v>
      </x:c>
      <x:c r="I3097" s="6" t="n">
        <x:f>G3097-H3097</x:f>
        <x:v>0</x:v>
      </x:c>
      <x:c r="J3097" s="6" t="n">
        <x:f>IF(OR(E3097="CANCELED",E3097="SUSPECTED_FRAUD",F3097="Shipping canceled"),0,1)</x:f>
        <x:v>1</x:v>
      </x:c>
      <x:c r="K3097" s="6" t="n">
        <x:f>IF(G3097&gt;H3097,1,0)</x:f>
        <x:v>0</x:v>
      </x:c>
      <x:c r="L3097" s="6" t="n">
        <x:f>J3097*K3097</x:f>
        <x:v>0</x:v>
      </x:c>
    </x:row>
    <x:row r="3098">
      <x:c r="A3098" s="1" t="n">
        <x:v>23469</x:v>
      </x:c>
      <x:c r="B3098" s="5" t="d">
        <x:v>2015-12-09T00:00:00.000Z</x:v>
      </x:c>
      <x:c r="C3098" s="1" t="str">
        <x:v>Standard Class</x:v>
      </x:c>
      <x:c r="D3098" s="1" t="str">
        <x:v>Pacific Asia</x:v>
      </x:c>
      <x:c r="E3098" s="1" t="str">
        <x:v>COMPLETE</x:v>
      </x:c>
      <x:c r="F3098" s="1" t="str">
        <x:v>Late delivery</x:v>
      </x:c>
      <x:c r="G3098" s="6" t="n">
        <x:v>5</x:v>
      </x:c>
      <x:c r="H3098" s="6" t="n">
        <x:v>4</x:v>
      </x:c>
      <x:c r="I3098" s="6" t="n">
        <x:f>G3098-H3098</x:f>
        <x:v>1</x:v>
      </x:c>
      <x:c r="J3098" s="6" t="n">
        <x:f>IF(OR(E3098="CANCELED",E3098="SUSPECTED_FRAUD",F3098="Shipping canceled"),0,1)</x:f>
        <x:v>1</x:v>
      </x:c>
      <x:c r="K3098" s="6" t="n">
        <x:f>IF(G3098&gt;H3098,1,0)</x:f>
        <x:v>1</x:v>
      </x:c>
      <x:c r="L3098" s="6" t="n">
        <x:f>J3098*K3098</x:f>
        <x:v>1</x:v>
      </x:c>
    </x:row>
    <x:row r="3099">
      <x:c r="A3099" s="1" t="n">
        <x:v>23472</x:v>
      </x:c>
      <x:c r="B3099" s="5" t="d">
        <x:v>2015-12-09T00:00:00.000Z</x:v>
      </x:c>
      <x:c r="C3099" s="1" t="str">
        <x:v>Standard Class</x:v>
      </x:c>
      <x:c r="D3099" s="1" t="str">
        <x:v>Pacific Asia</x:v>
      </x:c>
      <x:c r="E3099" s="1" t="str">
        <x:v>PENDING_PAYMENT</x:v>
      </x:c>
      <x:c r="F3099" s="1" t="str">
        <x:v>Advance shipping</x:v>
      </x:c>
      <x:c r="G3099" s="6" t="n">
        <x:v>3</x:v>
      </x:c>
      <x:c r="H3099" s="6" t="n">
        <x:v>4</x:v>
      </x:c>
      <x:c r="I3099" s="6" t="n">
        <x:f>G3099-H3099</x:f>
        <x:v>-1</x:v>
      </x:c>
      <x:c r="J3099" s="6" t="n">
        <x:f>IF(OR(E3099="CANCELED",E3099="SUSPECTED_FRAUD",F3099="Shipping canceled"),0,1)</x:f>
        <x:v>1</x:v>
      </x:c>
      <x:c r="K3099" s="6" t="n">
        <x:f>IF(G3099&gt;H3099,1,0)</x:f>
        <x:v>0</x:v>
      </x:c>
      <x:c r="L3099" s="6" t="n">
        <x:f>J3099*K3099</x:f>
        <x:v>0</x:v>
      </x:c>
    </x:row>
    <x:row r="3100">
      <x:c r="A3100" s="1" t="n">
        <x:v>23473</x:v>
      </x:c>
      <x:c r="B3100" s="5" t="d">
        <x:v>2015-12-09T00:00:00.000Z</x:v>
      </x:c>
      <x:c r="C3100" s="1" t="str">
        <x:v>Standard Class</x:v>
      </x:c>
      <x:c r="D3100" s="1" t="str">
        <x:v>Pacific Asia</x:v>
      </x:c>
      <x:c r="E3100" s="1" t="str">
        <x:v>COMPLETE</x:v>
      </x:c>
      <x:c r="F3100" s="1" t="str">
        <x:v>Shipping on time</x:v>
      </x:c>
      <x:c r="G3100" s="6" t="n">
        <x:v>4</x:v>
      </x:c>
      <x:c r="H3100" s="6" t="n">
        <x:v>4</x:v>
      </x:c>
      <x:c r="I3100" s="6" t="n">
        <x:f>G3100-H3100</x:f>
        <x:v>0</x:v>
      </x:c>
      <x:c r="J3100" s="6" t="n">
        <x:f>IF(OR(E3100="CANCELED",E3100="SUSPECTED_FRAUD",F3100="Shipping canceled"),0,1)</x:f>
        <x:v>1</x:v>
      </x:c>
      <x:c r="K3100" s="6" t="n">
        <x:f>IF(G3100&gt;H3100,1,0)</x:f>
        <x:v>0</x:v>
      </x:c>
      <x:c r="L3100" s="6" t="n">
        <x:f>J3100*K3100</x:f>
        <x:v>0</x:v>
      </x:c>
    </x:row>
    <x:row r="3101">
      <x:c r="A3101" s="1" t="n">
        <x:v>23479</x:v>
      </x:c>
      <x:c r="B3101" s="5" t="d">
        <x:v>2015-12-09T00:00:00.000Z</x:v>
      </x:c>
      <x:c r="C3101" s="1" t="str">
        <x:v>Standard Class</x:v>
      </x:c>
      <x:c r="D3101" s="1" t="str">
        <x:v>Pacific Asia</x:v>
      </x:c>
      <x:c r="E3101" s="1" t="str">
        <x:v>COMPLETE</x:v>
      </x:c>
      <x:c r="F3101" s="1" t="str">
        <x:v>Late delivery</x:v>
      </x:c>
      <x:c r="G3101" s="6" t="n">
        <x:v>5</x:v>
      </x:c>
      <x:c r="H3101" s="6" t="n">
        <x:v>4</x:v>
      </x:c>
      <x:c r="I3101" s="6" t="n">
        <x:f>G3101-H3101</x:f>
        <x:v>1</x:v>
      </x:c>
      <x:c r="J3101" s="6" t="n">
        <x:f>IF(OR(E3101="CANCELED",E3101="SUSPECTED_FRAUD",F3101="Shipping canceled"),0,1)</x:f>
        <x:v>1</x:v>
      </x:c>
      <x:c r="K3101" s="6" t="n">
        <x:f>IF(G3101&gt;H3101,1,0)</x:f>
        <x:v>1</x:v>
      </x:c>
      <x:c r="L3101" s="6" t="n">
        <x:f>J3101*K3101</x:f>
        <x:v>1</x:v>
      </x:c>
    </x:row>
    <x:row r="3102">
      <x:c r="A3102" s="1" t="n">
        <x:v>23485</x:v>
      </x:c>
      <x:c r="B3102" s="5" t="d">
        <x:v>2015-12-09T00:00:00.000Z</x:v>
      </x:c>
      <x:c r="C3102" s="1" t="str">
        <x:v>Standard Class</x:v>
      </x:c>
      <x:c r="D3102" s="1" t="str">
        <x:v>Pacific Asia</x:v>
      </x:c>
      <x:c r="E3102" s="1" t="str">
        <x:v>PROCESSING</x:v>
      </x:c>
      <x:c r="F3102" s="1" t="str">
        <x:v>Late delivery</x:v>
      </x:c>
      <x:c r="G3102" s="6" t="n">
        <x:v>6</x:v>
      </x:c>
      <x:c r="H3102" s="6" t="n">
        <x:v>4</x:v>
      </x:c>
      <x:c r="I3102" s="6" t="n">
        <x:f>G3102-H3102</x:f>
        <x:v>2</x:v>
      </x:c>
      <x:c r="J3102" s="6" t="n">
        <x:f>IF(OR(E3102="CANCELED",E3102="SUSPECTED_FRAUD",F3102="Shipping canceled"),0,1)</x:f>
        <x:v>1</x:v>
      </x:c>
      <x:c r="K3102" s="6" t="n">
        <x:f>IF(G3102&gt;H3102,1,0)</x:f>
        <x:v>1</x:v>
      </x:c>
      <x:c r="L3102" s="6" t="n">
        <x:f>J3102*K3102</x:f>
        <x:v>1</x:v>
      </x:c>
    </x:row>
    <x:row r="3103">
      <x:c r="A3103" s="1" t="n">
        <x:v>23489</x:v>
      </x:c>
      <x:c r="B3103" s="5" t="d">
        <x:v>2015-12-09T00:00:00.000Z</x:v>
      </x:c>
      <x:c r="C3103" s="1" t="str">
        <x:v>First Class</x:v>
      </x:c>
      <x:c r="D3103" s="1" t="str">
        <x:v>Pacific Asia</x:v>
      </x:c>
      <x:c r="E3103" s="1" t="str">
        <x:v>CLOSED</x:v>
      </x:c>
      <x:c r="F3103" s="1" t="str">
        <x:v>Late delivery</x:v>
      </x:c>
      <x:c r="G3103" s="6" t="n">
        <x:v>2</x:v>
      </x:c>
      <x:c r="H3103" s="6" t="n">
        <x:v>1</x:v>
      </x:c>
      <x:c r="I3103" s="6" t="n">
        <x:f>G3103-H3103</x:f>
        <x:v>1</x:v>
      </x:c>
      <x:c r="J3103" s="6" t="n">
        <x:f>IF(OR(E3103="CANCELED",E3103="SUSPECTED_FRAUD",F3103="Shipping canceled"),0,1)</x:f>
        <x:v>1</x:v>
      </x:c>
      <x:c r="K3103" s="6" t="n">
        <x:f>IF(G3103&gt;H3103,1,0)</x:f>
        <x:v>1</x:v>
      </x:c>
      <x:c r="L3103" s="6" t="n">
        <x:f>J3103*K3103</x:f>
        <x:v>1</x:v>
      </x:c>
    </x:row>
    <x:row r="3104">
      <x:c r="A3104" s="1" t="n">
        <x:v>23493</x:v>
      </x:c>
      <x:c r="B3104" s="5" t="d">
        <x:v>2015-12-09T00:00:00.000Z</x:v>
      </x:c>
      <x:c r="C3104" s="1" t="str">
        <x:v>Standard Class</x:v>
      </x:c>
      <x:c r="D3104" s="1" t="str">
        <x:v>Pacific Asia</x:v>
      </x:c>
      <x:c r="E3104" s="1" t="str">
        <x:v>PENDING</x:v>
      </x:c>
      <x:c r="F3104" s="1" t="str">
        <x:v>Shipping on time</x:v>
      </x:c>
      <x:c r="G3104" s="6" t="n">
        <x:v>4</x:v>
      </x:c>
      <x:c r="H3104" s="6" t="n">
        <x:v>4</x:v>
      </x:c>
      <x:c r="I3104" s="6" t="n">
        <x:f>G3104-H3104</x:f>
        <x:v>0</x:v>
      </x:c>
      <x:c r="J3104" s="6" t="n">
        <x:f>IF(OR(E3104="CANCELED",E3104="SUSPECTED_FRAUD",F3104="Shipping canceled"),0,1)</x:f>
        <x:v>1</x:v>
      </x:c>
      <x:c r="K3104" s="6" t="n">
        <x:f>IF(G3104&gt;H3104,1,0)</x:f>
        <x:v>0</x:v>
      </x:c>
      <x:c r="L3104" s="6" t="n">
        <x:f>J3104*K3104</x:f>
        <x:v>0</x:v>
      </x:c>
    </x:row>
    <x:row r="3105">
      <x:c r="A3105" s="1" t="n">
        <x:v>23494</x:v>
      </x:c>
      <x:c r="B3105" s="5" t="d">
        <x:v>2015-12-09T00:00:00.000Z</x:v>
      </x:c>
      <x:c r="C3105" s="1" t="str">
        <x:v>Standard Class</x:v>
      </x:c>
      <x:c r="D3105" s="1" t="str">
        <x:v>Pacific Asia</x:v>
      </x:c>
      <x:c r="E3105" s="1" t="str">
        <x:v>PENDING</x:v>
      </x:c>
      <x:c r="F3105" s="1" t="str">
        <x:v>Late delivery</x:v>
      </x:c>
      <x:c r="G3105" s="6" t="n">
        <x:v>5</x:v>
      </x:c>
      <x:c r="H3105" s="6" t="n">
        <x:v>4</x:v>
      </x:c>
      <x:c r="I3105" s="6" t="n">
        <x:f>G3105-H3105</x:f>
        <x:v>1</x:v>
      </x:c>
      <x:c r="J3105" s="6" t="n">
        <x:f>IF(OR(E3105="CANCELED",E3105="SUSPECTED_FRAUD",F3105="Shipping canceled"),0,1)</x:f>
        <x:v>1</x:v>
      </x:c>
      <x:c r="K3105" s="6" t="n">
        <x:f>IF(G3105&gt;H3105,1,0)</x:f>
        <x:v>1</x:v>
      </x:c>
      <x:c r="L3105" s="6" t="n">
        <x:f>J3105*K3105</x:f>
        <x:v>1</x:v>
      </x:c>
    </x:row>
    <x:row r="3106">
      <x:c r="A3106" s="1" t="n">
        <x:v>23502</x:v>
      </x:c>
      <x:c r="B3106" s="5" t="d">
        <x:v>2015-12-10T00:00:00.000Z</x:v>
      </x:c>
      <x:c r="C3106" s="1" t="str">
        <x:v>Standard Class</x:v>
      </x:c>
      <x:c r="D3106" s="1" t="str">
        <x:v>Pacific Asia</x:v>
      </x:c>
      <x:c r="E3106" s="1" t="str">
        <x:v>ON_HOLD</x:v>
      </x:c>
      <x:c r="F3106" s="1" t="str">
        <x:v>Advance shipping</x:v>
      </x:c>
      <x:c r="G3106" s="6" t="n">
        <x:v>3</x:v>
      </x:c>
      <x:c r="H3106" s="6" t="n">
        <x:v>4</x:v>
      </x:c>
      <x:c r="I3106" s="6" t="n">
        <x:f>G3106-H3106</x:f>
        <x:v>-1</x:v>
      </x:c>
      <x:c r="J3106" s="6" t="n">
        <x:f>IF(OR(E3106="CANCELED",E3106="SUSPECTED_FRAUD",F3106="Shipping canceled"),0,1)</x:f>
        <x:v>1</x:v>
      </x:c>
      <x:c r="K3106" s="6" t="n">
        <x:f>IF(G3106&gt;H3106,1,0)</x:f>
        <x:v>0</x:v>
      </x:c>
      <x:c r="L3106" s="6" t="n">
        <x:f>J3106*K3106</x:f>
        <x:v>0</x:v>
      </x:c>
    </x:row>
    <x:row r="3107">
      <x:c r="A3107" s="1" t="n">
        <x:v>23509</x:v>
      </x:c>
      <x:c r="B3107" s="5" t="d">
        <x:v>2015-12-10T00:00:00.000Z</x:v>
      </x:c>
      <x:c r="C3107" s="1" t="str">
        <x:v>Standard Class</x:v>
      </x:c>
      <x:c r="D3107" s="1" t="str">
        <x:v>Pacific Asia</x:v>
      </x:c>
      <x:c r="E3107" s="1" t="str">
        <x:v>PENDING_PAYMENT</x:v>
      </x:c>
      <x:c r="F3107" s="1" t="str">
        <x:v>Late delivery</x:v>
      </x:c>
      <x:c r="G3107" s="6" t="n">
        <x:v>5</x:v>
      </x:c>
      <x:c r="H3107" s="6" t="n">
        <x:v>4</x:v>
      </x:c>
      <x:c r="I3107" s="6" t="n">
        <x:f>G3107-H3107</x:f>
        <x:v>1</x:v>
      </x:c>
      <x:c r="J3107" s="6" t="n">
        <x:f>IF(OR(E3107="CANCELED",E3107="SUSPECTED_FRAUD",F3107="Shipping canceled"),0,1)</x:f>
        <x:v>1</x:v>
      </x:c>
      <x:c r="K3107" s="6" t="n">
        <x:f>IF(G3107&gt;H3107,1,0)</x:f>
        <x:v>1</x:v>
      </x:c>
      <x:c r="L3107" s="6" t="n">
        <x:f>J3107*K3107</x:f>
        <x:v>1</x:v>
      </x:c>
    </x:row>
    <x:row r="3108">
      <x:c r="A3108" s="1" t="n">
        <x:v>23512</x:v>
      </x:c>
      <x:c r="B3108" s="5" t="d">
        <x:v>2015-12-10T00:00:00.000Z</x:v>
      </x:c>
      <x:c r="C3108" s="1" t="str">
        <x:v>Standard Class</x:v>
      </x:c>
      <x:c r="D3108" s="1" t="str">
        <x:v>Pacific Asia</x:v>
      </x:c>
      <x:c r="E3108" s="1" t="str">
        <x:v>ON_HOLD</x:v>
      </x:c>
      <x:c r="F3108" s="1" t="str">
        <x:v>Advance shipping</x:v>
      </x:c>
      <x:c r="G3108" s="6" t="n">
        <x:v>3</x:v>
      </x:c>
      <x:c r="H3108" s="6" t="n">
        <x:v>4</x:v>
      </x:c>
      <x:c r="I3108" s="6" t="n">
        <x:f>G3108-H3108</x:f>
        <x:v>-1</x:v>
      </x:c>
      <x:c r="J3108" s="6" t="n">
        <x:f>IF(OR(E3108="CANCELED",E3108="SUSPECTED_FRAUD",F3108="Shipping canceled"),0,1)</x:f>
        <x:v>1</x:v>
      </x:c>
      <x:c r="K3108" s="6" t="n">
        <x:f>IF(G3108&gt;H3108,1,0)</x:f>
        <x:v>0</x:v>
      </x:c>
      <x:c r="L3108" s="6" t="n">
        <x:f>J3108*K3108</x:f>
        <x:v>0</x:v>
      </x:c>
    </x:row>
    <x:row r="3109">
      <x:c r="A3109" s="1" t="n">
        <x:v>23533</x:v>
      </x:c>
      <x:c r="B3109" s="5" t="d">
        <x:v>2015-12-10T00:00:00.000Z</x:v>
      </x:c>
      <x:c r="C3109" s="1" t="str">
        <x:v>Standard Class</x:v>
      </x:c>
      <x:c r="D3109" s="1" t="str">
        <x:v>Pacific Asia</x:v>
      </x:c>
      <x:c r="E3109" s="1" t="str">
        <x:v>PROCESSING</x:v>
      </x:c>
      <x:c r="F3109" s="1" t="str">
        <x:v>Shipping on time</x:v>
      </x:c>
      <x:c r="G3109" s="6" t="n">
        <x:v>4</x:v>
      </x:c>
      <x:c r="H3109" s="6" t="n">
        <x:v>4</x:v>
      </x:c>
      <x:c r="I3109" s="6" t="n">
        <x:f>G3109-H3109</x:f>
        <x:v>0</x:v>
      </x:c>
      <x:c r="J3109" s="6" t="n">
        <x:f>IF(OR(E3109="CANCELED",E3109="SUSPECTED_FRAUD",F3109="Shipping canceled"),0,1)</x:f>
        <x:v>1</x:v>
      </x:c>
      <x:c r="K3109" s="6" t="n">
        <x:f>IF(G3109&gt;H3109,1,0)</x:f>
        <x:v>0</x:v>
      </x:c>
      <x:c r="L3109" s="6" t="n">
        <x:f>J3109*K3109</x:f>
        <x:v>0</x:v>
      </x:c>
    </x:row>
    <x:row r="3110">
      <x:c r="A3110" s="1" t="n">
        <x:v>23541</x:v>
      </x:c>
      <x:c r="B3110" s="5" t="d">
        <x:v>2015-12-10T00:00:00.000Z</x:v>
      </x:c>
      <x:c r="C3110" s="1" t="str">
        <x:v>Standard Class</x:v>
      </x:c>
      <x:c r="D3110" s="1" t="str">
        <x:v>Pacific Asia</x:v>
      </x:c>
      <x:c r="E3110" s="1" t="str">
        <x:v>COMPLETE</x:v>
      </x:c>
      <x:c r="F3110" s="1" t="str">
        <x:v>Advance shipping</x:v>
      </x:c>
      <x:c r="G3110" s="6" t="n">
        <x:v>2</x:v>
      </x:c>
      <x:c r="H3110" s="6" t="n">
        <x:v>4</x:v>
      </x:c>
      <x:c r="I3110" s="6" t="n">
        <x:f>G3110-H3110</x:f>
        <x:v>-2</x:v>
      </x:c>
      <x:c r="J3110" s="6" t="n">
        <x:f>IF(OR(E3110="CANCELED",E3110="SUSPECTED_FRAUD",F3110="Shipping canceled"),0,1)</x:f>
        <x:v>1</x:v>
      </x:c>
      <x:c r="K3110" s="6" t="n">
        <x:f>IF(G3110&gt;H3110,1,0)</x:f>
        <x:v>0</x:v>
      </x:c>
      <x:c r="L3110" s="6" t="n">
        <x:f>J3110*K3110</x:f>
        <x:v>0</x:v>
      </x:c>
    </x:row>
    <x:row r="3111">
      <x:c r="A3111" s="1" t="n">
        <x:v>23544</x:v>
      </x:c>
      <x:c r="B3111" s="5" t="d">
        <x:v>2015-12-10T00:00:00.000Z</x:v>
      </x:c>
      <x:c r="C3111" s="1" t="str">
        <x:v>Standard Class</x:v>
      </x:c>
      <x:c r="D3111" s="1" t="str">
        <x:v>Pacific Asia</x:v>
      </x:c>
      <x:c r="E3111" s="1" t="str">
        <x:v>CANCELED</x:v>
      </x:c>
      <x:c r="F3111" s="1" t="str">
        <x:v>Shipping canceled</x:v>
      </x:c>
      <x:c r="G3111" s="6" t="n">
        <x:v>5</x:v>
      </x:c>
      <x:c r="H3111" s="6" t="n">
        <x:v>4</x:v>
      </x:c>
      <x:c r="I3111" s="6" t="n">
        <x:f>G3111-H3111</x:f>
        <x:v>1</x:v>
      </x:c>
      <x:c r="J3111" s="6" t="n">
        <x:f>IF(OR(E3111="CANCELED",E3111="SUSPECTED_FRAUD",F3111="Shipping canceled"),0,1)</x:f>
        <x:v>0</x:v>
      </x:c>
      <x:c r="K3111" s="6" t="n">
        <x:f>IF(G3111&gt;H3111,1,0)</x:f>
        <x:v>1</x:v>
      </x:c>
      <x:c r="L3111" s="6" t="n">
        <x:f>J3111*K3111</x:f>
        <x:v>0</x:v>
      </x:c>
    </x:row>
    <x:row r="3112">
      <x:c r="A3112" s="1" t="n">
        <x:v>23546</x:v>
      </x:c>
      <x:c r="B3112" s="5" t="d">
        <x:v>2015-12-10T00:00:00.000Z</x:v>
      </x:c>
      <x:c r="C3112" s="1" t="str">
        <x:v>Standard Class</x:v>
      </x:c>
      <x:c r="D3112" s="1" t="str">
        <x:v>Pacific Asia</x:v>
      </x:c>
      <x:c r="E3112" s="1" t="str">
        <x:v>PROCESSING</x:v>
      </x:c>
      <x:c r="F3112" s="1" t="str">
        <x:v>Advance shipping</x:v>
      </x:c>
      <x:c r="G3112" s="6" t="n">
        <x:v>2</x:v>
      </x:c>
      <x:c r="H3112" s="6" t="n">
        <x:v>4</x:v>
      </x:c>
      <x:c r="I3112" s="6" t="n">
        <x:f>G3112-H3112</x:f>
        <x:v>-2</x:v>
      </x:c>
      <x:c r="J3112" s="6" t="n">
        <x:f>IF(OR(E3112="CANCELED",E3112="SUSPECTED_FRAUD",F3112="Shipping canceled"),0,1)</x:f>
        <x:v>1</x:v>
      </x:c>
      <x:c r="K3112" s="6" t="n">
        <x:f>IF(G3112&gt;H3112,1,0)</x:f>
        <x:v>0</x:v>
      </x:c>
      <x:c r="L3112" s="6" t="n">
        <x:f>J3112*K3112</x:f>
        <x:v>0</x:v>
      </x:c>
    </x:row>
    <x:row r="3113">
      <x:c r="A3113" s="1" t="n">
        <x:v>23550</x:v>
      </x:c>
      <x:c r="B3113" s="5" t="d">
        <x:v>2015-12-10T00:00:00.000Z</x:v>
      </x:c>
      <x:c r="C3113" s="1" t="str">
        <x:v>Standard Class</x:v>
      </x:c>
      <x:c r="D3113" s="1" t="str">
        <x:v>Pacific Asia</x:v>
      </x:c>
      <x:c r="E3113" s="1" t="str">
        <x:v>ON_HOLD</x:v>
      </x:c>
      <x:c r="F3113" s="1" t="str">
        <x:v>Late delivery</x:v>
      </x:c>
      <x:c r="G3113" s="6" t="n">
        <x:v>6</x:v>
      </x:c>
      <x:c r="H3113" s="6" t="n">
        <x:v>4</x:v>
      </x:c>
      <x:c r="I3113" s="6" t="n">
        <x:f>G3113-H3113</x:f>
        <x:v>2</x:v>
      </x:c>
      <x:c r="J3113" s="6" t="n">
        <x:f>IF(OR(E3113="CANCELED",E3113="SUSPECTED_FRAUD",F3113="Shipping canceled"),0,1)</x:f>
        <x:v>1</x:v>
      </x:c>
      <x:c r="K3113" s="6" t="n">
        <x:f>IF(G3113&gt;H3113,1,0)</x:f>
        <x:v>1</x:v>
      </x:c>
      <x:c r="L3113" s="6" t="n">
        <x:f>J3113*K3113</x:f>
        <x:v>1</x:v>
      </x:c>
    </x:row>
    <x:row r="3114">
      <x:c r="A3114" s="1" t="n">
        <x:v>23562</x:v>
      </x:c>
      <x:c r="B3114" s="5" t="d">
        <x:v>2015-12-10T00:00:00.000Z</x:v>
      </x:c>
      <x:c r="C3114" s="1" t="str">
        <x:v>Standard Class</x:v>
      </x:c>
      <x:c r="D3114" s="1" t="str">
        <x:v>Pacific Asia</x:v>
      </x:c>
      <x:c r="E3114" s="1" t="str">
        <x:v>COMPLETE</x:v>
      </x:c>
      <x:c r="F3114" s="1" t="str">
        <x:v>Advance shipping</x:v>
      </x:c>
      <x:c r="G3114" s="6" t="n">
        <x:v>3</x:v>
      </x:c>
      <x:c r="H3114" s="6" t="n">
        <x:v>4</x:v>
      </x:c>
      <x:c r="I3114" s="6" t="n">
        <x:f>G3114-H3114</x:f>
        <x:v>-1</x:v>
      </x:c>
      <x:c r="J3114" s="6" t="n">
        <x:f>IF(OR(E3114="CANCELED",E3114="SUSPECTED_FRAUD",F3114="Shipping canceled"),0,1)</x:f>
        <x:v>1</x:v>
      </x:c>
      <x:c r="K3114" s="6" t="n">
        <x:f>IF(G3114&gt;H3114,1,0)</x:f>
        <x:v>0</x:v>
      </x:c>
      <x:c r="L3114" s="6" t="n">
        <x:f>J3114*K3114</x:f>
        <x:v>0</x:v>
      </x:c>
    </x:row>
    <x:row r="3115">
      <x:c r="A3115" s="1" t="n">
        <x:v>23565</x:v>
      </x:c>
      <x:c r="B3115" s="5" t="d">
        <x:v>2015-12-10T00:00:00.000Z</x:v>
      </x:c>
      <x:c r="C3115" s="1" t="str">
        <x:v>Standard Class</x:v>
      </x:c>
      <x:c r="D3115" s="1" t="str">
        <x:v>Pacific Asia</x:v>
      </x:c>
      <x:c r="E3115" s="1" t="str">
        <x:v>CLOSED</x:v>
      </x:c>
      <x:c r="F3115" s="1" t="str">
        <x:v>Late delivery</x:v>
      </x:c>
      <x:c r="G3115" s="6" t="n">
        <x:v>6</x:v>
      </x:c>
      <x:c r="H3115" s="6" t="n">
        <x:v>4</x:v>
      </x:c>
      <x:c r="I3115" s="6" t="n">
        <x:f>G3115-H3115</x:f>
        <x:v>2</x:v>
      </x:c>
      <x:c r="J3115" s="6" t="n">
        <x:f>IF(OR(E3115="CANCELED",E3115="SUSPECTED_FRAUD",F3115="Shipping canceled"),0,1)</x:f>
        <x:v>1</x:v>
      </x:c>
      <x:c r="K3115" s="6" t="n">
        <x:f>IF(G3115&gt;H3115,1,0)</x:f>
        <x:v>1</x:v>
      </x:c>
      <x:c r="L3115" s="6" t="n">
        <x:f>J3115*K3115</x:f>
        <x:v>1</x:v>
      </x:c>
    </x:row>
    <x:row r="3116">
      <x:c r="A3116" s="1" t="n">
        <x:v>23571</x:v>
      </x:c>
      <x:c r="B3116" s="5" t="d">
        <x:v>2015-12-11T00:00:00.000Z</x:v>
      </x:c>
      <x:c r="C3116" s="1" t="str">
        <x:v>Standard Class</x:v>
      </x:c>
      <x:c r="D3116" s="1" t="str">
        <x:v>Pacific Asia</x:v>
      </x:c>
      <x:c r="E3116" s="1" t="str">
        <x:v>PROCESSING</x:v>
      </x:c>
      <x:c r="F3116" s="1" t="str">
        <x:v>Advance shipping</x:v>
      </x:c>
      <x:c r="G3116" s="6" t="n">
        <x:v>2</x:v>
      </x:c>
      <x:c r="H3116" s="6" t="n">
        <x:v>4</x:v>
      </x:c>
      <x:c r="I3116" s="6" t="n">
        <x:f>G3116-H3116</x:f>
        <x:v>-2</x:v>
      </x:c>
      <x:c r="J3116" s="6" t="n">
        <x:f>IF(OR(E3116="CANCELED",E3116="SUSPECTED_FRAUD",F3116="Shipping canceled"),0,1)</x:f>
        <x:v>1</x:v>
      </x:c>
      <x:c r="K3116" s="6" t="n">
        <x:f>IF(G3116&gt;H3116,1,0)</x:f>
        <x:v>0</x:v>
      </x:c>
      <x:c r="L3116" s="6" t="n">
        <x:f>J3116*K3116</x:f>
        <x:v>0</x:v>
      </x:c>
    </x:row>
    <x:row r="3117">
      <x:c r="A3117" s="1" t="n">
        <x:v>23579</x:v>
      </x:c>
      <x:c r="B3117" s="5" t="d">
        <x:v>2015-12-11T00:00:00.000Z</x:v>
      </x:c>
      <x:c r="C3117" s="1" t="str">
        <x:v>Standard Class</x:v>
      </x:c>
      <x:c r="D3117" s="1" t="str">
        <x:v>Pacific Asia</x:v>
      </x:c>
      <x:c r="E3117" s="1" t="str">
        <x:v>PENDING_PAYMENT</x:v>
      </x:c>
      <x:c r="F3117" s="1" t="str">
        <x:v>Late delivery</x:v>
      </x:c>
      <x:c r="G3117" s="6" t="n">
        <x:v>5</x:v>
      </x:c>
      <x:c r="H3117" s="6" t="n">
        <x:v>4</x:v>
      </x:c>
      <x:c r="I3117" s="6" t="n">
        <x:f>G3117-H3117</x:f>
        <x:v>1</x:v>
      </x:c>
      <x:c r="J3117" s="6" t="n">
        <x:f>IF(OR(E3117="CANCELED",E3117="SUSPECTED_FRAUD",F3117="Shipping canceled"),0,1)</x:f>
        <x:v>1</x:v>
      </x:c>
      <x:c r="K3117" s="6" t="n">
        <x:f>IF(G3117&gt;H3117,1,0)</x:f>
        <x:v>1</x:v>
      </x:c>
      <x:c r="L3117" s="6" t="n">
        <x:f>J3117*K3117</x:f>
        <x:v>1</x:v>
      </x:c>
    </x:row>
    <x:row r="3118">
      <x:c r="A3118" s="1" t="n">
        <x:v>23585</x:v>
      </x:c>
      <x:c r="B3118" s="5" t="d">
        <x:v>2015-12-11T00:00:00.000Z</x:v>
      </x:c>
      <x:c r="C3118" s="1" t="str">
        <x:v>Standard Class</x:v>
      </x:c>
      <x:c r="D3118" s="1" t="str">
        <x:v>Pacific Asia</x:v>
      </x:c>
      <x:c r="E3118" s="1" t="str">
        <x:v>PENDING</x:v>
      </x:c>
      <x:c r="F3118" s="1" t="str">
        <x:v>Late delivery</x:v>
      </x:c>
      <x:c r="G3118" s="6" t="n">
        <x:v>6</x:v>
      </x:c>
      <x:c r="H3118" s="6" t="n">
        <x:v>4</x:v>
      </x:c>
      <x:c r="I3118" s="6" t="n">
        <x:f>G3118-H3118</x:f>
        <x:v>2</x:v>
      </x:c>
      <x:c r="J3118" s="6" t="n">
        <x:f>IF(OR(E3118="CANCELED",E3118="SUSPECTED_FRAUD",F3118="Shipping canceled"),0,1)</x:f>
        <x:v>1</x:v>
      </x:c>
      <x:c r="K3118" s="6" t="n">
        <x:f>IF(G3118&gt;H3118,1,0)</x:f>
        <x:v>1</x:v>
      </x:c>
      <x:c r="L3118" s="6" t="n">
        <x:f>J3118*K3118</x:f>
        <x:v>1</x:v>
      </x:c>
    </x:row>
    <x:row r="3119">
      <x:c r="A3119" s="1" t="n">
        <x:v>23592</x:v>
      </x:c>
      <x:c r="B3119" s="5" t="d">
        <x:v>2015-12-11T00:00:00.000Z</x:v>
      </x:c>
      <x:c r="C3119" s="1" t="str">
        <x:v>Standard Class</x:v>
      </x:c>
      <x:c r="D3119" s="1" t="str">
        <x:v>Pacific Asia</x:v>
      </x:c>
      <x:c r="E3119" s="1" t="str">
        <x:v>COMPLETE</x:v>
      </x:c>
      <x:c r="F3119" s="1" t="str">
        <x:v>Advance shipping</x:v>
      </x:c>
      <x:c r="G3119" s="6" t="n">
        <x:v>3</x:v>
      </x:c>
      <x:c r="H3119" s="6" t="n">
        <x:v>4</x:v>
      </x:c>
      <x:c r="I3119" s="6" t="n">
        <x:f>G3119-H3119</x:f>
        <x:v>-1</x:v>
      </x:c>
      <x:c r="J3119" s="6" t="n">
        <x:f>IF(OR(E3119="CANCELED",E3119="SUSPECTED_FRAUD",F3119="Shipping canceled"),0,1)</x:f>
        <x:v>1</x:v>
      </x:c>
      <x:c r="K3119" s="6" t="n">
        <x:f>IF(G3119&gt;H3119,1,0)</x:f>
        <x:v>0</x:v>
      </x:c>
      <x:c r="L3119" s="6" t="n">
        <x:f>J3119*K3119</x:f>
        <x:v>0</x:v>
      </x:c>
    </x:row>
    <x:row r="3120">
      <x:c r="A3120" s="1" t="n">
        <x:v>23600</x:v>
      </x:c>
      <x:c r="B3120" s="5" t="d">
        <x:v>2015-12-11T00:00:00.000Z</x:v>
      </x:c>
      <x:c r="C3120" s="1" t="str">
        <x:v>Standard Class</x:v>
      </x:c>
      <x:c r="D3120" s="1" t="str">
        <x:v>Pacific Asia</x:v>
      </x:c>
      <x:c r="E3120" s="1" t="str">
        <x:v>CLOSED</x:v>
      </x:c>
      <x:c r="F3120" s="1" t="str">
        <x:v>Late delivery</x:v>
      </x:c>
      <x:c r="G3120" s="6" t="n">
        <x:v>6</x:v>
      </x:c>
      <x:c r="H3120" s="6" t="n">
        <x:v>4</x:v>
      </x:c>
      <x:c r="I3120" s="6" t="n">
        <x:f>G3120-H3120</x:f>
        <x:v>2</x:v>
      </x:c>
      <x:c r="J3120" s="6" t="n">
        <x:f>IF(OR(E3120="CANCELED",E3120="SUSPECTED_FRAUD",F3120="Shipping canceled"),0,1)</x:f>
        <x:v>1</x:v>
      </x:c>
      <x:c r="K3120" s="6" t="n">
        <x:f>IF(G3120&gt;H3120,1,0)</x:f>
        <x:v>1</x:v>
      </x:c>
      <x:c r="L3120" s="6" t="n">
        <x:f>J3120*K3120</x:f>
        <x:v>1</x:v>
      </x:c>
    </x:row>
    <x:row r="3121">
      <x:c r="A3121" s="1" t="n">
        <x:v>23610</x:v>
      </x:c>
      <x:c r="B3121" s="5" t="d">
        <x:v>2015-12-11T00:00:00.000Z</x:v>
      </x:c>
      <x:c r="C3121" s="1" t="str">
        <x:v>Standard Class</x:v>
      </x:c>
      <x:c r="D3121" s="1" t="str">
        <x:v>Pacific Asia</x:v>
      </x:c>
      <x:c r="E3121" s="1" t="str">
        <x:v>COMPLETE</x:v>
      </x:c>
      <x:c r="F3121" s="1" t="str">
        <x:v>Late delivery</x:v>
      </x:c>
      <x:c r="G3121" s="6" t="n">
        <x:v>6</x:v>
      </x:c>
      <x:c r="H3121" s="6" t="n">
        <x:v>4</x:v>
      </x:c>
      <x:c r="I3121" s="6" t="n">
        <x:f>G3121-H3121</x:f>
        <x:v>2</x:v>
      </x:c>
      <x:c r="J3121" s="6" t="n">
        <x:f>IF(OR(E3121="CANCELED",E3121="SUSPECTED_FRAUD",F3121="Shipping canceled"),0,1)</x:f>
        <x:v>1</x:v>
      </x:c>
      <x:c r="K3121" s="6" t="n">
        <x:f>IF(G3121&gt;H3121,1,0)</x:f>
        <x:v>1</x:v>
      </x:c>
      <x:c r="L3121" s="6" t="n">
        <x:f>J3121*K3121</x:f>
        <x:v>1</x:v>
      </x:c>
    </x:row>
    <x:row r="3122">
      <x:c r="A3122" s="1" t="n">
        <x:v>23620</x:v>
      </x:c>
      <x:c r="B3122" s="5" t="d">
        <x:v>2015-12-11T00:00:00.000Z</x:v>
      </x:c>
      <x:c r="C3122" s="1" t="str">
        <x:v>First Class</x:v>
      </x:c>
      <x:c r="D3122" s="1" t="str">
        <x:v>Pacific Asia</x:v>
      </x:c>
      <x:c r="E3122" s="1" t="str">
        <x:v>COMPLETE</x:v>
      </x:c>
      <x:c r="F3122" s="1" t="str">
        <x:v>Late delivery</x:v>
      </x:c>
      <x:c r="G3122" s="6" t="n">
        <x:v>2</x:v>
      </x:c>
      <x:c r="H3122" s="6" t="n">
        <x:v>1</x:v>
      </x:c>
      <x:c r="I3122" s="6" t="n">
        <x:f>G3122-H3122</x:f>
        <x:v>1</x:v>
      </x:c>
      <x:c r="J3122" s="6" t="n">
        <x:f>IF(OR(E3122="CANCELED",E3122="SUSPECTED_FRAUD",F3122="Shipping canceled"),0,1)</x:f>
        <x:v>1</x:v>
      </x:c>
      <x:c r="K3122" s="6" t="n">
        <x:f>IF(G3122&gt;H3122,1,0)</x:f>
        <x:v>1</x:v>
      </x:c>
      <x:c r="L3122" s="6" t="n">
        <x:f>J3122*K3122</x:f>
        <x:v>1</x:v>
      </x:c>
    </x:row>
    <x:row r="3123">
      <x:c r="A3123" s="1" t="n">
        <x:v>23623</x:v>
      </x:c>
      <x:c r="B3123" s="5" t="d">
        <x:v>2015-12-11T00:00:00.000Z</x:v>
      </x:c>
      <x:c r="C3123" s="1" t="str">
        <x:v>Second Class</x:v>
      </x:c>
      <x:c r="D3123" s="1" t="str">
        <x:v>Pacific Asia</x:v>
      </x:c>
      <x:c r="E3123" s="1" t="str">
        <x:v>PENDING</x:v>
      </x:c>
      <x:c r="F3123" s="1" t="str">
        <x:v>Late delivery</x:v>
      </x:c>
      <x:c r="G3123" s="6" t="n">
        <x:v>4</x:v>
      </x:c>
      <x:c r="H3123" s="6" t="n">
        <x:v>2</x:v>
      </x:c>
      <x:c r="I3123" s="6" t="n">
        <x:f>G3123-H3123</x:f>
        <x:v>2</x:v>
      </x:c>
      <x:c r="J3123" s="6" t="n">
        <x:f>IF(OR(E3123="CANCELED",E3123="SUSPECTED_FRAUD",F3123="Shipping canceled"),0,1)</x:f>
        <x:v>1</x:v>
      </x:c>
      <x:c r="K3123" s="6" t="n">
        <x:f>IF(G3123&gt;H3123,1,0)</x:f>
        <x:v>1</x:v>
      </x:c>
      <x:c r="L3123" s="6" t="n">
        <x:f>J3123*K3123</x:f>
        <x:v>1</x:v>
      </x:c>
    </x:row>
    <x:row r="3124">
      <x:c r="A3124" s="1" t="n">
        <x:v>23630</x:v>
      </x:c>
      <x:c r="B3124" s="5" t="d">
        <x:v>2015-12-11T00:00:00.000Z</x:v>
      </x:c>
      <x:c r="C3124" s="1" t="str">
        <x:v>Standard Class</x:v>
      </x:c>
      <x:c r="D3124" s="1" t="str">
        <x:v>Pacific Asia</x:v>
      </x:c>
      <x:c r="E3124" s="1" t="str">
        <x:v>COMPLETE</x:v>
      </x:c>
      <x:c r="F3124" s="1" t="str">
        <x:v>Late delivery</x:v>
      </x:c>
      <x:c r="G3124" s="6" t="n">
        <x:v>6</x:v>
      </x:c>
      <x:c r="H3124" s="6" t="n">
        <x:v>4</x:v>
      </x:c>
      <x:c r="I3124" s="6" t="n">
        <x:f>G3124-H3124</x:f>
        <x:v>2</x:v>
      </x:c>
      <x:c r="J3124" s="6" t="n">
        <x:f>IF(OR(E3124="CANCELED",E3124="SUSPECTED_FRAUD",F3124="Shipping canceled"),0,1)</x:f>
        <x:v>1</x:v>
      </x:c>
      <x:c r="K3124" s="6" t="n">
        <x:f>IF(G3124&gt;H3124,1,0)</x:f>
        <x:v>1</x:v>
      </x:c>
      <x:c r="L3124" s="6" t="n">
        <x:f>J3124*K3124</x:f>
        <x:v>1</x:v>
      </x:c>
    </x:row>
    <x:row r="3125">
      <x:c r="A3125" s="1" t="n">
        <x:v>23635</x:v>
      </x:c>
      <x:c r="B3125" s="5" t="d">
        <x:v>2015-12-12T00:00:00.000Z</x:v>
      </x:c>
      <x:c r="C3125" s="1" t="str">
        <x:v>Standard Class</x:v>
      </x:c>
      <x:c r="D3125" s="1" t="str">
        <x:v>Pacific Asia</x:v>
      </x:c>
      <x:c r="E3125" s="1" t="str">
        <x:v>PROCESSING</x:v>
      </x:c>
      <x:c r="F3125" s="1" t="str">
        <x:v>Late delivery</x:v>
      </x:c>
      <x:c r="G3125" s="6" t="n">
        <x:v>6</x:v>
      </x:c>
      <x:c r="H3125" s="6" t="n">
        <x:v>4</x:v>
      </x:c>
      <x:c r="I3125" s="6" t="n">
        <x:f>G3125-H3125</x:f>
        <x:v>2</x:v>
      </x:c>
      <x:c r="J3125" s="6" t="n">
        <x:f>IF(OR(E3125="CANCELED",E3125="SUSPECTED_FRAUD",F3125="Shipping canceled"),0,1)</x:f>
        <x:v>1</x:v>
      </x:c>
      <x:c r="K3125" s="6" t="n">
        <x:f>IF(G3125&gt;H3125,1,0)</x:f>
        <x:v>1</x:v>
      </x:c>
      <x:c r="L3125" s="6" t="n">
        <x:f>J3125*K3125</x:f>
        <x:v>1</x:v>
      </x:c>
    </x:row>
    <x:row r="3126">
      <x:c r="A3126" s="1" t="n">
        <x:v>23684</x:v>
      </x:c>
      <x:c r="B3126" s="5" t="d">
        <x:v>2015-12-12T00:00:00.000Z</x:v>
      </x:c>
      <x:c r="C3126" s="1" t="str">
        <x:v>Second Class</x:v>
      </x:c>
      <x:c r="D3126" s="1" t="str">
        <x:v>Pacific Asia</x:v>
      </x:c>
      <x:c r="E3126" s="1" t="str">
        <x:v>SUSPECTED_FRAUD</x:v>
      </x:c>
      <x:c r="F3126" s="1" t="str">
        <x:v>Shipping canceled</x:v>
      </x:c>
      <x:c r="G3126" s="6" t="n">
        <x:v>5</x:v>
      </x:c>
      <x:c r="H3126" s="6" t="n">
        <x:v>2</x:v>
      </x:c>
      <x:c r="I3126" s="6" t="n">
        <x:f>G3126-H3126</x:f>
        <x:v>3</x:v>
      </x:c>
      <x:c r="J3126" s="6" t="n">
        <x:f>IF(OR(E3126="CANCELED",E3126="SUSPECTED_FRAUD",F3126="Shipping canceled"),0,1)</x:f>
        <x:v>0</x:v>
      </x:c>
      <x:c r="K3126" s="6" t="n">
        <x:f>IF(G3126&gt;H3126,1,0)</x:f>
        <x:v>1</x:v>
      </x:c>
      <x:c r="L3126" s="6" t="n">
        <x:f>J3126*K3126</x:f>
        <x:v>0</x:v>
      </x:c>
    </x:row>
    <x:row r="3127">
      <x:c r="A3127" s="1" t="n">
        <x:v>23688</x:v>
      </x:c>
      <x:c r="B3127" s="5" t="d">
        <x:v>2015-12-12T00:00:00.000Z</x:v>
      </x:c>
      <x:c r="C3127" s="1" t="str">
        <x:v>Standard Class</x:v>
      </x:c>
      <x:c r="D3127" s="1" t="str">
        <x:v>Pacific Asia</x:v>
      </x:c>
      <x:c r="E3127" s="1" t="str">
        <x:v>PROCESSING</x:v>
      </x:c>
      <x:c r="F3127" s="1" t="str">
        <x:v>Shipping on time</x:v>
      </x:c>
      <x:c r="G3127" s="6" t="n">
        <x:v>4</x:v>
      </x:c>
      <x:c r="H3127" s="6" t="n">
        <x:v>4</x:v>
      </x:c>
      <x:c r="I3127" s="6" t="n">
        <x:f>G3127-H3127</x:f>
        <x:v>0</x:v>
      </x:c>
      <x:c r="J3127" s="6" t="n">
        <x:f>IF(OR(E3127="CANCELED",E3127="SUSPECTED_FRAUD",F3127="Shipping canceled"),0,1)</x:f>
        <x:v>1</x:v>
      </x:c>
      <x:c r="K3127" s="6" t="n">
        <x:f>IF(G3127&gt;H3127,1,0)</x:f>
        <x:v>0</x:v>
      </x:c>
      <x:c r="L3127" s="6" t="n">
        <x:f>J3127*K3127</x:f>
        <x:v>0</x:v>
      </x:c>
    </x:row>
    <x:row r="3128">
      <x:c r="A3128" s="1" t="n">
        <x:v>23689</x:v>
      </x:c>
      <x:c r="B3128" s="5" t="d">
        <x:v>2015-12-12T00:00:00.000Z</x:v>
      </x:c>
      <x:c r="C3128" s="1" t="str">
        <x:v>Standard Class</x:v>
      </x:c>
      <x:c r="D3128" s="1" t="str">
        <x:v>Pacific Asia</x:v>
      </x:c>
      <x:c r="E3128" s="1" t="str">
        <x:v>COMPLETE</x:v>
      </x:c>
      <x:c r="F3128" s="1" t="str">
        <x:v>Late delivery</x:v>
      </x:c>
      <x:c r="G3128" s="6" t="n">
        <x:v>5</x:v>
      </x:c>
      <x:c r="H3128" s="6" t="n">
        <x:v>4</x:v>
      </x:c>
      <x:c r="I3128" s="6" t="n">
        <x:f>G3128-H3128</x:f>
        <x:v>1</x:v>
      </x:c>
      <x:c r="J3128" s="6" t="n">
        <x:f>IF(OR(E3128="CANCELED",E3128="SUSPECTED_FRAUD",F3128="Shipping canceled"),0,1)</x:f>
        <x:v>1</x:v>
      </x:c>
      <x:c r="K3128" s="6" t="n">
        <x:f>IF(G3128&gt;H3128,1,0)</x:f>
        <x:v>1</x:v>
      </x:c>
      <x:c r="L3128" s="6" t="n">
        <x:f>J3128*K3128</x:f>
        <x:v>1</x:v>
      </x:c>
    </x:row>
    <x:row r="3129">
      <x:c r="A3129" s="1" t="n">
        <x:v>23701</x:v>
      </x:c>
      <x:c r="B3129" s="5" t="d">
        <x:v>2015-12-12T00:00:00.000Z</x:v>
      </x:c>
      <x:c r="C3129" s="1" t="str">
        <x:v>Standard Class</x:v>
      </x:c>
      <x:c r="D3129" s="1" t="str">
        <x:v>Pacific Asia</x:v>
      </x:c>
      <x:c r="E3129" s="1" t="str">
        <x:v>COMPLETE</x:v>
      </x:c>
      <x:c r="F3129" s="1" t="str">
        <x:v>Advance shipping</x:v>
      </x:c>
      <x:c r="G3129" s="6" t="n">
        <x:v>2</x:v>
      </x:c>
      <x:c r="H3129" s="6" t="n">
        <x:v>4</x:v>
      </x:c>
      <x:c r="I3129" s="6" t="n">
        <x:f>G3129-H3129</x:f>
        <x:v>-2</x:v>
      </x:c>
      <x:c r="J3129" s="6" t="n">
        <x:f>IF(OR(E3129="CANCELED",E3129="SUSPECTED_FRAUD",F3129="Shipping canceled"),0,1)</x:f>
        <x:v>1</x:v>
      </x:c>
      <x:c r="K3129" s="6" t="n">
        <x:f>IF(G3129&gt;H3129,1,0)</x:f>
        <x:v>0</x:v>
      </x:c>
      <x:c r="L3129" s="6" t="n">
        <x:f>J3129*K3129</x:f>
        <x:v>0</x:v>
      </x:c>
    </x:row>
    <x:row r="3130">
      <x:c r="A3130" s="1" t="n">
        <x:v>23702</x:v>
      </x:c>
      <x:c r="B3130" s="5" t="d">
        <x:v>2015-12-12T00:00:00.000Z</x:v>
      </x:c>
      <x:c r="C3130" s="1" t="str">
        <x:v>Standard Class</x:v>
      </x:c>
      <x:c r="D3130" s="1" t="str">
        <x:v>Pacific Asia</x:v>
      </x:c>
      <x:c r="E3130" s="1" t="str">
        <x:v>COMPLETE</x:v>
      </x:c>
      <x:c r="F3130" s="1" t="str">
        <x:v>Advance shipping</x:v>
      </x:c>
      <x:c r="G3130" s="6" t="n">
        <x:v>3</x:v>
      </x:c>
      <x:c r="H3130" s="6" t="n">
        <x:v>4</x:v>
      </x:c>
      <x:c r="I3130" s="6" t="n">
        <x:f>G3130-H3130</x:f>
        <x:v>-1</x:v>
      </x:c>
      <x:c r="J3130" s="6" t="n">
        <x:f>IF(OR(E3130="CANCELED",E3130="SUSPECTED_FRAUD",F3130="Shipping canceled"),0,1)</x:f>
        <x:v>1</x:v>
      </x:c>
      <x:c r="K3130" s="6" t="n">
        <x:f>IF(G3130&gt;H3130,1,0)</x:f>
        <x:v>0</x:v>
      </x:c>
      <x:c r="L3130" s="6" t="n">
        <x:f>J3130*K3130</x:f>
        <x:v>0</x:v>
      </x:c>
    </x:row>
    <x:row r="3131">
      <x:c r="A3131" s="1" t="n">
        <x:v>23706</x:v>
      </x:c>
      <x:c r="B3131" s="5" t="d">
        <x:v>2015-12-13T00:00:00.000Z</x:v>
      </x:c>
      <x:c r="C3131" s="1" t="str">
        <x:v>Standard Class</x:v>
      </x:c>
      <x:c r="D3131" s="1" t="str">
        <x:v>Pacific Asia</x:v>
      </x:c>
      <x:c r="E3131" s="1" t="str">
        <x:v>COMPLETE</x:v>
      </x:c>
      <x:c r="F3131" s="1" t="str">
        <x:v>Advance shipping</x:v>
      </x:c>
      <x:c r="G3131" s="6" t="n">
        <x:v>2</x:v>
      </x:c>
      <x:c r="H3131" s="6" t="n">
        <x:v>4</x:v>
      </x:c>
      <x:c r="I3131" s="6" t="n">
        <x:f>G3131-H3131</x:f>
        <x:v>-2</x:v>
      </x:c>
      <x:c r="J3131" s="6" t="n">
        <x:f>IF(OR(E3131="CANCELED",E3131="SUSPECTED_FRAUD",F3131="Shipping canceled"),0,1)</x:f>
        <x:v>1</x:v>
      </x:c>
      <x:c r="K3131" s="6" t="n">
        <x:f>IF(G3131&gt;H3131,1,0)</x:f>
        <x:v>0</x:v>
      </x:c>
      <x:c r="L3131" s="6" t="n">
        <x:f>J3131*K3131</x:f>
        <x:v>0</x:v>
      </x:c>
    </x:row>
    <x:row r="3132">
      <x:c r="A3132" s="1" t="n">
        <x:v>23712</x:v>
      </x:c>
      <x:c r="B3132" s="5" t="d">
        <x:v>2015-12-13T00:00:00.000Z</x:v>
      </x:c>
      <x:c r="C3132" s="1" t="str">
        <x:v>Standard Class</x:v>
      </x:c>
      <x:c r="D3132" s="1" t="str">
        <x:v>Pacific Asia</x:v>
      </x:c>
      <x:c r="E3132" s="1" t="str">
        <x:v>COMPLETE</x:v>
      </x:c>
      <x:c r="F3132" s="1" t="str">
        <x:v>Advance shipping</x:v>
      </x:c>
      <x:c r="G3132" s="6" t="n">
        <x:v>3</x:v>
      </x:c>
      <x:c r="H3132" s="6" t="n">
        <x:v>4</x:v>
      </x:c>
      <x:c r="I3132" s="6" t="n">
        <x:f>G3132-H3132</x:f>
        <x:v>-1</x:v>
      </x:c>
      <x:c r="J3132" s="6" t="n">
        <x:f>IF(OR(E3132="CANCELED",E3132="SUSPECTED_FRAUD",F3132="Shipping canceled"),0,1)</x:f>
        <x:v>1</x:v>
      </x:c>
      <x:c r="K3132" s="6" t="n">
        <x:f>IF(G3132&gt;H3132,1,0)</x:f>
        <x:v>0</x:v>
      </x:c>
      <x:c r="L3132" s="6" t="n">
        <x:f>J3132*K3132</x:f>
        <x:v>0</x:v>
      </x:c>
    </x:row>
    <x:row r="3133">
      <x:c r="A3133" s="1" t="n">
        <x:v>23716</x:v>
      </x:c>
      <x:c r="B3133" s="5" t="d">
        <x:v>2015-12-13T00:00:00.000Z</x:v>
      </x:c>
      <x:c r="C3133" s="1" t="str">
        <x:v>Second Class</x:v>
      </x:c>
      <x:c r="D3133" s="1" t="str">
        <x:v>Pacific Asia</x:v>
      </x:c>
      <x:c r="E3133" s="1" t="str">
        <x:v>COMPLETE</x:v>
      </x:c>
      <x:c r="F3133" s="1" t="str">
        <x:v>Shipping on time</x:v>
      </x:c>
      <x:c r="G3133" s="6" t="n">
        <x:v>2</x:v>
      </x:c>
      <x:c r="H3133" s="6" t="n">
        <x:v>2</x:v>
      </x:c>
      <x:c r="I3133" s="6" t="n">
        <x:f>G3133-H3133</x:f>
        <x:v>0</x:v>
      </x:c>
      <x:c r="J3133" s="6" t="n">
        <x:f>IF(OR(E3133="CANCELED",E3133="SUSPECTED_FRAUD",F3133="Shipping canceled"),0,1)</x:f>
        <x:v>1</x:v>
      </x:c>
      <x:c r="K3133" s="6" t="n">
        <x:f>IF(G3133&gt;H3133,1,0)</x:f>
        <x:v>0</x:v>
      </x:c>
      <x:c r="L3133" s="6" t="n">
        <x:f>J3133*K3133</x:f>
        <x:v>0</x:v>
      </x:c>
    </x:row>
    <x:row r="3134">
      <x:c r="A3134" s="1" t="n">
        <x:v>23721</x:v>
      </x:c>
      <x:c r="B3134" s="5" t="d">
        <x:v>2015-12-13T00:00:00.000Z</x:v>
      </x:c>
      <x:c r="C3134" s="1" t="str">
        <x:v>Standard Class</x:v>
      </x:c>
      <x:c r="D3134" s="1" t="str">
        <x:v>Pacific Asia</x:v>
      </x:c>
      <x:c r="E3134" s="1" t="str">
        <x:v>PENDING</x:v>
      </x:c>
      <x:c r="F3134" s="1" t="str">
        <x:v>Advance shipping</x:v>
      </x:c>
      <x:c r="G3134" s="6" t="n">
        <x:v>2</x:v>
      </x:c>
      <x:c r="H3134" s="6" t="n">
        <x:v>4</x:v>
      </x:c>
      <x:c r="I3134" s="6" t="n">
        <x:f>G3134-H3134</x:f>
        <x:v>-2</x:v>
      </x:c>
      <x:c r="J3134" s="6" t="n">
        <x:f>IF(OR(E3134="CANCELED",E3134="SUSPECTED_FRAUD",F3134="Shipping canceled"),0,1)</x:f>
        <x:v>1</x:v>
      </x:c>
      <x:c r="K3134" s="6" t="n">
        <x:f>IF(G3134&gt;H3134,1,0)</x:f>
        <x:v>0</x:v>
      </x:c>
      <x:c r="L3134" s="6" t="n">
        <x:f>J3134*K3134</x:f>
        <x:v>0</x:v>
      </x:c>
    </x:row>
    <x:row r="3135">
      <x:c r="A3135" s="1" t="n">
        <x:v>23724</x:v>
      </x:c>
      <x:c r="B3135" s="5" t="d">
        <x:v>2015-12-13T00:00:00.000Z</x:v>
      </x:c>
      <x:c r="C3135" s="1" t="str">
        <x:v>Standard Class</x:v>
      </x:c>
      <x:c r="D3135" s="1" t="str">
        <x:v>Pacific Asia</x:v>
      </x:c>
      <x:c r="E3135" s="1" t="str">
        <x:v>COMPLETE</x:v>
      </x:c>
      <x:c r="F3135" s="1" t="str">
        <x:v>Late delivery</x:v>
      </x:c>
      <x:c r="G3135" s="6" t="n">
        <x:v>5</x:v>
      </x:c>
      <x:c r="H3135" s="6" t="n">
        <x:v>4</x:v>
      </x:c>
      <x:c r="I3135" s="6" t="n">
        <x:f>G3135-H3135</x:f>
        <x:v>1</x:v>
      </x:c>
      <x:c r="J3135" s="6" t="n">
        <x:f>IF(OR(E3135="CANCELED",E3135="SUSPECTED_FRAUD",F3135="Shipping canceled"),0,1)</x:f>
        <x:v>1</x:v>
      </x:c>
      <x:c r="K3135" s="6" t="n">
        <x:f>IF(G3135&gt;H3135,1,0)</x:f>
        <x:v>1</x:v>
      </x:c>
      <x:c r="L3135" s="6" t="n">
        <x:f>J3135*K3135</x:f>
        <x:v>1</x:v>
      </x:c>
    </x:row>
    <x:row r="3136">
      <x:c r="A3136" s="1" t="n">
        <x:v>23734</x:v>
      </x:c>
      <x:c r="B3136" s="5" t="d">
        <x:v>2015-12-13T00:00:00.000Z</x:v>
      </x:c>
      <x:c r="C3136" s="1" t="str">
        <x:v>Standard Class</x:v>
      </x:c>
      <x:c r="D3136" s="1" t="str">
        <x:v>Pacific Asia</x:v>
      </x:c>
      <x:c r="E3136" s="1" t="str">
        <x:v>PROCESSING</x:v>
      </x:c>
      <x:c r="F3136" s="1" t="str">
        <x:v>Late delivery</x:v>
      </x:c>
      <x:c r="G3136" s="6" t="n">
        <x:v>5</x:v>
      </x:c>
      <x:c r="H3136" s="6" t="n">
        <x:v>4</x:v>
      </x:c>
      <x:c r="I3136" s="6" t="n">
        <x:f>G3136-H3136</x:f>
        <x:v>1</x:v>
      </x:c>
      <x:c r="J3136" s="6" t="n">
        <x:f>IF(OR(E3136="CANCELED",E3136="SUSPECTED_FRAUD",F3136="Shipping canceled"),0,1)</x:f>
        <x:v>1</x:v>
      </x:c>
      <x:c r="K3136" s="6" t="n">
        <x:f>IF(G3136&gt;H3136,1,0)</x:f>
        <x:v>1</x:v>
      </x:c>
      <x:c r="L3136" s="6" t="n">
        <x:f>J3136*K3136</x:f>
        <x:v>1</x:v>
      </x:c>
    </x:row>
    <x:row r="3137">
      <x:c r="A3137" s="1" t="n">
        <x:v>23740</x:v>
      </x:c>
      <x:c r="B3137" s="5" t="d">
        <x:v>2015-12-13T00:00:00.000Z</x:v>
      </x:c>
      <x:c r="C3137" s="1" t="str">
        <x:v>Same Day</x:v>
      </x:c>
      <x:c r="D3137" s="1" t="str">
        <x:v>Pacific Asia</x:v>
      </x:c>
      <x:c r="E3137" s="1" t="str">
        <x:v>CLOSED</x:v>
      </x:c>
      <x:c r="F3137" s="1" t="str">
        <x:v>Late delivery</x:v>
      </x:c>
      <x:c r="G3137" s="6" t="n">
        <x:v>1</x:v>
      </x:c>
      <x:c r="H3137" s="6" t="n">
        <x:v>0</x:v>
      </x:c>
      <x:c r="I3137" s="6" t="n">
        <x:f>G3137-H3137</x:f>
        <x:v>1</x:v>
      </x:c>
      <x:c r="J3137" s="6" t="n">
        <x:f>IF(OR(E3137="CANCELED",E3137="SUSPECTED_FRAUD",F3137="Shipping canceled"),0,1)</x:f>
        <x:v>1</x:v>
      </x:c>
      <x:c r="K3137" s="6" t="n">
        <x:f>IF(G3137&gt;H3137,1,0)</x:f>
        <x:v>1</x:v>
      </x:c>
      <x:c r="L3137" s="6" t="n">
        <x:f>J3137*K3137</x:f>
        <x:v>1</x:v>
      </x:c>
    </x:row>
    <x:row r="3138">
      <x:c r="A3138" s="1" t="n">
        <x:v>23747</x:v>
      </x:c>
      <x:c r="B3138" s="5" t="d">
        <x:v>2015-12-13T00:00:00.000Z</x:v>
      </x:c>
      <x:c r="C3138" s="1" t="str">
        <x:v>Standard Class</x:v>
      </x:c>
      <x:c r="D3138" s="1" t="str">
        <x:v>Pacific Asia</x:v>
      </x:c>
      <x:c r="E3138" s="1" t="str">
        <x:v>COMPLETE</x:v>
      </x:c>
      <x:c r="F3138" s="1" t="str">
        <x:v>Advance shipping</x:v>
      </x:c>
      <x:c r="G3138" s="6" t="n">
        <x:v>3</x:v>
      </x:c>
      <x:c r="H3138" s="6" t="n">
        <x:v>4</x:v>
      </x:c>
      <x:c r="I3138" s="6" t="n">
        <x:f>G3138-H3138</x:f>
        <x:v>-1</x:v>
      </x:c>
      <x:c r="J3138" s="6" t="n">
        <x:f>IF(OR(E3138="CANCELED",E3138="SUSPECTED_FRAUD",F3138="Shipping canceled"),0,1)</x:f>
        <x:v>1</x:v>
      </x:c>
      <x:c r="K3138" s="6" t="n">
        <x:f>IF(G3138&gt;H3138,1,0)</x:f>
        <x:v>0</x:v>
      </x:c>
      <x:c r="L3138" s="6" t="n">
        <x:f>J3138*K3138</x:f>
        <x:v>0</x:v>
      </x:c>
    </x:row>
    <x:row r="3139">
      <x:c r="A3139" s="1" t="n">
        <x:v>23751</x:v>
      </x:c>
      <x:c r="B3139" s="5" t="d">
        <x:v>2015-12-13T00:00:00.000Z</x:v>
      </x:c>
      <x:c r="C3139" s="1" t="str">
        <x:v>Standard Class</x:v>
      </x:c>
      <x:c r="D3139" s="1" t="str">
        <x:v>Pacific Asia</x:v>
      </x:c>
      <x:c r="E3139" s="1" t="str">
        <x:v>PENDING</x:v>
      </x:c>
      <x:c r="F3139" s="1" t="str">
        <x:v>Advance shipping</x:v>
      </x:c>
      <x:c r="G3139" s="6" t="n">
        <x:v>2</x:v>
      </x:c>
      <x:c r="H3139" s="6" t="n">
        <x:v>4</x:v>
      </x:c>
      <x:c r="I3139" s="6" t="n">
        <x:f>G3139-H3139</x:f>
        <x:v>-2</x:v>
      </x:c>
      <x:c r="J3139" s="6" t="n">
        <x:f>IF(OR(E3139="CANCELED",E3139="SUSPECTED_FRAUD",F3139="Shipping canceled"),0,1)</x:f>
        <x:v>1</x:v>
      </x:c>
      <x:c r="K3139" s="6" t="n">
        <x:f>IF(G3139&gt;H3139,1,0)</x:f>
        <x:v>0</x:v>
      </x:c>
      <x:c r="L3139" s="6" t="n">
        <x:f>J3139*K3139</x:f>
        <x:v>0</x:v>
      </x:c>
    </x:row>
    <x:row r="3140">
      <x:c r="A3140" s="1" t="n">
        <x:v>23757</x:v>
      </x:c>
      <x:c r="B3140" s="5" t="d">
        <x:v>2015-12-13T00:00:00.000Z</x:v>
      </x:c>
      <x:c r="C3140" s="1" t="str">
        <x:v>Standard Class</x:v>
      </x:c>
      <x:c r="D3140" s="1" t="str">
        <x:v>Pacific Asia</x:v>
      </x:c>
      <x:c r="E3140" s="1" t="str">
        <x:v>PROCESSING</x:v>
      </x:c>
      <x:c r="F3140" s="1" t="str">
        <x:v>Advance shipping</x:v>
      </x:c>
      <x:c r="G3140" s="6" t="n">
        <x:v>3</x:v>
      </x:c>
      <x:c r="H3140" s="6" t="n">
        <x:v>4</x:v>
      </x:c>
      <x:c r="I3140" s="6" t="n">
        <x:f>G3140-H3140</x:f>
        <x:v>-1</x:v>
      </x:c>
      <x:c r="J3140" s="6" t="n">
        <x:f>IF(OR(E3140="CANCELED",E3140="SUSPECTED_FRAUD",F3140="Shipping canceled"),0,1)</x:f>
        <x:v>1</x:v>
      </x:c>
      <x:c r="K3140" s="6" t="n">
        <x:f>IF(G3140&gt;H3140,1,0)</x:f>
        <x:v>0</x:v>
      </x:c>
      <x:c r="L3140" s="6" t="n">
        <x:f>J3140*K3140</x:f>
        <x:v>0</x:v>
      </x:c>
    </x:row>
    <x:row r="3141">
      <x:c r="A3141" s="1" t="n">
        <x:v>23763</x:v>
      </x:c>
      <x:c r="B3141" s="5" t="d">
        <x:v>2015-12-13T00:00:00.000Z</x:v>
      </x:c>
      <x:c r="C3141" s="1" t="str">
        <x:v>Second Class</x:v>
      </x:c>
      <x:c r="D3141" s="1" t="str">
        <x:v>Pacific Asia</x:v>
      </x:c>
      <x:c r="E3141" s="1" t="str">
        <x:v>COMPLETE</x:v>
      </x:c>
      <x:c r="F3141" s="1" t="str">
        <x:v>Late delivery</x:v>
      </x:c>
      <x:c r="G3141" s="6" t="n">
        <x:v>4</x:v>
      </x:c>
      <x:c r="H3141" s="6" t="n">
        <x:v>2</x:v>
      </x:c>
      <x:c r="I3141" s="6" t="n">
        <x:f>G3141-H3141</x:f>
        <x:v>2</x:v>
      </x:c>
      <x:c r="J3141" s="6" t="n">
        <x:f>IF(OR(E3141="CANCELED",E3141="SUSPECTED_FRAUD",F3141="Shipping canceled"),0,1)</x:f>
        <x:v>1</x:v>
      </x:c>
      <x:c r="K3141" s="6" t="n">
        <x:f>IF(G3141&gt;H3141,1,0)</x:f>
        <x:v>1</x:v>
      </x:c>
      <x:c r="L3141" s="6" t="n">
        <x:f>J3141*K3141</x:f>
        <x:v>1</x:v>
      </x:c>
    </x:row>
    <x:row r="3142">
      <x:c r="A3142" s="1" t="n">
        <x:v>23764</x:v>
      </x:c>
      <x:c r="B3142" s="5" t="d">
        <x:v>2015-12-13T00:00:00.000Z</x:v>
      </x:c>
      <x:c r="C3142" s="1" t="str">
        <x:v>Second Class</x:v>
      </x:c>
      <x:c r="D3142" s="1" t="str">
        <x:v>Pacific Asia</x:v>
      </x:c>
      <x:c r="E3142" s="1" t="str">
        <x:v>COMPLETE</x:v>
      </x:c>
      <x:c r="F3142" s="1" t="str">
        <x:v>Late delivery</x:v>
      </x:c>
      <x:c r="G3142" s="6" t="n">
        <x:v>5</x:v>
      </x:c>
      <x:c r="H3142" s="6" t="n">
        <x:v>2</x:v>
      </x:c>
      <x:c r="I3142" s="6" t="n">
        <x:f>G3142-H3142</x:f>
        <x:v>3</x:v>
      </x:c>
      <x:c r="J3142" s="6" t="n">
        <x:f>IF(OR(E3142="CANCELED",E3142="SUSPECTED_FRAUD",F3142="Shipping canceled"),0,1)</x:f>
        <x:v>1</x:v>
      </x:c>
      <x:c r="K3142" s="6" t="n">
        <x:f>IF(G3142&gt;H3142,1,0)</x:f>
        <x:v>1</x:v>
      </x:c>
      <x:c r="L3142" s="6" t="n">
        <x:f>J3142*K3142</x:f>
        <x:v>1</x:v>
      </x:c>
    </x:row>
    <x:row r="3143">
      <x:c r="A3143" s="1" t="n">
        <x:v>23767</x:v>
      </x:c>
      <x:c r="B3143" s="5" t="d">
        <x:v>2015-12-13T00:00:00.000Z</x:v>
      </x:c>
      <x:c r="C3143" s="1" t="str">
        <x:v>Standard Class</x:v>
      </x:c>
      <x:c r="D3143" s="1" t="str">
        <x:v>Pacific Asia</x:v>
      </x:c>
      <x:c r="E3143" s="1" t="str">
        <x:v>COMPLETE</x:v>
      </x:c>
      <x:c r="F3143" s="1" t="str">
        <x:v>Advance shipping</x:v>
      </x:c>
      <x:c r="G3143" s="6" t="n">
        <x:v>3</x:v>
      </x:c>
      <x:c r="H3143" s="6" t="n">
        <x:v>4</x:v>
      </x:c>
      <x:c r="I3143" s="6" t="n">
        <x:f>G3143-H3143</x:f>
        <x:v>-1</x:v>
      </x:c>
      <x:c r="J3143" s="6" t="n">
        <x:f>IF(OR(E3143="CANCELED",E3143="SUSPECTED_FRAUD",F3143="Shipping canceled"),0,1)</x:f>
        <x:v>1</x:v>
      </x:c>
      <x:c r="K3143" s="6" t="n">
        <x:f>IF(G3143&gt;H3143,1,0)</x:f>
        <x:v>0</x:v>
      </x:c>
      <x:c r="L3143" s="6" t="n">
        <x:f>J3143*K3143</x:f>
        <x:v>0</x:v>
      </x:c>
    </x:row>
    <x:row r="3144">
      <x:c r="A3144" s="1" t="n">
        <x:v>23775</x:v>
      </x:c>
      <x:c r="B3144" s="5" t="d">
        <x:v>2015-12-14T00:00:00.000Z</x:v>
      </x:c>
      <x:c r="C3144" s="1" t="str">
        <x:v>Same Day</x:v>
      </x:c>
      <x:c r="D3144" s="1" t="str">
        <x:v>Pacific Asia</x:v>
      </x:c>
      <x:c r="E3144" s="1" t="str">
        <x:v>PROCESSING</x:v>
      </x:c>
      <x:c r="F3144" s="1" t="str">
        <x:v>Shipping on time</x:v>
      </x:c>
      <x:c r="G3144" s="6" t="n">
        <x:v>0</x:v>
      </x:c>
      <x:c r="H3144" s="6" t="n">
        <x:v>0</x:v>
      </x:c>
      <x:c r="I3144" s="6" t="n">
        <x:f>G3144-H3144</x:f>
        <x:v>0</x:v>
      </x:c>
      <x:c r="J3144" s="6" t="n">
        <x:f>IF(OR(E3144="CANCELED",E3144="SUSPECTED_FRAUD",F3144="Shipping canceled"),0,1)</x:f>
        <x:v>1</x:v>
      </x:c>
      <x:c r="K3144" s="6" t="n">
        <x:f>IF(G3144&gt;H3144,1,0)</x:f>
        <x:v>0</x:v>
      </x:c>
      <x:c r="L3144" s="6" t="n">
        <x:f>J3144*K3144</x:f>
        <x:v>0</x:v>
      </x:c>
    </x:row>
    <x:row r="3145">
      <x:c r="A3145" s="1" t="n">
        <x:v>23789</x:v>
      </x:c>
      <x:c r="B3145" s="5" t="d">
        <x:v>2015-12-14T00:00:00.000Z</x:v>
      </x:c>
      <x:c r="C3145" s="1" t="str">
        <x:v>Standard Class</x:v>
      </x:c>
      <x:c r="D3145" s="1" t="str">
        <x:v>Pacific Asia</x:v>
      </x:c>
      <x:c r="E3145" s="1" t="str">
        <x:v>ON_HOLD</x:v>
      </x:c>
      <x:c r="F3145" s="1" t="str">
        <x:v>Late delivery</x:v>
      </x:c>
      <x:c r="G3145" s="6" t="n">
        <x:v>5</x:v>
      </x:c>
      <x:c r="H3145" s="6" t="n">
        <x:v>4</x:v>
      </x:c>
      <x:c r="I3145" s="6" t="n">
        <x:f>G3145-H3145</x:f>
        <x:v>1</x:v>
      </x:c>
      <x:c r="J3145" s="6" t="n">
        <x:f>IF(OR(E3145="CANCELED",E3145="SUSPECTED_FRAUD",F3145="Shipping canceled"),0,1)</x:f>
        <x:v>1</x:v>
      </x:c>
      <x:c r="K3145" s="6" t="n">
        <x:f>IF(G3145&gt;H3145,1,0)</x:f>
        <x:v>1</x:v>
      </x:c>
      <x:c r="L3145" s="6" t="n">
        <x:f>J3145*K3145</x:f>
        <x:v>1</x:v>
      </x:c>
    </x:row>
    <x:row r="3146">
      <x:c r="A3146" s="1" t="n">
        <x:v>23796</x:v>
      </x:c>
      <x:c r="B3146" s="5" t="d">
        <x:v>2015-12-14T00:00:00.000Z</x:v>
      </x:c>
      <x:c r="C3146" s="1" t="str">
        <x:v>Second Class</x:v>
      </x:c>
      <x:c r="D3146" s="1" t="str">
        <x:v>Pacific Asia</x:v>
      </x:c>
      <x:c r="E3146" s="1" t="str">
        <x:v>CLOSED</x:v>
      </x:c>
      <x:c r="F3146" s="1" t="str">
        <x:v>Shipping on time</x:v>
      </x:c>
      <x:c r="G3146" s="6" t="n">
        <x:v>2</x:v>
      </x:c>
      <x:c r="H3146" s="6" t="n">
        <x:v>2</x:v>
      </x:c>
      <x:c r="I3146" s="6" t="n">
        <x:f>G3146-H3146</x:f>
        <x:v>0</x:v>
      </x:c>
      <x:c r="J3146" s="6" t="n">
        <x:f>IF(OR(E3146="CANCELED",E3146="SUSPECTED_FRAUD",F3146="Shipping canceled"),0,1)</x:f>
        <x:v>1</x:v>
      </x:c>
      <x:c r="K3146" s="6" t="n">
        <x:f>IF(G3146&gt;H3146,1,0)</x:f>
        <x:v>0</x:v>
      </x:c>
      <x:c r="L3146" s="6" t="n">
        <x:f>J3146*K3146</x:f>
        <x:v>0</x:v>
      </x:c>
    </x:row>
    <x:row r="3147">
      <x:c r="A3147" s="1" t="n">
        <x:v>23799</x:v>
      </x:c>
      <x:c r="B3147" s="5" t="d">
        <x:v>2015-12-14T00:00:00.000Z</x:v>
      </x:c>
      <x:c r="C3147" s="1" t="str">
        <x:v>Standard Class</x:v>
      </x:c>
      <x:c r="D3147" s="1" t="str">
        <x:v>Pacific Asia</x:v>
      </x:c>
      <x:c r="E3147" s="1" t="str">
        <x:v>PROCESSING</x:v>
      </x:c>
      <x:c r="F3147" s="1" t="str">
        <x:v>Late delivery</x:v>
      </x:c>
      <x:c r="G3147" s="6" t="n">
        <x:v>5</x:v>
      </x:c>
      <x:c r="H3147" s="6" t="n">
        <x:v>4</x:v>
      </x:c>
      <x:c r="I3147" s="6" t="n">
        <x:f>G3147-H3147</x:f>
        <x:v>1</x:v>
      </x:c>
      <x:c r="J3147" s="6" t="n">
        <x:f>IF(OR(E3147="CANCELED",E3147="SUSPECTED_FRAUD",F3147="Shipping canceled"),0,1)</x:f>
        <x:v>1</x:v>
      </x:c>
      <x:c r="K3147" s="6" t="n">
        <x:f>IF(G3147&gt;H3147,1,0)</x:f>
        <x:v>1</x:v>
      </x:c>
      <x:c r="L3147" s="6" t="n">
        <x:f>J3147*K3147</x:f>
        <x:v>1</x:v>
      </x:c>
    </x:row>
    <x:row r="3148">
      <x:c r="A3148" s="1" t="n">
        <x:v>23807</x:v>
      </x:c>
      <x:c r="B3148" s="5" t="d">
        <x:v>2015-12-14T00:00:00.000Z</x:v>
      </x:c>
      <x:c r="C3148" s="1" t="str">
        <x:v>Standard Class</x:v>
      </x:c>
      <x:c r="D3148" s="1" t="str">
        <x:v>Pacific Asia</x:v>
      </x:c>
      <x:c r="E3148" s="1" t="str">
        <x:v>COMPLETE</x:v>
      </x:c>
      <x:c r="F3148" s="1" t="str">
        <x:v>Advance shipping</x:v>
      </x:c>
      <x:c r="G3148" s="6" t="n">
        <x:v>3</x:v>
      </x:c>
      <x:c r="H3148" s="6" t="n">
        <x:v>4</x:v>
      </x:c>
      <x:c r="I3148" s="6" t="n">
        <x:f>G3148-H3148</x:f>
        <x:v>-1</x:v>
      </x:c>
      <x:c r="J3148" s="6" t="n">
        <x:f>IF(OR(E3148="CANCELED",E3148="SUSPECTED_FRAUD",F3148="Shipping canceled"),0,1)</x:f>
        <x:v>1</x:v>
      </x:c>
      <x:c r="K3148" s="6" t="n">
        <x:f>IF(G3148&gt;H3148,1,0)</x:f>
        <x:v>0</x:v>
      </x:c>
      <x:c r="L3148" s="6" t="n">
        <x:f>J3148*K3148</x:f>
        <x:v>0</x:v>
      </x:c>
    </x:row>
    <x:row r="3149">
      <x:c r="A3149" s="1" t="n">
        <x:v>23813</x:v>
      </x:c>
      <x:c r="B3149" s="5" t="d">
        <x:v>2015-12-14T00:00:00.000Z</x:v>
      </x:c>
      <x:c r="C3149" s="1" t="str">
        <x:v>Second Class</x:v>
      </x:c>
      <x:c r="D3149" s="1" t="str">
        <x:v>Pacific Asia</x:v>
      </x:c>
      <x:c r="E3149" s="1" t="str">
        <x:v>COMPLETE</x:v>
      </x:c>
      <x:c r="F3149" s="1" t="str">
        <x:v>Late delivery</x:v>
      </x:c>
      <x:c r="G3149" s="6" t="n">
        <x:v>4</x:v>
      </x:c>
      <x:c r="H3149" s="6" t="n">
        <x:v>2</x:v>
      </x:c>
      <x:c r="I3149" s="6" t="n">
        <x:f>G3149-H3149</x:f>
        <x:v>2</x:v>
      </x:c>
      <x:c r="J3149" s="6" t="n">
        <x:f>IF(OR(E3149="CANCELED",E3149="SUSPECTED_FRAUD",F3149="Shipping canceled"),0,1)</x:f>
        <x:v>1</x:v>
      </x:c>
      <x:c r="K3149" s="6" t="n">
        <x:f>IF(G3149&gt;H3149,1,0)</x:f>
        <x:v>1</x:v>
      </x:c>
      <x:c r="L3149" s="6" t="n">
        <x:f>J3149*K3149</x:f>
        <x:v>1</x:v>
      </x:c>
    </x:row>
    <x:row r="3150">
      <x:c r="A3150" s="1" t="n">
        <x:v>23818</x:v>
      </x:c>
      <x:c r="B3150" s="5" t="d">
        <x:v>2015-12-14T00:00:00.000Z</x:v>
      </x:c>
      <x:c r="C3150" s="1" t="str">
        <x:v>Standard Class</x:v>
      </x:c>
      <x:c r="D3150" s="1" t="str">
        <x:v>Pacific Asia</x:v>
      </x:c>
      <x:c r="E3150" s="1" t="str">
        <x:v>ON_HOLD</x:v>
      </x:c>
      <x:c r="F3150" s="1" t="str">
        <x:v>Shipping on time</x:v>
      </x:c>
      <x:c r="G3150" s="6" t="n">
        <x:v>4</x:v>
      </x:c>
      <x:c r="H3150" s="6" t="n">
        <x:v>4</x:v>
      </x:c>
      <x:c r="I3150" s="6" t="n">
        <x:f>G3150-H3150</x:f>
        <x:v>0</x:v>
      </x:c>
      <x:c r="J3150" s="6" t="n">
        <x:f>IF(OR(E3150="CANCELED",E3150="SUSPECTED_FRAUD",F3150="Shipping canceled"),0,1)</x:f>
        <x:v>1</x:v>
      </x:c>
      <x:c r="K3150" s="6" t="n">
        <x:f>IF(G3150&gt;H3150,1,0)</x:f>
        <x:v>0</x:v>
      </x:c>
      <x:c r="L3150" s="6" t="n">
        <x:f>J3150*K3150</x:f>
        <x:v>0</x:v>
      </x:c>
    </x:row>
    <x:row r="3151">
      <x:c r="A3151" s="1" t="n">
        <x:v>23825</x:v>
      </x:c>
      <x:c r="B3151" s="5" t="d">
        <x:v>2015-12-14T00:00:00.000Z</x:v>
      </x:c>
      <x:c r="C3151" s="1" t="str">
        <x:v>Standard Class</x:v>
      </x:c>
      <x:c r="D3151" s="1" t="str">
        <x:v>Pacific Asia</x:v>
      </x:c>
      <x:c r="E3151" s="1" t="str">
        <x:v>PENDING_PAYMENT</x:v>
      </x:c>
      <x:c r="F3151" s="1" t="str">
        <x:v>Late delivery</x:v>
      </x:c>
      <x:c r="G3151" s="6" t="n">
        <x:v>6</x:v>
      </x:c>
      <x:c r="H3151" s="6" t="n">
        <x:v>4</x:v>
      </x:c>
      <x:c r="I3151" s="6" t="n">
        <x:f>G3151-H3151</x:f>
        <x:v>2</x:v>
      </x:c>
      <x:c r="J3151" s="6" t="n">
        <x:f>IF(OR(E3151="CANCELED",E3151="SUSPECTED_FRAUD",F3151="Shipping canceled"),0,1)</x:f>
        <x:v>1</x:v>
      </x:c>
      <x:c r="K3151" s="6" t="n">
        <x:f>IF(G3151&gt;H3151,1,0)</x:f>
        <x:v>1</x:v>
      </x:c>
      <x:c r="L3151" s="6" t="n">
        <x:f>J3151*K3151</x:f>
        <x:v>1</x:v>
      </x:c>
    </x:row>
    <x:row r="3152">
      <x:c r="A3152" s="1" t="n">
        <x:v>23847</x:v>
      </x:c>
      <x:c r="B3152" s="5" t="d">
        <x:v>2015-12-15T00:00:00.000Z</x:v>
      </x:c>
      <x:c r="C3152" s="1" t="str">
        <x:v>Standard Class</x:v>
      </x:c>
      <x:c r="D3152" s="1" t="str">
        <x:v>Pacific Asia</x:v>
      </x:c>
      <x:c r="E3152" s="1" t="str">
        <x:v>PENDING_PAYMENT</x:v>
      </x:c>
      <x:c r="F3152" s="1" t="str">
        <x:v>Advance shipping</x:v>
      </x:c>
      <x:c r="G3152" s="6" t="n">
        <x:v>3</x:v>
      </x:c>
      <x:c r="H3152" s="6" t="n">
        <x:v>4</x:v>
      </x:c>
      <x:c r="I3152" s="6" t="n">
        <x:f>G3152-H3152</x:f>
        <x:v>-1</x:v>
      </x:c>
      <x:c r="J3152" s="6" t="n">
        <x:f>IF(OR(E3152="CANCELED",E3152="SUSPECTED_FRAUD",F3152="Shipping canceled"),0,1)</x:f>
        <x:v>1</x:v>
      </x:c>
      <x:c r="K3152" s="6" t="n">
        <x:f>IF(G3152&gt;H3152,1,0)</x:f>
        <x:v>0</x:v>
      </x:c>
      <x:c r="L3152" s="6" t="n">
        <x:f>J3152*K3152</x:f>
        <x:v>0</x:v>
      </x:c>
    </x:row>
    <x:row r="3153">
      <x:c r="A3153" s="1" t="n">
        <x:v>23853</x:v>
      </x:c>
      <x:c r="B3153" s="5" t="d">
        <x:v>2015-12-15T00:00:00.000Z</x:v>
      </x:c>
      <x:c r="C3153" s="1" t="str">
        <x:v>First Class</x:v>
      </x:c>
      <x:c r="D3153" s="1" t="str">
        <x:v>Pacific Asia</x:v>
      </x:c>
      <x:c r="E3153" s="1" t="str">
        <x:v>CLOSED</x:v>
      </x:c>
      <x:c r="F3153" s="1" t="str">
        <x:v>Late delivery</x:v>
      </x:c>
      <x:c r="G3153" s="6" t="n">
        <x:v>2</x:v>
      </x:c>
      <x:c r="H3153" s="6" t="n">
        <x:v>1</x:v>
      </x:c>
      <x:c r="I3153" s="6" t="n">
        <x:f>G3153-H3153</x:f>
        <x:v>1</x:v>
      </x:c>
      <x:c r="J3153" s="6" t="n">
        <x:f>IF(OR(E3153="CANCELED",E3153="SUSPECTED_FRAUD",F3153="Shipping canceled"),0,1)</x:f>
        <x:v>1</x:v>
      </x:c>
      <x:c r="K3153" s="6" t="n">
        <x:f>IF(G3153&gt;H3153,1,0)</x:f>
        <x:v>1</x:v>
      </x:c>
      <x:c r="L3153" s="6" t="n">
        <x:f>J3153*K3153</x:f>
        <x:v>1</x:v>
      </x:c>
    </x:row>
    <x:row r="3154">
      <x:c r="A3154" s="1" t="n">
        <x:v>23863</x:v>
      </x:c>
      <x:c r="B3154" s="5" t="d">
        <x:v>2015-12-15T00:00:00.000Z</x:v>
      </x:c>
      <x:c r="C3154" s="1" t="str">
        <x:v>Second Class</x:v>
      </x:c>
      <x:c r="D3154" s="1" t="str">
        <x:v>Pacific Asia</x:v>
      </x:c>
      <x:c r="E3154" s="1" t="str">
        <x:v>CLOSED</x:v>
      </x:c>
      <x:c r="F3154" s="1" t="str">
        <x:v>Late delivery</x:v>
      </x:c>
      <x:c r="G3154" s="6" t="n">
        <x:v>4</x:v>
      </x:c>
      <x:c r="H3154" s="6" t="n">
        <x:v>2</x:v>
      </x:c>
      <x:c r="I3154" s="6" t="n">
        <x:f>G3154-H3154</x:f>
        <x:v>2</x:v>
      </x:c>
      <x:c r="J3154" s="6" t="n">
        <x:f>IF(OR(E3154="CANCELED",E3154="SUSPECTED_FRAUD",F3154="Shipping canceled"),0,1)</x:f>
        <x:v>1</x:v>
      </x:c>
      <x:c r="K3154" s="6" t="n">
        <x:f>IF(G3154&gt;H3154,1,0)</x:f>
        <x:v>1</x:v>
      </x:c>
      <x:c r="L3154" s="6" t="n">
        <x:f>J3154*K3154</x:f>
        <x:v>1</x:v>
      </x:c>
    </x:row>
    <x:row r="3155">
      <x:c r="A3155" s="1" t="n">
        <x:v>23874</x:v>
      </x:c>
      <x:c r="B3155" s="5" t="d">
        <x:v>2015-12-15T00:00:00.000Z</x:v>
      </x:c>
      <x:c r="C3155" s="1" t="str">
        <x:v>Second Class</x:v>
      </x:c>
      <x:c r="D3155" s="1" t="str">
        <x:v>Pacific Asia</x:v>
      </x:c>
      <x:c r="E3155" s="1" t="str">
        <x:v>PENDING</x:v>
      </x:c>
      <x:c r="F3155" s="1" t="str">
        <x:v>Late delivery</x:v>
      </x:c>
      <x:c r="G3155" s="6" t="n">
        <x:v>5</x:v>
      </x:c>
      <x:c r="H3155" s="6" t="n">
        <x:v>2</x:v>
      </x:c>
      <x:c r="I3155" s="6" t="n">
        <x:f>G3155-H3155</x:f>
        <x:v>3</x:v>
      </x:c>
      <x:c r="J3155" s="6" t="n">
        <x:f>IF(OR(E3155="CANCELED",E3155="SUSPECTED_FRAUD",F3155="Shipping canceled"),0,1)</x:f>
        <x:v>1</x:v>
      </x:c>
      <x:c r="K3155" s="6" t="n">
        <x:f>IF(G3155&gt;H3155,1,0)</x:f>
        <x:v>1</x:v>
      </x:c>
      <x:c r="L3155" s="6" t="n">
        <x:f>J3155*K3155</x:f>
        <x:v>1</x:v>
      </x:c>
    </x:row>
    <x:row r="3156">
      <x:c r="A3156" s="1" t="n">
        <x:v>23878</x:v>
      </x:c>
      <x:c r="B3156" s="5" t="d">
        <x:v>2015-12-15T00:00:00.000Z</x:v>
      </x:c>
      <x:c r="C3156" s="1" t="str">
        <x:v>Standard Class</x:v>
      </x:c>
      <x:c r="D3156" s="1" t="str">
        <x:v>Pacific Asia</x:v>
      </x:c>
      <x:c r="E3156" s="1" t="str">
        <x:v>PENDING</x:v>
      </x:c>
      <x:c r="F3156" s="1" t="str">
        <x:v>Shipping on time</x:v>
      </x:c>
      <x:c r="G3156" s="6" t="n">
        <x:v>4</x:v>
      </x:c>
      <x:c r="H3156" s="6" t="n">
        <x:v>4</x:v>
      </x:c>
      <x:c r="I3156" s="6" t="n">
        <x:f>G3156-H3156</x:f>
        <x:v>0</x:v>
      </x:c>
      <x:c r="J3156" s="6" t="n">
        <x:f>IF(OR(E3156="CANCELED",E3156="SUSPECTED_FRAUD",F3156="Shipping canceled"),0,1)</x:f>
        <x:v>1</x:v>
      </x:c>
      <x:c r="K3156" s="6" t="n">
        <x:f>IF(G3156&gt;H3156,1,0)</x:f>
        <x:v>0</x:v>
      </x:c>
      <x:c r="L3156" s="6" t="n">
        <x:f>J3156*K3156</x:f>
        <x:v>0</x:v>
      </x:c>
    </x:row>
    <x:row r="3157">
      <x:c r="A3157" s="1" t="n">
        <x:v>23881</x:v>
      </x:c>
      <x:c r="B3157" s="5" t="d">
        <x:v>2015-12-15T00:00:00.000Z</x:v>
      </x:c>
      <x:c r="C3157" s="1" t="str">
        <x:v>Standard Class</x:v>
      </x:c>
      <x:c r="D3157" s="1" t="str">
        <x:v>Pacific Asia</x:v>
      </x:c>
      <x:c r="E3157" s="1" t="str">
        <x:v>ON_HOLD</x:v>
      </x:c>
      <x:c r="F3157" s="1" t="str">
        <x:v>Advance shipping</x:v>
      </x:c>
      <x:c r="G3157" s="6" t="n">
        <x:v>2</x:v>
      </x:c>
      <x:c r="H3157" s="6" t="n">
        <x:v>4</x:v>
      </x:c>
      <x:c r="I3157" s="6" t="n">
        <x:f>G3157-H3157</x:f>
        <x:v>-2</x:v>
      </x:c>
      <x:c r="J3157" s="6" t="n">
        <x:f>IF(OR(E3157="CANCELED",E3157="SUSPECTED_FRAUD",F3157="Shipping canceled"),0,1)</x:f>
        <x:v>1</x:v>
      </x:c>
      <x:c r="K3157" s="6" t="n">
        <x:f>IF(G3157&gt;H3157,1,0)</x:f>
        <x:v>0</x:v>
      </x:c>
      <x:c r="L3157" s="6" t="n">
        <x:f>J3157*K3157</x:f>
        <x:v>0</x:v>
      </x:c>
    </x:row>
    <x:row r="3158">
      <x:c r="A3158" s="1" t="n">
        <x:v>23886</x:v>
      </x:c>
      <x:c r="B3158" s="5" t="d">
        <x:v>2015-12-15T00:00:00.000Z</x:v>
      </x:c>
      <x:c r="C3158" s="1" t="str">
        <x:v>Standard Class</x:v>
      </x:c>
      <x:c r="D3158" s="1" t="str">
        <x:v>Pacific Asia</x:v>
      </x:c>
      <x:c r="E3158" s="1" t="str">
        <x:v>PENDING</x:v>
      </x:c>
      <x:c r="F3158" s="1" t="str">
        <x:v>Advance shipping</x:v>
      </x:c>
      <x:c r="G3158" s="6" t="n">
        <x:v>2</x:v>
      </x:c>
      <x:c r="H3158" s="6" t="n">
        <x:v>4</x:v>
      </x:c>
      <x:c r="I3158" s="6" t="n">
        <x:f>G3158-H3158</x:f>
        <x:v>-2</x:v>
      </x:c>
      <x:c r="J3158" s="6" t="n">
        <x:f>IF(OR(E3158="CANCELED",E3158="SUSPECTED_FRAUD",F3158="Shipping canceled"),0,1)</x:f>
        <x:v>1</x:v>
      </x:c>
      <x:c r="K3158" s="6" t="n">
        <x:f>IF(G3158&gt;H3158,1,0)</x:f>
        <x:v>0</x:v>
      </x:c>
      <x:c r="L3158" s="6" t="n">
        <x:f>J3158*K3158</x:f>
        <x:v>0</x:v>
      </x:c>
    </x:row>
    <x:row r="3159">
      <x:c r="A3159" s="1" t="n">
        <x:v>23888</x:v>
      </x:c>
      <x:c r="B3159" s="5" t="d">
        <x:v>2015-12-15T00:00:00.000Z</x:v>
      </x:c>
      <x:c r="C3159" s="1" t="str">
        <x:v>Standard Class</x:v>
      </x:c>
      <x:c r="D3159" s="1" t="str">
        <x:v>Pacific Asia</x:v>
      </x:c>
      <x:c r="E3159" s="1" t="str">
        <x:v>COMPLETE</x:v>
      </x:c>
      <x:c r="F3159" s="1" t="str">
        <x:v>Shipping on time</x:v>
      </x:c>
      <x:c r="G3159" s="6" t="n">
        <x:v>4</x:v>
      </x:c>
      <x:c r="H3159" s="6" t="n">
        <x:v>4</x:v>
      </x:c>
      <x:c r="I3159" s="6" t="n">
        <x:f>G3159-H3159</x:f>
        <x:v>0</x:v>
      </x:c>
      <x:c r="J3159" s="6" t="n">
        <x:f>IF(OR(E3159="CANCELED",E3159="SUSPECTED_FRAUD",F3159="Shipping canceled"),0,1)</x:f>
        <x:v>1</x:v>
      </x:c>
      <x:c r="K3159" s="6" t="n">
        <x:f>IF(G3159&gt;H3159,1,0)</x:f>
        <x:v>0</x:v>
      </x:c>
      <x:c r="L3159" s="6" t="n">
        <x:f>J3159*K3159</x:f>
        <x:v>0</x:v>
      </x:c>
    </x:row>
    <x:row r="3160">
      <x:c r="A3160" s="1" t="n">
        <x:v>23890</x:v>
      </x:c>
      <x:c r="B3160" s="5" t="d">
        <x:v>2015-12-15T00:00:00.000Z</x:v>
      </x:c>
      <x:c r="C3160" s="1" t="str">
        <x:v>Standard Class</x:v>
      </x:c>
      <x:c r="D3160" s="1" t="str">
        <x:v>Pacific Asia</x:v>
      </x:c>
      <x:c r="E3160" s="1" t="str">
        <x:v>PENDING_PAYMENT</x:v>
      </x:c>
      <x:c r="F3160" s="1" t="str">
        <x:v>Late delivery</x:v>
      </x:c>
      <x:c r="G3160" s="6" t="n">
        <x:v>6</x:v>
      </x:c>
      <x:c r="H3160" s="6" t="n">
        <x:v>4</x:v>
      </x:c>
      <x:c r="I3160" s="6" t="n">
        <x:f>G3160-H3160</x:f>
        <x:v>2</x:v>
      </x:c>
      <x:c r="J3160" s="6" t="n">
        <x:f>IF(OR(E3160="CANCELED",E3160="SUSPECTED_FRAUD",F3160="Shipping canceled"),0,1)</x:f>
        <x:v>1</x:v>
      </x:c>
      <x:c r="K3160" s="6" t="n">
        <x:f>IF(G3160&gt;H3160,1,0)</x:f>
        <x:v>1</x:v>
      </x:c>
      <x:c r="L3160" s="6" t="n">
        <x:f>J3160*K3160</x:f>
        <x:v>1</x:v>
      </x:c>
    </x:row>
    <x:row r="3161">
      <x:c r="A3161" s="1" t="n">
        <x:v>23920</x:v>
      </x:c>
      <x:c r="B3161" s="5" t="d">
        <x:v>2015-12-16T00:00:00.000Z</x:v>
      </x:c>
      <x:c r="C3161" s="1" t="str">
        <x:v>Standard Class</x:v>
      </x:c>
      <x:c r="D3161" s="1" t="str">
        <x:v>Pacific Asia</x:v>
      </x:c>
      <x:c r="E3161" s="1" t="str">
        <x:v>COMPLETE</x:v>
      </x:c>
      <x:c r="F3161" s="1" t="str">
        <x:v>Late delivery</x:v>
      </x:c>
      <x:c r="G3161" s="6" t="n">
        <x:v>6</x:v>
      </x:c>
      <x:c r="H3161" s="6" t="n">
        <x:v>4</x:v>
      </x:c>
      <x:c r="I3161" s="6" t="n">
        <x:f>G3161-H3161</x:f>
        <x:v>2</x:v>
      </x:c>
      <x:c r="J3161" s="6" t="n">
        <x:f>IF(OR(E3161="CANCELED",E3161="SUSPECTED_FRAUD",F3161="Shipping canceled"),0,1)</x:f>
        <x:v>1</x:v>
      </x:c>
      <x:c r="K3161" s="6" t="n">
        <x:f>IF(G3161&gt;H3161,1,0)</x:f>
        <x:v>1</x:v>
      </x:c>
      <x:c r="L3161" s="6" t="n">
        <x:f>J3161*K3161</x:f>
        <x:v>1</x:v>
      </x:c>
    </x:row>
    <x:row r="3162">
      <x:c r="A3162" s="1" t="n">
        <x:v>23923</x:v>
      </x:c>
      <x:c r="B3162" s="5" t="d">
        <x:v>2015-12-16T00:00:00.000Z</x:v>
      </x:c>
      <x:c r="C3162" s="1" t="str">
        <x:v>Standard Class</x:v>
      </x:c>
      <x:c r="D3162" s="1" t="str">
        <x:v>Pacific Asia</x:v>
      </x:c>
      <x:c r="E3162" s="1" t="str">
        <x:v>ON_HOLD</x:v>
      </x:c>
      <x:c r="F3162" s="1" t="str">
        <x:v>Shipping on time</x:v>
      </x:c>
      <x:c r="G3162" s="6" t="n">
        <x:v>4</x:v>
      </x:c>
      <x:c r="H3162" s="6" t="n">
        <x:v>4</x:v>
      </x:c>
      <x:c r="I3162" s="6" t="n">
        <x:f>G3162-H3162</x:f>
        <x:v>0</x:v>
      </x:c>
      <x:c r="J3162" s="6" t="n">
        <x:f>IF(OR(E3162="CANCELED",E3162="SUSPECTED_FRAUD",F3162="Shipping canceled"),0,1)</x:f>
        <x:v>1</x:v>
      </x:c>
      <x:c r="K3162" s="6" t="n">
        <x:f>IF(G3162&gt;H3162,1,0)</x:f>
        <x:v>0</x:v>
      </x:c>
      <x:c r="L3162" s="6" t="n">
        <x:f>J3162*K3162</x:f>
        <x:v>0</x:v>
      </x:c>
    </x:row>
    <x:row r="3163">
      <x:c r="A3163" s="1" t="n">
        <x:v>23925</x:v>
      </x:c>
      <x:c r="B3163" s="5" t="d">
        <x:v>2015-12-16T00:00:00.000Z</x:v>
      </x:c>
      <x:c r="C3163" s="1" t="str">
        <x:v>Standard Class</x:v>
      </x:c>
      <x:c r="D3163" s="1" t="str">
        <x:v>Pacific Asia</x:v>
      </x:c>
      <x:c r="E3163" s="1" t="str">
        <x:v>COMPLETE</x:v>
      </x:c>
      <x:c r="F3163" s="1" t="str">
        <x:v>Late delivery</x:v>
      </x:c>
      <x:c r="G3163" s="6" t="n">
        <x:v>6</x:v>
      </x:c>
      <x:c r="H3163" s="6" t="n">
        <x:v>4</x:v>
      </x:c>
      <x:c r="I3163" s="6" t="n">
        <x:f>G3163-H3163</x:f>
        <x:v>2</x:v>
      </x:c>
      <x:c r="J3163" s="6" t="n">
        <x:f>IF(OR(E3163="CANCELED",E3163="SUSPECTED_FRAUD",F3163="Shipping canceled"),0,1)</x:f>
        <x:v>1</x:v>
      </x:c>
      <x:c r="K3163" s="6" t="n">
        <x:f>IF(G3163&gt;H3163,1,0)</x:f>
        <x:v>1</x:v>
      </x:c>
      <x:c r="L3163" s="6" t="n">
        <x:f>J3163*K3163</x:f>
        <x:v>1</x:v>
      </x:c>
    </x:row>
    <x:row r="3164">
      <x:c r="A3164" s="1" t="n">
        <x:v>23948</x:v>
      </x:c>
      <x:c r="B3164" s="5" t="d">
        <x:v>2015-12-16T00:00:00.000Z</x:v>
      </x:c>
      <x:c r="C3164" s="1" t="str">
        <x:v>Standard Class</x:v>
      </x:c>
      <x:c r="D3164" s="1" t="str">
        <x:v>Pacific Asia</x:v>
      </x:c>
      <x:c r="E3164" s="1" t="str">
        <x:v>PROCESSING</x:v>
      </x:c>
      <x:c r="F3164" s="1" t="str">
        <x:v>Shipping on time</x:v>
      </x:c>
      <x:c r="G3164" s="6" t="n">
        <x:v>4</x:v>
      </x:c>
      <x:c r="H3164" s="6" t="n">
        <x:v>4</x:v>
      </x:c>
      <x:c r="I3164" s="6" t="n">
        <x:f>G3164-H3164</x:f>
        <x:v>0</x:v>
      </x:c>
      <x:c r="J3164" s="6" t="n">
        <x:f>IF(OR(E3164="CANCELED",E3164="SUSPECTED_FRAUD",F3164="Shipping canceled"),0,1)</x:f>
        <x:v>1</x:v>
      </x:c>
      <x:c r="K3164" s="6" t="n">
        <x:f>IF(G3164&gt;H3164,1,0)</x:f>
        <x:v>0</x:v>
      </x:c>
      <x:c r="L3164" s="6" t="n">
        <x:f>J3164*K3164</x:f>
        <x:v>0</x:v>
      </x:c>
    </x:row>
    <x:row r="3165">
      <x:c r="A3165" s="1" t="n">
        <x:v>23951</x:v>
      </x:c>
      <x:c r="B3165" s="5" t="d">
        <x:v>2015-12-16T00:00:00.000Z</x:v>
      </x:c>
      <x:c r="C3165" s="1" t="str">
        <x:v>Standard Class</x:v>
      </x:c>
      <x:c r="D3165" s="1" t="str">
        <x:v>Pacific Asia</x:v>
      </x:c>
      <x:c r="E3165" s="1" t="str">
        <x:v>COMPLETE</x:v>
      </x:c>
      <x:c r="F3165" s="1" t="str">
        <x:v>Advance shipping</x:v>
      </x:c>
      <x:c r="G3165" s="6" t="n">
        <x:v>2</x:v>
      </x:c>
      <x:c r="H3165" s="6" t="n">
        <x:v>4</x:v>
      </x:c>
      <x:c r="I3165" s="6" t="n">
        <x:f>G3165-H3165</x:f>
        <x:v>-2</x:v>
      </x:c>
      <x:c r="J3165" s="6" t="n">
        <x:f>IF(OR(E3165="CANCELED",E3165="SUSPECTED_FRAUD",F3165="Shipping canceled"),0,1)</x:f>
        <x:v>1</x:v>
      </x:c>
      <x:c r="K3165" s="6" t="n">
        <x:f>IF(G3165&gt;H3165,1,0)</x:f>
        <x:v>0</x:v>
      </x:c>
      <x:c r="L3165" s="6" t="n">
        <x:f>J3165*K3165</x:f>
        <x:v>0</x:v>
      </x:c>
    </x:row>
    <x:row r="3166">
      <x:c r="A3166" s="1" t="n">
        <x:v>23952</x:v>
      </x:c>
      <x:c r="B3166" s="5" t="d">
        <x:v>2015-12-16T00:00:00.000Z</x:v>
      </x:c>
      <x:c r="C3166" s="1" t="str">
        <x:v>Standard Class</x:v>
      </x:c>
      <x:c r="D3166" s="1" t="str">
        <x:v>Pacific Asia</x:v>
      </x:c>
      <x:c r="E3166" s="1" t="str">
        <x:v>PENDING_PAYMENT</x:v>
      </x:c>
      <x:c r="F3166" s="1" t="str">
        <x:v>Advance shipping</x:v>
      </x:c>
      <x:c r="G3166" s="6" t="n">
        <x:v>3</x:v>
      </x:c>
      <x:c r="H3166" s="6" t="n">
        <x:v>4</x:v>
      </x:c>
      <x:c r="I3166" s="6" t="n">
        <x:f>G3166-H3166</x:f>
        <x:v>-1</x:v>
      </x:c>
      <x:c r="J3166" s="6" t="n">
        <x:f>IF(OR(E3166="CANCELED",E3166="SUSPECTED_FRAUD",F3166="Shipping canceled"),0,1)</x:f>
        <x:v>1</x:v>
      </x:c>
      <x:c r="K3166" s="6" t="n">
        <x:f>IF(G3166&gt;H3166,1,0)</x:f>
        <x:v>0</x:v>
      </x:c>
      <x:c r="L3166" s="6" t="n">
        <x:f>J3166*K3166</x:f>
        <x:v>0</x:v>
      </x:c>
    </x:row>
    <x:row r="3167">
      <x:c r="A3167" s="1" t="n">
        <x:v>23967</x:v>
      </x:c>
      <x:c r="B3167" s="5" t="d">
        <x:v>2015-12-16T00:00:00.000Z</x:v>
      </x:c>
      <x:c r="C3167" s="1" t="str">
        <x:v>Standard Class</x:v>
      </x:c>
      <x:c r="D3167" s="1" t="str">
        <x:v>Pacific Asia</x:v>
      </x:c>
      <x:c r="E3167" s="1" t="str">
        <x:v>PROCESSING</x:v>
      </x:c>
      <x:c r="F3167" s="1" t="str">
        <x:v>Advance shipping</x:v>
      </x:c>
      <x:c r="G3167" s="6" t="n">
        <x:v>3</x:v>
      </x:c>
      <x:c r="H3167" s="6" t="n">
        <x:v>4</x:v>
      </x:c>
      <x:c r="I3167" s="6" t="n">
        <x:f>G3167-H3167</x:f>
        <x:v>-1</x:v>
      </x:c>
      <x:c r="J3167" s="6" t="n">
        <x:f>IF(OR(E3167="CANCELED",E3167="SUSPECTED_FRAUD",F3167="Shipping canceled"),0,1)</x:f>
        <x:v>1</x:v>
      </x:c>
      <x:c r="K3167" s="6" t="n">
        <x:f>IF(G3167&gt;H3167,1,0)</x:f>
        <x:v>0</x:v>
      </x:c>
      <x:c r="L3167" s="6" t="n">
        <x:f>J3167*K3167</x:f>
        <x:v>0</x:v>
      </x:c>
    </x:row>
    <x:row r="3168">
      <x:c r="A3168" s="1" t="n">
        <x:v>23968</x:v>
      </x:c>
      <x:c r="B3168" s="5" t="d">
        <x:v>2015-12-16T00:00:00.000Z</x:v>
      </x:c>
      <x:c r="C3168" s="1" t="str">
        <x:v>Standard Class</x:v>
      </x:c>
      <x:c r="D3168" s="1" t="str">
        <x:v>Pacific Asia</x:v>
      </x:c>
      <x:c r="E3168" s="1" t="str">
        <x:v>COMPLETE</x:v>
      </x:c>
      <x:c r="F3168" s="1" t="str">
        <x:v>Shipping on time</x:v>
      </x:c>
      <x:c r="G3168" s="6" t="n">
        <x:v>4</x:v>
      </x:c>
      <x:c r="H3168" s="6" t="n">
        <x:v>4</x:v>
      </x:c>
      <x:c r="I3168" s="6" t="n">
        <x:f>G3168-H3168</x:f>
        <x:v>0</x:v>
      </x:c>
      <x:c r="J3168" s="6" t="n">
        <x:f>IF(OR(E3168="CANCELED",E3168="SUSPECTED_FRAUD",F3168="Shipping canceled"),0,1)</x:f>
        <x:v>1</x:v>
      </x:c>
      <x:c r="K3168" s="6" t="n">
        <x:f>IF(G3168&gt;H3168,1,0)</x:f>
        <x:v>0</x:v>
      </x:c>
      <x:c r="L3168" s="6" t="n">
        <x:f>J3168*K3168</x:f>
        <x:v>0</x:v>
      </x:c>
    </x:row>
    <x:row r="3169">
      <x:c r="A3169" s="1" t="n">
        <x:v>23969</x:v>
      </x:c>
      <x:c r="B3169" s="5" t="d">
        <x:v>2015-12-16T00:00:00.000Z</x:v>
      </x:c>
      <x:c r="C3169" s="1" t="str">
        <x:v>First Class</x:v>
      </x:c>
      <x:c r="D3169" s="1" t="str">
        <x:v>Pacific Asia</x:v>
      </x:c>
      <x:c r="E3169" s="1" t="str">
        <x:v>CLOSED</x:v>
      </x:c>
      <x:c r="F3169" s="1" t="str">
        <x:v>Late delivery</x:v>
      </x:c>
      <x:c r="G3169" s="6" t="n">
        <x:v>2</x:v>
      </x:c>
      <x:c r="H3169" s="6" t="n">
        <x:v>1</x:v>
      </x:c>
      <x:c r="I3169" s="6" t="n">
        <x:f>G3169-H3169</x:f>
        <x:v>1</x:v>
      </x:c>
      <x:c r="J3169" s="6" t="n">
        <x:f>IF(OR(E3169="CANCELED",E3169="SUSPECTED_FRAUD",F3169="Shipping canceled"),0,1)</x:f>
        <x:v>1</x:v>
      </x:c>
      <x:c r="K3169" s="6" t="n">
        <x:f>IF(G3169&gt;H3169,1,0)</x:f>
        <x:v>1</x:v>
      </x:c>
      <x:c r="L3169" s="6" t="n">
        <x:f>J3169*K3169</x:f>
        <x:v>1</x:v>
      </x:c>
    </x:row>
    <x:row r="3170">
      <x:c r="A3170" s="1" t="n">
        <x:v>23999</x:v>
      </x:c>
      <x:c r="B3170" s="5" t="d">
        <x:v>2015-12-17T00:00:00.000Z</x:v>
      </x:c>
      <x:c r="C3170" s="1" t="str">
        <x:v>Second Class</x:v>
      </x:c>
      <x:c r="D3170" s="1" t="str">
        <x:v>Pacific Asia</x:v>
      </x:c>
      <x:c r="E3170" s="1" t="str">
        <x:v>COMPLETE</x:v>
      </x:c>
      <x:c r="F3170" s="1" t="str">
        <x:v>Late delivery</x:v>
      </x:c>
      <x:c r="G3170" s="6" t="n">
        <x:v>5</x:v>
      </x:c>
      <x:c r="H3170" s="6" t="n">
        <x:v>2</x:v>
      </x:c>
      <x:c r="I3170" s="6" t="n">
        <x:f>G3170-H3170</x:f>
        <x:v>3</x:v>
      </x:c>
      <x:c r="J3170" s="6" t="n">
        <x:f>IF(OR(E3170="CANCELED",E3170="SUSPECTED_FRAUD",F3170="Shipping canceled"),0,1)</x:f>
        <x:v>1</x:v>
      </x:c>
      <x:c r="K3170" s="6" t="n">
        <x:f>IF(G3170&gt;H3170,1,0)</x:f>
        <x:v>1</x:v>
      </x:c>
      <x:c r="L3170" s="6" t="n">
        <x:f>J3170*K3170</x:f>
        <x:v>1</x:v>
      </x:c>
    </x:row>
    <x:row r="3171">
      <x:c r="A3171" s="1" t="n">
        <x:v>24000</x:v>
      </x:c>
      <x:c r="B3171" s="5" t="d">
        <x:v>2015-12-17T00:00:00.000Z</x:v>
      </x:c>
      <x:c r="C3171" s="1" t="str">
        <x:v>Second Class</x:v>
      </x:c>
      <x:c r="D3171" s="1" t="str">
        <x:v>Pacific Asia</x:v>
      </x:c>
      <x:c r="E3171" s="1" t="str">
        <x:v>COMPLETE</x:v>
      </x:c>
      <x:c r="F3171" s="1" t="str">
        <x:v>Late delivery</x:v>
      </x:c>
      <x:c r="G3171" s="6" t="n">
        <x:v>6</x:v>
      </x:c>
      <x:c r="H3171" s="6" t="n">
        <x:v>2</x:v>
      </x:c>
      <x:c r="I3171" s="6" t="n">
        <x:f>G3171-H3171</x:f>
        <x:v>4</x:v>
      </x:c>
      <x:c r="J3171" s="6" t="n">
        <x:f>IF(OR(E3171="CANCELED",E3171="SUSPECTED_FRAUD",F3171="Shipping canceled"),0,1)</x:f>
        <x:v>1</x:v>
      </x:c>
      <x:c r="K3171" s="6" t="n">
        <x:f>IF(G3171&gt;H3171,1,0)</x:f>
        <x:v>1</x:v>
      </x:c>
      <x:c r="L3171" s="6" t="n">
        <x:f>J3171*K3171</x:f>
        <x:v>1</x:v>
      </x:c>
    </x:row>
    <x:row r="3172">
      <x:c r="A3172" s="1" t="n">
        <x:v>24003</x:v>
      </x:c>
      <x:c r="B3172" s="5" t="d">
        <x:v>2015-12-17T00:00:00.000Z</x:v>
      </x:c>
      <x:c r="C3172" s="1" t="str">
        <x:v>Same Day</x:v>
      </x:c>
      <x:c r="D3172" s="1" t="str">
        <x:v>Pacific Asia</x:v>
      </x:c>
      <x:c r="E3172" s="1" t="str">
        <x:v>PROCESSING</x:v>
      </x:c>
      <x:c r="F3172" s="1" t="str">
        <x:v>Shipping on time</x:v>
      </x:c>
      <x:c r="G3172" s="6" t="n">
        <x:v>0</x:v>
      </x:c>
      <x:c r="H3172" s="6" t="n">
        <x:v>0</x:v>
      </x:c>
      <x:c r="I3172" s="6" t="n">
        <x:f>G3172-H3172</x:f>
        <x:v>0</x:v>
      </x:c>
      <x:c r="J3172" s="6" t="n">
        <x:f>IF(OR(E3172="CANCELED",E3172="SUSPECTED_FRAUD",F3172="Shipping canceled"),0,1)</x:f>
        <x:v>1</x:v>
      </x:c>
      <x:c r="K3172" s="6" t="n">
        <x:f>IF(G3172&gt;H3172,1,0)</x:f>
        <x:v>0</x:v>
      </x:c>
      <x:c r="L3172" s="6" t="n">
        <x:f>J3172*K3172</x:f>
        <x:v>0</x:v>
      </x:c>
    </x:row>
    <x:row r="3173">
      <x:c r="A3173" s="1" t="n">
        <x:v>24010</x:v>
      </x:c>
      <x:c r="B3173" s="5" t="d">
        <x:v>2015-12-17T00:00:00.000Z</x:v>
      </x:c>
      <x:c r="C3173" s="1" t="str">
        <x:v>Second Class</x:v>
      </x:c>
      <x:c r="D3173" s="1" t="str">
        <x:v>Pacific Asia</x:v>
      </x:c>
      <x:c r="E3173" s="1" t="str">
        <x:v>COMPLETE</x:v>
      </x:c>
      <x:c r="F3173" s="1" t="str">
        <x:v>Late delivery</x:v>
      </x:c>
      <x:c r="G3173" s="6" t="n">
        <x:v>6</x:v>
      </x:c>
      <x:c r="H3173" s="6" t="n">
        <x:v>2</x:v>
      </x:c>
      <x:c r="I3173" s="6" t="n">
        <x:f>G3173-H3173</x:f>
        <x:v>4</x:v>
      </x:c>
      <x:c r="J3173" s="6" t="n">
        <x:f>IF(OR(E3173="CANCELED",E3173="SUSPECTED_FRAUD",F3173="Shipping canceled"),0,1)</x:f>
        <x:v>1</x:v>
      </x:c>
      <x:c r="K3173" s="6" t="n">
        <x:f>IF(G3173&gt;H3173,1,0)</x:f>
        <x:v>1</x:v>
      </x:c>
      <x:c r="L3173" s="6" t="n">
        <x:f>J3173*K3173</x:f>
        <x:v>1</x:v>
      </x:c>
    </x:row>
    <x:row r="3174">
      <x:c r="A3174" s="1" t="n">
        <x:v>24044</x:v>
      </x:c>
      <x:c r="B3174" s="5" t="d">
        <x:v>2015-12-17T00:00:00.000Z</x:v>
      </x:c>
      <x:c r="C3174" s="1" t="str">
        <x:v>Standard Class</x:v>
      </x:c>
      <x:c r="D3174" s="1" t="str">
        <x:v>Pacific Asia</x:v>
      </x:c>
      <x:c r="E3174" s="1" t="str">
        <x:v>COMPLETE</x:v>
      </x:c>
      <x:c r="F3174" s="1" t="str">
        <x:v>Late delivery</x:v>
      </x:c>
      <x:c r="G3174" s="6" t="n">
        <x:v>5</x:v>
      </x:c>
      <x:c r="H3174" s="6" t="n">
        <x:v>4</x:v>
      </x:c>
      <x:c r="I3174" s="6" t="n">
        <x:f>G3174-H3174</x:f>
        <x:v>1</x:v>
      </x:c>
      <x:c r="J3174" s="6" t="n">
        <x:f>IF(OR(E3174="CANCELED",E3174="SUSPECTED_FRAUD",F3174="Shipping canceled"),0,1)</x:f>
        <x:v>1</x:v>
      </x:c>
      <x:c r="K3174" s="6" t="n">
        <x:f>IF(G3174&gt;H3174,1,0)</x:f>
        <x:v>1</x:v>
      </x:c>
      <x:c r="L3174" s="6" t="n">
        <x:f>J3174*K3174</x:f>
        <x:v>1</x:v>
      </x:c>
    </x:row>
    <x:row r="3175">
      <x:c r="A3175" s="1" t="n">
        <x:v>24050</x:v>
      </x:c>
      <x:c r="B3175" s="5" t="d">
        <x:v>2015-12-18T00:00:00.000Z</x:v>
      </x:c>
      <x:c r="C3175" s="1" t="str">
        <x:v>Standard Class</x:v>
      </x:c>
      <x:c r="D3175" s="1" t="str">
        <x:v>Pacific Asia</x:v>
      </x:c>
      <x:c r="E3175" s="1" t="str">
        <x:v>ON_HOLD</x:v>
      </x:c>
      <x:c r="F3175" s="1" t="str">
        <x:v>Late delivery</x:v>
      </x:c>
      <x:c r="G3175" s="6" t="n">
        <x:v>6</x:v>
      </x:c>
      <x:c r="H3175" s="6" t="n">
        <x:v>4</x:v>
      </x:c>
      <x:c r="I3175" s="6" t="n">
        <x:f>G3175-H3175</x:f>
        <x:v>2</x:v>
      </x:c>
      <x:c r="J3175" s="6" t="n">
        <x:f>IF(OR(E3175="CANCELED",E3175="SUSPECTED_FRAUD",F3175="Shipping canceled"),0,1)</x:f>
        <x:v>1</x:v>
      </x:c>
      <x:c r="K3175" s="6" t="n">
        <x:f>IF(G3175&gt;H3175,1,0)</x:f>
        <x:v>1</x:v>
      </x:c>
      <x:c r="L3175" s="6" t="n">
        <x:f>J3175*K3175</x:f>
        <x:v>1</x:v>
      </x:c>
    </x:row>
    <x:row r="3176">
      <x:c r="A3176" s="1" t="n">
        <x:v>24057</x:v>
      </x:c>
      <x:c r="B3176" s="5" t="d">
        <x:v>2015-12-18T00:00:00.000Z</x:v>
      </x:c>
      <x:c r="C3176" s="1" t="str">
        <x:v>Second Class</x:v>
      </x:c>
      <x:c r="D3176" s="1" t="str">
        <x:v>Pacific Asia</x:v>
      </x:c>
      <x:c r="E3176" s="1" t="str">
        <x:v>ON_HOLD</x:v>
      </x:c>
      <x:c r="F3176" s="1" t="str">
        <x:v>Late delivery</x:v>
      </x:c>
      <x:c r="G3176" s="6" t="n">
        <x:v>3</x:v>
      </x:c>
      <x:c r="H3176" s="6" t="n">
        <x:v>2</x:v>
      </x:c>
      <x:c r="I3176" s="6" t="n">
        <x:f>G3176-H3176</x:f>
        <x:v>1</x:v>
      </x:c>
      <x:c r="J3176" s="6" t="n">
        <x:f>IF(OR(E3176="CANCELED",E3176="SUSPECTED_FRAUD",F3176="Shipping canceled"),0,1)</x:f>
        <x:v>1</x:v>
      </x:c>
      <x:c r="K3176" s="6" t="n">
        <x:f>IF(G3176&gt;H3176,1,0)</x:f>
        <x:v>1</x:v>
      </x:c>
      <x:c r="L3176" s="6" t="n">
        <x:f>J3176*K3176</x:f>
        <x:v>1</x:v>
      </x:c>
    </x:row>
    <x:row r="3177">
      <x:c r="A3177" s="1" t="n">
        <x:v>24060</x:v>
      </x:c>
      <x:c r="B3177" s="5" t="d">
        <x:v>2015-12-18T00:00:00.000Z</x:v>
      </x:c>
      <x:c r="C3177" s="1" t="str">
        <x:v>Standard Class</x:v>
      </x:c>
      <x:c r="D3177" s="1" t="str">
        <x:v>Pacific Asia</x:v>
      </x:c>
      <x:c r="E3177" s="1" t="str">
        <x:v>PENDING_PAYMENT</x:v>
      </x:c>
      <x:c r="F3177" s="1" t="str">
        <x:v>Late delivery</x:v>
      </x:c>
      <x:c r="G3177" s="6" t="n">
        <x:v>6</x:v>
      </x:c>
      <x:c r="H3177" s="6" t="n">
        <x:v>4</x:v>
      </x:c>
      <x:c r="I3177" s="6" t="n">
        <x:f>G3177-H3177</x:f>
        <x:v>2</x:v>
      </x:c>
      <x:c r="J3177" s="6" t="n">
        <x:f>IF(OR(E3177="CANCELED",E3177="SUSPECTED_FRAUD",F3177="Shipping canceled"),0,1)</x:f>
        <x:v>1</x:v>
      </x:c>
      <x:c r="K3177" s="6" t="n">
        <x:f>IF(G3177&gt;H3177,1,0)</x:f>
        <x:v>1</x:v>
      </x:c>
      <x:c r="L3177" s="6" t="n">
        <x:f>J3177*K3177</x:f>
        <x:v>1</x:v>
      </x:c>
    </x:row>
    <x:row r="3178">
      <x:c r="A3178" s="1" t="n">
        <x:v>24062</x:v>
      </x:c>
      <x:c r="B3178" s="5" t="d">
        <x:v>2015-12-18T00:00:00.000Z</x:v>
      </x:c>
      <x:c r="C3178" s="1" t="str">
        <x:v>Standard Class</x:v>
      </x:c>
      <x:c r="D3178" s="1" t="str">
        <x:v>Pacific Asia</x:v>
      </x:c>
      <x:c r="E3178" s="1" t="str">
        <x:v>COMPLETE</x:v>
      </x:c>
      <x:c r="F3178" s="1" t="str">
        <x:v>Advance shipping</x:v>
      </x:c>
      <x:c r="G3178" s="6" t="n">
        <x:v>3</x:v>
      </x:c>
      <x:c r="H3178" s="6" t="n">
        <x:v>4</x:v>
      </x:c>
      <x:c r="I3178" s="6" t="n">
        <x:f>G3178-H3178</x:f>
        <x:v>-1</x:v>
      </x:c>
      <x:c r="J3178" s="6" t="n">
        <x:f>IF(OR(E3178="CANCELED",E3178="SUSPECTED_FRAUD",F3178="Shipping canceled"),0,1)</x:f>
        <x:v>1</x:v>
      </x:c>
      <x:c r="K3178" s="6" t="n">
        <x:f>IF(G3178&gt;H3178,1,0)</x:f>
        <x:v>0</x:v>
      </x:c>
      <x:c r="L3178" s="6" t="n">
        <x:f>J3178*K3178</x:f>
        <x:v>0</x:v>
      </x:c>
    </x:row>
    <x:row r="3179">
      <x:c r="A3179" s="1" t="n">
        <x:v>24063</x:v>
      </x:c>
      <x:c r="B3179" s="5" t="d">
        <x:v>2015-12-18T00:00:00.000Z</x:v>
      </x:c>
      <x:c r="C3179" s="1" t="str">
        <x:v>Standard Class</x:v>
      </x:c>
      <x:c r="D3179" s="1" t="str">
        <x:v>Pacific Asia</x:v>
      </x:c>
      <x:c r="E3179" s="1" t="str">
        <x:v>COMPLETE</x:v>
      </x:c>
      <x:c r="F3179" s="1" t="str">
        <x:v>Shipping on time</x:v>
      </x:c>
      <x:c r="G3179" s="6" t="n">
        <x:v>4</x:v>
      </x:c>
      <x:c r="H3179" s="6" t="n">
        <x:v>4</x:v>
      </x:c>
      <x:c r="I3179" s="6" t="n">
        <x:f>G3179-H3179</x:f>
        <x:v>0</x:v>
      </x:c>
      <x:c r="J3179" s="6" t="n">
        <x:f>IF(OR(E3179="CANCELED",E3179="SUSPECTED_FRAUD",F3179="Shipping canceled"),0,1)</x:f>
        <x:v>1</x:v>
      </x:c>
      <x:c r="K3179" s="6" t="n">
        <x:f>IF(G3179&gt;H3179,1,0)</x:f>
        <x:v>0</x:v>
      </x:c>
      <x:c r="L3179" s="6" t="n">
        <x:f>J3179*K3179</x:f>
        <x:v>0</x:v>
      </x:c>
    </x:row>
    <x:row r="3180">
      <x:c r="A3180" s="1" t="n">
        <x:v>24065</x:v>
      </x:c>
      <x:c r="B3180" s="5" t="d">
        <x:v>2015-12-18T00:00:00.000Z</x:v>
      </x:c>
      <x:c r="C3180" s="1" t="str">
        <x:v>Standard Class</x:v>
      </x:c>
      <x:c r="D3180" s="1" t="str">
        <x:v>Pacific Asia</x:v>
      </x:c>
      <x:c r="E3180" s="1" t="str">
        <x:v>COMPLETE</x:v>
      </x:c>
      <x:c r="F3180" s="1" t="str">
        <x:v>Late delivery</x:v>
      </x:c>
      <x:c r="G3180" s="6" t="n">
        <x:v>6</x:v>
      </x:c>
      <x:c r="H3180" s="6" t="n">
        <x:v>4</x:v>
      </x:c>
      <x:c r="I3180" s="6" t="n">
        <x:f>G3180-H3180</x:f>
        <x:v>2</x:v>
      </x:c>
      <x:c r="J3180" s="6" t="n">
        <x:f>IF(OR(E3180="CANCELED",E3180="SUSPECTED_FRAUD",F3180="Shipping canceled"),0,1)</x:f>
        <x:v>1</x:v>
      </x:c>
      <x:c r="K3180" s="6" t="n">
        <x:f>IF(G3180&gt;H3180,1,0)</x:f>
        <x:v>1</x:v>
      </x:c>
      <x:c r="L3180" s="6" t="n">
        <x:f>J3180*K3180</x:f>
        <x:v>1</x:v>
      </x:c>
    </x:row>
    <x:row r="3181">
      <x:c r="A3181" s="1" t="n">
        <x:v>24079</x:v>
      </x:c>
      <x:c r="B3181" s="5" t="d">
        <x:v>2015-12-18T00:00:00.000Z</x:v>
      </x:c>
      <x:c r="C3181" s="1" t="str">
        <x:v>Standard Class</x:v>
      </x:c>
      <x:c r="D3181" s="1" t="str">
        <x:v>Pacific Asia</x:v>
      </x:c>
      <x:c r="E3181" s="1" t="str">
        <x:v>PENDING_PAYMENT</x:v>
      </x:c>
      <x:c r="F3181" s="1" t="str">
        <x:v>Late delivery</x:v>
      </x:c>
      <x:c r="G3181" s="6" t="n">
        <x:v>5</x:v>
      </x:c>
      <x:c r="H3181" s="6" t="n">
        <x:v>4</x:v>
      </x:c>
      <x:c r="I3181" s="6" t="n">
        <x:f>G3181-H3181</x:f>
        <x:v>1</x:v>
      </x:c>
      <x:c r="J3181" s="6" t="n">
        <x:f>IF(OR(E3181="CANCELED",E3181="SUSPECTED_FRAUD",F3181="Shipping canceled"),0,1)</x:f>
        <x:v>1</x:v>
      </x:c>
      <x:c r="K3181" s="6" t="n">
        <x:f>IF(G3181&gt;H3181,1,0)</x:f>
        <x:v>1</x:v>
      </x:c>
      <x:c r="L3181" s="6" t="n">
        <x:f>J3181*K3181</x:f>
        <x:v>1</x:v>
      </x:c>
    </x:row>
    <x:row r="3182">
      <x:c r="A3182" s="1" t="n">
        <x:v>24088</x:v>
      </x:c>
      <x:c r="B3182" s="5" t="d">
        <x:v>2015-12-18T00:00:00.000Z</x:v>
      </x:c>
      <x:c r="C3182" s="1" t="str">
        <x:v>Second Class</x:v>
      </x:c>
      <x:c r="D3182" s="1" t="str">
        <x:v>Pacific Asia</x:v>
      </x:c>
      <x:c r="E3182" s="1" t="str">
        <x:v>COMPLETE</x:v>
      </x:c>
      <x:c r="F3182" s="1" t="str">
        <x:v>Late delivery</x:v>
      </x:c>
      <x:c r="G3182" s="6" t="n">
        <x:v>4</x:v>
      </x:c>
      <x:c r="H3182" s="6" t="n">
        <x:v>2</x:v>
      </x:c>
      <x:c r="I3182" s="6" t="n">
        <x:f>G3182-H3182</x:f>
        <x:v>2</x:v>
      </x:c>
      <x:c r="J3182" s="6" t="n">
        <x:f>IF(OR(E3182="CANCELED",E3182="SUSPECTED_FRAUD",F3182="Shipping canceled"),0,1)</x:f>
        <x:v>1</x:v>
      </x:c>
      <x:c r="K3182" s="6" t="n">
        <x:f>IF(G3182&gt;H3182,1,0)</x:f>
        <x:v>1</x:v>
      </x:c>
      <x:c r="L3182" s="6" t="n">
        <x:f>J3182*K3182</x:f>
        <x:v>1</x:v>
      </x:c>
    </x:row>
    <x:row r="3183">
      <x:c r="A3183" s="1" t="n">
        <x:v>24092</x:v>
      </x:c>
      <x:c r="B3183" s="5" t="d">
        <x:v>2015-12-18T00:00:00.000Z</x:v>
      </x:c>
      <x:c r="C3183" s="1" t="str">
        <x:v>Standard Class</x:v>
      </x:c>
      <x:c r="D3183" s="1" t="str">
        <x:v>Pacific Asia</x:v>
      </x:c>
      <x:c r="E3183" s="1" t="str">
        <x:v>COMPLETE</x:v>
      </x:c>
      <x:c r="F3183" s="1" t="str">
        <x:v>Advance shipping</x:v>
      </x:c>
      <x:c r="G3183" s="6" t="n">
        <x:v>3</x:v>
      </x:c>
      <x:c r="H3183" s="6" t="n">
        <x:v>4</x:v>
      </x:c>
      <x:c r="I3183" s="6" t="n">
        <x:f>G3183-H3183</x:f>
        <x:v>-1</x:v>
      </x:c>
      <x:c r="J3183" s="6" t="n">
        <x:f>IF(OR(E3183="CANCELED",E3183="SUSPECTED_FRAUD",F3183="Shipping canceled"),0,1)</x:f>
        <x:v>1</x:v>
      </x:c>
      <x:c r="K3183" s="6" t="n">
        <x:f>IF(G3183&gt;H3183,1,0)</x:f>
        <x:v>0</x:v>
      </x:c>
      <x:c r="L3183" s="6" t="n">
        <x:f>J3183*K3183</x:f>
        <x:v>0</x:v>
      </x:c>
    </x:row>
    <x:row r="3184">
      <x:c r="A3184" s="1" t="n">
        <x:v>24093</x:v>
      </x:c>
      <x:c r="B3184" s="5" t="d">
        <x:v>2015-12-18T00:00:00.000Z</x:v>
      </x:c>
      <x:c r="C3184" s="1" t="str">
        <x:v>Standard Class</x:v>
      </x:c>
      <x:c r="D3184" s="1" t="str">
        <x:v>Pacific Asia</x:v>
      </x:c>
      <x:c r="E3184" s="1" t="str">
        <x:v>COMPLETE</x:v>
      </x:c>
      <x:c r="F3184" s="1" t="str">
        <x:v>Shipping on time</x:v>
      </x:c>
      <x:c r="G3184" s="6" t="n">
        <x:v>4</x:v>
      </x:c>
      <x:c r="H3184" s="6" t="n">
        <x:v>4</x:v>
      </x:c>
      <x:c r="I3184" s="6" t="n">
        <x:f>G3184-H3184</x:f>
        <x:v>0</x:v>
      </x:c>
      <x:c r="J3184" s="6" t="n">
        <x:f>IF(OR(E3184="CANCELED",E3184="SUSPECTED_FRAUD",F3184="Shipping canceled"),0,1)</x:f>
        <x:v>1</x:v>
      </x:c>
      <x:c r="K3184" s="6" t="n">
        <x:f>IF(G3184&gt;H3184,1,0)</x:f>
        <x:v>0</x:v>
      </x:c>
      <x:c r="L3184" s="6" t="n">
        <x:f>J3184*K3184</x:f>
        <x:v>0</x:v>
      </x:c>
    </x:row>
    <x:row r="3185">
      <x:c r="A3185" s="1" t="n">
        <x:v>24118</x:v>
      </x:c>
      <x:c r="B3185" s="5" t="d">
        <x:v>2015-12-19T00:00:00.000Z</x:v>
      </x:c>
      <x:c r="C3185" s="1" t="str">
        <x:v>Standard Class</x:v>
      </x:c>
      <x:c r="D3185" s="1" t="str">
        <x:v>Pacific Asia</x:v>
      </x:c>
      <x:c r="E3185" s="1" t="str">
        <x:v>PENDING</x:v>
      </x:c>
      <x:c r="F3185" s="1" t="str">
        <x:v>Shipping on time</x:v>
      </x:c>
      <x:c r="G3185" s="6" t="n">
        <x:v>4</x:v>
      </x:c>
      <x:c r="H3185" s="6" t="n">
        <x:v>4</x:v>
      </x:c>
      <x:c r="I3185" s="6" t="n">
        <x:f>G3185-H3185</x:f>
        <x:v>0</x:v>
      </x:c>
      <x:c r="J3185" s="6" t="n">
        <x:f>IF(OR(E3185="CANCELED",E3185="SUSPECTED_FRAUD",F3185="Shipping canceled"),0,1)</x:f>
        <x:v>1</x:v>
      </x:c>
      <x:c r="K3185" s="6" t="n">
        <x:f>IF(G3185&gt;H3185,1,0)</x:f>
        <x:v>0</x:v>
      </x:c>
      <x:c r="L3185" s="6" t="n">
        <x:f>J3185*K3185</x:f>
        <x:v>0</x:v>
      </x:c>
    </x:row>
    <x:row r="3186">
      <x:c r="A3186" s="1" t="n">
        <x:v>24119</x:v>
      </x:c>
      <x:c r="B3186" s="5" t="d">
        <x:v>2015-12-19T00:00:00.000Z</x:v>
      </x:c>
      <x:c r="C3186" s="1" t="str">
        <x:v>Standard Class</x:v>
      </x:c>
      <x:c r="D3186" s="1" t="str">
        <x:v>Pacific Asia</x:v>
      </x:c>
      <x:c r="E3186" s="1" t="str">
        <x:v>COMPLETE</x:v>
      </x:c>
      <x:c r="F3186" s="1" t="str">
        <x:v>Late delivery</x:v>
      </x:c>
      <x:c r="G3186" s="6" t="n">
        <x:v>5</x:v>
      </x:c>
      <x:c r="H3186" s="6" t="n">
        <x:v>4</x:v>
      </x:c>
      <x:c r="I3186" s="6" t="n">
        <x:f>G3186-H3186</x:f>
        <x:v>1</x:v>
      </x:c>
      <x:c r="J3186" s="6" t="n">
        <x:f>IF(OR(E3186="CANCELED",E3186="SUSPECTED_FRAUD",F3186="Shipping canceled"),0,1)</x:f>
        <x:v>1</x:v>
      </x:c>
      <x:c r="K3186" s="6" t="n">
        <x:f>IF(G3186&gt;H3186,1,0)</x:f>
        <x:v>1</x:v>
      </x:c>
      <x:c r="L3186" s="6" t="n">
        <x:f>J3186*K3186</x:f>
        <x:v>1</x:v>
      </x:c>
    </x:row>
    <x:row r="3187">
      <x:c r="A3187" s="1" t="n">
        <x:v>24121</x:v>
      </x:c>
      <x:c r="B3187" s="5" t="d">
        <x:v>2015-12-19T00:00:00.000Z</x:v>
      </x:c>
      <x:c r="C3187" s="1" t="str">
        <x:v>Standard Class</x:v>
      </x:c>
      <x:c r="D3187" s="1" t="str">
        <x:v>Pacific Asia</x:v>
      </x:c>
      <x:c r="E3187" s="1" t="str">
        <x:v>CLOSED</x:v>
      </x:c>
      <x:c r="F3187" s="1" t="str">
        <x:v>Advance shipping</x:v>
      </x:c>
      <x:c r="G3187" s="6" t="n">
        <x:v>2</x:v>
      </x:c>
      <x:c r="H3187" s="6" t="n">
        <x:v>4</x:v>
      </x:c>
      <x:c r="I3187" s="6" t="n">
        <x:f>G3187-H3187</x:f>
        <x:v>-2</x:v>
      </x:c>
      <x:c r="J3187" s="6" t="n">
        <x:f>IF(OR(E3187="CANCELED",E3187="SUSPECTED_FRAUD",F3187="Shipping canceled"),0,1)</x:f>
        <x:v>1</x:v>
      </x:c>
      <x:c r="K3187" s="6" t="n">
        <x:f>IF(G3187&gt;H3187,1,0)</x:f>
        <x:v>0</x:v>
      </x:c>
      <x:c r="L3187" s="6" t="n">
        <x:f>J3187*K3187</x:f>
        <x:v>0</x:v>
      </x:c>
    </x:row>
    <x:row r="3188">
      <x:c r="A3188" s="1" t="n">
        <x:v>24124</x:v>
      </x:c>
      <x:c r="B3188" s="5" t="d">
        <x:v>2015-12-19T00:00:00.000Z</x:v>
      </x:c>
      <x:c r="C3188" s="1" t="str">
        <x:v>Second Class</x:v>
      </x:c>
      <x:c r="D3188" s="1" t="str">
        <x:v>Pacific Asia</x:v>
      </x:c>
      <x:c r="E3188" s="1" t="str">
        <x:v>PENDING</x:v>
      </x:c>
      <x:c r="F3188" s="1" t="str">
        <x:v>Late delivery</x:v>
      </x:c>
      <x:c r="G3188" s="6" t="n">
        <x:v>5</x:v>
      </x:c>
      <x:c r="H3188" s="6" t="n">
        <x:v>2</x:v>
      </x:c>
      <x:c r="I3188" s="6" t="n">
        <x:f>G3188-H3188</x:f>
        <x:v>3</x:v>
      </x:c>
      <x:c r="J3188" s="6" t="n">
        <x:f>IF(OR(E3188="CANCELED",E3188="SUSPECTED_FRAUD",F3188="Shipping canceled"),0,1)</x:f>
        <x:v>1</x:v>
      </x:c>
      <x:c r="K3188" s="6" t="n">
        <x:f>IF(G3188&gt;H3188,1,0)</x:f>
        <x:v>1</x:v>
      </x:c>
      <x:c r="L3188" s="6" t="n">
        <x:f>J3188*K3188</x:f>
        <x:v>1</x:v>
      </x:c>
    </x:row>
    <x:row r="3189">
      <x:c r="A3189" s="1" t="n">
        <x:v>24125</x:v>
      </x:c>
      <x:c r="B3189" s="5" t="d">
        <x:v>2015-12-19T00:00:00.000Z</x:v>
      </x:c>
      <x:c r="C3189" s="1" t="str">
        <x:v>Standard Class</x:v>
      </x:c>
      <x:c r="D3189" s="1" t="str">
        <x:v>Pacific Asia</x:v>
      </x:c>
      <x:c r="E3189" s="1" t="str">
        <x:v>COMPLETE</x:v>
      </x:c>
      <x:c r="F3189" s="1" t="str">
        <x:v>Late delivery</x:v>
      </x:c>
      <x:c r="G3189" s="6" t="n">
        <x:v>6</x:v>
      </x:c>
      <x:c r="H3189" s="6" t="n">
        <x:v>4</x:v>
      </x:c>
      <x:c r="I3189" s="6" t="n">
        <x:f>G3189-H3189</x:f>
        <x:v>2</x:v>
      </x:c>
      <x:c r="J3189" s="6" t="n">
        <x:f>IF(OR(E3189="CANCELED",E3189="SUSPECTED_FRAUD",F3189="Shipping canceled"),0,1)</x:f>
        <x:v>1</x:v>
      </x:c>
      <x:c r="K3189" s="6" t="n">
        <x:f>IF(G3189&gt;H3189,1,0)</x:f>
        <x:v>1</x:v>
      </x:c>
      <x:c r="L3189" s="6" t="n">
        <x:f>J3189*K3189</x:f>
        <x:v>1</x:v>
      </x:c>
    </x:row>
    <x:row r="3190">
      <x:c r="A3190" s="1" t="n">
        <x:v>24126</x:v>
      </x:c>
      <x:c r="B3190" s="5" t="d">
        <x:v>2015-12-19T00:00:00.000Z</x:v>
      </x:c>
      <x:c r="C3190" s="1" t="str">
        <x:v>Standard Class</x:v>
      </x:c>
      <x:c r="D3190" s="1" t="str">
        <x:v>Pacific Asia</x:v>
      </x:c>
      <x:c r="E3190" s="1" t="str">
        <x:v>COMPLETE</x:v>
      </x:c>
      <x:c r="F3190" s="1" t="str">
        <x:v>Advance shipping</x:v>
      </x:c>
      <x:c r="G3190" s="6" t="n">
        <x:v>2</x:v>
      </x:c>
      <x:c r="H3190" s="6" t="n">
        <x:v>4</x:v>
      </x:c>
      <x:c r="I3190" s="6" t="n">
        <x:f>G3190-H3190</x:f>
        <x:v>-2</x:v>
      </x:c>
      <x:c r="J3190" s="6" t="n">
        <x:f>IF(OR(E3190="CANCELED",E3190="SUSPECTED_FRAUD",F3190="Shipping canceled"),0,1)</x:f>
        <x:v>1</x:v>
      </x:c>
      <x:c r="K3190" s="6" t="n">
        <x:f>IF(G3190&gt;H3190,1,0)</x:f>
        <x:v>0</x:v>
      </x:c>
      <x:c r="L3190" s="6" t="n">
        <x:f>J3190*K3190</x:f>
        <x:v>0</x:v>
      </x:c>
    </x:row>
    <x:row r="3191">
      <x:c r="A3191" s="1" t="n">
        <x:v>24130</x:v>
      </x:c>
      <x:c r="B3191" s="5" t="d">
        <x:v>2015-12-19T00:00:00.000Z</x:v>
      </x:c>
      <x:c r="C3191" s="1" t="str">
        <x:v>Standard Class</x:v>
      </x:c>
      <x:c r="D3191" s="1" t="str">
        <x:v>Pacific Asia</x:v>
      </x:c>
      <x:c r="E3191" s="1" t="str">
        <x:v>COMPLETE</x:v>
      </x:c>
      <x:c r="F3191" s="1" t="str">
        <x:v>Late delivery</x:v>
      </x:c>
      <x:c r="G3191" s="6" t="n">
        <x:v>6</x:v>
      </x:c>
      <x:c r="H3191" s="6" t="n">
        <x:v>4</x:v>
      </x:c>
      <x:c r="I3191" s="6" t="n">
        <x:f>G3191-H3191</x:f>
        <x:v>2</x:v>
      </x:c>
      <x:c r="J3191" s="6" t="n">
        <x:f>IF(OR(E3191="CANCELED",E3191="SUSPECTED_FRAUD",F3191="Shipping canceled"),0,1)</x:f>
        <x:v>1</x:v>
      </x:c>
      <x:c r="K3191" s="6" t="n">
        <x:f>IF(G3191&gt;H3191,1,0)</x:f>
        <x:v>1</x:v>
      </x:c>
      <x:c r="L3191" s="6" t="n">
        <x:f>J3191*K3191</x:f>
        <x:v>1</x:v>
      </x:c>
    </x:row>
    <x:row r="3192">
      <x:c r="A3192" s="1" t="n">
        <x:v>24149</x:v>
      </x:c>
      <x:c r="B3192" s="5" t="d">
        <x:v>2015-12-19T00:00:00.000Z</x:v>
      </x:c>
      <x:c r="C3192" s="1" t="str">
        <x:v>Same Day</x:v>
      </x:c>
      <x:c r="D3192" s="1" t="str">
        <x:v>Pacific Asia</x:v>
      </x:c>
      <x:c r="E3192" s="1" t="str">
        <x:v>PROCESSING</x:v>
      </x:c>
      <x:c r="F3192" s="1" t="str">
        <x:v>Late delivery</x:v>
      </x:c>
      <x:c r="G3192" s="6" t="n">
        <x:v>1</x:v>
      </x:c>
      <x:c r="H3192" s="6" t="n">
        <x:v>0</x:v>
      </x:c>
      <x:c r="I3192" s="6" t="n">
        <x:f>G3192-H3192</x:f>
        <x:v>1</x:v>
      </x:c>
      <x:c r="J3192" s="6" t="n">
        <x:f>IF(OR(E3192="CANCELED",E3192="SUSPECTED_FRAUD",F3192="Shipping canceled"),0,1)</x:f>
        <x:v>1</x:v>
      </x:c>
      <x:c r="K3192" s="6" t="n">
        <x:f>IF(G3192&gt;H3192,1,0)</x:f>
        <x:v>1</x:v>
      </x:c>
      <x:c r="L3192" s="6" t="n">
        <x:f>J3192*K3192</x:f>
        <x:v>1</x:v>
      </x:c>
    </x:row>
    <x:row r="3193">
      <x:c r="A3193" s="1" t="n">
        <x:v>24155</x:v>
      </x:c>
      <x:c r="B3193" s="5" t="d">
        <x:v>2015-12-19T00:00:00.000Z</x:v>
      </x:c>
      <x:c r="C3193" s="1" t="str">
        <x:v>Second Class</x:v>
      </x:c>
      <x:c r="D3193" s="1" t="str">
        <x:v>Pacific Asia</x:v>
      </x:c>
      <x:c r="E3193" s="1" t="str">
        <x:v>ON_HOLD</x:v>
      </x:c>
      <x:c r="F3193" s="1" t="str">
        <x:v>Late delivery</x:v>
      </x:c>
      <x:c r="G3193" s="6" t="n">
        <x:v>6</x:v>
      </x:c>
      <x:c r="H3193" s="6" t="n">
        <x:v>2</x:v>
      </x:c>
      <x:c r="I3193" s="6" t="n">
        <x:f>G3193-H3193</x:f>
        <x:v>4</x:v>
      </x:c>
      <x:c r="J3193" s="6" t="n">
        <x:f>IF(OR(E3193="CANCELED",E3193="SUSPECTED_FRAUD",F3193="Shipping canceled"),0,1)</x:f>
        <x:v>1</x:v>
      </x:c>
      <x:c r="K3193" s="6" t="n">
        <x:f>IF(G3193&gt;H3193,1,0)</x:f>
        <x:v>1</x:v>
      </x:c>
      <x:c r="L3193" s="6" t="n">
        <x:f>J3193*K3193</x:f>
        <x:v>1</x:v>
      </x:c>
    </x:row>
    <x:row r="3194">
      <x:c r="A3194" s="1" t="n">
        <x:v>24160</x:v>
      </x:c>
      <x:c r="B3194" s="5" t="d">
        <x:v>2015-12-19T00:00:00.000Z</x:v>
      </x:c>
      <x:c r="C3194" s="1" t="str">
        <x:v>Second Class</x:v>
      </x:c>
      <x:c r="D3194" s="1" t="str">
        <x:v>Pacific Asia</x:v>
      </x:c>
      <x:c r="E3194" s="1" t="str">
        <x:v>PENDING_PAYMENT</x:v>
      </x:c>
      <x:c r="F3194" s="1" t="str">
        <x:v>Late delivery</x:v>
      </x:c>
      <x:c r="G3194" s="6" t="n">
        <x:v>6</x:v>
      </x:c>
      <x:c r="H3194" s="6" t="n">
        <x:v>2</x:v>
      </x:c>
      <x:c r="I3194" s="6" t="n">
        <x:f>G3194-H3194</x:f>
        <x:v>4</x:v>
      </x:c>
      <x:c r="J3194" s="6" t="n">
        <x:f>IF(OR(E3194="CANCELED",E3194="SUSPECTED_FRAUD",F3194="Shipping canceled"),0,1)</x:f>
        <x:v>1</x:v>
      </x:c>
      <x:c r="K3194" s="6" t="n">
        <x:f>IF(G3194&gt;H3194,1,0)</x:f>
        <x:v>1</x:v>
      </x:c>
      <x:c r="L3194" s="6" t="n">
        <x:f>J3194*K3194</x:f>
        <x:v>1</x:v>
      </x:c>
    </x:row>
    <x:row r="3195">
      <x:c r="A3195" s="1" t="n">
        <x:v>24167</x:v>
      </x:c>
      <x:c r="B3195" s="5" t="d">
        <x:v>2015-12-19T00:00:00.000Z</x:v>
      </x:c>
      <x:c r="C3195" s="1" t="str">
        <x:v>Standard Class</x:v>
      </x:c>
      <x:c r="D3195" s="1" t="str">
        <x:v>Pacific Asia</x:v>
      </x:c>
      <x:c r="E3195" s="1" t="str">
        <x:v>COMPLETE</x:v>
      </x:c>
      <x:c r="F3195" s="1" t="str">
        <x:v>Advance shipping</x:v>
      </x:c>
      <x:c r="G3195" s="6" t="n">
        <x:v>3</x:v>
      </x:c>
      <x:c r="H3195" s="6" t="n">
        <x:v>4</x:v>
      </x:c>
      <x:c r="I3195" s="6" t="n">
        <x:f>G3195-H3195</x:f>
        <x:v>-1</x:v>
      </x:c>
      <x:c r="J3195" s="6" t="n">
        <x:f>IF(OR(E3195="CANCELED",E3195="SUSPECTED_FRAUD",F3195="Shipping canceled"),0,1)</x:f>
        <x:v>1</x:v>
      </x:c>
      <x:c r="K3195" s="6" t="n">
        <x:f>IF(G3195&gt;H3195,1,0)</x:f>
        <x:v>0</x:v>
      </x:c>
      <x:c r="L3195" s="6" t="n">
        <x:f>J3195*K3195</x:f>
        <x:v>0</x:v>
      </x:c>
    </x:row>
    <x:row r="3196">
      <x:c r="A3196" s="1" t="n">
        <x:v>24170</x:v>
      </x:c>
      <x:c r="B3196" s="5" t="d">
        <x:v>2015-12-19T00:00:00.000Z</x:v>
      </x:c>
      <x:c r="C3196" s="1" t="str">
        <x:v>First Class</x:v>
      </x:c>
      <x:c r="D3196" s="1" t="str">
        <x:v>Pacific Asia</x:v>
      </x:c>
      <x:c r="E3196" s="1" t="str">
        <x:v>CLOSED</x:v>
      </x:c>
      <x:c r="F3196" s="1" t="str">
        <x:v>Late delivery</x:v>
      </x:c>
      <x:c r="G3196" s="6" t="n">
        <x:v>2</x:v>
      </x:c>
      <x:c r="H3196" s="6" t="n">
        <x:v>1</x:v>
      </x:c>
      <x:c r="I3196" s="6" t="n">
        <x:f>G3196-H3196</x:f>
        <x:v>1</x:v>
      </x:c>
      <x:c r="J3196" s="6" t="n">
        <x:f>IF(OR(E3196="CANCELED",E3196="SUSPECTED_FRAUD",F3196="Shipping canceled"),0,1)</x:f>
        <x:v>1</x:v>
      </x:c>
      <x:c r="K3196" s="6" t="n">
        <x:f>IF(G3196&gt;H3196,1,0)</x:f>
        <x:v>1</x:v>
      </x:c>
      <x:c r="L3196" s="6" t="n">
        <x:f>J3196*K3196</x:f>
        <x:v>1</x:v>
      </x:c>
    </x:row>
    <x:row r="3197">
      <x:c r="A3197" s="1" t="n">
        <x:v>24176</x:v>
      </x:c>
      <x:c r="B3197" s="5" t="d">
        <x:v>2015-12-19T00:00:00.000Z</x:v>
      </x:c>
      <x:c r="C3197" s="1" t="str">
        <x:v>Standard Class</x:v>
      </x:c>
      <x:c r="D3197" s="1" t="str">
        <x:v>Pacific Asia</x:v>
      </x:c>
      <x:c r="E3197" s="1" t="str">
        <x:v>PENDING</x:v>
      </x:c>
      <x:c r="F3197" s="1" t="str">
        <x:v>Advance shipping</x:v>
      </x:c>
      <x:c r="G3197" s="6" t="n">
        <x:v>2</x:v>
      </x:c>
      <x:c r="H3197" s="6" t="n">
        <x:v>4</x:v>
      </x:c>
      <x:c r="I3197" s="6" t="n">
        <x:f>G3197-H3197</x:f>
        <x:v>-2</x:v>
      </x:c>
      <x:c r="J3197" s="6" t="n">
        <x:f>IF(OR(E3197="CANCELED",E3197="SUSPECTED_FRAUD",F3197="Shipping canceled"),0,1)</x:f>
        <x:v>1</x:v>
      </x:c>
      <x:c r="K3197" s="6" t="n">
        <x:f>IF(G3197&gt;H3197,1,0)</x:f>
        <x:v>0</x:v>
      </x:c>
      <x:c r="L3197" s="6" t="n">
        <x:f>J3197*K3197</x:f>
        <x:v>0</x:v>
      </x:c>
    </x:row>
    <x:row r="3198">
      <x:c r="A3198" s="1" t="n">
        <x:v>24182</x:v>
      </x:c>
      <x:c r="B3198" s="5" t="d">
        <x:v>2015-12-19T00:00:00.000Z</x:v>
      </x:c>
      <x:c r="C3198" s="1" t="str">
        <x:v>Standard Class</x:v>
      </x:c>
      <x:c r="D3198" s="1" t="str">
        <x:v>Pacific Asia</x:v>
      </x:c>
      <x:c r="E3198" s="1" t="str">
        <x:v>PENDING</x:v>
      </x:c>
      <x:c r="F3198" s="1" t="str">
        <x:v>Advance shipping</x:v>
      </x:c>
      <x:c r="G3198" s="6" t="n">
        <x:v>3</x:v>
      </x:c>
      <x:c r="H3198" s="6" t="n">
        <x:v>4</x:v>
      </x:c>
      <x:c r="I3198" s="6" t="n">
        <x:f>G3198-H3198</x:f>
        <x:v>-1</x:v>
      </x:c>
      <x:c r="J3198" s="6" t="n">
        <x:f>IF(OR(E3198="CANCELED",E3198="SUSPECTED_FRAUD",F3198="Shipping canceled"),0,1)</x:f>
        <x:v>1</x:v>
      </x:c>
      <x:c r="K3198" s="6" t="n">
        <x:f>IF(G3198&gt;H3198,1,0)</x:f>
        <x:v>0</x:v>
      </x:c>
      <x:c r="L3198" s="6" t="n">
        <x:f>J3198*K3198</x:f>
        <x:v>0</x:v>
      </x:c>
    </x:row>
    <x:row r="3199">
      <x:c r="A3199" s="1" t="n">
        <x:v>24197</x:v>
      </x:c>
      <x:c r="B3199" s="5" t="d">
        <x:v>2015-12-20T00:00:00.000Z</x:v>
      </x:c>
      <x:c r="C3199" s="1" t="str">
        <x:v>First Class</x:v>
      </x:c>
      <x:c r="D3199" s="1" t="str">
        <x:v>Pacific Asia</x:v>
      </x:c>
      <x:c r="E3199" s="1" t="str">
        <x:v>PENDING</x:v>
      </x:c>
      <x:c r="F3199" s="1" t="str">
        <x:v>Late delivery</x:v>
      </x:c>
      <x:c r="G3199" s="6" t="n">
        <x:v>2</x:v>
      </x:c>
      <x:c r="H3199" s="6" t="n">
        <x:v>1</x:v>
      </x:c>
      <x:c r="I3199" s="6" t="n">
        <x:f>G3199-H3199</x:f>
        <x:v>1</x:v>
      </x:c>
      <x:c r="J3199" s="6" t="n">
        <x:f>IF(OR(E3199="CANCELED",E3199="SUSPECTED_FRAUD",F3199="Shipping canceled"),0,1)</x:f>
        <x:v>1</x:v>
      </x:c>
      <x:c r="K3199" s="6" t="n">
        <x:f>IF(G3199&gt;H3199,1,0)</x:f>
        <x:v>1</x:v>
      </x:c>
      <x:c r="L3199" s="6" t="n">
        <x:f>J3199*K3199</x:f>
        <x:v>1</x:v>
      </x:c>
    </x:row>
    <x:row r="3200">
      <x:c r="A3200" s="1" t="n">
        <x:v>24205</x:v>
      </x:c>
      <x:c r="B3200" s="5" t="d">
        <x:v>2015-12-20T00:00:00.000Z</x:v>
      </x:c>
      <x:c r="C3200" s="1" t="str">
        <x:v>Standard Class</x:v>
      </x:c>
      <x:c r="D3200" s="1" t="str">
        <x:v>Pacific Asia</x:v>
      </x:c>
      <x:c r="E3200" s="1" t="str">
        <x:v>COMPLETE</x:v>
      </x:c>
      <x:c r="F3200" s="1" t="str">
        <x:v>Late delivery</x:v>
      </x:c>
      <x:c r="G3200" s="6" t="n">
        <x:v>6</x:v>
      </x:c>
      <x:c r="H3200" s="6" t="n">
        <x:v>4</x:v>
      </x:c>
      <x:c r="I3200" s="6" t="n">
        <x:f>G3200-H3200</x:f>
        <x:v>2</x:v>
      </x:c>
      <x:c r="J3200" s="6" t="n">
        <x:f>IF(OR(E3200="CANCELED",E3200="SUSPECTED_FRAUD",F3200="Shipping canceled"),0,1)</x:f>
        <x:v>1</x:v>
      </x:c>
      <x:c r="K3200" s="6" t="n">
        <x:f>IF(G3200&gt;H3200,1,0)</x:f>
        <x:v>1</x:v>
      </x:c>
      <x:c r="L3200" s="6" t="n">
        <x:f>J3200*K3200</x:f>
        <x:v>1</x:v>
      </x:c>
    </x:row>
    <x:row r="3201">
      <x:c r="A3201" s="1" t="n">
        <x:v>24207</x:v>
      </x:c>
      <x:c r="B3201" s="5" t="d">
        <x:v>2015-12-20T00:00:00.000Z</x:v>
      </x:c>
      <x:c r="C3201" s="1" t="str">
        <x:v>Standard Class</x:v>
      </x:c>
      <x:c r="D3201" s="1" t="str">
        <x:v>Pacific Asia</x:v>
      </x:c>
      <x:c r="E3201" s="1" t="str">
        <x:v>PROCESSING</x:v>
      </x:c>
      <x:c r="F3201" s="1" t="str">
        <x:v>Advance shipping</x:v>
      </x:c>
      <x:c r="G3201" s="6" t="n">
        <x:v>3</x:v>
      </x:c>
      <x:c r="H3201" s="6" t="n">
        <x:v>4</x:v>
      </x:c>
      <x:c r="I3201" s="6" t="n">
        <x:f>G3201-H3201</x:f>
        <x:v>-1</x:v>
      </x:c>
      <x:c r="J3201" s="6" t="n">
        <x:f>IF(OR(E3201="CANCELED",E3201="SUSPECTED_FRAUD",F3201="Shipping canceled"),0,1)</x:f>
        <x:v>1</x:v>
      </x:c>
      <x:c r="K3201" s="6" t="n">
        <x:f>IF(G3201&gt;H3201,1,0)</x:f>
        <x:v>0</x:v>
      </x:c>
      <x:c r="L3201" s="6" t="n">
        <x:f>J3201*K3201</x:f>
        <x:v>0</x:v>
      </x:c>
    </x:row>
    <x:row r="3202">
      <x:c r="A3202" s="1" t="n">
        <x:v>24214</x:v>
      </x:c>
      <x:c r="B3202" s="5" t="d">
        <x:v>2015-12-20T00:00:00.000Z</x:v>
      </x:c>
      <x:c r="C3202" s="1" t="str">
        <x:v>First Class</x:v>
      </x:c>
      <x:c r="D3202" s="1" t="str">
        <x:v>Pacific Asia</x:v>
      </x:c>
      <x:c r="E3202" s="1" t="str">
        <x:v>CLOSED</x:v>
      </x:c>
      <x:c r="F3202" s="1" t="str">
        <x:v>Late delivery</x:v>
      </x:c>
      <x:c r="G3202" s="6" t="n">
        <x:v>2</x:v>
      </x:c>
      <x:c r="H3202" s="6" t="n">
        <x:v>1</x:v>
      </x:c>
      <x:c r="I3202" s="6" t="n">
        <x:f>G3202-H3202</x:f>
        <x:v>1</x:v>
      </x:c>
      <x:c r="J3202" s="6" t="n">
        <x:f>IF(OR(E3202="CANCELED",E3202="SUSPECTED_FRAUD",F3202="Shipping canceled"),0,1)</x:f>
        <x:v>1</x:v>
      </x:c>
      <x:c r="K3202" s="6" t="n">
        <x:f>IF(G3202&gt;H3202,1,0)</x:f>
        <x:v>1</x:v>
      </x:c>
      <x:c r="L3202" s="6" t="n">
        <x:f>J3202*K3202</x:f>
        <x:v>1</x:v>
      </x:c>
    </x:row>
    <x:row r="3203">
      <x:c r="A3203" s="1" t="n">
        <x:v>24229</x:v>
      </x:c>
      <x:c r="B3203" s="5" t="d">
        <x:v>2015-12-20T00:00:00.000Z</x:v>
      </x:c>
      <x:c r="C3203" s="1" t="str">
        <x:v>Standard Class</x:v>
      </x:c>
      <x:c r="D3203" s="1" t="str">
        <x:v>Pacific Asia</x:v>
      </x:c>
      <x:c r="E3203" s="1" t="str">
        <x:v>ON_HOLD</x:v>
      </x:c>
      <x:c r="F3203" s="1" t="str">
        <x:v>Late delivery</x:v>
      </x:c>
      <x:c r="G3203" s="6" t="n">
        <x:v>5</x:v>
      </x:c>
      <x:c r="H3203" s="6" t="n">
        <x:v>4</x:v>
      </x:c>
      <x:c r="I3203" s="6" t="n">
        <x:f>G3203-H3203</x:f>
        <x:v>1</x:v>
      </x:c>
      <x:c r="J3203" s="6" t="n">
        <x:f>IF(OR(E3203="CANCELED",E3203="SUSPECTED_FRAUD",F3203="Shipping canceled"),0,1)</x:f>
        <x:v>1</x:v>
      </x:c>
      <x:c r="K3203" s="6" t="n">
        <x:f>IF(G3203&gt;H3203,1,0)</x:f>
        <x:v>1</x:v>
      </x:c>
      <x:c r="L3203" s="6" t="n">
        <x:f>J3203*K3203</x:f>
        <x:v>1</x:v>
      </x:c>
    </x:row>
    <x:row r="3204">
      <x:c r="A3204" s="1" t="n">
        <x:v>24230</x:v>
      </x:c>
      <x:c r="B3204" s="5" t="d">
        <x:v>2015-12-20T00:00:00.000Z</x:v>
      </x:c>
      <x:c r="C3204" s="1" t="str">
        <x:v>Standard Class</x:v>
      </x:c>
      <x:c r="D3204" s="1" t="str">
        <x:v>Pacific Asia</x:v>
      </x:c>
      <x:c r="E3204" s="1" t="str">
        <x:v>COMPLETE</x:v>
      </x:c>
      <x:c r="F3204" s="1" t="str">
        <x:v>Late delivery</x:v>
      </x:c>
      <x:c r="G3204" s="6" t="n">
        <x:v>6</x:v>
      </x:c>
      <x:c r="H3204" s="6" t="n">
        <x:v>4</x:v>
      </x:c>
      <x:c r="I3204" s="6" t="n">
        <x:f>G3204-H3204</x:f>
        <x:v>2</x:v>
      </x:c>
      <x:c r="J3204" s="6" t="n">
        <x:f>IF(OR(E3204="CANCELED",E3204="SUSPECTED_FRAUD",F3204="Shipping canceled"),0,1)</x:f>
        <x:v>1</x:v>
      </x:c>
      <x:c r="K3204" s="6" t="n">
        <x:f>IF(G3204&gt;H3204,1,0)</x:f>
        <x:v>1</x:v>
      </x:c>
      <x:c r="L3204" s="6" t="n">
        <x:f>J3204*K3204</x:f>
        <x:v>1</x:v>
      </x:c>
    </x:row>
    <x:row r="3205">
      <x:c r="A3205" s="1" t="n">
        <x:v>24253</x:v>
      </x:c>
      <x:c r="B3205" s="5" t="d">
        <x:v>2015-12-21T00:00:00.000Z</x:v>
      </x:c>
      <x:c r="C3205" s="1" t="str">
        <x:v>Standard Class</x:v>
      </x:c>
      <x:c r="D3205" s="1" t="str">
        <x:v>Pacific Asia</x:v>
      </x:c>
      <x:c r="E3205" s="1" t="str">
        <x:v>PENDING_PAYMENT</x:v>
      </x:c>
      <x:c r="F3205" s="1" t="str">
        <x:v>Shipping on time</x:v>
      </x:c>
      <x:c r="G3205" s="6" t="n">
        <x:v>4</x:v>
      </x:c>
      <x:c r="H3205" s="6" t="n">
        <x:v>4</x:v>
      </x:c>
      <x:c r="I3205" s="6" t="n">
        <x:f>G3205-H3205</x:f>
        <x:v>0</x:v>
      </x:c>
      <x:c r="J3205" s="6" t="n">
        <x:f>IF(OR(E3205="CANCELED",E3205="SUSPECTED_FRAUD",F3205="Shipping canceled"),0,1)</x:f>
        <x:v>1</x:v>
      </x:c>
      <x:c r="K3205" s="6" t="n">
        <x:f>IF(G3205&gt;H3205,1,0)</x:f>
        <x:v>0</x:v>
      </x:c>
      <x:c r="L3205" s="6" t="n">
        <x:f>J3205*K3205</x:f>
        <x:v>0</x:v>
      </x:c>
    </x:row>
    <x:row r="3206">
      <x:c r="A3206" s="1" t="n">
        <x:v>24257</x:v>
      </x:c>
      <x:c r="B3206" s="5" t="d">
        <x:v>2015-12-21T00:00:00.000Z</x:v>
      </x:c>
      <x:c r="C3206" s="1" t="str">
        <x:v>Standard Class</x:v>
      </x:c>
      <x:c r="D3206" s="1" t="str">
        <x:v>Pacific Asia</x:v>
      </x:c>
      <x:c r="E3206" s="1" t="str">
        <x:v>ON_HOLD</x:v>
      </x:c>
      <x:c r="F3206" s="1" t="str">
        <x:v>Advance shipping</x:v>
      </x:c>
      <x:c r="G3206" s="6" t="n">
        <x:v>3</x:v>
      </x:c>
      <x:c r="H3206" s="6" t="n">
        <x:v>4</x:v>
      </x:c>
      <x:c r="I3206" s="6" t="n">
        <x:f>G3206-H3206</x:f>
        <x:v>-1</x:v>
      </x:c>
      <x:c r="J3206" s="6" t="n">
        <x:f>IF(OR(E3206="CANCELED",E3206="SUSPECTED_FRAUD",F3206="Shipping canceled"),0,1)</x:f>
        <x:v>1</x:v>
      </x:c>
      <x:c r="K3206" s="6" t="n">
        <x:f>IF(G3206&gt;H3206,1,0)</x:f>
        <x:v>0</x:v>
      </x:c>
      <x:c r="L3206" s="6" t="n">
        <x:f>J3206*K3206</x:f>
        <x:v>0</x:v>
      </x:c>
    </x:row>
    <x:row r="3207">
      <x:c r="A3207" s="1" t="n">
        <x:v>24263</x:v>
      </x:c>
      <x:c r="B3207" s="5" t="d">
        <x:v>2015-12-21T00:00:00.000Z</x:v>
      </x:c>
      <x:c r="C3207" s="1" t="str">
        <x:v>Standard Class</x:v>
      </x:c>
      <x:c r="D3207" s="1" t="str">
        <x:v>Pacific Asia</x:v>
      </x:c>
      <x:c r="E3207" s="1" t="str">
        <x:v>PENDING</x:v>
      </x:c>
      <x:c r="F3207" s="1" t="str">
        <x:v>Shipping on time</x:v>
      </x:c>
      <x:c r="G3207" s="6" t="n">
        <x:v>4</x:v>
      </x:c>
      <x:c r="H3207" s="6" t="n">
        <x:v>4</x:v>
      </x:c>
      <x:c r="I3207" s="6" t="n">
        <x:f>G3207-H3207</x:f>
        <x:v>0</x:v>
      </x:c>
      <x:c r="J3207" s="6" t="n">
        <x:f>IF(OR(E3207="CANCELED",E3207="SUSPECTED_FRAUD",F3207="Shipping canceled"),0,1)</x:f>
        <x:v>1</x:v>
      </x:c>
      <x:c r="K3207" s="6" t="n">
        <x:f>IF(G3207&gt;H3207,1,0)</x:f>
        <x:v>0</x:v>
      </x:c>
      <x:c r="L3207" s="6" t="n">
        <x:f>J3207*K3207</x:f>
        <x:v>0</x:v>
      </x:c>
    </x:row>
    <x:row r="3208">
      <x:c r="A3208" s="1" t="n">
        <x:v>24271</x:v>
      </x:c>
      <x:c r="B3208" s="5" t="d">
        <x:v>2015-12-21T00:00:00.000Z</x:v>
      </x:c>
      <x:c r="C3208" s="1" t="str">
        <x:v>Standard Class</x:v>
      </x:c>
      <x:c r="D3208" s="1" t="str">
        <x:v>Pacific Asia</x:v>
      </x:c>
      <x:c r="E3208" s="1" t="str">
        <x:v>PENDING</x:v>
      </x:c>
      <x:c r="F3208" s="1" t="str">
        <x:v>Advance shipping</x:v>
      </x:c>
      <x:c r="G3208" s="6" t="n">
        <x:v>2</x:v>
      </x:c>
      <x:c r="H3208" s="6" t="n">
        <x:v>4</x:v>
      </x:c>
      <x:c r="I3208" s="6" t="n">
        <x:f>G3208-H3208</x:f>
        <x:v>-2</x:v>
      </x:c>
      <x:c r="J3208" s="6" t="n">
        <x:f>IF(OR(E3208="CANCELED",E3208="SUSPECTED_FRAUD",F3208="Shipping canceled"),0,1)</x:f>
        <x:v>1</x:v>
      </x:c>
      <x:c r="K3208" s="6" t="n">
        <x:f>IF(G3208&gt;H3208,1,0)</x:f>
        <x:v>0</x:v>
      </x:c>
      <x:c r="L3208" s="6" t="n">
        <x:f>J3208*K3208</x:f>
        <x:v>0</x:v>
      </x:c>
    </x:row>
    <x:row r="3209">
      <x:c r="A3209" s="1" t="n">
        <x:v>24282</x:v>
      </x:c>
      <x:c r="B3209" s="5" t="d">
        <x:v>2015-12-21T00:00:00.000Z</x:v>
      </x:c>
      <x:c r="C3209" s="1" t="str">
        <x:v>Second Class</x:v>
      </x:c>
      <x:c r="D3209" s="1" t="str">
        <x:v>Pacific Asia</x:v>
      </x:c>
      <x:c r="E3209" s="1" t="str">
        <x:v>COMPLETE</x:v>
      </x:c>
      <x:c r="F3209" s="1" t="str">
        <x:v>Late delivery</x:v>
      </x:c>
      <x:c r="G3209" s="6" t="n">
        <x:v>3</x:v>
      </x:c>
      <x:c r="H3209" s="6" t="n">
        <x:v>2</x:v>
      </x:c>
      <x:c r="I3209" s="6" t="n">
        <x:f>G3209-H3209</x:f>
        <x:v>1</x:v>
      </x:c>
      <x:c r="J3209" s="6" t="n">
        <x:f>IF(OR(E3209="CANCELED",E3209="SUSPECTED_FRAUD",F3209="Shipping canceled"),0,1)</x:f>
        <x:v>1</x:v>
      </x:c>
      <x:c r="K3209" s="6" t="n">
        <x:f>IF(G3209&gt;H3209,1,0)</x:f>
        <x:v>1</x:v>
      </x:c>
      <x:c r="L3209" s="6" t="n">
        <x:f>J3209*K3209</x:f>
        <x:v>1</x:v>
      </x:c>
    </x:row>
    <x:row r="3210">
      <x:c r="A3210" s="1" t="n">
        <x:v>24302</x:v>
      </x:c>
      <x:c r="B3210" s="5" t="d">
        <x:v>2015-12-21T00:00:00.000Z</x:v>
      </x:c>
      <x:c r="C3210" s="1" t="str">
        <x:v>First Class</x:v>
      </x:c>
      <x:c r="D3210" s="1" t="str">
        <x:v>Pacific Asia</x:v>
      </x:c>
      <x:c r="E3210" s="1" t="str">
        <x:v>COMPLETE</x:v>
      </x:c>
      <x:c r="F3210" s="1" t="str">
        <x:v>Late delivery</x:v>
      </x:c>
      <x:c r="G3210" s="6" t="n">
        <x:v>2</x:v>
      </x:c>
      <x:c r="H3210" s="6" t="n">
        <x:v>1</x:v>
      </x:c>
      <x:c r="I3210" s="6" t="n">
        <x:f>G3210-H3210</x:f>
        <x:v>1</x:v>
      </x:c>
      <x:c r="J3210" s="6" t="n">
        <x:f>IF(OR(E3210="CANCELED",E3210="SUSPECTED_FRAUD",F3210="Shipping canceled"),0,1)</x:f>
        <x:v>1</x:v>
      </x:c>
      <x:c r="K3210" s="6" t="n">
        <x:f>IF(G3210&gt;H3210,1,0)</x:f>
        <x:v>1</x:v>
      </x:c>
      <x:c r="L3210" s="6" t="n">
        <x:f>J3210*K3210</x:f>
        <x:v>1</x:v>
      </x:c>
    </x:row>
    <x:row r="3211">
      <x:c r="A3211" s="1" t="n">
        <x:v>24313</x:v>
      </x:c>
      <x:c r="B3211" s="5" t="d">
        <x:v>2015-12-21T00:00:00.000Z</x:v>
      </x:c>
      <x:c r="C3211" s="1" t="str">
        <x:v>Standard Class</x:v>
      </x:c>
      <x:c r="D3211" s="1" t="str">
        <x:v>Pacific Asia</x:v>
      </x:c>
      <x:c r="E3211" s="1" t="str">
        <x:v>COMPLETE</x:v>
      </x:c>
      <x:c r="F3211" s="1" t="str">
        <x:v>Shipping on time</x:v>
      </x:c>
      <x:c r="G3211" s="6" t="n">
        <x:v>4</x:v>
      </x:c>
      <x:c r="H3211" s="6" t="n">
        <x:v>4</x:v>
      </x:c>
      <x:c r="I3211" s="6" t="n">
        <x:f>G3211-H3211</x:f>
        <x:v>0</x:v>
      </x:c>
      <x:c r="J3211" s="6" t="n">
        <x:f>IF(OR(E3211="CANCELED",E3211="SUSPECTED_FRAUD",F3211="Shipping canceled"),0,1)</x:f>
        <x:v>1</x:v>
      </x:c>
      <x:c r="K3211" s="6" t="n">
        <x:f>IF(G3211&gt;H3211,1,0)</x:f>
        <x:v>0</x:v>
      </x:c>
      <x:c r="L3211" s="6" t="n">
        <x:f>J3211*K3211</x:f>
        <x:v>0</x:v>
      </x:c>
    </x:row>
    <x:row r="3212">
      <x:c r="A3212" s="1" t="n">
        <x:v>24314</x:v>
      </x:c>
      <x:c r="B3212" s="5" t="d">
        <x:v>2015-12-21T00:00:00.000Z</x:v>
      </x:c>
      <x:c r="C3212" s="1" t="str">
        <x:v>Standard Class</x:v>
      </x:c>
      <x:c r="D3212" s="1" t="str">
        <x:v>Pacific Asia</x:v>
      </x:c>
      <x:c r="E3212" s="1" t="str">
        <x:v>COMPLETE</x:v>
      </x:c>
      <x:c r="F3212" s="1" t="str">
        <x:v>Late delivery</x:v>
      </x:c>
      <x:c r="G3212" s="6" t="n">
        <x:v>5</x:v>
      </x:c>
      <x:c r="H3212" s="6" t="n">
        <x:v>4</x:v>
      </x:c>
      <x:c r="I3212" s="6" t="n">
        <x:f>G3212-H3212</x:f>
        <x:v>1</x:v>
      </x:c>
      <x:c r="J3212" s="6" t="n">
        <x:f>IF(OR(E3212="CANCELED",E3212="SUSPECTED_FRAUD",F3212="Shipping canceled"),0,1)</x:f>
        <x:v>1</x:v>
      </x:c>
      <x:c r="K3212" s="6" t="n">
        <x:f>IF(G3212&gt;H3212,1,0)</x:f>
        <x:v>1</x:v>
      </x:c>
      <x:c r="L3212" s="6" t="n">
        <x:f>J3212*K3212</x:f>
        <x:v>1</x:v>
      </x:c>
    </x:row>
    <x:row r="3213">
      <x:c r="A3213" s="1" t="n">
        <x:v>24316</x:v>
      </x:c>
      <x:c r="B3213" s="5" t="d">
        <x:v>2015-12-21T00:00:00.000Z</x:v>
      </x:c>
      <x:c r="C3213" s="1" t="str">
        <x:v>Second Class</x:v>
      </x:c>
      <x:c r="D3213" s="1" t="str">
        <x:v>Pacific Asia</x:v>
      </x:c>
      <x:c r="E3213" s="1" t="str">
        <x:v>COMPLETE</x:v>
      </x:c>
      <x:c r="F3213" s="1" t="str">
        <x:v>Shipping on time</x:v>
      </x:c>
      <x:c r="G3213" s="6" t="n">
        <x:v>2</x:v>
      </x:c>
      <x:c r="H3213" s="6" t="n">
        <x:v>2</x:v>
      </x:c>
      <x:c r="I3213" s="6" t="n">
        <x:f>G3213-H3213</x:f>
        <x:v>0</x:v>
      </x:c>
      <x:c r="J3213" s="6" t="n">
        <x:f>IF(OR(E3213="CANCELED",E3213="SUSPECTED_FRAUD",F3213="Shipping canceled"),0,1)</x:f>
        <x:v>1</x:v>
      </x:c>
      <x:c r="K3213" s="6" t="n">
        <x:f>IF(G3213&gt;H3213,1,0)</x:f>
        <x:v>0</x:v>
      </x:c>
      <x:c r="L3213" s="6" t="n">
        <x:f>J3213*K3213</x:f>
        <x:v>0</x:v>
      </x:c>
    </x:row>
    <x:row r="3214">
      <x:c r="A3214" s="1" t="n">
        <x:v>24320</x:v>
      </x:c>
      <x:c r="B3214" s="5" t="d">
        <x:v>2015-12-22T00:00:00.000Z</x:v>
      </x:c>
      <x:c r="C3214" s="1" t="str">
        <x:v>First Class</x:v>
      </x:c>
      <x:c r="D3214" s="1" t="str">
        <x:v>Pacific Asia</x:v>
      </x:c>
      <x:c r="E3214" s="1" t="str">
        <x:v>CLOSED</x:v>
      </x:c>
      <x:c r="F3214" s="1" t="str">
        <x:v>Late delivery</x:v>
      </x:c>
      <x:c r="G3214" s="6" t="n">
        <x:v>2</x:v>
      </x:c>
      <x:c r="H3214" s="6" t="n">
        <x:v>1</x:v>
      </x:c>
      <x:c r="I3214" s="6" t="n">
        <x:f>G3214-H3214</x:f>
        <x:v>1</x:v>
      </x:c>
      <x:c r="J3214" s="6" t="n">
        <x:f>IF(OR(E3214="CANCELED",E3214="SUSPECTED_FRAUD",F3214="Shipping canceled"),0,1)</x:f>
        <x:v>1</x:v>
      </x:c>
      <x:c r="K3214" s="6" t="n">
        <x:f>IF(G3214&gt;H3214,1,0)</x:f>
        <x:v>1</x:v>
      </x:c>
      <x:c r="L3214" s="6" t="n">
        <x:f>J3214*K3214</x:f>
        <x:v>1</x:v>
      </x:c>
    </x:row>
    <x:row r="3215">
      <x:c r="A3215" s="1" t="n">
        <x:v>24325</x:v>
      </x:c>
      <x:c r="B3215" s="5" t="d">
        <x:v>2015-12-22T00:00:00.000Z</x:v>
      </x:c>
      <x:c r="C3215" s="1" t="str">
        <x:v>Second Class</x:v>
      </x:c>
      <x:c r="D3215" s="1" t="str">
        <x:v>Pacific Asia</x:v>
      </x:c>
      <x:c r="E3215" s="1" t="str">
        <x:v>PROCESSING</x:v>
      </x:c>
      <x:c r="F3215" s="1" t="str">
        <x:v>Late delivery</x:v>
      </x:c>
      <x:c r="G3215" s="6" t="n">
        <x:v>6</x:v>
      </x:c>
      <x:c r="H3215" s="6" t="n">
        <x:v>2</x:v>
      </x:c>
      <x:c r="I3215" s="6" t="n">
        <x:f>G3215-H3215</x:f>
        <x:v>4</x:v>
      </x:c>
      <x:c r="J3215" s="6" t="n">
        <x:f>IF(OR(E3215="CANCELED",E3215="SUSPECTED_FRAUD",F3215="Shipping canceled"),0,1)</x:f>
        <x:v>1</x:v>
      </x:c>
      <x:c r="K3215" s="6" t="n">
        <x:f>IF(G3215&gt;H3215,1,0)</x:f>
        <x:v>1</x:v>
      </x:c>
      <x:c r="L3215" s="6" t="n">
        <x:f>J3215*K3215</x:f>
        <x:v>1</x:v>
      </x:c>
    </x:row>
    <x:row r="3216">
      <x:c r="A3216" s="1" t="n">
        <x:v>24328</x:v>
      </x:c>
      <x:c r="B3216" s="5" t="d">
        <x:v>2015-12-22T00:00:00.000Z</x:v>
      </x:c>
      <x:c r="C3216" s="1" t="str">
        <x:v>Standard Class</x:v>
      </x:c>
      <x:c r="D3216" s="1" t="str">
        <x:v>Pacific Asia</x:v>
      </x:c>
      <x:c r="E3216" s="1" t="str">
        <x:v>COMPLETE</x:v>
      </x:c>
      <x:c r="F3216" s="1" t="str">
        <x:v>Shipping on time</x:v>
      </x:c>
      <x:c r="G3216" s="6" t="n">
        <x:v>4</x:v>
      </x:c>
      <x:c r="H3216" s="6" t="n">
        <x:v>4</x:v>
      </x:c>
      <x:c r="I3216" s="6" t="n">
        <x:f>G3216-H3216</x:f>
        <x:v>0</x:v>
      </x:c>
      <x:c r="J3216" s="6" t="n">
        <x:f>IF(OR(E3216="CANCELED",E3216="SUSPECTED_FRAUD",F3216="Shipping canceled"),0,1)</x:f>
        <x:v>1</x:v>
      </x:c>
      <x:c r="K3216" s="6" t="n">
        <x:f>IF(G3216&gt;H3216,1,0)</x:f>
        <x:v>0</x:v>
      </x:c>
      <x:c r="L3216" s="6" t="n">
        <x:f>J3216*K3216</x:f>
        <x:v>0</x:v>
      </x:c>
    </x:row>
    <x:row r="3217">
      <x:c r="A3217" s="1" t="n">
        <x:v>24334</x:v>
      </x:c>
      <x:c r="B3217" s="5" t="d">
        <x:v>2015-12-22T00:00:00.000Z</x:v>
      </x:c>
      <x:c r="C3217" s="1" t="str">
        <x:v>Standard Class</x:v>
      </x:c>
      <x:c r="D3217" s="1" t="str">
        <x:v>Pacific Asia</x:v>
      </x:c>
      <x:c r="E3217" s="1" t="str">
        <x:v>COMPLETE</x:v>
      </x:c>
      <x:c r="F3217" s="1" t="str">
        <x:v>Late delivery</x:v>
      </x:c>
      <x:c r="G3217" s="6" t="n">
        <x:v>5</x:v>
      </x:c>
      <x:c r="H3217" s="6" t="n">
        <x:v>4</x:v>
      </x:c>
      <x:c r="I3217" s="6" t="n">
        <x:f>G3217-H3217</x:f>
        <x:v>1</x:v>
      </x:c>
      <x:c r="J3217" s="6" t="n">
        <x:f>IF(OR(E3217="CANCELED",E3217="SUSPECTED_FRAUD",F3217="Shipping canceled"),0,1)</x:f>
        <x:v>1</x:v>
      </x:c>
      <x:c r="K3217" s="6" t="n">
        <x:f>IF(G3217&gt;H3217,1,0)</x:f>
        <x:v>1</x:v>
      </x:c>
      <x:c r="L3217" s="6" t="n">
        <x:f>J3217*K3217</x:f>
        <x:v>1</x:v>
      </x:c>
    </x:row>
    <x:row r="3218">
      <x:c r="A3218" s="1" t="n">
        <x:v>24350</x:v>
      </x:c>
      <x:c r="B3218" s="5" t="d">
        <x:v>2015-12-22T00:00:00.000Z</x:v>
      </x:c>
      <x:c r="C3218" s="1" t="str">
        <x:v>Standard Class</x:v>
      </x:c>
      <x:c r="D3218" s="1" t="str">
        <x:v>Pacific Asia</x:v>
      </x:c>
      <x:c r="E3218" s="1" t="str">
        <x:v>ON_HOLD</x:v>
      </x:c>
      <x:c r="F3218" s="1" t="str">
        <x:v>Late delivery</x:v>
      </x:c>
      <x:c r="G3218" s="6" t="n">
        <x:v>6</x:v>
      </x:c>
      <x:c r="H3218" s="6" t="n">
        <x:v>4</x:v>
      </x:c>
      <x:c r="I3218" s="6" t="n">
        <x:f>G3218-H3218</x:f>
        <x:v>2</x:v>
      </x:c>
      <x:c r="J3218" s="6" t="n">
        <x:f>IF(OR(E3218="CANCELED",E3218="SUSPECTED_FRAUD",F3218="Shipping canceled"),0,1)</x:f>
        <x:v>1</x:v>
      </x:c>
      <x:c r="K3218" s="6" t="n">
        <x:f>IF(G3218&gt;H3218,1,0)</x:f>
        <x:v>1</x:v>
      </x:c>
      <x:c r="L3218" s="6" t="n">
        <x:f>J3218*K3218</x:f>
        <x:v>1</x:v>
      </x:c>
    </x:row>
    <x:row r="3219">
      <x:c r="A3219" s="1" t="n">
        <x:v>24353</x:v>
      </x:c>
      <x:c r="B3219" s="5" t="d">
        <x:v>2015-12-22T00:00:00.000Z</x:v>
      </x:c>
      <x:c r="C3219" s="1" t="str">
        <x:v>Standard Class</x:v>
      </x:c>
      <x:c r="D3219" s="1" t="str">
        <x:v>Pacific Asia</x:v>
      </x:c>
      <x:c r="E3219" s="1" t="str">
        <x:v>COMPLETE</x:v>
      </x:c>
      <x:c r="F3219" s="1" t="str">
        <x:v>Shipping on time</x:v>
      </x:c>
      <x:c r="G3219" s="6" t="n">
        <x:v>4</x:v>
      </x:c>
      <x:c r="H3219" s="6" t="n">
        <x:v>4</x:v>
      </x:c>
      <x:c r="I3219" s="6" t="n">
        <x:f>G3219-H3219</x:f>
        <x:v>0</x:v>
      </x:c>
      <x:c r="J3219" s="6" t="n">
        <x:f>IF(OR(E3219="CANCELED",E3219="SUSPECTED_FRAUD",F3219="Shipping canceled"),0,1)</x:f>
        <x:v>1</x:v>
      </x:c>
      <x:c r="K3219" s="6" t="n">
        <x:f>IF(G3219&gt;H3219,1,0)</x:f>
        <x:v>0</x:v>
      </x:c>
      <x:c r="L3219" s="6" t="n">
        <x:f>J3219*K3219</x:f>
        <x:v>0</x:v>
      </x:c>
    </x:row>
    <x:row r="3220">
      <x:c r="A3220" s="1" t="n">
        <x:v>24361</x:v>
      </x:c>
      <x:c r="B3220" s="5" t="d">
        <x:v>2015-12-22T00:00:00.000Z</x:v>
      </x:c>
      <x:c r="C3220" s="1" t="str">
        <x:v>First Class</x:v>
      </x:c>
      <x:c r="D3220" s="1" t="str">
        <x:v>Pacific Asia</x:v>
      </x:c>
      <x:c r="E3220" s="1" t="str">
        <x:v>CLOSED</x:v>
      </x:c>
      <x:c r="F3220" s="1" t="str">
        <x:v>Late delivery</x:v>
      </x:c>
      <x:c r="G3220" s="6" t="n">
        <x:v>2</x:v>
      </x:c>
      <x:c r="H3220" s="6" t="n">
        <x:v>1</x:v>
      </x:c>
      <x:c r="I3220" s="6" t="n">
        <x:f>G3220-H3220</x:f>
        <x:v>1</x:v>
      </x:c>
      <x:c r="J3220" s="6" t="n">
        <x:f>IF(OR(E3220="CANCELED",E3220="SUSPECTED_FRAUD",F3220="Shipping canceled"),0,1)</x:f>
        <x:v>1</x:v>
      </x:c>
      <x:c r="K3220" s="6" t="n">
        <x:f>IF(G3220&gt;H3220,1,0)</x:f>
        <x:v>1</x:v>
      </x:c>
      <x:c r="L3220" s="6" t="n">
        <x:f>J3220*K3220</x:f>
        <x:v>1</x:v>
      </x:c>
    </x:row>
    <x:row r="3221">
      <x:c r="A3221" s="1" t="n">
        <x:v>24379</x:v>
      </x:c>
      <x:c r="B3221" s="5" t="d">
        <x:v>2015-12-22T00:00:00.000Z</x:v>
      </x:c>
      <x:c r="C3221" s="1" t="str">
        <x:v>Standard Class</x:v>
      </x:c>
      <x:c r="D3221" s="1" t="str">
        <x:v>Pacific Asia</x:v>
      </x:c>
      <x:c r="E3221" s="1" t="str">
        <x:v>ON_HOLD</x:v>
      </x:c>
      <x:c r="F3221" s="1" t="str">
        <x:v>Late delivery</x:v>
      </x:c>
      <x:c r="G3221" s="6" t="n">
        <x:v>5</x:v>
      </x:c>
      <x:c r="H3221" s="6" t="n">
        <x:v>4</x:v>
      </x:c>
      <x:c r="I3221" s="6" t="n">
        <x:f>G3221-H3221</x:f>
        <x:v>1</x:v>
      </x:c>
      <x:c r="J3221" s="6" t="n">
        <x:f>IF(OR(E3221="CANCELED",E3221="SUSPECTED_FRAUD",F3221="Shipping canceled"),0,1)</x:f>
        <x:v>1</x:v>
      </x:c>
      <x:c r="K3221" s="6" t="n">
        <x:f>IF(G3221&gt;H3221,1,0)</x:f>
        <x:v>1</x:v>
      </x:c>
      <x:c r="L3221" s="6" t="n">
        <x:f>J3221*K3221</x:f>
        <x:v>1</x:v>
      </x:c>
    </x:row>
    <x:row r="3222">
      <x:c r="A3222" s="1" t="n">
        <x:v>24382</x:v>
      </x:c>
      <x:c r="B3222" s="5" t="d">
        <x:v>2015-12-22T00:00:00.000Z</x:v>
      </x:c>
      <x:c r="C3222" s="1" t="str">
        <x:v>Standard Class</x:v>
      </x:c>
      <x:c r="D3222" s="1" t="str">
        <x:v>Pacific Asia</x:v>
      </x:c>
      <x:c r="E3222" s="1" t="str">
        <x:v>PENDING</x:v>
      </x:c>
      <x:c r="F3222" s="1" t="str">
        <x:v>Advance shipping</x:v>
      </x:c>
      <x:c r="G3222" s="6" t="n">
        <x:v>3</x:v>
      </x:c>
      <x:c r="H3222" s="6" t="n">
        <x:v>4</x:v>
      </x:c>
      <x:c r="I3222" s="6" t="n">
        <x:f>G3222-H3222</x:f>
        <x:v>-1</x:v>
      </x:c>
      <x:c r="J3222" s="6" t="n">
        <x:f>IF(OR(E3222="CANCELED",E3222="SUSPECTED_FRAUD",F3222="Shipping canceled"),0,1)</x:f>
        <x:v>1</x:v>
      </x:c>
      <x:c r="K3222" s="6" t="n">
        <x:f>IF(G3222&gt;H3222,1,0)</x:f>
        <x:v>0</x:v>
      </x:c>
      <x:c r="L3222" s="6" t="n">
        <x:f>J3222*K3222</x:f>
        <x:v>0</x:v>
      </x:c>
    </x:row>
    <x:row r="3223">
      <x:c r="A3223" s="1" t="n">
        <x:v>24392</x:v>
      </x:c>
      <x:c r="B3223" s="5" t="d">
        <x:v>2015-12-23T00:00:00.000Z</x:v>
      </x:c>
      <x:c r="C3223" s="1" t="str">
        <x:v>Standard Class</x:v>
      </x:c>
      <x:c r="D3223" s="1" t="str">
        <x:v>Pacific Asia</x:v>
      </x:c>
      <x:c r="E3223" s="1" t="str">
        <x:v>COMPLETE</x:v>
      </x:c>
      <x:c r="F3223" s="1" t="str">
        <x:v>Advance shipping</x:v>
      </x:c>
      <x:c r="G3223" s="6" t="n">
        <x:v>3</x:v>
      </x:c>
      <x:c r="H3223" s="6" t="n">
        <x:v>4</x:v>
      </x:c>
      <x:c r="I3223" s="6" t="n">
        <x:f>G3223-H3223</x:f>
        <x:v>-1</x:v>
      </x:c>
      <x:c r="J3223" s="6" t="n">
        <x:f>IF(OR(E3223="CANCELED",E3223="SUSPECTED_FRAUD",F3223="Shipping canceled"),0,1)</x:f>
        <x:v>1</x:v>
      </x:c>
      <x:c r="K3223" s="6" t="n">
        <x:f>IF(G3223&gt;H3223,1,0)</x:f>
        <x:v>0</x:v>
      </x:c>
      <x:c r="L3223" s="6" t="n">
        <x:f>J3223*K3223</x:f>
        <x:v>0</x:v>
      </x:c>
    </x:row>
    <x:row r="3224">
      <x:c r="A3224" s="1" t="n">
        <x:v>24399</x:v>
      </x:c>
      <x:c r="B3224" s="5" t="d">
        <x:v>2015-12-23T00:00:00.000Z</x:v>
      </x:c>
      <x:c r="C3224" s="1" t="str">
        <x:v>Second Class</x:v>
      </x:c>
      <x:c r="D3224" s="1" t="str">
        <x:v>Pacific Asia</x:v>
      </x:c>
      <x:c r="E3224" s="1" t="str">
        <x:v>ON_HOLD</x:v>
      </x:c>
      <x:c r="F3224" s="1" t="str">
        <x:v>Late delivery</x:v>
      </x:c>
      <x:c r="G3224" s="6" t="n">
        <x:v>5</x:v>
      </x:c>
      <x:c r="H3224" s="6" t="n">
        <x:v>2</x:v>
      </x:c>
      <x:c r="I3224" s="6" t="n">
        <x:f>G3224-H3224</x:f>
        <x:v>3</x:v>
      </x:c>
      <x:c r="J3224" s="6" t="n">
        <x:f>IF(OR(E3224="CANCELED",E3224="SUSPECTED_FRAUD",F3224="Shipping canceled"),0,1)</x:f>
        <x:v>1</x:v>
      </x:c>
      <x:c r="K3224" s="6" t="n">
        <x:f>IF(G3224&gt;H3224,1,0)</x:f>
        <x:v>1</x:v>
      </x:c>
      <x:c r="L3224" s="6" t="n">
        <x:f>J3224*K3224</x:f>
        <x:v>1</x:v>
      </x:c>
    </x:row>
    <x:row r="3225">
      <x:c r="A3225" s="1" t="n">
        <x:v>24408</x:v>
      </x:c>
      <x:c r="B3225" s="5" t="d">
        <x:v>2015-12-23T00:00:00.000Z</x:v>
      </x:c>
      <x:c r="C3225" s="1" t="str">
        <x:v>Second Class</x:v>
      </x:c>
      <x:c r="D3225" s="1" t="str">
        <x:v>Pacific Asia</x:v>
      </x:c>
      <x:c r="E3225" s="1" t="str">
        <x:v>CLOSED</x:v>
      </x:c>
      <x:c r="F3225" s="1" t="str">
        <x:v>Late delivery</x:v>
      </x:c>
      <x:c r="G3225" s="6" t="n">
        <x:v>4</x:v>
      </x:c>
      <x:c r="H3225" s="6" t="n">
        <x:v>2</x:v>
      </x:c>
      <x:c r="I3225" s="6" t="n">
        <x:f>G3225-H3225</x:f>
        <x:v>2</x:v>
      </x:c>
      <x:c r="J3225" s="6" t="n">
        <x:f>IF(OR(E3225="CANCELED",E3225="SUSPECTED_FRAUD",F3225="Shipping canceled"),0,1)</x:f>
        <x:v>1</x:v>
      </x:c>
      <x:c r="K3225" s="6" t="n">
        <x:f>IF(G3225&gt;H3225,1,0)</x:f>
        <x:v>1</x:v>
      </x:c>
      <x:c r="L3225" s="6" t="n">
        <x:f>J3225*K3225</x:f>
        <x:v>1</x:v>
      </x:c>
    </x:row>
    <x:row r="3226">
      <x:c r="A3226" s="1" t="n">
        <x:v>24415</x:v>
      </x:c>
      <x:c r="B3226" s="5" t="d">
        <x:v>2015-12-23T00:00:00.000Z</x:v>
      </x:c>
      <x:c r="C3226" s="1" t="str">
        <x:v>Standard Class</x:v>
      </x:c>
      <x:c r="D3226" s="1" t="str">
        <x:v>Pacific Asia</x:v>
      </x:c>
      <x:c r="E3226" s="1" t="str">
        <x:v>COMPLETE</x:v>
      </x:c>
      <x:c r="F3226" s="1" t="str">
        <x:v>Late delivery</x:v>
      </x:c>
      <x:c r="G3226" s="6" t="n">
        <x:v>6</x:v>
      </x:c>
      <x:c r="H3226" s="6" t="n">
        <x:v>4</x:v>
      </x:c>
      <x:c r="I3226" s="6" t="n">
        <x:f>G3226-H3226</x:f>
        <x:v>2</x:v>
      </x:c>
      <x:c r="J3226" s="6" t="n">
        <x:f>IF(OR(E3226="CANCELED",E3226="SUSPECTED_FRAUD",F3226="Shipping canceled"),0,1)</x:f>
        <x:v>1</x:v>
      </x:c>
      <x:c r="K3226" s="6" t="n">
        <x:f>IF(G3226&gt;H3226,1,0)</x:f>
        <x:v>1</x:v>
      </x:c>
      <x:c r="L3226" s="6" t="n">
        <x:f>J3226*K3226</x:f>
        <x:v>1</x:v>
      </x:c>
    </x:row>
    <x:row r="3227">
      <x:c r="A3227" s="1" t="n">
        <x:v>24418</x:v>
      </x:c>
      <x:c r="B3227" s="5" t="d">
        <x:v>2015-12-23T00:00:00.000Z</x:v>
      </x:c>
      <x:c r="C3227" s="1" t="str">
        <x:v>Standard Class</x:v>
      </x:c>
      <x:c r="D3227" s="1" t="str">
        <x:v>Pacific Asia</x:v>
      </x:c>
      <x:c r="E3227" s="1" t="str">
        <x:v>CANCELED</x:v>
      </x:c>
      <x:c r="F3227" s="1" t="str">
        <x:v>Shipping canceled</x:v>
      </x:c>
      <x:c r="G3227" s="6" t="n">
        <x:v>4</x:v>
      </x:c>
      <x:c r="H3227" s="6" t="n">
        <x:v>4</x:v>
      </x:c>
      <x:c r="I3227" s="6" t="n">
        <x:f>G3227-H3227</x:f>
        <x:v>0</x:v>
      </x:c>
      <x:c r="J3227" s="6" t="n">
        <x:f>IF(OR(E3227="CANCELED",E3227="SUSPECTED_FRAUD",F3227="Shipping canceled"),0,1)</x:f>
        <x:v>0</x:v>
      </x:c>
      <x:c r="K3227" s="6" t="n">
        <x:f>IF(G3227&gt;H3227,1,0)</x:f>
        <x:v>0</x:v>
      </x:c>
      <x:c r="L3227" s="6" t="n">
        <x:f>J3227*K3227</x:f>
        <x:v>0</x:v>
      </x:c>
    </x:row>
    <x:row r="3228">
      <x:c r="A3228" s="1" t="n">
        <x:v>24419</x:v>
      </x:c>
      <x:c r="B3228" s="5" t="d">
        <x:v>2015-12-23T00:00:00.000Z</x:v>
      </x:c>
      <x:c r="C3228" s="1" t="str">
        <x:v>Standard Class</x:v>
      </x:c>
      <x:c r="D3228" s="1" t="str">
        <x:v>Pacific Asia</x:v>
      </x:c>
      <x:c r="E3228" s="1" t="str">
        <x:v>CLOSED</x:v>
      </x:c>
      <x:c r="F3228" s="1" t="str">
        <x:v>Late delivery</x:v>
      </x:c>
      <x:c r="G3228" s="6" t="n">
        <x:v>5</x:v>
      </x:c>
      <x:c r="H3228" s="6" t="n">
        <x:v>4</x:v>
      </x:c>
      <x:c r="I3228" s="6" t="n">
        <x:f>G3228-H3228</x:f>
        <x:v>1</x:v>
      </x:c>
      <x:c r="J3228" s="6" t="n">
        <x:f>IF(OR(E3228="CANCELED",E3228="SUSPECTED_FRAUD",F3228="Shipping canceled"),0,1)</x:f>
        <x:v>1</x:v>
      </x:c>
      <x:c r="K3228" s="6" t="n">
        <x:f>IF(G3228&gt;H3228,1,0)</x:f>
        <x:v>1</x:v>
      </x:c>
      <x:c r="L3228" s="6" t="n">
        <x:f>J3228*K3228</x:f>
        <x:v>1</x:v>
      </x:c>
    </x:row>
    <x:row r="3229">
      <x:c r="A3229" s="1" t="n">
        <x:v>24426</x:v>
      </x:c>
      <x:c r="B3229" s="5" t="d">
        <x:v>2015-12-23T00:00:00.000Z</x:v>
      </x:c>
      <x:c r="C3229" s="1" t="str">
        <x:v>Second Class</x:v>
      </x:c>
      <x:c r="D3229" s="1" t="str">
        <x:v>Pacific Asia</x:v>
      </x:c>
      <x:c r="E3229" s="1" t="str">
        <x:v>COMPLETE</x:v>
      </x:c>
      <x:c r="F3229" s="1" t="str">
        <x:v>Shipping on time</x:v>
      </x:c>
      <x:c r="G3229" s="6" t="n">
        <x:v>2</x:v>
      </x:c>
      <x:c r="H3229" s="6" t="n">
        <x:v>2</x:v>
      </x:c>
      <x:c r="I3229" s="6" t="n">
        <x:f>G3229-H3229</x:f>
        <x:v>0</x:v>
      </x:c>
      <x:c r="J3229" s="6" t="n">
        <x:f>IF(OR(E3229="CANCELED",E3229="SUSPECTED_FRAUD",F3229="Shipping canceled"),0,1)</x:f>
        <x:v>1</x:v>
      </x:c>
      <x:c r="K3229" s="6" t="n">
        <x:f>IF(G3229&gt;H3229,1,0)</x:f>
        <x:v>0</x:v>
      </x:c>
      <x:c r="L3229" s="6" t="n">
        <x:f>J3229*K3229</x:f>
        <x:v>0</x:v>
      </x:c>
    </x:row>
    <x:row r="3230">
      <x:c r="A3230" s="1" t="n">
        <x:v>24435</x:v>
      </x:c>
      <x:c r="B3230" s="5" t="d">
        <x:v>2015-12-23T00:00:00.000Z</x:v>
      </x:c>
      <x:c r="C3230" s="1" t="str">
        <x:v>Standard Class</x:v>
      </x:c>
      <x:c r="D3230" s="1" t="str">
        <x:v>Pacific Asia</x:v>
      </x:c>
      <x:c r="E3230" s="1" t="str">
        <x:v>COMPLETE</x:v>
      </x:c>
      <x:c r="F3230" s="1" t="str">
        <x:v>Late delivery</x:v>
      </x:c>
      <x:c r="G3230" s="6" t="n">
        <x:v>6</x:v>
      </x:c>
      <x:c r="H3230" s="6" t="n">
        <x:v>4</x:v>
      </x:c>
      <x:c r="I3230" s="6" t="n">
        <x:f>G3230-H3230</x:f>
        <x:v>2</x:v>
      </x:c>
      <x:c r="J3230" s="6" t="n">
        <x:f>IF(OR(E3230="CANCELED",E3230="SUSPECTED_FRAUD",F3230="Shipping canceled"),0,1)</x:f>
        <x:v>1</x:v>
      </x:c>
      <x:c r="K3230" s="6" t="n">
        <x:f>IF(G3230&gt;H3230,1,0)</x:f>
        <x:v>1</x:v>
      </x:c>
      <x:c r="L3230" s="6" t="n">
        <x:f>J3230*K3230</x:f>
        <x:v>1</x:v>
      </x:c>
    </x:row>
    <x:row r="3231">
      <x:c r="A3231" s="1" t="n">
        <x:v>24438</x:v>
      </x:c>
      <x:c r="B3231" s="5" t="d">
        <x:v>2015-12-23T00:00:00.000Z</x:v>
      </x:c>
      <x:c r="C3231" s="1" t="str">
        <x:v>Standard Class</x:v>
      </x:c>
      <x:c r="D3231" s="1" t="str">
        <x:v>Pacific Asia</x:v>
      </x:c>
      <x:c r="E3231" s="1" t="str">
        <x:v>COMPLETE</x:v>
      </x:c>
      <x:c r="F3231" s="1" t="str">
        <x:v>Shipping on time</x:v>
      </x:c>
      <x:c r="G3231" s="6" t="n">
        <x:v>4</x:v>
      </x:c>
      <x:c r="H3231" s="6" t="n">
        <x:v>4</x:v>
      </x:c>
      <x:c r="I3231" s="6" t="n">
        <x:f>G3231-H3231</x:f>
        <x:v>0</x:v>
      </x:c>
      <x:c r="J3231" s="6" t="n">
        <x:f>IF(OR(E3231="CANCELED",E3231="SUSPECTED_FRAUD",F3231="Shipping canceled"),0,1)</x:f>
        <x:v>1</x:v>
      </x:c>
      <x:c r="K3231" s="6" t="n">
        <x:f>IF(G3231&gt;H3231,1,0)</x:f>
        <x:v>0</x:v>
      </x:c>
      <x:c r="L3231" s="6" t="n">
        <x:f>J3231*K3231</x:f>
        <x:v>0</x:v>
      </x:c>
    </x:row>
    <x:row r="3232">
      <x:c r="A3232" s="1" t="n">
        <x:v>24450</x:v>
      </x:c>
      <x:c r="B3232" s="5" t="d">
        <x:v>2015-12-23T00:00:00.000Z</x:v>
      </x:c>
      <x:c r="C3232" s="1" t="str">
        <x:v>Standard Class</x:v>
      </x:c>
      <x:c r="D3232" s="1" t="str">
        <x:v>Pacific Asia</x:v>
      </x:c>
      <x:c r="E3232" s="1" t="str">
        <x:v>PENDING_PAYMENT</x:v>
      </x:c>
      <x:c r="F3232" s="1" t="str">
        <x:v>Late delivery</x:v>
      </x:c>
      <x:c r="G3232" s="6" t="n">
        <x:v>6</x:v>
      </x:c>
      <x:c r="H3232" s="6" t="n">
        <x:v>4</x:v>
      </x:c>
      <x:c r="I3232" s="6" t="n">
        <x:f>G3232-H3232</x:f>
        <x:v>2</x:v>
      </x:c>
      <x:c r="J3232" s="6" t="n">
        <x:f>IF(OR(E3232="CANCELED",E3232="SUSPECTED_FRAUD",F3232="Shipping canceled"),0,1)</x:f>
        <x:v>1</x:v>
      </x:c>
      <x:c r="K3232" s="6" t="n">
        <x:f>IF(G3232&gt;H3232,1,0)</x:f>
        <x:v>1</x:v>
      </x:c>
      <x:c r="L3232" s="6" t="n">
        <x:f>J3232*K3232</x:f>
        <x:v>1</x:v>
      </x:c>
    </x:row>
    <x:row r="3233">
      <x:c r="A3233" s="1" t="n">
        <x:v>24453</x:v>
      </x:c>
      <x:c r="B3233" s="5" t="d">
        <x:v>2015-12-23T00:00:00.000Z</x:v>
      </x:c>
      <x:c r="C3233" s="1" t="str">
        <x:v>Standard Class</x:v>
      </x:c>
      <x:c r="D3233" s="1" t="str">
        <x:v>Pacific Asia</x:v>
      </x:c>
      <x:c r="E3233" s="1" t="str">
        <x:v>CANCELED</x:v>
      </x:c>
      <x:c r="F3233" s="1" t="str">
        <x:v>Shipping canceled</x:v>
      </x:c>
      <x:c r="G3233" s="6" t="n">
        <x:v>4</x:v>
      </x:c>
      <x:c r="H3233" s="6" t="n">
        <x:v>4</x:v>
      </x:c>
      <x:c r="I3233" s="6" t="n">
        <x:f>G3233-H3233</x:f>
        <x:v>0</x:v>
      </x:c>
      <x:c r="J3233" s="6" t="n">
        <x:f>IF(OR(E3233="CANCELED",E3233="SUSPECTED_FRAUD",F3233="Shipping canceled"),0,1)</x:f>
        <x:v>0</x:v>
      </x:c>
      <x:c r="K3233" s="6" t="n">
        <x:f>IF(G3233&gt;H3233,1,0)</x:f>
        <x:v>0</x:v>
      </x:c>
      <x:c r="L3233" s="6" t="n">
        <x:f>J3233*K3233</x:f>
        <x:v>0</x:v>
      </x:c>
    </x:row>
    <x:row r="3234">
      <x:c r="A3234" s="1" t="n">
        <x:v>24457</x:v>
      </x:c>
      <x:c r="B3234" s="5" t="d">
        <x:v>2015-12-24T00:00:00.000Z</x:v>
      </x:c>
      <x:c r="C3234" s="1" t="str">
        <x:v>Standard Class</x:v>
      </x:c>
      <x:c r="D3234" s="1" t="str">
        <x:v>Pacific Asia</x:v>
      </x:c>
      <x:c r="E3234" s="1" t="str">
        <x:v>ON_HOLD</x:v>
      </x:c>
      <x:c r="F3234" s="1" t="str">
        <x:v>Advance shipping</x:v>
      </x:c>
      <x:c r="G3234" s="6" t="n">
        <x:v>3</x:v>
      </x:c>
      <x:c r="H3234" s="6" t="n">
        <x:v>4</x:v>
      </x:c>
      <x:c r="I3234" s="6" t="n">
        <x:f>G3234-H3234</x:f>
        <x:v>-1</x:v>
      </x:c>
      <x:c r="J3234" s="6" t="n">
        <x:f>IF(OR(E3234="CANCELED",E3234="SUSPECTED_FRAUD",F3234="Shipping canceled"),0,1)</x:f>
        <x:v>1</x:v>
      </x:c>
      <x:c r="K3234" s="6" t="n">
        <x:f>IF(G3234&gt;H3234,1,0)</x:f>
        <x:v>0</x:v>
      </x:c>
      <x:c r="L3234" s="6" t="n">
        <x:f>J3234*K3234</x:f>
        <x:v>0</x:v>
      </x:c>
    </x:row>
    <x:row r="3235">
      <x:c r="A3235" s="1" t="n">
        <x:v>24461</x:v>
      </x:c>
      <x:c r="B3235" s="5" t="d">
        <x:v>2015-12-24T00:00:00.000Z</x:v>
      </x:c>
      <x:c r="C3235" s="1" t="str">
        <x:v>Standard Class</x:v>
      </x:c>
      <x:c r="D3235" s="1" t="str">
        <x:v>Pacific Asia</x:v>
      </x:c>
      <x:c r="E3235" s="1" t="str">
        <x:v>CANCELED</x:v>
      </x:c>
      <x:c r="F3235" s="1" t="str">
        <x:v>Shipping canceled</x:v>
      </x:c>
      <x:c r="G3235" s="6" t="n">
        <x:v>2</x:v>
      </x:c>
      <x:c r="H3235" s="6" t="n">
        <x:v>4</x:v>
      </x:c>
      <x:c r="I3235" s="6" t="n">
        <x:f>G3235-H3235</x:f>
        <x:v>-2</x:v>
      </x:c>
      <x:c r="J3235" s="6" t="n">
        <x:f>IF(OR(E3235="CANCELED",E3235="SUSPECTED_FRAUD",F3235="Shipping canceled"),0,1)</x:f>
        <x:v>0</x:v>
      </x:c>
      <x:c r="K3235" s="6" t="n">
        <x:f>IF(G3235&gt;H3235,1,0)</x:f>
        <x:v>0</x:v>
      </x:c>
      <x:c r="L3235" s="6" t="n">
        <x:f>J3235*K3235</x:f>
        <x:v>0</x:v>
      </x:c>
    </x:row>
    <x:row r="3236">
      <x:c r="A3236" s="1" t="n">
        <x:v>24468</x:v>
      </x:c>
      <x:c r="B3236" s="5" t="d">
        <x:v>2015-12-24T00:00:00.000Z</x:v>
      </x:c>
      <x:c r="C3236" s="1" t="str">
        <x:v>Standard Class</x:v>
      </x:c>
      <x:c r="D3236" s="1" t="str">
        <x:v>Pacific Asia</x:v>
      </x:c>
      <x:c r="E3236" s="1" t="str">
        <x:v>COMPLETE</x:v>
      </x:c>
      <x:c r="F3236" s="1" t="str">
        <x:v>Shipping on time</x:v>
      </x:c>
      <x:c r="G3236" s="6" t="n">
        <x:v>4</x:v>
      </x:c>
      <x:c r="H3236" s="6" t="n">
        <x:v>4</x:v>
      </x:c>
      <x:c r="I3236" s="6" t="n">
        <x:f>G3236-H3236</x:f>
        <x:v>0</x:v>
      </x:c>
      <x:c r="J3236" s="6" t="n">
        <x:f>IF(OR(E3236="CANCELED",E3236="SUSPECTED_FRAUD",F3236="Shipping canceled"),0,1)</x:f>
        <x:v>1</x:v>
      </x:c>
      <x:c r="K3236" s="6" t="n">
        <x:f>IF(G3236&gt;H3236,1,0)</x:f>
        <x:v>0</x:v>
      </x:c>
      <x:c r="L3236" s="6" t="n">
        <x:f>J3236*K3236</x:f>
        <x:v>0</x:v>
      </x:c>
    </x:row>
    <x:row r="3237">
      <x:c r="A3237" s="1" t="n">
        <x:v>24481</x:v>
      </x:c>
      <x:c r="B3237" s="5" t="d">
        <x:v>2015-12-24T00:00:00.000Z</x:v>
      </x:c>
      <x:c r="C3237" s="1" t="str">
        <x:v>Standard Class</x:v>
      </x:c>
      <x:c r="D3237" s="1" t="str">
        <x:v>Pacific Asia</x:v>
      </x:c>
      <x:c r="E3237" s="1" t="str">
        <x:v>COMPLETE</x:v>
      </x:c>
      <x:c r="F3237" s="1" t="str">
        <x:v>Advance shipping</x:v>
      </x:c>
      <x:c r="G3237" s="6" t="n">
        <x:v>2</x:v>
      </x:c>
      <x:c r="H3237" s="6" t="n">
        <x:v>4</x:v>
      </x:c>
      <x:c r="I3237" s="6" t="n">
        <x:f>G3237-H3237</x:f>
        <x:v>-2</x:v>
      </x:c>
      <x:c r="J3237" s="6" t="n">
        <x:f>IF(OR(E3237="CANCELED",E3237="SUSPECTED_FRAUD",F3237="Shipping canceled"),0,1)</x:f>
        <x:v>1</x:v>
      </x:c>
      <x:c r="K3237" s="6" t="n">
        <x:f>IF(G3237&gt;H3237,1,0)</x:f>
        <x:v>0</x:v>
      </x:c>
      <x:c r="L3237" s="6" t="n">
        <x:f>J3237*K3237</x:f>
        <x:v>0</x:v>
      </x:c>
    </x:row>
    <x:row r="3238">
      <x:c r="A3238" s="1" t="n">
        <x:v>24483</x:v>
      </x:c>
      <x:c r="B3238" s="5" t="d">
        <x:v>2015-12-24T00:00:00.000Z</x:v>
      </x:c>
      <x:c r="C3238" s="1" t="str">
        <x:v>Standard Class</x:v>
      </x:c>
      <x:c r="D3238" s="1" t="str">
        <x:v>Pacific Asia</x:v>
      </x:c>
      <x:c r="E3238" s="1" t="str">
        <x:v>PENDING</x:v>
      </x:c>
      <x:c r="F3238" s="1" t="str">
        <x:v>Shipping on time</x:v>
      </x:c>
      <x:c r="G3238" s="6" t="n">
        <x:v>4</x:v>
      </x:c>
      <x:c r="H3238" s="6" t="n">
        <x:v>4</x:v>
      </x:c>
      <x:c r="I3238" s="6" t="n">
        <x:f>G3238-H3238</x:f>
        <x:v>0</x:v>
      </x:c>
      <x:c r="J3238" s="6" t="n">
        <x:f>IF(OR(E3238="CANCELED",E3238="SUSPECTED_FRAUD",F3238="Shipping canceled"),0,1)</x:f>
        <x:v>1</x:v>
      </x:c>
      <x:c r="K3238" s="6" t="n">
        <x:f>IF(G3238&gt;H3238,1,0)</x:f>
        <x:v>0</x:v>
      </x:c>
      <x:c r="L3238" s="6" t="n">
        <x:f>J3238*K3238</x:f>
        <x:v>0</x:v>
      </x:c>
    </x:row>
    <x:row r="3239">
      <x:c r="A3239" s="1" t="n">
        <x:v>24488</x:v>
      </x:c>
      <x:c r="B3239" s="5" t="d">
        <x:v>2015-12-24T00:00:00.000Z</x:v>
      </x:c>
      <x:c r="C3239" s="1" t="str">
        <x:v>Second Class</x:v>
      </x:c>
      <x:c r="D3239" s="1" t="str">
        <x:v>Pacific Asia</x:v>
      </x:c>
      <x:c r="E3239" s="1" t="str">
        <x:v>COMPLETE</x:v>
      </x:c>
      <x:c r="F3239" s="1" t="str">
        <x:v>Late delivery</x:v>
      </x:c>
      <x:c r="G3239" s="6" t="n">
        <x:v>4</x:v>
      </x:c>
      <x:c r="H3239" s="6" t="n">
        <x:v>2</x:v>
      </x:c>
      <x:c r="I3239" s="6" t="n">
        <x:f>G3239-H3239</x:f>
        <x:v>2</x:v>
      </x:c>
      <x:c r="J3239" s="6" t="n">
        <x:f>IF(OR(E3239="CANCELED",E3239="SUSPECTED_FRAUD",F3239="Shipping canceled"),0,1)</x:f>
        <x:v>1</x:v>
      </x:c>
      <x:c r="K3239" s="6" t="n">
        <x:f>IF(G3239&gt;H3239,1,0)</x:f>
        <x:v>1</x:v>
      </x:c>
      <x:c r="L3239" s="6" t="n">
        <x:f>J3239*K3239</x:f>
        <x:v>1</x:v>
      </x:c>
    </x:row>
    <x:row r="3240">
      <x:c r="A3240" s="1" t="n">
        <x:v>24494</x:v>
      </x:c>
      <x:c r="B3240" s="5" t="d">
        <x:v>2015-12-24T00:00:00.000Z</x:v>
      </x:c>
      <x:c r="C3240" s="1" t="str">
        <x:v>Standard Class</x:v>
      </x:c>
      <x:c r="D3240" s="1" t="str">
        <x:v>Pacific Asia</x:v>
      </x:c>
      <x:c r="E3240" s="1" t="str">
        <x:v>PROCESSING</x:v>
      </x:c>
      <x:c r="F3240" s="1" t="str">
        <x:v>Late delivery</x:v>
      </x:c>
      <x:c r="G3240" s="6" t="n">
        <x:v>5</x:v>
      </x:c>
      <x:c r="H3240" s="6" t="n">
        <x:v>4</x:v>
      </x:c>
      <x:c r="I3240" s="6" t="n">
        <x:f>G3240-H3240</x:f>
        <x:v>1</x:v>
      </x:c>
      <x:c r="J3240" s="6" t="n">
        <x:f>IF(OR(E3240="CANCELED",E3240="SUSPECTED_FRAUD",F3240="Shipping canceled"),0,1)</x:f>
        <x:v>1</x:v>
      </x:c>
      <x:c r="K3240" s="6" t="n">
        <x:f>IF(G3240&gt;H3240,1,0)</x:f>
        <x:v>1</x:v>
      </x:c>
      <x:c r="L3240" s="6" t="n">
        <x:f>J3240*K3240</x:f>
        <x:v>1</x:v>
      </x:c>
    </x:row>
    <x:row r="3241">
      <x:c r="A3241" s="1" t="n">
        <x:v>24499</x:v>
      </x:c>
      <x:c r="B3241" s="5" t="d">
        <x:v>2015-12-24T00:00:00.000Z</x:v>
      </x:c>
      <x:c r="C3241" s="1" t="str">
        <x:v>Standard Class</x:v>
      </x:c>
      <x:c r="D3241" s="1" t="str">
        <x:v>Pacific Asia</x:v>
      </x:c>
      <x:c r="E3241" s="1" t="str">
        <x:v>COMPLETE</x:v>
      </x:c>
      <x:c r="F3241" s="1" t="str">
        <x:v>Late delivery</x:v>
      </x:c>
      <x:c r="G3241" s="6" t="n">
        <x:v>5</x:v>
      </x:c>
      <x:c r="H3241" s="6" t="n">
        <x:v>4</x:v>
      </x:c>
      <x:c r="I3241" s="6" t="n">
        <x:f>G3241-H3241</x:f>
        <x:v>1</x:v>
      </x:c>
      <x:c r="J3241" s="6" t="n">
        <x:f>IF(OR(E3241="CANCELED",E3241="SUSPECTED_FRAUD",F3241="Shipping canceled"),0,1)</x:f>
        <x:v>1</x:v>
      </x:c>
      <x:c r="K3241" s="6" t="n">
        <x:f>IF(G3241&gt;H3241,1,0)</x:f>
        <x:v>1</x:v>
      </x:c>
      <x:c r="L3241" s="6" t="n">
        <x:f>J3241*K3241</x:f>
        <x:v>1</x:v>
      </x:c>
    </x:row>
    <x:row r="3242">
      <x:c r="A3242" s="1" t="n">
        <x:v>24502</x:v>
      </x:c>
      <x:c r="B3242" s="5" t="d">
        <x:v>2015-12-24T00:00:00.000Z</x:v>
      </x:c>
      <x:c r="C3242" s="1" t="str">
        <x:v>Standard Class</x:v>
      </x:c>
      <x:c r="D3242" s="1" t="str">
        <x:v>Pacific Asia</x:v>
      </x:c>
      <x:c r="E3242" s="1" t="str">
        <x:v>ON_HOLD</x:v>
      </x:c>
      <x:c r="F3242" s="1" t="str">
        <x:v>Advance shipping</x:v>
      </x:c>
      <x:c r="G3242" s="6" t="n">
        <x:v>3</x:v>
      </x:c>
      <x:c r="H3242" s="6" t="n">
        <x:v>4</x:v>
      </x:c>
      <x:c r="I3242" s="6" t="n">
        <x:f>G3242-H3242</x:f>
        <x:v>-1</x:v>
      </x:c>
      <x:c r="J3242" s="6" t="n">
        <x:f>IF(OR(E3242="CANCELED",E3242="SUSPECTED_FRAUD",F3242="Shipping canceled"),0,1)</x:f>
        <x:v>1</x:v>
      </x:c>
      <x:c r="K3242" s="6" t="n">
        <x:f>IF(G3242&gt;H3242,1,0)</x:f>
        <x:v>0</x:v>
      </x:c>
      <x:c r="L3242" s="6" t="n">
        <x:f>J3242*K3242</x:f>
        <x:v>0</x:v>
      </x:c>
    </x:row>
    <x:row r="3243">
      <x:c r="A3243" s="1" t="n">
        <x:v>24522</x:v>
      </x:c>
      <x:c r="B3243" s="5" t="d">
        <x:v>2015-12-24T00:00:00.000Z</x:v>
      </x:c>
      <x:c r="C3243" s="1" t="str">
        <x:v>Standard Class</x:v>
      </x:c>
      <x:c r="D3243" s="1" t="str">
        <x:v>Pacific Asia</x:v>
      </x:c>
      <x:c r="E3243" s="1" t="str">
        <x:v>PROCESSING</x:v>
      </x:c>
      <x:c r="F3243" s="1" t="str">
        <x:v>Advance shipping</x:v>
      </x:c>
      <x:c r="G3243" s="6" t="n">
        <x:v>3</x:v>
      </x:c>
      <x:c r="H3243" s="6" t="n">
        <x:v>4</x:v>
      </x:c>
      <x:c r="I3243" s="6" t="n">
        <x:f>G3243-H3243</x:f>
        <x:v>-1</x:v>
      </x:c>
      <x:c r="J3243" s="6" t="n">
        <x:f>IF(OR(E3243="CANCELED",E3243="SUSPECTED_FRAUD",F3243="Shipping canceled"),0,1)</x:f>
        <x:v>1</x:v>
      </x:c>
      <x:c r="K3243" s="6" t="n">
        <x:f>IF(G3243&gt;H3243,1,0)</x:f>
        <x:v>0</x:v>
      </x:c>
      <x:c r="L3243" s="6" t="n">
        <x:f>J3243*K3243</x:f>
        <x:v>0</x:v>
      </x:c>
    </x:row>
    <x:row r="3244">
      <x:c r="A3244" s="1" t="n">
        <x:v>24525</x:v>
      </x:c>
      <x:c r="B3244" s="5" t="d">
        <x:v>2015-12-24T00:00:00.000Z</x:v>
      </x:c>
      <x:c r="C3244" s="1" t="str">
        <x:v>Standard Class</x:v>
      </x:c>
      <x:c r="D3244" s="1" t="str">
        <x:v>Pacific Asia</x:v>
      </x:c>
      <x:c r="E3244" s="1" t="str">
        <x:v>ON_HOLD</x:v>
      </x:c>
      <x:c r="F3244" s="1" t="str">
        <x:v>Late delivery</x:v>
      </x:c>
      <x:c r="G3244" s="6" t="n">
        <x:v>6</x:v>
      </x:c>
      <x:c r="H3244" s="6" t="n">
        <x:v>4</x:v>
      </x:c>
      <x:c r="I3244" s="6" t="n">
        <x:f>G3244-H3244</x:f>
        <x:v>2</x:v>
      </x:c>
      <x:c r="J3244" s="6" t="n">
        <x:f>IF(OR(E3244="CANCELED",E3244="SUSPECTED_FRAUD",F3244="Shipping canceled"),0,1)</x:f>
        <x:v>1</x:v>
      </x:c>
      <x:c r="K3244" s="6" t="n">
        <x:f>IF(G3244&gt;H3244,1,0)</x:f>
        <x:v>1</x:v>
      </x:c>
      <x:c r="L3244" s="6" t="n">
        <x:f>J3244*K3244</x:f>
        <x:v>1</x:v>
      </x:c>
    </x:row>
    <x:row r="3245">
      <x:c r="A3245" s="1" t="n">
        <x:v>24529</x:v>
      </x:c>
      <x:c r="B3245" s="5" t="d">
        <x:v>2015-12-25T00:00:00.000Z</x:v>
      </x:c>
      <x:c r="C3245" s="1" t="str">
        <x:v>First Class</x:v>
      </x:c>
      <x:c r="D3245" s="1" t="str">
        <x:v>Pacific Asia</x:v>
      </x:c>
      <x:c r="E3245" s="1" t="str">
        <x:v>COMPLETE</x:v>
      </x:c>
      <x:c r="F3245" s="1" t="str">
        <x:v>Late delivery</x:v>
      </x:c>
      <x:c r="G3245" s="6" t="n">
        <x:v>2</x:v>
      </x:c>
      <x:c r="H3245" s="6" t="n">
        <x:v>1</x:v>
      </x:c>
      <x:c r="I3245" s="6" t="n">
        <x:f>G3245-H3245</x:f>
        <x:v>1</x:v>
      </x:c>
      <x:c r="J3245" s="6" t="n">
        <x:f>IF(OR(E3245="CANCELED",E3245="SUSPECTED_FRAUD",F3245="Shipping canceled"),0,1)</x:f>
        <x:v>1</x:v>
      </x:c>
      <x:c r="K3245" s="6" t="n">
        <x:f>IF(G3245&gt;H3245,1,0)</x:f>
        <x:v>1</x:v>
      </x:c>
      <x:c r="L3245" s="6" t="n">
        <x:f>J3245*K3245</x:f>
        <x:v>1</x:v>
      </x:c>
    </x:row>
    <x:row r="3246">
      <x:c r="A3246" s="1" t="n">
        <x:v>24533</x:v>
      </x:c>
      <x:c r="B3246" s="5" t="d">
        <x:v>2015-12-25T00:00:00.000Z</x:v>
      </x:c>
      <x:c r="C3246" s="1" t="str">
        <x:v>Standard Class</x:v>
      </x:c>
      <x:c r="D3246" s="1" t="str">
        <x:v>Pacific Asia</x:v>
      </x:c>
      <x:c r="E3246" s="1" t="str">
        <x:v>COMPLETE</x:v>
      </x:c>
      <x:c r="F3246" s="1" t="str">
        <x:v>Shipping on time</x:v>
      </x:c>
      <x:c r="G3246" s="6" t="n">
        <x:v>4</x:v>
      </x:c>
      <x:c r="H3246" s="6" t="n">
        <x:v>4</x:v>
      </x:c>
      <x:c r="I3246" s="6" t="n">
        <x:f>G3246-H3246</x:f>
        <x:v>0</x:v>
      </x:c>
      <x:c r="J3246" s="6" t="n">
        <x:f>IF(OR(E3246="CANCELED",E3246="SUSPECTED_FRAUD",F3246="Shipping canceled"),0,1)</x:f>
        <x:v>1</x:v>
      </x:c>
      <x:c r="K3246" s="6" t="n">
        <x:f>IF(G3246&gt;H3246,1,0)</x:f>
        <x:v>0</x:v>
      </x:c>
      <x:c r="L3246" s="6" t="n">
        <x:f>J3246*K3246</x:f>
        <x:v>0</x:v>
      </x:c>
    </x:row>
    <x:row r="3247">
      <x:c r="A3247" s="1" t="n">
        <x:v>24536</x:v>
      </x:c>
      <x:c r="B3247" s="5" t="d">
        <x:v>2015-12-25T00:00:00.000Z</x:v>
      </x:c>
      <x:c r="C3247" s="1" t="str">
        <x:v>Standard Class</x:v>
      </x:c>
      <x:c r="D3247" s="1" t="str">
        <x:v>Pacific Asia</x:v>
      </x:c>
      <x:c r="E3247" s="1" t="str">
        <x:v>CLOSED</x:v>
      </x:c>
      <x:c r="F3247" s="1" t="str">
        <x:v>Advance shipping</x:v>
      </x:c>
      <x:c r="G3247" s="6" t="n">
        <x:v>2</x:v>
      </x:c>
      <x:c r="H3247" s="6" t="n">
        <x:v>4</x:v>
      </x:c>
      <x:c r="I3247" s="6" t="n">
        <x:f>G3247-H3247</x:f>
        <x:v>-2</x:v>
      </x:c>
      <x:c r="J3247" s="6" t="n">
        <x:f>IF(OR(E3247="CANCELED",E3247="SUSPECTED_FRAUD",F3247="Shipping canceled"),0,1)</x:f>
        <x:v>1</x:v>
      </x:c>
      <x:c r="K3247" s="6" t="n">
        <x:f>IF(G3247&gt;H3247,1,0)</x:f>
        <x:v>0</x:v>
      </x:c>
      <x:c r="L3247" s="6" t="n">
        <x:f>J3247*K3247</x:f>
        <x:v>0</x:v>
      </x:c>
    </x:row>
    <x:row r="3248">
      <x:c r="A3248" s="1" t="n">
        <x:v>24540</x:v>
      </x:c>
      <x:c r="B3248" s="5" t="d">
        <x:v>2015-12-25T00:00:00.000Z</x:v>
      </x:c>
      <x:c r="C3248" s="1" t="str">
        <x:v>Standard Class</x:v>
      </x:c>
      <x:c r="D3248" s="1" t="str">
        <x:v>Pacific Asia</x:v>
      </x:c>
      <x:c r="E3248" s="1" t="str">
        <x:v>ON_HOLD</x:v>
      </x:c>
      <x:c r="F3248" s="1" t="str">
        <x:v>Late delivery</x:v>
      </x:c>
      <x:c r="G3248" s="6" t="n">
        <x:v>6</x:v>
      </x:c>
      <x:c r="H3248" s="6" t="n">
        <x:v>4</x:v>
      </x:c>
      <x:c r="I3248" s="6" t="n">
        <x:f>G3248-H3248</x:f>
        <x:v>2</x:v>
      </x:c>
      <x:c r="J3248" s="6" t="n">
        <x:f>IF(OR(E3248="CANCELED",E3248="SUSPECTED_FRAUD",F3248="Shipping canceled"),0,1)</x:f>
        <x:v>1</x:v>
      </x:c>
      <x:c r="K3248" s="6" t="n">
        <x:f>IF(G3248&gt;H3248,1,0)</x:f>
        <x:v>1</x:v>
      </x:c>
      <x:c r="L3248" s="6" t="n">
        <x:f>J3248*K3248</x:f>
        <x:v>1</x:v>
      </x:c>
    </x:row>
    <x:row r="3249">
      <x:c r="A3249" s="1" t="n">
        <x:v>24546</x:v>
      </x:c>
      <x:c r="B3249" s="5" t="d">
        <x:v>2015-12-25T00:00:00.000Z</x:v>
      </x:c>
      <x:c r="C3249" s="1" t="str">
        <x:v>Second Class</x:v>
      </x:c>
      <x:c r="D3249" s="1" t="str">
        <x:v>Pacific Asia</x:v>
      </x:c>
      <x:c r="E3249" s="1" t="str">
        <x:v>COMPLETE</x:v>
      </x:c>
      <x:c r="F3249" s="1" t="str">
        <x:v>Shipping on time</x:v>
      </x:c>
      <x:c r="G3249" s="6" t="n">
        <x:v>2</x:v>
      </x:c>
      <x:c r="H3249" s="6" t="n">
        <x:v>2</x:v>
      </x:c>
      <x:c r="I3249" s="6" t="n">
        <x:f>G3249-H3249</x:f>
        <x:v>0</x:v>
      </x:c>
      <x:c r="J3249" s="6" t="n">
        <x:f>IF(OR(E3249="CANCELED",E3249="SUSPECTED_FRAUD",F3249="Shipping canceled"),0,1)</x:f>
        <x:v>1</x:v>
      </x:c>
      <x:c r="K3249" s="6" t="n">
        <x:f>IF(G3249&gt;H3249,1,0)</x:f>
        <x:v>0</x:v>
      </x:c>
      <x:c r="L3249" s="6" t="n">
        <x:f>J3249*K3249</x:f>
        <x:v>0</x:v>
      </x:c>
    </x:row>
    <x:row r="3250">
      <x:c r="A3250" s="1" t="n">
        <x:v>24548</x:v>
      </x:c>
      <x:c r="B3250" s="5" t="d">
        <x:v>2015-12-25T00:00:00.000Z</x:v>
      </x:c>
      <x:c r="C3250" s="1" t="str">
        <x:v>Standard Class</x:v>
      </x:c>
      <x:c r="D3250" s="1" t="str">
        <x:v>Pacific Asia</x:v>
      </x:c>
      <x:c r="E3250" s="1" t="str">
        <x:v>COMPLETE</x:v>
      </x:c>
      <x:c r="F3250" s="1" t="str">
        <x:v>Shipping on time</x:v>
      </x:c>
      <x:c r="G3250" s="6" t="n">
        <x:v>4</x:v>
      </x:c>
      <x:c r="H3250" s="6" t="n">
        <x:v>4</x:v>
      </x:c>
      <x:c r="I3250" s="6" t="n">
        <x:f>G3250-H3250</x:f>
        <x:v>0</x:v>
      </x:c>
      <x:c r="J3250" s="6" t="n">
        <x:f>IF(OR(E3250="CANCELED",E3250="SUSPECTED_FRAUD",F3250="Shipping canceled"),0,1)</x:f>
        <x:v>1</x:v>
      </x:c>
      <x:c r="K3250" s="6" t="n">
        <x:f>IF(G3250&gt;H3250,1,0)</x:f>
        <x:v>0</x:v>
      </x:c>
      <x:c r="L3250" s="6" t="n">
        <x:f>J3250*K3250</x:f>
        <x:v>0</x:v>
      </x:c>
    </x:row>
    <x:row r="3251">
      <x:c r="A3251" s="1" t="n">
        <x:v>24549</x:v>
      </x:c>
      <x:c r="B3251" s="5" t="d">
        <x:v>2015-12-25T00:00:00.000Z</x:v>
      </x:c>
      <x:c r="C3251" s="1" t="str">
        <x:v>Standard Class</x:v>
      </x:c>
      <x:c r="D3251" s="1" t="str">
        <x:v>Pacific Asia</x:v>
      </x:c>
      <x:c r="E3251" s="1" t="str">
        <x:v>COMPLETE</x:v>
      </x:c>
      <x:c r="F3251" s="1" t="str">
        <x:v>Late delivery</x:v>
      </x:c>
      <x:c r="G3251" s="6" t="n">
        <x:v>5</x:v>
      </x:c>
      <x:c r="H3251" s="6" t="n">
        <x:v>4</x:v>
      </x:c>
      <x:c r="I3251" s="6" t="n">
        <x:f>G3251-H3251</x:f>
        <x:v>1</x:v>
      </x:c>
      <x:c r="J3251" s="6" t="n">
        <x:f>IF(OR(E3251="CANCELED",E3251="SUSPECTED_FRAUD",F3251="Shipping canceled"),0,1)</x:f>
        <x:v>1</x:v>
      </x:c>
      <x:c r="K3251" s="6" t="n">
        <x:f>IF(G3251&gt;H3251,1,0)</x:f>
        <x:v>1</x:v>
      </x:c>
      <x:c r="L3251" s="6" t="n">
        <x:f>J3251*K3251</x:f>
        <x:v>1</x:v>
      </x:c>
    </x:row>
    <x:row r="3252">
      <x:c r="A3252" s="1" t="n">
        <x:v>24552</x:v>
      </x:c>
      <x:c r="B3252" s="5" t="d">
        <x:v>2015-12-25T00:00:00.000Z</x:v>
      </x:c>
      <x:c r="C3252" s="1" t="str">
        <x:v>Standard Class</x:v>
      </x:c>
      <x:c r="D3252" s="1" t="str">
        <x:v>Pacific Asia</x:v>
      </x:c>
      <x:c r="E3252" s="1" t="str">
        <x:v>COMPLETE</x:v>
      </x:c>
      <x:c r="F3252" s="1" t="str">
        <x:v>Advance shipping</x:v>
      </x:c>
      <x:c r="G3252" s="6" t="n">
        <x:v>3</x:v>
      </x:c>
      <x:c r="H3252" s="6" t="n">
        <x:v>4</x:v>
      </x:c>
      <x:c r="I3252" s="6" t="n">
        <x:f>G3252-H3252</x:f>
        <x:v>-1</x:v>
      </x:c>
      <x:c r="J3252" s="6" t="n">
        <x:f>IF(OR(E3252="CANCELED",E3252="SUSPECTED_FRAUD",F3252="Shipping canceled"),0,1)</x:f>
        <x:v>1</x:v>
      </x:c>
      <x:c r="K3252" s="6" t="n">
        <x:f>IF(G3252&gt;H3252,1,0)</x:f>
        <x:v>0</x:v>
      </x:c>
      <x:c r="L3252" s="6" t="n">
        <x:f>J3252*K3252</x:f>
        <x:v>0</x:v>
      </x:c>
    </x:row>
    <x:row r="3253">
      <x:c r="A3253" s="1" t="n">
        <x:v>24556</x:v>
      </x:c>
      <x:c r="B3253" s="5" t="d">
        <x:v>2015-12-25T00:00:00.000Z</x:v>
      </x:c>
      <x:c r="C3253" s="1" t="str">
        <x:v>Standard Class</x:v>
      </x:c>
      <x:c r="D3253" s="1" t="str">
        <x:v>Pacific Asia</x:v>
      </x:c>
      <x:c r="E3253" s="1" t="str">
        <x:v>PENDING</x:v>
      </x:c>
      <x:c r="F3253" s="1" t="str">
        <x:v>Advance shipping</x:v>
      </x:c>
      <x:c r="G3253" s="6" t="n">
        <x:v>2</x:v>
      </x:c>
      <x:c r="H3253" s="6" t="n">
        <x:v>4</x:v>
      </x:c>
      <x:c r="I3253" s="6" t="n">
        <x:f>G3253-H3253</x:f>
        <x:v>-2</x:v>
      </x:c>
      <x:c r="J3253" s="6" t="n">
        <x:f>IF(OR(E3253="CANCELED",E3253="SUSPECTED_FRAUD",F3253="Shipping canceled"),0,1)</x:f>
        <x:v>1</x:v>
      </x:c>
      <x:c r="K3253" s="6" t="n">
        <x:f>IF(G3253&gt;H3253,1,0)</x:f>
        <x:v>0</x:v>
      </x:c>
      <x:c r="L3253" s="6" t="n">
        <x:f>J3253*K3253</x:f>
        <x:v>0</x:v>
      </x:c>
    </x:row>
    <x:row r="3254">
      <x:c r="A3254" s="1" t="n">
        <x:v>24558</x:v>
      </x:c>
      <x:c r="B3254" s="5" t="d">
        <x:v>2015-12-25T00:00:00.000Z</x:v>
      </x:c>
      <x:c r="C3254" s="1" t="str">
        <x:v>Standard Class</x:v>
      </x:c>
      <x:c r="D3254" s="1" t="str">
        <x:v>Pacific Asia</x:v>
      </x:c>
      <x:c r="E3254" s="1" t="str">
        <x:v>COMPLETE</x:v>
      </x:c>
      <x:c r="F3254" s="1" t="str">
        <x:v>Shipping on time</x:v>
      </x:c>
      <x:c r="G3254" s="6" t="n">
        <x:v>4</x:v>
      </x:c>
      <x:c r="H3254" s="6" t="n">
        <x:v>4</x:v>
      </x:c>
      <x:c r="I3254" s="6" t="n">
        <x:f>G3254-H3254</x:f>
        <x:v>0</x:v>
      </x:c>
      <x:c r="J3254" s="6" t="n">
        <x:f>IF(OR(E3254="CANCELED",E3254="SUSPECTED_FRAUD",F3254="Shipping canceled"),0,1)</x:f>
        <x:v>1</x:v>
      </x:c>
      <x:c r="K3254" s="6" t="n">
        <x:f>IF(G3254&gt;H3254,1,0)</x:f>
        <x:v>0</x:v>
      </x:c>
      <x:c r="L3254" s="6" t="n">
        <x:f>J3254*K3254</x:f>
        <x:v>0</x:v>
      </x:c>
    </x:row>
    <x:row r="3255">
      <x:c r="A3255" s="1" t="n">
        <x:v>24571</x:v>
      </x:c>
      <x:c r="B3255" s="5" t="d">
        <x:v>2015-12-25T00:00:00.000Z</x:v>
      </x:c>
      <x:c r="C3255" s="1" t="str">
        <x:v>Standard Class</x:v>
      </x:c>
      <x:c r="D3255" s="1" t="str">
        <x:v>Pacific Asia</x:v>
      </x:c>
      <x:c r="E3255" s="1" t="str">
        <x:v>COMPLETE</x:v>
      </x:c>
      <x:c r="F3255" s="1" t="str">
        <x:v>Advance shipping</x:v>
      </x:c>
      <x:c r="G3255" s="6" t="n">
        <x:v>2</x:v>
      </x:c>
      <x:c r="H3255" s="6" t="n">
        <x:v>4</x:v>
      </x:c>
      <x:c r="I3255" s="6" t="n">
        <x:f>G3255-H3255</x:f>
        <x:v>-2</x:v>
      </x:c>
      <x:c r="J3255" s="6" t="n">
        <x:f>IF(OR(E3255="CANCELED",E3255="SUSPECTED_FRAUD",F3255="Shipping canceled"),0,1)</x:f>
        <x:v>1</x:v>
      </x:c>
      <x:c r="K3255" s="6" t="n">
        <x:f>IF(G3255&gt;H3255,1,0)</x:f>
        <x:v>0</x:v>
      </x:c>
      <x:c r="L3255" s="6" t="n">
        <x:f>J3255*K3255</x:f>
        <x:v>0</x:v>
      </x:c>
    </x:row>
    <x:row r="3256">
      <x:c r="A3256" s="1" t="n">
        <x:v>24592</x:v>
      </x:c>
      <x:c r="B3256" s="5" t="d">
        <x:v>2015-12-25T00:00:00.000Z</x:v>
      </x:c>
      <x:c r="C3256" s="1" t="str">
        <x:v>Standard Class</x:v>
      </x:c>
      <x:c r="D3256" s="1" t="str">
        <x:v>Pacific Asia</x:v>
      </x:c>
      <x:c r="E3256" s="1" t="str">
        <x:v>PENDING</x:v>
      </x:c>
      <x:c r="F3256" s="1" t="str">
        <x:v>Advance shipping</x:v>
      </x:c>
      <x:c r="G3256" s="6" t="n">
        <x:v>3</x:v>
      </x:c>
      <x:c r="H3256" s="6" t="n">
        <x:v>4</x:v>
      </x:c>
      <x:c r="I3256" s="6" t="n">
        <x:f>G3256-H3256</x:f>
        <x:v>-1</x:v>
      </x:c>
      <x:c r="J3256" s="6" t="n">
        <x:f>IF(OR(E3256="CANCELED",E3256="SUSPECTED_FRAUD",F3256="Shipping canceled"),0,1)</x:f>
        <x:v>1</x:v>
      </x:c>
      <x:c r="K3256" s="6" t="n">
        <x:f>IF(G3256&gt;H3256,1,0)</x:f>
        <x:v>0</x:v>
      </x:c>
      <x:c r="L3256" s="6" t="n">
        <x:f>J3256*K3256</x:f>
        <x:v>0</x:v>
      </x:c>
    </x:row>
    <x:row r="3257">
      <x:c r="A3257" s="1" t="n">
        <x:v>24594</x:v>
      </x:c>
      <x:c r="B3257" s="5" t="d">
        <x:v>2015-12-26T00:00:00.000Z</x:v>
      </x:c>
      <x:c r="C3257" s="1" t="str">
        <x:v>Standard Class</x:v>
      </x:c>
      <x:c r="D3257" s="1" t="str">
        <x:v>Pacific Asia</x:v>
      </x:c>
      <x:c r="E3257" s="1" t="str">
        <x:v>PENDING</x:v>
      </x:c>
      <x:c r="F3257" s="1" t="str">
        <x:v>Late delivery</x:v>
      </x:c>
      <x:c r="G3257" s="6" t="n">
        <x:v>5</x:v>
      </x:c>
      <x:c r="H3257" s="6" t="n">
        <x:v>4</x:v>
      </x:c>
      <x:c r="I3257" s="6" t="n">
        <x:f>G3257-H3257</x:f>
        <x:v>1</x:v>
      </x:c>
      <x:c r="J3257" s="6" t="n">
        <x:f>IF(OR(E3257="CANCELED",E3257="SUSPECTED_FRAUD",F3257="Shipping canceled"),0,1)</x:f>
        <x:v>1</x:v>
      </x:c>
      <x:c r="K3257" s="6" t="n">
        <x:f>IF(G3257&gt;H3257,1,0)</x:f>
        <x:v>1</x:v>
      </x:c>
      <x:c r="L3257" s="6" t="n">
        <x:f>J3257*K3257</x:f>
        <x:v>1</x:v>
      </x:c>
    </x:row>
    <x:row r="3258">
      <x:c r="A3258" s="1" t="n">
        <x:v>24596</x:v>
      </x:c>
      <x:c r="B3258" s="5" t="d">
        <x:v>2015-12-26T00:00:00.000Z</x:v>
      </x:c>
      <x:c r="C3258" s="1" t="str">
        <x:v>Standard Class</x:v>
      </x:c>
      <x:c r="D3258" s="1" t="str">
        <x:v>Pacific Asia</x:v>
      </x:c>
      <x:c r="E3258" s="1" t="str">
        <x:v>PENDING_PAYMENT</x:v>
      </x:c>
      <x:c r="F3258" s="1" t="str">
        <x:v>Advance shipping</x:v>
      </x:c>
      <x:c r="G3258" s="6" t="n">
        <x:v>2</x:v>
      </x:c>
      <x:c r="H3258" s="6" t="n">
        <x:v>4</x:v>
      </x:c>
      <x:c r="I3258" s="6" t="n">
        <x:f>G3258-H3258</x:f>
        <x:v>-2</x:v>
      </x:c>
      <x:c r="J3258" s="6" t="n">
        <x:f>IF(OR(E3258="CANCELED",E3258="SUSPECTED_FRAUD",F3258="Shipping canceled"),0,1)</x:f>
        <x:v>1</x:v>
      </x:c>
      <x:c r="K3258" s="6" t="n">
        <x:f>IF(G3258&gt;H3258,1,0)</x:f>
        <x:v>0</x:v>
      </x:c>
      <x:c r="L3258" s="6" t="n">
        <x:f>J3258*K3258</x:f>
        <x:v>0</x:v>
      </x:c>
    </x:row>
    <x:row r="3259">
      <x:c r="A3259" s="1" t="n">
        <x:v>24597</x:v>
      </x:c>
      <x:c r="B3259" s="5" t="d">
        <x:v>2015-12-26T00:00:00.000Z</x:v>
      </x:c>
      <x:c r="C3259" s="1" t="str">
        <x:v>Standard Class</x:v>
      </x:c>
      <x:c r="D3259" s="1" t="str">
        <x:v>Pacific Asia</x:v>
      </x:c>
      <x:c r="E3259" s="1" t="str">
        <x:v>PROCESSING</x:v>
      </x:c>
      <x:c r="F3259" s="1" t="str">
        <x:v>Advance shipping</x:v>
      </x:c>
      <x:c r="G3259" s="6" t="n">
        <x:v>3</x:v>
      </x:c>
      <x:c r="H3259" s="6" t="n">
        <x:v>4</x:v>
      </x:c>
      <x:c r="I3259" s="6" t="n">
        <x:f>G3259-H3259</x:f>
        <x:v>-1</x:v>
      </x:c>
      <x:c r="J3259" s="6" t="n">
        <x:f>IF(OR(E3259="CANCELED",E3259="SUSPECTED_FRAUD",F3259="Shipping canceled"),0,1)</x:f>
        <x:v>1</x:v>
      </x:c>
      <x:c r="K3259" s="6" t="n">
        <x:f>IF(G3259&gt;H3259,1,0)</x:f>
        <x:v>0</x:v>
      </x:c>
      <x:c r="L3259" s="6" t="n">
        <x:f>J3259*K3259</x:f>
        <x:v>0</x:v>
      </x:c>
    </x:row>
    <x:row r="3260">
      <x:c r="A3260" s="1" t="n">
        <x:v>24601</x:v>
      </x:c>
      <x:c r="B3260" s="5" t="d">
        <x:v>2015-12-26T00:00:00.000Z</x:v>
      </x:c>
      <x:c r="C3260" s="1" t="str">
        <x:v>Standard Class</x:v>
      </x:c>
      <x:c r="D3260" s="1" t="str">
        <x:v>Pacific Asia</x:v>
      </x:c>
      <x:c r="E3260" s="1" t="str">
        <x:v>PENDING_PAYMENT</x:v>
      </x:c>
      <x:c r="F3260" s="1" t="str">
        <x:v>Advance shipping</x:v>
      </x:c>
      <x:c r="G3260" s="6" t="n">
        <x:v>2</x:v>
      </x:c>
      <x:c r="H3260" s="6" t="n">
        <x:v>4</x:v>
      </x:c>
      <x:c r="I3260" s="6" t="n">
        <x:f>G3260-H3260</x:f>
        <x:v>-2</x:v>
      </x:c>
      <x:c r="J3260" s="6" t="n">
        <x:f>IF(OR(E3260="CANCELED",E3260="SUSPECTED_FRAUD",F3260="Shipping canceled"),0,1)</x:f>
        <x:v>1</x:v>
      </x:c>
      <x:c r="K3260" s="6" t="n">
        <x:f>IF(G3260&gt;H3260,1,0)</x:f>
        <x:v>0</x:v>
      </x:c>
      <x:c r="L3260" s="6" t="n">
        <x:f>J3260*K3260</x:f>
        <x:v>0</x:v>
      </x:c>
    </x:row>
    <x:row r="3261">
      <x:c r="A3261" s="1" t="n">
        <x:v>24604</x:v>
      </x:c>
      <x:c r="B3261" s="5" t="d">
        <x:v>2015-12-26T00:00:00.000Z</x:v>
      </x:c>
      <x:c r="C3261" s="1" t="str">
        <x:v>Standard Class</x:v>
      </x:c>
      <x:c r="D3261" s="1" t="str">
        <x:v>Pacific Asia</x:v>
      </x:c>
      <x:c r="E3261" s="1" t="str">
        <x:v>PROCESSING</x:v>
      </x:c>
      <x:c r="F3261" s="1" t="str">
        <x:v>Late delivery</x:v>
      </x:c>
      <x:c r="G3261" s="6" t="n">
        <x:v>5</x:v>
      </x:c>
      <x:c r="H3261" s="6" t="n">
        <x:v>4</x:v>
      </x:c>
      <x:c r="I3261" s="6" t="n">
        <x:f>G3261-H3261</x:f>
        <x:v>1</x:v>
      </x:c>
      <x:c r="J3261" s="6" t="n">
        <x:f>IF(OR(E3261="CANCELED",E3261="SUSPECTED_FRAUD",F3261="Shipping canceled"),0,1)</x:f>
        <x:v>1</x:v>
      </x:c>
      <x:c r="K3261" s="6" t="n">
        <x:f>IF(G3261&gt;H3261,1,0)</x:f>
        <x:v>1</x:v>
      </x:c>
      <x:c r="L3261" s="6" t="n">
        <x:f>J3261*K3261</x:f>
        <x:v>1</x:v>
      </x:c>
    </x:row>
    <x:row r="3262">
      <x:c r="A3262" s="1" t="n">
        <x:v>24619</x:v>
      </x:c>
      <x:c r="B3262" s="5" t="d">
        <x:v>2015-12-26T00:00:00.000Z</x:v>
      </x:c>
      <x:c r="C3262" s="1" t="str">
        <x:v>Standard Class</x:v>
      </x:c>
      <x:c r="D3262" s="1" t="str">
        <x:v>Pacific Asia</x:v>
      </x:c>
      <x:c r="E3262" s="1" t="str">
        <x:v>COMPLETE</x:v>
      </x:c>
      <x:c r="F3262" s="1" t="str">
        <x:v>Late delivery</x:v>
      </x:c>
      <x:c r="G3262" s="6" t="n">
        <x:v>5</x:v>
      </x:c>
      <x:c r="H3262" s="6" t="n">
        <x:v>4</x:v>
      </x:c>
      <x:c r="I3262" s="6" t="n">
        <x:f>G3262-H3262</x:f>
        <x:v>1</x:v>
      </x:c>
      <x:c r="J3262" s="6" t="n">
        <x:f>IF(OR(E3262="CANCELED",E3262="SUSPECTED_FRAUD",F3262="Shipping canceled"),0,1)</x:f>
        <x:v>1</x:v>
      </x:c>
      <x:c r="K3262" s="6" t="n">
        <x:f>IF(G3262&gt;H3262,1,0)</x:f>
        <x:v>1</x:v>
      </x:c>
      <x:c r="L3262" s="6" t="n">
        <x:f>J3262*K3262</x:f>
        <x:v>1</x:v>
      </x:c>
    </x:row>
    <x:row r="3263">
      <x:c r="A3263" s="1" t="n">
        <x:v>24630</x:v>
      </x:c>
      <x:c r="B3263" s="5" t="d">
        <x:v>2015-12-26T00:00:00.000Z</x:v>
      </x:c>
      <x:c r="C3263" s="1" t="str">
        <x:v>Standard Class</x:v>
      </x:c>
      <x:c r="D3263" s="1" t="str">
        <x:v>Pacific Asia</x:v>
      </x:c>
      <x:c r="E3263" s="1" t="str">
        <x:v>CANCELED</x:v>
      </x:c>
      <x:c r="F3263" s="1" t="str">
        <x:v>Shipping canceled</x:v>
      </x:c>
      <x:c r="G3263" s="6" t="n">
        <x:v>6</x:v>
      </x:c>
      <x:c r="H3263" s="6" t="n">
        <x:v>4</x:v>
      </x:c>
      <x:c r="I3263" s="6" t="n">
        <x:f>G3263-H3263</x:f>
        <x:v>2</x:v>
      </x:c>
      <x:c r="J3263" s="6" t="n">
        <x:f>IF(OR(E3263="CANCELED",E3263="SUSPECTED_FRAUD",F3263="Shipping canceled"),0,1)</x:f>
        <x:v>0</x:v>
      </x:c>
      <x:c r="K3263" s="6" t="n">
        <x:f>IF(G3263&gt;H3263,1,0)</x:f>
        <x:v>1</x:v>
      </x:c>
      <x:c r="L3263" s="6" t="n">
        <x:f>J3263*K3263</x:f>
        <x:v>0</x:v>
      </x:c>
    </x:row>
    <x:row r="3264">
      <x:c r="A3264" s="1" t="n">
        <x:v>24635</x:v>
      </x:c>
      <x:c r="B3264" s="5" t="d">
        <x:v>2015-12-26T00:00:00.000Z</x:v>
      </x:c>
      <x:c r="C3264" s="1" t="str">
        <x:v>Standard Class</x:v>
      </x:c>
      <x:c r="D3264" s="1" t="str">
        <x:v>Pacific Asia</x:v>
      </x:c>
      <x:c r="E3264" s="1" t="str">
        <x:v>COMPLETE</x:v>
      </x:c>
      <x:c r="F3264" s="1" t="str">
        <x:v>Late delivery</x:v>
      </x:c>
      <x:c r="G3264" s="6" t="n">
        <x:v>6</x:v>
      </x:c>
      <x:c r="H3264" s="6" t="n">
        <x:v>4</x:v>
      </x:c>
      <x:c r="I3264" s="6" t="n">
        <x:f>G3264-H3264</x:f>
        <x:v>2</x:v>
      </x:c>
      <x:c r="J3264" s="6" t="n">
        <x:f>IF(OR(E3264="CANCELED",E3264="SUSPECTED_FRAUD",F3264="Shipping canceled"),0,1)</x:f>
        <x:v>1</x:v>
      </x:c>
      <x:c r="K3264" s="6" t="n">
        <x:f>IF(G3264&gt;H3264,1,0)</x:f>
        <x:v>1</x:v>
      </x:c>
      <x:c r="L3264" s="6" t="n">
        <x:f>J3264*K3264</x:f>
        <x:v>1</x:v>
      </x:c>
    </x:row>
    <x:row r="3265">
      <x:c r="A3265" s="1" t="n">
        <x:v>24648</x:v>
      </x:c>
      <x:c r="B3265" s="5" t="d">
        <x:v>2015-12-26T00:00:00.000Z</x:v>
      </x:c>
      <x:c r="C3265" s="1" t="str">
        <x:v>Standard Class</x:v>
      </x:c>
      <x:c r="D3265" s="1" t="str">
        <x:v>Pacific Asia</x:v>
      </x:c>
      <x:c r="E3265" s="1" t="str">
        <x:v>PROCESSING</x:v>
      </x:c>
      <x:c r="F3265" s="1" t="str">
        <x:v>Shipping on time</x:v>
      </x:c>
      <x:c r="G3265" s="6" t="n">
        <x:v>4</x:v>
      </x:c>
      <x:c r="H3265" s="6" t="n">
        <x:v>4</x:v>
      </x:c>
      <x:c r="I3265" s="6" t="n">
        <x:f>G3265-H3265</x:f>
        <x:v>0</x:v>
      </x:c>
      <x:c r="J3265" s="6" t="n">
        <x:f>IF(OR(E3265="CANCELED",E3265="SUSPECTED_FRAUD",F3265="Shipping canceled"),0,1)</x:f>
        <x:v>1</x:v>
      </x:c>
      <x:c r="K3265" s="6" t="n">
        <x:f>IF(G3265&gt;H3265,1,0)</x:f>
        <x:v>0</x:v>
      </x:c>
      <x:c r="L3265" s="6" t="n">
        <x:f>J3265*K3265</x:f>
        <x:v>0</x:v>
      </x:c>
    </x:row>
    <x:row r="3266">
      <x:c r="A3266" s="1" t="n">
        <x:v>24650</x:v>
      </x:c>
      <x:c r="B3266" s="5" t="d">
        <x:v>2015-12-26T00:00:00.000Z</x:v>
      </x:c>
      <x:c r="C3266" s="1" t="str">
        <x:v>Standard Class</x:v>
      </x:c>
      <x:c r="D3266" s="1" t="str">
        <x:v>Pacific Asia</x:v>
      </x:c>
      <x:c r="E3266" s="1" t="str">
        <x:v>SUSPECTED_FRAUD</x:v>
      </x:c>
      <x:c r="F3266" s="1" t="str">
        <x:v>Shipping canceled</x:v>
      </x:c>
      <x:c r="G3266" s="6" t="n">
        <x:v>6</x:v>
      </x:c>
      <x:c r="H3266" s="6" t="n">
        <x:v>4</x:v>
      </x:c>
      <x:c r="I3266" s="6" t="n">
        <x:f>G3266-H3266</x:f>
        <x:v>2</x:v>
      </x:c>
      <x:c r="J3266" s="6" t="n">
        <x:f>IF(OR(E3266="CANCELED",E3266="SUSPECTED_FRAUD",F3266="Shipping canceled"),0,1)</x:f>
        <x:v>0</x:v>
      </x:c>
      <x:c r="K3266" s="6" t="n">
        <x:f>IF(G3266&gt;H3266,1,0)</x:f>
        <x:v>1</x:v>
      </x:c>
      <x:c r="L3266" s="6" t="n">
        <x:f>J3266*K3266</x:f>
        <x:v>0</x:v>
      </x:c>
    </x:row>
    <x:row r="3267">
      <x:c r="A3267" s="1" t="n">
        <x:v>24661</x:v>
      </x:c>
      <x:c r="B3267" s="5" t="d">
        <x:v>2015-12-26T00:00:00.000Z</x:v>
      </x:c>
      <x:c r="C3267" s="1" t="str">
        <x:v>Second Class</x:v>
      </x:c>
      <x:c r="D3267" s="1" t="str">
        <x:v>Pacific Asia</x:v>
      </x:c>
      <x:c r="E3267" s="1" t="str">
        <x:v>PENDING_PAYMENT</x:v>
      </x:c>
      <x:c r="F3267" s="1" t="str">
        <x:v>Shipping on time</x:v>
      </x:c>
      <x:c r="G3267" s="6" t="n">
        <x:v>2</x:v>
      </x:c>
      <x:c r="H3267" s="6" t="n">
        <x:v>2</x:v>
      </x:c>
      <x:c r="I3267" s="6" t="n">
        <x:f>G3267-H3267</x:f>
        <x:v>0</x:v>
      </x:c>
      <x:c r="J3267" s="6" t="n">
        <x:f>IF(OR(E3267="CANCELED",E3267="SUSPECTED_FRAUD",F3267="Shipping canceled"),0,1)</x:f>
        <x:v>1</x:v>
      </x:c>
      <x:c r="K3267" s="6" t="n">
        <x:f>IF(G3267&gt;H3267,1,0)</x:f>
        <x:v>0</x:v>
      </x:c>
      <x:c r="L3267" s="6" t="n">
        <x:f>J3267*K3267</x:f>
        <x:v>0</x:v>
      </x:c>
    </x:row>
    <x:row r="3268">
      <x:c r="A3268" s="1" t="n">
        <x:v>24665</x:v>
      </x:c>
      <x:c r="B3268" s="5" t="d">
        <x:v>2015-12-27T00:00:00.000Z</x:v>
      </x:c>
      <x:c r="C3268" s="1" t="str">
        <x:v>Second Class</x:v>
      </x:c>
      <x:c r="D3268" s="1" t="str">
        <x:v>Pacific Asia</x:v>
      </x:c>
      <x:c r="E3268" s="1" t="str">
        <x:v>COMPLETE</x:v>
      </x:c>
      <x:c r="F3268" s="1" t="str">
        <x:v>Late delivery</x:v>
      </x:c>
      <x:c r="G3268" s="6" t="n">
        <x:v>6</x:v>
      </x:c>
      <x:c r="H3268" s="6" t="n">
        <x:v>2</x:v>
      </x:c>
      <x:c r="I3268" s="6" t="n">
        <x:f>G3268-H3268</x:f>
        <x:v>4</x:v>
      </x:c>
      <x:c r="J3268" s="6" t="n">
        <x:f>IF(OR(E3268="CANCELED",E3268="SUSPECTED_FRAUD",F3268="Shipping canceled"),0,1)</x:f>
        <x:v>1</x:v>
      </x:c>
      <x:c r="K3268" s="6" t="n">
        <x:f>IF(G3268&gt;H3268,1,0)</x:f>
        <x:v>1</x:v>
      </x:c>
      <x:c r="L3268" s="6" t="n">
        <x:f>J3268*K3268</x:f>
        <x:v>1</x:v>
      </x:c>
    </x:row>
    <x:row r="3269">
      <x:c r="A3269" s="1" t="n">
        <x:v>24668</x:v>
      </x:c>
      <x:c r="B3269" s="5" t="d">
        <x:v>2015-12-27T00:00:00.000Z</x:v>
      </x:c>
      <x:c r="C3269" s="1" t="str">
        <x:v>Standard Class</x:v>
      </x:c>
      <x:c r="D3269" s="1" t="str">
        <x:v>Pacific Asia</x:v>
      </x:c>
      <x:c r="E3269" s="1" t="str">
        <x:v>COMPLETE</x:v>
      </x:c>
      <x:c r="F3269" s="1" t="str">
        <x:v>Shipping on time</x:v>
      </x:c>
      <x:c r="G3269" s="6" t="n">
        <x:v>4</x:v>
      </x:c>
      <x:c r="H3269" s="6" t="n">
        <x:v>4</x:v>
      </x:c>
      <x:c r="I3269" s="6" t="n">
        <x:f>G3269-H3269</x:f>
        <x:v>0</x:v>
      </x:c>
      <x:c r="J3269" s="6" t="n">
        <x:f>IF(OR(E3269="CANCELED",E3269="SUSPECTED_FRAUD",F3269="Shipping canceled"),0,1)</x:f>
        <x:v>1</x:v>
      </x:c>
      <x:c r="K3269" s="6" t="n">
        <x:f>IF(G3269&gt;H3269,1,0)</x:f>
        <x:v>0</x:v>
      </x:c>
      <x:c r="L3269" s="6" t="n">
        <x:f>J3269*K3269</x:f>
        <x:v>0</x:v>
      </x:c>
    </x:row>
    <x:row r="3270">
      <x:c r="A3270" s="1" t="n">
        <x:v>24679</x:v>
      </x:c>
      <x:c r="B3270" s="5" t="d">
        <x:v>2015-12-27T00:00:00.000Z</x:v>
      </x:c>
      <x:c r="C3270" s="1" t="str">
        <x:v>Standard Class</x:v>
      </x:c>
      <x:c r="D3270" s="1" t="str">
        <x:v>Pacific Asia</x:v>
      </x:c>
      <x:c r="E3270" s="1" t="str">
        <x:v>ON_HOLD</x:v>
      </x:c>
      <x:c r="F3270" s="1" t="str">
        <x:v>Late delivery</x:v>
      </x:c>
      <x:c r="G3270" s="6" t="n">
        <x:v>5</x:v>
      </x:c>
      <x:c r="H3270" s="6" t="n">
        <x:v>4</x:v>
      </x:c>
      <x:c r="I3270" s="6" t="n">
        <x:f>G3270-H3270</x:f>
        <x:v>1</x:v>
      </x:c>
      <x:c r="J3270" s="6" t="n">
        <x:f>IF(OR(E3270="CANCELED",E3270="SUSPECTED_FRAUD",F3270="Shipping canceled"),0,1)</x:f>
        <x:v>1</x:v>
      </x:c>
      <x:c r="K3270" s="6" t="n">
        <x:f>IF(G3270&gt;H3270,1,0)</x:f>
        <x:v>1</x:v>
      </x:c>
      <x:c r="L3270" s="6" t="n">
        <x:f>J3270*K3270</x:f>
        <x:v>1</x:v>
      </x:c>
    </x:row>
    <x:row r="3271">
      <x:c r="A3271" s="1" t="n">
        <x:v>24686</x:v>
      </x:c>
      <x:c r="B3271" s="5" t="d">
        <x:v>2015-12-27T00:00:00.000Z</x:v>
      </x:c>
      <x:c r="C3271" s="1" t="str">
        <x:v>Standard Class</x:v>
      </x:c>
      <x:c r="D3271" s="1" t="str">
        <x:v>Pacific Asia</x:v>
      </x:c>
      <x:c r="E3271" s="1" t="str">
        <x:v>PENDING_PAYMENT</x:v>
      </x:c>
      <x:c r="F3271" s="1" t="str">
        <x:v>Advance shipping</x:v>
      </x:c>
      <x:c r="G3271" s="6" t="n">
        <x:v>2</x:v>
      </x:c>
      <x:c r="H3271" s="6" t="n">
        <x:v>4</x:v>
      </x:c>
      <x:c r="I3271" s="6" t="n">
        <x:f>G3271-H3271</x:f>
        <x:v>-2</x:v>
      </x:c>
      <x:c r="J3271" s="6" t="n">
        <x:f>IF(OR(E3271="CANCELED",E3271="SUSPECTED_FRAUD",F3271="Shipping canceled"),0,1)</x:f>
        <x:v>1</x:v>
      </x:c>
      <x:c r="K3271" s="6" t="n">
        <x:f>IF(G3271&gt;H3271,1,0)</x:f>
        <x:v>0</x:v>
      </x:c>
      <x:c r="L3271" s="6" t="n">
        <x:f>J3271*K3271</x:f>
        <x:v>0</x:v>
      </x:c>
    </x:row>
    <x:row r="3272">
      <x:c r="A3272" s="1" t="n">
        <x:v>24690</x:v>
      </x:c>
      <x:c r="B3272" s="5" t="d">
        <x:v>2015-12-27T00:00:00.000Z</x:v>
      </x:c>
      <x:c r="C3272" s="1" t="str">
        <x:v>Standard Class</x:v>
      </x:c>
      <x:c r="D3272" s="1" t="str">
        <x:v>Pacific Asia</x:v>
      </x:c>
      <x:c r="E3272" s="1" t="str">
        <x:v>COMPLETE</x:v>
      </x:c>
      <x:c r="F3272" s="1" t="str">
        <x:v>Late delivery</x:v>
      </x:c>
      <x:c r="G3272" s="6" t="n">
        <x:v>6</x:v>
      </x:c>
      <x:c r="H3272" s="6" t="n">
        <x:v>4</x:v>
      </x:c>
      <x:c r="I3272" s="6" t="n">
        <x:f>G3272-H3272</x:f>
        <x:v>2</x:v>
      </x:c>
      <x:c r="J3272" s="6" t="n">
        <x:f>IF(OR(E3272="CANCELED",E3272="SUSPECTED_FRAUD",F3272="Shipping canceled"),0,1)</x:f>
        <x:v>1</x:v>
      </x:c>
      <x:c r="K3272" s="6" t="n">
        <x:f>IF(G3272&gt;H3272,1,0)</x:f>
        <x:v>1</x:v>
      </x:c>
      <x:c r="L3272" s="6" t="n">
        <x:f>J3272*K3272</x:f>
        <x:v>1</x:v>
      </x:c>
    </x:row>
    <x:row r="3273">
      <x:c r="A3273" s="1" t="n">
        <x:v>24697</x:v>
      </x:c>
      <x:c r="B3273" s="5" t="d">
        <x:v>2015-12-27T00:00:00.000Z</x:v>
      </x:c>
      <x:c r="C3273" s="1" t="str">
        <x:v>Standard Class</x:v>
      </x:c>
      <x:c r="D3273" s="1" t="str">
        <x:v>Pacific Asia</x:v>
      </x:c>
      <x:c r="E3273" s="1" t="str">
        <x:v>PROCESSING</x:v>
      </x:c>
      <x:c r="F3273" s="1" t="str">
        <x:v>Advance shipping</x:v>
      </x:c>
      <x:c r="G3273" s="6" t="n">
        <x:v>3</x:v>
      </x:c>
      <x:c r="H3273" s="6" t="n">
        <x:v>4</x:v>
      </x:c>
      <x:c r="I3273" s="6" t="n">
        <x:f>G3273-H3273</x:f>
        <x:v>-1</x:v>
      </x:c>
      <x:c r="J3273" s="6" t="n">
        <x:f>IF(OR(E3273="CANCELED",E3273="SUSPECTED_FRAUD",F3273="Shipping canceled"),0,1)</x:f>
        <x:v>1</x:v>
      </x:c>
      <x:c r="K3273" s="6" t="n">
        <x:f>IF(G3273&gt;H3273,1,0)</x:f>
        <x:v>0</x:v>
      </x:c>
      <x:c r="L3273" s="6" t="n">
        <x:f>J3273*K3273</x:f>
        <x:v>0</x:v>
      </x:c>
    </x:row>
    <x:row r="3274">
      <x:c r="A3274" s="1" t="n">
        <x:v>24709</x:v>
      </x:c>
      <x:c r="B3274" s="5" t="d">
        <x:v>2015-12-27T00:00:00.000Z</x:v>
      </x:c>
      <x:c r="C3274" s="1" t="str">
        <x:v>Standard Class</x:v>
      </x:c>
      <x:c r="D3274" s="1" t="str">
        <x:v>Pacific Asia</x:v>
      </x:c>
      <x:c r="E3274" s="1" t="str">
        <x:v>COMPLETE</x:v>
      </x:c>
      <x:c r="F3274" s="1" t="str">
        <x:v>Late delivery</x:v>
      </x:c>
      <x:c r="G3274" s="6" t="n">
        <x:v>5</x:v>
      </x:c>
      <x:c r="H3274" s="6" t="n">
        <x:v>4</x:v>
      </x:c>
      <x:c r="I3274" s="6" t="n">
        <x:f>G3274-H3274</x:f>
        <x:v>1</x:v>
      </x:c>
      <x:c r="J3274" s="6" t="n">
        <x:f>IF(OR(E3274="CANCELED",E3274="SUSPECTED_FRAUD",F3274="Shipping canceled"),0,1)</x:f>
        <x:v>1</x:v>
      </x:c>
      <x:c r="K3274" s="6" t="n">
        <x:f>IF(G3274&gt;H3274,1,0)</x:f>
        <x:v>1</x:v>
      </x:c>
      <x:c r="L3274" s="6" t="n">
        <x:f>J3274*K3274</x:f>
        <x:v>1</x:v>
      </x:c>
    </x:row>
    <x:row r="3275">
      <x:c r="A3275" s="1" t="n">
        <x:v>24717</x:v>
      </x:c>
      <x:c r="B3275" s="5" t="d">
        <x:v>2015-12-27T00:00:00.000Z</x:v>
      </x:c>
      <x:c r="C3275" s="1" t="str">
        <x:v>Standard Class</x:v>
      </x:c>
      <x:c r="D3275" s="1" t="str">
        <x:v>Pacific Asia</x:v>
      </x:c>
      <x:c r="E3275" s="1" t="str">
        <x:v>PENDING_PAYMENT</x:v>
      </x:c>
      <x:c r="F3275" s="1" t="str">
        <x:v>Advance shipping</x:v>
      </x:c>
      <x:c r="G3275" s="6" t="n">
        <x:v>3</x:v>
      </x:c>
      <x:c r="H3275" s="6" t="n">
        <x:v>4</x:v>
      </x:c>
      <x:c r="I3275" s="6" t="n">
        <x:f>G3275-H3275</x:f>
        <x:v>-1</x:v>
      </x:c>
      <x:c r="J3275" s="6" t="n">
        <x:f>IF(OR(E3275="CANCELED",E3275="SUSPECTED_FRAUD",F3275="Shipping canceled"),0,1)</x:f>
        <x:v>1</x:v>
      </x:c>
      <x:c r="K3275" s="6" t="n">
        <x:f>IF(G3275&gt;H3275,1,0)</x:f>
        <x:v>0</x:v>
      </x:c>
      <x:c r="L3275" s="6" t="n">
        <x:f>J3275*K3275</x:f>
        <x:v>0</x:v>
      </x:c>
    </x:row>
    <x:row r="3276">
      <x:c r="A3276" s="1" t="n">
        <x:v>24719</x:v>
      </x:c>
      <x:c r="B3276" s="5" t="d">
        <x:v>2015-12-27T00:00:00.000Z</x:v>
      </x:c>
      <x:c r="C3276" s="1" t="str">
        <x:v>Standard Class</x:v>
      </x:c>
      <x:c r="D3276" s="1" t="str">
        <x:v>Pacific Asia</x:v>
      </x:c>
      <x:c r="E3276" s="1" t="str">
        <x:v>CLOSED</x:v>
      </x:c>
      <x:c r="F3276" s="1" t="str">
        <x:v>Late delivery</x:v>
      </x:c>
      <x:c r="G3276" s="6" t="n">
        <x:v>5</x:v>
      </x:c>
      <x:c r="H3276" s="6" t="n">
        <x:v>4</x:v>
      </x:c>
      <x:c r="I3276" s="6" t="n">
        <x:f>G3276-H3276</x:f>
        <x:v>1</x:v>
      </x:c>
      <x:c r="J3276" s="6" t="n">
        <x:f>IF(OR(E3276="CANCELED",E3276="SUSPECTED_FRAUD",F3276="Shipping canceled"),0,1)</x:f>
        <x:v>1</x:v>
      </x:c>
      <x:c r="K3276" s="6" t="n">
        <x:f>IF(G3276&gt;H3276,1,0)</x:f>
        <x:v>1</x:v>
      </x:c>
      <x:c r="L3276" s="6" t="n">
        <x:f>J3276*K3276</x:f>
        <x:v>1</x:v>
      </x:c>
    </x:row>
    <x:row r="3277">
      <x:c r="A3277" s="1" t="n">
        <x:v>24733</x:v>
      </x:c>
      <x:c r="B3277" s="5" t="d">
        <x:v>2015-12-28T00:00:00.000Z</x:v>
      </x:c>
      <x:c r="C3277" s="1" t="str">
        <x:v>Standard Class</x:v>
      </x:c>
      <x:c r="D3277" s="1" t="str">
        <x:v>Pacific Asia</x:v>
      </x:c>
      <x:c r="E3277" s="1" t="str">
        <x:v>CLOSED</x:v>
      </x:c>
      <x:c r="F3277" s="1" t="str">
        <x:v>Shipping on time</x:v>
      </x:c>
      <x:c r="G3277" s="6" t="n">
        <x:v>4</x:v>
      </x:c>
      <x:c r="H3277" s="6" t="n">
        <x:v>4</x:v>
      </x:c>
      <x:c r="I3277" s="6" t="n">
        <x:f>G3277-H3277</x:f>
        <x:v>0</x:v>
      </x:c>
      <x:c r="J3277" s="6" t="n">
        <x:f>IF(OR(E3277="CANCELED",E3277="SUSPECTED_FRAUD",F3277="Shipping canceled"),0,1)</x:f>
        <x:v>1</x:v>
      </x:c>
      <x:c r="K3277" s="6" t="n">
        <x:f>IF(G3277&gt;H3277,1,0)</x:f>
        <x:v>0</x:v>
      </x:c>
      <x:c r="L3277" s="6" t="n">
        <x:f>J3277*K3277</x:f>
        <x:v>0</x:v>
      </x:c>
    </x:row>
    <x:row r="3278">
      <x:c r="A3278" s="1" t="n">
        <x:v>24734</x:v>
      </x:c>
      <x:c r="B3278" s="5" t="d">
        <x:v>2015-12-28T00:00:00.000Z</x:v>
      </x:c>
      <x:c r="C3278" s="1" t="str">
        <x:v>Standard Class</x:v>
      </x:c>
      <x:c r="D3278" s="1" t="str">
        <x:v>Pacific Asia</x:v>
      </x:c>
      <x:c r="E3278" s="1" t="str">
        <x:v>COMPLETE</x:v>
      </x:c>
      <x:c r="F3278" s="1" t="str">
        <x:v>Late delivery</x:v>
      </x:c>
      <x:c r="G3278" s="6" t="n">
        <x:v>5</x:v>
      </x:c>
      <x:c r="H3278" s="6" t="n">
        <x:v>4</x:v>
      </x:c>
      <x:c r="I3278" s="6" t="n">
        <x:f>G3278-H3278</x:f>
        <x:v>1</x:v>
      </x:c>
      <x:c r="J3278" s="6" t="n">
        <x:f>IF(OR(E3278="CANCELED",E3278="SUSPECTED_FRAUD",F3278="Shipping canceled"),0,1)</x:f>
        <x:v>1</x:v>
      </x:c>
      <x:c r="K3278" s="6" t="n">
        <x:f>IF(G3278&gt;H3278,1,0)</x:f>
        <x:v>1</x:v>
      </x:c>
      <x:c r="L3278" s="6" t="n">
        <x:f>J3278*K3278</x:f>
        <x:v>1</x:v>
      </x:c>
    </x:row>
    <x:row r="3279">
      <x:c r="A3279" s="1" t="n">
        <x:v>24739</x:v>
      </x:c>
      <x:c r="B3279" s="5" t="d">
        <x:v>2015-12-28T00:00:00.000Z</x:v>
      </x:c>
      <x:c r="C3279" s="1" t="str">
        <x:v>Same Day</x:v>
      </x:c>
      <x:c r="D3279" s="1" t="str">
        <x:v>Pacific Asia</x:v>
      </x:c>
      <x:c r="E3279" s="1" t="str">
        <x:v>SUSPECTED_FRAUD</x:v>
      </x:c>
      <x:c r="F3279" s="1" t="str">
        <x:v>Shipping canceled</x:v>
      </x:c>
      <x:c r="G3279" s="6" t="n">
        <x:v>0</x:v>
      </x:c>
      <x:c r="H3279" s="6" t="n">
        <x:v>0</x:v>
      </x:c>
      <x:c r="I3279" s="6" t="n">
        <x:f>G3279-H3279</x:f>
        <x:v>0</x:v>
      </x:c>
      <x:c r="J3279" s="6" t="n">
        <x:f>IF(OR(E3279="CANCELED",E3279="SUSPECTED_FRAUD",F3279="Shipping canceled"),0,1)</x:f>
        <x:v>0</x:v>
      </x:c>
      <x:c r="K3279" s="6" t="n">
        <x:f>IF(G3279&gt;H3279,1,0)</x:f>
        <x:v>0</x:v>
      </x:c>
      <x:c r="L3279" s="6" t="n">
        <x:f>J3279*K3279</x:f>
        <x:v>0</x:v>
      </x:c>
    </x:row>
    <x:row r="3280">
      <x:c r="A3280" s="1" t="n">
        <x:v>24747</x:v>
      </x:c>
      <x:c r="B3280" s="5" t="d">
        <x:v>2015-12-28T00:00:00.000Z</x:v>
      </x:c>
      <x:c r="C3280" s="1" t="str">
        <x:v>Standard Class</x:v>
      </x:c>
      <x:c r="D3280" s="1" t="str">
        <x:v>Pacific Asia</x:v>
      </x:c>
      <x:c r="E3280" s="1" t="str">
        <x:v>ON_HOLD</x:v>
      </x:c>
      <x:c r="F3280" s="1" t="str">
        <x:v>Advance shipping</x:v>
      </x:c>
      <x:c r="G3280" s="6" t="n">
        <x:v>3</x:v>
      </x:c>
      <x:c r="H3280" s="6" t="n">
        <x:v>4</x:v>
      </x:c>
      <x:c r="I3280" s="6" t="n">
        <x:f>G3280-H3280</x:f>
        <x:v>-1</x:v>
      </x:c>
      <x:c r="J3280" s="6" t="n">
        <x:f>IF(OR(E3280="CANCELED",E3280="SUSPECTED_FRAUD",F3280="Shipping canceled"),0,1)</x:f>
        <x:v>1</x:v>
      </x:c>
      <x:c r="K3280" s="6" t="n">
        <x:f>IF(G3280&gt;H3280,1,0)</x:f>
        <x:v>0</x:v>
      </x:c>
      <x:c r="L3280" s="6" t="n">
        <x:f>J3280*K3280</x:f>
        <x:v>0</x:v>
      </x:c>
    </x:row>
    <x:row r="3281">
      <x:c r="A3281" s="1" t="n">
        <x:v>24750</x:v>
      </x:c>
      <x:c r="B3281" s="5" t="d">
        <x:v>2015-12-28T00:00:00.000Z</x:v>
      </x:c>
      <x:c r="C3281" s="1" t="str">
        <x:v>Standard Class</x:v>
      </x:c>
      <x:c r="D3281" s="1" t="str">
        <x:v>Pacific Asia</x:v>
      </x:c>
      <x:c r="E3281" s="1" t="str">
        <x:v>COMPLETE</x:v>
      </x:c>
      <x:c r="F3281" s="1" t="str">
        <x:v>Late delivery</x:v>
      </x:c>
      <x:c r="G3281" s="6" t="n">
        <x:v>6</x:v>
      </x:c>
      <x:c r="H3281" s="6" t="n">
        <x:v>4</x:v>
      </x:c>
      <x:c r="I3281" s="6" t="n">
        <x:f>G3281-H3281</x:f>
        <x:v>2</x:v>
      </x:c>
      <x:c r="J3281" s="6" t="n">
        <x:f>IF(OR(E3281="CANCELED",E3281="SUSPECTED_FRAUD",F3281="Shipping canceled"),0,1)</x:f>
        <x:v>1</x:v>
      </x:c>
      <x:c r="K3281" s="6" t="n">
        <x:f>IF(G3281&gt;H3281,1,0)</x:f>
        <x:v>1</x:v>
      </x:c>
      <x:c r="L3281" s="6" t="n">
        <x:f>J3281*K3281</x:f>
        <x:v>1</x:v>
      </x:c>
    </x:row>
    <x:row r="3282">
      <x:c r="A3282" s="1" t="n">
        <x:v>24752</x:v>
      </x:c>
      <x:c r="B3282" s="5" t="d">
        <x:v>2015-12-28T00:00:00.000Z</x:v>
      </x:c>
      <x:c r="C3282" s="1" t="str">
        <x:v>Standard Class</x:v>
      </x:c>
      <x:c r="D3282" s="1" t="str">
        <x:v>Pacific Asia</x:v>
      </x:c>
      <x:c r="E3282" s="1" t="str">
        <x:v>COMPLETE</x:v>
      </x:c>
      <x:c r="F3282" s="1" t="str">
        <x:v>Advance shipping</x:v>
      </x:c>
      <x:c r="G3282" s="6" t="n">
        <x:v>3</x:v>
      </x:c>
      <x:c r="H3282" s="6" t="n">
        <x:v>4</x:v>
      </x:c>
      <x:c r="I3282" s="6" t="n">
        <x:f>G3282-H3282</x:f>
        <x:v>-1</x:v>
      </x:c>
      <x:c r="J3282" s="6" t="n">
        <x:f>IF(OR(E3282="CANCELED",E3282="SUSPECTED_FRAUD",F3282="Shipping canceled"),0,1)</x:f>
        <x:v>1</x:v>
      </x:c>
      <x:c r="K3282" s="6" t="n">
        <x:f>IF(G3282&gt;H3282,1,0)</x:f>
        <x:v>0</x:v>
      </x:c>
      <x:c r="L3282" s="6" t="n">
        <x:f>J3282*K3282</x:f>
        <x:v>0</x:v>
      </x:c>
    </x:row>
    <x:row r="3283">
      <x:c r="A3283" s="1" t="n">
        <x:v>24755</x:v>
      </x:c>
      <x:c r="B3283" s="5" t="d">
        <x:v>2015-12-28T00:00:00.000Z</x:v>
      </x:c>
      <x:c r="C3283" s="1" t="str">
        <x:v>Same Day</x:v>
      </x:c>
      <x:c r="D3283" s="1" t="str">
        <x:v>Pacific Asia</x:v>
      </x:c>
      <x:c r="E3283" s="1" t="str">
        <x:v>COMPLETE</x:v>
      </x:c>
      <x:c r="F3283" s="1" t="str">
        <x:v>Shipping on time</x:v>
      </x:c>
      <x:c r="G3283" s="6" t="n">
        <x:v>0</x:v>
      </x:c>
      <x:c r="H3283" s="6" t="n">
        <x:v>0</x:v>
      </x:c>
      <x:c r="I3283" s="6" t="n">
        <x:f>G3283-H3283</x:f>
        <x:v>0</x:v>
      </x:c>
      <x:c r="J3283" s="6" t="n">
        <x:f>IF(OR(E3283="CANCELED",E3283="SUSPECTED_FRAUD",F3283="Shipping canceled"),0,1)</x:f>
        <x:v>1</x:v>
      </x:c>
      <x:c r="K3283" s="6" t="n">
        <x:f>IF(G3283&gt;H3283,1,0)</x:f>
        <x:v>0</x:v>
      </x:c>
      <x:c r="L3283" s="6" t="n">
        <x:f>J3283*K3283</x:f>
        <x:v>0</x:v>
      </x:c>
    </x:row>
    <x:row r="3284">
      <x:c r="A3284" s="1" t="n">
        <x:v>24760</x:v>
      </x:c>
      <x:c r="B3284" s="5" t="d">
        <x:v>2015-12-28T00:00:00.000Z</x:v>
      </x:c>
      <x:c r="C3284" s="1" t="str">
        <x:v>Second Class</x:v>
      </x:c>
      <x:c r="D3284" s="1" t="str">
        <x:v>Pacific Asia</x:v>
      </x:c>
      <x:c r="E3284" s="1" t="str">
        <x:v>COMPLETE</x:v>
      </x:c>
      <x:c r="F3284" s="1" t="str">
        <x:v>Late delivery</x:v>
      </x:c>
      <x:c r="G3284" s="6" t="n">
        <x:v>6</x:v>
      </x:c>
      <x:c r="H3284" s="6" t="n">
        <x:v>2</x:v>
      </x:c>
      <x:c r="I3284" s="6" t="n">
        <x:f>G3284-H3284</x:f>
        <x:v>4</x:v>
      </x:c>
      <x:c r="J3284" s="6" t="n">
        <x:f>IF(OR(E3284="CANCELED",E3284="SUSPECTED_FRAUD",F3284="Shipping canceled"),0,1)</x:f>
        <x:v>1</x:v>
      </x:c>
      <x:c r="K3284" s="6" t="n">
        <x:f>IF(G3284&gt;H3284,1,0)</x:f>
        <x:v>1</x:v>
      </x:c>
      <x:c r="L3284" s="6" t="n">
        <x:f>J3284*K3284</x:f>
        <x:v>1</x:v>
      </x:c>
    </x:row>
    <x:row r="3285">
      <x:c r="A3285" s="1" t="n">
        <x:v>24764</x:v>
      </x:c>
      <x:c r="B3285" s="5" t="d">
        <x:v>2015-12-28T00:00:00.000Z</x:v>
      </x:c>
      <x:c r="C3285" s="1" t="str">
        <x:v>Standard Class</x:v>
      </x:c>
      <x:c r="D3285" s="1" t="str">
        <x:v>Pacific Asia</x:v>
      </x:c>
      <x:c r="E3285" s="1" t="str">
        <x:v>COMPLETE</x:v>
      </x:c>
      <x:c r="F3285" s="1" t="str">
        <x:v>Late delivery</x:v>
      </x:c>
      <x:c r="G3285" s="6" t="n">
        <x:v>5</x:v>
      </x:c>
      <x:c r="H3285" s="6" t="n">
        <x:v>4</x:v>
      </x:c>
      <x:c r="I3285" s="6" t="n">
        <x:f>G3285-H3285</x:f>
        <x:v>1</x:v>
      </x:c>
      <x:c r="J3285" s="6" t="n">
        <x:f>IF(OR(E3285="CANCELED",E3285="SUSPECTED_FRAUD",F3285="Shipping canceled"),0,1)</x:f>
        <x:v>1</x:v>
      </x:c>
      <x:c r="K3285" s="6" t="n">
        <x:f>IF(G3285&gt;H3285,1,0)</x:f>
        <x:v>1</x:v>
      </x:c>
      <x:c r="L3285" s="6" t="n">
        <x:f>J3285*K3285</x:f>
        <x:v>1</x:v>
      </x:c>
    </x:row>
    <x:row r="3286">
      <x:c r="A3286" s="1" t="n">
        <x:v>24766</x:v>
      </x:c>
      <x:c r="B3286" s="5" t="d">
        <x:v>2015-12-28T00:00:00.000Z</x:v>
      </x:c>
      <x:c r="C3286" s="1" t="str">
        <x:v>Standard Class</x:v>
      </x:c>
      <x:c r="D3286" s="1" t="str">
        <x:v>Pacific Asia</x:v>
      </x:c>
      <x:c r="E3286" s="1" t="str">
        <x:v>PENDING</x:v>
      </x:c>
      <x:c r="F3286" s="1" t="str">
        <x:v>Advance shipping</x:v>
      </x:c>
      <x:c r="G3286" s="6" t="n">
        <x:v>2</x:v>
      </x:c>
      <x:c r="H3286" s="6" t="n">
        <x:v>4</x:v>
      </x:c>
      <x:c r="I3286" s="6" t="n">
        <x:f>G3286-H3286</x:f>
        <x:v>-2</x:v>
      </x:c>
      <x:c r="J3286" s="6" t="n">
        <x:f>IF(OR(E3286="CANCELED",E3286="SUSPECTED_FRAUD",F3286="Shipping canceled"),0,1)</x:f>
        <x:v>1</x:v>
      </x:c>
      <x:c r="K3286" s="6" t="n">
        <x:f>IF(G3286&gt;H3286,1,0)</x:f>
        <x:v>0</x:v>
      </x:c>
      <x:c r="L3286" s="6" t="n">
        <x:f>J3286*K3286</x:f>
        <x:v>0</x:v>
      </x:c>
    </x:row>
    <x:row r="3287">
      <x:c r="A3287" s="1" t="n">
        <x:v>24770</x:v>
      </x:c>
      <x:c r="B3287" s="5" t="d">
        <x:v>2015-12-28T00:00:00.000Z</x:v>
      </x:c>
      <x:c r="C3287" s="1" t="str">
        <x:v>Standard Class</x:v>
      </x:c>
      <x:c r="D3287" s="1" t="str">
        <x:v>Pacific Asia</x:v>
      </x:c>
      <x:c r="E3287" s="1" t="str">
        <x:v>PROCESSING</x:v>
      </x:c>
      <x:c r="F3287" s="1" t="str">
        <x:v>Late delivery</x:v>
      </x:c>
      <x:c r="G3287" s="6" t="n">
        <x:v>6</x:v>
      </x:c>
      <x:c r="H3287" s="6" t="n">
        <x:v>4</x:v>
      </x:c>
      <x:c r="I3287" s="6" t="n">
        <x:f>G3287-H3287</x:f>
        <x:v>2</x:v>
      </x:c>
      <x:c r="J3287" s="6" t="n">
        <x:f>IF(OR(E3287="CANCELED",E3287="SUSPECTED_FRAUD",F3287="Shipping canceled"),0,1)</x:f>
        <x:v>1</x:v>
      </x:c>
      <x:c r="K3287" s="6" t="n">
        <x:f>IF(G3287&gt;H3287,1,0)</x:f>
        <x:v>1</x:v>
      </x:c>
      <x:c r="L3287" s="6" t="n">
        <x:f>J3287*K3287</x:f>
        <x:v>1</x:v>
      </x:c>
    </x:row>
    <x:row r="3288">
      <x:c r="A3288" s="1" t="n">
        <x:v>24784</x:v>
      </x:c>
      <x:c r="B3288" s="5" t="d">
        <x:v>2015-12-28T00:00:00.000Z</x:v>
      </x:c>
      <x:c r="C3288" s="1" t="str">
        <x:v>First Class</x:v>
      </x:c>
      <x:c r="D3288" s="1" t="str">
        <x:v>Pacific Asia</x:v>
      </x:c>
      <x:c r="E3288" s="1" t="str">
        <x:v>CLOSED</x:v>
      </x:c>
      <x:c r="F3288" s="1" t="str">
        <x:v>Late delivery</x:v>
      </x:c>
      <x:c r="G3288" s="6" t="n">
        <x:v>2</x:v>
      </x:c>
      <x:c r="H3288" s="6" t="n">
        <x:v>1</x:v>
      </x:c>
      <x:c r="I3288" s="6" t="n">
        <x:f>G3288-H3288</x:f>
        <x:v>1</x:v>
      </x:c>
      <x:c r="J3288" s="6" t="n">
        <x:f>IF(OR(E3288="CANCELED",E3288="SUSPECTED_FRAUD",F3288="Shipping canceled"),0,1)</x:f>
        <x:v>1</x:v>
      </x:c>
      <x:c r="K3288" s="6" t="n">
        <x:f>IF(G3288&gt;H3288,1,0)</x:f>
        <x:v>1</x:v>
      </x:c>
      <x:c r="L3288" s="6" t="n">
        <x:f>J3288*K3288</x:f>
        <x:v>1</x:v>
      </x:c>
    </x:row>
    <x:row r="3289">
      <x:c r="A3289" s="1" t="n">
        <x:v>24787</x:v>
      </x:c>
      <x:c r="B3289" s="5" t="d">
        <x:v>2015-12-28T00:00:00.000Z</x:v>
      </x:c>
      <x:c r="C3289" s="1" t="str">
        <x:v>Standard Class</x:v>
      </x:c>
      <x:c r="D3289" s="1" t="str">
        <x:v>Pacific Asia</x:v>
      </x:c>
      <x:c r="E3289" s="1" t="str">
        <x:v>COMPLETE</x:v>
      </x:c>
      <x:c r="F3289" s="1" t="str">
        <x:v>Advance shipping</x:v>
      </x:c>
      <x:c r="G3289" s="6" t="n">
        <x:v>3</x:v>
      </x:c>
      <x:c r="H3289" s="6" t="n">
        <x:v>4</x:v>
      </x:c>
      <x:c r="I3289" s="6" t="n">
        <x:f>G3289-H3289</x:f>
        <x:v>-1</x:v>
      </x:c>
      <x:c r="J3289" s="6" t="n">
        <x:f>IF(OR(E3289="CANCELED",E3289="SUSPECTED_FRAUD",F3289="Shipping canceled"),0,1)</x:f>
        <x:v>1</x:v>
      </x:c>
      <x:c r="K3289" s="6" t="n">
        <x:f>IF(G3289&gt;H3289,1,0)</x:f>
        <x:v>0</x:v>
      </x:c>
      <x:c r="L3289" s="6" t="n">
        <x:f>J3289*K3289</x:f>
        <x:v>0</x:v>
      </x:c>
    </x:row>
    <x:row r="3290">
      <x:c r="A3290" s="1" t="n">
        <x:v>24794</x:v>
      </x:c>
      <x:c r="B3290" s="5" t="d">
        <x:v>2015-12-28T00:00:00.000Z</x:v>
      </x:c>
      <x:c r="C3290" s="1" t="str">
        <x:v>Standard Class</x:v>
      </x:c>
      <x:c r="D3290" s="1" t="str">
        <x:v>Pacific Asia</x:v>
      </x:c>
      <x:c r="E3290" s="1" t="str">
        <x:v>COMPLETE</x:v>
      </x:c>
      <x:c r="F3290" s="1" t="str">
        <x:v>Late delivery</x:v>
      </x:c>
      <x:c r="G3290" s="6" t="n">
        <x:v>5</x:v>
      </x:c>
      <x:c r="H3290" s="6" t="n">
        <x:v>4</x:v>
      </x:c>
      <x:c r="I3290" s="6" t="n">
        <x:f>G3290-H3290</x:f>
        <x:v>1</x:v>
      </x:c>
      <x:c r="J3290" s="6" t="n">
        <x:f>IF(OR(E3290="CANCELED",E3290="SUSPECTED_FRAUD",F3290="Shipping canceled"),0,1)</x:f>
        <x:v>1</x:v>
      </x:c>
      <x:c r="K3290" s="6" t="n">
        <x:f>IF(G3290&gt;H3290,1,0)</x:f>
        <x:v>1</x:v>
      </x:c>
      <x:c r="L3290" s="6" t="n">
        <x:f>J3290*K3290</x:f>
        <x:v>1</x:v>
      </x:c>
    </x:row>
    <x:row r="3291">
      <x:c r="A3291" s="1" t="n">
        <x:v>24820</x:v>
      </x:c>
      <x:c r="B3291" s="5" t="d">
        <x:v>2015-12-29T00:00:00.000Z</x:v>
      </x:c>
      <x:c r="C3291" s="1" t="str">
        <x:v>Standard Class</x:v>
      </x:c>
      <x:c r="D3291" s="1" t="str">
        <x:v>Pacific Asia</x:v>
      </x:c>
      <x:c r="E3291" s="1" t="str">
        <x:v>PROCESSING</x:v>
      </x:c>
      <x:c r="F3291" s="1" t="str">
        <x:v>Late delivery</x:v>
      </x:c>
      <x:c r="G3291" s="6" t="n">
        <x:v>6</x:v>
      </x:c>
      <x:c r="H3291" s="6" t="n">
        <x:v>4</x:v>
      </x:c>
      <x:c r="I3291" s="6" t="n">
        <x:f>G3291-H3291</x:f>
        <x:v>2</x:v>
      </x:c>
      <x:c r="J3291" s="6" t="n">
        <x:f>IF(OR(E3291="CANCELED",E3291="SUSPECTED_FRAUD",F3291="Shipping canceled"),0,1)</x:f>
        <x:v>1</x:v>
      </x:c>
      <x:c r="K3291" s="6" t="n">
        <x:f>IF(G3291&gt;H3291,1,0)</x:f>
        <x:v>1</x:v>
      </x:c>
      <x:c r="L3291" s="6" t="n">
        <x:f>J3291*K3291</x:f>
        <x:v>1</x:v>
      </x:c>
    </x:row>
    <x:row r="3292">
      <x:c r="A3292" s="1" t="n">
        <x:v>24822</x:v>
      </x:c>
      <x:c r="B3292" s="5" t="d">
        <x:v>2015-12-29T00:00:00.000Z</x:v>
      </x:c>
      <x:c r="C3292" s="1" t="str">
        <x:v>First Class</x:v>
      </x:c>
      <x:c r="D3292" s="1" t="str">
        <x:v>Pacific Asia</x:v>
      </x:c>
      <x:c r="E3292" s="1" t="str">
        <x:v>PENDING</x:v>
      </x:c>
      <x:c r="F3292" s="1" t="str">
        <x:v>Late delivery</x:v>
      </x:c>
      <x:c r="G3292" s="6" t="n">
        <x:v>2</x:v>
      </x:c>
      <x:c r="H3292" s="6" t="n">
        <x:v>1</x:v>
      </x:c>
      <x:c r="I3292" s="6" t="n">
        <x:f>G3292-H3292</x:f>
        <x:v>1</x:v>
      </x:c>
      <x:c r="J3292" s="6" t="n">
        <x:f>IF(OR(E3292="CANCELED",E3292="SUSPECTED_FRAUD",F3292="Shipping canceled"),0,1)</x:f>
        <x:v>1</x:v>
      </x:c>
      <x:c r="K3292" s="6" t="n">
        <x:f>IF(G3292&gt;H3292,1,0)</x:f>
        <x:v>1</x:v>
      </x:c>
      <x:c r="L3292" s="6" t="n">
        <x:f>J3292*K3292</x:f>
        <x:v>1</x:v>
      </x:c>
    </x:row>
    <x:row r="3293">
      <x:c r="A3293" s="1" t="n">
        <x:v>24824</x:v>
      </x:c>
      <x:c r="B3293" s="5" t="d">
        <x:v>2015-12-29T00:00:00.000Z</x:v>
      </x:c>
      <x:c r="C3293" s="1" t="str">
        <x:v>Standard Class</x:v>
      </x:c>
      <x:c r="D3293" s="1" t="str">
        <x:v>Pacific Asia</x:v>
      </x:c>
      <x:c r="E3293" s="1" t="str">
        <x:v>PENDING</x:v>
      </x:c>
      <x:c r="F3293" s="1" t="str">
        <x:v>Late delivery</x:v>
      </x:c>
      <x:c r="G3293" s="6" t="n">
        <x:v>5</x:v>
      </x:c>
      <x:c r="H3293" s="6" t="n">
        <x:v>4</x:v>
      </x:c>
      <x:c r="I3293" s="6" t="n">
        <x:f>G3293-H3293</x:f>
        <x:v>1</x:v>
      </x:c>
      <x:c r="J3293" s="6" t="n">
        <x:f>IF(OR(E3293="CANCELED",E3293="SUSPECTED_FRAUD",F3293="Shipping canceled"),0,1)</x:f>
        <x:v>1</x:v>
      </x:c>
      <x:c r="K3293" s="6" t="n">
        <x:f>IF(G3293&gt;H3293,1,0)</x:f>
        <x:v>1</x:v>
      </x:c>
      <x:c r="L3293" s="6" t="n">
        <x:f>J3293*K3293</x:f>
        <x:v>1</x:v>
      </x:c>
    </x:row>
    <x:row r="3294">
      <x:c r="A3294" s="1" t="n">
        <x:v>24841</x:v>
      </x:c>
      <x:c r="B3294" s="5" t="d">
        <x:v>2015-12-29T00:00:00.000Z</x:v>
      </x:c>
      <x:c r="C3294" s="1" t="str">
        <x:v>Standard Class</x:v>
      </x:c>
      <x:c r="D3294" s="1" t="str">
        <x:v>Pacific Asia</x:v>
      </x:c>
      <x:c r="E3294" s="1" t="str">
        <x:v>COMPLETE</x:v>
      </x:c>
      <x:c r="F3294" s="1" t="str">
        <x:v>Advance shipping</x:v>
      </x:c>
      <x:c r="G3294" s="6" t="n">
        <x:v>2</x:v>
      </x:c>
      <x:c r="H3294" s="6" t="n">
        <x:v>4</x:v>
      </x:c>
      <x:c r="I3294" s="6" t="n">
        <x:f>G3294-H3294</x:f>
        <x:v>-2</x:v>
      </x:c>
      <x:c r="J3294" s="6" t="n">
        <x:f>IF(OR(E3294="CANCELED",E3294="SUSPECTED_FRAUD",F3294="Shipping canceled"),0,1)</x:f>
        <x:v>1</x:v>
      </x:c>
      <x:c r="K3294" s="6" t="n">
        <x:f>IF(G3294&gt;H3294,1,0)</x:f>
        <x:v>0</x:v>
      </x:c>
      <x:c r="L3294" s="6" t="n">
        <x:f>J3294*K3294</x:f>
        <x:v>0</x:v>
      </x:c>
    </x:row>
    <x:row r="3295">
      <x:c r="A3295" s="1" t="n">
        <x:v>24853</x:v>
      </x:c>
      <x:c r="B3295" s="5" t="d">
        <x:v>2015-12-29T00:00:00.000Z</x:v>
      </x:c>
      <x:c r="C3295" s="1" t="str">
        <x:v>Standard Class</x:v>
      </x:c>
      <x:c r="D3295" s="1" t="str">
        <x:v>Pacific Asia</x:v>
      </x:c>
      <x:c r="E3295" s="1" t="str">
        <x:v>PENDING</x:v>
      </x:c>
      <x:c r="F3295" s="1" t="str">
        <x:v>Shipping on time</x:v>
      </x:c>
      <x:c r="G3295" s="6" t="n">
        <x:v>4</x:v>
      </x:c>
      <x:c r="H3295" s="6" t="n">
        <x:v>4</x:v>
      </x:c>
      <x:c r="I3295" s="6" t="n">
        <x:f>G3295-H3295</x:f>
        <x:v>0</x:v>
      </x:c>
      <x:c r="J3295" s="6" t="n">
        <x:f>IF(OR(E3295="CANCELED",E3295="SUSPECTED_FRAUD",F3295="Shipping canceled"),0,1)</x:f>
        <x:v>1</x:v>
      </x:c>
      <x:c r="K3295" s="6" t="n">
        <x:f>IF(G3295&gt;H3295,1,0)</x:f>
        <x:v>0</x:v>
      </x:c>
      <x:c r="L3295" s="6" t="n">
        <x:f>J3295*K3295</x:f>
        <x:v>0</x:v>
      </x:c>
    </x:row>
    <x:row r="3296">
      <x:c r="A3296" s="1" t="n">
        <x:v>24873</x:v>
      </x:c>
      <x:c r="B3296" s="5" t="d">
        <x:v>2015-12-30T00:00:00.000Z</x:v>
      </x:c>
      <x:c r="C3296" s="1" t="str">
        <x:v>Second Class</x:v>
      </x:c>
      <x:c r="D3296" s="1" t="str">
        <x:v>Pacific Asia</x:v>
      </x:c>
      <x:c r="E3296" s="1" t="str">
        <x:v>CLOSED</x:v>
      </x:c>
      <x:c r="F3296" s="1" t="str">
        <x:v>Late delivery</x:v>
      </x:c>
      <x:c r="G3296" s="6" t="n">
        <x:v>4</x:v>
      </x:c>
      <x:c r="H3296" s="6" t="n">
        <x:v>2</x:v>
      </x:c>
      <x:c r="I3296" s="6" t="n">
        <x:f>G3296-H3296</x:f>
        <x:v>2</x:v>
      </x:c>
      <x:c r="J3296" s="6" t="n">
        <x:f>IF(OR(E3296="CANCELED",E3296="SUSPECTED_FRAUD",F3296="Shipping canceled"),0,1)</x:f>
        <x:v>1</x:v>
      </x:c>
      <x:c r="K3296" s="6" t="n">
        <x:f>IF(G3296&gt;H3296,1,0)</x:f>
        <x:v>1</x:v>
      </x:c>
      <x:c r="L3296" s="6" t="n">
        <x:f>J3296*K3296</x:f>
        <x:v>1</x:v>
      </x:c>
    </x:row>
    <x:row r="3297">
      <x:c r="A3297" s="1" t="n">
        <x:v>24878</x:v>
      </x:c>
      <x:c r="B3297" s="5" t="d">
        <x:v>2015-12-30T00:00:00.000Z</x:v>
      </x:c>
      <x:c r="C3297" s="1" t="str">
        <x:v>Standard Class</x:v>
      </x:c>
      <x:c r="D3297" s="1" t="str">
        <x:v>Pacific Asia</x:v>
      </x:c>
      <x:c r="E3297" s="1" t="str">
        <x:v>PROCESSING</x:v>
      </x:c>
      <x:c r="F3297" s="1" t="str">
        <x:v>Shipping on time</x:v>
      </x:c>
      <x:c r="G3297" s="6" t="n">
        <x:v>4</x:v>
      </x:c>
      <x:c r="H3297" s="6" t="n">
        <x:v>4</x:v>
      </x:c>
      <x:c r="I3297" s="6" t="n">
        <x:f>G3297-H3297</x:f>
        <x:v>0</x:v>
      </x:c>
      <x:c r="J3297" s="6" t="n">
        <x:f>IF(OR(E3297="CANCELED",E3297="SUSPECTED_FRAUD",F3297="Shipping canceled"),0,1)</x:f>
        <x:v>1</x:v>
      </x:c>
      <x:c r="K3297" s="6" t="n">
        <x:f>IF(G3297&gt;H3297,1,0)</x:f>
        <x:v>0</x:v>
      </x:c>
      <x:c r="L3297" s="6" t="n">
        <x:f>J3297*K3297</x:f>
        <x:v>0</x:v>
      </x:c>
    </x:row>
    <x:row r="3298">
      <x:c r="A3298" s="1" t="n">
        <x:v>24889</x:v>
      </x:c>
      <x:c r="B3298" s="5" t="d">
        <x:v>2015-12-30T00:00:00.000Z</x:v>
      </x:c>
      <x:c r="C3298" s="1" t="str">
        <x:v>Second Class</x:v>
      </x:c>
      <x:c r="D3298" s="1" t="str">
        <x:v>Pacific Asia</x:v>
      </x:c>
      <x:c r="E3298" s="1" t="str">
        <x:v>CLOSED</x:v>
      </x:c>
      <x:c r="F3298" s="1" t="str">
        <x:v>Late delivery</x:v>
      </x:c>
      <x:c r="G3298" s="6" t="n">
        <x:v>5</x:v>
      </x:c>
      <x:c r="H3298" s="6" t="n">
        <x:v>2</x:v>
      </x:c>
      <x:c r="I3298" s="6" t="n">
        <x:f>G3298-H3298</x:f>
        <x:v>3</x:v>
      </x:c>
      <x:c r="J3298" s="6" t="n">
        <x:f>IF(OR(E3298="CANCELED",E3298="SUSPECTED_FRAUD",F3298="Shipping canceled"),0,1)</x:f>
        <x:v>1</x:v>
      </x:c>
      <x:c r="K3298" s="6" t="n">
        <x:f>IF(G3298&gt;H3298,1,0)</x:f>
        <x:v>1</x:v>
      </x:c>
      <x:c r="L3298" s="6" t="n">
        <x:f>J3298*K3298</x:f>
        <x:v>1</x:v>
      </x:c>
    </x:row>
    <x:row r="3299">
      <x:c r="A3299" s="1" t="n">
        <x:v>24907</x:v>
      </x:c>
      <x:c r="B3299" s="5" t="d">
        <x:v>2015-12-30T00:00:00.000Z</x:v>
      </x:c>
      <x:c r="C3299" s="1" t="str">
        <x:v>Standard Class</x:v>
      </x:c>
      <x:c r="D3299" s="1" t="str">
        <x:v>Pacific Asia</x:v>
      </x:c>
      <x:c r="E3299" s="1" t="str">
        <x:v>COMPLETE</x:v>
      </x:c>
      <x:c r="F3299" s="1" t="str">
        <x:v>Advance shipping</x:v>
      </x:c>
      <x:c r="G3299" s="6" t="n">
        <x:v>3</x:v>
      </x:c>
      <x:c r="H3299" s="6" t="n">
        <x:v>4</x:v>
      </x:c>
      <x:c r="I3299" s="6" t="n">
        <x:f>G3299-H3299</x:f>
        <x:v>-1</x:v>
      </x:c>
      <x:c r="J3299" s="6" t="n">
        <x:f>IF(OR(E3299="CANCELED",E3299="SUSPECTED_FRAUD",F3299="Shipping canceled"),0,1)</x:f>
        <x:v>1</x:v>
      </x:c>
      <x:c r="K3299" s="6" t="n">
        <x:f>IF(G3299&gt;H3299,1,0)</x:f>
        <x:v>0</x:v>
      </x:c>
      <x:c r="L3299" s="6" t="n">
        <x:f>J3299*K3299</x:f>
        <x:v>0</x:v>
      </x:c>
    </x:row>
    <x:row r="3300">
      <x:c r="A3300" s="1" t="n">
        <x:v>24915</x:v>
      </x:c>
      <x:c r="B3300" s="5" t="d">
        <x:v>2015-12-30T00:00:00.000Z</x:v>
      </x:c>
      <x:c r="C3300" s="1" t="str">
        <x:v>Standard Class</x:v>
      </x:c>
      <x:c r="D3300" s="1" t="str">
        <x:v>Pacific Asia</x:v>
      </x:c>
      <x:c r="E3300" s="1" t="str">
        <x:v>PROCESSING</x:v>
      </x:c>
      <x:c r="F3300" s="1" t="str">
        <x:v>Late delivery</x:v>
      </x:c>
      <x:c r="G3300" s="6" t="n">
        <x:v>6</x:v>
      </x:c>
      <x:c r="H3300" s="6" t="n">
        <x:v>4</x:v>
      </x:c>
      <x:c r="I3300" s="6" t="n">
        <x:f>G3300-H3300</x:f>
        <x:v>2</x:v>
      </x:c>
      <x:c r="J3300" s="6" t="n">
        <x:f>IF(OR(E3300="CANCELED",E3300="SUSPECTED_FRAUD",F3300="Shipping canceled"),0,1)</x:f>
        <x:v>1</x:v>
      </x:c>
      <x:c r="K3300" s="6" t="n">
        <x:f>IF(G3300&gt;H3300,1,0)</x:f>
        <x:v>1</x:v>
      </x:c>
      <x:c r="L3300" s="6" t="n">
        <x:f>J3300*K3300</x:f>
        <x:v>1</x:v>
      </x:c>
    </x:row>
    <x:row r="3301">
      <x:c r="A3301" s="1" t="n">
        <x:v>24918</x:v>
      </x:c>
      <x:c r="B3301" s="5" t="d">
        <x:v>2015-12-30T00:00:00.000Z</x:v>
      </x:c>
      <x:c r="C3301" s="1" t="str">
        <x:v>Standard Class</x:v>
      </x:c>
      <x:c r="D3301" s="1" t="str">
        <x:v>Pacific Asia</x:v>
      </x:c>
      <x:c r="E3301" s="1" t="str">
        <x:v>COMPLETE</x:v>
      </x:c>
      <x:c r="F3301" s="1" t="str">
        <x:v>Shipping on time</x:v>
      </x:c>
      <x:c r="G3301" s="6" t="n">
        <x:v>4</x:v>
      </x:c>
      <x:c r="H3301" s="6" t="n">
        <x:v>4</x:v>
      </x:c>
      <x:c r="I3301" s="6" t="n">
        <x:f>G3301-H3301</x:f>
        <x:v>0</x:v>
      </x:c>
      <x:c r="J3301" s="6" t="n">
        <x:f>IF(OR(E3301="CANCELED",E3301="SUSPECTED_FRAUD",F3301="Shipping canceled"),0,1)</x:f>
        <x:v>1</x:v>
      </x:c>
      <x:c r="K3301" s="6" t="n">
        <x:f>IF(G3301&gt;H3301,1,0)</x:f>
        <x:v>0</x:v>
      </x:c>
      <x:c r="L3301" s="6" t="n">
        <x:f>J3301*K3301</x:f>
        <x:v>0</x:v>
      </x:c>
    </x:row>
    <x:row r="3302">
      <x:c r="A3302" s="1" t="n">
        <x:v>24922</x:v>
      </x:c>
      <x:c r="B3302" s="5" t="d">
        <x:v>2015-12-30T00:00:00.000Z</x:v>
      </x:c>
      <x:c r="C3302" s="1" t="str">
        <x:v>First Class</x:v>
      </x:c>
      <x:c r="D3302" s="1" t="str">
        <x:v>Pacific Asia</x:v>
      </x:c>
      <x:c r="E3302" s="1" t="str">
        <x:v>CLOSED</x:v>
      </x:c>
      <x:c r="F3302" s="1" t="str">
        <x:v>Late delivery</x:v>
      </x:c>
      <x:c r="G3302" s="6" t="n">
        <x:v>2</x:v>
      </x:c>
      <x:c r="H3302" s="6" t="n">
        <x:v>1</x:v>
      </x:c>
      <x:c r="I3302" s="6" t="n">
        <x:f>G3302-H3302</x:f>
        <x:v>1</x:v>
      </x:c>
      <x:c r="J3302" s="6" t="n">
        <x:f>IF(OR(E3302="CANCELED",E3302="SUSPECTED_FRAUD",F3302="Shipping canceled"),0,1)</x:f>
        <x:v>1</x:v>
      </x:c>
      <x:c r="K3302" s="6" t="n">
        <x:f>IF(G3302&gt;H3302,1,0)</x:f>
        <x:v>1</x:v>
      </x:c>
      <x:c r="L3302" s="6" t="n">
        <x:f>J3302*K3302</x:f>
        <x:v>1</x:v>
      </x:c>
    </x:row>
    <x:row r="3303">
      <x:c r="A3303" s="1" t="n">
        <x:v>24927</x:v>
      </x:c>
      <x:c r="B3303" s="5" t="d">
        <x:v>2015-12-30T00:00:00.000Z</x:v>
      </x:c>
      <x:c r="C3303" s="1" t="str">
        <x:v>First Class</x:v>
      </x:c>
      <x:c r="D3303" s="1" t="str">
        <x:v>Pacific Asia</x:v>
      </x:c>
      <x:c r="E3303" s="1" t="str">
        <x:v>COMPLETE</x:v>
      </x:c>
      <x:c r="F3303" s="1" t="str">
        <x:v>Late delivery</x:v>
      </x:c>
      <x:c r="G3303" s="6" t="n">
        <x:v>2</x:v>
      </x:c>
      <x:c r="H3303" s="6" t="n">
        <x:v>1</x:v>
      </x:c>
      <x:c r="I3303" s="6" t="n">
        <x:f>G3303-H3303</x:f>
        <x:v>1</x:v>
      </x:c>
      <x:c r="J3303" s="6" t="n">
        <x:f>IF(OR(E3303="CANCELED",E3303="SUSPECTED_FRAUD",F3303="Shipping canceled"),0,1)</x:f>
        <x:v>1</x:v>
      </x:c>
      <x:c r="K3303" s="6" t="n">
        <x:f>IF(G3303&gt;H3303,1,0)</x:f>
        <x:v>1</x:v>
      </x:c>
      <x:c r="L3303" s="6" t="n">
        <x:f>J3303*K3303</x:f>
        <x:v>1</x:v>
      </x:c>
    </x:row>
    <x:row r="3304">
      <x:c r="A3304" s="1" t="n">
        <x:v>24944</x:v>
      </x:c>
      <x:c r="B3304" s="5" t="d">
        <x:v>2015-12-31T00:00:00.000Z</x:v>
      </x:c>
      <x:c r="C3304" s="1" t="str">
        <x:v>Standard Class</x:v>
      </x:c>
      <x:c r="D3304" s="1" t="str">
        <x:v>Pacific Asia</x:v>
      </x:c>
      <x:c r="E3304" s="1" t="str">
        <x:v>ON_HOLD</x:v>
      </x:c>
      <x:c r="F3304" s="1" t="str">
        <x:v>Late delivery</x:v>
      </x:c>
      <x:c r="G3304" s="6" t="n">
        <x:v>5</x:v>
      </x:c>
      <x:c r="H3304" s="6" t="n">
        <x:v>4</x:v>
      </x:c>
      <x:c r="I3304" s="6" t="n">
        <x:f>G3304-H3304</x:f>
        <x:v>1</x:v>
      </x:c>
      <x:c r="J3304" s="6" t="n">
        <x:f>IF(OR(E3304="CANCELED",E3304="SUSPECTED_FRAUD",F3304="Shipping canceled"),0,1)</x:f>
        <x:v>1</x:v>
      </x:c>
      <x:c r="K3304" s="6" t="n">
        <x:f>IF(G3304&gt;H3304,1,0)</x:f>
        <x:v>1</x:v>
      </x:c>
      <x:c r="L3304" s="6" t="n">
        <x:f>J3304*K3304</x:f>
        <x:v>1</x:v>
      </x:c>
    </x:row>
    <x:row r="3305">
      <x:c r="A3305" s="1" t="n">
        <x:v>24945</x:v>
      </x:c>
      <x:c r="B3305" s="5" t="d">
        <x:v>2015-12-31T00:00:00.000Z</x:v>
      </x:c>
      <x:c r="C3305" s="1" t="str">
        <x:v>Standard Class</x:v>
      </x:c>
      <x:c r="D3305" s="1" t="str">
        <x:v>Pacific Asia</x:v>
      </x:c>
      <x:c r="E3305" s="1" t="str">
        <x:v>SUSPECTED_FRAUD</x:v>
      </x:c>
      <x:c r="F3305" s="1" t="str">
        <x:v>Shipping canceled</x:v>
      </x:c>
      <x:c r="G3305" s="6" t="n">
        <x:v>6</x:v>
      </x:c>
      <x:c r="H3305" s="6" t="n">
        <x:v>4</x:v>
      </x:c>
      <x:c r="I3305" s="6" t="n">
        <x:f>G3305-H3305</x:f>
        <x:v>2</x:v>
      </x:c>
      <x:c r="J3305" s="6" t="n">
        <x:f>IF(OR(E3305="CANCELED",E3305="SUSPECTED_FRAUD",F3305="Shipping canceled"),0,1)</x:f>
        <x:v>0</x:v>
      </x:c>
      <x:c r="K3305" s="6" t="n">
        <x:f>IF(G3305&gt;H3305,1,0)</x:f>
        <x:v>1</x:v>
      </x:c>
      <x:c r="L3305" s="6" t="n">
        <x:f>J3305*K3305</x:f>
        <x:v>0</x:v>
      </x:c>
    </x:row>
    <x:row r="3306">
      <x:c r="A3306" s="1" t="n">
        <x:v>24952</x:v>
      </x:c>
      <x:c r="B3306" s="5" t="d">
        <x:v>2015-12-31T00:00:00.000Z</x:v>
      </x:c>
      <x:c r="C3306" s="1" t="str">
        <x:v>Standard Class</x:v>
      </x:c>
      <x:c r="D3306" s="1" t="str">
        <x:v>Pacific Asia</x:v>
      </x:c>
      <x:c r="E3306" s="1" t="str">
        <x:v>PENDING</x:v>
      </x:c>
      <x:c r="F3306" s="1" t="str">
        <x:v>Advance shipping</x:v>
      </x:c>
      <x:c r="G3306" s="6" t="n">
        <x:v>3</x:v>
      </x:c>
      <x:c r="H3306" s="6" t="n">
        <x:v>4</x:v>
      </x:c>
      <x:c r="I3306" s="6" t="n">
        <x:f>G3306-H3306</x:f>
        <x:v>-1</x:v>
      </x:c>
      <x:c r="J3306" s="6" t="n">
        <x:f>IF(OR(E3306="CANCELED",E3306="SUSPECTED_FRAUD",F3306="Shipping canceled"),0,1)</x:f>
        <x:v>1</x:v>
      </x:c>
      <x:c r="K3306" s="6" t="n">
        <x:f>IF(G3306&gt;H3306,1,0)</x:f>
        <x:v>0</x:v>
      </x:c>
      <x:c r="L3306" s="6" t="n">
        <x:f>J3306*K3306</x:f>
        <x:v>0</x:v>
      </x:c>
    </x:row>
    <x:row r="3307">
      <x:c r="A3307" s="1" t="n">
        <x:v>24953</x:v>
      </x:c>
      <x:c r="B3307" s="5" t="d">
        <x:v>2015-12-31T00:00:00.000Z</x:v>
      </x:c>
      <x:c r="C3307" s="1" t="str">
        <x:v>Standard Class</x:v>
      </x:c>
      <x:c r="D3307" s="1" t="str">
        <x:v>Pacific Asia</x:v>
      </x:c>
      <x:c r="E3307" s="1" t="str">
        <x:v>COMPLETE</x:v>
      </x:c>
      <x:c r="F3307" s="1" t="str">
        <x:v>Shipping on time</x:v>
      </x:c>
      <x:c r="G3307" s="6" t="n">
        <x:v>4</x:v>
      </x:c>
      <x:c r="H3307" s="6" t="n">
        <x:v>4</x:v>
      </x:c>
      <x:c r="I3307" s="6" t="n">
        <x:f>G3307-H3307</x:f>
        <x:v>0</x:v>
      </x:c>
      <x:c r="J3307" s="6" t="n">
        <x:f>IF(OR(E3307="CANCELED",E3307="SUSPECTED_FRAUD",F3307="Shipping canceled"),0,1)</x:f>
        <x:v>1</x:v>
      </x:c>
      <x:c r="K3307" s="6" t="n">
        <x:f>IF(G3307&gt;H3307,1,0)</x:f>
        <x:v>0</x:v>
      </x:c>
      <x:c r="L3307" s="6" t="n">
        <x:f>J3307*K3307</x:f>
        <x:v>0</x:v>
      </x:c>
    </x:row>
    <x:row r="3308">
      <x:c r="A3308" s="1" t="n">
        <x:v>24961</x:v>
      </x:c>
      <x:c r="B3308" s="5" t="d">
        <x:v>2015-12-31T00:00:00.000Z</x:v>
      </x:c>
      <x:c r="C3308" s="1" t="str">
        <x:v>Standard Class</x:v>
      </x:c>
      <x:c r="D3308" s="1" t="str">
        <x:v>Pacific Asia</x:v>
      </x:c>
      <x:c r="E3308" s="1" t="str">
        <x:v>COMPLETE</x:v>
      </x:c>
      <x:c r="F3308" s="1" t="str">
        <x:v>Advance shipping</x:v>
      </x:c>
      <x:c r="G3308" s="6" t="n">
        <x:v>2</x:v>
      </x:c>
      <x:c r="H3308" s="6" t="n">
        <x:v>4</x:v>
      </x:c>
      <x:c r="I3308" s="6" t="n">
        <x:f>G3308-H3308</x:f>
        <x:v>-2</x:v>
      </x:c>
      <x:c r="J3308" s="6" t="n">
        <x:f>IF(OR(E3308="CANCELED",E3308="SUSPECTED_FRAUD",F3308="Shipping canceled"),0,1)</x:f>
        <x:v>1</x:v>
      </x:c>
      <x:c r="K3308" s="6" t="n">
        <x:f>IF(G3308&gt;H3308,1,0)</x:f>
        <x:v>0</x:v>
      </x:c>
      <x:c r="L3308" s="6" t="n">
        <x:f>J3308*K3308</x:f>
        <x:v>0</x:v>
      </x:c>
    </x:row>
    <x:row r="3309">
      <x:c r="A3309" s="1" t="n">
        <x:v>24966</x:v>
      </x:c>
      <x:c r="B3309" s="5" t="d">
        <x:v>2015-12-31T00:00:00.000Z</x:v>
      </x:c>
      <x:c r="C3309" s="1" t="str">
        <x:v>Standard Class</x:v>
      </x:c>
      <x:c r="D3309" s="1" t="str">
        <x:v>Pacific Asia</x:v>
      </x:c>
      <x:c r="E3309" s="1" t="str">
        <x:v>COMPLETE</x:v>
      </x:c>
      <x:c r="F3309" s="1" t="str">
        <x:v>Advance shipping</x:v>
      </x:c>
      <x:c r="G3309" s="6" t="n">
        <x:v>2</x:v>
      </x:c>
      <x:c r="H3309" s="6" t="n">
        <x:v>4</x:v>
      </x:c>
      <x:c r="I3309" s="6" t="n">
        <x:f>G3309-H3309</x:f>
        <x:v>-2</x:v>
      </x:c>
      <x:c r="J3309" s="6" t="n">
        <x:f>IF(OR(E3309="CANCELED",E3309="SUSPECTED_FRAUD",F3309="Shipping canceled"),0,1)</x:f>
        <x:v>1</x:v>
      </x:c>
      <x:c r="K3309" s="6" t="n">
        <x:f>IF(G3309&gt;H3309,1,0)</x:f>
        <x:v>0</x:v>
      </x:c>
      <x:c r="L3309" s="6" t="n">
        <x:f>J3309*K3309</x:f>
        <x:v>0</x:v>
      </x:c>
    </x:row>
    <x:row r="3310">
      <x:c r="A3310" s="1" t="n">
        <x:v>24982</x:v>
      </x:c>
      <x:c r="B3310" s="5" t="d">
        <x:v>2015-12-31T00:00:00.000Z</x:v>
      </x:c>
      <x:c r="C3310" s="1" t="str">
        <x:v>Standard Class</x:v>
      </x:c>
      <x:c r="D3310" s="1" t="str">
        <x:v>Pacific Asia</x:v>
      </x:c>
      <x:c r="E3310" s="1" t="str">
        <x:v>PENDING_PAYMENT</x:v>
      </x:c>
      <x:c r="F3310" s="1" t="str">
        <x:v>Advance shipping</x:v>
      </x:c>
      <x:c r="G3310" s="6" t="n">
        <x:v>3</x:v>
      </x:c>
      <x:c r="H3310" s="6" t="n">
        <x:v>4</x:v>
      </x:c>
      <x:c r="I3310" s="6" t="n">
        <x:f>G3310-H3310</x:f>
        <x:v>-1</x:v>
      </x:c>
      <x:c r="J3310" s="6" t="n">
        <x:f>IF(OR(E3310="CANCELED",E3310="SUSPECTED_FRAUD",F3310="Shipping canceled"),0,1)</x:f>
        <x:v>1</x:v>
      </x:c>
      <x:c r="K3310" s="6" t="n">
        <x:f>IF(G3310&gt;H3310,1,0)</x:f>
        <x:v>0</x:v>
      </x:c>
      <x:c r="L3310" s="6" t="n">
        <x:f>J3310*K3310</x:f>
        <x:v>0</x:v>
      </x:c>
    </x:row>
    <x:row r="3311">
      <x:c r="A3311" s="1" t="n">
        <x:v>24987</x:v>
      </x:c>
      <x:c r="B3311" s="5" t="d">
        <x:v>2015-12-31T00:00:00.000Z</x:v>
      </x:c>
      <x:c r="C3311" s="1" t="str">
        <x:v>Standard Class</x:v>
      </x:c>
      <x:c r="D3311" s="1" t="str">
        <x:v>Pacific Asia</x:v>
      </x:c>
      <x:c r="E3311" s="1" t="str">
        <x:v>PENDING_PAYMENT</x:v>
      </x:c>
      <x:c r="F3311" s="1" t="str">
        <x:v>Advance shipping</x:v>
      </x:c>
      <x:c r="G3311" s="6" t="n">
        <x:v>3</x:v>
      </x:c>
      <x:c r="H3311" s="6" t="n">
        <x:v>4</x:v>
      </x:c>
      <x:c r="I3311" s="6" t="n">
        <x:f>G3311-H3311</x:f>
        <x:v>-1</x:v>
      </x:c>
      <x:c r="J3311" s="6" t="n">
        <x:f>IF(OR(E3311="CANCELED",E3311="SUSPECTED_FRAUD",F3311="Shipping canceled"),0,1)</x:f>
        <x:v>1</x:v>
      </x:c>
      <x:c r="K3311" s="6" t="n">
        <x:f>IF(G3311&gt;H3311,1,0)</x:f>
        <x:v>0</x:v>
      </x:c>
      <x:c r="L3311" s="6" t="n">
        <x:f>J3311*K3311</x:f>
        <x:v>0</x:v>
      </x:c>
    </x:row>
    <x:row r="3312">
      <x:c r="A3312" s="1" t="n">
        <x:v>24992</x:v>
      </x:c>
      <x:c r="B3312" s="5" t="d">
        <x:v>2015-12-31T00:00:00.000Z</x:v>
      </x:c>
      <x:c r="C3312" s="1" t="str">
        <x:v>Standard Class</x:v>
      </x:c>
      <x:c r="D3312" s="1" t="str">
        <x:v>Pacific Asia</x:v>
      </x:c>
      <x:c r="E3312" s="1" t="str">
        <x:v>COMPLETE</x:v>
      </x:c>
      <x:c r="F3312" s="1" t="str">
        <x:v>Advance shipping</x:v>
      </x:c>
      <x:c r="G3312" s="6" t="n">
        <x:v>3</x:v>
      </x:c>
      <x:c r="H3312" s="6" t="n">
        <x:v>4</x:v>
      </x:c>
      <x:c r="I3312" s="6" t="n">
        <x:f>G3312-H3312</x:f>
        <x:v>-1</x:v>
      </x:c>
      <x:c r="J3312" s="6" t="n">
        <x:f>IF(OR(E3312="CANCELED",E3312="SUSPECTED_FRAUD",F3312="Shipping canceled"),0,1)</x:f>
        <x:v>1</x:v>
      </x:c>
      <x:c r="K3312" s="6" t="n">
        <x:f>IF(G3312&gt;H3312,1,0)</x:f>
        <x:v>0</x:v>
      </x:c>
      <x:c r="L3312" s="6" t="n">
        <x:f>J3312*K3312</x:f>
        <x:v>0</x:v>
      </x:c>
    </x:row>
    <x:row r="3313">
      <x:c r="A3313" s="1" t="n">
        <x:v>24997</x:v>
      </x:c>
      <x:c r="B3313" s="5" t="d">
        <x:v>2015-12-31T00:00:00.000Z</x:v>
      </x:c>
      <x:c r="C3313" s="1" t="str">
        <x:v>Standard Class</x:v>
      </x:c>
      <x:c r="D3313" s="1" t="str">
        <x:v>Pacific Asia</x:v>
      </x:c>
      <x:c r="E3313" s="1" t="str">
        <x:v>COMPLETE</x:v>
      </x:c>
      <x:c r="F3313" s="1" t="str">
        <x:v>Advance shipping</x:v>
      </x:c>
      <x:c r="G3313" s="6" t="n">
        <x:v>3</x:v>
      </x:c>
      <x:c r="H3313" s="6" t="n">
        <x:v>4</x:v>
      </x:c>
      <x:c r="I3313" s="6" t="n">
        <x:f>G3313-H3313</x:f>
        <x:v>-1</x:v>
      </x:c>
      <x:c r="J3313" s="6" t="n">
        <x:f>IF(OR(E3313="CANCELED",E3313="SUSPECTED_FRAUD",F3313="Shipping canceled"),0,1)</x:f>
        <x:v>1</x:v>
      </x:c>
      <x:c r="K3313" s="6" t="n">
        <x:f>IF(G3313&gt;H3313,1,0)</x:f>
        <x:v>0</x:v>
      </x:c>
      <x:c r="L3313" s="6" t="n">
        <x:f>J3313*K3313</x:f>
        <x:v>0</x:v>
      </x:c>
    </x:row>
    <x:row r="3314">
      <x:c r="A3314" s="1" t="n">
        <x:v>25000</x:v>
      </x:c>
      <x:c r="B3314" s="5" t="d">
        <x:v>2015-12-31T00:00:00.000Z</x:v>
      </x:c>
      <x:c r="C3314" s="1" t="str">
        <x:v>Second Class</x:v>
      </x:c>
      <x:c r="D3314" s="1" t="str">
        <x:v>Pacific Asia</x:v>
      </x:c>
      <x:c r="E3314" s="1" t="str">
        <x:v>COMPLETE</x:v>
      </x:c>
      <x:c r="F3314" s="1" t="str">
        <x:v>Late delivery</x:v>
      </x:c>
      <x:c r="G3314" s="6" t="n">
        <x:v>6</x:v>
      </x:c>
      <x:c r="H3314" s="6" t="n">
        <x:v>2</x:v>
      </x:c>
      <x:c r="I3314" s="6" t="n">
        <x:f>G3314-H3314</x:f>
        <x:v>4</x:v>
      </x:c>
      <x:c r="J3314" s="6" t="n">
        <x:f>IF(OR(E3314="CANCELED",E3314="SUSPECTED_FRAUD",F3314="Shipping canceled"),0,1)</x:f>
        <x:v>1</x:v>
      </x:c>
      <x:c r="K3314" s="6" t="n">
        <x:f>IF(G3314&gt;H3314,1,0)</x:f>
        <x:v>1</x:v>
      </x:c>
      <x:c r="L3314" s="6" t="n">
        <x:f>J3314*K3314</x:f>
        <x:v>1</x:v>
      </x:c>
    </x:row>
    <x:row r="3315">
      <x:c r="A3315" s="1" t="n">
        <x:v>25002</x:v>
      </x:c>
      <x:c r="B3315" s="5" t="d">
        <x:v>2015-12-31T00:00:00.000Z</x:v>
      </x:c>
      <x:c r="C3315" s="1" t="str">
        <x:v>Standard Class</x:v>
      </x:c>
      <x:c r="D3315" s="1" t="str">
        <x:v>Pacific Asia</x:v>
      </x:c>
      <x:c r="E3315" s="1" t="str">
        <x:v>COMPLETE</x:v>
      </x:c>
      <x:c r="F3315" s="1" t="str">
        <x:v>Advance shipping</x:v>
      </x:c>
      <x:c r="G3315" s="6" t="n">
        <x:v>3</x:v>
      </x:c>
      <x:c r="H3315" s="6" t="n">
        <x:v>4</x:v>
      </x:c>
      <x:c r="I3315" s="6" t="n">
        <x:f>G3315-H3315</x:f>
        <x:v>-1</x:v>
      </x:c>
      <x:c r="J3315" s="6" t="n">
        <x:f>IF(OR(E3315="CANCELED",E3315="SUSPECTED_FRAUD",F3315="Shipping canceled"),0,1)</x:f>
        <x:v>1</x:v>
      </x:c>
      <x:c r="K3315" s="6" t="n">
        <x:f>IF(G3315&gt;H3315,1,0)</x:f>
        <x:v>0</x:v>
      </x:c>
      <x:c r="L3315" s="6" t="n">
        <x:f>J3315*K3315</x:f>
        <x:v>0</x:v>
      </x:c>
    </x:row>
    <x:row r="3316">
      <x:c r="A3316" s="1" t="n">
        <x:v>25004</x:v>
      </x:c>
      <x:c r="B3316" s="5" t="d">
        <x:v>2015-12-31T00:00:00.000Z</x:v>
      </x:c>
      <x:c r="C3316" s="1" t="str">
        <x:v>Standard Class</x:v>
      </x:c>
      <x:c r="D3316" s="1" t="str">
        <x:v>Pacific Asia</x:v>
      </x:c>
      <x:c r="E3316" s="1" t="str">
        <x:v>COMPLETE</x:v>
      </x:c>
      <x:c r="F3316" s="1" t="str">
        <x:v>Late delivery</x:v>
      </x:c>
      <x:c r="G3316" s="6" t="n">
        <x:v>5</x:v>
      </x:c>
      <x:c r="H3316" s="6" t="n">
        <x:v>4</x:v>
      </x:c>
      <x:c r="I3316" s="6" t="n">
        <x:f>G3316-H3316</x:f>
        <x:v>1</x:v>
      </x:c>
      <x:c r="J3316" s="6" t="n">
        <x:f>IF(OR(E3316="CANCELED",E3316="SUSPECTED_FRAUD",F3316="Shipping canceled"),0,1)</x:f>
        <x:v>1</x:v>
      </x:c>
      <x:c r="K3316" s="6" t="n">
        <x:f>IF(G3316&gt;H3316,1,0)</x:f>
        <x:v>1</x:v>
      </x:c>
      <x:c r="L3316" s="6" t="n">
        <x:f>J3316*K3316</x:f>
        <x:v>1</x:v>
      </x:c>
    </x:row>
    <x:row r="3317">
      <x:c r="A3317" s="1" t="n">
        <x:v>25007</x:v>
      </x:c>
      <x:c r="B3317" s="5" t="d">
        <x:v>2016-01-01T00:00:00.000Z</x:v>
      </x:c>
      <x:c r="C3317" s="1" t="str">
        <x:v>Standard Class</x:v>
      </x:c>
      <x:c r="D3317" s="1" t="str">
        <x:v>Pacific Asia</x:v>
      </x:c>
      <x:c r="E3317" s="1" t="str">
        <x:v>CLOSED</x:v>
      </x:c>
      <x:c r="F3317" s="1" t="str">
        <x:v>Advance shipping</x:v>
      </x:c>
      <x:c r="G3317" s="6" t="n">
        <x:v>3</x:v>
      </x:c>
      <x:c r="H3317" s="6" t="n">
        <x:v>4</x:v>
      </x:c>
      <x:c r="I3317" s="6" t="n">
        <x:f>G3317-H3317</x:f>
        <x:v>-1</x:v>
      </x:c>
      <x:c r="J3317" s="6" t="n">
        <x:f>IF(OR(E3317="CANCELED",E3317="SUSPECTED_FRAUD",F3317="Shipping canceled"),0,1)</x:f>
        <x:v>1</x:v>
      </x:c>
      <x:c r="K3317" s="6" t="n">
        <x:f>IF(G3317&gt;H3317,1,0)</x:f>
        <x:v>0</x:v>
      </x:c>
      <x:c r="L3317" s="6" t="n">
        <x:f>J3317*K3317</x:f>
        <x:v>0</x:v>
      </x:c>
    </x:row>
    <x:row r="3318">
      <x:c r="A3318" s="1" t="n">
        <x:v>25012</x:v>
      </x:c>
      <x:c r="B3318" s="5" t="d">
        <x:v>2016-01-01T00:00:00.000Z</x:v>
      </x:c>
      <x:c r="C3318" s="1" t="str">
        <x:v>Standard Class</x:v>
      </x:c>
      <x:c r="D3318" s="1" t="str">
        <x:v>Pacific Asia</x:v>
      </x:c>
      <x:c r="E3318" s="1" t="str">
        <x:v>COMPLETE</x:v>
      </x:c>
      <x:c r="F3318" s="1" t="str">
        <x:v>Advance shipping</x:v>
      </x:c>
      <x:c r="G3318" s="6" t="n">
        <x:v>3</x:v>
      </x:c>
      <x:c r="H3318" s="6" t="n">
        <x:v>4</x:v>
      </x:c>
      <x:c r="I3318" s="6" t="n">
        <x:f>G3318-H3318</x:f>
        <x:v>-1</x:v>
      </x:c>
      <x:c r="J3318" s="6" t="n">
        <x:f>IF(OR(E3318="CANCELED",E3318="SUSPECTED_FRAUD",F3318="Shipping canceled"),0,1)</x:f>
        <x:v>1</x:v>
      </x:c>
      <x:c r="K3318" s="6" t="n">
        <x:f>IF(G3318&gt;H3318,1,0)</x:f>
        <x:v>0</x:v>
      </x:c>
      <x:c r="L3318" s="6" t="n">
        <x:f>J3318*K3318</x:f>
        <x:v>0</x:v>
      </x:c>
    </x:row>
    <x:row r="3319">
      <x:c r="A3319" s="1" t="n">
        <x:v>25014</x:v>
      </x:c>
      <x:c r="B3319" s="5" t="d">
        <x:v>2016-01-01T00:00:00.000Z</x:v>
      </x:c>
      <x:c r="C3319" s="1" t="str">
        <x:v>Standard Class</x:v>
      </x:c>
      <x:c r="D3319" s="1" t="str">
        <x:v>Pacific Asia</x:v>
      </x:c>
      <x:c r="E3319" s="1" t="str">
        <x:v>COMPLETE</x:v>
      </x:c>
      <x:c r="F3319" s="1" t="str">
        <x:v>Late delivery</x:v>
      </x:c>
      <x:c r="G3319" s="6" t="n">
        <x:v>5</x:v>
      </x:c>
      <x:c r="H3319" s="6" t="n">
        <x:v>4</x:v>
      </x:c>
      <x:c r="I3319" s="6" t="n">
        <x:f>G3319-H3319</x:f>
        <x:v>1</x:v>
      </x:c>
      <x:c r="J3319" s="6" t="n">
        <x:f>IF(OR(E3319="CANCELED",E3319="SUSPECTED_FRAUD",F3319="Shipping canceled"),0,1)</x:f>
        <x:v>1</x:v>
      </x:c>
      <x:c r="K3319" s="6" t="n">
        <x:f>IF(G3319&gt;H3319,1,0)</x:f>
        <x:v>1</x:v>
      </x:c>
      <x:c r="L3319" s="6" t="n">
        <x:f>J3319*K3319</x:f>
        <x:v>1</x:v>
      </x:c>
    </x:row>
    <x:row r="3320">
      <x:c r="A3320" s="1" t="n">
        <x:v>25016</x:v>
      </x:c>
      <x:c r="B3320" s="5" t="d">
        <x:v>2016-01-01T00:00:00.000Z</x:v>
      </x:c>
      <x:c r="C3320" s="1" t="str">
        <x:v>Standard Class</x:v>
      </x:c>
      <x:c r="D3320" s="1" t="str">
        <x:v>Pacific Asia</x:v>
      </x:c>
      <x:c r="E3320" s="1" t="str">
        <x:v>PROCESSING</x:v>
      </x:c>
      <x:c r="F3320" s="1" t="str">
        <x:v>Advance shipping</x:v>
      </x:c>
      <x:c r="G3320" s="6" t="n">
        <x:v>2</x:v>
      </x:c>
      <x:c r="H3320" s="6" t="n">
        <x:v>4</x:v>
      </x:c>
      <x:c r="I3320" s="6" t="n">
        <x:f>G3320-H3320</x:f>
        <x:v>-2</x:v>
      </x:c>
      <x:c r="J3320" s="6" t="n">
        <x:f>IF(OR(E3320="CANCELED",E3320="SUSPECTED_FRAUD",F3320="Shipping canceled"),0,1)</x:f>
        <x:v>1</x:v>
      </x:c>
      <x:c r="K3320" s="6" t="n">
        <x:f>IF(G3320&gt;H3320,1,0)</x:f>
        <x:v>0</x:v>
      </x:c>
      <x:c r="L3320" s="6" t="n">
        <x:f>J3320*K3320</x:f>
        <x:v>0</x:v>
      </x:c>
    </x:row>
    <x:row r="3321">
      <x:c r="A3321" s="1" t="n">
        <x:v>25039</x:v>
      </x:c>
      <x:c r="B3321" s="5" t="d">
        <x:v>2016-01-01T00:00:00.000Z</x:v>
      </x:c>
      <x:c r="C3321" s="1" t="str">
        <x:v>Standard Class</x:v>
      </x:c>
      <x:c r="D3321" s="1" t="str">
        <x:v>Pacific Asia</x:v>
      </x:c>
      <x:c r="E3321" s="1" t="str">
        <x:v>CLOSED</x:v>
      </x:c>
      <x:c r="F3321" s="1" t="str">
        <x:v>Late delivery</x:v>
      </x:c>
      <x:c r="G3321" s="6" t="n">
        <x:v>5</x:v>
      </x:c>
      <x:c r="H3321" s="6" t="n">
        <x:v>4</x:v>
      </x:c>
      <x:c r="I3321" s="6" t="n">
        <x:f>G3321-H3321</x:f>
        <x:v>1</x:v>
      </x:c>
      <x:c r="J3321" s="6" t="n">
        <x:f>IF(OR(E3321="CANCELED",E3321="SUSPECTED_FRAUD",F3321="Shipping canceled"),0,1)</x:f>
        <x:v>1</x:v>
      </x:c>
      <x:c r="K3321" s="6" t="n">
        <x:f>IF(G3321&gt;H3321,1,0)</x:f>
        <x:v>1</x:v>
      </x:c>
      <x:c r="L3321" s="6" t="n">
        <x:f>J3321*K3321</x:f>
        <x:v>1</x:v>
      </x:c>
    </x:row>
    <x:row r="3322">
      <x:c r="A3322" s="1" t="n">
        <x:v>25049</x:v>
      </x:c>
      <x:c r="B3322" s="5" t="d">
        <x:v>2016-01-01T00:00:00.000Z</x:v>
      </x:c>
      <x:c r="C3322" s="1" t="str">
        <x:v>Standard Class</x:v>
      </x:c>
      <x:c r="D3322" s="1" t="str">
        <x:v>Pacific Asia</x:v>
      </x:c>
      <x:c r="E3322" s="1" t="str">
        <x:v>ON_HOLD</x:v>
      </x:c>
      <x:c r="F3322" s="1" t="str">
        <x:v>Late delivery</x:v>
      </x:c>
      <x:c r="G3322" s="6" t="n">
        <x:v>5</x:v>
      </x:c>
      <x:c r="H3322" s="6" t="n">
        <x:v>4</x:v>
      </x:c>
      <x:c r="I3322" s="6" t="n">
        <x:f>G3322-H3322</x:f>
        <x:v>1</x:v>
      </x:c>
      <x:c r="J3322" s="6" t="n">
        <x:f>IF(OR(E3322="CANCELED",E3322="SUSPECTED_FRAUD",F3322="Shipping canceled"),0,1)</x:f>
        <x:v>1</x:v>
      </x:c>
      <x:c r="K3322" s="6" t="n">
        <x:f>IF(G3322&gt;H3322,1,0)</x:f>
        <x:v>1</x:v>
      </x:c>
      <x:c r="L3322" s="6" t="n">
        <x:f>J3322*K3322</x:f>
        <x:v>1</x:v>
      </x:c>
    </x:row>
    <x:row r="3323">
      <x:c r="A3323" s="1" t="n">
        <x:v>25050</x:v>
      </x:c>
      <x:c r="B3323" s="5" t="d">
        <x:v>2016-01-01T00:00:00.000Z</x:v>
      </x:c>
      <x:c r="C3323" s="1" t="str">
        <x:v>Standard Class</x:v>
      </x:c>
      <x:c r="D3323" s="1" t="str">
        <x:v>Pacific Asia</x:v>
      </x:c>
      <x:c r="E3323" s="1" t="str">
        <x:v>COMPLETE</x:v>
      </x:c>
      <x:c r="F3323" s="1" t="str">
        <x:v>Late delivery</x:v>
      </x:c>
      <x:c r="G3323" s="6" t="n">
        <x:v>6</x:v>
      </x:c>
      <x:c r="H3323" s="6" t="n">
        <x:v>4</x:v>
      </x:c>
      <x:c r="I3323" s="6" t="n">
        <x:f>G3323-H3323</x:f>
        <x:v>2</x:v>
      </x:c>
      <x:c r="J3323" s="6" t="n">
        <x:f>IF(OR(E3323="CANCELED",E3323="SUSPECTED_FRAUD",F3323="Shipping canceled"),0,1)</x:f>
        <x:v>1</x:v>
      </x:c>
      <x:c r="K3323" s="6" t="n">
        <x:f>IF(G3323&gt;H3323,1,0)</x:f>
        <x:v>1</x:v>
      </x:c>
      <x:c r="L3323" s="6" t="n">
        <x:f>J3323*K3323</x:f>
        <x:v>1</x:v>
      </x:c>
    </x:row>
    <x:row r="3324">
      <x:c r="A3324" s="1" t="n">
        <x:v>25052</x:v>
      </x:c>
      <x:c r="B3324" s="5" t="d">
        <x:v>2016-01-01T00:00:00.000Z</x:v>
      </x:c>
      <x:c r="C3324" s="1" t="str">
        <x:v>Standard Class</x:v>
      </x:c>
      <x:c r="D3324" s="1" t="str">
        <x:v>Pacific Asia</x:v>
      </x:c>
      <x:c r="E3324" s="1" t="str">
        <x:v>PENDING</x:v>
      </x:c>
      <x:c r="F3324" s="1" t="str">
        <x:v>Advance shipping</x:v>
      </x:c>
      <x:c r="G3324" s="6" t="n">
        <x:v>3</x:v>
      </x:c>
      <x:c r="H3324" s="6" t="n">
        <x:v>4</x:v>
      </x:c>
      <x:c r="I3324" s="6" t="n">
        <x:f>G3324-H3324</x:f>
        <x:v>-1</x:v>
      </x:c>
      <x:c r="J3324" s="6" t="n">
        <x:f>IF(OR(E3324="CANCELED",E3324="SUSPECTED_FRAUD",F3324="Shipping canceled"),0,1)</x:f>
        <x:v>1</x:v>
      </x:c>
      <x:c r="K3324" s="6" t="n">
        <x:f>IF(G3324&gt;H3324,1,0)</x:f>
        <x:v>0</x:v>
      </x:c>
      <x:c r="L3324" s="6" t="n">
        <x:f>J3324*K3324</x:f>
        <x:v>0</x:v>
      </x:c>
    </x:row>
    <x:row r="3325">
      <x:c r="A3325" s="1" t="n">
        <x:v>25060</x:v>
      </x:c>
      <x:c r="B3325" s="5" t="d">
        <x:v>2016-01-01T00:00:00.000Z</x:v>
      </x:c>
      <x:c r="C3325" s="1" t="str">
        <x:v>Standard Class</x:v>
      </x:c>
      <x:c r="D3325" s="1" t="str">
        <x:v>Pacific Asia</x:v>
      </x:c>
      <x:c r="E3325" s="1" t="str">
        <x:v>PROCESSING</x:v>
      </x:c>
      <x:c r="F3325" s="1" t="str">
        <x:v>Late delivery</x:v>
      </x:c>
      <x:c r="G3325" s="6" t="n">
        <x:v>6</x:v>
      </x:c>
      <x:c r="H3325" s="6" t="n">
        <x:v>4</x:v>
      </x:c>
      <x:c r="I3325" s="6" t="n">
        <x:f>G3325-H3325</x:f>
        <x:v>2</x:v>
      </x:c>
      <x:c r="J3325" s="6" t="n">
        <x:f>IF(OR(E3325="CANCELED",E3325="SUSPECTED_FRAUD",F3325="Shipping canceled"),0,1)</x:f>
        <x:v>1</x:v>
      </x:c>
      <x:c r="K3325" s="6" t="n">
        <x:f>IF(G3325&gt;H3325,1,0)</x:f>
        <x:v>1</x:v>
      </x:c>
      <x:c r="L3325" s="6" t="n">
        <x:f>J3325*K3325</x:f>
        <x:v>1</x:v>
      </x:c>
    </x:row>
    <x:row r="3326">
      <x:c r="A3326" s="1" t="n">
        <x:v>25064</x:v>
      </x:c>
      <x:c r="B3326" s="5" t="d">
        <x:v>2016-01-01T00:00:00.000Z</x:v>
      </x:c>
      <x:c r="C3326" s="1" t="str">
        <x:v>Standard Class</x:v>
      </x:c>
      <x:c r="D3326" s="1" t="str">
        <x:v>Pacific Asia</x:v>
      </x:c>
      <x:c r="E3326" s="1" t="str">
        <x:v>PROCESSING</x:v>
      </x:c>
      <x:c r="F3326" s="1" t="str">
        <x:v>Late delivery</x:v>
      </x:c>
      <x:c r="G3326" s="6" t="n">
        <x:v>5</x:v>
      </x:c>
      <x:c r="H3326" s="6" t="n">
        <x:v>4</x:v>
      </x:c>
      <x:c r="I3326" s="6" t="n">
        <x:f>G3326-H3326</x:f>
        <x:v>1</x:v>
      </x:c>
      <x:c r="J3326" s="6" t="n">
        <x:f>IF(OR(E3326="CANCELED",E3326="SUSPECTED_FRAUD",F3326="Shipping canceled"),0,1)</x:f>
        <x:v>1</x:v>
      </x:c>
      <x:c r="K3326" s="6" t="n">
        <x:f>IF(G3326&gt;H3326,1,0)</x:f>
        <x:v>1</x:v>
      </x:c>
      <x:c r="L3326" s="6" t="n">
        <x:f>J3326*K3326</x:f>
        <x:v>1</x:v>
      </x:c>
    </x:row>
    <x:row r="3327">
      <x:c r="A3327" s="1" t="n">
        <x:v>25065</x:v>
      </x:c>
      <x:c r="B3327" s="5" t="d">
        <x:v>2016-01-01T00:00:00.000Z</x:v>
      </x:c>
      <x:c r="C3327" s="1" t="str">
        <x:v>Second Class</x:v>
      </x:c>
      <x:c r="D3327" s="1" t="str">
        <x:v>Pacific Asia</x:v>
      </x:c>
      <x:c r="E3327" s="1" t="str">
        <x:v>COMPLETE</x:v>
      </x:c>
      <x:c r="F3327" s="1" t="str">
        <x:v>Late delivery</x:v>
      </x:c>
      <x:c r="G3327" s="6" t="n">
        <x:v>6</x:v>
      </x:c>
      <x:c r="H3327" s="6" t="n">
        <x:v>2</x:v>
      </x:c>
      <x:c r="I3327" s="6" t="n">
        <x:f>G3327-H3327</x:f>
        <x:v>4</x:v>
      </x:c>
      <x:c r="J3327" s="6" t="n">
        <x:f>IF(OR(E3327="CANCELED",E3327="SUSPECTED_FRAUD",F3327="Shipping canceled"),0,1)</x:f>
        <x:v>1</x:v>
      </x:c>
      <x:c r="K3327" s="6" t="n">
        <x:f>IF(G3327&gt;H3327,1,0)</x:f>
        <x:v>1</x:v>
      </x:c>
      <x:c r="L3327" s="6" t="n">
        <x:f>J3327*K3327</x:f>
        <x:v>1</x:v>
      </x:c>
    </x:row>
    <x:row r="3328">
      <x:c r="A3328" s="1" t="n">
        <x:v>25071</x:v>
      </x:c>
      <x:c r="B3328" s="5" t="d">
        <x:v>2016-01-01T00:00:00.000Z</x:v>
      </x:c>
      <x:c r="C3328" s="1" t="str">
        <x:v>Standard Class</x:v>
      </x:c>
      <x:c r="D3328" s="1" t="str">
        <x:v>Pacific Asia</x:v>
      </x:c>
      <x:c r="E3328" s="1" t="str">
        <x:v>ON_HOLD</x:v>
      </x:c>
      <x:c r="F3328" s="1" t="str">
        <x:v>Advance shipping</x:v>
      </x:c>
      <x:c r="G3328" s="6" t="n">
        <x:v>2</x:v>
      </x:c>
      <x:c r="H3328" s="6" t="n">
        <x:v>4</x:v>
      </x:c>
      <x:c r="I3328" s="6" t="n">
        <x:f>G3328-H3328</x:f>
        <x:v>-2</x:v>
      </x:c>
      <x:c r="J3328" s="6" t="n">
        <x:f>IF(OR(E3328="CANCELED",E3328="SUSPECTED_FRAUD",F3328="Shipping canceled"),0,1)</x:f>
        <x:v>1</x:v>
      </x:c>
      <x:c r="K3328" s="6" t="n">
        <x:f>IF(G3328&gt;H3328,1,0)</x:f>
        <x:v>0</x:v>
      </x:c>
      <x:c r="L3328" s="6" t="n">
        <x:f>J3328*K3328</x:f>
        <x:v>0</x:v>
      </x:c>
    </x:row>
    <x:row r="3329">
      <x:c r="A3329" s="1" t="n">
        <x:v>25074</x:v>
      </x:c>
      <x:c r="B3329" s="5" t="d">
        <x:v>2016-01-02T00:00:00.000Z</x:v>
      </x:c>
      <x:c r="C3329" s="1" t="str">
        <x:v>Standard Class</x:v>
      </x:c>
      <x:c r="D3329" s="1" t="str">
        <x:v>Pacific Asia</x:v>
      </x:c>
      <x:c r="E3329" s="1" t="str">
        <x:v>COMPLETE</x:v>
      </x:c>
      <x:c r="F3329" s="1" t="str">
        <x:v>Late delivery</x:v>
      </x:c>
      <x:c r="G3329" s="6" t="n">
        <x:v>5</x:v>
      </x:c>
      <x:c r="H3329" s="6" t="n">
        <x:v>4</x:v>
      </x:c>
      <x:c r="I3329" s="6" t="n">
        <x:f>G3329-H3329</x:f>
        <x:v>1</x:v>
      </x:c>
      <x:c r="J3329" s="6" t="n">
        <x:f>IF(OR(E3329="CANCELED",E3329="SUSPECTED_FRAUD",F3329="Shipping canceled"),0,1)</x:f>
        <x:v>1</x:v>
      </x:c>
      <x:c r="K3329" s="6" t="n">
        <x:f>IF(G3329&gt;H3329,1,0)</x:f>
        <x:v>1</x:v>
      </x:c>
      <x:c r="L3329" s="6" t="n">
        <x:f>J3329*K3329</x:f>
        <x:v>1</x:v>
      </x:c>
    </x:row>
    <x:row r="3330">
      <x:c r="A3330" s="1" t="n">
        <x:v>25076</x:v>
      </x:c>
      <x:c r="B3330" s="5" t="d">
        <x:v>2016-01-02T00:00:00.000Z</x:v>
      </x:c>
      <x:c r="C3330" s="1" t="str">
        <x:v>Standard Class</x:v>
      </x:c>
      <x:c r="D3330" s="1" t="str">
        <x:v>Pacific Asia</x:v>
      </x:c>
      <x:c r="E3330" s="1" t="str">
        <x:v>PENDING</x:v>
      </x:c>
      <x:c r="F3330" s="1" t="str">
        <x:v>Advance shipping</x:v>
      </x:c>
      <x:c r="G3330" s="6" t="n">
        <x:v>2</x:v>
      </x:c>
      <x:c r="H3330" s="6" t="n">
        <x:v>4</x:v>
      </x:c>
      <x:c r="I3330" s="6" t="n">
        <x:f>G3330-H3330</x:f>
        <x:v>-2</x:v>
      </x:c>
      <x:c r="J3330" s="6" t="n">
        <x:f>IF(OR(E3330="CANCELED",E3330="SUSPECTED_FRAUD",F3330="Shipping canceled"),0,1)</x:f>
        <x:v>1</x:v>
      </x:c>
      <x:c r="K3330" s="6" t="n">
        <x:f>IF(G3330&gt;H3330,1,0)</x:f>
        <x:v>0</x:v>
      </x:c>
      <x:c r="L3330" s="6" t="n">
        <x:f>J3330*K3330</x:f>
        <x:v>0</x:v>
      </x:c>
    </x:row>
    <x:row r="3331">
      <x:c r="A3331" s="1" t="n">
        <x:v>25079</x:v>
      </x:c>
      <x:c r="B3331" s="5" t="d">
        <x:v>2016-01-02T00:00:00.000Z</x:v>
      </x:c>
      <x:c r="C3331" s="1" t="str">
        <x:v>Standard Class</x:v>
      </x:c>
      <x:c r="D3331" s="1" t="str">
        <x:v>Pacific Asia</x:v>
      </x:c>
      <x:c r="E3331" s="1" t="str">
        <x:v>ON_HOLD</x:v>
      </x:c>
      <x:c r="F3331" s="1" t="str">
        <x:v>Late delivery</x:v>
      </x:c>
      <x:c r="G3331" s="6" t="n">
        <x:v>5</x:v>
      </x:c>
      <x:c r="H3331" s="6" t="n">
        <x:v>4</x:v>
      </x:c>
      <x:c r="I3331" s="6" t="n">
        <x:f>G3331-H3331</x:f>
        <x:v>1</x:v>
      </x:c>
      <x:c r="J3331" s="6" t="n">
        <x:f>IF(OR(E3331="CANCELED",E3331="SUSPECTED_FRAUD",F3331="Shipping canceled"),0,1)</x:f>
        <x:v>1</x:v>
      </x:c>
      <x:c r="K3331" s="6" t="n">
        <x:f>IF(G3331&gt;H3331,1,0)</x:f>
        <x:v>1</x:v>
      </x:c>
      <x:c r="L3331" s="6" t="n">
        <x:f>J3331*K3331</x:f>
        <x:v>1</x:v>
      </x:c>
    </x:row>
    <x:row r="3332">
      <x:c r="A3332" s="1" t="n">
        <x:v>25085</x:v>
      </x:c>
      <x:c r="B3332" s="5" t="d">
        <x:v>2016-01-02T00:00:00.000Z</x:v>
      </x:c>
      <x:c r="C3332" s="1" t="str">
        <x:v>Standard Class</x:v>
      </x:c>
      <x:c r="D3332" s="1" t="str">
        <x:v>Pacific Asia</x:v>
      </x:c>
      <x:c r="E3332" s="1" t="str">
        <x:v>COMPLETE</x:v>
      </x:c>
      <x:c r="F3332" s="1" t="str">
        <x:v>Late delivery</x:v>
      </x:c>
      <x:c r="G3332" s="6" t="n">
        <x:v>6</x:v>
      </x:c>
      <x:c r="H3332" s="6" t="n">
        <x:v>4</x:v>
      </x:c>
      <x:c r="I3332" s="6" t="n">
        <x:f>G3332-H3332</x:f>
        <x:v>2</x:v>
      </x:c>
      <x:c r="J3332" s="6" t="n">
        <x:f>IF(OR(E3332="CANCELED",E3332="SUSPECTED_FRAUD",F3332="Shipping canceled"),0,1)</x:f>
        <x:v>1</x:v>
      </x:c>
      <x:c r="K3332" s="6" t="n">
        <x:f>IF(G3332&gt;H3332,1,0)</x:f>
        <x:v>1</x:v>
      </x:c>
      <x:c r="L3332" s="6" t="n">
        <x:f>J3332*K3332</x:f>
        <x:v>1</x:v>
      </x:c>
    </x:row>
    <x:row r="3333">
      <x:c r="A3333" s="1" t="n">
        <x:v>25096</x:v>
      </x:c>
      <x:c r="B3333" s="5" t="d">
        <x:v>2016-01-02T00:00:00.000Z</x:v>
      </x:c>
      <x:c r="C3333" s="1" t="str">
        <x:v>Standard Class</x:v>
      </x:c>
      <x:c r="D3333" s="1" t="str">
        <x:v>Pacific Asia</x:v>
      </x:c>
      <x:c r="E3333" s="1" t="str">
        <x:v>PROCESSING</x:v>
      </x:c>
      <x:c r="F3333" s="1" t="str">
        <x:v>Advance shipping</x:v>
      </x:c>
      <x:c r="G3333" s="6" t="n">
        <x:v>2</x:v>
      </x:c>
      <x:c r="H3333" s="6" t="n">
        <x:v>4</x:v>
      </x:c>
      <x:c r="I3333" s="6" t="n">
        <x:f>G3333-H3333</x:f>
        <x:v>-2</x:v>
      </x:c>
      <x:c r="J3333" s="6" t="n">
        <x:f>IF(OR(E3333="CANCELED",E3333="SUSPECTED_FRAUD",F3333="Shipping canceled"),0,1)</x:f>
        <x:v>1</x:v>
      </x:c>
      <x:c r="K3333" s="6" t="n">
        <x:f>IF(G3333&gt;H3333,1,0)</x:f>
        <x:v>0</x:v>
      </x:c>
      <x:c r="L3333" s="6" t="n">
        <x:f>J3333*K3333</x:f>
        <x:v>0</x:v>
      </x:c>
    </x:row>
    <x:row r="3334">
      <x:c r="A3334" s="1" t="n">
        <x:v>25106</x:v>
      </x:c>
      <x:c r="B3334" s="5" t="d">
        <x:v>2016-01-02T00:00:00.000Z</x:v>
      </x:c>
      <x:c r="C3334" s="1" t="str">
        <x:v>Standard Class</x:v>
      </x:c>
      <x:c r="D3334" s="1" t="str">
        <x:v>Pacific Asia</x:v>
      </x:c>
      <x:c r="E3334" s="1" t="str">
        <x:v>PROCESSING</x:v>
      </x:c>
      <x:c r="F3334" s="1" t="str">
        <x:v>Advance shipping</x:v>
      </x:c>
      <x:c r="G3334" s="6" t="n">
        <x:v>2</x:v>
      </x:c>
      <x:c r="H3334" s="6" t="n">
        <x:v>4</x:v>
      </x:c>
      <x:c r="I3334" s="6" t="n">
        <x:f>G3334-H3334</x:f>
        <x:v>-2</x:v>
      </x:c>
      <x:c r="J3334" s="6" t="n">
        <x:f>IF(OR(E3334="CANCELED",E3334="SUSPECTED_FRAUD",F3334="Shipping canceled"),0,1)</x:f>
        <x:v>1</x:v>
      </x:c>
      <x:c r="K3334" s="6" t="n">
        <x:f>IF(G3334&gt;H3334,1,0)</x:f>
        <x:v>0</x:v>
      </x:c>
      <x:c r="L3334" s="6" t="n">
        <x:f>J3334*K3334</x:f>
        <x:v>0</x:v>
      </x:c>
    </x:row>
    <x:row r="3335">
      <x:c r="A3335" s="1" t="n">
        <x:v>25110</x:v>
      </x:c>
      <x:c r="B3335" s="5" t="d">
        <x:v>2016-01-02T00:00:00.000Z</x:v>
      </x:c>
      <x:c r="C3335" s="1" t="str">
        <x:v>First Class</x:v>
      </x:c>
      <x:c r="D3335" s="1" t="str">
        <x:v>Pacific Asia</x:v>
      </x:c>
      <x:c r="E3335" s="1" t="str">
        <x:v>COMPLETE</x:v>
      </x:c>
      <x:c r="F3335" s="1" t="str">
        <x:v>Late delivery</x:v>
      </x:c>
      <x:c r="G3335" s="6" t="n">
        <x:v>2</x:v>
      </x:c>
      <x:c r="H3335" s="6" t="n">
        <x:v>1</x:v>
      </x:c>
      <x:c r="I3335" s="6" t="n">
        <x:f>G3335-H3335</x:f>
        <x:v>1</x:v>
      </x:c>
      <x:c r="J3335" s="6" t="n">
        <x:f>IF(OR(E3335="CANCELED",E3335="SUSPECTED_FRAUD",F3335="Shipping canceled"),0,1)</x:f>
        <x:v>1</x:v>
      </x:c>
      <x:c r="K3335" s="6" t="n">
        <x:f>IF(G3335&gt;H3335,1,0)</x:f>
        <x:v>1</x:v>
      </x:c>
      <x:c r="L3335" s="6" t="n">
        <x:f>J3335*K3335</x:f>
        <x:v>1</x:v>
      </x:c>
    </x:row>
    <x:row r="3336">
      <x:c r="A3336" s="1" t="n">
        <x:v>25115</x:v>
      </x:c>
      <x:c r="B3336" s="5" t="d">
        <x:v>2016-01-02T00:00:00.000Z</x:v>
      </x:c>
      <x:c r="C3336" s="1" t="str">
        <x:v>First Class</x:v>
      </x:c>
      <x:c r="D3336" s="1" t="str">
        <x:v>Pacific Asia</x:v>
      </x:c>
      <x:c r="E3336" s="1" t="str">
        <x:v>CLOSED</x:v>
      </x:c>
      <x:c r="F3336" s="1" t="str">
        <x:v>Late delivery</x:v>
      </x:c>
      <x:c r="G3336" s="6" t="n">
        <x:v>2</x:v>
      </x:c>
      <x:c r="H3336" s="6" t="n">
        <x:v>1</x:v>
      </x:c>
      <x:c r="I3336" s="6" t="n">
        <x:f>G3336-H3336</x:f>
        <x:v>1</x:v>
      </x:c>
      <x:c r="J3336" s="6" t="n">
        <x:f>IF(OR(E3336="CANCELED",E3336="SUSPECTED_FRAUD",F3336="Shipping canceled"),0,1)</x:f>
        <x:v>1</x:v>
      </x:c>
      <x:c r="K3336" s="6" t="n">
        <x:f>IF(G3336&gt;H3336,1,0)</x:f>
        <x:v>1</x:v>
      </x:c>
      <x:c r="L3336" s="6" t="n">
        <x:f>J3336*K3336</x:f>
        <x:v>1</x:v>
      </x:c>
    </x:row>
    <x:row r="3337">
      <x:c r="A3337" s="1" t="n">
        <x:v>25125</x:v>
      </x:c>
      <x:c r="B3337" s="5" t="d">
        <x:v>2016-01-02T00:00:00.000Z</x:v>
      </x:c>
      <x:c r="C3337" s="1" t="str">
        <x:v>Standard Class</x:v>
      </x:c>
      <x:c r="D3337" s="1" t="str">
        <x:v>Pacific Asia</x:v>
      </x:c>
      <x:c r="E3337" s="1" t="str">
        <x:v>COMPLETE</x:v>
      </x:c>
      <x:c r="F3337" s="1" t="str">
        <x:v>Late delivery</x:v>
      </x:c>
      <x:c r="G3337" s="6" t="n">
        <x:v>6</x:v>
      </x:c>
      <x:c r="H3337" s="6" t="n">
        <x:v>4</x:v>
      </x:c>
      <x:c r="I3337" s="6" t="n">
        <x:f>G3337-H3337</x:f>
        <x:v>2</x:v>
      </x:c>
      <x:c r="J3337" s="6" t="n">
        <x:f>IF(OR(E3337="CANCELED",E3337="SUSPECTED_FRAUD",F3337="Shipping canceled"),0,1)</x:f>
        <x:v>1</x:v>
      </x:c>
      <x:c r="K3337" s="6" t="n">
        <x:f>IF(G3337&gt;H3337,1,0)</x:f>
        <x:v>1</x:v>
      </x:c>
      <x:c r="L3337" s="6" t="n">
        <x:f>J3337*K3337</x:f>
        <x:v>1</x:v>
      </x:c>
    </x:row>
    <x:row r="3338">
      <x:c r="A3338" s="1" t="n">
        <x:v>25128</x:v>
      </x:c>
      <x:c r="B3338" s="5" t="d">
        <x:v>2016-01-02T00:00:00.000Z</x:v>
      </x:c>
      <x:c r="C3338" s="1" t="str">
        <x:v>Second Class</x:v>
      </x:c>
      <x:c r="D3338" s="1" t="str">
        <x:v>Pacific Asia</x:v>
      </x:c>
      <x:c r="E3338" s="1" t="str">
        <x:v>CLOSED</x:v>
      </x:c>
      <x:c r="F3338" s="1" t="str">
        <x:v>Late delivery</x:v>
      </x:c>
      <x:c r="G3338" s="6" t="n">
        <x:v>4</x:v>
      </x:c>
      <x:c r="H3338" s="6" t="n">
        <x:v>2</x:v>
      </x:c>
      <x:c r="I3338" s="6" t="n">
        <x:f>G3338-H3338</x:f>
        <x:v>2</x:v>
      </x:c>
      <x:c r="J3338" s="6" t="n">
        <x:f>IF(OR(E3338="CANCELED",E3338="SUSPECTED_FRAUD",F3338="Shipping canceled"),0,1)</x:f>
        <x:v>1</x:v>
      </x:c>
      <x:c r="K3338" s="6" t="n">
        <x:f>IF(G3338&gt;H3338,1,0)</x:f>
        <x:v>1</x:v>
      </x:c>
      <x:c r="L3338" s="6" t="n">
        <x:f>J3338*K3338</x:f>
        <x:v>1</x:v>
      </x:c>
    </x:row>
    <x:row r="3339">
      <x:c r="A3339" s="1" t="n">
        <x:v>25134</x:v>
      </x:c>
      <x:c r="B3339" s="5" t="d">
        <x:v>2016-01-02T00:00:00.000Z</x:v>
      </x:c>
      <x:c r="C3339" s="1" t="str">
        <x:v>Standard Class</x:v>
      </x:c>
      <x:c r="D3339" s="1" t="str">
        <x:v>Pacific Asia</x:v>
      </x:c>
      <x:c r="E3339" s="1" t="str">
        <x:v>COMPLETE</x:v>
      </x:c>
      <x:c r="F3339" s="1" t="str">
        <x:v>Late delivery</x:v>
      </x:c>
      <x:c r="G3339" s="6" t="n">
        <x:v>5</x:v>
      </x:c>
      <x:c r="H3339" s="6" t="n">
        <x:v>4</x:v>
      </x:c>
      <x:c r="I3339" s="6" t="n">
        <x:f>G3339-H3339</x:f>
        <x:v>1</x:v>
      </x:c>
      <x:c r="J3339" s="6" t="n">
        <x:f>IF(OR(E3339="CANCELED",E3339="SUSPECTED_FRAUD",F3339="Shipping canceled"),0,1)</x:f>
        <x:v>1</x:v>
      </x:c>
      <x:c r="K3339" s="6" t="n">
        <x:f>IF(G3339&gt;H3339,1,0)</x:f>
        <x:v>1</x:v>
      </x:c>
      <x:c r="L3339" s="6" t="n">
        <x:f>J3339*K3339</x:f>
        <x:v>1</x:v>
      </x:c>
    </x:row>
    <x:row r="3340">
      <x:c r="A3340" s="1" t="n">
        <x:v>25135</x:v>
      </x:c>
      <x:c r="B3340" s="5" t="d">
        <x:v>2016-01-02T00:00:00.000Z</x:v>
      </x:c>
      <x:c r="C3340" s="1" t="str">
        <x:v>Standard Class</x:v>
      </x:c>
      <x:c r="D3340" s="1" t="str">
        <x:v>Pacific Asia</x:v>
      </x:c>
      <x:c r="E3340" s="1" t="str">
        <x:v>COMPLETE</x:v>
      </x:c>
      <x:c r="F3340" s="1" t="str">
        <x:v>Late delivery</x:v>
      </x:c>
      <x:c r="G3340" s="6" t="n">
        <x:v>6</x:v>
      </x:c>
      <x:c r="H3340" s="6" t="n">
        <x:v>4</x:v>
      </x:c>
      <x:c r="I3340" s="6" t="n">
        <x:f>G3340-H3340</x:f>
        <x:v>2</x:v>
      </x:c>
      <x:c r="J3340" s="6" t="n">
        <x:f>IF(OR(E3340="CANCELED",E3340="SUSPECTED_FRAUD",F3340="Shipping canceled"),0,1)</x:f>
        <x:v>1</x:v>
      </x:c>
      <x:c r="K3340" s="6" t="n">
        <x:f>IF(G3340&gt;H3340,1,0)</x:f>
        <x:v>1</x:v>
      </x:c>
      <x:c r="L3340" s="6" t="n">
        <x:f>J3340*K3340</x:f>
        <x:v>1</x:v>
      </x:c>
    </x:row>
    <x:row r="3341">
      <x:c r="A3341" s="1" t="n">
        <x:v>25139</x:v>
      </x:c>
      <x:c r="B3341" s="5" t="d">
        <x:v>2016-01-02T00:00:00.000Z</x:v>
      </x:c>
      <x:c r="C3341" s="1" t="str">
        <x:v>Standard Class</x:v>
      </x:c>
      <x:c r="D3341" s="1" t="str">
        <x:v>Pacific Asia</x:v>
      </x:c>
      <x:c r="E3341" s="1" t="str">
        <x:v>COMPLETE</x:v>
      </x:c>
      <x:c r="F3341" s="1" t="str">
        <x:v>Late delivery</x:v>
      </x:c>
      <x:c r="G3341" s="6" t="n">
        <x:v>5</x:v>
      </x:c>
      <x:c r="H3341" s="6" t="n">
        <x:v>4</x:v>
      </x:c>
      <x:c r="I3341" s="6" t="n">
        <x:f>G3341-H3341</x:f>
        <x:v>1</x:v>
      </x:c>
      <x:c r="J3341" s="6" t="n">
        <x:f>IF(OR(E3341="CANCELED",E3341="SUSPECTED_FRAUD",F3341="Shipping canceled"),0,1)</x:f>
        <x:v>1</x:v>
      </x:c>
      <x:c r="K3341" s="6" t="n">
        <x:f>IF(G3341&gt;H3341,1,0)</x:f>
        <x:v>1</x:v>
      </x:c>
      <x:c r="L3341" s="6" t="n">
        <x:f>J3341*K3341</x:f>
        <x:v>1</x:v>
      </x:c>
    </x:row>
    <x:row r="3342">
      <x:c r="A3342" s="1" t="n">
        <x:v>25149</x:v>
      </x:c>
      <x:c r="B3342" s="5" t="d">
        <x:v>2016-01-03T00:00:00.000Z</x:v>
      </x:c>
      <x:c r="C3342" s="1" t="str">
        <x:v>Standard Class</x:v>
      </x:c>
      <x:c r="D3342" s="1" t="str">
        <x:v>Pacific Asia</x:v>
      </x:c>
      <x:c r="E3342" s="1" t="str">
        <x:v>PENDING_PAYMENT</x:v>
      </x:c>
      <x:c r="F3342" s="1" t="str">
        <x:v>Late delivery</x:v>
      </x:c>
      <x:c r="G3342" s="6" t="n">
        <x:v>5</x:v>
      </x:c>
      <x:c r="H3342" s="6" t="n">
        <x:v>4</x:v>
      </x:c>
      <x:c r="I3342" s="6" t="n">
        <x:f>G3342-H3342</x:f>
        <x:v>1</x:v>
      </x:c>
      <x:c r="J3342" s="6" t="n">
        <x:f>IF(OR(E3342="CANCELED",E3342="SUSPECTED_FRAUD",F3342="Shipping canceled"),0,1)</x:f>
        <x:v>1</x:v>
      </x:c>
      <x:c r="K3342" s="6" t="n">
        <x:f>IF(G3342&gt;H3342,1,0)</x:f>
        <x:v>1</x:v>
      </x:c>
      <x:c r="L3342" s="6" t="n">
        <x:f>J3342*K3342</x:f>
        <x:v>1</x:v>
      </x:c>
    </x:row>
    <x:row r="3343">
      <x:c r="A3343" s="1" t="n">
        <x:v>25151</x:v>
      </x:c>
      <x:c r="B3343" s="5" t="d">
        <x:v>2016-01-03T00:00:00.000Z</x:v>
      </x:c>
      <x:c r="C3343" s="1" t="str">
        <x:v>Standard Class</x:v>
      </x:c>
      <x:c r="D3343" s="1" t="str">
        <x:v>Pacific Asia</x:v>
      </x:c>
      <x:c r="E3343" s="1" t="str">
        <x:v>COMPLETE</x:v>
      </x:c>
      <x:c r="F3343" s="1" t="str">
        <x:v>Advance shipping</x:v>
      </x:c>
      <x:c r="G3343" s="6" t="n">
        <x:v>2</x:v>
      </x:c>
      <x:c r="H3343" s="6" t="n">
        <x:v>4</x:v>
      </x:c>
      <x:c r="I3343" s="6" t="n">
        <x:f>G3343-H3343</x:f>
        <x:v>-2</x:v>
      </x:c>
      <x:c r="J3343" s="6" t="n">
        <x:f>IF(OR(E3343="CANCELED",E3343="SUSPECTED_FRAUD",F3343="Shipping canceled"),0,1)</x:f>
        <x:v>1</x:v>
      </x:c>
      <x:c r="K3343" s="6" t="n">
        <x:f>IF(G3343&gt;H3343,1,0)</x:f>
        <x:v>0</x:v>
      </x:c>
      <x:c r="L3343" s="6" t="n">
        <x:f>J3343*K3343</x:f>
        <x:v>0</x:v>
      </x:c>
    </x:row>
    <x:row r="3344">
      <x:c r="A3344" s="1" t="n">
        <x:v>25163</x:v>
      </x:c>
      <x:c r="B3344" s="5" t="d">
        <x:v>2016-01-03T00:00:00.000Z</x:v>
      </x:c>
      <x:c r="C3344" s="1" t="str">
        <x:v>Standard Class</x:v>
      </x:c>
      <x:c r="D3344" s="1" t="str">
        <x:v>Pacific Asia</x:v>
      </x:c>
      <x:c r="E3344" s="1" t="str">
        <x:v>COMPLETE</x:v>
      </x:c>
      <x:c r="F3344" s="1" t="str">
        <x:v>Shipping on time</x:v>
      </x:c>
      <x:c r="G3344" s="6" t="n">
        <x:v>4</x:v>
      </x:c>
      <x:c r="H3344" s="6" t="n">
        <x:v>4</x:v>
      </x:c>
      <x:c r="I3344" s="6" t="n">
        <x:f>G3344-H3344</x:f>
        <x:v>0</x:v>
      </x:c>
      <x:c r="J3344" s="6" t="n">
        <x:f>IF(OR(E3344="CANCELED",E3344="SUSPECTED_FRAUD",F3344="Shipping canceled"),0,1)</x:f>
        <x:v>1</x:v>
      </x:c>
      <x:c r="K3344" s="6" t="n">
        <x:f>IF(G3344&gt;H3344,1,0)</x:f>
        <x:v>0</x:v>
      </x:c>
      <x:c r="L3344" s="6" t="n">
        <x:f>J3344*K3344</x:f>
        <x:v>0</x:v>
      </x:c>
    </x:row>
    <x:row r="3345">
      <x:c r="A3345" s="1" t="n">
        <x:v>25164</x:v>
      </x:c>
      <x:c r="B3345" s="5" t="d">
        <x:v>2016-01-03T00:00:00.000Z</x:v>
      </x:c>
      <x:c r="C3345" s="1" t="str">
        <x:v>Standard Class</x:v>
      </x:c>
      <x:c r="D3345" s="1" t="str">
        <x:v>Pacific Asia</x:v>
      </x:c>
      <x:c r="E3345" s="1" t="str">
        <x:v>ON_HOLD</x:v>
      </x:c>
      <x:c r="F3345" s="1" t="str">
        <x:v>Late delivery</x:v>
      </x:c>
      <x:c r="G3345" s="6" t="n">
        <x:v>5</x:v>
      </x:c>
      <x:c r="H3345" s="6" t="n">
        <x:v>4</x:v>
      </x:c>
      <x:c r="I3345" s="6" t="n">
        <x:f>G3345-H3345</x:f>
        <x:v>1</x:v>
      </x:c>
      <x:c r="J3345" s="6" t="n">
        <x:f>IF(OR(E3345="CANCELED",E3345="SUSPECTED_FRAUD",F3345="Shipping canceled"),0,1)</x:f>
        <x:v>1</x:v>
      </x:c>
      <x:c r="K3345" s="6" t="n">
        <x:f>IF(G3345&gt;H3345,1,0)</x:f>
        <x:v>1</x:v>
      </x:c>
      <x:c r="L3345" s="6" t="n">
        <x:f>J3345*K3345</x:f>
        <x:v>1</x:v>
      </x:c>
    </x:row>
    <x:row r="3346">
      <x:c r="A3346" s="1" t="n">
        <x:v>25167</x:v>
      </x:c>
      <x:c r="B3346" s="5" t="d">
        <x:v>2016-01-03T00:00:00.000Z</x:v>
      </x:c>
      <x:c r="C3346" s="1" t="str">
        <x:v>First Class</x:v>
      </x:c>
      <x:c r="D3346" s="1" t="str">
        <x:v>Pacific Asia</x:v>
      </x:c>
      <x:c r="E3346" s="1" t="str">
        <x:v>CANCELED</x:v>
      </x:c>
      <x:c r="F3346" s="1" t="str">
        <x:v>Shipping canceled</x:v>
      </x:c>
      <x:c r="G3346" s="6" t="n">
        <x:v>2</x:v>
      </x:c>
      <x:c r="H3346" s="6" t="n">
        <x:v>1</x:v>
      </x:c>
      <x:c r="I3346" s="6" t="n">
        <x:f>G3346-H3346</x:f>
        <x:v>1</x:v>
      </x:c>
      <x:c r="J3346" s="6" t="n">
        <x:f>IF(OR(E3346="CANCELED",E3346="SUSPECTED_FRAUD",F3346="Shipping canceled"),0,1)</x:f>
        <x:v>0</x:v>
      </x:c>
      <x:c r="K3346" s="6" t="n">
        <x:f>IF(G3346&gt;H3346,1,0)</x:f>
        <x:v>1</x:v>
      </x:c>
      <x:c r="L3346" s="6" t="n">
        <x:f>J3346*K3346</x:f>
        <x:v>0</x:v>
      </x:c>
    </x:row>
    <x:row r="3347">
      <x:c r="A3347" s="1" t="n">
        <x:v>25178</x:v>
      </x:c>
      <x:c r="B3347" s="5" t="d">
        <x:v>2016-01-03T00:00:00.000Z</x:v>
      </x:c>
      <x:c r="C3347" s="1" t="str">
        <x:v>Second Class</x:v>
      </x:c>
      <x:c r="D3347" s="1" t="str">
        <x:v>Pacific Asia</x:v>
      </x:c>
      <x:c r="E3347" s="1" t="str">
        <x:v>PENDING_PAYMENT</x:v>
      </x:c>
      <x:c r="F3347" s="1" t="str">
        <x:v>Late delivery</x:v>
      </x:c>
      <x:c r="G3347" s="6" t="n">
        <x:v>4</x:v>
      </x:c>
      <x:c r="H3347" s="6" t="n">
        <x:v>2</x:v>
      </x:c>
      <x:c r="I3347" s="6" t="n">
        <x:f>G3347-H3347</x:f>
        <x:v>2</x:v>
      </x:c>
      <x:c r="J3347" s="6" t="n">
        <x:f>IF(OR(E3347="CANCELED",E3347="SUSPECTED_FRAUD",F3347="Shipping canceled"),0,1)</x:f>
        <x:v>1</x:v>
      </x:c>
      <x:c r="K3347" s="6" t="n">
        <x:f>IF(G3347&gt;H3347,1,0)</x:f>
        <x:v>1</x:v>
      </x:c>
      <x:c r="L3347" s="6" t="n">
        <x:f>J3347*K3347</x:f>
        <x:v>1</x:v>
      </x:c>
    </x:row>
    <x:row r="3348">
      <x:c r="A3348" s="1" t="n">
        <x:v>25180</x:v>
      </x:c>
      <x:c r="B3348" s="5" t="d">
        <x:v>2016-01-03T00:00:00.000Z</x:v>
      </x:c>
      <x:c r="C3348" s="1" t="str">
        <x:v>Second Class</x:v>
      </x:c>
      <x:c r="D3348" s="1" t="str">
        <x:v>Pacific Asia</x:v>
      </x:c>
      <x:c r="E3348" s="1" t="str">
        <x:v>COMPLETE</x:v>
      </x:c>
      <x:c r="F3348" s="1" t="str">
        <x:v>Late delivery</x:v>
      </x:c>
      <x:c r="G3348" s="6" t="n">
        <x:v>6</x:v>
      </x:c>
      <x:c r="H3348" s="6" t="n">
        <x:v>2</x:v>
      </x:c>
      <x:c r="I3348" s="6" t="n">
        <x:f>G3348-H3348</x:f>
        <x:v>4</x:v>
      </x:c>
      <x:c r="J3348" s="6" t="n">
        <x:f>IF(OR(E3348="CANCELED",E3348="SUSPECTED_FRAUD",F3348="Shipping canceled"),0,1)</x:f>
        <x:v>1</x:v>
      </x:c>
      <x:c r="K3348" s="6" t="n">
        <x:f>IF(G3348&gt;H3348,1,0)</x:f>
        <x:v>1</x:v>
      </x:c>
      <x:c r="L3348" s="6" t="n">
        <x:f>J3348*K3348</x:f>
        <x:v>1</x:v>
      </x:c>
    </x:row>
    <x:row r="3349">
      <x:c r="A3349" s="1" t="n">
        <x:v>25190</x:v>
      </x:c>
      <x:c r="B3349" s="5" t="d">
        <x:v>2016-01-03T00:00:00.000Z</x:v>
      </x:c>
      <x:c r="C3349" s="1" t="str">
        <x:v>Standard Class</x:v>
      </x:c>
      <x:c r="D3349" s="1" t="str">
        <x:v>Pacific Asia</x:v>
      </x:c>
      <x:c r="E3349" s="1" t="str">
        <x:v>PENDING_PAYMENT</x:v>
      </x:c>
      <x:c r="F3349" s="1" t="str">
        <x:v>Late delivery</x:v>
      </x:c>
      <x:c r="G3349" s="6" t="n">
        <x:v>6</x:v>
      </x:c>
      <x:c r="H3349" s="6" t="n">
        <x:v>4</x:v>
      </x:c>
      <x:c r="I3349" s="6" t="n">
        <x:f>G3349-H3349</x:f>
        <x:v>2</x:v>
      </x:c>
      <x:c r="J3349" s="6" t="n">
        <x:f>IF(OR(E3349="CANCELED",E3349="SUSPECTED_FRAUD",F3349="Shipping canceled"),0,1)</x:f>
        <x:v>1</x:v>
      </x:c>
      <x:c r="K3349" s="6" t="n">
        <x:f>IF(G3349&gt;H3349,1,0)</x:f>
        <x:v>1</x:v>
      </x:c>
      <x:c r="L3349" s="6" t="n">
        <x:f>J3349*K3349</x:f>
        <x:v>1</x:v>
      </x:c>
    </x:row>
    <x:row r="3350">
      <x:c r="A3350" s="1" t="n">
        <x:v>25200</x:v>
      </x:c>
      <x:c r="B3350" s="5" t="d">
        <x:v>2016-01-03T00:00:00.000Z</x:v>
      </x:c>
      <x:c r="C3350" s="1" t="str">
        <x:v>Standard Class</x:v>
      </x:c>
      <x:c r="D3350" s="1" t="str">
        <x:v>Pacific Asia</x:v>
      </x:c>
      <x:c r="E3350" s="1" t="str">
        <x:v>COMPLETE</x:v>
      </x:c>
      <x:c r="F3350" s="1" t="str">
        <x:v>Late delivery</x:v>
      </x:c>
      <x:c r="G3350" s="6" t="n">
        <x:v>6</x:v>
      </x:c>
      <x:c r="H3350" s="6" t="n">
        <x:v>4</x:v>
      </x:c>
      <x:c r="I3350" s="6" t="n">
        <x:f>G3350-H3350</x:f>
        <x:v>2</x:v>
      </x:c>
      <x:c r="J3350" s="6" t="n">
        <x:f>IF(OR(E3350="CANCELED",E3350="SUSPECTED_FRAUD",F3350="Shipping canceled"),0,1)</x:f>
        <x:v>1</x:v>
      </x:c>
      <x:c r="K3350" s="6" t="n">
        <x:f>IF(G3350&gt;H3350,1,0)</x:f>
        <x:v>1</x:v>
      </x:c>
      <x:c r="L3350" s="6" t="n">
        <x:f>J3350*K3350</x:f>
        <x:v>1</x:v>
      </x:c>
    </x:row>
    <x:row r="3351">
      <x:c r="A3351" s="1" t="n">
        <x:v>25207</x:v>
      </x:c>
      <x:c r="B3351" s="5" t="d">
        <x:v>2016-01-03T00:00:00.000Z</x:v>
      </x:c>
      <x:c r="C3351" s="1" t="str">
        <x:v>Standard Class</x:v>
      </x:c>
      <x:c r="D3351" s="1" t="str">
        <x:v>Pacific Asia</x:v>
      </x:c>
      <x:c r="E3351" s="1" t="str">
        <x:v>COMPLETE</x:v>
      </x:c>
      <x:c r="F3351" s="1" t="str">
        <x:v>Advance shipping</x:v>
      </x:c>
      <x:c r="G3351" s="6" t="n">
        <x:v>3</x:v>
      </x:c>
      <x:c r="H3351" s="6" t="n">
        <x:v>4</x:v>
      </x:c>
      <x:c r="I3351" s="6" t="n">
        <x:f>G3351-H3351</x:f>
        <x:v>-1</x:v>
      </x:c>
      <x:c r="J3351" s="6" t="n">
        <x:f>IF(OR(E3351="CANCELED",E3351="SUSPECTED_FRAUD",F3351="Shipping canceled"),0,1)</x:f>
        <x:v>1</x:v>
      </x:c>
      <x:c r="K3351" s="6" t="n">
        <x:f>IF(G3351&gt;H3351,1,0)</x:f>
        <x:v>0</x:v>
      </x:c>
      <x:c r="L3351" s="6" t="n">
        <x:f>J3351*K3351</x:f>
        <x:v>0</x:v>
      </x:c>
    </x:row>
    <x:row r="3352">
      <x:c r="A3352" s="1" t="n">
        <x:v>25219</x:v>
      </x:c>
      <x:c r="B3352" s="5" t="d">
        <x:v>2016-01-04T00:00:00.000Z</x:v>
      </x:c>
      <x:c r="C3352" s="1" t="str">
        <x:v>Standard Class</x:v>
      </x:c>
      <x:c r="D3352" s="1" t="str">
        <x:v>Pacific Asia</x:v>
      </x:c>
      <x:c r="E3352" s="1" t="str">
        <x:v>COMPLETE</x:v>
      </x:c>
      <x:c r="F3352" s="1" t="str">
        <x:v>Late delivery</x:v>
      </x:c>
      <x:c r="G3352" s="6" t="n">
        <x:v>5</x:v>
      </x:c>
      <x:c r="H3352" s="6" t="n">
        <x:v>4</x:v>
      </x:c>
      <x:c r="I3352" s="6" t="n">
        <x:f>G3352-H3352</x:f>
        <x:v>1</x:v>
      </x:c>
      <x:c r="J3352" s="6" t="n">
        <x:f>IF(OR(E3352="CANCELED",E3352="SUSPECTED_FRAUD",F3352="Shipping canceled"),0,1)</x:f>
        <x:v>1</x:v>
      </x:c>
      <x:c r="K3352" s="6" t="n">
        <x:f>IF(G3352&gt;H3352,1,0)</x:f>
        <x:v>1</x:v>
      </x:c>
      <x:c r="L3352" s="6" t="n">
        <x:f>J3352*K3352</x:f>
        <x:v>1</x:v>
      </x:c>
    </x:row>
    <x:row r="3353">
      <x:c r="A3353" s="1" t="n">
        <x:v>25223</x:v>
      </x:c>
      <x:c r="B3353" s="5" t="d">
        <x:v>2016-01-04T00:00:00.000Z</x:v>
      </x:c>
      <x:c r="C3353" s="1" t="str">
        <x:v>Standard Class</x:v>
      </x:c>
      <x:c r="D3353" s="1" t="str">
        <x:v>Pacific Asia</x:v>
      </x:c>
      <x:c r="E3353" s="1" t="str">
        <x:v>COMPLETE</x:v>
      </x:c>
      <x:c r="F3353" s="1" t="str">
        <x:v>Shipping on time</x:v>
      </x:c>
      <x:c r="G3353" s="6" t="n">
        <x:v>4</x:v>
      </x:c>
      <x:c r="H3353" s="6" t="n">
        <x:v>4</x:v>
      </x:c>
      <x:c r="I3353" s="6" t="n">
        <x:f>G3353-H3353</x:f>
        <x:v>0</x:v>
      </x:c>
      <x:c r="J3353" s="6" t="n">
        <x:f>IF(OR(E3353="CANCELED",E3353="SUSPECTED_FRAUD",F3353="Shipping canceled"),0,1)</x:f>
        <x:v>1</x:v>
      </x:c>
      <x:c r="K3353" s="6" t="n">
        <x:f>IF(G3353&gt;H3353,1,0)</x:f>
        <x:v>0</x:v>
      </x:c>
      <x:c r="L3353" s="6" t="n">
        <x:f>J3353*K3353</x:f>
        <x:v>0</x:v>
      </x:c>
    </x:row>
    <x:row r="3354">
      <x:c r="A3354" s="1" t="n">
        <x:v>25228</x:v>
      </x:c>
      <x:c r="B3354" s="5" t="d">
        <x:v>2016-01-04T00:00:00.000Z</x:v>
      </x:c>
      <x:c r="C3354" s="1" t="str">
        <x:v>Standard Class</x:v>
      </x:c>
      <x:c r="D3354" s="1" t="str">
        <x:v>Pacific Asia</x:v>
      </x:c>
      <x:c r="E3354" s="1" t="str">
        <x:v>PENDING_PAYMENT</x:v>
      </x:c>
      <x:c r="F3354" s="1" t="str">
        <x:v>Shipping on time</x:v>
      </x:c>
      <x:c r="G3354" s="6" t="n">
        <x:v>4</x:v>
      </x:c>
      <x:c r="H3354" s="6" t="n">
        <x:v>4</x:v>
      </x:c>
      <x:c r="I3354" s="6" t="n">
        <x:f>G3354-H3354</x:f>
        <x:v>0</x:v>
      </x:c>
      <x:c r="J3354" s="6" t="n">
        <x:f>IF(OR(E3354="CANCELED",E3354="SUSPECTED_FRAUD",F3354="Shipping canceled"),0,1)</x:f>
        <x:v>1</x:v>
      </x:c>
      <x:c r="K3354" s="6" t="n">
        <x:f>IF(G3354&gt;H3354,1,0)</x:f>
        <x:v>0</x:v>
      </x:c>
      <x:c r="L3354" s="6" t="n">
        <x:f>J3354*K3354</x:f>
        <x:v>0</x:v>
      </x:c>
    </x:row>
    <x:row r="3355">
      <x:c r="A3355" s="1" t="n">
        <x:v>25230</x:v>
      </x:c>
      <x:c r="B3355" s="5" t="d">
        <x:v>2016-01-04T00:00:00.000Z</x:v>
      </x:c>
      <x:c r="C3355" s="1" t="str">
        <x:v>Standard Class</x:v>
      </x:c>
      <x:c r="D3355" s="1" t="str">
        <x:v>Pacific Asia</x:v>
      </x:c>
      <x:c r="E3355" s="1" t="str">
        <x:v>PENDING_PAYMENT</x:v>
      </x:c>
      <x:c r="F3355" s="1" t="str">
        <x:v>Late delivery</x:v>
      </x:c>
      <x:c r="G3355" s="6" t="n">
        <x:v>6</x:v>
      </x:c>
      <x:c r="H3355" s="6" t="n">
        <x:v>4</x:v>
      </x:c>
      <x:c r="I3355" s="6" t="n">
        <x:f>G3355-H3355</x:f>
        <x:v>2</x:v>
      </x:c>
      <x:c r="J3355" s="6" t="n">
        <x:f>IF(OR(E3355="CANCELED",E3355="SUSPECTED_FRAUD",F3355="Shipping canceled"),0,1)</x:f>
        <x:v>1</x:v>
      </x:c>
      <x:c r="K3355" s="6" t="n">
        <x:f>IF(G3355&gt;H3355,1,0)</x:f>
        <x:v>1</x:v>
      </x:c>
      <x:c r="L3355" s="6" t="n">
        <x:f>J3355*K3355</x:f>
        <x:v>1</x:v>
      </x:c>
    </x:row>
    <x:row r="3356">
      <x:c r="A3356" s="1" t="n">
        <x:v>25242</x:v>
      </x:c>
      <x:c r="B3356" s="5" t="d">
        <x:v>2016-01-04T00:00:00.000Z</x:v>
      </x:c>
      <x:c r="C3356" s="1" t="str">
        <x:v>Second Class</x:v>
      </x:c>
      <x:c r="D3356" s="1" t="str">
        <x:v>Pacific Asia</x:v>
      </x:c>
      <x:c r="E3356" s="1" t="str">
        <x:v>COMPLETE</x:v>
      </x:c>
      <x:c r="F3356" s="1" t="str">
        <x:v>Late delivery</x:v>
      </x:c>
      <x:c r="G3356" s="6" t="n">
        <x:v>3</x:v>
      </x:c>
      <x:c r="H3356" s="6" t="n">
        <x:v>2</x:v>
      </x:c>
      <x:c r="I3356" s="6" t="n">
        <x:f>G3356-H3356</x:f>
        <x:v>1</x:v>
      </x:c>
      <x:c r="J3356" s="6" t="n">
        <x:f>IF(OR(E3356="CANCELED",E3356="SUSPECTED_FRAUD",F3356="Shipping canceled"),0,1)</x:f>
        <x:v>1</x:v>
      </x:c>
      <x:c r="K3356" s="6" t="n">
        <x:f>IF(G3356&gt;H3356,1,0)</x:f>
        <x:v>1</x:v>
      </x:c>
      <x:c r="L3356" s="6" t="n">
        <x:f>J3356*K3356</x:f>
        <x:v>1</x:v>
      </x:c>
    </x:row>
    <x:row r="3357">
      <x:c r="A3357" s="1" t="n">
        <x:v>25249</x:v>
      </x:c>
      <x:c r="B3357" s="5" t="d">
        <x:v>2016-01-04T00:00:00.000Z</x:v>
      </x:c>
      <x:c r="C3357" s="1" t="str">
        <x:v>Second Class</x:v>
      </x:c>
      <x:c r="D3357" s="1" t="str">
        <x:v>Pacific Asia</x:v>
      </x:c>
      <x:c r="E3357" s="1" t="str">
        <x:v>COMPLETE</x:v>
      </x:c>
      <x:c r="F3357" s="1" t="str">
        <x:v>Late delivery</x:v>
      </x:c>
      <x:c r="G3357" s="6" t="n">
        <x:v>5</x:v>
      </x:c>
      <x:c r="H3357" s="6" t="n">
        <x:v>2</x:v>
      </x:c>
      <x:c r="I3357" s="6" t="n">
        <x:f>G3357-H3357</x:f>
        <x:v>3</x:v>
      </x:c>
      <x:c r="J3357" s="6" t="n">
        <x:f>IF(OR(E3357="CANCELED",E3357="SUSPECTED_FRAUD",F3357="Shipping canceled"),0,1)</x:f>
        <x:v>1</x:v>
      </x:c>
      <x:c r="K3357" s="6" t="n">
        <x:f>IF(G3357&gt;H3357,1,0)</x:f>
        <x:v>1</x:v>
      </x:c>
      <x:c r="L3357" s="6" t="n">
        <x:f>J3357*K3357</x:f>
        <x:v>1</x:v>
      </x:c>
    </x:row>
    <x:row r="3358">
      <x:c r="A3358" s="1" t="n">
        <x:v>25252</x:v>
      </x:c>
      <x:c r="B3358" s="5" t="d">
        <x:v>2016-01-04T00:00:00.000Z</x:v>
      </x:c>
      <x:c r="C3358" s="1" t="str">
        <x:v>Standard Class</x:v>
      </x:c>
      <x:c r="D3358" s="1" t="str">
        <x:v>Pacific Asia</x:v>
      </x:c>
      <x:c r="E3358" s="1" t="str">
        <x:v>PENDING_PAYMENT</x:v>
      </x:c>
      <x:c r="F3358" s="1" t="str">
        <x:v>Advance shipping</x:v>
      </x:c>
      <x:c r="G3358" s="6" t="n">
        <x:v>3</x:v>
      </x:c>
      <x:c r="H3358" s="6" t="n">
        <x:v>4</x:v>
      </x:c>
      <x:c r="I3358" s="6" t="n">
        <x:f>G3358-H3358</x:f>
        <x:v>-1</x:v>
      </x:c>
      <x:c r="J3358" s="6" t="n">
        <x:f>IF(OR(E3358="CANCELED",E3358="SUSPECTED_FRAUD",F3358="Shipping canceled"),0,1)</x:f>
        <x:v>1</x:v>
      </x:c>
      <x:c r="K3358" s="6" t="n">
        <x:f>IF(G3358&gt;H3358,1,0)</x:f>
        <x:v>0</x:v>
      </x:c>
      <x:c r="L3358" s="6" t="n">
        <x:f>J3358*K3358</x:f>
        <x:v>0</x:v>
      </x:c>
    </x:row>
    <x:row r="3359">
      <x:c r="A3359" s="1" t="n">
        <x:v>25267</x:v>
      </x:c>
      <x:c r="B3359" s="5" t="d">
        <x:v>2016-01-04T00:00:00.000Z</x:v>
      </x:c>
      <x:c r="C3359" s="1" t="str">
        <x:v>Second Class</x:v>
      </x:c>
      <x:c r="D3359" s="1" t="str">
        <x:v>Pacific Asia</x:v>
      </x:c>
      <x:c r="E3359" s="1" t="str">
        <x:v>CLOSED</x:v>
      </x:c>
      <x:c r="F3359" s="1" t="str">
        <x:v>Late delivery</x:v>
      </x:c>
      <x:c r="G3359" s="6" t="n">
        <x:v>3</x:v>
      </x:c>
      <x:c r="H3359" s="6" t="n">
        <x:v>2</x:v>
      </x:c>
      <x:c r="I3359" s="6" t="n">
        <x:f>G3359-H3359</x:f>
        <x:v>1</x:v>
      </x:c>
      <x:c r="J3359" s="6" t="n">
        <x:f>IF(OR(E3359="CANCELED",E3359="SUSPECTED_FRAUD",F3359="Shipping canceled"),0,1)</x:f>
        <x:v>1</x:v>
      </x:c>
      <x:c r="K3359" s="6" t="n">
        <x:f>IF(G3359&gt;H3359,1,0)</x:f>
        <x:v>1</x:v>
      </x:c>
      <x:c r="L3359" s="6" t="n">
        <x:f>J3359*K3359</x:f>
        <x:v>1</x:v>
      </x:c>
    </x:row>
    <x:row r="3360">
      <x:c r="A3360" s="1" t="n">
        <x:v>25273</x:v>
      </x:c>
      <x:c r="B3360" s="5" t="d">
        <x:v>2016-01-04T00:00:00.000Z</x:v>
      </x:c>
      <x:c r="C3360" s="1" t="str">
        <x:v>Standard Class</x:v>
      </x:c>
      <x:c r="D3360" s="1" t="str">
        <x:v>Pacific Asia</x:v>
      </x:c>
      <x:c r="E3360" s="1" t="str">
        <x:v>COMPLETE</x:v>
      </x:c>
      <x:c r="F3360" s="1" t="str">
        <x:v>Shipping on time</x:v>
      </x:c>
      <x:c r="G3360" s="6" t="n">
        <x:v>4</x:v>
      </x:c>
      <x:c r="H3360" s="6" t="n">
        <x:v>4</x:v>
      </x:c>
      <x:c r="I3360" s="6" t="n">
        <x:f>G3360-H3360</x:f>
        <x:v>0</x:v>
      </x:c>
      <x:c r="J3360" s="6" t="n">
        <x:f>IF(OR(E3360="CANCELED",E3360="SUSPECTED_FRAUD",F3360="Shipping canceled"),0,1)</x:f>
        <x:v>1</x:v>
      </x:c>
      <x:c r="K3360" s="6" t="n">
        <x:f>IF(G3360&gt;H3360,1,0)</x:f>
        <x:v>0</x:v>
      </x:c>
      <x:c r="L3360" s="6" t="n">
        <x:f>J3360*K3360</x:f>
        <x:v>0</x:v>
      </x:c>
    </x:row>
    <x:row r="3361">
      <x:c r="A3361" s="1" t="n">
        <x:v>25275</x:v>
      </x:c>
      <x:c r="B3361" s="5" t="d">
        <x:v>2016-01-04T00:00:00.000Z</x:v>
      </x:c>
      <x:c r="C3361" s="1" t="str">
        <x:v>Standard Class</x:v>
      </x:c>
      <x:c r="D3361" s="1" t="str">
        <x:v>Pacific Asia</x:v>
      </x:c>
      <x:c r="E3361" s="1" t="str">
        <x:v>PENDING</x:v>
      </x:c>
      <x:c r="F3361" s="1" t="str">
        <x:v>Late delivery</x:v>
      </x:c>
      <x:c r="G3361" s="6" t="n">
        <x:v>6</x:v>
      </x:c>
      <x:c r="H3361" s="6" t="n">
        <x:v>4</x:v>
      </x:c>
      <x:c r="I3361" s="6" t="n">
        <x:f>G3361-H3361</x:f>
        <x:v>2</x:v>
      </x:c>
      <x:c r="J3361" s="6" t="n">
        <x:f>IF(OR(E3361="CANCELED",E3361="SUSPECTED_FRAUD",F3361="Shipping canceled"),0,1)</x:f>
        <x:v>1</x:v>
      </x:c>
      <x:c r="K3361" s="6" t="n">
        <x:f>IF(G3361&gt;H3361,1,0)</x:f>
        <x:v>1</x:v>
      </x:c>
      <x:c r="L3361" s="6" t="n">
        <x:f>J3361*K3361</x:f>
        <x:v>1</x:v>
      </x:c>
    </x:row>
    <x:row r="3362">
      <x:c r="A3362" s="1" t="n">
        <x:v>25284</x:v>
      </x:c>
      <x:c r="B3362" s="5" t="d">
        <x:v>2016-01-05T00:00:00.000Z</x:v>
      </x:c>
      <x:c r="C3362" s="1" t="str">
        <x:v>Same Day</x:v>
      </x:c>
      <x:c r="D3362" s="1" t="str">
        <x:v>Pacific Asia</x:v>
      </x:c>
      <x:c r="E3362" s="1" t="str">
        <x:v>CLOSED</x:v>
      </x:c>
      <x:c r="F3362" s="1" t="str">
        <x:v>Shipping on time</x:v>
      </x:c>
      <x:c r="G3362" s="6" t="n">
        <x:v>0</x:v>
      </x:c>
      <x:c r="H3362" s="6" t="n">
        <x:v>0</x:v>
      </x:c>
      <x:c r="I3362" s="6" t="n">
        <x:f>G3362-H3362</x:f>
        <x:v>0</x:v>
      </x:c>
      <x:c r="J3362" s="6" t="n">
        <x:f>IF(OR(E3362="CANCELED",E3362="SUSPECTED_FRAUD",F3362="Shipping canceled"),0,1)</x:f>
        <x:v>1</x:v>
      </x:c>
      <x:c r="K3362" s="6" t="n">
        <x:f>IF(G3362&gt;H3362,1,0)</x:f>
        <x:v>0</x:v>
      </x:c>
      <x:c r="L3362" s="6" t="n">
        <x:f>J3362*K3362</x:f>
        <x:v>0</x:v>
      </x:c>
    </x:row>
    <x:row r="3363">
      <x:c r="A3363" s="1" t="n">
        <x:v>25298</x:v>
      </x:c>
      <x:c r="B3363" s="5" t="d">
        <x:v>2016-01-05T00:00:00.000Z</x:v>
      </x:c>
      <x:c r="C3363" s="1" t="str">
        <x:v>Standard Class</x:v>
      </x:c>
      <x:c r="D3363" s="1" t="str">
        <x:v>Pacific Asia</x:v>
      </x:c>
      <x:c r="E3363" s="1" t="str">
        <x:v>CLOSED</x:v>
      </x:c>
      <x:c r="F3363" s="1" t="str">
        <x:v>Shipping on time</x:v>
      </x:c>
      <x:c r="G3363" s="6" t="n">
        <x:v>4</x:v>
      </x:c>
      <x:c r="H3363" s="6" t="n">
        <x:v>4</x:v>
      </x:c>
      <x:c r="I3363" s="6" t="n">
        <x:f>G3363-H3363</x:f>
        <x:v>0</x:v>
      </x:c>
      <x:c r="J3363" s="6" t="n">
        <x:f>IF(OR(E3363="CANCELED",E3363="SUSPECTED_FRAUD",F3363="Shipping canceled"),0,1)</x:f>
        <x:v>1</x:v>
      </x:c>
      <x:c r="K3363" s="6" t="n">
        <x:f>IF(G3363&gt;H3363,1,0)</x:f>
        <x:v>0</x:v>
      </x:c>
      <x:c r="L3363" s="6" t="n">
        <x:f>J3363*K3363</x:f>
        <x:v>0</x:v>
      </x:c>
    </x:row>
    <x:row r="3364">
      <x:c r="A3364" s="1" t="n">
        <x:v>25299</x:v>
      </x:c>
      <x:c r="B3364" s="5" t="d">
        <x:v>2016-01-05T00:00:00.000Z</x:v>
      </x:c>
      <x:c r="C3364" s="1" t="str">
        <x:v>Standard Class</x:v>
      </x:c>
      <x:c r="D3364" s="1" t="str">
        <x:v>Pacific Asia</x:v>
      </x:c>
      <x:c r="E3364" s="1" t="str">
        <x:v>COMPLETE</x:v>
      </x:c>
      <x:c r="F3364" s="1" t="str">
        <x:v>Late delivery</x:v>
      </x:c>
      <x:c r="G3364" s="6" t="n">
        <x:v>5</x:v>
      </x:c>
      <x:c r="H3364" s="6" t="n">
        <x:v>4</x:v>
      </x:c>
      <x:c r="I3364" s="6" t="n">
        <x:f>G3364-H3364</x:f>
        <x:v>1</x:v>
      </x:c>
      <x:c r="J3364" s="6" t="n">
        <x:f>IF(OR(E3364="CANCELED",E3364="SUSPECTED_FRAUD",F3364="Shipping canceled"),0,1)</x:f>
        <x:v>1</x:v>
      </x:c>
      <x:c r="K3364" s="6" t="n">
        <x:f>IF(G3364&gt;H3364,1,0)</x:f>
        <x:v>1</x:v>
      </x:c>
      <x:c r="L3364" s="6" t="n">
        <x:f>J3364*K3364</x:f>
        <x:v>1</x:v>
      </x:c>
    </x:row>
    <x:row r="3365">
      <x:c r="A3365" s="1" t="n">
        <x:v>25306</x:v>
      </x:c>
      <x:c r="B3365" s="5" t="d">
        <x:v>2016-01-05T00:00:00.000Z</x:v>
      </x:c>
      <x:c r="C3365" s="1" t="str">
        <x:v>Standard Class</x:v>
      </x:c>
      <x:c r="D3365" s="1" t="str">
        <x:v>Pacific Asia</x:v>
      </x:c>
      <x:c r="E3365" s="1" t="str">
        <x:v>COMPLETE</x:v>
      </x:c>
      <x:c r="F3365" s="1" t="str">
        <x:v>Advance shipping</x:v>
      </x:c>
      <x:c r="G3365" s="6" t="n">
        <x:v>2</x:v>
      </x:c>
      <x:c r="H3365" s="6" t="n">
        <x:v>4</x:v>
      </x:c>
      <x:c r="I3365" s="6" t="n">
        <x:f>G3365-H3365</x:f>
        <x:v>-2</x:v>
      </x:c>
      <x:c r="J3365" s="6" t="n">
        <x:f>IF(OR(E3365="CANCELED",E3365="SUSPECTED_FRAUD",F3365="Shipping canceled"),0,1)</x:f>
        <x:v>1</x:v>
      </x:c>
      <x:c r="K3365" s="6" t="n">
        <x:f>IF(G3365&gt;H3365,1,0)</x:f>
        <x:v>0</x:v>
      </x:c>
      <x:c r="L3365" s="6" t="n">
        <x:f>J3365*K3365</x:f>
        <x:v>0</x:v>
      </x:c>
    </x:row>
    <x:row r="3366">
      <x:c r="A3366" s="1" t="n">
        <x:v>25309</x:v>
      </x:c>
      <x:c r="B3366" s="5" t="d">
        <x:v>2016-01-05T00:00:00.000Z</x:v>
      </x:c>
      <x:c r="C3366" s="1" t="str">
        <x:v>First Class</x:v>
      </x:c>
      <x:c r="D3366" s="1" t="str">
        <x:v>Pacific Asia</x:v>
      </x:c>
      <x:c r="E3366" s="1" t="str">
        <x:v>CLOSED</x:v>
      </x:c>
      <x:c r="F3366" s="1" t="str">
        <x:v>Late delivery</x:v>
      </x:c>
      <x:c r="G3366" s="6" t="n">
        <x:v>2</x:v>
      </x:c>
      <x:c r="H3366" s="6" t="n">
        <x:v>1</x:v>
      </x:c>
      <x:c r="I3366" s="6" t="n">
        <x:f>G3366-H3366</x:f>
        <x:v>1</x:v>
      </x:c>
      <x:c r="J3366" s="6" t="n">
        <x:f>IF(OR(E3366="CANCELED",E3366="SUSPECTED_FRAUD",F3366="Shipping canceled"),0,1)</x:f>
        <x:v>1</x:v>
      </x:c>
      <x:c r="K3366" s="6" t="n">
        <x:f>IF(G3366&gt;H3366,1,0)</x:f>
        <x:v>1</x:v>
      </x:c>
      <x:c r="L3366" s="6" t="n">
        <x:f>J3366*K3366</x:f>
        <x:v>1</x:v>
      </x:c>
    </x:row>
    <x:row r="3367">
      <x:c r="A3367" s="1" t="n">
        <x:v>25316</x:v>
      </x:c>
      <x:c r="B3367" s="5" t="d">
        <x:v>2016-01-05T00:00:00.000Z</x:v>
      </x:c>
      <x:c r="C3367" s="1" t="str">
        <x:v>Standard Class</x:v>
      </x:c>
      <x:c r="D3367" s="1" t="str">
        <x:v>Pacific Asia</x:v>
      </x:c>
      <x:c r="E3367" s="1" t="str">
        <x:v>PENDING_PAYMENT</x:v>
      </x:c>
      <x:c r="F3367" s="1" t="str">
        <x:v>Advance shipping</x:v>
      </x:c>
      <x:c r="G3367" s="6" t="n">
        <x:v>2</x:v>
      </x:c>
      <x:c r="H3367" s="6" t="n">
        <x:v>4</x:v>
      </x:c>
      <x:c r="I3367" s="6" t="n">
        <x:f>G3367-H3367</x:f>
        <x:v>-2</x:v>
      </x:c>
      <x:c r="J3367" s="6" t="n">
        <x:f>IF(OR(E3367="CANCELED",E3367="SUSPECTED_FRAUD",F3367="Shipping canceled"),0,1)</x:f>
        <x:v>1</x:v>
      </x:c>
      <x:c r="K3367" s="6" t="n">
        <x:f>IF(G3367&gt;H3367,1,0)</x:f>
        <x:v>0</x:v>
      </x:c>
      <x:c r="L3367" s="6" t="n">
        <x:f>J3367*K3367</x:f>
        <x:v>0</x:v>
      </x:c>
    </x:row>
    <x:row r="3368">
      <x:c r="A3368" s="1" t="n">
        <x:v>25336</x:v>
      </x:c>
      <x:c r="B3368" s="5" t="d">
        <x:v>2016-01-05T00:00:00.000Z</x:v>
      </x:c>
      <x:c r="C3368" s="1" t="str">
        <x:v>Standard Class</x:v>
      </x:c>
      <x:c r="D3368" s="1" t="str">
        <x:v>Pacific Asia</x:v>
      </x:c>
      <x:c r="E3368" s="1" t="str">
        <x:v>COMPLETE</x:v>
      </x:c>
      <x:c r="F3368" s="1" t="str">
        <x:v>Advance shipping</x:v>
      </x:c>
      <x:c r="G3368" s="6" t="n">
        <x:v>2</x:v>
      </x:c>
      <x:c r="H3368" s="6" t="n">
        <x:v>4</x:v>
      </x:c>
      <x:c r="I3368" s="6" t="n">
        <x:f>G3368-H3368</x:f>
        <x:v>-2</x:v>
      </x:c>
      <x:c r="J3368" s="6" t="n">
        <x:f>IF(OR(E3368="CANCELED",E3368="SUSPECTED_FRAUD",F3368="Shipping canceled"),0,1)</x:f>
        <x:v>1</x:v>
      </x:c>
      <x:c r="K3368" s="6" t="n">
        <x:f>IF(G3368&gt;H3368,1,0)</x:f>
        <x:v>0</x:v>
      </x:c>
      <x:c r="L3368" s="6" t="n">
        <x:f>J3368*K3368</x:f>
        <x:v>0</x:v>
      </x:c>
    </x:row>
    <x:row r="3369">
      <x:c r="A3369" s="1" t="n">
        <x:v>25340</x:v>
      </x:c>
      <x:c r="B3369" s="5" t="d">
        <x:v>2016-01-05T00:00:00.000Z</x:v>
      </x:c>
      <x:c r="C3369" s="1" t="str">
        <x:v>Same Day</x:v>
      </x:c>
      <x:c r="D3369" s="1" t="str">
        <x:v>Pacific Asia</x:v>
      </x:c>
      <x:c r="E3369" s="1" t="str">
        <x:v>PROCESSING</x:v>
      </x:c>
      <x:c r="F3369" s="1" t="str">
        <x:v>Late delivery</x:v>
      </x:c>
      <x:c r="G3369" s="6" t="n">
        <x:v>1</x:v>
      </x:c>
      <x:c r="H3369" s="6" t="n">
        <x:v>0</x:v>
      </x:c>
      <x:c r="I3369" s="6" t="n">
        <x:f>G3369-H3369</x:f>
        <x:v>1</x:v>
      </x:c>
      <x:c r="J3369" s="6" t="n">
        <x:f>IF(OR(E3369="CANCELED",E3369="SUSPECTED_FRAUD",F3369="Shipping canceled"),0,1)</x:f>
        <x:v>1</x:v>
      </x:c>
      <x:c r="K3369" s="6" t="n">
        <x:f>IF(G3369&gt;H3369,1,0)</x:f>
        <x:v>1</x:v>
      </x:c>
      <x:c r="L3369" s="6" t="n">
        <x:f>J3369*K3369</x:f>
        <x:v>1</x:v>
      </x:c>
    </x:row>
    <x:row r="3370">
      <x:c r="A3370" s="1" t="n">
        <x:v>25350</x:v>
      </x:c>
      <x:c r="B3370" s="5" t="d">
        <x:v>2016-01-06T00:00:00.000Z</x:v>
      </x:c>
      <x:c r="C3370" s="1" t="str">
        <x:v>Standard Class</x:v>
      </x:c>
      <x:c r="D3370" s="1" t="str">
        <x:v>Pacific Asia</x:v>
      </x:c>
      <x:c r="E3370" s="1" t="str">
        <x:v>COMPLETE</x:v>
      </x:c>
      <x:c r="F3370" s="1" t="str">
        <x:v>Late delivery</x:v>
      </x:c>
      <x:c r="G3370" s="6" t="n">
        <x:v>6</x:v>
      </x:c>
      <x:c r="H3370" s="6" t="n">
        <x:v>4</x:v>
      </x:c>
      <x:c r="I3370" s="6" t="n">
        <x:f>G3370-H3370</x:f>
        <x:v>2</x:v>
      </x:c>
      <x:c r="J3370" s="6" t="n">
        <x:f>IF(OR(E3370="CANCELED",E3370="SUSPECTED_FRAUD",F3370="Shipping canceled"),0,1)</x:f>
        <x:v>1</x:v>
      </x:c>
      <x:c r="K3370" s="6" t="n">
        <x:f>IF(G3370&gt;H3370,1,0)</x:f>
        <x:v>1</x:v>
      </x:c>
      <x:c r="L3370" s="6" t="n">
        <x:f>J3370*K3370</x:f>
        <x:v>1</x:v>
      </x:c>
    </x:row>
    <x:row r="3371">
      <x:c r="A3371" s="1" t="n">
        <x:v>25394</x:v>
      </x:c>
      <x:c r="B3371" s="5" t="d">
        <x:v>2016-01-06T00:00:00.000Z</x:v>
      </x:c>
      <x:c r="C3371" s="1" t="str">
        <x:v>Standard Class</x:v>
      </x:c>
      <x:c r="D3371" s="1" t="str">
        <x:v>Pacific Asia</x:v>
      </x:c>
      <x:c r="E3371" s="1" t="str">
        <x:v>PROCESSING</x:v>
      </x:c>
      <x:c r="F3371" s="1" t="str">
        <x:v>Late delivery</x:v>
      </x:c>
      <x:c r="G3371" s="6" t="n">
        <x:v>5</x:v>
      </x:c>
      <x:c r="H3371" s="6" t="n">
        <x:v>4</x:v>
      </x:c>
      <x:c r="I3371" s="6" t="n">
        <x:f>G3371-H3371</x:f>
        <x:v>1</x:v>
      </x:c>
      <x:c r="J3371" s="6" t="n">
        <x:f>IF(OR(E3371="CANCELED",E3371="SUSPECTED_FRAUD",F3371="Shipping canceled"),0,1)</x:f>
        <x:v>1</x:v>
      </x:c>
      <x:c r="K3371" s="6" t="n">
        <x:f>IF(G3371&gt;H3371,1,0)</x:f>
        <x:v>1</x:v>
      </x:c>
      <x:c r="L3371" s="6" t="n">
        <x:f>J3371*K3371</x:f>
        <x:v>1</x:v>
      </x:c>
    </x:row>
    <x:row r="3372">
      <x:c r="A3372" s="1" t="n">
        <x:v>25400</x:v>
      </x:c>
      <x:c r="B3372" s="5" t="d">
        <x:v>2016-01-06T00:00:00.000Z</x:v>
      </x:c>
      <x:c r="C3372" s="1" t="str">
        <x:v>Standard Class</x:v>
      </x:c>
      <x:c r="D3372" s="1" t="str">
        <x:v>Pacific Asia</x:v>
      </x:c>
      <x:c r="E3372" s="1" t="str">
        <x:v>COMPLETE</x:v>
      </x:c>
      <x:c r="F3372" s="1" t="str">
        <x:v>Late delivery</x:v>
      </x:c>
      <x:c r="G3372" s="6" t="n">
        <x:v>6</x:v>
      </x:c>
      <x:c r="H3372" s="6" t="n">
        <x:v>4</x:v>
      </x:c>
      <x:c r="I3372" s="6" t="n">
        <x:f>G3372-H3372</x:f>
        <x:v>2</x:v>
      </x:c>
      <x:c r="J3372" s="6" t="n">
        <x:f>IF(OR(E3372="CANCELED",E3372="SUSPECTED_FRAUD",F3372="Shipping canceled"),0,1)</x:f>
        <x:v>1</x:v>
      </x:c>
      <x:c r="K3372" s="6" t="n">
        <x:f>IF(G3372&gt;H3372,1,0)</x:f>
        <x:v>1</x:v>
      </x:c>
      <x:c r="L3372" s="6" t="n">
        <x:f>J3372*K3372</x:f>
        <x:v>1</x:v>
      </x:c>
    </x:row>
    <x:row r="3373">
      <x:c r="A3373" s="1" t="n">
        <x:v>25401</x:v>
      </x:c>
      <x:c r="B3373" s="5" t="d">
        <x:v>2016-01-06T00:00:00.000Z</x:v>
      </x:c>
      <x:c r="C3373" s="1" t="str">
        <x:v>Standard Class</x:v>
      </x:c>
      <x:c r="D3373" s="1" t="str">
        <x:v>Pacific Asia</x:v>
      </x:c>
      <x:c r="E3373" s="1" t="str">
        <x:v>COMPLETE</x:v>
      </x:c>
      <x:c r="F3373" s="1" t="str">
        <x:v>Advance shipping</x:v>
      </x:c>
      <x:c r="G3373" s="6" t="n">
        <x:v>2</x:v>
      </x:c>
      <x:c r="H3373" s="6" t="n">
        <x:v>4</x:v>
      </x:c>
      <x:c r="I3373" s="6" t="n">
        <x:f>G3373-H3373</x:f>
        <x:v>-2</x:v>
      </x:c>
      <x:c r="J3373" s="6" t="n">
        <x:f>IF(OR(E3373="CANCELED",E3373="SUSPECTED_FRAUD",F3373="Shipping canceled"),0,1)</x:f>
        <x:v>1</x:v>
      </x:c>
      <x:c r="K3373" s="6" t="n">
        <x:f>IF(G3373&gt;H3373,1,0)</x:f>
        <x:v>0</x:v>
      </x:c>
      <x:c r="L3373" s="6" t="n">
        <x:f>J3373*K3373</x:f>
        <x:v>0</x:v>
      </x:c>
    </x:row>
    <x:row r="3374">
      <x:c r="A3374" s="1" t="n">
        <x:v>25408</x:v>
      </x:c>
      <x:c r="B3374" s="5" t="d">
        <x:v>2016-01-06T00:00:00.000Z</x:v>
      </x:c>
      <x:c r="C3374" s="1" t="str">
        <x:v>Standard Class</x:v>
      </x:c>
      <x:c r="D3374" s="1" t="str">
        <x:v>Pacific Asia</x:v>
      </x:c>
      <x:c r="E3374" s="1" t="str">
        <x:v>ON_HOLD</x:v>
      </x:c>
      <x:c r="F3374" s="1" t="str">
        <x:v>Shipping on time</x:v>
      </x:c>
      <x:c r="G3374" s="6" t="n">
        <x:v>4</x:v>
      </x:c>
      <x:c r="H3374" s="6" t="n">
        <x:v>4</x:v>
      </x:c>
      <x:c r="I3374" s="6" t="n">
        <x:f>G3374-H3374</x:f>
        <x:v>0</x:v>
      </x:c>
      <x:c r="J3374" s="6" t="n">
        <x:f>IF(OR(E3374="CANCELED",E3374="SUSPECTED_FRAUD",F3374="Shipping canceled"),0,1)</x:f>
        <x:v>1</x:v>
      </x:c>
      <x:c r="K3374" s="6" t="n">
        <x:f>IF(G3374&gt;H3374,1,0)</x:f>
        <x:v>0</x:v>
      </x:c>
      <x:c r="L3374" s="6" t="n">
        <x:f>J3374*K3374</x:f>
        <x:v>0</x:v>
      </x:c>
    </x:row>
    <x:row r="3375">
      <x:c r="A3375" s="1" t="n">
        <x:v>25412</x:v>
      </x:c>
      <x:c r="B3375" s="5" t="d">
        <x:v>2016-01-06T00:00:00.000Z</x:v>
      </x:c>
      <x:c r="C3375" s="1" t="str">
        <x:v>Standard Class</x:v>
      </x:c>
      <x:c r="D3375" s="1" t="str">
        <x:v>Pacific Asia</x:v>
      </x:c>
      <x:c r="E3375" s="1" t="str">
        <x:v>COMPLETE</x:v>
      </x:c>
      <x:c r="F3375" s="1" t="str">
        <x:v>Advance shipping</x:v>
      </x:c>
      <x:c r="G3375" s="6" t="n">
        <x:v>3</x:v>
      </x:c>
      <x:c r="H3375" s="6" t="n">
        <x:v>4</x:v>
      </x:c>
      <x:c r="I3375" s="6" t="n">
        <x:f>G3375-H3375</x:f>
        <x:v>-1</x:v>
      </x:c>
      <x:c r="J3375" s="6" t="n">
        <x:f>IF(OR(E3375="CANCELED",E3375="SUSPECTED_FRAUD",F3375="Shipping canceled"),0,1)</x:f>
        <x:v>1</x:v>
      </x:c>
      <x:c r="K3375" s="6" t="n">
        <x:f>IF(G3375&gt;H3375,1,0)</x:f>
        <x:v>0</x:v>
      </x:c>
      <x:c r="L3375" s="6" t="n">
        <x:f>J3375*K3375</x:f>
        <x:v>0</x:v>
      </x:c>
    </x:row>
    <x:row r="3376">
      <x:c r="A3376" s="1" t="n">
        <x:v>25416</x:v>
      </x:c>
      <x:c r="B3376" s="5" t="d">
        <x:v>2016-01-07T00:00:00.000Z</x:v>
      </x:c>
      <x:c r="C3376" s="1" t="str">
        <x:v>Standard Class</x:v>
      </x:c>
      <x:c r="D3376" s="1" t="str">
        <x:v>Pacific Asia</x:v>
      </x:c>
      <x:c r="E3376" s="1" t="str">
        <x:v>PENDING_PAYMENT</x:v>
      </x:c>
      <x:c r="F3376" s="1" t="str">
        <x:v>Advance shipping</x:v>
      </x:c>
      <x:c r="G3376" s="6" t="n">
        <x:v>2</x:v>
      </x:c>
      <x:c r="H3376" s="6" t="n">
        <x:v>4</x:v>
      </x:c>
      <x:c r="I3376" s="6" t="n">
        <x:f>G3376-H3376</x:f>
        <x:v>-2</x:v>
      </x:c>
      <x:c r="J3376" s="6" t="n">
        <x:f>IF(OR(E3376="CANCELED",E3376="SUSPECTED_FRAUD",F3376="Shipping canceled"),0,1)</x:f>
        <x:v>1</x:v>
      </x:c>
      <x:c r="K3376" s="6" t="n">
        <x:f>IF(G3376&gt;H3376,1,0)</x:f>
        <x:v>0</x:v>
      </x:c>
      <x:c r="L3376" s="6" t="n">
        <x:f>J3376*K3376</x:f>
        <x:v>0</x:v>
      </x:c>
    </x:row>
    <x:row r="3377">
      <x:c r="A3377" s="1" t="n">
        <x:v>25418</x:v>
      </x:c>
      <x:c r="B3377" s="5" t="d">
        <x:v>2016-01-07T00:00:00.000Z</x:v>
      </x:c>
      <x:c r="C3377" s="1" t="str">
        <x:v>Standard Class</x:v>
      </x:c>
      <x:c r="D3377" s="1" t="str">
        <x:v>Pacific Asia</x:v>
      </x:c>
      <x:c r="E3377" s="1" t="str">
        <x:v>PENDING</x:v>
      </x:c>
      <x:c r="F3377" s="1" t="str">
        <x:v>Shipping on time</x:v>
      </x:c>
      <x:c r="G3377" s="6" t="n">
        <x:v>4</x:v>
      </x:c>
      <x:c r="H3377" s="6" t="n">
        <x:v>4</x:v>
      </x:c>
      <x:c r="I3377" s="6" t="n">
        <x:f>G3377-H3377</x:f>
        <x:v>0</x:v>
      </x:c>
      <x:c r="J3377" s="6" t="n">
        <x:f>IF(OR(E3377="CANCELED",E3377="SUSPECTED_FRAUD",F3377="Shipping canceled"),0,1)</x:f>
        <x:v>1</x:v>
      </x:c>
      <x:c r="K3377" s="6" t="n">
        <x:f>IF(G3377&gt;H3377,1,0)</x:f>
        <x:v>0</x:v>
      </x:c>
      <x:c r="L3377" s="6" t="n">
        <x:f>J3377*K3377</x:f>
        <x:v>0</x:v>
      </x:c>
    </x:row>
    <x:row r="3378">
      <x:c r="A3378" s="1" t="n">
        <x:v>25423</x:v>
      </x:c>
      <x:c r="B3378" s="5" t="d">
        <x:v>2016-01-07T00:00:00.000Z</x:v>
      </x:c>
      <x:c r="C3378" s="1" t="str">
        <x:v>Standard Class</x:v>
      </x:c>
      <x:c r="D3378" s="1" t="str">
        <x:v>Pacific Asia</x:v>
      </x:c>
      <x:c r="E3378" s="1" t="str">
        <x:v>COMPLETE</x:v>
      </x:c>
      <x:c r="F3378" s="1" t="str">
        <x:v>Shipping on time</x:v>
      </x:c>
      <x:c r="G3378" s="6" t="n">
        <x:v>4</x:v>
      </x:c>
      <x:c r="H3378" s="6" t="n">
        <x:v>4</x:v>
      </x:c>
      <x:c r="I3378" s="6" t="n">
        <x:f>G3378-H3378</x:f>
        <x:v>0</x:v>
      </x:c>
      <x:c r="J3378" s="6" t="n">
        <x:f>IF(OR(E3378="CANCELED",E3378="SUSPECTED_FRAUD",F3378="Shipping canceled"),0,1)</x:f>
        <x:v>1</x:v>
      </x:c>
      <x:c r="K3378" s="6" t="n">
        <x:f>IF(G3378&gt;H3378,1,0)</x:f>
        <x:v>0</x:v>
      </x:c>
      <x:c r="L3378" s="6" t="n">
        <x:f>J3378*K3378</x:f>
        <x:v>0</x:v>
      </x:c>
    </x:row>
    <x:row r="3379">
      <x:c r="A3379" s="1" t="n">
        <x:v>25432</x:v>
      </x:c>
      <x:c r="B3379" s="5" t="d">
        <x:v>2016-01-07T00:00:00.000Z</x:v>
      </x:c>
      <x:c r="C3379" s="1" t="str">
        <x:v>Standard Class</x:v>
      </x:c>
      <x:c r="D3379" s="1" t="str">
        <x:v>Pacific Asia</x:v>
      </x:c>
      <x:c r="E3379" s="1" t="str">
        <x:v>COMPLETE</x:v>
      </x:c>
      <x:c r="F3379" s="1" t="str">
        <x:v>Advance shipping</x:v>
      </x:c>
      <x:c r="G3379" s="6" t="n">
        <x:v>3</x:v>
      </x:c>
      <x:c r="H3379" s="6" t="n">
        <x:v>4</x:v>
      </x:c>
      <x:c r="I3379" s="6" t="n">
        <x:f>G3379-H3379</x:f>
        <x:v>-1</x:v>
      </x:c>
      <x:c r="J3379" s="6" t="n">
        <x:f>IF(OR(E3379="CANCELED",E3379="SUSPECTED_FRAUD",F3379="Shipping canceled"),0,1)</x:f>
        <x:v>1</x:v>
      </x:c>
      <x:c r="K3379" s="6" t="n">
        <x:f>IF(G3379&gt;H3379,1,0)</x:f>
        <x:v>0</x:v>
      </x:c>
      <x:c r="L3379" s="6" t="n">
        <x:f>J3379*K3379</x:f>
        <x:v>0</x:v>
      </x:c>
    </x:row>
    <x:row r="3380">
      <x:c r="A3380" s="1" t="n">
        <x:v>25433</x:v>
      </x:c>
      <x:c r="B3380" s="5" t="d">
        <x:v>2016-01-07T00:00:00.000Z</x:v>
      </x:c>
      <x:c r="C3380" s="1" t="str">
        <x:v>Standard Class</x:v>
      </x:c>
      <x:c r="D3380" s="1" t="str">
        <x:v>Pacific Asia</x:v>
      </x:c>
      <x:c r="E3380" s="1" t="str">
        <x:v>COMPLETE</x:v>
      </x:c>
      <x:c r="F3380" s="1" t="str">
        <x:v>Shipping on time</x:v>
      </x:c>
      <x:c r="G3380" s="6" t="n">
        <x:v>4</x:v>
      </x:c>
      <x:c r="H3380" s="6" t="n">
        <x:v>4</x:v>
      </x:c>
      <x:c r="I3380" s="6" t="n">
        <x:f>G3380-H3380</x:f>
        <x:v>0</x:v>
      </x:c>
      <x:c r="J3380" s="6" t="n">
        <x:f>IF(OR(E3380="CANCELED",E3380="SUSPECTED_FRAUD",F3380="Shipping canceled"),0,1)</x:f>
        <x:v>1</x:v>
      </x:c>
      <x:c r="K3380" s="6" t="n">
        <x:f>IF(G3380&gt;H3380,1,0)</x:f>
        <x:v>0</x:v>
      </x:c>
      <x:c r="L3380" s="6" t="n">
        <x:f>J3380*K3380</x:f>
        <x:v>0</x:v>
      </x:c>
    </x:row>
    <x:row r="3381">
      <x:c r="A3381" s="1" t="n">
        <x:v>25438</x:v>
      </x:c>
      <x:c r="B3381" s="5" t="d">
        <x:v>2016-01-07T00:00:00.000Z</x:v>
      </x:c>
      <x:c r="C3381" s="1" t="str">
        <x:v>Standard Class</x:v>
      </x:c>
      <x:c r="D3381" s="1" t="str">
        <x:v>Pacific Asia</x:v>
      </x:c>
      <x:c r="E3381" s="1" t="str">
        <x:v>COMPLETE</x:v>
      </x:c>
      <x:c r="F3381" s="1" t="str">
        <x:v>Shipping on time</x:v>
      </x:c>
      <x:c r="G3381" s="6" t="n">
        <x:v>4</x:v>
      </x:c>
      <x:c r="H3381" s="6" t="n">
        <x:v>4</x:v>
      </x:c>
      <x:c r="I3381" s="6" t="n">
        <x:f>G3381-H3381</x:f>
        <x:v>0</x:v>
      </x:c>
      <x:c r="J3381" s="6" t="n">
        <x:f>IF(OR(E3381="CANCELED",E3381="SUSPECTED_FRAUD",F3381="Shipping canceled"),0,1)</x:f>
        <x:v>1</x:v>
      </x:c>
      <x:c r="K3381" s="6" t="n">
        <x:f>IF(G3381&gt;H3381,1,0)</x:f>
        <x:v>0</x:v>
      </x:c>
      <x:c r="L3381" s="6" t="n">
        <x:f>J3381*K3381</x:f>
        <x:v>0</x:v>
      </x:c>
    </x:row>
    <x:row r="3382">
      <x:c r="A3382" s="1" t="n">
        <x:v>25443</x:v>
      </x:c>
      <x:c r="B3382" s="5" t="d">
        <x:v>2016-01-07T00:00:00.000Z</x:v>
      </x:c>
      <x:c r="C3382" s="1" t="str">
        <x:v>Standard Class</x:v>
      </x:c>
      <x:c r="D3382" s="1" t="str">
        <x:v>Pacific Asia</x:v>
      </x:c>
      <x:c r="E3382" s="1" t="str">
        <x:v>CANCELED</x:v>
      </x:c>
      <x:c r="F3382" s="1" t="str">
        <x:v>Shipping canceled</x:v>
      </x:c>
      <x:c r="G3382" s="6" t="n">
        <x:v>4</x:v>
      </x:c>
      <x:c r="H3382" s="6" t="n">
        <x:v>4</x:v>
      </x:c>
      <x:c r="I3382" s="6" t="n">
        <x:f>G3382-H3382</x:f>
        <x:v>0</x:v>
      </x:c>
      <x:c r="J3382" s="6" t="n">
        <x:f>IF(OR(E3382="CANCELED",E3382="SUSPECTED_FRAUD",F3382="Shipping canceled"),0,1)</x:f>
        <x:v>0</x:v>
      </x:c>
      <x:c r="K3382" s="6" t="n">
        <x:f>IF(G3382&gt;H3382,1,0)</x:f>
        <x:v>0</x:v>
      </x:c>
      <x:c r="L3382" s="6" t="n">
        <x:f>J3382*K3382</x:f>
        <x:v>0</x:v>
      </x:c>
    </x:row>
    <x:row r="3383">
      <x:c r="A3383" s="1" t="n">
        <x:v>25464</x:v>
      </x:c>
      <x:c r="B3383" s="5" t="d">
        <x:v>2016-01-07T00:00:00.000Z</x:v>
      </x:c>
      <x:c r="C3383" s="1" t="str">
        <x:v>Standard Class</x:v>
      </x:c>
      <x:c r="D3383" s="1" t="str">
        <x:v>Pacific Asia</x:v>
      </x:c>
      <x:c r="E3383" s="1" t="str">
        <x:v>CLOSED</x:v>
      </x:c>
      <x:c r="F3383" s="1" t="str">
        <x:v>Late delivery</x:v>
      </x:c>
      <x:c r="G3383" s="6" t="n">
        <x:v>5</x:v>
      </x:c>
      <x:c r="H3383" s="6" t="n">
        <x:v>4</x:v>
      </x:c>
      <x:c r="I3383" s="6" t="n">
        <x:f>G3383-H3383</x:f>
        <x:v>1</x:v>
      </x:c>
      <x:c r="J3383" s="6" t="n">
        <x:f>IF(OR(E3383="CANCELED",E3383="SUSPECTED_FRAUD",F3383="Shipping canceled"),0,1)</x:f>
        <x:v>1</x:v>
      </x:c>
      <x:c r="K3383" s="6" t="n">
        <x:f>IF(G3383&gt;H3383,1,0)</x:f>
        <x:v>1</x:v>
      </x:c>
      <x:c r="L3383" s="6" t="n">
        <x:f>J3383*K3383</x:f>
        <x:v>1</x:v>
      </x:c>
    </x:row>
    <x:row r="3384">
      <x:c r="A3384" s="1" t="n">
        <x:v>25482</x:v>
      </x:c>
      <x:c r="B3384" s="5" t="d">
        <x:v>2016-01-07T00:00:00.000Z</x:v>
      </x:c>
      <x:c r="C3384" s="1" t="str">
        <x:v>Standard Class</x:v>
      </x:c>
      <x:c r="D3384" s="1" t="str">
        <x:v>Pacific Asia</x:v>
      </x:c>
      <x:c r="E3384" s="1" t="str">
        <x:v>PROCESSING</x:v>
      </x:c>
      <x:c r="F3384" s="1" t="str">
        <x:v>Advance shipping</x:v>
      </x:c>
      <x:c r="G3384" s="6" t="n">
        <x:v>3</x:v>
      </x:c>
      <x:c r="H3384" s="6" t="n">
        <x:v>4</x:v>
      </x:c>
      <x:c r="I3384" s="6" t="n">
        <x:f>G3384-H3384</x:f>
        <x:v>-1</x:v>
      </x:c>
      <x:c r="J3384" s="6" t="n">
        <x:f>IF(OR(E3384="CANCELED",E3384="SUSPECTED_FRAUD",F3384="Shipping canceled"),0,1)</x:f>
        <x:v>1</x:v>
      </x:c>
      <x:c r="K3384" s="6" t="n">
        <x:f>IF(G3384&gt;H3384,1,0)</x:f>
        <x:v>0</x:v>
      </x:c>
      <x:c r="L3384" s="6" t="n">
        <x:f>J3384*K3384</x:f>
        <x:v>0</x:v>
      </x:c>
    </x:row>
    <x:row r="3385">
      <x:c r="A3385" s="1" t="n">
        <x:v>25501</x:v>
      </x:c>
      <x:c r="B3385" s="5" t="d">
        <x:v>2016-01-08T00:00:00.000Z</x:v>
      </x:c>
      <x:c r="C3385" s="1" t="str">
        <x:v>Standard Class</x:v>
      </x:c>
      <x:c r="D3385" s="1" t="str">
        <x:v>Pacific Asia</x:v>
      </x:c>
      <x:c r="E3385" s="1" t="str">
        <x:v>COMPLETE</x:v>
      </x:c>
      <x:c r="F3385" s="1" t="str">
        <x:v>Advance shipping</x:v>
      </x:c>
      <x:c r="G3385" s="6" t="n">
        <x:v>2</x:v>
      </x:c>
      <x:c r="H3385" s="6" t="n">
        <x:v>4</x:v>
      </x:c>
      <x:c r="I3385" s="6" t="n">
        <x:f>G3385-H3385</x:f>
        <x:v>-2</x:v>
      </x:c>
      <x:c r="J3385" s="6" t="n">
        <x:f>IF(OR(E3385="CANCELED",E3385="SUSPECTED_FRAUD",F3385="Shipping canceled"),0,1)</x:f>
        <x:v>1</x:v>
      </x:c>
      <x:c r="K3385" s="6" t="n">
        <x:f>IF(G3385&gt;H3385,1,0)</x:f>
        <x:v>0</x:v>
      </x:c>
      <x:c r="L3385" s="6" t="n">
        <x:f>J3385*K3385</x:f>
        <x:v>0</x:v>
      </x:c>
    </x:row>
    <x:row r="3386">
      <x:c r="A3386" s="1" t="n">
        <x:v>25504</x:v>
      </x:c>
      <x:c r="B3386" s="5" t="d">
        <x:v>2016-01-08T00:00:00.000Z</x:v>
      </x:c>
      <x:c r="C3386" s="1" t="str">
        <x:v>Standard Class</x:v>
      </x:c>
      <x:c r="D3386" s="1" t="str">
        <x:v>Pacific Asia</x:v>
      </x:c>
      <x:c r="E3386" s="1" t="str">
        <x:v>ON_HOLD</x:v>
      </x:c>
      <x:c r="F3386" s="1" t="str">
        <x:v>Late delivery</x:v>
      </x:c>
      <x:c r="G3386" s="6" t="n">
        <x:v>5</x:v>
      </x:c>
      <x:c r="H3386" s="6" t="n">
        <x:v>4</x:v>
      </x:c>
      <x:c r="I3386" s="6" t="n">
        <x:f>G3386-H3386</x:f>
        <x:v>1</x:v>
      </x:c>
      <x:c r="J3386" s="6" t="n">
        <x:f>IF(OR(E3386="CANCELED",E3386="SUSPECTED_FRAUD",F3386="Shipping canceled"),0,1)</x:f>
        <x:v>1</x:v>
      </x:c>
      <x:c r="K3386" s="6" t="n">
        <x:f>IF(G3386&gt;H3386,1,0)</x:f>
        <x:v>1</x:v>
      </x:c>
      <x:c r="L3386" s="6" t="n">
        <x:f>J3386*K3386</x:f>
        <x:v>1</x:v>
      </x:c>
    </x:row>
    <x:row r="3387">
      <x:c r="A3387" s="1" t="n">
        <x:v>25506</x:v>
      </x:c>
      <x:c r="B3387" s="5" t="d">
        <x:v>2016-01-08T00:00:00.000Z</x:v>
      </x:c>
      <x:c r="C3387" s="1" t="str">
        <x:v>Standard Class</x:v>
      </x:c>
      <x:c r="D3387" s="1" t="str">
        <x:v>Pacific Asia</x:v>
      </x:c>
      <x:c r="E3387" s="1" t="str">
        <x:v>COMPLETE</x:v>
      </x:c>
      <x:c r="F3387" s="1" t="str">
        <x:v>Advance shipping</x:v>
      </x:c>
      <x:c r="G3387" s="6" t="n">
        <x:v>2</x:v>
      </x:c>
      <x:c r="H3387" s="6" t="n">
        <x:v>4</x:v>
      </x:c>
      <x:c r="I3387" s="6" t="n">
        <x:f>G3387-H3387</x:f>
        <x:v>-2</x:v>
      </x:c>
      <x:c r="J3387" s="6" t="n">
        <x:f>IF(OR(E3387="CANCELED",E3387="SUSPECTED_FRAUD",F3387="Shipping canceled"),0,1)</x:f>
        <x:v>1</x:v>
      </x:c>
      <x:c r="K3387" s="6" t="n">
        <x:f>IF(G3387&gt;H3387,1,0)</x:f>
        <x:v>0</x:v>
      </x:c>
      <x:c r="L3387" s="6" t="n">
        <x:f>J3387*K3387</x:f>
        <x:v>0</x:v>
      </x:c>
    </x:row>
    <x:row r="3388">
      <x:c r="A3388" s="1" t="n">
        <x:v>25514</x:v>
      </x:c>
      <x:c r="B3388" s="5" t="d">
        <x:v>2016-01-08T00:00:00.000Z</x:v>
      </x:c>
      <x:c r="C3388" s="1" t="str">
        <x:v>Standard Class</x:v>
      </x:c>
      <x:c r="D3388" s="1" t="str">
        <x:v>Pacific Asia</x:v>
      </x:c>
      <x:c r="E3388" s="1" t="str">
        <x:v>PENDING</x:v>
      </x:c>
      <x:c r="F3388" s="1" t="str">
        <x:v>Late delivery</x:v>
      </x:c>
      <x:c r="G3388" s="6" t="n">
        <x:v>5</x:v>
      </x:c>
      <x:c r="H3388" s="6" t="n">
        <x:v>4</x:v>
      </x:c>
      <x:c r="I3388" s="6" t="n">
        <x:f>G3388-H3388</x:f>
        <x:v>1</x:v>
      </x:c>
      <x:c r="J3388" s="6" t="n">
        <x:f>IF(OR(E3388="CANCELED",E3388="SUSPECTED_FRAUD",F3388="Shipping canceled"),0,1)</x:f>
        <x:v>1</x:v>
      </x:c>
      <x:c r="K3388" s="6" t="n">
        <x:f>IF(G3388&gt;H3388,1,0)</x:f>
        <x:v>1</x:v>
      </x:c>
      <x:c r="L3388" s="6" t="n">
        <x:f>J3388*K3388</x:f>
        <x:v>1</x:v>
      </x:c>
    </x:row>
    <x:row r="3389">
      <x:c r="A3389" s="1" t="n">
        <x:v>25528</x:v>
      </x:c>
      <x:c r="B3389" s="5" t="d">
        <x:v>2016-01-08T00:00:00.000Z</x:v>
      </x:c>
      <x:c r="C3389" s="1" t="str">
        <x:v>Standard Class</x:v>
      </x:c>
      <x:c r="D3389" s="1" t="str">
        <x:v>Pacific Asia</x:v>
      </x:c>
      <x:c r="E3389" s="1" t="str">
        <x:v>PENDING_PAYMENT</x:v>
      </x:c>
      <x:c r="F3389" s="1" t="str">
        <x:v>Shipping on time</x:v>
      </x:c>
      <x:c r="G3389" s="6" t="n">
        <x:v>4</x:v>
      </x:c>
      <x:c r="H3389" s="6" t="n">
        <x:v>4</x:v>
      </x:c>
      <x:c r="I3389" s="6" t="n">
        <x:f>G3389-H3389</x:f>
        <x:v>0</x:v>
      </x:c>
      <x:c r="J3389" s="6" t="n">
        <x:f>IF(OR(E3389="CANCELED",E3389="SUSPECTED_FRAUD",F3389="Shipping canceled"),0,1)</x:f>
        <x:v>1</x:v>
      </x:c>
      <x:c r="K3389" s="6" t="n">
        <x:f>IF(G3389&gt;H3389,1,0)</x:f>
        <x:v>0</x:v>
      </x:c>
      <x:c r="L3389" s="6" t="n">
        <x:f>J3389*K3389</x:f>
        <x:v>0</x:v>
      </x:c>
    </x:row>
    <x:row r="3390">
      <x:c r="A3390" s="1" t="n">
        <x:v>25551</x:v>
      </x:c>
      <x:c r="B3390" s="5" t="d">
        <x:v>2016-01-08T00:00:00.000Z</x:v>
      </x:c>
      <x:c r="C3390" s="1" t="str">
        <x:v>Standard Class</x:v>
      </x:c>
      <x:c r="D3390" s="1" t="str">
        <x:v>Pacific Asia</x:v>
      </x:c>
      <x:c r="E3390" s="1" t="str">
        <x:v>COMPLETE</x:v>
      </x:c>
      <x:c r="F3390" s="1" t="str">
        <x:v>Advance shipping</x:v>
      </x:c>
      <x:c r="G3390" s="6" t="n">
        <x:v>2</x:v>
      </x:c>
      <x:c r="H3390" s="6" t="n">
        <x:v>4</x:v>
      </x:c>
      <x:c r="I3390" s="6" t="n">
        <x:f>G3390-H3390</x:f>
        <x:v>-2</x:v>
      </x:c>
      <x:c r="J3390" s="6" t="n">
        <x:f>IF(OR(E3390="CANCELED",E3390="SUSPECTED_FRAUD",F3390="Shipping canceled"),0,1)</x:f>
        <x:v>1</x:v>
      </x:c>
      <x:c r="K3390" s="6" t="n">
        <x:f>IF(G3390&gt;H3390,1,0)</x:f>
        <x:v>0</x:v>
      </x:c>
      <x:c r="L3390" s="6" t="n">
        <x:f>J3390*K3390</x:f>
        <x:v>0</x:v>
      </x:c>
    </x:row>
    <x:row r="3391">
      <x:c r="A3391" s="1" t="n">
        <x:v>25552</x:v>
      </x:c>
      <x:c r="B3391" s="5" t="d">
        <x:v>2016-01-08T00:00:00.000Z</x:v>
      </x:c>
      <x:c r="C3391" s="1" t="str">
        <x:v>Standard Class</x:v>
      </x:c>
      <x:c r="D3391" s="1" t="str">
        <x:v>Pacific Asia</x:v>
      </x:c>
      <x:c r="E3391" s="1" t="str">
        <x:v>COMPLETE</x:v>
      </x:c>
      <x:c r="F3391" s="1" t="str">
        <x:v>Advance shipping</x:v>
      </x:c>
      <x:c r="G3391" s="6" t="n">
        <x:v>3</x:v>
      </x:c>
      <x:c r="H3391" s="6" t="n">
        <x:v>4</x:v>
      </x:c>
      <x:c r="I3391" s="6" t="n">
        <x:f>G3391-H3391</x:f>
        <x:v>-1</x:v>
      </x:c>
      <x:c r="J3391" s="6" t="n">
        <x:f>IF(OR(E3391="CANCELED",E3391="SUSPECTED_FRAUD",F3391="Shipping canceled"),0,1)</x:f>
        <x:v>1</x:v>
      </x:c>
      <x:c r="K3391" s="6" t="n">
        <x:f>IF(G3391&gt;H3391,1,0)</x:f>
        <x:v>0</x:v>
      </x:c>
      <x:c r="L3391" s="6" t="n">
        <x:f>J3391*K3391</x:f>
        <x:v>0</x:v>
      </x:c>
    </x:row>
    <x:row r="3392">
      <x:c r="A3392" s="1" t="n">
        <x:v>25558</x:v>
      </x:c>
      <x:c r="B3392" s="5" t="d">
        <x:v>2016-01-09T00:00:00.000Z</x:v>
      </x:c>
      <x:c r="C3392" s="1" t="str">
        <x:v>First Class</x:v>
      </x:c>
      <x:c r="D3392" s="1" t="str">
        <x:v>Pacific Asia</x:v>
      </x:c>
      <x:c r="E3392" s="1" t="str">
        <x:v>CLOSED</x:v>
      </x:c>
      <x:c r="F3392" s="1" t="str">
        <x:v>Late delivery</x:v>
      </x:c>
      <x:c r="G3392" s="6" t="n">
        <x:v>2</x:v>
      </x:c>
      <x:c r="H3392" s="6" t="n">
        <x:v>1</x:v>
      </x:c>
      <x:c r="I3392" s="6" t="n">
        <x:f>G3392-H3392</x:f>
        <x:v>1</x:v>
      </x:c>
      <x:c r="J3392" s="6" t="n">
        <x:f>IF(OR(E3392="CANCELED",E3392="SUSPECTED_FRAUD",F3392="Shipping canceled"),0,1)</x:f>
        <x:v>1</x:v>
      </x:c>
      <x:c r="K3392" s="6" t="n">
        <x:f>IF(G3392&gt;H3392,1,0)</x:f>
        <x:v>1</x:v>
      </x:c>
      <x:c r="L3392" s="6" t="n">
        <x:f>J3392*K3392</x:f>
        <x:v>1</x:v>
      </x:c>
    </x:row>
    <x:row r="3393">
      <x:c r="A3393" s="1" t="n">
        <x:v>25585</x:v>
      </x:c>
      <x:c r="B3393" s="5" t="d">
        <x:v>2016-01-09T00:00:00.000Z</x:v>
      </x:c>
      <x:c r="C3393" s="1" t="str">
        <x:v>Standard Class</x:v>
      </x:c>
      <x:c r="D3393" s="1" t="str">
        <x:v>Pacific Asia</x:v>
      </x:c>
      <x:c r="E3393" s="1" t="str">
        <x:v>COMPLETE</x:v>
      </x:c>
      <x:c r="F3393" s="1" t="str">
        <x:v>Late delivery</x:v>
      </x:c>
      <x:c r="G3393" s="6" t="n">
        <x:v>6</x:v>
      </x:c>
      <x:c r="H3393" s="6" t="n">
        <x:v>4</x:v>
      </x:c>
      <x:c r="I3393" s="6" t="n">
        <x:f>G3393-H3393</x:f>
        <x:v>2</x:v>
      </x:c>
      <x:c r="J3393" s="6" t="n">
        <x:f>IF(OR(E3393="CANCELED",E3393="SUSPECTED_FRAUD",F3393="Shipping canceled"),0,1)</x:f>
        <x:v>1</x:v>
      </x:c>
      <x:c r="K3393" s="6" t="n">
        <x:f>IF(G3393&gt;H3393,1,0)</x:f>
        <x:v>1</x:v>
      </x:c>
      <x:c r="L3393" s="6" t="n">
        <x:f>J3393*K3393</x:f>
        <x:v>1</x:v>
      </x:c>
    </x:row>
    <x:row r="3394">
      <x:c r="A3394" s="1" t="n">
        <x:v>25591</x:v>
      </x:c>
      <x:c r="B3394" s="5" t="d">
        <x:v>2016-01-09T00:00:00.000Z</x:v>
      </x:c>
      <x:c r="C3394" s="1" t="str">
        <x:v>First Class</x:v>
      </x:c>
      <x:c r="D3394" s="1" t="str">
        <x:v>Pacific Asia</x:v>
      </x:c>
      <x:c r="E3394" s="1" t="str">
        <x:v>CLOSED</x:v>
      </x:c>
      <x:c r="F3394" s="1" t="str">
        <x:v>Late delivery</x:v>
      </x:c>
      <x:c r="G3394" s="6" t="n">
        <x:v>2</x:v>
      </x:c>
      <x:c r="H3394" s="6" t="n">
        <x:v>1</x:v>
      </x:c>
      <x:c r="I3394" s="6" t="n">
        <x:f>G3394-H3394</x:f>
        <x:v>1</x:v>
      </x:c>
      <x:c r="J3394" s="6" t="n">
        <x:f>IF(OR(E3394="CANCELED",E3394="SUSPECTED_FRAUD",F3394="Shipping canceled"),0,1)</x:f>
        <x:v>1</x:v>
      </x:c>
      <x:c r="K3394" s="6" t="n">
        <x:f>IF(G3394&gt;H3394,1,0)</x:f>
        <x:v>1</x:v>
      </x:c>
      <x:c r="L3394" s="6" t="n">
        <x:f>J3394*K3394</x:f>
        <x:v>1</x:v>
      </x:c>
    </x:row>
    <x:row r="3395">
      <x:c r="A3395" s="1" t="n">
        <x:v>25593</x:v>
      </x:c>
      <x:c r="B3395" s="5" t="d">
        <x:v>2016-01-09T00:00:00.000Z</x:v>
      </x:c>
      <x:c r="C3395" s="1" t="str">
        <x:v>Second Class</x:v>
      </x:c>
      <x:c r="D3395" s="1" t="str">
        <x:v>Pacific Asia</x:v>
      </x:c>
      <x:c r="E3395" s="1" t="str">
        <x:v>COMPLETE</x:v>
      </x:c>
      <x:c r="F3395" s="1" t="str">
        <x:v>Late delivery</x:v>
      </x:c>
      <x:c r="G3395" s="6" t="n">
        <x:v>4</x:v>
      </x:c>
      <x:c r="H3395" s="6" t="n">
        <x:v>2</x:v>
      </x:c>
      <x:c r="I3395" s="6" t="n">
        <x:f>G3395-H3395</x:f>
        <x:v>2</x:v>
      </x:c>
      <x:c r="J3395" s="6" t="n">
        <x:f>IF(OR(E3395="CANCELED",E3395="SUSPECTED_FRAUD",F3395="Shipping canceled"),0,1)</x:f>
        <x:v>1</x:v>
      </x:c>
      <x:c r="K3395" s="6" t="n">
        <x:f>IF(G3395&gt;H3395,1,0)</x:f>
        <x:v>1</x:v>
      </x:c>
      <x:c r="L3395" s="6" t="n">
        <x:f>J3395*K3395</x:f>
        <x:v>1</x:v>
      </x:c>
    </x:row>
    <x:row r="3396">
      <x:c r="A3396" s="1" t="n">
        <x:v>25597</x:v>
      </x:c>
      <x:c r="B3396" s="5" t="d">
        <x:v>2016-01-09T00:00:00.000Z</x:v>
      </x:c>
      <x:c r="C3396" s="1" t="str">
        <x:v>Standard Class</x:v>
      </x:c>
      <x:c r="D3396" s="1" t="str">
        <x:v>Pacific Asia</x:v>
      </x:c>
      <x:c r="E3396" s="1" t="str">
        <x:v>ON_HOLD</x:v>
      </x:c>
      <x:c r="F3396" s="1" t="str">
        <x:v>Advance shipping</x:v>
      </x:c>
      <x:c r="G3396" s="6" t="n">
        <x:v>3</x:v>
      </x:c>
      <x:c r="H3396" s="6" t="n">
        <x:v>4</x:v>
      </x:c>
      <x:c r="I3396" s="6" t="n">
        <x:f>G3396-H3396</x:f>
        <x:v>-1</x:v>
      </x:c>
      <x:c r="J3396" s="6" t="n">
        <x:f>IF(OR(E3396="CANCELED",E3396="SUSPECTED_FRAUD",F3396="Shipping canceled"),0,1)</x:f>
        <x:v>1</x:v>
      </x:c>
      <x:c r="K3396" s="6" t="n">
        <x:f>IF(G3396&gt;H3396,1,0)</x:f>
        <x:v>0</x:v>
      </x:c>
      <x:c r="L3396" s="6" t="n">
        <x:f>J3396*K3396</x:f>
        <x:v>0</x:v>
      </x:c>
    </x:row>
    <x:row r="3397">
      <x:c r="A3397" s="1" t="n">
        <x:v>25606</x:v>
      </x:c>
      <x:c r="B3397" s="5" t="d">
        <x:v>2016-01-09T00:00:00.000Z</x:v>
      </x:c>
      <x:c r="C3397" s="1" t="str">
        <x:v>Standard Class</x:v>
      </x:c>
      <x:c r="D3397" s="1" t="str">
        <x:v>Pacific Asia</x:v>
      </x:c>
      <x:c r="E3397" s="1" t="str">
        <x:v>PROCESSING</x:v>
      </x:c>
      <x:c r="F3397" s="1" t="str">
        <x:v>Advance shipping</x:v>
      </x:c>
      <x:c r="G3397" s="6" t="n">
        <x:v>2</x:v>
      </x:c>
      <x:c r="H3397" s="6" t="n">
        <x:v>4</x:v>
      </x:c>
      <x:c r="I3397" s="6" t="n">
        <x:f>G3397-H3397</x:f>
        <x:v>-2</x:v>
      </x:c>
      <x:c r="J3397" s="6" t="n">
        <x:f>IF(OR(E3397="CANCELED",E3397="SUSPECTED_FRAUD",F3397="Shipping canceled"),0,1)</x:f>
        <x:v>1</x:v>
      </x:c>
      <x:c r="K3397" s="6" t="n">
        <x:f>IF(G3397&gt;H3397,1,0)</x:f>
        <x:v>0</x:v>
      </x:c>
      <x:c r="L3397" s="6" t="n">
        <x:f>J3397*K3397</x:f>
        <x:v>0</x:v>
      </x:c>
    </x:row>
    <x:row r="3398">
      <x:c r="A3398" s="1" t="n">
        <x:v>25615</x:v>
      </x:c>
      <x:c r="B3398" s="5" t="d">
        <x:v>2016-01-09T00:00:00.000Z</x:v>
      </x:c>
      <x:c r="C3398" s="1" t="str">
        <x:v>Standard Class</x:v>
      </x:c>
      <x:c r="D3398" s="1" t="str">
        <x:v>Pacific Asia</x:v>
      </x:c>
      <x:c r="E3398" s="1" t="str">
        <x:v>PROCESSING</x:v>
      </x:c>
      <x:c r="F3398" s="1" t="str">
        <x:v>Late delivery</x:v>
      </x:c>
      <x:c r="G3398" s="6" t="n">
        <x:v>6</x:v>
      </x:c>
      <x:c r="H3398" s="6" t="n">
        <x:v>4</x:v>
      </x:c>
      <x:c r="I3398" s="6" t="n">
        <x:f>G3398-H3398</x:f>
        <x:v>2</x:v>
      </x:c>
      <x:c r="J3398" s="6" t="n">
        <x:f>IF(OR(E3398="CANCELED",E3398="SUSPECTED_FRAUD",F3398="Shipping canceled"),0,1)</x:f>
        <x:v>1</x:v>
      </x:c>
      <x:c r="K3398" s="6" t="n">
        <x:f>IF(G3398&gt;H3398,1,0)</x:f>
        <x:v>1</x:v>
      </x:c>
      <x:c r="L3398" s="6" t="n">
        <x:f>J3398*K3398</x:f>
        <x:v>1</x:v>
      </x:c>
    </x:row>
    <x:row r="3399">
      <x:c r="A3399" s="1" t="n">
        <x:v>25618</x:v>
      </x:c>
      <x:c r="B3399" s="5" t="d">
        <x:v>2016-01-09T00:00:00.000Z</x:v>
      </x:c>
      <x:c r="C3399" s="1" t="str">
        <x:v>First Class</x:v>
      </x:c>
      <x:c r="D3399" s="1" t="str">
        <x:v>Pacific Asia</x:v>
      </x:c>
      <x:c r="E3399" s="1" t="str">
        <x:v>PROCESSING</x:v>
      </x:c>
      <x:c r="F3399" s="1" t="str">
        <x:v>Late delivery</x:v>
      </x:c>
      <x:c r="G3399" s="6" t="n">
        <x:v>2</x:v>
      </x:c>
      <x:c r="H3399" s="6" t="n">
        <x:v>1</x:v>
      </x:c>
      <x:c r="I3399" s="6" t="n">
        <x:f>G3399-H3399</x:f>
        <x:v>1</x:v>
      </x:c>
      <x:c r="J3399" s="6" t="n">
        <x:f>IF(OR(E3399="CANCELED",E3399="SUSPECTED_FRAUD",F3399="Shipping canceled"),0,1)</x:f>
        <x:v>1</x:v>
      </x:c>
      <x:c r="K3399" s="6" t="n">
        <x:f>IF(G3399&gt;H3399,1,0)</x:f>
        <x:v>1</x:v>
      </x:c>
      <x:c r="L3399" s="6" t="n">
        <x:f>J3399*K3399</x:f>
        <x:v>1</x:v>
      </x:c>
    </x:row>
    <x:row r="3400">
      <x:c r="A3400" s="1" t="n">
        <x:v>25624</x:v>
      </x:c>
      <x:c r="B3400" s="5" t="d">
        <x:v>2016-01-10T00:00:00.000Z</x:v>
      </x:c>
      <x:c r="C3400" s="1" t="str">
        <x:v>Standard Class</x:v>
      </x:c>
      <x:c r="D3400" s="1" t="str">
        <x:v>Pacific Asia</x:v>
      </x:c>
      <x:c r="E3400" s="1" t="str">
        <x:v>COMPLETE</x:v>
      </x:c>
      <x:c r="F3400" s="1" t="str">
        <x:v>Late delivery</x:v>
      </x:c>
      <x:c r="G3400" s="6" t="n">
        <x:v>5</x:v>
      </x:c>
      <x:c r="H3400" s="6" t="n">
        <x:v>4</x:v>
      </x:c>
      <x:c r="I3400" s="6" t="n">
        <x:f>G3400-H3400</x:f>
        <x:v>1</x:v>
      </x:c>
      <x:c r="J3400" s="6" t="n">
        <x:f>IF(OR(E3400="CANCELED",E3400="SUSPECTED_FRAUD",F3400="Shipping canceled"),0,1)</x:f>
        <x:v>1</x:v>
      </x:c>
      <x:c r="K3400" s="6" t="n">
        <x:f>IF(G3400&gt;H3400,1,0)</x:f>
        <x:v>1</x:v>
      </x:c>
      <x:c r="L3400" s="6" t="n">
        <x:f>J3400*K3400</x:f>
        <x:v>1</x:v>
      </x:c>
    </x:row>
    <x:row r="3401">
      <x:c r="A3401" s="1" t="n">
        <x:v>25635</x:v>
      </x:c>
      <x:c r="B3401" s="5" t="d">
        <x:v>2016-01-10T00:00:00.000Z</x:v>
      </x:c>
      <x:c r="C3401" s="1" t="str">
        <x:v>Second Class</x:v>
      </x:c>
      <x:c r="D3401" s="1" t="str">
        <x:v>Pacific Asia</x:v>
      </x:c>
      <x:c r="E3401" s="1" t="str">
        <x:v>CLOSED</x:v>
      </x:c>
      <x:c r="F3401" s="1" t="str">
        <x:v>Late delivery</x:v>
      </x:c>
      <x:c r="G3401" s="6" t="n">
        <x:v>6</x:v>
      </x:c>
      <x:c r="H3401" s="6" t="n">
        <x:v>2</x:v>
      </x:c>
      <x:c r="I3401" s="6" t="n">
        <x:f>G3401-H3401</x:f>
        <x:v>4</x:v>
      </x:c>
      <x:c r="J3401" s="6" t="n">
        <x:f>IF(OR(E3401="CANCELED",E3401="SUSPECTED_FRAUD",F3401="Shipping canceled"),0,1)</x:f>
        <x:v>1</x:v>
      </x:c>
      <x:c r="K3401" s="6" t="n">
        <x:f>IF(G3401&gt;H3401,1,0)</x:f>
        <x:v>1</x:v>
      </x:c>
      <x:c r="L3401" s="6" t="n">
        <x:f>J3401*K3401</x:f>
        <x:v>1</x:v>
      </x:c>
    </x:row>
    <x:row r="3402">
      <x:c r="A3402" s="1" t="n">
        <x:v>25651</x:v>
      </x:c>
      <x:c r="B3402" s="5" t="d">
        <x:v>2016-01-10T00:00:00.000Z</x:v>
      </x:c>
      <x:c r="C3402" s="1" t="str">
        <x:v>Standard Class</x:v>
      </x:c>
      <x:c r="D3402" s="1" t="str">
        <x:v>Pacific Asia</x:v>
      </x:c>
      <x:c r="E3402" s="1" t="str">
        <x:v>PENDING_PAYMENT</x:v>
      </x:c>
      <x:c r="F3402" s="1" t="str">
        <x:v>Advance shipping</x:v>
      </x:c>
      <x:c r="G3402" s="6" t="n">
        <x:v>2</x:v>
      </x:c>
      <x:c r="H3402" s="6" t="n">
        <x:v>4</x:v>
      </x:c>
      <x:c r="I3402" s="6" t="n">
        <x:f>G3402-H3402</x:f>
        <x:v>-2</x:v>
      </x:c>
      <x:c r="J3402" s="6" t="n">
        <x:f>IF(OR(E3402="CANCELED",E3402="SUSPECTED_FRAUD",F3402="Shipping canceled"),0,1)</x:f>
        <x:v>1</x:v>
      </x:c>
      <x:c r="K3402" s="6" t="n">
        <x:f>IF(G3402&gt;H3402,1,0)</x:f>
        <x:v>0</x:v>
      </x:c>
      <x:c r="L3402" s="6" t="n">
        <x:f>J3402*K3402</x:f>
        <x:v>0</x:v>
      </x:c>
    </x:row>
    <x:row r="3403">
      <x:c r="A3403" s="1" t="n">
        <x:v>25665</x:v>
      </x:c>
      <x:c r="B3403" s="5" t="d">
        <x:v>2016-01-10T00:00:00.000Z</x:v>
      </x:c>
      <x:c r="C3403" s="1" t="str">
        <x:v>Second Class</x:v>
      </x:c>
      <x:c r="D3403" s="1" t="str">
        <x:v>Pacific Asia</x:v>
      </x:c>
      <x:c r="E3403" s="1" t="str">
        <x:v>PENDING_PAYMENT</x:v>
      </x:c>
      <x:c r="F3403" s="1" t="str">
        <x:v>Late delivery</x:v>
      </x:c>
      <x:c r="G3403" s="6" t="n">
        <x:v>6</x:v>
      </x:c>
      <x:c r="H3403" s="6" t="n">
        <x:v>2</x:v>
      </x:c>
      <x:c r="I3403" s="6" t="n">
        <x:f>G3403-H3403</x:f>
        <x:v>4</x:v>
      </x:c>
      <x:c r="J3403" s="6" t="n">
        <x:f>IF(OR(E3403="CANCELED",E3403="SUSPECTED_FRAUD",F3403="Shipping canceled"),0,1)</x:f>
        <x:v>1</x:v>
      </x:c>
      <x:c r="K3403" s="6" t="n">
        <x:f>IF(G3403&gt;H3403,1,0)</x:f>
        <x:v>1</x:v>
      </x:c>
      <x:c r="L3403" s="6" t="n">
        <x:f>J3403*K3403</x:f>
        <x:v>1</x:v>
      </x:c>
    </x:row>
    <x:row r="3404">
      <x:c r="A3404" s="1" t="n">
        <x:v>25667</x:v>
      </x:c>
      <x:c r="B3404" s="5" t="d">
        <x:v>2016-01-10T00:00:00.000Z</x:v>
      </x:c>
      <x:c r="C3404" s="1" t="str">
        <x:v>Second Class</x:v>
      </x:c>
      <x:c r="D3404" s="1" t="str">
        <x:v>Pacific Asia</x:v>
      </x:c>
      <x:c r="E3404" s="1" t="str">
        <x:v>ON_HOLD</x:v>
      </x:c>
      <x:c r="F3404" s="1" t="str">
        <x:v>Late delivery</x:v>
      </x:c>
      <x:c r="G3404" s="6" t="n">
        <x:v>3</x:v>
      </x:c>
      <x:c r="H3404" s="6" t="n">
        <x:v>2</x:v>
      </x:c>
      <x:c r="I3404" s="6" t="n">
        <x:f>G3404-H3404</x:f>
        <x:v>1</x:v>
      </x:c>
      <x:c r="J3404" s="6" t="n">
        <x:f>IF(OR(E3404="CANCELED",E3404="SUSPECTED_FRAUD",F3404="Shipping canceled"),0,1)</x:f>
        <x:v>1</x:v>
      </x:c>
      <x:c r="K3404" s="6" t="n">
        <x:f>IF(G3404&gt;H3404,1,0)</x:f>
        <x:v>1</x:v>
      </x:c>
      <x:c r="L3404" s="6" t="n">
        <x:f>J3404*K3404</x:f>
        <x:v>1</x:v>
      </x:c>
    </x:row>
    <x:row r="3405">
      <x:c r="A3405" s="1" t="n">
        <x:v>25679</x:v>
      </x:c>
      <x:c r="B3405" s="5" t="d">
        <x:v>2016-01-10T00:00:00.000Z</x:v>
      </x:c>
      <x:c r="C3405" s="1" t="str">
        <x:v>Second Class</x:v>
      </x:c>
      <x:c r="D3405" s="1" t="str">
        <x:v>Pacific Asia</x:v>
      </x:c>
      <x:c r="E3405" s="1" t="str">
        <x:v>COMPLETE</x:v>
      </x:c>
      <x:c r="F3405" s="1" t="str">
        <x:v>Late delivery</x:v>
      </x:c>
      <x:c r="G3405" s="6" t="n">
        <x:v>5</x:v>
      </x:c>
      <x:c r="H3405" s="6" t="n">
        <x:v>2</x:v>
      </x:c>
      <x:c r="I3405" s="6" t="n">
        <x:f>G3405-H3405</x:f>
        <x:v>3</x:v>
      </x:c>
      <x:c r="J3405" s="6" t="n">
        <x:f>IF(OR(E3405="CANCELED",E3405="SUSPECTED_FRAUD",F3405="Shipping canceled"),0,1)</x:f>
        <x:v>1</x:v>
      </x:c>
      <x:c r="K3405" s="6" t="n">
        <x:f>IF(G3405&gt;H3405,1,0)</x:f>
        <x:v>1</x:v>
      </x:c>
      <x:c r="L3405" s="6" t="n">
        <x:f>J3405*K3405</x:f>
        <x:v>1</x:v>
      </x:c>
    </x:row>
    <x:row r="3406">
      <x:c r="A3406" s="1" t="n">
        <x:v>25683</x:v>
      </x:c>
      <x:c r="B3406" s="5" t="d">
        <x:v>2016-01-10T00:00:00.000Z</x:v>
      </x:c>
      <x:c r="C3406" s="1" t="str">
        <x:v>Standard Class</x:v>
      </x:c>
      <x:c r="D3406" s="1" t="str">
        <x:v>Pacific Asia</x:v>
      </x:c>
      <x:c r="E3406" s="1" t="str">
        <x:v>SUSPECTED_FRAUD</x:v>
      </x:c>
      <x:c r="F3406" s="1" t="str">
        <x:v>Shipping canceled</x:v>
      </x:c>
      <x:c r="G3406" s="6" t="n">
        <x:v>4</x:v>
      </x:c>
      <x:c r="H3406" s="6" t="n">
        <x:v>4</x:v>
      </x:c>
      <x:c r="I3406" s="6" t="n">
        <x:f>G3406-H3406</x:f>
        <x:v>0</x:v>
      </x:c>
      <x:c r="J3406" s="6" t="n">
        <x:f>IF(OR(E3406="CANCELED",E3406="SUSPECTED_FRAUD",F3406="Shipping canceled"),0,1)</x:f>
        <x:v>0</x:v>
      </x:c>
      <x:c r="K3406" s="6" t="n">
        <x:f>IF(G3406&gt;H3406,1,0)</x:f>
        <x:v>0</x:v>
      </x:c>
      <x:c r="L3406" s="6" t="n">
        <x:f>J3406*K3406</x:f>
        <x:v>0</x:v>
      </x:c>
    </x:row>
    <x:row r="3407">
      <x:c r="A3407" s="1" t="n">
        <x:v>25688</x:v>
      </x:c>
      <x:c r="B3407" s="5" t="d">
        <x:v>2016-01-10T00:00:00.000Z</x:v>
      </x:c>
      <x:c r="C3407" s="1" t="str">
        <x:v>Standard Class</x:v>
      </x:c>
      <x:c r="D3407" s="1" t="str">
        <x:v>Pacific Asia</x:v>
      </x:c>
      <x:c r="E3407" s="1" t="str">
        <x:v>CANCELED</x:v>
      </x:c>
      <x:c r="F3407" s="1" t="str">
        <x:v>Shipping canceled</x:v>
      </x:c>
      <x:c r="G3407" s="6" t="n">
        <x:v>4</x:v>
      </x:c>
      <x:c r="H3407" s="6" t="n">
        <x:v>4</x:v>
      </x:c>
      <x:c r="I3407" s="6" t="n">
        <x:f>G3407-H3407</x:f>
        <x:v>0</x:v>
      </x:c>
      <x:c r="J3407" s="6" t="n">
        <x:f>IF(OR(E3407="CANCELED",E3407="SUSPECTED_FRAUD",F3407="Shipping canceled"),0,1)</x:f>
        <x:v>0</x:v>
      </x:c>
      <x:c r="K3407" s="6" t="n">
        <x:f>IF(G3407&gt;H3407,1,0)</x:f>
        <x:v>0</x:v>
      </x:c>
      <x:c r="L3407" s="6" t="n">
        <x:f>J3407*K3407</x:f>
        <x:v>0</x:v>
      </x:c>
    </x:row>
    <x:row r="3408">
      <x:c r="A3408" s="1" t="n">
        <x:v>25707</x:v>
      </x:c>
      <x:c r="B3408" s="5" t="d">
        <x:v>2016-01-11T00:00:00.000Z</x:v>
      </x:c>
      <x:c r="C3408" s="1" t="str">
        <x:v>Standard Class</x:v>
      </x:c>
      <x:c r="D3408" s="1" t="str">
        <x:v>Pacific Asia</x:v>
      </x:c>
      <x:c r="E3408" s="1" t="str">
        <x:v>COMPLETE</x:v>
      </x:c>
      <x:c r="F3408" s="1" t="str">
        <x:v>Advance shipping</x:v>
      </x:c>
      <x:c r="G3408" s="6" t="n">
        <x:v>3</x:v>
      </x:c>
      <x:c r="H3408" s="6" t="n">
        <x:v>4</x:v>
      </x:c>
      <x:c r="I3408" s="6" t="n">
        <x:f>G3408-H3408</x:f>
        <x:v>-1</x:v>
      </x:c>
      <x:c r="J3408" s="6" t="n">
        <x:f>IF(OR(E3408="CANCELED",E3408="SUSPECTED_FRAUD",F3408="Shipping canceled"),0,1)</x:f>
        <x:v>1</x:v>
      </x:c>
      <x:c r="K3408" s="6" t="n">
        <x:f>IF(G3408&gt;H3408,1,0)</x:f>
        <x:v>0</x:v>
      </x:c>
      <x:c r="L3408" s="6" t="n">
        <x:f>J3408*K3408</x:f>
        <x:v>0</x:v>
      </x:c>
    </x:row>
    <x:row r="3409">
      <x:c r="A3409" s="1" t="n">
        <x:v>25710</x:v>
      </x:c>
      <x:c r="B3409" s="5" t="d">
        <x:v>2016-01-11T00:00:00.000Z</x:v>
      </x:c>
      <x:c r="C3409" s="1" t="str">
        <x:v>Standard Class</x:v>
      </x:c>
      <x:c r="D3409" s="1" t="str">
        <x:v>Pacific Asia</x:v>
      </x:c>
      <x:c r="E3409" s="1" t="str">
        <x:v>COMPLETE</x:v>
      </x:c>
      <x:c r="F3409" s="1" t="str">
        <x:v>Late delivery</x:v>
      </x:c>
      <x:c r="G3409" s="6" t="n">
        <x:v>6</x:v>
      </x:c>
      <x:c r="H3409" s="6" t="n">
        <x:v>4</x:v>
      </x:c>
      <x:c r="I3409" s="6" t="n">
        <x:f>G3409-H3409</x:f>
        <x:v>2</x:v>
      </x:c>
      <x:c r="J3409" s="6" t="n">
        <x:f>IF(OR(E3409="CANCELED",E3409="SUSPECTED_FRAUD",F3409="Shipping canceled"),0,1)</x:f>
        <x:v>1</x:v>
      </x:c>
      <x:c r="K3409" s="6" t="n">
        <x:f>IF(G3409&gt;H3409,1,0)</x:f>
        <x:v>1</x:v>
      </x:c>
      <x:c r="L3409" s="6" t="n">
        <x:f>J3409*K3409</x:f>
        <x:v>1</x:v>
      </x:c>
    </x:row>
    <x:row r="3410">
      <x:c r="A3410" s="1" t="n">
        <x:v>25712</x:v>
      </x:c>
      <x:c r="B3410" s="5" t="d">
        <x:v>2016-01-11T00:00:00.000Z</x:v>
      </x:c>
      <x:c r="C3410" s="1" t="str">
        <x:v>Standard Class</x:v>
      </x:c>
      <x:c r="D3410" s="1" t="str">
        <x:v>Pacific Asia</x:v>
      </x:c>
      <x:c r="E3410" s="1" t="str">
        <x:v>COMPLETE</x:v>
      </x:c>
      <x:c r="F3410" s="1" t="str">
        <x:v>Advance shipping</x:v>
      </x:c>
      <x:c r="G3410" s="6" t="n">
        <x:v>3</x:v>
      </x:c>
      <x:c r="H3410" s="6" t="n">
        <x:v>4</x:v>
      </x:c>
      <x:c r="I3410" s="6" t="n">
        <x:f>G3410-H3410</x:f>
        <x:v>-1</x:v>
      </x:c>
      <x:c r="J3410" s="6" t="n">
        <x:f>IF(OR(E3410="CANCELED",E3410="SUSPECTED_FRAUD",F3410="Shipping canceled"),0,1)</x:f>
        <x:v>1</x:v>
      </x:c>
      <x:c r="K3410" s="6" t="n">
        <x:f>IF(G3410&gt;H3410,1,0)</x:f>
        <x:v>0</x:v>
      </x:c>
      <x:c r="L3410" s="6" t="n">
        <x:f>J3410*K3410</x:f>
        <x:v>0</x:v>
      </x:c>
    </x:row>
    <x:row r="3411">
      <x:c r="A3411" s="1" t="n">
        <x:v>25713</x:v>
      </x:c>
      <x:c r="B3411" s="5" t="d">
        <x:v>2016-01-11T00:00:00.000Z</x:v>
      </x:c>
      <x:c r="C3411" s="1" t="str">
        <x:v>Standard Class</x:v>
      </x:c>
      <x:c r="D3411" s="1" t="str">
        <x:v>Pacific Asia</x:v>
      </x:c>
      <x:c r="E3411" s="1" t="str">
        <x:v>COMPLETE</x:v>
      </x:c>
      <x:c r="F3411" s="1" t="str">
        <x:v>Shipping on time</x:v>
      </x:c>
      <x:c r="G3411" s="6" t="n">
        <x:v>4</x:v>
      </x:c>
      <x:c r="H3411" s="6" t="n">
        <x:v>4</x:v>
      </x:c>
      <x:c r="I3411" s="6" t="n">
        <x:f>G3411-H3411</x:f>
        <x:v>0</x:v>
      </x:c>
      <x:c r="J3411" s="6" t="n">
        <x:f>IF(OR(E3411="CANCELED",E3411="SUSPECTED_FRAUD",F3411="Shipping canceled"),0,1)</x:f>
        <x:v>1</x:v>
      </x:c>
      <x:c r="K3411" s="6" t="n">
        <x:f>IF(G3411&gt;H3411,1,0)</x:f>
        <x:v>0</x:v>
      </x:c>
      <x:c r="L3411" s="6" t="n">
        <x:f>J3411*K3411</x:f>
        <x:v>0</x:v>
      </x:c>
    </x:row>
    <x:row r="3412">
      <x:c r="A3412" s="1" t="n">
        <x:v>25724</x:v>
      </x:c>
      <x:c r="B3412" s="5" t="d">
        <x:v>2016-01-11T00:00:00.000Z</x:v>
      </x:c>
      <x:c r="C3412" s="1" t="str">
        <x:v>Standard Class</x:v>
      </x:c>
      <x:c r="D3412" s="1" t="str">
        <x:v>Pacific Asia</x:v>
      </x:c>
      <x:c r="E3412" s="1" t="str">
        <x:v>PENDING_PAYMENT</x:v>
      </x:c>
      <x:c r="F3412" s="1" t="str">
        <x:v>Late delivery</x:v>
      </x:c>
      <x:c r="G3412" s="6" t="n">
        <x:v>5</x:v>
      </x:c>
      <x:c r="H3412" s="6" t="n">
        <x:v>4</x:v>
      </x:c>
      <x:c r="I3412" s="6" t="n">
        <x:f>G3412-H3412</x:f>
        <x:v>1</x:v>
      </x:c>
      <x:c r="J3412" s="6" t="n">
        <x:f>IF(OR(E3412="CANCELED",E3412="SUSPECTED_FRAUD",F3412="Shipping canceled"),0,1)</x:f>
        <x:v>1</x:v>
      </x:c>
      <x:c r="K3412" s="6" t="n">
        <x:f>IF(G3412&gt;H3412,1,0)</x:f>
        <x:v>1</x:v>
      </x:c>
      <x:c r="L3412" s="6" t="n">
        <x:f>J3412*K3412</x:f>
        <x:v>1</x:v>
      </x:c>
    </x:row>
    <x:row r="3413">
      <x:c r="A3413" s="1" t="n">
        <x:v>25725</x:v>
      </x:c>
      <x:c r="B3413" s="5" t="d">
        <x:v>2016-01-11T00:00:00.000Z</x:v>
      </x:c>
      <x:c r="C3413" s="1" t="str">
        <x:v>Standard Class</x:v>
      </x:c>
      <x:c r="D3413" s="1" t="str">
        <x:v>Pacific Asia</x:v>
      </x:c>
      <x:c r="E3413" s="1" t="str">
        <x:v>SUSPECTED_FRAUD</x:v>
      </x:c>
      <x:c r="F3413" s="1" t="str">
        <x:v>Shipping canceled</x:v>
      </x:c>
      <x:c r="G3413" s="6" t="n">
        <x:v>6</x:v>
      </x:c>
      <x:c r="H3413" s="6" t="n">
        <x:v>4</x:v>
      </x:c>
      <x:c r="I3413" s="6" t="n">
        <x:f>G3413-H3413</x:f>
        <x:v>2</x:v>
      </x:c>
      <x:c r="J3413" s="6" t="n">
        <x:f>IF(OR(E3413="CANCELED",E3413="SUSPECTED_FRAUD",F3413="Shipping canceled"),0,1)</x:f>
        <x:v>0</x:v>
      </x:c>
      <x:c r="K3413" s="6" t="n">
        <x:f>IF(G3413&gt;H3413,1,0)</x:f>
        <x:v>1</x:v>
      </x:c>
      <x:c r="L3413" s="6" t="n">
        <x:f>J3413*K3413</x:f>
        <x:v>0</x:v>
      </x:c>
    </x:row>
    <x:row r="3414">
      <x:c r="A3414" s="1" t="n">
        <x:v>25726</x:v>
      </x:c>
      <x:c r="B3414" s="5" t="d">
        <x:v>2016-01-11T00:00:00.000Z</x:v>
      </x:c>
      <x:c r="C3414" s="1" t="str">
        <x:v>Standard Class</x:v>
      </x:c>
      <x:c r="D3414" s="1" t="str">
        <x:v>Pacific Asia</x:v>
      </x:c>
      <x:c r="E3414" s="1" t="str">
        <x:v>COMPLETE</x:v>
      </x:c>
      <x:c r="F3414" s="1" t="str">
        <x:v>Advance shipping</x:v>
      </x:c>
      <x:c r="G3414" s="6" t="n">
        <x:v>2</x:v>
      </x:c>
      <x:c r="H3414" s="6" t="n">
        <x:v>4</x:v>
      </x:c>
      <x:c r="I3414" s="6" t="n">
        <x:f>G3414-H3414</x:f>
        <x:v>-2</x:v>
      </x:c>
      <x:c r="J3414" s="6" t="n">
        <x:f>IF(OR(E3414="CANCELED",E3414="SUSPECTED_FRAUD",F3414="Shipping canceled"),0,1)</x:f>
        <x:v>1</x:v>
      </x:c>
      <x:c r="K3414" s="6" t="n">
        <x:f>IF(G3414&gt;H3414,1,0)</x:f>
        <x:v>0</x:v>
      </x:c>
      <x:c r="L3414" s="6" t="n">
        <x:f>J3414*K3414</x:f>
        <x:v>0</x:v>
      </x:c>
    </x:row>
    <x:row r="3415">
      <x:c r="A3415" s="1" t="n">
        <x:v>25728</x:v>
      </x:c>
      <x:c r="B3415" s="5" t="d">
        <x:v>2016-01-11T00:00:00.000Z</x:v>
      </x:c>
      <x:c r="C3415" s="1" t="str">
        <x:v>Standard Class</x:v>
      </x:c>
      <x:c r="D3415" s="1" t="str">
        <x:v>Pacific Asia</x:v>
      </x:c>
      <x:c r="E3415" s="1" t="str">
        <x:v>COMPLETE</x:v>
      </x:c>
      <x:c r="F3415" s="1" t="str">
        <x:v>Shipping on time</x:v>
      </x:c>
      <x:c r="G3415" s="6" t="n">
        <x:v>4</x:v>
      </x:c>
      <x:c r="H3415" s="6" t="n">
        <x:v>4</x:v>
      </x:c>
      <x:c r="I3415" s="6" t="n">
        <x:f>G3415-H3415</x:f>
        <x:v>0</x:v>
      </x:c>
      <x:c r="J3415" s="6" t="n">
        <x:f>IF(OR(E3415="CANCELED",E3415="SUSPECTED_FRAUD",F3415="Shipping canceled"),0,1)</x:f>
        <x:v>1</x:v>
      </x:c>
      <x:c r="K3415" s="6" t="n">
        <x:f>IF(G3415&gt;H3415,1,0)</x:f>
        <x:v>0</x:v>
      </x:c>
      <x:c r="L3415" s="6" t="n">
        <x:f>J3415*K3415</x:f>
        <x:v>0</x:v>
      </x:c>
    </x:row>
    <x:row r="3416">
      <x:c r="A3416" s="1" t="n">
        <x:v>25774</x:v>
      </x:c>
      <x:c r="B3416" s="5" t="d">
        <x:v>2016-01-12T00:00:00.000Z</x:v>
      </x:c>
      <x:c r="C3416" s="1" t="str">
        <x:v>Standard Class</x:v>
      </x:c>
      <x:c r="D3416" s="1" t="str">
        <x:v>Pacific Asia</x:v>
      </x:c>
      <x:c r="E3416" s="1" t="str">
        <x:v>COMPLETE</x:v>
      </x:c>
      <x:c r="F3416" s="1" t="str">
        <x:v>Late delivery</x:v>
      </x:c>
      <x:c r="G3416" s="6" t="n">
        <x:v>5</x:v>
      </x:c>
      <x:c r="H3416" s="6" t="n">
        <x:v>4</x:v>
      </x:c>
      <x:c r="I3416" s="6" t="n">
        <x:f>G3416-H3416</x:f>
        <x:v>1</x:v>
      </x:c>
      <x:c r="J3416" s="6" t="n">
        <x:f>IF(OR(E3416="CANCELED",E3416="SUSPECTED_FRAUD",F3416="Shipping canceled"),0,1)</x:f>
        <x:v>1</x:v>
      </x:c>
      <x:c r="K3416" s="6" t="n">
        <x:f>IF(G3416&gt;H3416,1,0)</x:f>
        <x:v>1</x:v>
      </x:c>
      <x:c r="L3416" s="6" t="n">
        <x:f>J3416*K3416</x:f>
        <x:v>1</x:v>
      </x:c>
    </x:row>
    <x:row r="3417">
      <x:c r="A3417" s="1" t="n">
        <x:v>25787</x:v>
      </x:c>
      <x:c r="B3417" s="5" t="d">
        <x:v>2016-01-12T00:00:00.000Z</x:v>
      </x:c>
      <x:c r="C3417" s="1" t="str">
        <x:v>Standard Class</x:v>
      </x:c>
      <x:c r="D3417" s="1" t="str">
        <x:v>Pacific Asia</x:v>
      </x:c>
      <x:c r="E3417" s="1" t="str">
        <x:v>ON_HOLD</x:v>
      </x:c>
      <x:c r="F3417" s="1" t="str">
        <x:v>Advance shipping</x:v>
      </x:c>
      <x:c r="G3417" s="6" t="n">
        <x:v>3</x:v>
      </x:c>
      <x:c r="H3417" s="6" t="n">
        <x:v>4</x:v>
      </x:c>
      <x:c r="I3417" s="6" t="n">
        <x:f>G3417-H3417</x:f>
        <x:v>-1</x:v>
      </x:c>
      <x:c r="J3417" s="6" t="n">
        <x:f>IF(OR(E3417="CANCELED",E3417="SUSPECTED_FRAUD",F3417="Shipping canceled"),0,1)</x:f>
        <x:v>1</x:v>
      </x:c>
      <x:c r="K3417" s="6" t="n">
        <x:f>IF(G3417&gt;H3417,1,0)</x:f>
        <x:v>0</x:v>
      </x:c>
      <x:c r="L3417" s="6" t="n">
        <x:f>J3417*K3417</x:f>
        <x:v>0</x:v>
      </x:c>
    </x:row>
    <x:row r="3418">
      <x:c r="A3418" s="1" t="n">
        <x:v>25788</x:v>
      </x:c>
      <x:c r="B3418" s="5" t="d">
        <x:v>2016-01-12T00:00:00.000Z</x:v>
      </x:c>
      <x:c r="C3418" s="1" t="str">
        <x:v>Second Class</x:v>
      </x:c>
      <x:c r="D3418" s="1" t="str">
        <x:v>Pacific Asia</x:v>
      </x:c>
      <x:c r="E3418" s="1" t="str">
        <x:v>COMPLETE</x:v>
      </x:c>
      <x:c r="F3418" s="1" t="str">
        <x:v>Late delivery</x:v>
      </x:c>
      <x:c r="G3418" s="6" t="n">
        <x:v>4</x:v>
      </x:c>
      <x:c r="H3418" s="6" t="n">
        <x:v>2</x:v>
      </x:c>
      <x:c r="I3418" s="6" t="n">
        <x:f>G3418-H3418</x:f>
        <x:v>2</x:v>
      </x:c>
      <x:c r="J3418" s="6" t="n">
        <x:f>IF(OR(E3418="CANCELED",E3418="SUSPECTED_FRAUD",F3418="Shipping canceled"),0,1)</x:f>
        <x:v>1</x:v>
      </x:c>
      <x:c r="K3418" s="6" t="n">
        <x:f>IF(G3418&gt;H3418,1,0)</x:f>
        <x:v>1</x:v>
      </x:c>
      <x:c r="L3418" s="6" t="n">
        <x:f>J3418*K3418</x:f>
        <x:v>1</x:v>
      </x:c>
    </x:row>
    <x:row r="3419">
      <x:c r="A3419" s="1" t="n">
        <x:v>25790</x:v>
      </x:c>
      <x:c r="B3419" s="5" t="d">
        <x:v>2016-01-12T00:00:00.000Z</x:v>
      </x:c>
      <x:c r="C3419" s="1" t="str">
        <x:v>Second Class</x:v>
      </x:c>
      <x:c r="D3419" s="1" t="str">
        <x:v>Pacific Asia</x:v>
      </x:c>
      <x:c r="E3419" s="1" t="str">
        <x:v>COMPLETE</x:v>
      </x:c>
      <x:c r="F3419" s="1" t="str">
        <x:v>Late delivery</x:v>
      </x:c>
      <x:c r="G3419" s="6" t="n">
        <x:v>6</x:v>
      </x:c>
      <x:c r="H3419" s="6" t="n">
        <x:v>2</x:v>
      </x:c>
      <x:c r="I3419" s="6" t="n">
        <x:f>G3419-H3419</x:f>
        <x:v>4</x:v>
      </x:c>
      <x:c r="J3419" s="6" t="n">
        <x:f>IF(OR(E3419="CANCELED",E3419="SUSPECTED_FRAUD",F3419="Shipping canceled"),0,1)</x:f>
        <x:v>1</x:v>
      </x:c>
      <x:c r="K3419" s="6" t="n">
        <x:f>IF(G3419&gt;H3419,1,0)</x:f>
        <x:v>1</x:v>
      </x:c>
      <x:c r="L3419" s="6" t="n">
        <x:f>J3419*K3419</x:f>
        <x:v>1</x:v>
      </x:c>
    </x:row>
    <x:row r="3420">
      <x:c r="A3420" s="1" t="n">
        <x:v>25793</x:v>
      </x:c>
      <x:c r="B3420" s="5" t="d">
        <x:v>2016-01-12T00:00:00.000Z</x:v>
      </x:c>
      <x:c r="C3420" s="1" t="str">
        <x:v>Second Class</x:v>
      </x:c>
      <x:c r="D3420" s="1" t="str">
        <x:v>Pacific Asia</x:v>
      </x:c>
      <x:c r="E3420" s="1" t="str">
        <x:v>COMPLETE</x:v>
      </x:c>
      <x:c r="F3420" s="1" t="str">
        <x:v>Late delivery</x:v>
      </x:c>
      <x:c r="G3420" s="6" t="n">
        <x:v>4</x:v>
      </x:c>
      <x:c r="H3420" s="6" t="n">
        <x:v>2</x:v>
      </x:c>
      <x:c r="I3420" s="6" t="n">
        <x:f>G3420-H3420</x:f>
        <x:v>2</x:v>
      </x:c>
      <x:c r="J3420" s="6" t="n">
        <x:f>IF(OR(E3420="CANCELED",E3420="SUSPECTED_FRAUD",F3420="Shipping canceled"),0,1)</x:f>
        <x:v>1</x:v>
      </x:c>
      <x:c r="K3420" s="6" t="n">
        <x:f>IF(G3420&gt;H3420,1,0)</x:f>
        <x:v>1</x:v>
      </x:c>
      <x:c r="L3420" s="6" t="n">
        <x:f>J3420*K3420</x:f>
        <x:v>1</x:v>
      </x:c>
    </x:row>
    <x:row r="3421">
      <x:c r="A3421" s="1" t="n">
        <x:v>25795</x:v>
      </x:c>
      <x:c r="B3421" s="5" t="d">
        <x:v>2016-01-12T00:00:00.000Z</x:v>
      </x:c>
      <x:c r="C3421" s="1" t="str">
        <x:v>Standard Class</x:v>
      </x:c>
      <x:c r="D3421" s="1" t="str">
        <x:v>Pacific Asia</x:v>
      </x:c>
      <x:c r="E3421" s="1" t="str">
        <x:v>COMPLETE</x:v>
      </x:c>
      <x:c r="F3421" s="1" t="str">
        <x:v>Late delivery</x:v>
      </x:c>
      <x:c r="G3421" s="6" t="n">
        <x:v>6</x:v>
      </x:c>
      <x:c r="H3421" s="6" t="n">
        <x:v>4</x:v>
      </x:c>
      <x:c r="I3421" s="6" t="n">
        <x:f>G3421-H3421</x:f>
        <x:v>2</x:v>
      </x:c>
      <x:c r="J3421" s="6" t="n">
        <x:f>IF(OR(E3421="CANCELED",E3421="SUSPECTED_FRAUD",F3421="Shipping canceled"),0,1)</x:f>
        <x:v>1</x:v>
      </x:c>
      <x:c r="K3421" s="6" t="n">
        <x:f>IF(G3421&gt;H3421,1,0)</x:f>
        <x:v>1</x:v>
      </x:c>
      <x:c r="L3421" s="6" t="n">
        <x:f>J3421*K3421</x:f>
        <x:v>1</x:v>
      </x:c>
    </x:row>
    <x:row r="3422">
      <x:c r="A3422" s="1" t="n">
        <x:v>25796</x:v>
      </x:c>
      <x:c r="B3422" s="5" t="d">
        <x:v>2016-01-12T00:00:00.000Z</x:v>
      </x:c>
      <x:c r="C3422" s="1" t="str">
        <x:v>Standard Class</x:v>
      </x:c>
      <x:c r="D3422" s="1" t="str">
        <x:v>Pacific Asia</x:v>
      </x:c>
      <x:c r="E3422" s="1" t="str">
        <x:v>COMPLETE</x:v>
      </x:c>
      <x:c r="F3422" s="1" t="str">
        <x:v>Advance shipping</x:v>
      </x:c>
      <x:c r="G3422" s="6" t="n">
        <x:v>2</x:v>
      </x:c>
      <x:c r="H3422" s="6" t="n">
        <x:v>4</x:v>
      </x:c>
      <x:c r="I3422" s="6" t="n">
        <x:f>G3422-H3422</x:f>
        <x:v>-2</x:v>
      </x:c>
      <x:c r="J3422" s="6" t="n">
        <x:f>IF(OR(E3422="CANCELED",E3422="SUSPECTED_FRAUD",F3422="Shipping canceled"),0,1)</x:f>
        <x:v>1</x:v>
      </x:c>
      <x:c r="K3422" s="6" t="n">
        <x:f>IF(G3422&gt;H3422,1,0)</x:f>
        <x:v>0</x:v>
      </x:c>
      <x:c r="L3422" s="6" t="n">
        <x:f>J3422*K3422</x:f>
        <x:v>0</x:v>
      </x:c>
    </x:row>
    <x:row r="3423">
      <x:c r="A3423" s="1" t="n">
        <x:v>25811</x:v>
      </x:c>
      <x:c r="B3423" s="5" t="d">
        <x:v>2016-01-12T00:00:00.000Z</x:v>
      </x:c>
      <x:c r="C3423" s="1" t="str">
        <x:v>Standard Class</x:v>
      </x:c>
      <x:c r="D3423" s="1" t="str">
        <x:v>Pacific Asia</x:v>
      </x:c>
      <x:c r="E3423" s="1" t="str">
        <x:v>COMPLETE</x:v>
      </x:c>
      <x:c r="F3423" s="1" t="str">
        <x:v>Advance shipping</x:v>
      </x:c>
      <x:c r="G3423" s="6" t="n">
        <x:v>2</x:v>
      </x:c>
      <x:c r="H3423" s="6" t="n">
        <x:v>4</x:v>
      </x:c>
      <x:c r="I3423" s="6" t="n">
        <x:f>G3423-H3423</x:f>
        <x:v>-2</x:v>
      </x:c>
      <x:c r="J3423" s="6" t="n">
        <x:f>IF(OR(E3423="CANCELED",E3423="SUSPECTED_FRAUD",F3423="Shipping canceled"),0,1)</x:f>
        <x:v>1</x:v>
      </x:c>
      <x:c r="K3423" s="6" t="n">
        <x:f>IF(G3423&gt;H3423,1,0)</x:f>
        <x:v>0</x:v>
      </x:c>
      <x:c r="L3423" s="6" t="n">
        <x:f>J3423*K3423</x:f>
        <x:v>0</x:v>
      </x:c>
    </x:row>
    <x:row r="3424">
      <x:c r="A3424" s="1" t="n">
        <x:v>25829</x:v>
      </x:c>
      <x:c r="B3424" s="5" t="d">
        <x:v>2016-01-13T00:00:00.000Z</x:v>
      </x:c>
      <x:c r="C3424" s="1" t="str">
        <x:v>Standard Class</x:v>
      </x:c>
      <x:c r="D3424" s="1" t="str">
        <x:v>Pacific Asia</x:v>
      </x:c>
      <x:c r="E3424" s="1" t="str">
        <x:v>PENDING_PAYMENT</x:v>
      </x:c>
      <x:c r="F3424" s="1" t="str">
        <x:v>Late delivery</x:v>
      </x:c>
      <x:c r="G3424" s="6" t="n">
        <x:v>5</x:v>
      </x:c>
      <x:c r="H3424" s="6" t="n">
        <x:v>4</x:v>
      </x:c>
      <x:c r="I3424" s="6" t="n">
        <x:f>G3424-H3424</x:f>
        <x:v>1</x:v>
      </x:c>
      <x:c r="J3424" s="6" t="n">
        <x:f>IF(OR(E3424="CANCELED",E3424="SUSPECTED_FRAUD",F3424="Shipping canceled"),0,1)</x:f>
        <x:v>1</x:v>
      </x:c>
      <x:c r="K3424" s="6" t="n">
        <x:f>IF(G3424&gt;H3424,1,0)</x:f>
        <x:v>1</x:v>
      </x:c>
      <x:c r="L3424" s="6" t="n">
        <x:f>J3424*K3424</x:f>
        <x:v>1</x:v>
      </x:c>
    </x:row>
    <x:row r="3425">
      <x:c r="A3425" s="1" t="n">
        <x:v>25834</x:v>
      </x:c>
      <x:c r="B3425" s="5" t="d">
        <x:v>2016-01-13T00:00:00.000Z</x:v>
      </x:c>
      <x:c r="C3425" s="1" t="str">
        <x:v>Same Day</x:v>
      </x:c>
      <x:c r="D3425" s="1" t="str">
        <x:v>Pacific Asia</x:v>
      </x:c>
      <x:c r="E3425" s="1" t="str">
        <x:v>CLOSED</x:v>
      </x:c>
      <x:c r="F3425" s="1" t="str">
        <x:v>Shipping on time</x:v>
      </x:c>
      <x:c r="G3425" s="6" t="n">
        <x:v>0</x:v>
      </x:c>
      <x:c r="H3425" s="6" t="n">
        <x:v>0</x:v>
      </x:c>
      <x:c r="I3425" s="6" t="n">
        <x:f>G3425-H3425</x:f>
        <x:v>0</x:v>
      </x:c>
      <x:c r="J3425" s="6" t="n">
        <x:f>IF(OR(E3425="CANCELED",E3425="SUSPECTED_FRAUD",F3425="Shipping canceled"),0,1)</x:f>
        <x:v>1</x:v>
      </x:c>
      <x:c r="K3425" s="6" t="n">
        <x:f>IF(G3425&gt;H3425,1,0)</x:f>
        <x:v>0</x:v>
      </x:c>
      <x:c r="L3425" s="6" t="n">
        <x:f>J3425*K3425</x:f>
        <x:v>0</x:v>
      </x:c>
    </x:row>
    <x:row r="3426">
      <x:c r="A3426" s="1" t="n">
        <x:v>25847</x:v>
      </x:c>
      <x:c r="B3426" s="5" t="d">
        <x:v>2016-01-13T00:00:00.000Z</x:v>
      </x:c>
      <x:c r="C3426" s="1" t="str">
        <x:v>Standard Class</x:v>
      </x:c>
      <x:c r="D3426" s="1" t="str">
        <x:v>Pacific Asia</x:v>
      </x:c>
      <x:c r="E3426" s="1" t="str">
        <x:v>PROCESSING</x:v>
      </x:c>
      <x:c r="F3426" s="1" t="str">
        <x:v>Advance shipping</x:v>
      </x:c>
      <x:c r="G3426" s="6" t="n">
        <x:v>3</x:v>
      </x:c>
      <x:c r="H3426" s="6" t="n">
        <x:v>4</x:v>
      </x:c>
      <x:c r="I3426" s="6" t="n">
        <x:f>G3426-H3426</x:f>
        <x:v>-1</x:v>
      </x:c>
      <x:c r="J3426" s="6" t="n">
        <x:f>IF(OR(E3426="CANCELED",E3426="SUSPECTED_FRAUD",F3426="Shipping canceled"),0,1)</x:f>
        <x:v>1</x:v>
      </x:c>
      <x:c r="K3426" s="6" t="n">
        <x:f>IF(G3426&gt;H3426,1,0)</x:f>
        <x:v>0</x:v>
      </x:c>
      <x:c r="L3426" s="6" t="n">
        <x:f>J3426*K3426</x:f>
        <x:v>0</x:v>
      </x:c>
    </x:row>
    <x:row r="3427">
      <x:c r="A3427" s="1" t="n">
        <x:v>25863</x:v>
      </x:c>
      <x:c r="B3427" s="5" t="d">
        <x:v>2016-01-13T00:00:00.000Z</x:v>
      </x:c>
      <x:c r="C3427" s="1" t="str">
        <x:v>First Class</x:v>
      </x:c>
      <x:c r="D3427" s="1" t="str">
        <x:v>Pacific Asia</x:v>
      </x:c>
      <x:c r="E3427" s="1" t="str">
        <x:v>CLOSED</x:v>
      </x:c>
      <x:c r="F3427" s="1" t="str">
        <x:v>Late delivery</x:v>
      </x:c>
      <x:c r="G3427" s="6" t="n">
        <x:v>2</x:v>
      </x:c>
      <x:c r="H3427" s="6" t="n">
        <x:v>1</x:v>
      </x:c>
      <x:c r="I3427" s="6" t="n">
        <x:f>G3427-H3427</x:f>
        <x:v>1</x:v>
      </x:c>
      <x:c r="J3427" s="6" t="n">
        <x:f>IF(OR(E3427="CANCELED",E3427="SUSPECTED_FRAUD",F3427="Shipping canceled"),0,1)</x:f>
        <x:v>1</x:v>
      </x:c>
      <x:c r="K3427" s="6" t="n">
        <x:f>IF(G3427&gt;H3427,1,0)</x:f>
        <x:v>1</x:v>
      </x:c>
      <x:c r="L3427" s="6" t="n">
        <x:f>J3427*K3427</x:f>
        <x:v>1</x:v>
      </x:c>
    </x:row>
    <x:row r="3428">
      <x:c r="A3428" s="1" t="n">
        <x:v>25874</x:v>
      </x:c>
      <x:c r="B3428" s="5" t="d">
        <x:v>2016-01-13T00:00:00.000Z</x:v>
      </x:c>
      <x:c r="C3428" s="1" t="str">
        <x:v>Standard Class</x:v>
      </x:c>
      <x:c r="D3428" s="1" t="str">
        <x:v>Pacific Asia</x:v>
      </x:c>
      <x:c r="E3428" s="1" t="str">
        <x:v>PENDING_PAYMENT</x:v>
      </x:c>
      <x:c r="F3428" s="1" t="str">
        <x:v>Late delivery</x:v>
      </x:c>
      <x:c r="G3428" s="6" t="n">
        <x:v>5</x:v>
      </x:c>
      <x:c r="H3428" s="6" t="n">
        <x:v>4</x:v>
      </x:c>
      <x:c r="I3428" s="6" t="n">
        <x:f>G3428-H3428</x:f>
        <x:v>1</x:v>
      </x:c>
      <x:c r="J3428" s="6" t="n">
        <x:f>IF(OR(E3428="CANCELED",E3428="SUSPECTED_FRAUD",F3428="Shipping canceled"),0,1)</x:f>
        <x:v>1</x:v>
      </x:c>
      <x:c r="K3428" s="6" t="n">
        <x:f>IF(G3428&gt;H3428,1,0)</x:f>
        <x:v>1</x:v>
      </x:c>
      <x:c r="L3428" s="6" t="n">
        <x:f>J3428*K3428</x:f>
        <x:v>1</x:v>
      </x:c>
    </x:row>
    <x:row r="3429">
      <x:c r="A3429" s="1" t="n">
        <x:v>25875</x:v>
      </x:c>
      <x:c r="B3429" s="5" t="d">
        <x:v>2016-01-13T00:00:00.000Z</x:v>
      </x:c>
      <x:c r="C3429" s="1" t="str">
        <x:v>Standard Class</x:v>
      </x:c>
      <x:c r="D3429" s="1" t="str">
        <x:v>Pacific Asia</x:v>
      </x:c>
      <x:c r="E3429" s="1" t="str">
        <x:v>PENDING</x:v>
      </x:c>
      <x:c r="F3429" s="1" t="str">
        <x:v>Late delivery</x:v>
      </x:c>
      <x:c r="G3429" s="6" t="n">
        <x:v>6</x:v>
      </x:c>
      <x:c r="H3429" s="6" t="n">
        <x:v>4</x:v>
      </x:c>
      <x:c r="I3429" s="6" t="n">
        <x:f>G3429-H3429</x:f>
        <x:v>2</x:v>
      </x:c>
      <x:c r="J3429" s="6" t="n">
        <x:f>IF(OR(E3429="CANCELED",E3429="SUSPECTED_FRAUD",F3429="Shipping canceled"),0,1)</x:f>
        <x:v>1</x:v>
      </x:c>
      <x:c r="K3429" s="6" t="n">
        <x:f>IF(G3429&gt;H3429,1,0)</x:f>
        <x:v>1</x:v>
      </x:c>
      <x:c r="L3429" s="6" t="n">
        <x:f>J3429*K3429</x:f>
        <x:v>1</x:v>
      </x:c>
    </x:row>
    <x:row r="3430">
      <x:c r="A3430" s="1" t="n">
        <x:v>25876</x:v>
      </x:c>
      <x:c r="B3430" s="5" t="d">
        <x:v>2016-01-13T00:00:00.000Z</x:v>
      </x:c>
      <x:c r="C3430" s="1" t="str">
        <x:v>Standard Class</x:v>
      </x:c>
      <x:c r="D3430" s="1" t="str">
        <x:v>Pacific Asia</x:v>
      </x:c>
      <x:c r="E3430" s="1" t="str">
        <x:v>PENDING_PAYMENT</x:v>
      </x:c>
      <x:c r="F3430" s="1" t="str">
        <x:v>Advance shipping</x:v>
      </x:c>
      <x:c r="G3430" s="6" t="n">
        <x:v>2</x:v>
      </x:c>
      <x:c r="H3430" s="6" t="n">
        <x:v>4</x:v>
      </x:c>
      <x:c r="I3430" s="6" t="n">
        <x:f>G3430-H3430</x:f>
        <x:v>-2</x:v>
      </x:c>
      <x:c r="J3430" s="6" t="n">
        <x:f>IF(OR(E3430="CANCELED",E3430="SUSPECTED_FRAUD",F3430="Shipping canceled"),0,1)</x:f>
        <x:v>1</x:v>
      </x:c>
      <x:c r="K3430" s="6" t="n">
        <x:f>IF(G3430&gt;H3430,1,0)</x:f>
        <x:v>0</x:v>
      </x:c>
      <x:c r="L3430" s="6" t="n">
        <x:f>J3430*K3430</x:f>
        <x:v>0</x:v>
      </x:c>
    </x:row>
    <x:row r="3431">
      <x:c r="A3431" s="1" t="n">
        <x:v>25880</x:v>
      </x:c>
      <x:c r="B3431" s="5" t="d">
        <x:v>2016-01-13T00:00:00.000Z</x:v>
      </x:c>
      <x:c r="C3431" s="1" t="str">
        <x:v>Standard Class</x:v>
      </x:c>
      <x:c r="D3431" s="1" t="str">
        <x:v>Pacific Asia</x:v>
      </x:c>
      <x:c r="E3431" s="1" t="str">
        <x:v>CANCELED</x:v>
      </x:c>
      <x:c r="F3431" s="1" t="str">
        <x:v>Shipping canceled</x:v>
      </x:c>
      <x:c r="G3431" s="6" t="n">
        <x:v>6</x:v>
      </x:c>
      <x:c r="H3431" s="6" t="n">
        <x:v>4</x:v>
      </x:c>
      <x:c r="I3431" s="6" t="n">
        <x:f>G3431-H3431</x:f>
        <x:v>2</x:v>
      </x:c>
      <x:c r="J3431" s="6" t="n">
        <x:f>IF(OR(E3431="CANCELED",E3431="SUSPECTED_FRAUD",F3431="Shipping canceled"),0,1)</x:f>
        <x:v>0</x:v>
      </x:c>
      <x:c r="K3431" s="6" t="n">
        <x:f>IF(G3431&gt;H3431,1,0)</x:f>
        <x:v>1</x:v>
      </x:c>
      <x:c r="L3431" s="6" t="n">
        <x:f>J3431*K3431</x:f>
        <x:v>0</x:v>
      </x:c>
    </x:row>
    <x:row r="3432">
      <x:c r="A3432" s="1" t="n">
        <x:v>25892</x:v>
      </x:c>
      <x:c r="B3432" s="5" t="d">
        <x:v>2016-01-13T00:00:00.000Z</x:v>
      </x:c>
      <x:c r="C3432" s="1" t="str">
        <x:v>Standard Class</x:v>
      </x:c>
      <x:c r="D3432" s="1" t="str">
        <x:v>Pacific Asia</x:v>
      </x:c>
      <x:c r="E3432" s="1" t="str">
        <x:v>ON_HOLD</x:v>
      </x:c>
      <x:c r="F3432" s="1" t="str">
        <x:v>Advance shipping</x:v>
      </x:c>
      <x:c r="G3432" s="6" t="n">
        <x:v>3</x:v>
      </x:c>
      <x:c r="H3432" s="6" t="n">
        <x:v>4</x:v>
      </x:c>
      <x:c r="I3432" s="6" t="n">
        <x:f>G3432-H3432</x:f>
        <x:v>-1</x:v>
      </x:c>
      <x:c r="J3432" s="6" t="n">
        <x:f>IF(OR(E3432="CANCELED",E3432="SUSPECTED_FRAUD",F3432="Shipping canceled"),0,1)</x:f>
        <x:v>1</x:v>
      </x:c>
      <x:c r="K3432" s="6" t="n">
        <x:f>IF(G3432&gt;H3432,1,0)</x:f>
        <x:v>0</x:v>
      </x:c>
      <x:c r="L3432" s="6" t="n">
        <x:f>J3432*K3432</x:f>
        <x:v>0</x:v>
      </x:c>
    </x:row>
    <x:row r="3433">
      <x:c r="A3433" s="1" t="n">
        <x:v>25897</x:v>
      </x:c>
      <x:c r="B3433" s="5" t="d">
        <x:v>2016-01-14T00:00:00.000Z</x:v>
      </x:c>
      <x:c r="C3433" s="1" t="str">
        <x:v>Same Day</x:v>
      </x:c>
      <x:c r="D3433" s="1" t="str">
        <x:v>Pacific Asia</x:v>
      </x:c>
      <x:c r="E3433" s="1" t="str">
        <x:v>COMPLETE</x:v>
      </x:c>
      <x:c r="F3433" s="1" t="str">
        <x:v>Shipping on time</x:v>
      </x:c>
      <x:c r="G3433" s="6" t="n">
        <x:v>0</x:v>
      </x:c>
      <x:c r="H3433" s="6" t="n">
        <x:v>0</x:v>
      </x:c>
      <x:c r="I3433" s="6" t="n">
        <x:f>G3433-H3433</x:f>
        <x:v>0</x:v>
      </x:c>
      <x:c r="J3433" s="6" t="n">
        <x:f>IF(OR(E3433="CANCELED",E3433="SUSPECTED_FRAUD",F3433="Shipping canceled"),0,1)</x:f>
        <x:v>1</x:v>
      </x:c>
      <x:c r="K3433" s="6" t="n">
        <x:f>IF(G3433&gt;H3433,1,0)</x:f>
        <x:v>0</x:v>
      </x:c>
      <x:c r="L3433" s="6" t="n">
        <x:f>J3433*K3433</x:f>
        <x:v>0</x:v>
      </x:c>
    </x:row>
    <x:row r="3434">
      <x:c r="A3434" s="1" t="n">
        <x:v>25900</x:v>
      </x:c>
      <x:c r="B3434" s="5" t="d">
        <x:v>2016-01-14T00:00:00.000Z</x:v>
      </x:c>
      <x:c r="C3434" s="1" t="str">
        <x:v>First Class</x:v>
      </x:c>
      <x:c r="D3434" s="1" t="str">
        <x:v>Pacific Asia</x:v>
      </x:c>
      <x:c r="E3434" s="1" t="str">
        <x:v>CLOSED</x:v>
      </x:c>
      <x:c r="F3434" s="1" t="str">
        <x:v>Late delivery</x:v>
      </x:c>
      <x:c r="G3434" s="6" t="n">
        <x:v>2</x:v>
      </x:c>
      <x:c r="H3434" s="6" t="n">
        <x:v>1</x:v>
      </x:c>
      <x:c r="I3434" s="6" t="n">
        <x:f>G3434-H3434</x:f>
        <x:v>1</x:v>
      </x:c>
      <x:c r="J3434" s="6" t="n">
        <x:f>IF(OR(E3434="CANCELED",E3434="SUSPECTED_FRAUD",F3434="Shipping canceled"),0,1)</x:f>
        <x:v>1</x:v>
      </x:c>
      <x:c r="K3434" s="6" t="n">
        <x:f>IF(G3434&gt;H3434,1,0)</x:f>
        <x:v>1</x:v>
      </x:c>
      <x:c r="L3434" s="6" t="n">
        <x:f>J3434*K3434</x:f>
        <x:v>1</x:v>
      </x:c>
    </x:row>
    <x:row r="3435">
      <x:c r="A3435" s="1" t="n">
        <x:v>25902</x:v>
      </x:c>
      <x:c r="B3435" s="5" t="d">
        <x:v>2016-01-14T00:00:00.000Z</x:v>
      </x:c>
      <x:c r="C3435" s="1" t="str">
        <x:v>Standard Class</x:v>
      </x:c>
      <x:c r="D3435" s="1" t="str">
        <x:v>Pacific Asia</x:v>
      </x:c>
      <x:c r="E3435" s="1" t="str">
        <x:v>COMPLETE</x:v>
      </x:c>
      <x:c r="F3435" s="1" t="str">
        <x:v>Advance shipping</x:v>
      </x:c>
      <x:c r="G3435" s="6" t="n">
        <x:v>3</x:v>
      </x:c>
      <x:c r="H3435" s="6" t="n">
        <x:v>4</x:v>
      </x:c>
      <x:c r="I3435" s="6" t="n">
        <x:f>G3435-H3435</x:f>
        <x:v>-1</x:v>
      </x:c>
      <x:c r="J3435" s="6" t="n">
        <x:f>IF(OR(E3435="CANCELED",E3435="SUSPECTED_FRAUD",F3435="Shipping canceled"),0,1)</x:f>
        <x:v>1</x:v>
      </x:c>
      <x:c r="K3435" s="6" t="n">
        <x:f>IF(G3435&gt;H3435,1,0)</x:f>
        <x:v>0</x:v>
      </x:c>
      <x:c r="L3435" s="6" t="n">
        <x:f>J3435*K3435</x:f>
        <x:v>0</x:v>
      </x:c>
    </x:row>
    <x:row r="3436">
      <x:c r="A3436" s="1" t="n">
        <x:v>25907</x:v>
      </x:c>
      <x:c r="B3436" s="5" t="d">
        <x:v>2016-01-14T00:00:00.000Z</x:v>
      </x:c>
      <x:c r="C3436" s="1" t="str">
        <x:v>Standard Class</x:v>
      </x:c>
      <x:c r="D3436" s="1" t="str">
        <x:v>Pacific Asia</x:v>
      </x:c>
      <x:c r="E3436" s="1" t="str">
        <x:v>COMPLETE</x:v>
      </x:c>
      <x:c r="F3436" s="1" t="str">
        <x:v>Advance shipping</x:v>
      </x:c>
      <x:c r="G3436" s="6" t="n">
        <x:v>3</x:v>
      </x:c>
      <x:c r="H3436" s="6" t="n">
        <x:v>4</x:v>
      </x:c>
      <x:c r="I3436" s="6" t="n">
        <x:f>G3436-H3436</x:f>
        <x:v>-1</x:v>
      </x:c>
      <x:c r="J3436" s="6" t="n">
        <x:f>IF(OR(E3436="CANCELED",E3436="SUSPECTED_FRAUD",F3436="Shipping canceled"),0,1)</x:f>
        <x:v>1</x:v>
      </x:c>
      <x:c r="K3436" s="6" t="n">
        <x:f>IF(G3436&gt;H3436,1,0)</x:f>
        <x:v>0</x:v>
      </x:c>
      <x:c r="L3436" s="6" t="n">
        <x:f>J3436*K3436</x:f>
        <x:v>0</x:v>
      </x:c>
    </x:row>
    <x:row r="3437">
      <x:c r="A3437" s="1" t="n">
        <x:v>25910</x:v>
      </x:c>
      <x:c r="B3437" s="5" t="d">
        <x:v>2016-01-14T00:00:00.000Z</x:v>
      </x:c>
      <x:c r="C3437" s="1" t="str">
        <x:v>Standard Class</x:v>
      </x:c>
      <x:c r="D3437" s="1" t="str">
        <x:v>Pacific Asia</x:v>
      </x:c>
      <x:c r="E3437" s="1" t="str">
        <x:v>PENDING_PAYMENT</x:v>
      </x:c>
      <x:c r="F3437" s="1" t="str">
        <x:v>Late delivery</x:v>
      </x:c>
      <x:c r="G3437" s="6" t="n">
        <x:v>6</x:v>
      </x:c>
      <x:c r="H3437" s="6" t="n">
        <x:v>4</x:v>
      </x:c>
      <x:c r="I3437" s="6" t="n">
        <x:f>G3437-H3437</x:f>
        <x:v>2</x:v>
      </x:c>
      <x:c r="J3437" s="6" t="n">
        <x:f>IF(OR(E3437="CANCELED",E3437="SUSPECTED_FRAUD",F3437="Shipping canceled"),0,1)</x:f>
        <x:v>1</x:v>
      </x:c>
      <x:c r="K3437" s="6" t="n">
        <x:f>IF(G3437&gt;H3437,1,0)</x:f>
        <x:v>1</x:v>
      </x:c>
      <x:c r="L3437" s="6" t="n">
        <x:f>J3437*K3437</x:f>
        <x:v>1</x:v>
      </x:c>
    </x:row>
    <x:row r="3438">
      <x:c r="A3438" s="1" t="n">
        <x:v>25912</x:v>
      </x:c>
      <x:c r="B3438" s="5" t="d">
        <x:v>2016-01-14T00:00:00.000Z</x:v>
      </x:c>
      <x:c r="C3438" s="1" t="str">
        <x:v>Standard Class</x:v>
      </x:c>
      <x:c r="D3438" s="1" t="str">
        <x:v>Pacific Asia</x:v>
      </x:c>
      <x:c r="E3438" s="1" t="str">
        <x:v>CANCELED</x:v>
      </x:c>
      <x:c r="F3438" s="1" t="str">
        <x:v>Shipping canceled</x:v>
      </x:c>
      <x:c r="G3438" s="6" t="n">
        <x:v>3</x:v>
      </x:c>
      <x:c r="H3438" s="6" t="n">
        <x:v>4</x:v>
      </x:c>
      <x:c r="I3438" s="6" t="n">
        <x:f>G3438-H3438</x:f>
        <x:v>-1</x:v>
      </x:c>
      <x:c r="J3438" s="6" t="n">
        <x:f>IF(OR(E3438="CANCELED",E3438="SUSPECTED_FRAUD",F3438="Shipping canceled"),0,1)</x:f>
        <x:v>0</x:v>
      </x:c>
      <x:c r="K3438" s="6" t="n">
        <x:f>IF(G3438&gt;H3438,1,0)</x:f>
        <x:v>0</x:v>
      </x:c>
      <x:c r="L3438" s="6" t="n">
        <x:f>J3438*K3438</x:f>
        <x:v>0</x:v>
      </x:c>
    </x:row>
    <x:row r="3439">
      <x:c r="A3439" s="1" t="n">
        <x:v>25920</x:v>
      </x:c>
      <x:c r="B3439" s="5" t="d">
        <x:v>2016-01-14T00:00:00.000Z</x:v>
      </x:c>
      <x:c r="C3439" s="1" t="str">
        <x:v>Second Class</x:v>
      </x:c>
      <x:c r="D3439" s="1" t="str">
        <x:v>Pacific Asia</x:v>
      </x:c>
      <x:c r="E3439" s="1" t="str">
        <x:v>COMPLETE</x:v>
      </x:c>
      <x:c r="F3439" s="1" t="str">
        <x:v>Late delivery</x:v>
      </x:c>
      <x:c r="G3439" s="6" t="n">
        <x:v>6</x:v>
      </x:c>
      <x:c r="H3439" s="6" t="n">
        <x:v>2</x:v>
      </x:c>
      <x:c r="I3439" s="6" t="n">
        <x:f>G3439-H3439</x:f>
        <x:v>4</x:v>
      </x:c>
      <x:c r="J3439" s="6" t="n">
        <x:f>IF(OR(E3439="CANCELED",E3439="SUSPECTED_FRAUD",F3439="Shipping canceled"),0,1)</x:f>
        <x:v>1</x:v>
      </x:c>
      <x:c r="K3439" s="6" t="n">
        <x:f>IF(G3439&gt;H3439,1,0)</x:f>
        <x:v>1</x:v>
      </x:c>
      <x:c r="L3439" s="6" t="n">
        <x:f>J3439*K3439</x:f>
        <x:v>1</x:v>
      </x:c>
    </x:row>
    <x:row r="3440">
      <x:c r="A3440" s="1" t="n">
        <x:v>25927</x:v>
      </x:c>
      <x:c r="B3440" s="5" t="d">
        <x:v>2016-01-14T00:00:00.000Z</x:v>
      </x:c>
      <x:c r="C3440" s="1" t="str">
        <x:v>Standard Class</x:v>
      </x:c>
      <x:c r="D3440" s="1" t="str">
        <x:v>Pacific Asia</x:v>
      </x:c>
      <x:c r="E3440" s="1" t="str">
        <x:v>COMPLETE</x:v>
      </x:c>
      <x:c r="F3440" s="1" t="str">
        <x:v>Advance shipping</x:v>
      </x:c>
      <x:c r="G3440" s="6" t="n">
        <x:v>3</x:v>
      </x:c>
      <x:c r="H3440" s="6" t="n">
        <x:v>4</x:v>
      </x:c>
      <x:c r="I3440" s="6" t="n">
        <x:f>G3440-H3440</x:f>
        <x:v>-1</x:v>
      </x:c>
      <x:c r="J3440" s="6" t="n">
        <x:f>IF(OR(E3440="CANCELED",E3440="SUSPECTED_FRAUD",F3440="Shipping canceled"),0,1)</x:f>
        <x:v>1</x:v>
      </x:c>
      <x:c r="K3440" s="6" t="n">
        <x:f>IF(G3440&gt;H3440,1,0)</x:f>
        <x:v>0</x:v>
      </x:c>
      <x:c r="L3440" s="6" t="n">
        <x:f>J3440*K3440</x:f>
        <x:v>0</x:v>
      </x:c>
    </x:row>
    <x:row r="3441">
      <x:c r="A3441" s="1" t="n">
        <x:v>25938</x:v>
      </x:c>
      <x:c r="B3441" s="5" t="d">
        <x:v>2016-01-14T00:00:00.000Z</x:v>
      </x:c>
      <x:c r="C3441" s="1" t="str">
        <x:v>Standard Class</x:v>
      </x:c>
      <x:c r="D3441" s="1" t="str">
        <x:v>Pacific Asia</x:v>
      </x:c>
      <x:c r="E3441" s="1" t="str">
        <x:v>ON_HOLD</x:v>
      </x:c>
      <x:c r="F3441" s="1" t="str">
        <x:v>Shipping on time</x:v>
      </x:c>
      <x:c r="G3441" s="6" t="n">
        <x:v>4</x:v>
      </x:c>
      <x:c r="H3441" s="6" t="n">
        <x:v>4</x:v>
      </x:c>
      <x:c r="I3441" s="6" t="n">
        <x:f>G3441-H3441</x:f>
        <x:v>0</x:v>
      </x:c>
      <x:c r="J3441" s="6" t="n">
        <x:f>IF(OR(E3441="CANCELED",E3441="SUSPECTED_FRAUD",F3441="Shipping canceled"),0,1)</x:f>
        <x:v>1</x:v>
      </x:c>
      <x:c r="K3441" s="6" t="n">
        <x:f>IF(G3441&gt;H3441,1,0)</x:f>
        <x:v>0</x:v>
      </x:c>
      <x:c r="L3441" s="6" t="n">
        <x:f>J3441*K3441</x:f>
        <x:v>0</x:v>
      </x:c>
    </x:row>
    <x:row r="3442">
      <x:c r="A3442" s="1" t="n">
        <x:v>25942</x:v>
      </x:c>
      <x:c r="B3442" s="5" t="d">
        <x:v>2016-01-14T00:00:00.000Z</x:v>
      </x:c>
      <x:c r="C3442" s="1" t="str">
        <x:v>Standard Class</x:v>
      </x:c>
      <x:c r="D3442" s="1" t="str">
        <x:v>Pacific Asia</x:v>
      </x:c>
      <x:c r="E3442" s="1" t="str">
        <x:v>PROCESSING</x:v>
      </x:c>
      <x:c r="F3442" s="1" t="str">
        <x:v>Advance shipping</x:v>
      </x:c>
      <x:c r="G3442" s="6" t="n">
        <x:v>3</x:v>
      </x:c>
      <x:c r="H3442" s="6" t="n">
        <x:v>4</x:v>
      </x:c>
      <x:c r="I3442" s="6" t="n">
        <x:f>G3442-H3442</x:f>
        <x:v>-1</x:v>
      </x:c>
      <x:c r="J3442" s="6" t="n">
        <x:f>IF(OR(E3442="CANCELED",E3442="SUSPECTED_FRAUD",F3442="Shipping canceled"),0,1)</x:f>
        <x:v>1</x:v>
      </x:c>
      <x:c r="K3442" s="6" t="n">
        <x:f>IF(G3442&gt;H3442,1,0)</x:f>
        <x:v>0</x:v>
      </x:c>
      <x:c r="L3442" s="6" t="n">
        <x:f>J3442*K3442</x:f>
        <x:v>0</x:v>
      </x:c>
    </x:row>
    <x:row r="3443">
      <x:c r="A3443" s="1" t="n">
        <x:v>25946</x:v>
      </x:c>
      <x:c r="B3443" s="5" t="d">
        <x:v>2016-01-14T00:00:00.000Z</x:v>
      </x:c>
      <x:c r="C3443" s="1" t="str">
        <x:v>Second Class</x:v>
      </x:c>
      <x:c r="D3443" s="1" t="str">
        <x:v>Pacific Asia</x:v>
      </x:c>
      <x:c r="E3443" s="1" t="str">
        <x:v>ON_HOLD</x:v>
      </x:c>
      <x:c r="F3443" s="1" t="str">
        <x:v>Shipping on time</x:v>
      </x:c>
      <x:c r="G3443" s="6" t="n">
        <x:v>2</x:v>
      </x:c>
      <x:c r="H3443" s="6" t="n">
        <x:v>2</x:v>
      </x:c>
      <x:c r="I3443" s="6" t="n">
        <x:f>G3443-H3443</x:f>
        <x:v>0</x:v>
      </x:c>
      <x:c r="J3443" s="6" t="n">
        <x:f>IF(OR(E3443="CANCELED",E3443="SUSPECTED_FRAUD",F3443="Shipping canceled"),0,1)</x:f>
        <x:v>1</x:v>
      </x:c>
      <x:c r="K3443" s="6" t="n">
        <x:f>IF(G3443&gt;H3443,1,0)</x:f>
        <x:v>0</x:v>
      </x:c>
      <x:c r="L3443" s="6" t="n">
        <x:f>J3443*K3443</x:f>
        <x:v>0</x:v>
      </x:c>
    </x:row>
    <x:row r="3444">
      <x:c r="A3444" s="1" t="n">
        <x:v>25956</x:v>
      </x:c>
      <x:c r="B3444" s="5" t="d">
        <x:v>2016-01-14T00:00:00.000Z</x:v>
      </x:c>
      <x:c r="C3444" s="1" t="str">
        <x:v>First Class</x:v>
      </x:c>
      <x:c r="D3444" s="1" t="str">
        <x:v>Pacific Asia</x:v>
      </x:c>
      <x:c r="E3444" s="1" t="str">
        <x:v>CLOSED</x:v>
      </x:c>
      <x:c r="F3444" s="1" t="str">
        <x:v>Late delivery</x:v>
      </x:c>
      <x:c r="G3444" s="6" t="n">
        <x:v>2</x:v>
      </x:c>
      <x:c r="H3444" s="6" t="n">
        <x:v>1</x:v>
      </x:c>
      <x:c r="I3444" s="6" t="n">
        <x:f>G3444-H3444</x:f>
        <x:v>1</x:v>
      </x:c>
      <x:c r="J3444" s="6" t="n">
        <x:f>IF(OR(E3444="CANCELED",E3444="SUSPECTED_FRAUD",F3444="Shipping canceled"),0,1)</x:f>
        <x:v>1</x:v>
      </x:c>
      <x:c r="K3444" s="6" t="n">
        <x:f>IF(G3444&gt;H3444,1,0)</x:f>
        <x:v>1</x:v>
      </x:c>
      <x:c r="L3444" s="6" t="n">
        <x:f>J3444*K3444</x:f>
        <x:v>1</x:v>
      </x:c>
    </x:row>
    <x:row r="3445">
      <x:c r="A3445" s="1" t="n">
        <x:v>25958</x:v>
      </x:c>
      <x:c r="B3445" s="5" t="d">
        <x:v>2016-01-14T00:00:00.000Z</x:v>
      </x:c>
      <x:c r="C3445" s="1" t="str">
        <x:v>Second Class</x:v>
      </x:c>
      <x:c r="D3445" s="1" t="str">
        <x:v>Pacific Asia</x:v>
      </x:c>
      <x:c r="E3445" s="1" t="str">
        <x:v>COMPLETE</x:v>
      </x:c>
      <x:c r="F3445" s="1" t="str">
        <x:v>Late delivery</x:v>
      </x:c>
      <x:c r="G3445" s="6" t="n">
        <x:v>4</x:v>
      </x:c>
      <x:c r="H3445" s="6" t="n">
        <x:v>2</x:v>
      </x:c>
      <x:c r="I3445" s="6" t="n">
        <x:f>G3445-H3445</x:f>
        <x:v>2</x:v>
      </x:c>
      <x:c r="J3445" s="6" t="n">
        <x:f>IF(OR(E3445="CANCELED",E3445="SUSPECTED_FRAUD",F3445="Shipping canceled"),0,1)</x:f>
        <x:v>1</x:v>
      </x:c>
      <x:c r="K3445" s="6" t="n">
        <x:f>IF(G3445&gt;H3445,1,0)</x:f>
        <x:v>1</x:v>
      </x:c>
      <x:c r="L3445" s="6" t="n">
        <x:f>J3445*K3445</x:f>
        <x:v>1</x:v>
      </x:c>
    </x:row>
    <x:row r="3446">
      <x:c r="A3446" s="1" t="n">
        <x:v>25988</x:v>
      </x:c>
      <x:c r="B3446" s="5" t="d">
        <x:v>2016-01-15T00:00:00.000Z</x:v>
      </x:c>
      <x:c r="C3446" s="1" t="str">
        <x:v>Standard Class</x:v>
      </x:c>
      <x:c r="D3446" s="1" t="str">
        <x:v>Pacific Asia</x:v>
      </x:c>
      <x:c r="E3446" s="1" t="str">
        <x:v>PENDING_PAYMENT</x:v>
      </x:c>
      <x:c r="F3446" s="1" t="str">
        <x:v>Shipping on time</x:v>
      </x:c>
      <x:c r="G3446" s="6" t="n">
        <x:v>4</x:v>
      </x:c>
      <x:c r="H3446" s="6" t="n">
        <x:v>4</x:v>
      </x:c>
      <x:c r="I3446" s="6" t="n">
        <x:f>G3446-H3446</x:f>
        <x:v>0</x:v>
      </x:c>
      <x:c r="J3446" s="6" t="n">
        <x:f>IF(OR(E3446="CANCELED",E3446="SUSPECTED_FRAUD",F3446="Shipping canceled"),0,1)</x:f>
        <x:v>1</x:v>
      </x:c>
      <x:c r="K3446" s="6" t="n">
        <x:f>IF(G3446&gt;H3446,1,0)</x:f>
        <x:v>0</x:v>
      </x:c>
      <x:c r="L3446" s="6" t="n">
        <x:f>J3446*K3446</x:f>
        <x:v>0</x:v>
      </x:c>
    </x:row>
    <x:row r="3447">
      <x:c r="A3447" s="1" t="n">
        <x:v>25991</x:v>
      </x:c>
      <x:c r="B3447" s="5" t="d">
        <x:v>2016-01-15T00:00:00.000Z</x:v>
      </x:c>
      <x:c r="C3447" s="1" t="str">
        <x:v>Standard Class</x:v>
      </x:c>
      <x:c r="D3447" s="1" t="str">
        <x:v>Pacific Asia</x:v>
      </x:c>
      <x:c r="E3447" s="1" t="str">
        <x:v>CLOSED</x:v>
      </x:c>
      <x:c r="F3447" s="1" t="str">
        <x:v>Advance shipping</x:v>
      </x:c>
      <x:c r="G3447" s="6" t="n">
        <x:v>2</x:v>
      </x:c>
      <x:c r="H3447" s="6" t="n">
        <x:v>4</x:v>
      </x:c>
      <x:c r="I3447" s="6" t="n">
        <x:f>G3447-H3447</x:f>
        <x:v>-2</x:v>
      </x:c>
      <x:c r="J3447" s="6" t="n">
        <x:f>IF(OR(E3447="CANCELED",E3447="SUSPECTED_FRAUD",F3447="Shipping canceled"),0,1)</x:f>
        <x:v>1</x:v>
      </x:c>
      <x:c r="K3447" s="6" t="n">
        <x:f>IF(G3447&gt;H3447,1,0)</x:f>
        <x:v>0</x:v>
      </x:c>
      <x:c r="L3447" s="6" t="n">
        <x:f>J3447*K3447</x:f>
        <x:v>0</x:v>
      </x:c>
    </x:row>
    <x:row r="3448">
      <x:c r="A3448" s="1" t="n">
        <x:v>26020</x:v>
      </x:c>
      <x:c r="B3448" s="5" t="d">
        <x:v>2016-01-15T00:00:00.000Z</x:v>
      </x:c>
      <x:c r="C3448" s="1" t="str">
        <x:v>Standard Class</x:v>
      </x:c>
      <x:c r="D3448" s="1" t="str">
        <x:v>Pacific Asia</x:v>
      </x:c>
      <x:c r="E3448" s="1" t="str">
        <x:v>CLOSED</x:v>
      </x:c>
      <x:c r="F3448" s="1" t="str">
        <x:v>Late delivery</x:v>
      </x:c>
      <x:c r="G3448" s="6" t="n">
        <x:v>6</x:v>
      </x:c>
      <x:c r="H3448" s="6" t="n">
        <x:v>4</x:v>
      </x:c>
      <x:c r="I3448" s="6" t="n">
        <x:f>G3448-H3448</x:f>
        <x:v>2</x:v>
      </x:c>
      <x:c r="J3448" s="6" t="n">
        <x:f>IF(OR(E3448="CANCELED",E3448="SUSPECTED_FRAUD",F3448="Shipping canceled"),0,1)</x:f>
        <x:v>1</x:v>
      </x:c>
      <x:c r="K3448" s="6" t="n">
        <x:f>IF(G3448&gt;H3448,1,0)</x:f>
        <x:v>1</x:v>
      </x:c>
      <x:c r="L3448" s="6" t="n">
        <x:f>J3448*K3448</x:f>
        <x:v>1</x:v>
      </x:c>
    </x:row>
    <x:row r="3449">
      <x:c r="A3449" s="1" t="n">
        <x:v>26024</x:v>
      </x:c>
      <x:c r="B3449" s="5" t="d">
        <x:v>2016-01-15T00:00:00.000Z</x:v>
      </x:c>
      <x:c r="C3449" s="1" t="str">
        <x:v>Standard Class</x:v>
      </x:c>
      <x:c r="D3449" s="1" t="str">
        <x:v>Pacific Asia</x:v>
      </x:c>
      <x:c r="E3449" s="1" t="str">
        <x:v>PENDING</x:v>
      </x:c>
      <x:c r="F3449" s="1" t="str">
        <x:v>Late delivery</x:v>
      </x:c>
      <x:c r="G3449" s="6" t="n">
        <x:v>5</x:v>
      </x:c>
      <x:c r="H3449" s="6" t="n">
        <x:v>4</x:v>
      </x:c>
      <x:c r="I3449" s="6" t="n">
        <x:f>G3449-H3449</x:f>
        <x:v>1</x:v>
      </x:c>
      <x:c r="J3449" s="6" t="n">
        <x:f>IF(OR(E3449="CANCELED",E3449="SUSPECTED_FRAUD",F3449="Shipping canceled"),0,1)</x:f>
        <x:v>1</x:v>
      </x:c>
      <x:c r="K3449" s="6" t="n">
        <x:f>IF(G3449&gt;H3449,1,0)</x:f>
        <x:v>1</x:v>
      </x:c>
      <x:c r="L3449" s="6" t="n">
        <x:f>J3449*K3449</x:f>
        <x:v>1</x:v>
      </x:c>
    </x:row>
    <x:row r="3450">
      <x:c r="A3450" s="1" t="n">
        <x:v>26036</x:v>
      </x:c>
      <x:c r="B3450" s="5" t="d">
        <x:v>2016-01-16T00:00:00.000Z</x:v>
      </x:c>
      <x:c r="C3450" s="1" t="str">
        <x:v>Standard Class</x:v>
      </x:c>
      <x:c r="D3450" s="1" t="str">
        <x:v>Pacific Asia</x:v>
      </x:c>
      <x:c r="E3450" s="1" t="str">
        <x:v>COMPLETE</x:v>
      </x:c>
      <x:c r="F3450" s="1" t="str">
        <x:v>Advance shipping</x:v>
      </x:c>
      <x:c r="G3450" s="6" t="n">
        <x:v>2</x:v>
      </x:c>
      <x:c r="H3450" s="6" t="n">
        <x:v>4</x:v>
      </x:c>
      <x:c r="I3450" s="6" t="n">
        <x:f>G3450-H3450</x:f>
        <x:v>-2</x:v>
      </x:c>
      <x:c r="J3450" s="6" t="n">
        <x:f>IF(OR(E3450="CANCELED",E3450="SUSPECTED_FRAUD",F3450="Shipping canceled"),0,1)</x:f>
        <x:v>1</x:v>
      </x:c>
      <x:c r="K3450" s="6" t="n">
        <x:f>IF(G3450&gt;H3450,1,0)</x:f>
        <x:v>0</x:v>
      </x:c>
      <x:c r="L3450" s="6" t="n">
        <x:f>J3450*K3450</x:f>
        <x:v>0</x:v>
      </x:c>
    </x:row>
    <x:row r="3451">
      <x:c r="A3451" s="1" t="n">
        <x:v>26039</x:v>
      </x:c>
      <x:c r="B3451" s="5" t="d">
        <x:v>2016-01-16T00:00:00.000Z</x:v>
      </x:c>
      <x:c r="C3451" s="1" t="str">
        <x:v>Standard Class</x:v>
      </x:c>
      <x:c r="D3451" s="1" t="str">
        <x:v>Pacific Asia</x:v>
      </x:c>
      <x:c r="E3451" s="1" t="str">
        <x:v>PROCESSING</x:v>
      </x:c>
      <x:c r="F3451" s="1" t="str">
        <x:v>Late delivery</x:v>
      </x:c>
      <x:c r="G3451" s="6" t="n">
        <x:v>5</x:v>
      </x:c>
      <x:c r="H3451" s="6" t="n">
        <x:v>4</x:v>
      </x:c>
      <x:c r="I3451" s="6" t="n">
        <x:f>G3451-H3451</x:f>
        <x:v>1</x:v>
      </x:c>
      <x:c r="J3451" s="6" t="n">
        <x:f>IF(OR(E3451="CANCELED",E3451="SUSPECTED_FRAUD",F3451="Shipping canceled"),0,1)</x:f>
        <x:v>1</x:v>
      </x:c>
      <x:c r="K3451" s="6" t="n">
        <x:f>IF(G3451&gt;H3451,1,0)</x:f>
        <x:v>1</x:v>
      </x:c>
      <x:c r="L3451" s="6" t="n">
        <x:f>J3451*K3451</x:f>
        <x:v>1</x:v>
      </x:c>
    </x:row>
    <x:row r="3452">
      <x:c r="A3452" s="1" t="n">
        <x:v>26046</x:v>
      </x:c>
      <x:c r="B3452" s="5" t="d">
        <x:v>2016-01-16T00:00:00.000Z</x:v>
      </x:c>
      <x:c r="C3452" s="1" t="str">
        <x:v>Standard Class</x:v>
      </x:c>
      <x:c r="D3452" s="1" t="str">
        <x:v>Pacific Asia</x:v>
      </x:c>
      <x:c r="E3452" s="1" t="str">
        <x:v>ON_HOLD</x:v>
      </x:c>
      <x:c r="F3452" s="1" t="str">
        <x:v>Advance shipping</x:v>
      </x:c>
      <x:c r="G3452" s="6" t="n">
        <x:v>2</x:v>
      </x:c>
      <x:c r="H3452" s="6" t="n">
        <x:v>4</x:v>
      </x:c>
      <x:c r="I3452" s="6" t="n">
        <x:f>G3452-H3452</x:f>
        <x:v>-2</x:v>
      </x:c>
      <x:c r="J3452" s="6" t="n">
        <x:f>IF(OR(E3452="CANCELED",E3452="SUSPECTED_FRAUD",F3452="Shipping canceled"),0,1)</x:f>
        <x:v>1</x:v>
      </x:c>
      <x:c r="K3452" s="6" t="n">
        <x:f>IF(G3452&gt;H3452,1,0)</x:f>
        <x:v>0</x:v>
      </x:c>
      <x:c r="L3452" s="6" t="n">
        <x:f>J3452*K3452</x:f>
        <x:v>0</x:v>
      </x:c>
    </x:row>
    <x:row r="3453">
      <x:c r="A3453" s="1" t="n">
        <x:v>26054</x:v>
      </x:c>
      <x:c r="B3453" s="5" t="d">
        <x:v>2016-01-16T00:00:00.000Z</x:v>
      </x:c>
      <x:c r="C3453" s="1" t="str">
        <x:v>Standard Class</x:v>
      </x:c>
      <x:c r="D3453" s="1" t="str">
        <x:v>Pacific Asia</x:v>
      </x:c>
      <x:c r="E3453" s="1" t="str">
        <x:v>PROCESSING</x:v>
      </x:c>
      <x:c r="F3453" s="1" t="str">
        <x:v>Late delivery</x:v>
      </x:c>
      <x:c r="G3453" s="6" t="n">
        <x:v>5</x:v>
      </x:c>
      <x:c r="H3453" s="6" t="n">
        <x:v>4</x:v>
      </x:c>
      <x:c r="I3453" s="6" t="n">
        <x:f>G3453-H3453</x:f>
        <x:v>1</x:v>
      </x:c>
      <x:c r="J3453" s="6" t="n">
        <x:f>IF(OR(E3453="CANCELED",E3453="SUSPECTED_FRAUD",F3453="Shipping canceled"),0,1)</x:f>
        <x:v>1</x:v>
      </x:c>
      <x:c r="K3453" s="6" t="n">
        <x:f>IF(G3453&gt;H3453,1,0)</x:f>
        <x:v>1</x:v>
      </x:c>
      <x:c r="L3453" s="6" t="n">
        <x:f>J3453*K3453</x:f>
        <x:v>1</x:v>
      </x:c>
    </x:row>
    <x:row r="3454">
      <x:c r="A3454" s="1" t="n">
        <x:v>26056</x:v>
      </x:c>
      <x:c r="B3454" s="5" t="d">
        <x:v>2016-01-16T00:00:00.000Z</x:v>
      </x:c>
      <x:c r="C3454" s="1" t="str">
        <x:v>Second Class</x:v>
      </x:c>
      <x:c r="D3454" s="1" t="str">
        <x:v>Pacific Asia</x:v>
      </x:c>
      <x:c r="E3454" s="1" t="str">
        <x:v>COMPLETE</x:v>
      </x:c>
      <x:c r="F3454" s="1" t="str">
        <x:v>Shipping on time</x:v>
      </x:c>
      <x:c r="G3454" s="6" t="n">
        <x:v>2</x:v>
      </x:c>
      <x:c r="H3454" s="6" t="n">
        <x:v>2</x:v>
      </x:c>
      <x:c r="I3454" s="6" t="n">
        <x:f>G3454-H3454</x:f>
        <x:v>0</x:v>
      </x:c>
      <x:c r="J3454" s="6" t="n">
        <x:f>IF(OR(E3454="CANCELED",E3454="SUSPECTED_FRAUD",F3454="Shipping canceled"),0,1)</x:f>
        <x:v>1</x:v>
      </x:c>
      <x:c r="K3454" s="6" t="n">
        <x:f>IF(G3454&gt;H3454,1,0)</x:f>
        <x:v>0</x:v>
      </x:c>
      <x:c r="L3454" s="6" t="n">
        <x:f>J3454*K3454</x:f>
        <x:v>0</x:v>
      </x:c>
    </x:row>
    <x:row r="3455">
      <x:c r="A3455" s="1" t="n">
        <x:v>26061</x:v>
      </x:c>
      <x:c r="B3455" s="5" t="d">
        <x:v>2016-01-16T00:00:00.000Z</x:v>
      </x:c>
      <x:c r="C3455" s="1" t="str">
        <x:v>Standard Class</x:v>
      </x:c>
      <x:c r="D3455" s="1" t="str">
        <x:v>Pacific Asia</x:v>
      </x:c>
      <x:c r="E3455" s="1" t="str">
        <x:v>COMPLETE</x:v>
      </x:c>
      <x:c r="F3455" s="1" t="str">
        <x:v>Advance shipping</x:v>
      </x:c>
      <x:c r="G3455" s="6" t="n">
        <x:v>2</x:v>
      </x:c>
      <x:c r="H3455" s="6" t="n">
        <x:v>4</x:v>
      </x:c>
      <x:c r="I3455" s="6" t="n">
        <x:f>G3455-H3455</x:f>
        <x:v>-2</x:v>
      </x:c>
      <x:c r="J3455" s="6" t="n">
        <x:f>IF(OR(E3455="CANCELED",E3455="SUSPECTED_FRAUD",F3455="Shipping canceled"),0,1)</x:f>
        <x:v>1</x:v>
      </x:c>
      <x:c r="K3455" s="6" t="n">
        <x:f>IF(G3455&gt;H3455,1,0)</x:f>
        <x:v>0</x:v>
      </x:c>
      <x:c r="L3455" s="6" t="n">
        <x:f>J3455*K3455</x:f>
        <x:v>0</x:v>
      </x:c>
    </x:row>
    <x:row r="3456">
      <x:c r="A3456" s="1" t="n">
        <x:v>26063</x:v>
      </x:c>
      <x:c r="B3456" s="5" t="d">
        <x:v>2016-01-16T00:00:00.000Z</x:v>
      </x:c>
      <x:c r="C3456" s="1" t="str">
        <x:v>Standard Class</x:v>
      </x:c>
      <x:c r="D3456" s="1" t="str">
        <x:v>Pacific Asia</x:v>
      </x:c>
      <x:c r="E3456" s="1" t="str">
        <x:v>COMPLETE</x:v>
      </x:c>
      <x:c r="F3456" s="1" t="str">
        <x:v>Shipping on time</x:v>
      </x:c>
      <x:c r="G3456" s="6" t="n">
        <x:v>4</x:v>
      </x:c>
      <x:c r="H3456" s="6" t="n">
        <x:v>4</x:v>
      </x:c>
      <x:c r="I3456" s="6" t="n">
        <x:f>G3456-H3456</x:f>
        <x:v>0</x:v>
      </x:c>
      <x:c r="J3456" s="6" t="n">
        <x:f>IF(OR(E3456="CANCELED",E3456="SUSPECTED_FRAUD",F3456="Shipping canceled"),0,1)</x:f>
        <x:v>1</x:v>
      </x:c>
      <x:c r="K3456" s="6" t="n">
        <x:f>IF(G3456&gt;H3456,1,0)</x:f>
        <x:v>0</x:v>
      </x:c>
      <x:c r="L3456" s="6" t="n">
        <x:f>J3456*K3456</x:f>
        <x:v>0</x:v>
      </x:c>
    </x:row>
    <x:row r="3457">
      <x:c r="A3457" s="1" t="n">
        <x:v>26070</x:v>
      </x:c>
      <x:c r="B3457" s="5" t="d">
        <x:v>2016-01-16T00:00:00.000Z</x:v>
      </x:c>
      <x:c r="C3457" s="1" t="str">
        <x:v>Standard Class</x:v>
      </x:c>
      <x:c r="D3457" s="1" t="str">
        <x:v>Pacific Asia</x:v>
      </x:c>
      <x:c r="E3457" s="1" t="str">
        <x:v>CLOSED</x:v>
      </x:c>
      <x:c r="F3457" s="1" t="str">
        <x:v>Late delivery</x:v>
      </x:c>
      <x:c r="G3457" s="6" t="n">
        <x:v>6</x:v>
      </x:c>
      <x:c r="H3457" s="6" t="n">
        <x:v>4</x:v>
      </x:c>
      <x:c r="I3457" s="6" t="n">
        <x:f>G3457-H3457</x:f>
        <x:v>2</x:v>
      </x:c>
      <x:c r="J3457" s="6" t="n">
        <x:f>IF(OR(E3457="CANCELED",E3457="SUSPECTED_FRAUD",F3457="Shipping canceled"),0,1)</x:f>
        <x:v>1</x:v>
      </x:c>
      <x:c r="K3457" s="6" t="n">
        <x:f>IF(G3457&gt;H3457,1,0)</x:f>
        <x:v>1</x:v>
      </x:c>
      <x:c r="L3457" s="6" t="n">
        <x:f>J3457*K3457</x:f>
        <x:v>1</x:v>
      </x:c>
    </x:row>
    <x:row r="3458">
      <x:c r="A3458" s="1" t="n">
        <x:v>26072</x:v>
      </x:c>
      <x:c r="B3458" s="5" t="d">
        <x:v>2016-01-16T00:00:00.000Z</x:v>
      </x:c>
      <x:c r="C3458" s="1" t="str">
        <x:v>Standard Class</x:v>
      </x:c>
      <x:c r="D3458" s="1" t="str">
        <x:v>Pacific Asia</x:v>
      </x:c>
      <x:c r="E3458" s="1" t="str">
        <x:v>CLOSED</x:v>
      </x:c>
      <x:c r="F3458" s="1" t="str">
        <x:v>Advance shipping</x:v>
      </x:c>
      <x:c r="G3458" s="6" t="n">
        <x:v>3</x:v>
      </x:c>
      <x:c r="H3458" s="6" t="n">
        <x:v>4</x:v>
      </x:c>
      <x:c r="I3458" s="6" t="n">
        <x:f>G3458-H3458</x:f>
        <x:v>-1</x:v>
      </x:c>
      <x:c r="J3458" s="6" t="n">
        <x:f>IF(OR(E3458="CANCELED",E3458="SUSPECTED_FRAUD",F3458="Shipping canceled"),0,1)</x:f>
        <x:v>1</x:v>
      </x:c>
      <x:c r="K3458" s="6" t="n">
        <x:f>IF(G3458&gt;H3458,1,0)</x:f>
        <x:v>0</x:v>
      </x:c>
      <x:c r="L3458" s="6" t="n">
        <x:f>J3458*K3458</x:f>
        <x:v>0</x:v>
      </x:c>
    </x:row>
    <x:row r="3459">
      <x:c r="A3459" s="1" t="n">
        <x:v>26073</x:v>
      </x:c>
      <x:c r="B3459" s="5" t="d">
        <x:v>2016-01-16T00:00:00.000Z</x:v>
      </x:c>
      <x:c r="C3459" s="1" t="str">
        <x:v>Standard Class</x:v>
      </x:c>
      <x:c r="D3459" s="1" t="str">
        <x:v>Pacific Asia</x:v>
      </x:c>
      <x:c r="E3459" s="1" t="str">
        <x:v>PENDING</x:v>
      </x:c>
      <x:c r="F3459" s="1" t="str">
        <x:v>Shipping on time</x:v>
      </x:c>
      <x:c r="G3459" s="6" t="n">
        <x:v>4</x:v>
      </x:c>
      <x:c r="H3459" s="6" t="n">
        <x:v>4</x:v>
      </x:c>
      <x:c r="I3459" s="6" t="n">
        <x:f>G3459-H3459</x:f>
        <x:v>0</x:v>
      </x:c>
      <x:c r="J3459" s="6" t="n">
        <x:f>IF(OR(E3459="CANCELED",E3459="SUSPECTED_FRAUD",F3459="Shipping canceled"),0,1)</x:f>
        <x:v>1</x:v>
      </x:c>
      <x:c r="K3459" s="6" t="n">
        <x:f>IF(G3459&gt;H3459,1,0)</x:f>
        <x:v>0</x:v>
      </x:c>
      <x:c r="L3459" s="6" t="n">
        <x:f>J3459*K3459</x:f>
        <x:v>0</x:v>
      </x:c>
    </x:row>
    <x:row r="3460">
      <x:c r="A3460" s="1" t="n">
        <x:v>26075</x:v>
      </x:c>
      <x:c r="B3460" s="5" t="d">
        <x:v>2016-01-16T00:00:00.000Z</x:v>
      </x:c>
      <x:c r="C3460" s="1" t="str">
        <x:v>Standard Class</x:v>
      </x:c>
      <x:c r="D3460" s="1" t="str">
        <x:v>Pacific Asia</x:v>
      </x:c>
      <x:c r="E3460" s="1" t="str">
        <x:v>COMPLETE</x:v>
      </x:c>
      <x:c r="F3460" s="1" t="str">
        <x:v>Late delivery</x:v>
      </x:c>
      <x:c r="G3460" s="6" t="n">
        <x:v>6</x:v>
      </x:c>
      <x:c r="H3460" s="6" t="n">
        <x:v>4</x:v>
      </x:c>
      <x:c r="I3460" s="6" t="n">
        <x:f>G3460-H3460</x:f>
        <x:v>2</x:v>
      </x:c>
      <x:c r="J3460" s="6" t="n">
        <x:f>IF(OR(E3460="CANCELED",E3460="SUSPECTED_FRAUD",F3460="Shipping canceled"),0,1)</x:f>
        <x:v>1</x:v>
      </x:c>
      <x:c r="K3460" s="6" t="n">
        <x:f>IF(G3460&gt;H3460,1,0)</x:f>
        <x:v>1</x:v>
      </x:c>
      <x:c r="L3460" s="6" t="n">
        <x:f>J3460*K3460</x:f>
        <x:v>1</x:v>
      </x:c>
    </x:row>
    <x:row r="3461">
      <x:c r="A3461" s="1" t="n">
        <x:v>26077</x:v>
      </x:c>
      <x:c r="B3461" s="5" t="d">
        <x:v>2016-01-16T00:00:00.000Z</x:v>
      </x:c>
      <x:c r="C3461" s="1" t="str">
        <x:v>Standard Class</x:v>
      </x:c>
      <x:c r="D3461" s="1" t="str">
        <x:v>Pacific Asia</x:v>
      </x:c>
      <x:c r="E3461" s="1" t="str">
        <x:v>COMPLETE</x:v>
      </x:c>
      <x:c r="F3461" s="1" t="str">
        <x:v>Advance shipping</x:v>
      </x:c>
      <x:c r="G3461" s="6" t="n">
        <x:v>3</x:v>
      </x:c>
      <x:c r="H3461" s="6" t="n">
        <x:v>4</x:v>
      </x:c>
      <x:c r="I3461" s="6" t="n">
        <x:f>G3461-H3461</x:f>
        <x:v>-1</x:v>
      </x:c>
      <x:c r="J3461" s="6" t="n">
        <x:f>IF(OR(E3461="CANCELED",E3461="SUSPECTED_FRAUD",F3461="Shipping canceled"),0,1)</x:f>
        <x:v>1</x:v>
      </x:c>
      <x:c r="K3461" s="6" t="n">
        <x:f>IF(G3461&gt;H3461,1,0)</x:f>
        <x:v>0</x:v>
      </x:c>
      <x:c r="L3461" s="6" t="n">
        <x:f>J3461*K3461</x:f>
        <x:v>0</x:v>
      </x:c>
    </x:row>
    <x:row r="3462">
      <x:c r="A3462" s="1" t="n">
        <x:v>26078</x:v>
      </x:c>
      <x:c r="B3462" s="5" t="d">
        <x:v>2016-01-16T00:00:00.000Z</x:v>
      </x:c>
      <x:c r="C3462" s="1" t="str">
        <x:v>Standard Class</x:v>
      </x:c>
      <x:c r="D3462" s="1" t="str">
        <x:v>Pacific Asia</x:v>
      </x:c>
      <x:c r="E3462" s="1" t="str">
        <x:v>PROCESSING</x:v>
      </x:c>
      <x:c r="F3462" s="1" t="str">
        <x:v>Shipping on time</x:v>
      </x:c>
      <x:c r="G3462" s="6" t="n">
        <x:v>4</x:v>
      </x:c>
      <x:c r="H3462" s="6" t="n">
        <x:v>4</x:v>
      </x:c>
      <x:c r="I3462" s="6" t="n">
        <x:f>G3462-H3462</x:f>
        <x:v>0</x:v>
      </x:c>
      <x:c r="J3462" s="6" t="n">
        <x:f>IF(OR(E3462="CANCELED",E3462="SUSPECTED_FRAUD",F3462="Shipping canceled"),0,1)</x:f>
        <x:v>1</x:v>
      </x:c>
      <x:c r="K3462" s="6" t="n">
        <x:f>IF(G3462&gt;H3462,1,0)</x:f>
        <x:v>0</x:v>
      </x:c>
      <x:c r="L3462" s="6" t="n">
        <x:f>J3462*K3462</x:f>
        <x:v>0</x:v>
      </x:c>
    </x:row>
    <x:row r="3463">
      <x:c r="A3463" s="1" t="n">
        <x:v>26088</x:v>
      </x:c>
      <x:c r="B3463" s="5" t="d">
        <x:v>2016-01-16T00:00:00.000Z</x:v>
      </x:c>
      <x:c r="C3463" s="1" t="str">
        <x:v>Standard Class</x:v>
      </x:c>
      <x:c r="D3463" s="1" t="str">
        <x:v>Pacific Asia</x:v>
      </x:c>
      <x:c r="E3463" s="1" t="str">
        <x:v>COMPLETE</x:v>
      </x:c>
      <x:c r="F3463" s="1" t="str">
        <x:v>Shipping on time</x:v>
      </x:c>
      <x:c r="G3463" s="6" t="n">
        <x:v>4</x:v>
      </x:c>
      <x:c r="H3463" s="6" t="n">
        <x:v>4</x:v>
      </x:c>
      <x:c r="I3463" s="6" t="n">
        <x:f>G3463-H3463</x:f>
        <x:v>0</x:v>
      </x:c>
      <x:c r="J3463" s="6" t="n">
        <x:f>IF(OR(E3463="CANCELED",E3463="SUSPECTED_FRAUD",F3463="Shipping canceled"),0,1)</x:f>
        <x:v>1</x:v>
      </x:c>
      <x:c r="K3463" s="6" t="n">
        <x:f>IF(G3463&gt;H3463,1,0)</x:f>
        <x:v>0</x:v>
      </x:c>
      <x:c r="L3463" s="6" t="n">
        <x:f>J3463*K3463</x:f>
        <x:v>0</x:v>
      </x:c>
    </x:row>
    <x:row r="3464">
      <x:c r="A3464" s="1" t="n">
        <x:v>26092</x:v>
      </x:c>
      <x:c r="B3464" s="5" t="d">
        <x:v>2016-01-16T00:00:00.000Z</x:v>
      </x:c>
      <x:c r="C3464" s="1" t="str">
        <x:v>Standard Class</x:v>
      </x:c>
      <x:c r="D3464" s="1" t="str">
        <x:v>Pacific Asia</x:v>
      </x:c>
      <x:c r="E3464" s="1" t="str">
        <x:v>COMPLETE</x:v>
      </x:c>
      <x:c r="F3464" s="1" t="str">
        <x:v>Advance shipping</x:v>
      </x:c>
      <x:c r="G3464" s="6" t="n">
        <x:v>3</x:v>
      </x:c>
      <x:c r="H3464" s="6" t="n">
        <x:v>4</x:v>
      </x:c>
      <x:c r="I3464" s="6" t="n">
        <x:f>G3464-H3464</x:f>
        <x:v>-1</x:v>
      </x:c>
      <x:c r="J3464" s="6" t="n">
        <x:f>IF(OR(E3464="CANCELED",E3464="SUSPECTED_FRAUD",F3464="Shipping canceled"),0,1)</x:f>
        <x:v>1</x:v>
      </x:c>
      <x:c r="K3464" s="6" t="n">
        <x:f>IF(G3464&gt;H3464,1,0)</x:f>
        <x:v>0</x:v>
      </x:c>
      <x:c r="L3464" s="6" t="n">
        <x:f>J3464*K3464</x:f>
        <x:v>0</x:v>
      </x:c>
    </x:row>
    <x:row r="3465">
      <x:c r="A3465" s="1" t="n">
        <x:v>26105</x:v>
      </x:c>
      <x:c r="B3465" s="5" t="d">
        <x:v>2016-01-17T00:00:00.000Z</x:v>
      </x:c>
      <x:c r="C3465" s="1" t="str">
        <x:v>Standard Class</x:v>
      </x:c>
      <x:c r="D3465" s="1" t="str">
        <x:v>Pacific Asia</x:v>
      </x:c>
      <x:c r="E3465" s="1" t="str">
        <x:v>CANCELED</x:v>
      </x:c>
      <x:c r="F3465" s="1" t="str">
        <x:v>Shipping canceled</x:v>
      </x:c>
      <x:c r="G3465" s="6" t="n">
        <x:v>6</x:v>
      </x:c>
      <x:c r="H3465" s="6" t="n">
        <x:v>4</x:v>
      </x:c>
      <x:c r="I3465" s="6" t="n">
        <x:f>G3465-H3465</x:f>
        <x:v>2</x:v>
      </x:c>
      <x:c r="J3465" s="6" t="n">
        <x:f>IF(OR(E3465="CANCELED",E3465="SUSPECTED_FRAUD",F3465="Shipping canceled"),0,1)</x:f>
        <x:v>0</x:v>
      </x:c>
      <x:c r="K3465" s="6" t="n">
        <x:f>IF(G3465&gt;H3465,1,0)</x:f>
        <x:v>1</x:v>
      </x:c>
      <x:c r="L3465" s="6" t="n">
        <x:f>J3465*K3465</x:f>
        <x:v>0</x:v>
      </x:c>
    </x:row>
    <x:row r="3466">
      <x:c r="A3466" s="1" t="n">
        <x:v>26110</x:v>
      </x:c>
      <x:c r="B3466" s="5" t="d">
        <x:v>2016-01-17T00:00:00.000Z</x:v>
      </x:c>
      <x:c r="C3466" s="1" t="str">
        <x:v>Second Class</x:v>
      </x:c>
      <x:c r="D3466" s="1" t="str">
        <x:v>Pacific Asia</x:v>
      </x:c>
      <x:c r="E3466" s="1" t="str">
        <x:v>ON_HOLD</x:v>
      </x:c>
      <x:c r="F3466" s="1" t="str">
        <x:v>Late delivery</x:v>
      </x:c>
      <x:c r="G3466" s="6" t="n">
        <x:v>6</x:v>
      </x:c>
      <x:c r="H3466" s="6" t="n">
        <x:v>2</x:v>
      </x:c>
      <x:c r="I3466" s="6" t="n">
        <x:f>G3466-H3466</x:f>
        <x:v>4</x:v>
      </x:c>
      <x:c r="J3466" s="6" t="n">
        <x:f>IF(OR(E3466="CANCELED",E3466="SUSPECTED_FRAUD",F3466="Shipping canceled"),0,1)</x:f>
        <x:v>1</x:v>
      </x:c>
      <x:c r="K3466" s="6" t="n">
        <x:f>IF(G3466&gt;H3466,1,0)</x:f>
        <x:v>1</x:v>
      </x:c>
      <x:c r="L3466" s="6" t="n">
        <x:f>J3466*K3466</x:f>
        <x:v>1</x:v>
      </x:c>
    </x:row>
    <x:row r="3467">
      <x:c r="A3467" s="1" t="n">
        <x:v>26116</x:v>
      </x:c>
      <x:c r="B3467" s="5" t="d">
        <x:v>2016-01-17T00:00:00.000Z</x:v>
      </x:c>
      <x:c r="C3467" s="1" t="str">
        <x:v>Standard Class</x:v>
      </x:c>
      <x:c r="D3467" s="1" t="str">
        <x:v>Pacific Asia</x:v>
      </x:c>
      <x:c r="E3467" s="1" t="str">
        <x:v>ON_HOLD</x:v>
      </x:c>
      <x:c r="F3467" s="1" t="str">
        <x:v>Advance shipping</x:v>
      </x:c>
      <x:c r="G3467" s="6" t="n">
        <x:v>2</x:v>
      </x:c>
      <x:c r="H3467" s="6" t="n">
        <x:v>4</x:v>
      </x:c>
      <x:c r="I3467" s="6" t="n">
        <x:f>G3467-H3467</x:f>
        <x:v>-2</x:v>
      </x:c>
      <x:c r="J3467" s="6" t="n">
        <x:f>IF(OR(E3467="CANCELED",E3467="SUSPECTED_FRAUD",F3467="Shipping canceled"),0,1)</x:f>
        <x:v>1</x:v>
      </x:c>
      <x:c r="K3467" s="6" t="n">
        <x:f>IF(G3467&gt;H3467,1,0)</x:f>
        <x:v>0</x:v>
      </x:c>
      <x:c r="L3467" s="6" t="n">
        <x:f>J3467*K3467</x:f>
        <x:v>0</x:v>
      </x:c>
    </x:row>
    <x:row r="3468">
      <x:c r="A3468" s="1" t="n">
        <x:v>26119</x:v>
      </x:c>
      <x:c r="B3468" s="5" t="d">
        <x:v>2016-01-17T00:00:00.000Z</x:v>
      </x:c>
      <x:c r="C3468" s="1" t="str">
        <x:v>Standard Class</x:v>
      </x:c>
      <x:c r="D3468" s="1" t="str">
        <x:v>Pacific Asia</x:v>
      </x:c>
      <x:c r="E3468" s="1" t="str">
        <x:v>COMPLETE</x:v>
      </x:c>
      <x:c r="F3468" s="1" t="str">
        <x:v>Late delivery</x:v>
      </x:c>
      <x:c r="G3468" s="6" t="n">
        <x:v>5</x:v>
      </x:c>
      <x:c r="H3468" s="6" t="n">
        <x:v>4</x:v>
      </x:c>
      <x:c r="I3468" s="6" t="n">
        <x:f>G3468-H3468</x:f>
        <x:v>1</x:v>
      </x:c>
      <x:c r="J3468" s="6" t="n">
        <x:f>IF(OR(E3468="CANCELED",E3468="SUSPECTED_FRAUD",F3468="Shipping canceled"),0,1)</x:f>
        <x:v>1</x:v>
      </x:c>
      <x:c r="K3468" s="6" t="n">
        <x:f>IF(G3468&gt;H3468,1,0)</x:f>
        <x:v>1</x:v>
      </x:c>
      <x:c r="L3468" s="6" t="n">
        <x:f>J3468*K3468</x:f>
        <x:v>1</x:v>
      </x:c>
    </x:row>
    <x:row r="3469">
      <x:c r="A3469" s="1" t="n">
        <x:v>26123</x:v>
      </x:c>
      <x:c r="B3469" s="5" t="d">
        <x:v>2016-01-17T00:00:00.000Z</x:v>
      </x:c>
      <x:c r="C3469" s="1" t="str">
        <x:v>Second Class</x:v>
      </x:c>
      <x:c r="D3469" s="1" t="str">
        <x:v>Pacific Asia</x:v>
      </x:c>
      <x:c r="E3469" s="1" t="str">
        <x:v>CLOSED</x:v>
      </x:c>
      <x:c r="F3469" s="1" t="str">
        <x:v>Late delivery</x:v>
      </x:c>
      <x:c r="G3469" s="6" t="n">
        <x:v>4</x:v>
      </x:c>
      <x:c r="H3469" s="6" t="n">
        <x:v>2</x:v>
      </x:c>
      <x:c r="I3469" s="6" t="n">
        <x:f>G3469-H3469</x:f>
        <x:v>2</x:v>
      </x:c>
      <x:c r="J3469" s="6" t="n">
        <x:f>IF(OR(E3469="CANCELED",E3469="SUSPECTED_FRAUD",F3469="Shipping canceled"),0,1)</x:f>
        <x:v>1</x:v>
      </x:c>
      <x:c r="K3469" s="6" t="n">
        <x:f>IF(G3469&gt;H3469,1,0)</x:f>
        <x:v>1</x:v>
      </x:c>
      <x:c r="L3469" s="6" t="n">
        <x:f>J3469*K3469</x:f>
        <x:v>1</x:v>
      </x:c>
    </x:row>
    <x:row r="3470">
      <x:c r="A3470" s="1" t="n">
        <x:v>26128</x:v>
      </x:c>
      <x:c r="B3470" s="5" t="d">
        <x:v>2016-01-17T00:00:00.000Z</x:v>
      </x:c>
      <x:c r="C3470" s="1" t="str">
        <x:v>Standard Class</x:v>
      </x:c>
      <x:c r="D3470" s="1" t="str">
        <x:v>Pacific Asia</x:v>
      </x:c>
      <x:c r="E3470" s="1" t="str">
        <x:v>PENDING_PAYMENT</x:v>
      </x:c>
      <x:c r="F3470" s="1" t="str">
        <x:v>Shipping on time</x:v>
      </x:c>
      <x:c r="G3470" s="6" t="n">
        <x:v>4</x:v>
      </x:c>
      <x:c r="H3470" s="6" t="n">
        <x:v>4</x:v>
      </x:c>
      <x:c r="I3470" s="6" t="n">
        <x:f>G3470-H3470</x:f>
        <x:v>0</x:v>
      </x:c>
      <x:c r="J3470" s="6" t="n">
        <x:f>IF(OR(E3470="CANCELED",E3470="SUSPECTED_FRAUD",F3470="Shipping canceled"),0,1)</x:f>
        <x:v>1</x:v>
      </x:c>
      <x:c r="K3470" s="6" t="n">
        <x:f>IF(G3470&gt;H3470,1,0)</x:f>
        <x:v>0</x:v>
      </x:c>
      <x:c r="L3470" s="6" t="n">
        <x:f>J3470*K3470</x:f>
        <x:v>0</x:v>
      </x:c>
    </x:row>
    <x:row r="3471">
      <x:c r="A3471" s="1" t="n">
        <x:v>26130</x:v>
      </x:c>
      <x:c r="B3471" s="5" t="d">
        <x:v>2016-01-17T00:00:00.000Z</x:v>
      </x:c>
      <x:c r="C3471" s="1" t="str">
        <x:v>Standard Class</x:v>
      </x:c>
      <x:c r="D3471" s="1" t="str">
        <x:v>Pacific Asia</x:v>
      </x:c>
      <x:c r="E3471" s="1" t="str">
        <x:v>PENDING_PAYMENT</x:v>
      </x:c>
      <x:c r="F3471" s="1" t="str">
        <x:v>Late delivery</x:v>
      </x:c>
      <x:c r="G3471" s="6" t="n">
        <x:v>6</x:v>
      </x:c>
      <x:c r="H3471" s="6" t="n">
        <x:v>4</x:v>
      </x:c>
      <x:c r="I3471" s="6" t="n">
        <x:f>G3471-H3471</x:f>
        <x:v>2</x:v>
      </x:c>
      <x:c r="J3471" s="6" t="n">
        <x:f>IF(OR(E3471="CANCELED",E3471="SUSPECTED_FRAUD",F3471="Shipping canceled"),0,1)</x:f>
        <x:v>1</x:v>
      </x:c>
      <x:c r="K3471" s="6" t="n">
        <x:f>IF(G3471&gt;H3471,1,0)</x:f>
        <x:v>1</x:v>
      </x:c>
      <x:c r="L3471" s="6" t="n">
        <x:f>J3471*K3471</x:f>
        <x:v>1</x:v>
      </x:c>
    </x:row>
    <x:row r="3472">
      <x:c r="A3472" s="1" t="n">
        <x:v>26131</x:v>
      </x:c>
      <x:c r="B3472" s="5" t="d">
        <x:v>2016-01-17T00:00:00.000Z</x:v>
      </x:c>
      <x:c r="C3472" s="1" t="str">
        <x:v>Standard Class</x:v>
      </x:c>
      <x:c r="D3472" s="1" t="str">
        <x:v>Pacific Asia</x:v>
      </x:c>
      <x:c r="E3472" s="1" t="str">
        <x:v>PENDING_PAYMENT</x:v>
      </x:c>
      <x:c r="F3472" s="1" t="str">
        <x:v>Advance shipping</x:v>
      </x:c>
      <x:c r="G3472" s="6" t="n">
        <x:v>2</x:v>
      </x:c>
      <x:c r="H3472" s="6" t="n">
        <x:v>4</x:v>
      </x:c>
      <x:c r="I3472" s="6" t="n">
        <x:f>G3472-H3472</x:f>
        <x:v>-2</x:v>
      </x:c>
      <x:c r="J3472" s="6" t="n">
        <x:f>IF(OR(E3472="CANCELED",E3472="SUSPECTED_FRAUD",F3472="Shipping canceled"),0,1)</x:f>
        <x:v>1</x:v>
      </x:c>
      <x:c r="K3472" s="6" t="n">
        <x:f>IF(G3472&gt;H3472,1,0)</x:f>
        <x:v>0</x:v>
      </x:c>
      <x:c r="L3472" s="6" t="n">
        <x:f>J3472*K3472</x:f>
        <x:v>0</x:v>
      </x:c>
    </x:row>
    <x:row r="3473">
      <x:c r="A3473" s="1" t="n">
        <x:v>26138</x:v>
      </x:c>
      <x:c r="B3473" s="5" t="d">
        <x:v>2016-01-17T00:00:00.000Z</x:v>
      </x:c>
      <x:c r="C3473" s="1" t="str">
        <x:v>Standard Class</x:v>
      </x:c>
      <x:c r="D3473" s="1" t="str">
        <x:v>Pacific Asia</x:v>
      </x:c>
      <x:c r="E3473" s="1" t="str">
        <x:v>COMPLETE</x:v>
      </x:c>
      <x:c r="F3473" s="1" t="str">
        <x:v>Shipping on time</x:v>
      </x:c>
      <x:c r="G3473" s="6" t="n">
        <x:v>4</x:v>
      </x:c>
      <x:c r="H3473" s="6" t="n">
        <x:v>4</x:v>
      </x:c>
      <x:c r="I3473" s="6" t="n">
        <x:f>G3473-H3473</x:f>
        <x:v>0</x:v>
      </x:c>
      <x:c r="J3473" s="6" t="n">
        <x:f>IF(OR(E3473="CANCELED",E3473="SUSPECTED_FRAUD",F3473="Shipping canceled"),0,1)</x:f>
        <x:v>1</x:v>
      </x:c>
      <x:c r="K3473" s="6" t="n">
        <x:f>IF(G3473&gt;H3473,1,0)</x:f>
        <x:v>0</x:v>
      </x:c>
      <x:c r="L3473" s="6" t="n">
        <x:f>J3473*K3473</x:f>
        <x:v>0</x:v>
      </x:c>
    </x:row>
    <x:row r="3474">
      <x:c r="A3474" s="1" t="n">
        <x:v>26159</x:v>
      </x:c>
      <x:c r="B3474" s="5" t="d">
        <x:v>2016-01-17T00:00:00.000Z</x:v>
      </x:c>
      <x:c r="C3474" s="1" t="str">
        <x:v>Standard Class</x:v>
      </x:c>
      <x:c r="D3474" s="1" t="str">
        <x:v>Pacific Asia</x:v>
      </x:c>
      <x:c r="E3474" s="1" t="str">
        <x:v>PROCESSING</x:v>
      </x:c>
      <x:c r="F3474" s="1" t="str">
        <x:v>Late delivery</x:v>
      </x:c>
      <x:c r="G3474" s="6" t="n">
        <x:v>5</x:v>
      </x:c>
      <x:c r="H3474" s="6" t="n">
        <x:v>4</x:v>
      </x:c>
      <x:c r="I3474" s="6" t="n">
        <x:f>G3474-H3474</x:f>
        <x:v>1</x:v>
      </x:c>
      <x:c r="J3474" s="6" t="n">
        <x:f>IF(OR(E3474="CANCELED",E3474="SUSPECTED_FRAUD",F3474="Shipping canceled"),0,1)</x:f>
        <x:v>1</x:v>
      </x:c>
      <x:c r="K3474" s="6" t="n">
        <x:f>IF(G3474&gt;H3474,1,0)</x:f>
        <x:v>1</x:v>
      </x:c>
      <x:c r="L3474" s="6" t="n">
        <x:f>J3474*K3474</x:f>
        <x:v>1</x:v>
      </x:c>
    </x:row>
    <x:row r="3475">
      <x:c r="A3475" s="1" t="n">
        <x:v>26165</x:v>
      </x:c>
      <x:c r="B3475" s="5" t="d">
        <x:v>2016-01-17T00:00:00.000Z</x:v>
      </x:c>
      <x:c r="C3475" s="1" t="str">
        <x:v>Standard Class</x:v>
      </x:c>
      <x:c r="D3475" s="1" t="str">
        <x:v>Pacific Asia</x:v>
      </x:c>
      <x:c r="E3475" s="1" t="str">
        <x:v>COMPLETE</x:v>
      </x:c>
      <x:c r="F3475" s="1" t="str">
        <x:v>Late delivery</x:v>
      </x:c>
      <x:c r="G3475" s="6" t="n">
        <x:v>6</x:v>
      </x:c>
      <x:c r="H3475" s="6" t="n">
        <x:v>4</x:v>
      </x:c>
      <x:c r="I3475" s="6" t="n">
        <x:f>G3475-H3475</x:f>
        <x:v>2</x:v>
      </x:c>
      <x:c r="J3475" s="6" t="n">
        <x:f>IF(OR(E3475="CANCELED",E3475="SUSPECTED_FRAUD",F3475="Shipping canceled"),0,1)</x:f>
        <x:v>1</x:v>
      </x:c>
      <x:c r="K3475" s="6" t="n">
        <x:f>IF(G3475&gt;H3475,1,0)</x:f>
        <x:v>1</x:v>
      </x:c>
      <x:c r="L3475" s="6" t="n">
        <x:f>J3475*K3475</x:f>
        <x:v>1</x:v>
      </x:c>
    </x:row>
    <x:row r="3476">
      <x:c r="A3476" s="1" t="n">
        <x:v>26174</x:v>
      </x:c>
      <x:c r="B3476" s="5" t="d">
        <x:v>2016-01-18T00:00:00.000Z</x:v>
      </x:c>
      <x:c r="C3476" s="1" t="str">
        <x:v>Standard Class</x:v>
      </x:c>
      <x:c r="D3476" s="1" t="str">
        <x:v>Pacific Asia</x:v>
      </x:c>
      <x:c r="E3476" s="1" t="str">
        <x:v>COMPLETE</x:v>
      </x:c>
      <x:c r="F3476" s="1" t="str">
        <x:v>Late delivery</x:v>
      </x:c>
      <x:c r="G3476" s="6" t="n">
        <x:v>5</x:v>
      </x:c>
      <x:c r="H3476" s="6" t="n">
        <x:v>4</x:v>
      </x:c>
      <x:c r="I3476" s="6" t="n">
        <x:f>G3476-H3476</x:f>
        <x:v>1</x:v>
      </x:c>
      <x:c r="J3476" s="6" t="n">
        <x:f>IF(OR(E3476="CANCELED",E3476="SUSPECTED_FRAUD",F3476="Shipping canceled"),0,1)</x:f>
        <x:v>1</x:v>
      </x:c>
      <x:c r="K3476" s="6" t="n">
        <x:f>IF(G3476&gt;H3476,1,0)</x:f>
        <x:v>1</x:v>
      </x:c>
      <x:c r="L3476" s="6" t="n">
        <x:f>J3476*K3476</x:f>
        <x:v>1</x:v>
      </x:c>
    </x:row>
    <x:row r="3477">
      <x:c r="A3477" s="1" t="n">
        <x:v>26183</x:v>
      </x:c>
      <x:c r="B3477" s="5" t="d">
        <x:v>2016-01-18T00:00:00.000Z</x:v>
      </x:c>
      <x:c r="C3477" s="1" t="str">
        <x:v>Standard Class</x:v>
      </x:c>
      <x:c r="D3477" s="1" t="str">
        <x:v>Pacific Asia</x:v>
      </x:c>
      <x:c r="E3477" s="1" t="str">
        <x:v>COMPLETE</x:v>
      </x:c>
      <x:c r="F3477" s="1" t="str">
        <x:v>Shipping on time</x:v>
      </x:c>
      <x:c r="G3477" s="6" t="n">
        <x:v>4</x:v>
      </x:c>
      <x:c r="H3477" s="6" t="n">
        <x:v>4</x:v>
      </x:c>
      <x:c r="I3477" s="6" t="n">
        <x:f>G3477-H3477</x:f>
        <x:v>0</x:v>
      </x:c>
      <x:c r="J3477" s="6" t="n">
        <x:f>IF(OR(E3477="CANCELED",E3477="SUSPECTED_FRAUD",F3477="Shipping canceled"),0,1)</x:f>
        <x:v>1</x:v>
      </x:c>
      <x:c r="K3477" s="6" t="n">
        <x:f>IF(G3477&gt;H3477,1,0)</x:f>
        <x:v>0</x:v>
      </x:c>
      <x:c r="L3477" s="6" t="n">
        <x:f>J3477*K3477</x:f>
        <x:v>0</x:v>
      </x:c>
    </x:row>
    <x:row r="3478">
      <x:c r="A3478" s="1" t="n">
        <x:v>26188</x:v>
      </x:c>
      <x:c r="B3478" s="5" t="d">
        <x:v>2016-01-18T00:00:00.000Z</x:v>
      </x:c>
      <x:c r="C3478" s="1" t="str">
        <x:v>Standard Class</x:v>
      </x:c>
      <x:c r="D3478" s="1" t="str">
        <x:v>Pacific Asia</x:v>
      </x:c>
      <x:c r="E3478" s="1" t="str">
        <x:v>SUSPECTED_FRAUD</x:v>
      </x:c>
      <x:c r="F3478" s="1" t="str">
        <x:v>Shipping canceled</x:v>
      </x:c>
      <x:c r="G3478" s="6" t="n">
        <x:v>4</x:v>
      </x:c>
      <x:c r="H3478" s="6" t="n">
        <x:v>4</x:v>
      </x:c>
      <x:c r="I3478" s="6" t="n">
        <x:f>G3478-H3478</x:f>
        <x:v>0</x:v>
      </x:c>
      <x:c r="J3478" s="6" t="n">
        <x:f>IF(OR(E3478="CANCELED",E3478="SUSPECTED_FRAUD",F3478="Shipping canceled"),0,1)</x:f>
        <x:v>0</x:v>
      </x:c>
      <x:c r="K3478" s="6" t="n">
        <x:f>IF(G3478&gt;H3478,1,0)</x:f>
        <x:v>0</x:v>
      </x:c>
      <x:c r="L3478" s="6" t="n">
        <x:f>J3478*K3478</x:f>
        <x:v>0</x:v>
      </x:c>
    </x:row>
    <x:row r="3479">
      <x:c r="A3479" s="1" t="n">
        <x:v>26197</x:v>
      </x:c>
      <x:c r="B3479" s="5" t="d">
        <x:v>2016-01-18T00:00:00.000Z</x:v>
      </x:c>
      <x:c r="C3479" s="1" t="str">
        <x:v>Standard Class</x:v>
      </x:c>
      <x:c r="D3479" s="1" t="str">
        <x:v>Pacific Asia</x:v>
      </x:c>
      <x:c r="E3479" s="1" t="str">
        <x:v>COMPLETE</x:v>
      </x:c>
      <x:c r="F3479" s="1" t="str">
        <x:v>Advance shipping</x:v>
      </x:c>
      <x:c r="G3479" s="6" t="n">
        <x:v>3</x:v>
      </x:c>
      <x:c r="H3479" s="6" t="n">
        <x:v>4</x:v>
      </x:c>
      <x:c r="I3479" s="6" t="n">
        <x:f>G3479-H3479</x:f>
        <x:v>-1</x:v>
      </x:c>
      <x:c r="J3479" s="6" t="n">
        <x:f>IF(OR(E3479="CANCELED",E3479="SUSPECTED_FRAUD",F3479="Shipping canceled"),0,1)</x:f>
        <x:v>1</x:v>
      </x:c>
      <x:c r="K3479" s="6" t="n">
        <x:f>IF(G3479&gt;H3479,1,0)</x:f>
        <x:v>0</x:v>
      </x:c>
      <x:c r="L3479" s="6" t="n">
        <x:f>J3479*K3479</x:f>
        <x:v>0</x:v>
      </x:c>
    </x:row>
    <x:row r="3480">
      <x:c r="A3480" s="1" t="n">
        <x:v>26212</x:v>
      </x:c>
      <x:c r="B3480" s="5" t="d">
        <x:v>2016-01-18T00:00:00.000Z</x:v>
      </x:c>
      <x:c r="C3480" s="1" t="str">
        <x:v>Standard Class</x:v>
      </x:c>
      <x:c r="D3480" s="1" t="str">
        <x:v>Pacific Asia</x:v>
      </x:c>
      <x:c r="E3480" s="1" t="str">
        <x:v>COMPLETE</x:v>
      </x:c>
      <x:c r="F3480" s="1" t="str">
        <x:v>Advance shipping</x:v>
      </x:c>
      <x:c r="G3480" s="6" t="n">
        <x:v>3</x:v>
      </x:c>
      <x:c r="H3480" s="6" t="n">
        <x:v>4</x:v>
      </x:c>
      <x:c r="I3480" s="6" t="n">
        <x:f>G3480-H3480</x:f>
        <x:v>-1</x:v>
      </x:c>
      <x:c r="J3480" s="6" t="n">
        <x:f>IF(OR(E3480="CANCELED",E3480="SUSPECTED_FRAUD",F3480="Shipping canceled"),0,1)</x:f>
        <x:v>1</x:v>
      </x:c>
      <x:c r="K3480" s="6" t="n">
        <x:f>IF(G3480&gt;H3480,1,0)</x:f>
        <x:v>0</x:v>
      </x:c>
      <x:c r="L3480" s="6" t="n">
        <x:f>J3480*K3480</x:f>
        <x:v>0</x:v>
      </x:c>
    </x:row>
    <x:row r="3481">
      <x:c r="A3481" s="1" t="n">
        <x:v>26220</x:v>
      </x:c>
      <x:c r="B3481" s="5" t="d">
        <x:v>2016-01-18T00:00:00.000Z</x:v>
      </x:c>
      <x:c r="C3481" s="1" t="str">
        <x:v>Standard Class</x:v>
      </x:c>
      <x:c r="D3481" s="1" t="str">
        <x:v>Pacific Asia</x:v>
      </x:c>
      <x:c r="E3481" s="1" t="str">
        <x:v>COMPLETE</x:v>
      </x:c>
      <x:c r="F3481" s="1" t="str">
        <x:v>Late delivery</x:v>
      </x:c>
      <x:c r="G3481" s="6" t="n">
        <x:v>6</x:v>
      </x:c>
      <x:c r="H3481" s="6" t="n">
        <x:v>4</x:v>
      </x:c>
      <x:c r="I3481" s="6" t="n">
        <x:f>G3481-H3481</x:f>
        <x:v>2</x:v>
      </x:c>
      <x:c r="J3481" s="6" t="n">
        <x:f>IF(OR(E3481="CANCELED",E3481="SUSPECTED_FRAUD",F3481="Shipping canceled"),0,1)</x:f>
        <x:v>1</x:v>
      </x:c>
      <x:c r="K3481" s="6" t="n">
        <x:f>IF(G3481&gt;H3481,1,0)</x:f>
        <x:v>1</x:v>
      </x:c>
      <x:c r="L3481" s="6" t="n">
        <x:f>J3481*K3481</x:f>
        <x:v>1</x:v>
      </x:c>
    </x:row>
    <x:row r="3482">
      <x:c r="A3482" s="1" t="n">
        <x:v>26224</x:v>
      </x:c>
      <x:c r="B3482" s="5" t="d">
        <x:v>2016-01-18T00:00:00.000Z</x:v>
      </x:c>
      <x:c r="C3482" s="1" t="str">
        <x:v>First Class</x:v>
      </x:c>
      <x:c r="D3482" s="1" t="str">
        <x:v>Pacific Asia</x:v>
      </x:c>
      <x:c r="E3482" s="1" t="str">
        <x:v>CLOSED</x:v>
      </x:c>
      <x:c r="F3482" s="1" t="str">
        <x:v>Late delivery</x:v>
      </x:c>
      <x:c r="G3482" s="6" t="n">
        <x:v>2</x:v>
      </x:c>
      <x:c r="H3482" s="6" t="n">
        <x:v>1</x:v>
      </x:c>
      <x:c r="I3482" s="6" t="n">
        <x:f>G3482-H3482</x:f>
        <x:v>1</x:v>
      </x:c>
      <x:c r="J3482" s="6" t="n">
        <x:f>IF(OR(E3482="CANCELED",E3482="SUSPECTED_FRAUD",F3482="Shipping canceled"),0,1)</x:f>
        <x:v>1</x:v>
      </x:c>
      <x:c r="K3482" s="6" t="n">
        <x:f>IF(G3482&gt;H3482,1,0)</x:f>
        <x:v>1</x:v>
      </x:c>
      <x:c r="L3482" s="6" t="n">
        <x:f>J3482*K3482</x:f>
        <x:v>1</x:v>
      </x:c>
    </x:row>
    <x:row r="3483">
      <x:c r="A3483" s="1" t="n">
        <x:v>26232</x:v>
      </x:c>
      <x:c r="B3483" s="5" t="d">
        <x:v>2016-01-18T00:00:00.000Z</x:v>
      </x:c>
      <x:c r="C3483" s="1" t="str">
        <x:v>Standard Class</x:v>
      </x:c>
      <x:c r="D3483" s="1" t="str">
        <x:v>Pacific Asia</x:v>
      </x:c>
      <x:c r="E3483" s="1" t="str">
        <x:v>COMPLETE</x:v>
      </x:c>
      <x:c r="F3483" s="1" t="str">
        <x:v>Advance shipping</x:v>
      </x:c>
      <x:c r="G3483" s="6" t="n">
        <x:v>3</x:v>
      </x:c>
      <x:c r="H3483" s="6" t="n">
        <x:v>4</x:v>
      </x:c>
      <x:c r="I3483" s="6" t="n">
        <x:f>G3483-H3483</x:f>
        <x:v>-1</x:v>
      </x:c>
      <x:c r="J3483" s="6" t="n">
        <x:f>IF(OR(E3483="CANCELED",E3483="SUSPECTED_FRAUD",F3483="Shipping canceled"),0,1)</x:f>
        <x:v>1</x:v>
      </x:c>
      <x:c r="K3483" s="6" t="n">
        <x:f>IF(G3483&gt;H3483,1,0)</x:f>
        <x:v>0</x:v>
      </x:c>
      <x:c r="L3483" s="6" t="n">
        <x:f>J3483*K3483</x:f>
        <x:v>0</x:v>
      </x:c>
    </x:row>
    <x:row r="3484">
      <x:c r="A3484" s="1" t="n">
        <x:v>26235</x:v>
      </x:c>
      <x:c r="B3484" s="5" t="d">
        <x:v>2016-01-18T00:00:00.000Z</x:v>
      </x:c>
      <x:c r="C3484" s="1" t="str">
        <x:v>Standard Class</x:v>
      </x:c>
      <x:c r="D3484" s="1" t="str">
        <x:v>Pacific Asia</x:v>
      </x:c>
      <x:c r="E3484" s="1" t="str">
        <x:v>PROCESSING</x:v>
      </x:c>
      <x:c r="F3484" s="1" t="str">
        <x:v>Late delivery</x:v>
      </x:c>
      <x:c r="G3484" s="6" t="n">
        <x:v>6</x:v>
      </x:c>
      <x:c r="H3484" s="6" t="n">
        <x:v>4</x:v>
      </x:c>
      <x:c r="I3484" s="6" t="n">
        <x:f>G3484-H3484</x:f>
        <x:v>2</x:v>
      </x:c>
      <x:c r="J3484" s="6" t="n">
        <x:f>IF(OR(E3484="CANCELED",E3484="SUSPECTED_FRAUD",F3484="Shipping canceled"),0,1)</x:f>
        <x:v>1</x:v>
      </x:c>
      <x:c r="K3484" s="6" t="n">
        <x:f>IF(G3484&gt;H3484,1,0)</x:f>
        <x:v>1</x:v>
      </x:c>
      <x:c r="L3484" s="6" t="n">
        <x:f>J3484*K3484</x:f>
        <x:v>1</x:v>
      </x:c>
    </x:row>
    <x:row r="3485">
      <x:c r="A3485" s="1" t="n">
        <x:v>26239</x:v>
      </x:c>
      <x:c r="B3485" s="5" t="d">
        <x:v>2016-01-19T00:00:00.000Z</x:v>
      </x:c>
      <x:c r="C3485" s="1" t="str">
        <x:v>Standard Class</x:v>
      </x:c>
      <x:c r="D3485" s="1" t="str">
        <x:v>Pacific Asia</x:v>
      </x:c>
      <x:c r="E3485" s="1" t="str">
        <x:v>ON_HOLD</x:v>
      </x:c>
      <x:c r="F3485" s="1" t="str">
        <x:v>Late delivery</x:v>
      </x:c>
      <x:c r="G3485" s="6" t="n">
        <x:v>5</x:v>
      </x:c>
      <x:c r="H3485" s="6" t="n">
        <x:v>4</x:v>
      </x:c>
      <x:c r="I3485" s="6" t="n">
        <x:f>G3485-H3485</x:f>
        <x:v>1</x:v>
      </x:c>
      <x:c r="J3485" s="6" t="n">
        <x:f>IF(OR(E3485="CANCELED",E3485="SUSPECTED_FRAUD",F3485="Shipping canceled"),0,1)</x:f>
        <x:v>1</x:v>
      </x:c>
      <x:c r="K3485" s="6" t="n">
        <x:f>IF(G3485&gt;H3485,1,0)</x:f>
        <x:v>1</x:v>
      </x:c>
      <x:c r="L3485" s="6" t="n">
        <x:f>J3485*K3485</x:f>
        <x:v>1</x:v>
      </x:c>
    </x:row>
    <x:row r="3486">
      <x:c r="A3486" s="1" t="n">
        <x:v>26241</x:v>
      </x:c>
      <x:c r="B3486" s="5" t="d">
        <x:v>2016-01-19T00:00:00.000Z</x:v>
      </x:c>
      <x:c r="C3486" s="1" t="str">
        <x:v>Standard Class</x:v>
      </x:c>
      <x:c r="D3486" s="1" t="str">
        <x:v>Pacific Asia</x:v>
      </x:c>
      <x:c r="E3486" s="1" t="str">
        <x:v>ON_HOLD</x:v>
      </x:c>
      <x:c r="F3486" s="1" t="str">
        <x:v>Advance shipping</x:v>
      </x:c>
      <x:c r="G3486" s="6" t="n">
        <x:v>2</x:v>
      </x:c>
      <x:c r="H3486" s="6" t="n">
        <x:v>4</x:v>
      </x:c>
      <x:c r="I3486" s="6" t="n">
        <x:f>G3486-H3486</x:f>
        <x:v>-2</x:v>
      </x:c>
      <x:c r="J3486" s="6" t="n">
        <x:f>IF(OR(E3486="CANCELED",E3486="SUSPECTED_FRAUD",F3486="Shipping canceled"),0,1)</x:f>
        <x:v>1</x:v>
      </x:c>
      <x:c r="K3486" s="6" t="n">
        <x:f>IF(G3486&gt;H3486,1,0)</x:f>
        <x:v>0</x:v>
      </x:c>
      <x:c r="L3486" s="6" t="n">
        <x:f>J3486*K3486</x:f>
        <x:v>0</x:v>
      </x:c>
    </x:row>
    <x:row r="3487">
      <x:c r="A3487" s="1" t="n">
        <x:v>26262</x:v>
      </x:c>
      <x:c r="B3487" s="5" t="d">
        <x:v>2016-01-19T00:00:00.000Z</x:v>
      </x:c>
      <x:c r="C3487" s="1" t="str">
        <x:v>Standard Class</x:v>
      </x:c>
      <x:c r="D3487" s="1" t="str">
        <x:v>Pacific Asia</x:v>
      </x:c>
      <x:c r="E3487" s="1" t="str">
        <x:v>ON_HOLD</x:v>
      </x:c>
      <x:c r="F3487" s="1" t="str">
        <x:v>Advance shipping</x:v>
      </x:c>
      <x:c r="G3487" s="6" t="n">
        <x:v>3</x:v>
      </x:c>
      <x:c r="H3487" s="6" t="n">
        <x:v>4</x:v>
      </x:c>
      <x:c r="I3487" s="6" t="n">
        <x:f>G3487-H3487</x:f>
        <x:v>-1</x:v>
      </x:c>
      <x:c r="J3487" s="6" t="n">
        <x:f>IF(OR(E3487="CANCELED",E3487="SUSPECTED_FRAUD",F3487="Shipping canceled"),0,1)</x:f>
        <x:v>1</x:v>
      </x:c>
      <x:c r="K3487" s="6" t="n">
        <x:f>IF(G3487&gt;H3487,1,0)</x:f>
        <x:v>0</x:v>
      </x:c>
      <x:c r="L3487" s="6" t="n">
        <x:f>J3487*K3487</x:f>
        <x:v>0</x:v>
      </x:c>
    </x:row>
    <x:row r="3488">
      <x:c r="A3488" s="1" t="n">
        <x:v>26264</x:v>
      </x:c>
      <x:c r="B3488" s="5" t="d">
        <x:v>2016-01-19T00:00:00.000Z</x:v>
      </x:c>
      <x:c r="C3488" s="1" t="str">
        <x:v>Standard Class</x:v>
      </x:c>
      <x:c r="D3488" s="1" t="str">
        <x:v>Pacific Asia</x:v>
      </x:c>
      <x:c r="E3488" s="1" t="str">
        <x:v>COMPLETE</x:v>
      </x:c>
      <x:c r="F3488" s="1" t="str">
        <x:v>Late delivery</x:v>
      </x:c>
      <x:c r="G3488" s="6" t="n">
        <x:v>5</x:v>
      </x:c>
      <x:c r="H3488" s="6" t="n">
        <x:v>4</x:v>
      </x:c>
      <x:c r="I3488" s="6" t="n">
        <x:f>G3488-H3488</x:f>
        <x:v>1</x:v>
      </x:c>
      <x:c r="J3488" s="6" t="n">
        <x:f>IF(OR(E3488="CANCELED",E3488="SUSPECTED_FRAUD",F3488="Shipping canceled"),0,1)</x:f>
        <x:v>1</x:v>
      </x:c>
      <x:c r="K3488" s="6" t="n">
        <x:f>IF(G3488&gt;H3488,1,0)</x:f>
        <x:v>1</x:v>
      </x:c>
      <x:c r="L3488" s="6" t="n">
        <x:f>J3488*K3488</x:f>
        <x:v>1</x:v>
      </x:c>
    </x:row>
    <x:row r="3489">
      <x:c r="A3489" s="1" t="n">
        <x:v>26293</x:v>
      </x:c>
      <x:c r="B3489" s="5" t="d">
        <x:v>2016-01-19T00:00:00.000Z</x:v>
      </x:c>
      <x:c r="C3489" s="1" t="str">
        <x:v>Standard Class</x:v>
      </x:c>
      <x:c r="D3489" s="1" t="str">
        <x:v>Pacific Asia</x:v>
      </x:c>
      <x:c r="E3489" s="1" t="str">
        <x:v>SUSPECTED_FRAUD</x:v>
      </x:c>
      <x:c r="F3489" s="1" t="str">
        <x:v>Shipping canceled</x:v>
      </x:c>
      <x:c r="G3489" s="6" t="n">
        <x:v>4</x:v>
      </x:c>
      <x:c r="H3489" s="6" t="n">
        <x:v>4</x:v>
      </x:c>
      <x:c r="I3489" s="6" t="n">
        <x:f>G3489-H3489</x:f>
        <x:v>0</x:v>
      </x:c>
      <x:c r="J3489" s="6" t="n">
        <x:f>IF(OR(E3489="CANCELED",E3489="SUSPECTED_FRAUD",F3489="Shipping canceled"),0,1)</x:f>
        <x:v>0</x:v>
      </x:c>
      <x:c r="K3489" s="6" t="n">
        <x:f>IF(G3489&gt;H3489,1,0)</x:f>
        <x:v>0</x:v>
      </x:c>
      <x:c r="L3489" s="6" t="n">
        <x:f>J3489*K3489</x:f>
        <x:v>0</x:v>
      </x:c>
    </x:row>
    <x:row r="3490">
      <x:c r="A3490" s="1" t="n">
        <x:v>26296</x:v>
      </x:c>
      <x:c r="B3490" s="5" t="d">
        <x:v>2016-01-19T00:00:00.000Z</x:v>
      </x:c>
      <x:c r="C3490" s="1" t="str">
        <x:v>Second Class</x:v>
      </x:c>
      <x:c r="D3490" s="1" t="str">
        <x:v>Pacific Asia</x:v>
      </x:c>
      <x:c r="E3490" s="1" t="str">
        <x:v>COMPLETE</x:v>
      </x:c>
      <x:c r="F3490" s="1" t="str">
        <x:v>Shipping on time</x:v>
      </x:c>
      <x:c r="G3490" s="6" t="n">
        <x:v>2</x:v>
      </x:c>
      <x:c r="H3490" s="6" t="n">
        <x:v>2</x:v>
      </x:c>
      <x:c r="I3490" s="6" t="n">
        <x:f>G3490-H3490</x:f>
        <x:v>0</x:v>
      </x:c>
      <x:c r="J3490" s="6" t="n">
        <x:f>IF(OR(E3490="CANCELED",E3490="SUSPECTED_FRAUD",F3490="Shipping canceled"),0,1)</x:f>
        <x:v>1</x:v>
      </x:c>
      <x:c r="K3490" s="6" t="n">
        <x:f>IF(G3490&gt;H3490,1,0)</x:f>
        <x:v>0</x:v>
      </x:c>
      <x:c r="L3490" s="6" t="n">
        <x:f>J3490*K3490</x:f>
        <x:v>0</x:v>
      </x:c>
    </x:row>
    <x:row r="3491">
      <x:c r="A3491" s="1" t="n">
        <x:v>26298</x:v>
      </x:c>
      <x:c r="B3491" s="5" t="d">
        <x:v>2016-01-19T00:00:00.000Z</x:v>
      </x:c>
      <x:c r="C3491" s="1" t="str">
        <x:v>Second Class</x:v>
      </x:c>
      <x:c r="D3491" s="1" t="str">
        <x:v>Pacific Asia</x:v>
      </x:c>
      <x:c r="E3491" s="1" t="str">
        <x:v>SUSPECTED_FRAUD</x:v>
      </x:c>
      <x:c r="F3491" s="1" t="str">
        <x:v>Shipping canceled</x:v>
      </x:c>
      <x:c r="G3491" s="6" t="n">
        <x:v>4</x:v>
      </x:c>
      <x:c r="H3491" s="6" t="n">
        <x:v>2</x:v>
      </x:c>
      <x:c r="I3491" s="6" t="n">
        <x:f>G3491-H3491</x:f>
        <x:v>2</x:v>
      </x:c>
      <x:c r="J3491" s="6" t="n">
        <x:f>IF(OR(E3491="CANCELED",E3491="SUSPECTED_FRAUD",F3491="Shipping canceled"),0,1)</x:f>
        <x:v>0</x:v>
      </x:c>
      <x:c r="K3491" s="6" t="n">
        <x:f>IF(G3491&gt;H3491,1,0)</x:f>
        <x:v>1</x:v>
      </x:c>
      <x:c r="L3491" s="6" t="n">
        <x:f>J3491*K3491</x:f>
        <x:v>0</x:v>
      </x:c>
    </x:row>
    <x:row r="3492">
      <x:c r="A3492" s="1" t="n">
        <x:v>26320</x:v>
      </x:c>
      <x:c r="B3492" s="5" t="d">
        <x:v>2016-01-20T00:00:00.000Z</x:v>
      </x:c>
      <x:c r="C3492" s="1" t="str">
        <x:v>Standard Class</x:v>
      </x:c>
      <x:c r="D3492" s="1" t="str">
        <x:v>Pacific Asia</x:v>
      </x:c>
      <x:c r="E3492" s="1" t="str">
        <x:v>COMPLETE</x:v>
      </x:c>
      <x:c r="F3492" s="1" t="str">
        <x:v>Late delivery</x:v>
      </x:c>
      <x:c r="G3492" s="6" t="n">
        <x:v>6</x:v>
      </x:c>
      <x:c r="H3492" s="6" t="n">
        <x:v>4</x:v>
      </x:c>
      <x:c r="I3492" s="6" t="n">
        <x:f>G3492-H3492</x:f>
        <x:v>2</x:v>
      </x:c>
      <x:c r="J3492" s="6" t="n">
        <x:f>IF(OR(E3492="CANCELED",E3492="SUSPECTED_FRAUD",F3492="Shipping canceled"),0,1)</x:f>
        <x:v>1</x:v>
      </x:c>
      <x:c r="K3492" s="6" t="n">
        <x:f>IF(G3492&gt;H3492,1,0)</x:f>
        <x:v>1</x:v>
      </x:c>
      <x:c r="L3492" s="6" t="n">
        <x:f>J3492*K3492</x:f>
        <x:v>1</x:v>
      </x:c>
    </x:row>
    <x:row r="3493">
      <x:c r="A3493" s="1" t="n">
        <x:v>26324</x:v>
      </x:c>
      <x:c r="B3493" s="5" t="d">
        <x:v>2016-01-20T00:00:00.000Z</x:v>
      </x:c>
      <x:c r="C3493" s="1" t="str">
        <x:v>Standard Class</x:v>
      </x:c>
      <x:c r="D3493" s="1" t="str">
        <x:v>Pacific Asia</x:v>
      </x:c>
      <x:c r="E3493" s="1" t="str">
        <x:v>ON_HOLD</x:v>
      </x:c>
      <x:c r="F3493" s="1" t="str">
        <x:v>Late delivery</x:v>
      </x:c>
      <x:c r="G3493" s="6" t="n">
        <x:v>5</x:v>
      </x:c>
      <x:c r="H3493" s="6" t="n">
        <x:v>4</x:v>
      </x:c>
      <x:c r="I3493" s="6" t="n">
        <x:f>G3493-H3493</x:f>
        <x:v>1</x:v>
      </x:c>
      <x:c r="J3493" s="6" t="n">
        <x:f>IF(OR(E3493="CANCELED",E3493="SUSPECTED_FRAUD",F3493="Shipping canceled"),0,1)</x:f>
        <x:v>1</x:v>
      </x:c>
      <x:c r="K3493" s="6" t="n">
        <x:f>IF(G3493&gt;H3493,1,0)</x:f>
        <x:v>1</x:v>
      </x:c>
      <x:c r="L3493" s="6" t="n">
        <x:f>J3493*K3493</x:f>
        <x:v>1</x:v>
      </x:c>
    </x:row>
    <x:row r="3494">
      <x:c r="A3494" s="1" t="n">
        <x:v>26333</x:v>
      </x:c>
      <x:c r="B3494" s="5" t="d">
        <x:v>2016-01-20T00:00:00.000Z</x:v>
      </x:c>
      <x:c r="C3494" s="1" t="str">
        <x:v>Standard Class</x:v>
      </x:c>
      <x:c r="D3494" s="1" t="str">
        <x:v>Pacific Asia</x:v>
      </x:c>
      <x:c r="E3494" s="1" t="str">
        <x:v>COMPLETE</x:v>
      </x:c>
      <x:c r="F3494" s="1" t="str">
        <x:v>Shipping on time</x:v>
      </x:c>
      <x:c r="G3494" s="6" t="n">
        <x:v>4</x:v>
      </x:c>
      <x:c r="H3494" s="6" t="n">
        <x:v>4</x:v>
      </x:c>
      <x:c r="I3494" s="6" t="n">
        <x:f>G3494-H3494</x:f>
        <x:v>0</x:v>
      </x:c>
      <x:c r="J3494" s="6" t="n">
        <x:f>IF(OR(E3494="CANCELED",E3494="SUSPECTED_FRAUD",F3494="Shipping canceled"),0,1)</x:f>
        <x:v>1</x:v>
      </x:c>
      <x:c r="K3494" s="6" t="n">
        <x:f>IF(G3494&gt;H3494,1,0)</x:f>
        <x:v>0</x:v>
      </x:c>
      <x:c r="L3494" s="6" t="n">
        <x:f>J3494*K3494</x:f>
        <x:v>0</x:v>
      </x:c>
    </x:row>
    <x:row r="3495">
      <x:c r="A3495" s="1" t="n">
        <x:v>26348</x:v>
      </x:c>
      <x:c r="B3495" s="5" t="d">
        <x:v>2016-01-20T00:00:00.000Z</x:v>
      </x:c>
      <x:c r="C3495" s="1" t="str">
        <x:v>Standard Class</x:v>
      </x:c>
      <x:c r="D3495" s="1" t="str">
        <x:v>Pacific Asia</x:v>
      </x:c>
      <x:c r="E3495" s="1" t="str">
        <x:v>ON_HOLD</x:v>
      </x:c>
      <x:c r="F3495" s="1" t="str">
        <x:v>Shipping on time</x:v>
      </x:c>
      <x:c r="G3495" s="6" t="n">
        <x:v>4</x:v>
      </x:c>
      <x:c r="H3495" s="6" t="n">
        <x:v>4</x:v>
      </x:c>
      <x:c r="I3495" s="6" t="n">
        <x:f>G3495-H3495</x:f>
        <x:v>0</x:v>
      </x:c>
      <x:c r="J3495" s="6" t="n">
        <x:f>IF(OR(E3495="CANCELED",E3495="SUSPECTED_FRAUD",F3495="Shipping canceled"),0,1)</x:f>
        <x:v>1</x:v>
      </x:c>
      <x:c r="K3495" s="6" t="n">
        <x:f>IF(G3495&gt;H3495,1,0)</x:f>
        <x:v>0</x:v>
      </x:c>
      <x:c r="L3495" s="6" t="n">
        <x:f>J3495*K3495</x:f>
        <x:v>0</x:v>
      </x:c>
    </x:row>
    <x:row r="3496">
      <x:c r="A3496" s="1" t="n">
        <x:v>26349</x:v>
      </x:c>
      <x:c r="B3496" s="5" t="d">
        <x:v>2016-01-20T00:00:00.000Z</x:v>
      </x:c>
      <x:c r="C3496" s="1" t="str">
        <x:v>Standard Class</x:v>
      </x:c>
      <x:c r="D3496" s="1" t="str">
        <x:v>Pacific Asia</x:v>
      </x:c>
      <x:c r="E3496" s="1" t="str">
        <x:v>COMPLETE</x:v>
      </x:c>
      <x:c r="F3496" s="1" t="str">
        <x:v>Late delivery</x:v>
      </x:c>
      <x:c r="G3496" s="6" t="n">
        <x:v>5</x:v>
      </x:c>
      <x:c r="H3496" s="6" t="n">
        <x:v>4</x:v>
      </x:c>
      <x:c r="I3496" s="6" t="n">
        <x:f>G3496-H3496</x:f>
        <x:v>1</x:v>
      </x:c>
      <x:c r="J3496" s="6" t="n">
        <x:f>IF(OR(E3496="CANCELED",E3496="SUSPECTED_FRAUD",F3496="Shipping canceled"),0,1)</x:f>
        <x:v>1</x:v>
      </x:c>
      <x:c r="K3496" s="6" t="n">
        <x:f>IF(G3496&gt;H3496,1,0)</x:f>
        <x:v>1</x:v>
      </x:c>
      <x:c r="L3496" s="6" t="n">
        <x:f>J3496*K3496</x:f>
        <x:v>1</x:v>
      </x:c>
    </x:row>
    <x:row r="3497">
      <x:c r="A3497" s="1" t="n">
        <x:v>26350</x:v>
      </x:c>
      <x:c r="B3497" s="5" t="d">
        <x:v>2016-01-20T00:00:00.000Z</x:v>
      </x:c>
      <x:c r="C3497" s="1" t="str">
        <x:v>Standard Class</x:v>
      </x:c>
      <x:c r="D3497" s="1" t="str">
        <x:v>Pacific Asia</x:v>
      </x:c>
      <x:c r="E3497" s="1" t="str">
        <x:v>COMPLETE</x:v>
      </x:c>
      <x:c r="F3497" s="1" t="str">
        <x:v>Late delivery</x:v>
      </x:c>
      <x:c r="G3497" s="6" t="n">
        <x:v>6</x:v>
      </x:c>
      <x:c r="H3497" s="6" t="n">
        <x:v>4</x:v>
      </x:c>
      <x:c r="I3497" s="6" t="n">
        <x:f>G3497-H3497</x:f>
        <x:v>2</x:v>
      </x:c>
      <x:c r="J3497" s="6" t="n">
        <x:f>IF(OR(E3497="CANCELED",E3497="SUSPECTED_FRAUD",F3497="Shipping canceled"),0,1)</x:f>
        <x:v>1</x:v>
      </x:c>
      <x:c r="K3497" s="6" t="n">
        <x:f>IF(G3497&gt;H3497,1,0)</x:f>
        <x:v>1</x:v>
      </x:c>
      <x:c r="L3497" s="6" t="n">
        <x:f>J3497*K3497</x:f>
        <x:v>1</x:v>
      </x:c>
    </x:row>
    <x:row r="3498">
      <x:c r="A3498" s="1" t="n">
        <x:v>26363</x:v>
      </x:c>
      <x:c r="B3498" s="5" t="d">
        <x:v>2016-01-20T00:00:00.000Z</x:v>
      </x:c>
      <x:c r="C3498" s="1" t="str">
        <x:v>Standard Class</x:v>
      </x:c>
      <x:c r="D3498" s="1" t="str">
        <x:v>Pacific Asia</x:v>
      </x:c>
      <x:c r="E3498" s="1" t="str">
        <x:v>COMPLETE</x:v>
      </x:c>
      <x:c r="F3498" s="1" t="str">
        <x:v>Shipping on time</x:v>
      </x:c>
      <x:c r="G3498" s="6" t="n">
        <x:v>4</x:v>
      </x:c>
      <x:c r="H3498" s="6" t="n">
        <x:v>4</x:v>
      </x:c>
      <x:c r="I3498" s="6" t="n">
        <x:f>G3498-H3498</x:f>
        <x:v>0</x:v>
      </x:c>
      <x:c r="J3498" s="6" t="n">
        <x:f>IF(OR(E3498="CANCELED",E3498="SUSPECTED_FRAUD",F3498="Shipping canceled"),0,1)</x:f>
        <x:v>1</x:v>
      </x:c>
      <x:c r="K3498" s="6" t="n">
        <x:f>IF(G3498&gt;H3498,1,0)</x:f>
        <x:v>0</x:v>
      </x:c>
      <x:c r="L3498" s="6" t="n">
        <x:f>J3498*K3498</x:f>
        <x:v>0</x:v>
      </x:c>
    </x:row>
    <x:row r="3499">
      <x:c r="A3499" s="1" t="n">
        <x:v>26364</x:v>
      </x:c>
      <x:c r="B3499" s="5" t="d">
        <x:v>2016-01-20T00:00:00.000Z</x:v>
      </x:c>
      <x:c r="C3499" s="1" t="str">
        <x:v>Standard Class</x:v>
      </x:c>
      <x:c r="D3499" s="1" t="str">
        <x:v>Pacific Asia</x:v>
      </x:c>
      <x:c r="E3499" s="1" t="str">
        <x:v>COMPLETE</x:v>
      </x:c>
      <x:c r="F3499" s="1" t="str">
        <x:v>Late delivery</x:v>
      </x:c>
      <x:c r="G3499" s="6" t="n">
        <x:v>5</x:v>
      </x:c>
      <x:c r="H3499" s="6" t="n">
        <x:v>4</x:v>
      </x:c>
      <x:c r="I3499" s="6" t="n">
        <x:f>G3499-H3499</x:f>
        <x:v>1</x:v>
      </x:c>
      <x:c r="J3499" s="6" t="n">
        <x:f>IF(OR(E3499="CANCELED",E3499="SUSPECTED_FRAUD",F3499="Shipping canceled"),0,1)</x:f>
        <x:v>1</x:v>
      </x:c>
      <x:c r="K3499" s="6" t="n">
        <x:f>IF(G3499&gt;H3499,1,0)</x:f>
        <x:v>1</x:v>
      </x:c>
      <x:c r="L3499" s="6" t="n">
        <x:f>J3499*K3499</x:f>
        <x:v>1</x:v>
      </x:c>
    </x:row>
    <x:row r="3500">
      <x:c r="A3500" s="1" t="n">
        <x:v>26369</x:v>
      </x:c>
      <x:c r="B3500" s="5" t="d">
        <x:v>2016-01-20T00:00:00.000Z</x:v>
      </x:c>
      <x:c r="C3500" s="1" t="str">
        <x:v>Standard Class</x:v>
      </x:c>
      <x:c r="D3500" s="1" t="str">
        <x:v>Pacific Asia</x:v>
      </x:c>
      <x:c r="E3500" s="1" t="str">
        <x:v>COMPLETE</x:v>
      </x:c>
      <x:c r="F3500" s="1" t="str">
        <x:v>Late delivery</x:v>
      </x:c>
      <x:c r="G3500" s="6" t="n">
        <x:v>5</x:v>
      </x:c>
      <x:c r="H3500" s="6" t="n">
        <x:v>4</x:v>
      </x:c>
      <x:c r="I3500" s="6" t="n">
        <x:f>G3500-H3500</x:f>
        <x:v>1</x:v>
      </x:c>
      <x:c r="J3500" s="6" t="n">
        <x:f>IF(OR(E3500="CANCELED",E3500="SUSPECTED_FRAUD",F3500="Shipping canceled"),0,1)</x:f>
        <x:v>1</x:v>
      </x:c>
      <x:c r="K3500" s="6" t="n">
        <x:f>IF(G3500&gt;H3500,1,0)</x:f>
        <x:v>1</x:v>
      </x:c>
      <x:c r="L3500" s="6" t="n">
        <x:f>J3500*K3500</x:f>
        <x:v>1</x:v>
      </x:c>
    </x:row>
    <x:row r="3501">
      <x:c r="A3501" s="1" t="n">
        <x:v>26402</x:v>
      </x:c>
      <x:c r="B3501" s="5" t="d">
        <x:v>2016-01-21T00:00:00.000Z</x:v>
      </x:c>
      <x:c r="C3501" s="1" t="str">
        <x:v>Standard Class</x:v>
      </x:c>
      <x:c r="D3501" s="1" t="str">
        <x:v>Pacific Asia</x:v>
      </x:c>
      <x:c r="E3501" s="1" t="str">
        <x:v>PROCESSING</x:v>
      </x:c>
      <x:c r="F3501" s="1" t="str">
        <x:v>Advance shipping</x:v>
      </x:c>
      <x:c r="G3501" s="6" t="n">
        <x:v>3</x:v>
      </x:c>
      <x:c r="H3501" s="6" t="n">
        <x:v>4</x:v>
      </x:c>
      <x:c r="I3501" s="6" t="n">
        <x:f>G3501-H3501</x:f>
        <x:v>-1</x:v>
      </x:c>
      <x:c r="J3501" s="6" t="n">
        <x:f>IF(OR(E3501="CANCELED",E3501="SUSPECTED_FRAUD",F3501="Shipping canceled"),0,1)</x:f>
        <x:v>1</x:v>
      </x:c>
      <x:c r="K3501" s="6" t="n">
        <x:f>IF(G3501&gt;H3501,1,0)</x:f>
        <x:v>0</x:v>
      </x:c>
      <x:c r="L3501" s="6" t="n">
        <x:f>J3501*K3501</x:f>
        <x:v>0</x:v>
      </x:c>
    </x:row>
    <x:row r="3502">
      <x:c r="A3502" s="1" t="n">
        <x:v>26406</x:v>
      </x:c>
      <x:c r="B3502" s="5" t="d">
        <x:v>2016-01-21T00:00:00.000Z</x:v>
      </x:c>
      <x:c r="C3502" s="1" t="str">
        <x:v>Standard Class</x:v>
      </x:c>
      <x:c r="D3502" s="1" t="str">
        <x:v>Pacific Asia</x:v>
      </x:c>
      <x:c r="E3502" s="1" t="str">
        <x:v>COMPLETE</x:v>
      </x:c>
      <x:c r="F3502" s="1" t="str">
        <x:v>Advance shipping</x:v>
      </x:c>
      <x:c r="G3502" s="6" t="n">
        <x:v>2</x:v>
      </x:c>
      <x:c r="H3502" s="6" t="n">
        <x:v>4</x:v>
      </x:c>
      <x:c r="I3502" s="6" t="n">
        <x:f>G3502-H3502</x:f>
        <x:v>-2</x:v>
      </x:c>
      <x:c r="J3502" s="6" t="n">
        <x:f>IF(OR(E3502="CANCELED",E3502="SUSPECTED_FRAUD",F3502="Shipping canceled"),0,1)</x:f>
        <x:v>1</x:v>
      </x:c>
      <x:c r="K3502" s="6" t="n">
        <x:f>IF(G3502&gt;H3502,1,0)</x:f>
        <x:v>0</x:v>
      </x:c>
      <x:c r="L3502" s="6" t="n">
        <x:f>J3502*K3502</x:f>
        <x:v>0</x:v>
      </x:c>
    </x:row>
    <x:row r="3503">
      <x:c r="A3503" s="1" t="n">
        <x:v>26426</x:v>
      </x:c>
      <x:c r="B3503" s="5" t="d">
        <x:v>2016-01-21T00:00:00.000Z</x:v>
      </x:c>
      <x:c r="C3503" s="1" t="str">
        <x:v>Second Class</x:v>
      </x:c>
      <x:c r="D3503" s="1" t="str">
        <x:v>Pacific Asia</x:v>
      </x:c>
      <x:c r="E3503" s="1" t="str">
        <x:v>COMPLETE</x:v>
      </x:c>
      <x:c r="F3503" s="1" t="str">
        <x:v>Shipping on time</x:v>
      </x:c>
      <x:c r="G3503" s="6" t="n">
        <x:v>2</x:v>
      </x:c>
      <x:c r="H3503" s="6" t="n">
        <x:v>2</x:v>
      </x:c>
      <x:c r="I3503" s="6" t="n">
        <x:f>G3503-H3503</x:f>
        <x:v>0</x:v>
      </x:c>
      <x:c r="J3503" s="6" t="n">
        <x:f>IF(OR(E3503="CANCELED",E3503="SUSPECTED_FRAUD",F3503="Shipping canceled"),0,1)</x:f>
        <x:v>1</x:v>
      </x:c>
      <x:c r="K3503" s="6" t="n">
        <x:f>IF(G3503&gt;H3503,1,0)</x:f>
        <x:v>0</x:v>
      </x:c>
      <x:c r="L3503" s="6" t="n">
        <x:f>J3503*K3503</x:f>
        <x:v>0</x:v>
      </x:c>
    </x:row>
    <x:row r="3504">
      <x:c r="A3504" s="1" t="n">
        <x:v>26436</x:v>
      </x:c>
      <x:c r="B3504" s="5" t="d">
        <x:v>2016-01-21T00:00:00.000Z</x:v>
      </x:c>
      <x:c r="C3504" s="1" t="str">
        <x:v>Standard Class</x:v>
      </x:c>
      <x:c r="D3504" s="1" t="str">
        <x:v>Pacific Asia</x:v>
      </x:c>
      <x:c r="E3504" s="1" t="str">
        <x:v>PROCESSING</x:v>
      </x:c>
      <x:c r="F3504" s="1" t="str">
        <x:v>Advance shipping</x:v>
      </x:c>
      <x:c r="G3504" s="6" t="n">
        <x:v>2</x:v>
      </x:c>
      <x:c r="H3504" s="6" t="n">
        <x:v>4</x:v>
      </x:c>
      <x:c r="I3504" s="6" t="n">
        <x:f>G3504-H3504</x:f>
        <x:v>-2</x:v>
      </x:c>
      <x:c r="J3504" s="6" t="n">
        <x:f>IF(OR(E3504="CANCELED",E3504="SUSPECTED_FRAUD",F3504="Shipping canceled"),0,1)</x:f>
        <x:v>1</x:v>
      </x:c>
      <x:c r="K3504" s="6" t="n">
        <x:f>IF(G3504&gt;H3504,1,0)</x:f>
        <x:v>0</x:v>
      </x:c>
      <x:c r="L3504" s="6" t="n">
        <x:f>J3504*K3504</x:f>
        <x:v>0</x:v>
      </x:c>
    </x:row>
    <x:row r="3505">
      <x:c r="A3505" s="1" t="n">
        <x:v>26442</x:v>
      </x:c>
      <x:c r="B3505" s="5" t="d">
        <x:v>2016-01-21T00:00:00.000Z</x:v>
      </x:c>
      <x:c r="C3505" s="1" t="str">
        <x:v>Standard Class</x:v>
      </x:c>
      <x:c r="D3505" s="1" t="str">
        <x:v>Pacific Asia</x:v>
      </x:c>
      <x:c r="E3505" s="1" t="str">
        <x:v>COMPLETE</x:v>
      </x:c>
      <x:c r="F3505" s="1" t="str">
        <x:v>Advance shipping</x:v>
      </x:c>
      <x:c r="G3505" s="6" t="n">
        <x:v>3</x:v>
      </x:c>
      <x:c r="H3505" s="6" t="n">
        <x:v>4</x:v>
      </x:c>
      <x:c r="I3505" s="6" t="n">
        <x:f>G3505-H3505</x:f>
        <x:v>-1</x:v>
      </x:c>
      <x:c r="J3505" s="6" t="n">
        <x:f>IF(OR(E3505="CANCELED",E3505="SUSPECTED_FRAUD",F3505="Shipping canceled"),0,1)</x:f>
        <x:v>1</x:v>
      </x:c>
      <x:c r="K3505" s="6" t="n">
        <x:f>IF(G3505&gt;H3505,1,0)</x:f>
        <x:v>0</x:v>
      </x:c>
      <x:c r="L3505" s="6" t="n">
        <x:f>J3505*K3505</x:f>
        <x:v>0</x:v>
      </x:c>
    </x:row>
    <x:row r="3506">
      <x:c r="A3506" s="1" t="n">
        <x:v>26451</x:v>
      </x:c>
      <x:c r="B3506" s="5" t="d">
        <x:v>2016-01-22T00:00:00.000Z</x:v>
      </x:c>
      <x:c r="C3506" s="1" t="str">
        <x:v>Standard Class</x:v>
      </x:c>
      <x:c r="D3506" s="1" t="str">
        <x:v>Pacific Asia</x:v>
      </x:c>
      <x:c r="E3506" s="1" t="str">
        <x:v>COMPLETE</x:v>
      </x:c>
      <x:c r="F3506" s="1" t="str">
        <x:v>Advance shipping</x:v>
      </x:c>
      <x:c r="G3506" s="6" t="n">
        <x:v>2</x:v>
      </x:c>
      <x:c r="H3506" s="6" t="n">
        <x:v>4</x:v>
      </x:c>
      <x:c r="I3506" s="6" t="n">
        <x:f>G3506-H3506</x:f>
        <x:v>-2</x:v>
      </x:c>
      <x:c r="J3506" s="6" t="n">
        <x:f>IF(OR(E3506="CANCELED",E3506="SUSPECTED_FRAUD",F3506="Shipping canceled"),0,1)</x:f>
        <x:v>1</x:v>
      </x:c>
      <x:c r="K3506" s="6" t="n">
        <x:f>IF(G3506&gt;H3506,1,0)</x:f>
        <x:v>0</x:v>
      </x:c>
      <x:c r="L3506" s="6" t="n">
        <x:f>J3506*K3506</x:f>
        <x:v>0</x:v>
      </x:c>
    </x:row>
    <x:row r="3507">
      <x:c r="A3507" s="1" t="n">
        <x:v>26452</x:v>
      </x:c>
      <x:c r="B3507" s="5" t="d">
        <x:v>2016-01-22T00:00:00.000Z</x:v>
      </x:c>
      <x:c r="C3507" s="1" t="str">
        <x:v>Standard Class</x:v>
      </x:c>
      <x:c r="D3507" s="1" t="str">
        <x:v>Pacific Asia</x:v>
      </x:c>
      <x:c r="E3507" s="1" t="str">
        <x:v>PENDING_PAYMENT</x:v>
      </x:c>
      <x:c r="F3507" s="1" t="str">
        <x:v>Advance shipping</x:v>
      </x:c>
      <x:c r="G3507" s="6" t="n">
        <x:v>3</x:v>
      </x:c>
      <x:c r="H3507" s="6" t="n">
        <x:v>4</x:v>
      </x:c>
      <x:c r="I3507" s="6" t="n">
        <x:f>G3507-H3507</x:f>
        <x:v>-1</x:v>
      </x:c>
      <x:c r="J3507" s="6" t="n">
        <x:f>IF(OR(E3507="CANCELED",E3507="SUSPECTED_FRAUD",F3507="Shipping canceled"),0,1)</x:f>
        <x:v>1</x:v>
      </x:c>
      <x:c r="K3507" s="6" t="n">
        <x:f>IF(G3507&gt;H3507,1,0)</x:f>
        <x:v>0</x:v>
      </x:c>
      <x:c r="L3507" s="6" t="n">
        <x:f>J3507*K3507</x:f>
        <x:v>0</x:v>
      </x:c>
    </x:row>
    <x:row r="3508">
      <x:c r="A3508" s="1" t="n">
        <x:v>26481</x:v>
      </x:c>
      <x:c r="B3508" s="5" t="d">
        <x:v>2016-01-22T00:00:00.000Z</x:v>
      </x:c>
      <x:c r="C3508" s="1" t="str">
        <x:v>Standard Class</x:v>
      </x:c>
      <x:c r="D3508" s="1" t="str">
        <x:v>Pacific Asia</x:v>
      </x:c>
      <x:c r="E3508" s="1" t="str">
        <x:v>PENDING</x:v>
      </x:c>
      <x:c r="F3508" s="1" t="str">
        <x:v>Advance shipping</x:v>
      </x:c>
      <x:c r="G3508" s="6" t="n">
        <x:v>2</x:v>
      </x:c>
      <x:c r="H3508" s="6" t="n">
        <x:v>4</x:v>
      </x:c>
      <x:c r="I3508" s="6" t="n">
        <x:f>G3508-H3508</x:f>
        <x:v>-2</x:v>
      </x:c>
      <x:c r="J3508" s="6" t="n">
        <x:f>IF(OR(E3508="CANCELED",E3508="SUSPECTED_FRAUD",F3508="Shipping canceled"),0,1)</x:f>
        <x:v>1</x:v>
      </x:c>
      <x:c r="K3508" s="6" t="n">
        <x:f>IF(G3508&gt;H3508,1,0)</x:f>
        <x:v>0</x:v>
      </x:c>
      <x:c r="L3508" s="6" t="n">
        <x:f>J3508*K3508</x:f>
        <x:v>0</x:v>
      </x:c>
    </x:row>
    <x:row r="3509">
      <x:c r="A3509" s="1" t="n">
        <x:v>26488</x:v>
      </x:c>
      <x:c r="B3509" s="5" t="d">
        <x:v>2016-01-22T00:00:00.000Z</x:v>
      </x:c>
      <x:c r="C3509" s="1" t="str">
        <x:v>Standard Class</x:v>
      </x:c>
      <x:c r="D3509" s="1" t="str">
        <x:v>Pacific Asia</x:v>
      </x:c>
      <x:c r="E3509" s="1" t="str">
        <x:v>PROCESSING</x:v>
      </x:c>
      <x:c r="F3509" s="1" t="str">
        <x:v>Shipping on time</x:v>
      </x:c>
      <x:c r="G3509" s="6" t="n">
        <x:v>4</x:v>
      </x:c>
      <x:c r="H3509" s="6" t="n">
        <x:v>4</x:v>
      </x:c>
      <x:c r="I3509" s="6" t="n">
        <x:f>G3509-H3509</x:f>
        <x:v>0</x:v>
      </x:c>
      <x:c r="J3509" s="6" t="n">
        <x:f>IF(OR(E3509="CANCELED",E3509="SUSPECTED_FRAUD",F3509="Shipping canceled"),0,1)</x:f>
        <x:v>1</x:v>
      </x:c>
      <x:c r="K3509" s="6" t="n">
        <x:f>IF(G3509&gt;H3509,1,0)</x:f>
        <x:v>0</x:v>
      </x:c>
      <x:c r="L3509" s="6" t="n">
        <x:f>J3509*K3509</x:f>
        <x:v>0</x:v>
      </x:c>
    </x:row>
    <x:row r="3510">
      <x:c r="A3510" s="1" t="n">
        <x:v>26489</x:v>
      </x:c>
      <x:c r="B3510" s="5" t="d">
        <x:v>2016-01-22T00:00:00.000Z</x:v>
      </x:c>
      <x:c r="C3510" s="1" t="str">
        <x:v>Standard Class</x:v>
      </x:c>
      <x:c r="D3510" s="1" t="str">
        <x:v>Pacific Asia</x:v>
      </x:c>
      <x:c r="E3510" s="1" t="str">
        <x:v>CLOSED</x:v>
      </x:c>
      <x:c r="F3510" s="1" t="str">
        <x:v>Late delivery</x:v>
      </x:c>
      <x:c r="G3510" s="6" t="n">
        <x:v>5</x:v>
      </x:c>
      <x:c r="H3510" s="6" t="n">
        <x:v>4</x:v>
      </x:c>
      <x:c r="I3510" s="6" t="n">
        <x:f>G3510-H3510</x:f>
        <x:v>1</x:v>
      </x:c>
      <x:c r="J3510" s="6" t="n">
        <x:f>IF(OR(E3510="CANCELED",E3510="SUSPECTED_FRAUD",F3510="Shipping canceled"),0,1)</x:f>
        <x:v>1</x:v>
      </x:c>
      <x:c r="K3510" s="6" t="n">
        <x:f>IF(G3510&gt;H3510,1,0)</x:f>
        <x:v>1</x:v>
      </x:c>
      <x:c r="L3510" s="6" t="n">
        <x:f>J3510*K3510</x:f>
        <x:v>1</x:v>
      </x:c>
    </x:row>
    <x:row r="3511">
      <x:c r="A3511" s="1" t="n">
        <x:v>26499</x:v>
      </x:c>
      <x:c r="B3511" s="5" t="d">
        <x:v>2016-01-22T00:00:00.000Z</x:v>
      </x:c>
      <x:c r="C3511" s="1" t="str">
        <x:v>Standard Class</x:v>
      </x:c>
      <x:c r="D3511" s="1" t="str">
        <x:v>Pacific Asia</x:v>
      </x:c>
      <x:c r="E3511" s="1" t="str">
        <x:v>COMPLETE</x:v>
      </x:c>
      <x:c r="F3511" s="1" t="str">
        <x:v>Late delivery</x:v>
      </x:c>
      <x:c r="G3511" s="6" t="n">
        <x:v>5</x:v>
      </x:c>
      <x:c r="H3511" s="6" t="n">
        <x:v>4</x:v>
      </x:c>
      <x:c r="I3511" s="6" t="n">
        <x:f>G3511-H3511</x:f>
        <x:v>1</x:v>
      </x:c>
      <x:c r="J3511" s="6" t="n">
        <x:f>IF(OR(E3511="CANCELED",E3511="SUSPECTED_FRAUD",F3511="Shipping canceled"),0,1)</x:f>
        <x:v>1</x:v>
      </x:c>
      <x:c r="K3511" s="6" t="n">
        <x:f>IF(G3511&gt;H3511,1,0)</x:f>
        <x:v>1</x:v>
      </x:c>
      <x:c r="L3511" s="6" t="n">
        <x:f>J3511*K3511</x:f>
        <x:v>1</x:v>
      </x:c>
    </x:row>
    <x:row r="3512">
      <x:c r="A3512" s="1" t="n">
        <x:v>26501</x:v>
      </x:c>
      <x:c r="B3512" s="5" t="d">
        <x:v>2016-01-22T00:00:00.000Z</x:v>
      </x:c>
      <x:c r="C3512" s="1" t="str">
        <x:v>Standard Class</x:v>
      </x:c>
      <x:c r="D3512" s="1" t="str">
        <x:v>Pacific Asia</x:v>
      </x:c>
      <x:c r="E3512" s="1" t="str">
        <x:v>COMPLETE</x:v>
      </x:c>
      <x:c r="F3512" s="1" t="str">
        <x:v>Advance shipping</x:v>
      </x:c>
      <x:c r="G3512" s="6" t="n">
        <x:v>2</x:v>
      </x:c>
      <x:c r="H3512" s="6" t="n">
        <x:v>4</x:v>
      </x:c>
      <x:c r="I3512" s="6" t="n">
        <x:f>G3512-H3512</x:f>
        <x:v>-2</x:v>
      </x:c>
      <x:c r="J3512" s="6" t="n">
        <x:f>IF(OR(E3512="CANCELED",E3512="SUSPECTED_FRAUD",F3512="Shipping canceled"),0,1)</x:f>
        <x:v>1</x:v>
      </x:c>
      <x:c r="K3512" s="6" t="n">
        <x:f>IF(G3512&gt;H3512,1,0)</x:f>
        <x:v>0</x:v>
      </x:c>
      <x:c r="L3512" s="6" t="n">
        <x:f>J3512*K3512</x:f>
        <x:v>0</x:v>
      </x:c>
    </x:row>
    <x:row r="3513">
      <x:c r="A3513" s="1" t="n">
        <x:v>26510</x:v>
      </x:c>
      <x:c r="B3513" s="5" t="d">
        <x:v>2016-01-22T00:00:00.000Z</x:v>
      </x:c>
      <x:c r="C3513" s="1" t="str">
        <x:v>Standard Class</x:v>
      </x:c>
      <x:c r="D3513" s="1" t="str">
        <x:v>Pacific Asia</x:v>
      </x:c>
      <x:c r="E3513" s="1" t="str">
        <x:v>PROCESSING</x:v>
      </x:c>
      <x:c r="F3513" s="1" t="str">
        <x:v>Late delivery</x:v>
      </x:c>
      <x:c r="G3513" s="6" t="n">
        <x:v>6</x:v>
      </x:c>
      <x:c r="H3513" s="6" t="n">
        <x:v>4</x:v>
      </x:c>
      <x:c r="I3513" s="6" t="n">
        <x:f>G3513-H3513</x:f>
        <x:v>2</x:v>
      </x:c>
      <x:c r="J3513" s="6" t="n">
        <x:f>IF(OR(E3513="CANCELED",E3513="SUSPECTED_FRAUD",F3513="Shipping canceled"),0,1)</x:f>
        <x:v>1</x:v>
      </x:c>
      <x:c r="K3513" s="6" t="n">
        <x:f>IF(G3513&gt;H3513,1,0)</x:f>
        <x:v>1</x:v>
      </x:c>
      <x:c r="L3513" s="6" t="n">
        <x:f>J3513*K3513</x:f>
        <x:v>1</x:v>
      </x:c>
    </x:row>
    <x:row r="3514">
      <x:c r="A3514" s="1" t="n">
        <x:v>26511</x:v>
      </x:c>
      <x:c r="B3514" s="5" t="d">
        <x:v>2016-01-22T00:00:00.000Z</x:v>
      </x:c>
      <x:c r="C3514" s="1" t="str">
        <x:v>Standard Class</x:v>
      </x:c>
      <x:c r="D3514" s="1" t="str">
        <x:v>Pacific Asia</x:v>
      </x:c>
      <x:c r="E3514" s="1" t="str">
        <x:v>ON_HOLD</x:v>
      </x:c>
      <x:c r="F3514" s="1" t="str">
        <x:v>Advance shipping</x:v>
      </x:c>
      <x:c r="G3514" s="6" t="n">
        <x:v>2</x:v>
      </x:c>
      <x:c r="H3514" s="6" t="n">
        <x:v>4</x:v>
      </x:c>
      <x:c r="I3514" s="6" t="n">
        <x:f>G3514-H3514</x:f>
        <x:v>-2</x:v>
      </x:c>
      <x:c r="J3514" s="6" t="n">
        <x:f>IF(OR(E3514="CANCELED",E3514="SUSPECTED_FRAUD",F3514="Shipping canceled"),0,1)</x:f>
        <x:v>1</x:v>
      </x:c>
      <x:c r="K3514" s="6" t="n">
        <x:f>IF(G3514&gt;H3514,1,0)</x:f>
        <x:v>0</x:v>
      </x:c>
      <x:c r="L3514" s="6" t="n">
        <x:f>J3514*K3514</x:f>
        <x:v>0</x:v>
      </x:c>
    </x:row>
    <x:row r="3515">
      <x:c r="A3515" s="1" t="n">
        <x:v>26525</x:v>
      </x:c>
      <x:c r="B3515" s="5" t="d">
        <x:v>2016-01-23T00:00:00.000Z</x:v>
      </x:c>
      <x:c r="C3515" s="1" t="str">
        <x:v>Second Class</x:v>
      </x:c>
      <x:c r="D3515" s="1" t="str">
        <x:v>Pacific Asia</x:v>
      </x:c>
      <x:c r="E3515" s="1" t="str">
        <x:v>COMPLETE</x:v>
      </x:c>
      <x:c r="F3515" s="1" t="str">
        <x:v>Late delivery</x:v>
      </x:c>
      <x:c r="G3515" s="6" t="n">
        <x:v>6</x:v>
      </x:c>
      <x:c r="H3515" s="6" t="n">
        <x:v>2</x:v>
      </x:c>
      <x:c r="I3515" s="6" t="n">
        <x:f>G3515-H3515</x:f>
        <x:v>4</x:v>
      </x:c>
      <x:c r="J3515" s="6" t="n">
        <x:f>IF(OR(E3515="CANCELED",E3515="SUSPECTED_FRAUD",F3515="Shipping canceled"),0,1)</x:f>
        <x:v>1</x:v>
      </x:c>
      <x:c r="K3515" s="6" t="n">
        <x:f>IF(G3515&gt;H3515,1,0)</x:f>
        <x:v>1</x:v>
      </x:c>
      <x:c r="L3515" s="6" t="n">
        <x:f>J3515*K3515</x:f>
        <x:v>1</x:v>
      </x:c>
    </x:row>
    <x:row r="3516">
      <x:c r="A3516" s="1" t="n">
        <x:v>26534</x:v>
      </x:c>
      <x:c r="B3516" s="5" t="d">
        <x:v>2016-01-23T00:00:00.000Z</x:v>
      </x:c>
      <x:c r="C3516" s="1" t="str">
        <x:v>Standard Class</x:v>
      </x:c>
      <x:c r="D3516" s="1" t="str">
        <x:v>Pacific Asia</x:v>
      </x:c>
      <x:c r="E3516" s="1" t="str">
        <x:v>PENDING</x:v>
      </x:c>
      <x:c r="F3516" s="1" t="str">
        <x:v>Late delivery</x:v>
      </x:c>
      <x:c r="G3516" s="6" t="n">
        <x:v>5</x:v>
      </x:c>
      <x:c r="H3516" s="6" t="n">
        <x:v>4</x:v>
      </x:c>
      <x:c r="I3516" s="6" t="n">
        <x:f>G3516-H3516</x:f>
        <x:v>1</x:v>
      </x:c>
      <x:c r="J3516" s="6" t="n">
        <x:f>IF(OR(E3516="CANCELED",E3516="SUSPECTED_FRAUD",F3516="Shipping canceled"),0,1)</x:f>
        <x:v>1</x:v>
      </x:c>
      <x:c r="K3516" s="6" t="n">
        <x:f>IF(G3516&gt;H3516,1,0)</x:f>
        <x:v>1</x:v>
      </x:c>
      <x:c r="L3516" s="6" t="n">
        <x:f>J3516*K3516</x:f>
        <x:v>1</x:v>
      </x:c>
    </x:row>
    <x:row r="3517">
      <x:c r="A3517" s="1" t="n">
        <x:v>26537</x:v>
      </x:c>
      <x:c r="B3517" s="5" t="d">
        <x:v>2016-01-23T00:00:00.000Z</x:v>
      </x:c>
      <x:c r="C3517" s="1" t="str">
        <x:v>Second Class</x:v>
      </x:c>
      <x:c r="D3517" s="1" t="str">
        <x:v>Pacific Asia</x:v>
      </x:c>
      <x:c r="E3517" s="1" t="str">
        <x:v>COMPLETE</x:v>
      </x:c>
      <x:c r="F3517" s="1" t="str">
        <x:v>Late delivery</x:v>
      </x:c>
      <x:c r="G3517" s="6" t="n">
        <x:v>3</x:v>
      </x:c>
      <x:c r="H3517" s="6" t="n">
        <x:v>2</x:v>
      </x:c>
      <x:c r="I3517" s="6" t="n">
        <x:f>G3517-H3517</x:f>
        <x:v>1</x:v>
      </x:c>
      <x:c r="J3517" s="6" t="n">
        <x:f>IF(OR(E3517="CANCELED",E3517="SUSPECTED_FRAUD",F3517="Shipping canceled"),0,1)</x:f>
        <x:v>1</x:v>
      </x:c>
      <x:c r="K3517" s="6" t="n">
        <x:f>IF(G3517&gt;H3517,1,0)</x:f>
        <x:v>1</x:v>
      </x:c>
      <x:c r="L3517" s="6" t="n">
        <x:f>J3517*K3517</x:f>
        <x:v>1</x:v>
      </x:c>
    </x:row>
    <x:row r="3518">
      <x:c r="A3518" s="1" t="n">
        <x:v>26538</x:v>
      </x:c>
      <x:c r="B3518" s="5" t="d">
        <x:v>2016-01-23T00:00:00.000Z</x:v>
      </x:c>
      <x:c r="C3518" s="1" t="str">
        <x:v>First Class</x:v>
      </x:c>
      <x:c r="D3518" s="1" t="str">
        <x:v>Pacific Asia</x:v>
      </x:c>
      <x:c r="E3518" s="1" t="str">
        <x:v>CLOSED</x:v>
      </x:c>
      <x:c r="F3518" s="1" t="str">
        <x:v>Late delivery</x:v>
      </x:c>
      <x:c r="G3518" s="6" t="n">
        <x:v>2</x:v>
      </x:c>
      <x:c r="H3518" s="6" t="n">
        <x:v>1</x:v>
      </x:c>
      <x:c r="I3518" s="6" t="n">
        <x:f>G3518-H3518</x:f>
        <x:v>1</x:v>
      </x:c>
      <x:c r="J3518" s="6" t="n">
        <x:f>IF(OR(E3518="CANCELED",E3518="SUSPECTED_FRAUD",F3518="Shipping canceled"),0,1)</x:f>
        <x:v>1</x:v>
      </x:c>
      <x:c r="K3518" s="6" t="n">
        <x:f>IF(G3518&gt;H3518,1,0)</x:f>
        <x:v>1</x:v>
      </x:c>
      <x:c r="L3518" s="6" t="n">
        <x:f>J3518*K3518</x:f>
        <x:v>1</x:v>
      </x:c>
    </x:row>
    <x:row r="3519">
      <x:c r="A3519" s="1" t="n">
        <x:v>26543</x:v>
      </x:c>
      <x:c r="B3519" s="5" t="d">
        <x:v>2016-01-23T00:00:00.000Z</x:v>
      </x:c>
      <x:c r="C3519" s="1" t="str">
        <x:v>Standard Class</x:v>
      </x:c>
      <x:c r="D3519" s="1" t="str">
        <x:v>Pacific Asia</x:v>
      </x:c>
      <x:c r="E3519" s="1" t="str">
        <x:v>COMPLETE</x:v>
      </x:c>
      <x:c r="F3519" s="1" t="str">
        <x:v>Shipping on time</x:v>
      </x:c>
      <x:c r="G3519" s="6" t="n">
        <x:v>4</x:v>
      </x:c>
      <x:c r="H3519" s="6" t="n">
        <x:v>4</x:v>
      </x:c>
      <x:c r="I3519" s="6" t="n">
        <x:f>G3519-H3519</x:f>
        <x:v>0</x:v>
      </x:c>
      <x:c r="J3519" s="6" t="n">
        <x:f>IF(OR(E3519="CANCELED",E3519="SUSPECTED_FRAUD",F3519="Shipping canceled"),0,1)</x:f>
        <x:v>1</x:v>
      </x:c>
      <x:c r="K3519" s="6" t="n">
        <x:f>IF(G3519&gt;H3519,1,0)</x:f>
        <x:v>0</x:v>
      </x:c>
      <x:c r="L3519" s="6" t="n">
        <x:f>J3519*K3519</x:f>
        <x:v>0</x:v>
      </x:c>
    </x:row>
    <x:row r="3520">
      <x:c r="A3520" s="1" t="n">
        <x:v>26546</x:v>
      </x:c>
      <x:c r="B3520" s="5" t="d">
        <x:v>2016-01-23T00:00:00.000Z</x:v>
      </x:c>
      <x:c r="C3520" s="1" t="str">
        <x:v>Second Class</x:v>
      </x:c>
      <x:c r="D3520" s="1" t="str">
        <x:v>Pacific Asia</x:v>
      </x:c>
      <x:c r="E3520" s="1" t="str">
        <x:v>COMPLETE</x:v>
      </x:c>
      <x:c r="F3520" s="1" t="str">
        <x:v>Shipping on time</x:v>
      </x:c>
      <x:c r="G3520" s="6" t="n">
        <x:v>2</x:v>
      </x:c>
      <x:c r="H3520" s="6" t="n">
        <x:v>2</x:v>
      </x:c>
      <x:c r="I3520" s="6" t="n">
        <x:f>G3520-H3520</x:f>
        <x:v>0</x:v>
      </x:c>
      <x:c r="J3520" s="6" t="n">
        <x:f>IF(OR(E3520="CANCELED",E3520="SUSPECTED_FRAUD",F3520="Shipping canceled"),0,1)</x:f>
        <x:v>1</x:v>
      </x:c>
      <x:c r="K3520" s="6" t="n">
        <x:f>IF(G3520&gt;H3520,1,0)</x:f>
        <x:v>0</x:v>
      </x:c>
      <x:c r="L3520" s="6" t="n">
        <x:f>J3520*K3520</x:f>
        <x:v>0</x:v>
      </x:c>
    </x:row>
    <x:row r="3521">
      <x:c r="A3521" s="1" t="n">
        <x:v>26551</x:v>
      </x:c>
      <x:c r="B3521" s="5" t="d">
        <x:v>2016-01-23T00:00:00.000Z</x:v>
      </x:c>
      <x:c r="C3521" s="1" t="str">
        <x:v>Standard Class</x:v>
      </x:c>
      <x:c r="D3521" s="1" t="str">
        <x:v>Pacific Asia</x:v>
      </x:c>
      <x:c r="E3521" s="1" t="str">
        <x:v>ON_HOLD</x:v>
      </x:c>
      <x:c r="F3521" s="1" t="str">
        <x:v>Advance shipping</x:v>
      </x:c>
      <x:c r="G3521" s="6" t="n">
        <x:v>2</x:v>
      </x:c>
      <x:c r="H3521" s="6" t="n">
        <x:v>4</x:v>
      </x:c>
      <x:c r="I3521" s="6" t="n">
        <x:f>G3521-H3521</x:f>
        <x:v>-2</x:v>
      </x:c>
      <x:c r="J3521" s="6" t="n">
        <x:f>IF(OR(E3521="CANCELED",E3521="SUSPECTED_FRAUD",F3521="Shipping canceled"),0,1)</x:f>
        <x:v>1</x:v>
      </x:c>
      <x:c r="K3521" s="6" t="n">
        <x:f>IF(G3521&gt;H3521,1,0)</x:f>
        <x:v>0</x:v>
      </x:c>
      <x:c r="L3521" s="6" t="n">
        <x:f>J3521*K3521</x:f>
        <x:v>0</x:v>
      </x:c>
    </x:row>
    <x:row r="3522">
      <x:c r="A3522" s="1" t="n">
        <x:v>26555</x:v>
      </x:c>
      <x:c r="B3522" s="5" t="d">
        <x:v>2016-01-23T00:00:00.000Z</x:v>
      </x:c>
      <x:c r="C3522" s="1" t="str">
        <x:v>Standard Class</x:v>
      </x:c>
      <x:c r="D3522" s="1" t="str">
        <x:v>Pacific Asia</x:v>
      </x:c>
      <x:c r="E3522" s="1" t="str">
        <x:v>PENDING_PAYMENT</x:v>
      </x:c>
      <x:c r="F3522" s="1" t="str">
        <x:v>Late delivery</x:v>
      </x:c>
      <x:c r="G3522" s="6" t="n">
        <x:v>6</x:v>
      </x:c>
      <x:c r="H3522" s="6" t="n">
        <x:v>4</x:v>
      </x:c>
      <x:c r="I3522" s="6" t="n">
        <x:f>G3522-H3522</x:f>
        <x:v>2</x:v>
      </x:c>
      <x:c r="J3522" s="6" t="n">
        <x:f>IF(OR(E3522="CANCELED",E3522="SUSPECTED_FRAUD",F3522="Shipping canceled"),0,1)</x:f>
        <x:v>1</x:v>
      </x:c>
      <x:c r="K3522" s="6" t="n">
        <x:f>IF(G3522&gt;H3522,1,0)</x:f>
        <x:v>1</x:v>
      </x:c>
      <x:c r="L3522" s="6" t="n">
        <x:f>J3522*K3522</x:f>
        <x:v>1</x:v>
      </x:c>
    </x:row>
    <x:row r="3523">
      <x:c r="A3523" s="1" t="n">
        <x:v>26575</x:v>
      </x:c>
      <x:c r="B3523" s="5" t="d">
        <x:v>2016-01-23T00:00:00.000Z</x:v>
      </x:c>
      <x:c r="C3523" s="1" t="str">
        <x:v>Second Class</x:v>
      </x:c>
      <x:c r="D3523" s="1" t="str">
        <x:v>Pacific Asia</x:v>
      </x:c>
      <x:c r="E3523" s="1" t="str">
        <x:v>COMPLETE</x:v>
      </x:c>
      <x:c r="F3523" s="1" t="str">
        <x:v>Late delivery</x:v>
      </x:c>
      <x:c r="G3523" s="6" t="n">
        <x:v>6</x:v>
      </x:c>
      <x:c r="H3523" s="6" t="n">
        <x:v>2</x:v>
      </x:c>
      <x:c r="I3523" s="6" t="n">
        <x:f>G3523-H3523</x:f>
        <x:v>4</x:v>
      </x:c>
      <x:c r="J3523" s="6" t="n">
        <x:f>IF(OR(E3523="CANCELED",E3523="SUSPECTED_FRAUD",F3523="Shipping canceled"),0,1)</x:f>
        <x:v>1</x:v>
      </x:c>
      <x:c r="K3523" s="6" t="n">
        <x:f>IF(G3523&gt;H3523,1,0)</x:f>
        <x:v>1</x:v>
      </x:c>
      <x:c r="L3523" s="6" t="n">
        <x:f>J3523*K3523</x:f>
        <x:v>1</x:v>
      </x:c>
    </x:row>
    <x:row r="3524">
      <x:c r="A3524" s="1" t="n">
        <x:v>26577</x:v>
      </x:c>
      <x:c r="B3524" s="5" t="d">
        <x:v>2016-01-23T00:00:00.000Z</x:v>
      </x:c>
      <x:c r="C3524" s="1" t="str">
        <x:v>Standard Class</x:v>
      </x:c>
      <x:c r="D3524" s="1" t="str">
        <x:v>Pacific Asia</x:v>
      </x:c>
      <x:c r="E3524" s="1" t="str">
        <x:v>PROCESSING</x:v>
      </x:c>
      <x:c r="F3524" s="1" t="str">
        <x:v>Advance shipping</x:v>
      </x:c>
      <x:c r="G3524" s="6" t="n">
        <x:v>3</x:v>
      </x:c>
      <x:c r="H3524" s="6" t="n">
        <x:v>4</x:v>
      </x:c>
      <x:c r="I3524" s="6" t="n">
        <x:f>G3524-H3524</x:f>
        <x:v>-1</x:v>
      </x:c>
      <x:c r="J3524" s="6" t="n">
        <x:f>IF(OR(E3524="CANCELED",E3524="SUSPECTED_FRAUD",F3524="Shipping canceled"),0,1)</x:f>
        <x:v>1</x:v>
      </x:c>
      <x:c r="K3524" s="6" t="n">
        <x:f>IF(G3524&gt;H3524,1,0)</x:f>
        <x:v>0</x:v>
      </x:c>
      <x:c r="L3524" s="6" t="n">
        <x:f>J3524*K3524</x:f>
        <x:v>0</x:v>
      </x:c>
    </x:row>
    <x:row r="3525">
      <x:c r="A3525" s="1" t="n">
        <x:v>26584</x:v>
      </x:c>
      <x:c r="B3525" s="5" t="d">
        <x:v>2016-01-24T00:00:00.000Z</x:v>
      </x:c>
      <x:c r="C3525" s="1" t="str">
        <x:v>Standard Class</x:v>
      </x:c>
      <x:c r="D3525" s="1" t="str">
        <x:v>Pacific Asia</x:v>
      </x:c>
      <x:c r="E3525" s="1" t="str">
        <x:v>COMPLETE</x:v>
      </x:c>
      <x:c r="F3525" s="1" t="str">
        <x:v>Late delivery</x:v>
      </x:c>
      <x:c r="G3525" s="6" t="n">
        <x:v>5</x:v>
      </x:c>
      <x:c r="H3525" s="6" t="n">
        <x:v>4</x:v>
      </x:c>
      <x:c r="I3525" s="6" t="n">
        <x:f>G3525-H3525</x:f>
        <x:v>1</x:v>
      </x:c>
      <x:c r="J3525" s="6" t="n">
        <x:f>IF(OR(E3525="CANCELED",E3525="SUSPECTED_FRAUD",F3525="Shipping canceled"),0,1)</x:f>
        <x:v>1</x:v>
      </x:c>
      <x:c r="K3525" s="6" t="n">
        <x:f>IF(G3525&gt;H3525,1,0)</x:f>
        <x:v>1</x:v>
      </x:c>
      <x:c r="L3525" s="6" t="n">
        <x:f>J3525*K3525</x:f>
        <x:v>1</x:v>
      </x:c>
    </x:row>
    <x:row r="3526">
      <x:c r="A3526" s="1" t="n">
        <x:v>26588</x:v>
      </x:c>
      <x:c r="B3526" s="5" t="d">
        <x:v>2016-01-24T00:00:00.000Z</x:v>
      </x:c>
      <x:c r="C3526" s="1" t="str">
        <x:v>First Class</x:v>
      </x:c>
      <x:c r="D3526" s="1" t="str">
        <x:v>Pacific Asia</x:v>
      </x:c>
      <x:c r="E3526" s="1" t="str">
        <x:v>CLOSED</x:v>
      </x:c>
      <x:c r="F3526" s="1" t="str">
        <x:v>Late delivery</x:v>
      </x:c>
      <x:c r="G3526" s="6" t="n">
        <x:v>2</x:v>
      </x:c>
      <x:c r="H3526" s="6" t="n">
        <x:v>1</x:v>
      </x:c>
      <x:c r="I3526" s="6" t="n">
        <x:f>G3526-H3526</x:f>
        <x:v>1</x:v>
      </x:c>
      <x:c r="J3526" s="6" t="n">
        <x:f>IF(OR(E3526="CANCELED",E3526="SUSPECTED_FRAUD",F3526="Shipping canceled"),0,1)</x:f>
        <x:v>1</x:v>
      </x:c>
      <x:c r="K3526" s="6" t="n">
        <x:f>IF(G3526&gt;H3526,1,0)</x:f>
        <x:v>1</x:v>
      </x:c>
      <x:c r="L3526" s="6" t="n">
        <x:f>J3526*K3526</x:f>
        <x:v>1</x:v>
      </x:c>
    </x:row>
    <x:row r="3527">
      <x:c r="A3527" s="1" t="n">
        <x:v>26596</x:v>
      </x:c>
      <x:c r="B3527" s="5" t="d">
        <x:v>2016-01-24T00:00:00.000Z</x:v>
      </x:c>
      <x:c r="C3527" s="1" t="str">
        <x:v>Second Class</x:v>
      </x:c>
      <x:c r="D3527" s="1" t="str">
        <x:v>Pacific Asia</x:v>
      </x:c>
      <x:c r="E3527" s="1" t="str">
        <x:v>COMPLETE</x:v>
      </x:c>
      <x:c r="F3527" s="1" t="str">
        <x:v>Shipping on time</x:v>
      </x:c>
      <x:c r="G3527" s="6" t="n">
        <x:v>2</x:v>
      </x:c>
      <x:c r="H3527" s="6" t="n">
        <x:v>2</x:v>
      </x:c>
      <x:c r="I3527" s="6" t="n">
        <x:f>G3527-H3527</x:f>
        <x:v>0</x:v>
      </x:c>
      <x:c r="J3527" s="6" t="n">
        <x:f>IF(OR(E3527="CANCELED",E3527="SUSPECTED_FRAUD",F3527="Shipping canceled"),0,1)</x:f>
        <x:v>1</x:v>
      </x:c>
      <x:c r="K3527" s="6" t="n">
        <x:f>IF(G3527&gt;H3527,1,0)</x:f>
        <x:v>0</x:v>
      </x:c>
      <x:c r="L3527" s="6" t="n">
        <x:f>J3527*K3527</x:f>
        <x:v>0</x:v>
      </x:c>
    </x:row>
    <x:row r="3528">
      <x:c r="A3528" s="1" t="n">
        <x:v>26599</x:v>
      </x:c>
      <x:c r="B3528" s="5" t="d">
        <x:v>2016-01-24T00:00:00.000Z</x:v>
      </x:c>
      <x:c r="C3528" s="1" t="str">
        <x:v>Second Class</x:v>
      </x:c>
      <x:c r="D3528" s="1" t="str">
        <x:v>Pacific Asia</x:v>
      </x:c>
      <x:c r="E3528" s="1" t="str">
        <x:v>PENDING_PAYMENT</x:v>
      </x:c>
      <x:c r="F3528" s="1" t="str">
        <x:v>Late delivery</x:v>
      </x:c>
      <x:c r="G3528" s="6" t="n">
        <x:v>5</x:v>
      </x:c>
      <x:c r="H3528" s="6" t="n">
        <x:v>2</x:v>
      </x:c>
      <x:c r="I3528" s="6" t="n">
        <x:f>G3528-H3528</x:f>
        <x:v>3</x:v>
      </x:c>
      <x:c r="J3528" s="6" t="n">
        <x:f>IF(OR(E3528="CANCELED",E3528="SUSPECTED_FRAUD",F3528="Shipping canceled"),0,1)</x:f>
        <x:v>1</x:v>
      </x:c>
      <x:c r="K3528" s="6" t="n">
        <x:f>IF(G3528&gt;H3528,1,0)</x:f>
        <x:v>1</x:v>
      </x:c>
      <x:c r="L3528" s="6" t="n">
        <x:f>J3528*K3528</x:f>
        <x:v>1</x:v>
      </x:c>
    </x:row>
    <x:row r="3529">
      <x:c r="A3529" s="1" t="n">
        <x:v>26602</x:v>
      </x:c>
      <x:c r="B3529" s="5" t="d">
        <x:v>2016-01-24T00:00:00.000Z</x:v>
      </x:c>
      <x:c r="C3529" s="1" t="str">
        <x:v>Standard Class</x:v>
      </x:c>
      <x:c r="D3529" s="1" t="str">
        <x:v>Pacific Asia</x:v>
      </x:c>
      <x:c r="E3529" s="1" t="str">
        <x:v>PROCESSING</x:v>
      </x:c>
      <x:c r="F3529" s="1" t="str">
        <x:v>Advance shipping</x:v>
      </x:c>
      <x:c r="G3529" s="6" t="n">
        <x:v>3</x:v>
      </x:c>
      <x:c r="H3529" s="6" t="n">
        <x:v>4</x:v>
      </x:c>
      <x:c r="I3529" s="6" t="n">
        <x:f>G3529-H3529</x:f>
        <x:v>-1</x:v>
      </x:c>
      <x:c r="J3529" s="6" t="n">
        <x:f>IF(OR(E3529="CANCELED",E3529="SUSPECTED_FRAUD",F3529="Shipping canceled"),0,1)</x:f>
        <x:v>1</x:v>
      </x:c>
      <x:c r="K3529" s="6" t="n">
        <x:f>IF(G3529&gt;H3529,1,0)</x:f>
        <x:v>0</x:v>
      </x:c>
      <x:c r="L3529" s="6" t="n">
        <x:f>J3529*K3529</x:f>
        <x:v>0</x:v>
      </x:c>
    </x:row>
    <x:row r="3530">
      <x:c r="A3530" s="1" t="n">
        <x:v>26608</x:v>
      </x:c>
      <x:c r="B3530" s="5" t="d">
        <x:v>2016-01-24T00:00:00.000Z</x:v>
      </x:c>
      <x:c r="C3530" s="1" t="str">
        <x:v>Standard Class</x:v>
      </x:c>
      <x:c r="D3530" s="1" t="str">
        <x:v>Pacific Asia</x:v>
      </x:c>
      <x:c r="E3530" s="1" t="str">
        <x:v>COMPLETE</x:v>
      </x:c>
      <x:c r="F3530" s="1" t="str">
        <x:v>Shipping on time</x:v>
      </x:c>
      <x:c r="G3530" s="6" t="n">
        <x:v>4</x:v>
      </x:c>
      <x:c r="H3530" s="6" t="n">
        <x:v>4</x:v>
      </x:c>
      <x:c r="I3530" s="6" t="n">
        <x:f>G3530-H3530</x:f>
        <x:v>0</x:v>
      </x:c>
      <x:c r="J3530" s="6" t="n">
        <x:f>IF(OR(E3530="CANCELED",E3530="SUSPECTED_FRAUD",F3530="Shipping canceled"),0,1)</x:f>
        <x:v>1</x:v>
      </x:c>
      <x:c r="K3530" s="6" t="n">
        <x:f>IF(G3530&gt;H3530,1,0)</x:f>
        <x:v>0</x:v>
      </x:c>
      <x:c r="L3530" s="6" t="n">
        <x:f>J3530*K3530</x:f>
        <x:v>0</x:v>
      </x:c>
    </x:row>
    <x:row r="3531">
      <x:c r="A3531" s="1" t="n">
        <x:v>26616</x:v>
      </x:c>
      <x:c r="B3531" s="5" t="d">
        <x:v>2016-01-24T00:00:00.000Z</x:v>
      </x:c>
      <x:c r="C3531" s="1" t="str">
        <x:v>Second Class</x:v>
      </x:c>
      <x:c r="D3531" s="1" t="str">
        <x:v>Pacific Asia</x:v>
      </x:c>
      <x:c r="E3531" s="1" t="str">
        <x:v>COMPLETE</x:v>
      </x:c>
      <x:c r="F3531" s="1" t="str">
        <x:v>Shipping on time</x:v>
      </x:c>
      <x:c r="G3531" s="6" t="n">
        <x:v>2</x:v>
      </x:c>
      <x:c r="H3531" s="6" t="n">
        <x:v>2</x:v>
      </x:c>
      <x:c r="I3531" s="6" t="n">
        <x:f>G3531-H3531</x:f>
        <x:v>0</x:v>
      </x:c>
      <x:c r="J3531" s="6" t="n">
        <x:f>IF(OR(E3531="CANCELED",E3531="SUSPECTED_FRAUD",F3531="Shipping canceled"),0,1)</x:f>
        <x:v>1</x:v>
      </x:c>
      <x:c r="K3531" s="6" t="n">
        <x:f>IF(G3531&gt;H3531,1,0)</x:f>
        <x:v>0</x:v>
      </x:c>
      <x:c r="L3531" s="6" t="n">
        <x:f>J3531*K3531</x:f>
        <x:v>0</x:v>
      </x:c>
    </x:row>
    <x:row r="3532">
      <x:c r="A3532" s="1" t="n">
        <x:v>26640</x:v>
      </x:c>
      <x:c r="B3532" s="5" t="d">
        <x:v>2016-01-24T00:00:00.000Z</x:v>
      </x:c>
      <x:c r="C3532" s="1" t="str">
        <x:v>Standard Class</x:v>
      </x:c>
      <x:c r="D3532" s="1" t="str">
        <x:v>Pacific Asia</x:v>
      </x:c>
      <x:c r="E3532" s="1" t="str">
        <x:v>ON_HOLD</x:v>
      </x:c>
      <x:c r="F3532" s="1" t="str">
        <x:v>Late delivery</x:v>
      </x:c>
      <x:c r="G3532" s="6" t="n">
        <x:v>6</x:v>
      </x:c>
      <x:c r="H3532" s="6" t="n">
        <x:v>4</x:v>
      </x:c>
      <x:c r="I3532" s="6" t="n">
        <x:f>G3532-H3532</x:f>
        <x:v>2</x:v>
      </x:c>
      <x:c r="J3532" s="6" t="n">
        <x:f>IF(OR(E3532="CANCELED",E3532="SUSPECTED_FRAUD",F3532="Shipping canceled"),0,1)</x:f>
        <x:v>1</x:v>
      </x:c>
      <x:c r="K3532" s="6" t="n">
        <x:f>IF(G3532&gt;H3532,1,0)</x:f>
        <x:v>1</x:v>
      </x:c>
      <x:c r="L3532" s="6" t="n">
        <x:f>J3532*K3532</x:f>
        <x:v>1</x:v>
      </x:c>
    </x:row>
    <x:row r="3533">
      <x:c r="A3533" s="1" t="n">
        <x:v>26655</x:v>
      </x:c>
      <x:c r="B3533" s="5" t="d">
        <x:v>2016-01-25T00:00:00.000Z</x:v>
      </x:c>
      <x:c r="C3533" s="1" t="str">
        <x:v>Standard Class</x:v>
      </x:c>
      <x:c r="D3533" s="1" t="str">
        <x:v>Pacific Asia</x:v>
      </x:c>
      <x:c r="E3533" s="1" t="str">
        <x:v>PROCESSING</x:v>
      </x:c>
      <x:c r="F3533" s="1" t="str">
        <x:v>Late delivery</x:v>
      </x:c>
      <x:c r="G3533" s="6" t="n">
        <x:v>6</x:v>
      </x:c>
      <x:c r="H3533" s="6" t="n">
        <x:v>4</x:v>
      </x:c>
      <x:c r="I3533" s="6" t="n">
        <x:f>G3533-H3533</x:f>
        <x:v>2</x:v>
      </x:c>
      <x:c r="J3533" s="6" t="n">
        <x:f>IF(OR(E3533="CANCELED",E3533="SUSPECTED_FRAUD",F3533="Shipping canceled"),0,1)</x:f>
        <x:v>1</x:v>
      </x:c>
      <x:c r="K3533" s="6" t="n">
        <x:f>IF(G3533&gt;H3533,1,0)</x:f>
        <x:v>1</x:v>
      </x:c>
      <x:c r="L3533" s="6" t="n">
        <x:f>J3533*K3533</x:f>
        <x:v>1</x:v>
      </x:c>
    </x:row>
    <x:row r="3534">
      <x:c r="A3534" s="1" t="n">
        <x:v>26657</x:v>
      </x:c>
      <x:c r="B3534" s="5" t="d">
        <x:v>2016-01-25T00:00:00.000Z</x:v>
      </x:c>
      <x:c r="C3534" s="1" t="str">
        <x:v>Standard Class</x:v>
      </x:c>
      <x:c r="D3534" s="1" t="str">
        <x:v>Pacific Asia</x:v>
      </x:c>
      <x:c r="E3534" s="1" t="str">
        <x:v>PENDING</x:v>
      </x:c>
      <x:c r="F3534" s="1" t="str">
        <x:v>Advance shipping</x:v>
      </x:c>
      <x:c r="G3534" s="6" t="n">
        <x:v>3</x:v>
      </x:c>
      <x:c r="H3534" s="6" t="n">
        <x:v>4</x:v>
      </x:c>
      <x:c r="I3534" s="6" t="n">
        <x:f>G3534-H3534</x:f>
        <x:v>-1</x:v>
      </x:c>
      <x:c r="J3534" s="6" t="n">
        <x:f>IF(OR(E3534="CANCELED",E3534="SUSPECTED_FRAUD",F3534="Shipping canceled"),0,1)</x:f>
        <x:v>1</x:v>
      </x:c>
      <x:c r="K3534" s="6" t="n">
        <x:f>IF(G3534&gt;H3534,1,0)</x:f>
        <x:v>0</x:v>
      </x:c>
      <x:c r="L3534" s="6" t="n">
        <x:f>J3534*K3534</x:f>
        <x:v>0</x:v>
      </x:c>
    </x:row>
    <x:row r="3535">
      <x:c r="A3535" s="1" t="n">
        <x:v>26662</x:v>
      </x:c>
      <x:c r="B3535" s="5" t="d">
        <x:v>2016-01-25T00:00:00.000Z</x:v>
      </x:c>
      <x:c r="C3535" s="1" t="str">
        <x:v>Second Class</x:v>
      </x:c>
      <x:c r="D3535" s="1" t="str">
        <x:v>Pacific Asia</x:v>
      </x:c>
      <x:c r="E3535" s="1" t="str">
        <x:v>PROCESSING</x:v>
      </x:c>
      <x:c r="F3535" s="1" t="str">
        <x:v>Late delivery</x:v>
      </x:c>
      <x:c r="G3535" s="6" t="n">
        <x:v>3</x:v>
      </x:c>
      <x:c r="H3535" s="6" t="n">
        <x:v>2</x:v>
      </x:c>
      <x:c r="I3535" s="6" t="n">
        <x:f>G3535-H3535</x:f>
        <x:v>1</x:v>
      </x:c>
      <x:c r="J3535" s="6" t="n">
        <x:f>IF(OR(E3535="CANCELED",E3535="SUSPECTED_FRAUD",F3535="Shipping canceled"),0,1)</x:f>
        <x:v>1</x:v>
      </x:c>
      <x:c r="K3535" s="6" t="n">
        <x:f>IF(G3535&gt;H3535,1,0)</x:f>
        <x:v>1</x:v>
      </x:c>
      <x:c r="L3535" s="6" t="n">
        <x:f>J3535*K3535</x:f>
        <x:v>1</x:v>
      </x:c>
    </x:row>
    <x:row r="3536">
      <x:c r="A3536" s="1" t="n">
        <x:v>26667</x:v>
      </x:c>
      <x:c r="B3536" s="5" t="d">
        <x:v>2016-01-25T00:00:00.000Z</x:v>
      </x:c>
      <x:c r="C3536" s="1" t="str">
        <x:v>First Class</x:v>
      </x:c>
      <x:c r="D3536" s="1" t="str">
        <x:v>Pacific Asia</x:v>
      </x:c>
      <x:c r="E3536" s="1" t="str">
        <x:v>CANCELED</x:v>
      </x:c>
      <x:c r="F3536" s="1" t="str">
        <x:v>Shipping canceled</x:v>
      </x:c>
      <x:c r="G3536" s="6" t="n">
        <x:v>2</x:v>
      </x:c>
      <x:c r="H3536" s="6" t="n">
        <x:v>1</x:v>
      </x:c>
      <x:c r="I3536" s="6" t="n">
        <x:f>G3536-H3536</x:f>
        <x:v>1</x:v>
      </x:c>
      <x:c r="J3536" s="6" t="n">
        <x:f>IF(OR(E3536="CANCELED",E3536="SUSPECTED_FRAUD",F3536="Shipping canceled"),0,1)</x:f>
        <x:v>0</x:v>
      </x:c>
      <x:c r="K3536" s="6" t="n">
        <x:f>IF(G3536&gt;H3536,1,0)</x:f>
        <x:v>1</x:v>
      </x:c>
      <x:c r="L3536" s="6" t="n">
        <x:f>J3536*K3536</x:f>
        <x:v>0</x:v>
      </x:c>
    </x:row>
    <x:row r="3537">
      <x:c r="A3537" s="1" t="n">
        <x:v>26670</x:v>
      </x:c>
      <x:c r="B3537" s="5" t="d">
        <x:v>2016-01-25T00:00:00.000Z</x:v>
      </x:c>
      <x:c r="C3537" s="1" t="str">
        <x:v>Standard Class</x:v>
      </x:c>
      <x:c r="D3537" s="1" t="str">
        <x:v>Pacific Asia</x:v>
      </x:c>
      <x:c r="E3537" s="1" t="str">
        <x:v>COMPLETE</x:v>
      </x:c>
      <x:c r="F3537" s="1" t="str">
        <x:v>Late delivery</x:v>
      </x:c>
      <x:c r="G3537" s="6" t="n">
        <x:v>6</x:v>
      </x:c>
      <x:c r="H3537" s="6" t="n">
        <x:v>4</x:v>
      </x:c>
      <x:c r="I3537" s="6" t="n">
        <x:f>G3537-H3537</x:f>
        <x:v>2</x:v>
      </x:c>
      <x:c r="J3537" s="6" t="n">
        <x:f>IF(OR(E3537="CANCELED",E3537="SUSPECTED_FRAUD",F3537="Shipping canceled"),0,1)</x:f>
        <x:v>1</x:v>
      </x:c>
      <x:c r="K3537" s="6" t="n">
        <x:f>IF(G3537&gt;H3537,1,0)</x:f>
        <x:v>1</x:v>
      </x:c>
      <x:c r="L3537" s="6" t="n">
        <x:f>J3537*K3537</x:f>
        <x:v>1</x:v>
      </x:c>
    </x:row>
    <x:row r="3538">
      <x:c r="A3538" s="1" t="n">
        <x:v>26692</x:v>
      </x:c>
      <x:c r="B3538" s="5" t="d">
        <x:v>2016-01-25T00:00:00.000Z</x:v>
      </x:c>
      <x:c r="C3538" s="1" t="str">
        <x:v>Standard Class</x:v>
      </x:c>
      <x:c r="D3538" s="1" t="str">
        <x:v>Pacific Asia</x:v>
      </x:c>
      <x:c r="E3538" s="1" t="str">
        <x:v>PENDING</x:v>
      </x:c>
      <x:c r="F3538" s="1" t="str">
        <x:v>Advance shipping</x:v>
      </x:c>
      <x:c r="G3538" s="6" t="n">
        <x:v>3</x:v>
      </x:c>
      <x:c r="H3538" s="6" t="n">
        <x:v>4</x:v>
      </x:c>
      <x:c r="I3538" s="6" t="n">
        <x:f>G3538-H3538</x:f>
        <x:v>-1</x:v>
      </x:c>
      <x:c r="J3538" s="6" t="n">
        <x:f>IF(OR(E3538="CANCELED",E3538="SUSPECTED_FRAUD",F3538="Shipping canceled"),0,1)</x:f>
        <x:v>1</x:v>
      </x:c>
      <x:c r="K3538" s="6" t="n">
        <x:f>IF(G3538&gt;H3538,1,0)</x:f>
        <x:v>0</x:v>
      </x:c>
      <x:c r="L3538" s="6" t="n">
        <x:f>J3538*K3538</x:f>
        <x:v>0</x:v>
      </x:c>
    </x:row>
    <x:row r="3539">
      <x:c r="A3539" s="1" t="n">
        <x:v>26700</x:v>
      </x:c>
      <x:c r="B3539" s="5" t="d">
        <x:v>2016-01-25T00:00:00.000Z</x:v>
      </x:c>
      <x:c r="C3539" s="1" t="str">
        <x:v>Standard Class</x:v>
      </x:c>
      <x:c r="D3539" s="1" t="str">
        <x:v>Pacific Asia</x:v>
      </x:c>
      <x:c r="E3539" s="1" t="str">
        <x:v>ON_HOLD</x:v>
      </x:c>
      <x:c r="F3539" s="1" t="str">
        <x:v>Late delivery</x:v>
      </x:c>
      <x:c r="G3539" s="6" t="n">
        <x:v>6</x:v>
      </x:c>
      <x:c r="H3539" s="6" t="n">
        <x:v>4</x:v>
      </x:c>
      <x:c r="I3539" s="6" t="n">
        <x:f>G3539-H3539</x:f>
        <x:v>2</x:v>
      </x:c>
      <x:c r="J3539" s="6" t="n">
        <x:f>IF(OR(E3539="CANCELED",E3539="SUSPECTED_FRAUD",F3539="Shipping canceled"),0,1)</x:f>
        <x:v>1</x:v>
      </x:c>
      <x:c r="K3539" s="6" t="n">
        <x:f>IF(G3539&gt;H3539,1,0)</x:f>
        <x:v>1</x:v>
      </x:c>
      <x:c r="L3539" s="6" t="n">
        <x:f>J3539*K3539</x:f>
        <x:v>1</x:v>
      </x:c>
    </x:row>
    <x:row r="3540">
      <x:c r="A3540" s="1" t="n">
        <x:v>26709</x:v>
      </x:c>
      <x:c r="B3540" s="5" t="d">
        <x:v>2016-01-25T00:00:00.000Z</x:v>
      </x:c>
      <x:c r="C3540" s="1" t="str">
        <x:v>Standard Class</x:v>
      </x:c>
      <x:c r="D3540" s="1" t="str">
        <x:v>Pacific Asia</x:v>
      </x:c>
      <x:c r="E3540" s="1" t="str">
        <x:v>PENDING_PAYMENT</x:v>
      </x:c>
      <x:c r="F3540" s="1" t="str">
        <x:v>Late delivery</x:v>
      </x:c>
      <x:c r="G3540" s="6" t="n">
        <x:v>5</x:v>
      </x:c>
      <x:c r="H3540" s="6" t="n">
        <x:v>4</x:v>
      </x:c>
      <x:c r="I3540" s="6" t="n">
        <x:f>G3540-H3540</x:f>
        <x:v>1</x:v>
      </x:c>
      <x:c r="J3540" s="6" t="n">
        <x:f>IF(OR(E3540="CANCELED",E3540="SUSPECTED_FRAUD",F3540="Shipping canceled"),0,1)</x:f>
        <x:v>1</x:v>
      </x:c>
      <x:c r="K3540" s="6" t="n">
        <x:f>IF(G3540&gt;H3540,1,0)</x:f>
        <x:v>1</x:v>
      </x:c>
      <x:c r="L3540" s="6" t="n">
        <x:f>J3540*K3540</x:f>
        <x:v>1</x:v>
      </x:c>
    </x:row>
    <x:row r="3541">
      <x:c r="A3541" s="1" t="n">
        <x:v>26715</x:v>
      </x:c>
      <x:c r="B3541" s="5" t="d">
        <x:v>2016-01-25T00:00:00.000Z</x:v>
      </x:c>
      <x:c r="C3541" s="1" t="str">
        <x:v>Standard Class</x:v>
      </x:c>
      <x:c r="D3541" s="1" t="str">
        <x:v>Pacific Asia</x:v>
      </x:c>
      <x:c r="E3541" s="1" t="str">
        <x:v>ON_HOLD</x:v>
      </x:c>
      <x:c r="F3541" s="1" t="str">
        <x:v>Late delivery</x:v>
      </x:c>
      <x:c r="G3541" s="6" t="n">
        <x:v>6</x:v>
      </x:c>
      <x:c r="H3541" s="6" t="n">
        <x:v>4</x:v>
      </x:c>
      <x:c r="I3541" s="6" t="n">
        <x:f>G3541-H3541</x:f>
        <x:v>2</x:v>
      </x:c>
      <x:c r="J3541" s="6" t="n">
        <x:f>IF(OR(E3541="CANCELED",E3541="SUSPECTED_FRAUD",F3541="Shipping canceled"),0,1)</x:f>
        <x:v>1</x:v>
      </x:c>
      <x:c r="K3541" s="6" t="n">
        <x:f>IF(G3541&gt;H3541,1,0)</x:f>
        <x:v>1</x:v>
      </x:c>
      <x:c r="L3541" s="6" t="n">
        <x:f>J3541*K3541</x:f>
        <x:v>1</x:v>
      </x:c>
    </x:row>
    <x:row r="3542">
      <x:c r="A3542" s="1" t="n">
        <x:v>26720</x:v>
      </x:c>
      <x:c r="B3542" s="5" t="d">
        <x:v>2016-01-26T00:00:00.000Z</x:v>
      </x:c>
      <x:c r="C3542" s="1" t="str">
        <x:v>Standard Class</x:v>
      </x:c>
      <x:c r="D3542" s="1" t="str">
        <x:v>Pacific Asia</x:v>
      </x:c>
      <x:c r="E3542" s="1" t="str">
        <x:v>COMPLETE</x:v>
      </x:c>
      <x:c r="F3542" s="1" t="str">
        <x:v>Late delivery</x:v>
      </x:c>
      <x:c r="G3542" s="6" t="n">
        <x:v>6</x:v>
      </x:c>
      <x:c r="H3542" s="6" t="n">
        <x:v>4</x:v>
      </x:c>
      <x:c r="I3542" s="6" t="n">
        <x:f>G3542-H3542</x:f>
        <x:v>2</x:v>
      </x:c>
      <x:c r="J3542" s="6" t="n">
        <x:f>IF(OR(E3542="CANCELED",E3542="SUSPECTED_FRAUD",F3542="Shipping canceled"),0,1)</x:f>
        <x:v>1</x:v>
      </x:c>
      <x:c r="K3542" s="6" t="n">
        <x:f>IF(G3542&gt;H3542,1,0)</x:f>
        <x:v>1</x:v>
      </x:c>
      <x:c r="L3542" s="6" t="n">
        <x:f>J3542*K3542</x:f>
        <x:v>1</x:v>
      </x:c>
    </x:row>
    <x:row r="3543">
      <x:c r="A3543" s="1" t="n">
        <x:v>26729</x:v>
      </x:c>
      <x:c r="B3543" s="5" t="d">
        <x:v>2016-01-26T00:00:00.000Z</x:v>
      </x:c>
      <x:c r="C3543" s="1" t="str">
        <x:v>Standard Class</x:v>
      </x:c>
      <x:c r="D3543" s="1" t="str">
        <x:v>Pacific Asia</x:v>
      </x:c>
      <x:c r="E3543" s="1" t="str">
        <x:v>COMPLETE</x:v>
      </x:c>
      <x:c r="F3543" s="1" t="str">
        <x:v>Late delivery</x:v>
      </x:c>
      <x:c r="G3543" s="6" t="n">
        <x:v>5</x:v>
      </x:c>
      <x:c r="H3543" s="6" t="n">
        <x:v>4</x:v>
      </x:c>
      <x:c r="I3543" s="6" t="n">
        <x:f>G3543-H3543</x:f>
        <x:v>1</x:v>
      </x:c>
      <x:c r="J3543" s="6" t="n">
        <x:f>IF(OR(E3543="CANCELED",E3543="SUSPECTED_FRAUD",F3543="Shipping canceled"),0,1)</x:f>
        <x:v>1</x:v>
      </x:c>
      <x:c r="K3543" s="6" t="n">
        <x:f>IF(G3543&gt;H3543,1,0)</x:f>
        <x:v>1</x:v>
      </x:c>
      <x:c r="L3543" s="6" t="n">
        <x:f>J3543*K3543</x:f>
        <x:v>1</x:v>
      </x:c>
    </x:row>
    <x:row r="3544">
      <x:c r="A3544" s="1" t="n">
        <x:v>26732</x:v>
      </x:c>
      <x:c r="B3544" s="5" t="d">
        <x:v>2016-01-26T00:00:00.000Z</x:v>
      </x:c>
      <x:c r="C3544" s="1" t="str">
        <x:v>Standard Class</x:v>
      </x:c>
      <x:c r="D3544" s="1" t="str">
        <x:v>Pacific Asia</x:v>
      </x:c>
      <x:c r="E3544" s="1" t="str">
        <x:v>ON_HOLD</x:v>
      </x:c>
      <x:c r="F3544" s="1" t="str">
        <x:v>Advance shipping</x:v>
      </x:c>
      <x:c r="G3544" s="6" t="n">
        <x:v>3</x:v>
      </x:c>
      <x:c r="H3544" s="6" t="n">
        <x:v>4</x:v>
      </x:c>
      <x:c r="I3544" s="6" t="n">
        <x:f>G3544-H3544</x:f>
        <x:v>-1</x:v>
      </x:c>
      <x:c r="J3544" s="6" t="n">
        <x:f>IF(OR(E3544="CANCELED",E3544="SUSPECTED_FRAUD",F3544="Shipping canceled"),0,1)</x:f>
        <x:v>1</x:v>
      </x:c>
      <x:c r="K3544" s="6" t="n">
        <x:f>IF(G3544&gt;H3544,1,0)</x:f>
        <x:v>0</x:v>
      </x:c>
      <x:c r="L3544" s="6" t="n">
        <x:f>J3544*K3544</x:f>
        <x:v>0</x:v>
      </x:c>
    </x:row>
    <x:row r="3545">
      <x:c r="A3545" s="1" t="n">
        <x:v>26735</x:v>
      </x:c>
      <x:c r="B3545" s="5" t="d">
        <x:v>2016-01-26T00:00:00.000Z</x:v>
      </x:c>
      <x:c r="C3545" s="1" t="str">
        <x:v>Second Class</x:v>
      </x:c>
      <x:c r="D3545" s="1" t="str">
        <x:v>Pacific Asia</x:v>
      </x:c>
      <x:c r="E3545" s="1" t="str">
        <x:v>COMPLETE</x:v>
      </x:c>
      <x:c r="F3545" s="1" t="str">
        <x:v>Late delivery</x:v>
      </x:c>
      <x:c r="G3545" s="6" t="n">
        <x:v>6</x:v>
      </x:c>
      <x:c r="H3545" s="6" t="n">
        <x:v>2</x:v>
      </x:c>
      <x:c r="I3545" s="6" t="n">
        <x:f>G3545-H3545</x:f>
        <x:v>4</x:v>
      </x:c>
      <x:c r="J3545" s="6" t="n">
        <x:f>IF(OR(E3545="CANCELED",E3545="SUSPECTED_FRAUD",F3545="Shipping canceled"),0,1)</x:f>
        <x:v>1</x:v>
      </x:c>
      <x:c r="K3545" s="6" t="n">
        <x:f>IF(G3545&gt;H3545,1,0)</x:f>
        <x:v>1</x:v>
      </x:c>
      <x:c r="L3545" s="6" t="n">
        <x:f>J3545*K3545</x:f>
        <x:v>1</x:v>
      </x:c>
    </x:row>
    <x:row r="3546">
      <x:c r="A3546" s="1" t="n">
        <x:v>26738</x:v>
      </x:c>
      <x:c r="B3546" s="5" t="d">
        <x:v>2016-01-26T00:00:00.000Z</x:v>
      </x:c>
      <x:c r="C3546" s="1" t="str">
        <x:v>Standard Class</x:v>
      </x:c>
      <x:c r="D3546" s="1" t="str">
        <x:v>Pacific Asia</x:v>
      </x:c>
      <x:c r="E3546" s="1" t="str">
        <x:v>COMPLETE</x:v>
      </x:c>
      <x:c r="F3546" s="1" t="str">
        <x:v>Shipping on time</x:v>
      </x:c>
      <x:c r="G3546" s="6" t="n">
        <x:v>4</x:v>
      </x:c>
      <x:c r="H3546" s="6" t="n">
        <x:v>4</x:v>
      </x:c>
      <x:c r="I3546" s="6" t="n">
        <x:f>G3546-H3546</x:f>
        <x:v>0</x:v>
      </x:c>
      <x:c r="J3546" s="6" t="n">
        <x:f>IF(OR(E3546="CANCELED",E3546="SUSPECTED_FRAUD",F3546="Shipping canceled"),0,1)</x:f>
        <x:v>1</x:v>
      </x:c>
      <x:c r="K3546" s="6" t="n">
        <x:f>IF(G3546&gt;H3546,1,0)</x:f>
        <x:v>0</x:v>
      </x:c>
      <x:c r="L3546" s="6" t="n">
        <x:f>J3546*K3546</x:f>
        <x:v>0</x:v>
      </x:c>
    </x:row>
    <x:row r="3547">
      <x:c r="A3547" s="1" t="n">
        <x:v>26739</x:v>
      </x:c>
      <x:c r="B3547" s="5" t="d">
        <x:v>2016-01-26T00:00:00.000Z</x:v>
      </x:c>
      <x:c r="C3547" s="1" t="str">
        <x:v>Standard Class</x:v>
      </x:c>
      <x:c r="D3547" s="1" t="str">
        <x:v>Pacific Asia</x:v>
      </x:c>
      <x:c r="E3547" s="1" t="str">
        <x:v>COMPLETE</x:v>
      </x:c>
      <x:c r="F3547" s="1" t="str">
        <x:v>Late delivery</x:v>
      </x:c>
      <x:c r="G3547" s="6" t="n">
        <x:v>5</x:v>
      </x:c>
      <x:c r="H3547" s="6" t="n">
        <x:v>4</x:v>
      </x:c>
      <x:c r="I3547" s="6" t="n">
        <x:f>G3547-H3547</x:f>
        <x:v>1</x:v>
      </x:c>
      <x:c r="J3547" s="6" t="n">
        <x:f>IF(OR(E3547="CANCELED",E3547="SUSPECTED_FRAUD",F3547="Shipping canceled"),0,1)</x:f>
        <x:v>1</x:v>
      </x:c>
      <x:c r="K3547" s="6" t="n">
        <x:f>IF(G3547&gt;H3547,1,0)</x:f>
        <x:v>1</x:v>
      </x:c>
      <x:c r="L3547" s="6" t="n">
        <x:f>J3547*K3547</x:f>
        <x:v>1</x:v>
      </x:c>
    </x:row>
    <x:row r="3548">
      <x:c r="A3548" s="1" t="n">
        <x:v>26742</x:v>
      </x:c>
      <x:c r="B3548" s="5" t="d">
        <x:v>2016-01-26T00:00:00.000Z</x:v>
      </x:c>
      <x:c r="C3548" s="1" t="str">
        <x:v>Standard Class</x:v>
      </x:c>
      <x:c r="D3548" s="1" t="str">
        <x:v>Pacific Asia</x:v>
      </x:c>
      <x:c r="E3548" s="1" t="str">
        <x:v>COMPLETE</x:v>
      </x:c>
      <x:c r="F3548" s="1" t="str">
        <x:v>Advance shipping</x:v>
      </x:c>
      <x:c r="G3548" s="6" t="n">
        <x:v>3</x:v>
      </x:c>
      <x:c r="H3548" s="6" t="n">
        <x:v>4</x:v>
      </x:c>
      <x:c r="I3548" s="6" t="n">
        <x:f>G3548-H3548</x:f>
        <x:v>-1</x:v>
      </x:c>
      <x:c r="J3548" s="6" t="n">
        <x:f>IF(OR(E3548="CANCELED",E3548="SUSPECTED_FRAUD",F3548="Shipping canceled"),0,1)</x:f>
        <x:v>1</x:v>
      </x:c>
      <x:c r="K3548" s="6" t="n">
        <x:f>IF(G3548&gt;H3548,1,0)</x:f>
        <x:v>0</x:v>
      </x:c>
      <x:c r="L3548" s="6" t="n">
        <x:f>J3548*K3548</x:f>
        <x:v>0</x:v>
      </x:c>
    </x:row>
    <x:row r="3549">
      <x:c r="A3549" s="1" t="n">
        <x:v>26759</x:v>
      </x:c>
      <x:c r="B3549" s="5" t="d">
        <x:v>2016-01-26T00:00:00.000Z</x:v>
      </x:c>
      <x:c r="C3549" s="1" t="str">
        <x:v>Standard Class</x:v>
      </x:c>
      <x:c r="D3549" s="1" t="str">
        <x:v>Pacific Asia</x:v>
      </x:c>
      <x:c r="E3549" s="1" t="str">
        <x:v>PENDING</x:v>
      </x:c>
      <x:c r="F3549" s="1" t="str">
        <x:v>Late delivery</x:v>
      </x:c>
      <x:c r="G3549" s="6" t="n">
        <x:v>5</x:v>
      </x:c>
      <x:c r="H3549" s="6" t="n">
        <x:v>4</x:v>
      </x:c>
      <x:c r="I3549" s="6" t="n">
        <x:f>G3549-H3549</x:f>
        <x:v>1</x:v>
      </x:c>
      <x:c r="J3549" s="6" t="n">
        <x:f>IF(OR(E3549="CANCELED",E3549="SUSPECTED_FRAUD",F3549="Shipping canceled"),0,1)</x:f>
        <x:v>1</x:v>
      </x:c>
      <x:c r="K3549" s="6" t="n">
        <x:f>IF(G3549&gt;H3549,1,0)</x:f>
        <x:v>1</x:v>
      </x:c>
      <x:c r="L3549" s="6" t="n">
        <x:f>J3549*K3549</x:f>
        <x:v>1</x:v>
      </x:c>
    </x:row>
    <x:row r="3550">
      <x:c r="A3550" s="1" t="n">
        <x:v>26781</x:v>
      </x:c>
      <x:c r="B3550" s="5" t="d">
        <x:v>2016-01-26T00:00:00.000Z</x:v>
      </x:c>
      <x:c r="C3550" s="1" t="str">
        <x:v>First Class</x:v>
      </x:c>
      <x:c r="D3550" s="1" t="str">
        <x:v>Pacific Asia</x:v>
      </x:c>
      <x:c r="E3550" s="1" t="str">
        <x:v>CLOSED</x:v>
      </x:c>
      <x:c r="F3550" s="1" t="str">
        <x:v>Late delivery</x:v>
      </x:c>
      <x:c r="G3550" s="6" t="n">
        <x:v>2</x:v>
      </x:c>
      <x:c r="H3550" s="6" t="n">
        <x:v>1</x:v>
      </x:c>
      <x:c r="I3550" s="6" t="n">
        <x:f>G3550-H3550</x:f>
        <x:v>1</x:v>
      </x:c>
      <x:c r="J3550" s="6" t="n">
        <x:f>IF(OR(E3550="CANCELED",E3550="SUSPECTED_FRAUD",F3550="Shipping canceled"),0,1)</x:f>
        <x:v>1</x:v>
      </x:c>
      <x:c r="K3550" s="6" t="n">
        <x:f>IF(G3550&gt;H3550,1,0)</x:f>
        <x:v>1</x:v>
      </x:c>
      <x:c r="L3550" s="6" t="n">
        <x:f>J3550*K3550</x:f>
        <x:v>1</x:v>
      </x:c>
    </x:row>
    <x:row r="3551">
      <x:c r="A3551" s="1" t="n">
        <x:v>26783</x:v>
      </x:c>
      <x:c r="B3551" s="5" t="d">
        <x:v>2016-01-26T00:00:00.000Z</x:v>
      </x:c>
      <x:c r="C3551" s="1" t="str">
        <x:v>Second Class</x:v>
      </x:c>
      <x:c r="D3551" s="1" t="str">
        <x:v>Pacific Asia</x:v>
      </x:c>
      <x:c r="E3551" s="1" t="str">
        <x:v>PENDING</x:v>
      </x:c>
      <x:c r="F3551" s="1" t="str">
        <x:v>Late delivery</x:v>
      </x:c>
      <x:c r="G3551" s="6" t="n">
        <x:v>4</x:v>
      </x:c>
      <x:c r="H3551" s="6" t="n">
        <x:v>2</x:v>
      </x:c>
      <x:c r="I3551" s="6" t="n">
        <x:f>G3551-H3551</x:f>
        <x:v>2</x:v>
      </x:c>
      <x:c r="J3551" s="6" t="n">
        <x:f>IF(OR(E3551="CANCELED",E3551="SUSPECTED_FRAUD",F3551="Shipping canceled"),0,1)</x:f>
        <x:v>1</x:v>
      </x:c>
      <x:c r="K3551" s="6" t="n">
        <x:f>IF(G3551&gt;H3551,1,0)</x:f>
        <x:v>1</x:v>
      </x:c>
      <x:c r="L3551" s="6" t="n">
        <x:f>J3551*K3551</x:f>
        <x:v>1</x:v>
      </x:c>
    </x:row>
    <x:row r="3552">
      <x:c r="A3552" s="1" t="n">
        <x:v>26792</x:v>
      </x:c>
      <x:c r="B3552" s="5" t="d">
        <x:v>2016-01-27T00:00:00.000Z</x:v>
      </x:c>
      <x:c r="C3552" s="1" t="str">
        <x:v>Standard Class</x:v>
      </x:c>
      <x:c r="D3552" s="1" t="str">
        <x:v>Pacific Asia</x:v>
      </x:c>
      <x:c r="E3552" s="1" t="str">
        <x:v>COMPLETE</x:v>
      </x:c>
      <x:c r="F3552" s="1" t="str">
        <x:v>Advance shipping</x:v>
      </x:c>
      <x:c r="G3552" s="6" t="n">
        <x:v>3</x:v>
      </x:c>
      <x:c r="H3552" s="6" t="n">
        <x:v>4</x:v>
      </x:c>
      <x:c r="I3552" s="6" t="n">
        <x:f>G3552-H3552</x:f>
        <x:v>-1</x:v>
      </x:c>
      <x:c r="J3552" s="6" t="n">
        <x:f>IF(OR(E3552="CANCELED",E3552="SUSPECTED_FRAUD",F3552="Shipping canceled"),0,1)</x:f>
        <x:v>1</x:v>
      </x:c>
      <x:c r="K3552" s="6" t="n">
        <x:f>IF(G3552&gt;H3552,1,0)</x:f>
        <x:v>0</x:v>
      </x:c>
      <x:c r="L3552" s="6" t="n">
        <x:f>J3552*K3552</x:f>
        <x:v>0</x:v>
      </x:c>
    </x:row>
    <x:row r="3553">
      <x:c r="A3553" s="1" t="n">
        <x:v>26797</x:v>
      </x:c>
      <x:c r="B3553" s="5" t="d">
        <x:v>2016-01-27T00:00:00.000Z</x:v>
      </x:c>
      <x:c r="C3553" s="1" t="str">
        <x:v>Second Class</x:v>
      </x:c>
      <x:c r="D3553" s="1" t="str">
        <x:v>Pacific Asia</x:v>
      </x:c>
      <x:c r="E3553" s="1" t="str">
        <x:v>COMPLETE</x:v>
      </x:c>
      <x:c r="F3553" s="1" t="str">
        <x:v>Late delivery</x:v>
      </x:c>
      <x:c r="G3553" s="6" t="n">
        <x:v>3</x:v>
      </x:c>
      <x:c r="H3553" s="6" t="n">
        <x:v>2</x:v>
      </x:c>
      <x:c r="I3553" s="6" t="n">
        <x:f>G3553-H3553</x:f>
        <x:v>1</x:v>
      </x:c>
      <x:c r="J3553" s="6" t="n">
        <x:f>IF(OR(E3553="CANCELED",E3553="SUSPECTED_FRAUD",F3553="Shipping canceled"),0,1)</x:f>
        <x:v>1</x:v>
      </x:c>
      <x:c r="K3553" s="6" t="n">
        <x:f>IF(G3553&gt;H3553,1,0)</x:f>
        <x:v>1</x:v>
      </x:c>
      <x:c r="L3553" s="6" t="n">
        <x:f>J3553*K3553</x:f>
        <x:v>1</x:v>
      </x:c>
    </x:row>
    <x:row r="3554">
      <x:c r="A3554" s="1" t="n">
        <x:v>26800</x:v>
      </x:c>
      <x:c r="B3554" s="5" t="d">
        <x:v>2016-01-27T00:00:00.000Z</x:v>
      </x:c>
      <x:c r="C3554" s="1" t="str">
        <x:v>Standard Class</x:v>
      </x:c>
      <x:c r="D3554" s="1" t="str">
        <x:v>Pacific Asia</x:v>
      </x:c>
      <x:c r="E3554" s="1" t="str">
        <x:v>COMPLETE</x:v>
      </x:c>
      <x:c r="F3554" s="1" t="str">
        <x:v>Late delivery</x:v>
      </x:c>
      <x:c r="G3554" s="6" t="n">
        <x:v>6</x:v>
      </x:c>
      <x:c r="H3554" s="6" t="n">
        <x:v>4</x:v>
      </x:c>
      <x:c r="I3554" s="6" t="n">
        <x:f>G3554-H3554</x:f>
        <x:v>2</x:v>
      </x:c>
      <x:c r="J3554" s="6" t="n">
        <x:f>IF(OR(E3554="CANCELED",E3554="SUSPECTED_FRAUD",F3554="Shipping canceled"),0,1)</x:f>
        <x:v>1</x:v>
      </x:c>
      <x:c r="K3554" s="6" t="n">
        <x:f>IF(G3554&gt;H3554,1,0)</x:f>
        <x:v>1</x:v>
      </x:c>
      <x:c r="L3554" s="6" t="n">
        <x:f>J3554*K3554</x:f>
        <x:v>1</x:v>
      </x:c>
    </x:row>
    <x:row r="3555">
      <x:c r="A3555" s="1" t="n">
        <x:v>26819</x:v>
      </x:c>
      <x:c r="B3555" s="5" t="d">
        <x:v>2016-01-27T00:00:00.000Z</x:v>
      </x:c>
      <x:c r="C3555" s="1" t="str">
        <x:v>Standard Class</x:v>
      </x:c>
      <x:c r="D3555" s="1" t="str">
        <x:v>Pacific Asia</x:v>
      </x:c>
      <x:c r="E3555" s="1" t="str">
        <x:v>PENDING_PAYMENT</x:v>
      </x:c>
      <x:c r="F3555" s="1" t="str">
        <x:v>Late delivery</x:v>
      </x:c>
      <x:c r="G3555" s="6" t="n">
        <x:v>5</x:v>
      </x:c>
      <x:c r="H3555" s="6" t="n">
        <x:v>4</x:v>
      </x:c>
      <x:c r="I3555" s="6" t="n">
        <x:f>G3555-H3555</x:f>
        <x:v>1</x:v>
      </x:c>
      <x:c r="J3555" s="6" t="n">
        <x:f>IF(OR(E3555="CANCELED",E3555="SUSPECTED_FRAUD",F3555="Shipping canceled"),0,1)</x:f>
        <x:v>1</x:v>
      </x:c>
      <x:c r="K3555" s="6" t="n">
        <x:f>IF(G3555&gt;H3555,1,0)</x:f>
        <x:v>1</x:v>
      </x:c>
      <x:c r="L3555" s="6" t="n">
        <x:f>J3555*K3555</x:f>
        <x:v>1</x:v>
      </x:c>
    </x:row>
    <x:row r="3556">
      <x:c r="A3556" s="1" t="n">
        <x:v>26821</x:v>
      </x:c>
      <x:c r="B3556" s="5" t="d">
        <x:v>2016-01-27T00:00:00.000Z</x:v>
      </x:c>
      <x:c r="C3556" s="1" t="str">
        <x:v>Standard Class</x:v>
      </x:c>
      <x:c r="D3556" s="1" t="str">
        <x:v>Pacific Asia</x:v>
      </x:c>
      <x:c r="E3556" s="1" t="str">
        <x:v>COMPLETE</x:v>
      </x:c>
      <x:c r="F3556" s="1" t="str">
        <x:v>Advance shipping</x:v>
      </x:c>
      <x:c r="G3556" s="6" t="n">
        <x:v>2</x:v>
      </x:c>
      <x:c r="H3556" s="6" t="n">
        <x:v>4</x:v>
      </x:c>
      <x:c r="I3556" s="6" t="n">
        <x:f>G3556-H3556</x:f>
        <x:v>-2</x:v>
      </x:c>
      <x:c r="J3556" s="6" t="n">
        <x:f>IF(OR(E3556="CANCELED",E3556="SUSPECTED_FRAUD",F3556="Shipping canceled"),0,1)</x:f>
        <x:v>1</x:v>
      </x:c>
      <x:c r="K3556" s="6" t="n">
        <x:f>IF(G3556&gt;H3556,1,0)</x:f>
        <x:v>0</x:v>
      </x:c>
      <x:c r="L3556" s="6" t="n">
        <x:f>J3556*K3556</x:f>
        <x:v>0</x:v>
      </x:c>
    </x:row>
    <x:row r="3557">
      <x:c r="A3557" s="1" t="n">
        <x:v>26823</x:v>
      </x:c>
      <x:c r="B3557" s="5" t="d">
        <x:v>2016-01-27T00:00:00.000Z</x:v>
      </x:c>
      <x:c r="C3557" s="1" t="str">
        <x:v>Same Day</x:v>
      </x:c>
      <x:c r="D3557" s="1" t="str">
        <x:v>Pacific Asia</x:v>
      </x:c>
      <x:c r="E3557" s="1" t="str">
        <x:v>PROCESSING</x:v>
      </x:c>
      <x:c r="F3557" s="1" t="str">
        <x:v>Late delivery</x:v>
      </x:c>
      <x:c r="G3557" s="6" t="n">
        <x:v>1</x:v>
      </x:c>
      <x:c r="H3557" s="6" t="n">
        <x:v>0</x:v>
      </x:c>
      <x:c r="I3557" s="6" t="n">
        <x:f>G3557-H3557</x:f>
        <x:v>1</x:v>
      </x:c>
      <x:c r="J3557" s="6" t="n">
        <x:f>IF(OR(E3557="CANCELED",E3557="SUSPECTED_FRAUD",F3557="Shipping canceled"),0,1)</x:f>
        <x:v>1</x:v>
      </x:c>
      <x:c r="K3557" s="6" t="n">
        <x:f>IF(G3557&gt;H3557,1,0)</x:f>
        <x:v>1</x:v>
      </x:c>
      <x:c r="L3557" s="6" t="n">
        <x:f>J3557*K3557</x:f>
        <x:v>1</x:v>
      </x:c>
    </x:row>
    <x:row r="3558">
      <x:c r="A3558" s="1" t="n">
        <x:v>26827</x:v>
      </x:c>
      <x:c r="B3558" s="5" t="d">
        <x:v>2016-01-27T00:00:00.000Z</x:v>
      </x:c>
      <x:c r="C3558" s="1" t="str">
        <x:v>Standard Class</x:v>
      </x:c>
      <x:c r="D3558" s="1" t="str">
        <x:v>Pacific Asia</x:v>
      </x:c>
      <x:c r="E3558" s="1" t="str">
        <x:v>PROCESSING</x:v>
      </x:c>
      <x:c r="F3558" s="1" t="str">
        <x:v>Advance shipping</x:v>
      </x:c>
      <x:c r="G3558" s="6" t="n">
        <x:v>3</x:v>
      </x:c>
      <x:c r="H3558" s="6" t="n">
        <x:v>4</x:v>
      </x:c>
      <x:c r="I3558" s="6" t="n">
        <x:f>G3558-H3558</x:f>
        <x:v>-1</x:v>
      </x:c>
      <x:c r="J3558" s="6" t="n">
        <x:f>IF(OR(E3558="CANCELED",E3558="SUSPECTED_FRAUD",F3558="Shipping canceled"),0,1)</x:f>
        <x:v>1</x:v>
      </x:c>
      <x:c r="K3558" s="6" t="n">
        <x:f>IF(G3558&gt;H3558,1,0)</x:f>
        <x:v>0</x:v>
      </x:c>
      <x:c r="L3558" s="6" t="n">
        <x:f>J3558*K3558</x:f>
        <x:v>0</x:v>
      </x:c>
    </x:row>
    <x:row r="3559">
      <x:c r="A3559" s="1" t="n">
        <x:v>26845</x:v>
      </x:c>
      <x:c r="B3559" s="5" t="d">
        <x:v>2016-01-27T00:00:00.000Z</x:v>
      </x:c>
      <x:c r="C3559" s="1" t="str">
        <x:v>Standard Class</x:v>
      </x:c>
      <x:c r="D3559" s="1" t="str">
        <x:v>Pacific Asia</x:v>
      </x:c>
      <x:c r="E3559" s="1" t="str">
        <x:v>PROCESSING</x:v>
      </x:c>
      <x:c r="F3559" s="1" t="str">
        <x:v>Late delivery</x:v>
      </x:c>
      <x:c r="G3559" s="6" t="n">
        <x:v>6</x:v>
      </x:c>
      <x:c r="H3559" s="6" t="n">
        <x:v>4</x:v>
      </x:c>
      <x:c r="I3559" s="6" t="n">
        <x:f>G3559-H3559</x:f>
        <x:v>2</x:v>
      </x:c>
      <x:c r="J3559" s="6" t="n">
        <x:f>IF(OR(E3559="CANCELED",E3559="SUSPECTED_FRAUD",F3559="Shipping canceled"),0,1)</x:f>
        <x:v>1</x:v>
      </x:c>
      <x:c r="K3559" s="6" t="n">
        <x:f>IF(G3559&gt;H3559,1,0)</x:f>
        <x:v>1</x:v>
      </x:c>
      <x:c r="L3559" s="6" t="n">
        <x:f>J3559*K3559</x:f>
        <x:v>1</x:v>
      </x:c>
    </x:row>
    <x:row r="3560">
      <x:c r="A3560" s="1" t="n">
        <x:v>26847</x:v>
      </x:c>
      <x:c r="B3560" s="5" t="d">
        <x:v>2016-01-27T00:00:00.000Z</x:v>
      </x:c>
      <x:c r="C3560" s="1" t="str">
        <x:v>Standard Class</x:v>
      </x:c>
      <x:c r="D3560" s="1" t="str">
        <x:v>Pacific Asia</x:v>
      </x:c>
      <x:c r="E3560" s="1" t="str">
        <x:v>COMPLETE</x:v>
      </x:c>
      <x:c r="F3560" s="1" t="str">
        <x:v>Advance shipping</x:v>
      </x:c>
      <x:c r="G3560" s="6" t="n">
        <x:v>3</x:v>
      </x:c>
      <x:c r="H3560" s="6" t="n">
        <x:v>4</x:v>
      </x:c>
      <x:c r="I3560" s="6" t="n">
        <x:f>G3560-H3560</x:f>
        <x:v>-1</x:v>
      </x:c>
      <x:c r="J3560" s="6" t="n">
        <x:f>IF(OR(E3560="CANCELED",E3560="SUSPECTED_FRAUD",F3560="Shipping canceled"),0,1)</x:f>
        <x:v>1</x:v>
      </x:c>
      <x:c r="K3560" s="6" t="n">
        <x:f>IF(G3560&gt;H3560,1,0)</x:f>
        <x:v>0</x:v>
      </x:c>
      <x:c r="L3560" s="6" t="n">
        <x:f>J3560*K3560</x:f>
        <x:v>0</x:v>
      </x:c>
    </x:row>
    <x:row r="3561">
      <x:c r="A3561" s="1" t="n">
        <x:v>26850</x:v>
      </x:c>
      <x:c r="B3561" s="5" t="d">
        <x:v>2016-01-27T00:00:00.000Z</x:v>
      </x:c>
      <x:c r="C3561" s="1" t="str">
        <x:v>Second Class</x:v>
      </x:c>
      <x:c r="D3561" s="1" t="str">
        <x:v>Pacific Asia</x:v>
      </x:c>
      <x:c r="E3561" s="1" t="str">
        <x:v>PENDING</x:v>
      </x:c>
      <x:c r="F3561" s="1" t="str">
        <x:v>Late delivery</x:v>
      </x:c>
      <x:c r="G3561" s="6" t="n">
        <x:v>6</x:v>
      </x:c>
      <x:c r="H3561" s="6" t="n">
        <x:v>2</x:v>
      </x:c>
      <x:c r="I3561" s="6" t="n">
        <x:f>G3561-H3561</x:f>
        <x:v>4</x:v>
      </x:c>
      <x:c r="J3561" s="6" t="n">
        <x:f>IF(OR(E3561="CANCELED",E3561="SUSPECTED_FRAUD",F3561="Shipping canceled"),0,1)</x:f>
        <x:v>1</x:v>
      </x:c>
      <x:c r="K3561" s="6" t="n">
        <x:f>IF(G3561&gt;H3561,1,0)</x:f>
        <x:v>1</x:v>
      </x:c>
      <x:c r="L3561" s="6" t="n">
        <x:f>J3561*K3561</x:f>
        <x:v>1</x:v>
      </x:c>
    </x:row>
    <x:row r="3562">
      <x:c r="A3562" s="1" t="n">
        <x:v>26853</x:v>
      </x:c>
      <x:c r="B3562" s="5" t="d">
        <x:v>2016-01-27T00:00:00.000Z</x:v>
      </x:c>
      <x:c r="C3562" s="1" t="str">
        <x:v>Standard Class</x:v>
      </x:c>
      <x:c r="D3562" s="1" t="str">
        <x:v>Pacific Asia</x:v>
      </x:c>
      <x:c r="E3562" s="1" t="str">
        <x:v>COMPLETE</x:v>
      </x:c>
      <x:c r="F3562" s="1" t="str">
        <x:v>Shipping on time</x:v>
      </x:c>
      <x:c r="G3562" s="6" t="n">
        <x:v>4</x:v>
      </x:c>
      <x:c r="H3562" s="6" t="n">
        <x:v>4</x:v>
      </x:c>
      <x:c r="I3562" s="6" t="n">
        <x:f>G3562-H3562</x:f>
        <x:v>0</x:v>
      </x:c>
      <x:c r="J3562" s="6" t="n">
        <x:f>IF(OR(E3562="CANCELED",E3562="SUSPECTED_FRAUD",F3562="Shipping canceled"),0,1)</x:f>
        <x:v>1</x:v>
      </x:c>
      <x:c r="K3562" s="6" t="n">
        <x:f>IF(G3562&gt;H3562,1,0)</x:f>
        <x:v>0</x:v>
      </x:c>
      <x:c r="L3562" s="6" t="n">
        <x:f>J3562*K3562</x:f>
        <x:v>0</x:v>
      </x:c>
    </x:row>
    <x:row r="3563">
      <x:c r="A3563" s="1" t="n">
        <x:v>26860</x:v>
      </x:c>
      <x:c r="B3563" s="5" t="d">
        <x:v>2016-01-28T00:00:00.000Z</x:v>
      </x:c>
      <x:c r="C3563" s="1" t="str">
        <x:v>Standard Class</x:v>
      </x:c>
      <x:c r="D3563" s="1" t="str">
        <x:v>Pacific Asia</x:v>
      </x:c>
      <x:c r="E3563" s="1" t="str">
        <x:v>PENDING_PAYMENT</x:v>
      </x:c>
      <x:c r="F3563" s="1" t="str">
        <x:v>Late delivery</x:v>
      </x:c>
      <x:c r="G3563" s="6" t="n">
        <x:v>6</x:v>
      </x:c>
      <x:c r="H3563" s="6" t="n">
        <x:v>4</x:v>
      </x:c>
      <x:c r="I3563" s="6" t="n">
        <x:f>G3563-H3563</x:f>
        <x:v>2</x:v>
      </x:c>
      <x:c r="J3563" s="6" t="n">
        <x:f>IF(OR(E3563="CANCELED",E3563="SUSPECTED_FRAUD",F3563="Shipping canceled"),0,1)</x:f>
        <x:v>1</x:v>
      </x:c>
      <x:c r="K3563" s="6" t="n">
        <x:f>IF(G3563&gt;H3563,1,0)</x:f>
        <x:v>1</x:v>
      </x:c>
      <x:c r="L3563" s="6" t="n">
        <x:f>J3563*K3563</x:f>
        <x:v>1</x:v>
      </x:c>
    </x:row>
    <x:row r="3564">
      <x:c r="A3564" s="1" t="n">
        <x:v>26861</x:v>
      </x:c>
      <x:c r="B3564" s="5" t="d">
        <x:v>2016-01-28T00:00:00.000Z</x:v>
      </x:c>
      <x:c r="C3564" s="1" t="str">
        <x:v>Standard Class</x:v>
      </x:c>
      <x:c r="D3564" s="1" t="str">
        <x:v>Pacific Asia</x:v>
      </x:c>
      <x:c r="E3564" s="1" t="str">
        <x:v>COMPLETE</x:v>
      </x:c>
      <x:c r="F3564" s="1" t="str">
        <x:v>Advance shipping</x:v>
      </x:c>
      <x:c r="G3564" s="6" t="n">
        <x:v>2</x:v>
      </x:c>
      <x:c r="H3564" s="6" t="n">
        <x:v>4</x:v>
      </x:c>
      <x:c r="I3564" s="6" t="n">
        <x:f>G3564-H3564</x:f>
        <x:v>-2</x:v>
      </x:c>
      <x:c r="J3564" s="6" t="n">
        <x:f>IF(OR(E3564="CANCELED",E3564="SUSPECTED_FRAUD",F3564="Shipping canceled"),0,1)</x:f>
        <x:v>1</x:v>
      </x:c>
      <x:c r="K3564" s="6" t="n">
        <x:f>IF(G3564&gt;H3564,1,0)</x:f>
        <x:v>0</x:v>
      </x:c>
      <x:c r="L3564" s="6" t="n">
        <x:f>J3564*K3564</x:f>
        <x:v>0</x:v>
      </x:c>
    </x:row>
    <x:row r="3565">
      <x:c r="A3565" s="1" t="n">
        <x:v>26864</x:v>
      </x:c>
      <x:c r="B3565" s="5" t="d">
        <x:v>2016-01-28T00:00:00.000Z</x:v>
      </x:c>
      <x:c r="C3565" s="1" t="str">
        <x:v>Second Class</x:v>
      </x:c>
      <x:c r="D3565" s="1" t="str">
        <x:v>Pacific Asia</x:v>
      </x:c>
      <x:c r="E3565" s="1" t="str">
        <x:v>PENDING_PAYMENT</x:v>
      </x:c>
      <x:c r="F3565" s="1" t="str">
        <x:v>Late delivery</x:v>
      </x:c>
      <x:c r="G3565" s="6" t="n">
        <x:v>5</x:v>
      </x:c>
      <x:c r="H3565" s="6" t="n">
        <x:v>2</x:v>
      </x:c>
      <x:c r="I3565" s="6" t="n">
        <x:f>G3565-H3565</x:f>
        <x:v>3</x:v>
      </x:c>
      <x:c r="J3565" s="6" t="n">
        <x:f>IF(OR(E3565="CANCELED",E3565="SUSPECTED_FRAUD",F3565="Shipping canceled"),0,1)</x:f>
        <x:v>1</x:v>
      </x:c>
      <x:c r="K3565" s="6" t="n">
        <x:f>IF(G3565&gt;H3565,1,0)</x:f>
        <x:v>1</x:v>
      </x:c>
      <x:c r="L3565" s="6" t="n">
        <x:f>J3565*K3565</x:f>
        <x:v>1</x:v>
      </x:c>
    </x:row>
    <x:row r="3566">
      <x:c r="A3566" s="1" t="n">
        <x:v>26871</x:v>
      </x:c>
      <x:c r="B3566" s="5" t="d">
        <x:v>2016-01-28T00:00:00.000Z</x:v>
      </x:c>
      <x:c r="C3566" s="1" t="str">
        <x:v>Standard Class</x:v>
      </x:c>
      <x:c r="D3566" s="1" t="str">
        <x:v>Pacific Asia</x:v>
      </x:c>
      <x:c r="E3566" s="1" t="str">
        <x:v>PENDING</x:v>
      </x:c>
      <x:c r="F3566" s="1" t="str">
        <x:v>Advance shipping</x:v>
      </x:c>
      <x:c r="G3566" s="6" t="n">
        <x:v>2</x:v>
      </x:c>
      <x:c r="H3566" s="6" t="n">
        <x:v>4</x:v>
      </x:c>
      <x:c r="I3566" s="6" t="n">
        <x:f>G3566-H3566</x:f>
        <x:v>-2</x:v>
      </x:c>
      <x:c r="J3566" s="6" t="n">
        <x:f>IF(OR(E3566="CANCELED",E3566="SUSPECTED_FRAUD",F3566="Shipping canceled"),0,1)</x:f>
        <x:v>1</x:v>
      </x:c>
      <x:c r="K3566" s="6" t="n">
        <x:f>IF(G3566&gt;H3566,1,0)</x:f>
        <x:v>0</x:v>
      </x:c>
      <x:c r="L3566" s="6" t="n">
        <x:f>J3566*K3566</x:f>
        <x:v>0</x:v>
      </x:c>
    </x:row>
    <x:row r="3567">
      <x:c r="A3567" s="1" t="n">
        <x:v>26876</x:v>
      </x:c>
      <x:c r="B3567" s="5" t="d">
        <x:v>2016-01-28T00:00:00.000Z</x:v>
      </x:c>
      <x:c r="C3567" s="1" t="str">
        <x:v>Standard Class</x:v>
      </x:c>
      <x:c r="D3567" s="1" t="str">
        <x:v>Pacific Asia</x:v>
      </x:c>
      <x:c r="E3567" s="1" t="str">
        <x:v>COMPLETE</x:v>
      </x:c>
      <x:c r="F3567" s="1" t="str">
        <x:v>Advance shipping</x:v>
      </x:c>
      <x:c r="G3567" s="6" t="n">
        <x:v>2</x:v>
      </x:c>
      <x:c r="H3567" s="6" t="n">
        <x:v>4</x:v>
      </x:c>
      <x:c r="I3567" s="6" t="n">
        <x:f>G3567-H3567</x:f>
        <x:v>-2</x:v>
      </x:c>
      <x:c r="J3567" s="6" t="n">
        <x:f>IF(OR(E3567="CANCELED",E3567="SUSPECTED_FRAUD",F3567="Shipping canceled"),0,1)</x:f>
        <x:v>1</x:v>
      </x:c>
      <x:c r="K3567" s="6" t="n">
        <x:f>IF(G3567&gt;H3567,1,0)</x:f>
        <x:v>0</x:v>
      </x:c>
      <x:c r="L3567" s="6" t="n">
        <x:f>J3567*K3567</x:f>
        <x:v>0</x:v>
      </x:c>
    </x:row>
    <x:row r="3568">
      <x:c r="A3568" s="1" t="n">
        <x:v>26887</x:v>
      </x:c>
      <x:c r="B3568" s="5" t="d">
        <x:v>2016-01-28T00:00:00.000Z</x:v>
      </x:c>
      <x:c r="C3568" s="1" t="str">
        <x:v>Standard Class</x:v>
      </x:c>
      <x:c r="D3568" s="1" t="str">
        <x:v>Pacific Asia</x:v>
      </x:c>
      <x:c r="E3568" s="1" t="str">
        <x:v>COMPLETE</x:v>
      </x:c>
      <x:c r="F3568" s="1" t="str">
        <x:v>Advance shipping</x:v>
      </x:c>
      <x:c r="G3568" s="6" t="n">
        <x:v>3</x:v>
      </x:c>
      <x:c r="H3568" s="6" t="n">
        <x:v>4</x:v>
      </x:c>
      <x:c r="I3568" s="6" t="n">
        <x:f>G3568-H3568</x:f>
        <x:v>-1</x:v>
      </x:c>
      <x:c r="J3568" s="6" t="n">
        <x:f>IF(OR(E3568="CANCELED",E3568="SUSPECTED_FRAUD",F3568="Shipping canceled"),0,1)</x:f>
        <x:v>1</x:v>
      </x:c>
      <x:c r="K3568" s="6" t="n">
        <x:f>IF(G3568&gt;H3568,1,0)</x:f>
        <x:v>0</x:v>
      </x:c>
      <x:c r="L3568" s="6" t="n">
        <x:f>J3568*K3568</x:f>
        <x:v>0</x:v>
      </x:c>
    </x:row>
    <x:row r="3569">
      <x:c r="A3569" s="1" t="n">
        <x:v>26892</x:v>
      </x:c>
      <x:c r="B3569" s="5" t="d">
        <x:v>2016-01-28T00:00:00.000Z</x:v>
      </x:c>
      <x:c r="C3569" s="1" t="str">
        <x:v>Standard Class</x:v>
      </x:c>
      <x:c r="D3569" s="1" t="str">
        <x:v>Pacific Asia</x:v>
      </x:c>
      <x:c r="E3569" s="1" t="str">
        <x:v>ON_HOLD</x:v>
      </x:c>
      <x:c r="F3569" s="1" t="str">
        <x:v>Advance shipping</x:v>
      </x:c>
      <x:c r="G3569" s="6" t="n">
        <x:v>3</x:v>
      </x:c>
      <x:c r="H3569" s="6" t="n">
        <x:v>4</x:v>
      </x:c>
      <x:c r="I3569" s="6" t="n">
        <x:f>G3569-H3569</x:f>
        <x:v>-1</x:v>
      </x:c>
      <x:c r="J3569" s="6" t="n">
        <x:f>IF(OR(E3569="CANCELED",E3569="SUSPECTED_FRAUD",F3569="Shipping canceled"),0,1)</x:f>
        <x:v>1</x:v>
      </x:c>
      <x:c r="K3569" s="6" t="n">
        <x:f>IF(G3569&gt;H3569,1,0)</x:f>
        <x:v>0</x:v>
      </x:c>
      <x:c r="L3569" s="6" t="n">
        <x:f>J3569*K3569</x:f>
        <x:v>0</x:v>
      </x:c>
    </x:row>
    <x:row r="3570">
      <x:c r="A3570" s="1" t="n">
        <x:v>26895</x:v>
      </x:c>
      <x:c r="B3570" s="5" t="d">
        <x:v>2016-01-28T00:00:00.000Z</x:v>
      </x:c>
      <x:c r="C3570" s="1" t="str">
        <x:v>Standard Class</x:v>
      </x:c>
      <x:c r="D3570" s="1" t="str">
        <x:v>Pacific Asia</x:v>
      </x:c>
      <x:c r="E3570" s="1" t="str">
        <x:v>CLOSED</x:v>
      </x:c>
      <x:c r="F3570" s="1" t="str">
        <x:v>Late delivery</x:v>
      </x:c>
      <x:c r="G3570" s="6" t="n">
        <x:v>6</x:v>
      </x:c>
      <x:c r="H3570" s="6" t="n">
        <x:v>4</x:v>
      </x:c>
      <x:c r="I3570" s="6" t="n">
        <x:f>G3570-H3570</x:f>
        <x:v>2</x:v>
      </x:c>
      <x:c r="J3570" s="6" t="n">
        <x:f>IF(OR(E3570="CANCELED",E3570="SUSPECTED_FRAUD",F3570="Shipping canceled"),0,1)</x:f>
        <x:v>1</x:v>
      </x:c>
      <x:c r="K3570" s="6" t="n">
        <x:f>IF(G3570&gt;H3570,1,0)</x:f>
        <x:v>1</x:v>
      </x:c>
      <x:c r="L3570" s="6" t="n">
        <x:f>J3570*K3570</x:f>
        <x:v>1</x:v>
      </x:c>
    </x:row>
    <x:row r="3571">
      <x:c r="A3571" s="1" t="n">
        <x:v>26896</x:v>
      </x:c>
      <x:c r="B3571" s="5" t="d">
        <x:v>2016-01-28T00:00:00.000Z</x:v>
      </x:c>
      <x:c r="C3571" s="1" t="str">
        <x:v>Standard Class</x:v>
      </x:c>
      <x:c r="D3571" s="1" t="str">
        <x:v>Pacific Asia</x:v>
      </x:c>
      <x:c r="E3571" s="1" t="str">
        <x:v>PENDING</x:v>
      </x:c>
      <x:c r="F3571" s="1" t="str">
        <x:v>Advance shipping</x:v>
      </x:c>
      <x:c r="G3571" s="6" t="n">
        <x:v>2</x:v>
      </x:c>
      <x:c r="H3571" s="6" t="n">
        <x:v>4</x:v>
      </x:c>
      <x:c r="I3571" s="6" t="n">
        <x:f>G3571-H3571</x:f>
        <x:v>-2</x:v>
      </x:c>
      <x:c r="J3571" s="6" t="n">
        <x:f>IF(OR(E3571="CANCELED",E3571="SUSPECTED_FRAUD",F3571="Shipping canceled"),0,1)</x:f>
        <x:v>1</x:v>
      </x:c>
      <x:c r="K3571" s="6" t="n">
        <x:f>IF(G3571&gt;H3571,1,0)</x:f>
        <x:v>0</x:v>
      </x:c>
      <x:c r="L3571" s="6" t="n">
        <x:f>J3571*K3571</x:f>
        <x:v>0</x:v>
      </x:c>
    </x:row>
    <x:row r="3572">
      <x:c r="A3572" s="1" t="n">
        <x:v>26903</x:v>
      </x:c>
      <x:c r="B3572" s="5" t="d">
        <x:v>2016-01-28T00:00:00.000Z</x:v>
      </x:c>
      <x:c r="C3572" s="1" t="str">
        <x:v>Standard Class</x:v>
      </x:c>
      <x:c r="D3572" s="1" t="str">
        <x:v>Pacific Asia</x:v>
      </x:c>
      <x:c r="E3572" s="1" t="str">
        <x:v>COMPLETE</x:v>
      </x:c>
      <x:c r="F3572" s="1" t="str">
        <x:v>Shipping on time</x:v>
      </x:c>
      <x:c r="G3572" s="6" t="n">
        <x:v>4</x:v>
      </x:c>
      <x:c r="H3572" s="6" t="n">
        <x:v>4</x:v>
      </x:c>
      <x:c r="I3572" s="6" t="n">
        <x:f>G3572-H3572</x:f>
        <x:v>0</x:v>
      </x:c>
      <x:c r="J3572" s="6" t="n">
        <x:f>IF(OR(E3572="CANCELED",E3572="SUSPECTED_FRAUD",F3572="Shipping canceled"),0,1)</x:f>
        <x:v>1</x:v>
      </x:c>
      <x:c r="K3572" s="6" t="n">
        <x:f>IF(G3572&gt;H3572,1,0)</x:f>
        <x:v>0</x:v>
      </x:c>
      <x:c r="L3572" s="6" t="n">
        <x:f>J3572*K3572</x:f>
        <x:v>0</x:v>
      </x:c>
    </x:row>
    <x:row r="3573">
      <x:c r="A3573" s="1" t="n">
        <x:v>26905</x:v>
      </x:c>
      <x:c r="B3573" s="5" t="d">
        <x:v>2016-01-28T00:00:00.000Z</x:v>
      </x:c>
      <x:c r="C3573" s="1" t="str">
        <x:v>Standard Class</x:v>
      </x:c>
      <x:c r="D3573" s="1" t="str">
        <x:v>Pacific Asia</x:v>
      </x:c>
      <x:c r="E3573" s="1" t="str">
        <x:v>PENDING_PAYMENT</x:v>
      </x:c>
      <x:c r="F3573" s="1" t="str">
        <x:v>Late delivery</x:v>
      </x:c>
      <x:c r="G3573" s="6" t="n">
        <x:v>6</x:v>
      </x:c>
      <x:c r="H3573" s="6" t="n">
        <x:v>4</x:v>
      </x:c>
      <x:c r="I3573" s="6" t="n">
        <x:f>G3573-H3573</x:f>
        <x:v>2</x:v>
      </x:c>
      <x:c r="J3573" s="6" t="n">
        <x:f>IF(OR(E3573="CANCELED",E3573="SUSPECTED_FRAUD",F3573="Shipping canceled"),0,1)</x:f>
        <x:v>1</x:v>
      </x:c>
      <x:c r="K3573" s="6" t="n">
        <x:f>IF(G3573&gt;H3573,1,0)</x:f>
        <x:v>1</x:v>
      </x:c>
      <x:c r="L3573" s="6" t="n">
        <x:f>J3573*K3573</x:f>
        <x:v>1</x:v>
      </x:c>
    </x:row>
    <x:row r="3574">
      <x:c r="A3574" s="1" t="n">
        <x:v>26948</x:v>
      </x:c>
      <x:c r="B3574" s="5" t="d">
        <x:v>2016-01-29T00:00:00.000Z</x:v>
      </x:c>
      <x:c r="C3574" s="1" t="str">
        <x:v>Standard Class</x:v>
      </x:c>
      <x:c r="D3574" s="1" t="str">
        <x:v>Pacific Asia</x:v>
      </x:c>
      <x:c r="E3574" s="1" t="str">
        <x:v>ON_HOLD</x:v>
      </x:c>
      <x:c r="F3574" s="1" t="str">
        <x:v>Shipping on time</x:v>
      </x:c>
      <x:c r="G3574" s="6" t="n">
        <x:v>4</x:v>
      </x:c>
      <x:c r="H3574" s="6" t="n">
        <x:v>4</x:v>
      </x:c>
      <x:c r="I3574" s="6" t="n">
        <x:f>G3574-H3574</x:f>
        <x:v>0</x:v>
      </x:c>
      <x:c r="J3574" s="6" t="n">
        <x:f>IF(OR(E3574="CANCELED",E3574="SUSPECTED_FRAUD",F3574="Shipping canceled"),0,1)</x:f>
        <x:v>1</x:v>
      </x:c>
      <x:c r="K3574" s="6" t="n">
        <x:f>IF(G3574&gt;H3574,1,0)</x:f>
        <x:v>0</x:v>
      </x:c>
      <x:c r="L3574" s="6" t="n">
        <x:f>J3574*K3574</x:f>
        <x:v>0</x:v>
      </x:c>
    </x:row>
    <x:row r="3575">
      <x:c r="A3575" s="1" t="n">
        <x:v>26950</x:v>
      </x:c>
      <x:c r="B3575" s="5" t="d">
        <x:v>2016-01-29T00:00:00.000Z</x:v>
      </x:c>
      <x:c r="C3575" s="1" t="str">
        <x:v>Second Class</x:v>
      </x:c>
      <x:c r="D3575" s="1" t="str">
        <x:v>Pacific Asia</x:v>
      </x:c>
      <x:c r="E3575" s="1" t="str">
        <x:v>ON_HOLD</x:v>
      </x:c>
      <x:c r="F3575" s="1" t="str">
        <x:v>Late delivery</x:v>
      </x:c>
      <x:c r="G3575" s="6" t="n">
        <x:v>6</x:v>
      </x:c>
      <x:c r="H3575" s="6" t="n">
        <x:v>2</x:v>
      </x:c>
      <x:c r="I3575" s="6" t="n">
        <x:f>G3575-H3575</x:f>
        <x:v>4</x:v>
      </x:c>
      <x:c r="J3575" s="6" t="n">
        <x:f>IF(OR(E3575="CANCELED",E3575="SUSPECTED_FRAUD",F3575="Shipping canceled"),0,1)</x:f>
        <x:v>1</x:v>
      </x:c>
      <x:c r="K3575" s="6" t="n">
        <x:f>IF(G3575&gt;H3575,1,0)</x:f>
        <x:v>1</x:v>
      </x:c>
      <x:c r="L3575" s="6" t="n">
        <x:f>J3575*K3575</x:f>
        <x:v>1</x:v>
      </x:c>
    </x:row>
    <x:row r="3576">
      <x:c r="A3576" s="1" t="n">
        <x:v>26954</x:v>
      </x:c>
      <x:c r="B3576" s="5" t="d">
        <x:v>2016-01-29T00:00:00.000Z</x:v>
      </x:c>
      <x:c r="C3576" s="1" t="str">
        <x:v>Second Class</x:v>
      </x:c>
      <x:c r="D3576" s="1" t="str">
        <x:v>Pacific Asia</x:v>
      </x:c>
      <x:c r="E3576" s="1" t="str">
        <x:v>COMPLETE</x:v>
      </x:c>
      <x:c r="F3576" s="1" t="str">
        <x:v>Late delivery</x:v>
      </x:c>
      <x:c r="G3576" s="6" t="n">
        <x:v>5</x:v>
      </x:c>
      <x:c r="H3576" s="6" t="n">
        <x:v>2</x:v>
      </x:c>
      <x:c r="I3576" s="6" t="n">
        <x:f>G3576-H3576</x:f>
        <x:v>3</x:v>
      </x:c>
      <x:c r="J3576" s="6" t="n">
        <x:f>IF(OR(E3576="CANCELED",E3576="SUSPECTED_FRAUD",F3576="Shipping canceled"),0,1)</x:f>
        <x:v>1</x:v>
      </x:c>
      <x:c r="K3576" s="6" t="n">
        <x:f>IF(G3576&gt;H3576,1,0)</x:f>
        <x:v>1</x:v>
      </x:c>
      <x:c r="L3576" s="6" t="n">
        <x:f>J3576*K3576</x:f>
        <x:v>1</x:v>
      </x:c>
    </x:row>
    <x:row r="3577">
      <x:c r="A3577" s="1" t="n">
        <x:v>26963</x:v>
      </x:c>
      <x:c r="B3577" s="5" t="d">
        <x:v>2016-01-29T00:00:00.000Z</x:v>
      </x:c>
      <x:c r="C3577" s="1" t="str">
        <x:v>Standard Class</x:v>
      </x:c>
      <x:c r="D3577" s="1" t="str">
        <x:v>Pacific Asia</x:v>
      </x:c>
      <x:c r="E3577" s="1" t="str">
        <x:v>COMPLETE</x:v>
      </x:c>
      <x:c r="F3577" s="1" t="str">
        <x:v>Shipping on time</x:v>
      </x:c>
      <x:c r="G3577" s="6" t="n">
        <x:v>4</x:v>
      </x:c>
      <x:c r="H3577" s="6" t="n">
        <x:v>4</x:v>
      </x:c>
      <x:c r="I3577" s="6" t="n">
        <x:f>G3577-H3577</x:f>
        <x:v>0</x:v>
      </x:c>
      <x:c r="J3577" s="6" t="n">
        <x:f>IF(OR(E3577="CANCELED",E3577="SUSPECTED_FRAUD",F3577="Shipping canceled"),0,1)</x:f>
        <x:v>1</x:v>
      </x:c>
      <x:c r="K3577" s="6" t="n">
        <x:f>IF(G3577&gt;H3577,1,0)</x:f>
        <x:v>0</x:v>
      </x:c>
      <x:c r="L3577" s="6" t="n">
        <x:f>J3577*K3577</x:f>
        <x:v>0</x:v>
      </x:c>
    </x:row>
    <x:row r="3578">
      <x:c r="A3578" s="1" t="n">
        <x:v>26968</x:v>
      </x:c>
      <x:c r="B3578" s="5" t="d">
        <x:v>2016-01-29T00:00:00.000Z</x:v>
      </x:c>
      <x:c r="C3578" s="1" t="str">
        <x:v>Standard Class</x:v>
      </x:c>
      <x:c r="D3578" s="1" t="str">
        <x:v>Pacific Asia</x:v>
      </x:c>
      <x:c r="E3578" s="1" t="str">
        <x:v>CLOSED</x:v>
      </x:c>
      <x:c r="F3578" s="1" t="str">
        <x:v>Shipping on time</x:v>
      </x:c>
      <x:c r="G3578" s="6" t="n">
        <x:v>4</x:v>
      </x:c>
      <x:c r="H3578" s="6" t="n">
        <x:v>4</x:v>
      </x:c>
      <x:c r="I3578" s="6" t="n">
        <x:f>G3578-H3578</x:f>
        <x:v>0</x:v>
      </x:c>
      <x:c r="J3578" s="6" t="n">
        <x:f>IF(OR(E3578="CANCELED",E3578="SUSPECTED_FRAUD",F3578="Shipping canceled"),0,1)</x:f>
        <x:v>1</x:v>
      </x:c>
      <x:c r="K3578" s="6" t="n">
        <x:f>IF(G3578&gt;H3578,1,0)</x:f>
        <x:v>0</x:v>
      </x:c>
      <x:c r="L3578" s="6" t="n">
        <x:f>J3578*K3578</x:f>
        <x:v>0</x:v>
      </x:c>
    </x:row>
    <x:row r="3579">
      <x:c r="A3579" s="1" t="n">
        <x:v>26976</x:v>
      </x:c>
      <x:c r="B3579" s="5" t="d">
        <x:v>2016-01-29T00:00:00.000Z</x:v>
      </x:c>
      <x:c r="C3579" s="1" t="str">
        <x:v>Standard Class</x:v>
      </x:c>
      <x:c r="D3579" s="1" t="str">
        <x:v>Pacific Asia</x:v>
      </x:c>
      <x:c r="E3579" s="1" t="str">
        <x:v>COMPLETE</x:v>
      </x:c>
      <x:c r="F3579" s="1" t="str">
        <x:v>Advance shipping</x:v>
      </x:c>
      <x:c r="G3579" s="6" t="n">
        <x:v>2</x:v>
      </x:c>
      <x:c r="H3579" s="6" t="n">
        <x:v>4</x:v>
      </x:c>
      <x:c r="I3579" s="6" t="n">
        <x:f>G3579-H3579</x:f>
        <x:v>-2</x:v>
      </x:c>
      <x:c r="J3579" s="6" t="n">
        <x:f>IF(OR(E3579="CANCELED",E3579="SUSPECTED_FRAUD",F3579="Shipping canceled"),0,1)</x:f>
        <x:v>1</x:v>
      </x:c>
      <x:c r="K3579" s="6" t="n">
        <x:f>IF(G3579&gt;H3579,1,0)</x:f>
        <x:v>0</x:v>
      </x:c>
      <x:c r="L3579" s="6" t="n">
        <x:f>J3579*K3579</x:f>
        <x:v>0</x:v>
      </x:c>
    </x:row>
    <x:row r="3580">
      <x:c r="A3580" s="1" t="n">
        <x:v>26990</x:v>
      </x:c>
      <x:c r="B3580" s="5" t="d">
        <x:v>2016-01-29T00:00:00.000Z</x:v>
      </x:c>
      <x:c r="C3580" s="1" t="str">
        <x:v>Standard Class</x:v>
      </x:c>
      <x:c r="D3580" s="1" t="str">
        <x:v>Pacific Asia</x:v>
      </x:c>
      <x:c r="E3580" s="1" t="str">
        <x:v>PENDING</x:v>
      </x:c>
      <x:c r="F3580" s="1" t="str">
        <x:v>Late delivery</x:v>
      </x:c>
      <x:c r="G3580" s="6" t="n">
        <x:v>6</x:v>
      </x:c>
      <x:c r="H3580" s="6" t="n">
        <x:v>4</x:v>
      </x:c>
      <x:c r="I3580" s="6" t="n">
        <x:f>G3580-H3580</x:f>
        <x:v>2</x:v>
      </x:c>
      <x:c r="J3580" s="6" t="n">
        <x:f>IF(OR(E3580="CANCELED",E3580="SUSPECTED_FRAUD",F3580="Shipping canceled"),0,1)</x:f>
        <x:v>1</x:v>
      </x:c>
      <x:c r="K3580" s="6" t="n">
        <x:f>IF(G3580&gt;H3580,1,0)</x:f>
        <x:v>1</x:v>
      </x:c>
      <x:c r="L3580" s="6" t="n">
        <x:f>J3580*K3580</x:f>
        <x:v>1</x:v>
      </x:c>
    </x:row>
    <x:row r="3581">
      <x:c r="A3581" s="1" t="n">
        <x:v>26992</x:v>
      </x:c>
      <x:c r="B3581" s="5" t="d">
        <x:v>2016-01-30T00:00:00.000Z</x:v>
      </x:c>
      <x:c r="C3581" s="1" t="str">
        <x:v>Second Class</x:v>
      </x:c>
      <x:c r="D3581" s="1" t="str">
        <x:v>Pacific Asia</x:v>
      </x:c>
      <x:c r="E3581" s="1" t="str">
        <x:v>COMPLETE</x:v>
      </x:c>
      <x:c r="F3581" s="1" t="str">
        <x:v>Late delivery</x:v>
      </x:c>
      <x:c r="G3581" s="6" t="n">
        <x:v>3</x:v>
      </x:c>
      <x:c r="H3581" s="6" t="n">
        <x:v>2</x:v>
      </x:c>
      <x:c r="I3581" s="6" t="n">
        <x:f>G3581-H3581</x:f>
        <x:v>1</x:v>
      </x:c>
      <x:c r="J3581" s="6" t="n">
        <x:f>IF(OR(E3581="CANCELED",E3581="SUSPECTED_FRAUD",F3581="Shipping canceled"),0,1)</x:f>
        <x:v>1</x:v>
      </x:c>
      <x:c r="K3581" s="6" t="n">
        <x:f>IF(G3581&gt;H3581,1,0)</x:f>
        <x:v>1</x:v>
      </x:c>
      <x:c r="L3581" s="6" t="n">
        <x:f>J3581*K3581</x:f>
        <x:v>1</x:v>
      </x:c>
    </x:row>
    <x:row r="3582">
      <x:c r="A3582" s="1" t="n">
        <x:v>27005</x:v>
      </x:c>
      <x:c r="B3582" s="5" t="d">
        <x:v>2016-01-30T00:00:00.000Z</x:v>
      </x:c>
      <x:c r="C3582" s="1" t="str">
        <x:v>Standard Class</x:v>
      </x:c>
      <x:c r="D3582" s="1" t="str">
        <x:v>Pacific Asia</x:v>
      </x:c>
      <x:c r="E3582" s="1" t="str">
        <x:v>PROCESSING</x:v>
      </x:c>
      <x:c r="F3582" s="1" t="str">
        <x:v>Late delivery</x:v>
      </x:c>
      <x:c r="G3582" s="6" t="n">
        <x:v>6</x:v>
      </x:c>
      <x:c r="H3582" s="6" t="n">
        <x:v>4</x:v>
      </x:c>
      <x:c r="I3582" s="6" t="n">
        <x:f>G3582-H3582</x:f>
        <x:v>2</x:v>
      </x:c>
      <x:c r="J3582" s="6" t="n">
        <x:f>IF(OR(E3582="CANCELED",E3582="SUSPECTED_FRAUD",F3582="Shipping canceled"),0,1)</x:f>
        <x:v>1</x:v>
      </x:c>
      <x:c r="K3582" s="6" t="n">
        <x:f>IF(G3582&gt;H3582,1,0)</x:f>
        <x:v>1</x:v>
      </x:c>
      <x:c r="L3582" s="6" t="n">
        <x:f>J3582*K3582</x:f>
        <x:v>1</x:v>
      </x:c>
    </x:row>
    <x:row r="3583">
      <x:c r="A3583" s="1" t="n">
        <x:v>27007</x:v>
      </x:c>
      <x:c r="B3583" s="5" t="d">
        <x:v>2016-01-30T00:00:00.000Z</x:v>
      </x:c>
      <x:c r="C3583" s="1" t="str">
        <x:v>Standard Class</x:v>
      </x:c>
      <x:c r="D3583" s="1" t="str">
        <x:v>Pacific Asia</x:v>
      </x:c>
      <x:c r="E3583" s="1" t="str">
        <x:v>PENDING</x:v>
      </x:c>
      <x:c r="F3583" s="1" t="str">
        <x:v>Advance shipping</x:v>
      </x:c>
      <x:c r="G3583" s="6" t="n">
        <x:v>3</x:v>
      </x:c>
      <x:c r="H3583" s="6" t="n">
        <x:v>4</x:v>
      </x:c>
      <x:c r="I3583" s="6" t="n">
        <x:f>G3583-H3583</x:f>
        <x:v>-1</x:v>
      </x:c>
      <x:c r="J3583" s="6" t="n">
        <x:f>IF(OR(E3583="CANCELED",E3583="SUSPECTED_FRAUD",F3583="Shipping canceled"),0,1)</x:f>
        <x:v>1</x:v>
      </x:c>
      <x:c r="K3583" s="6" t="n">
        <x:f>IF(G3583&gt;H3583,1,0)</x:f>
        <x:v>0</x:v>
      </x:c>
      <x:c r="L3583" s="6" t="n">
        <x:f>J3583*K3583</x:f>
        <x:v>0</x:v>
      </x:c>
    </x:row>
    <x:row r="3584">
      <x:c r="A3584" s="1" t="n">
        <x:v>27013</x:v>
      </x:c>
      <x:c r="B3584" s="5" t="d">
        <x:v>2016-01-30T00:00:00.000Z</x:v>
      </x:c>
      <x:c r="C3584" s="1" t="str">
        <x:v>First Class</x:v>
      </x:c>
      <x:c r="D3584" s="1" t="str">
        <x:v>Pacific Asia</x:v>
      </x:c>
      <x:c r="E3584" s="1" t="str">
        <x:v>CLOSED</x:v>
      </x:c>
      <x:c r="F3584" s="1" t="str">
        <x:v>Late delivery</x:v>
      </x:c>
      <x:c r="G3584" s="6" t="n">
        <x:v>2</x:v>
      </x:c>
      <x:c r="H3584" s="6" t="n">
        <x:v>1</x:v>
      </x:c>
      <x:c r="I3584" s="6" t="n">
        <x:f>G3584-H3584</x:f>
        <x:v>1</x:v>
      </x:c>
      <x:c r="J3584" s="6" t="n">
        <x:f>IF(OR(E3584="CANCELED",E3584="SUSPECTED_FRAUD",F3584="Shipping canceled"),0,1)</x:f>
        <x:v>1</x:v>
      </x:c>
      <x:c r="K3584" s="6" t="n">
        <x:f>IF(G3584&gt;H3584,1,0)</x:f>
        <x:v>1</x:v>
      </x:c>
      <x:c r="L3584" s="6" t="n">
        <x:f>J3584*K3584</x:f>
        <x:v>1</x:v>
      </x:c>
    </x:row>
    <x:row r="3585">
      <x:c r="A3585" s="1" t="n">
        <x:v>27022</x:v>
      </x:c>
      <x:c r="B3585" s="5" t="d">
        <x:v>2016-01-30T00:00:00.000Z</x:v>
      </x:c>
      <x:c r="C3585" s="1" t="str">
        <x:v>Standard Class</x:v>
      </x:c>
      <x:c r="D3585" s="1" t="str">
        <x:v>Pacific Asia</x:v>
      </x:c>
      <x:c r="E3585" s="1" t="str">
        <x:v>COMPLETE</x:v>
      </x:c>
      <x:c r="F3585" s="1" t="str">
        <x:v>Advance shipping</x:v>
      </x:c>
      <x:c r="G3585" s="6" t="n">
        <x:v>3</x:v>
      </x:c>
      <x:c r="H3585" s="6" t="n">
        <x:v>4</x:v>
      </x:c>
      <x:c r="I3585" s="6" t="n">
        <x:f>G3585-H3585</x:f>
        <x:v>-1</x:v>
      </x:c>
      <x:c r="J3585" s="6" t="n">
        <x:f>IF(OR(E3585="CANCELED",E3585="SUSPECTED_FRAUD",F3585="Shipping canceled"),0,1)</x:f>
        <x:v>1</x:v>
      </x:c>
      <x:c r="K3585" s="6" t="n">
        <x:f>IF(G3585&gt;H3585,1,0)</x:f>
        <x:v>0</x:v>
      </x:c>
      <x:c r="L3585" s="6" t="n">
        <x:f>J3585*K3585</x:f>
        <x:v>0</x:v>
      </x:c>
    </x:row>
    <x:row r="3586">
      <x:c r="A3586" s="1" t="n">
        <x:v>27027</x:v>
      </x:c>
      <x:c r="B3586" s="5" t="d">
        <x:v>2016-01-30T00:00:00.000Z</x:v>
      </x:c>
      <x:c r="C3586" s="1" t="str">
        <x:v>First Class</x:v>
      </x:c>
      <x:c r="D3586" s="1" t="str">
        <x:v>Pacific Asia</x:v>
      </x:c>
      <x:c r="E3586" s="1" t="str">
        <x:v>CLOSED</x:v>
      </x:c>
      <x:c r="F3586" s="1" t="str">
        <x:v>Late delivery</x:v>
      </x:c>
      <x:c r="G3586" s="6" t="n">
        <x:v>2</x:v>
      </x:c>
      <x:c r="H3586" s="6" t="n">
        <x:v>1</x:v>
      </x:c>
      <x:c r="I3586" s="6" t="n">
        <x:f>G3586-H3586</x:f>
        <x:v>1</x:v>
      </x:c>
      <x:c r="J3586" s="6" t="n">
        <x:f>IF(OR(E3586="CANCELED",E3586="SUSPECTED_FRAUD",F3586="Shipping canceled"),0,1)</x:f>
        <x:v>1</x:v>
      </x:c>
      <x:c r="K3586" s="6" t="n">
        <x:f>IF(G3586&gt;H3586,1,0)</x:f>
        <x:v>1</x:v>
      </x:c>
      <x:c r="L3586" s="6" t="n">
        <x:f>J3586*K3586</x:f>
        <x:v>1</x:v>
      </x:c>
    </x:row>
    <x:row r="3587">
      <x:c r="A3587" s="1" t="n">
        <x:v>27029</x:v>
      </x:c>
      <x:c r="B3587" s="5" t="d">
        <x:v>2016-01-30T00:00:00.000Z</x:v>
      </x:c>
      <x:c r="C3587" s="1" t="str">
        <x:v>Standard Class</x:v>
      </x:c>
      <x:c r="D3587" s="1" t="str">
        <x:v>Pacific Asia</x:v>
      </x:c>
      <x:c r="E3587" s="1" t="str">
        <x:v>COMPLETE</x:v>
      </x:c>
      <x:c r="F3587" s="1" t="str">
        <x:v>Late delivery</x:v>
      </x:c>
      <x:c r="G3587" s="6" t="n">
        <x:v>5</x:v>
      </x:c>
      <x:c r="H3587" s="6" t="n">
        <x:v>4</x:v>
      </x:c>
      <x:c r="I3587" s="6" t="n">
        <x:f>G3587-H3587</x:f>
        <x:v>1</x:v>
      </x:c>
      <x:c r="J3587" s="6" t="n">
        <x:f>IF(OR(E3587="CANCELED",E3587="SUSPECTED_FRAUD",F3587="Shipping canceled"),0,1)</x:f>
        <x:v>1</x:v>
      </x:c>
      <x:c r="K3587" s="6" t="n">
        <x:f>IF(G3587&gt;H3587,1,0)</x:f>
        <x:v>1</x:v>
      </x:c>
      <x:c r="L3587" s="6" t="n">
        <x:f>J3587*K3587</x:f>
        <x:v>1</x:v>
      </x:c>
    </x:row>
    <x:row r="3588">
      <x:c r="A3588" s="1" t="n">
        <x:v>27032</x:v>
      </x:c>
      <x:c r="B3588" s="5" t="d">
        <x:v>2016-01-30T00:00:00.000Z</x:v>
      </x:c>
      <x:c r="C3588" s="1" t="str">
        <x:v>Standard Class</x:v>
      </x:c>
      <x:c r="D3588" s="1" t="str">
        <x:v>Pacific Asia</x:v>
      </x:c>
      <x:c r="E3588" s="1" t="str">
        <x:v>COMPLETE</x:v>
      </x:c>
      <x:c r="F3588" s="1" t="str">
        <x:v>Advance shipping</x:v>
      </x:c>
      <x:c r="G3588" s="6" t="n">
        <x:v>3</x:v>
      </x:c>
      <x:c r="H3588" s="6" t="n">
        <x:v>4</x:v>
      </x:c>
      <x:c r="I3588" s="6" t="n">
        <x:f>G3588-H3588</x:f>
        <x:v>-1</x:v>
      </x:c>
      <x:c r="J3588" s="6" t="n">
        <x:f>IF(OR(E3588="CANCELED",E3588="SUSPECTED_FRAUD",F3588="Shipping canceled"),0,1)</x:f>
        <x:v>1</x:v>
      </x:c>
      <x:c r="K3588" s="6" t="n">
        <x:f>IF(G3588&gt;H3588,1,0)</x:f>
        <x:v>0</x:v>
      </x:c>
      <x:c r="L3588" s="6" t="n">
        <x:f>J3588*K3588</x:f>
        <x:v>0</x:v>
      </x:c>
    </x:row>
    <x:row r="3589">
      <x:c r="A3589" s="1" t="n">
        <x:v>27046</x:v>
      </x:c>
      <x:c r="B3589" s="5" t="d">
        <x:v>2016-01-30T00:00:00.000Z</x:v>
      </x:c>
      <x:c r="C3589" s="1" t="str">
        <x:v>Second Class</x:v>
      </x:c>
      <x:c r="D3589" s="1" t="str">
        <x:v>Pacific Asia</x:v>
      </x:c>
      <x:c r="E3589" s="1" t="str">
        <x:v>COMPLETE</x:v>
      </x:c>
      <x:c r="F3589" s="1" t="str">
        <x:v>Shipping on time</x:v>
      </x:c>
      <x:c r="G3589" s="6" t="n">
        <x:v>2</x:v>
      </x:c>
      <x:c r="H3589" s="6" t="n">
        <x:v>2</x:v>
      </x:c>
      <x:c r="I3589" s="6" t="n">
        <x:f>G3589-H3589</x:f>
        <x:v>0</x:v>
      </x:c>
      <x:c r="J3589" s="6" t="n">
        <x:f>IF(OR(E3589="CANCELED",E3589="SUSPECTED_FRAUD",F3589="Shipping canceled"),0,1)</x:f>
        <x:v>1</x:v>
      </x:c>
      <x:c r="K3589" s="6" t="n">
        <x:f>IF(G3589&gt;H3589,1,0)</x:f>
        <x:v>0</x:v>
      </x:c>
      <x:c r="L3589" s="6" t="n">
        <x:f>J3589*K3589</x:f>
        <x:v>0</x:v>
      </x:c>
    </x:row>
    <x:row r="3590">
      <x:c r="A3590" s="1" t="n">
        <x:v>27050</x:v>
      </x:c>
      <x:c r="B3590" s="5" t="d">
        <x:v>2016-01-30T00:00:00.000Z</x:v>
      </x:c>
      <x:c r="C3590" s="1" t="str">
        <x:v>Standard Class</x:v>
      </x:c>
      <x:c r="D3590" s="1" t="str">
        <x:v>Pacific Asia</x:v>
      </x:c>
      <x:c r="E3590" s="1" t="str">
        <x:v>PROCESSING</x:v>
      </x:c>
      <x:c r="F3590" s="1" t="str">
        <x:v>Late delivery</x:v>
      </x:c>
      <x:c r="G3590" s="6" t="n">
        <x:v>6</x:v>
      </x:c>
      <x:c r="H3590" s="6" t="n">
        <x:v>4</x:v>
      </x:c>
      <x:c r="I3590" s="6" t="n">
        <x:f>G3590-H3590</x:f>
        <x:v>2</x:v>
      </x:c>
      <x:c r="J3590" s="6" t="n">
        <x:f>IF(OR(E3590="CANCELED",E3590="SUSPECTED_FRAUD",F3590="Shipping canceled"),0,1)</x:f>
        <x:v>1</x:v>
      </x:c>
      <x:c r="K3590" s="6" t="n">
        <x:f>IF(G3590&gt;H3590,1,0)</x:f>
        <x:v>1</x:v>
      </x:c>
      <x:c r="L3590" s="6" t="n">
        <x:f>J3590*K3590</x:f>
        <x:v>1</x:v>
      </x:c>
    </x:row>
    <x:row r="3591">
      <x:c r="A3591" s="1" t="n">
        <x:v>27061</x:v>
      </x:c>
      <x:c r="B3591" s="5" t="d">
        <x:v>2016-01-31T00:00:00.000Z</x:v>
      </x:c>
      <x:c r="C3591" s="1" t="str">
        <x:v>Standard Class</x:v>
      </x:c>
      <x:c r="D3591" s="1" t="str">
        <x:v>Pacific Asia</x:v>
      </x:c>
      <x:c r="E3591" s="1" t="str">
        <x:v>COMPLETE</x:v>
      </x:c>
      <x:c r="F3591" s="1" t="str">
        <x:v>Advance shipping</x:v>
      </x:c>
      <x:c r="G3591" s="6" t="n">
        <x:v>2</x:v>
      </x:c>
      <x:c r="H3591" s="6" t="n">
        <x:v>4</x:v>
      </x:c>
      <x:c r="I3591" s="6" t="n">
        <x:f>G3591-H3591</x:f>
        <x:v>-2</x:v>
      </x:c>
      <x:c r="J3591" s="6" t="n">
        <x:f>IF(OR(E3591="CANCELED",E3591="SUSPECTED_FRAUD",F3591="Shipping canceled"),0,1)</x:f>
        <x:v>1</x:v>
      </x:c>
      <x:c r="K3591" s="6" t="n">
        <x:f>IF(G3591&gt;H3591,1,0)</x:f>
        <x:v>0</x:v>
      </x:c>
      <x:c r="L3591" s="6" t="n">
        <x:f>J3591*K3591</x:f>
        <x:v>0</x:v>
      </x:c>
    </x:row>
    <x:row r="3592">
      <x:c r="A3592" s="1" t="n">
        <x:v>27066</x:v>
      </x:c>
      <x:c r="B3592" s="5" t="d">
        <x:v>2016-01-31T00:00:00.000Z</x:v>
      </x:c>
      <x:c r="C3592" s="1" t="str">
        <x:v>Second Class</x:v>
      </x:c>
      <x:c r="D3592" s="1" t="str">
        <x:v>Pacific Asia</x:v>
      </x:c>
      <x:c r="E3592" s="1" t="str">
        <x:v>CLOSED</x:v>
      </x:c>
      <x:c r="F3592" s="1" t="str">
        <x:v>Shipping on time</x:v>
      </x:c>
      <x:c r="G3592" s="6" t="n">
        <x:v>2</x:v>
      </x:c>
      <x:c r="H3592" s="6" t="n">
        <x:v>2</x:v>
      </x:c>
      <x:c r="I3592" s="6" t="n">
        <x:f>G3592-H3592</x:f>
        <x:v>0</x:v>
      </x:c>
      <x:c r="J3592" s="6" t="n">
        <x:f>IF(OR(E3592="CANCELED",E3592="SUSPECTED_FRAUD",F3592="Shipping canceled"),0,1)</x:f>
        <x:v>1</x:v>
      </x:c>
      <x:c r="K3592" s="6" t="n">
        <x:f>IF(G3592&gt;H3592,1,0)</x:f>
        <x:v>0</x:v>
      </x:c>
      <x:c r="L3592" s="6" t="n">
        <x:f>J3592*K3592</x:f>
        <x:v>0</x:v>
      </x:c>
    </x:row>
    <x:row r="3593">
      <x:c r="A3593" s="1" t="n">
        <x:v>27086</x:v>
      </x:c>
      <x:c r="B3593" s="5" t="d">
        <x:v>2016-01-31T00:00:00.000Z</x:v>
      </x:c>
      <x:c r="C3593" s="1" t="str">
        <x:v>Standard Class</x:v>
      </x:c>
      <x:c r="D3593" s="1" t="str">
        <x:v>Pacific Asia</x:v>
      </x:c>
      <x:c r="E3593" s="1" t="str">
        <x:v>PROCESSING</x:v>
      </x:c>
      <x:c r="F3593" s="1" t="str">
        <x:v>Advance shipping</x:v>
      </x:c>
      <x:c r="G3593" s="6" t="n">
        <x:v>2</x:v>
      </x:c>
      <x:c r="H3593" s="6" t="n">
        <x:v>4</x:v>
      </x:c>
      <x:c r="I3593" s="6" t="n">
        <x:f>G3593-H3593</x:f>
        <x:v>-2</x:v>
      </x:c>
      <x:c r="J3593" s="6" t="n">
        <x:f>IF(OR(E3593="CANCELED",E3593="SUSPECTED_FRAUD",F3593="Shipping canceled"),0,1)</x:f>
        <x:v>1</x:v>
      </x:c>
      <x:c r="K3593" s="6" t="n">
        <x:f>IF(G3593&gt;H3593,1,0)</x:f>
        <x:v>0</x:v>
      </x:c>
      <x:c r="L3593" s="6" t="n">
        <x:f>J3593*K3593</x:f>
        <x:v>0</x:v>
      </x:c>
    </x:row>
    <x:row r="3594">
      <x:c r="A3594" s="1" t="n">
        <x:v>27088</x:v>
      </x:c>
      <x:c r="B3594" s="5" t="d">
        <x:v>2016-01-31T00:00:00.000Z</x:v>
      </x:c>
      <x:c r="C3594" s="1" t="str">
        <x:v>Standard Class</x:v>
      </x:c>
      <x:c r="D3594" s="1" t="str">
        <x:v>Pacific Asia</x:v>
      </x:c>
      <x:c r="E3594" s="1" t="str">
        <x:v>PENDING</x:v>
      </x:c>
      <x:c r="F3594" s="1" t="str">
        <x:v>Shipping on time</x:v>
      </x:c>
      <x:c r="G3594" s="6" t="n">
        <x:v>4</x:v>
      </x:c>
      <x:c r="H3594" s="6" t="n">
        <x:v>4</x:v>
      </x:c>
      <x:c r="I3594" s="6" t="n">
        <x:f>G3594-H3594</x:f>
        <x:v>0</x:v>
      </x:c>
      <x:c r="J3594" s="6" t="n">
        <x:f>IF(OR(E3594="CANCELED",E3594="SUSPECTED_FRAUD",F3594="Shipping canceled"),0,1)</x:f>
        <x:v>1</x:v>
      </x:c>
      <x:c r="K3594" s="6" t="n">
        <x:f>IF(G3594&gt;H3594,1,0)</x:f>
        <x:v>0</x:v>
      </x:c>
      <x:c r="L3594" s="6" t="n">
        <x:f>J3594*K3594</x:f>
        <x:v>0</x:v>
      </x:c>
    </x:row>
    <x:row r="3595">
      <x:c r="A3595" s="1" t="n">
        <x:v>27094</x:v>
      </x:c>
      <x:c r="B3595" s="5" t="d">
        <x:v>2016-01-31T00:00:00.000Z</x:v>
      </x:c>
      <x:c r="C3595" s="1" t="str">
        <x:v>Standard Class</x:v>
      </x:c>
      <x:c r="D3595" s="1" t="str">
        <x:v>Pacific Asia</x:v>
      </x:c>
      <x:c r="E3595" s="1" t="str">
        <x:v>CLOSED</x:v>
      </x:c>
      <x:c r="F3595" s="1" t="str">
        <x:v>Late delivery</x:v>
      </x:c>
      <x:c r="G3595" s="6" t="n">
        <x:v>5</x:v>
      </x:c>
      <x:c r="H3595" s="6" t="n">
        <x:v>4</x:v>
      </x:c>
      <x:c r="I3595" s="6" t="n">
        <x:f>G3595-H3595</x:f>
        <x:v>1</x:v>
      </x:c>
      <x:c r="J3595" s="6" t="n">
        <x:f>IF(OR(E3595="CANCELED",E3595="SUSPECTED_FRAUD",F3595="Shipping canceled"),0,1)</x:f>
        <x:v>1</x:v>
      </x:c>
      <x:c r="K3595" s="6" t="n">
        <x:f>IF(G3595&gt;H3595,1,0)</x:f>
        <x:v>1</x:v>
      </x:c>
      <x:c r="L3595" s="6" t="n">
        <x:f>J3595*K3595</x:f>
        <x:v>1</x:v>
      </x:c>
    </x:row>
    <x:row r="3596">
      <x:c r="A3596" s="1" t="n">
        <x:v>27099</x:v>
      </x:c>
      <x:c r="B3596" s="5" t="d">
        <x:v>2016-01-31T00:00:00.000Z</x:v>
      </x:c>
      <x:c r="C3596" s="1" t="str">
        <x:v>Second Class</x:v>
      </x:c>
      <x:c r="D3596" s="1" t="str">
        <x:v>Pacific Asia</x:v>
      </x:c>
      <x:c r="E3596" s="1" t="str">
        <x:v>PENDING_PAYMENT</x:v>
      </x:c>
      <x:c r="F3596" s="1" t="str">
        <x:v>Late delivery</x:v>
      </x:c>
      <x:c r="G3596" s="6" t="n">
        <x:v>5</x:v>
      </x:c>
      <x:c r="H3596" s="6" t="n">
        <x:v>2</x:v>
      </x:c>
      <x:c r="I3596" s="6" t="n">
        <x:f>G3596-H3596</x:f>
        <x:v>3</x:v>
      </x:c>
      <x:c r="J3596" s="6" t="n">
        <x:f>IF(OR(E3596="CANCELED",E3596="SUSPECTED_FRAUD",F3596="Shipping canceled"),0,1)</x:f>
        <x:v>1</x:v>
      </x:c>
      <x:c r="K3596" s="6" t="n">
        <x:f>IF(G3596&gt;H3596,1,0)</x:f>
        <x:v>1</x:v>
      </x:c>
      <x:c r="L3596" s="6" t="n">
        <x:f>J3596*K3596</x:f>
        <x:v>1</x:v>
      </x:c>
    </x:row>
    <x:row r="3597">
      <x:c r="A3597" s="1" t="n">
        <x:v>27105</x:v>
      </x:c>
      <x:c r="B3597" s="5" t="d">
        <x:v>2016-01-31T00:00:00.000Z</x:v>
      </x:c>
      <x:c r="C3597" s="1" t="str">
        <x:v>Standard Class</x:v>
      </x:c>
      <x:c r="D3597" s="1" t="str">
        <x:v>Pacific Asia</x:v>
      </x:c>
      <x:c r="E3597" s="1" t="str">
        <x:v>PENDING</x:v>
      </x:c>
      <x:c r="F3597" s="1" t="str">
        <x:v>Late delivery</x:v>
      </x:c>
      <x:c r="G3597" s="6" t="n">
        <x:v>6</x:v>
      </x:c>
      <x:c r="H3597" s="6" t="n">
        <x:v>4</x:v>
      </x:c>
      <x:c r="I3597" s="6" t="n">
        <x:f>G3597-H3597</x:f>
        <x:v>2</x:v>
      </x:c>
      <x:c r="J3597" s="6" t="n">
        <x:f>IF(OR(E3597="CANCELED",E3597="SUSPECTED_FRAUD",F3597="Shipping canceled"),0,1)</x:f>
        <x:v>1</x:v>
      </x:c>
      <x:c r="K3597" s="6" t="n">
        <x:f>IF(G3597&gt;H3597,1,0)</x:f>
        <x:v>1</x:v>
      </x:c>
      <x:c r="L3597" s="6" t="n">
        <x:f>J3597*K3597</x:f>
        <x:v>1</x:v>
      </x:c>
    </x:row>
    <x:row r="3598">
      <x:c r="A3598" s="1" t="n">
        <x:v>27113</x:v>
      </x:c>
      <x:c r="B3598" s="5" t="d">
        <x:v>2016-01-31T00:00:00.000Z</x:v>
      </x:c>
      <x:c r="C3598" s="1" t="str">
        <x:v>Standard Class</x:v>
      </x:c>
      <x:c r="D3598" s="1" t="str">
        <x:v>Pacific Asia</x:v>
      </x:c>
      <x:c r="E3598" s="1" t="str">
        <x:v>CLOSED</x:v>
      </x:c>
      <x:c r="F3598" s="1" t="str">
        <x:v>Shipping on time</x:v>
      </x:c>
      <x:c r="G3598" s="6" t="n">
        <x:v>4</x:v>
      </x:c>
      <x:c r="H3598" s="6" t="n">
        <x:v>4</x:v>
      </x:c>
      <x:c r="I3598" s="6" t="n">
        <x:f>G3598-H3598</x:f>
        <x:v>0</x:v>
      </x:c>
      <x:c r="J3598" s="6" t="n">
        <x:f>IF(OR(E3598="CANCELED",E3598="SUSPECTED_FRAUD",F3598="Shipping canceled"),0,1)</x:f>
        <x:v>1</x:v>
      </x:c>
      <x:c r="K3598" s="6" t="n">
        <x:f>IF(G3598&gt;H3598,1,0)</x:f>
        <x:v>0</x:v>
      </x:c>
      <x:c r="L3598" s="6" t="n">
        <x:f>J3598*K3598</x:f>
        <x:v>0</x:v>
      </x:c>
    </x:row>
    <x:row r="3599">
      <x:c r="A3599" s="1" t="n">
        <x:v>27120</x:v>
      </x:c>
      <x:c r="B3599" s="5" t="d">
        <x:v>2016-01-31T00:00:00.000Z</x:v>
      </x:c>
      <x:c r="C3599" s="1" t="str">
        <x:v>First Class</x:v>
      </x:c>
      <x:c r="D3599" s="1" t="str">
        <x:v>Pacific Asia</x:v>
      </x:c>
      <x:c r="E3599" s="1" t="str">
        <x:v>PENDING</x:v>
      </x:c>
      <x:c r="F3599" s="1" t="str">
        <x:v>Late delivery</x:v>
      </x:c>
      <x:c r="G3599" s="6" t="n">
        <x:v>2</x:v>
      </x:c>
      <x:c r="H3599" s="6" t="n">
        <x:v>1</x:v>
      </x:c>
      <x:c r="I3599" s="6" t="n">
        <x:f>G3599-H3599</x:f>
        <x:v>1</x:v>
      </x:c>
      <x:c r="J3599" s="6" t="n">
        <x:f>IF(OR(E3599="CANCELED",E3599="SUSPECTED_FRAUD",F3599="Shipping canceled"),0,1)</x:f>
        <x:v>1</x:v>
      </x:c>
      <x:c r="K3599" s="6" t="n">
        <x:f>IF(G3599&gt;H3599,1,0)</x:f>
        <x:v>1</x:v>
      </x:c>
      <x:c r="L3599" s="6" t="n">
        <x:f>J3599*K3599</x:f>
        <x:v>1</x:v>
      </x:c>
    </x:row>
    <x:row r="3600">
      <x:c r="A3600" s="1" t="n">
        <x:v>27126</x:v>
      </x:c>
      <x:c r="B3600" s="5" t="d">
        <x:v>2016-01-31T00:00:00.000Z</x:v>
      </x:c>
      <x:c r="C3600" s="1" t="str">
        <x:v>Second Class</x:v>
      </x:c>
      <x:c r="D3600" s="1" t="str">
        <x:v>Pacific Asia</x:v>
      </x:c>
      <x:c r="E3600" s="1" t="str">
        <x:v>COMPLETE</x:v>
      </x:c>
      <x:c r="F3600" s="1" t="str">
        <x:v>Shipping on time</x:v>
      </x:c>
      <x:c r="G3600" s="6" t="n">
        <x:v>2</x:v>
      </x:c>
      <x:c r="H3600" s="6" t="n">
        <x:v>2</x:v>
      </x:c>
      <x:c r="I3600" s="6" t="n">
        <x:f>G3600-H3600</x:f>
        <x:v>0</x:v>
      </x:c>
      <x:c r="J3600" s="6" t="n">
        <x:f>IF(OR(E3600="CANCELED",E3600="SUSPECTED_FRAUD",F3600="Shipping canceled"),0,1)</x:f>
        <x:v>1</x:v>
      </x:c>
      <x:c r="K3600" s="6" t="n">
        <x:f>IF(G3600&gt;H3600,1,0)</x:f>
        <x:v>0</x:v>
      </x:c>
      <x:c r="L3600" s="6" t="n">
        <x:f>J3600*K3600</x:f>
        <x:v>0</x:v>
      </x:c>
    </x:row>
    <x:row r="3601">
      <x:c r="A3601" s="1" t="n">
        <x:v>27139</x:v>
      </x:c>
      <x:c r="B3601" s="5" t="d">
        <x:v>2016-02-01T00:00:00.000Z</x:v>
      </x:c>
      <x:c r="C3601" s="1" t="str">
        <x:v>Standard Class</x:v>
      </x:c>
      <x:c r="D3601" s="1" t="str">
        <x:v>Pacific Asia</x:v>
      </x:c>
      <x:c r="E3601" s="1" t="str">
        <x:v>PROCESSING</x:v>
      </x:c>
      <x:c r="F3601" s="1" t="str">
        <x:v>Late delivery</x:v>
      </x:c>
      <x:c r="G3601" s="6" t="n">
        <x:v>5</x:v>
      </x:c>
      <x:c r="H3601" s="6" t="n">
        <x:v>4</x:v>
      </x:c>
      <x:c r="I3601" s="6" t="n">
        <x:f>G3601-H3601</x:f>
        <x:v>1</x:v>
      </x:c>
      <x:c r="J3601" s="6" t="n">
        <x:f>IF(OR(E3601="CANCELED",E3601="SUSPECTED_FRAUD",F3601="Shipping canceled"),0,1)</x:f>
        <x:v>1</x:v>
      </x:c>
      <x:c r="K3601" s="6" t="n">
        <x:f>IF(G3601&gt;H3601,1,0)</x:f>
        <x:v>1</x:v>
      </x:c>
      <x:c r="L3601" s="6" t="n">
        <x:f>J3601*K3601</x:f>
        <x:v>1</x:v>
      </x:c>
    </x:row>
    <x:row r="3602">
      <x:c r="A3602" s="1" t="n">
        <x:v>27150</x:v>
      </x:c>
      <x:c r="B3602" s="5" t="d">
        <x:v>2016-02-01T00:00:00.000Z</x:v>
      </x:c>
      <x:c r="C3602" s="1" t="str">
        <x:v>Standard Class</x:v>
      </x:c>
      <x:c r="D3602" s="1" t="str">
        <x:v>Pacific Asia</x:v>
      </x:c>
      <x:c r="E3602" s="1" t="str">
        <x:v>PROCESSING</x:v>
      </x:c>
      <x:c r="F3602" s="1" t="str">
        <x:v>Late delivery</x:v>
      </x:c>
      <x:c r="G3602" s="6" t="n">
        <x:v>6</x:v>
      </x:c>
      <x:c r="H3602" s="6" t="n">
        <x:v>4</x:v>
      </x:c>
      <x:c r="I3602" s="6" t="n">
        <x:f>G3602-H3602</x:f>
        <x:v>2</x:v>
      </x:c>
      <x:c r="J3602" s="6" t="n">
        <x:f>IF(OR(E3602="CANCELED",E3602="SUSPECTED_FRAUD",F3602="Shipping canceled"),0,1)</x:f>
        <x:v>1</x:v>
      </x:c>
      <x:c r="K3602" s="6" t="n">
        <x:f>IF(G3602&gt;H3602,1,0)</x:f>
        <x:v>1</x:v>
      </x:c>
      <x:c r="L3602" s="6" t="n">
        <x:f>J3602*K3602</x:f>
        <x:v>1</x:v>
      </x:c>
    </x:row>
    <x:row r="3603">
      <x:c r="A3603" s="1" t="n">
        <x:v>27168</x:v>
      </x:c>
      <x:c r="B3603" s="5" t="d">
        <x:v>2016-02-01T00:00:00.000Z</x:v>
      </x:c>
      <x:c r="C3603" s="1" t="str">
        <x:v>Standard Class</x:v>
      </x:c>
      <x:c r="D3603" s="1" t="str">
        <x:v>Pacific Asia</x:v>
      </x:c>
      <x:c r="E3603" s="1" t="str">
        <x:v>COMPLETE</x:v>
      </x:c>
      <x:c r="F3603" s="1" t="str">
        <x:v>Shipping on time</x:v>
      </x:c>
      <x:c r="G3603" s="6" t="n">
        <x:v>4</x:v>
      </x:c>
      <x:c r="H3603" s="6" t="n">
        <x:v>4</x:v>
      </x:c>
      <x:c r="I3603" s="6" t="n">
        <x:f>G3603-H3603</x:f>
        <x:v>0</x:v>
      </x:c>
      <x:c r="J3603" s="6" t="n">
        <x:f>IF(OR(E3603="CANCELED",E3603="SUSPECTED_FRAUD",F3603="Shipping canceled"),0,1)</x:f>
        <x:v>1</x:v>
      </x:c>
      <x:c r="K3603" s="6" t="n">
        <x:f>IF(G3603&gt;H3603,1,0)</x:f>
        <x:v>0</x:v>
      </x:c>
      <x:c r="L3603" s="6" t="n">
        <x:f>J3603*K3603</x:f>
        <x:v>0</x:v>
      </x:c>
    </x:row>
    <x:row r="3604">
      <x:c r="A3604" s="1" t="n">
        <x:v>27174</x:v>
      </x:c>
      <x:c r="B3604" s="5" t="d">
        <x:v>2016-02-01T00:00:00.000Z</x:v>
      </x:c>
      <x:c r="C3604" s="1" t="str">
        <x:v>Standard Class</x:v>
      </x:c>
      <x:c r="D3604" s="1" t="str">
        <x:v>Pacific Asia</x:v>
      </x:c>
      <x:c r="E3604" s="1" t="str">
        <x:v>PENDING</x:v>
      </x:c>
      <x:c r="F3604" s="1" t="str">
        <x:v>Late delivery</x:v>
      </x:c>
      <x:c r="G3604" s="6" t="n">
        <x:v>5</x:v>
      </x:c>
      <x:c r="H3604" s="6" t="n">
        <x:v>4</x:v>
      </x:c>
      <x:c r="I3604" s="6" t="n">
        <x:f>G3604-H3604</x:f>
        <x:v>1</x:v>
      </x:c>
      <x:c r="J3604" s="6" t="n">
        <x:f>IF(OR(E3604="CANCELED",E3604="SUSPECTED_FRAUD",F3604="Shipping canceled"),0,1)</x:f>
        <x:v>1</x:v>
      </x:c>
      <x:c r="K3604" s="6" t="n">
        <x:f>IF(G3604&gt;H3604,1,0)</x:f>
        <x:v>1</x:v>
      </x:c>
      <x:c r="L3604" s="6" t="n">
        <x:f>J3604*K3604</x:f>
        <x:v>1</x:v>
      </x:c>
    </x:row>
    <x:row r="3605">
      <x:c r="A3605" s="1" t="n">
        <x:v>27187</x:v>
      </x:c>
      <x:c r="B3605" s="5" t="d">
        <x:v>2016-02-01T00:00:00.000Z</x:v>
      </x:c>
      <x:c r="C3605" s="1" t="str">
        <x:v>Standard Class</x:v>
      </x:c>
      <x:c r="D3605" s="1" t="str">
        <x:v>Pacific Asia</x:v>
      </x:c>
      <x:c r="E3605" s="1" t="str">
        <x:v>COMPLETE</x:v>
      </x:c>
      <x:c r="F3605" s="1" t="str">
        <x:v>Advance shipping</x:v>
      </x:c>
      <x:c r="G3605" s="6" t="n">
        <x:v>3</x:v>
      </x:c>
      <x:c r="H3605" s="6" t="n">
        <x:v>4</x:v>
      </x:c>
      <x:c r="I3605" s="6" t="n">
        <x:f>G3605-H3605</x:f>
        <x:v>-1</x:v>
      </x:c>
      <x:c r="J3605" s="6" t="n">
        <x:f>IF(OR(E3605="CANCELED",E3605="SUSPECTED_FRAUD",F3605="Shipping canceled"),0,1)</x:f>
        <x:v>1</x:v>
      </x:c>
      <x:c r="K3605" s="6" t="n">
        <x:f>IF(G3605&gt;H3605,1,0)</x:f>
        <x:v>0</x:v>
      </x:c>
      <x:c r="L3605" s="6" t="n">
        <x:f>J3605*K3605</x:f>
        <x:v>0</x:v>
      </x:c>
    </x:row>
    <x:row r="3606">
      <x:c r="A3606" s="1" t="n">
        <x:v>27202</x:v>
      </x:c>
      <x:c r="B3606" s="5" t="d">
        <x:v>2016-02-02T00:00:00.000Z</x:v>
      </x:c>
      <x:c r="C3606" s="1" t="str">
        <x:v>Standard Class</x:v>
      </x:c>
      <x:c r="D3606" s="1" t="str">
        <x:v>Pacific Asia</x:v>
      </x:c>
      <x:c r="E3606" s="1" t="str">
        <x:v>COMPLETE</x:v>
      </x:c>
      <x:c r="F3606" s="1" t="str">
        <x:v>Advance shipping</x:v>
      </x:c>
      <x:c r="G3606" s="6" t="n">
        <x:v>3</x:v>
      </x:c>
      <x:c r="H3606" s="6" t="n">
        <x:v>4</x:v>
      </x:c>
      <x:c r="I3606" s="6" t="n">
        <x:f>G3606-H3606</x:f>
        <x:v>-1</x:v>
      </x:c>
      <x:c r="J3606" s="6" t="n">
        <x:f>IF(OR(E3606="CANCELED",E3606="SUSPECTED_FRAUD",F3606="Shipping canceled"),0,1)</x:f>
        <x:v>1</x:v>
      </x:c>
      <x:c r="K3606" s="6" t="n">
        <x:f>IF(G3606&gt;H3606,1,0)</x:f>
        <x:v>0</x:v>
      </x:c>
      <x:c r="L3606" s="6" t="n">
        <x:f>J3606*K3606</x:f>
        <x:v>0</x:v>
      </x:c>
    </x:row>
    <x:row r="3607">
      <x:c r="A3607" s="1" t="n">
        <x:v>27204</x:v>
      </x:c>
      <x:c r="B3607" s="5" t="d">
        <x:v>2016-02-02T00:00:00.000Z</x:v>
      </x:c>
      <x:c r="C3607" s="1" t="str">
        <x:v>Standard Class</x:v>
      </x:c>
      <x:c r="D3607" s="1" t="str">
        <x:v>Pacific Asia</x:v>
      </x:c>
      <x:c r="E3607" s="1" t="str">
        <x:v>COMPLETE</x:v>
      </x:c>
      <x:c r="F3607" s="1" t="str">
        <x:v>Late delivery</x:v>
      </x:c>
      <x:c r="G3607" s="6" t="n">
        <x:v>5</x:v>
      </x:c>
      <x:c r="H3607" s="6" t="n">
        <x:v>4</x:v>
      </x:c>
      <x:c r="I3607" s="6" t="n">
        <x:f>G3607-H3607</x:f>
        <x:v>1</x:v>
      </x:c>
      <x:c r="J3607" s="6" t="n">
        <x:f>IF(OR(E3607="CANCELED",E3607="SUSPECTED_FRAUD",F3607="Shipping canceled"),0,1)</x:f>
        <x:v>1</x:v>
      </x:c>
      <x:c r="K3607" s="6" t="n">
        <x:f>IF(G3607&gt;H3607,1,0)</x:f>
        <x:v>1</x:v>
      </x:c>
      <x:c r="L3607" s="6" t="n">
        <x:f>J3607*K3607</x:f>
        <x:v>1</x:v>
      </x:c>
    </x:row>
    <x:row r="3608">
      <x:c r="A3608" s="1" t="n">
        <x:v>27206</x:v>
      </x:c>
      <x:c r="B3608" s="5" t="d">
        <x:v>2016-02-02T00:00:00.000Z</x:v>
      </x:c>
      <x:c r="C3608" s="1" t="str">
        <x:v>Standard Class</x:v>
      </x:c>
      <x:c r="D3608" s="1" t="str">
        <x:v>Pacific Asia</x:v>
      </x:c>
      <x:c r="E3608" s="1" t="str">
        <x:v>PENDING</x:v>
      </x:c>
      <x:c r="F3608" s="1" t="str">
        <x:v>Advance shipping</x:v>
      </x:c>
      <x:c r="G3608" s="6" t="n">
        <x:v>2</x:v>
      </x:c>
      <x:c r="H3608" s="6" t="n">
        <x:v>4</x:v>
      </x:c>
      <x:c r="I3608" s="6" t="n">
        <x:f>G3608-H3608</x:f>
        <x:v>-2</x:v>
      </x:c>
      <x:c r="J3608" s="6" t="n">
        <x:f>IF(OR(E3608="CANCELED",E3608="SUSPECTED_FRAUD",F3608="Shipping canceled"),0,1)</x:f>
        <x:v>1</x:v>
      </x:c>
      <x:c r="K3608" s="6" t="n">
        <x:f>IF(G3608&gt;H3608,1,0)</x:f>
        <x:v>0</x:v>
      </x:c>
      <x:c r="L3608" s="6" t="n">
        <x:f>J3608*K3608</x:f>
        <x:v>0</x:v>
      </x:c>
    </x:row>
    <x:row r="3609">
      <x:c r="A3609" s="1" t="n">
        <x:v>27207</x:v>
      </x:c>
      <x:c r="B3609" s="5" t="d">
        <x:v>2016-02-02T00:00:00.000Z</x:v>
      </x:c>
      <x:c r="C3609" s="1" t="str">
        <x:v>Standard Class</x:v>
      </x:c>
      <x:c r="D3609" s="1" t="str">
        <x:v>Pacific Asia</x:v>
      </x:c>
      <x:c r="E3609" s="1" t="str">
        <x:v>COMPLETE</x:v>
      </x:c>
      <x:c r="F3609" s="1" t="str">
        <x:v>Advance shipping</x:v>
      </x:c>
      <x:c r="G3609" s="6" t="n">
        <x:v>3</x:v>
      </x:c>
      <x:c r="H3609" s="6" t="n">
        <x:v>4</x:v>
      </x:c>
      <x:c r="I3609" s="6" t="n">
        <x:f>G3609-H3609</x:f>
        <x:v>-1</x:v>
      </x:c>
      <x:c r="J3609" s="6" t="n">
        <x:f>IF(OR(E3609="CANCELED",E3609="SUSPECTED_FRAUD",F3609="Shipping canceled"),0,1)</x:f>
        <x:v>1</x:v>
      </x:c>
      <x:c r="K3609" s="6" t="n">
        <x:f>IF(G3609&gt;H3609,1,0)</x:f>
        <x:v>0</x:v>
      </x:c>
      <x:c r="L3609" s="6" t="n">
        <x:f>J3609*K3609</x:f>
        <x:v>0</x:v>
      </x:c>
    </x:row>
    <x:row r="3610">
      <x:c r="A3610" s="1" t="n">
        <x:v>27223</x:v>
      </x:c>
      <x:c r="B3610" s="5" t="d">
        <x:v>2016-02-02T00:00:00.000Z</x:v>
      </x:c>
      <x:c r="C3610" s="1" t="str">
        <x:v>Standard Class</x:v>
      </x:c>
      <x:c r="D3610" s="1" t="str">
        <x:v>Pacific Asia</x:v>
      </x:c>
      <x:c r="E3610" s="1" t="str">
        <x:v>PENDING</x:v>
      </x:c>
      <x:c r="F3610" s="1" t="str">
        <x:v>Shipping on time</x:v>
      </x:c>
      <x:c r="G3610" s="6" t="n">
        <x:v>4</x:v>
      </x:c>
      <x:c r="H3610" s="6" t="n">
        <x:v>4</x:v>
      </x:c>
      <x:c r="I3610" s="6" t="n">
        <x:f>G3610-H3610</x:f>
        <x:v>0</x:v>
      </x:c>
      <x:c r="J3610" s="6" t="n">
        <x:f>IF(OR(E3610="CANCELED",E3610="SUSPECTED_FRAUD",F3610="Shipping canceled"),0,1)</x:f>
        <x:v>1</x:v>
      </x:c>
      <x:c r="K3610" s="6" t="n">
        <x:f>IF(G3610&gt;H3610,1,0)</x:f>
        <x:v>0</x:v>
      </x:c>
      <x:c r="L3610" s="6" t="n">
        <x:f>J3610*K3610</x:f>
        <x:v>0</x:v>
      </x:c>
    </x:row>
    <x:row r="3611">
      <x:c r="A3611" s="1" t="n">
        <x:v>27229</x:v>
      </x:c>
      <x:c r="B3611" s="5" t="d">
        <x:v>2016-02-02T00:00:00.000Z</x:v>
      </x:c>
      <x:c r="C3611" s="1" t="str">
        <x:v>First Class</x:v>
      </x:c>
      <x:c r="D3611" s="1" t="str">
        <x:v>Pacific Asia</x:v>
      </x:c>
      <x:c r="E3611" s="1" t="str">
        <x:v>CLOSED</x:v>
      </x:c>
      <x:c r="F3611" s="1" t="str">
        <x:v>Late delivery</x:v>
      </x:c>
      <x:c r="G3611" s="6" t="n">
        <x:v>2</x:v>
      </x:c>
      <x:c r="H3611" s="6" t="n">
        <x:v>1</x:v>
      </x:c>
      <x:c r="I3611" s="6" t="n">
        <x:f>G3611-H3611</x:f>
        <x:v>1</x:v>
      </x:c>
      <x:c r="J3611" s="6" t="n">
        <x:f>IF(OR(E3611="CANCELED",E3611="SUSPECTED_FRAUD",F3611="Shipping canceled"),0,1)</x:f>
        <x:v>1</x:v>
      </x:c>
      <x:c r="K3611" s="6" t="n">
        <x:f>IF(G3611&gt;H3611,1,0)</x:f>
        <x:v>1</x:v>
      </x:c>
      <x:c r="L3611" s="6" t="n">
        <x:f>J3611*K3611</x:f>
        <x:v>1</x:v>
      </x:c>
    </x:row>
    <x:row r="3612">
      <x:c r="A3612" s="1" t="n">
        <x:v>27246</x:v>
      </x:c>
      <x:c r="B3612" s="5" t="d">
        <x:v>2016-02-02T00:00:00.000Z</x:v>
      </x:c>
      <x:c r="C3612" s="1" t="str">
        <x:v>Standard Class</x:v>
      </x:c>
      <x:c r="D3612" s="1" t="str">
        <x:v>Pacific Asia</x:v>
      </x:c>
      <x:c r="E3612" s="1" t="str">
        <x:v>CLOSED</x:v>
      </x:c>
      <x:c r="F3612" s="1" t="str">
        <x:v>Advance shipping</x:v>
      </x:c>
      <x:c r="G3612" s="6" t="n">
        <x:v>2</x:v>
      </x:c>
      <x:c r="H3612" s="6" t="n">
        <x:v>4</x:v>
      </x:c>
      <x:c r="I3612" s="6" t="n">
        <x:f>G3612-H3612</x:f>
        <x:v>-2</x:v>
      </x:c>
      <x:c r="J3612" s="6" t="n">
        <x:f>IF(OR(E3612="CANCELED",E3612="SUSPECTED_FRAUD",F3612="Shipping canceled"),0,1)</x:f>
        <x:v>1</x:v>
      </x:c>
      <x:c r="K3612" s="6" t="n">
        <x:f>IF(G3612&gt;H3612,1,0)</x:f>
        <x:v>0</x:v>
      </x:c>
      <x:c r="L3612" s="6" t="n">
        <x:f>J3612*K3612</x:f>
        <x:v>0</x:v>
      </x:c>
    </x:row>
    <x:row r="3613">
      <x:c r="A3613" s="1" t="n">
        <x:v>27255</x:v>
      </x:c>
      <x:c r="B3613" s="5" t="d">
        <x:v>2016-02-02T00:00:00.000Z</x:v>
      </x:c>
      <x:c r="C3613" s="1" t="str">
        <x:v>First Class</x:v>
      </x:c>
      <x:c r="D3613" s="1" t="str">
        <x:v>Pacific Asia</x:v>
      </x:c>
      <x:c r="E3613" s="1" t="str">
        <x:v>CLOSED</x:v>
      </x:c>
      <x:c r="F3613" s="1" t="str">
        <x:v>Late delivery</x:v>
      </x:c>
      <x:c r="G3613" s="6" t="n">
        <x:v>2</x:v>
      </x:c>
      <x:c r="H3613" s="6" t="n">
        <x:v>1</x:v>
      </x:c>
      <x:c r="I3613" s="6" t="n">
        <x:f>G3613-H3613</x:f>
        <x:v>1</x:v>
      </x:c>
      <x:c r="J3613" s="6" t="n">
        <x:f>IF(OR(E3613="CANCELED",E3613="SUSPECTED_FRAUD",F3613="Shipping canceled"),0,1)</x:f>
        <x:v>1</x:v>
      </x:c>
      <x:c r="K3613" s="6" t="n">
        <x:f>IF(G3613&gt;H3613,1,0)</x:f>
        <x:v>1</x:v>
      </x:c>
      <x:c r="L3613" s="6" t="n">
        <x:f>J3613*K3613</x:f>
        <x:v>1</x:v>
      </x:c>
    </x:row>
    <x:row r="3614">
      <x:c r="A3614" s="1" t="n">
        <x:v>27266</x:v>
      </x:c>
      <x:c r="B3614" s="5" t="d">
        <x:v>2016-02-03T00:00:00.000Z</x:v>
      </x:c>
      <x:c r="C3614" s="1" t="str">
        <x:v>First Class</x:v>
      </x:c>
      <x:c r="D3614" s="1" t="str">
        <x:v>Pacific Asia</x:v>
      </x:c>
      <x:c r="E3614" s="1" t="str">
        <x:v>CLOSED</x:v>
      </x:c>
      <x:c r="F3614" s="1" t="str">
        <x:v>Late delivery</x:v>
      </x:c>
      <x:c r="G3614" s="6" t="n">
        <x:v>2</x:v>
      </x:c>
      <x:c r="H3614" s="6" t="n">
        <x:v>1</x:v>
      </x:c>
      <x:c r="I3614" s="6" t="n">
        <x:f>G3614-H3614</x:f>
        <x:v>1</x:v>
      </x:c>
      <x:c r="J3614" s="6" t="n">
        <x:f>IF(OR(E3614="CANCELED",E3614="SUSPECTED_FRAUD",F3614="Shipping canceled"),0,1)</x:f>
        <x:v>1</x:v>
      </x:c>
      <x:c r="K3614" s="6" t="n">
        <x:f>IF(G3614&gt;H3614,1,0)</x:f>
        <x:v>1</x:v>
      </x:c>
      <x:c r="L3614" s="6" t="n">
        <x:f>J3614*K3614</x:f>
        <x:v>1</x:v>
      </x:c>
    </x:row>
    <x:row r="3615">
      <x:c r="A3615" s="1" t="n">
        <x:v>27276</x:v>
      </x:c>
      <x:c r="B3615" s="5" t="d">
        <x:v>2016-02-03T00:00:00.000Z</x:v>
      </x:c>
      <x:c r="C3615" s="1" t="str">
        <x:v>Standard Class</x:v>
      </x:c>
      <x:c r="D3615" s="1" t="str">
        <x:v>Pacific Asia</x:v>
      </x:c>
      <x:c r="E3615" s="1" t="str">
        <x:v>COMPLETE</x:v>
      </x:c>
      <x:c r="F3615" s="1" t="str">
        <x:v>Advance shipping</x:v>
      </x:c>
      <x:c r="G3615" s="6" t="n">
        <x:v>2</x:v>
      </x:c>
      <x:c r="H3615" s="6" t="n">
        <x:v>4</x:v>
      </x:c>
      <x:c r="I3615" s="6" t="n">
        <x:f>G3615-H3615</x:f>
        <x:v>-2</x:v>
      </x:c>
      <x:c r="J3615" s="6" t="n">
        <x:f>IF(OR(E3615="CANCELED",E3615="SUSPECTED_FRAUD",F3615="Shipping canceled"),0,1)</x:f>
        <x:v>1</x:v>
      </x:c>
      <x:c r="K3615" s="6" t="n">
        <x:f>IF(G3615&gt;H3615,1,0)</x:f>
        <x:v>0</x:v>
      </x:c>
      <x:c r="L3615" s="6" t="n">
        <x:f>J3615*K3615</x:f>
        <x:v>0</x:v>
      </x:c>
    </x:row>
    <x:row r="3616">
      <x:c r="A3616" s="1" t="n">
        <x:v>27286</x:v>
      </x:c>
      <x:c r="B3616" s="5" t="d">
        <x:v>2016-02-03T00:00:00.000Z</x:v>
      </x:c>
      <x:c r="C3616" s="1" t="str">
        <x:v>Standard Class</x:v>
      </x:c>
      <x:c r="D3616" s="1" t="str">
        <x:v>Pacific Asia</x:v>
      </x:c>
      <x:c r="E3616" s="1" t="str">
        <x:v>PROCESSING</x:v>
      </x:c>
      <x:c r="F3616" s="1" t="str">
        <x:v>Advance shipping</x:v>
      </x:c>
      <x:c r="G3616" s="6" t="n">
        <x:v>2</x:v>
      </x:c>
      <x:c r="H3616" s="6" t="n">
        <x:v>4</x:v>
      </x:c>
      <x:c r="I3616" s="6" t="n">
        <x:f>G3616-H3616</x:f>
        <x:v>-2</x:v>
      </x:c>
      <x:c r="J3616" s="6" t="n">
        <x:f>IF(OR(E3616="CANCELED",E3616="SUSPECTED_FRAUD",F3616="Shipping canceled"),0,1)</x:f>
        <x:v>1</x:v>
      </x:c>
      <x:c r="K3616" s="6" t="n">
        <x:f>IF(G3616&gt;H3616,1,0)</x:f>
        <x:v>0</x:v>
      </x:c>
      <x:c r="L3616" s="6" t="n">
        <x:f>J3616*K3616</x:f>
        <x:v>0</x:v>
      </x:c>
    </x:row>
    <x:row r="3617">
      <x:c r="A3617" s="1" t="n">
        <x:v>27289</x:v>
      </x:c>
      <x:c r="B3617" s="5" t="d">
        <x:v>2016-02-03T00:00:00.000Z</x:v>
      </x:c>
      <x:c r="C3617" s="1" t="str">
        <x:v>Standard Class</x:v>
      </x:c>
      <x:c r="D3617" s="1" t="str">
        <x:v>Pacific Asia</x:v>
      </x:c>
      <x:c r="E3617" s="1" t="str">
        <x:v>COMPLETE</x:v>
      </x:c>
      <x:c r="F3617" s="1" t="str">
        <x:v>Late delivery</x:v>
      </x:c>
      <x:c r="G3617" s="6" t="n">
        <x:v>5</x:v>
      </x:c>
      <x:c r="H3617" s="6" t="n">
        <x:v>4</x:v>
      </x:c>
      <x:c r="I3617" s="6" t="n">
        <x:f>G3617-H3617</x:f>
        <x:v>1</x:v>
      </x:c>
      <x:c r="J3617" s="6" t="n">
        <x:f>IF(OR(E3617="CANCELED",E3617="SUSPECTED_FRAUD",F3617="Shipping canceled"),0,1)</x:f>
        <x:v>1</x:v>
      </x:c>
      <x:c r="K3617" s="6" t="n">
        <x:f>IF(G3617&gt;H3617,1,0)</x:f>
        <x:v>1</x:v>
      </x:c>
      <x:c r="L3617" s="6" t="n">
        <x:f>J3617*K3617</x:f>
        <x:v>1</x:v>
      </x:c>
    </x:row>
    <x:row r="3618">
      <x:c r="A3618" s="1" t="n">
        <x:v>27300</x:v>
      </x:c>
      <x:c r="B3618" s="5" t="d">
        <x:v>2016-02-03T00:00:00.000Z</x:v>
      </x:c>
      <x:c r="C3618" s="1" t="str">
        <x:v>Standard Class</x:v>
      </x:c>
      <x:c r="D3618" s="1" t="str">
        <x:v>Pacific Asia</x:v>
      </x:c>
      <x:c r="E3618" s="1" t="str">
        <x:v>COMPLETE</x:v>
      </x:c>
      <x:c r="F3618" s="1" t="str">
        <x:v>Late delivery</x:v>
      </x:c>
      <x:c r="G3618" s="6" t="n">
        <x:v>6</x:v>
      </x:c>
      <x:c r="H3618" s="6" t="n">
        <x:v>4</x:v>
      </x:c>
      <x:c r="I3618" s="6" t="n">
        <x:f>G3618-H3618</x:f>
        <x:v>2</x:v>
      </x:c>
      <x:c r="J3618" s="6" t="n">
        <x:f>IF(OR(E3618="CANCELED",E3618="SUSPECTED_FRAUD",F3618="Shipping canceled"),0,1)</x:f>
        <x:v>1</x:v>
      </x:c>
      <x:c r="K3618" s="6" t="n">
        <x:f>IF(G3618&gt;H3618,1,0)</x:f>
        <x:v>1</x:v>
      </x:c>
      <x:c r="L3618" s="6" t="n">
        <x:f>J3618*K3618</x:f>
        <x:v>1</x:v>
      </x:c>
    </x:row>
    <x:row r="3619">
      <x:c r="A3619" s="1" t="n">
        <x:v>27304</x:v>
      </x:c>
      <x:c r="B3619" s="5" t="d">
        <x:v>2016-02-03T00:00:00.000Z</x:v>
      </x:c>
      <x:c r="C3619" s="1" t="str">
        <x:v>Standard Class</x:v>
      </x:c>
      <x:c r="D3619" s="1" t="str">
        <x:v>Pacific Asia</x:v>
      </x:c>
      <x:c r="E3619" s="1" t="str">
        <x:v>COMPLETE</x:v>
      </x:c>
      <x:c r="F3619" s="1" t="str">
        <x:v>Late delivery</x:v>
      </x:c>
      <x:c r="G3619" s="6" t="n">
        <x:v>5</x:v>
      </x:c>
      <x:c r="H3619" s="6" t="n">
        <x:v>4</x:v>
      </x:c>
      <x:c r="I3619" s="6" t="n">
        <x:f>G3619-H3619</x:f>
        <x:v>1</x:v>
      </x:c>
      <x:c r="J3619" s="6" t="n">
        <x:f>IF(OR(E3619="CANCELED",E3619="SUSPECTED_FRAUD",F3619="Shipping canceled"),0,1)</x:f>
        <x:v>1</x:v>
      </x:c>
      <x:c r="K3619" s="6" t="n">
        <x:f>IF(G3619&gt;H3619,1,0)</x:f>
        <x:v>1</x:v>
      </x:c>
      <x:c r="L3619" s="6" t="n">
        <x:f>J3619*K3619</x:f>
        <x:v>1</x:v>
      </x:c>
    </x:row>
    <x:row r="3620">
      <x:c r="A3620" s="1" t="n">
        <x:v>27307</x:v>
      </x:c>
      <x:c r="B3620" s="5" t="d">
        <x:v>2016-02-03T00:00:00.000Z</x:v>
      </x:c>
      <x:c r="C3620" s="1" t="str">
        <x:v>First Class</x:v>
      </x:c>
      <x:c r="D3620" s="1" t="str">
        <x:v>Pacific Asia</x:v>
      </x:c>
      <x:c r="E3620" s="1" t="str">
        <x:v>PROCESSING</x:v>
      </x:c>
      <x:c r="F3620" s="1" t="str">
        <x:v>Late delivery</x:v>
      </x:c>
      <x:c r="G3620" s="6" t="n">
        <x:v>2</x:v>
      </x:c>
      <x:c r="H3620" s="6" t="n">
        <x:v>1</x:v>
      </x:c>
      <x:c r="I3620" s="6" t="n">
        <x:f>G3620-H3620</x:f>
        <x:v>1</x:v>
      </x:c>
      <x:c r="J3620" s="6" t="n">
        <x:f>IF(OR(E3620="CANCELED",E3620="SUSPECTED_FRAUD",F3620="Shipping canceled"),0,1)</x:f>
        <x:v>1</x:v>
      </x:c>
      <x:c r="K3620" s="6" t="n">
        <x:f>IF(G3620&gt;H3620,1,0)</x:f>
        <x:v>1</x:v>
      </x:c>
      <x:c r="L3620" s="6" t="n">
        <x:f>J3620*K3620</x:f>
        <x:v>1</x:v>
      </x:c>
    </x:row>
    <x:row r="3621">
      <x:c r="A3621" s="1" t="n">
        <x:v>27311</x:v>
      </x:c>
      <x:c r="B3621" s="5" t="d">
        <x:v>2016-02-03T00:00:00.000Z</x:v>
      </x:c>
      <x:c r="C3621" s="1" t="str">
        <x:v>First Class</x:v>
      </x:c>
      <x:c r="D3621" s="1" t="str">
        <x:v>Pacific Asia</x:v>
      </x:c>
      <x:c r="E3621" s="1" t="str">
        <x:v>CLOSED</x:v>
      </x:c>
      <x:c r="F3621" s="1" t="str">
        <x:v>Late delivery</x:v>
      </x:c>
      <x:c r="G3621" s="6" t="n">
        <x:v>2</x:v>
      </x:c>
      <x:c r="H3621" s="6" t="n">
        <x:v>1</x:v>
      </x:c>
      <x:c r="I3621" s="6" t="n">
        <x:f>G3621-H3621</x:f>
        <x:v>1</x:v>
      </x:c>
      <x:c r="J3621" s="6" t="n">
        <x:f>IF(OR(E3621="CANCELED",E3621="SUSPECTED_FRAUD",F3621="Shipping canceled"),0,1)</x:f>
        <x:v>1</x:v>
      </x:c>
      <x:c r="K3621" s="6" t="n">
        <x:f>IF(G3621&gt;H3621,1,0)</x:f>
        <x:v>1</x:v>
      </x:c>
      <x:c r="L3621" s="6" t="n">
        <x:f>J3621*K3621</x:f>
        <x:v>1</x:v>
      </x:c>
    </x:row>
    <x:row r="3622">
      <x:c r="A3622" s="1" t="n">
        <x:v>27316</x:v>
      </x:c>
      <x:c r="B3622" s="5" t="d">
        <x:v>2016-02-03T00:00:00.000Z</x:v>
      </x:c>
      <x:c r="C3622" s="1" t="str">
        <x:v>Standard Class</x:v>
      </x:c>
      <x:c r="D3622" s="1" t="str">
        <x:v>Pacific Asia</x:v>
      </x:c>
      <x:c r="E3622" s="1" t="str">
        <x:v>PENDING</x:v>
      </x:c>
      <x:c r="F3622" s="1" t="str">
        <x:v>Advance shipping</x:v>
      </x:c>
      <x:c r="G3622" s="6" t="n">
        <x:v>2</x:v>
      </x:c>
      <x:c r="H3622" s="6" t="n">
        <x:v>4</x:v>
      </x:c>
      <x:c r="I3622" s="6" t="n">
        <x:f>G3622-H3622</x:f>
        <x:v>-2</x:v>
      </x:c>
      <x:c r="J3622" s="6" t="n">
        <x:f>IF(OR(E3622="CANCELED",E3622="SUSPECTED_FRAUD",F3622="Shipping canceled"),0,1)</x:f>
        <x:v>1</x:v>
      </x:c>
      <x:c r="K3622" s="6" t="n">
        <x:f>IF(G3622&gt;H3622,1,0)</x:f>
        <x:v>0</x:v>
      </x:c>
      <x:c r="L3622" s="6" t="n">
        <x:f>J3622*K3622</x:f>
        <x:v>0</x:v>
      </x:c>
    </x:row>
    <x:row r="3623">
      <x:c r="A3623" s="1" t="n">
        <x:v>27326</x:v>
      </x:c>
      <x:c r="B3623" s="5" t="d">
        <x:v>2016-02-03T00:00:00.000Z</x:v>
      </x:c>
      <x:c r="C3623" s="1" t="str">
        <x:v>Standard Class</x:v>
      </x:c>
      <x:c r="D3623" s="1" t="str">
        <x:v>Pacific Asia</x:v>
      </x:c>
      <x:c r="E3623" s="1" t="str">
        <x:v>ON_HOLD</x:v>
      </x:c>
      <x:c r="F3623" s="1" t="str">
        <x:v>Advance shipping</x:v>
      </x:c>
      <x:c r="G3623" s="6" t="n">
        <x:v>2</x:v>
      </x:c>
      <x:c r="H3623" s="6" t="n">
        <x:v>4</x:v>
      </x:c>
      <x:c r="I3623" s="6" t="n">
        <x:f>G3623-H3623</x:f>
        <x:v>-2</x:v>
      </x:c>
      <x:c r="J3623" s="6" t="n">
        <x:f>IF(OR(E3623="CANCELED",E3623="SUSPECTED_FRAUD",F3623="Shipping canceled"),0,1)</x:f>
        <x:v>1</x:v>
      </x:c>
      <x:c r="K3623" s="6" t="n">
        <x:f>IF(G3623&gt;H3623,1,0)</x:f>
        <x:v>0</x:v>
      </x:c>
      <x:c r="L3623" s="6" t="n">
        <x:f>J3623*K3623</x:f>
        <x:v>0</x:v>
      </x:c>
    </x:row>
    <x:row r="3624">
      <x:c r="A3624" s="1" t="n">
        <x:v>27329</x:v>
      </x:c>
      <x:c r="B3624" s="5" t="d">
        <x:v>2016-02-03T00:00:00.000Z</x:v>
      </x:c>
      <x:c r="C3624" s="1" t="str">
        <x:v>First Class</x:v>
      </x:c>
      <x:c r="D3624" s="1" t="str">
        <x:v>Pacific Asia</x:v>
      </x:c>
      <x:c r="E3624" s="1" t="str">
        <x:v>CLOSED</x:v>
      </x:c>
      <x:c r="F3624" s="1" t="str">
        <x:v>Late delivery</x:v>
      </x:c>
      <x:c r="G3624" s="6" t="n">
        <x:v>2</x:v>
      </x:c>
      <x:c r="H3624" s="6" t="n">
        <x:v>1</x:v>
      </x:c>
      <x:c r="I3624" s="6" t="n">
        <x:f>G3624-H3624</x:f>
        <x:v>1</x:v>
      </x:c>
      <x:c r="J3624" s="6" t="n">
        <x:f>IF(OR(E3624="CANCELED",E3624="SUSPECTED_FRAUD",F3624="Shipping canceled"),0,1)</x:f>
        <x:v>1</x:v>
      </x:c>
      <x:c r="K3624" s="6" t="n">
        <x:f>IF(G3624&gt;H3624,1,0)</x:f>
        <x:v>1</x:v>
      </x:c>
      <x:c r="L3624" s="6" t="n">
        <x:f>J3624*K3624</x:f>
        <x:v>1</x:v>
      </x:c>
    </x:row>
    <x:row r="3625">
      <x:c r="A3625" s="1" t="n">
        <x:v>27334</x:v>
      </x:c>
      <x:c r="B3625" s="5" t="d">
        <x:v>2016-02-03T00:00:00.000Z</x:v>
      </x:c>
      <x:c r="C3625" s="1" t="str">
        <x:v>First Class</x:v>
      </x:c>
      <x:c r="D3625" s="1" t="str">
        <x:v>Pacific Asia</x:v>
      </x:c>
      <x:c r="E3625" s="1" t="str">
        <x:v>SUSPECTED_FRAUD</x:v>
      </x:c>
      <x:c r="F3625" s="1" t="str">
        <x:v>Shipping canceled</x:v>
      </x:c>
      <x:c r="G3625" s="6" t="n">
        <x:v>2</x:v>
      </x:c>
      <x:c r="H3625" s="6" t="n">
        <x:v>1</x:v>
      </x:c>
      <x:c r="I3625" s="6" t="n">
        <x:f>G3625-H3625</x:f>
        <x:v>1</x:v>
      </x:c>
      <x:c r="J3625" s="6" t="n">
        <x:f>IF(OR(E3625="CANCELED",E3625="SUSPECTED_FRAUD",F3625="Shipping canceled"),0,1)</x:f>
        <x:v>0</x:v>
      </x:c>
      <x:c r="K3625" s="6" t="n">
        <x:f>IF(G3625&gt;H3625,1,0)</x:f>
        <x:v>1</x:v>
      </x:c>
      <x:c r="L3625" s="6" t="n">
        <x:f>J3625*K3625</x:f>
        <x:v>0</x:v>
      </x:c>
    </x:row>
    <x:row r="3626">
      <x:c r="A3626" s="1" t="n">
        <x:v>27357</x:v>
      </x:c>
      <x:c r="B3626" s="5" t="d">
        <x:v>2016-02-04T00:00:00.000Z</x:v>
      </x:c>
      <x:c r="C3626" s="1" t="str">
        <x:v>Standard Class</x:v>
      </x:c>
      <x:c r="D3626" s="1" t="str">
        <x:v>Pacific Asia</x:v>
      </x:c>
      <x:c r="E3626" s="1" t="str">
        <x:v>COMPLETE</x:v>
      </x:c>
      <x:c r="F3626" s="1" t="str">
        <x:v>Advance shipping</x:v>
      </x:c>
      <x:c r="G3626" s="6" t="n">
        <x:v>3</x:v>
      </x:c>
      <x:c r="H3626" s="6" t="n">
        <x:v>4</x:v>
      </x:c>
      <x:c r="I3626" s="6" t="n">
        <x:f>G3626-H3626</x:f>
        <x:v>-1</x:v>
      </x:c>
      <x:c r="J3626" s="6" t="n">
        <x:f>IF(OR(E3626="CANCELED",E3626="SUSPECTED_FRAUD",F3626="Shipping canceled"),0,1)</x:f>
        <x:v>1</x:v>
      </x:c>
      <x:c r="K3626" s="6" t="n">
        <x:f>IF(G3626&gt;H3626,1,0)</x:f>
        <x:v>0</x:v>
      </x:c>
      <x:c r="L3626" s="6" t="n">
        <x:f>J3626*K3626</x:f>
        <x:v>0</x:v>
      </x:c>
    </x:row>
    <x:row r="3627">
      <x:c r="A3627" s="1" t="n">
        <x:v>27359</x:v>
      </x:c>
      <x:c r="B3627" s="5" t="d">
        <x:v>2016-02-04T00:00:00.000Z</x:v>
      </x:c>
      <x:c r="C3627" s="1" t="str">
        <x:v>Standard Class</x:v>
      </x:c>
      <x:c r="D3627" s="1" t="str">
        <x:v>Pacific Asia</x:v>
      </x:c>
      <x:c r="E3627" s="1" t="str">
        <x:v>COMPLETE</x:v>
      </x:c>
      <x:c r="F3627" s="1" t="str">
        <x:v>Late delivery</x:v>
      </x:c>
      <x:c r="G3627" s="6" t="n">
        <x:v>5</x:v>
      </x:c>
      <x:c r="H3627" s="6" t="n">
        <x:v>4</x:v>
      </x:c>
      <x:c r="I3627" s="6" t="n">
        <x:f>G3627-H3627</x:f>
        <x:v>1</x:v>
      </x:c>
      <x:c r="J3627" s="6" t="n">
        <x:f>IF(OR(E3627="CANCELED",E3627="SUSPECTED_FRAUD",F3627="Shipping canceled"),0,1)</x:f>
        <x:v>1</x:v>
      </x:c>
      <x:c r="K3627" s="6" t="n">
        <x:f>IF(G3627&gt;H3627,1,0)</x:f>
        <x:v>1</x:v>
      </x:c>
      <x:c r="L3627" s="6" t="n">
        <x:f>J3627*K3627</x:f>
        <x:v>1</x:v>
      </x:c>
    </x:row>
    <x:row r="3628">
      <x:c r="A3628" s="1" t="n">
        <x:v>27363</x:v>
      </x:c>
      <x:c r="B3628" s="5" t="d">
        <x:v>2016-02-04T00:00:00.000Z</x:v>
      </x:c>
      <x:c r="C3628" s="1" t="str">
        <x:v>Standard Class</x:v>
      </x:c>
      <x:c r="D3628" s="1" t="str">
        <x:v>Pacific Asia</x:v>
      </x:c>
      <x:c r="E3628" s="1" t="str">
        <x:v>CLOSED</x:v>
      </x:c>
      <x:c r="F3628" s="1" t="str">
        <x:v>Shipping on time</x:v>
      </x:c>
      <x:c r="G3628" s="6" t="n">
        <x:v>4</x:v>
      </x:c>
      <x:c r="H3628" s="6" t="n">
        <x:v>4</x:v>
      </x:c>
      <x:c r="I3628" s="6" t="n">
        <x:f>G3628-H3628</x:f>
        <x:v>0</x:v>
      </x:c>
      <x:c r="J3628" s="6" t="n">
        <x:f>IF(OR(E3628="CANCELED",E3628="SUSPECTED_FRAUD",F3628="Shipping canceled"),0,1)</x:f>
        <x:v>1</x:v>
      </x:c>
      <x:c r="K3628" s="6" t="n">
        <x:f>IF(G3628&gt;H3628,1,0)</x:f>
        <x:v>0</x:v>
      </x:c>
      <x:c r="L3628" s="6" t="n">
        <x:f>J3628*K3628</x:f>
        <x:v>0</x:v>
      </x:c>
    </x:row>
    <x:row r="3629">
      <x:c r="A3629" s="1" t="n">
        <x:v>27365</x:v>
      </x:c>
      <x:c r="B3629" s="5" t="d">
        <x:v>2016-02-04T00:00:00.000Z</x:v>
      </x:c>
      <x:c r="C3629" s="1" t="str">
        <x:v>Standard Class</x:v>
      </x:c>
      <x:c r="D3629" s="1" t="str">
        <x:v>Pacific Asia</x:v>
      </x:c>
      <x:c r="E3629" s="1" t="str">
        <x:v>CLOSED</x:v>
      </x:c>
      <x:c r="F3629" s="1" t="str">
        <x:v>Late delivery</x:v>
      </x:c>
      <x:c r="G3629" s="6" t="n">
        <x:v>6</x:v>
      </x:c>
      <x:c r="H3629" s="6" t="n">
        <x:v>4</x:v>
      </x:c>
      <x:c r="I3629" s="6" t="n">
        <x:f>G3629-H3629</x:f>
        <x:v>2</x:v>
      </x:c>
      <x:c r="J3629" s="6" t="n">
        <x:f>IF(OR(E3629="CANCELED",E3629="SUSPECTED_FRAUD",F3629="Shipping canceled"),0,1)</x:f>
        <x:v>1</x:v>
      </x:c>
      <x:c r="K3629" s="6" t="n">
        <x:f>IF(G3629&gt;H3629,1,0)</x:f>
        <x:v>1</x:v>
      </x:c>
      <x:c r="L3629" s="6" t="n">
        <x:f>J3629*K3629</x:f>
        <x:v>1</x:v>
      </x:c>
    </x:row>
    <x:row r="3630">
      <x:c r="A3630" s="1" t="n">
        <x:v>27388</x:v>
      </x:c>
      <x:c r="B3630" s="5" t="d">
        <x:v>2016-02-04T00:00:00.000Z</x:v>
      </x:c>
      <x:c r="C3630" s="1" t="str">
        <x:v>Standard Class</x:v>
      </x:c>
      <x:c r="D3630" s="1" t="str">
        <x:v>Pacific Asia</x:v>
      </x:c>
      <x:c r="E3630" s="1" t="str">
        <x:v>PROCESSING</x:v>
      </x:c>
      <x:c r="F3630" s="1" t="str">
        <x:v>Shipping on time</x:v>
      </x:c>
      <x:c r="G3630" s="6" t="n">
        <x:v>4</x:v>
      </x:c>
      <x:c r="H3630" s="6" t="n">
        <x:v>4</x:v>
      </x:c>
      <x:c r="I3630" s="6" t="n">
        <x:f>G3630-H3630</x:f>
        <x:v>0</x:v>
      </x:c>
      <x:c r="J3630" s="6" t="n">
        <x:f>IF(OR(E3630="CANCELED",E3630="SUSPECTED_FRAUD",F3630="Shipping canceled"),0,1)</x:f>
        <x:v>1</x:v>
      </x:c>
      <x:c r="K3630" s="6" t="n">
        <x:f>IF(G3630&gt;H3630,1,0)</x:f>
        <x:v>0</x:v>
      </x:c>
      <x:c r="L3630" s="6" t="n">
        <x:f>J3630*K3630</x:f>
        <x:v>0</x:v>
      </x:c>
    </x:row>
    <x:row r="3631">
      <x:c r="A3631" s="1" t="n">
        <x:v>27399</x:v>
      </x:c>
      <x:c r="B3631" s="5" t="d">
        <x:v>2016-02-04T00:00:00.000Z</x:v>
      </x:c>
      <x:c r="C3631" s="1" t="str">
        <x:v>Standard Class</x:v>
      </x:c>
      <x:c r="D3631" s="1" t="str">
        <x:v>Pacific Asia</x:v>
      </x:c>
      <x:c r="E3631" s="1" t="str">
        <x:v>COMPLETE</x:v>
      </x:c>
      <x:c r="F3631" s="1" t="str">
        <x:v>Late delivery</x:v>
      </x:c>
      <x:c r="G3631" s="6" t="n">
        <x:v>5</x:v>
      </x:c>
      <x:c r="H3631" s="6" t="n">
        <x:v>4</x:v>
      </x:c>
      <x:c r="I3631" s="6" t="n">
        <x:f>G3631-H3631</x:f>
        <x:v>1</x:v>
      </x:c>
      <x:c r="J3631" s="6" t="n">
        <x:f>IF(OR(E3631="CANCELED",E3631="SUSPECTED_FRAUD",F3631="Shipping canceled"),0,1)</x:f>
        <x:v>1</x:v>
      </x:c>
      <x:c r="K3631" s="6" t="n">
        <x:f>IF(G3631&gt;H3631,1,0)</x:f>
        <x:v>1</x:v>
      </x:c>
      <x:c r="L3631" s="6" t="n">
        <x:f>J3631*K3631</x:f>
        <x:v>1</x:v>
      </x:c>
    </x:row>
    <x:row r="3632">
      <x:c r="A3632" s="1" t="n">
        <x:v>27409</x:v>
      </x:c>
      <x:c r="B3632" s="5" t="d">
        <x:v>2016-02-05T00:00:00.000Z</x:v>
      </x:c>
      <x:c r="C3632" s="1" t="str">
        <x:v>Standard Class</x:v>
      </x:c>
      <x:c r="D3632" s="1" t="str">
        <x:v>Pacific Asia</x:v>
      </x:c>
      <x:c r="E3632" s="1" t="str">
        <x:v>PENDING_PAYMENT</x:v>
      </x:c>
      <x:c r="F3632" s="1" t="str">
        <x:v>Late delivery</x:v>
      </x:c>
      <x:c r="G3632" s="6" t="n">
        <x:v>5</x:v>
      </x:c>
      <x:c r="H3632" s="6" t="n">
        <x:v>4</x:v>
      </x:c>
      <x:c r="I3632" s="6" t="n">
        <x:f>G3632-H3632</x:f>
        <x:v>1</x:v>
      </x:c>
      <x:c r="J3632" s="6" t="n">
        <x:f>IF(OR(E3632="CANCELED",E3632="SUSPECTED_FRAUD",F3632="Shipping canceled"),0,1)</x:f>
        <x:v>1</x:v>
      </x:c>
      <x:c r="K3632" s="6" t="n">
        <x:f>IF(G3632&gt;H3632,1,0)</x:f>
        <x:v>1</x:v>
      </x:c>
      <x:c r="L3632" s="6" t="n">
        <x:f>J3632*K3632</x:f>
        <x:v>1</x:v>
      </x:c>
    </x:row>
    <x:row r="3633">
      <x:c r="A3633" s="1" t="n">
        <x:v>27437</x:v>
      </x:c>
      <x:c r="B3633" s="5" t="d">
        <x:v>2016-02-05T00:00:00.000Z</x:v>
      </x:c>
      <x:c r="C3633" s="1" t="str">
        <x:v>Standard Class</x:v>
      </x:c>
      <x:c r="D3633" s="1" t="str">
        <x:v>Pacific Asia</x:v>
      </x:c>
      <x:c r="E3633" s="1" t="str">
        <x:v>PENDING</x:v>
      </x:c>
      <x:c r="F3633" s="1" t="str">
        <x:v>Advance shipping</x:v>
      </x:c>
      <x:c r="G3633" s="6" t="n">
        <x:v>3</x:v>
      </x:c>
      <x:c r="H3633" s="6" t="n">
        <x:v>4</x:v>
      </x:c>
      <x:c r="I3633" s="6" t="n">
        <x:f>G3633-H3633</x:f>
        <x:v>-1</x:v>
      </x:c>
      <x:c r="J3633" s="6" t="n">
        <x:f>IF(OR(E3633="CANCELED",E3633="SUSPECTED_FRAUD",F3633="Shipping canceled"),0,1)</x:f>
        <x:v>1</x:v>
      </x:c>
      <x:c r="K3633" s="6" t="n">
        <x:f>IF(G3633&gt;H3633,1,0)</x:f>
        <x:v>0</x:v>
      </x:c>
      <x:c r="L3633" s="6" t="n">
        <x:f>J3633*K3633</x:f>
        <x:v>0</x:v>
      </x:c>
    </x:row>
    <x:row r="3634">
      <x:c r="A3634" s="1" t="n">
        <x:v>27440</x:v>
      </x:c>
      <x:c r="B3634" s="5" t="d">
        <x:v>2016-02-05T00:00:00.000Z</x:v>
      </x:c>
      <x:c r="C3634" s="1" t="str">
        <x:v>Standard Class</x:v>
      </x:c>
      <x:c r="D3634" s="1" t="str">
        <x:v>Pacific Asia</x:v>
      </x:c>
      <x:c r="E3634" s="1" t="str">
        <x:v>PROCESSING</x:v>
      </x:c>
      <x:c r="F3634" s="1" t="str">
        <x:v>Late delivery</x:v>
      </x:c>
      <x:c r="G3634" s="6" t="n">
        <x:v>6</x:v>
      </x:c>
      <x:c r="H3634" s="6" t="n">
        <x:v>4</x:v>
      </x:c>
      <x:c r="I3634" s="6" t="n">
        <x:f>G3634-H3634</x:f>
        <x:v>2</x:v>
      </x:c>
      <x:c r="J3634" s="6" t="n">
        <x:f>IF(OR(E3634="CANCELED",E3634="SUSPECTED_FRAUD",F3634="Shipping canceled"),0,1)</x:f>
        <x:v>1</x:v>
      </x:c>
      <x:c r="K3634" s="6" t="n">
        <x:f>IF(G3634&gt;H3634,1,0)</x:f>
        <x:v>1</x:v>
      </x:c>
      <x:c r="L3634" s="6" t="n">
        <x:f>J3634*K3634</x:f>
        <x:v>1</x:v>
      </x:c>
    </x:row>
    <x:row r="3635">
      <x:c r="A3635" s="1" t="n">
        <x:v>27450</x:v>
      </x:c>
      <x:c r="B3635" s="5" t="d">
        <x:v>2016-02-05T00:00:00.000Z</x:v>
      </x:c>
      <x:c r="C3635" s="1" t="str">
        <x:v>Standard Class</x:v>
      </x:c>
      <x:c r="D3635" s="1" t="str">
        <x:v>Pacific Asia</x:v>
      </x:c>
      <x:c r="E3635" s="1" t="str">
        <x:v>PROCESSING</x:v>
      </x:c>
      <x:c r="F3635" s="1" t="str">
        <x:v>Late delivery</x:v>
      </x:c>
      <x:c r="G3635" s="6" t="n">
        <x:v>6</x:v>
      </x:c>
      <x:c r="H3635" s="6" t="n">
        <x:v>4</x:v>
      </x:c>
      <x:c r="I3635" s="6" t="n">
        <x:f>G3635-H3635</x:f>
        <x:v>2</x:v>
      </x:c>
      <x:c r="J3635" s="6" t="n">
        <x:f>IF(OR(E3635="CANCELED",E3635="SUSPECTED_FRAUD",F3635="Shipping canceled"),0,1)</x:f>
        <x:v>1</x:v>
      </x:c>
      <x:c r="K3635" s="6" t="n">
        <x:f>IF(G3635&gt;H3635,1,0)</x:f>
        <x:v>1</x:v>
      </x:c>
      <x:c r="L3635" s="6" t="n">
        <x:f>J3635*K3635</x:f>
        <x:v>1</x:v>
      </x:c>
    </x:row>
    <x:row r="3636">
      <x:c r="A3636" s="1" t="n">
        <x:v>27456</x:v>
      </x:c>
      <x:c r="B3636" s="5" t="d">
        <x:v>2016-02-05T00:00:00.000Z</x:v>
      </x:c>
      <x:c r="C3636" s="1" t="str">
        <x:v>Second Class</x:v>
      </x:c>
      <x:c r="D3636" s="1" t="str">
        <x:v>Pacific Asia</x:v>
      </x:c>
      <x:c r="E3636" s="1" t="str">
        <x:v>PROCESSING</x:v>
      </x:c>
      <x:c r="F3636" s="1" t="str">
        <x:v>Shipping on time</x:v>
      </x:c>
      <x:c r="G3636" s="6" t="n">
        <x:v>2</x:v>
      </x:c>
      <x:c r="H3636" s="6" t="n">
        <x:v>2</x:v>
      </x:c>
      <x:c r="I3636" s="6" t="n">
        <x:f>G3636-H3636</x:f>
        <x:v>0</x:v>
      </x:c>
      <x:c r="J3636" s="6" t="n">
        <x:f>IF(OR(E3636="CANCELED",E3636="SUSPECTED_FRAUD",F3636="Shipping canceled"),0,1)</x:f>
        <x:v>1</x:v>
      </x:c>
      <x:c r="K3636" s="6" t="n">
        <x:f>IF(G3636&gt;H3636,1,0)</x:f>
        <x:v>0</x:v>
      </x:c>
      <x:c r="L3636" s="6" t="n">
        <x:f>J3636*K3636</x:f>
        <x:v>0</x:v>
      </x:c>
    </x:row>
    <x:row r="3637">
      <x:c r="A3637" s="1" t="n">
        <x:v>27457</x:v>
      </x:c>
      <x:c r="B3637" s="5" t="d">
        <x:v>2016-02-05T00:00:00.000Z</x:v>
      </x:c>
      <x:c r="C3637" s="1" t="str">
        <x:v>Standard Class</x:v>
      </x:c>
      <x:c r="D3637" s="1" t="str">
        <x:v>Pacific Asia</x:v>
      </x:c>
      <x:c r="E3637" s="1" t="str">
        <x:v>COMPLETE</x:v>
      </x:c>
      <x:c r="F3637" s="1" t="str">
        <x:v>Advance shipping</x:v>
      </x:c>
      <x:c r="G3637" s="6" t="n">
        <x:v>3</x:v>
      </x:c>
      <x:c r="H3637" s="6" t="n">
        <x:v>4</x:v>
      </x:c>
      <x:c r="I3637" s="6" t="n">
        <x:f>G3637-H3637</x:f>
        <x:v>-1</x:v>
      </x:c>
      <x:c r="J3637" s="6" t="n">
        <x:f>IF(OR(E3637="CANCELED",E3637="SUSPECTED_FRAUD",F3637="Shipping canceled"),0,1)</x:f>
        <x:v>1</x:v>
      </x:c>
      <x:c r="K3637" s="6" t="n">
        <x:f>IF(G3637&gt;H3637,1,0)</x:f>
        <x:v>0</x:v>
      </x:c>
      <x:c r="L3637" s="6" t="n">
        <x:f>J3637*K3637</x:f>
        <x:v>0</x:v>
      </x:c>
    </x:row>
    <x:row r="3638">
      <x:c r="A3638" s="1" t="n">
        <x:v>27460</x:v>
      </x:c>
      <x:c r="B3638" s="5" t="d">
        <x:v>2016-02-05T00:00:00.000Z</x:v>
      </x:c>
      <x:c r="C3638" s="1" t="str">
        <x:v>Standard Class</x:v>
      </x:c>
      <x:c r="D3638" s="1" t="str">
        <x:v>Pacific Asia</x:v>
      </x:c>
      <x:c r="E3638" s="1" t="str">
        <x:v>PENDING_PAYMENT</x:v>
      </x:c>
      <x:c r="F3638" s="1" t="str">
        <x:v>Late delivery</x:v>
      </x:c>
      <x:c r="G3638" s="6" t="n">
        <x:v>6</x:v>
      </x:c>
      <x:c r="H3638" s="6" t="n">
        <x:v>4</x:v>
      </x:c>
      <x:c r="I3638" s="6" t="n">
        <x:f>G3638-H3638</x:f>
        <x:v>2</x:v>
      </x:c>
      <x:c r="J3638" s="6" t="n">
        <x:f>IF(OR(E3638="CANCELED",E3638="SUSPECTED_FRAUD",F3638="Shipping canceled"),0,1)</x:f>
        <x:v>1</x:v>
      </x:c>
      <x:c r="K3638" s="6" t="n">
        <x:f>IF(G3638&gt;H3638,1,0)</x:f>
        <x:v>1</x:v>
      </x:c>
      <x:c r="L3638" s="6" t="n">
        <x:f>J3638*K3638</x:f>
        <x:v>1</x:v>
      </x:c>
    </x:row>
    <x:row r="3639">
      <x:c r="A3639" s="1" t="n">
        <x:v>27464</x:v>
      </x:c>
      <x:c r="B3639" s="5" t="d">
        <x:v>2016-02-05T00:00:00.000Z</x:v>
      </x:c>
      <x:c r="C3639" s="1" t="str">
        <x:v>Second Class</x:v>
      </x:c>
      <x:c r="D3639" s="1" t="str">
        <x:v>Pacific Asia</x:v>
      </x:c>
      <x:c r="E3639" s="1" t="str">
        <x:v>COMPLETE</x:v>
      </x:c>
      <x:c r="F3639" s="1" t="str">
        <x:v>Late delivery</x:v>
      </x:c>
      <x:c r="G3639" s="6" t="n">
        <x:v>5</x:v>
      </x:c>
      <x:c r="H3639" s="6" t="n">
        <x:v>2</x:v>
      </x:c>
      <x:c r="I3639" s="6" t="n">
        <x:f>G3639-H3639</x:f>
        <x:v>3</x:v>
      </x:c>
      <x:c r="J3639" s="6" t="n">
        <x:f>IF(OR(E3639="CANCELED",E3639="SUSPECTED_FRAUD",F3639="Shipping canceled"),0,1)</x:f>
        <x:v>1</x:v>
      </x:c>
      <x:c r="K3639" s="6" t="n">
        <x:f>IF(G3639&gt;H3639,1,0)</x:f>
        <x:v>1</x:v>
      </x:c>
      <x:c r="L3639" s="6" t="n">
        <x:f>J3639*K3639</x:f>
        <x:v>1</x:v>
      </x:c>
    </x:row>
    <x:row r="3640">
      <x:c r="A3640" s="1" t="n">
        <x:v>27478</x:v>
      </x:c>
      <x:c r="B3640" s="5" t="d">
        <x:v>2016-02-06T00:00:00.000Z</x:v>
      </x:c>
      <x:c r="C3640" s="1" t="str">
        <x:v>Standard Class</x:v>
      </x:c>
      <x:c r="D3640" s="1" t="str">
        <x:v>Pacific Asia</x:v>
      </x:c>
      <x:c r="E3640" s="1" t="str">
        <x:v>COMPLETE</x:v>
      </x:c>
      <x:c r="F3640" s="1" t="str">
        <x:v>Shipping on time</x:v>
      </x:c>
      <x:c r="G3640" s="6" t="n">
        <x:v>4</x:v>
      </x:c>
      <x:c r="H3640" s="6" t="n">
        <x:v>4</x:v>
      </x:c>
      <x:c r="I3640" s="6" t="n">
        <x:f>G3640-H3640</x:f>
        <x:v>0</x:v>
      </x:c>
      <x:c r="J3640" s="6" t="n">
        <x:f>IF(OR(E3640="CANCELED",E3640="SUSPECTED_FRAUD",F3640="Shipping canceled"),0,1)</x:f>
        <x:v>1</x:v>
      </x:c>
      <x:c r="K3640" s="6" t="n">
        <x:f>IF(G3640&gt;H3640,1,0)</x:f>
        <x:v>0</x:v>
      </x:c>
      <x:c r="L3640" s="6" t="n">
        <x:f>J3640*K3640</x:f>
        <x:v>0</x:v>
      </x:c>
    </x:row>
    <x:row r="3641">
      <x:c r="A3641" s="1" t="n">
        <x:v>27484</x:v>
      </x:c>
      <x:c r="B3641" s="5" t="d">
        <x:v>2016-02-06T00:00:00.000Z</x:v>
      </x:c>
      <x:c r="C3641" s="1" t="str">
        <x:v>Standard Class</x:v>
      </x:c>
      <x:c r="D3641" s="1" t="str">
        <x:v>Pacific Asia</x:v>
      </x:c>
      <x:c r="E3641" s="1" t="str">
        <x:v>COMPLETE</x:v>
      </x:c>
      <x:c r="F3641" s="1" t="str">
        <x:v>Late delivery</x:v>
      </x:c>
      <x:c r="G3641" s="6" t="n">
        <x:v>5</x:v>
      </x:c>
      <x:c r="H3641" s="6" t="n">
        <x:v>4</x:v>
      </x:c>
      <x:c r="I3641" s="6" t="n">
        <x:f>G3641-H3641</x:f>
        <x:v>1</x:v>
      </x:c>
      <x:c r="J3641" s="6" t="n">
        <x:f>IF(OR(E3641="CANCELED",E3641="SUSPECTED_FRAUD",F3641="Shipping canceled"),0,1)</x:f>
        <x:v>1</x:v>
      </x:c>
      <x:c r="K3641" s="6" t="n">
        <x:f>IF(G3641&gt;H3641,1,0)</x:f>
        <x:v>1</x:v>
      </x:c>
      <x:c r="L3641" s="6" t="n">
        <x:f>J3641*K3641</x:f>
        <x:v>1</x:v>
      </x:c>
    </x:row>
    <x:row r="3642">
      <x:c r="A3642" s="1" t="n">
        <x:v>27490</x:v>
      </x:c>
      <x:c r="B3642" s="5" t="d">
        <x:v>2016-02-06T00:00:00.000Z</x:v>
      </x:c>
      <x:c r="C3642" s="1" t="str">
        <x:v>Standard Class</x:v>
      </x:c>
      <x:c r="D3642" s="1" t="str">
        <x:v>Pacific Asia</x:v>
      </x:c>
      <x:c r="E3642" s="1" t="str">
        <x:v>ON_HOLD</x:v>
      </x:c>
      <x:c r="F3642" s="1" t="str">
        <x:v>Late delivery</x:v>
      </x:c>
      <x:c r="G3642" s="6" t="n">
        <x:v>6</x:v>
      </x:c>
      <x:c r="H3642" s="6" t="n">
        <x:v>4</x:v>
      </x:c>
      <x:c r="I3642" s="6" t="n">
        <x:f>G3642-H3642</x:f>
        <x:v>2</x:v>
      </x:c>
      <x:c r="J3642" s="6" t="n">
        <x:f>IF(OR(E3642="CANCELED",E3642="SUSPECTED_FRAUD",F3642="Shipping canceled"),0,1)</x:f>
        <x:v>1</x:v>
      </x:c>
      <x:c r="K3642" s="6" t="n">
        <x:f>IF(G3642&gt;H3642,1,0)</x:f>
        <x:v>1</x:v>
      </x:c>
      <x:c r="L3642" s="6" t="n">
        <x:f>J3642*K3642</x:f>
        <x:v>1</x:v>
      </x:c>
    </x:row>
    <x:row r="3643">
      <x:c r="A3643" s="1" t="n">
        <x:v>27503</x:v>
      </x:c>
      <x:c r="B3643" s="5" t="d">
        <x:v>2016-02-06T00:00:00.000Z</x:v>
      </x:c>
      <x:c r="C3643" s="1" t="str">
        <x:v>Standard Class</x:v>
      </x:c>
      <x:c r="D3643" s="1" t="str">
        <x:v>Pacific Asia</x:v>
      </x:c>
      <x:c r="E3643" s="1" t="str">
        <x:v>COMPLETE</x:v>
      </x:c>
      <x:c r="F3643" s="1" t="str">
        <x:v>Shipping on time</x:v>
      </x:c>
      <x:c r="G3643" s="6" t="n">
        <x:v>4</x:v>
      </x:c>
      <x:c r="H3643" s="6" t="n">
        <x:v>4</x:v>
      </x:c>
      <x:c r="I3643" s="6" t="n">
        <x:f>G3643-H3643</x:f>
        <x:v>0</x:v>
      </x:c>
      <x:c r="J3643" s="6" t="n">
        <x:f>IF(OR(E3643="CANCELED",E3643="SUSPECTED_FRAUD",F3643="Shipping canceled"),0,1)</x:f>
        <x:v>1</x:v>
      </x:c>
      <x:c r="K3643" s="6" t="n">
        <x:f>IF(G3643&gt;H3643,1,0)</x:f>
        <x:v>0</x:v>
      </x:c>
      <x:c r="L3643" s="6" t="n">
        <x:f>J3643*K3643</x:f>
        <x:v>0</x:v>
      </x:c>
    </x:row>
    <x:row r="3644">
      <x:c r="A3644" s="1" t="n">
        <x:v>27505</x:v>
      </x:c>
      <x:c r="B3644" s="5" t="d">
        <x:v>2016-02-06T00:00:00.000Z</x:v>
      </x:c>
      <x:c r="C3644" s="1" t="str">
        <x:v>Standard Class</x:v>
      </x:c>
      <x:c r="D3644" s="1" t="str">
        <x:v>Pacific Asia</x:v>
      </x:c>
      <x:c r="E3644" s="1" t="str">
        <x:v>PENDING_PAYMENT</x:v>
      </x:c>
      <x:c r="F3644" s="1" t="str">
        <x:v>Late delivery</x:v>
      </x:c>
      <x:c r="G3644" s="6" t="n">
        <x:v>6</x:v>
      </x:c>
      <x:c r="H3644" s="6" t="n">
        <x:v>4</x:v>
      </x:c>
      <x:c r="I3644" s="6" t="n">
        <x:f>G3644-H3644</x:f>
        <x:v>2</x:v>
      </x:c>
      <x:c r="J3644" s="6" t="n">
        <x:f>IF(OR(E3644="CANCELED",E3644="SUSPECTED_FRAUD",F3644="Shipping canceled"),0,1)</x:f>
        <x:v>1</x:v>
      </x:c>
      <x:c r="K3644" s="6" t="n">
        <x:f>IF(G3644&gt;H3644,1,0)</x:f>
        <x:v>1</x:v>
      </x:c>
      <x:c r="L3644" s="6" t="n">
        <x:f>J3644*K3644</x:f>
        <x:v>1</x:v>
      </x:c>
    </x:row>
    <x:row r="3645">
      <x:c r="A3645" s="1" t="n">
        <x:v>27511</x:v>
      </x:c>
      <x:c r="B3645" s="5" t="d">
        <x:v>2016-02-06T00:00:00.000Z</x:v>
      </x:c>
      <x:c r="C3645" s="1" t="str">
        <x:v>Standard Class</x:v>
      </x:c>
      <x:c r="D3645" s="1" t="str">
        <x:v>Pacific Asia</x:v>
      </x:c>
      <x:c r="E3645" s="1" t="str">
        <x:v>ON_HOLD</x:v>
      </x:c>
      <x:c r="F3645" s="1" t="str">
        <x:v>Advance shipping</x:v>
      </x:c>
      <x:c r="G3645" s="6" t="n">
        <x:v>2</x:v>
      </x:c>
      <x:c r="H3645" s="6" t="n">
        <x:v>4</x:v>
      </x:c>
      <x:c r="I3645" s="6" t="n">
        <x:f>G3645-H3645</x:f>
        <x:v>-2</x:v>
      </x:c>
      <x:c r="J3645" s="6" t="n">
        <x:f>IF(OR(E3645="CANCELED",E3645="SUSPECTED_FRAUD",F3645="Shipping canceled"),0,1)</x:f>
        <x:v>1</x:v>
      </x:c>
      <x:c r="K3645" s="6" t="n">
        <x:f>IF(G3645&gt;H3645,1,0)</x:f>
        <x:v>0</x:v>
      </x:c>
      <x:c r="L3645" s="6" t="n">
        <x:f>J3645*K3645</x:f>
        <x:v>0</x:v>
      </x:c>
    </x:row>
    <x:row r="3646">
      <x:c r="A3646" s="1" t="n">
        <x:v>27516</x:v>
      </x:c>
      <x:c r="B3646" s="5" t="d">
        <x:v>2016-02-06T00:00:00.000Z</x:v>
      </x:c>
      <x:c r="C3646" s="1" t="str">
        <x:v>Standard Class</x:v>
      </x:c>
      <x:c r="D3646" s="1" t="str">
        <x:v>Pacific Asia</x:v>
      </x:c>
      <x:c r="E3646" s="1" t="str">
        <x:v>COMPLETE</x:v>
      </x:c>
      <x:c r="F3646" s="1" t="str">
        <x:v>Advance shipping</x:v>
      </x:c>
      <x:c r="G3646" s="6" t="n">
        <x:v>2</x:v>
      </x:c>
      <x:c r="H3646" s="6" t="n">
        <x:v>4</x:v>
      </x:c>
      <x:c r="I3646" s="6" t="n">
        <x:f>G3646-H3646</x:f>
        <x:v>-2</x:v>
      </x:c>
      <x:c r="J3646" s="6" t="n">
        <x:f>IF(OR(E3646="CANCELED",E3646="SUSPECTED_FRAUD",F3646="Shipping canceled"),0,1)</x:f>
        <x:v>1</x:v>
      </x:c>
      <x:c r="K3646" s="6" t="n">
        <x:f>IF(G3646&gt;H3646,1,0)</x:f>
        <x:v>0</x:v>
      </x:c>
      <x:c r="L3646" s="6" t="n">
        <x:f>J3646*K3646</x:f>
        <x:v>0</x:v>
      </x:c>
    </x:row>
    <x:row r="3647">
      <x:c r="A3647" s="1" t="n">
        <x:v>27520</x:v>
      </x:c>
      <x:c r="B3647" s="5" t="d">
        <x:v>2016-02-06T00:00:00.000Z</x:v>
      </x:c>
      <x:c r="C3647" s="1" t="str">
        <x:v>Standard Class</x:v>
      </x:c>
      <x:c r="D3647" s="1" t="str">
        <x:v>Pacific Asia</x:v>
      </x:c>
      <x:c r="E3647" s="1" t="str">
        <x:v>CLOSED</x:v>
      </x:c>
      <x:c r="F3647" s="1" t="str">
        <x:v>Late delivery</x:v>
      </x:c>
      <x:c r="G3647" s="6" t="n">
        <x:v>6</x:v>
      </x:c>
      <x:c r="H3647" s="6" t="n">
        <x:v>4</x:v>
      </x:c>
      <x:c r="I3647" s="6" t="n">
        <x:f>G3647-H3647</x:f>
        <x:v>2</x:v>
      </x:c>
      <x:c r="J3647" s="6" t="n">
        <x:f>IF(OR(E3647="CANCELED",E3647="SUSPECTED_FRAUD",F3647="Shipping canceled"),0,1)</x:f>
        <x:v>1</x:v>
      </x:c>
      <x:c r="K3647" s="6" t="n">
        <x:f>IF(G3647&gt;H3647,1,0)</x:f>
        <x:v>1</x:v>
      </x:c>
      <x:c r="L3647" s="6" t="n">
        <x:f>J3647*K3647</x:f>
        <x:v>1</x:v>
      </x:c>
    </x:row>
    <x:row r="3648">
      <x:c r="A3648" s="1" t="n">
        <x:v>27530</x:v>
      </x:c>
      <x:c r="B3648" s="5" t="d">
        <x:v>2016-02-06T00:00:00.000Z</x:v>
      </x:c>
      <x:c r="C3648" s="1" t="str">
        <x:v>Standard Class</x:v>
      </x:c>
      <x:c r="D3648" s="1" t="str">
        <x:v>Pacific Asia</x:v>
      </x:c>
      <x:c r="E3648" s="1" t="str">
        <x:v>PROCESSING</x:v>
      </x:c>
      <x:c r="F3648" s="1" t="str">
        <x:v>Late delivery</x:v>
      </x:c>
      <x:c r="G3648" s="6" t="n">
        <x:v>6</x:v>
      </x:c>
      <x:c r="H3648" s="6" t="n">
        <x:v>4</x:v>
      </x:c>
      <x:c r="I3648" s="6" t="n">
        <x:f>G3648-H3648</x:f>
        <x:v>2</x:v>
      </x:c>
      <x:c r="J3648" s="6" t="n">
        <x:f>IF(OR(E3648="CANCELED",E3648="SUSPECTED_FRAUD",F3648="Shipping canceled"),0,1)</x:f>
        <x:v>1</x:v>
      </x:c>
      <x:c r="K3648" s="6" t="n">
        <x:f>IF(G3648&gt;H3648,1,0)</x:f>
        <x:v>1</x:v>
      </x:c>
      <x:c r="L3648" s="6" t="n">
        <x:f>J3648*K3648</x:f>
        <x:v>1</x:v>
      </x:c>
    </x:row>
    <x:row r="3649">
      <x:c r="A3649" s="1" t="n">
        <x:v>27542</x:v>
      </x:c>
      <x:c r="B3649" s="5" t="d">
        <x:v>2016-02-07T00:00:00.000Z</x:v>
      </x:c>
      <x:c r="C3649" s="1" t="str">
        <x:v>Standard Class</x:v>
      </x:c>
      <x:c r="D3649" s="1" t="str">
        <x:v>Pacific Asia</x:v>
      </x:c>
      <x:c r="E3649" s="1" t="str">
        <x:v>COMPLETE</x:v>
      </x:c>
      <x:c r="F3649" s="1" t="str">
        <x:v>Advance shipping</x:v>
      </x:c>
      <x:c r="G3649" s="6" t="n">
        <x:v>3</x:v>
      </x:c>
      <x:c r="H3649" s="6" t="n">
        <x:v>4</x:v>
      </x:c>
      <x:c r="I3649" s="6" t="n">
        <x:f>G3649-H3649</x:f>
        <x:v>-1</x:v>
      </x:c>
      <x:c r="J3649" s="6" t="n">
        <x:f>IF(OR(E3649="CANCELED",E3649="SUSPECTED_FRAUD",F3649="Shipping canceled"),0,1)</x:f>
        <x:v>1</x:v>
      </x:c>
      <x:c r="K3649" s="6" t="n">
        <x:f>IF(G3649&gt;H3649,1,0)</x:f>
        <x:v>0</x:v>
      </x:c>
      <x:c r="L3649" s="6" t="n">
        <x:f>J3649*K3649</x:f>
        <x:v>0</x:v>
      </x:c>
    </x:row>
    <x:row r="3650">
      <x:c r="A3650" s="1" t="n">
        <x:v>27553</x:v>
      </x:c>
      <x:c r="B3650" s="5" t="d">
        <x:v>2016-02-07T00:00:00.000Z</x:v>
      </x:c>
      <x:c r="C3650" s="1" t="str">
        <x:v>Standard Class</x:v>
      </x:c>
      <x:c r="D3650" s="1" t="str">
        <x:v>Pacific Asia</x:v>
      </x:c>
      <x:c r="E3650" s="1" t="str">
        <x:v>PENDING_PAYMENT</x:v>
      </x:c>
      <x:c r="F3650" s="1" t="str">
        <x:v>Shipping on time</x:v>
      </x:c>
      <x:c r="G3650" s="6" t="n">
        <x:v>4</x:v>
      </x:c>
      <x:c r="H3650" s="6" t="n">
        <x:v>4</x:v>
      </x:c>
      <x:c r="I3650" s="6" t="n">
        <x:f>G3650-H3650</x:f>
        <x:v>0</x:v>
      </x:c>
      <x:c r="J3650" s="6" t="n">
        <x:f>IF(OR(E3650="CANCELED",E3650="SUSPECTED_FRAUD",F3650="Shipping canceled"),0,1)</x:f>
        <x:v>1</x:v>
      </x:c>
      <x:c r="K3650" s="6" t="n">
        <x:f>IF(G3650&gt;H3650,1,0)</x:f>
        <x:v>0</x:v>
      </x:c>
      <x:c r="L3650" s="6" t="n">
        <x:f>J3650*K3650</x:f>
        <x:v>0</x:v>
      </x:c>
    </x:row>
    <x:row r="3651">
      <x:c r="A3651" s="1" t="n">
        <x:v>27555</x:v>
      </x:c>
      <x:c r="B3651" s="5" t="d">
        <x:v>2016-02-07T00:00:00.000Z</x:v>
      </x:c>
      <x:c r="C3651" s="1" t="str">
        <x:v>Standard Class</x:v>
      </x:c>
      <x:c r="D3651" s="1" t="str">
        <x:v>Pacific Asia</x:v>
      </x:c>
      <x:c r="E3651" s="1" t="str">
        <x:v>PENDING</x:v>
      </x:c>
      <x:c r="F3651" s="1" t="str">
        <x:v>Late delivery</x:v>
      </x:c>
      <x:c r="G3651" s="6" t="n">
        <x:v>6</x:v>
      </x:c>
      <x:c r="H3651" s="6" t="n">
        <x:v>4</x:v>
      </x:c>
      <x:c r="I3651" s="6" t="n">
        <x:f>G3651-H3651</x:f>
        <x:v>2</x:v>
      </x:c>
      <x:c r="J3651" s="6" t="n">
        <x:f>IF(OR(E3651="CANCELED",E3651="SUSPECTED_FRAUD",F3651="Shipping canceled"),0,1)</x:f>
        <x:v>1</x:v>
      </x:c>
      <x:c r="K3651" s="6" t="n">
        <x:f>IF(G3651&gt;H3651,1,0)</x:f>
        <x:v>1</x:v>
      </x:c>
      <x:c r="L3651" s="6" t="n">
        <x:f>J3651*K3651</x:f>
        <x:v>1</x:v>
      </x:c>
    </x:row>
    <x:row r="3652">
      <x:c r="A3652" s="1" t="n">
        <x:v>27559</x:v>
      </x:c>
      <x:c r="B3652" s="5" t="d">
        <x:v>2016-02-07T00:00:00.000Z</x:v>
      </x:c>
      <x:c r="C3652" s="1" t="str">
        <x:v>Standard Class</x:v>
      </x:c>
      <x:c r="D3652" s="1" t="str">
        <x:v>Pacific Asia</x:v>
      </x:c>
      <x:c r="E3652" s="1" t="str">
        <x:v>PENDING</x:v>
      </x:c>
      <x:c r="F3652" s="1" t="str">
        <x:v>Late delivery</x:v>
      </x:c>
      <x:c r="G3652" s="6" t="n">
        <x:v>5</x:v>
      </x:c>
      <x:c r="H3652" s="6" t="n">
        <x:v>4</x:v>
      </x:c>
      <x:c r="I3652" s="6" t="n">
        <x:f>G3652-H3652</x:f>
        <x:v>1</x:v>
      </x:c>
      <x:c r="J3652" s="6" t="n">
        <x:f>IF(OR(E3652="CANCELED",E3652="SUSPECTED_FRAUD",F3652="Shipping canceled"),0,1)</x:f>
        <x:v>1</x:v>
      </x:c>
      <x:c r="K3652" s="6" t="n">
        <x:f>IF(G3652&gt;H3652,1,0)</x:f>
        <x:v>1</x:v>
      </x:c>
      <x:c r="L3652" s="6" t="n">
        <x:f>J3652*K3652</x:f>
        <x:v>1</x:v>
      </x:c>
    </x:row>
    <x:row r="3653">
      <x:c r="A3653" s="1" t="n">
        <x:v>27565</x:v>
      </x:c>
      <x:c r="B3653" s="5" t="d">
        <x:v>2016-02-07T00:00:00.000Z</x:v>
      </x:c>
      <x:c r="C3653" s="1" t="str">
        <x:v>Standard Class</x:v>
      </x:c>
      <x:c r="D3653" s="1" t="str">
        <x:v>Pacific Asia</x:v>
      </x:c>
      <x:c r="E3653" s="1" t="str">
        <x:v>COMPLETE</x:v>
      </x:c>
      <x:c r="F3653" s="1" t="str">
        <x:v>Late delivery</x:v>
      </x:c>
      <x:c r="G3653" s="6" t="n">
        <x:v>6</x:v>
      </x:c>
      <x:c r="H3653" s="6" t="n">
        <x:v>4</x:v>
      </x:c>
      <x:c r="I3653" s="6" t="n">
        <x:f>G3653-H3653</x:f>
        <x:v>2</x:v>
      </x:c>
      <x:c r="J3653" s="6" t="n">
        <x:f>IF(OR(E3653="CANCELED",E3653="SUSPECTED_FRAUD",F3653="Shipping canceled"),0,1)</x:f>
        <x:v>1</x:v>
      </x:c>
      <x:c r="K3653" s="6" t="n">
        <x:f>IF(G3653&gt;H3653,1,0)</x:f>
        <x:v>1</x:v>
      </x:c>
      <x:c r="L3653" s="6" t="n">
        <x:f>J3653*K3653</x:f>
        <x:v>1</x:v>
      </x:c>
    </x:row>
    <x:row r="3654">
      <x:c r="A3654" s="1" t="n">
        <x:v>27575</x:v>
      </x:c>
      <x:c r="B3654" s="5" t="d">
        <x:v>2016-02-07T00:00:00.000Z</x:v>
      </x:c>
      <x:c r="C3654" s="1" t="str">
        <x:v>Second Class</x:v>
      </x:c>
      <x:c r="D3654" s="1" t="str">
        <x:v>Pacific Asia</x:v>
      </x:c>
      <x:c r="E3654" s="1" t="str">
        <x:v>PENDING_PAYMENT</x:v>
      </x:c>
      <x:c r="F3654" s="1" t="str">
        <x:v>Late delivery</x:v>
      </x:c>
      <x:c r="G3654" s="6" t="n">
        <x:v>6</x:v>
      </x:c>
      <x:c r="H3654" s="6" t="n">
        <x:v>2</x:v>
      </x:c>
      <x:c r="I3654" s="6" t="n">
        <x:f>G3654-H3654</x:f>
        <x:v>4</x:v>
      </x:c>
      <x:c r="J3654" s="6" t="n">
        <x:f>IF(OR(E3654="CANCELED",E3654="SUSPECTED_FRAUD",F3654="Shipping canceled"),0,1)</x:f>
        <x:v>1</x:v>
      </x:c>
      <x:c r="K3654" s="6" t="n">
        <x:f>IF(G3654&gt;H3654,1,0)</x:f>
        <x:v>1</x:v>
      </x:c>
      <x:c r="L3654" s="6" t="n">
        <x:f>J3654*K3654</x:f>
        <x:v>1</x:v>
      </x:c>
    </x:row>
    <x:row r="3655">
      <x:c r="A3655" s="1" t="n">
        <x:v>27585</x:v>
      </x:c>
      <x:c r="B3655" s="5" t="d">
        <x:v>2016-02-07T00:00:00.000Z</x:v>
      </x:c>
      <x:c r="C3655" s="1" t="str">
        <x:v>Standard Class</x:v>
      </x:c>
      <x:c r="D3655" s="1" t="str">
        <x:v>Pacific Asia</x:v>
      </x:c>
      <x:c r="E3655" s="1" t="str">
        <x:v>PROCESSING</x:v>
      </x:c>
      <x:c r="F3655" s="1" t="str">
        <x:v>Late delivery</x:v>
      </x:c>
      <x:c r="G3655" s="6" t="n">
        <x:v>6</x:v>
      </x:c>
      <x:c r="H3655" s="6" t="n">
        <x:v>4</x:v>
      </x:c>
      <x:c r="I3655" s="6" t="n">
        <x:f>G3655-H3655</x:f>
        <x:v>2</x:v>
      </x:c>
      <x:c r="J3655" s="6" t="n">
        <x:f>IF(OR(E3655="CANCELED",E3655="SUSPECTED_FRAUD",F3655="Shipping canceled"),0,1)</x:f>
        <x:v>1</x:v>
      </x:c>
      <x:c r="K3655" s="6" t="n">
        <x:f>IF(G3655&gt;H3655,1,0)</x:f>
        <x:v>1</x:v>
      </x:c>
      <x:c r="L3655" s="6" t="n">
        <x:f>J3655*K3655</x:f>
        <x:v>1</x:v>
      </x:c>
    </x:row>
    <x:row r="3656">
      <x:c r="A3656" s="1" t="n">
        <x:v>27586</x:v>
      </x:c>
      <x:c r="B3656" s="5" t="d">
        <x:v>2016-02-07T00:00:00.000Z</x:v>
      </x:c>
      <x:c r="C3656" s="1" t="str">
        <x:v>Standard Class</x:v>
      </x:c>
      <x:c r="D3656" s="1" t="str">
        <x:v>Pacific Asia</x:v>
      </x:c>
      <x:c r="E3656" s="1" t="str">
        <x:v>PENDING</x:v>
      </x:c>
      <x:c r="F3656" s="1" t="str">
        <x:v>Advance shipping</x:v>
      </x:c>
      <x:c r="G3656" s="6" t="n">
        <x:v>2</x:v>
      </x:c>
      <x:c r="H3656" s="6" t="n">
        <x:v>4</x:v>
      </x:c>
      <x:c r="I3656" s="6" t="n">
        <x:f>G3656-H3656</x:f>
        <x:v>-2</x:v>
      </x:c>
      <x:c r="J3656" s="6" t="n">
        <x:f>IF(OR(E3656="CANCELED",E3656="SUSPECTED_FRAUD",F3656="Shipping canceled"),0,1)</x:f>
        <x:v>1</x:v>
      </x:c>
      <x:c r="K3656" s="6" t="n">
        <x:f>IF(G3656&gt;H3656,1,0)</x:f>
        <x:v>0</x:v>
      </x:c>
      <x:c r="L3656" s="6" t="n">
        <x:f>J3656*K3656</x:f>
        <x:v>0</x:v>
      </x:c>
    </x:row>
    <x:row r="3657">
      <x:c r="A3657" s="1" t="n">
        <x:v>27600</x:v>
      </x:c>
      <x:c r="B3657" s="5" t="d">
        <x:v>2016-02-07T00:00:00.000Z</x:v>
      </x:c>
      <x:c r="C3657" s="1" t="str">
        <x:v>Standard Class</x:v>
      </x:c>
      <x:c r="D3657" s="1" t="str">
        <x:v>Pacific Asia</x:v>
      </x:c>
      <x:c r="E3657" s="1" t="str">
        <x:v>COMPLETE</x:v>
      </x:c>
      <x:c r="F3657" s="1" t="str">
        <x:v>Late delivery</x:v>
      </x:c>
      <x:c r="G3657" s="6" t="n">
        <x:v>6</x:v>
      </x:c>
      <x:c r="H3657" s="6" t="n">
        <x:v>4</x:v>
      </x:c>
      <x:c r="I3657" s="6" t="n">
        <x:f>G3657-H3657</x:f>
        <x:v>2</x:v>
      </x:c>
      <x:c r="J3657" s="6" t="n">
        <x:f>IF(OR(E3657="CANCELED",E3657="SUSPECTED_FRAUD",F3657="Shipping canceled"),0,1)</x:f>
        <x:v>1</x:v>
      </x:c>
      <x:c r="K3657" s="6" t="n">
        <x:f>IF(G3657&gt;H3657,1,0)</x:f>
        <x:v>1</x:v>
      </x:c>
      <x:c r="L3657" s="6" t="n">
        <x:f>J3657*K3657</x:f>
        <x:v>1</x:v>
      </x:c>
    </x:row>
    <x:row r="3658">
      <x:c r="A3658" s="1" t="n">
        <x:v>27604</x:v>
      </x:c>
      <x:c r="B3658" s="5" t="d">
        <x:v>2016-02-07T00:00:00.000Z</x:v>
      </x:c>
      <x:c r="C3658" s="1" t="str">
        <x:v>Standard Class</x:v>
      </x:c>
      <x:c r="D3658" s="1" t="str">
        <x:v>Pacific Asia</x:v>
      </x:c>
      <x:c r="E3658" s="1" t="str">
        <x:v>PENDING</x:v>
      </x:c>
      <x:c r="F3658" s="1" t="str">
        <x:v>Late delivery</x:v>
      </x:c>
      <x:c r="G3658" s="6" t="n">
        <x:v>5</x:v>
      </x:c>
      <x:c r="H3658" s="6" t="n">
        <x:v>4</x:v>
      </x:c>
      <x:c r="I3658" s="6" t="n">
        <x:f>G3658-H3658</x:f>
        <x:v>1</x:v>
      </x:c>
      <x:c r="J3658" s="6" t="n">
        <x:f>IF(OR(E3658="CANCELED",E3658="SUSPECTED_FRAUD",F3658="Shipping canceled"),0,1)</x:f>
        <x:v>1</x:v>
      </x:c>
      <x:c r="K3658" s="6" t="n">
        <x:f>IF(G3658&gt;H3658,1,0)</x:f>
        <x:v>1</x:v>
      </x:c>
      <x:c r="L3658" s="6" t="n">
        <x:f>J3658*K3658</x:f>
        <x:v>1</x:v>
      </x:c>
    </x:row>
    <x:row r="3659">
      <x:c r="A3659" s="1" t="n">
        <x:v>27614</x:v>
      </x:c>
      <x:c r="B3659" s="5" t="d">
        <x:v>2016-02-08T00:00:00.000Z</x:v>
      </x:c>
      <x:c r="C3659" s="1" t="str">
        <x:v>Standard Class</x:v>
      </x:c>
      <x:c r="D3659" s="1" t="str">
        <x:v>Pacific Asia</x:v>
      </x:c>
      <x:c r="E3659" s="1" t="str">
        <x:v>CLOSED</x:v>
      </x:c>
      <x:c r="F3659" s="1" t="str">
        <x:v>Late delivery</x:v>
      </x:c>
      <x:c r="G3659" s="6" t="n">
        <x:v>5</x:v>
      </x:c>
      <x:c r="H3659" s="6" t="n">
        <x:v>4</x:v>
      </x:c>
      <x:c r="I3659" s="6" t="n">
        <x:f>G3659-H3659</x:f>
        <x:v>1</x:v>
      </x:c>
      <x:c r="J3659" s="6" t="n">
        <x:f>IF(OR(E3659="CANCELED",E3659="SUSPECTED_FRAUD",F3659="Shipping canceled"),0,1)</x:f>
        <x:v>1</x:v>
      </x:c>
      <x:c r="K3659" s="6" t="n">
        <x:f>IF(G3659&gt;H3659,1,0)</x:f>
        <x:v>1</x:v>
      </x:c>
      <x:c r="L3659" s="6" t="n">
        <x:f>J3659*K3659</x:f>
        <x:v>1</x:v>
      </x:c>
    </x:row>
    <x:row r="3660">
      <x:c r="A3660" s="1" t="n">
        <x:v>27647</x:v>
      </x:c>
      <x:c r="B3660" s="5" t="d">
        <x:v>2016-02-08T00:00:00.000Z</x:v>
      </x:c>
      <x:c r="C3660" s="1" t="str">
        <x:v>Standard Class</x:v>
      </x:c>
      <x:c r="D3660" s="1" t="str">
        <x:v>Pacific Asia</x:v>
      </x:c>
      <x:c r="E3660" s="1" t="str">
        <x:v>PROCESSING</x:v>
      </x:c>
      <x:c r="F3660" s="1" t="str">
        <x:v>Advance shipping</x:v>
      </x:c>
      <x:c r="G3660" s="6" t="n">
        <x:v>3</x:v>
      </x:c>
      <x:c r="H3660" s="6" t="n">
        <x:v>4</x:v>
      </x:c>
      <x:c r="I3660" s="6" t="n">
        <x:f>G3660-H3660</x:f>
        <x:v>-1</x:v>
      </x:c>
      <x:c r="J3660" s="6" t="n">
        <x:f>IF(OR(E3660="CANCELED",E3660="SUSPECTED_FRAUD",F3660="Shipping canceled"),0,1)</x:f>
        <x:v>1</x:v>
      </x:c>
      <x:c r="K3660" s="6" t="n">
        <x:f>IF(G3660&gt;H3660,1,0)</x:f>
        <x:v>0</x:v>
      </x:c>
      <x:c r="L3660" s="6" t="n">
        <x:f>J3660*K3660</x:f>
        <x:v>0</x:v>
      </x:c>
    </x:row>
    <x:row r="3661">
      <x:c r="A3661" s="1" t="n">
        <x:v>27649</x:v>
      </x:c>
      <x:c r="B3661" s="5" t="d">
        <x:v>2016-02-08T00:00:00.000Z</x:v>
      </x:c>
      <x:c r="C3661" s="1" t="str">
        <x:v>Standard Class</x:v>
      </x:c>
      <x:c r="D3661" s="1" t="str">
        <x:v>Pacific Asia</x:v>
      </x:c>
      <x:c r="E3661" s="1" t="str">
        <x:v>PENDING</x:v>
      </x:c>
      <x:c r="F3661" s="1" t="str">
        <x:v>Late delivery</x:v>
      </x:c>
      <x:c r="G3661" s="6" t="n">
        <x:v>5</x:v>
      </x:c>
      <x:c r="H3661" s="6" t="n">
        <x:v>4</x:v>
      </x:c>
      <x:c r="I3661" s="6" t="n">
        <x:f>G3661-H3661</x:f>
        <x:v>1</x:v>
      </x:c>
      <x:c r="J3661" s="6" t="n">
        <x:f>IF(OR(E3661="CANCELED",E3661="SUSPECTED_FRAUD",F3661="Shipping canceled"),0,1)</x:f>
        <x:v>1</x:v>
      </x:c>
      <x:c r="K3661" s="6" t="n">
        <x:f>IF(G3661&gt;H3661,1,0)</x:f>
        <x:v>1</x:v>
      </x:c>
      <x:c r="L3661" s="6" t="n">
        <x:f>J3661*K3661</x:f>
        <x:v>1</x:v>
      </x:c>
    </x:row>
    <x:row r="3662">
      <x:c r="A3662" s="1" t="n">
        <x:v>27663</x:v>
      </x:c>
      <x:c r="B3662" s="5" t="d">
        <x:v>2016-02-08T00:00:00.000Z</x:v>
      </x:c>
      <x:c r="C3662" s="1" t="str">
        <x:v>Standard Class</x:v>
      </x:c>
      <x:c r="D3662" s="1" t="str">
        <x:v>Pacific Asia</x:v>
      </x:c>
      <x:c r="E3662" s="1" t="str">
        <x:v>COMPLETE</x:v>
      </x:c>
      <x:c r="F3662" s="1" t="str">
        <x:v>Shipping on time</x:v>
      </x:c>
      <x:c r="G3662" s="6" t="n">
        <x:v>4</x:v>
      </x:c>
      <x:c r="H3662" s="6" t="n">
        <x:v>4</x:v>
      </x:c>
      <x:c r="I3662" s="6" t="n">
        <x:f>G3662-H3662</x:f>
        <x:v>0</x:v>
      </x:c>
      <x:c r="J3662" s="6" t="n">
        <x:f>IF(OR(E3662="CANCELED",E3662="SUSPECTED_FRAUD",F3662="Shipping canceled"),0,1)</x:f>
        <x:v>1</x:v>
      </x:c>
      <x:c r="K3662" s="6" t="n">
        <x:f>IF(G3662&gt;H3662,1,0)</x:f>
        <x:v>0</x:v>
      </x:c>
      <x:c r="L3662" s="6" t="n">
        <x:f>J3662*K3662</x:f>
        <x:v>0</x:v>
      </x:c>
    </x:row>
    <x:row r="3663">
      <x:c r="A3663" s="1" t="n">
        <x:v>27682</x:v>
      </x:c>
      <x:c r="B3663" s="5" t="d">
        <x:v>2016-02-09T00:00:00.000Z</x:v>
      </x:c>
      <x:c r="C3663" s="1" t="str">
        <x:v>Standard Class</x:v>
      </x:c>
      <x:c r="D3663" s="1" t="str">
        <x:v>Pacific Asia</x:v>
      </x:c>
      <x:c r="E3663" s="1" t="str">
        <x:v>PROCESSING</x:v>
      </x:c>
      <x:c r="F3663" s="1" t="str">
        <x:v>Advance shipping</x:v>
      </x:c>
      <x:c r="G3663" s="6" t="n">
        <x:v>3</x:v>
      </x:c>
      <x:c r="H3663" s="6" t="n">
        <x:v>4</x:v>
      </x:c>
      <x:c r="I3663" s="6" t="n">
        <x:f>G3663-H3663</x:f>
        <x:v>-1</x:v>
      </x:c>
      <x:c r="J3663" s="6" t="n">
        <x:f>IF(OR(E3663="CANCELED",E3663="SUSPECTED_FRAUD",F3663="Shipping canceled"),0,1)</x:f>
        <x:v>1</x:v>
      </x:c>
      <x:c r="K3663" s="6" t="n">
        <x:f>IF(G3663&gt;H3663,1,0)</x:f>
        <x:v>0</x:v>
      </x:c>
      <x:c r="L3663" s="6" t="n">
        <x:f>J3663*K3663</x:f>
        <x:v>0</x:v>
      </x:c>
    </x:row>
    <x:row r="3664">
      <x:c r="A3664" s="1" t="n">
        <x:v>27689</x:v>
      </x:c>
      <x:c r="B3664" s="5" t="d">
        <x:v>2016-02-09T00:00:00.000Z</x:v>
      </x:c>
      <x:c r="C3664" s="1" t="str">
        <x:v>Standard Class</x:v>
      </x:c>
      <x:c r="D3664" s="1" t="str">
        <x:v>Pacific Asia</x:v>
      </x:c>
      <x:c r="E3664" s="1" t="str">
        <x:v>PROCESSING</x:v>
      </x:c>
      <x:c r="F3664" s="1" t="str">
        <x:v>Late delivery</x:v>
      </x:c>
      <x:c r="G3664" s="6" t="n">
        <x:v>5</x:v>
      </x:c>
      <x:c r="H3664" s="6" t="n">
        <x:v>4</x:v>
      </x:c>
      <x:c r="I3664" s="6" t="n">
        <x:f>G3664-H3664</x:f>
        <x:v>1</x:v>
      </x:c>
      <x:c r="J3664" s="6" t="n">
        <x:f>IF(OR(E3664="CANCELED",E3664="SUSPECTED_FRAUD",F3664="Shipping canceled"),0,1)</x:f>
        <x:v>1</x:v>
      </x:c>
      <x:c r="K3664" s="6" t="n">
        <x:f>IF(G3664&gt;H3664,1,0)</x:f>
        <x:v>1</x:v>
      </x:c>
      <x:c r="L3664" s="6" t="n">
        <x:f>J3664*K3664</x:f>
        <x:v>1</x:v>
      </x:c>
    </x:row>
    <x:row r="3665">
      <x:c r="A3665" s="1" t="n">
        <x:v>27693</x:v>
      </x:c>
      <x:c r="B3665" s="5" t="d">
        <x:v>2016-02-09T00:00:00.000Z</x:v>
      </x:c>
      <x:c r="C3665" s="1" t="str">
        <x:v>Standard Class</x:v>
      </x:c>
      <x:c r="D3665" s="1" t="str">
        <x:v>Pacific Asia</x:v>
      </x:c>
      <x:c r="E3665" s="1" t="str">
        <x:v>PENDING_PAYMENT</x:v>
      </x:c>
      <x:c r="F3665" s="1" t="str">
        <x:v>Shipping on time</x:v>
      </x:c>
      <x:c r="G3665" s="6" t="n">
        <x:v>4</x:v>
      </x:c>
      <x:c r="H3665" s="6" t="n">
        <x:v>4</x:v>
      </x:c>
      <x:c r="I3665" s="6" t="n">
        <x:f>G3665-H3665</x:f>
        <x:v>0</x:v>
      </x:c>
      <x:c r="J3665" s="6" t="n">
        <x:f>IF(OR(E3665="CANCELED",E3665="SUSPECTED_FRAUD",F3665="Shipping canceled"),0,1)</x:f>
        <x:v>1</x:v>
      </x:c>
      <x:c r="K3665" s="6" t="n">
        <x:f>IF(G3665&gt;H3665,1,0)</x:f>
        <x:v>0</x:v>
      </x:c>
      <x:c r="L3665" s="6" t="n">
        <x:f>J3665*K3665</x:f>
        <x:v>0</x:v>
      </x:c>
    </x:row>
    <x:row r="3666">
      <x:c r="A3666" s="1" t="n">
        <x:v>27716</x:v>
      </x:c>
      <x:c r="B3666" s="5" t="d">
        <x:v>2016-02-09T00:00:00.000Z</x:v>
      </x:c>
      <x:c r="C3666" s="1" t="str">
        <x:v>Standard Class</x:v>
      </x:c>
      <x:c r="D3666" s="1" t="str">
        <x:v>Pacific Asia</x:v>
      </x:c>
      <x:c r="E3666" s="1" t="str">
        <x:v>COMPLETE</x:v>
      </x:c>
      <x:c r="F3666" s="1" t="str">
        <x:v>Advance shipping</x:v>
      </x:c>
      <x:c r="G3666" s="6" t="n">
        <x:v>2</x:v>
      </x:c>
      <x:c r="H3666" s="6" t="n">
        <x:v>4</x:v>
      </x:c>
      <x:c r="I3666" s="6" t="n">
        <x:f>G3666-H3666</x:f>
        <x:v>-2</x:v>
      </x:c>
      <x:c r="J3666" s="6" t="n">
        <x:f>IF(OR(E3666="CANCELED",E3666="SUSPECTED_FRAUD",F3666="Shipping canceled"),0,1)</x:f>
        <x:v>1</x:v>
      </x:c>
      <x:c r="K3666" s="6" t="n">
        <x:f>IF(G3666&gt;H3666,1,0)</x:f>
        <x:v>0</x:v>
      </x:c>
      <x:c r="L3666" s="6" t="n">
        <x:f>J3666*K3666</x:f>
        <x:v>0</x:v>
      </x:c>
    </x:row>
    <x:row r="3667">
      <x:c r="A3667" s="1" t="n">
        <x:v>27728</x:v>
      </x:c>
      <x:c r="B3667" s="5" t="d">
        <x:v>2016-02-09T00:00:00.000Z</x:v>
      </x:c>
      <x:c r="C3667" s="1" t="str">
        <x:v>Standard Class</x:v>
      </x:c>
      <x:c r="D3667" s="1" t="str">
        <x:v>Pacific Asia</x:v>
      </x:c>
      <x:c r="E3667" s="1" t="str">
        <x:v>COMPLETE</x:v>
      </x:c>
      <x:c r="F3667" s="1" t="str">
        <x:v>Shipping on time</x:v>
      </x:c>
      <x:c r="G3667" s="6" t="n">
        <x:v>4</x:v>
      </x:c>
      <x:c r="H3667" s="6" t="n">
        <x:v>4</x:v>
      </x:c>
      <x:c r="I3667" s="6" t="n">
        <x:f>G3667-H3667</x:f>
        <x:v>0</x:v>
      </x:c>
      <x:c r="J3667" s="6" t="n">
        <x:f>IF(OR(E3667="CANCELED",E3667="SUSPECTED_FRAUD",F3667="Shipping canceled"),0,1)</x:f>
        <x:v>1</x:v>
      </x:c>
      <x:c r="K3667" s="6" t="n">
        <x:f>IF(G3667&gt;H3667,1,0)</x:f>
        <x:v>0</x:v>
      </x:c>
      <x:c r="L3667" s="6" t="n">
        <x:f>J3667*K3667</x:f>
        <x:v>0</x:v>
      </x:c>
    </x:row>
    <x:row r="3668">
      <x:c r="A3668" s="1" t="n">
        <x:v>27729</x:v>
      </x:c>
      <x:c r="B3668" s="5" t="d">
        <x:v>2016-02-09T00:00:00.000Z</x:v>
      </x:c>
      <x:c r="C3668" s="1" t="str">
        <x:v>Standard Class</x:v>
      </x:c>
      <x:c r="D3668" s="1" t="str">
        <x:v>Pacific Asia</x:v>
      </x:c>
      <x:c r="E3668" s="1" t="str">
        <x:v>COMPLETE</x:v>
      </x:c>
      <x:c r="F3668" s="1" t="str">
        <x:v>Late delivery</x:v>
      </x:c>
      <x:c r="G3668" s="6" t="n">
        <x:v>5</x:v>
      </x:c>
      <x:c r="H3668" s="6" t="n">
        <x:v>4</x:v>
      </x:c>
      <x:c r="I3668" s="6" t="n">
        <x:f>G3668-H3668</x:f>
        <x:v>1</x:v>
      </x:c>
      <x:c r="J3668" s="6" t="n">
        <x:f>IF(OR(E3668="CANCELED",E3668="SUSPECTED_FRAUD",F3668="Shipping canceled"),0,1)</x:f>
        <x:v>1</x:v>
      </x:c>
      <x:c r="K3668" s="6" t="n">
        <x:f>IF(G3668&gt;H3668,1,0)</x:f>
        <x:v>1</x:v>
      </x:c>
      <x:c r="L3668" s="6" t="n">
        <x:f>J3668*K3668</x:f>
        <x:v>1</x:v>
      </x:c>
    </x:row>
    <x:row r="3669">
      <x:c r="A3669" s="1" t="n">
        <x:v>27730</x:v>
      </x:c>
      <x:c r="B3669" s="5" t="d">
        <x:v>2016-02-09T00:00:00.000Z</x:v>
      </x:c>
      <x:c r="C3669" s="1" t="str">
        <x:v>Standard Class</x:v>
      </x:c>
      <x:c r="D3669" s="1" t="str">
        <x:v>Pacific Asia</x:v>
      </x:c>
      <x:c r="E3669" s="1" t="str">
        <x:v>COMPLETE</x:v>
      </x:c>
      <x:c r="F3669" s="1" t="str">
        <x:v>Late delivery</x:v>
      </x:c>
      <x:c r="G3669" s="6" t="n">
        <x:v>6</x:v>
      </x:c>
      <x:c r="H3669" s="6" t="n">
        <x:v>4</x:v>
      </x:c>
      <x:c r="I3669" s="6" t="n">
        <x:f>G3669-H3669</x:f>
        <x:v>2</x:v>
      </x:c>
      <x:c r="J3669" s="6" t="n">
        <x:f>IF(OR(E3669="CANCELED",E3669="SUSPECTED_FRAUD",F3669="Shipping canceled"),0,1)</x:f>
        <x:v>1</x:v>
      </x:c>
      <x:c r="K3669" s="6" t="n">
        <x:f>IF(G3669&gt;H3669,1,0)</x:f>
        <x:v>1</x:v>
      </x:c>
      <x:c r="L3669" s="6" t="n">
        <x:f>J3669*K3669</x:f>
        <x:v>1</x:v>
      </x:c>
    </x:row>
    <x:row r="3670">
      <x:c r="A3670" s="1" t="n">
        <x:v>27738</x:v>
      </x:c>
      <x:c r="B3670" s="5" t="d">
        <x:v>2016-02-09T00:00:00.000Z</x:v>
      </x:c>
      <x:c r="C3670" s="1" t="str">
        <x:v>Second Class</x:v>
      </x:c>
      <x:c r="D3670" s="1" t="str">
        <x:v>Pacific Asia</x:v>
      </x:c>
      <x:c r="E3670" s="1" t="str">
        <x:v>CLOSED</x:v>
      </x:c>
      <x:c r="F3670" s="1" t="str">
        <x:v>Late delivery</x:v>
      </x:c>
      <x:c r="G3670" s="6" t="n">
        <x:v>4</x:v>
      </x:c>
      <x:c r="H3670" s="6" t="n">
        <x:v>2</x:v>
      </x:c>
      <x:c r="I3670" s="6" t="n">
        <x:f>G3670-H3670</x:f>
        <x:v>2</x:v>
      </x:c>
      <x:c r="J3670" s="6" t="n">
        <x:f>IF(OR(E3670="CANCELED",E3670="SUSPECTED_FRAUD",F3670="Shipping canceled"),0,1)</x:f>
        <x:v>1</x:v>
      </x:c>
      <x:c r="K3670" s="6" t="n">
        <x:f>IF(G3670&gt;H3670,1,0)</x:f>
        <x:v>1</x:v>
      </x:c>
      <x:c r="L3670" s="6" t="n">
        <x:f>J3670*K3670</x:f>
        <x:v>1</x:v>
      </x:c>
    </x:row>
    <x:row r="3671">
      <x:c r="A3671" s="1" t="n">
        <x:v>27742</x:v>
      </x:c>
      <x:c r="B3671" s="5" t="d">
        <x:v>2016-02-09T00:00:00.000Z</x:v>
      </x:c>
      <x:c r="C3671" s="1" t="str">
        <x:v>Standard Class</x:v>
      </x:c>
      <x:c r="D3671" s="1" t="str">
        <x:v>Pacific Asia</x:v>
      </x:c>
      <x:c r="E3671" s="1" t="str">
        <x:v>CANCELED</x:v>
      </x:c>
      <x:c r="F3671" s="1" t="str">
        <x:v>Shipping canceled</x:v>
      </x:c>
      <x:c r="G3671" s="6" t="n">
        <x:v>3</x:v>
      </x:c>
      <x:c r="H3671" s="6" t="n">
        <x:v>4</x:v>
      </x:c>
      <x:c r="I3671" s="6" t="n">
        <x:f>G3671-H3671</x:f>
        <x:v>-1</x:v>
      </x:c>
      <x:c r="J3671" s="6" t="n">
        <x:f>IF(OR(E3671="CANCELED",E3671="SUSPECTED_FRAUD",F3671="Shipping canceled"),0,1)</x:f>
        <x:v>0</x:v>
      </x:c>
      <x:c r="K3671" s="6" t="n">
        <x:f>IF(G3671&gt;H3671,1,0)</x:f>
        <x:v>0</x:v>
      </x:c>
      <x:c r="L3671" s="6" t="n">
        <x:f>J3671*K3671</x:f>
        <x:v>0</x:v>
      </x:c>
    </x:row>
    <x:row r="3672">
      <x:c r="A3672" s="1" t="n">
        <x:v>27750</x:v>
      </x:c>
      <x:c r="B3672" s="5" t="d">
        <x:v>2016-02-10T00:00:00.000Z</x:v>
      </x:c>
      <x:c r="C3672" s="1" t="str">
        <x:v>Standard Class</x:v>
      </x:c>
      <x:c r="D3672" s="1" t="str">
        <x:v>Pacific Asia</x:v>
      </x:c>
      <x:c r="E3672" s="1" t="str">
        <x:v>PROCESSING</x:v>
      </x:c>
      <x:c r="F3672" s="1" t="str">
        <x:v>Late delivery</x:v>
      </x:c>
      <x:c r="G3672" s="6" t="n">
        <x:v>6</x:v>
      </x:c>
      <x:c r="H3672" s="6" t="n">
        <x:v>4</x:v>
      </x:c>
      <x:c r="I3672" s="6" t="n">
        <x:f>G3672-H3672</x:f>
        <x:v>2</x:v>
      </x:c>
      <x:c r="J3672" s="6" t="n">
        <x:f>IF(OR(E3672="CANCELED",E3672="SUSPECTED_FRAUD",F3672="Shipping canceled"),0,1)</x:f>
        <x:v>1</x:v>
      </x:c>
      <x:c r="K3672" s="6" t="n">
        <x:f>IF(G3672&gt;H3672,1,0)</x:f>
        <x:v>1</x:v>
      </x:c>
      <x:c r="L3672" s="6" t="n">
        <x:f>J3672*K3672</x:f>
        <x:v>1</x:v>
      </x:c>
    </x:row>
    <x:row r="3673">
      <x:c r="A3673" s="1" t="n">
        <x:v>27755</x:v>
      </x:c>
      <x:c r="B3673" s="5" t="d">
        <x:v>2016-02-10T00:00:00.000Z</x:v>
      </x:c>
      <x:c r="C3673" s="1" t="str">
        <x:v>Standard Class</x:v>
      </x:c>
      <x:c r="D3673" s="1" t="str">
        <x:v>Pacific Asia</x:v>
      </x:c>
      <x:c r="E3673" s="1" t="str">
        <x:v>ON_HOLD</x:v>
      </x:c>
      <x:c r="F3673" s="1" t="str">
        <x:v>Late delivery</x:v>
      </x:c>
      <x:c r="G3673" s="6" t="n">
        <x:v>6</x:v>
      </x:c>
      <x:c r="H3673" s="6" t="n">
        <x:v>4</x:v>
      </x:c>
      <x:c r="I3673" s="6" t="n">
        <x:f>G3673-H3673</x:f>
        <x:v>2</x:v>
      </x:c>
      <x:c r="J3673" s="6" t="n">
        <x:f>IF(OR(E3673="CANCELED",E3673="SUSPECTED_FRAUD",F3673="Shipping canceled"),0,1)</x:f>
        <x:v>1</x:v>
      </x:c>
      <x:c r="K3673" s="6" t="n">
        <x:f>IF(G3673&gt;H3673,1,0)</x:f>
        <x:v>1</x:v>
      </x:c>
      <x:c r="L3673" s="6" t="n">
        <x:f>J3673*K3673</x:f>
        <x:v>1</x:v>
      </x:c>
    </x:row>
    <x:row r="3674">
      <x:c r="A3674" s="1" t="n">
        <x:v>27772</x:v>
      </x:c>
      <x:c r="B3674" s="5" t="d">
        <x:v>2016-02-10T00:00:00.000Z</x:v>
      </x:c>
      <x:c r="C3674" s="1" t="str">
        <x:v>Second Class</x:v>
      </x:c>
      <x:c r="D3674" s="1" t="str">
        <x:v>Pacific Asia</x:v>
      </x:c>
      <x:c r="E3674" s="1" t="str">
        <x:v>PENDING_PAYMENT</x:v>
      </x:c>
      <x:c r="F3674" s="1" t="str">
        <x:v>Late delivery</x:v>
      </x:c>
      <x:c r="G3674" s="6" t="n">
        <x:v>3</x:v>
      </x:c>
      <x:c r="H3674" s="6" t="n">
        <x:v>2</x:v>
      </x:c>
      <x:c r="I3674" s="6" t="n">
        <x:f>G3674-H3674</x:f>
        <x:v>1</x:v>
      </x:c>
      <x:c r="J3674" s="6" t="n">
        <x:f>IF(OR(E3674="CANCELED",E3674="SUSPECTED_FRAUD",F3674="Shipping canceled"),0,1)</x:f>
        <x:v>1</x:v>
      </x:c>
      <x:c r="K3674" s="6" t="n">
        <x:f>IF(G3674&gt;H3674,1,0)</x:f>
        <x:v>1</x:v>
      </x:c>
      <x:c r="L3674" s="6" t="n">
        <x:f>J3674*K3674</x:f>
        <x:v>1</x:v>
      </x:c>
    </x:row>
    <x:row r="3675">
      <x:c r="A3675" s="1" t="n">
        <x:v>27774</x:v>
      </x:c>
      <x:c r="B3675" s="5" t="d">
        <x:v>2016-02-10T00:00:00.000Z</x:v>
      </x:c>
      <x:c r="C3675" s="1" t="str">
        <x:v>Second Class</x:v>
      </x:c>
      <x:c r="D3675" s="1" t="str">
        <x:v>Pacific Asia</x:v>
      </x:c>
      <x:c r="E3675" s="1" t="str">
        <x:v>COMPLETE</x:v>
      </x:c>
      <x:c r="F3675" s="1" t="str">
        <x:v>Late delivery</x:v>
      </x:c>
      <x:c r="G3675" s="6" t="n">
        <x:v>5</x:v>
      </x:c>
      <x:c r="H3675" s="6" t="n">
        <x:v>2</x:v>
      </x:c>
      <x:c r="I3675" s="6" t="n">
        <x:f>G3675-H3675</x:f>
        <x:v>3</x:v>
      </x:c>
      <x:c r="J3675" s="6" t="n">
        <x:f>IF(OR(E3675="CANCELED",E3675="SUSPECTED_FRAUD",F3675="Shipping canceled"),0,1)</x:f>
        <x:v>1</x:v>
      </x:c>
      <x:c r="K3675" s="6" t="n">
        <x:f>IF(G3675&gt;H3675,1,0)</x:f>
        <x:v>1</x:v>
      </x:c>
      <x:c r="L3675" s="6" t="n">
        <x:f>J3675*K3675</x:f>
        <x:v>1</x:v>
      </x:c>
    </x:row>
    <x:row r="3676">
      <x:c r="A3676" s="1" t="n">
        <x:v>27776</x:v>
      </x:c>
      <x:c r="B3676" s="5" t="d">
        <x:v>2016-02-10T00:00:00.000Z</x:v>
      </x:c>
      <x:c r="C3676" s="1" t="str">
        <x:v>Standard Class</x:v>
      </x:c>
      <x:c r="D3676" s="1" t="str">
        <x:v>Pacific Asia</x:v>
      </x:c>
      <x:c r="E3676" s="1" t="str">
        <x:v>COMPLETE</x:v>
      </x:c>
      <x:c r="F3676" s="1" t="str">
        <x:v>Advance shipping</x:v>
      </x:c>
      <x:c r="G3676" s="6" t="n">
        <x:v>2</x:v>
      </x:c>
      <x:c r="H3676" s="6" t="n">
        <x:v>4</x:v>
      </x:c>
      <x:c r="I3676" s="6" t="n">
        <x:f>G3676-H3676</x:f>
        <x:v>-2</x:v>
      </x:c>
      <x:c r="J3676" s="6" t="n">
        <x:f>IF(OR(E3676="CANCELED",E3676="SUSPECTED_FRAUD",F3676="Shipping canceled"),0,1)</x:f>
        <x:v>1</x:v>
      </x:c>
      <x:c r="K3676" s="6" t="n">
        <x:f>IF(G3676&gt;H3676,1,0)</x:f>
        <x:v>0</x:v>
      </x:c>
      <x:c r="L3676" s="6" t="n">
        <x:f>J3676*K3676</x:f>
        <x:v>0</x:v>
      </x:c>
    </x:row>
    <x:row r="3677">
      <x:c r="A3677" s="1" t="n">
        <x:v>27784</x:v>
      </x:c>
      <x:c r="B3677" s="5" t="d">
        <x:v>2016-02-10T00:00:00.000Z</x:v>
      </x:c>
      <x:c r="C3677" s="1" t="str">
        <x:v>Second Class</x:v>
      </x:c>
      <x:c r="D3677" s="1" t="str">
        <x:v>Pacific Asia</x:v>
      </x:c>
      <x:c r="E3677" s="1" t="str">
        <x:v>COMPLETE</x:v>
      </x:c>
      <x:c r="F3677" s="1" t="str">
        <x:v>Late delivery</x:v>
      </x:c>
      <x:c r="G3677" s="6" t="n">
        <x:v>5</x:v>
      </x:c>
      <x:c r="H3677" s="6" t="n">
        <x:v>2</x:v>
      </x:c>
      <x:c r="I3677" s="6" t="n">
        <x:f>G3677-H3677</x:f>
        <x:v>3</x:v>
      </x:c>
      <x:c r="J3677" s="6" t="n">
        <x:f>IF(OR(E3677="CANCELED",E3677="SUSPECTED_FRAUD",F3677="Shipping canceled"),0,1)</x:f>
        <x:v>1</x:v>
      </x:c>
      <x:c r="K3677" s="6" t="n">
        <x:f>IF(G3677&gt;H3677,1,0)</x:f>
        <x:v>1</x:v>
      </x:c>
      <x:c r="L3677" s="6" t="n">
        <x:f>J3677*K3677</x:f>
        <x:v>1</x:v>
      </x:c>
    </x:row>
    <x:row r="3678">
      <x:c r="A3678" s="1" t="n">
        <x:v>27800</x:v>
      </x:c>
      <x:c r="B3678" s="5" t="d">
        <x:v>2016-02-10T00:00:00.000Z</x:v>
      </x:c>
      <x:c r="C3678" s="1" t="str">
        <x:v>Second Class</x:v>
      </x:c>
      <x:c r="D3678" s="1" t="str">
        <x:v>Pacific Asia</x:v>
      </x:c>
      <x:c r="E3678" s="1" t="str">
        <x:v>COMPLETE</x:v>
      </x:c>
      <x:c r="F3678" s="1" t="str">
        <x:v>Late delivery</x:v>
      </x:c>
      <x:c r="G3678" s="6" t="n">
        <x:v>6</x:v>
      </x:c>
      <x:c r="H3678" s="6" t="n">
        <x:v>2</x:v>
      </x:c>
      <x:c r="I3678" s="6" t="n">
        <x:f>G3678-H3678</x:f>
        <x:v>4</x:v>
      </x:c>
      <x:c r="J3678" s="6" t="n">
        <x:f>IF(OR(E3678="CANCELED",E3678="SUSPECTED_FRAUD",F3678="Shipping canceled"),0,1)</x:f>
        <x:v>1</x:v>
      </x:c>
      <x:c r="K3678" s="6" t="n">
        <x:f>IF(G3678&gt;H3678,1,0)</x:f>
        <x:v>1</x:v>
      </x:c>
      <x:c r="L3678" s="6" t="n">
        <x:f>J3678*K3678</x:f>
        <x:v>1</x:v>
      </x:c>
    </x:row>
    <x:row r="3679">
      <x:c r="A3679" s="1" t="n">
        <x:v>27808</x:v>
      </x:c>
      <x:c r="B3679" s="5" t="d">
        <x:v>2016-02-10T00:00:00.000Z</x:v>
      </x:c>
      <x:c r="C3679" s="1" t="str">
        <x:v>Standard Class</x:v>
      </x:c>
      <x:c r="D3679" s="1" t="str">
        <x:v>Pacific Asia</x:v>
      </x:c>
      <x:c r="E3679" s="1" t="str">
        <x:v>PENDING_PAYMENT</x:v>
      </x:c>
      <x:c r="F3679" s="1" t="str">
        <x:v>Shipping on time</x:v>
      </x:c>
      <x:c r="G3679" s="6" t="n">
        <x:v>4</x:v>
      </x:c>
      <x:c r="H3679" s="6" t="n">
        <x:v>4</x:v>
      </x:c>
      <x:c r="I3679" s="6" t="n">
        <x:f>G3679-H3679</x:f>
        <x:v>0</x:v>
      </x:c>
      <x:c r="J3679" s="6" t="n">
        <x:f>IF(OR(E3679="CANCELED",E3679="SUSPECTED_FRAUD",F3679="Shipping canceled"),0,1)</x:f>
        <x:v>1</x:v>
      </x:c>
      <x:c r="K3679" s="6" t="n">
        <x:f>IF(G3679&gt;H3679,1,0)</x:f>
        <x:v>0</x:v>
      </x:c>
      <x:c r="L3679" s="6" t="n">
        <x:f>J3679*K3679</x:f>
        <x:v>0</x:v>
      </x:c>
    </x:row>
    <x:row r="3680">
      <x:c r="A3680" s="1" t="n">
        <x:v>27813</x:v>
      </x:c>
      <x:c r="B3680" s="5" t="d">
        <x:v>2016-02-10T00:00:00.000Z</x:v>
      </x:c>
      <x:c r="C3680" s="1" t="str">
        <x:v>Standard Class</x:v>
      </x:c>
      <x:c r="D3680" s="1" t="str">
        <x:v>Pacific Asia</x:v>
      </x:c>
      <x:c r="E3680" s="1" t="str">
        <x:v>ON_HOLD</x:v>
      </x:c>
      <x:c r="F3680" s="1" t="str">
        <x:v>Shipping on time</x:v>
      </x:c>
      <x:c r="G3680" s="6" t="n">
        <x:v>4</x:v>
      </x:c>
      <x:c r="H3680" s="6" t="n">
        <x:v>4</x:v>
      </x:c>
      <x:c r="I3680" s="6" t="n">
        <x:f>G3680-H3680</x:f>
        <x:v>0</x:v>
      </x:c>
      <x:c r="J3680" s="6" t="n">
        <x:f>IF(OR(E3680="CANCELED",E3680="SUSPECTED_FRAUD",F3680="Shipping canceled"),0,1)</x:f>
        <x:v>1</x:v>
      </x:c>
      <x:c r="K3680" s="6" t="n">
        <x:f>IF(G3680&gt;H3680,1,0)</x:f>
        <x:v>0</x:v>
      </x:c>
      <x:c r="L3680" s="6" t="n">
        <x:f>J3680*K3680</x:f>
        <x:v>0</x:v>
      </x:c>
    </x:row>
    <x:row r="3681">
      <x:c r="A3681" s="1" t="n">
        <x:v>27818</x:v>
      </x:c>
      <x:c r="B3681" s="5" t="d">
        <x:v>2016-02-11T00:00:00.000Z</x:v>
      </x:c>
      <x:c r="C3681" s="1" t="str">
        <x:v>First Class</x:v>
      </x:c>
      <x:c r="D3681" s="1" t="str">
        <x:v>Pacific Asia</x:v>
      </x:c>
      <x:c r="E3681" s="1" t="str">
        <x:v>SUSPECTED_FRAUD</x:v>
      </x:c>
      <x:c r="F3681" s="1" t="str">
        <x:v>Shipping canceled</x:v>
      </x:c>
      <x:c r="G3681" s="6" t="n">
        <x:v>2</x:v>
      </x:c>
      <x:c r="H3681" s="6" t="n">
        <x:v>1</x:v>
      </x:c>
      <x:c r="I3681" s="6" t="n">
        <x:f>G3681-H3681</x:f>
        <x:v>1</x:v>
      </x:c>
      <x:c r="J3681" s="6" t="n">
        <x:f>IF(OR(E3681="CANCELED",E3681="SUSPECTED_FRAUD",F3681="Shipping canceled"),0,1)</x:f>
        <x:v>0</x:v>
      </x:c>
      <x:c r="K3681" s="6" t="n">
        <x:f>IF(G3681&gt;H3681,1,0)</x:f>
        <x:v>1</x:v>
      </x:c>
      <x:c r="L3681" s="6" t="n">
        <x:f>J3681*K3681</x:f>
        <x:v>0</x:v>
      </x:c>
    </x:row>
    <x:row r="3682">
      <x:c r="A3682" s="1" t="n">
        <x:v>27823</x:v>
      </x:c>
      <x:c r="B3682" s="5" t="d">
        <x:v>2016-02-11T00:00:00.000Z</x:v>
      </x:c>
      <x:c r="C3682" s="1" t="str">
        <x:v>Standard Class</x:v>
      </x:c>
      <x:c r="D3682" s="1" t="str">
        <x:v>Pacific Asia</x:v>
      </x:c>
      <x:c r="E3682" s="1" t="str">
        <x:v>COMPLETE</x:v>
      </x:c>
      <x:c r="F3682" s="1" t="str">
        <x:v>Shipping on time</x:v>
      </x:c>
      <x:c r="G3682" s="6" t="n">
        <x:v>4</x:v>
      </x:c>
      <x:c r="H3682" s="6" t="n">
        <x:v>4</x:v>
      </x:c>
      <x:c r="I3682" s="6" t="n">
        <x:f>G3682-H3682</x:f>
        <x:v>0</x:v>
      </x:c>
      <x:c r="J3682" s="6" t="n">
        <x:f>IF(OR(E3682="CANCELED",E3682="SUSPECTED_FRAUD",F3682="Shipping canceled"),0,1)</x:f>
        <x:v>1</x:v>
      </x:c>
      <x:c r="K3682" s="6" t="n">
        <x:f>IF(G3682&gt;H3682,1,0)</x:f>
        <x:v>0</x:v>
      </x:c>
      <x:c r="L3682" s="6" t="n">
        <x:f>J3682*K3682</x:f>
        <x:v>0</x:v>
      </x:c>
    </x:row>
    <x:row r="3683">
      <x:c r="A3683" s="1" t="n">
        <x:v>27828</x:v>
      </x:c>
      <x:c r="B3683" s="5" t="d">
        <x:v>2016-02-11T00:00:00.000Z</x:v>
      </x:c>
      <x:c r="C3683" s="1" t="str">
        <x:v>Standard Class</x:v>
      </x:c>
      <x:c r="D3683" s="1" t="str">
        <x:v>Pacific Asia</x:v>
      </x:c>
      <x:c r="E3683" s="1" t="str">
        <x:v>COMPLETE</x:v>
      </x:c>
      <x:c r="F3683" s="1" t="str">
        <x:v>Shipping on time</x:v>
      </x:c>
      <x:c r="G3683" s="6" t="n">
        <x:v>4</x:v>
      </x:c>
      <x:c r="H3683" s="6" t="n">
        <x:v>4</x:v>
      </x:c>
      <x:c r="I3683" s="6" t="n">
        <x:f>G3683-H3683</x:f>
        <x:v>0</x:v>
      </x:c>
      <x:c r="J3683" s="6" t="n">
        <x:f>IF(OR(E3683="CANCELED",E3683="SUSPECTED_FRAUD",F3683="Shipping canceled"),0,1)</x:f>
        <x:v>1</x:v>
      </x:c>
      <x:c r="K3683" s="6" t="n">
        <x:f>IF(G3683&gt;H3683,1,0)</x:f>
        <x:v>0</x:v>
      </x:c>
      <x:c r="L3683" s="6" t="n">
        <x:f>J3683*K3683</x:f>
        <x:v>0</x:v>
      </x:c>
    </x:row>
    <x:row r="3684">
      <x:c r="A3684" s="1" t="n">
        <x:v>27838</x:v>
      </x:c>
      <x:c r="B3684" s="5" t="d">
        <x:v>2016-02-11T00:00:00.000Z</x:v>
      </x:c>
      <x:c r="C3684" s="1" t="str">
        <x:v>Standard Class</x:v>
      </x:c>
      <x:c r="D3684" s="1" t="str">
        <x:v>Pacific Asia</x:v>
      </x:c>
      <x:c r="E3684" s="1" t="str">
        <x:v>COMPLETE</x:v>
      </x:c>
      <x:c r="F3684" s="1" t="str">
        <x:v>Shipping on time</x:v>
      </x:c>
      <x:c r="G3684" s="6" t="n">
        <x:v>4</x:v>
      </x:c>
      <x:c r="H3684" s="6" t="n">
        <x:v>4</x:v>
      </x:c>
      <x:c r="I3684" s="6" t="n">
        <x:f>G3684-H3684</x:f>
        <x:v>0</x:v>
      </x:c>
      <x:c r="J3684" s="6" t="n">
        <x:f>IF(OR(E3684="CANCELED",E3684="SUSPECTED_FRAUD",F3684="Shipping canceled"),0,1)</x:f>
        <x:v>1</x:v>
      </x:c>
      <x:c r="K3684" s="6" t="n">
        <x:f>IF(G3684&gt;H3684,1,0)</x:f>
        <x:v>0</x:v>
      </x:c>
      <x:c r="L3684" s="6" t="n">
        <x:f>J3684*K3684</x:f>
        <x:v>0</x:v>
      </x:c>
    </x:row>
    <x:row r="3685">
      <x:c r="A3685" s="1" t="n">
        <x:v>27839</x:v>
      </x:c>
      <x:c r="B3685" s="5" t="d">
        <x:v>2016-02-11T00:00:00.000Z</x:v>
      </x:c>
      <x:c r="C3685" s="1" t="str">
        <x:v>Standard Class</x:v>
      </x:c>
      <x:c r="D3685" s="1" t="str">
        <x:v>Pacific Asia</x:v>
      </x:c>
      <x:c r="E3685" s="1" t="str">
        <x:v>PROCESSING</x:v>
      </x:c>
      <x:c r="F3685" s="1" t="str">
        <x:v>Late delivery</x:v>
      </x:c>
      <x:c r="G3685" s="6" t="n">
        <x:v>5</x:v>
      </x:c>
      <x:c r="H3685" s="6" t="n">
        <x:v>4</x:v>
      </x:c>
      <x:c r="I3685" s="6" t="n">
        <x:f>G3685-H3685</x:f>
        <x:v>1</x:v>
      </x:c>
      <x:c r="J3685" s="6" t="n">
        <x:f>IF(OR(E3685="CANCELED",E3685="SUSPECTED_FRAUD",F3685="Shipping canceled"),0,1)</x:f>
        <x:v>1</x:v>
      </x:c>
      <x:c r="K3685" s="6" t="n">
        <x:f>IF(G3685&gt;H3685,1,0)</x:f>
        <x:v>1</x:v>
      </x:c>
      <x:c r="L3685" s="6" t="n">
        <x:f>J3685*K3685</x:f>
        <x:v>1</x:v>
      </x:c>
    </x:row>
    <x:row r="3686">
      <x:c r="A3686" s="1" t="n">
        <x:v>27842</x:v>
      </x:c>
      <x:c r="B3686" s="5" t="d">
        <x:v>2016-02-11T00:00:00.000Z</x:v>
      </x:c>
      <x:c r="C3686" s="1" t="str">
        <x:v>Standard Class</x:v>
      </x:c>
      <x:c r="D3686" s="1" t="str">
        <x:v>Pacific Asia</x:v>
      </x:c>
      <x:c r="E3686" s="1" t="str">
        <x:v>PENDING_PAYMENT</x:v>
      </x:c>
      <x:c r="F3686" s="1" t="str">
        <x:v>Advance shipping</x:v>
      </x:c>
      <x:c r="G3686" s="6" t="n">
        <x:v>3</x:v>
      </x:c>
      <x:c r="H3686" s="6" t="n">
        <x:v>4</x:v>
      </x:c>
      <x:c r="I3686" s="6" t="n">
        <x:f>G3686-H3686</x:f>
        <x:v>-1</x:v>
      </x:c>
      <x:c r="J3686" s="6" t="n">
        <x:f>IF(OR(E3686="CANCELED",E3686="SUSPECTED_FRAUD",F3686="Shipping canceled"),0,1)</x:f>
        <x:v>1</x:v>
      </x:c>
      <x:c r="K3686" s="6" t="n">
        <x:f>IF(G3686&gt;H3686,1,0)</x:f>
        <x:v>0</x:v>
      </x:c>
      <x:c r="L3686" s="6" t="n">
        <x:f>J3686*K3686</x:f>
        <x:v>0</x:v>
      </x:c>
    </x:row>
    <x:row r="3687">
      <x:c r="A3687" s="1" t="n">
        <x:v>27848</x:v>
      </x:c>
      <x:c r="B3687" s="5" t="d">
        <x:v>2016-02-11T00:00:00.000Z</x:v>
      </x:c>
      <x:c r="C3687" s="1" t="str">
        <x:v>Standard Class</x:v>
      </x:c>
      <x:c r="D3687" s="1" t="str">
        <x:v>Pacific Asia</x:v>
      </x:c>
      <x:c r="E3687" s="1" t="str">
        <x:v>COMPLETE</x:v>
      </x:c>
      <x:c r="F3687" s="1" t="str">
        <x:v>Shipping on time</x:v>
      </x:c>
      <x:c r="G3687" s="6" t="n">
        <x:v>4</x:v>
      </x:c>
      <x:c r="H3687" s="6" t="n">
        <x:v>4</x:v>
      </x:c>
      <x:c r="I3687" s="6" t="n">
        <x:f>G3687-H3687</x:f>
        <x:v>0</x:v>
      </x:c>
      <x:c r="J3687" s="6" t="n">
        <x:f>IF(OR(E3687="CANCELED",E3687="SUSPECTED_FRAUD",F3687="Shipping canceled"),0,1)</x:f>
        <x:v>1</x:v>
      </x:c>
      <x:c r="K3687" s="6" t="n">
        <x:f>IF(G3687&gt;H3687,1,0)</x:f>
        <x:v>0</x:v>
      </x:c>
      <x:c r="L3687" s="6" t="n">
        <x:f>J3687*K3687</x:f>
        <x:v>0</x:v>
      </x:c>
    </x:row>
    <x:row r="3688">
      <x:c r="A3688" s="1" t="n">
        <x:v>27856</x:v>
      </x:c>
      <x:c r="B3688" s="5" t="d">
        <x:v>2016-02-11T00:00:00.000Z</x:v>
      </x:c>
      <x:c r="C3688" s="1" t="str">
        <x:v>Standard Class</x:v>
      </x:c>
      <x:c r="D3688" s="1" t="str">
        <x:v>Pacific Asia</x:v>
      </x:c>
      <x:c r="E3688" s="1" t="str">
        <x:v>PROCESSING</x:v>
      </x:c>
      <x:c r="F3688" s="1" t="str">
        <x:v>Advance shipping</x:v>
      </x:c>
      <x:c r="G3688" s="6" t="n">
        <x:v>2</x:v>
      </x:c>
      <x:c r="H3688" s="6" t="n">
        <x:v>4</x:v>
      </x:c>
      <x:c r="I3688" s="6" t="n">
        <x:f>G3688-H3688</x:f>
        <x:v>-2</x:v>
      </x:c>
      <x:c r="J3688" s="6" t="n">
        <x:f>IF(OR(E3688="CANCELED",E3688="SUSPECTED_FRAUD",F3688="Shipping canceled"),0,1)</x:f>
        <x:v>1</x:v>
      </x:c>
      <x:c r="K3688" s="6" t="n">
        <x:f>IF(G3688&gt;H3688,1,0)</x:f>
        <x:v>0</x:v>
      </x:c>
      <x:c r="L3688" s="6" t="n">
        <x:f>J3688*K3688</x:f>
        <x:v>0</x:v>
      </x:c>
    </x:row>
    <x:row r="3689">
      <x:c r="A3689" s="1" t="n">
        <x:v>27860</x:v>
      </x:c>
      <x:c r="B3689" s="5" t="d">
        <x:v>2016-02-11T00:00:00.000Z</x:v>
      </x:c>
      <x:c r="C3689" s="1" t="str">
        <x:v>Standard Class</x:v>
      </x:c>
      <x:c r="D3689" s="1" t="str">
        <x:v>Pacific Asia</x:v>
      </x:c>
      <x:c r="E3689" s="1" t="str">
        <x:v>ON_HOLD</x:v>
      </x:c>
      <x:c r="F3689" s="1" t="str">
        <x:v>Late delivery</x:v>
      </x:c>
      <x:c r="G3689" s="6" t="n">
        <x:v>6</x:v>
      </x:c>
      <x:c r="H3689" s="6" t="n">
        <x:v>4</x:v>
      </x:c>
      <x:c r="I3689" s="6" t="n">
        <x:f>G3689-H3689</x:f>
        <x:v>2</x:v>
      </x:c>
      <x:c r="J3689" s="6" t="n">
        <x:f>IF(OR(E3689="CANCELED",E3689="SUSPECTED_FRAUD",F3689="Shipping canceled"),0,1)</x:f>
        <x:v>1</x:v>
      </x:c>
      <x:c r="K3689" s="6" t="n">
        <x:f>IF(G3689&gt;H3689,1,0)</x:f>
        <x:v>1</x:v>
      </x:c>
      <x:c r="L3689" s="6" t="n">
        <x:f>J3689*K3689</x:f>
        <x:v>1</x:v>
      </x:c>
    </x:row>
    <x:row r="3690">
      <x:c r="A3690" s="1" t="n">
        <x:v>27869</x:v>
      </x:c>
      <x:c r="B3690" s="5" t="d">
        <x:v>2016-02-11T00:00:00.000Z</x:v>
      </x:c>
      <x:c r="C3690" s="1" t="str">
        <x:v>Second Class</x:v>
      </x:c>
      <x:c r="D3690" s="1" t="str">
        <x:v>Pacific Asia</x:v>
      </x:c>
      <x:c r="E3690" s="1" t="str">
        <x:v>COMPLETE</x:v>
      </x:c>
      <x:c r="F3690" s="1" t="str">
        <x:v>Late delivery</x:v>
      </x:c>
      <x:c r="G3690" s="6" t="n">
        <x:v>5</x:v>
      </x:c>
      <x:c r="H3690" s="6" t="n">
        <x:v>2</x:v>
      </x:c>
      <x:c r="I3690" s="6" t="n">
        <x:f>G3690-H3690</x:f>
        <x:v>3</x:v>
      </x:c>
      <x:c r="J3690" s="6" t="n">
        <x:f>IF(OR(E3690="CANCELED",E3690="SUSPECTED_FRAUD",F3690="Shipping canceled"),0,1)</x:f>
        <x:v>1</x:v>
      </x:c>
      <x:c r="K3690" s="6" t="n">
        <x:f>IF(G3690&gt;H3690,1,0)</x:f>
        <x:v>1</x:v>
      </x:c>
      <x:c r="L3690" s="6" t="n">
        <x:f>J3690*K3690</x:f>
        <x:v>1</x:v>
      </x:c>
    </x:row>
    <x:row r="3691">
      <x:c r="A3691" s="1" t="n">
        <x:v>27877</x:v>
      </x:c>
      <x:c r="B3691" s="5" t="d">
        <x:v>2016-02-11T00:00:00.000Z</x:v>
      </x:c>
      <x:c r="C3691" s="1" t="str">
        <x:v>Second Class</x:v>
      </x:c>
      <x:c r="D3691" s="1" t="str">
        <x:v>Pacific Asia</x:v>
      </x:c>
      <x:c r="E3691" s="1" t="str">
        <x:v>SUSPECTED_FRAUD</x:v>
      </x:c>
      <x:c r="F3691" s="1" t="str">
        <x:v>Shipping canceled</x:v>
      </x:c>
      <x:c r="G3691" s="6" t="n">
        <x:v>3</x:v>
      </x:c>
      <x:c r="H3691" s="6" t="n">
        <x:v>2</x:v>
      </x:c>
      <x:c r="I3691" s="6" t="n">
        <x:f>G3691-H3691</x:f>
        <x:v>1</x:v>
      </x:c>
      <x:c r="J3691" s="6" t="n">
        <x:f>IF(OR(E3691="CANCELED",E3691="SUSPECTED_FRAUD",F3691="Shipping canceled"),0,1)</x:f>
        <x:v>0</x:v>
      </x:c>
      <x:c r="K3691" s="6" t="n">
        <x:f>IF(G3691&gt;H3691,1,0)</x:f>
        <x:v>1</x:v>
      </x:c>
      <x:c r="L3691" s="6" t="n">
        <x:f>J3691*K3691</x:f>
        <x:v>0</x:v>
      </x:c>
    </x:row>
    <x:row r="3692">
      <x:c r="A3692" s="1" t="n">
        <x:v>27880</x:v>
      </x:c>
      <x:c r="B3692" s="5" t="d">
        <x:v>2016-02-11T00:00:00.000Z</x:v>
      </x:c>
      <x:c r="C3692" s="1" t="str">
        <x:v>Standard Class</x:v>
      </x:c>
      <x:c r="D3692" s="1" t="str">
        <x:v>Pacific Asia</x:v>
      </x:c>
      <x:c r="E3692" s="1" t="str">
        <x:v>ON_HOLD</x:v>
      </x:c>
      <x:c r="F3692" s="1" t="str">
        <x:v>Late delivery</x:v>
      </x:c>
      <x:c r="G3692" s="6" t="n">
        <x:v>6</x:v>
      </x:c>
      <x:c r="H3692" s="6" t="n">
        <x:v>4</x:v>
      </x:c>
      <x:c r="I3692" s="6" t="n">
        <x:f>G3692-H3692</x:f>
        <x:v>2</x:v>
      </x:c>
      <x:c r="J3692" s="6" t="n">
        <x:f>IF(OR(E3692="CANCELED",E3692="SUSPECTED_FRAUD",F3692="Shipping canceled"),0,1)</x:f>
        <x:v>1</x:v>
      </x:c>
      <x:c r="K3692" s="6" t="n">
        <x:f>IF(G3692&gt;H3692,1,0)</x:f>
        <x:v>1</x:v>
      </x:c>
      <x:c r="L3692" s="6" t="n">
        <x:f>J3692*K3692</x:f>
        <x:v>1</x:v>
      </x:c>
    </x:row>
    <x:row r="3693">
      <x:c r="A3693" s="1" t="n">
        <x:v>27888</x:v>
      </x:c>
      <x:c r="B3693" s="5" t="d">
        <x:v>2016-02-12T00:00:00.000Z</x:v>
      </x:c>
      <x:c r="C3693" s="1" t="str">
        <x:v>Standard Class</x:v>
      </x:c>
      <x:c r="D3693" s="1" t="str">
        <x:v>Pacific Asia</x:v>
      </x:c>
      <x:c r="E3693" s="1" t="str">
        <x:v>COMPLETE</x:v>
      </x:c>
      <x:c r="F3693" s="1" t="str">
        <x:v>Shipping on time</x:v>
      </x:c>
      <x:c r="G3693" s="6" t="n">
        <x:v>4</x:v>
      </x:c>
      <x:c r="H3693" s="6" t="n">
        <x:v>4</x:v>
      </x:c>
      <x:c r="I3693" s="6" t="n">
        <x:f>G3693-H3693</x:f>
        <x:v>0</x:v>
      </x:c>
      <x:c r="J3693" s="6" t="n">
        <x:f>IF(OR(E3693="CANCELED",E3693="SUSPECTED_FRAUD",F3693="Shipping canceled"),0,1)</x:f>
        <x:v>1</x:v>
      </x:c>
      <x:c r="K3693" s="6" t="n">
        <x:f>IF(G3693&gt;H3693,1,0)</x:f>
        <x:v>0</x:v>
      </x:c>
      <x:c r="L3693" s="6" t="n">
        <x:f>J3693*K3693</x:f>
        <x:v>0</x:v>
      </x:c>
    </x:row>
    <x:row r="3694">
      <x:c r="A3694" s="1" t="n">
        <x:v>27897</x:v>
      </x:c>
      <x:c r="B3694" s="5" t="d">
        <x:v>2016-02-12T00:00:00.000Z</x:v>
      </x:c>
      <x:c r="C3694" s="1" t="str">
        <x:v>Standard Class</x:v>
      </x:c>
      <x:c r="D3694" s="1" t="str">
        <x:v>Pacific Asia</x:v>
      </x:c>
      <x:c r="E3694" s="1" t="str">
        <x:v>COMPLETE</x:v>
      </x:c>
      <x:c r="F3694" s="1" t="str">
        <x:v>Advance shipping</x:v>
      </x:c>
      <x:c r="G3694" s="6" t="n">
        <x:v>3</x:v>
      </x:c>
      <x:c r="H3694" s="6" t="n">
        <x:v>4</x:v>
      </x:c>
      <x:c r="I3694" s="6" t="n">
        <x:f>G3694-H3694</x:f>
        <x:v>-1</x:v>
      </x:c>
      <x:c r="J3694" s="6" t="n">
        <x:f>IF(OR(E3694="CANCELED",E3694="SUSPECTED_FRAUD",F3694="Shipping canceled"),0,1)</x:f>
        <x:v>1</x:v>
      </x:c>
      <x:c r="K3694" s="6" t="n">
        <x:f>IF(G3694&gt;H3694,1,0)</x:f>
        <x:v>0</x:v>
      </x:c>
      <x:c r="L3694" s="6" t="n">
        <x:f>J3694*K3694</x:f>
        <x:v>0</x:v>
      </x:c>
    </x:row>
    <x:row r="3695">
      <x:c r="A3695" s="1" t="n">
        <x:v>27918</x:v>
      </x:c>
      <x:c r="B3695" s="5" t="d">
        <x:v>2016-02-12T00:00:00.000Z</x:v>
      </x:c>
      <x:c r="C3695" s="1" t="str">
        <x:v>Standard Class</x:v>
      </x:c>
      <x:c r="D3695" s="1" t="str">
        <x:v>Pacific Asia</x:v>
      </x:c>
      <x:c r="E3695" s="1" t="str">
        <x:v>COMPLETE</x:v>
      </x:c>
      <x:c r="F3695" s="1" t="str">
        <x:v>Shipping on time</x:v>
      </x:c>
      <x:c r="G3695" s="6" t="n">
        <x:v>4</x:v>
      </x:c>
      <x:c r="H3695" s="6" t="n">
        <x:v>4</x:v>
      </x:c>
      <x:c r="I3695" s="6" t="n">
        <x:f>G3695-H3695</x:f>
        <x:v>0</x:v>
      </x:c>
      <x:c r="J3695" s="6" t="n">
        <x:f>IF(OR(E3695="CANCELED",E3695="SUSPECTED_FRAUD",F3695="Shipping canceled"),0,1)</x:f>
        <x:v>1</x:v>
      </x:c>
      <x:c r="K3695" s="6" t="n">
        <x:f>IF(G3695&gt;H3695,1,0)</x:f>
        <x:v>0</x:v>
      </x:c>
      <x:c r="L3695" s="6" t="n">
        <x:f>J3695*K3695</x:f>
        <x:v>0</x:v>
      </x:c>
    </x:row>
    <x:row r="3696">
      <x:c r="A3696" s="1" t="n">
        <x:v>27921</x:v>
      </x:c>
      <x:c r="B3696" s="5" t="d">
        <x:v>2016-02-12T00:00:00.000Z</x:v>
      </x:c>
      <x:c r="C3696" s="1" t="str">
        <x:v>Standard Class</x:v>
      </x:c>
      <x:c r="D3696" s="1" t="str">
        <x:v>Pacific Asia</x:v>
      </x:c>
      <x:c r="E3696" s="1" t="str">
        <x:v>PENDING_PAYMENT</x:v>
      </x:c>
      <x:c r="F3696" s="1" t="str">
        <x:v>Advance shipping</x:v>
      </x:c>
      <x:c r="G3696" s="6" t="n">
        <x:v>2</x:v>
      </x:c>
      <x:c r="H3696" s="6" t="n">
        <x:v>4</x:v>
      </x:c>
      <x:c r="I3696" s="6" t="n">
        <x:f>G3696-H3696</x:f>
        <x:v>-2</x:v>
      </x:c>
      <x:c r="J3696" s="6" t="n">
        <x:f>IF(OR(E3696="CANCELED",E3696="SUSPECTED_FRAUD",F3696="Shipping canceled"),0,1)</x:f>
        <x:v>1</x:v>
      </x:c>
      <x:c r="K3696" s="6" t="n">
        <x:f>IF(G3696&gt;H3696,1,0)</x:f>
        <x:v>0</x:v>
      </x:c>
      <x:c r="L3696" s="6" t="n">
        <x:f>J3696*K3696</x:f>
        <x:v>0</x:v>
      </x:c>
    </x:row>
    <x:row r="3697">
      <x:c r="A3697" s="1" t="n">
        <x:v>27928</x:v>
      </x:c>
      <x:c r="B3697" s="5" t="d">
        <x:v>2016-02-12T00:00:00.000Z</x:v>
      </x:c>
      <x:c r="C3697" s="1" t="str">
        <x:v>Standard Class</x:v>
      </x:c>
      <x:c r="D3697" s="1" t="str">
        <x:v>Pacific Asia</x:v>
      </x:c>
      <x:c r="E3697" s="1" t="str">
        <x:v>COMPLETE</x:v>
      </x:c>
      <x:c r="F3697" s="1" t="str">
        <x:v>Shipping on time</x:v>
      </x:c>
      <x:c r="G3697" s="6" t="n">
        <x:v>4</x:v>
      </x:c>
      <x:c r="H3697" s="6" t="n">
        <x:v>4</x:v>
      </x:c>
      <x:c r="I3697" s="6" t="n">
        <x:f>G3697-H3697</x:f>
        <x:v>0</x:v>
      </x:c>
      <x:c r="J3697" s="6" t="n">
        <x:f>IF(OR(E3697="CANCELED",E3697="SUSPECTED_FRAUD",F3697="Shipping canceled"),0,1)</x:f>
        <x:v>1</x:v>
      </x:c>
      <x:c r="K3697" s="6" t="n">
        <x:f>IF(G3697&gt;H3697,1,0)</x:f>
        <x:v>0</x:v>
      </x:c>
      <x:c r="L3697" s="6" t="n">
        <x:f>J3697*K3697</x:f>
        <x:v>0</x:v>
      </x:c>
    </x:row>
    <x:row r="3698">
      <x:c r="A3698" s="1" t="n">
        <x:v>27930</x:v>
      </x:c>
      <x:c r="B3698" s="5" t="d">
        <x:v>2016-02-12T00:00:00.000Z</x:v>
      </x:c>
      <x:c r="C3698" s="1" t="str">
        <x:v>Standard Class</x:v>
      </x:c>
      <x:c r="D3698" s="1" t="str">
        <x:v>Pacific Asia</x:v>
      </x:c>
      <x:c r="E3698" s="1" t="str">
        <x:v>PAYMENT_REVIEW</x:v>
      </x:c>
      <x:c r="F3698" s="1" t="str">
        <x:v>Late delivery</x:v>
      </x:c>
      <x:c r="G3698" s="6" t="n">
        <x:v>6</x:v>
      </x:c>
      <x:c r="H3698" s="6" t="n">
        <x:v>4</x:v>
      </x:c>
      <x:c r="I3698" s="6" t="n">
        <x:f>G3698-H3698</x:f>
        <x:v>2</x:v>
      </x:c>
      <x:c r="J3698" s="6" t="n">
        <x:f>IF(OR(E3698="CANCELED",E3698="SUSPECTED_FRAUD",F3698="Shipping canceled"),0,1)</x:f>
        <x:v>1</x:v>
      </x:c>
      <x:c r="K3698" s="6" t="n">
        <x:f>IF(G3698&gt;H3698,1,0)</x:f>
        <x:v>1</x:v>
      </x:c>
      <x:c r="L3698" s="6" t="n">
        <x:f>J3698*K3698</x:f>
        <x:v>1</x:v>
      </x:c>
    </x:row>
    <x:row r="3699">
      <x:c r="A3699" s="1" t="n">
        <x:v>27947</x:v>
      </x:c>
      <x:c r="B3699" s="5" t="d">
        <x:v>2016-02-12T00:00:00.000Z</x:v>
      </x:c>
      <x:c r="C3699" s="1" t="str">
        <x:v>Standard Class</x:v>
      </x:c>
      <x:c r="D3699" s="1" t="str">
        <x:v>Pacific Asia</x:v>
      </x:c>
      <x:c r="E3699" s="1" t="str">
        <x:v>PENDING_PAYMENT</x:v>
      </x:c>
      <x:c r="F3699" s="1" t="str">
        <x:v>Advance shipping</x:v>
      </x:c>
      <x:c r="G3699" s="6" t="n">
        <x:v>3</x:v>
      </x:c>
      <x:c r="H3699" s="6" t="n">
        <x:v>4</x:v>
      </x:c>
      <x:c r="I3699" s="6" t="n">
        <x:f>G3699-H3699</x:f>
        <x:v>-1</x:v>
      </x:c>
      <x:c r="J3699" s="6" t="n">
        <x:f>IF(OR(E3699="CANCELED",E3699="SUSPECTED_FRAUD",F3699="Shipping canceled"),0,1)</x:f>
        <x:v>1</x:v>
      </x:c>
      <x:c r="K3699" s="6" t="n">
        <x:f>IF(G3699&gt;H3699,1,0)</x:f>
        <x:v>0</x:v>
      </x:c>
      <x:c r="L3699" s="6" t="n">
        <x:f>J3699*K3699</x:f>
        <x:v>0</x:v>
      </x:c>
    </x:row>
    <x:row r="3700">
      <x:c r="A3700" s="1" t="n">
        <x:v>27957</x:v>
      </x:c>
      <x:c r="B3700" s="5" t="d">
        <x:v>2016-02-13T00:00:00.000Z</x:v>
      </x:c>
      <x:c r="C3700" s="1" t="str">
        <x:v>Standard Class</x:v>
      </x:c>
      <x:c r="D3700" s="1" t="str">
        <x:v>Pacific Asia</x:v>
      </x:c>
      <x:c r="E3700" s="1" t="str">
        <x:v>COMPLETE</x:v>
      </x:c>
      <x:c r="F3700" s="1" t="str">
        <x:v>Advance shipping</x:v>
      </x:c>
      <x:c r="G3700" s="6" t="n">
        <x:v>3</x:v>
      </x:c>
      <x:c r="H3700" s="6" t="n">
        <x:v>4</x:v>
      </x:c>
      <x:c r="I3700" s="6" t="n">
        <x:f>G3700-H3700</x:f>
        <x:v>-1</x:v>
      </x:c>
      <x:c r="J3700" s="6" t="n">
        <x:f>IF(OR(E3700="CANCELED",E3700="SUSPECTED_FRAUD",F3700="Shipping canceled"),0,1)</x:f>
        <x:v>1</x:v>
      </x:c>
      <x:c r="K3700" s="6" t="n">
        <x:f>IF(G3700&gt;H3700,1,0)</x:f>
        <x:v>0</x:v>
      </x:c>
      <x:c r="L3700" s="6" t="n">
        <x:f>J3700*K3700</x:f>
        <x:v>0</x:v>
      </x:c>
    </x:row>
    <x:row r="3701">
      <x:c r="A3701" s="1" t="n">
        <x:v>27970</x:v>
      </x:c>
      <x:c r="B3701" s="5" t="d">
        <x:v>2016-02-13T00:00:00.000Z</x:v>
      </x:c>
      <x:c r="C3701" s="1" t="str">
        <x:v>Second Class</x:v>
      </x:c>
      <x:c r="D3701" s="1" t="str">
        <x:v>Pacific Asia</x:v>
      </x:c>
      <x:c r="E3701" s="1" t="str">
        <x:v>PROCESSING</x:v>
      </x:c>
      <x:c r="F3701" s="1" t="str">
        <x:v>Late delivery</x:v>
      </x:c>
      <x:c r="G3701" s="6" t="n">
        <x:v>6</x:v>
      </x:c>
      <x:c r="H3701" s="6" t="n">
        <x:v>2</x:v>
      </x:c>
      <x:c r="I3701" s="6" t="n">
        <x:f>G3701-H3701</x:f>
        <x:v>4</x:v>
      </x:c>
      <x:c r="J3701" s="6" t="n">
        <x:f>IF(OR(E3701="CANCELED",E3701="SUSPECTED_FRAUD",F3701="Shipping canceled"),0,1)</x:f>
        <x:v>1</x:v>
      </x:c>
      <x:c r="K3701" s="6" t="n">
        <x:f>IF(G3701&gt;H3701,1,0)</x:f>
        <x:v>1</x:v>
      </x:c>
      <x:c r="L3701" s="6" t="n">
        <x:f>J3701*K3701</x:f>
        <x:v>1</x:v>
      </x:c>
    </x:row>
    <x:row r="3702">
      <x:c r="A3702" s="1" t="n">
        <x:v>27972</x:v>
      </x:c>
      <x:c r="B3702" s="5" t="d">
        <x:v>2016-02-13T00:00:00.000Z</x:v>
      </x:c>
      <x:c r="C3702" s="1" t="str">
        <x:v>Second Class</x:v>
      </x:c>
      <x:c r="D3702" s="1" t="str">
        <x:v>Pacific Asia</x:v>
      </x:c>
      <x:c r="E3702" s="1" t="str">
        <x:v>CLOSED</x:v>
      </x:c>
      <x:c r="F3702" s="1" t="str">
        <x:v>Late delivery</x:v>
      </x:c>
      <x:c r="G3702" s="6" t="n">
        <x:v>3</x:v>
      </x:c>
      <x:c r="H3702" s="6" t="n">
        <x:v>2</x:v>
      </x:c>
      <x:c r="I3702" s="6" t="n">
        <x:f>G3702-H3702</x:f>
        <x:v>1</x:v>
      </x:c>
      <x:c r="J3702" s="6" t="n">
        <x:f>IF(OR(E3702="CANCELED",E3702="SUSPECTED_FRAUD",F3702="Shipping canceled"),0,1)</x:f>
        <x:v>1</x:v>
      </x:c>
      <x:c r="K3702" s="6" t="n">
        <x:f>IF(G3702&gt;H3702,1,0)</x:f>
        <x:v>1</x:v>
      </x:c>
      <x:c r="L3702" s="6" t="n">
        <x:f>J3702*K3702</x:f>
        <x:v>1</x:v>
      </x:c>
    </x:row>
    <x:row r="3703">
      <x:c r="A3703" s="1" t="n">
        <x:v>27983</x:v>
      </x:c>
      <x:c r="B3703" s="5" t="d">
        <x:v>2016-02-13T00:00:00.000Z</x:v>
      </x:c>
      <x:c r="C3703" s="1" t="str">
        <x:v>Standard Class</x:v>
      </x:c>
      <x:c r="D3703" s="1" t="str">
        <x:v>Pacific Asia</x:v>
      </x:c>
      <x:c r="E3703" s="1" t="str">
        <x:v>COMPLETE</x:v>
      </x:c>
      <x:c r="F3703" s="1" t="str">
        <x:v>Shipping on time</x:v>
      </x:c>
      <x:c r="G3703" s="6" t="n">
        <x:v>4</x:v>
      </x:c>
      <x:c r="H3703" s="6" t="n">
        <x:v>4</x:v>
      </x:c>
      <x:c r="I3703" s="6" t="n">
        <x:f>G3703-H3703</x:f>
        <x:v>0</x:v>
      </x:c>
      <x:c r="J3703" s="6" t="n">
        <x:f>IF(OR(E3703="CANCELED",E3703="SUSPECTED_FRAUD",F3703="Shipping canceled"),0,1)</x:f>
        <x:v>1</x:v>
      </x:c>
      <x:c r="K3703" s="6" t="n">
        <x:f>IF(G3703&gt;H3703,1,0)</x:f>
        <x:v>0</x:v>
      </x:c>
      <x:c r="L3703" s="6" t="n">
        <x:f>J3703*K3703</x:f>
        <x:v>0</x:v>
      </x:c>
    </x:row>
    <x:row r="3704">
      <x:c r="A3704" s="1" t="n">
        <x:v>27993</x:v>
      </x:c>
      <x:c r="B3704" s="5" t="d">
        <x:v>2016-02-13T00:00:00.000Z</x:v>
      </x:c>
      <x:c r="C3704" s="1" t="str">
        <x:v>Second Class</x:v>
      </x:c>
      <x:c r="D3704" s="1" t="str">
        <x:v>Pacific Asia</x:v>
      </x:c>
      <x:c r="E3704" s="1" t="str">
        <x:v>PENDING_PAYMENT</x:v>
      </x:c>
      <x:c r="F3704" s="1" t="str">
        <x:v>Late delivery</x:v>
      </x:c>
      <x:c r="G3704" s="6" t="n">
        <x:v>4</x:v>
      </x:c>
      <x:c r="H3704" s="6" t="n">
        <x:v>2</x:v>
      </x:c>
      <x:c r="I3704" s="6" t="n">
        <x:f>G3704-H3704</x:f>
        <x:v>2</x:v>
      </x:c>
      <x:c r="J3704" s="6" t="n">
        <x:f>IF(OR(E3704="CANCELED",E3704="SUSPECTED_FRAUD",F3704="Shipping canceled"),0,1)</x:f>
        <x:v>1</x:v>
      </x:c>
      <x:c r="K3704" s="6" t="n">
        <x:f>IF(G3704&gt;H3704,1,0)</x:f>
        <x:v>1</x:v>
      </x:c>
      <x:c r="L3704" s="6" t="n">
        <x:f>J3704*K3704</x:f>
        <x:v>1</x:v>
      </x:c>
    </x:row>
    <x:row r="3705">
      <x:c r="A3705" s="1" t="n">
        <x:v>27994</x:v>
      </x:c>
      <x:c r="B3705" s="5" t="d">
        <x:v>2016-02-13T00:00:00.000Z</x:v>
      </x:c>
      <x:c r="C3705" s="1" t="str">
        <x:v>First Class</x:v>
      </x:c>
      <x:c r="D3705" s="1" t="str">
        <x:v>Pacific Asia</x:v>
      </x:c>
      <x:c r="E3705" s="1" t="str">
        <x:v>PROCESSING</x:v>
      </x:c>
      <x:c r="F3705" s="1" t="str">
        <x:v>Late delivery</x:v>
      </x:c>
      <x:c r="G3705" s="6" t="n">
        <x:v>2</x:v>
      </x:c>
      <x:c r="H3705" s="6" t="n">
        <x:v>1</x:v>
      </x:c>
      <x:c r="I3705" s="6" t="n">
        <x:f>G3705-H3705</x:f>
        <x:v>1</x:v>
      </x:c>
      <x:c r="J3705" s="6" t="n">
        <x:f>IF(OR(E3705="CANCELED",E3705="SUSPECTED_FRAUD",F3705="Shipping canceled"),0,1)</x:f>
        <x:v>1</x:v>
      </x:c>
      <x:c r="K3705" s="6" t="n">
        <x:f>IF(G3705&gt;H3705,1,0)</x:f>
        <x:v>1</x:v>
      </x:c>
      <x:c r="L3705" s="6" t="n">
        <x:f>J3705*K3705</x:f>
        <x:v>1</x:v>
      </x:c>
    </x:row>
    <x:row r="3706">
      <x:c r="A3706" s="1" t="n">
        <x:v>27997</x:v>
      </x:c>
      <x:c r="B3706" s="5" t="d">
        <x:v>2016-02-13T00:00:00.000Z</x:v>
      </x:c>
      <x:c r="C3706" s="1" t="str">
        <x:v>Standard Class</x:v>
      </x:c>
      <x:c r="D3706" s="1" t="str">
        <x:v>Pacific Asia</x:v>
      </x:c>
      <x:c r="E3706" s="1" t="str">
        <x:v>COMPLETE</x:v>
      </x:c>
      <x:c r="F3706" s="1" t="str">
        <x:v>Advance shipping</x:v>
      </x:c>
      <x:c r="G3706" s="6" t="n">
        <x:v>3</x:v>
      </x:c>
      <x:c r="H3706" s="6" t="n">
        <x:v>4</x:v>
      </x:c>
      <x:c r="I3706" s="6" t="n">
        <x:f>G3706-H3706</x:f>
        <x:v>-1</x:v>
      </x:c>
      <x:c r="J3706" s="6" t="n">
        <x:f>IF(OR(E3706="CANCELED",E3706="SUSPECTED_FRAUD",F3706="Shipping canceled"),0,1)</x:f>
        <x:v>1</x:v>
      </x:c>
      <x:c r="K3706" s="6" t="n">
        <x:f>IF(G3706&gt;H3706,1,0)</x:f>
        <x:v>0</x:v>
      </x:c>
      <x:c r="L3706" s="6" t="n">
        <x:f>J3706*K3706</x:f>
        <x:v>0</x:v>
      </x:c>
    </x:row>
    <x:row r="3707">
      <x:c r="A3707" s="1" t="n">
        <x:v>28003</x:v>
      </x:c>
      <x:c r="B3707" s="5" t="d">
        <x:v>2016-02-13T00:00:00.000Z</x:v>
      </x:c>
      <x:c r="C3707" s="1" t="str">
        <x:v>Second Class</x:v>
      </x:c>
      <x:c r="D3707" s="1" t="str">
        <x:v>Pacific Asia</x:v>
      </x:c>
      <x:c r="E3707" s="1" t="str">
        <x:v>COMPLETE</x:v>
      </x:c>
      <x:c r="F3707" s="1" t="str">
        <x:v>Late delivery</x:v>
      </x:c>
      <x:c r="G3707" s="6" t="n">
        <x:v>4</x:v>
      </x:c>
      <x:c r="H3707" s="6" t="n">
        <x:v>2</x:v>
      </x:c>
      <x:c r="I3707" s="6" t="n">
        <x:f>G3707-H3707</x:f>
        <x:v>2</x:v>
      </x:c>
      <x:c r="J3707" s="6" t="n">
        <x:f>IF(OR(E3707="CANCELED",E3707="SUSPECTED_FRAUD",F3707="Shipping canceled"),0,1)</x:f>
        <x:v>1</x:v>
      </x:c>
      <x:c r="K3707" s="6" t="n">
        <x:f>IF(G3707&gt;H3707,1,0)</x:f>
        <x:v>1</x:v>
      </x:c>
      <x:c r="L3707" s="6" t="n">
        <x:f>J3707*K3707</x:f>
        <x:v>1</x:v>
      </x:c>
    </x:row>
    <x:row r="3708">
      <x:c r="A3708" s="1" t="n">
        <x:v>28005</x:v>
      </x:c>
      <x:c r="B3708" s="5" t="d">
        <x:v>2016-02-13T00:00:00.000Z</x:v>
      </x:c>
      <x:c r="C3708" s="1" t="str">
        <x:v>Standard Class</x:v>
      </x:c>
      <x:c r="D3708" s="1" t="str">
        <x:v>Pacific Asia</x:v>
      </x:c>
      <x:c r="E3708" s="1" t="str">
        <x:v>PROCESSING</x:v>
      </x:c>
      <x:c r="F3708" s="1" t="str">
        <x:v>Late delivery</x:v>
      </x:c>
      <x:c r="G3708" s="6" t="n">
        <x:v>6</x:v>
      </x:c>
      <x:c r="H3708" s="6" t="n">
        <x:v>4</x:v>
      </x:c>
      <x:c r="I3708" s="6" t="n">
        <x:f>G3708-H3708</x:f>
        <x:v>2</x:v>
      </x:c>
      <x:c r="J3708" s="6" t="n">
        <x:f>IF(OR(E3708="CANCELED",E3708="SUSPECTED_FRAUD",F3708="Shipping canceled"),0,1)</x:f>
        <x:v>1</x:v>
      </x:c>
      <x:c r="K3708" s="6" t="n">
        <x:f>IF(G3708&gt;H3708,1,0)</x:f>
        <x:v>1</x:v>
      </x:c>
      <x:c r="L3708" s="6" t="n">
        <x:f>J3708*K3708</x:f>
        <x:v>1</x:v>
      </x:c>
    </x:row>
    <x:row r="3709">
      <x:c r="A3709" s="1" t="n">
        <x:v>28017</x:v>
      </x:c>
      <x:c r="B3709" s="5" t="d">
        <x:v>2016-02-13T00:00:00.000Z</x:v>
      </x:c>
      <x:c r="C3709" s="1" t="str">
        <x:v>Standard Class</x:v>
      </x:c>
      <x:c r="D3709" s="1" t="str">
        <x:v>Pacific Asia</x:v>
      </x:c>
      <x:c r="E3709" s="1" t="str">
        <x:v>PROCESSING</x:v>
      </x:c>
      <x:c r="F3709" s="1" t="str">
        <x:v>Advance shipping</x:v>
      </x:c>
      <x:c r="G3709" s="6" t="n">
        <x:v>3</x:v>
      </x:c>
      <x:c r="H3709" s="6" t="n">
        <x:v>4</x:v>
      </x:c>
      <x:c r="I3709" s="6" t="n">
        <x:f>G3709-H3709</x:f>
        <x:v>-1</x:v>
      </x:c>
      <x:c r="J3709" s="6" t="n">
        <x:f>IF(OR(E3709="CANCELED",E3709="SUSPECTED_FRAUD",F3709="Shipping canceled"),0,1)</x:f>
        <x:v>1</x:v>
      </x:c>
      <x:c r="K3709" s="6" t="n">
        <x:f>IF(G3709&gt;H3709,1,0)</x:f>
        <x:v>0</x:v>
      </x:c>
      <x:c r="L3709" s="6" t="n">
        <x:f>J3709*K3709</x:f>
        <x:v>0</x:v>
      </x:c>
    </x:row>
    <x:row r="3710">
      <x:c r="A3710" s="1" t="n">
        <x:v>28026</x:v>
      </x:c>
      <x:c r="B3710" s="5" t="d">
        <x:v>2016-02-14T00:00:00.000Z</x:v>
      </x:c>
      <x:c r="C3710" s="1" t="str">
        <x:v>Standard Class</x:v>
      </x:c>
      <x:c r="D3710" s="1" t="str">
        <x:v>Pacific Asia</x:v>
      </x:c>
      <x:c r="E3710" s="1" t="str">
        <x:v>ON_HOLD</x:v>
      </x:c>
      <x:c r="F3710" s="1" t="str">
        <x:v>Advance shipping</x:v>
      </x:c>
      <x:c r="G3710" s="6" t="n">
        <x:v>2</x:v>
      </x:c>
      <x:c r="H3710" s="6" t="n">
        <x:v>4</x:v>
      </x:c>
      <x:c r="I3710" s="6" t="n">
        <x:f>G3710-H3710</x:f>
        <x:v>-2</x:v>
      </x:c>
      <x:c r="J3710" s="6" t="n">
        <x:f>IF(OR(E3710="CANCELED",E3710="SUSPECTED_FRAUD",F3710="Shipping canceled"),0,1)</x:f>
        <x:v>1</x:v>
      </x:c>
      <x:c r="K3710" s="6" t="n">
        <x:f>IF(G3710&gt;H3710,1,0)</x:f>
        <x:v>0</x:v>
      </x:c>
      <x:c r="L3710" s="6" t="n">
        <x:f>J3710*K3710</x:f>
        <x:v>0</x:v>
      </x:c>
    </x:row>
    <x:row r="3711">
      <x:c r="A3711" s="1" t="n">
        <x:v>28036</x:v>
      </x:c>
      <x:c r="B3711" s="5" t="d">
        <x:v>2016-02-14T00:00:00.000Z</x:v>
      </x:c>
      <x:c r="C3711" s="1" t="str">
        <x:v>Standard Class</x:v>
      </x:c>
      <x:c r="D3711" s="1" t="str">
        <x:v>Pacific Asia</x:v>
      </x:c>
      <x:c r="E3711" s="1" t="str">
        <x:v>COMPLETE</x:v>
      </x:c>
      <x:c r="F3711" s="1" t="str">
        <x:v>Advance shipping</x:v>
      </x:c>
      <x:c r="G3711" s="6" t="n">
        <x:v>2</x:v>
      </x:c>
      <x:c r="H3711" s="6" t="n">
        <x:v>4</x:v>
      </x:c>
      <x:c r="I3711" s="6" t="n">
        <x:f>G3711-H3711</x:f>
        <x:v>-2</x:v>
      </x:c>
      <x:c r="J3711" s="6" t="n">
        <x:f>IF(OR(E3711="CANCELED",E3711="SUSPECTED_FRAUD",F3711="Shipping canceled"),0,1)</x:f>
        <x:v>1</x:v>
      </x:c>
      <x:c r="K3711" s="6" t="n">
        <x:f>IF(G3711&gt;H3711,1,0)</x:f>
        <x:v>0</x:v>
      </x:c>
      <x:c r="L3711" s="6" t="n">
        <x:f>J3711*K3711</x:f>
        <x:v>0</x:v>
      </x:c>
    </x:row>
    <x:row r="3712">
      <x:c r="A3712" s="1" t="n">
        <x:v>28043</x:v>
      </x:c>
      <x:c r="B3712" s="5" t="d">
        <x:v>2016-02-14T00:00:00.000Z</x:v>
      </x:c>
      <x:c r="C3712" s="1" t="str">
        <x:v>Second Class</x:v>
      </x:c>
      <x:c r="D3712" s="1" t="str">
        <x:v>Pacific Asia</x:v>
      </x:c>
      <x:c r="E3712" s="1" t="str">
        <x:v>COMPLETE</x:v>
      </x:c>
      <x:c r="F3712" s="1" t="str">
        <x:v>Late delivery</x:v>
      </x:c>
      <x:c r="G3712" s="6" t="n">
        <x:v>4</x:v>
      </x:c>
      <x:c r="H3712" s="6" t="n">
        <x:v>2</x:v>
      </x:c>
      <x:c r="I3712" s="6" t="n">
        <x:f>G3712-H3712</x:f>
        <x:v>2</x:v>
      </x:c>
      <x:c r="J3712" s="6" t="n">
        <x:f>IF(OR(E3712="CANCELED",E3712="SUSPECTED_FRAUD",F3712="Shipping canceled"),0,1)</x:f>
        <x:v>1</x:v>
      </x:c>
      <x:c r="K3712" s="6" t="n">
        <x:f>IF(G3712&gt;H3712,1,0)</x:f>
        <x:v>1</x:v>
      </x:c>
      <x:c r="L3712" s="6" t="n">
        <x:f>J3712*K3712</x:f>
        <x:v>1</x:v>
      </x:c>
    </x:row>
    <x:row r="3713">
      <x:c r="A3713" s="1" t="n">
        <x:v>28047</x:v>
      </x:c>
      <x:c r="B3713" s="5" t="d">
        <x:v>2016-02-14T00:00:00.000Z</x:v>
      </x:c>
      <x:c r="C3713" s="1" t="str">
        <x:v>Standard Class</x:v>
      </x:c>
      <x:c r="D3713" s="1" t="str">
        <x:v>Pacific Asia</x:v>
      </x:c>
      <x:c r="E3713" s="1" t="str">
        <x:v>PROCESSING</x:v>
      </x:c>
      <x:c r="F3713" s="1" t="str">
        <x:v>Advance shipping</x:v>
      </x:c>
      <x:c r="G3713" s="6" t="n">
        <x:v>3</x:v>
      </x:c>
      <x:c r="H3713" s="6" t="n">
        <x:v>4</x:v>
      </x:c>
      <x:c r="I3713" s="6" t="n">
        <x:f>G3713-H3713</x:f>
        <x:v>-1</x:v>
      </x:c>
      <x:c r="J3713" s="6" t="n">
        <x:f>IF(OR(E3713="CANCELED",E3713="SUSPECTED_FRAUD",F3713="Shipping canceled"),0,1)</x:f>
        <x:v>1</x:v>
      </x:c>
      <x:c r="K3713" s="6" t="n">
        <x:f>IF(G3713&gt;H3713,1,0)</x:f>
        <x:v>0</x:v>
      </x:c>
      <x:c r="L3713" s="6" t="n">
        <x:f>J3713*K3713</x:f>
        <x:v>0</x:v>
      </x:c>
    </x:row>
    <x:row r="3714">
      <x:c r="A3714" s="1" t="n">
        <x:v>28051</x:v>
      </x:c>
      <x:c r="B3714" s="5" t="d">
        <x:v>2016-02-14T00:00:00.000Z</x:v>
      </x:c>
      <x:c r="C3714" s="1" t="str">
        <x:v>Standard Class</x:v>
      </x:c>
      <x:c r="D3714" s="1" t="str">
        <x:v>Pacific Asia</x:v>
      </x:c>
      <x:c r="E3714" s="1" t="str">
        <x:v>PROCESSING</x:v>
      </x:c>
      <x:c r="F3714" s="1" t="str">
        <x:v>Advance shipping</x:v>
      </x:c>
      <x:c r="G3714" s="6" t="n">
        <x:v>2</x:v>
      </x:c>
      <x:c r="H3714" s="6" t="n">
        <x:v>4</x:v>
      </x:c>
      <x:c r="I3714" s="6" t="n">
        <x:f>G3714-H3714</x:f>
        <x:v>-2</x:v>
      </x:c>
      <x:c r="J3714" s="6" t="n">
        <x:f>IF(OR(E3714="CANCELED",E3714="SUSPECTED_FRAUD",F3714="Shipping canceled"),0,1)</x:f>
        <x:v>1</x:v>
      </x:c>
      <x:c r="K3714" s="6" t="n">
        <x:f>IF(G3714&gt;H3714,1,0)</x:f>
        <x:v>0</x:v>
      </x:c>
      <x:c r="L3714" s="6" t="n">
        <x:f>J3714*K3714</x:f>
        <x:v>0</x:v>
      </x:c>
    </x:row>
    <x:row r="3715">
      <x:c r="A3715" s="1" t="n">
        <x:v>28056</x:v>
      </x:c>
      <x:c r="B3715" s="5" t="d">
        <x:v>2016-02-14T00:00:00.000Z</x:v>
      </x:c>
      <x:c r="C3715" s="1" t="str">
        <x:v>Standard Class</x:v>
      </x:c>
      <x:c r="D3715" s="1" t="str">
        <x:v>Pacific Asia</x:v>
      </x:c>
      <x:c r="E3715" s="1" t="str">
        <x:v>PENDING_PAYMENT</x:v>
      </x:c>
      <x:c r="F3715" s="1" t="str">
        <x:v>Advance shipping</x:v>
      </x:c>
      <x:c r="G3715" s="6" t="n">
        <x:v>2</x:v>
      </x:c>
      <x:c r="H3715" s="6" t="n">
        <x:v>4</x:v>
      </x:c>
      <x:c r="I3715" s="6" t="n">
        <x:f>G3715-H3715</x:f>
        <x:v>-2</x:v>
      </x:c>
      <x:c r="J3715" s="6" t="n">
        <x:f>IF(OR(E3715="CANCELED",E3715="SUSPECTED_FRAUD",F3715="Shipping canceled"),0,1)</x:f>
        <x:v>1</x:v>
      </x:c>
      <x:c r="K3715" s="6" t="n">
        <x:f>IF(G3715&gt;H3715,1,0)</x:f>
        <x:v>0</x:v>
      </x:c>
      <x:c r="L3715" s="6" t="n">
        <x:f>J3715*K3715</x:f>
        <x:v>0</x:v>
      </x:c>
    </x:row>
    <x:row r="3716">
      <x:c r="A3716" s="1" t="n">
        <x:v>28076</x:v>
      </x:c>
      <x:c r="B3716" s="5" t="d">
        <x:v>2016-02-14T00:00:00.000Z</x:v>
      </x:c>
      <x:c r="C3716" s="1" t="str">
        <x:v>First Class</x:v>
      </x:c>
      <x:c r="D3716" s="1" t="str">
        <x:v>Pacific Asia</x:v>
      </x:c>
      <x:c r="E3716" s="1" t="str">
        <x:v>CLOSED</x:v>
      </x:c>
      <x:c r="F3716" s="1" t="str">
        <x:v>Late delivery</x:v>
      </x:c>
      <x:c r="G3716" s="6" t="n">
        <x:v>2</x:v>
      </x:c>
      <x:c r="H3716" s="6" t="n">
        <x:v>1</x:v>
      </x:c>
      <x:c r="I3716" s="6" t="n">
        <x:f>G3716-H3716</x:f>
        <x:v>1</x:v>
      </x:c>
      <x:c r="J3716" s="6" t="n">
        <x:f>IF(OR(E3716="CANCELED",E3716="SUSPECTED_FRAUD",F3716="Shipping canceled"),0,1)</x:f>
        <x:v>1</x:v>
      </x:c>
      <x:c r="K3716" s="6" t="n">
        <x:f>IF(G3716&gt;H3716,1,0)</x:f>
        <x:v>1</x:v>
      </x:c>
      <x:c r="L3716" s="6" t="n">
        <x:f>J3716*K3716</x:f>
        <x:v>1</x:v>
      </x:c>
    </x:row>
    <x:row r="3717">
      <x:c r="A3717" s="1" t="n">
        <x:v>28079</x:v>
      </x:c>
      <x:c r="B3717" s="5" t="d">
        <x:v>2016-02-14T00:00:00.000Z</x:v>
      </x:c>
      <x:c r="C3717" s="1" t="str">
        <x:v>First Class</x:v>
      </x:c>
      <x:c r="D3717" s="1" t="str">
        <x:v>Pacific Asia</x:v>
      </x:c>
      <x:c r="E3717" s="1" t="str">
        <x:v>PROCESSING</x:v>
      </x:c>
      <x:c r="F3717" s="1" t="str">
        <x:v>Late delivery</x:v>
      </x:c>
      <x:c r="G3717" s="6" t="n">
        <x:v>2</x:v>
      </x:c>
      <x:c r="H3717" s="6" t="n">
        <x:v>1</x:v>
      </x:c>
      <x:c r="I3717" s="6" t="n">
        <x:f>G3717-H3717</x:f>
        <x:v>1</x:v>
      </x:c>
      <x:c r="J3717" s="6" t="n">
        <x:f>IF(OR(E3717="CANCELED",E3717="SUSPECTED_FRAUD",F3717="Shipping canceled"),0,1)</x:f>
        <x:v>1</x:v>
      </x:c>
      <x:c r="K3717" s="6" t="n">
        <x:f>IF(G3717&gt;H3717,1,0)</x:f>
        <x:v>1</x:v>
      </x:c>
      <x:c r="L3717" s="6" t="n">
        <x:f>J3717*K3717</x:f>
        <x:v>1</x:v>
      </x:c>
    </x:row>
    <x:row r="3718">
      <x:c r="A3718" s="1" t="n">
        <x:v>28140</x:v>
      </x:c>
      <x:c r="B3718" s="5" t="d">
        <x:v>2016-02-15T00:00:00.000Z</x:v>
      </x:c>
      <x:c r="C3718" s="1" t="str">
        <x:v>Standard Class</x:v>
      </x:c>
      <x:c r="D3718" s="1" t="str">
        <x:v>Pacific Asia</x:v>
      </x:c>
      <x:c r="E3718" s="1" t="str">
        <x:v>CLOSED</x:v>
      </x:c>
      <x:c r="F3718" s="1" t="str">
        <x:v>Late delivery</x:v>
      </x:c>
      <x:c r="G3718" s="6" t="n">
        <x:v>6</x:v>
      </x:c>
      <x:c r="H3718" s="6" t="n">
        <x:v>4</x:v>
      </x:c>
      <x:c r="I3718" s="6" t="n">
        <x:f>G3718-H3718</x:f>
        <x:v>2</x:v>
      </x:c>
      <x:c r="J3718" s="6" t="n">
        <x:f>IF(OR(E3718="CANCELED",E3718="SUSPECTED_FRAUD",F3718="Shipping canceled"),0,1)</x:f>
        <x:v>1</x:v>
      </x:c>
      <x:c r="K3718" s="6" t="n">
        <x:f>IF(G3718&gt;H3718,1,0)</x:f>
        <x:v>1</x:v>
      </x:c>
      <x:c r="L3718" s="6" t="n">
        <x:f>J3718*K3718</x:f>
        <x:v>1</x:v>
      </x:c>
    </x:row>
    <x:row r="3719">
      <x:c r="A3719" s="1" t="n">
        <x:v>28147</x:v>
      </x:c>
      <x:c r="B3719" s="5" t="d">
        <x:v>2016-02-15T00:00:00.000Z</x:v>
      </x:c>
      <x:c r="C3719" s="1" t="str">
        <x:v>First Class</x:v>
      </x:c>
      <x:c r="D3719" s="1" t="str">
        <x:v>Pacific Asia</x:v>
      </x:c>
      <x:c r="E3719" s="1" t="str">
        <x:v>CLOSED</x:v>
      </x:c>
      <x:c r="F3719" s="1" t="str">
        <x:v>Late delivery</x:v>
      </x:c>
      <x:c r="G3719" s="6" t="n">
        <x:v>2</x:v>
      </x:c>
      <x:c r="H3719" s="6" t="n">
        <x:v>1</x:v>
      </x:c>
      <x:c r="I3719" s="6" t="n">
        <x:f>G3719-H3719</x:f>
        <x:v>1</x:v>
      </x:c>
      <x:c r="J3719" s="6" t="n">
        <x:f>IF(OR(E3719="CANCELED",E3719="SUSPECTED_FRAUD",F3719="Shipping canceled"),0,1)</x:f>
        <x:v>1</x:v>
      </x:c>
      <x:c r="K3719" s="6" t="n">
        <x:f>IF(G3719&gt;H3719,1,0)</x:f>
        <x:v>1</x:v>
      </x:c>
      <x:c r="L3719" s="6" t="n">
        <x:f>J3719*K3719</x:f>
        <x:v>1</x:v>
      </x:c>
    </x:row>
    <x:row r="3720">
      <x:c r="A3720" s="1" t="n">
        <x:v>28150</x:v>
      </x:c>
      <x:c r="B3720" s="5" t="d">
        <x:v>2016-02-15T00:00:00.000Z</x:v>
      </x:c>
      <x:c r="C3720" s="1" t="str">
        <x:v>Second Class</x:v>
      </x:c>
      <x:c r="D3720" s="1" t="str">
        <x:v>Pacific Asia</x:v>
      </x:c>
      <x:c r="E3720" s="1" t="str">
        <x:v>PROCESSING</x:v>
      </x:c>
      <x:c r="F3720" s="1" t="str">
        <x:v>Late delivery</x:v>
      </x:c>
      <x:c r="G3720" s="6" t="n">
        <x:v>6</x:v>
      </x:c>
      <x:c r="H3720" s="6" t="n">
        <x:v>2</x:v>
      </x:c>
      <x:c r="I3720" s="6" t="n">
        <x:f>G3720-H3720</x:f>
        <x:v>4</x:v>
      </x:c>
      <x:c r="J3720" s="6" t="n">
        <x:f>IF(OR(E3720="CANCELED",E3720="SUSPECTED_FRAUD",F3720="Shipping canceled"),0,1)</x:f>
        <x:v>1</x:v>
      </x:c>
      <x:c r="K3720" s="6" t="n">
        <x:f>IF(G3720&gt;H3720,1,0)</x:f>
        <x:v>1</x:v>
      </x:c>
      <x:c r="L3720" s="6" t="n">
        <x:f>J3720*K3720</x:f>
        <x:v>1</x:v>
      </x:c>
    </x:row>
    <x:row r="3721">
      <x:c r="A3721" s="1" t="n">
        <x:v>28153</x:v>
      </x:c>
      <x:c r="B3721" s="5" t="d">
        <x:v>2016-02-15T00:00:00.000Z</x:v>
      </x:c>
      <x:c r="C3721" s="1" t="str">
        <x:v>Second Class</x:v>
      </x:c>
      <x:c r="D3721" s="1" t="str">
        <x:v>Pacific Asia</x:v>
      </x:c>
      <x:c r="E3721" s="1" t="str">
        <x:v>COMPLETE</x:v>
      </x:c>
      <x:c r="F3721" s="1" t="str">
        <x:v>Late delivery</x:v>
      </x:c>
      <x:c r="G3721" s="6" t="n">
        <x:v>4</x:v>
      </x:c>
      <x:c r="H3721" s="6" t="n">
        <x:v>2</x:v>
      </x:c>
      <x:c r="I3721" s="6" t="n">
        <x:f>G3721-H3721</x:f>
        <x:v>2</x:v>
      </x:c>
      <x:c r="J3721" s="6" t="n">
        <x:f>IF(OR(E3721="CANCELED",E3721="SUSPECTED_FRAUD",F3721="Shipping canceled"),0,1)</x:f>
        <x:v>1</x:v>
      </x:c>
      <x:c r="K3721" s="6" t="n">
        <x:f>IF(G3721&gt;H3721,1,0)</x:f>
        <x:v>1</x:v>
      </x:c>
      <x:c r="L3721" s="6" t="n">
        <x:f>J3721*K3721</x:f>
        <x:v>1</x:v>
      </x:c>
    </x:row>
    <x:row r="3722">
      <x:c r="A3722" s="1" t="n">
        <x:v>28155</x:v>
      </x:c>
      <x:c r="B3722" s="5" t="d">
        <x:v>2016-02-15T00:00:00.000Z</x:v>
      </x:c>
      <x:c r="C3722" s="1" t="str">
        <x:v>Standard Class</x:v>
      </x:c>
      <x:c r="D3722" s="1" t="str">
        <x:v>Pacific Asia</x:v>
      </x:c>
      <x:c r="E3722" s="1" t="str">
        <x:v>COMPLETE</x:v>
      </x:c>
      <x:c r="F3722" s="1" t="str">
        <x:v>Late delivery</x:v>
      </x:c>
      <x:c r="G3722" s="6" t="n">
        <x:v>6</x:v>
      </x:c>
      <x:c r="H3722" s="6" t="n">
        <x:v>4</x:v>
      </x:c>
      <x:c r="I3722" s="6" t="n">
        <x:f>G3722-H3722</x:f>
        <x:v>2</x:v>
      </x:c>
      <x:c r="J3722" s="6" t="n">
        <x:f>IF(OR(E3722="CANCELED",E3722="SUSPECTED_FRAUD",F3722="Shipping canceled"),0,1)</x:f>
        <x:v>1</x:v>
      </x:c>
      <x:c r="K3722" s="6" t="n">
        <x:f>IF(G3722&gt;H3722,1,0)</x:f>
        <x:v>1</x:v>
      </x:c>
      <x:c r="L3722" s="6" t="n">
        <x:f>J3722*K3722</x:f>
        <x:v>1</x:v>
      </x:c>
    </x:row>
    <x:row r="3723">
      <x:c r="A3723" s="1" t="n">
        <x:v>28162</x:v>
      </x:c>
      <x:c r="B3723" s="5" t="d">
        <x:v>2016-02-16T00:00:00.000Z</x:v>
      </x:c>
      <x:c r="C3723" s="1" t="str">
        <x:v>Standard Class</x:v>
      </x:c>
      <x:c r="D3723" s="1" t="str">
        <x:v>Pacific Asia</x:v>
      </x:c>
      <x:c r="E3723" s="1" t="str">
        <x:v>COMPLETE</x:v>
      </x:c>
      <x:c r="F3723" s="1" t="str">
        <x:v>Advance shipping</x:v>
      </x:c>
      <x:c r="G3723" s="6" t="n">
        <x:v>3</x:v>
      </x:c>
      <x:c r="H3723" s="6" t="n">
        <x:v>4</x:v>
      </x:c>
      <x:c r="I3723" s="6" t="n">
        <x:f>G3723-H3723</x:f>
        <x:v>-1</x:v>
      </x:c>
      <x:c r="J3723" s="6" t="n">
        <x:f>IF(OR(E3723="CANCELED",E3723="SUSPECTED_FRAUD",F3723="Shipping canceled"),0,1)</x:f>
        <x:v>1</x:v>
      </x:c>
      <x:c r="K3723" s="6" t="n">
        <x:f>IF(G3723&gt;H3723,1,0)</x:f>
        <x:v>0</x:v>
      </x:c>
      <x:c r="L3723" s="6" t="n">
        <x:f>J3723*K3723</x:f>
        <x:v>0</x:v>
      </x:c>
    </x:row>
    <x:row r="3724">
      <x:c r="A3724" s="1" t="n">
        <x:v>28163</x:v>
      </x:c>
      <x:c r="B3724" s="5" t="d">
        <x:v>2016-02-16T00:00:00.000Z</x:v>
      </x:c>
      <x:c r="C3724" s="1" t="str">
        <x:v>Standard Class</x:v>
      </x:c>
      <x:c r="D3724" s="1" t="str">
        <x:v>Pacific Asia</x:v>
      </x:c>
      <x:c r="E3724" s="1" t="str">
        <x:v>PENDING</x:v>
      </x:c>
      <x:c r="F3724" s="1" t="str">
        <x:v>Shipping on time</x:v>
      </x:c>
      <x:c r="G3724" s="6" t="n">
        <x:v>4</x:v>
      </x:c>
      <x:c r="H3724" s="6" t="n">
        <x:v>4</x:v>
      </x:c>
      <x:c r="I3724" s="6" t="n">
        <x:f>G3724-H3724</x:f>
        <x:v>0</x:v>
      </x:c>
      <x:c r="J3724" s="6" t="n">
        <x:f>IF(OR(E3724="CANCELED",E3724="SUSPECTED_FRAUD",F3724="Shipping canceled"),0,1)</x:f>
        <x:v>1</x:v>
      </x:c>
      <x:c r="K3724" s="6" t="n">
        <x:f>IF(G3724&gt;H3724,1,0)</x:f>
        <x:v>0</x:v>
      </x:c>
      <x:c r="L3724" s="6" t="n">
        <x:f>J3724*K3724</x:f>
        <x:v>0</x:v>
      </x:c>
    </x:row>
    <x:row r="3725">
      <x:c r="A3725" s="1" t="n">
        <x:v>28168</x:v>
      </x:c>
      <x:c r="B3725" s="5" t="d">
        <x:v>2016-02-16T00:00:00.000Z</x:v>
      </x:c>
      <x:c r="C3725" s="1" t="str">
        <x:v>Standard Class</x:v>
      </x:c>
      <x:c r="D3725" s="1" t="str">
        <x:v>Pacific Asia</x:v>
      </x:c>
      <x:c r="E3725" s="1" t="str">
        <x:v>COMPLETE</x:v>
      </x:c>
      <x:c r="F3725" s="1" t="str">
        <x:v>Shipping on time</x:v>
      </x:c>
      <x:c r="G3725" s="6" t="n">
        <x:v>4</x:v>
      </x:c>
      <x:c r="H3725" s="6" t="n">
        <x:v>4</x:v>
      </x:c>
      <x:c r="I3725" s="6" t="n">
        <x:f>G3725-H3725</x:f>
        <x:v>0</x:v>
      </x:c>
      <x:c r="J3725" s="6" t="n">
        <x:f>IF(OR(E3725="CANCELED",E3725="SUSPECTED_FRAUD",F3725="Shipping canceled"),0,1)</x:f>
        <x:v>1</x:v>
      </x:c>
      <x:c r="K3725" s="6" t="n">
        <x:f>IF(G3725&gt;H3725,1,0)</x:f>
        <x:v>0</x:v>
      </x:c>
      <x:c r="L3725" s="6" t="n">
        <x:f>J3725*K3725</x:f>
        <x:v>0</x:v>
      </x:c>
    </x:row>
    <x:row r="3726">
      <x:c r="A3726" s="1" t="n">
        <x:v>28186</x:v>
      </x:c>
      <x:c r="B3726" s="5" t="d">
        <x:v>2016-02-16T00:00:00.000Z</x:v>
      </x:c>
      <x:c r="C3726" s="1" t="str">
        <x:v>Second Class</x:v>
      </x:c>
      <x:c r="D3726" s="1" t="str">
        <x:v>Pacific Asia</x:v>
      </x:c>
      <x:c r="E3726" s="1" t="str">
        <x:v>PENDING</x:v>
      </x:c>
      <x:c r="F3726" s="1" t="str">
        <x:v>Shipping on time</x:v>
      </x:c>
      <x:c r="G3726" s="6" t="n">
        <x:v>2</x:v>
      </x:c>
      <x:c r="H3726" s="6" t="n">
        <x:v>2</x:v>
      </x:c>
      <x:c r="I3726" s="6" t="n">
        <x:f>G3726-H3726</x:f>
        <x:v>0</x:v>
      </x:c>
      <x:c r="J3726" s="6" t="n">
        <x:f>IF(OR(E3726="CANCELED",E3726="SUSPECTED_FRAUD",F3726="Shipping canceled"),0,1)</x:f>
        <x:v>1</x:v>
      </x:c>
      <x:c r="K3726" s="6" t="n">
        <x:f>IF(G3726&gt;H3726,1,0)</x:f>
        <x:v>0</x:v>
      </x:c>
      <x:c r="L3726" s="6" t="n">
        <x:f>J3726*K3726</x:f>
        <x:v>0</x:v>
      </x:c>
    </x:row>
    <x:row r="3727">
      <x:c r="A3727" s="1" t="n">
        <x:v>28188</x:v>
      </x:c>
      <x:c r="B3727" s="5" t="d">
        <x:v>2016-02-16T00:00:00.000Z</x:v>
      </x:c>
      <x:c r="C3727" s="1" t="str">
        <x:v>Standard Class</x:v>
      </x:c>
      <x:c r="D3727" s="1" t="str">
        <x:v>Pacific Asia</x:v>
      </x:c>
      <x:c r="E3727" s="1" t="str">
        <x:v>ON_HOLD</x:v>
      </x:c>
      <x:c r="F3727" s="1" t="str">
        <x:v>Shipping on time</x:v>
      </x:c>
      <x:c r="G3727" s="6" t="n">
        <x:v>4</x:v>
      </x:c>
      <x:c r="H3727" s="6" t="n">
        <x:v>4</x:v>
      </x:c>
      <x:c r="I3727" s="6" t="n">
        <x:f>G3727-H3727</x:f>
        <x:v>0</x:v>
      </x:c>
      <x:c r="J3727" s="6" t="n">
        <x:f>IF(OR(E3727="CANCELED",E3727="SUSPECTED_FRAUD",F3727="Shipping canceled"),0,1)</x:f>
        <x:v>1</x:v>
      </x:c>
      <x:c r="K3727" s="6" t="n">
        <x:f>IF(G3727&gt;H3727,1,0)</x:f>
        <x:v>0</x:v>
      </x:c>
      <x:c r="L3727" s="6" t="n">
        <x:f>J3727*K3727</x:f>
        <x:v>0</x:v>
      </x:c>
    </x:row>
    <x:row r="3728">
      <x:c r="A3728" s="1" t="n">
        <x:v>28193</x:v>
      </x:c>
      <x:c r="B3728" s="5" t="d">
        <x:v>2016-02-16T00:00:00.000Z</x:v>
      </x:c>
      <x:c r="C3728" s="1" t="str">
        <x:v>Second Class</x:v>
      </x:c>
      <x:c r="D3728" s="1" t="str">
        <x:v>Pacific Asia</x:v>
      </x:c>
      <x:c r="E3728" s="1" t="str">
        <x:v>PENDING_PAYMENT</x:v>
      </x:c>
      <x:c r="F3728" s="1" t="str">
        <x:v>Late delivery</x:v>
      </x:c>
      <x:c r="G3728" s="6" t="n">
        <x:v>4</x:v>
      </x:c>
      <x:c r="H3728" s="6" t="n">
        <x:v>2</x:v>
      </x:c>
      <x:c r="I3728" s="6" t="n">
        <x:f>G3728-H3728</x:f>
        <x:v>2</x:v>
      </x:c>
      <x:c r="J3728" s="6" t="n">
        <x:f>IF(OR(E3728="CANCELED",E3728="SUSPECTED_FRAUD",F3728="Shipping canceled"),0,1)</x:f>
        <x:v>1</x:v>
      </x:c>
      <x:c r="K3728" s="6" t="n">
        <x:f>IF(G3728&gt;H3728,1,0)</x:f>
        <x:v>1</x:v>
      </x:c>
      <x:c r="L3728" s="6" t="n">
        <x:f>J3728*K3728</x:f>
        <x:v>1</x:v>
      </x:c>
    </x:row>
    <x:row r="3729">
      <x:c r="A3729" s="1" t="n">
        <x:v>28194</x:v>
      </x:c>
      <x:c r="B3729" s="5" t="d">
        <x:v>2016-02-16T00:00:00.000Z</x:v>
      </x:c>
      <x:c r="C3729" s="1" t="str">
        <x:v>Second Class</x:v>
      </x:c>
      <x:c r="D3729" s="1" t="str">
        <x:v>Pacific Asia</x:v>
      </x:c>
      <x:c r="E3729" s="1" t="str">
        <x:v>PROCESSING</x:v>
      </x:c>
      <x:c r="F3729" s="1" t="str">
        <x:v>Late delivery</x:v>
      </x:c>
      <x:c r="G3729" s="6" t="n">
        <x:v>5</x:v>
      </x:c>
      <x:c r="H3729" s="6" t="n">
        <x:v>2</x:v>
      </x:c>
      <x:c r="I3729" s="6" t="n">
        <x:f>G3729-H3729</x:f>
        <x:v>3</x:v>
      </x:c>
      <x:c r="J3729" s="6" t="n">
        <x:f>IF(OR(E3729="CANCELED",E3729="SUSPECTED_FRAUD",F3729="Shipping canceled"),0,1)</x:f>
        <x:v>1</x:v>
      </x:c>
      <x:c r="K3729" s="6" t="n">
        <x:f>IF(G3729&gt;H3729,1,0)</x:f>
        <x:v>1</x:v>
      </x:c>
      <x:c r="L3729" s="6" t="n">
        <x:f>J3729*K3729</x:f>
        <x:v>1</x:v>
      </x:c>
    </x:row>
    <x:row r="3730">
      <x:c r="A3730" s="1" t="n">
        <x:v>28196</x:v>
      </x:c>
      <x:c r="B3730" s="5" t="d">
        <x:v>2016-02-16T00:00:00.000Z</x:v>
      </x:c>
      <x:c r="C3730" s="1" t="str">
        <x:v>Standard Class</x:v>
      </x:c>
      <x:c r="D3730" s="1" t="str">
        <x:v>Pacific Asia</x:v>
      </x:c>
      <x:c r="E3730" s="1" t="str">
        <x:v>COMPLETE</x:v>
      </x:c>
      <x:c r="F3730" s="1" t="str">
        <x:v>Advance shipping</x:v>
      </x:c>
      <x:c r="G3730" s="6" t="n">
        <x:v>2</x:v>
      </x:c>
      <x:c r="H3730" s="6" t="n">
        <x:v>4</x:v>
      </x:c>
      <x:c r="I3730" s="6" t="n">
        <x:f>G3730-H3730</x:f>
        <x:v>-2</x:v>
      </x:c>
      <x:c r="J3730" s="6" t="n">
        <x:f>IF(OR(E3730="CANCELED",E3730="SUSPECTED_FRAUD",F3730="Shipping canceled"),0,1)</x:f>
        <x:v>1</x:v>
      </x:c>
      <x:c r="K3730" s="6" t="n">
        <x:f>IF(G3730&gt;H3730,1,0)</x:f>
        <x:v>0</x:v>
      </x:c>
      <x:c r="L3730" s="6" t="n">
        <x:f>J3730*K3730</x:f>
        <x:v>0</x:v>
      </x:c>
    </x:row>
    <x:row r="3731">
      <x:c r="A3731" s="1" t="n">
        <x:v>28205</x:v>
      </x:c>
      <x:c r="B3731" s="5" t="d">
        <x:v>2016-02-16T00:00:00.000Z</x:v>
      </x:c>
      <x:c r="C3731" s="1" t="str">
        <x:v>Standard Class</x:v>
      </x:c>
      <x:c r="D3731" s="1" t="str">
        <x:v>Pacific Asia</x:v>
      </x:c>
      <x:c r="E3731" s="1" t="str">
        <x:v>PENDING_PAYMENT</x:v>
      </x:c>
      <x:c r="F3731" s="1" t="str">
        <x:v>Late delivery</x:v>
      </x:c>
      <x:c r="G3731" s="6" t="n">
        <x:v>6</x:v>
      </x:c>
      <x:c r="H3731" s="6" t="n">
        <x:v>4</x:v>
      </x:c>
      <x:c r="I3731" s="6" t="n">
        <x:f>G3731-H3731</x:f>
        <x:v>2</x:v>
      </x:c>
      <x:c r="J3731" s="6" t="n">
        <x:f>IF(OR(E3731="CANCELED",E3731="SUSPECTED_FRAUD",F3731="Shipping canceled"),0,1)</x:f>
        <x:v>1</x:v>
      </x:c>
      <x:c r="K3731" s="6" t="n">
        <x:f>IF(G3731&gt;H3731,1,0)</x:f>
        <x:v>1</x:v>
      </x:c>
      <x:c r="L3731" s="6" t="n">
        <x:f>J3731*K3731</x:f>
        <x:v>1</x:v>
      </x:c>
    </x:row>
    <x:row r="3732">
      <x:c r="A3732" s="1" t="n">
        <x:v>28217</x:v>
      </x:c>
      <x:c r="B3732" s="5" t="d">
        <x:v>2016-02-16T00:00:00.000Z</x:v>
      </x:c>
      <x:c r="C3732" s="1" t="str">
        <x:v>Standard Class</x:v>
      </x:c>
      <x:c r="D3732" s="1" t="str">
        <x:v>Pacific Asia</x:v>
      </x:c>
      <x:c r="E3732" s="1" t="str">
        <x:v>COMPLETE</x:v>
      </x:c>
      <x:c r="F3732" s="1" t="str">
        <x:v>Advance shipping</x:v>
      </x:c>
      <x:c r="G3732" s="6" t="n">
        <x:v>3</x:v>
      </x:c>
      <x:c r="H3732" s="6" t="n">
        <x:v>4</x:v>
      </x:c>
      <x:c r="I3732" s="6" t="n">
        <x:f>G3732-H3732</x:f>
        <x:v>-1</x:v>
      </x:c>
      <x:c r="J3732" s="6" t="n">
        <x:f>IF(OR(E3732="CANCELED",E3732="SUSPECTED_FRAUD",F3732="Shipping canceled"),0,1)</x:f>
        <x:v>1</x:v>
      </x:c>
      <x:c r="K3732" s="6" t="n">
        <x:f>IF(G3732&gt;H3732,1,0)</x:f>
        <x:v>0</x:v>
      </x:c>
      <x:c r="L3732" s="6" t="n">
        <x:f>J3732*K3732</x:f>
        <x:v>0</x:v>
      </x:c>
    </x:row>
    <x:row r="3733">
      <x:c r="A3733" s="1" t="n">
        <x:v>28224</x:v>
      </x:c>
      <x:c r="B3733" s="5" t="d">
        <x:v>2016-02-16T00:00:00.000Z</x:v>
      </x:c>
      <x:c r="C3733" s="1" t="str">
        <x:v>Standard Class</x:v>
      </x:c>
      <x:c r="D3733" s="1" t="str">
        <x:v>Pacific Asia</x:v>
      </x:c>
      <x:c r="E3733" s="1" t="str">
        <x:v>COMPLETE</x:v>
      </x:c>
      <x:c r="F3733" s="1" t="str">
        <x:v>Late delivery</x:v>
      </x:c>
      <x:c r="G3733" s="6" t="n">
        <x:v>5</x:v>
      </x:c>
      <x:c r="H3733" s="6" t="n">
        <x:v>4</x:v>
      </x:c>
      <x:c r="I3733" s="6" t="n">
        <x:f>G3733-H3733</x:f>
        <x:v>1</x:v>
      </x:c>
      <x:c r="J3733" s="6" t="n">
        <x:f>IF(OR(E3733="CANCELED",E3733="SUSPECTED_FRAUD",F3733="Shipping canceled"),0,1)</x:f>
        <x:v>1</x:v>
      </x:c>
      <x:c r="K3733" s="6" t="n">
        <x:f>IF(G3733&gt;H3733,1,0)</x:f>
        <x:v>1</x:v>
      </x:c>
      <x:c r="L3733" s="6" t="n">
        <x:f>J3733*K3733</x:f>
        <x:v>1</x:v>
      </x:c>
    </x:row>
    <x:row r="3734">
      <x:c r="A3734" s="1" t="n">
        <x:v>28228</x:v>
      </x:c>
      <x:c r="B3734" s="5" t="d">
        <x:v>2016-02-17T00:00:00.000Z</x:v>
      </x:c>
      <x:c r="C3734" s="1" t="str">
        <x:v>Standard Class</x:v>
      </x:c>
      <x:c r="D3734" s="1" t="str">
        <x:v>Pacific Asia</x:v>
      </x:c>
      <x:c r="E3734" s="1" t="str">
        <x:v>PROCESSING</x:v>
      </x:c>
      <x:c r="F3734" s="1" t="str">
        <x:v>Shipping on time</x:v>
      </x:c>
      <x:c r="G3734" s="6" t="n">
        <x:v>4</x:v>
      </x:c>
      <x:c r="H3734" s="6" t="n">
        <x:v>4</x:v>
      </x:c>
      <x:c r="I3734" s="6" t="n">
        <x:f>G3734-H3734</x:f>
        <x:v>0</x:v>
      </x:c>
      <x:c r="J3734" s="6" t="n">
        <x:f>IF(OR(E3734="CANCELED",E3734="SUSPECTED_FRAUD",F3734="Shipping canceled"),0,1)</x:f>
        <x:v>1</x:v>
      </x:c>
      <x:c r="K3734" s="6" t="n">
        <x:f>IF(G3734&gt;H3734,1,0)</x:f>
        <x:v>0</x:v>
      </x:c>
      <x:c r="L3734" s="6" t="n">
        <x:f>J3734*K3734</x:f>
        <x:v>0</x:v>
      </x:c>
    </x:row>
    <x:row r="3735">
      <x:c r="A3735" s="1" t="n">
        <x:v>28229</x:v>
      </x:c>
      <x:c r="B3735" s="5" t="d">
        <x:v>2016-02-17T00:00:00.000Z</x:v>
      </x:c>
      <x:c r="C3735" s="1" t="str">
        <x:v>Standard Class</x:v>
      </x:c>
      <x:c r="D3735" s="1" t="str">
        <x:v>Pacific Asia</x:v>
      </x:c>
      <x:c r="E3735" s="1" t="str">
        <x:v>PENDING_PAYMENT</x:v>
      </x:c>
      <x:c r="F3735" s="1" t="str">
        <x:v>Late delivery</x:v>
      </x:c>
      <x:c r="G3735" s="6" t="n">
        <x:v>5</x:v>
      </x:c>
      <x:c r="H3735" s="6" t="n">
        <x:v>4</x:v>
      </x:c>
      <x:c r="I3735" s="6" t="n">
        <x:f>G3735-H3735</x:f>
        <x:v>1</x:v>
      </x:c>
      <x:c r="J3735" s="6" t="n">
        <x:f>IF(OR(E3735="CANCELED",E3735="SUSPECTED_FRAUD",F3735="Shipping canceled"),0,1)</x:f>
        <x:v>1</x:v>
      </x:c>
      <x:c r="K3735" s="6" t="n">
        <x:f>IF(G3735&gt;H3735,1,0)</x:f>
        <x:v>1</x:v>
      </x:c>
      <x:c r="L3735" s="6" t="n">
        <x:f>J3735*K3735</x:f>
        <x:v>1</x:v>
      </x:c>
    </x:row>
    <x:row r="3736">
      <x:c r="A3736" s="1" t="n">
        <x:v>28247</x:v>
      </x:c>
      <x:c r="B3736" s="5" t="d">
        <x:v>2016-02-17T00:00:00.000Z</x:v>
      </x:c>
      <x:c r="C3736" s="1" t="str">
        <x:v>Standard Class</x:v>
      </x:c>
      <x:c r="D3736" s="1" t="str">
        <x:v>Pacific Asia</x:v>
      </x:c>
      <x:c r="E3736" s="1" t="str">
        <x:v>PENDING</x:v>
      </x:c>
      <x:c r="F3736" s="1" t="str">
        <x:v>Advance shipping</x:v>
      </x:c>
      <x:c r="G3736" s="6" t="n">
        <x:v>3</x:v>
      </x:c>
      <x:c r="H3736" s="6" t="n">
        <x:v>4</x:v>
      </x:c>
      <x:c r="I3736" s="6" t="n">
        <x:f>G3736-H3736</x:f>
        <x:v>-1</x:v>
      </x:c>
      <x:c r="J3736" s="6" t="n">
        <x:f>IF(OR(E3736="CANCELED",E3736="SUSPECTED_FRAUD",F3736="Shipping canceled"),0,1)</x:f>
        <x:v>1</x:v>
      </x:c>
      <x:c r="K3736" s="6" t="n">
        <x:f>IF(G3736&gt;H3736,1,0)</x:f>
        <x:v>0</x:v>
      </x:c>
      <x:c r="L3736" s="6" t="n">
        <x:f>J3736*K3736</x:f>
        <x:v>0</x:v>
      </x:c>
    </x:row>
    <x:row r="3737">
      <x:c r="A3737" s="1" t="n">
        <x:v>28249</x:v>
      </x:c>
      <x:c r="B3737" s="5" t="d">
        <x:v>2016-02-17T00:00:00.000Z</x:v>
      </x:c>
      <x:c r="C3737" s="1" t="str">
        <x:v>Standard Class</x:v>
      </x:c>
      <x:c r="D3737" s="1" t="str">
        <x:v>Pacific Asia</x:v>
      </x:c>
      <x:c r="E3737" s="1" t="str">
        <x:v>PROCESSING</x:v>
      </x:c>
      <x:c r="F3737" s="1" t="str">
        <x:v>Late delivery</x:v>
      </x:c>
      <x:c r="G3737" s="6" t="n">
        <x:v>5</x:v>
      </x:c>
      <x:c r="H3737" s="6" t="n">
        <x:v>4</x:v>
      </x:c>
      <x:c r="I3737" s="6" t="n">
        <x:f>G3737-H3737</x:f>
        <x:v>1</x:v>
      </x:c>
      <x:c r="J3737" s="6" t="n">
        <x:f>IF(OR(E3737="CANCELED",E3737="SUSPECTED_FRAUD",F3737="Shipping canceled"),0,1)</x:f>
        <x:v>1</x:v>
      </x:c>
      <x:c r="K3737" s="6" t="n">
        <x:f>IF(G3737&gt;H3737,1,0)</x:f>
        <x:v>1</x:v>
      </x:c>
      <x:c r="L3737" s="6" t="n">
        <x:f>J3737*K3737</x:f>
        <x:v>1</x:v>
      </x:c>
    </x:row>
    <x:row r="3738">
      <x:c r="A3738" s="1" t="n">
        <x:v>28254</x:v>
      </x:c>
      <x:c r="B3738" s="5" t="d">
        <x:v>2016-02-17T00:00:00.000Z</x:v>
      </x:c>
      <x:c r="C3738" s="1" t="str">
        <x:v>Standard Class</x:v>
      </x:c>
      <x:c r="D3738" s="1" t="str">
        <x:v>Pacific Asia</x:v>
      </x:c>
      <x:c r="E3738" s="1" t="str">
        <x:v>PROCESSING</x:v>
      </x:c>
      <x:c r="F3738" s="1" t="str">
        <x:v>Late delivery</x:v>
      </x:c>
      <x:c r="G3738" s="6" t="n">
        <x:v>5</x:v>
      </x:c>
      <x:c r="H3738" s="6" t="n">
        <x:v>4</x:v>
      </x:c>
      <x:c r="I3738" s="6" t="n">
        <x:f>G3738-H3738</x:f>
        <x:v>1</x:v>
      </x:c>
      <x:c r="J3738" s="6" t="n">
        <x:f>IF(OR(E3738="CANCELED",E3738="SUSPECTED_FRAUD",F3738="Shipping canceled"),0,1)</x:f>
        <x:v>1</x:v>
      </x:c>
      <x:c r="K3738" s="6" t="n">
        <x:f>IF(G3738&gt;H3738,1,0)</x:f>
        <x:v>1</x:v>
      </x:c>
      <x:c r="L3738" s="6" t="n">
        <x:f>J3738*K3738</x:f>
        <x:v>1</x:v>
      </x:c>
    </x:row>
    <x:row r="3739">
      <x:c r="A3739" s="1" t="n">
        <x:v>28263</x:v>
      </x:c>
      <x:c r="B3739" s="5" t="d">
        <x:v>2016-02-17T00:00:00.000Z</x:v>
      </x:c>
      <x:c r="C3739" s="1" t="str">
        <x:v>Standard Class</x:v>
      </x:c>
      <x:c r="D3739" s="1" t="str">
        <x:v>Pacific Asia</x:v>
      </x:c>
      <x:c r="E3739" s="1" t="str">
        <x:v>COMPLETE</x:v>
      </x:c>
      <x:c r="F3739" s="1" t="str">
        <x:v>Shipping on time</x:v>
      </x:c>
      <x:c r="G3739" s="6" t="n">
        <x:v>4</x:v>
      </x:c>
      <x:c r="H3739" s="6" t="n">
        <x:v>4</x:v>
      </x:c>
      <x:c r="I3739" s="6" t="n">
        <x:f>G3739-H3739</x:f>
        <x:v>0</x:v>
      </x:c>
      <x:c r="J3739" s="6" t="n">
        <x:f>IF(OR(E3739="CANCELED",E3739="SUSPECTED_FRAUD",F3739="Shipping canceled"),0,1)</x:f>
        <x:v>1</x:v>
      </x:c>
      <x:c r="K3739" s="6" t="n">
        <x:f>IF(G3739&gt;H3739,1,0)</x:f>
        <x:v>0</x:v>
      </x:c>
      <x:c r="L3739" s="6" t="n">
        <x:f>J3739*K3739</x:f>
        <x:v>0</x:v>
      </x:c>
    </x:row>
    <x:row r="3740">
      <x:c r="A3740" s="1" t="n">
        <x:v>28292</x:v>
      </x:c>
      <x:c r="B3740" s="5" t="d">
        <x:v>2016-02-17T00:00:00.000Z</x:v>
      </x:c>
      <x:c r="C3740" s="1" t="str">
        <x:v>Second Class</x:v>
      </x:c>
      <x:c r="D3740" s="1" t="str">
        <x:v>Pacific Asia</x:v>
      </x:c>
      <x:c r="E3740" s="1" t="str">
        <x:v>PENDING_PAYMENT</x:v>
      </x:c>
      <x:c r="F3740" s="1" t="str">
        <x:v>Late delivery</x:v>
      </x:c>
      <x:c r="G3740" s="6" t="n">
        <x:v>3</x:v>
      </x:c>
      <x:c r="H3740" s="6" t="n">
        <x:v>2</x:v>
      </x:c>
      <x:c r="I3740" s="6" t="n">
        <x:f>G3740-H3740</x:f>
        <x:v>1</x:v>
      </x:c>
      <x:c r="J3740" s="6" t="n">
        <x:f>IF(OR(E3740="CANCELED",E3740="SUSPECTED_FRAUD",F3740="Shipping canceled"),0,1)</x:f>
        <x:v>1</x:v>
      </x:c>
      <x:c r="K3740" s="6" t="n">
        <x:f>IF(G3740&gt;H3740,1,0)</x:f>
        <x:v>1</x:v>
      </x:c>
      <x:c r="L3740" s="6" t="n">
        <x:f>J3740*K3740</x:f>
        <x:v>1</x:v>
      </x:c>
    </x:row>
    <x:row r="3741">
      <x:c r="A3741" s="1" t="n">
        <x:v>28320</x:v>
      </x:c>
      <x:c r="B3741" s="5" t="d">
        <x:v>2016-02-18T00:00:00.000Z</x:v>
      </x:c>
      <x:c r="C3741" s="1" t="str">
        <x:v>First Class</x:v>
      </x:c>
      <x:c r="D3741" s="1" t="str">
        <x:v>Pacific Asia</x:v>
      </x:c>
      <x:c r="E3741" s="1" t="str">
        <x:v>CLOSED</x:v>
      </x:c>
      <x:c r="F3741" s="1" t="str">
        <x:v>Late delivery</x:v>
      </x:c>
      <x:c r="G3741" s="6" t="n">
        <x:v>2</x:v>
      </x:c>
      <x:c r="H3741" s="6" t="n">
        <x:v>1</x:v>
      </x:c>
      <x:c r="I3741" s="6" t="n">
        <x:f>G3741-H3741</x:f>
        <x:v>1</x:v>
      </x:c>
      <x:c r="J3741" s="6" t="n">
        <x:f>IF(OR(E3741="CANCELED",E3741="SUSPECTED_FRAUD",F3741="Shipping canceled"),0,1)</x:f>
        <x:v>1</x:v>
      </x:c>
      <x:c r="K3741" s="6" t="n">
        <x:f>IF(G3741&gt;H3741,1,0)</x:f>
        <x:v>1</x:v>
      </x:c>
      <x:c r="L3741" s="6" t="n">
        <x:f>J3741*K3741</x:f>
        <x:v>1</x:v>
      </x:c>
    </x:row>
    <x:row r="3742">
      <x:c r="A3742" s="1" t="n">
        <x:v>28327</x:v>
      </x:c>
      <x:c r="B3742" s="5" t="d">
        <x:v>2016-02-18T00:00:00.000Z</x:v>
      </x:c>
      <x:c r="C3742" s="1" t="str">
        <x:v>Standard Class</x:v>
      </x:c>
      <x:c r="D3742" s="1" t="str">
        <x:v>Pacific Asia</x:v>
      </x:c>
      <x:c r="E3742" s="1" t="str">
        <x:v>COMPLETE</x:v>
      </x:c>
      <x:c r="F3742" s="1" t="str">
        <x:v>Advance shipping</x:v>
      </x:c>
      <x:c r="G3742" s="6" t="n">
        <x:v>3</x:v>
      </x:c>
      <x:c r="H3742" s="6" t="n">
        <x:v>4</x:v>
      </x:c>
      <x:c r="I3742" s="6" t="n">
        <x:f>G3742-H3742</x:f>
        <x:v>-1</x:v>
      </x:c>
      <x:c r="J3742" s="6" t="n">
        <x:f>IF(OR(E3742="CANCELED",E3742="SUSPECTED_FRAUD",F3742="Shipping canceled"),0,1)</x:f>
        <x:v>1</x:v>
      </x:c>
      <x:c r="K3742" s="6" t="n">
        <x:f>IF(G3742&gt;H3742,1,0)</x:f>
        <x:v>0</x:v>
      </x:c>
      <x:c r="L3742" s="6" t="n">
        <x:f>J3742*K3742</x:f>
        <x:v>0</x:v>
      </x:c>
    </x:row>
    <x:row r="3743">
      <x:c r="A3743" s="1" t="n">
        <x:v>28355</x:v>
      </x:c>
      <x:c r="B3743" s="5" t="d">
        <x:v>2016-02-18T00:00:00.000Z</x:v>
      </x:c>
      <x:c r="C3743" s="1" t="str">
        <x:v>Standard Class</x:v>
      </x:c>
      <x:c r="D3743" s="1" t="str">
        <x:v>Pacific Asia</x:v>
      </x:c>
      <x:c r="E3743" s="1" t="str">
        <x:v>COMPLETE</x:v>
      </x:c>
      <x:c r="F3743" s="1" t="str">
        <x:v>Late delivery</x:v>
      </x:c>
      <x:c r="G3743" s="6" t="n">
        <x:v>6</x:v>
      </x:c>
      <x:c r="H3743" s="6" t="n">
        <x:v>4</x:v>
      </x:c>
      <x:c r="I3743" s="6" t="n">
        <x:f>G3743-H3743</x:f>
        <x:v>2</x:v>
      </x:c>
      <x:c r="J3743" s="6" t="n">
        <x:f>IF(OR(E3743="CANCELED",E3743="SUSPECTED_FRAUD",F3743="Shipping canceled"),0,1)</x:f>
        <x:v>1</x:v>
      </x:c>
      <x:c r="K3743" s="6" t="n">
        <x:f>IF(G3743&gt;H3743,1,0)</x:f>
        <x:v>1</x:v>
      </x:c>
      <x:c r="L3743" s="6" t="n">
        <x:f>J3743*K3743</x:f>
        <x:v>1</x:v>
      </x:c>
    </x:row>
    <x:row r="3744">
      <x:c r="A3744" s="1" t="n">
        <x:v>28360</x:v>
      </x:c>
      <x:c r="B3744" s="5" t="d">
        <x:v>2016-02-18T00:00:00.000Z</x:v>
      </x:c>
      <x:c r="C3744" s="1" t="str">
        <x:v>Second Class</x:v>
      </x:c>
      <x:c r="D3744" s="1" t="str">
        <x:v>Pacific Asia</x:v>
      </x:c>
      <x:c r="E3744" s="1" t="str">
        <x:v>COMPLETE</x:v>
      </x:c>
      <x:c r="F3744" s="1" t="str">
        <x:v>Late delivery</x:v>
      </x:c>
      <x:c r="G3744" s="6" t="n">
        <x:v>6</x:v>
      </x:c>
      <x:c r="H3744" s="6" t="n">
        <x:v>2</x:v>
      </x:c>
      <x:c r="I3744" s="6" t="n">
        <x:f>G3744-H3744</x:f>
        <x:v>4</x:v>
      </x:c>
      <x:c r="J3744" s="6" t="n">
        <x:f>IF(OR(E3744="CANCELED",E3744="SUSPECTED_FRAUD",F3744="Shipping canceled"),0,1)</x:f>
        <x:v>1</x:v>
      </x:c>
      <x:c r="K3744" s="6" t="n">
        <x:f>IF(G3744&gt;H3744,1,0)</x:f>
        <x:v>1</x:v>
      </x:c>
      <x:c r="L3744" s="6" t="n">
        <x:f>J3744*K3744</x:f>
        <x:v>1</x:v>
      </x:c>
    </x:row>
    <x:row r="3745">
      <x:c r="A3745" s="1" t="n">
        <x:v>28368</x:v>
      </x:c>
      <x:c r="B3745" s="5" t="d">
        <x:v>2016-02-19T00:00:00.000Z</x:v>
      </x:c>
      <x:c r="C3745" s="1" t="str">
        <x:v>Same Day</x:v>
      </x:c>
      <x:c r="D3745" s="1" t="str">
        <x:v>Pacific Asia</x:v>
      </x:c>
      <x:c r="E3745" s="1" t="str">
        <x:v>CLOSED</x:v>
      </x:c>
      <x:c r="F3745" s="1" t="str">
        <x:v>Shipping on time</x:v>
      </x:c>
      <x:c r="G3745" s="6" t="n">
        <x:v>0</x:v>
      </x:c>
      <x:c r="H3745" s="6" t="n">
        <x:v>0</x:v>
      </x:c>
      <x:c r="I3745" s="6" t="n">
        <x:f>G3745-H3745</x:f>
        <x:v>0</x:v>
      </x:c>
      <x:c r="J3745" s="6" t="n">
        <x:f>IF(OR(E3745="CANCELED",E3745="SUSPECTED_FRAUD",F3745="Shipping canceled"),0,1)</x:f>
        <x:v>1</x:v>
      </x:c>
      <x:c r="K3745" s="6" t="n">
        <x:f>IF(G3745&gt;H3745,1,0)</x:f>
        <x:v>0</x:v>
      </x:c>
      <x:c r="L3745" s="6" t="n">
        <x:f>J3745*K3745</x:f>
        <x:v>0</x:v>
      </x:c>
    </x:row>
    <x:row r="3746">
      <x:c r="A3746" s="1" t="n">
        <x:v>28392</x:v>
      </x:c>
      <x:c r="B3746" s="5" t="d">
        <x:v>2016-02-19T00:00:00.000Z</x:v>
      </x:c>
      <x:c r="C3746" s="1" t="str">
        <x:v>Standard Class</x:v>
      </x:c>
      <x:c r="D3746" s="1" t="str">
        <x:v>Pacific Asia</x:v>
      </x:c>
      <x:c r="E3746" s="1" t="str">
        <x:v>CLOSED</x:v>
      </x:c>
      <x:c r="F3746" s="1" t="str">
        <x:v>Advance shipping</x:v>
      </x:c>
      <x:c r="G3746" s="6" t="n">
        <x:v>3</x:v>
      </x:c>
      <x:c r="H3746" s="6" t="n">
        <x:v>4</x:v>
      </x:c>
      <x:c r="I3746" s="6" t="n">
        <x:f>G3746-H3746</x:f>
        <x:v>-1</x:v>
      </x:c>
      <x:c r="J3746" s="6" t="n">
        <x:f>IF(OR(E3746="CANCELED",E3746="SUSPECTED_FRAUD",F3746="Shipping canceled"),0,1)</x:f>
        <x:v>1</x:v>
      </x:c>
      <x:c r="K3746" s="6" t="n">
        <x:f>IF(G3746&gt;H3746,1,0)</x:f>
        <x:v>0</x:v>
      </x:c>
      <x:c r="L3746" s="6" t="n">
        <x:f>J3746*K3746</x:f>
        <x:v>0</x:v>
      </x:c>
    </x:row>
    <x:row r="3747">
      <x:c r="A3747" s="1" t="n">
        <x:v>28396</x:v>
      </x:c>
      <x:c r="B3747" s="5" t="d">
        <x:v>2016-02-19T00:00:00.000Z</x:v>
      </x:c>
      <x:c r="C3747" s="1" t="str">
        <x:v>Standard Class</x:v>
      </x:c>
      <x:c r="D3747" s="1" t="str">
        <x:v>Pacific Asia</x:v>
      </x:c>
      <x:c r="E3747" s="1" t="str">
        <x:v>COMPLETE</x:v>
      </x:c>
      <x:c r="F3747" s="1" t="str">
        <x:v>Advance shipping</x:v>
      </x:c>
      <x:c r="G3747" s="6" t="n">
        <x:v>2</x:v>
      </x:c>
      <x:c r="H3747" s="6" t="n">
        <x:v>4</x:v>
      </x:c>
      <x:c r="I3747" s="6" t="n">
        <x:f>G3747-H3747</x:f>
        <x:v>-2</x:v>
      </x:c>
      <x:c r="J3747" s="6" t="n">
        <x:f>IF(OR(E3747="CANCELED",E3747="SUSPECTED_FRAUD",F3747="Shipping canceled"),0,1)</x:f>
        <x:v>1</x:v>
      </x:c>
      <x:c r="K3747" s="6" t="n">
        <x:f>IF(G3747&gt;H3747,1,0)</x:f>
        <x:v>0</x:v>
      </x:c>
      <x:c r="L3747" s="6" t="n">
        <x:f>J3747*K3747</x:f>
        <x:v>0</x:v>
      </x:c>
    </x:row>
    <x:row r="3748">
      <x:c r="A3748" s="1" t="n">
        <x:v>28401</x:v>
      </x:c>
      <x:c r="B3748" s="5" t="d">
        <x:v>2016-02-19T00:00:00.000Z</x:v>
      </x:c>
      <x:c r="C3748" s="1" t="str">
        <x:v>Standard Class</x:v>
      </x:c>
      <x:c r="D3748" s="1" t="str">
        <x:v>Pacific Asia</x:v>
      </x:c>
      <x:c r="E3748" s="1" t="str">
        <x:v>PENDING</x:v>
      </x:c>
      <x:c r="F3748" s="1" t="str">
        <x:v>Advance shipping</x:v>
      </x:c>
      <x:c r="G3748" s="6" t="n">
        <x:v>2</x:v>
      </x:c>
      <x:c r="H3748" s="6" t="n">
        <x:v>4</x:v>
      </x:c>
      <x:c r="I3748" s="6" t="n">
        <x:f>G3748-H3748</x:f>
        <x:v>-2</x:v>
      </x:c>
      <x:c r="J3748" s="6" t="n">
        <x:f>IF(OR(E3748="CANCELED",E3748="SUSPECTED_FRAUD",F3748="Shipping canceled"),0,1)</x:f>
        <x:v>1</x:v>
      </x:c>
      <x:c r="K3748" s="6" t="n">
        <x:f>IF(G3748&gt;H3748,1,0)</x:f>
        <x:v>0</x:v>
      </x:c>
      <x:c r="L3748" s="6" t="n">
        <x:f>J3748*K3748</x:f>
        <x:v>0</x:v>
      </x:c>
    </x:row>
    <x:row r="3749">
      <x:c r="A3749" s="1" t="n">
        <x:v>28402</x:v>
      </x:c>
      <x:c r="B3749" s="5" t="d">
        <x:v>2016-02-19T00:00:00.000Z</x:v>
      </x:c>
      <x:c r="C3749" s="1" t="str">
        <x:v>Standard Class</x:v>
      </x:c>
      <x:c r="D3749" s="1" t="str">
        <x:v>Pacific Asia</x:v>
      </x:c>
      <x:c r="E3749" s="1" t="str">
        <x:v>PROCESSING</x:v>
      </x:c>
      <x:c r="F3749" s="1" t="str">
        <x:v>Advance shipping</x:v>
      </x:c>
      <x:c r="G3749" s="6" t="n">
        <x:v>3</x:v>
      </x:c>
      <x:c r="H3749" s="6" t="n">
        <x:v>4</x:v>
      </x:c>
      <x:c r="I3749" s="6" t="n">
        <x:f>G3749-H3749</x:f>
        <x:v>-1</x:v>
      </x:c>
      <x:c r="J3749" s="6" t="n">
        <x:f>IF(OR(E3749="CANCELED",E3749="SUSPECTED_FRAUD",F3749="Shipping canceled"),0,1)</x:f>
        <x:v>1</x:v>
      </x:c>
      <x:c r="K3749" s="6" t="n">
        <x:f>IF(G3749&gt;H3749,1,0)</x:f>
        <x:v>0</x:v>
      </x:c>
      <x:c r="L3749" s="6" t="n">
        <x:f>J3749*K3749</x:f>
        <x:v>0</x:v>
      </x:c>
    </x:row>
    <x:row r="3750">
      <x:c r="A3750" s="1" t="n">
        <x:v>28403</x:v>
      </x:c>
      <x:c r="B3750" s="5" t="d">
        <x:v>2016-02-19T00:00:00.000Z</x:v>
      </x:c>
      <x:c r="C3750" s="1" t="str">
        <x:v>Standard Class</x:v>
      </x:c>
      <x:c r="D3750" s="1" t="str">
        <x:v>Pacific Asia</x:v>
      </x:c>
      <x:c r="E3750" s="1" t="str">
        <x:v>COMPLETE</x:v>
      </x:c>
      <x:c r="F3750" s="1" t="str">
        <x:v>Shipping on time</x:v>
      </x:c>
      <x:c r="G3750" s="6" t="n">
        <x:v>4</x:v>
      </x:c>
      <x:c r="H3750" s="6" t="n">
        <x:v>4</x:v>
      </x:c>
      <x:c r="I3750" s="6" t="n">
        <x:f>G3750-H3750</x:f>
        <x:v>0</x:v>
      </x:c>
      <x:c r="J3750" s="6" t="n">
        <x:f>IF(OR(E3750="CANCELED",E3750="SUSPECTED_FRAUD",F3750="Shipping canceled"),0,1)</x:f>
        <x:v>1</x:v>
      </x:c>
      <x:c r="K3750" s="6" t="n">
        <x:f>IF(G3750&gt;H3750,1,0)</x:f>
        <x:v>0</x:v>
      </x:c>
      <x:c r="L3750" s="6" t="n">
        <x:f>J3750*K3750</x:f>
        <x:v>0</x:v>
      </x:c>
    </x:row>
    <x:row r="3751">
      <x:c r="A3751" s="1" t="n">
        <x:v>28405</x:v>
      </x:c>
      <x:c r="B3751" s="5" t="d">
        <x:v>2016-02-19T00:00:00.000Z</x:v>
      </x:c>
      <x:c r="C3751" s="1" t="str">
        <x:v>Standard Class</x:v>
      </x:c>
      <x:c r="D3751" s="1" t="str">
        <x:v>Pacific Asia</x:v>
      </x:c>
      <x:c r="E3751" s="1" t="str">
        <x:v>PENDING</x:v>
      </x:c>
      <x:c r="F3751" s="1" t="str">
        <x:v>Late delivery</x:v>
      </x:c>
      <x:c r="G3751" s="6" t="n">
        <x:v>6</x:v>
      </x:c>
      <x:c r="H3751" s="6" t="n">
        <x:v>4</x:v>
      </x:c>
      <x:c r="I3751" s="6" t="n">
        <x:f>G3751-H3751</x:f>
        <x:v>2</x:v>
      </x:c>
      <x:c r="J3751" s="6" t="n">
        <x:f>IF(OR(E3751="CANCELED",E3751="SUSPECTED_FRAUD",F3751="Shipping canceled"),0,1)</x:f>
        <x:v>1</x:v>
      </x:c>
      <x:c r="K3751" s="6" t="n">
        <x:f>IF(G3751&gt;H3751,1,0)</x:f>
        <x:v>1</x:v>
      </x:c>
      <x:c r="L3751" s="6" t="n">
        <x:f>J3751*K3751</x:f>
        <x:v>1</x:v>
      </x:c>
    </x:row>
    <x:row r="3752">
      <x:c r="A3752" s="1" t="n">
        <x:v>28407</x:v>
      </x:c>
      <x:c r="B3752" s="5" t="d">
        <x:v>2016-02-19T00:00:00.000Z</x:v>
      </x:c>
      <x:c r="C3752" s="1" t="str">
        <x:v>First Class</x:v>
      </x:c>
      <x:c r="D3752" s="1" t="str">
        <x:v>Pacific Asia</x:v>
      </x:c>
      <x:c r="E3752" s="1" t="str">
        <x:v>CLOSED</x:v>
      </x:c>
      <x:c r="F3752" s="1" t="str">
        <x:v>Late delivery</x:v>
      </x:c>
      <x:c r="G3752" s="6" t="n">
        <x:v>2</x:v>
      </x:c>
      <x:c r="H3752" s="6" t="n">
        <x:v>1</x:v>
      </x:c>
      <x:c r="I3752" s="6" t="n">
        <x:f>G3752-H3752</x:f>
        <x:v>1</x:v>
      </x:c>
      <x:c r="J3752" s="6" t="n">
        <x:f>IF(OR(E3752="CANCELED",E3752="SUSPECTED_FRAUD",F3752="Shipping canceled"),0,1)</x:f>
        <x:v>1</x:v>
      </x:c>
      <x:c r="K3752" s="6" t="n">
        <x:f>IF(G3752&gt;H3752,1,0)</x:f>
        <x:v>1</x:v>
      </x:c>
      <x:c r="L3752" s="6" t="n">
        <x:f>J3752*K3752</x:f>
        <x:v>1</x:v>
      </x:c>
    </x:row>
    <x:row r="3753">
      <x:c r="A3753" s="1" t="n">
        <x:v>28408</x:v>
      </x:c>
      <x:c r="B3753" s="5" t="d">
        <x:v>2016-02-19T00:00:00.000Z</x:v>
      </x:c>
      <x:c r="C3753" s="1" t="str">
        <x:v>First Class</x:v>
      </x:c>
      <x:c r="D3753" s="1" t="str">
        <x:v>Pacific Asia</x:v>
      </x:c>
      <x:c r="E3753" s="1" t="str">
        <x:v>PROCESSING</x:v>
      </x:c>
      <x:c r="F3753" s="1" t="str">
        <x:v>Late delivery</x:v>
      </x:c>
      <x:c r="G3753" s="6" t="n">
        <x:v>2</x:v>
      </x:c>
      <x:c r="H3753" s="6" t="n">
        <x:v>1</x:v>
      </x:c>
      <x:c r="I3753" s="6" t="n">
        <x:f>G3753-H3753</x:f>
        <x:v>1</x:v>
      </x:c>
      <x:c r="J3753" s="6" t="n">
        <x:f>IF(OR(E3753="CANCELED",E3753="SUSPECTED_FRAUD",F3753="Shipping canceled"),0,1)</x:f>
        <x:v>1</x:v>
      </x:c>
      <x:c r="K3753" s="6" t="n">
        <x:f>IF(G3753&gt;H3753,1,0)</x:f>
        <x:v>1</x:v>
      </x:c>
      <x:c r="L3753" s="6" t="n">
        <x:f>J3753*K3753</x:f>
        <x:v>1</x:v>
      </x:c>
    </x:row>
    <x:row r="3754">
      <x:c r="A3754" s="1" t="n">
        <x:v>28431</x:v>
      </x:c>
      <x:c r="B3754" s="5" t="d">
        <x:v>2016-02-20T00:00:00.000Z</x:v>
      </x:c>
      <x:c r="C3754" s="1" t="str">
        <x:v>Standard Class</x:v>
      </x:c>
      <x:c r="D3754" s="1" t="str">
        <x:v>Pacific Asia</x:v>
      </x:c>
      <x:c r="E3754" s="1" t="str">
        <x:v>CANCELED</x:v>
      </x:c>
      <x:c r="F3754" s="1" t="str">
        <x:v>Shipping canceled</x:v>
      </x:c>
      <x:c r="G3754" s="6" t="n">
        <x:v>2</x:v>
      </x:c>
      <x:c r="H3754" s="6" t="n">
        <x:v>4</x:v>
      </x:c>
      <x:c r="I3754" s="6" t="n">
        <x:f>G3754-H3754</x:f>
        <x:v>-2</x:v>
      </x:c>
      <x:c r="J3754" s="6" t="n">
        <x:f>IF(OR(E3754="CANCELED",E3754="SUSPECTED_FRAUD",F3754="Shipping canceled"),0,1)</x:f>
        <x:v>0</x:v>
      </x:c>
      <x:c r="K3754" s="6" t="n">
        <x:f>IF(G3754&gt;H3754,1,0)</x:f>
        <x:v>0</x:v>
      </x:c>
      <x:c r="L3754" s="6" t="n">
        <x:f>J3754*K3754</x:f>
        <x:v>0</x:v>
      </x:c>
    </x:row>
    <x:row r="3755">
      <x:c r="A3755" s="1" t="n">
        <x:v>28436</x:v>
      </x:c>
      <x:c r="B3755" s="5" t="d">
        <x:v>2016-02-20T00:00:00.000Z</x:v>
      </x:c>
      <x:c r="C3755" s="1" t="str">
        <x:v>Second Class</x:v>
      </x:c>
      <x:c r="D3755" s="1" t="str">
        <x:v>Pacific Asia</x:v>
      </x:c>
      <x:c r="E3755" s="1" t="str">
        <x:v>COMPLETE</x:v>
      </x:c>
      <x:c r="F3755" s="1" t="str">
        <x:v>Shipping on time</x:v>
      </x:c>
      <x:c r="G3755" s="6" t="n">
        <x:v>2</x:v>
      </x:c>
      <x:c r="H3755" s="6" t="n">
        <x:v>2</x:v>
      </x:c>
      <x:c r="I3755" s="6" t="n">
        <x:f>G3755-H3755</x:f>
        <x:v>0</x:v>
      </x:c>
      <x:c r="J3755" s="6" t="n">
        <x:f>IF(OR(E3755="CANCELED",E3755="SUSPECTED_FRAUD",F3755="Shipping canceled"),0,1)</x:f>
        <x:v>1</x:v>
      </x:c>
      <x:c r="K3755" s="6" t="n">
        <x:f>IF(G3755&gt;H3755,1,0)</x:f>
        <x:v>0</x:v>
      </x:c>
      <x:c r="L3755" s="6" t="n">
        <x:f>J3755*K3755</x:f>
        <x:v>0</x:v>
      </x:c>
    </x:row>
    <x:row r="3756">
      <x:c r="A3756" s="1" t="n">
        <x:v>28439</x:v>
      </x:c>
      <x:c r="B3756" s="5" t="d">
        <x:v>2016-02-20T00:00:00.000Z</x:v>
      </x:c>
      <x:c r="C3756" s="1" t="str">
        <x:v>Standard Class</x:v>
      </x:c>
      <x:c r="D3756" s="1" t="str">
        <x:v>Pacific Asia</x:v>
      </x:c>
      <x:c r="E3756" s="1" t="str">
        <x:v>COMPLETE</x:v>
      </x:c>
      <x:c r="F3756" s="1" t="str">
        <x:v>Late delivery</x:v>
      </x:c>
      <x:c r="G3756" s="6" t="n">
        <x:v>5</x:v>
      </x:c>
      <x:c r="H3756" s="6" t="n">
        <x:v>4</x:v>
      </x:c>
      <x:c r="I3756" s="6" t="n">
        <x:f>G3756-H3756</x:f>
        <x:v>1</x:v>
      </x:c>
      <x:c r="J3756" s="6" t="n">
        <x:f>IF(OR(E3756="CANCELED",E3756="SUSPECTED_FRAUD",F3756="Shipping canceled"),0,1)</x:f>
        <x:v>1</x:v>
      </x:c>
      <x:c r="K3756" s="6" t="n">
        <x:f>IF(G3756&gt;H3756,1,0)</x:f>
        <x:v>1</x:v>
      </x:c>
      <x:c r="L3756" s="6" t="n">
        <x:f>J3756*K3756</x:f>
        <x:v>1</x:v>
      </x:c>
    </x:row>
    <x:row r="3757">
      <x:c r="A3757" s="1" t="n">
        <x:v>28440</x:v>
      </x:c>
      <x:c r="B3757" s="5" t="d">
        <x:v>2016-02-20T00:00:00.000Z</x:v>
      </x:c>
      <x:c r="C3757" s="1" t="str">
        <x:v>Second Class</x:v>
      </x:c>
      <x:c r="D3757" s="1" t="str">
        <x:v>Pacific Asia</x:v>
      </x:c>
      <x:c r="E3757" s="1" t="str">
        <x:v>PROCESSING</x:v>
      </x:c>
      <x:c r="F3757" s="1" t="str">
        <x:v>Late delivery</x:v>
      </x:c>
      <x:c r="G3757" s="6" t="n">
        <x:v>6</x:v>
      </x:c>
      <x:c r="H3757" s="6" t="n">
        <x:v>2</x:v>
      </x:c>
      <x:c r="I3757" s="6" t="n">
        <x:f>G3757-H3757</x:f>
        <x:v>4</x:v>
      </x:c>
      <x:c r="J3757" s="6" t="n">
        <x:f>IF(OR(E3757="CANCELED",E3757="SUSPECTED_FRAUD",F3757="Shipping canceled"),0,1)</x:f>
        <x:v>1</x:v>
      </x:c>
      <x:c r="K3757" s="6" t="n">
        <x:f>IF(G3757&gt;H3757,1,0)</x:f>
        <x:v>1</x:v>
      </x:c>
      <x:c r="L3757" s="6" t="n">
        <x:f>J3757*K3757</x:f>
        <x:v>1</x:v>
      </x:c>
    </x:row>
    <x:row r="3758">
      <x:c r="A3758" s="1" t="n">
        <x:v>28441</x:v>
      </x:c>
      <x:c r="B3758" s="5" t="d">
        <x:v>2016-02-20T00:00:00.000Z</x:v>
      </x:c>
      <x:c r="C3758" s="1" t="str">
        <x:v>Standard Class</x:v>
      </x:c>
      <x:c r="D3758" s="1" t="str">
        <x:v>Pacific Asia</x:v>
      </x:c>
      <x:c r="E3758" s="1" t="str">
        <x:v>PROCESSING</x:v>
      </x:c>
      <x:c r="F3758" s="1" t="str">
        <x:v>Advance shipping</x:v>
      </x:c>
      <x:c r="G3758" s="6" t="n">
        <x:v>2</x:v>
      </x:c>
      <x:c r="H3758" s="6" t="n">
        <x:v>4</x:v>
      </x:c>
      <x:c r="I3758" s="6" t="n">
        <x:f>G3758-H3758</x:f>
        <x:v>-2</x:v>
      </x:c>
      <x:c r="J3758" s="6" t="n">
        <x:f>IF(OR(E3758="CANCELED",E3758="SUSPECTED_FRAUD",F3758="Shipping canceled"),0,1)</x:f>
        <x:v>1</x:v>
      </x:c>
      <x:c r="K3758" s="6" t="n">
        <x:f>IF(G3758&gt;H3758,1,0)</x:f>
        <x:v>0</x:v>
      </x:c>
      <x:c r="L3758" s="6" t="n">
        <x:f>J3758*K3758</x:f>
        <x:v>0</x:v>
      </x:c>
    </x:row>
    <x:row r="3759">
      <x:c r="A3759" s="1" t="n">
        <x:v>28442</x:v>
      </x:c>
      <x:c r="B3759" s="5" t="d">
        <x:v>2016-02-20T00:00:00.000Z</x:v>
      </x:c>
      <x:c r="C3759" s="1" t="str">
        <x:v>Standard Class</x:v>
      </x:c>
      <x:c r="D3759" s="1" t="str">
        <x:v>Pacific Asia</x:v>
      </x:c>
      <x:c r="E3759" s="1" t="str">
        <x:v>PENDING</x:v>
      </x:c>
      <x:c r="F3759" s="1" t="str">
        <x:v>Advance shipping</x:v>
      </x:c>
      <x:c r="G3759" s="6" t="n">
        <x:v>3</x:v>
      </x:c>
      <x:c r="H3759" s="6" t="n">
        <x:v>4</x:v>
      </x:c>
      <x:c r="I3759" s="6" t="n">
        <x:f>G3759-H3759</x:f>
        <x:v>-1</x:v>
      </x:c>
      <x:c r="J3759" s="6" t="n">
        <x:f>IF(OR(E3759="CANCELED",E3759="SUSPECTED_FRAUD",F3759="Shipping canceled"),0,1)</x:f>
        <x:v>1</x:v>
      </x:c>
      <x:c r="K3759" s="6" t="n">
        <x:f>IF(G3759&gt;H3759,1,0)</x:f>
        <x:v>0</x:v>
      </x:c>
      <x:c r="L3759" s="6" t="n">
        <x:f>J3759*K3759</x:f>
        <x:v>0</x:v>
      </x:c>
    </x:row>
    <x:row r="3760">
      <x:c r="A3760" s="1" t="n">
        <x:v>28443</x:v>
      </x:c>
      <x:c r="B3760" s="5" t="d">
        <x:v>2016-02-20T00:00:00.000Z</x:v>
      </x:c>
      <x:c r="C3760" s="1" t="str">
        <x:v>Second Class</x:v>
      </x:c>
      <x:c r="D3760" s="1" t="str">
        <x:v>Pacific Asia</x:v>
      </x:c>
      <x:c r="E3760" s="1" t="str">
        <x:v>COMPLETE</x:v>
      </x:c>
      <x:c r="F3760" s="1" t="str">
        <x:v>Late delivery</x:v>
      </x:c>
      <x:c r="G3760" s="6" t="n">
        <x:v>4</x:v>
      </x:c>
      <x:c r="H3760" s="6" t="n">
        <x:v>2</x:v>
      </x:c>
      <x:c r="I3760" s="6" t="n">
        <x:f>G3760-H3760</x:f>
        <x:v>2</x:v>
      </x:c>
      <x:c r="J3760" s="6" t="n">
        <x:f>IF(OR(E3760="CANCELED",E3760="SUSPECTED_FRAUD",F3760="Shipping canceled"),0,1)</x:f>
        <x:v>1</x:v>
      </x:c>
      <x:c r="K3760" s="6" t="n">
        <x:f>IF(G3760&gt;H3760,1,0)</x:f>
        <x:v>1</x:v>
      </x:c>
      <x:c r="L3760" s="6" t="n">
        <x:f>J3760*K3760</x:f>
        <x:v>1</x:v>
      </x:c>
    </x:row>
    <x:row r="3761">
      <x:c r="A3761" s="1" t="n">
        <x:v>28444</x:v>
      </x:c>
      <x:c r="B3761" s="5" t="d">
        <x:v>2016-02-20T00:00:00.000Z</x:v>
      </x:c>
      <x:c r="C3761" s="1" t="str">
        <x:v>Standard Class</x:v>
      </x:c>
      <x:c r="D3761" s="1" t="str">
        <x:v>Pacific Asia</x:v>
      </x:c>
      <x:c r="E3761" s="1" t="str">
        <x:v>CLOSED</x:v>
      </x:c>
      <x:c r="F3761" s="1" t="str">
        <x:v>Late delivery</x:v>
      </x:c>
      <x:c r="G3761" s="6" t="n">
        <x:v>5</x:v>
      </x:c>
      <x:c r="H3761" s="6" t="n">
        <x:v>4</x:v>
      </x:c>
      <x:c r="I3761" s="6" t="n">
        <x:f>G3761-H3761</x:f>
        <x:v>1</x:v>
      </x:c>
      <x:c r="J3761" s="6" t="n">
        <x:f>IF(OR(E3761="CANCELED",E3761="SUSPECTED_FRAUD",F3761="Shipping canceled"),0,1)</x:f>
        <x:v>1</x:v>
      </x:c>
      <x:c r="K3761" s="6" t="n">
        <x:f>IF(G3761&gt;H3761,1,0)</x:f>
        <x:v>1</x:v>
      </x:c>
      <x:c r="L3761" s="6" t="n">
        <x:f>J3761*K3761</x:f>
        <x:v>1</x:v>
      </x:c>
    </x:row>
    <x:row r="3762">
      <x:c r="A3762" s="1" t="n">
        <x:v>28451</x:v>
      </x:c>
      <x:c r="B3762" s="5" t="d">
        <x:v>2016-02-20T00:00:00.000Z</x:v>
      </x:c>
      <x:c r="C3762" s="1" t="str">
        <x:v>Standard Class</x:v>
      </x:c>
      <x:c r="D3762" s="1" t="str">
        <x:v>Pacific Asia</x:v>
      </x:c>
      <x:c r="E3762" s="1" t="str">
        <x:v>PENDING</x:v>
      </x:c>
      <x:c r="F3762" s="1" t="str">
        <x:v>Advance shipping</x:v>
      </x:c>
      <x:c r="G3762" s="6" t="n">
        <x:v>2</x:v>
      </x:c>
      <x:c r="H3762" s="6" t="n">
        <x:v>4</x:v>
      </x:c>
      <x:c r="I3762" s="6" t="n">
        <x:f>G3762-H3762</x:f>
        <x:v>-2</x:v>
      </x:c>
      <x:c r="J3762" s="6" t="n">
        <x:f>IF(OR(E3762="CANCELED",E3762="SUSPECTED_FRAUD",F3762="Shipping canceled"),0,1)</x:f>
        <x:v>1</x:v>
      </x:c>
      <x:c r="K3762" s="6" t="n">
        <x:f>IF(G3762&gt;H3762,1,0)</x:f>
        <x:v>0</x:v>
      </x:c>
      <x:c r="L3762" s="6" t="n">
        <x:f>J3762*K3762</x:f>
        <x:v>0</x:v>
      </x:c>
    </x:row>
    <x:row r="3763">
      <x:c r="A3763" s="1" t="n">
        <x:v>28461</x:v>
      </x:c>
      <x:c r="B3763" s="5" t="d">
        <x:v>2016-02-20T00:00:00.000Z</x:v>
      </x:c>
      <x:c r="C3763" s="1" t="str">
        <x:v>Standard Class</x:v>
      </x:c>
      <x:c r="D3763" s="1" t="str">
        <x:v>Pacific Asia</x:v>
      </x:c>
      <x:c r="E3763" s="1" t="str">
        <x:v>PROCESSING</x:v>
      </x:c>
      <x:c r="F3763" s="1" t="str">
        <x:v>Advance shipping</x:v>
      </x:c>
      <x:c r="G3763" s="6" t="n">
        <x:v>2</x:v>
      </x:c>
      <x:c r="H3763" s="6" t="n">
        <x:v>4</x:v>
      </x:c>
      <x:c r="I3763" s="6" t="n">
        <x:f>G3763-H3763</x:f>
        <x:v>-2</x:v>
      </x:c>
      <x:c r="J3763" s="6" t="n">
        <x:f>IF(OR(E3763="CANCELED",E3763="SUSPECTED_FRAUD",F3763="Shipping canceled"),0,1)</x:f>
        <x:v>1</x:v>
      </x:c>
      <x:c r="K3763" s="6" t="n">
        <x:f>IF(G3763&gt;H3763,1,0)</x:f>
        <x:v>0</x:v>
      </x:c>
      <x:c r="L3763" s="6" t="n">
        <x:f>J3763*K3763</x:f>
        <x:v>0</x:v>
      </x:c>
    </x:row>
    <x:row r="3764">
      <x:c r="A3764" s="1" t="n">
        <x:v>28465</x:v>
      </x:c>
      <x:c r="B3764" s="5" t="d">
        <x:v>2016-02-20T00:00:00.000Z</x:v>
      </x:c>
      <x:c r="C3764" s="1" t="str">
        <x:v>Standard Class</x:v>
      </x:c>
      <x:c r="D3764" s="1" t="str">
        <x:v>Pacific Asia</x:v>
      </x:c>
      <x:c r="E3764" s="1" t="str">
        <x:v>PENDING_PAYMENT</x:v>
      </x:c>
      <x:c r="F3764" s="1" t="str">
        <x:v>Late delivery</x:v>
      </x:c>
      <x:c r="G3764" s="6" t="n">
        <x:v>6</x:v>
      </x:c>
      <x:c r="H3764" s="6" t="n">
        <x:v>4</x:v>
      </x:c>
      <x:c r="I3764" s="6" t="n">
        <x:f>G3764-H3764</x:f>
        <x:v>2</x:v>
      </x:c>
      <x:c r="J3764" s="6" t="n">
        <x:f>IF(OR(E3764="CANCELED",E3764="SUSPECTED_FRAUD",F3764="Shipping canceled"),0,1)</x:f>
        <x:v>1</x:v>
      </x:c>
      <x:c r="K3764" s="6" t="n">
        <x:f>IF(G3764&gt;H3764,1,0)</x:f>
        <x:v>1</x:v>
      </x:c>
      <x:c r="L3764" s="6" t="n">
        <x:f>J3764*K3764</x:f>
        <x:v>1</x:v>
      </x:c>
    </x:row>
    <x:row r="3765">
      <x:c r="A3765" s="1" t="n">
        <x:v>28468</x:v>
      </x:c>
      <x:c r="B3765" s="5" t="d">
        <x:v>2016-02-20T00:00:00.000Z</x:v>
      </x:c>
      <x:c r="C3765" s="1" t="str">
        <x:v>Second Class</x:v>
      </x:c>
      <x:c r="D3765" s="1" t="str">
        <x:v>Pacific Asia</x:v>
      </x:c>
      <x:c r="E3765" s="1" t="str">
        <x:v>COMPLETE</x:v>
      </x:c>
      <x:c r="F3765" s="1" t="str">
        <x:v>Late delivery</x:v>
      </x:c>
      <x:c r="G3765" s="6" t="n">
        <x:v>4</x:v>
      </x:c>
      <x:c r="H3765" s="6" t="n">
        <x:v>2</x:v>
      </x:c>
      <x:c r="I3765" s="6" t="n">
        <x:f>G3765-H3765</x:f>
        <x:v>2</x:v>
      </x:c>
      <x:c r="J3765" s="6" t="n">
        <x:f>IF(OR(E3765="CANCELED",E3765="SUSPECTED_FRAUD",F3765="Shipping canceled"),0,1)</x:f>
        <x:v>1</x:v>
      </x:c>
      <x:c r="K3765" s="6" t="n">
        <x:f>IF(G3765&gt;H3765,1,0)</x:f>
        <x:v>1</x:v>
      </x:c>
      <x:c r="L3765" s="6" t="n">
        <x:f>J3765*K3765</x:f>
        <x:v>1</x:v>
      </x:c>
    </x:row>
    <x:row r="3766">
      <x:c r="A3766" s="1" t="n">
        <x:v>28472</x:v>
      </x:c>
      <x:c r="B3766" s="5" t="d">
        <x:v>2016-02-20T00:00:00.000Z</x:v>
      </x:c>
      <x:c r="C3766" s="1" t="str">
        <x:v>Second Class</x:v>
      </x:c>
      <x:c r="D3766" s="1" t="str">
        <x:v>Pacific Asia</x:v>
      </x:c>
      <x:c r="E3766" s="1" t="str">
        <x:v>CLOSED</x:v>
      </x:c>
      <x:c r="F3766" s="1" t="str">
        <x:v>Late delivery</x:v>
      </x:c>
      <x:c r="G3766" s="6" t="n">
        <x:v>3</x:v>
      </x:c>
      <x:c r="H3766" s="6" t="n">
        <x:v>2</x:v>
      </x:c>
      <x:c r="I3766" s="6" t="n">
        <x:f>G3766-H3766</x:f>
        <x:v>1</x:v>
      </x:c>
      <x:c r="J3766" s="6" t="n">
        <x:f>IF(OR(E3766="CANCELED",E3766="SUSPECTED_FRAUD",F3766="Shipping canceled"),0,1)</x:f>
        <x:v>1</x:v>
      </x:c>
      <x:c r="K3766" s="6" t="n">
        <x:f>IF(G3766&gt;H3766,1,0)</x:f>
        <x:v>1</x:v>
      </x:c>
      <x:c r="L3766" s="6" t="n">
        <x:f>J3766*K3766</x:f>
        <x:v>1</x:v>
      </x:c>
    </x:row>
    <x:row r="3767">
      <x:c r="A3767" s="1" t="n">
        <x:v>28476</x:v>
      </x:c>
      <x:c r="B3767" s="5" t="d">
        <x:v>2016-02-20T00:00:00.000Z</x:v>
      </x:c>
      <x:c r="C3767" s="1" t="str">
        <x:v>Standard Class</x:v>
      </x:c>
      <x:c r="D3767" s="1" t="str">
        <x:v>Pacific Asia</x:v>
      </x:c>
      <x:c r="E3767" s="1" t="str">
        <x:v>PENDING_PAYMENT</x:v>
      </x:c>
      <x:c r="F3767" s="1" t="str">
        <x:v>Advance shipping</x:v>
      </x:c>
      <x:c r="G3767" s="6" t="n">
        <x:v>2</x:v>
      </x:c>
      <x:c r="H3767" s="6" t="n">
        <x:v>4</x:v>
      </x:c>
      <x:c r="I3767" s="6" t="n">
        <x:f>G3767-H3767</x:f>
        <x:v>-2</x:v>
      </x:c>
      <x:c r="J3767" s="6" t="n">
        <x:f>IF(OR(E3767="CANCELED",E3767="SUSPECTED_FRAUD",F3767="Shipping canceled"),0,1)</x:f>
        <x:v>1</x:v>
      </x:c>
      <x:c r="K3767" s="6" t="n">
        <x:f>IF(G3767&gt;H3767,1,0)</x:f>
        <x:v>0</x:v>
      </x:c>
      <x:c r="L3767" s="6" t="n">
        <x:f>J3767*K3767</x:f>
        <x:v>0</x:v>
      </x:c>
    </x:row>
    <x:row r="3768">
      <x:c r="A3768" s="1" t="n">
        <x:v>28477</x:v>
      </x:c>
      <x:c r="B3768" s="5" t="d">
        <x:v>2016-02-20T00:00:00.000Z</x:v>
      </x:c>
      <x:c r="C3768" s="1" t="str">
        <x:v>Second Class</x:v>
      </x:c>
      <x:c r="D3768" s="1" t="str">
        <x:v>Pacific Asia</x:v>
      </x:c>
      <x:c r="E3768" s="1" t="str">
        <x:v>COMPLETE</x:v>
      </x:c>
      <x:c r="F3768" s="1" t="str">
        <x:v>Late delivery</x:v>
      </x:c>
      <x:c r="G3768" s="6" t="n">
        <x:v>3</x:v>
      </x:c>
      <x:c r="H3768" s="6" t="n">
        <x:v>2</x:v>
      </x:c>
      <x:c r="I3768" s="6" t="n">
        <x:f>G3768-H3768</x:f>
        <x:v>1</x:v>
      </x:c>
      <x:c r="J3768" s="6" t="n">
        <x:f>IF(OR(E3768="CANCELED",E3768="SUSPECTED_FRAUD",F3768="Shipping canceled"),0,1)</x:f>
        <x:v>1</x:v>
      </x:c>
      <x:c r="K3768" s="6" t="n">
        <x:f>IF(G3768&gt;H3768,1,0)</x:f>
        <x:v>1</x:v>
      </x:c>
      <x:c r="L3768" s="6" t="n">
        <x:f>J3768*K3768</x:f>
        <x:v>1</x:v>
      </x:c>
    </x:row>
    <x:row r="3769">
      <x:c r="A3769" s="1" t="n">
        <x:v>28491</x:v>
      </x:c>
      <x:c r="B3769" s="5" t="d">
        <x:v>2016-02-20T00:00:00.000Z</x:v>
      </x:c>
      <x:c r="C3769" s="1" t="str">
        <x:v>Standard Class</x:v>
      </x:c>
      <x:c r="D3769" s="1" t="str">
        <x:v>Pacific Asia</x:v>
      </x:c>
      <x:c r="E3769" s="1" t="str">
        <x:v>COMPLETE</x:v>
      </x:c>
      <x:c r="F3769" s="1" t="str">
        <x:v>Advance shipping</x:v>
      </x:c>
      <x:c r="G3769" s="6" t="n">
        <x:v>2</x:v>
      </x:c>
      <x:c r="H3769" s="6" t="n">
        <x:v>4</x:v>
      </x:c>
      <x:c r="I3769" s="6" t="n">
        <x:f>G3769-H3769</x:f>
        <x:v>-2</x:v>
      </x:c>
      <x:c r="J3769" s="6" t="n">
        <x:f>IF(OR(E3769="CANCELED",E3769="SUSPECTED_FRAUD",F3769="Shipping canceled"),0,1)</x:f>
        <x:v>1</x:v>
      </x:c>
      <x:c r="K3769" s="6" t="n">
        <x:f>IF(G3769&gt;H3769,1,0)</x:f>
        <x:v>0</x:v>
      </x:c>
      <x:c r="L3769" s="6" t="n">
        <x:f>J3769*K3769</x:f>
        <x:v>0</x:v>
      </x:c>
    </x:row>
    <x:row r="3770">
      <x:c r="A3770" s="1" t="n">
        <x:v>28540</x:v>
      </x:c>
      <x:c r="B3770" s="5" t="d">
        <x:v>2016-02-21T00:00:00.000Z</x:v>
      </x:c>
      <x:c r="C3770" s="1" t="str">
        <x:v>Same Day</x:v>
      </x:c>
      <x:c r="D3770" s="1" t="str">
        <x:v>Pacific Asia</x:v>
      </x:c>
      <x:c r="E3770" s="1" t="str">
        <x:v>PROCESSING</x:v>
      </x:c>
      <x:c r="F3770" s="1" t="str">
        <x:v>Late delivery</x:v>
      </x:c>
      <x:c r="G3770" s="6" t="n">
        <x:v>1</x:v>
      </x:c>
      <x:c r="H3770" s="6" t="n">
        <x:v>0</x:v>
      </x:c>
      <x:c r="I3770" s="6" t="n">
        <x:f>G3770-H3770</x:f>
        <x:v>1</x:v>
      </x:c>
      <x:c r="J3770" s="6" t="n">
        <x:f>IF(OR(E3770="CANCELED",E3770="SUSPECTED_FRAUD",F3770="Shipping canceled"),0,1)</x:f>
        <x:v>1</x:v>
      </x:c>
      <x:c r="K3770" s="6" t="n">
        <x:f>IF(G3770&gt;H3770,1,0)</x:f>
        <x:v>1</x:v>
      </x:c>
      <x:c r="L3770" s="6" t="n">
        <x:f>J3770*K3770</x:f>
        <x:v>1</x:v>
      </x:c>
    </x:row>
    <x:row r="3771">
      <x:c r="A3771" s="1" t="n">
        <x:v>28544</x:v>
      </x:c>
      <x:c r="B3771" s="5" t="d">
        <x:v>2016-02-21T00:00:00.000Z</x:v>
      </x:c>
      <x:c r="C3771" s="1" t="str">
        <x:v>Standard Class</x:v>
      </x:c>
      <x:c r="D3771" s="1" t="str">
        <x:v>Pacific Asia</x:v>
      </x:c>
      <x:c r="E3771" s="1" t="str">
        <x:v>COMPLETE</x:v>
      </x:c>
      <x:c r="F3771" s="1" t="str">
        <x:v>Late delivery</x:v>
      </x:c>
      <x:c r="G3771" s="6" t="n">
        <x:v>5</x:v>
      </x:c>
      <x:c r="H3771" s="6" t="n">
        <x:v>4</x:v>
      </x:c>
      <x:c r="I3771" s="6" t="n">
        <x:f>G3771-H3771</x:f>
        <x:v>1</x:v>
      </x:c>
      <x:c r="J3771" s="6" t="n">
        <x:f>IF(OR(E3771="CANCELED",E3771="SUSPECTED_FRAUD",F3771="Shipping canceled"),0,1)</x:f>
        <x:v>1</x:v>
      </x:c>
      <x:c r="K3771" s="6" t="n">
        <x:f>IF(G3771&gt;H3771,1,0)</x:f>
        <x:v>1</x:v>
      </x:c>
      <x:c r="L3771" s="6" t="n">
        <x:f>J3771*K3771</x:f>
        <x:v>1</x:v>
      </x:c>
    </x:row>
    <x:row r="3772">
      <x:c r="A3772" s="1" t="n">
        <x:v>28548</x:v>
      </x:c>
      <x:c r="B3772" s="5" t="d">
        <x:v>2016-02-21T00:00:00.000Z</x:v>
      </x:c>
      <x:c r="C3772" s="1" t="str">
        <x:v>Standard Class</x:v>
      </x:c>
      <x:c r="D3772" s="1" t="str">
        <x:v>Pacific Asia</x:v>
      </x:c>
      <x:c r="E3772" s="1" t="str">
        <x:v>COMPLETE</x:v>
      </x:c>
      <x:c r="F3772" s="1" t="str">
        <x:v>Shipping on time</x:v>
      </x:c>
      <x:c r="G3772" s="6" t="n">
        <x:v>4</x:v>
      </x:c>
      <x:c r="H3772" s="6" t="n">
        <x:v>4</x:v>
      </x:c>
      <x:c r="I3772" s="6" t="n">
        <x:f>G3772-H3772</x:f>
        <x:v>0</x:v>
      </x:c>
      <x:c r="J3772" s="6" t="n">
        <x:f>IF(OR(E3772="CANCELED",E3772="SUSPECTED_FRAUD",F3772="Shipping canceled"),0,1)</x:f>
        <x:v>1</x:v>
      </x:c>
      <x:c r="K3772" s="6" t="n">
        <x:f>IF(G3772&gt;H3772,1,0)</x:f>
        <x:v>0</x:v>
      </x:c>
      <x:c r="L3772" s="6" t="n">
        <x:f>J3772*K3772</x:f>
        <x:v>0</x:v>
      </x:c>
    </x:row>
    <x:row r="3773">
      <x:c r="A3773" s="1" t="n">
        <x:v>28555</x:v>
      </x:c>
      <x:c r="B3773" s="5" t="d">
        <x:v>2016-02-21T00:00:00.000Z</x:v>
      </x:c>
      <x:c r="C3773" s="1" t="str">
        <x:v>Standard Class</x:v>
      </x:c>
      <x:c r="D3773" s="1" t="str">
        <x:v>Pacific Asia</x:v>
      </x:c>
      <x:c r="E3773" s="1" t="str">
        <x:v>COMPLETE</x:v>
      </x:c>
      <x:c r="F3773" s="1" t="str">
        <x:v>Late delivery</x:v>
      </x:c>
      <x:c r="G3773" s="6" t="n">
        <x:v>6</x:v>
      </x:c>
      <x:c r="H3773" s="6" t="n">
        <x:v>4</x:v>
      </x:c>
      <x:c r="I3773" s="6" t="n">
        <x:f>G3773-H3773</x:f>
        <x:v>2</x:v>
      </x:c>
      <x:c r="J3773" s="6" t="n">
        <x:f>IF(OR(E3773="CANCELED",E3773="SUSPECTED_FRAUD",F3773="Shipping canceled"),0,1)</x:f>
        <x:v>1</x:v>
      </x:c>
      <x:c r="K3773" s="6" t="n">
        <x:f>IF(G3773&gt;H3773,1,0)</x:f>
        <x:v>1</x:v>
      </x:c>
      <x:c r="L3773" s="6" t="n">
        <x:f>J3773*K3773</x:f>
        <x:v>1</x:v>
      </x:c>
    </x:row>
    <x:row r="3774">
      <x:c r="A3774" s="1" t="n">
        <x:v>28564</x:v>
      </x:c>
      <x:c r="B3774" s="5" t="d">
        <x:v>2016-02-21T00:00:00.000Z</x:v>
      </x:c>
      <x:c r="C3774" s="1" t="str">
        <x:v>Standard Class</x:v>
      </x:c>
      <x:c r="D3774" s="1" t="str">
        <x:v>Pacific Asia</x:v>
      </x:c>
      <x:c r="E3774" s="1" t="str">
        <x:v>COMPLETE</x:v>
      </x:c>
      <x:c r="F3774" s="1" t="str">
        <x:v>Late delivery</x:v>
      </x:c>
      <x:c r="G3774" s="6" t="n">
        <x:v>5</x:v>
      </x:c>
      <x:c r="H3774" s="6" t="n">
        <x:v>4</x:v>
      </x:c>
      <x:c r="I3774" s="6" t="n">
        <x:f>G3774-H3774</x:f>
        <x:v>1</x:v>
      </x:c>
      <x:c r="J3774" s="6" t="n">
        <x:f>IF(OR(E3774="CANCELED",E3774="SUSPECTED_FRAUD",F3774="Shipping canceled"),0,1)</x:f>
        <x:v>1</x:v>
      </x:c>
      <x:c r="K3774" s="6" t="n">
        <x:f>IF(G3774&gt;H3774,1,0)</x:f>
        <x:v>1</x:v>
      </x:c>
      <x:c r="L3774" s="6" t="n">
        <x:f>J3774*K3774</x:f>
        <x:v>1</x:v>
      </x:c>
    </x:row>
    <x:row r="3775">
      <x:c r="A3775" s="1" t="n">
        <x:v>28568</x:v>
      </x:c>
      <x:c r="B3775" s="5" t="d">
        <x:v>2016-02-22T00:00:00.000Z</x:v>
      </x:c>
      <x:c r="C3775" s="1" t="str">
        <x:v>Standard Class</x:v>
      </x:c>
      <x:c r="D3775" s="1" t="str">
        <x:v>Pacific Asia</x:v>
      </x:c>
      <x:c r="E3775" s="1" t="str">
        <x:v>PROCESSING</x:v>
      </x:c>
      <x:c r="F3775" s="1" t="str">
        <x:v>Shipping on time</x:v>
      </x:c>
      <x:c r="G3775" s="6" t="n">
        <x:v>4</x:v>
      </x:c>
      <x:c r="H3775" s="6" t="n">
        <x:v>4</x:v>
      </x:c>
      <x:c r="I3775" s="6" t="n">
        <x:f>G3775-H3775</x:f>
        <x:v>0</x:v>
      </x:c>
      <x:c r="J3775" s="6" t="n">
        <x:f>IF(OR(E3775="CANCELED",E3775="SUSPECTED_FRAUD",F3775="Shipping canceled"),0,1)</x:f>
        <x:v>1</x:v>
      </x:c>
      <x:c r="K3775" s="6" t="n">
        <x:f>IF(G3775&gt;H3775,1,0)</x:f>
        <x:v>0</x:v>
      </x:c>
      <x:c r="L3775" s="6" t="n">
        <x:f>J3775*K3775</x:f>
        <x:v>0</x:v>
      </x:c>
    </x:row>
    <x:row r="3776">
      <x:c r="A3776" s="1" t="n">
        <x:v>28578</x:v>
      </x:c>
      <x:c r="B3776" s="5" t="d">
        <x:v>2016-02-22T00:00:00.000Z</x:v>
      </x:c>
      <x:c r="C3776" s="1" t="str">
        <x:v>Standard Class</x:v>
      </x:c>
      <x:c r="D3776" s="1" t="str">
        <x:v>Pacific Asia</x:v>
      </x:c>
      <x:c r="E3776" s="1" t="str">
        <x:v>COMPLETE</x:v>
      </x:c>
      <x:c r="F3776" s="1" t="str">
        <x:v>Shipping on time</x:v>
      </x:c>
      <x:c r="G3776" s="6" t="n">
        <x:v>4</x:v>
      </x:c>
      <x:c r="H3776" s="6" t="n">
        <x:v>4</x:v>
      </x:c>
      <x:c r="I3776" s="6" t="n">
        <x:f>G3776-H3776</x:f>
        <x:v>0</x:v>
      </x:c>
      <x:c r="J3776" s="6" t="n">
        <x:f>IF(OR(E3776="CANCELED",E3776="SUSPECTED_FRAUD",F3776="Shipping canceled"),0,1)</x:f>
        <x:v>1</x:v>
      </x:c>
      <x:c r="K3776" s="6" t="n">
        <x:f>IF(G3776&gt;H3776,1,0)</x:f>
        <x:v>0</x:v>
      </x:c>
      <x:c r="L3776" s="6" t="n">
        <x:f>J3776*K3776</x:f>
        <x:v>0</x:v>
      </x:c>
    </x:row>
    <x:row r="3777">
      <x:c r="A3777" s="1" t="n">
        <x:v>28588</x:v>
      </x:c>
      <x:c r="B3777" s="5" t="d">
        <x:v>2016-02-22T00:00:00.000Z</x:v>
      </x:c>
      <x:c r="C3777" s="1" t="str">
        <x:v>Second Class</x:v>
      </x:c>
      <x:c r="D3777" s="1" t="str">
        <x:v>Pacific Asia</x:v>
      </x:c>
      <x:c r="E3777" s="1" t="str">
        <x:v>ON_HOLD</x:v>
      </x:c>
      <x:c r="F3777" s="1" t="str">
        <x:v>Late delivery</x:v>
      </x:c>
      <x:c r="G3777" s="6" t="n">
        <x:v>4</x:v>
      </x:c>
      <x:c r="H3777" s="6" t="n">
        <x:v>2</x:v>
      </x:c>
      <x:c r="I3777" s="6" t="n">
        <x:f>G3777-H3777</x:f>
        <x:v>2</x:v>
      </x:c>
      <x:c r="J3777" s="6" t="n">
        <x:f>IF(OR(E3777="CANCELED",E3777="SUSPECTED_FRAUD",F3777="Shipping canceled"),0,1)</x:f>
        <x:v>1</x:v>
      </x:c>
      <x:c r="K3777" s="6" t="n">
        <x:f>IF(G3777&gt;H3777,1,0)</x:f>
        <x:v>1</x:v>
      </x:c>
      <x:c r="L3777" s="6" t="n">
        <x:f>J3777*K3777</x:f>
        <x:v>1</x:v>
      </x:c>
    </x:row>
    <x:row r="3778">
      <x:c r="A3778" s="1" t="n">
        <x:v>28589</x:v>
      </x:c>
      <x:c r="B3778" s="5" t="d">
        <x:v>2016-02-22T00:00:00.000Z</x:v>
      </x:c>
      <x:c r="C3778" s="1" t="str">
        <x:v>First Class</x:v>
      </x:c>
      <x:c r="D3778" s="1" t="str">
        <x:v>Pacific Asia</x:v>
      </x:c>
      <x:c r="E3778" s="1" t="str">
        <x:v>CLOSED</x:v>
      </x:c>
      <x:c r="F3778" s="1" t="str">
        <x:v>Late delivery</x:v>
      </x:c>
      <x:c r="G3778" s="6" t="n">
        <x:v>2</x:v>
      </x:c>
      <x:c r="H3778" s="6" t="n">
        <x:v>1</x:v>
      </x:c>
      <x:c r="I3778" s="6" t="n">
        <x:f>G3778-H3778</x:f>
        <x:v>1</x:v>
      </x:c>
      <x:c r="J3778" s="6" t="n">
        <x:f>IF(OR(E3778="CANCELED",E3778="SUSPECTED_FRAUD",F3778="Shipping canceled"),0,1)</x:f>
        <x:v>1</x:v>
      </x:c>
      <x:c r="K3778" s="6" t="n">
        <x:f>IF(G3778&gt;H3778,1,0)</x:f>
        <x:v>1</x:v>
      </x:c>
      <x:c r="L3778" s="6" t="n">
        <x:f>J3778*K3778</x:f>
        <x:v>1</x:v>
      </x:c>
    </x:row>
    <x:row r="3779">
      <x:c r="A3779" s="1" t="n">
        <x:v>28599</x:v>
      </x:c>
      <x:c r="B3779" s="5" t="d">
        <x:v>2016-02-22T00:00:00.000Z</x:v>
      </x:c>
      <x:c r="C3779" s="1" t="str">
        <x:v>Standard Class</x:v>
      </x:c>
      <x:c r="D3779" s="1" t="str">
        <x:v>Pacific Asia</x:v>
      </x:c>
      <x:c r="E3779" s="1" t="str">
        <x:v>COMPLETE</x:v>
      </x:c>
      <x:c r="F3779" s="1" t="str">
        <x:v>Late delivery</x:v>
      </x:c>
      <x:c r="G3779" s="6" t="n">
        <x:v>5</x:v>
      </x:c>
      <x:c r="H3779" s="6" t="n">
        <x:v>4</x:v>
      </x:c>
      <x:c r="I3779" s="6" t="n">
        <x:f>G3779-H3779</x:f>
        <x:v>1</x:v>
      </x:c>
      <x:c r="J3779" s="6" t="n">
        <x:f>IF(OR(E3779="CANCELED",E3779="SUSPECTED_FRAUD",F3779="Shipping canceled"),0,1)</x:f>
        <x:v>1</x:v>
      </x:c>
      <x:c r="K3779" s="6" t="n">
        <x:f>IF(G3779&gt;H3779,1,0)</x:f>
        <x:v>1</x:v>
      </x:c>
      <x:c r="L3779" s="6" t="n">
        <x:f>J3779*K3779</x:f>
        <x:v>1</x:v>
      </x:c>
    </x:row>
    <x:row r="3780">
      <x:c r="A3780" s="1" t="n">
        <x:v>28603</x:v>
      </x:c>
      <x:c r="B3780" s="5" t="d">
        <x:v>2016-02-22T00:00:00.000Z</x:v>
      </x:c>
      <x:c r="C3780" s="1" t="str">
        <x:v>Standard Class</x:v>
      </x:c>
      <x:c r="D3780" s="1" t="str">
        <x:v>Pacific Asia</x:v>
      </x:c>
      <x:c r="E3780" s="1" t="str">
        <x:v>PROCESSING</x:v>
      </x:c>
      <x:c r="F3780" s="1" t="str">
        <x:v>Shipping on time</x:v>
      </x:c>
      <x:c r="G3780" s="6" t="n">
        <x:v>4</x:v>
      </x:c>
      <x:c r="H3780" s="6" t="n">
        <x:v>4</x:v>
      </x:c>
      <x:c r="I3780" s="6" t="n">
        <x:f>G3780-H3780</x:f>
        <x:v>0</x:v>
      </x:c>
      <x:c r="J3780" s="6" t="n">
        <x:f>IF(OR(E3780="CANCELED",E3780="SUSPECTED_FRAUD",F3780="Shipping canceled"),0,1)</x:f>
        <x:v>1</x:v>
      </x:c>
      <x:c r="K3780" s="6" t="n">
        <x:f>IF(G3780&gt;H3780,1,0)</x:f>
        <x:v>0</x:v>
      </x:c>
      <x:c r="L3780" s="6" t="n">
        <x:f>J3780*K3780</x:f>
        <x:v>0</x:v>
      </x:c>
    </x:row>
    <x:row r="3781">
      <x:c r="A3781" s="1" t="n">
        <x:v>28605</x:v>
      </x:c>
      <x:c r="B3781" s="5" t="d">
        <x:v>2016-02-22T00:00:00.000Z</x:v>
      </x:c>
      <x:c r="C3781" s="1" t="str">
        <x:v>Standard Class</x:v>
      </x:c>
      <x:c r="D3781" s="1" t="str">
        <x:v>Pacific Asia</x:v>
      </x:c>
      <x:c r="E3781" s="1" t="str">
        <x:v>CLOSED</x:v>
      </x:c>
      <x:c r="F3781" s="1" t="str">
        <x:v>Late delivery</x:v>
      </x:c>
      <x:c r="G3781" s="6" t="n">
        <x:v>6</x:v>
      </x:c>
      <x:c r="H3781" s="6" t="n">
        <x:v>4</x:v>
      </x:c>
      <x:c r="I3781" s="6" t="n">
        <x:f>G3781-H3781</x:f>
        <x:v>2</x:v>
      </x:c>
      <x:c r="J3781" s="6" t="n">
        <x:f>IF(OR(E3781="CANCELED",E3781="SUSPECTED_FRAUD",F3781="Shipping canceled"),0,1)</x:f>
        <x:v>1</x:v>
      </x:c>
      <x:c r="K3781" s="6" t="n">
        <x:f>IF(G3781&gt;H3781,1,0)</x:f>
        <x:v>1</x:v>
      </x:c>
      <x:c r="L3781" s="6" t="n">
        <x:f>J3781*K3781</x:f>
        <x:v>1</x:v>
      </x:c>
    </x:row>
    <x:row r="3782">
      <x:c r="A3782" s="1" t="n">
        <x:v>28606</x:v>
      </x:c>
      <x:c r="B3782" s="5" t="d">
        <x:v>2016-02-22T00:00:00.000Z</x:v>
      </x:c>
      <x:c r="C3782" s="1" t="str">
        <x:v>Second Class</x:v>
      </x:c>
      <x:c r="D3782" s="1" t="str">
        <x:v>Pacific Asia</x:v>
      </x:c>
      <x:c r="E3782" s="1" t="str">
        <x:v>COMPLETE</x:v>
      </x:c>
      <x:c r="F3782" s="1" t="str">
        <x:v>Shipping on time</x:v>
      </x:c>
      <x:c r="G3782" s="6" t="n">
        <x:v>2</x:v>
      </x:c>
      <x:c r="H3782" s="6" t="n">
        <x:v>2</x:v>
      </x:c>
      <x:c r="I3782" s="6" t="n">
        <x:f>G3782-H3782</x:f>
        <x:v>0</x:v>
      </x:c>
      <x:c r="J3782" s="6" t="n">
        <x:f>IF(OR(E3782="CANCELED",E3782="SUSPECTED_FRAUD",F3782="Shipping canceled"),0,1)</x:f>
        <x:v>1</x:v>
      </x:c>
      <x:c r="K3782" s="6" t="n">
        <x:f>IF(G3782&gt;H3782,1,0)</x:f>
        <x:v>0</x:v>
      </x:c>
      <x:c r="L3782" s="6" t="n">
        <x:f>J3782*K3782</x:f>
        <x:v>0</x:v>
      </x:c>
    </x:row>
    <x:row r="3783">
      <x:c r="A3783" s="1" t="n">
        <x:v>28615</x:v>
      </x:c>
      <x:c r="B3783" s="5" t="d">
        <x:v>2016-02-22T00:00:00.000Z</x:v>
      </x:c>
      <x:c r="C3783" s="1" t="str">
        <x:v>Standard Class</x:v>
      </x:c>
      <x:c r="D3783" s="1" t="str">
        <x:v>Pacific Asia</x:v>
      </x:c>
      <x:c r="E3783" s="1" t="str">
        <x:v>PENDING</x:v>
      </x:c>
      <x:c r="F3783" s="1" t="str">
        <x:v>Late delivery</x:v>
      </x:c>
      <x:c r="G3783" s="6" t="n">
        <x:v>6</x:v>
      </x:c>
      <x:c r="H3783" s="6" t="n">
        <x:v>4</x:v>
      </x:c>
      <x:c r="I3783" s="6" t="n">
        <x:f>G3783-H3783</x:f>
        <x:v>2</x:v>
      </x:c>
      <x:c r="J3783" s="6" t="n">
        <x:f>IF(OR(E3783="CANCELED",E3783="SUSPECTED_FRAUD",F3783="Shipping canceled"),0,1)</x:f>
        <x:v>1</x:v>
      </x:c>
      <x:c r="K3783" s="6" t="n">
        <x:f>IF(G3783&gt;H3783,1,0)</x:f>
        <x:v>1</x:v>
      </x:c>
      <x:c r="L3783" s="6" t="n">
        <x:f>J3783*K3783</x:f>
        <x:v>1</x:v>
      </x:c>
    </x:row>
    <x:row r="3784">
      <x:c r="A3784" s="1" t="n">
        <x:v>28647</x:v>
      </x:c>
      <x:c r="B3784" s="5" t="d">
        <x:v>2016-02-23T00:00:00.000Z</x:v>
      </x:c>
      <x:c r="C3784" s="1" t="str">
        <x:v>Standard Class</x:v>
      </x:c>
      <x:c r="D3784" s="1" t="str">
        <x:v>Pacific Asia</x:v>
      </x:c>
      <x:c r="E3784" s="1" t="str">
        <x:v>COMPLETE</x:v>
      </x:c>
      <x:c r="F3784" s="1" t="str">
        <x:v>Advance shipping</x:v>
      </x:c>
      <x:c r="G3784" s="6" t="n">
        <x:v>3</x:v>
      </x:c>
      <x:c r="H3784" s="6" t="n">
        <x:v>4</x:v>
      </x:c>
      <x:c r="I3784" s="6" t="n">
        <x:f>G3784-H3784</x:f>
        <x:v>-1</x:v>
      </x:c>
      <x:c r="J3784" s="6" t="n">
        <x:f>IF(OR(E3784="CANCELED",E3784="SUSPECTED_FRAUD",F3784="Shipping canceled"),0,1)</x:f>
        <x:v>1</x:v>
      </x:c>
      <x:c r="K3784" s="6" t="n">
        <x:f>IF(G3784&gt;H3784,1,0)</x:f>
        <x:v>0</x:v>
      </x:c>
      <x:c r="L3784" s="6" t="n">
        <x:f>J3784*K3784</x:f>
        <x:v>0</x:v>
      </x:c>
    </x:row>
    <x:row r="3785">
      <x:c r="A3785" s="1" t="n">
        <x:v>28657</x:v>
      </x:c>
      <x:c r="B3785" s="5" t="d">
        <x:v>2016-02-23T00:00:00.000Z</x:v>
      </x:c>
      <x:c r="C3785" s="1" t="str">
        <x:v>Standard Class</x:v>
      </x:c>
      <x:c r="D3785" s="1" t="str">
        <x:v>Pacific Asia</x:v>
      </x:c>
      <x:c r="E3785" s="1" t="str">
        <x:v>PENDING</x:v>
      </x:c>
      <x:c r="F3785" s="1" t="str">
        <x:v>Advance shipping</x:v>
      </x:c>
      <x:c r="G3785" s="6" t="n">
        <x:v>3</x:v>
      </x:c>
      <x:c r="H3785" s="6" t="n">
        <x:v>4</x:v>
      </x:c>
      <x:c r="I3785" s="6" t="n">
        <x:f>G3785-H3785</x:f>
        <x:v>-1</x:v>
      </x:c>
      <x:c r="J3785" s="6" t="n">
        <x:f>IF(OR(E3785="CANCELED",E3785="SUSPECTED_FRAUD",F3785="Shipping canceled"),0,1)</x:f>
        <x:v>1</x:v>
      </x:c>
      <x:c r="K3785" s="6" t="n">
        <x:f>IF(G3785&gt;H3785,1,0)</x:f>
        <x:v>0</x:v>
      </x:c>
      <x:c r="L3785" s="6" t="n">
        <x:f>J3785*K3785</x:f>
        <x:v>0</x:v>
      </x:c>
    </x:row>
    <x:row r="3786">
      <x:c r="A3786" s="1" t="n">
        <x:v>28659</x:v>
      </x:c>
      <x:c r="B3786" s="5" t="d">
        <x:v>2016-02-23T00:00:00.000Z</x:v>
      </x:c>
      <x:c r="C3786" s="1" t="str">
        <x:v>Standard Class</x:v>
      </x:c>
      <x:c r="D3786" s="1" t="str">
        <x:v>Pacific Asia</x:v>
      </x:c>
      <x:c r="E3786" s="1" t="str">
        <x:v>PENDING_PAYMENT</x:v>
      </x:c>
      <x:c r="F3786" s="1" t="str">
        <x:v>Late delivery</x:v>
      </x:c>
      <x:c r="G3786" s="6" t="n">
        <x:v>5</x:v>
      </x:c>
      <x:c r="H3786" s="6" t="n">
        <x:v>4</x:v>
      </x:c>
      <x:c r="I3786" s="6" t="n">
        <x:f>G3786-H3786</x:f>
        <x:v>1</x:v>
      </x:c>
      <x:c r="J3786" s="6" t="n">
        <x:f>IF(OR(E3786="CANCELED",E3786="SUSPECTED_FRAUD",F3786="Shipping canceled"),0,1)</x:f>
        <x:v>1</x:v>
      </x:c>
      <x:c r="K3786" s="6" t="n">
        <x:f>IF(G3786&gt;H3786,1,0)</x:f>
        <x:v>1</x:v>
      </x:c>
      <x:c r="L3786" s="6" t="n">
        <x:f>J3786*K3786</x:f>
        <x:v>1</x:v>
      </x:c>
    </x:row>
    <x:row r="3787">
      <x:c r="A3787" s="1" t="n">
        <x:v>28661</x:v>
      </x:c>
      <x:c r="B3787" s="5" t="d">
        <x:v>2016-02-23T00:00:00.000Z</x:v>
      </x:c>
      <x:c r="C3787" s="1" t="str">
        <x:v>Standard Class</x:v>
      </x:c>
      <x:c r="D3787" s="1" t="str">
        <x:v>Pacific Asia</x:v>
      </x:c>
      <x:c r="E3787" s="1" t="str">
        <x:v>PENDING</x:v>
      </x:c>
      <x:c r="F3787" s="1" t="str">
        <x:v>Advance shipping</x:v>
      </x:c>
      <x:c r="G3787" s="6" t="n">
        <x:v>2</x:v>
      </x:c>
      <x:c r="H3787" s="6" t="n">
        <x:v>4</x:v>
      </x:c>
      <x:c r="I3787" s="6" t="n">
        <x:f>G3787-H3787</x:f>
        <x:v>-2</x:v>
      </x:c>
      <x:c r="J3787" s="6" t="n">
        <x:f>IF(OR(E3787="CANCELED",E3787="SUSPECTED_FRAUD",F3787="Shipping canceled"),0,1)</x:f>
        <x:v>1</x:v>
      </x:c>
      <x:c r="K3787" s="6" t="n">
        <x:f>IF(G3787&gt;H3787,1,0)</x:f>
        <x:v>0</x:v>
      </x:c>
      <x:c r="L3787" s="6" t="n">
        <x:f>J3787*K3787</x:f>
        <x:v>0</x:v>
      </x:c>
    </x:row>
    <x:row r="3788">
      <x:c r="A3788" s="1" t="n">
        <x:v>28670</x:v>
      </x:c>
      <x:c r="B3788" s="5" t="d">
        <x:v>2016-02-23T00:00:00.000Z</x:v>
      </x:c>
      <x:c r="C3788" s="1" t="str">
        <x:v>Standard Class</x:v>
      </x:c>
      <x:c r="D3788" s="1" t="str">
        <x:v>Pacific Asia</x:v>
      </x:c>
      <x:c r="E3788" s="1" t="str">
        <x:v>ON_HOLD</x:v>
      </x:c>
      <x:c r="F3788" s="1" t="str">
        <x:v>Late delivery</x:v>
      </x:c>
      <x:c r="G3788" s="6" t="n">
        <x:v>6</x:v>
      </x:c>
      <x:c r="H3788" s="6" t="n">
        <x:v>4</x:v>
      </x:c>
      <x:c r="I3788" s="6" t="n">
        <x:f>G3788-H3788</x:f>
        <x:v>2</x:v>
      </x:c>
      <x:c r="J3788" s="6" t="n">
        <x:f>IF(OR(E3788="CANCELED",E3788="SUSPECTED_FRAUD",F3788="Shipping canceled"),0,1)</x:f>
        <x:v>1</x:v>
      </x:c>
      <x:c r="K3788" s="6" t="n">
        <x:f>IF(G3788&gt;H3788,1,0)</x:f>
        <x:v>1</x:v>
      </x:c>
      <x:c r="L3788" s="6" t="n">
        <x:f>J3788*K3788</x:f>
        <x:v>1</x:v>
      </x:c>
    </x:row>
    <x:row r="3789">
      <x:c r="A3789" s="1" t="n">
        <x:v>28677</x:v>
      </x:c>
      <x:c r="B3789" s="5" t="d">
        <x:v>2016-02-23T00:00:00.000Z</x:v>
      </x:c>
      <x:c r="C3789" s="1" t="str">
        <x:v>Standard Class</x:v>
      </x:c>
      <x:c r="D3789" s="1" t="str">
        <x:v>Pacific Asia</x:v>
      </x:c>
      <x:c r="E3789" s="1" t="str">
        <x:v>SUSPECTED_FRAUD</x:v>
      </x:c>
      <x:c r="F3789" s="1" t="str">
        <x:v>Shipping canceled</x:v>
      </x:c>
      <x:c r="G3789" s="6" t="n">
        <x:v>3</x:v>
      </x:c>
      <x:c r="H3789" s="6" t="n">
        <x:v>4</x:v>
      </x:c>
      <x:c r="I3789" s="6" t="n">
        <x:f>G3789-H3789</x:f>
        <x:v>-1</x:v>
      </x:c>
      <x:c r="J3789" s="6" t="n">
        <x:f>IF(OR(E3789="CANCELED",E3789="SUSPECTED_FRAUD",F3789="Shipping canceled"),0,1)</x:f>
        <x:v>0</x:v>
      </x:c>
      <x:c r="K3789" s="6" t="n">
        <x:f>IF(G3789&gt;H3789,1,0)</x:f>
        <x:v>0</x:v>
      </x:c>
      <x:c r="L3789" s="6" t="n">
        <x:f>J3789*K3789</x:f>
        <x:v>0</x:v>
      </x:c>
    </x:row>
    <x:row r="3790">
      <x:c r="A3790" s="1" t="n">
        <x:v>28678</x:v>
      </x:c>
      <x:c r="B3790" s="5" t="d">
        <x:v>2016-02-23T00:00:00.000Z</x:v>
      </x:c>
      <x:c r="C3790" s="1" t="str">
        <x:v>Standard Class</x:v>
      </x:c>
      <x:c r="D3790" s="1" t="str">
        <x:v>Pacific Asia</x:v>
      </x:c>
      <x:c r="E3790" s="1" t="str">
        <x:v>PENDING_PAYMENT</x:v>
      </x:c>
      <x:c r="F3790" s="1" t="str">
        <x:v>Shipping on time</x:v>
      </x:c>
      <x:c r="G3790" s="6" t="n">
        <x:v>4</x:v>
      </x:c>
      <x:c r="H3790" s="6" t="n">
        <x:v>4</x:v>
      </x:c>
      <x:c r="I3790" s="6" t="n">
        <x:f>G3790-H3790</x:f>
        <x:v>0</x:v>
      </x:c>
      <x:c r="J3790" s="6" t="n">
        <x:f>IF(OR(E3790="CANCELED",E3790="SUSPECTED_FRAUD",F3790="Shipping canceled"),0,1)</x:f>
        <x:v>1</x:v>
      </x:c>
      <x:c r="K3790" s="6" t="n">
        <x:f>IF(G3790&gt;H3790,1,0)</x:f>
        <x:v>0</x:v>
      </x:c>
      <x:c r="L3790" s="6" t="n">
        <x:f>J3790*K3790</x:f>
        <x:v>0</x:v>
      </x:c>
    </x:row>
    <x:row r="3791">
      <x:c r="A3791" s="1" t="n">
        <x:v>28689</x:v>
      </x:c>
      <x:c r="B3791" s="5" t="d">
        <x:v>2016-02-23T00:00:00.000Z</x:v>
      </x:c>
      <x:c r="C3791" s="1" t="str">
        <x:v>Standard Class</x:v>
      </x:c>
      <x:c r="D3791" s="1" t="str">
        <x:v>Pacific Asia</x:v>
      </x:c>
      <x:c r="E3791" s="1" t="str">
        <x:v>COMPLETE</x:v>
      </x:c>
      <x:c r="F3791" s="1" t="str">
        <x:v>Late delivery</x:v>
      </x:c>
      <x:c r="G3791" s="6" t="n">
        <x:v>5</x:v>
      </x:c>
      <x:c r="H3791" s="6" t="n">
        <x:v>4</x:v>
      </x:c>
      <x:c r="I3791" s="6" t="n">
        <x:f>G3791-H3791</x:f>
        <x:v>1</x:v>
      </x:c>
      <x:c r="J3791" s="6" t="n">
        <x:f>IF(OR(E3791="CANCELED",E3791="SUSPECTED_FRAUD",F3791="Shipping canceled"),0,1)</x:f>
        <x:v>1</x:v>
      </x:c>
      <x:c r="K3791" s="6" t="n">
        <x:f>IF(G3791&gt;H3791,1,0)</x:f>
        <x:v>1</x:v>
      </x:c>
      <x:c r="L3791" s="6" t="n">
        <x:f>J3791*K3791</x:f>
        <x:v>1</x:v>
      </x:c>
    </x:row>
    <x:row r="3792">
      <x:c r="A3792" s="1" t="n">
        <x:v>28692</x:v>
      </x:c>
      <x:c r="B3792" s="5" t="d">
        <x:v>2016-02-23T00:00:00.000Z</x:v>
      </x:c>
      <x:c r="C3792" s="1" t="str">
        <x:v>First Class</x:v>
      </x:c>
      <x:c r="D3792" s="1" t="str">
        <x:v>Pacific Asia</x:v>
      </x:c>
      <x:c r="E3792" s="1" t="str">
        <x:v>CLOSED</x:v>
      </x:c>
      <x:c r="F3792" s="1" t="str">
        <x:v>Late delivery</x:v>
      </x:c>
      <x:c r="G3792" s="6" t="n">
        <x:v>2</x:v>
      </x:c>
      <x:c r="H3792" s="6" t="n">
        <x:v>1</x:v>
      </x:c>
      <x:c r="I3792" s="6" t="n">
        <x:f>G3792-H3792</x:f>
        <x:v>1</x:v>
      </x:c>
      <x:c r="J3792" s="6" t="n">
        <x:f>IF(OR(E3792="CANCELED",E3792="SUSPECTED_FRAUD",F3792="Shipping canceled"),0,1)</x:f>
        <x:v>1</x:v>
      </x:c>
      <x:c r="K3792" s="6" t="n">
        <x:f>IF(G3792&gt;H3792,1,0)</x:f>
        <x:v>1</x:v>
      </x:c>
      <x:c r="L3792" s="6" t="n">
        <x:f>J3792*K3792</x:f>
        <x:v>1</x:v>
      </x:c>
    </x:row>
    <x:row r="3793">
      <x:c r="A3793" s="1" t="n">
        <x:v>28709</x:v>
      </x:c>
      <x:c r="B3793" s="5" t="d">
        <x:v>2016-02-24T00:00:00.000Z</x:v>
      </x:c>
      <x:c r="C3793" s="1" t="str">
        <x:v>Standard Class</x:v>
      </x:c>
      <x:c r="D3793" s="1" t="str">
        <x:v>Pacific Asia</x:v>
      </x:c>
      <x:c r="E3793" s="1" t="str">
        <x:v>ON_HOLD</x:v>
      </x:c>
      <x:c r="F3793" s="1" t="str">
        <x:v>Late delivery</x:v>
      </x:c>
      <x:c r="G3793" s="6" t="n">
        <x:v>5</x:v>
      </x:c>
      <x:c r="H3793" s="6" t="n">
        <x:v>4</x:v>
      </x:c>
      <x:c r="I3793" s="6" t="n">
        <x:f>G3793-H3793</x:f>
        <x:v>1</x:v>
      </x:c>
      <x:c r="J3793" s="6" t="n">
        <x:f>IF(OR(E3793="CANCELED",E3793="SUSPECTED_FRAUD",F3793="Shipping canceled"),0,1)</x:f>
        <x:v>1</x:v>
      </x:c>
      <x:c r="K3793" s="6" t="n">
        <x:f>IF(G3793&gt;H3793,1,0)</x:f>
        <x:v>1</x:v>
      </x:c>
      <x:c r="L3793" s="6" t="n">
        <x:f>J3793*K3793</x:f>
        <x:v>1</x:v>
      </x:c>
    </x:row>
    <x:row r="3794">
      <x:c r="A3794" s="1" t="n">
        <x:v>28712</x:v>
      </x:c>
      <x:c r="B3794" s="5" t="d">
        <x:v>2016-02-24T00:00:00.000Z</x:v>
      </x:c>
      <x:c r="C3794" s="1" t="str">
        <x:v>First Class</x:v>
      </x:c>
      <x:c r="D3794" s="1" t="str">
        <x:v>Pacific Asia</x:v>
      </x:c>
      <x:c r="E3794" s="1" t="str">
        <x:v>CLOSED</x:v>
      </x:c>
      <x:c r="F3794" s="1" t="str">
        <x:v>Late delivery</x:v>
      </x:c>
      <x:c r="G3794" s="6" t="n">
        <x:v>2</x:v>
      </x:c>
      <x:c r="H3794" s="6" t="n">
        <x:v>1</x:v>
      </x:c>
      <x:c r="I3794" s="6" t="n">
        <x:f>G3794-H3794</x:f>
        <x:v>1</x:v>
      </x:c>
      <x:c r="J3794" s="6" t="n">
        <x:f>IF(OR(E3794="CANCELED",E3794="SUSPECTED_FRAUD",F3794="Shipping canceled"),0,1)</x:f>
        <x:v>1</x:v>
      </x:c>
      <x:c r="K3794" s="6" t="n">
        <x:f>IF(G3794&gt;H3794,1,0)</x:f>
        <x:v>1</x:v>
      </x:c>
      <x:c r="L3794" s="6" t="n">
        <x:f>J3794*K3794</x:f>
        <x:v>1</x:v>
      </x:c>
    </x:row>
    <x:row r="3795">
      <x:c r="A3795" s="1" t="n">
        <x:v>28714</x:v>
      </x:c>
      <x:c r="B3795" s="5" t="d">
        <x:v>2016-02-24T00:00:00.000Z</x:v>
      </x:c>
      <x:c r="C3795" s="1" t="str">
        <x:v>Standard Class</x:v>
      </x:c>
      <x:c r="D3795" s="1" t="str">
        <x:v>Pacific Asia</x:v>
      </x:c>
      <x:c r="E3795" s="1" t="str">
        <x:v>PROCESSING</x:v>
      </x:c>
      <x:c r="F3795" s="1" t="str">
        <x:v>Late delivery</x:v>
      </x:c>
      <x:c r="G3795" s="6" t="n">
        <x:v>5</x:v>
      </x:c>
      <x:c r="H3795" s="6" t="n">
        <x:v>4</x:v>
      </x:c>
      <x:c r="I3795" s="6" t="n">
        <x:f>G3795-H3795</x:f>
        <x:v>1</x:v>
      </x:c>
      <x:c r="J3795" s="6" t="n">
        <x:f>IF(OR(E3795="CANCELED",E3795="SUSPECTED_FRAUD",F3795="Shipping canceled"),0,1)</x:f>
        <x:v>1</x:v>
      </x:c>
      <x:c r="K3795" s="6" t="n">
        <x:f>IF(G3795&gt;H3795,1,0)</x:f>
        <x:v>1</x:v>
      </x:c>
      <x:c r="L3795" s="6" t="n">
        <x:f>J3795*K3795</x:f>
        <x:v>1</x:v>
      </x:c>
    </x:row>
    <x:row r="3796">
      <x:c r="A3796" s="1" t="n">
        <x:v>28720</x:v>
      </x:c>
      <x:c r="B3796" s="5" t="d">
        <x:v>2016-02-24T00:00:00.000Z</x:v>
      </x:c>
      <x:c r="C3796" s="1" t="str">
        <x:v>Standard Class</x:v>
      </x:c>
      <x:c r="D3796" s="1" t="str">
        <x:v>Pacific Asia</x:v>
      </x:c>
      <x:c r="E3796" s="1" t="str">
        <x:v>COMPLETE</x:v>
      </x:c>
      <x:c r="F3796" s="1" t="str">
        <x:v>Late delivery</x:v>
      </x:c>
      <x:c r="G3796" s="6" t="n">
        <x:v>6</x:v>
      </x:c>
      <x:c r="H3796" s="6" t="n">
        <x:v>4</x:v>
      </x:c>
      <x:c r="I3796" s="6" t="n">
        <x:f>G3796-H3796</x:f>
        <x:v>2</x:v>
      </x:c>
      <x:c r="J3796" s="6" t="n">
        <x:f>IF(OR(E3796="CANCELED",E3796="SUSPECTED_FRAUD",F3796="Shipping canceled"),0,1)</x:f>
        <x:v>1</x:v>
      </x:c>
      <x:c r="K3796" s="6" t="n">
        <x:f>IF(G3796&gt;H3796,1,0)</x:f>
        <x:v>1</x:v>
      </x:c>
      <x:c r="L3796" s="6" t="n">
        <x:f>J3796*K3796</x:f>
        <x:v>1</x:v>
      </x:c>
    </x:row>
    <x:row r="3797">
      <x:c r="A3797" s="1" t="n">
        <x:v>28724</x:v>
      </x:c>
      <x:c r="B3797" s="5" t="d">
        <x:v>2016-02-24T00:00:00.000Z</x:v>
      </x:c>
      <x:c r="C3797" s="1" t="str">
        <x:v>Standard Class</x:v>
      </x:c>
      <x:c r="D3797" s="1" t="str">
        <x:v>Pacific Asia</x:v>
      </x:c>
      <x:c r="E3797" s="1" t="str">
        <x:v>SUSPECTED_FRAUD</x:v>
      </x:c>
      <x:c r="F3797" s="1" t="str">
        <x:v>Shipping canceled</x:v>
      </x:c>
      <x:c r="G3797" s="6" t="n">
        <x:v>5</x:v>
      </x:c>
      <x:c r="H3797" s="6" t="n">
        <x:v>4</x:v>
      </x:c>
      <x:c r="I3797" s="6" t="n">
        <x:f>G3797-H3797</x:f>
        <x:v>1</x:v>
      </x:c>
      <x:c r="J3797" s="6" t="n">
        <x:f>IF(OR(E3797="CANCELED",E3797="SUSPECTED_FRAUD",F3797="Shipping canceled"),0,1)</x:f>
        <x:v>0</x:v>
      </x:c>
      <x:c r="K3797" s="6" t="n">
        <x:f>IF(G3797&gt;H3797,1,0)</x:f>
        <x:v>1</x:v>
      </x:c>
      <x:c r="L3797" s="6" t="n">
        <x:f>J3797*K3797</x:f>
        <x:v>0</x:v>
      </x:c>
    </x:row>
    <x:row r="3798">
      <x:c r="A3798" s="1" t="n">
        <x:v>28726</x:v>
      </x:c>
      <x:c r="B3798" s="5" t="d">
        <x:v>2016-02-24T00:00:00.000Z</x:v>
      </x:c>
      <x:c r="C3798" s="1" t="str">
        <x:v>Standard Class</x:v>
      </x:c>
      <x:c r="D3798" s="1" t="str">
        <x:v>Pacific Asia</x:v>
      </x:c>
      <x:c r="E3798" s="1" t="str">
        <x:v>CLOSED</x:v>
      </x:c>
      <x:c r="F3798" s="1" t="str">
        <x:v>Advance shipping</x:v>
      </x:c>
      <x:c r="G3798" s="6" t="n">
        <x:v>2</x:v>
      </x:c>
      <x:c r="H3798" s="6" t="n">
        <x:v>4</x:v>
      </x:c>
      <x:c r="I3798" s="6" t="n">
        <x:f>G3798-H3798</x:f>
        <x:v>-2</x:v>
      </x:c>
      <x:c r="J3798" s="6" t="n">
        <x:f>IF(OR(E3798="CANCELED",E3798="SUSPECTED_FRAUD",F3798="Shipping canceled"),0,1)</x:f>
        <x:v>1</x:v>
      </x:c>
      <x:c r="K3798" s="6" t="n">
        <x:f>IF(G3798&gt;H3798,1,0)</x:f>
        <x:v>0</x:v>
      </x:c>
      <x:c r="L3798" s="6" t="n">
        <x:f>J3798*K3798</x:f>
        <x:v>0</x:v>
      </x:c>
    </x:row>
    <x:row r="3799">
      <x:c r="A3799" s="1" t="n">
        <x:v>28744</x:v>
      </x:c>
      <x:c r="B3799" s="5" t="d">
        <x:v>2016-02-24T00:00:00.000Z</x:v>
      </x:c>
      <x:c r="C3799" s="1" t="str">
        <x:v>Second Class</x:v>
      </x:c>
      <x:c r="D3799" s="1" t="str">
        <x:v>Pacific Asia</x:v>
      </x:c>
      <x:c r="E3799" s="1" t="str">
        <x:v>PENDING_PAYMENT</x:v>
      </x:c>
      <x:c r="F3799" s="1" t="str">
        <x:v>Late delivery</x:v>
      </x:c>
      <x:c r="G3799" s="6" t="n">
        <x:v>5</x:v>
      </x:c>
      <x:c r="H3799" s="6" t="n">
        <x:v>2</x:v>
      </x:c>
      <x:c r="I3799" s="6" t="n">
        <x:f>G3799-H3799</x:f>
        <x:v>3</x:v>
      </x:c>
      <x:c r="J3799" s="6" t="n">
        <x:f>IF(OR(E3799="CANCELED",E3799="SUSPECTED_FRAUD",F3799="Shipping canceled"),0,1)</x:f>
        <x:v>1</x:v>
      </x:c>
      <x:c r="K3799" s="6" t="n">
        <x:f>IF(G3799&gt;H3799,1,0)</x:f>
        <x:v>1</x:v>
      </x:c>
      <x:c r="L3799" s="6" t="n">
        <x:f>J3799*K3799</x:f>
        <x:v>1</x:v>
      </x:c>
    </x:row>
    <x:row r="3800">
      <x:c r="A3800" s="1" t="n">
        <x:v>28757</x:v>
      </x:c>
      <x:c r="B3800" s="5" t="d">
        <x:v>2016-02-24T00:00:00.000Z</x:v>
      </x:c>
      <x:c r="C3800" s="1" t="str">
        <x:v>First Class</x:v>
      </x:c>
      <x:c r="D3800" s="1" t="str">
        <x:v>Pacific Asia</x:v>
      </x:c>
      <x:c r="E3800" s="1" t="str">
        <x:v>CLOSED</x:v>
      </x:c>
      <x:c r="F3800" s="1" t="str">
        <x:v>Late delivery</x:v>
      </x:c>
      <x:c r="G3800" s="6" t="n">
        <x:v>2</x:v>
      </x:c>
      <x:c r="H3800" s="6" t="n">
        <x:v>1</x:v>
      </x:c>
      <x:c r="I3800" s="6" t="n">
        <x:f>G3800-H3800</x:f>
        <x:v>1</x:v>
      </x:c>
      <x:c r="J3800" s="6" t="n">
        <x:f>IF(OR(E3800="CANCELED",E3800="SUSPECTED_FRAUD",F3800="Shipping canceled"),0,1)</x:f>
        <x:v>1</x:v>
      </x:c>
      <x:c r="K3800" s="6" t="n">
        <x:f>IF(G3800&gt;H3800,1,0)</x:f>
        <x:v>1</x:v>
      </x:c>
      <x:c r="L3800" s="6" t="n">
        <x:f>J3800*K3800</x:f>
        <x:v>1</x:v>
      </x:c>
    </x:row>
    <x:row r="3801">
      <x:c r="A3801" s="1" t="n">
        <x:v>28760</x:v>
      </x:c>
      <x:c r="B3801" s="5" t="d">
        <x:v>2016-02-24T00:00:00.000Z</x:v>
      </x:c>
      <x:c r="C3801" s="1" t="str">
        <x:v>First Class</x:v>
      </x:c>
      <x:c r="D3801" s="1" t="str">
        <x:v>Pacific Asia</x:v>
      </x:c>
      <x:c r="E3801" s="1" t="str">
        <x:v>CLOSED</x:v>
      </x:c>
      <x:c r="F3801" s="1" t="str">
        <x:v>Late delivery</x:v>
      </x:c>
      <x:c r="G3801" s="6" t="n">
        <x:v>2</x:v>
      </x:c>
      <x:c r="H3801" s="6" t="n">
        <x:v>1</x:v>
      </x:c>
      <x:c r="I3801" s="6" t="n">
        <x:f>G3801-H3801</x:f>
        <x:v>1</x:v>
      </x:c>
      <x:c r="J3801" s="6" t="n">
        <x:f>IF(OR(E3801="CANCELED",E3801="SUSPECTED_FRAUD",F3801="Shipping canceled"),0,1)</x:f>
        <x:v>1</x:v>
      </x:c>
      <x:c r="K3801" s="6" t="n">
        <x:f>IF(G3801&gt;H3801,1,0)</x:f>
        <x:v>1</x:v>
      </x:c>
      <x:c r="L3801" s="6" t="n">
        <x:f>J3801*K3801</x:f>
        <x:v>1</x:v>
      </x:c>
    </x:row>
    <x:row r="3802">
      <x:c r="A3802" s="1" t="n">
        <x:v>28771</x:v>
      </x:c>
      <x:c r="B3802" s="5" t="d">
        <x:v>2016-02-24T00:00:00.000Z</x:v>
      </x:c>
      <x:c r="C3802" s="1" t="str">
        <x:v>Standard Class</x:v>
      </x:c>
      <x:c r="D3802" s="1" t="str">
        <x:v>Pacific Asia</x:v>
      </x:c>
      <x:c r="E3802" s="1" t="str">
        <x:v>COMPLETE</x:v>
      </x:c>
      <x:c r="F3802" s="1" t="str">
        <x:v>Advance shipping</x:v>
      </x:c>
      <x:c r="G3802" s="6" t="n">
        <x:v>2</x:v>
      </x:c>
      <x:c r="H3802" s="6" t="n">
        <x:v>4</x:v>
      </x:c>
      <x:c r="I3802" s="6" t="n">
        <x:f>G3802-H3802</x:f>
        <x:v>-2</x:v>
      </x:c>
      <x:c r="J3802" s="6" t="n">
        <x:f>IF(OR(E3802="CANCELED",E3802="SUSPECTED_FRAUD",F3802="Shipping canceled"),0,1)</x:f>
        <x:v>1</x:v>
      </x:c>
      <x:c r="K3802" s="6" t="n">
        <x:f>IF(G3802&gt;H3802,1,0)</x:f>
        <x:v>0</x:v>
      </x:c>
      <x:c r="L3802" s="6" t="n">
        <x:f>J3802*K3802</x:f>
        <x:v>0</x:v>
      </x:c>
    </x:row>
    <x:row r="3803">
      <x:c r="A3803" s="1" t="n">
        <x:v>28787</x:v>
      </x:c>
      <x:c r="B3803" s="5" t="d">
        <x:v>2016-02-25T00:00:00.000Z</x:v>
      </x:c>
      <x:c r="C3803" s="1" t="str">
        <x:v>Second Class</x:v>
      </x:c>
      <x:c r="D3803" s="1" t="str">
        <x:v>Pacific Asia</x:v>
      </x:c>
      <x:c r="E3803" s="1" t="str">
        <x:v>COMPLETE</x:v>
      </x:c>
      <x:c r="F3803" s="1" t="str">
        <x:v>Late delivery</x:v>
      </x:c>
      <x:c r="G3803" s="6" t="n">
        <x:v>3</x:v>
      </x:c>
      <x:c r="H3803" s="6" t="n">
        <x:v>2</x:v>
      </x:c>
      <x:c r="I3803" s="6" t="n">
        <x:f>G3803-H3803</x:f>
        <x:v>1</x:v>
      </x:c>
      <x:c r="J3803" s="6" t="n">
        <x:f>IF(OR(E3803="CANCELED",E3803="SUSPECTED_FRAUD",F3803="Shipping canceled"),0,1)</x:f>
        <x:v>1</x:v>
      </x:c>
      <x:c r="K3803" s="6" t="n">
        <x:f>IF(G3803&gt;H3803,1,0)</x:f>
        <x:v>1</x:v>
      </x:c>
      <x:c r="L3803" s="6" t="n">
        <x:f>J3803*K3803</x:f>
        <x:v>1</x:v>
      </x:c>
    </x:row>
    <x:row r="3804">
      <x:c r="A3804" s="1" t="n">
        <x:v>28789</x:v>
      </x:c>
      <x:c r="B3804" s="5" t="d">
        <x:v>2016-02-25T00:00:00.000Z</x:v>
      </x:c>
      <x:c r="C3804" s="1" t="str">
        <x:v>Standard Class</x:v>
      </x:c>
      <x:c r="D3804" s="1" t="str">
        <x:v>Pacific Asia</x:v>
      </x:c>
      <x:c r="E3804" s="1" t="str">
        <x:v>PROCESSING</x:v>
      </x:c>
      <x:c r="F3804" s="1" t="str">
        <x:v>Late delivery</x:v>
      </x:c>
      <x:c r="G3804" s="6" t="n">
        <x:v>5</x:v>
      </x:c>
      <x:c r="H3804" s="6" t="n">
        <x:v>4</x:v>
      </x:c>
      <x:c r="I3804" s="6" t="n">
        <x:f>G3804-H3804</x:f>
        <x:v>1</x:v>
      </x:c>
      <x:c r="J3804" s="6" t="n">
        <x:f>IF(OR(E3804="CANCELED",E3804="SUSPECTED_FRAUD",F3804="Shipping canceled"),0,1)</x:f>
        <x:v>1</x:v>
      </x:c>
      <x:c r="K3804" s="6" t="n">
        <x:f>IF(G3804&gt;H3804,1,0)</x:f>
        <x:v>1</x:v>
      </x:c>
      <x:c r="L3804" s="6" t="n">
        <x:f>J3804*K3804</x:f>
        <x:v>1</x:v>
      </x:c>
    </x:row>
    <x:row r="3805">
      <x:c r="A3805" s="1" t="n">
        <x:v>28795</x:v>
      </x:c>
      <x:c r="B3805" s="5" t="d">
        <x:v>2016-02-25T00:00:00.000Z</x:v>
      </x:c>
      <x:c r="C3805" s="1" t="str">
        <x:v>Second Class</x:v>
      </x:c>
      <x:c r="D3805" s="1" t="str">
        <x:v>Pacific Asia</x:v>
      </x:c>
      <x:c r="E3805" s="1" t="str">
        <x:v>ON_HOLD</x:v>
      </x:c>
      <x:c r="F3805" s="1" t="str">
        <x:v>Late delivery</x:v>
      </x:c>
      <x:c r="G3805" s="6" t="n">
        <x:v>6</x:v>
      </x:c>
      <x:c r="H3805" s="6" t="n">
        <x:v>2</x:v>
      </x:c>
      <x:c r="I3805" s="6" t="n">
        <x:f>G3805-H3805</x:f>
        <x:v>4</x:v>
      </x:c>
      <x:c r="J3805" s="6" t="n">
        <x:f>IF(OR(E3805="CANCELED",E3805="SUSPECTED_FRAUD",F3805="Shipping canceled"),0,1)</x:f>
        <x:v>1</x:v>
      </x:c>
      <x:c r="K3805" s="6" t="n">
        <x:f>IF(G3805&gt;H3805,1,0)</x:f>
        <x:v>1</x:v>
      </x:c>
      <x:c r="L3805" s="6" t="n">
        <x:f>J3805*K3805</x:f>
        <x:v>1</x:v>
      </x:c>
    </x:row>
    <x:row r="3806">
      <x:c r="A3806" s="1" t="n">
        <x:v>28808</x:v>
      </x:c>
      <x:c r="B3806" s="5" t="d">
        <x:v>2016-02-25T00:00:00.000Z</x:v>
      </x:c>
      <x:c r="C3806" s="1" t="str">
        <x:v>Standard Class</x:v>
      </x:c>
      <x:c r="D3806" s="1" t="str">
        <x:v>Pacific Asia</x:v>
      </x:c>
      <x:c r="E3806" s="1" t="str">
        <x:v>COMPLETE</x:v>
      </x:c>
      <x:c r="F3806" s="1" t="str">
        <x:v>Shipping on time</x:v>
      </x:c>
      <x:c r="G3806" s="6" t="n">
        <x:v>4</x:v>
      </x:c>
      <x:c r="H3806" s="6" t="n">
        <x:v>4</x:v>
      </x:c>
      <x:c r="I3806" s="6" t="n">
        <x:f>G3806-H3806</x:f>
        <x:v>0</x:v>
      </x:c>
      <x:c r="J3806" s="6" t="n">
        <x:f>IF(OR(E3806="CANCELED",E3806="SUSPECTED_FRAUD",F3806="Shipping canceled"),0,1)</x:f>
        <x:v>1</x:v>
      </x:c>
      <x:c r="K3806" s="6" t="n">
        <x:f>IF(G3806&gt;H3806,1,0)</x:f>
        <x:v>0</x:v>
      </x:c>
      <x:c r="L3806" s="6" t="n">
        <x:f>J3806*K3806</x:f>
        <x:v>0</x:v>
      </x:c>
    </x:row>
    <x:row r="3807">
      <x:c r="A3807" s="1" t="n">
        <x:v>28809</x:v>
      </x:c>
      <x:c r="B3807" s="5" t="d">
        <x:v>2016-02-25T00:00:00.000Z</x:v>
      </x:c>
      <x:c r="C3807" s="1" t="str">
        <x:v>Standard Class</x:v>
      </x:c>
      <x:c r="D3807" s="1" t="str">
        <x:v>Pacific Asia</x:v>
      </x:c>
      <x:c r="E3807" s="1" t="str">
        <x:v>COMPLETE</x:v>
      </x:c>
      <x:c r="F3807" s="1" t="str">
        <x:v>Late delivery</x:v>
      </x:c>
      <x:c r="G3807" s="6" t="n">
        <x:v>5</x:v>
      </x:c>
      <x:c r="H3807" s="6" t="n">
        <x:v>4</x:v>
      </x:c>
      <x:c r="I3807" s="6" t="n">
        <x:f>G3807-H3807</x:f>
        <x:v>1</x:v>
      </x:c>
      <x:c r="J3807" s="6" t="n">
        <x:f>IF(OR(E3807="CANCELED",E3807="SUSPECTED_FRAUD",F3807="Shipping canceled"),0,1)</x:f>
        <x:v>1</x:v>
      </x:c>
      <x:c r="K3807" s="6" t="n">
        <x:f>IF(G3807&gt;H3807,1,0)</x:f>
        <x:v>1</x:v>
      </x:c>
      <x:c r="L3807" s="6" t="n">
        <x:f>J3807*K3807</x:f>
        <x:v>1</x:v>
      </x:c>
    </x:row>
    <x:row r="3808">
      <x:c r="A3808" s="1" t="n">
        <x:v>28827</x:v>
      </x:c>
      <x:c r="B3808" s="5" t="d">
        <x:v>2016-02-25T00:00:00.000Z</x:v>
      </x:c>
      <x:c r="C3808" s="1" t="str">
        <x:v>Standard Class</x:v>
      </x:c>
      <x:c r="D3808" s="1" t="str">
        <x:v>Pacific Asia</x:v>
      </x:c>
      <x:c r="E3808" s="1" t="str">
        <x:v>PROCESSING</x:v>
      </x:c>
      <x:c r="F3808" s="1" t="str">
        <x:v>Advance shipping</x:v>
      </x:c>
      <x:c r="G3808" s="6" t="n">
        <x:v>3</x:v>
      </x:c>
      <x:c r="H3808" s="6" t="n">
        <x:v>4</x:v>
      </x:c>
      <x:c r="I3808" s="6" t="n">
        <x:f>G3808-H3808</x:f>
        <x:v>-1</x:v>
      </x:c>
      <x:c r="J3808" s="6" t="n">
        <x:f>IF(OR(E3808="CANCELED",E3808="SUSPECTED_FRAUD",F3808="Shipping canceled"),0,1)</x:f>
        <x:v>1</x:v>
      </x:c>
      <x:c r="K3808" s="6" t="n">
        <x:f>IF(G3808&gt;H3808,1,0)</x:f>
        <x:v>0</x:v>
      </x:c>
      <x:c r="L3808" s="6" t="n">
        <x:f>J3808*K3808</x:f>
        <x:v>0</x:v>
      </x:c>
    </x:row>
    <x:row r="3809">
      <x:c r="A3809" s="1" t="n">
        <x:v>28835</x:v>
      </x:c>
      <x:c r="B3809" s="5" t="d">
        <x:v>2016-02-25T00:00:00.000Z</x:v>
      </x:c>
      <x:c r="C3809" s="1" t="str">
        <x:v>Standard Class</x:v>
      </x:c>
      <x:c r="D3809" s="1" t="str">
        <x:v>Pacific Asia</x:v>
      </x:c>
      <x:c r="E3809" s="1" t="str">
        <x:v>COMPLETE</x:v>
      </x:c>
      <x:c r="F3809" s="1" t="str">
        <x:v>Late delivery</x:v>
      </x:c>
      <x:c r="G3809" s="6" t="n">
        <x:v>6</x:v>
      </x:c>
      <x:c r="H3809" s="6" t="n">
        <x:v>4</x:v>
      </x:c>
      <x:c r="I3809" s="6" t="n">
        <x:f>G3809-H3809</x:f>
        <x:v>2</x:v>
      </x:c>
      <x:c r="J3809" s="6" t="n">
        <x:f>IF(OR(E3809="CANCELED",E3809="SUSPECTED_FRAUD",F3809="Shipping canceled"),0,1)</x:f>
        <x:v>1</x:v>
      </x:c>
      <x:c r="K3809" s="6" t="n">
        <x:f>IF(G3809&gt;H3809,1,0)</x:f>
        <x:v>1</x:v>
      </x:c>
      <x:c r="L3809" s="6" t="n">
        <x:f>J3809*K3809</x:f>
        <x:v>1</x:v>
      </x:c>
    </x:row>
    <x:row r="3810">
      <x:c r="A3810" s="1" t="n">
        <x:v>28839</x:v>
      </x:c>
      <x:c r="B3810" s="5" t="d">
        <x:v>2016-02-25T00:00:00.000Z</x:v>
      </x:c>
      <x:c r="C3810" s="1" t="str">
        <x:v>Standard Class</x:v>
      </x:c>
      <x:c r="D3810" s="1" t="str">
        <x:v>Pacific Asia</x:v>
      </x:c>
      <x:c r="E3810" s="1" t="str">
        <x:v>ON_HOLD</x:v>
      </x:c>
      <x:c r="F3810" s="1" t="str">
        <x:v>Late delivery</x:v>
      </x:c>
      <x:c r="G3810" s="6" t="n">
        <x:v>5</x:v>
      </x:c>
      <x:c r="H3810" s="6" t="n">
        <x:v>4</x:v>
      </x:c>
      <x:c r="I3810" s="6" t="n">
        <x:f>G3810-H3810</x:f>
        <x:v>1</x:v>
      </x:c>
      <x:c r="J3810" s="6" t="n">
        <x:f>IF(OR(E3810="CANCELED",E3810="SUSPECTED_FRAUD",F3810="Shipping canceled"),0,1)</x:f>
        <x:v>1</x:v>
      </x:c>
      <x:c r="K3810" s="6" t="n">
        <x:f>IF(G3810&gt;H3810,1,0)</x:f>
        <x:v>1</x:v>
      </x:c>
      <x:c r="L3810" s="6" t="n">
        <x:f>J3810*K3810</x:f>
        <x:v>1</x:v>
      </x:c>
    </x:row>
    <x:row r="3811">
      <x:c r="A3811" s="1" t="n">
        <x:v>28840</x:v>
      </x:c>
      <x:c r="B3811" s="5" t="d">
        <x:v>2016-02-25T00:00:00.000Z</x:v>
      </x:c>
      <x:c r="C3811" s="1" t="str">
        <x:v>Second Class</x:v>
      </x:c>
      <x:c r="D3811" s="1" t="str">
        <x:v>Pacific Asia</x:v>
      </x:c>
      <x:c r="E3811" s="1" t="str">
        <x:v>PENDING_PAYMENT</x:v>
      </x:c>
      <x:c r="F3811" s="1" t="str">
        <x:v>Late delivery</x:v>
      </x:c>
      <x:c r="G3811" s="6" t="n">
        <x:v>6</x:v>
      </x:c>
      <x:c r="H3811" s="6" t="n">
        <x:v>2</x:v>
      </x:c>
      <x:c r="I3811" s="6" t="n">
        <x:f>G3811-H3811</x:f>
        <x:v>4</x:v>
      </x:c>
      <x:c r="J3811" s="6" t="n">
        <x:f>IF(OR(E3811="CANCELED",E3811="SUSPECTED_FRAUD",F3811="Shipping canceled"),0,1)</x:f>
        <x:v>1</x:v>
      </x:c>
      <x:c r="K3811" s="6" t="n">
        <x:f>IF(G3811&gt;H3811,1,0)</x:f>
        <x:v>1</x:v>
      </x:c>
      <x:c r="L3811" s="6" t="n">
        <x:f>J3811*K3811</x:f>
        <x:v>1</x:v>
      </x:c>
    </x:row>
    <x:row r="3812">
      <x:c r="A3812" s="1" t="n">
        <x:v>28843</x:v>
      </x:c>
      <x:c r="B3812" s="5" t="d">
        <x:v>2016-02-26T00:00:00.000Z</x:v>
      </x:c>
      <x:c r="C3812" s="1" t="str">
        <x:v>Standard Class</x:v>
      </x:c>
      <x:c r="D3812" s="1" t="str">
        <x:v>Pacific Asia</x:v>
      </x:c>
      <x:c r="E3812" s="1" t="str">
        <x:v>ON_HOLD</x:v>
      </x:c>
      <x:c r="F3812" s="1" t="str">
        <x:v>Shipping on time</x:v>
      </x:c>
      <x:c r="G3812" s="6" t="n">
        <x:v>4</x:v>
      </x:c>
      <x:c r="H3812" s="6" t="n">
        <x:v>4</x:v>
      </x:c>
      <x:c r="I3812" s="6" t="n">
        <x:f>G3812-H3812</x:f>
        <x:v>0</x:v>
      </x:c>
      <x:c r="J3812" s="6" t="n">
        <x:f>IF(OR(E3812="CANCELED",E3812="SUSPECTED_FRAUD",F3812="Shipping canceled"),0,1)</x:f>
        <x:v>1</x:v>
      </x:c>
      <x:c r="K3812" s="6" t="n">
        <x:f>IF(G3812&gt;H3812,1,0)</x:f>
        <x:v>0</x:v>
      </x:c>
      <x:c r="L3812" s="6" t="n">
        <x:f>J3812*K3812</x:f>
        <x:v>0</x:v>
      </x:c>
    </x:row>
    <x:row r="3813">
      <x:c r="A3813" s="1" t="n">
        <x:v>28847</x:v>
      </x:c>
      <x:c r="B3813" s="5" t="d">
        <x:v>2016-02-26T00:00:00.000Z</x:v>
      </x:c>
      <x:c r="C3813" s="1" t="str">
        <x:v>Standard Class</x:v>
      </x:c>
      <x:c r="D3813" s="1" t="str">
        <x:v>Pacific Asia</x:v>
      </x:c>
      <x:c r="E3813" s="1" t="str">
        <x:v>PROCESSING</x:v>
      </x:c>
      <x:c r="F3813" s="1" t="str">
        <x:v>Advance shipping</x:v>
      </x:c>
      <x:c r="G3813" s="6" t="n">
        <x:v>3</x:v>
      </x:c>
      <x:c r="H3813" s="6" t="n">
        <x:v>4</x:v>
      </x:c>
      <x:c r="I3813" s="6" t="n">
        <x:f>G3813-H3813</x:f>
        <x:v>-1</x:v>
      </x:c>
      <x:c r="J3813" s="6" t="n">
        <x:f>IF(OR(E3813="CANCELED",E3813="SUSPECTED_FRAUD",F3813="Shipping canceled"),0,1)</x:f>
        <x:v>1</x:v>
      </x:c>
      <x:c r="K3813" s="6" t="n">
        <x:f>IF(G3813&gt;H3813,1,0)</x:f>
        <x:v>0</x:v>
      </x:c>
      <x:c r="L3813" s="6" t="n">
        <x:f>J3813*K3813</x:f>
        <x:v>0</x:v>
      </x:c>
    </x:row>
    <x:row r="3814">
      <x:c r="A3814" s="1" t="n">
        <x:v>28866</x:v>
      </x:c>
      <x:c r="B3814" s="5" t="d">
        <x:v>2016-02-26T00:00:00.000Z</x:v>
      </x:c>
      <x:c r="C3814" s="1" t="str">
        <x:v>Standard Class</x:v>
      </x:c>
      <x:c r="D3814" s="1" t="str">
        <x:v>Pacific Asia</x:v>
      </x:c>
      <x:c r="E3814" s="1" t="str">
        <x:v>PROCESSING</x:v>
      </x:c>
      <x:c r="F3814" s="1" t="str">
        <x:v>Advance shipping</x:v>
      </x:c>
      <x:c r="G3814" s="6" t="n">
        <x:v>2</x:v>
      </x:c>
      <x:c r="H3814" s="6" t="n">
        <x:v>4</x:v>
      </x:c>
      <x:c r="I3814" s="6" t="n">
        <x:f>G3814-H3814</x:f>
        <x:v>-2</x:v>
      </x:c>
      <x:c r="J3814" s="6" t="n">
        <x:f>IF(OR(E3814="CANCELED",E3814="SUSPECTED_FRAUD",F3814="Shipping canceled"),0,1)</x:f>
        <x:v>1</x:v>
      </x:c>
      <x:c r="K3814" s="6" t="n">
        <x:f>IF(G3814&gt;H3814,1,0)</x:f>
        <x:v>0</x:v>
      </x:c>
      <x:c r="L3814" s="6" t="n">
        <x:f>J3814*K3814</x:f>
        <x:v>0</x:v>
      </x:c>
    </x:row>
    <x:row r="3815">
      <x:c r="A3815" s="1" t="n">
        <x:v>28880</x:v>
      </x:c>
      <x:c r="B3815" s="5" t="d">
        <x:v>2016-02-26T00:00:00.000Z</x:v>
      </x:c>
      <x:c r="C3815" s="1" t="str">
        <x:v>Standard Class</x:v>
      </x:c>
      <x:c r="D3815" s="1" t="str">
        <x:v>Pacific Asia</x:v>
      </x:c>
      <x:c r="E3815" s="1" t="str">
        <x:v>COMPLETE</x:v>
      </x:c>
      <x:c r="F3815" s="1" t="str">
        <x:v>Late delivery</x:v>
      </x:c>
      <x:c r="G3815" s="6" t="n">
        <x:v>6</x:v>
      </x:c>
      <x:c r="H3815" s="6" t="n">
        <x:v>4</x:v>
      </x:c>
      <x:c r="I3815" s="6" t="n">
        <x:f>G3815-H3815</x:f>
        <x:v>2</x:v>
      </x:c>
      <x:c r="J3815" s="6" t="n">
        <x:f>IF(OR(E3815="CANCELED",E3815="SUSPECTED_FRAUD",F3815="Shipping canceled"),0,1)</x:f>
        <x:v>1</x:v>
      </x:c>
      <x:c r="K3815" s="6" t="n">
        <x:f>IF(G3815&gt;H3815,1,0)</x:f>
        <x:v>1</x:v>
      </x:c>
      <x:c r="L3815" s="6" t="n">
        <x:f>J3815*K3815</x:f>
        <x:v>1</x:v>
      </x:c>
    </x:row>
    <x:row r="3816">
      <x:c r="A3816" s="1" t="n">
        <x:v>28881</x:v>
      </x:c>
      <x:c r="B3816" s="5" t="d">
        <x:v>2016-02-26T00:00:00.000Z</x:v>
      </x:c>
      <x:c r="C3816" s="1" t="str">
        <x:v>Standard Class</x:v>
      </x:c>
      <x:c r="D3816" s="1" t="str">
        <x:v>Pacific Asia</x:v>
      </x:c>
      <x:c r="E3816" s="1" t="str">
        <x:v>COMPLETE</x:v>
      </x:c>
      <x:c r="F3816" s="1" t="str">
        <x:v>Advance shipping</x:v>
      </x:c>
      <x:c r="G3816" s="6" t="n">
        <x:v>2</x:v>
      </x:c>
      <x:c r="H3816" s="6" t="n">
        <x:v>4</x:v>
      </x:c>
      <x:c r="I3816" s="6" t="n">
        <x:f>G3816-H3816</x:f>
        <x:v>-2</x:v>
      </x:c>
      <x:c r="J3816" s="6" t="n">
        <x:f>IF(OR(E3816="CANCELED",E3816="SUSPECTED_FRAUD",F3816="Shipping canceled"),0,1)</x:f>
        <x:v>1</x:v>
      </x:c>
      <x:c r="K3816" s="6" t="n">
        <x:f>IF(G3816&gt;H3816,1,0)</x:f>
        <x:v>0</x:v>
      </x:c>
      <x:c r="L3816" s="6" t="n">
        <x:f>J3816*K3816</x:f>
        <x:v>0</x:v>
      </x:c>
    </x:row>
    <x:row r="3817">
      <x:c r="A3817" s="1" t="n">
        <x:v>28884</x:v>
      </x:c>
      <x:c r="B3817" s="5" t="d">
        <x:v>2016-02-26T00:00:00.000Z</x:v>
      </x:c>
      <x:c r="C3817" s="1" t="str">
        <x:v>Second Class</x:v>
      </x:c>
      <x:c r="D3817" s="1" t="str">
        <x:v>Pacific Asia</x:v>
      </x:c>
      <x:c r="E3817" s="1" t="str">
        <x:v>COMPLETE</x:v>
      </x:c>
      <x:c r="F3817" s="1" t="str">
        <x:v>Late delivery</x:v>
      </x:c>
      <x:c r="G3817" s="6" t="n">
        <x:v>5</x:v>
      </x:c>
      <x:c r="H3817" s="6" t="n">
        <x:v>2</x:v>
      </x:c>
      <x:c r="I3817" s="6" t="n">
        <x:f>G3817-H3817</x:f>
        <x:v>3</x:v>
      </x:c>
      <x:c r="J3817" s="6" t="n">
        <x:f>IF(OR(E3817="CANCELED",E3817="SUSPECTED_FRAUD",F3817="Shipping canceled"),0,1)</x:f>
        <x:v>1</x:v>
      </x:c>
      <x:c r="K3817" s="6" t="n">
        <x:f>IF(G3817&gt;H3817,1,0)</x:f>
        <x:v>1</x:v>
      </x:c>
      <x:c r="L3817" s="6" t="n">
        <x:f>J3817*K3817</x:f>
        <x:v>1</x:v>
      </x:c>
    </x:row>
    <x:row r="3818">
      <x:c r="A3818" s="1" t="n">
        <x:v>28889</x:v>
      </x:c>
      <x:c r="B3818" s="5" t="d">
        <x:v>2016-02-26T00:00:00.000Z</x:v>
      </x:c>
      <x:c r="C3818" s="1" t="str">
        <x:v>Standard Class</x:v>
      </x:c>
      <x:c r="D3818" s="1" t="str">
        <x:v>Pacific Asia</x:v>
      </x:c>
      <x:c r="E3818" s="1" t="str">
        <x:v>COMPLETE</x:v>
      </x:c>
      <x:c r="F3818" s="1" t="str">
        <x:v>Late delivery</x:v>
      </x:c>
      <x:c r="G3818" s="6" t="n">
        <x:v>5</x:v>
      </x:c>
      <x:c r="H3818" s="6" t="n">
        <x:v>4</x:v>
      </x:c>
      <x:c r="I3818" s="6" t="n">
        <x:f>G3818-H3818</x:f>
        <x:v>1</x:v>
      </x:c>
      <x:c r="J3818" s="6" t="n">
        <x:f>IF(OR(E3818="CANCELED",E3818="SUSPECTED_FRAUD",F3818="Shipping canceled"),0,1)</x:f>
        <x:v>1</x:v>
      </x:c>
      <x:c r="K3818" s="6" t="n">
        <x:f>IF(G3818&gt;H3818,1,0)</x:f>
        <x:v>1</x:v>
      </x:c>
      <x:c r="L3818" s="6" t="n">
        <x:f>J3818*K3818</x:f>
        <x:v>1</x:v>
      </x:c>
    </x:row>
    <x:row r="3819">
      <x:c r="A3819" s="1" t="n">
        <x:v>28893</x:v>
      </x:c>
      <x:c r="B3819" s="5" t="d">
        <x:v>2016-02-26T00:00:00.000Z</x:v>
      </x:c>
      <x:c r="C3819" s="1" t="str">
        <x:v>Second Class</x:v>
      </x:c>
      <x:c r="D3819" s="1" t="str">
        <x:v>Pacific Asia</x:v>
      </x:c>
      <x:c r="E3819" s="1" t="str">
        <x:v>CLOSED</x:v>
      </x:c>
      <x:c r="F3819" s="1" t="str">
        <x:v>Late delivery</x:v>
      </x:c>
      <x:c r="G3819" s="6" t="n">
        <x:v>4</x:v>
      </x:c>
      <x:c r="H3819" s="6" t="n">
        <x:v>2</x:v>
      </x:c>
      <x:c r="I3819" s="6" t="n">
        <x:f>G3819-H3819</x:f>
        <x:v>2</x:v>
      </x:c>
      <x:c r="J3819" s="6" t="n">
        <x:f>IF(OR(E3819="CANCELED",E3819="SUSPECTED_FRAUD",F3819="Shipping canceled"),0,1)</x:f>
        <x:v>1</x:v>
      </x:c>
      <x:c r="K3819" s="6" t="n">
        <x:f>IF(G3819&gt;H3819,1,0)</x:f>
        <x:v>1</x:v>
      </x:c>
      <x:c r="L3819" s="6" t="n">
        <x:f>J3819*K3819</x:f>
        <x:v>1</x:v>
      </x:c>
    </x:row>
    <x:row r="3820">
      <x:c r="A3820" s="1" t="n">
        <x:v>28916</x:v>
      </x:c>
      <x:c r="B3820" s="5" t="d">
        <x:v>2016-02-27T00:00:00.000Z</x:v>
      </x:c>
      <x:c r="C3820" s="1" t="str">
        <x:v>Standard Class</x:v>
      </x:c>
      <x:c r="D3820" s="1" t="str">
        <x:v>Pacific Asia</x:v>
      </x:c>
      <x:c r="E3820" s="1" t="str">
        <x:v>COMPLETE</x:v>
      </x:c>
      <x:c r="F3820" s="1" t="str">
        <x:v>Advance shipping</x:v>
      </x:c>
      <x:c r="G3820" s="6" t="n">
        <x:v>2</x:v>
      </x:c>
      <x:c r="H3820" s="6" t="n">
        <x:v>4</x:v>
      </x:c>
      <x:c r="I3820" s="6" t="n">
        <x:f>G3820-H3820</x:f>
        <x:v>-2</x:v>
      </x:c>
      <x:c r="J3820" s="6" t="n">
        <x:f>IF(OR(E3820="CANCELED",E3820="SUSPECTED_FRAUD",F3820="Shipping canceled"),0,1)</x:f>
        <x:v>1</x:v>
      </x:c>
      <x:c r="K3820" s="6" t="n">
        <x:f>IF(G3820&gt;H3820,1,0)</x:f>
        <x:v>0</x:v>
      </x:c>
      <x:c r="L3820" s="6" t="n">
        <x:f>J3820*K3820</x:f>
        <x:v>0</x:v>
      </x:c>
    </x:row>
    <x:row r="3821">
      <x:c r="A3821" s="1" t="n">
        <x:v>28918</x:v>
      </x:c>
      <x:c r="B3821" s="5" t="d">
        <x:v>2016-02-27T00:00:00.000Z</x:v>
      </x:c>
      <x:c r="C3821" s="1" t="str">
        <x:v>Standard Class</x:v>
      </x:c>
      <x:c r="D3821" s="1" t="str">
        <x:v>Pacific Asia</x:v>
      </x:c>
      <x:c r="E3821" s="1" t="str">
        <x:v>ON_HOLD</x:v>
      </x:c>
      <x:c r="F3821" s="1" t="str">
        <x:v>Shipping on time</x:v>
      </x:c>
      <x:c r="G3821" s="6" t="n">
        <x:v>4</x:v>
      </x:c>
      <x:c r="H3821" s="6" t="n">
        <x:v>4</x:v>
      </x:c>
      <x:c r="I3821" s="6" t="n">
        <x:f>G3821-H3821</x:f>
        <x:v>0</x:v>
      </x:c>
      <x:c r="J3821" s="6" t="n">
        <x:f>IF(OR(E3821="CANCELED",E3821="SUSPECTED_FRAUD",F3821="Shipping canceled"),0,1)</x:f>
        <x:v>1</x:v>
      </x:c>
      <x:c r="K3821" s="6" t="n">
        <x:f>IF(G3821&gt;H3821,1,0)</x:f>
        <x:v>0</x:v>
      </x:c>
      <x:c r="L3821" s="6" t="n">
        <x:f>J3821*K3821</x:f>
        <x:v>0</x:v>
      </x:c>
    </x:row>
    <x:row r="3822">
      <x:c r="A3822" s="1" t="n">
        <x:v>28922</x:v>
      </x:c>
      <x:c r="B3822" s="5" t="d">
        <x:v>2016-02-27T00:00:00.000Z</x:v>
      </x:c>
      <x:c r="C3822" s="1" t="str">
        <x:v>Standard Class</x:v>
      </x:c>
      <x:c r="D3822" s="1" t="str">
        <x:v>Pacific Asia</x:v>
      </x:c>
      <x:c r="E3822" s="1" t="str">
        <x:v>COMPLETE</x:v>
      </x:c>
      <x:c r="F3822" s="1" t="str">
        <x:v>Advance shipping</x:v>
      </x:c>
      <x:c r="G3822" s="6" t="n">
        <x:v>3</x:v>
      </x:c>
      <x:c r="H3822" s="6" t="n">
        <x:v>4</x:v>
      </x:c>
      <x:c r="I3822" s="6" t="n">
        <x:f>G3822-H3822</x:f>
        <x:v>-1</x:v>
      </x:c>
      <x:c r="J3822" s="6" t="n">
        <x:f>IF(OR(E3822="CANCELED",E3822="SUSPECTED_FRAUD",F3822="Shipping canceled"),0,1)</x:f>
        <x:v>1</x:v>
      </x:c>
      <x:c r="K3822" s="6" t="n">
        <x:f>IF(G3822&gt;H3822,1,0)</x:f>
        <x:v>0</x:v>
      </x:c>
      <x:c r="L3822" s="6" t="n">
        <x:f>J3822*K3822</x:f>
        <x:v>0</x:v>
      </x:c>
    </x:row>
    <x:row r="3823">
      <x:c r="A3823" s="1" t="n">
        <x:v>28928</x:v>
      </x:c>
      <x:c r="B3823" s="5" t="d">
        <x:v>2016-02-27T00:00:00.000Z</x:v>
      </x:c>
      <x:c r="C3823" s="1" t="str">
        <x:v>Standard Class</x:v>
      </x:c>
      <x:c r="D3823" s="1" t="str">
        <x:v>Pacific Asia</x:v>
      </x:c>
      <x:c r="E3823" s="1" t="str">
        <x:v>PENDING_PAYMENT</x:v>
      </x:c>
      <x:c r="F3823" s="1" t="str">
        <x:v>Shipping on time</x:v>
      </x:c>
      <x:c r="G3823" s="6" t="n">
        <x:v>4</x:v>
      </x:c>
      <x:c r="H3823" s="6" t="n">
        <x:v>4</x:v>
      </x:c>
      <x:c r="I3823" s="6" t="n">
        <x:f>G3823-H3823</x:f>
        <x:v>0</x:v>
      </x:c>
      <x:c r="J3823" s="6" t="n">
        <x:f>IF(OR(E3823="CANCELED",E3823="SUSPECTED_FRAUD",F3823="Shipping canceled"),0,1)</x:f>
        <x:v>1</x:v>
      </x:c>
      <x:c r="K3823" s="6" t="n">
        <x:f>IF(G3823&gt;H3823,1,0)</x:f>
        <x:v>0</x:v>
      </x:c>
      <x:c r="L3823" s="6" t="n">
        <x:f>J3823*K3823</x:f>
        <x:v>0</x:v>
      </x:c>
    </x:row>
    <x:row r="3824">
      <x:c r="A3824" s="1" t="n">
        <x:v>28933</x:v>
      </x:c>
      <x:c r="B3824" s="5" t="d">
        <x:v>2016-02-27T00:00:00.000Z</x:v>
      </x:c>
      <x:c r="C3824" s="1" t="str">
        <x:v>First Class</x:v>
      </x:c>
      <x:c r="D3824" s="1" t="str">
        <x:v>Pacific Asia</x:v>
      </x:c>
      <x:c r="E3824" s="1" t="str">
        <x:v>CLOSED</x:v>
      </x:c>
      <x:c r="F3824" s="1" t="str">
        <x:v>Late delivery</x:v>
      </x:c>
      <x:c r="G3824" s="6" t="n">
        <x:v>2</x:v>
      </x:c>
      <x:c r="H3824" s="6" t="n">
        <x:v>1</x:v>
      </x:c>
      <x:c r="I3824" s="6" t="n">
        <x:f>G3824-H3824</x:f>
        <x:v>1</x:v>
      </x:c>
      <x:c r="J3824" s="6" t="n">
        <x:f>IF(OR(E3824="CANCELED",E3824="SUSPECTED_FRAUD",F3824="Shipping canceled"),0,1)</x:f>
        <x:v>1</x:v>
      </x:c>
      <x:c r="K3824" s="6" t="n">
        <x:f>IF(G3824&gt;H3824,1,0)</x:f>
        <x:v>1</x:v>
      </x:c>
      <x:c r="L3824" s="6" t="n">
        <x:f>J3824*K3824</x:f>
        <x:v>1</x:v>
      </x:c>
    </x:row>
    <x:row r="3825">
      <x:c r="A3825" s="1" t="n">
        <x:v>28937</x:v>
      </x:c>
      <x:c r="B3825" s="5" t="d">
        <x:v>2016-02-27T00:00:00.000Z</x:v>
      </x:c>
      <x:c r="C3825" s="1" t="str">
        <x:v>Second Class</x:v>
      </x:c>
      <x:c r="D3825" s="1" t="str">
        <x:v>Pacific Asia</x:v>
      </x:c>
      <x:c r="E3825" s="1" t="str">
        <x:v>COMPLETE</x:v>
      </x:c>
      <x:c r="F3825" s="1" t="str">
        <x:v>Late delivery</x:v>
      </x:c>
      <x:c r="G3825" s="6" t="n">
        <x:v>3</x:v>
      </x:c>
      <x:c r="H3825" s="6" t="n">
        <x:v>2</x:v>
      </x:c>
      <x:c r="I3825" s="6" t="n">
        <x:f>G3825-H3825</x:f>
        <x:v>1</x:v>
      </x:c>
      <x:c r="J3825" s="6" t="n">
        <x:f>IF(OR(E3825="CANCELED",E3825="SUSPECTED_FRAUD",F3825="Shipping canceled"),0,1)</x:f>
        <x:v>1</x:v>
      </x:c>
      <x:c r="K3825" s="6" t="n">
        <x:f>IF(G3825&gt;H3825,1,0)</x:f>
        <x:v>1</x:v>
      </x:c>
      <x:c r="L3825" s="6" t="n">
        <x:f>J3825*K3825</x:f>
        <x:v>1</x:v>
      </x:c>
    </x:row>
    <x:row r="3826">
      <x:c r="A3826" s="1" t="n">
        <x:v>28959</x:v>
      </x:c>
      <x:c r="B3826" s="5" t="d">
        <x:v>2016-02-27T00:00:00.000Z</x:v>
      </x:c>
      <x:c r="C3826" s="1" t="str">
        <x:v>Standard Class</x:v>
      </x:c>
      <x:c r="D3826" s="1" t="str">
        <x:v>Pacific Asia</x:v>
      </x:c>
      <x:c r="E3826" s="1" t="str">
        <x:v>COMPLETE</x:v>
      </x:c>
      <x:c r="F3826" s="1" t="str">
        <x:v>Late delivery</x:v>
      </x:c>
      <x:c r="G3826" s="6" t="n">
        <x:v>5</x:v>
      </x:c>
      <x:c r="H3826" s="6" t="n">
        <x:v>4</x:v>
      </x:c>
      <x:c r="I3826" s="6" t="n">
        <x:f>G3826-H3826</x:f>
        <x:v>1</x:v>
      </x:c>
      <x:c r="J3826" s="6" t="n">
        <x:f>IF(OR(E3826="CANCELED",E3826="SUSPECTED_FRAUD",F3826="Shipping canceled"),0,1)</x:f>
        <x:v>1</x:v>
      </x:c>
      <x:c r="K3826" s="6" t="n">
        <x:f>IF(G3826&gt;H3826,1,0)</x:f>
        <x:v>1</x:v>
      </x:c>
      <x:c r="L3826" s="6" t="n">
        <x:f>J3826*K3826</x:f>
        <x:v>1</x:v>
      </x:c>
    </x:row>
    <x:row r="3827">
      <x:c r="A3827" s="1" t="n">
        <x:v>28962</x:v>
      </x:c>
      <x:c r="B3827" s="5" t="d">
        <x:v>2016-02-27T00:00:00.000Z</x:v>
      </x:c>
      <x:c r="C3827" s="1" t="str">
        <x:v>Standard Class</x:v>
      </x:c>
      <x:c r="D3827" s="1" t="str">
        <x:v>Pacific Asia</x:v>
      </x:c>
      <x:c r="E3827" s="1" t="str">
        <x:v>PENDING_PAYMENT</x:v>
      </x:c>
      <x:c r="F3827" s="1" t="str">
        <x:v>Advance shipping</x:v>
      </x:c>
      <x:c r="G3827" s="6" t="n">
        <x:v>3</x:v>
      </x:c>
      <x:c r="H3827" s="6" t="n">
        <x:v>4</x:v>
      </x:c>
      <x:c r="I3827" s="6" t="n">
        <x:f>G3827-H3827</x:f>
        <x:v>-1</x:v>
      </x:c>
      <x:c r="J3827" s="6" t="n">
        <x:f>IF(OR(E3827="CANCELED",E3827="SUSPECTED_FRAUD",F3827="Shipping canceled"),0,1)</x:f>
        <x:v>1</x:v>
      </x:c>
      <x:c r="K3827" s="6" t="n">
        <x:f>IF(G3827&gt;H3827,1,0)</x:f>
        <x:v>0</x:v>
      </x:c>
      <x:c r="L3827" s="6" t="n">
        <x:f>J3827*K3827</x:f>
        <x:v>0</x:v>
      </x:c>
    </x:row>
    <x:row r="3828">
      <x:c r="A3828" s="1" t="n">
        <x:v>28967</x:v>
      </x:c>
      <x:c r="B3828" s="5" t="d">
        <x:v>2016-02-27T00:00:00.000Z</x:v>
      </x:c>
      <x:c r="C3828" s="1" t="str">
        <x:v>Standard Class</x:v>
      </x:c>
      <x:c r="D3828" s="1" t="str">
        <x:v>Pacific Asia</x:v>
      </x:c>
      <x:c r="E3828" s="1" t="str">
        <x:v>ON_HOLD</x:v>
      </x:c>
      <x:c r="F3828" s="1" t="str">
        <x:v>Advance shipping</x:v>
      </x:c>
      <x:c r="G3828" s="6" t="n">
        <x:v>3</x:v>
      </x:c>
      <x:c r="H3828" s="6" t="n">
        <x:v>4</x:v>
      </x:c>
      <x:c r="I3828" s="6" t="n">
        <x:f>G3828-H3828</x:f>
        <x:v>-1</x:v>
      </x:c>
      <x:c r="J3828" s="6" t="n">
        <x:f>IF(OR(E3828="CANCELED",E3828="SUSPECTED_FRAUD",F3828="Shipping canceled"),0,1)</x:f>
        <x:v>1</x:v>
      </x:c>
      <x:c r="K3828" s="6" t="n">
        <x:f>IF(G3828&gt;H3828,1,0)</x:f>
        <x:v>0</x:v>
      </x:c>
      <x:c r="L3828" s="6" t="n">
        <x:f>J3828*K3828</x:f>
        <x:v>0</x:v>
      </x:c>
    </x:row>
    <x:row r="3829">
      <x:c r="A3829" s="1" t="n">
        <x:v>28984</x:v>
      </x:c>
      <x:c r="B3829" s="5" t="d">
        <x:v>2016-02-28T00:00:00.000Z</x:v>
      </x:c>
      <x:c r="C3829" s="1" t="str">
        <x:v>Standard Class</x:v>
      </x:c>
      <x:c r="D3829" s="1" t="str">
        <x:v>Pacific Asia</x:v>
      </x:c>
      <x:c r="E3829" s="1" t="str">
        <x:v>ON_HOLD</x:v>
      </x:c>
      <x:c r="F3829" s="1" t="str">
        <x:v>Late delivery</x:v>
      </x:c>
      <x:c r="G3829" s="6" t="n">
        <x:v>5</x:v>
      </x:c>
      <x:c r="H3829" s="6" t="n">
        <x:v>4</x:v>
      </x:c>
      <x:c r="I3829" s="6" t="n">
        <x:f>G3829-H3829</x:f>
        <x:v>1</x:v>
      </x:c>
      <x:c r="J3829" s="6" t="n">
        <x:f>IF(OR(E3829="CANCELED",E3829="SUSPECTED_FRAUD",F3829="Shipping canceled"),0,1)</x:f>
        <x:v>1</x:v>
      </x:c>
      <x:c r="K3829" s="6" t="n">
        <x:f>IF(G3829&gt;H3829,1,0)</x:f>
        <x:v>1</x:v>
      </x:c>
      <x:c r="L3829" s="6" t="n">
        <x:f>J3829*K3829</x:f>
        <x:v>1</x:v>
      </x:c>
    </x:row>
    <x:row r="3830">
      <x:c r="A3830" s="1" t="n">
        <x:v>28987</x:v>
      </x:c>
      <x:c r="B3830" s="5" t="d">
        <x:v>2016-02-28T00:00:00.000Z</x:v>
      </x:c>
      <x:c r="C3830" s="1" t="str">
        <x:v>Standard Class</x:v>
      </x:c>
      <x:c r="D3830" s="1" t="str">
        <x:v>Pacific Asia</x:v>
      </x:c>
      <x:c r="E3830" s="1" t="str">
        <x:v>PENDING</x:v>
      </x:c>
      <x:c r="F3830" s="1" t="str">
        <x:v>Advance shipping</x:v>
      </x:c>
      <x:c r="G3830" s="6" t="n">
        <x:v>3</x:v>
      </x:c>
      <x:c r="H3830" s="6" t="n">
        <x:v>4</x:v>
      </x:c>
      <x:c r="I3830" s="6" t="n">
        <x:f>G3830-H3830</x:f>
        <x:v>-1</x:v>
      </x:c>
      <x:c r="J3830" s="6" t="n">
        <x:f>IF(OR(E3830="CANCELED",E3830="SUSPECTED_FRAUD",F3830="Shipping canceled"),0,1)</x:f>
        <x:v>1</x:v>
      </x:c>
      <x:c r="K3830" s="6" t="n">
        <x:f>IF(G3830&gt;H3830,1,0)</x:f>
        <x:v>0</x:v>
      </x:c>
      <x:c r="L3830" s="6" t="n">
        <x:f>J3830*K3830</x:f>
        <x:v>0</x:v>
      </x:c>
    </x:row>
    <x:row r="3831">
      <x:c r="A3831" s="1" t="n">
        <x:v>28988</x:v>
      </x:c>
      <x:c r="B3831" s="5" t="d">
        <x:v>2016-02-28T00:00:00.000Z</x:v>
      </x:c>
      <x:c r="C3831" s="1" t="str">
        <x:v>Standard Class</x:v>
      </x:c>
      <x:c r="D3831" s="1" t="str">
        <x:v>Pacific Asia</x:v>
      </x:c>
      <x:c r="E3831" s="1" t="str">
        <x:v>SUSPECTED_FRAUD</x:v>
      </x:c>
      <x:c r="F3831" s="1" t="str">
        <x:v>Shipping canceled</x:v>
      </x:c>
      <x:c r="G3831" s="6" t="n">
        <x:v>4</x:v>
      </x:c>
      <x:c r="H3831" s="6" t="n">
        <x:v>4</x:v>
      </x:c>
      <x:c r="I3831" s="6" t="n">
        <x:f>G3831-H3831</x:f>
        <x:v>0</x:v>
      </x:c>
      <x:c r="J3831" s="6" t="n">
        <x:f>IF(OR(E3831="CANCELED",E3831="SUSPECTED_FRAUD",F3831="Shipping canceled"),0,1)</x:f>
        <x:v>0</x:v>
      </x:c>
      <x:c r="K3831" s="6" t="n">
        <x:f>IF(G3831&gt;H3831,1,0)</x:f>
        <x:v>0</x:v>
      </x:c>
      <x:c r="L3831" s="6" t="n">
        <x:f>J3831*K3831</x:f>
        <x:v>0</x:v>
      </x:c>
    </x:row>
    <x:row r="3832">
      <x:c r="A3832" s="1" t="n">
        <x:v>28992</x:v>
      </x:c>
      <x:c r="B3832" s="5" t="d">
        <x:v>2016-02-28T00:00:00.000Z</x:v>
      </x:c>
      <x:c r="C3832" s="1" t="str">
        <x:v>Standard Class</x:v>
      </x:c>
      <x:c r="D3832" s="1" t="str">
        <x:v>Pacific Asia</x:v>
      </x:c>
      <x:c r="E3832" s="1" t="str">
        <x:v>PROCESSING</x:v>
      </x:c>
      <x:c r="F3832" s="1" t="str">
        <x:v>Advance shipping</x:v>
      </x:c>
      <x:c r="G3832" s="6" t="n">
        <x:v>3</x:v>
      </x:c>
      <x:c r="H3832" s="6" t="n">
        <x:v>4</x:v>
      </x:c>
      <x:c r="I3832" s="6" t="n">
        <x:f>G3832-H3832</x:f>
        <x:v>-1</x:v>
      </x:c>
      <x:c r="J3832" s="6" t="n">
        <x:f>IF(OR(E3832="CANCELED",E3832="SUSPECTED_FRAUD",F3832="Shipping canceled"),0,1)</x:f>
        <x:v>1</x:v>
      </x:c>
      <x:c r="K3832" s="6" t="n">
        <x:f>IF(G3832&gt;H3832,1,0)</x:f>
        <x:v>0</x:v>
      </x:c>
      <x:c r="L3832" s="6" t="n">
        <x:f>J3832*K3832</x:f>
        <x:v>0</x:v>
      </x:c>
    </x:row>
    <x:row r="3833">
      <x:c r="A3833" s="1" t="n">
        <x:v>28994</x:v>
      </x:c>
      <x:c r="B3833" s="5" t="d">
        <x:v>2016-02-28T00:00:00.000Z</x:v>
      </x:c>
      <x:c r="C3833" s="1" t="str">
        <x:v>Standard Class</x:v>
      </x:c>
      <x:c r="D3833" s="1" t="str">
        <x:v>Pacific Asia</x:v>
      </x:c>
      <x:c r="E3833" s="1" t="str">
        <x:v>PROCESSING</x:v>
      </x:c>
      <x:c r="F3833" s="1" t="str">
        <x:v>Late delivery</x:v>
      </x:c>
      <x:c r="G3833" s="6" t="n">
        <x:v>5</x:v>
      </x:c>
      <x:c r="H3833" s="6" t="n">
        <x:v>4</x:v>
      </x:c>
      <x:c r="I3833" s="6" t="n">
        <x:f>G3833-H3833</x:f>
        <x:v>1</x:v>
      </x:c>
      <x:c r="J3833" s="6" t="n">
        <x:f>IF(OR(E3833="CANCELED",E3833="SUSPECTED_FRAUD",F3833="Shipping canceled"),0,1)</x:f>
        <x:v>1</x:v>
      </x:c>
      <x:c r="K3833" s="6" t="n">
        <x:f>IF(G3833&gt;H3833,1,0)</x:f>
        <x:v>1</x:v>
      </x:c>
      <x:c r="L3833" s="6" t="n">
        <x:f>J3833*K3833</x:f>
        <x:v>1</x:v>
      </x:c>
    </x:row>
    <x:row r="3834">
      <x:c r="A3834" s="1" t="n">
        <x:v>29012</x:v>
      </x:c>
      <x:c r="B3834" s="5" t="d">
        <x:v>2016-02-28T00:00:00.000Z</x:v>
      </x:c>
      <x:c r="C3834" s="1" t="str">
        <x:v>Same Day</x:v>
      </x:c>
      <x:c r="D3834" s="1" t="str">
        <x:v>Pacific Asia</x:v>
      </x:c>
      <x:c r="E3834" s="1" t="str">
        <x:v>PENDING</x:v>
      </x:c>
      <x:c r="F3834" s="1" t="str">
        <x:v>Shipping on time</x:v>
      </x:c>
      <x:c r="G3834" s="6" t="n">
        <x:v>0</x:v>
      </x:c>
      <x:c r="H3834" s="6" t="n">
        <x:v>0</x:v>
      </x:c>
      <x:c r="I3834" s="6" t="n">
        <x:f>G3834-H3834</x:f>
        <x:v>0</x:v>
      </x:c>
      <x:c r="J3834" s="6" t="n">
        <x:f>IF(OR(E3834="CANCELED",E3834="SUSPECTED_FRAUD",F3834="Shipping canceled"),0,1)</x:f>
        <x:v>1</x:v>
      </x:c>
      <x:c r="K3834" s="6" t="n">
        <x:f>IF(G3834&gt;H3834,1,0)</x:f>
        <x:v>0</x:v>
      </x:c>
      <x:c r="L3834" s="6" t="n">
        <x:f>J3834*K3834</x:f>
        <x:v>0</x:v>
      </x:c>
    </x:row>
    <x:row r="3835">
      <x:c r="A3835" s="1" t="n">
        <x:v>29019</x:v>
      </x:c>
      <x:c r="B3835" s="5" t="d">
        <x:v>2016-02-28T00:00:00.000Z</x:v>
      </x:c>
      <x:c r="C3835" s="1" t="str">
        <x:v>Standard Class</x:v>
      </x:c>
      <x:c r="D3835" s="1" t="str">
        <x:v>Pacific Asia</x:v>
      </x:c>
      <x:c r="E3835" s="1" t="str">
        <x:v>COMPLETE</x:v>
      </x:c>
      <x:c r="F3835" s="1" t="str">
        <x:v>Late delivery</x:v>
      </x:c>
      <x:c r="G3835" s="6" t="n">
        <x:v>5</x:v>
      </x:c>
      <x:c r="H3835" s="6" t="n">
        <x:v>4</x:v>
      </x:c>
      <x:c r="I3835" s="6" t="n">
        <x:f>G3835-H3835</x:f>
        <x:v>1</x:v>
      </x:c>
      <x:c r="J3835" s="6" t="n">
        <x:f>IF(OR(E3835="CANCELED",E3835="SUSPECTED_FRAUD",F3835="Shipping canceled"),0,1)</x:f>
        <x:v>1</x:v>
      </x:c>
      <x:c r="K3835" s="6" t="n">
        <x:f>IF(G3835&gt;H3835,1,0)</x:f>
        <x:v>1</x:v>
      </x:c>
      <x:c r="L3835" s="6" t="n">
        <x:f>J3835*K3835</x:f>
        <x:v>1</x:v>
      </x:c>
    </x:row>
    <x:row r="3836">
      <x:c r="A3836" s="1" t="n">
        <x:v>29025</x:v>
      </x:c>
      <x:c r="B3836" s="5" t="d">
        <x:v>2016-02-28T00:00:00.000Z</x:v>
      </x:c>
      <x:c r="C3836" s="1" t="str">
        <x:v>Standard Class</x:v>
      </x:c>
      <x:c r="D3836" s="1" t="str">
        <x:v>Pacific Asia</x:v>
      </x:c>
      <x:c r="E3836" s="1" t="str">
        <x:v>COMPLETE</x:v>
      </x:c>
      <x:c r="F3836" s="1" t="str">
        <x:v>Late delivery</x:v>
      </x:c>
      <x:c r="G3836" s="6" t="n">
        <x:v>6</x:v>
      </x:c>
      <x:c r="H3836" s="6" t="n">
        <x:v>4</x:v>
      </x:c>
      <x:c r="I3836" s="6" t="n">
        <x:f>G3836-H3836</x:f>
        <x:v>2</x:v>
      </x:c>
      <x:c r="J3836" s="6" t="n">
        <x:f>IF(OR(E3836="CANCELED",E3836="SUSPECTED_FRAUD",F3836="Shipping canceled"),0,1)</x:f>
        <x:v>1</x:v>
      </x:c>
      <x:c r="K3836" s="6" t="n">
        <x:f>IF(G3836&gt;H3836,1,0)</x:f>
        <x:v>1</x:v>
      </x:c>
      <x:c r="L3836" s="6" t="n">
        <x:f>J3836*K3836</x:f>
        <x:v>1</x:v>
      </x:c>
    </x:row>
    <x:row r="3837">
      <x:c r="A3837" s="1" t="n">
        <x:v>29031</x:v>
      </x:c>
      <x:c r="B3837" s="5" t="d">
        <x:v>2016-02-28T00:00:00.000Z</x:v>
      </x:c>
      <x:c r="C3837" s="1" t="str">
        <x:v>Standard Class</x:v>
      </x:c>
      <x:c r="D3837" s="1" t="str">
        <x:v>Pacific Asia</x:v>
      </x:c>
      <x:c r="E3837" s="1" t="str">
        <x:v>ON_HOLD</x:v>
      </x:c>
      <x:c r="F3837" s="1" t="str">
        <x:v>Advance shipping</x:v>
      </x:c>
      <x:c r="G3837" s="6" t="n">
        <x:v>2</x:v>
      </x:c>
      <x:c r="H3837" s="6" t="n">
        <x:v>4</x:v>
      </x:c>
      <x:c r="I3837" s="6" t="n">
        <x:f>G3837-H3837</x:f>
        <x:v>-2</x:v>
      </x:c>
      <x:c r="J3837" s="6" t="n">
        <x:f>IF(OR(E3837="CANCELED",E3837="SUSPECTED_FRAUD",F3837="Shipping canceled"),0,1)</x:f>
        <x:v>1</x:v>
      </x:c>
      <x:c r="K3837" s="6" t="n">
        <x:f>IF(G3837&gt;H3837,1,0)</x:f>
        <x:v>0</x:v>
      </x:c>
      <x:c r="L3837" s="6" t="n">
        <x:f>J3837*K3837</x:f>
        <x:v>0</x:v>
      </x:c>
    </x:row>
    <x:row r="3838">
      <x:c r="A3838" s="1" t="n">
        <x:v>29038</x:v>
      </x:c>
      <x:c r="B3838" s="5" t="d">
        <x:v>2016-02-28T00:00:00.000Z</x:v>
      </x:c>
      <x:c r="C3838" s="1" t="str">
        <x:v>Standard Class</x:v>
      </x:c>
      <x:c r="D3838" s="1" t="str">
        <x:v>Pacific Asia</x:v>
      </x:c>
      <x:c r="E3838" s="1" t="str">
        <x:v>COMPLETE</x:v>
      </x:c>
      <x:c r="F3838" s="1" t="str">
        <x:v>Shipping on time</x:v>
      </x:c>
      <x:c r="G3838" s="6" t="n">
        <x:v>4</x:v>
      </x:c>
      <x:c r="H3838" s="6" t="n">
        <x:v>4</x:v>
      </x:c>
      <x:c r="I3838" s="6" t="n">
        <x:f>G3838-H3838</x:f>
        <x:v>0</x:v>
      </x:c>
      <x:c r="J3838" s="6" t="n">
        <x:f>IF(OR(E3838="CANCELED",E3838="SUSPECTED_FRAUD",F3838="Shipping canceled"),0,1)</x:f>
        <x:v>1</x:v>
      </x:c>
      <x:c r="K3838" s="6" t="n">
        <x:f>IF(G3838&gt;H3838,1,0)</x:f>
        <x:v>0</x:v>
      </x:c>
      <x:c r="L3838" s="6" t="n">
        <x:f>J3838*K3838</x:f>
        <x:v>0</x:v>
      </x:c>
    </x:row>
    <x:row r="3839">
      <x:c r="A3839" s="1" t="n">
        <x:v>29060</x:v>
      </x:c>
      <x:c r="B3839" s="5" t="d">
        <x:v>2016-02-29T00:00:00.000Z</x:v>
      </x:c>
      <x:c r="C3839" s="1" t="str">
        <x:v>First Class</x:v>
      </x:c>
      <x:c r="D3839" s="1" t="str">
        <x:v>Pacific Asia</x:v>
      </x:c>
      <x:c r="E3839" s="1" t="str">
        <x:v>PROCESSING</x:v>
      </x:c>
      <x:c r="F3839" s="1" t="str">
        <x:v>Late delivery</x:v>
      </x:c>
      <x:c r="G3839" s="6" t="n">
        <x:v>2</x:v>
      </x:c>
      <x:c r="H3839" s="6" t="n">
        <x:v>1</x:v>
      </x:c>
      <x:c r="I3839" s="6" t="n">
        <x:f>G3839-H3839</x:f>
        <x:v>1</x:v>
      </x:c>
      <x:c r="J3839" s="6" t="n">
        <x:f>IF(OR(E3839="CANCELED",E3839="SUSPECTED_FRAUD",F3839="Shipping canceled"),0,1)</x:f>
        <x:v>1</x:v>
      </x:c>
      <x:c r="K3839" s="6" t="n">
        <x:f>IF(G3839&gt;H3839,1,0)</x:f>
        <x:v>1</x:v>
      </x:c>
      <x:c r="L3839" s="6" t="n">
        <x:f>J3839*K3839</x:f>
        <x:v>1</x:v>
      </x:c>
    </x:row>
    <x:row r="3840">
      <x:c r="A3840" s="1" t="n">
        <x:v>29065</x:v>
      </x:c>
      <x:c r="B3840" s="5" t="d">
        <x:v>2016-02-29T00:00:00.000Z</x:v>
      </x:c>
      <x:c r="C3840" s="1" t="str">
        <x:v>Standard Class</x:v>
      </x:c>
      <x:c r="D3840" s="1" t="str">
        <x:v>Pacific Asia</x:v>
      </x:c>
      <x:c r="E3840" s="1" t="str">
        <x:v>PENDING_PAYMENT</x:v>
      </x:c>
      <x:c r="F3840" s="1" t="str">
        <x:v>Late delivery</x:v>
      </x:c>
      <x:c r="G3840" s="6" t="n">
        <x:v>6</x:v>
      </x:c>
      <x:c r="H3840" s="6" t="n">
        <x:v>4</x:v>
      </x:c>
      <x:c r="I3840" s="6" t="n">
        <x:f>G3840-H3840</x:f>
        <x:v>2</x:v>
      </x:c>
      <x:c r="J3840" s="6" t="n">
        <x:f>IF(OR(E3840="CANCELED",E3840="SUSPECTED_FRAUD",F3840="Shipping canceled"),0,1)</x:f>
        <x:v>1</x:v>
      </x:c>
      <x:c r="K3840" s="6" t="n">
        <x:f>IF(G3840&gt;H3840,1,0)</x:f>
        <x:v>1</x:v>
      </x:c>
      <x:c r="L3840" s="6" t="n">
        <x:f>J3840*K3840</x:f>
        <x:v>1</x:v>
      </x:c>
    </x:row>
    <x:row r="3841">
      <x:c r="A3841" s="1" t="n">
        <x:v>29082</x:v>
      </x:c>
      <x:c r="B3841" s="5" t="d">
        <x:v>2016-02-29T00:00:00.000Z</x:v>
      </x:c>
      <x:c r="C3841" s="1" t="str">
        <x:v>Second Class</x:v>
      </x:c>
      <x:c r="D3841" s="1" t="str">
        <x:v>Pacific Asia</x:v>
      </x:c>
      <x:c r="E3841" s="1" t="str">
        <x:v>COMPLETE</x:v>
      </x:c>
      <x:c r="F3841" s="1" t="str">
        <x:v>Late delivery</x:v>
      </x:c>
      <x:c r="G3841" s="6" t="n">
        <x:v>3</x:v>
      </x:c>
      <x:c r="H3841" s="6" t="n">
        <x:v>2</x:v>
      </x:c>
      <x:c r="I3841" s="6" t="n">
        <x:f>G3841-H3841</x:f>
        <x:v>1</x:v>
      </x:c>
      <x:c r="J3841" s="6" t="n">
        <x:f>IF(OR(E3841="CANCELED",E3841="SUSPECTED_FRAUD",F3841="Shipping canceled"),0,1)</x:f>
        <x:v>1</x:v>
      </x:c>
      <x:c r="K3841" s="6" t="n">
        <x:f>IF(G3841&gt;H3841,1,0)</x:f>
        <x:v>1</x:v>
      </x:c>
      <x:c r="L3841" s="6" t="n">
        <x:f>J3841*K3841</x:f>
        <x:v>1</x:v>
      </x:c>
    </x:row>
    <x:row r="3842">
      <x:c r="A3842" s="1" t="n">
        <x:v>29089</x:v>
      </x:c>
      <x:c r="B3842" s="5" t="d">
        <x:v>2016-02-29T00:00:00.000Z</x:v>
      </x:c>
      <x:c r="C3842" s="1" t="str">
        <x:v>Standard Class</x:v>
      </x:c>
      <x:c r="D3842" s="1" t="str">
        <x:v>Pacific Asia</x:v>
      </x:c>
      <x:c r="E3842" s="1" t="str">
        <x:v>ON_HOLD</x:v>
      </x:c>
      <x:c r="F3842" s="1" t="str">
        <x:v>Late delivery</x:v>
      </x:c>
      <x:c r="G3842" s="6" t="n">
        <x:v>5</x:v>
      </x:c>
      <x:c r="H3842" s="6" t="n">
        <x:v>4</x:v>
      </x:c>
      <x:c r="I3842" s="6" t="n">
        <x:f>G3842-H3842</x:f>
        <x:v>1</x:v>
      </x:c>
      <x:c r="J3842" s="6" t="n">
        <x:f>IF(OR(E3842="CANCELED",E3842="SUSPECTED_FRAUD",F3842="Shipping canceled"),0,1)</x:f>
        <x:v>1</x:v>
      </x:c>
      <x:c r="K3842" s="6" t="n">
        <x:f>IF(G3842&gt;H3842,1,0)</x:f>
        <x:v>1</x:v>
      </x:c>
      <x:c r="L3842" s="6" t="n">
        <x:f>J3842*K3842</x:f>
        <x:v>1</x:v>
      </x:c>
    </x:row>
    <x:row r="3843">
      <x:c r="A3843" s="1" t="n">
        <x:v>29091</x:v>
      </x:c>
      <x:c r="B3843" s="5" t="d">
        <x:v>2016-02-29T00:00:00.000Z</x:v>
      </x:c>
      <x:c r="C3843" s="1" t="str">
        <x:v>Standard Class</x:v>
      </x:c>
      <x:c r="D3843" s="1" t="str">
        <x:v>Pacific Asia</x:v>
      </x:c>
      <x:c r="E3843" s="1" t="str">
        <x:v>PENDING_PAYMENT</x:v>
      </x:c>
      <x:c r="F3843" s="1" t="str">
        <x:v>Advance shipping</x:v>
      </x:c>
      <x:c r="G3843" s="6" t="n">
        <x:v>2</x:v>
      </x:c>
      <x:c r="H3843" s="6" t="n">
        <x:v>4</x:v>
      </x:c>
      <x:c r="I3843" s="6" t="n">
        <x:f>G3843-H3843</x:f>
        <x:v>-2</x:v>
      </x:c>
      <x:c r="J3843" s="6" t="n">
        <x:f>IF(OR(E3843="CANCELED",E3843="SUSPECTED_FRAUD",F3843="Shipping canceled"),0,1)</x:f>
        <x:v>1</x:v>
      </x:c>
      <x:c r="K3843" s="6" t="n">
        <x:f>IF(G3843&gt;H3843,1,0)</x:f>
        <x:v>0</x:v>
      </x:c>
      <x:c r="L3843" s="6" t="n">
        <x:f>J3843*K3843</x:f>
        <x:v>0</x:v>
      </x:c>
    </x:row>
    <x:row r="3844">
      <x:c r="A3844" s="1" t="n">
        <x:v>29093</x:v>
      </x:c>
      <x:c r="B3844" s="5" t="d">
        <x:v>2016-02-29T00:00:00.000Z</x:v>
      </x:c>
      <x:c r="C3844" s="1" t="str">
        <x:v>Standard Class</x:v>
      </x:c>
      <x:c r="D3844" s="1" t="str">
        <x:v>Pacific Asia</x:v>
      </x:c>
      <x:c r="E3844" s="1" t="str">
        <x:v>COMPLETE</x:v>
      </x:c>
      <x:c r="F3844" s="1" t="str">
        <x:v>Shipping on time</x:v>
      </x:c>
      <x:c r="G3844" s="6" t="n">
        <x:v>4</x:v>
      </x:c>
      <x:c r="H3844" s="6" t="n">
        <x:v>4</x:v>
      </x:c>
      <x:c r="I3844" s="6" t="n">
        <x:f>G3844-H3844</x:f>
        <x:v>0</x:v>
      </x:c>
      <x:c r="J3844" s="6" t="n">
        <x:f>IF(OR(E3844="CANCELED",E3844="SUSPECTED_FRAUD",F3844="Shipping canceled"),0,1)</x:f>
        <x:v>1</x:v>
      </x:c>
      <x:c r="K3844" s="6" t="n">
        <x:f>IF(G3844&gt;H3844,1,0)</x:f>
        <x:v>0</x:v>
      </x:c>
      <x:c r="L3844" s="6" t="n">
        <x:f>J3844*K3844</x:f>
        <x:v>0</x:v>
      </x:c>
    </x:row>
    <x:row r="3845">
      <x:c r="A3845" s="1" t="n">
        <x:v>29107</x:v>
      </x:c>
      <x:c r="B3845" s="5" t="d">
        <x:v>2016-02-29T00:00:00.000Z</x:v>
      </x:c>
      <x:c r="C3845" s="1" t="str">
        <x:v>Standard Class</x:v>
      </x:c>
      <x:c r="D3845" s="1" t="str">
        <x:v>Pacific Asia</x:v>
      </x:c>
      <x:c r="E3845" s="1" t="str">
        <x:v>PENDING</x:v>
      </x:c>
      <x:c r="F3845" s="1" t="str">
        <x:v>Advance shipping</x:v>
      </x:c>
      <x:c r="G3845" s="6" t="n">
        <x:v>3</x:v>
      </x:c>
      <x:c r="H3845" s="6" t="n">
        <x:v>4</x:v>
      </x:c>
      <x:c r="I3845" s="6" t="n">
        <x:f>G3845-H3845</x:f>
        <x:v>-1</x:v>
      </x:c>
      <x:c r="J3845" s="6" t="n">
        <x:f>IF(OR(E3845="CANCELED",E3845="SUSPECTED_FRAUD",F3845="Shipping canceled"),0,1)</x:f>
        <x:v>1</x:v>
      </x:c>
      <x:c r="K3845" s="6" t="n">
        <x:f>IF(G3845&gt;H3845,1,0)</x:f>
        <x:v>0</x:v>
      </x:c>
      <x:c r="L3845" s="6" t="n">
        <x:f>J3845*K3845</x:f>
        <x:v>0</x:v>
      </x:c>
    </x:row>
    <x:row r="3846">
      <x:c r="A3846" s="1" t="n">
        <x:v>29109</x:v>
      </x:c>
      <x:c r="B3846" s="5" t="d">
        <x:v>2016-02-29T00:00:00.000Z</x:v>
      </x:c>
      <x:c r="C3846" s="1" t="str">
        <x:v>Standard Class</x:v>
      </x:c>
      <x:c r="D3846" s="1" t="str">
        <x:v>Pacific Asia</x:v>
      </x:c>
      <x:c r="E3846" s="1" t="str">
        <x:v>ON_HOLD</x:v>
      </x:c>
      <x:c r="F3846" s="1" t="str">
        <x:v>Late delivery</x:v>
      </x:c>
      <x:c r="G3846" s="6" t="n">
        <x:v>5</x:v>
      </x:c>
      <x:c r="H3846" s="6" t="n">
        <x:v>4</x:v>
      </x:c>
      <x:c r="I3846" s="6" t="n">
        <x:f>G3846-H3846</x:f>
        <x:v>1</x:v>
      </x:c>
      <x:c r="J3846" s="6" t="n">
        <x:f>IF(OR(E3846="CANCELED",E3846="SUSPECTED_FRAUD",F3846="Shipping canceled"),0,1)</x:f>
        <x:v>1</x:v>
      </x:c>
      <x:c r="K3846" s="6" t="n">
        <x:f>IF(G3846&gt;H3846,1,0)</x:f>
        <x:v>1</x:v>
      </x:c>
      <x:c r="L3846" s="6" t="n">
        <x:f>J3846*K3846</x:f>
        <x:v>1</x:v>
      </x:c>
    </x:row>
    <x:row r="3847">
      <x:c r="A3847" s="1" t="n">
        <x:v>29110</x:v>
      </x:c>
      <x:c r="B3847" s="5" t="d">
        <x:v>2016-02-29T00:00:00.000Z</x:v>
      </x:c>
      <x:c r="C3847" s="1" t="str">
        <x:v>Standard Class</x:v>
      </x:c>
      <x:c r="D3847" s="1" t="str">
        <x:v>Pacific Asia</x:v>
      </x:c>
      <x:c r="E3847" s="1" t="str">
        <x:v>COMPLETE</x:v>
      </x:c>
      <x:c r="F3847" s="1" t="str">
        <x:v>Late delivery</x:v>
      </x:c>
      <x:c r="G3847" s="6" t="n">
        <x:v>6</x:v>
      </x:c>
      <x:c r="H3847" s="6" t="n">
        <x:v>4</x:v>
      </x:c>
      <x:c r="I3847" s="6" t="n">
        <x:f>G3847-H3847</x:f>
        <x:v>2</x:v>
      </x:c>
      <x:c r="J3847" s="6" t="n">
        <x:f>IF(OR(E3847="CANCELED",E3847="SUSPECTED_FRAUD",F3847="Shipping canceled"),0,1)</x:f>
        <x:v>1</x:v>
      </x:c>
      <x:c r="K3847" s="6" t="n">
        <x:f>IF(G3847&gt;H3847,1,0)</x:f>
        <x:v>1</x:v>
      </x:c>
      <x:c r="L3847" s="6" t="n">
        <x:f>J3847*K3847</x:f>
        <x:v>1</x:v>
      </x:c>
    </x:row>
    <x:row r="3848">
      <x:c r="A3848" s="1" t="n">
        <x:v>29129</x:v>
      </x:c>
      <x:c r="B3848" s="5" t="d">
        <x:v>2016-03-01T00:00:00.000Z</x:v>
      </x:c>
      <x:c r="C3848" s="1" t="str">
        <x:v>First Class</x:v>
      </x:c>
      <x:c r="D3848" s="1" t="str">
        <x:v>Pacific Asia</x:v>
      </x:c>
      <x:c r="E3848" s="1" t="str">
        <x:v>PENDING</x:v>
      </x:c>
      <x:c r="F3848" s="1" t="str">
        <x:v>Late delivery</x:v>
      </x:c>
      <x:c r="G3848" s="6" t="n">
        <x:v>2</x:v>
      </x:c>
      <x:c r="H3848" s="6" t="n">
        <x:v>1</x:v>
      </x:c>
      <x:c r="I3848" s="6" t="n">
        <x:f>G3848-H3848</x:f>
        <x:v>1</x:v>
      </x:c>
      <x:c r="J3848" s="6" t="n">
        <x:f>IF(OR(E3848="CANCELED",E3848="SUSPECTED_FRAUD",F3848="Shipping canceled"),0,1)</x:f>
        <x:v>1</x:v>
      </x:c>
      <x:c r="K3848" s="6" t="n">
        <x:f>IF(G3848&gt;H3848,1,0)</x:f>
        <x:v>1</x:v>
      </x:c>
      <x:c r="L3848" s="6" t="n">
        <x:f>J3848*K3848</x:f>
        <x:v>1</x:v>
      </x:c>
    </x:row>
    <x:row r="3849">
      <x:c r="A3849" s="1" t="n">
        <x:v>29133</x:v>
      </x:c>
      <x:c r="B3849" s="5" t="d">
        <x:v>2016-03-01T00:00:00.000Z</x:v>
      </x:c>
      <x:c r="C3849" s="1" t="str">
        <x:v>Standard Class</x:v>
      </x:c>
      <x:c r="D3849" s="1" t="str">
        <x:v>Pacific Asia</x:v>
      </x:c>
      <x:c r="E3849" s="1" t="str">
        <x:v>COMPLETE</x:v>
      </x:c>
      <x:c r="F3849" s="1" t="str">
        <x:v>Shipping on time</x:v>
      </x:c>
      <x:c r="G3849" s="6" t="n">
        <x:v>4</x:v>
      </x:c>
      <x:c r="H3849" s="6" t="n">
        <x:v>4</x:v>
      </x:c>
      <x:c r="I3849" s="6" t="n">
        <x:f>G3849-H3849</x:f>
        <x:v>0</x:v>
      </x:c>
      <x:c r="J3849" s="6" t="n">
        <x:f>IF(OR(E3849="CANCELED",E3849="SUSPECTED_FRAUD",F3849="Shipping canceled"),0,1)</x:f>
        <x:v>1</x:v>
      </x:c>
      <x:c r="K3849" s="6" t="n">
        <x:f>IF(G3849&gt;H3849,1,0)</x:f>
        <x:v>0</x:v>
      </x:c>
      <x:c r="L3849" s="6" t="n">
        <x:f>J3849*K3849</x:f>
        <x:v>0</x:v>
      </x:c>
    </x:row>
    <x:row r="3850">
      <x:c r="A3850" s="1" t="n">
        <x:v>29139</x:v>
      </x:c>
      <x:c r="B3850" s="5" t="d">
        <x:v>2016-03-01T00:00:00.000Z</x:v>
      </x:c>
      <x:c r="C3850" s="1" t="str">
        <x:v>Second Class</x:v>
      </x:c>
      <x:c r="D3850" s="1" t="str">
        <x:v>Pacific Asia</x:v>
      </x:c>
      <x:c r="E3850" s="1" t="str">
        <x:v>PROCESSING</x:v>
      </x:c>
      <x:c r="F3850" s="1" t="str">
        <x:v>Late delivery</x:v>
      </x:c>
      <x:c r="G3850" s="6" t="n">
        <x:v>5</x:v>
      </x:c>
      <x:c r="H3850" s="6" t="n">
        <x:v>2</x:v>
      </x:c>
      <x:c r="I3850" s="6" t="n">
        <x:f>G3850-H3850</x:f>
        <x:v>3</x:v>
      </x:c>
      <x:c r="J3850" s="6" t="n">
        <x:f>IF(OR(E3850="CANCELED",E3850="SUSPECTED_FRAUD",F3850="Shipping canceled"),0,1)</x:f>
        <x:v>1</x:v>
      </x:c>
      <x:c r="K3850" s="6" t="n">
        <x:f>IF(G3850&gt;H3850,1,0)</x:f>
        <x:v>1</x:v>
      </x:c>
      <x:c r="L3850" s="6" t="n">
        <x:f>J3850*K3850</x:f>
        <x:v>1</x:v>
      </x:c>
    </x:row>
    <x:row r="3851">
      <x:c r="A3851" s="1" t="n">
        <x:v>29150</x:v>
      </x:c>
      <x:c r="B3851" s="5" t="d">
        <x:v>2016-03-01T00:00:00.000Z</x:v>
      </x:c>
      <x:c r="C3851" s="1" t="str">
        <x:v>Standard Class</x:v>
      </x:c>
      <x:c r="D3851" s="1" t="str">
        <x:v>Pacific Asia</x:v>
      </x:c>
      <x:c r="E3851" s="1" t="str">
        <x:v>PROCESSING</x:v>
      </x:c>
      <x:c r="F3851" s="1" t="str">
        <x:v>Late delivery</x:v>
      </x:c>
      <x:c r="G3851" s="6" t="n">
        <x:v>6</x:v>
      </x:c>
      <x:c r="H3851" s="6" t="n">
        <x:v>4</x:v>
      </x:c>
      <x:c r="I3851" s="6" t="n">
        <x:f>G3851-H3851</x:f>
        <x:v>2</x:v>
      </x:c>
      <x:c r="J3851" s="6" t="n">
        <x:f>IF(OR(E3851="CANCELED",E3851="SUSPECTED_FRAUD",F3851="Shipping canceled"),0,1)</x:f>
        <x:v>1</x:v>
      </x:c>
      <x:c r="K3851" s="6" t="n">
        <x:f>IF(G3851&gt;H3851,1,0)</x:f>
        <x:v>1</x:v>
      </x:c>
      <x:c r="L3851" s="6" t="n">
        <x:f>J3851*K3851</x:f>
        <x:v>1</x:v>
      </x:c>
    </x:row>
    <x:row r="3852">
      <x:c r="A3852" s="1" t="n">
        <x:v>29165</x:v>
      </x:c>
      <x:c r="B3852" s="5" t="d">
        <x:v>2016-03-01T00:00:00.000Z</x:v>
      </x:c>
      <x:c r="C3852" s="1" t="str">
        <x:v>Second Class</x:v>
      </x:c>
      <x:c r="D3852" s="1" t="str">
        <x:v>Pacific Asia</x:v>
      </x:c>
      <x:c r="E3852" s="1" t="str">
        <x:v>COMPLETE</x:v>
      </x:c>
      <x:c r="F3852" s="1" t="str">
        <x:v>Late delivery</x:v>
      </x:c>
      <x:c r="G3852" s="6" t="n">
        <x:v>6</x:v>
      </x:c>
      <x:c r="H3852" s="6" t="n">
        <x:v>2</x:v>
      </x:c>
      <x:c r="I3852" s="6" t="n">
        <x:f>G3852-H3852</x:f>
        <x:v>4</x:v>
      </x:c>
      <x:c r="J3852" s="6" t="n">
        <x:f>IF(OR(E3852="CANCELED",E3852="SUSPECTED_FRAUD",F3852="Shipping canceled"),0,1)</x:f>
        <x:v>1</x:v>
      </x:c>
      <x:c r="K3852" s="6" t="n">
        <x:f>IF(G3852&gt;H3852,1,0)</x:f>
        <x:v>1</x:v>
      </x:c>
      <x:c r="L3852" s="6" t="n">
        <x:f>J3852*K3852</x:f>
        <x:v>1</x:v>
      </x:c>
    </x:row>
    <x:row r="3853">
      <x:c r="A3853" s="1" t="n">
        <x:v>29181</x:v>
      </x:c>
      <x:c r="B3853" s="5" t="d">
        <x:v>2016-03-01T00:00:00.000Z</x:v>
      </x:c>
      <x:c r="C3853" s="1" t="str">
        <x:v>Standard Class</x:v>
      </x:c>
      <x:c r="D3853" s="1" t="str">
        <x:v>Pacific Asia</x:v>
      </x:c>
      <x:c r="E3853" s="1" t="str">
        <x:v>PROCESSING</x:v>
      </x:c>
      <x:c r="F3853" s="1" t="str">
        <x:v>Advance shipping</x:v>
      </x:c>
      <x:c r="G3853" s="6" t="n">
        <x:v>2</x:v>
      </x:c>
      <x:c r="H3853" s="6" t="n">
        <x:v>4</x:v>
      </x:c>
      <x:c r="I3853" s="6" t="n">
        <x:f>G3853-H3853</x:f>
        <x:v>-2</x:v>
      </x:c>
      <x:c r="J3853" s="6" t="n">
        <x:f>IF(OR(E3853="CANCELED",E3853="SUSPECTED_FRAUD",F3853="Shipping canceled"),0,1)</x:f>
        <x:v>1</x:v>
      </x:c>
      <x:c r="K3853" s="6" t="n">
        <x:f>IF(G3853&gt;H3853,1,0)</x:f>
        <x:v>0</x:v>
      </x:c>
      <x:c r="L3853" s="6" t="n">
        <x:f>J3853*K3853</x:f>
        <x:v>0</x:v>
      </x:c>
    </x:row>
    <x:row r="3854">
      <x:c r="A3854" s="1" t="n">
        <x:v>29198</x:v>
      </x:c>
      <x:c r="B3854" s="5" t="d">
        <x:v>2016-03-02T00:00:00.000Z</x:v>
      </x:c>
      <x:c r="C3854" s="1" t="str">
        <x:v>Standard Class</x:v>
      </x:c>
      <x:c r="D3854" s="1" t="str">
        <x:v>Pacific Asia</x:v>
      </x:c>
      <x:c r="E3854" s="1" t="str">
        <x:v>ON_HOLD</x:v>
      </x:c>
      <x:c r="F3854" s="1" t="str">
        <x:v>Shipping on time</x:v>
      </x:c>
      <x:c r="G3854" s="6" t="n">
        <x:v>4</x:v>
      </x:c>
      <x:c r="H3854" s="6" t="n">
        <x:v>4</x:v>
      </x:c>
      <x:c r="I3854" s="6" t="n">
        <x:f>G3854-H3854</x:f>
        <x:v>0</x:v>
      </x:c>
      <x:c r="J3854" s="6" t="n">
        <x:f>IF(OR(E3854="CANCELED",E3854="SUSPECTED_FRAUD",F3854="Shipping canceled"),0,1)</x:f>
        <x:v>1</x:v>
      </x:c>
      <x:c r="K3854" s="6" t="n">
        <x:f>IF(G3854&gt;H3854,1,0)</x:f>
        <x:v>0</x:v>
      </x:c>
      <x:c r="L3854" s="6" t="n">
        <x:f>J3854*K3854</x:f>
        <x:v>0</x:v>
      </x:c>
    </x:row>
    <x:row r="3855">
      <x:c r="A3855" s="1" t="n">
        <x:v>29200</x:v>
      </x:c>
      <x:c r="B3855" s="5" t="d">
        <x:v>2016-03-02T00:00:00.000Z</x:v>
      </x:c>
      <x:c r="C3855" s="1" t="str">
        <x:v>Standard Class</x:v>
      </x:c>
      <x:c r="D3855" s="1" t="str">
        <x:v>Pacific Asia</x:v>
      </x:c>
      <x:c r="E3855" s="1" t="str">
        <x:v>COMPLETE</x:v>
      </x:c>
      <x:c r="F3855" s="1" t="str">
        <x:v>Late delivery</x:v>
      </x:c>
      <x:c r="G3855" s="6" t="n">
        <x:v>6</x:v>
      </x:c>
      <x:c r="H3855" s="6" t="n">
        <x:v>4</x:v>
      </x:c>
      <x:c r="I3855" s="6" t="n">
        <x:f>G3855-H3855</x:f>
        <x:v>2</x:v>
      </x:c>
      <x:c r="J3855" s="6" t="n">
        <x:f>IF(OR(E3855="CANCELED",E3855="SUSPECTED_FRAUD",F3855="Shipping canceled"),0,1)</x:f>
        <x:v>1</x:v>
      </x:c>
      <x:c r="K3855" s="6" t="n">
        <x:f>IF(G3855&gt;H3855,1,0)</x:f>
        <x:v>1</x:v>
      </x:c>
      <x:c r="L3855" s="6" t="n">
        <x:f>J3855*K3855</x:f>
        <x:v>1</x:v>
      </x:c>
    </x:row>
    <x:row r="3856">
      <x:c r="A3856" s="1" t="n">
        <x:v>29203</x:v>
      </x:c>
      <x:c r="B3856" s="5" t="d">
        <x:v>2016-03-02T00:00:00.000Z</x:v>
      </x:c>
      <x:c r="C3856" s="1" t="str">
        <x:v>Standard Class</x:v>
      </x:c>
      <x:c r="D3856" s="1" t="str">
        <x:v>Pacific Asia</x:v>
      </x:c>
      <x:c r="E3856" s="1" t="str">
        <x:v>PROCESSING</x:v>
      </x:c>
      <x:c r="F3856" s="1" t="str">
        <x:v>Shipping on time</x:v>
      </x:c>
      <x:c r="G3856" s="6" t="n">
        <x:v>4</x:v>
      </x:c>
      <x:c r="H3856" s="6" t="n">
        <x:v>4</x:v>
      </x:c>
      <x:c r="I3856" s="6" t="n">
        <x:f>G3856-H3856</x:f>
        <x:v>0</x:v>
      </x:c>
      <x:c r="J3856" s="6" t="n">
        <x:f>IF(OR(E3856="CANCELED",E3856="SUSPECTED_FRAUD",F3856="Shipping canceled"),0,1)</x:f>
        <x:v>1</x:v>
      </x:c>
      <x:c r="K3856" s="6" t="n">
        <x:f>IF(G3856&gt;H3856,1,0)</x:f>
        <x:v>0</x:v>
      </x:c>
      <x:c r="L3856" s="6" t="n">
        <x:f>J3856*K3856</x:f>
        <x:v>0</x:v>
      </x:c>
    </x:row>
    <x:row r="3857">
      <x:c r="A3857" s="1" t="n">
        <x:v>29206</x:v>
      </x:c>
      <x:c r="B3857" s="5" t="d">
        <x:v>2016-03-02T00:00:00.000Z</x:v>
      </x:c>
      <x:c r="C3857" s="1" t="str">
        <x:v>Standard Class</x:v>
      </x:c>
      <x:c r="D3857" s="1" t="str">
        <x:v>Pacific Asia</x:v>
      </x:c>
      <x:c r="E3857" s="1" t="str">
        <x:v>PENDING_PAYMENT</x:v>
      </x:c>
      <x:c r="F3857" s="1" t="str">
        <x:v>Advance shipping</x:v>
      </x:c>
      <x:c r="G3857" s="6" t="n">
        <x:v>2</x:v>
      </x:c>
      <x:c r="H3857" s="6" t="n">
        <x:v>4</x:v>
      </x:c>
      <x:c r="I3857" s="6" t="n">
        <x:f>G3857-H3857</x:f>
        <x:v>-2</x:v>
      </x:c>
      <x:c r="J3857" s="6" t="n">
        <x:f>IF(OR(E3857="CANCELED",E3857="SUSPECTED_FRAUD",F3857="Shipping canceled"),0,1)</x:f>
        <x:v>1</x:v>
      </x:c>
      <x:c r="K3857" s="6" t="n">
        <x:f>IF(G3857&gt;H3857,1,0)</x:f>
        <x:v>0</x:v>
      </x:c>
      <x:c r="L3857" s="6" t="n">
        <x:f>J3857*K3857</x:f>
        <x:v>0</x:v>
      </x:c>
    </x:row>
    <x:row r="3858">
      <x:c r="A3858" s="1" t="n">
        <x:v>29220</x:v>
      </x:c>
      <x:c r="B3858" s="5" t="d">
        <x:v>2016-03-02T00:00:00.000Z</x:v>
      </x:c>
      <x:c r="C3858" s="1" t="str">
        <x:v>Standard Class</x:v>
      </x:c>
      <x:c r="D3858" s="1" t="str">
        <x:v>Pacific Asia</x:v>
      </x:c>
      <x:c r="E3858" s="1" t="str">
        <x:v>COMPLETE</x:v>
      </x:c>
      <x:c r="F3858" s="1" t="str">
        <x:v>Late delivery</x:v>
      </x:c>
      <x:c r="G3858" s="6" t="n">
        <x:v>6</x:v>
      </x:c>
      <x:c r="H3858" s="6" t="n">
        <x:v>4</x:v>
      </x:c>
      <x:c r="I3858" s="6" t="n">
        <x:f>G3858-H3858</x:f>
        <x:v>2</x:v>
      </x:c>
      <x:c r="J3858" s="6" t="n">
        <x:f>IF(OR(E3858="CANCELED",E3858="SUSPECTED_FRAUD",F3858="Shipping canceled"),0,1)</x:f>
        <x:v>1</x:v>
      </x:c>
      <x:c r="K3858" s="6" t="n">
        <x:f>IF(G3858&gt;H3858,1,0)</x:f>
        <x:v>1</x:v>
      </x:c>
      <x:c r="L3858" s="6" t="n">
        <x:f>J3858*K3858</x:f>
        <x:v>1</x:v>
      </x:c>
    </x:row>
    <x:row r="3859">
      <x:c r="A3859" s="1" t="n">
        <x:v>29228</x:v>
      </x:c>
      <x:c r="B3859" s="5" t="d">
        <x:v>2016-03-02T00:00:00.000Z</x:v>
      </x:c>
      <x:c r="C3859" s="1" t="str">
        <x:v>Second Class</x:v>
      </x:c>
      <x:c r="D3859" s="1" t="str">
        <x:v>Pacific Asia</x:v>
      </x:c>
      <x:c r="E3859" s="1" t="str">
        <x:v>COMPLETE</x:v>
      </x:c>
      <x:c r="F3859" s="1" t="str">
        <x:v>Late delivery</x:v>
      </x:c>
      <x:c r="G3859" s="6" t="n">
        <x:v>4</x:v>
      </x:c>
      <x:c r="H3859" s="6" t="n">
        <x:v>2</x:v>
      </x:c>
      <x:c r="I3859" s="6" t="n">
        <x:f>G3859-H3859</x:f>
        <x:v>2</x:v>
      </x:c>
      <x:c r="J3859" s="6" t="n">
        <x:f>IF(OR(E3859="CANCELED",E3859="SUSPECTED_FRAUD",F3859="Shipping canceled"),0,1)</x:f>
        <x:v>1</x:v>
      </x:c>
      <x:c r="K3859" s="6" t="n">
        <x:f>IF(G3859&gt;H3859,1,0)</x:f>
        <x:v>1</x:v>
      </x:c>
      <x:c r="L3859" s="6" t="n">
        <x:f>J3859*K3859</x:f>
        <x:v>1</x:v>
      </x:c>
    </x:row>
    <x:row r="3860">
      <x:c r="A3860" s="1" t="n">
        <x:v>29229</x:v>
      </x:c>
      <x:c r="B3860" s="5" t="d">
        <x:v>2016-03-02T00:00:00.000Z</x:v>
      </x:c>
      <x:c r="C3860" s="1" t="str">
        <x:v>Standard Class</x:v>
      </x:c>
      <x:c r="D3860" s="1" t="str">
        <x:v>Pacific Asia</x:v>
      </x:c>
      <x:c r="E3860" s="1" t="str">
        <x:v>PENDING</x:v>
      </x:c>
      <x:c r="F3860" s="1" t="str">
        <x:v>Late delivery</x:v>
      </x:c>
      <x:c r="G3860" s="6" t="n">
        <x:v>5</x:v>
      </x:c>
      <x:c r="H3860" s="6" t="n">
        <x:v>4</x:v>
      </x:c>
      <x:c r="I3860" s="6" t="n">
        <x:f>G3860-H3860</x:f>
        <x:v>1</x:v>
      </x:c>
      <x:c r="J3860" s="6" t="n">
        <x:f>IF(OR(E3860="CANCELED",E3860="SUSPECTED_FRAUD",F3860="Shipping canceled"),0,1)</x:f>
        <x:v>1</x:v>
      </x:c>
      <x:c r="K3860" s="6" t="n">
        <x:f>IF(G3860&gt;H3860,1,0)</x:f>
        <x:v>1</x:v>
      </x:c>
      <x:c r="L3860" s="6" t="n">
        <x:f>J3860*K3860</x:f>
        <x:v>1</x:v>
      </x:c>
    </x:row>
    <x:row r="3861">
      <x:c r="A3861" s="1" t="n">
        <x:v>29230</x:v>
      </x:c>
      <x:c r="B3861" s="5" t="d">
        <x:v>2016-03-02T00:00:00.000Z</x:v>
      </x:c>
      <x:c r="C3861" s="1" t="str">
        <x:v>Standard Class</x:v>
      </x:c>
      <x:c r="D3861" s="1" t="str">
        <x:v>Pacific Asia</x:v>
      </x:c>
      <x:c r="E3861" s="1" t="str">
        <x:v>COMPLETE</x:v>
      </x:c>
      <x:c r="F3861" s="1" t="str">
        <x:v>Late delivery</x:v>
      </x:c>
      <x:c r="G3861" s="6" t="n">
        <x:v>6</x:v>
      </x:c>
      <x:c r="H3861" s="6" t="n">
        <x:v>4</x:v>
      </x:c>
      <x:c r="I3861" s="6" t="n">
        <x:f>G3861-H3861</x:f>
        <x:v>2</x:v>
      </x:c>
      <x:c r="J3861" s="6" t="n">
        <x:f>IF(OR(E3861="CANCELED",E3861="SUSPECTED_FRAUD",F3861="Shipping canceled"),0,1)</x:f>
        <x:v>1</x:v>
      </x:c>
      <x:c r="K3861" s="6" t="n">
        <x:f>IF(G3861&gt;H3861,1,0)</x:f>
        <x:v>1</x:v>
      </x:c>
      <x:c r="L3861" s="6" t="n">
        <x:f>J3861*K3861</x:f>
        <x:v>1</x:v>
      </x:c>
    </x:row>
    <x:row r="3862">
      <x:c r="A3862" s="1" t="n">
        <x:v>29231</x:v>
      </x:c>
      <x:c r="B3862" s="5" t="d">
        <x:v>2016-03-02T00:00:00.000Z</x:v>
      </x:c>
      <x:c r="C3862" s="1" t="str">
        <x:v>Standard Class</x:v>
      </x:c>
      <x:c r="D3862" s="1" t="str">
        <x:v>Pacific Asia</x:v>
      </x:c>
      <x:c r="E3862" s="1" t="str">
        <x:v>COMPLETE</x:v>
      </x:c>
      <x:c r="F3862" s="1" t="str">
        <x:v>Advance shipping</x:v>
      </x:c>
      <x:c r="G3862" s="6" t="n">
        <x:v>2</x:v>
      </x:c>
      <x:c r="H3862" s="6" t="n">
        <x:v>4</x:v>
      </x:c>
      <x:c r="I3862" s="6" t="n">
        <x:f>G3862-H3862</x:f>
        <x:v>-2</x:v>
      </x:c>
      <x:c r="J3862" s="6" t="n">
        <x:f>IF(OR(E3862="CANCELED",E3862="SUSPECTED_FRAUD",F3862="Shipping canceled"),0,1)</x:f>
        <x:v>1</x:v>
      </x:c>
      <x:c r="K3862" s="6" t="n">
        <x:f>IF(G3862&gt;H3862,1,0)</x:f>
        <x:v>0</x:v>
      </x:c>
      <x:c r="L3862" s="6" t="n">
        <x:f>J3862*K3862</x:f>
        <x:v>0</x:v>
      </x:c>
    </x:row>
    <x:row r="3863">
      <x:c r="A3863" s="1" t="n">
        <x:v>29232</x:v>
      </x:c>
      <x:c r="B3863" s="5" t="d">
        <x:v>2016-03-02T00:00:00.000Z</x:v>
      </x:c>
      <x:c r="C3863" s="1" t="str">
        <x:v>Standard Class</x:v>
      </x:c>
      <x:c r="D3863" s="1" t="str">
        <x:v>Pacific Asia</x:v>
      </x:c>
      <x:c r="E3863" s="1" t="str">
        <x:v>ON_HOLD</x:v>
      </x:c>
      <x:c r="F3863" s="1" t="str">
        <x:v>Advance shipping</x:v>
      </x:c>
      <x:c r="G3863" s="6" t="n">
        <x:v>3</x:v>
      </x:c>
      <x:c r="H3863" s="6" t="n">
        <x:v>4</x:v>
      </x:c>
      <x:c r="I3863" s="6" t="n">
        <x:f>G3863-H3863</x:f>
        <x:v>-1</x:v>
      </x:c>
      <x:c r="J3863" s="6" t="n">
        <x:f>IF(OR(E3863="CANCELED",E3863="SUSPECTED_FRAUD",F3863="Shipping canceled"),0,1)</x:f>
        <x:v>1</x:v>
      </x:c>
      <x:c r="K3863" s="6" t="n">
        <x:f>IF(G3863&gt;H3863,1,0)</x:f>
        <x:v>0</x:v>
      </x:c>
      <x:c r="L3863" s="6" t="n">
        <x:f>J3863*K3863</x:f>
        <x:v>0</x:v>
      </x:c>
    </x:row>
    <x:row r="3864">
      <x:c r="A3864" s="1" t="n">
        <x:v>29235</x:v>
      </x:c>
      <x:c r="B3864" s="5" t="d">
        <x:v>2016-03-02T00:00:00.000Z</x:v>
      </x:c>
      <x:c r="C3864" s="1" t="str">
        <x:v>Second Class</x:v>
      </x:c>
      <x:c r="D3864" s="1" t="str">
        <x:v>Pacific Asia</x:v>
      </x:c>
      <x:c r="E3864" s="1" t="str">
        <x:v>PENDING</x:v>
      </x:c>
      <x:c r="F3864" s="1" t="str">
        <x:v>Late delivery</x:v>
      </x:c>
      <x:c r="G3864" s="6" t="n">
        <x:v>6</x:v>
      </x:c>
      <x:c r="H3864" s="6" t="n">
        <x:v>2</x:v>
      </x:c>
      <x:c r="I3864" s="6" t="n">
        <x:f>G3864-H3864</x:f>
        <x:v>4</x:v>
      </x:c>
      <x:c r="J3864" s="6" t="n">
        <x:f>IF(OR(E3864="CANCELED",E3864="SUSPECTED_FRAUD",F3864="Shipping canceled"),0,1)</x:f>
        <x:v>1</x:v>
      </x:c>
      <x:c r="K3864" s="6" t="n">
        <x:f>IF(G3864&gt;H3864,1,0)</x:f>
        <x:v>1</x:v>
      </x:c>
      <x:c r="L3864" s="6" t="n">
        <x:f>J3864*K3864</x:f>
        <x:v>1</x:v>
      </x:c>
    </x:row>
    <x:row r="3865">
      <x:c r="A3865" s="1" t="n">
        <x:v>29248</x:v>
      </x:c>
      <x:c r="B3865" s="5" t="d">
        <x:v>2016-03-02T00:00:00.000Z</x:v>
      </x:c>
      <x:c r="C3865" s="1" t="str">
        <x:v>Standard Class</x:v>
      </x:c>
      <x:c r="D3865" s="1" t="str">
        <x:v>Pacific Asia</x:v>
      </x:c>
      <x:c r="E3865" s="1" t="str">
        <x:v>COMPLETE</x:v>
      </x:c>
      <x:c r="F3865" s="1" t="str">
        <x:v>Shipping on time</x:v>
      </x:c>
      <x:c r="G3865" s="6" t="n">
        <x:v>4</x:v>
      </x:c>
      <x:c r="H3865" s="6" t="n">
        <x:v>4</x:v>
      </x:c>
      <x:c r="I3865" s="6" t="n">
        <x:f>G3865-H3865</x:f>
        <x:v>0</x:v>
      </x:c>
      <x:c r="J3865" s="6" t="n">
        <x:f>IF(OR(E3865="CANCELED",E3865="SUSPECTED_FRAUD",F3865="Shipping canceled"),0,1)</x:f>
        <x:v>1</x:v>
      </x:c>
      <x:c r="K3865" s="6" t="n">
        <x:f>IF(G3865&gt;H3865,1,0)</x:f>
        <x:v>0</x:v>
      </x:c>
      <x:c r="L3865" s="6" t="n">
        <x:f>J3865*K3865</x:f>
        <x:v>0</x:v>
      </x:c>
    </x:row>
    <x:row r="3866">
      <x:c r="A3866" s="1" t="n">
        <x:v>29254</x:v>
      </x:c>
      <x:c r="B3866" s="5" t="d">
        <x:v>2016-03-03T00:00:00.000Z</x:v>
      </x:c>
      <x:c r="C3866" s="1" t="str">
        <x:v>Standard Class</x:v>
      </x:c>
      <x:c r="D3866" s="1" t="str">
        <x:v>Pacific Asia</x:v>
      </x:c>
      <x:c r="E3866" s="1" t="str">
        <x:v>CLOSED</x:v>
      </x:c>
      <x:c r="F3866" s="1" t="str">
        <x:v>Late delivery</x:v>
      </x:c>
      <x:c r="G3866" s="6" t="n">
        <x:v>5</x:v>
      </x:c>
      <x:c r="H3866" s="6" t="n">
        <x:v>4</x:v>
      </x:c>
      <x:c r="I3866" s="6" t="n">
        <x:f>G3866-H3866</x:f>
        <x:v>1</x:v>
      </x:c>
      <x:c r="J3866" s="6" t="n">
        <x:f>IF(OR(E3866="CANCELED",E3866="SUSPECTED_FRAUD",F3866="Shipping canceled"),0,1)</x:f>
        <x:v>1</x:v>
      </x:c>
      <x:c r="K3866" s="6" t="n">
        <x:f>IF(G3866&gt;H3866,1,0)</x:f>
        <x:v>1</x:v>
      </x:c>
      <x:c r="L3866" s="6" t="n">
        <x:f>J3866*K3866</x:f>
        <x:v>1</x:v>
      </x:c>
    </x:row>
    <x:row r="3867">
      <x:c r="A3867" s="1" t="n">
        <x:v>29258</x:v>
      </x:c>
      <x:c r="B3867" s="5" t="d">
        <x:v>2016-03-03T00:00:00.000Z</x:v>
      </x:c>
      <x:c r="C3867" s="1" t="str">
        <x:v>First Class</x:v>
      </x:c>
      <x:c r="D3867" s="1" t="str">
        <x:v>Pacific Asia</x:v>
      </x:c>
      <x:c r="E3867" s="1" t="str">
        <x:v>CLOSED</x:v>
      </x:c>
      <x:c r="F3867" s="1" t="str">
        <x:v>Late delivery</x:v>
      </x:c>
      <x:c r="G3867" s="6" t="n">
        <x:v>2</x:v>
      </x:c>
      <x:c r="H3867" s="6" t="n">
        <x:v>1</x:v>
      </x:c>
      <x:c r="I3867" s="6" t="n">
        <x:f>G3867-H3867</x:f>
        <x:v>1</x:v>
      </x:c>
      <x:c r="J3867" s="6" t="n">
        <x:f>IF(OR(E3867="CANCELED",E3867="SUSPECTED_FRAUD",F3867="Shipping canceled"),0,1)</x:f>
        <x:v>1</x:v>
      </x:c>
      <x:c r="K3867" s="6" t="n">
        <x:f>IF(G3867&gt;H3867,1,0)</x:f>
        <x:v>1</x:v>
      </x:c>
      <x:c r="L3867" s="6" t="n">
        <x:f>J3867*K3867</x:f>
        <x:v>1</x:v>
      </x:c>
    </x:row>
    <x:row r="3868">
      <x:c r="A3868" s="1" t="n">
        <x:v>29260</x:v>
      </x:c>
      <x:c r="B3868" s="5" t="d">
        <x:v>2016-03-03T00:00:00.000Z</x:v>
      </x:c>
      <x:c r="C3868" s="1" t="str">
        <x:v>Standard Class</x:v>
      </x:c>
      <x:c r="D3868" s="1" t="str">
        <x:v>Pacific Asia</x:v>
      </x:c>
      <x:c r="E3868" s="1" t="str">
        <x:v>PROCESSING</x:v>
      </x:c>
      <x:c r="F3868" s="1" t="str">
        <x:v>Late delivery</x:v>
      </x:c>
      <x:c r="G3868" s="6" t="n">
        <x:v>6</x:v>
      </x:c>
      <x:c r="H3868" s="6" t="n">
        <x:v>4</x:v>
      </x:c>
      <x:c r="I3868" s="6" t="n">
        <x:f>G3868-H3868</x:f>
        <x:v>2</x:v>
      </x:c>
      <x:c r="J3868" s="6" t="n">
        <x:f>IF(OR(E3868="CANCELED",E3868="SUSPECTED_FRAUD",F3868="Shipping canceled"),0,1)</x:f>
        <x:v>1</x:v>
      </x:c>
      <x:c r="K3868" s="6" t="n">
        <x:f>IF(G3868&gt;H3868,1,0)</x:f>
        <x:v>1</x:v>
      </x:c>
      <x:c r="L3868" s="6" t="n">
        <x:f>J3868*K3868</x:f>
        <x:v>1</x:v>
      </x:c>
    </x:row>
    <x:row r="3869">
      <x:c r="A3869" s="1" t="n">
        <x:v>29261</x:v>
      </x:c>
      <x:c r="B3869" s="5" t="d">
        <x:v>2016-03-03T00:00:00.000Z</x:v>
      </x:c>
      <x:c r="C3869" s="1" t="str">
        <x:v>Standard Class</x:v>
      </x:c>
      <x:c r="D3869" s="1" t="str">
        <x:v>Pacific Asia</x:v>
      </x:c>
      <x:c r="E3869" s="1" t="str">
        <x:v>COMPLETE</x:v>
      </x:c>
      <x:c r="F3869" s="1" t="str">
        <x:v>Advance shipping</x:v>
      </x:c>
      <x:c r="G3869" s="6" t="n">
        <x:v>2</x:v>
      </x:c>
      <x:c r="H3869" s="6" t="n">
        <x:v>4</x:v>
      </x:c>
      <x:c r="I3869" s="6" t="n">
        <x:f>G3869-H3869</x:f>
        <x:v>-2</x:v>
      </x:c>
      <x:c r="J3869" s="6" t="n">
        <x:f>IF(OR(E3869="CANCELED",E3869="SUSPECTED_FRAUD",F3869="Shipping canceled"),0,1)</x:f>
        <x:v>1</x:v>
      </x:c>
      <x:c r="K3869" s="6" t="n">
        <x:f>IF(G3869&gt;H3869,1,0)</x:f>
        <x:v>0</x:v>
      </x:c>
      <x:c r="L3869" s="6" t="n">
        <x:f>J3869*K3869</x:f>
        <x:v>0</x:v>
      </x:c>
    </x:row>
    <x:row r="3870">
      <x:c r="A3870" s="1" t="n">
        <x:v>29270</x:v>
      </x:c>
      <x:c r="B3870" s="5" t="d">
        <x:v>2016-03-03T00:00:00.000Z</x:v>
      </x:c>
      <x:c r="C3870" s="1" t="str">
        <x:v>Standard Class</x:v>
      </x:c>
      <x:c r="D3870" s="1" t="str">
        <x:v>Pacific Asia</x:v>
      </x:c>
      <x:c r="E3870" s="1" t="str">
        <x:v>PROCESSING</x:v>
      </x:c>
      <x:c r="F3870" s="1" t="str">
        <x:v>Late delivery</x:v>
      </x:c>
      <x:c r="G3870" s="6" t="n">
        <x:v>6</x:v>
      </x:c>
      <x:c r="H3870" s="6" t="n">
        <x:v>4</x:v>
      </x:c>
      <x:c r="I3870" s="6" t="n">
        <x:f>G3870-H3870</x:f>
        <x:v>2</x:v>
      </x:c>
      <x:c r="J3870" s="6" t="n">
        <x:f>IF(OR(E3870="CANCELED",E3870="SUSPECTED_FRAUD",F3870="Shipping canceled"),0,1)</x:f>
        <x:v>1</x:v>
      </x:c>
      <x:c r="K3870" s="6" t="n">
        <x:f>IF(G3870&gt;H3870,1,0)</x:f>
        <x:v>1</x:v>
      </x:c>
      <x:c r="L3870" s="6" t="n">
        <x:f>J3870*K3870</x:f>
        <x:v>1</x:v>
      </x:c>
    </x:row>
    <x:row r="3871">
      <x:c r="A3871" s="1" t="n">
        <x:v>29276</x:v>
      </x:c>
      <x:c r="B3871" s="5" t="d">
        <x:v>2016-03-03T00:00:00.000Z</x:v>
      </x:c>
      <x:c r="C3871" s="1" t="str">
        <x:v>Standard Class</x:v>
      </x:c>
      <x:c r="D3871" s="1" t="str">
        <x:v>Pacific Asia</x:v>
      </x:c>
      <x:c r="E3871" s="1" t="str">
        <x:v>CLOSED</x:v>
      </x:c>
      <x:c r="F3871" s="1" t="str">
        <x:v>Advance shipping</x:v>
      </x:c>
      <x:c r="G3871" s="6" t="n">
        <x:v>2</x:v>
      </x:c>
      <x:c r="H3871" s="6" t="n">
        <x:v>4</x:v>
      </x:c>
      <x:c r="I3871" s="6" t="n">
        <x:f>G3871-H3871</x:f>
        <x:v>-2</x:v>
      </x:c>
      <x:c r="J3871" s="6" t="n">
        <x:f>IF(OR(E3871="CANCELED",E3871="SUSPECTED_FRAUD",F3871="Shipping canceled"),0,1)</x:f>
        <x:v>1</x:v>
      </x:c>
      <x:c r="K3871" s="6" t="n">
        <x:f>IF(G3871&gt;H3871,1,0)</x:f>
        <x:v>0</x:v>
      </x:c>
      <x:c r="L3871" s="6" t="n">
        <x:f>J3871*K3871</x:f>
        <x:v>0</x:v>
      </x:c>
    </x:row>
    <x:row r="3872">
      <x:c r="A3872" s="1" t="n">
        <x:v>29283</x:v>
      </x:c>
      <x:c r="B3872" s="5" t="d">
        <x:v>2016-03-03T00:00:00.000Z</x:v>
      </x:c>
      <x:c r="C3872" s="1" t="str">
        <x:v>Standard Class</x:v>
      </x:c>
      <x:c r="D3872" s="1" t="str">
        <x:v>Pacific Asia</x:v>
      </x:c>
      <x:c r="E3872" s="1" t="str">
        <x:v>COMPLETE</x:v>
      </x:c>
      <x:c r="F3872" s="1" t="str">
        <x:v>Shipping on time</x:v>
      </x:c>
      <x:c r="G3872" s="6" t="n">
        <x:v>4</x:v>
      </x:c>
      <x:c r="H3872" s="6" t="n">
        <x:v>4</x:v>
      </x:c>
      <x:c r="I3872" s="6" t="n">
        <x:f>G3872-H3872</x:f>
        <x:v>0</x:v>
      </x:c>
      <x:c r="J3872" s="6" t="n">
        <x:f>IF(OR(E3872="CANCELED",E3872="SUSPECTED_FRAUD",F3872="Shipping canceled"),0,1)</x:f>
        <x:v>1</x:v>
      </x:c>
      <x:c r="K3872" s="6" t="n">
        <x:f>IF(G3872&gt;H3872,1,0)</x:f>
        <x:v>0</x:v>
      </x:c>
      <x:c r="L3872" s="6" t="n">
        <x:f>J3872*K3872</x:f>
        <x:v>0</x:v>
      </x:c>
    </x:row>
    <x:row r="3873">
      <x:c r="A3873" s="1" t="n">
        <x:v>29286</x:v>
      </x:c>
      <x:c r="B3873" s="5" t="d">
        <x:v>2016-03-03T00:00:00.000Z</x:v>
      </x:c>
      <x:c r="C3873" s="1" t="str">
        <x:v>Standard Class</x:v>
      </x:c>
      <x:c r="D3873" s="1" t="str">
        <x:v>Pacific Asia</x:v>
      </x:c>
      <x:c r="E3873" s="1" t="str">
        <x:v>PROCESSING</x:v>
      </x:c>
      <x:c r="F3873" s="1" t="str">
        <x:v>Advance shipping</x:v>
      </x:c>
      <x:c r="G3873" s="6" t="n">
        <x:v>2</x:v>
      </x:c>
      <x:c r="H3873" s="6" t="n">
        <x:v>4</x:v>
      </x:c>
      <x:c r="I3873" s="6" t="n">
        <x:f>G3873-H3873</x:f>
        <x:v>-2</x:v>
      </x:c>
      <x:c r="J3873" s="6" t="n">
        <x:f>IF(OR(E3873="CANCELED",E3873="SUSPECTED_FRAUD",F3873="Shipping canceled"),0,1)</x:f>
        <x:v>1</x:v>
      </x:c>
      <x:c r="K3873" s="6" t="n">
        <x:f>IF(G3873&gt;H3873,1,0)</x:f>
        <x:v>0</x:v>
      </x:c>
      <x:c r="L3873" s="6" t="n">
        <x:f>J3873*K3873</x:f>
        <x:v>0</x:v>
      </x:c>
    </x:row>
    <x:row r="3874">
      <x:c r="A3874" s="1" t="n">
        <x:v>29302</x:v>
      </x:c>
      <x:c r="B3874" s="5" t="d">
        <x:v>2016-03-03T00:00:00.000Z</x:v>
      </x:c>
      <x:c r="C3874" s="1" t="str">
        <x:v>Standard Class</x:v>
      </x:c>
      <x:c r="D3874" s="1" t="str">
        <x:v>Pacific Asia</x:v>
      </x:c>
      <x:c r="E3874" s="1" t="str">
        <x:v>ON_HOLD</x:v>
      </x:c>
      <x:c r="F3874" s="1" t="str">
        <x:v>Advance shipping</x:v>
      </x:c>
      <x:c r="G3874" s="6" t="n">
        <x:v>3</x:v>
      </x:c>
      <x:c r="H3874" s="6" t="n">
        <x:v>4</x:v>
      </x:c>
      <x:c r="I3874" s="6" t="n">
        <x:f>G3874-H3874</x:f>
        <x:v>-1</x:v>
      </x:c>
      <x:c r="J3874" s="6" t="n">
        <x:f>IF(OR(E3874="CANCELED",E3874="SUSPECTED_FRAUD",F3874="Shipping canceled"),0,1)</x:f>
        <x:v>1</x:v>
      </x:c>
      <x:c r="K3874" s="6" t="n">
        <x:f>IF(G3874&gt;H3874,1,0)</x:f>
        <x:v>0</x:v>
      </x:c>
      <x:c r="L3874" s="6" t="n">
        <x:f>J3874*K3874</x:f>
        <x:v>0</x:v>
      </x:c>
    </x:row>
    <x:row r="3875">
      <x:c r="A3875" s="1" t="n">
        <x:v>29310</x:v>
      </x:c>
      <x:c r="B3875" s="5" t="d">
        <x:v>2016-03-03T00:00:00.000Z</x:v>
      </x:c>
      <x:c r="C3875" s="1" t="str">
        <x:v>Second Class</x:v>
      </x:c>
      <x:c r="D3875" s="1" t="str">
        <x:v>Pacific Asia</x:v>
      </x:c>
      <x:c r="E3875" s="1" t="str">
        <x:v>COMPLETE</x:v>
      </x:c>
      <x:c r="F3875" s="1" t="str">
        <x:v>Late delivery</x:v>
      </x:c>
      <x:c r="G3875" s="6" t="n">
        <x:v>6</x:v>
      </x:c>
      <x:c r="H3875" s="6" t="n">
        <x:v>2</x:v>
      </x:c>
      <x:c r="I3875" s="6" t="n">
        <x:f>G3875-H3875</x:f>
        <x:v>4</x:v>
      </x:c>
      <x:c r="J3875" s="6" t="n">
        <x:f>IF(OR(E3875="CANCELED",E3875="SUSPECTED_FRAUD",F3875="Shipping canceled"),0,1)</x:f>
        <x:v>1</x:v>
      </x:c>
      <x:c r="K3875" s="6" t="n">
        <x:f>IF(G3875&gt;H3875,1,0)</x:f>
        <x:v>1</x:v>
      </x:c>
      <x:c r="L3875" s="6" t="n">
        <x:f>J3875*K3875</x:f>
        <x:v>1</x:v>
      </x:c>
    </x:row>
    <x:row r="3876">
      <x:c r="A3876" s="1" t="n">
        <x:v>29312</x:v>
      </x:c>
      <x:c r="B3876" s="5" t="d">
        <x:v>2016-03-03T00:00:00.000Z</x:v>
      </x:c>
      <x:c r="C3876" s="1" t="str">
        <x:v>Standard Class</x:v>
      </x:c>
      <x:c r="D3876" s="1" t="str">
        <x:v>Pacific Asia</x:v>
      </x:c>
      <x:c r="E3876" s="1" t="str">
        <x:v>COMPLETE</x:v>
      </x:c>
      <x:c r="F3876" s="1" t="str">
        <x:v>Advance shipping</x:v>
      </x:c>
      <x:c r="G3876" s="6" t="n">
        <x:v>3</x:v>
      </x:c>
      <x:c r="H3876" s="6" t="n">
        <x:v>4</x:v>
      </x:c>
      <x:c r="I3876" s="6" t="n">
        <x:f>G3876-H3876</x:f>
        <x:v>-1</x:v>
      </x:c>
      <x:c r="J3876" s="6" t="n">
        <x:f>IF(OR(E3876="CANCELED",E3876="SUSPECTED_FRAUD",F3876="Shipping canceled"),0,1)</x:f>
        <x:v>1</x:v>
      </x:c>
      <x:c r="K3876" s="6" t="n">
        <x:f>IF(G3876&gt;H3876,1,0)</x:f>
        <x:v>0</x:v>
      </x:c>
      <x:c r="L3876" s="6" t="n">
        <x:f>J3876*K3876</x:f>
        <x:v>0</x:v>
      </x:c>
    </x:row>
    <x:row r="3877">
      <x:c r="A3877" s="1" t="n">
        <x:v>29315</x:v>
      </x:c>
      <x:c r="B3877" s="5" t="d">
        <x:v>2016-03-03T00:00:00.000Z</x:v>
      </x:c>
      <x:c r="C3877" s="1" t="str">
        <x:v>Same Day</x:v>
      </x:c>
      <x:c r="D3877" s="1" t="str">
        <x:v>Pacific Asia</x:v>
      </x:c>
      <x:c r="E3877" s="1" t="str">
        <x:v>CLOSED</x:v>
      </x:c>
      <x:c r="F3877" s="1" t="str">
        <x:v>Late delivery</x:v>
      </x:c>
      <x:c r="G3877" s="6" t="n">
        <x:v>1</x:v>
      </x:c>
      <x:c r="H3877" s="6" t="n">
        <x:v>0</x:v>
      </x:c>
      <x:c r="I3877" s="6" t="n">
        <x:f>G3877-H3877</x:f>
        <x:v>1</x:v>
      </x:c>
      <x:c r="J3877" s="6" t="n">
        <x:f>IF(OR(E3877="CANCELED",E3877="SUSPECTED_FRAUD",F3877="Shipping canceled"),0,1)</x:f>
        <x:v>1</x:v>
      </x:c>
      <x:c r="K3877" s="6" t="n">
        <x:f>IF(G3877&gt;H3877,1,0)</x:f>
        <x:v>1</x:v>
      </x:c>
      <x:c r="L3877" s="6" t="n">
        <x:f>J3877*K3877</x:f>
        <x:v>1</x:v>
      </x:c>
    </x:row>
    <x:row r="3878">
      <x:c r="A3878" s="1" t="n">
        <x:v>29316</x:v>
      </x:c>
      <x:c r="B3878" s="5" t="d">
        <x:v>2016-03-03T00:00:00.000Z</x:v>
      </x:c>
      <x:c r="C3878" s="1" t="str">
        <x:v>Standard Class</x:v>
      </x:c>
      <x:c r="D3878" s="1" t="str">
        <x:v>Pacific Asia</x:v>
      </x:c>
      <x:c r="E3878" s="1" t="str">
        <x:v>COMPLETE</x:v>
      </x:c>
      <x:c r="F3878" s="1" t="str">
        <x:v>Advance shipping</x:v>
      </x:c>
      <x:c r="G3878" s="6" t="n">
        <x:v>2</x:v>
      </x:c>
      <x:c r="H3878" s="6" t="n">
        <x:v>4</x:v>
      </x:c>
      <x:c r="I3878" s="6" t="n">
        <x:f>G3878-H3878</x:f>
        <x:v>-2</x:v>
      </x:c>
      <x:c r="J3878" s="6" t="n">
        <x:f>IF(OR(E3878="CANCELED",E3878="SUSPECTED_FRAUD",F3878="Shipping canceled"),0,1)</x:f>
        <x:v>1</x:v>
      </x:c>
      <x:c r="K3878" s="6" t="n">
        <x:f>IF(G3878&gt;H3878,1,0)</x:f>
        <x:v>0</x:v>
      </x:c>
      <x:c r="L3878" s="6" t="n">
        <x:f>J3878*K3878</x:f>
        <x:v>0</x:v>
      </x:c>
    </x:row>
    <x:row r="3879">
      <x:c r="A3879" s="1" t="n">
        <x:v>29334</x:v>
      </x:c>
      <x:c r="B3879" s="5" t="d">
        <x:v>2016-03-04T00:00:00.000Z</x:v>
      </x:c>
      <x:c r="C3879" s="1" t="str">
        <x:v>Standard Class</x:v>
      </x:c>
      <x:c r="D3879" s="1" t="str">
        <x:v>Pacific Asia</x:v>
      </x:c>
      <x:c r="E3879" s="1" t="str">
        <x:v>ON_HOLD</x:v>
      </x:c>
      <x:c r="F3879" s="1" t="str">
        <x:v>Late delivery</x:v>
      </x:c>
      <x:c r="G3879" s="6" t="n">
        <x:v>5</x:v>
      </x:c>
      <x:c r="H3879" s="6" t="n">
        <x:v>4</x:v>
      </x:c>
      <x:c r="I3879" s="6" t="n">
        <x:f>G3879-H3879</x:f>
        <x:v>1</x:v>
      </x:c>
      <x:c r="J3879" s="6" t="n">
        <x:f>IF(OR(E3879="CANCELED",E3879="SUSPECTED_FRAUD",F3879="Shipping canceled"),0,1)</x:f>
        <x:v>1</x:v>
      </x:c>
      <x:c r="K3879" s="6" t="n">
        <x:f>IF(G3879&gt;H3879,1,0)</x:f>
        <x:v>1</x:v>
      </x:c>
      <x:c r="L3879" s="6" t="n">
        <x:f>J3879*K3879</x:f>
        <x:v>1</x:v>
      </x:c>
    </x:row>
    <x:row r="3880">
      <x:c r="A3880" s="1" t="n">
        <x:v>29335</x:v>
      </x:c>
      <x:c r="B3880" s="5" t="d">
        <x:v>2016-03-04T00:00:00.000Z</x:v>
      </x:c>
      <x:c r="C3880" s="1" t="str">
        <x:v>Standard Class</x:v>
      </x:c>
      <x:c r="D3880" s="1" t="str">
        <x:v>Pacific Asia</x:v>
      </x:c>
      <x:c r="E3880" s="1" t="str">
        <x:v>COMPLETE</x:v>
      </x:c>
      <x:c r="F3880" s="1" t="str">
        <x:v>Late delivery</x:v>
      </x:c>
      <x:c r="G3880" s="6" t="n">
        <x:v>6</x:v>
      </x:c>
      <x:c r="H3880" s="6" t="n">
        <x:v>4</x:v>
      </x:c>
      <x:c r="I3880" s="6" t="n">
        <x:f>G3880-H3880</x:f>
        <x:v>2</x:v>
      </x:c>
      <x:c r="J3880" s="6" t="n">
        <x:f>IF(OR(E3880="CANCELED",E3880="SUSPECTED_FRAUD",F3880="Shipping canceled"),0,1)</x:f>
        <x:v>1</x:v>
      </x:c>
      <x:c r="K3880" s="6" t="n">
        <x:f>IF(G3880&gt;H3880,1,0)</x:f>
        <x:v>1</x:v>
      </x:c>
      <x:c r="L3880" s="6" t="n">
        <x:f>J3880*K3880</x:f>
        <x:v>1</x:v>
      </x:c>
    </x:row>
    <x:row r="3881">
      <x:c r="A3881" s="1" t="n">
        <x:v>29348</x:v>
      </x:c>
      <x:c r="B3881" s="5" t="d">
        <x:v>2016-03-04T00:00:00.000Z</x:v>
      </x:c>
      <x:c r="C3881" s="1" t="str">
        <x:v>Standard Class</x:v>
      </x:c>
      <x:c r="D3881" s="1" t="str">
        <x:v>Pacific Asia</x:v>
      </x:c>
      <x:c r="E3881" s="1" t="str">
        <x:v>PROCESSING</x:v>
      </x:c>
      <x:c r="F3881" s="1" t="str">
        <x:v>Shipping on time</x:v>
      </x:c>
      <x:c r="G3881" s="6" t="n">
        <x:v>4</x:v>
      </x:c>
      <x:c r="H3881" s="6" t="n">
        <x:v>4</x:v>
      </x:c>
      <x:c r="I3881" s="6" t="n">
        <x:f>G3881-H3881</x:f>
        <x:v>0</x:v>
      </x:c>
      <x:c r="J3881" s="6" t="n">
        <x:f>IF(OR(E3881="CANCELED",E3881="SUSPECTED_FRAUD",F3881="Shipping canceled"),0,1)</x:f>
        <x:v>1</x:v>
      </x:c>
      <x:c r="K3881" s="6" t="n">
        <x:f>IF(G3881&gt;H3881,1,0)</x:f>
        <x:v>0</x:v>
      </x:c>
      <x:c r="L3881" s="6" t="n">
        <x:f>J3881*K3881</x:f>
        <x:v>0</x:v>
      </x:c>
    </x:row>
    <x:row r="3882">
      <x:c r="A3882" s="1" t="n">
        <x:v>29351</x:v>
      </x:c>
      <x:c r="B3882" s="5" t="d">
        <x:v>2016-03-04T00:00:00.000Z</x:v>
      </x:c>
      <x:c r="C3882" s="1" t="str">
        <x:v>Standard Class</x:v>
      </x:c>
      <x:c r="D3882" s="1" t="str">
        <x:v>Pacific Asia</x:v>
      </x:c>
      <x:c r="E3882" s="1" t="str">
        <x:v>PENDING_PAYMENT</x:v>
      </x:c>
      <x:c r="F3882" s="1" t="str">
        <x:v>Advance shipping</x:v>
      </x:c>
      <x:c r="G3882" s="6" t="n">
        <x:v>2</x:v>
      </x:c>
      <x:c r="H3882" s="6" t="n">
        <x:v>4</x:v>
      </x:c>
      <x:c r="I3882" s="6" t="n">
        <x:f>G3882-H3882</x:f>
        <x:v>-2</x:v>
      </x:c>
      <x:c r="J3882" s="6" t="n">
        <x:f>IF(OR(E3882="CANCELED",E3882="SUSPECTED_FRAUD",F3882="Shipping canceled"),0,1)</x:f>
        <x:v>1</x:v>
      </x:c>
      <x:c r="K3882" s="6" t="n">
        <x:f>IF(G3882&gt;H3882,1,0)</x:f>
        <x:v>0</x:v>
      </x:c>
      <x:c r="L3882" s="6" t="n">
        <x:f>J3882*K3882</x:f>
        <x:v>0</x:v>
      </x:c>
    </x:row>
    <x:row r="3883">
      <x:c r="A3883" s="1" t="n">
        <x:v>29354</x:v>
      </x:c>
      <x:c r="B3883" s="5" t="d">
        <x:v>2016-03-04T00:00:00.000Z</x:v>
      </x:c>
      <x:c r="C3883" s="1" t="str">
        <x:v>Standard Class</x:v>
      </x:c>
      <x:c r="D3883" s="1" t="str">
        <x:v>Pacific Asia</x:v>
      </x:c>
      <x:c r="E3883" s="1" t="str">
        <x:v>COMPLETE</x:v>
      </x:c>
      <x:c r="F3883" s="1" t="str">
        <x:v>Late delivery</x:v>
      </x:c>
      <x:c r="G3883" s="6" t="n">
        <x:v>5</x:v>
      </x:c>
      <x:c r="H3883" s="6" t="n">
        <x:v>4</x:v>
      </x:c>
      <x:c r="I3883" s="6" t="n">
        <x:f>G3883-H3883</x:f>
        <x:v>1</x:v>
      </x:c>
      <x:c r="J3883" s="6" t="n">
        <x:f>IF(OR(E3883="CANCELED",E3883="SUSPECTED_FRAUD",F3883="Shipping canceled"),0,1)</x:f>
        <x:v>1</x:v>
      </x:c>
      <x:c r="K3883" s="6" t="n">
        <x:f>IF(G3883&gt;H3883,1,0)</x:f>
        <x:v>1</x:v>
      </x:c>
      <x:c r="L3883" s="6" t="n">
        <x:f>J3883*K3883</x:f>
        <x:v>1</x:v>
      </x:c>
    </x:row>
    <x:row r="3884">
      <x:c r="A3884" s="1" t="n">
        <x:v>29378</x:v>
      </x:c>
      <x:c r="B3884" s="5" t="d">
        <x:v>2016-03-04T00:00:00.000Z</x:v>
      </x:c>
      <x:c r="C3884" s="1" t="str">
        <x:v>First Class</x:v>
      </x:c>
      <x:c r="D3884" s="1" t="str">
        <x:v>Pacific Asia</x:v>
      </x:c>
      <x:c r="E3884" s="1" t="str">
        <x:v>CLOSED</x:v>
      </x:c>
      <x:c r="F3884" s="1" t="str">
        <x:v>Late delivery</x:v>
      </x:c>
      <x:c r="G3884" s="6" t="n">
        <x:v>2</x:v>
      </x:c>
      <x:c r="H3884" s="6" t="n">
        <x:v>1</x:v>
      </x:c>
      <x:c r="I3884" s="6" t="n">
        <x:f>G3884-H3884</x:f>
        <x:v>1</x:v>
      </x:c>
      <x:c r="J3884" s="6" t="n">
        <x:f>IF(OR(E3884="CANCELED",E3884="SUSPECTED_FRAUD",F3884="Shipping canceled"),0,1)</x:f>
        <x:v>1</x:v>
      </x:c>
      <x:c r="K3884" s="6" t="n">
        <x:f>IF(G3884&gt;H3884,1,0)</x:f>
        <x:v>1</x:v>
      </x:c>
      <x:c r="L3884" s="6" t="n">
        <x:f>J3884*K3884</x:f>
        <x:v>1</x:v>
      </x:c>
    </x:row>
    <x:row r="3885">
      <x:c r="A3885" s="1" t="n">
        <x:v>29379</x:v>
      </x:c>
      <x:c r="B3885" s="5" t="d">
        <x:v>2016-03-04T00:00:00.000Z</x:v>
      </x:c>
      <x:c r="C3885" s="1" t="str">
        <x:v>First Class</x:v>
      </x:c>
      <x:c r="D3885" s="1" t="str">
        <x:v>Pacific Asia</x:v>
      </x:c>
      <x:c r="E3885" s="1" t="str">
        <x:v>PENDING</x:v>
      </x:c>
      <x:c r="F3885" s="1" t="str">
        <x:v>Late delivery</x:v>
      </x:c>
      <x:c r="G3885" s="6" t="n">
        <x:v>2</x:v>
      </x:c>
      <x:c r="H3885" s="6" t="n">
        <x:v>1</x:v>
      </x:c>
      <x:c r="I3885" s="6" t="n">
        <x:f>G3885-H3885</x:f>
        <x:v>1</x:v>
      </x:c>
      <x:c r="J3885" s="6" t="n">
        <x:f>IF(OR(E3885="CANCELED",E3885="SUSPECTED_FRAUD",F3885="Shipping canceled"),0,1)</x:f>
        <x:v>1</x:v>
      </x:c>
      <x:c r="K3885" s="6" t="n">
        <x:f>IF(G3885&gt;H3885,1,0)</x:f>
        <x:v>1</x:v>
      </x:c>
      <x:c r="L3885" s="6" t="n">
        <x:f>J3885*K3885</x:f>
        <x:v>1</x:v>
      </x:c>
    </x:row>
    <x:row r="3886">
      <x:c r="A3886" s="1" t="n">
        <x:v>29381</x:v>
      </x:c>
      <x:c r="B3886" s="5" t="d">
        <x:v>2016-03-04T00:00:00.000Z</x:v>
      </x:c>
      <x:c r="C3886" s="1" t="str">
        <x:v>Standard Class</x:v>
      </x:c>
      <x:c r="D3886" s="1" t="str">
        <x:v>Pacific Asia</x:v>
      </x:c>
      <x:c r="E3886" s="1" t="str">
        <x:v>COMPLETE</x:v>
      </x:c>
      <x:c r="F3886" s="1" t="str">
        <x:v>Advance shipping</x:v>
      </x:c>
      <x:c r="G3886" s="6" t="n">
        <x:v>2</x:v>
      </x:c>
      <x:c r="H3886" s="6" t="n">
        <x:v>4</x:v>
      </x:c>
      <x:c r="I3886" s="6" t="n">
        <x:f>G3886-H3886</x:f>
        <x:v>-2</x:v>
      </x:c>
      <x:c r="J3886" s="6" t="n">
        <x:f>IF(OR(E3886="CANCELED",E3886="SUSPECTED_FRAUD",F3886="Shipping canceled"),0,1)</x:f>
        <x:v>1</x:v>
      </x:c>
      <x:c r="K3886" s="6" t="n">
        <x:f>IF(G3886&gt;H3886,1,0)</x:f>
        <x:v>0</x:v>
      </x:c>
      <x:c r="L3886" s="6" t="n">
        <x:f>J3886*K3886</x:f>
        <x:v>0</x:v>
      </x:c>
    </x:row>
    <x:row r="3887">
      <x:c r="A3887" s="1" t="n">
        <x:v>29383</x:v>
      </x:c>
      <x:c r="B3887" s="5" t="d">
        <x:v>2016-03-04T00:00:00.000Z</x:v>
      </x:c>
      <x:c r="C3887" s="1" t="str">
        <x:v>Standard Class</x:v>
      </x:c>
      <x:c r="D3887" s="1" t="str">
        <x:v>Pacific Asia</x:v>
      </x:c>
      <x:c r="E3887" s="1" t="str">
        <x:v>COMPLETE</x:v>
      </x:c>
      <x:c r="F3887" s="1" t="str">
        <x:v>Shipping on time</x:v>
      </x:c>
      <x:c r="G3887" s="6" t="n">
        <x:v>4</x:v>
      </x:c>
      <x:c r="H3887" s="6" t="n">
        <x:v>4</x:v>
      </x:c>
      <x:c r="I3887" s="6" t="n">
        <x:f>G3887-H3887</x:f>
        <x:v>0</x:v>
      </x:c>
      <x:c r="J3887" s="6" t="n">
        <x:f>IF(OR(E3887="CANCELED",E3887="SUSPECTED_FRAUD",F3887="Shipping canceled"),0,1)</x:f>
        <x:v>1</x:v>
      </x:c>
      <x:c r="K3887" s="6" t="n">
        <x:f>IF(G3887&gt;H3887,1,0)</x:f>
        <x:v>0</x:v>
      </x:c>
      <x:c r="L3887" s="6" t="n">
        <x:f>J3887*K3887</x:f>
        <x:v>0</x:v>
      </x:c>
    </x:row>
    <x:row r="3888">
      <x:c r="A3888" s="1" t="n">
        <x:v>29395</x:v>
      </x:c>
      <x:c r="B3888" s="5" t="d">
        <x:v>2016-03-05T00:00:00.000Z</x:v>
      </x:c>
      <x:c r="C3888" s="1" t="str">
        <x:v>Standard Class</x:v>
      </x:c>
      <x:c r="D3888" s="1" t="str">
        <x:v>Pacific Asia</x:v>
      </x:c>
      <x:c r="E3888" s="1" t="str">
        <x:v>PENDING_PAYMENT</x:v>
      </x:c>
      <x:c r="F3888" s="1" t="str">
        <x:v>Late delivery</x:v>
      </x:c>
      <x:c r="G3888" s="6" t="n">
        <x:v>6</x:v>
      </x:c>
      <x:c r="H3888" s="6" t="n">
        <x:v>4</x:v>
      </x:c>
      <x:c r="I3888" s="6" t="n">
        <x:f>G3888-H3888</x:f>
        <x:v>2</x:v>
      </x:c>
      <x:c r="J3888" s="6" t="n">
        <x:f>IF(OR(E3888="CANCELED",E3888="SUSPECTED_FRAUD",F3888="Shipping canceled"),0,1)</x:f>
        <x:v>1</x:v>
      </x:c>
      <x:c r="K3888" s="6" t="n">
        <x:f>IF(G3888&gt;H3888,1,0)</x:f>
        <x:v>1</x:v>
      </x:c>
      <x:c r="L3888" s="6" t="n">
        <x:f>J3888*K3888</x:f>
        <x:v>1</x:v>
      </x:c>
    </x:row>
    <x:row r="3889">
      <x:c r="A3889" s="1" t="n">
        <x:v>29400</x:v>
      </x:c>
      <x:c r="B3889" s="5" t="d">
        <x:v>2016-03-05T00:00:00.000Z</x:v>
      </x:c>
      <x:c r="C3889" s="1" t="str">
        <x:v>Standard Class</x:v>
      </x:c>
      <x:c r="D3889" s="1" t="str">
        <x:v>Pacific Asia</x:v>
      </x:c>
      <x:c r="E3889" s="1" t="str">
        <x:v>PAYMENT_REVIEW</x:v>
      </x:c>
      <x:c r="F3889" s="1" t="str">
        <x:v>Late delivery</x:v>
      </x:c>
      <x:c r="G3889" s="6" t="n">
        <x:v>6</x:v>
      </x:c>
      <x:c r="H3889" s="6" t="n">
        <x:v>4</x:v>
      </x:c>
      <x:c r="I3889" s="6" t="n">
        <x:f>G3889-H3889</x:f>
        <x:v>2</x:v>
      </x:c>
      <x:c r="J3889" s="6" t="n">
        <x:f>IF(OR(E3889="CANCELED",E3889="SUSPECTED_FRAUD",F3889="Shipping canceled"),0,1)</x:f>
        <x:v>1</x:v>
      </x:c>
      <x:c r="K3889" s="6" t="n">
        <x:f>IF(G3889&gt;H3889,1,0)</x:f>
        <x:v>1</x:v>
      </x:c>
      <x:c r="L3889" s="6" t="n">
        <x:f>J3889*K3889</x:f>
        <x:v>1</x:v>
      </x:c>
    </x:row>
    <x:row r="3890">
      <x:c r="A3890" s="1" t="n">
        <x:v>29402</x:v>
      </x:c>
      <x:c r="B3890" s="5" t="d">
        <x:v>2016-03-05T00:00:00.000Z</x:v>
      </x:c>
      <x:c r="C3890" s="1" t="str">
        <x:v>Standard Class</x:v>
      </x:c>
      <x:c r="D3890" s="1" t="str">
        <x:v>Pacific Asia</x:v>
      </x:c>
      <x:c r="E3890" s="1" t="str">
        <x:v>COMPLETE</x:v>
      </x:c>
      <x:c r="F3890" s="1" t="str">
        <x:v>Advance shipping</x:v>
      </x:c>
      <x:c r="G3890" s="6" t="n">
        <x:v>3</x:v>
      </x:c>
      <x:c r="H3890" s="6" t="n">
        <x:v>4</x:v>
      </x:c>
      <x:c r="I3890" s="6" t="n">
        <x:f>G3890-H3890</x:f>
        <x:v>-1</x:v>
      </x:c>
      <x:c r="J3890" s="6" t="n">
        <x:f>IF(OR(E3890="CANCELED",E3890="SUSPECTED_FRAUD",F3890="Shipping canceled"),0,1)</x:f>
        <x:v>1</x:v>
      </x:c>
      <x:c r="K3890" s="6" t="n">
        <x:f>IF(G3890&gt;H3890,1,0)</x:f>
        <x:v>0</x:v>
      </x:c>
      <x:c r="L3890" s="6" t="n">
        <x:f>J3890*K3890</x:f>
        <x:v>0</x:v>
      </x:c>
    </x:row>
    <x:row r="3891">
      <x:c r="A3891" s="1" t="n">
        <x:v>29413</x:v>
      </x:c>
      <x:c r="B3891" s="5" t="d">
        <x:v>2016-03-05T00:00:00.000Z</x:v>
      </x:c>
      <x:c r="C3891" s="1" t="str">
        <x:v>Standard Class</x:v>
      </x:c>
      <x:c r="D3891" s="1" t="str">
        <x:v>Pacific Asia</x:v>
      </x:c>
      <x:c r="E3891" s="1" t="str">
        <x:v>ON_HOLD</x:v>
      </x:c>
      <x:c r="F3891" s="1" t="str">
        <x:v>Shipping on time</x:v>
      </x:c>
      <x:c r="G3891" s="6" t="n">
        <x:v>4</x:v>
      </x:c>
      <x:c r="H3891" s="6" t="n">
        <x:v>4</x:v>
      </x:c>
      <x:c r="I3891" s="6" t="n">
        <x:f>G3891-H3891</x:f>
        <x:v>0</x:v>
      </x:c>
      <x:c r="J3891" s="6" t="n">
        <x:f>IF(OR(E3891="CANCELED",E3891="SUSPECTED_FRAUD",F3891="Shipping canceled"),0,1)</x:f>
        <x:v>1</x:v>
      </x:c>
      <x:c r="K3891" s="6" t="n">
        <x:f>IF(G3891&gt;H3891,1,0)</x:f>
        <x:v>0</x:v>
      </x:c>
      <x:c r="L3891" s="6" t="n">
        <x:f>J3891*K3891</x:f>
        <x:v>0</x:v>
      </x:c>
    </x:row>
    <x:row r="3892">
      <x:c r="A3892" s="1" t="n">
        <x:v>29414</x:v>
      </x:c>
      <x:c r="B3892" s="5" t="d">
        <x:v>2016-03-05T00:00:00.000Z</x:v>
      </x:c>
      <x:c r="C3892" s="1" t="str">
        <x:v>Standard Class</x:v>
      </x:c>
      <x:c r="D3892" s="1" t="str">
        <x:v>Pacific Asia</x:v>
      </x:c>
      <x:c r="E3892" s="1" t="str">
        <x:v>COMPLETE</x:v>
      </x:c>
      <x:c r="F3892" s="1" t="str">
        <x:v>Late delivery</x:v>
      </x:c>
      <x:c r="G3892" s="6" t="n">
        <x:v>5</x:v>
      </x:c>
      <x:c r="H3892" s="6" t="n">
        <x:v>4</x:v>
      </x:c>
      <x:c r="I3892" s="6" t="n">
        <x:f>G3892-H3892</x:f>
        <x:v>1</x:v>
      </x:c>
      <x:c r="J3892" s="6" t="n">
        <x:f>IF(OR(E3892="CANCELED",E3892="SUSPECTED_FRAUD",F3892="Shipping canceled"),0,1)</x:f>
        <x:v>1</x:v>
      </x:c>
      <x:c r="K3892" s="6" t="n">
        <x:f>IF(G3892&gt;H3892,1,0)</x:f>
        <x:v>1</x:v>
      </x:c>
      <x:c r="L3892" s="6" t="n">
        <x:f>J3892*K3892</x:f>
        <x:v>1</x:v>
      </x:c>
    </x:row>
    <x:row r="3893">
      <x:c r="A3893" s="1" t="n">
        <x:v>29435</x:v>
      </x:c>
      <x:c r="B3893" s="5" t="d">
        <x:v>2016-03-05T00:00:00.000Z</x:v>
      </x:c>
      <x:c r="C3893" s="1" t="str">
        <x:v>Standard Class</x:v>
      </x:c>
      <x:c r="D3893" s="1" t="str">
        <x:v>Pacific Asia</x:v>
      </x:c>
      <x:c r="E3893" s="1" t="str">
        <x:v>PENDING</x:v>
      </x:c>
      <x:c r="F3893" s="1" t="str">
        <x:v>Late delivery</x:v>
      </x:c>
      <x:c r="G3893" s="6" t="n">
        <x:v>6</x:v>
      </x:c>
      <x:c r="H3893" s="6" t="n">
        <x:v>4</x:v>
      </x:c>
      <x:c r="I3893" s="6" t="n">
        <x:f>G3893-H3893</x:f>
        <x:v>2</x:v>
      </x:c>
      <x:c r="J3893" s="6" t="n">
        <x:f>IF(OR(E3893="CANCELED",E3893="SUSPECTED_FRAUD",F3893="Shipping canceled"),0,1)</x:f>
        <x:v>1</x:v>
      </x:c>
      <x:c r="K3893" s="6" t="n">
        <x:f>IF(G3893&gt;H3893,1,0)</x:f>
        <x:v>1</x:v>
      </x:c>
      <x:c r="L3893" s="6" t="n">
        <x:f>J3893*K3893</x:f>
        <x:v>1</x:v>
      </x:c>
    </x:row>
    <x:row r="3894">
      <x:c r="A3894" s="1" t="n">
        <x:v>29457</x:v>
      </x:c>
      <x:c r="B3894" s="5" t="d">
        <x:v>2016-03-05T00:00:00.000Z</x:v>
      </x:c>
      <x:c r="C3894" s="1" t="str">
        <x:v>Standard Class</x:v>
      </x:c>
      <x:c r="D3894" s="1" t="str">
        <x:v>Pacific Asia</x:v>
      </x:c>
      <x:c r="E3894" s="1" t="str">
        <x:v>CLOSED</x:v>
      </x:c>
      <x:c r="F3894" s="1" t="str">
        <x:v>Advance shipping</x:v>
      </x:c>
      <x:c r="G3894" s="6" t="n">
        <x:v>3</x:v>
      </x:c>
      <x:c r="H3894" s="6" t="n">
        <x:v>4</x:v>
      </x:c>
      <x:c r="I3894" s="6" t="n">
        <x:f>G3894-H3894</x:f>
        <x:v>-1</x:v>
      </x:c>
      <x:c r="J3894" s="6" t="n">
        <x:f>IF(OR(E3894="CANCELED",E3894="SUSPECTED_FRAUD",F3894="Shipping canceled"),0,1)</x:f>
        <x:v>1</x:v>
      </x:c>
      <x:c r="K3894" s="6" t="n">
        <x:f>IF(G3894&gt;H3894,1,0)</x:f>
        <x:v>0</x:v>
      </x:c>
      <x:c r="L3894" s="6" t="n">
        <x:f>J3894*K3894</x:f>
        <x:v>0</x:v>
      </x:c>
    </x:row>
    <x:row r="3895">
      <x:c r="A3895" s="1" t="n">
        <x:v>29474</x:v>
      </x:c>
      <x:c r="B3895" s="5" t="d">
        <x:v>2016-03-06T00:00:00.000Z</x:v>
      </x:c>
      <x:c r="C3895" s="1" t="str">
        <x:v>Second Class</x:v>
      </x:c>
      <x:c r="D3895" s="1" t="str">
        <x:v>Pacific Asia</x:v>
      </x:c>
      <x:c r="E3895" s="1" t="str">
        <x:v>CLOSED</x:v>
      </x:c>
      <x:c r="F3895" s="1" t="str">
        <x:v>Late delivery</x:v>
      </x:c>
      <x:c r="G3895" s="6" t="n">
        <x:v>5</x:v>
      </x:c>
      <x:c r="H3895" s="6" t="n">
        <x:v>2</x:v>
      </x:c>
      <x:c r="I3895" s="6" t="n">
        <x:f>G3895-H3895</x:f>
        <x:v>3</x:v>
      </x:c>
      <x:c r="J3895" s="6" t="n">
        <x:f>IF(OR(E3895="CANCELED",E3895="SUSPECTED_FRAUD",F3895="Shipping canceled"),0,1)</x:f>
        <x:v>1</x:v>
      </x:c>
      <x:c r="K3895" s="6" t="n">
        <x:f>IF(G3895&gt;H3895,1,0)</x:f>
        <x:v>1</x:v>
      </x:c>
      <x:c r="L3895" s="6" t="n">
        <x:f>J3895*K3895</x:f>
        <x:v>1</x:v>
      </x:c>
    </x:row>
    <x:row r="3896">
      <x:c r="A3896" s="1" t="n">
        <x:v>29484</x:v>
      </x:c>
      <x:c r="B3896" s="5" t="d">
        <x:v>2016-03-06T00:00:00.000Z</x:v>
      </x:c>
      <x:c r="C3896" s="1" t="str">
        <x:v>First Class</x:v>
      </x:c>
      <x:c r="D3896" s="1" t="str">
        <x:v>Pacific Asia</x:v>
      </x:c>
      <x:c r="E3896" s="1" t="str">
        <x:v>PROCESSING</x:v>
      </x:c>
      <x:c r="F3896" s="1" t="str">
        <x:v>Late delivery</x:v>
      </x:c>
      <x:c r="G3896" s="6" t="n">
        <x:v>2</x:v>
      </x:c>
      <x:c r="H3896" s="6" t="n">
        <x:v>1</x:v>
      </x:c>
      <x:c r="I3896" s="6" t="n">
        <x:f>G3896-H3896</x:f>
        <x:v>1</x:v>
      </x:c>
      <x:c r="J3896" s="6" t="n">
        <x:f>IF(OR(E3896="CANCELED",E3896="SUSPECTED_FRAUD",F3896="Shipping canceled"),0,1)</x:f>
        <x:v>1</x:v>
      </x:c>
      <x:c r="K3896" s="6" t="n">
        <x:f>IF(G3896&gt;H3896,1,0)</x:f>
        <x:v>1</x:v>
      </x:c>
      <x:c r="L3896" s="6" t="n">
        <x:f>J3896*K3896</x:f>
        <x:v>1</x:v>
      </x:c>
    </x:row>
    <x:row r="3897">
      <x:c r="A3897" s="1" t="n">
        <x:v>29490</x:v>
      </x:c>
      <x:c r="B3897" s="5" t="d">
        <x:v>2016-03-06T00:00:00.000Z</x:v>
      </x:c>
      <x:c r="C3897" s="1" t="str">
        <x:v>Standard Class</x:v>
      </x:c>
      <x:c r="D3897" s="1" t="str">
        <x:v>Pacific Asia</x:v>
      </x:c>
      <x:c r="E3897" s="1" t="str">
        <x:v>PROCESSING</x:v>
      </x:c>
      <x:c r="F3897" s="1" t="str">
        <x:v>Late delivery</x:v>
      </x:c>
      <x:c r="G3897" s="6" t="n">
        <x:v>6</x:v>
      </x:c>
      <x:c r="H3897" s="6" t="n">
        <x:v>4</x:v>
      </x:c>
      <x:c r="I3897" s="6" t="n">
        <x:f>G3897-H3897</x:f>
        <x:v>2</x:v>
      </x:c>
      <x:c r="J3897" s="6" t="n">
        <x:f>IF(OR(E3897="CANCELED",E3897="SUSPECTED_FRAUD",F3897="Shipping canceled"),0,1)</x:f>
        <x:v>1</x:v>
      </x:c>
      <x:c r="K3897" s="6" t="n">
        <x:f>IF(G3897&gt;H3897,1,0)</x:f>
        <x:v>1</x:v>
      </x:c>
      <x:c r="L3897" s="6" t="n">
        <x:f>J3897*K3897</x:f>
        <x:v>1</x:v>
      </x:c>
    </x:row>
    <x:row r="3898">
      <x:c r="A3898" s="1" t="n">
        <x:v>29502</x:v>
      </x:c>
      <x:c r="B3898" s="5" t="d">
        <x:v>2016-03-06T00:00:00.000Z</x:v>
      </x:c>
      <x:c r="C3898" s="1" t="str">
        <x:v>Standard Class</x:v>
      </x:c>
      <x:c r="D3898" s="1" t="str">
        <x:v>Pacific Asia</x:v>
      </x:c>
      <x:c r="E3898" s="1" t="str">
        <x:v>PENDING</x:v>
      </x:c>
      <x:c r="F3898" s="1" t="str">
        <x:v>Advance shipping</x:v>
      </x:c>
      <x:c r="G3898" s="6" t="n">
        <x:v>3</x:v>
      </x:c>
      <x:c r="H3898" s="6" t="n">
        <x:v>4</x:v>
      </x:c>
      <x:c r="I3898" s="6" t="n">
        <x:f>G3898-H3898</x:f>
        <x:v>-1</x:v>
      </x:c>
      <x:c r="J3898" s="6" t="n">
        <x:f>IF(OR(E3898="CANCELED",E3898="SUSPECTED_FRAUD",F3898="Shipping canceled"),0,1)</x:f>
        <x:v>1</x:v>
      </x:c>
      <x:c r="K3898" s="6" t="n">
        <x:f>IF(G3898&gt;H3898,1,0)</x:f>
        <x:v>0</x:v>
      </x:c>
      <x:c r="L3898" s="6" t="n">
        <x:f>J3898*K3898</x:f>
        <x:v>0</x:v>
      </x:c>
    </x:row>
    <x:row r="3899">
      <x:c r="A3899" s="1" t="n">
        <x:v>29533</x:v>
      </x:c>
      <x:c r="B3899" s="5" t="d">
        <x:v>2016-03-07T00:00:00.000Z</x:v>
      </x:c>
      <x:c r="C3899" s="1" t="str">
        <x:v>Second Class</x:v>
      </x:c>
      <x:c r="D3899" s="1" t="str">
        <x:v>Pacific Asia</x:v>
      </x:c>
      <x:c r="E3899" s="1" t="str">
        <x:v>COMPLETE</x:v>
      </x:c>
      <x:c r="F3899" s="1" t="str">
        <x:v>Late delivery</x:v>
      </x:c>
      <x:c r="G3899" s="6" t="n">
        <x:v>4</x:v>
      </x:c>
      <x:c r="H3899" s="6" t="n">
        <x:v>2</x:v>
      </x:c>
      <x:c r="I3899" s="6" t="n">
        <x:f>G3899-H3899</x:f>
        <x:v>2</x:v>
      </x:c>
      <x:c r="J3899" s="6" t="n">
        <x:f>IF(OR(E3899="CANCELED",E3899="SUSPECTED_FRAUD",F3899="Shipping canceled"),0,1)</x:f>
        <x:v>1</x:v>
      </x:c>
      <x:c r="K3899" s="6" t="n">
        <x:f>IF(G3899&gt;H3899,1,0)</x:f>
        <x:v>1</x:v>
      </x:c>
      <x:c r="L3899" s="6" t="n">
        <x:f>J3899*K3899</x:f>
        <x:v>1</x:v>
      </x:c>
    </x:row>
    <x:row r="3900">
      <x:c r="A3900" s="1" t="n">
        <x:v>29546</x:v>
      </x:c>
      <x:c r="B3900" s="5" t="d">
        <x:v>2016-03-07T00:00:00.000Z</x:v>
      </x:c>
      <x:c r="C3900" s="1" t="str">
        <x:v>Second Class</x:v>
      </x:c>
      <x:c r="D3900" s="1" t="str">
        <x:v>Pacific Asia</x:v>
      </x:c>
      <x:c r="E3900" s="1" t="str">
        <x:v>COMPLETE</x:v>
      </x:c>
      <x:c r="F3900" s="1" t="str">
        <x:v>Shipping on time</x:v>
      </x:c>
      <x:c r="G3900" s="6" t="n">
        <x:v>2</x:v>
      </x:c>
      <x:c r="H3900" s="6" t="n">
        <x:v>2</x:v>
      </x:c>
      <x:c r="I3900" s="6" t="n">
        <x:f>G3900-H3900</x:f>
        <x:v>0</x:v>
      </x:c>
      <x:c r="J3900" s="6" t="n">
        <x:f>IF(OR(E3900="CANCELED",E3900="SUSPECTED_FRAUD",F3900="Shipping canceled"),0,1)</x:f>
        <x:v>1</x:v>
      </x:c>
      <x:c r="K3900" s="6" t="n">
        <x:f>IF(G3900&gt;H3900,1,0)</x:f>
        <x:v>0</x:v>
      </x:c>
      <x:c r="L3900" s="6" t="n">
        <x:f>J3900*K3900</x:f>
        <x:v>0</x:v>
      </x:c>
    </x:row>
    <x:row r="3901">
      <x:c r="A3901" s="1" t="n">
        <x:v>29587</x:v>
      </x:c>
      <x:c r="B3901" s="5" t="d">
        <x:v>2016-03-07T00:00:00.000Z</x:v>
      </x:c>
      <x:c r="C3901" s="1" t="str">
        <x:v>Standard Class</x:v>
      </x:c>
      <x:c r="D3901" s="1" t="str">
        <x:v>Pacific Asia</x:v>
      </x:c>
      <x:c r="E3901" s="1" t="str">
        <x:v>COMPLETE</x:v>
      </x:c>
      <x:c r="F3901" s="1" t="str">
        <x:v>Advance shipping</x:v>
      </x:c>
      <x:c r="G3901" s="6" t="n">
        <x:v>3</x:v>
      </x:c>
      <x:c r="H3901" s="6" t="n">
        <x:v>4</x:v>
      </x:c>
      <x:c r="I3901" s="6" t="n">
        <x:f>G3901-H3901</x:f>
        <x:v>-1</x:v>
      </x:c>
      <x:c r="J3901" s="6" t="n">
        <x:f>IF(OR(E3901="CANCELED",E3901="SUSPECTED_FRAUD",F3901="Shipping canceled"),0,1)</x:f>
        <x:v>1</x:v>
      </x:c>
      <x:c r="K3901" s="6" t="n">
        <x:f>IF(G3901&gt;H3901,1,0)</x:f>
        <x:v>0</x:v>
      </x:c>
      <x:c r="L3901" s="6" t="n">
        <x:f>J3901*K3901</x:f>
        <x:v>0</x:v>
      </x:c>
    </x:row>
    <x:row r="3902">
      <x:c r="A3902" s="1" t="n">
        <x:v>29598</x:v>
      </x:c>
      <x:c r="B3902" s="5" t="d">
        <x:v>2016-03-08T00:00:00.000Z</x:v>
      </x:c>
      <x:c r="C3902" s="1" t="str">
        <x:v>Same Day</x:v>
      </x:c>
      <x:c r="D3902" s="1" t="str">
        <x:v>Pacific Asia</x:v>
      </x:c>
      <x:c r="E3902" s="1" t="str">
        <x:v>SUSPECTED_FRAUD</x:v>
      </x:c>
      <x:c r="F3902" s="1" t="str">
        <x:v>Shipping canceled</x:v>
      </x:c>
      <x:c r="G3902" s="6" t="n">
        <x:v>0</x:v>
      </x:c>
      <x:c r="H3902" s="6" t="n">
        <x:v>0</x:v>
      </x:c>
      <x:c r="I3902" s="6" t="n">
        <x:f>G3902-H3902</x:f>
        <x:v>0</x:v>
      </x:c>
      <x:c r="J3902" s="6" t="n">
        <x:f>IF(OR(E3902="CANCELED",E3902="SUSPECTED_FRAUD",F3902="Shipping canceled"),0,1)</x:f>
        <x:v>0</x:v>
      </x:c>
      <x:c r="K3902" s="6" t="n">
        <x:f>IF(G3902&gt;H3902,1,0)</x:f>
        <x:v>0</x:v>
      </x:c>
      <x:c r="L3902" s="6" t="n">
        <x:f>J3902*K3902</x:f>
        <x:v>0</x:v>
      </x:c>
    </x:row>
    <x:row r="3903">
      <x:c r="A3903" s="1" t="n">
        <x:v>29599</x:v>
      </x:c>
      <x:c r="B3903" s="5" t="d">
        <x:v>2016-03-08T00:00:00.000Z</x:v>
      </x:c>
      <x:c r="C3903" s="1" t="str">
        <x:v>First Class</x:v>
      </x:c>
      <x:c r="D3903" s="1" t="str">
        <x:v>Pacific Asia</x:v>
      </x:c>
      <x:c r="E3903" s="1" t="str">
        <x:v>COMPLETE</x:v>
      </x:c>
      <x:c r="F3903" s="1" t="str">
        <x:v>Late delivery</x:v>
      </x:c>
      <x:c r="G3903" s="6" t="n">
        <x:v>2</x:v>
      </x:c>
      <x:c r="H3903" s="6" t="n">
        <x:v>1</x:v>
      </x:c>
      <x:c r="I3903" s="6" t="n">
        <x:f>G3903-H3903</x:f>
        <x:v>1</x:v>
      </x:c>
      <x:c r="J3903" s="6" t="n">
        <x:f>IF(OR(E3903="CANCELED",E3903="SUSPECTED_FRAUD",F3903="Shipping canceled"),0,1)</x:f>
        <x:v>1</x:v>
      </x:c>
      <x:c r="K3903" s="6" t="n">
        <x:f>IF(G3903&gt;H3903,1,0)</x:f>
        <x:v>1</x:v>
      </x:c>
      <x:c r="L3903" s="6" t="n">
        <x:f>J3903*K3903</x:f>
        <x:v>1</x:v>
      </x:c>
    </x:row>
    <x:row r="3904">
      <x:c r="A3904" s="1" t="n">
        <x:v>29604</x:v>
      </x:c>
      <x:c r="B3904" s="5" t="d">
        <x:v>2016-03-08T00:00:00.000Z</x:v>
      </x:c>
      <x:c r="C3904" s="1" t="str">
        <x:v>Second Class</x:v>
      </x:c>
      <x:c r="D3904" s="1" t="str">
        <x:v>Pacific Asia</x:v>
      </x:c>
      <x:c r="E3904" s="1" t="str">
        <x:v>COMPLETE</x:v>
      </x:c>
      <x:c r="F3904" s="1" t="str">
        <x:v>Late delivery</x:v>
      </x:c>
      <x:c r="G3904" s="6" t="n">
        <x:v>5</x:v>
      </x:c>
      <x:c r="H3904" s="6" t="n">
        <x:v>2</x:v>
      </x:c>
      <x:c r="I3904" s="6" t="n">
        <x:f>G3904-H3904</x:f>
        <x:v>3</x:v>
      </x:c>
      <x:c r="J3904" s="6" t="n">
        <x:f>IF(OR(E3904="CANCELED",E3904="SUSPECTED_FRAUD",F3904="Shipping canceled"),0,1)</x:f>
        <x:v>1</x:v>
      </x:c>
      <x:c r="K3904" s="6" t="n">
        <x:f>IF(G3904&gt;H3904,1,0)</x:f>
        <x:v>1</x:v>
      </x:c>
      <x:c r="L3904" s="6" t="n">
        <x:f>J3904*K3904</x:f>
        <x:v>1</x:v>
      </x:c>
    </x:row>
    <x:row r="3905">
      <x:c r="A3905" s="1" t="n">
        <x:v>29623</x:v>
      </x:c>
      <x:c r="B3905" s="5" t="d">
        <x:v>2016-03-08T00:00:00.000Z</x:v>
      </x:c>
      <x:c r="C3905" s="1" t="str">
        <x:v>Standard Class</x:v>
      </x:c>
      <x:c r="D3905" s="1" t="str">
        <x:v>Pacific Asia</x:v>
      </x:c>
      <x:c r="E3905" s="1" t="str">
        <x:v>PENDING_PAYMENT</x:v>
      </x:c>
      <x:c r="F3905" s="1" t="str">
        <x:v>Shipping on time</x:v>
      </x:c>
      <x:c r="G3905" s="6" t="n">
        <x:v>4</x:v>
      </x:c>
      <x:c r="H3905" s="6" t="n">
        <x:v>4</x:v>
      </x:c>
      <x:c r="I3905" s="6" t="n">
        <x:f>G3905-H3905</x:f>
        <x:v>0</x:v>
      </x:c>
      <x:c r="J3905" s="6" t="n">
        <x:f>IF(OR(E3905="CANCELED",E3905="SUSPECTED_FRAUD",F3905="Shipping canceled"),0,1)</x:f>
        <x:v>1</x:v>
      </x:c>
      <x:c r="K3905" s="6" t="n">
        <x:f>IF(G3905&gt;H3905,1,0)</x:f>
        <x:v>0</x:v>
      </x:c>
      <x:c r="L3905" s="6" t="n">
        <x:f>J3905*K3905</x:f>
        <x:v>0</x:v>
      </x:c>
    </x:row>
    <x:row r="3906">
      <x:c r="A3906" s="1" t="n">
        <x:v>29627</x:v>
      </x:c>
      <x:c r="B3906" s="5" t="d">
        <x:v>2016-03-08T00:00:00.000Z</x:v>
      </x:c>
      <x:c r="C3906" s="1" t="str">
        <x:v>Standard Class</x:v>
      </x:c>
      <x:c r="D3906" s="1" t="str">
        <x:v>Pacific Asia</x:v>
      </x:c>
      <x:c r="E3906" s="1" t="str">
        <x:v>COMPLETE</x:v>
      </x:c>
      <x:c r="F3906" s="1" t="str">
        <x:v>Advance shipping</x:v>
      </x:c>
      <x:c r="G3906" s="6" t="n">
        <x:v>3</x:v>
      </x:c>
      <x:c r="H3906" s="6" t="n">
        <x:v>4</x:v>
      </x:c>
      <x:c r="I3906" s="6" t="n">
        <x:f>G3906-H3906</x:f>
        <x:v>-1</x:v>
      </x:c>
      <x:c r="J3906" s="6" t="n">
        <x:f>IF(OR(E3906="CANCELED",E3906="SUSPECTED_FRAUD",F3906="Shipping canceled"),0,1)</x:f>
        <x:v>1</x:v>
      </x:c>
      <x:c r="K3906" s="6" t="n">
        <x:f>IF(G3906&gt;H3906,1,0)</x:f>
        <x:v>0</x:v>
      </x:c>
      <x:c r="L3906" s="6" t="n">
        <x:f>J3906*K3906</x:f>
        <x:v>0</x:v>
      </x:c>
    </x:row>
    <x:row r="3907">
      <x:c r="A3907" s="1" t="n">
        <x:v>29633</x:v>
      </x:c>
      <x:c r="B3907" s="5" t="d">
        <x:v>2016-03-08T00:00:00.000Z</x:v>
      </x:c>
      <x:c r="C3907" s="1" t="str">
        <x:v>Second Class</x:v>
      </x:c>
      <x:c r="D3907" s="1" t="str">
        <x:v>Pacific Asia</x:v>
      </x:c>
      <x:c r="E3907" s="1" t="str">
        <x:v>COMPLETE</x:v>
      </x:c>
      <x:c r="F3907" s="1" t="str">
        <x:v>Late delivery</x:v>
      </x:c>
      <x:c r="G3907" s="6" t="n">
        <x:v>4</x:v>
      </x:c>
      <x:c r="H3907" s="6" t="n">
        <x:v>2</x:v>
      </x:c>
      <x:c r="I3907" s="6" t="n">
        <x:f>G3907-H3907</x:f>
        <x:v>2</x:v>
      </x:c>
      <x:c r="J3907" s="6" t="n">
        <x:f>IF(OR(E3907="CANCELED",E3907="SUSPECTED_FRAUD",F3907="Shipping canceled"),0,1)</x:f>
        <x:v>1</x:v>
      </x:c>
      <x:c r="K3907" s="6" t="n">
        <x:f>IF(G3907&gt;H3907,1,0)</x:f>
        <x:v>1</x:v>
      </x:c>
      <x:c r="L3907" s="6" t="n">
        <x:f>J3907*K3907</x:f>
        <x:v>1</x:v>
      </x:c>
    </x:row>
    <x:row r="3908">
      <x:c r="A3908" s="1" t="n">
        <x:v>29635</x:v>
      </x:c>
      <x:c r="B3908" s="5" t="d">
        <x:v>2016-03-08T00:00:00.000Z</x:v>
      </x:c>
      <x:c r="C3908" s="1" t="str">
        <x:v>Standard Class</x:v>
      </x:c>
      <x:c r="D3908" s="1" t="str">
        <x:v>Pacific Asia</x:v>
      </x:c>
      <x:c r="E3908" s="1" t="str">
        <x:v>PENDING</x:v>
      </x:c>
      <x:c r="F3908" s="1" t="str">
        <x:v>Late delivery</x:v>
      </x:c>
      <x:c r="G3908" s="6" t="n">
        <x:v>6</x:v>
      </x:c>
      <x:c r="H3908" s="6" t="n">
        <x:v>4</x:v>
      </x:c>
      <x:c r="I3908" s="6" t="n">
        <x:f>G3908-H3908</x:f>
        <x:v>2</x:v>
      </x:c>
      <x:c r="J3908" s="6" t="n">
        <x:f>IF(OR(E3908="CANCELED",E3908="SUSPECTED_FRAUD",F3908="Shipping canceled"),0,1)</x:f>
        <x:v>1</x:v>
      </x:c>
      <x:c r="K3908" s="6" t="n">
        <x:f>IF(G3908&gt;H3908,1,0)</x:f>
        <x:v>1</x:v>
      </x:c>
      <x:c r="L3908" s="6" t="n">
        <x:f>J3908*K3908</x:f>
        <x:v>1</x:v>
      </x:c>
    </x:row>
    <x:row r="3909">
      <x:c r="A3909" s="1" t="n">
        <x:v>29659</x:v>
      </x:c>
      <x:c r="B3909" s="5" t="d">
        <x:v>2016-03-08T00:00:00.000Z</x:v>
      </x:c>
      <x:c r="C3909" s="1" t="str">
        <x:v>Second Class</x:v>
      </x:c>
      <x:c r="D3909" s="1" t="str">
        <x:v>Pacific Asia</x:v>
      </x:c>
      <x:c r="E3909" s="1" t="str">
        <x:v>COMPLETE</x:v>
      </x:c>
      <x:c r="F3909" s="1" t="str">
        <x:v>Late delivery</x:v>
      </x:c>
      <x:c r="G3909" s="6" t="n">
        <x:v>5</x:v>
      </x:c>
      <x:c r="H3909" s="6" t="n">
        <x:v>2</x:v>
      </x:c>
      <x:c r="I3909" s="6" t="n">
        <x:f>G3909-H3909</x:f>
        <x:v>3</x:v>
      </x:c>
      <x:c r="J3909" s="6" t="n">
        <x:f>IF(OR(E3909="CANCELED",E3909="SUSPECTED_FRAUD",F3909="Shipping canceled"),0,1)</x:f>
        <x:v>1</x:v>
      </x:c>
      <x:c r="K3909" s="6" t="n">
        <x:f>IF(G3909&gt;H3909,1,0)</x:f>
        <x:v>1</x:v>
      </x:c>
      <x:c r="L3909" s="6" t="n">
        <x:f>J3909*K3909</x:f>
        <x:v>1</x:v>
      </x:c>
    </x:row>
    <x:row r="3910">
      <x:c r="A3910" s="1" t="n">
        <x:v>29664</x:v>
      </x:c>
      <x:c r="B3910" s="5" t="d">
        <x:v>2016-03-09T00:00:00.000Z</x:v>
      </x:c>
      <x:c r="C3910" s="1" t="str">
        <x:v>Second Class</x:v>
      </x:c>
      <x:c r="D3910" s="1" t="str">
        <x:v>Pacific Asia</x:v>
      </x:c>
      <x:c r="E3910" s="1" t="str">
        <x:v>COMPLETE</x:v>
      </x:c>
      <x:c r="F3910" s="1" t="str">
        <x:v>Late delivery</x:v>
      </x:c>
      <x:c r="G3910" s="6" t="n">
        <x:v>5</x:v>
      </x:c>
      <x:c r="H3910" s="6" t="n">
        <x:v>2</x:v>
      </x:c>
      <x:c r="I3910" s="6" t="n">
        <x:f>G3910-H3910</x:f>
        <x:v>3</x:v>
      </x:c>
      <x:c r="J3910" s="6" t="n">
        <x:f>IF(OR(E3910="CANCELED",E3910="SUSPECTED_FRAUD",F3910="Shipping canceled"),0,1)</x:f>
        <x:v>1</x:v>
      </x:c>
      <x:c r="K3910" s="6" t="n">
        <x:f>IF(G3910&gt;H3910,1,0)</x:f>
        <x:v>1</x:v>
      </x:c>
      <x:c r="L3910" s="6" t="n">
        <x:f>J3910*K3910</x:f>
        <x:v>1</x:v>
      </x:c>
    </x:row>
    <x:row r="3911">
      <x:c r="A3911" s="1" t="n">
        <x:v>29667</x:v>
      </x:c>
      <x:c r="B3911" s="5" t="d">
        <x:v>2016-03-09T00:00:00.000Z</x:v>
      </x:c>
      <x:c r="C3911" s="1" t="str">
        <x:v>Second Class</x:v>
      </x:c>
      <x:c r="D3911" s="1" t="str">
        <x:v>Pacific Asia</x:v>
      </x:c>
      <x:c r="E3911" s="1" t="str">
        <x:v>PENDING_PAYMENT</x:v>
      </x:c>
      <x:c r="F3911" s="1" t="str">
        <x:v>Late delivery</x:v>
      </x:c>
      <x:c r="G3911" s="6" t="n">
        <x:v>3</x:v>
      </x:c>
      <x:c r="H3911" s="6" t="n">
        <x:v>2</x:v>
      </x:c>
      <x:c r="I3911" s="6" t="n">
        <x:f>G3911-H3911</x:f>
        <x:v>1</x:v>
      </x:c>
      <x:c r="J3911" s="6" t="n">
        <x:f>IF(OR(E3911="CANCELED",E3911="SUSPECTED_FRAUD",F3911="Shipping canceled"),0,1)</x:f>
        <x:v>1</x:v>
      </x:c>
      <x:c r="K3911" s="6" t="n">
        <x:f>IF(G3911&gt;H3911,1,0)</x:f>
        <x:v>1</x:v>
      </x:c>
      <x:c r="L3911" s="6" t="n">
        <x:f>J3911*K3911</x:f>
        <x:v>1</x:v>
      </x:c>
    </x:row>
    <x:row r="3912">
      <x:c r="A3912" s="1" t="n">
        <x:v>29677</x:v>
      </x:c>
      <x:c r="B3912" s="5" t="d">
        <x:v>2016-03-09T00:00:00.000Z</x:v>
      </x:c>
      <x:c r="C3912" s="1" t="str">
        <x:v>Second Class</x:v>
      </x:c>
      <x:c r="D3912" s="1" t="str">
        <x:v>Pacific Asia</x:v>
      </x:c>
      <x:c r="E3912" s="1" t="str">
        <x:v>COMPLETE</x:v>
      </x:c>
      <x:c r="F3912" s="1" t="str">
        <x:v>Late delivery</x:v>
      </x:c>
      <x:c r="G3912" s="6" t="n">
        <x:v>3</x:v>
      </x:c>
      <x:c r="H3912" s="6" t="n">
        <x:v>2</x:v>
      </x:c>
      <x:c r="I3912" s="6" t="n">
        <x:f>G3912-H3912</x:f>
        <x:v>1</x:v>
      </x:c>
      <x:c r="J3912" s="6" t="n">
        <x:f>IF(OR(E3912="CANCELED",E3912="SUSPECTED_FRAUD",F3912="Shipping canceled"),0,1)</x:f>
        <x:v>1</x:v>
      </x:c>
      <x:c r="K3912" s="6" t="n">
        <x:f>IF(G3912&gt;H3912,1,0)</x:f>
        <x:v>1</x:v>
      </x:c>
      <x:c r="L3912" s="6" t="n">
        <x:f>J3912*K3912</x:f>
        <x:v>1</x:v>
      </x:c>
    </x:row>
    <x:row r="3913">
      <x:c r="A3913" s="1" t="n">
        <x:v>29690</x:v>
      </x:c>
      <x:c r="B3913" s="5" t="d">
        <x:v>2016-03-09T00:00:00.000Z</x:v>
      </x:c>
      <x:c r="C3913" s="1" t="str">
        <x:v>First Class</x:v>
      </x:c>
      <x:c r="D3913" s="1" t="str">
        <x:v>Pacific Asia</x:v>
      </x:c>
      <x:c r="E3913" s="1" t="str">
        <x:v>PROCESSING</x:v>
      </x:c>
      <x:c r="F3913" s="1" t="str">
        <x:v>Late delivery</x:v>
      </x:c>
      <x:c r="G3913" s="6" t="n">
        <x:v>2</x:v>
      </x:c>
      <x:c r="H3913" s="6" t="n">
        <x:v>1</x:v>
      </x:c>
      <x:c r="I3913" s="6" t="n">
        <x:f>G3913-H3913</x:f>
        <x:v>1</x:v>
      </x:c>
      <x:c r="J3913" s="6" t="n">
        <x:f>IF(OR(E3913="CANCELED",E3913="SUSPECTED_FRAUD",F3913="Shipping canceled"),0,1)</x:f>
        <x:v>1</x:v>
      </x:c>
      <x:c r="K3913" s="6" t="n">
        <x:f>IF(G3913&gt;H3913,1,0)</x:f>
        <x:v>1</x:v>
      </x:c>
      <x:c r="L3913" s="6" t="n">
        <x:f>J3913*K3913</x:f>
        <x:v>1</x:v>
      </x:c>
    </x:row>
    <x:row r="3914">
      <x:c r="A3914" s="1" t="n">
        <x:v>29699</x:v>
      </x:c>
      <x:c r="B3914" s="5" t="d">
        <x:v>2016-03-09T00:00:00.000Z</x:v>
      </x:c>
      <x:c r="C3914" s="1" t="str">
        <x:v>Standard Class</x:v>
      </x:c>
      <x:c r="D3914" s="1" t="str">
        <x:v>Pacific Asia</x:v>
      </x:c>
      <x:c r="E3914" s="1" t="str">
        <x:v>COMPLETE</x:v>
      </x:c>
      <x:c r="F3914" s="1" t="str">
        <x:v>Late delivery</x:v>
      </x:c>
      <x:c r="G3914" s="6" t="n">
        <x:v>5</x:v>
      </x:c>
      <x:c r="H3914" s="6" t="n">
        <x:v>4</x:v>
      </x:c>
      <x:c r="I3914" s="6" t="n">
        <x:f>G3914-H3914</x:f>
        <x:v>1</x:v>
      </x:c>
      <x:c r="J3914" s="6" t="n">
        <x:f>IF(OR(E3914="CANCELED",E3914="SUSPECTED_FRAUD",F3914="Shipping canceled"),0,1)</x:f>
        <x:v>1</x:v>
      </x:c>
      <x:c r="K3914" s="6" t="n">
        <x:f>IF(G3914&gt;H3914,1,0)</x:f>
        <x:v>1</x:v>
      </x:c>
      <x:c r="L3914" s="6" t="n">
        <x:f>J3914*K3914</x:f>
        <x:v>1</x:v>
      </x:c>
    </x:row>
    <x:row r="3915">
      <x:c r="A3915" s="1" t="n">
        <x:v>29710</x:v>
      </x:c>
      <x:c r="B3915" s="5" t="d">
        <x:v>2016-03-09T00:00:00.000Z</x:v>
      </x:c>
      <x:c r="C3915" s="1" t="str">
        <x:v>Standard Class</x:v>
      </x:c>
      <x:c r="D3915" s="1" t="str">
        <x:v>Pacific Asia</x:v>
      </x:c>
      <x:c r="E3915" s="1" t="str">
        <x:v>COMPLETE</x:v>
      </x:c>
      <x:c r="F3915" s="1" t="str">
        <x:v>Late delivery</x:v>
      </x:c>
      <x:c r="G3915" s="6" t="n">
        <x:v>6</x:v>
      </x:c>
      <x:c r="H3915" s="6" t="n">
        <x:v>4</x:v>
      </x:c>
      <x:c r="I3915" s="6" t="n">
        <x:f>G3915-H3915</x:f>
        <x:v>2</x:v>
      </x:c>
      <x:c r="J3915" s="6" t="n">
        <x:f>IF(OR(E3915="CANCELED",E3915="SUSPECTED_FRAUD",F3915="Shipping canceled"),0,1)</x:f>
        <x:v>1</x:v>
      </x:c>
      <x:c r="K3915" s="6" t="n">
        <x:f>IF(G3915&gt;H3915,1,0)</x:f>
        <x:v>1</x:v>
      </x:c>
      <x:c r="L3915" s="6" t="n">
        <x:f>J3915*K3915</x:f>
        <x:v>1</x:v>
      </x:c>
    </x:row>
    <x:row r="3916">
      <x:c r="A3916" s="1" t="n">
        <x:v>29731</x:v>
      </x:c>
      <x:c r="B3916" s="5" t="d">
        <x:v>2016-03-09T00:00:00.000Z</x:v>
      </x:c>
      <x:c r="C3916" s="1" t="str">
        <x:v>Standard Class</x:v>
      </x:c>
      <x:c r="D3916" s="1" t="str">
        <x:v>Pacific Asia</x:v>
      </x:c>
      <x:c r="E3916" s="1" t="str">
        <x:v>PENDING</x:v>
      </x:c>
      <x:c r="F3916" s="1" t="str">
        <x:v>Advance shipping</x:v>
      </x:c>
      <x:c r="G3916" s="6" t="n">
        <x:v>2</x:v>
      </x:c>
      <x:c r="H3916" s="6" t="n">
        <x:v>4</x:v>
      </x:c>
      <x:c r="I3916" s="6" t="n">
        <x:f>G3916-H3916</x:f>
        <x:v>-2</x:v>
      </x:c>
      <x:c r="J3916" s="6" t="n">
        <x:f>IF(OR(E3916="CANCELED",E3916="SUSPECTED_FRAUD",F3916="Shipping canceled"),0,1)</x:f>
        <x:v>1</x:v>
      </x:c>
      <x:c r="K3916" s="6" t="n">
        <x:f>IF(G3916&gt;H3916,1,0)</x:f>
        <x:v>0</x:v>
      </x:c>
      <x:c r="L3916" s="6" t="n">
        <x:f>J3916*K3916</x:f>
        <x:v>0</x:v>
      </x:c>
    </x:row>
    <x:row r="3917">
      <x:c r="A3917" s="1" t="n">
        <x:v>29733</x:v>
      </x:c>
      <x:c r="B3917" s="5" t="d">
        <x:v>2016-03-10T00:00:00.000Z</x:v>
      </x:c>
      <x:c r="C3917" s="1" t="str">
        <x:v>Standard Class</x:v>
      </x:c>
      <x:c r="D3917" s="1" t="str">
        <x:v>Pacific Asia</x:v>
      </x:c>
      <x:c r="E3917" s="1" t="str">
        <x:v>PENDING_PAYMENT</x:v>
      </x:c>
      <x:c r="F3917" s="1" t="str">
        <x:v>Shipping on time</x:v>
      </x:c>
      <x:c r="G3917" s="6" t="n">
        <x:v>4</x:v>
      </x:c>
      <x:c r="H3917" s="6" t="n">
        <x:v>4</x:v>
      </x:c>
      <x:c r="I3917" s="6" t="n">
        <x:f>G3917-H3917</x:f>
        <x:v>0</x:v>
      </x:c>
      <x:c r="J3917" s="6" t="n">
        <x:f>IF(OR(E3917="CANCELED",E3917="SUSPECTED_FRAUD",F3917="Shipping canceled"),0,1)</x:f>
        <x:v>1</x:v>
      </x:c>
      <x:c r="K3917" s="6" t="n">
        <x:f>IF(G3917&gt;H3917,1,0)</x:f>
        <x:v>0</x:v>
      </x:c>
      <x:c r="L3917" s="6" t="n">
        <x:f>J3917*K3917</x:f>
        <x:v>0</x:v>
      </x:c>
    </x:row>
    <x:row r="3918">
      <x:c r="A3918" s="1" t="n">
        <x:v>29746</x:v>
      </x:c>
      <x:c r="B3918" s="5" t="d">
        <x:v>2016-03-10T00:00:00.000Z</x:v>
      </x:c>
      <x:c r="C3918" s="1" t="str">
        <x:v>Standard Class</x:v>
      </x:c>
      <x:c r="D3918" s="1" t="str">
        <x:v>Pacific Asia</x:v>
      </x:c>
      <x:c r="E3918" s="1" t="str">
        <x:v>COMPLETE</x:v>
      </x:c>
      <x:c r="F3918" s="1" t="str">
        <x:v>Advance shipping</x:v>
      </x:c>
      <x:c r="G3918" s="6" t="n">
        <x:v>2</x:v>
      </x:c>
      <x:c r="H3918" s="6" t="n">
        <x:v>4</x:v>
      </x:c>
      <x:c r="I3918" s="6" t="n">
        <x:f>G3918-H3918</x:f>
        <x:v>-2</x:v>
      </x:c>
      <x:c r="J3918" s="6" t="n">
        <x:f>IF(OR(E3918="CANCELED",E3918="SUSPECTED_FRAUD",F3918="Shipping canceled"),0,1)</x:f>
        <x:v>1</x:v>
      </x:c>
      <x:c r="K3918" s="6" t="n">
        <x:f>IF(G3918&gt;H3918,1,0)</x:f>
        <x:v>0</x:v>
      </x:c>
      <x:c r="L3918" s="6" t="n">
        <x:f>J3918*K3918</x:f>
        <x:v>0</x:v>
      </x:c>
    </x:row>
    <x:row r="3919">
      <x:c r="A3919" s="1" t="n">
        <x:v>29771</x:v>
      </x:c>
      <x:c r="B3919" s="5" t="d">
        <x:v>2016-03-10T00:00:00.000Z</x:v>
      </x:c>
      <x:c r="C3919" s="1" t="str">
        <x:v>First Class</x:v>
      </x:c>
      <x:c r="D3919" s="1" t="str">
        <x:v>Pacific Asia</x:v>
      </x:c>
      <x:c r="E3919" s="1" t="str">
        <x:v>ON_HOLD</x:v>
      </x:c>
      <x:c r="F3919" s="1" t="str">
        <x:v>Late delivery</x:v>
      </x:c>
      <x:c r="G3919" s="6" t="n">
        <x:v>2</x:v>
      </x:c>
      <x:c r="H3919" s="6" t="n">
        <x:v>1</x:v>
      </x:c>
      <x:c r="I3919" s="6" t="n">
        <x:f>G3919-H3919</x:f>
        <x:v>1</x:v>
      </x:c>
      <x:c r="J3919" s="6" t="n">
        <x:f>IF(OR(E3919="CANCELED",E3919="SUSPECTED_FRAUD",F3919="Shipping canceled"),0,1)</x:f>
        <x:v>1</x:v>
      </x:c>
      <x:c r="K3919" s="6" t="n">
        <x:f>IF(G3919&gt;H3919,1,0)</x:f>
        <x:v>1</x:v>
      </x:c>
      <x:c r="L3919" s="6" t="n">
        <x:f>J3919*K3919</x:f>
        <x:v>1</x:v>
      </x:c>
    </x:row>
    <x:row r="3920">
      <x:c r="A3920" s="1" t="n">
        <x:v>29778</x:v>
      </x:c>
      <x:c r="B3920" s="5" t="d">
        <x:v>2016-03-10T00:00:00.000Z</x:v>
      </x:c>
      <x:c r="C3920" s="1" t="str">
        <x:v>Standard Class</x:v>
      </x:c>
      <x:c r="D3920" s="1" t="str">
        <x:v>Pacific Asia</x:v>
      </x:c>
      <x:c r="E3920" s="1" t="str">
        <x:v>COMPLETE</x:v>
      </x:c>
      <x:c r="F3920" s="1" t="str">
        <x:v>Shipping on time</x:v>
      </x:c>
      <x:c r="G3920" s="6" t="n">
        <x:v>4</x:v>
      </x:c>
      <x:c r="H3920" s="6" t="n">
        <x:v>4</x:v>
      </x:c>
      <x:c r="I3920" s="6" t="n">
        <x:f>G3920-H3920</x:f>
        <x:v>0</x:v>
      </x:c>
      <x:c r="J3920" s="6" t="n">
        <x:f>IF(OR(E3920="CANCELED",E3920="SUSPECTED_FRAUD",F3920="Shipping canceled"),0,1)</x:f>
        <x:v>1</x:v>
      </x:c>
      <x:c r="K3920" s="6" t="n">
        <x:f>IF(G3920&gt;H3920,1,0)</x:f>
        <x:v>0</x:v>
      </x:c>
      <x:c r="L3920" s="6" t="n">
        <x:f>J3920*K3920</x:f>
        <x:v>0</x:v>
      </x:c>
    </x:row>
    <x:row r="3921">
      <x:c r="A3921" s="1" t="n">
        <x:v>29780</x:v>
      </x:c>
      <x:c r="B3921" s="5" t="d">
        <x:v>2016-03-10T00:00:00.000Z</x:v>
      </x:c>
      <x:c r="C3921" s="1" t="str">
        <x:v>Standard Class</x:v>
      </x:c>
      <x:c r="D3921" s="1" t="str">
        <x:v>Pacific Asia</x:v>
      </x:c>
      <x:c r="E3921" s="1" t="str">
        <x:v>COMPLETE</x:v>
      </x:c>
      <x:c r="F3921" s="1" t="str">
        <x:v>Late delivery</x:v>
      </x:c>
      <x:c r="G3921" s="6" t="n">
        <x:v>6</x:v>
      </x:c>
      <x:c r="H3921" s="6" t="n">
        <x:v>4</x:v>
      </x:c>
      <x:c r="I3921" s="6" t="n">
        <x:f>G3921-H3921</x:f>
        <x:v>2</x:v>
      </x:c>
      <x:c r="J3921" s="6" t="n">
        <x:f>IF(OR(E3921="CANCELED",E3921="SUSPECTED_FRAUD",F3921="Shipping canceled"),0,1)</x:f>
        <x:v>1</x:v>
      </x:c>
      <x:c r="K3921" s="6" t="n">
        <x:f>IF(G3921&gt;H3921,1,0)</x:f>
        <x:v>1</x:v>
      </x:c>
      <x:c r="L3921" s="6" t="n">
        <x:f>J3921*K3921</x:f>
        <x:v>1</x:v>
      </x:c>
    </x:row>
    <x:row r="3922">
      <x:c r="A3922" s="1" t="n">
        <x:v>29784</x:v>
      </x:c>
      <x:c r="B3922" s="5" t="d">
        <x:v>2016-03-10T00:00:00.000Z</x:v>
      </x:c>
      <x:c r="C3922" s="1" t="str">
        <x:v>First Class</x:v>
      </x:c>
      <x:c r="D3922" s="1" t="str">
        <x:v>Pacific Asia</x:v>
      </x:c>
      <x:c r="E3922" s="1" t="str">
        <x:v>ON_HOLD</x:v>
      </x:c>
      <x:c r="F3922" s="1" t="str">
        <x:v>Late delivery</x:v>
      </x:c>
      <x:c r="G3922" s="6" t="n">
        <x:v>2</x:v>
      </x:c>
      <x:c r="H3922" s="6" t="n">
        <x:v>1</x:v>
      </x:c>
      <x:c r="I3922" s="6" t="n">
        <x:f>G3922-H3922</x:f>
        <x:v>1</x:v>
      </x:c>
      <x:c r="J3922" s="6" t="n">
        <x:f>IF(OR(E3922="CANCELED",E3922="SUSPECTED_FRAUD",F3922="Shipping canceled"),0,1)</x:f>
        <x:v>1</x:v>
      </x:c>
      <x:c r="K3922" s="6" t="n">
        <x:f>IF(G3922&gt;H3922,1,0)</x:f>
        <x:v>1</x:v>
      </x:c>
      <x:c r="L3922" s="6" t="n">
        <x:f>J3922*K3922</x:f>
        <x:v>1</x:v>
      </x:c>
    </x:row>
    <x:row r="3923">
      <x:c r="A3923" s="1" t="n">
        <x:v>29821</x:v>
      </x:c>
      <x:c r="B3923" s="5" t="d">
        <x:v>2016-03-11T00:00:00.000Z</x:v>
      </x:c>
      <x:c r="C3923" s="1" t="str">
        <x:v>Standard Class</x:v>
      </x:c>
      <x:c r="D3923" s="1" t="str">
        <x:v>Pacific Asia</x:v>
      </x:c>
      <x:c r="E3923" s="1" t="str">
        <x:v>SUSPECTED_FRAUD</x:v>
      </x:c>
      <x:c r="F3923" s="1" t="str">
        <x:v>Shipping canceled</x:v>
      </x:c>
      <x:c r="G3923" s="6" t="n">
        <x:v>2</x:v>
      </x:c>
      <x:c r="H3923" s="6" t="n">
        <x:v>4</x:v>
      </x:c>
      <x:c r="I3923" s="6" t="n">
        <x:f>G3923-H3923</x:f>
        <x:v>-2</x:v>
      </x:c>
      <x:c r="J3923" s="6" t="n">
        <x:f>IF(OR(E3923="CANCELED",E3923="SUSPECTED_FRAUD",F3923="Shipping canceled"),0,1)</x:f>
        <x:v>0</x:v>
      </x:c>
      <x:c r="K3923" s="6" t="n">
        <x:f>IF(G3923&gt;H3923,1,0)</x:f>
        <x:v>0</x:v>
      </x:c>
      <x:c r="L3923" s="6" t="n">
        <x:f>J3923*K3923</x:f>
        <x:v>0</x:v>
      </x:c>
    </x:row>
    <x:row r="3924">
      <x:c r="A3924" s="1" t="n">
        <x:v>29825</x:v>
      </x:c>
      <x:c r="B3924" s="5" t="d">
        <x:v>2016-03-11T00:00:00.000Z</x:v>
      </x:c>
      <x:c r="C3924" s="1" t="str">
        <x:v>First Class</x:v>
      </x:c>
      <x:c r="D3924" s="1" t="str">
        <x:v>Pacific Asia</x:v>
      </x:c>
      <x:c r="E3924" s="1" t="str">
        <x:v>COMPLETE</x:v>
      </x:c>
      <x:c r="F3924" s="1" t="str">
        <x:v>Late delivery</x:v>
      </x:c>
      <x:c r="G3924" s="6" t="n">
        <x:v>2</x:v>
      </x:c>
      <x:c r="H3924" s="6" t="n">
        <x:v>1</x:v>
      </x:c>
      <x:c r="I3924" s="6" t="n">
        <x:f>G3924-H3924</x:f>
        <x:v>1</x:v>
      </x:c>
      <x:c r="J3924" s="6" t="n">
        <x:f>IF(OR(E3924="CANCELED",E3924="SUSPECTED_FRAUD",F3924="Shipping canceled"),0,1)</x:f>
        <x:v>1</x:v>
      </x:c>
      <x:c r="K3924" s="6" t="n">
        <x:f>IF(G3924&gt;H3924,1,0)</x:f>
        <x:v>1</x:v>
      </x:c>
      <x:c r="L3924" s="6" t="n">
        <x:f>J3924*K3924</x:f>
        <x:v>1</x:v>
      </x:c>
    </x:row>
    <x:row r="3925">
      <x:c r="A3925" s="1" t="n">
        <x:v>29835</x:v>
      </x:c>
      <x:c r="B3925" s="5" t="d">
        <x:v>2016-03-11T00:00:00.000Z</x:v>
      </x:c>
      <x:c r="C3925" s="1" t="str">
        <x:v>Second Class</x:v>
      </x:c>
      <x:c r="D3925" s="1" t="str">
        <x:v>Pacific Asia</x:v>
      </x:c>
      <x:c r="E3925" s="1" t="str">
        <x:v>PROCESSING</x:v>
      </x:c>
      <x:c r="F3925" s="1" t="str">
        <x:v>Late delivery</x:v>
      </x:c>
      <x:c r="G3925" s="6" t="n">
        <x:v>6</x:v>
      </x:c>
      <x:c r="H3925" s="6" t="n">
        <x:v>2</x:v>
      </x:c>
      <x:c r="I3925" s="6" t="n">
        <x:f>G3925-H3925</x:f>
        <x:v>4</x:v>
      </x:c>
      <x:c r="J3925" s="6" t="n">
        <x:f>IF(OR(E3925="CANCELED",E3925="SUSPECTED_FRAUD",F3925="Shipping canceled"),0,1)</x:f>
        <x:v>1</x:v>
      </x:c>
      <x:c r="K3925" s="6" t="n">
        <x:f>IF(G3925&gt;H3925,1,0)</x:f>
        <x:v>1</x:v>
      </x:c>
      <x:c r="L3925" s="6" t="n">
        <x:f>J3925*K3925</x:f>
        <x:v>1</x:v>
      </x:c>
    </x:row>
    <x:row r="3926">
      <x:c r="A3926" s="1" t="n">
        <x:v>29837</x:v>
      </x:c>
      <x:c r="B3926" s="5" t="d">
        <x:v>2016-03-11T00:00:00.000Z</x:v>
      </x:c>
      <x:c r="C3926" s="1" t="str">
        <x:v>Standard Class</x:v>
      </x:c>
      <x:c r="D3926" s="1" t="str">
        <x:v>Pacific Asia</x:v>
      </x:c>
      <x:c r="E3926" s="1" t="str">
        <x:v>COMPLETE</x:v>
      </x:c>
      <x:c r="F3926" s="1" t="str">
        <x:v>Advance shipping</x:v>
      </x:c>
      <x:c r="G3926" s="6" t="n">
        <x:v>3</x:v>
      </x:c>
      <x:c r="H3926" s="6" t="n">
        <x:v>4</x:v>
      </x:c>
      <x:c r="I3926" s="6" t="n">
        <x:f>G3926-H3926</x:f>
        <x:v>-1</x:v>
      </x:c>
      <x:c r="J3926" s="6" t="n">
        <x:f>IF(OR(E3926="CANCELED",E3926="SUSPECTED_FRAUD",F3926="Shipping canceled"),0,1)</x:f>
        <x:v>1</x:v>
      </x:c>
      <x:c r="K3926" s="6" t="n">
        <x:f>IF(G3926&gt;H3926,1,0)</x:f>
        <x:v>0</x:v>
      </x:c>
      <x:c r="L3926" s="6" t="n">
        <x:f>J3926*K3926</x:f>
        <x:v>0</x:v>
      </x:c>
    </x:row>
    <x:row r="3927">
      <x:c r="A3927" s="1" t="n">
        <x:v>29849</x:v>
      </x:c>
      <x:c r="B3927" s="5" t="d">
        <x:v>2016-03-11T00:00:00.000Z</x:v>
      </x:c>
      <x:c r="C3927" s="1" t="str">
        <x:v>Standard Class</x:v>
      </x:c>
      <x:c r="D3927" s="1" t="str">
        <x:v>Pacific Asia</x:v>
      </x:c>
      <x:c r="E3927" s="1" t="str">
        <x:v>PENDING_PAYMENT</x:v>
      </x:c>
      <x:c r="F3927" s="1" t="str">
        <x:v>Late delivery</x:v>
      </x:c>
      <x:c r="G3927" s="6" t="n">
        <x:v>5</x:v>
      </x:c>
      <x:c r="H3927" s="6" t="n">
        <x:v>4</x:v>
      </x:c>
      <x:c r="I3927" s="6" t="n">
        <x:f>G3927-H3927</x:f>
        <x:v>1</x:v>
      </x:c>
      <x:c r="J3927" s="6" t="n">
        <x:f>IF(OR(E3927="CANCELED",E3927="SUSPECTED_FRAUD",F3927="Shipping canceled"),0,1)</x:f>
        <x:v>1</x:v>
      </x:c>
      <x:c r="K3927" s="6" t="n">
        <x:f>IF(G3927&gt;H3927,1,0)</x:f>
        <x:v>1</x:v>
      </x:c>
      <x:c r="L3927" s="6" t="n">
        <x:f>J3927*K3927</x:f>
        <x:v>1</x:v>
      </x:c>
    </x:row>
    <x:row r="3928">
      <x:c r="A3928" s="1" t="n">
        <x:v>29851</x:v>
      </x:c>
      <x:c r="B3928" s="5" t="d">
        <x:v>2016-03-11T00:00:00.000Z</x:v>
      </x:c>
      <x:c r="C3928" s="1" t="str">
        <x:v>Standard Class</x:v>
      </x:c>
      <x:c r="D3928" s="1" t="str">
        <x:v>Pacific Asia</x:v>
      </x:c>
      <x:c r="E3928" s="1" t="str">
        <x:v>SUSPECTED_FRAUD</x:v>
      </x:c>
      <x:c r="F3928" s="1" t="str">
        <x:v>Shipping canceled</x:v>
      </x:c>
      <x:c r="G3928" s="6" t="n">
        <x:v>2</x:v>
      </x:c>
      <x:c r="H3928" s="6" t="n">
        <x:v>4</x:v>
      </x:c>
      <x:c r="I3928" s="6" t="n">
        <x:f>G3928-H3928</x:f>
        <x:v>-2</x:v>
      </x:c>
      <x:c r="J3928" s="6" t="n">
        <x:f>IF(OR(E3928="CANCELED",E3928="SUSPECTED_FRAUD",F3928="Shipping canceled"),0,1)</x:f>
        <x:v>0</x:v>
      </x:c>
      <x:c r="K3928" s="6" t="n">
        <x:f>IF(G3928&gt;H3928,1,0)</x:f>
        <x:v>0</x:v>
      </x:c>
      <x:c r="L3928" s="6" t="n">
        <x:f>J3928*K3928</x:f>
        <x:v>0</x:v>
      </x:c>
    </x:row>
    <x:row r="3929">
      <x:c r="A3929" s="1" t="n">
        <x:v>29862</x:v>
      </x:c>
      <x:c r="B3929" s="5" t="d">
        <x:v>2016-03-11T00:00:00.000Z</x:v>
      </x:c>
      <x:c r="C3929" s="1" t="str">
        <x:v>Standard Class</x:v>
      </x:c>
      <x:c r="D3929" s="1" t="str">
        <x:v>Pacific Asia</x:v>
      </x:c>
      <x:c r="E3929" s="1" t="str">
        <x:v>PENDING</x:v>
      </x:c>
      <x:c r="F3929" s="1" t="str">
        <x:v>Advance shipping</x:v>
      </x:c>
      <x:c r="G3929" s="6" t="n">
        <x:v>3</x:v>
      </x:c>
      <x:c r="H3929" s="6" t="n">
        <x:v>4</x:v>
      </x:c>
      <x:c r="I3929" s="6" t="n">
        <x:f>G3929-H3929</x:f>
        <x:v>-1</x:v>
      </x:c>
      <x:c r="J3929" s="6" t="n">
        <x:f>IF(OR(E3929="CANCELED",E3929="SUSPECTED_FRAUD",F3929="Shipping canceled"),0,1)</x:f>
        <x:v>1</x:v>
      </x:c>
      <x:c r="K3929" s="6" t="n">
        <x:f>IF(G3929&gt;H3929,1,0)</x:f>
        <x:v>0</x:v>
      </x:c>
      <x:c r="L3929" s="6" t="n">
        <x:f>J3929*K3929</x:f>
        <x:v>0</x:v>
      </x:c>
    </x:row>
    <x:row r="3930">
      <x:c r="A3930" s="1" t="n">
        <x:v>29870</x:v>
      </x:c>
      <x:c r="B3930" s="5" t="d">
        <x:v>2016-03-12T00:00:00.000Z</x:v>
      </x:c>
      <x:c r="C3930" s="1" t="str">
        <x:v>Standard Class</x:v>
      </x:c>
      <x:c r="D3930" s="1" t="str">
        <x:v>Pacific Asia</x:v>
      </x:c>
      <x:c r="E3930" s="1" t="str">
        <x:v>COMPLETE</x:v>
      </x:c>
      <x:c r="F3930" s="1" t="str">
        <x:v>Late delivery</x:v>
      </x:c>
      <x:c r="G3930" s="6" t="n">
        <x:v>6</x:v>
      </x:c>
      <x:c r="H3930" s="6" t="n">
        <x:v>4</x:v>
      </x:c>
      <x:c r="I3930" s="6" t="n">
        <x:f>G3930-H3930</x:f>
        <x:v>2</x:v>
      </x:c>
      <x:c r="J3930" s="6" t="n">
        <x:f>IF(OR(E3930="CANCELED",E3930="SUSPECTED_FRAUD",F3930="Shipping canceled"),0,1)</x:f>
        <x:v>1</x:v>
      </x:c>
      <x:c r="K3930" s="6" t="n">
        <x:f>IF(G3930&gt;H3930,1,0)</x:f>
        <x:v>1</x:v>
      </x:c>
      <x:c r="L3930" s="6" t="n">
        <x:f>J3930*K3930</x:f>
        <x:v>1</x:v>
      </x:c>
    </x:row>
    <x:row r="3931">
      <x:c r="A3931" s="1" t="n">
        <x:v>29871</x:v>
      </x:c>
      <x:c r="B3931" s="5" t="d">
        <x:v>2016-03-12T00:00:00.000Z</x:v>
      </x:c>
      <x:c r="C3931" s="1" t="str">
        <x:v>Standard Class</x:v>
      </x:c>
      <x:c r="D3931" s="1" t="str">
        <x:v>Pacific Asia</x:v>
      </x:c>
      <x:c r="E3931" s="1" t="str">
        <x:v>PENDING</x:v>
      </x:c>
      <x:c r="F3931" s="1" t="str">
        <x:v>Advance shipping</x:v>
      </x:c>
      <x:c r="G3931" s="6" t="n">
        <x:v>2</x:v>
      </x:c>
      <x:c r="H3931" s="6" t="n">
        <x:v>4</x:v>
      </x:c>
      <x:c r="I3931" s="6" t="n">
        <x:f>G3931-H3931</x:f>
        <x:v>-2</x:v>
      </x:c>
      <x:c r="J3931" s="6" t="n">
        <x:f>IF(OR(E3931="CANCELED",E3931="SUSPECTED_FRAUD",F3931="Shipping canceled"),0,1)</x:f>
        <x:v>1</x:v>
      </x:c>
      <x:c r="K3931" s="6" t="n">
        <x:f>IF(G3931&gt;H3931,1,0)</x:f>
        <x:v>0</x:v>
      </x:c>
      <x:c r="L3931" s="6" t="n">
        <x:f>J3931*K3931</x:f>
        <x:v>0</x:v>
      </x:c>
    </x:row>
    <x:row r="3932">
      <x:c r="A3932" s="1" t="n">
        <x:v>29875</x:v>
      </x:c>
      <x:c r="B3932" s="5" t="d">
        <x:v>2016-03-12T00:00:00.000Z</x:v>
      </x:c>
      <x:c r="C3932" s="1" t="str">
        <x:v>Standard Class</x:v>
      </x:c>
      <x:c r="D3932" s="1" t="str">
        <x:v>Pacific Asia</x:v>
      </x:c>
      <x:c r="E3932" s="1" t="str">
        <x:v>PROCESSING</x:v>
      </x:c>
      <x:c r="F3932" s="1" t="str">
        <x:v>Late delivery</x:v>
      </x:c>
      <x:c r="G3932" s="6" t="n">
        <x:v>6</x:v>
      </x:c>
      <x:c r="H3932" s="6" t="n">
        <x:v>4</x:v>
      </x:c>
      <x:c r="I3932" s="6" t="n">
        <x:f>G3932-H3932</x:f>
        <x:v>2</x:v>
      </x:c>
      <x:c r="J3932" s="6" t="n">
        <x:f>IF(OR(E3932="CANCELED",E3932="SUSPECTED_FRAUD",F3932="Shipping canceled"),0,1)</x:f>
        <x:v>1</x:v>
      </x:c>
      <x:c r="K3932" s="6" t="n">
        <x:f>IF(G3932&gt;H3932,1,0)</x:f>
        <x:v>1</x:v>
      </x:c>
      <x:c r="L3932" s="6" t="n">
        <x:f>J3932*K3932</x:f>
        <x:v>1</x:v>
      </x:c>
    </x:row>
    <x:row r="3933">
      <x:c r="A3933" s="1" t="n">
        <x:v>29880</x:v>
      </x:c>
      <x:c r="B3933" s="5" t="d">
        <x:v>2016-03-12T00:00:00.000Z</x:v>
      </x:c>
      <x:c r="C3933" s="1" t="str">
        <x:v>Standard Class</x:v>
      </x:c>
      <x:c r="D3933" s="1" t="str">
        <x:v>Pacific Asia</x:v>
      </x:c>
      <x:c r="E3933" s="1" t="str">
        <x:v>PENDING</x:v>
      </x:c>
      <x:c r="F3933" s="1" t="str">
        <x:v>Late delivery</x:v>
      </x:c>
      <x:c r="G3933" s="6" t="n">
        <x:v>6</x:v>
      </x:c>
      <x:c r="H3933" s="6" t="n">
        <x:v>4</x:v>
      </x:c>
      <x:c r="I3933" s="6" t="n">
        <x:f>G3933-H3933</x:f>
        <x:v>2</x:v>
      </x:c>
      <x:c r="J3933" s="6" t="n">
        <x:f>IF(OR(E3933="CANCELED",E3933="SUSPECTED_FRAUD",F3933="Shipping canceled"),0,1)</x:f>
        <x:v>1</x:v>
      </x:c>
      <x:c r="K3933" s="6" t="n">
        <x:f>IF(G3933&gt;H3933,1,0)</x:f>
        <x:v>1</x:v>
      </x:c>
      <x:c r="L3933" s="6" t="n">
        <x:f>J3933*K3933</x:f>
        <x:v>1</x:v>
      </x:c>
    </x:row>
    <x:row r="3934">
      <x:c r="A3934" s="1" t="n">
        <x:v>29897</x:v>
      </x:c>
      <x:c r="B3934" s="5" t="d">
        <x:v>2016-03-12T00:00:00.000Z</x:v>
      </x:c>
      <x:c r="C3934" s="1" t="str">
        <x:v>Standard Class</x:v>
      </x:c>
      <x:c r="D3934" s="1" t="str">
        <x:v>Pacific Asia</x:v>
      </x:c>
      <x:c r="E3934" s="1" t="str">
        <x:v>ON_HOLD</x:v>
      </x:c>
      <x:c r="F3934" s="1" t="str">
        <x:v>Advance shipping</x:v>
      </x:c>
      <x:c r="G3934" s="6" t="n">
        <x:v>3</x:v>
      </x:c>
      <x:c r="H3934" s="6" t="n">
        <x:v>4</x:v>
      </x:c>
      <x:c r="I3934" s="6" t="n">
        <x:f>G3934-H3934</x:f>
        <x:v>-1</x:v>
      </x:c>
      <x:c r="J3934" s="6" t="n">
        <x:f>IF(OR(E3934="CANCELED",E3934="SUSPECTED_FRAUD",F3934="Shipping canceled"),0,1)</x:f>
        <x:v>1</x:v>
      </x:c>
      <x:c r="K3934" s="6" t="n">
        <x:f>IF(G3934&gt;H3934,1,0)</x:f>
        <x:v>0</x:v>
      </x:c>
      <x:c r="L3934" s="6" t="n">
        <x:f>J3934*K3934</x:f>
        <x:v>0</x:v>
      </x:c>
    </x:row>
    <x:row r="3935">
      <x:c r="A3935" s="1" t="n">
        <x:v>29898</x:v>
      </x:c>
      <x:c r="B3935" s="5" t="d">
        <x:v>2016-03-12T00:00:00.000Z</x:v>
      </x:c>
      <x:c r="C3935" s="1" t="str">
        <x:v>Standard Class</x:v>
      </x:c>
      <x:c r="D3935" s="1" t="str">
        <x:v>Pacific Asia</x:v>
      </x:c>
      <x:c r="E3935" s="1" t="str">
        <x:v>COMPLETE</x:v>
      </x:c>
      <x:c r="F3935" s="1" t="str">
        <x:v>Shipping on time</x:v>
      </x:c>
      <x:c r="G3935" s="6" t="n">
        <x:v>4</x:v>
      </x:c>
      <x:c r="H3935" s="6" t="n">
        <x:v>4</x:v>
      </x:c>
      <x:c r="I3935" s="6" t="n">
        <x:f>G3935-H3935</x:f>
        <x:v>0</x:v>
      </x:c>
      <x:c r="J3935" s="6" t="n">
        <x:f>IF(OR(E3935="CANCELED",E3935="SUSPECTED_FRAUD",F3935="Shipping canceled"),0,1)</x:f>
        <x:v>1</x:v>
      </x:c>
      <x:c r="K3935" s="6" t="n">
        <x:f>IF(G3935&gt;H3935,1,0)</x:f>
        <x:v>0</x:v>
      </x:c>
      <x:c r="L3935" s="6" t="n">
        <x:f>J3935*K3935</x:f>
        <x:v>0</x:v>
      </x:c>
    </x:row>
    <x:row r="3936">
      <x:c r="A3936" s="1" t="n">
        <x:v>29923</x:v>
      </x:c>
      <x:c r="B3936" s="5" t="d">
        <x:v>2016-03-12T00:00:00.000Z</x:v>
      </x:c>
      <x:c r="C3936" s="1" t="str">
        <x:v>Standard Class</x:v>
      </x:c>
      <x:c r="D3936" s="1" t="str">
        <x:v>Pacific Asia</x:v>
      </x:c>
      <x:c r="E3936" s="1" t="str">
        <x:v>COMPLETE</x:v>
      </x:c>
      <x:c r="F3936" s="1" t="str">
        <x:v>Shipping on time</x:v>
      </x:c>
      <x:c r="G3936" s="6" t="n">
        <x:v>4</x:v>
      </x:c>
      <x:c r="H3936" s="6" t="n">
        <x:v>4</x:v>
      </x:c>
      <x:c r="I3936" s="6" t="n">
        <x:f>G3936-H3936</x:f>
        <x:v>0</x:v>
      </x:c>
      <x:c r="J3936" s="6" t="n">
        <x:f>IF(OR(E3936="CANCELED",E3936="SUSPECTED_FRAUD",F3936="Shipping canceled"),0,1)</x:f>
        <x:v>1</x:v>
      </x:c>
      <x:c r="K3936" s="6" t="n">
        <x:f>IF(G3936&gt;H3936,1,0)</x:f>
        <x:v>0</x:v>
      </x:c>
      <x:c r="L3936" s="6" t="n">
        <x:f>J3936*K3936</x:f>
        <x:v>0</x:v>
      </x:c>
    </x:row>
    <x:row r="3937">
      <x:c r="A3937" s="1" t="n">
        <x:v>29926</x:v>
      </x:c>
      <x:c r="B3937" s="5" t="d">
        <x:v>2016-03-12T00:00:00.000Z</x:v>
      </x:c>
      <x:c r="C3937" s="1" t="str">
        <x:v>Standard Class</x:v>
      </x:c>
      <x:c r="D3937" s="1" t="str">
        <x:v>Pacific Asia</x:v>
      </x:c>
      <x:c r="E3937" s="1" t="str">
        <x:v>COMPLETE</x:v>
      </x:c>
      <x:c r="F3937" s="1" t="str">
        <x:v>Advance shipping</x:v>
      </x:c>
      <x:c r="G3937" s="6" t="n">
        <x:v>2</x:v>
      </x:c>
      <x:c r="H3937" s="6" t="n">
        <x:v>4</x:v>
      </x:c>
      <x:c r="I3937" s="6" t="n">
        <x:f>G3937-H3937</x:f>
        <x:v>-2</x:v>
      </x:c>
      <x:c r="J3937" s="6" t="n">
        <x:f>IF(OR(E3937="CANCELED",E3937="SUSPECTED_FRAUD",F3937="Shipping canceled"),0,1)</x:f>
        <x:v>1</x:v>
      </x:c>
      <x:c r="K3937" s="6" t="n">
        <x:f>IF(G3937&gt;H3937,1,0)</x:f>
        <x:v>0</x:v>
      </x:c>
      <x:c r="L3937" s="6" t="n">
        <x:f>J3937*K3937</x:f>
        <x:v>0</x:v>
      </x:c>
    </x:row>
    <x:row r="3938">
      <x:c r="A3938" s="1" t="n">
        <x:v>29929</x:v>
      </x:c>
      <x:c r="B3938" s="5" t="d">
        <x:v>2016-03-12T00:00:00.000Z</x:v>
      </x:c>
      <x:c r="C3938" s="1" t="str">
        <x:v>Second Class</x:v>
      </x:c>
      <x:c r="D3938" s="1" t="str">
        <x:v>Pacific Asia</x:v>
      </x:c>
      <x:c r="E3938" s="1" t="str">
        <x:v>COMPLETE</x:v>
      </x:c>
      <x:c r="F3938" s="1" t="str">
        <x:v>Late delivery</x:v>
      </x:c>
      <x:c r="G3938" s="6" t="n">
        <x:v>5</x:v>
      </x:c>
      <x:c r="H3938" s="6" t="n">
        <x:v>2</x:v>
      </x:c>
      <x:c r="I3938" s="6" t="n">
        <x:f>G3938-H3938</x:f>
        <x:v>3</x:v>
      </x:c>
      <x:c r="J3938" s="6" t="n">
        <x:f>IF(OR(E3938="CANCELED",E3938="SUSPECTED_FRAUD",F3938="Shipping canceled"),0,1)</x:f>
        <x:v>1</x:v>
      </x:c>
      <x:c r="K3938" s="6" t="n">
        <x:f>IF(G3938&gt;H3938,1,0)</x:f>
        <x:v>1</x:v>
      </x:c>
      <x:c r="L3938" s="6" t="n">
        <x:f>J3938*K3938</x:f>
        <x:v>1</x:v>
      </x:c>
    </x:row>
    <x:row r="3939">
      <x:c r="A3939" s="1" t="n">
        <x:v>29930</x:v>
      </x:c>
      <x:c r="B3939" s="5" t="d">
        <x:v>2016-03-12T00:00:00.000Z</x:v>
      </x:c>
      <x:c r="C3939" s="1" t="str">
        <x:v>Standard Class</x:v>
      </x:c>
      <x:c r="D3939" s="1" t="str">
        <x:v>Pacific Asia</x:v>
      </x:c>
      <x:c r="E3939" s="1" t="str">
        <x:v>PENDING_PAYMENT</x:v>
      </x:c>
      <x:c r="F3939" s="1" t="str">
        <x:v>Late delivery</x:v>
      </x:c>
      <x:c r="G3939" s="6" t="n">
        <x:v>6</x:v>
      </x:c>
      <x:c r="H3939" s="6" t="n">
        <x:v>4</x:v>
      </x:c>
      <x:c r="I3939" s="6" t="n">
        <x:f>G3939-H3939</x:f>
        <x:v>2</x:v>
      </x:c>
      <x:c r="J3939" s="6" t="n">
        <x:f>IF(OR(E3939="CANCELED",E3939="SUSPECTED_FRAUD",F3939="Shipping canceled"),0,1)</x:f>
        <x:v>1</x:v>
      </x:c>
      <x:c r="K3939" s="6" t="n">
        <x:f>IF(G3939&gt;H3939,1,0)</x:f>
        <x:v>1</x:v>
      </x:c>
      <x:c r="L3939" s="6" t="n">
        <x:f>J3939*K3939</x:f>
        <x:v>1</x:v>
      </x:c>
    </x:row>
    <x:row r="3940">
      <x:c r="A3940" s="1" t="n">
        <x:v>29931</x:v>
      </x:c>
      <x:c r="B3940" s="5" t="d">
        <x:v>2016-03-12T00:00:00.000Z</x:v>
      </x:c>
      <x:c r="C3940" s="1" t="str">
        <x:v>Standard Class</x:v>
      </x:c>
      <x:c r="D3940" s="1" t="str">
        <x:v>Pacific Asia</x:v>
      </x:c>
      <x:c r="E3940" s="1" t="str">
        <x:v>PROCESSING</x:v>
      </x:c>
      <x:c r="F3940" s="1" t="str">
        <x:v>Advance shipping</x:v>
      </x:c>
      <x:c r="G3940" s="6" t="n">
        <x:v>2</x:v>
      </x:c>
      <x:c r="H3940" s="6" t="n">
        <x:v>4</x:v>
      </x:c>
      <x:c r="I3940" s="6" t="n">
        <x:f>G3940-H3940</x:f>
        <x:v>-2</x:v>
      </x:c>
      <x:c r="J3940" s="6" t="n">
        <x:f>IF(OR(E3940="CANCELED",E3940="SUSPECTED_FRAUD",F3940="Shipping canceled"),0,1)</x:f>
        <x:v>1</x:v>
      </x:c>
      <x:c r="K3940" s="6" t="n">
        <x:f>IF(G3940&gt;H3940,1,0)</x:f>
        <x:v>0</x:v>
      </x:c>
      <x:c r="L3940" s="6" t="n">
        <x:f>J3940*K3940</x:f>
        <x:v>0</x:v>
      </x:c>
    </x:row>
    <x:row r="3941">
      <x:c r="A3941" s="1" t="n">
        <x:v>29959</x:v>
      </x:c>
      <x:c r="B3941" s="5" t="d">
        <x:v>2016-03-13T00:00:00.000Z</x:v>
      </x:c>
      <x:c r="C3941" s="1" t="str">
        <x:v>Standard Class</x:v>
      </x:c>
      <x:c r="D3941" s="1" t="str">
        <x:v>Pacific Asia</x:v>
      </x:c>
      <x:c r="E3941" s="1" t="str">
        <x:v>PENDING</x:v>
      </x:c>
      <x:c r="F3941" s="1" t="str">
        <x:v>Late delivery</x:v>
      </x:c>
      <x:c r="G3941" s="6" t="n">
        <x:v>5</x:v>
      </x:c>
      <x:c r="H3941" s="6" t="n">
        <x:v>4</x:v>
      </x:c>
      <x:c r="I3941" s="6" t="n">
        <x:f>G3941-H3941</x:f>
        <x:v>1</x:v>
      </x:c>
      <x:c r="J3941" s="6" t="n">
        <x:f>IF(OR(E3941="CANCELED",E3941="SUSPECTED_FRAUD",F3941="Shipping canceled"),0,1)</x:f>
        <x:v>1</x:v>
      </x:c>
      <x:c r="K3941" s="6" t="n">
        <x:f>IF(G3941&gt;H3941,1,0)</x:f>
        <x:v>1</x:v>
      </x:c>
      <x:c r="L3941" s="6" t="n">
        <x:f>J3941*K3941</x:f>
        <x:v>1</x:v>
      </x:c>
    </x:row>
    <x:row r="3942">
      <x:c r="A3942" s="1" t="n">
        <x:v>29993</x:v>
      </x:c>
      <x:c r="B3942" s="5" t="d">
        <x:v>2016-03-13T00:00:00.000Z</x:v>
      </x:c>
      <x:c r="C3942" s="1" t="str">
        <x:v>Standard Class</x:v>
      </x:c>
      <x:c r="D3942" s="1" t="str">
        <x:v>Pacific Asia</x:v>
      </x:c>
      <x:c r="E3942" s="1" t="str">
        <x:v>PROCESSING</x:v>
      </x:c>
      <x:c r="F3942" s="1" t="str">
        <x:v>Shipping on time</x:v>
      </x:c>
      <x:c r="G3942" s="6" t="n">
        <x:v>4</x:v>
      </x:c>
      <x:c r="H3942" s="6" t="n">
        <x:v>4</x:v>
      </x:c>
      <x:c r="I3942" s="6" t="n">
        <x:f>G3942-H3942</x:f>
        <x:v>0</x:v>
      </x:c>
      <x:c r="J3942" s="6" t="n">
        <x:f>IF(OR(E3942="CANCELED",E3942="SUSPECTED_FRAUD",F3942="Shipping canceled"),0,1)</x:f>
        <x:v>1</x:v>
      </x:c>
      <x:c r="K3942" s="6" t="n">
        <x:f>IF(G3942&gt;H3942,1,0)</x:f>
        <x:v>0</x:v>
      </x:c>
      <x:c r="L3942" s="6" t="n">
        <x:f>J3942*K3942</x:f>
        <x:v>0</x:v>
      </x:c>
    </x:row>
    <x:row r="3943">
      <x:c r="A3943" s="1" t="n">
        <x:v>29995</x:v>
      </x:c>
      <x:c r="B3943" s="5" t="d">
        <x:v>2016-03-13T00:00:00.000Z</x:v>
      </x:c>
      <x:c r="C3943" s="1" t="str">
        <x:v>Standard Class</x:v>
      </x:c>
      <x:c r="D3943" s="1" t="str">
        <x:v>Pacific Asia</x:v>
      </x:c>
      <x:c r="E3943" s="1" t="str">
        <x:v>PROCESSING</x:v>
      </x:c>
      <x:c r="F3943" s="1" t="str">
        <x:v>Late delivery</x:v>
      </x:c>
      <x:c r="G3943" s="6" t="n">
        <x:v>6</x:v>
      </x:c>
      <x:c r="H3943" s="6" t="n">
        <x:v>4</x:v>
      </x:c>
      <x:c r="I3943" s="6" t="n">
        <x:f>G3943-H3943</x:f>
        <x:v>2</x:v>
      </x:c>
      <x:c r="J3943" s="6" t="n">
        <x:f>IF(OR(E3943="CANCELED",E3943="SUSPECTED_FRAUD",F3943="Shipping canceled"),0,1)</x:f>
        <x:v>1</x:v>
      </x:c>
      <x:c r="K3943" s="6" t="n">
        <x:f>IF(G3943&gt;H3943,1,0)</x:f>
        <x:v>1</x:v>
      </x:c>
      <x:c r="L3943" s="6" t="n">
        <x:f>J3943*K3943</x:f>
        <x:v>1</x:v>
      </x:c>
    </x:row>
    <x:row r="3944">
      <x:c r="A3944" s="1" t="n">
        <x:v>29997</x:v>
      </x:c>
      <x:c r="B3944" s="5" t="d">
        <x:v>2016-03-13T00:00:00.000Z</x:v>
      </x:c>
      <x:c r="C3944" s="1" t="str">
        <x:v>Standard Class</x:v>
      </x:c>
      <x:c r="D3944" s="1" t="str">
        <x:v>Pacific Asia</x:v>
      </x:c>
      <x:c r="E3944" s="1" t="str">
        <x:v>ON_HOLD</x:v>
      </x:c>
      <x:c r="F3944" s="1" t="str">
        <x:v>Advance shipping</x:v>
      </x:c>
      <x:c r="G3944" s="6" t="n">
        <x:v>3</x:v>
      </x:c>
      <x:c r="H3944" s="6" t="n">
        <x:v>4</x:v>
      </x:c>
      <x:c r="I3944" s="6" t="n">
        <x:f>G3944-H3944</x:f>
        <x:v>-1</x:v>
      </x:c>
      <x:c r="J3944" s="6" t="n">
        <x:f>IF(OR(E3944="CANCELED",E3944="SUSPECTED_FRAUD",F3944="Shipping canceled"),0,1)</x:f>
        <x:v>1</x:v>
      </x:c>
      <x:c r="K3944" s="6" t="n">
        <x:f>IF(G3944&gt;H3944,1,0)</x:f>
        <x:v>0</x:v>
      </x:c>
      <x:c r="L3944" s="6" t="n">
        <x:f>J3944*K3944</x:f>
        <x:v>0</x:v>
      </x:c>
    </x:row>
    <x:row r="3945">
      <x:c r="A3945" s="1" t="n">
        <x:v>30002</x:v>
      </x:c>
      <x:c r="B3945" s="5" t="d">
        <x:v>2016-03-13T00:00:00.000Z</x:v>
      </x:c>
      <x:c r="C3945" s="1" t="str">
        <x:v>Standard Class</x:v>
      </x:c>
      <x:c r="D3945" s="1" t="str">
        <x:v>Pacific Asia</x:v>
      </x:c>
      <x:c r="E3945" s="1" t="str">
        <x:v>ON_HOLD</x:v>
      </x:c>
      <x:c r="F3945" s="1" t="str">
        <x:v>Advance shipping</x:v>
      </x:c>
      <x:c r="G3945" s="6" t="n">
        <x:v>3</x:v>
      </x:c>
      <x:c r="H3945" s="6" t="n">
        <x:v>4</x:v>
      </x:c>
      <x:c r="I3945" s="6" t="n">
        <x:f>G3945-H3945</x:f>
        <x:v>-1</x:v>
      </x:c>
      <x:c r="J3945" s="6" t="n">
        <x:f>IF(OR(E3945="CANCELED",E3945="SUSPECTED_FRAUD",F3945="Shipping canceled"),0,1)</x:f>
        <x:v>1</x:v>
      </x:c>
      <x:c r="K3945" s="6" t="n">
        <x:f>IF(G3945&gt;H3945,1,0)</x:f>
        <x:v>0</x:v>
      </x:c>
      <x:c r="L3945" s="6" t="n">
        <x:f>J3945*K3945</x:f>
        <x:v>0</x:v>
      </x:c>
    </x:row>
    <x:row r="3946">
      <x:c r="A3946" s="1" t="n">
        <x:v>30010</x:v>
      </x:c>
      <x:c r="B3946" s="5" t="d">
        <x:v>2016-03-14T00:00:00.000Z</x:v>
      </x:c>
      <x:c r="C3946" s="1" t="str">
        <x:v>Standard Class</x:v>
      </x:c>
      <x:c r="D3946" s="1" t="str">
        <x:v>Pacific Asia</x:v>
      </x:c>
      <x:c r="E3946" s="1" t="str">
        <x:v>PROCESSING</x:v>
      </x:c>
      <x:c r="F3946" s="1" t="str">
        <x:v>Late delivery</x:v>
      </x:c>
      <x:c r="G3946" s="6" t="n">
        <x:v>6</x:v>
      </x:c>
      <x:c r="H3946" s="6" t="n">
        <x:v>4</x:v>
      </x:c>
      <x:c r="I3946" s="6" t="n">
        <x:f>G3946-H3946</x:f>
        <x:v>2</x:v>
      </x:c>
      <x:c r="J3946" s="6" t="n">
        <x:f>IF(OR(E3946="CANCELED",E3946="SUSPECTED_FRAUD",F3946="Shipping canceled"),0,1)</x:f>
        <x:v>1</x:v>
      </x:c>
      <x:c r="K3946" s="6" t="n">
        <x:f>IF(G3946&gt;H3946,1,0)</x:f>
        <x:v>1</x:v>
      </x:c>
      <x:c r="L3946" s="6" t="n">
        <x:f>J3946*K3946</x:f>
        <x:v>1</x:v>
      </x:c>
    </x:row>
    <x:row r="3947">
      <x:c r="A3947" s="1" t="n">
        <x:v>30028</x:v>
      </x:c>
      <x:c r="B3947" s="5" t="d">
        <x:v>2016-03-14T00:00:00.000Z</x:v>
      </x:c>
      <x:c r="C3947" s="1" t="str">
        <x:v>Standard Class</x:v>
      </x:c>
      <x:c r="D3947" s="1" t="str">
        <x:v>Pacific Asia</x:v>
      </x:c>
      <x:c r="E3947" s="1" t="str">
        <x:v>COMPLETE</x:v>
      </x:c>
      <x:c r="F3947" s="1" t="str">
        <x:v>Shipping on time</x:v>
      </x:c>
      <x:c r="G3947" s="6" t="n">
        <x:v>4</x:v>
      </x:c>
      <x:c r="H3947" s="6" t="n">
        <x:v>4</x:v>
      </x:c>
      <x:c r="I3947" s="6" t="n">
        <x:f>G3947-H3947</x:f>
        <x:v>0</x:v>
      </x:c>
      <x:c r="J3947" s="6" t="n">
        <x:f>IF(OR(E3947="CANCELED",E3947="SUSPECTED_FRAUD",F3947="Shipping canceled"),0,1)</x:f>
        <x:v>1</x:v>
      </x:c>
      <x:c r="K3947" s="6" t="n">
        <x:f>IF(G3947&gt;H3947,1,0)</x:f>
        <x:v>0</x:v>
      </x:c>
      <x:c r="L3947" s="6" t="n">
        <x:f>J3947*K3947</x:f>
        <x:v>0</x:v>
      </x:c>
    </x:row>
    <x:row r="3948">
      <x:c r="A3948" s="1" t="n">
        <x:v>30029</x:v>
      </x:c>
      <x:c r="B3948" s="5" t="d">
        <x:v>2016-03-14T00:00:00.000Z</x:v>
      </x:c>
      <x:c r="C3948" s="1" t="str">
        <x:v>Standard Class</x:v>
      </x:c>
      <x:c r="D3948" s="1" t="str">
        <x:v>Pacific Asia</x:v>
      </x:c>
      <x:c r="E3948" s="1" t="str">
        <x:v>PENDING</x:v>
      </x:c>
      <x:c r="F3948" s="1" t="str">
        <x:v>Late delivery</x:v>
      </x:c>
      <x:c r="G3948" s="6" t="n">
        <x:v>5</x:v>
      </x:c>
      <x:c r="H3948" s="6" t="n">
        <x:v>4</x:v>
      </x:c>
      <x:c r="I3948" s="6" t="n">
        <x:f>G3948-H3948</x:f>
        <x:v>1</x:v>
      </x:c>
      <x:c r="J3948" s="6" t="n">
        <x:f>IF(OR(E3948="CANCELED",E3948="SUSPECTED_FRAUD",F3948="Shipping canceled"),0,1)</x:f>
        <x:v>1</x:v>
      </x:c>
      <x:c r="K3948" s="6" t="n">
        <x:f>IF(G3948&gt;H3948,1,0)</x:f>
        <x:v>1</x:v>
      </x:c>
      <x:c r="L3948" s="6" t="n">
        <x:f>J3948*K3948</x:f>
        <x:v>1</x:v>
      </x:c>
    </x:row>
    <x:row r="3949">
      <x:c r="A3949" s="1" t="n">
        <x:v>30031</x:v>
      </x:c>
      <x:c r="B3949" s="5" t="d">
        <x:v>2016-03-14T00:00:00.000Z</x:v>
      </x:c>
      <x:c r="C3949" s="1" t="str">
        <x:v>Standard Class</x:v>
      </x:c>
      <x:c r="D3949" s="1" t="str">
        <x:v>Pacific Asia</x:v>
      </x:c>
      <x:c r="E3949" s="1" t="str">
        <x:v>PENDING</x:v>
      </x:c>
      <x:c r="F3949" s="1" t="str">
        <x:v>Advance shipping</x:v>
      </x:c>
      <x:c r="G3949" s="6" t="n">
        <x:v>2</x:v>
      </x:c>
      <x:c r="H3949" s="6" t="n">
        <x:v>4</x:v>
      </x:c>
      <x:c r="I3949" s="6" t="n">
        <x:f>G3949-H3949</x:f>
        <x:v>-2</x:v>
      </x:c>
      <x:c r="J3949" s="6" t="n">
        <x:f>IF(OR(E3949="CANCELED",E3949="SUSPECTED_FRAUD",F3949="Shipping canceled"),0,1)</x:f>
        <x:v>1</x:v>
      </x:c>
      <x:c r="K3949" s="6" t="n">
        <x:f>IF(G3949&gt;H3949,1,0)</x:f>
        <x:v>0</x:v>
      </x:c>
      <x:c r="L3949" s="6" t="n">
        <x:f>J3949*K3949</x:f>
        <x:v>0</x:v>
      </x:c>
    </x:row>
    <x:row r="3950">
      <x:c r="A3950" s="1" t="n">
        <x:v>30040</x:v>
      </x:c>
      <x:c r="B3950" s="5" t="d">
        <x:v>2016-03-14T00:00:00.000Z</x:v>
      </x:c>
      <x:c r="C3950" s="1" t="str">
        <x:v>Standard Class</x:v>
      </x:c>
      <x:c r="D3950" s="1" t="str">
        <x:v>Pacific Asia</x:v>
      </x:c>
      <x:c r="E3950" s="1" t="str">
        <x:v>COMPLETE</x:v>
      </x:c>
      <x:c r="F3950" s="1" t="str">
        <x:v>Late delivery</x:v>
      </x:c>
      <x:c r="G3950" s="6" t="n">
        <x:v>6</x:v>
      </x:c>
      <x:c r="H3950" s="6" t="n">
        <x:v>4</x:v>
      </x:c>
      <x:c r="I3950" s="6" t="n">
        <x:f>G3950-H3950</x:f>
        <x:v>2</x:v>
      </x:c>
      <x:c r="J3950" s="6" t="n">
        <x:f>IF(OR(E3950="CANCELED",E3950="SUSPECTED_FRAUD",F3950="Shipping canceled"),0,1)</x:f>
        <x:v>1</x:v>
      </x:c>
      <x:c r="K3950" s="6" t="n">
        <x:f>IF(G3950&gt;H3950,1,0)</x:f>
        <x:v>1</x:v>
      </x:c>
      <x:c r="L3950" s="6" t="n">
        <x:f>J3950*K3950</x:f>
        <x:v>1</x:v>
      </x:c>
    </x:row>
    <x:row r="3951">
      <x:c r="A3951" s="1" t="n">
        <x:v>30041</x:v>
      </x:c>
      <x:c r="B3951" s="5" t="d">
        <x:v>2016-03-14T00:00:00.000Z</x:v>
      </x:c>
      <x:c r="C3951" s="1" t="str">
        <x:v>Standard Class</x:v>
      </x:c>
      <x:c r="D3951" s="1" t="str">
        <x:v>Pacific Asia</x:v>
      </x:c>
      <x:c r="E3951" s="1" t="str">
        <x:v>COMPLETE</x:v>
      </x:c>
      <x:c r="F3951" s="1" t="str">
        <x:v>Advance shipping</x:v>
      </x:c>
      <x:c r="G3951" s="6" t="n">
        <x:v>2</x:v>
      </x:c>
      <x:c r="H3951" s="6" t="n">
        <x:v>4</x:v>
      </x:c>
      <x:c r="I3951" s="6" t="n">
        <x:f>G3951-H3951</x:f>
        <x:v>-2</x:v>
      </x:c>
      <x:c r="J3951" s="6" t="n">
        <x:f>IF(OR(E3951="CANCELED",E3951="SUSPECTED_FRAUD",F3951="Shipping canceled"),0,1)</x:f>
        <x:v>1</x:v>
      </x:c>
      <x:c r="K3951" s="6" t="n">
        <x:f>IF(G3951&gt;H3951,1,0)</x:f>
        <x:v>0</x:v>
      </x:c>
      <x:c r="L3951" s="6" t="n">
        <x:f>J3951*K3951</x:f>
        <x:v>0</x:v>
      </x:c>
    </x:row>
    <x:row r="3952">
      <x:c r="A3952" s="1" t="n">
        <x:v>30044</x:v>
      </x:c>
      <x:c r="B3952" s="5" t="d">
        <x:v>2016-03-14T00:00:00.000Z</x:v>
      </x:c>
      <x:c r="C3952" s="1" t="str">
        <x:v>Standard Class</x:v>
      </x:c>
      <x:c r="D3952" s="1" t="str">
        <x:v>Pacific Asia</x:v>
      </x:c>
      <x:c r="E3952" s="1" t="str">
        <x:v>COMPLETE</x:v>
      </x:c>
      <x:c r="F3952" s="1" t="str">
        <x:v>Late delivery</x:v>
      </x:c>
      <x:c r="G3952" s="6" t="n">
        <x:v>5</x:v>
      </x:c>
      <x:c r="H3952" s="6" t="n">
        <x:v>4</x:v>
      </x:c>
      <x:c r="I3952" s="6" t="n">
        <x:f>G3952-H3952</x:f>
        <x:v>1</x:v>
      </x:c>
      <x:c r="J3952" s="6" t="n">
        <x:f>IF(OR(E3952="CANCELED",E3952="SUSPECTED_FRAUD",F3952="Shipping canceled"),0,1)</x:f>
        <x:v>1</x:v>
      </x:c>
      <x:c r="K3952" s="6" t="n">
        <x:f>IF(G3952&gt;H3952,1,0)</x:f>
        <x:v>1</x:v>
      </x:c>
      <x:c r="L3952" s="6" t="n">
        <x:f>J3952*K3952</x:f>
        <x:v>1</x:v>
      </x:c>
    </x:row>
    <x:row r="3953">
      <x:c r="A3953" s="1" t="n">
        <x:v>30063</x:v>
      </x:c>
      <x:c r="B3953" s="5" t="d">
        <x:v>2016-03-14T00:00:00.000Z</x:v>
      </x:c>
      <x:c r="C3953" s="1" t="str">
        <x:v>Standard Class</x:v>
      </x:c>
      <x:c r="D3953" s="1" t="str">
        <x:v>Pacific Asia</x:v>
      </x:c>
      <x:c r="E3953" s="1" t="str">
        <x:v>COMPLETE</x:v>
      </x:c>
      <x:c r="F3953" s="1" t="str">
        <x:v>Shipping on time</x:v>
      </x:c>
      <x:c r="G3953" s="6" t="n">
        <x:v>4</x:v>
      </x:c>
      <x:c r="H3953" s="6" t="n">
        <x:v>4</x:v>
      </x:c>
      <x:c r="I3953" s="6" t="n">
        <x:f>G3953-H3953</x:f>
        <x:v>0</x:v>
      </x:c>
      <x:c r="J3953" s="6" t="n">
        <x:f>IF(OR(E3953="CANCELED",E3953="SUSPECTED_FRAUD",F3953="Shipping canceled"),0,1)</x:f>
        <x:v>1</x:v>
      </x:c>
      <x:c r="K3953" s="6" t="n">
        <x:f>IF(G3953&gt;H3953,1,0)</x:f>
        <x:v>0</x:v>
      </x:c>
      <x:c r="L3953" s="6" t="n">
        <x:f>J3953*K3953</x:f>
        <x:v>0</x:v>
      </x:c>
    </x:row>
    <x:row r="3954">
      <x:c r="A3954" s="1" t="n">
        <x:v>30064</x:v>
      </x:c>
      <x:c r="B3954" s="5" t="d">
        <x:v>2016-03-14T00:00:00.000Z</x:v>
      </x:c>
      <x:c r="C3954" s="1" t="str">
        <x:v>Standard Class</x:v>
      </x:c>
      <x:c r="D3954" s="1" t="str">
        <x:v>Pacific Asia</x:v>
      </x:c>
      <x:c r="E3954" s="1" t="str">
        <x:v>COMPLETE</x:v>
      </x:c>
      <x:c r="F3954" s="1" t="str">
        <x:v>Late delivery</x:v>
      </x:c>
      <x:c r="G3954" s="6" t="n">
        <x:v>5</x:v>
      </x:c>
      <x:c r="H3954" s="6" t="n">
        <x:v>4</x:v>
      </x:c>
      <x:c r="I3954" s="6" t="n">
        <x:f>G3954-H3954</x:f>
        <x:v>1</x:v>
      </x:c>
      <x:c r="J3954" s="6" t="n">
        <x:f>IF(OR(E3954="CANCELED",E3954="SUSPECTED_FRAUD",F3954="Shipping canceled"),0,1)</x:f>
        <x:v>1</x:v>
      </x:c>
      <x:c r="K3954" s="6" t="n">
        <x:f>IF(G3954&gt;H3954,1,0)</x:f>
        <x:v>1</x:v>
      </x:c>
      <x:c r="L3954" s="6" t="n">
        <x:f>J3954*K3954</x:f>
        <x:v>1</x:v>
      </x:c>
    </x:row>
    <x:row r="3955">
      <x:c r="A3955" s="1" t="n">
        <x:v>30070</x:v>
      </x:c>
      <x:c r="B3955" s="5" t="d">
        <x:v>2016-03-14T00:00:00.000Z</x:v>
      </x:c>
      <x:c r="C3955" s="1" t="str">
        <x:v>Standard Class</x:v>
      </x:c>
      <x:c r="D3955" s="1" t="str">
        <x:v>Pacific Asia</x:v>
      </x:c>
      <x:c r="E3955" s="1" t="str">
        <x:v>PENDING</x:v>
      </x:c>
      <x:c r="F3955" s="1" t="str">
        <x:v>Late delivery</x:v>
      </x:c>
      <x:c r="G3955" s="6" t="n">
        <x:v>6</x:v>
      </x:c>
      <x:c r="H3955" s="6" t="n">
        <x:v>4</x:v>
      </x:c>
      <x:c r="I3955" s="6" t="n">
        <x:f>G3955-H3955</x:f>
        <x:v>2</x:v>
      </x:c>
      <x:c r="J3955" s="6" t="n">
        <x:f>IF(OR(E3955="CANCELED",E3955="SUSPECTED_FRAUD",F3955="Shipping canceled"),0,1)</x:f>
        <x:v>1</x:v>
      </x:c>
      <x:c r="K3955" s="6" t="n">
        <x:f>IF(G3955&gt;H3955,1,0)</x:f>
        <x:v>1</x:v>
      </x:c>
      <x:c r="L3955" s="6" t="n">
        <x:f>J3955*K3955</x:f>
        <x:v>1</x:v>
      </x:c>
    </x:row>
    <x:row r="3956">
      <x:c r="A3956" s="1" t="n">
        <x:v>30075</x:v>
      </x:c>
      <x:c r="B3956" s="5" t="d">
        <x:v>2016-03-15T00:00:00.000Z</x:v>
      </x:c>
      <x:c r="C3956" s="1" t="str">
        <x:v>Second Class</x:v>
      </x:c>
      <x:c r="D3956" s="1" t="str">
        <x:v>Pacific Asia</x:v>
      </x:c>
      <x:c r="E3956" s="1" t="str">
        <x:v>COMPLETE</x:v>
      </x:c>
      <x:c r="F3956" s="1" t="str">
        <x:v>Late delivery</x:v>
      </x:c>
      <x:c r="G3956" s="6" t="n">
        <x:v>6</x:v>
      </x:c>
      <x:c r="H3956" s="6" t="n">
        <x:v>2</x:v>
      </x:c>
      <x:c r="I3956" s="6" t="n">
        <x:f>G3956-H3956</x:f>
        <x:v>4</x:v>
      </x:c>
      <x:c r="J3956" s="6" t="n">
        <x:f>IF(OR(E3956="CANCELED",E3956="SUSPECTED_FRAUD",F3956="Shipping canceled"),0,1)</x:f>
        <x:v>1</x:v>
      </x:c>
      <x:c r="K3956" s="6" t="n">
        <x:f>IF(G3956&gt;H3956,1,0)</x:f>
        <x:v>1</x:v>
      </x:c>
      <x:c r="L3956" s="6" t="n">
        <x:f>J3956*K3956</x:f>
        <x:v>1</x:v>
      </x:c>
    </x:row>
    <x:row r="3957">
      <x:c r="A3957" s="1" t="n">
        <x:v>30076</x:v>
      </x:c>
      <x:c r="B3957" s="5" t="d">
        <x:v>2016-03-15T00:00:00.000Z</x:v>
      </x:c>
      <x:c r="C3957" s="1" t="str">
        <x:v>Standard Class</x:v>
      </x:c>
      <x:c r="D3957" s="1" t="str">
        <x:v>Pacific Asia</x:v>
      </x:c>
      <x:c r="E3957" s="1" t="str">
        <x:v>PROCESSING</x:v>
      </x:c>
      <x:c r="F3957" s="1" t="str">
        <x:v>Advance shipping</x:v>
      </x:c>
      <x:c r="G3957" s="6" t="n">
        <x:v>2</x:v>
      </x:c>
      <x:c r="H3957" s="6" t="n">
        <x:v>4</x:v>
      </x:c>
      <x:c r="I3957" s="6" t="n">
        <x:f>G3957-H3957</x:f>
        <x:v>-2</x:v>
      </x:c>
      <x:c r="J3957" s="6" t="n">
        <x:f>IF(OR(E3957="CANCELED",E3957="SUSPECTED_FRAUD",F3957="Shipping canceled"),0,1)</x:f>
        <x:v>1</x:v>
      </x:c>
      <x:c r="K3957" s="6" t="n">
        <x:f>IF(G3957&gt;H3957,1,0)</x:f>
        <x:v>0</x:v>
      </x:c>
      <x:c r="L3957" s="6" t="n">
        <x:f>J3957*K3957</x:f>
        <x:v>0</x:v>
      </x:c>
    </x:row>
    <x:row r="3958">
      <x:c r="A3958" s="1" t="n">
        <x:v>30080</x:v>
      </x:c>
      <x:c r="B3958" s="5" t="d">
        <x:v>2016-03-15T00:00:00.000Z</x:v>
      </x:c>
      <x:c r="C3958" s="1" t="str">
        <x:v>Standard Class</x:v>
      </x:c>
      <x:c r="D3958" s="1" t="str">
        <x:v>Pacific Asia</x:v>
      </x:c>
      <x:c r="E3958" s="1" t="str">
        <x:v>PENDING_PAYMENT</x:v>
      </x:c>
      <x:c r="F3958" s="1" t="str">
        <x:v>Late delivery</x:v>
      </x:c>
      <x:c r="G3958" s="6" t="n">
        <x:v>6</x:v>
      </x:c>
      <x:c r="H3958" s="6" t="n">
        <x:v>4</x:v>
      </x:c>
      <x:c r="I3958" s="6" t="n">
        <x:f>G3958-H3958</x:f>
        <x:v>2</x:v>
      </x:c>
      <x:c r="J3958" s="6" t="n">
        <x:f>IF(OR(E3958="CANCELED",E3958="SUSPECTED_FRAUD",F3958="Shipping canceled"),0,1)</x:f>
        <x:v>1</x:v>
      </x:c>
      <x:c r="K3958" s="6" t="n">
        <x:f>IF(G3958&gt;H3958,1,0)</x:f>
        <x:v>1</x:v>
      </x:c>
      <x:c r="L3958" s="6" t="n">
        <x:f>J3958*K3958</x:f>
        <x:v>1</x:v>
      </x:c>
    </x:row>
    <x:row r="3959">
      <x:c r="A3959" s="1" t="n">
        <x:v>30085</x:v>
      </x:c>
      <x:c r="B3959" s="5" t="d">
        <x:v>2016-03-15T00:00:00.000Z</x:v>
      </x:c>
      <x:c r="C3959" s="1" t="str">
        <x:v>Standard Class</x:v>
      </x:c>
      <x:c r="D3959" s="1" t="str">
        <x:v>Pacific Asia</x:v>
      </x:c>
      <x:c r="E3959" s="1" t="str">
        <x:v>COMPLETE</x:v>
      </x:c>
      <x:c r="F3959" s="1" t="str">
        <x:v>Late delivery</x:v>
      </x:c>
      <x:c r="G3959" s="6" t="n">
        <x:v>6</x:v>
      </x:c>
      <x:c r="H3959" s="6" t="n">
        <x:v>4</x:v>
      </x:c>
      <x:c r="I3959" s="6" t="n">
        <x:f>G3959-H3959</x:f>
        <x:v>2</x:v>
      </x:c>
      <x:c r="J3959" s="6" t="n">
        <x:f>IF(OR(E3959="CANCELED",E3959="SUSPECTED_FRAUD",F3959="Shipping canceled"),0,1)</x:f>
        <x:v>1</x:v>
      </x:c>
      <x:c r="K3959" s="6" t="n">
        <x:f>IF(G3959&gt;H3959,1,0)</x:f>
        <x:v>1</x:v>
      </x:c>
      <x:c r="L3959" s="6" t="n">
        <x:f>J3959*K3959</x:f>
        <x:v>1</x:v>
      </x:c>
    </x:row>
    <x:row r="3960">
      <x:c r="A3960" s="1" t="n">
        <x:v>30094</x:v>
      </x:c>
      <x:c r="B3960" s="5" t="d">
        <x:v>2016-03-15T00:00:00.000Z</x:v>
      </x:c>
      <x:c r="C3960" s="1" t="str">
        <x:v>Standard Class</x:v>
      </x:c>
      <x:c r="D3960" s="1" t="str">
        <x:v>Pacific Asia</x:v>
      </x:c>
      <x:c r="E3960" s="1" t="str">
        <x:v>PROCESSING</x:v>
      </x:c>
      <x:c r="F3960" s="1" t="str">
        <x:v>Late delivery</x:v>
      </x:c>
      <x:c r="G3960" s="6" t="n">
        <x:v>5</x:v>
      </x:c>
      <x:c r="H3960" s="6" t="n">
        <x:v>4</x:v>
      </x:c>
      <x:c r="I3960" s="6" t="n">
        <x:f>G3960-H3960</x:f>
        <x:v>1</x:v>
      </x:c>
      <x:c r="J3960" s="6" t="n">
        <x:f>IF(OR(E3960="CANCELED",E3960="SUSPECTED_FRAUD",F3960="Shipping canceled"),0,1)</x:f>
        <x:v>1</x:v>
      </x:c>
      <x:c r="K3960" s="6" t="n">
        <x:f>IF(G3960&gt;H3960,1,0)</x:f>
        <x:v>1</x:v>
      </x:c>
      <x:c r="L3960" s="6" t="n">
        <x:f>J3960*K3960</x:f>
        <x:v>1</x:v>
      </x:c>
    </x:row>
    <x:row r="3961">
      <x:c r="A3961" s="1" t="n">
        <x:v>30097</x:v>
      </x:c>
      <x:c r="B3961" s="5" t="d">
        <x:v>2016-03-15T00:00:00.000Z</x:v>
      </x:c>
      <x:c r="C3961" s="1" t="str">
        <x:v>Standard Class</x:v>
      </x:c>
      <x:c r="D3961" s="1" t="str">
        <x:v>Pacific Asia</x:v>
      </x:c>
      <x:c r="E3961" s="1" t="str">
        <x:v>COMPLETE</x:v>
      </x:c>
      <x:c r="F3961" s="1" t="str">
        <x:v>Advance shipping</x:v>
      </x:c>
      <x:c r="G3961" s="6" t="n">
        <x:v>3</x:v>
      </x:c>
      <x:c r="H3961" s="6" t="n">
        <x:v>4</x:v>
      </x:c>
      <x:c r="I3961" s="6" t="n">
        <x:f>G3961-H3961</x:f>
        <x:v>-1</x:v>
      </x:c>
      <x:c r="J3961" s="6" t="n">
        <x:f>IF(OR(E3961="CANCELED",E3961="SUSPECTED_FRAUD",F3961="Shipping canceled"),0,1)</x:f>
        <x:v>1</x:v>
      </x:c>
      <x:c r="K3961" s="6" t="n">
        <x:f>IF(G3961&gt;H3961,1,0)</x:f>
        <x:v>0</x:v>
      </x:c>
      <x:c r="L3961" s="6" t="n">
        <x:f>J3961*K3961</x:f>
        <x:v>0</x:v>
      </x:c>
    </x:row>
    <x:row r="3962">
      <x:c r="A3962" s="1" t="n">
        <x:v>30100</x:v>
      </x:c>
      <x:c r="B3962" s="5" t="d">
        <x:v>2016-03-15T00:00:00.000Z</x:v>
      </x:c>
      <x:c r="C3962" s="1" t="str">
        <x:v>Standard Class</x:v>
      </x:c>
      <x:c r="D3962" s="1" t="str">
        <x:v>Pacific Asia</x:v>
      </x:c>
      <x:c r="E3962" s="1" t="str">
        <x:v>PENDING_PAYMENT</x:v>
      </x:c>
      <x:c r="F3962" s="1" t="str">
        <x:v>Late delivery</x:v>
      </x:c>
      <x:c r="G3962" s="6" t="n">
        <x:v>6</x:v>
      </x:c>
      <x:c r="H3962" s="6" t="n">
        <x:v>4</x:v>
      </x:c>
      <x:c r="I3962" s="6" t="n">
        <x:f>G3962-H3962</x:f>
        <x:v>2</x:v>
      </x:c>
      <x:c r="J3962" s="6" t="n">
        <x:f>IF(OR(E3962="CANCELED",E3962="SUSPECTED_FRAUD",F3962="Shipping canceled"),0,1)</x:f>
        <x:v>1</x:v>
      </x:c>
      <x:c r="K3962" s="6" t="n">
        <x:f>IF(G3962&gt;H3962,1,0)</x:f>
        <x:v>1</x:v>
      </x:c>
      <x:c r="L3962" s="6" t="n">
        <x:f>J3962*K3962</x:f>
        <x:v>1</x:v>
      </x:c>
    </x:row>
    <x:row r="3963">
      <x:c r="A3963" s="1" t="n">
        <x:v>30109</x:v>
      </x:c>
      <x:c r="B3963" s="5" t="d">
        <x:v>2016-03-15T00:00:00.000Z</x:v>
      </x:c>
      <x:c r="C3963" s="1" t="str">
        <x:v>Standard Class</x:v>
      </x:c>
      <x:c r="D3963" s="1" t="str">
        <x:v>Pacific Asia</x:v>
      </x:c>
      <x:c r="E3963" s="1" t="str">
        <x:v>PENDING</x:v>
      </x:c>
      <x:c r="F3963" s="1" t="str">
        <x:v>Late delivery</x:v>
      </x:c>
      <x:c r="G3963" s="6" t="n">
        <x:v>5</x:v>
      </x:c>
      <x:c r="H3963" s="6" t="n">
        <x:v>4</x:v>
      </x:c>
      <x:c r="I3963" s="6" t="n">
        <x:f>G3963-H3963</x:f>
        <x:v>1</x:v>
      </x:c>
      <x:c r="J3963" s="6" t="n">
        <x:f>IF(OR(E3963="CANCELED",E3963="SUSPECTED_FRAUD",F3963="Shipping canceled"),0,1)</x:f>
        <x:v>1</x:v>
      </x:c>
      <x:c r="K3963" s="6" t="n">
        <x:f>IF(G3963&gt;H3963,1,0)</x:f>
        <x:v>1</x:v>
      </x:c>
      <x:c r="L3963" s="6" t="n">
        <x:f>J3963*K3963</x:f>
        <x:v>1</x:v>
      </x:c>
    </x:row>
    <x:row r="3964">
      <x:c r="A3964" s="1" t="n">
        <x:v>30111</x:v>
      </x:c>
      <x:c r="B3964" s="5" t="d">
        <x:v>2016-03-15T00:00:00.000Z</x:v>
      </x:c>
      <x:c r="C3964" s="1" t="str">
        <x:v>Standard Class</x:v>
      </x:c>
      <x:c r="D3964" s="1" t="str">
        <x:v>Pacific Asia</x:v>
      </x:c>
      <x:c r="E3964" s="1" t="str">
        <x:v>PROCESSING</x:v>
      </x:c>
      <x:c r="F3964" s="1" t="str">
        <x:v>Advance shipping</x:v>
      </x:c>
      <x:c r="G3964" s="6" t="n">
        <x:v>2</x:v>
      </x:c>
      <x:c r="H3964" s="6" t="n">
        <x:v>4</x:v>
      </x:c>
      <x:c r="I3964" s="6" t="n">
        <x:f>G3964-H3964</x:f>
        <x:v>-2</x:v>
      </x:c>
      <x:c r="J3964" s="6" t="n">
        <x:f>IF(OR(E3964="CANCELED",E3964="SUSPECTED_FRAUD",F3964="Shipping canceled"),0,1)</x:f>
        <x:v>1</x:v>
      </x:c>
      <x:c r="K3964" s="6" t="n">
        <x:f>IF(G3964&gt;H3964,1,0)</x:f>
        <x:v>0</x:v>
      </x:c>
      <x:c r="L3964" s="6" t="n">
        <x:f>J3964*K3964</x:f>
        <x:v>0</x:v>
      </x:c>
    </x:row>
    <x:row r="3965">
      <x:c r="A3965" s="1" t="n">
        <x:v>30113</x:v>
      </x:c>
      <x:c r="B3965" s="5" t="d">
        <x:v>2016-03-15T00:00:00.000Z</x:v>
      </x:c>
      <x:c r="C3965" s="1" t="str">
        <x:v>Standard Class</x:v>
      </x:c>
      <x:c r="D3965" s="1" t="str">
        <x:v>Pacific Asia</x:v>
      </x:c>
      <x:c r="E3965" s="1" t="str">
        <x:v>CLOSED</x:v>
      </x:c>
      <x:c r="F3965" s="1" t="str">
        <x:v>Shipping on time</x:v>
      </x:c>
      <x:c r="G3965" s="6" t="n">
        <x:v>4</x:v>
      </x:c>
      <x:c r="H3965" s="6" t="n">
        <x:v>4</x:v>
      </x:c>
      <x:c r="I3965" s="6" t="n">
        <x:f>G3965-H3965</x:f>
        <x:v>0</x:v>
      </x:c>
      <x:c r="J3965" s="6" t="n">
        <x:f>IF(OR(E3965="CANCELED",E3965="SUSPECTED_FRAUD",F3965="Shipping canceled"),0,1)</x:f>
        <x:v>1</x:v>
      </x:c>
      <x:c r="K3965" s="6" t="n">
        <x:f>IF(G3965&gt;H3965,1,0)</x:f>
        <x:v>0</x:v>
      </x:c>
      <x:c r="L3965" s="6" t="n">
        <x:f>J3965*K3965</x:f>
        <x:v>0</x:v>
      </x:c>
    </x:row>
    <x:row r="3966">
      <x:c r="A3966" s="1" t="n">
        <x:v>30116</x:v>
      </x:c>
      <x:c r="B3966" s="5" t="d">
        <x:v>2016-03-15T00:00:00.000Z</x:v>
      </x:c>
      <x:c r="C3966" s="1" t="str">
        <x:v>Standard Class</x:v>
      </x:c>
      <x:c r="D3966" s="1" t="str">
        <x:v>Pacific Asia</x:v>
      </x:c>
      <x:c r="E3966" s="1" t="str">
        <x:v>PROCESSING</x:v>
      </x:c>
      <x:c r="F3966" s="1" t="str">
        <x:v>Advance shipping</x:v>
      </x:c>
      <x:c r="G3966" s="6" t="n">
        <x:v>2</x:v>
      </x:c>
      <x:c r="H3966" s="6" t="n">
        <x:v>4</x:v>
      </x:c>
      <x:c r="I3966" s="6" t="n">
        <x:f>G3966-H3966</x:f>
        <x:v>-2</x:v>
      </x:c>
      <x:c r="J3966" s="6" t="n">
        <x:f>IF(OR(E3966="CANCELED",E3966="SUSPECTED_FRAUD",F3966="Shipping canceled"),0,1)</x:f>
        <x:v>1</x:v>
      </x:c>
      <x:c r="K3966" s="6" t="n">
        <x:f>IF(G3966&gt;H3966,1,0)</x:f>
        <x:v>0</x:v>
      </x:c>
      <x:c r="L3966" s="6" t="n">
        <x:f>J3966*K3966</x:f>
        <x:v>0</x:v>
      </x:c>
    </x:row>
    <x:row r="3967">
      <x:c r="A3967" s="1" t="n">
        <x:v>30135</x:v>
      </x:c>
      <x:c r="B3967" s="5" t="d">
        <x:v>2016-03-15T00:00:00.000Z</x:v>
      </x:c>
      <x:c r="C3967" s="1" t="str">
        <x:v>Second Class</x:v>
      </x:c>
      <x:c r="D3967" s="1" t="str">
        <x:v>Pacific Asia</x:v>
      </x:c>
      <x:c r="E3967" s="1" t="str">
        <x:v>COMPLETE</x:v>
      </x:c>
      <x:c r="F3967" s="1" t="str">
        <x:v>Late delivery</x:v>
      </x:c>
      <x:c r="G3967" s="6" t="n">
        <x:v>6</x:v>
      </x:c>
      <x:c r="H3967" s="6" t="n">
        <x:v>2</x:v>
      </x:c>
      <x:c r="I3967" s="6" t="n">
        <x:f>G3967-H3967</x:f>
        <x:v>4</x:v>
      </x:c>
      <x:c r="J3967" s="6" t="n">
        <x:f>IF(OR(E3967="CANCELED",E3967="SUSPECTED_FRAUD",F3967="Shipping canceled"),0,1)</x:f>
        <x:v>1</x:v>
      </x:c>
      <x:c r="K3967" s="6" t="n">
        <x:f>IF(G3967&gt;H3967,1,0)</x:f>
        <x:v>1</x:v>
      </x:c>
      <x:c r="L3967" s="6" t="n">
        <x:f>J3967*K3967</x:f>
        <x:v>1</x:v>
      </x:c>
    </x:row>
    <x:row r="3968">
      <x:c r="A3968" s="1" t="n">
        <x:v>30136</x:v>
      </x:c>
      <x:c r="B3968" s="5" t="d">
        <x:v>2016-03-15T00:00:00.000Z</x:v>
      </x:c>
      <x:c r="C3968" s="1" t="str">
        <x:v>Second Class</x:v>
      </x:c>
      <x:c r="D3968" s="1" t="str">
        <x:v>Pacific Asia</x:v>
      </x:c>
      <x:c r="E3968" s="1" t="str">
        <x:v>COMPLETE</x:v>
      </x:c>
      <x:c r="F3968" s="1" t="str">
        <x:v>Shipping on time</x:v>
      </x:c>
      <x:c r="G3968" s="6" t="n">
        <x:v>2</x:v>
      </x:c>
      <x:c r="H3968" s="6" t="n">
        <x:v>2</x:v>
      </x:c>
      <x:c r="I3968" s="6" t="n">
        <x:f>G3968-H3968</x:f>
        <x:v>0</x:v>
      </x:c>
      <x:c r="J3968" s="6" t="n">
        <x:f>IF(OR(E3968="CANCELED",E3968="SUSPECTED_FRAUD",F3968="Shipping canceled"),0,1)</x:f>
        <x:v>1</x:v>
      </x:c>
      <x:c r="K3968" s="6" t="n">
        <x:f>IF(G3968&gt;H3968,1,0)</x:f>
        <x:v>0</x:v>
      </x:c>
      <x:c r="L3968" s="6" t="n">
        <x:f>J3968*K3968</x:f>
        <x:v>0</x:v>
      </x:c>
    </x:row>
    <x:row r="3969">
      <x:c r="A3969" s="1" t="n">
        <x:v>30137</x:v>
      </x:c>
      <x:c r="B3969" s="5" t="d">
        <x:v>2016-03-15T00:00:00.000Z</x:v>
      </x:c>
      <x:c r="C3969" s="1" t="str">
        <x:v>Second Class</x:v>
      </x:c>
      <x:c r="D3969" s="1" t="str">
        <x:v>Pacific Asia</x:v>
      </x:c>
      <x:c r="E3969" s="1" t="str">
        <x:v>CLOSED</x:v>
      </x:c>
      <x:c r="F3969" s="1" t="str">
        <x:v>Late delivery</x:v>
      </x:c>
      <x:c r="G3969" s="6" t="n">
        <x:v>3</x:v>
      </x:c>
      <x:c r="H3969" s="6" t="n">
        <x:v>2</x:v>
      </x:c>
      <x:c r="I3969" s="6" t="n">
        <x:f>G3969-H3969</x:f>
        <x:v>1</x:v>
      </x:c>
      <x:c r="J3969" s="6" t="n">
        <x:f>IF(OR(E3969="CANCELED",E3969="SUSPECTED_FRAUD",F3969="Shipping canceled"),0,1)</x:f>
        <x:v>1</x:v>
      </x:c>
      <x:c r="K3969" s="6" t="n">
        <x:f>IF(G3969&gt;H3969,1,0)</x:f>
        <x:v>1</x:v>
      </x:c>
      <x:c r="L3969" s="6" t="n">
        <x:f>J3969*K3969</x:f>
        <x:v>1</x:v>
      </x:c>
    </x:row>
    <x:row r="3970">
      <x:c r="A3970" s="1" t="n">
        <x:v>30141</x:v>
      </x:c>
      <x:c r="B3970" s="5" t="d">
        <x:v>2016-03-15T00:00:00.000Z</x:v>
      </x:c>
      <x:c r="C3970" s="1" t="str">
        <x:v>Second Class</x:v>
      </x:c>
      <x:c r="D3970" s="1" t="str">
        <x:v>Pacific Asia</x:v>
      </x:c>
      <x:c r="E3970" s="1" t="str">
        <x:v>COMPLETE</x:v>
      </x:c>
      <x:c r="F3970" s="1" t="str">
        <x:v>Shipping on time</x:v>
      </x:c>
      <x:c r="G3970" s="6" t="n">
        <x:v>2</x:v>
      </x:c>
      <x:c r="H3970" s="6" t="n">
        <x:v>2</x:v>
      </x:c>
      <x:c r="I3970" s="6" t="n">
        <x:f>G3970-H3970</x:f>
        <x:v>0</x:v>
      </x:c>
      <x:c r="J3970" s="6" t="n">
        <x:f>IF(OR(E3970="CANCELED",E3970="SUSPECTED_FRAUD",F3970="Shipping canceled"),0,1)</x:f>
        <x:v>1</x:v>
      </x:c>
      <x:c r="K3970" s="6" t="n">
        <x:f>IF(G3970&gt;H3970,1,0)</x:f>
        <x:v>0</x:v>
      </x:c>
      <x:c r="L3970" s="6" t="n">
        <x:f>J3970*K3970</x:f>
        <x:v>0</x:v>
      </x:c>
    </x:row>
    <x:row r="3971">
      <x:c r="A3971" s="1" t="n">
        <x:v>30146</x:v>
      </x:c>
      <x:c r="B3971" s="5" t="d">
        <x:v>2016-03-16T00:00:00.000Z</x:v>
      </x:c>
      <x:c r="C3971" s="1" t="str">
        <x:v>Standard Class</x:v>
      </x:c>
      <x:c r="D3971" s="1" t="str">
        <x:v>Pacific Asia</x:v>
      </x:c>
      <x:c r="E3971" s="1" t="str">
        <x:v>CANCELED</x:v>
      </x:c>
      <x:c r="F3971" s="1" t="str">
        <x:v>Shipping canceled</x:v>
      </x:c>
      <x:c r="G3971" s="6" t="n">
        <x:v>2</x:v>
      </x:c>
      <x:c r="H3971" s="6" t="n">
        <x:v>4</x:v>
      </x:c>
      <x:c r="I3971" s="6" t="n">
        <x:f>G3971-H3971</x:f>
        <x:v>-2</x:v>
      </x:c>
      <x:c r="J3971" s="6" t="n">
        <x:f>IF(OR(E3971="CANCELED",E3971="SUSPECTED_FRAUD",F3971="Shipping canceled"),0,1)</x:f>
        <x:v>0</x:v>
      </x:c>
      <x:c r="K3971" s="6" t="n">
        <x:f>IF(G3971&gt;H3971,1,0)</x:f>
        <x:v>0</x:v>
      </x:c>
      <x:c r="L3971" s="6" t="n">
        <x:f>J3971*K3971</x:f>
        <x:v>0</x:v>
      </x:c>
    </x:row>
    <x:row r="3972">
      <x:c r="A3972" s="1" t="n">
        <x:v>30159</x:v>
      </x:c>
      <x:c r="B3972" s="5" t="d">
        <x:v>2016-03-16T00:00:00.000Z</x:v>
      </x:c>
      <x:c r="C3972" s="1" t="str">
        <x:v>Standard Class</x:v>
      </x:c>
      <x:c r="D3972" s="1" t="str">
        <x:v>Pacific Asia</x:v>
      </x:c>
      <x:c r="E3972" s="1" t="str">
        <x:v>PENDING_PAYMENT</x:v>
      </x:c>
      <x:c r="F3972" s="1" t="str">
        <x:v>Late delivery</x:v>
      </x:c>
      <x:c r="G3972" s="6" t="n">
        <x:v>5</x:v>
      </x:c>
      <x:c r="H3972" s="6" t="n">
        <x:v>4</x:v>
      </x:c>
      <x:c r="I3972" s="6" t="n">
        <x:f>G3972-H3972</x:f>
        <x:v>1</x:v>
      </x:c>
      <x:c r="J3972" s="6" t="n">
        <x:f>IF(OR(E3972="CANCELED",E3972="SUSPECTED_FRAUD",F3972="Shipping canceled"),0,1)</x:f>
        <x:v>1</x:v>
      </x:c>
      <x:c r="K3972" s="6" t="n">
        <x:f>IF(G3972&gt;H3972,1,0)</x:f>
        <x:v>1</x:v>
      </x:c>
      <x:c r="L3972" s="6" t="n">
        <x:f>J3972*K3972</x:f>
        <x:v>1</x:v>
      </x:c>
    </x:row>
    <x:row r="3973">
      <x:c r="A3973" s="1" t="n">
        <x:v>30163</x:v>
      </x:c>
      <x:c r="B3973" s="5" t="d">
        <x:v>2016-03-16T00:00:00.000Z</x:v>
      </x:c>
      <x:c r="C3973" s="1" t="str">
        <x:v>Standard Class</x:v>
      </x:c>
      <x:c r="D3973" s="1" t="str">
        <x:v>Pacific Asia</x:v>
      </x:c>
      <x:c r="E3973" s="1" t="str">
        <x:v>ON_HOLD</x:v>
      </x:c>
      <x:c r="F3973" s="1" t="str">
        <x:v>Shipping on time</x:v>
      </x:c>
      <x:c r="G3973" s="6" t="n">
        <x:v>4</x:v>
      </x:c>
      <x:c r="H3973" s="6" t="n">
        <x:v>4</x:v>
      </x:c>
      <x:c r="I3973" s="6" t="n">
        <x:f>G3973-H3973</x:f>
        <x:v>0</x:v>
      </x:c>
      <x:c r="J3973" s="6" t="n">
        <x:f>IF(OR(E3973="CANCELED",E3973="SUSPECTED_FRAUD",F3973="Shipping canceled"),0,1)</x:f>
        <x:v>1</x:v>
      </x:c>
      <x:c r="K3973" s="6" t="n">
        <x:f>IF(G3973&gt;H3973,1,0)</x:f>
        <x:v>0</x:v>
      </x:c>
      <x:c r="L3973" s="6" t="n">
        <x:f>J3973*K3973</x:f>
        <x:v>0</x:v>
      </x:c>
    </x:row>
    <x:row r="3974">
      <x:c r="A3974" s="1" t="n">
        <x:v>30164</x:v>
      </x:c>
      <x:c r="B3974" s="5" t="d">
        <x:v>2016-03-16T00:00:00.000Z</x:v>
      </x:c>
      <x:c r="C3974" s="1" t="str">
        <x:v>Standard Class</x:v>
      </x:c>
      <x:c r="D3974" s="1" t="str">
        <x:v>Pacific Asia</x:v>
      </x:c>
      <x:c r="E3974" s="1" t="str">
        <x:v>PROCESSING</x:v>
      </x:c>
      <x:c r="F3974" s="1" t="str">
        <x:v>Late delivery</x:v>
      </x:c>
      <x:c r="G3974" s="6" t="n">
        <x:v>5</x:v>
      </x:c>
      <x:c r="H3974" s="6" t="n">
        <x:v>4</x:v>
      </x:c>
      <x:c r="I3974" s="6" t="n">
        <x:f>G3974-H3974</x:f>
        <x:v>1</x:v>
      </x:c>
      <x:c r="J3974" s="6" t="n">
        <x:f>IF(OR(E3974="CANCELED",E3974="SUSPECTED_FRAUD",F3974="Shipping canceled"),0,1)</x:f>
        <x:v>1</x:v>
      </x:c>
      <x:c r="K3974" s="6" t="n">
        <x:f>IF(G3974&gt;H3974,1,0)</x:f>
        <x:v>1</x:v>
      </x:c>
      <x:c r="L3974" s="6" t="n">
        <x:f>J3974*K3974</x:f>
        <x:v>1</x:v>
      </x:c>
    </x:row>
    <x:row r="3975">
      <x:c r="A3975" s="1" t="n">
        <x:v>30165</x:v>
      </x:c>
      <x:c r="B3975" s="5" t="d">
        <x:v>2016-03-16T00:00:00.000Z</x:v>
      </x:c>
      <x:c r="C3975" s="1" t="str">
        <x:v>Standard Class</x:v>
      </x:c>
      <x:c r="D3975" s="1" t="str">
        <x:v>Pacific Asia</x:v>
      </x:c>
      <x:c r="E3975" s="1" t="str">
        <x:v>COMPLETE</x:v>
      </x:c>
      <x:c r="F3975" s="1" t="str">
        <x:v>Late delivery</x:v>
      </x:c>
      <x:c r="G3975" s="6" t="n">
        <x:v>6</x:v>
      </x:c>
      <x:c r="H3975" s="6" t="n">
        <x:v>4</x:v>
      </x:c>
      <x:c r="I3975" s="6" t="n">
        <x:f>G3975-H3975</x:f>
        <x:v>2</x:v>
      </x:c>
      <x:c r="J3975" s="6" t="n">
        <x:f>IF(OR(E3975="CANCELED",E3975="SUSPECTED_FRAUD",F3975="Shipping canceled"),0,1)</x:f>
        <x:v>1</x:v>
      </x:c>
      <x:c r="K3975" s="6" t="n">
        <x:f>IF(G3975&gt;H3975,1,0)</x:f>
        <x:v>1</x:v>
      </x:c>
      <x:c r="L3975" s="6" t="n">
        <x:f>J3975*K3975</x:f>
        <x:v>1</x:v>
      </x:c>
    </x:row>
    <x:row r="3976">
      <x:c r="A3976" s="1" t="n">
        <x:v>30170</x:v>
      </x:c>
      <x:c r="B3976" s="5" t="d">
        <x:v>2016-03-16T00:00:00.000Z</x:v>
      </x:c>
      <x:c r="C3976" s="1" t="str">
        <x:v>Standard Class</x:v>
      </x:c>
      <x:c r="D3976" s="1" t="str">
        <x:v>Pacific Asia</x:v>
      </x:c>
      <x:c r="E3976" s="1" t="str">
        <x:v>COMPLETE</x:v>
      </x:c>
      <x:c r="F3976" s="1" t="str">
        <x:v>Late delivery</x:v>
      </x:c>
      <x:c r="G3976" s="6" t="n">
        <x:v>6</x:v>
      </x:c>
      <x:c r="H3976" s="6" t="n">
        <x:v>4</x:v>
      </x:c>
      <x:c r="I3976" s="6" t="n">
        <x:f>G3976-H3976</x:f>
        <x:v>2</x:v>
      </x:c>
      <x:c r="J3976" s="6" t="n">
        <x:f>IF(OR(E3976="CANCELED",E3976="SUSPECTED_FRAUD",F3976="Shipping canceled"),0,1)</x:f>
        <x:v>1</x:v>
      </x:c>
      <x:c r="K3976" s="6" t="n">
        <x:f>IF(G3976&gt;H3976,1,0)</x:f>
        <x:v>1</x:v>
      </x:c>
      <x:c r="L3976" s="6" t="n">
        <x:f>J3976*K3976</x:f>
        <x:v>1</x:v>
      </x:c>
    </x:row>
    <x:row r="3977">
      <x:c r="A3977" s="1" t="n">
        <x:v>30171</x:v>
      </x:c>
      <x:c r="B3977" s="5" t="d">
        <x:v>2016-03-16T00:00:00.000Z</x:v>
      </x:c>
      <x:c r="C3977" s="1" t="str">
        <x:v>Standard Class</x:v>
      </x:c>
      <x:c r="D3977" s="1" t="str">
        <x:v>Pacific Asia</x:v>
      </x:c>
      <x:c r="E3977" s="1" t="str">
        <x:v>CLOSED</x:v>
      </x:c>
      <x:c r="F3977" s="1" t="str">
        <x:v>Advance shipping</x:v>
      </x:c>
      <x:c r="G3977" s="6" t="n">
        <x:v>2</x:v>
      </x:c>
      <x:c r="H3977" s="6" t="n">
        <x:v>4</x:v>
      </x:c>
      <x:c r="I3977" s="6" t="n">
        <x:f>G3977-H3977</x:f>
        <x:v>-2</x:v>
      </x:c>
      <x:c r="J3977" s="6" t="n">
        <x:f>IF(OR(E3977="CANCELED",E3977="SUSPECTED_FRAUD",F3977="Shipping canceled"),0,1)</x:f>
        <x:v>1</x:v>
      </x:c>
      <x:c r="K3977" s="6" t="n">
        <x:f>IF(G3977&gt;H3977,1,0)</x:f>
        <x:v>0</x:v>
      </x:c>
      <x:c r="L3977" s="6" t="n">
        <x:f>J3977*K3977</x:f>
        <x:v>0</x:v>
      </x:c>
    </x:row>
    <x:row r="3978">
      <x:c r="A3978" s="1" t="n">
        <x:v>30172</x:v>
      </x:c>
      <x:c r="B3978" s="5" t="d">
        <x:v>2016-03-16T00:00:00.000Z</x:v>
      </x:c>
      <x:c r="C3978" s="1" t="str">
        <x:v>Standard Class</x:v>
      </x:c>
      <x:c r="D3978" s="1" t="str">
        <x:v>Pacific Asia</x:v>
      </x:c>
      <x:c r="E3978" s="1" t="str">
        <x:v>COMPLETE</x:v>
      </x:c>
      <x:c r="F3978" s="1" t="str">
        <x:v>Advance shipping</x:v>
      </x:c>
      <x:c r="G3978" s="6" t="n">
        <x:v>3</x:v>
      </x:c>
      <x:c r="H3978" s="6" t="n">
        <x:v>4</x:v>
      </x:c>
      <x:c r="I3978" s="6" t="n">
        <x:f>G3978-H3978</x:f>
        <x:v>-1</x:v>
      </x:c>
      <x:c r="J3978" s="6" t="n">
        <x:f>IF(OR(E3978="CANCELED",E3978="SUSPECTED_FRAUD",F3978="Shipping canceled"),0,1)</x:f>
        <x:v>1</x:v>
      </x:c>
      <x:c r="K3978" s="6" t="n">
        <x:f>IF(G3978&gt;H3978,1,0)</x:f>
        <x:v>0</x:v>
      </x:c>
      <x:c r="L3978" s="6" t="n">
        <x:f>J3978*K3978</x:f>
        <x:v>0</x:v>
      </x:c>
    </x:row>
    <x:row r="3979">
      <x:c r="A3979" s="1" t="n">
        <x:v>30199</x:v>
      </x:c>
      <x:c r="B3979" s="5" t="d">
        <x:v>2016-03-16T00:00:00.000Z</x:v>
      </x:c>
      <x:c r="C3979" s="1" t="str">
        <x:v>Standard Class</x:v>
      </x:c>
      <x:c r="D3979" s="1" t="str">
        <x:v>Pacific Asia</x:v>
      </x:c>
      <x:c r="E3979" s="1" t="str">
        <x:v>COMPLETE</x:v>
      </x:c>
      <x:c r="F3979" s="1" t="str">
        <x:v>Late delivery</x:v>
      </x:c>
      <x:c r="G3979" s="6" t="n">
        <x:v>5</x:v>
      </x:c>
      <x:c r="H3979" s="6" t="n">
        <x:v>4</x:v>
      </x:c>
      <x:c r="I3979" s="6" t="n">
        <x:f>G3979-H3979</x:f>
        <x:v>1</x:v>
      </x:c>
      <x:c r="J3979" s="6" t="n">
        <x:f>IF(OR(E3979="CANCELED",E3979="SUSPECTED_FRAUD",F3979="Shipping canceled"),0,1)</x:f>
        <x:v>1</x:v>
      </x:c>
      <x:c r="K3979" s="6" t="n">
        <x:f>IF(G3979&gt;H3979,1,0)</x:f>
        <x:v>1</x:v>
      </x:c>
      <x:c r="L3979" s="6" t="n">
        <x:f>J3979*K3979</x:f>
        <x:v>1</x:v>
      </x:c>
    </x:row>
    <x:row r="3980">
      <x:c r="A3980" s="1" t="n">
        <x:v>30214</x:v>
      </x:c>
      <x:c r="B3980" s="5" t="d">
        <x:v>2016-03-17T00:00:00.000Z</x:v>
      </x:c>
      <x:c r="C3980" s="1" t="str">
        <x:v>Standard Class</x:v>
      </x:c>
      <x:c r="D3980" s="1" t="str">
        <x:v>Pacific Asia</x:v>
      </x:c>
      <x:c r="E3980" s="1" t="str">
        <x:v>PENDING</x:v>
      </x:c>
      <x:c r="F3980" s="1" t="str">
        <x:v>Late delivery</x:v>
      </x:c>
      <x:c r="G3980" s="6" t="n">
        <x:v>5</x:v>
      </x:c>
      <x:c r="H3980" s="6" t="n">
        <x:v>4</x:v>
      </x:c>
      <x:c r="I3980" s="6" t="n">
        <x:f>G3980-H3980</x:f>
        <x:v>1</x:v>
      </x:c>
      <x:c r="J3980" s="6" t="n">
        <x:f>IF(OR(E3980="CANCELED",E3980="SUSPECTED_FRAUD",F3980="Shipping canceled"),0,1)</x:f>
        <x:v>1</x:v>
      </x:c>
      <x:c r="K3980" s="6" t="n">
        <x:f>IF(G3980&gt;H3980,1,0)</x:f>
        <x:v>1</x:v>
      </x:c>
      <x:c r="L3980" s="6" t="n">
        <x:f>J3980*K3980</x:f>
        <x:v>1</x:v>
      </x:c>
    </x:row>
    <x:row r="3981">
      <x:c r="A3981" s="1" t="n">
        <x:v>30226</x:v>
      </x:c>
      <x:c r="B3981" s="5" t="d">
        <x:v>2016-03-17T00:00:00.000Z</x:v>
      </x:c>
      <x:c r="C3981" s="1" t="str">
        <x:v>Standard Class</x:v>
      </x:c>
      <x:c r="D3981" s="1" t="str">
        <x:v>Pacific Asia</x:v>
      </x:c>
      <x:c r="E3981" s="1" t="str">
        <x:v>PROCESSING</x:v>
      </x:c>
      <x:c r="F3981" s="1" t="str">
        <x:v>Advance shipping</x:v>
      </x:c>
      <x:c r="G3981" s="6" t="n">
        <x:v>2</x:v>
      </x:c>
      <x:c r="H3981" s="6" t="n">
        <x:v>4</x:v>
      </x:c>
      <x:c r="I3981" s="6" t="n">
        <x:f>G3981-H3981</x:f>
        <x:v>-2</x:v>
      </x:c>
      <x:c r="J3981" s="6" t="n">
        <x:f>IF(OR(E3981="CANCELED",E3981="SUSPECTED_FRAUD",F3981="Shipping canceled"),0,1)</x:f>
        <x:v>1</x:v>
      </x:c>
      <x:c r="K3981" s="6" t="n">
        <x:f>IF(G3981&gt;H3981,1,0)</x:f>
        <x:v>0</x:v>
      </x:c>
      <x:c r="L3981" s="6" t="n">
        <x:f>J3981*K3981</x:f>
        <x:v>0</x:v>
      </x:c>
    </x:row>
    <x:row r="3982">
      <x:c r="A3982" s="1" t="n">
        <x:v>30243</x:v>
      </x:c>
      <x:c r="B3982" s="5" t="d">
        <x:v>2016-03-17T00:00:00.000Z</x:v>
      </x:c>
      <x:c r="C3982" s="1" t="str">
        <x:v>Standard Class</x:v>
      </x:c>
      <x:c r="D3982" s="1" t="str">
        <x:v>Pacific Asia</x:v>
      </x:c>
      <x:c r="E3982" s="1" t="str">
        <x:v>ON_HOLD</x:v>
      </x:c>
      <x:c r="F3982" s="1" t="str">
        <x:v>Shipping on time</x:v>
      </x:c>
      <x:c r="G3982" s="6" t="n">
        <x:v>4</x:v>
      </x:c>
      <x:c r="H3982" s="6" t="n">
        <x:v>4</x:v>
      </x:c>
      <x:c r="I3982" s="6" t="n">
        <x:f>G3982-H3982</x:f>
        <x:v>0</x:v>
      </x:c>
      <x:c r="J3982" s="6" t="n">
        <x:f>IF(OR(E3982="CANCELED",E3982="SUSPECTED_FRAUD",F3982="Shipping canceled"),0,1)</x:f>
        <x:v>1</x:v>
      </x:c>
      <x:c r="K3982" s="6" t="n">
        <x:f>IF(G3982&gt;H3982,1,0)</x:f>
        <x:v>0</x:v>
      </x:c>
      <x:c r="L3982" s="6" t="n">
        <x:f>J3982*K3982</x:f>
        <x:v>0</x:v>
      </x:c>
    </x:row>
    <x:row r="3983">
      <x:c r="A3983" s="1" t="n">
        <x:v>30251</x:v>
      </x:c>
      <x:c r="B3983" s="5" t="d">
        <x:v>2016-03-17T00:00:00.000Z</x:v>
      </x:c>
      <x:c r="C3983" s="1" t="str">
        <x:v>Standard Class</x:v>
      </x:c>
      <x:c r="D3983" s="1" t="str">
        <x:v>Pacific Asia</x:v>
      </x:c>
      <x:c r="E3983" s="1" t="str">
        <x:v>ON_HOLD</x:v>
      </x:c>
      <x:c r="F3983" s="1" t="str">
        <x:v>Advance shipping</x:v>
      </x:c>
      <x:c r="G3983" s="6" t="n">
        <x:v>2</x:v>
      </x:c>
      <x:c r="H3983" s="6" t="n">
        <x:v>4</x:v>
      </x:c>
      <x:c r="I3983" s="6" t="n">
        <x:f>G3983-H3983</x:f>
        <x:v>-2</x:v>
      </x:c>
      <x:c r="J3983" s="6" t="n">
        <x:f>IF(OR(E3983="CANCELED",E3983="SUSPECTED_FRAUD",F3983="Shipping canceled"),0,1)</x:f>
        <x:v>1</x:v>
      </x:c>
      <x:c r="K3983" s="6" t="n">
        <x:f>IF(G3983&gt;H3983,1,0)</x:f>
        <x:v>0</x:v>
      </x:c>
      <x:c r="L3983" s="6" t="n">
        <x:f>J3983*K3983</x:f>
        <x:v>0</x:v>
      </x:c>
    </x:row>
    <x:row r="3984">
      <x:c r="A3984" s="1" t="n">
        <x:v>30265</x:v>
      </x:c>
      <x:c r="B3984" s="5" t="d">
        <x:v>2016-03-17T00:00:00.000Z</x:v>
      </x:c>
      <x:c r="C3984" s="1" t="str">
        <x:v>Second Class</x:v>
      </x:c>
      <x:c r="D3984" s="1" t="str">
        <x:v>Pacific Asia</x:v>
      </x:c>
      <x:c r="E3984" s="1" t="str">
        <x:v>COMPLETE</x:v>
      </x:c>
      <x:c r="F3984" s="1" t="str">
        <x:v>Late delivery</x:v>
      </x:c>
      <x:c r="G3984" s="6" t="n">
        <x:v>6</x:v>
      </x:c>
      <x:c r="H3984" s="6" t="n">
        <x:v>2</x:v>
      </x:c>
      <x:c r="I3984" s="6" t="n">
        <x:f>G3984-H3984</x:f>
        <x:v>4</x:v>
      </x:c>
      <x:c r="J3984" s="6" t="n">
        <x:f>IF(OR(E3984="CANCELED",E3984="SUSPECTED_FRAUD",F3984="Shipping canceled"),0,1)</x:f>
        <x:v>1</x:v>
      </x:c>
      <x:c r="K3984" s="6" t="n">
        <x:f>IF(G3984&gt;H3984,1,0)</x:f>
        <x:v>1</x:v>
      </x:c>
      <x:c r="L3984" s="6" t="n">
        <x:f>J3984*K3984</x:f>
        <x:v>1</x:v>
      </x:c>
    </x:row>
    <x:row r="3985">
      <x:c r="A3985" s="1" t="n">
        <x:v>30267</x:v>
      </x:c>
      <x:c r="B3985" s="5" t="d">
        <x:v>2016-03-17T00:00:00.000Z</x:v>
      </x:c>
      <x:c r="C3985" s="1" t="str">
        <x:v>Standard Class</x:v>
      </x:c>
      <x:c r="D3985" s="1" t="str">
        <x:v>Pacific Asia</x:v>
      </x:c>
      <x:c r="E3985" s="1" t="str">
        <x:v>PENDING</x:v>
      </x:c>
      <x:c r="F3985" s="1" t="str">
        <x:v>Advance shipping</x:v>
      </x:c>
      <x:c r="G3985" s="6" t="n">
        <x:v>3</x:v>
      </x:c>
      <x:c r="H3985" s="6" t="n">
        <x:v>4</x:v>
      </x:c>
      <x:c r="I3985" s="6" t="n">
        <x:f>G3985-H3985</x:f>
        <x:v>-1</x:v>
      </x:c>
      <x:c r="J3985" s="6" t="n">
        <x:f>IF(OR(E3985="CANCELED",E3985="SUSPECTED_FRAUD",F3985="Shipping canceled"),0,1)</x:f>
        <x:v>1</x:v>
      </x:c>
      <x:c r="K3985" s="6" t="n">
        <x:f>IF(G3985&gt;H3985,1,0)</x:f>
        <x:v>0</x:v>
      </x:c>
      <x:c r="L3985" s="6" t="n">
        <x:f>J3985*K3985</x:f>
        <x:v>0</x:v>
      </x:c>
    </x:row>
    <x:row r="3986">
      <x:c r="A3986" s="1" t="n">
        <x:v>30269</x:v>
      </x:c>
      <x:c r="B3986" s="5" t="d">
        <x:v>2016-03-17T00:00:00.000Z</x:v>
      </x:c>
      <x:c r="C3986" s="1" t="str">
        <x:v>Second Class</x:v>
      </x:c>
      <x:c r="D3986" s="1" t="str">
        <x:v>Pacific Asia</x:v>
      </x:c>
      <x:c r="E3986" s="1" t="str">
        <x:v>SUSPECTED_FRAUD</x:v>
      </x:c>
      <x:c r="F3986" s="1" t="str">
        <x:v>Shipping canceled</x:v>
      </x:c>
      <x:c r="G3986" s="6" t="n">
        <x:v>5</x:v>
      </x:c>
      <x:c r="H3986" s="6" t="n">
        <x:v>2</x:v>
      </x:c>
      <x:c r="I3986" s="6" t="n">
        <x:f>G3986-H3986</x:f>
        <x:v>3</x:v>
      </x:c>
      <x:c r="J3986" s="6" t="n">
        <x:f>IF(OR(E3986="CANCELED",E3986="SUSPECTED_FRAUD",F3986="Shipping canceled"),0,1)</x:f>
        <x:v>0</x:v>
      </x:c>
      <x:c r="K3986" s="6" t="n">
        <x:f>IF(G3986&gt;H3986,1,0)</x:f>
        <x:v>1</x:v>
      </x:c>
      <x:c r="L3986" s="6" t="n">
        <x:f>J3986*K3986</x:f>
        <x:v>0</x:v>
      </x:c>
    </x:row>
    <x:row r="3987">
      <x:c r="A3987" s="1" t="n">
        <x:v>30275</x:v>
      </x:c>
      <x:c r="B3987" s="5" t="d">
        <x:v>2016-03-17T00:00:00.000Z</x:v>
      </x:c>
      <x:c r="C3987" s="1" t="str">
        <x:v>Standard Class</x:v>
      </x:c>
      <x:c r="D3987" s="1" t="str">
        <x:v>Pacific Asia</x:v>
      </x:c>
      <x:c r="E3987" s="1" t="str">
        <x:v>PROCESSING</x:v>
      </x:c>
      <x:c r="F3987" s="1" t="str">
        <x:v>Late delivery</x:v>
      </x:c>
      <x:c r="G3987" s="6" t="n">
        <x:v>6</x:v>
      </x:c>
      <x:c r="H3987" s="6" t="n">
        <x:v>4</x:v>
      </x:c>
      <x:c r="I3987" s="6" t="n">
        <x:f>G3987-H3987</x:f>
        <x:v>2</x:v>
      </x:c>
      <x:c r="J3987" s="6" t="n">
        <x:f>IF(OR(E3987="CANCELED",E3987="SUSPECTED_FRAUD",F3987="Shipping canceled"),0,1)</x:f>
        <x:v>1</x:v>
      </x:c>
      <x:c r="K3987" s="6" t="n">
        <x:f>IF(G3987&gt;H3987,1,0)</x:f>
        <x:v>1</x:v>
      </x:c>
      <x:c r="L3987" s="6" t="n">
        <x:f>J3987*K3987</x:f>
        <x:v>1</x:v>
      </x:c>
    </x:row>
    <x:row r="3988">
      <x:c r="A3988" s="1" t="n">
        <x:v>30277</x:v>
      </x:c>
      <x:c r="B3988" s="5" t="d">
        <x:v>2016-03-17T00:00:00.000Z</x:v>
      </x:c>
      <x:c r="C3988" s="1" t="str">
        <x:v>Standard Class</x:v>
      </x:c>
      <x:c r="D3988" s="1" t="str">
        <x:v>Pacific Asia</x:v>
      </x:c>
      <x:c r="E3988" s="1" t="str">
        <x:v>COMPLETE</x:v>
      </x:c>
      <x:c r="F3988" s="1" t="str">
        <x:v>Advance shipping</x:v>
      </x:c>
      <x:c r="G3988" s="6" t="n">
        <x:v>3</x:v>
      </x:c>
      <x:c r="H3988" s="6" t="n">
        <x:v>4</x:v>
      </x:c>
      <x:c r="I3988" s="6" t="n">
        <x:f>G3988-H3988</x:f>
        <x:v>-1</x:v>
      </x:c>
      <x:c r="J3988" s="6" t="n">
        <x:f>IF(OR(E3988="CANCELED",E3988="SUSPECTED_FRAUD",F3988="Shipping canceled"),0,1)</x:f>
        <x:v>1</x:v>
      </x:c>
      <x:c r="K3988" s="6" t="n">
        <x:f>IF(G3988&gt;H3988,1,0)</x:f>
        <x:v>0</x:v>
      </x:c>
      <x:c r="L3988" s="6" t="n">
        <x:f>J3988*K3988</x:f>
        <x:v>0</x:v>
      </x:c>
    </x:row>
    <x:row r="3989">
      <x:c r="A3989" s="1" t="n">
        <x:v>30287</x:v>
      </x:c>
      <x:c r="B3989" s="5" t="d">
        <x:v>2016-03-18T00:00:00.000Z</x:v>
      </x:c>
      <x:c r="C3989" s="1" t="str">
        <x:v>Second Class</x:v>
      </x:c>
      <x:c r="D3989" s="1" t="str">
        <x:v>Pacific Asia</x:v>
      </x:c>
      <x:c r="E3989" s="1" t="str">
        <x:v>PROCESSING</x:v>
      </x:c>
      <x:c r="F3989" s="1" t="str">
        <x:v>Late delivery</x:v>
      </x:c>
      <x:c r="G3989" s="6" t="n">
        <x:v>3</x:v>
      </x:c>
      <x:c r="H3989" s="6" t="n">
        <x:v>2</x:v>
      </x:c>
      <x:c r="I3989" s="6" t="n">
        <x:f>G3989-H3989</x:f>
        <x:v>1</x:v>
      </x:c>
      <x:c r="J3989" s="6" t="n">
        <x:f>IF(OR(E3989="CANCELED",E3989="SUSPECTED_FRAUD",F3989="Shipping canceled"),0,1)</x:f>
        <x:v>1</x:v>
      </x:c>
      <x:c r="K3989" s="6" t="n">
        <x:f>IF(G3989&gt;H3989,1,0)</x:f>
        <x:v>1</x:v>
      </x:c>
      <x:c r="L3989" s="6" t="n">
        <x:f>J3989*K3989</x:f>
        <x:v>1</x:v>
      </x:c>
    </x:row>
    <x:row r="3990">
      <x:c r="A3990" s="1" t="n">
        <x:v>30297</x:v>
      </x:c>
      <x:c r="B3990" s="5" t="d">
        <x:v>2016-03-18T00:00:00.000Z</x:v>
      </x:c>
      <x:c r="C3990" s="1" t="str">
        <x:v>Standard Class</x:v>
      </x:c>
      <x:c r="D3990" s="1" t="str">
        <x:v>Pacific Asia</x:v>
      </x:c>
      <x:c r="E3990" s="1" t="str">
        <x:v>PROCESSING</x:v>
      </x:c>
      <x:c r="F3990" s="1" t="str">
        <x:v>Advance shipping</x:v>
      </x:c>
      <x:c r="G3990" s="6" t="n">
        <x:v>3</x:v>
      </x:c>
      <x:c r="H3990" s="6" t="n">
        <x:v>4</x:v>
      </x:c>
      <x:c r="I3990" s="6" t="n">
        <x:f>G3990-H3990</x:f>
        <x:v>-1</x:v>
      </x:c>
      <x:c r="J3990" s="6" t="n">
        <x:f>IF(OR(E3990="CANCELED",E3990="SUSPECTED_FRAUD",F3990="Shipping canceled"),0,1)</x:f>
        <x:v>1</x:v>
      </x:c>
      <x:c r="K3990" s="6" t="n">
        <x:f>IF(G3990&gt;H3990,1,0)</x:f>
        <x:v>0</x:v>
      </x:c>
      <x:c r="L3990" s="6" t="n">
        <x:f>J3990*K3990</x:f>
        <x:v>0</x:v>
      </x:c>
    </x:row>
    <x:row r="3991">
      <x:c r="A3991" s="1" t="n">
        <x:v>30305</x:v>
      </x:c>
      <x:c r="B3991" s="5" t="d">
        <x:v>2016-03-18T00:00:00.000Z</x:v>
      </x:c>
      <x:c r="C3991" s="1" t="str">
        <x:v>Second Class</x:v>
      </x:c>
      <x:c r="D3991" s="1" t="str">
        <x:v>Pacific Asia</x:v>
      </x:c>
      <x:c r="E3991" s="1" t="str">
        <x:v>PAYMENT_REVIEW</x:v>
      </x:c>
      <x:c r="F3991" s="1" t="str">
        <x:v>Late delivery</x:v>
      </x:c>
      <x:c r="G3991" s="6" t="n">
        <x:v>6</x:v>
      </x:c>
      <x:c r="H3991" s="6" t="n">
        <x:v>2</x:v>
      </x:c>
      <x:c r="I3991" s="6" t="n">
        <x:f>G3991-H3991</x:f>
        <x:v>4</x:v>
      </x:c>
      <x:c r="J3991" s="6" t="n">
        <x:f>IF(OR(E3991="CANCELED",E3991="SUSPECTED_FRAUD",F3991="Shipping canceled"),0,1)</x:f>
        <x:v>1</x:v>
      </x:c>
      <x:c r="K3991" s="6" t="n">
        <x:f>IF(G3991&gt;H3991,1,0)</x:f>
        <x:v>1</x:v>
      </x:c>
      <x:c r="L3991" s="6" t="n">
        <x:f>J3991*K3991</x:f>
        <x:v>1</x:v>
      </x:c>
    </x:row>
    <x:row r="3992">
      <x:c r="A3992" s="1" t="n">
        <x:v>30307</x:v>
      </x:c>
      <x:c r="B3992" s="5" t="d">
        <x:v>2016-03-18T00:00:00.000Z</x:v>
      </x:c>
      <x:c r="C3992" s="1" t="str">
        <x:v>Standard Class</x:v>
      </x:c>
      <x:c r="D3992" s="1" t="str">
        <x:v>Pacific Asia</x:v>
      </x:c>
      <x:c r="E3992" s="1" t="str">
        <x:v>COMPLETE</x:v>
      </x:c>
      <x:c r="F3992" s="1" t="str">
        <x:v>Advance shipping</x:v>
      </x:c>
      <x:c r="G3992" s="6" t="n">
        <x:v>3</x:v>
      </x:c>
      <x:c r="H3992" s="6" t="n">
        <x:v>4</x:v>
      </x:c>
      <x:c r="I3992" s="6" t="n">
        <x:f>G3992-H3992</x:f>
        <x:v>-1</x:v>
      </x:c>
      <x:c r="J3992" s="6" t="n">
        <x:f>IF(OR(E3992="CANCELED",E3992="SUSPECTED_FRAUD",F3992="Shipping canceled"),0,1)</x:f>
        <x:v>1</x:v>
      </x:c>
      <x:c r="K3992" s="6" t="n">
        <x:f>IF(G3992&gt;H3992,1,0)</x:f>
        <x:v>0</x:v>
      </x:c>
      <x:c r="L3992" s="6" t="n">
        <x:f>J3992*K3992</x:f>
        <x:v>0</x:v>
      </x:c>
    </x:row>
    <x:row r="3993">
      <x:c r="A3993" s="1" t="n">
        <x:v>30310</x:v>
      </x:c>
      <x:c r="B3993" s="5" t="d">
        <x:v>2016-03-18T00:00:00.000Z</x:v>
      </x:c>
      <x:c r="C3993" s="1" t="str">
        <x:v>Standard Class</x:v>
      </x:c>
      <x:c r="D3993" s="1" t="str">
        <x:v>Pacific Asia</x:v>
      </x:c>
      <x:c r="E3993" s="1" t="str">
        <x:v>COMPLETE</x:v>
      </x:c>
      <x:c r="F3993" s="1" t="str">
        <x:v>Late delivery</x:v>
      </x:c>
      <x:c r="G3993" s="6" t="n">
        <x:v>6</x:v>
      </x:c>
      <x:c r="H3993" s="6" t="n">
        <x:v>4</x:v>
      </x:c>
      <x:c r="I3993" s="6" t="n">
        <x:f>G3993-H3993</x:f>
        <x:v>2</x:v>
      </x:c>
      <x:c r="J3993" s="6" t="n">
        <x:f>IF(OR(E3993="CANCELED",E3993="SUSPECTED_FRAUD",F3993="Shipping canceled"),0,1)</x:f>
        <x:v>1</x:v>
      </x:c>
      <x:c r="K3993" s="6" t="n">
        <x:f>IF(G3993&gt;H3993,1,0)</x:f>
        <x:v>1</x:v>
      </x:c>
      <x:c r="L3993" s="6" t="n">
        <x:f>J3993*K3993</x:f>
        <x:v>1</x:v>
      </x:c>
    </x:row>
    <x:row r="3994">
      <x:c r="A3994" s="1" t="n">
        <x:v>30317</x:v>
      </x:c>
      <x:c r="B3994" s="5" t="d">
        <x:v>2016-03-18T00:00:00.000Z</x:v>
      </x:c>
      <x:c r="C3994" s="1" t="str">
        <x:v>Standard Class</x:v>
      </x:c>
      <x:c r="D3994" s="1" t="str">
        <x:v>Pacific Asia</x:v>
      </x:c>
      <x:c r="E3994" s="1" t="str">
        <x:v>PROCESSING</x:v>
      </x:c>
      <x:c r="F3994" s="1" t="str">
        <x:v>Advance shipping</x:v>
      </x:c>
      <x:c r="G3994" s="6" t="n">
        <x:v>3</x:v>
      </x:c>
      <x:c r="H3994" s="6" t="n">
        <x:v>4</x:v>
      </x:c>
      <x:c r="I3994" s="6" t="n">
        <x:f>G3994-H3994</x:f>
        <x:v>-1</x:v>
      </x:c>
      <x:c r="J3994" s="6" t="n">
        <x:f>IF(OR(E3994="CANCELED",E3994="SUSPECTED_FRAUD",F3994="Shipping canceled"),0,1)</x:f>
        <x:v>1</x:v>
      </x:c>
      <x:c r="K3994" s="6" t="n">
        <x:f>IF(G3994&gt;H3994,1,0)</x:f>
        <x:v>0</x:v>
      </x:c>
      <x:c r="L3994" s="6" t="n">
        <x:f>J3994*K3994</x:f>
        <x:v>0</x:v>
      </x:c>
    </x:row>
    <x:row r="3995">
      <x:c r="A3995" s="1" t="n">
        <x:v>30320</x:v>
      </x:c>
      <x:c r="B3995" s="5" t="d">
        <x:v>2016-03-18T00:00:00.000Z</x:v>
      </x:c>
      <x:c r="C3995" s="1" t="str">
        <x:v>Standard Class</x:v>
      </x:c>
      <x:c r="D3995" s="1" t="str">
        <x:v>Pacific Asia</x:v>
      </x:c>
      <x:c r="E3995" s="1" t="str">
        <x:v>COMPLETE</x:v>
      </x:c>
      <x:c r="F3995" s="1" t="str">
        <x:v>Late delivery</x:v>
      </x:c>
      <x:c r="G3995" s="6" t="n">
        <x:v>6</x:v>
      </x:c>
      <x:c r="H3995" s="6" t="n">
        <x:v>4</x:v>
      </x:c>
      <x:c r="I3995" s="6" t="n">
        <x:f>G3995-H3995</x:f>
        <x:v>2</x:v>
      </x:c>
      <x:c r="J3995" s="6" t="n">
        <x:f>IF(OR(E3995="CANCELED",E3995="SUSPECTED_FRAUD",F3995="Shipping canceled"),0,1)</x:f>
        <x:v>1</x:v>
      </x:c>
      <x:c r="K3995" s="6" t="n">
        <x:f>IF(G3995&gt;H3995,1,0)</x:f>
        <x:v>1</x:v>
      </x:c>
      <x:c r="L3995" s="6" t="n">
        <x:f>J3995*K3995</x:f>
        <x:v>1</x:v>
      </x:c>
    </x:row>
    <x:row r="3996">
      <x:c r="A3996" s="1" t="n">
        <x:v>30323</x:v>
      </x:c>
      <x:c r="B3996" s="5" t="d">
        <x:v>2016-03-18T00:00:00.000Z</x:v>
      </x:c>
      <x:c r="C3996" s="1" t="str">
        <x:v>Standard Class</x:v>
      </x:c>
      <x:c r="D3996" s="1" t="str">
        <x:v>Pacific Asia</x:v>
      </x:c>
      <x:c r="E3996" s="1" t="str">
        <x:v>COMPLETE</x:v>
      </x:c>
      <x:c r="F3996" s="1" t="str">
        <x:v>Shipping on time</x:v>
      </x:c>
      <x:c r="G3996" s="6" t="n">
        <x:v>4</x:v>
      </x:c>
      <x:c r="H3996" s="6" t="n">
        <x:v>4</x:v>
      </x:c>
      <x:c r="I3996" s="6" t="n">
        <x:f>G3996-H3996</x:f>
        <x:v>0</x:v>
      </x:c>
      <x:c r="J3996" s="6" t="n">
        <x:f>IF(OR(E3996="CANCELED",E3996="SUSPECTED_FRAUD",F3996="Shipping canceled"),0,1)</x:f>
        <x:v>1</x:v>
      </x:c>
      <x:c r="K3996" s="6" t="n">
        <x:f>IF(G3996&gt;H3996,1,0)</x:f>
        <x:v>0</x:v>
      </x:c>
      <x:c r="L3996" s="6" t="n">
        <x:f>J3996*K3996</x:f>
        <x:v>0</x:v>
      </x:c>
    </x:row>
    <x:row r="3997">
      <x:c r="A3997" s="1" t="n">
        <x:v>30328</x:v>
      </x:c>
      <x:c r="B3997" s="5" t="d">
        <x:v>2016-03-18T00:00:00.000Z</x:v>
      </x:c>
      <x:c r="C3997" s="1" t="str">
        <x:v>Standard Class</x:v>
      </x:c>
      <x:c r="D3997" s="1" t="str">
        <x:v>Pacific Asia</x:v>
      </x:c>
      <x:c r="E3997" s="1" t="str">
        <x:v>SUSPECTED_FRAUD</x:v>
      </x:c>
      <x:c r="F3997" s="1" t="str">
        <x:v>Shipping canceled</x:v>
      </x:c>
      <x:c r="G3997" s="6" t="n">
        <x:v>4</x:v>
      </x:c>
      <x:c r="H3997" s="6" t="n">
        <x:v>4</x:v>
      </x:c>
      <x:c r="I3997" s="6" t="n">
        <x:f>G3997-H3997</x:f>
        <x:v>0</x:v>
      </x:c>
      <x:c r="J3997" s="6" t="n">
        <x:f>IF(OR(E3997="CANCELED",E3997="SUSPECTED_FRAUD",F3997="Shipping canceled"),0,1)</x:f>
        <x:v>0</x:v>
      </x:c>
      <x:c r="K3997" s="6" t="n">
        <x:f>IF(G3997&gt;H3997,1,0)</x:f>
        <x:v>0</x:v>
      </x:c>
      <x:c r="L3997" s="6" t="n">
        <x:f>J3997*K3997</x:f>
        <x:v>0</x:v>
      </x:c>
    </x:row>
    <x:row r="3998">
      <x:c r="A3998" s="1" t="n">
        <x:v>30334</x:v>
      </x:c>
      <x:c r="B3998" s="5" t="d">
        <x:v>2016-03-18T00:00:00.000Z</x:v>
      </x:c>
      <x:c r="C3998" s="1" t="str">
        <x:v>Standard Class</x:v>
      </x:c>
      <x:c r="D3998" s="1" t="str">
        <x:v>Pacific Asia</x:v>
      </x:c>
      <x:c r="E3998" s="1" t="str">
        <x:v>PENDING_PAYMENT</x:v>
      </x:c>
      <x:c r="F3998" s="1" t="str">
        <x:v>Late delivery</x:v>
      </x:c>
      <x:c r="G3998" s="6" t="n">
        <x:v>5</x:v>
      </x:c>
      <x:c r="H3998" s="6" t="n">
        <x:v>4</x:v>
      </x:c>
      <x:c r="I3998" s="6" t="n">
        <x:f>G3998-H3998</x:f>
        <x:v>1</x:v>
      </x:c>
      <x:c r="J3998" s="6" t="n">
        <x:f>IF(OR(E3998="CANCELED",E3998="SUSPECTED_FRAUD",F3998="Shipping canceled"),0,1)</x:f>
        <x:v>1</x:v>
      </x:c>
      <x:c r="K3998" s="6" t="n">
        <x:f>IF(G3998&gt;H3998,1,0)</x:f>
        <x:v>1</x:v>
      </x:c>
      <x:c r="L3998" s="6" t="n">
        <x:f>J3998*K3998</x:f>
        <x:v>1</x:v>
      </x:c>
    </x:row>
    <x:row r="3999">
      <x:c r="A3999" s="1" t="n">
        <x:v>30335</x:v>
      </x:c>
      <x:c r="B3999" s="5" t="d">
        <x:v>2016-03-18T00:00:00.000Z</x:v>
      </x:c>
      <x:c r="C3999" s="1" t="str">
        <x:v>Standard Class</x:v>
      </x:c>
      <x:c r="D3999" s="1" t="str">
        <x:v>Pacific Asia</x:v>
      </x:c>
      <x:c r="E3999" s="1" t="str">
        <x:v>PROCESSING</x:v>
      </x:c>
      <x:c r="F3999" s="1" t="str">
        <x:v>Late delivery</x:v>
      </x:c>
      <x:c r="G3999" s="6" t="n">
        <x:v>6</x:v>
      </x:c>
      <x:c r="H3999" s="6" t="n">
        <x:v>4</x:v>
      </x:c>
      <x:c r="I3999" s="6" t="n">
        <x:f>G3999-H3999</x:f>
        <x:v>2</x:v>
      </x:c>
      <x:c r="J3999" s="6" t="n">
        <x:f>IF(OR(E3999="CANCELED",E3999="SUSPECTED_FRAUD",F3999="Shipping canceled"),0,1)</x:f>
        <x:v>1</x:v>
      </x:c>
      <x:c r="K3999" s="6" t="n">
        <x:f>IF(G3999&gt;H3999,1,0)</x:f>
        <x:v>1</x:v>
      </x:c>
      <x:c r="L3999" s="6" t="n">
        <x:f>J3999*K3999</x:f>
        <x:v>1</x:v>
      </x:c>
    </x:row>
    <x:row r="4000">
      <x:c r="A4000" s="1" t="n">
        <x:v>30336</x:v>
      </x:c>
      <x:c r="B4000" s="5" t="d">
        <x:v>2016-03-18T00:00:00.000Z</x:v>
      </x:c>
      <x:c r="C4000" s="1" t="str">
        <x:v>Standard Class</x:v>
      </x:c>
      <x:c r="D4000" s="1" t="str">
        <x:v>Pacific Asia</x:v>
      </x:c>
      <x:c r="E4000" s="1" t="str">
        <x:v>PENDING</x:v>
      </x:c>
      <x:c r="F4000" s="1" t="str">
        <x:v>Advance shipping</x:v>
      </x:c>
      <x:c r="G4000" s="6" t="n">
        <x:v>2</x:v>
      </x:c>
      <x:c r="H4000" s="6" t="n">
        <x:v>4</x:v>
      </x:c>
      <x:c r="I4000" s="6" t="n">
        <x:f>G4000-H4000</x:f>
        <x:v>-2</x:v>
      </x:c>
      <x:c r="J4000" s="6" t="n">
        <x:f>IF(OR(E4000="CANCELED",E4000="SUSPECTED_FRAUD",F4000="Shipping canceled"),0,1)</x:f>
        <x:v>1</x:v>
      </x:c>
      <x:c r="K4000" s="6" t="n">
        <x:f>IF(G4000&gt;H4000,1,0)</x:f>
        <x:v>0</x:v>
      </x:c>
      <x:c r="L4000" s="6" t="n">
        <x:f>J4000*K4000</x:f>
        <x:v>0</x:v>
      </x:c>
    </x:row>
    <x:row r="4001">
      <x:c r="A4001" s="1" t="n">
        <x:v>30346</x:v>
      </x:c>
      <x:c r="B4001" s="5" t="d">
        <x:v>2016-03-18T00:00:00.000Z</x:v>
      </x:c>
      <x:c r="C4001" s="1" t="str">
        <x:v>Standard Class</x:v>
      </x:c>
      <x:c r="D4001" s="1" t="str">
        <x:v>Pacific Asia</x:v>
      </x:c>
      <x:c r="E4001" s="1" t="str">
        <x:v>CLOSED</x:v>
      </x:c>
      <x:c r="F4001" s="1" t="str">
        <x:v>Advance shipping</x:v>
      </x:c>
      <x:c r="G4001" s="6" t="n">
        <x:v>2</x:v>
      </x:c>
      <x:c r="H4001" s="6" t="n">
        <x:v>4</x:v>
      </x:c>
      <x:c r="I4001" s="6" t="n">
        <x:f>G4001-H4001</x:f>
        <x:v>-2</x:v>
      </x:c>
      <x:c r="J4001" s="6" t="n">
        <x:f>IF(OR(E4001="CANCELED",E4001="SUSPECTED_FRAUD",F4001="Shipping canceled"),0,1)</x:f>
        <x:v>1</x:v>
      </x:c>
      <x:c r="K4001" s="6" t="n">
        <x:f>IF(G4001&gt;H4001,1,0)</x:f>
        <x:v>0</x:v>
      </x:c>
      <x:c r="L4001" s="6" t="n">
        <x:f>J4001*K4001</x:f>
        <x:v>0</x:v>
      </x:c>
    </x:row>
    <x:row r="4002">
      <x:c r="A4002" s="1" t="n">
        <x:v>30363</x:v>
      </x:c>
      <x:c r="B4002" s="5" t="d">
        <x:v>2016-03-19T00:00:00.000Z</x:v>
      </x:c>
      <x:c r="C4002" s="1" t="str">
        <x:v>Standard Class</x:v>
      </x:c>
      <x:c r="D4002" s="1" t="str">
        <x:v>Pacific Asia</x:v>
      </x:c>
      <x:c r="E4002" s="1" t="str">
        <x:v>ON_HOLD</x:v>
      </x:c>
      <x:c r="F4002" s="1" t="str">
        <x:v>Shipping on time</x:v>
      </x:c>
      <x:c r="G4002" s="6" t="n">
        <x:v>4</x:v>
      </x:c>
      <x:c r="H4002" s="6" t="n">
        <x:v>4</x:v>
      </x:c>
      <x:c r="I4002" s="6" t="n">
        <x:f>G4002-H4002</x:f>
        <x:v>0</x:v>
      </x:c>
      <x:c r="J4002" s="6" t="n">
        <x:f>IF(OR(E4002="CANCELED",E4002="SUSPECTED_FRAUD",F4002="Shipping canceled"),0,1)</x:f>
        <x:v>1</x:v>
      </x:c>
      <x:c r="K4002" s="6" t="n">
        <x:f>IF(G4002&gt;H4002,1,0)</x:f>
        <x:v>0</x:v>
      </x:c>
      <x:c r="L4002" s="6" t="n">
        <x:f>J4002*K4002</x:f>
        <x:v>0</x:v>
      </x:c>
    </x:row>
    <x:row r="4003">
      <x:c r="A4003" s="1" t="n">
        <x:v>30368</x:v>
      </x:c>
      <x:c r="B4003" s="5" t="d">
        <x:v>2016-03-19T00:00:00.000Z</x:v>
      </x:c>
      <x:c r="C4003" s="1" t="str">
        <x:v>Standard Class</x:v>
      </x:c>
      <x:c r="D4003" s="1" t="str">
        <x:v>Pacific Asia</x:v>
      </x:c>
      <x:c r="E4003" s="1" t="str">
        <x:v>PENDING_PAYMENT</x:v>
      </x:c>
      <x:c r="F4003" s="1" t="str">
        <x:v>Shipping on time</x:v>
      </x:c>
      <x:c r="G4003" s="6" t="n">
        <x:v>4</x:v>
      </x:c>
      <x:c r="H4003" s="6" t="n">
        <x:v>4</x:v>
      </x:c>
      <x:c r="I4003" s="6" t="n">
        <x:f>G4003-H4003</x:f>
        <x:v>0</x:v>
      </x:c>
      <x:c r="J4003" s="6" t="n">
        <x:f>IF(OR(E4003="CANCELED",E4003="SUSPECTED_FRAUD",F4003="Shipping canceled"),0,1)</x:f>
        <x:v>1</x:v>
      </x:c>
      <x:c r="K4003" s="6" t="n">
        <x:f>IF(G4003&gt;H4003,1,0)</x:f>
        <x:v>0</x:v>
      </x:c>
      <x:c r="L4003" s="6" t="n">
        <x:f>J4003*K4003</x:f>
        <x:v>0</x:v>
      </x:c>
    </x:row>
    <x:row r="4004">
      <x:c r="A4004" s="1" t="n">
        <x:v>30388</x:v>
      </x:c>
      <x:c r="B4004" s="5" t="d">
        <x:v>2016-03-19T00:00:00.000Z</x:v>
      </x:c>
      <x:c r="C4004" s="1" t="str">
        <x:v>Standard Class</x:v>
      </x:c>
      <x:c r="D4004" s="1" t="str">
        <x:v>Pacific Asia</x:v>
      </x:c>
      <x:c r="E4004" s="1" t="str">
        <x:v>PROCESSING</x:v>
      </x:c>
      <x:c r="F4004" s="1" t="str">
        <x:v>Shipping on time</x:v>
      </x:c>
      <x:c r="G4004" s="6" t="n">
        <x:v>4</x:v>
      </x:c>
      <x:c r="H4004" s="6" t="n">
        <x:v>4</x:v>
      </x:c>
      <x:c r="I4004" s="6" t="n">
        <x:f>G4004-H4004</x:f>
        <x:v>0</x:v>
      </x:c>
      <x:c r="J4004" s="6" t="n">
        <x:f>IF(OR(E4004="CANCELED",E4004="SUSPECTED_FRAUD",F4004="Shipping canceled"),0,1)</x:f>
        <x:v>1</x:v>
      </x:c>
      <x:c r="K4004" s="6" t="n">
        <x:f>IF(G4004&gt;H4004,1,0)</x:f>
        <x:v>0</x:v>
      </x:c>
      <x:c r="L4004" s="6" t="n">
        <x:f>J4004*K4004</x:f>
        <x:v>0</x:v>
      </x:c>
    </x:row>
    <x:row r="4005">
      <x:c r="A4005" s="1" t="n">
        <x:v>30390</x:v>
      </x:c>
      <x:c r="B4005" s="5" t="d">
        <x:v>2016-03-19T00:00:00.000Z</x:v>
      </x:c>
      <x:c r="C4005" s="1" t="str">
        <x:v>Standard Class</x:v>
      </x:c>
      <x:c r="D4005" s="1" t="str">
        <x:v>Pacific Asia</x:v>
      </x:c>
      <x:c r="E4005" s="1" t="str">
        <x:v>PENDING</x:v>
      </x:c>
      <x:c r="F4005" s="1" t="str">
        <x:v>Late delivery</x:v>
      </x:c>
      <x:c r="G4005" s="6" t="n">
        <x:v>6</x:v>
      </x:c>
      <x:c r="H4005" s="6" t="n">
        <x:v>4</x:v>
      </x:c>
      <x:c r="I4005" s="6" t="n">
        <x:f>G4005-H4005</x:f>
        <x:v>2</x:v>
      </x:c>
      <x:c r="J4005" s="6" t="n">
        <x:f>IF(OR(E4005="CANCELED",E4005="SUSPECTED_FRAUD",F4005="Shipping canceled"),0,1)</x:f>
        <x:v>1</x:v>
      </x:c>
      <x:c r="K4005" s="6" t="n">
        <x:f>IF(G4005&gt;H4005,1,0)</x:f>
        <x:v>1</x:v>
      </x:c>
      <x:c r="L4005" s="6" t="n">
        <x:f>J4005*K4005</x:f>
        <x:v>1</x:v>
      </x:c>
    </x:row>
    <x:row r="4006">
      <x:c r="A4006" s="1" t="n">
        <x:v>30409</x:v>
      </x:c>
      <x:c r="B4006" s="5" t="d">
        <x:v>2016-03-19T00:00:00.000Z</x:v>
      </x:c>
      <x:c r="C4006" s="1" t="str">
        <x:v>First Class</x:v>
      </x:c>
      <x:c r="D4006" s="1" t="str">
        <x:v>Pacific Asia</x:v>
      </x:c>
      <x:c r="E4006" s="1" t="str">
        <x:v>CLOSED</x:v>
      </x:c>
      <x:c r="F4006" s="1" t="str">
        <x:v>Late delivery</x:v>
      </x:c>
      <x:c r="G4006" s="6" t="n">
        <x:v>2</x:v>
      </x:c>
      <x:c r="H4006" s="6" t="n">
        <x:v>1</x:v>
      </x:c>
      <x:c r="I4006" s="6" t="n">
        <x:f>G4006-H4006</x:f>
        <x:v>1</x:v>
      </x:c>
      <x:c r="J4006" s="6" t="n">
        <x:f>IF(OR(E4006="CANCELED",E4006="SUSPECTED_FRAUD",F4006="Shipping canceled"),0,1)</x:f>
        <x:v>1</x:v>
      </x:c>
      <x:c r="K4006" s="6" t="n">
        <x:f>IF(G4006&gt;H4006,1,0)</x:f>
        <x:v>1</x:v>
      </x:c>
      <x:c r="L4006" s="6" t="n">
        <x:f>J4006*K4006</x:f>
        <x:v>1</x:v>
      </x:c>
    </x:row>
    <x:row r="4007">
      <x:c r="A4007" s="1" t="n">
        <x:v>30446</x:v>
      </x:c>
      <x:c r="B4007" s="5" t="d">
        <x:v>2016-03-20T00:00:00.000Z</x:v>
      </x:c>
      <x:c r="C4007" s="1" t="str">
        <x:v>Standard Class</x:v>
      </x:c>
      <x:c r="D4007" s="1" t="str">
        <x:v>Pacific Asia</x:v>
      </x:c>
      <x:c r="E4007" s="1" t="str">
        <x:v>ON_HOLD</x:v>
      </x:c>
      <x:c r="F4007" s="1" t="str">
        <x:v>Advance shipping</x:v>
      </x:c>
      <x:c r="G4007" s="6" t="n">
        <x:v>2</x:v>
      </x:c>
      <x:c r="H4007" s="6" t="n">
        <x:v>4</x:v>
      </x:c>
      <x:c r="I4007" s="6" t="n">
        <x:f>G4007-H4007</x:f>
        <x:v>-2</x:v>
      </x:c>
      <x:c r="J4007" s="6" t="n">
        <x:f>IF(OR(E4007="CANCELED",E4007="SUSPECTED_FRAUD",F4007="Shipping canceled"),0,1)</x:f>
        <x:v>1</x:v>
      </x:c>
      <x:c r="K4007" s="6" t="n">
        <x:f>IF(G4007&gt;H4007,1,0)</x:f>
        <x:v>0</x:v>
      </x:c>
      <x:c r="L4007" s="6" t="n">
        <x:f>J4007*K4007</x:f>
        <x:v>0</x:v>
      </x:c>
    </x:row>
    <x:row r="4008">
      <x:c r="A4008" s="1" t="n">
        <x:v>30452</x:v>
      </x:c>
      <x:c r="B4008" s="5" t="d">
        <x:v>2016-03-20T00:00:00.000Z</x:v>
      </x:c>
      <x:c r="C4008" s="1" t="str">
        <x:v>First Class</x:v>
      </x:c>
      <x:c r="D4008" s="1" t="str">
        <x:v>Pacific Asia</x:v>
      </x:c>
      <x:c r="E4008" s="1" t="str">
        <x:v>PROCESSING</x:v>
      </x:c>
      <x:c r="F4008" s="1" t="str">
        <x:v>Late delivery</x:v>
      </x:c>
      <x:c r="G4008" s="6" t="n">
        <x:v>2</x:v>
      </x:c>
      <x:c r="H4008" s="6" t="n">
        <x:v>1</x:v>
      </x:c>
      <x:c r="I4008" s="6" t="n">
        <x:f>G4008-H4008</x:f>
        <x:v>1</x:v>
      </x:c>
      <x:c r="J4008" s="6" t="n">
        <x:f>IF(OR(E4008="CANCELED",E4008="SUSPECTED_FRAUD",F4008="Shipping canceled"),0,1)</x:f>
        <x:v>1</x:v>
      </x:c>
      <x:c r="K4008" s="6" t="n">
        <x:f>IF(G4008&gt;H4008,1,0)</x:f>
        <x:v>1</x:v>
      </x:c>
      <x:c r="L4008" s="6" t="n">
        <x:f>J4008*K4008</x:f>
        <x:v>1</x:v>
      </x:c>
    </x:row>
    <x:row r="4009">
      <x:c r="A4009" s="1" t="n">
        <x:v>30482</x:v>
      </x:c>
      <x:c r="B4009" s="5" t="d">
        <x:v>2016-03-20T00:00:00.000Z</x:v>
      </x:c>
      <x:c r="C4009" s="1" t="str">
        <x:v>Standard Class</x:v>
      </x:c>
      <x:c r="D4009" s="1" t="str">
        <x:v>Pacific Asia</x:v>
      </x:c>
      <x:c r="E4009" s="1" t="str">
        <x:v>SUSPECTED_FRAUD</x:v>
      </x:c>
      <x:c r="F4009" s="1" t="str">
        <x:v>Shipping canceled</x:v>
      </x:c>
      <x:c r="G4009" s="6" t="n">
        <x:v>3</x:v>
      </x:c>
      <x:c r="H4009" s="6" t="n">
        <x:v>4</x:v>
      </x:c>
      <x:c r="I4009" s="6" t="n">
        <x:f>G4009-H4009</x:f>
        <x:v>-1</x:v>
      </x:c>
      <x:c r="J4009" s="6" t="n">
        <x:f>IF(OR(E4009="CANCELED",E4009="SUSPECTED_FRAUD",F4009="Shipping canceled"),0,1)</x:f>
        <x:v>0</x:v>
      </x:c>
      <x:c r="K4009" s="6" t="n">
        <x:f>IF(G4009&gt;H4009,1,0)</x:f>
        <x:v>0</x:v>
      </x:c>
      <x:c r="L4009" s="6" t="n">
        <x:f>J4009*K4009</x:f>
        <x:v>0</x:v>
      </x:c>
    </x:row>
    <x:row r="4010">
      <x:c r="A4010" s="1" t="n">
        <x:v>30488</x:v>
      </x:c>
      <x:c r="B4010" s="5" t="d">
        <x:v>2016-03-21T00:00:00.000Z</x:v>
      </x:c>
      <x:c r="C4010" s="1" t="str">
        <x:v>Standard Class</x:v>
      </x:c>
      <x:c r="D4010" s="1" t="str">
        <x:v>Pacific Asia</x:v>
      </x:c>
      <x:c r="E4010" s="1" t="str">
        <x:v>CLOSED</x:v>
      </x:c>
      <x:c r="F4010" s="1" t="str">
        <x:v>Shipping on time</x:v>
      </x:c>
      <x:c r="G4010" s="6" t="n">
        <x:v>4</x:v>
      </x:c>
      <x:c r="H4010" s="6" t="n">
        <x:v>4</x:v>
      </x:c>
      <x:c r="I4010" s="6" t="n">
        <x:f>G4010-H4010</x:f>
        <x:v>0</x:v>
      </x:c>
      <x:c r="J4010" s="6" t="n">
        <x:f>IF(OR(E4010="CANCELED",E4010="SUSPECTED_FRAUD",F4010="Shipping canceled"),0,1)</x:f>
        <x:v>1</x:v>
      </x:c>
      <x:c r="K4010" s="6" t="n">
        <x:f>IF(G4010&gt;H4010,1,0)</x:f>
        <x:v>0</x:v>
      </x:c>
      <x:c r="L4010" s="6" t="n">
        <x:f>J4010*K4010</x:f>
        <x:v>0</x:v>
      </x:c>
    </x:row>
    <x:row r="4011">
      <x:c r="A4011" s="1" t="n">
        <x:v>30511</x:v>
      </x:c>
      <x:c r="B4011" s="5" t="d">
        <x:v>2016-03-21T00:00:00.000Z</x:v>
      </x:c>
      <x:c r="C4011" s="1" t="str">
        <x:v>Standard Class</x:v>
      </x:c>
      <x:c r="D4011" s="1" t="str">
        <x:v>Pacific Asia</x:v>
      </x:c>
      <x:c r="E4011" s="1" t="str">
        <x:v>COMPLETE</x:v>
      </x:c>
      <x:c r="F4011" s="1" t="str">
        <x:v>Advance shipping</x:v>
      </x:c>
      <x:c r="G4011" s="6" t="n">
        <x:v>2</x:v>
      </x:c>
      <x:c r="H4011" s="6" t="n">
        <x:v>4</x:v>
      </x:c>
      <x:c r="I4011" s="6" t="n">
        <x:f>G4011-H4011</x:f>
        <x:v>-2</x:v>
      </x:c>
      <x:c r="J4011" s="6" t="n">
        <x:f>IF(OR(E4011="CANCELED",E4011="SUSPECTED_FRAUD",F4011="Shipping canceled"),0,1)</x:f>
        <x:v>1</x:v>
      </x:c>
      <x:c r="K4011" s="6" t="n">
        <x:f>IF(G4011&gt;H4011,1,0)</x:f>
        <x:v>0</x:v>
      </x:c>
      <x:c r="L4011" s="6" t="n">
        <x:f>J4011*K4011</x:f>
        <x:v>0</x:v>
      </x:c>
    </x:row>
    <x:row r="4012">
      <x:c r="A4012" s="1" t="n">
        <x:v>30513</x:v>
      </x:c>
      <x:c r="B4012" s="5" t="d">
        <x:v>2016-03-21T00:00:00.000Z</x:v>
      </x:c>
      <x:c r="C4012" s="1" t="str">
        <x:v>First Class</x:v>
      </x:c>
      <x:c r="D4012" s="1" t="str">
        <x:v>Pacific Asia</x:v>
      </x:c>
      <x:c r="E4012" s="1" t="str">
        <x:v>PENDING</x:v>
      </x:c>
      <x:c r="F4012" s="1" t="str">
        <x:v>Late delivery</x:v>
      </x:c>
      <x:c r="G4012" s="6" t="n">
        <x:v>2</x:v>
      </x:c>
      <x:c r="H4012" s="6" t="n">
        <x:v>1</x:v>
      </x:c>
      <x:c r="I4012" s="6" t="n">
        <x:f>G4012-H4012</x:f>
        <x:v>1</x:v>
      </x:c>
      <x:c r="J4012" s="6" t="n">
        <x:f>IF(OR(E4012="CANCELED",E4012="SUSPECTED_FRAUD",F4012="Shipping canceled"),0,1)</x:f>
        <x:v>1</x:v>
      </x:c>
      <x:c r="K4012" s="6" t="n">
        <x:f>IF(G4012&gt;H4012,1,0)</x:f>
        <x:v>1</x:v>
      </x:c>
      <x:c r="L4012" s="6" t="n">
        <x:f>J4012*K4012</x:f>
        <x:v>1</x:v>
      </x:c>
    </x:row>
    <x:row r="4013">
      <x:c r="A4013" s="1" t="n">
        <x:v>30519</x:v>
      </x:c>
      <x:c r="B4013" s="5" t="d">
        <x:v>2016-03-21T00:00:00.000Z</x:v>
      </x:c>
      <x:c r="C4013" s="1" t="str">
        <x:v>Standard Class</x:v>
      </x:c>
      <x:c r="D4013" s="1" t="str">
        <x:v>Pacific Asia</x:v>
      </x:c>
      <x:c r="E4013" s="1" t="str">
        <x:v>COMPLETE</x:v>
      </x:c>
      <x:c r="F4013" s="1" t="str">
        <x:v>Late delivery</x:v>
      </x:c>
      <x:c r="G4013" s="6" t="n">
        <x:v>5</x:v>
      </x:c>
      <x:c r="H4013" s="6" t="n">
        <x:v>4</x:v>
      </x:c>
      <x:c r="I4013" s="6" t="n">
        <x:f>G4013-H4013</x:f>
        <x:v>1</x:v>
      </x:c>
      <x:c r="J4013" s="6" t="n">
        <x:f>IF(OR(E4013="CANCELED",E4013="SUSPECTED_FRAUD",F4013="Shipping canceled"),0,1)</x:f>
        <x:v>1</x:v>
      </x:c>
      <x:c r="K4013" s="6" t="n">
        <x:f>IF(G4013&gt;H4013,1,0)</x:f>
        <x:v>1</x:v>
      </x:c>
      <x:c r="L4013" s="6" t="n">
        <x:f>J4013*K4013</x:f>
        <x:v>1</x:v>
      </x:c>
    </x:row>
    <x:row r="4014">
      <x:c r="A4014" s="1" t="n">
        <x:v>30529</x:v>
      </x:c>
      <x:c r="B4014" s="5" t="d">
        <x:v>2016-03-21T00:00:00.000Z</x:v>
      </x:c>
      <x:c r="C4014" s="1" t="str">
        <x:v>Second Class</x:v>
      </x:c>
      <x:c r="D4014" s="1" t="str">
        <x:v>Pacific Asia</x:v>
      </x:c>
      <x:c r="E4014" s="1" t="str">
        <x:v>PENDING</x:v>
      </x:c>
      <x:c r="F4014" s="1" t="str">
        <x:v>Late delivery</x:v>
      </x:c>
      <x:c r="G4014" s="6" t="n">
        <x:v>5</x:v>
      </x:c>
      <x:c r="H4014" s="6" t="n">
        <x:v>2</x:v>
      </x:c>
      <x:c r="I4014" s="6" t="n">
        <x:f>G4014-H4014</x:f>
        <x:v>3</x:v>
      </x:c>
      <x:c r="J4014" s="6" t="n">
        <x:f>IF(OR(E4014="CANCELED",E4014="SUSPECTED_FRAUD",F4014="Shipping canceled"),0,1)</x:f>
        <x:v>1</x:v>
      </x:c>
      <x:c r="K4014" s="6" t="n">
        <x:f>IF(G4014&gt;H4014,1,0)</x:f>
        <x:v>1</x:v>
      </x:c>
      <x:c r="L4014" s="6" t="n">
        <x:f>J4014*K4014</x:f>
        <x:v>1</x:v>
      </x:c>
    </x:row>
    <x:row r="4015">
      <x:c r="A4015" s="1" t="n">
        <x:v>30544</x:v>
      </x:c>
      <x:c r="B4015" s="5" t="d">
        <x:v>2016-03-21T00:00:00.000Z</x:v>
      </x:c>
      <x:c r="C4015" s="1" t="str">
        <x:v>Standard Class</x:v>
      </x:c>
      <x:c r="D4015" s="1" t="str">
        <x:v>Pacific Asia</x:v>
      </x:c>
      <x:c r="E4015" s="1" t="str">
        <x:v>PENDING</x:v>
      </x:c>
      <x:c r="F4015" s="1" t="str">
        <x:v>Late delivery</x:v>
      </x:c>
      <x:c r="G4015" s="6" t="n">
        <x:v>5</x:v>
      </x:c>
      <x:c r="H4015" s="6" t="n">
        <x:v>4</x:v>
      </x:c>
      <x:c r="I4015" s="6" t="n">
        <x:f>G4015-H4015</x:f>
        <x:v>1</x:v>
      </x:c>
      <x:c r="J4015" s="6" t="n">
        <x:f>IF(OR(E4015="CANCELED",E4015="SUSPECTED_FRAUD",F4015="Shipping canceled"),0,1)</x:f>
        <x:v>1</x:v>
      </x:c>
      <x:c r="K4015" s="6" t="n">
        <x:f>IF(G4015&gt;H4015,1,0)</x:f>
        <x:v>1</x:v>
      </x:c>
      <x:c r="L4015" s="6" t="n">
        <x:f>J4015*K4015</x:f>
        <x:v>1</x:v>
      </x:c>
    </x:row>
    <x:row r="4016">
      <x:c r="A4016" s="1" t="n">
        <x:v>30546</x:v>
      </x:c>
      <x:c r="B4016" s="5" t="d">
        <x:v>2016-03-21T00:00:00.000Z</x:v>
      </x:c>
      <x:c r="C4016" s="1" t="str">
        <x:v>Standard Class</x:v>
      </x:c>
      <x:c r="D4016" s="1" t="str">
        <x:v>Pacific Asia</x:v>
      </x:c>
      <x:c r="E4016" s="1" t="str">
        <x:v>COMPLETE</x:v>
      </x:c>
      <x:c r="F4016" s="1" t="str">
        <x:v>Advance shipping</x:v>
      </x:c>
      <x:c r="G4016" s="6" t="n">
        <x:v>2</x:v>
      </x:c>
      <x:c r="H4016" s="6" t="n">
        <x:v>4</x:v>
      </x:c>
      <x:c r="I4016" s="6" t="n">
        <x:f>G4016-H4016</x:f>
        <x:v>-2</x:v>
      </x:c>
      <x:c r="J4016" s="6" t="n">
        <x:f>IF(OR(E4016="CANCELED",E4016="SUSPECTED_FRAUD",F4016="Shipping canceled"),0,1)</x:f>
        <x:v>1</x:v>
      </x:c>
      <x:c r="K4016" s="6" t="n">
        <x:f>IF(G4016&gt;H4016,1,0)</x:f>
        <x:v>0</x:v>
      </x:c>
      <x:c r="L4016" s="6" t="n">
        <x:f>J4016*K4016</x:f>
        <x:v>0</x:v>
      </x:c>
    </x:row>
    <x:row r="4017">
      <x:c r="A4017" s="1" t="n">
        <x:v>30559</x:v>
      </x:c>
      <x:c r="B4017" s="5" t="d">
        <x:v>2016-03-22T00:00:00.000Z</x:v>
      </x:c>
      <x:c r="C4017" s="1" t="str">
        <x:v>Standard Class</x:v>
      </x:c>
      <x:c r="D4017" s="1" t="str">
        <x:v>Pacific Asia</x:v>
      </x:c>
      <x:c r="E4017" s="1" t="str">
        <x:v>COMPLETE</x:v>
      </x:c>
      <x:c r="F4017" s="1" t="str">
        <x:v>Late delivery</x:v>
      </x:c>
      <x:c r="G4017" s="6" t="n">
        <x:v>5</x:v>
      </x:c>
      <x:c r="H4017" s="6" t="n">
        <x:v>4</x:v>
      </x:c>
      <x:c r="I4017" s="6" t="n">
        <x:f>G4017-H4017</x:f>
        <x:v>1</x:v>
      </x:c>
      <x:c r="J4017" s="6" t="n">
        <x:f>IF(OR(E4017="CANCELED",E4017="SUSPECTED_FRAUD",F4017="Shipping canceled"),0,1)</x:f>
        <x:v>1</x:v>
      </x:c>
      <x:c r="K4017" s="6" t="n">
        <x:f>IF(G4017&gt;H4017,1,0)</x:f>
        <x:v>1</x:v>
      </x:c>
      <x:c r="L4017" s="6" t="n">
        <x:f>J4017*K4017</x:f>
        <x:v>1</x:v>
      </x:c>
    </x:row>
    <x:row r="4018">
      <x:c r="A4018" s="1" t="n">
        <x:v>30572</x:v>
      </x:c>
      <x:c r="B4018" s="5" t="d">
        <x:v>2016-03-22T00:00:00.000Z</x:v>
      </x:c>
      <x:c r="C4018" s="1" t="str">
        <x:v>Standard Class</x:v>
      </x:c>
      <x:c r="D4018" s="1" t="str">
        <x:v>Pacific Asia</x:v>
      </x:c>
      <x:c r="E4018" s="1" t="str">
        <x:v>PROCESSING</x:v>
      </x:c>
      <x:c r="F4018" s="1" t="str">
        <x:v>Advance shipping</x:v>
      </x:c>
      <x:c r="G4018" s="6" t="n">
        <x:v>3</x:v>
      </x:c>
      <x:c r="H4018" s="6" t="n">
        <x:v>4</x:v>
      </x:c>
      <x:c r="I4018" s="6" t="n">
        <x:f>G4018-H4018</x:f>
        <x:v>-1</x:v>
      </x:c>
      <x:c r="J4018" s="6" t="n">
        <x:f>IF(OR(E4018="CANCELED",E4018="SUSPECTED_FRAUD",F4018="Shipping canceled"),0,1)</x:f>
        <x:v>1</x:v>
      </x:c>
      <x:c r="K4018" s="6" t="n">
        <x:f>IF(G4018&gt;H4018,1,0)</x:f>
        <x:v>0</x:v>
      </x:c>
      <x:c r="L4018" s="6" t="n">
        <x:f>J4018*K4018</x:f>
        <x:v>0</x:v>
      </x:c>
    </x:row>
    <x:row r="4019">
      <x:c r="A4019" s="1" t="n">
        <x:v>30574</x:v>
      </x:c>
      <x:c r="B4019" s="5" t="d">
        <x:v>2016-03-22T00:00:00.000Z</x:v>
      </x:c>
      <x:c r="C4019" s="1" t="str">
        <x:v>Standard Class</x:v>
      </x:c>
      <x:c r="D4019" s="1" t="str">
        <x:v>Pacific Asia</x:v>
      </x:c>
      <x:c r="E4019" s="1" t="str">
        <x:v>COMPLETE</x:v>
      </x:c>
      <x:c r="F4019" s="1" t="str">
        <x:v>Late delivery</x:v>
      </x:c>
      <x:c r="G4019" s="6" t="n">
        <x:v>5</x:v>
      </x:c>
      <x:c r="H4019" s="6" t="n">
        <x:v>4</x:v>
      </x:c>
      <x:c r="I4019" s="6" t="n">
        <x:f>G4019-H4019</x:f>
        <x:v>1</x:v>
      </x:c>
      <x:c r="J4019" s="6" t="n">
        <x:f>IF(OR(E4019="CANCELED",E4019="SUSPECTED_FRAUD",F4019="Shipping canceled"),0,1)</x:f>
        <x:v>1</x:v>
      </x:c>
      <x:c r="K4019" s="6" t="n">
        <x:f>IF(G4019&gt;H4019,1,0)</x:f>
        <x:v>1</x:v>
      </x:c>
      <x:c r="L4019" s="6" t="n">
        <x:f>J4019*K4019</x:f>
        <x:v>1</x:v>
      </x:c>
    </x:row>
    <x:row r="4020">
      <x:c r="A4020" s="1" t="n">
        <x:v>30577</x:v>
      </x:c>
      <x:c r="B4020" s="5" t="d">
        <x:v>2016-03-22T00:00:00.000Z</x:v>
      </x:c>
      <x:c r="C4020" s="1" t="str">
        <x:v>Standard Class</x:v>
      </x:c>
      <x:c r="D4020" s="1" t="str">
        <x:v>Pacific Asia</x:v>
      </x:c>
      <x:c r="E4020" s="1" t="str">
        <x:v>PROCESSING</x:v>
      </x:c>
      <x:c r="F4020" s="1" t="str">
        <x:v>Advance shipping</x:v>
      </x:c>
      <x:c r="G4020" s="6" t="n">
        <x:v>3</x:v>
      </x:c>
      <x:c r="H4020" s="6" t="n">
        <x:v>4</x:v>
      </x:c>
      <x:c r="I4020" s="6" t="n">
        <x:f>G4020-H4020</x:f>
        <x:v>-1</x:v>
      </x:c>
      <x:c r="J4020" s="6" t="n">
        <x:f>IF(OR(E4020="CANCELED",E4020="SUSPECTED_FRAUD",F4020="Shipping canceled"),0,1)</x:f>
        <x:v>1</x:v>
      </x:c>
      <x:c r="K4020" s="6" t="n">
        <x:f>IF(G4020&gt;H4020,1,0)</x:f>
        <x:v>0</x:v>
      </x:c>
      <x:c r="L4020" s="6" t="n">
        <x:f>J4020*K4020</x:f>
        <x:v>0</x:v>
      </x:c>
    </x:row>
    <x:row r="4021">
      <x:c r="A4021" s="1" t="n">
        <x:v>30580</x:v>
      </x:c>
      <x:c r="B4021" s="5" t="d">
        <x:v>2016-03-22T00:00:00.000Z</x:v>
      </x:c>
      <x:c r="C4021" s="1" t="str">
        <x:v>Standard Class</x:v>
      </x:c>
      <x:c r="D4021" s="1" t="str">
        <x:v>Pacific Asia</x:v>
      </x:c>
      <x:c r="E4021" s="1" t="str">
        <x:v>PENDING_PAYMENT</x:v>
      </x:c>
      <x:c r="F4021" s="1" t="str">
        <x:v>Late delivery</x:v>
      </x:c>
      <x:c r="G4021" s="6" t="n">
        <x:v>6</x:v>
      </x:c>
      <x:c r="H4021" s="6" t="n">
        <x:v>4</x:v>
      </x:c>
      <x:c r="I4021" s="6" t="n">
        <x:f>G4021-H4021</x:f>
        <x:v>2</x:v>
      </x:c>
      <x:c r="J4021" s="6" t="n">
        <x:f>IF(OR(E4021="CANCELED",E4021="SUSPECTED_FRAUD",F4021="Shipping canceled"),0,1)</x:f>
        <x:v>1</x:v>
      </x:c>
      <x:c r="K4021" s="6" t="n">
        <x:f>IF(G4021&gt;H4021,1,0)</x:f>
        <x:v>1</x:v>
      </x:c>
      <x:c r="L4021" s="6" t="n">
        <x:f>J4021*K4021</x:f>
        <x:v>1</x:v>
      </x:c>
    </x:row>
    <x:row r="4022">
      <x:c r="A4022" s="1" t="n">
        <x:v>30589</x:v>
      </x:c>
      <x:c r="B4022" s="5" t="d">
        <x:v>2016-03-22T00:00:00.000Z</x:v>
      </x:c>
      <x:c r="C4022" s="1" t="str">
        <x:v>Standard Class</x:v>
      </x:c>
      <x:c r="D4022" s="1" t="str">
        <x:v>Pacific Asia</x:v>
      </x:c>
      <x:c r="E4022" s="1" t="str">
        <x:v>PENDING</x:v>
      </x:c>
      <x:c r="F4022" s="1" t="str">
        <x:v>Late delivery</x:v>
      </x:c>
      <x:c r="G4022" s="6" t="n">
        <x:v>5</x:v>
      </x:c>
      <x:c r="H4022" s="6" t="n">
        <x:v>4</x:v>
      </x:c>
      <x:c r="I4022" s="6" t="n">
        <x:f>G4022-H4022</x:f>
        <x:v>1</x:v>
      </x:c>
      <x:c r="J4022" s="6" t="n">
        <x:f>IF(OR(E4022="CANCELED",E4022="SUSPECTED_FRAUD",F4022="Shipping canceled"),0,1)</x:f>
        <x:v>1</x:v>
      </x:c>
      <x:c r="K4022" s="6" t="n">
        <x:f>IF(G4022&gt;H4022,1,0)</x:f>
        <x:v>1</x:v>
      </x:c>
      <x:c r="L4022" s="6" t="n">
        <x:f>J4022*K4022</x:f>
        <x:v>1</x:v>
      </x:c>
    </x:row>
    <x:row r="4023">
      <x:c r="A4023" s="1" t="n">
        <x:v>30611</x:v>
      </x:c>
      <x:c r="B4023" s="5" t="d">
        <x:v>2016-03-22T00:00:00.000Z</x:v>
      </x:c>
      <x:c r="C4023" s="1" t="str">
        <x:v>First Class</x:v>
      </x:c>
      <x:c r="D4023" s="1" t="str">
        <x:v>Pacific Asia</x:v>
      </x:c>
      <x:c r="E4023" s="1" t="str">
        <x:v>PENDING</x:v>
      </x:c>
      <x:c r="F4023" s="1" t="str">
        <x:v>Late delivery</x:v>
      </x:c>
      <x:c r="G4023" s="6" t="n">
        <x:v>2</x:v>
      </x:c>
      <x:c r="H4023" s="6" t="n">
        <x:v>1</x:v>
      </x:c>
      <x:c r="I4023" s="6" t="n">
        <x:f>G4023-H4023</x:f>
        <x:v>1</x:v>
      </x:c>
      <x:c r="J4023" s="6" t="n">
        <x:f>IF(OR(E4023="CANCELED",E4023="SUSPECTED_FRAUD",F4023="Shipping canceled"),0,1)</x:f>
        <x:v>1</x:v>
      </x:c>
      <x:c r="K4023" s="6" t="n">
        <x:f>IF(G4023&gt;H4023,1,0)</x:f>
        <x:v>1</x:v>
      </x:c>
      <x:c r="L4023" s="6" t="n">
        <x:f>J4023*K4023</x:f>
        <x:v>1</x:v>
      </x:c>
    </x:row>
    <x:row r="4024">
      <x:c r="A4024" s="1" t="n">
        <x:v>30617</x:v>
      </x:c>
      <x:c r="B4024" s="5" t="d">
        <x:v>2016-03-22T00:00:00.000Z</x:v>
      </x:c>
      <x:c r="C4024" s="1" t="str">
        <x:v>Standard Class</x:v>
      </x:c>
      <x:c r="D4024" s="1" t="str">
        <x:v>Pacific Asia</x:v>
      </x:c>
      <x:c r="E4024" s="1" t="str">
        <x:v>PENDING_PAYMENT</x:v>
      </x:c>
      <x:c r="F4024" s="1" t="str">
        <x:v>Advance shipping</x:v>
      </x:c>
      <x:c r="G4024" s="6" t="n">
        <x:v>3</x:v>
      </x:c>
      <x:c r="H4024" s="6" t="n">
        <x:v>4</x:v>
      </x:c>
      <x:c r="I4024" s="6" t="n">
        <x:f>G4024-H4024</x:f>
        <x:v>-1</x:v>
      </x:c>
      <x:c r="J4024" s="6" t="n">
        <x:f>IF(OR(E4024="CANCELED",E4024="SUSPECTED_FRAUD",F4024="Shipping canceled"),0,1)</x:f>
        <x:v>1</x:v>
      </x:c>
      <x:c r="K4024" s="6" t="n">
        <x:f>IF(G4024&gt;H4024,1,0)</x:f>
        <x:v>0</x:v>
      </x:c>
      <x:c r="L4024" s="6" t="n">
        <x:f>J4024*K4024</x:f>
        <x:v>0</x:v>
      </x:c>
    </x:row>
    <x:row r="4025">
      <x:c r="A4025" s="1" t="n">
        <x:v>30622</x:v>
      </x:c>
      <x:c r="B4025" s="5" t="d">
        <x:v>2016-03-22T00:00:00.000Z</x:v>
      </x:c>
      <x:c r="C4025" s="1" t="str">
        <x:v>Standard Class</x:v>
      </x:c>
      <x:c r="D4025" s="1" t="str">
        <x:v>Pacific Asia</x:v>
      </x:c>
      <x:c r="E4025" s="1" t="str">
        <x:v>PENDING_PAYMENT</x:v>
      </x:c>
      <x:c r="F4025" s="1" t="str">
        <x:v>Advance shipping</x:v>
      </x:c>
      <x:c r="G4025" s="6" t="n">
        <x:v>3</x:v>
      </x:c>
      <x:c r="H4025" s="6" t="n">
        <x:v>4</x:v>
      </x:c>
      <x:c r="I4025" s="6" t="n">
        <x:f>G4025-H4025</x:f>
        <x:v>-1</x:v>
      </x:c>
      <x:c r="J4025" s="6" t="n">
        <x:f>IF(OR(E4025="CANCELED",E4025="SUSPECTED_FRAUD",F4025="Shipping canceled"),0,1)</x:f>
        <x:v>1</x:v>
      </x:c>
      <x:c r="K4025" s="6" t="n">
        <x:f>IF(G4025&gt;H4025,1,0)</x:f>
        <x:v>0</x:v>
      </x:c>
      <x:c r="L4025" s="6" t="n">
        <x:f>J4025*K4025</x:f>
        <x:v>0</x:v>
      </x:c>
    </x:row>
    <x:row r="4026">
      <x:c r="A4026" s="1" t="n">
        <x:v>30637</x:v>
      </x:c>
      <x:c r="B4026" s="5" t="d">
        <x:v>2016-03-23T00:00:00.000Z</x:v>
      </x:c>
      <x:c r="C4026" s="1" t="str">
        <x:v>First Class</x:v>
      </x:c>
      <x:c r="D4026" s="1" t="str">
        <x:v>Pacific Asia</x:v>
      </x:c>
      <x:c r="E4026" s="1" t="str">
        <x:v>CLOSED</x:v>
      </x:c>
      <x:c r="F4026" s="1" t="str">
        <x:v>Late delivery</x:v>
      </x:c>
      <x:c r="G4026" s="6" t="n">
        <x:v>2</x:v>
      </x:c>
      <x:c r="H4026" s="6" t="n">
        <x:v>1</x:v>
      </x:c>
      <x:c r="I4026" s="6" t="n">
        <x:f>G4026-H4026</x:f>
        <x:v>1</x:v>
      </x:c>
      <x:c r="J4026" s="6" t="n">
        <x:f>IF(OR(E4026="CANCELED",E4026="SUSPECTED_FRAUD",F4026="Shipping canceled"),0,1)</x:f>
        <x:v>1</x:v>
      </x:c>
      <x:c r="K4026" s="6" t="n">
        <x:f>IF(G4026&gt;H4026,1,0)</x:f>
        <x:v>1</x:v>
      </x:c>
      <x:c r="L4026" s="6" t="n">
        <x:f>J4026*K4026</x:f>
        <x:v>1</x:v>
      </x:c>
    </x:row>
    <x:row r="4027">
      <x:c r="A4027" s="1" t="n">
        <x:v>30648</x:v>
      </x:c>
      <x:c r="B4027" s="5" t="d">
        <x:v>2016-03-23T00:00:00.000Z</x:v>
      </x:c>
      <x:c r="C4027" s="1" t="str">
        <x:v>Standard Class</x:v>
      </x:c>
      <x:c r="D4027" s="1" t="str">
        <x:v>Pacific Asia</x:v>
      </x:c>
      <x:c r="E4027" s="1" t="str">
        <x:v>COMPLETE</x:v>
      </x:c>
      <x:c r="F4027" s="1" t="str">
        <x:v>Shipping on time</x:v>
      </x:c>
      <x:c r="G4027" s="6" t="n">
        <x:v>4</x:v>
      </x:c>
      <x:c r="H4027" s="6" t="n">
        <x:v>4</x:v>
      </x:c>
      <x:c r="I4027" s="6" t="n">
        <x:f>G4027-H4027</x:f>
        <x:v>0</x:v>
      </x:c>
      <x:c r="J4027" s="6" t="n">
        <x:f>IF(OR(E4027="CANCELED",E4027="SUSPECTED_FRAUD",F4027="Shipping canceled"),0,1)</x:f>
        <x:v>1</x:v>
      </x:c>
      <x:c r="K4027" s="6" t="n">
        <x:f>IF(G4027&gt;H4027,1,0)</x:f>
        <x:v>0</x:v>
      </x:c>
      <x:c r="L4027" s="6" t="n">
        <x:f>J4027*K4027</x:f>
        <x:v>0</x:v>
      </x:c>
    </x:row>
    <x:row r="4028">
      <x:c r="A4028" s="1" t="n">
        <x:v>30654</x:v>
      </x:c>
      <x:c r="B4028" s="5" t="d">
        <x:v>2016-03-23T00:00:00.000Z</x:v>
      </x:c>
      <x:c r="C4028" s="1" t="str">
        <x:v>Standard Class</x:v>
      </x:c>
      <x:c r="D4028" s="1" t="str">
        <x:v>Pacific Asia</x:v>
      </x:c>
      <x:c r="E4028" s="1" t="str">
        <x:v>PROCESSING</x:v>
      </x:c>
      <x:c r="F4028" s="1" t="str">
        <x:v>Late delivery</x:v>
      </x:c>
      <x:c r="G4028" s="6" t="n">
        <x:v>5</x:v>
      </x:c>
      <x:c r="H4028" s="6" t="n">
        <x:v>4</x:v>
      </x:c>
      <x:c r="I4028" s="6" t="n">
        <x:f>G4028-H4028</x:f>
        <x:v>1</x:v>
      </x:c>
      <x:c r="J4028" s="6" t="n">
        <x:f>IF(OR(E4028="CANCELED",E4028="SUSPECTED_FRAUD",F4028="Shipping canceled"),0,1)</x:f>
        <x:v>1</x:v>
      </x:c>
      <x:c r="K4028" s="6" t="n">
        <x:f>IF(G4028&gt;H4028,1,0)</x:f>
        <x:v>1</x:v>
      </x:c>
      <x:c r="L4028" s="6" t="n">
        <x:f>J4028*K4028</x:f>
        <x:v>1</x:v>
      </x:c>
    </x:row>
    <x:row r="4029">
      <x:c r="A4029" s="1" t="n">
        <x:v>30658</x:v>
      </x:c>
      <x:c r="B4029" s="5" t="d">
        <x:v>2016-03-23T00:00:00.000Z</x:v>
      </x:c>
      <x:c r="C4029" s="1" t="str">
        <x:v>Standard Class</x:v>
      </x:c>
      <x:c r="D4029" s="1" t="str">
        <x:v>Pacific Asia</x:v>
      </x:c>
      <x:c r="E4029" s="1" t="str">
        <x:v>COMPLETE</x:v>
      </x:c>
      <x:c r="F4029" s="1" t="str">
        <x:v>Shipping on time</x:v>
      </x:c>
      <x:c r="G4029" s="6" t="n">
        <x:v>4</x:v>
      </x:c>
      <x:c r="H4029" s="6" t="n">
        <x:v>4</x:v>
      </x:c>
      <x:c r="I4029" s="6" t="n">
        <x:f>G4029-H4029</x:f>
        <x:v>0</x:v>
      </x:c>
      <x:c r="J4029" s="6" t="n">
        <x:f>IF(OR(E4029="CANCELED",E4029="SUSPECTED_FRAUD",F4029="Shipping canceled"),0,1)</x:f>
        <x:v>1</x:v>
      </x:c>
      <x:c r="K4029" s="6" t="n">
        <x:f>IF(G4029&gt;H4029,1,0)</x:f>
        <x:v>0</x:v>
      </x:c>
      <x:c r="L4029" s="6" t="n">
        <x:f>J4029*K4029</x:f>
        <x:v>0</x:v>
      </x:c>
    </x:row>
    <x:row r="4030">
      <x:c r="A4030" s="1" t="n">
        <x:v>30659</x:v>
      </x:c>
      <x:c r="B4030" s="5" t="d">
        <x:v>2016-03-23T00:00:00.000Z</x:v>
      </x:c>
      <x:c r="C4030" s="1" t="str">
        <x:v>Second Class</x:v>
      </x:c>
      <x:c r="D4030" s="1" t="str">
        <x:v>Pacific Asia</x:v>
      </x:c>
      <x:c r="E4030" s="1" t="str">
        <x:v>PROCESSING</x:v>
      </x:c>
      <x:c r="F4030" s="1" t="str">
        <x:v>Late delivery</x:v>
      </x:c>
      <x:c r="G4030" s="6" t="n">
        <x:v>5</x:v>
      </x:c>
      <x:c r="H4030" s="6" t="n">
        <x:v>2</x:v>
      </x:c>
      <x:c r="I4030" s="6" t="n">
        <x:f>G4030-H4030</x:f>
        <x:v>3</x:v>
      </x:c>
      <x:c r="J4030" s="6" t="n">
        <x:f>IF(OR(E4030="CANCELED",E4030="SUSPECTED_FRAUD",F4030="Shipping canceled"),0,1)</x:f>
        <x:v>1</x:v>
      </x:c>
      <x:c r="K4030" s="6" t="n">
        <x:f>IF(G4030&gt;H4030,1,0)</x:f>
        <x:v>1</x:v>
      </x:c>
      <x:c r="L4030" s="6" t="n">
        <x:f>J4030*K4030</x:f>
        <x:v>1</x:v>
      </x:c>
    </x:row>
    <x:row r="4031">
      <x:c r="A4031" s="1" t="n">
        <x:v>30668</x:v>
      </x:c>
      <x:c r="B4031" s="5" t="d">
        <x:v>2016-03-23T00:00:00.000Z</x:v>
      </x:c>
      <x:c r="C4031" s="1" t="str">
        <x:v>First Class</x:v>
      </x:c>
      <x:c r="D4031" s="1" t="str">
        <x:v>Pacific Asia</x:v>
      </x:c>
      <x:c r="E4031" s="1" t="str">
        <x:v>PROCESSING</x:v>
      </x:c>
      <x:c r="F4031" s="1" t="str">
        <x:v>Late delivery</x:v>
      </x:c>
      <x:c r="G4031" s="6" t="n">
        <x:v>2</x:v>
      </x:c>
      <x:c r="H4031" s="6" t="n">
        <x:v>1</x:v>
      </x:c>
      <x:c r="I4031" s="6" t="n">
        <x:f>G4031-H4031</x:f>
        <x:v>1</x:v>
      </x:c>
      <x:c r="J4031" s="6" t="n">
        <x:f>IF(OR(E4031="CANCELED",E4031="SUSPECTED_FRAUD",F4031="Shipping canceled"),0,1)</x:f>
        <x:v>1</x:v>
      </x:c>
      <x:c r="K4031" s="6" t="n">
        <x:f>IF(G4031&gt;H4031,1,0)</x:f>
        <x:v>1</x:v>
      </x:c>
      <x:c r="L4031" s="6" t="n">
        <x:f>J4031*K4031</x:f>
        <x:v>1</x:v>
      </x:c>
    </x:row>
    <x:row r="4032">
      <x:c r="A4032" s="1" t="n">
        <x:v>30704</x:v>
      </x:c>
      <x:c r="B4032" s="5" t="d">
        <x:v>2016-03-24T00:00:00.000Z</x:v>
      </x:c>
      <x:c r="C4032" s="1" t="str">
        <x:v>Standard Class</x:v>
      </x:c>
      <x:c r="D4032" s="1" t="str">
        <x:v>Pacific Asia</x:v>
      </x:c>
      <x:c r="E4032" s="1" t="str">
        <x:v>PENDING</x:v>
      </x:c>
      <x:c r="F4032" s="1" t="str">
        <x:v>Late delivery</x:v>
      </x:c>
      <x:c r="G4032" s="6" t="n">
        <x:v>5</x:v>
      </x:c>
      <x:c r="H4032" s="6" t="n">
        <x:v>4</x:v>
      </x:c>
      <x:c r="I4032" s="6" t="n">
        <x:f>G4032-H4032</x:f>
        <x:v>1</x:v>
      </x:c>
      <x:c r="J4032" s="6" t="n">
        <x:f>IF(OR(E4032="CANCELED",E4032="SUSPECTED_FRAUD",F4032="Shipping canceled"),0,1)</x:f>
        <x:v>1</x:v>
      </x:c>
      <x:c r="K4032" s="6" t="n">
        <x:f>IF(G4032&gt;H4032,1,0)</x:f>
        <x:v>1</x:v>
      </x:c>
      <x:c r="L4032" s="6" t="n">
        <x:f>J4032*K4032</x:f>
        <x:v>1</x:v>
      </x:c>
    </x:row>
    <x:row r="4033">
      <x:c r="A4033" s="1" t="n">
        <x:v>30712</x:v>
      </x:c>
      <x:c r="B4033" s="5" t="d">
        <x:v>2016-03-24T00:00:00.000Z</x:v>
      </x:c>
      <x:c r="C4033" s="1" t="str">
        <x:v>Standard Class</x:v>
      </x:c>
      <x:c r="D4033" s="1" t="str">
        <x:v>Pacific Asia</x:v>
      </x:c>
      <x:c r="E4033" s="1" t="str">
        <x:v>COMPLETE</x:v>
      </x:c>
      <x:c r="F4033" s="1" t="str">
        <x:v>Advance shipping</x:v>
      </x:c>
      <x:c r="G4033" s="6" t="n">
        <x:v>3</x:v>
      </x:c>
      <x:c r="H4033" s="6" t="n">
        <x:v>4</x:v>
      </x:c>
      <x:c r="I4033" s="6" t="n">
        <x:f>G4033-H4033</x:f>
        <x:v>-1</x:v>
      </x:c>
      <x:c r="J4033" s="6" t="n">
        <x:f>IF(OR(E4033="CANCELED",E4033="SUSPECTED_FRAUD",F4033="Shipping canceled"),0,1)</x:f>
        <x:v>1</x:v>
      </x:c>
      <x:c r="K4033" s="6" t="n">
        <x:f>IF(G4033&gt;H4033,1,0)</x:f>
        <x:v>0</x:v>
      </x:c>
      <x:c r="L4033" s="6" t="n">
        <x:f>J4033*K4033</x:f>
        <x:v>0</x:v>
      </x:c>
    </x:row>
    <x:row r="4034">
      <x:c r="A4034" s="1" t="n">
        <x:v>30713</x:v>
      </x:c>
      <x:c r="B4034" s="5" t="d">
        <x:v>2016-03-24T00:00:00.000Z</x:v>
      </x:c>
      <x:c r="C4034" s="1" t="str">
        <x:v>Standard Class</x:v>
      </x:c>
      <x:c r="D4034" s="1" t="str">
        <x:v>Pacific Asia</x:v>
      </x:c>
      <x:c r="E4034" s="1" t="str">
        <x:v>PROCESSING</x:v>
      </x:c>
      <x:c r="F4034" s="1" t="str">
        <x:v>Shipping on time</x:v>
      </x:c>
      <x:c r="G4034" s="6" t="n">
        <x:v>4</x:v>
      </x:c>
      <x:c r="H4034" s="6" t="n">
        <x:v>4</x:v>
      </x:c>
      <x:c r="I4034" s="6" t="n">
        <x:f>G4034-H4034</x:f>
        <x:v>0</x:v>
      </x:c>
      <x:c r="J4034" s="6" t="n">
        <x:f>IF(OR(E4034="CANCELED",E4034="SUSPECTED_FRAUD",F4034="Shipping canceled"),0,1)</x:f>
        <x:v>1</x:v>
      </x:c>
      <x:c r="K4034" s="6" t="n">
        <x:f>IF(G4034&gt;H4034,1,0)</x:f>
        <x:v>0</x:v>
      </x:c>
      <x:c r="L4034" s="6" t="n">
        <x:f>J4034*K4034</x:f>
        <x:v>0</x:v>
      </x:c>
    </x:row>
    <x:row r="4035">
      <x:c r="A4035" s="1" t="n">
        <x:v>30718</x:v>
      </x:c>
      <x:c r="B4035" s="5" t="d">
        <x:v>2016-03-24T00:00:00.000Z</x:v>
      </x:c>
      <x:c r="C4035" s="1" t="str">
        <x:v>Standard Class</x:v>
      </x:c>
      <x:c r="D4035" s="1" t="str">
        <x:v>Pacific Asia</x:v>
      </x:c>
      <x:c r="E4035" s="1" t="str">
        <x:v>COMPLETE</x:v>
      </x:c>
      <x:c r="F4035" s="1" t="str">
        <x:v>Shipping on time</x:v>
      </x:c>
      <x:c r="G4035" s="6" t="n">
        <x:v>4</x:v>
      </x:c>
      <x:c r="H4035" s="6" t="n">
        <x:v>4</x:v>
      </x:c>
      <x:c r="I4035" s="6" t="n">
        <x:f>G4035-H4035</x:f>
        <x:v>0</x:v>
      </x:c>
      <x:c r="J4035" s="6" t="n">
        <x:f>IF(OR(E4035="CANCELED",E4035="SUSPECTED_FRAUD",F4035="Shipping canceled"),0,1)</x:f>
        <x:v>1</x:v>
      </x:c>
      <x:c r="K4035" s="6" t="n">
        <x:f>IF(G4035&gt;H4035,1,0)</x:f>
        <x:v>0</x:v>
      </x:c>
      <x:c r="L4035" s="6" t="n">
        <x:f>J4035*K4035</x:f>
        <x:v>0</x:v>
      </x:c>
    </x:row>
    <x:row r="4036">
      <x:c r="A4036" s="1" t="n">
        <x:v>30724</x:v>
      </x:c>
      <x:c r="B4036" s="5" t="d">
        <x:v>2016-03-24T00:00:00.000Z</x:v>
      </x:c>
      <x:c r="C4036" s="1" t="str">
        <x:v>Standard Class</x:v>
      </x:c>
      <x:c r="D4036" s="1" t="str">
        <x:v>Pacific Asia</x:v>
      </x:c>
      <x:c r="E4036" s="1" t="str">
        <x:v>COMPLETE</x:v>
      </x:c>
      <x:c r="F4036" s="1" t="str">
        <x:v>Late delivery</x:v>
      </x:c>
      <x:c r="G4036" s="6" t="n">
        <x:v>5</x:v>
      </x:c>
      <x:c r="H4036" s="6" t="n">
        <x:v>4</x:v>
      </x:c>
      <x:c r="I4036" s="6" t="n">
        <x:f>G4036-H4036</x:f>
        <x:v>1</x:v>
      </x:c>
      <x:c r="J4036" s="6" t="n">
        <x:f>IF(OR(E4036="CANCELED",E4036="SUSPECTED_FRAUD",F4036="Shipping canceled"),0,1)</x:f>
        <x:v>1</x:v>
      </x:c>
      <x:c r="K4036" s="6" t="n">
        <x:f>IF(G4036&gt;H4036,1,0)</x:f>
        <x:v>1</x:v>
      </x:c>
      <x:c r="L4036" s="6" t="n">
        <x:f>J4036*K4036</x:f>
        <x:v>1</x:v>
      </x:c>
    </x:row>
    <x:row r="4037">
      <x:c r="A4037" s="1" t="n">
        <x:v>30728</x:v>
      </x:c>
      <x:c r="B4037" s="5" t="d">
        <x:v>2016-03-24T00:00:00.000Z</x:v>
      </x:c>
      <x:c r="C4037" s="1" t="str">
        <x:v>Standard Class</x:v>
      </x:c>
      <x:c r="D4037" s="1" t="str">
        <x:v>Pacific Asia</x:v>
      </x:c>
      <x:c r="E4037" s="1" t="str">
        <x:v>SUSPECTED_FRAUD</x:v>
      </x:c>
      <x:c r="F4037" s="1" t="str">
        <x:v>Shipping canceled</x:v>
      </x:c>
      <x:c r="G4037" s="6" t="n">
        <x:v>4</x:v>
      </x:c>
      <x:c r="H4037" s="6" t="n">
        <x:v>4</x:v>
      </x:c>
      <x:c r="I4037" s="6" t="n">
        <x:f>G4037-H4037</x:f>
        <x:v>0</x:v>
      </x:c>
      <x:c r="J4037" s="6" t="n">
        <x:f>IF(OR(E4037="CANCELED",E4037="SUSPECTED_FRAUD",F4037="Shipping canceled"),0,1)</x:f>
        <x:v>0</x:v>
      </x:c>
      <x:c r="K4037" s="6" t="n">
        <x:f>IF(G4037&gt;H4037,1,0)</x:f>
        <x:v>0</x:v>
      </x:c>
      <x:c r="L4037" s="6" t="n">
        <x:f>J4037*K4037</x:f>
        <x:v>0</x:v>
      </x:c>
    </x:row>
    <x:row r="4038">
      <x:c r="A4038" s="1" t="n">
        <x:v>30730</x:v>
      </x:c>
      <x:c r="B4038" s="5" t="d">
        <x:v>2016-03-24T00:00:00.000Z</x:v>
      </x:c>
      <x:c r="C4038" s="1" t="str">
        <x:v>Standard Class</x:v>
      </x:c>
      <x:c r="D4038" s="1" t="str">
        <x:v>Pacific Asia</x:v>
      </x:c>
      <x:c r="E4038" s="1" t="str">
        <x:v>PROCESSING</x:v>
      </x:c>
      <x:c r="F4038" s="1" t="str">
        <x:v>Late delivery</x:v>
      </x:c>
      <x:c r="G4038" s="6" t="n">
        <x:v>6</x:v>
      </x:c>
      <x:c r="H4038" s="6" t="n">
        <x:v>4</x:v>
      </x:c>
      <x:c r="I4038" s="6" t="n">
        <x:f>G4038-H4038</x:f>
        <x:v>2</x:v>
      </x:c>
      <x:c r="J4038" s="6" t="n">
        <x:f>IF(OR(E4038="CANCELED",E4038="SUSPECTED_FRAUD",F4038="Shipping canceled"),0,1)</x:f>
        <x:v>1</x:v>
      </x:c>
      <x:c r="K4038" s="6" t="n">
        <x:f>IF(G4038&gt;H4038,1,0)</x:f>
        <x:v>1</x:v>
      </x:c>
      <x:c r="L4038" s="6" t="n">
        <x:f>J4038*K4038</x:f>
        <x:v>1</x:v>
      </x:c>
    </x:row>
    <x:row r="4039">
      <x:c r="A4039" s="1" t="n">
        <x:v>30747</x:v>
      </x:c>
      <x:c r="B4039" s="5" t="d">
        <x:v>2016-03-24T00:00:00.000Z</x:v>
      </x:c>
      <x:c r="C4039" s="1" t="str">
        <x:v>Standard Class</x:v>
      </x:c>
      <x:c r="D4039" s="1" t="str">
        <x:v>Pacific Asia</x:v>
      </x:c>
      <x:c r="E4039" s="1" t="str">
        <x:v>PENDING</x:v>
      </x:c>
      <x:c r="F4039" s="1" t="str">
        <x:v>Advance shipping</x:v>
      </x:c>
      <x:c r="G4039" s="6" t="n">
        <x:v>3</x:v>
      </x:c>
      <x:c r="H4039" s="6" t="n">
        <x:v>4</x:v>
      </x:c>
      <x:c r="I4039" s="6" t="n">
        <x:f>G4039-H4039</x:f>
        <x:v>-1</x:v>
      </x:c>
      <x:c r="J4039" s="6" t="n">
        <x:f>IF(OR(E4039="CANCELED",E4039="SUSPECTED_FRAUD",F4039="Shipping canceled"),0,1)</x:f>
        <x:v>1</x:v>
      </x:c>
      <x:c r="K4039" s="6" t="n">
        <x:f>IF(G4039&gt;H4039,1,0)</x:f>
        <x:v>0</x:v>
      </x:c>
      <x:c r="L4039" s="6" t="n">
        <x:f>J4039*K4039</x:f>
        <x:v>0</x:v>
      </x:c>
    </x:row>
    <x:row r="4040">
      <x:c r="A4040" s="1" t="n">
        <x:v>30761</x:v>
      </x:c>
      <x:c r="B4040" s="5" t="d">
        <x:v>2016-03-25T00:00:00.000Z</x:v>
      </x:c>
      <x:c r="C4040" s="1" t="str">
        <x:v>Standard Class</x:v>
      </x:c>
      <x:c r="D4040" s="1" t="str">
        <x:v>Pacific Asia</x:v>
      </x:c>
      <x:c r="E4040" s="1" t="str">
        <x:v>COMPLETE</x:v>
      </x:c>
      <x:c r="F4040" s="1" t="str">
        <x:v>Advance shipping</x:v>
      </x:c>
      <x:c r="G4040" s="6" t="n">
        <x:v>2</x:v>
      </x:c>
      <x:c r="H4040" s="6" t="n">
        <x:v>4</x:v>
      </x:c>
      <x:c r="I4040" s="6" t="n">
        <x:f>G4040-H4040</x:f>
        <x:v>-2</x:v>
      </x:c>
      <x:c r="J4040" s="6" t="n">
        <x:f>IF(OR(E4040="CANCELED",E4040="SUSPECTED_FRAUD",F4040="Shipping canceled"),0,1)</x:f>
        <x:v>1</x:v>
      </x:c>
      <x:c r="K4040" s="6" t="n">
        <x:f>IF(G4040&gt;H4040,1,0)</x:f>
        <x:v>0</x:v>
      </x:c>
      <x:c r="L4040" s="6" t="n">
        <x:f>J4040*K4040</x:f>
        <x:v>0</x:v>
      </x:c>
    </x:row>
    <x:row r="4041">
      <x:c r="A4041" s="1" t="n">
        <x:v>30767</x:v>
      </x:c>
      <x:c r="B4041" s="5" t="d">
        <x:v>2016-03-25T00:00:00.000Z</x:v>
      </x:c>
      <x:c r="C4041" s="1" t="str">
        <x:v>Standard Class</x:v>
      </x:c>
      <x:c r="D4041" s="1" t="str">
        <x:v>Pacific Asia</x:v>
      </x:c>
      <x:c r="E4041" s="1" t="str">
        <x:v>COMPLETE</x:v>
      </x:c>
      <x:c r="F4041" s="1" t="str">
        <x:v>Advance shipping</x:v>
      </x:c>
      <x:c r="G4041" s="6" t="n">
        <x:v>3</x:v>
      </x:c>
      <x:c r="H4041" s="6" t="n">
        <x:v>4</x:v>
      </x:c>
      <x:c r="I4041" s="6" t="n">
        <x:f>G4041-H4041</x:f>
        <x:v>-1</x:v>
      </x:c>
      <x:c r="J4041" s="6" t="n">
        <x:f>IF(OR(E4041="CANCELED",E4041="SUSPECTED_FRAUD",F4041="Shipping canceled"),0,1)</x:f>
        <x:v>1</x:v>
      </x:c>
      <x:c r="K4041" s="6" t="n">
        <x:f>IF(G4041&gt;H4041,1,0)</x:f>
        <x:v>0</x:v>
      </x:c>
      <x:c r="L4041" s="6" t="n">
        <x:f>J4041*K4041</x:f>
        <x:v>0</x:v>
      </x:c>
    </x:row>
    <x:row r="4042">
      <x:c r="A4042" s="1" t="n">
        <x:v>30783</x:v>
      </x:c>
      <x:c r="B4042" s="5" t="d">
        <x:v>2016-03-25T00:00:00.000Z</x:v>
      </x:c>
      <x:c r="C4042" s="1" t="str">
        <x:v>Standard Class</x:v>
      </x:c>
      <x:c r="D4042" s="1" t="str">
        <x:v>Pacific Asia</x:v>
      </x:c>
      <x:c r="E4042" s="1" t="str">
        <x:v>PENDING</x:v>
      </x:c>
      <x:c r="F4042" s="1" t="str">
        <x:v>Shipping on time</x:v>
      </x:c>
      <x:c r="G4042" s="6" t="n">
        <x:v>4</x:v>
      </x:c>
      <x:c r="H4042" s="6" t="n">
        <x:v>4</x:v>
      </x:c>
      <x:c r="I4042" s="6" t="n">
        <x:f>G4042-H4042</x:f>
        <x:v>0</x:v>
      </x:c>
      <x:c r="J4042" s="6" t="n">
        <x:f>IF(OR(E4042="CANCELED",E4042="SUSPECTED_FRAUD",F4042="Shipping canceled"),0,1)</x:f>
        <x:v>1</x:v>
      </x:c>
      <x:c r="K4042" s="6" t="n">
        <x:f>IF(G4042&gt;H4042,1,0)</x:f>
        <x:v>0</x:v>
      </x:c>
      <x:c r="L4042" s="6" t="n">
        <x:f>J4042*K4042</x:f>
        <x:v>0</x:v>
      </x:c>
    </x:row>
    <x:row r="4043">
      <x:c r="A4043" s="1" t="n">
        <x:v>30784</x:v>
      </x:c>
      <x:c r="B4043" s="5" t="d">
        <x:v>2016-03-25T00:00:00.000Z</x:v>
      </x:c>
      <x:c r="C4043" s="1" t="str">
        <x:v>Standard Class</x:v>
      </x:c>
      <x:c r="D4043" s="1" t="str">
        <x:v>Pacific Asia</x:v>
      </x:c>
      <x:c r="E4043" s="1" t="str">
        <x:v>COMPLETE</x:v>
      </x:c>
      <x:c r="F4043" s="1" t="str">
        <x:v>Late delivery</x:v>
      </x:c>
      <x:c r="G4043" s="6" t="n">
        <x:v>5</x:v>
      </x:c>
      <x:c r="H4043" s="6" t="n">
        <x:v>4</x:v>
      </x:c>
      <x:c r="I4043" s="6" t="n">
        <x:f>G4043-H4043</x:f>
        <x:v>1</x:v>
      </x:c>
      <x:c r="J4043" s="6" t="n">
        <x:f>IF(OR(E4043="CANCELED",E4043="SUSPECTED_FRAUD",F4043="Shipping canceled"),0,1)</x:f>
        <x:v>1</x:v>
      </x:c>
      <x:c r="K4043" s="6" t="n">
        <x:f>IF(G4043&gt;H4043,1,0)</x:f>
        <x:v>1</x:v>
      </x:c>
      <x:c r="L4043" s="6" t="n">
        <x:f>J4043*K4043</x:f>
        <x:v>1</x:v>
      </x:c>
    </x:row>
    <x:row r="4044">
      <x:c r="A4044" s="1" t="n">
        <x:v>30788</x:v>
      </x:c>
      <x:c r="B4044" s="5" t="d">
        <x:v>2016-03-25T00:00:00.000Z</x:v>
      </x:c>
      <x:c r="C4044" s="1" t="str">
        <x:v>Standard Class</x:v>
      </x:c>
      <x:c r="D4044" s="1" t="str">
        <x:v>Pacific Asia</x:v>
      </x:c>
      <x:c r="E4044" s="1" t="str">
        <x:v>COMPLETE</x:v>
      </x:c>
      <x:c r="F4044" s="1" t="str">
        <x:v>Shipping on time</x:v>
      </x:c>
      <x:c r="G4044" s="6" t="n">
        <x:v>4</x:v>
      </x:c>
      <x:c r="H4044" s="6" t="n">
        <x:v>4</x:v>
      </x:c>
      <x:c r="I4044" s="6" t="n">
        <x:f>G4044-H4044</x:f>
        <x:v>0</x:v>
      </x:c>
      <x:c r="J4044" s="6" t="n">
        <x:f>IF(OR(E4044="CANCELED",E4044="SUSPECTED_FRAUD",F4044="Shipping canceled"),0,1)</x:f>
        <x:v>1</x:v>
      </x:c>
      <x:c r="K4044" s="6" t="n">
        <x:f>IF(G4044&gt;H4044,1,0)</x:f>
        <x:v>0</x:v>
      </x:c>
      <x:c r="L4044" s="6" t="n">
        <x:f>J4044*K4044</x:f>
        <x:v>0</x:v>
      </x:c>
    </x:row>
    <x:row r="4045">
      <x:c r="A4045" s="1" t="n">
        <x:v>30795</x:v>
      </x:c>
      <x:c r="B4045" s="5" t="d">
        <x:v>2016-03-25T00:00:00.000Z</x:v>
      </x:c>
      <x:c r="C4045" s="1" t="str">
        <x:v>Standard Class</x:v>
      </x:c>
      <x:c r="D4045" s="1" t="str">
        <x:v>Pacific Asia</x:v>
      </x:c>
      <x:c r="E4045" s="1" t="str">
        <x:v>COMPLETE</x:v>
      </x:c>
      <x:c r="F4045" s="1" t="str">
        <x:v>Late delivery</x:v>
      </x:c>
      <x:c r="G4045" s="6" t="n">
        <x:v>6</x:v>
      </x:c>
      <x:c r="H4045" s="6" t="n">
        <x:v>4</x:v>
      </x:c>
      <x:c r="I4045" s="6" t="n">
        <x:f>G4045-H4045</x:f>
        <x:v>2</x:v>
      </x:c>
      <x:c r="J4045" s="6" t="n">
        <x:f>IF(OR(E4045="CANCELED",E4045="SUSPECTED_FRAUD",F4045="Shipping canceled"),0,1)</x:f>
        <x:v>1</x:v>
      </x:c>
      <x:c r="K4045" s="6" t="n">
        <x:f>IF(G4045&gt;H4045,1,0)</x:f>
        <x:v>1</x:v>
      </x:c>
      <x:c r="L4045" s="6" t="n">
        <x:f>J4045*K4045</x:f>
        <x:v>1</x:v>
      </x:c>
    </x:row>
    <x:row r="4046">
      <x:c r="A4046" s="1" t="n">
        <x:v>30802</x:v>
      </x:c>
      <x:c r="B4046" s="5" t="d">
        <x:v>2016-03-25T00:00:00.000Z</x:v>
      </x:c>
      <x:c r="C4046" s="1" t="str">
        <x:v>Standard Class</x:v>
      </x:c>
      <x:c r="D4046" s="1" t="str">
        <x:v>Pacific Asia</x:v>
      </x:c>
      <x:c r="E4046" s="1" t="str">
        <x:v>PENDING</x:v>
      </x:c>
      <x:c r="F4046" s="1" t="str">
        <x:v>Advance shipping</x:v>
      </x:c>
      <x:c r="G4046" s="6" t="n">
        <x:v>3</x:v>
      </x:c>
      <x:c r="H4046" s="6" t="n">
        <x:v>4</x:v>
      </x:c>
      <x:c r="I4046" s="6" t="n">
        <x:f>G4046-H4046</x:f>
        <x:v>-1</x:v>
      </x:c>
      <x:c r="J4046" s="6" t="n">
        <x:f>IF(OR(E4046="CANCELED",E4046="SUSPECTED_FRAUD",F4046="Shipping canceled"),0,1)</x:f>
        <x:v>1</x:v>
      </x:c>
      <x:c r="K4046" s="6" t="n">
        <x:f>IF(G4046&gt;H4046,1,0)</x:f>
        <x:v>0</x:v>
      </x:c>
      <x:c r="L4046" s="6" t="n">
        <x:f>J4046*K4046</x:f>
        <x:v>0</x:v>
      </x:c>
    </x:row>
    <x:row r="4047">
      <x:c r="A4047" s="1" t="n">
        <x:v>30805</x:v>
      </x:c>
      <x:c r="B4047" s="5" t="d">
        <x:v>2016-03-25T00:00:00.000Z</x:v>
      </x:c>
      <x:c r="C4047" s="1" t="str">
        <x:v>Standard Class</x:v>
      </x:c>
      <x:c r="D4047" s="1" t="str">
        <x:v>Pacific Asia</x:v>
      </x:c>
      <x:c r="E4047" s="1" t="str">
        <x:v>PROCESSING</x:v>
      </x:c>
      <x:c r="F4047" s="1" t="str">
        <x:v>Late delivery</x:v>
      </x:c>
      <x:c r="G4047" s="6" t="n">
        <x:v>6</x:v>
      </x:c>
      <x:c r="H4047" s="6" t="n">
        <x:v>4</x:v>
      </x:c>
      <x:c r="I4047" s="6" t="n">
        <x:f>G4047-H4047</x:f>
        <x:v>2</x:v>
      </x:c>
      <x:c r="J4047" s="6" t="n">
        <x:f>IF(OR(E4047="CANCELED",E4047="SUSPECTED_FRAUD",F4047="Shipping canceled"),0,1)</x:f>
        <x:v>1</x:v>
      </x:c>
      <x:c r="K4047" s="6" t="n">
        <x:f>IF(G4047&gt;H4047,1,0)</x:f>
        <x:v>1</x:v>
      </x:c>
      <x:c r="L4047" s="6" t="n">
        <x:f>J4047*K4047</x:f>
        <x:v>1</x:v>
      </x:c>
    </x:row>
    <x:row r="4048">
      <x:c r="A4048" s="1" t="n">
        <x:v>30814</x:v>
      </x:c>
      <x:c r="B4048" s="5" t="d">
        <x:v>2016-03-25T00:00:00.000Z</x:v>
      </x:c>
      <x:c r="C4048" s="1" t="str">
        <x:v>Standard Class</x:v>
      </x:c>
      <x:c r="D4048" s="1" t="str">
        <x:v>Pacific Asia</x:v>
      </x:c>
      <x:c r="E4048" s="1" t="str">
        <x:v>COMPLETE</x:v>
      </x:c>
      <x:c r="F4048" s="1" t="str">
        <x:v>Late delivery</x:v>
      </x:c>
      <x:c r="G4048" s="6" t="n">
        <x:v>5</x:v>
      </x:c>
      <x:c r="H4048" s="6" t="n">
        <x:v>4</x:v>
      </x:c>
      <x:c r="I4048" s="6" t="n">
        <x:f>G4048-H4048</x:f>
        <x:v>1</x:v>
      </x:c>
      <x:c r="J4048" s="6" t="n">
        <x:f>IF(OR(E4048="CANCELED",E4048="SUSPECTED_FRAUD",F4048="Shipping canceled"),0,1)</x:f>
        <x:v>1</x:v>
      </x:c>
      <x:c r="K4048" s="6" t="n">
        <x:f>IF(G4048&gt;H4048,1,0)</x:f>
        <x:v>1</x:v>
      </x:c>
      <x:c r="L4048" s="6" t="n">
        <x:f>J4048*K4048</x:f>
        <x:v>1</x:v>
      </x:c>
    </x:row>
    <x:row r="4049">
      <x:c r="A4049" s="1" t="n">
        <x:v>30816</x:v>
      </x:c>
      <x:c r="B4049" s="5" t="d">
        <x:v>2016-03-25T00:00:00.000Z</x:v>
      </x:c>
      <x:c r="C4049" s="1" t="str">
        <x:v>Standard Class</x:v>
      </x:c>
      <x:c r="D4049" s="1" t="str">
        <x:v>Pacific Asia</x:v>
      </x:c>
      <x:c r="E4049" s="1" t="str">
        <x:v>PENDING_PAYMENT</x:v>
      </x:c>
      <x:c r="F4049" s="1" t="str">
        <x:v>Advance shipping</x:v>
      </x:c>
      <x:c r="G4049" s="6" t="n">
        <x:v>2</x:v>
      </x:c>
      <x:c r="H4049" s="6" t="n">
        <x:v>4</x:v>
      </x:c>
      <x:c r="I4049" s="6" t="n">
        <x:f>G4049-H4049</x:f>
        <x:v>-2</x:v>
      </x:c>
      <x:c r="J4049" s="6" t="n">
        <x:f>IF(OR(E4049="CANCELED",E4049="SUSPECTED_FRAUD",F4049="Shipping canceled"),0,1)</x:f>
        <x:v>1</x:v>
      </x:c>
      <x:c r="K4049" s="6" t="n">
        <x:f>IF(G4049&gt;H4049,1,0)</x:f>
        <x:v>0</x:v>
      </x:c>
      <x:c r="L4049" s="6" t="n">
        <x:f>J4049*K4049</x:f>
        <x:v>0</x:v>
      </x:c>
    </x:row>
    <x:row r="4050">
      <x:c r="A4050" s="1" t="n">
        <x:v>30824</x:v>
      </x:c>
      <x:c r="B4050" s="5" t="d">
        <x:v>2016-03-25T00:00:00.000Z</x:v>
      </x:c>
      <x:c r="C4050" s="1" t="str">
        <x:v>Second Class</x:v>
      </x:c>
      <x:c r="D4050" s="1" t="str">
        <x:v>Pacific Asia</x:v>
      </x:c>
      <x:c r="E4050" s="1" t="str">
        <x:v>CLOSED</x:v>
      </x:c>
      <x:c r="F4050" s="1" t="str">
        <x:v>Late delivery</x:v>
      </x:c>
      <x:c r="G4050" s="6" t="n">
        <x:v>5</x:v>
      </x:c>
      <x:c r="H4050" s="6" t="n">
        <x:v>2</x:v>
      </x:c>
      <x:c r="I4050" s="6" t="n">
        <x:f>G4050-H4050</x:f>
        <x:v>3</x:v>
      </x:c>
      <x:c r="J4050" s="6" t="n">
        <x:f>IF(OR(E4050="CANCELED",E4050="SUSPECTED_FRAUD",F4050="Shipping canceled"),0,1)</x:f>
        <x:v>1</x:v>
      </x:c>
      <x:c r="K4050" s="6" t="n">
        <x:f>IF(G4050&gt;H4050,1,0)</x:f>
        <x:v>1</x:v>
      </x:c>
      <x:c r="L4050" s="6" t="n">
        <x:f>J4050*K4050</x:f>
        <x:v>1</x:v>
      </x:c>
    </x:row>
    <x:row r="4051">
      <x:c r="A4051" s="1" t="n">
        <x:v>30829</x:v>
      </x:c>
      <x:c r="B4051" s="5" t="d">
        <x:v>2016-03-26T00:00:00.000Z</x:v>
      </x:c>
      <x:c r="C4051" s="1" t="str">
        <x:v>Standard Class</x:v>
      </x:c>
      <x:c r="D4051" s="1" t="str">
        <x:v>Pacific Asia</x:v>
      </x:c>
      <x:c r="E4051" s="1" t="str">
        <x:v>PROCESSING</x:v>
      </x:c>
      <x:c r="F4051" s="1" t="str">
        <x:v>Late delivery</x:v>
      </x:c>
      <x:c r="G4051" s="6" t="n">
        <x:v>5</x:v>
      </x:c>
      <x:c r="H4051" s="6" t="n">
        <x:v>4</x:v>
      </x:c>
      <x:c r="I4051" s="6" t="n">
        <x:f>G4051-H4051</x:f>
        <x:v>1</x:v>
      </x:c>
      <x:c r="J4051" s="6" t="n">
        <x:f>IF(OR(E4051="CANCELED",E4051="SUSPECTED_FRAUD",F4051="Shipping canceled"),0,1)</x:f>
        <x:v>1</x:v>
      </x:c>
      <x:c r="K4051" s="6" t="n">
        <x:f>IF(G4051&gt;H4051,1,0)</x:f>
        <x:v>1</x:v>
      </x:c>
      <x:c r="L4051" s="6" t="n">
        <x:f>J4051*K4051</x:f>
        <x:v>1</x:v>
      </x:c>
    </x:row>
    <x:row r="4052">
      <x:c r="A4052" s="1" t="n">
        <x:v>30834</x:v>
      </x:c>
      <x:c r="B4052" s="5" t="d">
        <x:v>2016-03-26T00:00:00.000Z</x:v>
      </x:c>
      <x:c r="C4052" s="1" t="str">
        <x:v>Standard Class</x:v>
      </x:c>
      <x:c r="D4052" s="1" t="str">
        <x:v>Pacific Asia</x:v>
      </x:c>
      <x:c r="E4052" s="1" t="str">
        <x:v>CLOSED</x:v>
      </x:c>
      <x:c r="F4052" s="1" t="str">
        <x:v>Late delivery</x:v>
      </x:c>
      <x:c r="G4052" s="6" t="n">
        <x:v>5</x:v>
      </x:c>
      <x:c r="H4052" s="6" t="n">
        <x:v>4</x:v>
      </x:c>
      <x:c r="I4052" s="6" t="n">
        <x:f>G4052-H4052</x:f>
        <x:v>1</x:v>
      </x:c>
      <x:c r="J4052" s="6" t="n">
        <x:f>IF(OR(E4052="CANCELED",E4052="SUSPECTED_FRAUD",F4052="Shipping canceled"),0,1)</x:f>
        <x:v>1</x:v>
      </x:c>
      <x:c r="K4052" s="6" t="n">
        <x:f>IF(G4052&gt;H4052,1,0)</x:f>
        <x:v>1</x:v>
      </x:c>
      <x:c r="L4052" s="6" t="n">
        <x:f>J4052*K4052</x:f>
        <x:v>1</x:v>
      </x:c>
    </x:row>
    <x:row r="4053">
      <x:c r="A4053" s="1" t="n">
        <x:v>30835</x:v>
      </x:c>
      <x:c r="B4053" s="5" t="d">
        <x:v>2016-03-26T00:00:00.000Z</x:v>
      </x:c>
      <x:c r="C4053" s="1" t="str">
        <x:v>Standard Class</x:v>
      </x:c>
      <x:c r="D4053" s="1" t="str">
        <x:v>Pacific Asia</x:v>
      </x:c>
      <x:c r="E4053" s="1" t="str">
        <x:v>COMPLETE</x:v>
      </x:c>
      <x:c r="F4053" s="1" t="str">
        <x:v>Late delivery</x:v>
      </x:c>
      <x:c r="G4053" s="6" t="n">
        <x:v>6</x:v>
      </x:c>
      <x:c r="H4053" s="6" t="n">
        <x:v>4</x:v>
      </x:c>
      <x:c r="I4053" s="6" t="n">
        <x:f>G4053-H4053</x:f>
        <x:v>2</x:v>
      </x:c>
      <x:c r="J4053" s="6" t="n">
        <x:f>IF(OR(E4053="CANCELED",E4053="SUSPECTED_FRAUD",F4053="Shipping canceled"),0,1)</x:f>
        <x:v>1</x:v>
      </x:c>
      <x:c r="K4053" s="6" t="n">
        <x:f>IF(G4053&gt;H4053,1,0)</x:f>
        <x:v>1</x:v>
      </x:c>
      <x:c r="L4053" s="6" t="n">
        <x:f>J4053*K4053</x:f>
        <x:v>1</x:v>
      </x:c>
    </x:row>
    <x:row r="4054">
      <x:c r="A4054" s="1" t="n">
        <x:v>30838</x:v>
      </x:c>
      <x:c r="B4054" s="5" t="d">
        <x:v>2016-03-26T00:00:00.000Z</x:v>
      </x:c>
      <x:c r="C4054" s="1" t="str">
        <x:v>Second Class</x:v>
      </x:c>
      <x:c r="D4054" s="1" t="str">
        <x:v>Pacific Asia</x:v>
      </x:c>
      <x:c r="E4054" s="1" t="str">
        <x:v>COMPLETE</x:v>
      </x:c>
      <x:c r="F4054" s="1" t="str">
        <x:v>Late delivery</x:v>
      </x:c>
      <x:c r="G4054" s="6" t="n">
        <x:v>4</x:v>
      </x:c>
      <x:c r="H4054" s="6" t="n">
        <x:v>2</x:v>
      </x:c>
      <x:c r="I4054" s="6" t="n">
        <x:f>G4054-H4054</x:f>
        <x:v>2</x:v>
      </x:c>
      <x:c r="J4054" s="6" t="n">
        <x:f>IF(OR(E4054="CANCELED",E4054="SUSPECTED_FRAUD",F4054="Shipping canceled"),0,1)</x:f>
        <x:v>1</x:v>
      </x:c>
      <x:c r="K4054" s="6" t="n">
        <x:f>IF(G4054&gt;H4054,1,0)</x:f>
        <x:v>1</x:v>
      </x:c>
      <x:c r="L4054" s="6" t="n">
        <x:f>J4054*K4054</x:f>
        <x:v>1</x:v>
      </x:c>
    </x:row>
    <x:row r="4055">
      <x:c r="A4055" s="1" t="n">
        <x:v>30842</x:v>
      </x:c>
      <x:c r="B4055" s="5" t="d">
        <x:v>2016-03-26T00:00:00.000Z</x:v>
      </x:c>
      <x:c r="C4055" s="1" t="str">
        <x:v>Standard Class</x:v>
      </x:c>
      <x:c r="D4055" s="1" t="str">
        <x:v>Pacific Asia</x:v>
      </x:c>
      <x:c r="E4055" s="1" t="str">
        <x:v>COMPLETE</x:v>
      </x:c>
      <x:c r="F4055" s="1" t="str">
        <x:v>Advance shipping</x:v>
      </x:c>
      <x:c r="G4055" s="6" t="n">
        <x:v>3</x:v>
      </x:c>
      <x:c r="H4055" s="6" t="n">
        <x:v>4</x:v>
      </x:c>
      <x:c r="I4055" s="6" t="n">
        <x:f>G4055-H4055</x:f>
        <x:v>-1</x:v>
      </x:c>
      <x:c r="J4055" s="6" t="n">
        <x:f>IF(OR(E4055="CANCELED",E4055="SUSPECTED_FRAUD",F4055="Shipping canceled"),0,1)</x:f>
        <x:v>1</x:v>
      </x:c>
      <x:c r="K4055" s="6" t="n">
        <x:f>IF(G4055&gt;H4055,1,0)</x:f>
        <x:v>0</x:v>
      </x:c>
      <x:c r="L4055" s="6" t="n">
        <x:f>J4055*K4055</x:f>
        <x:v>0</x:v>
      </x:c>
    </x:row>
    <x:row r="4056">
      <x:c r="A4056" s="1" t="n">
        <x:v>30851</x:v>
      </x:c>
      <x:c r="B4056" s="5" t="d">
        <x:v>2016-03-26T00:00:00.000Z</x:v>
      </x:c>
      <x:c r="C4056" s="1" t="str">
        <x:v>Standard Class</x:v>
      </x:c>
      <x:c r="D4056" s="1" t="str">
        <x:v>Pacific Asia</x:v>
      </x:c>
      <x:c r="E4056" s="1" t="str">
        <x:v>COMPLETE</x:v>
      </x:c>
      <x:c r="F4056" s="1" t="str">
        <x:v>Advance shipping</x:v>
      </x:c>
      <x:c r="G4056" s="6" t="n">
        <x:v>2</x:v>
      </x:c>
      <x:c r="H4056" s="6" t="n">
        <x:v>4</x:v>
      </x:c>
      <x:c r="I4056" s="6" t="n">
        <x:f>G4056-H4056</x:f>
        <x:v>-2</x:v>
      </x:c>
      <x:c r="J4056" s="6" t="n">
        <x:f>IF(OR(E4056="CANCELED",E4056="SUSPECTED_FRAUD",F4056="Shipping canceled"),0,1)</x:f>
        <x:v>1</x:v>
      </x:c>
      <x:c r="K4056" s="6" t="n">
        <x:f>IF(G4056&gt;H4056,1,0)</x:f>
        <x:v>0</x:v>
      </x:c>
      <x:c r="L4056" s="6" t="n">
        <x:f>J4056*K4056</x:f>
        <x:v>0</x:v>
      </x:c>
    </x:row>
    <x:row r="4057">
      <x:c r="A4057" s="1" t="n">
        <x:v>30860</x:v>
      </x:c>
      <x:c r="B4057" s="5" t="d">
        <x:v>2016-03-26T00:00:00.000Z</x:v>
      </x:c>
      <x:c r="C4057" s="1" t="str">
        <x:v>Standard Class</x:v>
      </x:c>
      <x:c r="D4057" s="1" t="str">
        <x:v>Pacific Asia</x:v>
      </x:c>
      <x:c r="E4057" s="1" t="str">
        <x:v>PROCESSING</x:v>
      </x:c>
      <x:c r="F4057" s="1" t="str">
        <x:v>Late delivery</x:v>
      </x:c>
      <x:c r="G4057" s="6" t="n">
        <x:v>6</x:v>
      </x:c>
      <x:c r="H4057" s="6" t="n">
        <x:v>4</x:v>
      </x:c>
      <x:c r="I4057" s="6" t="n">
        <x:f>G4057-H4057</x:f>
        <x:v>2</x:v>
      </x:c>
      <x:c r="J4057" s="6" t="n">
        <x:f>IF(OR(E4057="CANCELED",E4057="SUSPECTED_FRAUD",F4057="Shipping canceled"),0,1)</x:f>
        <x:v>1</x:v>
      </x:c>
      <x:c r="K4057" s="6" t="n">
        <x:f>IF(G4057&gt;H4057,1,0)</x:f>
        <x:v>1</x:v>
      </x:c>
      <x:c r="L4057" s="6" t="n">
        <x:f>J4057*K4057</x:f>
        <x:v>1</x:v>
      </x:c>
    </x:row>
    <x:row r="4058">
      <x:c r="A4058" s="1" t="n">
        <x:v>30866</x:v>
      </x:c>
      <x:c r="B4058" s="5" t="d">
        <x:v>2016-03-26T00:00:00.000Z</x:v>
      </x:c>
      <x:c r="C4058" s="1" t="str">
        <x:v>Standard Class</x:v>
      </x:c>
      <x:c r="D4058" s="1" t="str">
        <x:v>Pacific Asia</x:v>
      </x:c>
      <x:c r="E4058" s="1" t="str">
        <x:v>PENDING_PAYMENT</x:v>
      </x:c>
      <x:c r="F4058" s="1" t="str">
        <x:v>Advance shipping</x:v>
      </x:c>
      <x:c r="G4058" s="6" t="n">
        <x:v>2</x:v>
      </x:c>
      <x:c r="H4058" s="6" t="n">
        <x:v>4</x:v>
      </x:c>
      <x:c r="I4058" s="6" t="n">
        <x:f>G4058-H4058</x:f>
        <x:v>-2</x:v>
      </x:c>
      <x:c r="J4058" s="6" t="n">
        <x:f>IF(OR(E4058="CANCELED",E4058="SUSPECTED_FRAUD",F4058="Shipping canceled"),0,1)</x:f>
        <x:v>1</x:v>
      </x:c>
      <x:c r="K4058" s="6" t="n">
        <x:f>IF(G4058&gt;H4058,1,0)</x:f>
        <x:v>0</x:v>
      </x:c>
      <x:c r="L4058" s="6" t="n">
        <x:f>J4058*K4058</x:f>
        <x:v>0</x:v>
      </x:c>
    </x:row>
    <x:row r="4059">
      <x:c r="A4059" s="1" t="n">
        <x:v>30870</x:v>
      </x:c>
      <x:c r="B4059" s="5" t="d">
        <x:v>2016-03-26T00:00:00.000Z</x:v>
      </x:c>
      <x:c r="C4059" s="1" t="str">
        <x:v>Standard Class</x:v>
      </x:c>
      <x:c r="D4059" s="1" t="str">
        <x:v>Pacific Asia</x:v>
      </x:c>
      <x:c r="E4059" s="1" t="str">
        <x:v>PENDING</x:v>
      </x:c>
      <x:c r="F4059" s="1" t="str">
        <x:v>Late delivery</x:v>
      </x:c>
      <x:c r="G4059" s="6" t="n">
        <x:v>6</x:v>
      </x:c>
      <x:c r="H4059" s="6" t="n">
        <x:v>4</x:v>
      </x:c>
      <x:c r="I4059" s="6" t="n">
        <x:f>G4059-H4059</x:f>
        <x:v>2</x:v>
      </x:c>
      <x:c r="J4059" s="6" t="n">
        <x:f>IF(OR(E4059="CANCELED",E4059="SUSPECTED_FRAUD",F4059="Shipping canceled"),0,1)</x:f>
        <x:v>1</x:v>
      </x:c>
      <x:c r="K4059" s="6" t="n">
        <x:f>IF(G4059&gt;H4059,1,0)</x:f>
        <x:v>1</x:v>
      </x:c>
      <x:c r="L4059" s="6" t="n">
        <x:f>J4059*K4059</x:f>
        <x:v>1</x:v>
      </x:c>
    </x:row>
    <x:row r="4060">
      <x:c r="A4060" s="1" t="n">
        <x:v>30871</x:v>
      </x:c>
      <x:c r="B4060" s="5" t="d">
        <x:v>2016-03-26T00:00:00.000Z</x:v>
      </x:c>
      <x:c r="C4060" s="1" t="str">
        <x:v>Standard Class</x:v>
      </x:c>
      <x:c r="D4060" s="1" t="str">
        <x:v>Pacific Asia</x:v>
      </x:c>
      <x:c r="E4060" s="1" t="str">
        <x:v>COMPLETE</x:v>
      </x:c>
      <x:c r="F4060" s="1" t="str">
        <x:v>Advance shipping</x:v>
      </x:c>
      <x:c r="G4060" s="6" t="n">
        <x:v>2</x:v>
      </x:c>
      <x:c r="H4060" s="6" t="n">
        <x:v>4</x:v>
      </x:c>
      <x:c r="I4060" s="6" t="n">
        <x:f>G4060-H4060</x:f>
        <x:v>-2</x:v>
      </x:c>
      <x:c r="J4060" s="6" t="n">
        <x:f>IF(OR(E4060="CANCELED",E4060="SUSPECTED_FRAUD",F4060="Shipping canceled"),0,1)</x:f>
        <x:v>1</x:v>
      </x:c>
      <x:c r="K4060" s="6" t="n">
        <x:f>IF(G4060&gt;H4060,1,0)</x:f>
        <x:v>0</x:v>
      </x:c>
      <x:c r="L4060" s="6" t="n">
        <x:f>J4060*K4060</x:f>
        <x:v>0</x:v>
      </x:c>
    </x:row>
    <x:row r="4061">
      <x:c r="A4061" s="1" t="n">
        <x:v>30872</x:v>
      </x:c>
      <x:c r="B4061" s="5" t="d">
        <x:v>2016-03-26T00:00:00.000Z</x:v>
      </x:c>
      <x:c r="C4061" s="1" t="str">
        <x:v>Standard Class</x:v>
      </x:c>
      <x:c r="D4061" s="1" t="str">
        <x:v>Pacific Asia</x:v>
      </x:c>
      <x:c r="E4061" s="1" t="str">
        <x:v>COMPLETE</x:v>
      </x:c>
      <x:c r="F4061" s="1" t="str">
        <x:v>Advance shipping</x:v>
      </x:c>
      <x:c r="G4061" s="6" t="n">
        <x:v>3</x:v>
      </x:c>
      <x:c r="H4061" s="6" t="n">
        <x:v>4</x:v>
      </x:c>
      <x:c r="I4061" s="6" t="n">
        <x:f>G4061-H4061</x:f>
        <x:v>-1</x:v>
      </x:c>
      <x:c r="J4061" s="6" t="n">
        <x:f>IF(OR(E4061="CANCELED",E4061="SUSPECTED_FRAUD",F4061="Shipping canceled"),0,1)</x:f>
        <x:v>1</x:v>
      </x:c>
      <x:c r="K4061" s="6" t="n">
        <x:f>IF(G4061&gt;H4061,1,0)</x:f>
        <x:v>0</x:v>
      </x:c>
      <x:c r="L4061" s="6" t="n">
        <x:f>J4061*K4061</x:f>
        <x:v>0</x:v>
      </x:c>
    </x:row>
    <x:row r="4062">
      <x:c r="A4062" s="1" t="n">
        <x:v>30886</x:v>
      </x:c>
      <x:c r="B4062" s="5" t="d">
        <x:v>2016-03-26T00:00:00.000Z</x:v>
      </x:c>
      <x:c r="C4062" s="1" t="str">
        <x:v>Standard Class</x:v>
      </x:c>
      <x:c r="D4062" s="1" t="str">
        <x:v>Pacific Asia</x:v>
      </x:c>
      <x:c r="E4062" s="1" t="str">
        <x:v>COMPLETE</x:v>
      </x:c>
      <x:c r="F4062" s="1" t="str">
        <x:v>Advance shipping</x:v>
      </x:c>
      <x:c r="G4062" s="6" t="n">
        <x:v>2</x:v>
      </x:c>
      <x:c r="H4062" s="6" t="n">
        <x:v>4</x:v>
      </x:c>
      <x:c r="I4062" s="6" t="n">
        <x:f>G4062-H4062</x:f>
        <x:v>-2</x:v>
      </x:c>
      <x:c r="J4062" s="6" t="n">
        <x:f>IF(OR(E4062="CANCELED",E4062="SUSPECTED_FRAUD",F4062="Shipping canceled"),0,1)</x:f>
        <x:v>1</x:v>
      </x:c>
      <x:c r="K4062" s="6" t="n">
        <x:f>IF(G4062&gt;H4062,1,0)</x:f>
        <x:v>0</x:v>
      </x:c>
      <x:c r="L4062" s="6" t="n">
        <x:f>J4062*K4062</x:f>
        <x:v>0</x:v>
      </x:c>
    </x:row>
    <x:row r="4063">
      <x:c r="A4063" s="1" t="n">
        <x:v>30897</x:v>
      </x:c>
      <x:c r="B4063" s="5" t="d">
        <x:v>2016-03-27T00:00:00.000Z</x:v>
      </x:c>
      <x:c r="C4063" s="1" t="str">
        <x:v>Second Class</x:v>
      </x:c>
      <x:c r="D4063" s="1" t="str">
        <x:v>Pacific Asia</x:v>
      </x:c>
      <x:c r="E4063" s="1" t="str">
        <x:v>COMPLETE</x:v>
      </x:c>
      <x:c r="F4063" s="1" t="str">
        <x:v>Late delivery</x:v>
      </x:c>
      <x:c r="G4063" s="6" t="n">
        <x:v>3</x:v>
      </x:c>
      <x:c r="H4063" s="6" t="n">
        <x:v>2</x:v>
      </x:c>
      <x:c r="I4063" s="6" t="n">
        <x:f>G4063-H4063</x:f>
        <x:v>1</x:v>
      </x:c>
      <x:c r="J4063" s="6" t="n">
        <x:f>IF(OR(E4063="CANCELED",E4063="SUSPECTED_FRAUD",F4063="Shipping canceled"),0,1)</x:f>
        <x:v>1</x:v>
      </x:c>
      <x:c r="K4063" s="6" t="n">
        <x:f>IF(G4063&gt;H4063,1,0)</x:f>
        <x:v>1</x:v>
      </x:c>
      <x:c r="L4063" s="6" t="n">
        <x:f>J4063*K4063</x:f>
        <x:v>1</x:v>
      </x:c>
    </x:row>
    <x:row r="4064">
      <x:c r="A4064" s="1" t="n">
        <x:v>30900</x:v>
      </x:c>
      <x:c r="B4064" s="5" t="d">
        <x:v>2016-03-27T00:00:00.000Z</x:v>
      </x:c>
      <x:c r="C4064" s="1" t="str">
        <x:v>Standard Class</x:v>
      </x:c>
      <x:c r="D4064" s="1" t="str">
        <x:v>Pacific Asia</x:v>
      </x:c>
      <x:c r="E4064" s="1" t="str">
        <x:v>COMPLETE</x:v>
      </x:c>
      <x:c r="F4064" s="1" t="str">
        <x:v>Late delivery</x:v>
      </x:c>
      <x:c r="G4064" s="6" t="n">
        <x:v>6</x:v>
      </x:c>
      <x:c r="H4064" s="6" t="n">
        <x:v>4</x:v>
      </x:c>
      <x:c r="I4064" s="6" t="n">
        <x:f>G4064-H4064</x:f>
        <x:v>2</x:v>
      </x:c>
      <x:c r="J4064" s="6" t="n">
        <x:f>IF(OR(E4064="CANCELED",E4064="SUSPECTED_FRAUD",F4064="Shipping canceled"),0,1)</x:f>
        <x:v>1</x:v>
      </x:c>
      <x:c r="K4064" s="6" t="n">
        <x:f>IF(G4064&gt;H4064,1,0)</x:f>
        <x:v>1</x:v>
      </x:c>
      <x:c r="L4064" s="6" t="n">
        <x:f>J4064*K4064</x:f>
        <x:v>1</x:v>
      </x:c>
    </x:row>
    <x:row r="4065">
      <x:c r="A4065" s="1" t="n">
        <x:v>30921</x:v>
      </x:c>
      <x:c r="B4065" s="5" t="d">
        <x:v>2016-03-27T00:00:00.000Z</x:v>
      </x:c>
      <x:c r="C4065" s="1" t="str">
        <x:v>Second Class</x:v>
      </x:c>
      <x:c r="D4065" s="1" t="str">
        <x:v>Pacific Asia</x:v>
      </x:c>
      <x:c r="E4065" s="1" t="str">
        <x:v>PENDING_PAYMENT</x:v>
      </x:c>
      <x:c r="F4065" s="1" t="str">
        <x:v>Shipping on time</x:v>
      </x:c>
      <x:c r="G4065" s="6" t="n">
        <x:v>2</x:v>
      </x:c>
      <x:c r="H4065" s="6" t="n">
        <x:v>2</x:v>
      </x:c>
      <x:c r="I4065" s="6" t="n">
        <x:f>G4065-H4065</x:f>
        <x:v>0</x:v>
      </x:c>
      <x:c r="J4065" s="6" t="n">
        <x:f>IF(OR(E4065="CANCELED",E4065="SUSPECTED_FRAUD",F4065="Shipping canceled"),0,1)</x:f>
        <x:v>1</x:v>
      </x:c>
      <x:c r="K4065" s="6" t="n">
        <x:f>IF(G4065&gt;H4065,1,0)</x:f>
        <x:v>0</x:v>
      </x:c>
      <x:c r="L4065" s="6" t="n">
        <x:f>J4065*K4065</x:f>
        <x:v>0</x:v>
      </x:c>
    </x:row>
    <x:row r="4066">
      <x:c r="A4066" s="1" t="n">
        <x:v>30924</x:v>
      </x:c>
      <x:c r="B4066" s="5" t="d">
        <x:v>2016-03-27T00:00:00.000Z</x:v>
      </x:c>
      <x:c r="C4066" s="1" t="str">
        <x:v>Standard Class</x:v>
      </x:c>
      <x:c r="D4066" s="1" t="str">
        <x:v>Pacific Asia</x:v>
      </x:c>
      <x:c r="E4066" s="1" t="str">
        <x:v>SUSPECTED_FRAUD</x:v>
      </x:c>
      <x:c r="F4066" s="1" t="str">
        <x:v>Shipping canceled</x:v>
      </x:c>
      <x:c r="G4066" s="6" t="n">
        <x:v>5</x:v>
      </x:c>
      <x:c r="H4066" s="6" t="n">
        <x:v>4</x:v>
      </x:c>
      <x:c r="I4066" s="6" t="n">
        <x:f>G4066-H4066</x:f>
        <x:v>1</x:v>
      </x:c>
      <x:c r="J4066" s="6" t="n">
        <x:f>IF(OR(E4066="CANCELED",E4066="SUSPECTED_FRAUD",F4066="Shipping canceled"),0,1)</x:f>
        <x:v>0</x:v>
      </x:c>
      <x:c r="K4066" s="6" t="n">
        <x:f>IF(G4066&gt;H4066,1,0)</x:f>
        <x:v>1</x:v>
      </x:c>
      <x:c r="L4066" s="6" t="n">
        <x:f>J4066*K4066</x:f>
        <x:v>0</x:v>
      </x:c>
    </x:row>
    <x:row r="4067">
      <x:c r="A4067" s="1" t="n">
        <x:v>30933</x:v>
      </x:c>
      <x:c r="B4067" s="5" t="d">
        <x:v>2016-03-27T00:00:00.000Z</x:v>
      </x:c>
      <x:c r="C4067" s="1" t="str">
        <x:v>Standard Class</x:v>
      </x:c>
      <x:c r="D4067" s="1" t="str">
        <x:v>Pacific Asia</x:v>
      </x:c>
      <x:c r="E4067" s="1" t="str">
        <x:v>COMPLETE</x:v>
      </x:c>
      <x:c r="F4067" s="1" t="str">
        <x:v>Shipping on time</x:v>
      </x:c>
      <x:c r="G4067" s="6" t="n">
        <x:v>4</x:v>
      </x:c>
      <x:c r="H4067" s="6" t="n">
        <x:v>4</x:v>
      </x:c>
      <x:c r="I4067" s="6" t="n">
        <x:f>G4067-H4067</x:f>
        <x:v>0</x:v>
      </x:c>
      <x:c r="J4067" s="6" t="n">
        <x:f>IF(OR(E4067="CANCELED",E4067="SUSPECTED_FRAUD",F4067="Shipping canceled"),0,1)</x:f>
        <x:v>1</x:v>
      </x:c>
      <x:c r="K4067" s="6" t="n">
        <x:f>IF(G4067&gt;H4067,1,0)</x:f>
        <x:v>0</x:v>
      </x:c>
      <x:c r="L4067" s="6" t="n">
        <x:f>J4067*K4067</x:f>
        <x:v>0</x:v>
      </x:c>
    </x:row>
    <x:row r="4068">
      <x:c r="A4068" s="1" t="n">
        <x:v>30938</x:v>
      </x:c>
      <x:c r="B4068" s="5" t="d">
        <x:v>2016-03-27T00:00:00.000Z</x:v>
      </x:c>
      <x:c r="C4068" s="1" t="str">
        <x:v>First Class</x:v>
      </x:c>
      <x:c r="D4068" s="1" t="str">
        <x:v>Pacific Asia</x:v>
      </x:c>
      <x:c r="E4068" s="1" t="str">
        <x:v>CLOSED</x:v>
      </x:c>
      <x:c r="F4068" s="1" t="str">
        <x:v>Late delivery</x:v>
      </x:c>
      <x:c r="G4068" s="6" t="n">
        <x:v>2</x:v>
      </x:c>
      <x:c r="H4068" s="6" t="n">
        <x:v>1</x:v>
      </x:c>
      <x:c r="I4068" s="6" t="n">
        <x:f>G4068-H4068</x:f>
        <x:v>1</x:v>
      </x:c>
      <x:c r="J4068" s="6" t="n">
        <x:f>IF(OR(E4068="CANCELED",E4068="SUSPECTED_FRAUD",F4068="Shipping canceled"),0,1)</x:f>
        <x:v>1</x:v>
      </x:c>
      <x:c r="K4068" s="6" t="n">
        <x:f>IF(G4068&gt;H4068,1,0)</x:f>
        <x:v>1</x:v>
      </x:c>
      <x:c r="L4068" s="6" t="n">
        <x:f>J4068*K4068</x:f>
        <x:v>1</x:v>
      </x:c>
    </x:row>
    <x:row r="4069">
      <x:c r="A4069" s="1" t="n">
        <x:v>30943</x:v>
      </x:c>
      <x:c r="B4069" s="5" t="d">
        <x:v>2016-03-27T00:00:00.000Z</x:v>
      </x:c>
      <x:c r="C4069" s="1" t="str">
        <x:v>Second Class</x:v>
      </x:c>
      <x:c r="D4069" s="1" t="str">
        <x:v>Pacific Asia</x:v>
      </x:c>
      <x:c r="E4069" s="1" t="str">
        <x:v>COMPLETE</x:v>
      </x:c>
      <x:c r="F4069" s="1" t="str">
        <x:v>Late delivery</x:v>
      </x:c>
      <x:c r="G4069" s="6" t="n">
        <x:v>4</x:v>
      </x:c>
      <x:c r="H4069" s="6" t="n">
        <x:v>2</x:v>
      </x:c>
      <x:c r="I4069" s="6" t="n">
        <x:f>G4069-H4069</x:f>
        <x:v>2</x:v>
      </x:c>
      <x:c r="J4069" s="6" t="n">
        <x:f>IF(OR(E4069="CANCELED",E4069="SUSPECTED_FRAUD",F4069="Shipping canceled"),0,1)</x:f>
        <x:v>1</x:v>
      </x:c>
      <x:c r="K4069" s="6" t="n">
        <x:f>IF(G4069&gt;H4069,1,0)</x:f>
        <x:v>1</x:v>
      </x:c>
      <x:c r="L4069" s="6" t="n">
        <x:f>J4069*K4069</x:f>
        <x:v>1</x:v>
      </x:c>
    </x:row>
    <x:row r="4070">
      <x:c r="A4070" s="1" t="n">
        <x:v>30955</x:v>
      </x:c>
      <x:c r="B4070" s="5" t="d">
        <x:v>2016-03-27T00:00:00.000Z</x:v>
      </x:c>
      <x:c r="C4070" s="1" t="str">
        <x:v>Standard Class</x:v>
      </x:c>
      <x:c r="D4070" s="1" t="str">
        <x:v>Pacific Asia</x:v>
      </x:c>
      <x:c r="E4070" s="1" t="str">
        <x:v>COMPLETE</x:v>
      </x:c>
      <x:c r="F4070" s="1" t="str">
        <x:v>Late delivery</x:v>
      </x:c>
      <x:c r="G4070" s="6" t="n">
        <x:v>6</x:v>
      </x:c>
      <x:c r="H4070" s="6" t="n">
        <x:v>4</x:v>
      </x:c>
      <x:c r="I4070" s="6" t="n">
        <x:f>G4070-H4070</x:f>
        <x:v>2</x:v>
      </x:c>
      <x:c r="J4070" s="6" t="n">
        <x:f>IF(OR(E4070="CANCELED",E4070="SUSPECTED_FRAUD",F4070="Shipping canceled"),0,1)</x:f>
        <x:v>1</x:v>
      </x:c>
      <x:c r="K4070" s="6" t="n">
        <x:f>IF(G4070&gt;H4070,1,0)</x:f>
        <x:v>1</x:v>
      </x:c>
      <x:c r="L4070" s="6" t="n">
        <x:f>J4070*K4070</x:f>
        <x:v>1</x:v>
      </x:c>
    </x:row>
    <x:row r="4071">
      <x:c r="A4071" s="1" t="n">
        <x:v>30963</x:v>
      </x:c>
      <x:c r="B4071" s="5" t="d">
        <x:v>2016-03-27T00:00:00.000Z</x:v>
      </x:c>
      <x:c r="C4071" s="1" t="str">
        <x:v>Standard Class</x:v>
      </x:c>
      <x:c r="D4071" s="1" t="str">
        <x:v>Pacific Asia</x:v>
      </x:c>
      <x:c r="E4071" s="1" t="str">
        <x:v>PENDING</x:v>
      </x:c>
      <x:c r="F4071" s="1" t="str">
        <x:v>Shipping on time</x:v>
      </x:c>
      <x:c r="G4071" s="6" t="n">
        <x:v>4</x:v>
      </x:c>
      <x:c r="H4071" s="6" t="n">
        <x:v>4</x:v>
      </x:c>
      <x:c r="I4071" s="6" t="n">
        <x:f>G4071-H4071</x:f>
        <x:v>0</x:v>
      </x:c>
      <x:c r="J4071" s="6" t="n">
        <x:f>IF(OR(E4071="CANCELED",E4071="SUSPECTED_FRAUD",F4071="Shipping canceled"),0,1)</x:f>
        <x:v>1</x:v>
      </x:c>
      <x:c r="K4071" s="6" t="n">
        <x:f>IF(G4071&gt;H4071,1,0)</x:f>
        <x:v>0</x:v>
      </x:c>
      <x:c r="L4071" s="6" t="n">
        <x:f>J4071*K4071</x:f>
        <x:v>0</x:v>
      </x:c>
    </x:row>
    <x:row r="4072">
      <x:c r="A4072" s="1" t="n">
        <x:v>30965</x:v>
      </x:c>
      <x:c r="B4072" s="5" t="d">
        <x:v>2016-03-28T00:00:00.000Z</x:v>
      </x:c>
      <x:c r="C4072" s="1" t="str">
        <x:v>Standard Class</x:v>
      </x:c>
      <x:c r="D4072" s="1" t="str">
        <x:v>Pacific Asia</x:v>
      </x:c>
      <x:c r="E4072" s="1" t="str">
        <x:v>COMPLETE</x:v>
      </x:c>
      <x:c r="F4072" s="1" t="str">
        <x:v>Late delivery</x:v>
      </x:c>
      <x:c r="G4072" s="6" t="n">
        <x:v>6</x:v>
      </x:c>
      <x:c r="H4072" s="6" t="n">
        <x:v>4</x:v>
      </x:c>
      <x:c r="I4072" s="6" t="n">
        <x:f>G4072-H4072</x:f>
        <x:v>2</x:v>
      </x:c>
      <x:c r="J4072" s="6" t="n">
        <x:f>IF(OR(E4072="CANCELED",E4072="SUSPECTED_FRAUD",F4072="Shipping canceled"),0,1)</x:f>
        <x:v>1</x:v>
      </x:c>
      <x:c r="K4072" s="6" t="n">
        <x:f>IF(G4072&gt;H4072,1,0)</x:f>
        <x:v>1</x:v>
      </x:c>
      <x:c r="L4072" s="6" t="n">
        <x:f>J4072*K4072</x:f>
        <x:v>1</x:v>
      </x:c>
    </x:row>
    <x:row r="4073">
      <x:c r="A4073" s="1" t="n">
        <x:v>30966</x:v>
      </x:c>
      <x:c r="B4073" s="5" t="d">
        <x:v>2016-03-28T00:00:00.000Z</x:v>
      </x:c>
      <x:c r="C4073" s="1" t="str">
        <x:v>Standard Class</x:v>
      </x:c>
      <x:c r="D4073" s="1" t="str">
        <x:v>Pacific Asia</x:v>
      </x:c>
      <x:c r="E4073" s="1" t="str">
        <x:v>COMPLETE</x:v>
      </x:c>
      <x:c r="F4073" s="1" t="str">
        <x:v>Advance shipping</x:v>
      </x:c>
      <x:c r="G4073" s="6" t="n">
        <x:v>2</x:v>
      </x:c>
      <x:c r="H4073" s="6" t="n">
        <x:v>4</x:v>
      </x:c>
      <x:c r="I4073" s="6" t="n">
        <x:f>G4073-H4073</x:f>
        <x:v>-2</x:v>
      </x:c>
      <x:c r="J4073" s="6" t="n">
        <x:f>IF(OR(E4073="CANCELED",E4073="SUSPECTED_FRAUD",F4073="Shipping canceled"),0,1)</x:f>
        <x:v>1</x:v>
      </x:c>
      <x:c r="K4073" s="6" t="n">
        <x:f>IF(G4073&gt;H4073,1,0)</x:f>
        <x:v>0</x:v>
      </x:c>
      <x:c r="L4073" s="6" t="n">
        <x:f>J4073*K4073</x:f>
        <x:v>0</x:v>
      </x:c>
    </x:row>
    <x:row r="4074">
      <x:c r="A4074" s="1" t="n">
        <x:v>30985</x:v>
      </x:c>
      <x:c r="B4074" s="5" t="d">
        <x:v>2016-03-28T00:00:00.000Z</x:v>
      </x:c>
      <x:c r="C4074" s="1" t="str">
        <x:v>Second Class</x:v>
      </x:c>
      <x:c r="D4074" s="1" t="str">
        <x:v>Pacific Asia</x:v>
      </x:c>
      <x:c r="E4074" s="1" t="str">
        <x:v>PENDING</x:v>
      </x:c>
      <x:c r="F4074" s="1" t="str">
        <x:v>Late delivery</x:v>
      </x:c>
      <x:c r="G4074" s="6" t="n">
        <x:v>6</x:v>
      </x:c>
      <x:c r="H4074" s="6" t="n">
        <x:v>2</x:v>
      </x:c>
      <x:c r="I4074" s="6" t="n">
        <x:f>G4074-H4074</x:f>
        <x:v>4</x:v>
      </x:c>
      <x:c r="J4074" s="6" t="n">
        <x:f>IF(OR(E4074="CANCELED",E4074="SUSPECTED_FRAUD",F4074="Shipping canceled"),0,1)</x:f>
        <x:v>1</x:v>
      </x:c>
      <x:c r="K4074" s="6" t="n">
        <x:f>IF(G4074&gt;H4074,1,0)</x:f>
        <x:v>1</x:v>
      </x:c>
      <x:c r="L4074" s="6" t="n">
        <x:f>J4074*K4074</x:f>
        <x:v>1</x:v>
      </x:c>
    </x:row>
    <x:row r="4075">
      <x:c r="A4075" s="1" t="n">
        <x:v>30989</x:v>
      </x:c>
      <x:c r="B4075" s="5" t="d">
        <x:v>2016-03-28T00:00:00.000Z</x:v>
      </x:c>
      <x:c r="C4075" s="1" t="str">
        <x:v>Standard Class</x:v>
      </x:c>
      <x:c r="D4075" s="1" t="str">
        <x:v>Pacific Asia</x:v>
      </x:c>
      <x:c r="E4075" s="1" t="str">
        <x:v>COMPLETE</x:v>
      </x:c>
      <x:c r="F4075" s="1" t="str">
        <x:v>Late delivery</x:v>
      </x:c>
      <x:c r="G4075" s="6" t="n">
        <x:v>5</x:v>
      </x:c>
      <x:c r="H4075" s="6" t="n">
        <x:v>4</x:v>
      </x:c>
      <x:c r="I4075" s="6" t="n">
        <x:f>G4075-H4075</x:f>
        <x:v>1</x:v>
      </x:c>
      <x:c r="J4075" s="6" t="n">
        <x:f>IF(OR(E4075="CANCELED",E4075="SUSPECTED_FRAUD",F4075="Shipping canceled"),0,1)</x:f>
        <x:v>1</x:v>
      </x:c>
      <x:c r="K4075" s="6" t="n">
        <x:f>IF(G4075&gt;H4075,1,0)</x:f>
        <x:v>1</x:v>
      </x:c>
      <x:c r="L4075" s="6" t="n">
        <x:f>J4075*K4075</x:f>
        <x:v>1</x:v>
      </x:c>
    </x:row>
    <x:row r="4076">
      <x:c r="A4076" s="1" t="n">
        <x:v>30997</x:v>
      </x:c>
      <x:c r="B4076" s="5" t="d">
        <x:v>2016-03-28T00:00:00.000Z</x:v>
      </x:c>
      <x:c r="C4076" s="1" t="str">
        <x:v>Standard Class</x:v>
      </x:c>
      <x:c r="D4076" s="1" t="str">
        <x:v>Pacific Asia</x:v>
      </x:c>
      <x:c r="E4076" s="1" t="str">
        <x:v>COMPLETE</x:v>
      </x:c>
      <x:c r="F4076" s="1" t="str">
        <x:v>Advance shipping</x:v>
      </x:c>
      <x:c r="G4076" s="6" t="n">
        <x:v>3</x:v>
      </x:c>
      <x:c r="H4076" s="6" t="n">
        <x:v>4</x:v>
      </x:c>
      <x:c r="I4076" s="6" t="n">
        <x:f>G4076-H4076</x:f>
        <x:v>-1</x:v>
      </x:c>
      <x:c r="J4076" s="6" t="n">
        <x:f>IF(OR(E4076="CANCELED",E4076="SUSPECTED_FRAUD",F4076="Shipping canceled"),0,1)</x:f>
        <x:v>1</x:v>
      </x:c>
      <x:c r="K4076" s="6" t="n">
        <x:f>IF(G4076&gt;H4076,1,0)</x:f>
        <x:v>0</x:v>
      </x:c>
      <x:c r="L4076" s="6" t="n">
        <x:f>J4076*K4076</x:f>
        <x:v>0</x:v>
      </x:c>
    </x:row>
    <x:row r="4077">
      <x:c r="A4077" s="1" t="n">
        <x:v>31000</x:v>
      </x:c>
      <x:c r="B4077" s="5" t="d">
        <x:v>2016-03-28T00:00:00.000Z</x:v>
      </x:c>
      <x:c r="C4077" s="1" t="str">
        <x:v>Standard Class</x:v>
      </x:c>
      <x:c r="D4077" s="1" t="str">
        <x:v>Pacific Asia</x:v>
      </x:c>
      <x:c r="E4077" s="1" t="str">
        <x:v>PROCESSING</x:v>
      </x:c>
      <x:c r="F4077" s="1" t="str">
        <x:v>Late delivery</x:v>
      </x:c>
      <x:c r="G4077" s="6" t="n">
        <x:v>6</x:v>
      </x:c>
      <x:c r="H4077" s="6" t="n">
        <x:v>4</x:v>
      </x:c>
      <x:c r="I4077" s="6" t="n">
        <x:f>G4077-H4077</x:f>
        <x:v>2</x:v>
      </x:c>
      <x:c r="J4077" s="6" t="n">
        <x:f>IF(OR(E4077="CANCELED",E4077="SUSPECTED_FRAUD",F4077="Shipping canceled"),0,1)</x:f>
        <x:v>1</x:v>
      </x:c>
      <x:c r="K4077" s="6" t="n">
        <x:f>IF(G4077&gt;H4077,1,0)</x:f>
        <x:v>1</x:v>
      </x:c>
      <x:c r="L4077" s="6" t="n">
        <x:f>J4077*K4077</x:f>
        <x:v>1</x:v>
      </x:c>
    </x:row>
    <x:row r="4078">
      <x:c r="A4078" s="1" t="n">
        <x:v>31004</x:v>
      </x:c>
      <x:c r="B4078" s="5" t="d">
        <x:v>2016-03-28T00:00:00.000Z</x:v>
      </x:c>
      <x:c r="C4078" s="1" t="str">
        <x:v>Standard Class</x:v>
      </x:c>
      <x:c r="D4078" s="1" t="str">
        <x:v>Pacific Asia</x:v>
      </x:c>
      <x:c r="E4078" s="1" t="str">
        <x:v>ON_HOLD</x:v>
      </x:c>
      <x:c r="F4078" s="1" t="str">
        <x:v>Late delivery</x:v>
      </x:c>
      <x:c r="G4078" s="6" t="n">
        <x:v>5</x:v>
      </x:c>
      <x:c r="H4078" s="6" t="n">
        <x:v>4</x:v>
      </x:c>
      <x:c r="I4078" s="6" t="n">
        <x:f>G4078-H4078</x:f>
        <x:v>1</x:v>
      </x:c>
      <x:c r="J4078" s="6" t="n">
        <x:f>IF(OR(E4078="CANCELED",E4078="SUSPECTED_FRAUD",F4078="Shipping canceled"),0,1)</x:f>
        <x:v>1</x:v>
      </x:c>
      <x:c r="K4078" s="6" t="n">
        <x:f>IF(G4078&gt;H4078,1,0)</x:f>
        <x:v>1</x:v>
      </x:c>
      <x:c r="L4078" s="6" t="n">
        <x:f>J4078*K4078</x:f>
        <x:v>1</x:v>
      </x:c>
    </x:row>
    <x:row r="4079">
      <x:c r="A4079" s="1" t="n">
        <x:v>31018</x:v>
      </x:c>
      <x:c r="B4079" s="5" t="d">
        <x:v>2016-03-28T00:00:00.000Z</x:v>
      </x:c>
      <x:c r="C4079" s="1" t="str">
        <x:v>Standard Class</x:v>
      </x:c>
      <x:c r="D4079" s="1" t="str">
        <x:v>Pacific Asia</x:v>
      </x:c>
      <x:c r="E4079" s="1" t="str">
        <x:v>PROCESSING</x:v>
      </x:c>
      <x:c r="F4079" s="1" t="str">
        <x:v>Shipping on time</x:v>
      </x:c>
      <x:c r="G4079" s="6" t="n">
        <x:v>4</x:v>
      </x:c>
      <x:c r="H4079" s="6" t="n">
        <x:v>4</x:v>
      </x:c>
      <x:c r="I4079" s="6" t="n">
        <x:f>G4079-H4079</x:f>
        <x:v>0</x:v>
      </x:c>
      <x:c r="J4079" s="6" t="n">
        <x:f>IF(OR(E4079="CANCELED",E4079="SUSPECTED_FRAUD",F4079="Shipping canceled"),0,1)</x:f>
        <x:v>1</x:v>
      </x:c>
      <x:c r="K4079" s="6" t="n">
        <x:f>IF(G4079&gt;H4079,1,0)</x:f>
        <x:v>0</x:v>
      </x:c>
      <x:c r="L4079" s="6" t="n">
        <x:f>J4079*K4079</x:f>
        <x:v>0</x:v>
      </x:c>
    </x:row>
    <x:row r="4080">
      <x:c r="A4080" s="1" t="n">
        <x:v>31025</x:v>
      </x:c>
      <x:c r="B4080" s="5" t="d">
        <x:v>2016-03-28T00:00:00.000Z</x:v>
      </x:c>
      <x:c r="C4080" s="1" t="str">
        <x:v>Second Class</x:v>
      </x:c>
      <x:c r="D4080" s="1" t="str">
        <x:v>Pacific Asia</x:v>
      </x:c>
      <x:c r="E4080" s="1" t="str">
        <x:v>COMPLETE</x:v>
      </x:c>
      <x:c r="F4080" s="1" t="str">
        <x:v>Late delivery</x:v>
      </x:c>
      <x:c r="G4080" s="6" t="n">
        <x:v>6</x:v>
      </x:c>
      <x:c r="H4080" s="6" t="n">
        <x:v>2</x:v>
      </x:c>
      <x:c r="I4080" s="6" t="n">
        <x:f>G4080-H4080</x:f>
        <x:v>4</x:v>
      </x:c>
      <x:c r="J4080" s="6" t="n">
        <x:f>IF(OR(E4080="CANCELED",E4080="SUSPECTED_FRAUD",F4080="Shipping canceled"),0,1)</x:f>
        <x:v>1</x:v>
      </x:c>
      <x:c r="K4080" s="6" t="n">
        <x:f>IF(G4080&gt;H4080,1,0)</x:f>
        <x:v>1</x:v>
      </x:c>
      <x:c r="L4080" s="6" t="n">
        <x:f>J4080*K4080</x:f>
        <x:v>1</x:v>
      </x:c>
    </x:row>
    <x:row r="4081">
      <x:c r="A4081" s="1" t="n">
        <x:v>31049</x:v>
      </x:c>
      <x:c r="B4081" s="5" t="d">
        <x:v>2016-03-29T00:00:00.000Z</x:v>
      </x:c>
      <x:c r="C4081" s="1" t="str">
        <x:v>Standard Class</x:v>
      </x:c>
      <x:c r="D4081" s="1" t="str">
        <x:v>Pacific Asia</x:v>
      </x:c>
      <x:c r="E4081" s="1" t="str">
        <x:v>PENDING_PAYMENT</x:v>
      </x:c>
      <x:c r="F4081" s="1" t="str">
        <x:v>Late delivery</x:v>
      </x:c>
      <x:c r="G4081" s="6" t="n">
        <x:v>5</x:v>
      </x:c>
      <x:c r="H4081" s="6" t="n">
        <x:v>4</x:v>
      </x:c>
      <x:c r="I4081" s="6" t="n">
        <x:f>G4081-H4081</x:f>
        <x:v>1</x:v>
      </x:c>
      <x:c r="J4081" s="6" t="n">
        <x:f>IF(OR(E4081="CANCELED",E4081="SUSPECTED_FRAUD",F4081="Shipping canceled"),0,1)</x:f>
        <x:v>1</x:v>
      </x:c>
      <x:c r="K4081" s="6" t="n">
        <x:f>IF(G4081&gt;H4081,1,0)</x:f>
        <x:v>1</x:v>
      </x:c>
      <x:c r="L4081" s="6" t="n">
        <x:f>J4081*K4081</x:f>
        <x:v>1</x:v>
      </x:c>
    </x:row>
    <x:row r="4082">
      <x:c r="A4082" s="1" t="n">
        <x:v>31054</x:v>
      </x:c>
      <x:c r="B4082" s="5" t="d">
        <x:v>2016-03-29T00:00:00.000Z</x:v>
      </x:c>
      <x:c r="C4082" s="1" t="str">
        <x:v>First Class</x:v>
      </x:c>
      <x:c r="D4082" s="1" t="str">
        <x:v>Pacific Asia</x:v>
      </x:c>
      <x:c r="E4082" s="1" t="str">
        <x:v>CLOSED</x:v>
      </x:c>
      <x:c r="F4082" s="1" t="str">
        <x:v>Late delivery</x:v>
      </x:c>
      <x:c r="G4082" s="6" t="n">
        <x:v>2</x:v>
      </x:c>
      <x:c r="H4082" s="6" t="n">
        <x:v>1</x:v>
      </x:c>
      <x:c r="I4082" s="6" t="n">
        <x:f>G4082-H4082</x:f>
        <x:v>1</x:v>
      </x:c>
      <x:c r="J4082" s="6" t="n">
        <x:f>IF(OR(E4082="CANCELED",E4082="SUSPECTED_FRAUD",F4082="Shipping canceled"),0,1)</x:f>
        <x:v>1</x:v>
      </x:c>
      <x:c r="K4082" s="6" t="n">
        <x:f>IF(G4082&gt;H4082,1,0)</x:f>
        <x:v>1</x:v>
      </x:c>
      <x:c r="L4082" s="6" t="n">
        <x:f>J4082*K4082</x:f>
        <x:v>1</x:v>
      </x:c>
    </x:row>
    <x:row r="4083">
      <x:c r="A4083" s="1" t="n">
        <x:v>31068</x:v>
      </x:c>
      <x:c r="B4083" s="5" t="d">
        <x:v>2016-03-29T00:00:00.000Z</x:v>
      </x:c>
      <x:c r="C4083" s="1" t="str">
        <x:v>Standard Class</x:v>
      </x:c>
      <x:c r="D4083" s="1" t="str">
        <x:v>Pacific Asia</x:v>
      </x:c>
      <x:c r="E4083" s="1" t="str">
        <x:v>PENDING</x:v>
      </x:c>
      <x:c r="F4083" s="1" t="str">
        <x:v>Shipping on time</x:v>
      </x:c>
      <x:c r="G4083" s="6" t="n">
        <x:v>4</x:v>
      </x:c>
      <x:c r="H4083" s="6" t="n">
        <x:v>4</x:v>
      </x:c>
      <x:c r="I4083" s="6" t="n">
        <x:f>G4083-H4083</x:f>
        <x:v>0</x:v>
      </x:c>
      <x:c r="J4083" s="6" t="n">
        <x:f>IF(OR(E4083="CANCELED",E4083="SUSPECTED_FRAUD",F4083="Shipping canceled"),0,1)</x:f>
        <x:v>1</x:v>
      </x:c>
      <x:c r="K4083" s="6" t="n">
        <x:f>IF(G4083&gt;H4083,1,0)</x:f>
        <x:v>0</x:v>
      </x:c>
      <x:c r="L4083" s="6" t="n">
        <x:f>J4083*K4083</x:f>
        <x:v>0</x:v>
      </x:c>
    </x:row>
    <x:row r="4084">
      <x:c r="A4084" s="1" t="n">
        <x:v>31076</x:v>
      </x:c>
      <x:c r="B4084" s="5" t="d">
        <x:v>2016-03-29T00:00:00.000Z</x:v>
      </x:c>
      <x:c r="C4084" s="1" t="str">
        <x:v>Standard Class</x:v>
      </x:c>
      <x:c r="D4084" s="1" t="str">
        <x:v>Pacific Asia</x:v>
      </x:c>
      <x:c r="E4084" s="1" t="str">
        <x:v>ON_HOLD</x:v>
      </x:c>
      <x:c r="F4084" s="1" t="str">
        <x:v>Advance shipping</x:v>
      </x:c>
      <x:c r="G4084" s="6" t="n">
        <x:v>2</x:v>
      </x:c>
      <x:c r="H4084" s="6" t="n">
        <x:v>4</x:v>
      </x:c>
      <x:c r="I4084" s="6" t="n">
        <x:f>G4084-H4084</x:f>
        <x:v>-2</x:v>
      </x:c>
      <x:c r="J4084" s="6" t="n">
        <x:f>IF(OR(E4084="CANCELED",E4084="SUSPECTED_FRAUD",F4084="Shipping canceled"),0,1)</x:f>
        <x:v>1</x:v>
      </x:c>
      <x:c r="K4084" s="6" t="n">
        <x:f>IF(G4084&gt;H4084,1,0)</x:f>
        <x:v>0</x:v>
      </x:c>
      <x:c r="L4084" s="6" t="n">
        <x:f>J4084*K4084</x:f>
        <x:v>0</x:v>
      </x:c>
    </x:row>
    <x:row r="4085">
      <x:c r="A4085" s="1" t="n">
        <x:v>31080</x:v>
      </x:c>
      <x:c r="B4085" s="5" t="d">
        <x:v>2016-03-29T00:00:00.000Z</x:v>
      </x:c>
      <x:c r="C4085" s="1" t="str">
        <x:v>Standard Class</x:v>
      </x:c>
      <x:c r="D4085" s="1" t="str">
        <x:v>Pacific Asia</x:v>
      </x:c>
      <x:c r="E4085" s="1" t="str">
        <x:v>PENDING</x:v>
      </x:c>
      <x:c r="F4085" s="1" t="str">
        <x:v>Late delivery</x:v>
      </x:c>
      <x:c r="G4085" s="6" t="n">
        <x:v>6</x:v>
      </x:c>
      <x:c r="H4085" s="6" t="n">
        <x:v>4</x:v>
      </x:c>
      <x:c r="I4085" s="6" t="n">
        <x:f>G4085-H4085</x:f>
        <x:v>2</x:v>
      </x:c>
      <x:c r="J4085" s="6" t="n">
        <x:f>IF(OR(E4085="CANCELED",E4085="SUSPECTED_FRAUD",F4085="Shipping canceled"),0,1)</x:f>
        <x:v>1</x:v>
      </x:c>
      <x:c r="K4085" s="6" t="n">
        <x:f>IF(G4085&gt;H4085,1,0)</x:f>
        <x:v>1</x:v>
      </x:c>
      <x:c r="L4085" s="6" t="n">
        <x:f>J4085*K4085</x:f>
        <x:v>1</x:v>
      </x:c>
    </x:row>
    <x:row r="4086">
      <x:c r="A4086" s="1" t="n">
        <x:v>31100</x:v>
      </x:c>
      <x:c r="B4086" s="5" t="d">
        <x:v>2016-03-29T00:00:00.000Z</x:v>
      </x:c>
      <x:c r="C4086" s="1" t="str">
        <x:v>Second Class</x:v>
      </x:c>
      <x:c r="D4086" s="1" t="str">
        <x:v>Pacific Asia</x:v>
      </x:c>
      <x:c r="E4086" s="1" t="str">
        <x:v>COMPLETE</x:v>
      </x:c>
      <x:c r="F4086" s="1" t="str">
        <x:v>Late delivery</x:v>
      </x:c>
      <x:c r="G4086" s="6" t="n">
        <x:v>6</x:v>
      </x:c>
      <x:c r="H4086" s="6" t="n">
        <x:v>2</x:v>
      </x:c>
      <x:c r="I4086" s="6" t="n">
        <x:f>G4086-H4086</x:f>
        <x:v>4</x:v>
      </x:c>
      <x:c r="J4086" s="6" t="n">
        <x:f>IF(OR(E4086="CANCELED",E4086="SUSPECTED_FRAUD",F4086="Shipping canceled"),0,1)</x:f>
        <x:v>1</x:v>
      </x:c>
      <x:c r="K4086" s="6" t="n">
        <x:f>IF(G4086&gt;H4086,1,0)</x:f>
        <x:v>1</x:v>
      </x:c>
      <x:c r="L4086" s="6" t="n">
        <x:f>J4086*K4086</x:f>
        <x:v>1</x:v>
      </x:c>
    </x:row>
    <x:row r="4087">
      <x:c r="A4087" s="1" t="n">
        <x:v>31101</x:v>
      </x:c>
      <x:c r="B4087" s="5" t="d">
        <x:v>2016-03-29T00:00:00.000Z</x:v>
      </x:c>
      <x:c r="C4087" s="1" t="str">
        <x:v>Second Class</x:v>
      </x:c>
      <x:c r="D4087" s="1" t="str">
        <x:v>Pacific Asia</x:v>
      </x:c>
      <x:c r="E4087" s="1" t="str">
        <x:v>COMPLETE</x:v>
      </x:c>
      <x:c r="F4087" s="1" t="str">
        <x:v>Shipping on time</x:v>
      </x:c>
      <x:c r="G4087" s="6" t="n">
        <x:v>2</x:v>
      </x:c>
      <x:c r="H4087" s="6" t="n">
        <x:v>2</x:v>
      </x:c>
      <x:c r="I4087" s="6" t="n">
        <x:f>G4087-H4087</x:f>
        <x:v>0</x:v>
      </x:c>
      <x:c r="J4087" s="6" t="n">
        <x:f>IF(OR(E4087="CANCELED",E4087="SUSPECTED_FRAUD",F4087="Shipping canceled"),0,1)</x:f>
        <x:v>1</x:v>
      </x:c>
      <x:c r="K4087" s="6" t="n">
        <x:f>IF(G4087&gt;H4087,1,0)</x:f>
        <x:v>0</x:v>
      </x:c>
      <x:c r="L4087" s="6" t="n">
        <x:f>J4087*K4087</x:f>
        <x:v>0</x:v>
      </x:c>
    </x:row>
    <x:row r="4088">
      <x:c r="A4088" s="1" t="n">
        <x:v>31105</x:v>
      </x:c>
      <x:c r="B4088" s="5" t="d">
        <x:v>2016-03-30T00:00:00.000Z</x:v>
      </x:c>
      <x:c r="C4088" s="1" t="str">
        <x:v>Standard Class</x:v>
      </x:c>
      <x:c r="D4088" s="1" t="str">
        <x:v>Pacific Asia</x:v>
      </x:c>
      <x:c r="E4088" s="1" t="str">
        <x:v>COMPLETE</x:v>
      </x:c>
      <x:c r="F4088" s="1" t="str">
        <x:v>Late delivery</x:v>
      </x:c>
      <x:c r="G4088" s="6" t="n">
        <x:v>6</x:v>
      </x:c>
      <x:c r="H4088" s="6" t="n">
        <x:v>4</x:v>
      </x:c>
      <x:c r="I4088" s="6" t="n">
        <x:f>G4088-H4088</x:f>
        <x:v>2</x:v>
      </x:c>
      <x:c r="J4088" s="6" t="n">
        <x:f>IF(OR(E4088="CANCELED",E4088="SUSPECTED_FRAUD",F4088="Shipping canceled"),0,1)</x:f>
        <x:v>1</x:v>
      </x:c>
      <x:c r="K4088" s="6" t="n">
        <x:f>IF(G4088&gt;H4088,1,0)</x:f>
        <x:v>1</x:v>
      </x:c>
      <x:c r="L4088" s="6" t="n">
        <x:f>J4088*K4088</x:f>
        <x:v>1</x:v>
      </x:c>
    </x:row>
    <x:row r="4089">
      <x:c r="A4089" s="1" t="n">
        <x:v>31106</x:v>
      </x:c>
      <x:c r="B4089" s="5" t="d">
        <x:v>2016-03-30T00:00:00.000Z</x:v>
      </x:c>
      <x:c r="C4089" s="1" t="str">
        <x:v>Standard Class</x:v>
      </x:c>
      <x:c r="D4089" s="1" t="str">
        <x:v>Pacific Asia</x:v>
      </x:c>
      <x:c r="E4089" s="1" t="str">
        <x:v>CLOSED</x:v>
      </x:c>
      <x:c r="F4089" s="1" t="str">
        <x:v>Advance shipping</x:v>
      </x:c>
      <x:c r="G4089" s="6" t="n">
        <x:v>2</x:v>
      </x:c>
      <x:c r="H4089" s="6" t="n">
        <x:v>4</x:v>
      </x:c>
      <x:c r="I4089" s="6" t="n">
        <x:f>G4089-H4089</x:f>
        <x:v>-2</x:v>
      </x:c>
      <x:c r="J4089" s="6" t="n">
        <x:f>IF(OR(E4089="CANCELED",E4089="SUSPECTED_FRAUD",F4089="Shipping canceled"),0,1)</x:f>
        <x:v>1</x:v>
      </x:c>
      <x:c r="K4089" s="6" t="n">
        <x:f>IF(G4089&gt;H4089,1,0)</x:f>
        <x:v>0</x:v>
      </x:c>
      <x:c r="L4089" s="6" t="n">
        <x:f>J4089*K4089</x:f>
        <x:v>0</x:v>
      </x:c>
    </x:row>
    <x:row r="4090">
      <x:c r="A4090" s="1" t="n">
        <x:v>31114</x:v>
      </x:c>
      <x:c r="B4090" s="5" t="d">
        <x:v>2016-03-30T00:00:00.000Z</x:v>
      </x:c>
      <x:c r="C4090" s="1" t="str">
        <x:v>Second Class</x:v>
      </x:c>
      <x:c r="D4090" s="1" t="str">
        <x:v>Pacific Asia</x:v>
      </x:c>
      <x:c r="E4090" s="1" t="str">
        <x:v>PROCESSING</x:v>
      </x:c>
      <x:c r="F4090" s="1" t="str">
        <x:v>Late delivery</x:v>
      </x:c>
      <x:c r="G4090" s="6" t="n">
        <x:v>5</x:v>
      </x:c>
      <x:c r="H4090" s="6" t="n">
        <x:v>2</x:v>
      </x:c>
      <x:c r="I4090" s="6" t="n">
        <x:f>G4090-H4090</x:f>
        <x:v>3</x:v>
      </x:c>
      <x:c r="J4090" s="6" t="n">
        <x:f>IF(OR(E4090="CANCELED",E4090="SUSPECTED_FRAUD",F4090="Shipping canceled"),0,1)</x:f>
        <x:v>1</x:v>
      </x:c>
      <x:c r="K4090" s="6" t="n">
        <x:f>IF(G4090&gt;H4090,1,0)</x:f>
        <x:v>1</x:v>
      </x:c>
      <x:c r="L4090" s="6" t="n">
        <x:f>J4090*K4090</x:f>
        <x:v>1</x:v>
      </x:c>
    </x:row>
    <x:row r="4091">
      <x:c r="A4091" s="1" t="n">
        <x:v>31115</x:v>
      </x:c>
      <x:c r="B4091" s="5" t="d">
        <x:v>2016-03-30T00:00:00.000Z</x:v>
      </x:c>
      <x:c r="C4091" s="1" t="str">
        <x:v>Second Class</x:v>
      </x:c>
      <x:c r="D4091" s="1" t="str">
        <x:v>Pacific Asia</x:v>
      </x:c>
      <x:c r="E4091" s="1" t="str">
        <x:v>PENDING_PAYMENT</x:v>
      </x:c>
      <x:c r="F4091" s="1" t="str">
        <x:v>Late delivery</x:v>
      </x:c>
      <x:c r="G4091" s="6" t="n">
        <x:v>6</x:v>
      </x:c>
      <x:c r="H4091" s="6" t="n">
        <x:v>2</x:v>
      </x:c>
      <x:c r="I4091" s="6" t="n">
        <x:f>G4091-H4091</x:f>
        <x:v>4</x:v>
      </x:c>
      <x:c r="J4091" s="6" t="n">
        <x:f>IF(OR(E4091="CANCELED",E4091="SUSPECTED_FRAUD",F4091="Shipping canceled"),0,1)</x:f>
        <x:v>1</x:v>
      </x:c>
      <x:c r="K4091" s="6" t="n">
        <x:f>IF(G4091&gt;H4091,1,0)</x:f>
        <x:v>1</x:v>
      </x:c>
      <x:c r="L4091" s="6" t="n">
        <x:f>J4091*K4091</x:f>
        <x:v>1</x:v>
      </x:c>
    </x:row>
    <x:row r="4092">
      <x:c r="A4092" s="1" t="n">
        <x:v>31119</x:v>
      </x:c>
      <x:c r="B4092" s="5" t="d">
        <x:v>2016-03-30T00:00:00.000Z</x:v>
      </x:c>
      <x:c r="C4092" s="1" t="str">
        <x:v>Standard Class</x:v>
      </x:c>
      <x:c r="D4092" s="1" t="str">
        <x:v>Pacific Asia</x:v>
      </x:c>
      <x:c r="E4092" s="1" t="str">
        <x:v>COMPLETE</x:v>
      </x:c>
      <x:c r="F4092" s="1" t="str">
        <x:v>Late delivery</x:v>
      </x:c>
      <x:c r="G4092" s="6" t="n">
        <x:v>5</x:v>
      </x:c>
      <x:c r="H4092" s="6" t="n">
        <x:v>4</x:v>
      </x:c>
      <x:c r="I4092" s="6" t="n">
        <x:f>G4092-H4092</x:f>
        <x:v>1</x:v>
      </x:c>
      <x:c r="J4092" s="6" t="n">
        <x:f>IF(OR(E4092="CANCELED",E4092="SUSPECTED_FRAUD",F4092="Shipping canceled"),0,1)</x:f>
        <x:v>1</x:v>
      </x:c>
      <x:c r="K4092" s="6" t="n">
        <x:f>IF(G4092&gt;H4092,1,0)</x:f>
        <x:v>1</x:v>
      </x:c>
      <x:c r="L4092" s="6" t="n">
        <x:f>J4092*K4092</x:f>
        <x:v>1</x:v>
      </x:c>
    </x:row>
    <x:row r="4093">
      <x:c r="A4093" s="1" t="n">
        <x:v>31133</x:v>
      </x:c>
      <x:c r="B4093" s="5" t="d">
        <x:v>2016-03-30T00:00:00.000Z</x:v>
      </x:c>
      <x:c r="C4093" s="1" t="str">
        <x:v>Standard Class</x:v>
      </x:c>
      <x:c r="D4093" s="1" t="str">
        <x:v>Pacific Asia</x:v>
      </x:c>
      <x:c r="E4093" s="1" t="str">
        <x:v>COMPLETE</x:v>
      </x:c>
      <x:c r="F4093" s="1" t="str">
        <x:v>Shipping on time</x:v>
      </x:c>
      <x:c r="G4093" s="6" t="n">
        <x:v>4</x:v>
      </x:c>
      <x:c r="H4093" s="6" t="n">
        <x:v>4</x:v>
      </x:c>
      <x:c r="I4093" s="6" t="n">
        <x:f>G4093-H4093</x:f>
        <x:v>0</x:v>
      </x:c>
      <x:c r="J4093" s="6" t="n">
        <x:f>IF(OR(E4093="CANCELED",E4093="SUSPECTED_FRAUD",F4093="Shipping canceled"),0,1)</x:f>
        <x:v>1</x:v>
      </x:c>
      <x:c r="K4093" s="6" t="n">
        <x:f>IF(G4093&gt;H4093,1,0)</x:f>
        <x:v>0</x:v>
      </x:c>
      <x:c r="L4093" s="6" t="n">
        <x:f>J4093*K4093</x:f>
        <x:v>0</x:v>
      </x:c>
    </x:row>
    <x:row r="4094">
      <x:c r="A4094" s="1" t="n">
        <x:v>31145</x:v>
      </x:c>
      <x:c r="B4094" s="5" t="d">
        <x:v>2016-03-30T00:00:00.000Z</x:v>
      </x:c>
      <x:c r="C4094" s="1" t="str">
        <x:v>Standard Class</x:v>
      </x:c>
      <x:c r="D4094" s="1" t="str">
        <x:v>Pacific Asia</x:v>
      </x:c>
      <x:c r="E4094" s="1" t="str">
        <x:v>CANCELED</x:v>
      </x:c>
      <x:c r="F4094" s="1" t="str">
        <x:v>Shipping canceled</x:v>
      </x:c>
      <x:c r="G4094" s="6" t="n">
        <x:v>6</x:v>
      </x:c>
      <x:c r="H4094" s="6" t="n">
        <x:v>4</x:v>
      </x:c>
      <x:c r="I4094" s="6" t="n">
        <x:f>G4094-H4094</x:f>
        <x:v>2</x:v>
      </x:c>
      <x:c r="J4094" s="6" t="n">
        <x:f>IF(OR(E4094="CANCELED",E4094="SUSPECTED_FRAUD",F4094="Shipping canceled"),0,1)</x:f>
        <x:v>0</x:v>
      </x:c>
      <x:c r="K4094" s="6" t="n">
        <x:f>IF(G4094&gt;H4094,1,0)</x:f>
        <x:v>1</x:v>
      </x:c>
      <x:c r="L4094" s="6" t="n">
        <x:f>J4094*K4094</x:f>
        <x:v>0</x:v>
      </x:c>
    </x:row>
    <x:row r="4095">
      <x:c r="A4095" s="1" t="n">
        <x:v>31154</x:v>
      </x:c>
      <x:c r="B4095" s="5" t="d">
        <x:v>2016-03-30T00:00:00.000Z</x:v>
      </x:c>
      <x:c r="C4095" s="1" t="str">
        <x:v>First Class</x:v>
      </x:c>
      <x:c r="D4095" s="1" t="str">
        <x:v>Pacific Asia</x:v>
      </x:c>
      <x:c r="E4095" s="1" t="str">
        <x:v>PENDING_PAYMENT</x:v>
      </x:c>
      <x:c r="F4095" s="1" t="str">
        <x:v>Late delivery</x:v>
      </x:c>
      <x:c r="G4095" s="6" t="n">
        <x:v>2</x:v>
      </x:c>
      <x:c r="H4095" s="6" t="n">
        <x:v>1</x:v>
      </x:c>
      <x:c r="I4095" s="6" t="n">
        <x:f>G4095-H4095</x:f>
        <x:v>1</x:v>
      </x:c>
      <x:c r="J4095" s="6" t="n">
        <x:f>IF(OR(E4095="CANCELED",E4095="SUSPECTED_FRAUD",F4095="Shipping canceled"),0,1)</x:f>
        <x:v>1</x:v>
      </x:c>
      <x:c r="K4095" s="6" t="n">
        <x:f>IF(G4095&gt;H4095,1,0)</x:f>
        <x:v>1</x:v>
      </x:c>
      <x:c r="L4095" s="6" t="n">
        <x:f>J4095*K4095</x:f>
        <x:v>1</x:v>
      </x:c>
    </x:row>
    <x:row r="4096">
      <x:c r="A4096" s="1" t="n">
        <x:v>31167</x:v>
      </x:c>
      <x:c r="B4096" s="5" t="d">
        <x:v>2016-03-30T00:00:00.000Z</x:v>
      </x:c>
      <x:c r="C4096" s="1" t="str">
        <x:v>Standard Class</x:v>
      </x:c>
      <x:c r="D4096" s="1" t="str">
        <x:v>Pacific Asia</x:v>
      </x:c>
      <x:c r="E4096" s="1" t="str">
        <x:v>COMPLETE</x:v>
      </x:c>
      <x:c r="F4096" s="1" t="str">
        <x:v>Advance shipping</x:v>
      </x:c>
      <x:c r="G4096" s="6" t="n">
        <x:v>3</x:v>
      </x:c>
      <x:c r="H4096" s="6" t="n">
        <x:v>4</x:v>
      </x:c>
      <x:c r="I4096" s="6" t="n">
        <x:f>G4096-H4096</x:f>
        <x:v>-1</x:v>
      </x:c>
      <x:c r="J4096" s="6" t="n">
        <x:f>IF(OR(E4096="CANCELED",E4096="SUSPECTED_FRAUD",F4096="Shipping canceled"),0,1)</x:f>
        <x:v>1</x:v>
      </x:c>
      <x:c r="K4096" s="6" t="n">
        <x:f>IF(G4096&gt;H4096,1,0)</x:f>
        <x:v>0</x:v>
      </x:c>
      <x:c r="L4096" s="6" t="n">
        <x:f>J4096*K4096</x:f>
        <x:v>0</x:v>
      </x:c>
    </x:row>
    <x:row r="4097">
      <x:c r="A4097" s="1" t="n">
        <x:v>31169</x:v>
      </x:c>
      <x:c r="B4097" s="5" t="d">
        <x:v>2016-03-30T00:00:00.000Z</x:v>
      </x:c>
      <x:c r="C4097" s="1" t="str">
        <x:v>Standard Class</x:v>
      </x:c>
      <x:c r="D4097" s="1" t="str">
        <x:v>Pacific Asia</x:v>
      </x:c>
      <x:c r="E4097" s="1" t="str">
        <x:v>COMPLETE</x:v>
      </x:c>
      <x:c r="F4097" s="1" t="str">
        <x:v>Late delivery</x:v>
      </x:c>
      <x:c r="G4097" s="6" t="n">
        <x:v>5</x:v>
      </x:c>
      <x:c r="H4097" s="6" t="n">
        <x:v>4</x:v>
      </x:c>
      <x:c r="I4097" s="6" t="n">
        <x:f>G4097-H4097</x:f>
        <x:v>1</x:v>
      </x:c>
      <x:c r="J4097" s="6" t="n">
        <x:f>IF(OR(E4097="CANCELED",E4097="SUSPECTED_FRAUD",F4097="Shipping canceled"),0,1)</x:f>
        <x:v>1</x:v>
      </x:c>
      <x:c r="K4097" s="6" t="n">
        <x:f>IF(G4097&gt;H4097,1,0)</x:f>
        <x:v>1</x:v>
      </x:c>
      <x:c r="L4097" s="6" t="n">
        <x:f>J4097*K4097</x:f>
        <x:v>1</x:v>
      </x:c>
    </x:row>
    <x:row r="4098">
      <x:c r="A4098" s="1" t="n">
        <x:v>31174</x:v>
      </x:c>
      <x:c r="B4098" s="5" t="d">
        <x:v>2016-03-31T00:00:00.000Z</x:v>
      </x:c>
      <x:c r="C4098" s="1" t="str">
        <x:v>Standard Class</x:v>
      </x:c>
      <x:c r="D4098" s="1" t="str">
        <x:v>Pacific Asia</x:v>
      </x:c>
      <x:c r="E4098" s="1" t="str">
        <x:v>PENDING</x:v>
      </x:c>
      <x:c r="F4098" s="1" t="str">
        <x:v>Late delivery</x:v>
      </x:c>
      <x:c r="G4098" s="6" t="n">
        <x:v>5</x:v>
      </x:c>
      <x:c r="H4098" s="6" t="n">
        <x:v>4</x:v>
      </x:c>
      <x:c r="I4098" s="6" t="n">
        <x:f>G4098-H4098</x:f>
        <x:v>1</x:v>
      </x:c>
      <x:c r="J4098" s="6" t="n">
        <x:f>IF(OR(E4098="CANCELED",E4098="SUSPECTED_FRAUD",F4098="Shipping canceled"),0,1)</x:f>
        <x:v>1</x:v>
      </x:c>
      <x:c r="K4098" s="6" t="n">
        <x:f>IF(G4098&gt;H4098,1,0)</x:f>
        <x:v>1</x:v>
      </x:c>
      <x:c r="L4098" s="6" t="n">
        <x:f>J4098*K4098</x:f>
        <x:v>1</x:v>
      </x:c>
    </x:row>
    <x:row r="4099">
      <x:c r="A4099" s="1" t="n">
        <x:v>31202</x:v>
      </x:c>
      <x:c r="B4099" s="5" t="d">
        <x:v>2016-03-31T00:00:00.000Z</x:v>
      </x:c>
      <x:c r="C4099" s="1" t="str">
        <x:v>Second Class</x:v>
      </x:c>
      <x:c r="D4099" s="1" t="str">
        <x:v>Pacific Asia</x:v>
      </x:c>
      <x:c r="E4099" s="1" t="str">
        <x:v>PENDING</x:v>
      </x:c>
      <x:c r="F4099" s="1" t="str">
        <x:v>Late delivery</x:v>
      </x:c>
      <x:c r="G4099" s="6" t="n">
        <x:v>3</x:v>
      </x:c>
      <x:c r="H4099" s="6" t="n">
        <x:v>2</x:v>
      </x:c>
      <x:c r="I4099" s="6" t="n">
        <x:f>G4099-H4099</x:f>
        <x:v>1</x:v>
      </x:c>
      <x:c r="J4099" s="6" t="n">
        <x:f>IF(OR(E4099="CANCELED",E4099="SUSPECTED_FRAUD",F4099="Shipping canceled"),0,1)</x:f>
        <x:v>1</x:v>
      </x:c>
      <x:c r="K4099" s="6" t="n">
        <x:f>IF(G4099&gt;H4099,1,0)</x:f>
        <x:v>1</x:v>
      </x:c>
      <x:c r="L4099" s="6" t="n">
        <x:f>J4099*K4099</x:f>
        <x:v>1</x:v>
      </x:c>
    </x:row>
    <x:row r="4100">
      <x:c r="A4100" s="1" t="n">
        <x:v>31208</x:v>
      </x:c>
      <x:c r="B4100" s="5" t="d">
        <x:v>2016-03-31T00:00:00.000Z</x:v>
      </x:c>
      <x:c r="C4100" s="1" t="str">
        <x:v>Standard Class</x:v>
      </x:c>
      <x:c r="D4100" s="1" t="str">
        <x:v>Pacific Asia</x:v>
      </x:c>
      <x:c r="E4100" s="1" t="str">
        <x:v>PROCESSING</x:v>
      </x:c>
      <x:c r="F4100" s="1" t="str">
        <x:v>Shipping on time</x:v>
      </x:c>
      <x:c r="G4100" s="6" t="n">
        <x:v>4</x:v>
      </x:c>
      <x:c r="H4100" s="6" t="n">
        <x:v>4</x:v>
      </x:c>
      <x:c r="I4100" s="6" t="n">
        <x:f>G4100-H4100</x:f>
        <x:v>0</x:v>
      </x:c>
      <x:c r="J4100" s="6" t="n">
        <x:f>IF(OR(E4100="CANCELED",E4100="SUSPECTED_FRAUD",F4100="Shipping canceled"),0,1)</x:f>
        <x:v>1</x:v>
      </x:c>
      <x:c r="K4100" s="6" t="n">
        <x:f>IF(G4100&gt;H4100,1,0)</x:f>
        <x:v>0</x:v>
      </x:c>
      <x:c r="L4100" s="6" t="n">
        <x:f>J4100*K4100</x:f>
        <x:v>0</x:v>
      </x:c>
    </x:row>
    <x:row r="4101">
      <x:c r="A4101" s="1" t="n">
        <x:v>31209</x:v>
      </x:c>
      <x:c r="B4101" s="5" t="d">
        <x:v>2016-03-31T00:00:00.000Z</x:v>
      </x:c>
      <x:c r="C4101" s="1" t="str">
        <x:v>Standard Class</x:v>
      </x:c>
      <x:c r="D4101" s="1" t="str">
        <x:v>Pacific Asia</x:v>
      </x:c>
      <x:c r="E4101" s="1" t="str">
        <x:v>COMPLETE</x:v>
      </x:c>
      <x:c r="F4101" s="1" t="str">
        <x:v>Late delivery</x:v>
      </x:c>
      <x:c r="G4101" s="6" t="n">
        <x:v>5</x:v>
      </x:c>
      <x:c r="H4101" s="6" t="n">
        <x:v>4</x:v>
      </x:c>
      <x:c r="I4101" s="6" t="n">
        <x:f>G4101-H4101</x:f>
        <x:v>1</x:v>
      </x:c>
      <x:c r="J4101" s="6" t="n">
        <x:f>IF(OR(E4101="CANCELED",E4101="SUSPECTED_FRAUD",F4101="Shipping canceled"),0,1)</x:f>
        <x:v>1</x:v>
      </x:c>
      <x:c r="K4101" s="6" t="n">
        <x:f>IF(G4101&gt;H4101,1,0)</x:f>
        <x:v>1</x:v>
      </x:c>
      <x:c r="L4101" s="6" t="n">
        <x:f>J4101*K4101</x:f>
        <x:v>1</x:v>
      </x:c>
    </x:row>
    <x:row r="4102">
      <x:c r="A4102" s="1" t="n">
        <x:v>31211</x:v>
      </x:c>
      <x:c r="B4102" s="5" t="d">
        <x:v>2016-03-31T00:00:00.000Z</x:v>
      </x:c>
      <x:c r="C4102" s="1" t="str">
        <x:v>Standard Class</x:v>
      </x:c>
      <x:c r="D4102" s="1" t="str">
        <x:v>Pacific Asia</x:v>
      </x:c>
      <x:c r="E4102" s="1" t="str">
        <x:v>PENDING</x:v>
      </x:c>
      <x:c r="F4102" s="1" t="str">
        <x:v>Advance shipping</x:v>
      </x:c>
      <x:c r="G4102" s="6" t="n">
        <x:v>2</x:v>
      </x:c>
      <x:c r="H4102" s="6" t="n">
        <x:v>4</x:v>
      </x:c>
      <x:c r="I4102" s="6" t="n">
        <x:f>G4102-H4102</x:f>
        <x:v>-2</x:v>
      </x:c>
      <x:c r="J4102" s="6" t="n">
        <x:f>IF(OR(E4102="CANCELED",E4102="SUSPECTED_FRAUD",F4102="Shipping canceled"),0,1)</x:f>
        <x:v>1</x:v>
      </x:c>
      <x:c r="K4102" s="6" t="n">
        <x:f>IF(G4102&gt;H4102,1,0)</x:f>
        <x:v>0</x:v>
      </x:c>
      <x:c r="L4102" s="6" t="n">
        <x:f>J4102*K4102</x:f>
        <x:v>0</x:v>
      </x:c>
    </x:row>
    <x:row r="4103">
      <x:c r="A4103" s="1" t="n">
        <x:v>31218</x:v>
      </x:c>
      <x:c r="B4103" s="5" t="d">
        <x:v>2016-03-31T00:00:00.000Z</x:v>
      </x:c>
      <x:c r="C4103" s="1" t="str">
        <x:v>Standard Class</x:v>
      </x:c>
      <x:c r="D4103" s="1" t="str">
        <x:v>Pacific Asia</x:v>
      </x:c>
      <x:c r="E4103" s="1" t="str">
        <x:v>COMPLETE</x:v>
      </x:c>
      <x:c r="F4103" s="1" t="str">
        <x:v>Shipping on time</x:v>
      </x:c>
      <x:c r="G4103" s="6" t="n">
        <x:v>4</x:v>
      </x:c>
      <x:c r="H4103" s="6" t="n">
        <x:v>4</x:v>
      </x:c>
      <x:c r="I4103" s="6" t="n">
        <x:f>G4103-H4103</x:f>
        <x:v>0</x:v>
      </x:c>
      <x:c r="J4103" s="6" t="n">
        <x:f>IF(OR(E4103="CANCELED",E4103="SUSPECTED_FRAUD",F4103="Shipping canceled"),0,1)</x:f>
        <x:v>1</x:v>
      </x:c>
      <x:c r="K4103" s="6" t="n">
        <x:f>IF(G4103&gt;H4103,1,0)</x:f>
        <x:v>0</x:v>
      </x:c>
      <x:c r="L4103" s="6" t="n">
        <x:f>J4103*K4103</x:f>
        <x:v>0</x:v>
      </x:c>
    </x:row>
    <x:row r="4104">
      <x:c r="A4104" s="1" t="n">
        <x:v>31238</x:v>
      </x:c>
      <x:c r="B4104" s="5" t="d">
        <x:v>2016-03-31T00:00:00.000Z</x:v>
      </x:c>
      <x:c r="C4104" s="1" t="str">
        <x:v>Second Class</x:v>
      </x:c>
      <x:c r="D4104" s="1" t="str">
        <x:v>Pacific Asia</x:v>
      </x:c>
      <x:c r="E4104" s="1" t="str">
        <x:v>COMPLETE</x:v>
      </x:c>
      <x:c r="F4104" s="1" t="str">
        <x:v>Late delivery</x:v>
      </x:c>
      <x:c r="G4104" s="6" t="n">
        <x:v>4</x:v>
      </x:c>
      <x:c r="H4104" s="6" t="n">
        <x:v>2</x:v>
      </x:c>
      <x:c r="I4104" s="6" t="n">
        <x:f>G4104-H4104</x:f>
        <x:v>2</x:v>
      </x:c>
      <x:c r="J4104" s="6" t="n">
        <x:f>IF(OR(E4104="CANCELED",E4104="SUSPECTED_FRAUD",F4104="Shipping canceled"),0,1)</x:f>
        <x:v>1</x:v>
      </x:c>
      <x:c r="K4104" s="6" t="n">
        <x:f>IF(G4104&gt;H4104,1,0)</x:f>
        <x:v>1</x:v>
      </x:c>
      <x:c r="L4104" s="6" t="n">
        <x:f>J4104*K4104</x:f>
        <x:v>1</x:v>
      </x:c>
    </x:row>
    <x:row r="4105">
      <x:c r="A4105" s="1" t="n">
        <x:v>31239</x:v>
      </x:c>
      <x:c r="B4105" s="5" t="d">
        <x:v>2016-04-01T00:00:00.000Z</x:v>
      </x:c>
      <x:c r="C4105" s="1" t="str">
        <x:v>Second Class</x:v>
      </x:c>
      <x:c r="D4105" s="1" t="str">
        <x:v>Pacific Asia</x:v>
      </x:c>
      <x:c r="E4105" s="1" t="str">
        <x:v>PENDING_PAYMENT</x:v>
      </x:c>
      <x:c r="F4105" s="1" t="str">
        <x:v>Late delivery</x:v>
      </x:c>
      <x:c r="G4105" s="6" t="n">
        <x:v>5</x:v>
      </x:c>
      <x:c r="H4105" s="6" t="n">
        <x:v>2</x:v>
      </x:c>
      <x:c r="I4105" s="6" t="n">
        <x:f>G4105-H4105</x:f>
        <x:v>3</x:v>
      </x:c>
      <x:c r="J4105" s="6" t="n">
        <x:f>IF(OR(E4105="CANCELED",E4105="SUSPECTED_FRAUD",F4105="Shipping canceled"),0,1)</x:f>
        <x:v>1</x:v>
      </x:c>
      <x:c r="K4105" s="6" t="n">
        <x:f>IF(G4105&gt;H4105,1,0)</x:f>
        <x:v>1</x:v>
      </x:c>
      <x:c r="L4105" s="6" t="n">
        <x:f>J4105*K4105</x:f>
        <x:v>1</x:v>
      </x:c>
    </x:row>
    <x:row r="4106">
      <x:c r="A4106" s="1" t="n">
        <x:v>31241</x:v>
      </x:c>
      <x:c r="B4106" s="5" t="d">
        <x:v>2016-04-01T00:00:00.000Z</x:v>
      </x:c>
      <x:c r="C4106" s="1" t="str">
        <x:v>Second Class</x:v>
      </x:c>
      <x:c r="D4106" s="1" t="str">
        <x:v>Pacific Asia</x:v>
      </x:c>
      <x:c r="E4106" s="1" t="str">
        <x:v>CANCELED</x:v>
      </x:c>
      <x:c r="F4106" s="1" t="str">
        <x:v>Shipping canceled</x:v>
      </x:c>
      <x:c r="G4106" s="6" t="n">
        <x:v>2</x:v>
      </x:c>
      <x:c r="H4106" s="6" t="n">
        <x:v>2</x:v>
      </x:c>
      <x:c r="I4106" s="6" t="n">
        <x:f>G4106-H4106</x:f>
        <x:v>0</x:v>
      </x:c>
      <x:c r="J4106" s="6" t="n">
        <x:f>IF(OR(E4106="CANCELED",E4106="SUSPECTED_FRAUD",F4106="Shipping canceled"),0,1)</x:f>
        <x:v>0</x:v>
      </x:c>
      <x:c r="K4106" s="6" t="n">
        <x:f>IF(G4106&gt;H4106,1,0)</x:f>
        <x:v>0</x:v>
      </x:c>
      <x:c r="L4106" s="6" t="n">
        <x:f>J4106*K4106</x:f>
        <x:v>0</x:v>
      </x:c>
    </x:row>
    <x:row r="4107">
      <x:c r="A4107" s="1" t="n">
        <x:v>31250</x:v>
      </x:c>
      <x:c r="B4107" s="5" t="d">
        <x:v>2016-04-01T00:00:00.000Z</x:v>
      </x:c>
      <x:c r="C4107" s="1" t="str">
        <x:v>Standard Class</x:v>
      </x:c>
      <x:c r="D4107" s="1" t="str">
        <x:v>Pacific Asia</x:v>
      </x:c>
      <x:c r="E4107" s="1" t="str">
        <x:v>PENDING_PAYMENT</x:v>
      </x:c>
      <x:c r="F4107" s="1" t="str">
        <x:v>Late delivery</x:v>
      </x:c>
      <x:c r="G4107" s="6" t="n">
        <x:v>6</x:v>
      </x:c>
      <x:c r="H4107" s="6" t="n">
        <x:v>4</x:v>
      </x:c>
      <x:c r="I4107" s="6" t="n">
        <x:f>G4107-H4107</x:f>
        <x:v>2</x:v>
      </x:c>
      <x:c r="J4107" s="6" t="n">
        <x:f>IF(OR(E4107="CANCELED",E4107="SUSPECTED_FRAUD",F4107="Shipping canceled"),0,1)</x:f>
        <x:v>1</x:v>
      </x:c>
      <x:c r="K4107" s="6" t="n">
        <x:f>IF(G4107&gt;H4107,1,0)</x:f>
        <x:v>1</x:v>
      </x:c>
      <x:c r="L4107" s="6" t="n">
        <x:f>J4107*K4107</x:f>
        <x:v>1</x:v>
      </x:c>
    </x:row>
    <x:row r="4108">
      <x:c r="A4108" s="1" t="n">
        <x:v>31257</x:v>
      </x:c>
      <x:c r="B4108" s="5" t="d">
        <x:v>2016-04-01T00:00:00.000Z</x:v>
      </x:c>
      <x:c r="C4108" s="1" t="str">
        <x:v>Second Class</x:v>
      </x:c>
      <x:c r="D4108" s="1" t="str">
        <x:v>Pacific Asia</x:v>
      </x:c>
      <x:c r="E4108" s="1" t="str">
        <x:v>ON_HOLD</x:v>
      </x:c>
      <x:c r="F4108" s="1" t="str">
        <x:v>Late delivery</x:v>
      </x:c>
      <x:c r="G4108" s="6" t="n">
        <x:v>3</x:v>
      </x:c>
      <x:c r="H4108" s="6" t="n">
        <x:v>2</x:v>
      </x:c>
      <x:c r="I4108" s="6" t="n">
        <x:f>G4108-H4108</x:f>
        <x:v>1</x:v>
      </x:c>
      <x:c r="J4108" s="6" t="n">
        <x:f>IF(OR(E4108="CANCELED",E4108="SUSPECTED_FRAUD",F4108="Shipping canceled"),0,1)</x:f>
        <x:v>1</x:v>
      </x:c>
      <x:c r="K4108" s="6" t="n">
        <x:f>IF(G4108&gt;H4108,1,0)</x:f>
        <x:v>1</x:v>
      </x:c>
      <x:c r="L4108" s="6" t="n">
        <x:f>J4108*K4108</x:f>
        <x:v>1</x:v>
      </x:c>
    </x:row>
    <x:row r="4109">
      <x:c r="A4109" s="1" t="n">
        <x:v>31265</x:v>
      </x:c>
      <x:c r="B4109" s="5" t="d">
        <x:v>2016-04-01T00:00:00.000Z</x:v>
      </x:c>
      <x:c r="C4109" s="1" t="str">
        <x:v>First Class</x:v>
      </x:c>
      <x:c r="D4109" s="1" t="str">
        <x:v>Pacific Asia</x:v>
      </x:c>
      <x:c r="E4109" s="1" t="str">
        <x:v>PENDING</x:v>
      </x:c>
      <x:c r="F4109" s="1" t="str">
        <x:v>Late delivery</x:v>
      </x:c>
      <x:c r="G4109" s="6" t="n">
        <x:v>2</x:v>
      </x:c>
      <x:c r="H4109" s="6" t="n">
        <x:v>1</x:v>
      </x:c>
      <x:c r="I4109" s="6" t="n">
        <x:f>G4109-H4109</x:f>
        <x:v>1</x:v>
      </x:c>
      <x:c r="J4109" s="6" t="n">
        <x:f>IF(OR(E4109="CANCELED",E4109="SUSPECTED_FRAUD",F4109="Shipping canceled"),0,1)</x:f>
        <x:v>1</x:v>
      </x:c>
      <x:c r="K4109" s="6" t="n">
        <x:f>IF(G4109&gt;H4109,1,0)</x:f>
        <x:v>1</x:v>
      </x:c>
      <x:c r="L4109" s="6" t="n">
        <x:f>J4109*K4109</x:f>
        <x:v>1</x:v>
      </x:c>
    </x:row>
    <x:row r="4110">
      <x:c r="A4110" s="1" t="n">
        <x:v>31267</x:v>
      </x:c>
      <x:c r="B4110" s="5" t="d">
        <x:v>2016-04-01T00:00:00.000Z</x:v>
      </x:c>
      <x:c r="C4110" s="1" t="str">
        <x:v>Standard Class</x:v>
      </x:c>
      <x:c r="D4110" s="1" t="str">
        <x:v>Pacific Asia</x:v>
      </x:c>
      <x:c r="E4110" s="1" t="str">
        <x:v>PENDING</x:v>
      </x:c>
      <x:c r="F4110" s="1" t="str">
        <x:v>Advance shipping</x:v>
      </x:c>
      <x:c r="G4110" s="6" t="n">
        <x:v>3</x:v>
      </x:c>
      <x:c r="H4110" s="6" t="n">
        <x:v>4</x:v>
      </x:c>
      <x:c r="I4110" s="6" t="n">
        <x:f>G4110-H4110</x:f>
        <x:v>-1</x:v>
      </x:c>
      <x:c r="J4110" s="6" t="n">
        <x:f>IF(OR(E4110="CANCELED",E4110="SUSPECTED_FRAUD",F4110="Shipping canceled"),0,1)</x:f>
        <x:v>1</x:v>
      </x:c>
      <x:c r="K4110" s="6" t="n">
        <x:f>IF(G4110&gt;H4110,1,0)</x:f>
        <x:v>0</x:v>
      </x:c>
      <x:c r="L4110" s="6" t="n">
        <x:f>J4110*K4110</x:f>
        <x:v>0</x:v>
      </x:c>
    </x:row>
    <x:row r="4111">
      <x:c r="A4111" s="1" t="n">
        <x:v>31269</x:v>
      </x:c>
      <x:c r="B4111" s="5" t="d">
        <x:v>2016-04-01T00:00:00.000Z</x:v>
      </x:c>
      <x:c r="C4111" s="1" t="str">
        <x:v>Standard Class</x:v>
      </x:c>
      <x:c r="D4111" s="1" t="str">
        <x:v>Pacific Asia</x:v>
      </x:c>
      <x:c r="E4111" s="1" t="str">
        <x:v>PROCESSING</x:v>
      </x:c>
      <x:c r="F4111" s="1" t="str">
        <x:v>Late delivery</x:v>
      </x:c>
      <x:c r="G4111" s="6" t="n">
        <x:v>5</x:v>
      </x:c>
      <x:c r="H4111" s="6" t="n">
        <x:v>4</x:v>
      </x:c>
      <x:c r="I4111" s="6" t="n">
        <x:f>G4111-H4111</x:f>
        <x:v>1</x:v>
      </x:c>
      <x:c r="J4111" s="6" t="n">
        <x:f>IF(OR(E4111="CANCELED",E4111="SUSPECTED_FRAUD",F4111="Shipping canceled"),0,1)</x:f>
        <x:v>1</x:v>
      </x:c>
      <x:c r="K4111" s="6" t="n">
        <x:f>IF(G4111&gt;H4111,1,0)</x:f>
        <x:v>1</x:v>
      </x:c>
      <x:c r="L4111" s="6" t="n">
        <x:f>J4111*K4111</x:f>
        <x:v>1</x:v>
      </x:c>
    </x:row>
    <x:row r="4112">
      <x:c r="A4112" s="1" t="n">
        <x:v>31286</x:v>
      </x:c>
      <x:c r="B4112" s="5" t="d">
        <x:v>2016-04-01T00:00:00.000Z</x:v>
      </x:c>
      <x:c r="C4112" s="1" t="str">
        <x:v>Second Class</x:v>
      </x:c>
      <x:c r="D4112" s="1" t="str">
        <x:v>Pacific Asia</x:v>
      </x:c>
      <x:c r="E4112" s="1" t="str">
        <x:v>COMPLETE</x:v>
      </x:c>
      <x:c r="F4112" s="1" t="str">
        <x:v>Shipping on time</x:v>
      </x:c>
      <x:c r="G4112" s="6" t="n">
        <x:v>2</x:v>
      </x:c>
      <x:c r="H4112" s="6" t="n">
        <x:v>2</x:v>
      </x:c>
      <x:c r="I4112" s="6" t="n">
        <x:f>G4112-H4112</x:f>
        <x:v>0</x:v>
      </x:c>
      <x:c r="J4112" s="6" t="n">
        <x:f>IF(OR(E4112="CANCELED",E4112="SUSPECTED_FRAUD",F4112="Shipping canceled"),0,1)</x:f>
        <x:v>1</x:v>
      </x:c>
      <x:c r="K4112" s="6" t="n">
        <x:f>IF(G4112&gt;H4112,1,0)</x:f>
        <x:v>0</x:v>
      </x:c>
      <x:c r="L4112" s="6" t="n">
        <x:f>J4112*K4112</x:f>
        <x:v>0</x:v>
      </x:c>
    </x:row>
    <x:row r="4113">
      <x:c r="A4113" s="1" t="n">
        <x:v>31291</x:v>
      </x:c>
      <x:c r="B4113" s="5" t="d">
        <x:v>2016-04-01T00:00:00.000Z</x:v>
      </x:c>
      <x:c r="C4113" s="1" t="str">
        <x:v>Standard Class</x:v>
      </x:c>
      <x:c r="D4113" s="1" t="str">
        <x:v>Pacific Asia</x:v>
      </x:c>
      <x:c r="E4113" s="1" t="str">
        <x:v>ON_HOLD</x:v>
      </x:c>
      <x:c r="F4113" s="1" t="str">
        <x:v>Advance shipping</x:v>
      </x:c>
      <x:c r="G4113" s="6" t="n">
        <x:v>2</x:v>
      </x:c>
      <x:c r="H4113" s="6" t="n">
        <x:v>4</x:v>
      </x:c>
      <x:c r="I4113" s="6" t="n">
        <x:f>G4113-H4113</x:f>
        <x:v>-2</x:v>
      </x:c>
      <x:c r="J4113" s="6" t="n">
        <x:f>IF(OR(E4113="CANCELED",E4113="SUSPECTED_FRAUD",F4113="Shipping canceled"),0,1)</x:f>
        <x:v>1</x:v>
      </x:c>
      <x:c r="K4113" s="6" t="n">
        <x:f>IF(G4113&gt;H4113,1,0)</x:f>
        <x:v>0</x:v>
      </x:c>
      <x:c r="L4113" s="6" t="n">
        <x:f>J4113*K4113</x:f>
        <x:v>0</x:v>
      </x:c>
    </x:row>
    <x:row r="4114">
      <x:c r="A4114" s="1" t="n">
        <x:v>31296</x:v>
      </x:c>
      <x:c r="B4114" s="5" t="d">
        <x:v>2016-04-01T00:00:00.000Z</x:v>
      </x:c>
      <x:c r="C4114" s="1" t="str">
        <x:v>Second Class</x:v>
      </x:c>
      <x:c r="D4114" s="1" t="str">
        <x:v>Pacific Asia</x:v>
      </x:c>
      <x:c r="E4114" s="1" t="str">
        <x:v>PENDING_PAYMENT</x:v>
      </x:c>
      <x:c r="F4114" s="1" t="str">
        <x:v>Shipping on time</x:v>
      </x:c>
      <x:c r="G4114" s="6" t="n">
        <x:v>2</x:v>
      </x:c>
      <x:c r="H4114" s="6" t="n">
        <x:v>2</x:v>
      </x:c>
      <x:c r="I4114" s="6" t="n">
        <x:f>G4114-H4114</x:f>
        <x:v>0</x:v>
      </x:c>
      <x:c r="J4114" s="6" t="n">
        <x:f>IF(OR(E4114="CANCELED",E4114="SUSPECTED_FRAUD",F4114="Shipping canceled"),0,1)</x:f>
        <x:v>1</x:v>
      </x:c>
      <x:c r="K4114" s="6" t="n">
        <x:f>IF(G4114&gt;H4114,1,0)</x:f>
        <x:v>0</x:v>
      </x:c>
      <x:c r="L4114" s="6" t="n">
        <x:f>J4114*K4114</x:f>
        <x:v>0</x:v>
      </x:c>
    </x:row>
    <x:row r="4115">
      <x:c r="A4115" s="1" t="n">
        <x:v>31302</x:v>
      </x:c>
      <x:c r="B4115" s="5" t="d">
        <x:v>2016-04-01T00:00:00.000Z</x:v>
      </x:c>
      <x:c r="C4115" s="1" t="str">
        <x:v>Standard Class</x:v>
      </x:c>
      <x:c r="D4115" s="1" t="str">
        <x:v>USCA</x:v>
      </x:c>
      <x:c r="E4115" s="1" t="str">
        <x:v>PENDING</x:v>
      </x:c>
      <x:c r="F4115" s="1" t="str">
        <x:v>Advance shipping</x:v>
      </x:c>
      <x:c r="G4115" s="6" t="n">
        <x:v>3</x:v>
      </x:c>
      <x:c r="H4115" s="6" t="n">
        <x:v>4</x:v>
      </x:c>
      <x:c r="I4115" s="6" t="n">
        <x:f>G4115-H4115</x:f>
        <x:v>-1</x:v>
      </x:c>
      <x:c r="J4115" s="6" t="n">
        <x:f>IF(OR(E4115="CANCELED",E4115="SUSPECTED_FRAUD",F4115="Shipping canceled"),0,1)</x:f>
        <x:v>1</x:v>
      </x:c>
      <x:c r="K4115" s="6" t="n">
        <x:f>IF(G4115&gt;H4115,1,0)</x:f>
        <x:v>0</x:v>
      </x:c>
      <x:c r="L4115" s="6" t="n">
        <x:f>J4115*K4115</x:f>
        <x:v>0</x:v>
      </x:c>
    </x:row>
    <x:row r="4116">
      <x:c r="A4116" s="1" t="n">
        <x:v>31303</x:v>
      </x:c>
      <x:c r="B4116" s="5" t="d">
        <x:v>2016-04-01T00:00:00.000Z</x:v>
      </x:c>
      <x:c r="C4116" s="1" t="str">
        <x:v>Standard Class</x:v>
      </x:c>
      <x:c r="D4116" s="1" t="str">
        <x:v>USCA</x:v>
      </x:c>
      <x:c r="E4116" s="1" t="str">
        <x:v>COMPLETE</x:v>
      </x:c>
      <x:c r="F4116" s="1" t="str">
        <x:v>Shipping on time</x:v>
      </x:c>
      <x:c r="G4116" s="6" t="n">
        <x:v>4</x:v>
      </x:c>
      <x:c r="H4116" s="6" t="n">
        <x:v>4</x:v>
      </x:c>
      <x:c r="I4116" s="6" t="n">
        <x:f>G4116-H4116</x:f>
        <x:v>0</x:v>
      </x:c>
      <x:c r="J4116" s="6" t="n">
        <x:f>IF(OR(E4116="CANCELED",E4116="SUSPECTED_FRAUD",F4116="Shipping canceled"),0,1)</x:f>
        <x:v>1</x:v>
      </x:c>
      <x:c r="K4116" s="6" t="n">
        <x:f>IF(G4116&gt;H4116,1,0)</x:f>
        <x:v>0</x:v>
      </x:c>
      <x:c r="L4116" s="6" t="n">
        <x:f>J4116*K4116</x:f>
        <x:v>0</x:v>
      </x:c>
    </x:row>
    <x:row r="4117">
      <x:c r="A4117" s="1" t="n">
        <x:v>31319</x:v>
      </x:c>
      <x:c r="B4117" s="5" t="d">
        <x:v>2016-04-02T00:00:00.000Z</x:v>
      </x:c>
      <x:c r="C4117" s="1" t="str">
        <x:v>Second Class</x:v>
      </x:c>
      <x:c r="D4117" s="1" t="str">
        <x:v>USCA</x:v>
      </x:c>
      <x:c r="E4117" s="1" t="str">
        <x:v>COMPLETE</x:v>
      </x:c>
      <x:c r="F4117" s="1" t="str">
        <x:v>Late delivery</x:v>
      </x:c>
      <x:c r="G4117" s="6" t="n">
        <x:v>5</x:v>
      </x:c>
      <x:c r="H4117" s="6" t="n">
        <x:v>2</x:v>
      </x:c>
      <x:c r="I4117" s="6" t="n">
        <x:f>G4117-H4117</x:f>
        <x:v>3</x:v>
      </x:c>
      <x:c r="J4117" s="6" t="n">
        <x:f>IF(OR(E4117="CANCELED",E4117="SUSPECTED_FRAUD",F4117="Shipping canceled"),0,1)</x:f>
        <x:v>1</x:v>
      </x:c>
      <x:c r="K4117" s="6" t="n">
        <x:f>IF(G4117&gt;H4117,1,0)</x:f>
        <x:v>1</x:v>
      </x:c>
      <x:c r="L4117" s="6" t="n">
        <x:f>J4117*K4117</x:f>
        <x:v>1</x:v>
      </x:c>
    </x:row>
    <x:row r="4118">
      <x:c r="A4118" s="1" t="n">
        <x:v>31324</x:v>
      </x:c>
      <x:c r="B4118" s="5" t="d">
        <x:v>2016-04-02T00:00:00.000Z</x:v>
      </x:c>
      <x:c r="C4118" s="1" t="str">
        <x:v>Standard Class</x:v>
      </x:c>
      <x:c r="D4118" s="1" t="str">
        <x:v>USCA</x:v>
      </x:c>
      <x:c r="E4118" s="1" t="str">
        <x:v>PROCESSING</x:v>
      </x:c>
      <x:c r="F4118" s="1" t="str">
        <x:v>Late delivery</x:v>
      </x:c>
      <x:c r="G4118" s="6" t="n">
        <x:v>5</x:v>
      </x:c>
      <x:c r="H4118" s="6" t="n">
        <x:v>4</x:v>
      </x:c>
      <x:c r="I4118" s="6" t="n">
        <x:f>G4118-H4118</x:f>
        <x:v>1</x:v>
      </x:c>
      <x:c r="J4118" s="6" t="n">
        <x:f>IF(OR(E4118="CANCELED",E4118="SUSPECTED_FRAUD",F4118="Shipping canceled"),0,1)</x:f>
        <x:v>1</x:v>
      </x:c>
      <x:c r="K4118" s="6" t="n">
        <x:f>IF(G4118&gt;H4118,1,0)</x:f>
        <x:v>1</x:v>
      </x:c>
      <x:c r="L4118" s="6" t="n">
        <x:f>J4118*K4118</x:f>
        <x:v>1</x:v>
      </x:c>
    </x:row>
    <x:row r="4119">
      <x:c r="A4119" s="1" t="n">
        <x:v>31325</x:v>
      </x:c>
      <x:c r="B4119" s="5" t="d">
        <x:v>2016-04-02T00:00:00.000Z</x:v>
      </x:c>
      <x:c r="C4119" s="1" t="str">
        <x:v>Standard Class</x:v>
      </x:c>
      <x:c r="D4119" s="1" t="str">
        <x:v>USCA</x:v>
      </x:c>
      <x:c r="E4119" s="1" t="str">
        <x:v>PENDING</x:v>
      </x:c>
      <x:c r="F4119" s="1" t="str">
        <x:v>Late delivery</x:v>
      </x:c>
      <x:c r="G4119" s="6" t="n">
        <x:v>6</x:v>
      </x:c>
      <x:c r="H4119" s="6" t="n">
        <x:v>4</x:v>
      </x:c>
      <x:c r="I4119" s="6" t="n">
        <x:f>G4119-H4119</x:f>
        <x:v>2</x:v>
      </x:c>
      <x:c r="J4119" s="6" t="n">
        <x:f>IF(OR(E4119="CANCELED",E4119="SUSPECTED_FRAUD",F4119="Shipping canceled"),0,1)</x:f>
        <x:v>1</x:v>
      </x:c>
      <x:c r="K4119" s="6" t="n">
        <x:f>IF(G4119&gt;H4119,1,0)</x:f>
        <x:v>1</x:v>
      </x:c>
      <x:c r="L4119" s="6" t="n">
        <x:f>J4119*K4119</x:f>
        <x:v>1</x:v>
      </x:c>
    </x:row>
    <x:row r="4120">
      <x:c r="A4120" s="1" t="n">
        <x:v>31327</x:v>
      </x:c>
      <x:c r="B4120" s="5" t="d">
        <x:v>2016-04-02T00:00:00.000Z</x:v>
      </x:c>
      <x:c r="C4120" s="1" t="str">
        <x:v>Standard Class</x:v>
      </x:c>
      <x:c r="D4120" s="1" t="str">
        <x:v>USCA</x:v>
      </x:c>
      <x:c r="E4120" s="1" t="str">
        <x:v>PROCESSING</x:v>
      </x:c>
      <x:c r="F4120" s="1" t="str">
        <x:v>Advance shipping</x:v>
      </x:c>
      <x:c r="G4120" s="6" t="n">
        <x:v>3</x:v>
      </x:c>
      <x:c r="H4120" s="6" t="n">
        <x:v>4</x:v>
      </x:c>
      <x:c r="I4120" s="6" t="n">
        <x:f>G4120-H4120</x:f>
        <x:v>-1</x:v>
      </x:c>
      <x:c r="J4120" s="6" t="n">
        <x:f>IF(OR(E4120="CANCELED",E4120="SUSPECTED_FRAUD",F4120="Shipping canceled"),0,1)</x:f>
        <x:v>1</x:v>
      </x:c>
      <x:c r="K4120" s="6" t="n">
        <x:f>IF(G4120&gt;H4120,1,0)</x:f>
        <x:v>0</x:v>
      </x:c>
      <x:c r="L4120" s="6" t="n">
        <x:f>J4120*K4120</x:f>
        <x:v>0</x:v>
      </x:c>
    </x:row>
    <x:row r="4121">
      <x:c r="A4121" s="1" t="n">
        <x:v>31336</x:v>
      </x:c>
      <x:c r="B4121" s="5" t="d">
        <x:v>2016-04-02T00:00:00.000Z</x:v>
      </x:c>
      <x:c r="C4121" s="1" t="str">
        <x:v>Standard Class</x:v>
      </x:c>
      <x:c r="D4121" s="1" t="str">
        <x:v>USCA</x:v>
      </x:c>
      <x:c r="E4121" s="1" t="str">
        <x:v>SUSPECTED_FRAUD</x:v>
      </x:c>
      <x:c r="F4121" s="1" t="str">
        <x:v>Shipping canceled</x:v>
      </x:c>
      <x:c r="G4121" s="6" t="n">
        <x:v>2</x:v>
      </x:c>
      <x:c r="H4121" s="6" t="n">
        <x:v>4</x:v>
      </x:c>
      <x:c r="I4121" s="6" t="n">
        <x:f>G4121-H4121</x:f>
        <x:v>-2</x:v>
      </x:c>
      <x:c r="J4121" s="6" t="n">
        <x:f>IF(OR(E4121="CANCELED",E4121="SUSPECTED_FRAUD",F4121="Shipping canceled"),0,1)</x:f>
        <x:v>0</x:v>
      </x:c>
      <x:c r="K4121" s="6" t="n">
        <x:f>IF(G4121&gt;H4121,1,0)</x:f>
        <x:v>0</x:v>
      </x:c>
      <x:c r="L4121" s="6" t="n">
        <x:f>J4121*K4121</x:f>
        <x:v>0</x:v>
      </x:c>
    </x:row>
    <x:row r="4122">
      <x:c r="A4122" s="1" t="n">
        <x:v>31337</x:v>
      </x:c>
      <x:c r="B4122" s="5" t="d">
        <x:v>2016-04-02T00:00:00.000Z</x:v>
      </x:c>
      <x:c r="C4122" s="1" t="str">
        <x:v>Standard Class</x:v>
      </x:c>
      <x:c r="D4122" s="1" t="str">
        <x:v>USCA</x:v>
      </x:c>
      <x:c r="E4122" s="1" t="str">
        <x:v>COMPLETE</x:v>
      </x:c>
      <x:c r="F4122" s="1" t="str">
        <x:v>Advance shipping</x:v>
      </x:c>
      <x:c r="G4122" s="6" t="n">
        <x:v>3</x:v>
      </x:c>
      <x:c r="H4122" s="6" t="n">
        <x:v>4</x:v>
      </x:c>
      <x:c r="I4122" s="6" t="n">
        <x:f>G4122-H4122</x:f>
        <x:v>-1</x:v>
      </x:c>
      <x:c r="J4122" s="6" t="n">
        <x:f>IF(OR(E4122="CANCELED",E4122="SUSPECTED_FRAUD",F4122="Shipping canceled"),0,1)</x:f>
        <x:v>1</x:v>
      </x:c>
      <x:c r="K4122" s="6" t="n">
        <x:f>IF(G4122&gt;H4122,1,0)</x:f>
        <x:v>0</x:v>
      </x:c>
      <x:c r="L4122" s="6" t="n">
        <x:f>J4122*K4122</x:f>
        <x:v>0</x:v>
      </x:c>
    </x:row>
    <x:row r="4123">
      <x:c r="A4123" s="1" t="n">
        <x:v>31346</x:v>
      </x:c>
      <x:c r="B4123" s="5" t="d">
        <x:v>2016-04-02T00:00:00.000Z</x:v>
      </x:c>
      <x:c r="C4123" s="1" t="str">
        <x:v>Standard Class</x:v>
      </x:c>
      <x:c r="D4123" s="1" t="str">
        <x:v>USCA</x:v>
      </x:c>
      <x:c r="E4123" s="1" t="str">
        <x:v>CLOSED</x:v>
      </x:c>
      <x:c r="F4123" s="1" t="str">
        <x:v>Advance shipping</x:v>
      </x:c>
      <x:c r="G4123" s="6" t="n">
        <x:v>2</x:v>
      </x:c>
      <x:c r="H4123" s="6" t="n">
        <x:v>4</x:v>
      </x:c>
      <x:c r="I4123" s="6" t="n">
        <x:f>G4123-H4123</x:f>
        <x:v>-2</x:v>
      </x:c>
      <x:c r="J4123" s="6" t="n">
        <x:f>IF(OR(E4123="CANCELED",E4123="SUSPECTED_FRAUD",F4123="Shipping canceled"),0,1)</x:f>
        <x:v>1</x:v>
      </x:c>
      <x:c r="K4123" s="6" t="n">
        <x:f>IF(G4123&gt;H4123,1,0)</x:f>
        <x:v>0</x:v>
      </x:c>
      <x:c r="L4123" s="6" t="n">
        <x:f>J4123*K4123</x:f>
        <x:v>0</x:v>
      </x:c>
    </x:row>
    <x:row r="4124">
      <x:c r="A4124" s="1" t="n">
        <x:v>31352</x:v>
      </x:c>
      <x:c r="B4124" s="5" t="d">
        <x:v>2016-04-02T00:00:00.000Z</x:v>
      </x:c>
      <x:c r="C4124" s="1" t="str">
        <x:v>Standard Class</x:v>
      </x:c>
      <x:c r="D4124" s="1" t="str">
        <x:v>USCA</x:v>
      </x:c>
      <x:c r="E4124" s="1" t="str">
        <x:v>COMPLETE</x:v>
      </x:c>
      <x:c r="F4124" s="1" t="str">
        <x:v>Advance shipping</x:v>
      </x:c>
      <x:c r="G4124" s="6" t="n">
        <x:v>3</x:v>
      </x:c>
      <x:c r="H4124" s="6" t="n">
        <x:v>4</x:v>
      </x:c>
      <x:c r="I4124" s="6" t="n">
        <x:f>G4124-H4124</x:f>
        <x:v>-1</x:v>
      </x:c>
      <x:c r="J4124" s="6" t="n">
        <x:f>IF(OR(E4124="CANCELED",E4124="SUSPECTED_FRAUD",F4124="Shipping canceled"),0,1)</x:f>
        <x:v>1</x:v>
      </x:c>
      <x:c r="K4124" s="6" t="n">
        <x:f>IF(G4124&gt;H4124,1,0)</x:f>
        <x:v>0</x:v>
      </x:c>
      <x:c r="L4124" s="6" t="n">
        <x:f>J4124*K4124</x:f>
        <x:v>0</x:v>
      </x:c>
    </x:row>
    <x:row r="4125">
      <x:c r="A4125" s="1" t="n">
        <x:v>31364</x:v>
      </x:c>
      <x:c r="B4125" s="5" t="d">
        <x:v>2016-04-02T00:00:00.000Z</x:v>
      </x:c>
      <x:c r="C4125" s="1" t="str">
        <x:v>Standard Class</x:v>
      </x:c>
      <x:c r="D4125" s="1" t="str">
        <x:v>USCA</x:v>
      </x:c>
      <x:c r="E4125" s="1" t="str">
        <x:v>SUSPECTED_FRAUD</x:v>
      </x:c>
      <x:c r="F4125" s="1" t="str">
        <x:v>Shipping canceled</x:v>
      </x:c>
      <x:c r="G4125" s="6" t="n">
        <x:v>5</x:v>
      </x:c>
      <x:c r="H4125" s="6" t="n">
        <x:v>4</x:v>
      </x:c>
      <x:c r="I4125" s="6" t="n">
        <x:f>G4125-H4125</x:f>
        <x:v>1</x:v>
      </x:c>
      <x:c r="J4125" s="6" t="n">
        <x:f>IF(OR(E4125="CANCELED",E4125="SUSPECTED_FRAUD",F4125="Shipping canceled"),0,1)</x:f>
        <x:v>0</x:v>
      </x:c>
      <x:c r="K4125" s="6" t="n">
        <x:f>IF(G4125&gt;H4125,1,0)</x:f>
        <x:v>1</x:v>
      </x:c>
      <x:c r="L4125" s="6" t="n">
        <x:f>J4125*K4125</x:f>
        <x:v>0</x:v>
      </x:c>
    </x:row>
    <x:row r="4126">
      <x:c r="A4126" s="1" t="n">
        <x:v>31375</x:v>
      </x:c>
      <x:c r="B4126" s="5" t="d">
        <x:v>2016-04-02T00:00:00.000Z</x:v>
      </x:c>
      <x:c r="C4126" s="1" t="str">
        <x:v>Second Class</x:v>
      </x:c>
      <x:c r="D4126" s="1" t="str">
        <x:v>USCA</x:v>
      </x:c>
      <x:c r="E4126" s="1" t="str">
        <x:v>COMPLETE</x:v>
      </x:c>
      <x:c r="F4126" s="1" t="str">
        <x:v>Late delivery</x:v>
      </x:c>
      <x:c r="G4126" s="6" t="n">
        <x:v>6</x:v>
      </x:c>
      <x:c r="H4126" s="6" t="n">
        <x:v>2</x:v>
      </x:c>
      <x:c r="I4126" s="6" t="n">
        <x:f>G4126-H4126</x:f>
        <x:v>4</x:v>
      </x:c>
      <x:c r="J4126" s="6" t="n">
        <x:f>IF(OR(E4126="CANCELED",E4126="SUSPECTED_FRAUD",F4126="Shipping canceled"),0,1)</x:f>
        <x:v>1</x:v>
      </x:c>
      <x:c r="K4126" s="6" t="n">
        <x:f>IF(G4126&gt;H4126,1,0)</x:f>
        <x:v>1</x:v>
      </x:c>
      <x:c r="L4126" s="6" t="n">
        <x:f>J4126*K4126</x:f>
        <x:v>1</x:v>
      </x:c>
    </x:row>
    <x:row r="4127">
      <x:c r="A4127" s="1" t="n">
        <x:v>31378</x:v>
      </x:c>
      <x:c r="B4127" s="5" t="d">
        <x:v>2016-04-03T00:00:00.000Z</x:v>
      </x:c>
      <x:c r="C4127" s="1" t="str">
        <x:v>Standard Class</x:v>
      </x:c>
      <x:c r="D4127" s="1" t="str">
        <x:v>USCA</x:v>
      </x:c>
      <x:c r="E4127" s="1" t="str">
        <x:v>CANCELED</x:v>
      </x:c>
      <x:c r="F4127" s="1" t="str">
        <x:v>Shipping canceled</x:v>
      </x:c>
      <x:c r="G4127" s="6" t="n">
        <x:v>4</x:v>
      </x:c>
      <x:c r="H4127" s="6" t="n">
        <x:v>4</x:v>
      </x:c>
      <x:c r="I4127" s="6" t="n">
        <x:f>G4127-H4127</x:f>
        <x:v>0</x:v>
      </x:c>
      <x:c r="J4127" s="6" t="n">
        <x:f>IF(OR(E4127="CANCELED",E4127="SUSPECTED_FRAUD",F4127="Shipping canceled"),0,1)</x:f>
        <x:v>0</x:v>
      </x:c>
      <x:c r="K4127" s="6" t="n">
        <x:f>IF(G4127&gt;H4127,1,0)</x:f>
        <x:v>0</x:v>
      </x:c>
      <x:c r="L4127" s="6" t="n">
        <x:f>J4127*K4127</x:f>
        <x:v>0</x:v>
      </x:c>
    </x:row>
    <x:row r="4128">
      <x:c r="A4128" s="1" t="n">
        <x:v>31380</x:v>
      </x:c>
      <x:c r="B4128" s="5" t="d">
        <x:v>2016-04-03T00:00:00.000Z</x:v>
      </x:c>
      <x:c r="C4128" s="1" t="str">
        <x:v>Standard Class</x:v>
      </x:c>
      <x:c r="D4128" s="1" t="str">
        <x:v>USCA</x:v>
      </x:c>
      <x:c r="E4128" s="1" t="str">
        <x:v>PENDING_PAYMENT</x:v>
      </x:c>
      <x:c r="F4128" s="1" t="str">
        <x:v>Late delivery</x:v>
      </x:c>
      <x:c r="G4128" s="6" t="n">
        <x:v>6</x:v>
      </x:c>
      <x:c r="H4128" s="6" t="n">
        <x:v>4</x:v>
      </x:c>
      <x:c r="I4128" s="6" t="n">
        <x:f>G4128-H4128</x:f>
        <x:v>2</x:v>
      </x:c>
      <x:c r="J4128" s="6" t="n">
        <x:f>IF(OR(E4128="CANCELED",E4128="SUSPECTED_FRAUD",F4128="Shipping canceled"),0,1)</x:f>
        <x:v>1</x:v>
      </x:c>
      <x:c r="K4128" s="6" t="n">
        <x:f>IF(G4128&gt;H4128,1,0)</x:f>
        <x:v>1</x:v>
      </x:c>
      <x:c r="L4128" s="6" t="n">
        <x:f>J4128*K4128</x:f>
        <x:v>1</x:v>
      </x:c>
    </x:row>
    <x:row r="4129">
      <x:c r="A4129" s="1" t="n">
        <x:v>31386</x:v>
      </x:c>
      <x:c r="B4129" s="5" t="d">
        <x:v>2016-04-03T00:00:00.000Z</x:v>
      </x:c>
      <x:c r="C4129" s="1" t="str">
        <x:v>Second Class</x:v>
      </x:c>
      <x:c r="D4129" s="1" t="str">
        <x:v>USCA</x:v>
      </x:c>
      <x:c r="E4129" s="1" t="str">
        <x:v>COMPLETE</x:v>
      </x:c>
      <x:c r="F4129" s="1" t="str">
        <x:v>Shipping on time</x:v>
      </x:c>
      <x:c r="G4129" s="6" t="n">
        <x:v>2</x:v>
      </x:c>
      <x:c r="H4129" s="6" t="n">
        <x:v>2</x:v>
      </x:c>
      <x:c r="I4129" s="6" t="n">
        <x:f>G4129-H4129</x:f>
        <x:v>0</x:v>
      </x:c>
      <x:c r="J4129" s="6" t="n">
        <x:f>IF(OR(E4129="CANCELED",E4129="SUSPECTED_FRAUD",F4129="Shipping canceled"),0,1)</x:f>
        <x:v>1</x:v>
      </x:c>
      <x:c r="K4129" s="6" t="n">
        <x:f>IF(G4129&gt;H4129,1,0)</x:f>
        <x:v>0</x:v>
      </x:c>
      <x:c r="L4129" s="6" t="n">
        <x:f>J4129*K4129</x:f>
        <x:v>0</x:v>
      </x:c>
    </x:row>
    <x:row r="4130">
      <x:c r="A4130" s="1" t="n">
        <x:v>31387</x:v>
      </x:c>
      <x:c r="B4130" s="5" t="d">
        <x:v>2016-04-03T00:00:00.000Z</x:v>
      </x:c>
      <x:c r="C4130" s="1" t="str">
        <x:v>Standard Class</x:v>
      </x:c>
      <x:c r="D4130" s="1" t="str">
        <x:v>USCA</x:v>
      </x:c>
      <x:c r="E4130" s="1" t="str">
        <x:v>PENDING</x:v>
      </x:c>
      <x:c r="F4130" s="1" t="str">
        <x:v>Advance shipping</x:v>
      </x:c>
      <x:c r="G4130" s="6" t="n">
        <x:v>3</x:v>
      </x:c>
      <x:c r="H4130" s="6" t="n">
        <x:v>4</x:v>
      </x:c>
      <x:c r="I4130" s="6" t="n">
        <x:f>G4130-H4130</x:f>
        <x:v>-1</x:v>
      </x:c>
      <x:c r="J4130" s="6" t="n">
        <x:f>IF(OR(E4130="CANCELED",E4130="SUSPECTED_FRAUD",F4130="Shipping canceled"),0,1)</x:f>
        <x:v>1</x:v>
      </x:c>
      <x:c r="K4130" s="6" t="n">
        <x:f>IF(G4130&gt;H4130,1,0)</x:f>
        <x:v>0</x:v>
      </x:c>
      <x:c r="L4130" s="6" t="n">
        <x:f>J4130*K4130</x:f>
        <x:v>0</x:v>
      </x:c>
    </x:row>
    <x:row r="4131">
      <x:c r="A4131" s="1" t="n">
        <x:v>31400</x:v>
      </x:c>
      <x:c r="B4131" s="5" t="d">
        <x:v>2016-04-03T00:00:00.000Z</x:v>
      </x:c>
      <x:c r="C4131" s="1" t="str">
        <x:v>Standard Class</x:v>
      </x:c>
      <x:c r="D4131" s="1" t="str">
        <x:v>USCA</x:v>
      </x:c>
      <x:c r="E4131" s="1" t="str">
        <x:v>COMPLETE</x:v>
      </x:c>
      <x:c r="F4131" s="1" t="str">
        <x:v>Late delivery</x:v>
      </x:c>
      <x:c r="G4131" s="6" t="n">
        <x:v>6</x:v>
      </x:c>
      <x:c r="H4131" s="6" t="n">
        <x:v>4</x:v>
      </x:c>
      <x:c r="I4131" s="6" t="n">
        <x:f>G4131-H4131</x:f>
        <x:v>2</x:v>
      </x:c>
      <x:c r="J4131" s="6" t="n">
        <x:f>IF(OR(E4131="CANCELED",E4131="SUSPECTED_FRAUD",F4131="Shipping canceled"),0,1)</x:f>
        <x:v>1</x:v>
      </x:c>
      <x:c r="K4131" s="6" t="n">
        <x:f>IF(G4131&gt;H4131,1,0)</x:f>
        <x:v>1</x:v>
      </x:c>
      <x:c r="L4131" s="6" t="n">
        <x:f>J4131*K4131</x:f>
        <x:v>1</x:v>
      </x:c>
    </x:row>
    <x:row r="4132">
      <x:c r="A4132" s="1" t="n">
        <x:v>31410</x:v>
      </x:c>
      <x:c r="B4132" s="5" t="d">
        <x:v>2016-04-03T00:00:00.000Z</x:v>
      </x:c>
      <x:c r="C4132" s="1" t="str">
        <x:v>Standard Class</x:v>
      </x:c>
      <x:c r="D4132" s="1" t="str">
        <x:v>USCA</x:v>
      </x:c>
      <x:c r="E4132" s="1" t="str">
        <x:v>PROCESSING</x:v>
      </x:c>
      <x:c r="F4132" s="1" t="str">
        <x:v>Late delivery</x:v>
      </x:c>
      <x:c r="G4132" s="6" t="n">
        <x:v>6</x:v>
      </x:c>
      <x:c r="H4132" s="6" t="n">
        <x:v>4</x:v>
      </x:c>
      <x:c r="I4132" s="6" t="n">
        <x:f>G4132-H4132</x:f>
        <x:v>2</x:v>
      </x:c>
      <x:c r="J4132" s="6" t="n">
        <x:f>IF(OR(E4132="CANCELED",E4132="SUSPECTED_FRAUD",F4132="Shipping canceled"),0,1)</x:f>
        <x:v>1</x:v>
      </x:c>
      <x:c r="K4132" s="6" t="n">
        <x:f>IF(G4132&gt;H4132,1,0)</x:f>
        <x:v>1</x:v>
      </x:c>
      <x:c r="L4132" s="6" t="n">
        <x:f>J4132*K4132</x:f>
        <x:v>1</x:v>
      </x:c>
    </x:row>
    <x:row r="4133">
      <x:c r="A4133" s="1" t="n">
        <x:v>31422</x:v>
      </x:c>
      <x:c r="B4133" s="5" t="d">
        <x:v>2016-04-03T00:00:00.000Z</x:v>
      </x:c>
      <x:c r="C4133" s="1" t="str">
        <x:v>Standard Class</x:v>
      </x:c>
      <x:c r="D4133" s="1" t="str">
        <x:v>USCA</x:v>
      </x:c>
      <x:c r="E4133" s="1" t="str">
        <x:v>COMPLETE</x:v>
      </x:c>
      <x:c r="F4133" s="1" t="str">
        <x:v>Advance shipping</x:v>
      </x:c>
      <x:c r="G4133" s="6" t="n">
        <x:v>3</x:v>
      </x:c>
      <x:c r="H4133" s="6" t="n">
        <x:v>4</x:v>
      </x:c>
      <x:c r="I4133" s="6" t="n">
        <x:f>G4133-H4133</x:f>
        <x:v>-1</x:v>
      </x:c>
      <x:c r="J4133" s="6" t="n">
        <x:f>IF(OR(E4133="CANCELED",E4133="SUSPECTED_FRAUD",F4133="Shipping canceled"),0,1)</x:f>
        <x:v>1</x:v>
      </x:c>
      <x:c r="K4133" s="6" t="n">
        <x:f>IF(G4133&gt;H4133,1,0)</x:f>
        <x:v>0</x:v>
      </x:c>
      <x:c r="L4133" s="6" t="n">
        <x:f>J4133*K4133</x:f>
        <x:v>0</x:v>
      </x:c>
    </x:row>
    <x:row r="4134">
      <x:c r="A4134" s="1" t="n">
        <x:v>31427</x:v>
      </x:c>
      <x:c r="B4134" s="5" t="d">
        <x:v>2016-04-03T00:00:00.000Z</x:v>
      </x:c>
      <x:c r="C4134" s="1" t="str">
        <x:v>Standard Class</x:v>
      </x:c>
      <x:c r="D4134" s="1" t="str">
        <x:v>USCA</x:v>
      </x:c>
      <x:c r="E4134" s="1" t="str">
        <x:v>COMPLETE</x:v>
      </x:c>
      <x:c r="F4134" s="1" t="str">
        <x:v>Advance shipping</x:v>
      </x:c>
      <x:c r="G4134" s="6" t="n">
        <x:v>3</x:v>
      </x:c>
      <x:c r="H4134" s="6" t="n">
        <x:v>4</x:v>
      </x:c>
      <x:c r="I4134" s="6" t="n">
        <x:f>G4134-H4134</x:f>
        <x:v>-1</x:v>
      </x:c>
      <x:c r="J4134" s="6" t="n">
        <x:f>IF(OR(E4134="CANCELED",E4134="SUSPECTED_FRAUD",F4134="Shipping canceled"),0,1)</x:f>
        <x:v>1</x:v>
      </x:c>
      <x:c r="K4134" s="6" t="n">
        <x:f>IF(G4134&gt;H4134,1,0)</x:f>
        <x:v>0</x:v>
      </x:c>
      <x:c r="L4134" s="6" t="n">
        <x:f>J4134*K4134</x:f>
        <x:v>0</x:v>
      </x:c>
    </x:row>
    <x:row r="4135">
      <x:c r="A4135" s="1" t="n">
        <x:v>31439</x:v>
      </x:c>
      <x:c r="B4135" s="5" t="d">
        <x:v>2016-04-03T00:00:00.000Z</x:v>
      </x:c>
      <x:c r="C4135" s="1" t="str">
        <x:v>Standard Class</x:v>
      </x:c>
      <x:c r="D4135" s="1" t="str">
        <x:v>USCA</x:v>
      </x:c>
      <x:c r="E4135" s="1" t="str">
        <x:v>PENDING_PAYMENT</x:v>
      </x:c>
      <x:c r="F4135" s="1" t="str">
        <x:v>Late delivery</x:v>
      </x:c>
      <x:c r="G4135" s="6" t="n">
        <x:v>5</x:v>
      </x:c>
      <x:c r="H4135" s="6" t="n">
        <x:v>4</x:v>
      </x:c>
      <x:c r="I4135" s="6" t="n">
        <x:f>G4135-H4135</x:f>
        <x:v>1</x:v>
      </x:c>
      <x:c r="J4135" s="6" t="n">
        <x:f>IF(OR(E4135="CANCELED",E4135="SUSPECTED_FRAUD",F4135="Shipping canceled"),0,1)</x:f>
        <x:v>1</x:v>
      </x:c>
      <x:c r="K4135" s="6" t="n">
        <x:f>IF(G4135&gt;H4135,1,0)</x:f>
        <x:v>1</x:v>
      </x:c>
      <x:c r="L4135" s="6" t="n">
        <x:f>J4135*K4135</x:f>
        <x:v>1</x:v>
      </x:c>
    </x:row>
    <x:row r="4136">
      <x:c r="A4136" s="1" t="n">
        <x:v>31451</x:v>
      </x:c>
      <x:c r="B4136" s="5" t="d">
        <x:v>2016-04-04T00:00:00.000Z</x:v>
      </x:c>
      <x:c r="C4136" s="1" t="str">
        <x:v>Second Class</x:v>
      </x:c>
      <x:c r="D4136" s="1" t="str">
        <x:v>USCA</x:v>
      </x:c>
      <x:c r="E4136" s="1" t="str">
        <x:v>ON_HOLD</x:v>
      </x:c>
      <x:c r="F4136" s="1" t="str">
        <x:v>Shipping on time</x:v>
      </x:c>
      <x:c r="G4136" s="6" t="n">
        <x:v>2</x:v>
      </x:c>
      <x:c r="H4136" s="6" t="n">
        <x:v>2</x:v>
      </x:c>
      <x:c r="I4136" s="6" t="n">
        <x:f>G4136-H4136</x:f>
        <x:v>0</x:v>
      </x:c>
      <x:c r="J4136" s="6" t="n">
        <x:f>IF(OR(E4136="CANCELED",E4136="SUSPECTED_FRAUD",F4136="Shipping canceled"),0,1)</x:f>
        <x:v>1</x:v>
      </x:c>
      <x:c r="K4136" s="6" t="n">
        <x:f>IF(G4136&gt;H4136,1,0)</x:f>
        <x:v>0</x:v>
      </x:c>
      <x:c r="L4136" s="6" t="n">
        <x:f>J4136*K4136</x:f>
        <x:v>0</x:v>
      </x:c>
    </x:row>
    <x:row r="4137">
      <x:c r="A4137" s="1" t="n">
        <x:v>31458</x:v>
      </x:c>
      <x:c r="B4137" s="5" t="d">
        <x:v>2016-04-04T00:00:00.000Z</x:v>
      </x:c>
      <x:c r="C4137" s="1" t="str">
        <x:v>First Class</x:v>
      </x:c>
      <x:c r="D4137" s="1" t="str">
        <x:v>USCA</x:v>
      </x:c>
      <x:c r="E4137" s="1" t="str">
        <x:v>CLOSED</x:v>
      </x:c>
      <x:c r="F4137" s="1" t="str">
        <x:v>Late delivery</x:v>
      </x:c>
      <x:c r="G4137" s="6" t="n">
        <x:v>2</x:v>
      </x:c>
      <x:c r="H4137" s="6" t="n">
        <x:v>1</x:v>
      </x:c>
      <x:c r="I4137" s="6" t="n">
        <x:f>G4137-H4137</x:f>
        <x:v>1</x:v>
      </x:c>
      <x:c r="J4137" s="6" t="n">
        <x:f>IF(OR(E4137="CANCELED",E4137="SUSPECTED_FRAUD",F4137="Shipping canceled"),0,1)</x:f>
        <x:v>1</x:v>
      </x:c>
      <x:c r="K4137" s="6" t="n">
        <x:f>IF(G4137&gt;H4137,1,0)</x:f>
        <x:v>1</x:v>
      </x:c>
      <x:c r="L4137" s="6" t="n">
        <x:f>J4137*K4137</x:f>
        <x:v>1</x:v>
      </x:c>
    </x:row>
    <x:row r="4138">
      <x:c r="A4138" s="1" t="n">
        <x:v>31475</x:v>
      </x:c>
      <x:c r="B4138" s="5" t="d">
        <x:v>2016-04-04T00:00:00.000Z</x:v>
      </x:c>
      <x:c r="C4138" s="1" t="str">
        <x:v>Standard Class</x:v>
      </x:c>
      <x:c r="D4138" s="1" t="str">
        <x:v>USCA</x:v>
      </x:c>
      <x:c r="E4138" s="1" t="str">
        <x:v>CANCELED</x:v>
      </x:c>
      <x:c r="F4138" s="1" t="str">
        <x:v>Shipping canceled</x:v>
      </x:c>
      <x:c r="G4138" s="6" t="n">
        <x:v>6</x:v>
      </x:c>
      <x:c r="H4138" s="6" t="n">
        <x:v>4</x:v>
      </x:c>
      <x:c r="I4138" s="6" t="n">
        <x:f>G4138-H4138</x:f>
        <x:v>2</x:v>
      </x:c>
      <x:c r="J4138" s="6" t="n">
        <x:f>IF(OR(E4138="CANCELED",E4138="SUSPECTED_FRAUD",F4138="Shipping canceled"),0,1)</x:f>
        <x:v>0</x:v>
      </x:c>
      <x:c r="K4138" s="6" t="n">
        <x:f>IF(G4138&gt;H4138,1,0)</x:f>
        <x:v>1</x:v>
      </x:c>
      <x:c r="L4138" s="6" t="n">
        <x:f>J4138*K4138</x:f>
        <x:v>0</x:v>
      </x:c>
    </x:row>
    <x:row r="4139">
      <x:c r="A4139" s="1" t="n">
        <x:v>31476</x:v>
      </x:c>
      <x:c r="B4139" s="5" t="d">
        <x:v>2016-04-04T00:00:00.000Z</x:v>
      </x:c>
      <x:c r="C4139" s="1" t="str">
        <x:v>Standard Class</x:v>
      </x:c>
      <x:c r="D4139" s="1" t="str">
        <x:v>USCA</x:v>
      </x:c>
      <x:c r="E4139" s="1" t="str">
        <x:v>PROCESSING</x:v>
      </x:c>
      <x:c r="F4139" s="1" t="str">
        <x:v>Advance shipping</x:v>
      </x:c>
      <x:c r="G4139" s="6" t="n">
        <x:v>2</x:v>
      </x:c>
      <x:c r="H4139" s="6" t="n">
        <x:v>4</x:v>
      </x:c>
      <x:c r="I4139" s="6" t="n">
        <x:f>G4139-H4139</x:f>
        <x:v>-2</x:v>
      </x:c>
      <x:c r="J4139" s="6" t="n">
        <x:f>IF(OR(E4139="CANCELED",E4139="SUSPECTED_FRAUD",F4139="Shipping canceled"),0,1)</x:f>
        <x:v>1</x:v>
      </x:c>
      <x:c r="K4139" s="6" t="n">
        <x:f>IF(G4139&gt;H4139,1,0)</x:f>
        <x:v>0</x:v>
      </x:c>
      <x:c r="L4139" s="6" t="n">
        <x:f>J4139*K4139</x:f>
        <x:v>0</x:v>
      </x:c>
    </x:row>
    <x:row r="4140">
      <x:c r="A4140" s="1" t="n">
        <x:v>31485</x:v>
      </x:c>
      <x:c r="B4140" s="5" t="d">
        <x:v>2016-04-04T00:00:00.000Z</x:v>
      </x:c>
      <x:c r="C4140" s="1" t="str">
        <x:v>Standard Class</x:v>
      </x:c>
      <x:c r="D4140" s="1" t="str">
        <x:v>USCA</x:v>
      </x:c>
      <x:c r="E4140" s="1" t="str">
        <x:v>COMPLETE</x:v>
      </x:c>
      <x:c r="F4140" s="1" t="str">
        <x:v>Late delivery</x:v>
      </x:c>
      <x:c r="G4140" s="6" t="n">
        <x:v>6</x:v>
      </x:c>
      <x:c r="H4140" s="6" t="n">
        <x:v>4</x:v>
      </x:c>
      <x:c r="I4140" s="6" t="n">
        <x:f>G4140-H4140</x:f>
        <x:v>2</x:v>
      </x:c>
      <x:c r="J4140" s="6" t="n">
        <x:f>IF(OR(E4140="CANCELED",E4140="SUSPECTED_FRAUD",F4140="Shipping canceled"),0,1)</x:f>
        <x:v>1</x:v>
      </x:c>
      <x:c r="K4140" s="6" t="n">
        <x:f>IF(G4140&gt;H4140,1,0)</x:f>
        <x:v>1</x:v>
      </x:c>
      <x:c r="L4140" s="6" t="n">
        <x:f>J4140*K4140</x:f>
        <x:v>1</x:v>
      </x:c>
    </x:row>
    <x:row r="4141">
      <x:c r="A4141" s="1" t="n">
        <x:v>31490</x:v>
      </x:c>
      <x:c r="B4141" s="5" t="d">
        <x:v>2016-04-04T00:00:00.000Z</x:v>
      </x:c>
      <x:c r="C4141" s="1" t="str">
        <x:v>First Class</x:v>
      </x:c>
      <x:c r="D4141" s="1" t="str">
        <x:v>USCA</x:v>
      </x:c>
      <x:c r="E4141" s="1" t="str">
        <x:v>CLOSED</x:v>
      </x:c>
      <x:c r="F4141" s="1" t="str">
        <x:v>Late delivery</x:v>
      </x:c>
      <x:c r="G4141" s="6" t="n">
        <x:v>2</x:v>
      </x:c>
      <x:c r="H4141" s="6" t="n">
        <x:v>1</x:v>
      </x:c>
      <x:c r="I4141" s="6" t="n">
        <x:f>G4141-H4141</x:f>
        <x:v>1</x:v>
      </x:c>
      <x:c r="J4141" s="6" t="n">
        <x:f>IF(OR(E4141="CANCELED",E4141="SUSPECTED_FRAUD",F4141="Shipping canceled"),0,1)</x:f>
        <x:v>1</x:v>
      </x:c>
      <x:c r="K4141" s="6" t="n">
        <x:f>IF(G4141&gt;H4141,1,0)</x:f>
        <x:v>1</x:v>
      </x:c>
      <x:c r="L4141" s="6" t="n">
        <x:f>J4141*K4141</x:f>
        <x:v>1</x:v>
      </x:c>
    </x:row>
    <x:row r="4142">
      <x:c r="A4142" s="1" t="n">
        <x:v>31495</x:v>
      </x:c>
      <x:c r="B4142" s="5" t="d">
        <x:v>2016-04-04T00:00:00.000Z</x:v>
      </x:c>
      <x:c r="C4142" s="1" t="str">
        <x:v>Second Class</x:v>
      </x:c>
      <x:c r="D4142" s="1" t="str">
        <x:v>USCA</x:v>
      </x:c>
      <x:c r="E4142" s="1" t="str">
        <x:v>COMPLETE</x:v>
      </x:c>
      <x:c r="F4142" s="1" t="str">
        <x:v>Late delivery</x:v>
      </x:c>
      <x:c r="G4142" s="6" t="n">
        <x:v>6</x:v>
      </x:c>
      <x:c r="H4142" s="6" t="n">
        <x:v>2</x:v>
      </x:c>
      <x:c r="I4142" s="6" t="n">
        <x:f>G4142-H4142</x:f>
        <x:v>4</x:v>
      </x:c>
      <x:c r="J4142" s="6" t="n">
        <x:f>IF(OR(E4142="CANCELED",E4142="SUSPECTED_FRAUD",F4142="Shipping canceled"),0,1)</x:f>
        <x:v>1</x:v>
      </x:c>
      <x:c r="K4142" s="6" t="n">
        <x:f>IF(G4142&gt;H4142,1,0)</x:f>
        <x:v>1</x:v>
      </x:c>
      <x:c r="L4142" s="6" t="n">
        <x:f>J4142*K4142</x:f>
        <x:v>1</x:v>
      </x:c>
    </x:row>
    <x:row r="4143">
      <x:c r="A4143" s="1" t="n">
        <x:v>31519</x:v>
      </x:c>
      <x:c r="B4143" s="5" t="d">
        <x:v>2016-04-05T00:00:00.000Z</x:v>
      </x:c>
      <x:c r="C4143" s="1" t="str">
        <x:v>Standard Class</x:v>
      </x:c>
      <x:c r="D4143" s="1" t="str">
        <x:v>USCA</x:v>
      </x:c>
      <x:c r="E4143" s="1" t="str">
        <x:v>COMPLETE</x:v>
      </x:c>
      <x:c r="F4143" s="1" t="str">
        <x:v>Late delivery</x:v>
      </x:c>
      <x:c r="G4143" s="6" t="n">
        <x:v>5</x:v>
      </x:c>
      <x:c r="H4143" s="6" t="n">
        <x:v>4</x:v>
      </x:c>
      <x:c r="I4143" s="6" t="n">
        <x:f>G4143-H4143</x:f>
        <x:v>1</x:v>
      </x:c>
      <x:c r="J4143" s="6" t="n">
        <x:f>IF(OR(E4143="CANCELED",E4143="SUSPECTED_FRAUD",F4143="Shipping canceled"),0,1)</x:f>
        <x:v>1</x:v>
      </x:c>
      <x:c r="K4143" s="6" t="n">
        <x:f>IF(G4143&gt;H4143,1,0)</x:f>
        <x:v>1</x:v>
      </x:c>
      <x:c r="L4143" s="6" t="n">
        <x:f>J4143*K4143</x:f>
        <x:v>1</x:v>
      </x:c>
    </x:row>
    <x:row r="4144">
      <x:c r="A4144" s="1" t="n">
        <x:v>31533</x:v>
      </x:c>
      <x:c r="B4144" s="5" t="d">
        <x:v>2016-04-05T00:00:00.000Z</x:v>
      </x:c>
      <x:c r="C4144" s="1" t="str">
        <x:v>Standard Class</x:v>
      </x:c>
      <x:c r="D4144" s="1" t="str">
        <x:v>USCA</x:v>
      </x:c>
      <x:c r="E4144" s="1" t="str">
        <x:v>PENDING</x:v>
      </x:c>
      <x:c r="F4144" s="1" t="str">
        <x:v>Shipping on time</x:v>
      </x:c>
      <x:c r="G4144" s="6" t="n">
        <x:v>4</x:v>
      </x:c>
      <x:c r="H4144" s="6" t="n">
        <x:v>4</x:v>
      </x:c>
      <x:c r="I4144" s="6" t="n">
        <x:f>G4144-H4144</x:f>
        <x:v>0</x:v>
      </x:c>
      <x:c r="J4144" s="6" t="n">
        <x:f>IF(OR(E4144="CANCELED",E4144="SUSPECTED_FRAUD",F4144="Shipping canceled"),0,1)</x:f>
        <x:v>1</x:v>
      </x:c>
      <x:c r="K4144" s="6" t="n">
        <x:f>IF(G4144&gt;H4144,1,0)</x:f>
        <x:v>0</x:v>
      </x:c>
      <x:c r="L4144" s="6" t="n">
        <x:f>J4144*K4144</x:f>
        <x:v>0</x:v>
      </x:c>
    </x:row>
    <x:row r="4145">
      <x:c r="A4145" s="1" t="n">
        <x:v>31537</x:v>
      </x:c>
      <x:c r="B4145" s="5" t="d">
        <x:v>2016-04-05T00:00:00.000Z</x:v>
      </x:c>
      <x:c r="C4145" s="1" t="str">
        <x:v>Second Class</x:v>
      </x:c>
      <x:c r="D4145" s="1" t="str">
        <x:v>USCA</x:v>
      </x:c>
      <x:c r="E4145" s="1" t="str">
        <x:v>CLOSED</x:v>
      </x:c>
      <x:c r="F4145" s="1" t="str">
        <x:v>Late delivery</x:v>
      </x:c>
      <x:c r="G4145" s="6" t="n">
        <x:v>3</x:v>
      </x:c>
      <x:c r="H4145" s="6" t="n">
        <x:v>2</x:v>
      </x:c>
      <x:c r="I4145" s="6" t="n">
        <x:f>G4145-H4145</x:f>
        <x:v>1</x:v>
      </x:c>
      <x:c r="J4145" s="6" t="n">
        <x:f>IF(OR(E4145="CANCELED",E4145="SUSPECTED_FRAUD",F4145="Shipping canceled"),0,1)</x:f>
        <x:v>1</x:v>
      </x:c>
      <x:c r="K4145" s="6" t="n">
        <x:f>IF(G4145&gt;H4145,1,0)</x:f>
        <x:v>1</x:v>
      </x:c>
      <x:c r="L4145" s="6" t="n">
        <x:f>J4145*K4145</x:f>
        <x:v>1</x:v>
      </x:c>
    </x:row>
    <x:row r="4146">
      <x:c r="A4146" s="1" t="n">
        <x:v>31546</x:v>
      </x:c>
      <x:c r="B4146" s="5" t="d">
        <x:v>2016-04-05T00:00:00.000Z</x:v>
      </x:c>
      <x:c r="C4146" s="1" t="str">
        <x:v>Standard Class</x:v>
      </x:c>
      <x:c r="D4146" s="1" t="str">
        <x:v>USCA</x:v>
      </x:c>
      <x:c r="E4146" s="1" t="str">
        <x:v>COMPLETE</x:v>
      </x:c>
      <x:c r="F4146" s="1" t="str">
        <x:v>Advance shipping</x:v>
      </x:c>
      <x:c r="G4146" s="6" t="n">
        <x:v>2</x:v>
      </x:c>
      <x:c r="H4146" s="6" t="n">
        <x:v>4</x:v>
      </x:c>
      <x:c r="I4146" s="6" t="n">
        <x:f>G4146-H4146</x:f>
        <x:v>-2</x:v>
      </x:c>
      <x:c r="J4146" s="6" t="n">
        <x:f>IF(OR(E4146="CANCELED",E4146="SUSPECTED_FRAUD",F4146="Shipping canceled"),0,1)</x:f>
        <x:v>1</x:v>
      </x:c>
      <x:c r="K4146" s="6" t="n">
        <x:f>IF(G4146&gt;H4146,1,0)</x:f>
        <x:v>0</x:v>
      </x:c>
      <x:c r="L4146" s="6" t="n">
        <x:f>J4146*K4146</x:f>
        <x:v>0</x:v>
      </x:c>
    </x:row>
    <x:row r="4147">
      <x:c r="A4147" s="1" t="n">
        <x:v>31557</x:v>
      </x:c>
      <x:c r="B4147" s="5" t="d">
        <x:v>2016-04-05T00:00:00.000Z</x:v>
      </x:c>
      <x:c r="C4147" s="1" t="str">
        <x:v>Second Class</x:v>
      </x:c>
      <x:c r="D4147" s="1" t="str">
        <x:v>USCA</x:v>
      </x:c>
      <x:c r="E4147" s="1" t="str">
        <x:v>COMPLETE</x:v>
      </x:c>
      <x:c r="F4147" s="1" t="str">
        <x:v>Late delivery</x:v>
      </x:c>
      <x:c r="G4147" s="6" t="n">
        <x:v>3</x:v>
      </x:c>
      <x:c r="H4147" s="6" t="n">
        <x:v>2</x:v>
      </x:c>
      <x:c r="I4147" s="6" t="n">
        <x:f>G4147-H4147</x:f>
        <x:v>1</x:v>
      </x:c>
      <x:c r="J4147" s="6" t="n">
        <x:f>IF(OR(E4147="CANCELED",E4147="SUSPECTED_FRAUD",F4147="Shipping canceled"),0,1)</x:f>
        <x:v>1</x:v>
      </x:c>
      <x:c r="K4147" s="6" t="n">
        <x:f>IF(G4147&gt;H4147,1,0)</x:f>
        <x:v>1</x:v>
      </x:c>
      <x:c r="L4147" s="6" t="n">
        <x:f>J4147*K4147</x:f>
        <x:v>1</x:v>
      </x:c>
    </x:row>
    <x:row r="4148">
      <x:c r="A4148" s="1" t="n">
        <x:v>31558</x:v>
      </x:c>
      <x:c r="B4148" s="5" t="d">
        <x:v>2016-04-05T00:00:00.000Z</x:v>
      </x:c>
      <x:c r="C4148" s="1" t="str">
        <x:v>Second Class</x:v>
      </x:c>
      <x:c r="D4148" s="1" t="str">
        <x:v>USCA</x:v>
      </x:c>
      <x:c r="E4148" s="1" t="str">
        <x:v>COMPLETE</x:v>
      </x:c>
      <x:c r="F4148" s="1" t="str">
        <x:v>Late delivery</x:v>
      </x:c>
      <x:c r="G4148" s="6" t="n">
        <x:v>4</x:v>
      </x:c>
      <x:c r="H4148" s="6" t="n">
        <x:v>2</x:v>
      </x:c>
      <x:c r="I4148" s="6" t="n">
        <x:f>G4148-H4148</x:f>
        <x:v>2</x:v>
      </x:c>
      <x:c r="J4148" s="6" t="n">
        <x:f>IF(OR(E4148="CANCELED",E4148="SUSPECTED_FRAUD",F4148="Shipping canceled"),0,1)</x:f>
        <x:v>1</x:v>
      </x:c>
      <x:c r="K4148" s="6" t="n">
        <x:f>IF(G4148&gt;H4148,1,0)</x:f>
        <x:v>1</x:v>
      </x:c>
      <x:c r="L4148" s="6" t="n">
        <x:f>J4148*K4148</x:f>
        <x:v>1</x:v>
      </x:c>
    </x:row>
    <x:row r="4149">
      <x:c r="A4149" s="1" t="n">
        <x:v>31573</x:v>
      </x:c>
      <x:c r="B4149" s="5" t="d">
        <x:v>2016-04-05T00:00:00.000Z</x:v>
      </x:c>
      <x:c r="C4149" s="1" t="str">
        <x:v>Second Class</x:v>
      </x:c>
      <x:c r="D4149" s="1" t="str">
        <x:v>USCA</x:v>
      </x:c>
      <x:c r="E4149" s="1" t="str">
        <x:v>ON_HOLD</x:v>
      </x:c>
      <x:c r="F4149" s="1" t="str">
        <x:v>Late delivery</x:v>
      </x:c>
      <x:c r="G4149" s="6" t="n">
        <x:v>4</x:v>
      </x:c>
      <x:c r="H4149" s="6" t="n">
        <x:v>2</x:v>
      </x:c>
      <x:c r="I4149" s="6" t="n">
        <x:f>G4149-H4149</x:f>
        <x:v>2</x:v>
      </x:c>
      <x:c r="J4149" s="6" t="n">
        <x:f>IF(OR(E4149="CANCELED",E4149="SUSPECTED_FRAUD",F4149="Shipping canceled"),0,1)</x:f>
        <x:v>1</x:v>
      </x:c>
      <x:c r="K4149" s="6" t="n">
        <x:f>IF(G4149&gt;H4149,1,0)</x:f>
        <x:v>1</x:v>
      </x:c>
      <x:c r="L4149" s="6" t="n">
        <x:f>J4149*K4149</x:f>
        <x:v>1</x:v>
      </x:c>
    </x:row>
    <x:row r="4150">
      <x:c r="A4150" s="1" t="n">
        <x:v>31574</x:v>
      </x:c>
      <x:c r="B4150" s="5" t="d">
        <x:v>2016-04-05T00:00:00.000Z</x:v>
      </x:c>
      <x:c r="C4150" s="1" t="str">
        <x:v>First Class</x:v>
      </x:c>
      <x:c r="D4150" s="1" t="str">
        <x:v>USCA</x:v>
      </x:c>
      <x:c r="E4150" s="1" t="str">
        <x:v>CLOSED</x:v>
      </x:c>
      <x:c r="F4150" s="1" t="str">
        <x:v>Late delivery</x:v>
      </x:c>
      <x:c r="G4150" s="6" t="n">
        <x:v>2</x:v>
      </x:c>
      <x:c r="H4150" s="6" t="n">
        <x:v>1</x:v>
      </x:c>
      <x:c r="I4150" s="6" t="n">
        <x:f>G4150-H4150</x:f>
        <x:v>1</x:v>
      </x:c>
      <x:c r="J4150" s="6" t="n">
        <x:f>IF(OR(E4150="CANCELED",E4150="SUSPECTED_FRAUD",F4150="Shipping canceled"),0,1)</x:f>
        <x:v>1</x:v>
      </x:c>
      <x:c r="K4150" s="6" t="n">
        <x:f>IF(G4150&gt;H4150,1,0)</x:f>
        <x:v>1</x:v>
      </x:c>
      <x:c r="L4150" s="6" t="n">
        <x:f>J4150*K4150</x:f>
        <x:v>1</x:v>
      </x:c>
    </x:row>
    <x:row r="4151">
      <x:c r="A4151" s="1" t="n">
        <x:v>31580</x:v>
      </x:c>
      <x:c r="B4151" s="5" t="d">
        <x:v>2016-04-05T00:00:00.000Z</x:v>
      </x:c>
      <x:c r="C4151" s="1" t="str">
        <x:v>Standard Class</x:v>
      </x:c>
      <x:c r="D4151" s="1" t="str">
        <x:v>USCA</x:v>
      </x:c>
      <x:c r="E4151" s="1" t="str">
        <x:v>PROCESSING</x:v>
      </x:c>
      <x:c r="F4151" s="1" t="str">
        <x:v>Late delivery</x:v>
      </x:c>
      <x:c r="G4151" s="6" t="n">
        <x:v>6</x:v>
      </x:c>
      <x:c r="H4151" s="6" t="n">
        <x:v>4</x:v>
      </x:c>
      <x:c r="I4151" s="6" t="n">
        <x:f>G4151-H4151</x:f>
        <x:v>2</x:v>
      </x:c>
      <x:c r="J4151" s="6" t="n">
        <x:f>IF(OR(E4151="CANCELED",E4151="SUSPECTED_FRAUD",F4151="Shipping canceled"),0,1)</x:f>
        <x:v>1</x:v>
      </x:c>
      <x:c r="K4151" s="6" t="n">
        <x:f>IF(G4151&gt;H4151,1,0)</x:f>
        <x:v>1</x:v>
      </x:c>
      <x:c r="L4151" s="6" t="n">
        <x:f>J4151*K4151</x:f>
        <x:v>1</x:v>
      </x:c>
    </x:row>
    <x:row r="4152">
      <x:c r="A4152" s="1" t="n">
        <x:v>31606</x:v>
      </x:c>
      <x:c r="B4152" s="5" t="d">
        <x:v>2016-04-06T00:00:00.000Z</x:v>
      </x:c>
      <x:c r="C4152" s="1" t="str">
        <x:v>Standard Class</x:v>
      </x:c>
      <x:c r="D4152" s="1" t="str">
        <x:v>USCA</x:v>
      </x:c>
      <x:c r="E4152" s="1" t="str">
        <x:v>PENDING_PAYMENT</x:v>
      </x:c>
      <x:c r="F4152" s="1" t="str">
        <x:v>Advance shipping</x:v>
      </x:c>
      <x:c r="G4152" s="6" t="n">
        <x:v>2</x:v>
      </x:c>
      <x:c r="H4152" s="6" t="n">
        <x:v>4</x:v>
      </x:c>
      <x:c r="I4152" s="6" t="n">
        <x:f>G4152-H4152</x:f>
        <x:v>-2</x:v>
      </x:c>
      <x:c r="J4152" s="6" t="n">
        <x:f>IF(OR(E4152="CANCELED",E4152="SUSPECTED_FRAUD",F4152="Shipping canceled"),0,1)</x:f>
        <x:v>1</x:v>
      </x:c>
      <x:c r="K4152" s="6" t="n">
        <x:f>IF(G4152&gt;H4152,1,0)</x:f>
        <x:v>0</x:v>
      </x:c>
      <x:c r="L4152" s="6" t="n">
        <x:f>J4152*K4152</x:f>
        <x:v>0</x:v>
      </x:c>
    </x:row>
    <x:row r="4153">
      <x:c r="A4153" s="1" t="n">
        <x:v>31607</x:v>
      </x:c>
      <x:c r="B4153" s="5" t="d">
        <x:v>2016-04-06T00:00:00.000Z</x:v>
      </x:c>
      <x:c r="C4153" s="1" t="str">
        <x:v>Standard Class</x:v>
      </x:c>
      <x:c r="D4153" s="1" t="str">
        <x:v>USCA</x:v>
      </x:c>
      <x:c r="E4153" s="1" t="str">
        <x:v>ON_HOLD</x:v>
      </x:c>
      <x:c r="F4153" s="1" t="str">
        <x:v>Advance shipping</x:v>
      </x:c>
      <x:c r="G4153" s="6" t="n">
        <x:v>3</x:v>
      </x:c>
      <x:c r="H4153" s="6" t="n">
        <x:v>4</x:v>
      </x:c>
      <x:c r="I4153" s="6" t="n">
        <x:f>G4153-H4153</x:f>
        <x:v>-1</x:v>
      </x:c>
      <x:c r="J4153" s="6" t="n">
        <x:f>IF(OR(E4153="CANCELED",E4153="SUSPECTED_FRAUD",F4153="Shipping canceled"),0,1)</x:f>
        <x:v>1</x:v>
      </x:c>
      <x:c r="K4153" s="6" t="n">
        <x:f>IF(G4153&gt;H4153,1,0)</x:f>
        <x:v>0</x:v>
      </x:c>
      <x:c r="L4153" s="6" t="n">
        <x:f>J4153*K4153</x:f>
        <x:v>0</x:v>
      </x:c>
    </x:row>
    <x:row r="4154">
      <x:c r="A4154" s="1" t="n">
        <x:v>31623</x:v>
      </x:c>
      <x:c r="B4154" s="5" t="d">
        <x:v>2016-04-06T00:00:00.000Z</x:v>
      </x:c>
      <x:c r="C4154" s="1" t="str">
        <x:v>Standard Class</x:v>
      </x:c>
      <x:c r="D4154" s="1" t="str">
        <x:v>USCA</x:v>
      </x:c>
      <x:c r="E4154" s="1" t="str">
        <x:v>COMPLETE</x:v>
      </x:c>
      <x:c r="F4154" s="1" t="str">
        <x:v>Shipping on time</x:v>
      </x:c>
      <x:c r="G4154" s="6" t="n">
        <x:v>4</x:v>
      </x:c>
      <x:c r="H4154" s="6" t="n">
        <x:v>4</x:v>
      </x:c>
      <x:c r="I4154" s="6" t="n">
        <x:f>G4154-H4154</x:f>
        <x:v>0</x:v>
      </x:c>
      <x:c r="J4154" s="6" t="n">
        <x:f>IF(OR(E4154="CANCELED",E4154="SUSPECTED_FRAUD",F4154="Shipping canceled"),0,1)</x:f>
        <x:v>1</x:v>
      </x:c>
      <x:c r="K4154" s="6" t="n">
        <x:f>IF(G4154&gt;H4154,1,0)</x:f>
        <x:v>0</x:v>
      </x:c>
      <x:c r="L4154" s="6" t="n">
        <x:f>J4154*K4154</x:f>
        <x:v>0</x:v>
      </x:c>
    </x:row>
    <x:row r="4155">
      <x:c r="A4155" s="1" t="n">
        <x:v>31634</x:v>
      </x:c>
      <x:c r="B4155" s="5" t="d">
        <x:v>2016-04-06T00:00:00.000Z</x:v>
      </x:c>
      <x:c r="C4155" s="1" t="str">
        <x:v>Standard Class</x:v>
      </x:c>
      <x:c r="D4155" s="1" t="str">
        <x:v>USCA</x:v>
      </x:c>
      <x:c r="E4155" s="1" t="str">
        <x:v>COMPLETE</x:v>
      </x:c>
      <x:c r="F4155" s="1" t="str">
        <x:v>Late delivery</x:v>
      </x:c>
      <x:c r="G4155" s="6" t="n">
        <x:v>5</x:v>
      </x:c>
      <x:c r="H4155" s="6" t="n">
        <x:v>4</x:v>
      </x:c>
      <x:c r="I4155" s="6" t="n">
        <x:f>G4155-H4155</x:f>
        <x:v>1</x:v>
      </x:c>
      <x:c r="J4155" s="6" t="n">
        <x:f>IF(OR(E4155="CANCELED",E4155="SUSPECTED_FRAUD",F4155="Shipping canceled"),0,1)</x:f>
        <x:v>1</x:v>
      </x:c>
      <x:c r="K4155" s="6" t="n">
        <x:f>IF(G4155&gt;H4155,1,0)</x:f>
        <x:v>1</x:v>
      </x:c>
      <x:c r="L4155" s="6" t="n">
        <x:f>J4155*K4155</x:f>
        <x:v>1</x:v>
      </x:c>
    </x:row>
    <x:row r="4156">
      <x:c r="A4156" s="1" t="n">
        <x:v>31644</x:v>
      </x:c>
      <x:c r="B4156" s="5" t="d">
        <x:v>2016-04-06T00:00:00.000Z</x:v>
      </x:c>
      <x:c r="C4156" s="1" t="str">
        <x:v>Standard Class</x:v>
      </x:c>
      <x:c r="D4156" s="1" t="str">
        <x:v>USCA</x:v>
      </x:c>
      <x:c r="E4156" s="1" t="str">
        <x:v>PENDING_PAYMENT</x:v>
      </x:c>
      <x:c r="F4156" s="1" t="str">
        <x:v>Late delivery</x:v>
      </x:c>
      <x:c r="G4156" s="6" t="n">
        <x:v>5</x:v>
      </x:c>
      <x:c r="H4156" s="6" t="n">
        <x:v>4</x:v>
      </x:c>
      <x:c r="I4156" s="6" t="n">
        <x:f>G4156-H4156</x:f>
        <x:v>1</x:v>
      </x:c>
      <x:c r="J4156" s="6" t="n">
        <x:f>IF(OR(E4156="CANCELED",E4156="SUSPECTED_FRAUD",F4156="Shipping canceled"),0,1)</x:f>
        <x:v>1</x:v>
      </x:c>
      <x:c r="K4156" s="6" t="n">
        <x:f>IF(G4156&gt;H4156,1,0)</x:f>
        <x:v>1</x:v>
      </x:c>
      <x:c r="L4156" s="6" t="n">
        <x:f>J4156*K4156</x:f>
        <x:v>1</x:v>
      </x:c>
    </x:row>
    <x:row r="4157">
      <x:c r="A4157" s="1" t="n">
        <x:v>31647</x:v>
      </x:c>
      <x:c r="B4157" s="5" t="d">
        <x:v>2016-04-06T00:00:00.000Z</x:v>
      </x:c>
      <x:c r="C4157" s="1" t="str">
        <x:v>Standard Class</x:v>
      </x:c>
      <x:c r="D4157" s="1" t="str">
        <x:v>USCA</x:v>
      </x:c>
      <x:c r="E4157" s="1" t="str">
        <x:v>PENDING</x:v>
      </x:c>
      <x:c r="F4157" s="1" t="str">
        <x:v>Advance shipping</x:v>
      </x:c>
      <x:c r="G4157" s="6" t="n">
        <x:v>3</x:v>
      </x:c>
      <x:c r="H4157" s="6" t="n">
        <x:v>4</x:v>
      </x:c>
      <x:c r="I4157" s="6" t="n">
        <x:f>G4157-H4157</x:f>
        <x:v>-1</x:v>
      </x:c>
      <x:c r="J4157" s="6" t="n">
        <x:f>IF(OR(E4157="CANCELED",E4157="SUSPECTED_FRAUD",F4157="Shipping canceled"),0,1)</x:f>
        <x:v>1</x:v>
      </x:c>
      <x:c r="K4157" s="6" t="n">
        <x:f>IF(G4157&gt;H4157,1,0)</x:f>
        <x:v>0</x:v>
      </x:c>
      <x:c r="L4157" s="6" t="n">
        <x:f>J4157*K4157</x:f>
        <x:v>0</x:v>
      </x:c>
    </x:row>
    <x:row r="4158">
      <x:c r="A4158" s="1" t="n">
        <x:v>31650</x:v>
      </x:c>
      <x:c r="B4158" s="5" t="d">
        <x:v>2016-04-07T00:00:00.000Z</x:v>
      </x:c>
      <x:c r="C4158" s="1" t="str">
        <x:v>Standard Class</x:v>
      </x:c>
      <x:c r="D4158" s="1" t="str">
        <x:v>USCA</x:v>
      </x:c>
      <x:c r="E4158" s="1" t="str">
        <x:v>COMPLETE</x:v>
      </x:c>
      <x:c r="F4158" s="1" t="str">
        <x:v>Late delivery</x:v>
      </x:c>
      <x:c r="G4158" s="6" t="n">
        <x:v>6</x:v>
      </x:c>
      <x:c r="H4158" s="6" t="n">
        <x:v>4</x:v>
      </x:c>
      <x:c r="I4158" s="6" t="n">
        <x:f>G4158-H4158</x:f>
        <x:v>2</x:v>
      </x:c>
      <x:c r="J4158" s="6" t="n">
        <x:f>IF(OR(E4158="CANCELED",E4158="SUSPECTED_FRAUD",F4158="Shipping canceled"),0,1)</x:f>
        <x:v>1</x:v>
      </x:c>
      <x:c r="K4158" s="6" t="n">
        <x:f>IF(G4158&gt;H4158,1,0)</x:f>
        <x:v>1</x:v>
      </x:c>
      <x:c r="L4158" s="6" t="n">
        <x:f>J4158*K4158</x:f>
        <x:v>1</x:v>
      </x:c>
    </x:row>
    <x:row r="4159">
      <x:c r="A4159" s="1" t="n">
        <x:v>31684</x:v>
      </x:c>
      <x:c r="B4159" s="5" t="d">
        <x:v>2016-04-07T00:00:00.000Z</x:v>
      </x:c>
      <x:c r="C4159" s="1" t="str">
        <x:v>Standard Class</x:v>
      </x:c>
      <x:c r="D4159" s="1" t="str">
        <x:v>USCA</x:v>
      </x:c>
      <x:c r="E4159" s="1" t="str">
        <x:v>ON_HOLD</x:v>
      </x:c>
      <x:c r="F4159" s="1" t="str">
        <x:v>Late delivery</x:v>
      </x:c>
      <x:c r="G4159" s="6" t="n">
        <x:v>5</x:v>
      </x:c>
      <x:c r="H4159" s="6" t="n">
        <x:v>4</x:v>
      </x:c>
      <x:c r="I4159" s="6" t="n">
        <x:f>G4159-H4159</x:f>
        <x:v>1</x:v>
      </x:c>
      <x:c r="J4159" s="6" t="n">
        <x:f>IF(OR(E4159="CANCELED",E4159="SUSPECTED_FRAUD",F4159="Shipping canceled"),0,1)</x:f>
        <x:v>1</x:v>
      </x:c>
      <x:c r="K4159" s="6" t="n">
        <x:f>IF(G4159&gt;H4159,1,0)</x:f>
        <x:v>1</x:v>
      </x:c>
      <x:c r="L4159" s="6" t="n">
        <x:f>J4159*K4159</x:f>
        <x:v>1</x:v>
      </x:c>
    </x:row>
    <x:row r="4160">
      <x:c r="A4160" s="1" t="n">
        <x:v>31691</x:v>
      </x:c>
      <x:c r="B4160" s="5" t="d">
        <x:v>2016-04-07T00:00:00.000Z</x:v>
      </x:c>
      <x:c r="C4160" s="1" t="str">
        <x:v>Standard Class</x:v>
      </x:c>
      <x:c r="D4160" s="1" t="str">
        <x:v>USCA</x:v>
      </x:c>
      <x:c r="E4160" s="1" t="str">
        <x:v>PROCESSING</x:v>
      </x:c>
      <x:c r="F4160" s="1" t="str">
        <x:v>Advance shipping</x:v>
      </x:c>
      <x:c r="G4160" s="6" t="n">
        <x:v>2</x:v>
      </x:c>
      <x:c r="H4160" s="6" t="n">
        <x:v>4</x:v>
      </x:c>
      <x:c r="I4160" s="6" t="n">
        <x:f>G4160-H4160</x:f>
        <x:v>-2</x:v>
      </x:c>
      <x:c r="J4160" s="6" t="n">
        <x:f>IF(OR(E4160="CANCELED",E4160="SUSPECTED_FRAUD",F4160="Shipping canceled"),0,1)</x:f>
        <x:v>1</x:v>
      </x:c>
      <x:c r="K4160" s="6" t="n">
        <x:f>IF(G4160&gt;H4160,1,0)</x:f>
        <x:v>0</x:v>
      </x:c>
      <x:c r="L4160" s="6" t="n">
        <x:f>J4160*K4160</x:f>
        <x:v>0</x:v>
      </x:c>
    </x:row>
    <x:row r="4161">
      <x:c r="A4161" s="1" t="n">
        <x:v>31697</x:v>
      </x:c>
      <x:c r="B4161" s="5" t="d">
        <x:v>2016-04-07T00:00:00.000Z</x:v>
      </x:c>
      <x:c r="C4161" s="1" t="str">
        <x:v>Second Class</x:v>
      </x:c>
      <x:c r="D4161" s="1" t="str">
        <x:v>USCA</x:v>
      </x:c>
      <x:c r="E4161" s="1" t="str">
        <x:v>PENDING_PAYMENT</x:v>
      </x:c>
      <x:c r="F4161" s="1" t="str">
        <x:v>Late delivery</x:v>
      </x:c>
      <x:c r="G4161" s="6" t="n">
        <x:v>3</x:v>
      </x:c>
      <x:c r="H4161" s="6" t="n">
        <x:v>2</x:v>
      </x:c>
      <x:c r="I4161" s="6" t="n">
        <x:f>G4161-H4161</x:f>
        <x:v>1</x:v>
      </x:c>
      <x:c r="J4161" s="6" t="n">
        <x:f>IF(OR(E4161="CANCELED",E4161="SUSPECTED_FRAUD",F4161="Shipping canceled"),0,1)</x:f>
        <x:v>1</x:v>
      </x:c>
      <x:c r="K4161" s="6" t="n">
        <x:f>IF(G4161&gt;H4161,1,0)</x:f>
        <x:v>1</x:v>
      </x:c>
      <x:c r="L4161" s="6" t="n">
        <x:f>J4161*K4161</x:f>
        <x:v>1</x:v>
      </x:c>
    </x:row>
    <x:row r="4162">
      <x:c r="A4162" s="1" t="n">
        <x:v>31710</x:v>
      </x:c>
      <x:c r="B4162" s="5" t="d">
        <x:v>2016-04-07T00:00:00.000Z</x:v>
      </x:c>
      <x:c r="C4162" s="1" t="str">
        <x:v>Second Class</x:v>
      </x:c>
      <x:c r="D4162" s="1" t="str">
        <x:v>USCA</x:v>
      </x:c>
      <x:c r="E4162" s="1" t="str">
        <x:v>COMPLETE</x:v>
      </x:c>
      <x:c r="F4162" s="1" t="str">
        <x:v>Late delivery</x:v>
      </x:c>
      <x:c r="G4162" s="6" t="n">
        <x:v>6</x:v>
      </x:c>
      <x:c r="H4162" s="6" t="n">
        <x:v>2</x:v>
      </x:c>
      <x:c r="I4162" s="6" t="n">
        <x:f>G4162-H4162</x:f>
        <x:v>4</x:v>
      </x:c>
      <x:c r="J4162" s="6" t="n">
        <x:f>IF(OR(E4162="CANCELED",E4162="SUSPECTED_FRAUD",F4162="Shipping canceled"),0,1)</x:f>
        <x:v>1</x:v>
      </x:c>
      <x:c r="K4162" s="6" t="n">
        <x:f>IF(G4162&gt;H4162,1,0)</x:f>
        <x:v>1</x:v>
      </x:c>
      <x:c r="L4162" s="6" t="n">
        <x:f>J4162*K4162</x:f>
        <x:v>1</x:v>
      </x:c>
    </x:row>
    <x:row r="4163">
      <x:c r="A4163" s="1" t="n">
        <x:v>31727</x:v>
      </x:c>
      <x:c r="B4163" s="5" t="d">
        <x:v>2016-04-08T00:00:00.000Z</x:v>
      </x:c>
      <x:c r="C4163" s="1" t="str">
        <x:v>Standard Class</x:v>
      </x:c>
      <x:c r="D4163" s="1" t="str">
        <x:v>USCA</x:v>
      </x:c>
      <x:c r="E4163" s="1" t="str">
        <x:v>COMPLETE</x:v>
      </x:c>
      <x:c r="F4163" s="1" t="str">
        <x:v>Advance shipping</x:v>
      </x:c>
      <x:c r="G4163" s="6" t="n">
        <x:v>3</x:v>
      </x:c>
      <x:c r="H4163" s="6" t="n">
        <x:v>4</x:v>
      </x:c>
      <x:c r="I4163" s="6" t="n">
        <x:f>G4163-H4163</x:f>
        <x:v>-1</x:v>
      </x:c>
      <x:c r="J4163" s="6" t="n">
        <x:f>IF(OR(E4163="CANCELED",E4163="SUSPECTED_FRAUD",F4163="Shipping canceled"),0,1)</x:f>
        <x:v>1</x:v>
      </x:c>
      <x:c r="K4163" s="6" t="n">
        <x:f>IF(G4163&gt;H4163,1,0)</x:f>
        <x:v>0</x:v>
      </x:c>
      <x:c r="L4163" s="6" t="n">
        <x:f>J4163*K4163</x:f>
        <x:v>0</x:v>
      </x:c>
    </x:row>
    <x:row r="4164">
      <x:c r="A4164" s="1" t="n">
        <x:v>31738</x:v>
      </x:c>
      <x:c r="B4164" s="5" t="d">
        <x:v>2016-04-08T00:00:00.000Z</x:v>
      </x:c>
      <x:c r="C4164" s="1" t="str">
        <x:v>Standard Class</x:v>
      </x:c>
      <x:c r="D4164" s="1" t="str">
        <x:v>USCA</x:v>
      </x:c>
      <x:c r="E4164" s="1" t="str">
        <x:v>PROCESSING</x:v>
      </x:c>
      <x:c r="F4164" s="1" t="str">
        <x:v>Shipping on time</x:v>
      </x:c>
      <x:c r="G4164" s="6" t="n">
        <x:v>4</x:v>
      </x:c>
      <x:c r="H4164" s="6" t="n">
        <x:v>4</x:v>
      </x:c>
      <x:c r="I4164" s="6" t="n">
        <x:f>G4164-H4164</x:f>
        <x:v>0</x:v>
      </x:c>
      <x:c r="J4164" s="6" t="n">
        <x:f>IF(OR(E4164="CANCELED",E4164="SUSPECTED_FRAUD",F4164="Shipping canceled"),0,1)</x:f>
        <x:v>1</x:v>
      </x:c>
      <x:c r="K4164" s="6" t="n">
        <x:f>IF(G4164&gt;H4164,1,0)</x:f>
        <x:v>0</x:v>
      </x:c>
      <x:c r="L4164" s="6" t="n">
        <x:f>J4164*K4164</x:f>
        <x:v>0</x:v>
      </x:c>
    </x:row>
    <x:row r="4165">
      <x:c r="A4165" s="1" t="n">
        <x:v>31743</x:v>
      </x:c>
      <x:c r="B4165" s="5" t="d">
        <x:v>2016-04-08T00:00:00.000Z</x:v>
      </x:c>
      <x:c r="C4165" s="1" t="str">
        <x:v>First Class</x:v>
      </x:c>
      <x:c r="D4165" s="1" t="str">
        <x:v>USCA</x:v>
      </x:c>
      <x:c r="E4165" s="1" t="str">
        <x:v>CLOSED</x:v>
      </x:c>
      <x:c r="F4165" s="1" t="str">
        <x:v>Late delivery</x:v>
      </x:c>
      <x:c r="G4165" s="6" t="n">
        <x:v>2</x:v>
      </x:c>
      <x:c r="H4165" s="6" t="n">
        <x:v>1</x:v>
      </x:c>
      <x:c r="I4165" s="6" t="n">
        <x:f>G4165-H4165</x:f>
        <x:v>1</x:v>
      </x:c>
      <x:c r="J4165" s="6" t="n">
        <x:f>IF(OR(E4165="CANCELED",E4165="SUSPECTED_FRAUD",F4165="Shipping canceled"),0,1)</x:f>
        <x:v>1</x:v>
      </x:c>
      <x:c r="K4165" s="6" t="n">
        <x:f>IF(G4165&gt;H4165,1,0)</x:f>
        <x:v>1</x:v>
      </x:c>
      <x:c r="L4165" s="6" t="n">
        <x:f>J4165*K4165</x:f>
        <x:v>1</x:v>
      </x:c>
    </x:row>
    <x:row r="4166">
      <x:c r="A4166" s="1" t="n">
        <x:v>31747</x:v>
      </x:c>
      <x:c r="B4166" s="5" t="d">
        <x:v>2016-04-08T00:00:00.000Z</x:v>
      </x:c>
      <x:c r="C4166" s="1" t="str">
        <x:v>Standard Class</x:v>
      </x:c>
      <x:c r="D4166" s="1" t="str">
        <x:v>USCA</x:v>
      </x:c>
      <x:c r="E4166" s="1" t="str">
        <x:v>PENDING</x:v>
      </x:c>
      <x:c r="F4166" s="1" t="str">
        <x:v>Advance shipping</x:v>
      </x:c>
      <x:c r="G4166" s="6" t="n">
        <x:v>3</x:v>
      </x:c>
      <x:c r="H4166" s="6" t="n">
        <x:v>4</x:v>
      </x:c>
      <x:c r="I4166" s="6" t="n">
        <x:f>G4166-H4166</x:f>
        <x:v>-1</x:v>
      </x:c>
      <x:c r="J4166" s="6" t="n">
        <x:f>IF(OR(E4166="CANCELED",E4166="SUSPECTED_FRAUD",F4166="Shipping canceled"),0,1)</x:f>
        <x:v>1</x:v>
      </x:c>
      <x:c r="K4166" s="6" t="n">
        <x:f>IF(G4166&gt;H4166,1,0)</x:f>
        <x:v>0</x:v>
      </x:c>
      <x:c r="L4166" s="6" t="n">
        <x:f>J4166*K4166</x:f>
        <x:v>0</x:v>
      </x:c>
    </x:row>
    <x:row r="4167">
      <x:c r="A4167" s="1" t="n">
        <x:v>31756</x:v>
      </x:c>
      <x:c r="B4167" s="5" t="d">
        <x:v>2016-04-08T00:00:00.000Z</x:v>
      </x:c>
      <x:c r="C4167" s="1" t="str">
        <x:v>Second Class</x:v>
      </x:c>
      <x:c r="D4167" s="1" t="str">
        <x:v>USCA</x:v>
      </x:c>
      <x:c r="E4167" s="1" t="str">
        <x:v>COMPLETE</x:v>
      </x:c>
      <x:c r="F4167" s="1" t="str">
        <x:v>Shipping on time</x:v>
      </x:c>
      <x:c r="G4167" s="6" t="n">
        <x:v>2</x:v>
      </x:c>
      <x:c r="H4167" s="6" t="n">
        <x:v>2</x:v>
      </x:c>
      <x:c r="I4167" s="6" t="n">
        <x:f>G4167-H4167</x:f>
        <x:v>0</x:v>
      </x:c>
      <x:c r="J4167" s="6" t="n">
        <x:f>IF(OR(E4167="CANCELED",E4167="SUSPECTED_FRAUD",F4167="Shipping canceled"),0,1)</x:f>
        <x:v>1</x:v>
      </x:c>
      <x:c r="K4167" s="6" t="n">
        <x:f>IF(G4167&gt;H4167,1,0)</x:f>
        <x:v>0</x:v>
      </x:c>
      <x:c r="L4167" s="6" t="n">
        <x:f>J4167*K4167</x:f>
        <x:v>0</x:v>
      </x:c>
    </x:row>
    <x:row r="4168">
      <x:c r="A4168" s="1" t="n">
        <x:v>31768</x:v>
      </x:c>
      <x:c r="B4168" s="5" t="d">
        <x:v>2016-04-08T00:00:00.000Z</x:v>
      </x:c>
      <x:c r="C4168" s="1" t="str">
        <x:v>Standard Class</x:v>
      </x:c>
      <x:c r="D4168" s="1" t="str">
        <x:v>USCA</x:v>
      </x:c>
      <x:c r="E4168" s="1" t="str">
        <x:v>COMPLETE</x:v>
      </x:c>
      <x:c r="F4168" s="1" t="str">
        <x:v>Shipping on time</x:v>
      </x:c>
      <x:c r="G4168" s="6" t="n">
        <x:v>4</x:v>
      </x:c>
      <x:c r="H4168" s="6" t="n">
        <x:v>4</x:v>
      </x:c>
      <x:c r="I4168" s="6" t="n">
        <x:f>G4168-H4168</x:f>
        <x:v>0</x:v>
      </x:c>
      <x:c r="J4168" s="6" t="n">
        <x:f>IF(OR(E4168="CANCELED",E4168="SUSPECTED_FRAUD",F4168="Shipping canceled"),0,1)</x:f>
        <x:v>1</x:v>
      </x:c>
      <x:c r="K4168" s="6" t="n">
        <x:f>IF(G4168&gt;H4168,1,0)</x:f>
        <x:v>0</x:v>
      </x:c>
      <x:c r="L4168" s="6" t="n">
        <x:f>J4168*K4168</x:f>
        <x:v>0</x:v>
      </x:c>
    </x:row>
    <x:row r="4169">
      <x:c r="A4169" s="1" t="n">
        <x:v>31778</x:v>
      </x:c>
      <x:c r="B4169" s="5" t="d">
        <x:v>2016-04-08T00:00:00.000Z</x:v>
      </x:c>
      <x:c r="C4169" s="1" t="str">
        <x:v>First Class</x:v>
      </x:c>
      <x:c r="D4169" s="1" t="str">
        <x:v>USCA</x:v>
      </x:c>
      <x:c r="E4169" s="1" t="str">
        <x:v>PENDING</x:v>
      </x:c>
      <x:c r="F4169" s="1" t="str">
        <x:v>Late delivery</x:v>
      </x:c>
      <x:c r="G4169" s="6" t="n">
        <x:v>2</x:v>
      </x:c>
      <x:c r="H4169" s="6" t="n">
        <x:v>1</x:v>
      </x:c>
      <x:c r="I4169" s="6" t="n">
        <x:f>G4169-H4169</x:f>
        <x:v>1</x:v>
      </x:c>
      <x:c r="J4169" s="6" t="n">
        <x:f>IF(OR(E4169="CANCELED",E4169="SUSPECTED_FRAUD",F4169="Shipping canceled"),0,1)</x:f>
        <x:v>1</x:v>
      </x:c>
      <x:c r="K4169" s="6" t="n">
        <x:f>IF(G4169&gt;H4169,1,0)</x:f>
        <x:v>1</x:v>
      </x:c>
      <x:c r="L4169" s="6" t="n">
        <x:f>J4169*K4169</x:f>
        <x:v>1</x:v>
      </x:c>
    </x:row>
    <x:row r="4170">
      <x:c r="A4170" s="1" t="n">
        <x:v>31781</x:v>
      </x:c>
      <x:c r="B4170" s="5" t="d">
        <x:v>2016-04-08T00:00:00.000Z</x:v>
      </x:c>
      <x:c r="C4170" s="1" t="str">
        <x:v>Second Class</x:v>
      </x:c>
      <x:c r="D4170" s="1" t="str">
        <x:v>USCA</x:v>
      </x:c>
      <x:c r="E4170" s="1" t="str">
        <x:v>COMPLETE</x:v>
      </x:c>
      <x:c r="F4170" s="1" t="str">
        <x:v>Shipping on time</x:v>
      </x:c>
      <x:c r="G4170" s="6" t="n">
        <x:v>2</x:v>
      </x:c>
      <x:c r="H4170" s="6" t="n">
        <x:v>2</x:v>
      </x:c>
      <x:c r="I4170" s="6" t="n">
        <x:f>G4170-H4170</x:f>
        <x:v>0</x:v>
      </x:c>
      <x:c r="J4170" s="6" t="n">
        <x:f>IF(OR(E4170="CANCELED",E4170="SUSPECTED_FRAUD",F4170="Shipping canceled"),0,1)</x:f>
        <x:v>1</x:v>
      </x:c>
      <x:c r="K4170" s="6" t="n">
        <x:f>IF(G4170&gt;H4170,1,0)</x:f>
        <x:v>0</x:v>
      </x:c>
      <x:c r="L4170" s="6" t="n">
        <x:f>J4170*K4170</x:f>
        <x:v>0</x:v>
      </x:c>
    </x:row>
    <x:row r="4171">
      <x:c r="A4171" s="1" t="n">
        <x:v>31784</x:v>
      </x:c>
      <x:c r="B4171" s="5" t="d">
        <x:v>2016-04-08T00:00:00.000Z</x:v>
      </x:c>
      <x:c r="C4171" s="1" t="str">
        <x:v>Standard Class</x:v>
      </x:c>
      <x:c r="D4171" s="1" t="str">
        <x:v>USCA</x:v>
      </x:c>
      <x:c r="E4171" s="1" t="str">
        <x:v>COMPLETE</x:v>
      </x:c>
      <x:c r="F4171" s="1" t="str">
        <x:v>Late delivery</x:v>
      </x:c>
      <x:c r="G4171" s="6" t="n">
        <x:v>5</x:v>
      </x:c>
      <x:c r="H4171" s="6" t="n">
        <x:v>4</x:v>
      </x:c>
      <x:c r="I4171" s="6" t="n">
        <x:f>G4171-H4171</x:f>
        <x:v>1</x:v>
      </x:c>
      <x:c r="J4171" s="6" t="n">
        <x:f>IF(OR(E4171="CANCELED",E4171="SUSPECTED_FRAUD",F4171="Shipping canceled"),0,1)</x:f>
        <x:v>1</x:v>
      </x:c>
      <x:c r="K4171" s="6" t="n">
        <x:f>IF(G4171&gt;H4171,1,0)</x:f>
        <x:v>1</x:v>
      </x:c>
      <x:c r="L4171" s="6" t="n">
        <x:f>J4171*K4171</x:f>
        <x:v>1</x:v>
      </x:c>
    </x:row>
    <x:row r="4172">
      <x:c r="A4172" s="1" t="n">
        <x:v>31786</x:v>
      </x:c>
      <x:c r="B4172" s="5" t="d">
        <x:v>2016-04-08T00:00:00.000Z</x:v>
      </x:c>
      <x:c r="C4172" s="1" t="str">
        <x:v>Standard Class</x:v>
      </x:c>
      <x:c r="D4172" s="1" t="str">
        <x:v>USCA</x:v>
      </x:c>
      <x:c r="E4172" s="1" t="str">
        <x:v>COMPLETE</x:v>
      </x:c>
      <x:c r="F4172" s="1" t="str">
        <x:v>Advance shipping</x:v>
      </x:c>
      <x:c r="G4172" s="6" t="n">
        <x:v>2</x:v>
      </x:c>
      <x:c r="H4172" s="6" t="n">
        <x:v>4</x:v>
      </x:c>
      <x:c r="I4172" s="6" t="n">
        <x:f>G4172-H4172</x:f>
        <x:v>-2</x:v>
      </x:c>
      <x:c r="J4172" s="6" t="n">
        <x:f>IF(OR(E4172="CANCELED",E4172="SUSPECTED_FRAUD",F4172="Shipping canceled"),0,1)</x:f>
        <x:v>1</x:v>
      </x:c>
      <x:c r="K4172" s="6" t="n">
        <x:f>IF(G4172&gt;H4172,1,0)</x:f>
        <x:v>0</x:v>
      </x:c>
      <x:c r="L4172" s="6" t="n">
        <x:f>J4172*K4172</x:f>
        <x:v>0</x:v>
      </x:c>
    </x:row>
    <x:row r="4173">
      <x:c r="A4173" s="1" t="n">
        <x:v>31794</x:v>
      </x:c>
      <x:c r="B4173" s="5" t="d">
        <x:v>2016-04-09T00:00:00.000Z</x:v>
      </x:c>
      <x:c r="C4173" s="1" t="str">
        <x:v>Standard Class</x:v>
      </x:c>
      <x:c r="D4173" s="1" t="str">
        <x:v>USCA</x:v>
      </x:c>
      <x:c r="E4173" s="1" t="str">
        <x:v>PROCESSING</x:v>
      </x:c>
      <x:c r="F4173" s="1" t="str">
        <x:v>Late delivery</x:v>
      </x:c>
      <x:c r="G4173" s="6" t="n">
        <x:v>5</x:v>
      </x:c>
      <x:c r="H4173" s="6" t="n">
        <x:v>4</x:v>
      </x:c>
      <x:c r="I4173" s="6" t="n">
        <x:f>G4173-H4173</x:f>
        <x:v>1</x:v>
      </x:c>
      <x:c r="J4173" s="6" t="n">
        <x:f>IF(OR(E4173="CANCELED",E4173="SUSPECTED_FRAUD",F4173="Shipping canceled"),0,1)</x:f>
        <x:v>1</x:v>
      </x:c>
      <x:c r="K4173" s="6" t="n">
        <x:f>IF(G4173&gt;H4173,1,0)</x:f>
        <x:v>1</x:v>
      </x:c>
      <x:c r="L4173" s="6" t="n">
        <x:f>J4173*K4173</x:f>
        <x:v>1</x:v>
      </x:c>
    </x:row>
    <x:row r="4174">
      <x:c r="A4174" s="1" t="n">
        <x:v>31797</x:v>
      </x:c>
      <x:c r="B4174" s="5" t="d">
        <x:v>2016-04-09T00:00:00.000Z</x:v>
      </x:c>
      <x:c r="C4174" s="1" t="str">
        <x:v>Standard Class</x:v>
      </x:c>
      <x:c r="D4174" s="1" t="str">
        <x:v>USCA</x:v>
      </x:c>
      <x:c r="E4174" s="1" t="str">
        <x:v>SUSPECTED_FRAUD</x:v>
      </x:c>
      <x:c r="F4174" s="1" t="str">
        <x:v>Shipping canceled</x:v>
      </x:c>
      <x:c r="G4174" s="6" t="n">
        <x:v>3</x:v>
      </x:c>
      <x:c r="H4174" s="6" t="n">
        <x:v>4</x:v>
      </x:c>
      <x:c r="I4174" s="6" t="n">
        <x:f>G4174-H4174</x:f>
        <x:v>-1</x:v>
      </x:c>
      <x:c r="J4174" s="6" t="n">
        <x:f>IF(OR(E4174="CANCELED",E4174="SUSPECTED_FRAUD",F4174="Shipping canceled"),0,1)</x:f>
        <x:v>0</x:v>
      </x:c>
      <x:c r="K4174" s="6" t="n">
        <x:f>IF(G4174&gt;H4174,1,0)</x:f>
        <x:v>0</x:v>
      </x:c>
      <x:c r="L4174" s="6" t="n">
        <x:f>J4174*K4174</x:f>
        <x:v>0</x:v>
      </x:c>
    </x:row>
    <x:row r="4175">
      <x:c r="A4175" s="1" t="n">
        <x:v>31816</x:v>
      </x:c>
      <x:c r="B4175" s="5" t="d">
        <x:v>2016-04-09T00:00:00.000Z</x:v>
      </x:c>
      <x:c r="C4175" s="1" t="str">
        <x:v>Standard Class</x:v>
      </x:c>
      <x:c r="D4175" s="1" t="str">
        <x:v>USCA</x:v>
      </x:c>
      <x:c r="E4175" s="1" t="str">
        <x:v>COMPLETE</x:v>
      </x:c>
      <x:c r="F4175" s="1" t="str">
        <x:v>Advance shipping</x:v>
      </x:c>
      <x:c r="G4175" s="6" t="n">
        <x:v>2</x:v>
      </x:c>
      <x:c r="H4175" s="6" t="n">
        <x:v>4</x:v>
      </x:c>
      <x:c r="I4175" s="6" t="n">
        <x:f>G4175-H4175</x:f>
        <x:v>-2</x:v>
      </x:c>
      <x:c r="J4175" s="6" t="n">
        <x:f>IF(OR(E4175="CANCELED",E4175="SUSPECTED_FRAUD",F4175="Shipping canceled"),0,1)</x:f>
        <x:v>1</x:v>
      </x:c>
      <x:c r="K4175" s="6" t="n">
        <x:f>IF(G4175&gt;H4175,1,0)</x:f>
        <x:v>0</x:v>
      </x:c>
      <x:c r="L4175" s="6" t="n">
        <x:f>J4175*K4175</x:f>
        <x:v>0</x:v>
      </x:c>
    </x:row>
    <x:row r="4176">
      <x:c r="A4176" s="1" t="n">
        <x:v>31825</x:v>
      </x:c>
      <x:c r="B4176" s="5" t="d">
        <x:v>2016-04-09T00:00:00.000Z</x:v>
      </x:c>
      <x:c r="C4176" s="1" t="str">
        <x:v>First Class</x:v>
      </x:c>
      <x:c r="D4176" s="1" t="str">
        <x:v>USCA</x:v>
      </x:c>
      <x:c r="E4176" s="1" t="str">
        <x:v>COMPLETE</x:v>
      </x:c>
      <x:c r="F4176" s="1" t="str">
        <x:v>Late delivery</x:v>
      </x:c>
      <x:c r="G4176" s="6" t="n">
        <x:v>2</x:v>
      </x:c>
      <x:c r="H4176" s="6" t="n">
        <x:v>1</x:v>
      </x:c>
      <x:c r="I4176" s="6" t="n">
        <x:f>G4176-H4176</x:f>
        <x:v>1</x:v>
      </x:c>
      <x:c r="J4176" s="6" t="n">
        <x:f>IF(OR(E4176="CANCELED",E4176="SUSPECTED_FRAUD",F4176="Shipping canceled"),0,1)</x:f>
        <x:v>1</x:v>
      </x:c>
      <x:c r="K4176" s="6" t="n">
        <x:f>IF(G4176&gt;H4176,1,0)</x:f>
        <x:v>1</x:v>
      </x:c>
      <x:c r="L4176" s="6" t="n">
        <x:f>J4176*K4176</x:f>
        <x:v>1</x:v>
      </x:c>
    </x:row>
    <x:row r="4177">
      <x:c r="A4177" s="1" t="n">
        <x:v>31837</x:v>
      </x:c>
      <x:c r="B4177" s="5" t="d">
        <x:v>2016-04-09T00:00:00.000Z</x:v>
      </x:c>
      <x:c r="C4177" s="1" t="str">
        <x:v>Standard Class</x:v>
      </x:c>
      <x:c r="D4177" s="1" t="str">
        <x:v>USCA</x:v>
      </x:c>
      <x:c r="E4177" s="1" t="str">
        <x:v>COMPLETE</x:v>
      </x:c>
      <x:c r="F4177" s="1" t="str">
        <x:v>Advance shipping</x:v>
      </x:c>
      <x:c r="G4177" s="6" t="n">
        <x:v>3</x:v>
      </x:c>
      <x:c r="H4177" s="6" t="n">
        <x:v>4</x:v>
      </x:c>
      <x:c r="I4177" s="6" t="n">
        <x:f>G4177-H4177</x:f>
        <x:v>-1</x:v>
      </x:c>
      <x:c r="J4177" s="6" t="n">
        <x:f>IF(OR(E4177="CANCELED",E4177="SUSPECTED_FRAUD",F4177="Shipping canceled"),0,1)</x:f>
        <x:v>1</x:v>
      </x:c>
      <x:c r="K4177" s="6" t="n">
        <x:f>IF(G4177&gt;H4177,1,0)</x:f>
        <x:v>0</x:v>
      </x:c>
      <x:c r="L4177" s="6" t="n">
        <x:f>J4177*K4177</x:f>
        <x:v>0</x:v>
      </x:c>
    </x:row>
    <x:row r="4178">
      <x:c r="A4178" s="1" t="n">
        <x:v>31843</x:v>
      </x:c>
      <x:c r="B4178" s="5" t="d">
        <x:v>2016-04-09T00:00:00.000Z</x:v>
      </x:c>
      <x:c r="C4178" s="1" t="str">
        <x:v>Standard Class</x:v>
      </x:c>
      <x:c r="D4178" s="1" t="str">
        <x:v>USCA</x:v>
      </x:c>
      <x:c r="E4178" s="1" t="str">
        <x:v>SUSPECTED_FRAUD</x:v>
      </x:c>
      <x:c r="F4178" s="1" t="str">
        <x:v>Shipping canceled</x:v>
      </x:c>
      <x:c r="G4178" s="6" t="n">
        <x:v>4</x:v>
      </x:c>
      <x:c r="H4178" s="6" t="n">
        <x:v>4</x:v>
      </x:c>
      <x:c r="I4178" s="6" t="n">
        <x:f>G4178-H4178</x:f>
        <x:v>0</x:v>
      </x:c>
      <x:c r="J4178" s="6" t="n">
        <x:f>IF(OR(E4178="CANCELED",E4178="SUSPECTED_FRAUD",F4178="Shipping canceled"),0,1)</x:f>
        <x:v>0</x:v>
      </x:c>
      <x:c r="K4178" s="6" t="n">
        <x:f>IF(G4178&gt;H4178,1,0)</x:f>
        <x:v>0</x:v>
      </x:c>
      <x:c r="L4178" s="6" t="n">
        <x:f>J4178*K4178</x:f>
        <x:v>0</x:v>
      </x:c>
    </x:row>
    <x:row r="4179">
      <x:c r="A4179" s="1" t="n">
        <x:v>31852</x:v>
      </x:c>
      <x:c r="B4179" s="5" t="d">
        <x:v>2016-04-09T00:00:00.000Z</x:v>
      </x:c>
      <x:c r="C4179" s="1" t="str">
        <x:v>Standard Class</x:v>
      </x:c>
      <x:c r="D4179" s="1" t="str">
        <x:v>USCA</x:v>
      </x:c>
      <x:c r="E4179" s="1" t="str">
        <x:v>COMPLETE</x:v>
      </x:c>
      <x:c r="F4179" s="1" t="str">
        <x:v>Advance shipping</x:v>
      </x:c>
      <x:c r="G4179" s="6" t="n">
        <x:v>3</x:v>
      </x:c>
      <x:c r="H4179" s="6" t="n">
        <x:v>4</x:v>
      </x:c>
      <x:c r="I4179" s="6" t="n">
        <x:f>G4179-H4179</x:f>
        <x:v>-1</x:v>
      </x:c>
      <x:c r="J4179" s="6" t="n">
        <x:f>IF(OR(E4179="CANCELED",E4179="SUSPECTED_FRAUD",F4179="Shipping canceled"),0,1)</x:f>
        <x:v>1</x:v>
      </x:c>
      <x:c r="K4179" s="6" t="n">
        <x:f>IF(G4179&gt;H4179,1,0)</x:f>
        <x:v>0</x:v>
      </x:c>
      <x:c r="L4179" s="6" t="n">
        <x:f>J4179*K4179</x:f>
        <x:v>0</x:v>
      </x:c>
    </x:row>
    <x:row r="4180">
      <x:c r="A4180" s="1" t="n">
        <x:v>31858</x:v>
      </x:c>
      <x:c r="B4180" s="5" t="d">
        <x:v>2016-04-10T00:00:00.000Z</x:v>
      </x:c>
      <x:c r="C4180" s="1" t="str">
        <x:v>Standard Class</x:v>
      </x:c>
      <x:c r="D4180" s="1" t="str">
        <x:v>USCA</x:v>
      </x:c>
      <x:c r="E4180" s="1" t="str">
        <x:v>COMPLETE</x:v>
      </x:c>
      <x:c r="F4180" s="1" t="str">
        <x:v>Shipping on time</x:v>
      </x:c>
      <x:c r="G4180" s="6" t="n">
        <x:v>4</x:v>
      </x:c>
      <x:c r="H4180" s="6" t="n">
        <x:v>4</x:v>
      </x:c>
      <x:c r="I4180" s="6" t="n">
        <x:f>G4180-H4180</x:f>
        <x:v>0</x:v>
      </x:c>
      <x:c r="J4180" s="6" t="n">
        <x:f>IF(OR(E4180="CANCELED",E4180="SUSPECTED_FRAUD",F4180="Shipping canceled"),0,1)</x:f>
        <x:v>1</x:v>
      </x:c>
      <x:c r="K4180" s="6" t="n">
        <x:f>IF(G4180&gt;H4180,1,0)</x:f>
        <x:v>0</x:v>
      </x:c>
      <x:c r="L4180" s="6" t="n">
        <x:f>J4180*K4180</x:f>
        <x:v>0</x:v>
      </x:c>
    </x:row>
    <x:row r="4181">
      <x:c r="A4181" s="1" t="n">
        <x:v>31860</x:v>
      </x:c>
      <x:c r="B4181" s="5" t="d">
        <x:v>2016-04-10T00:00:00.000Z</x:v>
      </x:c>
      <x:c r="C4181" s="1" t="str">
        <x:v>Standard Class</x:v>
      </x:c>
      <x:c r="D4181" s="1" t="str">
        <x:v>USCA</x:v>
      </x:c>
      <x:c r="E4181" s="1" t="str">
        <x:v>COMPLETE</x:v>
      </x:c>
      <x:c r="F4181" s="1" t="str">
        <x:v>Late delivery</x:v>
      </x:c>
      <x:c r="G4181" s="6" t="n">
        <x:v>6</x:v>
      </x:c>
      <x:c r="H4181" s="6" t="n">
        <x:v>4</x:v>
      </x:c>
      <x:c r="I4181" s="6" t="n">
        <x:f>G4181-H4181</x:f>
        <x:v>2</x:v>
      </x:c>
      <x:c r="J4181" s="6" t="n">
        <x:f>IF(OR(E4181="CANCELED",E4181="SUSPECTED_FRAUD",F4181="Shipping canceled"),0,1)</x:f>
        <x:v>1</x:v>
      </x:c>
      <x:c r="K4181" s="6" t="n">
        <x:f>IF(G4181&gt;H4181,1,0)</x:f>
        <x:v>1</x:v>
      </x:c>
      <x:c r="L4181" s="6" t="n">
        <x:f>J4181*K4181</x:f>
        <x:v>1</x:v>
      </x:c>
    </x:row>
    <x:row r="4182">
      <x:c r="A4182" s="1" t="n">
        <x:v>31862</x:v>
      </x:c>
      <x:c r="B4182" s="5" t="d">
        <x:v>2016-04-10T00:00:00.000Z</x:v>
      </x:c>
      <x:c r="C4182" s="1" t="str">
        <x:v>Standard Class</x:v>
      </x:c>
      <x:c r="D4182" s="1" t="str">
        <x:v>USCA</x:v>
      </x:c>
      <x:c r="E4182" s="1" t="str">
        <x:v>COMPLETE</x:v>
      </x:c>
      <x:c r="F4182" s="1" t="str">
        <x:v>Advance shipping</x:v>
      </x:c>
      <x:c r="G4182" s="6" t="n">
        <x:v>3</x:v>
      </x:c>
      <x:c r="H4182" s="6" t="n">
        <x:v>4</x:v>
      </x:c>
      <x:c r="I4182" s="6" t="n">
        <x:f>G4182-H4182</x:f>
        <x:v>-1</x:v>
      </x:c>
      <x:c r="J4182" s="6" t="n">
        <x:f>IF(OR(E4182="CANCELED",E4182="SUSPECTED_FRAUD",F4182="Shipping canceled"),0,1)</x:f>
        <x:v>1</x:v>
      </x:c>
      <x:c r="K4182" s="6" t="n">
        <x:f>IF(G4182&gt;H4182,1,0)</x:f>
        <x:v>0</x:v>
      </x:c>
      <x:c r="L4182" s="6" t="n">
        <x:f>J4182*K4182</x:f>
        <x:v>0</x:v>
      </x:c>
    </x:row>
    <x:row r="4183">
      <x:c r="A4183" s="1" t="n">
        <x:v>31905</x:v>
      </x:c>
      <x:c r="B4183" s="5" t="d">
        <x:v>2016-04-10T00:00:00.000Z</x:v>
      </x:c>
      <x:c r="C4183" s="1" t="str">
        <x:v>Second Class</x:v>
      </x:c>
      <x:c r="D4183" s="1" t="str">
        <x:v>USCA</x:v>
      </x:c>
      <x:c r="E4183" s="1" t="str">
        <x:v>PENDING_PAYMENT</x:v>
      </x:c>
      <x:c r="F4183" s="1" t="str">
        <x:v>Late delivery</x:v>
      </x:c>
      <x:c r="G4183" s="6" t="n">
        <x:v>6</x:v>
      </x:c>
      <x:c r="H4183" s="6" t="n">
        <x:v>2</x:v>
      </x:c>
      <x:c r="I4183" s="6" t="n">
        <x:f>G4183-H4183</x:f>
        <x:v>4</x:v>
      </x:c>
      <x:c r="J4183" s="6" t="n">
        <x:f>IF(OR(E4183="CANCELED",E4183="SUSPECTED_FRAUD",F4183="Shipping canceled"),0,1)</x:f>
        <x:v>1</x:v>
      </x:c>
      <x:c r="K4183" s="6" t="n">
        <x:f>IF(G4183&gt;H4183,1,0)</x:f>
        <x:v>1</x:v>
      </x:c>
      <x:c r="L4183" s="6" t="n">
        <x:f>J4183*K4183</x:f>
        <x:v>1</x:v>
      </x:c>
    </x:row>
    <x:row r="4184">
      <x:c r="A4184" s="1" t="n">
        <x:v>31906</x:v>
      </x:c>
      <x:c r="B4184" s="5" t="d">
        <x:v>2016-04-10T00:00:00.000Z</x:v>
      </x:c>
      <x:c r="C4184" s="1" t="str">
        <x:v>Standard Class</x:v>
      </x:c>
      <x:c r="D4184" s="1" t="str">
        <x:v>USCA</x:v>
      </x:c>
      <x:c r="E4184" s="1" t="str">
        <x:v>COMPLETE</x:v>
      </x:c>
      <x:c r="F4184" s="1" t="str">
        <x:v>Advance shipping</x:v>
      </x:c>
      <x:c r="G4184" s="6" t="n">
        <x:v>2</x:v>
      </x:c>
      <x:c r="H4184" s="6" t="n">
        <x:v>4</x:v>
      </x:c>
      <x:c r="I4184" s="6" t="n">
        <x:f>G4184-H4184</x:f>
        <x:v>-2</x:v>
      </x:c>
      <x:c r="J4184" s="6" t="n">
        <x:f>IF(OR(E4184="CANCELED",E4184="SUSPECTED_FRAUD",F4184="Shipping canceled"),0,1)</x:f>
        <x:v>1</x:v>
      </x:c>
      <x:c r="K4184" s="6" t="n">
        <x:f>IF(G4184&gt;H4184,1,0)</x:f>
        <x:v>0</x:v>
      </x:c>
      <x:c r="L4184" s="6" t="n">
        <x:f>J4184*K4184</x:f>
        <x:v>0</x:v>
      </x:c>
    </x:row>
    <x:row r="4185">
      <x:c r="A4185" s="1" t="n">
        <x:v>31917</x:v>
      </x:c>
      <x:c r="B4185" s="5" t="d">
        <x:v>2016-04-10T00:00:00.000Z</x:v>
      </x:c>
      <x:c r="C4185" s="1" t="str">
        <x:v>Standard Class</x:v>
      </x:c>
      <x:c r="D4185" s="1" t="str">
        <x:v>USCA</x:v>
      </x:c>
      <x:c r="E4185" s="1" t="str">
        <x:v>PENDING</x:v>
      </x:c>
      <x:c r="F4185" s="1" t="str">
        <x:v>Advance shipping</x:v>
      </x:c>
      <x:c r="G4185" s="6" t="n">
        <x:v>3</x:v>
      </x:c>
      <x:c r="H4185" s="6" t="n">
        <x:v>4</x:v>
      </x:c>
      <x:c r="I4185" s="6" t="n">
        <x:f>G4185-H4185</x:f>
        <x:v>-1</x:v>
      </x:c>
      <x:c r="J4185" s="6" t="n">
        <x:f>IF(OR(E4185="CANCELED",E4185="SUSPECTED_FRAUD",F4185="Shipping canceled"),0,1)</x:f>
        <x:v>1</x:v>
      </x:c>
      <x:c r="K4185" s="6" t="n">
        <x:f>IF(G4185&gt;H4185,1,0)</x:f>
        <x:v>0</x:v>
      </x:c>
      <x:c r="L4185" s="6" t="n">
        <x:f>J4185*K4185</x:f>
        <x:v>0</x:v>
      </x:c>
    </x:row>
    <x:row r="4186">
      <x:c r="A4186" s="1" t="n">
        <x:v>31919</x:v>
      </x:c>
      <x:c r="B4186" s="5" t="d">
        <x:v>2016-04-10T00:00:00.000Z</x:v>
      </x:c>
      <x:c r="C4186" s="1" t="str">
        <x:v>Standard Class</x:v>
      </x:c>
      <x:c r="D4186" s="1" t="str">
        <x:v>USCA</x:v>
      </x:c>
      <x:c r="E4186" s="1" t="str">
        <x:v>COMPLETE</x:v>
      </x:c>
      <x:c r="F4186" s="1" t="str">
        <x:v>Late delivery</x:v>
      </x:c>
      <x:c r="G4186" s="6" t="n">
        <x:v>5</x:v>
      </x:c>
      <x:c r="H4186" s="6" t="n">
        <x:v>4</x:v>
      </x:c>
      <x:c r="I4186" s="6" t="n">
        <x:f>G4186-H4186</x:f>
        <x:v>1</x:v>
      </x:c>
      <x:c r="J4186" s="6" t="n">
        <x:f>IF(OR(E4186="CANCELED",E4186="SUSPECTED_FRAUD",F4186="Shipping canceled"),0,1)</x:f>
        <x:v>1</x:v>
      </x:c>
      <x:c r="K4186" s="6" t="n">
        <x:f>IF(G4186&gt;H4186,1,0)</x:f>
        <x:v>1</x:v>
      </x:c>
      <x:c r="L4186" s="6" t="n">
        <x:f>J4186*K4186</x:f>
        <x:v>1</x:v>
      </x:c>
    </x:row>
    <x:row r="4187">
      <x:c r="A4187" s="1" t="n">
        <x:v>31927</x:v>
      </x:c>
      <x:c r="B4187" s="5" t="d">
        <x:v>2016-04-11T00:00:00.000Z</x:v>
      </x:c>
      <x:c r="C4187" s="1" t="str">
        <x:v>First Class</x:v>
      </x:c>
      <x:c r="D4187" s="1" t="str">
        <x:v>USCA</x:v>
      </x:c>
      <x:c r="E4187" s="1" t="str">
        <x:v>CLOSED</x:v>
      </x:c>
      <x:c r="F4187" s="1" t="str">
        <x:v>Late delivery</x:v>
      </x:c>
      <x:c r="G4187" s="6" t="n">
        <x:v>2</x:v>
      </x:c>
      <x:c r="H4187" s="6" t="n">
        <x:v>1</x:v>
      </x:c>
      <x:c r="I4187" s="6" t="n">
        <x:f>G4187-H4187</x:f>
        <x:v>1</x:v>
      </x:c>
      <x:c r="J4187" s="6" t="n">
        <x:f>IF(OR(E4187="CANCELED",E4187="SUSPECTED_FRAUD",F4187="Shipping canceled"),0,1)</x:f>
        <x:v>1</x:v>
      </x:c>
      <x:c r="K4187" s="6" t="n">
        <x:f>IF(G4187&gt;H4187,1,0)</x:f>
        <x:v>1</x:v>
      </x:c>
      <x:c r="L4187" s="6" t="n">
        <x:f>J4187*K4187</x:f>
        <x:v>1</x:v>
      </x:c>
    </x:row>
    <x:row r="4188">
      <x:c r="A4188" s="1" t="n">
        <x:v>31928</x:v>
      </x:c>
      <x:c r="B4188" s="5" t="d">
        <x:v>2016-04-11T00:00:00.000Z</x:v>
      </x:c>
      <x:c r="C4188" s="1" t="str">
        <x:v>Standard Class</x:v>
      </x:c>
      <x:c r="D4188" s="1" t="str">
        <x:v>USCA</x:v>
      </x:c>
      <x:c r="E4188" s="1" t="str">
        <x:v>COMPLETE</x:v>
      </x:c>
      <x:c r="F4188" s="1" t="str">
        <x:v>Shipping on time</x:v>
      </x:c>
      <x:c r="G4188" s="6" t="n">
        <x:v>4</x:v>
      </x:c>
      <x:c r="H4188" s="6" t="n">
        <x:v>4</x:v>
      </x:c>
      <x:c r="I4188" s="6" t="n">
        <x:f>G4188-H4188</x:f>
        <x:v>0</x:v>
      </x:c>
      <x:c r="J4188" s="6" t="n">
        <x:f>IF(OR(E4188="CANCELED",E4188="SUSPECTED_FRAUD",F4188="Shipping canceled"),0,1)</x:f>
        <x:v>1</x:v>
      </x:c>
      <x:c r="K4188" s="6" t="n">
        <x:f>IF(G4188&gt;H4188,1,0)</x:f>
        <x:v>0</x:v>
      </x:c>
      <x:c r="L4188" s="6" t="n">
        <x:f>J4188*K4188</x:f>
        <x:v>0</x:v>
      </x:c>
    </x:row>
    <x:row r="4189">
      <x:c r="A4189" s="1" t="n">
        <x:v>31936</x:v>
      </x:c>
      <x:c r="B4189" s="5" t="d">
        <x:v>2016-04-11T00:00:00.000Z</x:v>
      </x:c>
      <x:c r="C4189" s="1" t="str">
        <x:v>Standard Class</x:v>
      </x:c>
      <x:c r="D4189" s="1" t="str">
        <x:v>USCA</x:v>
      </x:c>
      <x:c r="E4189" s="1" t="str">
        <x:v>COMPLETE</x:v>
      </x:c>
      <x:c r="F4189" s="1" t="str">
        <x:v>Advance shipping</x:v>
      </x:c>
      <x:c r="G4189" s="6" t="n">
        <x:v>2</x:v>
      </x:c>
      <x:c r="H4189" s="6" t="n">
        <x:v>4</x:v>
      </x:c>
      <x:c r="I4189" s="6" t="n">
        <x:f>G4189-H4189</x:f>
        <x:v>-2</x:v>
      </x:c>
      <x:c r="J4189" s="6" t="n">
        <x:f>IF(OR(E4189="CANCELED",E4189="SUSPECTED_FRAUD",F4189="Shipping canceled"),0,1)</x:f>
        <x:v>1</x:v>
      </x:c>
      <x:c r="K4189" s="6" t="n">
        <x:f>IF(G4189&gt;H4189,1,0)</x:f>
        <x:v>0</x:v>
      </x:c>
      <x:c r="L4189" s="6" t="n">
        <x:f>J4189*K4189</x:f>
        <x:v>0</x:v>
      </x:c>
    </x:row>
    <x:row r="4190">
      <x:c r="A4190" s="1" t="n">
        <x:v>31937</x:v>
      </x:c>
      <x:c r="B4190" s="5" t="d">
        <x:v>2016-04-11T00:00:00.000Z</x:v>
      </x:c>
      <x:c r="C4190" s="1" t="str">
        <x:v>Same Day</x:v>
      </x:c>
      <x:c r="D4190" s="1" t="str">
        <x:v>USCA</x:v>
      </x:c>
      <x:c r="E4190" s="1" t="str">
        <x:v>COMPLETE</x:v>
      </x:c>
      <x:c r="F4190" s="1" t="str">
        <x:v>Shipping on time</x:v>
      </x:c>
      <x:c r="G4190" s="6" t="n">
        <x:v>0</x:v>
      </x:c>
      <x:c r="H4190" s="6" t="n">
        <x:v>0</x:v>
      </x:c>
      <x:c r="I4190" s="6" t="n">
        <x:f>G4190-H4190</x:f>
        <x:v>0</x:v>
      </x:c>
      <x:c r="J4190" s="6" t="n">
        <x:f>IF(OR(E4190="CANCELED",E4190="SUSPECTED_FRAUD",F4190="Shipping canceled"),0,1)</x:f>
        <x:v>1</x:v>
      </x:c>
      <x:c r="K4190" s="6" t="n">
        <x:f>IF(G4190&gt;H4190,1,0)</x:f>
        <x:v>0</x:v>
      </x:c>
      <x:c r="L4190" s="6" t="n">
        <x:f>J4190*K4190</x:f>
        <x:v>0</x:v>
      </x:c>
    </x:row>
    <x:row r="4191">
      <x:c r="A4191" s="1" t="n">
        <x:v>31938</x:v>
      </x:c>
      <x:c r="B4191" s="5" t="d">
        <x:v>2016-04-11T00:00:00.000Z</x:v>
      </x:c>
      <x:c r="C4191" s="1" t="str">
        <x:v>Same Day</x:v>
      </x:c>
      <x:c r="D4191" s="1" t="str">
        <x:v>USCA</x:v>
      </x:c>
      <x:c r="E4191" s="1" t="str">
        <x:v>PROCESSING</x:v>
      </x:c>
      <x:c r="F4191" s="1" t="str">
        <x:v>Shipping on time</x:v>
      </x:c>
      <x:c r="G4191" s="6" t="n">
        <x:v>0</x:v>
      </x:c>
      <x:c r="H4191" s="6" t="n">
        <x:v>0</x:v>
      </x:c>
      <x:c r="I4191" s="6" t="n">
        <x:f>G4191-H4191</x:f>
        <x:v>0</x:v>
      </x:c>
      <x:c r="J4191" s="6" t="n">
        <x:f>IF(OR(E4191="CANCELED",E4191="SUSPECTED_FRAUD",F4191="Shipping canceled"),0,1)</x:f>
        <x:v>1</x:v>
      </x:c>
      <x:c r="K4191" s="6" t="n">
        <x:f>IF(G4191&gt;H4191,1,0)</x:f>
        <x:v>0</x:v>
      </x:c>
      <x:c r="L4191" s="6" t="n">
        <x:f>J4191*K4191</x:f>
        <x:v>0</x:v>
      </x:c>
    </x:row>
    <x:row r="4192">
      <x:c r="A4192" s="1" t="n">
        <x:v>31946</x:v>
      </x:c>
      <x:c r="B4192" s="5" t="d">
        <x:v>2016-04-11T00:00:00.000Z</x:v>
      </x:c>
      <x:c r="C4192" s="1" t="str">
        <x:v>Standard Class</x:v>
      </x:c>
      <x:c r="D4192" s="1" t="str">
        <x:v>USCA</x:v>
      </x:c>
      <x:c r="E4192" s="1" t="str">
        <x:v>PENDING</x:v>
      </x:c>
      <x:c r="F4192" s="1" t="str">
        <x:v>Advance shipping</x:v>
      </x:c>
      <x:c r="G4192" s="6" t="n">
        <x:v>2</x:v>
      </x:c>
      <x:c r="H4192" s="6" t="n">
        <x:v>4</x:v>
      </x:c>
      <x:c r="I4192" s="6" t="n">
        <x:f>G4192-H4192</x:f>
        <x:v>-2</x:v>
      </x:c>
      <x:c r="J4192" s="6" t="n">
        <x:f>IF(OR(E4192="CANCELED",E4192="SUSPECTED_FRAUD",F4192="Shipping canceled"),0,1)</x:f>
        <x:v>1</x:v>
      </x:c>
      <x:c r="K4192" s="6" t="n">
        <x:f>IF(G4192&gt;H4192,1,0)</x:f>
        <x:v>0</x:v>
      </x:c>
      <x:c r="L4192" s="6" t="n">
        <x:f>J4192*K4192</x:f>
        <x:v>0</x:v>
      </x:c>
    </x:row>
    <x:row r="4193">
      <x:c r="A4193" s="1" t="n">
        <x:v>31950</x:v>
      </x:c>
      <x:c r="B4193" s="5" t="d">
        <x:v>2016-04-11T00:00:00.000Z</x:v>
      </x:c>
      <x:c r="C4193" s="1" t="str">
        <x:v>Standard Class</x:v>
      </x:c>
      <x:c r="D4193" s="1" t="str">
        <x:v>USCA</x:v>
      </x:c>
      <x:c r="E4193" s="1" t="str">
        <x:v>PENDING</x:v>
      </x:c>
      <x:c r="F4193" s="1" t="str">
        <x:v>Late delivery</x:v>
      </x:c>
      <x:c r="G4193" s="6" t="n">
        <x:v>6</x:v>
      </x:c>
      <x:c r="H4193" s="6" t="n">
        <x:v>4</x:v>
      </x:c>
      <x:c r="I4193" s="6" t="n">
        <x:f>G4193-H4193</x:f>
        <x:v>2</x:v>
      </x:c>
      <x:c r="J4193" s="6" t="n">
        <x:f>IF(OR(E4193="CANCELED",E4193="SUSPECTED_FRAUD",F4193="Shipping canceled"),0,1)</x:f>
        <x:v>1</x:v>
      </x:c>
      <x:c r="K4193" s="6" t="n">
        <x:f>IF(G4193&gt;H4193,1,0)</x:f>
        <x:v>1</x:v>
      </x:c>
      <x:c r="L4193" s="6" t="n">
        <x:f>J4193*K4193</x:f>
        <x:v>1</x:v>
      </x:c>
    </x:row>
    <x:row r="4194">
      <x:c r="A4194" s="1" t="n">
        <x:v>31957</x:v>
      </x:c>
      <x:c r="B4194" s="5" t="d">
        <x:v>2016-04-11T00:00:00.000Z</x:v>
      </x:c>
      <x:c r="C4194" s="1" t="str">
        <x:v>Standard Class</x:v>
      </x:c>
      <x:c r="D4194" s="1" t="str">
        <x:v>USCA</x:v>
      </x:c>
      <x:c r="E4194" s="1" t="str">
        <x:v>PROCESSING</x:v>
      </x:c>
      <x:c r="F4194" s="1" t="str">
        <x:v>Advance shipping</x:v>
      </x:c>
      <x:c r="G4194" s="6" t="n">
        <x:v>3</x:v>
      </x:c>
      <x:c r="H4194" s="6" t="n">
        <x:v>4</x:v>
      </x:c>
      <x:c r="I4194" s="6" t="n">
        <x:f>G4194-H4194</x:f>
        <x:v>-1</x:v>
      </x:c>
      <x:c r="J4194" s="6" t="n">
        <x:f>IF(OR(E4194="CANCELED",E4194="SUSPECTED_FRAUD",F4194="Shipping canceled"),0,1)</x:f>
        <x:v>1</x:v>
      </x:c>
      <x:c r="K4194" s="6" t="n">
        <x:f>IF(G4194&gt;H4194,1,0)</x:f>
        <x:v>0</x:v>
      </x:c>
      <x:c r="L4194" s="6" t="n">
        <x:f>J4194*K4194</x:f>
        <x:v>0</x:v>
      </x:c>
    </x:row>
    <x:row r="4195">
      <x:c r="A4195" s="1" t="n">
        <x:v>31958</x:v>
      </x:c>
      <x:c r="B4195" s="5" t="d">
        <x:v>2016-04-11T00:00:00.000Z</x:v>
      </x:c>
      <x:c r="C4195" s="1" t="str">
        <x:v>Standard Class</x:v>
      </x:c>
      <x:c r="D4195" s="1" t="str">
        <x:v>USCA</x:v>
      </x:c>
      <x:c r="E4195" s="1" t="str">
        <x:v>COMPLETE</x:v>
      </x:c>
      <x:c r="F4195" s="1" t="str">
        <x:v>Shipping on time</x:v>
      </x:c>
      <x:c r="G4195" s="6" t="n">
        <x:v>4</x:v>
      </x:c>
      <x:c r="H4195" s="6" t="n">
        <x:v>4</x:v>
      </x:c>
      <x:c r="I4195" s="6" t="n">
        <x:f>G4195-H4195</x:f>
        <x:v>0</x:v>
      </x:c>
      <x:c r="J4195" s="6" t="n">
        <x:f>IF(OR(E4195="CANCELED",E4195="SUSPECTED_FRAUD",F4195="Shipping canceled"),0,1)</x:f>
        <x:v>1</x:v>
      </x:c>
      <x:c r="K4195" s="6" t="n">
        <x:f>IF(G4195&gt;H4195,1,0)</x:f>
        <x:v>0</x:v>
      </x:c>
      <x:c r="L4195" s="6" t="n">
        <x:f>J4195*K4195</x:f>
        <x:v>0</x:v>
      </x:c>
    </x:row>
    <x:row r="4196">
      <x:c r="A4196" s="1" t="n">
        <x:v>31959</x:v>
      </x:c>
      <x:c r="B4196" s="5" t="d">
        <x:v>2016-04-11T00:00:00.000Z</x:v>
      </x:c>
      <x:c r="C4196" s="1" t="str">
        <x:v>Standard Class</x:v>
      </x:c>
      <x:c r="D4196" s="1" t="str">
        <x:v>USCA</x:v>
      </x:c>
      <x:c r="E4196" s="1" t="str">
        <x:v>ON_HOLD</x:v>
      </x:c>
      <x:c r="F4196" s="1" t="str">
        <x:v>Late delivery</x:v>
      </x:c>
      <x:c r="G4196" s="6" t="n">
        <x:v>5</x:v>
      </x:c>
      <x:c r="H4196" s="6" t="n">
        <x:v>4</x:v>
      </x:c>
      <x:c r="I4196" s="6" t="n">
        <x:f>G4196-H4196</x:f>
        <x:v>1</x:v>
      </x:c>
      <x:c r="J4196" s="6" t="n">
        <x:f>IF(OR(E4196="CANCELED",E4196="SUSPECTED_FRAUD",F4196="Shipping canceled"),0,1)</x:f>
        <x:v>1</x:v>
      </x:c>
      <x:c r="K4196" s="6" t="n">
        <x:f>IF(G4196&gt;H4196,1,0)</x:f>
        <x:v>1</x:v>
      </x:c>
      <x:c r="L4196" s="6" t="n">
        <x:f>J4196*K4196</x:f>
        <x:v>1</x:v>
      </x:c>
    </x:row>
    <x:row r="4197">
      <x:c r="A4197" s="1" t="n">
        <x:v>31969</x:v>
      </x:c>
      <x:c r="B4197" s="5" t="d">
        <x:v>2016-04-11T00:00:00.000Z</x:v>
      </x:c>
      <x:c r="C4197" s="1" t="str">
        <x:v>Standard Class</x:v>
      </x:c>
      <x:c r="D4197" s="1" t="str">
        <x:v>USCA</x:v>
      </x:c>
      <x:c r="E4197" s="1" t="str">
        <x:v>COMPLETE</x:v>
      </x:c>
      <x:c r="F4197" s="1" t="str">
        <x:v>Late delivery</x:v>
      </x:c>
      <x:c r="G4197" s="6" t="n">
        <x:v>5</x:v>
      </x:c>
      <x:c r="H4197" s="6" t="n">
        <x:v>4</x:v>
      </x:c>
      <x:c r="I4197" s="6" t="n">
        <x:f>G4197-H4197</x:f>
        <x:v>1</x:v>
      </x:c>
      <x:c r="J4197" s="6" t="n">
        <x:f>IF(OR(E4197="CANCELED",E4197="SUSPECTED_FRAUD",F4197="Shipping canceled"),0,1)</x:f>
        <x:v>1</x:v>
      </x:c>
      <x:c r="K4197" s="6" t="n">
        <x:f>IF(G4197&gt;H4197,1,0)</x:f>
        <x:v>1</x:v>
      </x:c>
      <x:c r="L4197" s="6" t="n">
        <x:f>J4197*K4197</x:f>
        <x:v>1</x:v>
      </x:c>
    </x:row>
    <x:row r="4198">
      <x:c r="A4198" s="1" t="n">
        <x:v>31973</x:v>
      </x:c>
      <x:c r="B4198" s="5" t="d">
        <x:v>2016-04-11T00:00:00.000Z</x:v>
      </x:c>
      <x:c r="C4198" s="1" t="str">
        <x:v>Standard Class</x:v>
      </x:c>
      <x:c r="D4198" s="1" t="str">
        <x:v>USCA</x:v>
      </x:c>
      <x:c r="E4198" s="1" t="str">
        <x:v>COMPLETE</x:v>
      </x:c>
      <x:c r="F4198" s="1" t="str">
        <x:v>Shipping on time</x:v>
      </x:c>
      <x:c r="G4198" s="6" t="n">
        <x:v>4</x:v>
      </x:c>
      <x:c r="H4198" s="6" t="n">
        <x:v>4</x:v>
      </x:c>
      <x:c r="I4198" s="6" t="n">
        <x:f>G4198-H4198</x:f>
        <x:v>0</x:v>
      </x:c>
      <x:c r="J4198" s="6" t="n">
        <x:f>IF(OR(E4198="CANCELED",E4198="SUSPECTED_FRAUD",F4198="Shipping canceled"),0,1)</x:f>
        <x:v>1</x:v>
      </x:c>
      <x:c r="K4198" s="6" t="n">
        <x:f>IF(G4198&gt;H4198,1,0)</x:f>
        <x:v>0</x:v>
      </x:c>
      <x:c r="L4198" s="6" t="n">
        <x:f>J4198*K4198</x:f>
        <x:v>0</x:v>
      </x:c>
    </x:row>
    <x:row r="4199">
      <x:c r="A4199" s="1" t="n">
        <x:v>31975</x:v>
      </x:c>
      <x:c r="B4199" s="5" t="d">
        <x:v>2016-04-11T00:00:00.000Z</x:v>
      </x:c>
      <x:c r="C4199" s="1" t="str">
        <x:v>First Class</x:v>
      </x:c>
      <x:c r="D4199" s="1" t="str">
        <x:v>USCA</x:v>
      </x:c>
      <x:c r="E4199" s="1" t="str">
        <x:v>CLOSED</x:v>
      </x:c>
      <x:c r="F4199" s="1" t="str">
        <x:v>Late delivery</x:v>
      </x:c>
      <x:c r="G4199" s="6" t="n">
        <x:v>2</x:v>
      </x:c>
      <x:c r="H4199" s="6" t="n">
        <x:v>1</x:v>
      </x:c>
      <x:c r="I4199" s="6" t="n">
        <x:f>G4199-H4199</x:f>
        <x:v>1</x:v>
      </x:c>
      <x:c r="J4199" s="6" t="n">
        <x:f>IF(OR(E4199="CANCELED",E4199="SUSPECTED_FRAUD",F4199="Shipping canceled"),0,1)</x:f>
        <x:v>1</x:v>
      </x:c>
      <x:c r="K4199" s="6" t="n">
        <x:f>IF(G4199&gt;H4199,1,0)</x:f>
        <x:v>1</x:v>
      </x:c>
      <x:c r="L4199" s="6" t="n">
        <x:f>J4199*K4199</x:f>
        <x:v>1</x:v>
      </x:c>
    </x:row>
    <x:row r="4200">
      <x:c r="A4200" s="1" t="n">
        <x:v>31982</x:v>
      </x:c>
      <x:c r="B4200" s="5" t="d">
        <x:v>2016-04-11T00:00:00.000Z</x:v>
      </x:c>
      <x:c r="C4200" s="1" t="str">
        <x:v>Standard Class</x:v>
      </x:c>
      <x:c r="D4200" s="1" t="str">
        <x:v>USCA</x:v>
      </x:c>
      <x:c r="E4200" s="1" t="str">
        <x:v>COMPLETE</x:v>
      </x:c>
      <x:c r="F4200" s="1" t="str">
        <x:v>Advance shipping</x:v>
      </x:c>
      <x:c r="G4200" s="6" t="n">
        <x:v>3</x:v>
      </x:c>
      <x:c r="H4200" s="6" t="n">
        <x:v>4</x:v>
      </x:c>
      <x:c r="I4200" s="6" t="n">
        <x:f>G4200-H4200</x:f>
        <x:v>-1</x:v>
      </x:c>
      <x:c r="J4200" s="6" t="n">
        <x:f>IF(OR(E4200="CANCELED",E4200="SUSPECTED_FRAUD",F4200="Shipping canceled"),0,1)</x:f>
        <x:v>1</x:v>
      </x:c>
      <x:c r="K4200" s="6" t="n">
        <x:f>IF(G4200&gt;H4200,1,0)</x:f>
        <x:v>0</x:v>
      </x:c>
      <x:c r="L4200" s="6" t="n">
        <x:f>J4200*K4200</x:f>
        <x:v>0</x:v>
      </x:c>
    </x:row>
    <x:row r="4201">
      <x:c r="A4201" s="1" t="n">
        <x:v>31984</x:v>
      </x:c>
      <x:c r="B4201" s="5" t="d">
        <x:v>2016-04-11T00:00:00.000Z</x:v>
      </x:c>
      <x:c r="C4201" s="1" t="str">
        <x:v>Second Class</x:v>
      </x:c>
      <x:c r="D4201" s="1" t="str">
        <x:v>USCA</x:v>
      </x:c>
      <x:c r="E4201" s="1" t="str">
        <x:v>CLOSED</x:v>
      </x:c>
      <x:c r="F4201" s="1" t="str">
        <x:v>Late delivery</x:v>
      </x:c>
      <x:c r="G4201" s="6" t="n">
        <x:v>5</x:v>
      </x:c>
      <x:c r="H4201" s="6" t="n">
        <x:v>2</x:v>
      </x:c>
      <x:c r="I4201" s="6" t="n">
        <x:f>G4201-H4201</x:f>
        <x:v>3</x:v>
      </x:c>
      <x:c r="J4201" s="6" t="n">
        <x:f>IF(OR(E4201="CANCELED",E4201="SUSPECTED_FRAUD",F4201="Shipping canceled"),0,1)</x:f>
        <x:v>1</x:v>
      </x:c>
      <x:c r="K4201" s="6" t="n">
        <x:f>IF(G4201&gt;H4201,1,0)</x:f>
        <x:v>1</x:v>
      </x:c>
      <x:c r="L4201" s="6" t="n">
        <x:f>J4201*K4201</x:f>
        <x:v>1</x:v>
      </x:c>
    </x:row>
    <x:row r="4202">
      <x:c r="A4202" s="1" t="n">
        <x:v>31991</x:v>
      </x:c>
      <x:c r="B4202" s="5" t="d">
        <x:v>2016-04-11T00:00:00.000Z</x:v>
      </x:c>
      <x:c r="C4202" s="1" t="str">
        <x:v>Standard Class</x:v>
      </x:c>
      <x:c r="D4202" s="1" t="str">
        <x:v>USCA</x:v>
      </x:c>
      <x:c r="E4202" s="1" t="str">
        <x:v>COMPLETE</x:v>
      </x:c>
      <x:c r="F4202" s="1" t="str">
        <x:v>Advance shipping</x:v>
      </x:c>
      <x:c r="G4202" s="6" t="n">
        <x:v>2</x:v>
      </x:c>
      <x:c r="H4202" s="6" t="n">
        <x:v>4</x:v>
      </x:c>
      <x:c r="I4202" s="6" t="n">
        <x:f>G4202-H4202</x:f>
        <x:v>-2</x:v>
      </x:c>
      <x:c r="J4202" s="6" t="n">
        <x:f>IF(OR(E4202="CANCELED",E4202="SUSPECTED_FRAUD",F4202="Shipping canceled"),0,1)</x:f>
        <x:v>1</x:v>
      </x:c>
      <x:c r="K4202" s="6" t="n">
        <x:f>IF(G4202&gt;H4202,1,0)</x:f>
        <x:v>0</x:v>
      </x:c>
      <x:c r="L4202" s="6" t="n">
        <x:f>J4202*K4202</x:f>
        <x:v>0</x:v>
      </x:c>
    </x:row>
    <x:row r="4203">
      <x:c r="A4203" s="1" t="n">
        <x:v>31992</x:v>
      </x:c>
      <x:c r="B4203" s="5" t="d">
        <x:v>2016-04-11T00:00:00.000Z</x:v>
      </x:c>
      <x:c r="C4203" s="1" t="str">
        <x:v>Standard Class</x:v>
      </x:c>
      <x:c r="D4203" s="1" t="str">
        <x:v>USCA</x:v>
      </x:c>
      <x:c r="E4203" s="1" t="str">
        <x:v>COMPLETE</x:v>
      </x:c>
      <x:c r="F4203" s="1" t="str">
        <x:v>Advance shipping</x:v>
      </x:c>
      <x:c r="G4203" s="6" t="n">
        <x:v>3</x:v>
      </x:c>
      <x:c r="H4203" s="6" t="n">
        <x:v>4</x:v>
      </x:c>
      <x:c r="I4203" s="6" t="n">
        <x:f>G4203-H4203</x:f>
        <x:v>-1</x:v>
      </x:c>
      <x:c r="J4203" s="6" t="n">
        <x:f>IF(OR(E4203="CANCELED",E4203="SUSPECTED_FRAUD",F4203="Shipping canceled"),0,1)</x:f>
        <x:v>1</x:v>
      </x:c>
      <x:c r="K4203" s="6" t="n">
        <x:f>IF(G4203&gt;H4203,1,0)</x:f>
        <x:v>0</x:v>
      </x:c>
      <x:c r="L4203" s="6" t="n">
        <x:f>J4203*K4203</x:f>
        <x:v>0</x:v>
      </x:c>
    </x:row>
    <x:row r="4204">
      <x:c r="A4204" s="1" t="n">
        <x:v>31996</x:v>
      </x:c>
      <x:c r="B4204" s="5" t="d">
        <x:v>2016-04-12T00:00:00.000Z</x:v>
      </x:c>
      <x:c r="C4204" s="1" t="str">
        <x:v>Standard Class</x:v>
      </x:c>
      <x:c r="D4204" s="1" t="str">
        <x:v>USCA</x:v>
      </x:c>
      <x:c r="E4204" s="1" t="str">
        <x:v>COMPLETE</x:v>
      </x:c>
      <x:c r="F4204" s="1" t="str">
        <x:v>Advance shipping</x:v>
      </x:c>
      <x:c r="G4204" s="6" t="n">
        <x:v>2</x:v>
      </x:c>
      <x:c r="H4204" s="6" t="n">
        <x:v>4</x:v>
      </x:c>
      <x:c r="I4204" s="6" t="n">
        <x:f>G4204-H4204</x:f>
        <x:v>-2</x:v>
      </x:c>
      <x:c r="J4204" s="6" t="n">
        <x:f>IF(OR(E4204="CANCELED",E4204="SUSPECTED_FRAUD",F4204="Shipping canceled"),0,1)</x:f>
        <x:v>1</x:v>
      </x:c>
      <x:c r="K4204" s="6" t="n">
        <x:f>IF(G4204&gt;H4204,1,0)</x:f>
        <x:v>0</x:v>
      </x:c>
      <x:c r="L4204" s="6" t="n">
        <x:f>J4204*K4204</x:f>
        <x:v>0</x:v>
      </x:c>
    </x:row>
    <x:row r="4205">
      <x:c r="A4205" s="1" t="n">
        <x:v>32006</x:v>
      </x:c>
      <x:c r="B4205" s="5" t="d">
        <x:v>2016-04-12T00:00:00.000Z</x:v>
      </x:c>
      <x:c r="C4205" s="1" t="str">
        <x:v>Second Class</x:v>
      </x:c>
      <x:c r="D4205" s="1" t="str">
        <x:v>USCA</x:v>
      </x:c>
      <x:c r="E4205" s="1" t="str">
        <x:v>COMPLETE</x:v>
      </x:c>
      <x:c r="F4205" s="1" t="str">
        <x:v>Shipping on time</x:v>
      </x:c>
      <x:c r="G4205" s="6" t="n">
        <x:v>2</x:v>
      </x:c>
      <x:c r="H4205" s="6" t="n">
        <x:v>2</x:v>
      </x:c>
      <x:c r="I4205" s="6" t="n">
        <x:f>G4205-H4205</x:f>
        <x:v>0</x:v>
      </x:c>
      <x:c r="J4205" s="6" t="n">
        <x:f>IF(OR(E4205="CANCELED",E4205="SUSPECTED_FRAUD",F4205="Shipping canceled"),0,1)</x:f>
        <x:v>1</x:v>
      </x:c>
      <x:c r="K4205" s="6" t="n">
        <x:f>IF(G4205&gt;H4205,1,0)</x:f>
        <x:v>0</x:v>
      </x:c>
      <x:c r="L4205" s="6" t="n">
        <x:f>J4205*K4205</x:f>
        <x:v>0</x:v>
      </x:c>
    </x:row>
    <x:row r="4206">
      <x:c r="A4206" s="1" t="n">
        <x:v>32008</x:v>
      </x:c>
      <x:c r="B4206" s="5" t="d">
        <x:v>2016-04-12T00:00:00.000Z</x:v>
      </x:c>
      <x:c r="C4206" s="1" t="str">
        <x:v>Second Class</x:v>
      </x:c>
      <x:c r="D4206" s="1" t="str">
        <x:v>USCA</x:v>
      </x:c>
      <x:c r="E4206" s="1" t="str">
        <x:v>CLOSED</x:v>
      </x:c>
      <x:c r="F4206" s="1" t="str">
        <x:v>Late delivery</x:v>
      </x:c>
      <x:c r="G4206" s="6" t="n">
        <x:v>4</x:v>
      </x:c>
      <x:c r="H4206" s="6" t="n">
        <x:v>2</x:v>
      </x:c>
      <x:c r="I4206" s="6" t="n">
        <x:f>G4206-H4206</x:f>
        <x:v>2</x:v>
      </x:c>
      <x:c r="J4206" s="6" t="n">
        <x:f>IF(OR(E4206="CANCELED",E4206="SUSPECTED_FRAUD",F4206="Shipping canceled"),0,1)</x:f>
        <x:v>1</x:v>
      </x:c>
      <x:c r="K4206" s="6" t="n">
        <x:f>IF(G4206&gt;H4206,1,0)</x:f>
        <x:v>1</x:v>
      </x:c>
      <x:c r="L4206" s="6" t="n">
        <x:f>J4206*K4206</x:f>
        <x:v>1</x:v>
      </x:c>
    </x:row>
    <x:row r="4207">
      <x:c r="A4207" s="1" t="n">
        <x:v>32020</x:v>
      </x:c>
      <x:c r="B4207" s="5" t="d">
        <x:v>2016-04-12T00:00:00.000Z</x:v>
      </x:c>
      <x:c r="C4207" s="1" t="str">
        <x:v>First Class</x:v>
      </x:c>
      <x:c r="D4207" s="1" t="str">
        <x:v>USCA</x:v>
      </x:c>
      <x:c r="E4207" s="1" t="str">
        <x:v>PENDING</x:v>
      </x:c>
      <x:c r="F4207" s="1" t="str">
        <x:v>Late delivery</x:v>
      </x:c>
      <x:c r="G4207" s="6" t="n">
        <x:v>2</x:v>
      </x:c>
      <x:c r="H4207" s="6" t="n">
        <x:v>1</x:v>
      </x:c>
      <x:c r="I4207" s="6" t="n">
        <x:f>G4207-H4207</x:f>
        <x:v>1</x:v>
      </x:c>
      <x:c r="J4207" s="6" t="n">
        <x:f>IF(OR(E4207="CANCELED",E4207="SUSPECTED_FRAUD",F4207="Shipping canceled"),0,1)</x:f>
        <x:v>1</x:v>
      </x:c>
      <x:c r="K4207" s="6" t="n">
        <x:f>IF(G4207&gt;H4207,1,0)</x:f>
        <x:v>1</x:v>
      </x:c>
      <x:c r="L4207" s="6" t="n">
        <x:f>J4207*K4207</x:f>
        <x:v>1</x:v>
      </x:c>
    </x:row>
    <x:row r="4208">
      <x:c r="A4208" s="1" t="n">
        <x:v>32030</x:v>
      </x:c>
      <x:c r="B4208" s="5" t="d">
        <x:v>2016-04-12T00:00:00.000Z</x:v>
      </x:c>
      <x:c r="C4208" s="1" t="str">
        <x:v>Standard Class</x:v>
      </x:c>
      <x:c r="D4208" s="1" t="str">
        <x:v>USCA</x:v>
      </x:c>
      <x:c r="E4208" s="1" t="str">
        <x:v>CLOSED</x:v>
      </x:c>
      <x:c r="F4208" s="1" t="str">
        <x:v>Late delivery</x:v>
      </x:c>
      <x:c r="G4208" s="6" t="n">
        <x:v>6</x:v>
      </x:c>
      <x:c r="H4208" s="6" t="n">
        <x:v>4</x:v>
      </x:c>
      <x:c r="I4208" s="6" t="n">
        <x:f>G4208-H4208</x:f>
        <x:v>2</x:v>
      </x:c>
      <x:c r="J4208" s="6" t="n">
        <x:f>IF(OR(E4208="CANCELED",E4208="SUSPECTED_FRAUD",F4208="Shipping canceled"),0,1)</x:f>
        <x:v>1</x:v>
      </x:c>
      <x:c r="K4208" s="6" t="n">
        <x:f>IF(G4208&gt;H4208,1,0)</x:f>
        <x:v>1</x:v>
      </x:c>
      <x:c r="L4208" s="6" t="n">
        <x:f>J4208*K4208</x:f>
        <x:v>1</x:v>
      </x:c>
    </x:row>
    <x:row r="4209">
      <x:c r="A4209" s="1" t="n">
        <x:v>32036</x:v>
      </x:c>
      <x:c r="B4209" s="5" t="d">
        <x:v>2016-04-12T00:00:00.000Z</x:v>
      </x:c>
      <x:c r="C4209" s="1" t="str">
        <x:v>Standard Class</x:v>
      </x:c>
      <x:c r="D4209" s="1" t="str">
        <x:v>USCA</x:v>
      </x:c>
      <x:c r="E4209" s="1" t="str">
        <x:v>COMPLETE</x:v>
      </x:c>
      <x:c r="F4209" s="1" t="str">
        <x:v>Advance shipping</x:v>
      </x:c>
      <x:c r="G4209" s="6" t="n">
        <x:v>2</x:v>
      </x:c>
      <x:c r="H4209" s="6" t="n">
        <x:v>4</x:v>
      </x:c>
      <x:c r="I4209" s="6" t="n">
        <x:f>G4209-H4209</x:f>
        <x:v>-2</x:v>
      </x:c>
      <x:c r="J4209" s="6" t="n">
        <x:f>IF(OR(E4209="CANCELED",E4209="SUSPECTED_FRAUD",F4209="Shipping canceled"),0,1)</x:f>
        <x:v>1</x:v>
      </x:c>
      <x:c r="K4209" s="6" t="n">
        <x:f>IF(G4209&gt;H4209,1,0)</x:f>
        <x:v>0</x:v>
      </x:c>
      <x:c r="L4209" s="6" t="n">
        <x:f>J4209*K4209</x:f>
        <x:v>0</x:v>
      </x:c>
    </x:row>
    <x:row r="4210">
      <x:c r="A4210" s="1" t="n">
        <x:v>32039</x:v>
      </x:c>
      <x:c r="B4210" s="5" t="d">
        <x:v>2016-04-12T00:00:00.000Z</x:v>
      </x:c>
      <x:c r="C4210" s="1" t="str">
        <x:v>Standard Class</x:v>
      </x:c>
      <x:c r="D4210" s="1" t="str">
        <x:v>USCA</x:v>
      </x:c>
      <x:c r="E4210" s="1" t="str">
        <x:v>COMPLETE</x:v>
      </x:c>
      <x:c r="F4210" s="1" t="str">
        <x:v>Late delivery</x:v>
      </x:c>
      <x:c r="G4210" s="6" t="n">
        <x:v>5</x:v>
      </x:c>
      <x:c r="H4210" s="6" t="n">
        <x:v>4</x:v>
      </x:c>
      <x:c r="I4210" s="6" t="n">
        <x:f>G4210-H4210</x:f>
        <x:v>1</x:v>
      </x:c>
      <x:c r="J4210" s="6" t="n">
        <x:f>IF(OR(E4210="CANCELED",E4210="SUSPECTED_FRAUD",F4210="Shipping canceled"),0,1)</x:f>
        <x:v>1</x:v>
      </x:c>
      <x:c r="K4210" s="6" t="n">
        <x:f>IF(G4210&gt;H4210,1,0)</x:f>
        <x:v>1</x:v>
      </x:c>
      <x:c r="L4210" s="6" t="n">
        <x:f>J4210*K4210</x:f>
        <x:v>1</x:v>
      </x:c>
    </x:row>
    <x:row r="4211">
      <x:c r="A4211" s="1" t="n">
        <x:v>32051</x:v>
      </x:c>
      <x:c r="B4211" s="5" t="d">
        <x:v>2016-04-12T00:00:00.000Z</x:v>
      </x:c>
      <x:c r="C4211" s="1" t="str">
        <x:v>First Class</x:v>
      </x:c>
      <x:c r="D4211" s="1" t="str">
        <x:v>USCA</x:v>
      </x:c>
      <x:c r="E4211" s="1" t="str">
        <x:v>CLOSED</x:v>
      </x:c>
      <x:c r="F4211" s="1" t="str">
        <x:v>Late delivery</x:v>
      </x:c>
      <x:c r="G4211" s="6" t="n">
        <x:v>2</x:v>
      </x:c>
      <x:c r="H4211" s="6" t="n">
        <x:v>1</x:v>
      </x:c>
      <x:c r="I4211" s="6" t="n">
        <x:f>G4211-H4211</x:f>
        <x:v>1</x:v>
      </x:c>
      <x:c r="J4211" s="6" t="n">
        <x:f>IF(OR(E4211="CANCELED",E4211="SUSPECTED_FRAUD",F4211="Shipping canceled"),0,1)</x:f>
        <x:v>1</x:v>
      </x:c>
      <x:c r="K4211" s="6" t="n">
        <x:f>IF(G4211&gt;H4211,1,0)</x:f>
        <x:v>1</x:v>
      </x:c>
      <x:c r="L4211" s="6" t="n">
        <x:f>J4211*K4211</x:f>
        <x:v>1</x:v>
      </x:c>
    </x:row>
    <x:row r="4212">
      <x:c r="A4212" s="1" t="n">
        <x:v>32060</x:v>
      </x:c>
      <x:c r="B4212" s="5" t="d">
        <x:v>2016-04-12T00:00:00.000Z</x:v>
      </x:c>
      <x:c r="C4212" s="1" t="str">
        <x:v>Standard Class</x:v>
      </x:c>
      <x:c r="D4212" s="1" t="str">
        <x:v>USCA</x:v>
      </x:c>
      <x:c r="E4212" s="1" t="str">
        <x:v>COMPLETE</x:v>
      </x:c>
      <x:c r="F4212" s="1" t="str">
        <x:v>Late delivery</x:v>
      </x:c>
      <x:c r="G4212" s="6" t="n">
        <x:v>6</x:v>
      </x:c>
      <x:c r="H4212" s="6" t="n">
        <x:v>4</x:v>
      </x:c>
      <x:c r="I4212" s="6" t="n">
        <x:f>G4212-H4212</x:f>
        <x:v>2</x:v>
      </x:c>
      <x:c r="J4212" s="6" t="n">
        <x:f>IF(OR(E4212="CANCELED",E4212="SUSPECTED_FRAUD",F4212="Shipping canceled"),0,1)</x:f>
        <x:v>1</x:v>
      </x:c>
      <x:c r="K4212" s="6" t="n">
        <x:f>IF(G4212&gt;H4212,1,0)</x:f>
        <x:v>1</x:v>
      </x:c>
      <x:c r="L4212" s="6" t="n">
        <x:f>J4212*K4212</x:f>
        <x:v>1</x:v>
      </x:c>
    </x:row>
    <x:row r="4213">
      <x:c r="A4213" s="1" t="n">
        <x:v>32062</x:v>
      </x:c>
      <x:c r="B4213" s="5" t="d">
        <x:v>2016-04-13T00:00:00.000Z</x:v>
      </x:c>
      <x:c r="C4213" s="1" t="str">
        <x:v>Standard Class</x:v>
      </x:c>
      <x:c r="D4213" s="1" t="str">
        <x:v>USCA</x:v>
      </x:c>
      <x:c r="E4213" s="1" t="str">
        <x:v>COMPLETE</x:v>
      </x:c>
      <x:c r="F4213" s="1" t="str">
        <x:v>Advance shipping</x:v>
      </x:c>
      <x:c r="G4213" s="6" t="n">
        <x:v>3</x:v>
      </x:c>
      <x:c r="H4213" s="6" t="n">
        <x:v>4</x:v>
      </x:c>
      <x:c r="I4213" s="6" t="n">
        <x:f>G4213-H4213</x:f>
        <x:v>-1</x:v>
      </x:c>
      <x:c r="J4213" s="6" t="n">
        <x:f>IF(OR(E4213="CANCELED",E4213="SUSPECTED_FRAUD",F4213="Shipping canceled"),0,1)</x:f>
        <x:v>1</x:v>
      </x:c>
      <x:c r="K4213" s="6" t="n">
        <x:f>IF(G4213&gt;H4213,1,0)</x:f>
        <x:v>0</x:v>
      </x:c>
      <x:c r="L4213" s="6" t="n">
        <x:f>J4213*K4213</x:f>
        <x:v>0</x:v>
      </x:c>
    </x:row>
    <x:row r="4214">
      <x:c r="A4214" s="1" t="n">
        <x:v>32063</x:v>
      </x:c>
      <x:c r="B4214" s="5" t="d">
        <x:v>2016-04-13T00:00:00.000Z</x:v>
      </x:c>
      <x:c r="C4214" s="1" t="str">
        <x:v>Standard Class</x:v>
      </x:c>
      <x:c r="D4214" s="1" t="str">
        <x:v>USCA</x:v>
      </x:c>
      <x:c r="E4214" s="1" t="str">
        <x:v>COMPLETE</x:v>
      </x:c>
      <x:c r="F4214" s="1" t="str">
        <x:v>Shipping on time</x:v>
      </x:c>
      <x:c r="G4214" s="6" t="n">
        <x:v>4</x:v>
      </x:c>
      <x:c r="H4214" s="6" t="n">
        <x:v>4</x:v>
      </x:c>
      <x:c r="I4214" s="6" t="n">
        <x:f>G4214-H4214</x:f>
        <x:v>0</x:v>
      </x:c>
      <x:c r="J4214" s="6" t="n">
        <x:f>IF(OR(E4214="CANCELED",E4214="SUSPECTED_FRAUD",F4214="Shipping canceled"),0,1)</x:f>
        <x:v>1</x:v>
      </x:c>
      <x:c r="K4214" s="6" t="n">
        <x:f>IF(G4214&gt;H4214,1,0)</x:f>
        <x:v>0</x:v>
      </x:c>
      <x:c r="L4214" s="6" t="n">
        <x:f>J4214*K4214</x:f>
        <x:v>0</x:v>
      </x:c>
    </x:row>
    <x:row r="4215">
      <x:c r="A4215" s="1" t="n">
        <x:v>32090</x:v>
      </x:c>
      <x:c r="B4215" s="5" t="d">
        <x:v>2016-04-13T00:00:00.000Z</x:v>
      </x:c>
      <x:c r="C4215" s="1" t="str">
        <x:v>Second Class</x:v>
      </x:c>
      <x:c r="D4215" s="1" t="str">
        <x:v>USCA</x:v>
      </x:c>
      <x:c r="E4215" s="1" t="str">
        <x:v>PENDING_PAYMENT</x:v>
      </x:c>
      <x:c r="F4215" s="1" t="str">
        <x:v>Late delivery</x:v>
      </x:c>
      <x:c r="G4215" s="6" t="n">
        <x:v>6</x:v>
      </x:c>
      <x:c r="H4215" s="6" t="n">
        <x:v>2</x:v>
      </x:c>
      <x:c r="I4215" s="6" t="n">
        <x:f>G4215-H4215</x:f>
        <x:v>4</x:v>
      </x:c>
      <x:c r="J4215" s="6" t="n">
        <x:f>IF(OR(E4215="CANCELED",E4215="SUSPECTED_FRAUD",F4215="Shipping canceled"),0,1)</x:f>
        <x:v>1</x:v>
      </x:c>
      <x:c r="K4215" s="6" t="n">
        <x:f>IF(G4215&gt;H4215,1,0)</x:f>
        <x:v>1</x:v>
      </x:c>
      <x:c r="L4215" s="6" t="n">
        <x:f>J4215*K4215</x:f>
        <x:v>1</x:v>
      </x:c>
    </x:row>
    <x:row r="4216">
      <x:c r="A4216" s="1" t="n">
        <x:v>32096</x:v>
      </x:c>
      <x:c r="B4216" s="5" t="d">
        <x:v>2016-04-13T00:00:00.000Z</x:v>
      </x:c>
      <x:c r="C4216" s="1" t="str">
        <x:v>Standard Class</x:v>
      </x:c>
      <x:c r="D4216" s="1" t="str">
        <x:v>USCA</x:v>
      </x:c>
      <x:c r="E4216" s="1" t="str">
        <x:v>COMPLETE</x:v>
      </x:c>
      <x:c r="F4216" s="1" t="str">
        <x:v>Advance shipping</x:v>
      </x:c>
      <x:c r="G4216" s="6" t="n">
        <x:v>2</x:v>
      </x:c>
      <x:c r="H4216" s="6" t="n">
        <x:v>4</x:v>
      </x:c>
      <x:c r="I4216" s="6" t="n">
        <x:f>G4216-H4216</x:f>
        <x:v>-2</x:v>
      </x:c>
      <x:c r="J4216" s="6" t="n">
        <x:f>IF(OR(E4216="CANCELED",E4216="SUSPECTED_FRAUD",F4216="Shipping canceled"),0,1)</x:f>
        <x:v>1</x:v>
      </x:c>
      <x:c r="K4216" s="6" t="n">
        <x:f>IF(G4216&gt;H4216,1,0)</x:f>
        <x:v>0</x:v>
      </x:c>
      <x:c r="L4216" s="6" t="n">
        <x:f>J4216*K4216</x:f>
        <x:v>0</x:v>
      </x:c>
    </x:row>
    <x:row r="4217">
      <x:c r="A4217" s="1" t="n">
        <x:v>32102</x:v>
      </x:c>
      <x:c r="B4217" s="5" t="d">
        <x:v>2016-04-13T00:00:00.000Z</x:v>
      </x:c>
      <x:c r="C4217" s="1" t="str">
        <x:v>Second Class</x:v>
      </x:c>
      <x:c r="D4217" s="1" t="str">
        <x:v>USCA</x:v>
      </x:c>
      <x:c r="E4217" s="1" t="str">
        <x:v>PENDING_PAYMENT</x:v>
      </x:c>
      <x:c r="F4217" s="1" t="str">
        <x:v>Late delivery</x:v>
      </x:c>
      <x:c r="G4217" s="6" t="n">
        <x:v>3</x:v>
      </x:c>
      <x:c r="H4217" s="6" t="n">
        <x:v>2</x:v>
      </x:c>
      <x:c r="I4217" s="6" t="n">
        <x:f>G4217-H4217</x:f>
        <x:v>1</x:v>
      </x:c>
      <x:c r="J4217" s="6" t="n">
        <x:f>IF(OR(E4217="CANCELED",E4217="SUSPECTED_FRAUD",F4217="Shipping canceled"),0,1)</x:f>
        <x:v>1</x:v>
      </x:c>
      <x:c r="K4217" s="6" t="n">
        <x:f>IF(G4217&gt;H4217,1,0)</x:f>
        <x:v>1</x:v>
      </x:c>
      <x:c r="L4217" s="6" t="n">
        <x:f>J4217*K4217</x:f>
        <x:v>1</x:v>
      </x:c>
    </x:row>
    <x:row r="4218">
      <x:c r="A4218" s="1" t="n">
        <x:v>32105</x:v>
      </x:c>
      <x:c r="B4218" s="5" t="d">
        <x:v>2016-04-13T00:00:00.000Z</x:v>
      </x:c>
      <x:c r="C4218" s="1" t="str">
        <x:v>Standard Class</x:v>
      </x:c>
      <x:c r="D4218" s="1" t="str">
        <x:v>USCA</x:v>
      </x:c>
      <x:c r="E4218" s="1" t="str">
        <x:v>ON_HOLD</x:v>
      </x:c>
      <x:c r="F4218" s="1" t="str">
        <x:v>Late delivery</x:v>
      </x:c>
      <x:c r="G4218" s="6" t="n">
        <x:v>6</x:v>
      </x:c>
      <x:c r="H4218" s="6" t="n">
        <x:v>4</x:v>
      </x:c>
      <x:c r="I4218" s="6" t="n">
        <x:f>G4218-H4218</x:f>
        <x:v>2</x:v>
      </x:c>
      <x:c r="J4218" s="6" t="n">
        <x:f>IF(OR(E4218="CANCELED",E4218="SUSPECTED_FRAUD",F4218="Shipping canceled"),0,1)</x:f>
        <x:v>1</x:v>
      </x:c>
      <x:c r="K4218" s="6" t="n">
        <x:f>IF(G4218&gt;H4218,1,0)</x:f>
        <x:v>1</x:v>
      </x:c>
      <x:c r="L4218" s="6" t="n">
        <x:f>J4218*K4218</x:f>
        <x:v>1</x:v>
      </x:c>
    </x:row>
    <x:row r="4219">
      <x:c r="A4219" s="1" t="n">
        <x:v>32107</x:v>
      </x:c>
      <x:c r="B4219" s="5" t="d">
        <x:v>2016-04-13T00:00:00.000Z</x:v>
      </x:c>
      <x:c r="C4219" s="1" t="str">
        <x:v>Standard Class</x:v>
      </x:c>
      <x:c r="D4219" s="1" t="str">
        <x:v>USCA</x:v>
      </x:c>
      <x:c r="E4219" s="1" t="str">
        <x:v>COMPLETE</x:v>
      </x:c>
      <x:c r="F4219" s="1" t="str">
        <x:v>Advance shipping</x:v>
      </x:c>
      <x:c r="G4219" s="6" t="n">
        <x:v>3</x:v>
      </x:c>
      <x:c r="H4219" s="6" t="n">
        <x:v>4</x:v>
      </x:c>
      <x:c r="I4219" s="6" t="n">
        <x:f>G4219-H4219</x:f>
        <x:v>-1</x:v>
      </x:c>
      <x:c r="J4219" s="6" t="n">
        <x:f>IF(OR(E4219="CANCELED",E4219="SUSPECTED_FRAUD",F4219="Shipping canceled"),0,1)</x:f>
        <x:v>1</x:v>
      </x:c>
      <x:c r="K4219" s="6" t="n">
        <x:f>IF(G4219&gt;H4219,1,0)</x:f>
        <x:v>0</x:v>
      </x:c>
      <x:c r="L4219" s="6" t="n">
        <x:f>J4219*K4219</x:f>
        <x:v>0</x:v>
      </x:c>
    </x:row>
    <x:row r="4220">
      <x:c r="A4220" s="1" t="n">
        <x:v>32123</x:v>
      </x:c>
      <x:c r="B4220" s="5" t="d">
        <x:v>2016-04-13T00:00:00.000Z</x:v>
      </x:c>
      <x:c r="C4220" s="1" t="str">
        <x:v>First Class</x:v>
      </x:c>
      <x:c r="D4220" s="1" t="str">
        <x:v>USCA</x:v>
      </x:c>
      <x:c r="E4220" s="1" t="str">
        <x:v>PENDING_PAYMENT</x:v>
      </x:c>
      <x:c r="F4220" s="1" t="str">
        <x:v>Late delivery</x:v>
      </x:c>
      <x:c r="G4220" s="6" t="n">
        <x:v>2</x:v>
      </x:c>
      <x:c r="H4220" s="6" t="n">
        <x:v>1</x:v>
      </x:c>
      <x:c r="I4220" s="6" t="n">
        <x:f>G4220-H4220</x:f>
        <x:v>1</x:v>
      </x:c>
      <x:c r="J4220" s="6" t="n">
        <x:f>IF(OR(E4220="CANCELED",E4220="SUSPECTED_FRAUD",F4220="Shipping canceled"),0,1)</x:f>
        <x:v>1</x:v>
      </x:c>
      <x:c r="K4220" s="6" t="n">
        <x:f>IF(G4220&gt;H4220,1,0)</x:f>
        <x:v>1</x:v>
      </x:c>
      <x:c r="L4220" s="6" t="n">
        <x:f>J4220*K4220</x:f>
        <x:v>1</x:v>
      </x:c>
    </x:row>
    <x:row r="4221">
      <x:c r="A4221" s="1" t="n">
        <x:v>32125</x:v>
      </x:c>
      <x:c r="B4221" s="5" t="d">
        <x:v>2016-04-13T00:00:00.000Z</x:v>
      </x:c>
      <x:c r="C4221" s="1" t="str">
        <x:v>First Class</x:v>
      </x:c>
      <x:c r="D4221" s="1" t="str">
        <x:v>USCA</x:v>
      </x:c>
      <x:c r="E4221" s="1" t="str">
        <x:v>PENDING</x:v>
      </x:c>
      <x:c r="F4221" s="1" t="str">
        <x:v>Late delivery</x:v>
      </x:c>
      <x:c r="G4221" s="6" t="n">
        <x:v>2</x:v>
      </x:c>
      <x:c r="H4221" s="6" t="n">
        <x:v>1</x:v>
      </x:c>
      <x:c r="I4221" s="6" t="n">
        <x:f>G4221-H4221</x:f>
        <x:v>1</x:v>
      </x:c>
      <x:c r="J4221" s="6" t="n">
        <x:f>IF(OR(E4221="CANCELED",E4221="SUSPECTED_FRAUD",F4221="Shipping canceled"),0,1)</x:f>
        <x:v>1</x:v>
      </x:c>
      <x:c r="K4221" s="6" t="n">
        <x:f>IF(G4221&gt;H4221,1,0)</x:f>
        <x:v>1</x:v>
      </x:c>
      <x:c r="L4221" s="6" t="n">
        <x:f>J4221*K4221</x:f>
        <x:v>1</x:v>
      </x:c>
    </x:row>
    <x:row r="4222">
      <x:c r="A4222" s="1" t="n">
        <x:v>32126</x:v>
      </x:c>
      <x:c r="B4222" s="5" t="d">
        <x:v>2016-04-13T00:00:00.000Z</x:v>
      </x:c>
      <x:c r="C4222" s="1" t="str">
        <x:v>First Class</x:v>
      </x:c>
      <x:c r="D4222" s="1" t="str">
        <x:v>USCA</x:v>
      </x:c>
      <x:c r="E4222" s="1" t="str">
        <x:v>CLOSED</x:v>
      </x:c>
      <x:c r="F4222" s="1" t="str">
        <x:v>Late delivery</x:v>
      </x:c>
      <x:c r="G4222" s="6" t="n">
        <x:v>2</x:v>
      </x:c>
      <x:c r="H4222" s="6" t="n">
        <x:v>1</x:v>
      </x:c>
      <x:c r="I4222" s="6" t="n">
        <x:f>G4222-H4222</x:f>
        <x:v>1</x:v>
      </x:c>
      <x:c r="J4222" s="6" t="n">
        <x:f>IF(OR(E4222="CANCELED",E4222="SUSPECTED_FRAUD",F4222="Shipping canceled"),0,1)</x:f>
        <x:v>1</x:v>
      </x:c>
      <x:c r="K4222" s="6" t="n">
        <x:f>IF(G4222&gt;H4222,1,0)</x:f>
        <x:v>1</x:v>
      </x:c>
      <x:c r="L4222" s="6" t="n">
        <x:f>J4222*K4222</x:f>
        <x:v>1</x:v>
      </x:c>
    </x:row>
    <x:row r="4223">
      <x:c r="A4223" s="1" t="n">
        <x:v>32128</x:v>
      </x:c>
      <x:c r="B4223" s="5" t="d">
        <x:v>2016-04-13T00:00:00.000Z</x:v>
      </x:c>
      <x:c r="C4223" s="1" t="str">
        <x:v>Standard Class</x:v>
      </x:c>
      <x:c r="D4223" s="1" t="str">
        <x:v>USCA</x:v>
      </x:c>
      <x:c r="E4223" s="1" t="str">
        <x:v>PENDING_PAYMENT</x:v>
      </x:c>
      <x:c r="F4223" s="1" t="str">
        <x:v>Shipping on time</x:v>
      </x:c>
      <x:c r="G4223" s="6" t="n">
        <x:v>4</x:v>
      </x:c>
      <x:c r="H4223" s="6" t="n">
        <x:v>4</x:v>
      </x:c>
      <x:c r="I4223" s="6" t="n">
        <x:f>G4223-H4223</x:f>
        <x:v>0</x:v>
      </x:c>
      <x:c r="J4223" s="6" t="n">
        <x:f>IF(OR(E4223="CANCELED",E4223="SUSPECTED_FRAUD",F4223="Shipping canceled"),0,1)</x:f>
        <x:v>1</x:v>
      </x:c>
      <x:c r="K4223" s="6" t="n">
        <x:f>IF(G4223&gt;H4223,1,0)</x:f>
        <x:v>0</x:v>
      </x:c>
      <x:c r="L4223" s="6" t="n">
        <x:f>J4223*K4223</x:f>
        <x:v>0</x:v>
      </x:c>
    </x:row>
    <x:row r="4224">
      <x:c r="A4224" s="1" t="n">
        <x:v>32138</x:v>
      </x:c>
      <x:c r="B4224" s="5" t="d">
        <x:v>2016-04-14T00:00:00.000Z</x:v>
      </x:c>
      <x:c r="C4224" s="1" t="str">
        <x:v>Standard Class</x:v>
      </x:c>
      <x:c r="D4224" s="1" t="str">
        <x:v>USCA</x:v>
      </x:c>
      <x:c r="E4224" s="1" t="str">
        <x:v>COMPLETE</x:v>
      </x:c>
      <x:c r="F4224" s="1" t="str">
        <x:v>Shipping on time</x:v>
      </x:c>
      <x:c r="G4224" s="6" t="n">
        <x:v>4</x:v>
      </x:c>
      <x:c r="H4224" s="6" t="n">
        <x:v>4</x:v>
      </x:c>
      <x:c r="I4224" s="6" t="n">
        <x:f>G4224-H4224</x:f>
        <x:v>0</x:v>
      </x:c>
      <x:c r="J4224" s="6" t="n">
        <x:f>IF(OR(E4224="CANCELED",E4224="SUSPECTED_FRAUD",F4224="Shipping canceled"),0,1)</x:f>
        <x:v>1</x:v>
      </x:c>
      <x:c r="K4224" s="6" t="n">
        <x:f>IF(G4224&gt;H4224,1,0)</x:f>
        <x:v>0</x:v>
      </x:c>
      <x:c r="L4224" s="6" t="n">
        <x:f>J4224*K4224</x:f>
        <x:v>0</x:v>
      </x:c>
    </x:row>
    <x:row r="4225">
      <x:c r="A4225" s="1" t="n">
        <x:v>32141</x:v>
      </x:c>
      <x:c r="B4225" s="5" t="d">
        <x:v>2016-04-14T00:00:00.000Z</x:v>
      </x:c>
      <x:c r="C4225" s="1" t="str">
        <x:v>Second Class</x:v>
      </x:c>
      <x:c r="D4225" s="1" t="str">
        <x:v>USCA</x:v>
      </x:c>
      <x:c r="E4225" s="1" t="str">
        <x:v>COMPLETE</x:v>
      </x:c>
      <x:c r="F4225" s="1" t="str">
        <x:v>Shipping on time</x:v>
      </x:c>
      <x:c r="G4225" s="6" t="n">
        <x:v>2</x:v>
      </x:c>
      <x:c r="H4225" s="6" t="n">
        <x:v>2</x:v>
      </x:c>
      <x:c r="I4225" s="6" t="n">
        <x:f>G4225-H4225</x:f>
        <x:v>0</x:v>
      </x:c>
      <x:c r="J4225" s="6" t="n">
        <x:f>IF(OR(E4225="CANCELED",E4225="SUSPECTED_FRAUD",F4225="Shipping canceled"),0,1)</x:f>
        <x:v>1</x:v>
      </x:c>
      <x:c r="K4225" s="6" t="n">
        <x:f>IF(G4225&gt;H4225,1,0)</x:f>
        <x:v>0</x:v>
      </x:c>
      <x:c r="L4225" s="6" t="n">
        <x:f>J4225*K4225</x:f>
        <x:v>0</x:v>
      </x:c>
    </x:row>
    <x:row r="4226">
      <x:c r="A4226" s="1" t="n">
        <x:v>32143</x:v>
      </x:c>
      <x:c r="B4226" s="5" t="d">
        <x:v>2016-04-14T00:00:00.000Z</x:v>
      </x:c>
      <x:c r="C4226" s="1" t="str">
        <x:v>Standard Class</x:v>
      </x:c>
      <x:c r="D4226" s="1" t="str">
        <x:v>USCA</x:v>
      </x:c>
      <x:c r="E4226" s="1" t="str">
        <x:v>COMPLETE</x:v>
      </x:c>
      <x:c r="F4226" s="1" t="str">
        <x:v>Shipping on time</x:v>
      </x:c>
      <x:c r="G4226" s="6" t="n">
        <x:v>4</x:v>
      </x:c>
      <x:c r="H4226" s="6" t="n">
        <x:v>4</x:v>
      </x:c>
      <x:c r="I4226" s="6" t="n">
        <x:f>G4226-H4226</x:f>
        <x:v>0</x:v>
      </x:c>
      <x:c r="J4226" s="6" t="n">
        <x:f>IF(OR(E4226="CANCELED",E4226="SUSPECTED_FRAUD",F4226="Shipping canceled"),0,1)</x:f>
        <x:v>1</x:v>
      </x:c>
      <x:c r="K4226" s="6" t="n">
        <x:f>IF(G4226&gt;H4226,1,0)</x:f>
        <x:v>0</x:v>
      </x:c>
      <x:c r="L4226" s="6" t="n">
        <x:f>J4226*K4226</x:f>
        <x:v>0</x:v>
      </x:c>
    </x:row>
    <x:row r="4227">
      <x:c r="A4227" s="1" t="n">
        <x:v>32144</x:v>
      </x:c>
      <x:c r="B4227" s="5" t="d">
        <x:v>2016-04-14T00:00:00.000Z</x:v>
      </x:c>
      <x:c r="C4227" s="1" t="str">
        <x:v>Standard Class</x:v>
      </x:c>
      <x:c r="D4227" s="1" t="str">
        <x:v>USCA</x:v>
      </x:c>
      <x:c r="E4227" s="1" t="str">
        <x:v>PENDING</x:v>
      </x:c>
      <x:c r="F4227" s="1" t="str">
        <x:v>Late delivery</x:v>
      </x:c>
      <x:c r="G4227" s="6" t="n">
        <x:v>5</x:v>
      </x:c>
      <x:c r="H4227" s="6" t="n">
        <x:v>4</x:v>
      </x:c>
      <x:c r="I4227" s="6" t="n">
        <x:f>G4227-H4227</x:f>
        <x:v>1</x:v>
      </x:c>
      <x:c r="J4227" s="6" t="n">
        <x:f>IF(OR(E4227="CANCELED",E4227="SUSPECTED_FRAUD",F4227="Shipping canceled"),0,1)</x:f>
        <x:v>1</x:v>
      </x:c>
      <x:c r="K4227" s="6" t="n">
        <x:f>IF(G4227&gt;H4227,1,0)</x:f>
        <x:v>1</x:v>
      </x:c>
      <x:c r="L4227" s="6" t="n">
        <x:f>J4227*K4227</x:f>
        <x:v>1</x:v>
      </x:c>
    </x:row>
    <x:row r="4228">
      <x:c r="A4228" s="1" t="n">
        <x:v>32149</x:v>
      </x:c>
      <x:c r="B4228" s="5" t="d">
        <x:v>2016-04-14T00:00:00.000Z</x:v>
      </x:c>
      <x:c r="C4228" s="1" t="str">
        <x:v>Standard Class</x:v>
      </x:c>
      <x:c r="D4228" s="1" t="str">
        <x:v>USCA</x:v>
      </x:c>
      <x:c r="E4228" s="1" t="str">
        <x:v>ON_HOLD</x:v>
      </x:c>
      <x:c r="F4228" s="1" t="str">
        <x:v>Late delivery</x:v>
      </x:c>
      <x:c r="G4228" s="6" t="n">
        <x:v>5</x:v>
      </x:c>
      <x:c r="H4228" s="6" t="n">
        <x:v>4</x:v>
      </x:c>
      <x:c r="I4228" s="6" t="n">
        <x:f>G4228-H4228</x:f>
        <x:v>1</x:v>
      </x:c>
      <x:c r="J4228" s="6" t="n">
        <x:f>IF(OR(E4228="CANCELED",E4228="SUSPECTED_FRAUD",F4228="Shipping canceled"),0,1)</x:f>
        <x:v>1</x:v>
      </x:c>
      <x:c r="K4228" s="6" t="n">
        <x:f>IF(G4228&gt;H4228,1,0)</x:f>
        <x:v>1</x:v>
      </x:c>
      <x:c r="L4228" s="6" t="n">
        <x:f>J4228*K4228</x:f>
        <x:v>1</x:v>
      </x:c>
    </x:row>
    <x:row r="4229">
      <x:c r="A4229" s="1" t="n">
        <x:v>32151</x:v>
      </x:c>
      <x:c r="B4229" s="5" t="d">
        <x:v>2016-04-14T00:00:00.000Z</x:v>
      </x:c>
      <x:c r="C4229" s="1" t="str">
        <x:v>Standard Class</x:v>
      </x:c>
      <x:c r="D4229" s="1" t="str">
        <x:v>USCA</x:v>
      </x:c>
      <x:c r="E4229" s="1" t="str">
        <x:v>PROCESSING</x:v>
      </x:c>
      <x:c r="F4229" s="1" t="str">
        <x:v>Advance shipping</x:v>
      </x:c>
      <x:c r="G4229" s="6" t="n">
        <x:v>2</x:v>
      </x:c>
      <x:c r="H4229" s="6" t="n">
        <x:v>4</x:v>
      </x:c>
      <x:c r="I4229" s="6" t="n">
        <x:f>G4229-H4229</x:f>
        <x:v>-2</x:v>
      </x:c>
      <x:c r="J4229" s="6" t="n">
        <x:f>IF(OR(E4229="CANCELED",E4229="SUSPECTED_FRAUD",F4229="Shipping canceled"),0,1)</x:f>
        <x:v>1</x:v>
      </x:c>
      <x:c r="K4229" s="6" t="n">
        <x:f>IF(G4229&gt;H4229,1,0)</x:f>
        <x:v>0</x:v>
      </x:c>
      <x:c r="L4229" s="6" t="n">
        <x:f>J4229*K4229</x:f>
        <x:v>0</x:v>
      </x:c>
    </x:row>
    <x:row r="4230">
      <x:c r="A4230" s="1" t="n">
        <x:v>32154</x:v>
      </x:c>
      <x:c r="B4230" s="5" t="d">
        <x:v>2016-04-14T00:00:00.000Z</x:v>
      </x:c>
      <x:c r="C4230" s="1" t="str">
        <x:v>First Class</x:v>
      </x:c>
      <x:c r="D4230" s="1" t="str">
        <x:v>USCA</x:v>
      </x:c>
      <x:c r="E4230" s="1" t="str">
        <x:v>CLOSED</x:v>
      </x:c>
      <x:c r="F4230" s="1" t="str">
        <x:v>Late delivery</x:v>
      </x:c>
      <x:c r="G4230" s="6" t="n">
        <x:v>2</x:v>
      </x:c>
      <x:c r="H4230" s="6" t="n">
        <x:v>1</x:v>
      </x:c>
      <x:c r="I4230" s="6" t="n">
        <x:f>G4230-H4230</x:f>
        <x:v>1</x:v>
      </x:c>
      <x:c r="J4230" s="6" t="n">
        <x:f>IF(OR(E4230="CANCELED",E4230="SUSPECTED_FRAUD",F4230="Shipping canceled"),0,1)</x:f>
        <x:v>1</x:v>
      </x:c>
      <x:c r="K4230" s="6" t="n">
        <x:f>IF(G4230&gt;H4230,1,0)</x:f>
        <x:v>1</x:v>
      </x:c>
      <x:c r="L4230" s="6" t="n">
        <x:f>J4230*K4230</x:f>
        <x:v>1</x:v>
      </x:c>
    </x:row>
    <x:row r="4231">
      <x:c r="A4231" s="1" t="n">
        <x:v>32160</x:v>
      </x:c>
      <x:c r="B4231" s="5" t="d">
        <x:v>2016-04-14T00:00:00.000Z</x:v>
      </x:c>
      <x:c r="C4231" s="1" t="str">
        <x:v>Standard Class</x:v>
      </x:c>
      <x:c r="D4231" s="1" t="str">
        <x:v>USCA</x:v>
      </x:c>
      <x:c r="E4231" s="1" t="str">
        <x:v>COMPLETE</x:v>
      </x:c>
      <x:c r="F4231" s="1" t="str">
        <x:v>Late delivery</x:v>
      </x:c>
      <x:c r="G4231" s="6" t="n">
        <x:v>6</x:v>
      </x:c>
      <x:c r="H4231" s="6" t="n">
        <x:v>4</x:v>
      </x:c>
      <x:c r="I4231" s="6" t="n">
        <x:f>G4231-H4231</x:f>
        <x:v>2</x:v>
      </x:c>
      <x:c r="J4231" s="6" t="n">
        <x:f>IF(OR(E4231="CANCELED",E4231="SUSPECTED_FRAUD",F4231="Shipping canceled"),0,1)</x:f>
        <x:v>1</x:v>
      </x:c>
      <x:c r="K4231" s="6" t="n">
        <x:f>IF(G4231&gt;H4231,1,0)</x:f>
        <x:v>1</x:v>
      </x:c>
      <x:c r="L4231" s="6" t="n">
        <x:f>J4231*K4231</x:f>
        <x:v>1</x:v>
      </x:c>
    </x:row>
    <x:row r="4232">
      <x:c r="A4232" s="1" t="n">
        <x:v>32167</x:v>
      </x:c>
      <x:c r="B4232" s="5" t="d">
        <x:v>2016-04-14T00:00:00.000Z</x:v>
      </x:c>
      <x:c r="C4232" s="1" t="str">
        <x:v>Second Class</x:v>
      </x:c>
      <x:c r="D4232" s="1" t="str">
        <x:v>USCA</x:v>
      </x:c>
      <x:c r="E4232" s="1" t="str">
        <x:v>COMPLETE</x:v>
      </x:c>
      <x:c r="F4232" s="1" t="str">
        <x:v>Late delivery</x:v>
      </x:c>
      <x:c r="G4232" s="6" t="n">
        <x:v>3</x:v>
      </x:c>
      <x:c r="H4232" s="6" t="n">
        <x:v>2</x:v>
      </x:c>
      <x:c r="I4232" s="6" t="n">
        <x:f>G4232-H4232</x:f>
        <x:v>1</x:v>
      </x:c>
      <x:c r="J4232" s="6" t="n">
        <x:f>IF(OR(E4232="CANCELED",E4232="SUSPECTED_FRAUD",F4232="Shipping canceled"),0,1)</x:f>
        <x:v>1</x:v>
      </x:c>
      <x:c r="K4232" s="6" t="n">
        <x:f>IF(G4232&gt;H4232,1,0)</x:f>
        <x:v>1</x:v>
      </x:c>
      <x:c r="L4232" s="6" t="n">
        <x:f>J4232*K4232</x:f>
        <x:v>1</x:v>
      </x:c>
    </x:row>
    <x:row r="4233">
      <x:c r="A4233" s="1" t="n">
        <x:v>32178</x:v>
      </x:c>
      <x:c r="B4233" s="5" t="d">
        <x:v>2016-04-14T00:00:00.000Z</x:v>
      </x:c>
      <x:c r="C4233" s="1" t="str">
        <x:v>Standard Class</x:v>
      </x:c>
      <x:c r="D4233" s="1" t="str">
        <x:v>USCA</x:v>
      </x:c>
      <x:c r="E4233" s="1" t="str">
        <x:v>COMPLETE</x:v>
      </x:c>
      <x:c r="F4233" s="1" t="str">
        <x:v>Shipping on time</x:v>
      </x:c>
      <x:c r="G4233" s="6" t="n">
        <x:v>4</x:v>
      </x:c>
      <x:c r="H4233" s="6" t="n">
        <x:v>4</x:v>
      </x:c>
      <x:c r="I4233" s="6" t="n">
        <x:f>G4233-H4233</x:f>
        <x:v>0</x:v>
      </x:c>
      <x:c r="J4233" s="6" t="n">
        <x:f>IF(OR(E4233="CANCELED",E4233="SUSPECTED_FRAUD",F4233="Shipping canceled"),0,1)</x:f>
        <x:v>1</x:v>
      </x:c>
      <x:c r="K4233" s="6" t="n">
        <x:f>IF(G4233&gt;H4233,1,0)</x:f>
        <x:v>0</x:v>
      </x:c>
      <x:c r="L4233" s="6" t="n">
        <x:f>J4233*K4233</x:f>
        <x:v>0</x:v>
      </x:c>
    </x:row>
    <x:row r="4234">
      <x:c r="A4234" s="1" t="n">
        <x:v>32183</x:v>
      </x:c>
      <x:c r="B4234" s="5" t="d">
        <x:v>2016-04-14T00:00:00.000Z</x:v>
      </x:c>
      <x:c r="C4234" s="1" t="str">
        <x:v>Standard Class</x:v>
      </x:c>
      <x:c r="D4234" s="1" t="str">
        <x:v>USCA</x:v>
      </x:c>
      <x:c r="E4234" s="1" t="str">
        <x:v>COMPLETE</x:v>
      </x:c>
      <x:c r="F4234" s="1" t="str">
        <x:v>Shipping on time</x:v>
      </x:c>
      <x:c r="G4234" s="6" t="n">
        <x:v>4</x:v>
      </x:c>
      <x:c r="H4234" s="6" t="n">
        <x:v>4</x:v>
      </x:c>
      <x:c r="I4234" s="6" t="n">
        <x:f>G4234-H4234</x:f>
        <x:v>0</x:v>
      </x:c>
      <x:c r="J4234" s="6" t="n">
        <x:f>IF(OR(E4234="CANCELED",E4234="SUSPECTED_FRAUD",F4234="Shipping canceled"),0,1)</x:f>
        <x:v>1</x:v>
      </x:c>
      <x:c r="K4234" s="6" t="n">
        <x:f>IF(G4234&gt;H4234,1,0)</x:f>
        <x:v>0</x:v>
      </x:c>
      <x:c r="L4234" s="6" t="n">
        <x:f>J4234*K4234</x:f>
        <x:v>0</x:v>
      </x:c>
    </x:row>
    <x:row r="4235">
      <x:c r="A4235" s="1" t="n">
        <x:v>32184</x:v>
      </x:c>
      <x:c r="B4235" s="5" t="d">
        <x:v>2016-04-14T00:00:00.000Z</x:v>
      </x:c>
      <x:c r="C4235" s="1" t="str">
        <x:v>Standard Class</x:v>
      </x:c>
      <x:c r="D4235" s="1" t="str">
        <x:v>USCA</x:v>
      </x:c>
      <x:c r="E4235" s="1" t="str">
        <x:v>PENDING</x:v>
      </x:c>
      <x:c r="F4235" s="1" t="str">
        <x:v>Late delivery</x:v>
      </x:c>
      <x:c r="G4235" s="6" t="n">
        <x:v>5</x:v>
      </x:c>
      <x:c r="H4235" s="6" t="n">
        <x:v>4</x:v>
      </x:c>
      <x:c r="I4235" s="6" t="n">
        <x:f>G4235-H4235</x:f>
        <x:v>1</x:v>
      </x:c>
      <x:c r="J4235" s="6" t="n">
        <x:f>IF(OR(E4235="CANCELED",E4235="SUSPECTED_FRAUD",F4235="Shipping canceled"),0,1)</x:f>
        <x:v>1</x:v>
      </x:c>
      <x:c r="K4235" s="6" t="n">
        <x:f>IF(G4235&gt;H4235,1,0)</x:f>
        <x:v>1</x:v>
      </x:c>
      <x:c r="L4235" s="6" t="n">
        <x:f>J4235*K4235</x:f>
        <x:v>1</x:v>
      </x:c>
    </x:row>
    <x:row r="4236">
      <x:c r="A4236" s="1" t="n">
        <x:v>32191</x:v>
      </x:c>
      <x:c r="B4236" s="5" t="d">
        <x:v>2016-04-14T00:00:00.000Z</x:v>
      </x:c>
      <x:c r="C4236" s="1" t="str">
        <x:v>Standard Class</x:v>
      </x:c>
      <x:c r="D4236" s="1" t="str">
        <x:v>USCA</x:v>
      </x:c>
      <x:c r="E4236" s="1" t="str">
        <x:v>PROCESSING</x:v>
      </x:c>
      <x:c r="F4236" s="1" t="str">
        <x:v>Advance shipping</x:v>
      </x:c>
      <x:c r="G4236" s="6" t="n">
        <x:v>2</x:v>
      </x:c>
      <x:c r="H4236" s="6" t="n">
        <x:v>4</x:v>
      </x:c>
      <x:c r="I4236" s="6" t="n">
        <x:f>G4236-H4236</x:f>
        <x:v>-2</x:v>
      </x:c>
      <x:c r="J4236" s="6" t="n">
        <x:f>IF(OR(E4236="CANCELED",E4236="SUSPECTED_FRAUD",F4236="Shipping canceled"),0,1)</x:f>
        <x:v>1</x:v>
      </x:c>
      <x:c r="K4236" s="6" t="n">
        <x:f>IF(G4236&gt;H4236,1,0)</x:f>
        <x:v>0</x:v>
      </x:c>
      <x:c r="L4236" s="6" t="n">
        <x:f>J4236*K4236</x:f>
        <x:v>0</x:v>
      </x:c>
    </x:row>
    <x:row r="4237">
      <x:c r="A4237" s="1" t="n">
        <x:v>32192</x:v>
      </x:c>
      <x:c r="B4237" s="5" t="d">
        <x:v>2016-04-14T00:00:00.000Z</x:v>
      </x:c>
      <x:c r="C4237" s="1" t="str">
        <x:v>Standard Class</x:v>
      </x:c>
      <x:c r="D4237" s="1" t="str">
        <x:v>USCA</x:v>
      </x:c>
      <x:c r="E4237" s="1" t="str">
        <x:v>COMPLETE</x:v>
      </x:c>
      <x:c r="F4237" s="1" t="str">
        <x:v>Advance shipping</x:v>
      </x:c>
      <x:c r="G4237" s="6" t="n">
        <x:v>3</x:v>
      </x:c>
      <x:c r="H4237" s="6" t="n">
        <x:v>4</x:v>
      </x:c>
      <x:c r="I4237" s="6" t="n">
        <x:f>G4237-H4237</x:f>
        <x:v>-1</x:v>
      </x:c>
      <x:c r="J4237" s="6" t="n">
        <x:f>IF(OR(E4237="CANCELED",E4237="SUSPECTED_FRAUD",F4237="Shipping canceled"),0,1)</x:f>
        <x:v>1</x:v>
      </x:c>
      <x:c r="K4237" s="6" t="n">
        <x:f>IF(G4237&gt;H4237,1,0)</x:f>
        <x:v>0</x:v>
      </x:c>
      <x:c r="L4237" s="6" t="n">
        <x:f>J4237*K4237</x:f>
        <x:v>0</x:v>
      </x:c>
    </x:row>
    <x:row r="4238">
      <x:c r="A4238" s="1" t="n">
        <x:v>32194</x:v>
      </x:c>
      <x:c r="B4238" s="5" t="d">
        <x:v>2016-04-14T00:00:00.000Z</x:v>
      </x:c>
      <x:c r="C4238" s="1" t="str">
        <x:v>Standard Class</x:v>
      </x:c>
      <x:c r="D4238" s="1" t="str">
        <x:v>USCA</x:v>
      </x:c>
      <x:c r="E4238" s="1" t="str">
        <x:v>COMPLETE</x:v>
      </x:c>
      <x:c r="F4238" s="1" t="str">
        <x:v>Late delivery</x:v>
      </x:c>
      <x:c r="G4238" s="6" t="n">
        <x:v>5</x:v>
      </x:c>
      <x:c r="H4238" s="6" t="n">
        <x:v>4</x:v>
      </x:c>
      <x:c r="I4238" s="6" t="n">
        <x:f>G4238-H4238</x:f>
        <x:v>1</x:v>
      </x:c>
      <x:c r="J4238" s="6" t="n">
        <x:f>IF(OR(E4238="CANCELED",E4238="SUSPECTED_FRAUD",F4238="Shipping canceled"),0,1)</x:f>
        <x:v>1</x:v>
      </x:c>
      <x:c r="K4238" s="6" t="n">
        <x:f>IF(G4238&gt;H4238,1,0)</x:f>
        <x:v>1</x:v>
      </x:c>
      <x:c r="L4238" s="6" t="n">
        <x:f>J4238*K4238</x:f>
        <x:v>1</x:v>
      </x:c>
    </x:row>
    <x:row r="4239">
      <x:c r="A4239" s="1" t="n">
        <x:v>32202</x:v>
      </x:c>
      <x:c r="B4239" s="5" t="d">
        <x:v>2016-04-15T00:00:00.000Z</x:v>
      </x:c>
      <x:c r="C4239" s="1" t="str">
        <x:v>Standard Class</x:v>
      </x:c>
      <x:c r="D4239" s="1" t="str">
        <x:v>USCA</x:v>
      </x:c>
      <x:c r="E4239" s="1" t="str">
        <x:v>ON_HOLD</x:v>
      </x:c>
      <x:c r="F4239" s="1" t="str">
        <x:v>Advance shipping</x:v>
      </x:c>
      <x:c r="G4239" s="6" t="n">
        <x:v>3</x:v>
      </x:c>
      <x:c r="H4239" s="6" t="n">
        <x:v>4</x:v>
      </x:c>
      <x:c r="I4239" s="6" t="n">
        <x:f>G4239-H4239</x:f>
        <x:v>-1</x:v>
      </x:c>
      <x:c r="J4239" s="6" t="n">
        <x:f>IF(OR(E4239="CANCELED",E4239="SUSPECTED_FRAUD",F4239="Shipping canceled"),0,1)</x:f>
        <x:v>1</x:v>
      </x:c>
      <x:c r="K4239" s="6" t="n">
        <x:f>IF(G4239&gt;H4239,1,0)</x:f>
        <x:v>0</x:v>
      </x:c>
      <x:c r="L4239" s="6" t="n">
        <x:f>J4239*K4239</x:f>
        <x:v>0</x:v>
      </x:c>
    </x:row>
    <x:row r="4240">
      <x:c r="A4240" s="1" t="n">
        <x:v>32207</x:v>
      </x:c>
      <x:c r="B4240" s="5" t="d">
        <x:v>2016-04-15T00:00:00.000Z</x:v>
      </x:c>
      <x:c r="C4240" s="1" t="str">
        <x:v>Standard Class</x:v>
      </x:c>
      <x:c r="D4240" s="1" t="str">
        <x:v>USCA</x:v>
      </x:c>
      <x:c r="E4240" s="1" t="str">
        <x:v>PENDING_PAYMENT</x:v>
      </x:c>
      <x:c r="F4240" s="1" t="str">
        <x:v>Advance shipping</x:v>
      </x:c>
      <x:c r="G4240" s="6" t="n">
        <x:v>3</x:v>
      </x:c>
      <x:c r="H4240" s="6" t="n">
        <x:v>4</x:v>
      </x:c>
      <x:c r="I4240" s="6" t="n">
        <x:f>G4240-H4240</x:f>
        <x:v>-1</x:v>
      </x:c>
      <x:c r="J4240" s="6" t="n">
        <x:f>IF(OR(E4240="CANCELED",E4240="SUSPECTED_FRAUD",F4240="Shipping canceled"),0,1)</x:f>
        <x:v>1</x:v>
      </x:c>
      <x:c r="K4240" s="6" t="n">
        <x:f>IF(G4240&gt;H4240,1,0)</x:f>
        <x:v>0</x:v>
      </x:c>
      <x:c r="L4240" s="6" t="n">
        <x:f>J4240*K4240</x:f>
        <x:v>0</x:v>
      </x:c>
    </x:row>
    <x:row r="4241">
      <x:c r="A4241" s="1" t="n">
        <x:v>32211</x:v>
      </x:c>
      <x:c r="B4241" s="5" t="d">
        <x:v>2016-04-15T00:00:00.000Z</x:v>
      </x:c>
      <x:c r="C4241" s="1" t="str">
        <x:v>Second Class</x:v>
      </x:c>
      <x:c r="D4241" s="1" t="str">
        <x:v>USCA</x:v>
      </x:c>
      <x:c r="E4241" s="1" t="str">
        <x:v>COMPLETE</x:v>
      </x:c>
      <x:c r="F4241" s="1" t="str">
        <x:v>Shipping on time</x:v>
      </x:c>
      <x:c r="G4241" s="6" t="n">
        <x:v>2</x:v>
      </x:c>
      <x:c r="H4241" s="6" t="n">
        <x:v>2</x:v>
      </x:c>
      <x:c r="I4241" s="6" t="n">
        <x:f>G4241-H4241</x:f>
        <x:v>0</x:v>
      </x:c>
      <x:c r="J4241" s="6" t="n">
        <x:f>IF(OR(E4241="CANCELED",E4241="SUSPECTED_FRAUD",F4241="Shipping canceled"),0,1)</x:f>
        <x:v>1</x:v>
      </x:c>
      <x:c r="K4241" s="6" t="n">
        <x:f>IF(G4241&gt;H4241,1,0)</x:f>
        <x:v>0</x:v>
      </x:c>
      <x:c r="L4241" s="6" t="n">
        <x:f>J4241*K4241</x:f>
        <x:v>0</x:v>
      </x:c>
    </x:row>
    <x:row r="4242">
      <x:c r="A4242" s="1" t="n">
        <x:v>32213</x:v>
      </x:c>
      <x:c r="B4242" s="5" t="d">
        <x:v>2016-04-15T00:00:00.000Z</x:v>
      </x:c>
      <x:c r="C4242" s="1" t="str">
        <x:v>First Class</x:v>
      </x:c>
      <x:c r="D4242" s="1" t="str">
        <x:v>USCA</x:v>
      </x:c>
      <x:c r="E4242" s="1" t="str">
        <x:v>CLOSED</x:v>
      </x:c>
      <x:c r="F4242" s="1" t="str">
        <x:v>Late delivery</x:v>
      </x:c>
      <x:c r="G4242" s="6" t="n">
        <x:v>2</x:v>
      </x:c>
      <x:c r="H4242" s="6" t="n">
        <x:v>1</x:v>
      </x:c>
      <x:c r="I4242" s="6" t="n">
        <x:f>G4242-H4242</x:f>
        <x:v>1</x:v>
      </x:c>
      <x:c r="J4242" s="6" t="n">
        <x:f>IF(OR(E4242="CANCELED",E4242="SUSPECTED_FRAUD",F4242="Shipping canceled"),0,1)</x:f>
        <x:v>1</x:v>
      </x:c>
      <x:c r="K4242" s="6" t="n">
        <x:f>IF(G4242&gt;H4242,1,0)</x:f>
        <x:v>1</x:v>
      </x:c>
      <x:c r="L4242" s="6" t="n">
        <x:f>J4242*K4242</x:f>
        <x:v>1</x:v>
      </x:c>
    </x:row>
    <x:row r="4243">
      <x:c r="A4243" s="1" t="n">
        <x:v>32216</x:v>
      </x:c>
      <x:c r="B4243" s="5" t="d">
        <x:v>2016-04-15T00:00:00.000Z</x:v>
      </x:c>
      <x:c r="C4243" s="1" t="str">
        <x:v>Standard Class</x:v>
      </x:c>
      <x:c r="D4243" s="1" t="str">
        <x:v>USCA</x:v>
      </x:c>
      <x:c r="E4243" s="1" t="str">
        <x:v>COMPLETE</x:v>
      </x:c>
      <x:c r="F4243" s="1" t="str">
        <x:v>Advance shipping</x:v>
      </x:c>
      <x:c r="G4243" s="6" t="n">
        <x:v>2</x:v>
      </x:c>
      <x:c r="H4243" s="6" t="n">
        <x:v>4</x:v>
      </x:c>
      <x:c r="I4243" s="6" t="n">
        <x:f>G4243-H4243</x:f>
        <x:v>-2</x:v>
      </x:c>
      <x:c r="J4243" s="6" t="n">
        <x:f>IF(OR(E4243="CANCELED",E4243="SUSPECTED_FRAUD",F4243="Shipping canceled"),0,1)</x:f>
        <x:v>1</x:v>
      </x:c>
      <x:c r="K4243" s="6" t="n">
        <x:f>IF(G4243&gt;H4243,1,0)</x:f>
        <x:v>0</x:v>
      </x:c>
      <x:c r="L4243" s="6" t="n">
        <x:f>J4243*K4243</x:f>
        <x:v>0</x:v>
      </x:c>
    </x:row>
    <x:row r="4244">
      <x:c r="A4244" s="1" t="n">
        <x:v>32224</x:v>
      </x:c>
      <x:c r="B4244" s="5" t="d">
        <x:v>2016-04-15T00:00:00.000Z</x:v>
      </x:c>
      <x:c r="C4244" s="1" t="str">
        <x:v>Standard Class</x:v>
      </x:c>
      <x:c r="D4244" s="1" t="str">
        <x:v>USCA</x:v>
      </x:c>
      <x:c r="E4244" s="1" t="str">
        <x:v>PENDING</x:v>
      </x:c>
      <x:c r="F4244" s="1" t="str">
        <x:v>Late delivery</x:v>
      </x:c>
      <x:c r="G4244" s="6" t="n">
        <x:v>5</x:v>
      </x:c>
      <x:c r="H4244" s="6" t="n">
        <x:v>4</x:v>
      </x:c>
      <x:c r="I4244" s="6" t="n">
        <x:f>G4244-H4244</x:f>
        <x:v>1</x:v>
      </x:c>
      <x:c r="J4244" s="6" t="n">
        <x:f>IF(OR(E4244="CANCELED",E4244="SUSPECTED_FRAUD",F4244="Shipping canceled"),0,1)</x:f>
        <x:v>1</x:v>
      </x:c>
      <x:c r="K4244" s="6" t="n">
        <x:f>IF(G4244&gt;H4244,1,0)</x:f>
        <x:v>1</x:v>
      </x:c>
      <x:c r="L4244" s="6" t="n">
        <x:f>J4244*K4244</x:f>
        <x:v>1</x:v>
      </x:c>
    </x:row>
    <x:row r="4245">
      <x:c r="A4245" s="1" t="n">
        <x:v>32233</x:v>
      </x:c>
      <x:c r="B4245" s="5" t="d">
        <x:v>2016-04-15T00:00:00.000Z</x:v>
      </x:c>
      <x:c r="C4245" s="1" t="str">
        <x:v>Standard Class</x:v>
      </x:c>
      <x:c r="D4245" s="1" t="str">
        <x:v>USCA</x:v>
      </x:c>
      <x:c r="E4245" s="1" t="str">
        <x:v>PENDING</x:v>
      </x:c>
      <x:c r="F4245" s="1" t="str">
        <x:v>Shipping on time</x:v>
      </x:c>
      <x:c r="G4245" s="6" t="n">
        <x:v>4</x:v>
      </x:c>
      <x:c r="H4245" s="6" t="n">
        <x:v>4</x:v>
      </x:c>
      <x:c r="I4245" s="6" t="n">
        <x:f>G4245-H4245</x:f>
        <x:v>0</x:v>
      </x:c>
      <x:c r="J4245" s="6" t="n">
        <x:f>IF(OR(E4245="CANCELED",E4245="SUSPECTED_FRAUD",F4245="Shipping canceled"),0,1)</x:f>
        <x:v>1</x:v>
      </x:c>
      <x:c r="K4245" s="6" t="n">
        <x:f>IF(G4245&gt;H4245,1,0)</x:f>
        <x:v>0</x:v>
      </x:c>
      <x:c r="L4245" s="6" t="n">
        <x:f>J4245*K4245</x:f>
        <x:v>0</x:v>
      </x:c>
    </x:row>
    <x:row r="4246">
      <x:c r="A4246" s="1" t="n">
        <x:v>32257</x:v>
      </x:c>
      <x:c r="B4246" s="5" t="d">
        <x:v>2016-04-15T00:00:00.000Z</x:v>
      </x:c>
      <x:c r="C4246" s="1" t="str">
        <x:v>Standard Class</x:v>
      </x:c>
      <x:c r="D4246" s="1" t="str">
        <x:v>USCA</x:v>
      </x:c>
      <x:c r="E4246" s="1" t="str">
        <x:v>PENDING</x:v>
      </x:c>
      <x:c r="F4246" s="1" t="str">
        <x:v>Advance shipping</x:v>
      </x:c>
      <x:c r="G4246" s="6" t="n">
        <x:v>3</x:v>
      </x:c>
      <x:c r="H4246" s="6" t="n">
        <x:v>4</x:v>
      </x:c>
      <x:c r="I4246" s="6" t="n">
        <x:f>G4246-H4246</x:f>
        <x:v>-1</x:v>
      </x:c>
      <x:c r="J4246" s="6" t="n">
        <x:f>IF(OR(E4246="CANCELED",E4246="SUSPECTED_FRAUD",F4246="Shipping canceled"),0,1)</x:f>
        <x:v>1</x:v>
      </x:c>
      <x:c r="K4246" s="6" t="n">
        <x:f>IF(G4246&gt;H4246,1,0)</x:f>
        <x:v>0</x:v>
      </x:c>
      <x:c r="L4246" s="6" t="n">
        <x:f>J4246*K4246</x:f>
        <x:v>0</x:v>
      </x:c>
    </x:row>
    <x:row r="4247">
      <x:c r="A4247" s="1" t="n">
        <x:v>32259</x:v>
      </x:c>
      <x:c r="B4247" s="5" t="d">
        <x:v>2016-04-15T00:00:00.000Z</x:v>
      </x:c>
      <x:c r="C4247" s="1" t="str">
        <x:v>Standard Class</x:v>
      </x:c>
      <x:c r="D4247" s="1" t="str">
        <x:v>USCA</x:v>
      </x:c>
      <x:c r="E4247" s="1" t="str">
        <x:v>COMPLETE</x:v>
      </x:c>
      <x:c r="F4247" s="1" t="str">
        <x:v>Late delivery</x:v>
      </x:c>
      <x:c r="G4247" s="6" t="n">
        <x:v>5</x:v>
      </x:c>
      <x:c r="H4247" s="6" t="n">
        <x:v>4</x:v>
      </x:c>
      <x:c r="I4247" s="6" t="n">
        <x:f>G4247-H4247</x:f>
        <x:v>1</x:v>
      </x:c>
      <x:c r="J4247" s="6" t="n">
        <x:f>IF(OR(E4247="CANCELED",E4247="SUSPECTED_FRAUD",F4247="Shipping canceled"),0,1)</x:f>
        <x:v>1</x:v>
      </x:c>
      <x:c r="K4247" s="6" t="n">
        <x:f>IF(G4247&gt;H4247,1,0)</x:f>
        <x:v>1</x:v>
      </x:c>
      <x:c r="L4247" s="6" t="n">
        <x:f>J4247*K4247</x:f>
        <x:v>1</x:v>
      </x:c>
    </x:row>
    <x:row r="4248">
      <x:c r="A4248" s="1" t="n">
        <x:v>32261</x:v>
      </x:c>
      <x:c r="B4248" s="5" t="d">
        <x:v>2016-04-15T00:00:00.000Z</x:v>
      </x:c>
      <x:c r="C4248" s="1" t="str">
        <x:v>Standard Class</x:v>
      </x:c>
      <x:c r="D4248" s="1" t="str">
        <x:v>USCA</x:v>
      </x:c>
      <x:c r="E4248" s="1" t="str">
        <x:v>PENDING</x:v>
      </x:c>
      <x:c r="F4248" s="1" t="str">
        <x:v>Advance shipping</x:v>
      </x:c>
      <x:c r="G4248" s="6" t="n">
        <x:v>2</x:v>
      </x:c>
      <x:c r="H4248" s="6" t="n">
        <x:v>4</x:v>
      </x:c>
      <x:c r="I4248" s="6" t="n">
        <x:f>G4248-H4248</x:f>
        <x:v>-2</x:v>
      </x:c>
      <x:c r="J4248" s="6" t="n">
        <x:f>IF(OR(E4248="CANCELED",E4248="SUSPECTED_FRAUD",F4248="Shipping canceled"),0,1)</x:f>
        <x:v>1</x:v>
      </x:c>
      <x:c r="K4248" s="6" t="n">
        <x:f>IF(G4248&gt;H4248,1,0)</x:f>
        <x:v>0</x:v>
      </x:c>
      <x:c r="L4248" s="6" t="n">
        <x:f>J4248*K4248</x:f>
        <x:v>0</x:v>
      </x:c>
    </x:row>
    <x:row r="4249">
      <x:c r="A4249" s="1" t="n">
        <x:v>32262</x:v>
      </x:c>
      <x:c r="B4249" s="5" t="d">
        <x:v>2016-04-15T00:00:00.000Z</x:v>
      </x:c>
      <x:c r="C4249" s="1" t="str">
        <x:v>Standard Class</x:v>
      </x:c>
      <x:c r="D4249" s="1" t="str">
        <x:v>USCA</x:v>
      </x:c>
      <x:c r="E4249" s="1" t="str">
        <x:v>ON_HOLD</x:v>
      </x:c>
      <x:c r="F4249" s="1" t="str">
        <x:v>Advance shipping</x:v>
      </x:c>
      <x:c r="G4249" s="6" t="n">
        <x:v>3</x:v>
      </x:c>
      <x:c r="H4249" s="6" t="n">
        <x:v>4</x:v>
      </x:c>
      <x:c r="I4249" s="6" t="n">
        <x:f>G4249-H4249</x:f>
        <x:v>-1</x:v>
      </x:c>
      <x:c r="J4249" s="6" t="n">
        <x:f>IF(OR(E4249="CANCELED",E4249="SUSPECTED_FRAUD",F4249="Shipping canceled"),0,1)</x:f>
        <x:v>1</x:v>
      </x:c>
      <x:c r="K4249" s="6" t="n">
        <x:f>IF(G4249&gt;H4249,1,0)</x:f>
        <x:v>0</x:v>
      </x:c>
      <x:c r="L4249" s="6" t="n">
        <x:f>J4249*K4249</x:f>
        <x:v>0</x:v>
      </x:c>
    </x:row>
    <x:row r="4250">
      <x:c r="A4250" s="1" t="n">
        <x:v>32277</x:v>
      </x:c>
      <x:c r="B4250" s="5" t="d">
        <x:v>2016-04-16T00:00:00.000Z</x:v>
      </x:c>
      <x:c r="C4250" s="1" t="str">
        <x:v>Standard Class</x:v>
      </x:c>
      <x:c r="D4250" s="1" t="str">
        <x:v>USCA</x:v>
      </x:c>
      <x:c r="E4250" s="1" t="str">
        <x:v>PROCESSING</x:v>
      </x:c>
      <x:c r="F4250" s="1" t="str">
        <x:v>Advance shipping</x:v>
      </x:c>
      <x:c r="G4250" s="6" t="n">
        <x:v>3</x:v>
      </x:c>
      <x:c r="H4250" s="6" t="n">
        <x:v>4</x:v>
      </x:c>
      <x:c r="I4250" s="6" t="n">
        <x:f>G4250-H4250</x:f>
        <x:v>-1</x:v>
      </x:c>
      <x:c r="J4250" s="6" t="n">
        <x:f>IF(OR(E4250="CANCELED",E4250="SUSPECTED_FRAUD",F4250="Shipping canceled"),0,1)</x:f>
        <x:v>1</x:v>
      </x:c>
      <x:c r="K4250" s="6" t="n">
        <x:f>IF(G4250&gt;H4250,1,0)</x:f>
        <x:v>0</x:v>
      </x:c>
      <x:c r="L4250" s="6" t="n">
        <x:f>J4250*K4250</x:f>
        <x:v>0</x:v>
      </x:c>
    </x:row>
    <x:row r="4251">
      <x:c r="A4251" s="1" t="n">
        <x:v>32281</x:v>
      </x:c>
      <x:c r="B4251" s="5" t="d">
        <x:v>2016-04-16T00:00:00.000Z</x:v>
      </x:c>
      <x:c r="C4251" s="1" t="str">
        <x:v>Standard Class</x:v>
      </x:c>
      <x:c r="D4251" s="1" t="str">
        <x:v>USCA</x:v>
      </x:c>
      <x:c r="E4251" s="1" t="str">
        <x:v>COMPLETE</x:v>
      </x:c>
      <x:c r="F4251" s="1" t="str">
        <x:v>Advance shipping</x:v>
      </x:c>
      <x:c r="G4251" s="6" t="n">
        <x:v>2</x:v>
      </x:c>
      <x:c r="H4251" s="6" t="n">
        <x:v>4</x:v>
      </x:c>
      <x:c r="I4251" s="6" t="n">
        <x:f>G4251-H4251</x:f>
        <x:v>-2</x:v>
      </x:c>
      <x:c r="J4251" s="6" t="n">
        <x:f>IF(OR(E4251="CANCELED",E4251="SUSPECTED_FRAUD",F4251="Shipping canceled"),0,1)</x:f>
        <x:v>1</x:v>
      </x:c>
      <x:c r="K4251" s="6" t="n">
        <x:f>IF(G4251&gt;H4251,1,0)</x:f>
        <x:v>0</x:v>
      </x:c>
      <x:c r="L4251" s="6" t="n">
        <x:f>J4251*K4251</x:f>
        <x:v>0</x:v>
      </x:c>
    </x:row>
    <x:row r="4252">
      <x:c r="A4252" s="1" t="n">
        <x:v>32288</x:v>
      </x:c>
      <x:c r="B4252" s="5" t="d">
        <x:v>2016-04-16T00:00:00.000Z</x:v>
      </x:c>
      <x:c r="C4252" s="1" t="str">
        <x:v>Standard Class</x:v>
      </x:c>
      <x:c r="D4252" s="1" t="str">
        <x:v>USCA</x:v>
      </x:c>
      <x:c r="E4252" s="1" t="str">
        <x:v>COMPLETE</x:v>
      </x:c>
      <x:c r="F4252" s="1" t="str">
        <x:v>Shipping on time</x:v>
      </x:c>
      <x:c r="G4252" s="6" t="n">
        <x:v>4</x:v>
      </x:c>
      <x:c r="H4252" s="6" t="n">
        <x:v>4</x:v>
      </x:c>
      <x:c r="I4252" s="6" t="n">
        <x:f>G4252-H4252</x:f>
        <x:v>0</x:v>
      </x:c>
      <x:c r="J4252" s="6" t="n">
        <x:f>IF(OR(E4252="CANCELED",E4252="SUSPECTED_FRAUD",F4252="Shipping canceled"),0,1)</x:f>
        <x:v>1</x:v>
      </x:c>
      <x:c r="K4252" s="6" t="n">
        <x:f>IF(G4252&gt;H4252,1,0)</x:f>
        <x:v>0</x:v>
      </x:c>
      <x:c r="L4252" s="6" t="n">
        <x:f>J4252*K4252</x:f>
        <x:v>0</x:v>
      </x:c>
    </x:row>
    <x:row r="4253">
      <x:c r="A4253" s="1" t="n">
        <x:v>32308</x:v>
      </x:c>
      <x:c r="B4253" s="5" t="d">
        <x:v>2016-04-16T00:00:00.000Z</x:v>
      </x:c>
      <x:c r="C4253" s="1" t="str">
        <x:v>Standard Class</x:v>
      </x:c>
      <x:c r="D4253" s="1" t="str">
        <x:v>USCA</x:v>
      </x:c>
      <x:c r="E4253" s="1" t="str">
        <x:v>PENDING</x:v>
      </x:c>
      <x:c r="F4253" s="1" t="str">
        <x:v>Shipping on time</x:v>
      </x:c>
      <x:c r="G4253" s="6" t="n">
        <x:v>4</x:v>
      </x:c>
      <x:c r="H4253" s="6" t="n">
        <x:v>4</x:v>
      </x:c>
      <x:c r="I4253" s="6" t="n">
        <x:f>G4253-H4253</x:f>
        <x:v>0</x:v>
      </x:c>
      <x:c r="J4253" s="6" t="n">
        <x:f>IF(OR(E4253="CANCELED",E4253="SUSPECTED_FRAUD",F4253="Shipping canceled"),0,1)</x:f>
        <x:v>1</x:v>
      </x:c>
      <x:c r="K4253" s="6" t="n">
        <x:f>IF(G4253&gt;H4253,1,0)</x:f>
        <x:v>0</x:v>
      </x:c>
      <x:c r="L4253" s="6" t="n">
        <x:f>J4253*K4253</x:f>
        <x:v>0</x:v>
      </x:c>
    </x:row>
    <x:row r="4254">
      <x:c r="A4254" s="1" t="n">
        <x:v>32324</x:v>
      </x:c>
      <x:c r="B4254" s="5" t="d">
        <x:v>2016-04-16T00:00:00.000Z</x:v>
      </x:c>
      <x:c r="C4254" s="1" t="str">
        <x:v>Standard Class</x:v>
      </x:c>
      <x:c r="D4254" s="1" t="str">
        <x:v>USCA</x:v>
      </x:c>
      <x:c r="E4254" s="1" t="str">
        <x:v>CANCELED</x:v>
      </x:c>
      <x:c r="F4254" s="1" t="str">
        <x:v>Shipping canceled</x:v>
      </x:c>
      <x:c r="G4254" s="6" t="n">
        <x:v>5</x:v>
      </x:c>
      <x:c r="H4254" s="6" t="n">
        <x:v>4</x:v>
      </x:c>
      <x:c r="I4254" s="6" t="n">
        <x:f>G4254-H4254</x:f>
        <x:v>1</x:v>
      </x:c>
      <x:c r="J4254" s="6" t="n">
        <x:f>IF(OR(E4254="CANCELED",E4254="SUSPECTED_FRAUD",F4254="Shipping canceled"),0,1)</x:f>
        <x:v>0</x:v>
      </x:c>
      <x:c r="K4254" s="6" t="n">
        <x:f>IF(G4254&gt;H4254,1,0)</x:f>
        <x:v>1</x:v>
      </x:c>
      <x:c r="L4254" s="6" t="n">
        <x:f>J4254*K4254</x:f>
        <x:v>0</x:v>
      </x:c>
    </x:row>
    <x:row r="4255">
      <x:c r="A4255" s="1" t="n">
        <x:v>32327</x:v>
      </x:c>
      <x:c r="B4255" s="5" t="d">
        <x:v>2016-04-16T00:00:00.000Z</x:v>
      </x:c>
      <x:c r="C4255" s="1" t="str">
        <x:v>Standard Class</x:v>
      </x:c>
      <x:c r="D4255" s="1" t="str">
        <x:v>USCA</x:v>
      </x:c>
      <x:c r="E4255" s="1" t="str">
        <x:v>COMPLETE</x:v>
      </x:c>
      <x:c r="F4255" s="1" t="str">
        <x:v>Advance shipping</x:v>
      </x:c>
      <x:c r="G4255" s="6" t="n">
        <x:v>3</x:v>
      </x:c>
      <x:c r="H4255" s="6" t="n">
        <x:v>4</x:v>
      </x:c>
      <x:c r="I4255" s="6" t="n">
        <x:f>G4255-H4255</x:f>
        <x:v>-1</x:v>
      </x:c>
      <x:c r="J4255" s="6" t="n">
        <x:f>IF(OR(E4255="CANCELED",E4255="SUSPECTED_FRAUD",F4255="Shipping canceled"),0,1)</x:f>
        <x:v>1</x:v>
      </x:c>
      <x:c r="K4255" s="6" t="n">
        <x:f>IF(G4255&gt;H4255,1,0)</x:f>
        <x:v>0</x:v>
      </x:c>
      <x:c r="L4255" s="6" t="n">
        <x:f>J4255*K4255</x:f>
        <x:v>0</x:v>
      </x:c>
    </x:row>
    <x:row r="4256">
      <x:c r="A4256" s="1" t="n">
        <x:v>32331</x:v>
      </x:c>
      <x:c r="B4256" s="5" t="d">
        <x:v>2016-04-16T00:00:00.000Z</x:v>
      </x:c>
      <x:c r="C4256" s="1" t="str">
        <x:v>Standard Class</x:v>
      </x:c>
      <x:c r="D4256" s="1" t="str">
        <x:v>USCA</x:v>
      </x:c>
      <x:c r="E4256" s="1" t="str">
        <x:v>COMPLETE</x:v>
      </x:c>
      <x:c r="F4256" s="1" t="str">
        <x:v>Advance shipping</x:v>
      </x:c>
      <x:c r="G4256" s="6" t="n">
        <x:v>2</x:v>
      </x:c>
      <x:c r="H4256" s="6" t="n">
        <x:v>4</x:v>
      </x:c>
      <x:c r="I4256" s="6" t="n">
        <x:f>G4256-H4256</x:f>
        <x:v>-2</x:v>
      </x:c>
      <x:c r="J4256" s="6" t="n">
        <x:f>IF(OR(E4256="CANCELED",E4256="SUSPECTED_FRAUD",F4256="Shipping canceled"),0,1)</x:f>
        <x:v>1</x:v>
      </x:c>
      <x:c r="K4256" s="6" t="n">
        <x:f>IF(G4256&gt;H4256,1,0)</x:f>
        <x:v>0</x:v>
      </x:c>
      <x:c r="L4256" s="6" t="n">
        <x:f>J4256*K4256</x:f>
        <x:v>0</x:v>
      </x:c>
    </x:row>
    <x:row r="4257">
      <x:c r="A4257" s="1" t="n">
        <x:v>32353</x:v>
      </x:c>
      <x:c r="B4257" s="5" t="d">
        <x:v>2016-04-17T00:00:00.000Z</x:v>
      </x:c>
      <x:c r="C4257" s="1" t="str">
        <x:v>Standard Class</x:v>
      </x:c>
      <x:c r="D4257" s="1" t="str">
        <x:v>USCA</x:v>
      </x:c>
      <x:c r="E4257" s="1" t="str">
        <x:v>COMPLETE</x:v>
      </x:c>
      <x:c r="F4257" s="1" t="str">
        <x:v>Shipping on time</x:v>
      </x:c>
      <x:c r="G4257" s="6" t="n">
        <x:v>4</x:v>
      </x:c>
      <x:c r="H4257" s="6" t="n">
        <x:v>4</x:v>
      </x:c>
      <x:c r="I4257" s="6" t="n">
        <x:f>G4257-H4257</x:f>
        <x:v>0</x:v>
      </x:c>
      <x:c r="J4257" s="6" t="n">
        <x:f>IF(OR(E4257="CANCELED",E4257="SUSPECTED_FRAUD",F4257="Shipping canceled"),0,1)</x:f>
        <x:v>1</x:v>
      </x:c>
      <x:c r="K4257" s="6" t="n">
        <x:f>IF(G4257&gt;H4257,1,0)</x:f>
        <x:v>0</x:v>
      </x:c>
      <x:c r="L4257" s="6" t="n">
        <x:f>J4257*K4257</x:f>
        <x:v>0</x:v>
      </x:c>
    </x:row>
    <x:row r="4258">
      <x:c r="A4258" s="1" t="n">
        <x:v>32355</x:v>
      </x:c>
      <x:c r="B4258" s="5" t="d">
        <x:v>2016-04-17T00:00:00.000Z</x:v>
      </x:c>
      <x:c r="C4258" s="1" t="str">
        <x:v>Second Class</x:v>
      </x:c>
      <x:c r="D4258" s="1" t="str">
        <x:v>USCA</x:v>
      </x:c>
      <x:c r="E4258" s="1" t="str">
        <x:v>PENDING</x:v>
      </x:c>
      <x:c r="F4258" s="1" t="str">
        <x:v>Late delivery</x:v>
      </x:c>
      <x:c r="G4258" s="6" t="n">
        <x:v>6</x:v>
      </x:c>
      <x:c r="H4258" s="6" t="n">
        <x:v>2</x:v>
      </x:c>
      <x:c r="I4258" s="6" t="n">
        <x:f>G4258-H4258</x:f>
        <x:v>4</x:v>
      </x:c>
      <x:c r="J4258" s="6" t="n">
        <x:f>IF(OR(E4258="CANCELED",E4258="SUSPECTED_FRAUD",F4258="Shipping canceled"),0,1)</x:f>
        <x:v>1</x:v>
      </x:c>
      <x:c r="K4258" s="6" t="n">
        <x:f>IF(G4258&gt;H4258,1,0)</x:f>
        <x:v>1</x:v>
      </x:c>
      <x:c r="L4258" s="6" t="n">
        <x:f>J4258*K4258</x:f>
        <x:v>1</x:v>
      </x:c>
    </x:row>
    <x:row r="4259">
      <x:c r="A4259" s="1" t="n">
        <x:v>32380</x:v>
      </x:c>
      <x:c r="B4259" s="5" t="d">
        <x:v>2016-04-17T00:00:00.000Z</x:v>
      </x:c>
      <x:c r="C4259" s="1" t="str">
        <x:v>Standard Class</x:v>
      </x:c>
      <x:c r="D4259" s="1" t="str">
        <x:v>USCA</x:v>
      </x:c>
      <x:c r="E4259" s="1" t="str">
        <x:v>COMPLETE</x:v>
      </x:c>
      <x:c r="F4259" s="1" t="str">
        <x:v>Late delivery</x:v>
      </x:c>
      <x:c r="G4259" s="6" t="n">
        <x:v>6</x:v>
      </x:c>
      <x:c r="H4259" s="6" t="n">
        <x:v>4</x:v>
      </x:c>
      <x:c r="I4259" s="6" t="n">
        <x:f>G4259-H4259</x:f>
        <x:v>2</x:v>
      </x:c>
      <x:c r="J4259" s="6" t="n">
        <x:f>IF(OR(E4259="CANCELED",E4259="SUSPECTED_FRAUD",F4259="Shipping canceled"),0,1)</x:f>
        <x:v>1</x:v>
      </x:c>
      <x:c r="K4259" s="6" t="n">
        <x:f>IF(G4259&gt;H4259,1,0)</x:f>
        <x:v>1</x:v>
      </x:c>
      <x:c r="L4259" s="6" t="n">
        <x:f>J4259*K4259</x:f>
        <x:v>1</x:v>
      </x:c>
    </x:row>
    <x:row r="4260">
      <x:c r="A4260" s="1" t="n">
        <x:v>32392</x:v>
      </x:c>
      <x:c r="B4260" s="5" t="d">
        <x:v>2016-04-17T00:00:00.000Z</x:v>
      </x:c>
      <x:c r="C4260" s="1" t="str">
        <x:v>Second Class</x:v>
      </x:c>
      <x:c r="D4260" s="1" t="str">
        <x:v>USCA</x:v>
      </x:c>
      <x:c r="E4260" s="1" t="str">
        <x:v>ON_HOLD</x:v>
      </x:c>
      <x:c r="F4260" s="1" t="str">
        <x:v>Late delivery</x:v>
      </x:c>
      <x:c r="G4260" s="6" t="n">
        <x:v>3</x:v>
      </x:c>
      <x:c r="H4260" s="6" t="n">
        <x:v>2</x:v>
      </x:c>
      <x:c r="I4260" s="6" t="n">
        <x:f>G4260-H4260</x:f>
        <x:v>1</x:v>
      </x:c>
      <x:c r="J4260" s="6" t="n">
        <x:f>IF(OR(E4260="CANCELED",E4260="SUSPECTED_FRAUD",F4260="Shipping canceled"),0,1)</x:f>
        <x:v>1</x:v>
      </x:c>
      <x:c r="K4260" s="6" t="n">
        <x:f>IF(G4260&gt;H4260,1,0)</x:f>
        <x:v>1</x:v>
      </x:c>
      <x:c r="L4260" s="6" t="n">
        <x:f>J4260*K4260</x:f>
        <x:v>1</x:v>
      </x:c>
    </x:row>
    <x:row r="4261">
      <x:c r="A4261" s="1" t="n">
        <x:v>32422</x:v>
      </x:c>
      <x:c r="B4261" s="5" t="d">
        <x:v>2016-04-18T00:00:00.000Z</x:v>
      </x:c>
      <x:c r="C4261" s="1" t="str">
        <x:v>Second Class</x:v>
      </x:c>
      <x:c r="D4261" s="1" t="str">
        <x:v>USCA</x:v>
      </x:c>
      <x:c r="E4261" s="1" t="str">
        <x:v>COMPLETE</x:v>
      </x:c>
      <x:c r="F4261" s="1" t="str">
        <x:v>Late delivery</x:v>
      </x:c>
      <x:c r="G4261" s="6" t="n">
        <x:v>3</x:v>
      </x:c>
      <x:c r="H4261" s="6" t="n">
        <x:v>2</x:v>
      </x:c>
      <x:c r="I4261" s="6" t="n">
        <x:f>G4261-H4261</x:f>
        <x:v>1</x:v>
      </x:c>
      <x:c r="J4261" s="6" t="n">
        <x:f>IF(OR(E4261="CANCELED",E4261="SUSPECTED_FRAUD",F4261="Shipping canceled"),0,1)</x:f>
        <x:v>1</x:v>
      </x:c>
      <x:c r="K4261" s="6" t="n">
        <x:f>IF(G4261&gt;H4261,1,0)</x:f>
        <x:v>1</x:v>
      </x:c>
      <x:c r="L4261" s="6" t="n">
        <x:f>J4261*K4261</x:f>
        <x:v>1</x:v>
      </x:c>
    </x:row>
    <x:row r="4262">
      <x:c r="A4262" s="1" t="n">
        <x:v>32424</x:v>
      </x:c>
      <x:c r="B4262" s="5" t="d">
        <x:v>2016-04-18T00:00:00.000Z</x:v>
      </x:c>
      <x:c r="C4262" s="1" t="str">
        <x:v>Standard Class</x:v>
      </x:c>
      <x:c r="D4262" s="1" t="str">
        <x:v>USCA</x:v>
      </x:c>
      <x:c r="E4262" s="1" t="str">
        <x:v>COMPLETE</x:v>
      </x:c>
      <x:c r="F4262" s="1" t="str">
        <x:v>Late delivery</x:v>
      </x:c>
      <x:c r="G4262" s="6" t="n">
        <x:v>5</x:v>
      </x:c>
      <x:c r="H4262" s="6" t="n">
        <x:v>4</x:v>
      </x:c>
      <x:c r="I4262" s="6" t="n">
        <x:f>G4262-H4262</x:f>
        <x:v>1</x:v>
      </x:c>
      <x:c r="J4262" s="6" t="n">
        <x:f>IF(OR(E4262="CANCELED",E4262="SUSPECTED_FRAUD",F4262="Shipping canceled"),0,1)</x:f>
        <x:v>1</x:v>
      </x:c>
      <x:c r="K4262" s="6" t="n">
        <x:f>IF(G4262&gt;H4262,1,0)</x:f>
        <x:v>1</x:v>
      </x:c>
      <x:c r="L4262" s="6" t="n">
        <x:f>J4262*K4262</x:f>
        <x:v>1</x:v>
      </x:c>
    </x:row>
    <x:row r="4263">
      <x:c r="A4263" s="1" t="n">
        <x:v>32425</x:v>
      </x:c>
      <x:c r="B4263" s="5" t="d">
        <x:v>2016-04-18T00:00:00.000Z</x:v>
      </x:c>
      <x:c r="C4263" s="1" t="str">
        <x:v>Standard Class</x:v>
      </x:c>
      <x:c r="D4263" s="1" t="str">
        <x:v>USCA</x:v>
      </x:c>
      <x:c r="E4263" s="1" t="str">
        <x:v>COMPLETE</x:v>
      </x:c>
      <x:c r="F4263" s="1" t="str">
        <x:v>Late delivery</x:v>
      </x:c>
      <x:c r="G4263" s="6" t="n">
        <x:v>6</x:v>
      </x:c>
      <x:c r="H4263" s="6" t="n">
        <x:v>4</x:v>
      </x:c>
      <x:c r="I4263" s="6" t="n">
        <x:f>G4263-H4263</x:f>
        <x:v>2</x:v>
      </x:c>
      <x:c r="J4263" s="6" t="n">
        <x:f>IF(OR(E4263="CANCELED",E4263="SUSPECTED_FRAUD",F4263="Shipping canceled"),0,1)</x:f>
        <x:v>1</x:v>
      </x:c>
      <x:c r="K4263" s="6" t="n">
        <x:f>IF(G4263&gt;H4263,1,0)</x:f>
        <x:v>1</x:v>
      </x:c>
      <x:c r="L4263" s="6" t="n">
        <x:f>J4263*K4263</x:f>
        <x:v>1</x:v>
      </x:c>
    </x:row>
    <x:row r="4264">
      <x:c r="A4264" s="1" t="n">
        <x:v>32428</x:v>
      </x:c>
      <x:c r="B4264" s="5" t="d">
        <x:v>2016-04-18T00:00:00.000Z</x:v>
      </x:c>
      <x:c r="C4264" s="1" t="str">
        <x:v>Standard Class</x:v>
      </x:c>
      <x:c r="D4264" s="1" t="str">
        <x:v>USCA</x:v>
      </x:c>
      <x:c r="E4264" s="1" t="str">
        <x:v>PENDING_PAYMENT</x:v>
      </x:c>
      <x:c r="F4264" s="1" t="str">
        <x:v>Shipping on time</x:v>
      </x:c>
      <x:c r="G4264" s="6" t="n">
        <x:v>4</x:v>
      </x:c>
      <x:c r="H4264" s="6" t="n">
        <x:v>4</x:v>
      </x:c>
      <x:c r="I4264" s="6" t="n">
        <x:f>G4264-H4264</x:f>
        <x:v>0</x:v>
      </x:c>
      <x:c r="J4264" s="6" t="n">
        <x:f>IF(OR(E4264="CANCELED",E4264="SUSPECTED_FRAUD",F4264="Shipping canceled"),0,1)</x:f>
        <x:v>1</x:v>
      </x:c>
      <x:c r="K4264" s="6" t="n">
        <x:f>IF(G4264&gt;H4264,1,0)</x:f>
        <x:v>0</x:v>
      </x:c>
      <x:c r="L4264" s="6" t="n">
        <x:f>J4264*K4264</x:f>
        <x:v>0</x:v>
      </x:c>
    </x:row>
    <x:row r="4265">
      <x:c r="A4265" s="1" t="n">
        <x:v>32434</x:v>
      </x:c>
      <x:c r="B4265" s="5" t="d">
        <x:v>2016-04-18T00:00:00.000Z</x:v>
      </x:c>
      <x:c r="C4265" s="1" t="str">
        <x:v>Standard Class</x:v>
      </x:c>
      <x:c r="D4265" s="1" t="str">
        <x:v>USCA</x:v>
      </x:c>
      <x:c r="E4265" s="1" t="str">
        <x:v>ON_HOLD</x:v>
      </x:c>
      <x:c r="F4265" s="1" t="str">
        <x:v>Late delivery</x:v>
      </x:c>
      <x:c r="G4265" s="6" t="n">
        <x:v>5</x:v>
      </x:c>
      <x:c r="H4265" s="6" t="n">
        <x:v>4</x:v>
      </x:c>
      <x:c r="I4265" s="6" t="n">
        <x:f>G4265-H4265</x:f>
        <x:v>1</x:v>
      </x:c>
      <x:c r="J4265" s="6" t="n">
        <x:f>IF(OR(E4265="CANCELED",E4265="SUSPECTED_FRAUD",F4265="Shipping canceled"),0,1)</x:f>
        <x:v>1</x:v>
      </x:c>
      <x:c r="K4265" s="6" t="n">
        <x:f>IF(G4265&gt;H4265,1,0)</x:f>
        <x:v>1</x:v>
      </x:c>
      <x:c r="L4265" s="6" t="n">
        <x:f>J4265*K4265</x:f>
        <x:v>1</x:v>
      </x:c>
    </x:row>
    <x:row r="4266">
      <x:c r="A4266" s="1" t="n">
        <x:v>32438</x:v>
      </x:c>
      <x:c r="B4266" s="5" t="d">
        <x:v>2016-04-18T00:00:00.000Z</x:v>
      </x:c>
      <x:c r="C4266" s="1" t="str">
        <x:v>Standard Class</x:v>
      </x:c>
      <x:c r="D4266" s="1" t="str">
        <x:v>USCA</x:v>
      </x:c>
      <x:c r="E4266" s="1" t="str">
        <x:v>COMPLETE</x:v>
      </x:c>
      <x:c r="F4266" s="1" t="str">
        <x:v>Shipping on time</x:v>
      </x:c>
      <x:c r="G4266" s="6" t="n">
        <x:v>4</x:v>
      </x:c>
      <x:c r="H4266" s="6" t="n">
        <x:v>4</x:v>
      </x:c>
      <x:c r="I4266" s="6" t="n">
        <x:f>G4266-H4266</x:f>
        <x:v>0</x:v>
      </x:c>
      <x:c r="J4266" s="6" t="n">
        <x:f>IF(OR(E4266="CANCELED",E4266="SUSPECTED_FRAUD",F4266="Shipping canceled"),0,1)</x:f>
        <x:v>1</x:v>
      </x:c>
      <x:c r="K4266" s="6" t="n">
        <x:f>IF(G4266&gt;H4266,1,0)</x:f>
        <x:v>0</x:v>
      </x:c>
      <x:c r="L4266" s="6" t="n">
        <x:f>J4266*K4266</x:f>
        <x:v>0</x:v>
      </x:c>
    </x:row>
    <x:row r="4267">
      <x:c r="A4267" s="1" t="n">
        <x:v>32452</x:v>
      </x:c>
      <x:c r="B4267" s="5" t="d">
        <x:v>2016-04-18T00:00:00.000Z</x:v>
      </x:c>
      <x:c r="C4267" s="1" t="str">
        <x:v>First Class</x:v>
      </x:c>
      <x:c r="D4267" s="1" t="str">
        <x:v>USCA</x:v>
      </x:c>
      <x:c r="E4267" s="1" t="str">
        <x:v>PENDING_PAYMENT</x:v>
      </x:c>
      <x:c r="F4267" s="1" t="str">
        <x:v>Late delivery</x:v>
      </x:c>
      <x:c r="G4267" s="6" t="n">
        <x:v>2</x:v>
      </x:c>
      <x:c r="H4267" s="6" t="n">
        <x:v>1</x:v>
      </x:c>
      <x:c r="I4267" s="6" t="n">
        <x:f>G4267-H4267</x:f>
        <x:v>1</x:v>
      </x:c>
      <x:c r="J4267" s="6" t="n">
        <x:f>IF(OR(E4267="CANCELED",E4267="SUSPECTED_FRAUD",F4267="Shipping canceled"),0,1)</x:f>
        <x:v>1</x:v>
      </x:c>
      <x:c r="K4267" s="6" t="n">
        <x:f>IF(G4267&gt;H4267,1,0)</x:f>
        <x:v>1</x:v>
      </x:c>
      <x:c r="L4267" s="6" t="n">
        <x:f>J4267*K4267</x:f>
        <x:v>1</x:v>
      </x:c>
    </x:row>
    <x:row r="4268">
      <x:c r="A4268" s="1" t="n">
        <x:v>32457</x:v>
      </x:c>
      <x:c r="B4268" s="5" t="d">
        <x:v>2016-04-18T00:00:00.000Z</x:v>
      </x:c>
      <x:c r="C4268" s="1" t="str">
        <x:v>Standard Class</x:v>
      </x:c>
      <x:c r="D4268" s="1" t="str">
        <x:v>USCA</x:v>
      </x:c>
      <x:c r="E4268" s="1" t="str">
        <x:v>ON_HOLD</x:v>
      </x:c>
      <x:c r="F4268" s="1" t="str">
        <x:v>Advance shipping</x:v>
      </x:c>
      <x:c r="G4268" s="6" t="n">
        <x:v>3</x:v>
      </x:c>
      <x:c r="H4268" s="6" t="n">
        <x:v>4</x:v>
      </x:c>
      <x:c r="I4268" s="6" t="n">
        <x:f>G4268-H4268</x:f>
        <x:v>-1</x:v>
      </x:c>
      <x:c r="J4268" s="6" t="n">
        <x:f>IF(OR(E4268="CANCELED",E4268="SUSPECTED_FRAUD",F4268="Shipping canceled"),0,1)</x:f>
        <x:v>1</x:v>
      </x:c>
      <x:c r="K4268" s="6" t="n">
        <x:f>IF(G4268&gt;H4268,1,0)</x:f>
        <x:v>0</x:v>
      </x:c>
      <x:c r="L4268" s="6" t="n">
        <x:f>J4268*K4268</x:f>
        <x:v>0</x:v>
      </x:c>
    </x:row>
    <x:row r="4269">
      <x:c r="A4269" s="1" t="n">
        <x:v>32459</x:v>
      </x:c>
      <x:c r="B4269" s="5" t="d">
        <x:v>2016-04-18T00:00:00.000Z</x:v>
      </x:c>
      <x:c r="C4269" s="1" t="str">
        <x:v>Standard Class</x:v>
      </x:c>
      <x:c r="D4269" s="1" t="str">
        <x:v>USCA</x:v>
      </x:c>
      <x:c r="E4269" s="1" t="str">
        <x:v>COMPLETE</x:v>
      </x:c>
      <x:c r="F4269" s="1" t="str">
        <x:v>Late delivery</x:v>
      </x:c>
      <x:c r="G4269" s="6" t="n">
        <x:v>5</x:v>
      </x:c>
      <x:c r="H4269" s="6" t="n">
        <x:v>4</x:v>
      </x:c>
      <x:c r="I4269" s="6" t="n">
        <x:f>G4269-H4269</x:f>
        <x:v>1</x:v>
      </x:c>
      <x:c r="J4269" s="6" t="n">
        <x:f>IF(OR(E4269="CANCELED",E4269="SUSPECTED_FRAUD",F4269="Shipping canceled"),0,1)</x:f>
        <x:v>1</x:v>
      </x:c>
      <x:c r="K4269" s="6" t="n">
        <x:f>IF(G4269&gt;H4269,1,0)</x:f>
        <x:v>1</x:v>
      </x:c>
      <x:c r="L4269" s="6" t="n">
        <x:f>J4269*K4269</x:f>
        <x:v>1</x:v>
      </x:c>
    </x:row>
    <x:row r="4270">
      <x:c r="A4270" s="1" t="n">
        <x:v>32460</x:v>
      </x:c>
      <x:c r="B4270" s="5" t="d">
        <x:v>2016-04-18T00:00:00.000Z</x:v>
      </x:c>
      <x:c r="C4270" s="1" t="str">
        <x:v>Standard Class</x:v>
      </x:c>
      <x:c r="D4270" s="1" t="str">
        <x:v>USCA</x:v>
      </x:c>
      <x:c r="E4270" s="1" t="str">
        <x:v>ON_HOLD</x:v>
      </x:c>
      <x:c r="F4270" s="1" t="str">
        <x:v>Late delivery</x:v>
      </x:c>
      <x:c r="G4270" s="6" t="n">
        <x:v>6</x:v>
      </x:c>
      <x:c r="H4270" s="6" t="n">
        <x:v>4</x:v>
      </x:c>
      <x:c r="I4270" s="6" t="n">
        <x:f>G4270-H4270</x:f>
        <x:v>2</x:v>
      </x:c>
      <x:c r="J4270" s="6" t="n">
        <x:f>IF(OR(E4270="CANCELED",E4270="SUSPECTED_FRAUD",F4270="Shipping canceled"),0,1)</x:f>
        <x:v>1</x:v>
      </x:c>
      <x:c r="K4270" s="6" t="n">
        <x:f>IF(G4270&gt;H4270,1,0)</x:f>
        <x:v>1</x:v>
      </x:c>
      <x:c r="L4270" s="6" t="n">
        <x:f>J4270*K4270</x:f>
        <x:v>1</x:v>
      </x:c>
    </x:row>
    <x:row r="4271">
      <x:c r="A4271" s="1" t="n">
        <x:v>32462</x:v>
      </x:c>
      <x:c r="B4271" s="5" t="d">
        <x:v>2016-04-18T00:00:00.000Z</x:v>
      </x:c>
      <x:c r="C4271" s="1" t="str">
        <x:v>Standard Class</x:v>
      </x:c>
      <x:c r="D4271" s="1" t="str">
        <x:v>USCA</x:v>
      </x:c>
      <x:c r="E4271" s="1" t="str">
        <x:v>PROCESSING</x:v>
      </x:c>
      <x:c r="F4271" s="1" t="str">
        <x:v>Advance shipping</x:v>
      </x:c>
      <x:c r="G4271" s="6" t="n">
        <x:v>3</x:v>
      </x:c>
      <x:c r="H4271" s="6" t="n">
        <x:v>4</x:v>
      </x:c>
      <x:c r="I4271" s="6" t="n">
        <x:f>G4271-H4271</x:f>
        <x:v>-1</x:v>
      </x:c>
      <x:c r="J4271" s="6" t="n">
        <x:f>IF(OR(E4271="CANCELED",E4271="SUSPECTED_FRAUD",F4271="Shipping canceled"),0,1)</x:f>
        <x:v>1</x:v>
      </x:c>
      <x:c r="K4271" s="6" t="n">
        <x:f>IF(G4271&gt;H4271,1,0)</x:f>
        <x:v>0</x:v>
      </x:c>
      <x:c r="L4271" s="6" t="n">
        <x:f>J4271*K4271</x:f>
        <x:v>0</x:v>
      </x:c>
    </x:row>
    <x:row r="4272">
      <x:c r="A4272" s="1" t="n">
        <x:v>32469</x:v>
      </x:c>
      <x:c r="B4272" s="5" t="d">
        <x:v>2016-04-18T00:00:00.000Z</x:v>
      </x:c>
      <x:c r="C4272" s="1" t="str">
        <x:v>Standard Class</x:v>
      </x:c>
      <x:c r="D4272" s="1" t="str">
        <x:v>USCA</x:v>
      </x:c>
      <x:c r="E4272" s="1" t="str">
        <x:v>COMPLETE</x:v>
      </x:c>
      <x:c r="F4272" s="1" t="str">
        <x:v>Late delivery</x:v>
      </x:c>
      <x:c r="G4272" s="6" t="n">
        <x:v>5</x:v>
      </x:c>
      <x:c r="H4272" s="6" t="n">
        <x:v>4</x:v>
      </x:c>
      <x:c r="I4272" s="6" t="n">
        <x:f>G4272-H4272</x:f>
        <x:v>1</x:v>
      </x:c>
      <x:c r="J4272" s="6" t="n">
        <x:f>IF(OR(E4272="CANCELED",E4272="SUSPECTED_FRAUD",F4272="Shipping canceled"),0,1)</x:f>
        <x:v>1</x:v>
      </x:c>
      <x:c r="K4272" s="6" t="n">
        <x:f>IF(G4272&gt;H4272,1,0)</x:f>
        <x:v>1</x:v>
      </x:c>
      <x:c r="L4272" s="6" t="n">
        <x:f>J4272*K4272</x:f>
        <x:v>1</x:v>
      </x:c>
    </x:row>
    <x:row r="4273">
      <x:c r="A4273" s="1" t="n">
        <x:v>32485</x:v>
      </x:c>
      <x:c r="B4273" s="5" t="d">
        <x:v>2016-04-19T00:00:00.000Z</x:v>
      </x:c>
      <x:c r="C4273" s="1" t="str">
        <x:v>Standard Class</x:v>
      </x:c>
      <x:c r="D4273" s="1" t="str">
        <x:v>USCA</x:v>
      </x:c>
      <x:c r="E4273" s="1" t="str">
        <x:v>COMPLETE</x:v>
      </x:c>
      <x:c r="F4273" s="1" t="str">
        <x:v>Late delivery</x:v>
      </x:c>
      <x:c r="G4273" s="6" t="n">
        <x:v>6</x:v>
      </x:c>
      <x:c r="H4273" s="6" t="n">
        <x:v>4</x:v>
      </x:c>
      <x:c r="I4273" s="6" t="n">
        <x:f>G4273-H4273</x:f>
        <x:v>2</x:v>
      </x:c>
      <x:c r="J4273" s="6" t="n">
        <x:f>IF(OR(E4273="CANCELED",E4273="SUSPECTED_FRAUD",F4273="Shipping canceled"),0,1)</x:f>
        <x:v>1</x:v>
      </x:c>
      <x:c r="K4273" s="6" t="n">
        <x:f>IF(G4273&gt;H4273,1,0)</x:f>
        <x:v>1</x:v>
      </x:c>
      <x:c r="L4273" s="6" t="n">
        <x:f>J4273*K4273</x:f>
        <x:v>1</x:v>
      </x:c>
    </x:row>
    <x:row r="4274">
      <x:c r="A4274" s="1" t="n">
        <x:v>32493</x:v>
      </x:c>
      <x:c r="B4274" s="5" t="d">
        <x:v>2016-04-19T00:00:00.000Z</x:v>
      </x:c>
      <x:c r="C4274" s="1" t="str">
        <x:v>Standard Class</x:v>
      </x:c>
      <x:c r="D4274" s="1" t="str">
        <x:v>USCA</x:v>
      </x:c>
      <x:c r="E4274" s="1" t="str">
        <x:v>COMPLETE</x:v>
      </x:c>
      <x:c r="F4274" s="1" t="str">
        <x:v>Shipping on time</x:v>
      </x:c>
      <x:c r="G4274" s="6" t="n">
        <x:v>4</x:v>
      </x:c>
      <x:c r="H4274" s="6" t="n">
        <x:v>4</x:v>
      </x:c>
      <x:c r="I4274" s="6" t="n">
        <x:f>G4274-H4274</x:f>
        <x:v>0</x:v>
      </x:c>
      <x:c r="J4274" s="6" t="n">
        <x:f>IF(OR(E4274="CANCELED",E4274="SUSPECTED_FRAUD",F4274="Shipping canceled"),0,1)</x:f>
        <x:v>1</x:v>
      </x:c>
      <x:c r="K4274" s="6" t="n">
        <x:f>IF(G4274&gt;H4274,1,0)</x:f>
        <x:v>0</x:v>
      </x:c>
      <x:c r="L4274" s="6" t="n">
        <x:f>J4274*K4274</x:f>
        <x:v>0</x:v>
      </x:c>
    </x:row>
    <x:row r="4275">
      <x:c r="A4275" s="1" t="n">
        <x:v>32512</x:v>
      </x:c>
      <x:c r="B4275" s="5" t="d">
        <x:v>2016-04-19T00:00:00.000Z</x:v>
      </x:c>
      <x:c r="C4275" s="1" t="str">
        <x:v>Second Class</x:v>
      </x:c>
      <x:c r="D4275" s="1" t="str">
        <x:v>USCA</x:v>
      </x:c>
      <x:c r="E4275" s="1" t="str">
        <x:v>COMPLETE</x:v>
      </x:c>
      <x:c r="F4275" s="1" t="str">
        <x:v>Late delivery</x:v>
      </x:c>
      <x:c r="G4275" s="6" t="n">
        <x:v>3</x:v>
      </x:c>
      <x:c r="H4275" s="6" t="n">
        <x:v>2</x:v>
      </x:c>
      <x:c r="I4275" s="6" t="n">
        <x:f>G4275-H4275</x:f>
        <x:v>1</x:v>
      </x:c>
      <x:c r="J4275" s="6" t="n">
        <x:f>IF(OR(E4275="CANCELED",E4275="SUSPECTED_FRAUD",F4275="Shipping canceled"),0,1)</x:f>
        <x:v>1</x:v>
      </x:c>
      <x:c r="K4275" s="6" t="n">
        <x:f>IF(G4275&gt;H4275,1,0)</x:f>
        <x:v>1</x:v>
      </x:c>
      <x:c r="L4275" s="6" t="n">
        <x:f>J4275*K4275</x:f>
        <x:v>1</x:v>
      </x:c>
    </x:row>
    <x:row r="4276">
      <x:c r="A4276" s="1" t="n">
        <x:v>32515</x:v>
      </x:c>
      <x:c r="B4276" s="5" t="d">
        <x:v>2016-04-19T00:00:00.000Z</x:v>
      </x:c>
      <x:c r="C4276" s="1" t="str">
        <x:v>Second Class</x:v>
      </x:c>
      <x:c r="D4276" s="1" t="str">
        <x:v>USCA</x:v>
      </x:c>
      <x:c r="E4276" s="1" t="str">
        <x:v>COMPLETE</x:v>
      </x:c>
      <x:c r="F4276" s="1" t="str">
        <x:v>Late delivery</x:v>
      </x:c>
      <x:c r="G4276" s="6" t="n">
        <x:v>6</x:v>
      </x:c>
      <x:c r="H4276" s="6" t="n">
        <x:v>2</x:v>
      </x:c>
      <x:c r="I4276" s="6" t="n">
        <x:f>G4276-H4276</x:f>
        <x:v>4</x:v>
      </x:c>
      <x:c r="J4276" s="6" t="n">
        <x:f>IF(OR(E4276="CANCELED",E4276="SUSPECTED_FRAUD",F4276="Shipping canceled"),0,1)</x:f>
        <x:v>1</x:v>
      </x:c>
      <x:c r="K4276" s="6" t="n">
        <x:f>IF(G4276&gt;H4276,1,0)</x:f>
        <x:v>1</x:v>
      </x:c>
      <x:c r="L4276" s="6" t="n">
        <x:f>J4276*K4276</x:f>
        <x:v>1</x:v>
      </x:c>
    </x:row>
    <x:row r="4277">
      <x:c r="A4277" s="1" t="n">
        <x:v>32529</x:v>
      </x:c>
      <x:c r="B4277" s="5" t="d">
        <x:v>2016-04-19T00:00:00.000Z</x:v>
      </x:c>
      <x:c r="C4277" s="1" t="str">
        <x:v>Standard Class</x:v>
      </x:c>
      <x:c r="D4277" s="1" t="str">
        <x:v>USCA</x:v>
      </x:c>
      <x:c r="E4277" s="1" t="str">
        <x:v>PROCESSING</x:v>
      </x:c>
      <x:c r="F4277" s="1" t="str">
        <x:v>Late delivery</x:v>
      </x:c>
      <x:c r="G4277" s="6" t="n">
        <x:v>5</x:v>
      </x:c>
      <x:c r="H4277" s="6" t="n">
        <x:v>4</x:v>
      </x:c>
      <x:c r="I4277" s="6" t="n">
        <x:f>G4277-H4277</x:f>
        <x:v>1</x:v>
      </x:c>
      <x:c r="J4277" s="6" t="n">
        <x:f>IF(OR(E4277="CANCELED",E4277="SUSPECTED_FRAUD",F4277="Shipping canceled"),0,1)</x:f>
        <x:v>1</x:v>
      </x:c>
      <x:c r="K4277" s="6" t="n">
        <x:f>IF(G4277&gt;H4277,1,0)</x:f>
        <x:v>1</x:v>
      </x:c>
      <x:c r="L4277" s="6" t="n">
        <x:f>J4277*K4277</x:f>
        <x:v>1</x:v>
      </x:c>
    </x:row>
    <x:row r="4278">
      <x:c r="A4278" s="1" t="n">
        <x:v>32531</x:v>
      </x:c>
      <x:c r="B4278" s="5" t="d">
        <x:v>2016-04-19T00:00:00.000Z</x:v>
      </x:c>
      <x:c r="C4278" s="1" t="str">
        <x:v>Standard Class</x:v>
      </x:c>
      <x:c r="D4278" s="1" t="str">
        <x:v>USCA</x:v>
      </x:c>
      <x:c r="E4278" s="1" t="str">
        <x:v>ON_HOLD</x:v>
      </x:c>
      <x:c r="F4278" s="1" t="str">
        <x:v>Advance shipping</x:v>
      </x:c>
      <x:c r="G4278" s="6" t="n">
        <x:v>2</x:v>
      </x:c>
      <x:c r="H4278" s="6" t="n">
        <x:v>4</x:v>
      </x:c>
      <x:c r="I4278" s="6" t="n">
        <x:f>G4278-H4278</x:f>
        <x:v>-2</x:v>
      </x:c>
      <x:c r="J4278" s="6" t="n">
        <x:f>IF(OR(E4278="CANCELED",E4278="SUSPECTED_FRAUD",F4278="Shipping canceled"),0,1)</x:f>
        <x:v>1</x:v>
      </x:c>
      <x:c r="K4278" s="6" t="n">
        <x:f>IF(G4278&gt;H4278,1,0)</x:f>
        <x:v>0</x:v>
      </x:c>
      <x:c r="L4278" s="6" t="n">
        <x:f>J4278*K4278</x:f>
        <x:v>0</x:v>
      </x:c>
    </x:row>
    <x:row r="4279">
      <x:c r="A4279" s="1" t="n">
        <x:v>32536</x:v>
      </x:c>
      <x:c r="B4279" s="5" t="d">
        <x:v>2016-04-19T00:00:00.000Z</x:v>
      </x:c>
      <x:c r="C4279" s="1" t="str">
        <x:v>Standard Class</x:v>
      </x:c>
      <x:c r="D4279" s="1" t="str">
        <x:v>USCA</x:v>
      </x:c>
      <x:c r="E4279" s="1" t="str">
        <x:v>PROCESSING</x:v>
      </x:c>
      <x:c r="F4279" s="1" t="str">
        <x:v>Advance shipping</x:v>
      </x:c>
      <x:c r="G4279" s="6" t="n">
        <x:v>2</x:v>
      </x:c>
      <x:c r="H4279" s="6" t="n">
        <x:v>4</x:v>
      </x:c>
      <x:c r="I4279" s="6" t="n">
        <x:f>G4279-H4279</x:f>
        <x:v>-2</x:v>
      </x:c>
      <x:c r="J4279" s="6" t="n">
        <x:f>IF(OR(E4279="CANCELED",E4279="SUSPECTED_FRAUD",F4279="Shipping canceled"),0,1)</x:f>
        <x:v>1</x:v>
      </x:c>
      <x:c r="K4279" s="6" t="n">
        <x:f>IF(G4279&gt;H4279,1,0)</x:f>
        <x:v>0</x:v>
      </x:c>
      <x:c r="L4279" s="6" t="n">
        <x:f>J4279*K4279</x:f>
        <x:v>0</x:v>
      </x:c>
    </x:row>
    <x:row r="4280">
      <x:c r="A4280" s="1" t="n">
        <x:v>32539</x:v>
      </x:c>
      <x:c r="B4280" s="5" t="d">
        <x:v>2016-04-19T00:00:00.000Z</x:v>
      </x:c>
      <x:c r="C4280" s="1" t="str">
        <x:v>Standard Class</x:v>
      </x:c>
      <x:c r="D4280" s="1" t="str">
        <x:v>USCA</x:v>
      </x:c>
      <x:c r="E4280" s="1" t="str">
        <x:v>COMPLETE</x:v>
      </x:c>
      <x:c r="F4280" s="1" t="str">
        <x:v>Late delivery</x:v>
      </x:c>
      <x:c r="G4280" s="6" t="n">
        <x:v>5</x:v>
      </x:c>
      <x:c r="H4280" s="6" t="n">
        <x:v>4</x:v>
      </x:c>
      <x:c r="I4280" s="6" t="n">
        <x:f>G4280-H4280</x:f>
        <x:v>1</x:v>
      </x:c>
      <x:c r="J4280" s="6" t="n">
        <x:f>IF(OR(E4280="CANCELED",E4280="SUSPECTED_FRAUD",F4280="Shipping canceled"),0,1)</x:f>
        <x:v>1</x:v>
      </x:c>
      <x:c r="K4280" s="6" t="n">
        <x:f>IF(G4280&gt;H4280,1,0)</x:f>
        <x:v>1</x:v>
      </x:c>
      <x:c r="L4280" s="6" t="n">
        <x:f>J4280*K4280</x:f>
        <x:v>1</x:v>
      </x:c>
    </x:row>
    <x:row r="4281">
      <x:c r="A4281" s="1" t="n">
        <x:v>32542</x:v>
      </x:c>
      <x:c r="B4281" s="5" t="d">
        <x:v>2016-04-20T00:00:00.000Z</x:v>
      </x:c>
      <x:c r="C4281" s="1" t="str">
        <x:v>Standard Class</x:v>
      </x:c>
      <x:c r="D4281" s="1" t="str">
        <x:v>USCA</x:v>
      </x:c>
      <x:c r="E4281" s="1" t="str">
        <x:v>COMPLETE</x:v>
      </x:c>
      <x:c r="F4281" s="1" t="str">
        <x:v>Advance shipping</x:v>
      </x:c>
      <x:c r="G4281" s="6" t="n">
        <x:v>3</x:v>
      </x:c>
      <x:c r="H4281" s="6" t="n">
        <x:v>4</x:v>
      </x:c>
      <x:c r="I4281" s="6" t="n">
        <x:f>G4281-H4281</x:f>
        <x:v>-1</x:v>
      </x:c>
      <x:c r="J4281" s="6" t="n">
        <x:f>IF(OR(E4281="CANCELED",E4281="SUSPECTED_FRAUD",F4281="Shipping canceled"),0,1)</x:f>
        <x:v>1</x:v>
      </x:c>
      <x:c r="K4281" s="6" t="n">
        <x:f>IF(G4281&gt;H4281,1,0)</x:f>
        <x:v>0</x:v>
      </x:c>
      <x:c r="L4281" s="6" t="n">
        <x:f>J4281*K4281</x:f>
        <x:v>0</x:v>
      </x:c>
    </x:row>
    <x:row r="4282">
      <x:c r="A4282" s="1" t="n">
        <x:v>32543</x:v>
      </x:c>
      <x:c r="B4282" s="5" t="d">
        <x:v>2016-04-20T00:00:00.000Z</x:v>
      </x:c>
      <x:c r="C4282" s="1" t="str">
        <x:v>Standard Class</x:v>
      </x:c>
      <x:c r="D4282" s="1" t="str">
        <x:v>USCA</x:v>
      </x:c>
      <x:c r="E4282" s="1" t="str">
        <x:v>CLOSED</x:v>
      </x:c>
      <x:c r="F4282" s="1" t="str">
        <x:v>Shipping on time</x:v>
      </x:c>
      <x:c r="G4282" s="6" t="n">
        <x:v>4</x:v>
      </x:c>
      <x:c r="H4282" s="6" t="n">
        <x:v>4</x:v>
      </x:c>
      <x:c r="I4282" s="6" t="n">
        <x:f>G4282-H4282</x:f>
        <x:v>0</x:v>
      </x:c>
      <x:c r="J4282" s="6" t="n">
        <x:f>IF(OR(E4282="CANCELED",E4282="SUSPECTED_FRAUD",F4282="Shipping canceled"),0,1)</x:f>
        <x:v>1</x:v>
      </x:c>
      <x:c r="K4282" s="6" t="n">
        <x:f>IF(G4282&gt;H4282,1,0)</x:f>
        <x:v>0</x:v>
      </x:c>
      <x:c r="L4282" s="6" t="n">
        <x:f>J4282*K4282</x:f>
        <x:v>0</x:v>
      </x:c>
    </x:row>
    <x:row r="4283">
      <x:c r="A4283" s="1" t="n">
        <x:v>32545</x:v>
      </x:c>
      <x:c r="B4283" s="5" t="d">
        <x:v>2016-04-20T00:00:00.000Z</x:v>
      </x:c>
      <x:c r="C4283" s="1" t="str">
        <x:v>Standard Class</x:v>
      </x:c>
      <x:c r="D4283" s="1" t="str">
        <x:v>USCA</x:v>
      </x:c>
      <x:c r="E4283" s="1" t="str">
        <x:v>COMPLETE</x:v>
      </x:c>
      <x:c r="F4283" s="1" t="str">
        <x:v>Late delivery</x:v>
      </x:c>
      <x:c r="G4283" s="6" t="n">
        <x:v>6</x:v>
      </x:c>
      <x:c r="H4283" s="6" t="n">
        <x:v>4</x:v>
      </x:c>
      <x:c r="I4283" s="6" t="n">
        <x:f>G4283-H4283</x:f>
        <x:v>2</x:v>
      </x:c>
      <x:c r="J4283" s="6" t="n">
        <x:f>IF(OR(E4283="CANCELED",E4283="SUSPECTED_FRAUD",F4283="Shipping canceled"),0,1)</x:f>
        <x:v>1</x:v>
      </x:c>
      <x:c r="K4283" s="6" t="n">
        <x:f>IF(G4283&gt;H4283,1,0)</x:f>
        <x:v>1</x:v>
      </x:c>
      <x:c r="L4283" s="6" t="n">
        <x:f>J4283*K4283</x:f>
        <x:v>1</x:v>
      </x:c>
    </x:row>
    <x:row r="4284">
      <x:c r="A4284" s="1" t="n">
        <x:v>32555</x:v>
      </x:c>
      <x:c r="B4284" s="5" t="d">
        <x:v>2016-04-20T00:00:00.000Z</x:v>
      </x:c>
      <x:c r="C4284" s="1" t="str">
        <x:v>Standard Class</x:v>
      </x:c>
      <x:c r="D4284" s="1" t="str">
        <x:v>USCA</x:v>
      </x:c>
      <x:c r="E4284" s="1" t="str">
        <x:v>COMPLETE</x:v>
      </x:c>
      <x:c r="F4284" s="1" t="str">
        <x:v>Late delivery</x:v>
      </x:c>
      <x:c r="G4284" s="6" t="n">
        <x:v>6</x:v>
      </x:c>
      <x:c r="H4284" s="6" t="n">
        <x:v>4</x:v>
      </x:c>
      <x:c r="I4284" s="6" t="n">
        <x:f>G4284-H4284</x:f>
        <x:v>2</x:v>
      </x:c>
      <x:c r="J4284" s="6" t="n">
        <x:f>IF(OR(E4284="CANCELED",E4284="SUSPECTED_FRAUD",F4284="Shipping canceled"),0,1)</x:f>
        <x:v>1</x:v>
      </x:c>
      <x:c r="K4284" s="6" t="n">
        <x:f>IF(G4284&gt;H4284,1,0)</x:f>
        <x:v>1</x:v>
      </x:c>
      <x:c r="L4284" s="6" t="n">
        <x:f>J4284*K4284</x:f>
        <x:v>1</x:v>
      </x:c>
    </x:row>
    <x:row r="4285">
      <x:c r="A4285" s="1" t="n">
        <x:v>32566</x:v>
      </x:c>
      <x:c r="B4285" s="5" t="d">
        <x:v>2016-04-20T00:00:00.000Z</x:v>
      </x:c>
      <x:c r="C4285" s="1" t="str">
        <x:v>Standard Class</x:v>
      </x:c>
      <x:c r="D4285" s="1" t="str">
        <x:v>USCA</x:v>
      </x:c>
      <x:c r="E4285" s="1" t="str">
        <x:v>PENDING</x:v>
      </x:c>
      <x:c r="F4285" s="1" t="str">
        <x:v>Advance shipping</x:v>
      </x:c>
      <x:c r="G4285" s="6" t="n">
        <x:v>2</x:v>
      </x:c>
      <x:c r="H4285" s="6" t="n">
        <x:v>4</x:v>
      </x:c>
      <x:c r="I4285" s="6" t="n">
        <x:f>G4285-H4285</x:f>
        <x:v>-2</x:v>
      </x:c>
      <x:c r="J4285" s="6" t="n">
        <x:f>IF(OR(E4285="CANCELED",E4285="SUSPECTED_FRAUD",F4285="Shipping canceled"),0,1)</x:f>
        <x:v>1</x:v>
      </x:c>
      <x:c r="K4285" s="6" t="n">
        <x:f>IF(G4285&gt;H4285,1,0)</x:f>
        <x:v>0</x:v>
      </x:c>
      <x:c r="L4285" s="6" t="n">
        <x:f>J4285*K4285</x:f>
        <x:v>0</x:v>
      </x:c>
    </x:row>
    <x:row r="4286">
      <x:c r="A4286" s="1" t="n">
        <x:v>32574</x:v>
      </x:c>
      <x:c r="B4286" s="5" t="d">
        <x:v>2016-04-20T00:00:00.000Z</x:v>
      </x:c>
      <x:c r="C4286" s="1" t="str">
        <x:v>Standard Class</x:v>
      </x:c>
      <x:c r="D4286" s="1" t="str">
        <x:v>USCA</x:v>
      </x:c>
      <x:c r="E4286" s="1" t="str">
        <x:v>SUSPECTED_FRAUD</x:v>
      </x:c>
      <x:c r="F4286" s="1" t="str">
        <x:v>Shipping canceled</x:v>
      </x:c>
      <x:c r="G4286" s="6" t="n">
        <x:v>5</x:v>
      </x:c>
      <x:c r="H4286" s="6" t="n">
        <x:v>4</x:v>
      </x:c>
      <x:c r="I4286" s="6" t="n">
        <x:f>G4286-H4286</x:f>
        <x:v>1</x:v>
      </x:c>
      <x:c r="J4286" s="6" t="n">
        <x:f>IF(OR(E4286="CANCELED",E4286="SUSPECTED_FRAUD",F4286="Shipping canceled"),0,1)</x:f>
        <x:v>0</x:v>
      </x:c>
      <x:c r="K4286" s="6" t="n">
        <x:f>IF(G4286&gt;H4286,1,0)</x:f>
        <x:v>1</x:v>
      </x:c>
      <x:c r="L4286" s="6" t="n">
        <x:f>J4286*K4286</x:f>
        <x:v>0</x:v>
      </x:c>
    </x:row>
    <x:row r="4287">
      <x:c r="A4287" s="1" t="n">
        <x:v>32594</x:v>
      </x:c>
      <x:c r="B4287" s="5" t="d">
        <x:v>2016-04-20T00:00:00.000Z</x:v>
      </x:c>
      <x:c r="C4287" s="1" t="str">
        <x:v>Standard Class</x:v>
      </x:c>
      <x:c r="D4287" s="1" t="str">
        <x:v>USCA</x:v>
      </x:c>
      <x:c r="E4287" s="1" t="str">
        <x:v>SUSPECTED_FRAUD</x:v>
      </x:c>
      <x:c r="F4287" s="1" t="str">
        <x:v>Shipping canceled</x:v>
      </x:c>
      <x:c r="G4287" s="6" t="n">
        <x:v>5</x:v>
      </x:c>
      <x:c r="H4287" s="6" t="n">
        <x:v>4</x:v>
      </x:c>
      <x:c r="I4287" s="6" t="n">
        <x:f>G4287-H4287</x:f>
        <x:v>1</x:v>
      </x:c>
      <x:c r="J4287" s="6" t="n">
        <x:f>IF(OR(E4287="CANCELED",E4287="SUSPECTED_FRAUD",F4287="Shipping canceled"),0,1)</x:f>
        <x:v>0</x:v>
      </x:c>
      <x:c r="K4287" s="6" t="n">
        <x:f>IF(G4287&gt;H4287,1,0)</x:f>
        <x:v>1</x:v>
      </x:c>
      <x:c r="L4287" s="6" t="n">
        <x:f>J4287*K4287</x:f>
        <x:v>0</x:v>
      </x:c>
    </x:row>
    <x:row r="4288">
      <x:c r="A4288" s="1" t="n">
        <x:v>32595</x:v>
      </x:c>
      <x:c r="B4288" s="5" t="d">
        <x:v>2016-04-20T00:00:00.000Z</x:v>
      </x:c>
      <x:c r="C4288" s="1" t="str">
        <x:v>Standard Class</x:v>
      </x:c>
      <x:c r="D4288" s="1" t="str">
        <x:v>USCA</x:v>
      </x:c>
      <x:c r="E4288" s="1" t="str">
        <x:v>PENDING_PAYMENT</x:v>
      </x:c>
      <x:c r="F4288" s="1" t="str">
        <x:v>Late delivery</x:v>
      </x:c>
      <x:c r="G4288" s="6" t="n">
        <x:v>6</x:v>
      </x:c>
      <x:c r="H4288" s="6" t="n">
        <x:v>4</x:v>
      </x:c>
      <x:c r="I4288" s="6" t="n">
        <x:f>G4288-H4288</x:f>
        <x:v>2</x:v>
      </x:c>
      <x:c r="J4288" s="6" t="n">
        <x:f>IF(OR(E4288="CANCELED",E4288="SUSPECTED_FRAUD",F4288="Shipping canceled"),0,1)</x:f>
        <x:v>1</x:v>
      </x:c>
      <x:c r="K4288" s="6" t="n">
        <x:f>IF(G4288&gt;H4288,1,0)</x:f>
        <x:v>1</x:v>
      </x:c>
      <x:c r="L4288" s="6" t="n">
        <x:f>J4288*K4288</x:f>
        <x:v>1</x:v>
      </x:c>
    </x:row>
    <x:row r="4289">
      <x:c r="A4289" s="1" t="n">
        <x:v>32612</x:v>
      </x:c>
      <x:c r="B4289" s="5" t="d">
        <x:v>2016-04-21T00:00:00.000Z</x:v>
      </x:c>
      <x:c r="C4289" s="1" t="str">
        <x:v>Standard Class</x:v>
      </x:c>
      <x:c r="D4289" s="1" t="str">
        <x:v>USCA</x:v>
      </x:c>
      <x:c r="E4289" s="1" t="str">
        <x:v>COMPLETE</x:v>
      </x:c>
      <x:c r="F4289" s="1" t="str">
        <x:v>Advance shipping</x:v>
      </x:c>
      <x:c r="G4289" s="6" t="n">
        <x:v>3</x:v>
      </x:c>
      <x:c r="H4289" s="6" t="n">
        <x:v>4</x:v>
      </x:c>
      <x:c r="I4289" s="6" t="n">
        <x:f>G4289-H4289</x:f>
        <x:v>-1</x:v>
      </x:c>
      <x:c r="J4289" s="6" t="n">
        <x:f>IF(OR(E4289="CANCELED",E4289="SUSPECTED_FRAUD",F4289="Shipping canceled"),0,1)</x:f>
        <x:v>1</x:v>
      </x:c>
      <x:c r="K4289" s="6" t="n">
        <x:f>IF(G4289&gt;H4289,1,0)</x:f>
        <x:v>0</x:v>
      </x:c>
      <x:c r="L4289" s="6" t="n">
        <x:f>J4289*K4289</x:f>
        <x:v>0</x:v>
      </x:c>
    </x:row>
    <x:row r="4290">
      <x:c r="A4290" s="1" t="n">
        <x:v>32617</x:v>
      </x:c>
      <x:c r="B4290" s="5" t="d">
        <x:v>2016-04-21T00:00:00.000Z</x:v>
      </x:c>
      <x:c r="C4290" s="1" t="str">
        <x:v>Standard Class</x:v>
      </x:c>
      <x:c r="D4290" s="1" t="str">
        <x:v>USCA</x:v>
      </x:c>
      <x:c r="E4290" s="1" t="str">
        <x:v>SUSPECTED_FRAUD</x:v>
      </x:c>
      <x:c r="F4290" s="1" t="str">
        <x:v>Shipping canceled</x:v>
      </x:c>
      <x:c r="G4290" s="6" t="n">
        <x:v>3</x:v>
      </x:c>
      <x:c r="H4290" s="6" t="n">
        <x:v>4</x:v>
      </x:c>
      <x:c r="I4290" s="6" t="n">
        <x:f>G4290-H4290</x:f>
        <x:v>-1</x:v>
      </x:c>
      <x:c r="J4290" s="6" t="n">
        <x:f>IF(OR(E4290="CANCELED",E4290="SUSPECTED_FRAUD",F4290="Shipping canceled"),0,1)</x:f>
        <x:v>0</x:v>
      </x:c>
      <x:c r="K4290" s="6" t="n">
        <x:f>IF(G4290&gt;H4290,1,0)</x:f>
        <x:v>0</x:v>
      </x:c>
      <x:c r="L4290" s="6" t="n">
        <x:f>J4290*K4290</x:f>
        <x:v>0</x:v>
      </x:c>
    </x:row>
    <x:row r="4291">
      <x:c r="A4291" s="1" t="n">
        <x:v>32625</x:v>
      </x:c>
      <x:c r="B4291" s="5" t="d">
        <x:v>2016-04-21T00:00:00.000Z</x:v>
      </x:c>
      <x:c r="C4291" s="1" t="str">
        <x:v>First Class</x:v>
      </x:c>
      <x:c r="D4291" s="1" t="str">
        <x:v>USCA</x:v>
      </x:c>
      <x:c r="E4291" s="1" t="str">
        <x:v>CLOSED</x:v>
      </x:c>
      <x:c r="F4291" s="1" t="str">
        <x:v>Late delivery</x:v>
      </x:c>
      <x:c r="G4291" s="6" t="n">
        <x:v>2</x:v>
      </x:c>
      <x:c r="H4291" s="6" t="n">
        <x:v>1</x:v>
      </x:c>
      <x:c r="I4291" s="6" t="n">
        <x:f>G4291-H4291</x:f>
        <x:v>1</x:v>
      </x:c>
      <x:c r="J4291" s="6" t="n">
        <x:f>IF(OR(E4291="CANCELED",E4291="SUSPECTED_FRAUD",F4291="Shipping canceled"),0,1)</x:f>
        <x:v>1</x:v>
      </x:c>
      <x:c r="K4291" s="6" t="n">
        <x:f>IF(G4291&gt;H4291,1,0)</x:f>
        <x:v>1</x:v>
      </x:c>
      <x:c r="L4291" s="6" t="n">
        <x:f>J4291*K4291</x:f>
        <x:v>1</x:v>
      </x:c>
    </x:row>
    <x:row r="4292">
      <x:c r="A4292" s="1" t="n">
        <x:v>32632</x:v>
      </x:c>
      <x:c r="B4292" s="5" t="d">
        <x:v>2016-04-21T00:00:00.000Z</x:v>
      </x:c>
      <x:c r="C4292" s="1" t="str">
        <x:v>Standard Class</x:v>
      </x:c>
      <x:c r="D4292" s="1" t="str">
        <x:v>USCA</x:v>
      </x:c>
      <x:c r="E4292" s="1" t="str">
        <x:v>COMPLETE</x:v>
      </x:c>
      <x:c r="F4292" s="1" t="str">
        <x:v>Advance shipping</x:v>
      </x:c>
      <x:c r="G4292" s="6" t="n">
        <x:v>3</x:v>
      </x:c>
      <x:c r="H4292" s="6" t="n">
        <x:v>4</x:v>
      </x:c>
      <x:c r="I4292" s="6" t="n">
        <x:f>G4292-H4292</x:f>
        <x:v>-1</x:v>
      </x:c>
      <x:c r="J4292" s="6" t="n">
        <x:f>IF(OR(E4292="CANCELED",E4292="SUSPECTED_FRAUD",F4292="Shipping canceled"),0,1)</x:f>
        <x:v>1</x:v>
      </x:c>
      <x:c r="K4292" s="6" t="n">
        <x:f>IF(G4292&gt;H4292,1,0)</x:f>
        <x:v>0</x:v>
      </x:c>
      <x:c r="L4292" s="6" t="n">
        <x:f>J4292*K4292</x:f>
        <x:v>0</x:v>
      </x:c>
    </x:row>
    <x:row r="4293">
      <x:c r="A4293" s="1" t="n">
        <x:v>32656</x:v>
      </x:c>
      <x:c r="B4293" s="5" t="d">
        <x:v>2016-04-21T00:00:00.000Z</x:v>
      </x:c>
      <x:c r="C4293" s="1" t="str">
        <x:v>Second Class</x:v>
      </x:c>
      <x:c r="D4293" s="1" t="str">
        <x:v>USCA</x:v>
      </x:c>
      <x:c r="E4293" s="1" t="str">
        <x:v>COMPLETE</x:v>
      </x:c>
      <x:c r="F4293" s="1" t="str">
        <x:v>Shipping on time</x:v>
      </x:c>
      <x:c r="G4293" s="6" t="n">
        <x:v>2</x:v>
      </x:c>
      <x:c r="H4293" s="6" t="n">
        <x:v>2</x:v>
      </x:c>
      <x:c r="I4293" s="6" t="n">
        <x:f>G4293-H4293</x:f>
        <x:v>0</x:v>
      </x:c>
      <x:c r="J4293" s="6" t="n">
        <x:f>IF(OR(E4293="CANCELED",E4293="SUSPECTED_FRAUD",F4293="Shipping canceled"),0,1)</x:f>
        <x:v>1</x:v>
      </x:c>
      <x:c r="K4293" s="6" t="n">
        <x:f>IF(G4293&gt;H4293,1,0)</x:f>
        <x:v>0</x:v>
      </x:c>
      <x:c r="L4293" s="6" t="n">
        <x:f>J4293*K4293</x:f>
        <x:v>0</x:v>
      </x:c>
    </x:row>
    <x:row r="4294">
      <x:c r="A4294" s="1" t="n">
        <x:v>32688</x:v>
      </x:c>
      <x:c r="B4294" s="5" t="d">
        <x:v>2016-04-22T00:00:00.000Z</x:v>
      </x:c>
      <x:c r="C4294" s="1" t="str">
        <x:v>Standard Class</x:v>
      </x:c>
      <x:c r="D4294" s="1" t="str">
        <x:v>USCA</x:v>
      </x:c>
      <x:c r="E4294" s="1" t="str">
        <x:v>COMPLETE</x:v>
      </x:c>
      <x:c r="F4294" s="1" t="str">
        <x:v>Shipping on time</x:v>
      </x:c>
      <x:c r="G4294" s="6" t="n">
        <x:v>4</x:v>
      </x:c>
      <x:c r="H4294" s="6" t="n">
        <x:v>4</x:v>
      </x:c>
      <x:c r="I4294" s="6" t="n">
        <x:f>G4294-H4294</x:f>
        <x:v>0</x:v>
      </x:c>
      <x:c r="J4294" s="6" t="n">
        <x:f>IF(OR(E4294="CANCELED",E4294="SUSPECTED_FRAUD",F4294="Shipping canceled"),0,1)</x:f>
        <x:v>1</x:v>
      </x:c>
      <x:c r="K4294" s="6" t="n">
        <x:f>IF(G4294&gt;H4294,1,0)</x:f>
        <x:v>0</x:v>
      </x:c>
      <x:c r="L4294" s="6" t="n">
        <x:f>J4294*K4294</x:f>
        <x:v>0</x:v>
      </x:c>
    </x:row>
    <x:row r="4295">
      <x:c r="A4295" s="1" t="n">
        <x:v>32695</x:v>
      </x:c>
      <x:c r="B4295" s="5" t="d">
        <x:v>2016-04-22T00:00:00.000Z</x:v>
      </x:c>
      <x:c r="C4295" s="1" t="str">
        <x:v>Standard Class</x:v>
      </x:c>
      <x:c r="D4295" s="1" t="str">
        <x:v>USCA</x:v>
      </x:c>
      <x:c r="E4295" s="1" t="str">
        <x:v>PROCESSING</x:v>
      </x:c>
      <x:c r="F4295" s="1" t="str">
        <x:v>Late delivery</x:v>
      </x:c>
      <x:c r="G4295" s="6" t="n">
        <x:v>6</x:v>
      </x:c>
      <x:c r="H4295" s="6" t="n">
        <x:v>4</x:v>
      </x:c>
      <x:c r="I4295" s="6" t="n">
        <x:f>G4295-H4295</x:f>
        <x:v>2</x:v>
      </x:c>
      <x:c r="J4295" s="6" t="n">
        <x:f>IF(OR(E4295="CANCELED",E4295="SUSPECTED_FRAUD",F4295="Shipping canceled"),0,1)</x:f>
        <x:v>1</x:v>
      </x:c>
      <x:c r="K4295" s="6" t="n">
        <x:f>IF(G4295&gt;H4295,1,0)</x:f>
        <x:v>1</x:v>
      </x:c>
      <x:c r="L4295" s="6" t="n">
        <x:f>J4295*K4295</x:f>
        <x:v>1</x:v>
      </x:c>
    </x:row>
    <x:row r="4296">
      <x:c r="A4296" s="1" t="n">
        <x:v>32698</x:v>
      </x:c>
      <x:c r="B4296" s="5" t="d">
        <x:v>2016-04-22T00:00:00.000Z</x:v>
      </x:c>
      <x:c r="C4296" s="1" t="str">
        <x:v>Standard Class</x:v>
      </x:c>
      <x:c r="D4296" s="1" t="str">
        <x:v>USCA</x:v>
      </x:c>
      <x:c r="E4296" s="1" t="str">
        <x:v>COMPLETE</x:v>
      </x:c>
      <x:c r="F4296" s="1" t="str">
        <x:v>Shipping on time</x:v>
      </x:c>
      <x:c r="G4296" s="6" t="n">
        <x:v>4</x:v>
      </x:c>
      <x:c r="H4296" s="6" t="n">
        <x:v>4</x:v>
      </x:c>
      <x:c r="I4296" s="6" t="n">
        <x:f>G4296-H4296</x:f>
        <x:v>0</x:v>
      </x:c>
      <x:c r="J4296" s="6" t="n">
        <x:f>IF(OR(E4296="CANCELED",E4296="SUSPECTED_FRAUD",F4296="Shipping canceled"),0,1)</x:f>
        <x:v>1</x:v>
      </x:c>
      <x:c r="K4296" s="6" t="n">
        <x:f>IF(G4296&gt;H4296,1,0)</x:f>
        <x:v>0</x:v>
      </x:c>
      <x:c r="L4296" s="6" t="n">
        <x:f>J4296*K4296</x:f>
        <x:v>0</x:v>
      </x:c>
    </x:row>
    <x:row r="4297">
      <x:c r="A4297" s="1" t="n">
        <x:v>32716</x:v>
      </x:c>
      <x:c r="B4297" s="5" t="d">
        <x:v>2016-04-22T00:00:00.000Z</x:v>
      </x:c>
      <x:c r="C4297" s="1" t="str">
        <x:v>Standard Class</x:v>
      </x:c>
      <x:c r="D4297" s="1" t="str">
        <x:v>USCA</x:v>
      </x:c>
      <x:c r="E4297" s="1" t="str">
        <x:v>COMPLETE</x:v>
      </x:c>
      <x:c r="F4297" s="1" t="str">
        <x:v>Advance shipping</x:v>
      </x:c>
      <x:c r="G4297" s="6" t="n">
        <x:v>2</x:v>
      </x:c>
      <x:c r="H4297" s="6" t="n">
        <x:v>4</x:v>
      </x:c>
      <x:c r="I4297" s="6" t="n">
        <x:f>G4297-H4297</x:f>
        <x:v>-2</x:v>
      </x:c>
      <x:c r="J4297" s="6" t="n">
        <x:f>IF(OR(E4297="CANCELED",E4297="SUSPECTED_FRAUD",F4297="Shipping canceled"),0,1)</x:f>
        <x:v>1</x:v>
      </x:c>
      <x:c r="K4297" s="6" t="n">
        <x:f>IF(G4297&gt;H4297,1,0)</x:f>
        <x:v>0</x:v>
      </x:c>
      <x:c r="L4297" s="6" t="n">
        <x:f>J4297*K4297</x:f>
        <x:v>0</x:v>
      </x:c>
    </x:row>
    <x:row r="4298">
      <x:c r="A4298" s="1" t="n">
        <x:v>32731</x:v>
      </x:c>
      <x:c r="B4298" s="5" t="d">
        <x:v>2016-04-22T00:00:00.000Z</x:v>
      </x:c>
      <x:c r="C4298" s="1" t="str">
        <x:v>Standard Class</x:v>
      </x:c>
      <x:c r="D4298" s="1" t="str">
        <x:v>USCA</x:v>
      </x:c>
      <x:c r="E4298" s="1" t="str">
        <x:v>PENDING_PAYMENT</x:v>
      </x:c>
      <x:c r="F4298" s="1" t="str">
        <x:v>Advance shipping</x:v>
      </x:c>
      <x:c r="G4298" s="6" t="n">
        <x:v>2</x:v>
      </x:c>
      <x:c r="H4298" s="6" t="n">
        <x:v>4</x:v>
      </x:c>
      <x:c r="I4298" s="6" t="n">
        <x:f>G4298-H4298</x:f>
        <x:v>-2</x:v>
      </x:c>
      <x:c r="J4298" s="6" t="n">
        <x:f>IF(OR(E4298="CANCELED",E4298="SUSPECTED_FRAUD",F4298="Shipping canceled"),0,1)</x:f>
        <x:v>1</x:v>
      </x:c>
      <x:c r="K4298" s="6" t="n">
        <x:f>IF(G4298&gt;H4298,1,0)</x:f>
        <x:v>0</x:v>
      </x:c>
      <x:c r="L4298" s="6" t="n">
        <x:f>J4298*K4298</x:f>
        <x:v>0</x:v>
      </x:c>
    </x:row>
    <x:row r="4299">
      <x:c r="A4299" s="1" t="n">
        <x:v>32736</x:v>
      </x:c>
      <x:c r="B4299" s="5" t="d">
        <x:v>2016-04-22T00:00:00.000Z</x:v>
      </x:c>
      <x:c r="C4299" s="1" t="str">
        <x:v>Standard Class</x:v>
      </x:c>
      <x:c r="D4299" s="1" t="str">
        <x:v>USCA</x:v>
      </x:c>
      <x:c r="E4299" s="1" t="str">
        <x:v>COMPLETE</x:v>
      </x:c>
      <x:c r="F4299" s="1" t="str">
        <x:v>Advance shipping</x:v>
      </x:c>
      <x:c r="G4299" s="6" t="n">
        <x:v>2</x:v>
      </x:c>
      <x:c r="H4299" s="6" t="n">
        <x:v>4</x:v>
      </x:c>
      <x:c r="I4299" s="6" t="n">
        <x:f>G4299-H4299</x:f>
        <x:v>-2</x:v>
      </x:c>
      <x:c r="J4299" s="6" t="n">
        <x:f>IF(OR(E4299="CANCELED",E4299="SUSPECTED_FRAUD",F4299="Shipping canceled"),0,1)</x:f>
        <x:v>1</x:v>
      </x:c>
      <x:c r="K4299" s="6" t="n">
        <x:f>IF(G4299&gt;H4299,1,0)</x:f>
        <x:v>0</x:v>
      </x:c>
      <x:c r="L4299" s="6" t="n">
        <x:f>J4299*K4299</x:f>
        <x:v>0</x:v>
      </x:c>
    </x:row>
    <x:row r="4300">
      <x:c r="A4300" s="1" t="n">
        <x:v>32743</x:v>
      </x:c>
      <x:c r="B4300" s="5" t="d">
        <x:v>2016-04-22T00:00:00.000Z</x:v>
      </x:c>
      <x:c r="C4300" s="1" t="str">
        <x:v>Standard Class</x:v>
      </x:c>
      <x:c r="D4300" s="1" t="str">
        <x:v>USCA</x:v>
      </x:c>
      <x:c r="E4300" s="1" t="str">
        <x:v>COMPLETE</x:v>
      </x:c>
      <x:c r="F4300" s="1" t="str">
        <x:v>Shipping on time</x:v>
      </x:c>
      <x:c r="G4300" s="6" t="n">
        <x:v>4</x:v>
      </x:c>
      <x:c r="H4300" s="6" t="n">
        <x:v>4</x:v>
      </x:c>
      <x:c r="I4300" s="6" t="n">
        <x:f>G4300-H4300</x:f>
        <x:v>0</x:v>
      </x:c>
      <x:c r="J4300" s="6" t="n">
        <x:f>IF(OR(E4300="CANCELED",E4300="SUSPECTED_FRAUD",F4300="Shipping canceled"),0,1)</x:f>
        <x:v>1</x:v>
      </x:c>
      <x:c r="K4300" s="6" t="n">
        <x:f>IF(G4300&gt;H4300,1,0)</x:f>
        <x:v>0</x:v>
      </x:c>
      <x:c r="L4300" s="6" t="n">
        <x:f>J4300*K4300</x:f>
        <x:v>0</x:v>
      </x:c>
    </x:row>
    <x:row r="4301">
      <x:c r="A4301" s="1" t="n">
        <x:v>32745</x:v>
      </x:c>
      <x:c r="B4301" s="5" t="d">
        <x:v>2016-04-22T00:00:00.000Z</x:v>
      </x:c>
      <x:c r="C4301" s="1" t="str">
        <x:v>Standard Class</x:v>
      </x:c>
      <x:c r="D4301" s="1" t="str">
        <x:v>USCA</x:v>
      </x:c>
      <x:c r="E4301" s="1" t="str">
        <x:v>COMPLETE</x:v>
      </x:c>
      <x:c r="F4301" s="1" t="str">
        <x:v>Late delivery</x:v>
      </x:c>
      <x:c r="G4301" s="6" t="n">
        <x:v>6</x:v>
      </x:c>
      <x:c r="H4301" s="6" t="n">
        <x:v>4</x:v>
      </x:c>
      <x:c r="I4301" s="6" t="n">
        <x:f>G4301-H4301</x:f>
        <x:v>2</x:v>
      </x:c>
      <x:c r="J4301" s="6" t="n">
        <x:f>IF(OR(E4301="CANCELED",E4301="SUSPECTED_FRAUD",F4301="Shipping canceled"),0,1)</x:f>
        <x:v>1</x:v>
      </x:c>
      <x:c r="K4301" s="6" t="n">
        <x:f>IF(G4301&gt;H4301,1,0)</x:f>
        <x:v>1</x:v>
      </x:c>
      <x:c r="L4301" s="6" t="n">
        <x:f>J4301*K4301</x:f>
        <x:v>1</x:v>
      </x:c>
    </x:row>
    <x:row r="4302">
      <x:c r="A4302" s="1" t="n">
        <x:v>32754</x:v>
      </x:c>
      <x:c r="B4302" s="5" t="d">
        <x:v>2016-04-23T00:00:00.000Z</x:v>
      </x:c>
      <x:c r="C4302" s="1" t="str">
        <x:v>Standard Class</x:v>
      </x:c>
      <x:c r="D4302" s="1" t="str">
        <x:v>USCA</x:v>
      </x:c>
      <x:c r="E4302" s="1" t="str">
        <x:v>COMPLETE</x:v>
      </x:c>
      <x:c r="F4302" s="1" t="str">
        <x:v>Late delivery</x:v>
      </x:c>
      <x:c r="G4302" s="6" t="n">
        <x:v>5</x:v>
      </x:c>
      <x:c r="H4302" s="6" t="n">
        <x:v>4</x:v>
      </x:c>
      <x:c r="I4302" s="6" t="n">
        <x:f>G4302-H4302</x:f>
        <x:v>1</x:v>
      </x:c>
      <x:c r="J4302" s="6" t="n">
        <x:f>IF(OR(E4302="CANCELED",E4302="SUSPECTED_FRAUD",F4302="Shipping canceled"),0,1)</x:f>
        <x:v>1</x:v>
      </x:c>
      <x:c r="K4302" s="6" t="n">
        <x:f>IF(G4302&gt;H4302,1,0)</x:f>
        <x:v>1</x:v>
      </x:c>
      <x:c r="L4302" s="6" t="n">
        <x:f>J4302*K4302</x:f>
        <x:v>1</x:v>
      </x:c>
    </x:row>
    <x:row r="4303">
      <x:c r="A4303" s="1" t="n">
        <x:v>32764</x:v>
      </x:c>
      <x:c r="B4303" s="5" t="d">
        <x:v>2016-04-23T00:00:00.000Z</x:v>
      </x:c>
      <x:c r="C4303" s="1" t="str">
        <x:v>Standard Class</x:v>
      </x:c>
      <x:c r="D4303" s="1" t="str">
        <x:v>USCA</x:v>
      </x:c>
      <x:c r="E4303" s="1" t="str">
        <x:v>COMPLETE</x:v>
      </x:c>
      <x:c r="F4303" s="1" t="str">
        <x:v>Late delivery</x:v>
      </x:c>
      <x:c r="G4303" s="6" t="n">
        <x:v>5</x:v>
      </x:c>
      <x:c r="H4303" s="6" t="n">
        <x:v>4</x:v>
      </x:c>
      <x:c r="I4303" s="6" t="n">
        <x:f>G4303-H4303</x:f>
        <x:v>1</x:v>
      </x:c>
      <x:c r="J4303" s="6" t="n">
        <x:f>IF(OR(E4303="CANCELED",E4303="SUSPECTED_FRAUD",F4303="Shipping canceled"),0,1)</x:f>
        <x:v>1</x:v>
      </x:c>
      <x:c r="K4303" s="6" t="n">
        <x:f>IF(G4303&gt;H4303,1,0)</x:f>
        <x:v>1</x:v>
      </x:c>
      <x:c r="L4303" s="6" t="n">
        <x:f>J4303*K4303</x:f>
        <x:v>1</x:v>
      </x:c>
    </x:row>
    <x:row r="4304">
      <x:c r="A4304" s="1" t="n">
        <x:v>32779</x:v>
      </x:c>
      <x:c r="B4304" s="5" t="d">
        <x:v>2016-04-23T00:00:00.000Z</x:v>
      </x:c>
      <x:c r="C4304" s="1" t="str">
        <x:v>Standard Class</x:v>
      </x:c>
      <x:c r="D4304" s="1" t="str">
        <x:v>USCA</x:v>
      </x:c>
      <x:c r="E4304" s="1" t="str">
        <x:v>COMPLETE</x:v>
      </x:c>
      <x:c r="F4304" s="1" t="str">
        <x:v>Late delivery</x:v>
      </x:c>
      <x:c r="G4304" s="6" t="n">
        <x:v>5</x:v>
      </x:c>
      <x:c r="H4304" s="6" t="n">
        <x:v>4</x:v>
      </x:c>
      <x:c r="I4304" s="6" t="n">
        <x:f>G4304-H4304</x:f>
        <x:v>1</x:v>
      </x:c>
      <x:c r="J4304" s="6" t="n">
        <x:f>IF(OR(E4304="CANCELED",E4304="SUSPECTED_FRAUD",F4304="Shipping canceled"),0,1)</x:f>
        <x:v>1</x:v>
      </x:c>
      <x:c r="K4304" s="6" t="n">
        <x:f>IF(G4304&gt;H4304,1,0)</x:f>
        <x:v>1</x:v>
      </x:c>
      <x:c r="L4304" s="6" t="n">
        <x:f>J4304*K4304</x:f>
        <x:v>1</x:v>
      </x:c>
    </x:row>
    <x:row r="4305">
      <x:c r="A4305" s="1" t="n">
        <x:v>32790</x:v>
      </x:c>
      <x:c r="B4305" s="5" t="d">
        <x:v>2016-04-23T00:00:00.000Z</x:v>
      </x:c>
      <x:c r="C4305" s="1" t="str">
        <x:v>First Class</x:v>
      </x:c>
      <x:c r="D4305" s="1" t="str">
        <x:v>USCA</x:v>
      </x:c>
      <x:c r="E4305" s="1" t="str">
        <x:v>CLOSED</x:v>
      </x:c>
      <x:c r="F4305" s="1" t="str">
        <x:v>Late delivery</x:v>
      </x:c>
      <x:c r="G4305" s="6" t="n">
        <x:v>2</x:v>
      </x:c>
      <x:c r="H4305" s="6" t="n">
        <x:v>1</x:v>
      </x:c>
      <x:c r="I4305" s="6" t="n">
        <x:f>G4305-H4305</x:f>
        <x:v>1</x:v>
      </x:c>
      <x:c r="J4305" s="6" t="n">
        <x:f>IF(OR(E4305="CANCELED",E4305="SUSPECTED_FRAUD",F4305="Shipping canceled"),0,1)</x:f>
        <x:v>1</x:v>
      </x:c>
      <x:c r="K4305" s="6" t="n">
        <x:f>IF(G4305&gt;H4305,1,0)</x:f>
        <x:v>1</x:v>
      </x:c>
      <x:c r="L4305" s="6" t="n">
        <x:f>J4305*K4305</x:f>
        <x:v>1</x:v>
      </x:c>
    </x:row>
    <x:row r="4306">
      <x:c r="A4306" s="1" t="n">
        <x:v>32798</x:v>
      </x:c>
      <x:c r="B4306" s="5" t="d">
        <x:v>2016-04-23T00:00:00.000Z</x:v>
      </x:c>
      <x:c r="C4306" s="1" t="str">
        <x:v>Second Class</x:v>
      </x:c>
      <x:c r="D4306" s="1" t="str">
        <x:v>USCA</x:v>
      </x:c>
      <x:c r="E4306" s="1" t="str">
        <x:v>COMPLETE</x:v>
      </x:c>
      <x:c r="F4306" s="1" t="str">
        <x:v>Late delivery</x:v>
      </x:c>
      <x:c r="G4306" s="6" t="n">
        <x:v>4</x:v>
      </x:c>
      <x:c r="H4306" s="6" t="n">
        <x:v>2</x:v>
      </x:c>
      <x:c r="I4306" s="6" t="n">
        <x:f>G4306-H4306</x:f>
        <x:v>2</x:v>
      </x:c>
      <x:c r="J4306" s="6" t="n">
        <x:f>IF(OR(E4306="CANCELED",E4306="SUSPECTED_FRAUD",F4306="Shipping canceled"),0,1)</x:f>
        <x:v>1</x:v>
      </x:c>
      <x:c r="K4306" s="6" t="n">
        <x:f>IF(G4306&gt;H4306,1,0)</x:f>
        <x:v>1</x:v>
      </x:c>
      <x:c r="L4306" s="6" t="n">
        <x:f>J4306*K4306</x:f>
        <x:v>1</x:v>
      </x:c>
    </x:row>
    <x:row r="4307">
      <x:c r="A4307" s="1" t="n">
        <x:v>32808</x:v>
      </x:c>
      <x:c r="B4307" s="5" t="d">
        <x:v>2016-04-23T00:00:00.000Z</x:v>
      </x:c>
      <x:c r="C4307" s="1" t="str">
        <x:v>Standard Class</x:v>
      </x:c>
      <x:c r="D4307" s="1" t="str">
        <x:v>USCA</x:v>
      </x:c>
      <x:c r="E4307" s="1" t="str">
        <x:v>COMPLETE</x:v>
      </x:c>
      <x:c r="F4307" s="1" t="str">
        <x:v>Shipping on time</x:v>
      </x:c>
      <x:c r="G4307" s="6" t="n">
        <x:v>4</x:v>
      </x:c>
      <x:c r="H4307" s="6" t="n">
        <x:v>4</x:v>
      </x:c>
      <x:c r="I4307" s="6" t="n">
        <x:f>G4307-H4307</x:f>
        <x:v>0</x:v>
      </x:c>
      <x:c r="J4307" s="6" t="n">
        <x:f>IF(OR(E4307="CANCELED",E4307="SUSPECTED_FRAUD",F4307="Shipping canceled"),0,1)</x:f>
        <x:v>1</x:v>
      </x:c>
      <x:c r="K4307" s="6" t="n">
        <x:f>IF(G4307&gt;H4307,1,0)</x:f>
        <x:v>0</x:v>
      </x:c>
      <x:c r="L4307" s="6" t="n">
        <x:f>J4307*K4307</x:f>
        <x:v>0</x:v>
      </x:c>
    </x:row>
    <x:row r="4308">
      <x:c r="A4308" s="1" t="n">
        <x:v>32827</x:v>
      </x:c>
      <x:c r="B4308" s="5" t="d">
        <x:v>2016-04-24T00:00:00.000Z</x:v>
      </x:c>
      <x:c r="C4308" s="1" t="str">
        <x:v>Standard Class</x:v>
      </x:c>
      <x:c r="D4308" s="1" t="str">
        <x:v>USCA</x:v>
      </x:c>
      <x:c r="E4308" s="1" t="str">
        <x:v>COMPLETE</x:v>
      </x:c>
      <x:c r="F4308" s="1" t="str">
        <x:v>Advance shipping</x:v>
      </x:c>
      <x:c r="G4308" s="6" t="n">
        <x:v>3</x:v>
      </x:c>
      <x:c r="H4308" s="6" t="n">
        <x:v>4</x:v>
      </x:c>
      <x:c r="I4308" s="6" t="n">
        <x:f>G4308-H4308</x:f>
        <x:v>-1</x:v>
      </x:c>
      <x:c r="J4308" s="6" t="n">
        <x:f>IF(OR(E4308="CANCELED",E4308="SUSPECTED_FRAUD",F4308="Shipping canceled"),0,1)</x:f>
        <x:v>1</x:v>
      </x:c>
      <x:c r="K4308" s="6" t="n">
        <x:f>IF(G4308&gt;H4308,1,0)</x:f>
        <x:v>0</x:v>
      </x:c>
      <x:c r="L4308" s="6" t="n">
        <x:f>J4308*K4308</x:f>
        <x:v>0</x:v>
      </x:c>
    </x:row>
    <x:row r="4309">
      <x:c r="A4309" s="1" t="n">
        <x:v>32832</x:v>
      </x:c>
      <x:c r="B4309" s="5" t="d">
        <x:v>2016-04-24T00:00:00.000Z</x:v>
      </x:c>
      <x:c r="C4309" s="1" t="str">
        <x:v>Standard Class</x:v>
      </x:c>
      <x:c r="D4309" s="1" t="str">
        <x:v>USCA</x:v>
      </x:c>
      <x:c r="E4309" s="1" t="str">
        <x:v>COMPLETE</x:v>
      </x:c>
      <x:c r="F4309" s="1" t="str">
        <x:v>Advance shipping</x:v>
      </x:c>
      <x:c r="G4309" s="6" t="n">
        <x:v>3</x:v>
      </x:c>
      <x:c r="H4309" s="6" t="n">
        <x:v>4</x:v>
      </x:c>
      <x:c r="I4309" s="6" t="n">
        <x:f>G4309-H4309</x:f>
        <x:v>-1</x:v>
      </x:c>
      <x:c r="J4309" s="6" t="n">
        <x:f>IF(OR(E4309="CANCELED",E4309="SUSPECTED_FRAUD",F4309="Shipping canceled"),0,1)</x:f>
        <x:v>1</x:v>
      </x:c>
      <x:c r="K4309" s="6" t="n">
        <x:f>IF(G4309&gt;H4309,1,0)</x:f>
        <x:v>0</x:v>
      </x:c>
      <x:c r="L4309" s="6" t="n">
        <x:f>J4309*K4309</x:f>
        <x:v>0</x:v>
      </x:c>
    </x:row>
    <x:row r="4310">
      <x:c r="A4310" s="1" t="n">
        <x:v>32834</x:v>
      </x:c>
      <x:c r="B4310" s="5" t="d">
        <x:v>2016-04-24T00:00:00.000Z</x:v>
      </x:c>
      <x:c r="C4310" s="1" t="str">
        <x:v>Standard Class</x:v>
      </x:c>
      <x:c r="D4310" s="1" t="str">
        <x:v>USCA</x:v>
      </x:c>
      <x:c r="E4310" s="1" t="str">
        <x:v>COMPLETE</x:v>
      </x:c>
      <x:c r="F4310" s="1" t="str">
        <x:v>Late delivery</x:v>
      </x:c>
      <x:c r="G4310" s="6" t="n">
        <x:v>5</x:v>
      </x:c>
      <x:c r="H4310" s="6" t="n">
        <x:v>4</x:v>
      </x:c>
      <x:c r="I4310" s="6" t="n">
        <x:f>G4310-H4310</x:f>
        <x:v>1</x:v>
      </x:c>
      <x:c r="J4310" s="6" t="n">
        <x:f>IF(OR(E4310="CANCELED",E4310="SUSPECTED_FRAUD",F4310="Shipping canceled"),0,1)</x:f>
        <x:v>1</x:v>
      </x:c>
      <x:c r="K4310" s="6" t="n">
        <x:f>IF(G4310&gt;H4310,1,0)</x:f>
        <x:v>1</x:v>
      </x:c>
      <x:c r="L4310" s="6" t="n">
        <x:f>J4310*K4310</x:f>
        <x:v>1</x:v>
      </x:c>
    </x:row>
    <x:row r="4311">
      <x:c r="A4311" s="1" t="n">
        <x:v>32845</x:v>
      </x:c>
      <x:c r="B4311" s="5" t="d">
        <x:v>2016-04-24T00:00:00.000Z</x:v>
      </x:c>
      <x:c r="C4311" s="1" t="str">
        <x:v>Standard Class</x:v>
      </x:c>
      <x:c r="D4311" s="1" t="str">
        <x:v>USCA</x:v>
      </x:c>
      <x:c r="E4311" s="1" t="str">
        <x:v>COMPLETE</x:v>
      </x:c>
      <x:c r="F4311" s="1" t="str">
        <x:v>Late delivery</x:v>
      </x:c>
      <x:c r="G4311" s="6" t="n">
        <x:v>6</x:v>
      </x:c>
      <x:c r="H4311" s="6" t="n">
        <x:v>4</x:v>
      </x:c>
      <x:c r="I4311" s="6" t="n">
        <x:f>G4311-H4311</x:f>
        <x:v>2</x:v>
      </x:c>
      <x:c r="J4311" s="6" t="n">
        <x:f>IF(OR(E4311="CANCELED",E4311="SUSPECTED_FRAUD",F4311="Shipping canceled"),0,1)</x:f>
        <x:v>1</x:v>
      </x:c>
      <x:c r="K4311" s="6" t="n">
        <x:f>IF(G4311&gt;H4311,1,0)</x:f>
        <x:v>1</x:v>
      </x:c>
      <x:c r="L4311" s="6" t="n">
        <x:f>J4311*K4311</x:f>
        <x:v>1</x:v>
      </x:c>
    </x:row>
    <x:row r="4312">
      <x:c r="A4312" s="1" t="n">
        <x:v>32846</x:v>
      </x:c>
      <x:c r="B4312" s="5" t="d">
        <x:v>2016-04-24T00:00:00.000Z</x:v>
      </x:c>
      <x:c r="C4312" s="1" t="str">
        <x:v>Standard Class</x:v>
      </x:c>
      <x:c r="D4312" s="1" t="str">
        <x:v>USCA</x:v>
      </x:c>
      <x:c r="E4312" s="1" t="str">
        <x:v>SUSPECTED_FRAUD</x:v>
      </x:c>
      <x:c r="F4312" s="1" t="str">
        <x:v>Shipping canceled</x:v>
      </x:c>
      <x:c r="G4312" s="6" t="n">
        <x:v>2</x:v>
      </x:c>
      <x:c r="H4312" s="6" t="n">
        <x:v>4</x:v>
      </x:c>
      <x:c r="I4312" s="6" t="n">
        <x:f>G4312-H4312</x:f>
        <x:v>-2</x:v>
      </x:c>
      <x:c r="J4312" s="6" t="n">
        <x:f>IF(OR(E4312="CANCELED",E4312="SUSPECTED_FRAUD",F4312="Shipping canceled"),0,1)</x:f>
        <x:v>0</x:v>
      </x:c>
      <x:c r="K4312" s="6" t="n">
        <x:f>IF(G4312&gt;H4312,1,0)</x:f>
        <x:v>0</x:v>
      </x:c>
      <x:c r="L4312" s="6" t="n">
        <x:f>J4312*K4312</x:f>
        <x:v>0</x:v>
      </x:c>
    </x:row>
    <x:row r="4313">
      <x:c r="A4313" s="1" t="n">
        <x:v>32871</x:v>
      </x:c>
      <x:c r="B4313" s="5" t="d">
        <x:v>2016-04-24T00:00:00.000Z</x:v>
      </x:c>
      <x:c r="C4313" s="1" t="str">
        <x:v>Standard Class</x:v>
      </x:c>
      <x:c r="D4313" s="1" t="str">
        <x:v>USCA</x:v>
      </x:c>
      <x:c r="E4313" s="1" t="str">
        <x:v>COMPLETE</x:v>
      </x:c>
      <x:c r="F4313" s="1" t="str">
        <x:v>Advance shipping</x:v>
      </x:c>
      <x:c r="G4313" s="6" t="n">
        <x:v>2</x:v>
      </x:c>
      <x:c r="H4313" s="6" t="n">
        <x:v>4</x:v>
      </x:c>
      <x:c r="I4313" s="6" t="n">
        <x:f>G4313-H4313</x:f>
        <x:v>-2</x:v>
      </x:c>
      <x:c r="J4313" s="6" t="n">
        <x:f>IF(OR(E4313="CANCELED",E4313="SUSPECTED_FRAUD",F4313="Shipping canceled"),0,1)</x:f>
        <x:v>1</x:v>
      </x:c>
      <x:c r="K4313" s="6" t="n">
        <x:f>IF(G4313&gt;H4313,1,0)</x:f>
        <x:v>0</x:v>
      </x:c>
      <x:c r="L4313" s="6" t="n">
        <x:f>J4313*K4313</x:f>
        <x:v>0</x:v>
      </x:c>
    </x:row>
    <x:row r="4314">
      <x:c r="A4314" s="1" t="n">
        <x:v>32873</x:v>
      </x:c>
      <x:c r="B4314" s="5" t="d">
        <x:v>2016-04-24T00:00:00.000Z</x:v>
      </x:c>
      <x:c r="C4314" s="1" t="str">
        <x:v>Standard Class</x:v>
      </x:c>
      <x:c r="D4314" s="1" t="str">
        <x:v>USCA</x:v>
      </x:c>
      <x:c r="E4314" s="1" t="str">
        <x:v>COMPLETE</x:v>
      </x:c>
      <x:c r="F4314" s="1" t="str">
        <x:v>Shipping on time</x:v>
      </x:c>
      <x:c r="G4314" s="6" t="n">
        <x:v>4</x:v>
      </x:c>
      <x:c r="H4314" s="6" t="n">
        <x:v>4</x:v>
      </x:c>
      <x:c r="I4314" s="6" t="n">
        <x:f>G4314-H4314</x:f>
        <x:v>0</x:v>
      </x:c>
      <x:c r="J4314" s="6" t="n">
        <x:f>IF(OR(E4314="CANCELED",E4314="SUSPECTED_FRAUD",F4314="Shipping canceled"),0,1)</x:f>
        <x:v>1</x:v>
      </x:c>
      <x:c r="K4314" s="6" t="n">
        <x:f>IF(G4314&gt;H4314,1,0)</x:f>
        <x:v>0</x:v>
      </x:c>
      <x:c r="L4314" s="6" t="n">
        <x:f>J4314*K4314</x:f>
        <x:v>0</x:v>
      </x:c>
    </x:row>
    <x:row r="4315">
      <x:c r="A4315" s="1" t="n">
        <x:v>32901</x:v>
      </x:c>
      <x:c r="B4315" s="5" t="d">
        <x:v>2016-04-25T00:00:00.000Z</x:v>
      </x:c>
      <x:c r="C4315" s="1" t="str">
        <x:v>Standard Class</x:v>
      </x:c>
      <x:c r="D4315" s="1" t="str">
        <x:v>USCA</x:v>
      </x:c>
      <x:c r="E4315" s="1" t="str">
        <x:v>CLOSED</x:v>
      </x:c>
      <x:c r="F4315" s="1" t="str">
        <x:v>Advance shipping</x:v>
      </x:c>
      <x:c r="G4315" s="6" t="n">
        <x:v>2</x:v>
      </x:c>
      <x:c r="H4315" s="6" t="n">
        <x:v>4</x:v>
      </x:c>
      <x:c r="I4315" s="6" t="n">
        <x:f>G4315-H4315</x:f>
        <x:v>-2</x:v>
      </x:c>
      <x:c r="J4315" s="6" t="n">
        <x:f>IF(OR(E4315="CANCELED",E4315="SUSPECTED_FRAUD",F4315="Shipping canceled"),0,1)</x:f>
        <x:v>1</x:v>
      </x:c>
      <x:c r="K4315" s="6" t="n">
        <x:f>IF(G4315&gt;H4315,1,0)</x:f>
        <x:v>0</x:v>
      </x:c>
      <x:c r="L4315" s="6" t="n">
        <x:f>J4315*K4315</x:f>
        <x:v>0</x:v>
      </x:c>
    </x:row>
    <x:row r="4316">
      <x:c r="A4316" s="1" t="n">
        <x:v>32928</x:v>
      </x:c>
      <x:c r="B4316" s="5" t="d">
        <x:v>2016-04-25T00:00:00.000Z</x:v>
      </x:c>
      <x:c r="C4316" s="1" t="str">
        <x:v>Standard Class</x:v>
      </x:c>
      <x:c r="D4316" s="1" t="str">
        <x:v>USCA</x:v>
      </x:c>
      <x:c r="E4316" s="1" t="str">
        <x:v>COMPLETE</x:v>
      </x:c>
      <x:c r="F4316" s="1" t="str">
        <x:v>Shipping on time</x:v>
      </x:c>
      <x:c r="G4316" s="6" t="n">
        <x:v>4</x:v>
      </x:c>
      <x:c r="H4316" s="6" t="n">
        <x:v>4</x:v>
      </x:c>
      <x:c r="I4316" s="6" t="n">
        <x:f>G4316-H4316</x:f>
        <x:v>0</x:v>
      </x:c>
      <x:c r="J4316" s="6" t="n">
        <x:f>IF(OR(E4316="CANCELED",E4316="SUSPECTED_FRAUD",F4316="Shipping canceled"),0,1)</x:f>
        <x:v>1</x:v>
      </x:c>
      <x:c r="K4316" s="6" t="n">
        <x:f>IF(G4316&gt;H4316,1,0)</x:f>
        <x:v>0</x:v>
      </x:c>
      <x:c r="L4316" s="6" t="n">
        <x:f>J4316*K4316</x:f>
        <x:v>0</x:v>
      </x:c>
    </x:row>
    <x:row r="4317">
      <x:c r="A4317" s="1" t="n">
        <x:v>32934</x:v>
      </x:c>
      <x:c r="B4317" s="5" t="d">
        <x:v>2016-04-25T00:00:00.000Z</x:v>
      </x:c>
      <x:c r="C4317" s="1" t="str">
        <x:v>Standard Class</x:v>
      </x:c>
      <x:c r="D4317" s="1" t="str">
        <x:v>USCA</x:v>
      </x:c>
      <x:c r="E4317" s="1" t="str">
        <x:v>COMPLETE</x:v>
      </x:c>
      <x:c r="F4317" s="1" t="str">
        <x:v>Late delivery</x:v>
      </x:c>
      <x:c r="G4317" s="6" t="n">
        <x:v>5</x:v>
      </x:c>
      <x:c r="H4317" s="6" t="n">
        <x:v>4</x:v>
      </x:c>
      <x:c r="I4317" s="6" t="n">
        <x:f>G4317-H4317</x:f>
        <x:v>1</x:v>
      </x:c>
      <x:c r="J4317" s="6" t="n">
        <x:f>IF(OR(E4317="CANCELED",E4317="SUSPECTED_FRAUD",F4317="Shipping canceled"),0,1)</x:f>
        <x:v>1</x:v>
      </x:c>
      <x:c r="K4317" s="6" t="n">
        <x:f>IF(G4317&gt;H4317,1,0)</x:f>
        <x:v>1</x:v>
      </x:c>
      <x:c r="L4317" s="6" t="n">
        <x:f>J4317*K4317</x:f>
        <x:v>1</x:v>
      </x:c>
    </x:row>
    <x:row r="4318">
      <x:c r="A4318" s="1" t="n">
        <x:v>32938</x:v>
      </x:c>
      <x:c r="B4318" s="5" t="d">
        <x:v>2016-04-25T00:00:00.000Z</x:v>
      </x:c>
      <x:c r="C4318" s="1" t="str">
        <x:v>Standard Class</x:v>
      </x:c>
      <x:c r="D4318" s="1" t="str">
        <x:v>USCA</x:v>
      </x:c>
      <x:c r="E4318" s="1" t="str">
        <x:v>COMPLETE</x:v>
      </x:c>
      <x:c r="F4318" s="1" t="str">
        <x:v>Shipping on time</x:v>
      </x:c>
      <x:c r="G4318" s="6" t="n">
        <x:v>4</x:v>
      </x:c>
      <x:c r="H4318" s="6" t="n">
        <x:v>4</x:v>
      </x:c>
      <x:c r="I4318" s="6" t="n">
        <x:f>G4318-H4318</x:f>
        <x:v>0</x:v>
      </x:c>
      <x:c r="J4318" s="6" t="n">
        <x:f>IF(OR(E4318="CANCELED",E4318="SUSPECTED_FRAUD",F4318="Shipping canceled"),0,1)</x:f>
        <x:v>1</x:v>
      </x:c>
      <x:c r="K4318" s="6" t="n">
        <x:f>IF(G4318&gt;H4318,1,0)</x:f>
        <x:v>0</x:v>
      </x:c>
      <x:c r="L4318" s="6" t="n">
        <x:f>J4318*K4318</x:f>
        <x:v>0</x:v>
      </x:c>
    </x:row>
    <x:row r="4319">
      <x:c r="A4319" s="1" t="n">
        <x:v>32967</x:v>
      </x:c>
      <x:c r="B4319" s="5" t="d">
        <x:v>2016-04-26T00:00:00.000Z</x:v>
      </x:c>
      <x:c r="C4319" s="1" t="str">
        <x:v>First Class</x:v>
      </x:c>
      <x:c r="D4319" s="1" t="str">
        <x:v>USCA</x:v>
      </x:c>
      <x:c r="E4319" s="1" t="str">
        <x:v>CLOSED</x:v>
      </x:c>
      <x:c r="F4319" s="1" t="str">
        <x:v>Late delivery</x:v>
      </x:c>
      <x:c r="G4319" s="6" t="n">
        <x:v>2</x:v>
      </x:c>
      <x:c r="H4319" s="6" t="n">
        <x:v>1</x:v>
      </x:c>
      <x:c r="I4319" s="6" t="n">
        <x:f>G4319-H4319</x:f>
        <x:v>1</x:v>
      </x:c>
      <x:c r="J4319" s="6" t="n">
        <x:f>IF(OR(E4319="CANCELED",E4319="SUSPECTED_FRAUD",F4319="Shipping canceled"),0,1)</x:f>
        <x:v>1</x:v>
      </x:c>
      <x:c r="K4319" s="6" t="n">
        <x:f>IF(G4319&gt;H4319,1,0)</x:f>
        <x:v>1</x:v>
      </x:c>
      <x:c r="L4319" s="6" t="n">
        <x:f>J4319*K4319</x:f>
        <x:v>1</x:v>
      </x:c>
    </x:row>
    <x:row r="4320">
      <x:c r="A4320" s="1" t="n">
        <x:v>32974</x:v>
      </x:c>
      <x:c r="B4320" s="5" t="d">
        <x:v>2016-04-26T00:00:00.000Z</x:v>
      </x:c>
      <x:c r="C4320" s="1" t="str">
        <x:v>Second Class</x:v>
      </x:c>
      <x:c r="D4320" s="1" t="str">
        <x:v>USCA</x:v>
      </x:c>
      <x:c r="E4320" s="1" t="str">
        <x:v>COMPLETE</x:v>
      </x:c>
      <x:c r="F4320" s="1" t="str">
        <x:v>Late delivery</x:v>
      </x:c>
      <x:c r="G4320" s="6" t="n">
        <x:v>5</x:v>
      </x:c>
      <x:c r="H4320" s="6" t="n">
        <x:v>2</x:v>
      </x:c>
      <x:c r="I4320" s="6" t="n">
        <x:f>G4320-H4320</x:f>
        <x:v>3</x:v>
      </x:c>
      <x:c r="J4320" s="6" t="n">
        <x:f>IF(OR(E4320="CANCELED",E4320="SUSPECTED_FRAUD",F4320="Shipping canceled"),0,1)</x:f>
        <x:v>1</x:v>
      </x:c>
      <x:c r="K4320" s="6" t="n">
        <x:f>IF(G4320&gt;H4320,1,0)</x:f>
        <x:v>1</x:v>
      </x:c>
      <x:c r="L4320" s="6" t="n">
        <x:f>J4320*K4320</x:f>
        <x:v>1</x:v>
      </x:c>
    </x:row>
    <x:row r="4321">
      <x:c r="A4321" s="1" t="n">
        <x:v>32978</x:v>
      </x:c>
      <x:c r="B4321" s="5" t="d">
        <x:v>2016-04-26T00:00:00.000Z</x:v>
      </x:c>
      <x:c r="C4321" s="1" t="str">
        <x:v>First Class</x:v>
      </x:c>
      <x:c r="D4321" s="1" t="str">
        <x:v>USCA</x:v>
      </x:c>
      <x:c r="E4321" s="1" t="str">
        <x:v>CLOSED</x:v>
      </x:c>
      <x:c r="F4321" s="1" t="str">
        <x:v>Late delivery</x:v>
      </x:c>
      <x:c r="G4321" s="6" t="n">
        <x:v>2</x:v>
      </x:c>
      <x:c r="H4321" s="6" t="n">
        <x:v>1</x:v>
      </x:c>
      <x:c r="I4321" s="6" t="n">
        <x:f>G4321-H4321</x:f>
        <x:v>1</x:v>
      </x:c>
      <x:c r="J4321" s="6" t="n">
        <x:f>IF(OR(E4321="CANCELED",E4321="SUSPECTED_FRAUD",F4321="Shipping canceled"),0,1)</x:f>
        <x:v>1</x:v>
      </x:c>
      <x:c r="K4321" s="6" t="n">
        <x:f>IF(G4321&gt;H4321,1,0)</x:f>
        <x:v>1</x:v>
      </x:c>
      <x:c r="L4321" s="6" t="n">
        <x:f>J4321*K4321</x:f>
        <x:v>1</x:v>
      </x:c>
    </x:row>
    <x:row r="4322">
      <x:c r="A4322" s="1" t="n">
        <x:v>32985</x:v>
      </x:c>
      <x:c r="B4322" s="5" t="d">
        <x:v>2016-04-26T00:00:00.000Z</x:v>
      </x:c>
      <x:c r="C4322" s="1" t="str">
        <x:v>Standard Class</x:v>
      </x:c>
      <x:c r="D4322" s="1" t="str">
        <x:v>USCA</x:v>
      </x:c>
      <x:c r="E4322" s="1" t="str">
        <x:v>COMPLETE</x:v>
      </x:c>
      <x:c r="F4322" s="1" t="str">
        <x:v>Late delivery</x:v>
      </x:c>
      <x:c r="G4322" s="6" t="n">
        <x:v>6</x:v>
      </x:c>
      <x:c r="H4322" s="6" t="n">
        <x:v>4</x:v>
      </x:c>
      <x:c r="I4322" s="6" t="n">
        <x:f>G4322-H4322</x:f>
        <x:v>2</x:v>
      </x:c>
      <x:c r="J4322" s="6" t="n">
        <x:f>IF(OR(E4322="CANCELED",E4322="SUSPECTED_FRAUD",F4322="Shipping canceled"),0,1)</x:f>
        <x:v>1</x:v>
      </x:c>
      <x:c r="K4322" s="6" t="n">
        <x:f>IF(G4322&gt;H4322,1,0)</x:f>
        <x:v>1</x:v>
      </x:c>
      <x:c r="L4322" s="6" t="n">
        <x:f>J4322*K4322</x:f>
        <x:v>1</x:v>
      </x:c>
    </x:row>
    <x:row r="4323">
      <x:c r="A4323" s="1" t="n">
        <x:v>32989</x:v>
      </x:c>
      <x:c r="B4323" s="5" t="d">
        <x:v>2016-04-26T00:00:00.000Z</x:v>
      </x:c>
      <x:c r="C4323" s="1" t="str">
        <x:v>Standard Class</x:v>
      </x:c>
      <x:c r="D4323" s="1" t="str">
        <x:v>USCA</x:v>
      </x:c>
      <x:c r="E4323" s="1" t="str">
        <x:v>COMPLETE</x:v>
      </x:c>
      <x:c r="F4323" s="1" t="str">
        <x:v>Late delivery</x:v>
      </x:c>
      <x:c r="G4323" s="6" t="n">
        <x:v>5</x:v>
      </x:c>
      <x:c r="H4323" s="6" t="n">
        <x:v>4</x:v>
      </x:c>
      <x:c r="I4323" s="6" t="n">
        <x:f>G4323-H4323</x:f>
        <x:v>1</x:v>
      </x:c>
      <x:c r="J4323" s="6" t="n">
        <x:f>IF(OR(E4323="CANCELED",E4323="SUSPECTED_FRAUD",F4323="Shipping canceled"),0,1)</x:f>
        <x:v>1</x:v>
      </x:c>
      <x:c r="K4323" s="6" t="n">
        <x:f>IF(G4323&gt;H4323,1,0)</x:f>
        <x:v>1</x:v>
      </x:c>
      <x:c r="L4323" s="6" t="n">
        <x:f>J4323*K4323</x:f>
        <x:v>1</x:v>
      </x:c>
    </x:row>
    <x:row r="4324">
      <x:c r="A4324" s="1" t="n">
        <x:v>32995</x:v>
      </x:c>
      <x:c r="B4324" s="5" t="d">
        <x:v>2016-04-26T00:00:00.000Z</x:v>
      </x:c>
      <x:c r="C4324" s="1" t="str">
        <x:v>Standard Class</x:v>
      </x:c>
      <x:c r="D4324" s="1" t="str">
        <x:v>USCA</x:v>
      </x:c>
      <x:c r="E4324" s="1" t="str">
        <x:v>ON_HOLD</x:v>
      </x:c>
      <x:c r="F4324" s="1" t="str">
        <x:v>Late delivery</x:v>
      </x:c>
      <x:c r="G4324" s="6" t="n">
        <x:v>6</x:v>
      </x:c>
      <x:c r="H4324" s="6" t="n">
        <x:v>4</x:v>
      </x:c>
      <x:c r="I4324" s="6" t="n">
        <x:f>G4324-H4324</x:f>
        <x:v>2</x:v>
      </x:c>
      <x:c r="J4324" s="6" t="n">
        <x:f>IF(OR(E4324="CANCELED",E4324="SUSPECTED_FRAUD",F4324="Shipping canceled"),0,1)</x:f>
        <x:v>1</x:v>
      </x:c>
      <x:c r="K4324" s="6" t="n">
        <x:f>IF(G4324&gt;H4324,1,0)</x:f>
        <x:v>1</x:v>
      </x:c>
      <x:c r="L4324" s="6" t="n">
        <x:f>J4324*K4324</x:f>
        <x:v>1</x:v>
      </x:c>
    </x:row>
    <x:row r="4325">
      <x:c r="A4325" s="1" t="n">
        <x:v>33006</x:v>
      </x:c>
      <x:c r="B4325" s="5" t="d">
        <x:v>2016-04-26T00:00:00.000Z</x:v>
      </x:c>
      <x:c r="C4325" s="1" t="str">
        <x:v>Standard Class</x:v>
      </x:c>
      <x:c r="D4325" s="1" t="str">
        <x:v>USCA</x:v>
      </x:c>
      <x:c r="E4325" s="1" t="str">
        <x:v>PENDING</x:v>
      </x:c>
      <x:c r="F4325" s="1" t="str">
        <x:v>Advance shipping</x:v>
      </x:c>
      <x:c r="G4325" s="6" t="n">
        <x:v>2</x:v>
      </x:c>
      <x:c r="H4325" s="6" t="n">
        <x:v>4</x:v>
      </x:c>
      <x:c r="I4325" s="6" t="n">
        <x:f>G4325-H4325</x:f>
        <x:v>-2</x:v>
      </x:c>
      <x:c r="J4325" s="6" t="n">
        <x:f>IF(OR(E4325="CANCELED",E4325="SUSPECTED_FRAUD",F4325="Shipping canceled"),0,1)</x:f>
        <x:v>1</x:v>
      </x:c>
      <x:c r="K4325" s="6" t="n">
        <x:f>IF(G4325&gt;H4325,1,0)</x:f>
        <x:v>0</x:v>
      </x:c>
      <x:c r="L4325" s="6" t="n">
        <x:f>J4325*K4325</x:f>
        <x:v>0</x:v>
      </x:c>
    </x:row>
    <x:row r="4326">
      <x:c r="A4326" s="1" t="n">
        <x:v>33019</x:v>
      </x:c>
      <x:c r="B4326" s="5" t="d">
        <x:v>2016-04-26T00:00:00.000Z</x:v>
      </x:c>
      <x:c r="C4326" s="1" t="str">
        <x:v>Standard Class</x:v>
      </x:c>
      <x:c r="D4326" s="1" t="str">
        <x:v>USCA</x:v>
      </x:c>
      <x:c r="E4326" s="1" t="str">
        <x:v>COMPLETE</x:v>
      </x:c>
      <x:c r="F4326" s="1" t="str">
        <x:v>Late delivery</x:v>
      </x:c>
      <x:c r="G4326" s="6" t="n">
        <x:v>5</x:v>
      </x:c>
      <x:c r="H4326" s="6" t="n">
        <x:v>4</x:v>
      </x:c>
      <x:c r="I4326" s="6" t="n">
        <x:f>G4326-H4326</x:f>
        <x:v>1</x:v>
      </x:c>
      <x:c r="J4326" s="6" t="n">
        <x:f>IF(OR(E4326="CANCELED",E4326="SUSPECTED_FRAUD",F4326="Shipping canceled"),0,1)</x:f>
        <x:v>1</x:v>
      </x:c>
      <x:c r="K4326" s="6" t="n">
        <x:f>IF(G4326&gt;H4326,1,0)</x:f>
        <x:v>1</x:v>
      </x:c>
      <x:c r="L4326" s="6" t="n">
        <x:f>J4326*K4326</x:f>
        <x:v>1</x:v>
      </x:c>
    </x:row>
    <x:row r="4327">
      <x:c r="A4327" s="1" t="n">
        <x:v>33045</x:v>
      </x:c>
      <x:c r="B4327" s="5" t="d">
        <x:v>2016-04-27T00:00:00.000Z</x:v>
      </x:c>
      <x:c r="C4327" s="1" t="str">
        <x:v>Standard Class</x:v>
      </x:c>
      <x:c r="D4327" s="1" t="str">
        <x:v>USCA</x:v>
      </x:c>
      <x:c r="E4327" s="1" t="str">
        <x:v>PENDING</x:v>
      </x:c>
      <x:c r="F4327" s="1" t="str">
        <x:v>Late delivery</x:v>
      </x:c>
      <x:c r="G4327" s="6" t="n">
        <x:v>6</x:v>
      </x:c>
      <x:c r="H4327" s="6" t="n">
        <x:v>4</x:v>
      </x:c>
      <x:c r="I4327" s="6" t="n">
        <x:f>G4327-H4327</x:f>
        <x:v>2</x:v>
      </x:c>
      <x:c r="J4327" s="6" t="n">
        <x:f>IF(OR(E4327="CANCELED",E4327="SUSPECTED_FRAUD",F4327="Shipping canceled"),0,1)</x:f>
        <x:v>1</x:v>
      </x:c>
      <x:c r="K4327" s="6" t="n">
        <x:f>IF(G4327&gt;H4327,1,0)</x:f>
        <x:v>1</x:v>
      </x:c>
      <x:c r="L4327" s="6" t="n">
        <x:f>J4327*K4327</x:f>
        <x:v>1</x:v>
      </x:c>
    </x:row>
    <x:row r="4328">
      <x:c r="A4328" s="1" t="n">
        <x:v>33058</x:v>
      </x:c>
      <x:c r="B4328" s="5" t="d">
        <x:v>2016-04-27T00:00:00.000Z</x:v>
      </x:c>
      <x:c r="C4328" s="1" t="str">
        <x:v>Standard Class</x:v>
      </x:c>
      <x:c r="D4328" s="1" t="str">
        <x:v>USCA</x:v>
      </x:c>
      <x:c r="E4328" s="1" t="str">
        <x:v>PENDING</x:v>
      </x:c>
      <x:c r="F4328" s="1" t="str">
        <x:v>Shipping on time</x:v>
      </x:c>
      <x:c r="G4328" s="6" t="n">
        <x:v>4</x:v>
      </x:c>
      <x:c r="H4328" s="6" t="n">
        <x:v>4</x:v>
      </x:c>
      <x:c r="I4328" s="6" t="n">
        <x:f>G4328-H4328</x:f>
        <x:v>0</x:v>
      </x:c>
      <x:c r="J4328" s="6" t="n">
        <x:f>IF(OR(E4328="CANCELED",E4328="SUSPECTED_FRAUD",F4328="Shipping canceled"),0,1)</x:f>
        <x:v>1</x:v>
      </x:c>
      <x:c r="K4328" s="6" t="n">
        <x:f>IF(G4328&gt;H4328,1,0)</x:f>
        <x:v>0</x:v>
      </x:c>
      <x:c r="L4328" s="6" t="n">
        <x:f>J4328*K4328</x:f>
        <x:v>0</x:v>
      </x:c>
    </x:row>
    <x:row r="4329">
      <x:c r="A4329" s="1" t="n">
        <x:v>33059</x:v>
      </x:c>
      <x:c r="B4329" s="5" t="d">
        <x:v>2016-04-27T00:00:00.000Z</x:v>
      </x:c>
      <x:c r="C4329" s="1" t="str">
        <x:v>Standard Class</x:v>
      </x:c>
      <x:c r="D4329" s="1" t="str">
        <x:v>USCA</x:v>
      </x:c>
      <x:c r="E4329" s="1" t="str">
        <x:v>COMPLETE</x:v>
      </x:c>
      <x:c r="F4329" s="1" t="str">
        <x:v>Late delivery</x:v>
      </x:c>
      <x:c r="G4329" s="6" t="n">
        <x:v>5</x:v>
      </x:c>
      <x:c r="H4329" s="6" t="n">
        <x:v>4</x:v>
      </x:c>
      <x:c r="I4329" s="6" t="n">
        <x:f>G4329-H4329</x:f>
        <x:v>1</x:v>
      </x:c>
      <x:c r="J4329" s="6" t="n">
        <x:f>IF(OR(E4329="CANCELED",E4329="SUSPECTED_FRAUD",F4329="Shipping canceled"),0,1)</x:f>
        <x:v>1</x:v>
      </x:c>
      <x:c r="K4329" s="6" t="n">
        <x:f>IF(G4329&gt;H4329,1,0)</x:f>
        <x:v>1</x:v>
      </x:c>
      <x:c r="L4329" s="6" t="n">
        <x:f>J4329*K4329</x:f>
        <x:v>1</x:v>
      </x:c>
    </x:row>
    <x:row r="4330">
      <x:c r="A4330" s="1" t="n">
        <x:v>33062</x:v>
      </x:c>
      <x:c r="B4330" s="5" t="d">
        <x:v>2016-04-27T00:00:00.000Z</x:v>
      </x:c>
      <x:c r="C4330" s="1" t="str">
        <x:v>Second Class</x:v>
      </x:c>
      <x:c r="D4330" s="1" t="str">
        <x:v>USCA</x:v>
      </x:c>
      <x:c r="E4330" s="1" t="str">
        <x:v>PENDING</x:v>
      </x:c>
      <x:c r="F4330" s="1" t="str">
        <x:v>Late delivery</x:v>
      </x:c>
      <x:c r="G4330" s="6" t="n">
        <x:v>3</x:v>
      </x:c>
      <x:c r="H4330" s="6" t="n">
        <x:v>2</x:v>
      </x:c>
      <x:c r="I4330" s="6" t="n">
        <x:f>G4330-H4330</x:f>
        <x:v>1</x:v>
      </x:c>
      <x:c r="J4330" s="6" t="n">
        <x:f>IF(OR(E4330="CANCELED",E4330="SUSPECTED_FRAUD",F4330="Shipping canceled"),0,1)</x:f>
        <x:v>1</x:v>
      </x:c>
      <x:c r="K4330" s="6" t="n">
        <x:f>IF(G4330&gt;H4330,1,0)</x:f>
        <x:v>1</x:v>
      </x:c>
      <x:c r="L4330" s="6" t="n">
        <x:f>J4330*K4330</x:f>
        <x:v>1</x:v>
      </x:c>
    </x:row>
    <x:row r="4331">
      <x:c r="A4331" s="1" t="n">
        <x:v>33082</x:v>
      </x:c>
      <x:c r="B4331" s="5" t="d">
        <x:v>2016-04-27T00:00:00.000Z</x:v>
      </x:c>
      <x:c r="C4331" s="1" t="str">
        <x:v>Standard Class</x:v>
      </x:c>
      <x:c r="D4331" s="1" t="str">
        <x:v>USCA</x:v>
      </x:c>
      <x:c r="E4331" s="1" t="str">
        <x:v>COMPLETE</x:v>
      </x:c>
      <x:c r="F4331" s="1" t="str">
        <x:v>Advance shipping</x:v>
      </x:c>
      <x:c r="G4331" s="6" t="n">
        <x:v>3</x:v>
      </x:c>
      <x:c r="H4331" s="6" t="n">
        <x:v>4</x:v>
      </x:c>
      <x:c r="I4331" s="6" t="n">
        <x:f>G4331-H4331</x:f>
        <x:v>-1</x:v>
      </x:c>
      <x:c r="J4331" s="6" t="n">
        <x:f>IF(OR(E4331="CANCELED",E4331="SUSPECTED_FRAUD",F4331="Shipping canceled"),0,1)</x:f>
        <x:v>1</x:v>
      </x:c>
      <x:c r="K4331" s="6" t="n">
        <x:f>IF(G4331&gt;H4331,1,0)</x:f>
        <x:v>0</x:v>
      </x:c>
      <x:c r="L4331" s="6" t="n">
        <x:f>J4331*K4331</x:f>
        <x:v>0</x:v>
      </x:c>
    </x:row>
    <x:row r="4332">
      <x:c r="A4332" s="1" t="n">
        <x:v>33084</x:v>
      </x:c>
      <x:c r="B4332" s="5" t="d">
        <x:v>2016-04-27T00:00:00.000Z</x:v>
      </x:c>
      <x:c r="C4332" s="1" t="str">
        <x:v>Standard Class</x:v>
      </x:c>
      <x:c r="D4332" s="1" t="str">
        <x:v>USCA</x:v>
      </x:c>
      <x:c r="E4332" s="1" t="str">
        <x:v>COMPLETE</x:v>
      </x:c>
      <x:c r="F4332" s="1" t="str">
        <x:v>Late delivery</x:v>
      </x:c>
      <x:c r="G4332" s="6" t="n">
        <x:v>5</x:v>
      </x:c>
      <x:c r="H4332" s="6" t="n">
        <x:v>4</x:v>
      </x:c>
      <x:c r="I4332" s="6" t="n">
        <x:f>G4332-H4332</x:f>
        <x:v>1</x:v>
      </x:c>
      <x:c r="J4332" s="6" t="n">
        <x:f>IF(OR(E4332="CANCELED",E4332="SUSPECTED_FRAUD",F4332="Shipping canceled"),0,1)</x:f>
        <x:v>1</x:v>
      </x:c>
      <x:c r="K4332" s="6" t="n">
        <x:f>IF(G4332&gt;H4332,1,0)</x:f>
        <x:v>1</x:v>
      </x:c>
      <x:c r="L4332" s="6" t="n">
        <x:f>J4332*K4332</x:f>
        <x:v>1</x:v>
      </x:c>
    </x:row>
    <x:row r="4333">
      <x:c r="A4333" s="1" t="n">
        <x:v>33094</x:v>
      </x:c>
      <x:c r="B4333" s="5" t="d">
        <x:v>2016-04-28T00:00:00.000Z</x:v>
      </x:c>
      <x:c r="C4333" s="1" t="str">
        <x:v>Standard Class</x:v>
      </x:c>
      <x:c r="D4333" s="1" t="str">
        <x:v>USCA</x:v>
      </x:c>
      <x:c r="E4333" s="1" t="str">
        <x:v>COMPLETE</x:v>
      </x:c>
      <x:c r="F4333" s="1" t="str">
        <x:v>Late delivery</x:v>
      </x:c>
      <x:c r="G4333" s="6" t="n">
        <x:v>5</x:v>
      </x:c>
      <x:c r="H4333" s="6" t="n">
        <x:v>4</x:v>
      </x:c>
      <x:c r="I4333" s="6" t="n">
        <x:f>G4333-H4333</x:f>
        <x:v>1</x:v>
      </x:c>
      <x:c r="J4333" s="6" t="n">
        <x:f>IF(OR(E4333="CANCELED",E4333="SUSPECTED_FRAUD",F4333="Shipping canceled"),0,1)</x:f>
        <x:v>1</x:v>
      </x:c>
      <x:c r="K4333" s="6" t="n">
        <x:f>IF(G4333&gt;H4333,1,0)</x:f>
        <x:v>1</x:v>
      </x:c>
      <x:c r="L4333" s="6" t="n">
        <x:f>J4333*K4333</x:f>
        <x:v>1</x:v>
      </x:c>
    </x:row>
    <x:row r="4334">
      <x:c r="A4334" s="1" t="n">
        <x:v>33097</x:v>
      </x:c>
      <x:c r="B4334" s="5" t="d">
        <x:v>2016-04-28T00:00:00.000Z</x:v>
      </x:c>
      <x:c r="C4334" s="1" t="str">
        <x:v>First Class</x:v>
      </x:c>
      <x:c r="D4334" s="1" t="str">
        <x:v>USCA</x:v>
      </x:c>
      <x:c r="E4334" s="1" t="str">
        <x:v>CLOSED</x:v>
      </x:c>
      <x:c r="F4334" s="1" t="str">
        <x:v>Late delivery</x:v>
      </x:c>
      <x:c r="G4334" s="6" t="n">
        <x:v>2</x:v>
      </x:c>
      <x:c r="H4334" s="6" t="n">
        <x:v>1</x:v>
      </x:c>
      <x:c r="I4334" s="6" t="n">
        <x:f>G4334-H4334</x:f>
        <x:v>1</x:v>
      </x:c>
      <x:c r="J4334" s="6" t="n">
        <x:f>IF(OR(E4334="CANCELED",E4334="SUSPECTED_FRAUD",F4334="Shipping canceled"),0,1)</x:f>
        <x:v>1</x:v>
      </x:c>
      <x:c r="K4334" s="6" t="n">
        <x:f>IF(G4334&gt;H4334,1,0)</x:f>
        <x:v>1</x:v>
      </x:c>
      <x:c r="L4334" s="6" t="n">
        <x:f>J4334*K4334</x:f>
        <x:v>1</x:v>
      </x:c>
    </x:row>
    <x:row r="4335">
      <x:c r="A4335" s="1" t="n">
        <x:v>33102</x:v>
      </x:c>
      <x:c r="B4335" s="5" t="d">
        <x:v>2016-04-28T00:00:00.000Z</x:v>
      </x:c>
      <x:c r="C4335" s="1" t="str">
        <x:v>Second Class</x:v>
      </x:c>
      <x:c r="D4335" s="1" t="str">
        <x:v>USCA</x:v>
      </x:c>
      <x:c r="E4335" s="1" t="str">
        <x:v>CLOSED</x:v>
      </x:c>
      <x:c r="F4335" s="1" t="str">
        <x:v>Late delivery</x:v>
      </x:c>
      <x:c r="G4335" s="6" t="n">
        <x:v>3</x:v>
      </x:c>
      <x:c r="H4335" s="6" t="n">
        <x:v>2</x:v>
      </x:c>
      <x:c r="I4335" s="6" t="n">
        <x:f>G4335-H4335</x:f>
        <x:v>1</x:v>
      </x:c>
      <x:c r="J4335" s="6" t="n">
        <x:f>IF(OR(E4335="CANCELED",E4335="SUSPECTED_FRAUD",F4335="Shipping canceled"),0,1)</x:f>
        <x:v>1</x:v>
      </x:c>
      <x:c r="K4335" s="6" t="n">
        <x:f>IF(G4335&gt;H4335,1,0)</x:f>
        <x:v>1</x:v>
      </x:c>
      <x:c r="L4335" s="6" t="n">
        <x:f>J4335*K4335</x:f>
        <x:v>1</x:v>
      </x:c>
    </x:row>
    <x:row r="4336">
      <x:c r="A4336" s="1" t="n">
        <x:v>33115</x:v>
      </x:c>
      <x:c r="B4336" s="5" t="d">
        <x:v>2016-04-28T00:00:00.000Z</x:v>
      </x:c>
      <x:c r="C4336" s="1" t="str">
        <x:v>Standard Class</x:v>
      </x:c>
      <x:c r="D4336" s="1" t="str">
        <x:v>USCA</x:v>
      </x:c>
      <x:c r="E4336" s="1" t="str">
        <x:v>PENDING</x:v>
      </x:c>
      <x:c r="F4336" s="1" t="str">
        <x:v>Late delivery</x:v>
      </x:c>
      <x:c r="G4336" s="6" t="n">
        <x:v>6</x:v>
      </x:c>
      <x:c r="H4336" s="6" t="n">
        <x:v>4</x:v>
      </x:c>
      <x:c r="I4336" s="6" t="n">
        <x:f>G4336-H4336</x:f>
        <x:v>2</x:v>
      </x:c>
      <x:c r="J4336" s="6" t="n">
        <x:f>IF(OR(E4336="CANCELED",E4336="SUSPECTED_FRAUD",F4336="Shipping canceled"),0,1)</x:f>
        <x:v>1</x:v>
      </x:c>
      <x:c r="K4336" s="6" t="n">
        <x:f>IF(G4336&gt;H4336,1,0)</x:f>
        <x:v>1</x:v>
      </x:c>
      <x:c r="L4336" s="6" t="n">
        <x:f>J4336*K4336</x:f>
        <x:v>1</x:v>
      </x:c>
    </x:row>
    <x:row r="4337">
      <x:c r="A4337" s="1" t="n">
        <x:v>33121</x:v>
      </x:c>
      <x:c r="B4337" s="5" t="d">
        <x:v>2016-04-28T00:00:00.000Z</x:v>
      </x:c>
      <x:c r="C4337" s="1" t="str">
        <x:v>Standard Class</x:v>
      </x:c>
      <x:c r="D4337" s="1" t="str">
        <x:v>USCA</x:v>
      </x:c>
      <x:c r="E4337" s="1" t="str">
        <x:v>SUSPECTED_FRAUD</x:v>
      </x:c>
      <x:c r="F4337" s="1" t="str">
        <x:v>Shipping canceled</x:v>
      </x:c>
      <x:c r="G4337" s="6" t="n">
        <x:v>2</x:v>
      </x:c>
      <x:c r="H4337" s="6" t="n">
        <x:v>4</x:v>
      </x:c>
      <x:c r="I4337" s="6" t="n">
        <x:f>G4337-H4337</x:f>
        <x:v>-2</x:v>
      </x:c>
      <x:c r="J4337" s="6" t="n">
        <x:f>IF(OR(E4337="CANCELED",E4337="SUSPECTED_FRAUD",F4337="Shipping canceled"),0,1)</x:f>
        <x:v>0</x:v>
      </x:c>
      <x:c r="K4337" s="6" t="n">
        <x:f>IF(G4337&gt;H4337,1,0)</x:f>
        <x:v>0</x:v>
      </x:c>
      <x:c r="L4337" s="6" t="n">
        <x:f>J4337*K4337</x:f>
        <x:v>0</x:v>
      </x:c>
    </x:row>
    <x:row r="4338">
      <x:c r="A4338" s="1" t="n">
        <x:v>33124</x:v>
      </x:c>
      <x:c r="B4338" s="5" t="d">
        <x:v>2016-04-28T00:00:00.000Z</x:v>
      </x:c>
      <x:c r="C4338" s="1" t="str">
        <x:v>Same Day</x:v>
      </x:c>
      <x:c r="D4338" s="1" t="str">
        <x:v>USCA</x:v>
      </x:c>
      <x:c r="E4338" s="1" t="str">
        <x:v>CLOSED</x:v>
      </x:c>
      <x:c r="F4338" s="1" t="str">
        <x:v>Late delivery</x:v>
      </x:c>
      <x:c r="G4338" s="6" t="n">
        <x:v>1</x:v>
      </x:c>
      <x:c r="H4338" s="6" t="n">
        <x:v>0</x:v>
      </x:c>
      <x:c r="I4338" s="6" t="n">
        <x:f>G4338-H4338</x:f>
        <x:v>1</x:v>
      </x:c>
      <x:c r="J4338" s="6" t="n">
        <x:f>IF(OR(E4338="CANCELED",E4338="SUSPECTED_FRAUD",F4338="Shipping canceled"),0,1)</x:f>
        <x:v>1</x:v>
      </x:c>
      <x:c r="K4338" s="6" t="n">
        <x:f>IF(G4338&gt;H4338,1,0)</x:f>
        <x:v>1</x:v>
      </x:c>
      <x:c r="L4338" s="6" t="n">
        <x:f>J4338*K4338</x:f>
        <x:v>1</x:v>
      </x:c>
    </x:row>
    <x:row r="4339">
      <x:c r="A4339" s="1" t="n">
        <x:v>33131</x:v>
      </x:c>
      <x:c r="B4339" s="5" t="d">
        <x:v>2016-04-28T00:00:00.000Z</x:v>
      </x:c>
      <x:c r="C4339" s="1" t="str">
        <x:v>Second Class</x:v>
      </x:c>
      <x:c r="D4339" s="1" t="str">
        <x:v>USCA</x:v>
      </x:c>
      <x:c r="E4339" s="1" t="str">
        <x:v>SUSPECTED_FRAUD</x:v>
      </x:c>
      <x:c r="F4339" s="1" t="str">
        <x:v>Shipping canceled</x:v>
      </x:c>
      <x:c r="G4339" s="6" t="n">
        <x:v>2</x:v>
      </x:c>
      <x:c r="H4339" s="6" t="n">
        <x:v>2</x:v>
      </x:c>
      <x:c r="I4339" s="6" t="n">
        <x:f>G4339-H4339</x:f>
        <x:v>0</x:v>
      </x:c>
      <x:c r="J4339" s="6" t="n">
        <x:f>IF(OR(E4339="CANCELED",E4339="SUSPECTED_FRAUD",F4339="Shipping canceled"),0,1)</x:f>
        <x:v>0</x:v>
      </x:c>
      <x:c r="K4339" s="6" t="n">
        <x:f>IF(G4339&gt;H4339,1,0)</x:f>
        <x:v>0</x:v>
      </x:c>
      <x:c r="L4339" s="6" t="n">
        <x:f>J4339*K4339</x:f>
        <x:v>0</x:v>
      </x:c>
    </x:row>
    <x:row r="4340">
      <x:c r="A4340" s="1" t="n">
        <x:v>33137</x:v>
      </x:c>
      <x:c r="B4340" s="5" t="d">
        <x:v>2016-04-28T00:00:00.000Z</x:v>
      </x:c>
      <x:c r="C4340" s="1" t="str">
        <x:v>Standard Class</x:v>
      </x:c>
      <x:c r="D4340" s="1" t="str">
        <x:v>USCA</x:v>
      </x:c>
      <x:c r="E4340" s="1" t="str">
        <x:v>COMPLETE</x:v>
      </x:c>
      <x:c r="F4340" s="1" t="str">
        <x:v>Advance shipping</x:v>
      </x:c>
      <x:c r="G4340" s="6" t="n">
        <x:v>3</x:v>
      </x:c>
      <x:c r="H4340" s="6" t="n">
        <x:v>4</x:v>
      </x:c>
      <x:c r="I4340" s="6" t="n">
        <x:f>G4340-H4340</x:f>
        <x:v>-1</x:v>
      </x:c>
      <x:c r="J4340" s="6" t="n">
        <x:f>IF(OR(E4340="CANCELED",E4340="SUSPECTED_FRAUD",F4340="Shipping canceled"),0,1)</x:f>
        <x:v>1</x:v>
      </x:c>
      <x:c r="K4340" s="6" t="n">
        <x:f>IF(G4340&gt;H4340,1,0)</x:f>
        <x:v>0</x:v>
      </x:c>
      <x:c r="L4340" s="6" t="n">
        <x:f>J4340*K4340</x:f>
        <x:v>0</x:v>
      </x:c>
    </x:row>
    <x:row r="4341">
      <x:c r="A4341" s="1" t="n">
        <x:v>33163</x:v>
      </x:c>
      <x:c r="B4341" s="5" t="d">
        <x:v>2016-04-29T00:00:00.000Z</x:v>
      </x:c>
      <x:c r="C4341" s="1" t="str">
        <x:v>Standard Class</x:v>
      </x:c>
      <x:c r="D4341" s="1" t="str">
        <x:v>USCA</x:v>
      </x:c>
      <x:c r="E4341" s="1" t="str">
        <x:v>COMPLETE</x:v>
      </x:c>
      <x:c r="F4341" s="1" t="str">
        <x:v>Shipping on time</x:v>
      </x:c>
      <x:c r="G4341" s="6" t="n">
        <x:v>4</x:v>
      </x:c>
      <x:c r="H4341" s="6" t="n">
        <x:v>4</x:v>
      </x:c>
      <x:c r="I4341" s="6" t="n">
        <x:f>G4341-H4341</x:f>
        <x:v>0</x:v>
      </x:c>
      <x:c r="J4341" s="6" t="n">
        <x:f>IF(OR(E4341="CANCELED",E4341="SUSPECTED_FRAUD",F4341="Shipping canceled"),0,1)</x:f>
        <x:v>1</x:v>
      </x:c>
      <x:c r="K4341" s="6" t="n">
        <x:f>IF(G4341&gt;H4341,1,0)</x:f>
        <x:v>0</x:v>
      </x:c>
      <x:c r="L4341" s="6" t="n">
        <x:f>J4341*K4341</x:f>
        <x:v>0</x:v>
      </x:c>
    </x:row>
    <x:row r="4342">
      <x:c r="A4342" s="1" t="n">
        <x:v>33165</x:v>
      </x:c>
      <x:c r="B4342" s="5" t="d">
        <x:v>2016-04-29T00:00:00.000Z</x:v>
      </x:c>
      <x:c r="C4342" s="1" t="str">
        <x:v>Standard Class</x:v>
      </x:c>
      <x:c r="D4342" s="1" t="str">
        <x:v>USCA</x:v>
      </x:c>
      <x:c r="E4342" s="1" t="str">
        <x:v>COMPLETE</x:v>
      </x:c>
      <x:c r="F4342" s="1" t="str">
        <x:v>Late delivery</x:v>
      </x:c>
      <x:c r="G4342" s="6" t="n">
        <x:v>6</x:v>
      </x:c>
      <x:c r="H4342" s="6" t="n">
        <x:v>4</x:v>
      </x:c>
      <x:c r="I4342" s="6" t="n">
        <x:f>G4342-H4342</x:f>
        <x:v>2</x:v>
      </x:c>
      <x:c r="J4342" s="6" t="n">
        <x:f>IF(OR(E4342="CANCELED",E4342="SUSPECTED_FRAUD",F4342="Shipping canceled"),0,1)</x:f>
        <x:v>1</x:v>
      </x:c>
      <x:c r="K4342" s="6" t="n">
        <x:f>IF(G4342&gt;H4342,1,0)</x:f>
        <x:v>1</x:v>
      </x:c>
      <x:c r="L4342" s="6" t="n">
        <x:f>J4342*K4342</x:f>
        <x:v>1</x:v>
      </x:c>
    </x:row>
    <x:row r="4343">
      <x:c r="A4343" s="1" t="n">
        <x:v>33169</x:v>
      </x:c>
      <x:c r="B4343" s="5" t="d">
        <x:v>2016-04-29T00:00:00.000Z</x:v>
      </x:c>
      <x:c r="C4343" s="1" t="str">
        <x:v>First Class</x:v>
      </x:c>
      <x:c r="D4343" s="1" t="str">
        <x:v>USCA</x:v>
      </x:c>
      <x:c r="E4343" s="1" t="str">
        <x:v>PROCESSING</x:v>
      </x:c>
      <x:c r="F4343" s="1" t="str">
        <x:v>Late delivery</x:v>
      </x:c>
      <x:c r="G4343" s="6" t="n">
        <x:v>2</x:v>
      </x:c>
      <x:c r="H4343" s="6" t="n">
        <x:v>1</x:v>
      </x:c>
      <x:c r="I4343" s="6" t="n">
        <x:f>G4343-H4343</x:f>
        <x:v>1</x:v>
      </x:c>
      <x:c r="J4343" s="6" t="n">
        <x:f>IF(OR(E4343="CANCELED",E4343="SUSPECTED_FRAUD",F4343="Shipping canceled"),0,1)</x:f>
        <x:v>1</x:v>
      </x:c>
      <x:c r="K4343" s="6" t="n">
        <x:f>IF(G4343&gt;H4343,1,0)</x:f>
        <x:v>1</x:v>
      </x:c>
      <x:c r="L4343" s="6" t="n">
        <x:f>J4343*K4343</x:f>
        <x:v>1</x:v>
      </x:c>
    </x:row>
    <x:row r="4344">
      <x:c r="A4344" s="1" t="n">
        <x:v>33170</x:v>
      </x:c>
      <x:c r="B4344" s="5" t="d">
        <x:v>2016-04-29T00:00:00.000Z</x:v>
      </x:c>
      <x:c r="C4344" s="1" t="str">
        <x:v>Second Class</x:v>
      </x:c>
      <x:c r="D4344" s="1" t="str">
        <x:v>USCA</x:v>
      </x:c>
      <x:c r="E4344" s="1" t="str">
        <x:v>COMPLETE</x:v>
      </x:c>
      <x:c r="F4344" s="1" t="str">
        <x:v>Late delivery</x:v>
      </x:c>
      <x:c r="G4344" s="6" t="n">
        <x:v>6</x:v>
      </x:c>
      <x:c r="H4344" s="6" t="n">
        <x:v>2</x:v>
      </x:c>
      <x:c r="I4344" s="6" t="n">
        <x:f>G4344-H4344</x:f>
        <x:v>4</x:v>
      </x:c>
      <x:c r="J4344" s="6" t="n">
        <x:f>IF(OR(E4344="CANCELED",E4344="SUSPECTED_FRAUD",F4344="Shipping canceled"),0,1)</x:f>
        <x:v>1</x:v>
      </x:c>
      <x:c r="K4344" s="6" t="n">
        <x:f>IF(G4344&gt;H4344,1,0)</x:f>
        <x:v>1</x:v>
      </x:c>
      <x:c r="L4344" s="6" t="n">
        <x:f>J4344*K4344</x:f>
        <x:v>1</x:v>
      </x:c>
    </x:row>
    <x:row r="4345">
      <x:c r="A4345" s="1" t="n">
        <x:v>33182</x:v>
      </x:c>
      <x:c r="B4345" s="5" t="d">
        <x:v>2016-04-29T00:00:00.000Z</x:v>
      </x:c>
      <x:c r="C4345" s="1" t="str">
        <x:v>Standard Class</x:v>
      </x:c>
      <x:c r="D4345" s="1" t="str">
        <x:v>USCA</x:v>
      </x:c>
      <x:c r="E4345" s="1" t="str">
        <x:v>COMPLETE</x:v>
      </x:c>
      <x:c r="F4345" s="1" t="str">
        <x:v>Advance shipping</x:v>
      </x:c>
      <x:c r="G4345" s="6" t="n">
        <x:v>3</x:v>
      </x:c>
      <x:c r="H4345" s="6" t="n">
        <x:v>4</x:v>
      </x:c>
      <x:c r="I4345" s="6" t="n">
        <x:f>G4345-H4345</x:f>
        <x:v>-1</x:v>
      </x:c>
      <x:c r="J4345" s="6" t="n">
        <x:f>IF(OR(E4345="CANCELED",E4345="SUSPECTED_FRAUD",F4345="Shipping canceled"),0,1)</x:f>
        <x:v>1</x:v>
      </x:c>
      <x:c r="K4345" s="6" t="n">
        <x:f>IF(G4345&gt;H4345,1,0)</x:f>
        <x:v>0</x:v>
      </x:c>
      <x:c r="L4345" s="6" t="n">
        <x:f>J4345*K4345</x:f>
        <x:v>0</x:v>
      </x:c>
    </x:row>
    <x:row r="4346">
      <x:c r="A4346" s="1" t="n">
        <x:v>33199</x:v>
      </x:c>
      <x:c r="B4346" s="5" t="d">
        <x:v>2016-04-29T00:00:00.000Z</x:v>
      </x:c>
      <x:c r="C4346" s="1" t="str">
        <x:v>Standard Class</x:v>
      </x:c>
      <x:c r="D4346" s="1" t="str">
        <x:v>USCA</x:v>
      </x:c>
      <x:c r="E4346" s="1" t="str">
        <x:v>COMPLETE</x:v>
      </x:c>
      <x:c r="F4346" s="1" t="str">
        <x:v>Late delivery</x:v>
      </x:c>
      <x:c r="G4346" s="6" t="n">
        <x:v>5</x:v>
      </x:c>
      <x:c r="H4346" s="6" t="n">
        <x:v>4</x:v>
      </x:c>
      <x:c r="I4346" s="6" t="n">
        <x:f>G4346-H4346</x:f>
        <x:v>1</x:v>
      </x:c>
      <x:c r="J4346" s="6" t="n">
        <x:f>IF(OR(E4346="CANCELED",E4346="SUSPECTED_FRAUD",F4346="Shipping canceled"),0,1)</x:f>
        <x:v>1</x:v>
      </x:c>
      <x:c r="K4346" s="6" t="n">
        <x:f>IF(G4346&gt;H4346,1,0)</x:f>
        <x:v>1</x:v>
      </x:c>
      <x:c r="L4346" s="6" t="n">
        <x:f>J4346*K4346</x:f>
        <x:v>1</x:v>
      </x:c>
    </x:row>
    <x:row r="4347">
      <x:c r="A4347" s="1" t="n">
        <x:v>33205</x:v>
      </x:c>
      <x:c r="B4347" s="5" t="d">
        <x:v>2016-04-29T00:00:00.000Z</x:v>
      </x:c>
      <x:c r="C4347" s="1" t="str">
        <x:v>Standard Class</x:v>
      </x:c>
      <x:c r="D4347" s="1" t="str">
        <x:v>USCA</x:v>
      </x:c>
      <x:c r="E4347" s="1" t="str">
        <x:v>PENDING_PAYMENT</x:v>
      </x:c>
      <x:c r="F4347" s="1" t="str">
        <x:v>Late delivery</x:v>
      </x:c>
      <x:c r="G4347" s="6" t="n">
        <x:v>6</x:v>
      </x:c>
      <x:c r="H4347" s="6" t="n">
        <x:v>4</x:v>
      </x:c>
      <x:c r="I4347" s="6" t="n">
        <x:f>G4347-H4347</x:f>
        <x:v>2</x:v>
      </x:c>
      <x:c r="J4347" s="6" t="n">
        <x:f>IF(OR(E4347="CANCELED",E4347="SUSPECTED_FRAUD",F4347="Shipping canceled"),0,1)</x:f>
        <x:v>1</x:v>
      </x:c>
      <x:c r="K4347" s="6" t="n">
        <x:f>IF(G4347&gt;H4347,1,0)</x:f>
        <x:v>1</x:v>
      </x:c>
      <x:c r="L4347" s="6" t="n">
        <x:f>J4347*K4347</x:f>
        <x:v>1</x:v>
      </x:c>
    </x:row>
    <x:row r="4348">
      <x:c r="A4348" s="1" t="n">
        <x:v>33207</x:v>
      </x:c>
      <x:c r="B4348" s="5" t="d">
        <x:v>2016-04-29T00:00:00.000Z</x:v>
      </x:c>
      <x:c r="C4348" s="1" t="str">
        <x:v>Standard Class</x:v>
      </x:c>
      <x:c r="D4348" s="1" t="str">
        <x:v>USCA</x:v>
      </x:c>
      <x:c r="E4348" s="1" t="str">
        <x:v>COMPLETE</x:v>
      </x:c>
      <x:c r="F4348" s="1" t="str">
        <x:v>Advance shipping</x:v>
      </x:c>
      <x:c r="G4348" s="6" t="n">
        <x:v>3</x:v>
      </x:c>
      <x:c r="H4348" s="6" t="n">
        <x:v>4</x:v>
      </x:c>
      <x:c r="I4348" s="6" t="n">
        <x:f>G4348-H4348</x:f>
        <x:v>-1</x:v>
      </x:c>
      <x:c r="J4348" s="6" t="n">
        <x:f>IF(OR(E4348="CANCELED",E4348="SUSPECTED_FRAUD",F4348="Shipping canceled"),0,1)</x:f>
        <x:v>1</x:v>
      </x:c>
      <x:c r="K4348" s="6" t="n">
        <x:f>IF(G4348&gt;H4348,1,0)</x:f>
        <x:v>0</x:v>
      </x:c>
      <x:c r="L4348" s="6" t="n">
        <x:f>J4348*K4348</x:f>
        <x:v>0</x:v>
      </x:c>
    </x:row>
    <x:row r="4349">
      <x:c r="A4349" s="1" t="n">
        <x:v>33215</x:v>
      </x:c>
      <x:c r="B4349" s="5" t="d">
        <x:v>2016-04-29T00:00:00.000Z</x:v>
      </x:c>
      <x:c r="C4349" s="1" t="str">
        <x:v>Second Class</x:v>
      </x:c>
      <x:c r="D4349" s="1" t="str">
        <x:v>USCA</x:v>
      </x:c>
      <x:c r="E4349" s="1" t="str">
        <x:v>COMPLETE</x:v>
      </x:c>
      <x:c r="F4349" s="1" t="str">
        <x:v>Late delivery</x:v>
      </x:c>
      <x:c r="G4349" s="6" t="n">
        <x:v>6</x:v>
      </x:c>
      <x:c r="H4349" s="6" t="n">
        <x:v>2</x:v>
      </x:c>
      <x:c r="I4349" s="6" t="n">
        <x:f>G4349-H4349</x:f>
        <x:v>4</x:v>
      </x:c>
      <x:c r="J4349" s="6" t="n">
        <x:f>IF(OR(E4349="CANCELED",E4349="SUSPECTED_FRAUD",F4349="Shipping canceled"),0,1)</x:f>
        <x:v>1</x:v>
      </x:c>
      <x:c r="K4349" s="6" t="n">
        <x:f>IF(G4349&gt;H4349,1,0)</x:f>
        <x:v>1</x:v>
      </x:c>
      <x:c r="L4349" s="6" t="n">
        <x:f>J4349*K4349</x:f>
        <x:v>1</x:v>
      </x:c>
    </x:row>
    <x:row r="4350">
      <x:c r="A4350" s="1" t="n">
        <x:v>33222</x:v>
      </x:c>
      <x:c r="B4350" s="5" t="d">
        <x:v>2016-04-29T00:00:00.000Z</x:v>
      </x:c>
      <x:c r="C4350" s="1" t="str">
        <x:v>Standard Class</x:v>
      </x:c>
      <x:c r="D4350" s="1" t="str">
        <x:v>USCA</x:v>
      </x:c>
      <x:c r="E4350" s="1" t="str">
        <x:v>COMPLETE</x:v>
      </x:c>
      <x:c r="F4350" s="1" t="str">
        <x:v>Advance shipping</x:v>
      </x:c>
      <x:c r="G4350" s="6" t="n">
        <x:v>3</x:v>
      </x:c>
      <x:c r="H4350" s="6" t="n">
        <x:v>4</x:v>
      </x:c>
      <x:c r="I4350" s="6" t="n">
        <x:f>G4350-H4350</x:f>
        <x:v>-1</x:v>
      </x:c>
      <x:c r="J4350" s="6" t="n">
        <x:f>IF(OR(E4350="CANCELED",E4350="SUSPECTED_FRAUD",F4350="Shipping canceled"),0,1)</x:f>
        <x:v>1</x:v>
      </x:c>
      <x:c r="K4350" s="6" t="n">
        <x:f>IF(G4350&gt;H4350,1,0)</x:f>
        <x:v>0</x:v>
      </x:c>
      <x:c r="L4350" s="6" t="n">
        <x:f>J4350*K4350</x:f>
        <x:v>0</x:v>
      </x:c>
    </x:row>
    <x:row r="4351">
      <x:c r="A4351" s="1" t="n">
        <x:v>33233</x:v>
      </x:c>
      <x:c r="B4351" s="5" t="d">
        <x:v>2016-04-30T00:00:00.000Z</x:v>
      </x:c>
      <x:c r="C4351" s="1" t="str">
        <x:v>Standard Class</x:v>
      </x:c>
      <x:c r="D4351" s="1" t="str">
        <x:v>USCA</x:v>
      </x:c>
      <x:c r="E4351" s="1" t="str">
        <x:v>PAYMENT_REVIEW</x:v>
      </x:c>
      <x:c r="F4351" s="1" t="str">
        <x:v>Shipping on time</x:v>
      </x:c>
      <x:c r="G4351" s="6" t="n">
        <x:v>4</x:v>
      </x:c>
      <x:c r="H4351" s="6" t="n">
        <x:v>4</x:v>
      </x:c>
      <x:c r="I4351" s="6" t="n">
        <x:f>G4351-H4351</x:f>
        <x:v>0</x:v>
      </x:c>
      <x:c r="J4351" s="6" t="n">
        <x:f>IF(OR(E4351="CANCELED",E4351="SUSPECTED_FRAUD",F4351="Shipping canceled"),0,1)</x:f>
        <x:v>1</x:v>
      </x:c>
      <x:c r="K4351" s="6" t="n">
        <x:f>IF(G4351&gt;H4351,1,0)</x:f>
        <x:v>0</x:v>
      </x:c>
      <x:c r="L4351" s="6" t="n">
        <x:f>J4351*K4351</x:f>
        <x:v>0</x:v>
      </x:c>
    </x:row>
    <x:row r="4352">
      <x:c r="A4352" s="1" t="n">
        <x:v>33238</x:v>
      </x:c>
      <x:c r="B4352" s="5" t="d">
        <x:v>2016-04-30T00:00:00.000Z</x:v>
      </x:c>
      <x:c r="C4352" s="1" t="str">
        <x:v>Standard Class</x:v>
      </x:c>
      <x:c r="D4352" s="1" t="str">
        <x:v>USCA</x:v>
      </x:c>
      <x:c r="E4352" s="1" t="str">
        <x:v>PROCESSING</x:v>
      </x:c>
      <x:c r="F4352" s="1" t="str">
        <x:v>Shipping on time</x:v>
      </x:c>
      <x:c r="G4352" s="6" t="n">
        <x:v>4</x:v>
      </x:c>
      <x:c r="H4352" s="6" t="n">
        <x:v>4</x:v>
      </x:c>
      <x:c r="I4352" s="6" t="n">
        <x:f>G4352-H4352</x:f>
        <x:v>0</x:v>
      </x:c>
      <x:c r="J4352" s="6" t="n">
        <x:f>IF(OR(E4352="CANCELED",E4352="SUSPECTED_FRAUD",F4352="Shipping canceled"),0,1)</x:f>
        <x:v>1</x:v>
      </x:c>
      <x:c r="K4352" s="6" t="n">
        <x:f>IF(G4352&gt;H4352,1,0)</x:f>
        <x:v>0</x:v>
      </x:c>
      <x:c r="L4352" s="6" t="n">
        <x:f>J4352*K4352</x:f>
        <x:v>0</x:v>
      </x:c>
    </x:row>
    <x:row r="4353">
      <x:c r="A4353" s="1" t="n">
        <x:v>33239</x:v>
      </x:c>
      <x:c r="B4353" s="5" t="d">
        <x:v>2016-04-30T00:00:00.000Z</x:v>
      </x:c>
      <x:c r="C4353" s="1" t="str">
        <x:v>Standard Class</x:v>
      </x:c>
      <x:c r="D4353" s="1" t="str">
        <x:v>USCA</x:v>
      </x:c>
      <x:c r="E4353" s="1" t="str">
        <x:v>COMPLETE</x:v>
      </x:c>
      <x:c r="F4353" s="1" t="str">
        <x:v>Late delivery</x:v>
      </x:c>
      <x:c r="G4353" s="6" t="n">
        <x:v>5</x:v>
      </x:c>
      <x:c r="H4353" s="6" t="n">
        <x:v>4</x:v>
      </x:c>
      <x:c r="I4353" s="6" t="n">
        <x:f>G4353-H4353</x:f>
        <x:v>1</x:v>
      </x:c>
      <x:c r="J4353" s="6" t="n">
        <x:f>IF(OR(E4353="CANCELED",E4353="SUSPECTED_FRAUD",F4353="Shipping canceled"),0,1)</x:f>
        <x:v>1</x:v>
      </x:c>
      <x:c r="K4353" s="6" t="n">
        <x:f>IF(G4353&gt;H4353,1,0)</x:f>
        <x:v>1</x:v>
      </x:c>
      <x:c r="L4353" s="6" t="n">
        <x:f>J4353*K4353</x:f>
        <x:v>1</x:v>
      </x:c>
    </x:row>
    <x:row r="4354">
      <x:c r="A4354" s="1" t="n">
        <x:v>33241</x:v>
      </x:c>
      <x:c r="B4354" s="5" t="d">
        <x:v>2016-04-30T00:00:00.000Z</x:v>
      </x:c>
      <x:c r="C4354" s="1" t="str">
        <x:v>Standard Class</x:v>
      </x:c>
      <x:c r="D4354" s="1" t="str">
        <x:v>USCA</x:v>
      </x:c>
      <x:c r="E4354" s="1" t="str">
        <x:v>PROCESSING</x:v>
      </x:c>
      <x:c r="F4354" s="1" t="str">
        <x:v>Advance shipping</x:v>
      </x:c>
      <x:c r="G4354" s="6" t="n">
        <x:v>2</x:v>
      </x:c>
      <x:c r="H4354" s="6" t="n">
        <x:v>4</x:v>
      </x:c>
      <x:c r="I4354" s="6" t="n">
        <x:f>G4354-H4354</x:f>
        <x:v>-2</x:v>
      </x:c>
      <x:c r="J4354" s="6" t="n">
        <x:f>IF(OR(E4354="CANCELED",E4354="SUSPECTED_FRAUD",F4354="Shipping canceled"),0,1)</x:f>
        <x:v>1</x:v>
      </x:c>
      <x:c r="K4354" s="6" t="n">
        <x:f>IF(G4354&gt;H4354,1,0)</x:f>
        <x:v>0</x:v>
      </x:c>
      <x:c r="L4354" s="6" t="n">
        <x:f>J4354*K4354</x:f>
        <x:v>0</x:v>
      </x:c>
    </x:row>
    <x:row r="4355">
      <x:c r="A4355" s="1" t="n">
        <x:v>33262</x:v>
      </x:c>
      <x:c r="B4355" s="5" t="d">
        <x:v>2016-04-30T00:00:00.000Z</x:v>
      </x:c>
      <x:c r="C4355" s="1" t="str">
        <x:v>Standard Class</x:v>
      </x:c>
      <x:c r="D4355" s="1" t="str">
        <x:v>USCA</x:v>
      </x:c>
      <x:c r="E4355" s="1" t="str">
        <x:v>COMPLETE</x:v>
      </x:c>
      <x:c r="F4355" s="1" t="str">
        <x:v>Advance shipping</x:v>
      </x:c>
      <x:c r="G4355" s="6" t="n">
        <x:v>3</x:v>
      </x:c>
      <x:c r="H4355" s="6" t="n">
        <x:v>4</x:v>
      </x:c>
      <x:c r="I4355" s="6" t="n">
        <x:f>G4355-H4355</x:f>
        <x:v>-1</x:v>
      </x:c>
      <x:c r="J4355" s="6" t="n">
        <x:f>IF(OR(E4355="CANCELED",E4355="SUSPECTED_FRAUD",F4355="Shipping canceled"),0,1)</x:f>
        <x:v>1</x:v>
      </x:c>
      <x:c r="K4355" s="6" t="n">
        <x:f>IF(G4355&gt;H4355,1,0)</x:f>
        <x:v>0</x:v>
      </x:c>
      <x:c r="L4355" s="6" t="n">
        <x:f>J4355*K4355</x:f>
        <x:v>0</x:v>
      </x:c>
    </x:row>
    <x:row r="4356">
      <x:c r="A4356" s="1" t="n">
        <x:v>33263</x:v>
      </x:c>
      <x:c r="B4356" s="5" t="d">
        <x:v>2016-04-30T00:00:00.000Z</x:v>
      </x:c>
      <x:c r="C4356" s="1" t="str">
        <x:v>Standard Class</x:v>
      </x:c>
      <x:c r="D4356" s="1" t="str">
        <x:v>USCA</x:v>
      </x:c>
      <x:c r="E4356" s="1" t="str">
        <x:v>PENDING</x:v>
      </x:c>
      <x:c r="F4356" s="1" t="str">
        <x:v>Shipping on time</x:v>
      </x:c>
      <x:c r="G4356" s="6" t="n">
        <x:v>4</x:v>
      </x:c>
      <x:c r="H4356" s="6" t="n">
        <x:v>4</x:v>
      </x:c>
      <x:c r="I4356" s="6" t="n">
        <x:f>G4356-H4356</x:f>
        <x:v>0</x:v>
      </x:c>
      <x:c r="J4356" s="6" t="n">
        <x:f>IF(OR(E4356="CANCELED",E4356="SUSPECTED_FRAUD",F4356="Shipping canceled"),0,1)</x:f>
        <x:v>1</x:v>
      </x:c>
      <x:c r="K4356" s="6" t="n">
        <x:f>IF(G4356&gt;H4356,1,0)</x:f>
        <x:v>0</x:v>
      </x:c>
      <x:c r="L4356" s="6" t="n">
        <x:f>J4356*K4356</x:f>
        <x:v>0</x:v>
      </x:c>
    </x:row>
    <x:row r="4357">
      <x:c r="A4357" s="1" t="n">
        <x:v>33274</x:v>
      </x:c>
      <x:c r="B4357" s="5" t="d">
        <x:v>2016-04-30T00:00:00.000Z</x:v>
      </x:c>
      <x:c r="C4357" s="1" t="str">
        <x:v>Standard Class</x:v>
      </x:c>
      <x:c r="D4357" s="1" t="str">
        <x:v>USCA</x:v>
      </x:c>
      <x:c r="E4357" s="1" t="str">
        <x:v>COMPLETE</x:v>
      </x:c>
      <x:c r="F4357" s="1" t="str">
        <x:v>Late delivery</x:v>
      </x:c>
      <x:c r="G4357" s="6" t="n">
        <x:v>5</x:v>
      </x:c>
      <x:c r="H4357" s="6" t="n">
        <x:v>4</x:v>
      </x:c>
      <x:c r="I4357" s="6" t="n">
        <x:f>G4357-H4357</x:f>
        <x:v>1</x:v>
      </x:c>
      <x:c r="J4357" s="6" t="n">
        <x:f>IF(OR(E4357="CANCELED",E4357="SUSPECTED_FRAUD",F4357="Shipping canceled"),0,1)</x:f>
        <x:v>1</x:v>
      </x:c>
      <x:c r="K4357" s="6" t="n">
        <x:f>IF(G4357&gt;H4357,1,0)</x:f>
        <x:v>1</x:v>
      </x:c>
      <x:c r="L4357" s="6" t="n">
        <x:f>J4357*K4357</x:f>
        <x:v>1</x:v>
      </x:c>
    </x:row>
    <x:row r="4358">
      <x:c r="A4358" s="1" t="n">
        <x:v>33315</x:v>
      </x:c>
      <x:c r="B4358" s="5" t="d">
        <x:v>2016-05-01T00:00:00.000Z</x:v>
      </x:c>
      <x:c r="C4358" s="1" t="str">
        <x:v>Second Class</x:v>
      </x:c>
      <x:c r="D4358" s="1" t="str">
        <x:v>USCA</x:v>
      </x:c>
      <x:c r="E4358" s="1" t="str">
        <x:v>COMPLETE</x:v>
      </x:c>
      <x:c r="F4358" s="1" t="str">
        <x:v>Late delivery</x:v>
      </x:c>
      <x:c r="G4358" s="6" t="n">
        <x:v>6</x:v>
      </x:c>
      <x:c r="H4358" s="6" t="n">
        <x:v>2</x:v>
      </x:c>
      <x:c r="I4358" s="6" t="n">
        <x:f>G4358-H4358</x:f>
        <x:v>4</x:v>
      </x:c>
      <x:c r="J4358" s="6" t="n">
        <x:f>IF(OR(E4358="CANCELED",E4358="SUSPECTED_FRAUD",F4358="Shipping canceled"),0,1)</x:f>
        <x:v>1</x:v>
      </x:c>
      <x:c r="K4358" s="6" t="n">
        <x:f>IF(G4358&gt;H4358,1,0)</x:f>
        <x:v>1</x:v>
      </x:c>
      <x:c r="L4358" s="6" t="n">
        <x:f>J4358*K4358</x:f>
        <x:v>1</x:v>
      </x:c>
    </x:row>
    <x:row r="4359">
      <x:c r="A4359" s="1" t="n">
        <x:v>33325</x:v>
      </x:c>
      <x:c r="B4359" s="5" t="d">
        <x:v>2016-05-01T00:00:00.000Z</x:v>
      </x:c>
      <x:c r="C4359" s="1" t="str">
        <x:v>Second Class</x:v>
      </x:c>
      <x:c r="D4359" s="1" t="str">
        <x:v>USCA</x:v>
      </x:c>
      <x:c r="E4359" s="1" t="str">
        <x:v>COMPLETE</x:v>
      </x:c>
      <x:c r="F4359" s="1" t="str">
        <x:v>Late delivery</x:v>
      </x:c>
      <x:c r="G4359" s="6" t="n">
        <x:v>6</x:v>
      </x:c>
      <x:c r="H4359" s="6" t="n">
        <x:v>2</x:v>
      </x:c>
      <x:c r="I4359" s="6" t="n">
        <x:f>G4359-H4359</x:f>
        <x:v>4</x:v>
      </x:c>
      <x:c r="J4359" s="6" t="n">
        <x:f>IF(OR(E4359="CANCELED",E4359="SUSPECTED_FRAUD",F4359="Shipping canceled"),0,1)</x:f>
        <x:v>1</x:v>
      </x:c>
      <x:c r="K4359" s="6" t="n">
        <x:f>IF(G4359&gt;H4359,1,0)</x:f>
        <x:v>1</x:v>
      </x:c>
      <x:c r="L4359" s="6" t="n">
        <x:f>J4359*K4359</x:f>
        <x:v>1</x:v>
      </x:c>
    </x:row>
    <x:row r="4360">
      <x:c r="A4360" s="1" t="n">
        <x:v>33331</x:v>
      </x:c>
      <x:c r="B4360" s="5" t="d">
        <x:v>2016-05-01T00:00:00.000Z</x:v>
      </x:c>
      <x:c r="C4360" s="1" t="str">
        <x:v>Second Class</x:v>
      </x:c>
      <x:c r="D4360" s="1" t="str">
        <x:v>USCA</x:v>
      </x:c>
      <x:c r="E4360" s="1" t="str">
        <x:v>COMPLETE</x:v>
      </x:c>
      <x:c r="F4360" s="1" t="str">
        <x:v>Shipping on time</x:v>
      </x:c>
      <x:c r="G4360" s="6" t="n">
        <x:v>2</x:v>
      </x:c>
      <x:c r="H4360" s="6" t="n">
        <x:v>2</x:v>
      </x:c>
      <x:c r="I4360" s="6" t="n">
        <x:f>G4360-H4360</x:f>
        <x:v>0</x:v>
      </x:c>
      <x:c r="J4360" s="6" t="n">
        <x:f>IF(OR(E4360="CANCELED",E4360="SUSPECTED_FRAUD",F4360="Shipping canceled"),0,1)</x:f>
        <x:v>1</x:v>
      </x:c>
      <x:c r="K4360" s="6" t="n">
        <x:f>IF(G4360&gt;H4360,1,0)</x:f>
        <x:v>0</x:v>
      </x:c>
      <x:c r="L4360" s="6" t="n">
        <x:f>J4360*K4360</x:f>
        <x:v>0</x:v>
      </x:c>
    </x:row>
    <x:row r="4361">
      <x:c r="A4361" s="1" t="n">
        <x:v>33337</x:v>
      </x:c>
      <x:c r="B4361" s="5" t="d">
        <x:v>2016-05-01T00:00:00.000Z</x:v>
      </x:c>
      <x:c r="C4361" s="1" t="str">
        <x:v>First Class</x:v>
      </x:c>
      <x:c r="D4361" s="1" t="str">
        <x:v>USCA</x:v>
      </x:c>
      <x:c r="E4361" s="1" t="str">
        <x:v>CLOSED</x:v>
      </x:c>
      <x:c r="F4361" s="1" t="str">
        <x:v>Late delivery</x:v>
      </x:c>
      <x:c r="G4361" s="6" t="n">
        <x:v>2</x:v>
      </x:c>
      <x:c r="H4361" s="6" t="n">
        <x:v>1</x:v>
      </x:c>
      <x:c r="I4361" s="6" t="n">
        <x:f>G4361-H4361</x:f>
        <x:v>1</x:v>
      </x:c>
      <x:c r="J4361" s="6" t="n">
        <x:f>IF(OR(E4361="CANCELED",E4361="SUSPECTED_FRAUD",F4361="Shipping canceled"),0,1)</x:f>
        <x:v>1</x:v>
      </x:c>
      <x:c r="K4361" s="6" t="n">
        <x:f>IF(G4361&gt;H4361,1,0)</x:f>
        <x:v>1</x:v>
      </x:c>
      <x:c r="L4361" s="6" t="n">
        <x:f>J4361*K4361</x:f>
        <x:v>1</x:v>
      </x:c>
    </x:row>
    <x:row r="4362">
      <x:c r="A4362" s="1" t="n">
        <x:v>33353</x:v>
      </x:c>
      <x:c r="B4362" s="5" t="d">
        <x:v>2016-05-01T00:00:00.000Z</x:v>
      </x:c>
      <x:c r="C4362" s="1" t="str">
        <x:v>Second Class</x:v>
      </x:c>
      <x:c r="D4362" s="1" t="str">
        <x:v>USCA</x:v>
      </x:c>
      <x:c r="E4362" s="1" t="str">
        <x:v>COMPLETE</x:v>
      </x:c>
      <x:c r="F4362" s="1" t="str">
        <x:v>Late delivery</x:v>
      </x:c>
      <x:c r="G4362" s="6" t="n">
        <x:v>4</x:v>
      </x:c>
      <x:c r="H4362" s="6" t="n">
        <x:v>2</x:v>
      </x:c>
      <x:c r="I4362" s="6" t="n">
        <x:f>G4362-H4362</x:f>
        <x:v>2</x:v>
      </x:c>
      <x:c r="J4362" s="6" t="n">
        <x:f>IF(OR(E4362="CANCELED",E4362="SUSPECTED_FRAUD",F4362="Shipping canceled"),0,1)</x:f>
        <x:v>1</x:v>
      </x:c>
      <x:c r="K4362" s="6" t="n">
        <x:f>IF(G4362&gt;H4362,1,0)</x:f>
        <x:v>1</x:v>
      </x:c>
      <x:c r="L4362" s="6" t="n">
        <x:f>J4362*K4362</x:f>
        <x:v>1</x:v>
      </x:c>
    </x:row>
    <x:row r="4363">
      <x:c r="A4363" s="1" t="n">
        <x:v>33357</x:v>
      </x:c>
      <x:c r="B4363" s="5" t="d">
        <x:v>2016-05-01T00:00:00.000Z</x:v>
      </x:c>
      <x:c r="C4363" s="1" t="str">
        <x:v>Standard Class</x:v>
      </x:c>
      <x:c r="D4363" s="1" t="str">
        <x:v>USCA</x:v>
      </x:c>
      <x:c r="E4363" s="1" t="str">
        <x:v>PENDING</x:v>
      </x:c>
      <x:c r="F4363" s="1" t="str">
        <x:v>Advance shipping</x:v>
      </x:c>
      <x:c r="G4363" s="6" t="n">
        <x:v>3</x:v>
      </x:c>
      <x:c r="H4363" s="6" t="n">
        <x:v>4</x:v>
      </x:c>
      <x:c r="I4363" s="6" t="n">
        <x:f>G4363-H4363</x:f>
        <x:v>-1</x:v>
      </x:c>
      <x:c r="J4363" s="6" t="n">
        <x:f>IF(OR(E4363="CANCELED",E4363="SUSPECTED_FRAUD",F4363="Shipping canceled"),0,1)</x:f>
        <x:v>1</x:v>
      </x:c>
      <x:c r="K4363" s="6" t="n">
        <x:f>IF(G4363&gt;H4363,1,0)</x:f>
        <x:v>0</x:v>
      </x:c>
      <x:c r="L4363" s="6" t="n">
        <x:f>J4363*K4363</x:f>
        <x:v>0</x:v>
      </x:c>
    </x:row>
    <x:row r="4364">
      <x:c r="A4364" s="1" t="n">
        <x:v>33358</x:v>
      </x:c>
      <x:c r="B4364" s="5" t="d">
        <x:v>2016-05-01T00:00:00.000Z</x:v>
      </x:c>
      <x:c r="C4364" s="1" t="str">
        <x:v>Standard Class</x:v>
      </x:c>
      <x:c r="D4364" s="1" t="str">
        <x:v>USCA</x:v>
      </x:c>
      <x:c r="E4364" s="1" t="str">
        <x:v>COMPLETE</x:v>
      </x:c>
      <x:c r="F4364" s="1" t="str">
        <x:v>Shipping on time</x:v>
      </x:c>
      <x:c r="G4364" s="6" t="n">
        <x:v>4</x:v>
      </x:c>
      <x:c r="H4364" s="6" t="n">
        <x:v>4</x:v>
      </x:c>
      <x:c r="I4364" s="6" t="n">
        <x:f>G4364-H4364</x:f>
        <x:v>0</x:v>
      </x:c>
      <x:c r="J4364" s="6" t="n">
        <x:f>IF(OR(E4364="CANCELED",E4364="SUSPECTED_FRAUD",F4364="Shipping canceled"),0,1)</x:f>
        <x:v>1</x:v>
      </x:c>
      <x:c r="K4364" s="6" t="n">
        <x:f>IF(G4364&gt;H4364,1,0)</x:f>
        <x:v>0</x:v>
      </x:c>
      <x:c r="L4364" s="6" t="n">
        <x:f>J4364*K4364</x:f>
        <x:v>0</x:v>
      </x:c>
    </x:row>
    <x:row r="4365">
      <x:c r="A4365" s="1" t="n">
        <x:v>33360</x:v>
      </x:c>
      <x:c r="B4365" s="5" t="d">
        <x:v>2016-05-01T00:00:00.000Z</x:v>
      </x:c>
      <x:c r="C4365" s="1" t="str">
        <x:v>Standard Class</x:v>
      </x:c>
      <x:c r="D4365" s="1" t="str">
        <x:v>USCA</x:v>
      </x:c>
      <x:c r="E4365" s="1" t="str">
        <x:v>COMPLETE</x:v>
      </x:c>
      <x:c r="F4365" s="1" t="str">
        <x:v>Late delivery</x:v>
      </x:c>
      <x:c r="G4365" s="6" t="n">
        <x:v>6</x:v>
      </x:c>
      <x:c r="H4365" s="6" t="n">
        <x:v>4</x:v>
      </x:c>
      <x:c r="I4365" s="6" t="n">
        <x:f>G4365-H4365</x:f>
        <x:v>2</x:v>
      </x:c>
      <x:c r="J4365" s="6" t="n">
        <x:f>IF(OR(E4365="CANCELED",E4365="SUSPECTED_FRAUD",F4365="Shipping canceled"),0,1)</x:f>
        <x:v>1</x:v>
      </x:c>
      <x:c r="K4365" s="6" t="n">
        <x:f>IF(G4365&gt;H4365,1,0)</x:f>
        <x:v>1</x:v>
      </x:c>
      <x:c r="L4365" s="6" t="n">
        <x:f>J4365*K4365</x:f>
        <x:v>1</x:v>
      </x:c>
    </x:row>
    <x:row r="4366">
      <x:c r="A4366" s="1" t="n">
        <x:v>33361</x:v>
      </x:c>
      <x:c r="B4366" s="5" t="d">
        <x:v>2016-05-01T00:00:00.000Z</x:v>
      </x:c>
      <x:c r="C4366" s="1" t="str">
        <x:v>Second Class</x:v>
      </x:c>
      <x:c r="D4366" s="1" t="str">
        <x:v>USCA</x:v>
      </x:c>
      <x:c r="E4366" s="1" t="str">
        <x:v>COMPLETE</x:v>
      </x:c>
      <x:c r="F4366" s="1" t="str">
        <x:v>Shipping on time</x:v>
      </x:c>
      <x:c r="G4366" s="6" t="n">
        <x:v>2</x:v>
      </x:c>
      <x:c r="H4366" s="6" t="n">
        <x:v>2</x:v>
      </x:c>
      <x:c r="I4366" s="6" t="n">
        <x:f>G4366-H4366</x:f>
        <x:v>0</x:v>
      </x:c>
      <x:c r="J4366" s="6" t="n">
        <x:f>IF(OR(E4366="CANCELED",E4366="SUSPECTED_FRAUD",F4366="Shipping canceled"),0,1)</x:f>
        <x:v>1</x:v>
      </x:c>
      <x:c r="K4366" s="6" t="n">
        <x:f>IF(G4366&gt;H4366,1,0)</x:f>
        <x:v>0</x:v>
      </x:c>
      <x:c r="L4366" s="6" t="n">
        <x:f>J4366*K4366</x:f>
        <x:v>0</x:v>
      </x:c>
    </x:row>
    <x:row r="4367">
      <x:c r="A4367" s="1" t="n">
        <x:v>33374</x:v>
      </x:c>
      <x:c r="B4367" s="5" t="d">
        <x:v>2016-05-02T00:00:00.000Z</x:v>
      </x:c>
      <x:c r="C4367" s="1" t="str">
        <x:v>Standard Class</x:v>
      </x:c>
      <x:c r="D4367" s="1" t="str">
        <x:v>USCA</x:v>
      </x:c>
      <x:c r="E4367" s="1" t="str">
        <x:v>SUSPECTED_FRAUD</x:v>
      </x:c>
      <x:c r="F4367" s="1" t="str">
        <x:v>Shipping canceled</x:v>
      </x:c>
      <x:c r="G4367" s="6" t="n">
        <x:v>5</x:v>
      </x:c>
      <x:c r="H4367" s="6" t="n">
        <x:v>4</x:v>
      </x:c>
      <x:c r="I4367" s="6" t="n">
        <x:f>G4367-H4367</x:f>
        <x:v>1</x:v>
      </x:c>
      <x:c r="J4367" s="6" t="n">
        <x:f>IF(OR(E4367="CANCELED",E4367="SUSPECTED_FRAUD",F4367="Shipping canceled"),0,1)</x:f>
        <x:v>0</x:v>
      </x:c>
      <x:c r="K4367" s="6" t="n">
        <x:f>IF(G4367&gt;H4367,1,0)</x:f>
        <x:v>1</x:v>
      </x:c>
      <x:c r="L4367" s="6" t="n">
        <x:f>J4367*K4367</x:f>
        <x:v>0</x:v>
      </x:c>
    </x:row>
    <x:row r="4368">
      <x:c r="A4368" s="1" t="n">
        <x:v>33375</x:v>
      </x:c>
      <x:c r="B4368" s="5" t="d">
        <x:v>2016-05-02T00:00:00.000Z</x:v>
      </x:c>
      <x:c r="C4368" s="1" t="str">
        <x:v>Standard Class</x:v>
      </x:c>
      <x:c r="D4368" s="1" t="str">
        <x:v>USCA</x:v>
      </x:c>
      <x:c r="E4368" s="1" t="str">
        <x:v>COMPLETE</x:v>
      </x:c>
      <x:c r="F4368" s="1" t="str">
        <x:v>Late delivery</x:v>
      </x:c>
      <x:c r="G4368" s="6" t="n">
        <x:v>6</x:v>
      </x:c>
      <x:c r="H4368" s="6" t="n">
        <x:v>4</x:v>
      </x:c>
      <x:c r="I4368" s="6" t="n">
        <x:f>G4368-H4368</x:f>
        <x:v>2</x:v>
      </x:c>
      <x:c r="J4368" s="6" t="n">
        <x:f>IF(OR(E4368="CANCELED",E4368="SUSPECTED_FRAUD",F4368="Shipping canceled"),0,1)</x:f>
        <x:v>1</x:v>
      </x:c>
      <x:c r="K4368" s="6" t="n">
        <x:f>IF(G4368&gt;H4368,1,0)</x:f>
        <x:v>1</x:v>
      </x:c>
      <x:c r="L4368" s="6" t="n">
        <x:f>J4368*K4368</x:f>
        <x:v>1</x:v>
      </x:c>
    </x:row>
    <x:row r="4369">
      <x:c r="A4369" s="1" t="n">
        <x:v>33402</x:v>
      </x:c>
      <x:c r="B4369" s="5" t="d">
        <x:v>2016-05-02T00:00:00.000Z</x:v>
      </x:c>
      <x:c r="C4369" s="1" t="str">
        <x:v>Standard Class</x:v>
      </x:c>
      <x:c r="D4369" s="1" t="str">
        <x:v>USCA</x:v>
      </x:c>
      <x:c r="E4369" s="1" t="str">
        <x:v>PROCESSING</x:v>
      </x:c>
      <x:c r="F4369" s="1" t="str">
        <x:v>Advance shipping</x:v>
      </x:c>
      <x:c r="G4369" s="6" t="n">
        <x:v>3</x:v>
      </x:c>
      <x:c r="H4369" s="6" t="n">
        <x:v>4</x:v>
      </x:c>
      <x:c r="I4369" s="6" t="n">
        <x:f>G4369-H4369</x:f>
        <x:v>-1</x:v>
      </x:c>
      <x:c r="J4369" s="6" t="n">
        <x:f>IF(OR(E4369="CANCELED",E4369="SUSPECTED_FRAUD",F4369="Shipping canceled"),0,1)</x:f>
        <x:v>1</x:v>
      </x:c>
      <x:c r="K4369" s="6" t="n">
        <x:f>IF(G4369&gt;H4369,1,0)</x:f>
        <x:v>0</x:v>
      </x:c>
      <x:c r="L4369" s="6" t="n">
        <x:f>J4369*K4369</x:f>
        <x:v>0</x:v>
      </x:c>
    </x:row>
    <x:row r="4370">
      <x:c r="A4370" s="1" t="n">
        <x:v>33403</x:v>
      </x:c>
      <x:c r="B4370" s="5" t="d">
        <x:v>2016-05-02T00:00:00.000Z</x:v>
      </x:c>
      <x:c r="C4370" s="1" t="str">
        <x:v>Standard Class</x:v>
      </x:c>
      <x:c r="D4370" s="1" t="str">
        <x:v>USCA</x:v>
      </x:c>
      <x:c r="E4370" s="1" t="str">
        <x:v>PENDING</x:v>
      </x:c>
      <x:c r="F4370" s="1" t="str">
        <x:v>Shipping on time</x:v>
      </x:c>
      <x:c r="G4370" s="6" t="n">
        <x:v>4</x:v>
      </x:c>
      <x:c r="H4370" s="6" t="n">
        <x:v>4</x:v>
      </x:c>
      <x:c r="I4370" s="6" t="n">
        <x:f>G4370-H4370</x:f>
        <x:v>0</x:v>
      </x:c>
      <x:c r="J4370" s="6" t="n">
        <x:f>IF(OR(E4370="CANCELED",E4370="SUSPECTED_FRAUD",F4370="Shipping canceled"),0,1)</x:f>
        <x:v>1</x:v>
      </x:c>
      <x:c r="K4370" s="6" t="n">
        <x:f>IF(G4370&gt;H4370,1,0)</x:f>
        <x:v>0</x:v>
      </x:c>
      <x:c r="L4370" s="6" t="n">
        <x:f>J4370*K4370</x:f>
        <x:v>0</x:v>
      </x:c>
    </x:row>
    <x:row r="4371">
      <x:c r="A4371" s="1" t="n">
        <x:v>33411</x:v>
      </x:c>
      <x:c r="B4371" s="5" t="d">
        <x:v>2016-05-02T00:00:00.000Z</x:v>
      </x:c>
      <x:c r="C4371" s="1" t="str">
        <x:v>Standard Class</x:v>
      </x:c>
      <x:c r="D4371" s="1" t="str">
        <x:v>USCA</x:v>
      </x:c>
      <x:c r="E4371" s="1" t="str">
        <x:v>COMPLETE</x:v>
      </x:c>
      <x:c r="F4371" s="1" t="str">
        <x:v>Advance shipping</x:v>
      </x:c>
      <x:c r="G4371" s="6" t="n">
        <x:v>2</x:v>
      </x:c>
      <x:c r="H4371" s="6" t="n">
        <x:v>4</x:v>
      </x:c>
      <x:c r="I4371" s="6" t="n">
        <x:f>G4371-H4371</x:f>
        <x:v>-2</x:v>
      </x:c>
      <x:c r="J4371" s="6" t="n">
        <x:f>IF(OR(E4371="CANCELED",E4371="SUSPECTED_FRAUD",F4371="Shipping canceled"),0,1)</x:f>
        <x:v>1</x:v>
      </x:c>
      <x:c r="K4371" s="6" t="n">
        <x:f>IF(G4371&gt;H4371,1,0)</x:f>
        <x:v>0</x:v>
      </x:c>
      <x:c r="L4371" s="6" t="n">
        <x:f>J4371*K4371</x:f>
        <x:v>0</x:v>
      </x:c>
    </x:row>
    <x:row r="4372">
      <x:c r="A4372" s="1" t="n">
        <x:v>33430</x:v>
      </x:c>
      <x:c r="B4372" s="5" t="d">
        <x:v>2016-05-02T00:00:00.000Z</x:v>
      </x:c>
      <x:c r="C4372" s="1" t="str">
        <x:v>First Class</x:v>
      </x:c>
      <x:c r="D4372" s="1" t="str">
        <x:v>USCA</x:v>
      </x:c>
      <x:c r="E4372" s="1" t="str">
        <x:v>PENDING</x:v>
      </x:c>
      <x:c r="F4372" s="1" t="str">
        <x:v>Late delivery</x:v>
      </x:c>
      <x:c r="G4372" s="6" t="n">
        <x:v>2</x:v>
      </x:c>
      <x:c r="H4372" s="6" t="n">
        <x:v>1</x:v>
      </x:c>
      <x:c r="I4372" s="6" t="n">
        <x:f>G4372-H4372</x:f>
        <x:v>1</x:v>
      </x:c>
      <x:c r="J4372" s="6" t="n">
        <x:f>IF(OR(E4372="CANCELED",E4372="SUSPECTED_FRAUD",F4372="Shipping canceled"),0,1)</x:f>
        <x:v>1</x:v>
      </x:c>
      <x:c r="K4372" s="6" t="n">
        <x:f>IF(G4372&gt;H4372,1,0)</x:f>
        <x:v>1</x:v>
      </x:c>
      <x:c r="L4372" s="6" t="n">
        <x:f>J4372*K4372</x:f>
        <x:v>1</x:v>
      </x:c>
    </x:row>
    <x:row r="4373">
      <x:c r="A4373" s="1" t="n">
        <x:v>33437</x:v>
      </x:c>
      <x:c r="B4373" s="5" t="d">
        <x:v>2016-05-03T00:00:00.000Z</x:v>
      </x:c>
      <x:c r="C4373" s="1" t="str">
        <x:v>Second Class</x:v>
      </x:c>
      <x:c r="D4373" s="1" t="str">
        <x:v>USCA</x:v>
      </x:c>
      <x:c r="E4373" s="1" t="str">
        <x:v>COMPLETE</x:v>
      </x:c>
      <x:c r="F4373" s="1" t="str">
        <x:v>Late delivery</x:v>
      </x:c>
      <x:c r="G4373" s="6" t="n">
        <x:v>3</x:v>
      </x:c>
      <x:c r="H4373" s="6" t="n">
        <x:v>2</x:v>
      </x:c>
      <x:c r="I4373" s="6" t="n">
        <x:f>G4373-H4373</x:f>
        <x:v>1</x:v>
      </x:c>
      <x:c r="J4373" s="6" t="n">
        <x:f>IF(OR(E4373="CANCELED",E4373="SUSPECTED_FRAUD",F4373="Shipping canceled"),0,1)</x:f>
        <x:v>1</x:v>
      </x:c>
      <x:c r="K4373" s="6" t="n">
        <x:f>IF(G4373&gt;H4373,1,0)</x:f>
        <x:v>1</x:v>
      </x:c>
      <x:c r="L4373" s="6" t="n">
        <x:f>J4373*K4373</x:f>
        <x:v>1</x:v>
      </x:c>
    </x:row>
    <x:row r="4374">
      <x:c r="A4374" s="1" t="n">
        <x:v>33440</x:v>
      </x:c>
      <x:c r="B4374" s="5" t="d">
        <x:v>2016-05-03T00:00:00.000Z</x:v>
      </x:c>
      <x:c r="C4374" s="1" t="str">
        <x:v>Standard Class</x:v>
      </x:c>
      <x:c r="D4374" s="1" t="str">
        <x:v>USCA</x:v>
      </x:c>
      <x:c r="E4374" s="1" t="str">
        <x:v>COMPLETE</x:v>
      </x:c>
      <x:c r="F4374" s="1" t="str">
        <x:v>Late delivery</x:v>
      </x:c>
      <x:c r="G4374" s="6" t="n">
        <x:v>6</x:v>
      </x:c>
      <x:c r="H4374" s="6" t="n">
        <x:v>4</x:v>
      </x:c>
      <x:c r="I4374" s="6" t="n">
        <x:f>G4374-H4374</x:f>
        <x:v>2</x:v>
      </x:c>
      <x:c r="J4374" s="6" t="n">
        <x:f>IF(OR(E4374="CANCELED",E4374="SUSPECTED_FRAUD",F4374="Shipping canceled"),0,1)</x:f>
        <x:v>1</x:v>
      </x:c>
      <x:c r="K4374" s="6" t="n">
        <x:f>IF(G4374&gt;H4374,1,0)</x:f>
        <x:v>1</x:v>
      </x:c>
      <x:c r="L4374" s="6" t="n">
        <x:f>J4374*K4374</x:f>
        <x:v>1</x:v>
      </x:c>
    </x:row>
    <x:row r="4375">
      <x:c r="A4375" s="1" t="n">
        <x:v>33443</x:v>
      </x:c>
      <x:c r="B4375" s="5" t="d">
        <x:v>2016-05-03T00:00:00.000Z</x:v>
      </x:c>
      <x:c r="C4375" s="1" t="str">
        <x:v>Standard Class</x:v>
      </x:c>
      <x:c r="D4375" s="1" t="str">
        <x:v>USCA</x:v>
      </x:c>
      <x:c r="E4375" s="1" t="str">
        <x:v>COMPLETE</x:v>
      </x:c>
      <x:c r="F4375" s="1" t="str">
        <x:v>Shipping on time</x:v>
      </x:c>
      <x:c r="G4375" s="6" t="n">
        <x:v>4</x:v>
      </x:c>
      <x:c r="H4375" s="6" t="n">
        <x:v>4</x:v>
      </x:c>
      <x:c r="I4375" s="6" t="n">
        <x:f>G4375-H4375</x:f>
        <x:v>0</x:v>
      </x:c>
      <x:c r="J4375" s="6" t="n">
        <x:f>IF(OR(E4375="CANCELED",E4375="SUSPECTED_FRAUD",F4375="Shipping canceled"),0,1)</x:f>
        <x:v>1</x:v>
      </x:c>
      <x:c r="K4375" s="6" t="n">
        <x:f>IF(G4375&gt;H4375,1,0)</x:f>
        <x:v>0</x:v>
      </x:c>
      <x:c r="L4375" s="6" t="n">
        <x:f>J4375*K4375</x:f>
        <x:v>0</x:v>
      </x:c>
    </x:row>
    <x:row r="4376">
      <x:c r="A4376" s="1" t="n">
        <x:v>33448</x:v>
      </x:c>
      <x:c r="B4376" s="5" t="d">
        <x:v>2016-05-03T00:00:00.000Z</x:v>
      </x:c>
      <x:c r="C4376" s="1" t="str">
        <x:v>Standard Class</x:v>
      </x:c>
      <x:c r="D4376" s="1" t="str">
        <x:v>USCA</x:v>
      </x:c>
      <x:c r="E4376" s="1" t="str">
        <x:v>CANCELED</x:v>
      </x:c>
      <x:c r="F4376" s="1" t="str">
        <x:v>Shipping canceled</x:v>
      </x:c>
      <x:c r="G4376" s="6" t="n">
        <x:v>4</x:v>
      </x:c>
      <x:c r="H4376" s="6" t="n">
        <x:v>4</x:v>
      </x:c>
      <x:c r="I4376" s="6" t="n">
        <x:f>G4376-H4376</x:f>
        <x:v>0</x:v>
      </x:c>
      <x:c r="J4376" s="6" t="n">
        <x:f>IF(OR(E4376="CANCELED",E4376="SUSPECTED_FRAUD",F4376="Shipping canceled"),0,1)</x:f>
        <x:v>0</x:v>
      </x:c>
      <x:c r="K4376" s="6" t="n">
        <x:f>IF(G4376&gt;H4376,1,0)</x:f>
        <x:v>0</x:v>
      </x:c>
      <x:c r="L4376" s="6" t="n">
        <x:f>J4376*K4376</x:f>
        <x:v>0</x:v>
      </x:c>
    </x:row>
    <x:row r="4377">
      <x:c r="A4377" s="1" t="n">
        <x:v>33463</x:v>
      </x:c>
      <x:c r="B4377" s="5" t="d">
        <x:v>2016-05-03T00:00:00.000Z</x:v>
      </x:c>
      <x:c r="C4377" s="1" t="str">
        <x:v>Standard Class</x:v>
      </x:c>
      <x:c r="D4377" s="1" t="str">
        <x:v>USCA</x:v>
      </x:c>
      <x:c r="E4377" s="1" t="str">
        <x:v>PROCESSING</x:v>
      </x:c>
      <x:c r="F4377" s="1" t="str">
        <x:v>Shipping on time</x:v>
      </x:c>
      <x:c r="G4377" s="6" t="n">
        <x:v>4</x:v>
      </x:c>
      <x:c r="H4377" s="6" t="n">
        <x:v>4</x:v>
      </x:c>
      <x:c r="I4377" s="6" t="n">
        <x:f>G4377-H4377</x:f>
        <x:v>0</x:v>
      </x:c>
      <x:c r="J4377" s="6" t="n">
        <x:f>IF(OR(E4377="CANCELED",E4377="SUSPECTED_FRAUD",F4377="Shipping canceled"),0,1)</x:f>
        <x:v>1</x:v>
      </x:c>
      <x:c r="K4377" s="6" t="n">
        <x:f>IF(G4377&gt;H4377,1,0)</x:f>
        <x:v>0</x:v>
      </x:c>
      <x:c r="L4377" s="6" t="n">
        <x:f>J4377*K4377</x:f>
        <x:v>0</x:v>
      </x:c>
    </x:row>
    <x:row r="4378">
      <x:c r="A4378" s="1" t="n">
        <x:v>33473</x:v>
      </x:c>
      <x:c r="B4378" s="5" t="d">
        <x:v>2016-05-03T00:00:00.000Z</x:v>
      </x:c>
      <x:c r="C4378" s="1" t="str">
        <x:v>Standard Class</x:v>
      </x:c>
      <x:c r="D4378" s="1" t="str">
        <x:v>USCA</x:v>
      </x:c>
      <x:c r="E4378" s="1" t="str">
        <x:v>COMPLETE</x:v>
      </x:c>
      <x:c r="F4378" s="1" t="str">
        <x:v>Shipping on time</x:v>
      </x:c>
      <x:c r="G4378" s="6" t="n">
        <x:v>4</x:v>
      </x:c>
      <x:c r="H4378" s="6" t="n">
        <x:v>4</x:v>
      </x:c>
      <x:c r="I4378" s="6" t="n">
        <x:f>G4378-H4378</x:f>
        <x:v>0</x:v>
      </x:c>
      <x:c r="J4378" s="6" t="n">
        <x:f>IF(OR(E4378="CANCELED",E4378="SUSPECTED_FRAUD",F4378="Shipping canceled"),0,1)</x:f>
        <x:v>1</x:v>
      </x:c>
      <x:c r="K4378" s="6" t="n">
        <x:f>IF(G4378&gt;H4378,1,0)</x:f>
        <x:v>0</x:v>
      </x:c>
      <x:c r="L4378" s="6" t="n">
        <x:f>J4378*K4378</x:f>
        <x:v>0</x:v>
      </x:c>
    </x:row>
    <x:row r="4379">
      <x:c r="A4379" s="1" t="n">
        <x:v>33479</x:v>
      </x:c>
      <x:c r="B4379" s="5" t="d">
        <x:v>2016-05-03T00:00:00.000Z</x:v>
      </x:c>
      <x:c r="C4379" s="1" t="str">
        <x:v>Standard Class</x:v>
      </x:c>
      <x:c r="D4379" s="1" t="str">
        <x:v>USCA</x:v>
      </x:c>
      <x:c r="E4379" s="1" t="str">
        <x:v>PROCESSING</x:v>
      </x:c>
      <x:c r="F4379" s="1" t="str">
        <x:v>Late delivery</x:v>
      </x:c>
      <x:c r="G4379" s="6" t="n">
        <x:v>5</x:v>
      </x:c>
      <x:c r="H4379" s="6" t="n">
        <x:v>4</x:v>
      </x:c>
      <x:c r="I4379" s="6" t="n">
        <x:f>G4379-H4379</x:f>
        <x:v>1</x:v>
      </x:c>
      <x:c r="J4379" s="6" t="n">
        <x:f>IF(OR(E4379="CANCELED",E4379="SUSPECTED_FRAUD",F4379="Shipping canceled"),0,1)</x:f>
        <x:v>1</x:v>
      </x:c>
      <x:c r="K4379" s="6" t="n">
        <x:f>IF(G4379&gt;H4379,1,0)</x:f>
        <x:v>1</x:v>
      </x:c>
      <x:c r="L4379" s="6" t="n">
        <x:f>J4379*K4379</x:f>
        <x:v>1</x:v>
      </x:c>
    </x:row>
    <x:row r="4380">
      <x:c r="A4380" s="1" t="n">
        <x:v>33491</x:v>
      </x:c>
      <x:c r="B4380" s="5" t="d">
        <x:v>2016-05-03T00:00:00.000Z</x:v>
      </x:c>
      <x:c r="C4380" s="1" t="str">
        <x:v>Standard Class</x:v>
      </x:c>
      <x:c r="D4380" s="1" t="str">
        <x:v>USCA</x:v>
      </x:c>
      <x:c r="E4380" s="1" t="str">
        <x:v>COMPLETE</x:v>
      </x:c>
      <x:c r="F4380" s="1" t="str">
        <x:v>Advance shipping</x:v>
      </x:c>
      <x:c r="G4380" s="6" t="n">
        <x:v>2</x:v>
      </x:c>
      <x:c r="H4380" s="6" t="n">
        <x:v>4</x:v>
      </x:c>
      <x:c r="I4380" s="6" t="n">
        <x:f>G4380-H4380</x:f>
        <x:v>-2</x:v>
      </x:c>
      <x:c r="J4380" s="6" t="n">
        <x:f>IF(OR(E4380="CANCELED",E4380="SUSPECTED_FRAUD",F4380="Shipping canceled"),0,1)</x:f>
        <x:v>1</x:v>
      </x:c>
      <x:c r="K4380" s="6" t="n">
        <x:f>IF(G4380&gt;H4380,1,0)</x:f>
        <x:v>0</x:v>
      </x:c>
      <x:c r="L4380" s="6" t="n">
        <x:f>J4380*K4380</x:f>
        <x:v>0</x:v>
      </x:c>
    </x:row>
    <x:row r="4381">
      <x:c r="A4381" s="1" t="n">
        <x:v>33495</x:v>
      </x:c>
      <x:c r="B4381" s="5" t="d">
        <x:v>2016-05-03T00:00:00.000Z</x:v>
      </x:c>
      <x:c r="C4381" s="1" t="str">
        <x:v>Standard Class</x:v>
      </x:c>
      <x:c r="D4381" s="1" t="str">
        <x:v>USCA</x:v>
      </x:c>
      <x:c r="E4381" s="1" t="str">
        <x:v>COMPLETE</x:v>
      </x:c>
      <x:c r="F4381" s="1" t="str">
        <x:v>Late delivery</x:v>
      </x:c>
      <x:c r="G4381" s="6" t="n">
        <x:v>6</x:v>
      </x:c>
      <x:c r="H4381" s="6" t="n">
        <x:v>4</x:v>
      </x:c>
      <x:c r="I4381" s="6" t="n">
        <x:f>G4381-H4381</x:f>
        <x:v>2</x:v>
      </x:c>
      <x:c r="J4381" s="6" t="n">
        <x:f>IF(OR(E4381="CANCELED",E4381="SUSPECTED_FRAUD",F4381="Shipping canceled"),0,1)</x:f>
        <x:v>1</x:v>
      </x:c>
      <x:c r="K4381" s="6" t="n">
        <x:f>IF(G4381&gt;H4381,1,0)</x:f>
        <x:v>1</x:v>
      </x:c>
      <x:c r="L4381" s="6" t="n">
        <x:f>J4381*K4381</x:f>
        <x:v>1</x:v>
      </x:c>
    </x:row>
    <x:row r="4382">
      <x:c r="A4382" s="1" t="n">
        <x:v>33499</x:v>
      </x:c>
      <x:c r="B4382" s="5" t="d">
        <x:v>2016-05-03T00:00:00.000Z</x:v>
      </x:c>
      <x:c r="C4382" s="1" t="str">
        <x:v>Same Day</x:v>
      </x:c>
      <x:c r="D4382" s="1" t="str">
        <x:v>USCA</x:v>
      </x:c>
      <x:c r="E4382" s="1" t="str">
        <x:v>ON_HOLD</x:v>
      </x:c>
      <x:c r="F4382" s="1" t="str">
        <x:v>Late delivery</x:v>
      </x:c>
      <x:c r="G4382" s="6" t="n">
        <x:v>1</x:v>
      </x:c>
      <x:c r="H4382" s="6" t="n">
        <x:v>0</x:v>
      </x:c>
      <x:c r="I4382" s="6" t="n">
        <x:f>G4382-H4382</x:f>
        <x:v>1</x:v>
      </x:c>
      <x:c r="J4382" s="6" t="n">
        <x:f>IF(OR(E4382="CANCELED",E4382="SUSPECTED_FRAUD",F4382="Shipping canceled"),0,1)</x:f>
        <x:v>1</x:v>
      </x:c>
      <x:c r="K4382" s="6" t="n">
        <x:f>IF(G4382&gt;H4382,1,0)</x:f>
        <x:v>1</x:v>
      </x:c>
      <x:c r="L4382" s="6" t="n">
        <x:f>J4382*K4382</x:f>
        <x:v>1</x:v>
      </x:c>
    </x:row>
    <x:row r="4383">
      <x:c r="A4383" s="1" t="n">
        <x:v>33509</x:v>
      </x:c>
      <x:c r="B4383" s="5" t="d">
        <x:v>2016-05-04T00:00:00.000Z</x:v>
      </x:c>
      <x:c r="C4383" s="1" t="str">
        <x:v>Standard Class</x:v>
      </x:c>
      <x:c r="D4383" s="1" t="str">
        <x:v>USCA</x:v>
      </x:c>
      <x:c r="E4383" s="1" t="str">
        <x:v>COMPLETE</x:v>
      </x:c>
      <x:c r="F4383" s="1" t="str">
        <x:v>Late delivery</x:v>
      </x:c>
      <x:c r="G4383" s="6" t="n">
        <x:v>5</x:v>
      </x:c>
      <x:c r="H4383" s="6" t="n">
        <x:v>4</x:v>
      </x:c>
      <x:c r="I4383" s="6" t="n">
        <x:f>G4383-H4383</x:f>
        <x:v>1</x:v>
      </x:c>
      <x:c r="J4383" s="6" t="n">
        <x:f>IF(OR(E4383="CANCELED",E4383="SUSPECTED_FRAUD",F4383="Shipping canceled"),0,1)</x:f>
        <x:v>1</x:v>
      </x:c>
      <x:c r="K4383" s="6" t="n">
        <x:f>IF(G4383&gt;H4383,1,0)</x:f>
        <x:v>1</x:v>
      </x:c>
      <x:c r="L4383" s="6" t="n">
        <x:f>J4383*K4383</x:f>
        <x:v>1</x:v>
      </x:c>
    </x:row>
    <x:row r="4384">
      <x:c r="A4384" s="1" t="n">
        <x:v>33517</x:v>
      </x:c>
      <x:c r="B4384" s="5" t="d">
        <x:v>2016-05-04T00:00:00.000Z</x:v>
      </x:c>
      <x:c r="C4384" s="1" t="str">
        <x:v>Standard Class</x:v>
      </x:c>
      <x:c r="D4384" s="1" t="str">
        <x:v>USCA</x:v>
      </x:c>
      <x:c r="E4384" s="1" t="str">
        <x:v>COMPLETE</x:v>
      </x:c>
      <x:c r="F4384" s="1" t="str">
        <x:v>Advance shipping</x:v>
      </x:c>
      <x:c r="G4384" s="6" t="n">
        <x:v>3</x:v>
      </x:c>
      <x:c r="H4384" s="6" t="n">
        <x:v>4</x:v>
      </x:c>
      <x:c r="I4384" s="6" t="n">
        <x:f>G4384-H4384</x:f>
        <x:v>-1</x:v>
      </x:c>
      <x:c r="J4384" s="6" t="n">
        <x:f>IF(OR(E4384="CANCELED",E4384="SUSPECTED_FRAUD",F4384="Shipping canceled"),0,1)</x:f>
        <x:v>1</x:v>
      </x:c>
      <x:c r="K4384" s="6" t="n">
        <x:f>IF(G4384&gt;H4384,1,0)</x:f>
        <x:v>0</x:v>
      </x:c>
      <x:c r="L4384" s="6" t="n">
        <x:f>J4384*K4384</x:f>
        <x:v>0</x:v>
      </x:c>
    </x:row>
    <x:row r="4385">
      <x:c r="A4385" s="1" t="n">
        <x:v>33537</x:v>
      </x:c>
      <x:c r="B4385" s="5" t="d">
        <x:v>2016-05-04T00:00:00.000Z</x:v>
      </x:c>
      <x:c r="C4385" s="1" t="str">
        <x:v>Standard Class</x:v>
      </x:c>
      <x:c r="D4385" s="1" t="str">
        <x:v>USCA</x:v>
      </x:c>
      <x:c r="E4385" s="1" t="str">
        <x:v>PENDING</x:v>
      </x:c>
      <x:c r="F4385" s="1" t="str">
        <x:v>Advance shipping</x:v>
      </x:c>
      <x:c r="G4385" s="6" t="n">
        <x:v>3</x:v>
      </x:c>
      <x:c r="H4385" s="6" t="n">
        <x:v>4</x:v>
      </x:c>
      <x:c r="I4385" s="6" t="n">
        <x:f>G4385-H4385</x:f>
        <x:v>-1</x:v>
      </x:c>
      <x:c r="J4385" s="6" t="n">
        <x:f>IF(OR(E4385="CANCELED",E4385="SUSPECTED_FRAUD",F4385="Shipping canceled"),0,1)</x:f>
        <x:v>1</x:v>
      </x:c>
      <x:c r="K4385" s="6" t="n">
        <x:f>IF(G4385&gt;H4385,1,0)</x:f>
        <x:v>0</x:v>
      </x:c>
      <x:c r="L4385" s="6" t="n">
        <x:f>J4385*K4385</x:f>
        <x:v>0</x:v>
      </x:c>
    </x:row>
    <x:row r="4386">
      <x:c r="A4386" s="1" t="n">
        <x:v>33553</x:v>
      </x:c>
      <x:c r="B4386" s="5" t="d">
        <x:v>2016-05-04T00:00:00.000Z</x:v>
      </x:c>
      <x:c r="C4386" s="1" t="str">
        <x:v>Second Class</x:v>
      </x:c>
      <x:c r="D4386" s="1" t="str">
        <x:v>USCA</x:v>
      </x:c>
      <x:c r="E4386" s="1" t="str">
        <x:v>PROCESSING</x:v>
      </x:c>
      <x:c r="F4386" s="1" t="str">
        <x:v>Late delivery</x:v>
      </x:c>
      <x:c r="G4386" s="6" t="n">
        <x:v>4</x:v>
      </x:c>
      <x:c r="H4386" s="6" t="n">
        <x:v>2</x:v>
      </x:c>
      <x:c r="I4386" s="6" t="n">
        <x:f>G4386-H4386</x:f>
        <x:v>2</x:v>
      </x:c>
      <x:c r="J4386" s="6" t="n">
        <x:f>IF(OR(E4386="CANCELED",E4386="SUSPECTED_FRAUD",F4386="Shipping canceled"),0,1)</x:f>
        <x:v>1</x:v>
      </x:c>
      <x:c r="K4386" s="6" t="n">
        <x:f>IF(G4386&gt;H4386,1,0)</x:f>
        <x:v>1</x:v>
      </x:c>
      <x:c r="L4386" s="6" t="n">
        <x:f>J4386*K4386</x:f>
        <x:v>1</x:v>
      </x:c>
    </x:row>
    <x:row r="4387">
      <x:c r="A4387" s="1" t="n">
        <x:v>33575</x:v>
      </x:c>
      <x:c r="B4387" s="5" t="d">
        <x:v>2016-05-05T00:00:00.000Z</x:v>
      </x:c>
      <x:c r="C4387" s="1" t="str">
        <x:v>Standard Class</x:v>
      </x:c>
      <x:c r="D4387" s="1" t="str">
        <x:v>USCA</x:v>
      </x:c>
      <x:c r="E4387" s="1" t="str">
        <x:v>PROCESSING</x:v>
      </x:c>
      <x:c r="F4387" s="1" t="str">
        <x:v>Late delivery</x:v>
      </x:c>
      <x:c r="G4387" s="6" t="n">
        <x:v>6</x:v>
      </x:c>
      <x:c r="H4387" s="6" t="n">
        <x:v>4</x:v>
      </x:c>
      <x:c r="I4387" s="6" t="n">
        <x:f>G4387-H4387</x:f>
        <x:v>2</x:v>
      </x:c>
      <x:c r="J4387" s="6" t="n">
        <x:f>IF(OR(E4387="CANCELED",E4387="SUSPECTED_FRAUD",F4387="Shipping canceled"),0,1)</x:f>
        <x:v>1</x:v>
      </x:c>
      <x:c r="K4387" s="6" t="n">
        <x:f>IF(G4387&gt;H4387,1,0)</x:f>
        <x:v>1</x:v>
      </x:c>
      <x:c r="L4387" s="6" t="n">
        <x:f>J4387*K4387</x:f>
        <x:v>1</x:v>
      </x:c>
    </x:row>
    <x:row r="4388">
      <x:c r="A4388" s="1" t="n">
        <x:v>33578</x:v>
      </x:c>
      <x:c r="B4388" s="5" t="d">
        <x:v>2016-05-05T00:00:00.000Z</x:v>
      </x:c>
      <x:c r="C4388" s="1" t="str">
        <x:v>Standard Class</x:v>
      </x:c>
      <x:c r="D4388" s="1" t="str">
        <x:v>USCA</x:v>
      </x:c>
      <x:c r="E4388" s="1" t="str">
        <x:v>COMPLETE</x:v>
      </x:c>
      <x:c r="F4388" s="1" t="str">
        <x:v>Shipping on time</x:v>
      </x:c>
      <x:c r="G4388" s="6" t="n">
        <x:v>4</x:v>
      </x:c>
      <x:c r="H4388" s="6" t="n">
        <x:v>4</x:v>
      </x:c>
      <x:c r="I4388" s="6" t="n">
        <x:f>G4388-H4388</x:f>
        <x:v>0</x:v>
      </x:c>
      <x:c r="J4388" s="6" t="n">
        <x:f>IF(OR(E4388="CANCELED",E4388="SUSPECTED_FRAUD",F4388="Shipping canceled"),0,1)</x:f>
        <x:v>1</x:v>
      </x:c>
      <x:c r="K4388" s="6" t="n">
        <x:f>IF(G4388&gt;H4388,1,0)</x:f>
        <x:v>0</x:v>
      </x:c>
      <x:c r="L4388" s="6" t="n">
        <x:f>J4388*K4388</x:f>
        <x:v>0</x:v>
      </x:c>
    </x:row>
    <x:row r="4389">
      <x:c r="A4389" s="1" t="n">
        <x:v>33584</x:v>
      </x:c>
      <x:c r="B4389" s="5" t="d">
        <x:v>2016-05-05T00:00:00.000Z</x:v>
      </x:c>
      <x:c r="C4389" s="1" t="str">
        <x:v>Standard Class</x:v>
      </x:c>
      <x:c r="D4389" s="1" t="str">
        <x:v>USCA</x:v>
      </x:c>
      <x:c r="E4389" s="1" t="str">
        <x:v>COMPLETE</x:v>
      </x:c>
      <x:c r="F4389" s="1" t="str">
        <x:v>Late delivery</x:v>
      </x:c>
      <x:c r="G4389" s="6" t="n">
        <x:v>5</x:v>
      </x:c>
      <x:c r="H4389" s="6" t="n">
        <x:v>4</x:v>
      </x:c>
      <x:c r="I4389" s="6" t="n">
        <x:f>G4389-H4389</x:f>
        <x:v>1</x:v>
      </x:c>
      <x:c r="J4389" s="6" t="n">
        <x:f>IF(OR(E4389="CANCELED",E4389="SUSPECTED_FRAUD",F4389="Shipping canceled"),0,1)</x:f>
        <x:v>1</x:v>
      </x:c>
      <x:c r="K4389" s="6" t="n">
        <x:f>IF(G4389&gt;H4389,1,0)</x:f>
        <x:v>1</x:v>
      </x:c>
      <x:c r="L4389" s="6" t="n">
        <x:f>J4389*K4389</x:f>
        <x:v>1</x:v>
      </x:c>
    </x:row>
    <x:row r="4390">
      <x:c r="A4390" s="1" t="n">
        <x:v>33586</x:v>
      </x:c>
      <x:c r="B4390" s="5" t="d">
        <x:v>2016-05-05T00:00:00.000Z</x:v>
      </x:c>
      <x:c r="C4390" s="1" t="str">
        <x:v>Standard Class</x:v>
      </x:c>
      <x:c r="D4390" s="1" t="str">
        <x:v>USCA</x:v>
      </x:c>
      <x:c r="E4390" s="1" t="str">
        <x:v>COMPLETE</x:v>
      </x:c>
      <x:c r="F4390" s="1" t="str">
        <x:v>Advance shipping</x:v>
      </x:c>
      <x:c r="G4390" s="6" t="n">
        <x:v>2</x:v>
      </x:c>
      <x:c r="H4390" s="6" t="n">
        <x:v>4</x:v>
      </x:c>
      <x:c r="I4390" s="6" t="n">
        <x:f>G4390-H4390</x:f>
        <x:v>-2</x:v>
      </x:c>
      <x:c r="J4390" s="6" t="n">
        <x:f>IF(OR(E4390="CANCELED",E4390="SUSPECTED_FRAUD",F4390="Shipping canceled"),0,1)</x:f>
        <x:v>1</x:v>
      </x:c>
      <x:c r="K4390" s="6" t="n">
        <x:f>IF(G4390&gt;H4390,1,0)</x:f>
        <x:v>0</x:v>
      </x:c>
      <x:c r="L4390" s="6" t="n">
        <x:f>J4390*K4390</x:f>
        <x:v>0</x:v>
      </x:c>
    </x:row>
    <x:row r="4391">
      <x:c r="A4391" s="1" t="n">
        <x:v>33595</x:v>
      </x:c>
      <x:c r="B4391" s="5" t="d">
        <x:v>2016-05-05T00:00:00.000Z</x:v>
      </x:c>
      <x:c r="C4391" s="1" t="str">
        <x:v>Standard Class</x:v>
      </x:c>
      <x:c r="D4391" s="1" t="str">
        <x:v>USCA</x:v>
      </x:c>
      <x:c r="E4391" s="1" t="str">
        <x:v>COMPLETE</x:v>
      </x:c>
      <x:c r="F4391" s="1" t="str">
        <x:v>Late delivery</x:v>
      </x:c>
      <x:c r="G4391" s="6" t="n">
        <x:v>6</x:v>
      </x:c>
      <x:c r="H4391" s="6" t="n">
        <x:v>4</x:v>
      </x:c>
      <x:c r="I4391" s="6" t="n">
        <x:f>G4391-H4391</x:f>
        <x:v>2</x:v>
      </x:c>
      <x:c r="J4391" s="6" t="n">
        <x:f>IF(OR(E4391="CANCELED",E4391="SUSPECTED_FRAUD",F4391="Shipping canceled"),0,1)</x:f>
        <x:v>1</x:v>
      </x:c>
      <x:c r="K4391" s="6" t="n">
        <x:f>IF(G4391&gt;H4391,1,0)</x:f>
        <x:v>1</x:v>
      </x:c>
      <x:c r="L4391" s="6" t="n">
        <x:f>J4391*K4391</x:f>
        <x:v>1</x:v>
      </x:c>
    </x:row>
    <x:row r="4392">
      <x:c r="A4392" s="1" t="n">
        <x:v>33603</x:v>
      </x:c>
      <x:c r="B4392" s="5" t="d">
        <x:v>2016-05-05T00:00:00.000Z</x:v>
      </x:c>
      <x:c r="C4392" s="1" t="str">
        <x:v>Standard Class</x:v>
      </x:c>
      <x:c r="D4392" s="1" t="str">
        <x:v>USCA</x:v>
      </x:c>
      <x:c r="E4392" s="1" t="str">
        <x:v>CANCELED</x:v>
      </x:c>
      <x:c r="F4392" s="1" t="str">
        <x:v>Shipping canceled</x:v>
      </x:c>
      <x:c r="G4392" s="6" t="n">
        <x:v>4</x:v>
      </x:c>
      <x:c r="H4392" s="6" t="n">
        <x:v>4</x:v>
      </x:c>
      <x:c r="I4392" s="6" t="n">
        <x:f>G4392-H4392</x:f>
        <x:v>0</x:v>
      </x:c>
      <x:c r="J4392" s="6" t="n">
        <x:f>IF(OR(E4392="CANCELED",E4392="SUSPECTED_FRAUD",F4392="Shipping canceled"),0,1)</x:f>
        <x:v>0</x:v>
      </x:c>
      <x:c r="K4392" s="6" t="n">
        <x:f>IF(G4392&gt;H4392,1,0)</x:f>
        <x:v>0</x:v>
      </x:c>
      <x:c r="L4392" s="6" t="n">
        <x:f>J4392*K4392</x:f>
        <x:v>0</x:v>
      </x:c>
    </x:row>
    <x:row r="4393">
      <x:c r="A4393" s="1" t="n">
        <x:v>33607</x:v>
      </x:c>
      <x:c r="B4393" s="5" t="d">
        <x:v>2016-05-05T00:00:00.000Z</x:v>
      </x:c>
      <x:c r="C4393" s="1" t="str">
        <x:v>Standard Class</x:v>
      </x:c>
      <x:c r="D4393" s="1" t="str">
        <x:v>USCA</x:v>
      </x:c>
      <x:c r="E4393" s="1" t="str">
        <x:v>SUSPECTED_FRAUD</x:v>
      </x:c>
      <x:c r="F4393" s="1" t="str">
        <x:v>Shipping canceled</x:v>
      </x:c>
      <x:c r="G4393" s="6" t="n">
        <x:v>3</x:v>
      </x:c>
      <x:c r="H4393" s="6" t="n">
        <x:v>4</x:v>
      </x:c>
      <x:c r="I4393" s="6" t="n">
        <x:f>G4393-H4393</x:f>
        <x:v>-1</x:v>
      </x:c>
      <x:c r="J4393" s="6" t="n">
        <x:f>IF(OR(E4393="CANCELED",E4393="SUSPECTED_FRAUD",F4393="Shipping canceled"),0,1)</x:f>
        <x:v>0</x:v>
      </x:c>
      <x:c r="K4393" s="6" t="n">
        <x:f>IF(G4393&gt;H4393,1,0)</x:f>
        <x:v>0</x:v>
      </x:c>
      <x:c r="L4393" s="6" t="n">
        <x:f>J4393*K4393</x:f>
        <x:v>0</x:v>
      </x:c>
    </x:row>
    <x:row r="4394">
      <x:c r="A4394" s="1" t="n">
        <x:v>33609</x:v>
      </x:c>
      <x:c r="B4394" s="5" t="d">
        <x:v>2016-05-05T00:00:00.000Z</x:v>
      </x:c>
      <x:c r="C4394" s="1" t="str">
        <x:v>Standard Class</x:v>
      </x:c>
      <x:c r="D4394" s="1" t="str">
        <x:v>USCA</x:v>
      </x:c>
      <x:c r="E4394" s="1" t="str">
        <x:v>PENDING_PAYMENT</x:v>
      </x:c>
      <x:c r="F4394" s="1" t="str">
        <x:v>Late delivery</x:v>
      </x:c>
      <x:c r="G4394" s="6" t="n">
        <x:v>5</x:v>
      </x:c>
      <x:c r="H4394" s="6" t="n">
        <x:v>4</x:v>
      </x:c>
      <x:c r="I4394" s="6" t="n">
        <x:f>G4394-H4394</x:f>
        <x:v>1</x:v>
      </x:c>
      <x:c r="J4394" s="6" t="n">
        <x:f>IF(OR(E4394="CANCELED",E4394="SUSPECTED_FRAUD",F4394="Shipping canceled"),0,1)</x:f>
        <x:v>1</x:v>
      </x:c>
      <x:c r="K4394" s="6" t="n">
        <x:f>IF(G4394&gt;H4394,1,0)</x:f>
        <x:v>1</x:v>
      </x:c>
      <x:c r="L4394" s="6" t="n">
        <x:f>J4394*K4394</x:f>
        <x:v>1</x:v>
      </x:c>
    </x:row>
    <x:row r="4395">
      <x:c r="A4395" s="1" t="n">
        <x:v>33619</x:v>
      </x:c>
      <x:c r="B4395" s="5" t="d">
        <x:v>2016-05-05T00:00:00.000Z</x:v>
      </x:c>
      <x:c r="C4395" s="1" t="str">
        <x:v>Standard Class</x:v>
      </x:c>
      <x:c r="D4395" s="1" t="str">
        <x:v>USCA</x:v>
      </x:c>
      <x:c r="E4395" s="1" t="str">
        <x:v>SUSPECTED_FRAUD</x:v>
      </x:c>
      <x:c r="F4395" s="1" t="str">
        <x:v>Shipping canceled</x:v>
      </x:c>
      <x:c r="G4395" s="6" t="n">
        <x:v>5</x:v>
      </x:c>
      <x:c r="H4395" s="6" t="n">
        <x:v>4</x:v>
      </x:c>
      <x:c r="I4395" s="6" t="n">
        <x:f>G4395-H4395</x:f>
        <x:v>1</x:v>
      </x:c>
      <x:c r="J4395" s="6" t="n">
        <x:f>IF(OR(E4395="CANCELED",E4395="SUSPECTED_FRAUD",F4395="Shipping canceled"),0,1)</x:f>
        <x:v>0</x:v>
      </x:c>
      <x:c r="K4395" s="6" t="n">
        <x:f>IF(G4395&gt;H4395,1,0)</x:f>
        <x:v>1</x:v>
      </x:c>
      <x:c r="L4395" s="6" t="n">
        <x:f>J4395*K4395</x:f>
        <x:v>0</x:v>
      </x:c>
    </x:row>
    <x:row r="4396">
      <x:c r="A4396" s="1" t="n">
        <x:v>33621</x:v>
      </x:c>
      <x:c r="B4396" s="5" t="d">
        <x:v>2016-05-05T00:00:00.000Z</x:v>
      </x:c>
      <x:c r="C4396" s="1" t="str">
        <x:v>Standard Class</x:v>
      </x:c>
      <x:c r="D4396" s="1" t="str">
        <x:v>USCA</x:v>
      </x:c>
      <x:c r="E4396" s="1" t="str">
        <x:v>COMPLETE</x:v>
      </x:c>
      <x:c r="F4396" s="1" t="str">
        <x:v>Advance shipping</x:v>
      </x:c>
      <x:c r="G4396" s="6" t="n">
        <x:v>2</x:v>
      </x:c>
      <x:c r="H4396" s="6" t="n">
        <x:v>4</x:v>
      </x:c>
      <x:c r="I4396" s="6" t="n">
        <x:f>G4396-H4396</x:f>
        <x:v>-2</x:v>
      </x:c>
      <x:c r="J4396" s="6" t="n">
        <x:f>IF(OR(E4396="CANCELED",E4396="SUSPECTED_FRAUD",F4396="Shipping canceled"),0,1)</x:f>
        <x:v>1</x:v>
      </x:c>
      <x:c r="K4396" s="6" t="n">
        <x:f>IF(G4396&gt;H4396,1,0)</x:f>
        <x:v>0</x:v>
      </x:c>
      <x:c r="L4396" s="6" t="n">
        <x:f>J4396*K4396</x:f>
        <x:v>0</x:v>
      </x:c>
    </x:row>
    <x:row r="4397">
      <x:c r="A4397" s="1" t="n">
        <x:v>33647</x:v>
      </x:c>
      <x:c r="B4397" s="5" t="d">
        <x:v>2016-05-06T00:00:00.000Z</x:v>
      </x:c>
      <x:c r="C4397" s="1" t="str">
        <x:v>Standard Class</x:v>
      </x:c>
      <x:c r="D4397" s="1" t="str">
        <x:v>USCA</x:v>
      </x:c>
      <x:c r="E4397" s="1" t="str">
        <x:v>COMPLETE</x:v>
      </x:c>
      <x:c r="F4397" s="1" t="str">
        <x:v>Advance shipping</x:v>
      </x:c>
      <x:c r="G4397" s="6" t="n">
        <x:v>3</x:v>
      </x:c>
      <x:c r="H4397" s="6" t="n">
        <x:v>4</x:v>
      </x:c>
      <x:c r="I4397" s="6" t="n">
        <x:f>G4397-H4397</x:f>
        <x:v>-1</x:v>
      </x:c>
      <x:c r="J4397" s="6" t="n">
        <x:f>IF(OR(E4397="CANCELED",E4397="SUSPECTED_FRAUD",F4397="Shipping canceled"),0,1)</x:f>
        <x:v>1</x:v>
      </x:c>
      <x:c r="K4397" s="6" t="n">
        <x:f>IF(G4397&gt;H4397,1,0)</x:f>
        <x:v>0</x:v>
      </x:c>
      <x:c r="L4397" s="6" t="n">
        <x:f>J4397*K4397</x:f>
        <x:v>0</x:v>
      </x:c>
    </x:row>
    <x:row r="4398">
      <x:c r="A4398" s="1" t="n">
        <x:v>33656</x:v>
      </x:c>
      <x:c r="B4398" s="5" t="d">
        <x:v>2016-05-06T00:00:00.000Z</x:v>
      </x:c>
      <x:c r="C4398" s="1" t="str">
        <x:v>Standard Class</x:v>
      </x:c>
      <x:c r="D4398" s="1" t="str">
        <x:v>USCA</x:v>
      </x:c>
      <x:c r="E4398" s="1" t="str">
        <x:v>PENDING_PAYMENT</x:v>
      </x:c>
      <x:c r="F4398" s="1" t="str">
        <x:v>Advance shipping</x:v>
      </x:c>
      <x:c r="G4398" s="6" t="n">
        <x:v>2</x:v>
      </x:c>
      <x:c r="H4398" s="6" t="n">
        <x:v>4</x:v>
      </x:c>
      <x:c r="I4398" s="6" t="n">
        <x:f>G4398-H4398</x:f>
        <x:v>-2</x:v>
      </x:c>
      <x:c r="J4398" s="6" t="n">
        <x:f>IF(OR(E4398="CANCELED",E4398="SUSPECTED_FRAUD",F4398="Shipping canceled"),0,1)</x:f>
        <x:v>1</x:v>
      </x:c>
      <x:c r="K4398" s="6" t="n">
        <x:f>IF(G4398&gt;H4398,1,0)</x:f>
        <x:v>0</x:v>
      </x:c>
      <x:c r="L4398" s="6" t="n">
        <x:f>J4398*K4398</x:f>
        <x:v>0</x:v>
      </x:c>
    </x:row>
    <x:row r="4399">
      <x:c r="A4399" s="1" t="n">
        <x:v>33662</x:v>
      </x:c>
      <x:c r="B4399" s="5" t="d">
        <x:v>2016-05-06T00:00:00.000Z</x:v>
      </x:c>
      <x:c r="C4399" s="1" t="str">
        <x:v>Second Class</x:v>
      </x:c>
      <x:c r="D4399" s="1" t="str">
        <x:v>USCA</x:v>
      </x:c>
      <x:c r="E4399" s="1" t="str">
        <x:v>CLOSED</x:v>
      </x:c>
      <x:c r="F4399" s="1" t="str">
        <x:v>Late delivery</x:v>
      </x:c>
      <x:c r="G4399" s="6" t="n">
        <x:v>3</x:v>
      </x:c>
      <x:c r="H4399" s="6" t="n">
        <x:v>2</x:v>
      </x:c>
      <x:c r="I4399" s="6" t="n">
        <x:f>G4399-H4399</x:f>
        <x:v>1</x:v>
      </x:c>
      <x:c r="J4399" s="6" t="n">
        <x:f>IF(OR(E4399="CANCELED",E4399="SUSPECTED_FRAUD",F4399="Shipping canceled"),0,1)</x:f>
        <x:v>1</x:v>
      </x:c>
      <x:c r="K4399" s="6" t="n">
        <x:f>IF(G4399&gt;H4399,1,0)</x:f>
        <x:v>1</x:v>
      </x:c>
      <x:c r="L4399" s="6" t="n">
        <x:f>J4399*K4399</x:f>
        <x:v>1</x:v>
      </x:c>
    </x:row>
    <x:row r="4400">
      <x:c r="A4400" s="1" t="n">
        <x:v>33665</x:v>
      </x:c>
      <x:c r="B4400" s="5" t="d">
        <x:v>2016-05-06T00:00:00.000Z</x:v>
      </x:c>
      <x:c r="C4400" s="1" t="str">
        <x:v>Standard Class</x:v>
      </x:c>
      <x:c r="D4400" s="1" t="str">
        <x:v>USCA</x:v>
      </x:c>
      <x:c r="E4400" s="1" t="str">
        <x:v>ON_HOLD</x:v>
      </x:c>
      <x:c r="F4400" s="1" t="str">
        <x:v>Late delivery</x:v>
      </x:c>
      <x:c r="G4400" s="6" t="n">
        <x:v>6</x:v>
      </x:c>
      <x:c r="H4400" s="6" t="n">
        <x:v>4</x:v>
      </x:c>
      <x:c r="I4400" s="6" t="n">
        <x:f>G4400-H4400</x:f>
        <x:v>2</x:v>
      </x:c>
      <x:c r="J4400" s="6" t="n">
        <x:f>IF(OR(E4400="CANCELED",E4400="SUSPECTED_FRAUD",F4400="Shipping canceled"),0,1)</x:f>
        <x:v>1</x:v>
      </x:c>
      <x:c r="K4400" s="6" t="n">
        <x:f>IF(G4400&gt;H4400,1,0)</x:f>
        <x:v>1</x:v>
      </x:c>
      <x:c r="L4400" s="6" t="n">
        <x:f>J4400*K4400</x:f>
        <x:v>1</x:v>
      </x:c>
    </x:row>
    <x:row r="4401">
      <x:c r="A4401" s="1" t="n">
        <x:v>33680</x:v>
      </x:c>
      <x:c r="B4401" s="5" t="d">
        <x:v>2016-05-06T00:00:00.000Z</x:v>
      </x:c>
      <x:c r="C4401" s="1" t="str">
        <x:v>Standard Class</x:v>
      </x:c>
      <x:c r="D4401" s="1" t="str">
        <x:v>USCA</x:v>
      </x:c>
      <x:c r="E4401" s="1" t="str">
        <x:v>COMPLETE</x:v>
      </x:c>
      <x:c r="F4401" s="1" t="str">
        <x:v>Late delivery</x:v>
      </x:c>
      <x:c r="G4401" s="6" t="n">
        <x:v>6</x:v>
      </x:c>
      <x:c r="H4401" s="6" t="n">
        <x:v>4</x:v>
      </x:c>
      <x:c r="I4401" s="6" t="n">
        <x:f>G4401-H4401</x:f>
        <x:v>2</x:v>
      </x:c>
      <x:c r="J4401" s="6" t="n">
        <x:f>IF(OR(E4401="CANCELED",E4401="SUSPECTED_FRAUD",F4401="Shipping canceled"),0,1)</x:f>
        <x:v>1</x:v>
      </x:c>
      <x:c r="K4401" s="6" t="n">
        <x:f>IF(G4401&gt;H4401,1,0)</x:f>
        <x:v>1</x:v>
      </x:c>
      <x:c r="L4401" s="6" t="n">
        <x:f>J4401*K4401</x:f>
        <x:v>1</x:v>
      </x:c>
    </x:row>
    <x:row r="4402">
      <x:c r="A4402" s="1" t="n">
        <x:v>33681</x:v>
      </x:c>
      <x:c r="B4402" s="5" t="d">
        <x:v>2016-05-06T00:00:00.000Z</x:v>
      </x:c>
      <x:c r="C4402" s="1" t="str">
        <x:v>Standard Class</x:v>
      </x:c>
      <x:c r="D4402" s="1" t="str">
        <x:v>USCA</x:v>
      </x:c>
      <x:c r="E4402" s="1" t="str">
        <x:v>COMPLETE</x:v>
      </x:c>
      <x:c r="F4402" s="1" t="str">
        <x:v>Advance shipping</x:v>
      </x:c>
      <x:c r="G4402" s="6" t="n">
        <x:v>2</x:v>
      </x:c>
      <x:c r="H4402" s="6" t="n">
        <x:v>4</x:v>
      </x:c>
      <x:c r="I4402" s="6" t="n">
        <x:f>G4402-H4402</x:f>
        <x:v>-2</x:v>
      </x:c>
      <x:c r="J4402" s="6" t="n">
        <x:f>IF(OR(E4402="CANCELED",E4402="SUSPECTED_FRAUD",F4402="Shipping canceled"),0,1)</x:f>
        <x:v>1</x:v>
      </x:c>
      <x:c r="K4402" s="6" t="n">
        <x:f>IF(G4402&gt;H4402,1,0)</x:f>
        <x:v>0</x:v>
      </x:c>
      <x:c r="L4402" s="6" t="n">
        <x:f>J4402*K4402</x:f>
        <x:v>0</x:v>
      </x:c>
    </x:row>
    <x:row r="4403">
      <x:c r="A4403" s="1" t="n">
        <x:v>33690</x:v>
      </x:c>
      <x:c r="B4403" s="5" t="d">
        <x:v>2016-05-06T00:00:00.000Z</x:v>
      </x:c>
      <x:c r="C4403" s="1" t="str">
        <x:v>Standard Class</x:v>
      </x:c>
      <x:c r="D4403" s="1" t="str">
        <x:v>USCA</x:v>
      </x:c>
      <x:c r="E4403" s="1" t="str">
        <x:v>ON_HOLD</x:v>
      </x:c>
      <x:c r="F4403" s="1" t="str">
        <x:v>Late delivery</x:v>
      </x:c>
      <x:c r="G4403" s="6" t="n">
        <x:v>6</x:v>
      </x:c>
      <x:c r="H4403" s="6" t="n">
        <x:v>4</x:v>
      </x:c>
      <x:c r="I4403" s="6" t="n">
        <x:f>G4403-H4403</x:f>
        <x:v>2</x:v>
      </x:c>
      <x:c r="J4403" s="6" t="n">
        <x:f>IF(OR(E4403="CANCELED",E4403="SUSPECTED_FRAUD",F4403="Shipping canceled"),0,1)</x:f>
        <x:v>1</x:v>
      </x:c>
      <x:c r="K4403" s="6" t="n">
        <x:f>IF(G4403&gt;H4403,1,0)</x:f>
        <x:v>1</x:v>
      </x:c>
      <x:c r="L4403" s="6" t="n">
        <x:f>J4403*K4403</x:f>
        <x:v>1</x:v>
      </x:c>
    </x:row>
    <x:row r="4404">
      <x:c r="A4404" s="1" t="n">
        <x:v>33696</x:v>
      </x:c>
      <x:c r="B4404" s="5" t="d">
        <x:v>2016-05-06T00:00:00.000Z</x:v>
      </x:c>
      <x:c r="C4404" s="1" t="str">
        <x:v>Standard Class</x:v>
      </x:c>
      <x:c r="D4404" s="1" t="str">
        <x:v>USCA</x:v>
      </x:c>
      <x:c r="E4404" s="1" t="str">
        <x:v>CANCELED</x:v>
      </x:c>
      <x:c r="F4404" s="1" t="str">
        <x:v>Shipping canceled</x:v>
      </x:c>
      <x:c r="G4404" s="6" t="n">
        <x:v>2</x:v>
      </x:c>
      <x:c r="H4404" s="6" t="n">
        <x:v>4</x:v>
      </x:c>
      <x:c r="I4404" s="6" t="n">
        <x:f>G4404-H4404</x:f>
        <x:v>-2</x:v>
      </x:c>
      <x:c r="J4404" s="6" t="n">
        <x:f>IF(OR(E4404="CANCELED",E4404="SUSPECTED_FRAUD",F4404="Shipping canceled"),0,1)</x:f>
        <x:v>0</x:v>
      </x:c>
      <x:c r="K4404" s="6" t="n">
        <x:f>IF(G4404&gt;H4404,1,0)</x:f>
        <x:v>0</x:v>
      </x:c>
      <x:c r="L4404" s="6" t="n">
        <x:f>J4404*K4404</x:f>
        <x:v>0</x:v>
      </x:c>
    </x:row>
    <x:row r="4405">
      <x:c r="A4405" s="1" t="n">
        <x:v>33699</x:v>
      </x:c>
      <x:c r="B4405" s="5" t="d">
        <x:v>2016-05-06T00:00:00.000Z</x:v>
      </x:c>
      <x:c r="C4405" s="1" t="str">
        <x:v>Standard Class</x:v>
      </x:c>
      <x:c r="D4405" s="1" t="str">
        <x:v>USCA</x:v>
      </x:c>
      <x:c r="E4405" s="1" t="str">
        <x:v>COMPLETE</x:v>
      </x:c>
      <x:c r="F4405" s="1" t="str">
        <x:v>Late delivery</x:v>
      </x:c>
      <x:c r="G4405" s="6" t="n">
        <x:v>5</x:v>
      </x:c>
      <x:c r="H4405" s="6" t="n">
        <x:v>4</x:v>
      </x:c>
      <x:c r="I4405" s="6" t="n">
        <x:f>G4405-H4405</x:f>
        <x:v>1</x:v>
      </x:c>
      <x:c r="J4405" s="6" t="n">
        <x:f>IF(OR(E4405="CANCELED",E4405="SUSPECTED_FRAUD",F4405="Shipping canceled"),0,1)</x:f>
        <x:v>1</x:v>
      </x:c>
      <x:c r="K4405" s="6" t="n">
        <x:f>IF(G4405&gt;H4405,1,0)</x:f>
        <x:v>1</x:v>
      </x:c>
      <x:c r="L4405" s="6" t="n">
        <x:f>J4405*K4405</x:f>
        <x:v>1</x:v>
      </x:c>
    </x:row>
    <x:row r="4406">
      <x:c r="A4406" s="1" t="n">
        <x:v>33703</x:v>
      </x:c>
      <x:c r="B4406" s="5" t="d">
        <x:v>2016-05-06T00:00:00.000Z</x:v>
      </x:c>
      <x:c r="C4406" s="1" t="str">
        <x:v>Standard Class</x:v>
      </x:c>
      <x:c r="D4406" s="1" t="str">
        <x:v>USCA</x:v>
      </x:c>
      <x:c r="E4406" s="1" t="str">
        <x:v>COMPLETE</x:v>
      </x:c>
      <x:c r="F4406" s="1" t="str">
        <x:v>Shipping on time</x:v>
      </x:c>
      <x:c r="G4406" s="6" t="n">
        <x:v>4</x:v>
      </x:c>
      <x:c r="H4406" s="6" t="n">
        <x:v>4</x:v>
      </x:c>
      <x:c r="I4406" s="6" t="n">
        <x:f>G4406-H4406</x:f>
        <x:v>0</x:v>
      </x:c>
      <x:c r="J4406" s="6" t="n">
        <x:f>IF(OR(E4406="CANCELED",E4406="SUSPECTED_FRAUD",F4406="Shipping canceled"),0,1)</x:f>
        <x:v>1</x:v>
      </x:c>
      <x:c r="K4406" s="6" t="n">
        <x:f>IF(G4406&gt;H4406,1,0)</x:f>
        <x:v>0</x:v>
      </x:c>
      <x:c r="L4406" s="6" t="n">
        <x:f>J4406*K4406</x:f>
        <x:v>0</x:v>
      </x:c>
    </x:row>
    <x:row r="4407">
      <x:c r="A4407" s="1" t="n">
        <x:v>33704</x:v>
      </x:c>
      <x:c r="B4407" s="5" t="d">
        <x:v>2016-05-06T00:00:00.000Z</x:v>
      </x:c>
      <x:c r="C4407" s="1" t="str">
        <x:v>Standard Class</x:v>
      </x:c>
      <x:c r="D4407" s="1" t="str">
        <x:v>USCA</x:v>
      </x:c>
      <x:c r="E4407" s="1" t="str">
        <x:v>PENDING_PAYMENT</x:v>
      </x:c>
      <x:c r="F4407" s="1" t="str">
        <x:v>Late delivery</x:v>
      </x:c>
      <x:c r="G4407" s="6" t="n">
        <x:v>5</x:v>
      </x:c>
      <x:c r="H4407" s="6" t="n">
        <x:v>4</x:v>
      </x:c>
      <x:c r="I4407" s="6" t="n">
        <x:f>G4407-H4407</x:f>
        <x:v>1</x:v>
      </x:c>
      <x:c r="J4407" s="6" t="n">
        <x:f>IF(OR(E4407="CANCELED",E4407="SUSPECTED_FRAUD",F4407="Shipping canceled"),0,1)</x:f>
        <x:v>1</x:v>
      </x:c>
      <x:c r="K4407" s="6" t="n">
        <x:f>IF(G4407&gt;H4407,1,0)</x:f>
        <x:v>1</x:v>
      </x:c>
      <x:c r="L4407" s="6" t="n">
        <x:f>J4407*K4407</x:f>
        <x:v>1</x:v>
      </x:c>
    </x:row>
    <x:row r="4408">
      <x:c r="A4408" s="1" t="n">
        <x:v>33710</x:v>
      </x:c>
      <x:c r="B4408" s="5" t="d">
        <x:v>2016-05-07T00:00:00.000Z</x:v>
      </x:c>
      <x:c r="C4408" s="1" t="str">
        <x:v>Second Class</x:v>
      </x:c>
      <x:c r="D4408" s="1" t="str">
        <x:v>USCA</x:v>
      </x:c>
      <x:c r="E4408" s="1" t="str">
        <x:v>COMPLETE</x:v>
      </x:c>
      <x:c r="F4408" s="1" t="str">
        <x:v>Late delivery</x:v>
      </x:c>
      <x:c r="G4408" s="6" t="n">
        <x:v>6</x:v>
      </x:c>
      <x:c r="H4408" s="6" t="n">
        <x:v>2</x:v>
      </x:c>
      <x:c r="I4408" s="6" t="n">
        <x:f>G4408-H4408</x:f>
        <x:v>4</x:v>
      </x:c>
      <x:c r="J4408" s="6" t="n">
        <x:f>IF(OR(E4408="CANCELED",E4408="SUSPECTED_FRAUD",F4408="Shipping canceled"),0,1)</x:f>
        <x:v>1</x:v>
      </x:c>
      <x:c r="K4408" s="6" t="n">
        <x:f>IF(G4408&gt;H4408,1,0)</x:f>
        <x:v>1</x:v>
      </x:c>
      <x:c r="L4408" s="6" t="n">
        <x:f>J4408*K4408</x:f>
        <x:v>1</x:v>
      </x:c>
    </x:row>
    <x:row r="4409">
      <x:c r="A4409" s="1" t="n">
        <x:v>33713</x:v>
      </x:c>
      <x:c r="B4409" s="5" t="d">
        <x:v>2016-05-07T00:00:00.000Z</x:v>
      </x:c>
      <x:c r="C4409" s="1" t="str">
        <x:v>Standard Class</x:v>
      </x:c>
      <x:c r="D4409" s="1" t="str">
        <x:v>USCA</x:v>
      </x:c>
      <x:c r="E4409" s="1" t="str">
        <x:v>COMPLETE</x:v>
      </x:c>
      <x:c r="F4409" s="1" t="str">
        <x:v>Shipping on time</x:v>
      </x:c>
      <x:c r="G4409" s="6" t="n">
        <x:v>4</x:v>
      </x:c>
      <x:c r="H4409" s="6" t="n">
        <x:v>4</x:v>
      </x:c>
      <x:c r="I4409" s="6" t="n">
        <x:f>G4409-H4409</x:f>
        <x:v>0</x:v>
      </x:c>
      <x:c r="J4409" s="6" t="n">
        <x:f>IF(OR(E4409="CANCELED",E4409="SUSPECTED_FRAUD",F4409="Shipping canceled"),0,1)</x:f>
        <x:v>1</x:v>
      </x:c>
      <x:c r="K4409" s="6" t="n">
        <x:f>IF(G4409&gt;H4409,1,0)</x:f>
        <x:v>0</x:v>
      </x:c>
      <x:c r="L4409" s="6" t="n">
        <x:f>J4409*K4409</x:f>
        <x:v>0</x:v>
      </x:c>
    </x:row>
    <x:row r="4410">
      <x:c r="A4410" s="1" t="n">
        <x:v>33723</x:v>
      </x:c>
      <x:c r="B4410" s="5" t="d">
        <x:v>2016-05-07T00:00:00.000Z</x:v>
      </x:c>
      <x:c r="C4410" s="1" t="str">
        <x:v>Standard Class</x:v>
      </x:c>
      <x:c r="D4410" s="1" t="str">
        <x:v>USCA</x:v>
      </x:c>
      <x:c r="E4410" s="1" t="str">
        <x:v>ON_HOLD</x:v>
      </x:c>
      <x:c r="F4410" s="1" t="str">
        <x:v>Shipping on time</x:v>
      </x:c>
      <x:c r="G4410" s="6" t="n">
        <x:v>4</x:v>
      </x:c>
      <x:c r="H4410" s="6" t="n">
        <x:v>4</x:v>
      </x:c>
      <x:c r="I4410" s="6" t="n">
        <x:f>G4410-H4410</x:f>
        <x:v>0</x:v>
      </x:c>
      <x:c r="J4410" s="6" t="n">
        <x:f>IF(OR(E4410="CANCELED",E4410="SUSPECTED_FRAUD",F4410="Shipping canceled"),0,1)</x:f>
        <x:v>1</x:v>
      </x:c>
      <x:c r="K4410" s="6" t="n">
        <x:f>IF(G4410&gt;H4410,1,0)</x:f>
        <x:v>0</x:v>
      </x:c>
      <x:c r="L4410" s="6" t="n">
        <x:f>J4410*K4410</x:f>
        <x:v>0</x:v>
      </x:c>
    </x:row>
    <x:row r="4411">
      <x:c r="A4411" s="1" t="n">
        <x:v>33728</x:v>
      </x:c>
      <x:c r="B4411" s="5" t="d">
        <x:v>2016-05-07T00:00:00.000Z</x:v>
      </x:c>
      <x:c r="C4411" s="1" t="str">
        <x:v>Standard Class</x:v>
      </x:c>
      <x:c r="D4411" s="1" t="str">
        <x:v>USCA</x:v>
      </x:c>
      <x:c r="E4411" s="1" t="str">
        <x:v>COMPLETE</x:v>
      </x:c>
      <x:c r="F4411" s="1" t="str">
        <x:v>Shipping on time</x:v>
      </x:c>
      <x:c r="G4411" s="6" t="n">
        <x:v>4</x:v>
      </x:c>
      <x:c r="H4411" s="6" t="n">
        <x:v>4</x:v>
      </x:c>
      <x:c r="I4411" s="6" t="n">
        <x:f>G4411-H4411</x:f>
        <x:v>0</x:v>
      </x:c>
      <x:c r="J4411" s="6" t="n">
        <x:f>IF(OR(E4411="CANCELED",E4411="SUSPECTED_FRAUD",F4411="Shipping canceled"),0,1)</x:f>
        <x:v>1</x:v>
      </x:c>
      <x:c r="K4411" s="6" t="n">
        <x:f>IF(G4411&gt;H4411,1,0)</x:f>
        <x:v>0</x:v>
      </x:c>
      <x:c r="L4411" s="6" t="n">
        <x:f>J4411*K4411</x:f>
        <x:v>0</x:v>
      </x:c>
    </x:row>
    <x:row r="4412">
      <x:c r="A4412" s="1" t="n">
        <x:v>33729</x:v>
      </x:c>
      <x:c r="B4412" s="5" t="d">
        <x:v>2016-05-07T00:00:00.000Z</x:v>
      </x:c>
      <x:c r="C4412" s="1" t="str">
        <x:v>Standard Class</x:v>
      </x:c>
      <x:c r="D4412" s="1" t="str">
        <x:v>USCA</x:v>
      </x:c>
      <x:c r="E4412" s="1" t="str">
        <x:v>PENDING_PAYMENT</x:v>
      </x:c>
      <x:c r="F4412" s="1" t="str">
        <x:v>Late delivery</x:v>
      </x:c>
      <x:c r="G4412" s="6" t="n">
        <x:v>5</x:v>
      </x:c>
      <x:c r="H4412" s="6" t="n">
        <x:v>4</x:v>
      </x:c>
      <x:c r="I4412" s="6" t="n">
        <x:f>G4412-H4412</x:f>
        <x:v>1</x:v>
      </x:c>
      <x:c r="J4412" s="6" t="n">
        <x:f>IF(OR(E4412="CANCELED",E4412="SUSPECTED_FRAUD",F4412="Shipping canceled"),0,1)</x:f>
        <x:v>1</x:v>
      </x:c>
      <x:c r="K4412" s="6" t="n">
        <x:f>IF(G4412&gt;H4412,1,0)</x:f>
        <x:v>1</x:v>
      </x:c>
      <x:c r="L4412" s="6" t="n">
        <x:f>J4412*K4412</x:f>
        <x:v>1</x:v>
      </x:c>
    </x:row>
    <x:row r="4413">
      <x:c r="A4413" s="1" t="n">
        <x:v>33743</x:v>
      </x:c>
      <x:c r="B4413" s="5" t="d">
        <x:v>2016-05-07T00:00:00.000Z</x:v>
      </x:c>
      <x:c r="C4413" s="1" t="str">
        <x:v>Standard Class</x:v>
      </x:c>
      <x:c r="D4413" s="1" t="str">
        <x:v>USCA</x:v>
      </x:c>
      <x:c r="E4413" s="1" t="str">
        <x:v>COMPLETE</x:v>
      </x:c>
      <x:c r="F4413" s="1" t="str">
        <x:v>Shipping on time</x:v>
      </x:c>
      <x:c r="G4413" s="6" t="n">
        <x:v>4</x:v>
      </x:c>
      <x:c r="H4413" s="6" t="n">
        <x:v>4</x:v>
      </x:c>
      <x:c r="I4413" s="6" t="n">
        <x:f>G4413-H4413</x:f>
        <x:v>0</x:v>
      </x:c>
      <x:c r="J4413" s="6" t="n">
        <x:f>IF(OR(E4413="CANCELED",E4413="SUSPECTED_FRAUD",F4413="Shipping canceled"),0,1)</x:f>
        <x:v>1</x:v>
      </x:c>
      <x:c r="K4413" s="6" t="n">
        <x:f>IF(G4413&gt;H4413,1,0)</x:f>
        <x:v>0</x:v>
      </x:c>
      <x:c r="L4413" s="6" t="n">
        <x:f>J4413*K4413</x:f>
        <x:v>0</x:v>
      </x:c>
    </x:row>
    <x:row r="4414">
      <x:c r="A4414" s="1" t="n">
        <x:v>33744</x:v>
      </x:c>
      <x:c r="B4414" s="5" t="d">
        <x:v>2016-05-07T00:00:00.000Z</x:v>
      </x:c>
      <x:c r="C4414" s="1" t="str">
        <x:v>Standard Class</x:v>
      </x:c>
      <x:c r="D4414" s="1" t="str">
        <x:v>USCA</x:v>
      </x:c>
      <x:c r="E4414" s="1" t="str">
        <x:v>PROCESSING</x:v>
      </x:c>
      <x:c r="F4414" s="1" t="str">
        <x:v>Late delivery</x:v>
      </x:c>
      <x:c r="G4414" s="6" t="n">
        <x:v>5</x:v>
      </x:c>
      <x:c r="H4414" s="6" t="n">
        <x:v>4</x:v>
      </x:c>
      <x:c r="I4414" s="6" t="n">
        <x:f>G4414-H4414</x:f>
        <x:v>1</x:v>
      </x:c>
      <x:c r="J4414" s="6" t="n">
        <x:f>IF(OR(E4414="CANCELED",E4414="SUSPECTED_FRAUD",F4414="Shipping canceled"),0,1)</x:f>
        <x:v>1</x:v>
      </x:c>
      <x:c r="K4414" s="6" t="n">
        <x:f>IF(G4414&gt;H4414,1,0)</x:f>
        <x:v>1</x:v>
      </x:c>
      <x:c r="L4414" s="6" t="n">
        <x:f>J4414*K4414</x:f>
        <x:v>1</x:v>
      </x:c>
    </x:row>
    <x:row r="4415">
      <x:c r="A4415" s="1" t="n">
        <x:v>33750</x:v>
      </x:c>
      <x:c r="B4415" s="5" t="d">
        <x:v>2016-05-07T00:00:00.000Z</x:v>
      </x:c>
      <x:c r="C4415" s="1" t="str">
        <x:v>Standard Class</x:v>
      </x:c>
      <x:c r="D4415" s="1" t="str">
        <x:v>USCA</x:v>
      </x:c>
      <x:c r="E4415" s="1" t="str">
        <x:v>PENDING_PAYMENT</x:v>
      </x:c>
      <x:c r="F4415" s="1" t="str">
        <x:v>Late delivery</x:v>
      </x:c>
      <x:c r="G4415" s="6" t="n">
        <x:v>6</x:v>
      </x:c>
      <x:c r="H4415" s="6" t="n">
        <x:v>4</x:v>
      </x:c>
      <x:c r="I4415" s="6" t="n">
        <x:f>G4415-H4415</x:f>
        <x:v>2</x:v>
      </x:c>
      <x:c r="J4415" s="6" t="n">
        <x:f>IF(OR(E4415="CANCELED",E4415="SUSPECTED_FRAUD",F4415="Shipping canceled"),0,1)</x:f>
        <x:v>1</x:v>
      </x:c>
      <x:c r="K4415" s="6" t="n">
        <x:f>IF(G4415&gt;H4415,1,0)</x:f>
        <x:v>1</x:v>
      </x:c>
      <x:c r="L4415" s="6" t="n">
        <x:f>J4415*K4415</x:f>
        <x:v>1</x:v>
      </x:c>
    </x:row>
    <x:row r="4416">
      <x:c r="A4416" s="1" t="n">
        <x:v>33796</x:v>
      </x:c>
      <x:c r="B4416" s="5" t="d">
        <x:v>2016-05-08T00:00:00.000Z</x:v>
      </x:c>
      <x:c r="C4416" s="1" t="str">
        <x:v>Standard Class</x:v>
      </x:c>
      <x:c r="D4416" s="1" t="str">
        <x:v>USCA</x:v>
      </x:c>
      <x:c r="E4416" s="1" t="str">
        <x:v>COMPLETE</x:v>
      </x:c>
      <x:c r="F4416" s="1" t="str">
        <x:v>Advance shipping</x:v>
      </x:c>
      <x:c r="G4416" s="6" t="n">
        <x:v>2</x:v>
      </x:c>
      <x:c r="H4416" s="6" t="n">
        <x:v>4</x:v>
      </x:c>
      <x:c r="I4416" s="6" t="n">
        <x:f>G4416-H4416</x:f>
        <x:v>-2</x:v>
      </x:c>
      <x:c r="J4416" s="6" t="n">
        <x:f>IF(OR(E4416="CANCELED",E4416="SUSPECTED_FRAUD",F4416="Shipping canceled"),0,1)</x:f>
        <x:v>1</x:v>
      </x:c>
      <x:c r="K4416" s="6" t="n">
        <x:f>IF(G4416&gt;H4416,1,0)</x:f>
        <x:v>0</x:v>
      </x:c>
      <x:c r="L4416" s="6" t="n">
        <x:f>J4416*K4416</x:f>
        <x:v>0</x:v>
      </x:c>
    </x:row>
    <x:row r="4417">
      <x:c r="A4417" s="1" t="n">
        <x:v>33806</x:v>
      </x:c>
      <x:c r="B4417" s="5" t="d">
        <x:v>2016-05-08T00:00:00.000Z</x:v>
      </x:c>
      <x:c r="C4417" s="1" t="str">
        <x:v>Second Class</x:v>
      </x:c>
      <x:c r="D4417" s="1" t="str">
        <x:v>USCA</x:v>
      </x:c>
      <x:c r="E4417" s="1" t="str">
        <x:v>CLOSED</x:v>
      </x:c>
      <x:c r="F4417" s="1" t="str">
        <x:v>Shipping on time</x:v>
      </x:c>
      <x:c r="G4417" s="6" t="n">
        <x:v>2</x:v>
      </x:c>
      <x:c r="H4417" s="6" t="n">
        <x:v>2</x:v>
      </x:c>
      <x:c r="I4417" s="6" t="n">
        <x:f>G4417-H4417</x:f>
        <x:v>0</x:v>
      </x:c>
      <x:c r="J4417" s="6" t="n">
        <x:f>IF(OR(E4417="CANCELED",E4417="SUSPECTED_FRAUD",F4417="Shipping canceled"),0,1)</x:f>
        <x:v>1</x:v>
      </x:c>
      <x:c r="K4417" s="6" t="n">
        <x:f>IF(G4417&gt;H4417,1,0)</x:f>
        <x:v>0</x:v>
      </x:c>
      <x:c r="L4417" s="6" t="n">
        <x:f>J4417*K4417</x:f>
        <x:v>0</x:v>
      </x:c>
    </x:row>
    <x:row r="4418">
      <x:c r="A4418" s="1" t="n">
        <x:v>33808</x:v>
      </x:c>
      <x:c r="B4418" s="5" t="d">
        <x:v>2016-05-08T00:00:00.000Z</x:v>
      </x:c>
      <x:c r="C4418" s="1" t="str">
        <x:v>Second Class</x:v>
      </x:c>
      <x:c r="D4418" s="1" t="str">
        <x:v>USCA</x:v>
      </x:c>
      <x:c r="E4418" s="1" t="str">
        <x:v>COMPLETE</x:v>
      </x:c>
      <x:c r="F4418" s="1" t="str">
        <x:v>Late delivery</x:v>
      </x:c>
      <x:c r="G4418" s="6" t="n">
        <x:v>4</x:v>
      </x:c>
      <x:c r="H4418" s="6" t="n">
        <x:v>2</x:v>
      </x:c>
      <x:c r="I4418" s="6" t="n">
        <x:f>G4418-H4418</x:f>
        <x:v>2</x:v>
      </x:c>
      <x:c r="J4418" s="6" t="n">
        <x:f>IF(OR(E4418="CANCELED",E4418="SUSPECTED_FRAUD",F4418="Shipping canceled"),0,1)</x:f>
        <x:v>1</x:v>
      </x:c>
      <x:c r="K4418" s="6" t="n">
        <x:f>IF(G4418&gt;H4418,1,0)</x:f>
        <x:v>1</x:v>
      </x:c>
      <x:c r="L4418" s="6" t="n">
        <x:f>J4418*K4418</x:f>
        <x:v>1</x:v>
      </x:c>
    </x:row>
    <x:row r="4419">
      <x:c r="A4419" s="1" t="n">
        <x:v>33810</x:v>
      </x:c>
      <x:c r="B4419" s="5" t="d">
        <x:v>2016-05-08T00:00:00.000Z</x:v>
      </x:c>
      <x:c r="C4419" s="1" t="str">
        <x:v>Standard Class</x:v>
      </x:c>
      <x:c r="D4419" s="1" t="str">
        <x:v>USCA</x:v>
      </x:c>
      <x:c r="E4419" s="1" t="str">
        <x:v>COMPLETE</x:v>
      </x:c>
      <x:c r="F4419" s="1" t="str">
        <x:v>Late delivery</x:v>
      </x:c>
      <x:c r="G4419" s="6" t="n">
        <x:v>6</x:v>
      </x:c>
      <x:c r="H4419" s="6" t="n">
        <x:v>4</x:v>
      </x:c>
      <x:c r="I4419" s="6" t="n">
        <x:f>G4419-H4419</x:f>
        <x:v>2</x:v>
      </x:c>
      <x:c r="J4419" s="6" t="n">
        <x:f>IF(OR(E4419="CANCELED",E4419="SUSPECTED_FRAUD",F4419="Shipping canceled"),0,1)</x:f>
        <x:v>1</x:v>
      </x:c>
      <x:c r="K4419" s="6" t="n">
        <x:f>IF(G4419&gt;H4419,1,0)</x:f>
        <x:v>1</x:v>
      </x:c>
      <x:c r="L4419" s="6" t="n">
        <x:f>J4419*K4419</x:f>
        <x:v>1</x:v>
      </x:c>
    </x:row>
    <x:row r="4420">
      <x:c r="A4420" s="1" t="n">
        <x:v>33811</x:v>
      </x:c>
      <x:c r="B4420" s="5" t="d">
        <x:v>2016-05-08T00:00:00.000Z</x:v>
      </x:c>
      <x:c r="C4420" s="1" t="str">
        <x:v>Standard Class</x:v>
      </x:c>
      <x:c r="D4420" s="1" t="str">
        <x:v>USCA</x:v>
      </x:c>
      <x:c r="E4420" s="1" t="str">
        <x:v>PENDING_PAYMENT</x:v>
      </x:c>
      <x:c r="F4420" s="1" t="str">
        <x:v>Advance shipping</x:v>
      </x:c>
      <x:c r="G4420" s="6" t="n">
        <x:v>2</x:v>
      </x:c>
      <x:c r="H4420" s="6" t="n">
        <x:v>4</x:v>
      </x:c>
      <x:c r="I4420" s="6" t="n">
        <x:f>G4420-H4420</x:f>
        <x:v>-2</x:v>
      </x:c>
      <x:c r="J4420" s="6" t="n">
        <x:f>IF(OR(E4420="CANCELED",E4420="SUSPECTED_FRAUD",F4420="Shipping canceled"),0,1)</x:f>
        <x:v>1</x:v>
      </x:c>
      <x:c r="K4420" s="6" t="n">
        <x:f>IF(G4420&gt;H4420,1,0)</x:f>
        <x:v>0</x:v>
      </x:c>
      <x:c r="L4420" s="6" t="n">
        <x:f>J4420*K4420</x:f>
        <x:v>0</x:v>
      </x:c>
    </x:row>
    <x:row r="4421">
      <x:c r="A4421" s="1" t="n">
        <x:v>33820</x:v>
      </x:c>
      <x:c r="B4421" s="5" t="d">
        <x:v>2016-05-08T00:00:00.000Z</x:v>
      </x:c>
      <x:c r="C4421" s="1" t="str">
        <x:v>Standard Class</x:v>
      </x:c>
      <x:c r="D4421" s="1" t="str">
        <x:v>USCA</x:v>
      </x:c>
      <x:c r="E4421" s="1" t="str">
        <x:v>PENDING_PAYMENT</x:v>
      </x:c>
      <x:c r="F4421" s="1" t="str">
        <x:v>Late delivery</x:v>
      </x:c>
      <x:c r="G4421" s="6" t="n">
        <x:v>6</x:v>
      </x:c>
      <x:c r="H4421" s="6" t="n">
        <x:v>4</x:v>
      </x:c>
      <x:c r="I4421" s="6" t="n">
        <x:f>G4421-H4421</x:f>
        <x:v>2</x:v>
      </x:c>
      <x:c r="J4421" s="6" t="n">
        <x:f>IF(OR(E4421="CANCELED",E4421="SUSPECTED_FRAUD",F4421="Shipping canceled"),0,1)</x:f>
        <x:v>1</x:v>
      </x:c>
      <x:c r="K4421" s="6" t="n">
        <x:f>IF(G4421&gt;H4421,1,0)</x:f>
        <x:v>1</x:v>
      </x:c>
      <x:c r="L4421" s="6" t="n">
        <x:f>J4421*K4421</x:f>
        <x:v>1</x:v>
      </x:c>
    </x:row>
    <x:row r="4422">
      <x:c r="A4422" s="1" t="n">
        <x:v>33824</x:v>
      </x:c>
      <x:c r="B4422" s="5" t="d">
        <x:v>2016-05-08T00:00:00.000Z</x:v>
      </x:c>
      <x:c r="C4422" s="1" t="str">
        <x:v>Standard Class</x:v>
      </x:c>
      <x:c r="D4422" s="1" t="str">
        <x:v>USCA</x:v>
      </x:c>
      <x:c r="E4422" s="1" t="str">
        <x:v>SUSPECTED_FRAUD</x:v>
      </x:c>
      <x:c r="F4422" s="1" t="str">
        <x:v>Shipping canceled</x:v>
      </x:c>
      <x:c r="G4422" s="6" t="n">
        <x:v>5</x:v>
      </x:c>
      <x:c r="H4422" s="6" t="n">
        <x:v>4</x:v>
      </x:c>
      <x:c r="I4422" s="6" t="n">
        <x:f>G4422-H4422</x:f>
        <x:v>1</x:v>
      </x:c>
      <x:c r="J4422" s="6" t="n">
        <x:f>IF(OR(E4422="CANCELED",E4422="SUSPECTED_FRAUD",F4422="Shipping canceled"),0,1)</x:f>
        <x:v>0</x:v>
      </x:c>
      <x:c r="K4422" s="6" t="n">
        <x:f>IF(G4422&gt;H4422,1,0)</x:f>
        <x:v>1</x:v>
      </x:c>
      <x:c r="L4422" s="6" t="n">
        <x:f>J4422*K4422</x:f>
        <x:v>0</x:v>
      </x:c>
    </x:row>
    <x:row r="4423">
      <x:c r="A4423" s="1" t="n">
        <x:v>33828</x:v>
      </x:c>
      <x:c r="B4423" s="5" t="d">
        <x:v>2016-05-08T00:00:00.000Z</x:v>
      </x:c>
      <x:c r="C4423" s="1" t="str">
        <x:v>Second Class</x:v>
      </x:c>
      <x:c r="D4423" s="1" t="str">
        <x:v>USCA</x:v>
      </x:c>
      <x:c r="E4423" s="1" t="str">
        <x:v>COMPLETE</x:v>
      </x:c>
      <x:c r="F4423" s="1" t="str">
        <x:v>Late delivery</x:v>
      </x:c>
      <x:c r="G4423" s="6" t="n">
        <x:v>4</x:v>
      </x:c>
      <x:c r="H4423" s="6" t="n">
        <x:v>2</x:v>
      </x:c>
      <x:c r="I4423" s="6" t="n">
        <x:f>G4423-H4423</x:f>
        <x:v>2</x:v>
      </x:c>
      <x:c r="J4423" s="6" t="n">
        <x:f>IF(OR(E4423="CANCELED",E4423="SUSPECTED_FRAUD",F4423="Shipping canceled"),0,1)</x:f>
        <x:v>1</x:v>
      </x:c>
      <x:c r="K4423" s="6" t="n">
        <x:f>IF(G4423&gt;H4423,1,0)</x:f>
        <x:v>1</x:v>
      </x:c>
      <x:c r="L4423" s="6" t="n">
        <x:f>J4423*K4423</x:f>
        <x:v>1</x:v>
      </x:c>
    </x:row>
    <x:row r="4424">
      <x:c r="A4424" s="1" t="n">
        <x:v>33830</x:v>
      </x:c>
      <x:c r="B4424" s="5" t="d">
        <x:v>2016-05-08T00:00:00.000Z</x:v>
      </x:c>
      <x:c r="C4424" s="1" t="str">
        <x:v>Second Class</x:v>
      </x:c>
      <x:c r="D4424" s="1" t="str">
        <x:v>USCA</x:v>
      </x:c>
      <x:c r="E4424" s="1" t="str">
        <x:v>COMPLETE</x:v>
      </x:c>
      <x:c r="F4424" s="1" t="str">
        <x:v>Late delivery</x:v>
      </x:c>
      <x:c r="G4424" s="6" t="n">
        <x:v>6</x:v>
      </x:c>
      <x:c r="H4424" s="6" t="n">
        <x:v>2</x:v>
      </x:c>
      <x:c r="I4424" s="6" t="n">
        <x:f>G4424-H4424</x:f>
        <x:v>4</x:v>
      </x:c>
      <x:c r="J4424" s="6" t="n">
        <x:f>IF(OR(E4424="CANCELED",E4424="SUSPECTED_FRAUD",F4424="Shipping canceled"),0,1)</x:f>
        <x:v>1</x:v>
      </x:c>
      <x:c r="K4424" s="6" t="n">
        <x:f>IF(G4424&gt;H4424,1,0)</x:f>
        <x:v>1</x:v>
      </x:c>
      <x:c r="L4424" s="6" t="n">
        <x:f>J4424*K4424</x:f>
        <x:v>1</x:v>
      </x:c>
    </x:row>
    <x:row r="4425">
      <x:c r="A4425" s="1" t="n">
        <x:v>33833</x:v>
      </x:c>
      <x:c r="B4425" s="5" t="d">
        <x:v>2016-05-08T00:00:00.000Z</x:v>
      </x:c>
      <x:c r="C4425" s="1" t="str">
        <x:v>Standard Class</x:v>
      </x:c>
      <x:c r="D4425" s="1" t="str">
        <x:v>USCA</x:v>
      </x:c>
      <x:c r="E4425" s="1" t="str">
        <x:v>COMPLETE</x:v>
      </x:c>
      <x:c r="F4425" s="1" t="str">
        <x:v>Shipping on time</x:v>
      </x:c>
      <x:c r="G4425" s="6" t="n">
        <x:v>4</x:v>
      </x:c>
      <x:c r="H4425" s="6" t="n">
        <x:v>4</x:v>
      </x:c>
      <x:c r="I4425" s="6" t="n">
        <x:f>G4425-H4425</x:f>
        <x:v>0</x:v>
      </x:c>
      <x:c r="J4425" s="6" t="n">
        <x:f>IF(OR(E4425="CANCELED",E4425="SUSPECTED_FRAUD",F4425="Shipping canceled"),0,1)</x:f>
        <x:v>1</x:v>
      </x:c>
      <x:c r="K4425" s="6" t="n">
        <x:f>IF(G4425&gt;H4425,1,0)</x:f>
        <x:v>0</x:v>
      </x:c>
      <x:c r="L4425" s="6" t="n">
        <x:f>J4425*K4425</x:f>
        <x:v>0</x:v>
      </x:c>
    </x:row>
    <x:row r="4426">
      <x:c r="A4426" s="1" t="n">
        <x:v>33839</x:v>
      </x:c>
      <x:c r="B4426" s="5" t="d">
        <x:v>2016-05-08T00:00:00.000Z</x:v>
      </x:c>
      <x:c r="C4426" s="1" t="str">
        <x:v>Standard Class</x:v>
      </x:c>
      <x:c r="D4426" s="1" t="str">
        <x:v>USCA</x:v>
      </x:c>
      <x:c r="E4426" s="1" t="str">
        <x:v>COMPLETE</x:v>
      </x:c>
      <x:c r="F4426" s="1" t="str">
        <x:v>Late delivery</x:v>
      </x:c>
      <x:c r="G4426" s="6" t="n">
        <x:v>5</x:v>
      </x:c>
      <x:c r="H4426" s="6" t="n">
        <x:v>4</x:v>
      </x:c>
      <x:c r="I4426" s="6" t="n">
        <x:f>G4426-H4426</x:f>
        <x:v>1</x:v>
      </x:c>
      <x:c r="J4426" s="6" t="n">
        <x:f>IF(OR(E4426="CANCELED",E4426="SUSPECTED_FRAUD",F4426="Shipping canceled"),0,1)</x:f>
        <x:v>1</x:v>
      </x:c>
      <x:c r="K4426" s="6" t="n">
        <x:f>IF(G4426&gt;H4426,1,0)</x:f>
        <x:v>1</x:v>
      </x:c>
      <x:c r="L4426" s="6" t="n">
        <x:f>J4426*K4426</x:f>
        <x:v>1</x:v>
      </x:c>
    </x:row>
    <x:row r="4427">
      <x:c r="A4427" s="1" t="n">
        <x:v>33847</x:v>
      </x:c>
      <x:c r="B4427" s="5" t="d">
        <x:v>2016-05-09T00:00:00.000Z</x:v>
      </x:c>
      <x:c r="C4427" s="1" t="str">
        <x:v>First Class</x:v>
      </x:c>
      <x:c r="D4427" s="1" t="str">
        <x:v>USCA</x:v>
      </x:c>
      <x:c r="E4427" s="1" t="str">
        <x:v>PENDING_PAYMENT</x:v>
      </x:c>
      <x:c r="F4427" s="1" t="str">
        <x:v>Late delivery</x:v>
      </x:c>
      <x:c r="G4427" s="6" t="n">
        <x:v>2</x:v>
      </x:c>
      <x:c r="H4427" s="6" t="n">
        <x:v>1</x:v>
      </x:c>
      <x:c r="I4427" s="6" t="n">
        <x:f>G4427-H4427</x:f>
        <x:v>1</x:v>
      </x:c>
      <x:c r="J4427" s="6" t="n">
        <x:f>IF(OR(E4427="CANCELED",E4427="SUSPECTED_FRAUD",F4427="Shipping canceled"),0,1)</x:f>
        <x:v>1</x:v>
      </x:c>
      <x:c r="K4427" s="6" t="n">
        <x:f>IF(G4427&gt;H4427,1,0)</x:f>
        <x:v>1</x:v>
      </x:c>
      <x:c r="L4427" s="6" t="n">
        <x:f>J4427*K4427</x:f>
        <x:v>1</x:v>
      </x:c>
    </x:row>
    <x:row r="4428">
      <x:c r="A4428" s="1" t="n">
        <x:v>33849</x:v>
      </x:c>
      <x:c r="B4428" s="5" t="d">
        <x:v>2016-05-09T00:00:00.000Z</x:v>
      </x:c>
      <x:c r="C4428" s="1" t="str">
        <x:v>Standard Class</x:v>
      </x:c>
      <x:c r="D4428" s="1" t="str">
        <x:v>USCA</x:v>
      </x:c>
      <x:c r="E4428" s="1" t="str">
        <x:v>PROCESSING</x:v>
      </x:c>
      <x:c r="F4428" s="1" t="str">
        <x:v>Late delivery</x:v>
      </x:c>
      <x:c r="G4428" s="6" t="n">
        <x:v>5</x:v>
      </x:c>
      <x:c r="H4428" s="6" t="n">
        <x:v>4</x:v>
      </x:c>
      <x:c r="I4428" s="6" t="n">
        <x:f>G4428-H4428</x:f>
        <x:v>1</x:v>
      </x:c>
      <x:c r="J4428" s="6" t="n">
        <x:f>IF(OR(E4428="CANCELED",E4428="SUSPECTED_FRAUD",F4428="Shipping canceled"),0,1)</x:f>
        <x:v>1</x:v>
      </x:c>
      <x:c r="K4428" s="6" t="n">
        <x:f>IF(G4428&gt;H4428,1,0)</x:f>
        <x:v>1</x:v>
      </x:c>
      <x:c r="L4428" s="6" t="n">
        <x:f>J4428*K4428</x:f>
        <x:v>1</x:v>
      </x:c>
    </x:row>
    <x:row r="4429">
      <x:c r="A4429" s="1" t="n">
        <x:v>33851</x:v>
      </x:c>
      <x:c r="B4429" s="5" t="d">
        <x:v>2016-05-09T00:00:00.000Z</x:v>
      </x:c>
      <x:c r="C4429" s="1" t="str">
        <x:v>Standard Class</x:v>
      </x:c>
      <x:c r="D4429" s="1" t="str">
        <x:v>USCA</x:v>
      </x:c>
      <x:c r="E4429" s="1" t="str">
        <x:v>COMPLETE</x:v>
      </x:c>
      <x:c r="F4429" s="1" t="str">
        <x:v>Advance shipping</x:v>
      </x:c>
      <x:c r="G4429" s="6" t="n">
        <x:v>2</x:v>
      </x:c>
      <x:c r="H4429" s="6" t="n">
        <x:v>4</x:v>
      </x:c>
      <x:c r="I4429" s="6" t="n">
        <x:f>G4429-H4429</x:f>
        <x:v>-2</x:v>
      </x:c>
      <x:c r="J4429" s="6" t="n">
        <x:f>IF(OR(E4429="CANCELED",E4429="SUSPECTED_FRAUD",F4429="Shipping canceled"),0,1)</x:f>
        <x:v>1</x:v>
      </x:c>
      <x:c r="K4429" s="6" t="n">
        <x:f>IF(G4429&gt;H4429,1,0)</x:f>
        <x:v>0</x:v>
      </x:c>
      <x:c r="L4429" s="6" t="n">
        <x:f>J4429*K4429</x:f>
        <x:v>0</x:v>
      </x:c>
    </x:row>
    <x:row r="4430">
      <x:c r="A4430" s="1" t="n">
        <x:v>33862</x:v>
      </x:c>
      <x:c r="B4430" s="5" t="d">
        <x:v>2016-05-09T00:00:00.000Z</x:v>
      </x:c>
      <x:c r="C4430" s="1" t="str">
        <x:v>Second Class</x:v>
      </x:c>
      <x:c r="D4430" s="1" t="str">
        <x:v>USCA</x:v>
      </x:c>
      <x:c r="E4430" s="1" t="str">
        <x:v>ON_HOLD</x:v>
      </x:c>
      <x:c r="F4430" s="1" t="str">
        <x:v>Late delivery</x:v>
      </x:c>
      <x:c r="G4430" s="6" t="n">
        <x:v>3</x:v>
      </x:c>
      <x:c r="H4430" s="6" t="n">
        <x:v>2</x:v>
      </x:c>
      <x:c r="I4430" s="6" t="n">
        <x:f>G4430-H4430</x:f>
        <x:v>1</x:v>
      </x:c>
      <x:c r="J4430" s="6" t="n">
        <x:f>IF(OR(E4430="CANCELED",E4430="SUSPECTED_FRAUD",F4430="Shipping canceled"),0,1)</x:f>
        <x:v>1</x:v>
      </x:c>
      <x:c r="K4430" s="6" t="n">
        <x:f>IF(G4430&gt;H4430,1,0)</x:f>
        <x:v>1</x:v>
      </x:c>
      <x:c r="L4430" s="6" t="n">
        <x:f>J4430*K4430</x:f>
        <x:v>1</x:v>
      </x:c>
    </x:row>
    <x:row r="4431">
      <x:c r="A4431" s="1" t="n">
        <x:v>33866</x:v>
      </x:c>
      <x:c r="B4431" s="5" t="d">
        <x:v>2016-05-09T00:00:00.000Z</x:v>
      </x:c>
      <x:c r="C4431" s="1" t="str">
        <x:v>Standard Class</x:v>
      </x:c>
      <x:c r="D4431" s="1" t="str">
        <x:v>USCA</x:v>
      </x:c>
      <x:c r="E4431" s="1" t="str">
        <x:v>PENDING_PAYMENT</x:v>
      </x:c>
      <x:c r="F4431" s="1" t="str">
        <x:v>Advance shipping</x:v>
      </x:c>
      <x:c r="G4431" s="6" t="n">
        <x:v>2</x:v>
      </x:c>
      <x:c r="H4431" s="6" t="n">
        <x:v>4</x:v>
      </x:c>
      <x:c r="I4431" s="6" t="n">
        <x:f>G4431-H4431</x:f>
        <x:v>-2</x:v>
      </x:c>
      <x:c r="J4431" s="6" t="n">
        <x:f>IF(OR(E4431="CANCELED",E4431="SUSPECTED_FRAUD",F4431="Shipping canceled"),0,1)</x:f>
        <x:v>1</x:v>
      </x:c>
      <x:c r="K4431" s="6" t="n">
        <x:f>IF(G4431&gt;H4431,1,0)</x:f>
        <x:v>0</x:v>
      </x:c>
      <x:c r="L4431" s="6" t="n">
        <x:f>J4431*K4431</x:f>
        <x:v>0</x:v>
      </x:c>
    </x:row>
    <x:row r="4432">
      <x:c r="A4432" s="1" t="n">
        <x:v>33870</x:v>
      </x:c>
      <x:c r="B4432" s="5" t="d">
        <x:v>2016-05-09T00:00:00.000Z</x:v>
      </x:c>
      <x:c r="C4432" s="1" t="str">
        <x:v>Second Class</x:v>
      </x:c>
      <x:c r="D4432" s="1" t="str">
        <x:v>USCA</x:v>
      </x:c>
      <x:c r="E4432" s="1" t="str">
        <x:v>COMPLETE</x:v>
      </x:c>
      <x:c r="F4432" s="1" t="str">
        <x:v>Late delivery</x:v>
      </x:c>
      <x:c r="G4432" s="6" t="n">
        <x:v>6</x:v>
      </x:c>
      <x:c r="H4432" s="6" t="n">
        <x:v>2</x:v>
      </x:c>
      <x:c r="I4432" s="6" t="n">
        <x:f>G4432-H4432</x:f>
        <x:v>4</x:v>
      </x:c>
      <x:c r="J4432" s="6" t="n">
        <x:f>IF(OR(E4432="CANCELED",E4432="SUSPECTED_FRAUD",F4432="Shipping canceled"),0,1)</x:f>
        <x:v>1</x:v>
      </x:c>
      <x:c r="K4432" s="6" t="n">
        <x:f>IF(G4432&gt;H4432,1,0)</x:f>
        <x:v>1</x:v>
      </x:c>
      <x:c r="L4432" s="6" t="n">
        <x:f>J4432*K4432</x:f>
        <x:v>1</x:v>
      </x:c>
    </x:row>
    <x:row r="4433">
      <x:c r="A4433" s="1" t="n">
        <x:v>33882</x:v>
      </x:c>
      <x:c r="B4433" s="5" t="d">
        <x:v>2016-05-09T00:00:00.000Z</x:v>
      </x:c>
      <x:c r="C4433" s="1" t="str">
        <x:v>Standard Class</x:v>
      </x:c>
      <x:c r="D4433" s="1" t="str">
        <x:v>USCA</x:v>
      </x:c>
      <x:c r="E4433" s="1" t="str">
        <x:v>COMPLETE</x:v>
      </x:c>
      <x:c r="F4433" s="1" t="str">
        <x:v>Advance shipping</x:v>
      </x:c>
      <x:c r="G4433" s="6" t="n">
        <x:v>3</x:v>
      </x:c>
      <x:c r="H4433" s="6" t="n">
        <x:v>4</x:v>
      </x:c>
      <x:c r="I4433" s="6" t="n">
        <x:f>G4433-H4433</x:f>
        <x:v>-1</x:v>
      </x:c>
      <x:c r="J4433" s="6" t="n">
        <x:f>IF(OR(E4433="CANCELED",E4433="SUSPECTED_FRAUD",F4433="Shipping canceled"),0,1)</x:f>
        <x:v>1</x:v>
      </x:c>
      <x:c r="K4433" s="6" t="n">
        <x:f>IF(G4433&gt;H4433,1,0)</x:f>
        <x:v>0</x:v>
      </x:c>
      <x:c r="L4433" s="6" t="n">
        <x:f>J4433*K4433</x:f>
        <x:v>0</x:v>
      </x:c>
    </x:row>
    <x:row r="4434">
      <x:c r="A4434" s="1" t="n">
        <x:v>33883</x:v>
      </x:c>
      <x:c r="B4434" s="5" t="d">
        <x:v>2016-05-09T00:00:00.000Z</x:v>
      </x:c>
      <x:c r="C4434" s="1" t="str">
        <x:v>Standard Class</x:v>
      </x:c>
      <x:c r="D4434" s="1" t="str">
        <x:v>USCA</x:v>
      </x:c>
      <x:c r="E4434" s="1" t="str">
        <x:v>PROCESSING</x:v>
      </x:c>
      <x:c r="F4434" s="1" t="str">
        <x:v>Shipping on time</x:v>
      </x:c>
      <x:c r="G4434" s="6" t="n">
        <x:v>4</x:v>
      </x:c>
      <x:c r="H4434" s="6" t="n">
        <x:v>4</x:v>
      </x:c>
      <x:c r="I4434" s="6" t="n">
        <x:f>G4434-H4434</x:f>
        <x:v>0</x:v>
      </x:c>
      <x:c r="J4434" s="6" t="n">
        <x:f>IF(OR(E4434="CANCELED",E4434="SUSPECTED_FRAUD",F4434="Shipping canceled"),0,1)</x:f>
        <x:v>1</x:v>
      </x:c>
      <x:c r="K4434" s="6" t="n">
        <x:f>IF(G4434&gt;H4434,1,0)</x:f>
        <x:v>0</x:v>
      </x:c>
      <x:c r="L4434" s="6" t="n">
        <x:f>J4434*K4434</x:f>
        <x:v>0</x:v>
      </x:c>
    </x:row>
    <x:row r="4435">
      <x:c r="A4435" s="1" t="n">
        <x:v>33884</x:v>
      </x:c>
      <x:c r="B4435" s="5" t="d">
        <x:v>2016-05-09T00:00:00.000Z</x:v>
      </x:c>
      <x:c r="C4435" s="1" t="str">
        <x:v>Standard Class</x:v>
      </x:c>
      <x:c r="D4435" s="1" t="str">
        <x:v>USCA</x:v>
      </x:c>
      <x:c r="E4435" s="1" t="str">
        <x:v>PENDING</x:v>
      </x:c>
      <x:c r="F4435" s="1" t="str">
        <x:v>Late delivery</x:v>
      </x:c>
      <x:c r="G4435" s="6" t="n">
        <x:v>5</x:v>
      </x:c>
      <x:c r="H4435" s="6" t="n">
        <x:v>4</x:v>
      </x:c>
      <x:c r="I4435" s="6" t="n">
        <x:f>G4435-H4435</x:f>
        <x:v>1</x:v>
      </x:c>
      <x:c r="J4435" s="6" t="n">
        <x:f>IF(OR(E4435="CANCELED",E4435="SUSPECTED_FRAUD",F4435="Shipping canceled"),0,1)</x:f>
        <x:v>1</x:v>
      </x:c>
      <x:c r="K4435" s="6" t="n">
        <x:f>IF(G4435&gt;H4435,1,0)</x:f>
        <x:v>1</x:v>
      </x:c>
      <x:c r="L4435" s="6" t="n">
        <x:f>J4435*K4435</x:f>
        <x:v>1</x:v>
      </x:c>
    </x:row>
    <x:row r="4436">
      <x:c r="A4436" s="1" t="n">
        <x:v>33885</x:v>
      </x:c>
      <x:c r="B4436" s="5" t="d">
        <x:v>2016-05-09T00:00:00.000Z</x:v>
      </x:c>
      <x:c r="C4436" s="1" t="str">
        <x:v>Standard Class</x:v>
      </x:c>
      <x:c r="D4436" s="1" t="str">
        <x:v>USCA</x:v>
      </x:c>
      <x:c r="E4436" s="1" t="str">
        <x:v>PENDING_PAYMENT</x:v>
      </x:c>
      <x:c r="F4436" s="1" t="str">
        <x:v>Late delivery</x:v>
      </x:c>
      <x:c r="G4436" s="6" t="n">
        <x:v>6</x:v>
      </x:c>
      <x:c r="H4436" s="6" t="n">
        <x:v>4</x:v>
      </x:c>
      <x:c r="I4436" s="6" t="n">
        <x:f>G4436-H4436</x:f>
        <x:v>2</x:v>
      </x:c>
      <x:c r="J4436" s="6" t="n">
        <x:f>IF(OR(E4436="CANCELED",E4436="SUSPECTED_FRAUD",F4436="Shipping canceled"),0,1)</x:f>
        <x:v>1</x:v>
      </x:c>
      <x:c r="K4436" s="6" t="n">
        <x:f>IF(G4436&gt;H4436,1,0)</x:f>
        <x:v>1</x:v>
      </x:c>
      <x:c r="L4436" s="6" t="n">
        <x:f>J4436*K4436</x:f>
        <x:v>1</x:v>
      </x:c>
    </x:row>
    <x:row r="4437">
      <x:c r="A4437" s="1" t="n">
        <x:v>33886</x:v>
      </x:c>
      <x:c r="B4437" s="5" t="d">
        <x:v>2016-05-09T00:00:00.000Z</x:v>
      </x:c>
      <x:c r="C4437" s="1" t="str">
        <x:v>Standard Class</x:v>
      </x:c>
      <x:c r="D4437" s="1" t="str">
        <x:v>USCA</x:v>
      </x:c>
      <x:c r="E4437" s="1" t="str">
        <x:v>COMPLETE</x:v>
      </x:c>
      <x:c r="F4437" s="1" t="str">
        <x:v>Advance shipping</x:v>
      </x:c>
      <x:c r="G4437" s="6" t="n">
        <x:v>2</x:v>
      </x:c>
      <x:c r="H4437" s="6" t="n">
        <x:v>4</x:v>
      </x:c>
      <x:c r="I4437" s="6" t="n">
        <x:f>G4437-H4437</x:f>
        <x:v>-2</x:v>
      </x:c>
      <x:c r="J4437" s="6" t="n">
        <x:f>IF(OR(E4437="CANCELED",E4437="SUSPECTED_FRAUD",F4437="Shipping canceled"),0,1)</x:f>
        <x:v>1</x:v>
      </x:c>
      <x:c r="K4437" s="6" t="n">
        <x:f>IF(G4437&gt;H4437,1,0)</x:f>
        <x:v>0</x:v>
      </x:c>
      <x:c r="L4437" s="6" t="n">
        <x:f>J4437*K4437</x:f>
        <x:v>0</x:v>
      </x:c>
    </x:row>
    <x:row r="4438">
      <x:c r="A4438" s="1" t="n">
        <x:v>33891</x:v>
      </x:c>
      <x:c r="B4438" s="5" t="d">
        <x:v>2016-05-09T00:00:00.000Z</x:v>
      </x:c>
      <x:c r="C4438" s="1" t="str">
        <x:v>Standard Class</x:v>
      </x:c>
      <x:c r="D4438" s="1" t="str">
        <x:v>USCA</x:v>
      </x:c>
      <x:c r="E4438" s="1" t="str">
        <x:v>PROCESSING</x:v>
      </x:c>
      <x:c r="F4438" s="1" t="str">
        <x:v>Advance shipping</x:v>
      </x:c>
      <x:c r="G4438" s="6" t="n">
        <x:v>2</x:v>
      </x:c>
      <x:c r="H4438" s="6" t="n">
        <x:v>4</x:v>
      </x:c>
      <x:c r="I4438" s="6" t="n">
        <x:f>G4438-H4438</x:f>
        <x:v>-2</x:v>
      </x:c>
      <x:c r="J4438" s="6" t="n">
        <x:f>IF(OR(E4438="CANCELED",E4438="SUSPECTED_FRAUD",F4438="Shipping canceled"),0,1)</x:f>
        <x:v>1</x:v>
      </x:c>
      <x:c r="K4438" s="6" t="n">
        <x:f>IF(G4438&gt;H4438,1,0)</x:f>
        <x:v>0</x:v>
      </x:c>
      <x:c r="L4438" s="6" t="n">
        <x:f>J4438*K4438</x:f>
        <x:v>0</x:v>
      </x:c>
    </x:row>
    <x:row r="4439">
      <x:c r="A4439" s="1" t="n">
        <x:v>33892</x:v>
      </x:c>
      <x:c r="B4439" s="5" t="d">
        <x:v>2016-05-09T00:00:00.000Z</x:v>
      </x:c>
      <x:c r="C4439" s="1" t="str">
        <x:v>Standard Class</x:v>
      </x:c>
      <x:c r="D4439" s="1" t="str">
        <x:v>USCA</x:v>
      </x:c>
      <x:c r="E4439" s="1" t="str">
        <x:v>PENDING_PAYMENT</x:v>
      </x:c>
      <x:c r="F4439" s="1" t="str">
        <x:v>Advance shipping</x:v>
      </x:c>
      <x:c r="G4439" s="6" t="n">
        <x:v>3</x:v>
      </x:c>
      <x:c r="H4439" s="6" t="n">
        <x:v>4</x:v>
      </x:c>
      <x:c r="I4439" s="6" t="n">
        <x:f>G4439-H4439</x:f>
        <x:v>-1</x:v>
      </x:c>
      <x:c r="J4439" s="6" t="n">
        <x:f>IF(OR(E4439="CANCELED",E4439="SUSPECTED_FRAUD",F4439="Shipping canceled"),0,1)</x:f>
        <x:v>1</x:v>
      </x:c>
      <x:c r="K4439" s="6" t="n">
        <x:f>IF(G4439&gt;H4439,1,0)</x:f>
        <x:v>0</x:v>
      </x:c>
      <x:c r="L4439" s="6" t="n">
        <x:f>J4439*K4439</x:f>
        <x:v>0</x:v>
      </x:c>
    </x:row>
    <x:row r="4440">
      <x:c r="A4440" s="1" t="n">
        <x:v>33893</x:v>
      </x:c>
      <x:c r="B4440" s="5" t="d">
        <x:v>2016-05-09T00:00:00.000Z</x:v>
      </x:c>
      <x:c r="C4440" s="1" t="str">
        <x:v>Second Class</x:v>
      </x:c>
      <x:c r="D4440" s="1" t="str">
        <x:v>USCA</x:v>
      </x:c>
      <x:c r="E4440" s="1" t="str">
        <x:v>COMPLETE</x:v>
      </x:c>
      <x:c r="F4440" s="1" t="str">
        <x:v>Late delivery</x:v>
      </x:c>
      <x:c r="G4440" s="6" t="n">
        <x:v>4</x:v>
      </x:c>
      <x:c r="H4440" s="6" t="n">
        <x:v>2</x:v>
      </x:c>
      <x:c r="I4440" s="6" t="n">
        <x:f>G4440-H4440</x:f>
        <x:v>2</x:v>
      </x:c>
      <x:c r="J4440" s="6" t="n">
        <x:f>IF(OR(E4440="CANCELED",E4440="SUSPECTED_FRAUD",F4440="Shipping canceled"),0,1)</x:f>
        <x:v>1</x:v>
      </x:c>
      <x:c r="K4440" s="6" t="n">
        <x:f>IF(G4440&gt;H4440,1,0)</x:f>
        <x:v>1</x:v>
      </x:c>
      <x:c r="L4440" s="6" t="n">
        <x:f>J4440*K4440</x:f>
        <x:v>1</x:v>
      </x:c>
    </x:row>
    <x:row r="4441">
      <x:c r="A4441" s="1" t="n">
        <x:v>33895</x:v>
      </x:c>
      <x:c r="B4441" s="5" t="d">
        <x:v>2016-05-09T00:00:00.000Z</x:v>
      </x:c>
      <x:c r="C4441" s="1" t="str">
        <x:v>Standard Class</x:v>
      </x:c>
      <x:c r="D4441" s="1" t="str">
        <x:v>USCA</x:v>
      </x:c>
      <x:c r="E4441" s="1" t="str">
        <x:v>COMPLETE</x:v>
      </x:c>
      <x:c r="F4441" s="1" t="str">
        <x:v>Late delivery</x:v>
      </x:c>
      <x:c r="G4441" s="6" t="n">
        <x:v>6</x:v>
      </x:c>
      <x:c r="H4441" s="6" t="n">
        <x:v>4</x:v>
      </x:c>
      <x:c r="I4441" s="6" t="n">
        <x:f>G4441-H4441</x:f>
        <x:v>2</x:v>
      </x:c>
      <x:c r="J4441" s="6" t="n">
        <x:f>IF(OR(E4441="CANCELED",E4441="SUSPECTED_FRAUD",F4441="Shipping canceled"),0,1)</x:f>
        <x:v>1</x:v>
      </x:c>
      <x:c r="K4441" s="6" t="n">
        <x:f>IF(G4441&gt;H4441,1,0)</x:f>
        <x:v>1</x:v>
      </x:c>
      <x:c r="L4441" s="6" t="n">
        <x:f>J4441*K4441</x:f>
        <x:v>1</x:v>
      </x:c>
    </x:row>
    <x:row r="4442">
      <x:c r="A4442" s="1" t="n">
        <x:v>33896</x:v>
      </x:c>
      <x:c r="B4442" s="5" t="d">
        <x:v>2016-05-09T00:00:00.000Z</x:v>
      </x:c>
      <x:c r="C4442" s="1" t="str">
        <x:v>Standard Class</x:v>
      </x:c>
      <x:c r="D4442" s="1" t="str">
        <x:v>USCA</x:v>
      </x:c>
      <x:c r="E4442" s="1" t="str">
        <x:v>COMPLETE</x:v>
      </x:c>
      <x:c r="F4442" s="1" t="str">
        <x:v>Advance shipping</x:v>
      </x:c>
      <x:c r="G4442" s="6" t="n">
        <x:v>2</x:v>
      </x:c>
      <x:c r="H4442" s="6" t="n">
        <x:v>4</x:v>
      </x:c>
      <x:c r="I4442" s="6" t="n">
        <x:f>G4442-H4442</x:f>
        <x:v>-2</x:v>
      </x:c>
      <x:c r="J4442" s="6" t="n">
        <x:f>IF(OR(E4442="CANCELED",E4442="SUSPECTED_FRAUD",F4442="Shipping canceled"),0,1)</x:f>
        <x:v>1</x:v>
      </x:c>
      <x:c r="K4442" s="6" t="n">
        <x:f>IF(G4442&gt;H4442,1,0)</x:f>
        <x:v>0</x:v>
      </x:c>
      <x:c r="L4442" s="6" t="n">
        <x:f>J4442*K4442</x:f>
        <x:v>0</x:v>
      </x:c>
    </x:row>
    <x:row r="4443">
      <x:c r="A4443" s="1" t="n">
        <x:v>33902</x:v>
      </x:c>
      <x:c r="B4443" s="5" t="d">
        <x:v>2016-05-09T00:00:00.000Z</x:v>
      </x:c>
      <x:c r="C4443" s="1" t="str">
        <x:v>Standard Class</x:v>
      </x:c>
      <x:c r="D4443" s="1" t="str">
        <x:v>USCA</x:v>
      </x:c>
      <x:c r="E4443" s="1" t="str">
        <x:v>PENDING_PAYMENT</x:v>
      </x:c>
      <x:c r="F4443" s="1" t="str">
        <x:v>Advance shipping</x:v>
      </x:c>
      <x:c r="G4443" s="6" t="n">
        <x:v>3</x:v>
      </x:c>
      <x:c r="H4443" s="6" t="n">
        <x:v>4</x:v>
      </x:c>
      <x:c r="I4443" s="6" t="n">
        <x:f>G4443-H4443</x:f>
        <x:v>-1</x:v>
      </x:c>
      <x:c r="J4443" s="6" t="n">
        <x:f>IF(OR(E4443="CANCELED",E4443="SUSPECTED_FRAUD",F4443="Shipping canceled"),0,1)</x:f>
        <x:v>1</x:v>
      </x:c>
      <x:c r="K4443" s="6" t="n">
        <x:f>IF(G4443&gt;H4443,1,0)</x:f>
        <x:v>0</x:v>
      </x:c>
      <x:c r="L4443" s="6" t="n">
        <x:f>J4443*K4443</x:f>
        <x:v>0</x:v>
      </x:c>
    </x:row>
    <x:row r="4444">
      <x:c r="A4444" s="1" t="n">
        <x:v>33925</x:v>
      </x:c>
      <x:c r="B4444" s="5" t="d">
        <x:v>2016-05-10T00:00:00.000Z</x:v>
      </x:c>
      <x:c r="C4444" s="1" t="str">
        <x:v>Standard Class</x:v>
      </x:c>
      <x:c r="D4444" s="1" t="str">
        <x:v>USCA</x:v>
      </x:c>
      <x:c r="E4444" s="1" t="str">
        <x:v>COMPLETE</x:v>
      </x:c>
      <x:c r="F4444" s="1" t="str">
        <x:v>Late delivery</x:v>
      </x:c>
      <x:c r="G4444" s="6" t="n">
        <x:v>6</x:v>
      </x:c>
      <x:c r="H4444" s="6" t="n">
        <x:v>4</x:v>
      </x:c>
      <x:c r="I4444" s="6" t="n">
        <x:f>G4444-H4444</x:f>
        <x:v>2</x:v>
      </x:c>
      <x:c r="J4444" s="6" t="n">
        <x:f>IF(OR(E4444="CANCELED",E4444="SUSPECTED_FRAUD",F4444="Shipping canceled"),0,1)</x:f>
        <x:v>1</x:v>
      </x:c>
      <x:c r="K4444" s="6" t="n">
        <x:f>IF(G4444&gt;H4444,1,0)</x:f>
        <x:v>1</x:v>
      </x:c>
      <x:c r="L4444" s="6" t="n">
        <x:f>J4444*K4444</x:f>
        <x:v>1</x:v>
      </x:c>
    </x:row>
    <x:row r="4445">
      <x:c r="A4445" s="1" t="n">
        <x:v>33930</x:v>
      </x:c>
      <x:c r="B4445" s="5" t="d">
        <x:v>2016-05-10T00:00:00.000Z</x:v>
      </x:c>
      <x:c r="C4445" s="1" t="str">
        <x:v>Standard Class</x:v>
      </x:c>
      <x:c r="D4445" s="1" t="str">
        <x:v>USCA</x:v>
      </x:c>
      <x:c r="E4445" s="1" t="str">
        <x:v>COMPLETE</x:v>
      </x:c>
      <x:c r="F4445" s="1" t="str">
        <x:v>Late delivery</x:v>
      </x:c>
      <x:c r="G4445" s="6" t="n">
        <x:v>6</x:v>
      </x:c>
      <x:c r="H4445" s="6" t="n">
        <x:v>4</x:v>
      </x:c>
      <x:c r="I4445" s="6" t="n">
        <x:f>G4445-H4445</x:f>
        <x:v>2</x:v>
      </x:c>
      <x:c r="J4445" s="6" t="n">
        <x:f>IF(OR(E4445="CANCELED",E4445="SUSPECTED_FRAUD",F4445="Shipping canceled"),0,1)</x:f>
        <x:v>1</x:v>
      </x:c>
      <x:c r="K4445" s="6" t="n">
        <x:f>IF(G4445&gt;H4445,1,0)</x:f>
        <x:v>1</x:v>
      </x:c>
      <x:c r="L4445" s="6" t="n">
        <x:f>J4445*K4445</x:f>
        <x:v>1</x:v>
      </x:c>
    </x:row>
    <x:row r="4446">
      <x:c r="A4446" s="1" t="n">
        <x:v>33943</x:v>
      </x:c>
      <x:c r="B4446" s="5" t="d">
        <x:v>2016-05-10T00:00:00.000Z</x:v>
      </x:c>
      <x:c r="C4446" s="1" t="str">
        <x:v>Standard Class</x:v>
      </x:c>
      <x:c r="D4446" s="1" t="str">
        <x:v>USCA</x:v>
      </x:c>
      <x:c r="E4446" s="1" t="str">
        <x:v>COMPLETE</x:v>
      </x:c>
      <x:c r="F4446" s="1" t="str">
        <x:v>Shipping on time</x:v>
      </x:c>
      <x:c r="G4446" s="6" t="n">
        <x:v>4</x:v>
      </x:c>
      <x:c r="H4446" s="6" t="n">
        <x:v>4</x:v>
      </x:c>
      <x:c r="I4446" s="6" t="n">
        <x:f>G4446-H4446</x:f>
        <x:v>0</x:v>
      </x:c>
      <x:c r="J4446" s="6" t="n">
        <x:f>IF(OR(E4446="CANCELED",E4446="SUSPECTED_FRAUD",F4446="Shipping canceled"),0,1)</x:f>
        <x:v>1</x:v>
      </x:c>
      <x:c r="K4446" s="6" t="n">
        <x:f>IF(G4446&gt;H4446,1,0)</x:f>
        <x:v>0</x:v>
      </x:c>
      <x:c r="L4446" s="6" t="n">
        <x:f>J4446*K4446</x:f>
        <x:v>0</x:v>
      </x:c>
    </x:row>
    <x:row r="4447">
      <x:c r="A4447" s="1" t="n">
        <x:v>33947</x:v>
      </x:c>
      <x:c r="B4447" s="5" t="d">
        <x:v>2016-05-10T00:00:00.000Z</x:v>
      </x:c>
      <x:c r="C4447" s="1" t="str">
        <x:v>Second Class</x:v>
      </x:c>
      <x:c r="D4447" s="1" t="str">
        <x:v>USCA</x:v>
      </x:c>
      <x:c r="E4447" s="1" t="str">
        <x:v>CLOSED</x:v>
      </x:c>
      <x:c r="F4447" s="1" t="str">
        <x:v>Late delivery</x:v>
      </x:c>
      <x:c r="G4447" s="6" t="n">
        <x:v>3</x:v>
      </x:c>
      <x:c r="H4447" s="6" t="n">
        <x:v>2</x:v>
      </x:c>
      <x:c r="I4447" s="6" t="n">
        <x:f>G4447-H4447</x:f>
        <x:v>1</x:v>
      </x:c>
      <x:c r="J4447" s="6" t="n">
        <x:f>IF(OR(E4447="CANCELED",E4447="SUSPECTED_FRAUD",F4447="Shipping canceled"),0,1)</x:f>
        <x:v>1</x:v>
      </x:c>
      <x:c r="K4447" s="6" t="n">
        <x:f>IF(G4447&gt;H4447,1,0)</x:f>
        <x:v>1</x:v>
      </x:c>
      <x:c r="L4447" s="6" t="n">
        <x:f>J4447*K4447</x:f>
        <x:v>1</x:v>
      </x:c>
    </x:row>
    <x:row r="4448">
      <x:c r="A4448" s="1" t="n">
        <x:v>33961</x:v>
      </x:c>
      <x:c r="B4448" s="5" t="d">
        <x:v>2016-05-10T00:00:00.000Z</x:v>
      </x:c>
      <x:c r="C4448" s="1" t="str">
        <x:v>Standard Class</x:v>
      </x:c>
      <x:c r="D4448" s="1" t="str">
        <x:v>USCA</x:v>
      </x:c>
      <x:c r="E4448" s="1" t="str">
        <x:v>PENDING</x:v>
      </x:c>
      <x:c r="F4448" s="1" t="str">
        <x:v>Advance shipping</x:v>
      </x:c>
      <x:c r="G4448" s="6" t="n">
        <x:v>2</x:v>
      </x:c>
      <x:c r="H4448" s="6" t="n">
        <x:v>4</x:v>
      </x:c>
      <x:c r="I4448" s="6" t="n">
        <x:f>G4448-H4448</x:f>
        <x:v>-2</x:v>
      </x:c>
      <x:c r="J4448" s="6" t="n">
        <x:f>IF(OR(E4448="CANCELED",E4448="SUSPECTED_FRAUD",F4448="Shipping canceled"),0,1)</x:f>
        <x:v>1</x:v>
      </x:c>
      <x:c r="K4448" s="6" t="n">
        <x:f>IF(G4448&gt;H4448,1,0)</x:f>
        <x:v>0</x:v>
      </x:c>
      <x:c r="L4448" s="6" t="n">
        <x:f>J4448*K4448</x:f>
        <x:v>0</x:v>
      </x:c>
    </x:row>
    <x:row r="4449">
      <x:c r="A4449" s="1" t="n">
        <x:v>33987</x:v>
      </x:c>
      <x:c r="B4449" s="5" t="d">
        <x:v>2016-05-11T00:00:00.000Z</x:v>
      </x:c>
      <x:c r="C4449" s="1" t="str">
        <x:v>Standard Class</x:v>
      </x:c>
      <x:c r="D4449" s="1" t="str">
        <x:v>USCA</x:v>
      </x:c>
      <x:c r="E4449" s="1" t="str">
        <x:v>COMPLETE</x:v>
      </x:c>
      <x:c r="F4449" s="1" t="str">
        <x:v>Advance shipping</x:v>
      </x:c>
      <x:c r="G4449" s="6" t="n">
        <x:v>3</x:v>
      </x:c>
      <x:c r="H4449" s="6" t="n">
        <x:v>4</x:v>
      </x:c>
      <x:c r="I4449" s="6" t="n">
        <x:f>G4449-H4449</x:f>
        <x:v>-1</x:v>
      </x:c>
      <x:c r="J4449" s="6" t="n">
        <x:f>IF(OR(E4449="CANCELED",E4449="SUSPECTED_FRAUD",F4449="Shipping canceled"),0,1)</x:f>
        <x:v>1</x:v>
      </x:c>
      <x:c r="K4449" s="6" t="n">
        <x:f>IF(G4449&gt;H4449,1,0)</x:f>
        <x:v>0</x:v>
      </x:c>
      <x:c r="L4449" s="6" t="n">
        <x:f>J4449*K4449</x:f>
        <x:v>0</x:v>
      </x:c>
    </x:row>
    <x:row r="4450">
      <x:c r="A4450" s="1" t="n">
        <x:v>33989</x:v>
      </x:c>
      <x:c r="B4450" s="5" t="d">
        <x:v>2016-05-11T00:00:00.000Z</x:v>
      </x:c>
      <x:c r="C4450" s="1" t="str">
        <x:v>Second Class</x:v>
      </x:c>
      <x:c r="D4450" s="1" t="str">
        <x:v>USCA</x:v>
      </x:c>
      <x:c r="E4450" s="1" t="str">
        <x:v>PENDING_PAYMENT</x:v>
      </x:c>
      <x:c r="F4450" s="1" t="str">
        <x:v>Late delivery</x:v>
      </x:c>
      <x:c r="G4450" s="6" t="n">
        <x:v>5</x:v>
      </x:c>
      <x:c r="H4450" s="6" t="n">
        <x:v>2</x:v>
      </x:c>
      <x:c r="I4450" s="6" t="n">
        <x:f>G4450-H4450</x:f>
        <x:v>3</x:v>
      </x:c>
      <x:c r="J4450" s="6" t="n">
        <x:f>IF(OR(E4450="CANCELED",E4450="SUSPECTED_FRAUD",F4450="Shipping canceled"),0,1)</x:f>
        <x:v>1</x:v>
      </x:c>
      <x:c r="K4450" s="6" t="n">
        <x:f>IF(G4450&gt;H4450,1,0)</x:f>
        <x:v>1</x:v>
      </x:c>
      <x:c r="L4450" s="6" t="n">
        <x:f>J4450*K4450</x:f>
        <x:v>1</x:v>
      </x:c>
    </x:row>
    <x:row r="4451">
      <x:c r="A4451" s="1" t="n">
        <x:v>34004</x:v>
      </x:c>
      <x:c r="B4451" s="5" t="d">
        <x:v>2016-05-11T00:00:00.000Z</x:v>
      </x:c>
      <x:c r="C4451" s="1" t="str">
        <x:v>Second Class</x:v>
      </x:c>
      <x:c r="D4451" s="1" t="str">
        <x:v>USCA</x:v>
      </x:c>
      <x:c r="E4451" s="1" t="str">
        <x:v>PENDING</x:v>
      </x:c>
      <x:c r="F4451" s="1" t="str">
        <x:v>Late delivery</x:v>
      </x:c>
      <x:c r="G4451" s="6" t="n">
        <x:v>5</x:v>
      </x:c>
      <x:c r="H4451" s="6" t="n">
        <x:v>2</x:v>
      </x:c>
      <x:c r="I4451" s="6" t="n">
        <x:f>G4451-H4451</x:f>
        <x:v>3</x:v>
      </x:c>
      <x:c r="J4451" s="6" t="n">
        <x:f>IF(OR(E4451="CANCELED",E4451="SUSPECTED_FRAUD",F4451="Shipping canceled"),0,1)</x:f>
        <x:v>1</x:v>
      </x:c>
      <x:c r="K4451" s="6" t="n">
        <x:f>IF(G4451&gt;H4451,1,0)</x:f>
        <x:v>1</x:v>
      </x:c>
      <x:c r="L4451" s="6" t="n">
        <x:f>J4451*K4451</x:f>
        <x:v>1</x:v>
      </x:c>
    </x:row>
    <x:row r="4452">
      <x:c r="A4452" s="1" t="n">
        <x:v>34013</x:v>
      </x:c>
      <x:c r="B4452" s="5" t="d">
        <x:v>2016-05-11T00:00:00.000Z</x:v>
      </x:c>
      <x:c r="C4452" s="1" t="str">
        <x:v>First Class</x:v>
      </x:c>
      <x:c r="D4452" s="1" t="str">
        <x:v>USCA</x:v>
      </x:c>
      <x:c r="E4452" s="1" t="str">
        <x:v>CLOSED</x:v>
      </x:c>
      <x:c r="F4452" s="1" t="str">
        <x:v>Late delivery</x:v>
      </x:c>
      <x:c r="G4452" s="6" t="n">
        <x:v>2</x:v>
      </x:c>
      <x:c r="H4452" s="6" t="n">
        <x:v>1</x:v>
      </x:c>
      <x:c r="I4452" s="6" t="n">
        <x:f>G4452-H4452</x:f>
        <x:v>1</x:v>
      </x:c>
      <x:c r="J4452" s="6" t="n">
        <x:f>IF(OR(E4452="CANCELED",E4452="SUSPECTED_FRAUD",F4452="Shipping canceled"),0,1)</x:f>
        <x:v>1</x:v>
      </x:c>
      <x:c r="K4452" s="6" t="n">
        <x:f>IF(G4452&gt;H4452,1,0)</x:f>
        <x:v>1</x:v>
      </x:c>
      <x:c r="L4452" s="6" t="n">
        <x:f>J4452*K4452</x:f>
        <x:v>1</x:v>
      </x:c>
    </x:row>
    <x:row r="4453">
      <x:c r="A4453" s="1" t="n">
        <x:v>34014</x:v>
      </x:c>
      <x:c r="B4453" s="5" t="d">
        <x:v>2016-05-11T00:00:00.000Z</x:v>
      </x:c>
      <x:c r="C4453" s="1" t="str">
        <x:v>First Class</x:v>
      </x:c>
      <x:c r="D4453" s="1" t="str">
        <x:v>USCA</x:v>
      </x:c>
      <x:c r="E4453" s="1" t="str">
        <x:v>CLOSED</x:v>
      </x:c>
      <x:c r="F4453" s="1" t="str">
        <x:v>Late delivery</x:v>
      </x:c>
      <x:c r="G4453" s="6" t="n">
        <x:v>2</x:v>
      </x:c>
      <x:c r="H4453" s="6" t="n">
        <x:v>1</x:v>
      </x:c>
      <x:c r="I4453" s="6" t="n">
        <x:f>G4453-H4453</x:f>
        <x:v>1</x:v>
      </x:c>
      <x:c r="J4453" s="6" t="n">
        <x:f>IF(OR(E4453="CANCELED",E4453="SUSPECTED_FRAUD",F4453="Shipping canceled"),0,1)</x:f>
        <x:v>1</x:v>
      </x:c>
      <x:c r="K4453" s="6" t="n">
        <x:f>IF(G4453&gt;H4453,1,0)</x:f>
        <x:v>1</x:v>
      </x:c>
      <x:c r="L4453" s="6" t="n">
        <x:f>J4453*K4453</x:f>
        <x:v>1</x:v>
      </x:c>
    </x:row>
    <x:row r="4454">
      <x:c r="A4454" s="1" t="n">
        <x:v>34030</x:v>
      </x:c>
      <x:c r="B4454" s="5" t="d">
        <x:v>2016-05-11T00:00:00.000Z</x:v>
      </x:c>
      <x:c r="C4454" s="1" t="str">
        <x:v>Standard Class</x:v>
      </x:c>
      <x:c r="D4454" s="1" t="str">
        <x:v>USCA</x:v>
      </x:c>
      <x:c r="E4454" s="1" t="str">
        <x:v>PENDING</x:v>
      </x:c>
      <x:c r="F4454" s="1" t="str">
        <x:v>Late delivery</x:v>
      </x:c>
      <x:c r="G4454" s="6" t="n">
        <x:v>6</x:v>
      </x:c>
      <x:c r="H4454" s="6" t="n">
        <x:v>4</x:v>
      </x:c>
      <x:c r="I4454" s="6" t="n">
        <x:f>G4454-H4454</x:f>
        <x:v>2</x:v>
      </x:c>
      <x:c r="J4454" s="6" t="n">
        <x:f>IF(OR(E4454="CANCELED",E4454="SUSPECTED_FRAUD",F4454="Shipping canceled"),0,1)</x:f>
        <x:v>1</x:v>
      </x:c>
      <x:c r="K4454" s="6" t="n">
        <x:f>IF(G4454&gt;H4454,1,0)</x:f>
        <x:v>1</x:v>
      </x:c>
      <x:c r="L4454" s="6" t="n">
        <x:f>J4454*K4454</x:f>
        <x:v>1</x:v>
      </x:c>
    </x:row>
    <x:row r="4455">
      <x:c r="A4455" s="1" t="n">
        <x:v>34045</x:v>
      </x:c>
      <x:c r="B4455" s="5" t="d">
        <x:v>2016-05-11T00:00:00.000Z</x:v>
      </x:c>
      <x:c r="C4455" s="1" t="str">
        <x:v>Standard Class</x:v>
      </x:c>
      <x:c r="D4455" s="1" t="str">
        <x:v>USCA</x:v>
      </x:c>
      <x:c r="E4455" s="1" t="str">
        <x:v>COMPLETE</x:v>
      </x:c>
      <x:c r="F4455" s="1" t="str">
        <x:v>Late delivery</x:v>
      </x:c>
      <x:c r="G4455" s="6" t="n">
        <x:v>6</x:v>
      </x:c>
      <x:c r="H4455" s="6" t="n">
        <x:v>4</x:v>
      </x:c>
      <x:c r="I4455" s="6" t="n">
        <x:f>G4455-H4455</x:f>
        <x:v>2</x:v>
      </x:c>
      <x:c r="J4455" s="6" t="n">
        <x:f>IF(OR(E4455="CANCELED",E4455="SUSPECTED_FRAUD",F4455="Shipping canceled"),0,1)</x:f>
        <x:v>1</x:v>
      </x:c>
      <x:c r="K4455" s="6" t="n">
        <x:f>IF(G4455&gt;H4455,1,0)</x:f>
        <x:v>1</x:v>
      </x:c>
      <x:c r="L4455" s="6" t="n">
        <x:f>J4455*K4455</x:f>
        <x:v>1</x:v>
      </x:c>
    </x:row>
    <x:row r="4456">
      <x:c r="A4456" s="1" t="n">
        <x:v>34048</x:v>
      </x:c>
      <x:c r="B4456" s="5" t="d">
        <x:v>2016-05-12T00:00:00.000Z</x:v>
      </x:c>
      <x:c r="C4456" s="1" t="str">
        <x:v>First Class</x:v>
      </x:c>
      <x:c r="D4456" s="1" t="str">
        <x:v>USCA</x:v>
      </x:c>
      <x:c r="E4456" s="1" t="str">
        <x:v>CLOSED</x:v>
      </x:c>
      <x:c r="F4456" s="1" t="str">
        <x:v>Late delivery</x:v>
      </x:c>
      <x:c r="G4456" s="6" t="n">
        <x:v>2</x:v>
      </x:c>
      <x:c r="H4456" s="6" t="n">
        <x:v>1</x:v>
      </x:c>
      <x:c r="I4456" s="6" t="n">
        <x:f>G4456-H4456</x:f>
        <x:v>1</x:v>
      </x:c>
      <x:c r="J4456" s="6" t="n">
        <x:f>IF(OR(E4456="CANCELED",E4456="SUSPECTED_FRAUD",F4456="Shipping canceled"),0,1)</x:f>
        <x:v>1</x:v>
      </x:c>
      <x:c r="K4456" s="6" t="n">
        <x:f>IF(G4456&gt;H4456,1,0)</x:f>
        <x:v>1</x:v>
      </x:c>
      <x:c r="L4456" s="6" t="n">
        <x:f>J4456*K4456</x:f>
        <x:v>1</x:v>
      </x:c>
    </x:row>
    <x:row r="4457">
      <x:c r="A4457" s="1" t="n">
        <x:v>34057</x:v>
      </x:c>
      <x:c r="B4457" s="5" t="d">
        <x:v>2016-05-12T00:00:00.000Z</x:v>
      </x:c>
      <x:c r="C4457" s="1" t="str">
        <x:v>Standard Class</x:v>
      </x:c>
      <x:c r="D4457" s="1" t="str">
        <x:v>USCA</x:v>
      </x:c>
      <x:c r="E4457" s="1" t="str">
        <x:v>PENDING</x:v>
      </x:c>
      <x:c r="F4457" s="1" t="str">
        <x:v>Advance shipping</x:v>
      </x:c>
      <x:c r="G4457" s="6" t="n">
        <x:v>3</x:v>
      </x:c>
      <x:c r="H4457" s="6" t="n">
        <x:v>4</x:v>
      </x:c>
      <x:c r="I4457" s="6" t="n">
        <x:f>G4457-H4457</x:f>
        <x:v>-1</x:v>
      </x:c>
      <x:c r="J4457" s="6" t="n">
        <x:f>IF(OR(E4457="CANCELED",E4457="SUSPECTED_FRAUD",F4457="Shipping canceled"),0,1)</x:f>
        <x:v>1</x:v>
      </x:c>
      <x:c r="K4457" s="6" t="n">
        <x:f>IF(G4457&gt;H4457,1,0)</x:f>
        <x:v>0</x:v>
      </x:c>
      <x:c r="L4457" s="6" t="n">
        <x:f>J4457*K4457</x:f>
        <x:v>0</x:v>
      </x:c>
    </x:row>
    <x:row r="4458">
      <x:c r="A4458" s="1" t="n">
        <x:v>34058</x:v>
      </x:c>
      <x:c r="B4458" s="5" t="d">
        <x:v>2016-05-12T00:00:00.000Z</x:v>
      </x:c>
      <x:c r="C4458" s="1" t="str">
        <x:v>Standard Class</x:v>
      </x:c>
      <x:c r="D4458" s="1" t="str">
        <x:v>USCA</x:v>
      </x:c>
      <x:c r="E4458" s="1" t="str">
        <x:v>PROCESSING</x:v>
      </x:c>
      <x:c r="F4458" s="1" t="str">
        <x:v>Shipping on time</x:v>
      </x:c>
      <x:c r="G4458" s="6" t="n">
        <x:v>4</x:v>
      </x:c>
      <x:c r="H4458" s="6" t="n">
        <x:v>4</x:v>
      </x:c>
      <x:c r="I4458" s="6" t="n">
        <x:f>G4458-H4458</x:f>
        <x:v>0</x:v>
      </x:c>
      <x:c r="J4458" s="6" t="n">
        <x:f>IF(OR(E4458="CANCELED",E4458="SUSPECTED_FRAUD",F4458="Shipping canceled"),0,1)</x:f>
        <x:v>1</x:v>
      </x:c>
      <x:c r="K4458" s="6" t="n">
        <x:f>IF(G4458&gt;H4458,1,0)</x:f>
        <x:v>0</x:v>
      </x:c>
      <x:c r="L4458" s="6" t="n">
        <x:f>J4458*K4458</x:f>
        <x:v>0</x:v>
      </x:c>
    </x:row>
    <x:row r="4459">
      <x:c r="A4459" s="1" t="n">
        <x:v>34077</x:v>
      </x:c>
      <x:c r="B4459" s="5" t="d">
        <x:v>2016-05-12T00:00:00.000Z</x:v>
      </x:c>
      <x:c r="C4459" s="1" t="str">
        <x:v>Standard Class</x:v>
      </x:c>
      <x:c r="D4459" s="1" t="str">
        <x:v>USCA</x:v>
      </x:c>
      <x:c r="E4459" s="1" t="str">
        <x:v>COMPLETE</x:v>
      </x:c>
      <x:c r="F4459" s="1" t="str">
        <x:v>Advance shipping</x:v>
      </x:c>
      <x:c r="G4459" s="6" t="n">
        <x:v>3</x:v>
      </x:c>
      <x:c r="H4459" s="6" t="n">
        <x:v>4</x:v>
      </x:c>
      <x:c r="I4459" s="6" t="n">
        <x:f>G4459-H4459</x:f>
        <x:v>-1</x:v>
      </x:c>
      <x:c r="J4459" s="6" t="n">
        <x:f>IF(OR(E4459="CANCELED",E4459="SUSPECTED_FRAUD",F4459="Shipping canceled"),0,1)</x:f>
        <x:v>1</x:v>
      </x:c>
      <x:c r="K4459" s="6" t="n">
        <x:f>IF(G4459&gt;H4459,1,0)</x:f>
        <x:v>0</x:v>
      </x:c>
      <x:c r="L4459" s="6" t="n">
        <x:f>J4459*K4459</x:f>
        <x:v>0</x:v>
      </x:c>
    </x:row>
    <x:row r="4460">
      <x:c r="A4460" s="1" t="n">
        <x:v>34087</x:v>
      </x:c>
      <x:c r="B4460" s="5" t="d">
        <x:v>2016-05-12T00:00:00.000Z</x:v>
      </x:c>
      <x:c r="C4460" s="1" t="str">
        <x:v>Standard Class</x:v>
      </x:c>
      <x:c r="D4460" s="1" t="str">
        <x:v>USCA</x:v>
      </x:c>
      <x:c r="E4460" s="1" t="str">
        <x:v>PROCESSING</x:v>
      </x:c>
      <x:c r="F4460" s="1" t="str">
        <x:v>Advance shipping</x:v>
      </x:c>
      <x:c r="G4460" s="6" t="n">
        <x:v>3</x:v>
      </x:c>
      <x:c r="H4460" s="6" t="n">
        <x:v>4</x:v>
      </x:c>
      <x:c r="I4460" s="6" t="n">
        <x:f>G4460-H4460</x:f>
        <x:v>-1</x:v>
      </x:c>
      <x:c r="J4460" s="6" t="n">
        <x:f>IF(OR(E4460="CANCELED",E4460="SUSPECTED_FRAUD",F4460="Shipping canceled"),0,1)</x:f>
        <x:v>1</x:v>
      </x:c>
      <x:c r="K4460" s="6" t="n">
        <x:f>IF(G4460&gt;H4460,1,0)</x:f>
        <x:v>0</x:v>
      </x:c>
      <x:c r="L4460" s="6" t="n">
        <x:f>J4460*K4460</x:f>
        <x:v>0</x:v>
      </x:c>
    </x:row>
    <x:row r="4461">
      <x:c r="A4461" s="1" t="n">
        <x:v>34089</x:v>
      </x:c>
      <x:c r="B4461" s="5" t="d">
        <x:v>2016-05-12T00:00:00.000Z</x:v>
      </x:c>
      <x:c r="C4461" s="1" t="str">
        <x:v>Standard Class</x:v>
      </x:c>
      <x:c r="D4461" s="1" t="str">
        <x:v>USCA</x:v>
      </x:c>
      <x:c r="E4461" s="1" t="str">
        <x:v>PROCESSING</x:v>
      </x:c>
      <x:c r="F4461" s="1" t="str">
        <x:v>Late delivery</x:v>
      </x:c>
      <x:c r="G4461" s="6" t="n">
        <x:v>5</x:v>
      </x:c>
      <x:c r="H4461" s="6" t="n">
        <x:v>4</x:v>
      </x:c>
      <x:c r="I4461" s="6" t="n">
        <x:f>G4461-H4461</x:f>
        <x:v>1</x:v>
      </x:c>
      <x:c r="J4461" s="6" t="n">
        <x:f>IF(OR(E4461="CANCELED",E4461="SUSPECTED_FRAUD",F4461="Shipping canceled"),0,1)</x:f>
        <x:v>1</x:v>
      </x:c>
      <x:c r="K4461" s="6" t="n">
        <x:f>IF(G4461&gt;H4461,1,0)</x:f>
        <x:v>1</x:v>
      </x:c>
      <x:c r="L4461" s="6" t="n">
        <x:f>J4461*K4461</x:f>
        <x:v>1</x:v>
      </x:c>
    </x:row>
    <x:row r="4462">
      <x:c r="A4462" s="1" t="n">
        <x:v>34094</x:v>
      </x:c>
      <x:c r="B4462" s="5" t="d">
        <x:v>2016-05-12T00:00:00.000Z</x:v>
      </x:c>
      <x:c r="C4462" s="1" t="str">
        <x:v>Standard Class</x:v>
      </x:c>
      <x:c r="D4462" s="1" t="str">
        <x:v>USCA</x:v>
      </x:c>
      <x:c r="E4462" s="1" t="str">
        <x:v>COMPLETE</x:v>
      </x:c>
      <x:c r="F4462" s="1" t="str">
        <x:v>Late delivery</x:v>
      </x:c>
      <x:c r="G4462" s="6" t="n">
        <x:v>5</x:v>
      </x:c>
      <x:c r="H4462" s="6" t="n">
        <x:v>4</x:v>
      </x:c>
      <x:c r="I4462" s="6" t="n">
        <x:f>G4462-H4462</x:f>
        <x:v>1</x:v>
      </x:c>
      <x:c r="J4462" s="6" t="n">
        <x:f>IF(OR(E4462="CANCELED",E4462="SUSPECTED_FRAUD",F4462="Shipping canceled"),0,1)</x:f>
        <x:v>1</x:v>
      </x:c>
      <x:c r="K4462" s="6" t="n">
        <x:f>IF(G4462&gt;H4462,1,0)</x:f>
        <x:v>1</x:v>
      </x:c>
      <x:c r="L4462" s="6" t="n">
        <x:f>J4462*K4462</x:f>
        <x:v>1</x:v>
      </x:c>
    </x:row>
    <x:row r="4463">
      <x:c r="A4463" s="1" t="n">
        <x:v>34097</x:v>
      </x:c>
      <x:c r="B4463" s="5" t="d">
        <x:v>2016-05-12T00:00:00.000Z</x:v>
      </x:c>
      <x:c r="C4463" s="1" t="str">
        <x:v>First Class</x:v>
      </x:c>
      <x:c r="D4463" s="1" t="str">
        <x:v>USCA</x:v>
      </x:c>
      <x:c r="E4463" s="1" t="str">
        <x:v>SUSPECTED_FRAUD</x:v>
      </x:c>
      <x:c r="F4463" s="1" t="str">
        <x:v>Shipping canceled</x:v>
      </x:c>
      <x:c r="G4463" s="6" t="n">
        <x:v>2</x:v>
      </x:c>
      <x:c r="H4463" s="6" t="n">
        <x:v>1</x:v>
      </x:c>
      <x:c r="I4463" s="6" t="n">
        <x:f>G4463-H4463</x:f>
        <x:v>1</x:v>
      </x:c>
      <x:c r="J4463" s="6" t="n">
        <x:f>IF(OR(E4463="CANCELED",E4463="SUSPECTED_FRAUD",F4463="Shipping canceled"),0,1)</x:f>
        <x:v>0</x:v>
      </x:c>
      <x:c r="K4463" s="6" t="n">
        <x:f>IF(G4463&gt;H4463,1,0)</x:f>
        <x:v>1</x:v>
      </x:c>
      <x:c r="L4463" s="6" t="n">
        <x:f>J4463*K4463</x:f>
        <x:v>0</x:v>
      </x:c>
    </x:row>
    <x:row r="4464">
      <x:c r="A4464" s="1" t="n">
        <x:v>34100</x:v>
      </x:c>
      <x:c r="B4464" s="5" t="d">
        <x:v>2016-05-12T00:00:00.000Z</x:v>
      </x:c>
      <x:c r="C4464" s="1" t="str">
        <x:v>Second Class</x:v>
      </x:c>
      <x:c r="D4464" s="1" t="str">
        <x:v>USCA</x:v>
      </x:c>
      <x:c r="E4464" s="1" t="str">
        <x:v>COMPLETE</x:v>
      </x:c>
      <x:c r="F4464" s="1" t="str">
        <x:v>Late delivery</x:v>
      </x:c>
      <x:c r="G4464" s="6" t="n">
        <x:v>6</x:v>
      </x:c>
      <x:c r="H4464" s="6" t="n">
        <x:v>2</x:v>
      </x:c>
      <x:c r="I4464" s="6" t="n">
        <x:f>G4464-H4464</x:f>
        <x:v>4</x:v>
      </x:c>
      <x:c r="J4464" s="6" t="n">
        <x:f>IF(OR(E4464="CANCELED",E4464="SUSPECTED_FRAUD",F4464="Shipping canceled"),0,1)</x:f>
        <x:v>1</x:v>
      </x:c>
      <x:c r="K4464" s="6" t="n">
        <x:f>IF(G4464&gt;H4464,1,0)</x:f>
        <x:v>1</x:v>
      </x:c>
      <x:c r="L4464" s="6" t="n">
        <x:f>J4464*K4464</x:f>
        <x:v>1</x:v>
      </x:c>
    </x:row>
    <x:row r="4465">
      <x:c r="A4465" s="1" t="n">
        <x:v>34102</x:v>
      </x:c>
      <x:c r="B4465" s="5" t="d">
        <x:v>2016-05-12T00:00:00.000Z</x:v>
      </x:c>
      <x:c r="C4465" s="1" t="str">
        <x:v>Second Class</x:v>
      </x:c>
      <x:c r="D4465" s="1" t="str">
        <x:v>USCA</x:v>
      </x:c>
      <x:c r="E4465" s="1" t="str">
        <x:v>COMPLETE</x:v>
      </x:c>
      <x:c r="F4465" s="1" t="str">
        <x:v>Late delivery</x:v>
      </x:c>
      <x:c r="G4465" s="6" t="n">
        <x:v>3</x:v>
      </x:c>
      <x:c r="H4465" s="6" t="n">
        <x:v>2</x:v>
      </x:c>
      <x:c r="I4465" s="6" t="n">
        <x:f>G4465-H4465</x:f>
        <x:v>1</x:v>
      </x:c>
      <x:c r="J4465" s="6" t="n">
        <x:f>IF(OR(E4465="CANCELED",E4465="SUSPECTED_FRAUD",F4465="Shipping canceled"),0,1)</x:f>
        <x:v>1</x:v>
      </x:c>
      <x:c r="K4465" s="6" t="n">
        <x:f>IF(G4465&gt;H4465,1,0)</x:f>
        <x:v>1</x:v>
      </x:c>
      <x:c r="L4465" s="6" t="n">
        <x:f>J4465*K4465</x:f>
        <x:v>1</x:v>
      </x:c>
    </x:row>
    <x:row r="4466">
      <x:c r="A4466" s="1" t="n">
        <x:v>34103</x:v>
      </x:c>
      <x:c r="B4466" s="5" t="d">
        <x:v>2016-05-12T00:00:00.000Z</x:v>
      </x:c>
      <x:c r="C4466" s="1" t="str">
        <x:v>Standard Class</x:v>
      </x:c>
      <x:c r="D4466" s="1" t="str">
        <x:v>USCA</x:v>
      </x:c>
      <x:c r="E4466" s="1" t="str">
        <x:v>SUSPECTED_FRAUD</x:v>
      </x:c>
      <x:c r="F4466" s="1" t="str">
        <x:v>Shipping canceled</x:v>
      </x:c>
      <x:c r="G4466" s="6" t="n">
        <x:v>4</x:v>
      </x:c>
      <x:c r="H4466" s="6" t="n">
        <x:v>4</x:v>
      </x:c>
      <x:c r="I4466" s="6" t="n">
        <x:f>G4466-H4466</x:f>
        <x:v>0</x:v>
      </x:c>
      <x:c r="J4466" s="6" t="n">
        <x:f>IF(OR(E4466="CANCELED",E4466="SUSPECTED_FRAUD",F4466="Shipping canceled"),0,1)</x:f>
        <x:v>0</x:v>
      </x:c>
      <x:c r="K4466" s="6" t="n">
        <x:f>IF(G4466&gt;H4466,1,0)</x:f>
        <x:v>0</x:v>
      </x:c>
      <x:c r="L4466" s="6" t="n">
        <x:f>J4466*K4466</x:f>
        <x:v>0</x:v>
      </x:c>
    </x:row>
    <x:row r="4467">
      <x:c r="A4467" s="1" t="n">
        <x:v>34122</x:v>
      </x:c>
      <x:c r="B4467" s="5" t="d">
        <x:v>2016-05-13T00:00:00.000Z</x:v>
      </x:c>
      <x:c r="C4467" s="1" t="str">
        <x:v>Standard Class</x:v>
      </x:c>
      <x:c r="D4467" s="1" t="str">
        <x:v>USCA</x:v>
      </x:c>
      <x:c r="E4467" s="1" t="str">
        <x:v>COMPLETE</x:v>
      </x:c>
      <x:c r="F4467" s="1" t="str">
        <x:v>Advance shipping</x:v>
      </x:c>
      <x:c r="G4467" s="6" t="n">
        <x:v>3</x:v>
      </x:c>
      <x:c r="H4467" s="6" t="n">
        <x:v>4</x:v>
      </x:c>
      <x:c r="I4467" s="6" t="n">
        <x:f>G4467-H4467</x:f>
        <x:v>-1</x:v>
      </x:c>
      <x:c r="J4467" s="6" t="n">
        <x:f>IF(OR(E4467="CANCELED",E4467="SUSPECTED_FRAUD",F4467="Shipping canceled"),0,1)</x:f>
        <x:v>1</x:v>
      </x:c>
      <x:c r="K4467" s="6" t="n">
        <x:f>IF(G4467&gt;H4467,1,0)</x:f>
        <x:v>0</x:v>
      </x:c>
      <x:c r="L4467" s="6" t="n">
        <x:f>J4467*K4467</x:f>
        <x:v>0</x:v>
      </x:c>
    </x:row>
    <x:row r="4468">
      <x:c r="A4468" s="1" t="n">
        <x:v>34137</x:v>
      </x:c>
      <x:c r="B4468" s="5" t="d">
        <x:v>2016-05-13T00:00:00.000Z</x:v>
      </x:c>
      <x:c r="C4468" s="1" t="str">
        <x:v>Standard Class</x:v>
      </x:c>
      <x:c r="D4468" s="1" t="str">
        <x:v>USCA</x:v>
      </x:c>
      <x:c r="E4468" s="1" t="str">
        <x:v>PROCESSING</x:v>
      </x:c>
      <x:c r="F4468" s="1" t="str">
        <x:v>Advance shipping</x:v>
      </x:c>
      <x:c r="G4468" s="6" t="n">
        <x:v>3</x:v>
      </x:c>
      <x:c r="H4468" s="6" t="n">
        <x:v>4</x:v>
      </x:c>
      <x:c r="I4468" s="6" t="n">
        <x:f>G4468-H4468</x:f>
        <x:v>-1</x:v>
      </x:c>
      <x:c r="J4468" s="6" t="n">
        <x:f>IF(OR(E4468="CANCELED",E4468="SUSPECTED_FRAUD",F4468="Shipping canceled"),0,1)</x:f>
        <x:v>1</x:v>
      </x:c>
      <x:c r="K4468" s="6" t="n">
        <x:f>IF(G4468&gt;H4468,1,0)</x:f>
        <x:v>0</x:v>
      </x:c>
      <x:c r="L4468" s="6" t="n">
        <x:f>J4468*K4468</x:f>
        <x:v>0</x:v>
      </x:c>
    </x:row>
    <x:row r="4469">
      <x:c r="A4469" s="1" t="n">
        <x:v>34172</x:v>
      </x:c>
      <x:c r="B4469" s="5" t="d">
        <x:v>2016-05-13T00:00:00.000Z</x:v>
      </x:c>
      <x:c r="C4469" s="1" t="str">
        <x:v>Standard Class</x:v>
      </x:c>
      <x:c r="D4469" s="1" t="str">
        <x:v>USCA</x:v>
      </x:c>
      <x:c r="E4469" s="1" t="str">
        <x:v>PENDING</x:v>
      </x:c>
      <x:c r="F4469" s="1" t="str">
        <x:v>Advance shipping</x:v>
      </x:c>
      <x:c r="G4469" s="6" t="n">
        <x:v>3</x:v>
      </x:c>
      <x:c r="H4469" s="6" t="n">
        <x:v>4</x:v>
      </x:c>
      <x:c r="I4469" s="6" t="n">
        <x:f>G4469-H4469</x:f>
        <x:v>-1</x:v>
      </x:c>
      <x:c r="J4469" s="6" t="n">
        <x:f>IF(OR(E4469="CANCELED",E4469="SUSPECTED_FRAUD",F4469="Shipping canceled"),0,1)</x:f>
        <x:v>1</x:v>
      </x:c>
      <x:c r="K4469" s="6" t="n">
        <x:f>IF(G4469&gt;H4469,1,0)</x:f>
        <x:v>0</x:v>
      </x:c>
      <x:c r="L4469" s="6" t="n">
        <x:f>J4469*K4469</x:f>
        <x:v>0</x:v>
      </x:c>
    </x:row>
    <x:row r="4470">
      <x:c r="A4470" s="1" t="n">
        <x:v>34174</x:v>
      </x:c>
      <x:c r="B4470" s="5" t="d">
        <x:v>2016-05-13T00:00:00.000Z</x:v>
      </x:c>
      <x:c r="C4470" s="1" t="str">
        <x:v>Standard Class</x:v>
      </x:c>
      <x:c r="D4470" s="1" t="str">
        <x:v>USCA</x:v>
      </x:c>
      <x:c r="E4470" s="1" t="str">
        <x:v>PENDING</x:v>
      </x:c>
      <x:c r="F4470" s="1" t="str">
        <x:v>Late delivery</x:v>
      </x:c>
      <x:c r="G4470" s="6" t="n">
        <x:v>5</x:v>
      </x:c>
      <x:c r="H4470" s="6" t="n">
        <x:v>4</x:v>
      </x:c>
      <x:c r="I4470" s="6" t="n">
        <x:f>G4470-H4470</x:f>
        <x:v>1</x:v>
      </x:c>
      <x:c r="J4470" s="6" t="n">
        <x:f>IF(OR(E4470="CANCELED",E4470="SUSPECTED_FRAUD",F4470="Shipping canceled"),0,1)</x:f>
        <x:v>1</x:v>
      </x:c>
      <x:c r="K4470" s="6" t="n">
        <x:f>IF(G4470&gt;H4470,1,0)</x:f>
        <x:v>1</x:v>
      </x:c>
      <x:c r="L4470" s="6" t="n">
        <x:f>J4470*K4470</x:f>
        <x:v>1</x:v>
      </x:c>
    </x:row>
    <x:row r="4471">
      <x:c r="A4471" s="1" t="n">
        <x:v>34175</x:v>
      </x:c>
      <x:c r="B4471" s="5" t="d">
        <x:v>2016-05-13T00:00:00.000Z</x:v>
      </x:c>
      <x:c r="C4471" s="1" t="str">
        <x:v>Standard Class</x:v>
      </x:c>
      <x:c r="D4471" s="1" t="str">
        <x:v>USCA</x:v>
      </x:c>
      <x:c r="E4471" s="1" t="str">
        <x:v>COMPLETE</x:v>
      </x:c>
      <x:c r="F4471" s="1" t="str">
        <x:v>Late delivery</x:v>
      </x:c>
      <x:c r="G4471" s="6" t="n">
        <x:v>6</x:v>
      </x:c>
      <x:c r="H4471" s="6" t="n">
        <x:v>4</x:v>
      </x:c>
      <x:c r="I4471" s="6" t="n">
        <x:f>G4471-H4471</x:f>
        <x:v>2</x:v>
      </x:c>
      <x:c r="J4471" s="6" t="n">
        <x:f>IF(OR(E4471="CANCELED",E4471="SUSPECTED_FRAUD",F4471="Shipping canceled"),0,1)</x:f>
        <x:v>1</x:v>
      </x:c>
      <x:c r="K4471" s="6" t="n">
        <x:f>IF(G4471&gt;H4471,1,0)</x:f>
        <x:v>1</x:v>
      </x:c>
      <x:c r="L4471" s="6" t="n">
        <x:f>J4471*K4471</x:f>
        <x:v>1</x:v>
      </x:c>
    </x:row>
    <x:row r="4472">
      <x:c r="A4472" s="1" t="n">
        <x:v>34181</x:v>
      </x:c>
      <x:c r="B4472" s="5" t="d">
        <x:v>2016-05-13T00:00:00.000Z</x:v>
      </x:c>
      <x:c r="C4472" s="1" t="str">
        <x:v>Second Class</x:v>
      </x:c>
      <x:c r="D4472" s="1" t="str">
        <x:v>USCA</x:v>
      </x:c>
      <x:c r="E4472" s="1" t="str">
        <x:v>PENDING</x:v>
      </x:c>
      <x:c r="F4472" s="1" t="str">
        <x:v>Shipping on time</x:v>
      </x:c>
      <x:c r="G4472" s="6" t="n">
        <x:v>2</x:v>
      </x:c>
      <x:c r="H4472" s="6" t="n">
        <x:v>2</x:v>
      </x:c>
      <x:c r="I4472" s="6" t="n">
        <x:f>G4472-H4472</x:f>
        <x:v>0</x:v>
      </x:c>
      <x:c r="J4472" s="6" t="n">
        <x:f>IF(OR(E4472="CANCELED",E4472="SUSPECTED_FRAUD",F4472="Shipping canceled"),0,1)</x:f>
        <x:v>1</x:v>
      </x:c>
      <x:c r="K4472" s="6" t="n">
        <x:f>IF(G4472&gt;H4472,1,0)</x:f>
        <x:v>0</x:v>
      </x:c>
      <x:c r="L4472" s="6" t="n">
        <x:f>J4472*K4472</x:f>
        <x:v>0</x:v>
      </x:c>
    </x:row>
    <x:row r="4473">
      <x:c r="A4473" s="1" t="n">
        <x:v>34188</x:v>
      </x:c>
      <x:c r="B4473" s="5" t="d">
        <x:v>2016-05-14T00:00:00.000Z</x:v>
      </x:c>
      <x:c r="C4473" s="1" t="str">
        <x:v>First Class</x:v>
      </x:c>
      <x:c r="D4473" s="1" t="str">
        <x:v>USCA</x:v>
      </x:c>
      <x:c r="E4473" s="1" t="str">
        <x:v>PROCESSING</x:v>
      </x:c>
      <x:c r="F4473" s="1" t="str">
        <x:v>Late delivery</x:v>
      </x:c>
      <x:c r="G4473" s="6" t="n">
        <x:v>2</x:v>
      </x:c>
      <x:c r="H4473" s="6" t="n">
        <x:v>1</x:v>
      </x:c>
      <x:c r="I4473" s="6" t="n">
        <x:f>G4473-H4473</x:f>
        <x:v>1</x:v>
      </x:c>
      <x:c r="J4473" s="6" t="n">
        <x:f>IF(OR(E4473="CANCELED",E4473="SUSPECTED_FRAUD",F4473="Shipping canceled"),0,1)</x:f>
        <x:v>1</x:v>
      </x:c>
      <x:c r="K4473" s="6" t="n">
        <x:f>IF(G4473&gt;H4473,1,0)</x:f>
        <x:v>1</x:v>
      </x:c>
      <x:c r="L4473" s="6" t="n">
        <x:f>J4473*K4473</x:f>
        <x:v>1</x:v>
      </x:c>
    </x:row>
    <x:row r="4474">
      <x:c r="A4474" s="1" t="n">
        <x:v>34221</x:v>
      </x:c>
      <x:c r="B4474" s="5" t="d">
        <x:v>2016-05-14T00:00:00.000Z</x:v>
      </x:c>
      <x:c r="C4474" s="1" t="str">
        <x:v>Standard Class</x:v>
      </x:c>
      <x:c r="D4474" s="1" t="str">
        <x:v>USCA</x:v>
      </x:c>
      <x:c r="E4474" s="1" t="str">
        <x:v>COMPLETE</x:v>
      </x:c>
      <x:c r="F4474" s="1" t="str">
        <x:v>Advance shipping</x:v>
      </x:c>
      <x:c r="G4474" s="6" t="n">
        <x:v>2</x:v>
      </x:c>
      <x:c r="H4474" s="6" t="n">
        <x:v>4</x:v>
      </x:c>
      <x:c r="I4474" s="6" t="n">
        <x:f>G4474-H4474</x:f>
        <x:v>-2</x:v>
      </x:c>
      <x:c r="J4474" s="6" t="n">
        <x:f>IF(OR(E4474="CANCELED",E4474="SUSPECTED_FRAUD",F4474="Shipping canceled"),0,1)</x:f>
        <x:v>1</x:v>
      </x:c>
      <x:c r="K4474" s="6" t="n">
        <x:f>IF(G4474&gt;H4474,1,0)</x:f>
        <x:v>0</x:v>
      </x:c>
      <x:c r="L4474" s="6" t="n">
        <x:f>J4474*K4474</x:f>
        <x:v>0</x:v>
      </x:c>
    </x:row>
    <x:row r="4475">
      <x:c r="A4475" s="1" t="n">
        <x:v>34226</x:v>
      </x:c>
      <x:c r="B4475" s="5" t="d">
        <x:v>2016-05-14T00:00:00.000Z</x:v>
      </x:c>
      <x:c r="C4475" s="1" t="str">
        <x:v>Standard Class</x:v>
      </x:c>
      <x:c r="D4475" s="1" t="str">
        <x:v>USCA</x:v>
      </x:c>
      <x:c r="E4475" s="1" t="str">
        <x:v>COMPLETE</x:v>
      </x:c>
      <x:c r="F4475" s="1" t="str">
        <x:v>Advance shipping</x:v>
      </x:c>
      <x:c r="G4475" s="6" t="n">
        <x:v>2</x:v>
      </x:c>
      <x:c r="H4475" s="6" t="n">
        <x:v>4</x:v>
      </x:c>
      <x:c r="I4475" s="6" t="n">
        <x:f>G4475-H4475</x:f>
        <x:v>-2</x:v>
      </x:c>
      <x:c r="J4475" s="6" t="n">
        <x:f>IF(OR(E4475="CANCELED",E4475="SUSPECTED_FRAUD",F4475="Shipping canceled"),0,1)</x:f>
        <x:v>1</x:v>
      </x:c>
      <x:c r="K4475" s="6" t="n">
        <x:f>IF(G4475&gt;H4475,1,0)</x:f>
        <x:v>0</x:v>
      </x:c>
      <x:c r="L4475" s="6" t="n">
        <x:f>J4475*K4475</x:f>
        <x:v>0</x:v>
      </x:c>
    </x:row>
    <x:row r="4476">
      <x:c r="A4476" s="1" t="n">
        <x:v>34232</x:v>
      </x:c>
      <x:c r="B4476" s="5" t="d">
        <x:v>2016-05-14T00:00:00.000Z</x:v>
      </x:c>
      <x:c r="C4476" s="1" t="str">
        <x:v>Standard Class</x:v>
      </x:c>
      <x:c r="D4476" s="1" t="str">
        <x:v>USCA</x:v>
      </x:c>
      <x:c r="E4476" s="1" t="str">
        <x:v>PENDING</x:v>
      </x:c>
      <x:c r="F4476" s="1" t="str">
        <x:v>Advance shipping</x:v>
      </x:c>
      <x:c r="G4476" s="6" t="n">
        <x:v>3</x:v>
      </x:c>
      <x:c r="H4476" s="6" t="n">
        <x:v>4</x:v>
      </x:c>
      <x:c r="I4476" s="6" t="n">
        <x:f>G4476-H4476</x:f>
        <x:v>-1</x:v>
      </x:c>
      <x:c r="J4476" s="6" t="n">
        <x:f>IF(OR(E4476="CANCELED",E4476="SUSPECTED_FRAUD",F4476="Shipping canceled"),0,1)</x:f>
        <x:v>1</x:v>
      </x:c>
      <x:c r="K4476" s="6" t="n">
        <x:f>IF(G4476&gt;H4476,1,0)</x:f>
        <x:v>0</x:v>
      </x:c>
      <x:c r="L4476" s="6" t="n">
        <x:f>J4476*K4476</x:f>
        <x:v>0</x:v>
      </x:c>
    </x:row>
    <x:row r="4477">
      <x:c r="A4477" s="1" t="n">
        <x:v>34240</x:v>
      </x:c>
      <x:c r="B4477" s="5" t="d">
        <x:v>2016-05-14T00:00:00.000Z</x:v>
      </x:c>
      <x:c r="C4477" s="1" t="str">
        <x:v>Standard Class</x:v>
      </x:c>
      <x:c r="D4477" s="1" t="str">
        <x:v>USCA</x:v>
      </x:c>
      <x:c r="E4477" s="1" t="str">
        <x:v>PENDING_PAYMENT</x:v>
      </x:c>
      <x:c r="F4477" s="1" t="str">
        <x:v>Late delivery</x:v>
      </x:c>
      <x:c r="G4477" s="6" t="n">
        <x:v>6</x:v>
      </x:c>
      <x:c r="H4477" s="6" t="n">
        <x:v>4</x:v>
      </x:c>
      <x:c r="I4477" s="6" t="n">
        <x:f>G4477-H4477</x:f>
        <x:v>2</x:v>
      </x:c>
      <x:c r="J4477" s="6" t="n">
        <x:f>IF(OR(E4477="CANCELED",E4477="SUSPECTED_FRAUD",F4477="Shipping canceled"),0,1)</x:f>
        <x:v>1</x:v>
      </x:c>
      <x:c r="K4477" s="6" t="n">
        <x:f>IF(G4477&gt;H4477,1,0)</x:f>
        <x:v>1</x:v>
      </x:c>
      <x:c r="L4477" s="6" t="n">
        <x:f>J4477*K4477</x:f>
        <x:v>1</x:v>
      </x:c>
    </x:row>
    <x:row r="4478">
      <x:c r="A4478" s="1" t="n">
        <x:v>34258</x:v>
      </x:c>
      <x:c r="B4478" s="5" t="d">
        <x:v>2016-05-15T00:00:00.000Z</x:v>
      </x:c>
      <x:c r="C4478" s="1" t="str">
        <x:v>Second Class</x:v>
      </x:c>
      <x:c r="D4478" s="1" t="str">
        <x:v>USCA</x:v>
      </x:c>
      <x:c r="E4478" s="1" t="str">
        <x:v>COMPLETE</x:v>
      </x:c>
      <x:c r="F4478" s="1" t="str">
        <x:v>Late delivery</x:v>
      </x:c>
      <x:c r="G4478" s="6" t="n">
        <x:v>4</x:v>
      </x:c>
      <x:c r="H4478" s="6" t="n">
        <x:v>2</x:v>
      </x:c>
      <x:c r="I4478" s="6" t="n">
        <x:f>G4478-H4478</x:f>
        <x:v>2</x:v>
      </x:c>
      <x:c r="J4478" s="6" t="n">
        <x:f>IF(OR(E4478="CANCELED",E4478="SUSPECTED_FRAUD",F4478="Shipping canceled"),0,1)</x:f>
        <x:v>1</x:v>
      </x:c>
      <x:c r="K4478" s="6" t="n">
        <x:f>IF(G4478&gt;H4478,1,0)</x:f>
        <x:v>1</x:v>
      </x:c>
      <x:c r="L4478" s="6" t="n">
        <x:f>J4478*K4478</x:f>
        <x:v>1</x:v>
      </x:c>
    </x:row>
    <x:row r="4479">
      <x:c r="A4479" s="1" t="n">
        <x:v>34266</x:v>
      </x:c>
      <x:c r="B4479" s="5" t="d">
        <x:v>2016-05-15T00:00:00.000Z</x:v>
      </x:c>
      <x:c r="C4479" s="1" t="str">
        <x:v>Standard Class</x:v>
      </x:c>
      <x:c r="D4479" s="1" t="str">
        <x:v>USCA</x:v>
      </x:c>
      <x:c r="E4479" s="1" t="str">
        <x:v>COMPLETE</x:v>
      </x:c>
      <x:c r="F4479" s="1" t="str">
        <x:v>Advance shipping</x:v>
      </x:c>
      <x:c r="G4479" s="6" t="n">
        <x:v>2</x:v>
      </x:c>
      <x:c r="H4479" s="6" t="n">
        <x:v>4</x:v>
      </x:c>
      <x:c r="I4479" s="6" t="n">
        <x:f>G4479-H4479</x:f>
        <x:v>-2</x:v>
      </x:c>
      <x:c r="J4479" s="6" t="n">
        <x:f>IF(OR(E4479="CANCELED",E4479="SUSPECTED_FRAUD",F4479="Shipping canceled"),0,1)</x:f>
        <x:v>1</x:v>
      </x:c>
      <x:c r="K4479" s="6" t="n">
        <x:f>IF(G4479&gt;H4479,1,0)</x:f>
        <x:v>0</x:v>
      </x:c>
      <x:c r="L4479" s="6" t="n">
        <x:f>J4479*K4479</x:f>
        <x:v>0</x:v>
      </x:c>
    </x:row>
    <x:row r="4480">
      <x:c r="A4480" s="1" t="n">
        <x:v>34270</x:v>
      </x:c>
      <x:c r="B4480" s="5" t="d">
        <x:v>2016-05-15T00:00:00.000Z</x:v>
      </x:c>
      <x:c r="C4480" s="1" t="str">
        <x:v>Second Class</x:v>
      </x:c>
      <x:c r="D4480" s="1" t="str">
        <x:v>USCA</x:v>
      </x:c>
      <x:c r="E4480" s="1" t="str">
        <x:v>PENDING_PAYMENT</x:v>
      </x:c>
      <x:c r="F4480" s="1" t="str">
        <x:v>Late delivery</x:v>
      </x:c>
      <x:c r="G4480" s="6" t="n">
        <x:v>6</x:v>
      </x:c>
      <x:c r="H4480" s="6" t="n">
        <x:v>2</x:v>
      </x:c>
      <x:c r="I4480" s="6" t="n">
        <x:f>G4480-H4480</x:f>
        <x:v>4</x:v>
      </x:c>
      <x:c r="J4480" s="6" t="n">
        <x:f>IF(OR(E4480="CANCELED",E4480="SUSPECTED_FRAUD",F4480="Shipping canceled"),0,1)</x:f>
        <x:v>1</x:v>
      </x:c>
      <x:c r="K4480" s="6" t="n">
        <x:f>IF(G4480&gt;H4480,1,0)</x:f>
        <x:v>1</x:v>
      </x:c>
      <x:c r="L4480" s="6" t="n">
        <x:f>J4480*K4480</x:f>
        <x:v>1</x:v>
      </x:c>
    </x:row>
    <x:row r="4481">
      <x:c r="A4481" s="1" t="n">
        <x:v>34282</x:v>
      </x:c>
      <x:c r="B4481" s="5" t="d">
        <x:v>2016-05-15T00:00:00.000Z</x:v>
      </x:c>
      <x:c r="C4481" s="1" t="str">
        <x:v>Standard Class</x:v>
      </x:c>
      <x:c r="D4481" s="1" t="str">
        <x:v>USCA</x:v>
      </x:c>
      <x:c r="E4481" s="1" t="str">
        <x:v>PENDING</x:v>
      </x:c>
      <x:c r="F4481" s="1" t="str">
        <x:v>Advance shipping</x:v>
      </x:c>
      <x:c r="G4481" s="6" t="n">
        <x:v>3</x:v>
      </x:c>
      <x:c r="H4481" s="6" t="n">
        <x:v>4</x:v>
      </x:c>
      <x:c r="I4481" s="6" t="n">
        <x:f>G4481-H4481</x:f>
        <x:v>-1</x:v>
      </x:c>
      <x:c r="J4481" s="6" t="n">
        <x:f>IF(OR(E4481="CANCELED",E4481="SUSPECTED_FRAUD",F4481="Shipping canceled"),0,1)</x:f>
        <x:v>1</x:v>
      </x:c>
      <x:c r="K4481" s="6" t="n">
        <x:f>IF(G4481&gt;H4481,1,0)</x:f>
        <x:v>0</x:v>
      </x:c>
      <x:c r="L4481" s="6" t="n">
        <x:f>J4481*K4481</x:f>
        <x:v>0</x:v>
      </x:c>
    </x:row>
    <x:row r="4482">
      <x:c r="A4482" s="1" t="n">
        <x:v>34284</x:v>
      </x:c>
      <x:c r="B4482" s="5" t="d">
        <x:v>2016-05-15T00:00:00.000Z</x:v>
      </x:c>
      <x:c r="C4482" s="1" t="str">
        <x:v>Standard Class</x:v>
      </x:c>
      <x:c r="D4482" s="1" t="str">
        <x:v>USCA</x:v>
      </x:c>
      <x:c r="E4482" s="1" t="str">
        <x:v>CANCELED</x:v>
      </x:c>
      <x:c r="F4482" s="1" t="str">
        <x:v>Shipping canceled</x:v>
      </x:c>
      <x:c r="G4482" s="6" t="n">
        <x:v>5</x:v>
      </x:c>
      <x:c r="H4482" s="6" t="n">
        <x:v>4</x:v>
      </x:c>
      <x:c r="I4482" s="6" t="n">
        <x:f>G4482-H4482</x:f>
        <x:v>1</x:v>
      </x:c>
      <x:c r="J4482" s="6" t="n">
        <x:f>IF(OR(E4482="CANCELED",E4482="SUSPECTED_FRAUD",F4482="Shipping canceled"),0,1)</x:f>
        <x:v>0</x:v>
      </x:c>
      <x:c r="K4482" s="6" t="n">
        <x:f>IF(G4482&gt;H4482,1,0)</x:f>
        <x:v>1</x:v>
      </x:c>
      <x:c r="L4482" s="6" t="n">
        <x:f>J4482*K4482</x:f>
        <x:v>0</x:v>
      </x:c>
    </x:row>
    <x:row r="4483">
      <x:c r="A4483" s="1" t="n">
        <x:v>34290</x:v>
      </x:c>
      <x:c r="B4483" s="5" t="d">
        <x:v>2016-05-15T00:00:00.000Z</x:v>
      </x:c>
      <x:c r="C4483" s="1" t="str">
        <x:v>Standard Class</x:v>
      </x:c>
      <x:c r="D4483" s="1" t="str">
        <x:v>USCA</x:v>
      </x:c>
      <x:c r="E4483" s="1" t="str">
        <x:v>PENDING_PAYMENT</x:v>
      </x:c>
      <x:c r="F4483" s="1" t="str">
        <x:v>Late delivery</x:v>
      </x:c>
      <x:c r="G4483" s="6" t="n">
        <x:v>6</x:v>
      </x:c>
      <x:c r="H4483" s="6" t="n">
        <x:v>4</x:v>
      </x:c>
      <x:c r="I4483" s="6" t="n">
        <x:f>G4483-H4483</x:f>
        <x:v>2</x:v>
      </x:c>
      <x:c r="J4483" s="6" t="n">
        <x:f>IF(OR(E4483="CANCELED",E4483="SUSPECTED_FRAUD",F4483="Shipping canceled"),0,1)</x:f>
        <x:v>1</x:v>
      </x:c>
      <x:c r="K4483" s="6" t="n">
        <x:f>IF(G4483&gt;H4483,1,0)</x:f>
        <x:v>1</x:v>
      </x:c>
      <x:c r="L4483" s="6" t="n">
        <x:f>J4483*K4483</x:f>
        <x:v>1</x:v>
      </x:c>
    </x:row>
    <x:row r="4484">
      <x:c r="A4484" s="1" t="n">
        <x:v>34310</x:v>
      </x:c>
      <x:c r="B4484" s="5" t="d">
        <x:v>2016-05-15T00:00:00.000Z</x:v>
      </x:c>
      <x:c r="C4484" s="1" t="str">
        <x:v>Second Class</x:v>
      </x:c>
      <x:c r="D4484" s="1" t="str">
        <x:v>USCA</x:v>
      </x:c>
      <x:c r="E4484" s="1" t="str">
        <x:v>COMPLETE</x:v>
      </x:c>
      <x:c r="F4484" s="1" t="str">
        <x:v>Late delivery</x:v>
      </x:c>
      <x:c r="G4484" s="6" t="n">
        <x:v>6</x:v>
      </x:c>
      <x:c r="H4484" s="6" t="n">
        <x:v>2</x:v>
      </x:c>
      <x:c r="I4484" s="6" t="n">
        <x:f>G4484-H4484</x:f>
        <x:v>4</x:v>
      </x:c>
      <x:c r="J4484" s="6" t="n">
        <x:f>IF(OR(E4484="CANCELED",E4484="SUSPECTED_FRAUD",F4484="Shipping canceled"),0,1)</x:f>
        <x:v>1</x:v>
      </x:c>
      <x:c r="K4484" s="6" t="n">
        <x:f>IF(G4484&gt;H4484,1,0)</x:f>
        <x:v>1</x:v>
      </x:c>
      <x:c r="L4484" s="6" t="n">
        <x:f>J4484*K4484</x:f>
        <x:v>1</x:v>
      </x:c>
    </x:row>
    <x:row r="4485">
      <x:c r="A4485" s="1" t="n">
        <x:v>34315</x:v>
      </x:c>
      <x:c r="B4485" s="5" t="d">
        <x:v>2016-05-15T00:00:00.000Z</x:v>
      </x:c>
      <x:c r="C4485" s="1" t="str">
        <x:v>Standard Class</x:v>
      </x:c>
      <x:c r="D4485" s="1" t="str">
        <x:v>USCA</x:v>
      </x:c>
      <x:c r="E4485" s="1" t="str">
        <x:v>PENDING</x:v>
      </x:c>
      <x:c r="F4485" s="1" t="str">
        <x:v>Late delivery</x:v>
      </x:c>
      <x:c r="G4485" s="6" t="n">
        <x:v>6</x:v>
      </x:c>
      <x:c r="H4485" s="6" t="n">
        <x:v>4</x:v>
      </x:c>
      <x:c r="I4485" s="6" t="n">
        <x:f>G4485-H4485</x:f>
        <x:v>2</x:v>
      </x:c>
      <x:c r="J4485" s="6" t="n">
        <x:f>IF(OR(E4485="CANCELED",E4485="SUSPECTED_FRAUD",F4485="Shipping canceled"),0,1)</x:f>
        <x:v>1</x:v>
      </x:c>
      <x:c r="K4485" s="6" t="n">
        <x:f>IF(G4485&gt;H4485,1,0)</x:f>
        <x:v>1</x:v>
      </x:c>
      <x:c r="L4485" s="6" t="n">
        <x:f>J4485*K4485</x:f>
        <x:v>1</x:v>
      </x:c>
    </x:row>
    <x:row r="4486">
      <x:c r="A4486" s="1" t="n">
        <x:v>34328</x:v>
      </x:c>
      <x:c r="B4486" s="5" t="d">
        <x:v>2016-05-16T00:00:00.000Z</x:v>
      </x:c>
      <x:c r="C4486" s="1" t="str">
        <x:v>Standard Class</x:v>
      </x:c>
      <x:c r="D4486" s="1" t="str">
        <x:v>USCA</x:v>
      </x:c>
      <x:c r="E4486" s="1" t="str">
        <x:v>PENDING_PAYMENT</x:v>
      </x:c>
      <x:c r="F4486" s="1" t="str">
        <x:v>Shipping on time</x:v>
      </x:c>
      <x:c r="G4486" s="6" t="n">
        <x:v>4</x:v>
      </x:c>
      <x:c r="H4486" s="6" t="n">
        <x:v>4</x:v>
      </x:c>
      <x:c r="I4486" s="6" t="n">
        <x:f>G4486-H4486</x:f>
        <x:v>0</x:v>
      </x:c>
      <x:c r="J4486" s="6" t="n">
        <x:f>IF(OR(E4486="CANCELED",E4486="SUSPECTED_FRAUD",F4486="Shipping canceled"),0,1)</x:f>
        <x:v>1</x:v>
      </x:c>
      <x:c r="K4486" s="6" t="n">
        <x:f>IF(G4486&gt;H4486,1,0)</x:f>
        <x:v>0</x:v>
      </x:c>
      <x:c r="L4486" s="6" t="n">
        <x:f>J4486*K4486</x:f>
        <x:v>0</x:v>
      </x:c>
    </x:row>
    <x:row r="4487">
      <x:c r="A4487" s="1" t="n">
        <x:v>34339</x:v>
      </x:c>
      <x:c r="B4487" s="5" t="d">
        <x:v>2016-05-16T00:00:00.000Z</x:v>
      </x:c>
      <x:c r="C4487" s="1" t="str">
        <x:v>Standard Class</x:v>
      </x:c>
      <x:c r="D4487" s="1" t="str">
        <x:v>USCA</x:v>
      </x:c>
      <x:c r="E4487" s="1" t="str">
        <x:v>COMPLETE</x:v>
      </x:c>
      <x:c r="F4487" s="1" t="str">
        <x:v>Late delivery</x:v>
      </x:c>
      <x:c r="G4487" s="6" t="n">
        <x:v>5</x:v>
      </x:c>
      <x:c r="H4487" s="6" t="n">
        <x:v>4</x:v>
      </x:c>
      <x:c r="I4487" s="6" t="n">
        <x:f>G4487-H4487</x:f>
        <x:v>1</x:v>
      </x:c>
      <x:c r="J4487" s="6" t="n">
        <x:f>IF(OR(E4487="CANCELED",E4487="SUSPECTED_FRAUD",F4487="Shipping canceled"),0,1)</x:f>
        <x:v>1</x:v>
      </x:c>
      <x:c r="K4487" s="6" t="n">
        <x:f>IF(G4487&gt;H4487,1,0)</x:f>
        <x:v>1</x:v>
      </x:c>
      <x:c r="L4487" s="6" t="n">
        <x:f>J4487*K4487</x:f>
        <x:v>1</x:v>
      </x:c>
    </x:row>
    <x:row r="4488">
      <x:c r="A4488" s="1" t="n">
        <x:v>34348</x:v>
      </x:c>
      <x:c r="B4488" s="5" t="d">
        <x:v>2016-05-16T00:00:00.000Z</x:v>
      </x:c>
      <x:c r="C4488" s="1" t="str">
        <x:v>Standard Class</x:v>
      </x:c>
      <x:c r="D4488" s="1" t="str">
        <x:v>USCA</x:v>
      </x:c>
      <x:c r="E4488" s="1" t="str">
        <x:v>PENDING</x:v>
      </x:c>
      <x:c r="F4488" s="1" t="str">
        <x:v>Shipping on time</x:v>
      </x:c>
      <x:c r="G4488" s="6" t="n">
        <x:v>4</x:v>
      </x:c>
      <x:c r="H4488" s="6" t="n">
        <x:v>4</x:v>
      </x:c>
      <x:c r="I4488" s="6" t="n">
        <x:f>G4488-H4488</x:f>
        <x:v>0</x:v>
      </x:c>
      <x:c r="J4488" s="6" t="n">
        <x:f>IF(OR(E4488="CANCELED",E4488="SUSPECTED_FRAUD",F4488="Shipping canceled"),0,1)</x:f>
        <x:v>1</x:v>
      </x:c>
      <x:c r="K4488" s="6" t="n">
        <x:f>IF(G4488&gt;H4488,1,0)</x:f>
        <x:v>0</x:v>
      </x:c>
      <x:c r="L4488" s="6" t="n">
        <x:f>J4488*K4488</x:f>
        <x:v>0</x:v>
      </x:c>
    </x:row>
    <x:row r="4489">
      <x:c r="A4489" s="1" t="n">
        <x:v>34361</x:v>
      </x:c>
      <x:c r="B4489" s="5" t="d">
        <x:v>2016-05-16T00:00:00.000Z</x:v>
      </x:c>
      <x:c r="C4489" s="1" t="str">
        <x:v>Standard Class</x:v>
      </x:c>
      <x:c r="D4489" s="1" t="str">
        <x:v>USCA</x:v>
      </x:c>
      <x:c r="E4489" s="1" t="str">
        <x:v>PENDING</x:v>
      </x:c>
      <x:c r="F4489" s="1" t="str">
        <x:v>Advance shipping</x:v>
      </x:c>
      <x:c r="G4489" s="6" t="n">
        <x:v>2</x:v>
      </x:c>
      <x:c r="H4489" s="6" t="n">
        <x:v>4</x:v>
      </x:c>
      <x:c r="I4489" s="6" t="n">
        <x:f>G4489-H4489</x:f>
        <x:v>-2</x:v>
      </x:c>
      <x:c r="J4489" s="6" t="n">
        <x:f>IF(OR(E4489="CANCELED",E4489="SUSPECTED_FRAUD",F4489="Shipping canceled"),0,1)</x:f>
        <x:v>1</x:v>
      </x:c>
      <x:c r="K4489" s="6" t="n">
        <x:f>IF(G4489&gt;H4489,1,0)</x:f>
        <x:v>0</x:v>
      </x:c>
      <x:c r="L4489" s="6" t="n">
        <x:f>J4489*K4489</x:f>
        <x:v>0</x:v>
      </x:c>
    </x:row>
    <x:row r="4490">
      <x:c r="A4490" s="1" t="n">
        <x:v>34364</x:v>
      </x:c>
      <x:c r="B4490" s="5" t="d">
        <x:v>2016-05-16T00:00:00.000Z</x:v>
      </x:c>
      <x:c r="C4490" s="1" t="str">
        <x:v>Second Class</x:v>
      </x:c>
      <x:c r="D4490" s="1" t="str">
        <x:v>USCA</x:v>
      </x:c>
      <x:c r="E4490" s="1" t="str">
        <x:v>COMPLETE</x:v>
      </x:c>
      <x:c r="F4490" s="1" t="str">
        <x:v>Late delivery</x:v>
      </x:c>
      <x:c r="G4490" s="6" t="n">
        <x:v>5</x:v>
      </x:c>
      <x:c r="H4490" s="6" t="n">
        <x:v>2</x:v>
      </x:c>
      <x:c r="I4490" s="6" t="n">
        <x:f>G4490-H4490</x:f>
        <x:v>3</x:v>
      </x:c>
      <x:c r="J4490" s="6" t="n">
        <x:f>IF(OR(E4490="CANCELED",E4490="SUSPECTED_FRAUD",F4490="Shipping canceled"),0,1)</x:f>
        <x:v>1</x:v>
      </x:c>
      <x:c r="K4490" s="6" t="n">
        <x:f>IF(G4490&gt;H4490,1,0)</x:f>
        <x:v>1</x:v>
      </x:c>
      <x:c r="L4490" s="6" t="n">
        <x:f>J4490*K4490</x:f>
        <x:v>1</x:v>
      </x:c>
    </x:row>
    <x:row r="4491">
      <x:c r="A4491" s="1" t="n">
        <x:v>34368</x:v>
      </x:c>
      <x:c r="B4491" s="5" t="d">
        <x:v>2016-05-16T00:00:00.000Z</x:v>
      </x:c>
      <x:c r="C4491" s="1" t="str">
        <x:v>First Class</x:v>
      </x:c>
      <x:c r="D4491" s="1" t="str">
        <x:v>USCA</x:v>
      </x:c>
      <x:c r="E4491" s="1" t="str">
        <x:v>CLOSED</x:v>
      </x:c>
      <x:c r="F4491" s="1" t="str">
        <x:v>Late delivery</x:v>
      </x:c>
      <x:c r="G4491" s="6" t="n">
        <x:v>2</x:v>
      </x:c>
      <x:c r="H4491" s="6" t="n">
        <x:v>1</x:v>
      </x:c>
      <x:c r="I4491" s="6" t="n">
        <x:f>G4491-H4491</x:f>
        <x:v>1</x:v>
      </x:c>
      <x:c r="J4491" s="6" t="n">
        <x:f>IF(OR(E4491="CANCELED",E4491="SUSPECTED_FRAUD",F4491="Shipping canceled"),0,1)</x:f>
        <x:v>1</x:v>
      </x:c>
      <x:c r="K4491" s="6" t="n">
        <x:f>IF(G4491&gt;H4491,1,0)</x:f>
        <x:v>1</x:v>
      </x:c>
      <x:c r="L4491" s="6" t="n">
        <x:f>J4491*K4491</x:f>
        <x:v>1</x:v>
      </x:c>
    </x:row>
    <x:row r="4492">
      <x:c r="A4492" s="1" t="n">
        <x:v>34371</x:v>
      </x:c>
      <x:c r="B4492" s="5" t="d">
        <x:v>2016-05-16T00:00:00.000Z</x:v>
      </x:c>
      <x:c r="C4492" s="1" t="str">
        <x:v>Standard Class</x:v>
      </x:c>
      <x:c r="D4492" s="1" t="str">
        <x:v>USCA</x:v>
      </x:c>
      <x:c r="E4492" s="1" t="str">
        <x:v>COMPLETE</x:v>
      </x:c>
      <x:c r="F4492" s="1" t="str">
        <x:v>Advance shipping</x:v>
      </x:c>
      <x:c r="G4492" s="6" t="n">
        <x:v>2</x:v>
      </x:c>
      <x:c r="H4492" s="6" t="n">
        <x:v>4</x:v>
      </x:c>
      <x:c r="I4492" s="6" t="n">
        <x:f>G4492-H4492</x:f>
        <x:v>-2</x:v>
      </x:c>
      <x:c r="J4492" s="6" t="n">
        <x:f>IF(OR(E4492="CANCELED",E4492="SUSPECTED_FRAUD",F4492="Shipping canceled"),0,1)</x:f>
        <x:v>1</x:v>
      </x:c>
      <x:c r="K4492" s="6" t="n">
        <x:f>IF(G4492&gt;H4492,1,0)</x:f>
        <x:v>0</x:v>
      </x:c>
      <x:c r="L4492" s="6" t="n">
        <x:f>J4492*K4492</x:f>
        <x:v>0</x:v>
      </x:c>
    </x:row>
    <x:row r="4493">
      <x:c r="A4493" s="1" t="n">
        <x:v>34373</x:v>
      </x:c>
      <x:c r="B4493" s="5" t="d">
        <x:v>2016-05-16T00:00:00.000Z</x:v>
      </x:c>
      <x:c r="C4493" s="1" t="str">
        <x:v>Standard Class</x:v>
      </x:c>
      <x:c r="D4493" s="1" t="str">
        <x:v>USCA</x:v>
      </x:c>
      <x:c r="E4493" s="1" t="str">
        <x:v>COMPLETE</x:v>
      </x:c>
      <x:c r="F4493" s="1" t="str">
        <x:v>Shipping on time</x:v>
      </x:c>
      <x:c r="G4493" s="6" t="n">
        <x:v>4</x:v>
      </x:c>
      <x:c r="H4493" s="6" t="n">
        <x:v>4</x:v>
      </x:c>
      <x:c r="I4493" s="6" t="n">
        <x:f>G4493-H4493</x:f>
        <x:v>0</x:v>
      </x:c>
      <x:c r="J4493" s="6" t="n">
        <x:f>IF(OR(E4493="CANCELED",E4493="SUSPECTED_FRAUD",F4493="Shipping canceled"),0,1)</x:f>
        <x:v>1</x:v>
      </x:c>
      <x:c r="K4493" s="6" t="n">
        <x:f>IF(G4493&gt;H4493,1,0)</x:f>
        <x:v>0</x:v>
      </x:c>
      <x:c r="L4493" s="6" t="n">
        <x:f>J4493*K4493</x:f>
        <x:v>0</x:v>
      </x:c>
    </x:row>
    <x:row r="4494">
      <x:c r="A4494" s="1" t="n">
        <x:v>34376</x:v>
      </x:c>
      <x:c r="B4494" s="5" t="d">
        <x:v>2016-05-16T00:00:00.000Z</x:v>
      </x:c>
      <x:c r="C4494" s="1" t="str">
        <x:v>Standard Class</x:v>
      </x:c>
      <x:c r="D4494" s="1" t="str">
        <x:v>USCA</x:v>
      </x:c>
      <x:c r="E4494" s="1" t="str">
        <x:v>COMPLETE</x:v>
      </x:c>
      <x:c r="F4494" s="1" t="str">
        <x:v>Advance shipping</x:v>
      </x:c>
      <x:c r="G4494" s="6" t="n">
        <x:v>2</x:v>
      </x:c>
      <x:c r="H4494" s="6" t="n">
        <x:v>4</x:v>
      </x:c>
      <x:c r="I4494" s="6" t="n">
        <x:f>G4494-H4494</x:f>
        <x:v>-2</x:v>
      </x:c>
      <x:c r="J4494" s="6" t="n">
        <x:f>IF(OR(E4494="CANCELED",E4494="SUSPECTED_FRAUD",F4494="Shipping canceled"),0,1)</x:f>
        <x:v>1</x:v>
      </x:c>
      <x:c r="K4494" s="6" t="n">
        <x:f>IF(G4494&gt;H4494,1,0)</x:f>
        <x:v>0</x:v>
      </x:c>
      <x:c r="L4494" s="6" t="n">
        <x:f>J4494*K4494</x:f>
        <x:v>0</x:v>
      </x:c>
    </x:row>
    <x:row r="4495">
      <x:c r="A4495" s="1" t="n">
        <x:v>34390</x:v>
      </x:c>
      <x:c r="B4495" s="5" t="d">
        <x:v>2016-05-16T00:00:00.000Z</x:v>
      </x:c>
      <x:c r="C4495" s="1" t="str">
        <x:v>Second Class</x:v>
      </x:c>
      <x:c r="D4495" s="1" t="str">
        <x:v>USCA</x:v>
      </x:c>
      <x:c r="E4495" s="1" t="str">
        <x:v>COMPLETE</x:v>
      </x:c>
      <x:c r="F4495" s="1" t="str">
        <x:v>Late delivery</x:v>
      </x:c>
      <x:c r="G4495" s="6" t="n">
        <x:v>6</x:v>
      </x:c>
      <x:c r="H4495" s="6" t="n">
        <x:v>2</x:v>
      </x:c>
      <x:c r="I4495" s="6" t="n">
        <x:f>G4495-H4495</x:f>
        <x:v>4</x:v>
      </x:c>
      <x:c r="J4495" s="6" t="n">
        <x:f>IF(OR(E4495="CANCELED",E4495="SUSPECTED_FRAUD",F4495="Shipping canceled"),0,1)</x:f>
        <x:v>1</x:v>
      </x:c>
      <x:c r="K4495" s="6" t="n">
        <x:f>IF(G4495&gt;H4495,1,0)</x:f>
        <x:v>1</x:v>
      </x:c>
      <x:c r="L4495" s="6" t="n">
        <x:f>J4495*K4495</x:f>
        <x:v>1</x:v>
      </x:c>
    </x:row>
    <x:row r="4496">
      <x:c r="A4496" s="1" t="n">
        <x:v>34398</x:v>
      </x:c>
      <x:c r="B4496" s="5" t="d">
        <x:v>2016-05-17T00:00:00.000Z</x:v>
      </x:c>
      <x:c r="C4496" s="1" t="str">
        <x:v>Second Class</x:v>
      </x:c>
      <x:c r="D4496" s="1" t="str">
        <x:v>USCA</x:v>
      </x:c>
      <x:c r="E4496" s="1" t="str">
        <x:v>COMPLETE</x:v>
      </x:c>
      <x:c r="F4496" s="1" t="str">
        <x:v>Late delivery</x:v>
      </x:c>
      <x:c r="G4496" s="6" t="n">
        <x:v>4</x:v>
      </x:c>
      <x:c r="H4496" s="6" t="n">
        <x:v>2</x:v>
      </x:c>
      <x:c r="I4496" s="6" t="n">
        <x:f>G4496-H4496</x:f>
        <x:v>2</x:v>
      </x:c>
      <x:c r="J4496" s="6" t="n">
        <x:f>IF(OR(E4496="CANCELED",E4496="SUSPECTED_FRAUD",F4496="Shipping canceled"),0,1)</x:f>
        <x:v>1</x:v>
      </x:c>
      <x:c r="K4496" s="6" t="n">
        <x:f>IF(G4496&gt;H4496,1,0)</x:f>
        <x:v>1</x:v>
      </x:c>
      <x:c r="L4496" s="6" t="n">
        <x:f>J4496*K4496</x:f>
        <x:v>1</x:v>
      </x:c>
    </x:row>
    <x:row r="4497">
      <x:c r="A4497" s="1" t="n">
        <x:v>34409</x:v>
      </x:c>
      <x:c r="B4497" s="5" t="d">
        <x:v>2016-05-17T00:00:00.000Z</x:v>
      </x:c>
      <x:c r="C4497" s="1" t="str">
        <x:v>Standard Class</x:v>
      </x:c>
      <x:c r="D4497" s="1" t="str">
        <x:v>USCA</x:v>
      </x:c>
      <x:c r="E4497" s="1" t="str">
        <x:v>PENDING</x:v>
      </x:c>
      <x:c r="F4497" s="1" t="str">
        <x:v>Late delivery</x:v>
      </x:c>
      <x:c r="G4497" s="6" t="n">
        <x:v>5</x:v>
      </x:c>
      <x:c r="H4497" s="6" t="n">
        <x:v>4</x:v>
      </x:c>
      <x:c r="I4497" s="6" t="n">
        <x:f>G4497-H4497</x:f>
        <x:v>1</x:v>
      </x:c>
      <x:c r="J4497" s="6" t="n">
        <x:f>IF(OR(E4497="CANCELED",E4497="SUSPECTED_FRAUD",F4497="Shipping canceled"),0,1)</x:f>
        <x:v>1</x:v>
      </x:c>
      <x:c r="K4497" s="6" t="n">
        <x:f>IF(G4497&gt;H4497,1,0)</x:f>
        <x:v>1</x:v>
      </x:c>
      <x:c r="L4497" s="6" t="n">
        <x:f>J4497*K4497</x:f>
        <x:v>1</x:v>
      </x:c>
    </x:row>
    <x:row r="4498">
      <x:c r="A4498" s="1" t="n">
        <x:v>34413</x:v>
      </x:c>
      <x:c r="B4498" s="5" t="d">
        <x:v>2016-05-17T00:00:00.000Z</x:v>
      </x:c>
      <x:c r="C4498" s="1" t="str">
        <x:v>Standard Class</x:v>
      </x:c>
      <x:c r="D4498" s="1" t="str">
        <x:v>USCA</x:v>
      </x:c>
      <x:c r="E4498" s="1" t="str">
        <x:v>PENDING</x:v>
      </x:c>
      <x:c r="F4498" s="1" t="str">
        <x:v>Shipping on time</x:v>
      </x:c>
      <x:c r="G4498" s="6" t="n">
        <x:v>4</x:v>
      </x:c>
      <x:c r="H4498" s="6" t="n">
        <x:v>4</x:v>
      </x:c>
      <x:c r="I4498" s="6" t="n">
        <x:f>G4498-H4498</x:f>
        <x:v>0</x:v>
      </x:c>
      <x:c r="J4498" s="6" t="n">
        <x:f>IF(OR(E4498="CANCELED",E4498="SUSPECTED_FRAUD",F4498="Shipping canceled"),0,1)</x:f>
        <x:v>1</x:v>
      </x:c>
      <x:c r="K4498" s="6" t="n">
        <x:f>IF(G4498&gt;H4498,1,0)</x:f>
        <x:v>0</x:v>
      </x:c>
      <x:c r="L4498" s="6" t="n">
        <x:f>J4498*K4498</x:f>
        <x:v>0</x:v>
      </x:c>
    </x:row>
    <x:row r="4499">
      <x:c r="A4499" s="1" t="n">
        <x:v>34437</x:v>
      </x:c>
      <x:c r="B4499" s="5" t="d">
        <x:v>2016-05-17T00:00:00.000Z</x:v>
      </x:c>
      <x:c r="C4499" s="1" t="str">
        <x:v>Second Class</x:v>
      </x:c>
      <x:c r="D4499" s="1" t="str">
        <x:v>USCA</x:v>
      </x:c>
      <x:c r="E4499" s="1" t="str">
        <x:v>COMPLETE</x:v>
      </x:c>
      <x:c r="F4499" s="1" t="str">
        <x:v>Late delivery</x:v>
      </x:c>
      <x:c r="G4499" s="6" t="n">
        <x:v>3</x:v>
      </x:c>
      <x:c r="H4499" s="6" t="n">
        <x:v>2</x:v>
      </x:c>
      <x:c r="I4499" s="6" t="n">
        <x:f>G4499-H4499</x:f>
        <x:v>1</x:v>
      </x:c>
      <x:c r="J4499" s="6" t="n">
        <x:f>IF(OR(E4499="CANCELED",E4499="SUSPECTED_FRAUD",F4499="Shipping canceled"),0,1)</x:f>
        <x:v>1</x:v>
      </x:c>
      <x:c r="K4499" s="6" t="n">
        <x:f>IF(G4499&gt;H4499,1,0)</x:f>
        <x:v>1</x:v>
      </x:c>
      <x:c r="L4499" s="6" t="n">
        <x:f>J4499*K4499</x:f>
        <x:v>1</x:v>
      </x:c>
    </x:row>
    <x:row r="4500">
      <x:c r="A4500" s="1" t="n">
        <x:v>34438</x:v>
      </x:c>
      <x:c r="B4500" s="5" t="d">
        <x:v>2016-05-17T00:00:00.000Z</x:v>
      </x:c>
      <x:c r="C4500" s="1" t="str">
        <x:v>Second Class</x:v>
      </x:c>
      <x:c r="D4500" s="1" t="str">
        <x:v>USCA</x:v>
      </x:c>
      <x:c r="E4500" s="1" t="str">
        <x:v>COMPLETE</x:v>
      </x:c>
      <x:c r="F4500" s="1" t="str">
        <x:v>Late delivery</x:v>
      </x:c>
      <x:c r="G4500" s="6" t="n">
        <x:v>4</x:v>
      </x:c>
      <x:c r="H4500" s="6" t="n">
        <x:v>2</x:v>
      </x:c>
      <x:c r="I4500" s="6" t="n">
        <x:f>G4500-H4500</x:f>
        <x:v>2</x:v>
      </x:c>
      <x:c r="J4500" s="6" t="n">
        <x:f>IF(OR(E4500="CANCELED",E4500="SUSPECTED_FRAUD",F4500="Shipping canceled"),0,1)</x:f>
        <x:v>1</x:v>
      </x:c>
      <x:c r="K4500" s="6" t="n">
        <x:f>IF(G4500&gt;H4500,1,0)</x:f>
        <x:v>1</x:v>
      </x:c>
      <x:c r="L4500" s="6" t="n">
        <x:f>J4500*K4500</x:f>
        <x:v>1</x:v>
      </x:c>
    </x:row>
    <x:row r="4501">
      <x:c r="A4501" s="1" t="n">
        <x:v>34445</x:v>
      </x:c>
      <x:c r="B4501" s="5" t="d">
        <x:v>2016-05-17T00:00:00.000Z</x:v>
      </x:c>
      <x:c r="C4501" s="1" t="str">
        <x:v>Standard Class</x:v>
      </x:c>
      <x:c r="D4501" s="1" t="str">
        <x:v>USCA</x:v>
      </x:c>
      <x:c r="E4501" s="1" t="str">
        <x:v>ON_HOLD</x:v>
      </x:c>
      <x:c r="F4501" s="1" t="str">
        <x:v>Late delivery</x:v>
      </x:c>
      <x:c r="G4501" s="6" t="n">
        <x:v>6</x:v>
      </x:c>
      <x:c r="H4501" s="6" t="n">
        <x:v>4</x:v>
      </x:c>
      <x:c r="I4501" s="6" t="n">
        <x:f>G4501-H4501</x:f>
        <x:v>2</x:v>
      </x:c>
      <x:c r="J4501" s="6" t="n">
        <x:f>IF(OR(E4501="CANCELED",E4501="SUSPECTED_FRAUD",F4501="Shipping canceled"),0,1)</x:f>
        <x:v>1</x:v>
      </x:c>
      <x:c r="K4501" s="6" t="n">
        <x:f>IF(G4501&gt;H4501,1,0)</x:f>
        <x:v>1</x:v>
      </x:c>
      <x:c r="L4501" s="6" t="n">
        <x:f>J4501*K4501</x:f>
        <x:v>1</x:v>
      </x:c>
    </x:row>
    <x:row r="4502">
      <x:c r="A4502" s="1" t="n">
        <x:v>34455</x:v>
      </x:c>
      <x:c r="B4502" s="5" t="d">
        <x:v>2016-05-17T00:00:00.000Z</x:v>
      </x:c>
      <x:c r="C4502" s="1" t="str">
        <x:v>Standard Class</x:v>
      </x:c>
      <x:c r="D4502" s="1" t="str">
        <x:v>USCA</x:v>
      </x:c>
      <x:c r="E4502" s="1" t="str">
        <x:v>PENDING_PAYMENT</x:v>
      </x:c>
      <x:c r="F4502" s="1" t="str">
        <x:v>Late delivery</x:v>
      </x:c>
      <x:c r="G4502" s="6" t="n">
        <x:v>6</x:v>
      </x:c>
      <x:c r="H4502" s="6" t="n">
        <x:v>4</x:v>
      </x:c>
      <x:c r="I4502" s="6" t="n">
        <x:f>G4502-H4502</x:f>
        <x:v>2</x:v>
      </x:c>
      <x:c r="J4502" s="6" t="n">
        <x:f>IF(OR(E4502="CANCELED",E4502="SUSPECTED_FRAUD",F4502="Shipping canceled"),0,1)</x:f>
        <x:v>1</x:v>
      </x:c>
      <x:c r="K4502" s="6" t="n">
        <x:f>IF(G4502&gt;H4502,1,0)</x:f>
        <x:v>1</x:v>
      </x:c>
      <x:c r="L4502" s="6" t="n">
        <x:f>J4502*K4502</x:f>
        <x:v>1</x:v>
      </x:c>
    </x:row>
    <x:row r="4503">
      <x:c r="A4503" s="1" t="n">
        <x:v>34456</x:v>
      </x:c>
      <x:c r="B4503" s="5" t="d">
        <x:v>2016-05-17T00:00:00.000Z</x:v>
      </x:c>
      <x:c r="C4503" s="1" t="str">
        <x:v>Standard Class</x:v>
      </x:c>
      <x:c r="D4503" s="1" t="str">
        <x:v>USCA</x:v>
      </x:c>
      <x:c r="E4503" s="1" t="str">
        <x:v>COMPLETE</x:v>
      </x:c>
      <x:c r="F4503" s="1" t="str">
        <x:v>Advance shipping</x:v>
      </x:c>
      <x:c r="G4503" s="6" t="n">
        <x:v>2</x:v>
      </x:c>
      <x:c r="H4503" s="6" t="n">
        <x:v>4</x:v>
      </x:c>
      <x:c r="I4503" s="6" t="n">
        <x:f>G4503-H4503</x:f>
        <x:v>-2</x:v>
      </x:c>
      <x:c r="J4503" s="6" t="n">
        <x:f>IF(OR(E4503="CANCELED",E4503="SUSPECTED_FRAUD",F4503="Shipping canceled"),0,1)</x:f>
        <x:v>1</x:v>
      </x:c>
      <x:c r="K4503" s="6" t="n">
        <x:f>IF(G4503&gt;H4503,1,0)</x:f>
        <x:v>0</x:v>
      </x:c>
      <x:c r="L4503" s="6" t="n">
        <x:f>J4503*K4503</x:f>
        <x:v>0</x:v>
      </x:c>
    </x:row>
    <x:row r="4504">
      <x:c r="A4504" s="1" t="n">
        <x:v>34459</x:v>
      </x:c>
      <x:c r="B4504" s="5" t="d">
        <x:v>2016-05-18T00:00:00.000Z</x:v>
      </x:c>
      <x:c r="C4504" s="1" t="str">
        <x:v>Standard Class</x:v>
      </x:c>
      <x:c r="D4504" s="1" t="str">
        <x:v>USCA</x:v>
      </x:c>
      <x:c r="E4504" s="1" t="str">
        <x:v>COMPLETE</x:v>
      </x:c>
      <x:c r="F4504" s="1" t="str">
        <x:v>Late delivery</x:v>
      </x:c>
      <x:c r="G4504" s="6" t="n">
        <x:v>5</x:v>
      </x:c>
      <x:c r="H4504" s="6" t="n">
        <x:v>4</x:v>
      </x:c>
      <x:c r="I4504" s="6" t="n">
        <x:f>G4504-H4504</x:f>
        <x:v>1</x:v>
      </x:c>
      <x:c r="J4504" s="6" t="n">
        <x:f>IF(OR(E4504="CANCELED",E4504="SUSPECTED_FRAUD",F4504="Shipping canceled"),0,1)</x:f>
        <x:v>1</x:v>
      </x:c>
      <x:c r="K4504" s="6" t="n">
        <x:f>IF(G4504&gt;H4504,1,0)</x:f>
        <x:v>1</x:v>
      </x:c>
      <x:c r="L4504" s="6" t="n">
        <x:f>J4504*K4504</x:f>
        <x:v>1</x:v>
      </x:c>
    </x:row>
    <x:row r="4505">
      <x:c r="A4505" s="1" t="n">
        <x:v>34460</x:v>
      </x:c>
      <x:c r="B4505" s="5" t="d">
        <x:v>2016-05-18T00:00:00.000Z</x:v>
      </x:c>
      <x:c r="C4505" s="1" t="str">
        <x:v>Standard Class</x:v>
      </x:c>
      <x:c r="D4505" s="1" t="str">
        <x:v>USCA</x:v>
      </x:c>
      <x:c r="E4505" s="1" t="str">
        <x:v>COMPLETE</x:v>
      </x:c>
      <x:c r="F4505" s="1" t="str">
        <x:v>Late delivery</x:v>
      </x:c>
      <x:c r="G4505" s="6" t="n">
        <x:v>6</x:v>
      </x:c>
      <x:c r="H4505" s="6" t="n">
        <x:v>4</x:v>
      </x:c>
      <x:c r="I4505" s="6" t="n">
        <x:f>G4505-H4505</x:f>
        <x:v>2</x:v>
      </x:c>
      <x:c r="J4505" s="6" t="n">
        <x:f>IF(OR(E4505="CANCELED",E4505="SUSPECTED_FRAUD",F4505="Shipping canceled"),0,1)</x:f>
        <x:v>1</x:v>
      </x:c>
      <x:c r="K4505" s="6" t="n">
        <x:f>IF(G4505&gt;H4505,1,0)</x:f>
        <x:v>1</x:v>
      </x:c>
      <x:c r="L4505" s="6" t="n">
        <x:f>J4505*K4505</x:f>
        <x:v>1</x:v>
      </x:c>
    </x:row>
    <x:row r="4506">
      <x:c r="A4506" s="1" t="n">
        <x:v>34477</x:v>
      </x:c>
      <x:c r="B4506" s="5" t="d">
        <x:v>2016-05-18T00:00:00.000Z</x:v>
      </x:c>
      <x:c r="C4506" s="1" t="str">
        <x:v>Standard Class</x:v>
      </x:c>
      <x:c r="D4506" s="1" t="str">
        <x:v>USCA</x:v>
      </x:c>
      <x:c r="E4506" s="1" t="str">
        <x:v>PENDING</x:v>
      </x:c>
      <x:c r="F4506" s="1" t="str">
        <x:v>Advance shipping</x:v>
      </x:c>
      <x:c r="G4506" s="6" t="n">
        <x:v>3</x:v>
      </x:c>
      <x:c r="H4506" s="6" t="n">
        <x:v>4</x:v>
      </x:c>
      <x:c r="I4506" s="6" t="n">
        <x:f>G4506-H4506</x:f>
        <x:v>-1</x:v>
      </x:c>
      <x:c r="J4506" s="6" t="n">
        <x:f>IF(OR(E4506="CANCELED",E4506="SUSPECTED_FRAUD",F4506="Shipping canceled"),0,1)</x:f>
        <x:v>1</x:v>
      </x:c>
      <x:c r="K4506" s="6" t="n">
        <x:f>IF(G4506&gt;H4506,1,0)</x:f>
        <x:v>0</x:v>
      </x:c>
      <x:c r="L4506" s="6" t="n">
        <x:f>J4506*K4506</x:f>
        <x:v>0</x:v>
      </x:c>
    </x:row>
    <x:row r="4507">
      <x:c r="A4507" s="1" t="n">
        <x:v>34486</x:v>
      </x:c>
      <x:c r="B4507" s="5" t="d">
        <x:v>2016-05-18T00:00:00.000Z</x:v>
      </x:c>
      <x:c r="C4507" s="1" t="str">
        <x:v>Standard Class</x:v>
      </x:c>
      <x:c r="D4507" s="1" t="str">
        <x:v>USCA</x:v>
      </x:c>
      <x:c r="E4507" s="1" t="str">
        <x:v>PENDING</x:v>
      </x:c>
      <x:c r="F4507" s="1" t="str">
        <x:v>Advance shipping</x:v>
      </x:c>
      <x:c r="G4507" s="6" t="n">
        <x:v>2</x:v>
      </x:c>
      <x:c r="H4507" s="6" t="n">
        <x:v>4</x:v>
      </x:c>
      <x:c r="I4507" s="6" t="n">
        <x:f>G4507-H4507</x:f>
        <x:v>-2</x:v>
      </x:c>
      <x:c r="J4507" s="6" t="n">
        <x:f>IF(OR(E4507="CANCELED",E4507="SUSPECTED_FRAUD",F4507="Shipping canceled"),0,1)</x:f>
        <x:v>1</x:v>
      </x:c>
      <x:c r="K4507" s="6" t="n">
        <x:f>IF(G4507&gt;H4507,1,0)</x:f>
        <x:v>0</x:v>
      </x:c>
      <x:c r="L4507" s="6" t="n">
        <x:f>J4507*K4507</x:f>
        <x:v>0</x:v>
      </x:c>
    </x:row>
    <x:row r="4508">
      <x:c r="A4508" s="1" t="n">
        <x:v>34487</x:v>
      </x:c>
      <x:c r="B4508" s="5" t="d">
        <x:v>2016-05-18T00:00:00.000Z</x:v>
      </x:c>
      <x:c r="C4508" s="1" t="str">
        <x:v>Standard Class</x:v>
      </x:c>
      <x:c r="D4508" s="1" t="str">
        <x:v>USCA</x:v>
      </x:c>
      <x:c r="E4508" s="1" t="str">
        <x:v>PENDING_PAYMENT</x:v>
      </x:c>
      <x:c r="F4508" s="1" t="str">
        <x:v>Advance shipping</x:v>
      </x:c>
      <x:c r="G4508" s="6" t="n">
        <x:v>3</x:v>
      </x:c>
      <x:c r="H4508" s="6" t="n">
        <x:v>4</x:v>
      </x:c>
      <x:c r="I4508" s="6" t="n">
        <x:f>G4508-H4508</x:f>
        <x:v>-1</x:v>
      </x:c>
      <x:c r="J4508" s="6" t="n">
        <x:f>IF(OR(E4508="CANCELED",E4508="SUSPECTED_FRAUD",F4508="Shipping canceled"),0,1)</x:f>
        <x:v>1</x:v>
      </x:c>
      <x:c r="K4508" s="6" t="n">
        <x:f>IF(G4508&gt;H4508,1,0)</x:f>
        <x:v>0</x:v>
      </x:c>
      <x:c r="L4508" s="6" t="n">
        <x:f>J4508*K4508</x:f>
        <x:v>0</x:v>
      </x:c>
    </x:row>
    <x:row r="4509">
      <x:c r="A4509" s="1" t="n">
        <x:v>34506</x:v>
      </x:c>
      <x:c r="B4509" s="5" t="d">
        <x:v>2016-05-18T00:00:00.000Z</x:v>
      </x:c>
      <x:c r="C4509" s="1" t="str">
        <x:v>Standard Class</x:v>
      </x:c>
      <x:c r="D4509" s="1" t="str">
        <x:v>USCA</x:v>
      </x:c>
      <x:c r="E4509" s="1" t="str">
        <x:v>SUSPECTED_FRAUD</x:v>
      </x:c>
      <x:c r="F4509" s="1" t="str">
        <x:v>Shipping canceled</x:v>
      </x:c>
      <x:c r="G4509" s="6" t="n">
        <x:v>2</x:v>
      </x:c>
      <x:c r="H4509" s="6" t="n">
        <x:v>4</x:v>
      </x:c>
      <x:c r="I4509" s="6" t="n">
        <x:f>G4509-H4509</x:f>
        <x:v>-2</x:v>
      </x:c>
      <x:c r="J4509" s="6" t="n">
        <x:f>IF(OR(E4509="CANCELED",E4509="SUSPECTED_FRAUD",F4509="Shipping canceled"),0,1)</x:f>
        <x:v>0</x:v>
      </x:c>
      <x:c r="K4509" s="6" t="n">
        <x:f>IF(G4509&gt;H4509,1,0)</x:f>
        <x:v>0</x:v>
      </x:c>
      <x:c r="L4509" s="6" t="n">
        <x:f>J4509*K4509</x:f>
        <x:v>0</x:v>
      </x:c>
    </x:row>
    <x:row r="4510">
      <x:c r="A4510" s="1" t="n">
        <x:v>34514</x:v>
      </x:c>
      <x:c r="B4510" s="5" t="d">
        <x:v>2016-05-18T00:00:00.000Z</x:v>
      </x:c>
      <x:c r="C4510" s="1" t="str">
        <x:v>Standard Class</x:v>
      </x:c>
      <x:c r="D4510" s="1" t="str">
        <x:v>USCA</x:v>
      </x:c>
      <x:c r="E4510" s="1" t="str">
        <x:v>PAYMENT_REVIEW</x:v>
      </x:c>
      <x:c r="F4510" s="1" t="str">
        <x:v>Late delivery</x:v>
      </x:c>
      <x:c r="G4510" s="6" t="n">
        <x:v>5</x:v>
      </x:c>
      <x:c r="H4510" s="6" t="n">
        <x:v>4</x:v>
      </x:c>
      <x:c r="I4510" s="6" t="n">
        <x:f>G4510-H4510</x:f>
        <x:v>1</x:v>
      </x:c>
      <x:c r="J4510" s="6" t="n">
        <x:f>IF(OR(E4510="CANCELED",E4510="SUSPECTED_FRAUD",F4510="Shipping canceled"),0,1)</x:f>
        <x:v>1</x:v>
      </x:c>
      <x:c r="K4510" s="6" t="n">
        <x:f>IF(G4510&gt;H4510,1,0)</x:f>
        <x:v>1</x:v>
      </x:c>
      <x:c r="L4510" s="6" t="n">
        <x:f>J4510*K4510</x:f>
        <x:v>1</x:v>
      </x:c>
    </x:row>
    <x:row r="4511">
      <x:c r="A4511" s="1" t="n">
        <x:v>34519</x:v>
      </x:c>
      <x:c r="B4511" s="5" t="d">
        <x:v>2016-05-18T00:00:00.000Z</x:v>
      </x:c>
      <x:c r="C4511" s="1" t="str">
        <x:v>Standard Class</x:v>
      </x:c>
      <x:c r="D4511" s="1" t="str">
        <x:v>USCA</x:v>
      </x:c>
      <x:c r="E4511" s="1" t="str">
        <x:v>PENDING</x:v>
      </x:c>
      <x:c r="F4511" s="1" t="str">
        <x:v>Late delivery</x:v>
      </x:c>
      <x:c r="G4511" s="6" t="n">
        <x:v>5</x:v>
      </x:c>
      <x:c r="H4511" s="6" t="n">
        <x:v>4</x:v>
      </x:c>
      <x:c r="I4511" s="6" t="n">
        <x:f>G4511-H4511</x:f>
        <x:v>1</x:v>
      </x:c>
      <x:c r="J4511" s="6" t="n">
        <x:f>IF(OR(E4511="CANCELED",E4511="SUSPECTED_FRAUD",F4511="Shipping canceled"),0,1)</x:f>
        <x:v>1</x:v>
      </x:c>
      <x:c r="K4511" s="6" t="n">
        <x:f>IF(G4511&gt;H4511,1,0)</x:f>
        <x:v>1</x:v>
      </x:c>
      <x:c r="L4511" s="6" t="n">
        <x:f>J4511*K4511</x:f>
        <x:v>1</x:v>
      </x:c>
    </x:row>
    <x:row r="4512">
      <x:c r="A4512" s="1" t="n">
        <x:v>34528</x:v>
      </x:c>
      <x:c r="B4512" s="5" t="d">
        <x:v>2016-05-19T00:00:00.000Z</x:v>
      </x:c>
      <x:c r="C4512" s="1" t="str">
        <x:v>Standard Class</x:v>
      </x:c>
      <x:c r="D4512" s="1" t="str">
        <x:v>USCA</x:v>
      </x:c>
      <x:c r="E4512" s="1" t="str">
        <x:v>PENDING_PAYMENT</x:v>
      </x:c>
      <x:c r="F4512" s="1" t="str">
        <x:v>Shipping on time</x:v>
      </x:c>
      <x:c r="G4512" s="6" t="n">
        <x:v>4</x:v>
      </x:c>
      <x:c r="H4512" s="6" t="n">
        <x:v>4</x:v>
      </x:c>
      <x:c r="I4512" s="6" t="n">
        <x:f>G4512-H4512</x:f>
        <x:v>0</x:v>
      </x:c>
      <x:c r="J4512" s="6" t="n">
        <x:f>IF(OR(E4512="CANCELED",E4512="SUSPECTED_FRAUD",F4512="Shipping canceled"),0,1)</x:f>
        <x:v>1</x:v>
      </x:c>
      <x:c r="K4512" s="6" t="n">
        <x:f>IF(G4512&gt;H4512,1,0)</x:f>
        <x:v>0</x:v>
      </x:c>
      <x:c r="L4512" s="6" t="n">
        <x:f>J4512*K4512</x:f>
        <x:v>0</x:v>
      </x:c>
    </x:row>
    <x:row r="4513">
      <x:c r="A4513" s="1" t="n">
        <x:v>34531</x:v>
      </x:c>
      <x:c r="B4513" s="5" t="d">
        <x:v>2016-05-19T00:00:00.000Z</x:v>
      </x:c>
      <x:c r="C4513" s="1" t="str">
        <x:v>Standard Class</x:v>
      </x:c>
      <x:c r="D4513" s="1" t="str">
        <x:v>USCA</x:v>
      </x:c>
      <x:c r="E4513" s="1" t="str">
        <x:v>PENDING_PAYMENT</x:v>
      </x:c>
      <x:c r="F4513" s="1" t="str">
        <x:v>Advance shipping</x:v>
      </x:c>
      <x:c r="G4513" s="6" t="n">
        <x:v>2</x:v>
      </x:c>
      <x:c r="H4513" s="6" t="n">
        <x:v>4</x:v>
      </x:c>
      <x:c r="I4513" s="6" t="n">
        <x:f>G4513-H4513</x:f>
        <x:v>-2</x:v>
      </x:c>
      <x:c r="J4513" s="6" t="n">
        <x:f>IF(OR(E4513="CANCELED",E4513="SUSPECTED_FRAUD",F4513="Shipping canceled"),0,1)</x:f>
        <x:v>1</x:v>
      </x:c>
      <x:c r="K4513" s="6" t="n">
        <x:f>IF(G4513&gt;H4513,1,0)</x:f>
        <x:v>0</x:v>
      </x:c>
      <x:c r="L4513" s="6" t="n">
        <x:f>J4513*K4513</x:f>
        <x:v>0</x:v>
      </x:c>
    </x:row>
    <x:row r="4514">
      <x:c r="A4514" s="1" t="n">
        <x:v>34543</x:v>
      </x:c>
      <x:c r="B4514" s="5" t="d">
        <x:v>2016-05-19T00:00:00.000Z</x:v>
      </x:c>
      <x:c r="C4514" s="1" t="str">
        <x:v>Standard Class</x:v>
      </x:c>
      <x:c r="D4514" s="1" t="str">
        <x:v>USCA</x:v>
      </x:c>
      <x:c r="E4514" s="1" t="str">
        <x:v>PENDING</x:v>
      </x:c>
      <x:c r="F4514" s="1" t="str">
        <x:v>Shipping on time</x:v>
      </x:c>
      <x:c r="G4514" s="6" t="n">
        <x:v>4</x:v>
      </x:c>
      <x:c r="H4514" s="6" t="n">
        <x:v>4</x:v>
      </x:c>
      <x:c r="I4514" s="6" t="n">
        <x:f>G4514-H4514</x:f>
        <x:v>0</x:v>
      </x:c>
      <x:c r="J4514" s="6" t="n">
        <x:f>IF(OR(E4514="CANCELED",E4514="SUSPECTED_FRAUD",F4514="Shipping canceled"),0,1)</x:f>
        <x:v>1</x:v>
      </x:c>
      <x:c r="K4514" s="6" t="n">
        <x:f>IF(G4514&gt;H4514,1,0)</x:f>
        <x:v>0</x:v>
      </x:c>
      <x:c r="L4514" s="6" t="n">
        <x:f>J4514*K4514</x:f>
        <x:v>0</x:v>
      </x:c>
    </x:row>
    <x:row r="4515">
      <x:c r="A4515" s="1" t="n">
        <x:v>34545</x:v>
      </x:c>
      <x:c r="B4515" s="5" t="d">
        <x:v>2016-05-19T00:00:00.000Z</x:v>
      </x:c>
      <x:c r="C4515" s="1" t="str">
        <x:v>Standard Class</x:v>
      </x:c>
      <x:c r="D4515" s="1" t="str">
        <x:v>USCA</x:v>
      </x:c>
      <x:c r="E4515" s="1" t="str">
        <x:v>PENDING</x:v>
      </x:c>
      <x:c r="F4515" s="1" t="str">
        <x:v>Late delivery</x:v>
      </x:c>
      <x:c r="G4515" s="6" t="n">
        <x:v>6</x:v>
      </x:c>
      <x:c r="H4515" s="6" t="n">
        <x:v>4</x:v>
      </x:c>
      <x:c r="I4515" s="6" t="n">
        <x:f>G4515-H4515</x:f>
        <x:v>2</x:v>
      </x:c>
      <x:c r="J4515" s="6" t="n">
        <x:f>IF(OR(E4515="CANCELED",E4515="SUSPECTED_FRAUD",F4515="Shipping canceled"),0,1)</x:f>
        <x:v>1</x:v>
      </x:c>
      <x:c r="K4515" s="6" t="n">
        <x:f>IF(G4515&gt;H4515,1,0)</x:f>
        <x:v>1</x:v>
      </x:c>
      <x:c r="L4515" s="6" t="n">
        <x:f>J4515*K4515</x:f>
        <x:v>1</x:v>
      </x:c>
    </x:row>
    <x:row r="4516">
      <x:c r="A4516" s="1" t="n">
        <x:v>34555</x:v>
      </x:c>
      <x:c r="B4516" s="5" t="d">
        <x:v>2016-05-19T00:00:00.000Z</x:v>
      </x:c>
      <x:c r="C4516" s="1" t="str">
        <x:v>First Class</x:v>
      </x:c>
      <x:c r="D4516" s="1" t="str">
        <x:v>USCA</x:v>
      </x:c>
      <x:c r="E4516" s="1" t="str">
        <x:v>CLOSED</x:v>
      </x:c>
      <x:c r="F4516" s="1" t="str">
        <x:v>Late delivery</x:v>
      </x:c>
      <x:c r="G4516" s="6" t="n">
        <x:v>2</x:v>
      </x:c>
      <x:c r="H4516" s="6" t="n">
        <x:v>1</x:v>
      </x:c>
      <x:c r="I4516" s="6" t="n">
        <x:f>G4516-H4516</x:f>
        <x:v>1</x:v>
      </x:c>
      <x:c r="J4516" s="6" t="n">
        <x:f>IF(OR(E4516="CANCELED",E4516="SUSPECTED_FRAUD",F4516="Shipping canceled"),0,1)</x:f>
        <x:v>1</x:v>
      </x:c>
      <x:c r="K4516" s="6" t="n">
        <x:f>IF(G4516&gt;H4516,1,0)</x:f>
        <x:v>1</x:v>
      </x:c>
      <x:c r="L4516" s="6" t="n">
        <x:f>J4516*K4516</x:f>
        <x:v>1</x:v>
      </x:c>
    </x:row>
    <x:row r="4517">
      <x:c r="A4517" s="1" t="n">
        <x:v>34574</x:v>
      </x:c>
      <x:c r="B4517" s="5" t="d">
        <x:v>2016-05-19T00:00:00.000Z</x:v>
      </x:c>
      <x:c r="C4517" s="1" t="str">
        <x:v>Standard Class</x:v>
      </x:c>
      <x:c r="D4517" s="1" t="str">
        <x:v>USCA</x:v>
      </x:c>
      <x:c r="E4517" s="1" t="str">
        <x:v>ON_HOLD</x:v>
      </x:c>
      <x:c r="F4517" s="1" t="str">
        <x:v>Late delivery</x:v>
      </x:c>
      <x:c r="G4517" s="6" t="n">
        <x:v>5</x:v>
      </x:c>
      <x:c r="H4517" s="6" t="n">
        <x:v>4</x:v>
      </x:c>
      <x:c r="I4517" s="6" t="n">
        <x:f>G4517-H4517</x:f>
        <x:v>1</x:v>
      </x:c>
      <x:c r="J4517" s="6" t="n">
        <x:f>IF(OR(E4517="CANCELED",E4517="SUSPECTED_FRAUD",F4517="Shipping canceled"),0,1)</x:f>
        <x:v>1</x:v>
      </x:c>
      <x:c r="K4517" s="6" t="n">
        <x:f>IF(G4517&gt;H4517,1,0)</x:f>
        <x:v>1</x:v>
      </x:c>
      <x:c r="L4517" s="6" t="n">
        <x:f>J4517*K4517</x:f>
        <x:v>1</x:v>
      </x:c>
    </x:row>
    <x:row r="4518">
      <x:c r="A4518" s="1" t="n">
        <x:v>34577</x:v>
      </x:c>
      <x:c r="B4518" s="5" t="d">
        <x:v>2016-05-19T00:00:00.000Z</x:v>
      </x:c>
      <x:c r="C4518" s="1" t="str">
        <x:v>Standard Class</x:v>
      </x:c>
      <x:c r="D4518" s="1" t="str">
        <x:v>USCA</x:v>
      </x:c>
      <x:c r="E4518" s="1" t="str">
        <x:v>CANCELED</x:v>
      </x:c>
      <x:c r="F4518" s="1" t="str">
        <x:v>Shipping canceled</x:v>
      </x:c>
      <x:c r="G4518" s="6" t="n">
        <x:v>3</x:v>
      </x:c>
      <x:c r="H4518" s="6" t="n">
        <x:v>4</x:v>
      </x:c>
      <x:c r="I4518" s="6" t="n">
        <x:f>G4518-H4518</x:f>
        <x:v>-1</x:v>
      </x:c>
      <x:c r="J4518" s="6" t="n">
        <x:f>IF(OR(E4518="CANCELED",E4518="SUSPECTED_FRAUD",F4518="Shipping canceled"),0,1)</x:f>
        <x:v>0</x:v>
      </x:c>
      <x:c r="K4518" s="6" t="n">
        <x:f>IF(G4518&gt;H4518,1,0)</x:f>
        <x:v>0</x:v>
      </x:c>
      <x:c r="L4518" s="6" t="n">
        <x:f>J4518*K4518</x:f>
        <x:v>0</x:v>
      </x:c>
    </x:row>
    <x:row r="4519">
      <x:c r="A4519" s="1" t="n">
        <x:v>34579</x:v>
      </x:c>
      <x:c r="B4519" s="5" t="d">
        <x:v>2016-05-19T00:00:00.000Z</x:v>
      </x:c>
      <x:c r="C4519" s="1" t="str">
        <x:v>Standard Class</x:v>
      </x:c>
      <x:c r="D4519" s="1" t="str">
        <x:v>USCA</x:v>
      </x:c>
      <x:c r="E4519" s="1" t="str">
        <x:v>PENDING_PAYMENT</x:v>
      </x:c>
      <x:c r="F4519" s="1" t="str">
        <x:v>Late delivery</x:v>
      </x:c>
      <x:c r="G4519" s="6" t="n">
        <x:v>5</x:v>
      </x:c>
      <x:c r="H4519" s="6" t="n">
        <x:v>4</x:v>
      </x:c>
      <x:c r="I4519" s="6" t="n">
        <x:f>G4519-H4519</x:f>
        <x:v>1</x:v>
      </x:c>
      <x:c r="J4519" s="6" t="n">
        <x:f>IF(OR(E4519="CANCELED",E4519="SUSPECTED_FRAUD",F4519="Shipping canceled"),0,1)</x:f>
        <x:v>1</x:v>
      </x:c>
      <x:c r="K4519" s="6" t="n">
        <x:f>IF(G4519&gt;H4519,1,0)</x:f>
        <x:v>1</x:v>
      </x:c>
      <x:c r="L4519" s="6" t="n">
        <x:f>J4519*K4519</x:f>
        <x:v>1</x:v>
      </x:c>
    </x:row>
    <x:row r="4520">
      <x:c r="A4520" s="1" t="n">
        <x:v>34583</x:v>
      </x:c>
      <x:c r="B4520" s="5" t="d">
        <x:v>2016-05-19T00:00:00.000Z</x:v>
      </x:c>
      <x:c r="C4520" s="1" t="str">
        <x:v>Standard Class</x:v>
      </x:c>
      <x:c r="D4520" s="1" t="str">
        <x:v>USCA</x:v>
      </x:c>
      <x:c r="E4520" s="1" t="str">
        <x:v>PENDING_PAYMENT</x:v>
      </x:c>
      <x:c r="F4520" s="1" t="str">
        <x:v>Shipping on time</x:v>
      </x:c>
      <x:c r="G4520" s="6" t="n">
        <x:v>4</x:v>
      </x:c>
      <x:c r="H4520" s="6" t="n">
        <x:v>4</x:v>
      </x:c>
      <x:c r="I4520" s="6" t="n">
        <x:f>G4520-H4520</x:f>
        <x:v>0</x:v>
      </x:c>
      <x:c r="J4520" s="6" t="n">
        <x:f>IF(OR(E4520="CANCELED",E4520="SUSPECTED_FRAUD",F4520="Shipping canceled"),0,1)</x:f>
        <x:v>1</x:v>
      </x:c>
      <x:c r="K4520" s="6" t="n">
        <x:f>IF(G4520&gt;H4520,1,0)</x:f>
        <x:v>0</x:v>
      </x:c>
      <x:c r="L4520" s="6" t="n">
        <x:f>J4520*K4520</x:f>
        <x:v>0</x:v>
      </x:c>
    </x:row>
    <x:row r="4521">
      <x:c r="A4521" s="1" t="n">
        <x:v>34590</x:v>
      </x:c>
      <x:c r="B4521" s="5" t="d">
        <x:v>2016-05-19T00:00:00.000Z</x:v>
      </x:c>
      <x:c r="C4521" s="1" t="str">
        <x:v>Standard Class</x:v>
      </x:c>
      <x:c r="D4521" s="1" t="str">
        <x:v>USCA</x:v>
      </x:c>
      <x:c r="E4521" s="1" t="str">
        <x:v>COMPLETE</x:v>
      </x:c>
      <x:c r="F4521" s="1" t="str">
        <x:v>Late delivery</x:v>
      </x:c>
      <x:c r="G4521" s="6" t="n">
        <x:v>6</x:v>
      </x:c>
      <x:c r="H4521" s="6" t="n">
        <x:v>4</x:v>
      </x:c>
      <x:c r="I4521" s="6" t="n">
        <x:f>G4521-H4521</x:f>
        <x:v>2</x:v>
      </x:c>
      <x:c r="J4521" s="6" t="n">
        <x:f>IF(OR(E4521="CANCELED",E4521="SUSPECTED_FRAUD",F4521="Shipping canceled"),0,1)</x:f>
        <x:v>1</x:v>
      </x:c>
      <x:c r="K4521" s="6" t="n">
        <x:f>IF(G4521&gt;H4521,1,0)</x:f>
        <x:v>1</x:v>
      </x:c>
      <x:c r="L4521" s="6" t="n">
        <x:f>J4521*K4521</x:f>
        <x:v>1</x:v>
      </x:c>
    </x:row>
    <x:row r="4522">
      <x:c r="A4522" s="1" t="n">
        <x:v>34598</x:v>
      </x:c>
      <x:c r="B4522" s="5" t="d">
        <x:v>2016-05-20T00:00:00.000Z</x:v>
      </x:c>
      <x:c r="C4522" s="1" t="str">
        <x:v>Standard Class</x:v>
      </x:c>
      <x:c r="D4522" s="1" t="str">
        <x:v>USCA</x:v>
      </x:c>
      <x:c r="E4522" s="1" t="str">
        <x:v>PENDING</x:v>
      </x:c>
      <x:c r="F4522" s="1" t="str">
        <x:v>Shipping on time</x:v>
      </x:c>
      <x:c r="G4522" s="6" t="n">
        <x:v>4</x:v>
      </x:c>
      <x:c r="H4522" s="6" t="n">
        <x:v>4</x:v>
      </x:c>
      <x:c r="I4522" s="6" t="n">
        <x:f>G4522-H4522</x:f>
        <x:v>0</x:v>
      </x:c>
      <x:c r="J4522" s="6" t="n">
        <x:f>IF(OR(E4522="CANCELED",E4522="SUSPECTED_FRAUD",F4522="Shipping canceled"),0,1)</x:f>
        <x:v>1</x:v>
      </x:c>
      <x:c r="K4522" s="6" t="n">
        <x:f>IF(G4522&gt;H4522,1,0)</x:f>
        <x:v>0</x:v>
      </x:c>
      <x:c r="L4522" s="6" t="n">
        <x:f>J4522*K4522</x:f>
        <x:v>0</x:v>
      </x:c>
    </x:row>
    <x:row r="4523">
      <x:c r="A4523" s="1" t="n">
        <x:v>34600</x:v>
      </x:c>
      <x:c r="B4523" s="5" t="d">
        <x:v>2016-05-20T00:00:00.000Z</x:v>
      </x:c>
      <x:c r="C4523" s="1" t="str">
        <x:v>Second Class</x:v>
      </x:c>
      <x:c r="D4523" s="1" t="str">
        <x:v>USCA</x:v>
      </x:c>
      <x:c r="E4523" s="1" t="str">
        <x:v>PENDING</x:v>
      </x:c>
      <x:c r="F4523" s="1" t="str">
        <x:v>Late delivery</x:v>
      </x:c>
      <x:c r="G4523" s="6" t="n">
        <x:v>6</x:v>
      </x:c>
      <x:c r="H4523" s="6" t="n">
        <x:v>2</x:v>
      </x:c>
      <x:c r="I4523" s="6" t="n">
        <x:f>G4523-H4523</x:f>
        <x:v>4</x:v>
      </x:c>
      <x:c r="J4523" s="6" t="n">
        <x:f>IF(OR(E4523="CANCELED",E4523="SUSPECTED_FRAUD",F4523="Shipping canceled"),0,1)</x:f>
        <x:v>1</x:v>
      </x:c>
      <x:c r="K4523" s="6" t="n">
        <x:f>IF(G4523&gt;H4523,1,0)</x:f>
        <x:v>1</x:v>
      </x:c>
      <x:c r="L4523" s="6" t="n">
        <x:f>J4523*K4523</x:f>
        <x:v>1</x:v>
      </x:c>
    </x:row>
    <x:row r="4524">
      <x:c r="A4524" s="1" t="n">
        <x:v>34613</x:v>
      </x:c>
      <x:c r="B4524" s="5" t="d">
        <x:v>2016-05-20T00:00:00.000Z</x:v>
      </x:c>
      <x:c r="C4524" s="1" t="str">
        <x:v>Standard Class</x:v>
      </x:c>
      <x:c r="D4524" s="1" t="str">
        <x:v>USCA</x:v>
      </x:c>
      <x:c r="E4524" s="1" t="str">
        <x:v>COMPLETE</x:v>
      </x:c>
      <x:c r="F4524" s="1" t="str">
        <x:v>Shipping on time</x:v>
      </x:c>
      <x:c r="G4524" s="6" t="n">
        <x:v>4</x:v>
      </x:c>
      <x:c r="H4524" s="6" t="n">
        <x:v>4</x:v>
      </x:c>
      <x:c r="I4524" s="6" t="n">
        <x:f>G4524-H4524</x:f>
        <x:v>0</x:v>
      </x:c>
      <x:c r="J4524" s="6" t="n">
        <x:f>IF(OR(E4524="CANCELED",E4524="SUSPECTED_FRAUD",F4524="Shipping canceled"),0,1)</x:f>
        <x:v>1</x:v>
      </x:c>
      <x:c r="K4524" s="6" t="n">
        <x:f>IF(G4524&gt;H4524,1,0)</x:f>
        <x:v>0</x:v>
      </x:c>
      <x:c r="L4524" s="6" t="n">
        <x:f>J4524*K4524</x:f>
        <x:v>0</x:v>
      </x:c>
    </x:row>
    <x:row r="4525">
      <x:c r="A4525" s="1" t="n">
        <x:v>34626</x:v>
      </x:c>
      <x:c r="B4525" s="5" t="d">
        <x:v>2016-05-20T00:00:00.000Z</x:v>
      </x:c>
      <x:c r="C4525" s="1" t="str">
        <x:v>Standard Class</x:v>
      </x:c>
      <x:c r="D4525" s="1" t="str">
        <x:v>USCA</x:v>
      </x:c>
      <x:c r="E4525" s="1" t="str">
        <x:v>COMPLETE</x:v>
      </x:c>
      <x:c r="F4525" s="1" t="str">
        <x:v>Advance shipping</x:v>
      </x:c>
      <x:c r="G4525" s="6" t="n">
        <x:v>2</x:v>
      </x:c>
      <x:c r="H4525" s="6" t="n">
        <x:v>4</x:v>
      </x:c>
      <x:c r="I4525" s="6" t="n">
        <x:f>G4525-H4525</x:f>
        <x:v>-2</x:v>
      </x:c>
      <x:c r="J4525" s="6" t="n">
        <x:f>IF(OR(E4525="CANCELED",E4525="SUSPECTED_FRAUD",F4525="Shipping canceled"),0,1)</x:f>
        <x:v>1</x:v>
      </x:c>
      <x:c r="K4525" s="6" t="n">
        <x:f>IF(G4525&gt;H4525,1,0)</x:f>
        <x:v>0</x:v>
      </x:c>
      <x:c r="L4525" s="6" t="n">
        <x:f>J4525*K4525</x:f>
        <x:v>0</x:v>
      </x:c>
    </x:row>
    <x:row r="4526">
      <x:c r="A4526" s="1" t="n">
        <x:v>34631</x:v>
      </x:c>
      <x:c r="B4526" s="5" t="d">
        <x:v>2016-05-20T00:00:00.000Z</x:v>
      </x:c>
      <x:c r="C4526" s="1" t="str">
        <x:v>Second Class</x:v>
      </x:c>
      <x:c r="D4526" s="1" t="str">
        <x:v>USCA</x:v>
      </x:c>
      <x:c r="E4526" s="1" t="str">
        <x:v>PENDING_PAYMENT</x:v>
      </x:c>
      <x:c r="F4526" s="1" t="str">
        <x:v>Shipping on time</x:v>
      </x:c>
      <x:c r="G4526" s="6" t="n">
        <x:v>2</x:v>
      </x:c>
      <x:c r="H4526" s="6" t="n">
        <x:v>2</x:v>
      </x:c>
      <x:c r="I4526" s="6" t="n">
        <x:f>G4526-H4526</x:f>
        <x:v>0</x:v>
      </x:c>
      <x:c r="J4526" s="6" t="n">
        <x:f>IF(OR(E4526="CANCELED",E4526="SUSPECTED_FRAUD",F4526="Shipping canceled"),0,1)</x:f>
        <x:v>1</x:v>
      </x:c>
      <x:c r="K4526" s="6" t="n">
        <x:f>IF(G4526&gt;H4526,1,0)</x:f>
        <x:v>0</x:v>
      </x:c>
      <x:c r="L4526" s="6" t="n">
        <x:f>J4526*K4526</x:f>
        <x:v>0</x:v>
      </x:c>
    </x:row>
    <x:row r="4527">
      <x:c r="A4527" s="1" t="n">
        <x:v>34633</x:v>
      </x:c>
      <x:c r="B4527" s="5" t="d">
        <x:v>2016-05-20T00:00:00.000Z</x:v>
      </x:c>
      <x:c r="C4527" s="1" t="str">
        <x:v>Second Class</x:v>
      </x:c>
      <x:c r="D4527" s="1" t="str">
        <x:v>USCA</x:v>
      </x:c>
      <x:c r="E4527" s="1" t="str">
        <x:v>ON_HOLD</x:v>
      </x:c>
      <x:c r="F4527" s="1" t="str">
        <x:v>Late delivery</x:v>
      </x:c>
      <x:c r="G4527" s="6" t="n">
        <x:v>4</x:v>
      </x:c>
      <x:c r="H4527" s="6" t="n">
        <x:v>2</x:v>
      </x:c>
      <x:c r="I4527" s="6" t="n">
        <x:f>G4527-H4527</x:f>
        <x:v>2</x:v>
      </x:c>
      <x:c r="J4527" s="6" t="n">
        <x:f>IF(OR(E4527="CANCELED",E4527="SUSPECTED_FRAUD",F4527="Shipping canceled"),0,1)</x:f>
        <x:v>1</x:v>
      </x:c>
      <x:c r="K4527" s="6" t="n">
        <x:f>IF(G4527&gt;H4527,1,0)</x:f>
        <x:v>1</x:v>
      </x:c>
      <x:c r="L4527" s="6" t="n">
        <x:f>J4527*K4527</x:f>
        <x:v>1</x:v>
      </x:c>
    </x:row>
    <x:row r="4528">
      <x:c r="A4528" s="1" t="n">
        <x:v>34639</x:v>
      </x:c>
      <x:c r="B4528" s="5" t="d">
        <x:v>2016-05-20T00:00:00.000Z</x:v>
      </x:c>
      <x:c r="C4528" s="1" t="str">
        <x:v>Second Class</x:v>
      </x:c>
      <x:c r="D4528" s="1" t="str">
        <x:v>USCA</x:v>
      </x:c>
      <x:c r="E4528" s="1" t="str">
        <x:v>ON_HOLD</x:v>
      </x:c>
      <x:c r="F4528" s="1" t="str">
        <x:v>Late delivery</x:v>
      </x:c>
      <x:c r="G4528" s="6" t="n">
        <x:v>5</x:v>
      </x:c>
      <x:c r="H4528" s="6" t="n">
        <x:v>2</x:v>
      </x:c>
      <x:c r="I4528" s="6" t="n">
        <x:f>G4528-H4528</x:f>
        <x:v>3</x:v>
      </x:c>
      <x:c r="J4528" s="6" t="n">
        <x:f>IF(OR(E4528="CANCELED",E4528="SUSPECTED_FRAUD",F4528="Shipping canceled"),0,1)</x:f>
        <x:v>1</x:v>
      </x:c>
      <x:c r="K4528" s="6" t="n">
        <x:f>IF(G4528&gt;H4528,1,0)</x:f>
        <x:v>1</x:v>
      </x:c>
      <x:c r="L4528" s="6" t="n">
        <x:f>J4528*K4528</x:f>
        <x:v>1</x:v>
      </x:c>
    </x:row>
    <x:row r="4529">
      <x:c r="A4529" s="1" t="n">
        <x:v>34651</x:v>
      </x:c>
      <x:c r="B4529" s="5" t="d">
        <x:v>2016-05-20T00:00:00.000Z</x:v>
      </x:c>
      <x:c r="C4529" s="1" t="str">
        <x:v>First Class</x:v>
      </x:c>
      <x:c r="D4529" s="1" t="str">
        <x:v>USCA</x:v>
      </x:c>
      <x:c r="E4529" s="1" t="str">
        <x:v>PROCESSING</x:v>
      </x:c>
      <x:c r="F4529" s="1" t="str">
        <x:v>Late delivery</x:v>
      </x:c>
      <x:c r="G4529" s="6" t="n">
        <x:v>2</x:v>
      </x:c>
      <x:c r="H4529" s="6" t="n">
        <x:v>1</x:v>
      </x:c>
      <x:c r="I4529" s="6" t="n">
        <x:f>G4529-H4529</x:f>
        <x:v>1</x:v>
      </x:c>
      <x:c r="J4529" s="6" t="n">
        <x:f>IF(OR(E4529="CANCELED",E4529="SUSPECTED_FRAUD",F4529="Shipping canceled"),0,1)</x:f>
        <x:v>1</x:v>
      </x:c>
      <x:c r="K4529" s="6" t="n">
        <x:f>IF(G4529&gt;H4529,1,0)</x:f>
        <x:v>1</x:v>
      </x:c>
      <x:c r="L4529" s="6" t="n">
        <x:f>J4529*K4529</x:f>
        <x:v>1</x:v>
      </x:c>
    </x:row>
    <x:row r="4530">
      <x:c r="A4530" s="1" t="n">
        <x:v>34654</x:v>
      </x:c>
      <x:c r="B4530" s="5" t="d">
        <x:v>2016-05-20T00:00:00.000Z</x:v>
      </x:c>
      <x:c r="C4530" s="1" t="str">
        <x:v>Standard Class</x:v>
      </x:c>
      <x:c r="D4530" s="1" t="str">
        <x:v>USCA</x:v>
      </x:c>
      <x:c r="E4530" s="1" t="str">
        <x:v>COMPLETE</x:v>
      </x:c>
      <x:c r="F4530" s="1" t="str">
        <x:v>Late delivery</x:v>
      </x:c>
      <x:c r="G4530" s="6" t="n">
        <x:v>5</x:v>
      </x:c>
      <x:c r="H4530" s="6" t="n">
        <x:v>4</x:v>
      </x:c>
      <x:c r="I4530" s="6" t="n">
        <x:f>G4530-H4530</x:f>
        <x:v>1</x:v>
      </x:c>
      <x:c r="J4530" s="6" t="n">
        <x:f>IF(OR(E4530="CANCELED",E4530="SUSPECTED_FRAUD",F4530="Shipping canceled"),0,1)</x:f>
        <x:v>1</x:v>
      </x:c>
      <x:c r="K4530" s="6" t="n">
        <x:f>IF(G4530&gt;H4530,1,0)</x:f>
        <x:v>1</x:v>
      </x:c>
      <x:c r="L4530" s="6" t="n">
        <x:f>J4530*K4530</x:f>
        <x:v>1</x:v>
      </x:c>
    </x:row>
    <x:row r="4531">
      <x:c r="A4531" s="1" t="n">
        <x:v>34672</x:v>
      </x:c>
      <x:c r="B4531" s="5" t="d">
        <x:v>2016-05-21T00:00:00.000Z</x:v>
      </x:c>
      <x:c r="C4531" s="1" t="str">
        <x:v>Standard Class</x:v>
      </x:c>
      <x:c r="D4531" s="1" t="str">
        <x:v>USCA</x:v>
      </x:c>
      <x:c r="E4531" s="1" t="str">
        <x:v>PENDING</x:v>
      </x:c>
      <x:c r="F4531" s="1" t="str">
        <x:v>Advance shipping</x:v>
      </x:c>
      <x:c r="G4531" s="6" t="n">
        <x:v>3</x:v>
      </x:c>
      <x:c r="H4531" s="6" t="n">
        <x:v>4</x:v>
      </x:c>
      <x:c r="I4531" s="6" t="n">
        <x:f>G4531-H4531</x:f>
        <x:v>-1</x:v>
      </x:c>
      <x:c r="J4531" s="6" t="n">
        <x:f>IF(OR(E4531="CANCELED",E4531="SUSPECTED_FRAUD",F4531="Shipping canceled"),0,1)</x:f>
        <x:v>1</x:v>
      </x:c>
      <x:c r="K4531" s="6" t="n">
        <x:f>IF(G4531&gt;H4531,1,0)</x:f>
        <x:v>0</x:v>
      </x:c>
      <x:c r="L4531" s="6" t="n">
        <x:f>J4531*K4531</x:f>
        <x:v>0</x:v>
      </x:c>
    </x:row>
    <x:row r="4532">
      <x:c r="A4532" s="1" t="n">
        <x:v>34676</x:v>
      </x:c>
      <x:c r="B4532" s="5" t="d">
        <x:v>2016-05-21T00:00:00.000Z</x:v>
      </x:c>
      <x:c r="C4532" s="1" t="str">
        <x:v>Standard Class</x:v>
      </x:c>
      <x:c r="D4532" s="1" t="str">
        <x:v>USCA</x:v>
      </x:c>
      <x:c r="E4532" s="1" t="str">
        <x:v>COMPLETE</x:v>
      </x:c>
      <x:c r="F4532" s="1" t="str">
        <x:v>Advance shipping</x:v>
      </x:c>
      <x:c r="G4532" s="6" t="n">
        <x:v>2</x:v>
      </x:c>
      <x:c r="H4532" s="6" t="n">
        <x:v>4</x:v>
      </x:c>
      <x:c r="I4532" s="6" t="n">
        <x:f>G4532-H4532</x:f>
        <x:v>-2</x:v>
      </x:c>
      <x:c r="J4532" s="6" t="n">
        <x:f>IF(OR(E4532="CANCELED",E4532="SUSPECTED_FRAUD",F4532="Shipping canceled"),0,1)</x:f>
        <x:v>1</x:v>
      </x:c>
      <x:c r="K4532" s="6" t="n">
        <x:f>IF(G4532&gt;H4532,1,0)</x:f>
        <x:v>0</x:v>
      </x:c>
      <x:c r="L4532" s="6" t="n">
        <x:f>J4532*K4532</x:f>
        <x:v>0</x:v>
      </x:c>
    </x:row>
    <x:row r="4533">
      <x:c r="A4533" s="1" t="n">
        <x:v>34678</x:v>
      </x:c>
      <x:c r="B4533" s="5" t="d">
        <x:v>2016-05-21T00:00:00.000Z</x:v>
      </x:c>
      <x:c r="C4533" s="1" t="str">
        <x:v>First Class</x:v>
      </x:c>
      <x:c r="D4533" s="1" t="str">
        <x:v>USCA</x:v>
      </x:c>
      <x:c r="E4533" s="1" t="str">
        <x:v>CLOSED</x:v>
      </x:c>
      <x:c r="F4533" s="1" t="str">
        <x:v>Late delivery</x:v>
      </x:c>
      <x:c r="G4533" s="6" t="n">
        <x:v>2</x:v>
      </x:c>
      <x:c r="H4533" s="6" t="n">
        <x:v>1</x:v>
      </x:c>
      <x:c r="I4533" s="6" t="n">
        <x:f>G4533-H4533</x:f>
        <x:v>1</x:v>
      </x:c>
      <x:c r="J4533" s="6" t="n">
        <x:f>IF(OR(E4533="CANCELED",E4533="SUSPECTED_FRAUD",F4533="Shipping canceled"),0,1)</x:f>
        <x:v>1</x:v>
      </x:c>
      <x:c r="K4533" s="6" t="n">
        <x:f>IF(G4533&gt;H4533,1,0)</x:f>
        <x:v>1</x:v>
      </x:c>
      <x:c r="L4533" s="6" t="n">
        <x:f>J4533*K4533</x:f>
        <x:v>1</x:v>
      </x:c>
    </x:row>
    <x:row r="4534">
      <x:c r="A4534" s="1" t="n">
        <x:v>34687</x:v>
      </x:c>
      <x:c r="B4534" s="5" t="d">
        <x:v>2016-05-21T00:00:00.000Z</x:v>
      </x:c>
      <x:c r="C4534" s="1" t="str">
        <x:v>First Class</x:v>
      </x:c>
      <x:c r="D4534" s="1" t="str">
        <x:v>USCA</x:v>
      </x:c>
      <x:c r="E4534" s="1" t="str">
        <x:v>CLOSED</x:v>
      </x:c>
      <x:c r="F4534" s="1" t="str">
        <x:v>Late delivery</x:v>
      </x:c>
      <x:c r="G4534" s="6" t="n">
        <x:v>2</x:v>
      </x:c>
      <x:c r="H4534" s="6" t="n">
        <x:v>1</x:v>
      </x:c>
      <x:c r="I4534" s="6" t="n">
        <x:f>G4534-H4534</x:f>
        <x:v>1</x:v>
      </x:c>
      <x:c r="J4534" s="6" t="n">
        <x:f>IF(OR(E4534="CANCELED",E4534="SUSPECTED_FRAUD",F4534="Shipping canceled"),0,1)</x:f>
        <x:v>1</x:v>
      </x:c>
      <x:c r="K4534" s="6" t="n">
        <x:f>IF(G4534&gt;H4534,1,0)</x:f>
        <x:v>1</x:v>
      </x:c>
      <x:c r="L4534" s="6" t="n">
        <x:f>J4534*K4534</x:f>
        <x:v>1</x:v>
      </x:c>
    </x:row>
    <x:row r="4535">
      <x:c r="A4535" s="1" t="n">
        <x:v>34691</x:v>
      </x:c>
      <x:c r="B4535" s="5" t="d">
        <x:v>2016-05-21T00:00:00.000Z</x:v>
      </x:c>
      <x:c r="C4535" s="1" t="str">
        <x:v>Standard Class</x:v>
      </x:c>
      <x:c r="D4535" s="1" t="str">
        <x:v>USCA</x:v>
      </x:c>
      <x:c r="E4535" s="1" t="str">
        <x:v>PENDING_PAYMENT</x:v>
      </x:c>
      <x:c r="F4535" s="1" t="str">
        <x:v>Advance shipping</x:v>
      </x:c>
      <x:c r="G4535" s="6" t="n">
        <x:v>2</x:v>
      </x:c>
      <x:c r="H4535" s="6" t="n">
        <x:v>4</x:v>
      </x:c>
      <x:c r="I4535" s="6" t="n">
        <x:f>G4535-H4535</x:f>
        <x:v>-2</x:v>
      </x:c>
      <x:c r="J4535" s="6" t="n">
        <x:f>IF(OR(E4535="CANCELED",E4535="SUSPECTED_FRAUD",F4535="Shipping canceled"),0,1)</x:f>
        <x:v>1</x:v>
      </x:c>
      <x:c r="K4535" s="6" t="n">
        <x:f>IF(G4535&gt;H4535,1,0)</x:f>
        <x:v>0</x:v>
      </x:c>
      <x:c r="L4535" s="6" t="n">
        <x:f>J4535*K4535</x:f>
        <x:v>0</x:v>
      </x:c>
    </x:row>
    <x:row r="4536">
      <x:c r="A4536" s="1" t="n">
        <x:v>34695</x:v>
      </x:c>
      <x:c r="B4536" s="5" t="d">
        <x:v>2016-05-21T00:00:00.000Z</x:v>
      </x:c>
      <x:c r="C4536" s="1" t="str">
        <x:v>Standard Class</x:v>
      </x:c>
      <x:c r="D4536" s="1" t="str">
        <x:v>USCA</x:v>
      </x:c>
      <x:c r="E4536" s="1" t="str">
        <x:v>COMPLETE</x:v>
      </x:c>
      <x:c r="F4536" s="1" t="str">
        <x:v>Late delivery</x:v>
      </x:c>
      <x:c r="G4536" s="6" t="n">
        <x:v>6</x:v>
      </x:c>
      <x:c r="H4536" s="6" t="n">
        <x:v>4</x:v>
      </x:c>
      <x:c r="I4536" s="6" t="n">
        <x:f>G4536-H4536</x:f>
        <x:v>2</x:v>
      </x:c>
      <x:c r="J4536" s="6" t="n">
        <x:f>IF(OR(E4536="CANCELED",E4536="SUSPECTED_FRAUD",F4536="Shipping canceled"),0,1)</x:f>
        <x:v>1</x:v>
      </x:c>
      <x:c r="K4536" s="6" t="n">
        <x:f>IF(G4536&gt;H4536,1,0)</x:f>
        <x:v>1</x:v>
      </x:c>
      <x:c r="L4536" s="6" t="n">
        <x:f>J4536*K4536</x:f>
        <x:v>1</x:v>
      </x:c>
    </x:row>
    <x:row r="4537">
      <x:c r="A4537" s="1" t="n">
        <x:v>34706</x:v>
      </x:c>
      <x:c r="B4537" s="5" t="d">
        <x:v>2016-05-21T00:00:00.000Z</x:v>
      </x:c>
      <x:c r="C4537" s="1" t="str">
        <x:v>Standard Class</x:v>
      </x:c>
      <x:c r="D4537" s="1" t="str">
        <x:v>USCA</x:v>
      </x:c>
      <x:c r="E4537" s="1" t="str">
        <x:v>PROCESSING</x:v>
      </x:c>
      <x:c r="F4537" s="1" t="str">
        <x:v>Advance shipping</x:v>
      </x:c>
      <x:c r="G4537" s="6" t="n">
        <x:v>2</x:v>
      </x:c>
      <x:c r="H4537" s="6" t="n">
        <x:v>4</x:v>
      </x:c>
      <x:c r="I4537" s="6" t="n">
        <x:f>G4537-H4537</x:f>
        <x:v>-2</x:v>
      </x:c>
      <x:c r="J4537" s="6" t="n">
        <x:f>IF(OR(E4537="CANCELED",E4537="SUSPECTED_FRAUD",F4537="Shipping canceled"),0,1)</x:f>
        <x:v>1</x:v>
      </x:c>
      <x:c r="K4537" s="6" t="n">
        <x:f>IF(G4537&gt;H4537,1,0)</x:f>
        <x:v>0</x:v>
      </x:c>
      <x:c r="L4537" s="6" t="n">
        <x:f>J4537*K4537</x:f>
        <x:v>0</x:v>
      </x:c>
    </x:row>
    <x:row r="4538">
      <x:c r="A4538" s="1" t="n">
        <x:v>34707</x:v>
      </x:c>
      <x:c r="B4538" s="5" t="d">
        <x:v>2016-05-21T00:00:00.000Z</x:v>
      </x:c>
      <x:c r="C4538" s="1" t="str">
        <x:v>Standard Class</x:v>
      </x:c>
      <x:c r="D4538" s="1" t="str">
        <x:v>USCA</x:v>
      </x:c>
      <x:c r="E4538" s="1" t="str">
        <x:v>SUSPECTED_FRAUD</x:v>
      </x:c>
      <x:c r="F4538" s="1" t="str">
        <x:v>Shipping canceled</x:v>
      </x:c>
      <x:c r="G4538" s="6" t="n">
        <x:v>3</x:v>
      </x:c>
      <x:c r="H4538" s="6" t="n">
        <x:v>4</x:v>
      </x:c>
      <x:c r="I4538" s="6" t="n">
        <x:f>G4538-H4538</x:f>
        <x:v>-1</x:v>
      </x:c>
      <x:c r="J4538" s="6" t="n">
        <x:f>IF(OR(E4538="CANCELED",E4538="SUSPECTED_FRAUD",F4538="Shipping canceled"),0,1)</x:f>
        <x:v>0</x:v>
      </x:c>
      <x:c r="K4538" s="6" t="n">
        <x:f>IF(G4538&gt;H4538,1,0)</x:f>
        <x:v>0</x:v>
      </x:c>
      <x:c r="L4538" s="6" t="n">
        <x:f>J4538*K4538</x:f>
        <x:v>0</x:v>
      </x:c>
    </x:row>
    <x:row r="4539">
      <x:c r="A4539" s="1" t="n">
        <x:v>34717</x:v>
      </x:c>
      <x:c r="B4539" s="5" t="d">
        <x:v>2016-05-21T00:00:00.000Z</x:v>
      </x:c>
      <x:c r="C4539" s="1" t="str">
        <x:v>Second Class</x:v>
      </x:c>
      <x:c r="D4539" s="1" t="str">
        <x:v>USCA</x:v>
      </x:c>
      <x:c r="E4539" s="1" t="str">
        <x:v>COMPLETE</x:v>
      </x:c>
      <x:c r="F4539" s="1" t="str">
        <x:v>Late delivery</x:v>
      </x:c>
      <x:c r="G4539" s="6" t="n">
        <x:v>3</x:v>
      </x:c>
      <x:c r="H4539" s="6" t="n">
        <x:v>2</x:v>
      </x:c>
      <x:c r="I4539" s="6" t="n">
        <x:f>G4539-H4539</x:f>
        <x:v>1</x:v>
      </x:c>
      <x:c r="J4539" s="6" t="n">
        <x:f>IF(OR(E4539="CANCELED",E4539="SUSPECTED_FRAUD",F4539="Shipping canceled"),0,1)</x:f>
        <x:v>1</x:v>
      </x:c>
      <x:c r="K4539" s="6" t="n">
        <x:f>IF(G4539&gt;H4539,1,0)</x:f>
        <x:v>1</x:v>
      </x:c>
      <x:c r="L4539" s="6" t="n">
        <x:f>J4539*K4539</x:f>
        <x:v>1</x:v>
      </x:c>
    </x:row>
    <x:row r="4540">
      <x:c r="A4540" s="1" t="n">
        <x:v>34742</x:v>
      </x:c>
      <x:c r="B4540" s="5" t="d">
        <x:v>2016-05-22T00:00:00.000Z</x:v>
      </x:c>
      <x:c r="C4540" s="1" t="str">
        <x:v>Standard Class</x:v>
      </x:c>
      <x:c r="D4540" s="1" t="str">
        <x:v>USCA</x:v>
      </x:c>
      <x:c r="E4540" s="1" t="str">
        <x:v>PENDING</x:v>
      </x:c>
      <x:c r="F4540" s="1" t="str">
        <x:v>Advance shipping</x:v>
      </x:c>
      <x:c r="G4540" s="6" t="n">
        <x:v>3</x:v>
      </x:c>
      <x:c r="H4540" s="6" t="n">
        <x:v>4</x:v>
      </x:c>
      <x:c r="I4540" s="6" t="n">
        <x:f>G4540-H4540</x:f>
        <x:v>-1</x:v>
      </x:c>
      <x:c r="J4540" s="6" t="n">
        <x:f>IF(OR(E4540="CANCELED",E4540="SUSPECTED_FRAUD",F4540="Shipping canceled"),0,1)</x:f>
        <x:v>1</x:v>
      </x:c>
      <x:c r="K4540" s="6" t="n">
        <x:f>IF(G4540&gt;H4540,1,0)</x:f>
        <x:v>0</x:v>
      </x:c>
      <x:c r="L4540" s="6" t="n">
        <x:f>J4540*K4540</x:f>
        <x:v>0</x:v>
      </x:c>
    </x:row>
    <x:row r="4541">
      <x:c r="A4541" s="1" t="n">
        <x:v>34746</x:v>
      </x:c>
      <x:c r="B4541" s="5" t="d">
        <x:v>2016-05-22T00:00:00.000Z</x:v>
      </x:c>
      <x:c r="C4541" s="1" t="str">
        <x:v>Standard Class</x:v>
      </x:c>
      <x:c r="D4541" s="1" t="str">
        <x:v>USCA</x:v>
      </x:c>
      <x:c r="E4541" s="1" t="str">
        <x:v>COMPLETE</x:v>
      </x:c>
      <x:c r="F4541" s="1" t="str">
        <x:v>Advance shipping</x:v>
      </x:c>
      <x:c r="G4541" s="6" t="n">
        <x:v>2</x:v>
      </x:c>
      <x:c r="H4541" s="6" t="n">
        <x:v>4</x:v>
      </x:c>
      <x:c r="I4541" s="6" t="n">
        <x:f>G4541-H4541</x:f>
        <x:v>-2</x:v>
      </x:c>
      <x:c r="J4541" s="6" t="n">
        <x:f>IF(OR(E4541="CANCELED",E4541="SUSPECTED_FRAUD",F4541="Shipping canceled"),0,1)</x:f>
        <x:v>1</x:v>
      </x:c>
      <x:c r="K4541" s="6" t="n">
        <x:f>IF(G4541&gt;H4541,1,0)</x:f>
        <x:v>0</x:v>
      </x:c>
      <x:c r="L4541" s="6" t="n">
        <x:f>J4541*K4541</x:f>
        <x:v>0</x:v>
      </x:c>
    </x:row>
    <x:row r="4542">
      <x:c r="A4542" s="1" t="n">
        <x:v>34758</x:v>
      </x:c>
      <x:c r="B4542" s="5" t="d">
        <x:v>2016-05-22T00:00:00.000Z</x:v>
      </x:c>
      <x:c r="C4542" s="1" t="str">
        <x:v>Standard Class</x:v>
      </x:c>
      <x:c r="D4542" s="1" t="str">
        <x:v>USCA</x:v>
      </x:c>
      <x:c r="E4542" s="1" t="str">
        <x:v>ON_HOLD</x:v>
      </x:c>
      <x:c r="F4542" s="1" t="str">
        <x:v>Shipping on time</x:v>
      </x:c>
      <x:c r="G4542" s="6" t="n">
        <x:v>4</x:v>
      </x:c>
      <x:c r="H4542" s="6" t="n">
        <x:v>4</x:v>
      </x:c>
      <x:c r="I4542" s="6" t="n">
        <x:f>G4542-H4542</x:f>
        <x:v>0</x:v>
      </x:c>
      <x:c r="J4542" s="6" t="n">
        <x:f>IF(OR(E4542="CANCELED",E4542="SUSPECTED_FRAUD",F4542="Shipping canceled"),0,1)</x:f>
        <x:v>1</x:v>
      </x:c>
      <x:c r="K4542" s="6" t="n">
        <x:f>IF(G4542&gt;H4542,1,0)</x:f>
        <x:v>0</x:v>
      </x:c>
      <x:c r="L4542" s="6" t="n">
        <x:f>J4542*K4542</x:f>
        <x:v>0</x:v>
      </x:c>
    </x:row>
    <x:row r="4543">
      <x:c r="A4543" s="1" t="n">
        <x:v>34773</x:v>
      </x:c>
      <x:c r="B4543" s="5" t="d">
        <x:v>2016-05-22T00:00:00.000Z</x:v>
      </x:c>
      <x:c r="C4543" s="1" t="str">
        <x:v>Second Class</x:v>
      </x:c>
      <x:c r="D4543" s="1" t="str">
        <x:v>USCA</x:v>
      </x:c>
      <x:c r="E4543" s="1" t="str">
        <x:v>PENDING_PAYMENT</x:v>
      </x:c>
      <x:c r="F4543" s="1" t="str">
        <x:v>Late delivery</x:v>
      </x:c>
      <x:c r="G4543" s="6" t="n">
        <x:v>4</x:v>
      </x:c>
      <x:c r="H4543" s="6" t="n">
        <x:v>2</x:v>
      </x:c>
      <x:c r="I4543" s="6" t="n">
        <x:f>G4543-H4543</x:f>
        <x:v>2</x:v>
      </x:c>
      <x:c r="J4543" s="6" t="n">
        <x:f>IF(OR(E4543="CANCELED",E4543="SUSPECTED_FRAUD",F4543="Shipping canceled"),0,1)</x:f>
        <x:v>1</x:v>
      </x:c>
      <x:c r="K4543" s="6" t="n">
        <x:f>IF(G4543&gt;H4543,1,0)</x:f>
        <x:v>1</x:v>
      </x:c>
      <x:c r="L4543" s="6" t="n">
        <x:f>J4543*K4543</x:f>
        <x:v>1</x:v>
      </x:c>
    </x:row>
    <x:row r="4544">
      <x:c r="A4544" s="1" t="n">
        <x:v>34798</x:v>
      </x:c>
      <x:c r="B4544" s="5" t="d">
        <x:v>2016-05-22T00:00:00.000Z</x:v>
      </x:c>
      <x:c r="C4544" s="1" t="str">
        <x:v>Standard Class</x:v>
      </x:c>
      <x:c r="D4544" s="1" t="str">
        <x:v>USCA</x:v>
      </x:c>
      <x:c r="E4544" s="1" t="str">
        <x:v>PENDING_PAYMENT</x:v>
      </x:c>
      <x:c r="F4544" s="1" t="str">
        <x:v>Shipping on time</x:v>
      </x:c>
      <x:c r="G4544" s="6" t="n">
        <x:v>4</x:v>
      </x:c>
      <x:c r="H4544" s="6" t="n">
        <x:v>4</x:v>
      </x:c>
      <x:c r="I4544" s="6" t="n">
        <x:f>G4544-H4544</x:f>
        <x:v>0</x:v>
      </x:c>
      <x:c r="J4544" s="6" t="n">
        <x:f>IF(OR(E4544="CANCELED",E4544="SUSPECTED_FRAUD",F4544="Shipping canceled"),0,1)</x:f>
        <x:v>1</x:v>
      </x:c>
      <x:c r="K4544" s="6" t="n">
        <x:f>IF(G4544&gt;H4544,1,0)</x:f>
        <x:v>0</x:v>
      </x:c>
      <x:c r="L4544" s="6" t="n">
        <x:f>J4544*K4544</x:f>
        <x:v>0</x:v>
      </x:c>
    </x:row>
    <x:row r="4545">
      <x:c r="A4545" s="1" t="n">
        <x:v>34804</x:v>
      </x:c>
      <x:c r="B4545" s="5" t="d">
        <x:v>2016-05-23T00:00:00.000Z</x:v>
      </x:c>
      <x:c r="C4545" s="1" t="str">
        <x:v>Standard Class</x:v>
      </x:c>
      <x:c r="D4545" s="1" t="str">
        <x:v>USCA</x:v>
      </x:c>
      <x:c r="E4545" s="1" t="str">
        <x:v>COMPLETE</x:v>
      </x:c>
      <x:c r="F4545" s="1" t="str">
        <x:v>Late delivery</x:v>
      </x:c>
      <x:c r="G4545" s="6" t="n">
        <x:v>5</x:v>
      </x:c>
      <x:c r="H4545" s="6" t="n">
        <x:v>4</x:v>
      </x:c>
      <x:c r="I4545" s="6" t="n">
        <x:f>G4545-H4545</x:f>
        <x:v>1</x:v>
      </x:c>
      <x:c r="J4545" s="6" t="n">
        <x:f>IF(OR(E4545="CANCELED",E4545="SUSPECTED_FRAUD",F4545="Shipping canceled"),0,1)</x:f>
        <x:v>1</x:v>
      </x:c>
      <x:c r="K4545" s="6" t="n">
        <x:f>IF(G4545&gt;H4545,1,0)</x:f>
        <x:v>1</x:v>
      </x:c>
      <x:c r="L4545" s="6" t="n">
        <x:f>J4545*K4545</x:f>
        <x:v>1</x:v>
      </x:c>
    </x:row>
    <x:row r="4546">
      <x:c r="A4546" s="1" t="n">
        <x:v>34809</x:v>
      </x:c>
      <x:c r="B4546" s="5" t="d">
        <x:v>2016-05-23T00:00:00.000Z</x:v>
      </x:c>
      <x:c r="C4546" s="1" t="str">
        <x:v>Standard Class</x:v>
      </x:c>
      <x:c r="D4546" s="1" t="str">
        <x:v>USCA</x:v>
      </x:c>
      <x:c r="E4546" s="1" t="str">
        <x:v>PAYMENT_REVIEW</x:v>
      </x:c>
      <x:c r="F4546" s="1" t="str">
        <x:v>Late delivery</x:v>
      </x:c>
      <x:c r="G4546" s="6" t="n">
        <x:v>5</x:v>
      </x:c>
      <x:c r="H4546" s="6" t="n">
        <x:v>4</x:v>
      </x:c>
      <x:c r="I4546" s="6" t="n">
        <x:f>G4546-H4546</x:f>
        <x:v>1</x:v>
      </x:c>
      <x:c r="J4546" s="6" t="n">
        <x:f>IF(OR(E4546="CANCELED",E4546="SUSPECTED_FRAUD",F4546="Shipping canceled"),0,1)</x:f>
        <x:v>1</x:v>
      </x:c>
      <x:c r="K4546" s="6" t="n">
        <x:f>IF(G4546&gt;H4546,1,0)</x:f>
        <x:v>1</x:v>
      </x:c>
      <x:c r="L4546" s="6" t="n">
        <x:f>J4546*K4546</x:f>
        <x:v>1</x:v>
      </x:c>
    </x:row>
    <x:row r="4547">
      <x:c r="A4547" s="1" t="n">
        <x:v>34810</x:v>
      </x:c>
      <x:c r="B4547" s="5" t="d">
        <x:v>2016-05-23T00:00:00.000Z</x:v>
      </x:c>
      <x:c r="C4547" s="1" t="str">
        <x:v>Standard Class</x:v>
      </x:c>
      <x:c r="D4547" s="1" t="str">
        <x:v>USCA</x:v>
      </x:c>
      <x:c r="E4547" s="1" t="str">
        <x:v>COMPLETE</x:v>
      </x:c>
      <x:c r="F4547" s="1" t="str">
        <x:v>Late delivery</x:v>
      </x:c>
      <x:c r="G4547" s="6" t="n">
        <x:v>6</x:v>
      </x:c>
      <x:c r="H4547" s="6" t="n">
        <x:v>4</x:v>
      </x:c>
      <x:c r="I4547" s="6" t="n">
        <x:f>G4547-H4547</x:f>
        <x:v>2</x:v>
      </x:c>
      <x:c r="J4547" s="6" t="n">
        <x:f>IF(OR(E4547="CANCELED",E4547="SUSPECTED_FRAUD",F4547="Shipping canceled"),0,1)</x:f>
        <x:v>1</x:v>
      </x:c>
      <x:c r="K4547" s="6" t="n">
        <x:f>IF(G4547&gt;H4547,1,0)</x:f>
        <x:v>1</x:v>
      </x:c>
      <x:c r="L4547" s="6" t="n">
        <x:f>J4547*K4547</x:f>
        <x:v>1</x:v>
      </x:c>
    </x:row>
    <x:row r="4548">
      <x:c r="A4548" s="1" t="n">
        <x:v>34814</x:v>
      </x:c>
      <x:c r="B4548" s="5" t="d">
        <x:v>2016-05-23T00:00:00.000Z</x:v>
      </x:c>
      <x:c r="C4548" s="1" t="str">
        <x:v>Standard Class</x:v>
      </x:c>
      <x:c r="D4548" s="1" t="str">
        <x:v>USCA</x:v>
      </x:c>
      <x:c r="E4548" s="1" t="str">
        <x:v>SUSPECTED_FRAUD</x:v>
      </x:c>
      <x:c r="F4548" s="1" t="str">
        <x:v>Shipping canceled</x:v>
      </x:c>
      <x:c r="G4548" s="6" t="n">
        <x:v>5</x:v>
      </x:c>
      <x:c r="H4548" s="6" t="n">
        <x:v>4</x:v>
      </x:c>
      <x:c r="I4548" s="6" t="n">
        <x:f>G4548-H4548</x:f>
        <x:v>1</x:v>
      </x:c>
      <x:c r="J4548" s="6" t="n">
        <x:f>IF(OR(E4548="CANCELED",E4548="SUSPECTED_FRAUD",F4548="Shipping canceled"),0,1)</x:f>
        <x:v>0</x:v>
      </x:c>
      <x:c r="K4548" s="6" t="n">
        <x:f>IF(G4548&gt;H4548,1,0)</x:f>
        <x:v>1</x:v>
      </x:c>
      <x:c r="L4548" s="6" t="n">
        <x:f>J4548*K4548</x:f>
        <x:v>0</x:v>
      </x:c>
    </x:row>
    <x:row r="4549">
      <x:c r="A4549" s="1" t="n">
        <x:v>34824</x:v>
      </x:c>
      <x:c r="B4549" s="5" t="d">
        <x:v>2016-05-23T00:00:00.000Z</x:v>
      </x:c>
      <x:c r="C4549" s="1" t="str">
        <x:v>Standard Class</x:v>
      </x:c>
      <x:c r="D4549" s="1" t="str">
        <x:v>USCA</x:v>
      </x:c>
      <x:c r="E4549" s="1" t="str">
        <x:v>CANCELED</x:v>
      </x:c>
      <x:c r="F4549" s="1" t="str">
        <x:v>Shipping canceled</x:v>
      </x:c>
      <x:c r="G4549" s="6" t="n">
        <x:v>5</x:v>
      </x:c>
      <x:c r="H4549" s="6" t="n">
        <x:v>4</x:v>
      </x:c>
      <x:c r="I4549" s="6" t="n">
        <x:f>G4549-H4549</x:f>
        <x:v>1</x:v>
      </x:c>
      <x:c r="J4549" s="6" t="n">
        <x:f>IF(OR(E4549="CANCELED",E4549="SUSPECTED_FRAUD",F4549="Shipping canceled"),0,1)</x:f>
        <x:v>0</x:v>
      </x:c>
      <x:c r="K4549" s="6" t="n">
        <x:f>IF(G4549&gt;H4549,1,0)</x:f>
        <x:v>1</x:v>
      </x:c>
      <x:c r="L4549" s="6" t="n">
        <x:f>J4549*K4549</x:f>
        <x:v>0</x:v>
      </x:c>
    </x:row>
    <x:row r="4550">
      <x:c r="A4550" s="1" t="n">
        <x:v>34834</x:v>
      </x:c>
      <x:c r="B4550" s="5" t="d">
        <x:v>2016-05-23T00:00:00.000Z</x:v>
      </x:c>
      <x:c r="C4550" s="1" t="str">
        <x:v>Standard Class</x:v>
      </x:c>
      <x:c r="D4550" s="1" t="str">
        <x:v>USCA</x:v>
      </x:c>
      <x:c r="E4550" s="1" t="str">
        <x:v>PROCESSING</x:v>
      </x:c>
      <x:c r="F4550" s="1" t="str">
        <x:v>Late delivery</x:v>
      </x:c>
      <x:c r="G4550" s="6" t="n">
        <x:v>5</x:v>
      </x:c>
      <x:c r="H4550" s="6" t="n">
        <x:v>4</x:v>
      </x:c>
      <x:c r="I4550" s="6" t="n">
        <x:f>G4550-H4550</x:f>
        <x:v>1</x:v>
      </x:c>
      <x:c r="J4550" s="6" t="n">
        <x:f>IF(OR(E4550="CANCELED",E4550="SUSPECTED_FRAUD",F4550="Shipping canceled"),0,1)</x:f>
        <x:v>1</x:v>
      </x:c>
      <x:c r="K4550" s="6" t="n">
        <x:f>IF(G4550&gt;H4550,1,0)</x:f>
        <x:v>1</x:v>
      </x:c>
      <x:c r="L4550" s="6" t="n">
        <x:f>J4550*K4550</x:f>
        <x:v>1</x:v>
      </x:c>
    </x:row>
    <x:row r="4551">
      <x:c r="A4551" s="1" t="n">
        <x:v>34836</x:v>
      </x:c>
      <x:c r="B4551" s="5" t="d">
        <x:v>2016-05-23T00:00:00.000Z</x:v>
      </x:c>
      <x:c r="C4551" s="1" t="str">
        <x:v>Standard Class</x:v>
      </x:c>
      <x:c r="D4551" s="1" t="str">
        <x:v>USCA</x:v>
      </x:c>
      <x:c r="E4551" s="1" t="str">
        <x:v>COMPLETE</x:v>
      </x:c>
      <x:c r="F4551" s="1" t="str">
        <x:v>Advance shipping</x:v>
      </x:c>
      <x:c r="G4551" s="6" t="n">
        <x:v>2</x:v>
      </x:c>
      <x:c r="H4551" s="6" t="n">
        <x:v>4</x:v>
      </x:c>
      <x:c r="I4551" s="6" t="n">
        <x:f>G4551-H4551</x:f>
        <x:v>-2</x:v>
      </x:c>
      <x:c r="J4551" s="6" t="n">
        <x:f>IF(OR(E4551="CANCELED",E4551="SUSPECTED_FRAUD",F4551="Shipping canceled"),0,1)</x:f>
        <x:v>1</x:v>
      </x:c>
      <x:c r="K4551" s="6" t="n">
        <x:f>IF(G4551&gt;H4551,1,0)</x:f>
        <x:v>0</x:v>
      </x:c>
      <x:c r="L4551" s="6" t="n">
        <x:f>J4551*K4551</x:f>
        <x:v>0</x:v>
      </x:c>
    </x:row>
    <x:row r="4552">
      <x:c r="A4552" s="1" t="n">
        <x:v>34839</x:v>
      </x:c>
      <x:c r="B4552" s="5" t="d">
        <x:v>2016-05-23T00:00:00.000Z</x:v>
      </x:c>
      <x:c r="C4552" s="1" t="str">
        <x:v>Standard Class</x:v>
      </x:c>
      <x:c r="D4552" s="1" t="str">
        <x:v>USCA</x:v>
      </x:c>
      <x:c r="E4552" s="1" t="str">
        <x:v>PENDING</x:v>
      </x:c>
      <x:c r="F4552" s="1" t="str">
        <x:v>Late delivery</x:v>
      </x:c>
      <x:c r="G4552" s="6" t="n">
        <x:v>5</x:v>
      </x:c>
      <x:c r="H4552" s="6" t="n">
        <x:v>4</x:v>
      </x:c>
      <x:c r="I4552" s="6" t="n">
        <x:f>G4552-H4552</x:f>
        <x:v>1</x:v>
      </x:c>
      <x:c r="J4552" s="6" t="n">
        <x:f>IF(OR(E4552="CANCELED",E4552="SUSPECTED_FRAUD",F4552="Shipping canceled"),0,1)</x:f>
        <x:v>1</x:v>
      </x:c>
      <x:c r="K4552" s="6" t="n">
        <x:f>IF(G4552&gt;H4552,1,0)</x:f>
        <x:v>1</x:v>
      </x:c>
      <x:c r="L4552" s="6" t="n">
        <x:f>J4552*K4552</x:f>
        <x:v>1</x:v>
      </x:c>
    </x:row>
    <x:row r="4553">
      <x:c r="A4553" s="1" t="n">
        <x:v>34845</x:v>
      </x:c>
      <x:c r="B4553" s="5" t="d">
        <x:v>2016-05-23T00:00:00.000Z</x:v>
      </x:c>
      <x:c r="C4553" s="1" t="str">
        <x:v>Standard Class</x:v>
      </x:c>
      <x:c r="D4553" s="1" t="str">
        <x:v>USCA</x:v>
      </x:c>
      <x:c r="E4553" s="1" t="str">
        <x:v>PENDING</x:v>
      </x:c>
      <x:c r="F4553" s="1" t="str">
        <x:v>Late delivery</x:v>
      </x:c>
      <x:c r="G4553" s="6" t="n">
        <x:v>6</x:v>
      </x:c>
      <x:c r="H4553" s="6" t="n">
        <x:v>4</x:v>
      </x:c>
      <x:c r="I4553" s="6" t="n">
        <x:f>G4553-H4553</x:f>
        <x:v>2</x:v>
      </x:c>
      <x:c r="J4553" s="6" t="n">
        <x:f>IF(OR(E4553="CANCELED",E4553="SUSPECTED_FRAUD",F4553="Shipping canceled"),0,1)</x:f>
        <x:v>1</x:v>
      </x:c>
      <x:c r="K4553" s="6" t="n">
        <x:f>IF(G4553&gt;H4553,1,0)</x:f>
        <x:v>1</x:v>
      </x:c>
      <x:c r="L4553" s="6" t="n">
        <x:f>J4553*K4553</x:f>
        <x:v>1</x:v>
      </x:c>
    </x:row>
    <x:row r="4554">
      <x:c r="A4554" s="1" t="n">
        <x:v>34849</x:v>
      </x:c>
      <x:c r="B4554" s="5" t="d">
        <x:v>2016-05-23T00:00:00.000Z</x:v>
      </x:c>
      <x:c r="C4554" s="1" t="str">
        <x:v>Standard Class</x:v>
      </x:c>
      <x:c r="D4554" s="1" t="str">
        <x:v>USCA</x:v>
      </x:c>
      <x:c r="E4554" s="1" t="str">
        <x:v>COMPLETE</x:v>
      </x:c>
      <x:c r="F4554" s="1" t="str">
        <x:v>Late delivery</x:v>
      </x:c>
      <x:c r="G4554" s="6" t="n">
        <x:v>5</x:v>
      </x:c>
      <x:c r="H4554" s="6" t="n">
        <x:v>4</x:v>
      </x:c>
      <x:c r="I4554" s="6" t="n">
        <x:f>G4554-H4554</x:f>
        <x:v>1</x:v>
      </x:c>
      <x:c r="J4554" s="6" t="n">
        <x:f>IF(OR(E4554="CANCELED",E4554="SUSPECTED_FRAUD",F4554="Shipping canceled"),0,1)</x:f>
        <x:v>1</x:v>
      </x:c>
      <x:c r="K4554" s="6" t="n">
        <x:f>IF(G4554&gt;H4554,1,0)</x:f>
        <x:v>1</x:v>
      </x:c>
      <x:c r="L4554" s="6" t="n">
        <x:f>J4554*K4554</x:f>
        <x:v>1</x:v>
      </x:c>
    </x:row>
    <x:row r="4555">
      <x:c r="A4555" s="1" t="n">
        <x:v>34852</x:v>
      </x:c>
      <x:c r="B4555" s="5" t="d">
        <x:v>2016-05-23T00:00:00.000Z</x:v>
      </x:c>
      <x:c r="C4555" s="1" t="str">
        <x:v>Standard Class</x:v>
      </x:c>
      <x:c r="D4555" s="1" t="str">
        <x:v>USCA</x:v>
      </x:c>
      <x:c r="E4555" s="1" t="str">
        <x:v>PENDING</x:v>
      </x:c>
      <x:c r="F4555" s="1" t="str">
        <x:v>Advance shipping</x:v>
      </x:c>
      <x:c r="G4555" s="6" t="n">
        <x:v>3</x:v>
      </x:c>
      <x:c r="H4555" s="6" t="n">
        <x:v>4</x:v>
      </x:c>
      <x:c r="I4555" s="6" t="n">
        <x:f>G4555-H4555</x:f>
        <x:v>-1</x:v>
      </x:c>
      <x:c r="J4555" s="6" t="n">
        <x:f>IF(OR(E4555="CANCELED",E4555="SUSPECTED_FRAUD",F4555="Shipping canceled"),0,1)</x:f>
        <x:v>1</x:v>
      </x:c>
      <x:c r="K4555" s="6" t="n">
        <x:f>IF(G4555&gt;H4555,1,0)</x:f>
        <x:v>0</x:v>
      </x:c>
      <x:c r="L4555" s="6" t="n">
        <x:f>J4555*K4555</x:f>
        <x:v>0</x:v>
      </x:c>
    </x:row>
    <x:row r="4556">
      <x:c r="A4556" s="1" t="n">
        <x:v>34855</x:v>
      </x:c>
      <x:c r="B4556" s="5" t="d">
        <x:v>2016-05-23T00:00:00.000Z</x:v>
      </x:c>
      <x:c r="C4556" s="1" t="str">
        <x:v>Standard Class</x:v>
      </x:c>
      <x:c r="D4556" s="1" t="str">
        <x:v>USCA</x:v>
      </x:c>
      <x:c r="E4556" s="1" t="str">
        <x:v>CANCELED</x:v>
      </x:c>
      <x:c r="F4556" s="1" t="str">
        <x:v>Shipping canceled</x:v>
      </x:c>
      <x:c r="G4556" s="6" t="n">
        <x:v>6</x:v>
      </x:c>
      <x:c r="H4556" s="6" t="n">
        <x:v>4</x:v>
      </x:c>
      <x:c r="I4556" s="6" t="n">
        <x:f>G4556-H4556</x:f>
        <x:v>2</x:v>
      </x:c>
      <x:c r="J4556" s="6" t="n">
        <x:f>IF(OR(E4556="CANCELED",E4556="SUSPECTED_FRAUD",F4556="Shipping canceled"),0,1)</x:f>
        <x:v>0</x:v>
      </x:c>
      <x:c r="K4556" s="6" t="n">
        <x:f>IF(G4556&gt;H4556,1,0)</x:f>
        <x:v>1</x:v>
      </x:c>
      <x:c r="L4556" s="6" t="n">
        <x:f>J4556*K4556</x:f>
        <x:v>0</x:v>
      </x:c>
    </x:row>
    <x:row r="4557">
      <x:c r="A4557" s="1" t="n">
        <x:v>34856</x:v>
      </x:c>
      <x:c r="B4557" s="5" t="d">
        <x:v>2016-05-23T00:00:00.000Z</x:v>
      </x:c>
      <x:c r="C4557" s="1" t="str">
        <x:v>Same Day</x:v>
      </x:c>
      <x:c r="D4557" s="1" t="str">
        <x:v>USCA</x:v>
      </x:c>
      <x:c r="E4557" s="1" t="str">
        <x:v>PROCESSING</x:v>
      </x:c>
      <x:c r="F4557" s="1" t="str">
        <x:v>Late delivery</x:v>
      </x:c>
      <x:c r="G4557" s="6" t="n">
        <x:v>1</x:v>
      </x:c>
      <x:c r="H4557" s="6" t="n">
        <x:v>0</x:v>
      </x:c>
      <x:c r="I4557" s="6" t="n">
        <x:f>G4557-H4557</x:f>
        <x:v>1</x:v>
      </x:c>
      <x:c r="J4557" s="6" t="n">
        <x:f>IF(OR(E4557="CANCELED",E4557="SUSPECTED_FRAUD",F4557="Shipping canceled"),0,1)</x:f>
        <x:v>1</x:v>
      </x:c>
      <x:c r="K4557" s="6" t="n">
        <x:f>IF(G4557&gt;H4557,1,0)</x:f>
        <x:v>1</x:v>
      </x:c>
      <x:c r="L4557" s="6" t="n">
        <x:f>J4557*K4557</x:f>
        <x:v>1</x:v>
      </x:c>
    </x:row>
    <x:row r="4558">
      <x:c r="A4558" s="1" t="n">
        <x:v>34860</x:v>
      </x:c>
      <x:c r="B4558" s="5" t="d">
        <x:v>2016-05-23T00:00:00.000Z</x:v>
      </x:c>
      <x:c r="C4558" s="1" t="str">
        <x:v>Second Class</x:v>
      </x:c>
      <x:c r="D4558" s="1" t="str">
        <x:v>USCA</x:v>
      </x:c>
      <x:c r="E4558" s="1" t="str">
        <x:v>COMPLETE</x:v>
      </x:c>
      <x:c r="F4558" s="1" t="str">
        <x:v>Late delivery</x:v>
      </x:c>
      <x:c r="G4558" s="6" t="n">
        <x:v>6</x:v>
      </x:c>
      <x:c r="H4558" s="6" t="n">
        <x:v>2</x:v>
      </x:c>
      <x:c r="I4558" s="6" t="n">
        <x:f>G4558-H4558</x:f>
        <x:v>4</x:v>
      </x:c>
      <x:c r="J4558" s="6" t="n">
        <x:f>IF(OR(E4558="CANCELED",E4558="SUSPECTED_FRAUD",F4558="Shipping canceled"),0,1)</x:f>
        <x:v>1</x:v>
      </x:c>
      <x:c r="K4558" s="6" t="n">
        <x:f>IF(G4558&gt;H4558,1,0)</x:f>
        <x:v>1</x:v>
      </x:c>
      <x:c r="L4558" s="6" t="n">
        <x:f>J4558*K4558</x:f>
        <x:v>1</x:v>
      </x:c>
    </x:row>
    <x:row r="4559">
      <x:c r="A4559" s="1" t="n">
        <x:v>34861</x:v>
      </x:c>
      <x:c r="B4559" s="5" t="d">
        <x:v>2016-05-23T00:00:00.000Z</x:v>
      </x:c>
      <x:c r="C4559" s="1" t="str">
        <x:v>Second Class</x:v>
      </x:c>
      <x:c r="D4559" s="1" t="str">
        <x:v>USCA</x:v>
      </x:c>
      <x:c r="E4559" s="1" t="str">
        <x:v>COMPLETE</x:v>
      </x:c>
      <x:c r="F4559" s="1" t="str">
        <x:v>Shipping on time</x:v>
      </x:c>
      <x:c r="G4559" s="6" t="n">
        <x:v>2</x:v>
      </x:c>
      <x:c r="H4559" s="6" t="n">
        <x:v>2</x:v>
      </x:c>
      <x:c r="I4559" s="6" t="n">
        <x:f>G4559-H4559</x:f>
        <x:v>0</x:v>
      </x:c>
      <x:c r="J4559" s="6" t="n">
        <x:f>IF(OR(E4559="CANCELED",E4559="SUSPECTED_FRAUD",F4559="Shipping canceled"),0,1)</x:f>
        <x:v>1</x:v>
      </x:c>
      <x:c r="K4559" s="6" t="n">
        <x:f>IF(G4559&gt;H4559,1,0)</x:f>
        <x:v>0</x:v>
      </x:c>
      <x:c r="L4559" s="6" t="n">
        <x:f>J4559*K4559</x:f>
        <x:v>0</x:v>
      </x:c>
    </x:row>
    <x:row r="4560">
      <x:c r="A4560" s="1" t="n">
        <x:v>34873</x:v>
      </x:c>
      <x:c r="B4560" s="5" t="d">
        <x:v>2016-05-24T00:00:00.000Z</x:v>
      </x:c>
      <x:c r="C4560" s="1" t="str">
        <x:v>Standard Class</x:v>
      </x:c>
      <x:c r="D4560" s="1" t="str">
        <x:v>USCA</x:v>
      </x:c>
      <x:c r="E4560" s="1" t="str">
        <x:v>COMPLETE</x:v>
      </x:c>
      <x:c r="F4560" s="1" t="str">
        <x:v>Shipping on time</x:v>
      </x:c>
      <x:c r="G4560" s="6" t="n">
        <x:v>4</x:v>
      </x:c>
      <x:c r="H4560" s="6" t="n">
        <x:v>4</x:v>
      </x:c>
      <x:c r="I4560" s="6" t="n">
        <x:f>G4560-H4560</x:f>
        <x:v>0</x:v>
      </x:c>
      <x:c r="J4560" s="6" t="n">
        <x:f>IF(OR(E4560="CANCELED",E4560="SUSPECTED_FRAUD",F4560="Shipping canceled"),0,1)</x:f>
        <x:v>1</x:v>
      </x:c>
      <x:c r="K4560" s="6" t="n">
        <x:f>IF(G4560&gt;H4560,1,0)</x:f>
        <x:v>0</x:v>
      </x:c>
      <x:c r="L4560" s="6" t="n">
        <x:f>J4560*K4560</x:f>
        <x:v>0</x:v>
      </x:c>
    </x:row>
    <x:row r="4561">
      <x:c r="A4561" s="1" t="n">
        <x:v>34911</x:v>
      </x:c>
      <x:c r="B4561" s="5" t="d">
        <x:v>2016-05-24T00:00:00.000Z</x:v>
      </x:c>
      <x:c r="C4561" s="1" t="str">
        <x:v>Standard Class</x:v>
      </x:c>
      <x:c r="D4561" s="1" t="str">
        <x:v>USCA</x:v>
      </x:c>
      <x:c r="E4561" s="1" t="str">
        <x:v>COMPLETE</x:v>
      </x:c>
      <x:c r="F4561" s="1" t="str">
        <x:v>Advance shipping</x:v>
      </x:c>
      <x:c r="G4561" s="6" t="n">
        <x:v>2</x:v>
      </x:c>
      <x:c r="H4561" s="6" t="n">
        <x:v>4</x:v>
      </x:c>
      <x:c r="I4561" s="6" t="n">
        <x:f>G4561-H4561</x:f>
        <x:v>-2</x:v>
      </x:c>
      <x:c r="J4561" s="6" t="n">
        <x:f>IF(OR(E4561="CANCELED",E4561="SUSPECTED_FRAUD",F4561="Shipping canceled"),0,1)</x:f>
        <x:v>1</x:v>
      </x:c>
      <x:c r="K4561" s="6" t="n">
        <x:f>IF(G4561&gt;H4561,1,0)</x:f>
        <x:v>0</x:v>
      </x:c>
      <x:c r="L4561" s="6" t="n">
        <x:f>J4561*K4561</x:f>
        <x:v>0</x:v>
      </x:c>
    </x:row>
    <x:row r="4562">
      <x:c r="A4562" s="1" t="n">
        <x:v>34913</x:v>
      </x:c>
      <x:c r="B4562" s="5" t="d">
        <x:v>2016-05-24T00:00:00.000Z</x:v>
      </x:c>
      <x:c r="C4562" s="1" t="str">
        <x:v>Standard Class</x:v>
      </x:c>
      <x:c r="D4562" s="1" t="str">
        <x:v>USCA</x:v>
      </x:c>
      <x:c r="E4562" s="1" t="str">
        <x:v>ON_HOLD</x:v>
      </x:c>
      <x:c r="F4562" s="1" t="str">
        <x:v>Shipping on time</x:v>
      </x:c>
      <x:c r="G4562" s="6" t="n">
        <x:v>4</x:v>
      </x:c>
      <x:c r="H4562" s="6" t="n">
        <x:v>4</x:v>
      </x:c>
      <x:c r="I4562" s="6" t="n">
        <x:f>G4562-H4562</x:f>
        <x:v>0</x:v>
      </x:c>
      <x:c r="J4562" s="6" t="n">
        <x:f>IF(OR(E4562="CANCELED",E4562="SUSPECTED_FRAUD",F4562="Shipping canceled"),0,1)</x:f>
        <x:v>1</x:v>
      </x:c>
      <x:c r="K4562" s="6" t="n">
        <x:f>IF(G4562&gt;H4562,1,0)</x:f>
        <x:v>0</x:v>
      </x:c>
      <x:c r="L4562" s="6" t="n">
        <x:f>J4562*K4562</x:f>
        <x:v>0</x:v>
      </x:c>
    </x:row>
    <x:row r="4563">
      <x:c r="A4563" s="1" t="n">
        <x:v>34917</x:v>
      </x:c>
      <x:c r="B4563" s="5" t="d">
        <x:v>2016-05-24T00:00:00.000Z</x:v>
      </x:c>
      <x:c r="C4563" s="1" t="str">
        <x:v>First Class</x:v>
      </x:c>
      <x:c r="D4563" s="1" t="str">
        <x:v>USCA</x:v>
      </x:c>
      <x:c r="E4563" s="1" t="str">
        <x:v>CLOSED</x:v>
      </x:c>
      <x:c r="F4563" s="1" t="str">
        <x:v>Late delivery</x:v>
      </x:c>
      <x:c r="G4563" s="6" t="n">
        <x:v>2</x:v>
      </x:c>
      <x:c r="H4563" s="6" t="n">
        <x:v>1</x:v>
      </x:c>
      <x:c r="I4563" s="6" t="n">
        <x:f>G4563-H4563</x:f>
        <x:v>1</x:v>
      </x:c>
      <x:c r="J4563" s="6" t="n">
        <x:f>IF(OR(E4563="CANCELED",E4563="SUSPECTED_FRAUD",F4563="Shipping canceled"),0,1)</x:f>
        <x:v>1</x:v>
      </x:c>
      <x:c r="K4563" s="6" t="n">
        <x:f>IF(G4563&gt;H4563,1,0)</x:f>
        <x:v>1</x:v>
      </x:c>
      <x:c r="L4563" s="6" t="n">
        <x:f>J4563*K4563</x:f>
        <x:v>1</x:v>
      </x:c>
    </x:row>
    <x:row r="4564">
      <x:c r="A4564" s="1" t="n">
        <x:v>34927</x:v>
      </x:c>
      <x:c r="B4564" s="5" t="d">
        <x:v>2016-05-24T00:00:00.000Z</x:v>
      </x:c>
      <x:c r="C4564" s="1" t="str">
        <x:v>Second Class</x:v>
      </x:c>
      <x:c r="D4564" s="1" t="str">
        <x:v>USCA</x:v>
      </x:c>
      <x:c r="E4564" s="1" t="str">
        <x:v>COMPLETE</x:v>
      </x:c>
      <x:c r="F4564" s="1" t="str">
        <x:v>Late delivery</x:v>
      </x:c>
      <x:c r="G4564" s="6" t="n">
        <x:v>3</x:v>
      </x:c>
      <x:c r="H4564" s="6" t="n">
        <x:v>2</x:v>
      </x:c>
      <x:c r="I4564" s="6" t="n">
        <x:f>G4564-H4564</x:f>
        <x:v>1</x:v>
      </x:c>
      <x:c r="J4564" s="6" t="n">
        <x:f>IF(OR(E4564="CANCELED",E4564="SUSPECTED_FRAUD",F4564="Shipping canceled"),0,1)</x:f>
        <x:v>1</x:v>
      </x:c>
      <x:c r="K4564" s="6" t="n">
        <x:f>IF(G4564&gt;H4564,1,0)</x:f>
        <x:v>1</x:v>
      </x:c>
      <x:c r="L4564" s="6" t="n">
        <x:f>J4564*K4564</x:f>
        <x:v>1</x:v>
      </x:c>
    </x:row>
    <x:row r="4565">
      <x:c r="A4565" s="1" t="n">
        <x:v>34932</x:v>
      </x:c>
      <x:c r="B4565" s="5" t="d">
        <x:v>2016-05-24T00:00:00.000Z</x:v>
      </x:c>
      <x:c r="C4565" s="1" t="str">
        <x:v>Standard Class</x:v>
      </x:c>
      <x:c r="D4565" s="1" t="str">
        <x:v>USCA</x:v>
      </x:c>
      <x:c r="E4565" s="1" t="str">
        <x:v>PENDING</x:v>
      </x:c>
      <x:c r="F4565" s="1" t="str">
        <x:v>Advance shipping</x:v>
      </x:c>
      <x:c r="G4565" s="6" t="n">
        <x:v>3</x:v>
      </x:c>
      <x:c r="H4565" s="6" t="n">
        <x:v>4</x:v>
      </x:c>
      <x:c r="I4565" s="6" t="n">
        <x:f>G4565-H4565</x:f>
        <x:v>-1</x:v>
      </x:c>
      <x:c r="J4565" s="6" t="n">
        <x:f>IF(OR(E4565="CANCELED",E4565="SUSPECTED_FRAUD",F4565="Shipping canceled"),0,1)</x:f>
        <x:v>1</x:v>
      </x:c>
      <x:c r="K4565" s="6" t="n">
        <x:f>IF(G4565&gt;H4565,1,0)</x:f>
        <x:v>0</x:v>
      </x:c>
      <x:c r="L4565" s="6" t="n">
        <x:f>J4565*K4565</x:f>
        <x:v>0</x:v>
      </x:c>
    </x:row>
    <x:row r="4566">
      <x:c r="A4566" s="1" t="n">
        <x:v>34945</x:v>
      </x:c>
      <x:c r="B4566" s="5" t="d">
        <x:v>2016-05-25T00:00:00.000Z</x:v>
      </x:c>
      <x:c r="C4566" s="1" t="str">
        <x:v>Standard Class</x:v>
      </x:c>
      <x:c r="D4566" s="1" t="str">
        <x:v>USCA</x:v>
      </x:c>
      <x:c r="E4566" s="1" t="str">
        <x:v>PENDING</x:v>
      </x:c>
      <x:c r="F4566" s="1" t="str">
        <x:v>Late delivery</x:v>
      </x:c>
      <x:c r="G4566" s="6" t="n">
        <x:v>6</x:v>
      </x:c>
      <x:c r="H4566" s="6" t="n">
        <x:v>4</x:v>
      </x:c>
      <x:c r="I4566" s="6" t="n">
        <x:f>G4566-H4566</x:f>
        <x:v>2</x:v>
      </x:c>
      <x:c r="J4566" s="6" t="n">
        <x:f>IF(OR(E4566="CANCELED",E4566="SUSPECTED_FRAUD",F4566="Shipping canceled"),0,1)</x:f>
        <x:v>1</x:v>
      </x:c>
      <x:c r="K4566" s="6" t="n">
        <x:f>IF(G4566&gt;H4566,1,0)</x:f>
        <x:v>1</x:v>
      </x:c>
      <x:c r="L4566" s="6" t="n">
        <x:f>J4566*K4566</x:f>
        <x:v>1</x:v>
      </x:c>
    </x:row>
    <x:row r="4567">
      <x:c r="A4567" s="1" t="n">
        <x:v>34955</x:v>
      </x:c>
      <x:c r="B4567" s="5" t="d">
        <x:v>2016-05-25T00:00:00.000Z</x:v>
      </x:c>
      <x:c r="C4567" s="1" t="str">
        <x:v>Standard Class</x:v>
      </x:c>
      <x:c r="D4567" s="1" t="str">
        <x:v>USCA</x:v>
      </x:c>
      <x:c r="E4567" s="1" t="str">
        <x:v>PENDING</x:v>
      </x:c>
      <x:c r="F4567" s="1" t="str">
        <x:v>Late delivery</x:v>
      </x:c>
      <x:c r="G4567" s="6" t="n">
        <x:v>6</x:v>
      </x:c>
      <x:c r="H4567" s="6" t="n">
        <x:v>4</x:v>
      </x:c>
      <x:c r="I4567" s="6" t="n">
        <x:f>G4567-H4567</x:f>
        <x:v>2</x:v>
      </x:c>
      <x:c r="J4567" s="6" t="n">
        <x:f>IF(OR(E4567="CANCELED",E4567="SUSPECTED_FRAUD",F4567="Shipping canceled"),0,1)</x:f>
        <x:v>1</x:v>
      </x:c>
      <x:c r="K4567" s="6" t="n">
        <x:f>IF(G4567&gt;H4567,1,0)</x:f>
        <x:v>1</x:v>
      </x:c>
      <x:c r="L4567" s="6" t="n">
        <x:f>J4567*K4567</x:f>
        <x:v>1</x:v>
      </x:c>
    </x:row>
    <x:row r="4568">
      <x:c r="A4568" s="1" t="n">
        <x:v>34965</x:v>
      </x:c>
      <x:c r="B4568" s="5" t="d">
        <x:v>2016-05-25T00:00:00.000Z</x:v>
      </x:c>
      <x:c r="C4568" s="1" t="str">
        <x:v>Standard Class</x:v>
      </x:c>
      <x:c r="D4568" s="1" t="str">
        <x:v>USCA</x:v>
      </x:c>
      <x:c r="E4568" s="1" t="str">
        <x:v>PENDING</x:v>
      </x:c>
      <x:c r="F4568" s="1" t="str">
        <x:v>Late delivery</x:v>
      </x:c>
      <x:c r="G4568" s="6" t="n">
        <x:v>6</x:v>
      </x:c>
      <x:c r="H4568" s="6" t="n">
        <x:v>4</x:v>
      </x:c>
      <x:c r="I4568" s="6" t="n">
        <x:f>G4568-H4568</x:f>
        <x:v>2</x:v>
      </x:c>
      <x:c r="J4568" s="6" t="n">
        <x:f>IF(OR(E4568="CANCELED",E4568="SUSPECTED_FRAUD",F4568="Shipping canceled"),0,1)</x:f>
        <x:v>1</x:v>
      </x:c>
      <x:c r="K4568" s="6" t="n">
        <x:f>IF(G4568&gt;H4568,1,0)</x:f>
        <x:v>1</x:v>
      </x:c>
      <x:c r="L4568" s="6" t="n">
        <x:f>J4568*K4568</x:f>
        <x:v>1</x:v>
      </x:c>
    </x:row>
    <x:row r="4569">
      <x:c r="A4569" s="1" t="n">
        <x:v>34967</x:v>
      </x:c>
      <x:c r="B4569" s="5" t="d">
        <x:v>2016-05-25T00:00:00.000Z</x:v>
      </x:c>
      <x:c r="C4569" s="1" t="str">
        <x:v>Standard Class</x:v>
      </x:c>
      <x:c r="D4569" s="1" t="str">
        <x:v>USCA</x:v>
      </x:c>
      <x:c r="E4569" s="1" t="str">
        <x:v>COMPLETE</x:v>
      </x:c>
      <x:c r="F4569" s="1" t="str">
        <x:v>Advance shipping</x:v>
      </x:c>
      <x:c r="G4569" s="6" t="n">
        <x:v>3</x:v>
      </x:c>
      <x:c r="H4569" s="6" t="n">
        <x:v>4</x:v>
      </x:c>
      <x:c r="I4569" s="6" t="n">
        <x:f>G4569-H4569</x:f>
        <x:v>-1</x:v>
      </x:c>
      <x:c r="J4569" s="6" t="n">
        <x:f>IF(OR(E4569="CANCELED",E4569="SUSPECTED_FRAUD",F4569="Shipping canceled"),0,1)</x:f>
        <x:v>1</x:v>
      </x:c>
      <x:c r="K4569" s="6" t="n">
        <x:f>IF(G4569&gt;H4569,1,0)</x:f>
        <x:v>0</x:v>
      </x:c>
      <x:c r="L4569" s="6" t="n">
        <x:f>J4569*K4569</x:f>
        <x:v>0</x:v>
      </x:c>
    </x:row>
    <x:row r="4570">
      <x:c r="A4570" s="1" t="n">
        <x:v>34977</x:v>
      </x:c>
      <x:c r="B4570" s="5" t="d">
        <x:v>2016-05-25T00:00:00.000Z</x:v>
      </x:c>
      <x:c r="C4570" s="1" t="str">
        <x:v>Standard Class</x:v>
      </x:c>
      <x:c r="D4570" s="1" t="str">
        <x:v>USCA</x:v>
      </x:c>
      <x:c r="E4570" s="1" t="str">
        <x:v>CANCELED</x:v>
      </x:c>
      <x:c r="F4570" s="1" t="str">
        <x:v>Shipping canceled</x:v>
      </x:c>
      <x:c r="G4570" s="6" t="n">
        <x:v>3</x:v>
      </x:c>
      <x:c r="H4570" s="6" t="n">
        <x:v>4</x:v>
      </x:c>
      <x:c r="I4570" s="6" t="n">
        <x:f>G4570-H4570</x:f>
        <x:v>-1</x:v>
      </x:c>
      <x:c r="J4570" s="6" t="n">
        <x:f>IF(OR(E4570="CANCELED",E4570="SUSPECTED_FRAUD",F4570="Shipping canceled"),0,1)</x:f>
        <x:v>0</x:v>
      </x:c>
      <x:c r="K4570" s="6" t="n">
        <x:f>IF(G4570&gt;H4570,1,0)</x:f>
        <x:v>0</x:v>
      </x:c>
      <x:c r="L4570" s="6" t="n">
        <x:f>J4570*K4570</x:f>
        <x:v>0</x:v>
      </x:c>
    </x:row>
    <x:row r="4571">
      <x:c r="A4571" s="1" t="n">
        <x:v>34985</x:v>
      </x:c>
      <x:c r="B4571" s="5" t="d">
        <x:v>2016-05-25T00:00:00.000Z</x:v>
      </x:c>
      <x:c r="C4571" s="1" t="str">
        <x:v>Standard Class</x:v>
      </x:c>
      <x:c r="D4571" s="1" t="str">
        <x:v>USCA</x:v>
      </x:c>
      <x:c r="E4571" s="1" t="str">
        <x:v>COMPLETE</x:v>
      </x:c>
      <x:c r="F4571" s="1" t="str">
        <x:v>Late delivery</x:v>
      </x:c>
      <x:c r="G4571" s="6" t="n">
        <x:v>6</x:v>
      </x:c>
      <x:c r="H4571" s="6" t="n">
        <x:v>4</x:v>
      </x:c>
      <x:c r="I4571" s="6" t="n">
        <x:f>G4571-H4571</x:f>
        <x:v>2</x:v>
      </x:c>
      <x:c r="J4571" s="6" t="n">
        <x:f>IF(OR(E4571="CANCELED",E4571="SUSPECTED_FRAUD",F4571="Shipping canceled"),0,1)</x:f>
        <x:v>1</x:v>
      </x:c>
      <x:c r="K4571" s="6" t="n">
        <x:f>IF(G4571&gt;H4571,1,0)</x:f>
        <x:v>1</x:v>
      </x:c>
      <x:c r="L4571" s="6" t="n">
        <x:f>J4571*K4571</x:f>
        <x:v>1</x:v>
      </x:c>
    </x:row>
    <x:row r="4572">
      <x:c r="A4572" s="1" t="n">
        <x:v>35000</x:v>
      </x:c>
      <x:c r="B4572" s="5" t="d">
        <x:v>2016-05-25T00:00:00.000Z</x:v>
      </x:c>
      <x:c r="C4572" s="1" t="str">
        <x:v>Standard Class</x:v>
      </x:c>
      <x:c r="D4572" s="1" t="str">
        <x:v>USCA</x:v>
      </x:c>
      <x:c r="E4572" s="1" t="str">
        <x:v>PROCESSING</x:v>
      </x:c>
      <x:c r="F4572" s="1" t="str">
        <x:v>Late delivery</x:v>
      </x:c>
      <x:c r="G4572" s="6" t="n">
        <x:v>6</x:v>
      </x:c>
      <x:c r="H4572" s="6" t="n">
        <x:v>4</x:v>
      </x:c>
      <x:c r="I4572" s="6" t="n">
        <x:f>G4572-H4572</x:f>
        <x:v>2</x:v>
      </x:c>
      <x:c r="J4572" s="6" t="n">
        <x:f>IF(OR(E4572="CANCELED",E4572="SUSPECTED_FRAUD",F4572="Shipping canceled"),0,1)</x:f>
        <x:v>1</x:v>
      </x:c>
      <x:c r="K4572" s="6" t="n">
        <x:f>IF(G4572&gt;H4572,1,0)</x:f>
        <x:v>1</x:v>
      </x:c>
      <x:c r="L4572" s="6" t="n">
        <x:f>J4572*K4572</x:f>
        <x:v>1</x:v>
      </x:c>
    </x:row>
    <x:row r="4573">
      <x:c r="A4573" s="1" t="n">
        <x:v>35021</x:v>
      </x:c>
      <x:c r="B4573" s="5" t="d">
        <x:v>2016-05-26T00:00:00.000Z</x:v>
      </x:c>
      <x:c r="C4573" s="1" t="str">
        <x:v>First Class</x:v>
      </x:c>
      <x:c r="D4573" s="1" t="str">
        <x:v>USCA</x:v>
      </x:c>
      <x:c r="E4573" s="1" t="str">
        <x:v>CLOSED</x:v>
      </x:c>
      <x:c r="F4573" s="1" t="str">
        <x:v>Late delivery</x:v>
      </x:c>
      <x:c r="G4573" s="6" t="n">
        <x:v>2</x:v>
      </x:c>
      <x:c r="H4573" s="6" t="n">
        <x:v>1</x:v>
      </x:c>
      <x:c r="I4573" s="6" t="n">
        <x:f>G4573-H4573</x:f>
        <x:v>1</x:v>
      </x:c>
      <x:c r="J4573" s="6" t="n">
        <x:f>IF(OR(E4573="CANCELED",E4573="SUSPECTED_FRAUD",F4573="Shipping canceled"),0,1)</x:f>
        <x:v>1</x:v>
      </x:c>
      <x:c r="K4573" s="6" t="n">
        <x:f>IF(G4573&gt;H4573,1,0)</x:f>
        <x:v>1</x:v>
      </x:c>
      <x:c r="L4573" s="6" t="n">
        <x:f>J4573*K4573</x:f>
        <x:v>1</x:v>
      </x:c>
    </x:row>
    <x:row r="4574">
      <x:c r="A4574" s="1" t="n">
        <x:v>35029</x:v>
      </x:c>
      <x:c r="B4574" s="5" t="d">
        <x:v>2016-05-26T00:00:00.000Z</x:v>
      </x:c>
      <x:c r="C4574" s="1" t="str">
        <x:v>Second Class</x:v>
      </x:c>
      <x:c r="D4574" s="1" t="str">
        <x:v>USCA</x:v>
      </x:c>
      <x:c r="E4574" s="1" t="str">
        <x:v>COMPLETE</x:v>
      </x:c>
      <x:c r="F4574" s="1" t="str">
        <x:v>Late delivery</x:v>
      </x:c>
      <x:c r="G4574" s="6" t="n">
        <x:v>5</x:v>
      </x:c>
      <x:c r="H4574" s="6" t="n">
        <x:v>2</x:v>
      </x:c>
      <x:c r="I4574" s="6" t="n">
        <x:f>G4574-H4574</x:f>
        <x:v>3</x:v>
      </x:c>
      <x:c r="J4574" s="6" t="n">
        <x:f>IF(OR(E4574="CANCELED",E4574="SUSPECTED_FRAUD",F4574="Shipping canceled"),0,1)</x:f>
        <x:v>1</x:v>
      </x:c>
      <x:c r="K4574" s="6" t="n">
        <x:f>IF(G4574&gt;H4574,1,0)</x:f>
        <x:v>1</x:v>
      </x:c>
      <x:c r="L4574" s="6" t="n">
        <x:f>J4574*K4574</x:f>
        <x:v>1</x:v>
      </x:c>
    </x:row>
    <x:row r="4575">
      <x:c r="A4575" s="1" t="n">
        <x:v>35039</x:v>
      </x:c>
      <x:c r="B4575" s="5" t="d">
        <x:v>2016-05-26T00:00:00.000Z</x:v>
      </x:c>
      <x:c r="C4575" s="1" t="str">
        <x:v>Second Class</x:v>
      </x:c>
      <x:c r="D4575" s="1" t="str">
        <x:v>USCA</x:v>
      </x:c>
      <x:c r="E4575" s="1" t="str">
        <x:v>COMPLETE</x:v>
      </x:c>
      <x:c r="F4575" s="1" t="str">
        <x:v>Late delivery</x:v>
      </x:c>
      <x:c r="G4575" s="6" t="n">
        <x:v>5</x:v>
      </x:c>
      <x:c r="H4575" s="6" t="n">
        <x:v>2</x:v>
      </x:c>
      <x:c r="I4575" s="6" t="n">
        <x:f>G4575-H4575</x:f>
        <x:v>3</x:v>
      </x:c>
      <x:c r="J4575" s="6" t="n">
        <x:f>IF(OR(E4575="CANCELED",E4575="SUSPECTED_FRAUD",F4575="Shipping canceled"),0,1)</x:f>
        <x:v>1</x:v>
      </x:c>
      <x:c r="K4575" s="6" t="n">
        <x:f>IF(G4575&gt;H4575,1,0)</x:f>
        <x:v>1</x:v>
      </x:c>
      <x:c r="L4575" s="6" t="n">
        <x:f>J4575*K4575</x:f>
        <x:v>1</x:v>
      </x:c>
    </x:row>
    <x:row r="4576">
      <x:c r="A4576" s="1" t="n">
        <x:v>35045</x:v>
      </x:c>
      <x:c r="B4576" s="5" t="d">
        <x:v>2016-05-26T00:00:00.000Z</x:v>
      </x:c>
      <x:c r="C4576" s="1" t="str">
        <x:v>Standard Class</x:v>
      </x:c>
      <x:c r="D4576" s="1" t="str">
        <x:v>USCA</x:v>
      </x:c>
      <x:c r="E4576" s="1" t="str">
        <x:v>COMPLETE</x:v>
      </x:c>
      <x:c r="F4576" s="1" t="str">
        <x:v>Late delivery</x:v>
      </x:c>
      <x:c r="G4576" s="6" t="n">
        <x:v>6</x:v>
      </x:c>
      <x:c r="H4576" s="6" t="n">
        <x:v>4</x:v>
      </x:c>
      <x:c r="I4576" s="6" t="n">
        <x:f>G4576-H4576</x:f>
        <x:v>2</x:v>
      </x:c>
      <x:c r="J4576" s="6" t="n">
        <x:f>IF(OR(E4576="CANCELED",E4576="SUSPECTED_FRAUD",F4576="Shipping canceled"),0,1)</x:f>
        <x:v>1</x:v>
      </x:c>
      <x:c r="K4576" s="6" t="n">
        <x:f>IF(G4576&gt;H4576,1,0)</x:f>
        <x:v>1</x:v>
      </x:c>
      <x:c r="L4576" s="6" t="n">
        <x:f>J4576*K4576</x:f>
        <x:v>1</x:v>
      </x:c>
    </x:row>
    <x:row r="4577">
      <x:c r="A4577" s="1" t="n">
        <x:v>35053</x:v>
      </x:c>
      <x:c r="B4577" s="5" t="d">
        <x:v>2016-05-26T00:00:00.000Z</x:v>
      </x:c>
      <x:c r="C4577" s="1" t="str">
        <x:v>Standard Class</x:v>
      </x:c>
      <x:c r="D4577" s="1" t="str">
        <x:v>USCA</x:v>
      </x:c>
      <x:c r="E4577" s="1" t="str">
        <x:v>ON_HOLD</x:v>
      </x:c>
      <x:c r="F4577" s="1" t="str">
        <x:v>Shipping on time</x:v>
      </x:c>
      <x:c r="G4577" s="6" t="n">
        <x:v>4</x:v>
      </x:c>
      <x:c r="H4577" s="6" t="n">
        <x:v>4</x:v>
      </x:c>
      <x:c r="I4577" s="6" t="n">
        <x:f>G4577-H4577</x:f>
        <x:v>0</x:v>
      </x:c>
      <x:c r="J4577" s="6" t="n">
        <x:f>IF(OR(E4577="CANCELED",E4577="SUSPECTED_FRAUD",F4577="Shipping canceled"),0,1)</x:f>
        <x:v>1</x:v>
      </x:c>
      <x:c r="K4577" s="6" t="n">
        <x:f>IF(G4577&gt;H4577,1,0)</x:f>
        <x:v>0</x:v>
      </x:c>
      <x:c r="L4577" s="6" t="n">
        <x:f>J4577*K4577</x:f>
        <x:v>0</x:v>
      </x:c>
    </x:row>
    <x:row r="4578">
      <x:c r="A4578" s="1" t="n">
        <x:v>35068</x:v>
      </x:c>
      <x:c r="B4578" s="5" t="d">
        <x:v>2016-05-26T00:00:00.000Z</x:v>
      </x:c>
      <x:c r="C4578" s="1" t="str">
        <x:v>Standard Class</x:v>
      </x:c>
      <x:c r="D4578" s="1" t="str">
        <x:v>USCA</x:v>
      </x:c>
      <x:c r="E4578" s="1" t="str">
        <x:v>PENDING</x:v>
      </x:c>
      <x:c r="F4578" s="1" t="str">
        <x:v>Shipping on time</x:v>
      </x:c>
      <x:c r="G4578" s="6" t="n">
        <x:v>4</x:v>
      </x:c>
      <x:c r="H4578" s="6" t="n">
        <x:v>4</x:v>
      </x:c>
      <x:c r="I4578" s="6" t="n">
        <x:f>G4578-H4578</x:f>
        <x:v>0</x:v>
      </x:c>
      <x:c r="J4578" s="6" t="n">
        <x:f>IF(OR(E4578="CANCELED",E4578="SUSPECTED_FRAUD",F4578="Shipping canceled"),0,1)</x:f>
        <x:v>1</x:v>
      </x:c>
      <x:c r="K4578" s="6" t="n">
        <x:f>IF(G4578&gt;H4578,1,0)</x:f>
        <x:v>0</x:v>
      </x:c>
      <x:c r="L4578" s="6" t="n">
        <x:f>J4578*K4578</x:f>
        <x:v>0</x:v>
      </x:c>
    </x:row>
    <x:row r="4579">
      <x:c r="A4579" s="1" t="n">
        <x:v>35073</x:v>
      </x:c>
      <x:c r="B4579" s="5" t="d">
        <x:v>2016-05-26T00:00:00.000Z</x:v>
      </x:c>
      <x:c r="C4579" s="1" t="str">
        <x:v>Standard Class</x:v>
      </x:c>
      <x:c r="D4579" s="1" t="str">
        <x:v>USCA</x:v>
      </x:c>
      <x:c r="E4579" s="1" t="str">
        <x:v>COMPLETE</x:v>
      </x:c>
      <x:c r="F4579" s="1" t="str">
        <x:v>Shipping on time</x:v>
      </x:c>
      <x:c r="G4579" s="6" t="n">
        <x:v>4</x:v>
      </x:c>
      <x:c r="H4579" s="6" t="n">
        <x:v>4</x:v>
      </x:c>
      <x:c r="I4579" s="6" t="n">
        <x:f>G4579-H4579</x:f>
        <x:v>0</x:v>
      </x:c>
      <x:c r="J4579" s="6" t="n">
        <x:f>IF(OR(E4579="CANCELED",E4579="SUSPECTED_FRAUD",F4579="Shipping canceled"),0,1)</x:f>
        <x:v>1</x:v>
      </x:c>
      <x:c r="K4579" s="6" t="n">
        <x:f>IF(G4579&gt;H4579,1,0)</x:f>
        <x:v>0</x:v>
      </x:c>
      <x:c r="L4579" s="6" t="n">
        <x:f>J4579*K4579</x:f>
        <x:v>0</x:v>
      </x:c>
    </x:row>
    <x:row r="4580">
      <x:c r="A4580" s="1" t="n">
        <x:v>35076</x:v>
      </x:c>
      <x:c r="B4580" s="5" t="d">
        <x:v>2016-05-27T00:00:00.000Z</x:v>
      </x:c>
      <x:c r="C4580" s="1" t="str">
        <x:v>Standard Class</x:v>
      </x:c>
      <x:c r="D4580" s="1" t="str">
        <x:v>USCA</x:v>
      </x:c>
      <x:c r="E4580" s="1" t="str">
        <x:v>CANCELED</x:v>
      </x:c>
      <x:c r="F4580" s="1" t="str">
        <x:v>Shipping canceled</x:v>
      </x:c>
      <x:c r="G4580" s="6" t="n">
        <x:v>2</x:v>
      </x:c>
      <x:c r="H4580" s="6" t="n">
        <x:v>4</x:v>
      </x:c>
      <x:c r="I4580" s="6" t="n">
        <x:f>G4580-H4580</x:f>
        <x:v>-2</x:v>
      </x:c>
      <x:c r="J4580" s="6" t="n">
        <x:f>IF(OR(E4580="CANCELED",E4580="SUSPECTED_FRAUD",F4580="Shipping canceled"),0,1)</x:f>
        <x:v>0</x:v>
      </x:c>
      <x:c r="K4580" s="6" t="n">
        <x:f>IF(G4580&gt;H4580,1,0)</x:f>
        <x:v>0</x:v>
      </x:c>
      <x:c r="L4580" s="6" t="n">
        <x:f>J4580*K4580</x:f>
        <x:v>0</x:v>
      </x:c>
    </x:row>
    <x:row r="4581">
      <x:c r="A4581" s="1" t="n">
        <x:v>35079</x:v>
      </x:c>
      <x:c r="B4581" s="5" t="d">
        <x:v>2016-05-27T00:00:00.000Z</x:v>
      </x:c>
      <x:c r="C4581" s="1" t="str">
        <x:v>Standard Class</x:v>
      </x:c>
      <x:c r="D4581" s="1" t="str">
        <x:v>USCA</x:v>
      </x:c>
      <x:c r="E4581" s="1" t="str">
        <x:v>COMPLETE</x:v>
      </x:c>
      <x:c r="F4581" s="1" t="str">
        <x:v>Late delivery</x:v>
      </x:c>
      <x:c r="G4581" s="6" t="n">
        <x:v>5</x:v>
      </x:c>
      <x:c r="H4581" s="6" t="n">
        <x:v>4</x:v>
      </x:c>
      <x:c r="I4581" s="6" t="n">
        <x:f>G4581-H4581</x:f>
        <x:v>1</x:v>
      </x:c>
      <x:c r="J4581" s="6" t="n">
        <x:f>IF(OR(E4581="CANCELED",E4581="SUSPECTED_FRAUD",F4581="Shipping canceled"),0,1)</x:f>
        <x:v>1</x:v>
      </x:c>
      <x:c r="K4581" s="6" t="n">
        <x:f>IF(G4581&gt;H4581,1,0)</x:f>
        <x:v>1</x:v>
      </x:c>
      <x:c r="L4581" s="6" t="n">
        <x:f>J4581*K4581</x:f>
        <x:v>1</x:v>
      </x:c>
    </x:row>
    <x:row r="4582">
      <x:c r="A4582" s="1" t="n">
        <x:v>35083</x:v>
      </x:c>
      <x:c r="B4582" s="5" t="d">
        <x:v>2016-05-27T00:00:00.000Z</x:v>
      </x:c>
      <x:c r="C4582" s="1" t="str">
        <x:v>Standard Class</x:v>
      </x:c>
      <x:c r="D4582" s="1" t="str">
        <x:v>USCA</x:v>
      </x:c>
      <x:c r="E4582" s="1" t="str">
        <x:v>SUSPECTED_FRAUD</x:v>
      </x:c>
      <x:c r="F4582" s="1" t="str">
        <x:v>Shipping canceled</x:v>
      </x:c>
      <x:c r="G4582" s="6" t="n">
        <x:v>4</x:v>
      </x:c>
      <x:c r="H4582" s="6" t="n">
        <x:v>4</x:v>
      </x:c>
      <x:c r="I4582" s="6" t="n">
        <x:f>G4582-H4582</x:f>
        <x:v>0</x:v>
      </x:c>
      <x:c r="J4582" s="6" t="n">
        <x:f>IF(OR(E4582="CANCELED",E4582="SUSPECTED_FRAUD",F4582="Shipping canceled"),0,1)</x:f>
        <x:v>0</x:v>
      </x:c>
      <x:c r="K4582" s="6" t="n">
        <x:f>IF(G4582&gt;H4582,1,0)</x:f>
        <x:v>0</x:v>
      </x:c>
      <x:c r="L4582" s="6" t="n">
        <x:f>J4582*K4582</x:f>
        <x:v>0</x:v>
      </x:c>
    </x:row>
    <x:row r="4583">
      <x:c r="A4583" s="1" t="n">
        <x:v>35091</x:v>
      </x:c>
      <x:c r="B4583" s="5" t="d">
        <x:v>2016-05-27T00:00:00.000Z</x:v>
      </x:c>
      <x:c r="C4583" s="1" t="str">
        <x:v>Standard Class</x:v>
      </x:c>
      <x:c r="D4583" s="1" t="str">
        <x:v>USCA</x:v>
      </x:c>
      <x:c r="E4583" s="1" t="str">
        <x:v>COMPLETE</x:v>
      </x:c>
      <x:c r="F4583" s="1" t="str">
        <x:v>Advance shipping</x:v>
      </x:c>
      <x:c r="G4583" s="6" t="n">
        <x:v>2</x:v>
      </x:c>
      <x:c r="H4583" s="6" t="n">
        <x:v>4</x:v>
      </x:c>
      <x:c r="I4583" s="6" t="n">
        <x:f>G4583-H4583</x:f>
        <x:v>-2</x:v>
      </x:c>
      <x:c r="J4583" s="6" t="n">
        <x:f>IF(OR(E4583="CANCELED",E4583="SUSPECTED_FRAUD",F4583="Shipping canceled"),0,1)</x:f>
        <x:v>1</x:v>
      </x:c>
      <x:c r="K4583" s="6" t="n">
        <x:f>IF(G4583&gt;H4583,1,0)</x:f>
        <x:v>0</x:v>
      </x:c>
      <x:c r="L4583" s="6" t="n">
        <x:f>J4583*K4583</x:f>
        <x:v>0</x:v>
      </x:c>
    </x:row>
    <x:row r="4584">
      <x:c r="A4584" s="1" t="n">
        <x:v>35094</x:v>
      </x:c>
      <x:c r="B4584" s="5" t="d">
        <x:v>2016-05-27T00:00:00.000Z</x:v>
      </x:c>
      <x:c r="C4584" s="1" t="str">
        <x:v>Standard Class</x:v>
      </x:c>
      <x:c r="D4584" s="1" t="str">
        <x:v>USCA</x:v>
      </x:c>
      <x:c r="E4584" s="1" t="str">
        <x:v>COMPLETE</x:v>
      </x:c>
      <x:c r="F4584" s="1" t="str">
        <x:v>Late delivery</x:v>
      </x:c>
      <x:c r="G4584" s="6" t="n">
        <x:v>5</x:v>
      </x:c>
      <x:c r="H4584" s="6" t="n">
        <x:v>4</x:v>
      </x:c>
      <x:c r="I4584" s="6" t="n">
        <x:f>G4584-H4584</x:f>
        <x:v>1</x:v>
      </x:c>
      <x:c r="J4584" s="6" t="n">
        <x:f>IF(OR(E4584="CANCELED",E4584="SUSPECTED_FRAUD",F4584="Shipping canceled"),0,1)</x:f>
        <x:v>1</x:v>
      </x:c>
      <x:c r="K4584" s="6" t="n">
        <x:f>IF(G4584&gt;H4584,1,0)</x:f>
        <x:v>1</x:v>
      </x:c>
      <x:c r="L4584" s="6" t="n">
        <x:f>J4584*K4584</x:f>
        <x:v>1</x:v>
      </x:c>
    </x:row>
    <x:row r="4585">
      <x:c r="A4585" s="1" t="n">
        <x:v>35100</x:v>
      </x:c>
      <x:c r="B4585" s="5" t="d">
        <x:v>2016-05-27T00:00:00.000Z</x:v>
      </x:c>
      <x:c r="C4585" s="1" t="str">
        <x:v>Standard Class</x:v>
      </x:c>
      <x:c r="D4585" s="1" t="str">
        <x:v>USCA</x:v>
      </x:c>
      <x:c r="E4585" s="1" t="str">
        <x:v>COMPLETE</x:v>
      </x:c>
      <x:c r="F4585" s="1" t="str">
        <x:v>Late delivery</x:v>
      </x:c>
      <x:c r="G4585" s="6" t="n">
        <x:v>6</x:v>
      </x:c>
      <x:c r="H4585" s="6" t="n">
        <x:v>4</x:v>
      </x:c>
      <x:c r="I4585" s="6" t="n">
        <x:f>G4585-H4585</x:f>
        <x:v>2</x:v>
      </x:c>
      <x:c r="J4585" s="6" t="n">
        <x:f>IF(OR(E4585="CANCELED",E4585="SUSPECTED_FRAUD",F4585="Shipping canceled"),0,1)</x:f>
        <x:v>1</x:v>
      </x:c>
      <x:c r="K4585" s="6" t="n">
        <x:f>IF(G4585&gt;H4585,1,0)</x:f>
        <x:v>1</x:v>
      </x:c>
      <x:c r="L4585" s="6" t="n">
        <x:f>J4585*K4585</x:f>
        <x:v>1</x:v>
      </x:c>
    </x:row>
    <x:row r="4586">
      <x:c r="A4586" s="1" t="n">
        <x:v>35120</x:v>
      </x:c>
      <x:c r="B4586" s="5" t="d">
        <x:v>2016-05-27T00:00:00.000Z</x:v>
      </x:c>
      <x:c r="C4586" s="1" t="str">
        <x:v>Standard Class</x:v>
      </x:c>
      <x:c r="D4586" s="1" t="str">
        <x:v>USCA</x:v>
      </x:c>
      <x:c r="E4586" s="1" t="str">
        <x:v>PROCESSING</x:v>
      </x:c>
      <x:c r="F4586" s="1" t="str">
        <x:v>Late delivery</x:v>
      </x:c>
      <x:c r="G4586" s="6" t="n">
        <x:v>6</x:v>
      </x:c>
      <x:c r="H4586" s="6" t="n">
        <x:v>4</x:v>
      </x:c>
      <x:c r="I4586" s="6" t="n">
        <x:f>G4586-H4586</x:f>
        <x:v>2</x:v>
      </x:c>
      <x:c r="J4586" s="6" t="n">
        <x:f>IF(OR(E4586="CANCELED",E4586="SUSPECTED_FRAUD",F4586="Shipping canceled"),0,1)</x:f>
        <x:v>1</x:v>
      </x:c>
      <x:c r="K4586" s="6" t="n">
        <x:f>IF(G4586&gt;H4586,1,0)</x:f>
        <x:v>1</x:v>
      </x:c>
      <x:c r="L4586" s="6" t="n">
        <x:f>J4586*K4586</x:f>
        <x:v>1</x:v>
      </x:c>
    </x:row>
    <x:row r="4587">
      <x:c r="A4587" s="1" t="n">
        <x:v>35129</x:v>
      </x:c>
      <x:c r="B4587" s="5" t="d">
        <x:v>2016-05-27T00:00:00.000Z</x:v>
      </x:c>
      <x:c r="C4587" s="1" t="str">
        <x:v>Standard Class</x:v>
      </x:c>
      <x:c r="D4587" s="1" t="str">
        <x:v>USCA</x:v>
      </x:c>
      <x:c r="E4587" s="1" t="str">
        <x:v>COMPLETE</x:v>
      </x:c>
      <x:c r="F4587" s="1" t="str">
        <x:v>Late delivery</x:v>
      </x:c>
      <x:c r="G4587" s="6" t="n">
        <x:v>5</x:v>
      </x:c>
      <x:c r="H4587" s="6" t="n">
        <x:v>4</x:v>
      </x:c>
      <x:c r="I4587" s="6" t="n">
        <x:f>G4587-H4587</x:f>
        <x:v>1</x:v>
      </x:c>
      <x:c r="J4587" s="6" t="n">
        <x:f>IF(OR(E4587="CANCELED",E4587="SUSPECTED_FRAUD",F4587="Shipping canceled"),0,1)</x:f>
        <x:v>1</x:v>
      </x:c>
      <x:c r="K4587" s="6" t="n">
        <x:f>IF(G4587&gt;H4587,1,0)</x:f>
        <x:v>1</x:v>
      </x:c>
      <x:c r="L4587" s="6" t="n">
        <x:f>J4587*K4587</x:f>
        <x:v>1</x:v>
      </x:c>
    </x:row>
    <x:row r="4588">
      <x:c r="A4588" s="1" t="n">
        <x:v>35134</x:v>
      </x:c>
      <x:c r="B4588" s="5" t="d">
        <x:v>2016-05-27T00:00:00.000Z</x:v>
      </x:c>
      <x:c r="C4588" s="1" t="str">
        <x:v>Standard Class</x:v>
      </x:c>
      <x:c r="D4588" s="1" t="str">
        <x:v>USCA</x:v>
      </x:c>
      <x:c r="E4588" s="1" t="str">
        <x:v>COMPLETE</x:v>
      </x:c>
      <x:c r="F4588" s="1" t="str">
        <x:v>Late delivery</x:v>
      </x:c>
      <x:c r="G4588" s="6" t="n">
        <x:v>5</x:v>
      </x:c>
      <x:c r="H4588" s="6" t="n">
        <x:v>4</x:v>
      </x:c>
      <x:c r="I4588" s="6" t="n">
        <x:f>G4588-H4588</x:f>
        <x:v>1</x:v>
      </x:c>
      <x:c r="J4588" s="6" t="n">
        <x:f>IF(OR(E4588="CANCELED",E4588="SUSPECTED_FRAUD",F4588="Shipping canceled"),0,1)</x:f>
        <x:v>1</x:v>
      </x:c>
      <x:c r="K4588" s="6" t="n">
        <x:f>IF(G4588&gt;H4588,1,0)</x:f>
        <x:v>1</x:v>
      </x:c>
      <x:c r="L4588" s="6" t="n">
        <x:f>J4588*K4588</x:f>
        <x:v>1</x:v>
      </x:c>
    </x:row>
    <x:row r="4589">
      <x:c r="A4589" s="1" t="n">
        <x:v>35141</x:v>
      </x:c>
      <x:c r="B4589" s="5" t="d">
        <x:v>2016-05-27T00:00:00.000Z</x:v>
      </x:c>
      <x:c r="C4589" s="1" t="str">
        <x:v>Standard Class</x:v>
      </x:c>
      <x:c r="D4589" s="1" t="str">
        <x:v>USCA</x:v>
      </x:c>
      <x:c r="E4589" s="1" t="str">
        <x:v>PENDING_PAYMENT</x:v>
      </x:c>
      <x:c r="F4589" s="1" t="str">
        <x:v>Advance shipping</x:v>
      </x:c>
      <x:c r="G4589" s="6" t="n">
        <x:v>2</x:v>
      </x:c>
      <x:c r="H4589" s="6" t="n">
        <x:v>4</x:v>
      </x:c>
      <x:c r="I4589" s="6" t="n">
        <x:f>G4589-H4589</x:f>
        <x:v>-2</x:v>
      </x:c>
      <x:c r="J4589" s="6" t="n">
        <x:f>IF(OR(E4589="CANCELED",E4589="SUSPECTED_FRAUD",F4589="Shipping canceled"),0,1)</x:f>
        <x:v>1</x:v>
      </x:c>
      <x:c r="K4589" s="6" t="n">
        <x:f>IF(G4589&gt;H4589,1,0)</x:f>
        <x:v>0</x:v>
      </x:c>
      <x:c r="L4589" s="6" t="n">
        <x:f>J4589*K4589</x:f>
        <x:v>0</x:v>
      </x:c>
    </x:row>
    <x:row r="4590">
      <x:c r="A4590" s="1" t="n">
        <x:v>35160</x:v>
      </x:c>
      <x:c r="B4590" s="5" t="d">
        <x:v>2016-05-28T00:00:00.000Z</x:v>
      </x:c>
      <x:c r="C4590" s="1" t="str">
        <x:v>Same Day</x:v>
      </x:c>
      <x:c r="D4590" s="1" t="str">
        <x:v>USCA</x:v>
      </x:c>
      <x:c r="E4590" s="1" t="str">
        <x:v>PENDING</x:v>
      </x:c>
      <x:c r="F4590" s="1" t="str">
        <x:v>Shipping on time</x:v>
      </x:c>
      <x:c r="G4590" s="6" t="n">
        <x:v>0</x:v>
      </x:c>
      <x:c r="H4590" s="6" t="n">
        <x:v>0</x:v>
      </x:c>
      <x:c r="I4590" s="6" t="n">
        <x:f>G4590-H4590</x:f>
        <x:v>0</x:v>
      </x:c>
      <x:c r="J4590" s="6" t="n">
        <x:f>IF(OR(E4590="CANCELED",E4590="SUSPECTED_FRAUD",F4590="Shipping canceled"),0,1)</x:f>
        <x:v>1</x:v>
      </x:c>
      <x:c r="K4590" s="6" t="n">
        <x:f>IF(G4590&gt;H4590,1,0)</x:f>
        <x:v>0</x:v>
      </x:c>
      <x:c r="L4590" s="6" t="n">
        <x:f>J4590*K4590</x:f>
        <x:v>0</x:v>
      </x:c>
    </x:row>
    <x:row r="4591">
      <x:c r="A4591" s="1" t="n">
        <x:v>35165</x:v>
      </x:c>
      <x:c r="B4591" s="5" t="d">
        <x:v>2016-05-28T00:00:00.000Z</x:v>
      </x:c>
      <x:c r="C4591" s="1" t="str">
        <x:v>Second Class</x:v>
      </x:c>
      <x:c r="D4591" s="1" t="str">
        <x:v>USCA</x:v>
      </x:c>
      <x:c r="E4591" s="1" t="str">
        <x:v>ON_HOLD</x:v>
      </x:c>
      <x:c r="F4591" s="1" t="str">
        <x:v>Late delivery</x:v>
      </x:c>
      <x:c r="G4591" s="6" t="n">
        <x:v>6</x:v>
      </x:c>
      <x:c r="H4591" s="6" t="n">
        <x:v>2</x:v>
      </x:c>
      <x:c r="I4591" s="6" t="n">
        <x:f>G4591-H4591</x:f>
        <x:v>4</x:v>
      </x:c>
      <x:c r="J4591" s="6" t="n">
        <x:f>IF(OR(E4591="CANCELED",E4591="SUSPECTED_FRAUD",F4591="Shipping canceled"),0,1)</x:f>
        <x:v>1</x:v>
      </x:c>
      <x:c r="K4591" s="6" t="n">
        <x:f>IF(G4591&gt;H4591,1,0)</x:f>
        <x:v>1</x:v>
      </x:c>
      <x:c r="L4591" s="6" t="n">
        <x:f>J4591*K4591</x:f>
        <x:v>1</x:v>
      </x:c>
    </x:row>
    <x:row r="4592">
      <x:c r="A4592" s="1" t="n">
        <x:v>35177</x:v>
      </x:c>
      <x:c r="B4592" s="5" t="d">
        <x:v>2016-05-28T00:00:00.000Z</x:v>
      </x:c>
      <x:c r="C4592" s="1" t="str">
        <x:v>First Class</x:v>
      </x:c>
      <x:c r="D4592" s="1" t="str">
        <x:v>USCA</x:v>
      </x:c>
      <x:c r="E4592" s="1" t="str">
        <x:v>CLOSED</x:v>
      </x:c>
      <x:c r="F4592" s="1" t="str">
        <x:v>Late delivery</x:v>
      </x:c>
      <x:c r="G4592" s="6" t="n">
        <x:v>2</x:v>
      </x:c>
      <x:c r="H4592" s="6" t="n">
        <x:v>1</x:v>
      </x:c>
      <x:c r="I4592" s="6" t="n">
        <x:f>G4592-H4592</x:f>
        <x:v>1</x:v>
      </x:c>
      <x:c r="J4592" s="6" t="n">
        <x:f>IF(OR(E4592="CANCELED",E4592="SUSPECTED_FRAUD",F4592="Shipping canceled"),0,1)</x:f>
        <x:v>1</x:v>
      </x:c>
      <x:c r="K4592" s="6" t="n">
        <x:f>IF(G4592&gt;H4592,1,0)</x:f>
        <x:v>1</x:v>
      </x:c>
      <x:c r="L4592" s="6" t="n">
        <x:f>J4592*K4592</x:f>
        <x:v>1</x:v>
      </x:c>
    </x:row>
    <x:row r="4593">
      <x:c r="A4593" s="1" t="n">
        <x:v>35193</x:v>
      </x:c>
      <x:c r="B4593" s="5" t="d">
        <x:v>2016-05-28T00:00:00.000Z</x:v>
      </x:c>
      <x:c r="C4593" s="1" t="str">
        <x:v>Standard Class</x:v>
      </x:c>
      <x:c r="D4593" s="1" t="str">
        <x:v>USCA</x:v>
      </x:c>
      <x:c r="E4593" s="1" t="str">
        <x:v>PENDING_PAYMENT</x:v>
      </x:c>
      <x:c r="F4593" s="1" t="str">
        <x:v>Shipping on time</x:v>
      </x:c>
      <x:c r="G4593" s="6" t="n">
        <x:v>4</x:v>
      </x:c>
      <x:c r="H4593" s="6" t="n">
        <x:v>4</x:v>
      </x:c>
      <x:c r="I4593" s="6" t="n">
        <x:f>G4593-H4593</x:f>
        <x:v>0</x:v>
      </x:c>
      <x:c r="J4593" s="6" t="n">
        <x:f>IF(OR(E4593="CANCELED",E4593="SUSPECTED_FRAUD",F4593="Shipping canceled"),0,1)</x:f>
        <x:v>1</x:v>
      </x:c>
      <x:c r="K4593" s="6" t="n">
        <x:f>IF(G4593&gt;H4593,1,0)</x:f>
        <x:v>0</x:v>
      </x:c>
      <x:c r="L4593" s="6" t="n">
        <x:f>J4593*K4593</x:f>
        <x:v>0</x:v>
      </x:c>
    </x:row>
    <x:row r="4594">
      <x:c r="A4594" s="1" t="n">
        <x:v>35199</x:v>
      </x:c>
      <x:c r="B4594" s="5" t="d">
        <x:v>2016-05-28T00:00:00.000Z</x:v>
      </x:c>
      <x:c r="C4594" s="1" t="str">
        <x:v>Standard Class</x:v>
      </x:c>
      <x:c r="D4594" s="1" t="str">
        <x:v>USCA</x:v>
      </x:c>
      <x:c r="E4594" s="1" t="str">
        <x:v>PENDING</x:v>
      </x:c>
      <x:c r="F4594" s="1" t="str">
        <x:v>Late delivery</x:v>
      </x:c>
      <x:c r="G4594" s="6" t="n">
        <x:v>5</x:v>
      </x:c>
      <x:c r="H4594" s="6" t="n">
        <x:v>4</x:v>
      </x:c>
      <x:c r="I4594" s="6" t="n">
        <x:f>G4594-H4594</x:f>
        <x:v>1</x:v>
      </x:c>
      <x:c r="J4594" s="6" t="n">
        <x:f>IF(OR(E4594="CANCELED",E4594="SUSPECTED_FRAUD",F4594="Shipping canceled"),0,1)</x:f>
        <x:v>1</x:v>
      </x:c>
      <x:c r="K4594" s="6" t="n">
        <x:f>IF(G4594&gt;H4594,1,0)</x:f>
        <x:v>1</x:v>
      </x:c>
      <x:c r="L4594" s="6" t="n">
        <x:f>J4594*K4594</x:f>
        <x:v>1</x:v>
      </x:c>
    </x:row>
    <x:row r="4595">
      <x:c r="A4595" s="1" t="n">
        <x:v>35210</x:v>
      </x:c>
      <x:c r="B4595" s="5" t="d">
        <x:v>2016-05-28T00:00:00.000Z</x:v>
      </x:c>
      <x:c r="C4595" s="1" t="str">
        <x:v>Standard Class</x:v>
      </x:c>
      <x:c r="D4595" s="1" t="str">
        <x:v>USCA</x:v>
      </x:c>
      <x:c r="E4595" s="1" t="str">
        <x:v>ON_HOLD</x:v>
      </x:c>
      <x:c r="F4595" s="1" t="str">
        <x:v>Late delivery</x:v>
      </x:c>
      <x:c r="G4595" s="6" t="n">
        <x:v>6</x:v>
      </x:c>
      <x:c r="H4595" s="6" t="n">
        <x:v>4</x:v>
      </x:c>
      <x:c r="I4595" s="6" t="n">
        <x:f>G4595-H4595</x:f>
        <x:v>2</x:v>
      </x:c>
      <x:c r="J4595" s="6" t="n">
        <x:f>IF(OR(E4595="CANCELED",E4595="SUSPECTED_FRAUD",F4595="Shipping canceled"),0,1)</x:f>
        <x:v>1</x:v>
      </x:c>
      <x:c r="K4595" s="6" t="n">
        <x:f>IF(G4595&gt;H4595,1,0)</x:f>
        <x:v>1</x:v>
      </x:c>
      <x:c r="L4595" s="6" t="n">
        <x:f>J4595*K4595</x:f>
        <x:v>1</x:v>
      </x:c>
    </x:row>
    <x:row r="4596">
      <x:c r="A4596" s="1" t="n">
        <x:v>35218</x:v>
      </x:c>
      <x:c r="B4596" s="5" t="d">
        <x:v>2016-05-29T00:00:00.000Z</x:v>
      </x:c>
      <x:c r="C4596" s="1" t="str">
        <x:v>Standard Class</x:v>
      </x:c>
      <x:c r="D4596" s="1" t="str">
        <x:v>USCA</x:v>
      </x:c>
      <x:c r="E4596" s="1" t="str">
        <x:v>COMPLETE</x:v>
      </x:c>
      <x:c r="F4596" s="1" t="str">
        <x:v>Shipping on time</x:v>
      </x:c>
      <x:c r="G4596" s="6" t="n">
        <x:v>4</x:v>
      </x:c>
      <x:c r="H4596" s="6" t="n">
        <x:v>4</x:v>
      </x:c>
      <x:c r="I4596" s="6" t="n">
        <x:f>G4596-H4596</x:f>
        <x:v>0</x:v>
      </x:c>
      <x:c r="J4596" s="6" t="n">
        <x:f>IF(OR(E4596="CANCELED",E4596="SUSPECTED_FRAUD",F4596="Shipping canceled"),0,1)</x:f>
        <x:v>1</x:v>
      </x:c>
      <x:c r="K4596" s="6" t="n">
        <x:f>IF(G4596&gt;H4596,1,0)</x:f>
        <x:v>0</x:v>
      </x:c>
      <x:c r="L4596" s="6" t="n">
        <x:f>J4596*K4596</x:f>
        <x:v>0</x:v>
      </x:c>
    </x:row>
    <x:row r="4597">
      <x:c r="A4597" s="1" t="n">
        <x:v>35219</x:v>
      </x:c>
      <x:c r="B4597" s="5" t="d">
        <x:v>2016-05-29T00:00:00.000Z</x:v>
      </x:c>
      <x:c r="C4597" s="1" t="str">
        <x:v>Standard Class</x:v>
      </x:c>
      <x:c r="D4597" s="1" t="str">
        <x:v>USCA</x:v>
      </x:c>
      <x:c r="E4597" s="1" t="str">
        <x:v>COMPLETE</x:v>
      </x:c>
      <x:c r="F4597" s="1" t="str">
        <x:v>Late delivery</x:v>
      </x:c>
      <x:c r="G4597" s="6" t="n">
        <x:v>5</x:v>
      </x:c>
      <x:c r="H4597" s="6" t="n">
        <x:v>4</x:v>
      </x:c>
      <x:c r="I4597" s="6" t="n">
        <x:f>G4597-H4597</x:f>
        <x:v>1</x:v>
      </x:c>
      <x:c r="J4597" s="6" t="n">
        <x:f>IF(OR(E4597="CANCELED",E4597="SUSPECTED_FRAUD",F4597="Shipping canceled"),0,1)</x:f>
        <x:v>1</x:v>
      </x:c>
      <x:c r="K4597" s="6" t="n">
        <x:f>IF(G4597&gt;H4597,1,0)</x:f>
        <x:v>1</x:v>
      </x:c>
      <x:c r="L4597" s="6" t="n">
        <x:f>J4597*K4597</x:f>
        <x:v>1</x:v>
      </x:c>
    </x:row>
    <x:row r="4598">
      <x:c r="A4598" s="1" t="n">
        <x:v>35223</x:v>
      </x:c>
      <x:c r="B4598" s="5" t="d">
        <x:v>2016-05-29T00:00:00.000Z</x:v>
      </x:c>
      <x:c r="C4598" s="1" t="str">
        <x:v>Standard Class</x:v>
      </x:c>
      <x:c r="D4598" s="1" t="str">
        <x:v>USCA</x:v>
      </x:c>
      <x:c r="E4598" s="1" t="str">
        <x:v>COMPLETE</x:v>
      </x:c>
      <x:c r="F4598" s="1" t="str">
        <x:v>Shipping on time</x:v>
      </x:c>
      <x:c r="G4598" s="6" t="n">
        <x:v>4</x:v>
      </x:c>
      <x:c r="H4598" s="6" t="n">
        <x:v>4</x:v>
      </x:c>
      <x:c r="I4598" s="6" t="n">
        <x:f>G4598-H4598</x:f>
        <x:v>0</x:v>
      </x:c>
      <x:c r="J4598" s="6" t="n">
        <x:f>IF(OR(E4598="CANCELED",E4598="SUSPECTED_FRAUD",F4598="Shipping canceled"),0,1)</x:f>
        <x:v>1</x:v>
      </x:c>
      <x:c r="K4598" s="6" t="n">
        <x:f>IF(G4598&gt;H4598,1,0)</x:f>
        <x:v>0</x:v>
      </x:c>
      <x:c r="L4598" s="6" t="n">
        <x:f>J4598*K4598</x:f>
        <x:v>0</x:v>
      </x:c>
    </x:row>
    <x:row r="4599">
      <x:c r="A4599" s="1" t="n">
        <x:v>35237</x:v>
      </x:c>
      <x:c r="B4599" s="5" t="d">
        <x:v>2016-05-29T00:00:00.000Z</x:v>
      </x:c>
      <x:c r="C4599" s="1" t="str">
        <x:v>Second Class</x:v>
      </x:c>
      <x:c r="D4599" s="1" t="str">
        <x:v>USCA</x:v>
      </x:c>
      <x:c r="E4599" s="1" t="str">
        <x:v>COMPLETE</x:v>
      </x:c>
      <x:c r="F4599" s="1" t="str">
        <x:v>Late delivery</x:v>
      </x:c>
      <x:c r="G4599" s="6" t="n">
        <x:v>3</x:v>
      </x:c>
      <x:c r="H4599" s="6" t="n">
        <x:v>2</x:v>
      </x:c>
      <x:c r="I4599" s="6" t="n">
        <x:f>G4599-H4599</x:f>
        <x:v>1</x:v>
      </x:c>
      <x:c r="J4599" s="6" t="n">
        <x:f>IF(OR(E4599="CANCELED",E4599="SUSPECTED_FRAUD",F4599="Shipping canceled"),0,1)</x:f>
        <x:v>1</x:v>
      </x:c>
      <x:c r="K4599" s="6" t="n">
        <x:f>IF(G4599&gt;H4599,1,0)</x:f>
        <x:v>1</x:v>
      </x:c>
      <x:c r="L4599" s="6" t="n">
        <x:f>J4599*K4599</x:f>
        <x:v>1</x:v>
      </x:c>
    </x:row>
    <x:row r="4600">
      <x:c r="A4600" s="1" t="n">
        <x:v>35262</x:v>
      </x:c>
      <x:c r="B4600" s="5" t="d">
        <x:v>2016-05-29T00:00:00.000Z</x:v>
      </x:c>
      <x:c r="C4600" s="1" t="str">
        <x:v>First Class</x:v>
      </x:c>
      <x:c r="D4600" s="1" t="str">
        <x:v>USCA</x:v>
      </x:c>
      <x:c r="E4600" s="1" t="str">
        <x:v>CLOSED</x:v>
      </x:c>
      <x:c r="F4600" s="1" t="str">
        <x:v>Late delivery</x:v>
      </x:c>
      <x:c r="G4600" s="6" t="n">
        <x:v>2</x:v>
      </x:c>
      <x:c r="H4600" s="6" t="n">
        <x:v>1</x:v>
      </x:c>
      <x:c r="I4600" s="6" t="n">
        <x:f>G4600-H4600</x:f>
        <x:v>1</x:v>
      </x:c>
      <x:c r="J4600" s="6" t="n">
        <x:f>IF(OR(E4600="CANCELED",E4600="SUSPECTED_FRAUD",F4600="Shipping canceled"),0,1)</x:f>
        <x:v>1</x:v>
      </x:c>
      <x:c r="K4600" s="6" t="n">
        <x:f>IF(G4600&gt;H4600,1,0)</x:f>
        <x:v>1</x:v>
      </x:c>
      <x:c r="L4600" s="6" t="n">
        <x:f>J4600*K4600</x:f>
        <x:v>1</x:v>
      </x:c>
    </x:row>
    <x:row r="4601">
      <x:c r="A4601" s="1" t="n">
        <x:v>35266</x:v>
      </x:c>
      <x:c r="B4601" s="5" t="d">
        <x:v>2016-05-29T00:00:00.000Z</x:v>
      </x:c>
      <x:c r="C4601" s="1" t="str">
        <x:v>Standard Class</x:v>
      </x:c>
      <x:c r="D4601" s="1" t="str">
        <x:v>USCA</x:v>
      </x:c>
      <x:c r="E4601" s="1" t="str">
        <x:v>PROCESSING</x:v>
      </x:c>
      <x:c r="F4601" s="1" t="str">
        <x:v>Advance shipping</x:v>
      </x:c>
      <x:c r="G4601" s="6" t="n">
        <x:v>2</x:v>
      </x:c>
      <x:c r="H4601" s="6" t="n">
        <x:v>4</x:v>
      </x:c>
      <x:c r="I4601" s="6" t="n">
        <x:f>G4601-H4601</x:f>
        <x:v>-2</x:v>
      </x:c>
      <x:c r="J4601" s="6" t="n">
        <x:f>IF(OR(E4601="CANCELED",E4601="SUSPECTED_FRAUD",F4601="Shipping canceled"),0,1)</x:f>
        <x:v>1</x:v>
      </x:c>
      <x:c r="K4601" s="6" t="n">
        <x:f>IF(G4601&gt;H4601,1,0)</x:f>
        <x:v>0</x:v>
      </x:c>
      <x:c r="L4601" s="6" t="n">
        <x:f>J4601*K4601</x:f>
        <x:v>0</x:v>
      </x:c>
    </x:row>
    <x:row r="4602">
      <x:c r="A4602" s="1" t="n">
        <x:v>35268</x:v>
      </x:c>
      <x:c r="B4602" s="5" t="d">
        <x:v>2016-05-29T00:00:00.000Z</x:v>
      </x:c>
      <x:c r="C4602" s="1" t="str">
        <x:v>Standard Class</x:v>
      </x:c>
      <x:c r="D4602" s="1" t="str">
        <x:v>USCA</x:v>
      </x:c>
      <x:c r="E4602" s="1" t="str">
        <x:v>PAYMENT_REVIEW</x:v>
      </x:c>
      <x:c r="F4602" s="1" t="str">
        <x:v>Shipping on time</x:v>
      </x:c>
      <x:c r="G4602" s="6" t="n">
        <x:v>4</x:v>
      </x:c>
      <x:c r="H4602" s="6" t="n">
        <x:v>4</x:v>
      </x:c>
      <x:c r="I4602" s="6" t="n">
        <x:f>G4602-H4602</x:f>
        <x:v>0</x:v>
      </x:c>
      <x:c r="J4602" s="6" t="n">
        <x:f>IF(OR(E4602="CANCELED",E4602="SUSPECTED_FRAUD",F4602="Shipping canceled"),0,1)</x:f>
        <x:v>1</x:v>
      </x:c>
      <x:c r="K4602" s="6" t="n">
        <x:f>IF(G4602&gt;H4602,1,0)</x:f>
        <x:v>0</x:v>
      </x:c>
      <x:c r="L4602" s="6" t="n">
        <x:f>J4602*K4602</x:f>
        <x:v>0</x:v>
      </x:c>
    </x:row>
    <x:row r="4603">
      <x:c r="A4603" s="1" t="n">
        <x:v>35269</x:v>
      </x:c>
      <x:c r="B4603" s="5" t="d">
        <x:v>2016-05-29T00:00:00.000Z</x:v>
      </x:c>
      <x:c r="C4603" s="1" t="str">
        <x:v>Standard Class</x:v>
      </x:c>
      <x:c r="D4603" s="1" t="str">
        <x:v>USCA</x:v>
      </x:c>
      <x:c r="E4603" s="1" t="str">
        <x:v>COMPLETE</x:v>
      </x:c>
      <x:c r="F4603" s="1" t="str">
        <x:v>Late delivery</x:v>
      </x:c>
      <x:c r="G4603" s="6" t="n">
        <x:v>5</x:v>
      </x:c>
      <x:c r="H4603" s="6" t="n">
        <x:v>4</x:v>
      </x:c>
      <x:c r="I4603" s="6" t="n">
        <x:f>G4603-H4603</x:f>
        <x:v>1</x:v>
      </x:c>
      <x:c r="J4603" s="6" t="n">
        <x:f>IF(OR(E4603="CANCELED",E4603="SUSPECTED_FRAUD",F4603="Shipping canceled"),0,1)</x:f>
        <x:v>1</x:v>
      </x:c>
      <x:c r="K4603" s="6" t="n">
        <x:f>IF(G4603&gt;H4603,1,0)</x:f>
        <x:v>1</x:v>
      </x:c>
      <x:c r="L4603" s="6" t="n">
        <x:f>J4603*K4603</x:f>
        <x:v>1</x:v>
      </x:c>
    </x:row>
    <x:row r="4604">
      <x:c r="A4604" s="1" t="n">
        <x:v>35281</x:v>
      </x:c>
      <x:c r="B4604" s="5" t="d">
        <x:v>2016-05-30T00:00:00.000Z</x:v>
      </x:c>
      <x:c r="C4604" s="1" t="str">
        <x:v>Second Class</x:v>
      </x:c>
      <x:c r="D4604" s="1" t="str">
        <x:v>USCA</x:v>
      </x:c>
      <x:c r="E4604" s="1" t="str">
        <x:v>CLOSED</x:v>
      </x:c>
      <x:c r="F4604" s="1" t="str">
        <x:v>Shipping on time</x:v>
      </x:c>
      <x:c r="G4604" s="6" t="n">
        <x:v>2</x:v>
      </x:c>
      <x:c r="H4604" s="6" t="n">
        <x:v>2</x:v>
      </x:c>
      <x:c r="I4604" s="6" t="n">
        <x:f>G4604-H4604</x:f>
        <x:v>0</x:v>
      </x:c>
      <x:c r="J4604" s="6" t="n">
        <x:f>IF(OR(E4604="CANCELED",E4604="SUSPECTED_FRAUD",F4604="Shipping canceled"),0,1)</x:f>
        <x:v>1</x:v>
      </x:c>
      <x:c r="K4604" s="6" t="n">
        <x:f>IF(G4604&gt;H4604,1,0)</x:f>
        <x:v>0</x:v>
      </x:c>
      <x:c r="L4604" s="6" t="n">
        <x:f>J4604*K4604</x:f>
        <x:v>0</x:v>
      </x:c>
    </x:row>
    <x:row r="4605">
      <x:c r="A4605" s="1" t="n">
        <x:v>35296</x:v>
      </x:c>
      <x:c r="B4605" s="5" t="d">
        <x:v>2016-05-30T00:00:00.000Z</x:v>
      </x:c>
      <x:c r="C4605" s="1" t="str">
        <x:v>Standard Class</x:v>
      </x:c>
      <x:c r="D4605" s="1" t="str">
        <x:v>USCA</x:v>
      </x:c>
      <x:c r="E4605" s="1" t="str">
        <x:v>PROCESSING</x:v>
      </x:c>
      <x:c r="F4605" s="1" t="str">
        <x:v>Advance shipping</x:v>
      </x:c>
      <x:c r="G4605" s="6" t="n">
        <x:v>2</x:v>
      </x:c>
      <x:c r="H4605" s="6" t="n">
        <x:v>4</x:v>
      </x:c>
      <x:c r="I4605" s="6" t="n">
        <x:f>G4605-H4605</x:f>
        <x:v>-2</x:v>
      </x:c>
      <x:c r="J4605" s="6" t="n">
        <x:f>IF(OR(E4605="CANCELED",E4605="SUSPECTED_FRAUD",F4605="Shipping canceled"),0,1)</x:f>
        <x:v>1</x:v>
      </x:c>
      <x:c r="K4605" s="6" t="n">
        <x:f>IF(G4605&gt;H4605,1,0)</x:f>
        <x:v>0</x:v>
      </x:c>
      <x:c r="L4605" s="6" t="n">
        <x:f>J4605*K4605</x:f>
        <x:v>0</x:v>
      </x:c>
    </x:row>
    <x:row r="4606">
      <x:c r="A4606" s="1" t="n">
        <x:v>35299</x:v>
      </x:c>
      <x:c r="B4606" s="5" t="d">
        <x:v>2016-05-30T00:00:00.000Z</x:v>
      </x:c>
      <x:c r="C4606" s="1" t="str">
        <x:v>Standard Class</x:v>
      </x:c>
      <x:c r="D4606" s="1" t="str">
        <x:v>USCA</x:v>
      </x:c>
      <x:c r="E4606" s="1" t="str">
        <x:v>PENDING</x:v>
      </x:c>
      <x:c r="F4606" s="1" t="str">
        <x:v>Late delivery</x:v>
      </x:c>
      <x:c r="G4606" s="6" t="n">
        <x:v>5</x:v>
      </x:c>
      <x:c r="H4606" s="6" t="n">
        <x:v>4</x:v>
      </x:c>
      <x:c r="I4606" s="6" t="n">
        <x:f>G4606-H4606</x:f>
        <x:v>1</x:v>
      </x:c>
      <x:c r="J4606" s="6" t="n">
        <x:f>IF(OR(E4606="CANCELED",E4606="SUSPECTED_FRAUD",F4606="Shipping canceled"),0,1)</x:f>
        <x:v>1</x:v>
      </x:c>
      <x:c r="K4606" s="6" t="n">
        <x:f>IF(G4606&gt;H4606,1,0)</x:f>
        <x:v>1</x:v>
      </x:c>
      <x:c r="L4606" s="6" t="n">
        <x:f>J4606*K4606</x:f>
        <x:v>1</x:v>
      </x:c>
    </x:row>
    <x:row r="4607">
      <x:c r="A4607" s="1" t="n">
        <x:v>35306</x:v>
      </x:c>
      <x:c r="B4607" s="5" t="d">
        <x:v>2016-05-30T00:00:00.000Z</x:v>
      </x:c>
      <x:c r="C4607" s="1" t="str">
        <x:v>Standard Class</x:v>
      </x:c>
      <x:c r="D4607" s="1" t="str">
        <x:v>USCA</x:v>
      </x:c>
      <x:c r="E4607" s="1" t="str">
        <x:v>COMPLETE</x:v>
      </x:c>
      <x:c r="F4607" s="1" t="str">
        <x:v>Advance shipping</x:v>
      </x:c>
      <x:c r="G4607" s="6" t="n">
        <x:v>2</x:v>
      </x:c>
      <x:c r="H4607" s="6" t="n">
        <x:v>4</x:v>
      </x:c>
      <x:c r="I4607" s="6" t="n">
        <x:f>G4607-H4607</x:f>
        <x:v>-2</x:v>
      </x:c>
      <x:c r="J4607" s="6" t="n">
        <x:f>IF(OR(E4607="CANCELED",E4607="SUSPECTED_FRAUD",F4607="Shipping canceled"),0,1)</x:f>
        <x:v>1</x:v>
      </x:c>
      <x:c r="K4607" s="6" t="n">
        <x:f>IF(G4607&gt;H4607,1,0)</x:f>
        <x:v>0</x:v>
      </x:c>
      <x:c r="L4607" s="6" t="n">
        <x:f>J4607*K4607</x:f>
        <x:v>0</x:v>
      </x:c>
    </x:row>
    <x:row r="4608">
      <x:c r="A4608" s="1" t="n">
        <x:v>35325</x:v>
      </x:c>
      <x:c r="B4608" s="5" t="d">
        <x:v>2016-05-30T00:00:00.000Z</x:v>
      </x:c>
      <x:c r="C4608" s="1" t="str">
        <x:v>First Class</x:v>
      </x:c>
      <x:c r="D4608" s="1" t="str">
        <x:v>USCA</x:v>
      </x:c>
      <x:c r="E4608" s="1" t="str">
        <x:v>PENDING</x:v>
      </x:c>
      <x:c r="F4608" s="1" t="str">
        <x:v>Late delivery</x:v>
      </x:c>
      <x:c r="G4608" s="6" t="n">
        <x:v>2</x:v>
      </x:c>
      <x:c r="H4608" s="6" t="n">
        <x:v>1</x:v>
      </x:c>
      <x:c r="I4608" s="6" t="n">
        <x:f>G4608-H4608</x:f>
        <x:v>1</x:v>
      </x:c>
      <x:c r="J4608" s="6" t="n">
        <x:f>IF(OR(E4608="CANCELED",E4608="SUSPECTED_FRAUD",F4608="Shipping canceled"),0,1)</x:f>
        <x:v>1</x:v>
      </x:c>
      <x:c r="K4608" s="6" t="n">
        <x:f>IF(G4608&gt;H4608,1,0)</x:f>
        <x:v>1</x:v>
      </x:c>
      <x:c r="L4608" s="6" t="n">
        <x:f>J4608*K4608</x:f>
        <x:v>1</x:v>
      </x:c>
    </x:row>
    <x:row r="4609">
      <x:c r="A4609" s="1" t="n">
        <x:v>35328</x:v>
      </x:c>
      <x:c r="B4609" s="5" t="d">
        <x:v>2016-05-30T00:00:00.000Z</x:v>
      </x:c>
      <x:c r="C4609" s="1" t="str">
        <x:v>Standard Class</x:v>
      </x:c>
      <x:c r="D4609" s="1" t="str">
        <x:v>USCA</x:v>
      </x:c>
      <x:c r="E4609" s="1" t="str">
        <x:v>PENDING_PAYMENT</x:v>
      </x:c>
      <x:c r="F4609" s="1" t="str">
        <x:v>Shipping on time</x:v>
      </x:c>
      <x:c r="G4609" s="6" t="n">
        <x:v>4</x:v>
      </x:c>
      <x:c r="H4609" s="6" t="n">
        <x:v>4</x:v>
      </x:c>
      <x:c r="I4609" s="6" t="n">
        <x:f>G4609-H4609</x:f>
        <x:v>0</x:v>
      </x:c>
      <x:c r="J4609" s="6" t="n">
        <x:f>IF(OR(E4609="CANCELED",E4609="SUSPECTED_FRAUD",F4609="Shipping canceled"),0,1)</x:f>
        <x:v>1</x:v>
      </x:c>
      <x:c r="K4609" s="6" t="n">
        <x:f>IF(G4609&gt;H4609,1,0)</x:f>
        <x:v>0</x:v>
      </x:c>
      <x:c r="L4609" s="6" t="n">
        <x:f>J4609*K4609</x:f>
        <x:v>0</x:v>
      </x:c>
    </x:row>
    <x:row r="4610">
      <x:c r="A4610" s="1" t="n">
        <x:v>35330</x:v>
      </x:c>
      <x:c r="B4610" s="5" t="d">
        <x:v>2016-05-30T00:00:00.000Z</x:v>
      </x:c>
      <x:c r="C4610" s="1" t="str">
        <x:v>Standard Class</x:v>
      </x:c>
      <x:c r="D4610" s="1" t="str">
        <x:v>USCA</x:v>
      </x:c>
      <x:c r="E4610" s="1" t="str">
        <x:v>COMPLETE</x:v>
      </x:c>
      <x:c r="F4610" s="1" t="str">
        <x:v>Late delivery</x:v>
      </x:c>
      <x:c r="G4610" s="6" t="n">
        <x:v>6</x:v>
      </x:c>
      <x:c r="H4610" s="6" t="n">
        <x:v>4</x:v>
      </x:c>
      <x:c r="I4610" s="6" t="n">
        <x:f>G4610-H4610</x:f>
        <x:v>2</x:v>
      </x:c>
      <x:c r="J4610" s="6" t="n">
        <x:f>IF(OR(E4610="CANCELED",E4610="SUSPECTED_FRAUD",F4610="Shipping canceled"),0,1)</x:f>
        <x:v>1</x:v>
      </x:c>
      <x:c r="K4610" s="6" t="n">
        <x:f>IF(G4610&gt;H4610,1,0)</x:f>
        <x:v>1</x:v>
      </x:c>
      <x:c r="L4610" s="6" t="n">
        <x:f>J4610*K4610</x:f>
        <x:v>1</x:v>
      </x:c>
    </x:row>
    <x:row r="4611">
      <x:c r="A4611" s="1" t="n">
        <x:v>35343</x:v>
      </x:c>
      <x:c r="B4611" s="5" t="d">
        <x:v>2016-05-30T00:00:00.000Z</x:v>
      </x:c>
      <x:c r="C4611" s="1" t="str">
        <x:v>First Class</x:v>
      </x:c>
      <x:c r="D4611" s="1" t="str">
        <x:v>USCA</x:v>
      </x:c>
      <x:c r="E4611" s="1" t="str">
        <x:v>CLOSED</x:v>
      </x:c>
      <x:c r="F4611" s="1" t="str">
        <x:v>Late delivery</x:v>
      </x:c>
      <x:c r="G4611" s="6" t="n">
        <x:v>2</x:v>
      </x:c>
      <x:c r="H4611" s="6" t="n">
        <x:v>1</x:v>
      </x:c>
      <x:c r="I4611" s="6" t="n">
        <x:f>G4611-H4611</x:f>
        <x:v>1</x:v>
      </x:c>
      <x:c r="J4611" s="6" t="n">
        <x:f>IF(OR(E4611="CANCELED",E4611="SUSPECTED_FRAUD",F4611="Shipping canceled"),0,1)</x:f>
        <x:v>1</x:v>
      </x:c>
      <x:c r="K4611" s="6" t="n">
        <x:f>IF(G4611&gt;H4611,1,0)</x:f>
        <x:v>1</x:v>
      </x:c>
      <x:c r="L4611" s="6" t="n">
        <x:f>J4611*K4611</x:f>
        <x:v>1</x:v>
      </x:c>
    </x:row>
    <x:row r="4612">
      <x:c r="A4612" s="1" t="n">
        <x:v>35362</x:v>
      </x:c>
      <x:c r="B4612" s="5" t="d">
        <x:v>2016-05-31T00:00:00.000Z</x:v>
      </x:c>
      <x:c r="C4612" s="1" t="str">
        <x:v>First Class</x:v>
      </x:c>
      <x:c r="D4612" s="1" t="str">
        <x:v>USCA</x:v>
      </x:c>
      <x:c r="E4612" s="1" t="str">
        <x:v>CLOSED</x:v>
      </x:c>
      <x:c r="F4612" s="1" t="str">
        <x:v>Late delivery</x:v>
      </x:c>
      <x:c r="G4612" s="6" t="n">
        <x:v>2</x:v>
      </x:c>
      <x:c r="H4612" s="6" t="n">
        <x:v>1</x:v>
      </x:c>
      <x:c r="I4612" s="6" t="n">
        <x:f>G4612-H4612</x:f>
        <x:v>1</x:v>
      </x:c>
      <x:c r="J4612" s="6" t="n">
        <x:f>IF(OR(E4612="CANCELED",E4612="SUSPECTED_FRAUD",F4612="Shipping canceled"),0,1)</x:f>
        <x:v>1</x:v>
      </x:c>
      <x:c r="K4612" s="6" t="n">
        <x:f>IF(G4612&gt;H4612,1,0)</x:f>
        <x:v>1</x:v>
      </x:c>
      <x:c r="L4612" s="6" t="n">
        <x:f>J4612*K4612</x:f>
        <x:v>1</x:v>
      </x:c>
    </x:row>
    <x:row r="4613">
      <x:c r="A4613" s="1" t="n">
        <x:v>35370</x:v>
      </x:c>
      <x:c r="B4613" s="5" t="d">
        <x:v>2016-05-31T00:00:00.000Z</x:v>
      </x:c>
      <x:c r="C4613" s="1" t="str">
        <x:v>Standard Class</x:v>
      </x:c>
      <x:c r="D4613" s="1" t="str">
        <x:v>USCA</x:v>
      </x:c>
      <x:c r="E4613" s="1" t="str">
        <x:v>PENDING_PAYMENT</x:v>
      </x:c>
      <x:c r="F4613" s="1" t="str">
        <x:v>Late delivery</x:v>
      </x:c>
      <x:c r="G4613" s="6" t="n">
        <x:v>6</x:v>
      </x:c>
      <x:c r="H4613" s="6" t="n">
        <x:v>4</x:v>
      </x:c>
      <x:c r="I4613" s="6" t="n">
        <x:f>G4613-H4613</x:f>
        <x:v>2</x:v>
      </x:c>
      <x:c r="J4613" s="6" t="n">
        <x:f>IF(OR(E4613="CANCELED",E4613="SUSPECTED_FRAUD",F4613="Shipping canceled"),0,1)</x:f>
        <x:v>1</x:v>
      </x:c>
      <x:c r="K4613" s="6" t="n">
        <x:f>IF(G4613&gt;H4613,1,0)</x:f>
        <x:v>1</x:v>
      </x:c>
      <x:c r="L4613" s="6" t="n">
        <x:f>J4613*K4613</x:f>
        <x:v>1</x:v>
      </x:c>
    </x:row>
    <x:row r="4614">
      <x:c r="A4614" s="1" t="n">
        <x:v>35371</x:v>
      </x:c>
      <x:c r="B4614" s="5" t="d">
        <x:v>2016-05-31T00:00:00.000Z</x:v>
      </x:c>
      <x:c r="C4614" s="1" t="str">
        <x:v>Second Class</x:v>
      </x:c>
      <x:c r="D4614" s="1" t="str">
        <x:v>USCA</x:v>
      </x:c>
      <x:c r="E4614" s="1" t="str">
        <x:v>COMPLETE</x:v>
      </x:c>
      <x:c r="F4614" s="1" t="str">
        <x:v>Shipping on time</x:v>
      </x:c>
      <x:c r="G4614" s="6" t="n">
        <x:v>2</x:v>
      </x:c>
      <x:c r="H4614" s="6" t="n">
        <x:v>2</x:v>
      </x:c>
      <x:c r="I4614" s="6" t="n">
        <x:f>G4614-H4614</x:f>
        <x:v>0</x:v>
      </x:c>
      <x:c r="J4614" s="6" t="n">
        <x:f>IF(OR(E4614="CANCELED",E4614="SUSPECTED_FRAUD",F4614="Shipping canceled"),0,1)</x:f>
        <x:v>1</x:v>
      </x:c>
      <x:c r="K4614" s="6" t="n">
        <x:f>IF(G4614&gt;H4614,1,0)</x:f>
        <x:v>0</x:v>
      </x:c>
      <x:c r="L4614" s="6" t="n">
        <x:f>J4614*K4614</x:f>
        <x:v>0</x:v>
      </x:c>
    </x:row>
    <x:row r="4615">
      <x:c r="A4615" s="1" t="n">
        <x:v>35387</x:v>
      </x:c>
      <x:c r="B4615" s="5" t="d">
        <x:v>2016-05-31T00:00:00.000Z</x:v>
      </x:c>
      <x:c r="C4615" s="1" t="str">
        <x:v>Standard Class</x:v>
      </x:c>
      <x:c r="D4615" s="1" t="str">
        <x:v>USCA</x:v>
      </x:c>
      <x:c r="E4615" s="1" t="str">
        <x:v>PROCESSING</x:v>
      </x:c>
      <x:c r="F4615" s="1" t="str">
        <x:v>Advance shipping</x:v>
      </x:c>
      <x:c r="G4615" s="6" t="n">
        <x:v>3</x:v>
      </x:c>
      <x:c r="H4615" s="6" t="n">
        <x:v>4</x:v>
      </x:c>
      <x:c r="I4615" s="6" t="n">
        <x:f>G4615-H4615</x:f>
        <x:v>-1</x:v>
      </x:c>
      <x:c r="J4615" s="6" t="n">
        <x:f>IF(OR(E4615="CANCELED",E4615="SUSPECTED_FRAUD",F4615="Shipping canceled"),0,1)</x:f>
        <x:v>1</x:v>
      </x:c>
      <x:c r="K4615" s="6" t="n">
        <x:f>IF(G4615&gt;H4615,1,0)</x:f>
        <x:v>0</x:v>
      </x:c>
      <x:c r="L4615" s="6" t="n">
        <x:f>J4615*K4615</x:f>
        <x:v>0</x:v>
      </x:c>
    </x:row>
    <x:row r="4616">
      <x:c r="A4616" s="1" t="n">
        <x:v>35389</x:v>
      </x:c>
      <x:c r="B4616" s="5" t="d">
        <x:v>2016-05-31T00:00:00.000Z</x:v>
      </x:c>
      <x:c r="C4616" s="1" t="str">
        <x:v>Standard Class</x:v>
      </x:c>
      <x:c r="D4616" s="1" t="str">
        <x:v>USCA</x:v>
      </x:c>
      <x:c r="E4616" s="1" t="str">
        <x:v>PENDING</x:v>
      </x:c>
      <x:c r="F4616" s="1" t="str">
        <x:v>Late delivery</x:v>
      </x:c>
      <x:c r="G4616" s="6" t="n">
        <x:v>5</x:v>
      </x:c>
      <x:c r="H4616" s="6" t="n">
        <x:v>4</x:v>
      </x:c>
      <x:c r="I4616" s="6" t="n">
        <x:f>G4616-H4616</x:f>
        <x:v>1</x:v>
      </x:c>
      <x:c r="J4616" s="6" t="n">
        <x:f>IF(OR(E4616="CANCELED",E4616="SUSPECTED_FRAUD",F4616="Shipping canceled"),0,1)</x:f>
        <x:v>1</x:v>
      </x:c>
      <x:c r="K4616" s="6" t="n">
        <x:f>IF(G4616&gt;H4616,1,0)</x:f>
        <x:v>1</x:v>
      </x:c>
      <x:c r="L4616" s="6" t="n">
        <x:f>J4616*K4616</x:f>
        <x:v>1</x:v>
      </x:c>
    </x:row>
    <x:row r="4617">
      <x:c r="A4617" s="1" t="n">
        <x:v>35393</x:v>
      </x:c>
      <x:c r="B4617" s="5" t="d">
        <x:v>2016-05-31T00:00:00.000Z</x:v>
      </x:c>
      <x:c r="C4617" s="1" t="str">
        <x:v>Standard Class</x:v>
      </x:c>
      <x:c r="D4617" s="1" t="str">
        <x:v>USCA</x:v>
      </x:c>
      <x:c r="E4617" s="1" t="str">
        <x:v>PROCESSING</x:v>
      </x:c>
      <x:c r="F4617" s="1" t="str">
        <x:v>Shipping on time</x:v>
      </x:c>
      <x:c r="G4617" s="6" t="n">
        <x:v>4</x:v>
      </x:c>
      <x:c r="H4617" s="6" t="n">
        <x:v>4</x:v>
      </x:c>
      <x:c r="I4617" s="6" t="n">
        <x:f>G4617-H4617</x:f>
        <x:v>0</x:v>
      </x:c>
      <x:c r="J4617" s="6" t="n">
        <x:f>IF(OR(E4617="CANCELED",E4617="SUSPECTED_FRAUD",F4617="Shipping canceled"),0,1)</x:f>
        <x:v>1</x:v>
      </x:c>
      <x:c r="K4617" s="6" t="n">
        <x:f>IF(G4617&gt;H4617,1,0)</x:f>
        <x:v>0</x:v>
      </x:c>
      <x:c r="L4617" s="6" t="n">
        <x:f>J4617*K4617</x:f>
        <x:v>0</x:v>
      </x:c>
    </x:row>
    <x:row r="4618">
      <x:c r="A4618" s="1" t="n">
        <x:v>35397</x:v>
      </x:c>
      <x:c r="B4618" s="5" t="d">
        <x:v>2016-05-31T00:00:00.000Z</x:v>
      </x:c>
      <x:c r="C4618" s="1" t="str">
        <x:v>Second Class</x:v>
      </x:c>
      <x:c r="D4618" s="1" t="str">
        <x:v>USCA</x:v>
      </x:c>
      <x:c r="E4618" s="1" t="str">
        <x:v>COMPLETE</x:v>
      </x:c>
      <x:c r="F4618" s="1" t="str">
        <x:v>Late delivery</x:v>
      </x:c>
      <x:c r="G4618" s="6" t="n">
        <x:v>3</x:v>
      </x:c>
      <x:c r="H4618" s="6" t="n">
        <x:v>2</x:v>
      </x:c>
      <x:c r="I4618" s="6" t="n">
        <x:f>G4618-H4618</x:f>
        <x:v>1</x:v>
      </x:c>
      <x:c r="J4618" s="6" t="n">
        <x:f>IF(OR(E4618="CANCELED",E4618="SUSPECTED_FRAUD",F4618="Shipping canceled"),0,1)</x:f>
        <x:v>1</x:v>
      </x:c>
      <x:c r="K4618" s="6" t="n">
        <x:f>IF(G4618&gt;H4618,1,0)</x:f>
        <x:v>1</x:v>
      </x:c>
      <x:c r="L4618" s="6" t="n">
        <x:f>J4618*K4618</x:f>
        <x:v>1</x:v>
      </x:c>
    </x:row>
    <x:row r="4619">
      <x:c r="A4619" s="1" t="n">
        <x:v>35398</x:v>
      </x:c>
      <x:c r="B4619" s="5" t="d">
        <x:v>2016-05-31T00:00:00.000Z</x:v>
      </x:c>
      <x:c r="C4619" s="1" t="str">
        <x:v>Second Class</x:v>
      </x:c>
      <x:c r="D4619" s="1" t="str">
        <x:v>USCA</x:v>
      </x:c>
      <x:c r="E4619" s="1" t="str">
        <x:v>COMPLETE</x:v>
      </x:c>
      <x:c r="F4619" s="1" t="str">
        <x:v>Late delivery</x:v>
      </x:c>
      <x:c r="G4619" s="6" t="n">
        <x:v>4</x:v>
      </x:c>
      <x:c r="H4619" s="6" t="n">
        <x:v>2</x:v>
      </x:c>
      <x:c r="I4619" s="6" t="n">
        <x:f>G4619-H4619</x:f>
        <x:v>2</x:v>
      </x:c>
      <x:c r="J4619" s="6" t="n">
        <x:f>IF(OR(E4619="CANCELED",E4619="SUSPECTED_FRAUD",F4619="Shipping canceled"),0,1)</x:f>
        <x:v>1</x:v>
      </x:c>
      <x:c r="K4619" s="6" t="n">
        <x:f>IF(G4619&gt;H4619,1,0)</x:f>
        <x:v>1</x:v>
      </x:c>
      <x:c r="L4619" s="6" t="n">
        <x:f>J4619*K4619</x:f>
        <x:v>1</x:v>
      </x:c>
    </x:row>
    <x:row r="4620">
      <x:c r="A4620" s="1" t="n">
        <x:v>35400</x:v>
      </x:c>
      <x:c r="B4620" s="5" t="d">
        <x:v>2016-05-31T00:00:00.000Z</x:v>
      </x:c>
      <x:c r="C4620" s="1" t="str">
        <x:v>First Class</x:v>
      </x:c>
      <x:c r="D4620" s="1" t="str">
        <x:v>USCA</x:v>
      </x:c>
      <x:c r="E4620" s="1" t="str">
        <x:v>CLOSED</x:v>
      </x:c>
      <x:c r="F4620" s="1" t="str">
        <x:v>Late delivery</x:v>
      </x:c>
      <x:c r="G4620" s="6" t="n">
        <x:v>2</x:v>
      </x:c>
      <x:c r="H4620" s="6" t="n">
        <x:v>1</x:v>
      </x:c>
      <x:c r="I4620" s="6" t="n">
        <x:f>G4620-H4620</x:f>
        <x:v>1</x:v>
      </x:c>
      <x:c r="J4620" s="6" t="n">
        <x:f>IF(OR(E4620="CANCELED",E4620="SUSPECTED_FRAUD",F4620="Shipping canceled"),0,1)</x:f>
        <x:v>1</x:v>
      </x:c>
      <x:c r="K4620" s="6" t="n">
        <x:f>IF(G4620&gt;H4620,1,0)</x:f>
        <x:v>1</x:v>
      </x:c>
      <x:c r="L4620" s="6" t="n">
        <x:f>J4620*K4620</x:f>
        <x:v>1</x:v>
      </x:c>
    </x:row>
    <x:row r="4621">
      <x:c r="A4621" s="1" t="n">
        <x:v>35405</x:v>
      </x:c>
      <x:c r="B4621" s="5" t="d">
        <x:v>2016-05-31T00:00:00.000Z</x:v>
      </x:c>
      <x:c r="C4621" s="1" t="str">
        <x:v>Standard Class</x:v>
      </x:c>
      <x:c r="D4621" s="1" t="str">
        <x:v>USCA</x:v>
      </x:c>
      <x:c r="E4621" s="1" t="str">
        <x:v>COMPLETE</x:v>
      </x:c>
      <x:c r="F4621" s="1" t="str">
        <x:v>Late delivery</x:v>
      </x:c>
      <x:c r="G4621" s="6" t="n">
        <x:v>6</x:v>
      </x:c>
      <x:c r="H4621" s="6" t="n">
        <x:v>4</x:v>
      </x:c>
      <x:c r="I4621" s="6" t="n">
        <x:f>G4621-H4621</x:f>
        <x:v>2</x:v>
      </x:c>
      <x:c r="J4621" s="6" t="n">
        <x:f>IF(OR(E4621="CANCELED",E4621="SUSPECTED_FRAUD",F4621="Shipping canceled"),0,1)</x:f>
        <x:v>1</x:v>
      </x:c>
      <x:c r="K4621" s="6" t="n">
        <x:f>IF(G4621&gt;H4621,1,0)</x:f>
        <x:v>1</x:v>
      </x:c>
      <x:c r="L4621" s="6" t="n">
        <x:f>J4621*K4621</x:f>
        <x:v>1</x:v>
      </x:c>
    </x:row>
    <x:row r="4622">
      <x:c r="A4622" s="1" t="n">
        <x:v>35406</x:v>
      </x:c>
      <x:c r="B4622" s="5" t="d">
        <x:v>2016-05-31T00:00:00.000Z</x:v>
      </x:c>
      <x:c r="C4622" s="1" t="str">
        <x:v>Standard Class</x:v>
      </x:c>
      <x:c r="D4622" s="1" t="str">
        <x:v>USCA</x:v>
      </x:c>
      <x:c r="E4622" s="1" t="str">
        <x:v>COMPLETE</x:v>
      </x:c>
      <x:c r="F4622" s="1" t="str">
        <x:v>Advance shipping</x:v>
      </x:c>
      <x:c r="G4622" s="6" t="n">
        <x:v>2</x:v>
      </x:c>
      <x:c r="H4622" s="6" t="n">
        <x:v>4</x:v>
      </x:c>
      <x:c r="I4622" s="6" t="n">
        <x:f>G4622-H4622</x:f>
        <x:v>-2</x:v>
      </x:c>
      <x:c r="J4622" s="6" t="n">
        <x:f>IF(OR(E4622="CANCELED",E4622="SUSPECTED_FRAUD",F4622="Shipping canceled"),0,1)</x:f>
        <x:v>1</x:v>
      </x:c>
      <x:c r="K4622" s="6" t="n">
        <x:f>IF(G4622&gt;H4622,1,0)</x:f>
        <x:v>0</x:v>
      </x:c>
      <x:c r="L4622" s="6" t="n">
        <x:f>J4622*K4622</x:f>
        <x:v>0</x:v>
      </x:c>
    </x:row>
    <x:row r="4623">
      <x:c r="A4623" s="1" t="n">
        <x:v>35411</x:v>
      </x:c>
      <x:c r="B4623" s="5" t="d">
        <x:v>2016-05-31T00:00:00.000Z</x:v>
      </x:c>
      <x:c r="C4623" s="1" t="str">
        <x:v>Standard Class</x:v>
      </x:c>
      <x:c r="D4623" s="1" t="str">
        <x:v>USCA</x:v>
      </x:c>
      <x:c r="E4623" s="1" t="str">
        <x:v>COMPLETE</x:v>
      </x:c>
      <x:c r="F4623" s="1" t="str">
        <x:v>Advance shipping</x:v>
      </x:c>
      <x:c r="G4623" s="6" t="n">
        <x:v>2</x:v>
      </x:c>
      <x:c r="H4623" s="6" t="n">
        <x:v>4</x:v>
      </x:c>
      <x:c r="I4623" s="6" t="n">
        <x:f>G4623-H4623</x:f>
        <x:v>-2</x:v>
      </x:c>
      <x:c r="J4623" s="6" t="n">
        <x:f>IF(OR(E4623="CANCELED",E4623="SUSPECTED_FRAUD",F4623="Shipping canceled"),0,1)</x:f>
        <x:v>1</x:v>
      </x:c>
      <x:c r="K4623" s="6" t="n">
        <x:f>IF(G4623&gt;H4623,1,0)</x:f>
        <x:v>0</x:v>
      </x:c>
      <x:c r="L4623" s="6" t="n">
        <x:f>J4623*K4623</x:f>
        <x:v>0</x:v>
      </x:c>
    </x:row>
    <x:row r="4624">
      <x:c r="A4624" s="1" t="n">
        <x:v>35415</x:v>
      </x:c>
      <x:c r="B4624" s="5" t="d">
        <x:v>2016-05-31T00:00:00.000Z</x:v>
      </x:c>
      <x:c r="C4624" s="1" t="str">
        <x:v>Standard Class</x:v>
      </x:c>
      <x:c r="D4624" s="1" t="str">
        <x:v>USCA</x:v>
      </x:c>
      <x:c r="E4624" s="1" t="str">
        <x:v>COMPLETE</x:v>
      </x:c>
      <x:c r="F4624" s="1" t="str">
        <x:v>Late delivery</x:v>
      </x:c>
      <x:c r="G4624" s="6" t="n">
        <x:v>6</x:v>
      </x:c>
      <x:c r="H4624" s="6" t="n">
        <x:v>4</x:v>
      </x:c>
      <x:c r="I4624" s="6" t="n">
        <x:f>G4624-H4624</x:f>
        <x:v>2</x:v>
      </x:c>
      <x:c r="J4624" s="6" t="n">
        <x:f>IF(OR(E4624="CANCELED",E4624="SUSPECTED_FRAUD",F4624="Shipping canceled"),0,1)</x:f>
        <x:v>1</x:v>
      </x:c>
      <x:c r="K4624" s="6" t="n">
        <x:f>IF(G4624&gt;H4624,1,0)</x:f>
        <x:v>1</x:v>
      </x:c>
      <x:c r="L4624" s="6" t="n">
        <x:f>J4624*K4624</x:f>
        <x:v>1</x:v>
      </x:c>
    </x:row>
    <x:row r="4625">
      <x:c r="A4625" s="1" t="n">
        <x:v>35424</x:v>
      </x:c>
      <x:c r="B4625" s="5" t="d">
        <x:v>2016-06-01T00:00:00.000Z</x:v>
      </x:c>
      <x:c r="C4625" s="1" t="str">
        <x:v>Standard Class</x:v>
      </x:c>
      <x:c r="D4625" s="1" t="str">
        <x:v>USCA</x:v>
      </x:c>
      <x:c r="E4625" s="1" t="str">
        <x:v>COMPLETE</x:v>
      </x:c>
      <x:c r="F4625" s="1" t="str">
        <x:v>Late delivery</x:v>
      </x:c>
      <x:c r="G4625" s="6" t="n">
        <x:v>5</x:v>
      </x:c>
      <x:c r="H4625" s="6" t="n">
        <x:v>4</x:v>
      </x:c>
      <x:c r="I4625" s="6" t="n">
        <x:f>G4625-H4625</x:f>
        <x:v>1</x:v>
      </x:c>
      <x:c r="J4625" s="6" t="n">
        <x:f>IF(OR(E4625="CANCELED",E4625="SUSPECTED_FRAUD",F4625="Shipping canceled"),0,1)</x:f>
        <x:v>1</x:v>
      </x:c>
      <x:c r="K4625" s="6" t="n">
        <x:f>IF(G4625&gt;H4625,1,0)</x:f>
        <x:v>1</x:v>
      </x:c>
      <x:c r="L4625" s="6" t="n">
        <x:f>J4625*K4625</x:f>
        <x:v>1</x:v>
      </x:c>
    </x:row>
    <x:row r="4626">
      <x:c r="A4626" s="1" t="n">
        <x:v>35429</x:v>
      </x:c>
      <x:c r="B4626" s="5" t="d">
        <x:v>2016-06-01T00:00:00.000Z</x:v>
      </x:c>
      <x:c r="C4626" s="1" t="str">
        <x:v>Standard Class</x:v>
      </x:c>
      <x:c r="D4626" s="1" t="str">
        <x:v>USCA</x:v>
      </x:c>
      <x:c r="E4626" s="1" t="str">
        <x:v>PENDING_PAYMENT</x:v>
      </x:c>
      <x:c r="F4626" s="1" t="str">
        <x:v>Late delivery</x:v>
      </x:c>
      <x:c r="G4626" s="6" t="n">
        <x:v>5</x:v>
      </x:c>
      <x:c r="H4626" s="6" t="n">
        <x:v>4</x:v>
      </x:c>
      <x:c r="I4626" s="6" t="n">
        <x:f>G4626-H4626</x:f>
        <x:v>1</x:v>
      </x:c>
      <x:c r="J4626" s="6" t="n">
        <x:f>IF(OR(E4626="CANCELED",E4626="SUSPECTED_FRAUD",F4626="Shipping canceled"),0,1)</x:f>
        <x:v>1</x:v>
      </x:c>
      <x:c r="K4626" s="6" t="n">
        <x:f>IF(G4626&gt;H4626,1,0)</x:f>
        <x:v>1</x:v>
      </x:c>
      <x:c r="L4626" s="6" t="n">
        <x:f>J4626*K4626</x:f>
        <x:v>1</x:v>
      </x:c>
    </x:row>
    <x:row r="4627">
      <x:c r="A4627" s="1" t="n">
        <x:v>35452</x:v>
      </x:c>
      <x:c r="B4627" s="5" t="d">
        <x:v>2016-06-01T00:00:00.000Z</x:v>
      </x:c>
      <x:c r="C4627" s="1" t="str">
        <x:v>Second Class</x:v>
      </x:c>
      <x:c r="D4627" s="1" t="str">
        <x:v>USCA</x:v>
      </x:c>
      <x:c r="E4627" s="1" t="str">
        <x:v>CLOSED</x:v>
      </x:c>
      <x:c r="F4627" s="1" t="str">
        <x:v>Late delivery</x:v>
      </x:c>
      <x:c r="G4627" s="6" t="n">
        <x:v>3</x:v>
      </x:c>
      <x:c r="H4627" s="6" t="n">
        <x:v>2</x:v>
      </x:c>
      <x:c r="I4627" s="6" t="n">
        <x:f>G4627-H4627</x:f>
        <x:v>1</x:v>
      </x:c>
      <x:c r="J4627" s="6" t="n">
        <x:f>IF(OR(E4627="CANCELED",E4627="SUSPECTED_FRAUD",F4627="Shipping canceled"),0,1)</x:f>
        <x:v>1</x:v>
      </x:c>
      <x:c r="K4627" s="6" t="n">
        <x:f>IF(G4627&gt;H4627,1,0)</x:f>
        <x:v>1</x:v>
      </x:c>
      <x:c r="L4627" s="6" t="n">
        <x:f>J4627*K4627</x:f>
        <x:v>1</x:v>
      </x:c>
    </x:row>
    <x:row r="4628">
      <x:c r="A4628" s="1" t="n">
        <x:v>35455</x:v>
      </x:c>
      <x:c r="B4628" s="5" t="d">
        <x:v>2016-06-01T00:00:00.000Z</x:v>
      </x:c>
      <x:c r="C4628" s="1" t="str">
        <x:v>First Class</x:v>
      </x:c>
      <x:c r="D4628" s="1" t="str">
        <x:v>USCA</x:v>
      </x:c>
      <x:c r="E4628" s="1" t="str">
        <x:v>CLOSED</x:v>
      </x:c>
      <x:c r="F4628" s="1" t="str">
        <x:v>Late delivery</x:v>
      </x:c>
      <x:c r="G4628" s="6" t="n">
        <x:v>2</x:v>
      </x:c>
      <x:c r="H4628" s="6" t="n">
        <x:v>1</x:v>
      </x:c>
      <x:c r="I4628" s="6" t="n">
        <x:f>G4628-H4628</x:f>
        <x:v>1</x:v>
      </x:c>
      <x:c r="J4628" s="6" t="n">
        <x:f>IF(OR(E4628="CANCELED",E4628="SUSPECTED_FRAUD",F4628="Shipping canceled"),0,1)</x:f>
        <x:v>1</x:v>
      </x:c>
      <x:c r="K4628" s="6" t="n">
        <x:f>IF(G4628&gt;H4628,1,0)</x:f>
        <x:v>1</x:v>
      </x:c>
      <x:c r="L4628" s="6" t="n">
        <x:f>J4628*K4628</x:f>
        <x:v>1</x:v>
      </x:c>
    </x:row>
    <x:row r="4629">
      <x:c r="A4629" s="1" t="n">
        <x:v>35491</x:v>
      </x:c>
      <x:c r="B4629" s="5" t="d">
        <x:v>2016-06-02T00:00:00.000Z</x:v>
      </x:c>
      <x:c r="C4629" s="1" t="str">
        <x:v>Standard Class</x:v>
      </x:c>
      <x:c r="D4629" s="1" t="str">
        <x:v>USCA</x:v>
      </x:c>
      <x:c r="E4629" s="1" t="str">
        <x:v>COMPLETE</x:v>
      </x:c>
      <x:c r="F4629" s="1" t="str">
        <x:v>Advance shipping</x:v>
      </x:c>
      <x:c r="G4629" s="6" t="n">
        <x:v>2</x:v>
      </x:c>
      <x:c r="H4629" s="6" t="n">
        <x:v>4</x:v>
      </x:c>
      <x:c r="I4629" s="6" t="n">
        <x:f>G4629-H4629</x:f>
        <x:v>-2</x:v>
      </x:c>
      <x:c r="J4629" s="6" t="n">
        <x:f>IF(OR(E4629="CANCELED",E4629="SUSPECTED_FRAUD",F4629="Shipping canceled"),0,1)</x:f>
        <x:v>1</x:v>
      </x:c>
      <x:c r="K4629" s="6" t="n">
        <x:f>IF(G4629&gt;H4629,1,0)</x:f>
        <x:v>0</x:v>
      </x:c>
      <x:c r="L4629" s="6" t="n">
        <x:f>J4629*K4629</x:f>
        <x:v>0</x:v>
      </x:c>
    </x:row>
    <x:row r="4630">
      <x:c r="A4630" s="1" t="n">
        <x:v>35492</x:v>
      </x:c>
      <x:c r="B4630" s="5" t="d">
        <x:v>2016-06-02T00:00:00.000Z</x:v>
      </x:c>
      <x:c r="C4630" s="1" t="str">
        <x:v>Standard Class</x:v>
      </x:c>
      <x:c r="D4630" s="1" t="str">
        <x:v>USCA</x:v>
      </x:c>
      <x:c r="E4630" s="1" t="str">
        <x:v>COMPLETE</x:v>
      </x:c>
      <x:c r="F4630" s="1" t="str">
        <x:v>Advance shipping</x:v>
      </x:c>
      <x:c r="G4630" s="6" t="n">
        <x:v>3</x:v>
      </x:c>
      <x:c r="H4630" s="6" t="n">
        <x:v>4</x:v>
      </x:c>
      <x:c r="I4630" s="6" t="n">
        <x:f>G4630-H4630</x:f>
        <x:v>-1</x:v>
      </x:c>
      <x:c r="J4630" s="6" t="n">
        <x:f>IF(OR(E4630="CANCELED",E4630="SUSPECTED_FRAUD",F4630="Shipping canceled"),0,1)</x:f>
        <x:v>1</x:v>
      </x:c>
      <x:c r="K4630" s="6" t="n">
        <x:f>IF(G4630&gt;H4630,1,0)</x:f>
        <x:v>0</x:v>
      </x:c>
      <x:c r="L4630" s="6" t="n">
        <x:f>J4630*K4630</x:f>
        <x:v>0</x:v>
      </x:c>
    </x:row>
    <x:row r="4631">
      <x:c r="A4631" s="1" t="n">
        <x:v>35495</x:v>
      </x:c>
      <x:c r="B4631" s="5" t="d">
        <x:v>2016-06-02T00:00:00.000Z</x:v>
      </x:c>
      <x:c r="C4631" s="1" t="str">
        <x:v>Standard Class</x:v>
      </x:c>
      <x:c r="D4631" s="1" t="str">
        <x:v>USCA</x:v>
      </x:c>
      <x:c r="E4631" s="1" t="str">
        <x:v>PENDING</x:v>
      </x:c>
      <x:c r="F4631" s="1" t="str">
        <x:v>Late delivery</x:v>
      </x:c>
      <x:c r="G4631" s="6" t="n">
        <x:v>6</x:v>
      </x:c>
      <x:c r="H4631" s="6" t="n">
        <x:v>4</x:v>
      </x:c>
      <x:c r="I4631" s="6" t="n">
        <x:f>G4631-H4631</x:f>
        <x:v>2</x:v>
      </x:c>
      <x:c r="J4631" s="6" t="n">
        <x:f>IF(OR(E4631="CANCELED",E4631="SUSPECTED_FRAUD",F4631="Shipping canceled"),0,1)</x:f>
        <x:v>1</x:v>
      </x:c>
      <x:c r="K4631" s="6" t="n">
        <x:f>IF(G4631&gt;H4631,1,0)</x:f>
        <x:v>1</x:v>
      </x:c>
      <x:c r="L4631" s="6" t="n">
        <x:f>J4631*K4631</x:f>
        <x:v>1</x:v>
      </x:c>
    </x:row>
    <x:row r="4632">
      <x:c r="A4632" s="1" t="n">
        <x:v>35511</x:v>
      </x:c>
      <x:c r="B4632" s="5" t="d">
        <x:v>2016-06-02T00:00:00.000Z</x:v>
      </x:c>
      <x:c r="C4632" s="1" t="str">
        <x:v>Standard Class</x:v>
      </x:c>
      <x:c r="D4632" s="1" t="str">
        <x:v>USCA</x:v>
      </x:c>
      <x:c r="E4632" s="1" t="str">
        <x:v>PROCESSING</x:v>
      </x:c>
      <x:c r="F4632" s="1" t="str">
        <x:v>Advance shipping</x:v>
      </x:c>
      <x:c r="G4632" s="6" t="n">
        <x:v>2</x:v>
      </x:c>
      <x:c r="H4632" s="6" t="n">
        <x:v>4</x:v>
      </x:c>
      <x:c r="I4632" s="6" t="n">
        <x:f>G4632-H4632</x:f>
        <x:v>-2</x:v>
      </x:c>
      <x:c r="J4632" s="6" t="n">
        <x:f>IF(OR(E4632="CANCELED",E4632="SUSPECTED_FRAUD",F4632="Shipping canceled"),0,1)</x:f>
        <x:v>1</x:v>
      </x:c>
      <x:c r="K4632" s="6" t="n">
        <x:f>IF(G4632&gt;H4632,1,0)</x:f>
        <x:v>0</x:v>
      </x:c>
      <x:c r="L4632" s="6" t="n">
        <x:f>J4632*K4632</x:f>
        <x:v>0</x:v>
      </x:c>
    </x:row>
    <x:row r="4633">
      <x:c r="A4633" s="1" t="n">
        <x:v>35516</x:v>
      </x:c>
      <x:c r="B4633" s="5" t="d">
        <x:v>2016-06-02T00:00:00.000Z</x:v>
      </x:c>
      <x:c r="C4633" s="1" t="str">
        <x:v>Second Class</x:v>
      </x:c>
      <x:c r="D4633" s="1" t="str">
        <x:v>USCA</x:v>
      </x:c>
      <x:c r="E4633" s="1" t="str">
        <x:v>COMPLETE</x:v>
      </x:c>
      <x:c r="F4633" s="1" t="str">
        <x:v>Shipping on time</x:v>
      </x:c>
      <x:c r="G4633" s="6" t="n">
        <x:v>2</x:v>
      </x:c>
      <x:c r="H4633" s="6" t="n">
        <x:v>2</x:v>
      </x:c>
      <x:c r="I4633" s="6" t="n">
        <x:f>G4633-H4633</x:f>
        <x:v>0</x:v>
      </x:c>
      <x:c r="J4633" s="6" t="n">
        <x:f>IF(OR(E4633="CANCELED",E4633="SUSPECTED_FRAUD",F4633="Shipping canceled"),0,1)</x:f>
        <x:v>1</x:v>
      </x:c>
      <x:c r="K4633" s="6" t="n">
        <x:f>IF(G4633&gt;H4633,1,0)</x:f>
        <x:v>0</x:v>
      </x:c>
      <x:c r="L4633" s="6" t="n">
        <x:f>J4633*K4633</x:f>
        <x:v>0</x:v>
      </x:c>
    </x:row>
    <x:row r="4634">
      <x:c r="A4634" s="1" t="n">
        <x:v>35521</x:v>
      </x:c>
      <x:c r="B4634" s="5" t="d">
        <x:v>2016-06-02T00:00:00.000Z</x:v>
      </x:c>
      <x:c r="C4634" s="1" t="str">
        <x:v>Standard Class</x:v>
      </x:c>
      <x:c r="D4634" s="1" t="str">
        <x:v>USCA</x:v>
      </x:c>
      <x:c r="E4634" s="1" t="str">
        <x:v>CANCELED</x:v>
      </x:c>
      <x:c r="F4634" s="1" t="str">
        <x:v>Shipping canceled</x:v>
      </x:c>
      <x:c r="G4634" s="6" t="n">
        <x:v>2</x:v>
      </x:c>
      <x:c r="H4634" s="6" t="n">
        <x:v>4</x:v>
      </x:c>
      <x:c r="I4634" s="6" t="n">
        <x:f>G4634-H4634</x:f>
        <x:v>-2</x:v>
      </x:c>
      <x:c r="J4634" s="6" t="n">
        <x:f>IF(OR(E4634="CANCELED",E4634="SUSPECTED_FRAUD",F4634="Shipping canceled"),0,1)</x:f>
        <x:v>0</x:v>
      </x:c>
      <x:c r="K4634" s="6" t="n">
        <x:f>IF(G4634&gt;H4634,1,0)</x:f>
        <x:v>0</x:v>
      </x:c>
      <x:c r="L4634" s="6" t="n">
        <x:f>J4634*K4634</x:f>
        <x:v>0</x:v>
      </x:c>
    </x:row>
    <x:row r="4635">
      <x:c r="A4635" s="1" t="n">
        <x:v>35533</x:v>
      </x:c>
      <x:c r="B4635" s="5" t="d">
        <x:v>2016-06-02T00:00:00.000Z</x:v>
      </x:c>
      <x:c r="C4635" s="1" t="str">
        <x:v>Standard Class</x:v>
      </x:c>
      <x:c r="D4635" s="1" t="str">
        <x:v>USCA</x:v>
      </x:c>
      <x:c r="E4635" s="1" t="str">
        <x:v>ON_HOLD</x:v>
      </x:c>
      <x:c r="F4635" s="1" t="str">
        <x:v>Shipping on time</x:v>
      </x:c>
      <x:c r="G4635" s="6" t="n">
        <x:v>4</x:v>
      </x:c>
      <x:c r="H4635" s="6" t="n">
        <x:v>4</x:v>
      </x:c>
      <x:c r="I4635" s="6" t="n">
        <x:f>G4635-H4635</x:f>
        <x:v>0</x:v>
      </x:c>
      <x:c r="J4635" s="6" t="n">
        <x:f>IF(OR(E4635="CANCELED",E4635="SUSPECTED_FRAUD",F4635="Shipping canceled"),0,1)</x:f>
        <x:v>1</x:v>
      </x:c>
      <x:c r="K4635" s="6" t="n">
        <x:f>IF(G4635&gt;H4635,1,0)</x:f>
        <x:v>0</x:v>
      </x:c>
      <x:c r="L4635" s="6" t="n">
        <x:f>J4635*K4635</x:f>
        <x:v>0</x:v>
      </x:c>
    </x:row>
    <x:row r="4636">
      <x:c r="A4636" s="1" t="n">
        <x:v>35549</x:v>
      </x:c>
      <x:c r="B4636" s="5" t="d">
        <x:v>2016-06-02T00:00:00.000Z</x:v>
      </x:c>
      <x:c r="C4636" s="1" t="str">
        <x:v>Standard Class</x:v>
      </x:c>
      <x:c r="D4636" s="1" t="str">
        <x:v>USCA</x:v>
      </x:c>
      <x:c r="E4636" s="1" t="str">
        <x:v>PENDING</x:v>
      </x:c>
      <x:c r="F4636" s="1" t="str">
        <x:v>Late delivery</x:v>
      </x:c>
      <x:c r="G4636" s="6" t="n">
        <x:v>5</x:v>
      </x:c>
      <x:c r="H4636" s="6" t="n">
        <x:v>4</x:v>
      </x:c>
      <x:c r="I4636" s="6" t="n">
        <x:f>G4636-H4636</x:f>
        <x:v>1</x:v>
      </x:c>
      <x:c r="J4636" s="6" t="n">
        <x:f>IF(OR(E4636="CANCELED",E4636="SUSPECTED_FRAUD",F4636="Shipping canceled"),0,1)</x:f>
        <x:v>1</x:v>
      </x:c>
      <x:c r="K4636" s="6" t="n">
        <x:f>IF(G4636&gt;H4636,1,0)</x:f>
        <x:v>1</x:v>
      </x:c>
      <x:c r="L4636" s="6" t="n">
        <x:f>J4636*K4636</x:f>
        <x:v>1</x:v>
      </x:c>
    </x:row>
    <x:row r="4637">
      <x:c r="A4637" s="1" t="n">
        <x:v>35577</x:v>
      </x:c>
      <x:c r="B4637" s="5" t="d">
        <x:v>2016-06-03T00:00:00.000Z</x:v>
      </x:c>
      <x:c r="C4637" s="1" t="str">
        <x:v>Standard Class</x:v>
      </x:c>
      <x:c r="D4637" s="1" t="str">
        <x:v>USCA</x:v>
      </x:c>
      <x:c r="E4637" s="1" t="str">
        <x:v>PROCESSING</x:v>
      </x:c>
      <x:c r="F4637" s="1" t="str">
        <x:v>Advance shipping</x:v>
      </x:c>
      <x:c r="G4637" s="6" t="n">
        <x:v>3</x:v>
      </x:c>
      <x:c r="H4637" s="6" t="n">
        <x:v>4</x:v>
      </x:c>
      <x:c r="I4637" s="6" t="n">
        <x:f>G4637-H4637</x:f>
        <x:v>-1</x:v>
      </x:c>
      <x:c r="J4637" s="6" t="n">
        <x:f>IF(OR(E4637="CANCELED",E4637="SUSPECTED_FRAUD",F4637="Shipping canceled"),0,1)</x:f>
        <x:v>1</x:v>
      </x:c>
      <x:c r="K4637" s="6" t="n">
        <x:f>IF(G4637&gt;H4637,1,0)</x:f>
        <x:v>0</x:v>
      </x:c>
      <x:c r="L4637" s="6" t="n">
        <x:f>J4637*K4637</x:f>
        <x:v>0</x:v>
      </x:c>
    </x:row>
    <x:row r="4638">
      <x:c r="A4638" s="1" t="n">
        <x:v>35595</x:v>
      </x:c>
      <x:c r="B4638" s="5" t="d">
        <x:v>2016-06-03T00:00:00.000Z</x:v>
      </x:c>
      <x:c r="C4638" s="1" t="str">
        <x:v>Standard Class</x:v>
      </x:c>
      <x:c r="D4638" s="1" t="str">
        <x:v>USCA</x:v>
      </x:c>
      <x:c r="E4638" s="1" t="str">
        <x:v>PROCESSING</x:v>
      </x:c>
      <x:c r="F4638" s="1" t="str">
        <x:v>Late delivery</x:v>
      </x:c>
      <x:c r="G4638" s="6" t="n">
        <x:v>6</x:v>
      </x:c>
      <x:c r="H4638" s="6" t="n">
        <x:v>4</x:v>
      </x:c>
      <x:c r="I4638" s="6" t="n">
        <x:f>G4638-H4638</x:f>
        <x:v>2</x:v>
      </x:c>
      <x:c r="J4638" s="6" t="n">
        <x:f>IF(OR(E4638="CANCELED",E4638="SUSPECTED_FRAUD",F4638="Shipping canceled"),0,1)</x:f>
        <x:v>1</x:v>
      </x:c>
      <x:c r="K4638" s="6" t="n">
        <x:f>IF(G4638&gt;H4638,1,0)</x:f>
        <x:v>1</x:v>
      </x:c>
      <x:c r="L4638" s="6" t="n">
        <x:f>J4638*K4638</x:f>
        <x:v>1</x:v>
      </x:c>
    </x:row>
    <x:row r="4639">
      <x:c r="A4639" s="1" t="n">
        <x:v>35604</x:v>
      </x:c>
      <x:c r="B4639" s="5" t="d">
        <x:v>2016-06-03T00:00:00.000Z</x:v>
      </x:c>
      <x:c r="C4639" s="1" t="str">
        <x:v>Standard Class</x:v>
      </x:c>
      <x:c r="D4639" s="1" t="str">
        <x:v>USCA</x:v>
      </x:c>
      <x:c r="E4639" s="1" t="str">
        <x:v>PENDING</x:v>
      </x:c>
      <x:c r="F4639" s="1" t="str">
        <x:v>Late delivery</x:v>
      </x:c>
      <x:c r="G4639" s="6" t="n">
        <x:v>5</x:v>
      </x:c>
      <x:c r="H4639" s="6" t="n">
        <x:v>4</x:v>
      </x:c>
      <x:c r="I4639" s="6" t="n">
        <x:f>G4639-H4639</x:f>
        <x:v>1</x:v>
      </x:c>
      <x:c r="J4639" s="6" t="n">
        <x:f>IF(OR(E4639="CANCELED",E4639="SUSPECTED_FRAUD",F4639="Shipping canceled"),0,1)</x:f>
        <x:v>1</x:v>
      </x:c>
      <x:c r="K4639" s="6" t="n">
        <x:f>IF(G4639&gt;H4639,1,0)</x:f>
        <x:v>1</x:v>
      </x:c>
      <x:c r="L4639" s="6" t="n">
        <x:f>J4639*K4639</x:f>
        <x:v>1</x:v>
      </x:c>
    </x:row>
    <x:row r="4640">
      <x:c r="A4640" s="1" t="n">
        <x:v>35622</x:v>
      </x:c>
      <x:c r="B4640" s="5" t="d">
        <x:v>2016-06-03T00:00:00.000Z</x:v>
      </x:c>
      <x:c r="C4640" s="1" t="str">
        <x:v>Second Class</x:v>
      </x:c>
      <x:c r="D4640" s="1" t="str">
        <x:v>USCA</x:v>
      </x:c>
      <x:c r="E4640" s="1" t="str">
        <x:v>COMPLETE</x:v>
      </x:c>
      <x:c r="F4640" s="1" t="str">
        <x:v>Late delivery</x:v>
      </x:c>
      <x:c r="G4640" s="6" t="n">
        <x:v>3</x:v>
      </x:c>
      <x:c r="H4640" s="6" t="n">
        <x:v>2</x:v>
      </x:c>
      <x:c r="I4640" s="6" t="n">
        <x:f>G4640-H4640</x:f>
        <x:v>1</x:v>
      </x:c>
      <x:c r="J4640" s="6" t="n">
        <x:f>IF(OR(E4640="CANCELED",E4640="SUSPECTED_FRAUD",F4640="Shipping canceled"),0,1)</x:f>
        <x:v>1</x:v>
      </x:c>
      <x:c r="K4640" s="6" t="n">
        <x:f>IF(G4640&gt;H4640,1,0)</x:f>
        <x:v>1</x:v>
      </x:c>
      <x:c r="L4640" s="6" t="n">
        <x:f>J4640*K4640</x:f>
        <x:v>1</x:v>
      </x:c>
    </x:row>
    <x:row r="4641">
      <x:c r="A4641" s="1" t="n">
        <x:v>35625</x:v>
      </x:c>
      <x:c r="B4641" s="5" t="d">
        <x:v>2016-06-04T00:00:00.000Z</x:v>
      </x:c>
      <x:c r="C4641" s="1" t="str">
        <x:v>Second Class</x:v>
      </x:c>
      <x:c r="D4641" s="1" t="str">
        <x:v>USCA</x:v>
      </x:c>
      <x:c r="E4641" s="1" t="str">
        <x:v>COMPLETE</x:v>
      </x:c>
      <x:c r="F4641" s="1" t="str">
        <x:v>Late delivery</x:v>
      </x:c>
      <x:c r="G4641" s="6" t="n">
        <x:v>6</x:v>
      </x:c>
      <x:c r="H4641" s="6" t="n">
        <x:v>2</x:v>
      </x:c>
      <x:c r="I4641" s="6" t="n">
        <x:f>G4641-H4641</x:f>
        <x:v>4</x:v>
      </x:c>
      <x:c r="J4641" s="6" t="n">
        <x:f>IF(OR(E4641="CANCELED",E4641="SUSPECTED_FRAUD",F4641="Shipping canceled"),0,1)</x:f>
        <x:v>1</x:v>
      </x:c>
      <x:c r="K4641" s="6" t="n">
        <x:f>IF(G4641&gt;H4641,1,0)</x:f>
        <x:v>1</x:v>
      </x:c>
      <x:c r="L4641" s="6" t="n">
        <x:f>J4641*K4641</x:f>
        <x:v>1</x:v>
      </x:c>
    </x:row>
    <x:row r="4642">
      <x:c r="A4642" s="1" t="n">
        <x:v>35628</x:v>
      </x:c>
      <x:c r="B4642" s="5" t="d">
        <x:v>2016-06-04T00:00:00.000Z</x:v>
      </x:c>
      <x:c r="C4642" s="1" t="str">
        <x:v>Second Class</x:v>
      </x:c>
      <x:c r="D4642" s="1" t="str">
        <x:v>USCA</x:v>
      </x:c>
      <x:c r="E4642" s="1" t="str">
        <x:v>COMPLETE</x:v>
      </x:c>
      <x:c r="F4642" s="1" t="str">
        <x:v>Late delivery</x:v>
      </x:c>
      <x:c r="G4642" s="6" t="n">
        <x:v>4</x:v>
      </x:c>
      <x:c r="H4642" s="6" t="n">
        <x:v>2</x:v>
      </x:c>
      <x:c r="I4642" s="6" t="n">
        <x:f>G4642-H4642</x:f>
        <x:v>2</x:v>
      </x:c>
      <x:c r="J4642" s="6" t="n">
        <x:f>IF(OR(E4642="CANCELED",E4642="SUSPECTED_FRAUD",F4642="Shipping canceled"),0,1)</x:f>
        <x:v>1</x:v>
      </x:c>
      <x:c r="K4642" s="6" t="n">
        <x:f>IF(G4642&gt;H4642,1,0)</x:f>
        <x:v>1</x:v>
      </x:c>
      <x:c r="L4642" s="6" t="n">
        <x:f>J4642*K4642</x:f>
        <x:v>1</x:v>
      </x:c>
    </x:row>
    <x:row r="4643">
      <x:c r="A4643" s="1" t="n">
        <x:v>35637</x:v>
      </x:c>
      <x:c r="B4643" s="5" t="d">
        <x:v>2016-06-04T00:00:00.000Z</x:v>
      </x:c>
      <x:c r="C4643" s="1" t="str">
        <x:v>First Class</x:v>
      </x:c>
      <x:c r="D4643" s="1" t="str">
        <x:v>USCA</x:v>
      </x:c>
      <x:c r="E4643" s="1" t="str">
        <x:v>CLOSED</x:v>
      </x:c>
      <x:c r="F4643" s="1" t="str">
        <x:v>Late delivery</x:v>
      </x:c>
      <x:c r="G4643" s="6" t="n">
        <x:v>2</x:v>
      </x:c>
      <x:c r="H4643" s="6" t="n">
        <x:v>1</x:v>
      </x:c>
      <x:c r="I4643" s="6" t="n">
        <x:f>G4643-H4643</x:f>
        <x:v>1</x:v>
      </x:c>
      <x:c r="J4643" s="6" t="n">
        <x:f>IF(OR(E4643="CANCELED",E4643="SUSPECTED_FRAUD",F4643="Shipping canceled"),0,1)</x:f>
        <x:v>1</x:v>
      </x:c>
      <x:c r="K4643" s="6" t="n">
        <x:f>IF(G4643&gt;H4643,1,0)</x:f>
        <x:v>1</x:v>
      </x:c>
      <x:c r="L4643" s="6" t="n">
        <x:f>J4643*K4643</x:f>
        <x:v>1</x:v>
      </x:c>
    </x:row>
    <x:row r="4644">
      <x:c r="A4644" s="1" t="n">
        <x:v>35647</x:v>
      </x:c>
      <x:c r="B4644" s="5" t="d">
        <x:v>2016-06-04T00:00:00.000Z</x:v>
      </x:c>
      <x:c r="C4644" s="1" t="str">
        <x:v>Standard Class</x:v>
      </x:c>
      <x:c r="D4644" s="1" t="str">
        <x:v>USCA</x:v>
      </x:c>
      <x:c r="E4644" s="1" t="str">
        <x:v>PENDING_PAYMENT</x:v>
      </x:c>
      <x:c r="F4644" s="1" t="str">
        <x:v>Advance shipping</x:v>
      </x:c>
      <x:c r="G4644" s="6" t="n">
        <x:v>3</x:v>
      </x:c>
      <x:c r="H4644" s="6" t="n">
        <x:v>4</x:v>
      </x:c>
      <x:c r="I4644" s="6" t="n">
        <x:f>G4644-H4644</x:f>
        <x:v>-1</x:v>
      </x:c>
      <x:c r="J4644" s="6" t="n">
        <x:f>IF(OR(E4644="CANCELED",E4644="SUSPECTED_FRAUD",F4644="Shipping canceled"),0,1)</x:f>
        <x:v>1</x:v>
      </x:c>
      <x:c r="K4644" s="6" t="n">
        <x:f>IF(G4644&gt;H4644,1,0)</x:f>
        <x:v>0</x:v>
      </x:c>
      <x:c r="L4644" s="6" t="n">
        <x:f>J4644*K4644</x:f>
        <x:v>0</x:v>
      </x:c>
    </x:row>
    <x:row r="4645">
      <x:c r="A4645" s="1" t="n">
        <x:v>35651</x:v>
      </x:c>
      <x:c r="B4645" s="5" t="d">
        <x:v>2016-06-04T00:00:00.000Z</x:v>
      </x:c>
      <x:c r="C4645" s="1" t="str">
        <x:v>Standard Class</x:v>
      </x:c>
      <x:c r="D4645" s="1" t="str">
        <x:v>USCA</x:v>
      </x:c>
      <x:c r="E4645" s="1" t="str">
        <x:v>CANCELED</x:v>
      </x:c>
      <x:c r="F4645" s="1" t="str">
        <x:v>Shipping canceled</x:v>
      </x:c>
      <x:c r="G4645" s="6" t="n">
        <x:v>2</x:v>
      </x:c>
      <x:c r="H4645" s="6" t="n">
        <x:v>4</x:v>
      </x:c>
      <x:c r="I4645" s="6" t="n">
        <x:f>G4645-H4645</x:f>
        <x:v>-2</x:v>
      </x:c>
      <x:c r="J4645" s="6" t="n">
        <x:f>IF(OR(E4645="CANCELED",E4645="SUSPECTED_FRAUD",F4645="Shipping canceled"),0,1)</x:f>
        <x:v>0</x:v>
      </x:c>
      <x:c r="K4645" s="6" t="n">
        <x:f>IF(G4645&gt;H4645,1,0)</x:f>
        <x:v>0</x:v>
      </x:c>
      <x:c r="L4645" s="6" t="n">
        <x:f>J4645*K4645</x:f>
        <x:v>0</x:v>
      </x:c>
    </x:row>
    <x:row r="4646">
      <x:c r="A4646" s="1" t="n">
        <x:v>35664</x:v>
      </x:c>
      <x:c r="B4646" s="5" t="d">
        <x:v>2016-06-04T00:00:00.000Z</x:v>
      </x:c>
      <x:c r="C4646" s="1" t="str">
        <x:v>Second Class</x:v>
      </x:c>
      <x:c r="D4646" s="1" t="str">
        <x:v>USCA</x:v>
      </x:c>
      <x:c r="E4646" s="1" t="str">
        <x:v>COMPLETE</x:v>
      </x:c>
      <x:c r="F4646" s="1" t="str">
        <x:v>Late delivery</x:v>
      </x:c>
      <x:c r="G4646" s="6" t="n">
        <x:v>5</x:v>
      </x:c>
      <x:c r="H4646" s="6" t="n">
        <x:v>2</x:v>
      </x:c>
      <x:c r="I4646" s="6" t="n">
        <x:f>G4646-H4646</x:f>
        <x:v>3</x:v>
      </x:c>
      <x:c r="J4646" s="6" t="n">
        <x:f>IF(OR(E4646="CANCELED",E4646="SUSPECTED_FRAUD",F4646="Shipping canceled"),0,1)</x:f>
        <x:v>1</x:v>
      </x:c>
      <x:c r="K4646" s="6" t="n">
        <x:f>IF(G4646&gt;H4646,1,0)</x:f>
        <x:v>1</x:v>
      </x:c>
      <x:c r="L4646" s="6" t="n">
        <x:f>J4646*K4646</x:f>
        <x:v>1</x:v>
      </x:c>
    </x:row>
    <x:row r="4647">
      <x:c r="A4647" s="1" t="n">
        <x:v>35685</x:v>
      </x:c>
      <x:c r="B4647" s="5" t="d">
        <x:v>2016-06-04T00:00:00.000Z</x:v>
      </x:c>
      <x:c r="C4647" s="1" t="str">
        <x:v>Standard Class</x:v>
      </x:c>
      <x:c r="D4647" s="1" t="str">
        <x:v>USCA</x:v>
      </x:c>
      <x:c r="E4647" s="1" t="str">
        <x:v>PENDING</x:v>
      </x:c>
      <x:c r="F4647" s="1" t="str">
        <x:v>Late delivery</x:v>
      </x:c>
      <x:c r="G4647" s="6" t="n">
        <x:v>6</x:v>
      </x:c>
      <x:c r="H4647" s="6" t="n">
        <x:v>4</x:v>
      </x:c>
      <x:c r="I4647" s="6" t="n">
        <x:f>G4647-H4647</x:f>
        <x:v>2</x:v>
      </x:c>
      <x:c r="J4647" s="6" t="n">
        <x:f>IF(OR(E4647="CANCELED",E4647="SUSPECTED_FRAUD",F4647="Shipping canceled"),0,1)</x:f>
        <x:v>1</x:v>
      </x:c>
      <x:c r="K4647" s="6" t="n">
        <x:f>IF(G4647&gt;H4647,1,0)</x:f>
        <x:v>1</x:v>
      </x:c>
      <x:c r="L4647" s="6" t="n">
        <x:f>J4647*K4647</x:f>
        <x:v>1</x:v>
      </x:c>
    </x:row>
    <x:row r="4648">
      <x:c r="A4648" s="1" t="n">
        <x:v>35690</x:v>
      </x:c>
      <x:c r="B4648" s="5" t="d">
        <x:v>2016-06-04T00:00:00.000Z</x:v>
      </x:c>
      <x:c r="C4648" s="1" t="str">
        <x:v>First Class</x:v>
      </x:c>
      <x:c r="D4648" s="1" t="str">
        <x:v>USCA</x:v>
      </x:c>
      <x:c r="E4648" s="1" t="str">
        <x:v>CLOSED</x:v>
      </x:c>
      <x:c r="F4648" s="1" t="str">
        <x:v>Late delivery</x:v>
      </x:c>
      <x:c r="G4648" s="6" t="n">
        <x:v>2</x:v>
      </x:c>
      <x:c r="H4648" s="6" t="n">
        <x:v>1</x:v>
      </x:c>
      <x:c r="I4648" s="6" t="n">
        <x:f>G4648-H4648</x:f>
        <x:v>1</x:v>
      </x:c>
      <x:c r="J4648" s="6" t="n">
        <x:f>IF(OR(E4648="CANCELED",E4648="SUSPECTED_FRAUD",F4648="Shipping canceled"),0,1)</x:f>
        <x:v>1</x:v>
      </x:c>
      <x:c r="K4648" s="6" t="n">
        <x:f>IF(G4648&gt;H4648,1,0)</x:f>
        <x:v>1</x:v>
      </x:c>
      <x:c r="L4648" s="6" t="n">
        <x:f>J4648*K4648</x:f>
        <x:v>1</x:v>
      </x:c>
    </x:row>
    <x:row r="4649">
      <x:c r="A4649" s="1" t="n">
        <x:v>35726</x:v>
      </x:c>
      <x:c r="B4649" s="5" t="d">
        <x:v>2016-06-05T00:00:00.000Z</x:v>
      </x:c>
      <x:c r="C4649" s="1" t="str">
        <x:v>First Class</x:v>
      </x:c>
      <x:c r="D4649" s="1" t="str">
        <x:v>USCA</x:v>
      </x:c>
      <x:c r="E4649" s="1" t="str">
        <x:v>PENDING</x:v>
      </x:c>
      <x:c r="F4649" s="1" t="str">
        <x:v>Late delivery</x:v>
      </x:c>
      <x:c r="G4649" s="6" t="n">
        <x:v>2</x:v>
      </x:c>
      <x:c r="H4649" s="6" t="n">
        <x:v>1</x:v>
      </x:c>
      <x:c r="I4649" s="6" t="n">
        <x:f>G4649-H4649</x:f>
        <x:v>1</x:v>
      </x:c>
      <x:c r="J4649" s="6" t="n">
        <x:f>IF(OR(E4649="CANCELED",E4649="SUSPECTED_FRAUD",F4649="Shipping canceled"),0,1)</x:f>
        <x:v>1</x:v>
      </x:c>
      <x:c r="K4649" s="6" t="n">
        <x:f>IF(G4649&gt;H4649,1,0)</x:f>
        <x:v>1</x:v>
      </x:c>
      <x:c r="L4649" s="6" t="n">
        <x:f>J4649*K4649</x:f>
        <x:v>1</x:v>
      </x:c>
    </x:row>
    <x:row r="4650">
      <x:c r="A4650" s="1" t="n">
        <x:v>35732</x:v>
      </x:c>
      <x:c r="B4650" s="5" t="d">
        <x:v>2016-06-05T00:00:00.000Z</x:v>
      </x:c>
      <x:c r="C4650" s="1" t="str">
        <x:v>Standard Class</x:v>
      </x:c>
      <x:c r="D4650" s="1" t="str">
        <x:v>USCA</x:v>
      </x:c>
      <x:c r="E4650" s="1" t="str">
        <x:v>COMPLETE</x:v>
      </x:c>
      <x:c r="F4650" s="1" t="str">
        <x:v>Advance shipping</x:v>
      </x:c>
      <x:c r="G4650" s="6" t="n">
        <x:v>3</x:v>
      </x:c>
      <x:c r="H4650" s="6" t="n">
        <x:v>4</x:v>
      </x:c>
      <x:c r="I4650" s="6" t="n">
        <x:f>G4650-H4650</x:f>
        <x:v>-1</x:v>
      </x:c>
      <x:c r="J4650" s="6" t="n">
        <x:f>IF(OR(E4650="CANCELED",E4650="SUSPECTED_FRAUD",F4650="Shipping canceled"),0,1)</x:f>
        <x:v>1</x:v>
      </x:c>
      <x:c r="K4650" s="6" t="n">
        <x:f>IF(G4650&gt;H4650,1,0)</x:f>
        <x:v>0</x:v>
      </x:c>
      <x:c r="L4650" s="6" t="n">
        <x:f>J4650*K4650</x:f>
        <x:v>0</x:v>
      </x:c>
    </x:row>
    <x:row r="4651">
      <x:c r="A4651" s="1" t="n">
        <x:v>35746</x:v>
      </x:c>
      <x:c r="B4651" s="5" t="d">
        <x:v>2016-06-05T00:00:00.000Z</x:v>
      </x:c>
      <x:c r="C4651" s="1" t="str">
        <x:v>Same Day</x:v>
      </x:c>
      <x:c r="D4651" s="1" t="str">
        <x:v>USCA</x:v>
      </x:c>
      <x:c r="E4651" s="1" t="str">
        <x:v>SUSPECTED_FRAUD</x:v>
      </x:c>
      <x:c r="F4651" s="1" t="str">
        <x:v>Shipping canceled</x:v>
      </x:c>
      <x:c r="G4651" s="6" t="n">
        <x:v>1</x:v>
      </x:c>
      <x:c r="H4651" s="6" t="n">
        <x:v>0</x:v>
      </x:c>
      <x:c r="I4651" s="6" t="n">
        <x:f>G4651-H4651</x:f>
        <x:v>1</x:v>
      </x:c>
      <x:c r="J4651" s="6" t="n">
        <x:f>IF(OR(E4651="CANCELED",E4651="SUSPECTED_FRAUD",F4651="Shipping canceled"),0,1)</x:f>
        <x:v>0</x:v>
      </x:c>
      <x:c r="K4651" s="6" t="n">
        <x:f>IF(G4651&gt;H4651,1,0)</x:f>
        <x:v>1</x:v>
      </x:c>
      <x:c r="L4651" s="6" t="n">
        <x:f>J4651*K4651</x:f>
        <x:v>0</x:v>
      </x:c>
    </x:row>
    <x:row r="4652">
      <x:c r="A4652" s="1" t="n">
        <x:v>35765</x:v>
      </x:c>
      <x:c r="B4652" s="5" t="d">
        <x:v>2016-06-06T00:00:00.000Z</x:v>
      </x:c>
      <x:c r="C4652" s="1" t="str">
        <x:v>Standard Class</x:v>
      </x:c>
      <x:c r="D4652" s="1" t="str">
        <x:v>USCA</x:v>
      </x:c>
      <x:c r="E4652" s="1" t="str">
        <x:v>COMPLETE</x:v>
      </x:c>
      <x:c r="F4652" s="1" t="str">
        <x:v>Late delivery</x:v>
      </x:c>
      <x:c r="G4652" s="6" t="n">
        <x:v>6</x:v>
      </x:c>
      <x:c r="H4652" s="6" t="n">
        <x:v>4</x:v>
      </x:c>
      <x:c r="I4652" s="6" t="n">
        <x:f>G4652-H4652</x:f>
        <x:v>2</x:v>
      </x:c>
      <x:c r="J4652" s="6" t="n">
        <x:f>IF(OR(E4652="CANCELED",E4652="SUSPECTED_FRAUD",F4652="Shipping canceled"),0,1)</x:f>
        <x:v>1</x:v>
      </x:c>
      <x:c r="K4652" s="6" t="n">
        <x:f>IF(G4652&gt;H4652,1,0)</x:f>
        <x:v>1</x:v>
      </x:c>
      <x:c r="L4652" s="6" t="n">
        <x:f>J4652*K4652</x:f>
        <x:v>1</x:v>
      </x:c>
    </x:row>
    <x:row r="4653">
      <x:c r="A4653" s="1" t="n">
        <x:v>35795</x:v>
      </x:c>
      <x:c r="B4653" s="5" t="d">
        <x:v>2016-06-06T00:00:00.000Z</x:v>
      </x:c>
      <x:c r="C4653" s="1" t="str">
        <x:v>Same Day</x:v>
      </x:c>
      <x:c r="D4653" s="1" t="str">
        <x:v>USCA</x:v>
      </x:c>
      <x:c r="E4653" s="1" t="str">
        <x:v>PROCESSING</x:v>
      </x:c>
      <x:c r="F4653" s="1" t="str">
        <x:v>Late delivery</x:v>
      </x:c>
      <x:c r="G4653" s="6" t="n">
        <x:v>1</x:v>
      </x:c>
      <x:c r="H4653" s="6" t="n">
        <x:v>0</x:v>
      </x:c>
      <x:c r="I4653" s="6" t="n">
        <x:f>G4653-H4653</x:f>
        <x:v>1</x:v>
      </x:c>
      <x:c r="J4653" s="6" t="n">
        <x:f>IF(OR(E4653="CANCELED",E4653="SUSPECTED_FRAUD",F4653="Shipping canceled"),0,1)</x:f>
        <x:v>1</x:v>
      </x:c>
      <x:c r="K4653" s="6" t="n">
        <x:f>IF(G4653&gt;H4653,1,0)</x:f>
        <x:v>1</x:v>
      </x:c>
      <x:c r="L4653" s="6" t="n">
        <x:f>J4653*K4653</x:f>
        <x:v>1</x:v>
      </x:c>
    </x:row>
    <x:row r="4654">
      <x:c r="A4654" s="1" t="n">
        <x:v>35806</x:v>
      </x:c>
      <x:c r="B4654" s="5" t="d">
        <x:v>2016-06-06T00:00:00.000Z</x:v>
      </x:c>
      <x:c r="C4654" s="1" t="str">
        <x:v>Standard Class</x:v>
      </x:c>
      <x:c r="D4654" s="1" t="str">
        <x:v>USCA</x:v>
      </x:c>
      <x:c r="E4654" s="1" t="str">
        <x:v>PENDING</x:v>
      </x:c>
      <x:c r="F4654" s="1" t="str">
        <x:v>Advance shipping</x:v>
      </x:c>
      <x:c r="G4654" s="6" t="n">
        <x:v>2</x:v>
      </x:c>
      <x:c r="H4654" s="6" t="n">
        <x:v>4</x:v>
      </x:c>
      <x:c r="I4654" s="6" t="n">
        <x:f>G4654-H4654</x:f>
        <x:v>-2</x:v>
      </x:c>
      <x:c r="J4654" s="6" t="n">
        <x:f>IF(OR(E4654="CANCELED",E4654="SUSPECTED_FRAUD",F4654="Shipping canceled"),0,1)</x:f>
        <x:v>1</x:v>
      </x:c>
      <x:c r="K4654" s="6" t="n">
        <x:f>IF(G4654&gt;H4654,1,0)</x:f>
        <x:v>0</x:v>
      </x:c>
      <x:c r="L4654" s="6" t="n">
        <x:f>J4654*K4654</x:f>
        <x:v>0</x:v>
      </x:c>
    </x:row>
    <x:row r="4655">
      <x:c r="A4655" s="1" t="n">
        <x:v>35823</x:v>
      </x:c>
      <x:c r="B4655" s="5" t="d">
        <x:v>2016-06-06T00:00:00.000Z</x:v>
      </x:c>
      <x:c r="C4655" s="1" t="str">
        <x:v>Standard Class</x:v>
      </x:c>
      <x:c r="D4655" s="1" t="str">
        <x:v>USCA</x:v>
      </x:c>
      <x:c r="E4655" s="1" t="str">
        <x:v>SUSPECTED_FRAUD</x:v>
      </x:c>
      <x:c r="F4655" s="1" t="str">
        <x:v>Shipping canceled</x:v>
      </x:c>
      <x:c r="G4655" s="6" t="n">
        <x:v>4</x:v>
      </x:c>
      <x:c r="H4655" s="6" t="n">
        <x:v>4</x:v>
      </x:c>
      <x:c r="I4655" s="6" t="n">
        <x:f>G4655-H4655</x:f>
        <x:v>0</x:v>
      </x:c>
      <x:c r="J4655" s="6" t="n">
        <x:f>IF(OR(E4655="CANCELED",E4655="SUSPECTED_FRAUD",F4655="Shipping canceled"),0,1)</x:f>
        <x:v>0</x:v>
      </x:c>
      <x:c r="K4655" s="6" t="n">
        <x:f>IF(G4655&gt;H4655,1,0)</x:f>
        <x:v>0</x:v>
      </x:c>
      <x:c r="L4655" s="6" t="n">
        <x:f>J4655*K4655</x:f>
        <x:v>0</x:v>
      </x:c>
    </x:row>
    <x:row r="4656">
      <x:c r="A4656" s="1" t="n">
        <x:v>35844</x:v>
      </x:c>
      <x:c r="B4656" s="5" t="d">
        <x:v>2016-06-07T00:00:00.000Z</x:v>
      </x:c>
      <x:c r="C4656" s="1" t="str">
        <x:v>Standard Class</x:v>
      </x:c>
      <x:c r="D4656" s="1" t="str">
        <x:v>USCA</x:v>
      </x:c>
      <x:c r="E4656" s="1" t="str">
        <x:v>PROCESSING</x:v>
      </x:c>
      <x:c r="F4656" s="1" t="str">
        <x:v>Late delivery</x:v>
      </x:c>
      <x:c r="G4656" s="6" t="n">
        <x:v>5</x:v>
      </x:c>
      <x:c r="H4656" s="6" t="n">
        <x:v>4</x:v>
      </x:c>
      <x:c r="I4656" s="6" t="n">
        <x:f>G4656-H4656</x:f>
        <x:v>1</x:v>
      </x:c>
      <x:c r="J4656" s="6" t="n">
        <x:f>IF(OR(E4656="CANCELED",E4656="SUSPECTED_FRAUD",F4656="Shipping canceled"),0,1)</x:f>
        <x:v>1</x:v>
      </x:c>
      <x:c r="K4656" s="6" t="n">
        <x:f>IF(G4656&gt;H4656,1,0)</x:f>
        <x:v>1</x:v>
      </x:c>
      <x:c r="L4656" s="6" t="n">
        <x:f>J4656*K4656</x:f>
        <x:v>1</x:v>
      </x:c>
    </x:row>
    <x:row r="4657">
      <x:c r="A4657" s="1" t="n">
        <x:v>35852</x:v>
      </x:c>
      <x:c r="B4657" s="5" t="d">
        <x:v>2016-06-07T00:00:00.000Z</x:v>
      </x:c>
      <x:c r="C4657" s="1" t="str">
        <x:v>Standard Class</x:v>
      </x:c>
      <x:c r="D4657" s="1" t="str">
        <x:v>USCA</x:v>
      </x:c>
      <x:c r="E4657" s="1" t="str">
        <x:v>COMPLETE</x:v>
      </x:c>
      <x:c r="F4657" s="1" t="str">
        <x:v>Advance shipping</x:v>
      </x:c>
      <x:c r="G4657" s="6" t="n">
        <x:v>3</x:v>
      </x:c>
      <x:c r="H4657" s="6" t="n">
        <x:v>4</x:v>
      </x:c>
      <x:c r="I4657" s="6" t="n">
        <x:f>G4657-H4657</x:f>
        <x:v>-1</x:v>
      </x:c>
      <x:c r="J4657" s="6" t="n">
        <x:f>IF(OR(E4657="CANCELED",E4657="SUSPECTED_FRAUD",F4657="Shipping canceled"),0,1)</x:f>
        <x:v>1</x:v>
      </x:c>
      <x:c r="K4657" s="6" t="n">
        <x:f>IF(G4657&gt;H4657,1,0)</x:f>
        <x:v>0</x:v>
      </x:c>
      <x:c r="L4657" s="6" t="n">
        <x:f>J4657*K4657</x:f>
        <x:v>0</x:v>
      </x:c>
    </x:row>
    <x:row r="4658">
      <x:c r="A4658" s="1" t="n">
        <x:v>35868</x:v>
      </x:c>
      <x:c r="B4658" s="5" t="d">
        <x:v>2016-06-07T00:00:00.000Z</x:v>
      </x:c>
      <x:c r="C4658" s="1" t="str">
        <x:v>Standard Class</x:v>
      </x:c>
      <x:c r="D4658" s="1" t="str">
        <x:v>USCA</x:v>
      </x:c>
      <x:c r="E4658" s="1" t="str">
        <x:v>PENDING</x:v>
      </x:c>
      <x:c r="F4658" s="1" t="str">
        <x:v>Shipping on time</x:v>
      </x:c>
      <x:c r="G4658" s="6" t="n">
        <x:v>4</x:v>
      </x:c>
      <x:c r="H4658" s="6" t="n">
        <x:v>4</x:v>
      </x:c>
      <x:c r="I4658" s="6" t="n">
        <x:f>G4658-H4658</x:f>
        <x:v>0</x:v>
      </x:c>
      <x:c r="J4658" s="6" t="n">
        <x:f>IF(OR(E4658="CANCELED",E4658="SUSPECTED_FRAUD",F4658="Shipping canceled"),0,1)</x:f>
        <x:v>1</x:v>
      </x:c>
      <x:c r="K4658" s="6" t="n">
        <x:f>IF(G4658&gt;H4658,1,0)</x:f>
        <x:v>0</x:v>
      </x:c>
      <x:c r="L4658" s="6" t="n">
        <x:f>J4658*K4658</x:f>
        <x:v>0</x:v>
      </x:c>
    </x:row>
    <x:row r="4659">
      <x:c r="A4659" s="1" t="n">
        <x:v>35876</x:v>
      </x:c>
      <x:c r="B4659" s="5" t="d">
        <x:v>2016-06-07T00:00:00.000Z</x:v>
      </x:c>
      <x:c r="C4659" s="1" t="str">
        <x:v>Standard Class</x:v>
      </x:c>
      <x:c r="D4659" s="1" t="str">
        <x:v>USCA</x:v>
      </x:c>
      <x:c r="E4659" s="1" t="str">
        <x:v>ON_HOLD</x:v>
      </x:c>
      <x:c r="F4659" s="1" t="str">
        <x:v>Advance shipping</x:v>
      </x:c>
      <x:c r="G4659" s="6" t="n">
        <x:v>2</x:v>
      </x:c>
      <x:c r="H4659" s="6" t="n">
        <x:v>4</x:v>
      </x:c>
      <x:c r="I4659" s="6" t="n">
        <x:f>G4659-H4659</x:f>
        <x:v>-2</x:v>
      </x:c>
      <x:c r="J4659" s="6" t="n">
        <x:f>IF(OR(E4659="CANCELED",E4659="SUSPECTED_FRAUD",F4659="Shipping canceled"),0,1)</x:f>
        <x:v>1</x:v>
      </x:c>
      <x:c r="K4659" s="6" t="n">
        <x:f>IF(G4659&gt;H4659,1,0)</x:f>
        <x:v>0</x:v>
      </x:c>
      <x:c r="L4659" s="6" t="n">
        <x:f>J4659*K4659</x:f>
        <x:v>0</x:v>
      </x:c>
    </x:row>
    <x:row r="4660">
      <x:c r="A4660" s="1" t="n">
        <x:v>35943</x:v>
      </x:c>
      <x:c r="B4660" s="5" t="d">
        <x:v>2016-06-08T00:00:00.000Z</x:v>
      </x:c>
      <x:c r="C4660" s="1" t="str">
        <x:v>Standard Class</x:v>
      </x:c>
      <x:c r="D4660" s="1" t="str">
        <x:v>USCA</x:v>
      </x:c>
      <x:c r="E4660" s="1" t="str">
        <x:v>COMPLETE</x:v>
      </x:c>
      <x:c r="F4660" s="1" t="str">
        <x:v>Shipping on time</x:v>
      </x:c>
      <x:c r="G4660" s="6" t="n">
        <x:v>4</x:v>
      </x:c>
      <x:c r="H4660" s="6" t="n">
        <x:v>4</x:v>
      </x:c>
      <x:c r="I4660" s="6" t="n">
        <x:f>G4660-H4660</x:f>
        <x:v>0</x:v>
      </x:c>
      <x:c r="J4660" s="6" t="n">
        <x:f>IF(OR(E4660="CANCELED",E4660="SUSPECTED_FRAUD",F4660="Shipping canceled"),0,1)</x:f>
        <x:v>1</x:v>
      </x:c>
      <x:c r="K4660" s="6" t="n">
        <x:f>IF(G4660&gt;H4660,1,0)</x:f>
        <x:v>0</x:v>
      </x:c>
      <x:c r="L4660" s="6" t="n">
        <x:f>J4660*K4660</x:f>
        <x:v>0</x:v>
      </x:c>
    </x:row>
    <x:row r="4661">
      <x:c r="A4661" s="1" t="n">
        <x:v>35952</x:v>
      </x:c>
      <x:c r="B4661" s="5" t="d">
        <x:v>2016-06-08T00:00:00.000Z</x:v>
      </x:c>
      <x:c r="C4661" s="1" t="str">
        <x:v>Second Class</x:v>
      </x:c>
      <x:c r="D4661" s="1" t="str">
        <x:v>USCA</x:v>
      </x:c>
      <x:c r="E4661" s="1" t="str">
        <x:v>CLOSED</x:v>
      </x:c>
      <x:c r="F4661" s="1" t="str">
        <x:v>Late delivery</x:v>
      </x:c>
      <x:c r="G4661" s="6" t="n">
        <x:v>3</x:v>
      </x:c>
      <x:c r="H4661" s="6" t="n">
        <x:v>2</x:v>
      </x:c>
      <x:c r="I4661" s="6" t="n">
        <x:f>G4661-H4661</x:f>
        <x:v>1</x:v>
      </x:c>
      <x:c r="J4661" s="6" t="n">
        <x:f>IF(OR(E4661="CANCELED",E4661="SUSPECTED_FRAUD",F4661="Shipping canceled"),0,1)</x:f>
        <x:v>1</x:v>
      </x:c>
      <x:c r="K4661" s="6" t="n">
        <x:f>IF(G4661&gt;H4661,1,0)</x:f>
        <x:v>1</x:v>
      </x:c>
      <x:c r="L4661" s="6" t="n">
        <x:f>J4661*K4661</x:f>
        <x:v>1</x:v>
      </x:c>
    </x:row>
    <x:row r="4662">
      <x:c r="A4662" s="1" t="n">
        <x:v>35959</x:v>
      </x:c>
      <x:c r="B4662" s="5" t="d">
        <x:v>2016-06-08T00:00:00.000Z</x:v>
      </x:c>
      <x:c r="C4662" s="1" t="str">
        <x:v>Standard Class</x:v>
      </x:c>
      <x:c r="D4662" s="1" t="str">
        <x:v>USCA</x:v>
      </x:c>
      <x:c r="E4662" s="1" t="str">
        <x:v>PENDING</x:v>
      </x:c>
      <x:c r="F4662" s="1" t="str">
        <x:v>Late delivery</x:v>
      </x:c>
      <x:c r="G4662" s="6" t="n">
        <x:v>5</x:v>
      </x:c>
      <x:c r="H4662" s="6" t="n">
        <x:v>4</x:v>
      </x:c>
      <x:c r="I4662" s="6" t="n">
        <x:f>G4662-H4662</x:f>
        <x:v>1</x:v>
      </x:c>
      <x:c r="J4662" s="6" t="n">
        <x:f>IF(OR(E4662="CANCELED",E4662="SUSPECTED_FRAUD",F4662="Shipping canceled"),0,1)</x:f>
        <x:v>1</x:v>
      </x:c>
      <x:c r="K4662" s="6" t="n">
        <x:f>IF(G4662&gt;H4662,1,0)</x:f>
        <x:v>1</x:v>
      </x:c>
      <x:c r="L4662" s="6" t="n">
        <x:f>J4662*K4662</x:f>
        <x:v>1</x:v>
      </x:c>
    </x:row>
    <x:row r="4663">
      <x:c r="A4663" s="1" t="n">
        <x:v>35980</x:v>
      </x:c>
      <x:c r="B4663" s="5" t="d">
        <x:v>2016-06-09T00:00:00.000Z</x:v>
      </x:c>
      <x:c r="C4663" s="1" t="str">
        <x:v>Second Class</x:v>
      </x:c>
      <x:c r="D4663" s="1" t="str">
        <x:v>USCA</x:v>
      </x:c>
      <x:c r="E4663" s="1" t="str">
        <x:v>PENDING</x:v>
      </x:c>
      <x:c r="F4663" s="1" t="str">
        <x:v>Late delivery</x:v>
      </x:c>
      <x:c r="G4663" s="6" t="n">
        <x:v>6</x:v>
      </x:c>
      <x:c r="H4663" s="6" t="n">
        <x:v>2</x:v>
      </x:c>
      <x:c r="I4663" s="6" t="n">
        <x:f>G4663-H4663</x:f>
        <x:v>4</x:v>
      </x:c>
      <x:c r="J4663" s="6" t="n">
        <x:f>IF(OR(E4663="CANCELED",E4663="SUSPECTED_FRAUD",F4663="Shipping canceled"),0,1)</x:f>
        <x:v>1</x:v>
      </x:c>
      <x:c r="K4663" s="6" t="n">
        <x:f>IF(G4663&gt;H4663,1,0)</x:f>
        <x:v>1</x:v>
      </x:c>
      <x:c r="L4663" s="6" t="n">
        <x:f>J4663*K4663</x:f>
        <x:v>1</x:v>
      </x:c>
    </x:row>
    <x:row r="4664">
      <x:c r="A4664" s="1" t="n">
        <x:v>35981</x:v>
      </x:c>
      <x:c r="B4664" s="5" t="d">
        <x:v>2016-06-09T00:00:00.000Z</x:v>
      </x:c>
      <x:c r="C4664" s="1" t="str">
        <x:v>Second Class</x:v>
      </x:c>
      <x:c r="D4664" s="1" t="str">
        <x:v>USCA</x:v>
      </x:c>
      <x:c r="E4664" s="1" t="str">
        <x:v>CANCELED</x:v>
      </x:c>
      <x:c r="F4664" s="1" t="str">
        <x:v>Shipping canceled</x:v>
      </x:c>
      <x:c r="G4664" s="6" t="n">
        <x:v>2</x:v>
      </x:c>
      <x:c r="H4664" s="6" t="n">
        <x:v>2</x:v>
      </x:c>
      <x:c r="I4664" s="6" t="n">
        <x:f>G4664-H4664</x:f>
        <x:v>0</x:v>
      </x:c>
      <x:c r="J4664" s="6" t="n">
        <x:f>IF(OR(E4664="CANCELED",E4664="SUSPECTED_FRAUD",F4664="Shipping canceled"),0,1)</x:f>
        <x:v>0</x:v>
      </x:c>
      <x:c r="K4664" s="6" t="n">
        <x:f>IF(G4664&gt;H4664,1,0)</x:f>
        <x:v>0</x:v>
      </x:c>
      <x:c r="L4664" s="6" t="n">
        <x:f>J4664*K4664</x:f>
        <x:v>0</x:v>
      </x:c>
    </x:row>
    <x:row r="4665">
      <x:c r="A4665" s="1" t="n">
        <x:v>35983</x:v>
      </x:c>
      <x:c r="B4665" s="5" t="d">
        <x:v>2016-06-09T00:00:00.000Z</x:v>
      </x:c>
      <x:c r="C4665" s="1" t="str">
        <x:v>Standard Class</x:v>
      </x:c>
      <x:c r="D4665" s="1" t="str">
        <x:v>USCA</x:v>
      </x:c>
      <x:c r="E4665" s="1" t="str">
        <x:v>COMPLETE</x:v>
      </x:c>
      <x:c r="F4665" s="1" t="str">
        <x:v>Shipping on time</x:v>
      </x:c>
      <x:c r="G4665" s="6" t="n">
        <x:v>4</x:v>
      </x:c>
      <x:c r="H4665" s="6" t="n">
        <x:v>4</x:v>
      </x:c>
      <x:c r="I4665" s="6" t="n">
        <x:f>G4665-H4665</x:f>
        <x:v>0</x:v>
      </x:c>
      <x:c r="J4665" s="6" t="n">
        <x:f>IF(OR(E4665="CANCELED",E4665="SUSPECTED_FRAUD",F4665="Shipping canceled"),0,1)</x:f>
        <x:v>1</x:v>
      </x:c>
      <x:c r="K4665" s="6" t="n">
        <x:f>IF(G4665&gt;H4665,1,0)</x:f>
        <x:v>0</x:v>
      </x:c>
      <x:c r="L4665" s="6" t="n">
        <x:f>J4665*K4665</x:f>
        <x:v>0</x:v>
      </x:c>
    </x:row>
    <x:row r="4666">
      <x:c r="A4666" s="1" t="n">
        <x:v>35990</x:v>
      </x:c>
      <x:c r="B4666" s="5" t="d">
        <x:v>2016-06-09T00:00:00.000Z</x:v>
      </x:c>
      <x:c r="C4666" s="1" t="str">
        <x:v>Standard Class</x:v>
      </x:c>
      <x:c r="D4666" s="1" t="str">
        <x:v>USCA</x:v>
      </x:c>
      <x:c r="E4666" s="1" t="str">
        <x:v>COMPLETE</x:v>
      </x:c>
      <x:c r="F4666" s="1" t="str">
        <x:v>Late delivery</x:v>
      </x:c>
      <x:c r="G4666" s="6" t="n">
        <x:v>6</x:v>
      </x:c>
      <x:c r="H4666" s="6" t="n">
        <x:v>4</x:v>
      </x:c>
      <x:c r="I4666" s="6" t="n">
        <x:f>G4666-H4666</x:f>
        <x:v>2</x:v>
      </x:c>
      <x:c r="J4666" s="6" t="n">
        <x:f>IF(OR(E4666="CANCELED",E4666="SUSPECTED_FRAUD",F4666="Shipping canceled"),0,1)</x:f>
        <x:v>1</x:v>
      </x:c>
      <x:c r="K4666" s="6" t="n">
        <x:f>IF(G4666&gt;H4666,1,0)</x:f>
        <x:v>1</x:v>
      </x:c>
      <x:c r="L4666" s="6" t="n">
        <x:f>J4666*K4666</x:f>
        <x:v>1</x:v>
      </x:c>
    </x:row>
    <x:row r="4667">
      <x:c r="A4667" s="1" t="n">
        <x:v>35996</x:v>
      </x:c>
      <x:c r="B4667" s="5" t="d">
        <x:v>2016-06-09T00:00:00.000Z</x:v>
      </x:c>
      <x:c r="C4667" s="1" t="str">
        <x:v>Standard Class</x:v>
      </x:c>
      <x:c r="D4667" s="1" t="str">
        <x:v>USCA</x:v>
      </x:c>
      <x:c r="E4667" s="1" t="str">
        <x:v>PROCESSING</x:v>
      </x:c>
      <x:c r="F4667" s="1" t="str">
        <x:v>Advance shipping</x:v>
      </x:c>
      <x:c r="G4667" s="6" t="n">
        <x:v>2</x:v>
      </x:c>
      <x:c r="H4667" s="6" t="n">
        <x:v>4</x:v>
      </x:c>
      <x:c r="I4667" s="6" t="n">
        <x:f>G4667-H4667</x:f>
        <x:v>-2</x:v>
      </x:c>
      <x:c r="J4667" s="6" t="n">
        <x:f>IF(OR(E4667="CANCELED",E4667="SUSPECTED_FRAUD",F4667="Shipping canceled"),0,1)</x:f>
        <x:v>1</x:v>
      </x:c>
      <x:c r="K4667" s="6" t="n">
        <x:f>IF(G4667&gt;H4667,1,0)</x:f>
        <x:v>0</x:v>
      </x:c>
      <x:c r="L4667" s="6" t="n">
        <x:f>J4667*K4667</x:f>
        <x:v>0</x:v>
      </x:c>
    </x:row>
    <x:row r="4668">
      <x:c r="A4668" s="1" t="n">
        <x:v>36034</x:v>
      </x:c>
      <x:c r="B4668" s="5" t="d">
        <x:v>2016-06-09T00:00:00.000Z</x:v>
      </x:c>
      <x:c r="C4668" s="1" t="str">
        <x:v>Standard Class</x:v>
      </x:c>
      <x:c r="D4668" s="1" t="str">
        <x:v>USCA</x:v>
      </x:c>
      <x:c r="E4668" s="1" t="str">
        <x:v>PROCESSING</x:v>
      </x:c>
      <x:c r="F4668" s="1" t="str">
        <x:v>Late delivery</x:v>
      </x:c>
      <x:c r="G4668" s="6" t="n">
        <x:v>5</x:v>
      </x:c>
      <x:c r="H4668" s="6" t="n">
        <x:v>4</x:v>
      </x:c>
      <x:c r="I4668" s="6" t="n">
        <x:f>G4668-H4668</x:f>
        <x:v>1</x:v>
      </x:c>
      <x:c r="J4668" s="6" t="n">
        <x:f>IF(OR(E4668="CANCELED",E4668="SUSPECTED_FRAUD",F4668="Shipping canceled"),0,1)</x:f>
        <x:v>1</x:v>
      </x:c>
      <x:c r="K4668" s="6" t="n">
        <x:f>IF(G4668&gt;H4668,1,0)</x:f>
        <x:v>1</x:v>
      </x:c>
      <x:c r="L4668" s="6" t="n">
        <x:f>J4668*K4668</x:f>
        <x:v>1</x:v>
      </x:c>
    </x:row>
    <x:row r="4669">
      <x:c r="A4669" s="1" t="n">
        <x:v>36044</x:v>
      </x:c>
      <x:c r="B4669" s="5" t="d">
        <x:v>2016-06-10T00:00:00.000Z</x:v>
      </x:c>
      <x:c r="C4669" s="1" t="str">
        <x:v>Standard Class</x:v>
      </x:c>
      <x:c r="D4669" s="1" t="str">
        <x:v>USCA</x:v>
      </x:c>
      <x:c r="E4669" s="1" t="str">
        <x:v>ON_HOLD</x:v>
      </x:c>
      <x:c r="F4669" s="1" t="str">
        <x:v>Late delivery</x:v>
      </x:c>
      <x:c r="G4669" s="6" t="n">
        <x:v>5</x:v>
      </x:c>
      <x:c r="H4669" s="6" t="n">
        <x:v>4</x:v>
      </x:c>
      <x:c r="I4669" s="6" t="n">
        <x:f>G4669-H4669</x:f>
        <x:v>1</x:v>
      </x:c>
      <x:c r="J4669" s="6" t="n">
        <x:f>IF(OR(E4669="CANCELED",E4669="SUSPECTED_FRAUD",F4669="Shipping canceled"),0,1)</x:f>
        <x:v>1</x:v>
      </x:c>
      <x:c r="K4669" s="6" t="n">
        <x:f>IF(G4669&gt;H4669,1,0)</x:f>
        <x:v>1</x:v>
      </x:c>
      <x:c r="L4669" s="6" t="n">
        <x:f>J4669*K4669</x:f>
        <x:v>1</x:v>
      </x:c>
    </x:row>
    <x:row r="4670">
      <x:c r="A4670" s="1" t="n">
        <x:v>36045</x:v>
      </x:c>
      <x:c r="B4670" s="5" t="d">
        <x:v>2016-06-10T00:00:00.000Z</x:v>
      </x:c>
      <x:c r="C4670" s="1" t="str">
        <x:v>Second Class</x:v>
      </x:c>
      <x:c r="D4670" s="1" t="str">
        <x:v>USCA</x:v>
      </x:c>
      <x:c r="E4670" s="1" t="str">
        <x:v>PROCESSING</x:v>
      </x:c>
      <x:c r="F4670" s="1" t="str">
        <x:v>Late delivery</x:v>
      </x:c>
      <x:c r="G4670" s="6" t="n">
        <x:v>6</x:v>
      </x:c>
      <x:c r="H4670" s="6" t="n">
        <x:v>2</x:v>
      </x:c>
      <x:c r="I4670" s="6" t="n">
        <x:f>G4670-H4670</x:f>
        <x:v>4</x:v>
      </x:c>
      <x:c r="J4670" s="6" t="n">
        <x:f>IF(OR(E4670="CANCELED",E4670="SUSPECTED_FRAUD",F4670="Shipping canceled"),0,1)</x:f>
        <x:v>1</x:v>
      </x:c>
      <x:c r="K4670" s="6" t="n">
        <x:f>IF(G4670&gt;H4670,1,0)</x:f>
        <x:v>1</x:v>
      </x:c>
      <x:c r="L4670" s="6" t="n">
        <x:f>J4670*K4670</x:f>
        <x:v>1</x:v>
      </x:c>
    </x:row>
    <x:row r="4671">
      <x:c r="A4671" s="1" t="n">
        <x:v>36047</x:v>
      </x:c>
      <x:c r="B4671" s="5" t="d">
        <x:v>2016-06-10T00:00:00.000Z</x:v>
      </x:c>
      <x:c r="C4671" s="1" t="str">
        <x:v>Second Class</x:v>
      </x:c>
      <x:c r="D4671" s="1" t="str">
        <x:v>USCA</x:v>
      </x:c>
      <x:c r="E4671" s="1" t="str">
        <x:v>COMPLETE</x:v>
      </x:c>
      <x:c r="F4671" s="1" t="str">
        <x:v>Late delivery</x:v>
      </x:c>
      <x:c r="G4671" s="6" t="n">
        <x:v>3</x:v>
      </x:c>
      <x:c r="H4671" s="6" t="n">
        <x:v>2</x:v>
      </x:c>
      <x:c r="I4671" s="6" t="n">
        <x:f>G4671-H4671</x:f>
        <x:v>1</x:v>
      </x:c>
      <x:c r="J4671" s="6" t="n">
        <x:f>IF(OR(E4671="CANCELED",E4671="SUSPECTED_FRAUD",F4671="Shipping canceled"),0,1)</x:f>
        <x:v>1</x:v>
      </x:c>
      <x:c r="K4671" s="6" t="n">
        <x:f>IF(G4671&gt;H4671,1,0)</x:f>
        <x:v>1</x:v>
      </x:c>
      <x:c r="L4671" s="6" t="n">
        <x:f>J4671*K4671</x:f>
        <x:v>1</x:v>
      </x:c>
    </x:row>
    <x:row r="4672">
      <x:c r="A4672" s="1" t="n">
        <x:v>36057</x:v>
      </x:c>
      <x:c r="B4672" s="5" t="d">
        <x:v>2016-06-10T00:00:00.000Z</x:v>
      </x:c>
      <x:c r="C4672" s="1" t="str">
        <x:v>Standard Class</x:v>
      </x:c>
      <x:c r="D4672" s="1" t="str">
        <x:v>USCA</x:v>
      </x:c>
      <x:c r="E4672" s="1" t="str">
        <x:v>COMPLETE</x:v>
      </x:c>
      <x:c r="F4672" s="1" t="str">
        <x:v>Advance shipping</x:v>
      </x:c>
      <x:c r="G4672" s="6" t="n">
        <x:v>3</x:v>
      </x:c>
      <x:c r="H4672" s="6" t="n">
        <x:v>4</x:v>
      </x:c>
      <x:c r="I4672" s="6" t="n">
        <x:f>G4672-H4672</x:f>
        <x:v>-1</x:v>
      </x:c>
      <x:c r="J4672" s="6" t="n">
        <x:f>IF(OR(E4672="CANCELED",E4672="SUSPECTED_FRAUD",F4672="Shipping canceled"),0,1)</x:f>
        <x:v>1</x:v>
      </x:c>
      <x:c r="K4672" s="6" t="n">
        <x:f>IF(G4672&gt;H4672,1,0)</x:f>
        <x:v>0</x:v>
      </x:c>
      <x:c r="L4672" s="6" t="n">
        <x:f>J4672*K4672</x:f>
        <x:v>0</x:v>
      </x:c>
    </x:row>
    <x:row r="4673">
      <x:c r="A4673" s="1" t="n">
        <x:v>36062</x:v>
      </x:c>
      <x:c r="B4673" s="5" t="d">
        <x:v>2016-06-10T00:00:00.000Z</x:v>
      </x:c>
      <x:c r="C4673" s="1" t="str">
        <x:v>Second Class</x:v>
      </x:c>
      <x:c r="D4673" s="1" t="str">
        <x:v>USCA</x:v>
      </x:c>
      <x:c r="E4673" s="1" t="str">
        <x:v>COMPLETE</x:v>
      </x:c>
      <x:c r="F4673" s="1" t="str">
        <x:v>Late delivery</x:v>
      </x:c>
      <x:c r="G4673" s="6" t="n">
        <x:v>3</x:v>
      </x:c>
      <x:c r="H4673" s="6" t="n">
        <x:v>2</x:v>
      </x:c>
      <x:c r="I4673" s="6" t="n">
        <x:f>G4673-H4673</x:f>
        <x:v>1</x:v>
      </x:c>
      <x:c r="J4673" s="6" t="n">
        <x:f>IF(OR(E4673="CANCELED",E4673="SUSPECTED_FRAUD",F4673="Shipping canceled"),0,1)</x:f>
        <x:v>1</x:v>
      </x:c>
      <x:c r="K4673" s="6" t="n">
        <x:f>IF(G4673&gt;H4673,1,0)</x:f>
        <x:v>1</x:v>
      </x:c>
      <x:c r="L4673" s="6" t="n">
        <x:f>J4673*K4673</x:f>
        <x:v>1</x:v>
      </x:c>
    </x:row>
    <x:row r="4674">
      <x:c r="A4674" s="1" t="n">
        <x:v>36070</x:v>
      </x:c>
      <x:c r="B4674" s="5" t="d">
        <x:v>2016-06-10T00:00:00.000Z</x:v>
      </x:c>
      <x:c r="C4674" s="1" t="str">
        <x:v>Standard Class</x:v>
      </x:c>
      <x:c r="D4674" s="1" t="str">
        <x:v>USCA</x:v>
      </x:c>
      <x:c r="E4674" s="1" t="str">
        <x:v>COMPLETE</x:v>
      </x:c>
      <x:c r="F4674" s="1" t="str">
        <x:v>Late delivery</x:v>
      </x:c>
      <x:c r="G4674" s="6" t="n">
        <x:v>6</x:v>
      </x:c>
      <x:c r="H4674" s="6" t="n">
        <x:v>4</x:v>
      </x:c>
      <x:c r="I4674" s="6" t="n">
        <x:f>G4674-H4674</x:f>
        <x:v>2</x:v>
      </x:c>
      <x:c r="J4674" s="6" t="n">
        <x:f>IF(OR(E4674="CANCELED",E4674="SUSPECTED_FRAUD",F4674="Shipping canceled"),0,1)</x:f>
        <x:v>1</x:v>
      </x:c>
      <x:c r="K4674" s="6" t="n">
        <x:f>IF(G4674&gt;H4674,1,0)</x:f>
        <x:v>1</x:v>
      </x:c>
      <x:c r="L4674" s="6" t="n">
        <x:f>J4674*K4674</x:f>
        <x:v>1</x:v>
      </x:c>
    </x:row>
    <x:row r="4675">
      <x:c r="A4675" s="1" t="n">
        <x:v>36091</x:v>
      </x:c>
      <x:c r="B4675" s="5" t="d">
        <x:v>2016-06-10T00:00:00.000Z</x:v>
      </x:c>
      <x:c r="C4675" s="1" t="str">
        <x:v>Standard Class</x:v>
      </x:c>
      <x:c r="D4675" s="1" t="str">
        <x:v>USCA</x:v>
      </x:c>
      <x:c r="E4675" s="1" t="str">
        <x:v>PENDING_PAYMENT</x:v>
      </x:c>
      <x:c r="F4675" s="1" t="str">
        <x:v>Advance shipping</x:v>
      </x:c>
      <x:c r="G4675" s="6" t="n">
        <x:v>2</x:v>
      </x:c>
      <x:c r="H4675" s="6" t="n">
        <x:v>4</x:v>
      </x:c>
      <x:c r="I4675" s="6" t="n">
        <x:f>G4675-H4675</x:f>
        <x:v>-2</x:v>
      </x:c>
      <x:c r="J4675" s="6" t="n">
        <x:f>IF(OR(E4675="CANCELED",E4675="SUSPECTED_FRAUD",F4675="Shipping canceled"),0,1)</x:f>
        <x:v>1</x:v>
      </x:c>
      <x:c r="K4675" s="6" t="n">
        <x:f>IF(G4675&gt;H4675,1,0)</x:f>
        <x:v>0</x:v>
      </x:c>
      <x:c r="L4675" s="6" t="n">
        <x:f>J4675*K4675</x:f>
        <x:v>0</x:v>
      </x:c>
    </x:row>
    <x:row r="4676">
      <x:c r="A4676" s="1" t="n">
        <x:v>36093</x:v>
      </x:c>
      <x:c r="B4676" s="5" t="d">
        <x:v>2016-06-10T00:00:00.000Z</x:v>
      </x:c>
      <x:c r="C4676" s="1" t="str">
        <x:v>Standard Class</x:v>
      </x:c>
      <x:c r="D4676" s="1" t="str">
        <x:v>USCA</x:v>
      </x:c>
      <x:c r="E4676" s="1" t="str">
        <x:v>PROCESSING</x:v>
      </x:c>
      <x:c r="F4676" s="1" t="str">
        <x:v>Shipping on time</x:v>
      </x:c>
      <x:c r="G4676" s="6" t="n">
        <x:v>4</x:v>
      </x:c>
      <x:c r="H4676" s="6" t="n">
        <x:v>4</x:v>
      </x:c>
      <x:c r="I4676" s="6" t="n">
        <x:f>G4676-H4676</x:f>
        <x:v>0</x:v>
      </x:c>
      <x:c r="J4676" s="6" t="n">
        <x:f>IF(OR(E4676="CANCELED",E4676="SUSPECTED_FRAUD",F4676="Shipping canceled"),0,1)</x:f>
        <x:v>1</x:v>
      </x:c>
      <x:c r="K4676" s="6" t="n">
        <x:f>IF(G4676&gt;H4676,1,0)</x:f>
        <x:v>0</x:v>
      </x:c>
      <x:c r="L4676" s="6" t="n">
        <x:f>J4676*K4676</x:f>
        <x:v>0</x:v>
      </x:c>
    </x:row>
    <x:row r="4677">
      <x:c r="A4677" s="1" t="n">
        <x:v>36099</x:v>
      </x:c>
      <x:c r="B4677" s="5" t="d">
        <x:v>2016-06-10T00:00:00.000Z</x:v>
      </x:c>
      <x:c r="C4677" s="1" t="str">
        <x:v>Standard Class</x:v>
      </x:c>
      <x:c r="D4677" s="1" t="str">
        <x:v>USCA</x:v>
      </x:c>
      <x:c r="E4677" s="1" t="str">
        <x:v>PENDING_PAYMENT</x:v>
      </x:c>
      <x:c r="F4677" s="1" t="str">
        <x:v>Late delivery</x:v>
      </x:c>
      <x:c r="G4677" s="6" t="n">
        <x:v>5</x:v>
      </x:c>
      <x:c r="H4677" s="6" t="n">
        <x:v>4</x:v>
      </x:c>
      <x:c r="I4677" s="6" t="n">
        <x:f>G4677-H4677</x:f>
        <x:v>1</x:v>
      </x:c>
      <x:c r="J4677" s="6" t="n">
        <x:f>IF(OR(E4677="CANCELED",E4677="SUSPECTED_FRAUD",F4677="Shipping canceled"),0,1)</x:f>
        <x:v>1</x:v>
      </x:c>
      <x:c r="K4677" s="6" t="n">
        <x:f>IF(G4677&gt;H4677,1,0)</x:f>
        <x:v>1</x:v>
      </x:c>
      <x:c r="L4677" s="6" t="n">
        <x:f>J4677*K4677</x:f>
        <x:v>1</x:v>
      </x:c>
    </x:row>
    <x:row r="4678">
      <x:c r="A4678" s="1" t="n">
        <x:v>36108</x:v>
      </x:c>
      <x:c r="B4678" s="5" t="d">
        <x:v>2016-06-11T00:00:00.000Z</x:v>
      </x:c>
      <x:c r="C4678" s="1" t="str">
        <x:v>Standard Class</x:v>
      </x:c>
      <x:c r="D4678" s="1" t="str">
        <x:v>USCA</x:v>
      </x:c>
      <x:c r="E4678" s="1" t="str">
        <x:v>PROCESSING</x:v>
      </x:c>
      <x:c r="F4678" s="1" t="str">
        <x:v>Shipping on time</x:v>
      </x:c>
      <x:c r="G4678" s="6" t="n">
        <x:v>4</x:v>
      </x:c>
      <x:c r="H4678" s="6" t="n">
        <x:v>4</x:v>
      </x:c>
      <x:c r="I4678" s="6" t="n">
        <x:f>G4678-H4678</x:f>
        <x:v>0</x:v>
      </x:c>
      <x:c r="J4678" s="6" t="n">
        <x:f>IF(OR(E4678="CANCELED",E4678="SUSPECTED_FRAUD",F4678="Shipping canceled"),0,1)</x:f>
        <x:v>1</x:v>
      </x:c>
      <x:c r="K4678" s="6" t="n">
        <x:f>IF(G4678&gt;H4678,1,0)</x:f>
        <x:v>0</x:v>
      </x:c>
      <x:c r="L4678" s="6" t="n">
        <x:f>J4678*K4678</x:f>
        <x:v>0</x:v>
      </x:c>
    </x:row>
    <x:row r="4679">
      <x:c r="A4679" s="1" t="n">
        <x:v>36128</x:v>
      </x:c>
      <x:c r="B4679" s="5" t="d">
        <x:v>2016-06-11T00:00:00.000Z</x:v>
      </x:c>
      <x:c r="C4679" s="1" t="str">
        <x:v>Second Class</x:v>
      </x:c>
      <x:c r="D4679" s="1" t="str">
        <x:v>USCA</x:v>
      </x:c>
      <x:c r="E4679" s="1" t="str">
        <x:v>PENDING_PAYMENT</x:v>
      </x:c>
      <x:c r="F4679" s="1" t="str">
        <x:v>Late delivery</x:v>
      </x:c>
      <x:c r="G4679" s="6" t="n">
        <x:v>4</x:v>
      </x:c>
      <x:c r="H4679" s="6" t="n">
        <x:v>2</x:v>
      </x:c>
      <x:c r="I4679" s="6" t="n">
        <x:f>G4679-H4679</x:f>
        <x:v>2</x:v>
      </x:c>
      <x:c r="J4679" s="6" t="n">
        <x:f>IF(OR(E4679="CANCELED",E4679="SUSPECTED_FRAUD",F4679="Shipping canceled"),0,1)</x:f>
        <x:v>1</x:v>
      </x:c>
      <x:c r="K4679" s="6" t="n">
        <x:f>IF(G4679&gt;H4679,1,0)</x:f>
        <x:v>1</x:v>
      </x:c>
      <x:c r="L4679" s="6" t="n">
        <x:f>J4679*K4679</x:f>
        <x:v>1</x:v>
      </x:c>
    </x:row>
    <x:row r="4680">
      <x:c r="A4680" s="1" t="n">
        <x:v>36131</x:v>
      </x:c>
      <x:c r="B4680" s="5" t="d">
        <x:v>2016-06-11T00:00:00.000Z</x:v>
      </x:c>
      <x:c r="C4680" s="1" t="str">
        <x:v>Standard Class</x:v>
      </x:c>
      <x:c r="D4680" s="1" t="str">
        <x:v>USCA</x:v>
      </x:c>
      <x:c r="E4680" s="1" t="str">
        <x:v>COMPLETE</x:v>
      </x:c>
      <x:c r="F4680" s="1" t="str">
        <x:v>Advance shipping</x:v>
      </x:c>
      <x:c r="G4680" s="6" t="n">
        <x:v>2</x:v>
      </x:c>
      <x:c r="H4680" s="6" t="n">
        <x:v>4</x:v>
      </x:c>
      <x:c r="I4680" s="6" t="n">
        <x:f>G4680-H4680</x:f>
        <x:v>-2</x:v>
      </x:c>
      <x:c r="J4680" s="6" t="n">
        <x:f>IF(OR(E4680="CANCELED",E4680="SUSPECTED_FRAUD",F4680="Shipping canceled"),0,1)</x:f>
        <x:v>1</x:v>
      </x:c>
      <x:c r="K4680" s="6" t="n">
        <x:f>IF(G4680&gt;H4680,1,0)</x:f>
        <x:v>0</x:v>
      </x:c>
      <x:c r="L4680" s="6" t="n">
        <x:f>J4680*K4680</x:f>
        <x:v>0</x:v>
      </x:c>
    </x:row>
    <x:row r="4681">
      <x:c r="A4681" s="1" t="n">
        <x:v>36141</x:v>
      </x:c>
      <x:c r="B4681" s="5" t="d">
        <x:v>2016-06-11T00:00:00.000Z</x:v>
      </x:c>
      <x:c r="C4681" s="1" t="str">
        <x:v>Standard Class</x:v>
      </x:c>
      <x:c r="D4681" s="1" t="str">
        <x:v>USCA</x:v>
      </x:c>
      <x:c r="E4681" s="1" t="str">
        <x:v>CLOSED</x:v>
      </x:c>
      <x:c r="F4681" s="1" t="str">
        <x:v>Advance shipping</x:v>
      </x:c>
      <x:c r="G4681" s="6" t="n">
        <x:v>2</x:v>
      </x:c>
      <x:c r="H4681" s="6" t="n">
        <x:v>4</x:v>
      </x:c>
      <x:c r="I4681" s="6" t="n">
        <x:f>G4681-H4681</x:f>
        <x:v>-2</x:v>
      </x:c>
      <x:c r="J4681" s="6" t="n">
        <x:f>IF(OR(E4681="CANCELED",E4681="SUSPECTED_FRAUD",F4681="Shipping canceled"),0,1)</x:f>
        <x:v>1</x:v>
      </x:c>
      <x:c r="K4681" s="6" t="n">
        <x:f>IF(G4681&gt;H4681,1,0)</x:f>
        <x:v>0</x:v>
      </x:c>
      <x:c r="L4681" s="6" t="n">
        <x:f>J4681*K4681</x:f>
        <x:v>0</x:v>
      </x:c>
    </x:row>
    <x:row r="4682">
      <x:c r="A4682" s="1" t="n">
        <x:v>36146</x:v>
      </x:c>
      <x:c r="B4682" s="5" t="d">
        <x:v>2016-06-11T00:00:00.000Z</x:v>
      </x:c>
      <x:c r="C4682" s="1" t="str">
        <x:v>Second Class</x:v>
      </x:c>
      <x:c r="D4682" s="1" t="str">
        <x:v>USCA</x:v>
      </x:c>
      <x:c r="E4682" s="1" t="str">
        <x:v>PENDING_PAYMENT</x:v>
      </x:c>
      <x:c r="F4682" s="1" t="str">
        <x:v>Shipping on time</x:v>
      </x:c>
      <x:c r="G4682" s="6" t="n">
        <x:v>2</x:v>
      </x:c>
      <x:c r="H4682" s="6" t="n">
        <x:v>2</x:v>
      </x:c>
      <x:c r="I4682" s="6" t="n">
        <x:f>G4682-H4682</x:f>
        <x:v>0</x:v>
      </x:c>
      <x:c r="J4682" s="6" t="n">
        <x:f>IF(OR(E4682="CANCELED",E4682="SUSPECTED_FRAUD",F4682="Shipping canceled"),0,1)</x:f>
        <x:v>1</x:v>
      </x:c>
      <x:c r="K4682" s="6" t="n">
        <x:f>IF(G4682&gt;H4682,1,0)</x:f>
        <x:v>0</x:v>
      </x:c>
      <x:c r="L4682" s="6" t="n">
        <x:f>J4682*K4682</x:f>
        <x:v>0</x:v>
      </x:c>
    </x:row>
    <x:row r="4683">
      <x:c r="A4683" s="1" t="n">
        <x:v>36150</x:v>
      </x:c>
      <x:c r="B4683" s="5" t="d">
        <x:v>2016-06-11T00:00:00.000Z</x:v>
      </x:c>
      <x:c r="C4683" s="1" t="str">
        <x:v>Second Class</x:v>
      </x:c>
      <x:c r="D4683" s="1" t="str">
        <x:v>USCA</x:v>
      </x:c>
      <x:c r="E4683" s="1" t="str">
        <x:v>COMPLETE</x:v>
      </x:c>
      <x:c r="F4683" s="1" t="str">
        <x:v>Late delivery</x:v>
      </x:c>
      <x:c r="G4683" s="6" t="n">
        <x:v>6</x:v>
      </x:c>
      <x:c r="H4683" s="6" t="n">
        <x:v>2</x:v>
      </x:c>
      <x:c r="I4683" s="6" t="n">
        <x:f>G4683-H4683</x:f>
        <x:v>4</x:v>
      </x:c>
      <x:c r="J4683" s="6" t="n">
        <x:f>IF(OR(E4683="CANCELED",E4683="SUSPECTED_FRAUD",F4683="Shipping canceled"),0,1)</x:f>
        <x:v>1</x:v>
      </x:c>
      <x:c r="K4683" s="6" t="n">
        <x:f>IF(G4683&gt;H4683,1,0)</x:f>
        <x:v>1</x:v>
      </x:c>
      <x:c r="L4683" s="6" t="n">
        <x:f>J4683*K4683</x:f>
        <x:v>1</x:v>
      </x:c>
    </x:row>
    <x:row r="4684">
      <x:c r="A4684" s="1" t="n">
        <x:v>36156</x:v>
      </x:c>
      <x:c r="B4684" s="5" t="d">
        <x:v>2016-06-11T00:00:00.000Z</x:v>
      </x:c>
      <x:c r="C4684" s="1" t="str">
        <x:v>Standard Class</x:v>
      </x:c>
      <x:c r="D4684" s="1" t="str">
        <x:v>USCA</x:v>
      </x:c>
      <x:c r="E4684" s="1" t="str">
        <x:v>COMPLETE</x:v>
      </x:c>
      <x:c r="F4684" s="1" t="str">
        <x:v>Advance shipping</x:v>
      </x:c>
      <x:c r="G4684" s="6" t="n">
        <x:v>2</x:v>
      </x:c>
      <x:c r="H4684" s="6" t="n">
        <x:v>4</x:v>
      </x:c>
      <x:c r="I4684" s="6" t="n">
        <x:f>G4684-H4684</x:f>
        <x:v>-2</x:v>
      </x:c>
      <x:c r="J4684" s="6" t="n">
        <x:f>IF(OR(E4684="CANCELED",E4684="SUSPECTED_FRAUD",F4684="Shipping canceled"),0,1)</x:f>
        <x:v>1</x:v>
      </x:c>
      <x:c r="K4684" s="6" t="n">
        <x:f>IF(G4684&gt;H4684,1,0)</x:f>
        <x:v>0</x:v>
      </x:c>
      <x:c r="L4684" s="6" t="n">
        <x:f>J4684*K4684</x:f>
        <x:v>0</x:v>
      </x:c>
    </x:row>
    <x:row r="4685">
      <x:c r="A4685" s="1" t="n">
        <x:v>36175</x:v>
      </x:c>
      <x:c r="B4685" s="5" t="d">
        <x:v>2016-06-12T00:00:00.000Z</x:v>
      </x:c>
      <x:c r="C4685" s="1" t="str">
        <x:v>Standard Class</x:v>
      </x:c>
      <x:c r="D4685" s="1" t="str">
        <x:v>USCA</x:v>
      </x:c>
      <x:c r="E4685" s="1" t="str">
        <x:v>COMPLETE</x:v>
      </x:c>
      <x:c r="F4685" s="1" t="str">
        <x:v>Late delivery</x:v>
      </x:c>
      <x:c r="G4685" s="6" t="n">
        <x:v>6</x:v>
      </x:c>
      <x:c r="H4685" s="6" t="n">
        <x:v>4</x:v>
      </x:c>
      <x:c r="I4685" s="6" t="n">
        <x:f>G4685-H4685</x:f>
        <x:v>2</x:v>
      </x:c>
      <x:c r="J4685" s="6" t="n">
        <x:f>IF(OR(E4685="CANCELED",E4685="SUSPECTED_FRAUD",F4685="Shipping canceled"),0,1)</x:f>
        <x:v>1</x:v>
      </x:c>
      <x:c r="K4685" s="6" t="n">
        <x:f>IF(G4685&gt;H4685,1,0)</x:f>
        <x:v>1</x:v>
      </x:c>
      <x:c r="L4685" s="6" t="n">
        <x:f>J4685*K4685</x:f>
        <x:v>1</x:v>
      </x:c>
    </x:row>
    <x:row r="4686">
      <x:c r="A4686" s="1" t="n">
        <x:v>36176</x:v>
      </x:c>
      <x:c r="B4686" s="5" t="d">
        <x:v>2016-06-12T00:00:00.000Z</x:v>
      </x:c>
      <x:c r="C4686" s="1" t="str">
        <x:v>Standard Class</x:v>
      </x:c>
      <x:c r="D4686" s="1" t="str">
        <x:v>USCA</x:v>
      </x:c>
      <x:c r="E4686" s="1" t="str">
        <x:v>PENDING</x:v>
      </x:c>
      <x:c r="F4686" s="1" t="str">
        <x:v>Advance shipping</x:v>
      </x:c>
      <x:c r="G4686" s="6" t="n">
        <x:v>2</x:v>
      </x:c>
      <x:c r="H4686" s="6" t="n">
        <x:v>4</x:v>
      </x:c>
      <x:c r="I4686" s="6" t="n">
        <x:f>G4686-H4686</x:f>
        <x:v>-2</x:v>
      </x:c>
      <x:c r="J4686" s="6" t="n">
        <x:f>IF(OR(E4686="CANCELED",E4686="SUSPECTED_FRAUD",F4686="Shipping canceled"),0,1)</x:f>
        <x:v>1</x:v>
      </x:c>
      <x:c r="K4686" s="6" t="n">
        <x:f>IF(G4686&gt;H4686,1,0)</x:f>
        <x:v>0</x:v>
      </x:c>
      <x:c r="L4686" s="6" t="n">
        <x:f>J4686*K4686</x:f>
        <x:v>0</x:v>
      </x:c>
    </x:row>
    <x:row r="4687">
      <x:c r="A4687" s="1" t="n">
        <x:v>36179</x:v>
      </x:c>
      <x:c r="B4687" s="5" t="d">
        <x:v>2016-06-12T00:00:00.000Z</x:v>
      </x:c>
      <x:c r="C4687" s="1" t="str">
        <x:v>Standard Class</x:v>
      </x:c>
      <x:c r="D4687" s="1" t="str">
        <x:v>USCA</x:v>
      </x:c>
      <x:c r="E4687" s="1" t="str">
        <x:v>PENDING</x:v>
      </x:c>
      <x:c r="F4687" s="1" t="str">
        <x:v>Late delivery</x:v>
      </x:c>
      <x:c r="G4687" s="6" t="n">
        <x:v>5</x:v>
      </x:c>
      <x:c r="H4687" s="6" t="n">
        <x:v>4</x:v>
      </x:c>
      <x:c r="I4687" s="6" t="n">
        <x:f>G4687-H4687</x:f>
        <x:v>1</x:v>
      </x:c>
      <x:c r="J4687" s="6" t="n">
        <x:f>IF(OR(E4687="CANCELED",E4687="SUSPECTED_FRAUD",F4687="Shipping canceled"),0,1)</x:f>
        <x:v>1</x:v>
      </x:c>
      <x:c r="K4687" s="6" t="n">
        <x:f>IF(G4687&gt;H4687,1,0)</x:f>
        <x:v>1</x:v>
      </x:c>
      <x:c r="L4687" s="6" t="n">
        <x:f>J4687*K4687</x:f>
        <x:v>1</x:v>
      </x:c>
    </x:row>
    <x:row r="4688">
      <x:c r="A4688" s="1" t="n">
        <x:v>36184</x:v>
      </x:c>
      <x:c r="B4688" s="5" t="d">
        <x:v>2016-06-12T00:00:00.000Z</x:v>
      </x:c>
      <x:c r="C4688" s="1" t="str">
        <x:v>Standard Class</x:v>
      </x:c>
      <x:c r="D4688" s="1" t="str">
        <x:v>USCA</x:v>
      </x:c>
      <x:c r="E4688" s="1" t="str">
        <x:v>ON_HOLD</x:v>
      </x:c>
      <x:c r="F4688" s="1" t="str">
        <x:v>Late delivery</x:v>
      </x:c>
      <x:c r="G4688" s="6" t="n">
        <x:v>5</x:v>
      </x:c>
      <x:c r="H4688" s="6" t="n">
        <x:v>4</x:v>
      </x:c>
      <x:c r="I4688" s="6" t="n">
        <x:f>G4688-H4688</x:f>
        <x:v>1</x:v>
      </x:c>
      <x:c r="J4688" s="6" t="n">
        <x:f>IF(OR(E4688="CANCELED",E4688="SUSPECTED_FRAUD",F4688="Shipping canceled"),0,1)</x:f>
        <x:v>1</x:v>
      </x:c>
      <x:c r="K4688" s="6" t="n">
        <x:f>IF(G4688&gt;H4688,1,0)</x:f>
        <x:v>1</x:v>
      </x:c>
      <x:c r="L4688" s="6" t="n">
        <x:f>J4688*K4688</x:f>
        <x:v>1</x:v>
      </x:c>
    </x:row>
    <x:row r="4689">
      <x:c r="A4689" s="1" t="n">
        <x:v>36189</x:v>
      </x:c>
      <x:c r="B4689" s="5" t="d">
        <x:v>2016-06-12T00:00:00.000Z</x:v>
      </x:c>
      <x:c r="C4689" s="1" t="str">
        <x:v>Standard Class</x:v>
      </x:c>
      <x:c r="D4689" s="1" t="str">
        <x:v>USCA</x:v>
      </x:c>
      <x:c r="E4689" s="1" t="str">
        <x:v>COMPLETE</x:v>
      </x:c>
      <x:c r="F4689" s="1" t="str">
        <x:v>Late delivery</x:v>
      </x:c>
      <x:c r="G4689" s="6" t="n">
        <x:v>5</x:v>
      </x:c>
      <x:c r="H4689" s="6" t="n">
        <x:v>4</x:v>
      </x:c>
      <x:c r="I4689" s="6" t="n">
        <x:f>G4689-H4689</x:f>
        <x:v>1</x:v>
      </x:c>
      <x:c r="J4689" s="6" t="n">
        <x:f>IF(OR(E4689="CANCELED",E4689="SUSPECTED_FRAUD",F4689="Shipping canceled"),0,1)</x:f>
        <x:v>1</x:v>
      </x:c>
      <x:c r="K4689" s="6" t="n">
        <x:f>IF(G4689&gt;H4689,1,0)</x:f>
        <x:v>1</x:v>
      </x:c>
      <x:c r="L4689" s="6" t="n">
        <x:f>J4689*K4689</x:f>
        <x:v>1</x:v>
      </x:c>
    </x:row>
    <x:row r="4690">
      <x:c r="A4690" s="1" t="n">
        <x:v>36210</x:v>
      </x:c>
      <x:c r="B4690" s="5" t="d">
        <x:v>2016-06-12T00:00:00.000Z</x:v>
      </x:c>
      <x:c r="C4690" s="1" t="str">
        <x:v>First Class</x:v>
      </x:c>
      <x:c r="D4690" s="1" t="str">
        <x:v>USCA</x:v>
      </x:c>
      <x:c r="E4690" s="1" t="str">
        <x:v>PENDING</x:v>
      </x:c>
      <x:c r="F4690" s="1" t="str">
        <x:v>Late delivery</x:v>
      </x:c>
      <x:c r="G4690" s="6" t="n">
        <x:v>2</x:v>
      </x:c>
      <x:c r="H4690" s="6" t="n">
        <x:v>1</x:v>
      </x:c>
      <x:c r="I4690" s="6" t="n">
        <x:f>G4690-H4690</x:f>
        <x:v>1</x:v>
      </x:c>
      <x:c r="J4690" s="6" t="n">
        <x:f>IF(OR(E4690="CANCELED",E4690="SUSPECTED_FRAUD",F4690="Shipping canceled"),0,1)</x:f>
        <x:v>1</x:v>
      </x:c>
      <x:c r="K4690" s="6" t="n">
        <x:f>IF(G4690&gt;H4690,1,0)</x:f>
        <x:v>1</x:v>
      </x:c>
      <x:c r="L4690" s="6" t="n">
        <x:f>J4690*K4690</x:f>
        <x:v>1</x:v>
      </x:c>
    </x:row>
    <x:row r="4691">
      <x:c r="A4691" s="1" t="n">
        <x:v>36216</x:v>
      </x:c>
      <x:c r="B4691" s="5" t="d">
        <x:v>2016-06-12T00:00:00.000Z</x:v>
      </x:c>
      <x:c r="C4691" s="1" t="str">
        <x:v>Second Class</x:v>
      </x:c>
      <x:c r="D4691" s="1" t="str">
        <x:v>USCA</x:v>
      </x:c>
      <x:c r="E4691" s="1" t="str">
        <x:v>PENDING</x:v>
      </x:c>
      <x:c r="F4691" s="1" t="str">
        <x:v>Shipping on time</x:v>
      </x:c>
      <x:c r="G4691" s="6" t="n">
        <x:v>2</x:v>
      </x:c>
      <x:c r="H4691" s="6" t="n">
        <x:v>2</x:v>
      </x:c>
      <x:c r="I4691" s="6" t="n">
        <x:f>G4691-H4691</x:f>
        <x:v>0</x:v>
      </x:c>
      <x:c r="J4691" s="6" t="n">
        <x:f>IF(OR(E4691="CANCELED",E4691="SUSPECTED_FRAUD",F4691="Shipping canceled"),0,1)</x:f>
        <x:v>1</x:v>
      </x:c>
      <x:c r="K4691" s="6" t="n">
        <x:f>IF(G4691&gt;H4691,1,0)</x:f>
        <x:v>0</x:v>
      </x:c>
      <x:c r="L4691" s="6" t="n">
        <x:f>J4691*K4691</x:f>
        <x:v>0</x:v>
      </x:c>
    </x:row>
    <x:row r="4692">
      <x:c r="A4692" s="1" t="n">
        <x:v>36222</x:v>
      </x:c>
      <x:c r="B4692" s="5" t="d">
        <x:v>2016-06-12T00:00:00.000Z</x:v>
      </x:c>
      <x:c r="C4692" s="1" t="str">
        <x:v>Standard Class</x:v>
      </x:c>
      <x:c r="D4692" s="1" t="str">
        <x:v>USCA</x:v>
      </x:c>
      <x:c r="E4692" s="1" t="str">
        <x:v>SUSPECTED_FRAUD</x:v>
      </x:c>
      <x:c r="F4692" s="1" t="str">
        <x:v>Shipping canceled</x:v>
      </x:c>
      <x:c r="G4692" s="6" t="n">
        <x:v>3</x:v>
      </x:c>
      <x:c r="H4692" s="6" t="n">
        <x:v>4</x:v>
      </x:c>
      <x:c r="I4692" s="6" t="n">
        <x:f>G4692-H4692</x:f>
        <x:v>-1</x:v>
      </x:c>
      <x:c r="J4692" s="6" t="n">
        <x:f>IF(OR(E4692="CANCELED",E4692="SUSPECTED_FRAUD",F4692="Shipping canceled"),0,1)</x:f>
        <x:v>0</x:v>
      </x:c>
      <x:c r="K4692" s="6" t="n">
        <x:f>IF(G4692&gt;H4692,1,0)</x:f>
        <x:v>0</x:v>
      </x:c>
      <x:c r="L4692" s="6" t="n">
        <x:f>J4692*K4692</x:f>
        <x:v>0</x:v>
      </x:c>
    </x:row>
    <x:row r="4693">
      <x:c r="A4693" s="1" t="n">
        <x:v>36238</x:v>
      </x:c>
      <x:c r="B4693" s="5" t="d">
        <x:v>2016-06-12T00:00:00.000Z</x:v>
      </x:c>
      <x:c r="C4693" s="1" t="str">
        <x:v>Second Class</x:v>
      </x:c>
      <x:c r="D4693" s="1" t="str">
        <x:v>USCA</x:v>
      </x:c>
      <x:c r="E4693" s="1" t="str">
        <x:v>COMPLETE</x:v>
      </x:c>
      <x:c r="F4693" s="1" t="str">
        <x:v>Late delivery</x:v>
      </x:c>
      <x:c r="G4693" s="6" t="n">
        <x:v>4</x:v>
      </x:c>
      <x:c r="H4693" s="6" t="n">
        <x:v>2</x:v>
      </x:c>
      <x:c r="I4693" s="6" t="n">
        <x:f>G4693-H4693</x:f>
        <x:v>2</x:v>
      </x:c>
      <x:c r="J4693" s="6" t="n">
        <x:f>IF(OR(E4693="CANCELED",E4693="SUSPECTED_FRAUD",F4693="Shipping canceled"),0,1)</x:f>
        <x:v>1</x:v>
      </x:c>
      <x:c r="K4693" s="6" t="n">
        <x:f>IF(G4693&gt;H4693,1,0)</x:f>
        <x:v>1</x:v>
      </x:c>
      <x:c r="L4693" s="6" t="n">
        <x:f>J4693*K4693</x:f>
        <x:v>1</x:v>
      </x:c>
    </x:row>
    <x:row r="4694">
      <x:c r="A4694" s="1" t="n">
        <x:v>36269</x:v>
      </x:c>
      <x:c r="B4694" s="5" t="d">
        <x:v>2016-06-13T00:00:00.000Z</x:v>
      </x:c>
      <x:c r="C4694" s="1" t="str">
        <x:v>Second Class</x:v>
      </x:c>
      <x:c r="D4694" s="1" t="str">
        <x:v>USCA</x:v>
      </x:c>
      <x:c r="E4694" s="1" t="str">
        <x:v>PENDING_PAYMENT</x:v>
      </x:c>
      <x:c r="F4694" s="1" t="str">
        <x:v>Late delivery</x:v>
      </x:c>
      <x:c r="G4694" s="6" t="n">
        <x:v>5</x:v>
      </x:c>
      <x:c r="H4694" s="6" t="n">
        <x:v>2</x:v>
      </x:c>
      <x:c r="I4694" s="6" t="n">
        <x:f>G4694-H4694</x:f>
        <x:v>3</x:v>
      </x:c>
      <x:c r="J4694" s="6" t="n">
        <x:f>IF(OR(E4694="CANCELED",E4694="SUSPECTED_FRAUD",F4694="Shipping canceled"),0,1)</x:f>
        <x:v>1</x:v>
      </x:c>
      <x:c r="K4694" s="6" t="n">
        <x:f>IF(G4694&gt;H4694,1,0)</x:f>
        <x:v>1</x:v>
      </x:c>
      <x:c r="L4694" s="6" t="n">
        <x:f>J4694*K4694</x:f>
        <x:v>1</x:v>
      </x:c>
    </x:row>
    <x:row r="4695">
      <x:c r="A4695" s="1" t="n">
        <x:v>36271</x:v>
      </x:c>
      <x:c r="B4695" s="5" t="d">
        <x:v>2016-06-13T00:00:00.000Z</x:v>
      </x:c>
      <x:c r="C4695" s="1" t="str">
        <x:v>Second Class</x:v>
      </x:c>
      <x:c r="D4695" s="1" t="str">
        <x:v>USCA</x:v>
      </x:c>
      <x:c r="E4695" s="1" t="str">
        <x:v>ON_HOLD</x:v>
      </x:c>
      <x:c r="F4695" s="1" t="str">
        <x:v>Shipping on time</x:v>
      </x:c>
      <x:c r="G4695" s="6" t="n">
        <x:v>2</x:v>
      </x:c>
      <x:c r="H4695" s="6" t="n">
        <x:v>2</x:v>
      </x:c>
      <x:c r="I4695" s="6" t="n">
        <x:f>G4695-H4695</x:f>
        <x:v>0</x:v>
      </x:c>
      <x:c r="J4695" s="6" t="n">
        <x:f>IF(OR(E4695="CANCELED",E4695="SUSPECTED_FRAUD",F4695="Shipping canceled"),0,1)</x:f>
        <x:v>1</x:v>
      </x:c>
      <x:c r="K4695" s="6" t="n">
        <x:f>IF(G4695&gt;H4695,1,0)</x:f>
        <x:v>0</x:v>
      </x:c>
      <x:c r="L4695" s="6" t="n">
        <x:f>J4695*K4695</x:f>
        <x:v>0</x:v>
      </x:c>
    </x:row>
    <x:row r="4696">
      <x:c r="A4696" s="1" t="n">
        <x:v>36289</x:v>
      </x:c>
      <x:c r="B4696" s="5" t="d">
        <x:v>2016-06-13T00:00:00.000Z</x:v>
      </x:c>
      <x:c r="C4696" s="1" t="str">
        <x:v>Second Class</x:v>
      </x:c>
      <x:c r="D4696" s="1" t="str">
        <x:v>USCA</x:v>
      </x:c>
      <x:c r="E4696" s="1" t="str">
        <x:v>PENDING</x:v>
      </x:c>
      <x:c r="F4696" s="1" t="str">
        <x:v>Late delivery</x:v>
      </x:c>
      <x:c r="G4696" s="6" t="n">
        <x:v>5</x:v>
      </x:c>
      <x:c r="H4696" s="6" t="n">
        <x:v>2</x:v>
      </x:c>
      <x:c r="I4696" s="6" t="n">
        <x:f>G4696-H4696</x:f>
        <x:v>3</x:v>
      </x:c>
      <x:c r="J4696" s="6" t="n">
        <x:f>IF(OR(E4696="CANCELED",E4696="SUSPECTED_FRAUD",F4696="Shipping canceled"),0,1)</x:f>
        <x:v>1</x:v>
      </x:c>
      <x:c r="K4696" s="6" t="n">
        <x:f>IF(G4696&gt;H4696,1,0)</x:f>
        <x:v>1</x:v>
      </x:c>
      <x:c r="L4696" s="6" t="n">
        <x:f>J4696*K4696</x:f>
        <x:v>1</x:v>
      </x:c>
    </x:row>
    <x:row r="4697">
      <x:c r="A4697" s="1" t="n">
        <x:v>36292</x:v>
      </x:c>
      <x:c r="B4697" s="5" t="d">
        <x:v>2016-06-13T00:00:00.000Z</x:v>
      </x:c>
      <x:c r="C4697" s="1" t="str">
        <x:v>Second Class</x:v>
      </x:c>
      <x:c r="D4697" s="1" t="str">
        <x:v>USCA</x:v>
      </x:c>
      <x:c r="E4697" s="1" t="str">
        <x:v>COMPLETE</x:v>
      </x:c>
      <x:c r="F4697" s="1" t="str">
        <x:v>Late delivery</x:v>
      </x:c>
      <x:c r="G4697" s="6" t="n">
        <x:v>3</x:v>
      </x:c>
      <x:c r="H4697" s="6" t="n">
        <x:v>2</x:v>
      </x:c>
      <x:c r="I4697" s="6" t="n">
        <x:f>G4697-H4697</x:f>
        <x:v>1</x:v>
      </x:c>
      <x:c r="J4697" s="6" t="n">
        <x:f>IF(OR(E4697="CANCELED",E4697="SUSPECTED_FRAUD",F4697="Shipping canceled"),0,1)</x:f>
        <x:v>1</x:v>
      </x:c>
      <x:c r="K4697" s="6" t="n">
        <x:f>IF(G4697&gt;H4697,1,0)</x:f>
        <x:v>1</x:v>
      </x:c>
      <x:c r="L4697" s="6" t="n">
        <x:f>J4697*K4697</x:f>
        <x:v>1</x:v>
      </x:c>
    </x:row>
    <x:row r="4698">
      <x:c r="A4698" s="1" t="n">
        <x:v>36297</x:v>
      </x:c>
      <x:c r="B4698" s="5" t="d">
        <x:v>2016-06-13T00:00:00.000Z</x:v>
      </x:c>
      <x:c r="C4698" s="1" t="str">
        <x:v>Standard Class</x:v>
      </x:c>
      <x:c r="D4698" s="1" t="str">
        <x:v>USCA</x:v>
      </x:c>
      <x:c r="E4698" s="1" t="str">
        <x:v>PROCESSING</x:v>
      </x:c>
      <x:c r="F4698" s="1" t="str">
        <x:v>Advance shipping</x:v>
      </x:c>
      <x:c r="G4698" s="6" t="n">
        <x:v>3</x:v>
      </x:c>
      <x:c r="H4698" s="6" t="n">
        <x:v>4</x:v>
      </x:c>
      <x:c r="I4698" s="6" t="n">
        <x:f>G4698-H4698</x:f>
        <x:v>-1</x:v>
      </x:c>
      <x:c r="J4698" s="6" t="n">
        <x:f>IF(OR(E4698="CANCELED",E4698="SUSPECTED_FRAUD",F4698="Shipping canceled"),0,1)</x:f>
        <x:v>1</x:v>
      </x:c>
      <x:c r="K4698" s="6" t="n">
        <x:f>IF(G4698&gt;H4698,1,0)</x:f>
        <x:v>0</x:v>
      </x:c>
      <x:c r="L4698" s="6" t="n">
        <x:f>J4698*K4698</x:f>
        <x:v>0</x:v>
      </x:c>
    </x:row>
    <x:row r="4699">
      <x:c r="A4699" s="1" t="n">
        <x:v>36298</x:v>
      </x:c>
      <x:c r="B4699" s="5" t="d">
        <x:v>2016-06-13T00:00:00.000Z</x:v>
      </x:c>
      <x:c r="C4699" s="1" t="str">
        <x:v>Standard Class</x:v>
      </x:c>
      <x:c r="D4699" s="1" t="str">
        <x:v>USCA</x:v>
      </x:c>
      <x:c r="E4699" s="1" t="str">
        <x:v>PROCESSING</x:v>
      </x:c>
      <x:c r="F4699" s="1" t="str">
        <x:v>Shipping on time</x:v>
      </x:c>
      <x:c r="G4699" s="6" t="n">
        <x:v>4</x:v>
      </x:c>
      <x:c r="H4699" s="6" t="n">
        <x:v>4</x:v>
      </x:c>
      <x:c r="I4699" s="6" t="n">
        <x:f>G4699-H4699</x:f>
        <x:v>0</x:v>
      </x:c>
      <x:c r="J4699" s="6" t="n">
        <x:f>IF(OR(E4699="CANCELED",E4699="SUSPECTED_FRAUD",F4699="Shipping canceled"),0,1)</x:f>
        <x:v>1</x:v>
      </x:c>
      <x:c r="K4699" s="6" t="n">
        <x:f>IF(G4699&gt;H4699,1,0)</x:f>
        <x:v>0</x:v>
      </x:c>
      <x:c r="L4699" s="6" t="n">
        <x:f>J4699*K4699</x:f>
        <x:v>0</x:v>
      </x:c>
    </x:row>
    <x:row r="4700">
      <x:c r="A4700" s="1" t="n">
        <x:v>36329</x:v>
      </x:c>
      <x:c r="B4700" s="5" t="d">
        <x:v>2016-06-14T00:00:00.000Z</x:v>
      </x:c>
      <x:c r="C4700" s="1" t="str">
        <x:v>Second Class</x:v>
      </x:c>
      <x:c r="D4700" s="1" t="str">
        <x:v>USCA</x:v>
      </x:c>
      <x:c r="E4700" s="1" t="str">
        <x:v>PROCESSING</x:v>
      </x:c>
      <x:c r="F4700" s="1" t="str">
        <x:v>Late delivery</x:v>
      </x:c>
      <x:c r="G4700" s="6" t="n">
        <x:v>5</x:v>
      </x:c>
      <x:c r="H4700" s="6" t="n">
        <x:v>2</x:v>
      </x:c>
      <x:c r="I4700" s="6" t="n">
        <x:f>G4700-H4700</x:f>
        <x:v>3</x:v>
      </x:c>
      <x:c r="J4700" s="6" t="n">
        <x:f>IF(OR(E4700="CANCELED",E4700="SUSPECTED_FRAUD",F4700="Shipping canceled"),0,1)</x:f>
        <x:v>1</x:v>
      </x:c>
      <x:c r="K4700" s="6" t="n">
        <x:f>IF(G4700&gt;H4700,1,0)</x:f>
        <x:v>1</x:v>
      </x:c>
      <x:c r="L4700" s="6" t="n">
        <x:f>J4700*K4700</x:f>
        <x:v>1</x:v>
      </x:c>
    </x:row>
    <x:row r="4701">
      <x:c r="A4701" s="1" t="n">
        <x:v>36332</x:v>
      </x:c>
      <x:c r="B4701" s="5" t="d">
        <x:v>2016-06-14T00:00:00.000Z</x:v>
      </x:c>
      <x:c r="C4701" s="1" t="str">
        <x:v>Second Class</x:v>
      </x:c>
      <x:c r="D4701" s="1" t="str">
        <x:v>USCA</x:v>
      </x:c>
      <x:c r="E4701" s="1" t="str">
        <x:v>COMPLETE</x:v>
      </x:c>
      <x:c r="F4701" s="1" t="str">
        <x:v>Late delivery</x:v>
      </x:c>
      <x:c r="G4701" s="6" t="n">
        <x:v>3</x:v>
      </x:c>
      <x:c r="H4701" s="6" t="n">
        <x:v>2</x:v>
      </x:c>
      <x:c r="I4701" s="6" t="n">
        <x:f>G4701-H4701</x:f>
        <x:v>1</x:v>
      </x:c>
      <x:c r="J4701" s="6" t="n">
        <x:f>IF(OR(E4701="CANCELED",E4701="SUSPECTED_FRAUD",F4701="Shipping canceled"),0,1)</x:f>
        <x:v>1</x:v>
      </x:c>
      <x:c r="K4701" s="6" t="n">
        <x:f>IF(G4701&gt;H4701,1,0)</x:f>
        <x:v>1</x:v>
      </x:c>
      <x:c r="L4701" s="6" t="n">
        <x:f>J4701*K4701</x:f>
        <x:v>1</x:v>
      </x:c>
    </x:row>
    <x:row r="4702">
      <x:c r="A4702" s="1" t="n">
        <x:v>36338</x:v>
      </x:c>
      <x:c r="B4702" s="5" t="d">
        <x:v>2016-06-14T00:00:00.000Z</x:v>
      </x:c>
      <x:c r="C4702" s="1" t="str">
        <x:v>Standard Class</x:v>
      </x:c>
      <x:c r="D4702" s="1" t="str">
        <x:v>USCA</x:v>
      </x:c>
      <x:c r="E4702" s="1" t="str">
        <x:v>PENDING</x:v>
      </x:c>
      <x:c r="F4702" s="1" t="str">
        <x:v>Shipping on time</x:v>
      </x:c>
      <x:c r="G4702" s="6" t="n">
        <x:v>4</x:v>
      </x:c>
      <x:c r="H4702" s="6" t="n">
        <x:v>4</x:v>
      </x:c>
      <x:c r="I4702" s="6" t="n">
        <x:f>G4702-H4702</x:f>
        <x:v>0</x:v>
      </x:c>
      <x:c r="J4702" s="6" t="n">
        <x:f>IF(OR(E4702="CANCELED",E4702="SUSPECTED_FRAUD",F4702="Shipping canceled"),0,1)</x:f>
        <x:v>1</x:v>
      </x:c>
      <x:c r="K4702" s="6" t="n">
        <x:f>IF(G4702&gt;H4702,1,0)</x:f>
        <x:v>0</x:v>
      </x:c>
      <x:c r="L4702" s="6" t="n">
        <x:f>J4702*K4702</x:f>
        <x:v>0</x:v>
      </x:c>
    </x:row>
    <x:row r="4703">
      <x:c r="A4703" s="1" t="n">
        <x:v>36344</x:v>
      </x:c>
      <x:c r="B4703" s="5" t="d">
        <x:v>2016-06-14T00:00:00.000Z</x:v>
      </x:c>
      <x:c r="C4703" s="1" t="str">
        <x:v>Standard Class</x:v>
      </x:c>
      <x:c r="D4703" s="1" t="str">
        <x:v>USCA</x:v>
      </x:c>
      <x:c r="E4703" s="1" t="str">
        <x:v>SUSPECTED_FRAUD</x:v>
      </x:c>
      <x:c r="F4703" s="1" t="str">
        <x:v>Shipping canceled</x:v>
      </x:c>
      <x:c r="G4703" s="6" t="n">
        <x:v>5</x:v>
      </x:c>
      <x:c r="H4703" s="6" t="n">
        <x:v>4</x:v>
      </x:c>
      <x:c r="I4703" s="6" t="n">
        <x:f>G4703-H4703</x:f>
        <x:v>1</x:v>
      </x:c>
      <x:c r="J4703" s="6" t="n">
        <x:f>IF(OR(E4703="CANCELED",E4703="SUSPECTED_FRAUD",F4703="Shipping canceled"),0,1)</x:f>
        <x:v>0</x:v>
      </x:c>
      <x:c r="K4703" s="6" t="n">
        <x:f>IF(G4703&gt;H4703,1,0)</x:f>
        <x:v>1</x:v>
      </x:c>
      <x:c r="L4703" s="6" t="n">
        <x:f>J4703*K4703</x:f>
        <x:v>0</x:v>
      </x:c>
    </x:row>
    <x:row r="4704">
      <x:c r="A4704" s="1" t="n">
        <x:v>36349</x:v>
      </x:c>
      <x:c r="B4704" s="5" t="d">
        <x:v>2016-06-14T00:00:00.000Z</x:v>
      </x:c>
      <x:c r="C4704" s="1" t="str">
        <x:v>Standard Class</x:v>
      </x:c>
      <x:c r="D4704" s="1" t="str">
        <x:v>USCA</x:v>
      </x:c>
      <x:c r="E4704" s="1" t="str">
        <x:v>COMPLETE</x:v>
      </x:c>
      <x:c r="F4704" s="1" t="str">
        <x:v>Late delivery</x:v>
      </x:c>
      <x:c r="G4704" s="6" t="n">
        <x:v>5</x:v>
      </x:c>
      <x:c r="H4704" s="6" t="n">
        <x:v>4</x:v>
      </x:c>
      <x:c r="I4704" s="6" t="n">
        <x:f>G4704-H4704</x:f>
        <x:v>1</x:v>
      </x:c>
      <x:c r="J4704" s="6" t="n">
        <x:f>IF(OR(E4704="CANCELED",E4704="SUSPECTED_FRAUD",F4704="Shipping canceled"),0,1)</x:f>
        <x:v>1</x:v>
      </x:c>
      <x:c r="K4704" s="6" t="n">
        <x:f>IF(G4704&gt;H4704,1,0)</x:f>
        <x:v>1</x:v>
      </x:c>
      <x:c r="L4704" s="6" t="n">
        <x:f>J4704*K4704</x:f>
        <x:v>1</x:v>
      </x:c>
    </x:row>
    <x:row r="4705">
      <x:c r="A4705" s="1" t="n">
        <x:v>36352</x:v>
      </x:c>
      <x:c r="B4705" s="5" t="d">
        <x:v>2016-06-14T00:00:00.000Z</x:v>
      </x:c>
      <x:c r="C4705" s="1" t="str">
        <x:v>Standard Class</x:v>
      </x:c>
      <x:c r="D4705" s="1" t="str">
        <x:v>USCA</x:v>
      </x:c>
      <x:c r="E4705" s="1" t="str">
        <x:v>PROCESSING</x:v>
      </x:c>
      <x:c r="F4705" s="1" t="str">
        <x:v>Advance shipping</x:v>
      </x:c>
      <x:c r="G4705" s="6" t="n">
        <x:v>3</x:v>
      </x:c>
      <x:c r="H4705" s="6" t="n">
        <x:v>4</x:v>
      </x:c>
      <x:c r="I4705" s="6" t="n">
        <x:f>G4705-H4705</x:f>
        <x:v>-1</x:v>
      </x:c>
      <x:c r="J4705" s="6" t="n">
        <x:f>IF(OR(E4705="CANCELED",E4705="SUSPECTED_FRAUD",F4705="Shipping canceled"),0,1)</x:f>
        <x:v>1</x:v>
      </x:c>
      <x:c r="K4705" s="6" t="n">
        <x:f>IF(G4705&gt;H4705,1,0)</x:f>
        <x:v>0</x:v>
      </x:c>
      <x:c r="L4705" s="6" t="n">
        <x:f>J4705*K4705</x:f>
        <x:v>0</x:v>
      </x:c>
    </x:row>
    <x:row r="4706">
      <x:c r="A4706" s="1" t="n">
        <x:v>36363</x:v>
      </x:c>
      <x:c r="B4706" s="5" t="d">
        <x:v>2016-06-14T00:00:00.000Z</x:v>
      </x:c>
      <x:c r="C4706" s="1" t="str">
        <x:v>Standard Class</x:v>
      </x:c>
      <x:c r="D4706" s="1" t="str">
        <x:v>USCA</x:v>
      </x:c>
      <x:c r="E4706" s="1" t="str">
        <x:v>COMPLETE</x:v>
      </x:c>
      <x:c r="F4706" s="1" t="str">
        <x:v>Shipping on time</x:v>
      </x:c>
      <x:c r="G4706" s="6" t="n">
        <x:v>4</x:v>
      </x:c>
      <x:c r="H4706" s="6" t="n">
        <x:v>4</x:v>
      </x:c>
      <x:c r="I4706" s="6" t="n">
        <x:f>G4706-H4706</x:f>
        <x:v>0</x:v>
      </x:c>
      <x:c r="J4706" s="6" t="n">
        <x:f>IF(OR(E4706="CANCELED",E4706="SUSPECTED_FRAUD",F4706="Shipping canceled"),0,1)</x:f>
        <x:v>1</x:v>
      </x:c>
      <x:c r="K4706" s="6" t="n">
        <x:f>IF(G4706&gt;H4706,1,0)</x:f>
        <x:v>0</x:v>
      </x:c>
      <x:c r="L4706" s="6" t="n">
        <x:f>J4706*K4706</x:f>
        <x:v>0</x:v>
      </x:c>
    </x:row>
    <x:row r="4707">
      <x:c r="A4707" s="1" t="n">
        <x:v>36368</x:v>
      </x:c>
      <x:c r="B4707" s="5" t="d">
        <x:v>2016-06-14T00:00:00.000Z</x:v>
      </x:c>
      <x:c r="C4707" s="1" t="str">
        <x:v>Standard Class</x:v>
      </x:c>
      <x:c r="D4707" s="1" t="str">
        <x:v>USCA</x:v>
      </x:c>
      <x:c r="E4707" s="1" t="str">
        <x:v>COMPLETE</x:v>
      </x:c>
      <x:c r="F4707" s="1" t="str">
        <x:v>Shipping on time</x:v>
      </x:c>
      <x:c r="G4707" s="6" t="n">
        <x:v>4</x:v>
      </x:c>
      <x:c r="H4707" s="6" t="n">
        <x:v>4</x:v>
      </x:c>
      <x:c r="I4707" s="6" t="n">
        <x:f>G4707-H4707</x:f>
        <x:v>0</x:v>
      </x:c>
      <x:c r="J4707" s="6" t="n">
        <x:f>IF(OR(E4707="CANCELED",E4707="SUSPECTED_FRAUD",F4707="Shipping canceled"),0,1)</x:f>
        <x:v>1</x:v>
      </x:c>
      <x:c r="K4707" s="6" t="n">
        <x:f>IF(G4707&gt;H4707,1,0)</x:f>
        <x:v>0</x:v>
      </x:c>
      <x:c r="L4707" s="6" t="n">
        <x:f>J4707*K4707</x:f>
        <x:v>0</x:v>
      </x:c>
    </x:row>
    <x:row r="4708">
      <x:c r="A4708" s="1" t="n">
        <x:v>36378</x:v>
      </x:c>
      <x:c r="B4708" s="5" t="d">
        <x:v>2016-06-15T00:00:00.000Z</x:v>
      </x:c>
      <x:c r="C4708" s="1" t="str">
        <x:v>Standard Class</x:v>
      </x:c>
      <x:c r="D4708" s="1" t="str">
        <x:v>USCA</x:v>
      </x:c>
      <x:c r="E4708" s="1" t="str">
        <x:v>ON_HOLD</x:v>
      </x:c>
      <x:c r="F4708" s="1" t="str">
        <x:v>Shipping on time</x:v>
      </x:c>
      <x:c r="G4708" s="6" t="n">
        <x:v>4</x:v>
      </x:c>
      <x:c r="H4708" s="6" t="n">
        <x:v>4</x:v>
      </x:c>
      <x:c r="I4708" s="6" t="n">
        <x:f>G4708-H4708</x:f>
        <x:v>0</x:v>
      </x:c>
      <x:c r="J4708" s="6" t="n">
        <x:f>IF(OR(E4708="CANCELED",E4708="SUSPECTED_FRAUD",F4708="Shipping canceled"),0,1)</x:f>
        <x:v>1</x:v>
      </x:c>
      <x:c r="K4708" s="6" t="n">
        <x:f>IF(G4708&gt;H4708,1,0)</x:f>
        <x:v>0</x:v>
      </x:c>
      <x:c r="L4708" s="6" t="n">
        <x:f>J4708*K4708</x:f>
        <x:v>0</x:v>
      </x:c>
    </x:row>
    <x:row r="4709">
      <x:c r="A4709" s="1" t="n">
        <x:v>36384</x:v>
      </x:c>
      <x:c r="B4709" s="5" t="d">
        <x:v>2016-06-15T00:00:00.000Z</x:v>
      </x:c>
      <x:c r="C4709" s="1" t="str">
        <x:v>Same Day</x:v>
      </x:c>
      <x:c r="D4709" s="1" t="str">
        <x:v>USCA</x:v>
      </x:c>
      <x:c r="E4709" s="1" t="str">
        <x:v>PROCESSING</x:v>
      </x:c>
      <x:c r="F4709" s="1" t="str">
        <x:v>Shipping on time</x:v>
      </x:c>
      <x:c r="G4709" s="6" t="n">
        <x:v>0</x:v>
      </x:c>
      <x:c r="H4709" s="6" t="n">
        <x:v>0</x:v>
      </x:c>
      <x:c r="I4709" s="6" t="n">
        <x:f>G4709-H4709</x:f>
        <x:v>0</x:v>
      </x:c>
      <x:c r="J4709" s="6" t="n">
        <x:f>IF(OR(E4709="CANCELED",E4709="SUSPECTED_FRAUD",F4709="Shipping canceled"),0,1)</x:f>
        <x:v>1</x:v>
      </x:c>
      <x:c r="K4709" s="6" t="n">
        <x:f>IF(G4709&gt;H4709,1,0)</x:f>
        <x:v>0</x:v>
      </x:c>
      <x:c r="L4709" s="6" t="n">
        <x:f>J4709*K4709</x:f>
        <x:v>0</x:v>
      </x:c>
    </x:row>
    <x:row r="4710">
      <x:c r="A4710" s="1" t="n">
        <x:v>36403</x:v>
      </x:c>
      <x:c r="B4710" s="5" t="d">
        <x:v>2016-06-15T00:00:00.000Z</x:v>
      </x:c>
      <x:c r="C4710" s="1" t="str">
        <x:v>Standard Class</x:v>
      </x:c>
      <x:c r="D4710" s="1" t="str">
        <x:v>USCA</x:v>
      </x:c>
      <x:c r="E4710" s="1" t="str">
        <x:v>COMPLETE</x:v>
      </x:c>
      <x:c r="F4710" s="1" t="str">
        <x:v>Shipping on time</x:v>
      </x:c>
      <x:c r="G4710" s="6" t="n">
        <x:v>4</x:v>
      </x:c>
      <x:c r="H4710" s="6" t="n">
        <x:v>4</x:v>
      </x:c>
      <x:c r="I4710" s="6" t="n">
        <x:f>G4710-H4710</x:f>
        <x:v>0</x:v>
      </x:c>
      <x:c r="J4710" s="6" t="n">
        <x:f>IF(OR(E4710="CANCELED",E4710="SUSPECTED_FRAUD",F4710="Shipping canceled"),0,1)</x:f>
        <x:v>1</x:v>
      </x:c>
      <x:c r="K4710" s="6" t="n">
        <x:f>IF(G4710&gt;H4710,1,0)</x:f>
        <x:v>0</x:v>
      </x:c>
      <x:c r="L4710" s="6" t="n">
        <x:f>J4710*K4710</x:f>
        <x:v>0</x:v>
      </x:c>
    </x:row>
    <x:row r="4711">
      <x:c r="A4711" s="1" t="n">
        <x:v>36407</x:v>
      </x:c>
      <x:c r="B4711" s="5" t="d">
        <x:v>2016-06-15T00:00:00.000Z</x:v>
      </x:c>
      <x:c r="C4711" s="1" t="str">
        <x:v>Standard Class</x:v>
      </x:c>
      <x:c r="D4711" s="1" t="str">
        <x:v>USCA</x:v>
      </x:c>
      <x:c r="E4711" s="1" t="str">
        <x:v>COMPLETE</x:v>
      </x:c>
      <x:c r="F4711" s="1" t="str">
        <x:v>Advance shipping</x:v>
      </x:c>
      <x:c r="G4711" s="6" t="n">
        <x:v>3</x:v>
      </x:c>
      <x:c r="H4711" s="6" t="n">
        <x:v>4</x:v>
      </x:c>
      <x:c r="I4711" s="6" t="n">
        <x:f>G4711-H4711</x:f>
        <x:v>-1</x:v>
      </x:c>
      <x:c r="J4711" s="6" t="n">
        <x:f>IF(OR(E4711="CANCELED",E4711="SUSPECTED_FRAUD",F4711="Shipping canceled"),0,1)</x:f>
        <x:v>1</x:v>
      </x:c>
      <x:c r="K4711" s="6" t="n">
        <x:f>IF(G4711&gt;H4711,1,0)</x:f>
        <x:v>0</x:v>
      </x:c>
      <x:c r="L4711" s="6" t="n">
        <x:f>J4711*K4711</x:f>
        <x:v>0</x:v>
      </x:c>
    </x:row>
    <x:row r="4712">
      <x:c r="A4712" s="1" t="n">
        <x:v>36412</x:v>
      </x:c>
      <x:c r="B4712" s="5" t="d">
        <x:v>2016-06-15T00:00:00.000Z</x:v>
      </x:c>
      <x:c r="C4712" s="1" t="str">
        <x:v>Standard Class</x:v>
      </x:c>
      <x:c r="D4712" s="1" t="str">
        <x:v>USCA</x:v>
      </x:c>
      <x:c r="E4712" s="1" t="str">
        <x:v>ON_HOLD</x:v>
      </x:c>
      <x:c r="F4712" s="1" t="str">
        <x:v>Advance shipping</x:v>
      </x:c>
      <x:c r="G4712" s="6" t="n">
        <x:v>3</x:v>
      </x:c>
      <x:c r="H4712" s="6" t="n">
        <x:v>4</x:v>
      </x:c>
      <x:c r="I4712" s="6" t="n">
        <x:f>G4712-H4712</x:f>
        <x:v>-1</x:v>
      </x:c>
      <x:c r="J4712" s="6" t="n">
        <x:f>IF(OR(E4712="CANCELED",E4712="SUSPECTED_FRAUD",F4712="Shipping canceled"),0,1)</x:f>
        <x:v>1</x:v>
      </x:c>
      <x:c r="K4712" s="6" t="n">
        <x:f>IF(G4712&gt;H4712,1,0)</x:f>
        <x:v>0</x:v>
      </x:c>
      <x:c r="L4712" s="6" t="n">
        <x:f>J4712*K4712</x:f>
        <x:v>0</x:v>
      </x:c>
    </x:row>
    <x:row r="4713">
      <x:c r="A4713" s="1" t="n">
        <x:v>36418</x:v>
      </x:c>
      <x:c r="B4713" s="5" t="d">
        <x:v>2016-06-15T00:00:00.000Z</x:v>
      </x:c>
      <x:c r="C4713" s="1" t="str">
        <x:v>Standard Class</x:v>
      </x:c>
      <x:c r="D4713" s="1" t="str">
        <x:v>USCA</x:v>
      </x:c>
      <x:c r="E4713" s="1" t="str">
        <x:v>PENDING_PAYMENT</x:v>
      </x:c>
      <x:c r="F4713" s="1" t="str">
        <x:v>Shipping on time</x:v>
      </x:c>
      <x:c r="G4713" s="6" t="n">
        <x:v>4</x:v>
      </x:c>
      <x:c r="H4713" s="6" t="n">
        <x:v>4</x:v>
      </x:c>
      <x:c r="I4713" s="6" t="n">
        <x:f>G4713-H4713</x:f>
        <x:v>0</x:v>
      </x:c>
      <x:c r="J4713" s="6" t="n">
        <x:f>IF(OR(E4713="CANCELED",E4713="SUSPECTED_FRAUD",F4713="Shipping canceled"),0,1)</x:f>
        <x:v>1</x:v>
      </x:c>
      <x:c r="K4713" s="6" t="n">
        <x:f>IF(G4713&gt;H4713,1,0)</x:f>
        <x:v>0</x:v>
      </x:c>
      <x:c r="L4713" s="6" t="n">
        <x:f>J4713*K4713</x:f>
        <x:v>0</x:v>
      </x:c>
    </x:row>
    <x:row r="4714">
      <x:c r="A4714" s="1" t="n">
        <x:v>36432</x:v>
      </x:c>
      <x:c r="B4714" s="5" t="d">
        <x:v>2016-06-15T00:00:00.000Z</x:v>
      </x:c>
      <x:c r="C4714" s="1" t="str">
        <x:v>Second Class</x:v>
      </x:c>
      <x:c r="D4714" s="1" t="str">
        <x:v>USCA</x:v>
      </x:c>
      <x:c r="E4714" s="1" t="str">
        <x:v>ON_HOLD</x:v>
      </x:c>
      <x:c r="F4714" s="1" t="str">
        <x:v>Late delivery</x:v>
      </x:c>
      <x:c r="G4714" s="6" t="n">
        <x:v>3</x:v>
      </x:c>
      <x:c r="H4714" s="6" t="n">
        <x:v>2</x:v>
      </x:c>
      <x:c r="I4714" s="6" t="n">
        <x:f>G4714-H4714</x:f>
        <x:v>1</x:v>
      </x:c>
      <x:c r="J4714" s="6" t="n">
        <x:f>IF(OR(E4714="CANCELED",E4714="SUSPECTED_FRAUD",F4714="Shipping canceled"),0,1)</x:f>
        <x:v>1</x:v>
      </x:c>
      <x:c r="K4714" s="6" t="n">
        <x:f>IF(G4714&gt;H4714,1,0)</x:f>
        <x:v>1</x:v>
      </x:c>
      <x:c r="L4714" s="6" t="n">
        <x:f>J4714*K4714</x:f>
        <x:v>1</x:v>
      </x:c>
    </x:row>
    <x:row r="4715">
      <x:c r="A4715" s="1" t="n">
        <x:v>36435</x:v>
      </x:c>
      <x:c r="B4715" s="5" t="d">
        <x:v>2016-06-15T00:00:00.000Z</x:v>
      </x:c>
      <x:c r="C4715" s="1" t="str">
        <x:v>Standard Class</x:v>
      </x:c>
      <x:c r="D4715" s="1" t="str">
        <x:v>USCA</x:v>
      </x:c>
      <x:c r="E4715" s="1" t="str">
        <x:v>COMPLETE</x:v>
      </x:c>
      <x:c r="F4715" s="1" t="str">
        <x:v>Late delivery</x:v>
      </x:c>
      <x:c r="G4715" s="6" t="n">
        <x:v>6</x:v>
      </x:c>
      <x:c r="H4715" s="6" t="n">
        <x:v>4</x:v>
      </x:c>
      <x:c r="I4715" s="6" t="n">
        <x:f>G4715-H4715</x:f>
        <x:v>2</x:v>
      </x:c>
      <x:c r="J4715" s="6" t="n">
        <x:f>IF(OR(E4715="CANCELED",E4715="SUSPECTED_FRAUD",F4715="Shipping canceled"),0,1)</x:f>
        <x:v>1</x:v>
      </x:c>
      <x:c r="K4715" s="6" t="n">
        <x:f>IF(G4715&gt;H4715,1,0)</x:f>
        <x:v>1</x:v>
      </x:c>
      <x:c r="L4715" s="6" t="n">
        <x:f>J4715*K4715</x:f>
        <x:v>1</x:v>
      </x:c>
    </x:row>
    <x:row r="4716">
      <x:c r="A4716" s="1" t="n">
        <x:v>36442</x:v>
      </x:c>
      <x:c r="B4716" s="5" t="d">
        <x:v>2016-06-15T00:00:00.000Z</x:v>
      </x:c>
      <x:c r="C4716" s="1" t="str">
        <x:v>Second Class</x:v>
      </x:c>
      <x:c r="D4716" s="1" t="str">
        <x:v>USCA</x:v>
      </x:c>
      <x:c r="E4716" s="1" t="str">
        <x:v>COMPLETE</x:v>
      </x:c>
      <x:c r="F4716" s="1" t="str">
        <x:v>Late delivery</x:v>
      </x:c>
      <x:c r="G4716" s="6" t="n">
        <x:v>3</x:v>
      </x:c>
      <x:c r="H4716" s="6" t="n">
        <x:v>2</x:v>
      </x:c>
      <x:c r="I4716" s="6" t="n">
        <x:f>G4716-H4716</x:f>
        <x:v>1</x:v>
      </x:c>
      <x:c r="J4716" s="6" t="n">
        <x:f>IF(OR(E4716="CANCELED",E4716="SUSPECTED_FRAUD",F4716="Shipping canceled"),0,1)</x:f>
        <x:v>1</x:v>
      </x:c>
      <x:c r="K4716" s="6" t="n">
        <x:f>IF(G4716&gt;H4716,1,0)</x:f>
        <x:v>1</x:v>
      </x:c>
      <x:c r="L4716" s="6" t="n">
        <x:f>J4716*K4716</x:f>
        <x:v>1</x:v>
      </x:c>
    </x:row>
    <x:row r="4717">
      <x:c r="A4717" s="1" t="n">
        <x:v>36444</x:v>
      </x:c>
      <x:c r="B4717" s="5" t="d">
        <x:v>2016-06-15T00:00:00.000Z</x:v>
      </x:c>
      <x:c r="C4717" s="1" t="str">
        <x:v>Standard Class</x:v>
      </x:c>
      <x:c r="D4717" s="1" t="str">
        <x:v>USCA</x:v>
      </x:c>
      <x:c r="E4717" s="1" t="str">
        <x:v>PENDING_PAYMENT</x:v>
      </x:c>
      <x:c r="F4717" s="1" t="str">
        <x:v>Late delivery</x:v>
      </x:c>
      <x:c r="G4717" s="6" t="n">
        <x:v>5</x:v>
      </x:c>
      <x:c r="H4717" s="6" t="n">
        <x:v>4</x:v>
      </x:c>
      <x:c r="I4717" s="6" t="n">
        <x:f>G4717-H4717</x:f>
        <x:v>1</x:v>
      </x:c>
      <x:c r="J4717" s="6" t="n">
        <x:f>IF(OR(E4717="CANCELED",E4717="SUSPECTED_FRAUD",F4717="Shipping canceled"),0,1)</x:f>
        <x:v>1</x:v>
      </x:c>
      <x:c r="K4717" s="6" t="n">
        <x:f>IF(G4717&gt;H4717,1,0)</x:f>
        <x:v>1</x:v>
      </x:c>
      <x:c r="L4717" s="6" t="n">
        <x:f>J4717*K4717</x:f>
        <x:v>1</x:v>
      </x:c>
    </x:row>
    <x:row r="4718">
      <x:c r="A4718" s="1" t="n">
        <x:v>36454</x:v>
      </x:c>
      <x:c r="B4718" s="5" t="d">
        <x:v>2016-06-16T00:00:00.000Z</x:v>
      </x:c>
      <x:c r="C4718" s="1" t="str">
        <x:v>Standard Class</x:v>
      </x:c>
      <x:c r="D4718" s="1" t="str">
        <x:v>USCA</x:v>
      </x:c>
      <x:c r="E4718" s="1" t="str">
        <x:v>PENDING</x:v>
      </x:c>
      <x:c r="F4718" s="1" t="str">
        <x:v>Late delivery</x:v>
      </x:c>
      <x:c r="G4718" s="6" t="n">
        <x:v>5</x:v>
      </x:c>
      <x:c r="H4718" s="6" t="n">
        <x:v>4</x:v>
      </x:c>
      <x:c r="I4718" s="6" t="n">
        <x:f>G4718-H4718</x:f>
        <x:v>1</x:v>
      </x:c>
      <x:c r="J4718" s="6" t="n">
        <x:f>IF(OR(E4718="CANCELED",E4718="SUSPECTED_FRAUD",F4718="Shipping canceled"),0,1)</x:f>
        <x:v>1</x:v>
      </x:c>
      <x:c r="K4718" s="6" t="n">
        <x:f>IF(G4718&gt;H4718,1,0)</x:f>
        <x:v>1</x:v>
      </x:c>
      <x:c r="L4718" s="6" t="n">
        <x:f>J4718*K4718</x:f>
        <x:v>1</x:v>
      </x:c>
    </x:row>
    <x:row r="4719">
      <x:c r="A4719" s="1" t="n">
        <x:v>36472</x:v>
      </x:c>
      <x:c r="B4719" s="5" t="d">
        <x:v>2016-06-16T00:00:00.000Z</x:v>
      </x:c>
      <x:c r="C4719" s="1" t="str">
        <x:v>Second Class</x:v>
      </x:c>
      <x:c r="D4719" s="1" t="str">
        <x:v>USCA</x:v>
      </x:c>
      <x:c r="E4719" s="1" t="str">
        <x:v>PROCESSING</x:v>
      </x:c>
      <x:c r="F4719" s="1" t="str">
        <x:v>Late delivery</x:v>
      </x:c>
      <x:c r="G4719" s="6" t="n">
        <x:v>3</x:v>
      </x:c>
      <x:c r="H4719" s="6" t="n">
        <x:v>2</x:v>
      </x:c>
      <x:c r="I4719" s="6" t="n">
        <x:f>G4719-H4719</x:f>
        <x:v>1</x:v>
      </x:c>
      <x:c r="J4719" s="6" t="n">
        <x:f>IF(OR(E4719="CANCELED",E4719="SUSPECTED_FRAUD",F4719="Shipping canceled"),0,1)</x:f>
        <x:v>1</x:v>
      </x:c>
      <x:c r="K4719" s="6" t="n">
        <x:f>IF(G4719&gt;H4719,1,0)</x:f>
        <x:v>1</x:v>
      </x:c>
      <x:c r="L4719" s="6" t="n">
        <x:f>J4719*K4719</x:f>
        <x:v>1</x:v>
      </x:c>
    </x:row>
    <x:row r="4720">
      <x:c r="A4720" s="1" t="n">
        <x:v>36489</x:v>
      </x:c>
      <x:c r="B4720" s="5" t="d">
        <x:v>2016-06-16T00:00:00.000Z</x:v>
      </x:c>
      <x:c r="C4720" s="1" t="str">
        <x:v>Standard Class</x:v>
      </x:c>
      <x:c r="D4720" s="1" t="str">
        <x:v>USCA</x:v>
      </x:c>
      <x:c r="E4720" s="1" t="str">
        <x:v>COMPLETE</x:v>
      </x:c>
      <x:c r="F4720" s="1" t="str">
        <x:v>Late delivery</x:v>
      </x:c>
      <x:c r="G4720" s="6" t="n">
        <x:v>5</x:v>
      </x:c>
      <x:c r="H4720" s="6" t="n">
        <x:v>4</x:v>
      </x:c>
      <x:c r="I4720" s="6" t="n">
        <x:f>G4720-H4720</x:f>
        <x:v>1</x:v>
      </x:c>
      <x:c r="J4720" s="6" t="n">
        <x:f>IF(OR(E4720="CANCELED",E4720="SUSPECTED_FRAUD",F4720="Shipping canceled"),0,1)</x:f>
        <x:v>1</x:v>
      </x:c>
      <x:c r="K4720" s="6" t="n">
        <x:f>IF(G4720&gt;H4720,1,0)</x:f>
        <x:v>1</x:v>
      </x:c>
      <x:c r="L4720" s="6" t="n">
        <x:f>J4720*K4720</x:f>
        <x:v>1</x:v>
      </x:c>
    </x:row>
    <x:row r="4721">
      <x:c r="A4721" s="1" t="n">
        <x:v>36495</x:v>
      </x:c>
      <x:c r="B4721" s="5" t="d">
        <x:v>2016-06-16T00:00:00.000Z</x:v>
      </x:c>
      <x:c r="C4721" s="1" t="str">
        <x:v>Standard Class</x:v>
      </x:c>
      <x:c r="D4721" s="1" t="str">
        <x:v>USCA</x:v>
      </x:c>
      <x:c r="E4721" s="1" t="str">
        <x:v>PENDING</x:v>
      </x:c>
      <x:c r="F4721" s="1" t="str">
        <x:v>Late delivery</x:v>
      </x:c>
      <x:c r="G4721" s="6" t="n">
        <x:v>6</x:v>
      </x:c>
      <x:c r="H4721" s="6" t="n">
        <x:v>4</x:v>
      </x:c>
      <x:c r="I4721" s="6" t="n">
        <x:f>G4721-H4721</x:f>
        <x:v>2</x:v>
      </x:c>
      <x:c r="J4721" s="6" t="n">
        <x:f>IF(OR(E4721="CANCELED",E4721="SUSPECTED_FRAUD",F4721="Shipping canceled"),0,1)</x:f>
        <x:v>1</x:v>
      </x:c>
      <x:c r="K4721" s="6" t="n">
        <x:f>IF(G4721&gt;H4721,1,0)</x:f>
        <x:v>1</x:v>
      </x:c>
      <x:c r="L4721" s="6" t="n">
        <x:f>J4721*K4721</x:f>
        <x:v>1</x:v>
      </x:c>
    </x:row>
    <x:row r="4722">
      <x:c r="A4722" s="1" t="n">
        <x:v>36500</x:v>
      </x:c>
      <x:c r="B4722" s="5" t="d">
        <x:v>2016-06-16T00:00:00.000Z</x:v>
      </x:c>
      <x:c r="C4722" s="1" t="str">
        <x:v>First Class</x:v>
      </x:c>
      <x:c r="D4722" s="1" t="str">
        <x:v>USCA</x:v>
      </x:c>
      <x:c r="E4722" s="1" t="str">
        <x:v>CANCELED</x:v>
      </x:c>
      <x:c r="F4722" s="1" t="str">
        <x:v>Shipping canceled</x:v>
      </x:c>
      <x:c r="G4722" s="6" t="n">
        <x:v>2</x:v>
      </x:c>
      <x:c r="H4722" s="6" t="n">
        <x:v>1</x:v>
      </x:c>
      <x:c r="I4722" s="6" t="n">
        <x:f>G4722-H4722</x:f>
        <x:v>1</x:v>
      </x:c>
      <x:c r="J4722" s="6" t="n">
        <x:f>IF(OR(E4722="CANCELED",E4722="SUSPECTED_FRAUD",F4722="Shipping canceled"),0,1)</x:f>
        <x:v>0</x:v>
      </x:c>
      <x:c r="K4722" s="6" t="n">
        <x:f>IF(G4722&gt;H4722,1,0)</x:f>
        <x:v>1</x:v>
      </x:c>
      <x:c r="L4722" s="6" t="n">
        <x:f>J4722*K4722</x:f>
        <x:v>0</x:v>
      </x:c>
    </x:row>
    <x:row r="4723">
      <x:c r="A4723" s="1" t="n">
        <x:v>36510</x:v>
      </x:c>
      <x:c r="B4723" s="5" t="d">
        <x:v>2016-06-16T00:00:00.000Z</x:v>
      </x:c>
      <x:c r="C4723" s="1" t="str">
        <x:v>Standard Class</x:v>
      </x:c>
      <x:c r="D4723" s="1" t="str">
        <x:v>USCA</x:v>
      </x:c>
      <x:c r="E4723" s="1" t="str">
        <x:v>COMPLETE</x:v>
      </x:c>
      <x:c r="F4723" s="1" t="str">
        <x:v>Late delivery</x:v>
      </x:c>
      <x:c r="G4723" s="6" t="n">
        <x:v>6</x:v>
      </x:c>
      <x:c r="H4723" s="6" t="n">
        <x:v>4</x:v>
      </x:c>
      <x:c r="I4723" s="6" t="n">
        <x:f>G4723-H4723</x:f>
        <x:v>2</x:v>
      </x:c>
      <x:c r="J4723" s="6" t="n">
        <x:f>IF(OR(E4723="CANCELED",E4723="SUSPECTED_FRAUD",F4723="Shipping canceled"),0,1)</x:f>
        <x:v>1</x:v>
      </x:c>
      <x:c r="K4723" s="6" t="n">
        <x:f>IF(G4723&gt;H4723,1,0)</x:f>
        <x:v>1</x:v>
      </x:c>
      <x:c r="L4723" s="6" t="n">
        <x:f>J4723*K4723</x:f>
        <x:v>1</x:v>
      </x:c>
    </x:row>
    <x:row r="4724">
      <x:c r="A4724" s="1" t="n">
        <x:v>36511</x:v>
      </x:c>
      <x:c r="B4724" s="5" t="d">
        <x:v>2016-06-16T00:00:00.000Z</x:v>
      </x:c>
      <x:c r="C4724" s="1" t="str">
        <x:v>Standard Class</x:v>
      </x:c>
      <x:c r="D4724" s="1" t="str">
        <x:v>USCA</x:v>
      </x:c>
      <x:c r="E4724" s="1" t="str">
        <x:v>PROCESSING</x:v>
      </x:c>
      <x:c r="F4724" s="1" t="str">
        <x:v>Advance shipping</x:v>
      </x:c>
      <x:c r="G4724" s="6" t="n">
        <x:v>2</x:v>
      </x:c>
      <x:c r="H4724" s="6" t="n">
        <x:v>4</x:v>
      </x:c>
      <x:c r="I4724" s="6" t="n">
        <x:f>G4724-H4724</x:f>
        <x:v>-2</x:v>
      </x:c>
      <x:c r="J4724" s="6" t="n">
        <x:f>IF(OR(E4724="CANCELED",E4724="SUSPECTED_FRAUD",F4724="Shipping canceled"),0,1)</x:f>
        <x:v>1</x:v>
      </x:c>
      <x:c r="K4724" s="6" t="n">
        <x:f>IF(G4724&gt;H4724,1,0)</x:f>
        <x:v>0</x:v>
      </x:c>
      <x:c r="L4724" s="6" t="n">
        <x:f>J4724*K4724</x:f>
        <x:v>0</x:v>
      </x:c>
    </x:row>
    <x:row r="4725">
      <x:c r="A4725" s="1" t="n">
        <x:v>36517</x:v>
      </x:c>
      <x:c r="B4725" s="5" t="d">
        <x:v>2016-06-17T00:00:00.000Z</x:v>
      </x:c>
      <x:c r="C4725" s="1" t="str">
        <x:v>First Class</x:v>
      </x:c>
      <x:c r="D4725" s="1" t="str">
        <x:v>USCA</x:v>
      </x:c>
      <x:c r="E4725" s="1" t="str">
        <x:v>CLOSED</x:v>
      </x:c>
      <x:c r="F4725" s="1" t="str">
        <x:v>Late delivery</x:v>
      </x:c>
      <x:c r="G4725" s="6" t="n">
        <x:v>2</x:v>
      </x:c>
      <x:c r="H4725" s="6" t="n">
        <x:v>1</x:v>
      </x:c>
      <x:c r="I4725" s="6" t="n">
        <x:f>G4725-H4725</x:f>
        <x:v>1</x:v>
      </x:c>
      <x:c r="J4725" s="6" t="n">
        <x:f>IF(OR(E4725="CANCELED",E4725="SUSPECTED_FRAUD",F4725="Shipping canceled"),0,1)</x:f>
        <x:v>1</x:v>
      </x:c>
      <x:c r="K4725" s="6" t="n">
        <x:f>IF(G4725&gt;H4725,1,0)</x:f>
        <x:v>1</x:v>
      </x:c>
      <x:c r="L4725" s="6" t="n">
        <x:f>J4725*K4725</x:f>
        <x:v>1</x:v>
      </x:c>
    </x:row>
    <x:row r="4726">
      <x:c r="A4726" s="1" t="n">
        <x:v>36547</x:v>
      </x:c>
      <x:c r="B4726" s="5" t="d">
        <x:v>2016-06-17T00:00:00.000Z</x:v>
      </x:c>
      <x:c r="C4726" s="1" t="str">
        <x:v>Standard Class</x:v>
      </x:c>
      <x:c r="D4726" s="1" t="str">
        <x:v>USCA</x:v>
      </x:c>
      <x:c r="E4726" s="1" t="str">
        <x:v>CANCELED</x:v>
      </x:c>
      <x:c r="F4726" s="1" t="str">
        <x:v>Shipping canceled</x:v>
      </x:c>
      <x:c r="G4726" s="6" t="n">
        <x:v>3</x:v>
      </x:c>
      <x:c r="H4726" s="6" t="n">
        <x:v>4</x:v>
      </x:c>
      <x:c r="I4726" s="6" t="n">
        <x:f>G4726-H4726</x:f>
        <x:v>-1</x:v>
      </x:c>
      <x:c r="J4726" s="6" t="n">
        <x:f>IF(OR(E4726="CANCELED",E4726="SUSPECTED_FRAUD",F4726="Shipping canceled"),0,1)</x:f>
        <x:v>0</x:v>
      </x:c>
      <x:c r="K4726" s="6" t="n">
        <x:f>IF(G4726&gt;H4726,1,0)</x:f>
        <x:v>0</x:v>
      </x:c>
      <x:c r="L4726" s="6" t="n">
        <x:f>J4726*K4726</x:f>
        <x:v>0</x:v>
      </x:c>
    </x:row>
    <x:row r="4727">
      <x:c r="A4727" s="1" t="n">
        <x:v>36568</x:v>
      </x:c>
      <x:c r="B4727" s="5" t="d">
        <x:v>2016-06-17T00:00:00.000Z</x:v>
      </x:c>
      <x:c r="C4727" s="1" t="str">
        <x:v>Second Class</x:v>
      </x:c>
      <x:c r="D4727" s="1" t="str">
        <x:v>USCA</x:v>
      </x:c>
      <x:c r="E4727" s="1" t="str">
        <x:v>ON_HOLD</x:v>
      </x:c>
      <x:c r="F4727" s="1" t="str">
        <x:v>Late delivery</x:v>
      </x:c>
      <x:c r="G4727" s="6" t="n">
        <x:v>4</x:v>
      </x:c>
      <x:c r="H4727" s="6" t="n">
        <x:v>2</x:v>
      </x:c>
      <x:c r="I4727" s="6" t="n">
        <x:f>G4727-H4727</x:f>
        <x:v>2</x:v>
      </x:c>
      <x:c r="J4727" s="6" t="n">
        <x:f>IF(OR(E4727="CANCELED",E4727="SUSPECTED_FRAUD",F4727="Shipping canceled"),0,1)</x:f>
        <x:v>1</x:v>
      </x:c>
      <x:c r="K4727" s="6" t="n">
        <x:f>IF(G4727&gt;H4727,1,0)</x:f>
        <x:v>1</x:v>
      </x:c>
      <x:c r="L4727" s="6" t="n">
        <x:f>J4727*K4727</x:f>
        <x:v>1</x:v>
      </x:c>
    </x:row>
    <x:row r="4728">
      <x:c r="A4728" s="1" t="n">
        <x:v>36576</x:v>
      </x:c>
      <x:c r="B4728" s="5" t="d">
        <x:v>2016-06-17T00:00:00.000Z</x:v>
      </x:c>
      <x:c r="C4728" s="1" t="str">
        <x:v>Standard Class</x:v>
      </x:c>
      <x:c r="D4728" s="1" t="str">
        <x:v>USCA</x:v>
      </x:c>
      <x:c r="E4728" s="1" t="str">
        <x:v>PENDING_PAYMENT</x:v>
      </x:c>
      <x:c r="F4728" s="1" t="str">
        <x:v>Advance shipping</x:v>
      </x:c>
      <x:c r="G4728" s="6" t="n">
        <x:v>2</x:v>
      </x:c>
      <x:c r="H4728" s="6" t="n">
        <x:v>4</x:v>
      </x:c>
      <x:c r="I4728" s="6" t="n">
        <x:f>G4728-H4728</x:f>
        <x:v>-2</x:v>
      </x:c>
      <x:c r="J4728" s="6" t="n">
        <x:f>IF(OR(E4728="CANCELED",E4728="SUSPECTED_FRAUD",F4728="Shipping canceled"),0,1)</x:f>
        <x:v>1</x:v>
      </x:c>
      <x:c r="K4728" s="6" t="n">
        <x:f>IF(G4728&gt;H4728,1,0)</x:f>
        <x:v>0</x:v>
      </x:c>
      <x:c r="L4728" s="6" t="n">
        <x:f>J4728*K4728</x:f>
        <x:v>0</x:v>
      </x:c>
    </x:row>
    <x:row r="4729">
      <x:c r="A4729" s="1" t="n">
        <x:v>36578</x:v>
      </x:c>
      <x:c r="B4729" s="5" t="d">
        <x:v>2016-06-17T00:00:00.000Z</x:v>
      </x:c>
      <x:c r="C4729" s="1" t="str">
        <x:v>Standard Class</x:v>
      </x:c>
      <x:c r="D4729" s="1" t="str">
        <x:v>USCA</x:v>
      </x:c>
      <x:c r="E4729" s="1" t="str">
        <x:v>ON_HOLD</x:v>
      </x:c>
      <x:c r="F4729" s="1" t="str">
        <x:v>Shipping on time</x:v>
      </x:c>
      <x:c r="G4729" s="6" t="n">
        <x:v>4</x:v>
      </x:c>
      <x:c r="H4729" s="6" t="n">
        <x:v>4</x:v>
      </x:c>
      <x:c r="I4729" s="6" t="n">
        <x:f>G4729-H4729</x:f>
        <x:v>0</x:v>
      </x:c>
      <x:c r="J4729" s="6" t="n">
        <x:f>IF(OR(E4729="CANCELED",E4729="SUSPECTED_FRAUD",F4729="Shipping canceled"),0,1)</x:f>
        <x:v>1</x:v>
      </x:c>
      <x:c r="K4729" s="6" t="n">
        <x:f>IF(G4729&gt;H4729,1,0)</x:f>
        <x:v>0</x:v>
      </x:c>
      <x:c r="L4729" s="6" t="n">
        <x:f>J4729*K4729</x:f>
        <x:v>0</x:v>
      </x:c>
    </x:row>
    <x:row r="4730">
      <x:c r="A4730" s="1" t="n">
        <x:v>36590</x:v>
      </x:c>
      <x:c r="B4730" s="5" t="d">
        <x:v>2016-06-18T00:00:00.000Z</x:v>
      </x:c>
      <x:c r="C4730" s="1" t="str">
        <x:v>Second Class</x:v>
      </x:c>
      <x:c r="D4730" s="1" t="str">
        <x:v>USCA</x:v>
      </x:c>
      <x:c r="E4730" s="1" t="str">
        <x:v>ON_HOLD</x:v>
      </x:c>
      <x:c r="F4730" s="1" t="str">
        <x:v>Late delivery</x:v>
      </x:c>
      <x:c r="G4730" s="6" t="n">
        <x:v>6</x:v>
      </x:c>
      <x:c r="H4730" s="6" t="n">
        <x:v>2</x:v>
      </x:c>
      <x:c r="I4730" s="6" t="n">
        <x:f>G4730-H4730</x:f>
        <x:v>4</x:v>
      </x:c>
      <x:c r="J4730" s="6" t="n">
        <x:f>IF(OR(E4730="CANCELED",E4730="SUSPECTED_FRAUD",F4730="Shipping canceled"),0,1)</x:f>
        <x:v>1</x:v>
      </x:c>
      <x:c r="K4730" s="6" t="n">
        <x:f>IF(G4730&gt;H4730,1,0)</x:f>
        <x:v>1</x:v>
      </x:c>
      <x:c r="L4730" s="6" t="n">
        <x:f>J4730*K4730</x:f>
        <x:v>1</x:v>
      </x:c>
    </x:row>
    <x:row r="4731">
      <x:c r="A4731" s="1" t="n">
        <x:v>36593</x:v>
      </x:c>
      <x:c r="B4731" s="5" t="d">
        <x:v>2016-06-18T00:00:00.000Z</x:v>
      </x:c>
      <x:c r="C4731" s="1" t="str">
        <x:v>Second Class</x:v>
      </x:c>
      <x:c r="D4731" s="1" t="str">
        <x:v>USCA</x:v>
      </x:c>
      <x:c r="E4731" s="1" t="str">
        <x:v>PENDING</x:v>
      </x:c>
      <x:c r="F4731" s="1" t="str">
        <x:v>Late delivery</x:v>
      </x:c>
      <x:c r="G4731" s="6" t="n">
        <x:v>4</x:v>
      </x:c>
      <x:c r="H4731" s="6" t="n">
        <x:v>2</x:v>
      </x:c>
      <x:c r="I4731" s="6" t="n">
        <x:f>G4731-H4731</x:f>
        <x:v>2</x:v>
      </x:c>
      <x:c r="J4731" s="6" t="n">
        <x:f>IF(OR(E4731="CANCELED",E4731="SUSPECTED_FRAUD",F4731="Shipping canceled"),0,1)</x:f>
        <x:v>1</x:v>
      </x:c>
      <x:c r="K4731" s="6" t="n">
        <x:f>IF(G4731&gt;H4731,1,0)</x:f>
        <x:v>1</x:v>
      </x:c>
      <x:c r="L4731" s="6" t="n">
        <x:f>J4731*K4731</x:f>
        <x:v>1</x:v>
      </x:c>
    </x:row>
    <x:row r="4732">
      <x:c r="A4732" s="1" t="n">
        <x:v>36599</x:v>
      </x:c>
      <x:c r="B4732" s="5" t="d">
        <x:v>2016-06-18T00:00:00.000Z</x:v>
      </x:c>
      <x:c r="C4732" s="1" t="str">
        <x:v>Standard Class</x:v>
      </x:c>
      <x:c r="D4732" s="1" t="str">
        <x:v>USCA</x:v>
      </x:c>
      <x:c r="E4732" s="1" t="str">
        <x:v>PENDING_PAYMENT</x:v>
      </x:c>
      <x:c r="F4732" s="1" t="str">
        <x:v>Late delivery</x:v>
      </x:c>
      <x:c r="G4732" s="6" t="n">
        <x:v>5</x:v>
      </x:c>
      <x:c r="H4732" s="6" t="n">
        <x:v>4</x:v>
      </x:c>
      <x:c r="I4732" s="6" t="n">
        <x:f>G4732-H4732</x:f>
        <x:v>1</x:v>
      </x:c>
      <x:c r="J4732" s="6" t="n">
        <x:f>IF(OR(E4732="CANCELED",E4732="SUSPECTED_FRAUD",F4732="Shipping canceled"),0,1)</x:f>
        <x:v>1</x:v>
      </x:c>
      <x:c r="K4732" s="6" t="n">
        <x:f>IF(G4732&gt;H4732,1,0)</x:f>
        <x:v>1</x:v>
      </x:c>
      <x:c r="L4732" s="6" t="n">
        <x:f>J4732*K4732</x:f>
        <x:v>1</x:v>
      </x:c>
    </x:row>
    <x:row r="4733">
      <x:c r="A4733" s="1" t="n">
        <x:v>36615</x:v>
      </x:c>
      <x:c r="B4733" s="5" t="d">
        <x:v>2016-06-18T00:00:00.000Z</x:v>
      </x:c>
      <x:c r="C4733" s="1" t="str">
        <x:v>Standard Class</x:v>
      </x:c>
      <x:c r="D4733" s="1" t="str">
        <x:v>USCA</x:v>
      </x:c>
      <x:c r="E4733" s="1" t="str">
        <x:v>PENDING</x:v>
      </x:c>
      <x:c r="F4733" s="1" t="str">
        <x:v>Late delivery</x:v>
      </x:c>
      <x:c r="G4733" s="6" t="n">
        <x:v>6</x:v>
      </x:c>
      <x:c r="H4733" s="6" t="n">
        <x:v>4</x:v>
      </x:c>
      <x:c r="I4733" s="6" t="n">
        <x:f>G4733-H4733</x:f>
        <x:v>2</x:v>
      </x:c>
      <x:c r="J4733" s="6" t="n">
        <x:f>IF(OR(E4733="CANCELED",E4733="SUSPECTED_FRAUD",F4733="Shipping canceled"),0,1)</x:f>
        <x:v>1</x:v>
      </x:c>
      <x:c r="K4733" s="6" t="n">
        <x:f>IF(G4733&gt;H4733,1,0)</x:f>
        <x:v>1</x:v>
      </x:c>
      <x:c r="L4733" s="6" t="n">
        <x:f>J4733*K4733</x:f>
        <x:v>1</x:v>
      </x:c>
    </x:row>
    <x:row r="4734">
      <x:c r="A4734" s="1" t="n">
        <x:v>36618</x:v>
      </x:c>
      <x:c r="B4734" s="5" t="d">
        <x:v>2016-06-18T00:00:00.000Z</x:v>
      </x:c>
      <x:c r="C4734" s="1" t="str">
        <x:v>Standard Class</x:v>
      </x:c>
      <x:c r="D4734" s="1" t="str">
        <x:v>USCA</x:v>
      </x:c>
      <x:c r="E4734" s="1" t="str">
        <x:v>SUSPECTED_FRAUD</x:v>
      </x:c>
      <x:c r="F4734" s="1" t="str">
        <x:v>Shipping canceled</x:v>
      </x:c>
      <x:c r="G4734" s="6" t="n">
        <x:v>4</x:v>
      </x:c>
      <x:c r="H4734" s="6" t="n">
        <x:v>4</x:v>
      </x:c>
      <x:c r="I4734" s="6" t="n">
        <x:f>G4734-H4734</x:f>
        <x:v>0</x:v>
      </x:c>
      <x:c r="J4734" s="6" t="n">
        <x:f>IF(OR(E4734="CANCELED",E4734="SUSPECTED_FRAUD",F4734="Shipping canceled"),0,1)</x:f>
        <x:v>0</x:v>
      </x:c>
      <x:c r="K4734" s="6" t="n">
        <x:f>IF(G4734&gt;H4734,1,0)</x:f>
        <x:v>0</x:v>
      </x:c>
      <x:c r="L4734" s="6" t="n">
        <x:f>J4734*K4734</x:f>
        <x:v>0</x:v>
      </x:c>
    </x:row>
    <x:row r="4735">
      <x:c r="A4735" s="1" t="n">
        <x:v>36627</x:v>
      </x:c>
      <x:c r="B4735" s="5" t="d">
        <x:v>2016-06-18T00:00:00.000Z</x:v>
      </x:c>
      <x:c r="C4735" s="1" t="str">
        <x:v>First Class</x:v>
      </x:c>
      <x:c r="D4735" s="1" t="str">
        <x:v>USCA</x:v>
      </x:c>
      <x:c r="E4735" s="1" t="str">
        <x:v>PROCESSING</x:v>
      </x:c>
      <x:c r="F4735" s="1" t="str">
        <x:v>Late delivery</x:v>
      </x:c>
      <x:c r="G4735" s="6" t="n">
        <x:v>2</x:v>
      </x:c>
      <x:c r="H4735" s="6" t="n">
        <x:v>1</x:v>
      </x:c>
      <x:c r="I4735" s="6" t="n">
        <x:f>G4735-H4735</x:f>
        <x:v>1</x:v>
      </x:c>
      <x:c r="J4735" s="6" t="n">
        <x:f>IF(OR(E4735="CANCELED",E4735="SUSPECTED_FRAUD",F4735="Shipping canceled"),0,1)</x:f>
        <x:v>1</x:v>
      </x:c>
      <x:c r="K4735" s="6" t="n">
        <x:f>IF(G4735&gt;H4735,1,0)</x:f>
        <x:v>1</x:v>
      </x:c>
      <x:c r="L4735" s="6" t="n">
        <x:f>J4735*K4735</x:f>
        <x:v>1</x:v>
      </x:c>
    </x:row>
    <x:row r="4736">
      <x:c r="A4736" s="1" t="n">
        <x:v>36629</x:v>
      </x:c>
      <x:c r="B4736" s="5" t="d">
        <x:v>2016-06-18T00:00:00.000Z</x:v>
      </x:c>
      <x:c r="C4736" s="1" t="str">
        <x:v>Standard Class</x:v>
      </x:c>
      <x:c r="D4736" s="1" t="str">
        <x:v>USCA</x:v>
      </x:c>
      <x:c r="E4736" s="1" t="str">
        <x:v>COMPLETE</x:v>
      </x:c>
      <x:c r="F4736" s="1" t="str">
        <x:v>Late delivery</x:v>
      </x:c>
      <x:c r="G4736" s="6" t="n">
        <x:v>5</x:v>
      </x:c>
      <x:c r="H4736" s="6" t="n">
        <x:v>4</x:v>
      </x:c>
      <x:c r="I4736" s="6" t="n">
        <x:f>G4736-H4736</x:f>
        <x:v>1</x:v>
      </x:c>
      <x:c r="J4736" s="6" t="n">
        <x:f>IF(OR(E4736="CANCELED",E4736="SUSPECTED_FRAUD",F4736="Shipping canceled"),0,1)</x:f>
        <x:v>1</x:v>
      </x:c>
      <x:c r="K4736" s="6" t="n">
        <x:f>IF(G4736&gt;H4736,1,0)</x:f>
        <x:v>1</x:v>
      </x:c>
      <x:c r="L4736" s="6" t="n">
        <x:f>J4736*K4736</x:f>
        <x:v>1</x:v>
      </x:c>
    </x:row>
    <x:row r="4737">
      <x:c r="A4737" s="1" t="n">
        <x:v>36632</x:v>
      </x:c>
      <x:c r="B4737" s="5" t="d">
        <x:v>2016-06-18T00:00:00.000Z</x:v>
      </x:c>
      <x:c r="C4737" s="1" t="str">
        <x:v>Standard Class</x:v>
      </x:c>
      <x:c r="D4737" s="1" t="str">
        <x:v>USCA</x:v>
      </x:c>
      <x:c r="E4737" s="1" t="str">
        <x:v>COMPLETE</x:v>
      </x:c>
      <x:c r="F4737" s="1" t="str">
        <x:v>Advance shipping</x:v>
      </x:c>
      <x:c r="G4737" s="6" t="n">
        <x:v>3</x:v>
      </x:c>
      <x:c r="H4737" s="6" t="n">
        <x:v>4</x:v>
      </x:c>
      <x:c r="I4737" s="6" t="n">
        <x:f>G4737-H4737</x:f>
        <x:v>-1</x:v>
      </x:c>
      <x:c r="J4737" s="6" t="n">
        <x:f>IF(OR(E4737="CANCELED",E4737="SUSPECTED_FRAUD",F4737="Shipping canceled"),0,1)</x:f>
        <x:v>1</x:v>
      </x:c>
      <x:c r="K4737" s="6" t="n">
        <x:f>IF(G4737&gt;H4737,1,0)</x:f>
        <x:v>0</x:v>
      </x:c>
      <x:c r="L4737" s="6" t="n">
        <x:f>J4737*K4737</x:f>
        <x:v>0</x:v>
      </x:c>
    </x:row>
    <x:row r="4738">
      <x:c r="A4738" s="1" t="n">
        <x:v>36636</x:v>
      </x:c>
      <x:c r="B4738" s="5" t="d">
        <x:v>2016-06-18T00:00:00.000Z</x:v>
      </x:c>
      <x:c r="C4738" s="1" t="str">
        <x:v>Standard Class</x:v>
      </x:c>
      <x:c r="D4738" s="1" t="str">
        <x:v>USCA</x:v>
      </x:c>
      <x:c r="E4738" s="1" t="str">
        <x:v>PROCESSING</x:v>
      </x:c>
      <x:c r="F4738" s="1" t="str">
        <x:v>Advance shipping</x:v>
      </x:c>
      <x:c r="G4738" s="6" t="n">
        <x:v>2</x:v>
      </x:c>
      <x:c r="H4738" s="6" t="n">
        <x:v>4</x:v>
      </x:c>
      <x:c r="I4738" s="6" t="n">
        <x:f>G4738-H4738</x:f>
        <x:v>-2</x:v>
      </x:c>
      <x:c r="J4738" s="6" t="n">
        <x:f>IF(OR(E4738="CANCELED",E4738="SUSPECTED_FRAUD",F4738="Shipping canceled"),0,1)</x:f>
        <x:v>1</x:v>
      </x:c>
      <x:c r="K4738" s="6" t="n">
        <x:f>IF(G4738&gt;H4738,1,0)</x:f>
        <x:v>0</x:v>
      </x:c>
      <x:c r="L4738" s="6" t="n">
        <x:f>J4738*K4738</x:f>
        <x:v>0</x:v>
      </x:c>
    </x:row>
    <x:row r="4739">
      <x:c r="A4739" s="1" t="n">
        <x:v>36638</x:v>
      </x:c>
      <x:c r="B4739" s="5" t="d">
        <x:v>2016-06-18T00:00:00.000Z</x:v>
      </x:c>
      <x:c r="C4739" s="1" t="str">
        <x:v>Standard Class</x:v>
      </x:c>
      <x:c r="D4739" s="1" t="str">
        <x:v>USCA</x:v>
      </x:c>
      <x:c r="E4739" s="1" t="str">
        <x:v>COMPLETE</x:v>
      </x:c>
      <x:c r="F4739" s="1" t="str">
        <x:v>Shipping on time</x:v>
      </x:c>
      <x:c r="G4739" s="6" t="n">
        <x:v>4</x:v>
      </x:c>
      <x:c r="H4739" s="6" t="n">
        <x:v>4</x:v>
      </x:c>
      <x:c r="I4739" s="6" t="n">
        <x:f>G4739-H4739</x:f>
        <x:v>0</x:v>
      </x:c>
      <x:c r="J4739" s="6" t="n">
        <x:f>IF(OR(E4739="CANCELED",E4739="SUSPECTED_FRAUD",F4739="Shipping canceled"),0,1)</x:f>
        <x:v>1</x:v>
      </x:c>
      <x:c r="K4739" s="6" t="n">
        <x:f>IF(G4739&gt;H4739,1,0)</x:f>
        <x:v>0</x:v>
      </x:c>
      <x:c r="L4739" s="6" t="n">
        <x:f>J4739*K4739</x:f>
        <x:v>0</x:v>
      </x:c>
    </x:row>
    <x:row r="4740">
      <x:c r="A4740" s="1" t="n">
        <x:v>36648</x:v>
      </x:c>
      <x:c r="B4740" s="5" t="d">
        <x:v>2016-06-18T00:00:00.000Z</x:v>
      </x:c>
      <x:c r="C4740" s="1" t="str">
        <x:v>Second Class</x:v>
      </x:c>
      <x:c r="D4740" s="1" t="str">
        <x:v>USCA</x:v>
      </x:c>
      <x:c r="E4740" s="1" t="str">
        <x:v>COMPLETE</x:v>
      </x:c>
      <x:c r="F4740" s="1" t="str">
        <x:v>Late delivery</x:v>
      </x:c>
      <x:c r="G4740" s="6" t="n">
        <x:v>4</x:v>
      </x:c>
      <x:c r="H4740" s="6" t="n">
        <x:v>2</x:v>
      </x:c>
      <x:c r="I4740" s="6" t="n">
        <x:f>G4740-H4740</x:f>
        <x:v>2</x:v>
      </x:c>
      <x:c r="J4740" s="6" t="n">
        <x:f>IF(OR(E4740="CANCELED",E4740="SUSPECTED_FRAUD",F4740="Shipping canceled"),0,1)</x:f>
        <x:v>1</x:v>
      </x:c>
      <x:c r="K4740" s="6" t="n">
        <x:f>IF(G4740&gt;H4740,1,0)</x:f>
        <x:v>1</x:v>
      </x:c>
      <x:c r="L4740" s="6" t="n">
        <x:f>J4740*K4740</x:f>
        <x:v>1</x:v>
      </x:c>
    </x:row>
    <x:row r="4741">
      <x:c r="A4741" s="1" t="n">
        <x:v>36654</x:v>
      </x:c>
      <x:c r="B4741" s="5" t="d">
        <x:v>2016-06-19T00:00:00.000Z</x:v>
      </x:c>
      <x:c r="C4741" s="1" t="str">
        <x:v>Standard Class</x:v>
      </x:c>
      <x:c r="D4741" s="1" t="str">
        <x:v>USCA</x:v>
      </x:c>
      <x:c r="E4741" s="1" t="str">
        <x:v>PROCESSING</x:v>
      </x:c>
      <x:c r="F4741" s="1" t="str">
        <x:v>Late delivery</x:v>
      </x:c>
      <x:c r="G4741" s="6" t="n">
        <x:v>5</x:v>
      </x:c>
      <x:c r="H4741" s="6" t="n">
        <x:v>4</x:v>
      </x:c>
      <x:c r="I4741" s="6" t="n">
        <x:f>G4741-H4741</x:f>
        <x:v>1</x:v>
      </x:c>
      <x:c r="J4741" s="6" t="n">
        <x:f>IF(OR(E4741="CANCELED",E4741="SUSPECTED_FRAUD",F4741="Shipping canceled"),0,1)</x:f>
        <x:v>1</x:v>
      </x:c>
      <x:c r="K4741" s="6" t="n">
        <x:f>IF(G4741&gt;H4741,1,0)</x:f>
        <x:v>1</x:v>
      </x:c>
      <x:c r="L4741" s="6" t="n">
        <x:f>J4741*K4741</x:f>
        <x:v>1</x:v>
      </x:c>
    </x:row>
    <x:row r="4742">
      <x:c r="A4742" s="1" t="n">
        <x:v>36677</x:v>
      </x:c>
      <x:c r="B4742" s="5" t="d">
        <x:v>2016-06-19T00:00:00.000Z</x:v>
      </x:c>
      <x:c r="C4742" s="1" t="str">
        <x:v>Standard Class</x:v>
      </x:c>
      <x:c r="D4742" s="1" t="str">
        <x:v>USCA</x:v>
      </x:c>
      <x:c r="E4742" s="1" t="str">
        <x:v>COMPLETE</x:v>
      </x:c>
      <x:c r="F4742" s="1" t="str">
        <x:v>Advance shipping</x:v>
      </x:c>
      <x:c r="G4742" s="6" t="n">
        <x:v>3</x:v>
      </x:c>
      <x:c r="H4742" s="6" t="n">
        <x:v>4</x:v>
      </x:c>
      <x:c r="I4742" s="6" t="n">
        <x:f>G4742-H4742</x:f>
        <x:v>-1</x:v>
      </x:c>
      <x:c r="J4742" s="6" t="n">
        <x:f>IF(OR(E4742="CANCELED",E4742="SUSPECTED_FRAUD",F4742="Shipping canceled"),0,1)</x:f>
        <x:v>1</x:v>
      </x:c>
      <x:c r="K4742" s="6" t="n">
        <x:f>IF(G4742&gt;H4742,1,0)</x:f>
        <x:v>0</x:v>
      </x:c>
      <x:c r="L4742" s="6" t="n">
        <x:f>J4742*K4742</x:f>
        <x:v>0</x:v>
      </x:c>
    </x:row>
    <x:row r="4743">
      <x:c r="A4743" s="1" t="n">
        <x:v>36682</x:v>
      </x:c>
      <x:c r="B4743" s="5" t="d">
        <x:v>2016-06-19T00:00:00.000Z</x:v>
      </x:c>
      <x:c r="C4743" s="1" t="str">
        <x:v>Standard Class</x:v>
      </x:c>
      <x:c r="D4743" s="1" t="str">
        <x:v>USCA</x:v>
      </x:c>
      <x:c r="E4743" s="1" t="str">
        <x:v>COMPLETE</x:v>
      </x:c>
      <x:c r="F4743" s="1" t="str">
        <x:v>Advance shipping</x:v>
      </x:c>
      <x:c r="G4743" s="6" t="n">
        <x:v>3</x:v>
      </x:c>
      <x:c r="H4743" s="6" t="n">
        <x:v>4</x:v>
      </x:c>
      <x:c r="I4743" s="6" t="n">
        <x:f>G4743-H4743</x:f>
        <x:v>-1</x:v>
      </x:c>
      <x:c r="J4743" s="6" t="n">
        <x:f>IF(OR(E4743="CANCELED",E4743="SUSPECTED_FRAUD",F4743="Shipping canceled"),0,1)</x:f>
        <x:v>1</x:v>
      </x:c>
      <x:c r="K4743" s="6" t="n">
        <x:f>IF(G4743&gt;H4743,1,0)</x:f>
        <x:v>0</x:v>
      </x:c>
      <x:c r="L4743" s="6" t="n">
        <x:f>J4743*K4743</x:f>
        <x:v>0</x:v>
      </x:c>
    </x:row>
    <x:row r="4744">
      <x:c r="A4744" s="1" t="n">
        <x:v>36685</x:v>
      </x:c>
      <x:c r="B4744" s="5" t="d">
        <x:v>2016-06-19T00:00:00.000Z</x:v>
      </x:c>
      <x:c r="C4744" s="1" t="str">
        <x:v>Standard Class</x:v>
      </x:c>
      <x:c r="D4744" s="1" t="str">
        <x:v>USCA</x:v>
      </x:c>
      <x:c r="E4744" s="1" t="str">
        <x:v>SUSPECTED_FRAUD</x:v>
      </x:c>
      <x:c r="F4744" s="1" t="str">
        <x:v>Shipping canceled</x:v>
      </x:c>
      <x:c r="G4744" s="6" t="n">
        <x:v>6</x:v>
      </x:c>
      <x:c r="H4744" s="6" t="n">
        <x:v>4</x:v>
      </x:c>
      <x:c r="I4744" s="6" t="n">
        <x:f>G4744-H4744</x:f>
        <x:v>2</x:v>
      </x:c>
      <x:c r="J4744" s="6" t="n">
        <x:f>IF(OR(E4744="CANCELED",E4744="SUSPECTED_FRAUD",F4744="Shipping canceled"),0,1)</x:f>
        <x:v>0</x:v>
      </x:c>
      <x:c r="K4744" s="6" t="n">
        <x:f>IF(G4744&gt;H4744,1,0)</x:f>
        <x:v>1</x:v>
      </x:c>
      <x:c r="L4744" s="6" t="n">
        <x:f>J4744*K4744</x:f>
        <x:v>0</x:v>
      </x:c>
    </x:row>
    <x:row r="4745">
      <x:c r="A4745" s="1" t="n">
        <x:v>36697</x:v>
      </x:c>
      <x:c r="B4745" s="5" t="d">
        <x:v>2016-06-19T00:00:00.000Z</x:v>
      </x:c>
      <x:c r="C4745" s="1" t="str">
        <x:v>Standard Class</x:v>
      </x:c>
      <x:c r="D4745" s="1" t="str">
        <x:v>USCA</x:v>
      </x:c>
      <x:c r="E4745" s="1" t="str">
        <x:v>CANCELED</x:v>
      </x:c>
      <x:c r="F4745" s="1" t="str">
        <x:v>Shipping canceled</x:v>
      </x:c>
      <x:c r="G4745" s="6" t="n">
        <x:v>3</x:v>
      </x:c>
      <x:c r="H4745" s="6" t="n">
        <x:v>4</x:v>
      </x:c>
      <x:c r="I4745" s="6" t="n">
        <x:f>G4745-H4745</x:f>
        <x:v>-1</x:v>
      </x:c>
      <x:c r="J4745" s="6" t="n">
        <x:f>IF(OR(E4745="CANCELED",E4745="SUSPECTED_FRAUD",F4745="Shipping canceled"),0,1)</x:f>
        <x:v>0</x:v>
      </x:c>
      <x:c r="K4745" s="6" t="n">
        <x:f>IF(G4745&gt;H4745,1,0)</x:f>
        <x:v>0</x:v>
      </x:c>
      <x:c r="L4745" s="6" t="n">
        <x:f>J4745*K4745</x:f>
        <x:v>0</x:v>
      </x:c>
    </x:row>
    <x:row r="4746">
      <x:c r="A4746" s="1" t="n">
        <x:v>36716</x:v>
      </x:c>
      <x:c r="B4746" s="5" t="d">
        <x:v>2016-06-19T00:00:00.000Z</x:v>
      </x:c>
      <x:c r="C4746" s="1" t="str">
        <x:v>Standard Class</x:v>
      </x:c>
      <x:c r="D4746" s="1" t="str">
        <x:v>USCA</x:v>
      </x:c>
      <x:c r="E4746" s="1" t="str">
        <x:v>COMPLETE</x:v>
      </x:c>
      <x:c r="F4746" s="1" t="str">
        <x:v>Advance shipping</x:v>
      </x:c>
      <x:c r="G4746" s="6" t="n">
        <x:v>2</x:v>
      </x:c>
      <x:c r="H4746" s="6" t="n">
        <x:v>4</x:v>
      </x:c>
      <x:c r="I4746" s="6" t="n">
        <x:f>G4746-H4746</x:f>
        <x:v>-2</x:v>
      </x:c>
      <x:c r="J4746" s="6" t="n">
        <x:f>IF(OR(E4746="CANCELED",E4746="SUSPECTED_FRAUD",F4746="Shipping canceled"),0,1)</x:f>
        <x:v>1</x:v>
      </x:c>
      <x:c r="K4746" s="6" t="n">
        <x:f>IF(G4746&gt;H4746,1,0)</x:f>
        <x:v>0</x:v>
      </x:c>
      <x:c r="L4746" s="6" t="n">
        <x:f>J4746*K4746</x:f>
        <x:v>0</x:v>
      </x:c>
    </x:row>
    <x:row r="4747">
      <x:c r="A4747" s="1" t="n">
        <x:v>36729</x:v>
      </x:c>
      <x:c r="B4747" s="5" t="d">
        <x:v>2016-06-20T00:00:00.000Z</x:v>
      </x:c>
      <x:c r="C4747" s="1" t="str">
        <x:v>Second Class</x:v>
      </x:c>
      <x:c r="D4747" s="1" t="str">
        <x:v>USCA</x:v>
      </x:c>
      <x:c r="E4747" s="1" t="str">
        <x:v>CANCELED</x:v>
      </x:c>
      <x:c r="F4747" s="1" t="str">
        <x:v>Shipping canceled</x:v>
      </x:c>
      <x:c r="G4747" s="6" t="n">
        <x:v>5</x:v>
      </x:c>
      <x:c r="H4747" s="6" t="n">
        <x:v>2</x:v>
      </x:c>
      <x:c r="I4747" s="6" t="n">
        <x:f>G4747-H4747</x:f>
        <x:v>3</x:v>
      </x:c>
      <x:c r="J4747" s="6" t="n">
        <x:f>IF(OR(E4747="CANCELED",E4747="SUSPECTED_FRAUD",F4747="Shipping canceled"),0,1)</x:f>
        <x:v>0</x:v>
      </x:c>
      <x:c r="K4747" s="6" t="n">
        <x:f>IF(G4747&gt;H4747,1,0)</x:f>
        <x:v>1</x:v>
      </x:c>
      <x:c r="L4747" s="6" t="n">
        <x:f>J4747*K4747</x:f>
        <x:v>0</x:v>
      </x:c>
    </x:row>
    <x:row r="4748">
      <x:c r="A4748" s="1" t="n">
        <x:v>36737</x:v>
      </x:c>
      <x:c r="B4748" s="5" t="d">
        <x:v>2016-06-20T00:00:00.000Z</x:v>
      </x:c>
      <x:c r="C4748" s="1" t="str">
        <x:v>Standard Class</x:v>
      </x:c>
      <x:c r="D4748" s="1" t="str">
        <x:v>USCA</x:v>
      </x:c>
      <x:c r="E4748" s="1" t="str">
        <x:v>COMPLETE</x:v>
      </x:c>
      <x:c r="F4748" s="1" t="str">
        <x:v>Advance shipping</x:v>
      </x:c>
      <x:c r="G4748" s="6" t="n">
        <x:v>3</x:v>
      </x:c>
      <x:c r="H4748" s="6" t="n">
        <x:v>4</x:v>
      </x:c>
      <x:c r="I4748" s="6" t="n">
        <x:f>G4748-H4748</x:f>
        <x:v>-1</x:v>
      </x:c>
      <x:c r="J4748" s="6" t="n">
        <x:f>IF(OR(E4748="CANCELED",E4748="SUSPECTED_FRAUD",F4748="Shipping canceled"),0,1)</x:f>
        <x:v>1</x:v>
      </x:c>
      <x:c r="K4748" s="6" t="n">
        <x:f>IF(G4748&gt;H4748,1,0)</x:f>
        <x:v>0</x:v>
      </x:c>
      <x:c r="L4748" s="6" t="n">
        <x:f>J4748*K4748</x:f>
        <x:v>0</x:v>
      </x:c>
    </x:row>
    <x:row r="4749">
      <x:c r="A4749" s="1" t="n">
        <x:v>36747</x:v>
      </x:c>
      <x:c r="B4749" s="5" t="d">
        <x:v>2016-06-20T00:00:00.000Z</x:v>
      </x:c>
      <x:c r="C4749" s="1" t="str">
        <x:v>Standard Class</x:v>
      </x:c>
      <x:c r="D4749" s="1" t="str">
        <x:v>USCA</x:v>
      </x:c>
      <x:c r="E4749" s="1" t="str">
        <x:v>PENDING_PAYMENT</x:v>
      </x:c>
      <x:c r="F4749" s="1" t="str">
        <x:v>Advance shipping</x:v>
      </x:c>
      <x:c r="G4749" s="6" t="n">
        <x:v>3</x:v>
      </x:c>
      <x:c r="H4749" s="6" t="n">
        <x:v>4</x:v>
      </x:c>
      <x:c r="I4749" s="6" t="n">
        <x:f>G4749-H4749</x:f>
        <x:v>-1</x:v>
      </x:c>
      <x:c r="J4749" s="6" t="n">
        <x:f>IF(OR(E4749="CANCELED",E4749="SUSPECTED_FRAUD",F4749="Shipping canceled"),0,1)</x:f>
        <x:v>1</x:v>
      </x:c>
      <x:c r="K4749" s="6" t="n">
        <x:f>IF(G4749&gt;H4749,1,0)</x:f>
        <x:v>0</x:v>
      </x:c>
      <x:c r="L4749" s="6" t="n">
        <x:f>J4749*K4749</x:f>
        <x:v>0</x:v>
      </x:c>
    </x:row>
    <x:row r="4750">
      <x:c r="A4750" s="1" t="n">
        <x:v>36752</x:v>
      </x:c>
      <x:c r="B4750" s="5" t="d">
        <x:v>2016-06-20T00:00:00.000Z</x:v>
      </x:c>
      <x:c r="C4750" s="1" t="str">
        <x:v>Standard Class</x:v>
      </x:c>
      <x:c r="D4750" s="1" t="str">
        <x:v>USCA</x:v>
      </x:c>
      <x:c r="E4750" s="1" t="str">
        <x:v>PENDING_PAYMENT</x:v>
      </x:c>
      <x:c r="F4750" s="1" t="str">
        <x:v>Advance shipping</x:v>
      </x:c>
      <x:c r="G4750" s="6" t="n">
        <x:v>3</x:v>
      </x:c>
      <x:c r="H4750" s="6" t="n">
        <x:v>4</x:v>
      </x:c>
      <x:c r="I4750" s="6" t="n">
        <x:f>G4750-H4750</x:f>
        <x:v>-1</x:v>
      </x:c>
      <x:c r="J4750" s="6" t="n">
        <x:f>IF(OR(E4750="CANCELED",E4750="SUSPECTED_FRAUD",F4750="Shipping canceled"),0,1)</x:f>
        <x:v>1</x:v>
      </x:c>
      <x:c r="K4750" s="6" t="n">
        <x:f>IF(G4750&gt;H4750,1,0)</x:f>
        <x:v>0</x:v>
      </x:c>
      <x:c r="L4750" s="6" t="n">
        <x:f>J4750*K4750</x:f>
        <x:v>0</x:v>
      </x:c>
    </x:row>
    <x:row r="4751">
      <x:c r="A4751" s="1" t="n">
        <x:v>36757</x:v>
      </x:c>
      <x:c r="B4751" s="5" t="d">
        <x:v>2016-06-20T00:00:00.000Z</x:v>
      </x:c>
      <x:c r="C4751" s="1" t="str">
        <x:v>Standard Class</x:v>
      </x:c>
      <x:c r="D4751" s="1" t="str">
        <x:v>USCA</x:v>
      </x:c>
      <x:c r="E4751" s="1" t="str">
        <x:v>PROCESSING</x:v>
      </x:c>
      <x:c r="F4751" s="1" t="str">
        <x:v>Advance shipping</x:v>
      </x:c>
      <x:c r="G4751" s="6" t="n">
        <x:v>3</x:v>
      </x:c>
      <x:c r="H4751" s="6" t="n">
        <x:v>4</x:v>
      </x:c>
      <x:c r="I4751" s="6" t="n">
        <x:f>G4751-H4751</x:f>
        <x:v>-1</x:v>
      </x:c>
      <x:c r="J4751" s="6" t="n">
        <x:f>IF(OR(E4751="CANCELED",E4751="SUSPECTED_FRAUD",F4751="Shipping canceled"),0,1)</x:f>
        <x:v>1</x:v>
      </x:c>
      <x:c r="K4751" s="6" t="n">
        <x:f>IF(G4751&gt;H4751,1,0)</x:f>
        <x:v>0</x:v>
      </x:c>
      <x:c r="L4751" s="6" t="n">
        <x:f>J4751*K4751</x:f>
        <x:v>0</x:v>
      </x:c>
    </x:row>
    <x:row r="4752">
      <x:c r="A4752" s="1" t="n">
        <x:v>36762</x:v>
      </x:c>
      <x:c r="B4752" s="5" t="d">
        <x:v>2016-06-20T00:00:00.000Z</x:v>
      </x:c>
      <x:c r="C4752" s="1" t="str">
        <x:v>Standard Class</x:v>
      </x:c>
      <x:c r="D4752" s="1" t="str">
        <x:v>USCA</x:v>
      </x:c>
      <x:c r="E4752" s="1" t="str">
        <x:v>CANCELED</x:v>
      </x:c>
      <x:c r="F4752" s="1" t="str">
        <x:v>Shipping canceled</x:v>
      </x:c>
      <x:c r="G4752" s="6" t="n">
        <x:v>3</x:v>
      </x:c>
      <x:c r="H4752" s="6" t="n">
        <x:v>4</x:v>
      </x:c>
      <x:c r="I4752" s="6" t="n">
        <x:f>G4752-H4752</x:f>
        <x:v>-1</x:v>
      </x:c>
      <x:c r="J4752" s="6" t="n">
        <x:f>IF(OR(E4752="CANCELED",E4752="SUSPECTED_FRAUD",F4752="Shipping canceled"),0,1)</x:f>
        <x:v>0</x:v>
      </x:c>
      <x:c r="K4752" s="6" t="n">
        <x:f>IF(G4752&gt;H4752,1,0)</x:f>
        <x:v>0</x:v>
      </x:c>
      <x:c r="L4752" s="6" t="n">
        <x:f>J4752*K4752</x:f>
        <x:v>0</x:v>
      </x:c>
    </x:row>
    <x:row r="4753">
      <x:c r="A4753" s="1" t="n">
        <x:v>36780</x:v>
      </x:c>
      <x:c r="B4753" s="5" t="d">
        <x:v>2016-06-20T00:00:00.000Z</x:v>
      </x:c>
      <x:c r="C4753" s="1" t="str">
        <x:v>Standard Class</x:v>
      </x:c>
      <x:c r="D4753" s="1" t="str">
        <x:v>USCA</x:v>
      </x:c>
      <x:c r="E4753" s="1" t="str">
        <x:v>COMPLETE</x:v>
      </x:c>
      <x:c r="F4753" s="1" t="str">
        <x:v>Late delivery</x:v>
      </x:c>
      <x:c r="G4753" s="6" t="n">
        <x:v>6</x:v>
      </x:c>
      <x:c r="H4753" s="6" t="n">
        <x:v>4</x:v>
      </x:c>
      <x:c r="I4753" s="6" t="n">
        <x:f>G4753-H4753</x:f>
        <x:v>2</x:v>
      </x:c>
      <x:c r="J4753" s="6" t="n">
        <x:f>IF(OR(E4753="CANCELED",E4753="SUSPECTED_FRAUD",F4753="Shipping canceled"),0,1)</x:f>
        <x:v>1</x:v>
      </x:c>
      <x:c r="K4753" s="6" t="n">
        <x:f>IF(G4753&gt;H4753,1,0)</x:f>
        <x:v>1</x:v>
      </x:c>
      <x:c r="L4753" s="6" t="n">
        <x:f>J4753*K4753</x:f>
        <x:v>1</x:v>
      </x:c>
    </x:row>
    <x:row r="4754">
      <x:c r="A4754" s="1" t="n">
        <x:v>36783</x:v>
      </x:c>
      <x:c r="B4754" s="5" t="d">
        <x:v>2016-06-20T00:00:00.000Z</x:v>
      </x:c>
      <x:c r="C4754" s="1" t="str">
        <x:v>Second Class</x:v>
      </x:c>
      <x:c r="D4754" s="1" t="str">
        <x:v>USCA</x:v>
      </x:c>
      <x:c r="E4754" s="1" t="str">
        <x:v>COMPLETE</x:v>
      </x:c>
      <x:c r="F4754" s="1" t="str">
        <x:v>Late delivery</x:v>
      </x:c>
      <x:c r="G4754" s="6" t="n">
        <x:v>4</x:v>
      </x:c>
      <x:c r="H4754" s="6" t="n">
        <x:v>2</x:v>
      </x:c>
      <x:c r="I4754" s="6" t="n">
        <x:f>G4754-H4754</x:f>
        <x:v>2</x:v>
      </x:c>
      <x:c r="J4754" s="6" t="n">
        <x:f>IF(OR(E4754="CANCELED",E4754="SUSPECTED_FRAUD",F4754="Shipping canceled"),0,1)</x:f>
        <x:v>1</x:v>
      </x:c>
      <x:c r="K4754" s="6" t="n">
        <x:f>IF(G4754&gt;H4754,1,0)</x:f>
        <x:v>1</x:v>
      </x:c>
      <x:c r="L4754" s="6" t="n">
        <x:f>J4754*K4754</x:f>
        <x:v>1</x:v>
      </x:c>
    </x:row>
    <x:row r="4755">
      <x:c r="A4755" s="1" t="n">
        <x:v>36786</x:v>
      </x:c>
      <x:c r="B4755" s="5" t="d">
        <x:v>2016-06-20T00:00:00.000Z</x:v>
      </x:c>
      <x:c r="C4755" s="1" t="str">
        <x:v>Standard Class</x:v>
      </x:c>
      <x:c r="D4755" s="1" t="str">
        <x:v>USCA</x:v>
      </x:c>
      <x:c r="E4755" s="1" t="str">
        <x:v>COMPLETE</x:v>
      </x:c>
      <x:c r="F4755" s="1" t="str">
        <x:v>Advance shipping</x:v>
      </x:c>
      <x:c r="G4755" s="6" t="n">
        <x:v>2</x:v>
      </x:c>
      <x:c r="H4755" s="6" t="n">
        <x:v>4</x:v>
      </x:c>
      <x:c r="I4755" s="6" t="n">
        <x:f>G4755-H4755</x:f>
        <x:v>-2</x:v>
      </x:c>
      <x:c r="J4755" s="6" t="n">
        <x:f>IF(OR(E4755="CANCELED",E4755="SUSPECTED_FRAUD",F4755="Shipping canceled"),0,1)</x:f>
        <x:v>1</x:v>
      </x:c>
      <x:c r="K4755" s="6" t="n">
        <x:f>IF(G4755&gt;H4755,1,0)</x:f>
        <x:v>0</x:v>
      </x:c>
      <x:c r="L4755" s="6" t="n">
        <x:f>J4755*K4755</x:f>
        <x:v>0</x:v>
      </x:c>
    </x:row>
    <x:row r="4756">
      <x:c r="A4756" s="1" t="n">
        <x:v>36823</x:v>
      </x:c>
      <x:c r="B4756" s="5" t="d">
        <x:v>2016-06-21T00:00:00.000Z</x:v>
      </x:c>
      <x:c r="C4756" s="1" t="str">
        <x:v>Standard Class</x:v>
      </x:c>
      <x:c r="D4756" s="1" t="str">
        <x:v>USCA</x:v>
      </x:c>
      <x:c r="E4756" s="1" t="str">
        <x:v>PENDING</x:v>
      </x:c>
      <x:c r="F4756" s="1" t="str">
        <x:v>Shipping on time</x:v>
      </x:c>
      <x:c r="G4756" s="6" t="n">
        <x:v>4</x:v>
      </x:c>
      <x:c r="H4756" s="6" t="n">
        <x:v>4</x:v>
      </x:c>
      <x:c r="I4756" s="6" t="n">
        <x:f>G4756-H4756</x:f>
        <x:v>0</x:v>
      </x:c>
      <x:c r="J4756" s="6" t="n">
        <x:f>IF(OR(E4756="CANCELED",E4756="SUSPECTED_FRAUD",F4756="Shipping canceled"),0,1)</x:f>
        <x:v>1</x:v>
      </x:c>
      <x:c r="K4756" s="6" t="n">
        <x:f>IF(G4756&gt;H4756,1,0)</x:f>
        <x:v>0</x:v>
      </x:c>
      <x:c r="L4756" s="6" t="n">
        <x:f>J4756*K4756</x:f>
        <x:v>0</x:v>
      </x:c>
    </x:row>
    <x:row r="4757">
      <x:c r="A4757" s="1" t="n">
        <x:v>36837</x:v>
      </x:c>
      <x:c r="B4757" s="5" t="d">
        <x:v>2016-06-21T00:00:00.000Z</x:v>
      </x:c>
      <x:c r="C4757" s="1" t="str">
        <x:v>Standard Class</x:v>
      </x:c>
      <x:c r="D4757" s="1" t="str">
        <x:v>USCA</x:v>
      </x:c>
      <x:c r="E4757" s="1" t="str">
        <x:v>PROCESSING</x:v>
      </x:c>
      <x:c r="F4757" s="1" t="str">
        <x:v>Advance shipping</x:v>
      </x:c>
      <x:c r="G4757" s="6" t="n">
        <x:v>3</x:v>
      </x:c>
      <x:c r="H4757" s="6" t="n">
        <x:v>4</x:v>
      </x:c>
      <x:c r="I4757" s="6" t="n">
        <x:f>G4757-H4757</x:f>
        <x:v>-1</x:v>
      </x:c>
      <x:c r="J4757" s="6" t="n">
        <x:f>IF(OR(E4757="CANCELED",E4757="SUSPECTED_FRAUD",F4757="Shipping canceled"),0,1)</x:f>
        <x:v>1</x:v>
      </x:c>
      <x:c r="K4757" s="6" t="n">
        <x:f>IF(G4757&gt;H4757,1,0)</x:f>
        <x:v>0</x:v>
      </x:c>
      <x:c r="L4757" s="6" t="n">
        <x:f>J4757*K4757</x:f>
        <x:v>0</x:v>
      </x:c>
    </x:row>
    <x:row r="4758">
      <x:c r="A4758" s="1" t="n">
        <x:v>36840</x:v>
      </x:c>
      <x:c r="B4758" s="5" t="d">
        <x:v>2016-06-21T00:00:00.000Z</x:v>
      </x:c>
      <x:c r="C4758" s="1" t="str">
        <x:v>Standard Class</x:v>
      </x:c>
      <x:c r="D4758" s="1" t="str">
        <x:v>USCA</x:v>
      </x:c>
      <x:c r="E4758" s="1" t="str">
        <x:v>PENDING</x:v>
      </x:c>
      <x:c r="F4758" s="1" t="str">
        <x:v>Late delivery</x:v>
      </x:c>
      <x:c r="G4758" s="6" t="n">
        <x:v>6</x:v>
      </x:c>
      <x:c r="H4758" s="6" t="n">
        <x:v>4</x:v>
      </x:c>
      <x:c r="I4758" s="6" t="n">
        <x:f>G4758-H4758</x:f>
        <x:v>2</x:v>
      </x:c>
      <x:c r="J4758" s="6" t="n">
        <x:f>IF(OR(E4758="CANCELED",E4758="SUSPECTED_FRAUD",F4758="Shipping canceled"),0,1)</x:f>
        <x:v>1</x:v>
      </x:c>
      <x:c r="K4758" s="6" t="n">
        <x:f>IF(G4758&gt;H4758,1,0)</x:f>
        <x:v>1</x:v>
      </x:c>
      <x:c r="L4758" s="6" t="n">
        <x:f>J4758*K4758</x:f>
        <x:v>1</x:v>
      </x:c>
    </x:row>
    <x:row r="4759">
      <x:c r="A4759" s="1" t="n">
        <x:v>36848</x:v>
      </x:c>
      <x:c r="B4759" s="5" t="d">
        <x:v>2016-06-21T00:00:00.000Z</x:v>
      </x:c>
      <x:c r="C4759" s="1" t="str">
        <x:v>Standard Class</x:v>
      </x:c>
      <x:c r="D4759" s="1" t="str">
        <x:v>USCA</x:v>
      </x:c>
      <x:c r="E4759" s="1" t="str">
        <x:v>COMPLETE</x:v>
      </x:c>
      <x:c r="F4759" s="1" t="str">
        <x:v>Shipping on time</x:v>
      </x:c>
      <x:c r="G4759" s="6" t="n">
        <x:v>4</x:v>
      </x:c>
      <x:c r="H4759" s="6" t="n">
        <x:v>4</x:v>
      </x:c>
      <x:c r="I4759" s="6" t="n">
        <x:f>G4759-H4759</x:f>
        <x:v>0</x:v>
      </x:c>
      <x:c r="J4759" s="6" t="n">
        <x:f>IF(OR(E4759="CANCELED",E4759="SUSPECTED_FRAUD",F4759="Shipping canceled"),0,1)</x:f>
        <x:v>1</x:v>
      </x:c>
      <x:c r="K4759" s="6" t="n">
        <x:f>IF(G4759&gt;H4759,1,0)</x:f>
        <x:v>0</x:v>
      </x:c>
      <x:c r="L4759" s="6" t="n">
        <x:f>J4759*K4759</x:f>
        <x:v>0</x:v>
      </x:c>
    </x:row>
    <x:row r="4760">
      <x:c r="A4760" s="1" t="n">
        <x:v>36853</x:v>
      </x:c>
      <x:c r="B4760" s="5" t="d">
        <x:v>2016-06-21T00:00:00.000Z</x:v>
      </x:c>
      <x:c r="C4760" s="1" t="str">
        <x:v>Standard Class</x:v>
      </x:c>
      <x:c r="D4760" s="1" t="str">
        <x:v>USCA</x:v>
      </x:c>
      <x:c r="E4760" s="1" t="str">
        <x:v>PROCESSING</x:v>
      </x:c>
      <x:c r="F4760" s="1" t="str">
        <x:v>Shipping on time</x:v>
      </x:c>
      <x:c r="G4760" s="6" t="n">
        <x:v>4</x:v>
      </x:c>
      <x:c r="H4760" s="6" t="n">
        <x:v>4</x:v>
      </x:c>
      <x:c r="I4760" s="6" t="n">
        <x:f>G4760-H4760</x:f>
        <x:v>0</x:v>
      </x:c>
      <x:c r="J4760" s="6" t="n">
        <x:f>IF(OR(E4760="CANCELED",E4760="SUSPECTED_FRAUD",F4760="Shipping canceled"),0,1)</x:f>
        <x:v>1</x:v>
      </x:c>
      <x:c r="K4760" s="6" t="n">
        <x:f>IF(G4760&gt;H4760,1,0)</x:f>
        <x:v>0</x:v>
      </x:c>
      <x:c r="L4760" s="6" t="n">
        <x:f>J4760*K4760</x:f>
        <x:v>0</x:v>
      </x:c>
    </x:row>
    <x:row r="4761">
      <x:c r="A4761" s="1" t="n">
        <x:v>36865</x:v>
      </x:c>
      <x:c r="B4761" s="5" t="d">
        <x:v>2016-06-22T00:00:00.000Z</x:v>
      </x:c>
      <x:c r="C4761" s="1" t="str">
        <x:v>Standard Class</x:v>
      </x:c>
      <x:c r="D4761" s="1" t="str">
        <x:v>USCA</x:v>
      </x:c>
      <x:c r="E4761" s="1" t="str">
        <x:v>PENDING</x:v>
      </x:c>
      <x:c r="F4761" s="1" t="str">
        <x:v>Late delivery</x:v>
      </x:c>
      <x:c r="G4761" s="6" t="n">
        <x:v>6</x:v>
      </x:c>
      <x:c r="H4761" s="6" t="n">
        <x:v>4</x:v>
      </x:c>
      <x:c r="I4761" s="6" t="n">
        <x:f>G4761-H4761</x:f>
        <x:v>2</x:v>
      </x:c>
      <x:c r="J4761" s="6" t="n">
        <x:f>IF(OR(E4761="CANCELED",E4761="SUSPECTED_FRAUD",F4761="Shipping canceled"),0,1)</x:f>
        <x:v>1</x:v>
      </x:c>
      <x:c r="K4761" s="6" t="n">
        <x:f>IF(G4761&gt;H4761,1,0)</x:f>
        <x:v>1</x:v>
      </x:c>
      <x:c r="L4761" s="6" t="n">
        <x:f>J4761*K4761</x:f>
        <x:v>1</x:v>
      </x:c>
    </x:row>
    <x:row r="4762">
      <x:c r="A4762" s="1" t="n">
        <x:v>36873</x:v>
      </x:c>
      <x:c r="B4762" s="5" t="d">
        <x:v>2016-06-22T00:00:00.000Z</x:v>
      </x:c>
      <x:c r="C4762" s="1" t="str">
        <x:v>Standard Class</x:v>
      </x:c>
      <x:c r="D4762" s="1" t="str">
        <x:v>USCA</x:v>
      </x:c>
      <x:c r="E4762" s="1" t="str">
        <x:v>CLOSED</x:v>
      </x:c>
      <x:c r="F4762" s="1" t="str">
        <x:v>Shipping on time</x:v>
      </x:c>
      <x:c r="G4762" s="6" t="n">
        <x:v>4</x:v>
      </x:c>
      <x:c r="H4762" s="6" t="n">
        <x:v>4</x:v>
      </x:c>
      <x:c r="I4762" s="6" t="n">
        <x:f>G4762-H4762</x:f>
        <x:v>0</x:v>
      </x:c>
      <x:c r="J4762" s="6" t="n">
        <x:f>IF(OR(E4762="CANCELED",E4762="SUSPECTED_FRAUD",F4762="Shipping canceled"),0,1)</x:f>
        <x:v>1</x:v>
      </x:c>
      <x:c r="K4762" s="6" t="n">
        <x:f>IF(G4762&gt;H4762,1,0)</x:f>
        <x:v>0</x:v>
      </x:c>
      <x:c r="L4762" s="6" t="n">
        <x:f>J4762*K4762</x:f>
        <x:v>0</x:v>
      </x:c>
    </x:row>
    <x:row r="4763">
      <x:c r="A4763" s="1" t="n">
        <x:v>36876</x:v>
      </x:c>
      <x:c r="B4763" s="5" t="d">
        <x:v>2016-06-22T00:00:00.000Z</x:v>
      </x:c>
      <x:c r="C4763" s="1" t="str">
        <x:v>Standard Class</x:v>
      </x:c>
      <x:c r="D4763" s="1" t="str">
        <x:v>USCA</x:v>
      </x:c>
      <x:c r="E4763" s="1" t="str">
        <x:v>ON_HOLD</x:v>
      </x:c>
      <x:c r="F4763" s="1" t="str">
        <x:v>Advance shipping</x:v>
      </x:c>
      <x:c r="G4763" s="6" t="n">
        <x:v>2</x:v>
      </x:c>
      <x:c r="H4763" s="6" t="n">
        <x:v>4</x:v>
      </x:c>
      <x:c r="I4763" s="6" t="n">
        <x:f>G4763-H4763</x:f>
        <x:v>-2</x:v>
      </x:c>
      <x:c r="J4763" s="6" t="n">
        <x:f>IF(OR(E4763="CANCELED",E4763="SUSPECTED_FRAUD",F4763="Shipping canceled"),0,1)</x:f>
        <x:v>1</x:v>
      </x:c>
      <x:c r="K4763" s="6" t="n">
        <x:f>IF(G4763&gt;H4763,1,0)</x:f>
        <x:v>0</x:v>
      </x:c>
      <x:c r="L4763" s="6" t="n">
        <x:f>J4763*K4763</x:f>
        <x:v>0</x:v>
      </x:c>
    </x:row>
    <x:row r="4764">
      <x:c r="A4764" s="1" t="n">
        <x:v>36891</x:v>
      </x:c>
      <x:c r="B4764" s="5" t="d">
        <x:v>2016-06-22T00:00:00.000Z</x:v>
      </x:c>
      <x:c r="C4764" s="1" t="str">
        <x:v>Standard Class</x:v>
      </x:c>
      <x:c r="D4764" s="1" t="str">
        <x:v>USCA</x:v>
      </x:c>
      <x:c r="E4764" s="1" t="str">
        <x:v>COMPLETE</x:v>
      </x:c>
      <x:c r="F4764" s="1" t="str">
        <x:v>Advance shipping</x:v>
      </x:c>
      <x:c r="G4764" s="6" t="n">
        <x:v>2</x:v>
      </x:c>
      <x:c r="H4764" s="6" t="n">
        <x:v>4</x:v>
      </x:c>
      <x:c r="I4764" s="6" t="n">
        <x:f>G4764-H4764</x:f>
        <x:v>-2</x:v>
      </x:c>
      <x:c r="J4764" s="6" t="n">
        <x:f>IF(OR(E4764="CANCELED",E4764="SUSPECTED_FRAUD",F4764="Shipping canceled"),0,1)</x:f>
        <x:v>1</x:v>
      </x:c>
      <x:c r="K4764" s="6" t="n">
        <x:f>IF(G4764&gt;H4764,1,0)</x:f>
        <x:v>0</x:v>
      </x:c>
      <x:c r="L4764" s="6" t="n">
        <x:f>J4764*K4764</x:f>
        <x:v>0</x:v>
      </x:c>
    </x:row>
    <x:row r="4765">
      <x:c r="A4765" s="1" t="n">
        <x:v>36894</x:v>
      </x:c>
      <x:c r="B4765" s="5" t="d">
        <x:v>2016-06-22T00:00:00.000Z</x:v>
      </x:c>
      <x:c r="C4765" s="1" t="str">
        <x:v>Standard Class</x:v>
      </x:c>
      <x:c r="D4765" s="1" t="str">
        <x:v>USCA</x:v>
      </x:c>
      <x:c r="E4765" s="1" t="str">
        <x:v>PROCESSING</x:v>
      </x:c>
      <x:c r="F4765" s="1" t="str">
        <x:v>Late delivery</x:v>
      </x:c>
      <x:c r="G4765" s="6" t="n">
        <x:v>5</x:v>
      </x:c>
      <x:c r="H4765" s="6" t="n">
        <x:v>4</x:v>
      </x:c>
      <x:c r="I4765" s="6" t="n">
        <x:f>G4765-H4765</x:f>
        <x:v>1</x:v>
      </x:c>
      <x:c r="J4765" s="6" t="n">
        <x:f>IF(OR(E4765="CANCELED",E4765="SUSPECTED_FRAUD",F4765="Shipping canceled"),0,1)</x:f>
        <x:v>1</x:v>
      </x:c>
      <x:c r="K4765" s="6" t="n">
        <x:f>IF(G4765&gt;H4765,1,0)</x:f>
        <x:v>1</x:v>
      </x:c>
      <x:c r="L4765" s="6" t="n">
        <x:f>J4765*K4765</x:f>
        <x:v>1</x:v>
      </x:c>
    </x:row>
    <x:row r="4766">
      <x:c r="A4766" s="1" t="n">
        <x:v>36897</x:v>
      </x:c>
      <x:c r="B4766" s="5" t="d">
        <x:v>2016-06-22T00:00:00.000Z</x:v>
      </x:c>
      <x:c r="C4766" s="1" t="str">
        <x:v>Standard Class</x:v>
      </x:c>
      <x:c r="D4766" s="1" t="str">
        <x:v>USCA</x:v>
      </x:c>
      <x:c r="E4766" s="1" t="str">
        <x:v>COMPLETE</x:v>
      </x:c>
      <x:c r="F4766" s="1" t="str">
        <x:v>Advance shipping</x:v>
      </x:c>
      <x:c r="G4766" s="6" t="n">
        <x:v>3</x:v>
      </x:c>
      <x:c r="H4766" s="6" t="n">
        <x:v>4</x:v>
      </x:c>
      <x:c r="I4766" s="6" t="n">
        <x:f>G4766-H4766</x:f>
        <x:v>-1</x:v>
      </x:c>
      <x:c r="J4766" s="6" t="n">
        <x:f>IF(OR(E4766="CANCELED",E4766="SUSPECTED_FRAUD",F4766="Shipping canceled"),0,1)</x:f>
        <x:v>1</x:v>
      </x:c>
      <x:c r="K4766" s="6" t="n">
        <x:f>IF(G4766&gt;H4766,1,0)</x:f>
        <x:v>0</x:v>
      </x:c>
      <x:c r="L4766" s="6" t="n">
        <x:f>J4766*K4766</x:f>
        <x:v>0</x:v>
      </x:c>
    </x:row>
    <x:row r="4767">
      <x:c r="A4767" s="1" t="n">
        <x:v>36900</x:v>
      </x:c>
      <x:c r="B4767" s="5" t="d">
        <x:v>2016-06-22T00:00:00.000Z</x:v>
      </x:c>
      <x:c r="C4767" s="1" t="str">
        <x:v>Standard Class</x:v>
      </x:c>
      <x:c r="D4767" s="1" t="str">
        <x:v>USCA</x:v>
      </x:c>
      <x:c r="E4767" s="1" t="str">
        <x:v>COMPLETE</x:v>
      </x:c>
      <x:c r="F4767" s="1" t="str">
        <x:v>Late delivery</x:v>
      </x:c>
      <x:c r="G4767" s="6" t="n">
        <x:v>6</x:v>
      </x:c>
      <x:c r="H4767" s="6" t="n">
        <x:v>4</x:v>
      </x:c>
      <x:c r="I4767" s="6" t="n">
        <x:f>G4767-H4767</x:f>
        <x:v>2</x:v>
      </x:c>
      <x:c r="J4767" s="6" t="n">
        <x:f>IF(OR(E4767="CANCELED",E4767="SUSPECTED_FRAUD",F4767="Shipping canceled"),0,1)</x:f>
        <x:v>1</x:v>
      </x:c>
      <x:c r="K4767" s="6" t="n">
        <x:f>IF(G4767&gt;H4767,1,0)</x:f>
        <x:v>1</x:v>
      </x:c>
      <x:c r="L4767" s="6" t="n">
        <x:f>J4767*K4767</x:f>
        <x:v>1</x:v>
      </x:c>
    </x:row>
    <x:row r="4768">
      <x:c r="A4768" s="1" t="n">
        <x:v>36913</x:v>
      </x:c>
      <x:c r="B4768" s="5" t="d">
        <x:v>2016-06-22T00:00:00.000Z</x:v>
      </x:c>
      <x:c r="C4768" s="1" t="str">
        <x:v>Standard Class</x:v>
      </x:c>
      <x:c r="D4768" s="1" t="str">
        <x:v>USCA</x:v>
      </x:c>
      <x:c r="E4768" s="1" t="str">
        <x:v>COMPLETE</x:v>
      </x:c>
      <x:c r="F4768" s="1" t="str">
        <x:v>Shipping on time</x:v>
      </x:c>
      <x:c r="G4768" s="6" t="n">
        <x:v>4</x:v>
      </x:c>
      <x:c r="H4768" s="6" t="n">
        <x:v>4</x:v>
      </x:c>
      <x:c r="I4768" s="6" t="n">
        <x:f>G4768-H4768</x:f>
        <x:v>0</x:v>
      </x:c>
      <x:c r="J4768" s="6" t="n">
        <x:f>IF(OR(E4768="CANCELED",E4768="SUSPECTED_FRAUD",F4768="Shipping canceled"),0,1)</x:f>
        <x:v>1</x:v>
      </x:c>
      <x:c r="K4768" s="6" t="n">
        <x:f>IF(G4768&gt;H4768,1,0)</x:f>
        <x:v>0</x:v>
      </x:c>
      <x:c r="L4768" s="6" t="n">
        <x:f>J4768*K4768</x:f>
        <x:v>0</x:v>
      </x:c>
    </x:row>
    <x:row r="4769">
      <x:c r="A4769" s="1" t="n">
        <x:v>36915</x:v>
      </x:c>
      <x:c r="B4769" s="5" t="d">
        <x:v>2016-06-22T00:00:00.000Z</x:v>
      </x:c>
      <x:c r="C4769" s="1" t="str">
        <x:v>Standard Class</x:v>
      </x:c>
      <x:c r="D4769" s="1" t="str">
        <x:v>USCA</x:v>
      </x:c>
      <x:c r="E4769" s="1" t="str">
        <x:v>COMPLETE</x:v>
      </x:c>
      <x:c r="F4769" s="1" t="str">
        <x:v>Late delivery</x:v>
      </x:c>
      <x:c r="G4769" s="6" t="n">
        <x:v>6</x:v>
      </x:c>
      <x:c r="H4769" s="6" t="n">
        <x:v>4</x:v>
      </x:c>
      <x:c r="I4769" s="6" t="n">
        <x:f>G4769-H4769</x:f>
        <x:v>2</x:v>
      </x:c>
      <x:c r="J4769" s="6" t="n">
        <x:f>IF(OR(E4769="CANCELED",E4769="SUSPECTED_FRAUD",F4769="Shipping canceled"),0,1)</x:f>
        <x:v>1</x:v>
      </x:c>
      <x:c r="K4769" s="6" t="n">
        <x:f>IF(G4769&gt;H4769,1,0)</x:f>
        <x:v>1</x:v>
      </x:c>
      <x:c r="L4769" s="6" t="n">
        <x:f>J4769*K4769</x:f>
        <x:v>1</x:v>
      </x:c>
    </x:row>
    <x:row r="4770">
      <x:c r="A4770" s="1" t="n">
        <x:v>36917</x:v>
      </x:c>
      <x:c r="B4770" s="5" t="d">
        <x:v>2016-06-22T00:00:00.000Z</x:v>
      </x:c>
      <x:c r="C4770" s="1" t="str">
        <x:v>Standard Class</x:v>
      </x:c>
      <x:c r="D4770" s="1" t="str">
        <x:v>USCA</x:v>
      </x:c>
      <x:c r="E4770" s="1" t="str">
        <x:v>COMPLETE</x:v>
      </x:c>
      <x:c r="F4770" s="1" t="str">
        <x:v>Advance shipping</x:v>
      </x:c>
      <x:c r="G4770" s="6" t="n">
        <x:v>3</x:v>
      </x:c>
      <x:c r="H4770" s="6" t="n">
        <x:v>4</x:v>
      </x:c>
      <x:c r="I4770" s="6" t="n">
        <x:f>G4770-H4770</x:f>
        <x:v>-1</x:v>
      </x:c>
      <x:c r="J4770" s="6" t="n">
        <x:f>IF(OR(E4770="CANCELED",E4770="SUSPECTED_FRAUD",F4770="Shipping canceled"),0,1)</x:f>
        <x:v>1</x:v>
      </x:c>
      <x:c r="K4770" s="6" t="n">
        <x:f>IF(G4770&gt;H4770,1,0)</x:f>
        <x:v>0</x:v>
      </x:c>
      <x:c r="L4770" s="6" t="n">
        <x:f>J4770*K4770</x:f>
        <x:v>0</x:v>
      </x:c>
    </x:row>
    <x:row r="4771">
      <x:c r="A4771" s="1" t="n">
        <x:v>36923</x:v>
      </x:c>
      <x:c r="B4771" s="5" t="d">
        <x:v>2016-06-22T00:00:00.000Z</x:v>
      </x:c>
      <x:c r="C4771" s="1" t="str">
        <x:v>Standard Class</x:v>
      </x:c>
      <x:c r="D4771" s="1" t="str">
        <x:v>USCA</x:v>
      </x:c>
      <x:c r="E4771" s="1" t="str">
        <x:v>COMPLETE</x:v>
      </x:c>
      <x:c r="F4771" s="1" t="str">
        <x:v>Shipping on time</x:v>
      </x:c>
      <x:c r="G4771" s="6" t="n">
        <x:v>4</x:v>
      </x:c>
      <x:c r="H4771" s="6" t="n">
        <x:v>4</x:v>
      </x:c>
      <x:c r="I4771" s="6" t="n">
        <x:f>G4771-H4771</x:f>
        <x:v>0</x:v>
      </x:c>
      <x:c r="J4771" s="6" t="n">
        <x:f>IF(OR(E4771="CANCELED",E4771="SUSPECTED_FRAUD",F4771="Shipping canceled"),0,1)</x:f>
        <x:v>1</x:v>
      </x:c>
      <x:c r="K4771" s="6" t="n">
        <x:f>IF(G4771&gt;H4771,1,0)</x:f>
        <x:v>0</x:v>
      </x:c>
      <x:c r="L4771" s="6" t="n">
        <x:f>J4771*K4771</x:f>
        <x:v>0</x:v>
      </x:c>
    </x:row>
    <x:row r="4772">
      <x:c r="A4772" s="1" t="n">
        <x:v>36933</x:v>
      </x:c>
      <x:c r="B4772" s="5" t="d">
        <x:v>2016-06-23T00:00:00.000Z</x:v>
      </x:c>
      <x:c r="C4772" s="1" t="str">
        <x:v>First Class</x:v>
      </x:c>
      <x:c r="D4772" s="1" t="str">
        <x:v>USCA</x:v>
      </x:c>
      <x:c r="E4772" s="1" t="str">
        <x:v>CLOSED</x:v>
      </x:c>
      <x:c r="F4772" s="1" t="str">
        <x:v>Late delivery</x:v>
      </x:c>
      <x:c r="G4772" s="6" t="n">
        <x:v>2</x:v>
      </x:c>
      <x:c r="H4772" s="6" t="n">
        <x:v>1</x:v>
      </x:c>
      <x:c r="I4772" s="6" t="n">
        <x:f>G4772-H4772</x:f>
        <x:v>1</x:v>
      </x:c>
      <x:c r="J4772" s="6" t="n">
        <x:f>IF(OR(E4772="CANCELED",E4772="SUSPECTED_FRAUD",F4772="Shipping canceled"),0,1)</x:f>
        <x:v>1</x:v>
      </x:c>
      <x:c r="K4772" s="6" t="n">
        <x:f>IF(G4772&gt;H4772,1,0)</x:f>
        <x:v>1</x:v>
      </x:c>
      <x:c r="L4772" s="6" t="n">
        <x:f>J4772*K4772</x:f>
        <x:v>1</x:v>
      </x:c>
    </x:row>
    <x:row r="4773">
      <x:c r="A4773" s="1" t="n">
        <x:v>36944</x:v>
      </x:c>
      <x:c r="B4773" s="5" t="d">
        <x:v>2016-06-23T00:00:00.000Z</x:v>
      </x:c>
      <x:c r="C4773" s="1" t="str">
        <x:v>Second Class</x:v>
      </x:c>
      <x:c r="D4773" s="1" t="str">
        <x:v>USCA</x:v>
      </x:c>
      <x:c r="E4773" s="1" t="str">
        <x:v>COMPLETE</x:v>
      </x:c>
      <x:c r="F4773" s="1" t="str">
        <x:v>Late delivery</x:v>
      </x:c>
      <x:c r="G4773" s="6" t="n">
        <x:v>5</x:v>
      </x:c>
      <x:c r="H4773" s="6" t="n">
        <x:v>2</x:v>
      </x:c>
      <x:c r="I4773" s="6" t="n">
        <x:f>G4773-H4773</x:f>
        <x:v>3</x:v>
      </x:c>
      <x:c r="J4773" s="6" t="n">
        <x:f>IF(OR(E4773="CANCELED",E4773="SUSPECTED_FRAUD",F4773="Shipping canceled"),0,1)</x:f>
        <x:v>1</x:v>
      </x:c>
      <x:c r="K4773" s="6" t="n">
        <x:f>IF(G4773&gt;H4773,1,0)</x:f>
        <x:v>1</x:v>
      </x:c>
      <x:c r="L4773" s="6" t="n">
        <x:f>J4773*K4773</x:f>
        <x:v>1</x:v>
      </x:c>
    </x:row>
    <x:row r="4774">
      <x:c r="A4774" s="1" t="n">
        <x:v>36950</x:v>
      </x:c>
      <x:c r="B4774" s="5" t="d">
        <x:v>2016-06-23T00:00:00.000Z</x:v>
      </x:c>
      <x:c r="C4774" s="1" t="str">
        <x:v>Second Class</x:v>
      </x:c>
      <x:c r="D4774" s="1" t="str">
        <x:v>USCA</x:v>
      </x:c>
      <x:c r="E4774" s="1" t="str">
        <x:v>COMPLETE</x:v>
      </x:c>
      <x:c r="F4774" s="1" t="str">
        <x:v>Late delivery</x:v>
      </x:c>
      <x:c r="G4774" s="6" t="n">
        <x:v>6</x:v>
      </x:c>
      <x:c r="H4774" s="6" t="n">
        <x:v>2</x:v>
      </x:c>
      <x:c r="I4774" s="6" t="n">
        <x:f>G4774-H4774</x:f>
        <x:v>4</x:v>
      </x:c>
      <x:c r="J4774" s="6" t="n">
        <x:f>IF(OR(E4774="CANCELED",E4774="SUSPECTED_FRAUD",F4774="Shipping canceled"),0,1)</x:f>
        <x:v>1</x:v>
      </x:c>
      <x:c r="K4774" s="6" t="n">
        <x:f>IF(G4774&gt;H4774,1,0)</x:f>
        <x:v>1</x:v>
      </x:c>
      <x:c r="L4774" s="6" t="n">
        <x:f>J4774*K4774</x:f>
        <x:v>1</x:v>
      </x:c>
    </x:row>
    <x:row r="4775">
      <x:c r="A4775" s="1" t="n">
        <x:v>36954</x:v>
      </x:c>
      <x:c r="B4775" s="5" t="d">
        <x:v>2016-06-23T00:00:00.000Z</x:v>
      </x:c>
      <x:c r="C4775" s="1" t="str">
        <x:v>Second Class</x:v>
      </x:c>
      <x:c r="D4775" s="1" t="str">
        <x:v>USCA</x:v>
      </x:c>
      <x:c r="E4775" s="1" t="str">
        <x:v>CLOSED</x:v>
      </x:c>
      <x:c r="F4775" s="1" t="str">
        <x:v>Late delivery</x:v>
      </x:c>
      <x:c r="G4775" s="6" t="n">
        <x:v>5</x:v>
      </x:c>
      <x:c r="H4775" s="6" t="n">
        <x:v>2</x:v>
      </x:c>
      <x:c r="I4775" s="6" t="n">
        <x:f>G4775-H4775</x:f>
        <x:v>3</x:v>
      </x:c>
      <x:c r="J4775" s="6" t="n">
        <x:f>IF(OR(E4775="CANCELED",E4775="SUSPECTED_FRAUD",F4775="Shipping canceled"),0,1)</x:f>
        <x:v>1</x:v>
      </x:c>
      <x:c r="K4775" s="6" t="n">
        <x:f>IF(G4775&gt;H4775,1,0)</x:f>
        <x:v>1</x:v>
      </x:c>
      <x:c r="L4775" s="6" t="n">
        <x:f>J4775*K4775</x:f>
        <x:v>1</x:v>
      </x:c>
    </x:row>
    <x:row r="4776">
      <x:c r="A4776" s="1" t="n">
        <x:v>36959</x:v>
      </x:c>
      <x:c r="B4776" s="5" t="d">
        <x:v>2016-06-23T00:00:00.000Z</x:v>
      </x:c>
      <x:c r="C4776" s="1" t="str">
        <x:v>Standard Class</x:v>
      </x:c>
      <x:c r="D4776" s="1" t="str">
        <x:v>USCA</x:v>
      </x:c>
      <x:c r="E4776" s="1" t="str">
        <x:v>COMPLETE</x:v>
      </x:c>
      <x:c r="F4776" s="1" t="str">
        <x:v>Late delivery</x:v>
      </x:c>
      <x:c r="G4776" s="6" t="n">
        <x:v>5</x:v>
      </x:c>
      <x:c r="H4776" s="6" t="n">
        <x:v>4</x:v>
      </x:c>
      <x:c r="I4776" s="6" t="n">
        <x:f>G4776-H4776</x:f>
        <x:v>1</x:v>
      </x:c>
      <x:c r="J4776" s="6" t="n">
        <x:f>IF(OR(E4776="CANCELED",E4776="SUSPECTED_FRAUD",F4776="Shipping canceled"),0,1)</x:f>
        <x:v>1</x:v>
      </x:c>
      <x:c r="K4776" s="6" t="n">
        <x:f>IF(G4776&gt;H4776,1,0)</x:f>
        <x:v>1</x:v>
      </x:c>
      <x:c r="L4776" s="6" t="n">
        <x:f>J4776*K4776</x:f>
        <x:v>1</x:v>
      </x:c>
    </x:row>
    <x:row r="4777">
      <x:c r="A4777" s="1" t="n">
        <x:v>36977</x:v>
      </x:c>
      <x:c r="B4777" s="5" t="d">
        <x:v>2016-06-23T00:00:00.000Z</x:v>
      </x:c>
      <x:c r="C4777" s="1" t="str">
        <x:v>Standard Class</x:v>
      </x:c>
      <x:c r="D4777" s="1" t="str">
        <x:v>USCA</x:v>
      </x:c>
      <x:c r="E4777" s="1" t="str">
        <x:v>PENDING</x:v>
      </x:c>
      <x:c r="F4777" s="1" t="str">
        <x:v>Advance shipping</x:v>
      </x:c>
      <x:c r="G4777" s="6" t="n">
        <x:v>3</x:v>
      </x:c>
      <x:c r="H4777" s="6" t="n">
        <x:v>4</x:v>
      </x:c>
      <x:c r="I4777" s="6" t="n">
        <x:f>G4777-H4777</x:f>
        <x:v>-1</x:v>
      </x:c>
      <x:c r="J4777" s="6" t="n">
        <x:f>IF(OR(E4777="CANCELED",E4777="SUSPECTED_FRAUD",F4777="Shipping canceled"),0,1)</x:f>
        <x:v>1</x:v>
      </x:c>
      <x:c r="K4777" s="6" t="n">
        <x:f>IF(G4777&gt;H4777,1,0)</x:f>
        <x:v>0</x:v>
      </x:c>
      <x:c r="L4777" s="6" t="n">
        <x:f>J4777*K4777</x:f>
        <x:v>0</x:v>
      </x:c>
    </x:row>
    <x:row r="4778">
      <x:c r="A4778" s="1" t="n">
        <x:v>36983</x:v>
      </x:c>
      <x:c r="B4778" s="5" t="d">
        <x:v>2016-06-23T00:00:00.000Z</x:v>
      </x:c>
      <x:c r="C4778" s="1" t="str">
        <x:v>Second Class</x:v>
      </x:c>
      <x:c r="D4778" s="1" t="str">
        <x:v>USCA</x:v>
      </x:c>
      <x:c r="E4778" s="1" t="str">
        <x:v>ON_HOLD</x:v>
      </x:c>
      <x:c r="F4778" s="1" t="str">
        <x:v>Late delivery</x:v>
      </x:c>
      <x:c r="G4778" s="6" t="n">
        <x:v>4</x:v>
      </x:c>
      <x:c r="H4778" s="6" t="n">
        <x:v>2</x:v>
      </x:c>
      <x:c r="I4778" s="6" t="n">
        <x:f>G4778-H4778</x:f>
        <x:v>2</x:v>
      </x:c>
      <x:c r="J4778" s="6" t="n">
        <x:f>IF(OR(E4778="CANCELED",E4778="SUSPECTED_FRAUD",F4778="Shipping canceled"),0,1)</x:f>
        <x:v>1</x:v>
      </x:c>
      <x:c r="K4778" s="6" t="n">
        <x:f>IF(G4778&gt;H4778,1,0)</x:f>
        <x:v>1</x:v>
      </x:c>
      <x:c r="L4778" s="6" t="n">
        <x:f>J4778*K4778</x:f>
        <x:v>1</x:v>
      </x:c>
    </x:row>
    <x:row r="4779">
      <x:c r="A4779" s="1" t="n">
        <x:v>36996</x:v>
      </x:c>
      <x:c r="B4779" s="5" t="d">
        <x:v>2016-06-24T00:00:00.000Z</x:v>
      </x:c>
      <x:c r="C4779" s="1" t="str">
        <x:v>Standard Class</x:v>
      </x:c>
      <x:c r="D4779" s="1" t="str">
        <x:v>USCA</x:v>
      </x:c>
      <x:c r="E4779" s="1" t="str">
        <x:v>PROCESSING</x:v>
      </x:c>
      <x:c r="F4779" s="1" t="str">
        <x:v>Advance shipping</x:v>
      </x:c>
      <x:c r="G4779" s="6" t="n">
        <x:v>2</x:v>
      </x:c>
      <x:c r="H4779" s="6" t="n">
        <x:v>4</x:v>
      </x:c>
      <x:c r="I4779" s="6" t="n">
        <x:f>G4779-H4779</x:f>
        <x:v>-2</x:v>
      </x:c>
      <x:c r="J4779" s="6" t="n">
        <x:f>IF(OR(E4779="CANCELED",E4779="SUSPECTED_FRAUD",F4779="Shipping canceled"),0,1)</x:f>
        <x:v>1</x:v>
      </x:c>
      <x:c r="K4779" s="6" t="n">
        <x:f>IF(G4779&gt;H4779,1,0)</x:f>
        <x:v>0</x:v>
      </x:c>
      <x:c r="L4779" s="6" t="n">
        <x:f>J4779*K4779</x:f>
        <x:v>0</x:v>
      </x:c>
    </x:row>
    <x:row r="4780">
      <x:c r="A4780" s="1" t="n">
        <x:v>37007</x:v>
      </x:c>
      <x:c r="B4780" s="5" t="d">
        <x:v>2016-06-24T00:00:00.000Z</x:v>
      </x:c>
      <x:c r="C4780" s="1" t="str">
        <x:v>First Class</x:v>
      </x:c>
      <x:c r="D4780" s="1" t="str">
        <x:v>USCA</x:v>
      </x:c>
      <x:c r="E4780" s="1" t="str">
        <x:v>COMPLETE</x:v>
      </x:c>
      <x:c r="F4780" s="1" t="str">
        <x:v>Late delivery</x:v>
      </x:c>
      <x:c r="G4780" s="6" t="n">
        <x:v>2</x:v>
      </x:c>
      <x:c r="H4780" s="6" t="n">
        <x:v>1</x:v>
      </x:c>
      <x:c r="I4780" s="6" t="n">
        <x:f>G4780-H4780</x:f>
        <x:v>1</x:v>
      </x:c>
      <x:c r="J4780" s="6" t="n">
        <x:f>IF(OR(E4780="CANCELED",E4780="SUSPECTED_FRAUD",F4780="Shipping canceled"),0,1)</x:f>
        <x:v>1</x:v>
      </x:c>
      <x:c r="K4780" s="6" t="n">
        <x:f>IF(G4780&gt;H4780,1,0)</x:f>
        <x:v>1</x:v>
      </x:c>
      <x:c r="L4780" s="6" t="n">
        <x:f>J4780*K4780</x:f>
        <x:v>1</x:v>
      </x:c>
    </x:row>
    <x:row r="4781">
      <x:c r="A4781" s="1" t="n">
        <x:v>37022</x:v>
      </x:c>
      <x:c r="B4781" s="5" t="d">
        <x:v>2016-06-24T00:00:00.000Z</x:v>
      </x:c>
      <x:c r="C4781" s="1" t="str">
        <x:v>Standard Class</x:v>
      </x:c>
      <x:c r="D4781" s="1" t="str">
        <x:v>USCA</x:v>
      </x:c>
      <x:c r="E4781" s="1" t="str">
        <x:v>PENDING</x:v>
      </x:c>
      <x:c r="F4781" s="1" t="str">
        <x:v>Advance shipping</x:v>
      </x:c>
      <x:c r="G4781" s="6" t="n">
        <x:v>3</x:v>
      </x:c>
      <x:c r="H4781" s="6" t="n">
        <x:v>4</x:v>
      </x:c>
      <x:c r="I4781" s="6" t="n">
        <x:f>G4781-H4781</x:f>
        <x:v>-1</x:v>
      </x:c>
      <x:c r="J4781" s="6" t="n">
        <x:f>IF(OR(E4781="CANCELED",E4781="SUSPECTED_FRAUD",F4781="Shipping canceled"),0,1)</x:f>
        <x:v>1</x:v>
      </x:c>
      <x:c r="K4781" s="6" t="n">
        <x:f>IF(G4781&gt;H4781,1,0)</x:f>
        <x:v>0</x:v>
      </x:c>
      <x:c r="L4781" s="6" t="n">
        <x:f>J4781*K4781</x:f>
        <x:v>0</x:v>
      </x:c>
    </x:row>
    <x:row r="4782">
      <x:c r="A4782" s="1" t="n">
        <x:v>37046</x:v>
      </x:c>
      <x:c r="B4782" s="5" t="d">
        <x:v>2016-06-24T00:00:00.000Z</x:v>
      </x:c>
      <x:c r="C4782" s="1" t="str">
        <x:v>Standard Class</x:v>
      </x:c>
      <x:c r="D4782" s="1" t="str">
        <x:v>USCA</x:v>
      </x:c>
      <x:c r="E4782" s="1" t="str">
        <x:v>PENDING_PAYMENT</x:v>
      </x:c>
      <x:c r="F4782" s="1" t="str">
        <x:v>Advance shipping</x:v>
      </x:c>
      <x:c r="G4782" s="6" t="n">
        <x:v>2</x:v>
      </x:c>
      <x:c r="H4782" s="6" t="n">
        <x:v>4</x:v>
      </x:c>
      <x:c r="I4782" s="6" t="n">
        <x:f>G4782-H4782</x:f>
        <x:v>-2</x:v>
      </x:c>
      <x:c r="J4782" s="6" t="n">
        <x:f>IF(OR(E4782="CANCELED",E4782="SUSPECTED_FRAUD",F4782="Shipping canceled"),0,1)</x:f>
        <x:v>1</x:v>
      </x:c>
      <x:c r="K4782" s="6" t="n">
        <x:f>IF(G4782&gt;H4782,1,0)</x:f>
        <x:v>0</x:v>
      </x:c>
      <x:c r="L4782" s="6" t="n">
        <x:f>J4782*K4782</x:f>
        <x:v>0</x:v>
      </x:c>
    </x:row>
    <x:row r="4783">
      <x:c r="A4783" s="1" t="n">
        <x:v>37048</x:v>
      </x:c>
      <x:c r="B4783" s="5" t="d">
        <x:v>2016-06-24T00:00:00.000Z</x:v>
      </x:c>
      <x:c r="C4783" s="1" t="str">
        <x:v>Standard Class</x:v>
      </x:c>
      <x:c r="D4783" s="1" t="str">
        <x:v>USCA</x:v>
      </x:c>
      <x:c r="E4783" s="1" t="str">
        <x:v>SUSPECTED_FRAUD</x:v>
      </x:c>
      <x:c r="F4783" s="1" t="str">
        <x:v>Shipping canceled</x:v>
      </x:c>
      <x:c r="G4783" s="6" t="n">
        <x:v>4</x:v>
      </x:c>
      <x:c r="H4783" s="6" t="n">
        <x:v>4</x:v>
      </x:c>
      <x:c r="I4783" s="6" t="n">
        <x:f>G4783-H4783</x:f>
        <x:v>0</x:v>
      </x:c>
      <x:c r="J4783" s="6" t="n">
        <x:f>IF(OR(E4783="CANCELED",E4783="SUSPECTED_FRAUD",F4783="Shipping canceled"),0,1)</x:f>
        <x:v>0</x:v>
      </x:c>
      <x:c r="K4783" s="6" t="n">
        <x:f>IF(G4783&gt;H4783,1,0)</x:f>
        <x:v>0</x:v>
      </x:c>
      <x:c r="L4783" s="6" t="n">
        <x:f>J4783*K4783</x:f>
        <x:v>0</x:v>
      </x:c>
    </x:row>
    <x:row r="4784">
      <x:c r="A4784" s="1" t="n">
        <x:v>37064</x:v>
      </x:c>
      <x:c r="B4784" s="5" t="d">
        <x:v>2016-06-25T00:00:00.000Z</x:v>
      </x:c>
      <x:c r="C4784" s="1" t="str">
        <x:v>Standard Class</x:v>
      </x:c>
      <x:c r="D4784" s="1" t="str">
        <x:v>USCA</x:v>
      </x:c>
      <x:c r="E4784" s="1" t="str">
        <x:v>COMPLETE</x:v>
      </x:c>
      <x:c r="F4784" s="1" t="str">
        <x:v>Late delivery</x:v>
      </x:c>
      <x:c r="G4784" s="6" t="n">
        <x:v>5</x:v>
      </x:c>
      <x:c r="H4784" s="6" t="n">
        <x:v>4</x:v>
      </x:c>
      <x:c r="I4784" s="6" t="n">
        <x:f>G4784-H4784</x:f>
        <x:v>1</x:v>
      </x:c>
      <x:c r="J4784" s="6" t="n">
        <x:f>IF(OR(E4784="CANCELED",E4784="SUSPECTED_FRAUD",F4784="Shipping canceled"),0,1)</x:f>
        <x:v>1</x:v>
      </x:c>
      <x:c r="K4784" s="6" t="n">
        <x:f>IF(G4784&gt;H4784,1,0)</x:f>
        <x:v>1</x:v>
      </x:c>
      <x:c r="L4784" s="6" t="n">
        <x:f>J4784*K4784</x:f>
        <x:v>1</x:v>
      </x:c>
    </x:row>
    <x:row r="4785">
      <x:c r="A4785" s="1" t="n">
        <x:v>37066</x:v>
      </x:c>
      <x:c r="B4785" s="5" t="d">
        <x:v>2016-06-25T00:00:00.000Z</x:v>
      </x:c>
      <x:c r="C4785" s="1" t="str">
        <x:v>Standard Class</x:v>
      </x:c>
      <x:c r="D4785" s="1" t="str">
        <x:v>USCA</x:v>
      </x:c>
      <x:c r="E4785" s="1" t="str">
        <x:v>COMPLETE</x:v>
      </x:c>
      <x:c r="F4785" s="1" t="str">
        <x:v>Advance shipping</x:v>
      </x:c>
      <x:c r="G4785" s="6" t="n">
        <x:v>2</x:v>
      </x:c>
      <x:c r="H4785" s="6" t="n">
        <x:v>4</x:v>
      </x:c>
      <x:c r="I4785" s="6" t="n">
        <x:f>G4785-H4785</x:f>
        <x:v>-2</x:v>
      </x:c>
      <x:c r="J4785" s="6" t="n">
        <x:f>IF(OR(E4785="CANCELED",E4785="SUSPECTED_FRAUD",F4785="Shipping canceled"),0,1)</x:f>
        <x:v>1</x:v>
      </x:c>
      <x:c r="K4785" s="6" t="n">
        <x:f>IF(G4785&gt;H4785,1,0)</x:f>
        <x:v>0</x:v>
      </x:c>
      <x:c r="L4785" s="6" t="n">
        <x:f>J4785*K4785</x:f>
        <x:v>0</x:v>
      </x:c>
    </x:row>
    <x:row r="4786">
      <x:c r="A4786" s="1" t="n">
        <x:v>37076</x:v>
      </x:c>
      <x:c r="B4786" s="5" t="d">
        <x:v>2016-06-25T00:00:00.000Z</x:v>
      </x:c>
      <x:c r="C4786" s="1" t="str">
        <x:v>Standard Class</x:v>
      </x:c>
      <x:c r="D4786" s="1" t="str">
        <x:v>USCA</x:v>
      </x:c>
      <x:c r="E4786" s="1" t="str">
        <x:v>COMPLETE</x:v>
      </x:c>
      <x:c r="F4786" s="1" t="str">
        <x:v>Advance shipping</x:v>
      </x:c>
      <x:c r="G4786" s="6" t="n">
        <x:v>2</x:v>
      </x:c>
      <x:c r="H4786" s="6" t="n">
        <x:v>4</x:v>
      </x:c>
      <x:c r="I4786" s="6" t="n">
        <x:f>G4786-H4786</x:f>
        <x:v>-2</x:v>
      </x:c>
      <x:c r="J4786" s="6" t="n">
        <x:f>IF(OR(E4786="CANCELED",E4786="SUSPECTED_FRAUD",F4786="Shipping canceled"),0,1)</x:f>
        <x:v>1</x:v>
      </x:c>
      <x:c r="K4786" s="6" t="n">
        <x:f>IF(G4786&gt;H4786,1,0)</x:f>
        <x:v>0</x:v>
      </x:c>
      <x:c r="L4786" s="6" t="n">
        <x:f>J4786*K4786</x:f>
        <x:v>0</x:v>
      </x:c>
    </x:row>
    <x:row r="4787">
      <x:c r="A4787" s="1" t="n">
        <x:v>37082</x:v>
      </x:c>
      <x:c r="B4787" s="5" t="d">
        <x:v>2016-06-25T00:00:00.000Z</x:v>
      </x:c>
      <x:c r="C4787" s="1" t="str">
        <x:v>Standard Class</x:v>
      </x:c>
      <x:c r="D4787" s="1" t="str">
        <x:v>USCA</x:v>
      </x:c>
      <x:c r="E4787" s="1" t="str">
        <x:v>COMPLETE</x:v>
      </x:c>
      <x:c r="F4787" s="1" t="str">
        <x:v>Advance shipping</x:v>
      </x:c>
      <x:c r="G4787" s="6" t="n">
        <x:v>3</x:v>
      </x:c>
      <x:c r="H4787" s="6" t="n">
        <x:v>4</x:v>
      </x:c>
      <x:c r="I4787" s="6" t="n">
        <x:f>G4787-H4787</x:f>
        <x:v>-1</x:v>
      </x:c>
      <x:c r="J4787" s="6" t="n">
        <x:f>IF(OR(E4787="CANCELED",E4787="SUSPECTED_FRAUD",F4787="Shipping canceled"),0,1)</x:f>
        <x:v>1</x:v>
      </x:c>
      <x:c r="K4787" s="6" t="n">
        <x:f>IF(G4787&gt;H4787,1,0)</x:f>
        <x:v>0</x:v>
      </x:c>
      <x:c r="L4787" s="6" t="n">
        <x:f>J4787*K4787</x:f>
        <x:v>0</x:v>
      </x:c>
    </x:row>
    <x:row r="4788">
      <x:c r="A4788" s="1" t="n">
        <x:v>37085</x:v>
      </x:c>
      <x:c r="B4788" s="5" t="d">
        <x:v>2016-06-25T00:00:00.000Z</x:v>
      </x:c>
      <x:c r="C4788" s="1" t="str">
        <x:v>Standard Class</x:v>
      </x:c>
      <x:c r="D4788" s="1" t="str">
        <x:v>USCA</x:v>
      </x:c>
      <x:c r="E4788" s="1" t="str">
        <x:v>COMPLETE</x:v>
      </x:c>
      <x:c r="F4788" s="1" t="str">
        <x:v>Late delivery</x:v>
      </x:c>
      <x:c r="G4788" s="6" t="n">
        <x:v>6</x:v>
      </x:c>
      <x:c r="H4788" s="6" t="n">
        <x:v>4</x:v>
      </x:c>
      <x:c r="I4788" s="6" t="n">
        <x:f>G4788-H4788</x:f>
        <x:v>2</x:v>
      </x:c>
      <x:c r="J4788" s="6" t="n">
        <x:f>IF(OR(E4788="CANCELED",E4788="SUSPECTED_FRAUD",F4788="Shipping canceled"),0,1)</x:f>
        <x:v>1</x:v>
      </x:c>
      <x:c r="K4788" s="6" t="n">
        <x:f>IF(G4788&gt;H4788,1,0)</x:f>
        <x:v>1</x:v>
      </x:c>
      <x:c r="L4788" s="6" t="n">
        <x:f>J4788*K4788</x:f>
        <x:v>1</x:v>
      </x:c>
    </x:row>
    <x:row r="4789">
      <x:c r="A4789" s="1" t="n">
        <x:v>37111</x:v>
      </x:c>
      <x:c r="B4789" s="5" t="d">
        <x:v>2016-06-25T00:00:00.000Z</x:v>
      </x:c>
      <x:c r="C4789" s="1" t="str">
        <x:v>Standard Class</x:v>
      </x:c>
      <x:c r="D4789" s="1" t="str">
        <x:v>USCA</x:v>
      </x:c>
      <x:c r="E4789" s="1" t="str">
        <x:v>PROCESSING</x:v>
      </x:c>
      <x:c r="F4789" s="1" t="str">
        <x:v>Advance shipping</x:v>
      </x:c>
      <x:c r="G4789" s="6" t="n">
        <x:v>2</x:v>
      </x:c>
      <x:c r="H4789" s="6" t="n">
        <x:v>4</x:v>
      </x:c>
      <x:c r="I4789" s="6" t="n">
        <x:f>G4789-H4789</x:f>
        <x:v>-2</x:v>
      </x:c>
      <x:c r="J4789" s="6" t="n">
        <x:f>IF(OR(E4789="CANCELED",E4789="SUSPECTED_FRAUD",F4789="Shipping canceled"),0,1)</x:f>
        <x:v>1</x:v>
      </x:c>
      <x:c r="K4789" s="6" t="n">
        <x:f>IF(G4789&gt;H4789,1,0)</x:f>
        <x:v>0</x:v>
      </x:c>
      <x:c r="L4789" s="6" t="n">
        <x:f>J4789*K4789</x:f>
        <x:v>0</x:v>
      </x:c>
    </x:row>
    <x:row r="4790">
      <x:c r="A4790" s="1" t="n">
        <x:v>37126</x:v>
      </x:c>
      <x:c r="B4790" s="5" t="d">
        <x:v>2016-06-25T00:00:00.000Z</x:v>
      </x:c>
      <x:c r="C4790" s="1" t="str">
        <x:v>Standard Class</x:v>
      </x:c>
      <x:c r="D4790" s="1" t="str">
        <x:v>USCA</x:v>
      </x:c>
      <x:c r="E4790" s="1" t="str">
        <x:v>PROCESSING</x:v>
      </x:c>
      <x:c r="F4790" s="1" t="str">
        <x:v>Advance shipping</x:v>
      </x:c>
      <x:c r="G4790" s="6" t="n">
        <x:v>2</x:v>
      </x:c>
      <x:c r="H4790" s="6" t="n">
        <x:v>4</x:v>
      </x:c>
      <x:c r="I4790" s="6" t="n">
        <x:f>G4790-H4790</x:f>
        <x:v>-2</x:v>
      </x:c>
      <x:c r="J4790" s="6" t="n">
        <x:f>IF(OR(E4790="CANCELED",E4790="SUSPECTED_FRAUD",F4790="Shipping canceled"),0,1)</x:f>
        <x:v>1</x:v>
      </x:c>
      <x:c r="K4790" s="6" t="n">
        <x:f>IF(G4790&gt;H4790,1,0)</x:f>
        <x:v>0</x:v>
      </x:c>
      <x:c r="L4790" s="6" t="n">
        <x:f>J4790*K4790</x:f>
        <x:v>0</x:v>
      </x:c>
    </x:row>
    <x:row r="4791">
      <x:c r="A4791" s="1" t="n">
        <x:v>37130</x:v>
      </x:c>
      <x:c r="B4791" s="5" t="d">
        <x:v>2016-06-25T00:00:00.000Z</x:v>
      </x:c>
      <x:c r="C4791" s="1" t="str">
        <x:v>Standard Class</x:v>
      </x:c>
      <x:c r="D4791" s="1" t="str">
        <x:v>USCA</x:v>
      </x:c>
      <x:c r="E4791" s="1" t="str">
        <x:v>ON_HOLD</x:v>
      </x:c>
      <x:c r="F4791" s="1" t="str">
        <x:v>Late delivery</x:v>
      </x:c>
      <x:c r="G4791" s="6" t="n">
        <x:v>6</x:v>
      </x:c>
      <x:c r="H4791" s="6" t="n">
        <x:v>4</x:v>
      </x:c>
      <x:c r="I4791" s="6" t="n">
        <x:f>G4791-H4791</x:f>
        <x:v>2</x:v>
      </x:c>
      <x:c r="J4791" s="6" t="n">
        <x:f>IF(OR(E4791="CANCELED",E4791="SUSPECTED_FRAUD",F4791="Shipping canceled"),0,1)</x:f>
        <x:v>1</x:v>
      </x:c>
      <x:c r="K4791" s="6" t="n">
        <x:f>IF(G4791&gt;H4791,1,0)</x:f>
        <x:v>1</x:v>
      </x:c>
      <x:c r="L4791" s="6" t="n">
        <x:f>J4791*K4791</x:f>
        <x:v>1</x:v>
      </x:c>
    </x:row>
    <x:row r="4792">
      <x:c r="A4792" s="1" t="n">
        <x:v>37132</x:v>
      </x:c>
      <x:c r="B4792" s="5" t="d">
        <x:v>2016-06-26T00:00:00.000Z</x:v>
      </x:c>
      <x:c r="C4792" s="1" t="str">
        <x:v>Standard Class</x:v>
      </x:c>
      <x:c r="D4792" s="1" t="str">
        <x:v>USCA</x:v>
      </x:c>
      <x:c r="E4792" s="1" t="str">
        <x:v>PROCESSING</x:v>
      </x:c>
      <x:c r="F4792" s="1" t="str">
        <x:v>Advance shipping</x:v>
      </x:c>
      <x:c r="G4792" s="6" t="n">
        <x:v>3</x:v>
      </x:c>
      <x:c r="H4792" s="6" t="n">
        <x:v>4</x:v>
      </x:c>
      <x:c r="I4792" s="6" t="n">
        <x:f>G4792-H4792</x:f>
        <x:v>-1</x:v>
      </x:c>
      <x:c r="J4792" s="6" t="n">
        <x:f>IF(OR(E4792="CANCELED",E4792="SUSPECTED_FRAUD",F4792="Shipping canceled"),0,1)</x:f>
        <x:v>1</x:v>
      </x:c>
      <x:c r="K4792" s="6" t="n">
        <x:f>IF(G4792&gt;H4792,1,0)</x:f>
        <x:v>0</x:v>
      </x:c>
      <x:c r="L4792" s="6" t="n">
        <x:f>J4792*K4792</x:f>
        <x:v>0</x:v>
      </x:c>
    </x:row>
    <x:row r="4793">
      <x:c r="A4793" s="1" t="n">
        <x:v>37148</x:v>
      </x:c>
      <x:c r="B4793" s="5" t="d">
        <x:v>2016-06-26T00:00:00.000Z</x:v>
      </x:c>
      <x:c r="C4793" s="1" t="str">
        <x:v>Standard Class</x:v>
      </x:c>
      <x:c r="D4793" s="1" t="str">
        <x:v>USCA</x:v>
      </x:c>
      <x:c r="E4793" s="1" t="str">
        <x:v>COMPLETE</x:v>
      </x:c>
      <x:c r="F4793" s="1" t="str">
        <x:v>Shipping on time</x:v>
      </x:c>
      <x:c r="G4793" s="6" t="n">
        <x:v>4</x:v>
      </x:c>
      <x:c r="H4793" s="6" t="n">
        <x:v>4</x:v>
      </x:c>
      <x:c r="I4793" s="6" t="n">
        <x:f>G4793-H4793</x:f>
        <x:v>0</x:v>
      </x:c>
      <x:c r="J4793" s="6" t="n">
        <x:f>IF(OR(E4793="CANCELED",E4793="SUSPECTED_FRAUD",F4793="Shipping canceled"),0,1)</x:f>
        <x:v>1</x:v>
      </x:c>
      <x:c r="K4793" s="6" t="n">
        <x:f>IF(G4793&gt;H4793,1,0)</x:f>
        <x:v>0</x:v>
      </x:c>
      <x:c r="L4793" s="6" t="n">
        <x:f>J4793*K4793</x:f>
        <x:v>0</x:v>
      </x:c>
    </x:row>
    <x:row r="4794">
      <x:c r="A4794" s="1" t="n">
        <x:v>37156</x:v>
      </x:c>
      <x:c r="B4794" s="5" t="d">
        <x:v>2016-06-26T00:00:00.000Z</x:v>
      </x:c>
      <x:c r="C4794" s="1" t="str">
        <x:v>Second Class</x:v>
      </x:c>
      <x:c r="D4794" s="1" t="str">
        <x:v>USCA</x:v>
      </x:c>
      <x:c r="E4794" s="1" t="str">
        <x:v>COMPLETE</x:v>
      </x:c>
      <x:c r="F4794" s="1" t="str">
        <x:v>Shipping on time</x:v>
      </x:c>
      <x:c r="G4794" s="6" t="n">
        <x:v>2</x:v>
      </x:c>
      <x:c r="H4794" s="6" t="n">
        <x:v>2</x:v>
      </x:c>
      <x:c r="I4794" s="6" t="n">
        <x:f>G4794-H4794</x:f>
        <x:v>0</x:v>
      </x:c>
      <x:c r="J4794" s="6" t="n">
        <x:f>IF(OR(E4794="CANCELED",E4794="SUSPECTED_FRAUD",F4794="Shipping canceled"),0,1)</x:f>
        <x:v>1</x:v>
      </x:c>
      <x:c r="K4794" s="6" t="n">
        <x:f>IF(G4794&gt;H4794,1,0)</x:f>
        <x:v>0</x:v>
      </x:c>
      <x:c r="L4794" s="6" t="n">
        <x:f>J4794*K4794</x:f>
        <x:v>0</x:v>
      </x:c>
    </x:row>
    <x:row r="4795">
      <x:c r="A4795" s="1" t="n">
        <x:v>37159</x:v>
      </x:c>
      <x:c r="B4795" s="5" t="d">
        <x:v>2016-06-26T00:00:00.000Z</x:v>
      </x:c>
      <x:c r="C4795" s="1" t="str">
        <x:v>Standard Class</x:v>
      </x:c>
      <x:c r="D4795" s="1" t="str">
        <x:v>USCA</x:v>
      </x:c>
      <x:c r="E4795" s="1" t="str">
        <x:v>COMPLETE</x:v>
      </x:c>
      <x:c r="F4795" s="1" t="str">
        <x:v>Late delivery</x:v>
      </x:c>
      <x:c r="G4795" s="6" t="n">
        <x:v>5</x:v>
      </x:c>
      <x:c r="H4795" s="6" t="n">
        <x:v>4</x:v>
      </x:c>
      <x:c r="I4795" s="6" t="n">
        <x:f>G4795-H4795</x:f>
        <x:v>1</x:v>
      </x:c>
      <x:c r="J4795" s="6" t="n">
        <x:f>IF(OR(E4795="CANCELED",E4795="SUSPECTED_FRAUD",F4795="Shipping canceled"),0,1)</x:f>
        <x:v>1</x:v>
      </x:c>
      <x:c r="K4795" s="6" t="n">
        <x:f>IF(G4795&gt;H4795,1,0)</x:f>
        <x:v>1</x:v>
      </x:c>
      <x:c r="L4795" s="6" t="n">
        <x:f>J4795*K4795</x:f>
        <x:v>1</x:v>
      </x:c>
    </x:row>
    <x:row r="4796">
      <x:c r="A4796" s="1" t="n">
        <x:v>37171</x:v>
      </x:c>
      <x:c r="B4796" s="5" t="d">
        <x:v>2016-06-26T00:00:00.000Z</x:v>
      </x:c>
      <x:c r="C4796" s="1" t="str">
        <x:v>First Class</x:v>
      </x:c>
      <x:c r="D4796" s="1" t="str">
        <x:v>USCA</x:v>
      </x:c>
      <x:c r="E4796" s="1" t="str">
        <x:v>CLOSED</x:v>
      </x:c>
      <x:c r="F4796" s="1" t="str">
        <x:v>Late delivery</x:v>
      </x:c>
      <x:c r="G4796" s="6" t="n">
        <x:v>2</x:v>
      </x:c>
      <x:c r="H4796" s="6" t="n">
        <x:v>1</x:v>
      </x:c>
      <x:c r="I4796" s="6" t="n">
        <x:f>G4796-H4796</x:f>
        <x:v>1</x:v>
      </x:c>
      <x:c r="J4796" s="6" t="n">
        <x:f>IF(OR(E4796="CANCELED",E4796="SUSPECTED_FRAUD",F4796="Shipping canceled"),0,1)</x:f>
        <x:v>1</x:v>
      </x:c>
      <x:c r="K4796" s="6" t="n">
        <x:f>IF(G4796&gt;H4796,1,0)</x:f>
        <x:v>1</x:v>
      </x:c>
      <x:c r="L4796" s="6" t="n">
        <x:f>J4796*K4796</x:f>
        <x:v>1</x:v>
      </x:c>
    </x:row>
    <x:row r="4797">
      <x:c r="A4797" s="1" t="n">
        <x:v>37172</x:v>
      </x:c>
      <x:c r="B4797" s="5" t="d">
        <x:v>2016-06-26T00:00:00.000Z</x:v>
      </x:c>
      <x:c r="C4797" s="1" t="str">
        <x:v>First Class</x:v>
      </x:c>
      <x:c r="D4797" s="1" t="str">
        <x:v>USCA</x:v>
      </x:c>
      <x:c r="E4797" s="1" t="str">
        <x:v>CLOSED</x:v>
      </x:c>
      <x:c r="F4797" s="1" t="str">
        <x:v>Late delivery</x:v>
      </x:c>
      <x:c r="G4797" s="6" t="n">
        <x:v>2</x:v>
      </x:c>
      <x:c r="H4797" s="6" t="n">
        <x:v>1</x:v>
      </x:c>
      <x:c r="I4797" s="6" t="n">
        <x:f>G4797-H4797</x:f>
        <x:v>1</x:v>
      </x:c>
      <x:c r="J4797" s="6" t="n">
        <x:f>IF(OR(E4797="CANCELED",E4797="SUSPECTED_FRAUD",F4797="Shipping canceled"),0,1)</x:f>
        <x:v>1</x:v>
      </x:c>
      <x:c r="K4797" s="6" t="n">
        <x:f>IF(G4797&gt;H4797,1,0)</x:f>
        <x:v>1</x:v>
      </x:c>
      <x:c r="L4797" s="6" t="n">
        <x:f>J4797*K4797</x:f>
        <x:v>1</x:v>
      </x:c>
    </x:row>
    <x:row r="4798">
      <x:c r="A4798" s="1" t="n">
        <x:v>37180</x:v>
      </x:c>
      <x:c r="B4798" s="5" t="d">
        <x:v>2016-06-26T00:00:00.000Z</x:v>
      </x:c>
      <x:c r="C4798" s="1" t="str">
        <x:v>Second Class</x:v>
      </x:c>
      <x:c r="D4798" s="1" t="str">
        <x:v>USCA</x:v>
      </x:c>
      <x:c r="E4798" s="1" t="str">
        <x:v>PENDING_PAYMENT</x:v>
      </x:c>
      <x:c r="F4798" s="1" t="str">
        <x:v>Late delivery</x:v>
      </x:c>
      <x:c r="G4798" s="6" t="n">
        <x:v>6</x:v>
      </x:c>
      <x:c r="H4798" s="6" t="n">
        <x:v>2</x:v>
      </x:c>
      <x:c r="I4798" s="6" t="n">
        <x:f>G4798-H4798</x:f>
        <x:v>4</x:v>
      </x:c>
      <x:c r="J4798" s="6" t="n">
        <x:f>IF(OR(E4798="CANCELED",E4798="SUSPECTED_FRAUD",F4798="Shipping canceled"),0,1)</x:f>
        <x:v>1</x:v>
      </x:c>
      <x:c r="K4798" s="6" t="n">
        <x:f>IF(G4798&gt;H4798,1,0)</x:f>
        <x:v>1</x:v>
      </x:c>
      <x:c r="L4798" s="6" t="n">
        <x:f>J4798*K4798</x:f>
        <x:v>1</x:v>
      </x:c>
    </x:row>
    <x:row r="4799">
      <x:c r="A4799" s="1" t="n">
        <x:v>37182</x:v>
      </x:c>
      <x:c r="B4799" s="5" t="d">
        <x:v>2016-06-26T00:00:00.000Z</x:v>
      </x:c>
      <x:c r="C4799" s="1" t="str">
        <x:v>Standard Class</x:v>
      </x:c>
      <x:c r="D4799" s="1" t="str">
        <x:v>USCA</x:v>
      </x:c>
      <x:c r="E4799" s="1" t="str">
        <x:v>PROCESSING</x:v>
      </x:c>
      <x:c r="F4799" s="1" t="str">
        <x:v>Advance shipping</x:v>
      </x:c>
      <x:c r="G4799" s="6" t="n">
        <x:v>3</x:v>
      </x:c>
      <x:c r="H4799" s="6" t="n">
        <x:v>4</x:v>
      </x:c>
      <x:c r="I4799" s="6" t="n">
        <x:f>G4799-H4799</x:f>
        <x:v>-1</x:v>
      </x:c>
      <x:c r="J4799" s="6" t="n">
        <x:f>IF(OR(E4799="CANCELED",E4799="SUSPECTED_FRAUD",F4799="Shipping canceled"),0,1)</x:f>
        <x:v>1</x:v>
      </x:c>
      <x:c r="K4799" s="6" t="n">
        <x:f>IF(G4799&gt;H4799,1,0)</x:f>
        <x:v>0</x:v>
      </x:c>
      <x:c r="L4799" s="6" t="n">
        <x:f>J4799*K4799</x:f>
        <x:v>0</x:v>
      </x:c>
    </x:row>
    <x:row r="4800">
      <x:c r="A4800" s="1" t="n">
        <x:v>37183</x:v>
      </x:c>
      <x:c r="B4800" s="5" t="d">
        <x:v>2016-06-26T00:00:00.000Z</x:v>
      </x:c>
      <x:c r="C4800" s="1" t="str">
        <x:v>Standard Class</x:v>
      </x:c>
      <x:c r="D4800" s="1" t="str">
        <x:v>USCA</x:v>
      </x:c>
      <x:c r="E4800" s="1" t="str">
        <x:v>COMPLETE</x:v>
      </x:c>
      <x:c r="F4800" s="1" t="str">
        <x:v>Shipping on time</x:v>
      </x:c>
      <x:c r="G4800" s="6" t="n">
        <x:v>4</x:v>
      </x:c>
      <x:c r="H4800" s="6" t="n">
        <x:v>4</x:v>
      </x:c>
      <x:c r="I4800" s="6" t="n">
        <x:f>G4800-H4800</x:f>
        <x:v>0</x:v>
      </x:c>
      <x:c r="J4800" s="6" t="n">
        <x:f>IF(OR(E4800="CANCELED",E4800="SUSPECTED_FRAUD",F4800="Shipping canceled"),0,1)</x:f>
        <x:v>1</x:v>
      </x:c>
      <x:c r="K4800" s="6" t="n">
        <x:f>IF(G4800&gt;H4800,1,0)</x:f>
        <x:v>0</x:v>
      </x:c>
      <x:c r="L4800" s="6" t="n">
        <x:f>J4800*K4800</x:f>
        <x:v>0</x:v>
      </x:c>
    </x:row>
    <x:row r="4801">
      <x:c r="A4801" s="1" t="n">
        <x:v>37186</x:v>
      </x:c>
      <x:c r="B4801" s="5" t="d">
        <x:v>2016-06-26T00:00:00.000Z</x:v>
      </x:c>
      <x:c r="C4801" s="1" t="str">
        <x:v>Standard Class</x:v>
      </x:c>
      <x:c r="D4801" s="1" t="str">
        <x:v>USCA</x:v>
      </x:c>
      <x:c r="E4801" s="1" t="str">
        <x:v>COMPLETE</x:v>
      </x:c>
      <x:c r="F4801" s="1" t="str">
        <x:v>Advance shipping</x:v>
      </x:c>
      <x:c r="G4801" s="6" t="n">
        <x:v>2</x:v>
      </x:c>
      <x:c r="H4801" s="6" t="n">
        <x:v>4</x:v>
      </x:c>
      <x:c r="I4801" s="6" t="n">
        <x:f>G4801-H4801</x:f>
        <x:v>-2</x:v>
      </x:c>
      <x:c r="J4801" s="6" t="n">
        <x:f>IF(OR(E4801="CANCELED",E4801="SUSPECTED_FRAUD",F4801="Shipping canceled"),0,1)</x:f>
        <x:v>1</x:v>
      </x:c>
      <x:c r="K4801" s="6" t="n">
        <x:f>IF(G4801&gt;H4801,1,0)</x:f>
        <x:v>0</x:v>
      </x:c>
      <x:c r="L4801" s="6" t="n">
        <x:f>J4801*K4801</x:f>
        <x:v>0</x:v>
      </x:c>
    </x:row>
    <x:row r="4802">
      <x:c r="A4802" s="1" t="n">
        <x:v>37193</x:v>
      </x:c>
      <x:c r="B4802" s="5" t="d">
        <x:v>2016-06-26T00:00:00.000Z</x:v>
      </x:c>
      <x:c r="C4802" s="1" t="str">
        <x:v>Standard Class</x:v>
      </x:c>
      <x:c r="D4802" s="1" t="str">
        <x:v>USCA</x:v>
      </x:c>
      <x:c r="E4802" s="1" t="str">
        <x:v>ON_HOLD</x:v>
      </x:c>
      <x:c r="F4802" s="1" t="str">
        <x:v>Shipping on time</x:v>
      </x:c>
      <x:c r="G4802" s="6" t="n">
        <x:v>4</x:v>
      </x:c>
      <x:c r="H4802" s="6" t="n">
        <x:v>4</x:v>
      </x:c>
      <x:c r="I4802" s="6" t="n">
        <x:f>G4802-H4802</x:f>
        <x:v>0</x:v>
      </x:c>
      <x:c r="J4802" s="6" t="n">
        <x:f>IF(OR(E4802="CANCELED",E4802="SUSPECTED_FRAUD",F4802="Shipping canceled"),0,1)</x:f>
        <x:v>1</x:v>
      </x:c>
      <x:c r="K4802" s="6" t="n">
        <x:f>IF(G4802&gt;H4802,1,0)</x:f>
        <x:v>0</x:v>
      </x:c>
      <x:c r="L4802" s="6" t="n">
        <x:f>J4802*K4802</x:f>
        <x:v>0</x:v>
      </x:c>
    </x:row>
    <x:row r="4803">
      <x:c r="A4803" s="1" t="n">
        <x:v>37198</x:v>
      </x:c>
      <x:c r="B4803" s="5" t="d">
        <x:v>2016-06-26T00:00:00.000Z</x:v>
      </x:c>
      <x:c r="C4803" s="1" t="str">
        <x:v>Standard Class</x:v>
      </x:c>
      <x:c r="D4803" s="1" t="str">
        <x:v>USCA</x:v>
      </x:c>
      <x:c r="E4803" s="1" t="str">
        <x:v>PENDING_PAYMENT</x:v>
      </x:c>
      <x:c r="F4803" s="1" t="str">
        <x:v>Shipping on time</x:v>
      </x:c>
      <x:c r="G4803" s="6" t="n">
        <x:v>4</x:v>
      </x:c>
      <x:c r="H4803" s="6" t="n">
        <x:v>4</x:v>
      </x:c>
      <x:c r="I4803" s="6" t="n">
        <x:f>G4803-H4803</x:f>
        <x:v>0</x:v>
      </x:c>
      <x:c r="J4803" s="6" t="n">
        <x:f>IF(OR(E4803="CANCELED",E4803="SUSPECTED_FRAUD",F4803="Shipping canceled"),0,1)</x:f>
        <x:v>1</x:v>
      </x:c>
      <x:c r="K4803" s="6" t="n">
        <x:f>IF(G4803&gt;H4803,1,0)</x:f>
        <x:v>0</x:v>
      </x:c>
      <x:c r="L4803" s="6" t="n">
        <x:f>J4803*K4803</x:f>
        <x:v>0</x:v>
      </x:c>
    </x:row>
    <x:row r="4804">
      <x:c r="A4804" s="1" t="n">
        <x:v>37224</x:v>
      </x:c>
      <x:c r="B4804" s="5" t="d">
        <x:v>2016-06-27T00:00:00.000Z</x:v>
      </x:c>
      <x:c r="C4804" s="1" t="str">
        <x:v>Standard Class</x:v>
      </x:c>
      <x:c r="D4804" s="1" t="str">
        <x:v>USCA</x:v>
      </x:c>
      <x:c r="E4804" s="1" t="str">
        <x:v>PENDING</x:v>
      </x:c>
      <x:c r="F4804" s="1" t="str">
        <x:v>Late delivery</x:v>
      </x:c>
      <x:c r="G4804" s="6" t="n">
        <x:v>5</x:v>
      </x:c>
      <x:c r="H4804" s="6" t="n">
        <x:v>4</x:v>
      </x:c>
      <x:c r="I4804" s="6" t="n">
        <x:f>G4804-H4804</x:f>
        <x:v>1</x:v>
      </x:c>
      <x:c r="J4804" s="6" t="n">
        <x:f>IF(OR(E4804="CANCELED",E4804="SUSPECTED_FRAUD",F4804="Shipping canceled"),0,1)</x:f>
        <x:v>1</x:v>
      </x:c>
      <x:c r="K4804" s="6" t="n">
        <x:f>IF(G4804&gt;H4804,1,0)</x:f>
        <x:v>1</x:v>
      </x:c>
      <x:c r="L4804" s="6" t="n">
        <x:f>J4804*K4804</x:f>
        <x:v>1</x:v>
      </x:c>
    </x:row>
    <x:row r="4805">
      <x:c r="A4805" s="1" t="n">
        <x:v>37239</x:v>
      </x:c>
      <x:c r="B4805" s="5" t="d">
        <x:v>2016-06-27T00:00:00.000Z</x:v>
      </x:c>
      <x:c r="C4805" s="1" t="str">
        <x:v>Standard Class</x:v>
      </x:c>
      <x:c r="D4805" s="1" t="str">
        <x:v>USCA</x:v>
      </x:c>
      <x:c r="E4805" s="1" t="str">
        <x:v>COMPLETE</x:v>
      </x:c>
      <x:c r="F4805" s="1" t="str">
        <x:v>Late delivery</x:v>
      </x:c>
      <x:c r="G4805" s="6" t="n">
        <x:v>5</x:v>
      </x:c>
      <x:c r="H4805" s="6" t="n">
        <x:v>4</x:v>
      </x:c>
      <x:c r="I4805" s="6" t="n">
        <x:f>G4805-H4805</x:f>
        <x:v>1</x:v>
      </x:c>
      <x:c r="J4805" s="6" t="n">
        <x:f>IF(OR(E4805="CANCELED",E4805="SUSPECTED_FRAUD",F4805="Shipping canceled"),0,1)</x:f>
        <x:v>1</x:v>
      </x:c>
      <x:c r="K4805" s="6" t="n">
        <x:f>IF(G4805&gt;H4805,1,0)</x:f>
        <x:v>1</x:v>
      </x:c>
      <x:c r="L4805" s="6" t="n">
        <x:f>J4805*K4805</x:f>
        <x:v>1</x:v>
      </x:c>
    </x:row>
    <x:row r="4806">
      <x:c r="A4806" s="1" t="n">
        <x:v>37255</x:v>
      </x:c>
      <x:c r="B4806" s="5" t="d">
        <x:v>2016-06-27T00:00:00.000Z</x:v>
      </x:c>
      <x:c r="C4806" s="1" t="str">
        <x:v>Standard Class</x:v>
      </x:c>
      <x:c r="D4806" s="1" t="str">
        <x:v>USCA</x:v>
      </x:c>
      <x:c r="E4806" s="1" t="str">
        <x:v>COMPLETE</x:v>
      </x:c>
      <x:c r="F4806" s="1" t="str">
        <x:v>Late delivery</x:v>
      </x:c>
      <x:c r="G4806" s="6" t="n">
        <x:v>6</x:v>
      </x:c>
      <x:c r="H4806" s="6" t="n">
        <x:v>4</x:v>
      </x:c>
      <x:c r="I4806" s="6" t="n">
        <x:f>G4806-H4806</x:f>
        <x:v>2</x:v>
      </x:c>
      <x:c r="J4806" s="6" t="n">
        <x:f>IF(OR(E4806="CANCELED",E4806="SUSPECTED_FRAUD",F4806="Shipping canceled"),0,1)</x:f>
        <x:v>1</x:v>
      </x:c>
      <x:c r="K4806" s="6" t="n">
        <x:f>IF(G4806&gt;H4806,1,0)</x:f>
        <x:v>1</x:v>
      </x:c>
      <x:c r="L4806" s="6" t="n">
        <x:f>J4806*K4806</x:f>
        <x:v>1</x:v>
      </x:c>
    </x:row>
    <x:row r="4807">
      <x:c r="A4807" s="1" t="n">
        <x:v>37276</x:v>
      </x:c>
      <x:c r="B4807" s="5" t="d">
        <x:v>2016-06-28T00:00:00.000Z</x:v>
      </x:c>
      <x:c r="C4807" s="1" t="str">
        <x:v>Second Class</x:v>
      </x:c>
      <x:c r="D4807" s="1" t="str">
        <x:v>USCA</x:v>
      </x:c>
      <x:c r="E4807" s="1" t="str">
        <x:v>PENDING_PAYMENT</x:v>
      </x:c>
      <x:c r="F4807" s="1" t="str">
        <x:v>Shipping on time</x:v>
      </x:c>
      <x:c r="G4807" s="6" t="n">
        <x:v>2</x:v>
      </x:c>
      <x:c r="H4807" s="6" t="n">
        <x:v>2</x:v>
      </x:c>
      <x:c r="I4807" s="6" t="n">
        <x:f>G4807-H4807</x:f>
        <x:v>0</x:v>
      </x:c>
      <x:c r="J4807" s="6" t="n">
        <x:f>IF(OR(E4807="CANCELED",E4807="SUSPECTED_FRAUD",F4807="Shipping canceled"),0,1)</x:f>
        <x:v>1</x:v>
      </x:c>
      <x:c r="K4807" s="6" t="n">
        <x:f>IF(G4807&gt;H4807,1,0)</x:f>
        <x:v>0</x:v>
      </x:c>
      <x:c r="L4807" s="6" t="n">
        <x:f>J4807*K4807</x:f>
        <x:v>0</x:v>
      </x:c>
    </x:row>
    <x:row r="4808">
      <x:c r="A4808" s="1" t="n">
        <x:v>37282</x:v>
      </x:c>
      <x:c r="B4808" s="5" t="d">
        <x:v>2016-06-28T00:00:00.000Z</x:v>
      </x:c>
      <x:c r="C4808" s="1" t="str">
        <x:v>Standard Class</x:v>
      </x:c>
      <x:c r="D4808" s="1" t="str">
        <x:v>USCA</x:v>
      </x:c>
      <x:c r="E4808" s="1" t="str">
        <x:v>PENDING</x:v>
      </x:c>
      <x:c r="F4808" s="1" t="str">
        <x:v>Advance shipping</x:v>
      </x:c>
      <x:c r="G4808" s="6" t="n">
        <x:v>3</x:v>
      </x:c>
      <x:c r="H4808" s="6" t="n">
        <x:v>4</x:v>
      </x:c>
      <x:c r="I4808" s="6" t="n">
        <x:f>G4808-H4808</x:f>
        <x:v>-1</x:v>
      </x:c>
      <x:c r="J4808" s="6" t="n">
        <x:f>IF(OR(E4808="CANCELED",E4808="SUSPECTED_FRAUD",F4808="Shipping canceled"),0,1)</x:f>
        <x:v>1</x:v>
      </x:c>
      <x:c r="K4808" s="6" t="n">
        <x:f>IF(G4808&gt;H4808,1,0)</x:f>
        <x:v>0</x:v>
      </x:c>
      <x:c r="L4808" s="6" t="n">
        <x:f>J4808*K4808</x:f>
        <x:v>0</x:v>
      </x:c>
    </x:row>
    <x:row r="4809">
      <x:c r="A4809" s="1" t="n">
        <x:v>37295</x:v>
      </x:c>
      <x:c r="B4809" s="5" t="d">
        <x:v>2016-06-28T00:00:00.000Z</x:v>
      </x:c>
      <x:c r="C4809" s="1" t="str">
        <x:v>Standard Class</x:v>
      </x:c>
      <x:c r="D4809" s="1" t="str">
        <x:v>USCA</x:v>
      </x:c>
      <x:c r="E4809" s="1" t="str">
        <x:v>COMPLETE</x:v>
      </x:c>
      <x:c r="F4809" s="1" t="str">
        <x:v>Late delivery</x:v>
      </x:c>
      <x:c r="G4809" s="6" t="n">
        <x:v>6</x:v>
      </x:c>
      <x:c r="H4809" s="6" t="n">
        <x:v>4</x:v>
      </x:c>
      <x:c r="I4809" s="6" t="n">
        <x:f>G4809-H4809</x:f>
        <x:v>2</x:v>
      </x:c>
      <x:c r="J4809" s="6" t="n">
        <x:f>IF(OR(E4809="CANCELED",E4809="SUSPECTED_FRAUD",F4809="Shipping canceled"),0,1)</x:f>
        <x:v>1</x:v>
      </x:c>
      <x:c r="K4809" s="6" t="n">
        <x:f>IF(G4809&gt;H4809,1,0)</x:f>
        <x:v>1</x:v>
      </x:c>
      <x:c r="L4809" s="6" t="n">
        <x:f>J4809*K4809</x:f>
        <x:v>1</x:v>
      </x:c>
    </x:row>
    <x:row r="4810">
      <x:c r="A4810" s="1" t="n">
        <x:v>37297</x:v>
      </x:c>
      <x:c r="B4810" s="5" t="d">
        <x:v>2016-06-28T00:00:00.000Z</x:v>
      </x:c>
      <x:c r="C4810" s="1" t="str">
        <x:v>Standard Class</x:v>
      </x:c>
      <x:c r="D4810" s="1" t="str">
        <x:v>USCA</x:v>
      </x:c>
      <x:c r="E4810" s="1" t="str">
        <x:v>PENDING</x:v>
      </x:c>
      <x:c r="F4810" s="1" t="str">
        <x:v>Advance shipping</x:v>
      </x:c>
      <x:c r="G4810" s="6" t="n">
        <x:v>3</x:v>
      </x:c>
      <x:c r="H4810" s="6" t="n">
        <x:v>4</x:v>
      </x:c>
      <x:c r="I4810" s="6" t="n">
        <x:f>G4810-H4810</x:f>
        <x:v>-1</x:v>
      </x:c>
      <x:c r="J4810" s="6" t="n">
        <x:f>IF(OR(E4810="CANCELED",E4810="SUSPECTED_FRAUD",F4810="Shipping canceled"),0,1)</x:f>
        <x:v>1</x:v>
      </x:c>
      <x:c r="K4810" s="6" t="n">
        <x:f>IF(G4810&gt;H4810,1,0)</x:f>
        <x:v>0</x:v>
      </x:c>
      <x:c r="L4810" s="6" t="n">
        <x:f>J4810*K4810</x:f>
        <x:v>0</x:v>
      </x:c>
    </x:row>
    <x:row r="4811">
      <x:c r="A4811" s="1" t="n">
        <x:v>37313</x:v>
      </x:c>
      <x:c r="B4811" s="5" t="d">
        <x:v>2016-06-28T00:00:00.000Z</x:v>
      </x:c>
      <x:c r="C4811" s="1" t="str">
        <x:v>First Class</x:v>
      </x:c>
      <x:c r="D4811" s="1" t="str">
        <x:v>USCA</x:v>
      </x:c>
      <x:c r="E4811" s="1" t="str">
        <x:v>CLOSED</x:v>
      </x:c>
      <x:c r="F4811" s="1" t="str">
        <x:v>Late delivery</x:v>
      </x:c>
      <x:c r="G4811" s="6" t="n">
        <x:v>2</x:v>
      </x:c>
      <x:c r="H4811" s="6" t="n">
        <x:v>1</x:v>
      </x:c>
      <x:c r="I4811" s="6" t="n">
        <x:f>G4811-H4811</x:f>
        <x:v>1</x:v>
      </x:c>
      <x:c r="J4811" s="6" t="n">
        <x:f>IF(OR(E4811="CANCELED",E4811="SUSPECTED_FRAUD",F4811="Shipping canceled"),0,1)</x:f>
        <x:v>1</x:v>
      </x:c>
      <x:c r="K4811" s="6" t="n">
        <x:f>IF(G4811&gt;H4811,1,0)</x:f>
        <x:v>1</x:v>
      </x:c>
      <x:c r="L4811" s="6" t="n">
        <x:f>J4811*K4811</x:f>
        <x:v>1</x:v>
      </x:c>
    </x:row>
    <x:row r="4812">
      <x:c r="A4812" s="1" t="n">
        <x:v>37322</x:v>
      </x:c>
      <x:c r="B4812" s="5" t="d">
        <x:v>2016-06-28T00:00:00.000Z</x:v>
      </x:c>
      <x:c r="C4812" s="1" t="str">
        <x:v>First Class</x:v>
      </x:c>
      <x:c r="D4812" s="1" t="str">
        <x:v>USCA</x:v>
      </x:c>
      <x:c r="E4812" s="1" t="str">
        <x:v>PENDING</x:v>
      </x:c>
      <x:c r="F4812" s="1" t="str">
        <x:v>Late delivery</x:v>
      </x:c>
      <x:c r="G4812" s="6" t="n">
        <x:v>2</x:v>
      </x:c>
      <x:c r="H4812" s="6" t="n">
        <x:v>1</x:v>
      </x:c>
      <x:c r="I4812" s="6" t="n">
        <x:f>G4812-H4812</x:f>
        <x:v>1</x:v>
      </x:c>
      <x:c r="J4812" s="6" t="n">
        <x:f>IF(OR(E4812="CANCELED",E4812="SUSPECTED_FRAUD",F4812="Shipping canceled"),0,1)</x:f>
        <x:v>1</x:v>
      </x:c>
      <x:c r="K4812" s="6" t="n">
        <x:f>IF(G4812&gt;H4812,1,0)</x:f>
        <x:v>1</x:v>
      </x:c>
      <x:c r="L4812" s="6" t="n">
        <x:f>J4812*K4812</x:f>
        <x:v>1</x:v>
      </x:c>
    </x:row>
    <x:row r="4813">
      <x:c r="A4813" s="1" t="n">
        <x:v>37335</x:v>
      </x:c>
      <x:c r="B4813" s="5" t="d">
        <x:v>2016-06-28T00:00:00.000Z</x:v>
      </x:c>
      <x:c r="C4813" s="1" t="str">
        <x:v>Standard Class</x:v>
      </x:c>
      <x:c r="D4813" s="1" t="str">
        <x:v>USCA</x:v>
      </x:c>
      <x:c r="E4813" s="1" t="str">
        <x:v>COMPLETE</x:v>
      </x:c>
      <x:c r="F4813" s="1" t="str">
        <x:v>Late delivery</x:v>
      </x:c>
      <x:c r="G4813" s="6" t="n">
        <x:v>6</x:v>
      </x:c>
      <x:c r="H4813" s="6" t="n">
        <x:v>4</x:v>
      </x:c>
      <x:c r="I4813" s="6" t="n">
        <x:f>G4813-H4813</x:f>
        <x:v>2</x:v>
      </x:c>
      <x:c r="J4813" s="6" t="n">
        <x:f>IF(OR(E4813="CANCELED",E4813="SUSPECTED_FRAUD",F4813="Shipping canceled"),0,1)</x:f>
        <x:v>1</x:v>
      </x:c>
      <x:c r="K4813" s="6" t="n">
        <x:f>IF(G4813&gt;H4813,1,0)</x:f>
        <x:v>1</x:v>
      </x:c>
      <x:c r="L4813" s="6" t="n">
        <x:f>J4813*K4813</x:f>
        <x:v>1</x:v>
      </x:c>
    </x:row>
    <x:row r="4814">
      <x:c r="A4814" s="1" t="n">
        <x:v>37353</x:v>
      </x:c>
      <x:c r="B4814" s="5" t="d">
        <x:v>2016-06-29T00:00:00.000Z</x:v>
      </x:c>
      <x:c r="C4814" s="1" t="str">
        <x:v>Standard Class</x:v>
      </x:c>
      <x:c r="D4814" s="1" t="str">
        <x:v>USCA</x:v>
      </x:c>
      <x:c r="E4814" s="1" t="str">
        <x:v>COMPLETE</x:v>
      </x:c>
      <x:c r="F4814" s="1" t="str">
        <x:v>Shipping on time</x:v>
      </x:c>
      <x:c r="G4814" s="6" t="n">
        <x:v>4</x:v>
      </x:c>
      <x:c r="H4814" s="6" t="n">
        <x:v>4</x:v>
      </x:c>
      <x:c r="I4814" s="6" t="n">
        <x:f>G4814-H4814</x:f>
        <x:v>0</x:v>
      </x:c>
      <x:c r="J4814" s="6" t="n">
        <x:f>IF(OR(E4814="CANCELED",E4814="SUSPECTED_FRAUD",F4814="Shipping canceled"),0,1)</x:f>
        <x:v>1</x:v>
      </x:c>
      <x:c r="K4814" s="6" t="n">
        <x:f>IF(G4814&gt;H4814,1,0)</x:f>
        <x:v>0</x:v>
      </x:c>
      <x:c r="L4814" s="6" t="n">
        <x:f>J4814*K4814</x:f>
        <x:v>0</x:v>
      </x:c>
    </x:row>
    <x:row r="4815">
      <x:c r="A4815" s="1" t="n">
        <x:v>37371</x:v>
      </x:c>
      <x:c r="B4815" s="5" t="d">
        <x:v>2016-06-29T00:00:00.000Z</x:v>
      </x:c>
      <x:c r="C4815" s="1" t="str">
        <x:v>Same Day</x:v>
      </x:c>
      <x:c r="D4815" s="1" t="str">
        <x:v>USCA</x:v>
      </x:c>
      <x:c r="E4815" s="1" t="str">
        <x:v>PAYMENT_REVIEW</x:v>
      </x:c>
      <x:c r="F4815" s="1" t="str">
        <x:v>Late delivery</x:v>
      </x:c>
      <x:c r="G4815" s="6" t="n">
        <x:v>1</x:v>
      </x:c>
      <x:c r="H4815" s="6" t="n">
        <x:v>0</x:v>
      </x:c>
      <x:c r="I4815" s="6" t="n">
        <x:f>G4815-H4815</x:f>
        <x:v>1</x:v>
      </x:c>
      <x:c r="J4815" s="6" t="n">
        <x:f>IF(OR(E4815="CANCELED",E4815="SUSPECTED_FRAUD",F4815="Shipping canceled"),0,1)</x:f>
        <x:v>1</x:v>
      </x:c>
      <x:c r="K4815" s="6" t="n">
        <x:f>IF(G4815&gt;H4815,1,0)</x:f>
        <x:v>1</x:v>
      </x:c>
      <x:c r="L4815" s="6" t="n">
        <x:f>J4815*K4815</x:f>
        <x:v>1</x:v>
      </x:c>
    </x:row>
    <x:row r="4816">
      <x:c r="A4816" s="1" t="n">
        <x:v>37390</x:v>
      </x:c>
      <x:c r="B4816" s="5" t="d">
        <x:v>2016-06-29T00:00:00.000Z</x:v>
      </x:c>
      <x:c r="C4816" s="1" t="str">
        <x:v>First Class</x:v>
      </x:c>
      <x:c r="D4816" s="1" t="str">
        <x:v>USCA</x:v>
      </x:c>
      <x:c r="E4816" s="1" t="str">
        <x:v>CLOSED</x:v>
      </x:c>
      <x:c r="F4816" s="1" t="str">
        <x:v>Late delivery</x:v>
      </x:c>
      <x:c r="G4816" s="6" t="n">
        <x:v>2</x:v>
      </x:c>
      <x:c r="H4816" s="6" t="n">
        <x:v>1</x:v>
      </x:c>
      <x:c r="I4816" s="6" t="n">
        <x:f>G4816-H4816</x:f>
        <x:v>1</x:v>
      </x:c>
      <x:c r="J4816" s="6" t="n">
        <x:f>IF(OR(E4816="CANCELED",E4816="SUSPECTED_FRAUD",F4816="Shipping canceled"),0,1)</x:f>
        <x:v>1</x:v>
      </x:c>
      <x:c r="K4816" s="6" t="n">
        <x:f>IF(G4816&gt;H4816,1,0)</x:f>
        <x:v>1</x:v>
      </x:c>
      <x:c r="L4816" s="6" t="n">
        <x:f>J4816*K4816</x:f>
        <x:v>1</x:v>
      </x:c>
    </x:row>
    <x:row r="4817">
      <x:c r="A4817" s="1" t="n">
        <x:v>37394</x:v>
      </x:c>
      <x:c r="B4817" s="5" t="d">
        <x:v>2016-06-29T00:00:00.000Z</x:v>
      </x:c>
      <x:c r="C4817" s="1" t="str">
        <x:v>Standard Class</x:v>
      </x:c>
      <x:c r="D4817" s="1" t="str">
        <x:v>USCA</x:v>
      </x:c>
      <x:c r="E4817" s="1" t="str">
        <x:v>COMPLETE</x:v>
      </x:c>
      <x:c r="F4817" s="1" t="str">
        <x:v>Late delivery</x:v>
      </x:c>
      <x:c r="G4817" s="6" t="n">
        <x:v>5</x:v>
      </x:c>
      <x:c r="H4817" s="6" t="n">
        <x:v>4</x:v>
      </x:c>
      <x:c r="I4817" s="6" t="n">
        <x:f>G4817-H4817</x:f>
        <x:v>1</x:v>
      </x:c>
      <x:c r="J4817" s="6" t="n">
        <x:f>IF(OR(E4817="CANCELED",E4817="SUSPECTED_FRAUD",F4817="Shipping canceled"),0,1)</x:f>
        <x:v>1</x:v>
      </x:c>
      <x:c r="K4817" s="6" t="n">
        <x:f>IF(G4817&gt;H4817,1,0)</x:f>
        <x:v>1</x:v>
      </x:c>
      <x:c r="L4817" s="6" t="n">
        <x:f>J4817*K4817</x:f>
        <x:v>1</x:v>
      </x:c>
    </x:row>
    <x:row r="4818">
      <x:c r="A4818" s="1" t="n">
        <x:v>37402</x:v>
      </x:c>
      <x:c r="B4818" s="5" t="d">
        <x:v>2016-06-29T00:00:00.000Z</x:v>
      </x:c>
      <x:c r="C4818" s="1" t="str">
        <x:v>Second Class</x:v>
      </x:c>
      <x:c r="D4818" s="1" t="str">
        <x:v>USCA</x:v>
      </x:c>
      <x:c r="E4818" s="1" t="str">
        <x:v>COMPLETE</x:v>
      </x:c>
      <x:c r="F4818" s="1" t="str">
        <x:v>Late delivery</x:v>
      </x:c>
      <x:c r="G4818" s="6" t="n">
        <x:v>3</x:v>
      </x:c>
      <x:c r="H4818" s="6" t="n">
        <x:v>2</x:v>
      </x:c>
      <x:c r="I4818" s="6" t="n">
        <x:f>G4818-H4818</x:f>
        <x:v>1</x:v>
      </x:c>
      <x:c r="J4818" s="6" t="n">
        <x:f>IF(OR(E4818="CANCELED",E4818="SUSPECTED_FRAUD",F4818="Shipping canceled"),0,1)</x:f>
        <x:v>1</x:v>
      </x:c>
      <x:c r="K4818" s="6" t="n">
        <x:f>IF(G4818&gt;H4818,1,0)</x:f>
        <x:v>1</x:v>
      </x:c>
      <x:c r="L4818" s="6" t="n">
        <x:f>J4818*K4818</x:f>
        <x:v>1</x:v>
      </x:c>
    </x:row>
    <x:row r="4819">
      <x:c r="A4819" s="1" t="n">
        <x:v>37412</x:v>
      </x:c>
      <x:c r="B4819" s="5" t="d">
        <x:v>2016-06-30T00:00:00.000Z</x:v>
      </x:c>
      <x:c r="C4819" s="1" t="str">
        <x:v>Standard Class</x:v>
      </x:c>
      <x:c r="D4819" s="1" t="str">
        <x:v>USCA</x:v>
      </x:c>
      <x:c r="E4819" s="1" t="str">
        <x:v>COMPLETE</x:v>
      </x:c>
      <x:c r="F4819" s="1" t="str">
        <x:v>Advance shipping</x:v>
      </x:c>
      <x:c r="G4819" s="6" t="n">
        <x:v>3</x:v>
      </x:c>
      <x:c r="H4819" s="6" t="n">
        <x:v>4</x:v>
      </x:c>
      <x:c r="I4819" s="6" t="n">
        <x:f>G4819-H4819</x:f>
        <x:v>-1</x:v>
      </x:c>
      <x:c r="J4819" s="6" t="n">
        <x:f>IF(OR(E4819="CANCELED",E4819="SUSPECTED_FRAUD",F4819="Shipping canceled"),0,1)</x:f>
        <x:v>1</x:v>
      </x:c>
      <x:c r="K4819" s="6" t="n">
        <x:f>IF(G4819&gt;H4819,1,0)</x:f>
        <x:v>0</x:v>
      </x:c>
      <x:c r="L4819" s="6" t="n">
        <x:f>J4819*K4819</x:f>
        <x:v>0</x:v>
      </x:c>
    </x:row>
    <x:row r="4820">
      <x:c r="A4820" s="1" t="n">
        <x:v>37414</x:v>
      </x:c>
      <x:c r="B4820" s="5" t="d">
        <x:v>2016-06-30T00:00:00.000Z</x:v>
      </x:c>
      <x:c r="C4820" s="1" t="str">
        <x:v>Second Class</x:v>
      </x:c>
      <x:c r="D4820" s="1" t="str">
        <x:v>USCA</x:v>
      </x:c>
      <x:c r="E4820" s="1" t="str">
        <x:v>COMPLETE</x:v>
      </x:c>
      <x:c r="F4820" s="1" t="str">
        <x:v>Late delivery</x:v>
      </x:c>
      <x:c r="G4820" s="6" t="n">
        <x:v>5</x:v>
      </x:c>
      <x:c r="H4820" s="6" t="n">
        <x:v>2</x:v>
      </x:c>
      <x:c r="I4820" s="6" t="n">
        <x:f>G4820-H4820</x:f>
        <x:v>3</x:v>
      </x:c>
      <x:c r="J4820" s="6" t="n">
        <x:f>IF(OR(E4820="CANCELED",E4820="SUSPECTED_FRAUD",F4820="Shipping canceled"),0,1)</x:f>
        <x:v>1</x:v>
      </x:c>
      <x:c r="K4820" s="6" t="n">
        <x:f>IF(G4820&gt;H4820,1,0)</x:f>
        <x:v>1</x:v>
      </x:c>
      <x:c r="L4820" s="6" t="n">
        <x:f>J4820*K4820</x:f>
        <x:v>1</x:v>
      </x:c>
    </x:row>
    <x:row r="4821">
      <x:c r="A4821" s="1" t="n">
        <x:v>37423</x:v>
      </x:c>
      <x:c r="B4821" s="5" t="d">
        <x:v>2016-06-30T00:00:00.000Z</x:v>
      </x:c>
      <x:c r="C4821" s="1" t="str">
        <x:v>Standard Class</x:v>
      </x:c>
      <x:c r="D4821" s="1" t="str">
        <x:v>USCA</x:v>
      </x:c>
      <x:c r="E4821" s="1" t="str">
        <x:v>COMPLETE</x:v>
      </x:c>
      <x:c r="F4821" s="1" t="str">
        <x:v>Shipping on time</x:v>
      </x:c>
      <x:c r="G4821" s="6" t="n">
        <x:v>4</x:v>
      </x:c>
      <x:c r="H4821" s="6" t="n">
        <x:v>4</x:v>
      </x:c>
      <x:c r="I4821" s="6" t="n">
        <x:f>G4821-H4821</x:f>
        <x:v>0</x:v>
      </x:c>
      <x:c r="J4821" s="6" t="n">
        <x:f>IF(OR(E4821="CANCELED",E4821="SUSPECTED_FRAUD",F4821="Shipping canceled"),0,1)</x:f>
        <x:v>1</x:v>
      </x:c>
      <x:c r="K4821" s="6" t="n">
        <x:f>IF(G4821&gt;H4821,1,0)</x:f>
        <x:v>0</x:v>
      </x:c>
      <x:c r="L4821" s="6" t="n">
        <x:f>J4821*K4821</x:f>
        <x:v>0</x:v>
      </x:c>
    </x:row>
    <x:row r="4822">
      <x:c r="A4822" s="1" t="n">
        <x:v>37430</x:v>
      </x:c>
      <x:c r="B4822" s="5" t="d">
        <x:v>2016-06-30T00:00:00.000Z</x:v>
      </x:c>
      <x:c r="C4822" s="1" t="str">
        <x:v>Standard Class</x:v>
      </x:c>
      <x:c r="D4822" s="1" t="str">
        <x:v>USCA</x:v>
      </x:c>
      <x:c r="E4822" s="1" t="str">
        <x:v>PENDING</x:v>
      </x:c>
      <x:c r="F4822" s="1" t="str">
        <x:v>Late delivery</x:v>
      </x:c>
      <x:c r="G4822" s="6" t="n">
        <x:v>6</x:v>
      </x:c>
      <x:c r="H4822" s="6" t="n">
        <x:v>4</x:v>
      </x:c>
      <x:c r="I4822" s="6" t="n">
        <x:f>G4822-H4822</x:f>
        <x:v>2</x:v>
      </x:c>
      <x:c r="J4822" s="6" t="n">
        <x:f>IF(OR(E4822="CANCELED",E4822="SUSPECTED_FRAUD",F4822="Shipping canceled"),0,1)</x:f>
        <x:v>1</x:v>
      </x:c>
      <x:c r="K4822" s="6" t="n">
        <x:f>IF(G4822&gt;H4822,1,0)</x:f>
        <x:v>1</x:v>
      </x:c>
      <x:c r="L4822" s="6" t="n">
        <x:f>J4822*K4822</x:f>
        <x:v>1</x:v>
      </x:c>
    </x:row>
    <x:row r="4823">
      <x:c r="A4823" s="1" t="n">
        <x:v>37440</x:v>
      </x:c>
      <x:c r="B4823" s="5" t="d">
        <x:v>2016-06-30T00:00:00.000Z</x:v>
      </x:c>
      <x:c r="C4823" s="1" t="str">
        <x:v>Standard Class</x:v>
      </x:c>
      <x:c r="D4823" s="1" t="str">
        <x:v>USCA</x:v>
      </x:c>
      <x:c r="E4823" s="1" t="str">
        <x:v>PENDING</x:v>
      </x:c>
      <x:c r="F4823" s="1" t="str">
        <x:v>Late delivery</x:v>
      </x:c>
      <x:c r="G4823" s="6" t="n">
        <x:v>6</x:v>
      </x:c>
      <x:c r="H4823" s="6" t="n">
        <x:v>4</x:v>
      </x:c>
      <x:c r="I4823" s="6" t="n">
        <x:f>G4823-H4823</x:f>
        <x:v>2</x:v>
      </x:c>
      <x:c r="J4823" s="6" t="n">
        <x:f>IF(OR(E4823="CANCELED",E4823="SUSPECTED_FRAUD",F4823="Shipping canceled"),0,1)</x:f>
        <x:v>1</x:v>
      </x:c>
      <x:c r="K4823" s="6" t="n">
        <x:f>IF(G4823&gt;H4823,1,0)</x:f>
        <x:v>1</x:v>
      </x:c>
      <x:c r="L4823" s="6" t="n">
        <x:f>J4823*K4823</x:f>
        <x:v>1</x:v>
      </x:c>
    </x:row>
    <x:row r="4824">
      <x:c r="A4824" s="1" t="n">
        <x:v>37454</x:v>
      </x:c>
      <x:c r="B4824" s="5" t="d">
        <x:v>2016-06-30T00:00:00.000Z</x:v>
      </x:c>
      <x:c r="C4824" s="1" t="str">
        <x:v>Standard Class</x:v>
      </x:c>
      <x:c r="D4824" s="1" t="str">
        <x:v>USCA</x:v>
      </x:c>
      <x:c r="E4824" s="1" t="str">
        <x:v>PENDING</x:v>
      </x:c>
      <x:c r="F4824" s="1" t="str">
        <x:v>Late delivery</x:v>
      </x:c>
      <x:c r="G4824" s="6" t="n">
        <x:v>5</x:v>
      </x:c>
      <x:c r="H4824" s="6" t="n">
        <x:v>4</x:v>
      </x:c>
      <x:c r="I4824" s="6" t="n">
        <x:f>G4824-H4824</x:f>
        <x:v>1</x:v>
      </x:c>
      <x:c r="J4824" s="6" t="n">
        <x:f>IF(OR(E4824="CANCELED",E4824="SUSPECTED_FRAUD",F4824="Shipping canceled"),0,1)</x:f>
        <x:v>1</x:v>
      </x:c>
      <x:c r="K4824" s="6" t="n">
        <x:f>IF(G4824&gt;H4824,1,0)</x:f>
        <x:v>1</x:v>
      </x:c>
      <x:c r="L4824" s="6" t="n">
        <x:f>J4824*K4824</x:f>
        <x:v>1</x:v>
      </x:c>
    </x:row>
    <x:row r="4825">
      <x:c r="A4825" s="1" t="n">
        <x:v>37464</x:v>
      </x:c>
      <x:c r="B4825" s="5" t="d">
        <x:v>2016-06-30T00:00:00.000Z</x:v>
      </x:c>
      <x:c r="C4825" s="1" t="str">
        <x:v>Second Class</x:v>
      </x:c>
      <x:c r="D4825" s="1" t="str">
        <x:v>USCA</x:v>
      </x:c>
      <x:c r="E4825" s="1" t="str">
        <x:v>COMPLETE</x:v>
      </x:c>
      <x:c r="F4825" s="1" t="str">
        <x:v>Late delivery</x:v>
      </x:c>
      <x:c r="G4825" s="6" t="n">
        <x:v>5</x:v>
      </x:c>
      <x:c r="H4825" s="6" t="n">
        <x:v>2</x:v>
      </x:c>
      <x:c r="I4825" s="6" t="n">
        <x:f>G4825-H4825</x:f>
        <x:v>3</x:v>
      </x:c>
      <x:c r="J4825" s="6" t="n">
        <x:f>IF(OR(E4825="CANCELED",E4825="SUSPECTED_FRAUD",F4825="Shipping canceled"),0,1)</x:f>
        <x:v>1</x:v>
      </x:c>
      <x:c r="K4825" s="6" t="n">
        <x:f>IF(G4825&gt;H4825,1,0)</x:f>
        <x:v>1</x:v>
      </x:c>
      <x:c r="L4825" s="6" t="n">
        <x:f>J4825*K4825</x:f>
        <x:v>1</x:v>
      </x:c>
    </x:row>
    <x:row r="4826">
      <x:c r="A4826" s="1" t="n">
        <x:v>37471</x:v>
      </x:c>
      <x:c r="B4826" s="5" t="d">
        <x:v>2016-06-30T00:00:00.000Z</x:v>
      </x:c>
      <x:c r="C4826" s="1" t="str">
        <x:v>Standard Class</x:v>
      </x:c>
      <x:c r="D4826" s="1" t="str">
        <x:v>USCA</x:v>
      </x:c>
      <x:c r="E4826" s="1" t="str">
        <x:v>PENDING</x:v>
      </x:c>
      <x:c r="F4826" s="1" t="str">
        <x:v>Advance shipping</x:v>
      </x:c>
      <x:c r="G4826" s="6" t="n">
        <x:v>2</x:v>
      </x:c>
      <x:c r="H4826" s="6" t="n">
        <x:v>4</x:v>
      </x:c>
      <x:c r="I4826" s="6" t="n">
        <x:f>G4826-H4826</x:f>
        <x:v>-2</x:v>
      </x:c>
      <x:c r="J4826" s="6" t="n">
        <x:f>IF(OR(E4826="CANCELED",E4826="SUSPECTED_FRAUD",F4826="Shipping canceled"),0,1)</x:f>
        <x:v>1</x:v>
      </x:c>
      <x:c r="K4826" s="6" t="n">
        <x:f>IF(G4826&gt;H4826,1,0)</x:f>
        <x:v>0</x:v>
      </x:c>
      <x:c r="L4826" s="6" t="n">
        <x:f>J4826*K4826</x:f>
        <x:v>0</x:v>
      </x:c>
    </x:row>
    <x:row r="4827">
      <x:c r="A4827" s="1" t="n">
        <x:v>37476</x:v>
      </x:c>
      <x:c r="B4827" s="5" t="d">
        <x:v>2016-07-01T00:00:00.000Z</x:v>
      </x:c>
      <x:c r="C4827" s="1" t="str">
        <x:v>Standard Class</x:v>
      </x:c>
      <x:c r="D4827" s="1" t="str">
        <x:v>USCA</x:v>
      </x:c>
      <x:c r="E4827" s="1" t="str">
        <x:v>COMPLETE</x:v>
      </x:c>
      <x:c r="F4827" s="1" t="str">
        <x:v>Advance shipping</x:v>
      </x:c>
      <x:c r="G4827" s="6" t="n">
        <x:v>2</x:v>
      </x:c>
      <x:c r="H4827" s="6" t="n">
        <x:v>4</x:v>
      </x:c>
      <x:c r="I4827" s="6" t="n">
        <x:f>G4827-H4827</x:f>
        <x:v>-2</x:v>
      </x:c>
      <x:c r="J4827" s="6" t="n">
        <x:f>IF(OR(E4827="CANCELED",E4827="SUSPECTED_FRAUD",F4827="Shipping canceled"),0,1)</x:f>
        <x:v>1</x:v>
      </x:c>
      <x:c r="K4827" s="6" t="n">
        <x:f>IF(G4827&gt;H4827,1,0)</x:f>
        <x:v>0</x:v>
      </x:c>
      <x:c r="L4827" s="6" t="n">
        <x:f>J4827*K4827</x:f>
        <x:v>0</x:v>
      </x:c>
    </x:row>
    <x:row r="4828">
      <x:c r="A4828" s="1" t="n">
        <x:v>37479</x:v>
      </x:c>
      <x:c r="B4828" s="5" t="d">
        <x:v>2016-07-01T00:00:00.000Z</x:v>
      </x:c>
      <x:c r="C4828" s="1" t="str">
        <x:v>First Class</x:v>
      </x:c>
      <x:c r="D4828" s="1" t="str">
        <x:v>USCA</x:v>
      </x:c>
      <x:c r="E4828" s="1" t="str">
        <x:v>CLOSED</x:v>
      </x:c>
      <x:c r="F4828" s="1" t="str">
        <x:v>Late delivery</x:v>
      </x:c>
      <x:c r="G4828" s="6" t="n">
        <x:v>2</x:v>
      </x:c>
      <x:c r="H4828" s="6" t="n">
        <x:v>1</x:v>
      </x:c>
      <x:c r="I4828" s="6" t="n">
        <x:f>G4828-H4828</x:f>
        <x:v>1</x:v>
      </x:c>
      <x:c r="J4828" s="6" t="n">
        <x:f>IF(OR(E4828="CANCELED",E4828="SUSPECTED_FRAUD",F4828="Shipping canceled"),0,1)</x:f>
        <x:v>1</x:v>
      </x:c>
      <x:c r="K4828" s="6" t="n">
        <x:f>IF(G4828&gt;H4828,1,0)</x:f>
        <x:v>1</x:v>
      </x:c>
      <x:c r="L4828" s="6" t="n">
        <x:f>J4828*K4828</x:f>
        <x:v>1</x:v>
      </x:c>
    </x:row>
    <x:row r="4829">
      <x:c r="A4829" s="1" t="n">
        <x:v>37488</x:v>
      </x:c>
      <x:c r="B4829" s="5" t="d">
        <x:v>2016-07-01T00:00:00.000Z</x:v>
      </x:c>
      <x:c r="C4829" s="1" t="str">
        <x:v>Standard Class</x:v>
      </x:c>
      <x:c r="D4829" s="1" t="str">
        <x:v>USCA</x:v>
      </x:c>
      <x:c r="E4829" s="1" t="str">
        <x:v>COMPLETE</x:v>
      </x:c>
      <x:c r="F4829" s="1" t="str">
        <x:v>Shipping on time</x:v>
      </x:c>
      <x:c r="G4829" s="6" t="n">
        <x:v>4</x:v>
      </x:c>
      <x:c r="H4829" s="6" t="n">
        <x:v>4</x:v>
      </x:c>
      <x:c r="I4829" s="6" t="n">
        <x:f>G4829-H4829</x:f>
        <x:v>0</x:v>
      </x:c>
      <x:c r="J4829" s="6" t="n">
        <x:f>IF(OR(E4829="CANCELED",E4829="SUSPECTED_FRAUD",F4829="Shipping canceled"),0,1)</x:f>
        <x:v>1</x:v>
      </x:c>
      <x:c r="K4829" s="6" t="n">
        <x:f>IF(G4829&gt;H4829,1,0)</x:f>
        <x:v>0</x:v>
      </x:c>
      <x:c r="L4829" s="6" t="n">
        <x:f>J4829*K4829</x:f>
        <x:v>0</x:v>
      </x:c>
    </x:row>
    <x:row r="4830">
      <x:c r="A4830" s="1" t="n">
        <x:v>37493</x:v>
      </x:c>
      <x:c r="B4830" s="5" t="d">
        <x:v>2016-07-01T00:00:00.000Z</x:v>
      </x:c>
      <x:c r="C4830" s="1" t="str">
        <x:v>Standard Class</x:v>
      </x:c>
      <x:c r="D4830" s="1" t="str">
        <x:v>USCA</x:v>
      </x:c>
      <x:c r="E4830" s="1" t="str">
        <x:v>SUSPECTED_FRAUD</x:v>
      </x:c>
      <x:c r="F4830" s="1" t="str">
        <x:v>Shipping canceled</x:v>
      </x:c>
      <x:c r="G4830" s="6" t="n">
        <x:v>4</x:v>
      </x:c>
      <x:c r="H4830" s="6" t="n">
        <x:v>4</x:v>
      </x:c>
      <x:c r="I4830" s="6" t="n">
        <x:f>G4830-H4830</x:f>
        <x:v>0</x:v>
      </x:c>
      <x:c r="J4830" s="6" t="n">
        <x:f>IF(OR(E4830="CANCELED",E4830="SUSPECTED_FRAUD",F4830="Shipping canceled"),0,1)</x:f>
        <x:v>0</x:v>
      </x:c>
      <x:c r="K4830" s="6" t="n">
        <x:f>IF(G4830&gt;H4830,1,0)</x:f>
        <x:v>0</x:v>
      </x:c>
      <x:c r="L4830" s="6" t="n">
        <x:f>J4830*K4830</x:f>
        <x:v>0</x:v>
      </x:c>
    </x:row>
    <x:row r="4831">
      <x:c r="A4831" s="1" t="n">
        <x:v>37494</x:v>
      </x:c>
      <x:c r="B4831" s="5" t="d">
        <x:v>2016-07-01T00:00:00.000Z</x:v>
      </x:c>
      <x:c r="C4831" s="1" t="str">
        <x:v>Standard Class</x:v>
      </x:c>
      <x:c r="D4831" s="1" t="str">
        <x:v>USCA</x:v>
      </x:c>
      <x:c r="E4831" s="1" t="str">
        <x:v>COMPLETE</x:v>
      </x:c>
      <x:c r="F4831" s="1" t="str">
        <x:v>Late delivery</x:v>
      </x:c>
      <x:c r="G4831" s="6" t="n">
        <x:v>5</x:v>
      </x:c>
      <x:c r="H4831" s="6" t="n">
        <x:v>4</x:v>
      </x:c>
      <x:c r="I4831" s="6" t="n">
        <x:f>G4831-H4831</x:f>
        <x:v>1</x:v>
      </x:c>
      <x:c r="J4831" s="6" t="n">
        <x:f>IF(OR(E4831="CANCELED",E4831="SUSPECTED_FRAUD",F4831="Shipping canceled"),0,1)</x:f>
        <x:v>1</x:v>
      </x:c>
      <x:c r="K4831" s="6" t="n">
        <x:f>IF(G4831&gt;H4831,1,0)</x:f>
        <x:v>1</x:v>
      </x:c>
      <x:c r="L4831" s="6" t="n">
        <x:f>J4831*K4831</x:f>
        <x:v>1</x:v>
      </x:c>
    </x:row>
    <x:row r="4832">
      <x:c r="A4832" s="1" t="n">
        <x:v>37495</x:v>
      </x:c>
      <x:c r="B4832" s="5" t="d">
        <x:v>2016-07-01T00:00:00.000Z</x:v>
      </x:c>
      <x:c r="C4832" s="1" t="str">
        <x:v>Standard Class</x:v>
      </x:c>
      <x:c r="D4832" s="1" t="str">
        <x:v>USCA</x:v>
      </x:c>
      <x:c r="E4832" s="1" t="str">
        <x:v>COMPLETE</x:v>
      </x:c>
      <x:c r="F4832" s="1" t="str">
        <x:v>Late delivery</x:v>
      </x:c>
      <x:c r="G4832" s="6" t="n">
        <x:v>6</x:v>
      </x:c>
      <x:c r="H4832" s="6" t="n">
        <x:v>4</x:v>
      </x:c>
      <x:c r="I4832" s="6" t="n">
        <x:f>G4832-H4832</x:f>
        <x:v>2</x:v>
      </x:c>
      <x:c r="J4832" s="6" t="n">
        <x:f>IF(OR(E4832="CANCELED",E4832="SUSPECTED_FRAUD",F4832="Shipping canceled"),0,1)</x:f>
        <x:v>1</x:v>
      </x:c>
      <x:c r="K4832" s="6" t="n">
        <x:f>IF(G4832&gt;H4832,1,0)</x:f>
        <x:v>1</x:v>
      </x:c>
      <x:c r="L4832" s="6" t="n">
        <x:f>J4832*K4832</x:f>
        <x:v>1</x:v>
      </x:c>
    </x:row>
    <x:row r="4833">
      <x:c r="A4833" s="1" t="n">
        <x:v>37496</x:v>
      </x:c>
      <x:c r="B4833" s="5" t="d">
        <x:v>2016-07-01T00:00:00.000Z</x:v>
      </x:c>
      <x:c r="C4833" s="1" t="str">
        <x:v>Standard Class</x:v>
      </x:c>
      <x:c r="D4833" s="1" t="str">
        <x:v>USCA</x:v>
      </x:c>
      <x:c r="E4833" s="1" t="str">
        <x:v>SUSPECTED_FRAUD</x:v>
      </x:c>
      <x:c r="F4833" s="1" t="str">
        <x:v>Shipping canceled</x:v>
      </x:c>
      <x:c r="G4833" s="6" t="n">
        <x:v>2</x:v>
      </x:c>
      <x:c r="H4833" s="6" t="n">
        <x:v>4</x:v>
      </x:c>
      <x:c r="I4833" s="6" t="n">
        <x:f>G4833-H4833</x:f>
        <x:v>-2</x:v>
      </x:c>
      <x:c r="J4833" s="6" t="n">
        <x:f>IF(OR(E4833="CANCELED",E4833="SUSPECTED_FRAUD",F4833="Shipping canceled"),0,1)</x:f>
        <x:v>0</x:v>
      </x:c>
      <x:c r="K4833" s="6" t="n">
        <x:f>IF(G4833&gt;H4833,1,0)</x:f>
        <x:v>0</x:v>
      </x:c>
      <x:c r="L4833" s="6" t="n">
        <x:f>J4833*K4833</x:f>
        <x:v>0</x:v>
      </x:c>
    </x:row>
    <x:row r="4834">
      <x:c r="A4834" s="1" t="n">
        <x:v>37498</x:v>
      </x:c>
      <x:c r="B4834" s="5" t="d">
        <x:v>2016-07-01T00:00:00.000Z</x:v>
      </x:c>
      <x:c r="C4834" s="1" t="str">
        <x:v>Standard Class</x:v>
      </x:c>
      <x:c r="D4834" s="1" t="str">
        <x:v>USCA</x:v>
      </x:c>
      <x:c r="E4834" s="1" t="str">
        <x:v>COMPLETE</x:v>
      </x:c>
      <x:c r="F4834" s="1" t="str">
        <x:v>Shipping on time</x:v>
      </x:c>
      <x:c r="G4834" s="6" t="n">
        <x:v>4</x:v>
      </x:c>
      <x:c r="H4834" s="6" t="n">
        <x:v>4</x:v>
      </x:c>
      <x:c r="I4834" s="6" t="n">
        <x:f>G4834-H4834</x:f>
        <x:v>0</x:v>
      </x:c>
      <x:c r="J4834" s="6" t="n">
        <x:f>IF(OR(E4834="CANCELED",E4834="SUSPECTED_FRAUD",F4834="Shipping canceled"),0,1)</x:f>
        <x:v>1</x:v>
      </x:c>
      <x:c r="K4834" s="6" t="n">
        <x:f>IF(G4834&gt;H4834,1,0)</x:f>
        <x:v>0</x:v>
      </x:c>
      <x:c r="L4834" s="6" t="n">
        <x:f>J4834*K4834</x:f>
        <x:v>0</x:v>
      </x:c>
    </x:row>
    <x:row r="4835">
      <x:c r="A4835" s="1" t="n">
        <x:v>37500</x:v>
      </x:c>
      <x:c r="B4835" s="5" t="d">
        <x:v>2016-07-01T00:00:00.000Z</x:v>
      </x:c>
      <x:c r="C4835" s="1" t="str">
        <x:v>Standard Class</x:v>
      </x:c>
      <x:c r="D4835" s="1" t="str">
        <x:v>USCA</x:v>
      </x:c>
      <x:c r="E4835" s="1" t="str">
        <x:v>PENDING</x:v>
      </x:c>
      <x:c r="F4835" s="1" t="str">
        <x:v>Late delivery</x:v>
      </x:c>
      <x:c r="G4835" s="6" t="n">
        <x:v>6</x:v>
      </x:c>
      <x:c r="H4835" s="6" t="n">
        <x:v>4</x:v>
      </x:c>
      <x:c r="I4835" s="6" t="n">
        <x:f>G4835-H4835</x:f>
        <x:v>2</x:v>
      </x:c>
      <x:c r="J4835" s="6" t="n">
        <x:f>IF(OR(E4835="CANCELED",E4835="SUSPECTED_FRAUD",F4835="Shipping canceled"),0,1)</x:f>
        <x:v>1</x:v>
      </x:c>
      <x:c r="K4835" s="6" t="n">
        <x:f>IF(G4835&gt;H4835,1,0)</x:f>
        <x:v>1</x:v>
      </x:c>
      <x:c r="L4835" s="6" t="n">
        <x:f>J4835*K4835</x:f>
        <x:v>1</x:v>
      </x:c>
    </x:row>
    <x:row r="4836">
      <x:c r="A4836" s="1" t="n">
        <x:v>37505</x:v>
      </x:c>
      <x:c r="B4836" s="5" t="d">
        <x:v>2016-07-01T00:00:00.000Z</x:v>
      </x:c>
      <x:c r="C4836" s="1" t="str">
        <x:v>Standard Class</x:v>
      </x:c>
      <x:c r="D4836" s="1" t="str">
        <x:v>USCA</x:v>
      </x:c>
      <x:c r="E4836" s="1" t="str">
        <x:v>COMPLETE</x:v>
      </x:c>
      <x:c r="F4836" s="1" t="str">
        <x:v>Late delivery</x:v>
      </x:c>
      <x:c r="G4836" s="6" t="n">
        <x:v>6</x:v>
      </x:c>
      <x:c r="H4836" s="6" t="n">
        <x:v>4</x:v>
      </x:c>
      <x:c r="I4836" s="6" t="n">
        <x:f>G4836-H4836</x:f>
        <x:v>2</x:v>
      </x:c>
      <x:c r="J4836" s="6" t="n">
        <x:f>IF(OR(E4836="CANCELED",E4836="SUSPECTED_FRAUD",F4836="Shipping canceled"),0,1)</x:f>
        <x:v>1</x:v>
      </x:c>
      <x:c r="K4836" s="6" t="n">
        <x:f>IF(G4836&gt;H4836,1,0)</x:f>
        <x:v>1</x:v>
      </x:c>
      <x:c r="L4836" s="6" t="n">
        <x:f>J4836*K4836</x:f>
        <x:v>1</x:v>
      </x:c>
    </x:row>
    <x:row r="4837">
      <x:c r="A4837" s="1" t="n">
        <x:v>37510</x:v>
      </x:c>
      <x:c r="B4837" s="5" t="d">
        <x:v>2016-07-01T00:00:00.000Z</x:v>
      </x:c>
      <x:c r="C4837" s="1" t="str">
        <x:v>Standard Class</x:v>
      </x:c>
      <x:c r="D4837" s="1" t="str">
        <x:v>USCA</x:v>
      </x:c>
      <x:c r="E4837" s="1" t="str">
        <x:v>PENDING_PAYMENT</x:v>
      </x:c>
      <x:c r="F4837" s="1" t="str">
        <x:v>Late delivery</x:v>
      </x:c>
      <x:c r="G4837" s="6" t="n">
        <x:v>6</x:v>
      </x:c>
      <x:c r="H4837" s="6" t="n">
        <x:v>4</x:v>
      </x:c>
      <x:c r="I4837" s="6" t="n">
        <x:f>G4837-H4837</x:f>
        <x:v>2</x:v>
      </x:c>
      <x:c r="J4837" s="6" t="n">
        <x:f>IF(OR(E4837="CANCELED",E4837="SUSPECTED_FRAUD",F4837="Shipping canceled"),0,1)</x:f>
        <x:v>1</x:v>
      </x:c>
      <x:c r="K4837" s="6" t="n">
        <x:f>IF(G4837&gt;H4837,1,0)</x:f>
        <x:v>1</x:v>
      </x:c>
      <x:c r="L4837" s="6" t="n">
        <x:f>J4837*K4837</x:f>
        <x:v>1</x:v>
      </x:c>
    </x:row>
    <x:row r="4838">
      <x:c r="A4838" s="1" t="n">
        <x:v>37518</x:v>
      </x:c>
      <x:c r="B4838" s="5" t="d">
        <x:v>2016-07-01T00:00:00.000Z</x:v>
      </x:c>
      <x:c r="C4838" s="1" t="str">
        <x:v>Standard Class</x:v>
      </x:c>
      <x:c r="D4838" s="1" t="str">
        <x:v>USCA</x:v>
      </x:c>
      <x:c r="E4838" s="1" t="str">
        <x:v>PROCESSING</x:v>
      </x:c>
      <x:c r="F4838" s="1" t="str">
        <x:v>Shipping on time</x:v>
      </x:c>
      <x:c r="G4838" s="6" t="n">
        <x:v>4</x:v>
      </x:c>
      <x:c r="H4838" s="6" t="n">
        <x:v>4</x:v>
      </x:c>
      <x:c r="I4838" s="6" t="n">
        <x:f>G4838-H4838</x:f>
        <x:v>0</x:v>
      </x:c>
      <x:c r="J4838" s="6" t="n">
        <x:f>IF(OR(E4838="CANCELED",E4838="SUSPECTED_FRAUD",F4838="Shipping canceled"),0,1)</x:f>
        <x:v>1</x:v>
      </x:c>
      <x:c r="K4838" s="6" t="n">
        <x:f>IF(G4838&gt;H4838,1,0)</x:f>
        <x:v>0</x:v>
      </x:c>
      <x:c r="L4838" s="6" t="n">
        <x:f>J4838*K4838</x:f>
        <x:v>0</x:v>
      </x:c>
    </x:row>
    <x:row r="4839">
      <x:c r="A4839" s="1" t="n">
        <x:v>37521</x:v>
      </x:c>
      <x:c r="B4839" s="5" t="d">
        <x:v>2016-07-01T00:00:00.000Z</x:v>
      </x:c>
      <x:c r="C4839" s="1" t="str">
        <x:v>Standard Class</x:v>
      </x:c>
      <x:c r="D4839" s="1" t="str">
        <x:v>USCA</x:v>
      </x:c>
      <x:c r="E4839" s="1" t="str">
        <x:v>CANCELED</x:v>
      </x:c>
      <x:c r="F4839" s="1" t="str">
        <x:v>Shipping canceled</x:v>
      </x:c>
      <x:c r="G4839" s="6" t="n">
        <x:v>2</x:v>
      </x:c>
      <x:c r="H4839" s="6" t="n">
        <x:v>4</x:v>
      </x:c>
      <x:c r="I4839" s="6" t="n">
        <x:f>G4839-H4839</x:f>
        <x:v>-2</x:v>
      </x:c>
      <x:c r="J4839" s="6" t="n">
        <x:f>IF(OR(E4839="CANCELED",E4839="SUSPECTED_FRAUD",F4839="Shipping canceled"),0,1)</x:f>
        <x:v>0</x:v>
      </x:c>
      <x:c r="K4839" s="6" t="n">
        <x:f>IF(G4839&gt;H4839,1,0)</x:f>
        <x:v>0</x:v>
      </x:c>
      <x:c r="L4839" s="6" t="n">
        <x:f>J4839*K4839</x:f>
        <x:v>0</x:v>
      </x:c>
    </x:row>
    <x:row r="4840">
      <x:c r="A4840" s="1" t="n">
        <x:v>37523</x:v>
      </x:c>
      <x:c r="B4840" s="5" t="d">
        <x:v>2016-07-01T00:00:00.000Z</x:v>
      </x:c>
      <x:c r="C4840" s="1" t="str">
        <x:v>Standard Class</x:v>
      </x:c>
      <x:c r="D4840" s="1" t="str">
        <x:v>USCA</x:v>
      </x:c>
      <x:c r="E4840" s="1" t="str">
        <x:v>COMPLETE</x:v>
      </x:c>
      <x:c r="F4840" s="1" t="str">
        <x:v>Shipping on time</x:v>
      </x:c>
      <x:c r="G4840" s="6" t="n">
        <x:v>4</x:v>
      </x:c>
      <x:c r="H4840" s="6" t="n">
        <x:v>4</x:v>
      </x:c>
      <x:c r="I4840" s="6" t="n">
        <x:f>G4840-H4840</x:f>
        <x:v>0</x:v>
      </x:c>
      <x:c r="J4840" s="6" t="n">
        <x:f>IF(OR(E4840="CANCELED",E4840="SUSPECTED_FRAUD",F4840="Shipping canceled"),0,1)</x:f>
        <x:v>1</x:v>
      </x:c>
      <x:c r="K4840" s="6" t="n">
        <x:f>IF(G4840&gt;H4840,1,0)</x:f>
        <x:v>0</x:v>
      </x:c>
      <x:c r="L4840" s="6" t="n">
        <x:f>J4840*K4840</x:f>
        <x:v>0</x:v>
      </x:c>
    </x:row>
    <x:row r="4841">
      <x:c r="A4841" s="1" t="n">
        <x:v>37524</x:v>
      </x:c>
      <x:c r="B4841" s="5" t="d">
        <x:v>2016-07-01T00:00:00.000Z</x:v>
      </x:c>
      <x:c r="C4841" s="1" t="str">
        <x:v>Standard Class</x:v>
      </x:c>
      <x:c r="D4841" s="1" t="str">
        <x:v>USCA</x:v>
      </x:c>
      <x:c r="E4841" s="1" t="str">
        <x:v>ON_HOLD</x:v>
      </x:c>
      <x:c r="F4841" s="1" t="str">
        <x:v>Late delivery</x:v>
      </x:c>
      <x:c r="G4841" s="6" t="n">
        <x:v>5</x:v>
      </x:c>
      <x:c r="H4841" s="6" t="n">
        <x:v>4</x:v>
      </x:c>
      <x:c r="I4841" s="6" t="n">
        <x:f>G4841-H4841</x:f>
        <x:v>1</x:v>
      </x:c>
      <x:c r="J4841" s="6" t="n">
        <x:f>IF(OR(E4841="CANCELED",E4841="SUSPECTED_FRAUD",F4841="Shipping canceled"),0,1)</x:f>
        <x:v>1</x:v>
      </x:c>
      <x:c r="K4841" s="6" t="n">
        <x:f>IF(G4841&gt;H4841,1,0)</x:f>
        <x:v>1</x:v>
      </x:c>
      <x:c r="L4841" s="6" t="n">
        <x:f>J4841*K4841</x:f>
        <x:v>1</x:v>
      </x:c>
    </x:row>
    <x:row r="4842">
      <x:c r="A4842" s="1" t="n">
        <x:v>37535</x:v>
      </x:c>
      <x:c r="B4842" s="5" t="d">
        <x:v>2016-07-01T00:00:00.000Z</x:v>
      </x:c>
      <x:c r="C4842" s="1" t="str">
        <x:v>Standard Class</x:v>
      </x:c>
      <x:c r="D4842" s="1" t="str">
        <x:v>USCA</x:v>
      </x:c>
      <x:c r="E4842" s="1" t="str">
        <x:v>COMPLETE</x:v>
      </x:c>
      <x:c r="F4842" s="1" t="str">
        <x:v>Late delivery</x:v>
      </x:c>
      <x:c r="G4842" s="6" t="n">
        <x:v>6</x:v>
      </x:c>
      <x:c r="H4842" s="6" t="n">
        <x:v>4</x:v>
      </x:c>
      <x:c r="I4842" s="6" t="n">
        <x:f>G4842-H4842</x:f>
        <x:v>2</x:v>
      </x:c>
      <x:c r="J4842" s="6" t="n">
        <x:f>IF(OR(E4842="CANCELED",E4842="SUSPECTED_FRAUD",F4842="Shipping canceled"),0,1)</x:f>
        <x:v>1</x:v>
      </x:c>
      <x:c r="K4842" s="6" t="n">
        <x:f>IF(G4842&gt;H4842,1,0)</x:f>
        <x:v>1</x:v>
      </x:c>
      <x:c r="L4842" s="6" t="n">
        <x:f>J4842*K4842</x:f>
        <x:v>1</x:v>
      </x:c>
    </x:row>
    <x:row r="4843">
      <x:c r="A4843" s="1" t="n">
        <x:v>37540</x:v>
      </x:c>
      <x:c r="B4843" s="5" t="d">
        <x:v>2016-07-01T00:00:00.000Z</x:v>
      </x:c>
      <x:c r="C4843" s="1" t="str">
        <x:v>Second Class</x:v>
      </x:c>
      <x:c r="D4843" s="1" t="str">
        <x:v>USCA</x:v>
      </x:c>
      <x:c r="E4843" s="1" t="str">
        <x:v>COMPLETE</x:v>
      </x:c>
      <x:c r="F4843" s="1" t="str">
        <x:v>Late delivery</x:v>
      </x:c>
      <x:c r="G4843" s="6" t="n">
        <x:v>6</x:v>
      </x:c>
      <x:c r="H4843" s="6" t="n">
        <x:v>2</x:v>
      </x:c>
      <x:c r="I4843" s="6" t="n">
        <x:f>G4843-H4843</x:f>
        <x:v>4</x:v>
      </x:c>
      <x:c r="J4843" s="6" t="n">
        <x:f>IF(OR(E4843="CANCELED",E4843="SUSPECTED_FRAUD",F4843="Shipping canceled"),0,1)</x:f>
        <x:v>1</x:v>
      </x:c>
      <x:c r="K4843" s="6" t="n">
        <x:f>IF(G4843&gt;H4843,1,0)</x:f>
        <x:v>1</x:v>
      </x:c>
      <x:c r="L4843" s="6" t="n">
        <x:f>J4843*K4843</x:f>
        <x:v>1</x:v>
      </x:c>
    </x:row>
    <x:row r="4844">
      <x:c r="A4844" s="1" t="n">
        <x:v>37548</x:v>
      </x:c>
      <x:c r="B4844" s="5" t="d">
        <x:v>2016-07-02T00:00:00.000Z</x:v>
      </x:c>
      <x:c r="C4844" s="1" t="str">
        <x:v>Standard Class</x:v>
      </x:c>
      <x:c r="D4844" s="1" t="str">
        <x:v>USCA</x:v>
      </x:c>
      <x:c r="E4844" s="1" t="str">
        <x:v>ON_HOLD</x:v>
      </x:c>
      <x:c r="F4844" s="1" t="str">
        <x:v>Shipping on time</x:v>
      </x:c>
      <x:c r="G4844" s="6" t="n">
        <x:v>4</x:v>
      </x:c>
      <x:c r="H4844" s="6" t="n">
        <x:v>4</x:v>
      </x:c>
      <x:c r="I4844" s="6" t="n">
        <x:f>G4844-H4844</x:f>
        <x:v>0</x:v>
      </x:c>
      <x:c r="J4844" s="6" t="n">
        <x:f>IF(OR(E4844="CANCELED",E4844="SUSPECTED_FRAUD",F4844="Shipping canceled"),0,1)</x:f>
        <x:v>1</x:v>
      </x:c>
      <x:c r="K4844" s="6" t="n">
        <x:f>IF(G4844&gt;H4844,1,0)</x:f>
        <x:v>0</x:v>
      </x:c>
      <x:c r="L4844" s="6" t="n">
        <x:f>J4844*K4844</x:f>
        <x:v>0</x:v>
      </x:c>
    </x:row>
    <x:row r="4845">
      <x:c r="A4845" s="1" t="n">
        <x:v>37550</x:v>
      </x:c>
      <x:c r="B4845" s="5" t="d">
        <x:v>2016-07-02T00:00:00.000Z</x:v>
      </x:c>
      <x:c r="C4845" s="1" t="str">
        <x:v>Standard Class</x:v>
      </x:c>
      <x:c r="D4845" s="1" t="str">
        <x:v>USCA</x:v>
      </x:c>
      <x:c r="E4845" s="1" t="str">
        <x:v>COMPLETE</x:v>
      </x:c>
      <x:c r="F4845" s="1" t="str">
        <x:v>Late delivery</x:v>
      </x:c>
      <x:c r="G4845" s="6" t="n">
        <x:v>6</x:v>
      </x:c>
      <x:c r="H4845" s="6" t="n">
        <x:v>4</x:v>
      </x:c>
      <x:c r="I4845" s="6" t="n">
        <x:f>G4845-H4845</x:f>
        <x:v>2</x:v>
      </x:c>
      <x:c r="J4845" s="6" t="n">
        <x:f>IF(OR(E4845="CANCELED",E4845="SUSPECTED_FRAUD",F4845="Shipping canceled"),0,1)</x:f>
        <x:v>1</x:v>
      </x:c>
      <x:c r="K4845" s="6" t="n">
        <x:f>IF(G4845&gt;H4845,1,0)</x:f>
        <x:v>1</x:v>
      </x:c>
      <x:c r="L4845" s="6" t="n">
        <x:f>J4845*K4845</x:f>
        <x:v>1</x:v>
      </x:c>
    </x:row>
    <x:row r="4846">
      <x:c r="A4846" s="1" t="n">
        <x:v>37555</x:v>
      </x:c>
      <x:c r="B4846" s="5" t="d">
        <x:v>2016-07-02T00:00:00.000Z</x:v>
      </x:c>
      <x:c r="C4846" s="1" t="str">
        <x:v>Standard Class</x:v>
      </x:c>
      <x:c r="D4846" s="1" t="str">
        <x:v>USCA</x:v>
      </x:c>
      <x:c r="E4846" s="1" t="str">
        <x:v>ON_HOLD</x:v>
      </x:c>
      <x:c r="F4846" s="1" t="str">
        <x:v>Late delivery</x:v>
      </x:c>
      <x:c r="G4846" s="6" t="n">
        <x:v>6</x:v>
      </x:c>
      <x:c r="H4846" s="6" t="n">
        <x:v>4</x:v>
      </x:c>
      <x:c r="I4846" s="6" t="n">
        <x:f>G4846-H4846</x:f>
        <x:v>2</x:v>
      </x:c>
      <x:c r="J4846" s="6" t="n">
        <x:f>IF(OR(E4846="CANCELED",E4846="SUSPECTED_FRAUD",F4846="Shipping canceled"),0,1)</x:f>
        <x:v>1</x:v>
      </x:c>
      <x:c r="K4846" s="6" t="n">
        <x:f>IF(G4846&gt;H4846,1,0)</x:f>
        <x:v>1</x:v>
      </x:c>
      <x:c r="L4846" s="6" t="n">
        <x:f>J4846*K4846</x:f>
        <x:v>1</x:v>
      </x:c>
    </x:row>
    <x:row r="4847">
      <x:c r="A4847" s="1" t="n">
        <x:v>37556</x:v>
      </x:c>
      <x:c r="B4847" s="5" t="d">
        <x:v>2016-07-02T00:00:00.000Z</x:v>
      </x:c>
      <x:c r="C4847" s="1" t="str">
        <x:v>Standard Class</x:v>
      </x:c>
      <x:c r="D4847" s="1" t="str">
        <x:v>USCA</x:v>
      </x:c>
      <x:c r="E4847" s="1" t="str">
        <x:v>ON_HOLD</x:v>
      </x:c>
      <x:c r="F4847" s="1" t="str">
        <x:v>Advance shipping</x:v>
      </x:c>
      <x:c r="G4847" s="6" t="n">
        <x:v>2</x:v>
      </x:c>
      <x:c r="H4847" s="6" t="n">
        <x:v>4</x:v>
      </x:c>
      <x:c r="I4847" s="6" t="n">
        <x:f>G4847-H4847</x:f>
        <x:v>-2</x:v>
      </x:c>
      <x:c r="J4847" s="6" t="n">
        <x:f>IF(OR(E4847="CANCELED",E4847="SUSPECTED_FRAUD",F4847="Shipping canceled"),0,1)</x:f>
        <x:v>1</x:v>
      </x:c>
      <x:c r="K4847" s="6" t="n">
        <x:f>IF(G4847&gt;H4847,1,0)</x:f>
        <x:v>0</x:v>
      </x:c>
      <x:c r="L4847" s="6" t="n">
        <x:f>J4847*K4847</x:f>
        <x:v>0</x:v>
      </x:c>
    </x:row>
    <x:row r="4848">
      <x:c r="A4848" s="1" t="n">
        <x:v>37565</x:v>
      </x:c>
      <x:c r="B4848" s="5" t="d">
        <x:v>2016-07-02T00:00:00.000Z</x:v>
      </x:c>
      <x:c r="C4848" s="1" t="str">
        <x:v>Standard Class</x:v>
      </x:c>
      <x:c r="D4848" s="1" t="str">
        <x:v>USCA</x:v>
      </x:c>
      <x:c r="E4848" s="1" t="str">
        <x:v>PENDING_PAYMENT</x:v>
      </x:c>
      <x:c r="F4848" s="1" t="str">
        <x:v>Late delivery</x:v>
      </x:c>
      <x:c r="G4848" s="6" t="n">
        <x:v>6</x:v>
      </x:c>
      <x:c r="H4848" s="6" t="n">
        <x:v>4</x:v>
      </x:c>
      <x:c r="I4848" s="6" t="n">
        <x:f>G4848-H4848</x:f>
        <x:v>2</x:v>
      </x:c>
      <x:c r="J4848" s="6" t="n">
        <x:f>IF(OR(E4848="CANCELED",E4848="SUSPECTED_FRAUD",F4848="Shipping canceled"),0,1)</x:f>
        <x:v>1</x:v>
      </x:c>
      <x:c r="K4848" s="6" t="n">
        <x:f>IF(G4848&gt;H4848,1,0)</x:f>
        <x:v>1</x:v>
      </x:c>
      <x:c r="L4848" s="6" t="n">
        <x:f>J4848*K4848</x:f>
        <x:v>1</x:v>
      </x:c>
    </x:row>
    <x:row r="4849">
      <x:c r="A4849" s="1" t="n">
        <x:v>37575</x:v>
      </x:c>
      <x:c r="B4849" s="5" t="d">
        <x:v>2016-07-02T00:00:00.000Z</x:v>
      </x:c>
      <x:c r="C4849" s="1" t="str">
        <x:v>First Class</x:v>
      </x:c>
      <x:c r="D4849" s="1" t="str">
        <x:v>USCA</x:v>
      </x:c>
      <x:c r="E4849" s="1" t="str">
        <x:v>PROCESSING</x:v>
      </x:c>
      <x:c r="F4849" s="1" t="str">
        <x:v>Late delivery</x:v>
      </x:c>
      <x:c r="G4849" s="6" t="n">
        <x:v>2</x:v>
      </x:c>
      <x:c r="H4849" s="6" t="n">
        <x:v>1</x:v>
      </x:c>
      <x:c r="I4849" s="6" t="n">
        <x:f>G4849-H4849</x:f>
        <x:v>1</x:v>
      </x:c>
      <x:c r="J4849" s="6" t="n">
        <x:f>IF(OR(E4849="CANCELED",E4849="SUSPECTED_FRAUD",F4849="Shipping canceled"),0,1)</x:f>
        <x:v>1</x:v>
      </x:c>
      <x:c r="K4849" s="6" t="n">
        <x:f>IF(G4849&gt;H4849,1,0)</x:f>
        <x:v>1</x:v>
      </x:c>
      <x:c r="L4849" s="6" t="n">
        <x:f>J4849*K4849</x:f>
        <x:v>1</x:v>
      </x:c>
    </x:row>
    <x:row r="4850">
      <x:c r="A4850" s="1" t="n">
        <x:v>37591</x:v>
      </x:c>
      <x:c r="B4850" s="5" t="d">
        <x:v>2016-07-02T00:00:00.000Z</x:v>
      </x:c>
      <x:c r="C4850" s="1" t="str">
        <x:v>Standard Class</x:v>
      </x:c>
      <x:c r="D4850" s="1" t="str">
        <x:v>USCA</x:v>
      </x:c>
      <x:c r="E4850" s="1" t="str">
        <x:v>COMPLETE</x:v>
      </x:c>
      <x:c r="F4850" s="1" t="str">
        <x:v>Advance shipping</x:v>
      </x:c>
      <x:c r="G4850" s="6" t="n">
        <x:v>2</x:v>
      </x:c>
      <x:c r="H4850" s="6" t="n">
        <x:v>4</x:v>
      </x:c>
      <x:c r="I4850" s="6" t="n">
        <x:f>G4850-H4850</x:f>
        <x:v>-2</x:v>
      </x:c>
      <x:c r="J4850" s="6" t="n">
        <x:f>IF(OR(E4850="CANCELED",E4850="SUSPECTED_FRAUD",F4850="Shipping canceled"),0,1)</x:f>
        <x:v>1</x:v>
      </x:c>
      <x:c r="K4850" s="6" t="n">
        <x:f>IF(G4850&gt;H4850,1,0)</x:f>
        <x:v>0</x:v>
      </x:c>
      <x:c r="L4850" s="6" t="n">
        <x:f>J4850*K4850</x:f>
        <x:v>0</x:v>
      </x:c>
    </x:row>
    <x:row r="4851">
      <x:c r="A4851" s="1" t="n">
        <x:v>37595</x:v>
      </x:c>
      <x:c r="B4851" s="5" t="d">
        <x:v>2016-07-02T00:00:00.000Z</x:v>
      </x:c>
      <x:c r="C4851" s="1" t="str">
        <x:v>Standard Class</x:v>
      </x:c>
      <x:c r="D4851" s="1" t="str">
        <x:v>USCA</x:v>
      </x:c>
      <x:c r="E4851" s="1" t="str">
        <x:v>PENDING</x:v>
      </x:c>
      <x:c r="F4851" s="1" t="str">
        <x:v>Late delivery</x:v>
      </x:c>
      <x:c r="G4851" s="6" t="n">
        <x:v>6</x:v>
      </x:c>
      <x:c r="H4851" s="6" t="n">
        <x:v>4</x:v>
      </x:c>
      <x:c r="I4851" s="6" t="n">
        <x:f>G4851-H4851</x:f>
        <x:v>2</x:v>
      </x:c>
      <x:c r="J4851" s="6" t="n">
        <x:f>IF(OR(E4851="CANCELED",E4851="SUSPECTED_FRAUD",F4851="Shipping canceled"),0,1)</x:f>
        <x:v>1</x:v>
      </x:c>
      <x:c r="K4851" s="6" t="n">
        <x:f>IF(G4851&gt;H4851,1,0)</x:f>
        <x:v>1</x:v>
      </x:c>
      <x:c r="L4851" s="6" t="n">
        <x:f>J4851*K4851</x:f>
        <x:v>1</x:v>
      </x:c>
    </x:row>
    <x:row r="4852">
      <x:c r="A4852" s="1" t="n">
        <x:v>37602</x:v>
      </x:c>
      <x:c r="B4852" s="5" t="d">
        <x:v>2016-07-02T00:00:00.000Z</x:v>
      </x:c>
      <x:c r="C4852" s="1" t="str">
        <x:v>Standard Class</x:v>
      </x:c>
      <x:c r="D4852" s="1" t="str">
        <x:v>USCA</x:v>
      </x:c>
      <x:c r="E4852" s="1" t="str">
        <x:v>COMPLETE</x:v>
      </x:c>
      <x:c r="F4852" s="1" t="str">
        <x:v>Advance shipping</x:v>
      </x:c>
      <x:c r="G4852" s="6" t="n">
        <x:v>3</x:v>
      </x:c>
      <x:c r="H4852" s="6" t="n">
        <x:v>4</x:v>
      </x:c>
      <x:c r="I4852" s="6" t="n">
        <x:f>G4852-H4852</x:f>
        <x:v>-1</x:v>
      </x:c>
      <x:c r="J4852" s="6" t="n">
        <x:f>IF(OR(E4852="CANCELED",E4852="SUSPECTED_FRAUD",F4852="Shipping canceled"),0,1)</x:f>
        <x:v>1</x:v>
      </x:c>
      <x:c r="K4852" s="6" t="n">
        <x:f>IF(G4852&gt;H4852,1,0)</x:f>
        <x:v>0</x:v>
      </x:c>
      <x:c r="L4852" s="6" t="n">
        <x:f>J4852*K4852</x:f>
        <x:v>0</x:v>
      </x:c>
    </x:row>
    <x:row r="4853">
      <x:c r="A4853" s="1" t="n">
        <x:v>37635</x:v>
      </x:c>
      <x:c r="B4853" s="5" t="d">
        <x:v>2016-07-03T00:00:00.000Z</x:v>
      </x:c>
      <x:c r="C4853" s="1" t="str">
        <x:v>First Class</x:v>
      </x:c>
      <x:c r="D4853" s="1" t="str">
        <x:v>USCA</x:v>
      </x:c>
      <x:c r="E4853" s="1" t="str">
        <x:v>CLOSED</x:v>
      </x:c>
      <x:c r="F4853" s="1" t="str">
        <x:v>Late delivery</x:v>
      </x:c>
      <x:c r="G4853" s="6" t="n">
        <x:v>2</x:v>
      </x:c>
      <x:c r="H4853" s="6" t="n">
        <x:v>1</x:v>
      </x:c>
      <x:c r="I4853" s="6" t="n">
        <x:f>G4853-H4853</x:f>
        <x:v>1</x:v>
      </x:c>
      <x:c r="J4853" s="6" t="n">
        <x:f>IF(OR(E4853="CANCELED",E4853="SUSPECTED_FRAUD",F4853="Shipping canceled"),0,1)</x:f>
        <x:v>1</x:v>
      </x:c>
      <x:c r="K4853" s="6" t="n">
        <x:f>IF(G4853&gt;H4853,1,0)</x:f>
        <x:v>1</x:v>
      </x:c>
      <x:c r="L4853" s="6" t="n">
        <x:f>J4853*K4853</x:f>
        <x:v>1</x:v>
      </x:c>
    </x:row>
    <x:row r="4854">
      <x:c r="A4854" s="1" t="n">
        <x:v>37642</x:v>
      </x:c>
      <x:c r="B4854" s="5" t="d">
        <x:v>2016-07-03T00:00:00.000Z</x:v>
      </x:c>
      <x:c r="C4854" s="1" t="str">
        <x:v>Standard Class</x:v>
      </x:c>
      <x:c r="D4854" s="1" t="str">
        <x:v>USCA</x:v>
      </x:c>
      <x:c r="E4854" s="1" t="str">
        <x:v>SUSPECTED_FRAUD</x:v>
      </x:c>
      <x:c r="F4854" s="1" t="str">
        <x:v>Shipping canceled</x:v>
      </x:c>
      <x:c r="G4854" s="6" t="n">
        <x:v>3</x:v>
      </x:c>
      <x:c r="H4854" s="6" t="n">
        <x:v>4</x:v>
      </x:c>
      <x:c r="I4854" s="6" t="n">
        <x:f>G4854-H4854</x:f>
        <x:v>-1</x:v>
      </x:c>
      <x:c r="J4854" s="6" t="n">
        <x:f>IF(OR(E4854="CANCELED",E4854="SUSPECTED_FRAUD",F4854="Shipping canceled"),0,1)</x:f>
        <x:v>0</x:v>
      </x:c>
      <x:c r="K4854" s="6" t="n">
        <x:f>IF(G4854&gt;H4854,1,0)</x:f>
        <x:v>0</x:v>
      </x:c>
      <x:c r="L4854" s="6" t="n">
        <x:f>J4854*K4854</x:f>
        <x:v>0</x:v>
      </x:c>
    </x:row>
    <x:row r="4855">
      <x:c r="A4855" s="1" t="n">
        <x:v>37645</x:v>
      </x:c>
      <x:c r="B4855" s="5" t="d">
        <x:v>2016-07-03T00:00:00.000Z</x:v>
      </x:c>
      <x:c r="C4855" s="1" t="str">
        <x:v>Standard Class</x:v>
      </x:c>
      <x:c r="D4855" s="1" t="str">
        <x:v>USCA</x:v>
      </x:c>
      <x:c r="E4855" s="1" t="str">
        <x:v>PENDING</x:v>
      </x:c>
      <x:c r="F4855" s="1" t="str">
        <x:v>Late delivery</x:v>
      </x:c>
      <x:c r="G4855" s="6" t="n">
        <x:v>6</x:v>
      </x:c>
      <x:c r="H4855" s="6" t="n">
        <x:v>4</x:v>
      </x:c>
      <x:c r="I4855" s="6" t="n">
        <x:f>G4855-H4855</x:f>
        <x:v>2</x:v>
      </x:c>
      <x:c r="J4855" s="6" t="n">
        <x:f>IF(OR(E4855="CANCELED",E4855="SUSPECTED_FRAUD",F4855="Shipping canceled"),0,1)</x:f>
        <x:v>1</x:v>
      </x:c>
      <x:c r="K4855" s="6" t="n">
        <x:f>IF(G4855&gt;H4855,1,0)</x:f>
        <x:v>1</x:v>
      </x:c>
      <x:c r="L4855" s="6" t="n">
        <x:f>J4855*K4855</x:f>
        <x:v>1</x:v>
      </x:c>
    </x:row>
    <x:row r="4856">
      <x:c r="A4856" s="1" t="n">
        <x:v>37648</x:v>
      </x:c>
      <x:c r="B4856" s="5" t="d">
        <x:v>2016-07-03T00:00:00.000Z</x:v>
      </x:c>
      <x:c r="C4856" s="1" t="str">
        <x:v>Standard Class</x:v>
      </x:c>
      <x:c r="D4856" s="1" t="str">
        <x:v>USCA</x:v>
      </x:c>
      <x:c r="E4856" s="1" t="str">
        <x:v>COMPLETE</x:v>
      </x:c>
      <x:c r="F4856" s="1" t="str">
        <x:v>Shipping on time</x:v>
      </x:c>
      <x:c r="G4856" s="6" t="n">
        <x:v>4</x:v>
      </x:c>
      <x:c r="H4856" s="6" t="n">
        <x:v>4</x:v>
      </x:c>
      <x:c r="I4856" s="6" t="n">
        <x:f>G4856-H4856</x:f>
        <x:v>0</x:v>
      </x:c>
      <x:c r="J4856" s="6" t="n">
        <x:f>IF(OR(E4856="CANCELED",E4856="SUSPECTED_FRAUD",F4856="Shipping canceled"),0,1)</x:f>
        <x:v>1</x:v>
      </x:c>
      <x:c r="K4856" s="6" t="n">
        <x:f>IF(G4856&gt;H4856,1,0)</x:f>
        <x:v>0</x:v>
      </x:c>
      <x:c r="L4856" s="6" t="n">
        <x:f>J4856*K4856</x:f>
        <x:v>0</x:v>
      </x:c>
    </x:row>
    <x:row r="4857">
      <x:c r="A4857" s="1" t="n">
        <x:v>37652</x:v>
      </x:c>
      <x:c r="B4857" s="5" t="d">
        <x:v>2016-07-03T00:00:00.000Z</x:v>
      </x:c>
      <x:c r="C4857" s="1" t="str">
        <x:v>Standard Class</x:v>
      </x:c>
      <x:c r="D4857" s="1" t="str">
        <x:v>USCA</x:v>
      </x:c>
      <x:c r="E4857" s="1" t="str">
        <x:v>PENDING_PAYMENT</x:v>
      </x:c>
      <x:c r="F4857" s="1" t="str">
        <x:v>Advance shipping</x:v>
      </x:c>
      <x:c r="G4857" s="6" t="n">
        <x:v>3</x:v>
      </x:c>
      <x:c r="H4857" s="6" t="n">
        <x:v>4</x:v>
      </x:c>
      <x:c r="I4857" s="6" t="n">
        <x:f>G4857-H4857</x:f>
        <x:v>-1</x:v>
      </x:c>
      <x:c r="J4857" s="6" t="n">
        <x:f>IF(OR(E4857="CANCELED",E4857="SUSPECTED_FRAUD",F4857="Shipping canceled"),0,1)</x:f>
        <x:v>1</x:v>
      </x:c>
      <x:c r="K4857" s="6" t="n">
        <x:f>IF(G4857&gt;H4857,1,0)</x:f>
        <x:v>0</x:v>
      </x:c>
      <x:c r="L4857" s="6" t="n">
        <x:f>J4857*K4857</x:f>
        <x:v>0</x:v>
      </x:c>
    </x:row>
    <x:row r="4858">
      <x:c r="A4858" s="1" t="n">
        <x:v>37655</x:v>
      </x:c>
      <x:c r="B4858" s="5" t="d">
        <x:v>2016-07-03T00:00:00.000Z</x:v>
      </x:c>
      <x:c r="C4858" s="1" t="str">
        <x:v>Standard Class</x:v>
      </x:c>
      <x:c r="D4858" s="1" t="str">
        <x:v>USCA</x:v>
      </x:c>
      <x:c r="E4858" s="1" t="str">
        <x:v>COMPLETE</x:v>
      </x:c>
      <x:c r="F4858" s="1" t="str">
        <x:v>Late delivery</x:v>
      </x:c>
      <x:c r="G4858" s="6" t="n">
        <x:v>6</x:v>
      </x:c>
      <x:c r="H4858" s="6" t="n">
        <x:v>4</x:v>
      </x:c>
      <x:c r="I4858" s="6" t="n">
        <x:f>G4858-H4858</x:f>
        <x:v>2</x:v>
      </x:c>
      <x:c r="J4858" s="6" t="n">
        <x:f>IF(OR(E4858="CANCELED",E4858="SUSPECTED_FRAUD",F4858="Shipping canceled"),0,1)</x:f>
        <x:v>1</x:v>
      </x:c>
      <x:c r="K4858" s="6" t="n">
        <x:f>IF(G4858&gt;H4858,1,0)</x:f>
        <x:v>1</x:v>
      </x:c>
      <x:c r="L4858" s="6" t="n">
        <x:f>J4858*K4858</x:f>
        <x:v>1</x:v>
      </x:c>
    </x:row>
    <x:row r="4859">
      <x:c r="A4859" s="1" t="n">
        <x:v>37669</x:v>
      </x:c>
      <x:c r="B4859" s="5" t="d">
        <x:v>2016-07-03T00:00:00.000Z</x:v>
      </x:c>
      <x:c r="C4859" s="1" t="str">
        <x:v>Second Class</x:v>
      </x:c>
      <x:c r="D4859" s="1" t="str">
        <x:v>USCA</x:v>
      </x:c>
      <x:c r="E4859" s="1" t="str">
        <x:v>PENDING_PAYMENT</x:v>
      </x:c>
      <x:c r="F4859" s="1" t="str">
        <x:v>Late delivery</x:v>
      </x:c>
      <x:c r="G4859" s="6" t="n">
        <x:v>5</x:v>
      </x:c>
      <x:c r="H4859" s="6" t="n">
        <x:v>2</x:v>
      </x:c>
      <x:c r="I4859" s="6" t="n">
        <x:f>G4859-H4859</x:f>
        <x:v>3</x:v>
      </x:c>
      <x:c r="J4859" s="6" t="n">
        <x:f>IF(OR(E4859="CANCELED",E4859="SUSPECTED_FRAUD",F4859="Shipping canceled"),0,1)</x:f>
        <x:v>1</x:v>
      </x:c>
      <x:c r="K4859" s="6" t="n">
        <x:f>IF(G4859&gt;H4859,1,0)</x:f>
        <x:v>1</x:v>
      </x:c>
      <x:c r="L4859" s="6" t="n">
        <x:f>J4859*K4859</x:f>
        <x:v>1</x:v>
      </x:c>
    </x:row>
    <x:row r="4860">
      <x:c r="A4860" s="1" t="n">
        <x:v>37671</x:v>
      </x:c>
      <x:c r="B4860" s="5" t="d">
        <x:v>2016-07-03T00:00:00.000Z</x:v>
      </x:c>
      <x:c r="C4860" s="1" t="str">
        <x:v>Standard Class</x:v>
      </x:c>
      <x:c r="D4860" s="1" t="str">
        <x:v>USCA</x:v>
      </x:c>
      <x:c r="E4860" s="1" t="str">
        <x:v>PENDING</x:v>
      </x:c>
      <x:c r="F4860" s="1" t="str">
        <x:v>Advance shipping</x:v>
      </x:c>
      <x:c r="G4860" s="6" t="n">
        <x:v>2</x:v>
      </x:c>
      <x:c r="H4860" s="6" t="n">
        <x:v>4</x:v>
      </x:c>
      <x:c r="I4860" s="6" t="n">
        <x:f>G4860-H4860</x:f>
        <x:v>-2</x:v>
      </x:c>
      <x:c r="J4860" s="6" t="n">
        <x:f>IF(OR(E4860="CANCELED",E4860="SUSPECTED_FRAUD",F4860="Shipping canceled"),0,1)</x:f>
        <x:v>1</x:v>
      </x:c>
      <x:c r="K4860" s="6" t="n">
        <x:f>IF(G4860&gt;H4860,1,0)</x:f>
        <x:v>0</x:v>
      </x:c>
      <x:c r="L4860" s="6" t="n">
        <x:f>J4860*K4860</x:f>
        <x:v>0</x:v>
      </x:c>
    </x:row>
    <x:row r="4861">
      <x:c r="A4861" s="1" t="n">
        <x:v>37675</x:v>
      </x:c>
      <x:c r="B4861" s="5" t="d">
        <x:v>2016-07-03T00:00:00.000Z</x:v>
      </x:c>
      <x:c r="C4861" s="1" t="str">
        <x:v>Standard Class</x:v>
      </x:c>
      <x:c r="D4861" s="1" t="str">
        <x:v>USCA</x:v>
      </x:c>
      <x:c r="E4861" s="1" t="str">
        <x:v>PROCESSING</x:v>
      </x:c>
      <x:c r="F4861" s="1" t="str">
        <x:v>Late delivery</x:v>
      </x:c>
      <x:c r="G4861" s="6" t="n">
        <x:v>6</x:v>
      </x:c>
      <x:c r="H4861" s="6" t="n">
        <x:v>4</x:v>
      </x:c>
      <x:c r="I4861" s="6" t="n">
        <x:f>G4861-H4861</x:f>
        <x:v>2</x:v>
      </x:c>
      <x:c r="J4861" s="6" t="n">
        <x:f>IF(OR(E4861="CANCELED",E4861="SUSPECTED_FRAUD",F4861="Shipping canceled"),0,1)</x:f>
        <x:v>1</x:v>
      </x:c>
      <x:c r="K4861" s="6" t="n">
        <x:f>IF(G4861&gt;H4861,1,0)</x:f>
        <x:v>1</x:v>
      </x:c>
      <x:c r="L4861" s="6" t="n">
        <x:f>J4861*K4861</x:f>
        <x:v>1</x:v>
      </x:c>
    </x:row>
    <x:row r="4862">
      <x:c r="A4862" s="1" t="n">
        <x:v>37691</x:v>
      </x:c>
      <x:c r="B4862" s="5" t="d">
        <x:v>2016-07-04T00:00:00.000Z</x:v>
      </x:c>
      <x:c r="C4862" s="1" t="str">
        <x:v>Standard Class</x:v>
      </x:c>
      <x:c r="D4862" s="1" t="str">
        <x:v>USCA</x:v>
      </x:c>
      <x:c r="E4862" s="1" t="str">
        <x:v>COMPLETE</x:v>
      </x:c>
      <x:c r="F4862" s="1" t="str">
        <x:v>Advance shipping</x:v>
      </x:c>
      <x:c r="G4862" s="6" t="n">
        <x:v>2</x:v>
      </x:c>
      <x:c r="H4862" s="6" t="n">
        <x:v>4</x:v>
      </x:c>
      <x:c r="I4862" s="6" t="n">
        <x:f>G4862-H4862</x:f>
        <x:v>-2</x:v>
      </x:c>
      <x:c r="J4862" s="6" t="n">
        <x:f>IF(OR(E4862="CANCELED",E4862="SUSPECTED_FRAUD",F4862="Shipping canceled"),0,1)</x:f>
        <x:v>1</x:v>
      </x:c>
      <x:c r="K4862" s="6" t="n">
        <x:f>IF(G4862&gt;H4862,1,0)</x:f>
        <x:v>0</x:v>
      </x:c>
      <x:c r="L4862" s="6" t="n">
        <x:f>J4862*K4862</x:f>
        <x:v>0</x:v>
      </x:c>
    </x:row>
    <x:row r="4863">
      <x:c r="A4863" s="1" t="n">
        <x:v>37702</x:v>
      </x:c>
      <x:c r="B4863" s="5" t="d">
        <x:v>2016-07-04T00:00:00.000Z</x:v>
      </x:c>
      <x:c r="C4863" s="1" t="str">
        <x:v>First Class</x:v>
      </x:c>
      <x:c r="D4863" s="1" t="str">
        <x:v>USCA</x:v>
      </x:c>
      <x:c r="E4863" s="1" t="str">
        <x:v>PENDING</x:v>
      </x:c>
      <x:c r="F4863" s="1" t="str">
        <x:v>Late delivery</x:v>
      </x:c>
      <x:c r="G4863" s="6" t="n">
        <x:v>2</x:v>
      </x:c>
      <x:c r="H4863" s="6" t="n">
        <x:v>1</x:v>
      </x:c>
      <x:c r="I4863" s="6" t="n">
        <x:f>G4863-H4863</x:f>
        <x:v>1</x:v>
      </x:c>
      <x:c r="J4863" s="6" t="n">
        <x:f>IF(OR(E4863="CANCELED",E4863="SUSPECTED_FRAUD",F4863="Shipping canceled"),0,1)</x:f>
        <x:v>1</x:v>
      </x:c>
      <x:c r="K4863" s="6" t="n">
        <x:f>IF(G4863&gt;H4863,1,0)</x:f>
        <x:v>1</x:v>
      </x:c>
      <x:c r="L4863" s="6" t="n">
        <x:f>J4863*K4863</x:f>
        <x:v>1</x:v>
      </x:c>
    </x:row>
    <x:row r="4864">
      <x:c r="A4864" s="1" t="n">
        <x:v>37711</x:v>
      </x:c>
      <x:c r="B4864" s="5" t="d">
        <x:v>2016-07-04T00:00:00.000Z</x:v>
      </x:c>
      <x:c r="C4864" s="1" t="str">
        <x:v>Standard Class</x:v>
      </x:c>
      <x:c r="D4864" s="1" t="str">
        <x:v>USCA</x:v>
      </x:c>
      <x:c r="E4864" s="1" t="str">
        <x:v>CANCELED</x:v>
      </x:c>
      <x:c r="F4864" s="1" t="str">
        <x:v>Shipping canceled</x:v>
      </x:c>
      <x:c r="G4864" s="6" t="n">
        <x:v>2</x:v>
      </x:c>
      <x:c r="H4864" s="6" t="n">
        <x:v>4</x:v>
      </x:c>
      <x:c r="I4864" s="6" t="n">
        <x:f>G4864-H4864</x:f>
        <x:v>-2</x:v>
      </x:c>
      <x:c r="J4864" s="6" t="n">
        <x:f>IF(OR(E4864="CANCELED",E4864="SUSPECTED_FRAUD",F4864="Shipping canceled"),0,1)</x:f>
        <x:v>0</x:v>
      </x:c>
      <x:c r="K4864" s="6" t="n">
        <x:f>IF(G4864&gt;H4864,1,0)</x:f>
        <x:v>0</x:v>
      </x:c>
      <x:c r="L4864" s="6" t="n">
        <x:f>J4864*K4864</x:f>
        <x:v>0</x:v>
      </x:c>
    </x:row>
    <x:row r="4865">
      <x:c r="A4865" s="1" t="n">
        <x:v>37713</x:v>
      </x:c>
      <x:c r="B4865" s="5" t="d">
        <x:v>2016-07-04T00:00:00.000Z</x:v>
      </x:c>
      <x:c r="C4865" s="1" t="str">
        <x:v>Standard Class</x:v>
      </x:c>
      <x:c r="D4865" s="1" t="str">
        <x:v>USCA</x:v>
      </x:c>
      <x:c r="E4865" s="1" t="str">
        <x:v>COMPLETE</x:v>
      </x:c>
      <x:c r="F4865" s="1" t="str">
        <x:v>Shipping on time</x:v>
      </x:c>
      <x:c r="G4865" s="6" t="n">
        <x:v>4</x:v>
      </x:c>
      <x:c r="H4865" s="6" t="n">
        <x:v>4</x:v>
      </x:c>
      <x:c r="I4865" s="6" t="n">
        <x:f>G4865-H4865</x:f>
        <x:v>0</x:v>
      </x:c>
      <x:c r="J4865" s="6" t="n">
        <x:f>IF(OR(E4865="CANCELED",E4865="SUSPECTED_FRAUD",F4865="Shipping canceled"),0,1)</x:f>
        <x:v>1</x:v>
      </x:c>
      <x:c r="K4865" s="6" t="n">
        <x:f>IF(G4865&gt;H4865,1,0)</x:f>
        <x:v>0</x:v>
      </x:c>
      <x:c r="L4865" s="6" t="n">
        <x:f>J4865*K4865</x:f>
        <x:v>0</x:v>
      </x:c>
    </x:row>
    <x:row r="4866">
      <x:c r="A4866" s="1" t="n">
        <x:v>37714</x:v>
      </x:c>
      <x:c r="B4866" s="5" t="d">
        <x:v>2016-07-04T00:00:00.000Z</x:v>
      </x:c>
      <x:c r="C4866" s="1" t="str">
        <x:v>Standard Class</x:v>
      </x:c>
      <x:c r="D4866" s="1" t="str">
        <x:v>USCA</x:v>
      </x:c>
      <x:c r="E4866" s="1" t="str">
        <x:v>PROCESSING</x:v>
      </x:c>
      <x:c r="F4866" s="1" t="str">
        <x:v>Late delivery</x:v>
      </x:c>
      <x:c r="G4866" s="6" t="n">
        <x:v>5</x:v>
      </x:c>
      <x:c r="H4866" s="6" t="n">
        <x:v>4</x:v>
      </x:c>
      <x:c r="I4866" s="6" t="n">
        <x:f>G4866-H4866</x:f>
        <x:v>1</x:v>
      </x:c>
      <x:c r="J4866" s="6" t="n">
        <x:f>IF(OR(E4866="CANCELED",E4866="SUSPECTED_FRAUD",F4866="Shipping canceled"),0,1)</x:f>
        <x:v>1</x:v>
      </x:c>
      <x:c r="K4866" s="6" t="n">
        <x:f>IF(G4866&gt;H4866,1,0)</x:f>
        <x:v>1</x:v>
      </x:c>
      <x:c r="L4866" s="6" t="n">
        <x:f>J4866*K4866</x:f>
        <x:v>1</x:v>
      </x:c>
    </x:row>
    <x:row r="4867">
      <x:c r="A4867" s="1" t="n">
        <x:v>37718</x:v>
      </x:c>
      <x:c r="B4867" s="5" t="d">
        <x:v>2016-07-04T00:00:00.000Z</x:v>
      </x:c>
      <x:c r="C4867" s="1" t="str">
        <x:v>Standard Class</x:v>
      </x:c>
      <x:c r="D4867" s="1" t="str">
        <x:v>USCA</x:v>
      </x:c>
      <x:c r="E4867" s="1" t="str">
        <x:v>CANCELED</x:v>
      </x:c>
      <x:c r="F4867" s="1" t="str">
        <x:v>Shipping canceled</x:v>
      </x:c>
      <x:c r="G4867" s="6" t="n">
        <x:v>4</x:v>
      </x:c>
      <x:c r="H4867" s="6" t="n">
        <x:v>4</x:v>
      </x:c>
      <x:c r="I4867" s="6" t="n">
        <x:f>G4867-H4867</x:f>
        <x:v>0</x:v>
      </x:c>
      <x:c r="J4867" s="6" t="n">
        <x:f>IF(OR(E4867="CANCELED",E4867="SUSPECTED_FRAUD",F4867="Shipping canceled"),0,1)</x:f>
        <x:v>0</x:v>
      </x:c>
      <x:c r="K4867" s="6" t="n">
        <x:f>IF(G4867&gt;H4867,1,0)</x:f>
        <x:v>0</x:v>
      </x:c>
      <x:c r="L4867" s="6" t="n">
        <x:f>J4867*K4867</x:f>
        <x:v>0</x:v>
      </x:c>
    </x:row>
    <x:row r="4868">
      <x:c r="A4868" s="1" t="n">
        <x:v>37749</x:v>
      </x:c>
      <x:c r="B4868" s="5" t="d">
        <x:v>2016-07-05T00:00:00.000Z</x:v>
      </x:c>
      <x:c r="C4868" s="1" t="str">
        <x:v>Standard Class</x:v>
      </x:c>
      <x:c r="D4868" s="1" t="str">
        <x:v>USCA</x:v>
      </x:c>
      <x:c r="E4868" s="1" t="str">
        <x:v>COMPLETE</x:v>
      </x:c>
      <x:c r="F4868" s="1" t="str">
        <x:v>Late delivery</x:v>
      </x:c>
      <x:c r="G4868" s="6" t="n">
        <x:v>5</x:v>
      </x:c>
      <x:c r="H4868" s="6" t="n">
        <x:v>4</x:v>
      </x:c>
      <x:c r="I4868" s="6" t="n">
        <x:f>G4868-H4868</x:f>
        <x:v>1</x:v>
      </x:c>
      <x:c r="J4868" s="6" t="n">
        <x:f>IF(OR(E4868="CANCELED",E4868="SUSPECTED_FRAUD",F4868="Shipping canceled"),0,1)</x:f>
        <x:v>1</x:v>
      </x:c>
      <x:c r="K4868" s="6" t="n">
        <x:f>IF(G4868&gt;H4868,1,0)</x:f>
        <x:v>1</x:v>
      </x:c>
      <x:c r="L4868" s="6" t="n">
        <x:f>J4868*K4868</x:f>
        <x:v>1</x:v>
      </x:c>
    </x:row>
    <x:row r="4869">
      <x:c r="A4869" s="1" t="n">
        <x:v>37753</x:v>
      </x:c>
      <x:c r="B4869" s="5" t="d">
        <x:v>2016-07-05T00:00:00.000Z</x:v>
      </x:c>
      <x:c r="C4869" s="1" t="str">
        <x:v>Standard Class</x:v>
      </x:c>
      <x:c r="D4869" s="1" t="str">
        <x:v>USCA</x:v>
      </x:c>
      <x:c r="E4869" s="1" t="str">
        <x:v>COMPLETE</x:v>
      </x:c>
      <x:c r="F4869" s="1" t="str">
        <x:v>Shipping on time</x:v>
      </x:c>
      <x:c r="G4869" s="6" t="n">
        <x:v>4</x:v>
      </x:c>
      <x:c r="H4869" s="6" t="n">
        <x:v>4</x:v>
      </x:c>
      <x:c r="I4869" s="6" t="n">
        <x:f>G4869-H4869</x:f>
        <x:v>0</x:v>
      </x:c>
      <x:c r="J4869" s="6" t="n">
        <x:f>IF(OR(E4869="CANCELED",E4869="SUSPECTED_FRAUD",F4869="Shipping canceled"),0,1)</x:f>
        <x:v>1</x:v>
      </x:c>
      <x:c r="K4869" s="6" t="n">
        <x:f>IF(G4869&gt;H4869,1,0)</x:f>
        <x:v>0</x:v>
      </x:c>
      <x:c r="L4869" s="6" t="n">
        <x:f>J4869*K4869</x:f>
        <x:v>0</x:v>
      </x:c>
    </x:row>
    <x:row r="4870">
      <x:c r="A4870" s="1" t="n">
        <x:v>37756</x:v>
      </x:c>
      <x:c r="B4870" s="5" t="d">
        <x:v>2016-07-05T00:00:00.000Z</x:v>
      </x:c>
      <x:c r="C4870" s="1" t="str">
        <x:v>Second Class</x:v>
      </x:c>
      <x:c r="D4870" s="1" t="str">
        <x:v>USCA</x:v>
      </x:c>
      <x:c r="E4870" s="1" t="str">
        <x:v>COMPLETE</x:v>
      </x:c>
      <x:c r="F4870" s="1" t="str">
        <x:v>Shipping on time</x:v>
      </x:c>
      <x:c r="G4870" s="6" t="n">
        <x:v>2</x:v>
      </x:c>
      <x:c r="H4870" s="6" t="n">
        <x:v>2</x:v>
      </x:c>
      <x:c r="I4870" s="6" t="n">
        <x:f>G4870-H4870</x:f>
        <x:v>0</x:v>
      </x:c>
      <x:c r="J4870" s="6" t="n">
        <x:f>IF(OR(E4870="CANCELED",E4870="SUSPECTED_FRAUD",F4870="Shipping canceled"),0,1)</x:f>
        <x:v>1</x:v>
      </x:c>
      <x:c r="K4870" s="6" t="n">
        <x:f>IF(G4870&gt;H4870,1,0)</x:f>
        <x:v>0</x:v>
      </x:c>
      <x:c r="L4870" s="6" t="n">
        <x:f>J4870*K4870</x:f>
        <x:v>0</x:v>
      </x:c>
    </x:row>
    <x:row r="4871">
      <x:c r="A4871" s="1" t="n">
        <x:v>37757</x:v>
      </x:c>
      <x:c r="B4871" s="5" t="d">
        <x:v>2016-07-05T00:00:00.000Z</x:v>
      </x:c>
      <x:c r="C4871" s="1" t="str">
        <x:v>Second Class</x:v>
      </x:c>
      <x:c r="D4871" s="1" t="str">
        <x:v>USCA</x:v>
      </x:c>
      <x:c r="E4871" s="1" t="str">
        <x:v>PENDING</x:v>
      </x:c>
      <x:c r="F4871" s="1" t="str">
        <x:v>Late delivery</x:v>
      </x:c>
      <x:c r="G4871" s="6" t="n">
        <x:v>3</x:v>
      </x:c>
      <x:c r="H4871" s="6" t="n">
        <x:v>2</x:v>
      </x:c>
      <x:c r="I4871" s="6" t="n">
        <x:f>G4871-H4871</x:f>
        <x:v>1</x:v>
      </x:c>
      <x:c r="J4871" s="6" t="n">
        <x:f>IF(OR(E4871="CANCELED",E4871="SUSPECTED_FRAUD",F4871="Shipping canceled"),0,1)</x:f>
        <x:v>1</x:v>
      </x:c>
      <x:c r="K4871" s="6" t="n">
        <x:f>IF(G4871&gt;H4871,1,0)</x:f>
        <x:v>1</x:v>
      </x:c>
      <x:c r="L4871" s="6" t="n">
        <x:f>J4871*K4871</x:f>
        <x:v>1</x:v>
      </x:c>
    </x:row>
    <x:row r="4872">
      <x:c r="A4872" s="1" t="n">
        <x:v>37763</x:v>
      </x:c>
      <x:c r="B4872" s="5" t="d">
        <x:v>2016-07-05T00:00:00.000Z</x:v>
      </x:c>
      <x:c r="C4872" s="1" t="str">
        <x:v>Second Class</x:v>
      </x:c>
      <x:c r="D4872" s="1" t="str">
        <x:v>USCA</x:v>
      </x:c>
      <x:c r="E4872" s="1" t="str">
        <x:v>PENDING_PAYMENT</x:v>
      </x:c>
      <x:c r="F4872" s="1" t="str">
        <x:v>Late delivery</x:v>
      </x:c>
      <x:c r="G4872" s="6" t="n">
        <x:v>4</x:v>
      </x:c>
      <x:c r="H4872" s="6" t="n">
        <x:v>2</x:v>
      </x:c>
      <x:c r="I4872" s="6" t="n">
        <x:f>G4872-H4872</x:f>
        <x:v>2</x:v>
      </x:c>
      <x:c r="J4872" s="6" t="n">
        <x:f>IF(OR(E4872="CANCELED",E4872="SUSPECTED_FRAUD",F4872="Shipping canceled"),0,1)</x:f>
        <x:v>1</x:v>
      </x:c>
      <x:c r="K4872" s="6" t="n">
        <x:f>IF(G4872&gt;H4872,1,0)</x:f>
        <x:v>1</x:v>
      </x:c>
      <x:c r="L4872" s="6" t="n">
        <x:f>J4872*K4872</x:f>
        <x:v>1</x:v>
      </x:c>
    </x:row>
    <x:row r="4873">
      <x:c r="A4873" s="1" t="n">
        <x:v>37765</x:v>
      </x:c>
      <x:c r="B4873" s="5" t="d">
        <x:v>2016-07-05T00:00:00.000Z</x:v>
      </x:c>
      <x:c r="C4873" s="1" t="str">
        <x:v>Second Class</x:v>
      </x:c>
      <x:c r="D4873" s="1" t="str">
        <x:v>USCA</x:v>
      </x:c>
      <x:c r="E4873" s="1" t="str">
        <x:v>COMPLETE</x:v>
      </x:c>
      <x:c r="F4873" s="1" t="str">
        <x:v>Late delivery</x:v>
      </x:c>
      <x:c r="G4873" s="6" t="n">
        <x:v>6</x:v>
      </x:c>
      <x:c r="H4873" s="6" t="n">
        <x:v>2</x:v>
      </x:c>
      <x:c r="I4873" s="6" t="n">
        <x:f>G4873-H4873</x:f>
        <x:v>4</x:v>
      </x:c>
      <x:c r="J4873" s="6" t="n">
        <x:f>IF(OR(E4873="CANCELED",E4873="SUSPECTED_FRAUD",F4873="Shipping canceled"),0,1)</x:f>
        <x:v>1</x:v>
      </x:c>
      <x:c r="K4873" s="6" t="n">
        <x:f>IF(G4873&gt;H4873,1,0)</x:f>
        <x:v>1</x:v>
      </x:c>
      <x:c r="L4873" s="6" t="n">
        <x:f>J4873*K4873</x:f>
        <x:v>1</x:v>
      </x:c>
    </x:row>
    <x:row r="4874">
      <x:c r="A4874" s="1" t="n">
        <x:v>37779</x:v>
      </x:c>
      <x:c r="B4874" s="5" t="d">
        <x:v>2016-07-05T00:00:00.000Z</x:v>
      </x:c>
      <x:c r="C4874" s="1" t="str">
        <x:v>Second Class</x:v>
      </x:c>
      <x:c r="D4874" s="1" t="str">
        <x:v>USCA</x:v>
      </x:c>
      <x:c r="E4874" s="1" t="str">
        <x:v>ON_HOLD</x:v>
      </x:c>
      <x:c r="F4874" s="1" t="str">
        <x:v>Late delivery</x:v>
      </x:c>
      <x:c r="G4874" s="6" t="n">
        <x:v>5</x:v>
      </x:c>
      <x:c r="H4874" s="6" t="n">
        <x:v>2</x:v>
      </x:c>
      <x:c r="I4874" s="6" t="n">
        <x:f>G4874-H4874</x:f>
        <x:v>3</x:v>
      </x:c>
      <x:c r="J4874" s="6" t="n">
        <x:f>IF(OR(E4874="CANCELED",E4874="SUSPECTED_FRAUD",F4874="Shipping canceled"),0,1)</x:f>
        <x:v>1</x:v>
      </x:c>
      <x:c r="K4874" s="6" t="n">
        <x:f>IF(G4874&gt;H4874,1,0)</x:f>
        <x:v>1</x:v>
      </x:c>
      <x:c r="L4874" s="6" t="n">
        <x:f>J4874*K4874</x:f>
        <x:v>1</x:v>
      </x:c>
    </x:row>
    <x:row r="4875">
      <x:c r="A4875" s="1" t="n">
        <x:v>37800</x:v>
      </x:c>
      <x:c r="B4875" s="5" t="d">
        <x:v>2016-07-05T00:00:00.000Z</x:v>
      </x:c>
      <x:c r="C4875" s="1" t="str">
        <x:v>First Class</x:v>
      </x:c>
      <x:c r="D4875" s="1" t="str">
        <x:v>USCA</x:v>
      </x:c>
      <x:c r="E4875" s="1" t="str">
        <x:v>CANCELED</x:v>
      </x:c>
      <x:c r="F4875" s="1" t="str">
        <x:v>Shipping canceled</x:v>
      </x:c>
      <x:c r="G4875" s="6" t="n">
        <x:v>2</x:v>
      </x:c>
      <x:c r="H4875" s="6" t="n">
        <x:v>1</x:v>
      </x:c>
      <x:c r="I4875" s="6" t="n">
        <x:f>G4875-H4875</x:f>
        <x:v>1</x:v>
      </x:c>
      <x:c r="J4875" s="6" t="n">
        <x:f>IF(OR(E4875="CANCELED",E4875="SUSPECTED_FRAUD",F4875="Shipping canceled"),0,1)</x:f>
        <x:v>0</x:v>
      </x:c>
      <x:c r="K4875" s="6" t="n">
        <x:f>IF(G4875&gt;H4875,1,0)</x:f>
        <x:v>1</x:v>
      </x:c>
      <x:c r="L4875" s="6" t="n">
        <x:f>J4875*K4875</x:f>
        <x:v>0</x:v>
      </x:c>
    </x:row>
    <x:row r="4876">
      <x:c r="A4876" s="1" t="n">
        <x:v>37804</x:v>
      </x:c>
      <x:c r="B4876" s="5" t="d">
        <x:v>2016-07-05T00:00:00.000Z</x:v>
      </x:c>
      <x:c r="C4876" s="1" t="str">
        <x:v>Second Class</x:v>
      </x:c>
      <x:c r="D4876" s="1" t="str">
        <x:v>USCA</x:v>
      </x:c>
      <x:c r="E4876" s="1" t="str">
        <x:v>PENDING</x:v>
      </x:c>
      <x:c r="F4876" s="1" t="str">
        <x:v>Late delivery</x:v>
      </x:c>
      <x:c r="G4876" s="6" t="n">
        <x:v>5</x:v>
      </x:c>
      <x:c r="H4876" s="6" t="n">
        <x:v>2</x:v>
      </x:c>
      <x:c r="I4876" s="6" t="n">
        <x:f>G4876-H4876</x:f>
        <x:v>3</x:v>
      </x:c>
      <x:c r="J4876" s="6" t="n">
        <x:f>IF(OR(E4876="CANCELED",E4876="SUSPECTED_FRAUD",F4876="Shipping canceled"),0,1)</x:f>
        <x:v>1</x:v>
      </x:c>
      <x:c r="K4876" s="6" t="n">
        <x:f>IF(G4876&gt;H4876,1,0)</x:f>
        <x:v>1</x:v>
      </x:c>
      <x:c r="L4876" s="6" t="n">
        <x:f>J4876*K4876</x:f>
        <x:v>1</x:v>
      </x:c>
    </x:row>
    <x:row r="4877">
      <x:c r="A4877" s="1" t="n">
        <x:v>37827</x:v>
      </x:c>
      <x:c r="B4877" s="5" t="d">
        <x:v>2016-07-06T00:00:00.000Z</x:v>
      </x:c>
      <x:c r="C4877" s="1" t="str">
        <x:v>Standard Class</x:v>
      </x:c>
      <x:c r="D4877" s="1" t="str">
        <x:v>USCA</x:v>
      </x:c>
      <x:c r="E4877" s="1" t="str">
        <x:v>PROCESSING</x:v>
      </x:c>
      <x:c r="F4877" s="1" t="str">
        <x:v>Advance shipping</x:v>
      </x:c>
      <x:c r="G4877" s="6" t="n">
        <x:v>3</x:v>
      </x:c>
      <x:c r="H4877" s="6" t="n">
        <x:v>4</x:v>
      </x:c>
      <x:c r="I4877" s="6" t="n">
        <x:f>G4877-H4877</x:f>
        <x:v>-1</x:v>
      </x:c>
      <x:c r="J4877" s="6" t="n">
        <x:f>IF(OR(E4877="CANCELED",E4877="SUSPECTED_FRAUD",F4877="Shipping canceled"),0,1)</x:f>
        <x:v>1</x:v>
      </x:c>
      <x:c r="K4877" s="6" t="n">
        <x:f>IF(G4877&gt;H4877,1,0)</x:f>
        <x:v>0</x:v>
      </x:c>
      <x:c r="L4877" s="6" t="n">
        <x:f>J4877*K4877</x:f>
        <x:v>0</x:v>
      </x:c>
    </x:row>
    <x:row r="4878">
      <x:c r="A4878" s="1" t="n">
        <x:v>37828</x:v>
      </x:c>
      <x:c r="B4878" s="5" t="d">
        <x:v>2016-07-06T00:00:00.000Z</x:v>
      </x:c>
      <x:c r="C4878" s="1" t="str">
        <x:v>Standard Class</x:v>
      </x:c>
      <x:c r="D4878" s="1" t="str">
        <x:v>USCA</x:v>
      </x:c>
      <x:c r="E4878" s="1" t="str">
        <x:v>COMPLETE</x:v>
      </x:c>
      <x:c r="F4878" s="1" t="str">
        <x:v>Shipping on time</x:v>
      </x:c>
      <x:c r="G4878" s="6" t="n">
        <x:v>4</x:v>
      </x:c>
      <x:c r="H4878" s="6" t="n">
        <x:v>4</x:v>
      </x:c>
      <x:c r="I4878" s="6" t="n">
        <x:f>G4878-H4878</x:f>
        <x:v>0</x:v>
      </x:c>
      <x:c r="J4878" s="6" t="n">
        <x:f>IF(OR(E4878="CANCELED",E4878="SUSPECTED_FRAUD",F4878="Shipping canceled"),0,1)</x:f>
        <x:v>1</x:v>
      </x:c>
      <x:c r="K4878" s="6" t="n">
        <x:f>IF(G4878&gt;H4878,1,0)</x:f>
        <x:v>0</x:v>
      </x:c>
      <x:c r="L4878" s="6" t="n">
        <x:f>J4878*K4878</x:f>
        <x:v>0</x:v>
      </x:c>
    </x:row>
    <x:row r="4879">
      <x:c r="A4879" s="1" t="n">
        <x:v>37829</x:v>
      </x:c>
      <x:c r="B4879" s="5" t="d">
        <x:v>2016-07-06T00:00:00.000Z</x:v>
      </x:c>
      <x:c r="C4879" s="1" t="str">
        <x:v>Standard Class</x:v>
      </x:c>
      <x:c r="D4879" s="1" t="str">
        <x:v>USCA</x:v>
      </x:c>
      <x:c r="E4879" s="1" t="str">
        <x:v>PENDING</x:v>
      </x:c>
      <x:c r="F4879" s="1" t="str">
        <x:v>Late delivery</x:v>
      </x:c>
      <x:c r="G4879" s="6" t="n">
        <x:v>5</x:v>
      </x:c>
      <x:c r="H4879" s="6" t="n">
        <x:v>4</x:v>
      </x:c>
      <x:c r="I4879" s="6" t="n">
        <x:f>G4879-H4879</x:f>
        <x:v>1</x:v>
      </x:c>
      <x:c r="J4879" s="6" t="n">
        <x:f>IF(OR(E4879="CANCELED",E4879="SUSPECTED_FRAUD",F4879="Shipping canceled"),0,1)</x:f>
        <x:v>1</x:v>
      </x:c>
      <x:c r="K4879" s="6" t="n">
        <x:f>IF(G4879&gt;H4879,1,0)</x:f>
        <x:v>1</x:v>
      </x:c>
      <x:c r="L4879" s="6" t="n">
        <x:f>J4879*K4879</x:f>
        <x:v>1</x:v>
      </x:c>
    </x:row>
    <x:row r="4880">
      <x:c r="A4880" s="1" t="n">
        <x:v>37845</x:v>
      </x:c>
      <x:c r="B4880" s="5" t="d">
        <x:v>2016-07-06T00:00:00.000Z</x:v>
      </x:c>
      <x:c r="C4880" s="1" t="str">
        <x:v>Standard Class</x:v>
      </x:c>
      <x:c r="D4880" s="1" t="str">
        <x:v>USCA</x:v>
      </x:c>
      <x:c r="E4880" s="1" t="str">
        <x:v>SUSPECTED_FRAUD</x:v>
      </x:c>
      <x:c r="F4880" s="1" t="str">
        <x:v>Shipping canceled</x:v>
      </x:c>
      <x:c r="G4880" s="6" t="n">
        <x:v>6</x:v>
      </x:c>
      <x:c r="H4880" s="6" t="n">
        <x:v>4</x:v>
      </x:c>
      <x:c r="I4880" s="6" t="n">
        <x:f>G4880-H4880</x:f>
        <x:v>2</x:v>
      </x:c>
      <x:c r="J4880" s="6" t="n">
        <x:f>IF(OR(E4880="CANCELED",E4880="SUSPECTED_FRAUD",F4880="Shipping canceled"),0,1)</x:f>
        <x:v>0</x:v>
      </x:c>
      <x:c r="K4880" s="6" t="n">
        <x:f>IF(G4880&gt;H4880,1,0)</x:f>
        <x:v>1</x:v>
      </x:c>
      <x:c r="L4880" s="6" t="n">
        <x:f>J4880*K4880</x:f>
        <x:v>0</x:v>
      </x:c>
    </x:row>
    <x:row r="4881">
      <x:c r="A4881" s="1" t="n">
        <x:v>37847</x:v>
      </x:c>
      <x:c r="B4881" s="5" t="d">
        <x:v>2016-07-06T00:00:00.000Z</x:v>
      </x:c>
      <x:c r="C4881" s="1" t="str">
        <x:v>Standard Class</x:v>
      </x:c>
      <x:c r="D4881" s="1" t="str">
        <x:v>USCA</x:v>
      </x:c>
      <x:c r="E4881" s="1" t="str">
        <x:v>COMPLETE</x:v>
      </x:c>
      <x:c r="F4881" s="1" t="str">
        <x:v>Advance shipping</x:v>
      </x:c>
      <x:c r="G4881" s="6" t="n">
        <x:v>3</x:v>
      </x:c>
      <x:c r="H4881" s="6" t="n">
        <x:v>4</x:v>
      </x:c>
      <x:c r="I4881" s="6" t="n">
        <x:f>G4881-H4881</x:f>
        <x:v>-1</x:v>
      </x:c>
      <x:c r="J4881" s="6" t="n">
        <x:f>IF(OR(E4881="CANCELED",E4881="SUSPECTED_FRAUD",F4881="Shipping canceled"),0,1)</x:f>
        <x:v>1</x:v>
      </x:c>
      <x:c r="K4881" s="6" t="n">
        <x:f>IF(G4881&gt;H4881,1,0)</x:f>
        <x:v>0</x:v>
      </x:c>
      <x:c r="L4881" s="6" t="n">
        <x:f>J4881*K4881</x:f>
        <x:v>0</x:v>
      </x:c>
    </x:row>
    <x:row r="4882">
      <x:c r="A4882" s="1" t="n">
        <x:v>37862</x:v>
      </x:c>
      <x:c r="B4882" s="5" t="d">
        <x:v>2016-07-06T00:00:00.000Z</x:v>
      </x:c>
      <x:c r="C4882" s="1" t="str">
        <x:v>Second Class</x:v>
      </x:c>
      <x:c r="D4882" s="1" t="str">
        <x:v>USCA</x:v>
      </x:c>
      <x:c r="E4882" s="1" t="str">
        <x:v>COMPLETE</x:v>
      </x:c>
      <x:c r="F4882" s="1" t="str">
        <x:v>Late delivery</x:v>
      </x:c>
      <x:c r="G4882" s="6" t="n">
        <x:v>3</x:v>
      </x:c>
      <x:c r="H4882" s="6" t="n">
        <x:v>2</x:v>
      </x:c>
      <x:c r="I4882" s="6" t="n">
        <x:f>G4882-H4882</x:f>
        <x:v>1</x:v>
      </x:c>
      <x:c r="J4882" s="6" t="n">
        <x:f>IF(OR(E4882="CANCELED",E4882="SUSPECTED_FRAUD",F4882="Shipping canceled"),0,1)</x:f>
        <x:v>1</x:v>
      </x:c>
      <x:c r="K4882" s="6" t="n">
        <x:f>IF(G4882&gt;H4882,1,0)</x:f>
        <x:v>1</x:v>
      </x:c>
      <x:c r="L4882" s="6" t="n">
        <x:f>J4882*K4882</x:f>
        <x:v>1</x:v>
      </x:c>
    </x:row>
    <x:row r="4883">
      <x:c r="A4883" s="1" t="n">
        <x:v>37863</x:v>
      </x:c>
      <x:c r="B4883" s="5" t="d">
        <x:v>2016-07-06T00:00:00.000Z</x:v>
      </x:c>
      <x:c r="C4883" s="1" t="str">
        <x:v>Second Class</x:v>
      </x:c>
      <x:c r="D4883" s="1" t="str">
        <x:v>USCA</x:v>
      </x:c>
      <x:c r="E4883" s="1" t="str">
        <x:v>COMPLETE</x:v>
      </x:c>
      <x:c r="F4883" s="1" t="str">
        <x:v>Late delivery</x:v>
      </x:c>
      <x:c r="G4883" s="6" t="n">
        <x:v>4</x:v>
      </x:c>
      <x:c r="H4883" s="6" t="n">
        <x:v>2</x:v>
      </x:c>
      <x:c r="I4883" s="6" t="n">
        <x:f>G4883-H4883</x:f>
        <x:v>2</x:v>
      </x:c>
      <x:c r="J4883" s="6" t="n">
        <x:f>IF(OR(E4883="CANCELED",E4883="SUSPECTED_FRAUD",F4883="Shipping canceled"),0,1)</x:f>
        <x:v>1</x:v>
      </x:c>
      <x:c r="K4883" s="6" t="n">
        <x:f>IF(G4883&gt;H4883,1,0)</x:f>
        <x:v>1</x:v>
      </x:c>
      <x:c r="L4883" s="6" t="n">
        <x:f>J4883*K4883</x:f>
        <x:v>1</x:v>
      </x:c>
    </x:row>
    <x:row r="4884">
      <x:c r="A4884" s="1" t="n">
        <x:v>37867</x:v>
      </x:c>
      <x:c r="B4884" s="5" t="d">
        <x:v>2016-07-06T00:00:00.000Z</x:v>
      </x:c>
      <x:c r="C4884" s="1" t="str">
        <x:v>Second Class</x:v>
      </x:c>
      <x:c r="D4884" s="1" t="str">
        <x:v>USCA</x:v>
      </x:c>
      <x:c r="E4884" s="1" t="str">
        <x:v>PENDING_PAYMENT</x:v>
      </x:c>
      <x:c r="F4884" s="1" t="str">
        <x:v>Late delivery</x:v>
      </x:c>
      <x:c r="G4884" s="6" t="n">
        <x:v>3</x:v>
      </x:c>
      <x:c r="H4884" s="6" t="n">
        <x:v>2</x:v>
      </x:c>
      <x:c r="I4884" s="6" t="n">
        <x:f>G4884-H4884</x:f>
        <x:v>1</x:v>
      </x:c>
      <x:c r="J4884" s="6" t="n">
        <x:f>IF(OR(E4884="CANCELED",E4884="SUSPECTED_FRAUD",F4884="Shipping canceled"),0,1)</x:f>
        <x:v>1</x:v>
      </x:c>
      <x:c r="K4884" s="6" t="n">
        <x:f>IF(G4884&gt;H4884,1,0)</x:f>
        <x:v>1</x:v>
      </x:c>
      <x:c r="L4884" s="6" t="n">
        <x:f>J4884*K4884</x:f>
        <x:v>1</x:v>
      </x:c>
    </x:row>
    <x:row r="4885">
      <x:c r="A4885" s="1" t="n">
        <x:v>37875</x:v>
      </x:c>
      <x:c r="B4885" s="5" t="d">
        <x:v>2016-07-06T00:00:00.000Z</x:v>
      </x:c>
      <x:c r="C4885" s="1" t="str">
        <x:v>Second Class</x:v>
      </x:c>
      <x:c r="D4885" s="1" t="str">
        <x:v>USCA</x:v>
      </x:c>
      <x:c r="E4885" s="1" t="str">
        <x:v>CLOSED</x:v>
      </x:c>
      <x:c r="F4885" s="1" t="str">
        <x:v>Late delivery</x:v>
      </x:c>
      <x:c r="G4885" s="6" t="n">
        <x:v>6</x:v>
      </x:c>
      <x:c r="H4885" s="6" t="n">
        <x:v>2</x:v>
      </x:c>
      <x:c r="I4885" s="6" t="n">
        <x:f>G4885-H4885</x:f>
        <x:v>4</x:v>
      </x:c>
      <x:c r="J4885" s="6" t="n">
        <x:f>IF(OR(E4885="CANCELED",E4885="SUSPECTED_FRAUD",F4885="Shipping canceled"),0,1)</x:f>
        <x:v>1</x:v>
      </x:c>
      <x:c r="K4885" s="6" t="n">
        <x:f>IF(G4885&gt;H4885,1,0)</x:f>
        <x:v>1</x:v>
      </x:c>
      <x:c r="L4885" s="6" t="n">
        <x:f>J4885*K4885</x:f>
        <x:v>1</x:v>
      </x:c>
    </x:row>
    <x:row r="4886">
      <x:c r="A4886" s="1" t="n">
        <x:v>37879</x:v>
      </x:c>
      <x:c r="B4886" s="5" t="d">
        <x:v>2016-07-06T00:00:00.000Z</x:v>
      </x:c>
      <x:c r="C4886" s="1" t="str">
        <x:v>Standard Class</x:v>
      </x:c>
      <x:c r="D4886" s="1" t="str">
        <x:v>USCA</x:v>
      </x:c>
      <x:c r="E4886" s="1" t="str">
        <x:v>ON_HOLD</x:v>
      </x:c>
      <x:c r="F4886" s="1" t="str">
        <x:v>Late delivery</x:v>
      </x:c>
      <x:c r="G4886" s="6" t="n">
        <x:v>5</x:v>
      </x:c>
      <x:c r="H4886" s="6" t="n">
        <x:v>4</x:v>
      </x:c>
      <x:c r="I4886" s="6" t="n">
        <x:f>G4886-H4886</x:f>
        <x:v>1</x:v>
      </x:c>
      <x:c r="J4886" s="6" t="n">
        <x:f>IF(OR(E4886="CANCELED",E4886="SUSPECTED_FRAUD",F4886="Shipping canceled"),0,1)</x:f>
        <x:v>1</x:v>
      </x:c>
      <x:c r="K4886" s="6" t="n">
        <x:f>IF(G4886&gt;H4886,1,0)</x:f>
        <x:v>1</x:v>
      </x:c>
      <x:c r="L4886" s="6" t="n">
        <x:f>J4886*K4886</x:f>
        <x:v>1</x:v>
      </x:c>
    </x:row>
    <x:row r="4887">
      <x:c r="A4887" s="1" t="n">
        <x:v>37882</x:v>
      </x:c>
      <x:c r="B4887" s="5" t="d">
        <x:v>2016-07-06T00:00:00.000Z</x:v>
      </x:c>
      <x:c r="C4887" s="1" t="str">
        <x:v>Standard Class</x:v>
      </x:c>
      <x:c r="D4887" s="1" t="str">
        <x:v>USCA</x:v>
      </x:c>
      <x:c r="E4887" s="1" t="str">
        <x:v>COMPLETE</x:v>
      </x:c>
      <x:c r="F4887" s="1" t="str">
        <x:v>Advance shipping</x:v>
      </x:c>
      <x:c r="G4887" s="6" t="n">
        <x:v>3</x:v>
      </x:c>
      <x:c r="H4887" s="6" t="n">
        <x:v>4</x:v>
      </x:c>
      <x:c r="I4887" s="6" t="n">
        <x:f>G4887-H4887</x:f>
        <x:v>-1</x:v>
      </x:c>
      <x:c r="J4887" s="6" t="n">
        <x:f>IF(OR(E4887="CANCELED",E4887="SUSPECTED_FRAUD",F4887="Shipping canceled"),0,1)</x:f>
        <x:v>1</x:v>
      </x:c>
      <x:c r="K4887" s="6" t="n">
        <x:f>IF(G4887&gt;H4887,1,0)</x:f>
        <x:v>0</x:v>
      </x:c>
      <x:c r="L4887" s="6" t="n">
        <x:f>J4887*K4887</x:f>
        <x:v>0</x:v>
      </x:c>
    </x:row>
    <x:row r="4888">
      <x:c r="A4888" s="1" t="n">
        <x:v>37885</x:v>
      </x:c>
      <x:c r="B4888" s="5" t="d">
        <x:v>2016-07-07T00:00:00.000Z</x:v>
      </x:c>
      <x:c r="C4888" s="1" t="str">
        <x:v>Standard Class</x:v>
      </x:c>
      <x:c r="D4888" s="1" t="str">
        <x:v>USCA</x:v>
      </x:c>
      <x:c r="E4888" s="1" t="str">
        <x:v>COMPLETE</x:v>
      </x:c>
      <x:c r="F4888" s="1" t="str">
        <x:v>Late delivery</x:v>
      </x:c>
      <x:c r="G4888" s="6" t="n">
        <x:v>6</x:v>
      </x:c>
      <x:c r="H4888" s="6" t="n">
        <x:v>4</x:v>
      </x:c>
      <x:c r="I4888" s="6" t="n">
        <x:f>G4888-H4888</x:f>
        <x:v>2</x:v>
      </x:c>
      <x:c r="J4888" s="6" t="n">
        <x:f>IF(OR(E4888="CANCELED",E4888="SUSPECTED_FRAUD",F4888="Shipping canceled"),0,1)</x:f>
        <x:v>1</x:v>
      </x:c>
      <x:c r="K4888" s="6" t="n">
        <x:f>IF(G4888&gt;H4888,1,0)</x:f>
        <x:v>1</x:v>
      </x:c>
      <x:c r="L4888" s="6" t="n">
        <x:f>J4888*K4888</x:f>
        <x:v>1</x:v>
      </x:c>
    </x:row>
    <x:row r="4889">
      <x:c r="A4889" s="1" t="n">
        <x:v>37893</x:v>
      </x:c>
      <x:c r="B4889" s="5" t="d">
        <x:v>2016-07-07T00:00:00.000Z</x:v>
      </x:c>
      <x:c r="C4889" s="1" t="str">
        <x:v>Standard Class</x:v>
      </x:c>
      <x:c r="D4889" s="1" t="str">
        <x:v>USCA</x:v>
      </x:c>
      <x:c r="E4889" s="1" t="str">
        <x:v>COMPLETE</x:v>
      </x:c>
      <x:c r="F4889" s="1" t="str">
        <x:v>Shipping on time</x:v>
      </x:c>
      <x:c r="G4889" s="6" t="n">
        <x:v>4</x:v>
      </x:c>
      <x:c r="H4889" s="6" t="n">
        <x:v>4</x:v>
      </x:c>
      <x:c r="I4889" s="6" t="n">
        <x:f>G4889-H4889</x:f>
        <x:v>0</x:v>
      </x:c>
      <x:c r="J4889" s="6" t="n">
        <x:f>IF(OR(E4889="CANCELED",E4889="SUSPECTED_FRAUD",F4889="Shipping canceled"),0,1)</x:f>
        <x:v>1</x:v>
      </x:c>
      <x:c r="K4889" s="6" t="n">
        <x:f>IF(G4889&gt;H4889,1,0)</x:f>
        <x:v>0</x:v>
      </x:c>
      <x:c r="L4889" s="6" t="n">
        <x:f>J4889*K4889</x:f>
        <x:v>0</x:v>
      </x:c>
    </x:row>
    <x:row r="4890">
      <x:c r="A4890" s="1" t="n">
        <x:v>37902</x:v>
      </x:c>
      <x:c r="B4890" s="5" t="d">
        <x:v>2016-07-07T00:00:00.000Z</x:v>
      </x:c>
      <x:c r="C4890" s="1" t="str">
        <x:v>Standard Class</x:v>
      </x:c>
      <x:c r="D4890" s="1" t="str">
        <x:v>USCA</x:v>
      </x:c>
      <x:c r="E4890" s="1" t="str">
        <x:v>COMPLETE</x:v>
      </x:c>
      <x:c r="F4890" s="1" t="str">
        <x:v>Advance shipping</x:v>
      </x:c>
      <x:c r="G4890" s="6" t="n">
        <x:v>3</x:v>
      </x:c>
      <x:c r="H4890" s="6" t="n">
        <x:v>4</x:v>
      </x:c>
      <x:c r="I4890" s="6" t="n">
        <x:f>G4890-H4890</x:f>
        <x:v>-1</x:v>
      </x:c>
      <x:c r="J4890" s="6" t="n">
        <x:f>IF(OR(E4890="CANCELED",E4890="SUSPECTED_FRAUD",F4890="Shipping canceled"),0,1)</x:f>
        <x:v>1</x:v>
      </x:c>
      <x:c r="K4890" s="6" t="n">
        <x:f>IF(G4890&gt;H4890,1,0)</x:f>
        <x:v>0</x:v>
      </x:c>
      <x:c r="L4890" s="6" t="n">
        <x:f>J4890*K4890</x:f>
        <x:v>0</x:v>
      </x:c>
    </x:row>
    <x:row r="4891">
      <x:c r="A4891" s="1" t="n">
        <x:v>37903</x:v>
      </x:c>
      <x:c r="B4891" s="5" t="d">
        <x:v>2016-07-07T00:00:00.000Z</x:v>
      </x:c>
      <x:c r="C4891" s="1" t="str">
        <x:v>Standard Class</x:v>
      </x:c>
      <x:c r="D4891" s="1" t="str">
        <x:v>USCA</x:v>
      </x:c>
      <x:c r="E4891" s="1" t="str">
        <x:v>ON_HOLD</x:v>
      </x:c>
      <x:c r="F4891" s="1" t="str">
        <x:v>Shipping on time</x:v>
      </x:c>
      <x:c r="G4891" s="6" t="n">
        <x:v>4</x:v>
      </x:c>
      <x:c r="H4891" s="6" t="n">
        <x:v>4</x:v>
      </x:c>
      <x:c r="I4891" s="6" t="n">
        <x:f>G4891-H4891</x:f>
        <x:v>0</x:v>
      </x:c>
      <x:c r="J4891" s="6" t="n">
        <x:f>IF(OR(E4891="CANCELED",E4891="SUSPECTED_FRAUD",F4891="Shipping canceled"),0,1)</x:f>
        <x:v>1</x:v>
      </x:c>
      <x:c r="K4891" s="6" t="n">
        <x:f>IF(G4891&gt;H4891,1,0)</x:f>
        <x:v>0</x:v>
      </x:c>
      <x:c r="L4891" s="6" t="n">
        <x:f>J4891*K4891</x:f>
        <x:v>0</x:v>
      </x:c>
    </x:row>
    <x:row r="4892">
      <x:c r="A4892" s="1" t="n">
        <x:v>37904</x:v>
      </x:c>
      <x:c r="B4892" s="5" t="d">
        <x:v>2016-07-07T00:00:00.000Z</x:v>
      </x:c>
      <x:c r="C4892" s="1" t="str">
        <x:v>Standard Class</x:v>
      </x:c>
      <x:c r="D4892" s="1" t="str">
        <x:v>USCA</x:v>
      </x:c>
      <x:c r="E4892" s="1" t="str">
        <x:v>PROCESSING</x:v>
      </x:c>
      <x:c r="F4892" s="1" t="str">
        <x:v>Late delivery</x:v>
      </x:c>
      <x:c r="G4892" s="6" t="n">
        <x:v>5</x:v>
      </x:c>
      <x:c r="H4892" s="6" t="n">
        <x:v>4</x:v>
      </x:c>
      <x:c r="I4892" s="6" t="n">
        <x:f>G4892-H4892</x:f>
        <x:v>1</x:v>
      </x:c>
      <x:c r="J4892" s="6" t="n">
        <x:f>IF(OR(E4892="CANCELED",E4892="SUSPECTED_FRAUD",F4892="Shipping canceled"),0,1)</x:f>
        <x:v>1</x:v>
      </x:c>
      <x:c r="K4892" s="6" t="n">
        <x:f>IF(G4892&gt;H4892,1,0)</x:f>
        <x:v>1</x:v>
      </x:c>
      <x:c r="L4892" s="6" t="n">
        <x:f>J4892*K4892</x:f>
        <x:v>1</x:v>
      </x:c>
    </x:row>
    <x:row r="4893">
      <x:c r="A4893" s="1" t="n">
        <x:v>37921</x:v>
      </x:c>
      <x:c r="B4893" s="5" t="d">
        <x:v>2016-07-07T00:00:00.000Z</x:v>
      </x:c>
      <x:c r="C4893" s="1" t="str">
        <x:v>Second Class</x:v>
      </x:c>
      <x:c r="D4893" s="1" t="str">
        <x:v>USCA</x:v>
      </x:c>
      <x:c r="E4893" s="1" t="str">
        <x:v>SUSPECTED_FRAUD</x:v>
      </x:c>
      <x:c r="F4893" s="1" t="str">
        <x:v>Shipping canceled</x:v>
      </x:c>
      <x:c r="G4893" s="6" t="n">
        <x:v>2</x:v>
      </x:c>
      <x:c r="H4893" s="6" t="n">
        <x:v>2</x:v>
      </x:c>
      <x:c r="I4893" s="6" t="n">
        <x:f>G4893-H4893</x:f>
        <x:v>0</x:v>
      </x:c>
      <x:c r="J4893" s="6" t="n">
        <x:f>IF(OR(E4893="CANCELED",E4893="SUSPECTED_FRAUD",F4893="Shipping canceled"),0,1)</x:f>
        <x:v>0</x:v>
      </x:c>
      <x:c r="K4893" s="6" t="n">
        <x:f>IF(G4893&gt;H4893,1,0)</x:f>
        <x:v>0</x:v>
      </x:c>
      <x:c r="L4893" s="6" t="n">
        <x:f>J4893*K4893</x:f>
        <x:v>0</x:v>
      </x:c>
    </x:row>
    <x:row r="4894">
      <x:c r="A4894" s="1" t="n">
        <x:v>37922</x:v>
      </x:c>
      <x:c r="B4894" s="5" t="d">
        <x:v>2016-07-07T00:00:00.000Z</x:v>
      </x:c>
      <x:c r="C4894" s="1" t="str">
        <x:v>Standard Class</x:v>
      </x:c>
      <x:c r="D4894" s="1" t="str">
        <x:v>USCA</x:v>
      </x:c>
      <x:c r="E4894" s="1" t="str">
        <x:v>COMPLETE</x:v>
      </x:c>
      <x:c r="F4894" s="1" t="str">
        <x:v>Advance shipping</x:v>
      </x:c>
      <x:c r="G4894" s="6" t="n">
        <x:v>3</x:v>
      </x:c>
      <x:c r="H4894" s="6" t="n">
        <x:v>4</x:v>
      </x:c>
      <x:c r="I4894" s="6" t="n">
        <x:f>G4894-H4894</x:f>
        <x:v>-1</x:v>
      </x:c>
      <x:c r="J4894" s="6" t="n">
        <x:f>IF(OR(E4894="CANCELED",E4894="SUSPECTED_FRAUD",F4894="Shipping canceled"),0,1)</x:f>
        <x:v>1</x:v>
      </x:c>
      <x:c r="K4894" s="6" t="n">
        <x:f>IF(G4894&gt;H4894,1,0)</x:f>
        <x:v>0</x:v>
      </x:c>
      <x:c r="L4894" s="6" t="n">
        <x:f>J4894*K4894</x:f>
        <x:v>0</x:v>
      </x:c>
    </x:row>
    <x:row r="4895">
      <x:c r="A4895" s="1" t="n">
        <x:v>37925</x:v>
      </x:c>
      <x:c r="B4895" s="5" t="d">
        <x:v>2016-07-07T00:00:00.000Z</x:v>
      </x:c>
      <x:c r="C4895" s="1" t="str">
        <x:v>Standard Class</x:v>
      </x:c>
      <x:c r="D4895" s="1" t="str">
        <x:v>USCA</x:v>
      </x:c>
      <x:c r="E4895" s="1" t="str">
        <x:v>COMPLETE</x:v>
      </x:c>
      <x:c r="F4895" s="1" t="str">
        <x:v>Late delivery</x:v>
      </x:c>
      <x:c r="G4895" s="6" t="n">
        <x:v>6</x:v>
      </x:c>
      <x:c r="H4895" s="6" t="n">
        <x:v>4</x:v>
      </x:c>
      <x:c r="I4895" s="6" t="n">
        <x:f>G4895-H4895</x:f>
        <x:v>2</x:v>
      </x:c>
      <x:c r="J4895" s="6" t="n">
        <x:f>IF(OR(E4895="CANCELED",E4895="SUSPECTED_FRAUD",F4895="Shipping canceled"),0,1)</x:f>
        <x:v>1</x:v>
      </x:c>
      <x:c r="K4895" s="6" t="n">
        <x:f>IF(G4895&gt;H4895,1,0)</x:f>
        <x:v>1</x:v>
      </x:c>
      <x:c r="L4895" s="6" t="n">
        <x:f>J4895*K4895</x:f>
        <x:v>1</x:v>
      </x:c>
    </x:row>
    <x:row r="4896">
      <x:c r="A4896" s="1" t="n">
        <x:v>37936</x:v>
      </x:c>
      <x:c r="B4896" s="5" t="d">
        <x:v>2016-07-07T00:00:00.000Z</x:v>
      </x:c>
      <x:c r="C4896" s="1" t="str">
        <x:v>Standard Class</x:v>
      </x:c>
      <x:c r="D4896" s="1" t="str">
        <x:v>USCA</x:v>
      </x:c>
      <x:c r="E4896" s="1" t="str">
        <x:v>COMPLETE</x:v>
      </x:c>
      <x:c r="F4896" s="1" t="str">
        <x:v>Advance shipping</x:v>
      </x:c>
      <x:c r="G4896" s="6" t="n">
        <x:v>2</x:v>
      </x:c>
      <x:c r="H4896" s="6" t="n">
        <x:v>4</x:v>
      </x:c>
      <x:c r="I4896" s="6" t="n">
        <x:f>G4896-H4896</x:f>
        <x:v>-2</x:v>
      </x:c>
      <x:c r="J4896" s="6" t="n">
        <x:f>IF(OR(E4896="CANCELED",E4896="SUSPECTED_FRAUD",F4896="Shipping canceled"),0,1)</x:f>
        <x:v>1</x:v>
      </x:c>
      <x:c r="K4896" s="6" t="n">
        <x:f>IF(G4896&gt;H4896,1,0)</x:f>
        <x:v>0</x:v>
      </x:c>
      <x:c r="L4896" s="6" t="n">
        <x:f>J4896*K4896</x:f>
        <x:v>0</x:v>
      </x:c>
    </x:row>
    <x:row r="4897">
      <x:c r="A4897" s="1" t="n">
        <x:v>37944</x:v>
      </x:c>
      <x:c r="B4897" s="5" t="d">
        <x:v>2016-07-07T00:00:00.000Z</x:v>
      </x:c>
      <x:c r="C4897" s="1" t="str">
        <x:v>Standard Class</x:v>
      </x:c>
      <x:c r="D4897" s="1" t="str">
        <x:v>USCA</x:v>
      </x:c>
      <x:c r="E4897" s="1" t="str">
        <x:v>COMPLETE</x:v>
      </x:c>
      <x:c r="F4897" s="1" t="str">
        <x:v>Late delivery</x:v>
      </x:c>
      <x:c r="G4897" s="6" t="n">
        <x:v>5</x:v>
      </x:c>
      <x:c r="H4897" s="6" t="n">
        <x:v>4</x:v>
      </x:c>
      <x:c r="I4897" s="6" t="n">
        <x:f>G4897-H4897</x:f>
        <x:v>1</x:v>
      </x:c>
      <x:c r="J4897" s="6" t="n">
        <x:f>IF(OR(E4897="CANCELED",E4897="SUSPECTED_FRAUD",F4897="Shipping canceled"),0,1)</x:f>
        <x:v>1</x:v>
      </x:c>
      <x:c r="K4897" s="6" t="n">
        <x:f>IF(G4897&gt;H4897,1,0)</x:f>
        <x:v>1</x:v>
      </x:c>
      <x:c r="L4897" s="6" t="n">
        <x:f>J4897*K4897</x:f>
        <x:v>1</x:v>
      </x:c>
    </x:row>
    <x:row r="4898">
      <x:c r="A4898" s="1" t="n">
        <x:v>37945</x:v>
      </x:c>
      <x:c r="B4898" s="5" t="d">
        <x:v>2016-07-07T00:00:00.000Z</x:v>
      </x:c>
      <x:c r="C4898" s="1" t="str">
        <x:v>Standard Class</x:v>
      </x:c>
      <x:c r="D4898" s="1" t="str">
        <x:v>USCA</x:v>
      </x:c>
      <x:c r="E4898" s="1" t="str">
        <x:v>PENDING</x:v>
      </x:c>
      <x:c r="F4898" s="1" t="str">
        <x:v>Late delivery</x:v>
      </x:c>
      <x:c r="G4898" s="6" t="n">
        <x:v>6</x:v>
      </x:c>
      <x:c r="H4898" s="6" t="n">
        <x:v>4</x:v>
      </x:c>
      <x:c r="I4898" s="6" t="n">
        <x:f>G4898-H4898</x:f>
        <x:v>2</x:v>
      </x:c>
      <x:c r="J4898" s="6" t="n">
        <x:f>IF(OR(E4898="CANCELED",E4898="SUSPECTED_FRAUD",F4898="Shipping canceled"),0,1)</x:f>
        <x:v>1</x:v>
      </x:c>
      <x:c r="K4898" s="6" t="n">
        <x:f>IF(G4898&gt;H4898,1,0)</x:f>
        <x:v>1</x:v>
      </x:c>
      <x:c r="L4898" s="6" t="n">
        <x:f>J4898*K4898</x:f>
        <x:v>1</x:v>
      </x:c>
    </x:row>
    <x:row r="4899">
      <x:c r="A4899" s="1" t="n">
        <x:v>37984</x:v>
      </x:c>
      <x:c r="B4899" s="5" t="d">
        <x:v>2016-07-08T00:00:00.000Z</x:v>
      </x:c>
      <x:c r="C4899" s="1" t="str">
        <x:v>Standard Class</x:v>
      </x:c>
      <x:c r="D4899" s="1" t="str">
        <x:v>USCA</x:v>
      </x:c>
      <x:c r="E4899" s="1" t="str">
        <x:v>COMPLETE</x:v>
      </x:c>
      <x:c r="F4899" s="1" t="str">
        <x:v>Late delivery</x:v>
      </x:c>
      <x:c r="G4899" s="6" t="n">
        <x:v>5</x:v>
      </x:c>
      <x:c r="H4899" s="6" t="n">
        <x:v>4</x:v>
      </x:c>
      <x:c r="I4899" s="6" t="n">
        <x:f>G4899-H4899</x:f>
        <x:v>1</x:v>
      </x:c>
      <x:c r="J4899" s="6" t="n">
        <x:f>IF(OR(E4899="CANCELED",E4899="SUSPECTED_FRAUD",F4899="Shipping canceled"),0,1)</x:f>
        <x:v>1</x:v>
      </x:c>
      <x:c r="K4899" s="6" t="n">
        <x:f>IF(G4899&gt;H4899,1,0)</x:f>
        <x:v>1</x:v>
      </x:c>
      <x:c r="L4899" s="6" t="n">
        <x:f>J4899*K4899</x:f>
        <x:v>1</x:v>
      </x:c>
    </x:row>
    <x:row r="4900">
      <x:c r="A4900" s="1" t="n">
        <x:v>37996</x:v>
      </x:c>
      <x:c r="B4900" s="5" t="d">
        <x:v>2016-07-08T00:00:00.000Z</x:v>
      </x:c>
      <x:c r="C4900" s="1" t="str">
        <x:v>Standard Class</x:v>
      </x:c>
      <x:c r="D4900" s="1" t="str">
        <x:v>USCA</x:v>
      </x:c>
      <x:c r="E4900" s="1" t="str">
        <x:v>COMPLETE</x:v>
      </x:c>
      <x:c r="F4900" s="1" t="str">
        <x:v>Advance shipping</x:v>
      </x:c>
      <x:c r="G4900" s="6" t="n">
        <x:v>2</x:v>
      </x:c>
      <x:c r="H4900" s="6" t="n">
        <x:v>4</x:v>
      </x:c>
      <x:c r="I4900" s="6" t="n">
        <x:f>G4900-H4900</x:f>
        <x:v>-2</x:v>
      </x:c>
      <x:c r="J4900" s="6" t="n">
        <x:f>IF(OR(E4900="CANCELED",E4900="SUSPECTED_FRAUD",F4900="Shipping canceled"),0,1)</x:f>
        <x:v>1</x:v>
      </x:c>
      <x:c r="K4900" s="6" t="n">
        <x:f>IF(G4900&gt;H4900,1,0)</x:f>
        <x:v>0</x:v>
      </x:c>
      <x:c r="L4900" s="6" t="n">
        <x:f>J4900*K4900</x:f>
        <x:v>0</x:v>
      </x:c>
    </x:row>
    <x:row r="4901">
      <x:c r="A4901" s="1" t="n">
        <x:v>38004</x:v>
      </x:c>
      <x:c r="B4901" s="5" t="d">
        <x:v>2016-07-08T00:00:00.000Z</x:v>
      </x:c>
      <x:c r="C4901" s="1" t="str">
        <x:v>Standard Class</x:v>
      </x:c>
      <x:c r="D4901" s="1" t="str">
        <x:v>USCA</x:v>
      </x:c>
      <x:c r="E4901" s="1" t="str">
        <x:v>PENDING</x:v>
      </x:c>
      <x:c r="F4901" s="1" t="str">
        <x:v>Late delivery</x:v>
      </x:c>
      <x:c r="G4901" s="6" t="n">
        <x:v>5</x:v>
      </x:c>
      <x:c r="H4901" s="6" t="n">
        <x:v>4</x:v>
      </x:c>
      <x:c r="I4901" s="6" t="n">
        <x:f>G4901-H4901</x:f>
        <x:v>1</x:v>
      </x:c>
      <x:c r="J4901" s="6" t="n">
        <x:f>IF(OR(E4901="CANCELED",E4901="SUSPECTED_FRAUD",F4901="Shipping canceled"),0,1)</x:f>
        <x:v>1</x:v>
      </x:c>
      <x:c r="K4901" s="6" t="n">
        <x:f>IF(G4901&gt;H4901,1,0)</x:f>
        <x:v>1</x:v>
      </x:c>
      <x:c r="L4901" s="6" t="n">
        <x:f>J4901*K4901</x:f>
        <x:v>1</x:v>
      </x:c>
    </x:row>
    <x:row r="4902">
      <x:c r="A4902" s="1" t="n">
        <x:v>38005</x:v>
      </x:c>
      <x:c r="B4902" s="5" t="d">
        <x:v>2016-07-08T00:00:00.000Z</x:v>
      </x:c>
      <x:c r="C4902" s="1" t="str">
        <x:v>Standard Class</x:v>
      </x:c>
      <x:c r="D4902" s="1" t="str">
        <x:v>USCA</x:v>
      </x:c>
      <x:c r="E4902" s="1" t="str">
        <x:v>COMPLETE</x:v>
      </x:c>
      <x:c r="F4902" s="1" t="str">
        <x:v>Late delivery</x:v>
      </x:c>
      <x:c r="G4902" s="6" t="n">
        <x:v>6</x:v>
      </x:c>
      <x:c r="H4902" s="6" t="n">
        <x:v>4</x:v>
      </x:c>
      <x:c r="I4902" s="6" t="n">
        <x:f>G4902-H4902</x:f>
        <x:v>2</x:v>
      </x:c>
      <x:c r="J4902" s="6" t="n">
        <x:f>IF(OR(E4902="CANCELED",E4902="SUSPECTED_FRAUD",F4902="Shipping canceled"),0,1)</x:f>
        <x:v>1</x:v>
      </x:c>
      <x:c r="K4902" s="6" t="n">
        <x:f>IF(G4902&gt;H4902,1,0)</x:f>
        <x:v>1</x:v>
      </x:c>
      <x:c r="L4902" s="6" t="n">
        <x:f>J4902*K4902</x:f>
        <x:v>1</x:v>
      </x:c>
    </x:row>
    <x:row r="4903">
      <x:c r="A4903" s="1" t="n">
        <x:v>38006</x:v>
      </x:c>
      <x:c r="B4903" s="5" t="d">
        <x:v>2016-07-08T00:00:00.000Z</x:v>
      </x:c>
      <x:c r="C4903" s="1" t="str">
        <x:v>Standard Class</x:v>
      </x:c>
      <x:c r="D4903" s="1" t="str">
        <x:v>USCA</x:v>
      </x:c>
      <x:c r="E4903" s="1" t="str">
        <x:v>COMPLETE</x:v>
      </x:c>
      <x:c r="F4903" s="1" t="str">
        <x:v>Advance shipping</x:v>
      </x:c>
      <x:c r="G4903" s="6" t="n">
        <x:v>2</x:v>
      </x:c>
      <x:c r="H4903" s="6" t="n">
        <x:v>4</x:v>
      </x:c>
      <x:c r="I4903" s="6" t="n">
        <x:f>G4903-H4903</x:f>
        <x:v>-2</x:v>
      </x:c>
      <x:c r="J4903" s="6" t="n">
        <x:f>IF(OR(E4903="CANCELED",E4903="SUSPECTED_FRAUD",F4903="Shipping canceled"),0,1)</x:f>
        <x:v>1</x:v>
      </x:c>
      <x:c r="K4903" s="6" t="n">
        <x:f>IF(G4903&gt;H4903,1,0)</x:f>
        <x:v>0</x:v>
      </x:c>
      <x:c r="L4903" s="6" t="n">
        <x:f>J4903*K4903</x:f>
        <x:v>0</x:v>
      </x:c>
    </x:row>
    <x:row r="4904">
      <x:c r="A4904" s="1" t="n">
        <x:v>38023</x:v>
      </x:c>
      <x:c r="B4904" s="5" t="d">
        <x:v>2016-07-09T00:00:00.000Z</x:v>
      </x:c>
      <x:c r="C4904" s="1" t="str">
        <x:v>Standard Class</x:v>
      </x:c>
      <x:c r="D4904" s="1" t="str">
        <x:v>USCA</x:v>
      </x:c>
      <x:c r="E4904" s="1" t="str">
        <x:v>PROCESSING</x:v>
      </x:c>
      <x:c r="F4904" s="1" t="str">
        <x:v>Shipping on time</x:v>
      </x:c>
      <x:c r="G4904" s="6" t="n">
        <x:v>4</x:v>
      </x:c>
      <x:c r="H4904" s="6" t="n">
        <x:v>4</x:v>
      </x:c>
      <x:c r="I4904" s="6" t="n">
        <x:f>G4904-H4904</x:f>
        <x:v>0</x:v>
      </x:c>
      <x:c r="J4904" s="6" t="n">
        <x:f>IF(OR(E4904="CANCELED",E4904="SUSPECTED_FRAUD",F4904="Shipping canceled"),0,1)</x:f>
        <x:v>1</x:v>
      </x:c>
      <x:c r="K4904" s="6" t="n">
        <x:f>IF(G4904&gt;H4904,1,0)</x:f>
        <x:v>0</x:v>
      </x:c>
      <x:c r="L4904" s="6" t="n">
        <x:f>J4904*K4904</x:f>
        <x:v>0</x:v>
      </x:c>
    </x:row>
    <x:row r="4905">
      <x:c r="A4905" s="1" t="n">
        <x:v>38026</x:v>
      </x:c>
      <x:c r="B4905" s="5" t="d">
        <x:v>2016-07-09T00:00:00.000Z</x:v>
      </x:c>
      <x:c r="C4905" s="1" t="str">
        <x:v>Standard Class</x:v>
      </x:c>
      <x:c r="D4905" s="1" t="str">
        <x:v>USCA</x:v>
      </x:c>
      <x:c r="E4905" s="1" t="str">
        <x:v>ON_HOLD</x:v>
      </x:c>
      <x:c r="F4905" s="1" t="str">
        <x:v>Advance shipping</x:v>
      </x:c>
      <x:c r="G4905" s="6" t="n">
        <x:v>2</x:v>
      </x:c>
      <x:c r="H4905" s="6" t="n">
        <x:v>4</x:v>
      </x:c>
      <x:c r="I4905" s="6" t="n">
        <x:f>G4905-H4905</x:f>
        <x:v>-2</x:v>
      </x:c>
      <x:c r="J4905" s="6" t="n">
        <x:f>IF(OR(E4905="CANCELED",E4905="SUSPECTED_FRAUD",F4905="Shipping canceled"),0,1)</x:f>
        <x:v>1</x:v>
      </x:c>
      <x:c r="K4905" s="6" t="n">
        <x:f>IF(G4905&gt;H4905,1,0)</x:f>
        <x:v>0</x:v>
      </x:c>
      <x:c r="L4905" s="6" t="n">
        <x:f>J4905*K4905</x:f>
        <x:v>0</x:v>
      </x:c>
    </x:row>
    <x:row r="4906">
      <x:c r="A4906" s="1" t="n">
        <x:v>38031</x:v>
      </x:c>
      <x:c r="B4906" s="5" t="d">
        <x:v>2016-07-09T00:00:00.000Z</x:v>
      </x:c>
      <x:c r="C4906" s="1" t="str">
        <x:v>Standard Class</x:v>
      </x:c>
      <x:c r="D4906" s="1" t="str">
        <x:v>USCA</x:v>
      </x:c>
      <x:c r="E4906" s="1" t="str">
        <x:v>PENDING_PAYMENT</x:v>
      </x:c>
      <x:c r="F4906" s="1" t="str">
        <x:v>Advance shipping</x:v>
      </x:c>
      <x:c r="G4906" s="6" t="n">
        <x:v>2</x:v>
      </x:c>
      <x:c r="H4906" s="6" t="n">
        <x:v>4</x:v>
      </x:c>
      <x:c r="I4906" s="6" t="n">
        <x:f>G4906-H4906</x:f>
        <x:v>-2</x:v>
      </x:c>
      <x:c r="J4906" s="6" t="n">
        <x:f>IF(OR(E4906="CANCELED",E4906="SUSPECTED_FRAUD",F4906="Shipping canceled"),0,1)</x:f>
        <x:v>1</x:v>
      </x:c>
      <x:c r="K4906" s="6" t="n">
        <x:f>IF(G4906&gt;H4906,1,0)</x:f>
        <x:v>0</x:v>
      </x:c>
      <x:c r="L4906" s="6" t="n">
        <x:f>J4906*K4906</x:f>
        <x:v>0</x:v>
      </x:c>
    </x:row>
    <x:row r="4907">
      <x:c r="A4907" s="1" t="n">
        <x:v>38038</x:v>
      </x:c>
      <x:c r="B4907" s="5" t="d">
        <x:v>2016-07-09T00:00:00.000Z</x:v>
      </x:c>
      <x:c r="C4907" s="1" t="str">
        <x:v>Second Class</x:v>
      </x:c>
      <x:c r="D4907" s="1" t="str">
        <x:v>USCA</x:v>
      </x:c>
      <x:c r="E4907" s="1" t="str">
        <x:v>CLOSED</x:v>
      </x:c>
      <x:c r="F4907" s="1" t="str">
        <x:v>Late delivery</x:v>
      </x:c>
      <x:c r="G4907" s="6" t="n">
        <x:v>4</x:v>
      </x:c>
      <x:c r="H4907" s="6" t="n">
        <x:v>2</x:v>
      </x:c>
      <x:c r="I4907" s="6" t="n">
        <x:f>G4907-H4907</x:f>
        <x:v>2</x:v>
      </x:c>
      <x:c r="J4907" s="6" t="n">
        <x:f>IF(OR(E4907="CANCELED",E4907="SUSPECTED_FRAUD",F4907="Shipping canceled"),0,1)</x:f>
        <x:v>1</x:v>
      </x:c>
      <x:c r="K4907" s="6" t="n">
        <x:f>IF(G4907&gt;H4907,1,0)</x:f>
        <x:v>1</x:v>
      </x:c>
      <x:c r="L4907" s="6" t="n">
        <x:f>J4907*K4907</x:f>
        <x:v>1</x:v>
      </x:c>
    </x:row>
    <x:row r="4908">
      <x:c r="A4908" s="1" t="n">
        <x:v>38046</x:v>
      </x:c>
      <x:c r="B4908" s="5" t="d">
        <x:v>2016-07-09T00:00:00.000Z</x:v>
      </x:c>
      <x:c r="C4908" s="1" t="str">
        <x:v>Standard Class</x:v>
      </x:c>
      <x:c r="D4908" s="1" t="str">
        <x:v>USCA</x:v>
      </x:c>
      <x:c r="E4908" s="1" t="str">
        <x:v>COMPLETE</x:v>
      </x:c>
      <x:c r="F4908" s="1" t="str">
        <x:v>Advance shipping</x:v>
      </x:c>
      <x:c r="G4908" s="6" t="n">
        <x:v>2</x:v>
      </x:c>
      <x:c r="H4908" s="6" t="n">
        <x:v>4</x:v>
      </x:c>
      <x:c r="I4908" s="6" t="n">
        <x:f>G4908-H4908</x:f>
        <x:v>-2</x:v>
      </x:c>
      <x:c r="J4908" s="6" t="n">
        <x:f>IF(OR(E4908="CANCELED",E4908="SUSPECTED_FRAUD",F4908="Shipping canceled"),0,1)</x:f>
        <x:v>1</x:v>
      </x:c>
      <x:c r="K4908" s="6" t="n">
        <x:f>IF(G4908&gt;H4908,1,0)</x:f>
        <x:v>0</x:v>
      </x:c>
      <x:c r="L4908" s="6" t="n">
        <x:f>J4908*K4908</x:f>
        <x:v>0</x:v>
      </x:c>
    </x:row>
    <x:row r="4909">
      <x:c r="A4909" s="1" t="n">
        <x:v>38047</x:v>
      </x:c>
      <x:c r="B4909" s="5" t="d">
        <x:v>2016-07-09T00:00:00.000Z</x:v>
      </x:c>
      <x:c r="C4909" s="1" t="str">
        <x:v>Standard Class</x:v>
      </x:c>
      <x:c r="D4909" s="1" t="str">
        <x:v>USCA</x:v>
      </x:c>
      <x:c r="E4909" s="1" t="str">
        <x:v>PENDING_PAYMENT</x:v>
      </x:c>
      <x:c r="F4909" s="1" t="str">
        <x:v>Advance shipping</x:v>
      </x:c>
      <x:c r="G4909" s="6" t="n">
        <x:v>3</x:v>
      </x:c>
      <x:c r="H4909" s="6" t="n">
        <x:v>4</x:v>
      </x:c>
      <x:c r="I4909" s="6" t="n">
        <x:f>G4909-H4909</x:f>
        <x:v>-1</x:v>
      </x:c>
      <x:c r="J4909" s="6" t="n">
        <x:f>IF(OR(E4909="CANCELED",E4909="SUSPECTED_FRAUD",F4909="Shipping canceled"),0,1)</x:f>
        <x:v>1</x:v>
      </x:c>
      <x:c r="K4909" s="6" t="n">
        <x:f>IF(G4909&gt;H4909,1,0)</x:f>
        <x:v>0</x:v>
      </x:c>
      <x:c r="L4909" s="6" t="n">
        <x:f>J4909*K4909</x:f>
        <x:v>0</x:v>
      </x:c>
    </x:row>
    <x:row r="4910">
      <x:c r="A4910" s="1" t="n">
        <x:v>38054</x:v>
      </x:c>
      <x:c r="B4910" s="5" t="d">
        <x:v>2016-07-09T00:00:00.000Z</x:v>
      </x:c>
      <x:c r="C4910" s="1" t="str">
        <x:v>Standard Class</x:v>
      </x:c>
      <x:c r="D4910" s="1" t="str">
        <x:v>USCA</x:v>
      </x:c>
      <x:c r="E4910" s="1" t="str">
        <x:v>COMPLETE</x:v>
      </x:c>
      <x:c r="F4910" s="1" t="str">
        <x:v>Late delivery</x:v>
      </x:c>
      <x:c r="G4910" s="6" t="n">
        <x:v>5</x:v>
      </x:c>
      <x:c r="H4910" s="6" t="n">
        <x:v>4</x:v>
      </x:c>
      <x:c r="I4910" s="6" t="n">
        <x:f>G4910-H4910</x:f>
        <x:v>1</x:v>
      </x:c>
      <x:c r="J4910" s="6" t="n">
        <x:f>IF(OR(E4910="CANCELED",E4910="SUSPECTED_FRAUD",F4910="Shipping canceled"),0,1)</x:f>
        <x:v>1</x:v>
      </x:c>
      <x:c r="K4910" s="6" t="n">
        <x:f>IF(G4910&gt;H4910,1,0)</x:f>
        <x:v>1</x:v>
      </x:c>
      <x:c r="L4910" s="6" t="n">
        <x:f>J4910*K4910</x:f>
        <x:v>1</x:v>
      </x:c>
    </x:row>
    <x:row r="4911">
      <x:c r="A4911" s="1" t="n">
        <x:v>38080</x:v>
      </x:c>
      <x:c r="B4911" s="5" t="d">
        <x:v>2016-07-09T00:00:00.000Z</x:v>
      </x:c>
      <x:c r="C4911" s="1" t="str">
        <x:v>Standard Class</x:v>
      </x:c>
      <x:c r="D4911" s="1" t="str">
        <x:v>USCA</x:v>
      </x:c>
      <x:c r="E4911" s="1" t="str">
        <x:v>COMPLETE</x:v>
      </x:c>
      <x:c r="F4911" s="1" t="str">
        <x:v>Late delivery</x:v>
      </x:c>
      <x:c r="G4911" s="6" t="n">
        <x:v>6</x:v>
      </x:c>
      <x:c r="H4911" s="6" t="n">
        <x:v>4</x:v>
      </x:c>
      <x:c r="I4911" s="6" t="n">
        <x:f>G4911-H4911</x:f>
        <x:v>2</x:v>
      </x:c>
      <x:c r="J4911" s="6" t="n">
        <x:f>IF(OR(E4911="CANCELED",E4911="SUSPECTED_FRAUD",F4911="Shipping canceled"),0,1)</x:f>
        <x:v>1</x:v>
      </x:c>
      <x:c r="K4911" s="6" t="n">
        <x:f>IF(G4911&gt;H4911,1,0)</x:f>
        <x:v>1</x:v>
      </x:c>
      <x:c r="L4911" s="6" t="n">
        <x:f>J4911*K4911</x:f>
        <x:v>1</x:v>
      </x:c>
    </x:row>
    <x:row r="4912">
      <x:c r="A4912" s="1" t="n">
        <x:v>38086</x:v>
      </x:c>
      <x:c r="B4912" s="5" t="d">
        <x:v>2016-07-09T00:00:00.000Z</x:v>
      </x:c>
      <x:c r="C4912" s="1" t="str">
        <x:v>Standard Class</x:v>
      </x:c>
      <x:c r="D4912" s="1" t="str">
        <x:v>USCA</x:v>
      </x:c>
      <x:c r="E4912" s="1" t="str">
        <x:v>COMPLETE</x:v>
      </x:c>
      <x:c r="F4912" s="1" t="str">
        <x:v>Advance shipping</x:v>
      </x:c>
      <x:c r="G4912" s="6" t="n">
        <x:v>2</x:v>
      </x:c>
      <x:c r="H4912" s="6" t="n">
        <x:v>4</x:v>
      </x:c>
      <x:c r="I4912" s="6" t="n">
        <x:f>G4912-H4912</x:f>
        <x:v>-2</x:v>
      </x:c>
      <x:c r="J4912" s="6" t="n">
        <x:f>IF(OR(E4912="CANCELED",E4912="SUSPECTED_FRAUD",F4912="Shipping canceled"),0,1)</x:f>
        <x:v>1</x:v>
      </x:c>
      <x:c r="K4912" s="6" t="n">
        <x:f>IF(G4912&gt;H4912,1,0)</x:f>
        <x:v>0</x:v>
      </x:c>
      <x:c r="L4912" s="6" t="n">
        <x:f>J4912*K4912</x:f>
        <x:v>0</x:v>
      </x:c>
    </x:row>
    <x:row r="4913">
      <x:c r="A4913" s="1" t="n">
        <x:v>38089</x:v>
      </x:c>
      <x:c r="B4913" s="5" t="d">
        <x:v>2016-07-09T00:00:00.000Z</x:v>
      </x:c>
      <x:c r="C4913" s="1" t="str">
        <x:v>Second Class</x:v>
      </x:c>
      <x:c r="D4913" s="1" t="str">
        <x:v>USCA</x:v>
      </x:c>
      <x:c r="E4913" s="1" t="str">
        <x:v>ON_HOLD</x:v>
      </x:c>
      <x:c r="F4913" s="1" t="str">
        <x:v>Late delivery</x:v>
      </x:c>
      <x:c r="G4913" s="6" t="n">
        <x:v>5</x:v>
      </x:c>
      <x:c r="H4913" s="6" t="n">
        <x:v>2</x:v>
      </x:c>
      <x:c r="I4913" s="6" t="n">
        <x:f>G4913-H4913</x:f>
        <x:v>3</x:v>
      </x:c>
      <x:c r="J4913" s="6" t="n">
        <x:f>IF(OR(E4913="CANCELED",E4913="SUSPECTED_FRAUD",F4913="Shipping canceled"),0,1)</x:f>
        <x:v>1</x:v>
      </x:c>
      <x:c r="K4913" s="6" t="n">
        <x:f>IF(G4913&gt;H4913,1,0)</x:f>
        <x:v>1</x:v>
      </x:c>
      <x:c r="L4913" s="6" t="n">
        <x:f>J4913*K4913</x:f>
        <x:v>1</x:v>
      </x:c>
    </x:row>
    <x:row r="4914">
      <x:c r="A4914" s="1" t="n">
        <x:v>38103</x:v>
      </x:c>
      <x:c r="B4914" s="5" t="d">
        <x:v>2016-07-10T00:00:00.000Z</x:v>
      </x:c>
      <x:c r="C4914" s="1" t="str">
        <x:v>Second Class</x:v>
      </x:c>
      <x:c r="D4914" s="1" t="str">
        <x:v>USCA</x:v>
      </x:c>
      <x:c r="E4914" s="1" t="str">
        <x:v>ON_HOLD</x:v>
      </x:c>
      <x:c r="F4914" s="1" t="str">
        <x:v>Late delivery</x:v>
      </x:c>
      <x:c r="G4914" s="6" t="n">
        <x:v>4</x:v>
      </x:c>
      <x:c r="H4914" s="6" t="n">
        <x:v>2</x:v>
      </x:c>
      <x:c r="I4914" s="6" t="n">
        <x:f>G4914-H4914</x:f>
        <x:v>2</x:v>
      </x:c>
      <x:c r="J4914" s="6" t="n">
        <x:f>IF(OR(E4914="CANCELED",E4914="SUSPECTED_FRAUD",F4914="Shipping canceled"),0,1)</x:f>
        <x:v>1</x:v>
      </x:c>
      <x:c r="K4914" s="6" t="n">
        <x:f>IF(G4914&gt;H4914,1,0)</x:f>
        <x:v>1</x:v>
      </x:c>
      <x:c r="L4914" s="6" t="n">
        <x:f>J4914*K4914</x:f>
        <x:v>1</x:v>
      </x:c>
    </x:row>
    <x:row r="4915">
      <x:c r="A4915" s="1" t="n">
        <x:v>38109</x:v>
      </x:c>
      <x:c r="B4915" s="5" t="d">
        <x:v>2016-07-10T00:00:00.000Z</x:v>
      </x:c>
      <x:c r="C4915" s="1" t="str">
        <x:v>Standard Class</x:v>
      </x:c>
      <x:c r="D4915" s="1" t="str">
        <x:v>USCA</x:v>
      </x:c>
      <x:c r="E4915" s="1" t="str">
        <x:v>ON_HOLD</x:v>
      </x:c>
      <x:c r="F4915" s="1" t="str">
        <x:v>Late delivery</x:v>
      </x:c>
      <x:c r="G4915" s="6" t="n">
        <x:v>5</x:v>
      </x:c>
      <x:c r="H4915" s="6" t="n">
        <x:v>4</x:v>
      </x:c>
      <x:c r="I4915" s="6" t="n">
        <x:f>G4915-H4915</x:f>
        <x:v>1</x:v>
      </x:c>
      <x:c r="J4915" s="6" t="n">
        <x:f>IF(OR(E4915="CANCELED",E4915="SUSPECTED_FRAUD",F4915="Shipping canceled"),0,1)</x:f>
        <x:v>1</x:v>
      </x:c>
      <x:c r="K4915" s="6" t="n">
        <x:f>IF(G4915&gt;H4915,1,0)</x:f>
        <x:v>1</x:v>
      </x:c>
      <x:c r="L4915" s="6" t="n">
        <x:f>J4915*K4915</x:f>
        <x:v>1</x:v>
      </x:c>
    </x:row>
    <x:row r="4916">
      <x:c r="A4916" s="1" t="n">
        <x:v>38113</x:v>
      </x:c>
      <x:c r="B4916" s="5" t="d">
        <x:v>2016-07-10T00:00:00.000Z</x:v>
      </x:c>
      <x:c r="C4916" s="1" t="str">
        <x:v>Standard Class</x:v>
      </x:c>
      <x:c r="D4916" s="1" t="str">
        <x:v>USCA</x:v>
      </x:c>
      <x:c r="E4916" s="1" t="str">
        <x:v>ON_HOLD</x:v>
      </x:c>
      <x:c r="F4916" s="1" t="str">
        <x:v>Shipping on time</x:v>
      </x:c>
      <x:c r="G4916" s="6" t="n">
        <x:v>4</x:v>
      </x:c>
      <x:c r="H4916" s="6" t="n">
        <x:v>4</x:v>
      </x:c>
      <x:c r="I4916" s="6" t="n">
        <x:f>G4916-H4916</x:f>
        <x:v>0</x:v>
      </x:c>
      <x:c r="J4916" s="6" t="n">
        <x:f>IF(OR(E4916="CANCELED",E4916="SUSPECTED_FRAUD",F4916="Shipping canceled"),0,1)</x:f>
        <x:v>1</x:v>
      </x:c>
      <x:c r="K4916" s="6" t="n">
        <x:f>IF(G4916&gt;H4916,1,0)</x:f>
        <x:v>0</x:v>
      </x:c>
      <x:c r="L4916" s="6" t="n">
        <x:f>J4916*K4916</x:f>
        <x:v>0</x:v>
      </x:c>
    </x:row>
    <x:row r="4917">
      <x:c r="A4917" s="1" t="n">
        <x:v>38114</x:v>
      </x:c>
      <x:c r="B4917" s="5" t="d">
        <x:v>2016-07-10T00:00:00.000Z</x:v>
      </x:c>
      <x:c r="C4917" s="1" t="str">
        <x:v>Standard Class</x:v>
      </x:c>
      <x:c r="D4917" s="1" t="str">
        <x:v>USCA</x:v>
      </x:c>
      <x:c r="E4917" s="1" t="str">
        <x:v>COMPLETE</x:v>
      </x:c>
      <x:c r="F4917" s="1" t="str">
        <x:v>Late delivery</x:v>
      </x:c>
      <x:c r="G4917" s="6" t="n">
        <x:v>5</x:v>
      </x:c>
      <x:c r="H4917" s="6" t="n">
        <x:v>4</x:v>
      </x:c>
      <x:c r="I4917" s="6" t="n">
        <x:f>G4917-H4917</x:f>
        <x:v>1</x:v>
      </x:c>
      <x:c r="J4917" s="6" t="n">
        <x:f>IF(OR(E4917="CANCELED",E4917="SUSPECTED_FRAUD",F4917="Shipping canceled"),0,1)</x:f>
        <x:v>1</x:v>
      </x:c>
      <x:c r="K4917" s="6" t="n">
        <x:f>IF(G4917&gt;H4917,1,0)</x:f>
        <x:v>1</x:v>
      </x:c>
      <x:c r="L4917" s="6" t="n">
        <x:f>J4917*K4917</x:f>
        <x:v>1</x:v>
      </x:c>
    </x:row>
    <x:row r="4918">
      <x:c r="A4918" s="1" t="n">
        <x:v>38119</x:v>
      </x:c>
      <x:c r="B4918" s="5" t="d">
        <x:v>2016-07-10T00:00:00.000Z</x:v>
      </x:c>
      <x:c r="C4918" s="1" t="str">
        <x:v>Standard Class</x:v>
      </x:c>
      <x:c r="D4918" s="1" t="str">
        <x:v>USCA</x:v>
      </x:c>
      <x:c r="E4918" s="1" t="str">
        <x:v>COMPLETE</x:v>
      </x:c>
      <x:c r="F4918" s="1" t="str">
        <x:v>Late delivery</x:v>
      </x:c>
      <x:c r="G4918" s="6" t="n">
        <x:v>5</x:v>
      </x:c>
      <x:c r="H4918" s="6" t="n">
        <x:v>4</x:v>
      </x:c>
      <x:c r="I4918" s="6" t="n">
        <x:f>G4918-H4918</x:f>
        <x:v>1</x:v>
      </x:c>
      <x:c r="J4918" s="6" t="n">
        <x:f>IF(OR(E4918="CANCELED",E4918="SUSPECTED_FRAUD",F4918="Shipping canceled"),0,1)</x:f>
        <x:v>1</x:v>
      </x:c>
      <x:c r="K4918" s="6" t="n">
        <x:f>IF(G4918&gt;H4918,1,0)</x:f>
        <x:v>1</x:v>
      </x:c>
      <x:c r="L4918" s="6" t="n">
        <x:f>J4918*K4918</x:f>
        <x:v>1</x:v>
      </x:c>
    </x:row>
    <x:row r="4919">
      <x:c r="A4919" s="1" t="n">
        <x:v>38129</x:v>
      </x:c>
      <x:c r="B4919" s="5" t="d">
        <x:v>2016-07-10T00:00:00.000Z</x:v>
      </x:c>
      <x:c r="C4919" s="1" t="str">
        <x:v>Standard Class</x:v>
      </x:c>
      <x:c r="D4919" s="1" t="str">
        <x:v>USCA</x:v>
      </x:c>
      <x:c r="E4919" s="1" t="str">
        <x:v>PENDING</x:v>
      </x:c>
      <x:c r="F4919" s="1" t="str">
        <x:v>Late delivery</x:v>
      </x:c>
      <x:c r="G4919" s="6" t="n">
        <x:v>5</x:v>
      </x:c>
      <x:c r="H4919" s="6" t="n">
        <x:v>4</x:v>
      </x:c>
      <x:c r="I4919" s="6" t="n">
        <x:f>G4919-H4919</x:f>
        <x:v>1</x:v>
      </x:c>
      <x:c r="J4919" s="6" t="n">
        <x:f>IF(OR(E4919="CANCELED",E4919="SUSPECTED_FRAUD",F4919="Shipping canceled"),0,1)</x:f>
        <x:v>1</x:v>
      </x:c>
      <x:c r="K4919" s="6" t="n">
        <x:f>IF(G4919&gt;H4919,1,0)</x:f>
        <x:v>1</x:v>
      </x:c>
      <x:c r="L4919" s="6" t="n">
        <x:f>J4919*K4919</x:f>
        <x:v>1</x:v>
      </x:c>
    </x:row>
    <x:row r="4920">
      <x:c r="A4920" s="1" t="n">
        <x:v>38137</x:v>
      </x:c>
      <x:c r="B4920" s="5" t="d">
        <x:v>2016-07-10T00:00:00.000Z</x:v>
      </x:c>
      <x:c r="C4920" s="1" t="str">
        <x:v>Standard Class</x:v>
      </x:c>
      <x:c r="D4920" s="1" t="str">
        <x:v>USCA</x:v>
      </x:c>
      <x:c r="E4920" s="1" t="str">
        <x:v>PENDING</x:v>
      </x:c>
      <x:c r="F4920" s="1" t="str">
        <x:v>Advance shipping</x:v>
      </x:c>
      <x:c r="G4920" s="6" t="n">
        <x:v>3</x:v>
      </x:c>
      <x:c r="H4920" s="6" t="n">
        <x:v>4</x:v>
      </x:c>
      <x:c r="I4920" s="6" t="n">
        <x:f>G4920-H4920</x:f>
        <x:v>-1</x:v>
      </x:c>
      <x:c r="J4920" s="6" t="n">
        <x:f>IF(OR(E4920="CANCELED",E4920="SUSPECTED_FRAUD",F4920="Shipping canceled"),0,1)</x:f>
        <x:v>1</x:v>
      </x:c>
      <x:c r="K4920" s="6" t="n">
        <x:f>IF(G4920&gt;H4920,1,0)</x:f>
        <x:v>0</x:v>
      </x:c>
      <x:c r="L4920" s="6" t="n">
        <x:f>J4920*K4920</x:f>
        <x:v>0</x:v>
      </x:c>
    </x:row>
    <x:row r="4921">
      <x:c r="A4921" s="1" t="n">
        <x:v>38151</x:v>
      </x:c>
      <x:c r="B4921" s="5" t="d">
        <x:v>2016-07-10T00:00:00.000Z</x:v>
      </x:c>
      <x:c r="C4921" s="1" t="str">
        <x:v>Standard Class</x:v>
      </x:c>
      <x:c r="D4921" s="1" t="str">
        <x:v>USCA</x:v>
      </x:c>
      <x:c r="E4921" s="1" t="str">
        <x:v>COMPLETE</x:v>
      </x:c>
      <x:c r="F4921" s="1" t="str">
        <x:v>Advance shipping</x:v>
      </x:c>
      <x:c r="G4921" s="6" t="n">
        <x:v>2</x:v>
      </x:c>
      <x:c r="H4921" s="6" t="n">
        <x:v>4</x:v>
      </x:c>
      <x:c r="I4921" s="6" t="n">
        <x:f>G4921-H4921</x:f>
        <x:v>-2</x:v>
      </x:c>
      <x:c r="J4921" s="6" t="n">
        <x:f>IF(OR(E4921="CANCELED",E4921="SUSPECTED_FRAUD",F4921="Shipping canceled"),0,1)</x:f>
        <x:v>1</x:v>
      </x:c>
      <x:c r="K4921" s="6" t="n">
        <x:f>IF(G4921&gt;H4921,1,0)</x:f>
        <x:v>0</x:v>
      </x:c>
      <x:c r="L4921" s="6" t="n">
        <x:f>J4921*K4921</x:f>
        <x:v>0</x:v>
      </x:c>
    </x:row>
    <x:row r="4922">
      <x:c r="A4922" s="1" t="n">
        <x:v>38158</x:v>
      </x:c>
      <x:c r="B4922" s="5" t="d">
        <x:v>2016-07-11T00:00:00.000Z</x:v>
      </x:c>
      <x:c r="C4922" s="1" t="str">
        <x:v>Standard Class</x:v>
      </x:c>
      <x:c r="D4922" s="1" t="str">
        <x:v>USCA</x:v>
      </x:c>
      <x:c r="E4922" s="1" t="str">
        <x:v>PROCESSING</x:v>
      </x:c>
      <x:c r="F4922" s="1" t="str">
        <x:v>Shipping on time</x:v>
      </x:c>
      <x:c r="G4922" s="6" t="n">
        <x:v>4</x:v>
      </x:c>
      <x:c r="H4922" s="6" t="n">
        <x:v>4</x:v>
      </x:c>
      <x:c r="I4922" s="6" t="n">
        <x:f>G4922-H4922</x:f>
        <x:v>0</x:v>
      </x:c>
      <x:c r="J4922" s="6" t="n">
        <x:f>IF(OR(E4922="CANCELED",E4922="SUSPECTED_FRAUD",F4922="Shipping canceled"),0,1)</x:f>
        <x:v>1</x:v>
      </x:c>
      <x:c r="K4922" s="6" t="n">
        <x:f>IF(G4922&gt;H4922,1,0)</x:f>
        <x:v>0</x:v>
      </x:c>
      <x:c r="L4922" s="6" t="n">
        <x:f>J4922*K4922</x:f>
        <x:v>0</x:v>
      </x:c>
    </x:row>
    <x:row r="4923">
      <x:c r="A4923" s="1" t="n">
        <x:v>38179</x:v>
      </x:c>
      <x:c r="B4923" s="5" t="d">
        <x:v>2016-07-11T00:00:00.000Z</x:v>
      </x:c>
      <x:c r="C4923" s="1" t="str">
        <x:v>Standard Class</x:v>
      </x:c>
      <x:c r="D4923" s="1" t="str">
        <x:v>USCA</x:v>
      </x:c>
      <x:c r="E4923" s="1" t="str">
        <x:v>COMPLETE</x:v>
      </x:c>
      <x:c r="F4923" s="1" t="str">
        <x:v>Late delivery</x:v>
      </x:c>
      <x:c r="G4923" s="6" t="n">
        <x:v>5</x:v>
      </x:c>
      <x:c r="H4923" s="6" t="n">
        <x:v>4</x:v>
      </x:c>
      <x:c r="I4923" s="6" t="n">
        <x:f>G4923-H4923</x:f>
        <x:v>1</x:v>
      </x:c>
      <x:c r="J4923" s="6" t="n">
        <x:f>IF(OR(E4923="CANCELED",E4923="SUSPECTED_FRAUD",F4923="Shipping canceled"),0,1)</x:f>
        <x:v>1</x:v>
      </x:c>
      <x:c r="K4923" s="6" t="n">
        <x:f>IF(G4923&gt;H4923,1,0)</x:f>
        <x:v>1</x:v>
      </x:c>
      <x:c r="L4923" s="6" t="n">
        <x:f>J4923*K4923</x:f>
        <x:v>1</x:v>
      </x:c>
    </x:row>
    <x:row r="4924">
      <x:c r="A4924" s="1" t="n">
        <x:v>38188</x:v>
      </x:c>
      <x:c r="B4924" s="5" t="d">
        <x:v>2016-07-11T00:00:00.000Z</x:v>
      </x:c>
      <x:c r="C4924" s="1" t="str">
        <x:v>Second Class</x:v>
      </x:c>
      <x:c r="D4924" s="1" t="str">
        <x:v>USCA</x:v>
      </x:c>
      <x:c r="E4924" s="1" t="str">
        <x:v>CLOSED</x:v>
      </x:c>
      <x:c r="F4924" s="1" t="str">
        <x:v>Late delivery</x:v>
      </x:c>
      <x:c r="G4924" s="6" t="n">
        <x:v>4</x:v>
      </x:c>
      <x:c r="H4924" s="6" t="n">
        <x:v>2</x:v>
      </x:c>
      <x:c r="I4924" s="6" t="n">
        <x:f>G4924-H4924</x:f>
        <x:v>2</x:v>
      </x:c>
      <x:c r="J4924" s="6" t="n">
        <x:f>IF(OR(E4924="CANCELED",E4924="SUSPECTED_FRAUD",F4924="Shipping canceled"),0,1)</x:f>
        <x:v>1</x:v>
      </x:c>
      <x:c r="K4924" s="6" t="n">
        <x:f>IF(G4924&gt;H4924,1,0)</x:f>
        <x:v>1</x:v>
      </x:c>
      <x:c r="L4924" s="6" t="n">
        <x:f>J4924*K4924</x:f>
        <x:v>1</x:v>
      </x:c>
    </x:row>
    <x:row r="4925">
      <x:c r="A4925" s="1" t="n">
        <x:v>38214</x:v>
      </x:c>
      <x:c r="B4925" s="5" t="d">
        <x:v>2016-07-11T00:00:00.000Z</x:v>
      </x:c>
      <x:c r="C4925" s="1" t="str">
        <x:v>Standard Class</x:v>
      </x:c>
      <x:c r="D4925" s="1" t="str">
        <x:v>USCA</x:v>
      </x:c>
      <x:c r="E4925" s="1" t="str">
        <x:v>COMPLETE</x:v>
      </x:c>
      <x:c r="F4925" s="1" t="str">
        <x:v>Late delivery</x:v>
      </x:c>
      <x:c r="G4925" s="6" t="n">
        <x:v>5</x:v>
      </x:c>
      <x:c r="H4925" s="6" t="n">
        <x:v>4</x:v>
      </x:c>
      <x:c r="I4925" s="6" t="n">
        <x:f>G4925-H4925</x:f>
        <x:v>1</x:v>
      </x:c>
      <x:c r="J4925" s="6" t="n">
        <x:f>IF(OR(E4925="CANCELED",E4925="SUSPECTED_FRAUD",F4925="Shipping canceled"),0,1)</x:f>
        <x:v>1</x:v>
      </x:c>
      <x:c r="K4925" s="6" t="n">
        <x:f>IF(G4925&gt;H4925,1,0)</x:f>
        <x:v>1</x:v>
      </x:c>
      <x:c r="L4925" s="6" t="n">
        <x:f>J4925*K4925</x:f>
        <x:v>1</x:v>
      </x:c>
    </x:row>
    <x:row r="4926">
      <x:c r="A4926" s="1" t="n">
        <x:v>38216</x:v>
      </x:c>
      <x:c r="B4926" s="5" t="d">
        <x:v>2016-07-11T00:00:00.000Z</x:v>
      </x:c>
      <x:c r="C4926" s="1" t="str">
        <x:v>Standard Class</x:v>
      </x:c>
      <x:c r="D4926" s="1" t="str">
        <x:v>USCA</x:v>
      </x:c>
      <x:c r="E4926" s="1" t="str">
        <x:v>COMPLETE</x:v>
      </x:c>
      <x:c r="F4926" s="1" t="str">
        <x:v>Advance shipping</x:v>
      </x:c>
      <x:c r="G4926" s="6" t="n">
        <x:v>2</x:v>
      </x:c>
      <x:c r="H4926" s="6" t="n">
        <x:v>4</x:v>
      </x:c>
      <x:c r="I4926" s="6" t="n">
        <x:f>G4926-H4926</x:f>
        <x:v>-2</x:v>
      </x:c>
      <x:c r="J4926" s="6" t="n">
        <x:f>IF(OR(E4926="CANCELED",E4926="SUSPECTED_FRAUD",F4926="Shipping canceled"),0,1)</x:f>
        <x:v>1</x:v>
      </x:c>
      <x:c r="K4926" s="6" t="n">
        <x:f>IF(G4926&gt;H4926,1,0)</x:f>
        <x:v>0</x:v>
      </x:c>
      <x:c r="L4926" s="6" t="n">
        <x:f>J4926*K4926</x:f>
        <x:v>0</x:v>
      </x:c>
    </x:row>
    <x:row r="4927">
      <x:c r="A4927" s="1" t="n">
        <x:v>38242</x:v>
      </x:c>
      <x:c r="B4927" s="5" t="d">
        <x:v>2016-07-12T00:00:00.000Z</x:v>
      </x:c>
      <x:c r="C4927" s="1" t="str">
        <x:v>Standard Class</x:v>
      </x:c>
      <x:c r="D4927" s="1" t="str">
        <x:v>USCA</x:v>
      </x:c>
      <x:c r="E4927" s="1" t="str">
        <x:v>PENDING_PAYMENT</x:v>
      </x:c>
      <x:c r="F4927" s="1" t="str">
        <x:v>Advance shipping</x:v>
      </x:c>
      <x:c r="G4927" s="6" t="n">
        <x:v>3</x:v>
      </x:c>
      <x:c r="H4927" s="6" t="n">
        <x:v>4</x:v>
      </x:c>
      <x:c r="I4927" s="6" t="n">
        <x:f>G4927-H4927</x:f>
        <x:v>-1</x:v>
      </x:c>
      <x:c r="J4927" s="6" t="n">
        <x:f>IF(OR(E4927="CANCELED",E4927="SUSPECTED_FRAUD",F4927="Shipping canceled"),0,1)</x:f>
        <x:v>1</x:v>
      </x:c>
      <x:c r="K4927" s="6" t="n">
        <x:f>IF(G4927&gt;H4927,1,0)</x:f>
        <x:v>0</x:v>
      </x:c>
      <x:c r="L4927" s="6" t="n">
        <x:f>J4927*K4927</x:f>
        <x:v>0</x:v>
      </x:c>
    </x:row>
    <x:row r="4928">
      <x:c r="A4928" s="1" t="n">
        <x:v>38256</x:v>
      </x:c>
      <x:c r="B4928" s="5" t="d">
        <x:v>2016-07-12T00:00:00.000Z</x:v>
      </x:c>
      <x:c r="C4928" s="1" t="str">
        <x:v>Standard Class</x:v>
      </x:c>
      <x:c r="D4928" s="1" t="str">
        <x:v>USCA</x:v>
      </x:c>
      <x:c r="E4928" s="1" t="str">
        <x:v>PENDING_PAYMENT</x:v>
      </x:c>
      <x:c r="F4928" s="1" t="str">
        <x:v>Advance shipping</x:v>
      </x:c>
      <x:c r="G4928" s="6" t="n">
        <x:v>2</x:v>
      </x:c>
      <x:c r="H4928" s="6" t="n">
        <x:v>4</x:v>
      </x:c>
      <x:c r="I4928" s="6" t="n">
        <x:f>G4928-H4928</x:f>
        <x:v>-2</x:v>
      </x:c>
      <x:c r="J4928" s="6" t="n">
        <x:f>IF(OR(E4928="CANCELED",E4928="SUSPECTED_FRAUD",F4928="Shipping canceled"),0,1)</x:f>
        <x:v>1</x:v>
      </x:c>
      <x:c r="K4928" s="6" t="n">
        <x:f>IF(G4928&gt;H4928,1,0)</x:f>
        <x:v>0</x:v>
      </x:c>
      <x:c r="L4928" s="6" t="n">
        <x:f>J4928*K4928</x:f>
        <x:v>0</x:v>
      </x:c>
    </x:row>
    <x:row r="4929">
      <x:c r="A4929" s="1" t="n">
        <x:v>38258</x:v>
      </x:c>
      <x:c r="B4929" s="5" t="d">
        <x:v>2016-07-12T00:00:00.000Z</x:v>
      </x:c>
      <x:c r="C4929" s="1" t="str">
        <x:v>Standard Class</x:v>
      </x:c>
      <x:c r="D4929" s="1" t="str">
        <x:v>USCA</x:v>
      </x:c>
      <x:c r="E4929" s="1" t="str">
        <x:v>PENDING</x:v>
      </x:c>
      <x:c r="F4929" s="1" t="str">
        <x:v>Shipping on time</x:v>
      </x:c>
      <x:c r="G4929" s="6" t="n">
        <x:v>4</x:v>
      </x:c>
      <x:c r="H4929" s="6" t="n">
        <x:v>4</x:v>
      </x:c>
      <x:c r="I4929" s="6" t="n">
        <x:f>G4929-H4929</x:f>
        <x:v>0</x:v>
      </x:c>
      <x:c r="J4929" s="6" t="n">
        <x:f>IF(OR(E4929="CANCELED",E4929="SUSPECTED_FRAUD",F4929="Shipping canceled"),0,1)</x:f>
        <x:v>1</x:v>
      </x:c>
      <x:c r="K4929" s="6" t="n">
        <x:f>IF(G4929&gt;H4929,1,0)</x:f>
        <x:v>0</x:v>
      </x:c>
      <x:c r="L4929" s="6" t="n">
        <x:f>J4929*K4929</x:f>
        <x:v>0</x:v>
      </x:c>
    </x:row>
    <x:row r="4930">
      <x:c r="A4930" s="1" t="n">
        <x:v>38260</x:v>
      </x:c>
      <x:c r="B4930" s="5" t="d">
        <x:v>2016-07-12T00:00:00.000Z</x:v>
      </x:c>
      <x:c r="C4930" s="1" t="str">
        <x:v>Standard Class</x:v>
      </x:c>
      <x:c r="D4930" s="1" t="str">
        <x:v>USCA</x:v>
      </x:c>
      <x:c r="E4930" s="1" t="str">
        <x:v>COMPLETE</x:v>
      </x:c>
      <x:c r="F4930" s="1" t="str">
        <x:v>Late delivery</x:v>
      </x:c>
      <x:c r="G4930" s="6" t="n">
        <x:v>6</x:v>
      </x:c>
      <x:c r="H4930" s="6" t="n">
        <x:v>4</x:v>
      </x:c>
      <x:c r="I4930" s="6" t="n">
        <x:f>G4930-H4930</x:f>
        <x:v>2</x:v>
      </x:c>
      <x:c r="J4930" s="6" t="n">
        <x:f>IF(OR(E4930="CANCELED",E4930="SUSPECTED_FRAUD",F4930="Shipping canceled"),0,1)</x:f>
        <x:v>1</x:v>
      </x:c>
      <x:c r="K4930" s="6" t="n">
        <x:f>IF(G4930&gt;H4930,1,0)</x:f>
        <x:v>1</x:v>
      </x:c>
      <x:c r="L4930" s="6" t="n">
        <x:f>J4930*K4930</x:f>
        <x:v>1</x:v>
      </x:c>
    </x:row>
    <x:row r="4931">
      <x:c r="A4931" s="1" t="n">
        <x:v>38296</x:v>
      </x:c>
      <x:c r="B4931" s="5" t="d">
        <x:v>2016-07-13T00:00:00.000Z</x:v>
      </x:c>
      <x:c r="C4931" s="1" t="str">
        <x:v>Standard Class</x:v>
      </x:c>
      <x:c r="D4931" s="1" t="str">
        <x:v>USCA</x:v>
      </x:c>
      <x:c r="E4931" s="1" t="str">
        <x:v>PENDING</x:v>
      </x:c>
      <x:c r="F4931" s="1" t="str">
        <x:v>Advance shipping</x:v>
      </x:c>
      <x:c r="G4931" s="6" t="n">
        <x:v>2</x:v>
      </x:c>
      <x:c r="H4931" s="6" t="n">
        <x:v>4</x:v>
      </x:c>
      <x:c r="I4931" s="6" t="n">
        <x:f>G4931-H4931</x:f>
        <x:v>-2</x:v>
      </x:c>
      <x:c r="J4931" s="6" t="n">
        <x:f>IF(OR(E4931="CANCELED",E4931="SUSPECTED_FRAUD",F4931="Shipping canceled"),0,1)</x:f>
        <x:v>1</x:v>
      </x:c>
      <x:c r="K4931" s="6" t="n">
        <x:f>IF(G4931&gt;H4931,1,0)</x:f>
        <x:v>0</x:v>
      </x:c>
      <x:c r="L4931" s="6" t="n">
        <x:f>J4931*K4931</x:f>
        <x:v>0</x:v>
      </x:c>
    </x:row>
    <x:row r="4932">
      <x:c r="A4932" s="1" t="n">
        <x:v>38303</x:v>
      </x:c>
      <x:c r="B4932" s="5" t="d">
        <x:v>2016-07-13T00:00:00.000Z</x:v>
      </x:c>
      <x:c r="C4932" s="1" t="str">
        <x:v>Standard Class</x:v>
      </x:c>
      <x:c r="D4932" s="1" t="str">
        <x:v>USCA</x:v>
      </x:c>
      <x:c r="E4932" s="1" t="str">
        <x:v>PROCESSING</x:v>
      </x:c>
      <x:c r="F4932" s="1" t="str">
        <x:v>Shipping on time</x:v>
      </x:c>
      <x:c r="G4932" s="6" t="n">
        <x:v>4</x:v>
      </x:c>
      <x:c r="H4932" s="6" t="n">
        <x:v>4</x:v>
      </x:c>
      <x:c r="I4932" s="6" t="n">
        <x:f>G4932-H4932</x:f>
        <x:v>0</x:v>
      </x:c>
      <x:c r="J4932" s="6" t="n">
        <x:f>IF(OR(E4932="CANCELED",E4932="SUSPECTED_FRAUD",F4932="Shipping canceled"),0,1)</x:f>
        <x:v>1</x:v>
      </x:c>
      <x:c r="K4932" s="6" t="n">
        <x:f>IF(G4932&gt;H4932,1,0)</x:f>
        <x:v>0</x:v>
      </x:c>
      <x:c r="L4932" s="6" t="n">
        <x:f>J4932*K4932</x:f>
        <x:v>0</x:v>
      </x:c>
    </x:row>
    <x:row r="4933">
      <x:c r="A4933" s="1" t="n">
        <x:v>38305</x:v>
      </x:c>
      <x:c r="B4933" s="5" t="d">
        <x:v>2016-07-13T00:00:00.000Z</x:v>
      </x:c>
      <x:c r="C4933" s="1" t="str">
        <x:v>Standard Class</x:v>
      </x:c>
      <x:c r="D4933" s="1" t="str">
        <x:v>USCA</x:v>
      </x:c>
      <x:c r="E4933" s="1" t="str">
        <x:v>SUSPECTED_FRAUD</x:v>
      </x:c>
      <x:c r="F4933" s="1" t="str">
        <x:v>Shipping canceled</x:v>
      </x:c>
      <x:c r="G4933" s="6" t="n">
        <x:v>6</x:v>
      </x:c>
      <x:c r="H4933" s="6" t="n">
        <x:v>4</x:v>
      </x:c>
      <x:c r="I4933" s="6" t="n">
        <x:f>G4933-H4933</x:f>
        <x:v>2</x:v>
      </x:c>
      <x:c r="J4933" s="6" t="n">
        <x:f>IF(OR(E4933="CANCELED",E4933="SUSPECTED_FRAUD",F4933="Shipping canceled"),0,1)</x:f>
        <x:v>0</x:v>
      </x:c>
      <x:c r="K4933" s="6" t="n">
        <x:f>IF(G4933&gt;H4933,1,0)</x:f>
        <x:v>1</x:v>
      </x:c>
      <x:c r="L4933" s="6" t="n">
        <x:f>J4933*K4933</x:f>
        <x:v>0</x:v>
      </x:c>
    </x:row>
    <x:row r="4934">
      <x:c r="A4934" s="1" t="n">
        <x:v>38308</x:v>
      </x:c>
      <x:c r="B4934" s="5" t="d">
        <x:v>2016-07-13T00:00:00.000Z</x:v>
      </x:c>
      <x:c r="C4934" s="1" t="str">
        <x:v>Standard Class</x:v>
      </x:c>
      <x:c r="D4934" s="1" t="str">
        <x:v>USCA</x:v>
      </x:c>
      <x:c r="E4934" s="1" t="str">
        <x:v>COMPLETE</x:v>
      </x:c>
      <x:c r="F4934" s="1" t="str">
        <x:v>Shipping on time</x:v>
      </x:c>
      <x:c r="G4934" s="6" t="n">
        <x:v>4</x:v>
      </x:c>
      <x:c r="H4934" s="6" t="n">
        <x:v>4</x:v>
      </x:c>
      <x:c r="I4934" s="6" t="n">
        <x:f>G4934-H4934</x:f>
        <x:v>0</x:v>
      </x:c>
      <x:c r="J4934" s="6" t="n">
        <x:f>IF(OR(E4934="CANCELED",E4934="SUSPECTED_FRAUD",F4934="Shipping canceled"),0,1)</x:f>
        <x:v>1</x:v>
      </x:c>
      <x:c r="K4934" s="6" t="n">
        <x:f>IF(G4934&gt;H4934,1,0)</x:f>
        <x:v>0</x:v>
      </x:c>
      <x:c r="L4934" s="6" t="n">
        <x:f>J4934*K4934</x:f>
        <x:v>0</x:v>
      </x:c>
    </x:row>
    <x:row r="4935">
      <x:c r="A4935" s="1" t="n">
        <x:v>38366</x:v>
      </x:c>
      <x:c r="B4935" s="5" t="d">
        <x:v>2016-07-14T00:00:00.000Z</x:v>
      </x:c>
      <x:c r="C4935" s="1" t="str">
        <x:v>Second Class</x:v>
      </x:c>
      <x:c r="D4935" s="1" t="str">
        <x:v>USCA</x:v>
      </x:c>
      <x:c r="E4935" s="1" t="str">
        <x:v>CANCELED</x:v>
      </x:c>
      <x:c r="F4935" s="1" t="str">
        <x:v>Shipping canceled</x:v>
      </x:c>
      <x:c r="G4935" s="6" t="n">
        <x:v>2</x:v>
      </x:c>
      <x:c r="H4935" s="6" t="n">
        <x:v>2</x:v>
      </x:c>
      <x:c r="I4935" s="6" t="n">
        <x:f>G4935-H4935</x:f>
        <x:v>0</x:v>
      </x:c>
      <x:c r="J4935" s="6" t="n">
        <x:f>IF(OR(E4935="CANCELED",E4935="SUSPECTED_FRAUD",F4935="Shipping canceled"),0,1)</x:f>
        <x:v>0</x:v>
      </x:c>
      <x:c r="K4935" s="6" t="n">
        <x:f>IF(G4935&gt;H4935,1,0)</x:f>
        <x:v>0</x:v>
      </x:c>
      <x:c r="L4935" s="6" t="n">
        <x:f>J4935*K4935</x:f>
        <x:v>0</x:v>
      </x:c>
    </x:row>
    <x:row r="4936">
      <x:c r="A4936" s="1" t="n">
        <x:v>38371</x:v>
      </x:c>
      <x:c r="B4936" s="5" t="d">
        <x:v>2016-07-14T00:00:00.000Z</x:v>
      </x:c>
      <x:c r="C4936" s="1" t="str">
        <x:v>Second Class</x:v>
      </x:c>
      <x:c r="D4936" s="1" t="str">
        <x:v>USCA</x:v>
      </x:c>
      <x:c r="E4936" s="1" t="str">
        <x:v>ON_HOLD</x:v>
      </x:c>
      <x:c r="F4936" s="1" t="str">
        <x:v>Shipping on time</x:v>
      </x:c>
      <x:c r="G4936" s="6" t="n">
        <x:v>2</x:v>
      </x:c>
      <x:c r="H4936" s="6" t="n">
        <x:v>2</x:v>
      </x:c>
      <x:c r="I4936" s="6" t="n">
        <x:f>G4936-H4936</x:f>
        <x:v>0</x:v>
      </x:c>
      <x:c r="J4936" s="6" t="n">
        <x:f>IF(OR(E4936="CANCELED",E4936="SUSPECTED_FRAUD",F4936="Shipping canceled"),0,1)</x:f>
        <x:v>1</x:v>
      </x:c>
      <x:c r="K4936" s="6" t="n">
        <x:f>IF(G4936&gt;H4936,1,0)</x:f>
        <x:v>0</x:v>
      </x:c>
      <x:c r="L4936" s="6" t="n">
        <x:f>J4936*K4936</x:f>
        <x:v>0</x:v>
      </x:c>
    </x:row>
    <x:row r="4937">
      <x:c r="A4937" s="1" t="n">
        <x:v>38382</x:v>
      </x:c>
      <x:c r="B4937" s="5" t="d">
        <x:v>2016-07-14T00:00:00.000Z</x:v>
      </x:c>
      <x:c r="C4937" s="1" t="str">
        <x:v>Second Class</x:v>
      </x:c>
      <x:c r="D4937" s="1" t="str">
        <x:v>USCA</x:v>
      </x:c>
      <x:c r="E4937" s="1" t="str">
        <x:v>COMPLETE</x:v>
      </x:c>
      <x:c r="F4937" s="1" t="str">
        <x:v>Late delivery</x:v>
      </x:c>
      <x:c r="G4937" s="6" t="n">
        <x:v>3</x:v>
      </x:c>
      <x:c r="H4937" s="6" t="n">
        <x:v>2</x:v>
      </x:c>
      <x:c r="I4937" s="6" t="n">
        <x:f>G4937-H4937</x:f>
        <x:v>1</x:v>
      </x:c>
      <x:c r="J4937" s="6" t="n">
        <x:f>IF(OR(E4937="CANCELED",E4937="SUSPECTED_FRAUD",F4937="Shipping canceled"),0,1)</x:f>
        <x:v>1</x:v>
      </x:c>
      <x:c r="K4937" s="6" t="n">
        <x:f>IF(G4937&gt;H4937,1,0)</x:f>
        <x:v>1</x:v>
      </x:c>
      <x:c r="L4937" s="6" t="n">
        <x:f>J4937*K4937</x:f>
        <x:v>1</x:v>
      </x:c>
    </x:row>
    <x:row r="4938">
      <x:c r="A4938" s="1" t="n">
        <x:v>38383</x:v>
      </x:c>
      <x:c r="B4938" s="5" t="d">
        <x:v>2016-07-14T00:00:00.000Z</x:v>
      </x:c>
      <x:c r="C4938" s="1" t="str">
        <x:v>Standard Class</x:v>
      </x:c>
      <x:c r="D4938" s="1" t="str">
        <x:v>USCA</x:v>
      </x:c>
      <x:c r="E4938" s="1" t="str">
        <x:v>COMPLETE</x:v>
      </x:c>
      <x:c r="F4938" s="1" t="str">
        <x:v>Shipping on time</x:v>
      </x:c>
      <x:c r="G4938" s="6" t="n">
        <x:v>4</x:v>
      </x:c>
      <x:c r="H4938" s="6" t="n">
        <x:v>4</x:v>
      </x:c>
      <x:c r="I4938" s="6" t="n">
        <x:f>G4938-H4938</x:f>
        <x:v>0</x:v>
      </x:c>
      <x:c r="J4938" s="6" t="n">
        <x:f>IF(OR(E4938="CANCELED",E4938="SUSPECTED_FRAUD",F4938="Shipping canceled"),0,1)</x:f>
        <x:v>1</x:v>
      </x:c>
      <x:c r="K4938" s="6" t="n">
        <x:f>IF(G4938&gt;H4938,1,0)</x:f>
        <x:v>0</x:v>
      </x:c>
      <x:c r="L4938" s="6" t="n">
        <x:f>J4938*K4938</x:f>
        <x:v>0</x:v>
      </x:c>
    </x:row>
    <x:row r="4939">
      <x:c r="A4939" s="1" t="n">
        <x:v>38386</x:v>
      </x:c>
      <x:c r="B4939" s="5" t="d">
        <x:v>2016-07-14T00:00:00.000Z</x:v>
      </x:c>
      <x:c r="C4939" s="1" t="str">
        <x:v>Standard Class</x:v>
      </x:c>
      <x:c r="D4939" s="1" t="str">
        <x:v>USCA</x:v>
      </x:c>
      <x:c r="E4939" s="1" t="str">
        <x:v>COMPLETE</x:v>
      </x:c>
      <x:c r="F4939" s="1" t="str">
        <x:v>Advance shipping</x:v>
      </x:c>
      <x:c r="G4939" s="6" t="n">
        <x:v>2</x:v>
      </x:c>
      <x:c r="H4939" s="6" t="n">
        <x:v>4</x:v>
      </x:c>
      <x:c r="I4939" s="6" t="n">
        <x:f>G4939-H4939</x:f>
        <x:v>-2</x:v>
      </x:c>
      <x:c r="J4939" s="6" t="n">
        <x:f>IF(OR(E4939="CANCELED",E4939="SUSPECTED_FRAUD",F4939="Shipping canceled"),0,1)</x:f>
        <x:v>1</x:v>
      </x:c>
      <x:c r="K4939" s="6" t="n">
        <x:f>IF(G4939&gt;H4939,1,0)</x:f>
        <x:v>0</x:v>
      </x:c>
      <x:c r="L4939" s="6" t="n">
        <x:f>J4939*K4939</x:f>
        <x:v>0</x:v>
      </x:c>
    </x:row>
    <x:row r="4940">
      <x:c r="A4940" s="1" t="n">
        <x:v>38407</x:v>
      </x:c>
      <x:c r="B4940" s="5" t="d">
        <x:v>2016-07-14T00:00:00.000Z</x:v>
      </x:c>
      <x:c r="C4940" s="1" t="str">
        <x:v>First Class</x:v>
      </x:c>
      <x:c r="D4940" s="1" t="str">
        <x:v>USCA</x:v>
      </x:c>
      <x:c r="E4940" s="1" t="str">
        <x:v>PROCESSING</x:v>
      </x:c>
      <x:c r="F4940" s="1" t="str">
        <x:v>Late delivery</x:v>
      </x:c>
      <x:c r="G4940" s="6" t="n">
        <x:v>2</x:v>
      </x:c>
      <x:c r="H4940" s="6" t="n">
        <x:v>1</x:v>
      </x:c>
      <x:c r="I4940" s="6" t="n">
        <x:f>G4940-H4940</x:f>
        <x:v>1</x:v>
      </x:c>
      <x:c r="J4940" s="6" t="n">
        <x:f>IF(OR(E4940="CANCELED",E4940="SUSPECTED_FRAUD",F4940="Shipping canceled"),0,1)</x:f>
        <x:v>1</x:v>
      </x:c>
      <x:c r="K4940" s="6" t="n">
        <x:f>IF(G4940&gt;H4940,1,0)</x:f>
        <x:v>1</x:v>
      </x:c>
      <x:c r="L4940" s="6" t="n">
        <x:f>J4940*K4940</x:f>
        <x:v>1</x:v>
      </x:c>
    </x:row>
    <x:row r="4941">
      <x:c r="A4941" s="1" t="n">
        <x:v>38409</x:v>
      </x:c>
      <x:c r="B4941" s="5" t="d">
        <x:v>2016-07-14T00:00:00.000Z</x:v>
      </x:c>
      <x:c r="C4941" s="1" t="str">
        <x:v>Standard Class</x:v>
      </x:c>
      <x:c r="D4941" s="1" t="str">
        <x:v>USCA</x:v>
      </x:c>
      <x:c r="E4941" s="1" t="str">
        <x:v>PROCESSING</x:v>
      </x:c>
      <x:c r="F4941" s="1" t="str">
        <x:v>Late delivery</x:v>
      </x:c>
      <x:c r="G4941" s="6" t="n">
        <x:v>5</x:v>
      </x:c>
      <x:c r="H4941" s="6" t="n">
        <x:v>4</x:v>
      </x:c>
      <x:c r="I4941" s="6" t="n">
        <x:f>G4941-H4941</x:f>
        <x:v>1</x:v>
      </x:c>
      <x:c r="J4941" s="6" t="n">
        <x:f>IF(OR(E4941="CANCELED",E4941="SUSPECTED_FRAUD",F4941="Shipping canceled"),0,1)</x:f>
        <x:v>1</x:v>
      </x:c>
      <x:c r="K4941" s="6" t="n">
        <x:f>IF(G4941&gt;H4941,1,0)</x:f>
        <x:v>1</x:v>
      </x:c>
      <x:c r="L4941" s="6" t="n">
        <x:f>J4941*K4941</x:f>
        <x:v>1</x:v>
      </x:c>
    </x:row>
    <x:row r="4942">
      <x:c r="A4942" s="1" t="n">
        <x:v>38411</x:v>
      </x:c>
      <x:c r="B4942" s="5" t="d">
        <x:v>2016-07-14T00:00:00.000Z</x:v>
      </x:c>
      <x:c r="C4942" s="1" t="str">
        <x:v>Standard Class</x:v>
      </x:c>
      <x:c r="D4942" s="1" t="str">
        <x:v>USCA</x:v>
      </x:c>
      <x:c r="E4942" s="1" t="str">
        <x:v>PENDING</x:v>
      </x:c>
      <x:c r="F4942" s="1" t="str">
        <x:v>Advance shipping</x:v>
      </x:c>
      <x:c r="G4942" s="6" t="n">
        <x:v>2</x:v>
      </x:c>
      <x:c r="H4942" s="6" t="n">
        <x:v>4</x:v>
      </x:c>
      <x:c r="I4942" s="6" t="n">
        <x:f>G4942-H4942</x:f>
        <x:v>-2</x:v>
      </x:c>
      <x:c r="J4942" s="6" t="n">
        <x:f>IF(OR(E4942="CANCELED",E4942="SUSPECTED_FRAUD",F4942="Shipping canceled"),0,1)</x:f>
        <x:v>1</x:v>
      </x:c>
      <x:c r="K4942" s="6" t="n">
        <x:f>IF(G4942&gt;H4942,1,0)</x:f>
        <x:v>0</x:v>
      </x:c>
      <x:c r="L4942" s="6" t="n">
        <x:f>J4942*K4942</x:f>
        <x:v>0</x:v>
      </x:c>
    </x:row>
    <x:row r="4943">
      <x:c r="A4943" s="1" t="n">
        <x:v>38423</x:v>
      </x:c>
      <x:c r="B4943" s="5" t="d">
        <x:v>2016-07-14T00:00:00.000Z</x:v>
      </x:c>
      <x:c r="C4943" s="1" t="str">
        <x:v>Standard Class</x:v>
      </x:c>
      <x:c r="D4943" s="1" t="str">
        <x:v>USCA</x:v>
      </x:c>
      <x:c r="E4943" s="1" t="str">
        <x:v>PENDING</x:v>
      </x:c>
      <x:c r="F4943" s="1" t="str">
        <x:v>Shipping on time</x:v>
      </x:c>
      <x:c r="G4943" s="6" t="n">
        <x:v>4</x:v>
      </x:c>
      <x:c r="H4943" s="6" t="n">
        <x:v>4</x:v>
      </x:c>
      <x:c r="I4943" s="6" t="n">
        <x:f>G4943-H4943</x:f>
        <x:v>0</x:v>
      </x:c>
      <x:c r="J4943" s="6" t="n">
        <x:f>IF(OR(E4943="CANCELED",E4943="SUSPECTED_FRAUD",F4943="Shipping canceled"),0,1)</x:f>
        <x:v>1</x:v>
      </x:c>
      <x:c r="K4943" s="6" t="n">
        <x:f>IF(G4943&gt;H4943,1,0)</x:f>
        <x:v>0</x:v>
      </x:c>
      <x:c r="L4943" s="6" t="n">
        <x:f>J4943*K4943</x:f>
        <x:v>0</x:v>
      </x:c>
    </x:row>
    <x:row r="4944">
      <x:c r="A4944" s="1" t="n">
        <x:v>38424</x:v>
      </x:c>
      <x:c r="B4944" s="5" t="d">
        <x:v>2016-07-14T00:00:00.000Z</x:v>
      </x:c>
      <x:c r="C4944" s="1" t="str">
        <x:v>Standard Class</x:v>
      </x:c>
      <x:c r="D4944" s="1" t="str">
        <x:v>USCA</x:v>
      </x:c>
      <x:c r="E4944" s="1" t="str">
        <x:v>COMPLETE</x:v>
      </x:c>
      <x:c r="F4944" s="1" t="str">
        <x:v>Late delivery</x:v>
      </x:c>
      <x:c r="G4944" s="6" t="n">
        <x:v>5</x:v>
      </x:c>
      <x:c r="H4944" s="6" t="n">
        <x:v>4</x:v>
      </x:c>
      <x:c r="I4944" s="6" t="n">
        <x:f>G4944-H4944</x:f>
        <x:v>1</x:v>
      </x:c>
      <x:c r="J4944" s="6" t="n">
        <x:f>IF(OR(E4944="CANCELED",E4944="SUSPECTED_FRAUD",F4944="Shipping canceled"),0,1)</x:f>
        <x:v>1</x:v>
      </x:c>
      <x:c r="K4944" s="6" t="n">
        <x:f>IF(G4944&gt;H4944,1,0)</x:f>
        <x:v>1</x:v>
      </x:c>
      <x:c r="L4944" s="6" t="n">
        <x:f>J4944*K4944</x:f>
        <x:v>1</x:v>
      </x:c>
    </x:row>
    <x:row r="4945">
      <x:c r="A4945" s="1" t="n">
        <x:v>38426</x:v>
      </x:c>
      <x:c r="B4945" s="5" t="d">
        <x:v>2016-07-14T00:00:00.000Z</x:v>
      </x:c>
      <x:c r="C4945" s="1" t="str">
        <x:v>First Class</x:v>
      </x:c>
      <x:c r="D4945" s="1" t="str">
        <x:v>USCA</x:v>
      </x:c>
      <x:c r="E4945" s="1" t="str">
        <x:v>COMPLETE</x:v>
      </x:c>
      <x:c r="F4945" s="1" t="str">
        <x:v>Late delivery</x:v>
      </x:c>
      <x:c r="G4945" s="6" t="n">
        <x:v>2</x:v>
      </x:c>
      <x:c r="H4945" s="6" t="n">
        <x:v>1</x:v>
      </x:c>
      <x:c r="I4945" s="6" t="n">
        <x:f>G4945-H4945</x:f>
        <x:v>1</x:v>
      </x:c>
      <x:c r="J4945" s="6" t="n">
        <x:f>IF(OR(E4945="CANCELED",E4945="SUSPECTED_FRAUD",F4945="Shipping canceled"),0,1)</x:f>
        <x:v>1</x:v>
      </x:c>
      <x:c r="K4945" s="6" t="n">
        <x:f>IF(G4945&gt;H4945,1,0)</x:f>
        <x:v>1</x:v>
      </x:c>
      <x:c r="L4945" s="6" t="n">
        <x:f>J4945*K4945</x:f>
        <x:v>1</x:v>
      </x:c>
    </x:row>
    <x:row r="4946">
      <x:c r="A4946" s="1" t="n">
        <x:v>38445</x:v>
      </x:c>
      <x:c r="B4946" s="5" t="d">
        <x:v>2016-07-15T00:00:00.000Z</x:v>
      </x:c>
      <x:c r="C4946" s="1" t="str">
        <x:v>Standard Class</x:v>
      </x:c>
      <x:c r="D4946" s="1" t="str">
        <x:v>USCA</x:v>
      </x:c>
      <x:c r="E4946" s="1" t="str">
        <x:v>COMPLETE</x:v>
      </x:c>
      <x:c r="F4946" s="1" t="str">
        <x:v>Late delivery</x:v>
      </x:c>
      <x:c r="G4946" s="6" t="n">
        <x:v>6</x:v>
      </x:c>
      <x:c r="H4946" s="6" t="n">
        <x:v>4</x:v>
      </x:c>
      <x:c r="I4946" s="6" t="n">
        <x:f>G4946-H4946</x:f>
        <x:v>2</x:v>
      </x:c>
      <x:c r="J4946" s="6" t="n">
        <x:f>IF(OR(E4946="CANCELED",E4946="SUSPECTED_FRAUD",F4946="Shipping canceled"),0,1)</x:f>
        <x:v>1</x:v>
      </x:c>
      <x:c r="K4946" s="6" t="n">
        <x:f>IF(G4946&gt;H4946,1,0)</x:f>
        <x:v>1</x:v>
      </x:c>
      <x:c r="L4946" s="6" t="n">
        <x:f>J4946*K4946</x:f>
        <x:v>1</x:v>
      </x:c>
    </x:row>
    <x:row r="4947">
      <x:c r="A4947" s="1" t="n">
        <x:v>38466</x:v>
      </x:c>
      <x:c r="B4947" s="5" t="d">
        <x:v>2016-07-15T00:00:00.000Z</x:v>
      </x:c>
      <x:c r="C4947" s="1" t="str">
        <x:v>Second Class</x:v>
      </x:c>
      <x:c r="D4947" s="1" t="str">
        <x:v>USCA</x:v>
      </x:c>
      <x:c r="E4947" s="1" t="str">
        <x:v>COMPLETE</x:v>
      </x:c>
      <x:c r="F4947" s="1" t="str">
        <x:v>Shipping on time</x:v>
      </x:c>
      <x:c r="G4947" s="6" t="n">
        <x:v>2</x:v>
      </x:c>
      <x:c r="H4947" s="6" t="n">
        <x:v>2</x:v>
      </x:c>
      <x:c r="I4947" s="6" t="n">
        <x:f>G4947-H4947</x:f>
        <x:v>0</x:v>
      </x:c>
      <x:c r="J4947" s="6" t="n">
        <x:f>IF(OR(E4947="CANCELED",E4947="SUSPECTED_FRAUD",F4947="Shipping canceled"),0,1)</x:f>
        <x:v>1</x:v>
      </x:c>
      <x:c r="K4947" s="6" t="n">
        <x:f>IF(G4947&gt;H4947,1,0)</x:f>
        <x:v>0</x:v>
      </x:c>
      <x:c r="L4947" s="6" t="n">
        <x:f>J4947*K4947</x:f>
        <x:v>0</x:v>
      </x:c>
    </x:row>
    <x:row r="4948">
      <x:c r="A4948" s="1" t="n">
        <x:v>38473</x:v>
      </x:c>
      <x:c r="B4948" s="5" t="d">
        <x:v>2016-07-15T00:00:00.000Z</x:v>
      </x:c>
      <x:c r="C4948" s="1" t="str">
        <x:v>Standard Class</x:v>
      </x:c>
      <x:c r="D4948" s="1" t="str">
        <x:v>USCA</x:v>
      </x:c>
      <x:c r="E4948" s="1" t="str">
        <x:v>PENDING_PAYMENT</x:v>
      </x:c>
      <x:c r="F4948" s="1" t="str">
        <x:v>Shipping on time</x:v>
      </x:c>
      <x:c r="G4948" s="6" t="n">
        <x:v>4</x:v>
      </x:c>
      <x:c r="H4948" s="6" t="n">
        <x:v>4</x:v>
      </x:c>
      <x:c r="I4948" s="6" t="n">
        <x:f>G4948-H4948</x:f>
        <x:v>0</x:v>
      </x:c>
      <x:c r="J4948" s="6" t="n">
        <x:f>IF(OR(E4948="CANCELED",E4948="SUSPECTED_FRAUD",F4948="Shipping canceled"),0,1)</x:f>
        <x:v>1</x:v>
      </x:c>
      <x:c r="K4948" s="6" t="n">
        <x:f>IF(G4948&gt;H4948,1,0)</x:f>
        <x:v>0</x:v>
      </x:c>
      <x:c r="L4948" s="6" t="n">
        <x:f>J4948*K4948</x:f>
        <x:v>0</x:v>
      </x:c>
    </x:row>
    <x:row r="4949">
      <x:c r="A4949" s="1" t="n">
        <x:v>38488</x:v>
      </x:c>
      <x:c r="B4949" s="5" t="d">
        <x:v>2016-07-15T00:00:00.000Z</x:v>
      </x:c>
      <x:c r="C4949" s="1" t="str">
        <x:v>Standard Class</x:v>
      </x:c>
      <x:c r="D4949" s="1" t="str">
        <x:v>USCA</x:v>
      </x:c>
      <x:c r="E4949" s="1" t="str">
        <x:v>PENDING_PAYMENT</x:v>
      </x:c>
      <x:c r="F4949" s="1" t="str">
        <x:v>Shipping on time</x:v>
      </x:c>
      <x:c r="G4949" s="6" t="n">
        <x:v>4</x:v>
      </x:c>
      <x:c r="H4949" s="6" t="n">
        <x:v>4</x:v>
      </x:c>
      <x:c r="I4949" s="6" t="n">
        <x:f>G4949-H4949</x:f>
        <x:v>0</x:v>
      </x:c>
      <x:c r="J4949" s="6" t="n">
        <x:f>IF(OR(E4949="CANCELED",E4949="SUSPECTED_FRAUD",F4949="Shipping canceled"),0,1)</x:f>
        <x:v>1</x:v>
      </x:c>
      <x:c r="K4949" s="6" t="n">
        <x:f>IF(G4949&gt;H4949,1,0)</x:f>
        <x:v>0</x:v>
      </x:c>
      <x:c r="L4949" s="6" t="n">
        <x:f>J4949*K4949</x:f>
        <x:v>0</x:v>
      </x:c>
    </x:row>
    <x:row r="4950">
      <x:c r="A4950" s="1" t="n">
        <x:v>38528</x:v>
      </x:c>
      <x:c r="B4950" s="5" t="d">
        <x:v>2016-07-16T00:00:00.000Z</x:v>
      </x:c>
      <x:c r="C4950" s="1" t="str">
        <x:v>Second Class</x:v>
      </x:c>
      <x:c r="D4950" s="1" t="str">
        <x:v>USCA</x:v>
      </x:c>
      <x:c r="E4950" s="1" t="str">
        <x:v>COMPLETE</x:v>
      </x:c>
      <x:c r="F4950" s="1" t="str">
        <x:v>Late delivery</x:v>
      </x:c>
      <x:c r="G4950" s="6" t="n">
        <x:v>4</x:v>
      </x:c>
      <x:c r="H4950" s="6" t="n">
        <x:v>2</x:v>
      </x:c>
      <x:c r="I4950" s="6" t="n">
        <x:f>G4950-H4950</x:f>
        <x:v>2</x:v>
      </x:c>
      <x:c r="J4950" s="6" t="n">
        <x:f>IF(OR(E4950="CANCELED",E4950="SUSPECTED_FRAUD",F4950="Shipping canceled"),0,1)</x:f>
        <x:v>1</x:v>
      </x:c>
      <x:c r="K4950" s="6" t="n">
        <x:f>IF(G4950&gt;H4950,1,0)</x:f>
        <x:v>1</x:v>
      </x:c>
      <x:c r="L4950" s="6" t="n">
        <x:f>J4950*K4950</x:f>
        <x:v>1</x:v>
      </x:c>
    </x:row>
    <x:row r="4951">
      <x:c r="A4951" s="1" t="n">
        <x:v>38531</x:v>
      </x:c>
      <x:c r="B4951" s="5" t="d">
        <x:v>2016-07-16T00:00:00.000Z</x:v>
      </x:c>
      <x:c r="C4951" s="1" t="str">
        <x:v>Standard Class</x:v>
      </x:c>
      <x:c r="D4951" s="1" t="str">
        <x:v>USCA</x:v>
      </x:c>
      <x:c r="E4951" s="1" t="str">
        <x:v>PENDING</x:v>
      </x:c>
      <x:c r="F4951" s="1" t="str">
        <x:v>Advance shipping</x:v>
      </x:c>
      <x:c r="G4951" s="6" t="n">
        <x:v>2</x:v>
      </x:c>
      <x:c r="H4951" s="6" t="n">
        <x:v>4</x:v>
      </x:c>
      <x:c r="I4951" s="6" t="n">
        <x:f>G4951-H4951</x:f>
        <x:v>-2</x:v>
      </x:c>
      <x:c r="J4951" s="6" t="n">
        <x:f>IF(OR(E4951="CANCELED",E4951="SUSPECTED_FRAUD",F4951="Shipping canceled"),0,1)</x:f>
        <x:v>1</x:v>
      </x:c>
      <x:c r="K4951" s="6" t="n">
        <x:f>IF(G4951&gt;H4951,1,0)</x:f>
        <x:v>0</x:v>
      </x:c>
      <x:c r="L4951" s="6" t="n">
        <x:f>J4951*K4951</x:f>
        <x:v>0</x:v>
      </x:c>
    </x:row>
    <x:row r="4952">
      <x:c r="A4952" s="1" t="n">
        <x:v>38553</x:v>
      </x:c>
      <x:c r="B4952" s="5" t="d">
        <x:v>2016-07-16T00:00:00.000Z</x:v>
      </x:c>
      <x:c r="C4952" s="1" t="str">
        <x:v>Standard Class</x:v>
      </x:c>
      <x:c r="D4952" s="1" t="str">
        <x:v>USCA</x:v>
      </x:c>
      <x:c r="E4952" s="1" t="str">
        <x:v>PENDING</x:v>
      </x:c>
      <x:c r="F4952" s="1" t="str">
        <x:v>Shipping on time</x:v>
      </x:c>
      <x:c r="G4952" s="6" t="n">
        <x:v>4</x:v>
      </x:c>
      <x:c r="H4952" s="6" t="n">
        <x:v>4</x:v>
      </x:c>
      <x:c r="I4952" s="6" t="n">
        <x:f>G4952-H4952</x:f>
        <x:v>0</x:v>
      </x:c>
      <x:c r="J4952" s="6" t="n">
        <x:f>IF(OR(E4952="CANCELED",E4952="SUSPECTED_FRAUD",F4952="Shipping canceled"),0,1)</x:f>
        <x:v>1</x:v>
      </x:c>
      <x:c r="K4952" s="6" t="n">
        <x:f>IF(G4952&gt;H4952,1,0)</x:f>
        <x:v>0</x:v>
      </x:c>
      <x:c r="L4952" s="6" t="n">
        <x:f>J4952*K4952</x:f>
        <x:v>0</x:v>
      </x:c>
    </x:row>
    <x:row r="4953">
      <x:c r="A4953" s="1" t="n">
        <x:v>38557</x:v>
      </x:c>
      <x:c r="B4953" s="5" t="d">
        <x:v>2016-07-16T00:00:00.000Z</x:v>
      </x:c>
      <x:c r="C4953" s="1" t="str">
        <x:v>Standard Class</x:v>
      </x:c>
      <x:c r="D4953" s="1" t="str">
        <x:v>USCA</x:v>
      </x:c>
      <x:c r="E4953" s="1" t="str">
        <x:v>COMPLETE</x:v>
      </x:c>
      <x:c r="F4953" s="1" t="str">
        <x:v>Advance shipping</x:v>
      </x:c>
      <x:c r="G4953" s="6" t="n">
        <x:v>3</x:v>
      </x:c>
      <x:c r="H4953" s="6" t="n">
        <x:v>4</x:v>
      </x:c>
      <x:c r="I4953" s="6" t="n">
        <x:f>G4953-H4953</x:f>
        <x:v>-1</x:v>
      </x:c>
      <x:c r="J4953" s="6" t="n">
        <x:f>IF(OR(E4953="CANCELED",E4953="SUSPECTED_FRAUD",F4953="Shipping canceled"),0,1)</x:f>
        <x:v>1</x:v>
      </x:c>
      <x:c r="K4953" s="6" t="n">
        <x:f>IF(G4953&gt;H4953,1,0)</x:f>
        <x:v>0</x:v>
      </x:c>
      <x:c r="L4953" s="6" t="n">
        <x:f>J4953*K4953</x:f>
        <x:v>0</x:v>
      </x:c>
    </x:row>
    <x:row r="4954">
      <x:c r="A4954" s="1" t="n">
        <x:v>38598</x:v>
      </x:c>
      <x:c r="B4954" s="5" t="d">
        <x:v>2016-07-17T00:00:00.000Z</x:v>
      </x:c>
      <x:c r="C4954" s="1" t="str">
        <x:v>Standard Class</x:v>
      </x:c>
      <x:c r="D4954" s="1" t="str">
        <x:v>USCA</x:v>
      </x:c>
      <x:c r="E4954" s="1" t="str">
        <x:v>SUSPECTED_FRAUD</x:v>
      </x:c>
      <x:c r="F4954" s="1" t="str">
        <x:v>Shipping canceled</x:v>
      </x:c>
      <x:c r="G4954" s="6" t="n">
        <x:v>4</x:v>
      </x:c>
      <x:c r="H4954" s="6" t="n">
        <x:v>4</x:v>
      </x:c>
      <x:c r="I4954" s="6" t="n">
        <x:f>G4954-H4954</x:f>
        <x:v>0</x:v>
      </x:c>
      <x:c r="J4954" s="6" t="n">
        <x:f>IF(OR(E4954="CANCELED",E4954="SUSPECTED_FRAUD",F4954="Shipping canceled"),0,1)</x:f>
        <x:v>0</x:v>
      </x:c>
      <x:c r="K4954" s="6" t="n">
        <x:f>IF(G4954&gt;H4954,1,0)</x:f>
        <x:v>0</x:v>
      </x:c>
      <x:c r="L4954" s="6" t="n">
        <x:f>J4954*K4954</x:f>
        <x:v>0</x:v>
      </x:c>
    </x:row>
    <x:row r="4955">
      <x:c r="A4955" s="1" t="n">
        <x:v>38617</x:v>
      </x:c>
      <x:c r="B4955" s="5" t="d">
        <x:v>2016-07-17T00:00:00.000Z</x:v>
      </x:c>
      <x:c r="C4955" s="1" t="str">
        <x:v>Standard Class</x:v>
      </x:c>
      <x:c r="D4955" s="1" t="str">
        <x:v>USCA</x:v>
      </x:c>
      <x:c r="E4955" s="1" t="str">
        <x:v>COMPLETE</x:v>
      </x:c>
      <x:c r="F4955" s="1" t="str">
        <x:v>Advance shipping</x:v>
      </x:c>
      <x:c r="G4955" s="6" t="n">
        <x:v>3</x:v>
      </x:c>
      <x:c r="H4955" s="6" t="n">
        <x:v>4</x:v>
      </x:c>
      <x:c r="I4955" s="6" t="n">
        <x:f>G4955-H4955</x:f>
        <x:v>-1</x:v>
      </x:c>
      <x:c r="J4955" s="6" t="n">
        <x:f>IF(OR(E4955="CANCELED",E4955="SUSPECTED_FRAUD",F4955="Shipping canceled"),0,1)</x:f>
        <x:v>1</x:v>
      </x:c>
      <x:c r="K4955" s="6" t="n">
        <x:f>IF(G4955&gt;H4955,1,0)</x:f>
        <x:v>0</x:v>
      </x:c>
      <x:c r="L4955" s="6" t="n">
        <x:f>J4955*K4955</x:f>
        <x:v>0</x:v>
      </x:c>
    </x:row>
    <x:row r="4956">
      <x:c r="A4956" s="1" t="n">
        <x:v>38627</x:v>
      </x:c>
      <x:c r="B4956" s="5" t="d">
        <x:v>2016-07-17T00:00:00.000Z</x:v>
      </x:c>
      <x:c r="C4956" s="1" t="str">
        <x:v>Standard Class</x:v>
      </x:c>
      <x:c r="D4956" s="1" t="str">
        <x:v>USCA</x:v>
      </x:c>
      <x:c r="E4956" s="1" t="str">
        <x:v>COMPLETE</x:v>
      </x:c>
      <x:c r="F4956" s="1" t="str">
        <x:v>Advance shipping</x:v>
      </x:c>
      <x:c r="G4956" s="6" t="n">
        <x:v>3</x:v>
      </x:c>
      <x:c r="H4956" s="6" t="n">
        <x:v>4</x:v>
      </x:c>
      <x:c r="I4956" s="6" t="n">
        <x:f>G4956-H4956</x:f>
        <x:v>-1</x:v>
      </x:c>
      <x:c r="J4956" s="6" t="n">
        <x:f>IF(OR(E4956="CANCELED",E4956="SUSPECTED_FRAUD",F4956="Shipping canceled"),0,1)</x:f>
        <x:v>1</x:v>
      </x:c>
      <x:c r="K4956" s="6" t="n">
        <x:f>IF(G4956&gt;H4956,1,0)</x:f>
        <x:v>0</x:v>
      </x:c>
      <x:c r="L4956" s="6" t="n">
        <x:f>J4956*K4956</x:f>
        <x:v>0</x:v>
      </x:c>
    </x:row>
    <x:row r="4957">
      <x:c r="A4957" s="1" t="n">
        <x:v>38633</x:v>
      </x:c>
      <x:c r="B4957" s="5" t="d">
        <x:v>2016-07-17T00:00:00.000Z</x:v>
      </x:c>
      <x:c r="C4957" s="1" t="str">
        <x:v>Standard Class</x:v>
      </x:c>
      <x:c r="D4957" s="1" t="str">
        <x:v>USCA</x:v>
      </x:c>
      <x:c r="E4957" s="1" t="str">
        <x:v>COMPLETE</x:v>
      </x:c>
      <x:c r="F4957" s="1" t="str">
        <x:v>Shipping on time</x:v>
      </x:c>
      <x:c r="G4957" s="6" t="n">
        <x:v>4</x:v>
      </x:c>
      <x:c r="H4957" s="6" t="n">
        <x:v>4</x:v>
      </x:c>
      <x:c r="I4957" s="6" t="n">
        <x:f>G4957-H4957</x:f>
        <x:v>0</x:v>
      </x:c>
      <x:c r="J4957" s="6" t="n">
        <x:f>IF(OR(E4957="CANCELED",E4957="SUSPECTED_FRAUD",F4957="Shipping canceled"),0,1)</x:f>
        <x:v>1</x:v>
      </x:c>
      <x:c r="K4957" s="6" t="n">
        <x:f>IF(G4957&gt;H4957,1,0)</x:f>
        <x:v>0</x:v>
      </x:c>
      <x:c r="L4957" s="6" t="n">
        <x:f>J4957*K4957</x:f>
        <x:v>0</x:v>
      </x:c>
    </x:row>
    <x:row r="4958">
      <x:c r="A4958" s="1" t="n">
        <x:v>38652</x:v>
      </x:c>
      <x:c r="B4958" s="5" t="d">
        <x:v>2016-07-18T00:00:00.000Z</x:v>
      </x:c>
      <x:c r="C4958" s="1" t="str">
        <x:v>Standard Class</x:v>
      </x:c>
      <x:c r="D4958" s="1" t="str">
        <x:v>USCA</x:v>
      </x:c>
      <x:c r="E4958" s="1" t="str">
        <x:v>ON_HOLD</x:v>
      </x:c>
      <x:c r="F4958" s="1" t="str">
        <x:v>Advance shipping</x:v>
      </x:c>
      <x:c r="G4958" s="6" t="n">
        <x:v>3</x:v>
      </x:c>
      <x:c r="H4958" s="6" t="n">
        <x:v>4</x:v>
      </x:c>
      <x:c r="I4958" s="6" t="n">
        <x:f>G4958-H4958</x:f>
        <x:v>-1</x:v>
      </x:c>
      <x:c r="J4958" s="6" t="n">
        <x:f>IF(OR(E4958="CANCELED",E4958="SUSPECTED_FRAUD",F4958="Shipping canceled"),0,1)</x:f>
        <x:v>1</x:v>
      </x:c>
      <x:c r="K4958" s="6" t="n">
        <x:f>IF(G4958&gt;H4958,1,0)</x:f>
        <x:v>0</x:v>
      </x:c>
      <x:c r="L4958" s="6" t="n">
        <x:f>J4958*K4958</x:f>
        <x:v>0</x:v>
      </x:c>
    </x:row>
    <x:row r="4959">
      <x:c r="A4959" s="1" t="n">
        <x:v>38661</x:v>
      </x:c>
      <x:c r="B4959" s="5" t="d">
        <x:v>2016-07-18T00:00:00.000Z</x:v>
      </x:c>
      <x:c r="C4959" s="1" t="str">
        <x:v>Standard Class</x:v>
      </x:c>
      <x:c r="D4959" s="1" t="str">
        <x:v>USCA</x:v>
      </x:c>
      <x:c r="E4959" s="1" t="str">
        <x:v>COMPLETE</x:v>
      </x:c>
      <x:c r="F4959" s="1" t="str">
        <x:v>Advance shipping</x:v>
      </x:c>
      <x:c r="G4959" s="6" t="n">
        <x:v>2</x:v>
      </x:c>
      <x:c r="H4959" s="6" t="n">
        <x:v>4</x:v>
      </x:c>
      <x:c r="I4959" s="6" t="n">
        <x:f>G4959-H4959</x:f>
        <x:v>-2</x:v>
      </x:c>
      <x:c r="J4959" s="6" t="n">
        <x:f>IF(OR(E4959="CANCELED",E4959="SUSPECTED_FRAUD",F4959="Shipping canceled"),0,1)</x:f>
        <x:v>1</x:v>
      </x:c>
      <x:c r="K4959" s="6" t="n">
        <x:f>IF(G4959&gt;H4959,1,0)</x:f>
        <x:v>0</x:v>
      </x:c>
      <x:c r="L4959" s="6" t="n">
        <x:f>J4959*K4959</x:f>
        <x:v>0</x:v>
      </x:c>
    </x:row>
    <x:row r="4960">
      <x:c r="A4960" s="1" t="n">
        <x:v>38697</x:v>
      </x:c>
      <x:c r="B4960" s="5" t="d">
        <x:v>2016-07-18T00:00:00.000Z</x:v>
      </x:c>
      <x:c r="C4960" s="1" t="str">
        <x:v>Standard Class</x:v>
      </x:c>
      <x:c r="D4960" s="1" t="str">
        <x:v>USCA</x:v>
      </x:c>
      <x:c r="E4960" s="1" t="str">
        <x:v>COMPLETE</x:v>
      </x:c>
      <x:c r="F4960" s="1" t="str">
        <x:v>Advance shipping</x:v>
      </x:c>
      <x:c r="G4960" s="6" t="n">
        <x:v>3</x:v>
      </x:c>
      <x:c r="H4960" s="6" t="n">
        <x:v>4</x:v>
      </x:c>
      <x:c r="I4960" s="6" t="n">
        <x:f>G4960-H4960</x:f>
        <x:v>-1</x:v>
      </x:c>
      <x:c r="J4960" s="6" t="n">
        <x:f>IF(OR(E4960="CANCELED",E4960="SUSPECTED_FRAUD",F4960="Shipping canceled"),0,1)</x:f>
        <x:v>1</x:v>
      </x:c>
      <x:c r="K4960" s="6" t="n">
        <x:f>IF(G4960&gt;H4960,1,0)</x:f>
        <x:v>0</x:v>
      </x:c>
      <x:c r="L4960" s="6" t="n">
        <x:f>J4960*K4960</x:f>
        <x:v>0</x:v>
      </x:c>
    </x:row>
    <x:row r="4961">
      <x:c r="A4961" s="1" t="n">
        <x:v>38711</x:v>
      </x:c>
      <x:c r="B4961" s="5" t="d">
        <x:v>2016-07-19T00:00:00.000Z</x:v>
      </x:c>
      <x:c r="C4961" s="1" t="str">
        <x:v>Standard Class</x:v>
      </x:c>
      <x:c r="D4961" s="1" t="str">
        <x:v>USCA</x:v>
      </x:c>
      <x:c r="E4961" s="1" t="str">
        <x:v>COMPLETE</x:v>
      </x:c>
      <x:c r="F4961" s="1" t="str">
        <x:v>Advance shipping</x:v>
      </x:c>
      <x:c r="G4961" s="6" t="n">
        <x:v>2</x:v>
      </x:c>
      <x:c r="H4961" s="6" t="n">
        <x:v>4</x:v>
      </x:c>
      <x:c r="I4961" s="6" t="n">
        <x:f>G4961-H4961</x:f>
        <x:v>-2</x:v>
      </x:c>
      <x:c r="J4961" s="6" t="n">
        <x:f>IF(OR(E4961="CANCELED",E4961="SUSPECTED_FRAUD",F4961="Shipping canceled"),0,1)</x:f>
        <x:v>1</x:v>
      </x:c>
      <x:c r="K4961" s="6" t="n">
        <x:f>IF(G4961&gt;H4961,1,0)</x:f>
        <x:v>0</x:v>
      </x:c>
      <x:c r="L4961" s="6" t="n">
        <x:f>J4961*K4961</x:f>
        <x:v>0</x:v>
      </x:c>
    </x:row>
    <x:row r="4962">
      <x:c r="A4962" s="1" t="n">
        <x:v>38716</x:v>
      </x:c>
      <x:c r="B4962" s="5" t="d">
        <x:v>2016-07-19T00:00:00.000Z</x:v>
      </x:c>
      <x:c r="C4962" s="1" t="str">
        <x:v>Standard Class</x:v>
      </x:c>
      <x:c r="D4962" s="1" t="str">
        <x:v>USCA</x:v>
      </x:c>
      <x:c r="E4962" s="1" t="str">
        <x:v>COMPLETE</x:v>
      </x:c>
      <x:c r="F4962" s="1" t="str">
        <x:v>Advance shipping</x:v>
      </x:c>
      <x:c r="G4962" s="6" t="n">
        <x:v>2</x:v>
      </x:c>
      <x:c r="H4962" s="6" t="n">
        <x:v>4</x:v>
      </x:c>
      <x:c r="I4962" s="6" t="n">
        <x:f>G4962-H4962</x:f>
        <x:v>-2</x:v>
      </x:c>
      <x:c r="J4962" s="6" t="n">
        <x:f>IF(OR(E4962="CANCELED",E4962="SUSPECTED_FRAUD",F4962="Shipping canceled"),0,1)</x:f>
        <x:v>1</x:v>
      </x:c>
      <x:c r="K4962" s="6" t="n">
        <x:f>IF(G4962&gt;H4962,1,0)</x:f>
        <x:v>0</x:v>
      </x:c>
      <x:c r="L4962" s="6" t="n">
        <x:f>J4962*K4962</x:f>
        <x:v>0</x:v>
      </x:c>
    </x:row>
    <x:row r="4963">
      <x:c r="A4963" s="1" t="n">
        <x:v>38737</x:v>
      </x:c>
      <x:c r="B4963" s="5" t="d">
        <x:v>2016-07-19T00:00:00.000Z</x:v>
      </x:c>
      <x:c r="C4963" s="1" t="str">
        <x:v>Second Class</x:v>
      </x:c>
      <x:c r="D4963" s="1" t="str">
        <x:v>USCA</x:v>
      </x:c>
      <x:c r="E4963" s="1" t="str">
        <x:v>COMPLETE</x:v>
      </x:c>
      <x:c r="F4963" s="1" t="str">
        <x:v>Late delivery</x:v>
      </x:c>
      <x:c r="G4963" s="6" t="n">
        <x:v>3</x:v>
      </x:c>
      <x:c r="H4963" s="6" t="n">
        <x:v>2</x:v>
      </x:c>
      <x:c r="I4963" s="6" t="n">
        <x:f>G4963-H4963</x:f>
        <x:v>1</x:v>
      </x:c>
      <x:c r="J4963" s="6" t="n">
        <x:f>IF(OR(E4963="CANCELED",E4963="SUSPECTED_FRAUD",F4963="Shipping canceled"),0,1)</x:f>
        <x:v>1</x:v>
      </x:c>
      <x:c r="K4963" s="6" t="n">
        <x:f>IF(G4963&gt;H4963,1,0)</x:f>
        <x:v>1</x:v>
      </x:c>
      <x:c r="L4963" s="6" t="n">
        <x:f>J4963*K4963</x:f>
        <x:v>1</x:v>
      </x:c>
    </x:row>
    <x:row r="4964">
      <x:c r="A4964" s="1" t="n">
        <x:v>38738</x:v>
      </x:c>
      <x:c r="B4964" s="5" t="d">
        <x:v>2016-07-19T00:00:00.000Z</x:v>
      </x:c>
      <x:c r="C4964" s="1" t="str">
        <x:v>Second Class</x:v>
      </x:c>
      <x:c r="D4964" s="1" t="str">
        <x:v>USCA</x:v>
      </x:c>
      <x:c r="E4964" s="1" t="str">
        <x:v>PENDING</x:v>
      </x:c>
      <x:c r="F4964" s="1" t="str">
        <x:v>Late delivery</x:v>
      </x:c>
      <x:c r="G4964" s="6" t="n">
        <x:v>4</x:v>
      </x:c>
      <x:c r="H4964" s="6" t="n">
        <x:v>2</x:v>
      </x:c>
      <x:c r="I4964" s="6" t="n">
        <x:f>G4964-H4964</x:f>
        <x:v>2</x:v>
      </x:c>
      <x:c r="J4964" s="6" t="n">
        <x:f>IF(OR(E4964="CANCELED",E4964="SUSPECTED_FRAUD",F4964="Shipping canceled"),0,1)</x:f>
        <x:v>1</x:v>
      </x:c>
      <x:c r="K4964" s="6" t="n">
        <x:f>IF(G4964&gt;H4964,1,0)</x:f>
        <x:v>1</x:v>
      </x:c>
      <x:c r="L4964" s="6" t="n">
        <x:f>J4964*K4964</x:f>
        <x:v>1</x:v>
      </x:c>
    </x:row>
    <x:row r="4965">
      <x:c r="A4965" s="1" t="n">
        <x:v>38759</x:v>
      </x:c>
      <x:c r="B4965" s="5" t="d">
        <x:v>2016-07-19T00:00:00.000Z</x:v>
      </x:c>
      <x:c r="C4965" s="1" t="str">
        <x:v>Standard Class</x:v>
      </x:c>
      <x:c r="D4965" s="1" t="str">
        <x:v>USCA</x:v>
      </x:c>
      <x:c r="E4965" s="1" t="str">
        <x:v>CLOSED</x:v>
      </x:c>
      <x:c r="F4965" s="1" t="str">
        <x:v>Late delivery</x:v>
      </x:c>
      <x:c r="G4965" s="6" t="n">
        <x:v>5</x:v>
      </x:c>
      <x:c r="H4965" s="6" t="n">
        <x:v>4</x:v>
      </x:c>
      <x:c r="I4965" s="6" t="n">
        <x:f>G4965-H4965</x:f>
        <x:v>1</x:v>
      </x:c>
      <x:c r="J4965" s="6" t="n">
        <x:f>IF(OR(E4965="CANCELED",E4965="SUSPECTED_FRAUD",F4965="Shipping canceled"),0,1)</x:f>
        <x:v>1</x:v>
      </x:c>
      <x:c r="K4965" s="6" t="n">
        <x:f>IF(G4965&gt;H4965,1,0)</x:f>
        <x:v>1</x:v>
      </x:c>
      <x:c r="L4965" s="6" t="n">
        <x:f>J4965*K4965</x:f>
        <x:v>1</x:v>
      </x:c>
    </x:row>
    <x:row r="4966">
      <x:c r="A4966" s="1" t="n">
        <x:v>38767</x:v>
      </x:c>
      <x:c r="B4966" s="5" t="d">
        <x:v>2016-07-19T00:00:00.000Z</x:v>
      </x:c>
      <x:c r="C4966" s="1" t="str">
        <x:v>Standard Class</x:v>
      </x:c>
      <x:c r="D4966" s="1" t="str">
        <x:v>USCA</x:v>
      </x:c>
      <x:c r="E4966" s="1" t="str">
        <x:v>PENDING</x:v>
      </x:c>
      <x:c r="F4966" s="1" t="str">
        <x:v>Advance shipping</x:v>
      </x:c>
      <x:c r="G4966" s="6" t="n">
        <x:v>3</x:v>
      </x:c>
      <x:c r="H4966" s="6" t="n">
        <x:v>4</x:v>
      </x:c>
      <x:c r="I4966" s="6" t="n">
        <x:f>G4966-H4966</x:f>
        <x:v>-1</x:v>
      </x:c>
      <x:c r="J4966" s="6" t="n">
        <x:f>IF(OR(E4966="CANCELED",E4966="SUSPECTED_FRAUD",F4966="Shipping canceled"),0,1)</x:f>
        <x:v>1</x:v>
      </x:c>
      <x:c r="K4966" s="6" t="n">
        <x:f>IF(G4966&gt;H4966,1,0)</x:f>
        <x:v>0</x:v>
      </x:c>
      <x:c r="L4966" s="6" t="n">
        <x:f>J4966*K4966</x:f>
        <x:v>0</x:v>
      </x:c>
    </x:row>
    <x:row r="4967">
      <x:c r="A4967" s="1" t="n">
        <x:v>38776</x:v>
      </x:c>
      <x:c r="B4967" s="5" t="d">
        <x:v>2016-07-20T00:00:00.000Z</x:v>
      </x:c>
      <x:c r="C4967" s="1" t="str">
        <x:v>Standard Class</x:v>
      </x:c>
      <x:c r="D4967" s="1" t="str">
        <x:v>USCA</x:v>
      </x:c>
      <x:c r="E4967" s="1" t="str">
        <x:v>PENDING_PAYMENT</x:v>
      </x:c>
      <x:c r="F4967" s="1" t="str">
        <x:v>Advance shipping</x:v>
      </x:c>
      <x:c r="G4967" s="6" t="n">
        <x:v>2</x:v>
      </x:c>
      <x:c r="H4967" s="6" t="n">
        <x:v>4</x:v>
      </x:c>
      <x:c r="I4967" s="6" t="n">
        <x:f>G4967-H4967</x:f>
        <x:v>-2</x:v>
      </x:c>
      <x:c r="J4967" s="6" t="n">
        <x:f>IF(OR(E4967="CANCELED",E4967="SUSPECTED_FRAUD",F4967="Shipping canceled"),0,1)</x:f>
        <x:v>1</x:v>
      </x:c>
      <x:c r="K4967" s="6" t="n">
        <x:f>IF(G4967&gt;H4967,1,0)</x:f>
        <x:v>0</x:v>
      </x:c>
      <x:c r="L4967" s="6" t="n">
        <x:f>J4967*K4967</x:f>
        <x:v>0</x:v>
      </x:c>
    </x:row>
    <x:row r="4968">
      <x:c r="A4968" s="1" t="n">
        <x:v>38784</x:v>
      </x:c>
      <x:c r="B4968" s="5" t="d">
        <x:v>2016-07-20T00:00:00.000Z</x:v>
      </x:c>
      <x:c r="C4968" s="1" t="str">
        <x:v>Standard Class</x:v>
      </x:c>
      <x:c r="D4968" s="1" t="str">
        <x:v>USCA</x:v>
      </x:c>
      <x:c r="E4968" s="1" t="str">
        <x:v>COMPLETE</x:v>
      </x:c>
      <x:c r="F4968" s="1" t="str">
        <x:v>Late delivery</x:v>
      </x:c>
      <x:c r="G4968" s="6" t="n">
        <x:v>5</x:v>
      </x:c>
      <x:c r="H4968" s="6" t="n">
        <x:v>4</x:v>
      </x:c>
      <x:c r="I4968" s="6" t="n">
        <x:f>G4968-H4968</x:f>
        <x:v>1</x:v>
      </x:c>
      <x:c r="J4968" s="6" t="n">
        <x:f>IF(OR(E4968="CANCELED",E4968="SUSPECTED_FRAUD",F4968="Shipping canceled"),0,1)</x:f>
        <x:v>1</x:v>
      </x:c>
      <x:c r="K4968" s="6" t="n">
        <x:f>IF(G4968&gt;H4968,1,0)</x:f>
        <x:v>1</x:v>
      </x:c>
      <x:c r="L4968" s="6" t="n">
        <x:f>J4968*K4968</x:f>
        <x:v>1</x:v>
      </x:c>
    </x:row>
    <x:row r="4969">
      <x:c r="A4969" s="1" t="n">
        <x:v>38785</x:v>
      </x:c>
      <x:c r="B4969" s="5" t="d">
        <x:v>2016-07-20T00:00:00.000Z</x:v>
      </x:c>
      <x:c r="C4969" s="1" t="str">
        <x:v>Standard Class</x:v>
      </x:c>
      <x:c r="D4969" s="1" t="str">
        <x:v>USCA</x:v>
      </x:c>
      <x:c r="E4969" s="1" t="str">
        <x:v>COMPLETE</x:v>
      </x:c>
      <x:c r="F4969" s="1" t="str">
        <x:v>Late delivery</x:v>
      </x:c>
      <x:c r="G4969" s="6" t="n">
        <x:v>6</x:v>
      </x:c>
      <x:c r="H4969" s="6" t="n">
        <x:v>4</x:v>
      </x:c>
      <x:c r="I4969" s="6" t="n">
        <x:f>G4969-H4969</x:f>
        <x:v>2</x:v>
      </x:c>
      <x:c r="J4969" s="6" t="n">
        <x:f>IF(OR(E4969="CANCELED",E4969="SUSPECTED_FRAUD",F4969="Shipping canceled"),0,1)</x:f>
        <x:v>1</x:v>
      </x:c>
      <x:c r="K4969" s="6" t="n">
        <x:f>IF(G4969&gt;H4969,1,0)</x:f>
        <x:v>1</x:v>
      </x:c>
      <x:c r="L4969" s="6" t="n">
        <x:f>J4969*K4969</x:f>
        <x:v>1</x:v>
      </x:c>
    </x:row>
    <x:row r="4970">
      <x:c r="A4970" s="1" t="n">
        <x:v>38786</x:v>
      </x:c>
      <x:c r="B4970" s="5" t="d">
        <x:v>2016-07-20T00:00:00.000Z</x:v>
      </x:c>
      <x:c r="C4970" s="1" t="str">
        <x:v>Standard Class</x:v>
      </x:c>
      <x:c r="D4970" s="1" t="str">
        <x:v>USCA</x:v>
      </x:c>
      <x:c r="E4970" s="1" t="str">
        <x:v>COMPLETE</x:v>
      </x:c>
      <x:c r="F4970" s="1" t="str">
        <x:v>Advance shipping</x:v>
      </x:c>
      <x:c r="G4970" s="6" t="n">
        <x:v>2</x:v>
      </x:c>
      <x:c r="H4970" s="6" t="n">
        <x:v>4</x:v>
      </x:c>
      <x:c r="I4970" s="6" t="n">
        <x:f>G4970-H4970</x:f>
        <x:v>-2</x:v>
      </x:c>
      <x:c r="J4970" s="6" t="n">
        <x:f>IF(OR(E4970="CANCELED",E4970="SUSPECTED_FRAUD",F4970="Shipping canceled"),0,1)</x:f>
        <x:v>1</x:v>
      </x:c>
      <x:c r="K4970" s="6" t="n">
        <x:f>IF(G4970&gt;H4970,1,0)</x:f>
        <x:v>0</x:v>
      </x:c>
      <x:c r="L4970" s="6" t="n">
        <x:f>J4970*K4970</x:f>
        <x:v>0</x:v>
      </x:c>
    </x:row>
    <x:row r="4971">
      <x:c r="A4971" s="1" t="n">
        <x:v>38805</x:v>
      </x:c>
      <x:c r="B4971" s="5" t="d">
        <x:v>2016-07-20T00:00:00.000Z</x:v>
      </x:c>
      <x:c r="C4971" s="1" t="str">
        <x:v>Standard Class</x:v>
      </x:c>
      <x:c r="D4971" s="1" t="str">
        <x:v>USCA</x:v>
      </x:c>
      <x:c r="E4971" s="1" t="str">
        <x:v>COMPLETE</x:v>
      </x:c>
      <x:c r="F4971" s="1" t="str">
        <x:v>Late delivery</x:v>
      </x:c>
      <x:c r="G4971" s="6" t="n">
        <x:v>6</x:v>
      </x:c>
      <x:c r="H4971" s="6" t="n">
        <x:v>4</x:v>
      </x:c>
      <x:c r="I4971" s="6" t="n">
        <x:f>G4971-H4971</x:f>
        <x:v>2</x:v>
      </x:c>
      <x:c r="J4971" s="6" t="n">
        <x:f>IF(OR(E4971="CANCELED",E4971="SUSPECTED_FRAUD",F4971="Shipping canceled"),0,1)</x:f>
        <x:v>1</x:v>
      </x:c>
      <x:c r="K4971" s="6" t="n">
        <x:f>IF(G4971&gt;H4971,1,0)</x:f>
        <x:v>1</x:v>
      </x:c>
      <x:c r="L4971" s="6" t="n">
        <x:f>J4971*K4971</x:f>
        <x:v>1</x:v>
      </x:c>
    </x:row>
    <x:row r="4972">
      <x:c r="A4972" s="1" t="n">
        <x:v>38807</x:v>
      </x:c>
      <x:c r="B4972" s="5" t="d">
        <x:v>2016-07-20T00:00:00.000Z</x:v>
      </x:c>
      <x:c r="C4972" s="1" t="str">
        <x:v>Standard Class</x:v>
      </x:c>
      <x:c r="D4972" s="1" t="str">
        <x:v>USCA</x:v>
      </x:c>
      <x:c r="E4972" s="1" t="str">
        <x:v>PENDING_PAYMENT</x:v>
      </x:c>
      <x:c r="F4972" s="1" t="str">
        <x:v>Advance shipping</x:v>
      </x:c>
      <x:c r="G4972" s="6" t="n">
        <x:v>3</x:v>
      </x:c>
      <x:c r="H4972" s="6" t="n">
        <x:v>4</x:v>
      </x:c>
      <x:c r="I4972" s="6" t="n">
        <x:f>G4972-H4972</x:f>
        <x:v>-1</x:v>
      </x:c>
      <x:c r="J4972" s="6" t="n">
        <x:f>IF(OR(E4972="CANCELED",E4972="SUSPECTED_FRAUD",F4972="Shipping canceled"),0,1)</x:f>
        <x:v>1</x:v>
      </x:c>
      <x:c r="K4972" s="6" t="n">
        <x:f>IF(G4972&gt;H4972,1,0)</x:f>
        <x:v>0</x:v>
      </x:c>
      <x:c r="L4972" s="6" t="n">
        <x:f>J4972*K4972</x:f>
        <x:v>0</x:v>
      </x:c>
    </x:row>
    <x:row r="4973">
      <x:c r="A4973" s="1" t="n">
        <x:v>38823</x:v>
      </x:c>
      <x:c r="B4973" s="5" t="d">
        <x:v>2016-07-20T00:00:00.000Z</x:v>
      </x:c>
      <x:c r="C4973" s="1" t="str">
        <x:v>Standard Class</x:v>
      </x:c>
      <x:c r="D4973" s="1" t="str">
        <x:v>USCA</x:v>
      </x:c>
      <x:c r="E4973" s="1" t="str">
        <x:v>CANCELED</x:v>
      </x:c>
      <x:c r="F4973" s="1" t="str">
        <x:v>Shipping canceled</x:v>
      </x:c>
      <x:c r="G4973" s="6" t="n">
        <x:v>4</x:v>
      </x:c>
      <x:c r="H4973" s="6" t="n">
        <x:v>4</x:v>
      </x:c>
      <x:c r="I4973" s="6" t="n">
        <x:f>G4973-H4973</x:f>
        <x:v>0</x:v>
      </x:c>
      <x:c r="J4973" s="6" t="n">
        <x:f>IF(OR(E4973="CANCELED",E4973="SUSPECTED_FRAUD",F4973="Shipping canceled"),0,1)</x:f>
        <x:v>0</x:v>
      </x:c>
      <x:c r="K4973" s="6" t="n">
        <x:f>IF(G4973&gt;H4973,1,0)</x:f>
        <x:v>0</x:v>
      </x:c>
      <x:c r="L4973" s="6" t="n">
        <x:f>J4973*K4973</x:f>
        <x:v>0</x:v>
      </x:c>
    </x:row>
    <x:row r="4974">
      <x:c r="A4974" s="1" t="n">
        <x:v>38845</x:v>
      </x:c>
      <x:c r="B4974" s="5" t="d">
        <x:v>2016-07-21T00:00:00.000Z</x:v>
      </x:c>
      <x:c r="C4974" s="1" t="str">
        <x:v>Second Class</x:v>
      </x:c>
      <x:c r="D4974" s="1" t="str">
        <x:v>USCA</x:v>
      </x:c>
      <x:c r="E4974" s="1" t="str">
        <x:v>COMPLETE</x:v>
      </x:c>
      <x:c r="F4974" s="1" t="str">
        <x:v>Late delivery</x:v>
      </x:c>
      <x:c r="G4974" s="6" t="n">
        <x:v>6</x:v>
      </x:c>
      <x:c r="H4974" s="6" t="n">
        <x:v>2</x:v>
      </x:c>
      <x:c r="I4974" s="6" t="n">
        <x:f>G4974-H4974</x:f>
        <x:v>4</x:v>
      </x:c>
      <x:c r="J4974" s="6" t="n">
        <x:f>IF(OR(E4974="CANCELED",E4974="SUSPECTED_FRAUD",F4974="Shipping canceled"),0,1)</x:f>
        <x:v>1</x:v>
      </x:c>
      <x:c r="K4974" s="6" t="n">
        <x:f>IF(G4974&gt;H4974,1,0)</x:f>
        <x:v>1</x:v>
      </x:c>
      <x:c r="L4974" s="6" t="n">
        <x:f>J4974*K4974</x:f>
        <x:v>1</x:v>
      </x:c>
    </x:row>
    <x:row r="4975">
      <x:c r="A4975" s="1" t="n">
        <x:v>38850</x:v>
      </x:c>
      <x:c r="B4975" s="5" t="d">
        <x:v>2016-07-21T00:00:00.000Z</x:v>
      </x:c>
      <x:c r="C4975" s="1" t="str">
        <x:v>Standard Class</x:v>
      </x:c>
      <x:c r="D4975" s="1" t="str">
        <x:v>USCA</x:v>
      </x:c>
      <x:c r="E4975" s="1" t="str">
        <x:v>COMPLETE</x:v>
      </x:c>
      <x:c r="F4975" s="1" t="str">
        <x:v>Late delivery</x:v>
      </x:c>
      <x:c r="G4975" s="6" t="n">
        <x:v>6</x:v>
      </x:c>
      <x:c r="H4975" s="6" t="n">
        <x:v>4</x:v>
      </x:c>
      <x:c r="I4975" s="6" t="n">
        <x:f>G4975-H4975</x:f>
        <x:v>2</x:v>
      </x:c>
      <x:c r="J4975" s="6" t="n">
        <x:f>IF(OR(E4975="CANCELED",E4975="SUSPECTED_FRAUD",F4975="Shipping canceled"),0,1)</x:f>
        <x:v>1</x:v>
      </x:c>
      <x:c r="K4975" s="6" t="n">
        <x:f>IF(G4975&gt;H4975,1,0)</x:f>
        <x:v>1</x:v>
      </x:c>
      <x:c r="L4975" s="6" t="n">
        <x:f>J4975*K4975</x:f>
        <x:v>1</x:v>
      </x:c>
    </x:row>
    <x:row r="4976">
      <x:c r="A4976" s="1" t="n">
        <x:v>38859</x:v>
      </x:c>
      <x:c r="B4976" s="5" t="d">
        <x:v>2016-07-21T00:00:00.000Z</x:v>
      </x:c>
      <x:c r="C4976" s="1" t="str">
        <x:v>Standard Class</x:v>
      </x:c>
      <x:c r="D4976" s="1" t="str">
        <x:v>USCA</x:v>
      </x:c>
      <x:c r="E4976" s="1" t="str">
        <x:v>PENDING</x:v>
      </x:c>
      <x:c r="F4976" s="1" t="str">
        <x:v>Late delivery</x:v>
      </x:c>
      <x:c r="G4976" s="6" t="n">
        <x:v>5</x:v>
      </x:c>
      <x:c r="H4976" s="6" t="n">
        <x:v>4</x:v>
      </x:c>
      <x:c r="I4976" s="6" t="n">
        <x:f>G4976-H4976</x:f>
        <x:v>1</x:v>
      </x:c>
      <x:c r="J4976" s="6" t="n">
        <x:f>IF(OR(E4976="CANCELED",E4976="SUSPECTED_FRAUD",F4976="Shipping canceled"),0,1)</x:f>
        <x:v>1</x:v>
      </x:c>
      <x:c r="K4976" s="6" t="n">
        <x:f>IF(G4976&gt;H4976,1,0)</x:f>
        <x:v>1</x:v>
      </x:c>
      <x:c r="L4976" s="6" t="n">
        <x:f>J4976*K4976</x:f>
        <x:v>1</x:v>
      </x:c>
    </x:row>
    <x:row r="4977">
      <x:c r="A4977" s="1" t="n">
        <x:v>38861</x:v>
      </x:c>
      <x:c r="B4977" s="5" t="d">
        <x:v>2016-07-21T00:00:00.000Z</x:v>
      </x:c>
      <x:c r="C4977" s="1" t="str">
        <x:v>Standard Class</x:v>
      </x:c>
      <x:c r="D4977" s="1" t="str">
        <x:v>USCA</x:v>
      </x:c>
      <x:c r="E4977" s="1" t="str">
        <x:v>PENDING_PAYMENT</x:v>
      </x:c>
      <x:c r="F4977" s="1" t="str">
        <x:v>Advance shipping</x:v>
      </x:c>
      <x:c r="G4977" s="6" t="n">
        <x:v>2</x:v>
      </x:c>
      <x:c r="H4977" s="6" t="n">
        <x:v>4</x:v>
      </x:c>
      <x:c r="I4977" s="6" t="n">
        <x:f>G4977-H4977</x:f>
        <x:v>-2</x:v>
      </x:c>
      <x:c r="J4977" s="6" t="n">
        <x:f>IF(OR(E4977="CANCELED",E4977="SUSPECTED_FRAUD",F4977="Shipping canceled"),0,1)</x:f>
        <x:v>1</x:v>
      </x:c>
      <x:c r="K4977" s="6" t="n">
        <x:f>IF(G4977&gt;H4977,1,0)</x:f>
        <x:v>0</x:v>
      </x:c>
      <x:c r="L4977" s="6" t="n">
        <x:f>J4977*K4977</x:f>
        <x:v>0</x:v>
      </x:c>
    </x:row>
    <x:row r="4978">
      <x:c r="A4978" s="1" t="n">
        <x:v>38866</x:v>
      </x:c>
      <x:c r="B4978" s="5" t="d">
        <x:v>2016-07-21T00:00:00.000Z</x:v>
      </x:c>
      <x:c r="C4978" s="1" t="str">
        <x:v>Standard Class</x:v>
      </x:c>
      <x:c r="D4978" s="1" t="str">
        <x:v>USCA</x:v>
      </x:c>
      <x:c r="E4978" s="1" t="str">
        <x:v>PROCESSING</x:v>
      </x:c>
      <x:c r="F4978" s="1" t="str">
        <x:v>Advance shipping</x:v>
      </x:c>
      <x:c r="G4978" s="6" t="n">
        <x:v>2</x:v>
      </x:c>
      <x:c r="H4978" s="6" t="n">
        <x:v>4</x:v>
      </x:c>
      <x:c r="I4978" s="6" t="n">
        <x:f>G4978-H4978</x:f>
        <x:v>-2</x:v>
      </x:c>
      <x:c r="J4978" s="6" t="n">
        <x:f>IF(OR(E4978="CANCELED",E4978="SUSPECTED_FRAUD",F4978="Shipping canceled"),0,1)</x:f>
        <x:v>1</x:v>
      </x:c>
      <x:c r="K4978" s="6" t="n">
        <x:f>IF(G4978&gt;H4978,1,0)</x:f>
        <x:v>0</x:v>
      </x:c>
      <x:c r="L4978" s="6" t="n">
        <x:f>J4978*K4978</x:f>
        <x:v>0</x:v>
      </x:c>
    </x:row>
    <x:row r="4979">
      <x:c r="A4979" s="1" t="n">
        <x:v>38876</x:v>
      </x:c>
      <x:c r="B4979" s="5" t="d">
        <x:v>2016-07-21T00:00:00.000Z</x:v>
      </x:c>
      <x:c r="C4979" s="1" t="str">
        <x:v>Standard Class</x:v>
      </x:c>
      <x:c r="D4979" s="1" t="str">
        <x:v>USCA</x:v>
      </x:c>
      <x:c r="E4979" s="1" t="str">
        <x:v>PROCESSING</x:v>
      </x:c>
      <x:c r="F4979" s="1" t="str">
        <x:v>Advance shipping</x:v>
      </x:c>
      <x:c r="G4979" s="6" t="n">
        <x:v>2</x:v>
      </x:c>
      <x:c r="H4979" s="6" t="n">
        <x:v>4</x:v>
      </x:c>
      <x:c r="I4979" s="6" t="n">
        <x:f>G4979-H4979</x:f>
        <x:v>-2</x:v>
      </x:c>
      <x:c r="J4979" s="6" t="n">
        <x:f>IF(OR(E4979="CANCELED",E4979="SUSPECTED_FRAUD",F4979="Shipping canceled"),0,1)</x:f>
        <x:v>1</x:v>
      </x:c>
      <x:c r="K4979" s="6" t="n">
        <x:f>IF(G4979&gt;H4979,1,0)</x:f>
        <x:v>0</x:v>
      </x:c>
      <x:c r="L4979" s="6" t="n">
        <x:f>J4979*K4979</x:f>
        <x:v>0</x:v>
      </x:c>
    </x:row>
    <x:row r="4980">
      <x:c r="A4980" s="1" t="n">
        <x:v>38893</x:v>
      </x:c>
      <x:c r="B4980" s="5" t="d">
        <x:v>2016-07-21T00:00:00.000Z</x:v>
      </x:c>
      <x:c r="C4980" s="1" t="str">
        <x:v>Standard Class</x:v>
      </x:c>
      <x:c r="D4980" s="1" t="str">
        <x:v>USCA</x:v>
      </x:c>
      <x:c r="E4980" s="1" t="str">
        <x:v>COMPLETE</x:v>
      </x:c>
      <x:c r="F4980" s="1" t="str">
        <x:v>Shipping on time</x:v>
      </x:c>
      <x:c r="G4980" s="6" t="n">
        <x:v>4</x:v>
      </x:c>
      <x:c r="H4980" s="6" t="n">
        <x:v>4</x:v>
      </x:c>
      <x:c r="I4980" s="6" t="n">
        <x:f>G4980-H4980</x:f>
        <x:v>0</x:v>
      </x:c>
      <x:c r="J4980" s="6" t="n">
        <x:f>IF(OR(E4980="CANCELED",E4980="SUSPECTED_FRAUD",F4980="Shipping canceled"),0,1)</x:f>
        <x:v>1</x:v>
      </x:c>
      <x:c r="K4980" s="6" t="n">
        <x:f>IF(G4980&gt;H4980,1,0)</x:f>
        <x:v>0</x:v>
      </x:c>
      <x:c r="L4980" s="6" t="n">
        <x:f>J4980*K4980</x:f>
        <x:v>0</x:v>
      </x:c>
    </x:row>
    <x:row r="4981">
      <x:c r="A4981" s="1" t="n">
        <x:v>38902</x:v>
      </x:c>
      <x:c r="B4981" s="5" t="d">
        <x:v>2016-07-21T00:00:00.000Z</x:v>
      </x:c>
      <x:c r="C4981" s="1" t="str">
        <x:v>Standard Class</x:v>
      </x:c>
      <x:c r="D4981" s="1" t="str">
        <x:v>USCA</x:v>
      </x:c>
      <x:c r="E4981" s="1" t="str">
        <x:v>COMPLETE</x:v>
      </x:c>
      <x:c r="F4981" s="1" t="str">
        <x:v>Advance shipping</x:v>
      </x:c>
      <x:c r="G4981" s="6" t="n">
        <x:v>3</x:v>
      </x:c>
      <x:c r="H4981" s="6" t="n">
        <x:v>4</x:v>
      </x:c>
      <x:c r="I4981" s="6" t="n">
        <x:f>G4981-H4981</x:f>
        <x:v>-1</x:v>
      </x:c>
      <x:c r="J4981" s="6" t="n">
        <x:f>IF(OR(E4981="CANCELED",E4981="SUSPECTED_FRAUD",F4981="Shipping canceled"),0,1)</x:f>
        <x:v>1</x:v>
      </x:c>
      <x:c r="K4981" s="6" t="n">
        <x:f>IF(G4981&gt;H4981,1,0)</x:f>
        <x:v>0</x:v>
      </x:c>
      <x:c r="L4981" s="6" t="n">
        <x:f>J4981*K4981</x:f>
        <x:v>0</x:v>
      </x:c>
    </x:row>
    <x:row r="4982">
      <x:c r="A4982" s="1" t="n">
        <x:v>38910</x:v>
      </x:c>
      <x:c r="B4982" s="5" t="d">
        <x:v>2016-07-21T00:00:00.000Z</x:v>
      </x:c>
      <x:c r="C4982" s="1" t="str">
        <x:v>Standard Class</x:v>
      </x:c>
      <x:c r="D4982" s="1" t="str">
        <x:v>USCA</x:v>
      </x:c>
      <x:c r="E4982" s="1" t="str">
        <x:v>COMPLETE</x:v>
      </x:c>
      <x:c r="F4982" s="1" t="str">
        <x:v>Late delivery</x:v>
      </x:c>
      <x:c r="G4982" s="6" t="n">
        <x:v>6</x:v>
      </x:c>
      <x:c r="H4982" s="6" t="n">
        <x:v>4</x:v>
      </x:c>
      <x:c r="I4982" s="6" t="n">
        <x:f>G4982-H4982</x:f>
        <x:v>2</x:v>
      </x:c>
      <x:c r="J4982" s="6" t="n">
        <x:f>IF(OR(E4982="CANCELED",E4982="SUSPECTED_FRAUD",F4982="Shipping canceled"),0,1)</x:f>
        <x:v>1</x:v>
      </x:c>
      <x:c r="K4982" s="6" t="n">
        <x:f>IF(G4982&gt;H4982,1,0)</x:f>
        <x:v>1</x:v>
      </x:c>
      <x:c r="L4982" s="6" t="n">
        <x:f>J4982*K4982</x:f>
        <x:v>1</x:v>
      </x:c>
    </x:row>
    <x:row r="4983">
      <x:c r="A4983" s="1" t="n">
        <x:v>38911</x:v>
      </x:c>
      <x:c r="B4983" s="5" t="d">
        <x:v>2016-07-21T00:00:00.000Z</x:v>
      </x:c>
      <x:c r="C4983" s="1" t="str">
        <x:v>Standard Class</x:v>
      </x:c>
      <x:c r="D4983" s="1" t="str">
        <x:v>USCA</x:v>
      </x:c>
      <x:c r="E4983" s="1" t="str">
        <x:v>COMPLETE</x:v>
      </x:c>
      <x:c r="F4983" s="1" t="str">
        <x:v>Advance shipping</x:v>
      </x:c>
      <x:c r="G4983" s="6" t="n">
        <x:v>2</x:v>
      </x:c>
      <x:c r="H4983" s="6" t="n">
        <x:v>4</x:v>
      </x:c>
      <x:c r="I4983" s="6" t="n">
        <x:f>G4983-H4983</x:f>
        <x:v>-2</x:v>
      </x:c>
      <x:c r="J4983" s="6" t="n">
        <x:f>IF(OR(E4983="CANCELED",E4983="SUSPECTED_FRAUD",F4983="Shipping canceled"),0,1)</x:f>
        <x:v>1</x:v>
      </x:c>
      <x:c r="K4983" s="6" t="n">
        <x:f>IF(G4983&gt;H4983,1,0)</x:f>
        <x:v>0</x:v>
      </x:c>
      <x:c r="L4983" s="6" t="n">
        <x:f>J4983*K4983</x:f>
        <x:v>0</x:v>
      </x:c>
    </x:row>
    <x:row r="4984">
      <x:c r="A4984" s="1" t="n">
        <x:v>38912</x:v>
      </x:c>
      <x:c r="B4984" s="5" t="d">
        <x:v>2016-07-22T00:00:00.000Z</x:v>
      </x:c>
      <x:c r="C4984" s="1" t="str">
        <x:v>Standard Class</x:v>
      </x:c>
      <x:c r="D4984" s="1" t="str">
        <x:v>USCA</x:v>
      </x:c>
      <x:c r="E4984" s="1" t="str">
        <x:v>PENDING_PAYMENT</x:v>
      </x:c>
      <x:c r="F4984" s="1" t="str">
        <x:v>Advance shipping</x:v>
      </x:c>
      <x:c r="G4984" s="6" t="n">
        <x:v>3</x:v>
      </x:c>
      <x:c r="H4984" s="6" t="n">
        <x:v>4</x:v>
      </x:c>
      <x:c r="I4984" s="6" t="n">
        <x:f>G4984-H4984</x:f>
        <x:v>-1</x:v>
      </x:c>
      <x:c r="J4984" s="6" t="n">
        <x:f>IF(OR(E4984="CANCELED",E4984="SUSPECTED_FRAUD",F4984="Shipping canceled"),0,1)</x:f>
        <x:v>1</x:v>
      </x:c>
      <x:c r="K4984" s="6" t="n">
        <x:f>IF(G4984&gt;H4984,1,0)</x:f>
        <x:v>0</x:v>
      </x:c>
      <x:c r="L4984" s="6" t="n">
        <x:f>J4984*K4984</x:f>
        <x:v>0</x:v>
      </x:c>
    </x:row>
    <x:row r="4985">
      <x:c r="A4985" s="1" t="n">
        <x:v>38916</x:v>
      </x:c>
      <x:c r="B4985" s="5" t="d">
        <x:v>2016-07-22T00:00:00.000Z</x:v>
      </x:c>
      <x:c r="C4985" s="1" t="str">
        <x:v>Standard Class</x:v>
      </x:c>
      <x:c r="D4985" s="1" t="str">
        <x:v>USCA</x:v>
      </x:c>
      <x:c r="E4985" s="1" t="str">
        <x:v>PENDING</x:v>
      </x:c>
      <x:c r="F4985" s="1" t="str">
        <x:v>Advance shipping</x:v>
      </x:c>
      <x:c r="G4985" s="6" t="n">
        <x:v>2</x:v>
      </x:c>
      <x:c r="H4985" s="6" t="n">
        <x:v>4</x:v>
      </x:c>
      <x:c r="I4985" s="6" t="n">
        <x:f>G4985-H4985</x:f>
        <x:v>-2</x:v>
      </x:c>
      <x:c r="J4985" s="6" t="n">
        <x:f>IF(OR(E4985="CANCELED",E4985="SUSPECTED_FRAUD",F4985="Shipping canceled"),0,1)</x:f>
        <x:v>1</x:v>
      </x:c>
      <x:c r="K4985" s="6" t="n">
        <x:f>IF(G4985&gt;H4985,1,0)</x:f>
        <x:v>0</x:v>
      </x:c>
      <x:c r="L4985" s="6" t="n">
        <x:f>J4985*K4985</x:f>
        <x:v>0</x:v>
      </x:c>
    </x:row>
    <x:row r="4986">
      <x:c r="A4986" s="1" t="n">
        <x:v>38920</x:v>
      </x:c>
      <x:c r="B4986" s="5" t="d">
        <x:v>2016-07-22T00:00:00.000Z</x:v>
      </x:c>
      <x:c r="C4986" s="1" t="str">
        <x:v>Standard Class</x:v>
      </x:c>
      <x:c r="D4986" s="1" t="str">
        <x:v>USCA</x:v>
      </x:c>
      <x:c r="E4986" s="1" t="str">
        <x:v>PENDING</x:v>
      </x:c>
      <x:c r="F4986" s="1" t="str">
        <x:v>Late delivery</x:v>
      </x:c>
      <x:c r="G4986" s="6" t="n">
        <x:v>6</x:v>
      </x:c>
      <x:c r="H4986" s="6" t="n">
        <x:v>4</x:v>
      </x:c>
      <x:c r="I4986" s="6" t="n">
        <x:f>G4986-H4986</x:f>
        <x:v>2</x:v>
      </x:c>
      <x:c r="J4986" s="6" t="n">
        <x:f>IF(OR(E4986="CANCELED",E4986="SUSPECTED_FRAUD",F4986="Shipping canceled"),0,1)</x:f>
        <x:v>1</x:v>
      </x:c>
      <x:c r="K4986" s="6" t="n">
        <x:f>IF(G4986&gt;H4986,1,0)</x:f>
        <x:v>1</x:v>
      </x:c>
      <x:c r="L4986" s="6" t="n">
        <x:f>J4986*K4986</x:f>
        <x:v>1</x:v>
      </x:c>
    </x:row>
    <x:row r="4987">
      <x:c r="A4987" s="1" t="n">
        <x:v>38932</x:v>
      </x:c>
      <x:c r="B4987" s="5" t="d">
        <x:v>2016-07-22T00:00:00.000Z</x:v>
      </x:c>
      <x:c r="C4987" s="1" t="str">
        <x:v>Standard Class</x:v>
      </x:c>
      <x:c r="D4987" s="1" t="str">
        <x:v>USCA</x:v>
      </x:c>
      <x:c r="E4987" s="1" t="str">
        <x:v>PENDING</x:v>
      </x:c>
      <x:c r="F4987" s="1" t="str">
        <x:v>Advance shipping</x:v>
      </x:c>
      <x:c r="G4987" s="6" t="n">
        <x:v>3</x:v>
      </x:c>
      <x:c r="H4987" s="6" t="n">
        <x:v>4</x:v>
      </x:c>
      <x:c r="I4987" s="6" t="n">
        <x:f>G4987-H4987</x:f>
        <x:v>-1</x:v>
      </x:c>
      <x:c r="J4987" s="6" t="n">
        <x:f>IF(OR(E4987="CANCELED",E4987="SUSPECTED_FRAUD",F4987="Shipping canceled"),0,1)</x:f>
        <x:v>1</x:v>
      </x:c>
      <x:c r="K4987" s="6" t="n">
        <x:f>IF(G4987&gt;H4987,1,0)</x:f>
        <x:v>0</x:v>
      </x:c>
      <x:c r="L4987" s="6" t="n">
        <x:f>J4987*K4987</x:f>
        <x:v>0</x:v>
      </x:c>
    </x:row>
    <x:row r="4988">
      <x:c r="A4988" s="1" t="n">
        <x:v>38945</x:v>
      </x:c>
      <x:c r="B4988" s="5" t="d">
        <x:v>2016-07-22T00:00:00.000Z</x:v>
      </x:c>
      <x:c r="C4988" s="1" t="str">
        <x:v>Second Class</x:v>
      </x:c>
      <x:c r="D4988" s="1" t="str">
        <x:v>USCA</x:v>
      </x:c>
      <x:c r="E4988" s="1" t="str">
        <x:v>COMPLETE</x:v>
      </x:c>
      <x:c r="F4988" s="1" t="str">
        <x:v>Late delivery</x:v>
      </x:c>
      <x:c r="G4988" s="6" t="n">
        <x:v>6</x:v>
      </x:c>
      <x:c r="H4988" s="6" t="n">
        <x:v>2</x:v>
      </x:c>
      <x:c r="I4988" s="6" t="n">
        <x:f>G4988-H4988</x:f>
        <x:v>4</x:v>
      </x:c>
      <x:c r="J4988" s="6" t="n">
        <x:f>IF(OR(E4988="CANCELED",E4988="SUSPECTED_FRAUD",F4988="Shipping canceled"),0,1)</x:f>
        <x:v>1</x:v>
      </x:c>
      <x:c r="K4988" s="6" t="n">
        <x:f>IF(G4988&gt;H4988,1,0)</x:f>
        <x:v>1</x:v>
      </x:c>
      <x:c r="L4988" s="6" t="n">
        <x:f>J4988*K4988</x:f>
        <x:v>1</x:v>
      </x:c>
    </x:row>
    <x:row r="4989">
      <x:c r="A4989" s="1" t="n">
        <x:v>38950</x:v>
      </x:c>
      <x:c r="B4989" s="5" t="d">
        <x:v>2016-07-22T00:00:00.000Z</x:v>
      </x:c>
      <x:c r="C4989" s="1" t="str">
        <x:v>Standard Class</x:v>
      </x:c>
      <x:c r="D4989" s="1" t="str">
        <x:v>USCA</x:v>
      </x:c>
      <x:c r="E4989" s="1" t="str">
        <x:v>CANCELED</x:v>
      </x:c>
      <x:c r="F4989" s="1" t="str">
        <x:v>Shipping canceled</x:v>
      </x:c>
      <x:c r="G4989" s="6" t="n">
        <x:v>6</x:v>
      </x:c>
      <x:c r="H4989" s="6" t="n">
        <x:v>4</x:v>
      </x:c>
      <x:c r="I4989" s="6" t="n">
        <x:f>G4989-H4989</x:f>
        <x:v>2</x:v>
      </x:c>
      <x:c r="J4989" s="6" t="n">
        <x:f>IF(OR(E4989="CANCELED",E4989="SUSPECTED_FRAUD",F4989="Shipping canceled"),0,1)</x:f>
        <x:v>0</x:v>
      </x:c>
      <x:c r="K4989" s="6" t="n">
        <x:f>IF(G4989&gt;H4989,1,0)</x:f>
        <x:v>1</x:v>
      </x:c>
      <x:c r="L4989" s="6" t="n">
        <x:f>J4989*K4989</x:f>
        <x:v>0</x:v>
      </x:c>
    </x:row>
    <x:row r="4990">
      <x:c r="A4990" s="1" t="n">
        <x:v>38953</x:v>
      </x:c>
      <x:c r="B4990" s="5" t="d">
        <x:v>2016-07-22T00:00:00.000Z</x:v>
      </x:c>
      <x:c r="C4990" s="1" t="str">
        <x:v>Standard Class</x:v>
      </x:c>
      <x:c r="D4990" s="1" t="str">
        <x:v>USCA</x:v>
      </x:c>
      <x:c r="E4990" s="1" t="str">
        <x:v>COMPLETE</x:v>
      </x:c>
      <x:c r="F4990" s="1" t="str">
        <x:v>Shipping on time</x:v>
      </x:c>
      <x:c r="G4990" s="6" t="n">
        <x:v>4</x:v>
      </x:c>
      <x:c r="H4990" s="6" t="n">
        <x:v>4</x:v>
      </x:c>
      <x:c r="I4990" s="6" t="n">
        <x:f>G4990-H4990</x:f>
        <x:v>0</x:v>
      </x:c>
      <x:c r="J4990" s="6" t="n">
        <x:f>IF(OR(E4990="CANCELED",E4990="SUSPECTED_FRAUD",F4990="Shipping canceled"),0,1)</x:f>
        <x:v>1</x:v>
      </x:c>
      <x:c r="K4990" s="6" t="n">
        <x:f>IF(G4990&gt;H4990,1,0)</x:f>
        <x:v>0</x:v>
      </x:c>
      <x:c r="L4990" s="6" t="n">
        <x:f>J4990*K4990</x:f>
        <x:v>0</x:v>
      </x:c>
    </x:row>
    <x:row r="4991">
      <x:c r="A4991" s="1" t="n">
        <x:v>38981</x:v>
      </x:c>
      <x:c r="B4991" s="5" t="d">
        <x:v>2016-07-23T00:00:00.000Z</x:v>
      </x:c>
      <x:c r="C4991" s="1" t="str">
        <x:v>Standard Class</x:v>
      </x:c>
      <x:c r="D4991" s="1" t="str">
        <x:v>USCA</x:v>
      </x:c>
      <x:c r="E4991" s="1" t="str">
        <x:v>PENDING</x:v>
      </x:c>
      <x:c r="F4991" s="1" t="str">
        <x:v>Advance shipping</x:v>
      </x:c>
      <x:c r="G4991" s="6" t="n">
        <x:v>2</x:v>
      </x:c>
      <x:c r="H4991" s="6" t="n">
        <x:v>4</x:v>
      </x:c>
      <x:c r="I4991" s="6" t="n">
        <x:f>G4991-H4991</x:f>
        <x:v>-2</x:v>
      </x:c>
      <x:c r="J4991" s="6" t="n">
        <x:f>IF(OR(E4991="CANCELED",E4991="SUSPECTED_FRAUD",F4991="Shipping canceled"),0,1)</x:f>
        <x:v>1</x:v>
      </x:c>
      <x:c r="K4991" s="6" t="n">
        <x:f>IF(G4991&gt;H4991,1,0)</x:f>
        <x:v>0</x:v>
      </x:c>
      <x:c r="L4991" s="6" t="n">
        <x:f>J4991*K4991</x:f>
        <x:v>0</x:v>
      </x:c>
    </x:row>
    <x:row r="4992">
      <x:c r="A4992" s="1" t="n">
        <x:v>38996</x:v>
      </x:c>
      <x:c r="B4992" s="5" t="d">
        <x:v>2016-07-23T00:00:00.000Z</x:v>
      </x:c>
      <x:c r="C4992" s="1" t="str">
        <x:v>Standard Class</x:v>
      </x:c>
      <x:c r="D4992" s="1" t="str">
        <x:v>USCA</x:v>
      </x:c>
      <x:c r="E4992" s="1" t="str">
        <x:v>COMPLETE</x:v>
      </x:c>
      <x:c r="F4992" s="1" t="str">
        <x:v>Advance shipping</x:v>
      </x:c>
      <x:c r="G4992" s="6" t="n">
        <x:v>2</x:v>
      </x:c>
      <x:c r="H4992" s="6" t="n">
        <x:v>4</x:v>
      </x:c>
      <x:c r="I4992" s="6" t="n">
        <x:f>G4992-H4992</x:f>
        <x:v>-2</x:v>
      </x:c>
      <x:c r="J4992" s="6" t="n">
        <x:f>IF(OR(E4992="CANCELED",E4992="SUSPECTED_FRAUD",F4992="Shipping canceled"),0,1)</x:f>
        <x:v>1</x:v>
      </x:c>
      <x:c r="K4992" s="6" t="n">
        <x:f>IF(G4992&gt;H4992,1,0)</x:f>
        <x:v>0</x:v>
      </x:c>
      <x:c r="L4992" s="6" t="n">
        <x:f>J4992*K4992</x:f>
        <x:v>0</x:v>
      </x:c>
    </x:row>
    <x:row r="4993">
      <x:c r="A4993" s="1" t="n">
        <x:v>38997</x:v>
      </x:c>
      <x:c r="B4993" s="5" t="d">
        <x:v>2016-07-23T00:00:00.000Z</x:v>
      </x:c>
      <x:c r="C4993" s="1" t="str">
        <x:v>Standard Class</x:v>
      </x:c>
      <x:c r="D4993" s="1" t="str">
        <x:v>USCA</x:v>
      </x:c>
      <x:c r="E4993" s="1" t="str">
        <x:v>COMPLETE</x:v>
      </x:c>
      <x:c r="F4993" s="1" t="str">
        <x:v>Advance shipping</x:v>
      </x:c>
      <x:c r="G4993" s="6" t="n">
        <x:v>3</x:v>
      </x:c>
      <x:c r="H4993" s="6" t="n">
        <x:v>4</x:v>
      </x:c>
      <x:c r="I4993" s="6" t="n">
        <x:f>G4993-H4993</x:f>
        <x:v>-1</x:v>
      </x:c>
      <x:c r="J4993" s="6" t="n">
        <x:f>IF(OR(E4993="CANCELED",E4993="SUSPECTED_FRAUD",F4993="Shipping canceled"),0,1)</x:f>
        <x:v>1</x:v>
      </x:c>
      <x:c r="K4993" s="6" t="n">
        <x:f>IF(G4993&gt;H4993,1,0)</x:f>
        <x:v>0</x:v>
      </x:c>
      <x:c r="L4993" s="6" t="n">
        <x:f>J4993*K4993</x:f>
        <x:v>0</x:v>
      </x:c>
    </x:row>
    <x:row r="4994">
      <x:c r="A4994" s="1" t="n">
        <x:v>39006</x:v>
      </x:c>
      <x:c r="B4994" s="5" t="d">
        <x:v>2016-07-23T00:00:00.000Z</x:v>
      </x:c>
      <x:c r="C4994" s="1" t="str">
        <x:v>Same Day</x:v>
      </x:c>
      <x:c r="D4994" s="1" t="str">
        <x:v>USCA</x:v>
      </x:c>
      <x:c r="E4994" s="1" t="str">
        <x:v>CANCELED</x:v>
      </x:c>
      <x:c r="F4994" s="1" t="str">
        <x:v>Shipping canceled</x:v>
      </x:c>
      <x:c r="G4994" s="6" t="n">
        <x:v>0</x:v>
      </x:c>
      <x:c r="H4994" s="6" t="n">
        <x:v>0</x:v>
      </x:c>
      <x:c r="I4994" s="6" t="n">
        <x:f>G4994-H4994</x:f>
        <x:v>0</x:v>
      </x:c>
      <x:c r="J4994" s="6" t="n">
        <x:f>IF(OR(E4994="CANCELED",E4994="SUSPECTED_FRAUD",F4994="Shipping canceled"),0,1)</x:f>
        <x:v>0</x:v>
      </x:c>
      <x:c r="K4994" s="6" t="n">
        <x:f>IF(G4994&gt;H4994,1,0)</x:f>
        <x:v>0</x:v>
      </x:c>
      <x:c r="L4994" s="6" t="n">
        <x:f>J4994*K4994</x:f>
        <x:v>0</x:v>
      </x:c>
    </x:row>
    <x:row r="4995">
      <x:c r="A4995" s="1" t="n">
        <x:v>39025</x:v>
      </x:c>
      <x:c r="B4995" s="5" t="d">
        <x:v>2016-07-23T00:00:00.000Z</x:v>
      </x:c>
      <x:c r="C4995" s="1" t="str">
        <x:v>Standard Class</x:v>
      </x:c>
      <x:c r="D4995" s="1" t="str">
        <x:v>USCA</x:v>
      </x:c>
      <x:c r="E4995" s="1" t="str">
        <x:v>ON_HOLD</x:v>
      </x:c>
      <x:c r="F4995" s="1" t="str">
        <x:v>Late delivery</x:v>
      </x:c>
      <x:c r="G4995" s="6" t="n">
        <x:v>6</x:v>
      </x:c>
      <x:c r="H4995" s="6" t="n">
        <x:v>4</x:v>
      </x:c>
      <x:c r="I4995" s="6" t="n">
        <x:f>G4995-H4995</x:f>
        <x:v>2</x:v>
      </x:c>
      <x:c r="J4995" s="6" t="n">
        <x:f>IF(OR(E4995="CANCELED",E4995="SUSPECTED_FRAUD",F4995="Shipping canceled"),0,1)</x:f>
        <x:v>1</x:v>
      </x:c>
      <x:c r="K4995" s="6" t="n">
        <x:f>IF(G4995&gt;H4995,1,0)</x:f>
        <x:v>1</x:v>
      </x:c>
      <x:c r="L4995" s="6" t="n">
        <x:f>J4995*K4995</x:f>
        <x:v>1</x:v>
      </x:c>
    </x:row>
    <x:row r="4996">
      <x:c r="A4996" s="1" t="n">
        <x:v>39036</x:v>
      </x:c>
      <x:c r="B4996" s="5" t="d">
        <x:v>2016-07-23T00:00:00.000Z</x:v>
      </x:c>
      <x:c r="C4996" s="1" t="str">
        <x:v>Standard Class</x:v>
      </x:c>
      <x:c r="D4996" s="1" t="str">
        <x:v>USCA</x:v>
      </x:c>
      <x:c r="E4996" s="1" t="str">
        <x:v>SUSPECTED_FRAUD</x:v>
      </x:c>
      <x:c r="F4996" s="1" t="str">
        <x:v>Shipping canceled</x:v>
      </x:c>
      <x:c r="G4996" s="6" t="n">
        <x:v>2</x:v>
      </x:c>
      <x:c r="H4996" s="6" t="n">
        <x:v>4</x:v>
      </x:c>
      <x:c r="I4996" s="6" t="n">
        <x:f>G4996-H4996</x:f>
        <x:v>-2</x:v>
      </x:c>
      <x:c r="J4996" s="6" t="n">
        <x:f>IF(OR(E4996="CANCELED",E4996="SUSPECTED_FRAUD",F4996="Shipping canceled"),0,1)</x:f>
        <x:v>0</x:v>
      </x:c>
      <x:c r="K4996" s="6" t="n">
        <x:f>IF(G4996&gt;H4996,1,0)</x:f>
        <x:v>0</x:v>
      </x:c>
      <x:c r="L4996" s="6" t="n">
        <x:f>J4996*K4996</x:f>
        <x:v>0</x:v>
      </x:c>
    </x:row>
    <x:row r="4997">
      <x:c r="A4997" s="1" t="n">
        <x:v>39047</x:v>
      </x:c>
      <x:c r="B4997" s="5" t="d">
        <x:v>2016-07-23T00:00:00.000Z</x:v>
      </x:c>
      <x:c r="C4997" s="1" t="str">
        <x:v>Same Day</x:v>
      </x:c>
      <x:c r="D4997" s="1" t="str">
        <x:v>USCA</x:v>
      </x:c>
      <x:c r="E4997" s="1" t="str">
        <x:v>COMPLETE</x:v>
      </x:c>
      <x:c r="F4997" s="1" t="str">
        <x:v>Late delivery</x:v>
      </x:c>
      <x:c r="G4997" s="6" t="n">
        <x:v>1</x:v>
      </x:c>
      <x:c r="H4997" s="6" t="n">
        <x:v>0</x:v>
      </x:c>
      <x:c r="I4997" s="6" t="n">
        <x:f>G4997-H4997</x:f>
        <x:v>1</x:v>
      </x:c>
      <x:c r="J4997" s="6" t="n">
        <x:f>IF(OR(E4997="CANCELED",E4997="SUSPECTED_FRAUD",F4997="Shipping canceled"),0,1)</x:f>
        <x:v>1</x:v>
      </x:c>
      <x:c r="K4997" s="6" t="n">
        <x:f>IF(G4997&gt;H4997,1,0)</x:f>
        <x:v>1</x:v>
      </x:c>
      <x:c r="L4997" s="6" t="n">
        <x:f>J4997*K4997</x:f>
        <x:v>1</x:v>
      </x:c>
    </x:row>
    <x:row r="4998">
      <x:c r="A4998" s="1" t="n">
        <x:v>39060</x:v>
      </x:c>
      <x:c r="B4998" s="5" t="d">
        <x:v>2016-07-24T00:00:00.000Z</x:v>
      </x:c>
      <x:c r="C4998" s="1" t="str">
        <x:v>Second Class</x:v>
      </x:c>
      <x:c r="D4998" s="1" t="str">
        <x:v>USCA</x:v>
      </x:c>
      <x:c r="E4998" s="1" t="str">
        <x:v>COMPLETE</x:v>
      </x:c>
      <x:c r="F4998" s="1" t="str">
        <x:v>Late delivery</x:v>
      </x:c>
      <x:c r="G4998" s="6" t="n">
        <x:v>6</x:v>
      </x:c>
      <x:c r="H4998" s="6" t="n">
        <x:v>2</x:v>
      </x:c>
      <x:c r="I4998" s="6" t="n">
        <x:f>G4998-H4998</x:f>
        <x:v>4</x:v>
      </x:c>
      <x:c r="J4998" s="6" t="n">
        <x:f>IF(OR(E4998="CANCELED",E4998="SUSPECTED_FRAUD",F4998="Shipping canceled"),0,1)</x:f>
        <x:v>1</x:v>
      </x:c>
      <x:c r="K4998" s="6" t="n">
        <x:f>IF(G4998&gt;H4998,1,0)</x:f>
        <x:v>1</x:v>
      </x:c>
      <x:c r="L4998" s="6" t="n">
        <x:f>J4998*K4998</x:f>
        <x:v>1</x:v>
      </x:c>
    </x:row>
    <x:row r="4999">
      <x:c r="A4999" s="1" t="n">
        <x:v>39065</x:v>
      </x:c>
      <x:c r="B4999" s="5" t="d">
        <x:v>2016-07-24T00:00:00.000Z</x:v>
      </x:c>
      <x:c r="C4999" s="1" t="str">
        <x:v>Standard Class</x:v>
      </x:c>
      <x:c r="D4999" s="1" t="str">
        <x:v>USCA</x:v>
      </x:c>
      <x:c r="E4999" s="1" t="str">
        <x:v>PENDING</x:v>
      </x:c>
      <x:c r="F4999" s="1" t="str">
        <x:v>Late delivery</x:v>
      </x:c>
      <x:c r="G4999" s="6" t="n">
        <x:v>6</x:v>
      </x:c>
      <x:c r="H4999" s="6" t="n">
        <x:v>4</x:v>
      </x:c>
      <x:c r="I4999" s="6" t="n">
        <x:f>G4999-H4999</x:f>
        <x:v>2</x:v>
      </x:c>
      <x:c r="J4999" s="6" t="n">
        <x:f>IF(OR(E4999="CANCELED",E4999="SUSPECTED_FRAUD",F4999="Shipping canceled"),0,1)</x:f>
        <x:v>1</x:v>
      </x:c>
      <x:c r="K4999" s="6" t="n">
        <x:f>IF(G4999&gt;H4999,1,0)</x:f>
        <x:v>1</x:v>
      </x:c>
      <x:c r="L4999" s="6" t="n">
        <x:f>J4999*K4999</x:f>
        <x:v>1</x:v>
      </x:c>
    </x:row>
    <x:row r="5000">
      <x:c r="A5000" s="1" t="n">
        <x:v>39076</x:v>
      </x:c>
      <x:c r="B5000" s="5" t="d">
        <x:v>2016-07-24T00:00:00.000Z</x:v>
      </x:c>
      <x:c r="C5000" s="1" t="str">
        <x:v>Second Class</x:v>
      </x:c>
      <x:c r="D5000" s="1" t="str">
        <x:v>USCA</x:v>
      </x:c>
      <x:c r="E5000" s="1" t="str">
        <x:v>COMPLETE</x:v>
      </x:c>
      <x:c r="F5000" s="1" t="str">
        <x:v>Shipping on time</x:v>
      </x:c>
      <x:c r="G5000" s="6" t="n">
        <x:v>2</x:v>
      </x:c>
      <x:c r="H5000" s="6" t="n">
        <x:v>2</x:v>
      </x:c>
      <x:c r="I5000" s="6" t="n">
        <x:f>G5000-H5000</x:f>
        <x:v>0</x:v>
      </x:c>
      <x:c r="J5000" s="6" t="n">
        <x:f>IF(OR(E5000="CANCELED",E5000="SUSPECTED_FRAUD",F5000="Shipping canceled"),0,1)</x:f>
        <x:v>1</x:v>
      </x:c>
      <x:c r="K5000" s="6" t="n">
        <x:f>IF(G5000&gt;H5000,1,0)</x:f>
        <x:v>0</x:v>
      </x:c>
      <x:c r="L5000" s="6" t="n">
        <x:f>J5000*K5000</x:f>
        <x:v>0</x:v>
      </x:c>
    </x:row>
    <x:row r="5001">
      <x:c r="A5001" s="1" t="n">
        <x:v>39081</x:v>
      </x:c>
      <x:c r="B5001" s="5" t="d">
        <x:v>2016-07-24T00:00:00.000Z</x:v>
      </x:c>
      <x:c r="C5001" s="1" t="str">
        <x:v>Standard Class</x:v>
      </x:c>
      <x:c r="D5001" s="1" t="str">
        <x:v>USCA</x:v>
      </x:c>
      <x:c r="E5001" s="1" t="str">
        <x:v>PROCESSING</x:v>
      </x:c>
      <x:c r="F5001" s="1" t="str">
        <x:v>Advance shipping</x:v>
      </x:c>
      <x:c r="G5001" s="6" t="n">
        <x:v>2</x:v>
      </x:c>
      <x:c r="H5001" s="6" t="n">
        <x:v>4</x:v>
      </x:c>
      <x:c r="I5001" s="6" t="n">
        <x:f>G5001-H5001</x:f>
        <x:v>-2</x:v>
      </x:c>
      <x:c r="J5001" s="6" t="n">
        <x:f>IF(OR(E5001="CANCELED",E5001="SUSPECTED_FRAUD",F5001="Shipping canceled"),0,1)</x:f>
        <x:v>1</x:v>
      </x:c>
      <x:c r="K5001" s="6" t="n">
        <x:f>IF(G5001&gt;H5001,1,0)</x:f>
        <x:v>0</x:v>
      </x:c>
      <x:c r="L5001" s="6" t="n">
        <x:f>J5001*K5001</x:f>
        <x:v>0</x:v>
      </x:c>
    </x:row>
    <x:row r="5002">
      <x:c r="A5002" s="1" t="n">
        <x:v>39100</x:v>
      </x:c>
      <x:c r="B5002" s="5" t="d">
        <x:v>2016-07-24T00:00:00.000Z</x:v>
      </x:c>
      <x:c r="C5002" s="1" t="str">
        <x:v>Standard Class</x:v>
      </x:c>
      <x:c r="D5002" s="1" t="str">
        <x:v>USCA</x:v>
      </x:c>
      <x:c r="E5002" s="1" t="str">
        <x:v>PENDING</x:v>
      </x:c>
      <x:c r="F5002" s="1" t="str">
        <x:v>Late delivery</x:v>
      </x:c>
      <x:c r="G5002" s="6" t="n">
        <x:v>6</x:v>
      </x:c>
      <x:c r="H5002" s="6" t="n">
        <x:v>4</x:v>
      </x:c>
      <x:c r="I5002" s="6" t="n">
        <x:f>G5002-H5002</x:f>
        <x:v>2</x:v>
      </x:c>
      <x:c r="J5002" s="6" t="n">
        <x:f>IF(OR(E5002="CANCELED",E5002="SUSPECTED_FRAUD",F5002="Shipping canceled"),0,1)</x:f>
        <x:v>1</x:v>
      </x:c>
      <x:c r="K5002" s="6" t="n">
        <x:f>IF(G5002&gt;H5002,1,0)</x:f>
        <x:v>1</x:v>
      </x:c>
      <x:c r="L5002" s="6" t="n">
        <x:f>J5002*K5002</x:f>
        <x:v>1</x:v>
      </x:c>
    </x:row>
    <x:row r="5003">
      <x:c r="A5003" s="1" t="n">
        <x:v>39103</x:v>
      </x:c>
      <x:c r="B5003" s="5" t="d">
        <x:v>2016-07-24T00:00:00.000Z</x:v>
      </x:c>
      <x:c r="C5003" s="1" t="str">
        <x:v>Standard Class</x:v>
      </x:c>
      <x:c r="D5003" s="1" t="str">
        <x:v>USCA</x:v>
      </x:c>
      <x:c r="E5003" s="1" t="str">
        <x:v>SUSPECTED_FRAUD</x:v>
      </x:c>
      <x:c r="F5003" s="1" t="str">
        <x:v>Shipping canceled</x:v>
      </x:c>
      <x:c r="G5003" s="6" t="n">
        <x:v>4</x:v>
      </x:c>
      <x:c r="H5003" s="6" t="n">
        <x:v>4</x:v>
      </x:c>
      <x:c r="I5003" s="6" t="n">
        <x:f>G5003-H5003</x:f>
        <x:v>0</x:v>
      </x:c>
      <x:c r="J5003" s="6" t="n">
        <x:f>IF(OR(E5003="CANCELED",E5003="SUSPECTED_FRAUD",F5003="Shipping canceled"),0,1)</x:f>
        <x:v>0</x:v>
      </x:c>
      <x:c r="K5003" s="6" t="n">
        <x:f>IF(G5003&gt;H5003,1,0)</x:f>
        <x:v>0</x:v>
      </x:c>
      <x:c r="L5003" s="6" t="n">
        <x:f>J5003*K5003</x:f>
        <x:v>0</x:v>
      </x:c>
    </x:row>
    <x:row r="5004">
      <x:c r="A5004" s="1" t="n">
        <x:v>39105</x:v>
      </x:c>
      <x:c r="B5004" s="5" t="d">
        <x:v>2016-07-24T00:00:00.000Z</x:v>
      </x:c>
      <x:c r="C5004" s="1" t="str">
        <x:v>First Class</x:v>
      </x:c>
      <x:c r="D5004" s="1" t="str">
        <x:v>USCA</x:v>
      </x:c>
      <x:c r="E5004" s="1" t="str">
        <x:v>CLOSED</x:v>
      </x:c>
      <x:c r="F5004" s="1" t="str">
        <x:v>Late delivery</x:v>
      </x:c>
      <x:c r="G5004" s="6" t="n">
        <x:v>2</x:v>
      </x:c>
      <x:c r="H5004" s="6" t="n">
        <x:v>1</x:v>
      </x:c>
      <x:c r="I5004" s="6" t="n">
        <x:f>G5004-H5004</x:f>
        <x:v>1</x:v>
      </x:c>
      <x:c r="J5004" s="6" t="n">
        <x:f>IF(OR(E5004="CANCELED",E5004="SUSPECTED_FRAUD",F5004="Shipping canceled"),0,1)</x:f>
        <x:v>1</x:v>
      </x:c>
      <x:c r="K5004" s="6" t="n">
        <x:f>IF(G5004&gt;H5004,1,0)</x:f>
        <x:v>1</x:v>
      </x:c>
      <x:c r="L5004" s="6" t="n">
        <x:f>J5004*K5004</x:f>
        <x:v>1</x:v>
      </x:c>
    </x:row>
    <x:row r="5005">
      <x:c r="A5005" s="1" t="n">
        <x:v>39115</x:v>
      </x:c>
      <x:c r="B5005" s="5" t="d">
        <x:v>2016-07-24T00:00:00.000Z</x:v>
      </x:c>
      <x:c r="C5005" s="1" t="str">
        <x:v>Standard Class</x:v>
      </x:c>
      <x:c r="D5005" s="1" t="str">
        <x:v>USCA</x:v>
      </x:c>
      <x:c r="E5005" s="1" t="str">
        <x:v>COMPLETE</x:v>
      </x:c>
      <x:c r="F5005" s="1" t="str">
        <x:v>Late delivery</x:v>
      </x:c>
      <x:c r="G5005" s="6" t="n">
        <x:v>6</x:v>
      </x:c>
      <x:c r="H5005" s="6" t="n">
        <x:v>4</x:v>
      </x:c>
      <x:c r="I5005" s="6" t="n">
        <x:f>G5005-H5005</x:f>
        <x:v>2</x:v>
      </x:c>
      <x:c r="J5005" s="6" t="n">
        <x:f>IF(OR(E5005="CANCELED",E5005="SUSPECTED_FRAUD",F5005="Shipping canceled"),0,1)</x:f>
        <x:v>1</x:v>
      </x:c>
      <x:c r="K5005" s="6" t="n">
        <x:f>IF(G5005&gt;H5005,1,0)</x:f>
        <x:v>1</x:v>
      </x:c>
      <x:c r="L5005" s="6" t="n">
        <x:f>J5005*K5005</x:f>
        <x:v>1</x:v>
      </x:c>
    </x:row>
    <x:row r="5006">
      <x:c r="A5006" s="1" t="n">
        <x:v>39121</x:v>
      </x:c>
      <x:c r="B5006" s="5" t="d">
        <x:v>2016-07-25T00:00:00.000Z</x:v>
      </x:c>
      <x:c r="C5006" s="1" t="str">
        <x:v>Standard Class</x:v>
      </x:c>
      <x:c r="D5006" s="1" t="str">
        <x:v>USCA</x:v>
      </x:c>
      <x:c r="E5006" s="1" t="str">
        <x:v>COMPLETE</x:v>
      </x:c>
      <x:c r="F5006" s="1" t="str">
        <x:v>Advance shipping</x:v>
      </x:c>
      <x:c r="G5006" s="6" t="n">
        <x:v>2</x:v>
      </x:c>
      <x:c r="H5006" s="6" t="n">
        <x:v>4</x:v>
      </x:c>
      <x:c r="I5006" s="6" t="n">
        <x:f>G5006-H5006</x:f>
        <x:v>-2</x:v>
      </x:c>
      <x:c r="J5006" s="6" t="n">
        <x:f>IF(OR(E5006="CANCELED",E5006="SUSPECTED_FRAUD",F5006="Shipping canceled"),0,1)</x:f>
        <x:v>1</x:v>
      </x:c>
      <x:c r="K5006" s="6" t="n">
        <x:f>IF(G5006&gt;H5006,1,0)</x:f>
        <x:v>0</x:v>
      </x:c>
      <x:c r="L5006" s="6" t="n">
        <x:f>J5006*K5006</x:f>
        <x:v>0</x:v>
      </x:c>
    </x:row>
    <x:row r="5007">
      <x:c r="A5007" s="1" t="n">
        <x:v>39126</x:v>
      </x:c>
      <x:c r="B5007" s="5" t="d">
        <x:v>2016-07-25T00:00:00.000Z</x:v>
      </x:c>
      <x:c r="C5007" s="1" t="str">
        <x:v>Standard Class</x:v>
      </x:c>
      <x:c r="D5007" s="1" t="str">
        <x:v>USCA</x:v>
      </x:c>
      <x:c r="E5007" s="1" t="str">
        <x:v>COMPLETE</x:v>
      </x:c>
      <x:c r="F5007" s="1" t="str">
        <x:v>Advance shipping</x:v>
      </x:c>
      <x:c r="G5007" s="6" t="n">
        <x:v>2</x:v>
      </x:c>
      <x:c r="H5007" s="6" t="n">
        <x:v>4</x:v>
      </x:c>
      <x:c r="I5007" s="6" t="n">
        <x:f>G5007-H5007</x:f>
        <x:v>-2</x:v>
      </x:c>
      <x:c r="J5007" s="6" t="n">
        <x:f>IF(OR(E5007="CANCELED",E5007="SUSPECTED_FRAUD",F5007="Shipping canceled"),0,1)</x:f>
        <x:v>1</x:v>
      </x:c>
      <x:c r="K5007" s="6" t="n">
        <x:f>IF(G5007&gt;H5007,1,0)</x:f>
        <x:v>0</x:v>
      </x:c>
      <x:c r="L5007" s="6" t="n">
        <x:f>J5007*K5007</x:f>
        <x:v>0</x:v>
      </x:c>
    </x:row>
    <x:row r="5008">
      <x:c r="A5008" s="1" t="n">
        <x:v>39128</x:v>
      </x:c>
      <x:c r="B5008" s="5" t="d">
        <x:v>2016-07-25T00:00:00.000Z</x:v>
      </x:c>
      <x:c r="C5008" s="1" t="str">
        <x:v>Standard Class</x:v>
      </x:c>
      <x:c r="D5008" s="1" t="str">
        <x:v>USCA</x:v>
      </x:c>
      <x:c r="E5008" s="1" t="str">
        <x:v>PENDING</x:v>
      </x:c>
      <x:c r="F5008" s="1" t="str">
        <x:v>Shipping on time</x:v>
      </x:c>
      <x:c r="G5008" s="6" t="n">
        <x:v>4</x:v>
      </x:c>
      <x:c r="H5008" s="6" t="n">
        <x:v>4</x:v>
      </x:c>
      <x:c r="I5008" s="6" t="n">
        <x:f>G5008-H5008</x:f>
        <x:v>0</x:v>
      </x:c>
      <x:c r="J5008" s="6" t="n">
        <x:f>IF(OR(E5008="CANCELED",E5008="SUSPECTED_FRAUD",F5008="Shipping canceled"),0,1)</x:f>
        <x:v>1</x:v>
      </x:c>
      <x:c r="K5008" s="6" t="n">
        <x:f>IF(G5008&gt;H5008,1,0)</x:f>
        <x:v>0</x:v>
      </x:c>
      <x:c r="L5008" s="6" t="n">
        <x:f>J5008*K5008</x:f>
        <x:v>0</x:v>
      </x:c>
    </x:row>
    <x:row r="5009">
      <x:c r="A5009" s="1" t="n">
        <x:v>39135</x:v>
      </x:c>
      <x:c r="B5009" s="5" t="d">
        <x:v>2016-07-25T00:00:00.000Z</x:v>
      </x:c>
      <x:c r="C5009" s="1" t="str">
        <x:v>Second Class</x:v>
      </x:c>
      <x:c r="D5009" s="1" t="str">
        <x:v>USCA</x:v>
      </x:c>
      <x:c r="E5009" s="1" t="str">
        <x:v>COMPLETE</x:v>
      </x:c>
      <x:c r="F5009" s="1" t="str">
        <x:v>Late delivery</x:v>
      </x:c>
      <x:c r="G5009" s="6" t="n">
        <x:v>6</x:v>
      </x:c>
      <x:c r="H5009" s="6" t="n">
        <x:v>2</x:v>
      </x:c>
      <x:c r="I5009" s="6" t="n">
        <x:f>G5009-H5009</x:f>
        <x:v>4</x:v>
      </x:c>
      <x:c r="J5009" s="6" t="n">
        <x:f>IF(OR(E5009="CANCELED",E5009="SUSPECTED_FRAUD",F5009="Shipping canceled"),0,1)</x:f>
        <x:v>1</x:v>
      </x:c>
      <x:c r="K5009" s="6" t="n">
        <x:f>IF(G5009&gt;H5009,1,0)</x:f>
        <x:v>1</x:v>
      </x:c>
      <x:c r="L5009" s="6" t="n">
        <x:f>J5009*K5009</x:f>
        <x:v>1</x:v>
      </x:c>
    </x:row>
    <x:row r="5010">
      <x:c r="A5010" s="1" t="n">
        <x:v>39141</x:v>
      </x:c>
      <x:c r="B5010" s="5" t="d">
        <x:v>2016-07-25T00:00:00.000Z</x:v>
      </x:c>
      <x:c r="C5010" s="1" t="str">
        <x:v>Standard Class</x:v>
      </x:c>
      <x:c r="D5010" s="1" t="str">
        <x:v>USCA</x:v>
      </x:c>
      <x:c r="E5010" s="1" t="str">
        <x:v>PENDING</x:v>
      </x:c>
      <x:c r="F5010" s="1" t="str">
        <x:v>Advance shipping</x:v>
      </x:c>
      <x:c r="G5010" s="6" t="n">
        <x:v>2</x:v>
      </x:c>
      <x:c r="H5010" s="6" t="n">
        <x:v>4</x:v>
      </x:c>
      <x:c r="I5010" s="6" t="n">
        <x:f>G5010-H5010</x:f>
        <x:v>-2</x:v>
      </x:c>
      <x:c r="J5010" s="6" t="n">
        <x:f>IF(OR(E5010="CANCELED",E5010="SUSPECTED_FRAUD",F5010="Shipping canceled"),0,1)</x:f>
        <x:v>1</x:v>
      </x:c>
      <x:c r="K5010" s="6" t="n">
        <x:f>IF(G5010&gt;H5010,1,0)</x:f>
        <x:v>0</x:v>
      </x:c>
      <x:c r="L5010" s="6" t="n">
        <x:f>J5010*K5010</x:f>
        <x:v>0</x:v>
      </x:c>
    </x:row>
    <x:row r="5011">
      <x:c r="A5011" s="1" t="n">
        <x:v>39146</x:v>
      </x:c>
      <x:c r="B5011" s="5" t="d">
        <x:v>2016-07-25T00:00:00.000Z</x:v>
      </x:c>
      <x:c r="C5011" s="1" t="str">
        <x:v>Standard Class</x:v>
      </x:c>
      <x:c r="D5011" s="1" t="str">
        <x:v>USCA</x:v>
      </x:c>
      <x:c r="E5011" s="1" t="str">
        <x:v>ON_HOLD</x:v>
      </x:c>
      <x:c r="F5011" s="1" t="str">
        <x:v>Advance shipping</x:v>
      </x:c>
      <x:c r="G5011" s="6" t="n">
        <x:v>2</x:v>
      </x:c>
      <x:c r="H5011" s="6" t="n">
        <x:v>4</x:v>
      </x:c>
      <x:c r="I5011" s="6" t="n">
        <x:f>G5011-H5011</x:f>
        <x:v>-2</x:v>
      </x:c>
      <x:c r="J5011" s="6" t="n">
        <x:f>IF(OR(E5011="CANCELED",E5011="SUSPECTED_FRAUD",F5011="Shipping canceled"),0,1)</x:f>
        <x:v>1</x:v>
      </x:c>
      <x:c r="K5011" s="6" t="n">
        <x:f>IF(G5011&gt;H5011,1,0)</x:f>
        <x:v>0</x:v>
      </x:c>
      <x:c r="L5011" s="6" t="n">
        <x:f>J5011*K5011</x:f>
        <x:v>0</x:v>
      </x:c>
    </x:row>
    <x:row r="5012">
      <x:c r="A5012" s="1" t="n">
        <x:v>39159</x:v>
      </x:c>
      <x:c r="B5012" s="5" t="d">
        <x:v>2016-07-25T00:00:00.000Z</x:v>
      </x:c>
      <x:c r="C5012" s="1" t="str">
        <x:v>Second Class</x:v>
      </x:c>
      <x:c r="D5012" s="1" t="str">
        <x:v>USCA</x:v>
      </x:c>
      <x:c r="E5012" s="1" t="str">
        <x:v>PAYMENT_REVIEW</x:v>
      </x:c>
      <x:c r="F5012" s="1" t="str">
        <x:v>Late delivery</x:v>
      </x:c>
      <x:c r="G5012" s="6" t="n">
        <x:v>5</x:v>
      </x:c>
      <x:c r="H5012" s="6" t="n">
        <x:v>2</x:v>
      </x:c>
      <x:c r="I5012" s="6" t="n">
        <x:f>G5012-H5012</x:f>
        <x:v>3</x:v>
      </x:c>
      <x:c r="J5012" s="6" t="n">
        <x:f>IF(OR(E5012="CANCELED",E5012="SUSPECTED_FRAUD",F5012="Shipping canceled"),0,1)</x:f>
        <x:v>1</x:v>
      </x:c>
      <x:c r="K5012" s="6" t="n">
        <x:f>IF(G5012&gt;H5012,1,0)</x:f>
        <x:v>1</x:v>
      </x:c>
      <x:c r="L5012" s="6" t="n">
        <x:f>J5012*K5012</x:f>
        <x:v>1</x:v>
      </x:c>
    </x:row>
    <x:row r="5013">
      <x:c r="A5013" s="1" t="n">
        <x:v>39166</x:v>
      </x:c>
      <x:c r="B5013" s="5" t="d">
        <x:v>2016-07-25T00:00:00.000Z</x:v>
      </x:c>
      <x:c r="C5013" s="1" t="str">
        <x:v>Standard Class</x:v>
      </x:c>
      <x:c r="D5013" s="1" t="str">
        <x:v>USCA</x:v>
      </x:c>
      <x:c r="E5013" s="1" t="str">
        <x:v>PROCESSING</x:v>
      </x:c>
      <x:c r="F5013" s="1" t="str">
        <x:v>Advance shipping</x:v>
      </x:c>
      <x:c r="G5013" s="6" t="n">
        <x:v>2</x:v>
      </x:c>
      <x:c r="H5013" s="6" t="n">
        <x:v>4</x:v>
      </x:c>
      <x:c r="I5013" s="6" t="n">
        <x:f>G5013-H5013</x:f>
        <x:v>-2</x:v>
      </x:c>
      <x:c r="J5013" s="6" t="n">
        <x:f>IF(OR(E5013="CANCELED",E5013="SUSPECTED_FRAUD",F5013="Shipping canceled"),0,1)</x:f>
        <x:v>1</x:v>
      </x:c>
      <x:c r="K5013" s="6" t="n">
        <x:f>IF(G5013&gt;H5013,1,0)</x:f>
        <x:v>0</x:v>
      </x:c>
      <x:c r="L5013" s="6" t="n">
        <x:f>J5013*K5013</x:f>
        <x:v>0</x:v>
      </x:c>
    </x:row>
    <x:row r="5014">
      <x:c r="A5014" s="1" t="n">
        <x:v>39167</x:v>
      </x:c>
      <x:c r="B5014" s="5" t="d">
        <x:v>2016-07-25T00:00:00.000Z</x:v>
      </x:c>
      <x:c r="C5014" s="1" t="str">
        <x:v>Standard Class</x:v>
      </x:c>
      <x:c r="D5014" s="1" t="str">
        <x:v>USCA</x:v>
      </x:c>
      <x:c r="E5014" s="1" t="str">
        <x:v>COMPLETE</x:v>
      </x:c>
      <x:c r="F5014" s="1" t="str">
        <x:v>Advance shipping</x:v>
      </x:c>
      <x:c r="G5014" s="6" t="n">
        <x:v>3</x:v>
      </x:c>
      <x:c r="H5014" s="6" t="n">
        <x:v>4</x:v>
      </x:c>
      <x:c r="I5014" s="6" t="n">
        <x:f>G5014-H5014</x:f>
        <x:v>-1</x:v>
      </x:c>
      <x:c r="J5014" s="6" t="n">
        <x:f>IF(OR(E5014="CANCELED",E5014="SUSPECTED_FRAUD",F5014="Shipping canceled"),0,1)</x:f>
        <x:v>1</x:v>
      </x:c>
      <x:c r="K5014" s="6" t="n">
        <x:f>IF(G5014&gt;H5014,1,0)</x:f>
        <x:v>0</x:v>
      </x:c>
      <x:c r="L5014" s="6" t="n">
        <x:f>J5014*K5014</x:f>
        <x:v>0</x:v>
      </x:c>
    </x:row>
    <x:row r="5015">
      <x:c r="A5015" s="1" t="n">
        <x:v>39170</x:v>
      </x:c>
      <x:c r="B5015" s="5" t="d">
        <x:v>2016-07-25T00:00:00.000Z</x:v>
      </x:c>
      <x:c r="C5015" s="1" t="str">
        <x:v>Standard Class</x:v>
      </x:c>
      <x:c r="D5015" s="1" t="str">
        <x:v>USCA</x:v>
      </x:c>
      <x:c r="E5015" s="1" t="str">
        <x:v>COMPLETE</x:v>
      </x:c>
      <x:c r="F5015" s="1" t="str">
        <x:v>Late delivery</x:v>
      </x:c>
      <x:c r="G5015" s="6" t="n">
        <x:v>6</x:v>
      </x:c>
      <x:c r="H5015" s="6" t="n">
        <x:v>4</x:v>
      </x:c>
      <x:c r="I5015" s="6" t="n">
        <x:f>G5015-H5015</x:f>
        <x:v>2</x:v>
      </x:c>
      <x:c r="J5015" s="6" t="n">
        <x:f>IF(OR(E5015="CANCELED",E5015="SUSPECTED_FRAUD",F5015="Shipping canceled"),0,1)</x:f>
        <x:v>1</x:v>
      </x:c>
      <x:c r="K5015" s="6" t="n">
        <x:f>IF(G5015&gt;H5015,1,0)</x:f>
        <x:v>1</x:v>
      </x:c>
      <x:c r="L5015" s="6" t="n">
        <x:f>J5015*K5015</x:f>
        <x:v>1</x:v>
      </x:c>
    </x:row>
    <x:row r="5016">
      <x:c r="A5016" s="1" t="n">
        <x:v>39174</x:v>
      </x:c>
      <x:c r="B5016" s="5" t="d">
        <x:v>2016-07-25T00:00:00.000Z</x:v>
      </x:c>
      <x:c r="C5016" s="1" t="str">
        <x:v>Standard Class</x:v>
      </x:c>
      <x:c r="D5016" s="1" t="str">
        <x:v>USCA</x:v>
      </x:c>
      <x:c r="E5016" s="1" t="str">
        <x:v>COMPLETE</x:v>
      </x:c>
      <x:c r="F5016" s="1" t="str">
        <x:v>Late delivery</x:v>
      </x:c>
      <x:c r="G5016" s="6" t="n">
        <x:v>5</x:v>
      </x:c>
      <x:c r="H5016" s="6" t="n">
        <x:v>4</x:v>
      </x:c>
      <x:c r="I5016" s="6" t="n">
        <x:f>G5016-H5016</x:f>
        <x:v>1</x:v>
      </x:c>
      <x:c r="J5016" s="6" t="n">
        <x:f>IF(OR(E5016="CANCELED",E5016="SUSPECTED_FRAUD",F5016="Shipping canceled"),0,1)</x:f>
        <x:v>1</x:v>
      </x:c>
      <x:c r="K5016" s="6" t="n">
        <x:f>IF(G5016&gt;H5016,1,0)</x:f>
        <x:v>1</x:v>
      </x:c>
      <x:c r="L5016" s="6" t="n">
        <x:f>J5016*K5016</x:f>
        <x:v>1</x:v>
      </x:c>
    </x:row>
    <x:row r="5017">
      <x:c r="A5017" s="1" t="n">
        <x:v>39191</x:v>
      </x:c>
      <x:c r="B5017" s="5" t="d">
        <x:v>2016-07-26T00:00:00.000Z</x:v>
      </x:c>
      <x:c r="C5017" s="1" t="str">
        <x:v>Standard Class</x:v>
      </x:c>
      <x:c r="D5017" s="1" t="str">
        <x:v>USCA</x:v>
      </x:c>
      <x:c r="E5017" s="1" t="str">
        <x:v>PENDING_PAYMENT</x:v>
      </x:c>
      <x:c r="F5017" s="1" t="str">
        <x:v>Advance shipping</x:v>
      </x:c>
      <x:c r="G5017" s="6" t="n">
        <x:v>2</x:v>
      </x:c>
      <x:c r="H5017" s="6" t="n">
        <x:v>4</x:v>
      </x:c>
      <x:c r="I5017" s="6" t="n">
        <x:f>G5017-H5017</x:f>
        <x:v>-2</x:v>
      </x:c>
      <x:c r="J5017" s="6" t="n">
        <x:f>IF(OR(E5017="CANCELED",E5017="SUSPECTED_FRAUD",F5017="Shipping canceled"),0,1)</x:f>
        <x:v>1</x:v>
      </x:c>
      <x:c r="K5017" s="6" t="n">
        <x:f>IF(G5017&gt;H5017,1,0)</x:f>
        <x:v>0</x:v>
      </x:c>
      <x:c r="L5017" s="6" t="n">
        <x:f>J5017*K5017</x:f>
        <x:v>0</x:v>
      </x:c>
    </x:row>
    <x:row r="5018">
      <x:c r="A5018" s="1" t="n">
        <x:v>39202</x:v>
      </x:c>
      <x:c r="B5018" s="5" t="d">
        <x:v>2016-07-26T00:00:00.000Z</x:v>
      </x:c>
      <x:c r="C5018" s="1" t="str">
        <x:v>Standard Class</x:v>
      </x:c>
      <x:c r="D5018" s="1" t="str">
        <x:v>USCA</x:v>
      </x:c>
      <x:c r="E5018" s="1" t="str">
        <x:v>CANCELED</x:v>
      </x:c>
      <x:c r="F5018" s="1" t="str">
        <x:v>Shipping canceled</x:v>
      </x:c>
      <x:c r="G5018" s="6" t="n">
        <x:v>3</x:v>
      </x:c>
      <x:c r="H5018" s="6" t="n">
        <x:v>4</x:v>
      </x:c>
      <x:c r="I5018" s="6" t="n">
        <x:f>G5018-H5018</x:f>
        <x:v>-1</x:v>
      </x:c>
      <x:c r="J5018" s="6" t="n">
        <x:f>IF(OR(E5018="CANCELED",E5018="SUSPECTED_FRAUD",F5018="Shipping canceled"),0,1)</x:f>
        <x:v>0</x:v>
      </x:c>
      <x:c r="K5018" s="6" t="n">
        <x:f>IF(G5018&gt;H5018,1,0)</x:f>
        <x:v>0</x:v>
      </x:c>
      <x:c r="L5018" s="6" t="n">
        <x:f>J5018*K5018</x:f>
        <x:v>0</x:v>
      </x:c>
    </x:row>
    <x:row r="5019">
      <x:c r="A5019" s="1" t="n">
        <x:v>39203</x:v>
      </x:c>
      <x:c r="B5019" s="5" t="d">
        <x:v>2016-07-26T00:00:00.000Z</x:v>
      </x:c>
      <x:c r="C5019" s="1" t="str">
        <x:v>Standard Class</x:v>
      </x:c>
      <x:c r="D5019" s="1" t="str">
        <x:v>USCA</x:v>
      </x:c>
      <x:c r="E5019" s="1" t="str">
        <x:v>COMPLETE</x:v>
      </x:c>
      <x:c r="F5019" s="1" t="str">
        <x:v>Shipping on time</x:v>
      </x:c>
      <x:c r="G5019" s="6" t="n">
        <x:v>4</x:v>
      </x:c>
      <x:c r="H5019" s="6" t="n">
        <x:v>4</x:v>
      </x:c>
      <x:c r="I5019" s="6" t="n">
        <x:f>G5019-H5019</x:f>
        <x:v>0</x:v>
      </x:c>
      <x:c r="J5019" s="6" t="n">
        <x:f>IF(OR(E5019="CANCELED",E5019="SUSPECTED_FRAUD",F5019="Shipping canceled"),0,1)</x:f>
        <x:v>1</x:v>
      </x:c>
      <x:c r="K5019" s="6" t="n">
        <x:f>IF(G5019&gt;H5019,1,0)</x:f>
        <x:v>0</x:v>
      </x:c>
      <x:c r="L5019" s="6" t="n">
        <x:f>J5019*K5019</x:f>
        <x:v>0</x:v>
      </x:c>
    </x:row>
    <x:row r="5020">
      <x:c r="A5020" s="1" t="n">
        <x:v>39206</x:v>
      </x:c>
      <x:c r="B5020" s="5" t="d">
        <x:v>2016-07-26T00:00:00.000Z</x:v>
      </x:c>
      <x:c r="C5020" s="1" t="str">
        <x:v>Standard Class</x:v>
      </x:c>
      <x:c r="D5020" s="1" t="str">
        <x:v>USCA</x:v>
      </x:c>
      <x:c r="E5020" s="1" t="str">
        <x:v>PROCESSING</x:v>
      </x:c>
      <x:c r="F5020" s="1" t="str">
        <x:v>Advance shipping</x:v>
      </x:c>
      <x:c r="G5020" s="6" t="n">
        <x:v>2</x:v>
      </x:c>
      <x:c r="H5020" s="6" t="n">
        <x:v>4</x:v>
      </x:c>
      <x:c r="I5020" s="6" t="n">
        <x:f>G5020-H5020</x:f>
        <x:v>-2</x:v>
      </x:c>
      <x:c r="J5020" s="6" t="n">
        <x:f>IF(OR(E5020="CANCELED",E5020="SUSPECTED_FRAUD",F5020="Shipping canceled"),0,1)</x:f>
        <x:v>1</x:v>
      </x:c>
      <x:c r="K5020" s="6" t="n">
        <x:f>IF(G5020&gt;H5020,1,0)</x:f>
        <x:v>0</x:v>
      </x:c>
      <x:c r="L5020" s="6" t="n">
        <x:f>J5020*K5020</x:f>
        <x:v>0</x:v>
      </x:c>
    </x:row>
    <x:row r="5021">
      <x:c r="A5021" s="1" t="n">
        <x:v>39215</x:v>
      </x:c>
      <x:c r="B5021" s="5" t="d">
        <x:v>2016-07-26T00:00:00.000Z</x:v>
      </x:c>
      <x:c r="C5021" s="1" t="str">
        <x:v>Standard Class</x:v>
      </x:c>
      <x:c r="D5021" s="1" t="str">
        <x:v>USCA</x:v>
      </x:c>
      <x:c r="E5021" s="1" t="str">
        <x:v>PENDING</x:v>
      </x:c>
      <x:c r="F5021" s="1" t="str">
        <x:v>Late delivery</x:v>
      </x:c>
      <x:c r="G5021" s="6" t="n">
        <x:v>6</x:v>
      </x:c>
      <x:c r="H5021" s="6" t="n">
        <x:v>4</x:v>
      </x:c>
      <x:c r="I5021" s="6" t="n">
        <x:f>G5021-H5021</x:f>
        <x:v>2</x:v>
      </x:c>
      <x:c r="J5021" s="6" t="n">
        <x:f>IF(OR(E5021="CANCELED",E5021="SUSPECTED_FRAUD",F5021="Shipping canceled"),0,1)</x:f>
        <x:v>1</x:v>
      </x:c>
      <x:c r="K5021" s="6" t="n">
        <x:f>IF(G5021&gt;H5021,1,0)</x:f>
        <x:v>1</x:v>
      </x:c>
      <x:c r="L5021" s="6" t="n">
        <x:f>J5021*K5021</x:f>
        <x:v>1</x:v>
      </x:c>
    </x:row>
    <x:row r="5022">
      <x:c r="A5022" s="1" t="n">
        <x:v>39217</x:v>
      </x:c>
      <x:c r="B5022" s="5" t="d">
        <x:v>2016-07-26T00:00:00.000Z</x:v>
      </x:c>
      <x:c r="C5022" s="1" t="str">
        <x:v>Standard Class</x:v>
      </x:c>
      <x:c r="D5022" s="1" t="str">
        <x:v>USCA</x:v>
      </x:c>
      <x:c r="E5022" s="1" t="str">
        <x:v>COMPLETE</x:v>
      </x:c>
      <x:c r="F5022" s="1" t="str">
        <x:v>Advance shipping</x:v>
      </x:c>
      <x:c r="G5022" s="6" t="n">
        <x:v>3</x:v>
      </x:c>
      <x:c r="H5022" s="6" t="n">
        <x:v>4</x:v>
      </x:c>
      <x:c r="I5022" s="6" t="n">
        <x:f>G5022-H5022</x:f>
        <x:v>-1</x:v>
      </x:c>
      <x:c r="J5022" s="6" t="n">
        <x:f>IF(OR(E5022="CANCELED",E5022="SUSPECTED_FRAUD",F5022="Shipping canceled"),0,1)</x:f>
        <x:v>1</x:v>
      </x:c>
      <x:c r="K5022" s="6" t="n">
        <x:f>IF(G5022&gt;H5022,1,0)</x:f>
        <x:v>0</x:v>
      </x:c>
      <x:c r="L5022" s="6" t="n">
        <x:f>J5022*K5022</x:f>
        <x:v>0</x:v>
      </x:c>
    </x:row>
    <x:row r="5023">
      <x:c r="A5023" s="1" t="n">
        <x:v>39220</x:v>
      </x:c>
      <x:c r="B5023" s="5" t="d">
        <x:v>2016-07-26T00:00:00.000Z</x:v>
      </x:c>
      <x:c r="C5023" s="1" t="str">
        <x:v>Standard Class</x:v>
      </x:c>
      <x:c r="D5023" s="1" t="str">
        <x:v>USCA</x:v>
      </x:c>
      <x:c r="E5023" s="1" t="str">
        <x:v>COMPLETE</x:v>
      </x:c>
      <x:c r="F5023" s="1" t="str">
        <x:v>Late delivery</x:v>
      </x:c>
      <x:c r="G5023" s="6" t="n">
        <x:v>6</x:v>
      </x:c>
      <x:c r="H5023" s="6" t="n">
        <x:v>4</x:v>
      </x:c>
      <x:c r="I5023" s="6" t="n">
        <x:f>G5023-H5023</x:f>
        <x:v>2</x:v>
      </x:c>
      <x:c r="J5023" s="6" t="n">
        <x:f>IF(OR(E5023="CANCELED",E5023="SUSPECTED_FRAUD",F5023="Shipping canceled"),0,1)</x:f>
        <x:v>1</x:v>
      </x:c>
      <x:c r="K5023" s="6" t="n">
        <x:f>IF(G5023&gt;H5023,1,0)</x:f>
        <x:v>1</x:v>
      </x:c>
      <x:c r="L5023" s="6" t="n">
        <x:f>J5023*K5023</x:f>
        <x:v>1</x:v>
      </x:c>
    </x:row>
    <x:row r="5024">
      <x:c r="A5024" s="1" t="n">
        <x:v>39224</x:v>
      </x:c>
      <x:c r="B5024" s="5" t="d">
        <x:v>2016-07-26T00:00:00.000Z</x:v>
      </x:c>
      <x:c r="C5024" s="1" t="str">
        <x:v>Standard Class</x:v>
      </x:c>
      <x:c r="D5024" s="1" t="str">
        <x:v>USCA</x:v>
      </x:c>
      <x:c r="E5024" s="1" t="str">
        <x:v>PROCESSING</x:v>
      </x:c>
      <x:c r="F5024" s="1" t="str">
        <x:v>Late delivery</x:v>
      </x:c>
      <x:c r="G5024" s="6" t="n">
        <x:v>5</x:v>
      </x:c>
      <x:c r="H5024" s="6" t="n">
        <x:v>4</x:v>
      </x:c>
      <x:c r="I5024" s="6" t="n">
        <x:f>G5024-H5024</x:f>
        <x:v>1</x:v>
      </x:c>
      <x:c r="J5024" s="6" t="n">
        <x:f>IF(OR(E5024="CANCELED",E5024="SUSPECTED_FRAUD",F5024="Shipping canceled"),0,1)</x:f>
        <x:v>1</x:v>
      </x:c>
      <x:c r="K5024" s="6" t="n">
        <x:f>IF(G5024&gt;H5024,1,0)</x:f>
        <x:v>1</x:v>
      </x:c>
      <x:c r="L5024" s="6" t="n">
        <x:f>J5024*K5024</x:f>
        <x:v>1</x:v>
      </x:c>
    </x:row>
    <x:row r="5025">
      <x:c r="A5025" s="1" t="n">
        <x:v>39225</x:v>
      </x:c>
      <x:c r="B5025" s="5" t="d">
        <x:v>2016-07-26T00:00:00.000Z</x:v>
      </x:c>
      <x:c r="C5025" s="1" t="str">
        <x:v>Standard Class</x:v>
      </x:c>
      <x:c r="D5025" s="1" t="str">
        <x:v>USCA</x:v>
      </x:c>
      <x:c r="E5025" s="1" t="str">
        <x:v>PROCESSING</x:v>
      </x:c>
      <x:c r="F5025" s="1" t="str">
        <x:v>Late delivery</x:v>
      </x:c>
      <x:c r="G5025" s="6" t="n">
        <x:v>6</x:v>
      </x:c>
      <x:c r="H5025" s="6" t="n">
        <x:v>4</x:v>
      </x:c>
      <x:c r="I5025" s="6" t="n">
        <x:f>G5025-H5025</x:f>
        <x:v>2</x:v>
      </x:c>
      <x:c r="J5025" s="6" t="n">
        <x:f>IF(OR(E5025="CANCELED",E5025="SUSPECTED_FRAUD",F5025="Shipping canceled"),0,1)</x:f>
        <x:v>1</x:v>
      </x:c>
      <x:c r="K5025" s="6" t="n">
        <x:f>IF(G5025&gt;H5025,1,0)</x:f>
        <x:v>1</x:v>
      </x:c>
      <x:c r="L5025" s="6" t="n">
        <x:f>J5025*K5025</x:f>
        <x:v>1</x:v>
      </x:c>
    </x:row>
    <x:row r="5026">
      <x:c r="A5026" s="1" t="n">
        <x:v>39241</x:v>
      </x:c>
      <x:c r="B5026" s="5" t="d">
        <x:v>2016-07-26T00:00:00.000Z</x:v>
      </x:c>
      <x:c r="C5026" s="1" t="str">
        <x:v>Standard Class</x:v>
      </x:c>
      <x:c r="D5026" s="1" t="str">
        <x:v>USCA</x:v>
      </x:c>
      <x:c r="E5026" s="1" t="str">
        <x:v>PROCESSING</x:v>
      </x:c>
      <x:c r="F5026" s="1" t="str">
        <x:v>Advance shipping</x:v>
      </x:c>
      <x:c r="G5026" s="6" t="n">
        <x:v>2</x:v>
      </x:c>
      <x:c r="H5026" s="6" t="n">
        <x:v>4</x:v>
      </x:c>
      <x:c r="I5026" s="6" t="n">
        <x:f>G5026-H5026</x:f>
        <x:v>-2</x:v>
      </x:c>
      <x:c r="J5026" s="6" t="n">
        <x:f>IF(OR(E5026="CANCELED",E5026="SUSPECTED_FRAUD",F5026="Shipping canceled"),0,1)</x:f>
        <x:v>1</x:v>
      </x:c>
      <x:c r="K5026" s="6" t="n">
        <x:f>IF(G5026&gt;H5026,1,0)</x:f>
        <x:v>0</x:v>
      </x:c>
      <x:c r="L5026" s="6" t="n">
        <x:f>J5026*K5026</x:f>
        <x:v>0</x:v>
      </x:c>
    </x:row>
    <x:row r="5027">
      <x:c r="A5027" s="1" t="n">
        <x:v>39259</x:v>
      </x:c>
      <x:c r="B5027" s="5" t="d">
        <x:v>2016-07-27T00:00:00.000Z</x:v>
      </x:c>
      <x:c r="C5027" s="1" t="str">
        <x:v>Standard Class</x:v>
      </x:c>
      <x:c r="D5027" s="1" t="str">
        <x:v>USCA</x:v>
      </x:c>
      <x:c r="E5027" s="1" t="str">
        <x:v>PENDING_PAYMENT</x:v>
      </x:c>
      <x:c r="F5027" s="1" t="str">
        <x:v>Late delivery</x:v>
      </x:c>
      <x:c r="G5027" s="6" t="n">
        <x:v>5</x:v>
      </x:c>
      <x:c r="H5027" s="6" t="n">
        <x:v>4</x:v>
      </x:c>
      <x:c r="I5027" s="6" t="n">
        <x:f>G5027-H5027</x:f>
        <x:v>1</x:v>
      </x:c>
      <x:c r="J5027" s="6" t="n">
        <x:f>IF(OR(E5027="CANCELED",E5027="SUSPECTED_FRAUD",F5027="Shipping canceled"),0,1)</x:f>
        <x:v>1</x:v>
      </x:c>
      <x:c r="K5027" s="6" t="n">
        <x:f>IF(G5027&gt;H5027,1,0)</x:f>
        <x:v>1</x:v>
      </x:c>
      <x:c r="L5027" s="6" t="n">
        <x:f>J5027*K5027</x:f>
        <x:v>1</x:v>
      </x:c>
    </x:row>
    <x:row r="5028">
      <x:c r="A5028" s="1" t="n">
        <x:v>39261</x:v>
      </x:c>
      <x:c r="B5028" s="5" t="d">
        <x:v>2016-07-27T00:00:00.000Z</x:v>
      </x:c>
      <x:c r="C5028" s="1" t="str">
        <x:v>Standard Class</x:v>
      </x:c>
      <x:c r="D5028" s="1" t="str">
        <x:v>USCA</x:v>
      </x:c>
      <x:c r="E5028" s="1" t="str">
        <x:v>PENDING</x:v>
      </x:c>
      <x:c r="F5028" s="1" t="str">
        <x:v>Advance shipping</x:v>
      </x:c>
      <x:c r="G5028" s="6" t="n">
        <x:v>2</x:v>
      </x:c>
      <x:c r="H5028" s="6" t="n">
        <x:v>4</x:v>
      </x:c>
      <x:c r="I5028" s="6" t="n">
        <x:f>G5028-H5028</x:f>
        <x:v>-2</x:v>
      </x:c>
      <x:c r="J5028" s="6" t="n">
        <x:f>IF(OR(E5028="CANCELED",E5028="SUSPECTED_FRAUD",F5028="Shipping canceled"),0,1)</x:f>
        <x:v>1</x:v>
      </x:c>
      <x:c r="K5028" s="6" t="n">
        <x:f>IF(G5028&gt;H5028,1,0)</x:f>
        <x:v>0</x:v>
      </x:c>
      <x:c r="L5028" s="6" t="n">
        <x:f>J5028*K5028</x:f>
        <x:v>0</x:v>
      </x:c>
    </x:row>
    <x:row r="5029">
      <x:c r="A5029" s="1" t="n">
        <x:v>39264</x:v>
      </x:c>
      <x:c r="B5029" s="5" t="d">
        <x:v>2016-07-27T00:00:00.000Z</x:v>
      </x:c>
      <x:c r="C5029" s="1" t="str">
        <x:v>Standard Class</x:v>
      </x:c>
      <x:c r="D5029" s="1" t="str">
        <x:v>USCA</x:v>
      </x:c>
      <x:c r="E5029" s="1" t="str">
        <x:v>COMPLETE</x:v>
      </x:c>
      <x:c r="F5029" s="1" t="str">
        <x:v>Late delivery</x:v>
      </x:c>
      <x:c r="G5029" s="6" t="n">
        <x:v>5</x:v>
      </x:c>
      <x:c r="H5029" s="6" t="n">
        <x:v>4</x:v>
      </x:c>
      <x:c r="I5029" s="6" t="n">
        <x:f>G5029-H5029</x:f>
        <x:v>1</x:v>
      </x:c>
      <x:c r="J5029" s="6" t="n">
        <x:f>IF(OR(E5029="CANCELED",E5029="SUSPECTED_FRAUD",F5029="Shipping canceled"),0,1)</x:f>
        <x:v>1</x:v>
      </x:c>
      <x:c r="K5029" s="6" t="n">
        <x:f>IF(G5029&gt;H5029,1,0)</x:f>
        <x:v>1</x:v>
      </x:c>
      <x:c r="L5029" s="6" t="n">
        <x:f>J5029*K5029</x:f>
        <x:v>1</x:v>
      </x:c>
    </x:row>
    <x:row r="5030">
      <x:c r="A5030" s="1" t="n">
        <x:v>39271</x:v>
      </x:c>
      <x:c r="B5030" s="5" t="d">
        <x:v>2016-07-27T00:00:00.000Z</x:v>
      </x:c>
      <x:c r="C5030" s="1" t="str">
        <x:v>Standard Class</x:v>
      </x:c>
      <x:c r="D5030" s="1" t="str">
        <x:v>USCA</x:v>
      </x:c>
      <x:c r="E5030" s="1" t="str">
        <x:v>SUSPECTED_FRAUD</x:v>
      </x:c>
      <x:c r="F5030" s="1" t="str">
        <x:v>Shipping canceled</x:v>
      </x:c>
      <x:c r="G5030" s="6" t="n">
        <x:v>2</x:v>
      </x:c>
      <x:c r="H5030" s="6" t="n">
        <x:v>4</x:v>
      </x:c>
      <x:c r="I5030" s="6" t="n">
        <x:f>G5030-H5030</x:f>
        <x:v>-2</x:v>
      </x:c>
      <x:c r="J5030" s="6" t="n">
        <x:f>IF(OR(E5030="CANCELED",E5030="SUSPECTED_FRAUD",F5030="Shipping canceled"),0,1)</x:f>
        <x:v>0</x:v>
      </x:c>
      <x:c r="K5030" s="6" t="n">
        <x:f>IF(G5030&gt;H5030,1,0)</x:f>
        <x:v>0</x:v>
      </x:c>
      <x:c r="L5030" s="6" t="n">
        <x:f>J5030*K5030</x:f>
        <x:v>0</x:v>
      </x:c>
    </x:row>
    <x:row r="5031">
      <x:c r="A5031" s="1" t="n">
        <x:v>39280</x:v>
      </x:c>
      <x:c r="B5031" s="5" t="d">
        <x:v>2016-07-27T00:00:00.000Z</x:v>
      </x:c>
      <x:c r="C5031" s="1" t="str">
        <x:v>Standard Class</x:v>
      </x:c>
      <x:c r="D5031" s="1" t="str">
        <x:v>USCA</x:v>
      </x:c>
      <x:c r="E5031" s="1" t="str">
        <x:v>PENDING</x:v>
      </x:c>
      <x:c r="F5031" s="1" t="str">
        <x:v>Late delivery</x:v>
      </x:c>
      <x:c r="G5031" s="6" t="n">
        <x:v>6</x:v>
      </x:c>
      <x:c r="H5031" s="6" t="n">
        <x:v>4</x:v>
      </x:c>
      <x:c r="I5031" s="6" t="n">
        <x:f>G5031-H5031</x:f>
        <x:v>2</x:v>
      </x:c>
      <x:c r="J5031" s="6" t="n">
        <x:f>IF(OR(E5031="CANCELED",E5031="SUSPECTED_FRAUD",F5031="Shipping canceled"),0,1)</x:f>
        <x:v>1</x:v>
      </x:c>
      <x:c r="K5031" s="6" t="n">
        <x:f>IF(G5031&gt;H5031,1,0)</x:f>
        <x:v>1</x:v>
      </x:c>
      <x:c r="L5031" s="6" t="n">
        <x:f>J5031*K5031</x:f>
        <x:v>1</x:v>
      </x:c>
    </x:row>
    <x:row r="5032">
      <x:c r="A5032" s="1" t="n">
        <x:v>39295</x:v>
      </x:c>
      <x:c r="B5032" s="5" t="d">
        <x:v>2016-07-27T00:00:00.000Z</x:v>
      </x:c>
      <x:c r="C5032" s="1" t="str">
        <x:v>Standard Class</x:v>
      </x:c>
      <x:c r="D5032" s="1" t="str">
        <x:v>USCA</x:v>
      </x:c>
      <x:c r="E5032" s="1" t="str">
        <x:v>PENDING</x:v>
      </x:c>
      <x:c r="F5032" s="1" t="str">
        <x:v>Late delivery</x:v>
      </x:c>
      <x:c r="G5032" s="6" t="n">
        <x:v>6</x:v>
      </x:c>
      <x:c r="H5032" s="6" t="n">
        <x:v>4</x:v>
      </x:c>
      <x:c r="I5032" s="6" t="n">
        <x:f>G5032-H5032</x:f>
        <x:v>2</x:v>
      </x:c>
      <x:c r="J5032" s="6" t="n">
        <x:f>IF(OR(E5032="CANCELED",E5032="SUSPECTED_FRAUD",F5032="Shipping canceled"),0,1)</x:f>
        <x:v>1</x:v>
      </x:c>
      <x:c r="K5032" s="6" t="n">
        <x:f>IF(G5032&gt;H5032,1,0)</x:f>
        <x:v>1</x:v>
      </x:c>
      <x:c r="L5032" s="6" t="n">
        <x:f>J5032*K5032</x:f>
        <x:v>1</x:v>
      </x:c>
    </x:row>
    <x:row r="5033">
      <x:c r="A5033" s="1" t="n">
        <x:v>39300</x:v>
      </x:c>
      <x:c r="B5033" s="5" t="d">
        <x:v>2016-07-27T00:00:00.000Z</x:v>
      </x:c>
      <x:c r="C5033" s="1" t="str">
        <x:v>Standard Class</x:v>
      </x:c>
      <x:c r="D5033" s="1" t="str">
        <x:v>USCA</x:v>
      </x:c>
      <x:c r="E5033" s="1" t="str">
        <x:v>PENDING</x:v>
      </x:c>
      <x:c r="F5033" s="1" t="str">
        <x:v>Late delivery</x:v>
      </x:c>
      <x:c r="G5033" s="6" t="n">
        <x:v>6</x:v>
      </x:c>
      <x:c r="H5033" s="6" t="n">
        <x:v>4</x:v>
      </x:c>
      <x:c r="I5033" s="6" t="n">
        <x:f>G5033-H5033</x:f>
        <x:v>2</x:v>
      </x:c>
      <x:c r="J5033" s="6" t="n">
        <x:f>IF(OR(E5033="CANCELED",E5033="SUSPECTED_FRAUD",F5033="Shipping canceled"),0,1)</x:f>
        <x:v>1</x:v>
      </x:c>
      <x:c r="K5033" s="6" t="n">
        <x:f>IF(G5033&gt;H5033,1,0)</x:f>
        <x:v>1</x:v>
      </x:c>
      <x:c r="L5033" s="6" t="n">
        <x:f>J5033*K5033</x:f>
        <x:v>1</x:v>
      </x:c>
    </x:row>
    <x:row r="5034">
      <x:c r="A5034" s="1" t="n">
        <x:v>39306</x:v>
      </x:c>
      <x:c r="B5034" s="5" t="d">
        <x:v>2016-07-27T00:00:00.000Z</x:v>
      </x:c>
      <x:c r="C5034" s="1" t="str">
        <x:v>Standard Class</x:v>
      </x:c>
      <x:c r="D5034" s="1" t="str">
        <x:v>USCA</x:v>
      </x:c>
      <x:c r="E5034" s="1" t="str">
        <x:v>PROCESSING</x:v>
      </x:c>
      <x:c r="F5034" s="1" t="str">
        <x:v>Advance shipping</x:v>
      </x:c>
      <x:c r="G5034" s="6" t="n">
        <x:v>2</x:v>
      </x:c>
      <x:c r="H5034" s="6" t="n">
        <x:v>4</x:v>
      </x:c>
      <x:c r="I5034" s="6" t="n">
        <x:f>G5034-H5034</x:f>
        <x:v>-2</x:v>
      </x:c>
      <x:c r="J5034" s="6" t="n">
        <x:f>IF(OR(E5034="CANCELED",E5034="SUSPECTED_FRAUD",F5034="Shipping canceled"),0,1)</x:f>
        <x:v>1</x:v>
      </x:c>
      <x:c r="K5034" s="6" t="n">
        <x:f>IF(G5034&gt;H5034,1,0)</x:f>
        <x:v>0</x:v>
      </x:c>
      <x:c r="L5034" s="6" t="n">
        <x:f>J5034*K5034</x:f>
        <x:v>0</x:v>
      </x:c>
    </x:row>
    <x:row r="5035">
      <x:c r="A5035" s="1" t="n">
        <x:v>39307</x:v>
      </x:c>
      <x:c r="B5035" s="5" t="d">
        <x:v>2016-07-27T00:00:00.000Z</x:v>
      </x:c>
      <x:c r="C5035" s="1" t="str">
        <x:v>Standard Class</x:v>
      </x:c>
      <x:c r="D5035" s="1" t="str">
        <x:v>USCA</x:v>
      </x:c>
      <x:c r="E5035" s="1" t="str">
        <x:v>PROCESSING</x:v>
      </x:c>
      <x:c r="F5035" s="1" t="str">
        <x:v>Advance shipping</x:v>
      </x:c>
      <x:c r="G5035" s="6" t="n">
        <x:v>3</x:v>
      </x:c>
      <x:c r="H5035" s="6" t="n">
        <x:v>4</x:v>
      </x:c>
      <x:c r="I5035" s="6" t="n">
        <x:f>G5035-H5035</x:f>
        <x:v>-1</x:v>
      </x:c>
      <x:c r="J5035" s="6" t="n">
        <x:f>IF(OR(E5035="CANCELED",E5035="SUSPECTED_FRAUD",F5035="Shipping canceled"),0,1)</x:f>
        <x:v>1</x:v>
      </x:c>
      <x:c r="K5035" s="6" t="n">
        <x:f>IF(G5035&gt;H5035,1,0)</x:f>
        <x:v>0</x:v>
      </x:c>
      <x:c r="L5035" s="6" t="n">
        <x:f>J5035*K5035</x:f>
        <x:v>0</x:v>
      </x:c>
    </x:row>
    <x:row r="5036">
      <x:c r="A5036" s="1" t="n">
        <x:v>39317</x:v>
      </x:c>
      <x:c r="B5036" s="5" t="d">
        <x:v>2016-07-27T00:00:00.000Z</x:v>
      </x:c>
      <x:c r="C5036" s="1" t="str">
        <x:v>Standard Class</x:v>
      </x:c>
      <x:c r="D5036" s="1" t="str">
        <x:v>USCA</x:v>
      </x:c>
      <x:c r="E5036" s="1" t="str">
        <x:v>PROCESSING</x:v>
      </x:c>
      <x:c r="F5036" s="1" t="str">
        <x:v>Advance shipping</x:v>
      </x:c>
      <x:c r="G5036" s="6" t="n">
        <x:v>3</x:v>
      </x:c>
      <x:c r="H5036" s="6" t="n">
        <x:v>4</x:v>
      </x:c>
      <x:c r="I5036" s="6" t="n">
        <x:f>G5036-H5036</x:f>
        <x:v>-1</x:v>
      </x:c>
      <x:c r="J5036" s="6" t="n">
        <x:f>IF(OR(E5036="CANCELED",E5036="SUSPECTED_FRAUD",F5036="Shipping canceled"),0,1)</x:f>
        <x:v>1</x:v>
      </x:c>
      <x:c r="K5036" s="6" t="n">
        <x:f>IF(G5036&gt;H5036,1,0)</x:f>
        <x:v>0</x:v>
      </x:c>
      <x:c r="L5036" s="6" t="n">
        <x:f>J5036*K5036</x:f>
        <x:v>0</x:v>
      </x:c>
    </x:row>
    <x:row r="5037">
      <x:c r="A5037" s="1" t="n">
        <x:v>39318</x:v>
      </x:c>
      <x:c r="B5037" s="5" t="d">
        <x:v>2016-07-27T00:00:00.000Z</x:v>
      </x:c>
      <x:c r="C5037" s="1" t="str">
        <x:v>Standard Class</x:v>
      </x:c>
      <x:c r="D5037" s="1" t="str">
        <x:v>USCA</x:v>
      </x:c>
      <x:c r="E5037" s="1" t="str">
        <x:v>COMPLETE</x:v>
      </x:c>
      <x:c r="F5037" s="1" t="str">
        <x:v>Shipping on time</x:v>
      </x:c>
      <x:c r="G5037" s="6" t="n">
        <x:v>4</x:v>
      </x:c>
      <x:c r="H5037" s="6" t="n">
        <x:v>4</x:v>
      </x:c>
      <x:c r="I5037" s="6" t="n">
        <x:f>G5037-H5037</x:f>
        <x:v>0</x:v>
      </x:c>
      <x:c r="J5037" s="6" t="n">
        <x:f>IF(OR(E5037="CANCELED",E5037="SUSPECTED_FRAUD",F5037="Shipping canceled"),0,1)</x:f>
        <x:v>1</x:v>
      </x:c>
      <x:c r="K5037" s="6" t="n">
        <x:f>IF(G5037&gt;H5037,1,0)</x:f>
        <x:v>0</x:v>
      </x:c>
      <x:c r="L5037" s="6" t="n">
        <x:f>J5037*K5037</x:f>
        <x:v>0</x:v>
      </x:c>
    </x:row>
    <x:row r="5038">
      <x:c r="A5038" s="1" t="n">
        <x:v>39328</x:v>
      </x:c>
      <x:c r="B5038" s="5" t="d">
        <x:v>2016-07-28T00:00:00.000Z</x:v>
      </x:c>
      <x:c r="C5038" s="1" t="str">
        <x:v>Standard Class</x:v>
      </x:c>
      <x:c r="D5038" s="1" t="str">
        <x:v>USCA</x:v>
      </x:c>
      <x:c r="E5038" s="1" t="str">
        <x:v>PROCESSING</x:v>
      </x:c>
      <x:c r="F5038" s="1" t="str">
        <x:v>Shipping on time</x:v>
      </x:c>
      <x:c r="G5038" s="6" t="n">
        <x:v>4</x:v>
      </x:c>
      <x:c r="H5038" s="6" t="n">
        <x:v>4</x:v>
      </x:c>
      <x:c r="I5038" s="6" t="n">
        <x:f>G5038-H5038</x:f>
        <x:v>0</x:v>
      </x:c>
      <x:c r="J5038" s="6" t="n">
        <x:f>IF(OR(E5038="CANCELED",E5038="SUSPECTED_FRAUD",F5038="Shipping canceled"),0,1)</x:f>
        <x:v>1</x:v>
      </x:c>
      <x:c r="K5038" s="6" t="n">
        <x:f>IF(G5038&gt;H5038,1,0)</x:f>
        <x:v>0</x:v>
      </x:c>
      <x:c r="L5038" s="6" t="n">
        <x:f>J5038*K5038</x:f>
        <x:v>0</x:v>
      </x:c>
    </x:row>
    <x:row r="5039">
      <x:c r="A5039" s="1" t="n">
        <x:v>39329</x:v>
      </x:c>
      <x:c r="B5039" s="5" t="d">
        <x:v>2016-07-28T00:00:00.000Z</x:v>
      </x:c>
      <x:c r="C5039" s="1" t="str">
        <x:v>Standard Class</x:v>
      </x:c>
      <x:c r="D5039" s="1" t="str">
        <x:v>USCA</x:v>
      </x:c>
      <x:c r="E5039" s="1" t="str">
        <x:v>COMPLETE</x:v>
      </x:c>
      <x:c r="F5039" s="1" t="str">
        <x:v>Late delivery</x:v>
      </x:c>
      <x:c r="G5039" s="6" t="n">
        <x:v>5</x:v>
      </x:c>
      <x:c r="H5039" s="6" t="n">
        <x:v>4</x:v>
      </x:c>
      <x:c r="I5039" s="6" t="n">
        <x:f>G5039-H5039</x:f>
        <x:v>1</x:v>
      </x:c>
      <x:c r="J5039" s="6" t="n">
        <x:f>IF(OR(E5039="CANCELED",E5039="SUSPECTED_FRAUD",F5039="Shipping canceled"),0,1)</x:f>
        <x:v>1</x:v>
      </x:c>
      <x:c r="K5039" s="6" t="n">
        <x:f>IF(G5039&gt;H5039,1,0)</x:f>
        <x:v>1</x:v>
      </x:c>
      <x:c r="L5039" s="6" t="n">
        <x:f>J5039*K5039</x:f>
        <x:v>1</x:v>
      </x:c>
    </x:row>
    <x:row r="5040">
      <x:c r="A5040" s="1" t="n">
        <x:v>39331</x:v>
      </x:c>
      <x:c r="B5040" s="5" t="d">
        <x:v>2016-07-28T00:00:00.000Z</x:v>
      </x:c>
      <x:c r="C5040" s="1" t="str">
        <x:v>Standard Class</x:v>
      </x:c>
      <x:c r="D5040" s="1" t="str">
        <x:v>USCA</x:v>
      </x:c>
      <x:c r="E5040" s="1" t="str">
        <x:v>COMPLETE</x:v>
      </x:c>
      <x:c r="F5040" s="1" t="str">
        <x:v>Advance shipping</x:v>
      </x:c>
      <x:c r="G5040" s="6" t="n">
        <x:v>2</x:v>
      </x:c>
      <x:c r="H5040" s="6" t="n">
        <x:v>4</x:v>
      </x:c>
      <x:c r="I5040" s="6" t="n">
        <x:f>G5040-H5040</x:f>
        <x:v>-2</x:v>
      </x:c>
      <x:c r="J5040" s="6" t="n">
        <x:f>IF(OR(E5040="CANCELED",E5040="SUSPECTED_FRAUD",F5040="Shipping canceled"),0,1)</x:f>
        <x:v>1</x:v>
      </x:c>
      <x:c r="K5040" s="6" t="n">
        <x:f>IF(G5040&gt;H5040,1,0)</x:f>
        <x:v>0</x:v>
      </x:c>
      <x:c r="L5040" s="6" t="n">
        <x:f>J5040*K5040</x:f>
        <x:v>0</x:v>
      </x:c>
    </x:row>
    <x:row r="5041">
      <x:c r="A5041" s="1" t="n">
        <x:v>39349</x:v>
      </x:c>
      <x:c r="B5041" s="5" t="d">
        <x:v>2016-07-28T00:00:00.000Z</x:v>
      </x:c>
      <x:c r="C5041" s="1" t="str">
        <x:v>Standard Class</x:v>
      </x:c>
      <x:c r="D5041" s="1" t="str">
        <x:v>USCA</x:v>
      </x:c>
      <x:c r="E5041" s="1" t="str">
        <x:v>COMPLETE</x:v>
      </x:c>
      <x:c r="F5041" s="1" t="str">
        <x:v>Late delivery</x:v>
      </x:c>
      <x:c r="G5041" s="6" t="n">
        <x:v>5</x:v>
      </x:c>
      <x:c r="H5041" s="6" t="n">
        <x:v>4</x:v>
      </x:c>
      <x:c r="I5041" s="6" t="n">
        <x:f>G5041-H5041</x:f>
        <x:v>1</x:v>
      </x:c>
      <x:c r="J5041" s="6" t="n">
        <x:f>IF(OR(E5041="CANCELED",E5041="SUSPECTED_FRAUD",F5041="Shipping canceled"),0,1)</x:f>
        <x:v>1</x:v>
      </x:c>
      <x:c r="K5041" s="6" t="n">
        <x:f>IF(G5041&gt;H5041,1,0)</x:f>
        <x:v>1</x:v>
      </x:c>
      <x:c r="L5041" s="6" t="n">
        <x:f>J5041*K5041</x:f>
        <x:v>1</x:v>
      </x:c>
    </x:row>
    <x:row r="5042">
      <x:c r="A5042" s="1" t="n">
        <x:v>39368</x:v>
      </x:c>
      <x:c r="B5042" s="5" t="d">
        <x:v>2016-07-28T00:00:00.000Z</x:v>
      </x:c>
      <x:c r="C5042" s="1" t="str">
        <x:v>Second Class</x:v>
      </x:c>
      <x:c r="D5042" s="1" t="str">
        <x:v>USCA</x:v>
      </x:c>
      <x:c r="E5042" s="1" t="str">
        <x:v>COMPLETE</x:v>
      </x:c>
      <x:c r="F5042" s="1" t="str">
        <x:v>Late delivery</x:v>
      </x:c>
      <x:c r="G5042" s="6" t="n">
        <x:v>4</x:v>
      </x:c>
      <x:c r="H5042" s="6" t="n">
        <x:v>2</x:v>
      </x:c>
      <x:c r="I5042" s="6" t="n">
        <x:f>G5042-H5042</x:f>
        <x:v>2</x:v>
      </x:c>
      <x:c r="J5042" s="6" t="n">
        <x:f>IF(OR(E5042="CANCELED",E5042="SUSPECTED_FRAUD",F5042="Shipping canceled"),0,1)</x:f>
        <x:v>1</x:v>
      </x:c>
      <x:c r="K5042" s="6" t="n">
        <x:f>IF(G5042&gt;H5042,1,0)</x:f>
        <x:v>1</x:v>
      </x:c>
      <x:c r="L5042" s="6" t="n">
        <x:f>J5042*K5042</x:f>
        <x:v>1</x:v>
      </x:c>
    </x:row>
    <x:row r="5043">
      <x:c r="A5043" s="1" t="n">
        <x:v>39375</x:v>
      </x:c>
      <x:c r="B5043" s="5" t="d">
        <x:v>2016-07-28T00:00:00.000Z</x:v>
      </x:c>
      <x:c r="C5043" s="1" t="str">
        <x:v>Standard Class</x:v>
      </x:c>
      <x:c r="D5043" s="1" t="str">
        <x:v>USCA</x:v>
      </x:c>
      <x:c r="E5043" s="1" t="str">
        <x:v>PENDING_PAYMENT</x:v>
      </x:c>
      <x:c r="F5043" s="1" t="str">
        <x:v>Late delivery</x:v>
      </x:c>
      <x:c r="G5043" s="6" t="n">
        <x:v>6</x:v>
      </x:c>
      <x:c r="H5043" s="6" t="n">
        <x:v>4</x:v>
      </x:c>
      <x:c r="I5043" s="6" t="n">
        <x:f>G5043-H5043</x:f>
        <x:v>2</x:v>
      </x:c>
      <x:c r="J5043" s="6" t="n">
        <x:f>IF(OR(E5043="CANCELED",E5043="SUSPECTED_FRAUD",F5043="Shipping canceled"),0,1)</x:f>
        <x:v>1</x:v>
      </x:c>
      <x:c r="K5043" s="6" t="n">
        <x:f>IF(G5043&gt;H5043,1,0)</x:f>
        <x:v>1</x:v>
      </x:c>
      <x:c r="L5043" s="6" t="n">
        <x:f>J5043*K5043</x:f>
        <x:v>1</x:v>
      </x:c>
    </x:row>
    <x:row r="5044">
      <x:c r="A5044" s="1" t="n">
        <x:v>39379</x:v>
      </x:c>
      <x:c r="B5044" s="5" t="d">
        <x:v>2016-07-28T00:00:00.000Z</x:v>
      </x:c>
      <x:c r="C5044" s="1" t="str">
        <x:v>Standard Class</x:v>
      </x:c>
      <x:c r="D5044" s="1" t="str">
        <x:v>USCA</x:v>
      </x:c>
      <x:c r="E5044" s="1" t="str">
        <x:v>COMPLETE</x:v>
      </x:c>
      <x:c r="F5044" s="1" t="str">
        <x:v>Late delivery</x:v>
      </x:c>
      <x:c r="G5044" s="6" t="n">
        <x:v>5</x:v>
      </x:c>
      <x:c r="H5044" s="6" t="n">
        <x:v>4</x:v>
      </x:c>
      <x:c r="I5044" s="6" t="n">
        <x:f>G5044-H5044</x:f>
        <x:v>1</x:v>
      </x:c>
      <x:c r="J5044" s="6" t="n">
        <x:f>IF(OR(E5044="CANCELED",E5044="SUSPECTED_FRAUD",F5044="Shipping canceled"),0,1)</x:f>
        <x:v>1</x:v>
      </x:c>
      <x:c r="K5044" s="6" t="n">
        <x:f>IF(G5044&gt;H5044,1,0)</x:f>
        <x:v>1</x:v>
      </x:c>
      <x:c r="L5044" s="6" t="n">
        <x:f>J5044*K5044</x:f>
        <x:v>1</x:v>
      </x:c>
    </x:row>
    <x:row r="5045">
      <x:c r="A5045" s="1" t="n">
        <x:v>39383</x:v>
      </x:c>
      <x:c r="B5045" s="5" t="d">
        <x:v>2016-07-28T00:00:00.000Z</x:v>
      </x:c>
      <x:c r="C5045" s="1" t="str">
        <x:v>First Class</x:v>
      </x:c>
      <x:c r="D5045" s="1" t="str">
        <x:v>USCA</x:v>
      </x:c>
      <x:c r="E5045" s="1" t="str">
        <x:v>CLOSED</x:v>
      </x:c>
      <x:c r="F5045" s="1" t="str">
        <x:v>Late delivery</x:v>
      </x:c>
      <x:c r="G5045" s="6" t="n">
        <x:v>2</x:v>
      </x:c>
      <x:c r="H5045" s="6" t="n">
        <x:v>1</x:v>
      </x:c>
      <x:c r="I5045" s="6" t="n">
        <x:f>G5045-H5045</x:f>
        <x:v>1</x:v>
      </x:c>
      <x:c r="J5045" s="6" t="n">
        <x:f>IF(OR(E5045="CANCELED",E5045="SUSPECTED_FRAUD",F5045="Shipping canceled"),0,1)</x:f>
        <x:v>1</x:v>
      </x:c>
      <x:c r="K5045" s="6" t="n">
        <x:f>IF(G5045&gt;H5045,1,0)</x:f>
        <x:v>1</x:v>
      </x:c>
      <x:c r="L5045" s="6" t="n">
        <x:f>J5045*K5045</x:f>
        <x:v>1</x:v>
      </x:c>
    </x:row>
    <x:row r="5046">
      <x:c r="A5046" s="1" t="n">
        <x:v>39388</x:v>
      </x:c>
      <x:c r="B5046" s="5" t="d">
        <x:v>2016-07-28T00:00:00.000Z</x:v>
      </x:c>
      <x:c r="C5046" s="1" t="str">
        <x:v>Second Class</x:v>
      </x:c>
      <x:c r="D5046" s="1" t="str">
        <x:v>USCA</x:v>
      </x:c>
      <x:c r="E5046" s="1" t="str">
        <x:v>COMPLETE</x:v>
      </x:c>
      <x:c r="F5046" s="1" t="str">
        <x:v>Late delivery</x:v>
      </x:c>
      <x:c r="G5046" s="6" t="n">
        <x:v>4</x:v>
      </x:c>
      <x:c r="H5046" s="6" t="n">
        <x:v>2</x:v>
      </x:c>
      <x:c r="I5046" s="6" t="n">
        <x:f>G5046-H5046</x:f>
        <x:v>2</x:v>
      </x:c>
      <x:c r="J5046" s="6" t="n">
        <x:f>IF(OR(E5046="CANCELED",E5046="SUSPECTED_FRAUD",F5046="Shipping canceled"),0,1)</x:f>
        <x:v>1</x:v>
      </x:c>
      <x:c r="K5046" s="6" t="n">
        <x:f>IF(G5046&gt;H5046,1,0)</x:f>
        <x:v>1</x:v>
      </x:c>
      <x:c r="L5046" s="6" t="n">
        <x:f>J5046*K5046</x:f>
        <x:v>1</x:v>
      </x:c>
    </x:row>
    <x:row r="5047">
      <x:c r="A5047" s="1" t="n">
        <x:v>39403</x:v>
      </x:c>
      <x:c r="B5047" s="5" t="d">
        <x:v>2016-07-29T00:00:00.000Z</x:v>
      </x:c>
      <x:c r="C5047" s="1" t="str">
        <x:v>Standard Class</x:v>
      </x:c>
      <x:c r="D5047" s="1" t="str">
        <x:v>USCA</x:v>
      </x:c>
      <x:c r="E5047" s="1" t="str">
        <x:v>PENDING</x:v>
      </x:c>
      <x:c r="F5047" s="1" t="str">
        <x:v>Shipping on time</x:v>
      </x:c>
      <x:c r="G5047" s="6" t="n">
        <x:v>4</x:v>
      </x:c>
      <x:c r="H5047" s="6" t="n">
        <x:v>4</x:v>
      </x:c>
      <x:c r="I5047" s="6" t="n">
        <x:f>G5047-H5047</x:f>
        <x:v>0</x:v>
      </x:c>
      <x:c r="J5047" s="6" t="n">
        <x:f>IF(OR(E5047="CANCELED",E5047="SUSPECTED_FRAUD",F5047="Shipping canceled"),0,1)</x:f>
        <x:v>1</x:v>
      </x:c>
      <x:c r="K5047" s="6" t="n">
        <x:f>IF(G5047&gt;H5047,1,0)</x:f>
        <x:v>0</x:v>
      </x:c>
      <x:c r="L5047" s="6" t="n">
        <x:f>J5047*K5047</x:f>
        <x:v>0</x:v>
      </x:c>
    </x:row>
    <x:row r="5048">
      <x:c r="A5048" s="1" t="n">
        <x:v>39407</x:v>
      </x:c>
      <x:c r="B5048" s="5" t="d">
        <x:v>2016-07-29T00:00:00.000Z</x:v>
      </x:c>
      <x:c r="C5048" s="1" t="str">
        <x:v>Standard Class</x:v>
      </x:c>
      <x:c r="D5048" s="1" t="str">
        <x:v>USCA</x:v>
      </x:c>
      <x:c r="E5048" s="1" t="str">
        <x:v>COMPLETE</x:v>
      </x:c>
      <x:c r="F5048" s="1" t="str">
        <x:v>Advance shipping</x:v>
      </x:c>
      <x:c r="G5048" s="6" t="n">
        <x:v>3</x:v>
      </x:c>
      <x:c r="H5048" s="6" t="n">
        <x:v>4</x:v>
      </x:c>
      <x:c r="I5048" s="6" t="n">
        <x:f>G5048-H5048</x:f>
        <x:v>-1</x:v>
      </x:c>
      <x:c r="J5048" s="6" t="n">
        <x:f>IF(OR(E5048="CANCELED",E5048="SUSPECTED_FRAUD",F5048="Shipping canceled"),0,1)</x:f>
        <x:v>1</x:v>
      </x:c>
      <x:c r="K5048" s="6" t="n">
        <x:f>IF(G5048&gt;H5048,1,0)</x:f>
        <x:v>0</x:v>
      </x:c>
      <x:c r="L5048" s="6" t="n">
        <x:f>J5048*K5048</x:f>
        <x:v>0</x:v>
      </x:c>
    </x:row>
    <x:row r="5049">
      <x:c r="A5049" s="1" t="n">
        <x:v>39426</x:v>
      </x:c>
      <x:c r="B5049" s="5" t="d">
        <x:v>2016-07-29T00:00:00.000Z</x:v>
      </x:c>
      <x:c r="C5049" s="1" t="str">
        <x:v>Second Class</x:v>
      </x:c>
      <x:c r="D5049" s="1" t="str">
        <x:v>USCA</x:v>
      </x:c>
      <x:c r="E5049" s="1" t="str">
        <x:v>COMPLETE</x:v>
      </x:c>
      <x:c r="F5049" s="1" t="str">
        <x:v>Shipping on time</x:v>
      </x:c>
      <x:c r="G5049" s="6" t="n">
        <x:v>2</x:v>
      </x:c>
      <x:c r="H5049" s="6" t="n">
        <x:v>2</x:v>
      </x:c>
      <x:c r="I5049" s="6" t="n">
        <x:f>G5049-H5049</x:f>
        <x:v>0</x:v>
      </x:c>
      <x:c r="J5049" s="6" t="n">
        <x:f>IF(OR(E5049="CANCELED",E5049="SUSPECTED_FRAUD",F5049="Shipping canceled"),0,1)</x:f>
        <x:v>1</x:v>
      </x:c>
      <x:c r="K5049" s="6" t="n">
        <x:f>IF(G5049&gt;H5049,1,0)</x:f>
        <x:v>0</x:v>
      </x:c>
      <x:c r="L5049" s="6" t="n">
        <x:f>J5049*K5049</x:f>
        <x:v>0</x:v>
      </x:c>
    </x:row>
    <x:row r="5050">
      <x:c r="A5050" s="1" t="n">
        <x:v>39431</x:v>
      </x:c>
      <x:c r="B5050" s="5" t="d">
        <x:v>2016-07-29T00:00:00.000Z</x:v>
      </x:c>
      <x:c r="C5050" s="1" t="str">
        <x:v>Second Class</x:v>
      </x:c>
      <x:c r="D5050" s="1" t="str">
        <x:v>USCA</x:v>
      </x:c>
      <x:c r="E5050" s="1" t="str">
        <x:v>PROCESSING</x:v>
      </x:c>
      <x:c r="F5050" s="1" t="str">
        <x:v>Shipping on time</x:v>
      </x:c>
      <x:c r="G5050" s="6" t="n">
        <x:v>2</x:v>
      </x:c>
      <x:c r="H5050" s="6" t="n">
        <x:v>2</x:v>
      </x:c>
      <x:c r="I5050" s="6" t="n">
        <x:f>G5050-H5050</x:f>
        <x:v>0</x:v>
      </x:c>
      <x:c r="J5050" s="6" t="n">
        <x:f>IF(OR(E5050="CANCELED",E5050="SUSPECTED_FRAUD",F5050="Shipping canceled"),0,1)</x:f>
        <x:v>1</x:v>
      </x:c>
      <x:c r="K5050" s="6" t="n">
        <x:f>IF(G5050&gt;H5050,1,0)</x:f>
        <x:v>0</x:v>
      </x:c>
      <x:c r="L5050" s="6" t="n">
        <x:f>J5050*K5050</x:f>
        <x:v>0</x:v>
      </x:c>
    </x:row>
    <x:row r="5051">
      <x:c r="A5051" s="1" t="n">
        <x:v>39435</x:v>
      </x:c>
      <x:c r="B5051" s="5" t="d">
        <x:v>2016-07-29T00:00:00.000Z</x:v>
      </x:c>
      <x:c r="C5051" s="1" t="str">
        <x:v>Second Class</x:v>
      </x:c>
      <x:c r="D5051" s="1" t="str">
        <x:v>USCA</x:v>
      </x:c>
      <x:c r="E5051" s="1" t="str">
        <x:v>COMPLETE</x:v>
      </x:c>
      <x:c r="F5051" s="1" t="str">
        <x:v>Late delivery</x:v>
      </x:c>
      <x:c r="G5051" s="6" t="n">
        <x:v>6</x:v>
      </x:c>
      <x:c r="H5051" s="6" t="n">
        <x:v>2</x:v>
      </x:c>
      <x:c r="I5051" s="6" t="n">
        <x:f>G5051-H5051</x:f>
        <x:v>4</x:v>
      </x:c>
      <x:c r="J5051" s="6" t="n">
        <x:f>IF(OR(E5051="CANCELED",E5051="SUSPECTED_FRAUD",F5051="Shipping canceled"),0,1)</x:f>
        <x:v>1</x:v>
      </x:c>
      <x:c r="K5051" s="6" t="n">
        <x:f>IF(G5051&gt;H5051,1,0)</x:f>
        <x:v>1</x:v>
      </x:c>
      <x:c r="L5051" s="6" t="n">
        <x:f>J5051*K5051</x:f>
        <x:v>1</x:v>
      </x:c>
    </x:row>
    <x:row r="5052">
      <x:c r="A5052" s="1" t="n">
        <x:v>39451</x:v>
      </x:c>
      <x:c r="B5052" s="5" t="d">
        <x:v>2016-07-29T00:00:00.000Z</x:v>
      </x:c>
      <x:c r="C5052" s="1" t="str">
        <x:v>Standard Class</x:v>
      </x:c>
      <x:c r="D5052" s="1" t="str">
        <x:v>USCA</x:v>
      </x:c>
      <x:c r="E5052" s="1" t="str">
        <x:v>PENDING_PAYMENT</x:v>
      </x:c>
      <x:c r="F5052" s="1" t="str">
        <x:v>Advance shipping</x:v>
      </x:c>
      <x:c r="G5052" s="6" t="n">
        <x:v>2</x:v>
      </x:c>
      <x:c r="H5052" s="6" t="n">
        <x:v>4</x:v>
      </x:c>
      <x:c r="I5052" s="6" t="n">
        <x:f>G5052-H5052</x:f>
        <x:v>-2</x:v>
      </x:c>
      <x:c r="J5052" s="6" t="n">
        <x:f>IF(OR(E5052="CANCELED",E5052="SUSPECTED_FRAUD",F5052="Shipping canceled"),0,1)</x:f>
        <x:v>1</x:v>
      </x:c>
      <x:c r="K5052" s="6" t="n">
        <x:f>IF(G5052&gt;H5052,1,0)</x:f>
        <x:v>0</x:v>
      </x:c>
      <x:c r="L5052" s="6" t="n">
        <x:f>J5052*K5052</x:f>
        <x:v>0</x:v>
      </x:c>
    </x:row>
    <x:row r="5053">
      <x:c r="A5053" s="1" t="n">
        <x:v>39455</x:v>
      </x:c>
      <x:c r="B5053" s="5" t="d">
        <x:v>2016-07-29T00:00:00.000Z</x:v>
      </x:c>
      <x:c r="C5053" s="1" t="str">
        <x:v>Standard Class</x:v>
      </x:c>
      <x:c r="D5053" s="1" t="str">
        <x:v>USCA</x:v>
      </x:c>
      <x:c r="E5053" s="1" t="str">
        <x:v>PENDING</x:v>
      </x:c>
      <x:c r="F5053" s="1" t="str">
        <x:v>Late delivery</x:v>
      </x:c>
      <x:c r="G5053" s="6" t="n">
        <x:v>6</x:v>
      </x:c>
      <x:c r="H5053" s="6" t="n">
        <x:v>4</x:v>
      </x:c>
      <x:c r="I5053" s="6" t="n">
        <x:f>G5053-H5053</x:f>
        <x:v>2</x:v>
      </x:c>
      <x:c r="J5053" s="6" t="n">
        <x:f>IF(OR(E5053="CANCELED",E5053="SUSPECTED_FRAUD",F5053="Shipping canceled"),0,1)</x:f>
        <x:v>1</x:v>
      </x:c>
      <x:c r="K5053" s="6" t="n">
        <x:f>IF(G5053&gt;H5053,1,0)</x:f>
        <x:v>1</x:v>
      </x:c>
      <x:c r="L5053" s="6" t="n">
        <x:f>J5053*K5053</x:f>
        <x:v>1</x:v>
      </x:c>
    </x:row>
    <x:row r="5054">
      <x:c r="A5054" s="1" t="n">
        <x:v>39465</x:v>
      </x:c>
      <x:c r="B5054" s="5" t="d">
        <x:v>2016-07-30T00:00:00.000Z</x:v>
      </x:c>
      <x:c r="C5054" s="1" t="str">
        <x:v>First Class</x:v>
      </x:c>
      <x:c r="D5054" s="1" t="str">
        <x:v>USCA</x:v>
      </x:c>
      <x:c r="E5054" s="1" t="str">
        <x:v>PENDING_PAYMENT</x:v>
      </x:c>
      <x:c r="F5054" s="1" t="str">
        <x:v>Late delivery</x:v>
      </x:c>
      <x:c r="G5054" s="6" t="n">
        <x:v>2</x:v>
      </x:c>
      <x:c r="H5054" s="6" t="n">
        <x:v>1</x:v>
      </x:c>
      <x:c r="I5054" s="6" t="n">
        <x:f>G5054-H5054</x:f>
        <x:v>1</x:v>
      </x:c>
      <x:c r="J5054" s="6" t="n">
        <x:f>IF(OR(E5054="CANCELED",E5054="SUSPECTED_FRAUD",F5054="Shipping canceled"),0,1)</x:f>
        <x:v>1</x:v>
      </x:c>
      <x:c r="K5054" s="6" t="n">
        <x:f>IF(G5054&gt;H5054,1,0)</x:f>
        <x:v>1</x:v>
      </x:c>
      <x:c r="L5054" s="6" t="n">
        <x:f>J5054*K5054</x:f>
        <x:v>1</x:v>
      </x:c>
    </x:row>
    <x:row r="5055">
      <x:c r="A5055" s="1" t="n">
        <x:v>39470</x:v>
      </x:c>
      <x:c r="B5055" s="5" t="d">
        <x:v>2016-07-30T00:00:00.000Z</x:v>
      </x:c>
      <x:c r="C5055" s="1" t="str">
        <x:v>Standard Class</x:v>
      </x:c>
      <x:c r="D5055" s="1" t="str">
        <x:v>USCA</x:v>
      </x:c>
      <x:c r="E5055" s="1" t="str">
        <x:v>COMPLETE</x:v>
      </x:c>
      <x:c r="F5055" s="1" t="str">
        <x:v>Late delivery</x:v>
      </x:c>
      <x:c r="G5055" s="6" t="n">
        <x:v>6</x:v>
      </x:c>
      <x:c r="H5055" s="6" t="n">
        <x:v>4</x:v>
      </x:c>
      <x:c r="I5055" s="6" t="n">
        <x:f>G5055-H5055</x:f>
        <x:v>2</x:v>
      </x:c>
      <x:c r="J5055" s="6" t="n">
        <x:f>IF(OR(E5055="CANCELED",E5055="SUSPECTED_FRAUD",F5055="Shipping canceled"),0,1)</x:f>
        <x:v>1</x:v>
      </x:c>
      <x:c r="K5055" s="6" t="n">
        <x:f>IF(G5055&gt;H5055,1,0)</x:f>
        <x:v>1</x:v>
      </x:c>
      <x:c r="L5055" s="6" t="n">
        <x:f>J5055*K5055</x:f>
        <x:v>1</x:v>
      </x:c>
    </x:row>
    <x:row r="5056">
      <x:c r="A5056" s="1" t="n">
        <x:v>39471</x:v>
      </x:c>
      <x:c r="B5056" s="5" t="d">
        <x:v>2016-07-30T00:00:00.000Z</x:v>
      </x:c>
      <x:c r="C5056" s="1" t="str">
        <x:v>Standard Class</x:v>
      </x:c>
      <x:c r="D5056" s="1" t="str">
        <x:v>USCA</x:v>
      </x:c>
      <x:c r="E5056" s="1" t="str">
        <x:v>PENDING</x:v>
      </x:c>
      <x:c r="F5056" s="1" t="str">
        <x:v>Advance shipping</x:v>
      </x:c>
      <x:c r="G5056" s="6" t="n">
        <x:v>2</x:v>
      </x:c>
      <x:c r="H5056" s="6" t="n">
        <x:v>4</x:v>
      </x:c>
      <x:c r="I5056" s="6" t="n">
        <x:f>G5056-H5056</x:f>
        <x:v>-2</x:v>
      </x:c>
      <x:c r="J5056" s="6" t="n">
        <x:f>IF(OR(E5056="CANCELED",E5056="SUSPECTED_FRAUD",F5056="Shipping canceled"),0,1)</x:f>
        <x:v>1</x:v>
      </x:c>
      <x:c r="K5056" s="6" t="n">
        <x:f>IF(G5056&gt;H5056,1,0)</x:f>
        <x:v>0</x:v>
      </x:c>
      <x:c r="L5056" s="6" t="n">
        <x:f>J5056*K5056</x:f>
        <x:v>0</x:v>
      </x:c>
    </x:row>
    <x:row r="5057">
      <x:c r="A5057" s="1" t="n">
        <x:v>39472</x:v>
      </x:c>
      <x:c r="B5057" s="5" t="d">
        <x:v>2016-07-30T00:00:00.000Z</x:v>
      </x:c>
      <x:c r="C5057" s="1" t="str">
        <x:v>Standard Class</x:v>
      </x:c>
      <x:c r="D5057" s="1" t="str">
        <x:v>USCA</x:v>
      </x:c>
      <x:c r="E5057" s="1" t="str">
        <x:v>COMPLETE</x:v>
      </x:c>
      <x:c r="F5057" s="1" t="str">
        <x:v>Advance shipping</x:v>
      </x:c>
      <x:c r="G5057" s="6" t="n">
        <x:v>3</x:v>
      </x:c>
      <x:c r="H5057" s="6" t="n">
        <x:v>4</x:v>
      </x:c>
      <x:c r="I5057" s="6" t="n">
        <x:f>G5057-H5057</x:f>
        <x:v>-1</x:v>
      </x:c>
      <x:c r="J5057" s="6" t="n">
        <x:f>IF(OR(E5057="CANCELED",E5057="SUSPECTED_FRAUD",F5057="Shipping canceled"),0,1)</x:f>
        <x:v>1</x:v>
      </x:c>
      <x:c r="K5057" s="6" t="n">
        <x:f>IF(G5057&gt;H5057,1,0)</x:f>
        <x:v>0</x:v>
      </x:c>
      <x:c r="L5057" s="6" t="n">
        <x:f>J5057*K5057</x:f>
        <x:v>0</x:v>
      </x:c>
    </x:row>
    <x:row r="5058">
      <x:c r="A5058" s="1" t="n">
        <x:v>39475</x:v>
      </x:c>
      <x:c r="B5058" s="5" t="d">
        <x:v>2016-07-30T00:00:00.000Z</x:v>
      </x:c>
      <x:c r="C5058" s="1" t="str">
        <x:v>Second Class</x:v>
      </x:c>
      <x:c r="D5058" s="1" t="str">
        <x:v>USCA</x:v>
      </x:c>
      <x:c r="E5058" s="1" t="str">
        <x:v>COMPLETE</x:v>
      </x:c>
      <x:c r="F5058" s="1" t="str">
        <x:v>Late delivery</x:v>
      </x:c>
      <x:c r="G5058" s="6" t="n">
        <x:v>6</x:v>
      </x:c>
      <x:c r="H5058" s="6" t="n">
        <x:v>2</x:v>
      </x:c>
      <x:c r="I5058" s="6" t="n">
        <x:f>G5058-H5058</x:f>
        <x:v>4</x:v>
      </x:c>
      <x:c r="J5058" s="6" t="n">
        <x:f>IF(OR(E5058="CANCELED",E5058="SUSPECTED_FRAUD",F5058="Shipping canceled"),0,1)</x:f>
        <x:v>1</x:v>
      </x:c>
      <x:c r="K5058" s="6" t="n">
        <x:f>IF(G5058&gt;H5058,1,0)</x:f>
        <x:v>1</x:v>
      </x:c>
      <x:c r="L5058" s="6" t="n">
        <x:f>J5058*K5058</x:f>
        <x:v>1</x:v>
      </x:c>
    </x:row>
    <x:row r="5059">
      <x:c r="A5059" s="1" t="n">
        <x:v>39483</x:v>
      </x:c>
      <x:c r="B5059" s="5" t="d">
        <x:v>2016-07-30T00:00:00.000Z</x:v>
      </x:c>
      <x:c r="C5059" s="1" t="str">
        <x:v>First Class</x:v>
      </x:c>
      <x:c r="D5059" s="1" t="str">
        <x:v>USCA</x:v>
      </x:c>
      <x:c r="E5059" s="1" t="str">
        <x:v>CLOSED</x:v>
      </x:c>
      <x:c r="F5059" s="1" t="str">
        <x:v>Late delivery</x:v>
      </x:c>
      <x:c r="G5059" s="6" t="n">
        <x:v>2</x:v>
      </x:c>
      <x:c r="H5059" s="6" t="n">
        <x:v>1</x:v>
      </x:c>
      <x:c r="I5059" s="6" t="n">
        <x:f>G5059-H5059</x:f>
        <x:v>1</x:v>
      </x:c>
      <x:c r="J5059" s="6" t="n">
        <x:f>IF(OR(E5059="CANCELED",E5059="SUSPECTED_FRAUD",F5059="Shipping canceled"),0,1)</x:f>
        <x:v>1</x:v>
      </x:c>
      <x:c r="K5059" s="6" t="n">
        <x:f>IF(G5059&gt;H5059,1,0)</x:f>
        <x:v>1</x:v>
      </x:c>
      <x:c r="L5059" s="6" t="n">
        <x:f>J5059*K5059</x:f>
        <x:v>1</x:v>
      </x:c>
    </x:row>
    <x:row r="5060">
      <x:c r="A5060" s="1" t="n">
        <x:v>39498</x:v>
      </x:c>
      <x:c r="B5060" s="5" t="d">
        <x:v>2016-07-30T00:00:00.000Z</x:v>
      </x:c>
      <x:c r="C5060" s="1" t="str">
        <x:v>Standard Class</x:v>
      </x:c>
      <x:c r="D5060" s="1" t="str">
        <x:v>USCA</x:v>
      </x:c>
      <x:c r="E5060" s="1" t="str">
        <x:v>PROCESSING</x:v>
      </x:c>
      <x:c r="F5060" s="1" t="str">
        <x:v>Shipping on time</x:v>
      </x:c>
      <x:c r="G5060" s="6" t="n">
        <x:v>4</x:v>
      </x:c>
      <x:c r="H5060" s="6" t="n">
        <x:v>4</x:v>
      </x:c>
      <x:c r="I5060" s="6" t="n">
        <x:f>G5060-H5060</x:f>
        <x:v>0</x:v>
      </x:c>
      <x:c r="J5060" s="6" t="n">
        <x:f>IF(OR(E5060="CANCELED",E5060="SUSPECTED_FRAUD",F5060="Shipping canceled"),0,1)</x:f>
        <x:v>1</x:v>
      </x:c>
      <x:c r="K5060" s="6" t="n">
        <x:f>IF(G5060&gt;H5060,1,0)</x:f>
        <x:v>0</x:v>
      </x:c>
      <x:c r="L5060" s="6" t="n">
        <x:f>J5060*K5060</x:f>
        <x:v>0</x:v>
      </x:c>
    </x:row>
    <x:row r="5061">
      <x:c r="A5061" s="1" t="n">
        <x:v>39510</x:v>
      </x:c>
      <x:c r="B5061" s="5" t="d">
        <x:v>2016-07-30T00:00:00.000Z</x:v>
      </x:c>
      <x:c r="C5061" s="1" t="str">
        <x:v>Standard Class</x:v>
      </x:c>
      <x:c r="D5061" s="1" t="str">
        <x:v>USCA</x:v>
      </x:c>
      <x:c r="E5061" s="1" t="str">
        <x:v>PENDING_PAYMENT</x:v>
      </x:c>
      <x:c r="F5061" s="1" t="str">
        <x:v>Late delivery</x:v>
      </x:c>
      <x:c r="G5061" s="6" t="n">
        <x:v>6</x:v>
      </x:c>
      <x:c r="H5061" s="6" t="n">
        <x:v>4</x:v>
      </x:c>
      <x:c r="I5061" s="6" t="n">
        <x:f>G5061-H5061</x:f>
        <x:v>2</x:v>
      </x:c>
      <x:c r="J5061" s="6" t="n">
        <x:f>IF(OR(E5061="CANCELED",E5061="SUSPECTED_FRAUD",F5061="Shipping canceled"),0,1)</x:f>
        <x:v>1</x:v>
      </x:c>
      <x:c r="K5061" s="6" t="n">
        <x:f>IF(G5061&gt;H5061,1,0)</x:f>
        <x:v>1</x:v>
      </x:c>
      <x:c r="L5061" s="6" t="n">
        <x:f>J5061*K5061</x:f>
        <x:v>1</x:v>
      </x:c>
    </x:row>
    <x:row r="5062">
      <x:c r="A5062" s="1" t="n">
        <x:v>39519</x:v>
      </x:c>
      <x:c r="B5062" s="5" t="d">
        <x:v>2016-07-30T00:00:00.000Z</x:v>
      </x:c>
      <x:c r="C5062" s="1" t="str">
        <x:v>Standard Class</x:v>
      </x:c>
      <x:c r="D5062" s="1" t="str">
        <x:v>USCA</x:v>
      </x:c>
      <x:c r="E5062" s="1" t="str">
        <x:v>PENDING</x:v>
      </x:c>
      <x:c r="F5062" s="1" t="str">
        <x:v>Late delivery</x:v>
      </x:c>
      <x:c r="G5062" s="6" t="n">
        <x:v>5</x:v>
      </x:c>
      <x:c r="H5062" s="6" t="n">
        <x:v>4</x:v>
      </x:c>
      <x:c r="I5062" s="6" t="n">
        <x:f>G5062-H5062</x:f>
        <x:v>1</x:v>
      </x:c>
      <x:c r="J5062" s="6" t="n">
        <x:f>IF(OR(E5062="CANCELED",E5062="SUSPECTED_FRAUD",F5062="Shipping canceled"),0,1)</x:f>
        <x:v>1</x:v>
      </x:c>
      <x:c r="K5062" s="6" t="n">
        <x:f>IF(G5062&gt;H5062,1,0)</x:f>
        <x:v>1</x:v>
      </x:c>
      <x:c r="L5062" s="6" t="n">
        <x:f>J5062*K5062</x:f>
        <x:v>1</x:v>
      </x:c>
    </x:row>
    <x:row r="5063">
      <x:c r="A5063" s="1" t="n">
        <x:v>39536</x:v>
      </x:c>
      <x:c r="B5063" s="5" t="d">
        <x:v>2016-07-31T00:00:00.000Z</x:v>
      </x:c>
      <x:c r="C5063" s="1" t="str">
        <x:v>Second Class</x:v>
      </x:c>
      <x:c r="D5063" s="1" t="str">
        <x:v>USCA</x:v>
      </x:c>
      <x:c r="E5063" s="1" t="str">
        <x:v>PENDING</x:v>
      </x:c>
      <x:c r="F5063" s="1" t="str">
        <x:v>Shipping on time</x:v>
      </x:c>
      <x:c r="G5063" s="6" t="n">
        <x:v>2</x:v>
      </x:c>
      <x:c r="H5063" s="6" t="n">
        <x:v>2</x:v>
      </x:c>
      <x:c r="I5063" s="6" t="n">
        <x:f>G5063-H5063</x:f>
        <x:v>0</x:v>
      </x:c>
      <x:c r="J5063" s="6" t="n">
        <x:f>IF(OR(E5063="CANCELED",E5063="SUSPECTED_FRAUD",F5063="Shipping canceled"),0,1)</x:f>
        <x:v>1</x:v>
      </x:c>
      <x:c r="K5063" s="6" t="n">
        <x:f>IF(G5063&gt;H5063,1,0)</x:f>
        <x:v>0</x:v>
      </x:c>
      <x:c r="L5063" s="6" t="n">
        <x:f>J5063*K5063</x:f>
        <x:v>0</x:v>
      </x:c>
    </x:row>
    <x:row r="5064">
      <x:c r="A5064" s="1" t="n">
        <x:v>39540</x:v>
      </x:c>
      <x:c r="B5064" s="5" t="d">
        <x:v>2016-07-31T00:00:00.000Z</x:v>
      </x:c>
      <x:c r="C5064" s="1" t="str">
        <x:v>Second Class</x:v>
      </x:c>
      <x:c r="D5064" s="1" t="str">
        <x:v>USCA</x:v>
      </x:c>
      <x:c r="E5064" s="1" t="str">
        <x:v>SUSPECTED_FRAUD</x:v>
      </x:c>
      <x:c r="F5064" s="1" t="str">
        <x:v>Shipping canceled</x:v>
      </x:c>
      <x:c r="G5064" s="6" t="n">
        <x:v>6</x:v>
      </x:c>
      <x:c r="H5064" s="6" t="n">
        <x:v>2</x:v>
      </x:c>
      <x:c r="I5064" s="6" t="n">
        <x:f>G5064-H5064</x:f>
        <x:v>4</x:v>
      </x:c>
      <x:c r="J5064" s="6" t="n">
        <x:f>IF(OR(E5064="CANCELED",E5064="SUSPECTED_FRAUD",F5064="Shipping canceled"),0,1)</x:f>
        <x:v>0</x:v>
      </x:c>
      <x:c r="K5064" s="6" t="n">
        <x:f>IF(G5064&gt;H5064,1,0)</x:f>
        <x:v>1</x:v>
      </x:c>
      <x:c r="L5064" s="6" t="n">
        <x:f>J5064*K5064</x:f>
        <x:v>0</x:v>
      </x:c>
    </x:row>
    <x:row r="5065">
      <x:c r="A5065" s="1" t="n">
        <x:v>39551</x:v>
      </x:c>
      <x:c r="B5065" s="5" t="d">
        <x:v>2016-07-31T00:00:00.000Z</x:v>
      </x:c>
      <x:c r="C5065" s="1" t="str">
        <x:v>Standard Class</x:v>
      </x:c>
      <x:c r="D5065" s="1" t="str">
        <x:v>USCA</x:v>
      </x:c>
      <x:c r="E5065" s="1" t="str">
        <x:v>PENDING</x:v>
      </x:c>
      <x:c r="F5065" s="1" t="str">
        <x:v>Advance shipping</x:v>
      </x:c>
      <x:c r="G5065" s="6" t="n">
        <x:v>2</x:v>
      </x:c>
      <x:c r="H5065" s="6" t="n">
        <x:v>4</x:v>
      </x:c>
      <x:c r="I5065" s="6" t="n">
        <x:f>G5065-H5065</x:f>
        <x:v>-2</x:v>
      </x:c>
      <x:c r="J5065" s="6" t="n">
        <x:f>IF(OR(E5065="CANCELED",E5065="SUSPECTED_FRAUD",F5065="Shipping canceled"),0,1)</x:f>
        <x:v>1</x:v>
      </x:c>
      <x:c r="K5065" s="6" t="n">
        <x:f>IF(G5065&gt;H5065,1,0)</x:f>
        <x:v>0</x:v>
      </x:c>
      <x:c r="L5065" s="6" t="n">
        <x:f>J5065*K5065</x:f>
        <x:v>0</x:v>
      </x:c>
    </x:row>
    <x:row r="5066">
      <x:c r="A5066" s="1" t="n">
        <x:v>39559</x:v>
      </x:c>
      <x:c r="B5066" s="5" t="d">
        <x:v>2016-07-31T00:00:00.000Z</x:v>
      </x:c>
      <x:c r="C5066" s="1" t="str">
        <x:v>Second Class</x:v>
      </x:c>
      <x:c r="D5066" s="1" t="str">
        <x:v>USCA</x:v>
      </x:c>
      <x:c r="E5066" s="1" t="str">
        <x:v>COMPLETE</x:v>
      </x:c>
      <x:c r="F5066" s="1" t="str">
        <x:v>Late delivery</x:v>
      </x:c>
      <x:c r="G5066" s="6" t="n">
        <x:v>5</x:v>
      </x:c>
      <x:c r="H5066" s="6" t="n">
        <x:v>2</x:v>
      </x:c>
      <x:c r="I5066" s="6" t="n">
        <x:f>G5066-H5066</x:f>
        <x:v>3</x:v>
      </x:c>
      <x:c r="J5066" s="6" t="n">
        <x:f>IF(OR(E5066="CANCELED",E5066="SUSPECTED_FRAUD",F5066="Shipping canceled"),0,1)</x:f>
        <x:v>1</x:v>
      </x:c>
      <x:c r="K5066" s="6" t="n">
        <x:f>IF(G5066&gt;H5066,1,0)</x:f>
        <x:v>1</x:v>
      </x:c>
      <x:c r="L5066" s="6" t="n">
        <x:f>J5066*K5066</x:f>
        <x:v>1</x:v>
      </x:c>
    </x:row>
    <x:row r="5067">
      <x:c r="A5067" s="1" t="n">
        <x:v>39562</x:v>
      </x:c>
      <x:c r="B5067" s="5" t="d">
        <x:v>2016-07-31T00:00:00.000Z</x:v>
      </x:c>
      <x:c r="C5067" s="1" t="str">
        <x:v>First Class</x:v>
      </x:c>
      <x:c r="D5067" s="1" t="str">
        <x:v>USCA</x:v>
      </x:c>
      <x:c r="E5067" s="1" t="str">
        <x:v>PROCESSING</x:v>
      </x:c>
      <x:c r="F5067" s="1" t="str">
        <x:v>Late delivery</x:v>
      </x:c>
      <x:c r="G5067" s="6" t="n">
        <x:v>2</x:v>
      </x:c>
      <x:c r="H5067" s="6" t="n">
        <x:v>1</x:v>
      </x:c>
      <x:c r="I5067" s="6" t="n">
        <x:f>G5067-H5067</x:f>
        <x:v>1</x:v>
      </x:c>
      <x:c r="J5067" s="6" t="n">
        <x:f>IF(OR(E5067="CANCELED",E5067="SUSPECTED_FRAUD",F5067="Shipping canceled"),0,1)</x:f>
        <x:v>1</x:v>
      </x:c>
      <x:c r="K5067" s="6" t="n">
        <x:f>IF(G5067&gt;H5067,1,0)</x:f>
        <x:v>1</x:v>
      </x:c>
      <x:c r="L5067" s="6" t="n">
        <x:f>J5067*K5067</x:f>
        <x:v>1</x:v>
      </x:c>
    </x:row>
    <x:row r="5068">
      <x:c r="A5068" s="1" t="n">
        <x:v>39582</x:v>
      </x:c>
      <x:c r="B5068" s="5" t="d">
        <x:v>2016-07-31T00:00:00.000Z</x:v>
      </x:c>
      <x:c r="C5068" s="1" t="str">
        <x:v>Standard Class</x:v>
      </x:c>
      <x:c r="D5068" s="1" t="str">
        <x:v>USCA</x:v>
      </x:c>
      <x:c r="E5068" s="1" t="str">
        <x:v>CANCELED</x:v>
      </x:c>
      <x:c r="F5068" s="1" t="str">
        <x:v>Shipping canceled</x:v>
      </x:c>
      <x:c r="G5068" s="6" t="n">
        <x:v>3</x:v>
      </x:c>
      <x:c r="H5068" s="6" t="n">
        <x:v>4</x:v>
      </x:c>
      <x:c r="I5068" s="6" t="n">
        <x:f>G5068-H5068</x:f>
        <x:v>-1</x:v>
      </x:c>
      <x:c r="J5068" s="6" t="n">
        <x:f>IF(OR(E5068="CANCELED",E5068="SUSPECTED_FRAUD",F5068="Shipping canceled"),0,1)</x:f>
        <x:v>0</x:v>
      </x:c>
      <x:c r="K5068" s="6" t="n">
        <x:f>IF(G5068&gt;H5068,1,0)</x:f>
        <x:v>0</x:v>
      </x:c>
      <x:c r="L5068" s="6" t="n">
        <x:f>J5068*K5068</x:f>
        <x:v>0</x:v>
      </x:c>
    </x:row>
    <x:row r="5069">
      <x:c r="A5069" s="1" t="n">
        <x:v>39602</x:v>
      </x:c>
      <x:c r="B5069" s="5" t="d">
        <x:v>2016-08-01T00:00:00.000Z</x:v>
      </x:c>
      <x:c r="C5069" s="1" t="str">
        <x:v>First Class</x:v>
      </x:c>
      <x:c r="D5069" s="1" t="str">
        <x:v>USCA</x:v>
      </x:c>
      <x:c r="E5069" s="1" t="str">
        <x:v>PENDING</x:v>
      </x:c>
      <x:c r="F5069" s="1" t="str">
        <x:v>Late delivery</x:v>
      </x:c>
      <x:c r="G5069" s="6" t="n">
        <x:v>2</x:v>
      </x:c>
      <x:c r="H5069" s="6" t="n">
        <x:v>1</x:v>
      </x:c>
      <x:c r="I5069" s="6" t="n">
        <x:f>G5069-H5069</x:f>
        <x:v>1</x:v>
      </x:c>
      <x:c r="J5069" s="6" t="n">
        <x:f>IF(OR(E5069="CANCELED",E5069="SUSPECTED_FRAUD",F5069="Shipping canceled"),0,1)</x:f>
        <x:v>1</x:v>
      </x:c>
      <x:c r="K5069" s="6" t="n">
        <x:f>IF(G5069&gt;H5069,1,0)</x:f>
        <x:v>1</x:v>
      </x:c>
      <x:c r="L5069" s="6" t="n">
        <x:f>J5069*K5069</x:f>
        <x:v>1</x:v>
      </x:c>
    </x:row>
    <x:row r="5070">
      <x:c r="A5070" s="1" t="n">
        <x:v>39604</x:v>
      </x:c>
      <x:c r="B5070" s="5" t="d">
        <x:v>2016-08-01T00:00:00.000Z</x:v>
      </x:c>
      <x:c r="C5070" s="1" t="str">
        <x:v>Standard Class</x:v>
      </x:c>
      <x:c r="D5070" s="1" t="str">
        <x:v>USCA</x:v>
      </x:c>
      <x:c r="E5070" s="1" t="str">
        <x:v>COMPLETE</x:v>
      </x:c>
      <x:c r="F5070" s="1" t="str">
        <x:v>Late delivery</x:v>
      </x:c>
      <x:c r="G5070" s="6" t="n">
        <x:v>5</x:v>
      </x:c>
      <x:c r="H5070" s="6" t="n">
        <x:v>4</x:v>
      </x:c>
      <x:c r="I5070" s="6" t="n">
        <x:f>G5070-H5070</x:f>
        <x:v>1</x:v>
      </x:c>
      <x:c r="J5070" s="6" t="n">
        <x:f>IF(OR(E5070="CANCELED",E5070="SUSPECTED_FRAUD",F5070="Shipping canceled"),0,1)</x:f>
        <x:v>1</x:v>
      </x:c>
      <x:c r="K5070" s="6" t="n">
        <x:f>IF(G5070&gt;H5070,1,0)</x:f>
        <x:v>1</x:v>
      </x:c>
      <x:c r="L5070" s="6" t="n">
        <x:f>J5070*K5070</x:f>
        <x:v>1</x:v>
      </x:c>
    </x:row>
    <x:row r="5071">
      <x:c r="A5071" s="1" t="n">
        <x:v>39606</x:v>
      </x:c>
      <x:c r="B5071" s="5" t="d">
        <x:v>2016-08-01T00:00:00.000Z</x:v>
      </x:c>
      <x:c r="C5071" s="1" t="str">
        <x:v>Standard Class</x:v>
      </x:c>
      <x:c r="D5071" s="1" t="str">
        <x:v>USCA</x:v>
      </x:c>
      <x:c r="E5071" s="1" t="str">
        <x:v>PENDING_PAYMENT</x:v>
      </x:c>
      <x:c r="F5071" s="1" t="str">
        <x:v>Advance shipping</x:v>
      </x:c>
      <x:c r="G5071" s="6" t="n">
        <x:v>2</x:v>
      </x:c>
      <x:c r="H5071" s="6" t="n">
        <x:v>4</x:v>
      </x:c>
      <x:c r="I5071" s="6" t="n">
        <x:f>G5071-H5071</x:f>
        <x:v>-2</x:v>
      </x:c>
      <x:c r="J5071" s="6" t="n">
        <x:f>IF(OR(E5071="CANCELED",E5071="SUSPECTED_FRAUD",F5071="Shipping canceled"),0,1)</x:f>
        <x:v>1</x:v>
      </x:c>
      <x:c r="K5071" s="6" t="n">
        <x:f>IF(G5071&gt;H5071,1,0)</x:f>
        <x:v>0</x:v>
      </x:c>
      <x:c r="L5071" s="6" t="n">
        <x:f>J5071*K5071</x:f>
        <x:v>0</x:v>
      </x:c>
    </x:row>
    <x:row r="5072">
      <x:c r="A5072" s="1" t="n">
        <x:v>39643</x:v>
      </x:c>
      <x:c r="B5072" s="5" t="d">
        <x:v>2016-08-01T00:00:00.000Z</x:v>
      </x:c>
      <x:c r="C5072" s="1" t="str">
        <x:v>Standard Class</x:v>
      </x:c>
      <x:c r="D5072" s="1" t="str">
        <x:v>USCA</x:v>
      </x:c>
      <x:c r="E5072" s="1" t="str">
        <x:v>COMPLETE</x:v>
      </x:c>
      <x:c r="F5072" s="1" t="str">
        <x:v>Shipping on time</x:v>
      </x:c>
      <x:c r="G5072" s="6" t="n">
        <x:v>4</x:v>
      </x:c>
      <x:c r="H5072" s="6" t="n">
        <x:v>4</x:v>
      </x:c>
      <x:c r="I5072" s="6" t="n">
        <x:f>G5072-H5072</x:f>
        <x:v>0</x:v>
      </x:c>
      <x:c r="J5072" s="6" t="n">
        <x:f>IF(OR(E5072="CANCELED",E5072="SUSPECTED_FRAUD",F5072="Shipping canceled"),0,1)</x:f>
        <x:v>1</x:v>
      </x:c>
      <x:c r="K5072" s="6" t="n">
        <x:f>IF(G5072&gt;H5072,1,0)</x:f>
        <x:v>0</x:v>
      </x:c>
      <x:c r="L5072" s="6" t="n">
        <x:f>J5072*K5072</x:f>
        <x:v>0</x:v>
      </x:c>
    </x:row>
    <x:row r="5073">
      <x:c r="A5073" s="1" t="n">
        <x:v>39664</x:v>
      </x:c>
      <x:c r="B5073" s="5" t="d">
        <x:v>2016-08-01T00:00:00.000Z</x:v>
      </x:c>
      <x:c r="C5073" s="1" t="str">
        <x:v>First Class</x:v>
      </x:c>
      <x:c r="D5073" s="1" t="str">
        <x:v>USCA</x:v>
      </x:c>
      <x:c r="E5073" s="1" t="str">
        <x:v>CLOSED</x:v>
      </x:c>
      <x:c r="F5073" s="1" t="str">
        <x:v>Late delivery</x:v>
      </x:c>
      <x:c r="G5073" s="6" t="n">
        <x:v>2</x:v>
      </x:c>
      <x:c r="H5073" s="6" t="n">
        <x:v>1</x:v>
      </x:c>
      <x:c r="I5073" s="6" t="n">
        <x:f>G5073-H5073</x:f>
        <x:v>1</x:v>
      </x:c>
      <x:c r="J5073" s="6" t="n">
        <x:f>IF(OR(E5073="CANCELED",E5073="SUSPECTED_FRAUD",F5073="Shipping canceled"),0,1)</x:f>
        <x:v>1</x:v>
      </x:c>
      <x:c r="K5073" s="6" t="n">
        <x:f>IF(G5073&gt;H5073,1,0)</x:f>
        <x:v>1</x:v>
      </x:c>
      <x:c r="L5073" s="6" t="n">
        <x:f>J5073*K5073</x:f>
        <x:v>1</x:v>
      </x:c>
    </x:row>
    <x:row r="5074">
      <x:c r="A5074" s="1" t="n">
        <x:v>39692</x:v>
      </x:c>
      <x:c r="B5074" s="5" t="d">
        <x:v>2016-08-02T00:00:00.000Z</x:v>
      </x:c>
      <x:c r="C5074" s="1" t="str">
        <x:v>Standard Class</x:v>
      </x:c>
      <x:c r="D5074" s="1" t="str">
        <x:v>USCA</x:v>
      </x:c>
      <x:c r="E5074" s="1" t="str">
        <x:v>COMPLETE</x:v>
      </x:c>
      <x:c r="F5074" s="1" t="str">
        <x:v>Advance shipping</x:v>
      </x:c>
      <x:c r="G5074" s="6" t="n">
        <x:v>3</x:v>
      </x:c>
      <x:c r="H5074" s="6" t="n">
        <x:v>4</x:v>
      </x:c>
      <x:c r="I5074" s="6" t="n">
        <x:f>G5074-H5074</x:f>
        <x:v>-1</x:v>
      </x:c>
      <x:c r="J5074" s="6" t="n">
        <x:f>IF(OR(E5074="CANCELED",E5074="SUSPECTED_FRAUD",F5074="Shipping canceled"),0,1)</x:f>
        <x:v>1</x:v>
      </x:c>
      <x:c r="K5074" s="6" t="n">
        <x:f>IF(G5074&gt;H5074,1,0)</x:f>
        <x:v>0</x:v>
      </x:c>
      <x:c r="L5074" s="6" t="n">
        <x:f>J5074*K5074</x:f>
        <x:v>0</x:v>
      </x:c>
    </x:row>
    <x:row r="5075">
      <x:c r="A5075" s="1" t="n">
        <x:v>39718</x:v>
      </x:c>
      <x:c r="B5075" s="5" t="d">
        <x:v>2016-08-02T00:00:00.000Z</x:v>
      </x:c>
      <x:c r="C5075" s="1" t="str">
        <x:v>Same Day</x:v>
      </x:c>
      <x:c r="D5075" s="1" t="str">
        <x:v>USCA</x:v>
      </x:c>
      <x:c r="E5075" s="1" t="str">
        <x:v>COMPLETE</x:v>
      </x:c>
      <x:c r="F5075" s="1" t="str">
        <x:v>Late delivery</x:v>
      </x:c>
      <x:c r="G5075" s="6" t="n">
        <x:v>1</x:v>
      </x:c>
      <x:c r="H5075" s="6" t="n">
        <x:v>0</x:v>
      </x:c>
      <x:c r="I5075" s="6" t="n">
        <x:f>G5075-H5075</x:f>
        <x:v>1</x:v>
      </x:c>
      <x:c r="J5075" s="6" t="n">
        <x:f>IF(OR(E5075="CANCELED",E5075="SUSPECTED_FRAUD",F5075="Shipping canceled"),0,1)</x:f>
        <x:v>1</x:v>
      </x:c>
      <x:c r="K5075" s="6" t="n">
        <x:f>IF(G5075&gt;H5075,1,0)</x:f>
        <x:v>1</x:v>
      </x:c>
      <x:c r="L5075" s="6" t="n">
        <x:f>J5075*K5075</x:f>
        <x:v>1</x:v>
      </x:c>
    </x:row>
    <x:row r="5076">
      <x:c r="A5076" s="1" t="n">
        <x:v>39725</x:v>
      </x:c>
      <x:c r="B5076" s="5" t="d">
        <x:v>2016-08-02T00:00:00.000Z</x:v>
      </x:c>
      <x:c r="C5076" s="1" t="str">
        <x:v>Standard Class</x:v>
      </x:c>
      <x:c r="D5076" s="1" t="str">
        <x:v>USCA</x:v>
      </x:c>
      <x:c r="E5076" s="1" t="str">
        <x:v>PENDING_PAYMENT</x:v>
      </x:c>
      <x:c r="F5076" s="1" t="str">
        <x:v>Late delivery</x:v>
      </x:c>
      <x:c r="G5076" s="6" t="n">
        <x:v>6</x:v>
      </x:c>
      <x:c r="H5076" s="6" t="n">
        <x:v>4</x:v>
      </x:c>
      <x:c r="I5076" s="6" t="n">
        <x:f>G5076-H5076</x:f>
        <x:v>2</x:v>
      </x:c>
      <x:c r="J5076" s="6" t="n">
        <x:f>IF(OR(E5076="CANCELED",E5076="SUSPECTED_FRAUD",F5076="Shipping canceled"),0,1)</x:f>
        <x:v>1</x:v>
      </x:c>
      <x:c r="K5076" s="6" t="n">
        <x:f>IF(G5076&gt;H5076,1,0)</x:f>
        <x:v>1</x:v>
      </x:c>
      <x:c r="L5076" s="6" t="n">
        <x:f>J5076*K5076</x:f>
        <x:v>1</x:v>
      </x:c>
    </x:row>
    <x:row r="5077">
      <x:c r="A5077" s="1" t="n">
        <x:v>39730</x:v>
      </x:c>
      <x:c r="B5077" s="5" t="d">
        <x:v>2016-08-02T00:00:00.000Z</x:v>
      </x:c>
      <x:c r="C5077" s="1" t="str">
        <x:v>Standard Class</x:v>
      </x:c>
      <x:c r="D5077" s="1" t="str">
        <x:v>USCA</x:v>
      </x:c>
      <x:c r="E5077" s="1" t="str">
        <x:v>PENDING</x:v>
      </x:c>
      <x:c r="F5077" s="1" t="str">
        <x:v>Late delivery</x:v>
      </x:c>
      <x:c r="G5077" s="6" t="n">
        <x:v>6</x:v>
      </x:c>
      <x:c r="H5077" s="6" t="n">
        <x:v>4</x:v>
      </x:c>
      <x:c r="I5077" s="6" t="n">
        <x:f>G5077-H5077</x:f>
        <x:v>2</x:v>
      </x:c>
      <x:c r="J5077" s="6" t="n">
        <x:f>IF(OR(E5077="CANCELED",E5077="SUSPECTED_FRAUD",F5077="Shipping canceled"),0,1)</x:f>
        <x:v>1</x:v>
      </x:c>
      <x:c r="K5077" s="6" t="n">
        <x:f>IF(G5077&gt;H5077,1,0)</x:f>
        <x:v>1</x:v>
      </x:c>
      <x:c r="L5077" s="6" t="n">
        <x:f>J5077*K5077</x:f>
        <x:v>1</x:v>
      </x:c>
    </x:row>
    <x:row r="5078">
      <x:c r="A5078" s="1" t="n">
        <x:v>39731</x:v>
      </x:c>
      <x:c r="B5078" s="5" t="d">
        <x:v>2016-08-02T00:00:00.000Z</x:v>
      </x:c>
      <x:c r="C5078" s="1" t="str">
        <x:v>Standard Class</x:v>
      </x:c>
      <x:c r="D5078" s="1" t="str">
        <x:v>USCA</x:v>
      </x:c>
      <x:c r="E5078" s="1" t="str">
        <x:v>PENDING</x:v>
      </x:c>
      <x:c r="F5078" s="1" t="str">
        <x:v>Advance shipping</x:v>
      </x:c>
      <x:c r="G5078" s="6" t="n">
        <x:v>2</x:v>
      </x:c>
      <x:c r="H5078" s="6" t="n">
        <x:v>4</x:v>
      </x:c>
      <x:c r="I5078" s="6" t="n">
        <x:f>G5078-H5078</x:f>
        <x:v>-2</x:v>
      </x:c>
      <x:c r="J5078" s="6" t="n">
        <x:f>IF(OR(E5078="CANCELED",E5078="SUSPECTED_FRAUD",F5078="Shipping canceled"),0,1)</x:f>
        <x:v>1</x:v>
      </x:c>
      <x:c r="K5078" s="6" t="n">
        <x:f>IF(G5078&gt;H5078,1,0)</x:f>
        <x:v>0</x:v>
      </x:c>
      <x:c r="L5078" s="6" t="n">
        <x:f>J5078*K5078</x:f>
        <x:v>0</x:v>
      </x:c>
    </x:row>
    <x:row r="5079">
      <x:c r="A5079" s="1" t="n">
        <x:v>39737</x:v>
      </x:c>
      <x:c r="B5079" s="5" t="d">
        <x:v>2016-08-03T00:00:00.000Z</x:v>
      </x:c>
      <x:c r="C5079" s="1" t="str">
        <x:v>First Class</x:v>
      </x:c>
      <x:c r="D5079" s="1" t="str">
        <x:v>USCA</x:v>
      </x:c>
      <x:c r="E5079" s="1" t="str">
        <x:v>CLOSED</x:v>
      </x:c>
      <x:c r="F5079" s="1" t="str">
        <x:v>Late delivery</x:v>
      </x:c>
      <x:c r="G5079" s="6" t="n">
        <x:v>2</x:v>
      </x:c>
      <x:c r="H5079" s="6" t="n">
        <x:v>1</x:v>
      </x:c>
      <x:c r="I5079" s="6" t="n">
        <x:f>G5079-H5079</x:f>
        <x:v>1</x:v>
      </x:c>
      <x:c r="J5079" s="6" t="n">
        <x:f>IF(OR(E5079="CANCELED",E5079="SUSPECTED_FRAUD",F5079="Shipping canceled"),0,1)</x:f>
        <x:v>1</x:v>
      </x:c>
      <x:c r="K5079" s="6" t="n">
        <x:f>IF(G5079&gt;H5079,1,0)</x:f>
        <x:v>1</x:v>
      </x:c>
      <x:c r="L5079" s="6" t="n">
        <x:f>J5079*K5079</x:f>
        <x:v>1</x:v>
      </x:c>
    </x:row>
    <x:row r="5080">
      <x:c r="A5080" s="1" t="n">
        <x:v>39754</x:v>
      </x:c>
      <x:c r="B5080" s="5" t="d">
        <x:v>2016-08-03T00:00:00.000Z</x:v>
      </x:c>
      <x:c r="C5080" s="1" t="str">
        <x:v>Standard Class</x:v>
      </x:c>
      <x:c r="D5080" s="1" t="str">
        <x:v>USCA</x:v>
      </x:c>
      <x:c r="E5080" s="1" t="str">
        <x:v>COMPLETE</x:v>
      </x:c>
      <x:c r="F5080" s="1" t="str">
        <x:v>Late delivery</x:v>
      </x:c>
      <x:c r="G5080" s="6" t="n">
        <x:v>5</x:v>
      </x:c>
      <x:c r="H5080" s="6" t="n">
        <x:v>4</x:v>
      </x:c>
      <x:c r="I5080" s="6" t="n">
        <x:f>G5080-H5080</x:f>
        <x:v>1</x:v>
      </x:c>
      <x:c r="J5080" s="6" t="n">
        <x:f>IF(OR(E5080="CANCELED",E5080="SUSPECTED_FRAUD",F5080="Shipping canceled"),0,1)</x:f>
        <x:v>1</x:v>
      </x:c>
      <x:c r="K5080" s="6" t="n">
        <x:f>IF(G5080&gt;H5080,1,0)</x:f>
        <x:v>1</x:v>
      </x:c>
      <x:c r="L5080" s="6" t="n">
        <x:f>J5080*K5080</x:f>
        <x:v>1</x:v>
      </x:c>
    </x:row>
    <x:row r="5081">
      <x:c r="A5081" s="1" t="n">
        <x:v>39765</x:v>
      </x:c>
      <x:c r="B5081" s="5" t="d">
        <x:v>2016-08-03T00:00:00.000Z</x:v>
      </x:c>
      <x:c r="C5081" s="1" t="str">
        <x:v>First Class</x:v>
      </x:c>
      <x:c r="D5081" s="1" t="str">
        <x:v>USCA</x:v>
      </x:c>
      <x:c r="E5081" s="1" t="str">
        <x:v>PROCESSING</x:v>
      </x:c>
      <x:c r="F5081" s="1" t="str">
        <x:v>Late delivery</x:v>
      </x:c>
      <x:c r="G5081" s="6" t="n">
        <x:v>2</x:v>
      </x:c>
      <x:c r="H5081" s="6" t="n">
        <x:v>1</x:v>
      </x:c>
      <x:c r="I5081" s="6" t="n">
        <x:f>G5081-H5081</x:f>
        <x:v>1</x:v>
      </x:c>
      <x:c r="J5081" s="6" t="n">
        <x:f>IF(OR(E5081="CANCELED",E5081="SUSPECTED_FRAUD",F5081="Shipping canceled"),0,1)</x:f>
        <x:v>1</x:v>
      </x:c>
      <x:c r="K5081" s="6" t="n">
        <x:f>IF(G5081&gt;H5081,1,0)</x:f>
        <x:v>1</x:v>
      </x:c>
      <x:c r="L5081" s="6" t="n">
        <x:f>J5081*K5081</x:f>
        <x:v>1</x:v>
      </x:c>
    </x:row>
    <x:row r="5082">
      <x:c r="A5082" s="1" t="n">
        <x:v>39766</x:v>
      </x:c>
      <x:c r="B5082" s="5" t="d">
        <x:v>2016-08-03T00:00:00.000Z</x:v>
      </x:c>
      <x:c r="C5082" s="1" t="str">
        <x:v>Standard Class</x:v>
      </x:c>
      <x:c r="D5082" s="1" t="str">
        <x:v>USCA</x:v>
      </x:c>
      <x:c r="E5082" s="1" t="str">
        <x:v>PENDING</x:v>
      </x:c>
      <x:c r="F5082" s="1" t="str">
        <x:v>Advance shipping</x:v>
      </x:c>
      <x:c r="G5082" s="6" t="n">
        <x:v>2</x:v>
      </x:c>
      <x:c r="H5082" s="6" t="n">
        <x:v>4</x:v>
      </x:c>
      <x:c r="I5082" s="6" t="n">
        <x:f>G5082-H5082</x:f>
        <x:v>-2</x:v>
      </x:c>
      <x:c r="J5082" s="6" t="n">
        <x:f>IF(OR(E5082="CANCELED",E5082="SUSPECTED_FRAUD",F5082="Shipping canceled"),0,1)</x:f>
        <x:v>1</x:v>
      </x:c>
      <x:c r="K5082" s="6" t="n">
        <x:f>IF(G5082&gt;H5082,1,0)</x:f>
        <x:v>0</x:v>
      </x:c>
      <x:c r="L5082" s="6" t="n">
        <x:f>J5082*K5082</x:f>
        <x:v>0</x:v>
      </x:c>
    </x:row>
    <x:row r="5083">
      <x:c r="A5083" s="1" t="n">
        <x:v>39767</x:v>
      </x:c>
      <x:c r="B5083" s="5" t="d">
        <x:v>2016-08-03T00:00:00.000Z</x:v>
      </x:c>
      <x:c r="C5083" s="1" t="str">
        <x:v>Standard Class</x:v>
      </x:c>
      <x:c r="D5083" s="1" t="str">
        <x:v>USCA</x:v>
      </x:c>
      <x:c r="E5083" s="1" t="str">
        <x:v>PROCESSING</x:v>
      </x:c>
      <x:c r="F5083" s="1" t="str">
        <x:v>Advance shipping</x:v>
      </x:c>
      <x:c r="G5083" s="6" t="n">
        <x:v>3</x:v>
      </x:c>
      <x:c r="H5083" s="6" t="n">
        <x:v>4</x:v>
      </x:c>
      <x:c r="I5083" s="6" t="n">
        <x:f>G5083-H5083</x:f>
        <x:v>-1</x:v>
      </x:c>
      <x:c r="J5083" s="6" t="n">
        <x:f>IF(OR(E5083="CANCELED",E5083="SUSPECTED_FRAUD",F5083="Shipping canceled"),0,1)</x:f>
        <x:v>1</x:v>
      </x:c>
      <x:c r="K5083" s="6" t="n">
        <x:f>IF(G5083&gt;H5083,1,0)</x:f>
        <x:v>0</x:v>
      </x:c>
      <x:c r="L5083" s="6" t="n">
        <x:f>J5083*K5083</x:f>
        <x:v>0</x:v>
      </x:c>
    </x:row>
    <x:row r="5084">
      <x:c r="A5084" s="1" t="n">
        <x:v>39770</x:v>
      </x:c>
      <x:c r="B5084" s="5" t="d">
        <x:v>2016-08-03T00:00:00.000Z</x:v>
      </x:c>
      <x:c r="C5084" s="1" t="str">
        <x:v>Standard Class</x:v>
      </x:c>
      <x:c r="D5084" s="1" t="str">
        <x:v>USCA</x:v>
      </x:c>
      <x:c r="E5084" s="1" t="str">
        <x:v>PENDING</x:v>
      </x:c>
      <x:c r="F5084" s="1" t="str">
        <x:v>Late delivery</x:v>
      </x:c>
      <x:c r="G5084" s="6" t="n">
        <x:v>6</x:v>
      </x:c>
      <x:c r="H5084" s="6" t="n">
        <x:v>4</x:v>
      </x:c>
      <x:c r="I5084" s="6" t="n">
        <x:f>G5084-H5084</x:f>
        <x:v>2</x:v>
      </x:c>
      <x:c r="J5084" s="6" t="n">
        <x:f>IF(OR(E5084="CANCELED",E5084="SUSPECTED_FRAUD",F5084="Shipping canceled"),0,1)</x:f>
        <x:v>1</x:v>
      </x:c>
      <x:c r="K5084" s="6" t="n">
        <x:f>IF(G5084&gt;H5084,1,0)</x:f>
        <x:v>1</x:v>
      </x:c>
      <x:c r="L5084" s="6" t="n">
        <x:f>J5084*K5084</x:f>
        <x:v>1</x:v>
      </x:c>
    </x:row>
    <x:row r="5085">
      <x:c r="A5085" s="1" t="n">
        <x:v>39798</x:v>
      </x:c>
      <x:c r="B5085" s="5" t="d">
        <x:v>2016-08-03T00:00:00.000Z</x:v>
      </x:c>
      <x:c r="C5085" s="1" t="str">
        <x:v>Standard Class</x:v>
      </x:c>
      <x:c r="D5085" s="1" t="str">
        <x:v>USCA</x:v>
      </x:c>
      <x:c r="E5085" s="1" t="str">
        <x:v>PENDING_PAYMENT</x:v>
      </x:c>
      <x:c r="F5085" s="1" t="str">
        <x:v>Shipping on time</x:v>
      </x:c>
      <x:c r="G5085" s="6" t="n">
        <x:v>4</x:v>
      </x:c>
      <x:c r="H5085" s="6" t="n">
        <x:v>4</x:v>
      </x:c>
      <x:c r="I5085" s="6" t="n">
        <x:f>G5085-H5085</x:f>
        <x:v>0</x:v>
      </x:c>
      <x:c r="J5085" s="6" t="n">
        <x:f>IF(OR(E5085="CANCELED",E5085="SUSPECTED_FRAUD",F5085="Shipping canceled"),0,1)</x:f>
        <x:v>1</x:v>
      </x:c>
      <x:c r="K5085" s="6" t="n">
        <x:f>IF(G5085&gt;H5085,1,0)</x:f>
        <x:v>0</x:v>
      </x:c>
      <x:c r="L5085" s="6" t="n">
        <x:f>J5085*K5085</x:f>
        <x:v>0</x:v>
      </x:c>
    </x:row>
    <x:row r="5086">
      <x:c r="A5086" s="1" t="n">
        <x:v>39804</x:v>
      </x:c>
      <x:c r="B5086" s="5" t="d">
        <x:v>2016-08-04T00:00:00.000Z</x:v>
      </x:c>
      <x:c r="C5086" s="1" t="str">
        <x:v>First Class</x:v>
      </x:c>
      <x:c r="D5086" s="1" t="str">
        <x:v>USCA</x:v>
      </x:c>
      <x:c r="E5086" s="1" t="str">
        <x:v>CLOSED</x:v>
      </x:c>
      <x:c r="F5086" s="1" t="str">
        <x:v>Late delivery</x:v>
      </x:c>
      <x:c r="G5086" s="6" t="n">
        <x:v>2</x:v>
      </x:c>
      <x:c r="H5086" s="6" t="n">
        <x:v>1</x:v>
      </x:c>
      <x:c r="I5086" s="6" t="n">
        <x:f>G5086-H5086</x:f>
        <x:v>1</x:v>
      </x:c>
      <x:c r="J5086" s="6" t="n">
        <x:f>IF(OR(E5086="CANCELED",E5086="SUSPECTED_FRAUD",F5086="Shipping canceled"),0,1)</x:f>
        <x:v>1</x:v>
      </x:c>
      <x:c r="K5086" s="6" t="n">
        <x:f>IF(G5086&gt;H5086,1,0)</x:f>
        <x:v>1</x:v>
      </x:c>
      <x:c r="L5086" s="6" t="n">
        <x:f>J5086*K5086</x:f>
        <x:v>1</x:v>
      </x:c>
    </x:row>
    <x:row r="5087">
      <x:c r="A5087" s="1" t="n">
        <x:v>39814</x:v>
      </x:c>
      <x:c r="B5087" s="5" t="d">
        <x:v>2016-08-04T00:00:00.000Z</x:v>
      </x:c>
      <x:c r="C5087" s="1" t="str">
        <x:v>Standard Class</x:v>
      </x:c>
      <x:c r="D5087" s="1" t="str">
        <x:v>USCA</x:v>
      </x:c>
      <x:c r="E5087" s="1" t="str">
        <x:v>PROCESSING</x:v>
      </x:c>
      <x:c r="F5087" s="1" t="str">
        <x:v>Late delivery</x:v>
      </x:c>
      <x:c r="G5087" s="6" t="n">
        <x:v>5</x:v>
      </x:c>
      <x:c r="H5087" s="6" t="n">
        <x:v>4</x:v>
      </x:c>
      <x:c r="I5087" s="6" t="n">
        <x:f>G5087-H5087</x:f>
        <x:v>1</x:v>
      </x:c>
      <x:c r="J5087" s="6" t="n">
        <x:f>IF(OR(E5087="CANCELED",E5087="SUSPECTED_FRAUD",F5087="Shipping canceled"),0,1)</x:f>
        <x:v>1</x:v>
      </x:c>
      <x:c r="K5087" s="6" t="n">
        <x:f>IF(G5087&gt;H5087,1,0)</x:f>
        <x:v>1</x:v>
      </x:c>
      <x:c r="L5087" s="6" t="n">
        <x:f>J5087*K5087</x:f>
        <x:v>1</x:v>
      </x:c>
    </x:row>
    <x:row r="5088">
      <x:c r="A5088" s="1" t="n">
        <x:v>39835</x:v>
      </x:c>
      <x:c r="B5088" s="5" t="d">
        <x:v>2016-08-04T00:00:00.000Z</x:v>
      </x:c>
      <x:c r="C5088" s="1" t="str">
        <x:v>Standard Class</x:v>
      </x:c>
      <x:c r="D5088" s="1" t="str">
        <x:v>USCA</x:v>
      </x:c>
      <x:c r="E5088" s="1" t="str">
        <x:v>COMPLETE</x:v>
      </x:c>
      <x:c r="F5088" s="1" t="str">
        <x:v>Late delivery</x:v>
      </x:c>
      <x:c r="G5088" s="6" t="n">
        <x:v>6</x:v>
      </x:c>
      <x:c r="H5088" s="6" t="n">
        <x:v>4</x:v>
      </x:c>
      <x:c r="I5088" s="6" t="n">
        <x:f>G5088-H5088</x:f>
        <x:v>2</x:v>
      </x:c>
      <x:c r="J5088" s="6" t="n">
        <x:f>IF(OR(E5088="CANCELED",E5088="SUSPECTED_FRAUD",F5088="Shipping canceled"),0,1)</x:f>
        <x:v>1</x:v>
      </x:c>
      <x:c r="K5088" s="6" t="n">
        <x:f>IF(G5088&gt;H5088,1,0)</x:f>
        <x:v>1</x:v>
      </x:c>
      <x:c r="L5088" s="6" t="n">
        <x:f>J5088*K5088</x:f>
        <x:v>1</x:v>
      </x:c>
    </x:row>
    <x:row r="5089">
      <x:c r="A5089" s="1" t="n">
        <x:v>39843</x:v>
      </x:c>
      <x:c r="B5089" s="5" t="d">
        <x:v>2016-08-04T00:00:00.000Z</x:v>
      </x:c>
      <x:c r="C5089" s="1" t="str">
        <x:v>Standard Class</x:v>
      </x:c>
      <x:c r="D5089" s="1" t="str">
        <x:v>USCA</x:v>
      </x:c>
      <x:c r="E5089" s="1" t="str">
        <x:v>ON_HOLD</x:v>
      </x:c>
      <x:c r="F5089" s="1" t="str">
        <x:v>Shipping on time</x:v>
      </x:c>
      <x:c r="G5089" s="6" t="n">
        <x:v>4</x:v>
      </x:c>
      <x:c r="H5089" s="6" t="n">
        <x:v>4</x:v>
      </x:c>
      <x:c r="I5089" s="6" t="n">
        <x:f>G5089-H5089</x:f>
        <x:v>0</x:v>
      </x:c>
      <x:c r="J5089" s="6" t="n">
        <x:f>IF(OR(E5089="CANCELED",E5089="SUSPECTED_FRAUD",F5089="Shipping canceled"),0,1)</x:f>
        <x:v>1</x:v>
      </x:c>
      <x:c r="K5089" s="6" t="n">
        <x:f>IF(G5089&gt;H5089,1,0)</x:f>
        <x:v>0</x:v>
      </x:c>
      <x:c r="L5089" s="6" t="n">
        <x:f>J5089*K5089</x:f>
        <x:v>0</x:v>
      </x:c>
    </x:row>
    <x:row r="5090">
      <x:c r="A5090" s="1" t="n">
        <x:v>39850</x:v>
      </x:c>
      <x:c r="B5090" s="5" t="d">
        <x:v>2016-08-04T00:00:00.000Z</x:v>
      </x:c>
      <x:c r="C5090" s="1" t="str">
        <x:v>Standard Class</x:v>
      </x:c>
      <x:c r="D5090" s="1" t="str">
        <x:v>USCA</x:v>
      </x:c>
      <x:c r="E5090" s="1" t="str">
        <x:v>PENDING_PAYMENT</x:v>
      </x:c>
      <x:c r="F5090" s="1" t="str">
        <x:v>Late delivery</x:v>
      </x:c>
      <x:c r="G5090" s="6" t="n">
        <x:v>6</x:v>
      </x:c>
      <x:c r="H5090" s="6" t="n">
        <x:v>4</x:v>
      </x:c>
      <x:c r="I5090" s="6" t="n">
        <x:f>G5090-H5090</x:f>
        <x:v>2</x:v>
      </x:c>
      <x:c r="J5090" s="6" t="n">
        <x:f>IF(OR(E5090="CANCELED",E5090="SUSPECTED_FRAUD",F5090="Shipping canceled"),0,1)</x:f>
        <x:v>1</x:v>
      </x:c>
      <x:c r="K5090" s="6" t="n">
        <x:f>IF(G5090&gt;H5090,1,0)</x:f>
        <x:v>1</x:v>
      </x:c>
      <x:c r="L5090" s="6" t="n">
        <x:f>J5090*K5090</x:f>
        <x:v>1</x:v>
      </x:c>
    </x:row>
    <x:row r="5091">
      <x:c r="A5091" s="1" t="n">
        <x:v>39864</x:v>
      </x:c>
      <x:c r="B5091" s="5" t="d">
        <x:v>2016-08-04T00:00:00.000Z</x:v>
      </x:c>
      <x:c r="C5091" s="1" t="str">
        <x:v>Standard Class</x:v>
      </x:c>
      <x:c r="D5091" s="1" t="str">
        <x:v>USCA</x:v>
      </x:c>
      <x:c r="E5091" s="1" t="str">
        <x:v>PENDING_PAYMENT</x:v>
      </x:c>
      <x:c r="F5091" s="1" t="str">
        <x:v>Late delivery</x:v>
      </x:c>
      <x:c r="G5091" s="6" t="n">
        <x:v>5</x:v>
      </x:c>
      <x:c r="H5091" s="6" t="n">
        <x:v>4</x:v>
      </x:c>
      <x:c r="I5091" s="6" t="n">
        <x:f>G5091-H5091</x:f>
        <x:v>1</x:v>
      </x:c>
      <x:c r="J5091" s="6" t="n">
        <x:f>IF(OR(E5091="CANCELED",E5091="SUSPECTED_FRAUD",F5091="Shipping canceled"),0,1)</x:f>
        <x:v>1</x:v>
      </x:c>
      <x:c r="K5091" s="6" t="n">
        <x:f>IF(G5091&gt;H5091,1,0)</x:f>
        <x:v>1</x:v>
      </x:c>
      <x:c r="L5091" s="6" t="n">
        <x:f>J5091*K5091</x:f>
        <x:v>1</x:v>
      </x:c>
    </x:row>
    <x:row r="5092">
      <x:c r="A5092" s="1" t="n">
        <x:v>39869</x:v>
      </x:c>
      <x:c r="B5092" s="5" t="d">
        <x:v>2016-08-04T00:00:00.000Z</x:v>
      </x:c>
      <x:c r="C5092" s="1" t="str">
        <x:v>Standard Class</x:v>
      </x:c>
      <x:c r="D5092" s="1" t="str">
        <x:v>USCA</x:v>
      </x:c>
      <x:c r="E5092" s="1" t="str">
        <x:v>COMPLETE</x:v>
      </x:c>
      <x:c r="F5092" s="1" t="str">
        <x:v>Late delivery</x:v>
      </x:c>
      <x:c r="G5092" s="6" t="n">
        <x:v>5</x:v>
      </x:c>
      <x:c r="H5092" s="6" t="n">
        <x:v>4</x:v>
      </x:c>
      <x:c r="I5092" s="6" t="n">
        <x:f>G5092-H5092</x:f>
        <x:v>1</x:v>
      </x:c>
      <x:c r="J5092" s="6" t="n">
        <x:f>IF(OR(E5092="CANCELED",E5092="SUSPECTED_FRAUD",F5092="Shipping canceled"),0,1)</x:f>
        <x:v>1</x:v>
      </x:c>
      <x:c r="K5092" s="6" t="n">
        <x:f>IF(G5092&gt;H5092,1,0)</x:f>
        <x:v>1</x:v>
      </x:c>
      <x:c r="L5092" s="6" t="n">
        <x:f>J5092*K5092</x:f>
        <x:v>1</x:v>
      </x:c>
    </x:row>
    <x:row r="5093">
      <x:c r="A5093" s="1" t="n">
        <x:v>39872</x:v>
      </x:c>
      <x:c r="B5093" s="5" t="d">
        <x:v>2016-08-05T00:00:00.000Z</x:v>
      </x:c>
      <x:c r="C5093" s="1" t="str">
        <x:v>Standard Class</x:v>
      </x:c>
      <x:c r="D5093" s="1" t="str">
        <x:v>USCA</x:v>
      </x:c>
      <x:c r="E5093" s="1" t="str">
        <x:v>PROCESSING</x:v>
      </x:c>
      <x:c r="F5093" s="1" t="str">
        <x:v>Advance shipping</x:v>
      </x:c>
      <x:c r="G5093" s="6" t="n">
        <x:v>3</x:v>
      </x:c>
      <x:c r="H5093" s="6" t="n">
        <x:v>4</x:v>
      </x:c>
      <x:c r="I5093" s="6" t="n">
        <x:f>G5093-H5093</x:f>
        <x:v>-1</x:v>
      </x:c>
      <x:c r="J5093" s="6" t="n">
        <x:f>IF(OR(E5093="CANCELED",E5093="SUSPECTED_FRAUD",F5093="Shipping canceled"),0,1)</x:f>
        <x:v>1</x:v>
      </x:c>
      <x:c r="K5093" s="6" t="n">
        <x:f>IF(G5093&gt;H5093,1,0)</x:f>
        <x:v>0</x:v>
      </x:c>
      <x:c r="L5093" s="6" t="n">
        <x:f>J5093*K5093</x:f>
        <x:v>0</x:v>
      </x:c>
    </x:row>
    <x:row r="5094">
      <x:c r="A5094" s="1" t="n">
        <x:v>39910</x:v>
      </x:c>
      <x:c r="B5094" s="5" t="d">
        <x:v>2016-08-05T00:00:00.000Z</x:v>
      </x:c>
      <x:c r="C5094" s="1" t="str">
        <x:v>Standard Class</x:v>
      </x:c>
      <x:c r="D5094" s="1" t="str">
        <x:v>USCA</x:v>
      </x:c>
      <x:c r="E5094" s="1" t="str">
        <x:v>COMPLETE</x:v>
      </x:c>
      <x:c r="F5094" s="1" t="str">
        <x:v>Late delivery</x:v>
      </x:c>
      <x:c r="G5094" s="6" t="n">
        <x:v>6</x:v>
      </x:c>
      <x:c r="H5094" s="6" t="n">
        <x:v>4</x:v>
      </x:c>
      <x:c r="I5094" s="6" t="n">
        <x:f>G5094-H5094</x:f>
        <x:v>2</x:v>
      </x:c>
      <x:c r="J5094" s="6" t="n">
        <x:f>IF(OR(E5094="CANCELED",E5094="SUSPECTED_FRAUD",F5094="Shipping canceled"),0,1)</x:f>
        <x:v>1</x:v>
      </x:c>
      <x:c r="K5094" s="6" t="n">
        <x:f>IF(G5094&gt;H5094,1,0)</x:f>
        <x:v>1</x:v>
      </x:c>
      <x:c r="L5094" s="6" t="n">
        <x:f>J5094*K5094</x:f>
        <x:v>1</x:v>
      </x:c>
    </x:row>
    <x:row r="5095">
      <x:c r="A5095" s="1" t="n">
        <x:v>39919</x:v>
      </x:c>
      <x:c r="B5095" s="5" t="d">
        <x:v>2016-08-05T00:00:00.000Z</x:v>
      </x:c>
      <x:c r="C5095" s="1" t="str">
        <x:v>Standard Class</x:v>
      </x:c>
      <x:c r="D5095" s="1" t="str">
        <x:v>USCA</x:v>
      </x:c>
      <x:c r="E5095" s="1" t="str">
        <x:v>COMPLETE</x:v>
      </x:c>
      <x:c r="F5095" s="1" t="str">
        <x:v>Late delivery</x:v>
      </x:c>
      <x:c r="G5095" s="6" t="n">
        <x:v>5</x:v>
      </x:c>
      <x:c r="H5095" s="6" t="n">
        <x:v>4</x:v>
      </x:c>
      <x:c r="I5095" s="6" t="n">
        <x:f>G5095-H5095</x:f>
        <x:v>1</x:v>
      </x:c>
      <x:c r="J5095" s="6" t="n">
        <x:f>IF(OR(E5095="CANCELED",E5095="SUSPECTED_FRAUD",F5095="Shipping canceled"),0,1)</x:f>
        <x:v>1</x:v>
      </x:c>
      <x:c r="K5095" s="6" t="n">
        <x:f>IF(G5095&gt;H5095,1,0)</x:f>
        <x:v>1</x:v>
      </x:c>
      <x:c r="L5095" s="6" t="n">
        <x:f>J5095*K5095</x:f>
        <x:v>1</x:v>
      </x:c>
    </x:row>
    <x:row r="5096">
      <x:c r="A5096" s="1" t="n">
        <x:v>39924</x:v>
      </x:c>
      <x:c r="B5096" s="5" t="d">
        <x:v>2016-08-05T00:00:00.000Z</x:v>
      </x:c>
      <x:c r="C5096" s="1" t="str">
        <x:v>Standard Class</x:v>
      </x:c>
      <x:c r="D5096" s="1" t="str">
        <x:v>USCA</x:v>
      </x:c>
      <x:c r="E5096" s="1" t="str">
        <x:v>PENDING_PAYMENT</x:v>
      </x:c>
      <x:c r="F5096" s="1" t="str">
        <x:v>Late delivery</x:v>
      </x:c>
      <x:c r="G5096" s="6" t="n">
        <x:v>5</x:v>
      </x:c>
      <x:c r="H5096" s="6" t="n">
        <x:v>4</x:v>
      </x:c>
      <x:c r="I5096" s="6" t="n">
        <x:f>G5096-H5096</x:f>
        <x:v>1</x:v>
      </x:c>
      <x:c r="J5096" s="6" t="n">
        <x:f>IF(OR(E5096="CANCELED",E5096="SUSPECTED_FRAUD",F5096="Shipping canceled"),0,1)</x:f>
        <x:v>1</x:v>
      </x:c>
      <x:c r="K5096" s="6" t="n">
        <x:f>IF(G5096&gt;H5096,1,0)</x:f>
        <x:v>1</x:v>
      </x:c>
      <x:c r="L5096" s="6" t="n">
        <x:f>J5096*K5096</x:f>
        <x:v>1</x:v>
      </x:c>
    </x:row>
    <x:row r="5097">
      <x:c r="A5097" s="1" t="n">
        <x:v>39926</x:v>
      </x:c>
      <x:c r="B5097" s="5" t="d">
        <x:v>2016-08-05T00:00:00.000Z</x:v>
      </x:c>
      <x:c r="C5097" s="1" t="str">
        <x:v>Second Class</x:v>
      </x:c>
      <x:c r="D5097" s="1" t="str">
        <x:v>USCA</x:v>
      </x:c>
      <x:c r="E5097" s="1" t="str">
        <x:v>COMPLETE</x:v>
      </x:c>
      <x:c r="F5097" s="1" t="str">
        <x:v>Shipping on time</x:v>
      </x:c>
      <x:c r="G5097" s="6" t="n">
        <x:v>2</x:v>
      </x:c>
      <x:c r="H5097" s="6" t="n">
        <x:v>2</x:v>
      </x:c>
      <x:c r="I5097" s="6" t="n">
        <x:f>G5097-H5097</x:f>
        <x:v>0</x:v>
      </x:c>
      <x:c r="J5097" s="6" t="n">
        <x:f>IF(OR(E5097="CANCELED",E5097="SUSPECTED_FRAUD",F5097="Shipping canceled"),0,1)</x:f>
        <x:v>1</x:v>
      </x:c>
      <x:c r="K5097" s="6" t="n">
        <x:f>IF(G5097&gt;H5097,1,0)</x:f>
        <x:v>0</x:v>
      </x:c>
      <x:c r="L5097" s="6" t="n">
        <x:f>J5097*K5097</x:f>
        <x:v>0</x:v>
      </x:c>
    </x:row>
    <x:row r="5098">
      <x:c r="A5098" s="1" t="n">
        <x:v>39955</x:v>
      </x:c>
      <x:c r="B5098" s="5" t="d">
        <x:v>2016-08-06T00:00:00.000Z</x:v>
      </x:c>
      <x:c r="C5098" s="1" t="str">
        <x:v>Standard Class</x:v>
      </x:c>
      <x:c r="D5098" s="1" t="str">
        <x:v>USCA</x:v>
      </x:c>
      <x:c r="E5098" s="1" t="str">
        <x:v>COMPLETE</x:v>
      </x:c>
      <x:c r="F5098" s="1" t="str">
        <x:v>Late delivery</x:v>
      </x:c>
      <x:c r="G5098" s="6" t="n">
        <x:v>6</x:v>
      </x:c>
      <x:c r="H5098" s="6" t="n">
        <x:v>4</x:v>
      </x:c>
      <x:c r="I5098" s="6" t="n">
        <x:f>G5098-H5098</x:f>
        <x:v>2</x:v>
      </x:c>
      <x:c r="J5098" s="6" t="n">
        <x:f>IF(OR(E5098="CANCELED",E5098="SUSPECTED_FRAUD",F5098="Shipping canceled"),0,1)</x:f>
        <x:v>1</x:v>
      </x:c>
      <x:c r="K5098" s="6" t="n">
        <x:f>IF(G5098&gt;H5098,1,0)</x:f>
        <x:v>1</x:v>
      </x:c>
      <x:c r="L5098" s="6" t="n">
        <x:f>J5098*K5098</x:f>
        <x:v>1</x:v>
      </x:c>
    </x:row>
    <x:row r="5099">
      <x:c r="A5099" s="1" t="n">
        <x:v>39961</x:v>
      </x:c>
      <x:c r="B5099" s="5" t="d">
        <x:v>2016-08-06T00:00:00.000Z</x:v>
      </x:c>
      <x:c r="C5099" s="1" t="str">
        <x:v>Standard Class</x:v>
      </x:c>
      <x:c r="D5099" s="1" t="str">
        <x:v>USCA</x:v>
      </x:c>
      <x:c r="E5099" s="1" t="str">
        <x:v>PROCESSING</x:v>
      </x:c>
      <x:c r="F5099" s="1" t="str">
        <x:v>Advance shipping</x:v>
      </x:c>
      <x:c r="G5099" s="6" t="n">
        <x:v>2</x:v>
      </x:c>
      <x:c r="H5099" s="6" t="n">
        <x:v>4</x:v>
      </x:c>
      <x:c r="I5099" s="6" t="n">
        <x:f>G5099-H5099</x:f>
        <x:v>-2</x:v>
      </x:c>
      <x:c r="J5099" s="6" t="n">
        <x:f>IF(OR(E5099="CANCELED",E5099="SUSPECTED_FRAUD",F5099="Shipping canceled"),0,1)</x:f>
        <x:v>1</x:v>
      </x:c>
      <x:c r="K5099" s="6" t="n">
        <x:f>IF(G5099&gt;H5099,1,0)</x:f>
        <x:v>0</x:v>
      </x:c>
      <x:c r="L5099" s="6" t="n">
        <x:f>J5099*K5099</x:f>
        <x:v>0</x:v>
      </x:c>
    </x:row>
    <x:row r="5100">
      <x:c r="A5100" s="1" t="n">
        <x:v>39980</x:v>
      </x:c>
      <x:c r="B5100" s="5" t="d">
        <x:v>2016-08-06T00:00:00.000Z</x:v>
      </x:c>
      <x:c r="C5100" s="1" t="str">
        <x:v>Standard Class</x:v>
      </x:c>
      <x:c r="D5100" s="1" t="str">
        <x:v>USCA</x:v>
      </x:c>
      <x:c r="E5100" s="1" t="str">
        <x:v>ON_HOLD</x:v>
      </x:c>
      <x:c r="F5100" s="1" t="str">
        <x:v>Late delivery</x:v>
      </x:c>
      <x:c r="G5100" s="6" t="n">
        <x:v>6</x:v>
      </x:c>
      <x:c r="H5100" s="6" t="n">
        <x:v>4</x:v>
      </x:c>
      <x:c r="I5100" s="6" t="n">
        <x:f>G5100-H5100</x:f>
        <x:v>2</x:v>
      </x:c>
      <x:c r="J5100" s="6" t="n">
        <x:f>IF(OR(E5100="CANCELED",E5100="SUSPECTED_FRAUD",F5100="Shipping canceled"),0,1)</x:f>
        <x:v>1</x:v>
      </x:c>
      <x:c r="K5100" s="6" t="n">
        <x:f>IF(G5100&gt;H5100,1,0)</x:f>
        <x:v>1</x:v>
      </x:c>
      <x:c r="L5100" s="6" t="n">
        <x:f>J5100*K5100</x:f>
        <x:v>1</x:v>
      </x:c>
    </x:row>
    <x:row r="5101">
      <x:c r="A5101" s="1" t="n">
        <x:v>39983</x:v>
      </x:c>
      <x:c r="B5101" s="5" t="d">
        <x:v>2016-08-06T00:00:00.000Z</x:v>
      </x:c>
      <x:c r="C5101" s="1" t="str">
        <x:v>Second Class</x:v>
      </x:c>
      <x:c r="D5101" s="1" t="str">
        <x:v>USCA</x:v>
      </x:c>
      <x:c r="E5101" s="1" t="str">
        <x:v>COMPLETE</x:v>
      </x:c>
      <x:c r="F5101" s="1" t="str">
        <x:v>Late delivery</x:v>
      </x:c>
      <x:c r="G5101" s="6" t="n">
        <x:v>4</x:v>
      </x:c>
      <x:c r="H5101" s="6" t="n">
        <x:v>2</x:v>
      </x:c>
      <x:c r="I5101" s="6" t="n">
        <x:f>G5101-H5101</x:f>
        <x:v>2</x:v>
      </x:c>
      <x:c r="J5101" s="6" t="n">
        <x:f>IF(OR(E5101="CANCELED",E5101="SUSPECTED_FRAUD",F5101="Shipping canceled"),0,1)</x:f>
        <x:v>1</x:v>
      </x:c>
      <x:c r="K5101" s="6" t="n">
        <x:f>IF(G5101&gt;H5101,1,0)</x:f>
        <x:v>1</x:v>
      </x:c>
      <x:c r="L5101" s="6" t="n">
        <x:f>J5101*K5101</x:f>
        <x:v>1</x:v>
      </x:c>
    </x:row>
    <x:row r="5102">
      <x:c r="A5102" s="1" t="n">
        <x:v>39991</x:v>
      </x:c>
      <x:c r="B5102" s="5" t="d">
        <x:v>2016-08-06T00:00:00.000Z</x:v>
      </x:c>
      <x:c r="C5102" s="1" t="str">
        <x:v>Standard Class</x:v>
      </x:c>
      <x:c r="D5102" s="1" t="str">
        <x:v>USCA</x:v>
      </x:c>
      <x:c r="E5102" s="1" t="str">
        <x:v>PENDING</x:v>
      </x:c>
      <x:c r="F5102" s="1" t="str">
        <x:v>Advance shipping</x:v>
      </x:c>
      <x:c r="G5102" s="6" t="n">
        <x:v>2</x:v>
      </x:c>
      <x:c r="H5102" s="6" t="n">
        <x:v>4</x:v>
      </x:c>
      <x:c r="I5102" s="6" t="n">
        <x:f>G5102-H5102</x:f>
        <x:v>-2</x:v>
      </x:c>
      <x:c r="J5102" s="6" t="n">
        <x:f>IF(OR(E5102="CANCELED",E5102="SUSPECTED_FRAUD",F5102="Shipping canceled"),0,1)</x:f>
        <x:v>1</x:v>
      </x:c>
      <x:c r="K5102" s="6" t="n">
        <x:f>IF(G5102&gt;H5102,1,0)</x:f>
        <x:v>0</x:v>
      </x:c>
      <x:c r="L5102" s="6" t="n">
        <x:f>J5102*K5102</x:f>
        <x:v>0</x:v>
      </x:c>
    </x:row>
    <x:row r="5103">
      <x:c r="A5103" s="1" t="n">
        <x:v>39992</x:v>
      </x:c>
      <x:c r="B5103" s="5" t="d">
        <x:v>2016-08-06T00:00:00.000Z</x:v>
      </x:c>
      <x:c r="C5103" s="1" t="str">
        <x:v>Standard Class</x:v>
      </x:c>
      <x:c r="D5103" s="1" t="str">
        <x:v>USCA</x:v>
      </x:c>
      <x:c r="E5103" s="1" t="str">
        <x:v>PENDING</x:v>
      </x:c>
      <x:c r="F5103" s="1" t="str">
        <x:v>Advance shipping</x:v>
      </x:c>
      <x:c r="G5103" s="6" t="n">
        <x:v>3</x:v>
      </x:c>
      <x:c r="H5103" s="6" t="n">
        <x:v>4</x:v>
      </x:c>
      <x:c r="I5103" s="6" t="n">
        <x:f>G5103-H5103</x:f>
        <x:v>-1</x:v>
      </x:c>
      <x:c r="J5103" s="6" t="n">
        <x:f>IF(OR(E5103="CANCELED",E5103="SUSPECTED_FRAUD",F5103="Shipping canceled"),0,1)</x:f>
        <x:v>1</x:v>
      </x:c>
      <x:c r="K5103" s="6" t="n">
        <x:f>IF(G5103&gt;H5103,1,0)</x:f>
        <x:v>0</x:v>
      </x:c>
      <x:c r="L5103" s="6" t="n">
        <x:f>J5103*K5103</x:f>
        <x:v>0</x:v>
      </x:c>
    </x:row>
    <x:row r="5104">
      <x:c r="A5104" s="1" t="n">
        <x:v>40027</x:v>
      </x:c>
      <x:c r="B5104" s="5" t="d">
        <x:v>2016-08-07T00:00:00.000Z</x:v>
      </x:c>
      <x:c r="C5104" s="1" t="str">
        <x:v>Standard Class</x:v>
      </x:c>
      <x:c r="D5104" s="1" t="str">
        <x:v>USCA</x:v>
      </x:c>
      <x:c r="E5104" s="1" t="str">
        <x:v>ON_HOLD</x:v>
      </x:c>
      <x:c r="F5104" s="1" t="str">
        <x:v>Advance shipping</x:v>
      </x:c>
      <x:c r="G5104" s="6" t="n">
        <x:v>3</x:v>
      </x:c>
      <x:c r="H5104" s="6" t="n">
        <x:v>4</x:v>
      </x:c>
      <x:c r="I5104" s="6" t="n">
        <x:f>G5104-H5104</x:f>
        <x:v>-1</x:v>
      </x:c>
      <x:c r="J5104" s="6" t="n">
        <x:f>IF(OR(E5104="CANCELED",E5104="SUSPECTED_FRAUD",F5104="Shipping canceled"),0,1)</x:f>
        <x:v>1</x:v>
      </x:c>
      <x:c r="K5104" s="6" t="n">
        <x:f>IF(G5104&gt;H5104,1,0)</x:f>
        <x:v>0</x:v>
      </x:c>
      <x:c r="L5104" s="6" t="n">
        <x:f>J5104*K5104</x:f>
        <x:v>0</x:v>
      </x:c>
    </x:row>
    <x:row r="5105">
      <x:c r="A5105" s="1" t="n">
        <x:v>40028</x:v>
      </x:c>
      <x:c r="B5105" s="5" t="d">
        <x:v>2016-08-07T00:00:00.000Z</x:v>
      </x:c>
      <x:c r="C5105" s="1" t="str">
        <x:v>Standard Class</x:v>
      </x:c>
      <x:c r="D5105" s="1" t="str">
        <x:v>USCA</x:v>
      </x:c>
      <x:c r="E5105" s="1" t="str">
        <x:v>COMPLETE</x:v>
      </x:c>
      <x:c r="F5105" s="1" t="str">
        <x:v>Shipping on time</x:v>
      </x:c>
      <x:c r="G5105" s="6" t="n">
        <x:v>4</x:v>
      </x:c>
      <x:c r="H5105" s="6" t="n">
        <x:v>4</x:v>
      </x:c>
      <x:c r="I5105" s="6" t="n">
        <x:f>G5105-H5105</x:f>
        <x:v>0</x:v>
      </x:c>
      <x:c r="J5105" s="6" t="n">
        <x:f>IF(OR(E5105="CANCELED",E5105="SUSPECTED_FRAUD",F5105="Shipping canceled"),0,1)</x:f>
        <x:v>1</x:v>
      </x:c>
      <x:c r="K5105" s="6" t="n">
        <x:f>IF(G5105&gt;H5105,1,0)</x:f>
        <x:v>0</x:v>
      </x:c>
      <x:c r="L5105" s="6" t="n">
        <x:f>J5105*K5105</x:f>
        <x:v>0</x:v>
      </x:c>
    </x:row>
    <x:row r="5106">
      <x:c r="A5106" s="1" t="n">
        <x:v>40031</x:v>
      </x:c>
      <x:c r="B5106" s="5" t="d">
        <x:v>2016-08-07T00:00:00.000Z</x:v>
      </x:c>
      <x:c r="C5106" s="1" t="str">
        <x:v>Standard Class</x:v>
      </x:c>
      <x:c r="D5106" s="1" t="str">
        <x:v>USCA</x:v>
      </x:c>
      <x:c r="E5106" s="1" t="str">
        <x:v>COMPLETE</x:v>
      </x:c>
      <x:c r="F5106" s="1" t="str">
        <x:v>Advance shipping</x:v>
      </x:c>
      <x:c r="G5106" s="6" t="n">
        <x:v>2</x:v>
      </x:c>
      <x:c r="H5106" s="6" t="n">
        <x:v>4</x:v>
      </x:c>
      <x:c r="I5106" s="6" t="n">
        <x:f>G5106-H5106</x:f>
        <x:v>-2</x:v>
      </x:c>
      <x:c r="J5106" s="6" t="n">
        <x:f>IF(OR(E5106="CANCELED",E5106="SUSPECTED_FRAUD",F5106="Shipping canceled"),0,1)</x:f>
        <x:v>1</x:v>
      </x:c>
      <x:c r="K5106" s="6" t="n">
        <x:f>IF(G5106&gt;H5106,1,0)</x:f>
        <x:v>0</x:v>
      </x:c>
      <x:c r="L5106" s="6" t="n">
        <x:f>J5106*K5106</x:f>
        <x:v>0</x:v>
      </x:c>
    </x:row>
    <x:row r="5107">
      <x:c r="A5107" s="1" t="n">
        <x:v>40032</x:v>
      </x:c>
      <x:c r="B5107" s="5" t="d">
        <x:v>2016-08-07T00:00:00.000Z</x:v>
      </x:c>
      <x:c r="C5107" s="1" t="str">
        <x:v>Standard Class</x:v>
      </x:c>
      <x:c r="D5107" s="1" t="str">
        <x:v>USCA</x:v>
      </x:c>
      <x:c r="E5107" s="1" t="str">
        <x:v>COMPLETE</x:v>
      </x:c>
      <x:c r="F5107" s="1" t="str">
        <x:v>Advance shipping</x:v>
      </x:c>
      <x:c r="G5107" s="6" t="n">
        <x:v>3</x:v>
      </x:c>
      <x:c r="H5107" s="6" t="n">
        <x:v>4</x:v>
      </x:c>
      <x:c r="I5107" s="6" t="n">
        <x:f>G5107-H5107</x:f>
        <x:v>-1</x:v>
      </x:c>
      <x:c r="J5107" s="6" t="n">
        <x:f>IF(OR(E5107="CANCELED",E5107="SUSPECTED_FRAUD",F5107="Shipping canceled"),0,1)</x:f>
        <x:v>1</x:v>
      </x:c>
      <x:c r="K5107" s="6" t="n">
        <x:f>IF(G5107&gt;H5107,1,0)</x:f>
        <x:v>0</x:v>
      </x:c>
      <x:c r="L5107" s="6" t="n">
        <x:f>J5107*K5107</x:f>
        <x:v>0</x:v>
      </x:c>
    </x:row>
    <x:row r="5108">
      <x:c r="A5108" s="1" t="n">
        <x:v>40034</x:v>
      </x:c>
      <x:c r="B5108" s="5" t="d">
        <x:v>2016-08-07T00:00:00.000Z</x:v>
      </x:c>
      <x:c r="C5108" s="1" t="str">
        <x:v>Standard Class</x:v>
      </x:c>
      <x:c r="D5108" s="1" t="str">
        <x:v>USCA</x:v>
      </x:c>
      <x:c r="E5108" s="1" t="str">
        <x:v>COMPLETE</x:v>
      </x:c>
      <x:c r="F5108" s="1" t="str">
        <x:v>Late delivery</x:v>
      </x:c>
      <x:c r="G5108" s="6" t="n">
        <x:v>5</x:v>
      </x:c>
      <x:c r="H5108" s="6" t="n">
        <x:v>4</x:v>
      </x:c>
      <x:c r="I5108" s="6" t="n">
        <x:f>G5108-H5108</x:f>
        <x:v>1</x:v>
      </x:c>
      <x:c r="J5108" s="6" t="n">
        <x:f>IF(OR(E5108="CANCELED",E5108="SUSPECTED_FRAUD",F5108="Shipping canceled"),0,1)</x:f>
        <x:v>1</x:v>
      </x:c>
      <x:c r="K5108" s="6" t="n">
        <x:f>IF(G5108&gt;H5108,1,0)</x:f>
        <x:v>1</x:v>
      </x:c>
      <x:c r="L5108" s="6" t="n">
        <x:f>J5108*K5108</x:f>
        <x:v>1</x:v>
      </x:c>
    </x:row>
    <x:row r="5109">
      <x:c r="A5109" s="1" t="n">
        <x:v>40035</x:v>
      </x:c>
      <x:c r="B5109" s="5" t="d">
        <x:v>2016-08-07T00:00:00.000Z</x:v>
      </x:c>
      <x:c r="C5109" s="1" t="str">
        <x:v>Standard Class</x:v>
      </x:c>
      <x:c r="D5109" s="1" t="str">
        <x:v>USCA</x:v>
      </x:c>
      <x:c r="E5109" s="1" t="str">
        <x:v>PENDING_PAYMENT</x:v>
      </x:c>
      <x:c r="F5109" s="1" t="str">
        <x:v>Late delivery</x:v>
      </x:c>
      <x:c r="G5109" s="6" t="n">
        <x:v>6</x:v>
      </x:c>
      <x:c r="H5109" s="6" t="n">
        <x:v>4</x:v>
      </x:c>
      <x:c r="I5109" s="6" t="n">
        <x:f>G5109-H5109</x:f>
        <x:v>2</x:v>
      </x:c>
      <x:c r="J5109" s="6" t="n">
        <x:f>IF(OR(E5109="CANCELED",E5109="SUSPECTED_FRAUD",F5109="Shipping canceled"),0,1)</x:f>
        <x:v>1</x:v>
      </x:c>
      <x:c r="K5109" s="6" t="n">
        <x:f>IF(G5109&gt;H5109,1,0)</x:f>
        <x:v>1</x:v>
      </x:c>
      <x:c r="L5109" s="6" t="n">
        <x:f>J5109*K5109</x:f>
        <x:v>1</x:v>
      </x:c>
    </x:row>
    <x:row r="5110">
      <x:c r="A5110" s="1" t="n">
        <x:v>40056</x:v>
      </x:c>
      <x:c r="B5110" s="5" t="d">
        <x:v>2016-08-07T00:00:00.000Z</x:v>
      </x:c>
      <x:c r="C5110" s="1" t="str">
        <x:v>First Class</x:v>
      </x:c>
      <x:c r="D5110" s="1" t="str">
        <x:v>USCA</x:v>
      </x:c>
      <x:c r="E5110" s="1" t="str">
        <x:v>PENDING</x:v>
      </x:c>
      <x:c r="F5110" s="1" t="str">
        <x:v>Late delivery</x:v>
      </x:c>
      <x:c r="G5110" s="6" t="n">
        <x:v>2</x:v>
      </x:c>
      <x:c r="H5110" s="6" t="n">
        <x:v>1</x:v>
      </x:c>
      <x:c r="I5110" s="6" t="n">
        <x:f>G5110-H5110</x:f>
        <x:v>1</x:v>
      </x:c>
      <x:c r="J5110" s="6" t="n">
        <x:f>IF(OR(E5110="CANCELED",E5110="SUSPECTED_FRAUD",F5110="Shipping canceled"),0,1)</x:f>
        <x:v>1</x:v>
      </x:c>
      <x:c r="K5110" s="6" t="n">
        <x:f>IF(G5110&gt;H5110,1,0)</x:f>
        <x:v>1</x:v>
      </x:c>
      <x:c r="L5110" s="6" t="n">
        <x:f>J5110*K5110</x:f>
        <x:v>1</x:v>
      </x:c>
    </x:row>
    <x:row r="5111">
      <x:c r="A5111" s="1" t="n">
        <x:v>40064</x:v>
      </x:c>
      <x:c r="B5111" s="5" t="d">
        <x:v>2016-08-07T00:00:00.000Z</x:v>
      </x:c>
      <x:c r="C5111" s="1" t="str">
        <x:v>Standard Class</x:v>
      </x:c>
      <x:c r="D5111" s="1" t="str">
        <x:v>USCA</x:v>
      </x:c>
      <x:c r="E5111" s="1" t="str">
        <x:v>PENDING</x:v>
      </x:c>
      <x:c r="F5111" s="1" t="str">
        <x:v>Late delivery</x:v>
      </x:c>
      <x:c r="G5111" s="6" t="n">
        <x:v>5</x:v>
      </x:c>
      <x:c r="H5111" s="6" t="n">
        <x:v>4</x:v>
      </x:c>
      <x:c r="I5111" s="6" t="n">
        <x:f>G5111-H5111</x:f>
        <x:v>1</x:v>
      </x:c>
      <x:c r="J5111" s="6" t="n">
        <x:f>IF(OR(E5111="CANCELED",E5111="SUSPECTED_FRAUD",F5111="Shipping canceled"),0,1)</x:f>
        <x:v>1</x:v>
      </x:c>
      <x:c r="K5111" s="6" t="n">
        <x:f>IF(G5111&gt;H5111,1,0)</x:f>
        <x:v>1</x:v>
      </x:c>
      <x:c r="L5111" s="6" t="n">
        <x:f>J5111*K5111</x:f>
        <x:v>1</x:v>
      </x:c>
    </x:row>
    <x:row r="5112">
      <x:c r="A5112" s="1" t="n">
        <x:v>40068</x:v>
      </x:c>
      <x:c r="B5112" s="5" t="d">
        <x:v>2016-08-07T00:00:00.000Z</x:v>
      </x:c>
      <x:c r="C5112" s="1" t="str">
        <x:v>Second Class</x:v>
      </x:c>
      <x:c r="D5112" s="1" t="str">
        <x:v>USCA</x:v>
      </x:c>
      <x:c r="E5112" s="1" t="str">
        <x:v>COMPLETE</x:v>
      </x:c>
      <x:c r="F5112" s="1" t="str">
        <x:v>Late delivery</x:v>
      </x:c>
      <x:c r="G5112" s="6" t="n">
        <x:v>4</x:v>
      </x:c>
      <x:c r="H5112" s="6" t="n">
        <x:v>2</x:v>
      </x:c>
      <x:c r="I5112" s="6" t="n">
        <x:f>G5112-H5112</x:f>
        <x:v>2</x:v>
      </x:c>
      <x:c r="J5112" s="6" t="n">
        <x:f>IF(OR(E5112="CANCELED",E5112="SUSPECTED_FRAUD",F5112="Shipping canceled"),0,1)</x:f>
        <x:v>1</x:v>
      </x:c>
      <x:c r="K5112" s="6" t="n">
        <x:f>IF(G5112&gt;H5112,1,0)</x:f>
        <x:v>1</x:v>
      </x:c>
      <x:c r="L5112" s="6" t="n">
        <x:f>J5112*K5112</x:f>
        <x:v>1</x:v>
      </x:c>
    </x:row>
    <x:row r="5113">
      <x:c r="A5113" s="1" t="n">
        <x:v>40085</x:v>
      </x:c>
      <x:c r="B5113" s="5" t="d">
        <x:v>2016-08-08T00:00:00.000Z</x:v>
      </x:c>
      <x:c r="C5113" s="1" t="str">
        <x:v>Second Class</x:v>
      </x:c>
      <x:c r="D5113" s="1" t="str">
        <x:v>USCA</x:v>
      </x:c>
      <x:c r="E5113" s="1" t="str">
        <x:v>PENDING_PAYMENT</x:v>
      </x:c>
      <x:c r="F5113" s="1" t="str">
        <x:v>Late delivery</x:v>
      </x:c>
      <x:c r="G5113" s="6" t="n">
        <x:v>6</x:v>
      </x:c>
      <x:c r="H5113" s="6" t="n">
        <x:v>2</x:v>
      </x:c>
      <x:c r="I5113" s="6" t="n">
        <x:f>G5113-H5113</x:f>
        <x:v>4</x:v>
      </x:c>
      <x:c r="J5113" s="6" t="n">
        <x:f>IF(OR(E5113="CANCELED",E5113="SUSPECTED_FRAUD",F5113="Shipping canceled"),0,1)</x:f>
        <x:v>1</x:v>
      </x:c>
      <x:c r="K5113" s="6" t="n">
        <x:f>IF(G5113&gt;H5113,1,0)</x:f>
        <x:v>1</x:v>
      </x:c>
      <x:c r="L5113" s="6" t="n">
        <x:f>J5113*K5113</x:f>
        <x:v>1</x:v>
      </x:c>
    </x:row>
    <x:row r="5114">
      <x:c r="A5114" s="1" t="n">
        <x:v>40097</x:v>
      </x:c>
      <x:c r="B5114" s="5" t="d">
        <x:v>2016-08-08T00:00:00.000Z</x:v>
      </x:c>
      <x:c r="C5114" s="1" t="str">
        <x:v>Standard Class</x:v>
      </x:c>
      <x:c r="D5114" s="1" t="str">
        <x:v>USCA</x:v>
      </x:c>
      <x:c r="E5114" s="1" t="str">
        <x:v>COMPLETE</x:v>
      </x:c>
      <x:c r="F5114" s="1" t="str">
        <x:v>Advance shipping</x:v>
      </x:c>
      <x:c r="G5114" s="6" t="n">
        <x:v>3</x:v>
      </x:c>
      <x:c r="H5114" s="6" t="n">
        <x:v>4</x:v>
      </x:c>
      <x:c r="I5114" s="6" t="n">
        <x:f>G5114-H5114</x:f>
        <x:v>-1</x:v>
      </x:c>
      <x:c r="J5114" s="6" t="n">
        <x:f>IF(OR(E5114="CANCELED",E5114="SUSPECTED_FRAUD",F5114="Shipping canceled"),0,1)</x:f>
        <x:v>1</x:v>
      </x:c>
      <x:c r="K5114" s="6" t="n">
        <x:f>IF(G5114&gt;H5114,1,0)</x:f>
        <x:v>0</x:v>
      </x:c>
      <x:c r="L5114" s="6" t="n">
        <x:f>J5114*K5114</x:f>
        <x:v>0</x:v>
      </x:c>
    </x:row>
    <x:row r="5115">
      <x:c r="A5115" s="1" t="n">
        <x:v>40138</x:v>
      </x:c>
      <x:c r="B5115" s="5" t="d">
        <x:v>2016-08-08T00:00:00.000Z</x:v>
      </x:c>
      <x:c r="C5115" s="1" t="str">
        <x:v>Standard Class</x:v>
      </x:c>
      <x:c r="D5115" s="1" t="str">
        <x:v>USCA</x:v>
      </x:c>
      <x:c r="E5115" s="1" t="str">
        <x:v>CANCELED</x:v>
      </x:c>
      <x:c r="F5115" s="1" t="str">
        <x:v>Shipping canceled</x:v>
      </x:c>
      <x:c r="G5115" s="6" t="n">
        <x:v>4</x:v>
      </x:c>
      <x:c r="H5115" s="6" t="n">
        <x:v>4</x:v>
      </x:c>
      <x:c r="I5115" s="6" t="n">
        <x:f>G5115-H5115</x:f>
        <x:v>0</x:v>
      </x:c>
      <x:c r="J5115" s="6" t="n">
        <x:f>IF(OR(E5115="CANCELED",E5115="SUSPECTED_FRAUD",F5115="Shipping canceled"),0,1)</x:f>
        <x:v>0</x:v>
      </x:c>
      <x:c r="K5115" s="6" t="n">
        <x:f>IF(G5115&gt;H5115,1,0)</x:f>
        <x:v>0</x:v>
      </x:c>
      <x:c r="L5115" s="6" t="n">
        <x:f>J5115*K5115</x:f>
        <x:v>0</x:v>
      </x:c>
    </x:row>
    <x:row r="5116">
      <x:c r="A5116" s="1" t="n">
        <x:v>40145</x:v>
      </x:c>
      <x:c r="B5116" s="5" t="d">
        <x:v>2016-08-09T00:00:00.000Z</x:v>
      </x:c>
      <x:c r="C5116" s="1" t="str">
        <x:v>Second Class</x:v>
      </x:c>
      <x:c r="D5116" s="1" t="str">
        <x:v>USCA</x:v>
      </x:c>
      <x:c r="E5116" s="1" t="str">
        <x:v>ON_HOLD</x:v>
      </x:c>
      <x:c r="F5116" s="1" t="str">
        <x:v>Late delivery</x:v>
      </x:c>
      <x:c r="G5116" s="6" t="n">
        <x:v>6</x:v>
      </x:c>
      <x:c r="H5116" s="6" t="n">
        <x:v>2</x:v>
      </x:c>
      <x:c r="I5116" s="6" t="n">
        <x:f>G5116-H5116</x:f>
        <x:v>4</x:v>
      </x:c>
      <x:c r="J5116" s="6" t="n">
        <x:f>IF(OR(E5116="CANCELED",E5116="SUSPECTED_FRAUD",F5116="Shipping canceled"),0,1)</x:f>
        <x:v>1</x:v>
      </x:c>
      <x:c r="K5116" s="6" t="n">
        <x:f>IF(G5116&gt;H5116,1,0)</x:f>
        <x:v>1</x:v>
      </x:c>
      <x:c r="L5116" s="6" t="n">
        <x:f>J5116*K5116</x:f>
        <x:v>1</x:v>
      </x:c>
    </x:row>
    <x:row r="5117">
      <x:c r="A5117" s="1" t="n">
        <x:v>40153</x:v>
      </x:c>
      <x:c r="B5117" s="5" t="d">
        <x:v>2016-08-09T00:00:00.000Z</x:v>
      </x:c>
      <x:c r="C5117" s="1" t="str">
        <x:v>Standard Class</x:v>
      </x:c>
      <x:c r="D5117" s="1" t="str">
        <x:v>USCA</x:v>
      </x:c>
      <x:c r="E5117" s="1" t="str">
        <x:v>COMPLETE</x:v>
      </x:c>
      <x:c r="F5117" s="1" t="str">
        <x:v>Shipping on time</x:v>
      </x:c>
      <x:c r="G5117" s="6" t="n">
        <x:v>4</x:v>
      </x:c>
      <x:c r="H5117" s="6" t="n">
        <x:v>4</x:v>
      </x:c>
      <x:c r="I5117" s="6" t="n">
        <x:f>G5117-H5117</x:f>
        <x:v>0</x:v>
      </x:c>
      <x:c r="J5117" s="6" t="n">
        <x:f>IF(OR(E5117="CANCELED",E5117="SUSPECTED_FRAUD",F5117="Shipping canceled"),0,1)</x:f>
        <x:v>1</x:v>
      </x:c>
      <x:c r="K5117" s="6" t="n">
        <x:f>IF(G5117&gt;H5117,1,0)</x:f>
        <x:v>0</x:v>
      </x:c>
      <x:c r="L5117" s="6" t="n">
        <x:f>J5117*K5117</x:f>
        <x:v>0</x:v>
      </x:c>
    </x:row>
    <x:row r="5118">
      <x:c r="A5118" s="1" t="n">
        <x:v>40159</x:v>
      </x:c>
      <x:c r="B5118" s="5" t="d">
        <x:v>2016-08-09T00:00:00.000Z</x:v>
      </x:c>
      <x:c r="C5118" s="1" t="str">
        <x:v>Standard Class</x:v>
      </x:c>
      <x:c r="D5118" s="1" t="str">
        <x:v>USCA</x:v>
      </x:c>
      <x:c r="E5118" s="1" t="str">
        <x:v>COMPLETE</x:v>
      </x:c>
      <x:c r="F5118" s="1" t="str">
        <x:v>Late delivery</x:v>
      </x:c>
      <x:c r="G5118" s="6" t="n">
        <x:v>5</x:v>
      </x:c>
      <x:c r="H5118" s="6" t="n">
        <x:v>4</x:v>
      </x:c>
      <x:c r="I5118" s="6" t="n">
        <x:f>G5118-H5118</x:f>
        <x:v>1</x:v>
      </x:c>
      <x:c r="J5118" s="6" t="n">
        <x:f>IF(OR(E5118="CANCELED",E5118="SUSPECTED_FRAUD",F5118="Shipping canceled"),0,1)</x:f>
        <x:v>1</x:v>
      </x:c>
      <x:c r="K5118" s="6" t="n">
        <x:f>IF(G5118&gt;H5118,1,0)</x:f>
        <x:v>1</x:v>
      </x:c>
      <x:c r="L5118" s="6" t="n">
        <x:f>J5118*K5118</x:f>
        <x:v>1</x:v>
      </x:c>
    </x:row>
    <x:row r="5119">
      <x:c r="A5119" s="1" t="n">
        <x:v>40164</x:v>
      </x:c>
      <x:c r="B5119" s="5" t="d">
        <x:v>2016-08-09T00:00:00.000Z</x:v>
      </x:c>
      <x:c r="C5119" s="1" t="str">
        <x:v>Standard Class</x:v>
      </x:c>
      <x:c r="D5119" s="1" t="str">
        <x:v>USCA</x:v>
      </x:c>
      <x:c r="E5119" s="1" t="str">
        <x:v>COMPLETE</x:v>
      </x:c>
      <x:c r="F5119" s="1" t="str">
        <x:v>Late delivery</x:v>
      </x:c>
      <x:c r="G5119" s="6" t="n">
        <x:v>5</x:v>
      </x:c>
      <x:c r="H5119" s="6" t="n">
        <x:v>4</x:v>
      </x:c>
      <x:c r="I5119" s="6" t="n">
        <x:f>G5119-H5119</x:f>
        <x:v>1</x:v>
      </x:c>
      <x:c r="J5119" s="6" t="n">
        <x:f>IF(OR(E5119="CANCELED",E5119="SUSPECTED_FRAUD",F5119="Shipping canceled"),0,1)</x:f>
        <x:v>1</x:v>
      </x:c>
      <x:c r="K5119" s="6" t="n">
        <x:f>IF(G5119&gt;H5119,1,0)</x:f>
        <x:v>1</x:v>
      </x:c>
      <x:c r="L5119" s="6" t="n">
        <x:f>J5119*K5119</x:f>
        <x:v>1</x:v>
      </x:c>
    </x:row>
    <x:row r="5120">
      <x:c r="A5120" s="1" t="n">
        <x:v>40166</x:v>
      </x:c>
      <x:c r="B5120" s="5" t="d">
        <x:v>2016-08-09T00:00:00.000Z</x:v>
      </x:c>
      <x:c r="C5120" s="1" t="str">
        <x:v>Standard Class</x:v>
      </x:c>
      <x:c r="D5120" s="1" t="str">
        <x:v>USCA</x:v>
      </x:c>
      <x:c r="E5120" s="1" t="str">
        <x:v>PENDING</x:v>
      </x:c>
      <x:c r="F5120" s="1" t="str">
        <x:v>Advance shipping</x:v>
      </x:c>
      <x:c r="G5120" s="6" t="n">
        <x:v>2</x:v>
      </x:c>
      <x:c r="H5120" s="6" t="n">
        <x:v>4</x:v>
      </x:c>
      <x:c r="I5120" s="6" t="n">
        <x:f>G5120-H5120</x:f>
        <x:v>-2</x:v>
      </x:c>
      <x:c r="J5120" s="6" t="n">
        <x:f>IF(OR(E5120="CANCELED",E5120="SUSPECTED_FRAUD",F5120="Shipping canceled"),0,1)</x:f>
        <x:v>1</x:v>
      </x:c>
      <x:c r="K5120" s="6" t="n">
        <x:f>IF(G5120&gt;H5120,1,0)</x:f>
        <x:v>0</x:v>
      </x:c>
      <x:c r="L5120" s="6" t="n">
        <x:f>J5120*K5120</x:f>
        <x:v>0</x:v>
      </x:c>
    </x:row>
    <x:row r="5121">
      <x:c r="A5121" s="1" t="n">
        <x:v>40175</x:v>
      </x:c>
      <x:c r="B5121" s="5" t="d">
        <x:v>2016-08-09T00:00:00.000Z</x:v>
      </x:c>
      <x:c r="C5121" s="1" t="str">
        <x:v>Standard Class</x:v>
      </x:c>
      <x:c r="D5121" s="1" t="str">
        <x:v>USCA</x:v>
      </x:c>
      <x:c r="E5121" s="1" t="str">
        <x:v>PENDING</x:v>
      </x:c>
      <x:c r="F5121" s="1" t="str">
        <x:v>Late delivery</x:v>
      </x:c>
      <x:c r="G5121" s="6" t="n">
        <x:v>6</x:v>
      </x:c>
      <x:c r="H5121" s="6" t="n">
        <x:v>4</x:v>
      </x:c>
      <x:c r="I5121" s="6" t="n">
        <x:f>G5121-H5121</x:f>
        <x:v>2</x:v>
      </x:c>
      <x:c r="J5121" s="6" t="n">
        <x:f>IF(OR(E5121="CANCELED",E5121="SUSPECTED_FRAUD",F5121="Shipping canceled"),0,1)</x:f>
        <x:v>1</x:v>
      </x:c>
      <x:c r="K5121" s="6" t="n">
        <x:f>IF(G5121&gt;H5121,1,0)</x:f>
        <x:v>1</x:v>
      </x:c>
      <x:c r="L5121" s="6" t="n">
        <x:f>J5121*K5121</x:f>
        <x:v>1</x:v>
      </x:c>
    </x:row>
    <x:row r="5122">
      <x:c r="A5122" s="1" t="n">
        <x:v>40189</x:v>
      </x:c>
      <x:c r="B5122" s="5" t="d">
        <x:v>2016-08-09T00:00:00.000Z</x:v>
      </x:c>
      <x:c r="C5122" s="1" t="str">
        <x:v>Standard Class</x:v>
      </x:c>
      <x:c r="D5122" s="1" t="str">
        <x:v>USCA</x:v>
      </x:c>
      <x:c r="E5122" s="1" t="str">
        <x:v>COMPLETE</x:v>
      </x:c>
      <x:c r="F5122" s="1" t="str">
        <x:v>Late delivery</x:v>
      </x:c>
      <x:c r="G5122" s="6" t="n">
        <x:v>5</x:v>
      </x:c>
      <x:c r="H5122" s="6" t="n">
        <x:v>4</x:v>
      </x:c>
      <x:c r="I5122" s="6" t="n">
        <x:f>G5122-H5122</x:f>
        <x:v>1</x:v>
      </x:c>
      <x:c r="J5122" s="6" t="n">
        <x:f>IF(OR(E5122="CANCELED",E5122="SUSPECTED_FRAUD",F5122="Shipping canceled"),0,1)</x:f>
        <x:v>1</x:v>
      </x:c>
      <x:c r="K5122" s="6" t="n">
        <x:f>IF(G5122&gt;H5122,1,0)</x:f>
        <x:v>1</x:v>
      </x:c>
      <x:c r="L5122" s="6" t="n">
        <x:f>J5122*K5122</x:f>
        <x:v>1</x:v>
      </x:c>
    </x:row>
    <x:row r="5123">
      <x:c r="A5123" s="1" t="n">
        <x:v>40197</x:v>
      </x:c>
      <x:c r="B5123" s="5" t="d">
        <x:v>2016-08-09T00:00:00.000Z</x:v>
      </x:c>
      <x:c r="C5123" s="1" t="str">
        <x:v>Standard Class</x:v>
      </x:c>
      <x:c r="D5123" s="1" t="str">
        <x:v>USCA</x:v>
      </x:c>
      <x:c r="E5123" s="1" t="str">
        <x:v>COMPLETE</x:v>
      </x:c>
      <x:c r="F5123" s="1" t="str">
        <x:v>Advance shipping</x:v>
      </x:c>
      <x:c r="G5123" s="6" t="n">
        <x:v>3</x:v>
      </x:c>
      <x:c r="H5123" s="6" t="n">
        <x:v>4</x:v>
      </x:c>
      <x:c r="I5123" s="6" t="n">
        <x:f>G5123-H5123</x:f>
        <x:v>-1</x:v>
      </x:c>
      <x:c r="J5123" s="6" t="n">
        <x:f>IF(OR(E5123="CANCELED",E5123="SUSPECTED_FRAUD",F5123="Shipping canceled"),0,1)</x:f>
        <x:v>1</x:v>
      </x:c>
      <x:c r="K5123" s="6" t="n">
        <x:f>IF(G5123&gt;H5123,1,0)</x:f>
        <x:v>0</x:v>
      </x:c>
      <x:c r="L5123" s="6" t="n">
        <x:f>J5123*K5123</x:f>
        <x:v>0</x:v>
      </x:c>
    </x:row>
    <x:row r="5124">
      <x:c r="A5124" s="1" t="n">
        <x:v>40209</x:v>
      </x:c>
      <x:c r="B5124" s="5" t="d">
        <x:v>2016-08-09T00:00:00.000Z</x:v>
      </x:c>
      <x:c r="C5124" s="1" t="str">
        <x:v>Standard Class</x:v>
      </x:c>
      <x:c r="D5124" s="1" t="str">
        <x:v>USCA</x:v>
      </x:c>
      <x:c r="E5124" s="1" t="str">
        <x:v>COMPLETE</x:v>
      </x:c>
      <x:c r="F5124" s="1" t="str">
        <x:v>Late delivery</x:v>
      </x:c>
      <x:c r="G5124" s="6" t="n">
        <x:v>5</x:v>
      </x:c>
      <x:c r="H5124" s="6" t="n">
        <x:v>4</x:v>
      </x:c>
      <x:c r="I5124" s="6" t="n">
        <x:f>G5124-H5124</x:f>
        <x:v>1</x:v>
      </x:c>
      <x:c r="J5124" s="6" t="n">
        <x:f>IF(OR(E5124="CANCELED",E5124="SUSPECTED_FRAUD",F5124="Shipping canceled"),0,1)</x:f>
        <x:v>1</x:v>
      </x:c>
      <x:c r="K5124" s="6" t="n">
        <x:f>IF(G5124&gt;H5124,1,0)</x:f>
        <x:v>1</x:v>
      </x:c>
      <x:c r="L5124" s="6" t="n">
        <x:f>J5124*K5124</x:f>
        <x:v>1</x:v>
      </x:c>
    </x:row>
    <x:row r="5125">
      <x:c r="A5125" s="1" t="n">
        <x:v>40211</x:v>
      </x:c>
      <x:c r="B5125" s="5" t="d">
        <x:v>2016-08-09T00:00:00.000Z</x:v>
      </x:c>
      <x:c r="C5125" s="1" t="str">
        <x:v>Standard Class</x:v>
      </x:c>
      <x:c r="D5125" s="1" t="str">
        <x:v>USCA</x:v>
      </x:c>
      <x:c r="E5125" s="1" t="str">
        <x:v>PENDING</x:v>
      </x:c>
      <x:c r="F5125" s="1" t="str">
        <x:v>Advance shipping</x:v>
      </x:c>
      <x:c r="G5125" s="6" t="n">
        <x:v>2</x:v>
      </x:c>
      <x:c r="H5125" s="6" t="n">
        <x:v>4</x:v>
      </x:c>
      <x:c r="I5125" s="6" t="n">
        <x:f>G5125-H5125</x:f>
        <x:v>-2</x:v>
      </x:c>
      <x:c r="J5125" s="6" t="n">
        <x:f>IF(OR(E5125="CANCELED",E5125="SUSPECTED_FRAUD",F5125="Shipping canceled"),0,1)</x:f>
        <x:v>1</x:v>
      </x:c>
      <x:c r="K5125" s="6" t="n">
        <x:f>IF(G5125&gt;H5125,1,0)</x:f>
        <x:v>0</x:v>
      </x:c>
      <x:c r="L5125" s="6" t="n">
        <x:f>J5125*K5125</x:f>
        <x:v>0</x:v>
      </x:c>
    </x:row>
    <x:row r="5126">
      <x:c r="A5126" s="1" t="n">
        <x:v>40220</x:v>
      </x:c>
      <x:c r="B5126" s="5" t="d">
        <x:v>2016-08-10T00:00:00.000Z</x:v>
      </x:c>
      <x:c r="C5126" s="1" t="str">
        <x:v>Standard Class</x:v>
      </x:c>
      <x:c r="D5126" s="1" t="str">
        <x:v>USCA</x:v>
      </x:c>
      <x:c r="E5126" s="1" t="str">
        <x:v>PENDING</x:v>
      </x:c>
      <x:c r="F5126" s="1" t="str">
        <x:v>Late delivery</x:v>
      </x:c>
      <x:c r="G5126" s="6" t="n">
        <x:v>6</x:v>
      </x:c>
      <x:c r="H5126" s="6" t="n">
        <x:v>4</x:v>
      </x:c>
      <x:c r="I5126" s="6" t="n">
        <x:f>G5126-H5126</x:f>
        <x:v>2</x:v>
      </x:c>
      <x:c r="J5126" s="6" t="n">
        <x:f>IF(OR(E5126="CANCELED",E5126="SUSPECTED_FRAUD",F5126="Shipping canceled"),0,1)</x:f>
        <x:v>1</x:v>
      </x:c>
      <x:c r="K5126" s="6" t="n">
        <x:f>IF(G5126&gt;H5126,1,0)</x:f>
        <x:v>1</x:v>
      </x:c>
      <x:c r="L5126" s="6" t="n">
        <x:f>J5126*K5126</x:f>
        <x:v>1</x:v>
      </x:c>
    </x:row>
    <x:row r="5127">
      <x:c r="A5127" s="1" t="n">
        <x:v>40226</x:v>
      </x:c>
      <x:c r="B5127" s="5" t="d">
        <x:v>2016-08-10T00:00:00.000Z</x:v>
      </x:c>
      <x:c r="C5127" s="1" t="str">
        <x:v>Standard Class</x:v>
      </x:c>
      <x:c r="D5127" s="1" t="str">
        <x:v>USCA</x:v>
      </x:c>
      <x:c r="E5127" s="1" t="str">
        <x:v>COMPLETE</x:v>
      </x:c>
      <x:c r="F5127" s="1" t="str">
        <x:v>Advance shipping</x:v>
      </x:c>
      <x:c r="G5127" s="6" t="n">
        <x:v>2</x:v>
      </x:c>
      <x:c r="H5127" s="6" t="n">
        <x:v>4</x:v>
      </x:c>
      <x:c r="I5127" s="6" t="n">
        <x:f>G5127-H5127</x:f>
        <x:v>-2</x:v>
      </x:c>
      <x:c r="J5127" s="6" t="n">
        <x:f>IF(OR(E5127="CANCELED",E5127="SUSPECTED_FRAUD",F5127="Shipping canceled"),0,1)</x:f>
        <x:v>1</x:v>
      </x:c>
      <x:c r="K5127" s="6" t="n">
        <x:f>IF(G5127&gt;H5127,1,0)</x:f>
        <x:v>0</x:v>
      </x:c>
      <x:c r="L5127" s="6" t="n">
        <x:f>J5127*K5127</x:f>
        <x:v>0</x:v>
      </x:c>
    </x:row>
    <x:row r="5128">
      <x:c r="A5128" s="1" t="n">
        <x:v>40242</x:v>
      </x:c>
      <x:c r="B5128" s="5" t="d">
        <x:v>2016-08-10T00:00:00.000Z</x:v>
      </x:c>
      <x:c r="C5128" s="1" t="str">
        <x:v>First Class</x:v>
      </x:c>
      <x:c r="D5128" s="1" t="str">
        <x:v>USCA</x:v>
      </x:c>
      <x:c r="E5128" s="1" t="str">
        <x:v>CLOSED</x:v>
      </x:c>
      <x:c r="F5128" s="1" t="str">
        <x:v>Late delivery</x:v>
      </x:c>
      <x:c r="G5128" s="6" t="n">
        <x:v>2</x:v>
      </x:c>
      <x:c r="H5128" s="6" t="n">
        <x:v>1</x:v>
      </x:c>
      <x:c r="I5128" s="6" t="n">
        <x:f>G5128-H5128</x:f>
        <x:v>1</x:v>
      </x:c>
      <x:c r="J5128" s="6" t="n">
        <x:f>IF(OR(E5128="CANCELED",E5128="SUSPECTED_FRAUD",F5128="Shipping canceled"),0,1)</x:f>
        <x:v>1</x:v>
      </x:c>
      <x:c r="K5128" s="6" t="n">
        <x:f>IF(G5128&gt;H5128,1,0)</x:f>
        <x:v>1</x:v>
      </x:c>
      <x:c r="L5128" s="6" t="n">
        <x:f>J5128*K5128</x:f>
        <x:v>1</x:v>
      </x:c>
    </x:row>
    <x:row r="5129">
      <x:c r="A5129" s="1" t="n">
        <x:v>40243</x:v>
      </x:c>
      <x:c r="B5129" s="5" t="d">
        <x:v>2016-08-10T00:00:00.000Z</x:v>
      </x:c>
      <x:c r="C5129" s="1" t="str">
        <x:v>First Class</x:v>
      </x:c>
      <x:c r="D5129" s="1" t="str">
        <x:v>USCA</x:v>
      </x:c>
      <x:c r="E5129" s="1" t="str">
        <x:v>PROCESSING</x:v>
      </x:c>
      <x:c r="F5129" s="1" t="str">
        <x:v>Late delivery</x:v>
      </x:c>
      <x:c r="G5129" s="6" t="n">
        <x:v>2</x:v>
      </x:c>
      <x:c r="H5129" s="6" t="n">
        <x:v>1</x:v>
      </x:c>
      <x:c r="I5129" s="6" t="n">
        <x:f>G5129-H5129</x:f>
        <x:v>1</x:v>
      </x:c>
      <x:c r="J5129" s="6" t="n">
        <x:f>IF(OR(E5129="CANCELED",E5129="SUSPECTED_FRAUD",F5129="Shipping canceled"),0,1)</x:f>
        <x:v>1</x:v>
      </x:c>
      <x:c r="K5129" s="6" t="n">
        <x:f>IF(G5129&gt;H5129,1,0)</x:f>
        <x:v>1</x:v>
      </x:c>
      <x:c r="L5129" s="6" t="n">
        <x:f>J5129*K5129</x:f>
        <x:v>1</x:v>
      </x:c>
    </x:row>
    <x:row r="5130">
      <x:c r="A5130" s="1" t="n">
        <x:v>40264</x:v>
      </x:c>
      <x:c r="B5130" s="5" t="d">
        <x:v>2016-08-10T00:00:00.000Z</x:v>
      </x:c>
      <x:c r="C5130" s="1" t="str">
        <x:v>Second Class</x:v>
      </x:c>
      <x:c r="D5130" s="1" t="str">
        <x:v>USCA</x:v>
      </x:c>
      <x:c r="E5130" s="1" t="str">
        <x:v>COMPLETE</x:v>
      </x:c>
      <x:c r="F5130" s="1" t="str">
        <x:v>Late delivery</x:v>
      </x:c>
      <x:c r="G5130" s="6" t="n">
        <x:v>5</x:v>
      </x:c>
      <x:c r="H5130" s="6" t="n">
        <x:v>2</x:v>
      </x:c>
      <x:c r="I5130" s="6" t="n">
        <x:f>G5130-H5130</x:f>
        <x:v>3</x:v>
      </x:c>
      <x:c r="J5130" s="6" t="n">
        <x:f>IF(OR(E5130="CANCELED",E5130="SUSPECTED_FRAUD",F5130="Shipping canceled"),0,1)</x:f>
        <x:v>1</x:v>
      </x:c>
      <x:c r="K5130" s="6" t="n">
        <x:f>IF(G5130&gt;H5130,1,0)</x:f>
        <x:v>1</x:v>
      </x:c>
      <x:c r="L5130" s="6" t="n">
        <x:f>J5130*K5130</x:f>
        <x:v>1</x:v>
      </x:c>
    </x:row>
    <x:row r="5131">
      <x:c r="A5131" s="1" t="n">
        <x:v>40272</x:v>
      </x:c>
      <x:c r="B5131" s="5" t="d">
        <x:v>2016-08-10T00:00:00.000Z</x:v>
      </x:c>
      <x:c r="C5131" s="1" t="str">
        <x:v>First Class</x:v>
      </x:c>
      <x:c r="D5131" s="1" t="str">
        <x:v>USCA</x:v>
      </x:c>
      <x:c r="E5131" s="1" t="str">
        <x:v>PROCESSING</x:v>
      </x:c>
      <x:c r="F5131" s="1" t="str">
        <x:v>Late delivery</x:v>
      </x:c>
      <x:c r="G5131" s="6" t="n">
        <x:v>2</x:v>
      </x:c>
      <x:c r="H5131" s="6" t="n">
        <x:v>1</x:v>
      </x:c>
      <x:c r="I5131" s="6" t="n">
        <x:f>G5131-H5131</x:f>
        <x:v>1</x:v>
      </x:c>
      <x:c r="J5131" s="6" t="n">
        <x:f>IF(OR(E5131="CANCELED",E5131="SUSPECTED_FRAUD",F5131="Shipping canceled"),0,1)</x:f>
        <x:v>1</x:v>
      </x:c>
      <x:c r="K5131" s="6" t="n">
        <x:f>IF(G5131&gt;H5131,1,0)</x:f>
        <x:v>1</x:v>
      </x:c>
      <x:c r="L5131" s="6" t="n">
        <x:f>J5131*K5131</x:f>
        <x:v>1</x:v>
      </x:c>
    </x:row>
    <x:row r="5132">
      <x:c r="A5132" s="1" t="n">
        <x:v>40278</x:v>
      </x:c>
      <x:c r="B5132" s="5" t="d">
        <x:v>2016-08-10T00:00:00.000Z</x:v>
      </x:c>
      <x:c r="C5132" s="1" t="str">
        <x:v>Standard Class</x:v>
      </x:c>
      <x:c r="D5132" s="1" t="str">
        <x:v>USCA</x:v>
      </x:c>
      <x:c r="E5132" s="1" t="str">
        <x:v>ON_HOLD</x:v>
      </x:c>
      <x:c r="F5132" s="1" t="str">
        <x:v>Shipping on time</x:v>
      </x:c>
      <x:c r="G5132" s="6" t="n">
        <x:v>4</x:v>
      </x:c>
      <x:c r="H5132" s="6" t="n">
        <x:v>4</x:v>
      </x:c>
      <x:c r="I5132" s="6" t="n">
        <x:f>G5132-H5132</x:f>
        <x:v>0</x:v>
      </x:c>
      <x:c r="J5132" s="6" t="n">
        <x:f>IF(OR(E5132="CANCELED",E5132="SUSPECTED_FRAUD",F5132="Shipping canceled"),0,1)</x:f>
        <x:v>1</x:v>
      </x:c>
      <x:c r="K5132" s="6" t="n">
        <x:f>IF(G5132&gt;H5132,1,0)</x:f>
        <x:v>0</x:v>
      </x:c>
      <x:c r="L5132" s="6" t="n">
        <x:f>J5132*K5132</x:f>
        <x:v>0</x:v>
      </x:c>
    </x:row>
    <x:row r="5133">
      <x:c r="A5133" s="1" t="n">
        <x:v>40297</x:v>
      </x:c>
      <x:c r="B5133" s="5" t="d">
        <x:v>2016-08-11T00:00:00.000Z</x:v>
      </x:c>
      <x:c r="C5133" s="1" t="str">
        <x:v>Second Class</x:v>
      </x:c>
      <x:c r="D5133" s="1" t="str">
        <x:v>USCA</x:v>
      </x:c>
      <x:c r="E5133" s="1" t="str">
        <x:v>COMPLETE</x:v>
      </x:c>
      <x:c r="F5133" s="1" t="str">
        <x:v>Late delivery</x:v>
      </x:c>
      <x:c r="G5133" s="6" t="n">
        <x:v>3</x:v>
      </x:c>
      <x:c r="H5133" s="6" t="n">
        <x:v>2</x:v>
      </x:c>
      <x:c r="I5133" s="6" t="n">
        <x:f>G5133-H5133</x:f>
        <x:v>1</x:v>
      </x:c>
      <x:c r="J5133" s="6" t="n">
        <x:f>IF(OR(E5133="CANCELED",E5133="SUSPECTED_FRAUD",F5133="Shipping canceled"),0,1)</x:f>
        <x:v>1</x:v>
      </x:c>
      <x:c r="K5133" s="6" t="n">
        <x:f>IF(G5133&gt;H5133,1,0)</x:f>
        <x:v>1</x:v>
      </x:c>
      <x:c r="L5133" s="6" t="n">
        <x:f>J5133*K5133</x:f>
        <x:v>1</x:v>
      </x:c>
    </x:row>
    <x:row r="5134">
      <x:c r="A5134" s="1" t="n">
        <x:v>40298</x:v>
      </x:c>
      <x:c r="B5134" s="5" t="d">
        <x:v>2016-08-11T00:00:00.000Z</x:v>
      </x:c>
      <x:c r="C5134" s="1" t="str">
        <x:v>Second Class</x:v>
      </x:c>
      <x:c r="D5134" s="1" t="str">
        <x:v>USCA</x:v>
      </x:c>
      <x:c r="E5134" s="1" t="str">
        <x:v>COMPLETE</x:v>
      </x:c>
      <x:c r="F5134" s="1" t="str">
        <x:v>Late delivery</x:v>
      </x:c>
      <x:c r="G5134" s="6" t="n">
        <x:v>4</x:v>
      </x:c>
      <x:c r="H5134" s="6" t="n">
        <x:v>2</x:v>
      </x:c>
      <x:c r="I5134" s="6" t="n">
        <x:f>G5134-H5134</x:f>
        <x:v>2</x:v>
      </x:c>
      <x:c r="J5134" s="6" t="n">
        <x:f>IF(OR(E5134="CANCELED",E5134="SUSPECTED_FRAUD",F5134="Shipping canceled"),0,1)</x:f>
        <x:v>1</x:v>
      </x:c>
      <x:c r="K5134" s="6" t="n">
        <x:f>IF(G5134&gt;H5134,1,0)</x:f>
        <x:v>1</x:v>
      </x:c>
      <x:c r="L5134" s="6" t="n">
        <x:f>J5134*K5134</x:f>
        <x:v>1</x:v>
      </x:c>
    </x:row>
    <x:row r="5135">
      <x:c r="A5135" s="1" t="n">
        <x:v>40301</x:v>
      </x:c>
      <x:c r="B5135" s="5" t="d">
        <x:v>2016-08-11T00:00:00.000Z</x:v>
      </x:c>
      <x:c r="C5135" s="1" t="str">
        <x:v>Standard Class</x:v>
      </x:c>
      <x:c r="D5135" s="1" t="str">
        <x:v>USCA</x:v>
      </x:c>
      <x:c r="E5135" s="1" t="str">
        <x:v>PENDING</x:v>
      </x:c>
      <x:c r="F5135" s="1" t="str">
        <x:v>Advance shipping</x:v>
      </x:c>
      <x:c r="G5135" s="6" t="n">
        <x:v>2</x:v>
      </x:c>
      <x:c r="H5135" s="6" t="n">
        <x:v>4</x:v>
      </x:c>
      <x:c r="I5135" s="6" t="n">
        <x:f>G5135-H5135</x:f>
        <x:v>-2</x:v>
      </x:c>
      <x:c r="J5135" s="6" t="n">
        <x:f>IF(OR(E5135="CANCELED",E5135="SUSPECTED_FRAUD",F5135="Shipping canceled"),0,1)</x:f>
        <x:v>1</x:v>
      </x:c>
      <x:c r="K5135" s="6" t="n">
        <x:f>IF(G5135&gt;H5135,1,0)</x:f>
        <x:v>0</x:v>
      </x:c>
      <x:c r="L5135" s="6" t="n">
        <x:f>J5135*K5135</x:f>
        <x:v>0</x:v>
      </x:c>
    </x:row>
    <x:row r="5136">
      <x:c r="A5136" s="1" t="n">
        <x:v>40322</x:v>
      </x:c>
      <x:c r="B5136" s="5" t="d">
        <x:v>2016-08-11T00:00:00.000Z</x:v>
      </x:c>
      <x:c r="C5136" s="1" t="str">
        <x:v>Standard Class</x:v>
      </x:c>
      <x:c r="D5136" s="1" t="str">
        <x:v>USCA</x:v>
      </x:c>
      <x:c r="E5136" s="1" t="str">
        <x:v>COMPLETE</x:v>
      </x:c>
      <x:c r="F5136" s="1" t="str">
        <x:v>Advance shipping</x:v>
      </x:c>
      <x:c r="G5136" s="6" t="n">
        <x:v>3</x:v>
      </x:c>
      <x:c r="H5136" s="6" t="n">
        <x:v>4</x:v>
      </x:c>
      <x:c r="I5136" s="6" t="n">
        <x:f>G5136-H5136</x:f>
        <x:v>-1</x:v>
      </x:c>
      <x:c r="J5136" s="6" t="n">
        <x:f>IF(OR(E5136="CANCELED",E5136="SUSPECTED_FRAUD",F5136="Shipping canceled"),0,1)</x:f>
        <x:v>1</x:v>
      </x:c>
      <x:c r="K5136" s="6" t="n">
        <x:f>IF(G5136&gt;H5136,1,0)</x:f>
        <x:v>0</x:v>
      </x:c>
      <x:c r="L5136" s="6" t="n">
        <x:f>J5136*K5136</x:f>
        <x:v>0</x:v>
      </x:c>
    </x:row>
    <x:row r="5137">
      <x:c r="A5137" s="1" t="n">
        <x:v>40343</x:v>
      </x:c>
      <x:c r="B5137" s="5" t="d">
        <x:v>2016-08-11T00:00:00.000Z</x:v>
      </x:c>
      <x:c r="C5137" s="1" t="str">
        <x:v>Standard Class</x:v>
      </x:c>
      <x:c r="D5137" s="1" t="str">
        <x:v>USCA</x:v>
      </x:c>
      <x:c r="E5137" s="1" t="str">
        <x:v>PROCESSING</x:v>
      </x:c>
      <x:c r="F5137" s="1" t="str">
        <x:v>Shipping on time</x:v>
      </x:c>
      <x:c r="G5137" s="6" t="n">
        <x:v>4</x:v>
      </x:c>
      <x:c r="H5137" s="6" t="n">
        <x:v>4</x:v>
      </x:c>
      <x:c r="I5137" s="6" t="n">
        <x:f>G5137-H5137</x:f>
        <x:v>0</x:v>
      </x:c>
      <x:c r="J5137" s="6" t="n">
        <x:f>IF(OR(E5137="CANCELED",E5137="SUSPECTED_FRAUD",F5137="Shipping canceled"),0,1)</x:f>
        <x:v>1</x:v>
      </x:c>
      <x:c r="K5137" s="6" t="n">
        <x:f>IF(G5137&gt;H5137,1,0)</x:f>
        <x:v>0</x:v>
      </x:c>
      <x:c r="L5137" s="6" t="n">
        <x:f>J5137*K5137</x:f>
        <x:v>0</x:v>
      </x:c>
    </x:row>
    <x:row r="5138">
      <x:c r="A5138" s="1" t="n">
        <x:v>40347</x:v>
      </x:c>
      <x:c r="B5138" s="5" t="d">
        <x:v>2016-08-11T00:00:00.000Z</x:v>
      </x:c>
      <x:c r="C5138" s="1" t="str">
        <x:v>Standard Class</x:v>
      </x:c>
      <x:c r="D5138" s="1" t="str">
        <x:v>USCA</x:v>
      </x:c>
      <x:c r="E5138" s="1" t="str">
        <x:v>PENDING_PAYMENT</x:v>
      </x:c>
      <x:c r="F5138" s="1" t="str">
        <x:v>Advance shipping</x:v>
      </x:c>
      <x:c r="G5138" s="6" t="n">
        <x:v>3</x:v>
      </x:c>
      <x:c r="H5138" s="6" t="n">
        <x:v>4</x:v>
      </x:c>
      <x:c r="I5138" s="6" t="n">
        <x:f>G5138-H5138</x:f>
        <x:v>-1</x:v>
      </x:c>
      <x:c r="J5138" s="6" t="n">
        <x:f>IF(OR(E5138="CANCELED",E5138="SUSPECTED_FRAUD",F5138="Shipping canceled"),0,1)</x:f>
        <x:v>1</x:v>
      </x:c>
      <x:c r="K5138" s="6" t="n">
        <x:f>IF(G5138&gt;H5138,1,0)</x:f>
        <x:v>0</x:v>
      </x:c>
      <x:c r="L5138" s="6" t="n">
        <x:f>J5138*K5138</x:f>
        <x:v>0</x:v>
      </x:c>
    </x:row>
    <x:row r="5139">
      <x:c r="A5139" s="1" t="n">
        <x:v>40356</x:v>
      </x:c>
      <x:c r="B5139" s="5" t="d">
        <x:v>2016-08-12T00:00:00.000Z</x:v>
      </x:c>
      <x:c r="C5139" s="1" t="str">
        <x:v>Standard Class</x:v>
      </x:c>
      <x:c r="D5139" s="1" t="str">
        <x:v>USCA</x:v>
      </x:c>
      <x:c r="E5139" s="1" t="str">
        <x:v>COMPLETE</x:v>
      </x:c>
      <x:c r="F5139" s="1" t="str">
        <x:v>Advance shipping</x:v>
      </x:c>
      <x:c r="G5139" s="6" t="n">
        <x:v>2</x:v>
      </x:c>
      <x:c r="H5139" s="6" t="n">
        <x:v>4</x:v>
      </x:c>
      <x:c r="I5139" s="6" t="n">
        <x:f>G5139-H5139</x:f>
        <x:v>-2</x:v>
      </x:c>
      <x:c r="J5139" s="6" t="n">
        <x:f>IF(OR(E5139="CANCELED",E5139="SUSPECTED_FRAUD",F5139="Shipping canceled"),0,1)</x:f>
        <x:v>1</x:v>
      </x:c>
      <x:c r="K5139" s="6" t="n">
        <x:f>IF(G5139&gt;H5139,1,0)</x:f>
        <x:v>0</x:v>
      </x:c>
      <x:c r="L5139" s="6" t="n">
        <x:f>J5139*K5139</x:f>
        <x:v>0</x:v>
      </x:c>
    </x:row>
    <x:row r="5140">
      <x:c r="A5140" s="1" t="n">
        <x:v>40358</x:v>
      </x:c>
      <x:c r="B5140" s="5" t="d">
        <x:v>2016-08-12T00:00:00.000Z</x:v>
      </x:c>
      <x:c r="C5140" s="1" t="str">
        <x:v>Second Class</x:v>
      </x:c>
      <x:c r="D5140" s="1" t="str">
        <x:v>USCA</x:v>
      </x:c>
      <x:c r="E5140" s="1" t="str">
        <x:v>COMPLETE</x:v>
      </x:c>
      <x:c r="F5140" s="1" t="str">
        <x:v>Late delivery</x:v>
      </x:c>
      <x:c r="G5140" s="6" t="n">
        <x:v>4</x:v>
      </x:c>
      <x:c r="H5140" s="6" t="n">
        <x:v>2</x:v>
      </x:c>
      <x:c r="I5140" s="6" t="n">
        <x:f>G5140-H5140</x:f>
        <x:v>2</x:v>
      </x:c>
      <x:c r="J5140" s="6" t="n">
        <x:f>IF(OR(E5140="CANCELED",E5140="SUSPECTED_FRAUD",F5140="Shipping canceled"),0,1)</x:f>
        <x:v>1</x:v>
      </x:c>
      <x:c r="K5140" s="6" t="n">
        <x:f>IF(G5140&gt;H5140,1,0)</x:f>
        <x:v>1</x:v>
      </x:c>
      <x:c r="L5140" s="6" t="n">
        <x:f>J5140*K5140</x:f>
        <x:v>1</x:v>
      </x:c>
    </x:row>
    <x:row r="5141">
      <x:c r="A5141" s="1" t="n">
        <x:v>40365</x:v>
      </x:c>
      <x:c r="B5141" s="5" t="d">
        <x:v>2016-08-12T00:00:00.000Z</x:v>
      </x:c>
      <x:c r="C5141" s="1" t="str">
        <x:v>Standard Class</x:v>
      </x:c>
      <x:c r="D5141" s="1" t="str">
        <x:v>USCA</x:v>
      </x:c>
      <x:c r="E5141" s="1" t="str">
        <x:v>COMPLETE</x:v>
      </x:c>
      <x:c r="F5141" s="1" t="str">
        <x:v>Late delivery</x:v>
      </x:c>
      <x:c r="G5141" s="6" t="n">
        <x:v>6</x:v>
      </x:c>
      <x:c r="H5141" s="6" t="n">
        <x:v>4</x:v>
      </x:c>
      <x:c r="I5141" s="6" t="n">
        <x:f>G5141-H5141</x:f>
        <x:v>2</x:v>
      </x:c>
      <x:c r="J5141" s="6" t="n">
        <x:f>IF(OR(E5141="CANCELED",E5141="SUSPECTED_FRAUD",F5141="Shipping canceled"),0,1)</x:f>
        <x:v>1</x:v>
      </x:c>
      <x:c r="K5141" s="6" t="n">
        <x:f>IF(G5141&gt;H5141,1,0)</x:f>
        <x:v>1</x:v>
      </x:c>
      <x:c r="L5141" s="6" t="n">
        <x:f>J5141*K5141</x:f>
        <x:v>1</x:v>
      </x:c>
    </x:row>
    <x:row r="5142">
      <x:c r="A5142" s="1" t="n">
        <x:v>40368</x:v>
      </x:c>
      <x:c r="B5142" s="5" t="d">
        <x:v>2016-08-12T00:00:00.000Z</x:v>
      </x:c>
      <x:c r="C5142" s="1" t="str">
        <x:v>Standard Class</x:v>
      </x:c>
      <x:c r="D5142" s="1" t="str">
        <x:v>USCA</x:v>
      </x:c>
      <x:c r="E5142" s="1" t="str">
        <x:v>PAYMENT_REVIEW</x:v>
      </x:c>
      <x:c r="F5142" s="1" t="str">
        <x:v>Shipping on time</x:v>
      </x:c>
      <x:c r="G5142" s="6" t="n">
        <x:v>4</x:v>
      </x:c>
      <x:c r="H5142" s="6" t="n">
        <x:v>4</x:v>
      </x:c>
      <x:c r="I5142" s="6" t="n">
        <x:f>G5142-H5142</x:f>
        <x:v>0</x:v>
      </x:c>
      <x:c r="J5142" s="6" t="n">
        <x:f>IF(OR(E5142="CANCELED",E5142="SUSPECTED_FRAUD",F5142="Shipping canceled"),0,1)</x:f>
        <x:v>1</x:v>
      </x:c>
      <x:c r="K5142" s="6" t="n">
        <x:f>IF(G5142&gt;H5142,1,0)</x:f>
        <x:v>0</x:v>
      </x:c>
      <x:c r="L5142" s="6" t="n">
        <x:f>J5142*K5142</x:f>
        <x:v>0</x:v>
      </x:c>
    </x:row>
    <x:row r="5143">
      <x:c r="A5143" s="1" t="n">
        <x:v>40375</x:v>
      </x:c>
      <x:c r="B5143" s="5" t="d">
        <x:v>2016-08-12T00:00:00.000Z</x:v>
      </x:c>
      <x:c r="C5143" s="1" t="str">
        <x:v>Standard Class</x:v>
      </x:c>
      <x:c r="D5143" s="1" t="str">
        <x:v>USCA</x:v>
      </x:c>
      <x:c r="E5143" s="1" t="str">
        <x:v>PENDING</x:v>
      </x:c>
      <x:c r="F5143" s="1" t="str">
        <x:v>Late delivery</x:v>
      </x:c>
      <x:c r="G5143" s="6" t="n">
        <x:v>6</x:v>
      </x:c>
      <x:c r="H5143" s="6" t="n">
        <x:v>4</x:v>
      </x:c>
      <x:c r="I5143" s="6" t="n">
        <x:f>G5143-H5143</x:f>
        <x:v>2</x:v>
      </x:c>
      <x:c r="J5143" s="6" t="n">
        <x:f>IF(OR(E5143="CANCELED",E5143="SUSPECTED_FRAUD",F5143="Shipping canceled"),0,1)</x:f>
        <x:v>1</x:v>
      </x:c>
      <x:c r="K5143" s="6" t="n">
        <x:f>IF(G5143&gt;H5143,1,0)</x:f>
        <x:v>1</x:v>
      </x:c>
      <x:c r="L5143" s="6" t="n">
        <x:f>J5143*K5143</x:f>
        <x:v>1</x:v>
      </x:c>
    </x:row>
    <x:row r="5144">
      <x:c r="A5144" s="1" t="n">
        <x:v>40380</x:v>
      </x:c>
      <x:c r="B5144" s="5" t="d">
        <x:v>2016-08-12T00:00:00.000Z</x:v>
      </x:c>
      <x:c r="C5144" s="1" t="str">
        <x:v>Standard Class</x:v>
      </x:c>
      <x:c r="D5144" s="1" t="str">
        <x:v>USCA</x:v>
      </x:c>
      <x:c r="E5144" s="1" t="str">
        <x:v>COMPLETE</x:v>
      </x:c>
      <x:c r="F5144" s="1" t="str">
        <x:v>Late delivery</x:v>
      </x:c>
      <x:c r="G5144" s="6" t="n">
        <x:v>6</x:v>
      </x:c>
      <x:c r="H5144" s="6" t="n">
        <x:v>4</x:v>
      </x:c>
      <x:c r="I5144" s="6" t="n">
        <x:f>G5144-H5144</x:f>
        <x:v>2</x:v>
      </x:c>
      <x:c r="J5144" s="6" t="n">
        <x:f>IF(OR(E5144="CANCELED",E5144="SUSPECTED_FRAUD",F5144="Shipping canceled"),0,1)</x:f>
        <x:v>1</x:v>
      </x:c>
      <x:c r="K5144" s="6" t="n">
        <x:f>IF(G5144&gt;H5144,1,0)</x:f>
        <x:v>1</x:v>
      </x:c>
      <x:c r="L5144" s="6" t="n">
        <x:f>J5144*K5144</x:f>
        <x:v>1</x:v>
      </x:c>
    </x:row>
    <x:row r="5145">
      <x:c r="A5145" s="1" t="n">
        <x:v>40387</x:v>
      </x:c>
      <x:c r="B5145" s="5" t="d">
        <x:v>2016-08-12T00:00:00.000Z</x:v>
      </x:c>
      <x:c r="C5145" s="1" t="str">
        <x:v>Standard Class</x:v>
      </x:c>
      <x:c r="D5145" s="1" t="str">
        <x:v>USCA</x:v>
      </x:c>
      <x:c r="E5145" s="1" t="str">
        <x:v>ON_HOLD</x:v>
      </x:c>
      <x:c r="F5145" s="1" t="str">
        <x:v>Advance shipping</x:v>
      </x:c>
      <x:c r="G5145" s="6" t="n">
        <x:v>3</x:v>
      </x:c>
      <x:c r="H5145" s="6" t="n">
        <x:v>4</x:v>
      </x:c>
      <x:c r="I5145" s="6" t="n">
        <x:f>G5145-H5145</x:f>
        <x:v>-1</x:v>
      </x:c>
      <x:c r="J5145" s="6" t="n">
        <x:f>IF(OR(E5145="CANCELED",E5145="SUSPECTED_FRAUD",F5145="Shipping canceled"),0,1)</x:f>
        <x:v>1</x:v>
      </x:c>
      <x:c r="K5145" s="6" t="n">
        <x:f>IF(G5145&gt;H5145,1,0)</x:f>
        <x:v>0</x:v>
      </x:c>
      <x:c r="L5145" s="6" t="n">
        <x:f>J5145*K5145</x:f>
        <x:v>0</x:v>
      </x:c>
    </x:row>
    <x:row r="5146">
      <x:c r="A5146" s="1" t="n">
        <x:v>40404</x:v>
      </x:c>
      <x:c r="B5146" s="5" t="d">
        <x:v>2016-08-12T00:00:00.000Z</x:v>
      </x:c>
      <x:c r="C5146" s="1" t="str">
        <x:v>Standard Class</x:v>
      </x:c>
      <x:c r="D5146" s="1" t="str">
        <x:v>USCA</x:v>
      </x:c>
      <x:c r="E5146" s="1" t="str">
        <x:v>PENDING_PAYMENT</x:v>
      </x:c>
      <x:c r="F5146" s="1" t="str">
        <x:v>Late delivery</x:v>
      </x:c>
      <x:c r="G5146" s="6" t="n">
        <x:v>5</x:v>
      </x:c>
      <x:c r="H5146" s="6" t="n">
        <x:v>4</x:v>
      </x:c>
      <x:c r="I5146" s="6" t="n">
        <x:f>G5146-H5146</x:f>
        <x:v>1</x:v>
      </x:c>
      <x:c r="J5146" s="6" t="n">
        <x:f>IF(OR(E5146="CANCELED",E5146="SUSPECTED_FRAUD",F5146="Shipping canceled"),0,1)</x:f>
        <x:v>1</x:v>
      </x:c>
      <x:c r="K5146" s="6" t="n">
        <x:f>IF(G5146&gt;H5146,1,0)</x:f>
        <x:v>1</x:v>
      </x:c>
      <x:c r="L5146" s="6" t="n">
        <x:f>J5146*K5146</x:f>
        <x:v>1</x:v>
      </x:c>
    </x:row>
    <x:row r="5147">
      <x:c r="A5147" s="1" t="n">
        <x:v>40411</x:v>
      </x:c>
      <x:c r="B5147" s="5" t="d">
        <x:v>2016-08-12T00:00:00.000Z</x:v>
      </x:c>
      <x:c r="C5147" s="1" t="str">
        <x:v>Standard Class</x:v>
      </x:c>
      <x:c r="D5147" s="1" t="str">
        <x:v>USCA</x:v>
      </x:c>
      <x:c r="E5147" s="1" t="str">
        <x:v>ON_HOLD</x:v>
      </x:c>
      <x:c r="F5147" s="1" t="str">
        <x:v>Advance shipping</x:v>
      </x:c>
      <x:c r="G5147" s="6" t="n">
        <x:v>2</x:v>
      </x:c>
      <x:c r="H5147" s="6" t="n">
        <x:v>4</x:v>
      </x:c>
      <x:c r="I5147" s="6" t="n">
        <x:f>G5147-H5147</x:f>
        <x:v>-2</x:v>
      </x:c>
      <x:c r="J5147" s="6" t="n">
        <x:f>IF(OR(E5147="CANCELED",E5147="SUSPECTED_FRAUD",F5147="Shipping canceled"),0,1)</x:f>
        <x:v>1</x:v>
      </x:c>
      <x:c r="K5147" s="6" t="n">
        <x:f>IF(G5147&gt;H5147,1,0)</x:f>
        <x:v>0</x:v>
      </x:c>
      <x:c r="L5147" s="6" t="n">
        <x:f>J5147*K5147</x:f>
        <x:v>0</x:v>
      </x:c>
    </x:row>
    <x:row r="5148">
      <x:c r="A5148" s="1" t="n">
        <x:v>40412</x:v>
      </x:c>
      <x:c r="B5148" s="5" t="d">
        <x:v>2016-08-12T00:00:00.000Z</x:v>
      </x:c>
      <x:c r="C5148" s="1" t="str">
        <x:v>Standard Class</x:v>
      </x:c>
      <x:c r="D5148" s="1" t="str">
        <x:v>USCA</x:v>
      </x:c>
      <x:c r="E5148" s="1" t="str">
        <x:v>SUSPECTED_FRAUD</x:v>
      </x:c>
      <x:c r="F5148" s="1" t="str">
        <x:v>Shipping canceled</x:v>
      </x:c>
      <x:c r="G5148" s="6" t="n">
        <x:v>3</x:v>
      </x:c>
      <x:c r="H5148" s="6" t="n">
        <x:v>4</x:v>
      </x:c>
      <x:c r="I5148" s="6" t="n">
        <x:f>G5148-H5148</x:f>
        <x:v>-1</x:v>
      </x:c>
      <x:c r="J5148" s="6" t="n">
        <x:f>IF(OR(E5148="CANCELED",E5148="SUSPECTED_FRAUD",F5148="Shipping canceled"),0,1)</x:f>
        <x:v>0</x:v>
      </x:c>
      <x:c r="K5148" s="6" t="n">
        <x:f>IF(G5148&gt;H5148,1,0)</x:f>
        <x:v>0</x:v>
      </x:c>
      <x:c r="L5148" s="6" t="n">
        <x:f>J5148*K5148</x:f>
        <x:v>0</x:v>
      </x:c>
    </x:row>
    <x:row r="5149">
      <x:c r="A5149" s="1" t="n">
        <x:v>40424</x:v>
      </x:c>
      <x:c r="B5149" s="5" t="d">
        <x:v>2016-08-13T00:00:00.000Z</x:v>
      </x:c>
      <x:c r="C5149" s="1" t="str">
        <x:v>Standard Class</x:v>
      </x:c>
      <x:c r="D5149" s="1" t="str">
        <x:v>USCA</x:v>
      </x:c>
      <x:c r="E5149" s="1" t="str">
        <x:v>PENDING_PAYMENT</x:v>
      </x:c>
      <x:c r="F5149" s="1" t="str">
        <x:v>Late delivery</x:v>
      </x:c>
      <x:c r="G5149" s="6" t="n">
        <x:v>5</x:v>
      </x:c>
      <x:c r="H5149" s="6" t="n">
        <x:v>4</x:v>
      </x:c>
      <x:c r="I5149" s="6" t="n">
        <x:f>G5149-H5149</x:f>
        <x:v>1</x:v>
      </x:c>
      <x:c r="J5149" s="6" t="n">
        <x:f>IF(OR(E5149="CANCELED",E5149="SUSPECTED_FRAUD",F5149="Shipping canceled"),0,1)</x:f>
        <x:v>1</x:v>
      </x:c>
      <x:c r="K5149" s="6" t="n">
        <x:f>IF(G5149&gt;H5149,1,0)</x:f>
        <x:v>1</x:v>
      </x:c>
      <x:c r="L5149" s="6" t="n">
        <x:f>J5149*K5149</x:f>
        <x:v>1</x:v>
      </x:c>
    </x:row>
    <x:row r="5150">
      <x:c r="A5150" s="1" t="n">
        <x:v>40433</x:v>
      </x:c>
      <x:c r="B5150" s="5" t="d">
        <x:v>2016-08-13T00:00:00.000Z</x:v>
      </x:c>
      <x:c r="C5150" s="1" t="str">
        <x:v>Standard Class</x:v>
      </x:c>
      <x:c r="D5150" s="1" t="str">
        <x:v>USCA</x:v>
      </x:c>
      <x:c r="E5150" s="1" t="str">
        <x:v>PENDING</x:v>
      </x:c>
      <x:c r="F5150" s="1" t="str">
        <x:v>Shipping on time</x:v>
      </x:c>
      <x:c r="G5150" s="6" t="n">
        <x:v>4</x:v>
      </x:c>
      <x:c r="H5150" s="6" t="n">
        <x:v>4</x:v>
      </x:c>
      <x:c r="I5150" s="6" t="n">
        <x:f>G5150-H5150</x:f>
        <x:v>0</x:v>
      </x:c>
      <x:c r="J5150" s="6" t="n">
        <x:f>IF(OR(E5150="CANCELED",E5150="SUSPECTED_FRAUD",F5150="Shipping canceled"),0,1)</x:f>
        <x:v>1</x:v>
      </x:c>
      <x:c r="K5150" s="6" t="n">
        <x:f>IF(G5150&gt;H5150,1,0)</x:f>
        <x:v>0</x:v>
      </x:c>
      <x:c r="L5150" s="6" t="n">
        <x:f>J5150*K5150</x:f>
        <x:v>0</x:v>
      </x:c>
    </x:row>
    <x:row r="5151">
      <x:c r="A5151" s="1" t="n">
        <x:v>40448</x:v>
      </x:c>
      <x:c r="B5151" s="5" t="d">
        <x:v>2016-08-13T00:00:00.000Z</x:v>
      </x:c>
      <x:c r="C5151" s="1" t="str">
        <x:v>Standard Class</x:v>
      </x:c>
      <x:c r="D5151" s="1" t="str">
        <x:v>USCA</x:v>
      </x:c>
      <x:c r="E5151" s="1" t="str">
        <x:v>COMPLETE</x:v>
      </x:c>
      <x:c r="F5151" s="1" t="str">
        <x:v>Shipping on time</x:v>
      </x:c>
      <x:c r="G5151" s="6" t="n">
        <x:v>4</x:v>
      </x:c>
      <x:c r="H5151" s="6" t="n">
        <x:v>4</x:v>
      </x:c>
      <x:c r="I5151" s="6" t="n">
        <x:f>G5151-H5151</x:f>
        <x:v>0</x:v>
      </x:c>
      <x:c r="J5151" s="6" t="n">
        <x:f>IF(OR(E5151="CANCELED",E5151="SUSPECTED_FRAUD",F5151="Shipping canceled"),0,1)</x:f>
        <x:v>1</x:v>
      </x:c>
      <x:c r="K5151" s="6" t="n">
        <x:f>IF(G5151&gt;H5151,1,0)</x:f>
        <x:v>0</x:v>
      </x:c>
      <x:c r="L5151" s="6" t="n">
        <x:f>J5151*K5151</x:f>
        <x:v>0</x:v>
      </x:c>
    </x:row>
    <x:row r="5152">
      <x:c r="A5152" s="1" t="n">
        <x:v>40455</x:v>
      </x:c>
      <x:c r="B5152" s="5" t="d">
        <x:v>2016-08-13T00:00:00.000Z</x:v>
      </x:c>
      <x:c r="C5152" s="1" t="str">
        <x:v>Second Class</x:v>
      </x:c>
      <x:c r="D5152" s="1" t="str">
        <x:v>USCA</x:v>
      </x:c>
      <x:c r="E5152" s="1" t="str">
        <x:v>CLOSED</x:v>
      </x:c>
      <x:c r="F5152" s="1" t="str">
        <x:v>Late delivery</x:v>
      </x:c>
      <x:c r="G5152" s="6" t="n">
        <x:v>6</x:v>
      </x:c>
      <x:c r="H5152" s="6" t="n">
        <x:v>2</x:v>
      </x:c>
      <x:c r="I5152" s="6" t="n">
        <x:f>G5152-H5152</x:f>
        <x:v>4</x:v>
      </x:c>
      <x:c r="J5152" s="6" t="n">
        <x:f>IF(OR(E5152="CANCELED",E5152="SUSPECTED_FRAUD",F5152="Shipping canceled"),0,1)</x:f>
        <x:v>1</x:v>
      </x:c>
      <x:c r="K5152" s="6" t="n">
        <x:f>IF(G5152&gt;H5152,1,0)</x:f>
        <x:v>1</x:v>
      </x:c>
      <x:c r="L5152" s="6" t="n">
        <x:f>J5152*K5152</x:f>
        <x:v>1</x:v>
      </x:c>
    </x:row>
    <x:row r="5153">
      <x:c r="A5153" s="1" t="n">
        <x:v>40466</x:v>
      </x:c>
      <x:c r="B5153" s="5" t="d">
        <x:v>2016-08-13T00:00:00.000Z</x:v>
      </x:c>
      <x:c r="C5153" s="1" t="str">
        <x:v>Second Class</x:v>
      </x:c>
      <x:c r="D5153" s="1" t="str">
        <x:v>USCA</x:v>
      </x:c>
      <x:c r="E5153" s="1" t="str">
        <x:v>COMPLETE</x:v>
      </x:c>
      <x:c r="F5153" s="1" t="str">
        <x:v>Shipping on time</x:v>
      </x:c>
      <x:c r="G5153" s="6" t="n">
        <x:v>2</x:v>
      </x:c>
      <x:c r="H5153" s="6" t="n">
        <x:v>2</x:v>
      </x:c>
      <x:c r="I5153" s="6" t="n">
        <x:f>G5153-H5153</x:f>
        <x:v>0</x:v>
      </x:c>
      <x:c r="J5153" s="6" t="n">
        <x:f>IF(OR(E5153="CANCELED",E5153="SUSPECTED_FRAUD",F5153="Shipping canceled"),0,1)</x:f>
        <x:v>1</x:v>
      </x:c>
      <x:c r="K5153" s="6" t="n">
        <x:f>IF(G5153&gt;H5153,1,0)</x:f>
        <x:v>0</x:v>
      </x:c>
      <x:c r="L5153" s="6" t="n">
        <x:f>J5153*K5153</x:f>
        <x:v>0</x:v>
      </x:c>
    </x:row>
    <x:row r="5154">
      <x:c r="A5154" s="1" t="n">
        <x:v>40485</x:v>
      </x:c>
      <x:c r="B5154" s="5" t="d">
        <x:v>2016-08-13T00:00:00.000Z</x:v>
      </x:c>
      <x:c r="C5154" s="1" t="str">
        <x:v>Standard Class</x:v>
      </x:c>
      <x:c r="D5154" s="1" t="str">
        <x:v>USCA</x:v>
      </x:c>
      <x:c r="E5154" s="1" t="str">
        <x:v>COMPLETE</x:v>
      </x:c>
      <x:c r="F5154" s="1" t="str">
        <x:v>Late delivery</x:v>
      </x:c>
      <x:c r="G5154" s="6" t="n">
        <x:v>6</x:v>
      </x:c>
      <x:c r="H5154" s="6" t="n">
        <x:v>4</x:v>
      </x:c>
      <x:c r="I5154" s="6" t="n">
        <x:f>G5154-H5154</x:f>
        <x:v>2</x:v>
      </x:c>
      <x:c r="J5154" s="6" t="n">
        <x:f>IF(OR(E5154="CANCELED",E5154="SUSPECTED_FRAUD",F5154="Shipping canceled"),0,1)</x:f>
        <x:v>1</x:v>
      </x:c>
      <x:c r="K5154" s="6" t="n">
        <x:f>IF(G5154&gt;H5154,1,0)</x:f>
        <x:v>1</x:v>
      </x:c>
      <x:c r="L5154" s="6" t="n">
        <x:f>J5154*K5154</x:f>
        <x:v>1</x:v>
      </x:c>
    </x:row>
    <x:row r="5155">
      <x:c r="A5155" s="1" t="n">
        <x:v>40494</x:v>
      </x:c>
      <x:c r="B5155" s="5" t="d">
        <x:v>2016-08-14T00:00:00.000Z</x:v>
      </x:c>
      <x:c r="C5155" s="1" t="str">
        <x:v>Standard Class</x:v>
      </x:c>
      <x:c r="D5155" s="1" t="str">
        <x:v>USCA</x:v>
      </x:c>
      <x:c r="E5155" s="1" t="str">
        <x:v>COMPLETE</x:v>
      </x:c>
      <x:c r="F5155" s="1" t="str">
        <x:v>Late delivery</x:v>
      </x:c>
      <x:c r="G5155" s="6" t="n">
        <x:v>5</x:v>
      </x:c>
      <x:c r="H5155" s="6" t="n">
        <x:v>4</x:v>
      </x:c>
      <x:c r="I5155" s="6" t="n">
        <x:f>G5155-H5155</x:f>
        <x:v>1</x:v>
      </x:c>
      <x:c r="J5155" s="6" t="n">
        <x:f>IF(OR(E5155="CANCELED",E5155="SUSPECTED_FRAUD",F5155="Shipping canceled"),0,1)</x:f>
        <x:v>1</x:v>
      </x:c>
      <x:c r="K5155" s="6" t="n">
        <x:f>IF(G5155&gt;H5155,1,0)</x:f>
        <x:v>1</x:v>
      </x:c>
      <x:c r="L5155" s="6" t="n">
        <x:f>J5155*K5155</x:f>
        <x:v>1</x:v>
      </x:c>
    </x:row>
    <x:row r="5156">
      <x:c r="A5156" s="1" t="n">
        <x:v>40495</x:v>
      </x:c>
      <x:c r="B5156" s="5" t="d">
        <x:v>2016-08-14T00:00:00.000Z</x:v>
      </x:c>
      <x:c r="C5156" s="1" t="str">
        <x:v>Standard Class</x:v>
      </x:c>
      <x:c r="D5156" s="1" t="str">
        <x:v>USCA</x:v>
      </x:c>
      <x:c r="E5156" s="1" t="str">
        <x:v>SUSPECTED_FRAUD</x:v>
      </x:c>
      <x:c r="F5156" s="1" t="str">
        <x:v>Shipping canceled</x:v>
      </x:c>
      <x:c r="G5156" s="6" t="n">
        <x:v>6</x:v>
      </x:c>
      <x:c r="H5156" s="6" t="n">
        <x:v>4</x:v>
      </x:c>
      <x:c r="I5156" s="6" t="n">
        <x:f>G5156-H5156</x:f>
        <x:v>2</x:v>
      </x:c>
      <x:c r="J5156" s="6" t="n">
        <x:f>IF(OR(E5156="CANCELED",E5156="SUSPECTED_FRAUD",F5156="Shipping canceled"),0,1)</x:f>
        <x:v>0</x:v>
      </x:c>
      <x:c r="K5156" s="6" t="n">
        <x:f>IF(G5156&gt;H5156,1,0)</x:f>
        <x:v>1</x:v>
      </x:c>
      <x:c r="L5156" s="6" t="n">
        <x:f>J5156*K5156</x:f>
        <x:v>0</x:v>
      </x:c>
    </x:row>
    <x:row r="5157">
      <x:c r="A5157" s="1" t="n">
        <x:v>40496</x:v>
      </x:c>
      <x:c r="B5157" s="5" t="d">
        <x:v>2016-08-14T00:00:00.000Z</x:v>
      </x:c>
      <x:c r="C5157" s="1" t="str">
        <x:v>Standard Class</x:v>
      </x:c>
      <x:c r="D5157" s="1" t="str">
        <x:v>USCA</x:v>
      </x:c>
      <x:c r="E5157" s="1" t="str">
        <x:v>COMPLETE</x:v>
      </x:c>
      <x:c r="F5157" s="1" t="str">
        <x:v>Advance shipping</x:v>
      </x:c>
      <x:c r="G5157" s="6" t="n">
        <x:v>2</x:v>
      </x:c>
      <x:c r="H5157" s="6" t="n">
        <x:v>4</x:v>
      </x:c>
      <x:c r="I5157" s="6" t="n">
        <x:f>G5157-H5157</x:f>
        <x:v>-2</x:v>
      </x:c>
      <x:c r="J5157" s="6" t="n">
        <x:f>IF(OR(E5157="CANCELED",E5157="SUSPECTED_FRAUD",F5157="Shipping canceled"),0,1)</x:f>
        <x:v>1</x:v>
      </x:c>
      <x:c r="K5157" s="6" t="n">
        <x:f>IF(G5157&gt;H5157,1,0)</x:f>
        <x:v>0</x:v>
      </x:c>
      <x:c r="L5157" s="6" t="n">
        <x:f>J5157*K5157</x:f>
        <x:v>0</x:v>
      </x:c>
    </x:row>
    <x:row r="5158">
      <x:c r="A5158" s="1" t="n">
        <x:v>40530</x:v>
      </x:c>
      <x:c r="B5158" s="5" t="d">
        <x:v>2016-08-14T00:00:00.000Z</x:v>
      </x:c>
      <x:c r="C5158" s="1" t="str">
        <x:v>Standard Class</x:v>
      </x:c>
      <x:c r="D5158" s="1" t="str">
        <x:v>USCA</x:v>
      </x:c>
      <x:c r="E5158" s="1" t="str">
        <x:v>PROCESSING</x:v>
      </x:c>
      <x:c r="F5158" s="1" t="str">
        <x:v>Late delivery</x:v>
      </x:c>
      <x:c r="G5158" s="6" t="n">
        <x:v>6</x:v>
      </x:c>
      <x:c r="H5158" s="6" t="n">
        <x:v>4</x:v>
      </x:c>
      <x:c r="I5158" s="6" t="n">
        <x:f>G5158-H5158</x:f>
        <x:v>2</x:v>
      </x:c>
      <x:c r="J5158" s="6" t="n">
        <x:f>IF(OR(E5158="CANCELED",E5158="SUSPECTED_FRAUD",F5158="Shipping canceled"),0,1)</x:f>
        <x:v>1</x:v>
      </x:c>
      <x:c r="K5158" s="6" t="n">
        <x:f>IF(G5158&gt;H5158,1,0)</x:f>
        <x:v>1</x:v>
      </x:c>
      <x:c r="L5158" s="6" t="n">
        <x:f>J5158*K5158</x:f>
        <x:v>1</x:v>
      </x:c>
    </x:row>
    <x:row r="5159">
      <x:c r="A5159" s="1" t="n">
        <x:v>40549</x:v>
      </x:c>
      <x:c r="B5159" s="5" t="d">
        <x:v>2016-08-14T00:00:00.000Z</x:v>
      </x:c>
      <x:c r="C5159" s="1" t="str">
        <x:v>Standard Class</x:v>
      </x:c>
      <x:c r="D5159" s="1" t="str">
        <x:v>USCA</x:v>
      </x:c>
      <x:c r="E5159" s="1" t="str">
        <x:v>PROCESSING</x:v>
      </x:c>
      <x:c r="F5159" s="1" t="str">
        <x:v>Late delivery</x:v>
      </x:c>
      <x:c r="G5159" s="6" t="n">
        <x:v>5</x:v>
      </x:c>
      <x:c r="H5159" s="6" t="n">
        <x:v>4</x:v>
      </x:c>
      <x:c r="I5159" s="6" t="n">
        <x:f>G5159-H5159</x:f>
        <x:v>1</x:v>
      </x:c>
      <x:c r="J5159" s="6" t="n">
        <x:f>IF(OR(E5159="CANCELED",E5159="SUSPECTED_FRAUD",F5159="Shipping canceled"),0,1)</x:f>
        <x:v>1</x:v>
      </x:c>
      <x:c r="K5159" s="6" t="n">
        <x:f>IF(G5159&gt;H5159,1,0)</x:f>
        <x:v>1</x:v>
      </x:c>
      <x:c r="L5159" s="6" t="n">
        <x:f>J5159*K5159</x:f>
        <x:v>1</x:v>
      </x:c>
    </x:row>
    <x:row r="5160">
      <x:c r="A5160" s="1" t="n">
        <x:v>40569</x:v>
      </x:c>
      <x:c r="B5160" s="5" t="d">
        <x:v>2016-08-15T00:00:00.000Z</x:v>
      </x:c>
      <x:c r="C5160" s="1" t="str">
        <x:v>Standard Class</x:v>
      </x:c>
      <x:c r="D5160" s="1" t="str">
        <x:v>USCA</x:v>
      </x:c>
      <x:c r="E5160" s="1" t="str">
        <x:v>PENDING_PAYMENT</x:v>
      </x:c>
      <x:c r="F5160" s="1" t="str">
        <x:v>Late delivery</x:v>
      </x:c>
      <x:c r="G5160" s="6" t="n">
        <x:v>5</x:v>
      </x:c>
      <x:c r="H5160" s="6" t="n">
        <x:v>4</x:v>
      </x:c>
      <x:c r="I5160" s="6" t="n">
        <x:f>G5160-H5160</x:f>
        <x:v>1</x:v>
      </x:c>
      <x:c r="J5160" s="6" t="n">
        <x:f>IF(OR(E5160="CANCELED",E5160="SUSPECTED_FRAUD",F5160="Shipping canceled"),0,1)</x:f>
        <x:v>1</x:v>
      </x:c>
      <x:c r="K5160" s="6" t="n">
        <x:f>IF(G5160&gt;H5160,1,0)</x:f>
        <x:v>1</x:v>
      </x:c>
      <x:c r="L5160" s="6" t="n">
        <x:f>J5160*K5160</x:f>
        <x:v>1</x:v>
      </x:c>
    </x:row>
    <x:row r="5161">
      <x:c r="A5161" s="1" t="n">
        <x:v>40575</x:v>
      </x:c>
      <x:c r="B5161" s="5" t="d">
        <x:v>2016-08-15T00:00:00.000Z</x:v>
      </x:c>
      <x:c r="C5161" s="1" t="str">
        <x:v>Standard Class</x:v>
      </x:c>
      <x:c r="D5161" s="1" t="str">
        <x:v>USCA</x:v>
      </x:c>
      <x:c r="E5161" s="1" t="str">
        <x:v>PROCESSING</x:v>
      </x:c>
      <x:c r="F5161" s="1" t="str">
        <x:v>Late delivery</x:v>
      </x:c>
      <x:c r="G5161" s="6" t="n">
        <x:v>6</x:v>
      </x:c>
      <x:c r="H5161" s="6" t="n">
        <x:v>4</x:v>
      </x:c>
      <x:c r="I5161" s="6" t="n">
        <x:f>G5161-H5161</x:f>
        <x:v>2</x:v>
      </x:c>
      <x:c r="J5161" s="6" t="n">
        <x:f>IF(OR(E5161="CANCELED",E5161="SUSPECTED_FRAUD",F5161="Shipping canceled"),0,1)</x:f>
        <x:v>1</x:v>
      </x:c>
      <x:c r="K5161" s="6" t="n">
        <x:f>IF(G5161&gt;H5161,1,0)</x:f>
        <x:v>1</x:v>
      </x:c>
      <x:c r="L5161" s="6" t="n">
        <x:f>J5161*K5161</x:f>
        <x:v>1</x:v>
      </x:c>
    </x:row>
    <x:row r="5162">
      <x:c r="A5162" s="1" t="n">
        <x:v>40578</x:v>
      </x:c>
      <x:c r="B5162" s="5" t="d">
        <x:v>2016-08-15T00:00:00.000Z</x:v>
      </x:c>
      <x:c r="C5162" s="1" t="str">
        <x:v>Standard Class</x:v>
      </x:c>
      <x:c r="D5162" s="1" t="str">
        <x:v>USCA</x:v>
      </x:c>
      <x:c r="E5162" s="1" t="str">
        <x:v>PENDING</x:v>
      </x:c>
      <x:c r="F5162" s="1" t="str">
        <x:v>Shipping on time</x:v>
      </x:c>
      <x:c r="G5162" s="6" t="n">
        <x:v>4</x:v>
      </x:c>
      <x:c r="H5162" s="6" t="n">
        <x:v>4</x:v>
      </x:c>
      <x:c r="I5162" s="6" t="n">
        <x:f>G5162-H5162</x:f>
        <x:v>0</x:v>
      </x:c>
      <x:c r="J5162" s="6" t="n">
        <x:f>IF(OR(E5162="CANCELED",E5162="SUSPECTED_FRAUD",F5162="Shipping canceled"),0,1)</x:f>
        <x:v>1</x:v>
      </x:c>
      <x:c r="K5162" s="6" t="n">
        <x:f>IF(G5162&gt;H5162,1,0)</x:f>
        <x:v>0</x:v>
      </x:c>
      <x:c r="L5162" s="6" t="n">
        <x:f>J5162*K5162</x:f>
        <x:v>0</x:v>
      </x:c>
    </x:row>
    <x:row r="5163">
      <x:c r="A5163" s="1" t="n">
        <x:v>40634</x:v>
      </x:c>
      <x:c r="B5163" s="5" t="d">
        <x:v>2016-08-16T00:00:00.000Z</x:v>
      </x:c>
      <x:c r="C5163" s="1" t="str">
        <x:v>Standard Class</x:v>
      </x:c>
      <x:c r="D5163" s="1" t="str">
        <x:v>USCA</x:v>
      </x:c>
      <x:c r="E5163" s="1" t="str">
        <x:v>PROCESSING</x:v>
      </x:c>
      <x:c r="F5163" s="1" t="str">
        <x:v>Late delivery</x:v>
      </x:c>
      <x:c r="G5163" s="6" t="n">
        <x:v>5</x:v>
      </x:c>
      <x:c r="H5163" s="6" t="n">
        <x:v>4</x:v>
      </x:c>
      <x:c r="I5163" s="6" t="n">
        <x:f>G5163-H5163</x:f>
        <x:v>1</x:v>
      </x:c>
      <x:c r="J5163" s="6" t="n">
        <x:f>IF(OR(E5163="CANCELED",E5163="SUSPECTED_FRAUD",F5163="Shipping canceled"),0,1)</x:f>
        <x:v>1</x:v>
      </x:c>
      <x:c r="K5163" s="6" t="n">
        <x:f>IF(G5163&gt;H5163,1,0)</x:f>
        <x:v>1</x:v>
      </x:c>
      <x:c r="L5163" s="6" t="n">
        <x:f>J5163*K5163</x:f>
        <x:v>1</x:v>
      </x:c>
    </x:row>
    <x:row r="5164">
      <x:c r="A5164" s="1" t="n">
        <x:v>40645</x:v>
      </x:c>
      <x:c r="B5164" s="5" t="d">
        <x:v>2016-08-16T00:00:00.000Z</x:v>
      </x:c>
      <x:c r="C5164" s="1" t="str">
        <x:v>Second Class</x:v>
      </x:c>
      <x:c r="D5164" s="1" t="str">
        <x:v>USCA</x:v>
      </x:c>
      <x:c r="E5164" s="1" t="str">
        <x:v>PENDING_PAYMENT</x:v>
      </x:c>
      <x:c r="F5164" s="1" t="str">
        <x:v>Late delivery</x:v>
      </x:c>
      <x:c r="G5164" s="6" t="n">
        <x:v>6</x:v>
      </x:c>
      <x:c r="H5164" s="6" t="n">
        <x:v>2</x:v>
      </x:c>
      <x:c r="I5164" s="6" t="n">
        <x:f>G5164-H5164</x:f>
        <x:v>4</x:v>
      </x:c>
      <x:c r="J5164" s="6" t="n">
        <x:f>IF(OR(E5164="CANCELED",E5164="SUSPECTED_FRAUD",F5164="Shipping canceled"),0,1)</x:f>
        <x:v>1</x:v>
      </x:c>
      <x:c r="K5164" s="6" t="n">
        <x:f>IF(G5164&gt;H5164,1,0)</x:f>
        <x:v>1</x:v>
      </x:c>
      <x:c r="L5164" s="6" t="n">
        <x:f>J5164*K5164</x:f>
        <x:v>1</x:v>
      </x:c>
    </x:row>
    <x:row r="5165">
      <x:c r="A5165" s="1" t="n">
        <x:v>40647</x:v>
      </x:c>
      <x:c r="B5165" s="5" t="d">
        <x:v>2016-08-16T00:00:00.000Z</x:v>
      </x:c>
      <x:c r="C5165" s="1" t="str">
        <x:v>Standard Class</x:v>
      </x:c>
      <x:c r="D5165" s="1" t="str">
        <x:v>USCA</x:v>
      </x:c>
      <x:c r="E5165" s="1" t="str">
        <x:v>PROCESSING</x:v>
      </x:c>
      <x:c r="F5165" s="1" t="str">
        <x:v>Advance shipping</x:v>
      </x:c>
      <x:c r="G5165" s="6" t="n">
        <x:v>3</x:v>
      </x:c>
      <x:c r="H5165" s="6" t="n">
        <x:v>4</x:v>
      </x:c>
      <x:c r="I5165" s="6" t="n">
        <x:f>G5165-H5165</x:f>
        <x:v>-1</x:v>
      </x:c>
      <x:c r="J5165" s="6" t="n">
        <x:f>IF(OR(E5165="CANCELED",E5165="SUSPECTED_FRAUD",F5165="Shipping canceled"),0,1)</x:f>
        <x:v>1</x:v>
      </x:c>
      <x:c r="K5165" s="6" t="n">
        <x:f>IF(G5165&gt;H5165,1,0)</x:f>
        <x:v>0</x:v>
      </x:c>
      <x:c r="L5165" s="6" t="n">
        <x:f>J5165*K5165</x:f>
        <x:v>0</x:v>
      </x:c>
    </x:row>
    <x:row r="5166">
      <x:c r="A5166" s="1" t="n">
        <x:v>40654</x:v>
      </x:c>
      <x:c r="B5166" s="5" t="d">
        <x:v>2016-08-16T00:00:00.000Z</x:v>
      </x:c>
      <x:c r="C5166" s="1" t="str">
        <x:v>Standard Class</x:v>
      </x:c>
      <x:c r="D5166" s="1" t="str">
        <x:v>USCA</x:v>
      </x:c>
      <x:c r="E5166" s="1" t="str">
        <x:v>PENDING</x:v>
      </x:c>
      <x:c r="F5166" s="1" t="str">
        <x:v>Late delivery</x:v>
      </x:c>
      <x:c r="G5166" s="6" t="n">
        <x:v>5</x:v>
      </x:c>
      <x:c r="H5166" s="6" t="n">
        <x:v>4</x:v>
      </x:c>
      <x:c r="I5166" s="6" t="n">
        <x:f>G5166-H5166</x:f>
        <x:v>1</x:v>
      </x:c>
      <x:c r="J5166" s="6" t="n">
        <x:f>IF(OR(E5166="CANCELED",E5166="SUSPECTED_FRAUD",F5166="Shipping canceled"),0,1)</x:f>
        <x:v>1</x:v>
      </x:c>
      <x:c r="K5166" s="6" t="n">
        <x:f>IF(G5166&gt;H5166,1,0)</x:f>
        <x:v>1</x:v>
      </x:c>
      <x:c r="L5166" s="6" t="n">
        <x:f>J5166*K5166</x:f>
        <x:v>1</x:v>
      </x:c>
    </x:row>
    <x:row r="5167">
      <x:c r="A5167" s="1" t="n">
        <x:v>40672</x:v>
      </x:c>
      <x:c r="B5167" s="5" t="d">
        <x:v>2016-08-16T00:00:00.000Z</x:v>
      </x:c>
      <x:c r="C5167" s="1" t="str">
        <x:v>Standard Class</x:v>
      </x:c>
      <x:c r="D5167" s="1" t="str">
        <x:v>USCA</x:v>
      </x:c>
      <x:c r="E5167" s="1" t="str">
        <x:v>COMPLETE</x:v>
      </x:c>
      <x:c r="F5167" s="1" t="str">
        <x:v>Advance shipping</x:v>
      </x:c>
      <x:c r="G5167" s="6" t="n">
        <x:v>3</x:v>
      </x:c>
      <x:c r="H5167" s="6" t="n">
        <x:v>4</x:v>
      </x:c>
      <x:c r="I5167" s="6" t="n">
        <x:f>G5167-H5167</x:f>
        <x:v>-1</x:v>
      </x:c>
      <x:c r="J5167" s="6" t="n">
        <x:f>IF(OR(E5167="CANCELED",E5167="SUSPECTED_FRAUD",F5167="Shipping canceled"),0,1)</x:f>
        <x:v>1</x:v>
      </x:c>
      <x:c r="K5167" s="6" t="n">
        <x:f>IF(G5167&gt;H5167,1,0)</x:f>
        <x:v>0</x:v>
      </x:c>
      <x:c r="L5167" s="6" t="n">
        <x:f>J5167*K5167</x:f>
        <x:v>0</x:v>
      </x:c>
    </x:row>
    <x:row r="5168">
      <x:c r="A5168" s="1" t="n">
        <x:v>40694</x:v>
      </x:c>
      <x:c r="B5168" s="5" t="d">
        <x:v>2016-08-17T00:00:00.000Z</x:v>
      </x:c>
      <x:c r="C5168" s="1" t="str">
        <x:v>Standard Class</x:v>
      </x:c>
      <x:c r="D5168" s="1" t="str">
        <x:v>USCA</x:v>
      </x:c>
      <x:c r="E5168" s="1" t="str">
        <x:v>COMPLETE</x:v>
      </x:c>
      <x:c r="F5168" s="1" t="str">
        <x:v>Late delivery</x:v>
      </x:c>
      <x:c r="G5168" s="6" t="n">
        <x:v>5</x:v>
      </x:c>
      <x:c r="H5168" s="6" t="n">
        <x:v>4</x:v>
      </x:c>
      <x:c r="I5168" s="6" t="n">
        <x:f>G5168-H5168</x:f>
        <x:v>1</x:v>
      </x:c>
      <x:c r="J5168" s="6" t="n">
        <x:f>IF(OR(E5168="CANCELED",E5168="SUSPECTED_FRAUD",F5168="Shipping canceled"),0,1)</x:f>
        <x:v>1</x:v>
      </x:c>
      <x:c r="K5168" s="6" t="n">
        <x:f>IF(G5168&gt;H5168,1,0)</x:f>
        <x:v>1</x:v>
      </x:c>
      <x:c r="L5168" s="6" t="n">
        <x:f>J5168*K5168</x:f>
        <x:v>1</x:v>
      </x:c>
    </x:row>
    <x:row r="5169">
      <x:c r="A5169" s="1" t="n">
        <x:v>40695</x:v>
      </x:c>
      <x:c r="B5169" s="5" t="d">
        <x:v>2016-08-17T00:00:00.000Z</x:v>
      </x:c>
      <x:c r="C5169" s="1" t="str">
        <x:v>Standard Class</x:v>
      </x:c>
      <x:c r="D5169" s="1" t="str">
        <x:v>USCA</x:v>
      </x:c>
      <x:c r="E5169" s="1" t="str">
        <x:v>CANCELED</x:v>
      </x:c>
      <x:c r="F5169" s="1" t="str">
        <x:v>Shipping canceled</x:v>
      </x:c>
      <x:c r="G5169" s="6" t="n">
        <x:v>6</x:v>
      </x:c>
      <x:c r="H5169" s="6" t="n">
        <x:v>4</x:v>
      </x:c>
      <x:c r="I5169" s="6" t="n">
        <x:f>G5169-H5169</x:f>
        <x:v>2</x:v>
      </x:c>
      <x:c r="J5169" s="6" t="n">
        <x:f>IF(OR(E5169="CANCELED",E5169="SUSPECTED_FRAUD",F5169="Shipping canceled"),0,1)</x:f>
        <x:v>0</x:v>
      </x:c>
      <x:c r="K5169" s="6" t="n">
        <x:f>IF(G5169&gt;H5169,1,0)</x:f>
        <x:v>1</x:v>
      </x:c>
      <x:c r="L5169" s="6" t="n">
        <x:f>J5169*K5169</x:f>
        <x:v>0</x:v>
      </x:c>
    </x:row>
    <x:row r="5170">
      <x:c r="A5170" s="1" t="n">
        <x:v>40710</x:v>
      </x:c>
      <x:c r="B5170" s="5" t="d">
        <x:v>2016-08-17T00:00:00.000Z</x:v>
      </x:c>
      <x:c r="C5170" s="1" t="str">
        <x:v>Standard Class</x:v>
      </x:c>
      <x:c r="D5170" s="1" t="str">
        <x:v>USCA</x:v>
      </x:c>
      <x:c r="E5170" s="1" t="str">
        <x:v>COMPLETE</x:v>
      </x:c>
      <x:c r="F5170" s="1" t="str">
        <x:v>Late delivery</x:v>
      </x:c>
      <x:c r="G5170" s="6" t="n">
        <x:v>6</x:v>
      </x:c>
      <x:c r="H5170" s="6" t="n">
        <x:v>4</x:v>
      </x:c>
      <x:c r="I5170" s="6" t="n">
        <x:f>G5170-H5170</x:f>
        <x:v>2</x:v>
      </x:c>
      <x:c r="J5170" s="6" t="n">
        <x:f>IF(OR(E5170="CANCELED",E5170="SUSPECTED_FRAUD",F5170="Shipping canceled"),0,1)</x:f>
        <x:v>1</x:v>
      </x:c>
      <x:c r="K5170" s="6" t="n">
        <x:f>IF(G5170&gt;H5170,1,0)</x:f>
        <x:v>1</x:v>
      </x:c>
      <x:c r="L5170" s="6" t="n">
        <x:f>J5170*K5170</x:f>
        <x:v>1</x:v>
      </x:c>
    </x:row>
    <x:row r="5171">
      <x:c r="A5171" s="1" t="n">
        <x:v>40712</x:v>
      </x:c>
      <x:c r="B5171" s="5" t="d">
        <x:v>2016-08-17T00:00:00.000Z</x:v>
      </x:c>
      <x:c r="C5171" s="1" t="str">
        <x:v>Standard Class</x:v>
      </x:c>
      <x:c r="D5171" s="1" t="str">
        <x:v>USCA</x:v>
      </x:c>
      <x:c r="E5171" s="1" t="str">
        <x:v>PENDING</x:v>
      </x:c>
      <x:c r="F5171" s="1" t="str">
        <x:v>Advance shipping</x:v>
      </x:c>
      <x:c r="G5171" s="6" t="n">
        <x:v>3</x:v>
      </x:c>
      <x:c r="H5171" s="6" t="n">
        <x:v>4</x:v>
      </x:c>
      <x:c r="I5171" s="6" t="n">
        <x:f>G5171-H5171</x:f>
        <x:v>-1</x:v>
      </x:c>
      <x:c r="J5171" s="6" t="n">
        <x:f>IF(OR(E5171="CANCELED",E5171="SUSPECTED_FRAUD",F5171="Shipping canceled"),0,1)</x:f>
        <x:v>1</x:v>
      </x:c>
      <x:c r="K5171" s="6" t="n">
        <x:f>IF(G5171&gt;H5171,1,0)</x:f>
        <x:v>0</x:v>
      </x:c>
      <x:c r="L5171" s="6" t="n">
        <x:f>J5171*K5171</x:f>
        <x:v>0</x:v>
      </x:c>
    </x:row>
    <x:row r="5172">
      <x:c r="A5172" s="1" t="n">
        <x:v>40715</x:v>
      </x:c>
      <x:c r="B5172" s="5" t="d">
        <x:v>2016-08-17T00:00:00.000Z</x:v>
      </x:c>
      <x:c r="C5172" s="1" t="str">
        <x:v>Standard Class</x:v>
      </x:c>
      <x:c r="D5172" s="1" t="str">
        <x:v>USCA</x:v>
      </x:c>
      <x:c r="E5172" s="1" t="str">
        <x:v>PENDING_PAYMENT</x:v>
      </x:c>
      <x:c r="F5172" s="1" t="str">
        <x:v>Late delivery</x:v>
      </x:c>
      <x:c r="G5172" s="6" t="n">
        <x:v>6</x:v>
      </x:c>
      <x:c r="H5172" s="6" t="n">
        <x:v>4</x:v>
      </x:c>
      <x:c r="I5172" s="6" t="n">
        <x:f>G5172-H5172</x:f>
        <x:v>2</x:v>
      </x:c>
      <x:c r="J5172" s="6" t="n">
        <x:f>IF(OR(E5172="CANCELED",E5172="SUSPECTED_FRAUD",F5172="Shipping canceled"),0,1)</x:f>
        <x:v>1</x:v>
      </x:c>
      <x:c r="K5172" s="6" t="n">
        <x:f>IF(G5172&gt;H5172,1,0)</x:f>
        <x:v>1</x:v>
      </x:c>
      <x:c r="L5172" s="6" t="n">
        <x:f>J5172*K5172</x:f>
        <x:v>1</x:v>
      </x:c>
    </x:row>
    <x:row r="5173">
      <x:c r="A5173" s="1" t="n">
        <x:v>40716</x:v>
      </x:c>
      <x:c r="B5173" s="5" t="d">
        <x:v>2016-08-17T00:00:00.000Z</x:v>
      </x:c>
      <x:c r="C5173" s="1" t="str">
        <x:v>Standard Class</x:v>
      </x:c>
      <x:c r="D5173" s="1" t="str">
        <x:v>USCA</x:v>
      </x:c>
      <x:c r="E5173" s="1" t="str">
        <x:v>PROCESSING</x:v>
      </x:c>
      <x:c r="F5173" s="1" t="str">
        <x:v>Advance shipping</x:v>
      </x:c>
      <x:c r="G5173" s="6" t="n">
        <x:v>2</x:v>
      </x:c>
      <x:c r="H5173" s="6" t="n">
        <x:v>4</x:v>
      </x:c>
      <x:c r="I5173" s="6" t="n">
        <x:f>G5173-H5173</x:f>
        <x:v>-2</x:v>
      </x:c>
      <x:c r="J5173" s="6" t="n">
        <x:f>IF(OR(E5173="CANCELED",E5173="SUSPECTED_FRAUD",F5173="Shipping canceled"),0,1)</x:f>
        <x:v>1</x:v>
      </x:c>
      <x:c r="K5173" s="6" t="n">
        <x:f>IF(G5173&gt;H5173,1,0)</x:f>
        <x:v>0</x:v>
      </x:c>
      <x:c r="L5173" s="6" t="n">
        <x:f>J5173*K5173</x:f>
        <x:v>0</x:v>
      </x:c>
    </x:row>
    <x:row r="5174">
      <x:c r="A5174" s="1" t="n">
        <x:v>40723</x:v>
      </x:c>
      <x:c r="B5174" s="5" t="d">
        <x:v>2016-08-17T00:00:00.000Z</x:v>
      </x:c>
      <x:c r="C5174" s="1" t="str">
        <x:v>Standard Class</x:v>
      </x:c>
      <x:c r="D5174" s="1" t="str">
        <x:v>USCA</x:v>
      </x:c>
      <x:c r="E5174" s="1" t="str">
        <x:v>COMPLETE</x:v>
      </x:c>
      <x:c r="F5174" s="1" t="str">
        <x:v>Shipping on time</x:v>
      </x:c>
      <x:c r="G5174" s="6" t="n">
        <x:v>4</x:v>
      </x:c>
      <x:c r="H5174" s="6" t="n">
        <x:v>4</x:v>
      </x:c>
      <x:c r="I5174" s="6" t="n">
        <x:f>G5174-H5174</x:f>
        <x:v>0</x:v>
      </x:c>
      <x:c r="J5174" s="6" t="n">
        <x:f>IF(OR(E5174="CANCELED",E5174="SUSPECTED_FRAUD",F5174="Shipping canceled"),0,1)</x:f>
        <x:v>1</x:v>
      </x:c>
      <x:c r="K5174" s="6" t="n">
        <x:f>IF(G5174&gt;H5174,1,0)</x:f>
        <x:v>0</x:v>
      </x:c>
      <x:c r="L5174" s="6" t="n">
        <x:f>J5174*K5174</x:f>
        <x:v>0</x:v>
      </x:c>
    </x:row>
    <x:row r="5175">
      <x:c r="A5175" s="1" t="n">
        <x:v>40730</x:v>
      </x:c>
      <x:c r="B5175" s="5" t="d">
        <x:v>2016-08-17T00:00:00.000Z</x:v>
      </x:c>
      <x:c r="C5175" s="1" t="str">
        <x:v>First Class</x:v>
      </x:c>
      <x:c r="D5175" s="1" t="str">
        <x:v>USCA</x:v>
      </x:c>
      <x:c r="E5175" s="1" t="str">
        <x:v>PROCESSING</x:v>
      </x:c>
      <x:c r="F5175" s="1" t="str">
        <x:v>Late delivery</x:v>
      </x:c>
      <x:c r="G5175" s="6" t="n">
        <x:v>2</x:v>
      </x:c>
      <x:c r="H5175" s="6" t="n">
        <x:v>1</x:v>
      </x:c>
      <x:c r="I5175" s="6" t="n">
        <x:f>G5175-H5175</x:f>
        <x:v>1</x:v>
      </x:c>
      <x:c r="J5175" s="6" t="n">
        <x:f>IF(OR(E5175="CANCELED",E5175="SUSPECTED_FRAUD",F5175="Shipping canceled"),0,1)</x:f>
        <x:v>1</x:v>
      </x:c>
      <x:c r="K5175" s="6" t="n">
        <x:f>IF(G5175&gt;H5175,1,0)</x:f>
        <x:v>1</x:v>
      </x:c>
      <x:c r="L5175" s="6" t="n">
        <x:f>J5175*K5175</x:f>
        <x:v>1</x:v>
      </x:c>
    </x:row>
    <x:row r="5176">
      <x:c r="A5176" s="1" t="n">
        <x:v>40738</x:v>
      </x:c>
      <x:c r="B5176" s="5" t="d">
        <x:v>2016-08-17T00:00:00.000Z</x:v>
      </x:c>
      <x:c r="C5176" s="1" t="str">
        <x:v>First Class</x:v>
      </x:c>
      <x:c r="D5176" s="1" t="str">
        <x:v>USCA</x:v>
      </x:c>
      <x:c r="E5176" s="1" t="str">
        <x:v>CLOSED</x:v>
      </x:c>
      <x:c r="F5176" s="1" t="str">
        <x:v>Late delivery</x:v>
      </x:c>
      <x:c r="G5176" s="6" t="n">
        <x:v>2</x:v>
      </x:c>
      <x:c r="H5176" s="6" t="n">
        <x:v>1</x:v>
      </x:c>
      <x:c r="I5176" s="6" t="n">
        <x:f>G5176-H5176</x:f>
        <x:v>1</x:v>
      </x:c>
      <x:c r="J5176" s="6" t="n">
        <x:f>IF(OR(E5176="CANCELED",E5176="SUSPECTED_FRAUD",F5176="Shipping canceled"),0,1)</x:f>
        <x:v>1</x:v>
      </x:c>
      <x:c r="K5176" s="6" t="n">
        <x:f>IF(G5176&gt;H5176,1,0)</x:f>
        <x:v>1</x:v>
      </x:c>
      <x:c r="L5176" s="6" t="n">
        <x:f>J5176*K5176</x:f>
        <x:v>1</x:v>
      </x:c>
    </x:row>
    <x:row r="5177">
      <x:c r="A5177" s="1" t="n">
        <x:v>40742</x:v>
      </x:c>
      <x:c r="B5177" s="5" t="d">
        <x:v>2016-08-17T00:00:00.000Z</x:v>
      </x:c>
      <x:c r="C5177" s="1" t="str">
        <x:v>Standard Class</x:v>
      </x:c>
      <x:c r="D5177" s="1" t="str">
        <x:v>USCA</x:v>
      </x:c>
      <x:c r="E5177" s="1" t="str">
        <x:v>COMPLETE</x:v>
      </x:c>
      <x:c r="F5177" s="1" t="str">
        <x:v>Advance shipping</x:v>
      </x:c>
      <x:c r="G5177" s="6" t="n">
        <x:v>3</x:v>
      </x:c>
      <x:c r="H5177" s="6" t="n">
        <x:v>4</x:v>
      </x:c>
      <x:c r="I5177" s="6" t="n">
        <x:f>G5177-H5177</x:f>
        <x:v>-1</x:v>
      </x:c>
      <x:c r="J5177" s="6" t="n">
        <x:f>IF(OR(E5177="CANCELED",E5177="SUSPECTED_FRAUD",F5177="Shipping canceled"),0,1)</x:f>
        <x:v>1</x:v>
      </x:c>
      <x:c r="K5177" s="6" t="n">
        <x:f>IF(G5177&gt;H5177,1,0)</x:f>
        <x:v>0</x:v>
      </x:c>
      <x:c r="L5177" s="6" t="n">
        <x:f>J5177*K5177</x:f>
        <x:v>0</x:v>
      </x:c>
    </x:row>
    <x:row r="5178">
      <x:c r="A5178" s="1" t="n">
        <x:v>40744</x:v>
      </x:c>
      <x:c r="B5178" s="5" t="d">
        <x:v>2016-08-17T00:00:00.000Z</x:v>
      </x:c>
      <x:c r="C5178" s="1" t="str">
        <x:v>Standard Class</x:v>
      </x:c>
      <x:c r="D5178" s="1" t="str">
        <x:v>USCA</x:v>
      </x:c>
      <x:c r="E5178" s="1" t="str">
        <x:v>PENDING_PAYMENT</x:v>
      </x:c>
      <x:c r="F5178" s="1" t="str">
        <x:v>Late delivery</x:v>
      </x:c>
      <x:c r="G5178" s="6" t="n">
        <x:v>5</x:v>
      </x:c>
      <x:c r="H5178" s="6" t="n">
        <x:v>4</x:v>
      </x:c>
      <x:c r="I5178" s="6" t="n">
        <x:f>G5178-H5178</x:f>
        <x:v>1</x:v>
      </x:c>
      <x:c r="J5178" s="6" t="n">
        <x:f>IF(OR(E5178="CANCELED",E5178="SUSPECTED_FRAUD",F5178="Shipping canceled"),0,1)</x:f>
        <x:v>1</x:v>
      </x:c>
      <x:c r="K5178" s="6" t="n">
        <x:f>IF(G5178&gt;H5178,1,0)</x:f>
        <x:v>1</x:v>
      </x:c>
      <x:c r="L5178" s="6" t="n">
        <x:f>J5178*K5178</x:f>
        <x:v>1</x:v>
      </x:c>
    </x:row>
    <x:row r="5179">
      <x:c r="A5179" s="1" t="n">
        <x:v>40754</x:v>
      </x:c>
      <x:c r="B5179" s="5" t="d">
        <x:v>2016-08-17T00:00:00.000Z</x:v>
      </x:c>
      <x:c r="C5179" s="1" t="str">
        <x:v>Second Class</x:v>
      </x:c>
      <x:c r="D5179" s="1" t="str">
        <x:v>USCA</x:v>
      </x:c>
      <x:c r="E5179" s="1" t="str">
        <x:v>COMPLETE</x:v>
      </x:c>
      <x:c r="F5179" s="1" t="str">
        <x:v>Late delivery</x:v>
      </x:c>
      <x:c r="G5179" s="6" t="n">
        <x:v>5</x:v>
      </x:c>
      <x:c r="H5179" s="6" t="n">
        <x:v>2</x:v>
      </x:c>
      <x:c r="I5179" s="6" t="n">
        <x:f>G5179-H5179</x:f>
        <x:v>3</x:v>
      </x:c>
      <x:c r="J5179" s="6" t="n">
        <x:f>IF(OR(E5179="CANCELED",E5179="SUSPECTED_FRAUD",F5179="Shipping canceled"),0,1)</x:f>
        <x:v>1</x:v>
      </x:c>
      <x:c r="K5179" s="6" t="n">
        <x:f>IF(G5179&gt;H5179,1,0)</x:f>
        <x:v>1</x:v>
      </x:c>
      <x:c r="L5179" s="6" t="n">
        <x:f>J5179*K5179</x:f>
        <x:v>1</x:v>
      </x:c>
    </x:row>
    <x:row r="5180">
      <x:c r="A5180" s="1" t="n">
        <x:v>40759</x:v>
      </x:c>
      <x:c r="B5180" s="5" t="d">
        <x:v>2016-08-17T00:00:00.000Z</x:v>
      </x:c>
      <x:c r="C5180" s="1" t="str">
        <x:v>Standard Class</x:v>
      </x:c>
      <x:c r="D5180" s="1" t="str">
        <x:v>USCA</x:v>
      </x:c>
      <x:c r="E5180" s="1" t="str">
        <x:v>CLOSED</x:v>
      </x:c>
      <x:c r="F5180" s="1" t="str">
        <x:v>Late delivery</x:v>
      </x:c>
      <x:c r="G5180" s="6" t="n">
        <x:v>5</x:v>
      </x:c>
      <x:c r="H5180" s="6" t="n">
        <x:v>4</x:v>
      </x:c>
      <x:c r="I5180" s="6" t="n">
        <x:f>G5180-H5180</x:f>
        <x:v>1</x:v>
      </x:c>
      <x:c r="J5180" s="6" t="n">
        <x:f>IF(OR(E5180="CANCELED",E5180="SUSPECTED_FRAUD",F5180="Shipping canceled"),0,1)</x:f>
        <x:v>1</x:v>
      </x:c>
      <x:c r="K5180" s="6" t="n">
        <x:f>IF(G5180&gt;H5180,1,0)</x:f>
        <x:v>1</x:v>
      </x:c>
      <x:c r="L5180" s="6" t="n">
        <x:f>J5180*K5180</x:f>
        <x:v>1</x:v>
      </x:c>
    </x:row>
    <x:row r="5181">
      <x:c r="A5181" s="1" t="n">
        <x:v>40760</x:v>
      </x:c>
      <x:c r="B5181" s="5" t="d">
        <x:v>2016-08-17T00:00:00.000Z</x:v>
      </x:c>
      <x:c r="C5181" s="1" t="str">
        <x:v>Standard Class</x:v>
      </x:c>
      <x:c r="D5181" s="1" t="str">
        <x:v>USCA</x:v>
      </x:c>
      <x:c r="E5181" s="1" t="str">
        <x:v>COMPLETE</x:v>
      </x:c>
      <x:c r="F5181" s="1" t="str">
        <x:v>Late delivery</x:v>
      </x:c>
      <x:c r="G5181" s="6" t="n">
        <x:v>6</x:v>
      </x:c>
      <x:c r="H5181" s="6" t="n">
        <x:v>4</x:v>
      </x:c>
      <x:c r="I5181" s="6" t="n">
        <x:f>G5181-H5181</x:f>
        <x:v>2</x:v>
      </x:c>
      <x:c r="J5181" s="6" t="n">
        <x:f>IF(OR(E5181="CANCELED",E5181="SUSPECTED_FRAUD",F5181="Shipping canceled"),0,1)</x:f>
        <x:v>1</x:v>
      </x:c>
      <x:c r="K5181" s="6" t="n">
        <x:f>IF(G5181&gt;H5181,1,0)</x:f>
        <x:v>1</x:v>
      </x:c>
      <x:c r="L5181" s="6" t="n">
        <x:f>J5181*K5181</x:f>
        <x:v>1</x:v>
      </x:c>
    </x:row>
    <x:row r="5182">
      <x:c r="A5182" s="1" t="n">
        <x:v>40766</x:v>
      </x:c>
      <x:c r="B5182" s="5" t="d">
        <x:v>2016-08-18T00:00:00.000Z</x:v>
      </x:c>
      <x:c r="C5182" s="1" t="str">
        <x:v>Standard Class</x:v>
      </x:c>
      <x:c r="D5182" s="1" t="str">
        <x:v>USCA</x:v>
      </x:c>
      <x:c r="E5182" s="1" t="str">
        <x:v>PENDING</x:v>
      </x:c>
      <x:c r="F5182" s="1" t="str">
        <x:v>Advance shipping</x:v>
      </x:c>
      <x:c r="G5182" s="6" t="n">
        <x:v>2</x:v>
      </x:c>
      <x:c r="H5182" s="6" t="n">
        <x:v>4</x:v>
      </x:c>
      <x:c r="I5182" s="6" t="n">
        <x:f>G5182-H5182</x:f>
        <x:v>-2</x:v>
      </x:c>
      <x:c r="J5182" s="6" t="n">
        <x:f>IF(OR(E5182="CANCELED",E5182="SUSPECTED_FRAUD",F5182="Shipping canceled"),0,1)</x:f>
        <x:v>1</x:v>
      </x:c>
      <x:c r="K5182" s="6" t="n">
        <x:f>IF(G5182&gt;H5182,1,0)</x:f>
        <x:v>0</x:v>
      </x:c>
      <x:c r="L5182" s="6" t="n">
        <x:f>J5182*K5182</x:f>
        <x:v>0</x:v>
      </x:c>
    </x:row>
    <x:row r="5183">
      <x:c r="A5183" s="1" t="n">
        <x:v>40774</x:v>
      </x:c>
      <x:c r="B5183" s="5" t="d">
        <x:v>2016-08-18T00:00:00.000Z</x:v>
      </x:c>
      <x:c r="C5183" s="1" t="str">
        <x:v>Standard Class</x:v>
      </x:c>
      <x:c r="D5183" s="1" t="str">
        <x:v>USCA</x:v>
      </x:c>
      <x:c r="E5183" s="1" t="str">
        <x:v>PROCESSING</x:v>
      </x:c>
      <x:c r="F5183" s="1" t="str">
        <x:v>Late delivery</x:v>
      </x:c>
      <x:c r="G5183" s="6" t="n">
        <x:v>5</x:v>
      </x:c>
      <x:c r="H5183" s="6" t="n">
        <x:v>4</x:v>
      </x:c>
      <x:c r="I5183" s="6" t="n">
        <x:f>G5183-H5183</x:f>
        <x:v>1</x:v>
      </x:c>
      <x:c r="J5183" s="6" t="n">
        <x:f>IF(OR(E5183="CANCELED",E5183="SUSPECTED_FRAUD",F5183="Shipping canceled"),0,1)</x:f>
        <x:v>1</x:v>
      </x:c>
      <x:c r="K5183" s="6" t="n">
        <x:f>IF(G5183&gt;H5183,1,0)</x:f>
        <x:v>1</x:v>
      </x:c>
      <x:c r="L5183" s="6" t="n">
        <x:f>J5183*K5183</x:f>
        <x:v>1</x:v>
      </x:c>
    </x:row>
    <x:row r="5184">
      <x:c r="A5184" s="1" t="n">
        <x:v>40776</x:v>
      </x:c>
      <x:c r="B5184" s="5" t="d">
        <x:v>2016-08-18T00:00:00.000Z</x:v>
      </x:c>
      <x:c r="C5184" s="1" t="str">
        <x:v>Standard Class</x:v>
      </x:c>
      <x:c r="D5184" s="1" t="str">
        <x:v>USCA</x:v>
      </x:c>
      <x:c r="E5184" s="1" t="str">
        <x:v>CANCELED</x:v>
      </x:c>
      <x:c r="F5184" s="1" t="str">
        <x:v>Shipping canceled</x:v>
      </x:c>
      <x:c r="G5184" s="6" t="n">
        <x:v>2</x:v>
      </x:c>
      <x:c r="H5184" s="6" t="n">
        <x:v>4</x:v>
      </x:c>
      <x:c r="I5184" s="6" t="n">
        <x:f>G5184-H5184</x:f>
        <x:v>-2</x:v>
      </x:c>
      <x:c r="J5184" s="6" t="n">
        <x:f>IF(OR(E5184="CANCELED",E5184="SUSPECTED_FRAUD",F5184="Shipping canceled"),0,1)</x:f>
        <x:v>0</x:v>
      </x:c>
      <x:c r="K5184" s="6" t="n">
        <x:f>IF(G5184&gt;H5184,1,0)</x:f>
        <x:v>0</x:v>
      </x:c>
      <x:c r="L5184" s="6" t="n">
        <x:f>J5184*K5184</x:f>
        <x:v>0</x:v>
      </x:c>
    </x:row>
    <x:row r="5185">
      <x:c r="A5185" s="1" t="n">
        <x:v>40778</x:v>
      </x:c>
      <x:c r="B5185" s="5" t="d">
        <x:v>2016-08-18T00:00:00.000Z</x:v>
      </x:c>
      <x:c r="C5185" s="1" t="str">
        <x:v>Standard Class</x:v>
      </x:c>
      <x:c r="D5185" s="1" t="str">
        <x:v>USCA</x:v>
      </x:c>
      <x:c r="E5185" s="1" t="str">
        <x:v>COMPLETE</x:v>
      </x:c>
      <x:c r="F5185" s="1" t="str">
        <x:v>Shipping on time</x:v>
      </x:c>
      <x:c r="G5185" s="6" t="n">
        <x:v>4</x:v>
      </x:c>
      <x:c r="H5185" s="6" t="n">
        <x:v>4</x:v>
      </x:c>
      <x:c r="I5185" s="6" t="n">
        <x:f>G5185-H5185</x:f>
        <x:v>0</x:v>
      </x:c>
      <x:c r="J5185" s="6" t="n">
        <x:f>IF(OR(E5185="CANCELED",E5185="SUSPECTED_FRAUD",F5185="Shipping canceled"),0,1)</x:f>
        <x:v>1</x:v>
      </x:c>
      <x:c r="K5185" s="6" t="n">
        <x:f>IF(G5185&gt;H5185,1,0)</x:f>
        <x:v>0</x:v>
      </x:c>
      <x:c r="L5185" s="6" t="n">
        <x:f>J5185*K5185</x:f>
        <x:v>0</x:v>
      </x:c>
    </x:row>
    <x:row r="5186">
      <x:c r="A5186" s="1" t="n">
        <x:v>40781</x:v>
      </x:c>
      <x:c r="B5186" s="5" t="d">
        <x:v>2016-08-18T00:00:00.000Z</x:v>
      </x:c>
      <x:c r="C5186" s="1" t="str">
        <x:v>Standard Class</x:v>
      </x:c>
      <x:c r="D5186" s="1" t="str">
        <x:v>USCA</x:v>
      </x:c>
      <x:c r="E5186" s="1" t="str">
        <x:v>ON_HOLD</x:v>
      </x:c>
      <x:c r="F5186" s="1" t="str">
        <x:v>Advance shipping</x:v>
      </x:c>
      <x:c r="G5186" s="6" t="n">
        <x:v>2</x:v>
      </x:c>
      <x:c r="H5186" s="6" t="n">
        <x:v>4</x:v>
      </x:c>
      <x:c r="I5186" s="6" t="n">
        <x:f>G5186-H5186</x:f>
        <x:v>-2</x:v>
      </x:c>
      <x:c r="J5186" s="6" t="n">
        <x:f>IF(OR(E5186="CANCELED",E5186="SUSPECTED_FRAUD",F5186="Shipping canceled"),0,1)</x:f>
        <x:v>1</x:v>
      </x:c>
      <x:c r="K5186" s="6" t="n">
        <x:f>IF(G5186&gt;H5186,1,0)</x:f>
        <x:v>0</x:v>
      </x:c>
      <x:c r="L5186" s="6" t="n">
        <x:f>J5186*K5186</x:f>
        <x:v>0</x:v>
      </x:c>
    </x:row>
    <x:row r="5187">
      <x:c r="A5187" s="1" t="n">
        <x:v>40802</x:v>
      </x:c>
      <x:c r="B5187" s="5" t="d">
        <x:v>2016-08-18T00:00:00.000Z</x:v>
      </x:c>
      <x:c r="C5187" s="1" t="str">
        <x:v>Standard Class</x:v>
      </x:c>
      <x:c r="D5187" s="1" t="str">
        <x:v>USCA</x:v>
      </x:c>
      <x:c r="E5187" s="1" t="str">
        <x:v>COMPLETE</x:v>
      </x:c>
      <x:c r="F5187" s="1" t="str">
        <x:v>Advance shipping</x:v>
      </x:c>
      <x:c r="G5187" s="6" t="n">
        <x:v>3</x:v>
      </x:c>
      <x:c r="H5187" s="6" t="n">
        <x:v>4</x:v>
      </x:c>
      <x:c r="I5187" s="6" t="n">
        <x:f>G5187-H5187</x:f>
        <x:v>-1</x:v>
      </x:c>
      <x:c r="J5187" s="6" t="n">
        <x:f>IF(OR(E5187="CANCELED",E5187="SUSPECTED_FRAUD",F5187="Shipping canceled"),0,1)</x:f>
        <x:v>1</x:v>
      </x:c>
      <x:c r="K5187" s="6" t="n">
        <x:f>IF(G5187&gt;H5187,1,0)</x:f>
        <x:v>0</x:v>
      </x:c>
      <x:c r="L5187" s="6" t="n">
        <x:f>J5187*K5187</x:f>
        <x:v>0</x:v>
      </x:c>
    </x:row>
    <x:row r="5188">
      <x:c r="A5188" s="1" t="n">
        <x:v>40830</x:v>
      </x:c>
      <x:c r="B5188" s="5" t="d">
        <x:v>2016-08-19T00:00:00.000Z</x:v>
      </x:c>
      <x:c r="C5188" s="1" t="str">
        <x:v>Standard Class</x:v>
      </x:c>
      <x:c r="D5188" s="1" t="str">
        <x:v>USCA</x:v>
      </x:c>
      <x:c r="E5188" s="1" t="str">
        <x:v>COMPLETE</x:v>
      </x:c>
      <x:c r="F5188" s="1" t="str">
        <x:v>Late delivery</x:v>
      </x:c>
      <x:c r="G5188" s="6" t="n">
        <x:v>6</x:v>
      </x:c>
      <x:c r="H5188" s="6" t="n">
        <x:v>4</x:v>
      </x:c>
      <x:c r="I5188" s="6" t="n">
        <x:f>G5188-H5188</x:f>
        <x:v>2</x:v>
      </x:c>
      <x:c r="J5188" s="6" t="n">
        <x:f>IF(OR(E5188="CANCELED",E5188="SUSPECTED_FRAUD",F5188="Shipping canceled"),0,1)</x:f>
        <x:v>1</x:v>
      </x:c>
      <x:c r="K5188" s="6" t="n">
        <x:f>IF(G5188&gt;H5188,1,0)</x:f>
        <x:v>1</x:v>
      </x:c>
      <x:c r="L5188" s="6" t="n">
        <x:f>J5188*K5188</x:f>
        <x:v>1</x:v>
      </x:c>
    </x:row>
    <x:row r="5189">
      <x:c r="A5189" s="1" t="n">
        <x:v>40870</x:v>
      </x:c>
      <x:c r="B5189" s="5" t="d">
        <x:v>2016-08-19T00:00:00.000Z</x:v>
      </x:c>
      <x:c r="C5189" s="1" t="str">
        <x:v>First Class</x:v>
      </x:c>
      <x:c r="D5189" s="1" t="str">
        <x:v>USCA</x:v>
      </x:c>
      <x:c r="E5189" s="1" t="str">
        <x:v>PENDING</x:v>
      </x:c>
      <x:c r="F5189" s="1" t="str">
        <x:v>Late delivery</x:v>
      </x:c>
      <x:c r="G5189" s="6" t="n">
        <x:v>2</x:v>
      </x:c>
      <x:c r="H5189" s="6" t="n">
        <x:v>1</x:v>
      </x:c>
      <x:c r="I5189" s="6" t="n">
        <x:f>G5189-H5189</x:f>
        <x:v>1</x:v>
      </x:c>
      <x:c r="J5189" s="6" t="n">
        <x:f>IF(OR(E5189="CANCELED",E5189="SUSPECTED_FRAUD",F5189="Shipping canceled"),0,1)</x:f>
        <x:v>1</x:v>
      </x:c>
      <x:c r="K5189" s="6" t="n">
        <x:f>IF(G5189&gt;H5189,1,0)</x:f>
        <x:v>1</x:v>
      </x:c>
      <x:c r="L5189" s="6" t="n">
        <x:f>J5189*K5189</x:f>
        <x:v>1</x:v>
      </x:c>
    </x:row>
    <x:row r="5190">
      <x:c r="A5190" s="1" t="n">
        <x:v>40874</x:v>
      </x:c>
      <x:c r="B5190" s="5" t="d">
        <x:v>2016-08-19T00:00:00.000Z</x:v>
      </x:c>
      <x:c r="C5190" s="1" t="str">
        <x:v>Standard Class</x:v>
      </x:c>
      <x:c r="D5190" s="1" t="str">
        <x:v>USCA</x:v>
      </x:c>
      <x:c r="E5190" s="1" t="str">
        <x:v>COMPLETE</x:v>
      </x:c>
      <x:c r="F5190" s="1" t="str">
        <x:v>Late delivery</x:v>
      </x:c>
      <x:c r="G5190" s="6" t="n">
        <x:v>5</x:v>
      </x:c>
      <x:c r="H5190" s="6" t="n">
        <x:v>4</x:v>
      </x:c>
      <x:c r="I5190" s="6" t="n">
        <x:f>G5190-H5190</x:f>
        <x:v>1</x:v>
      </x:c>
      <x:c r="J5190" s="6" t="n">
        <x:f>IF(OR(E5190="CANCELED",E5190="SUSPECTED_FRAUD",F5190="Shipping canceled"),0,1)</x:f>
        <x:v>1</x:v>
      </x:c>
      <x:c r="K5190" s="6" t="n">
        <x:f>IF(G5190&gt;H5190,1,0)</x:f>
        <x:v>1</x:v>
      </x:c>
      <x:c r="L5190" s="6" t="n">
        <x:f>J5190*K5190</x:f>
        <x:v>1</x:v>
      </x:c>
    </x:row>
    <x:row r="5191">
      <x:c r="A5191" s="1" t="n">
        <x:v>40880</x:v>
      </x:c>
      <x:c r="B5191" s="5" t="d">
        <x:v>2016-08-19T00:00:00.000Z</x:v>
      </x:c>
      <x:c r="C5191" s="1" t="str">
        <x:v>Standard Class</x:v>
      </x:c>
      <x:c r="D5191" s="1" t="str">
        <x:v>USCA</x:v>
      </x:c>
      <x:c r="E5191" s="1" t="str">
        <x:v>ON_HOLD</x:v>
      </x:c>
      <x:c r="F5191" s="1" t="str">
        <x:v>Late delivery</x:v>
      </x:c>
      <x:c r="G5191" s="6" t="n">
        <x:v>6</x:v>
      </x:c>
      <x:c r="H5191" s="6" t="n">
        <x:v>4</x:v>
      </x:c>
      <x:c r="I5191" s="6" t="n">
        <x:f>G5191-H5191</x:f>
        <x:v>2</x:v>
      </x:c>
      <x:c r="J5191" s="6" t="n">
        <x:f>IF(OR(E5191="CANCELED",E5191="SUSPECTED_FRAUD",F5191="Shipping canceled"),0,1)</x:f>
        <x:v>1</x:v>
      </x:c>
      <x:c r="K5191" s="6" t="n">
        <x:f>IF(G5191&gt;H5191,1,0)</x:f>
        <x:v>1</x:v>
      </x:c>
      <x:c r="L5191" s="6" t="n">
        <x:f>J5191*K5191</x:f>
        <x:v>1</x:v>
      </x:c>
    </x:row>
    <x:row r="5192">
      <x:c r="A5192" s="1" t="n">
        <x:v>40881</x:v>
      </x:c>
      <x:c r="B5192" s="5" t="d">
        <x:v>2016-08-19T00:00:00.000Z</x:v>
      </x:c>
      <x:c r="C5192" s="1" t="str">
        <x:v>Standard Class</x:v>
      </x:c>
      <x:c r="D5192" s="1" t="str">
        <x:v>USCA</x:v>
      </x:c>
      <x:c r="E5192" s="1" t="str">
        <x:v>COMPLETE</x:v>
      </x:c>
      <x:c r="F5192" s="1" t="str">
        <x:v>Advance shipping</x:v>
      </x:c>
      <x:c r="G5192" s="6" t="n">
        <x:v>2</x:v>
      </x:c>
      <x:c r="H5192" s="6" t="n">
        <x:v>4</x:v>
      </x:c>
      <x:c r="I5192" s="6" t="n">
        <x:f>G5192-H5192</x:f>
        <x:v>-2</x:v>
      </x:c>
      <x:c r="J5192" s="6" t="n">
        <x:f>IF(OR(E5192="CANCELED",E5192="SUSPECTED_FRAUD",F5192="Shipping canceled"),0,1)</x:f>
        <x:v>1</x:v>
      </x:c>
      <x:c r="K5192" s="6" t="n">
        <x:f>IF(G5192&gt;H5192,1,0)</x:f>
        <x:v>0</x:v>
      </x:c>
      <x:c r="L5192" s="6" t="n">
        <x:f>J5192*K5192</x:f>
        <x:v>0</x:v>
      </x:c>
    </x:row>
    <x:row r="5193">
      <x:c r="A5193" s="1" t="n">
        <x:v>40887</x:v>
      </x:c>
      <x:c r="B5193" s="5" t="d">
        <x:v>2016-08-19T00:00:00.000Z</x:v>
      </x:c>
      <x:c r="C5193" s="1" t="str">
        <x:v>Second Class</x:v>
      </x:c>
      <x:c r="D5193" s="1" t="str">
        <x:v>USCA</x:v>
      </x:c>
      <x:c r="E5193" s="1" t="str">
        <x:v>COMPLETE</x:v>
      </x:c>
      <x:c r="F5193" s="1" t="str">
        <x:v>Late delivery</x:v>
      </x:c>
      <x:c r="G5193" s="6" t="n">
        <x:v>3</x:v>
      </x:c>
      <x:c r="H5193" s="6" t="n">
        <x:v>2</x:v>
      </x:c>
      <x:c r="I5193" s="6" t="n">
        <x:f>G5193-H5193</x:f>
        <x:v>1</x:v>
      </x:c>
      <x:c r="J5193" s="6" t="n">
        <x:f>IF(OR(E5193="CANCELED",E5193="SUSPECTED_FRAUD",F5193="Shipping canceled"),0,1)</x:f>
        <x:v>1</x:v>
      </x:c>
      <x:c r="K5193" s="6" t="n">
        <x:f>IF(G5193&gt;H5193,1,0)</x:f>
        <x:v>1</x:v>
      </x:c>
      <x:c r="L5193" s="6" t="n">
        <x:f>J5193*K5193</x:f>
        <x:v>1</x:v>
      </x:c>
    </x:row>
    <x:row r="5194">
      <x:c r="A5194" s="1" t="n">
        <x:v>40889</x:v>
      </x:c>
      <x:c r="B5194" s="5" t="d">
        <x:v>2016-08-19T00:00:00.000Z</x:v>
      </x:c>
      <x:c r="C5194" s="1" t="str">
        <x:v>Standard Class</x:v>
      </x:c>
      <x:c r="D5194" s="1" t="str">
        <x:v>USCA</x:v>
      </x:c>
      <x:c r="E5194" s="1" t="str">
        <x:v>PENDING_PAYMENT</x:v>
      </x:c>
      <x:c r="F5194" s="1" t="str">
        <x:v>Late delivery</x:v>
      </x:c>
      <x:c r="G5194" s="6" t="n">
        <x:v>5</x:v>
      </x:c>
      <x:c r="H5194" s="6" t="n">
        <x:v>4</x:v>
      </x:c>
      <x:c r="I5194" s="6" t="n">
        <x:f>G5194-H5194</x:f>
        <x:v>1</x:v>
      </x:c>
      <x:c r="J5194" s="6" t="n">
        <x:f>IF(OR(E5194="CANCELED",E5194="SUSPECTED_FRAUD",F5194="Shipping canceled"),0,1)</x:f>
        <x:v>1</x:v>
      </x:c>
      <x:c r="K5194" s="6" t="n">
        <x:f>IF(G5194&gt;H5194,1,0)</x:f>
        <x:v>1</x:v>
      </x:c>
      <x:c r="L5194" s="6" t="n">
        <x:f>J5194*K5194</x:f>
        <x:v>1</x:v>
      </x:c>
    </x:row>
    <x:row r="5195">
      <x:c r="A5195" s="1" t="n">
        <x:v>40894</x:v>
      </x:c>
      <x:c r="B5195" s="5" t="d">
        <x:v>2016-08-19T00:00:00.000Z</x:v>
      </x:c>
      <x:c r="C5195" s="1" t="str">
        <x:v>Standard Class</x:v>
      </x:c>
      <x:c r="D5195" s="1" t="str">
        <x:v>USCA</x:v>
      </x:c>
      <x:c r="E5195" s="1" t="str">
        <x:v>PENDING_PAYMENT</x:v>
      </x:c>
      <x:c r="F5195" s="1" t="str">
        <x:v>Late delivery</x:v>
      </x:c>
      <x:c r="G5195" s="6" t="n">
        <x:v>5</x:v>
      </x:c>
      <x:c r="H5195" s="6" t="n">
        <x:v>4</x:v>
      </x:c>
      <x:c r="I5195" s="6" t="n">
        <x:f>G5195-H5195</x:f>
        <x:v>1</x:v>
      </x:c>
      <x:c r="J5195" s="6" t="n">
        <x:f>IF(OR(E5195="CANCELED",E5195="SUSPECTED_FRAUD",F5195="Shipping canceled"),0,1)</x:f>
        <x:v>1</x:v>
      </x:c>
      <x:c r="K5195" s="6" t="n">
        <x:f>IF(G5195&gt;H5195,1,0)</x:f>
        <x:v>1</x:v>
      </x:c>
      <x:c r="L5195" s="6" t="n">
        <x:f>J5195*K5195</x:f>
        <x:v>1</x:v>
      </x:c>
    </x:row>
    <x:row r="5196">
      <x:c r="A5196" s="1" t="n">
        <x:v>40900</x:v>
      </x:c>
      <x:c r="B5196" s="5" t="d">
        <x:v>2016-08-20T00:00:00.000Z</x:v>
      </x:c>
      <x:c r="C5196" s="1" t="str">
        <x:v>Standard Class</x:v>
      </x:c>
      <x:c r="D5196" s="1" t="str">
        <x:v>USCA</x:v>
      </x:c>
      <x:c r="E5196" s="1" t="str">
        <x:v>PENDING</x:v>
      </x:c>
      <x:c r="F5196" s="1" t="str">
        <x:v>Late delivery</x:v>
      </x:c>
      <x:c r="G5196" s="6" t="n">
        <x:v>6</x:v>
      </x:c>
      <x:c r="H5196" s="6" t="n">
        <x:v>4</x:v>
      </x:c>
      <x:c r="I5196" s="6" t="n">
        <x:f>G5196-H5196</x:f>
        <x:v>2</x:v>
      </x:c>
      <x:c r="J5196" s="6" t="n">
        <x:f>IF(OR(E5196="CANCELED",E5196="SUSPECTED_FRAUD",F5196="Shipping canceled"),0,1)</x:f>
        <x:v>1</x:v>
      </x:c>
      <x:c r="K5196" s="6" t="n">
        <x:f>IF(G5196&gt;H5196,1,0)</x:f>
        <x:v>1</x:v>
      </x:c>
      <x:c r="L5196" s="6" t="n">
        <x:f>J5196*K5196</x:f>
        <x:v>1</x:v>
      </x:c>
    </x:row>
    <x:row r="5197">
      <x:c r="A5197" s="1" t="n">
        <x:v>40913</x:v>
      </x:c>
      <x:c r="B5197" s="5" t="d">
        <x:v>2016-08-20T00:00:00.000Z</x:v>
      </x:c>
      <x:c r="C5197" s="1" t="str">
        <x:v>Second Class</x:v>
      </x:c>
      <x:c r="D5197" s="1" t="str">
        <x:v>USCA</x:v>
      </x:c>
      <x:c r="E5197" s="1" t="str">
        <x:v>COMPLETE</x:v>
      </x:c>
      <x:c r="F5197" s="1" t="str">
        <x:v>Late delivery</x:v>
      </x:c>
      <x:c r="G5197" s="6" t="n">
        <x:v>4</x:v>
      </x:c>
      <x:c r="H5197" s="6" t="n">
        <x:v>2</x:v>
      </x:c>
      <x:c r="I5197" s="6" t="n">
        <x:f>G5197-H5197</x:f>
        <x:v>2</x:v>
      </x:c>
      <x:c r="J5197" s="6" t="n">
        <x:f>IF(OR(E5197="CANCELED",E5197="SUSPECTED_FRAUD",F5197="Shipping canceled"),0,1)</x:f>
        <x:v>1</x:v>
      </x:c>
      <x:c r="K5197" s="6" t="n">
        <x:f>IF(G5197&gt;H5197,1,0)</x:f>
        <x:v>1</x:v>
      </x:c>
      <x:c r="L5197" s="6" t="n">
        <x:f>J5197*K5197</x:f>
        <x:v>1</x:v>
      </x:c>
    </x:row>
    <x:row r="5198">
      <x:c r="A5198" s="1" t="n">
        <x:v>40923</x:v>
      </x:c>
      <x:c r="B5198" s="5" t="d">
        <x:v>2016-08-20T00:00:00.000Z</x:v>
      </x:c>
      <x:c r="C5198" s="1" t="str">
        <x:v>Standard Class</x:v>
      </x:c>
      <x:c r="D5198" s="1" t="str">
        <x:v>USCA</x:v>
      </x:c>
      <x:c r="E5198" s="1" t="str">
        <x:v>COMPLETE</x:v>
      </x:c>
      <x:c r="F5198" s="1" t="str">
        <x:v>Shipping on time</x:v>
      </x:c>
      <x:c r="G5198" s="6" t="n">
        <x:v>4</x:v>
      </x:c>
      <x:c r="H5198" s="6" t="n">
        <x:v>4</x:v>
      </x:c>
      <x:c r="I5198" s="6" t="n">
        <x:f>G5198-H5198</x:f>
        <x:v>0</x:v>
      </x:c>
      <x:c r="J5198" s="6" t="n">
        <x:f>IF(OR(E5198="CANCELED",E5198="SUSPECTED_FRAUD",F5198="Shipping canceled"),0,1)</x:f>
        <x:v>1</x:v>
      </x:c>
      <x:c r="K5198" s="6" t="n">
        <x:f>IF(G5198&gt;H5198,1,0)</x:f>
        <x:v>0</x:v>
      </x:c>
      <x:c r="L5198" s="6" t="n">
        <x:f>J5198*K5198</x:f>
        <x:v>0</x:v>
      </x:c>
    </x:row>
    <x:row r="5199">
      <x:c r="A5199" s="1" t="n">
        <x:v>40929</x:v>
      </x:c>
      <x:c r="B5199" s="5" t="d">
        <x:v>2016-08-20T00:00:00.000Z</x:v>
      </x:c>
      <x:c r="C5199" s="1" t="str">
        <x:v>Standard Class</x:v>
      </x:c>
      <x:c r="D5199" s="1" t="str">
        <x:v>USCA</x:v>
      </x:c>
      <x:c r="E5199" s="1" t="str">
        <x:v>COMPLETE</x:v>
      </x:c>
      <x:c r="F5199" s="1" t="str">
        <x:v>Late delivery</x:v>
      </x:c>
      <x:c r="G5199" s="6" t="n">
        <x:v>5</x:v>
      </x:c>
      <x:c r="H5199" s="6" t="n">
        <x:v>4</x:v>
      </x:c>
      <x:c r="I5199" s="6" t="n">
        <x:f>G5199-H5199</x:f>
        <x:v>1</x:v>
      </x:c>
      <x:c r="J5199" s="6" t="n">
        <x:f>IF(OR(E5199="CANCELED",E5199="SUSPECTED_FRAUD",F5199="Shipping canceled"),0,1)</x:f>
        <x:v>1</x:v>
      </x:c>
      <x:c r="K5199" s="6" t="n">
        <x:f>IF(G5199&gt;H5199,1,0)</x:f>
        <x:v>1</x:v>
      </x:c>
      <x:c r="L5199" s="6" t="n">
        <x:f>J5199*K5199</x:f>
        <x:v>1</x:v>
      </x:c>
    </x:row>
    <x:row r="5200">
      <x:c r="A5200" s="1" t="n">
        <x:v>40934</x:v>
      </x:c>
      <x:c r="B5200" s="5" t="d">
        <x:v>2016-08-20T00:00:00.000Z</x:v>
      </x:c>
      <x:c r="C5200" s="1" t="str">
        <x:v>First Class</x:v>
      </x:c>
      <x:c r="D5200" s="1" t="str">
        <x:v>USCA</x:v>
      </x:c>
      <x:c r="E5200" s="1" t="str">
        <x:v>CLOSED</x:v>
      </x:c>
      <x:c r="F5200" s="1" t="str">
        <x:v>Late delivery</x:v>
      </x:c>
      <x:c r="G5200" s="6" t="n">
        <x:v>2</x:v>
      </x:c>
      <x:c r="H5200" s="6" t="n">
        <x:v>1</x:v>
      </x:c>
      <x:c r="I5200" s="6" t="n">
        <x:f>G5200-H5200</x:f>
        <x:v>1</x:v>
      </x:c>
      <x:c r="J5200" s="6" t="n">
        <x:f>IF(OR(E5200="CANCELED",E5200="SUSPECTED_FRAUD",F5200="Shipping canceled"),0,1)</x:f>
        <x:v>1</x:v>
      </x:c>
      <x:c r="K5200" s="6" t="n">
        <x:f>IF(G5200&gt;H5200,1,0)</x:f>
        <x:v>1</x:v>
      </x:c>
      <x:c r="L5200" s="6" t="n">
        <x:f>J5200*K5200</x:f>
        <x:v>1</x:v>
      </x:c>
    </x:row>
    <x:row r="5201">
      <x:c r="A5201" s="1" t="n">
        <x:v>40941</x:v>
      </x:c>
      <x:c r="B5201" s="5" t="d">
        <x:v>2016-08-20T00:00:00.000Z</x:v>
      </x:c>
      <x:c r="C5201" s="1" t="str">
        <x:v>Second Class</x:v>
      </x:c>
      <x:c r="D5201" s="1" t="str">
        <x:v>USCA</x:v>
      </x:c>
      <x:c r="E5201" s="1" t="str">
        <x:v>COMPLETE</x:v>
      </x:c>
      <x:c r="F5201" s="1" t="str">
        <x:v>Shipping on time</x:v>
      </x:c>
      <x:c r="G5201" s="6" t="n">
        <x:v>2</x:v>
      </x:c>
      <x:c r="H5201" s="6" t="n">
        <x:v>2</x:v>
      </x:c>
      <x:c r="I5201" s="6" t="n">
        <x:f>G5201-H5201</x:f>
        <x:v>0</x:v>
      </x:c>
      <x:c r="J5201" s="6" t="n">
        <x:f>IF(OR(E5201="CANCELED",E5201="SUSPECTED_FRAUD",F5201="Shipping canceled"),0,1)</x:f>
        <x:v>1</x:v>
      </x:c>
      <x:c r="K5201" s="6" t="n">
        <x:f>IF(G5201&gt;H5201,1,0)</x:f>
        <x:v>0</x:v>
      </x:c>
      <x:c r="L5201" s="6" t="n">
        <x:f>J5201*K5201</x:f>
        <x:v>0</x:v>
      </x:c>
    </x:row>
    <x:row r="5202">
      <x:c r="A5202" s="1" t="n">
        <x:v>40946</x:v>
      </x:c>
      <x:c r="B5202" s="5" t="d">
        <x:v>2016-08-20T00:00:00.000Z</x:v>
      </x:c>
      <x:c r="C5202" s="1" t="str">
        <x:v>Standard Class</x:v>
      </x:c>
      <x:c r="D5202" s="1" t="str">
        <x:v>USCA</x:v>
      </x:c>
      <x:c r="E5202" s="1" t="str">
        <x:v>PROCESSING</x:v>
      </x:c>
      <x:c r="F5202" s="1" t="str">
        <x:v>Advance shipping</x:v>
      </x:c>
      <x:c r="G5202" s="6" t="n">
        <x:v>2</x:v>
      </x:c>
      <x:c r="H5202" s="6" t="n">
        <x:v>4</x:v>
      </x:c>
      <x:c r="I5202" s="6" t="n">
        <x:f>G5202-H5202</x:f>
        <x:v>-2</x:v>
      </x:c>
      <x:c r="J5202" s="6" t="n">
        <x:f>IF(OR(E5202="CANCELED",E5202="SUSPECTED_FRAUD",F5202="Shipping canceled"),0,1)</x:f>
        <x:v>1</x:v>
      </x:c>
      <x:c r="K5202" s="6" t="n">
        <x:f>IF(G5202&gt;H5202,1,0)</x:f>
        <x:v>0</x:v>
      </x:c>
      <x:c r="L5202" s="6" t="n">
        <x:f>J5202*K5202</x:f>
        <x:v>0</x:v>
      </x:c>
    </x:row>
    <x:row r="5203">
      <x:c r="A5203" s="1" t="n">
        <x:v>40949</x:v>
      </x:c>
      <x:c r="B5203" s="5" t="d">
        <x:v>2016-08-20T00:00:00.000Z</x:v>
      </x:c>
      <x:c r="C5203" s="1" t="str">
        <x:v>Standard Class</x:v>
      </x:c>
      <x:c r="D5203" s="1" t="str">
        <x:v>USCA</x:v>
      </x:c>
      <x:c r="E5203" s="1" t="str">
        <x:v>PENDING</x:v>
      </x:c>
      <x:c r="F5203" s="1" t="str">
        <x:v>Late delivery</x:v>
      </x:c>
      <x:c r="G5203" s="6" t="n">
        <x:v>5</x:v>
      </x:c>
      <x:c r="H5203" s="6" t="n">
        <x:v>4</x:v>
      </x:c>
      <x:c r="I5203" s="6" t="n">
        <x:f>G5203-H5203</x:f>
        <x:v>1</x:v>
      </x:c>
      <x:c r="J5203" s="6" t="n">
        <x:f>IF(OR(E5203="CANCELED",E5203="SUSPECTED_FRAUD",F5203="Shipping canceled"),0,1)</x:f>
        <x:v>1</x:v>
      </x:c>
      <x:c r="K5203" s="6" t="n">
        <x:f>IF(G5203&gt;H5203,1,0)</x:f>
        <x:v>1</x:v>
      </x:c>
      <x:c r="L5203" s="6" t="n">
        <x:f>J5203*K5203</x:f>
        <x:v>1</x:v>
      </x:c>
    </x:row>
    <x:row r="5204">
      <x:c r="A5204" s="1" t="n">
        <x:v>40951</x:v>
      </x:c>
      <x:c r="B5204" s="5" t="d">
        <x:v>2016-08-20T00:00:00.000Z</x:v>
      </x:c>
      <x:c r="C5204" s="1" t="str">
        <x:v>Standard Class</x:v>
      </x:c>
      <x:c r="D5204" s="1" t="str">
        <x:v>USCA</x:v>
      </x:c>
      <x:c r="E5204" s="1" t="str">
        <x:v>PENDING</x:v>
      </x:c>
      <x:c r="F5204" s="1" t="str">
        <x:v>Advance shipping</x:v>
      </x:c>
      <x:c r="G5204" s="6" t="n">
        <x:v>2</x:v>
      </x:c>
      <x:c r="H5204" s="6" t="n">
        <x:v>4</x:v>
      </x:c>
      <x:c r="I5204" s="6" t="n">
        <x:f>G5204-H5204</x:f>
        <x:v>-2</x:v>
      </x:c>
      <x:c r="J5204" s="6" t="n">
        <x:f>IF(OR(E5204="CANCELED",E5204="SUSPECTED_FRAUD",F5204="Shipping canceled"),0,1)</x:f>
        <x:v>1</x:v>
      </x:c>
      <x:c r="K5204" s="6" t="n">
        <x:f>IF(G5204&gt;H5204,1,0)</x:f>
        <x:v>0</x:v>
      </x:c>
      <x:c r="L5204" s="6" t="n">
        <x:f>J5204*K5204</x:f>
        <x:v>0</x:v>
      </x:c>
    </x:row>
    <x:row r="5205">
      <x:c r="A5205" s="1" t="n">
        <x:v>40959</x:v>
      </x:c>
      <x:c r="B5205" s="5" t="d">
        <x:v>2016-08-20T00:00:00.000Z</x:v>
      </x:c>
      <x:c r="C5205" s="1" t="str">
        <x:v>Standard Class</x:v>
      </x:c>
      <x:c r="D5205" s="1" t="str">
        <x:v>USCA</x:v>
      </x:c>
      <x:c r="E5205" s="1" t="str">
        <x:v>COMPLETE</x:v>
      </x:c>
      <x:c r="F5205" s="1" t="str">
        <x:v>Late delivery</x:v>
      </x:c>
      <x:c r="G5205" s="6" t="n">
        <x:v>5</x:v>
      </x:c>
      <x:c r="H5205" s="6" t="n">
        <x:v>4</x:v>
      </x:c>
      <x:c r="I5205" s="6" t="n">
        <x:f>G5205-H5205</x:f>
        <x:v>1</x:v>
      </x:c>
      <x:c r="J5205" s="6" t="n">
        <x:f>IF(OR(E5205="CANCELED",E5205="SUSPECTED_FRAUD",F5205="Shipping canceled"),0,1)</x:f>
        <x:v>1</x:v>
      </x:c>
      <x:c r="K5205" s="6" t="n">
        <x:f>IF(G5205&gt;H5205,1,0)</x:f>
        <x:v>1</x:v>
      </x:c>
      <x:c r="L5205" s="6" t="n">
        <x:f>J5205*K5205</x:f>
        <x:v>1</x:v>
      </x:c>
    </x:row>
    <x:row r="5206">
      <x:c r="A5206" s="1" t="n">
        <x:v>40983</x:v>
      </x:c>
      <x:c r="B5206" s="5" t="d">
        <x:v>2016-08-21T00:00:00.000Z</x:v>
      </x:c>
      <x:c r="C5206" s="1" t="str">
        <x:v>Standard Class</x:v>
      </x:c>
      <x:c r="D5206" s="1" t="str">
        <x:v>USCA</x:v>
      </x:c>
      <x:c r="E5206" s="1" t="str">
        <x:v>PENDING</x:v>
      </x:c>
      <x:c r="F5206" s="1" t="str">
        <x:v>Shipping on time</x:v>
      </x:c>
      <x:c r="G5206" s="6" t="n">
        <x:v>4</x:v>
      </x:c>
      <x:c r="H5206" s="6" t="n">
        <x:v>4</x:v>
      </x:c>
      <x:c r="I5206" s="6" t="n">
        <x:f>G5206-H5206</x:f>
        <x:v>0</x:v>
      </x:c>
      <x:c r="J5206" s="6" t="n">
        <x:f>IF(OR(E5206="CANCELED",E5206="SUSPECTED_FRAUD",F5206="Shipping canceled"),0,1)</x:f>
        <x:v>1</x:v>
      </x:c>
      <x:c r="K5206" s="6" t="n">
        <x:f>IF(G5206&gt;H5206,1,0)</x:f>
        <x:v>0</x:v>
      </x:c>
      <x:c r="L5206" s="6" t="n">
        <x:f>J5206*K5206</x:f>
        <x:v>0</x:v>
      </x:c>
    </x:row>
    <x:row r="5207">
      <x:c r="A5207" s="1" t="n">
        <x:v>40991</x:v>
      </x:c>
      <x:c r="B5207" s="5" t="d">
        <x:v>2016-08-21T00:00:00.000Z</x:v>
      </x:c>
      <x:c r="C5207" s="1" t="str">
        <x:v>Standard Class</x:v>
      </x:c>
      <x:c r="D5207" s="1" t="str">
        <x:v>USCA</x:v>
      </x:c>
      <x:c r="E5207" s="1" t="str">
        <x:v>COMPLETE</x:v>
      </x:c>
      <x:c r="F5207" s="1" t="str">
        <x:v>Advance shipping</x:v>
      </x:c>
      <x:c r="G5207" s="6" t="n">
        <x:v>2</x:v>
      </x:c>
      <x:c r="H5207" s="6" t="n">
        <x:v>4</x:v>
      </x:c>
      <x:c r="I5207" s="6" t="n">
        <x:f>G5207-H5207</x:f>
        <x:v>-2</x:v>
      </x:c>
      <x:c r="J5207" s="6" t="n">
        <x:f>IF(OR(E5207="CANCELED",E5207="SUSPECTED_FRAUD",F5207="Shipping canceled"),0,1)</x:f>
        <x:v>1</x:v>
      </x:c>
      <x:c r="K5207" s="6" t="n">
        <x:f>IF(G5207&gt;H5207,1,0)</x:f>
        <x:v>0</x:v>
      </x:c>
      <x:c r="L5207" s="6" t="n">
        <x:f>J5207*K5207</x:f>
        <x:v>0</x:v>
      </x:c>
    </x:row>
    <x:row r="5208">
      <x:c r="A5208" s="1" t="n">
        <x:v>40995</x:v>
      </x:c>
      <x:c r="B5208" s="5" t="d">
        <x:v>2016-08-21T00:00:00.000Z</x:v>
      </x:c>
      <x:c r="C5208" s="1" t="str">
        <x:v>Standard Class</x:v>
      </x:c>
      <x:c r="D5208" s="1" t="str">
        <x:v>USCA</x:v>
      </x:c>
      <x:c r="E5208" s="1" t="str">
        <x:v>PENDING_PAYMENT</x:v>
      </x:c>
      <x:c r="F5208" s="1" t="str">
        <x:v>Late delivery</x:v>
      </x:c>
      <x:c r="G5208" s="6" t="n">
        <x:v>6</x:v>
      </x:c>
      <x:c r="H5208" s="6" t="n">
        <x:v>4</x:v>
      </x:c>
      <x:c r="I5208" s="6" t="n">
        <x:f>G5208-H5208</x:f>
        <x:v>2</x:v>
      </x:c>
      <x:c r="J5208" s="6" t="n">
        <x:f>IF(OR(E5208="CANCELED",E5208="SUSPECTED_FRAUD",F5208="Shipping canceled"),0,1)</x:f>
        <x:v>1</x:v>
      </x:c>
      <x:c r="K5208" s="6" t="n">
        <x:f>IF(G5208&gt;H5208,1,0)</x:f>
        <x:v>1</x:v>
      </x:c>
      <x:c r="L5208" s="6" t="n">
        <x:f>J5208*K5208</x:f>
        <x:v>1</x:v>
      </x:c>
    </x:row>
    <x:row r="5209">
      <x:c r="A5209" s="1" t="n">
        <x:v>41005</x:v>
      </x:c>
      <x:c r="B5209" s="5" t="d">
        <x:v>2016-08-21T00:00:00.000Z</x:v>
      </x:c>
      <x:c r="C5209" s="1" t="str">
        <x:v>Standard Class</x:v>
      </x:c>
      <x:c r="D5209" s="1" t="str">
        <x:v>USCA</x:v>
      </x:c>
      <x:c r="E5209" s="1" t="str">
        <x:v>COMPLETE</x:v>
      </x:c>
      <x:c r="F5209" s="1" t="str">
        <x:v>Late delivery</x:v>
      </x:c>
      <x:c r="G5209" s="6" t="n">
        <x:v>6</x:v>
      </x:c>
      <x:c r="H5209" s="6" t="n">
        <x:v>4</x:v>
      </x:c>
      <x:c r="I5209" s="6" t="n">
        <x:f>G5209-H5209</x:f>
        <x:v>2</x:v>
      </x:c>
      <x:c r="J5209" s="6" t="n">
        <x:f>IF(OR(E5209="CANCELED",E5209="SUSPECTED_FRAUD",F5209="Shipping canceled"),0,1)</x:f>
        <x:v>1</x:v>
      </x:c>
      <x:c r="K5209" s="6" t="n">
        <x:f>IF(G5209&gt;H5209,1,0)</x:f>
        <x:v>1</x:v>
      </x:c>
      <x:c r="L5209" s="6" t="n">
        <x:f>J5209*K5209</x:f>
        <x:v>1</x:v>
      </x:c>
    </x:row>
    <x:row r="5210">
      <x:c r="A5210" s="1" t="n">
        <x:v>41014</x:v>
      </x:c>
      <x:c r="B5210" s="5" t="d">
        <x:v>2016-08-21T00:00:00.000Z</x:v>
      </x:c>
      <x:c r="C5210" s="1" t="str">
        <x:v>Standard Class</x:v>
      </x:c>
      <x:c r="D5210" s="1" t="str">
        <x:v>USCA</x:v>
      </x:c>
      <x:c r="E5210" s="1" t="str">
        <x:v>COMPLETE</x:v>
      </x:c>
      <x:c r="F5210" s="1" t="str">
        <x:v>Late delivery</x:v>
      </x:c>
      <x:c r="G5210" s="6" t="n">
        <x:v>5</x:v>
      </x:c>
      <x:c r="H5210" s="6" t="n">
        <x:v>4</x:v>
      </x:c>
      <x:c r="I5210" s="6" t="n">
        <x:f>G5210-H5210</x:f>
        <x:v>1</x:v>
      </x:c>
      <x:c r="J5210" s="6" t="n">
        <x:f>IF(OR(E5210="CANCELED",E5210="SUSPECTED_FRAUD",F5210="Shipping canceled"),0,1)</x:f>
        <x:v>1</x:v>
      </x:c>
      <x:c r="K5210" s="6" t="n">
        <x:f>IF(G5210&gt;H5210,1,0)</x:f>
        <x:v>1</x:v>
      </x:c>
      <x:c r="L5210" s="6" t="n">
        <x:f>J5210*K5210</x:f>
        <x:v>1</x:v>
      </x:c>
    </x:row>
    <x:row r="5211">
      <x:c r="A5211" s="1" t="n">
        <x:v>41040</x:v>
      </x:c>
      <x:c r="B5211" s="5" t="d">
        <x:v>2016-08-22T00:00:00.000Z</x:v>
      </x:c>
      <x:c r="C5211" s="1" t="str">
        <x:v>Same Day</x:v>
      </x:c>
      <x:c r="D5211" s="1" t="str">
        <x:v>USCA</x:v>
      </x:c>
      <x:c r="E5211" s="1" t="str">
        <x:v>CLOSED</x:v>
      </x:c>
      <x:c r="F5211" s="1" t="str">
        <x:v>Shipping on time</x:v>
      </x:c>
      <x:c r="G5211" s="6" t="n">
        <x:v>0</x:v>
      </x:c>
      <x:c r="H5211" s="6" t="n">
        <x:v>0</x:v>
      </x:c>
      <x:c r="I5211" s="6" t="n">
        <x:f>G5211-H5211</x:f>
        <x:v>0</x:v>
      </x:c>
      <x:c r="J5211" s="6" t="n">
        <x:f>IF(OR(E5211="CANCELED",E5211="SUSPECTED_FRAUD",F5211="Shipping canceled"),0,1)</x:f>
        <x:v>1</x:v>
      </x:c>
      <x:c r="K5211" s="6" t="n">
        <x:f>IF(G5211&gt;H5211,1,0)</x:f>
        <x:v>0</x:v>
      </x:c>
      <x:c r="L5211" s="6" t="n">
        <x:f>J5211*K5211</x:f>
        <x:v>0</x:v>
      </x:c>
    </x:row>
    <x:row r="5212">
      <x:c r="A5212" s="1" t="n">
        <x:v>41055</x:v>
      </x:c>
      <x:c r="B5212" s="5" t="d">
        <x:v>2016-08-22T00:00:00.000Z</x:v>
      </x:c>
      <x:c r="C5212" s="1" t="str">
        <x:v>Second Class</x:v>
      </x:c>
      <x:c r="D5212" s="1" t="str">
        <x:v>USCA</x:v>
      </x:c>
      <x:c r="E5212" s="1" t="str">
        <x:v>COMPLETE</x:v>
      </x:c>
      <x:c r="F5212" s="1" t="str">
        <x:v>Late delivery</x:v>
      </x:c>
      <x:c r="G5212" s="6" t="n">
        <x:v>6</x:v>
      </x:c>
      <x:c r="H5212" s="6" t="n">
        <x:v>2</x:v>
      </x:c>
      <x:c r="I5212" s="6" t="n">
        <x:f>G5212-H5212</x:f>
        <x:v>4</x:v>
      </x:c>
      <x:c r="J5212" s="6" t="n">
        <x:f>IF(OR(E5212="CANCELED",E5212="SUSPECTED_FRAUD",F5212="Shipping canceled"),0,1)</x:f>
        <x:v>1</x:v>
      </x:c>
      <x:c r="K5212" s="6" t="n">
        <x:f>IF(G5212&gt;H5212,1,0)</x:f>
        <x:v>1</x:v>
      </x:c>
      <x:c r="L5212" s="6" t="n">
        <x:f>J5212*K5212</x:f>
        <x:v>1</x:v>
      </x:c>
    </x:row>
    <x:row r="5213">
      <x:c r="A5213" s="1" t="n">
        <x:v>41070</x:v>
      </x:c>
      <x:c r="B5213" s="5" t="d">
        <x:v>2016-08-22T00:00:00.000Z</x:v>
      </x:c>
      <x:c r="C5213" s="1" t="str">
        <x:v>Standard Class</x:v>
      </x:c>
      <x:c r="D5213" s="1" t="str">
        <x:v>USCA</x:v>
      </x:c>
      <x:c r="E5213" s="1" t="str">
        <x:v>COMPLETE</x:v>
      </x:c>
      <x:c r="F5213" s="1" t="str">
        <x:v>Late delivery</x:v>
      </x:c>
      <x:c r="G5213" s="6" t="n">
        <x:v>6</x:v>
      </x:c>
      <x:c r="H5213" s="6" t="n">
        <x:v>4</x:v>
      </x:c>
      <x:c r="I5213" s="6" t="n">
        <x:f>G5213-H5213</x:f>
        <x:v>2</x:v>
      </x:c>
      <x:c r="J5213" s="6" t="n">
        <x:f>IF(OR(E5213="CANCELED",E5213="SUSPECTED_FRAUD",F5213="Shipping canceled"),0,1)</x:f>
        <x:v>1</x:v>
      </x:c>
      <x:c r="K5213" s="6" t="n">
        <x:f>IF(G5213&gt;H5213,1,0)</x:f>
        <x:v>1</x:v>
      </x:c>
      <x:c r="L5213" s="6" t="n">
        <x:f>J5213*K5213</x:f>
        <x:v>1</x:v>
      </x:c>
    </x:row>
    <x:row r="5214">
      <x:c r="A5214" s="1" t="n">
        <x:v>41103</x:v>
      </x:c>
      <x:c r="B5214" s="5" t="d">
        <x:v>2016-08-22T00:00:00.000Z</x:v>
      </x:c>
      <x:c r="C5214" s="1" t="str">
        <x:v>Standard Class</x:v>
      </x:c>
      <x:c r="D5214" s="1" t="str">
        <x:v>USCA</x:v>
      </x:c>
      <x:c r="E5214" s="1" t="str">
        <x:v>COMPLETE</x:v>
      </x:c>
      <x:c r="F5214" s="1" t="str">
        <x:v>Shipping on time</x:v>
      </x:c>
      <x:c r="G5214" s="6" t="n">
        <x:v>4</x:v>
      </x:c>
      <x:c r="H5214" s="6" t="n">
        <x:v>4</x:v>
      </x:c>
      <x:c r="I5214" s="6" t="n">
        <x:f>G5214-H5214</x:f>
        <x:v>0</x:v>
      </x:c>
      <x:c r="J5214" s="6" t="n">
        <x:f>IF(OR(E5214="CANCELED",E5214="SUSPECTED_FRAUD",F5214="Shipping canceled"),0,1)</x:f>
        <x:v>1</x:v>
      </x:c>
      <x:c r="K5214" s="6" t="n">
        <x:f>IF(G5214&gt;H5214,1,0)</x:f>
        <x:v>0</x:v>
      </x:c>
      <x:c r="L5214" s="6" t="n">
        <x:f>J5214*K5214</x:f>
        <x:v>0</x:v>
      </x:c>
    </x:row>
    <x:row r="5215">
      <x:c r="A5215" s="1" t="n">
        <x:v>41104</x:v>
      </x:c>
      <x:c r="B5215" s="5" t="d">
        <x:v>2016-08-23T00:00:00.000Z</x:v>
      </x:c>
      <x:c r="C5215" s="1" t="str">
        <x:v>Standard Class</x:v>
      </x:c>
      <x:c r="D5215" s="1" t="str">
        <x:v>USCA</x:v>
      </x:c>
      <x:c r="E5215" s="1" t="str">
        <x:v>COMPLETE</x:v>
      </x:c>
      <x:c r="F5215" s="1" t="str">
        <x:v>Late delivery</x:v>
      </x:c>
      <x:c r="G5215" s="6" t="n">
        <x:v>5</x:v>
      </x:c>
      <x:c r="H5215" s="6" t="n">
        <x:v>4</x:v>
      </x:c>
      <x:c r="I5215" s="6" t="n">
        <x:f>G5215-H5215</x:f>
        <x:v>1</x:v>
      </x:c>
      <x:c r="J5215" s="6" t="n">
        <x:f>IF(OR(E5215="CANCELED",E5215="SUSPECTED_FRAUD",F5215="Shipping canceled"),0,1)</x:f>
        <x:v>1</x:v>
      </x:c>
      <x:c r="K5215" s="6" t="n">
        <x:f>IF(G5215&gt;H5215,1,0)</x:f>
        <x:v>1</x:v>
      </x:c>
      <x:c r="L5215" s="6" t="n">
        <x:f>J5215*K5215</x:f>
        <x:v>1</x:v>
      </x:c>
    </x:row>
    <x:row r="5216">
      <x:c r="A5216" s="1" t="n">
        <x:v>41142</x:v>
      </x:c>
      <x:c r="B5216" s="5" t="d">
        <x:v>2016-08-23T00:00:00.000Z</x:v>
      </x:c>
      <x:c r="C5216" s="1" t="str">
        <x:v>Standard Class</x:v>
      </x:c>
      <x:c r="D5216" s="1" t="str">
        <x:v>USCA</x:v>
      </x:c>
      <x:c r="E5216" s="1" t="str">
        <x:v>CANCELED</x:v>
      </x:c>
      <x:c r="F5216" s="1" t="str">
        <x:v>Shipping canceled</x:v>
      </x:c>
      <x:c r="G5216" s="6" t="n">
        <x:v>3</x:v>
      </x:c>
      <x:c r="H5216" s="6" t="n">
        <x:v>4</x:v>
      </x:c>
      <x:c r="I5216" s="6" t="n">
        <x:f>G5216-H5216</x:f>
        <x:v>-1</x:v>
      </x:c>
      <x:c r="J5216" s="6" t="n">
        <x:f>IF(OR(E5216="CANCELED",E5216="SUSPECTED_FRAUD",F5216="Shipping canceled"),0,1)</x:f>
        <x:v>0</x:v>
      </x:c>
      <x:c r="K5216" s="6" t="n">
        <x:f>IF(G5216&gt;H5216,1,0)</x:f>
        <x:v>0</x:v>
      </x:c>
      <x:c r="L5216" s="6" t="n">
        <x:f>J5216*K5216</x:f>
        <x:v>0</x:v>
      </x:c>
    </x:row>
    <x:row r="5217">
      <x:c r="A5217" s="1" t="n">
        <x:v>41143</x:v>
      </x:c>
      <x:c r="B5217" s="5" t="d">
        <x:v>2016-08-23T00:00:00.000Z</x:v>
      </x:c>
      <x:c r="C5217" s="1" t="str">
        <x:v>Standard Class</x:v>
      </x:c>
      <x:c r="D5217" s="1" t="str">
        <x:v>USCA</x:v>
      </x:c>
      <x:c r="E5217" s="1" t="str">
        <x:v>COMPLETE</x:v>
      </x:c>
      <x:c r="F5217" s="1" t="str">
        <x:v>Shipping on time</x:v>
      </x:c>
      <x:c r="G5217" s="6" t="n">
        <x:v>4</x:v>
      </x:c>
      <x:c r="H5217" s="6" t="n">
        <x:v>4</x:v>
      </x:c>
      <x:c r="I5217" s="6" t="n">
        <x:f>G5217-H5217</x:f>
        <x:v>0</x:v>
      </x:c>
      <x:c r="J5217" s="6" t="n">
        <x:f>IF(OR(E5217="CANCELED",E5217="SUSPECTED_FRAUD",F5217="Shipping canceled"),0,1)</x:f>
        <x:v>1</x:v>
      </x:c>
      <x:c r="K5217" s="6" t="n">
        <x:f>IF(G5217&gt;H5217,1,0)</x:f>
        <x:v>0</x:v>
      </x:c>
      <x:c r="L5217" s="6" t="n">
        <x:f>J5217*K5217</x:f>
        <x:v>0</x:v>
      </x:c>
    </x:row>
    <x:row r="5218">
      <x:c r="A5218" s="1" t="n">
        <x:v>41145</x:v>
      </x:c>
      <x:c r="B5218" s="5" t="d">
        <x:v>2016-08-23T00:00:00.000Z</x:v>
      </x:c>
      <x:c r="C5218" s="1" t="str">
        <x:v>Standard Class</x:v>
      </x:c>
      <x:c r="D5218" s="1" t="str">
        <x:v>USCA</x:v>
      </x:c>
      <x:c r="E5218" s="1" t="str">
        <x:v>ON_HOLD</x:v>
      </x:c>
      <x:c r="F5218" s="1" t="str">
        <x:v>Late delivery</x:v>
      </x:c>
      <x:c r="G5218" s="6" t="n">
        <x:v>6</x:v>
      </x:c>
      <x:c r="H5218" s="6" t="n">
        <x:v>4</x:v>
      </x:c>
      <x:c r="I5218" s="6" t="n">
        <x:f>G5218-H5218</x:f>
        <x:v>2</x:v>
      </x:c>
      <x:c r="J5218" s="6" t="n">
        <x:f>IF(OR(E5218="CANCELED",E5218="SUSPECTED_FRAUD",F5218="Shipping canceled"),0,1)</x:f>
        <x:v>1</x:v>
      </x:c>
      <x:c r="K5218" s="6" t="n">
        <x:f>IF(G5218&gt;H5218,1,0)</x:f>
        <x:v>1</x:v>
      </x:c>
      <x:c r="L5218" s="6" t="n">
        <x:f>J5218*K5218</x:f>
        <x:v>1</x:v>
      </x:c>
    </x:row>
    <x:row r="5219">
      <x:c r="A5219" s="1" t="n">
        <x:v>41183</x:v>
      </x:c>
      <x:c r="B5219" s="5" t="d">
        <x:v>2016-08-24T00:00:00.000Z</x:v>
      </x:c>
      <x:c r="C5219" s="1" t="str">
        <x:v>Standard Class</x:v>
      </x:c>
      <x:c r="D5219" s="1" t="str">
        <x:v>USCA</x:v>
      </x:c>
      <x:c r="E5219" s="1" t="str">
        <x:v>PENDING_PAYMENT</x:v>
      </x:c>
      <x:c r="F5219" s="1" t="str">
        <x:v>Shipping on time</x:v>
      </x:c>
      <x:c r="G5219" s="6" t="n">
        <x:v>4</x:v>
      </x:c>
      <x:c r="H5219" s="6" t="n">
        <x:v>4</x:v>
      </x:c>
      <x:c r="I5219" s="6" t="n">
        <x:f>G5219-H5219</x:f>
        <x:v>0</x:v>
      </x:c>
      <x:c r="J5219" s="6" t="n">
        <x:f>IF(OR(E5219="CANCELED",E5219="SUSPECTED_FRAUD",F5219="Shipping canceled"),0,1)</x:f>
        <x:v>1</x:v>
      </x:c>
      <x:c r="K5219" s="6" t="n">
        <x:f>IF(G5219&gt;H5219,1,0)</x:f>
        <x:v>0</x:v>
      </x:c>
      <x:c r="L5219" s="6" t="n">
        <x:f>J5219*K5219</x:f>
        <x:v>0</x:v>
      </x:c>
    </x:row>
    <x:row r="5220">
      <x:c r="A5220" s="1" t="n">
        <x:v>41184</x:v>
      </x:c>
      <x:c r="B5220" s="5" t="d">
        <x:v>2016-08-24T00:00:00.000Z</x:v>
      </x:c>
      <x:c r="C5220" s="1" t="str">
        <x:v>Standard Class</x:v>
      </x:c>
      <x:c r="D5220" s="1" t="str">
        <x:v>USCA</x:v>
      </x:c>
      <x:c r="E5220" s="1" t="str">
        <x:v>COMPLETE</x:v>
      </x:c>
      <x:c r="F5220" s="1" t="str">
        <x:v>Late delivery</x:v>
      </x:c>
      <x:c r="G5220" s="6" t="n">
        <x:v>5</x:v>
      </x:c>
      <x:c r="H5220" s="6" t="n">
        <x:v>4</x:v>
      </x:c>
      <x:c r="I5220" s="6" t="n">
        <x:f>G5220-H5220</x:f>
        <x:v>1</x:v>
      </x:c>
      <x:c r="J5220" s="6" t="n">
        <x:f>IF(OR(E5220="CANCELED",E5220="SUSPECTED_FRAUD",F5220="Shipping canceled"),0,1)</x:f>
        <x:v>1</x:v>
      </x:c>
      <x:c r="K5220" s="6" t="n">
        <x:f>IF(G5220&gt;H5220,1,0)</x:f>
        <x:v>1</x:v>
      </x:c>
      <x:c r="L5220" s="6" t="n">
        <x:f>J5220*K5220</x:f>
        <x:v>1</x:v>
      </x:c>
    </x:row>
    <x:row r="5221">
      <x:c r="A5221" s="1" t="n">
        <x:v>41185</x:v>
      </x:c>
      <x:c r="B5221" s="5" t="d">
        <x:v>2016-08-24T00:00:00.000Z</x:v>
      </x:c>
      <x:c r="C5221" s="1" t="str">
        <x:v>Standard Class</x:v>
      </x:c>
      <x:c r="D5221" s="1" t="str">
        <x:v>USCA</x:v>
      </x:c>
      <x:c r="E5221" s="1" t="str">
        <x:v>COMPLETE</x:v>
      </x:c>
      <x:c r="F5221" s="1" t="str">
        <x:v>Late delivery</x:v>
      </x:c>
      <x:c r="G5221" s="6" t="n">
        <x:v>6</x:v>
      </x:c>
      <x:c r="H5221" s="6" t="n">
        <x:v>4</x:v>
      </x:c>
      <x:c r="I5221" s="6" t="n">
        <x:f>G5221-H5221</x:f>
        <x:v>2</x:v>
      </x:c>
      <x:c r="J5221" s="6" t="n">
        <x:f>IF(OR(E5221="CANCELED",E5221="SUSPECTED_FRAUD",F5221="Shipping canceled"),0,1)</x:f>
        <x:v>1</x:v>
      </x:c>
      <x:c r="K5221" s="6" t="n">
        <x:f>IF(G5221&gt;H5221,1,0)</x:f>
        <x:v>1</x:v>
      </x:c>
      <x:c r="L5221" s="6" t="n">
        <x:f>J5221*K5221</x:f>
        <x:v>1</x:v>
      </x:c>
    </x:row>
    <x:row r="5222">
      <x:c r="A5222" s="1" t="n">
        <x:v>41206</x:v>
      </x:c>
      <x:c r="B5222" s="5" t="d">
        <x:v>2016-08-24T00:00:00.000Z</x:v>
      </x:c>
      <x:c r="C5222" s="1" t="str">
        <x:v>Standard Class</x:v>
      </x:c>
      <x:c r="D5222" s="1" t="str">
        <x:v>USCA</x:v>
      </x:c>
      <x:c r="E5222" s="1" t="str">
        <x:v>PENDING</x:v>
      </x:c>
      <x:c r="F5222" s="1" t="str">
        <x:v>Advance shipping</x:v>
      </x:c>
      <x:c r="G5222" s="6" t="n">
        <x:v>2</x:v>
      </x:c>
      <x:c r="H5222" s="6" t="n">
        <x:v>4</x:v>
      </x:c>
      <x:c r="I5222" s="6" t="n">
        <x:f>G5222-H5222</x:f>
        <x:v>-2</x:v>
      </x:c>
      <x:c r="J5222" s="6" t="n">
        <x:f>IF(OR(E5222="CANCELED",E5222="SUSPECTED_FRAUD",F5222="Shipping canceled"),0,1)</x:f>
        <x:v>1</x:v>
      </x:c>
      <x:c r="K5222" s="6" t="n">
        <x:f>IF(G5222&gt;H5222,1,0)</x:f>
        <x:v>0</x:v>
      </x:c>
      <x:c r="L5222" s="6" t="n">
        <x:f>J5222*K5222</x:f>
        <x:v>0</x:v>
      </x:c>
    </x:row>
    <x:row r="5223">
      <x:c r="A5223" s="1" t="n">
        <x:v>41207</x:v>
      </x:c>
      <x:c r="B5223" s="5" t="d">
        <x:v>2016-08-24T00:00:00.000Z</x:v>
      </x:c>
      <x:c r="C5223" s="1" t="str">
        <x:v>Standard Class</x:v>
      </x:c>
      <x:c r="D5223" s="1" t="str">
        <x:v>USCA</x:v>
      </x:c>
      <x:c r="E5223" s="1" t="str">
        <x:v>COMPLETE</x:v>
      </x:c>
      <x:c r="F5223" s="1" t="str">
        <x:v>Advance shipping</x:v>
      </x:c>
      <x:c r="G5223" s="6" t="n">
        <x:v>3</x:v>
      </x:c>
      <x:c r="H5223" s="6" t="n">
        <x:v>4</x:v>
      </x:c>
      <x:c r="I5223" s="6" t="n">
        <x:f>G5223-H5223</x:f>
        <x:v>-1</x:v>
      </x:c>
      <x:c r="J5223" s="6" t="n">
        <x:f>IF(OR(E5223="CANCELED",E5223="SUSPECTED_FRAUD",F5223="Shipping canceled"),0,1)</x:f>
        <x:v>1</x:v>
      </x:c>
      <x:c r="K5223" s="6" t="n">
        <x:f>IF(G5223&gt;H5223,1,0)</x:f>
        <x:v>0</x:v>
      </x:c>
      <x:c r="L5223" s="6" t="n">
        <x:f>J5223*K5223</x:f>
        <x:v>0</x:v>
      </x:c>
    </x:row>
    <x:row r="5224">
      <x:c r="A5224" s="1" t="n">
        <x:v>41218</x:v>
      </x:c>
      <x:c r="B5224" s="5" t="d">
        <x:v>2016-08-24T00:00:00.000Z</x:v>
      </x:c>
      <x:c r="C5224" s="1" t="str">
        <x:v>Standard Class</x:v>
      </x:c>
      <x:c r="D5224" s="1" t="str">
        <x:v>USCA</x:v>
      </x:c>
      <x:c r="E5224" s="1" t="str">
        <x:v>PENDING_PAYMENT</x:v>
      </x:c>
      <x:c r="F5224" s="1" t="str">
        <x:v>Shipping on time</x:v>
      </x:c>
      <x:c r="G5224" s="6" t="n">
        <x:v>4</x:v>
      </x:c>
      <x:c r="H5224" s="6" t="n">
        <x:v>4</x:v>
      </x:c>
      <x:c r="I5224" s="6" t="n">
        <x:f>G5224-H5224</x:f>
        <x:v>0</x:v>
      </x:c>
      <x:c r="J5224" s="6" t="n">
        <x:f>IF(OR(E5224="CANCELED",E5224="SUSPECTED_FRAUD",F5224="Shipping canceled"),0,1)</x:f>
        <x:v>1</x:v>
      </x:c>
      <x:c r="K5224" s="6" t="n">
        <x:f>IF(G5224&gt;H5224,1,0)</x:f>
        <x:v>0</x:v>
      </x:c>
      <x:c r="L5224" s="6" t="n">
        <x:f>J5224*K5224</x:f>
        <x:v>0</x:v>
      </x:c>
    </x:row>
    <x:row r="5225">
      <x:c r="A5225" s="1" t="n">
        <x:v>41226</x:v>
      </x:c>
      <x:c r="B5225" s="5" t="d">
        <x:v>2016-08-24T00:00:00.000Z</x:v>
      </x:c>
      <x:c r="C5225" s="1" t="str">
        <x:v>Standard Class</x:v>
      </x:c>
      <x:c r="D5225" s="1" t="str">
        <x:v>USCA</x:v>
      </x:c>
      <x:c r="E5225" s="1" t="str">
        <x:v>PROCESSING</x:v>
      </x:c>
      <x:c r="F5225" s="1" t="str">
        <x:v>Advance shipping</x:v>
      </x:c>
      <x:c r="G5225" s="6" t="n">
        <x:v>2</x:v>
      </x:c>
      <x:c r="H5225" s="6" t="n">
        <x:v>4</x:v>
      </x:c>
      <x:c r="I5225" s="6" t="n">
        <x:f>G5225-H5225</x:f>
        <x:v>-2</x:v>
      </x:c>
      <x:c r="J5225" s="6" t="n">
        <x:f>IF(OR(E5225="CANCELED",E5225="SUSPECTED_FRAUD",F5225="Shipping canceled"),0,1)</x:f>
        <x:v>1</x:v>
      </x:c>
      <x:c r="K5225" s="6" t="n">
        <x:f>IF(G5225&gt;H5225,1,0)</x:f>
        <x:v>0</x:v>
      </x:c>
      <x:c r="L5225" s="6" t="n">
        <x:f>J5225*K5225</x:f>
        <x:v>0</x:v>
      </x:c>
    </x:row>
    <x:row r="5226">
      <x:c r="A5226" s="1" t="n">
        <x:v>41231</x:v>
      </x:c>
      <x:c r="B5226" s="5" t="d">
        <x:v>2016-08-24T00:00:00.000Z</x:v>
      </x:c>
      <x:c r="C5226" s="1" t="str">
        <x:v>Second Class</x:v>
      </x:c>
      <x:c r="D5226" s="1" t="str">
        <x:v>USCA</x:v>
      </x:c>
      <x:c r="E5226" s="1" t="str">
        <x:v>SUSPECTED_FRAUD</x:v>
      </x:c>
      <x:c r="F5226" s="1" t="str">
        <x:v>Shipping canceled</x:v>
      </x:c>
      <x:c r="G5226" s="6" t="n">
        <x:v>2</x:v>
      </x:c>
      <x:c r="H5226" s="6" t="n">
        <x:v>2</x:v>
      </x:c>
      <x:c r="I5226" s="6" t="n">
        <x:f>G5226-H5226</x:f>
        <x:v>0</x:v>
      </x:c>
      <x:c r="J5226" s="6" t="n">
        <x:f>IF(OR(E5226="CANCELED",E5226="SUSPECTED_FRAUD",F5226="Shipping canceled"),0,1)</x:f>
        <x:v>0</x:v>
      </x:c>
      <x:c r="K5226" s="6" t="n">
        <x:f>IF(G5226&gt;H5226,1,0)</x:f>
        <x:v>0</x:v>
      </x:c>
      <x:c r="L5226" s="6" t="n">
        <x:f>J5226*K5226</x:f>
        <x:v>0</x:v>
      </x:c>
    </x:row>
    <x:row r="5227">
      <x:c r="A5227" s="1" t="n">
        <x:v>41234</x:v>
      </x:c>
      <x:c r="B5227" s="5" t="d">
        <x:v>2016-08-24T00:00:00.000Z</x:v>
      </x:c>
      <x:c r="C5227" s="1" t="str">
        <x:v>Second Class</x:v>
      </x:c>
      <x:c r="D5227" s="1" t="str">
        <x:v>USCA</x:v>
      </x:c>
      <x:c r="E5227" s="1" t="str">
        <x:v>PENDING_PAYMENT</x:v>
      </x:c>
      <x:c r="F5227" s="1" t="str">
        <x:v>Late delivery</x:v>
      </x:c>
      <x:c r="G5227" s="6" t="n">
        <x:v>5</x:v>
      </x:c>
      <x:c r="H5227" s="6" t="n">
        <x:v>2</x:v>
      </x:c>
      <x:c r="I5227" s="6" t="n">
        <x:f>G5227-H5227</x:f>
        <x:v>3</x:v>
      </x:c>
      <x:c r="J5227" s="6" t="n">
        <x:f>IF(OR(E5227="CANCELED",E5227="SUSPECTED_FRAUD",F5227="Shipping canceled"),0,1)</x:f>
        <x:v>1</x:v>
      </x:c>
      <x:c r="K5227" s="6" t="n">
        <x:f>IF(G5227&gt;H5227,1,0)</x:f>
        <x:v>1</x:v>
      </x:c>
      <x:c r="L5227" s="6" t="n">
        <x:f>J5227*K5227</x:f>
        <x:v>1</x:v>
      </x:c>
    </x:row>
    <x:row r="5228">
      <x:c r="A5228" s="1" t="n">
        <x:v>41240</x:v>
      </x:c>
      <x:c r="B5228" s="5" t="d">
        <x:v>2016-08-24T00:00:00.000Z</x:v>
      </x:c>
      <x:c r="C5228" s="1" t="str">
        <x:v>Second Class</x:v>
      </x:c>
      <x:c r="D5228" s="1" t="str">
        <x:v>USCA</x:v>
      </x:c>
      <x:c r="E5228" s="1" t="str">
        <x:v>COMPLETE</x:v>
      </x:c>
      <x:c r="F5228" s="1" t="str">
        <x:v>Late delivery</x:v>
      </x:c>
      <x:c r="G5228" s="6" t="n">
        <x:v>6</x:v>
      </x:c>
      <x:c r="H5228" s="6" t="n">
        <x:v>2</x:v>
      </x:c>
      <x:c r="I5228" s="6" t="n">
        <x:f>G5228-H5228</x:f>
        <x:v>4</x:v>
      </x:c>
      <x:c r="J5228" s="6" t="n">
        <x:f>IF(OR(E5228="CANCELED",E5228="SUSPECTED_FRAUD",F5228="Shipping canceled"),0,1)</x:f>
        <x:v>1</x:v>
      </x:c>
      <x:c r="K5228" s="6" t="n">
        <x:f>IF(G5228&gt;H5228,1,0)</x:f>
        <x:v>1</x:v>
      </x:c>
      <x:c r="L5228" s="6" t="n">
        <x:f>J5228*K5228</x:f>
        <x:v>1</x:v>
      </x:c>
    </x:row>
    <x:row r="5229">
      <x:c r="A5229" s="1" t="n">
        <x:v>41243</x:v>
      </x:c>
      <x:c r="B5229" s="5" t="d">
        <x:v>2016-08-25T00:00:00.000Z</x:v>
      </x:c>
      <x:c r="C5229" s="1" t="str">
        <x:v>Standard Class</x:v>
      </x:c>
      <x:c r="D5229" s="1" t="str">
        <x:v>USCA</x:v>
      </x:c>
      <x:c r="E5229" s="1" t="str">
        <x:v>COMPLETE</x:v>
      </x:c>
      <x:c r="F5229" s="1" t="str">
        <x:v>Shipping on time</x:v>
      </x:c>
      <x:c r="G5229" s="6" t="n">
        <x:v>4</x:v>
      </x:c>
      <x:c r="H5229" s="6" t="n">
        <x:v>4</x:v>
      </x:c>
      <x:c r="I5229" s="6" t="n">
        <x:f>G5229-H5229</x:f>
        <x:v>0</x:v>
      </x:c>
      <x:c r="J5229" s="6" t="n">
        <x:f>IF(OR(E5229="CANCELED",E5229="SUSPECTED_FRAUD",F5229="Shipping canceled"),0,1)</x:f>
        <x:v>1</x:v>
      </x:c>
      <x:c r="K5229" s="6" t="n">
        <x:f>IF(G5229&gt;H5229,1,0)</x:f>
        <x:v>0</x:v>
      </x:c>
      <x:c r="L5229" s="6" t="n">
        <x:f>J5229*K5229</x:f>
        <x:v>0</x:v>
      </x:c>
    </x:row>
    <x:row r="5230">
      <x:c r="A5230" s="1" t="n">
        <x:v>41257</x:v>
      </x:c>
      <x:c r="B5230" s="5" t="d">
        <x:v>2016-08-25T00:00:00.000Z</x:v>
      </x:c>
      <x:c r="C5230" s="1" t="str">
        <x:v>Standard Class</x:v>
      </x:c>
      <x:c r="D5230" s="1" t="str">
        <x:v>USCA</x:v>
      </x:c>
      <x:c r="E5230" s="1" t="str">
        <x:v>PENDING</x:v>
      </x:c>
      <x:c r="F5230" s="1" t="str">
        <x:v>Advance shipping</x:v>
      </x:c>
      <x:c r="G5230" s="6" t="n">
        <x:v>3</x:v>
      </x:c>
      <x:c r="H5230" s="6" t="n">
        <x:v>4</x:v>
      </x:c>
      <x:c r="I5230" s="6" t="n">
        <x:f>G5230-H5230</x:f>
        <x:v>-1</x:v>
      </x:c>
      <x:c r="J5230" s="6" t="n">
        <x:f>IF(OR(E5230="CANCELED",E5230="SUSPECTED_FRAUD",F5230="Shipping canceled"),0,1)</x:f>
        <x:v>1</x:v>
      </x:c>
      <x:c r="K5230" s="6" t="n">
        <x:f>IF(G5230&gt;H5230,1,0)</x:f>
        <x:v>0</x:v>
      </x:c>
      <x:c r="L5230" s="6" t="n">
        <x:f>J5230*K5230</x:f>
        <x:v>0</x:v>
      </x:c>
    </x:row>
    <x:row r="5231">
      <x:c r="A5231" s="1" t="n">
        <x:v>41264</x:v>
      </x:c>
      <x:c r="B5231" s="5" t="d">
        <x:v>2016-08-25T00:00:00.000Z</x:v>
      </x:c>
      <x:c r="C5231" s="1" t="str">
        <x:v>Standard Class</x:v>
      </x:c>
      <x:c r="D5231" s="1" t="str">
        <x:v>USCA</x:v>
      </x:c>
      <x:c r="E5231" s="1" t="str">
        <x:v>ON_HOLD</x:v>
      </x:c>
      <x:c r="F5231" s="1" t="str">
        <x:v>Late delivery</x:v>
      </x:c>
      <x:c r="G5231" s="6" t="n">
        <x:v>5</x:v>
      </x:c>
      <x:c r="H5231" s="6" t="n">
        <x:v>4</x:v>
      </x:c>
      <x:c r="I5231" s="6" t="n">
        <x:f>G5231-H5231</x:f>
        <x:v>1</x:v>
      </x:c>
      <x:c r="J5231" s="6" t="n">
        <x:f>IF(OR(E5231="CANCELED",E5231="SUSPECTED_FRAUD",F5231="Shipping canceled"),0,1)</x:f>
        <x:v>1</x:v>
      </x:c>
      <x:c r="K5231" s="6" t="n">
        <x:f>IF(G5231&gt;H5231,1,0)</x:f>
        <x:v>1</x:v>
      </x:c>
      <x:c r="L5231" s="6" t="n">
        <x:f>J5231*K5231</x:f>
        <x:v>1</x:v>
      </x:c>
    </x:row>
    <x:row r="5232">
      <x:c r="A5232" s="1" t="n">
        <x:v>41272</x:v>
      </x:c>
      <x:c r="B5232" s="5" t="d">
        <x:v>2016-08-25T00:00:00.000Z</x:v>
      </x:c>
      <x:c r="C5232" s="1" t="str">
        <x:v>Second Class</x:v>
      </x:c>
      <x:c r="D5232" s="1" t="str">
        <x:v>USCA</x:v>
      </x:c>
      <x:c r="E5232" s="1" t="str">
        <x:v>PROCESSING</x:v>
      </x:c>
      <x:c r="F5232" s="1" t="str">
        <x:v>Late delivery</x:v>
      </x:c>
      <x:c r="G5232" s="6" t="n">
        <x:v>3</x:v>
      </x:c>
      <x:c r="H5232" s="6" t="n">
        <x:v>2</x:v>
      </x:c>
      <x:c r="I5232" s="6" t="n">
        <x:f>G5232-H5232</x:f>
        <x:v>1</x:v>
      </x:c>
      <x:c r="J5232" s="6" t="n">
        <x:f>IF(OR(E5232="CANCELED",E5232="SUSPECTED_FRAUD",F5232="Shipping canceled"),0,1)</x:f>
        <x:v>1</x:v>
      </x:c>
      <x:c r="K5232" s="6" t="n">
        <x:f>IF(G5232&gt;H5232,1,0)</x:f>
        <x:v>1</x:v>
      </x:c>
      <x:c r="L5232" s="6" t="n">
        <x:f>J5232*K5232</x:f>
        <x:v>1</x:v>
      </x:c>
    </x:row>
    <x:row r="5233">
      <x:c r="A5233" s="1" t="n">
        <x:v>41285</x:v>
      </x:c>
      <x:c r="B5233" s="5" t="d">
        <x:v>2016-08-25T00:00:00.000Z</x:v>
      </x:c>
      <x:c r="C5233" s="1" t="str">
        <x:v>Standard Class</x:v>
      </x:c>
      <x:c r="D5233" s="1" t="str">
        <x:v>USCA</x:v>
      </x:c>
      <x:c r="E5233" s="1" t="str">
        <x:v>ON_HOLD</x:v>
      </x:c>
      <x:c r="F5233" s="1" t="str">
        <x:v>Late delivery</x:v>
      </x:c>
      <x:c r="G5233" s="6" t="n">
        <x:v>6</x:v>
      </x:c>
      <x:c r="H5233" s="6" t="n">
        <x:v>4</x:v>
      </x:c>
      <x:c r="I5233" s="6" t="n">
        <x:f>G5233-H5233</x:f>
        <x:v>2</x:v>
      </x:c>
      <x:c r="J5233" s="6" t="n">
        <x:f>IF(OR(E5233="CANCELED",E5233="SUSPECTED_FRAUD",F5233="Shipping canceled"),0,1)</x:f>
        <x:v>1</x:v>
      </x:c>
      <x:c r="K5233" s="6" t="n">
        <x:f>IF(G5233&gt;H5233,1,0)</x:f>
        <x:v>1</x:v>
      </x:c>
      <x:c r="L5233" s="6" t="n">
        <x:f>J5233*K5233</x:f>
        <x:v>1</x:v>
      </x:c>
    </x:row>
    <x:row r="5234">
      <x:c r="A5234" s="1" t="n">
        <x:v>41287</x:v>
      </x:c>
      <x:c r="B5234" s="5" t="d">
        <x:v>2016-08-25T00:00:00.000Z</x:v>
      </x:c>
      <x:c r="C5234" s="1" t="str">
        <x:v>Standard Class</x:v>
      </x:c>
      <x:c r="D5234" s="1" t="str">
        <x:v>USCA</x:v>
      </x:c>
      <x:c r="E5234" s="1" t="str">
        <x:v>CANCELED</x:v>
      </x:c>
      <x:c r="F5234" s="1" t="str">
        <x:v>Shipping canceled</x:v>
      </x:c>
      <x:c r="G5234" s="6" t="n">
        <x:v>3</x:v>
      </x:c>
      <x:c r="H5234" s="6" t="n">
        <x:v>4</x:v>
      </x:c>
      <x:c r="I5234" s="6" t="n">
        <x:f>G5234-H5234</x:f>
        <x:v>-1</x:v>
      </x:c>
      <x:c r="J5234" s="6" t="n">
        <x:f>IF(OR(E5234="CANCELED",E5234="SUSPECTED_FRAUD",F5234="Shipping canceled"),0,1)</x:f>
        <x:v>0</x:v>
      </x:c>
      <x:c r="K5234" s="6" t="n">
        <x:f>IF(G5234&gt;H5234,1,0)</x:f>
        <x:v>0</x:v>
      </x:c>
      <x:c r="L5234" s="6" t="n">
        <x:f>J5234*K5234</x:f>
        <x:v>0</x:v>
      </x:c>
    </x:row>
    <x:row r="5235">
      <x:c r="A5235" s="1" t="n">
        <x:v>41291</x:v>
      </x:c>
      <x:c r="B5235" s="5" t="d">
        <x:v>2016-08-25T00:00:00.000Z</x:v>
      </x:c>
      <x:c r="C5235" s="1" t="str">
        <x:v>Standard Class</x:v>
      </x:c>
      <x:c r="D5235" s="1" t="str">
        <x:v>Africa</x:v>
      </x:c>
      <x:c r="E5235" s="1" t="str">
        <x:v>PROCESSING</x:v>
      </x:c>
      <x:c r="F5235" s="1" t="str">
        <x:v>Advance shipping</x:v>
      </x:c>
      <x:c r="G5235" s="6" t="n">
        <x:v>2</x:v>
      </x:c>
      <x:c r="H5235" s="6" t="n">
        <x:v>4</x:v>
      </x:c>
      <x:c r="I5235" s="6" t="n">
        <x:f>G5235-H5235</x:f>
        <x:v>-2</x:v>
      </x:c>
      <x:c r="J5235" s="6" t="n">
        <x:f>IF(OR(E5235="CANCELED",E5235="SUSPECTED_FRAUD",F5235="Shipping canceled"),0,1)</x:f>
        <x:v>1</x:v>
      </x:c>
      <x:c r="K5235" s="6" t="n">
        <x:f>IF(G5235&gt;H5235,1,0)</x:f>
        <x:v>0</x:v>
      </x:c>
      <x:c r="L5235" s="6" t="n">
        <x:f>J5235*K5235</x:f>
        <x:v>0</x:v>
      </x:c>
    </x:row>
    <x:row r="5236">
      <x:c r="A5236" s="1" t="n">
        <x:v>41294</x:v>
      </x:c>
      <x:c r="B5236" s="5" t="d">
        <x:v>2016-08-25T00:00:00.000Z</x:v>
      </x:c>
      <x:c r="C5236" s="1" t="str">
        <x:v>Standard Class</x:v>
      </x:c>
      <x:c r="D5236" s="1" t="str">
        <x:v>Africa</x:v>
      </x:c>
      <x:c r="E5236" s="1" t="str">
        <x:v>PENDING</x:v>
      </x:c>
      <x:c r="F5236" s="1" t="str">
        <x:v>Late delivery</x:v>
      </x:c>
      <x:c r="G5236" s="6" t="n">
        <x:v>5</x:v>
      </x:c>
      <x:c r="H5236" s="6" t="n">
        <x:v>4</x:v>
      </x:c>
      <x:c r="I5236" s="6" t="n">
        <x:f>G5236-H5236</x:f>
        <x:v>1</x:v>
      </x:c>
      <x:c r="J5236" s="6" t="n">
        <x:f>IF(OR(E5236="CANCELED",E5236="SUSPECTED_FRAUD",F5236="Shipping canceled"),0,1)</x:f>
        <x:v>1</x:v>
      </x:c>
      <x:c r="K5236" s="6" t="n">
        <x:f>IF(G5236&gt;H5236,1,0)</x:f>
        <x:v>1</x:v>
      </x:c>
      <x:c r="L5236" s="6" t="n">
        <x:f>J5236*K5236</x:f>
        <x:v>1</x:v>
      </x:c>
    </x:row>
    <x:row r="5237">
      <x:c r="A5237" s="1" t="n">
        <x:v>41299</x:v>
      </x:c>
      <x:c r="B5237" s="5" t="d">
        <x:v>2016-08-25T00:00:00.000Z</x:v>
      </x:c>
      <x:c r="C5237" s="1" t="str">
        <x:v>First Class</x:v>
      </x:c>
      <x:c r="D5237" s="1" t="str">
        <x:v>Europe</x:v>
      </x:c>
      <x:c r="E5237" s="1" t="str">
        <x:v>CLOSED</x:v>
      </x:c>
      <x:c r="F5237" s="1" t="str">
        <x:v>Late delivery</x:v>
      </x:c>
      <x:c r="G5237" s="6" t="n">
        <x:v>2</x:v>
      </x:c>
      <x:c r="H5237" s="6" t="n">
        <x:v>1</x:v>
      </x:c>
      <x:c r="I5237" s="6" t="n">
        <x:f>G5237-H5237</x:f>
        <x:v>1</x:v>
      </x:c>
      <x:c r="J5237" s="6" t="n">
        <x:f>IF(OR(E5237="CANCELED",E5237="SUSPECTED_FRAUD",F5237="Shipping canceled"),0,1)</x:f>
        <x:v>1</x:v>
      </x:c>
      <x:c r="K5237" s="6" t="n">
        <x:f>IF(G5237&gt;H5237,1,0)</x:f>
        <x:v>1</x:v>
      </x:c>
      <x:c r="L5237" s="6" t="n">
        <x:f>J5237*K5237</x:f>
        <x:v>1</x:v>
      </x:c>
    </x:row>
    <x:row r="5238">
      <x:c r="A5238" s="1" t="n">
        <x:v>41301</x:v>
      </x:c>
      <x:c r="B5238" s="5" t="d">
        <x:v>2016-08-25T00:00:00.000Z</x:v>
      </x:c>
      <x:c r="C5238" s="1" t="str">
        <x:v>Standard Class</x:v>
      </x:c>
      <x:c r="D5238" s="1" t="str">
        <x:v>Europe</x:v>
      </x:c>
      <x:c r="E5238" s="1" t="str">
        <x:v>PROCESSING</x:v>
      </x:c>
      <x:c r="F5238" s="1" t="str">
        <x:v>Advance shipping</x:v>
      </x:c>
      <x:c r="G5238" s="6" t="n">
        <x:v>2</x:v>
      </x:c>
      <x:c r="H5238" s="6" t="n">
        <x:v>4</x:v>
      </x:c>
      <x:c r="I5238" s="6" t="n">
        <x:f>G5238-H5238</x:f>
        <x:v>-2</x:v>
      </x:c>
      <x:c r="J5238" s="6" t="n">
        <x:f>IF(OR(E5238="CANCELED",E5238="SUSPECTED_FRAUD",F5238="Shipping canceled"),0,1)</x:f>
        <x:v>1</x:v>
      </x:c>
      <x:c r="K5238" s="6" t="n">
        <x:f>IF(G5238&gt;H5238,1,0)</x:f>
        <x:v>0</x:v>
      </x:c>
      <x:c r="L5238" s="6" t="n">
        <x:f>J5238*K5238</x:f>
        <x:v>0</x:v>
      </x:c>
    </x:row>
    <x:row r="5239">
      <x:c r="A5239" s="1" t="n">
        <x:v>41304</x:v>
      </x:c>
      <x:c r="B5239" s="5" t="d">
        <x:v>2016-08-25T00:00:00.000Z</x:v>
      </x:c>
      <x:c r="C5239" s="1" t="str">
        <x:v>Second Class</x:v>
      </x:c>
      <x:c r="D5239" s="1" t="str">
        <x:v>Africa</x:v>
      </x:c>
      <x:c r="E5239" s="1" t="str">
        <x:v>ON_HOLD</x:v>
      </x:c>
      <x:c r="F5239" s="1" t="str">
        <x:v>Late delivery</x:v>
      </x:c>
      <x:c r="G5239" s="6" t="n">
        <x:v>5</x:v>
      </x:c>
      <x:c r="H5239" s="6" t="n">
        <x:v>2</x:v>
      </x:c>
      <x:c r="I5239" s="6" t="n">
        <x:f>G5239-H5239</x:f>
        <x:v>3</x:v>
      </x:c>
      <x:c r="J5239" s="6" t="n">
        <x:f>IF(OR(E5239="CANCELED",E5239="SUSPECTED_FRAUD",F5239="Shipping canceled"),0,1)</x:f>
        <x:v>1</x:v>
      </x:c>
      <x:c r="K5239" s="6" t="n">
        <x:f>IF(G5239&gt;H5239,1,0)</x:f>
        <x:v>1</x:v>
      </x:c>
      <x:c r="L5239" s="6" t="n">
        <x:f>J5239*K5239</x:f>
        <x:v>1</x:v>
      </x:c>
    </x:row>
    <x:row r="5240">
      <x:c r="A5240" s="1" t="n">
        <x:v>41316</x:v>
      </x:c>
      <x:c r="B5240" s="5" t="d">
        <x:v>2016-08-26T00:00:00.000Z</x:v>
      </x:c>
      <x:c r="C5240" s="1" t="str">
        <x:v>Standard Class</x:v>
      </x:c>
      <x:c r="D5240" s="1" t="str">
        <x:v>Pacific Asia</x:v>
      </x:c>
      <x:c r="E5240" s="1" t="str">
        <x:v>PENDING</x:v>
      </x:c>
      <x:c r="F5240" s="1" t="str">
        <x:v>Advance shipping</x:v>
      </x:c>
      <x:c r="G5240" s="6" t="n">
        <x:v>2</x:v>
      </x:c>
      <x:c r="H5240" s="6" t="n">
        <x:v>4</x:v>
      </x:c>
      <x:c r="I5240" s="6" t="n">
        <x:f>G5240-H5240</x:f>
        <x:v>-2</x:v>
      </x:c>
      <x:c r="J5240" s="6" t="n">
        <x:f>IF(OR(E5240="CANCELED",E5240="SUSPECTED_FRAUD",F5240="Shipping canceled"),0,1)</x:f>
        <x:v>1</x:v>
      </x:c>
      <x:c r="K5240" s="6" t="n">
        <x:f>IF(G5240&gt;H5240,1,0)</x:f>
        <x:v>0</x:v>
      </x:c>
      <x:c r="L5240" s="6" t="n">
        <x:f>J5240*K5240</x:f>
        <x:v>0</x:v>
      </x:c>
    </x:row>
    <x:row r="5241">
      <x:c r="A5241" s="1" t="n">
        <x:v>41317</x:v>
      </x:c>
      <x:c r="B5241" s="5" t="d">
        <x:v>2016-08-26T00:00:00.000Z</x:v>
      </x:c>
      <x:c r="C5241" s="1" t="str">
        <x:v>Standard Class</x:v>
      </x:c>
      <x:c r="D5241" s="1" t="str">
        <x:v>Pacific Asia</x:v>
      </x:c>
      <x:c r="E5241" s="1" t="str">
        <x:v>COMPLETE</x:v>
      </x:c>
      <x:c r="F5241" s="1" t="str">
        <x:v>Advance shipping</x:v>
      </x:c>
      <x:c r="G5241" s="6" t="n">
        <x:v>3</x:v>
      </x:c>
      <x:c r="H5241" s="6" t="n">
        <x:v>4</x:v>
      </x:c>
      <x:c r="I5241" s="6" t="n">
        <x:f>G5241-H5241</x:f>
        <x:v>-1</x:v>
      </x:c>
      <x:c r="J5241" s="6" t="n">
        <x:f>IF(OR(E5241="CANCELED",E5241="SUSPECTED_FRAUD",F5241="Shipping canceled"),0,1)</x:f>
        <x:v>1</x:v>
      </x:c>
      <x:c r="K5241" s="6" t="n">
        <x:f>IF(G5241&gt;H5241,1,0)</x:f>
        <x:v>0</x:v>
      </x:c>
      <x:c r="L5241" s="6" t="n">
        <x:f>J5241*K5241</x:f>
        <x:v>0</x:v>
      </x:c>
    </x:row>
    <x:row r="5242">
      <x:c r="A5242" s="1" t="n">
        <x:v>41322</x:v>
      </x:c>
      <x:c r="B5242" s="5" t="d">
        <x:v>2016-08-26T00:00:00.000Z</x:v>
      </x:c>
      <x:c r="C5242" s="1" t="str">
        <x:v>Standard Class</x:v>
      </x:c>
      <x:c r="D5242" s="1" t="str">
        <x:v>Africa</x:v>
      </x:c>
      <x:c r="E5242" s="1" t="str">
        <x:v>PENDING_PAYMENT</x:v>
      </x:c>
      <x:c r="F5242" s="1" t="str">
        <x:v>Advance shipping</x:v>
      </x:c>
      <x:c r="G5242" s="6" t="n">
        <x:v>3</x:v>
      </x:c>
      <x:c r="H5242" s="6" t="n">
        <x:v>4</x:v>
      </x:c>
      <x:c r="I5242" s="6" t="n">
        <x:f>G5242-H5242</x:f>
        <x:v>-1</x:v>
      </x:c>
      <x:c r="J5242" s="6" t="n">
        <x:f>IF(OR(E5242="CANCELED",E5242="SUSPECTED_FRAUD",F5242="Shipping canceled"),0,1)</x:f>
        <x:v>1</x:v>
      </x:c>
      <x:c r="K5242" s="6" t="n">
        <x:f>IF(G5242&gt;H5242,1,0)</x:f>
        <x:v>0</x:v>
      </x:c>
      <x:c r="L5242" s="6" t="n">
        <x:f>J5242*K5242</x:f>
        <x:v>0</x:v>
      </x:c>
    </x:row>
    <x:row r="5243">
      <x:c r="A5243" s="1" t="n">
        <x:v>41324</x:v>
      </x:c>
      <x:c r="B5243" s="5" t="d">
        <x:v>2016-08-26T00:00:00.000Z</x:v>
      </x:c>
      <x:c r="C5243" s="1" t="str">
        <x:v>Standard Class</x:v>
      </x:c>
      <x:c r="D5243" s="1" t="str">
        <x:v>Europe</x:v>
      </x:c>
      <x:c r="E5243" s="1" t="str">
        <x:v>COMPLETE</x:v>
      </x:c>
      <x:c r="F5243" s="1" t="str">
        <x:v>Late delivery</x:v>
      </x:c>
      <x:c r="G5243" s="6" t="n">
        <x:v>5</x:v>
      </x:c>
      <x:c r="H5243" s="6" t="n">
        <x:v>4</x:v>
      </x:c>
      <x:c r="I5243" s="6" t="n">
        <x:f>G5243-H5243</x:f>
        <x:v>1</x:v>
      </x:c>
      <x:c r="J5243" s="6" t="n">
        <x:f>IF(OR(E5243="CANCELED",E5243="SUSPECTED_FRAUD",F5243="Shipping canceled"),0,1)</x:f>
        <x:v>1</x:v>
      </x:c>
      <x:c r="K5243" s="6" t="n">
        <x:f>IF(G5243&gt;H5243,1,0)</x:f>
        <x:v>1</x:v>
      </x:c>
      <x:c r="L5243" s="6" t="n">
        <x:f>J5243*K5243</x:f>
        <x:v>1</x:v>
      </x:c>
    </x:row>
    <x:row r="5244">
      <x:c r="A5244" s="1" t="n">
        <x:v>41336</x:v>
      </x:c>
      <x:c r="B5244" s="5" t="d">
        <x:v>2016-08-26T00:00:00.000Z</x:v>
      </x:c>
      <x:c r="C5244" s="1" t="str">
        <x:v>Standard Class</x:v>
      </x:c>
      <x:c r="D5244" s="1" t="str">
        <x:v>Europe</x:v>
      </x:c>
      <x:c r="E5244" s="1" t="str">
        <x:v>COMPLETE</x:v>
      </x:c>
      <x:c r="F5244" s="1" t="str">
        <x:v>Advance shipping</x:v>
      </x:c>
      <x:c r="G5244" s="6" t="n">
        <x:v>2</x:v>
      </x:c>
      <x:c r="H5244" s="6" t="n">
        <x:v>4</x:v>
      </x:c>
      <x:c r="I5244" s="6" t="n">
        <x:f>G5244-H5244</x:f>
        <x:v>-2</x:v>
      </x:c>
      <x:c r="J5244" s="6" t="n">
        <x:f>IF(OR(E5244="CANCELED",E5244="SUSPECTED_FRAUD",F5244="Shipping canceled"),0,1)</x:f>
        <x:v>1</x:v>
      </x:c>
      <x:c r="K5244" s="6" t="n">
        <x:f>IF(G5244&gt;H5244,1,0)</x:f>
        <x:v>0</x:v>
      </x:c>
      <x:c r="L5244" s="6" t="n">
        <x:f>J5244*K5244</x:f>
        <x:v>0</x:v>
      </x:c>
    </x:row>
    <x:row r="5245">
      <x:c r="A5245" s="1" t="n">
        <x:v>41337</x:v>
      </x:c>
      <x:c r="B5245" s="5" t="d">
        <x:v>2016-08-26T00:00:00.000Z</x:v>
      </x:c>
      <x:c r="C5245" s="1" t="str">
        <x:v>Standard Class</x:v>
      </x:c>
      <x:c r="D5245" s="1" t="str">
        <x:v>Africa</x:v>
      </x:c>
      <x:c r="E5245" s="1" t="str">
        <x:v>COMPLETE</x:v>
      </x:c>
      <x:c r="F5245" s="1" t="str">
        <x:v>Advance shipping</x:v>
      </x:c>
      <x:c r="G5245" s="6" t="n">
        <x:v>3</x:v>
      </x:c>
      <x:c r="H5245" s="6" t="n">
        <x:v>4</x:v>
      </x:c>
      <x:c r="I5245" s="6" t="n">
        <x:f>G5245-H5245</x:f>
        <x:v>-1</x:v>
      </x:c>
      <x:c r="J5245" s="6" t="n">
        <x:f>IF(OR(E5245="CANCELED",E5245="SUSPECTED_FRAUD",F5245="Shipping canceled"),0,1)</x:f>
        <x:v>1</x:v>
      </x:c>
      <x:c r="K5245" s="6" t="n">
        <x:f>IF(G5245&gt;H5245,1,0)</x:f>
        <x:v>0</x:v>
      </x:c>
      <x:c r="L5245" s="6" t="n">
        <x:f>J5245*K5245</x:f>
        <x:v>0</x:v>
      </x:c>
    </x:row>
    <x:row r="5246">
      <x:c r="A5246" s="1" t="n">
        <x:v>41345</x:v>
      </x:c>
      <x:c r="B5246" s="5" t="d">
        <x:v>2016-08-26T00:00:00.000Z</x:v>
      </x:c>
      <x:c r="C5246" s="1" t="str">
        <x:v>Standard Class</x:v>
      </x:c>
      <x:c r="D5246" s="1" t="str">
        <x:v>Africa</x:v>
      </x:c>
      <x:c r="E5246" s="1" t="str">
        <x:v>CANCELED</x:v>
      </x:c>
      <x:c r="F5246" s="1" t="str">
        <x:v>Shipping canceled</x:v>
      </x:c>
      <x:c r="G5246" s="6" t="n">
        <x:v>6</x:v>
      </x:c>
      <x:c r="H5246" s="6" t="n">
        <x:v>4</x:v>
      </x:c>
      <x:c r="I5246" s="6" t="n">
        <x:f>G5246-H5246</x:f>
        <x:v>2</x:v>
      </x:c>
      <x:c r="J5246" s="6" t="n">
        <x:f>IF(OR(E5246="CANCELED",E5246="SUSPECTED_FRAUD",F5246="Shipping canceled"),0,1)</x:f>
        <x:v>0</x:v>
      </x:c>
      <x:c r="K5246" s="6" t="n">
        <x:f>IF(G5246&gt;H5246,1,0)</x:f>
        <x:v>1</x:v>
      </x:c>
      <x:c r="L5246" s="6" t="n">
        <x:f>J5246*K5246</x:f>
        <x:v>0</x:v>
      </x:c>
    </x:row>
    <x:row r="5247">
      <x:c r="A5247" s="1" t="n">
        <x:v>41348</x:v>
      </x:c>
      <x:c r="B5247" s="5" t="d">
        <x:v>2016-08-26T00:00:00.000Z</x:v>
      </x:c>
      <x:c r="C5247" s="1" t="str">
        <x:v>Standard Class</x:v>
      </x:c>
      <x:c r="D5247" s="1" t="str">
        <x:v>Pacific Asia</x:v>
      </x:c>
      <x:c r="E5247" s="1" t="str">
        <x:v>COMPLETE</x:v>
      </x:c>
      <x:c r="F5247" s="1" t="str">
        <x:v>Shipping on time</x:v>
      </x:c>
      <x:c r="G5247" s="6" t="n">
        <x:v>4</x:v>
      </x:c>
      <x:c r="H5247" s="6" t="n">
        <x:v>4</x:v>
      </x:c>
      <x:c r="I5247" s="6" t="n">
        <x:f>G5247-H5247</x:f>
        <x:v>0</x:v>
      </x:c>
      <x:c r="J5247" s="6" t="n">
        <x:f>IF(OR(E5247="CANCELED",E5247="SUSPECTED_FRAUD",F5247="Shipping canceled"),0,1)</x:f>
        <x:v>1</x:v>
      </x:c>
      <x:c r="K5247" s="6" t="n">
        <x:f>IF(G5247&gt;H5247,1,0)</x:f>
        <x:v>0</x:v>
      </x:c>
      <x:c r="L5247" s="6" t="n">
        <x:f>J5247*K5247</x:f>
        <x:v>0</x:v>
      </x:c>
    </x:row>
    <x:row r="5248">
      <x:c r="A5248" s="1" t="n">
        <x:v>41365</x:v>
      </x:c>
      <x:c r="B5248" s="5" t="d">
        <x:v>2016-08-26T00:00:00.000Z</x:v>
      </x:c>
      <x:c r="C5248" s="1" t="str">
        <x:v>Standard Class</x:v>
      </x:c>
      <x:c r="D5248" s="1" t="str">
        <x:v>Africa</x:v>
      </x:c>
      <x:c r="E5248" s="1" t="str">
        <x:v>PROCESSING</x:v>
      </x:c>
      <x:c r="F5248" s="1" t="str">
        <x:v>Late delivery</x:v>
      </x:c>
      <x:c r="G5248" s="6" t="n">
        <x:v>6</x:v>
      </x:c>
      <x:c r="H5248" s="6" t="n">
        <x:v>4</x:v>
      </x:c>
      <x:c r="I5248" s="6" t="n">
        <x:f>G5248-H5248</x:f>
        <x:v>2</x:v>
      </x:c>
      <x:c r="J5248" s="6" t="n">
        <x:f>IF(OR(E5248="CANCELED",E5248="SUSPECTED_FRAUD",F5248="Shipping canceled"),0,1)</x:f>
        <x:v>1</x:v>
      </x:c>
      <x:c r="K5248" s="6" t="n">
        <x:f>IF(G5248&gt;H5248,1,0)</x:f>
        <x:v>1</x:v>
      </x:c>
      <x:c r="L5248" s="6" t="n">
        <x:f>J5248*K5248</x:f>
        <x:v>1</x:v>
      </x:c>
    </x:row>
    <x:row r="5249">
      <x:c r="A5249" s="1" t="n">
        <x:v>41369</x:v>
      </x:c>
      <x:c r="B5249" s="5" t="d">
        <x:v>2016-08-26T00:00:00.000Z</x:v>
      </x:c>
      <x:c r="C5249" s="1" t="str">
        <x:v>Second Class</x:v>
      </x:c>
      <x:c r="D5249" s="1" t="str">
        <x:v>Pacific Asia</x:v>
      </x:c>
      <x:c r="E5249" s="1" t="str">
        <x:v>ON_HOLD</x:v>
      </x:c>
      <x:c r="F5249" s="1" t="str">
        <x:v>Late delivery</x:v>
      </x:c>
      <x:c r="G5249" s="6" t="n">
        <x:v>5</x:v>
      </x:c>
      <x:c r="H5249" s="6" t="n">
        <x:v>2</x:v>
      </x:c>
      <x:c r="I5249" s="6" t="n">
        <x:f>G5249-H5249</x:f>
        <x:v>3</x:v>
      </x:c>
      <x:c r="J5249" s="6" t="n">
        <x:f>IF(OR(E5249="CANCELED",E5249="SUSPECTED_FRAUD",F5249="Shipping canceled"),0,1)</x:f>
        <x:v>1</x:v>
      </x:c>
      <x:c r="K5249" s="6" t="n">
        <x:f>IF(G5249&gt;H5249,1,0)</x:f>
        <x:v>1</x:v>
      </x:c>
      <x:c r="L5249" s="6" t="n">
        <x:f>J5249*K5249</x:f>
        <x:v>1</x:v>
      </x:c>
    </x:row>
    <x:row r="5250">
      <x:c r="A5250" s="1" t="n">
        <x:v>41374</x:v>
      </x:c>
      <x:c r="B5250" s="5" t="d">
        <x:v>2016-08-26T00:00:00.000Z</x:v>
      </x:c>
      <x:c r="C5250" s="1" t="str">
        <x:v>Standard Class</x:v>
      </x:c>
      <x:c r="D5250" s="1" t="str">
        <x:v>Africa</x:v>
      </x:c>
      <x:c r="E5250" s="1" t="str">
        <x:v>COMPLETE</x:v>
      </x:c>
      <x:c r="F5250" s="1" t="str">
        <x:v>Late delivery</x:v>
      </x:c>
      <x:c r="G5250" s="6" t="n">
        <x:v>5</x:v>
      </x:c>
      <x:c r="H5250" s="6" t="n">
        <x:v>4</x:v>
      </x:c>
      <x:c r="I5250" s="6" t="n">
        <x:f>G5250-H5250</x:f>
        <x:v>1</x:v>
      </x:c>
      <x:c r="J5250" s="6" t="n">
        <x:f>IF(OR(E5250="CANCELED",E5250="SUSPECTED_FRAUD",F5250="Shipping canceled"),0,1)</x:f>
        <x:v>1</x:v>
      </x:c>
      <x:c r="K5250" s="6" t="n">
        <x:f>IF(G5250&gt;H5250,1,0)</x:f>
        <x:v>1</x:v>
      </x:c>
      <x:c r="L5250" s="6" t="n">
        <x:f>J5250*K5250</x:f>
        <x:v>1</x:v>
      </x:c>
    </x:row>
    <x:row r="5251">
      <x:c r="A5251" s="1" t="n">
        <x:v>41384</x:v>
      </x:c>
      <x:c r="B5251" s="5" t="d">
        <x:v>2016-08-27T00:00:00.000Z</x:v>
      </x:c>
      <x:c r="C5251" s="1" t="str">
        <x:v>First Class</x:v>
      </x:c>
      <x:c r="D5251" s="1" t="str">
        <x:v>Pacific Asia</x:v>
      </x:c>
      <x:c r="E5251" s="1" t="str">
        <x:v>PENDING</x:v>
      </x:c>
      <x:c r="F5251" s="1" t="str">
        <x:v>Late delivery</x:v>
      </x:c>
      <x:c r="G5251" s="6" t="n">
        <x:v>2</x:v>
      </x:c>
      <x:c r="H5251" s="6" t="n">
        <x:v>1</x:v>
      </x:c>
      <x:c r="I5251" s="6" t="n">
        <x:f>G5251-H5251</x:f>
        <x:v>1</x:v>
      </x:c>
      <x:c r="J5251" s="6" t="n">
        <x:f>IF(OR(E5251="CANCELED",E5251="SUSPECTED_FRAUD",F5251="Shipping canceled"),0,1)</x:f>
        <x:v>1</x:v>
      </x:c>
      <x:c r="K5251" s="6" t="n">
        <x:f>IF(G5251&gt;H5251,1,0)</x:f>
        <x:v>1</x:v>
      </x:c>
      <x:c r="L5251" s="6" t="n">
        <x:f>J5251*K5251</x:f>
        <x:v>1</x:v>
      </x:c>
    </x:row>
    <x:row r="5252">
      <x:c r="A5252" s="1" t="n">
        <x:v>41388</x:v>
      </x:c>
      <x:c r="B5252" s="5" t="d">
        <x:v>2016-08-27T00:00:00.000Z</x:v>
      </x:c>
      <x:c r="C5252" s="1" t="str">
        <x:v>Standard Class</x:v>
      </x:c>
      <x:c r="D5252" s="1" t="str">
        <x:v>Pacific Asia</x:v>
      </x:c>
      <x:c r="E5252" s="1" t="str">
        <x:v>COMPLETE</x:v>
      </x:c>
      <x:c r="F5252" s="1" t="str">
        <x:v>Shipping on time</x:v>
      </x:c>
      <x:c r="G5252" s="6" t="n">
        <x:v>4</x:v>
      </x:c>
      <x:c r="H5252" s="6" t="n">
        <x:v>4</x:v>
      </x:c>
      <x:c r="I5252" s="6" t="n">
        <x:f>G5252-H5252</x:f>
        <x:v>0</x:v>
      </x:c>
      <x:c r="J5252" s="6" t="n">
        <x:f>IF(OR(E5252="CANCELED",E5252="SUSPECTED_FRAUD",F5252="Shipping canceled"),0,1)</x:f>
        <x:v>1</x:v>
      </x:c>
      <x:c r="K5252" s="6" t="n">
        <x:f>IF(G5252&gt;H5252,1,0)</x:f>
        <x:v>0</x:v>
      </x:c>
      <x:c r="L5252" s="6" t="n">
        <x:f>J5252*K5252</x:f>
        <x:v>0</x:v>
      </x:c>
    </x:row>
    <x:row r="5253">
      <x:c r="A5253" s="1" t="n">
        <x:v>41389</x:v>
      </x:c>
      <x:c r="B5253" s="5" t="d">
        <x:v>2016-08-27T00:00:00.000Z</x:v>
      </x:c>
      <x:c r="C5253" s="1" t="str">
        <x:v>Standard Class</x:v>
      </x:c>
      <x:c r="D5253" s="1" t="str">
        <x:v>Pacific Asia</x:v>
      </x:c>
      <x:c r="E5253" s="1" t="str">
        <x:v>COMPLETE</x:v>
      </x:c>
      <x:c r="F5253" s="1" t="str">
        <x:v>Late delivery</x:v>
      </x:c>
      <x:c r="G5253" s="6" t="n">
        <x:v>5</x:v>
      </x:c>
      <x:c r="H5253" s="6" t="n">
        <x:v>4</x:v>
      </x:c>
      <x:c r="I5253" s="6" t="n">
        <x:f>G5253-H5253</x:f>
        <x:v>1</x:v>
      </x:c>
      <x:c r="J5253" s="6" t="n">
        <x:f>IF(OR(E5253="CANCELED",E5253="SUSPECTED_FRAUD",F5253="Shipping canceled"),0,1)</x:f>
        <x:v>1</x:v>
      </x:c>
      <x:c r="K5253" s="6" t="n">
        <x:f>IF(G5253&gt;H5253,1,0)</x:f>
        <x:v>1</x:v>
      </x:c>
      <x:c r="L5253" s="6" t="n">
        <x:f>J5253*K5253</x:f>
        <x:v>1</x:v>
      </x:c>
    </x:row>
    <x:row r="5254">
      <x:c r="A5254" s="1" t="n">
        <x:v>41392</x:v>
      </x:c>
      <x:c r="B5254" s="5" t="d">
        <x:v>2016-08-27T00:00:00.000Z</x:v>
      </x:c>
      <x:c r="C5254" s="1" t="str">
        <x:v>Standard Class</x:v>
      </x:c>
      <x:c r="D5254" s="1" t="str">
        <x:v>Africa</x:v>
      </x:c>
      <x:c r="E5254" s="1" t="str">
        <x:v>COMPLETE</x:v>
      </x:c>
      <x:c r="F5254" s="1" t="str">
        <x:v>Advance shipping</x:v>
      </x:c>
      <x:c r="G5254" s="6" t="n">
        <x:v>3</x:v>
      </x:c>
      <x:c r="H5254" s="6" t="n">
        <x:v>4</x:v>
      </x:c>
      <x:c r="I5254" s="6" t="n">
        <x:f>G5254-H5254</x:f>
        <x:v>-1</x:v>
      </x:c>
      <x:c r="J5254" s="6" t="n">
        <x:f>IF(OR(E5254="CANCELED",E5254="SUSPECTED_FRAUD",F5254="Shipping canceled"),0,1)</x:f>
        <x:v>1</x:v>
      </x:c>
      <x:c r="K5254" s="6" t="n">
        <x:f>IF(G5254&gt;H5254,1,0)</x:f>
        <x:v>0</x:v>
      </x:c>
      <x:c r="L5254" s="6" t="n">
        <x:f>J5254*K5254</x:f>
        <x:v>0</x:v>
      </x:c>
    </x:row>
    <x:row r="5255">
      <x:c r="A5255" s="1" t="n">
        <x:v>41397</x:v>
      </x:c>
      <x:c r="B5255" s="5" t="d">
        <x:v>2016-08-27T00:00:00.000Z</x:v>
      </x:c>
      <x:c r="C5255" s="1" t="str">
        <x:v>First Class</x:v>
      </x:c>
      <x:c r="D5255" s="1" t="str">
        <x:v>Europe</x:v>
      </x:c>
      <x:c r="E5255" s="1" t="str">
        <x:v>PENDING_PAYMENT</x:v>
      </x:c>
      <x:c r="F5255" s="1" t="str">
        <x:v>Late delivery</x:v>
      </x:c>
      <x:c r="G5255" s="6" t="n">
        <x:v>2</x:v>
      </x:c>
      <x:c r="H5255" s="6" t="n">
        <x:v>1</x:v>
      </x:c>
      <x:c r="I5255" s="6" t="n">
        <x:f>G5255-H5255</x:f>
        <x:v>1</x:v>
      </x:c>
      <x:c r="J5255" s="6" t="n">
        <x:f>IF(OR(E5255="CANCELED",E5255="SUSPECTED_FRAUD",F5255="Shipping canceled"),0,1)</x:f>
        <x:v>1</x:v>
      </x:c>
      <x:c r="K5255" s="6" t="n">
        <x:f>IF(G5255&gt;H5255,1,0)</x:f>
        <x:v>1</x:v>
      </x:c>
      <x:c r="L5255" s="6" t="n">
        <x:f>J5255*K5255</x:f>
        <x:v>1</x:v>
      </x:c>
    </x:row>
    <x:row r="5256">
      <x:c r="A5256" s="1" t="n">
        <x:v>41403</x:v>
      </x:c>
      <x:c r="B5256" s="5" t="d">
        <x:v>2016-08-27T00:00:00.000Z</x:v>
      </x:c>
      <x:c r="C5256" s="1" t="str">
        <x:v>Standard Class</x:v>
      </x:c>
      <x:c r="D5256" s="1" t="str">
        <x:v>USCA</x:v>
      </x:c>
      <x:c r="E5256" s="1" t="str">
        <x:v>PENDING</x:v>
      </x:c>
      <x:c r="F5256" s="1" t="str">
        <x:v>Shipping on time</x:v>
      </x:c>
      <x:c r="G5256" s="6" t="n">
        <x:v>4</x:v>
      </x:c>
      <x:c r="H5256" s="6" t="n">
        <x:v>4</x:v>
      </x:c>
      <x:c r="I5256" s="6" t="n">
        <x:f>G5256-H5256</x:f>
        <x:v>0</x:v>
      </x:c>
      <x:c r="J5256" s="6" t="n">
        <x:f>IF(OR(E5256="CANCELED",E5256="SUSPECTED_FRAUD",F5256="Shipping canceled"),0,1)</x:f>
        <x:v>1</x:v>
      </x:c>
      <x:c r="K5256" s="6" t="n">
        <x:f>IF(G5256&gt;H5256,1,0)</x:f>
        <x:v>0</x:v>
      </x:c>
      <x:c r="L5256" s="6" t="n">
        <x:f>J5256*K5256</x:f>
        <x:v>0</x:v>
      </x:c>
    </x:row>
    <x:row r="5257">
      <x:c r="A5257" s="1" t="n">
        <x:v>41404</x:v>
      </x:c>
      <x:c r="B5257" s="5" t="d">
        <x:v>2016-08-27T00:00:00.000Z</x:v>
      </x:c>
      <x:c r="C5257" s="1" t="str">
        <x:v>Standard Class</x:v>
      </x:c>
      <x:c r="D5257" s="1" t="str">
        <x:v>Africa</x:v>
      </x:c>
      <x:c r="E5257" s="1" t="str">
        <x:v>PENDING_PAYMENT</x:v>
      </x:c>
      <x:c r="F5257" s="1" t="str">
        <x:v>Late delivery</x:v>
      </x:c>
      <x:c r="G5257" s="6" t="n">
        <x:v>5</x:v>
      </x:c>
      <x:c r="H5257" s="6" t="n">
        <x:v>4</x:v>
      </x:c>
      <x:c r="I5257" s="6" t="n">
        <x:f>G5257-H5257</x:f>
        <x:v>1</x:v>
      </x:c>
      <x:c r="J5257" s="6" t="n">
        <x:f>IF(OR(E5257="CANCELED",E5257="SUSPECTED_FRAUD",F5257="Shipping canceled"),0,1)</x:f>
        <x:v>1</x:v>
      </x:c>
      <x:c r="K5257" s="6" t="n">
        <x:f>IF(G5257&gt;H5257,1,0)</x:f>
        <x:v>1</x:v>
      </x:c>
      <x:c r="L5257" s="6" t="n">
        <x:f>J5257*K5257</x:f>
        <x:v>1</x:v>
      </x:c>
    </x:row>
    <x:row r="5258">
      <x:c r="A5258" s="1" t="n">
        <x:v>41440</x:v>
      </x:c>
      <x:c r="B5258" s="5" t="d">
        <x:v>2016-08-27T00:00:00.000Z</x:v>
      </x:c>
      <x:c r="C5258" s="1" t="str">
        <x:v>Standard Class</x:v>
      </x:c>
      <x:c r="D5258" s="1" t="str">
        <x:v>Pacific Asia</x:v>
      </x:c>
      <x:c r="E5258" s="1" t="str">
        <x:v>CLOSED</x:v>
      </x:c>
      <x:c r="F5258" s="1" t="str">
        <x:v>Late delivery</x:v>
      </x:c>
      <x:c r="G5258" s="6" t="n">
        <x:v>6</x:v>
      </x:c>
      <x:c r="H5258" s="6" t="n">
        <x:v>4</x:v>
      </x:c>
      <x:c r="I5258" s="6" t="n">
        <x:f>G5258-H5258</x:f>
        <x:v>2</x:v>
      </x:c>
      <x:c r="J5258" s="6" t="n">
        <x:f>IF(OR(E5258="CANCELED",E5258="SUSPECTED_FRAUD",F5258="Shipping canceled"),0,1)</x:f>
        <x:v>1</x:v>
      </x:c>
      <x:c r="K5258" s="6" t="n">
        <x:f>IF(G5258&gt;H5258,1,0)</x:f>
        <x:v>1</x:v>
      </x:c>
      <x:c r="L5258" s="6" t="n">
        <x:f>J5258*K5258</x:f>
        <x:v>1</x:v>
      </x:c>
    </x:row>
    <x:row r="5259">
      <x:c r="A5259" s="1" t="n">
        <x:v>41441</x:v>
      </x:c>
      <x:c r="B5259" s="5" t="d">
        <x:v>2016-08-27T00:00:00.000Z</x:v>
      </x:c>
      <x:c r="C5259" s="1" t="str">
        <x:v>Standard Class</x:v>
      </x:c>
      <x:c r="D5259" s="1" t="str">
        <x:v>Pacific Asia</x:v>
      </x:c>
      <x:c r="E5259" s="1" t="str">
        <x:v>COMPLETE</x:v>
      </x:c>
      <x:c r="F5259" s="1" t="str">
        <x:v>Advance shipping</x:v>
      </x:c>
      <x:c r="G5259" s="6" t="n">
        <x:v>2</x:v>
      </x:c>
      <x:c r="H5259" s="6" t="n">
        <x:v>4</x:v>
      </x:c>
      <x:c r="I5259" s="6" t="n">
        <x:f>G5259-H5259</x:f>
        <x:v>-2</x:v>
      </x:c>
      <x:c r="J5259" s="6" t="n">
        <x:f>IF(OR(E5259="CANCELED",E5259="SUSPECTED_FRAUD",F5259="Shipping canceled"),0,1)</x:f>
        <x:v>1</x:v>
      </x:c>
      <x:c r="K5259" s="6" t="n">
        <x:f>IF(G5259&gt;H5259,1,0)</x:f>
        <x:v>0</x:v>
      </x:c>
      <x:c r="L5259" s="6" t="n">
        <x:f>J5259*K5259</x:f>
        <x:v>0</x:v>
      </x:c>
    </x:row>
    <x:row r="5260">
      <x:c r="A5260" s="1" t="n">
        <x:v>41442</x:v>
      </x:c>
      <x:c r="B5260" s="5" t="d">
        <x:v>2016-08-27T00:00:00.000Z</x:v>
      </x:c>
      <x:c r="C5260" s="1" t="str">
        <x:v>Standard Class</x:v>
      </x:c>
      <x:c r="D5260" s="1" t="str">
        <x:v>Africa</x:v>
      </x:c>
      <x:c r="E5260" s="1" t="str">
        <x:v>PENDING_PAYMENT</x:v>
      </x:c>
      <x:c r="F5260" s="1" t="str">
        <x:v>Advance shipping</x:v>
      </x:c>
      <x:c r="G5260" s="6" t="n">
        <x:v>3</x:v>
      </x:c>
      <x:c r="H5260" s="6" t="n">
        <x:v>4</x:v>
      </x:c>
      <x:c r="I5260" s="6" t="n">
        <x:f>G5260-H5260</x:f>
        <x:v>-1</x:v>
      </x:c>
      <x:c r="J5260" s="6" t="n">
        <x:f>IF(OR(E5260="CANCELED",E5260="SUSPECTED_FRAUD",F5260="Shipping canceled"),0,1)</x:f>
        <x:v>1</x:v>
      </x:c>
      <x:c r="K5260" s="6" t="n">
        <x:f>IF(G5260&gt;H5260,1,0)</x:f>
        <x:v>0</x:v>
      </x:c>
      <x:c r="L5260" s="6" t="n">
        <x:f>J5260*K5260</x:f>
        <x:v>0</x:v>
      </x:c>
    </x:row>
    <x:row r="5261">
      <x:c r="A5261" s="1" t="n">
        <x:v>41494</x:v>
      </x:c>
      <x:c r="B5261" s="5" t="d">
        <x:v>2016-08-28T00:00:00.000Z</x:v>
      </x:c>
      <x:c r="C5261" s="1" t="str">
        <x:v>Second Class</x:v>
      </x:c>
      <x:c r="D5261" s="1" t="str">
        <x:v>Europe</x:v>
      </x:c>
      <x:c r="E5261" s="1" t="str">
        <x:v>COMPLETE</x:v>
      </x:c>
      <x:c r="F5261" s="1" t="str">
        <x:v>Late delivery</x:v>
      </x:c>
      <x:c r="G5261" s="6" t="n">
        <x:v>5</x:v>
      </x:c>
      <x:c r="H5261" s="6" t="n">
        <x:v>2</x:v>
      </x:c>
      <x:c r="I5261" s="6" t="n">
        <x:f>G5261-H5261</x:f>
        <x:v>3</x:v>
      </x:c>
      <x:c r="J5261" s="6" t="n">
        <x:f>IF(OR(E5261="CANCELED",E5261="SUSPECTED_FRAUD",F5261="Shipping canceled"),0,1)</x:f>
        <x:v>1</x:v>
      </x:c>
      <x:c r="K5261" s="6" t="n">
        <x:f>IF(G5261&gt;H5261,1,0)</x:f>
        <x:v>1</x:v>
      </x:c>
      <x:c r="L5261" s="6" t="n">
        <x:f>J5261*K5261</x:f>
        <x:v>1</x:v>
      </x:c>
    </x:row>
    <x:row r="5262">
      <x:c r="A5262" s="1" t="n">
        <x:v>41505</x:v>
      </x:c>
      <x:c r="B5262" s="5" t="d">
        <x:v>2016-08-28T00:00:00.000Z</x:v>
      </x:c>
      <x:c r="C5262" s="1" t="str">
        <x:v>Standard Class</x:v>
      </x:c>
      <x:c r="D5262" s="1" t="str">
        <x:v>Africa</x:v>
      </x:c>
      <x:c r="E5262" s="1" t="str">
        <x:v>COMPLETE</x:v>
      </x:c>
      <x:c r="F5262" s="1" t="str">
        <x:v>Late delivery</x:v>
      </x:c>
      <x:c r="G5262" s="6" t="n">
        <x:v>6</x:v>
      </x:c>
      <x:c r="H5262" s="6" t="n">
        <x:v>4</x:v>
      </x:c>
      <x:c r="I5262" s="6" t="n">
        <x:f>G5262-H5262</x:f>
        <x:v>2</x:v>
      </x:c>
      <x:c r="J5262" s="6" t="n">
        <x:f>IF(OR(E5262="CANCELED",E5262="SUSPECTED_FRAUD",F5262="Shipping canceled"),0,1)</x:f>
        <x:v>1</x:v>
      </x:c>
      <x:c r="K5262" s="6" t="n">
        <x:f>IF(G5262&gt;H5262,1,0)</x:f>
        <x:v>1</x:v>
      </x:c>
      <x:c r="L5262" s="6" t="n">
        <x:f>J5262*K5262</x:f>
        <x:v>1</x:v>
      </x:c>
    </x:row>
    <x:row r="5263">
      <x:c r="A5263" s="1" t="n">
        <x:v>41535</x:v>
      </x:c>
      <x:c r="B5263" s="5" t="d">
        <x:v>2016-08-29T00:00:00.000Z</x:v>
      </x:c>
      <x:c r="C5263" s="1" t="str">
        <x:v>Second Class</x:v>
      </x:c>
      <x:c r="D5263" s="1" t="str">
        <x:v>Pacific Asia</x:v>
      </x:c>
      <x:c r="E5263" s="1" t="str">
        <x:v>ON_HOLD</x:v>
      </x:c>
      <x:c r="F5263" s="1" t="str">
        <x:v>Late delivery</x:v>
      </x:c>
      <x:c r="G5263" s="6" t="n">
        <x:v>6</x:v>
      </x:c>
      <x:c r="H5263" s="6" t="n">
        <x:v>2</x:v>
      </x:c>
      <x:c r="I5263" s="6" t="n">
        <x:f>G5263-H5263</x:f>
        <x:v>4</x:v>
      </x:c>
      <x:c r="J5263" s="6" t="n">
        <x:f>IF(OR(E5263="CANCELED",E5263="SUSPECTED_FRAUD",F5263="Shipping canceled"),0,1)</x:f>
        <x:v>1</x:v>
      </x:c>
      <x:c r="K5263" s="6" t="n">
        <x:f>IF(G5263&gt;H5263,1,0)</x:f>
        <x:v>1</x:v>
      </x:c>
      <x:c r="L5263" s="6" t="n">
        <x:f>J5263*K5263</x:f>
        <x:v>1</x:v>
      </x:c>
    </x:row>
    <x:row r="5264">
      <x:c r="A5264" s="1" t="n">
        <x:v>41543</x:v>
      </x:c>
      <x:c r="B5264" s="5" t="d">
        <x:v>2016-08-29T00:00:00.000Z</x:v>
      </x:c>
      <x:c r="C5264" s="1" t="str">
        <x:v>Standard Class</x:v>
      </x:c>
      <x:c r="D5264" s="1" t="str">
        <x:v>Pacific Asia</x:v>
      </x:c>
      <x:c r="E5264" s="1" t="str">
        <x:v>ON_HOLD</x:v>
      </x:c>
      <x:c r="F5264" s="1" t="str">
        <x:v>Shipping on time</x:v>
      </x:c>
      <x:c r="G5264" s="6" t="n">
        <x:v>4</x:v>
      </x:c>
      <x:c r="H5264" s="6" t="n">
        <x:v>4</x:v>
      </x:c>
      <x:c r="I5264" s="6" t="n">
        <x:f>G5264-H5264</x:f>
        <x:v>0</x:v>
      </x:c>
      <x:c r="J5264" s="6" t="n">
        <x:f>IF(OR(E5264="CANCELED",E5264="SUSPECTED_FRAUD",F5264="Shipping canceled"),0,1)</x:f>
        <x:v>1</x:v>
      </x:c>
      <x:c r="K5264" s="6" t="n">
        <x:f>IF(G5264&gt;H5264,1,0)</x:f>
        <x:v>0</x:v>
      </x:c>
      <x:c r="L5264" s="6" t="n">
        <x:f>J5264*K5264</x:f>
        <x:v>0</x:v>
      </x:c>
    </x:row>
    <x:row r="5265">
      <x:c r="A5265" s="1" t="n">
        <x:v>41545</x:v>
      </x:c>
      <x:c r="B5265" s="5" t="d">
        <x:v>2016-08-29T00:00:00.000Z</x:v>
      </x:c>
      <x:c r="C5265" s="1" t="str">
        <x:v>Standard Class</x:v>
      </x:c>
      <x:c r="D5265" s="1" t="str">
        <x:v>Africa</x:v>
      </x:c>
      <x:c r="E5265" s="1" t="str">
        <x:v>ON_HOLD</x:v>
      </x:c>
      <x:c r="F5265" s="1" t="str">
        <x:v>Late delivery</x:v>
      </x:c>
      <x:c r="G5265" s="6" t="n">
        <x:v>6</x:v>
      </x:c>
      <x:c r="H5265" s="6" t="n">
        <x:v>4</x:v>
      </x:c>
      <x:c r="I5265" s="6" t="n">
        <x:f>G5265-H5265</x:f>
        <x:v>2</x:v>
      </x:c>
      <x:c r="J5265" s="6" t="n">
        <x:f>IF(OR(E5265="CANCELED",E5265="SUSPECTED_FRAUD",F5265="Shipping canceled"),0,1)</x:f>
        <x:v>1</x:v>
      </x:c>
      <x:c r="K5265" s="6" t="n">
        <x:f>IF(G5265&gt;H5265,1,0)</x:f>
        <x:v>1</x:v>
      </x:c>
      <x:c r="L5265" s="6" t="n">
        <x:f>J5265*K5265</x:f>
        <x:v>1</x:v>
      </x:c>
    </x:row>
    <x:row r="5266">
      <x:c r="A5266" s="1" t="n">
        <x:v>41569</x:v>
      </x:c>
      <x:c r="B5266" s="5" t="d">
        <x:v>2016-08-29T00:00:00.000Z</x:v>
      </x:c>
      <x:c r="C5266" s="1" t="str">
        <x:v>Standard Class</x:v>
      </x:c>
      <x:c r="D5266" s="1" t="str">
        <x:v>Africa</x:v>
      </x:c>
      <x:c r="E5266" s="1" t="str">
        <x:v>SUSPECTED_FRAUD</x:v>
      </x:c>
      <x:c r="F5266" s="1" t="str">
        <x:v>Shipping canceled</x:v>
      </x:c>
      <x:c r="G5266" s="6" t="n">
        <x:v>5</x:v>
      </x:c>
      <x:c r="H5266" s="6" t="n">
        <x:v>4</x:v>
      </x:c>
      <x:c r="I5266" s="6" t="n">
        <x:f>G5266-H5266</x:f>
        <x:v>1</x:v>
      </x:c>
      <x:c r="J5266" s="6" t="n">
        <x:f>IF(OR(E5266="CANCELED",E5266="SUSPECTED_FRAUD",F5266="Shipping canceled"),0,1)</x:f>
        <x:v>0</x:v>
      </x:c>
      <x:c r="K5266" s="6" t="n">
        <x:f>IF(G5266&gt;H5266,1,0)</x:f>
        <x:v>1</x:v>
      </x:c>
      <x:c r="L5266" s="6" t="n">
        <x:f>J5266*K5266</x:f>
        <x:v>0</x:v>
      </x:c>
    </x:row>
    <x:row r="5267">
      <x:c r="A5267" s="1" t="n">
        <x:v>41572</x:v>
      </x:c>
      <x:c r="B5267" s="5" t="d">
        <x:v>2016-08-29T00:00:00.000Z</x:v>
      </x:c>
      <x:c r="C5267" s="1" t="str">
        <x:v>Standard Class</x:v>
      </x:c>
      <x:c r="D5267" s="1" t="str">
        <x:v>Africa</x:v>
      </x:c>
      <x:c r="E5267" s="1" t="str">
        <x:v>PROCESSING</x:v>
      </x:c>
      <x:c r="F5267" s="1" t="str">
        <x:v>Advance shipping</x:v>
      </x:c>
      <x:c r="G5267" s="6" t="n">
        <x:v>3</x:v>
      </x:c>
      <x:c r="H5267" s="6" t="n">
        <x:v>4</x:v>
      </x:c>
      <x:c r="I5267" s="6" t="n">
        <x:f>G5267-H5267</x:f>
        <x:v>-1</x:v>
      </x:c>
      <x:c r="J5267" s="6" t="n">
        <x:f>IF(OR(E5267="CANCELED",E5267="SUSPECTED_FRAUD",F5267="Shipping canceled"),0,1)</x:f>
        <x:v>1</x:v>
      </x:c>
      <x:c r="K5267" s="6" t="n">
        <x:f>IF(G5267&gt;H5267,1,0)</x:f>
        <x:v>0</x:v>
      </x:c>
      <x:c r="L5267" s="6" t="n">
        <x:f>J5267*K5267</x:f>
        <x:v>0</x:v>
      </x:c>
    </x:row>
    <x:row r="5268">
      <x:c r="A5268" s="1" t="n">
        <x:v>41583</x:v>
      </x:c>
      <x:c r="B5268" s="5" t="d">
        <x:v>2016-08-30T00:00:00.000Z</x:v>
      </x:c>
      <x:c r="C5268" s="1" t="str">
        <x:v>Second Class</x:v>
      </x:c>
      <x:c r="D5268" s="1" t="str">
        <x:v>Africa</x:v>
      </x:c>
      <x:c r="E5268" s="1" t="str">
        <x:v>COMPLETE</x:v>
      </x:c>
      <x:c r="F5268" s="1" t="str">
        <x:v>Late delivery</x:v>
      </x:c>
      <x:c r="G5268" s="6" t="n">
        <x:v>4</x:v>
      </x:c>
      <x:c r="H5268" s="6" t="n">
        <x:v>2</x:v>
      </x:c>
      <x:c r="I5268" s="6" t="n">
        <x:f>G5268-H5268</x:f>
        <x:v>2</x:v>
      </x:c>
      <x:c r="J5268" s="6" t="n">
        <x:f>IF(OR(E5268="CANCELED",E5268="SUSPECTED_FRAUD",F5268="Shipping canceled"),0,1)</x:f>
        <x:v>1</x:v>
      </x:c>
      <x:c r="K5268" s="6" t="n">
        <x:f>IF(G5268&gt;H5268,1,0)</x:f>
        <x:v>1</x:v>
      </x:c>
      <x:c r="L5268" s="6" t="n">
        <x:f>J5268*K5268</x:f>
        <x:v>1</x:v>
      </x:c>
    </x:row>
    <x:row r="5269">
      <x:c r="A5269" s="1" t="n">
        <x:v>41586</x:v>
      </x:c>
      <x:c r="B5269" s="5" t="d">
        <x:v>2016-08-30T00:00:00.000Z</x:v>
      </x:c>
      <x:c r="C5269" s="1" t="str">
        <x:v>Standard Class</x:v>
      </x:c>
      <x:c r="D5269" s="1" t="str">
        <x:v>USCA</x:v>
      </x:c>
      <x:c r="E5269" s="1" t="str">
        <x:v>COMPLETE</x:v>
      </x:c>
      <x:c r="F5269" s="1" t="str">
        <x:v>Advance shipping</x:v>
      </x:c>
      <x:c r="G5269" s="6" t="n">
        <x:v>2</x:v>
      </x:c>
      <x:c r="H5269" s="6" t="n">
        <x:v>4</x:v>
      </x:c>
      <x:c r="I5269" s="6" t="n">
        <x:f>G5269-H5269</x:f>
        <x:v>-2</x:v>
      </x:c>
      <x:c r="J5269" s="6" t="n">
        <x:f>IF(OR(E5269="CANCELED",E5269="SUSPECTED_FRAUD",F5269="Shipping canceled"),0,1)</x:f>
        <x:v>1</x:v>
      </x:c>
      <x:c r="K5269" s="6" t="n">
        <x:f>IF(G5269&gt;H5269,1,0)</x:f>
        <x:v>0</x:v>
      </x:c>
      <x:c r="L5269" s="6" t="n">
        <x:f>J5269*K5269</x:f>
        <x:v>0</x:v>
      </x:c>
    </x:row>
    <x:row r="5270">
      <x:c r="A5270" s="1" t="n">
        <x:v>41587</x:v>
      </x:c>
      <x:c r="B5270" s="5" t="d">
        <x:v>2016-08-30T00:00:00.000Z</x:v>
      </x:c>
      <x:c r="C5270" s="1" t="str">
        <x:v>Standard Class</x:v>
      </x:c>
      <x:c r="D5270" s="1" t="str">
        <x:v>Europe</x:v>
      </x:c>
      <x:c r="E5270" s="1" t="str">
        <x:v>COMPLETE</x:v>
      </x:c>
      <x:c r="F5270" s="1" t="str">
        <x:v>Advance shipping</x:v>
      </x:c>
      <x:c r="G5270" s="6" t="n">
        <x:v>3</x:v>
      </x:c>
      <x:c r="H5270" s="6" t="n">
        <x:v>4</x:v>
      </x:c>
      <x:c r="I5270" s="6" t="n">
        <x:f>G5270-H5270</x:f>
        <x:v>-1</x:v>
      </x:c>
      <x:c r="J5270" s="6" t="n">
        <x:f>IF(OR(E5270="CANCELED",E5270="SUSPECTED_FRAUD",F5270="Shipping canceled"),0,1)</x:f>
        <x:v>1</x:v>
      </x:c>
      <x:c r="K5270" s="6" t="n">
        <x:f>IF(G5270&gt;H5270,1,0)</x:f>
        <x:v>0</x:v>
      </x:c>
      <x:c r="L5270" s="6" t="n">
        <x:f>J5270*K5270</x:f>
        <x:v>0</x:v>
      </x:c>
    </x:row>
    <x:row r="5271">
      <x:c r="A5271" s="1" t="n">
        <x:v>41589</x:v>
      </x:c>
      <x:c r="B5271" s="5" t="d">
        <x:v>2016-08-30T00:00:00.000Z</x:v>
      </x:c>
      <x:c r="C5271" s="1" t="str">
        <x:v>Standard Class</x:v>
      </x:c>
      <x:c r="D5271" s="1" t="str">
        <x:v>Europe</x:v>
      </x:c>
      <x:c r="E5271" s="1" t="str">
        <x:v>PROCESSING</x:v>
      </x:c>
      <x:c r="F5271" s="1" t="str">
        <x:v>Late delivery</x:v>
      </x:c>
      <x:c r="G5271" s="6" t="n">
        <x:v>5</x:v>
      </x:c>
      <x:c r="H5271" s="6" t="n">
        <x:v>4</x:v>
      </x:c>
      <x:c r="I5271" s="6" t="n">
        <x:f>G5271-H5271</x:f>
        <x:v>1</x:v>
      </x:c>
      <x:c r="J5271" s="6" t="n">
        <x:f>IF(OR(E5271="CANCELED",E5271="SUSPECTED_FRAUD",F5271="Shipping canceled"),0,1)</x:f>
        <x:v>1</x:v>
      </x:c>
      <x:c r="K5271" s="6" t="n">
        <x:f>IF(G5271&gt;H5271,1,0)</x:f>
        <x:v>1</x:v>
      </x:c>
      <x:c r="L5271" s="6" t="n">
        <x:f>J5271*K5271</x:f>
        <x:v>1</x:v>
      </x:c>
    </x:row>
    <x:row r="5272">
      <x:c r="A5272" s="1" t="n">
        <x:v>41590</x:v>
      </x:c>
      <x:c r="B5272" s="5" t="d">
        <x:v>2016-08-30T00:00:00.000Z</x:v>
      </x:c>
      <x:c r="C5272" s="1" t="str">
        <x:v>Standard Class</x:v>
      </x:c>
      <x:c r="D5272" s="1" t="str">
        <x:v>Africa</x:v>
      </x:c>
      <x:c r="E5272" s="1" t="str">
        <x:v>SUSPECTED_FRAUD</x:v>
      </x:c>
      <x:c r="F5272" s="1" t="str">
        <x:v>Shipping canceled</x:v>
      </x:c>
      <x:c r="G5272" s="6" t="n">
        <x:v>6</x:v>
      </x:c>
      <x:c r="H5272" s="6" t="n">
        <x:v>4</x:v>
      </x:c>
      <x:c r="I5272" s="6" t="n">
        <x:f>G5272-H5272</x:f>
        <x:v>2</x:v>
      </x:c>
      <x:c r="J5272" s="6" t="n">
        <x:f>IF(OR(E5272="CANCELED",E5272="SUSPECTED_FRAUD",F5272="Shipping canceled"),0,1)</x:f>
        <x:v>0</x:v>
      </x:c>
      <x:c r="K5272" s="6" t="n">
        <x:f>IF(G5272&gt;H5272,1,0)</x:f>
        <x:v>1</x:v>
      </x:c>
      <x:c r="L5272" s="6" t="n">
        <x:f>J5272*K5272</x:f>
        <x:v>0</x:v>
      </x:c>
    </x:row>
    <x:row r="5273">
      <x:c r="A5273" s="1" t="n">
        <x:v>41591</x:v>
      </x:c>
      <x:c r="B5273" s="5" t="d">
        <x:v>2016-08-30T00:00:00.000Z</x:v>
      </x:c>
      <x:c r="C5273" s="1" t="str">
        <x:v>Standard Class</x:v>
      </x:c>
      <x:c r="D5273" s="1" t="str">
        <x:v>Africa</x:v>
      </x:c>
      <x:c r="E5273" s="1" t="str">
        <x:v>ON_HOLD</x:v>
      </x:c>
      <x:c r="F5273" s="1" t="str">
        <x:v>Advance shipping</x:v>
      </x:c>
      <x:c r="G5273" s="6" t="n">
        <x:v>2</x:v>
      </x:c>
      <x:c r="H5273" s="6" t="n">
        <x:v>4</x:v>
      </x:c>
      <x:c r="I5273" s="6" t="n">
        <x:f>G5273-H5273</x:f>
        <x:v>-2</x:v>
      </x:c>
      <x:c r="J5273" s="6" t="n">
        <x:f>IF(OR(E5273="CANCELED",E5273="SUSPECTED_FRAUD",F5273="Shipping canceled"),0,1)</x:f>
        <x:v>1</x:v>
      </x:c>
      <x:c r="K5273" s="6" t="n">
        <x:f>IF(G5273&gt;H5273,1,0)</x:f>
        <x:v>0</x:v>
      </x:c>
      <x:c r="L5273" s="6" t="n">
        <x:f>J5273*K5273</x:f>
        <x:v>0</x:v>
      </x:c>
    </x:row>
    <x:row r="5274">
      <x:c r="A5274" s="1" t="n">
        <x:v>41593</x:v>
      </x:c>
      <x:c r="B5274" s="5" t="d">
        <x:v>2016-08-30T00:00:00.000Z</x:v>
      </x:c>
      <x:c r="C5274" s="1" t="str">
        <x:v>Standard Class</x:v>
      </x:c>
      <x:c r="D5274" s="1" t="str">
        <x:v>Africa</x:v>
      </x:c>
      <x:c r="E5274" s="1" t="str">
        <x:v>COMPLETE</x:v>
      </x:c>
      <x:c r="F5274" s="1" t="str">
        <x:v>Shipping on time</x:v>
      </x:c>
      <x:c r="G5274" s="6" t="n">
        <x:v>4</x:v>
      </x:c>
      <x:c r="H5274" s="6" t="n">
        <x:v>4</x:v>
      </x:c>
      <x:c r="I5274" s="6" t="n">
        <x:f>G5274-H5274</x:f>
        <x:v>0</x:v>
      </x:c>
      <x:c r="J5274" s="6" t="n">
        <x:f>IF(OR(E5274="CANCELED",E5274="SUSPECTED_FRAUD",F5274="Shipping canceled"),0,1)</x:f>
        <x:v>1</x:v>
      </x:c>
      <x:c r="K5274" s="6" t="n">
        <x:f>IF(G5274&gt;H5274,1,0)</x:f>
        <x:v>0</x:v>
      </x:c>
      <x:c r="L5274" s="6" t="n">
        <x:f>J5274*K5274</x:f>
        <x:v>0</x:v>
      </x:c>
    </x:row>
    <x:row r="5275">
      <x:c r="A5275" s="1" t="n">
        <x:v>41605</x:v>
      </x:c>
      <x:c r="B5275" s="5" t="d">
        <x:v>2016-08-30T00:00:00.000Z</x:v>
      </x:c>
      <x:c r="C5275" s="1" t="str">
        <x:v>Standard Class</x:v>
      </x:c>
      <x:c r="D5275" s="1" t="str">
        <x:v>Europe</x:v>
      </x:c>
      <x:c r="E5275" s="1" t="str">
        <x:v>COMPLETE</x:v>
      </x:c>
      <x:c r="F5275" s="1" t="str">
        <x:v>Late delivery</x:v>
      </x:c>
      <x:c r="G5275" s="6" t="n">
        <x:v>6</x:v>
      </x:c>
      <x:c r="H5275" s="6" t="n">
        <x:v>4</x:v>
      </x:c>
      <x:c r="I5275" s="6" t="n">
        <x:f>G5275-H5275</x:f>
        <x:v>2</x:v>
      </x:c>
      <x:c r="J5275" s="6" t="n">
        <x:f>IF(OR(E5275="CANCELED",E5275="SUSPECTED_FRAUD",F5275="Shipping canceled"),0,1)</x:f>
        <x:v>1</x:v>
      </x:c>
      <x:c r="K5275" s="6" t="n">
        <x:f>IF(G5275&gt;H5275,1,0)</x:f>
        <x:v>1</x:v>
      </x:c>
      <x:c r="L5275" s="6" t="n">
        <x:f>J5275*K5275</x:f>
        <x:v>1</x:v>
      </x:c>
    </x:row>
    <x:row r="5276">
      <x:c r="A5276" s="1" t="n">
        <x:v>41608</x:v>
      </x:c>
      <x:c r="B5276" s="5" t="d">
        <x:v>2016-08-30T00:00:00.000Z</x:v>
      </x:c>
      <x:c r="C5276" s="1" t="str">
        <x:v>Standard Class</x:v>
      </x:c>
      <x:c r="D5276" s="1" t="str">
        <x:v>Pacific Asia</x:v>
      </x:c>
      <x:c r="E5276" s="1" t="str">
        <x:v>COMPLETE</x:v>
      </x:c>
      <x:c r="F5276" s="1" t="str">
        <x:v>Shipping on time</x:v>
      </x:c>
      <x:c r="G5276" s="6" t="n">
        <x:v>4</x:v>
      </x:c>
      <x:c r="H5276" s="6" t="n">
        <x:v>4</x:v>
      </x:c>
      <x:c r="I5276" s="6" t="n">
        <x:f>G5276-H5276</x:f>
        <x:v>0</x:v>
      </x:c>
      <x:c r="J5276" s="6" t="n">
        <x:f>IF(OR(E5276="CANCELED",E5276="SUSPECTED_FRAUD",F5276="Shipping canceled"),0,1)</x:f>
        <x:v>1</x:v>
      </x:c>
      <x:c r="K5276" s="6" t="n">
        <x:f>IF(G5276&gt;H5276,1,0)</x:f>
        <x:v>0</x:v>
      </x:c>
      <x:c r="L5276" s="6" t="n">
        <x:f>J5276*K5276</x:f>
        <x:v>0</x:v>
      </x:c>
    </x:row>
    <x:row r="5277">
      <x:c r="A5277" s="1" t="n">
        <x:v>41609</x:v>
      </x:c>
      <x:c r="B5277" s="5" t="d">
        <x:v>2016-08-30T00:00:00.000Z</x:v>
      </x:c>
      <x:c r="C5277" s="1" t="str">
        <x:v>Standard Class</x:v>
      </x:c>
      <x:c r="D5277" s="1" t="str">
        <x:v>Pacific Asia</x:v>
      </x:c>
      <x:c r="E5277" s="1" t="str">
        <x:v>COMPLETE</x:v>
      </x:c>
      <x:c r="F5277" s="1" t="str">
        <x:v>Late delivery</x:v>
      </x:c>
      <x:c r="G5277" s="6" t="n">
        <x:v>5</x:v>
      </x:c>
      <x:c r="H5277" s="6" t="n">
        <x:v>4</x:v>
      </x:c>
      <x:c r="I5277" s="6" t="n">
        <x:f>G5277-H5277</x:f>
        <x:v>1</x:v>
      </x:c>
      <x:c r="J5277" s="6" t="n">
        <x:f>IF(OR(E5277="CANCELED",E5277="SUSPECTED_FRAUD",F5277="Shipping canceled"),0,1)</x:f>
        <x:v>1</x:v>
      </x:c>
      <x:c r="K5277" s="6" t="n">
        <x:f>IF(G5277&gt;H5277,1,0)</x:f>
        <x:v>1</x:v>
      </x:c>
      <x:c r="L5277" s="6" t="n">
        <x:f>J5277*K5277</x:f>
        <x:v>1</x:v>
      </x:c>
    </x:row>
    <x:row r="5278">
      <x:c r="A5278" s="1" t="n">
        <x:v>41611</x:v>
      </x:c>
      <x:c r="B5278" s="5" t="d">
        <x:v>2016-08-30T00:00:00.000Z</x:v>
      </x:c>
      <x:c r="C5278" s="1" t="str">
        <x:v>Standard Class</x:v>
      </x:c>
      <x:c r="D5278" s="1" t="str">
        <x:v>Pacific Asia</x:v>
      </x:c>
      <x:c r="E5278" s="1" t="str">
        <x:v>COMPLETE</x:v>
      </x:c>
      <x:c r="F5278" s="1" t="str">
        <x:v>Advance shipping</x:v>
      </x:c>
      <x:c r="G5278" s="6" t="n">
        <x:v>2</x:v>
      </x:c>
      <x:c r="H5278" s="6" t="n">
        <x:v>4</x:v>
      </x:c>
      <x:c r="I5278" s="6" t="n">
        <x:f>G5278-H5278</x:f>
        <x:v>-2</x:v>
      </x:c>
      <x:c r="J5278" s="6" t="n">
        <x:f>IF(OR(E5278="CANCELED",E5278="SUSPECTED_FRAUD",F5278="Shipping canceled"),0,1)</x:f>
        <x:v>1</x:v>
      </x:c>
      <x:c r="K5278" s="6" t="n">
        <x:f>IF(G5278&gt;H5278,1,0)</x:f>
        <x:v>0</x:v>
      </x:c>
      <x:c r="L5278" s="6" t="n">
        <x:f>J5278*K5278</x:f>
        <x:v>0</x:v>
      </x:c>
    </x:row>
    <x:row r="5279">
      <x:c r="A5279" s="1" t="n">
        <x:v>41612</x:v>
      </x:c>
      <x:c r="B5279" s="5" t="d">
        <x:v>2016-08-30T00:00:00.000Z</x:v>
      </x:c>
      <x:c r="C5279" s="1" t="str">
        <x:v>Standard Class</x:v>
      </x:c>
      <x:c r="D5279" s="1" t="str">
        <x:v>USCA</x:v>
      </x:c>
      <x:c r="E5279" s="1" t="str">
        <x:v>PROCESSING</x:v>
      </x:c>
      <x:c r="F5279" s="1" t="str">
        <x:v>Advance shipping</x:v>
      </x:c>
      <x:c r="G5279" s="6" t="n">
        <x:v>3</x:v>
      </x:c>
      <x:c r="H5279" s="6" t="n">
        <x:v>4</x:v>
      </x:c>
      <x:c r="I5279" s="6" t="n">
        <x:f>G5279-H5279</x:f>
        <x:v>-1</x:v>
      </x:c>
      <x:c r="J5279" s="6" t="n">
        <x:f>IF(OR(E5279="CANCELED",E5279="SUSPECTED_FRAUD",F5279="Shipping canceled"),0,1)</x:f>
        <x:v>1</x:v>
      </x:c>
      <x:c r="K5279" s="6" t="n">
        <x:f>IF(G5279&gt;H5279,1,0)</x:f>
        <x:v>0</x:v>
      </x:c>
      <x:c r="L5279" s="6" t="n">
        <x:f>J5279*K5279</x:f>
        <x:v>0</x:v>
      </x:c>
    </x:row>
    <x:row r="5280">
      <x:c r="A5280" s="1" t="n">
        <x:v>41620</x:v>
      </x:c>
      <x:c r="B5280" s="5" t="d">
        <x:v>2016-08-30T00:00:00.000Z</x:v>
      </x:c>
      <x:c r="C5280" s="1" t="str">
        <x:v>Standard Class</x:v>
      </x:c>
      <x:c r="D5280" s="1" t="str">
        <x:v>Pacific Asia</x:v>
      </x:c>
      <x:c r="E5280" s="1" t="str">
        <x:v>COMPLETE</x:v>
      </x:c>
      <x:c r="F5280" s="1" t="str">
        <x:v>Late delivery</x:v>
      </x:c>
      <x:c r="G5280" s="6" t="n">
        <x:v>6</x:v>
      </x:c>
      <x:c r="H5280" s="6" t="n">
        <x:v>4</x:v>
      </x:c>
      <x:c r="I5280" s="6" t="n">
        <x:f>G5280-H5280</x:f>
        <x:v>2</x:v>
      </x:c>
      <x:c r="J5280" s="6" t="n">
        <x:f>IF(OR(E5280="CANCELED",E5280="SUSPECTED_FRAUD",F5280="Shipping canceled"),0,1)</x:f>
        <x:v>1</x:v>
      </x:c>
      <x:c r="K5280" s="6" t="n">
        <x:f>IF(G5280&gt;H5280,1,0)</x:f>
        <x:v>1</x:v>
      </x:c>
      <x:c r="L5280" s="6" t="n">
        <x:f>J5280*K5280</x:f>
        <x:v>1</x:v>
      </x:c>
    </x:row>
    <x:row r="5281">
      <x:c r="A5281" s="1" t="n">
        <x:v>41621</x:v>
      </x:c>
      <x:c r="B5281" s="5" t="d">
        <x:v>2016-08-30T00:00:00.000Z</x:v>
      </x:c>
      <x:c r="C5281" s="1" t="str">
        <x:v>Standard Class</x:v>
      </x:c>
      <x:c r="D5281" s="1" t="str">
        <x:v>Europe</x:v>
      </x:c>
      <x:c r="E5281" s="1" t="str">
        <x:v>COMPLETE</x:v>
      </x:c>
      <x:c r="F5281" s="1" t="str">
        <x:v>Advance shipping</x:v>
      </x:c>
      <x:c r="G5281" s="6" t="n">
        <x:v>2</x:v>
      </x:c>
      <x:c r="H5281" s="6" t="n">
        <x:v>4</x:v>
      </x:c>
      <x:c r="I5281" s="6" t="n">
        <x:f>G5281-H5281</x:f>
        <x:v>-2</x:v>
      </x:c>
      <x:c r="J5281" s="6" t="n">
        <x:f>IF(OR(E5281="CANCELED",E5281="SUSPECTED_FRAUD",F5281="Shipping canceled"),0,1)</x:f>
        <x:v>1</x:v>
      </x:c>
      <x:c r="K5281" s="6" t="n">
        <x:f>IF(G5281&gt;H5281,1,0)</x:f>
        <x:v>0</x:v>
      </x:c>
      <x:c r="L5281" s="6" t="n">
        <x:f>J5281*K5281</x:f>
        <x:v>0</x:v>
      </x:c>
    </x:row>
    <x:row r="5282">
      <x:c r="A5282" s="1" t="n">
        <x:v>41623</x:v>
      </x:c>
      <x:c r="B5282" s="5" t="d">
        <x:v>2016-08-30T00:00:00.000Z</x:v>
      </x:c>
      <x:c r="C5282" s="1" t="str">
        <x:v>Standard Class</x:v>
      </x:c>
      <x:c r="D5282" s="1" t="str">
        <x:v>USCA</x:v>
      </x:c>
      <x:c r="E5282" s="1" t="str">
        <x:v>SUSPECTED_FRAUD</x:v>
      </x:c>
      <x:c r="F5282" s="1" t="str">
        <x:v>Shipping canceled</x:v>
      </x:c>
      <x:c r="G5282" s="6" t="n">
        <x:v>4</x:v>
      </x:c>
      <x:c r="H5282" s="6" t="n">
        <x:v>4</x:v>
      </x:c>
      <x:c r="I5282" s="6" t="n">
        <x:f>G5282-H5282</x:f>
        <x:v>0</x:v>
      </x:c>
      <x:c r="J5282" s="6" t="n">
        <x:f>IF(OR(E5282="CANCELED",E5282="SUSPECTED_FRAUD",F5282="Shipping canceled"),0,1)</x:f>
        <x:v>0</x:v>
      </x:c>
      <x:c r="K5282" s="6" t="n">
        <x:f>IF(G5282&gt;H5282,1,0)</x:f>
        <x:v>0</x:v>
      </x:c>
      <x:c r="L5282" s="6" t="n">
        <x:f>J5282*K5282</x:f>
        <x:v>0</x:v>
      </x:c>
    </x:row>
    <x:row r="5283">
      <x:c r="A5283" s="1" t="n">
        <x:v>41625</x:v>
      </x:c>
      <x:c r="B5283" s="5" t="d">
        <x:v>2016-08-30T00:00:00.000Z</x:v>
      </x:c>
      <x:c r="C5283" s="1" t="str">
        <x:v>Standard Class</x:v>
      </x:c>
      <x:c r="D5283" s="1" t="str">
        <x:v>Africa</x:v>
      </x:c>
      <x:c r="E5283" s="1" t="str">
        <x:v>CLOSED</x:v>
      </x:c>
      <x:c r="F5283" s="1" t="str">
        <x:v>Late delivery</x:v>
      </x:c>
      <x:c r="G5283" s="6" t="n">
        <x:v>6</x:v>
      </x:c>
      <x:c r="H5283" s="6" t="n">
        <x:v>4</x:v>
      </x:c>
      <x:c r="I5283" s="6" t="n">
        <x:f>G5283-H5283</x:f>
        <x:v>2</x:v>
      </x:c>
      <x:c r="J5283" s="6" t="n">
        <x:f>IF(OR(E5283="CANCELED",E5283="SUSPECTED_FRAUD",F5283="Shipping canceled"),0,1)</x:f>
        <x:v>1</x:v>
      </x:c>
      <x:c r="K5283" s="6" t="n">
        <x:f>IF(G5283&gt;H5283,1,0)</x:f>
        <x:v>1</x:v>
      </x:c>
      <x:c r="L5283" s="6" t="n">
        <x:f>J5283*K5283</x:f>
        <x:v>1</x:v>
      </x:c>
    </x:row>
    <x:row r="5284">
      <x:c r="A5284" s="1" t="n">
        <x:v>41630</x:v>
      </x:c>
      <x:c r="B5284" s="5" t="d">
        <x:v>2016-08-30T00:00:00.000Z</x:v>
      </x:c>
      <x:c r="C5284" s="1" t="str">
        <x:v>Standard Class</x:v>
      </x:c>
      <x:c r="D5284" s="1" t="str">
        <x:v>Pacific Asia</x:v>
      </x:c>
      <x:c r="E5284" s="1" t="str">
        <x:v>COMPLETE</x:v>
      </x:c>
      <x:c r="F5284" s="1" t="str">
        <x:v>Late delivery</x:v>
      </x:c>
      <x:c r="G5284" s="6" t="n">
        <x:v>6</x:v>
      </x:c>
      <x:c r="H5284" s="6" t="n">
        <x:v>4</x:v>
      </x:c>
      <x:c r="I5284" s="6" t="n">
        <x:f>G5284-H5284</x:f>
        <x:v>2</x:v>
      </x:c>
      <x:c r="J5284" s="6" t="n">
        <x:f>IF(OR(E5284="CANCELED",E5284="SUSPECTED_FRAUD",F5284="Shipping canceled"),0,1)</x:f>
        <x:v>1</x:v>
      </x:c>
      <x:c r="K5284" s="6" t="n">
        <x:f>IF(G5284&gt;H5284,1,0)</x:f>
        <x:v>1</x:v>
      </x:c>
      <x:c r="L5284" s="6" t="n">
        <x:f>J5284*K5284</x:f>
        <x:v>1</x:v>
      </x:c>
    </x:row>
    <x:row r="5285">
      <x:c r="A5285" s="1" t="n">
        <x:v>41640</x:v>
      </x:c>
      <x:c r="B5285" s="5" t="d">
        <x:v>2016-08-30T00:00:00.000Z</x:v>
      </x:c>
      <x:c r="C5285" s="1" t="str">
        <x:v>Standard Class</x:v>
      </x:c>
      <x:c r="D5285" s="1" t="str">
        <x:v>Africa</x:v>
      </x:c>
      <x:c r="E5285" s="1" t="str">
        <x:v>PENDING_PAYMENT</x:v>
      </x:c>
      <x:c r="F5285" s="1" t="str">
        <x:v>Late delivery</x:v>
      </x:c>
      <x:c r="G5285" s="6" t="n">
        <x:v>6</x:v>
      </x:c>
      <x:c r="H5285" s="6" t="n">
        <x:v>4</x:v>
      </x:c>
      <x:c r="I5285" s="6" t="n">
        <x:f>G5285-H5285</x:f>
        <x:v>2</x:v>
      </x:c>
      <x:c r="J5285" s="6" t="n">
        <x:f>IF(OR(E5285="CANCELED",E5285="SUSPECTED_FRAUD",F5285="Shipping canceled"),0,1)</x:f>
        <x:v>1</x:v>
      </x:c>
      <x:c r="K5285" s="6" t="n">
        <x:f>IF(G5285&gt;H5285,1,0)</x:f>
        <x:v>1</x:v>
      </x:c>
      <x:c r="L5285" s="6" t="n">
        <x:f>J5285*K5285</x:f>
        <x:v>1</x:v>
      </x:c>
    </x:row>
    <x:row r="5286">
      <x:c r="A5286" s="1" t="n">
        <x:v>41661</x:v>
      </x:c>
      <x:c r="B5286" s="5" t="d">
        <x:v>2016-08-31T00:00:00.000Z</x:v>
      </x:c>
      <x:c r="C5286" s="1" t="str">
        <x:v>Standard Class</x:v>
      </x:c>
      <x:c r="D5286" s="1" t="str">
        <x:v>Europe</x:v>
      </x:c>
      <x:c r="E5286" s="1" t="str">
        <x:v>PROCESSING</x:v>
      </x:c>
      <x:c r="F5286" s="1" t="str">
        <x:v>Advance shipping</x:v>
      </x:c>
      <x:c r="G5286" s="6" t="n">
        <x:v>2</x:v>
      </x:c>
      <x:c r="H5286" s="6" t="n">
        <x:v>4</x:v>
      </x:c>
      <x:c r="I5286" s="6" t="n">
        <x:f>G5286-H5286</x:f>
        <x:v>-2</x:v>
      </x:c>
      <x:c r="J5286" s="6" t="n">
        <x:f>IF(OR(E5286="CANCELED",E5286="SUSPECTED_FRAUD",F5286="Shipping canceled"),0,1)</x:f>
        <x:v>1</x:v>
      </x:c>
      <x:c r="K5286" s="6" t="n">
        <x:f>IF(G5286&gt;H5286,1,0)</x:f>
        <x:v>0</x:v>
      </x:c>
      <x:c r="L5286" s="6" t="n">
        <x:f>J5286*K5286</x:f>
        <x:v>0</x:v>
      </x:c>
    </x:row>
    <x:row r="5287">
      <x:c r="A5287" s="1" t="n">
        <x:v>41662</x:v>
      </x:c>
      <x:c r="B5287" s="5" t="d">
        <x:v>2016-08-31T00:00:00.000Z</x:v>
      </x:c>
      <x:c r="C5287" s="1" t="str">
        <x:v>Second Class</x:v>
      </x:c>
      <x:c r="D5287" s="1" t="str">
        <x:v>Pacific Asia</x:v>
      </x:c>
      <x:c r="E5287" s="1" t="str">
        <x:v>CLOSED</x:v>
      </x:c>
      <x:c r="F5287" s="1" t="str">
        <x:v>Late delivery</x:v>
      </x:c>
      <x:c r="G5287" s="6" t="n">
        <x:v>3</x:v>
      </x:c>
      <x:c r="H5287" s="6" t="n">
        <x:v>2</x:v>
      </x:c>
      <x:c r="I5287" s="6" t="n">
        <x:f>G5287-H5287</x:f>
        <x:v>1</x:v>
      </x:c>
      <x:c r="J5287" s="6" t="n">
        <x:f>IF(OR(E5287="CANCELED",E5287="SUSPECTED_FRAUD",F5287="Shipping canceled"),0,1)</x:f>
        <x:v>1</x:v>
      </x:c>
      <x:c r="K5287" s="6" t="n">
        <x:f>IF(G5287&gt;H5287,1,0)</x:f>
        <x:v>1</x:v>
      </x:c>
      <x:c r="L5287" s="6" t="n">
        <x:f>J5287*K5287</x:f>
        <x:v>1</x:v>
      </x:c>
    </x:row>
    <x:row r="5288">
      <x:c r="A5288" s="1" t="n">
        <x:v>41667</x:v>
      </x:c>
      <x:c r="B5288" s="5" t="d">
        <x:v>2016-08-31T00:00:00.000Z</x:v>
      </x:c>
      <x:c r="C5288" s="1" t="str">
        <x:v>Standard Class</x:v>
      </x:c>
      <x:c r="D5288" s="1" t="str">
        <x:v>Pacific Asia</x:v>
      </x:c>
      <x:c r="E5288" s="1" t="str">
        <x:v>COMPLETE</x:v>
      </x:c>
      <x:c r="F5288" s="1" t="str">
        <x:v>Advance shipping</x:v>
      </x:c>
      <x:c r="G5288" s="6" t="n">
        <x:v>3</x:v>
      </x:c>
      <x:c r="H5288" s="6" t="n">
        <x:v>4</x:v>
      </x:c>
      <x:c r="I5288" s="6" t="n">
        <x:f>G5288-H5288</x:f>
        <x:v>-1</x:v>
      </x:c>
      <x:c r="J5288" s="6" t="n">
        <x:f>IF(OR(E5288="CANCELED",E5288="SUSPECTED_FRAUD",F5288="Shipping canceled"),0,1)</x:f>
        <x:v>1</x:v>
      </x:c>
      <x:c r="K5288" s="6" t="n">
        <x:f>IF(G5288&gt;H5288,1,0)</x:f>
        <x:v>0</x:v>
      </x:c>
      <x:c r="L5288" s="6" t="n">
        <x:f>J5288*K5288</x:f>
        <x:v>0</x:v>
      </x:c>
    </x:row>
    <x:row r="5289">
      <x:c r="A5289" s="1" t="n">
        <x:v>41676</x:v>
      </x:c>
      <x:c r="B5289" s="5" t="d">
        <x:v>2016-08-31T00:00:00.000Z</x:v>
      </x:c>
      <x:c r="C5289" s="1" t="str">
        <x:v>Standard Class</x:v>
      </x:c>
      <x:c r="D5289" s="1" t="str">
        <x:v>Pacific Asia</x:v>
      </x:c>
      <x:c r="E5289" s="1" t="str">
        <x:v>COMPLETE</x:v>
      </x:c>
      <x:c r="F5289" s="1" t="str">
        <x:v>Advance shipping</x:v>
      </x:c>
      <x:c r="G5289" s="6" t="n">
        <x:v>2</x:v>
      </x:c>
      <x:c r="H5289" s="6" t="n">
        <x:v>4</x:v>
      </x:c>
      <x:c r="I5289" s="6" t="n">
        <x:f>G5289-H5289</x:f>
        <x:v>-2</x:v>
      </x:c>
      <x:c r="J5289" s="6" t="n">
        <x:f>IF(OR(E5289="CANCELED",E5289="SUSPECTED_FRAUD",F5289="Shipping canceled"),0,1)</x:f>
        <x:v>1</x:v>
      </x:c>
      <x:c r="K5289" s="6" t="n">
        <x:f>IF(G5289&gt;H5289,1,0)</x:f>
        <x:v>0</x:v>
      </x:c>
      <x:c r="L5289" s="6" t="n">
        <x:f>J5289*K5289</x:f>
        <x:v>0</x:v>
      </x:c>
    </x:row>
    <x:row r="5290">
      <x:c r="A5290" s="1" t="n">
        <x:v>41686</x:v>
      </x:c>
      <x:c r="B5290" s="5" t="d">
        <x:v>2016-08-31T00:00:00.000Z</x:v>
      </x:c>
      <x:c r="C5290" s="1" t="str">
        <x:v>Standard Class</x:v>
      </x:c>
      <x:c r="D5290" s="1" t="str">
        <x:v>Pacific Asia</x:v>
      </x:c>
      <x:c r="E5290" s="1" t="str">
        <x:v>COMPLETE</x:v>
      </x:c>
      <x:c r="F5290" s="1" t="str">
        <x:v>Advance shipping</x:v>
      </x:c>
      <x:c r="G5290" s="6" t="n">
        <x:v>2</x:v>
      </x:c>
      <x:c r="H5290" s="6" t="n">
        <x:v>4</x:v>
      </x:c>
      <x:c r="I5290" s="6" t="n">
        <x:f>G5290-H5290</x:f>
        <x:v>-2</x:v>
      </x:c>
      <x:c r="J5290" s="6" t="n">
        <x:f>IF(OR(E5290="CANCELED",E5290="SUSPECTED_FRAUD",F5290="Shipping canceled"),0,1)</x:f>
        <x:v>1</x:v>
      </x:c>
      <x:c r="K5290" s="6" t="n">
        <x:f>IF(G5290&gt;H5290,1,0)</x:f>
        <x:v>0</x:v>
      </x:c>
      <x:c r="L5290" s="6" t="n">
        <x:f>J5290*K5290</x:f>
        <x:v>0</x:v>
      </x:c>
    </x:row>
    <x:row r="5291">
      <x:c r="A5291" s="1" t="n">
        <x:v>41689</x:v>
      </x:c>
      <x:c r="B5291" s="5" t="d">
        <x:v>2016-08-31T00:00:00.000Z</x:v>
      </x:c>
      <x:c r="C5291" s="1" t="str">
        <x:v>First Class</x:v>
      </x:c>
      <x:c r="D5291" s="1" t="str">
        <x:v>Pacific Asia</x:v>
      </x:c>
      <x:c r="E5291" s="1" t="str">
        <x:v>PENDING</x:v>
      </x:c>
      <x:c r="F5291" s="1" t="str">
        <x:v>Late delivery</x:v>
      </x:c>
      <x:c r="G5291" s="6" t="n">
        <x:v>2</x:v>
      </x:c>
      <x:c r="H5291" s="6" t="n">
        <x:v>1</x:v>
      </x:c>
      <x:c r="I5291" s="6" t="n">
        <x:f>G5291-H5291</x:f>
        <x:v>1</x:v>
      </x:c>
      <x:c r="J5291" s="6" t="n">
        <x:f>IF(OR(E5291="CANCELED",E5291="SUSPECTED_FRAUD",F5291="Shipping canceled"),0,1)</x:f>
        <x:v>1</x:v>
      </x:c>
      <x:c r="K5291" s="6" t="n">
        <x:f>IF(G5291&gt;H5291,1,0)</x:f>
        <x:v>1</x:v>
      </x:c>
      <x:c r="L5291" s="6" t="n">
        <x:f>J5291*K5291</x:f>
        <x:v>1</x:v>
      </x:c>
    </x:row>
    <x:row r="5292">
      <x:c r="A5292" s="1" t="n">
        <x:v>41702</x:v>
      </x:c>
      <x:c r="B5292" s="5" t="d">
        <x:v>2016-08-31T00:00:00.000Z</x:v>
      </x:c>
      <x:c r="C5292" s="1" t="str">
        <x:v>First Class</x:v>
      </x:c>
      <x:c r="D5292" s="1" t="str">
        <x:v>Africa</x:v>
      </x:c>
      <x:c r="E5292" s="1" t="str">
        <x:v>CLOSED</x:v>
      </x:c>
      <x:c r="F5292" s="1" t="str">
        <x:v>Late delivery</x:v>
      </x:c>
      <x:c r="G5292" s="6" t="n">
        <x:v>2</x:v>
      </x:c>
      <x:c r="H5292" s="6" t="n">
        <x:v>1</x:v>
      </x:c>
      <x:c r="I5292" s="6" t="n">
        <x:f>G5292-H5292</x:f>
        <x:v>1</x:v>
      </x:c>
      <x:c r="J5292" s="6" t="n">
        <x:f>IF(OR(E5292="CANCELED",E5292="SUSPECTED_FRAUD",F5292="Shipping canceled"),0,1)</x:f>
        <x:v>1</x:v>
      </x:c>
      <x:c r="K5292" s="6" t="n">
        <x:f>IF(G5292&gt;H5292,1,0)</x:f>
        <x:v>1</x:v>
      </x:c>
      <x:c r="L5292" s="6" t="n">
        <x:f>J5292*K5292</x:f>
        <x:v>1</x:v>
      </x:c>
    </x:row>
    <x:row r="5293">
      <x:c r="A5293" s="1" t="n">
        <x:v>41711</x:v>
      </x:c>
      <x:c r="B5293" s="5" t="d">
        <x:v>2016-08-31T00:00:00.000Z</x:v>
      </x:c>
      <x:c r="C5293" s="1" t="str">
        <x:v>Standard Class</x:v>
      </x:c>
      <x:c r="D5293" s="1" t="str">
        <x:v>Africa</x:v>
      </x:c>
      <x:c r="E5293" s="1" t="str">
        <x:v>PROCESSING</x:v>
      </x:c>
      <x:c r="F5293" s="1" t="str">
        <x:v>Advance shipping</x:v>
      </x:c>
      <x:c r="G5293" s="6" t="n">
        <x:v>2</x:v>
      </x:c>
      <x:c r="H5293" s="6" t="n">
        <x:v>4</x:v>
      </x:c>
      <x:c r="I5293" s="6" t="n">
        <x:f>G5293-H5293</x:f>
        <x:v>-2</x:v>
      </x:c>
      <x:c r="J5293" s="6" t="n">
        <x:f>IF(OR(E5293="CANCELED",E5293="SUSPECTED_FRAUD",F5293="Shipping canceled"),0,1)</x:f>
        <x:v>1</x:v>
      </x:c>
      <x:c r="K5293" s="6" t="n">
        <x:f>IF(G5293&gt;H5293,1,0)</x:f>
        <x:v>0</x:v>
      </x:c>
      <x:c r="L5293" s="6" t="n">
        <x:f>J5293*K5293</x:f>
        <x:v>0</x:v>
      </x:c>
    </x:row>
    <x:row r="5294">
      <x:c r="A5294" s="1" t="n">
        <x:v>41714</x:v>
      </x:c>
      <x:c r="B5294" s="5" t="d">
        <x:v>2016-08-31T00:00:00.000Z</x:v>
      </x:c>
      <x:c r="C5294" s="1" t="str">
        <x:v>Standard Class</x:v>
      </x:c>
      <x:c r="D5294" s="1" t="str">
        <x:v>Africa</x:v>
      </x:c>
      <x:c r="E5294" s="1" t="str">
        <x:v>ON_HOLD</x:v>
      </x:c>
      <x:c r="F5294" s="1" t="str">
        <x:v>Late delivery</x:v>
      </x:c>
      <x:c r="G5294" s="6" t="n">
        <x:v>5</x:v>
      </x:c>
      <x:c r="H5294" s="6" t="n">
        <x:v>4</x:v>
      </x:c>
      <x:c r="I5294" s="6" t="n">
        <x:f>G5294-H5294</x:f>
        <x:v>1</x:v>
      </x:c>
      <x:c r="J5294" s="6" t="n">
        <x:f>IF(OR(E5294="CANCELED",E5294="SUSPECTED_FRAUD",F5294="Shipping canceled"),0,1)</x:f>
        <x:v>1</x:v>
      </x:c>
      <x:c r="K5294" s="6" t="n">
        <x:f>IF(G5294&gt;H5294,1,0)</x:f>
        <x:v>1</x:v>
      </x:c>
      <x:c r="L5294" s="6" t="n">
        <x:f>J5294*K5294</x:f>
        <x:v>1</x:v>
      </x:c>
    </x:row>
    <x:row r="5295">
      <x:c r="A5295" s="1" t="n">
        <x:v>41717</x:v>
      </x:c>
      <x:c r="B5295" s="5" t="d">
        <x:v>2016-08-31T00:00:00.000Z</x:v>
      </x:c>
      <x:c r="C5295" s="1" t="str">
        <x:v>Standard Class</x:v>
      </x:c>
      <x:c r="D5295" s="1" t="str">
        <x:v>Europe</x:v>
      </x:c>
      <x:c r="E5295" s="1" t="str">
        <x:v>COMPLETE</x:v>
      </x:c>
      <x:c r="F5295" s="1" t="str">
        <x:v>Advance shipping</x:v>
      </x:c>
      <x:c r="G5295" s="6" t="n">
        <x:v>3</x:v>
      </x:c>
      <x:c r="H5295" s="6" t="n">
        <x:v>4</x:v>
      </x:c>
      <x:c r="I5295" s="6" t="n">
        <x:f>G5295-H5295</x:f>
        <x:v>-1</x:v>
      </x:c>
      <x:c r="J5295" s="6" t="n">
        <x:f>IF(OR(E5295="CANCELED",E5295="SUSPECTED_FRAUD",F5295="Shipping canceled"),0,1)</x:f>
        <x:v>1</x:v>
      </x:c>
      <x:c r="K5295" s="6" t="n">
        <x:f>IF(G5295&gt;H5295,1,0)</x:f>
        <x:v>0</x:v>
      </x:c>
      <x:c r="L5295" s="6" t="n">
        <x:f>J5295*K5295</x:f>
        <x:v>0</x:v>
      </x:c>
    </x:row>
    <x:row r="5296">
      <x:c r="A5296" s="1" t="n">
        <x:v>41718</x:v>
      </x:c>
      <x:c r="B5296" s="5" t="d">
        <x:v>2016-08-31T00:00:00.000Z</x:v>
      </x:c>
      <x:c r="C5296" s="1" t="str">
        <x:v>Standard Class</x:v>
      </x:c>
      <x:c r="D5296" s="1" t="str">
        <x:v>Europe</x:v>
      </x:c>
      <x:c r="E5296" s="1" t="str">
        <x:v>COMPLETE</x:v>
      </x:c>
      <x:c r="F5296" s="1" t="str">
        <x:v>Shipping on time</x:v>
      </x:c>
      <x:c r="G5296" s="6" t="n">
        <x:v>4</x:v>
      </x:c>
      <x:c r="H5296" s="6" t="n">
        <x:v>4</x:v>
      </x:c>
      <x:c r="I5296" s="6" t="n">
        <x:f>G5296-H5296</x:f>
        <x:v>0</x:v>
      </x:c>
      <x:c r="J5296" s="6" t="n">
        <x:f>IF(OR(E5296="CANCELED",E5296="SUSPECTED_FRAUD",F5296="Shipping canceled"),0,1)</x:f>
        <x:v>1</x:v>
      </x:c>
      <x:c r="K5296" s="6" t="n">
        <x:f>IF(G5296&gt;H5296,1,0)</x:f>
        <x:v>0</x:v>
      </x:c>
      <x:c r="L5296" s="6" t="n">
        <x:f>J5296*K5296</x:f>
        <x:v>0</x:v>
      </x:c>
    </x:row>
    <x:row r="5297">
      <x:c r="A5297" s="1" t="n">
        <x:v>41726</x:v>
      </x:c>
      <x:c r="B5297" s="5" t="d">
        <x:v>2016-09-01T00:00:00.000Z</x:v>
      </x:c>
      <x:c r="C5297" s="1" t="str">
        <x:v>Standard Class</x:v>
      </x:c>
      <x:c r="D5297" s="1" t="str">
        <x:v>Africa</x:v>
      </x:c>
      <x:c r="E5297" s="1" t="str">
        <x:v>PROCESSING</x:v>
      </x:c>
      <x:c r="F5297" s="1" t="str">
        <x:v>Advance shipping</x:v>
      </x:c>
      <x:c r="G5297" s="6" t="n">
        <x:v>2</x:v>
      </x:c>
      <x:c r="H5297" s="6" t="n">
        <x:v>4</x:v>
      </x:c>
      <x:c r="I5297" s="6" t="n">
        <x:f>G5297-H5297</x:f>
        <x:v>-2</x:v>
      </x:c>
      <x:c r="J5297" s="6" t="n">
        <x:f>IF(OR(E5297="CANCELED",E5297="SUSPECTED_FRAUD",F5297="Shipping canceled"),0,1)</x:f>
        <x:v>1</x:v>
      </x:c>
      <x:c r="K5297" s="6" t="n">
        <x:f>IF(G5297&gt;H5297,1,0)</x:f>
        <x:v>0</x:v>
      </x:c>
      <x:c r="L5297" s="6" t="n">
        <x:f>J5297*K5297</x:f>
        <x:v>0</x:v>
      </x:c>
    </x:row>
    <x:row r="5298">
      <x:c r="A5298" s="1" t="n">
        <x:v>41735</x:v>
      </x:c>
      <x:c r="B5298" s="5" t="d">
        <x:v>2016-09-01T00:00:00.000Z</x:v>
      </x:c>
      <x:c r="C5298" s="1" t="str">
        <x:v>Same Day</x:v>
      </x:c>
      <x:c r="D5298" s="1" t="str">
        <x:v>Africa</x:v>
      </x:c>
      <x:c r="E5298" s="1" t="str">
        <x:v>COMPLETE</x:v>
      </x:c>
      <x:c r="F5298" s="1" t="str">
        <x:v>Shipping on time</x:v>
      </x:c>
      <x:c r="G5298" s="6" t="n">
        <x:v>0</x:v>
      </x:c>
      <x:c r="H5298" s="6" t="n">
        <x:v>0</x:v>
      </x:c>
      <x:c r="I5298" s="6" t="n">
        <x:f>G5298-H5298</x:f>
        <x:v>0</x:v>
      </x:c>
      <x:c r="J5298" s="6" t="n">
        <x:f>IF(OR(E5298="CANCELED",E5298="SUSPECTED_FRAUD",F5298="Shipping canceled"),0,1)</x:f>
        <x:v>1</x:v>
      </x:c>
      <x:c r="K5298" s="6" t="n">
        <x:f>IF(G5298&gt;H5298,1,0)</x:f>
        <x:v>0</x:v>
      </x:c>
      <x:c r="L5298" s="6" t="n">
        <x:f>J5298*K5298</x:f>
        <x:v>0</x:v>
      </x:c>
    </x:row>
    <x:row r="5299">
      <x:c r="A5299" s="1" t="n">
        <x:v>41738</x:v>
      </x:c>
      <x:c r="B5299" s="5" t="d">
        <x:v>2016-09-01T00:00:00.000Z</x:v>
      </x:c>
      <x:c r="C5299" s="1" t="str">
        <x:v>Standard Class</x:v>
      </x:c>
      <x:c r="D5299" s="1" t="str">
        <x:v>Europe</x:v>
      </x:c>
      <x:c r="E5299" s="1" t="str">
        <x:v>CLOSED</x:v>
      </x:c>
      <x:c r="F5299" s="1" t="str">
        <x:v>Shipping on time</x:v>
      </x:c>
      <x:c r="G5299" s="6" t="n">
        <x:v>4</x:v>
      </x:c>
      <x:c r="H5299" s="6" t="n">
        <x:v>4</x:v>
      </x:c>
      <x:c r="I5299" s="6" t="n">
        <x:f>G5299-H5299</x:f>
        <x:v>0</x:v>
      </x:c>
      <x:c r="J5299" s="6" t="n">
        <x:f>IF(OR(E5299="CANCELED",E5299="SUSPECTED_FRAUD",F5299="Shipping canceled"),0,1)</x:f>
        <x:v>1</x:v>
      </x:c>
      <x:c r="K5299" s="6" t="n">
        <x:f>IF(G5299&gt;H5299,1,0)</x:f>
        <x:v>0</x:v>
      </x:c>
      <x:c r="L5299" s="6" t="n">
        <x:f>J5299*K5299</x:f>
        <x:v>0</x:v>
      </x:c>
    </x:row>
    <x:row r="5300">
      <x:c r="A5300" s="1" t="n">
        <x:v>41741</x:v>
      </x:c>
      <x:c r="B5300" s="5" t="d">
        <x:v>2016-09-01T00:00:00.000Z</x:v>
      </x:c>
      <x:c r="C5300" s="1" t="str">
        <x:v>Standard Class</x:v>
      </x:c>
      <x:c r="D5300" s="1" t="str">
        <x:v>Africa</x:v>
      </x:c>
      <x:c r="E5300" s="1" t="str">
        <x:v>PROCESSING</x:v>
      </x:c>
      <x:c r="F5300" s="1" t="str">
        <x:v>Advance shipping</x:v>
      </x:c>
      <x:c r="G5300" s="6" t="n">
        <x:v>2</x:v>
      </x:c>
      <x:c r="H5300" s="6" t="n">
        <x:v>4</x:v>
      </x:c>
      <x:c r="I5300" s="6" t="n">
        <x:f>G5300-H5300</x:f>
        <x:v>-2</x:v>
      </x:c>
      <x:c r="J5300" s="6" t="n">
        <x:f>IF(OR(E5300="CANCELED",E5300="SUSPECTED_FRAUD",F5300="Shipping canceled"),0,1)</x:f>
        <x:v>1</x:v>
      </x:c>
      <x:c r="K5300" s="6" t="n">
        <x:f>IF(G5300&gt;H5300,1,0)</x:f>
        <x:v>0</x:v>
      </x:c>
      <x:c r="L5300" s="6" t="n">
        <x:f>J5300*K5300</x:f>
        <x:v>0</x:v>
      </x:c>
    </x:row>
    <x:row r="5301">
      <x:c r="A5301" s="1" t="n">
        <x:v>41743</x:v>
      </x:c>
      <x:c r="B5301" s="5" t="d">
        <x:v>2016-09-01T00:00:00.000Z</x:v>
      </x:c>
      <x:c r="C5301" s="1" t="str">
        <x:v>Standard Class</x:v>
      </x:c>
      <x:c r="D5301" s="1" t="str">
        <x:v>Pacific Asia</x:v>
      </x:c>
      <x:c r="E5301" s="1" t="str">
        <x:v>COMPLETE</x:v>
      </x:c>
      <x:c r="F5301" s="1" t="str">
        <x:v>Shipping on time</x:v>
      </x:c>
      <x:c r="G5301" s="6" t="n">
        <x:v>4</x:v>
      </x:c>
      <x:c r="H5301" s="6" t="n">
        <x:v>4</x:v>
      </x:c>
      <x:c r="I5301" s="6" t="n">
        <x:f>G5301-H5301</x:f>
        <x:v>0</x:v>
      </x:c>
      <x:c r="J5301" s="6" t="n">
        <x:f>IF(OR(E5301="CANCELED",E5301="SUSPECTED_FRAUD",F5301="Shipping canceled"),0,1)</x:f>
        <x:v>1</x:v>
      </x:c>
      <x:c r="K5301" s="6" t="n">
        <x:f>IF(G5301&gt;H5301,1,0)</x:f>
        <x:v>0</x:v>
      </x:c>
      <x:c r="L5301" s="6" t="n">
        <x:f>J5301*K5301</x:f>
        <x:v>0</x:v>
      </x:c>
    </x:row>
    <x:row r="5302">
      <x:c r="A5302" s="1" t="n">
        <x:v>41760</x:v>
      </x:c>
      <x:c r="B5302" s="5" t="d">
        <x:v>2016-09-01T00:00:00.000Z</x:v>
      </x:c>
      <x:c r="C5302" s="1" t="str">
        <x:v>Standard Class</x:v>
      </x:c>
      <x:c r="D5302" s="1" t="str">
        <x:v>Europe</x:v>
      </x:c>
      <x:c r="E5302" s="1" t="str">
        <x:v>COMPLETE</x:v>
      </x:c>
      <x:c r="F5302" s="1" t="str">
        <x:v>Late delivery</x:v>
      </x:c>
      <x:c r="G5302" s="6" t="n">
        <x:v>6</x:v>
      </x:c>
      <x:c r="H5302" s="6" t="n">
        <x:v>4</x:v>
      </x:c>
      <x:c r="I5302" s="6" t="n">
        <x:f>G5302-H5302</x:f>
        <x:v>2</x:v>
      </x:c>
      <x:c r="J5302" s="6" t="n">
        <x:f>IF(OR(E5302="CANCELED",E5302="SUSPECTED_FRAUD",F5302="Shipping canceled"),0,1)</x:f>
        <x:v>1</x:v>
      </x:c>
      <x:c r="K5302" s="6" t="n">
        <x:f>IF(G5302&gt;H5302,1,0)</x:f>
        <x:v>1</x:v>
      </x:c>
      <x:c r="L5302" s="6" t="n">
        <x:f>J5302*K5302</x:f>
        <x:v>1</x:v>
      </x:c>
    </x:row>
    <x:row r="5303">
      <x:c r="A5303" s="1" t="n">
        <x:v>41764</x:v>
      </x:c>
      <x:c r="B5303" s="5" t="d">
        <x:v>2016-09-01T00:00:00.000Z</x:v>
      </x:c>
      <x:c r="C5303" s="1" t="str">
        <x:v>Standard Class</x:v>
      </x:c>
      <x:c r="D5303" s="1" t="str">
        <x:v>Europe</x:v>
      </x:c>
      <x:c r="E5303" s="1" t="str">
        <x:v>COMPLETE</x:v>
      </x:c>
      <x:c r="F5303" s="1" t="str">
        <x:v>Late delivery</x:v>
      </x:c>
      <x:c r="G5303" s="6" t="n">
        <x:v>5</x:v>
      </x:c>
      <x:c r="H5303" s="6" t="n">
        <x:v>4</x:v>
      </x:c>
      <x:c r="I5303" s="6" t="n">
        <x:f>G5303-H5303</x:f>
        <x:v>1</x:v>
      </x:c>
      <x:c r="J5303" s="6" t="n">
        <x:f>IF(OR(E5303="CANCELED",E5303="SUSPECTED_FRAUD",F5303="Shipping canceled"),0,1)</x:f>
        <x:v>1</x:v>
      </x:c>
      <x:c r="K5303" s="6" t="n">
        <x:f>IF(G5303&gt;H5303,1,0)</x:f>
        <x:v>1</x:v>
      </x:c>
      <x:c r="L5303" s="6" t="n">
        <x:f>J5303*K5303</x:f>
        <x:v>1</x:v>
      </x:c>
    </x:row>
    <x:row r="5304">
      <x:c r="A5304" s="1" t="n">
        <x:v>41765</x:v>
      </x:c>
      <x:c r="B5304" s="5" t="d">
        <x:v>2016-09-01T00:00:00.000Z</x:v>
      </x:c>
      <x:c r="C5304" s="1" t="str">
        <x:v>Standard Class</x:v>
      </x:c>
      <x:c r="D5304" s="1" t="str">
        <x:v>Europe</x:v>
      </x:c>
      <x:c r="E5304" s="1" t="str">
        <x:v>COMPLETE</x:v>
      </x:c>
      <x:c r="F5304" s="1" t="str">
        <x:v>Late delivery</x:v>
      </x:c>
      <x:c r="G5304" s="6" t="n">
        <x:v>6</x:v>
      </x:c>
      <x:c r="H5304" s="6" t="n">
        <x:v>4</x:v>
      </x:c>
      <x:c r="I5304" s="6" t="n">
        <x:f>G5304-H5304</x:f>
        <x:v>2</x:v>
      </x:c>
      <x:c r="J5304" s="6" t="n">
        <x:f>IF(OR(E5304="CANCELED",E5304="SUSPECTED_FRAUD",F5304="Shipping canceled"),0,1)</x:f>
        <x:v>1</x:v>
      </x:c>
      <x:c r="K5304" s="6" t="n">
        <x:f>IF(G5304&gt;H5304,1,0)</x:f>
        <x:v>1</x:v>
      </x:c>
      <x:c r="L5304" s="6" t="n">
        <x:f>J5304*K5304</x:f>
        <x:v>1</x:v>
      </x:c>
    </x:row>
    <x:row r="5305">
      <x:c r="A5305" s="1" t="n">
        <x:v>41777</x:v>
      </x:c>
      <x:c r="B5305" s="5" t="d">
        <x:v>2016-09-01T00:00:00.000Z</x:v>
      </x:c>
      <x:c r="C5305" s="1" t="str">
        <x:v>Standard Class</x:v>
      </x:c>
      <x:c r="D5305" s="1" t="str">
        <x:v>Pacific Asia</x:v>
      </x:c>
      <x:c r="E5305" s="1" t="str">
        <x:v>PENDING</x:v>
      </x:c>
      <x:c r="F5305" s="1" t="str">
        <x:v>Advance shipping</x:v>
      </x:c>
      <x:c r="G5305" s="6" t="n">
        <x:v>3</x:v>
      </x:c>
      <x:c r="H5305" s="6" t="n">
        <x:v>4</x:v>
      </x:c>
      <x:c r="I5305" s="6" t="n">
        <x:f>G5305-H5305</x:f>
        <x:v>-1</x:v>
      </x:c>
      <x:c r="J5305" s="6" t="n">
        <x:f>IF(OR(E5305="CANCELED",E5305="SUSPECTED_FRAUD",F5305="Shipping canceled"),0,1)</x:f>
        <x:v>1</x:v>
      </x:c>
      <x:c r="K5305" s="6" t="n">
        <x:f>IF(G5305&gt;H5305,1,0)</x:f>
        <x:v>0</x:v>
      </x:c>
      <x:c r="L5305" s="6" t="n">
        <x:f>J5305*K5305</x:f>
        <x:v>0</x:v>
      </x:c>
    </x:row>
    <x:row r="5306">
      <x:c r="A5306" s="1" t="n">
        <x:v>41778</x:v>
      </x:c>
      <x:c r="B5306" s="5" t="d">
        <x:v>2016-09-01T00:00:00.000Z</x:v>
      </x:c>
      <x:c r="C5306" s="1" t="str">
        <x:v>Standard Class</x:v>
      </x:c>
      <x:c r="D5306" s="1" t="str">
        <x:v>Europe</x:v>
      </x:c>
      <x:c r="E5306" s="1" t="str">
        <x:v>PENDING</x:v>
      </x:c>
      <x:c r="F5306" s="1" t="str">
        <x:v>Shipping on time</x:v>
      </x:c>
      <x:c r="G5306" s="6" t="n">
        <x:v>4</x:v>
      </x:c>
      <x:c r="H5306" s="6" t="n">
        <x:v>4</x:v>
      </x:c>
      <x:c r="I5306" s="6" t="n">
        <x:f>G5306-H5306</x:f>
        <x:v>0</x:v>
      </x:c>
      <x:c r="J5306" s="6" t="n">
        <x:f>IF(OR(E5306="CANCELED",E5306="SUSPECTED_FRAUD",F5306="Shipping canceled"),0,1)</x:f>
        <x:v>1</x:v>
      </x:c>
      <x:c r="K5306" s="6" t="n">
        <x:f>IF(G5306&gt;H5306,1,0)</x:f>
        <x:v>0</x:v>
      </x:c>
      <x:c r="L5306" s="6" t="n">
        <x:f>J5306*K5306</x:f>
        <x:v>0</x:v>
      </x:c>
    </x:row>
    <x:row r="5307">
      <x:c r="A5307" s="1" t="n">
        <x:v>41780</x:v>
      </x:c>
      <x:c r="B5307" s="5" t="d">
        <x:v>2016-09-01T00:00:00.000Z</x:v>
      </x:c>
      <x:c r="C5307" s="1" t="str">
        <x:v>Standard Class</x:v>
      </x:c>
      <x:c r="D5307" s="1" t="str">
        <x:v>Pacific Asia</x:v>
      </x:c>
      <x:c r="E5307" s="1" t="str">
        <x:v>COMPLETE</x:v>
      </x:c>
      <x:c r="F5307" s="1" t="str">
        <x:v>Late delivery</x:v>
      </x:c>
      <x:c r="G5307" s="6" t="n">
        <x:v>6</x:v>
      </x:c>
      <x:c r="H5307" s="6" t="n">
        <x:v>4</x:v>
      </x:c>
      <x:c r="I5307" s="6" t="n">
        <x:f>G5307-H5307</x:f>
        <x:v>2</x:v>
      </x:c>
      <x:c r="J5307" s="6" t="n">
        <x:f>IF(OR(E5307="CANCELED",E5307="SUSPECTED_FRAUD",F5307="Shipping canceled"),0,1)</x:f>
        <x:v>1</x:v>
      </x:c>
      <x:c r="K5307" s="6" t="n">
        <x:f>IF(G5307&gt;H5307,1,0)</x:f>
        <x:v>1</x:v>
      </x:c>
      <x:c r="L5307" s="6" t="n">
        <x:f>J5307*K5307</x:f>
        <x:v>1</x:v>
      </x:c>
    </x:row>
    <x:row r="5308">
      <x:c r="A5308" s="1" t="n">
        <x:v>41784</x:v>
      </x:c>
      <x:c r="B5308" s="5" t="d">
        <x:v>2016-09-01T00:00:00.000Z</x:v>
      </x:c>
      <x:c r="C5308" s="1" t="str">
        <x:v>Standard Class</x:v>
      </x:c>
      <x:c r="D5308" s="1" t="str">
        <x:v>Africa</x:v>
      </x:c>
      <x:c r="E5308" s="1" t="str">
        <x:v>COMPLETE</x:v>
      </x:c>
      <x:c r="F5308" s="1" t="str">
        <x:v>Late delivery</x:v>
      </x:c>
      <x:c r="G5308" s="6" t="n">
        <x:v>5</x:v>
      </x:c>
      <x:c r="H5308" s="6" t="n">
        <x:v>4</x:v>
      </x:c>
      <x:c r="I5308" s="6" t="n">
        <x:f>G5308-H5308</x:f>
        <x:v>1</x:v>
      </x:c>
      <x:c r="J5308" s="6" t="n">
        <x:f>IF(OR(E5308="CANCELED",E5308="SUSPECTED_FRAUD",F5308="Shipping canceled"),0,1)</x:f>
        <x:v>1</x:v>
      </x:c>
      <x:c r="K5308" s="6" t="n">
        <x:f>IF(G5308&gt;H5308,1,0)</x:f>
        <x:v>1</x:v>
      </x:c>
      <x:c r="L5308" s="6" t="n">
        <x:f>J5308*K5308</x:f>
        <x:v>1</x:v>
      </x:c>
    </x:row>
    <x:row r="5309">
      <x:c r="A5309" s="1" t="n">
        <x:v>41785</x:v>
      </x:c>
      <x:c r="B5309" s="5" t="d">
        <x:v>2016-09-01T00:00:00.000Z</x:v>
      </x:c>
      <x:c r="C5309" s="1" t="str">
        <x:v>Standard Class</x:v>
      </x:c>
      <x:c r="D5309" s="1" t="str">
        <x:v>Africa</x:v>
      </x:c>
      <x:c r="E5309" s="1" t="str">
        <x:v>PROCESSING</x:v>
      </x:c>
      <x:c r="F5309" s="1" t="str">
        <x:v>Late delivery</x:v>
      </x:c>
      <x:c r="G5309" s="6" t="n">
        <x:v>6</x:v>
      </x:c>
      <x:c r="H5309" s="6" t="n">
        <x:v>4</x:v>
      </x:c>
      <x:c r="I5309" s="6" t="n">
        <x:f>G5309-H5309</x:f>
        <x:v>2</x:v>
      </x:c>
      <x:c r="J5309" s="6" t="n">
        <x:f>IF(OR(E5309="CANCELED",E5309="SUSPECTED_FRAUD",F5309="Shipping canceled"),0,1)</x:f>
        <x:v>1</x:v>
      </x:c>
      <x:c r="K5309" s="6" t="n">
        <x:f>IF(G5309&gt;H5309,1,0)</x:f>
        <x:v>1</x:v>
      </x:c>
      <x:c r="L5309" s="6" t="n">
        <x:f>J5309*K5309</x:f>
        <x:v>1</x:v>
      </x:c>
    </x:row>
    <x:row r="5310">
      <x:c r="A5310" s="1" t="n">
        <x:v>41786</x:v>
      </x:c>
      <x:c r="B5310" s="5" t="d">
        <x:v>2016-09-01T00:00:00.000Z</x:v>
      </x:c>
      <x:c r="C5310" s="1" t="str">
        <x:v>Standard Class</x:v>
      </x:c>
      <x:c r="D5310" s="1" t="str">
        <x:v>Africa</x:v>
      </x:c>
      <x:c r="E5310" s="1" t="str">
        <x:v>COMPLETE</x:v>
      </x:c>
      <x:c r="F5310" s="1" t="str">
        <x:v>Advance shipping</x:v>
      </x:c>
      <x:c r="G5310" s="6" t="n">
        <x:v>2</x:v>
      </x:c>
      <x:c r="H5310" s="6" t="n">
        <x:v>4</x:v>
      </x:c>
      <x:c r="I5310" s="6" t="n">
        <x:f>G5310-H5310</x:f>
        <x:v>-2</x:v>
      </x:c>
      <x:c r="J5310" s="6" t="n">
        <x:f>IF(OR(E5310="CANCELED",E5310="SUSPECTED_FRAUD",F5310="Shipping canceled"),0,1)</x:f>
        <x:v>1</x:v>
      </x:c>
      <x:c r="K5310" s="6" t="n">
        <x:f>IF(G5310&gt;H5310,1,0)</x:f>
        <x:v>0</x:v>
      </x:c>
      <x:c r="L5310" s="6" t="n">
        <x:f>J5310*K5310</x:f>
        <x:v>0</x:v>
      </x:c>
    </x:row>
    <x:row r="5311">
      <x:c r="A5311" s="1" t="n">
        <x:v>41787</x:v>
      </x:c>
      <x:c r="B5311" s="5" t="d">
        <x:v>2016-09-01T00:00:00.000Z</x:v>
      </x:c>
      <x:c r="C5311" s="1" t="str">
        <x:v>Standard Class</x:v>
      </x:c>
      <x:c r="D5311" s="1" t="str">
        <x:v>Africa</x:v>
      </x:c>
      <x:c r="E5311" s="1" t="str">
        <x:v>COMPLETE</x:v>
      </x:c>
      <x:c r="F5311" s="1" t="str">
        <x:v>Advance shipping</x:v>
      </x:c>
      <x:c r="G5311" s="6" t="n">
        <x:v>3</x:v>
      </x:c>
      <x:c r="H5311" s="6" t="n">
        <x:v>4</x:v>
      </x:c>
      <x:c r="I5311" s="6" t="n">
        <x:f>G5311-H5311</x:f>
        <x:v>-1</x:v>
      </x:c>
      <x:c r="J5311" s="6" t="n">
        <x:f>IF(OR(E5311="CANCELED",E5311="SUSPECTED_FRAUD",F5311="Shipping canceled"),0,1)</x:f>
        <x:v>1</x:v>
      </x:c>
      <x:c r="K5311" s="6" t="n">
        <x:f>IF(G5311&gt;H5311,1,0)</x:f>
        <x:v>0</x:v>
      </x:c>
      <x:c r="L5311" s="6" t="n">
        <x:f>J5311*K5311</x:f>
        <x:v>0</x:v>
      </x:c>
    </x:row>
    <x:row r="5312">
      <x:c r="A5312" s="1" t="n">
        <x:v>41791</x:v>
      </x:c>
      <x:c r="B5312" s="5" t="d">
        <x:v>2016-09-02T00:00:00.000Z</x:v>
      </x:c>
      <x:c r="C5312" s="1" t="str">
        <x:v>Standard Class</x:v>
      </x:c>
      <x:c r="D5312" s="1" t="str">
        <x:v>Europe</x:v>
      </x:c>
      <x:c r="E5312" s="1" t="str">
        <x:v>PROCESSING</x:v>
      </x:c>
      <x:c r="F5312" s="1" t="str">
        <x:v>Advance shipping</x:v>
      </x:c>
      <x:c r="G5312" s="6" t="n">
        <x:v>2</x:v>
      </x:c>
      <x:c r="H5312" s="6" t="n">
        <x:v>4</x:v>
      </x:c>
      <x:c r="I5312" s="6" t="n">
        <x:f>G5312-H5312</x:f>
        <x:v>-2</x:v>
      </x:c>
      <x:c r="J5312" s="6" t="n">
        <x:f>IF(OR(E5312="CANCELED",E5312="SUSPECTED_FRAUD",F5312="Shipping canceled"),0,1)</x:f>
        <x:v>1</x:v>
      </x:c>
      <x:c r="K5312" s="6" t="n">
        <x:f>IF(G5312&gt;H5312,1,0)</x:f>
        <x:v>0</x:v>
      </x:c>
      <x:c r="L5312" s="6" t="n">
        <x:f>J5312*K5312</x:f>
        <x:v>0</x:v>
      </x:c>
    </x:row>
    <x:row r="5313">
      <x:c r="A5313" s="1" t="n">
        <x:v>41795</x:v>
      </x:c>
      <x:c r="B5313" s="5" t="d">
        <x:v>2016-09-02T00:00:00.000Z</x:v>
      </x:c>
      <x:c r="C5313" s="1" t="str">
        <x:v>Standard Class</x:v>
      </x:c>
      <x:c r="D5313" s="1" t="str">
        <x:v>Africa</x:v>
      </x:c>
      <x:c r="E5313" s="1" t="str">
        <x:v>COMPLETE</x:v>
      </x:c>
      <x:c r="F5313" s="1" t="str">
        <x:v>Late delivery</x:v>
      </x:c>
      <x:c r="G5313" s="6" t="n">
        <x:v>6</x:v>
      </x:c>
      <x:c r="H5313" s="6" t="n">
        <x:v>4</x:v>
      </x:c>
      <x:c r="I5313" s="6" t="n">
        <x:f>G5313-H5313</x:f>
        <x:v>2</x:v>
      </x:c>
      <x:c r="J5313" s="6" t="n">
        <x:f>IF(OR(E5313="CANCELED",E5313="SUSPECTED_FRAUD",F5313="Shipping canceled"),0,1)</x:f>
        <x:v>1</x:v>
      </x:c>
      <x:c r="K5313" s="6" t="n">
        <x:f>IF(G5313&gt;H5313,1,0)</x:f>
        <x:v>1</x:v>
      </x:c>
      <x:c r="L5313" s="6" t="n">
        <x:f>J5313*K5313</x:f>
        <x:v>1</x:v>
      </x:c>
    </x:row>
    <x:row r="5314">
      <x:c r="A5314" s="1" t="n">
        <x:v>41813</x:v>
      </x:c>
      <x:c r="B5314" s="5" t="d">
        <x:v>2016-09-02T00:00:00.000Z</x:v>
      </x:c>
      <x:c r="C5314" s="1" t="str">
        <x:v>Standard Class</x:v>
      </x:c>
      <x:c r="D5314" s="1" t="str">
        <x:v>Africa</x:v>
      </x:c>
      <x:c r="E5314" s="1" t="str">
        <x:v>COMPLETE</x:v>
      </x:c>
      <x:c r="F5314" s="1" t="str">
        <x:v>Shipping on time</x:v>
      </x:c>
      <x:c r="G5314" s="6" t="n">
        <x:v>4</x:v>
      </x:c>
      <x:c r="H5314" s="6" t="n">
        <x:v>4</x:v>
      </x:c>
      <x:c r="I5314" s="6" t="n">
        <x:f>G5314-H5314</x:f>
        <x:v>0</x:v>
      </x:c>
      <x:c r="J5314" s="6" t="n">
        <x:f>IF(OR(E5314="CANCELED",E5314="SUSPECTED_FRAUD",F5314="Shipping canceled"),0,1)</x:f>
        <x:v>1</x:v>
      </x:c>
      <x:c r="K5314" s="6" t="n">
        <x:f>IF(G5314&gt;H5314,1,0)</x:f>
        <x:v>0</x:v>
      </x:c>
      <x:c r="L5314" s="6" t="n">
        <x:f>J5314*K5314</x:f>
        <x:v>0</x:v>
      </x:c>
    </x:row>
    <x:row r="5315">
      <x:c r="A5315" s="1" t="n">
        <x:v>41825</x:v>
      </x:c>
      <x:c r="B5315" s="5" t="d">
        <x:v>2016-09-02T00:00:00.000Z</x:v>
      </x:c>
      <x:c r="C5315" s="1" t="str">
        <x:v>Standard Class</x:v>
      </x:c>
      <x:c r="D5315" s="1" t="str">
        <x:v>Africa</x:v>
      </x:c>
      <x:c r="E5315" s="1" t="str">
        <x:v>COMPLETE</x:v>
      </x:c>
      <x:c r="F5315" s="1" t="str">
        <x:v>Late delivery</x:v>
      </x:c>
      <x:c r="G5315" s="6" t="n">
        <x:v>6</x:v>
      </x:c>
      <x:c r="H5315" s="6" t="n">
        <x:v>4</x:v>
      </x:c>
      <x:c r="I5315" s="6" t="n">
        <x:f>G5315-H5315</x:f>
        <x:v>2</x:v>
      </x:c>
      <x:c r="J5315" s="6" t="n">
        <x:f>IF(OR(E5315="CANCELED",E5315="SUSPECTED_FRAUD",F5315="Shipping canceled"),0,1)</x:f>
        <x:v>1</x:v>
      </x:c>
      <x:c r="K5315" s="6" t="n">
        <x:f>IF(G5315&gt;H5315,1,0)</x:f>
        <x:v>1</x:v>
      </x:c>
      <x:c r="L5315" s="6" t="n">
        <x:f>J5315*K5315</x:f>
        <x:v>1</x:v>
      </x:c>
    </x:row>
    <x:row r="5316">
      <x:c r="A5316" s="1" t="n">
        <x:v>41827</x:v>
      </x:c>
      <x:c r="B5316" s="5" t="d">
        <x:v>2016-09-02T00:00:00.000Z</x:v>
      </x:c>
      <x:c r="C5316" s="1" t="str">
        <x:v>Standard Class</x:v>
      </x:c>
      <x:c r="D5316" s="1" t="str">
        <x:v>Africa</x:v>
      </x:c>
      <x:c r="E5316" s="1" t="str">
        <x:v>PENDING</x:v>
      </x:c>
      <x:c r="F5316" s="1" t="str">
        <x:v>Advance shipping</x:v>
      </x:c>
      <x:c r="G5316" s="6" t="n">
        <x:v>3</x:v>
      </x:c>
      <x:c r="H5316" s="6" t="n">
        <x:v>4</x:v>
      </x:c>
      <x:c r="I5316" s="6" t="n">
        <x:f>G5316-H5316</x:f>
        <x:v>-1</x:v>
      </x:c>
      <x:c r="J5316" s="6" t="n">
        <x:f>IF(OR(E5316="CANCELED",E5316="SUSPECTED_FRAUD",F5316="Shipping canceled"),0,1)</x:f>
        <x:v>1</x:v>
      </x:c>
      <x:c r="K5316" s="6" t="n">
        <x:f>IF(G5316&gt;H5316,1,0)</x:f>
        <x:v>0</x:v>
      </x:c>
      <x:c r="L5316" s="6" t="n">
        <x:f>J5316*K5316</x:f>
        <x:v>0</x:v>
      </x:c>
    </x:row>
    <x:row r="5317">
      <x:c r="A5317" s="1" t="n">
        <x:v>41832</x:v>
      </x:c>
      <x:c r="B5317" s="5" t="d">
        <x:v>2016-09-02T00:00:00.000Z</x:v>
      </x:c>
      <x:c r="C5317" s="1" t="str">
        <x:v>Standard Class</x:v>
      </x:c>
      <x:c r="D5317" s="1" t="str">
        <x:v>Africa</x:v>
      </x:c>
      <x:c r="E5317" s="1" t="str">
        <x:v>PROCESSING</x:v>
      </x:c>
      <x:c r="F5317" s="1" t="str">
        <x:v>Advance shipping</x:v>
      </x:c>
      <x:c r="G5317" s="6" t="n">
        <x:v>3</x:v>
      </x:c>
      <x:c r="H5317" s="6" t="n">
        <x:v>4</x:v>
      </x:c>
      <x:c r="I5317" s="6" t="n">
        <x:f>G5317-H5317</x:f>
        <x:v>-1</x:v>
      </x:c>
      <x:c r="J5317" s="6" t="n">
        <x:f>IF(OR(E5317="CANCELED",E5317="SUSPECTED_FRAUD",F5317="Shipping canceled"),0,1)</x:f>
        <x:v>1</x:v>
      </x:c>
      <x:c r="K5317" s="6" t="n">
        <x:f>IF(G5317&gt;H5317,1,0)</x:f>
        <x:v>0</x:v>
      </x:c>
      <x:c r="L5317" s="6" t="n">
        <x:f>J5317*K5317</x:f>
        <x:v>0</x:v>
      </x:c>
    </x:row>
    <x:row r="5318">
      <x:c r="A5318" s="1" t="n">
        <x:v>41833</x:v>
      </x:c>
      <x:c r="B5318" s="5" t="d">
        <x:v>2016-09-02T00:00:00.000Z</x:v>
      </x:c>
      <x:c r="C5318" s="1" t="str">
        <x:v>Standard Class</x:v>
      </x:c>
      <x:c r="D5318" s="1" t="str">
        <x:v>Africa</x:v>
      </x:c>
      <x:c r="E5318" s="1" t="str">
        <x:v>COMPLETE</x:v>
      </x:c>
      <x:c r="F5318" s="1" t="str">
        <x:v>Shipping on time</x:v>
      </x:c>
      <x:c r="G5318" s="6" t="n">
        <x:v>4</x:v>
      </x:c>
      <x:c r="H5318" s="6" t="n">
        <x:v>4</x:v>
      </x:c>
      <x:c r="I5318" s="6" t="n">
        <x:f>G5318-H5318</x:f>
        <x:v>0</x:v>
      </x:c>
      <x:c r="J5318" s="6" t="n">
        <x:f>IF(OR(E5318="CANCELED",E5318="SUSPECTED_FRAUD",F5318="Shipping canceled"),0,1)</x:f>
        <x:v>1</x:v>
      </x:c>
      <x:c r="K5318" s="6" t="n">
        <x:f>IF(G5318&gt;H5318,1,0)</x:f>
        <x:v>0</x:v>
      </x:c>
      <x:c r="L5318" s="6" t="n">
        <x:f>J5318*K5318</x:f>
        <x:v>0</x:v>
      </x:c>
    </x:row>
    <x:row r="5319">
      <x:c r="A5319" s="1" t="n">
        <x:v>41834</x:v>
      </x:c>
      <x:c r="B5319" s="5" t="d">
        <x:v>2016-09-02T00:00:00.000Z</x:v>
      </x:c>
      <x:c r="C5319" s="1" t="str">
        <x:v>Standard Class</x:v>
      </x:c>
      <x:c r="D5319" s="1" t="str">
        <x:v>Europe</x:v>
      </x:c>
      <x:c r="E5319" s="1" t="str">
        <x:v>COMPLETE</x:v>
      </x:c>
      <x:c r="F5319" s="1" t="str">
        <x:v>Late delivery</x:v>
      </x:c>
      <x:c r="G5319" s="6" t="n">
        <x:v>5</x:v>
      </x:c>
      <x:c r="H5319" s="6" t="n">
        <x:v>4</x:v>
      </x:c>
      <x:c r="I5319" s="6" t="n">
        <x:f>G5319-H5319</x:f>
        <x:v>1</x:v>
      </x:c>
      <x:c r="J5319" s="6" t="n">
        <x:f>IF(OR(E5319="CANCELED",E5319="SUSPECTED_FRAUD",F5319="Shipping canceled"),0,1)</x:f>
        <x:v>1</x:v>
      </x:c>
      <x:c r="K5319" s="6" t="n">
        <x:f>IF(G5319&gt;H5319,1,0)</x:f>
        <x:v>1</x:v>
      </x:c>
      <x:c r="L5319" s="6" t="n">
        <x:f>J5319*K5319</x:f>
        <x:v>1</x:v>
      </x:c>
    </x:row>
    <x:row r="5320">
      <x:c r="A5320" s="1" t="n">
        <x:v>41846</x:v>
      </x:c>
      <x:c r="B5320" s="5" t="d">
        <x:v>2016-09-02T00:00:00.000Z</x:v>
      </x:c>
      <x:c r="C5320" s="1" t="str">
        <x:v>Standard Class</x:v>
      </x:c>
      <x:c r="D5320" s="1" t="str">
        <x:v>Pacific Asia</x:v>
      </x:c>
      <x:c r="E5320" s="1" t="str">
        <x:v>PENDING_PAYMENT</x:v>
      </x:c>
      <x:c r="F5320" s="1" t="str">
        <x:v>Advance shipping</x:v>
      </x:c>
      <x:c r="G5320" s="6" t="n">
        <x:v>2</x:v>
      </x:c>
      <x:c r="H5320" s="6" t="n">
        <x:v>4</x:v>
      </x:c>
      <x:c r="I5320" s="6" t="n">
        <x:f>G5320-H5320</x:f>
        <x:v>-2</x:v>
      </x:c>
      <x:c r="J5320" s="6" t="n">
        <x:f>IF(OR(E5320="CANCELED",E5320="SUSPECTED_FRAUD",F5320="Shipping canceled"),0,1)</x:f>
        <x:v>1</x:v>
      </x:c>
      <x:c r="K5320" s="6" t="n">
        <x:f>IF(G5320&gt;H5320,1,0)</x:f>
        <x:v>0</x:v>
      </x:c>
      <x:c r="L5320" s="6" t="n">
        <x:f>J5320*K5320</x:f>
        <x:v>0</x:v>
      </x:c>
    </x:row>
    <x:row r="5321">
      <x:c r="A5321" s="1" t="n">
        <x:v>41851</x:v>
      </x:c>
      <x:c r="B5321" s="5" t="d">
        <x:v>2016-09-02T00:00:00.000Z</x:v>
      </x:c>
      <x:c r="C5321" s="1" t="str">
        <x:v>Standard Class</x:v>
      </x:c>
      <x:c r="D5321" s="1" t="str">
        <x:v>Pacific Asia</x:v>
      </x:c>
      <x:c r="E5321" s="1" t="str">
        <x:v>PROCESSING</x:v>
      </x:c>
      <x:c r="F5321" s="1" t="str">
        <x:v>Advance shipping</x:v>
      </x:c>
      <x:c r="G5321" s="6" t="n">
        <x:v>2</x:v>
      </x:c>
      <x:c r="H5321" s="6" t="n">
        <x:v>4</x:v>
      </x:c>
      <x:c r="I5321" s="6" t="n">
        <x:f>G5321-H5321</x:f>
        <x:v>-2</x:v>
      </x:c>
      <x:c r="J5321" s="6" t="n">
        <x:f>IF(OR(E5321="CANCELED",E5321="SUSPECTED_FRAUD",F5321="Shipping canceled"),0,1)</x:f>
        <x:v>1</x:v>
      </x:c>
      <x:c r="K5321" s="6" t="n">
        <x:f>IF(G5321&gt;H5321,1,0)</x:f>
        <x:v>0</x:v>
      </x:c>
      <x:c r="L5321" s="6" t="n">
        <x:f>J5321*K5321</x:f>
        <x:v>0</x:v>
      </x:c>
    </x:row>
    <x:row r="5322">
      <x:c r="A5322" s="1" t="n">
        <x:v>41854</x:v>
      </x:c>
      <x:c r="B5322" s="5" t="d">
        <x:v>2016-09-02T00:00:00.000Z</x:v>
      </x:c>
      <x:c r="C5322" s="1" t="str">
        <x:v>Standard Class</x:v>
      </x:c>
      <x:c r="D5322" s="1" t="str">
        <x:v>Africa</x:v>
      </x:c>
      <x:c r="E5322" s="1" t="str">
        <x:v>COMPLETE</x:v>
      </x:c>
      <x:c r="F5322" s="1" t="str">
        <x:v>Late delivery</x:v>
      </x:c>
      <x:c r="G5322" s="6" t="n">
        <x:v>5</x:v>
      </x:c>
      <x:c r="H5322" s="6" t="n">
        <x:v>4</x:v>
      </x:c>
      <x:c r="I5322" s="6" t="n">
        <x:f>G5322-H5322</x:f>
        <x:v>1</x:v>
      </x:c>
      <x:c r="J5322" s="6" t="n">
        <x:f>IF(OR(E5322="CANCELED",E5322="SUSPECTED_FRAUD",F5322="Shipping canceled"),0,1)</x:f>
        <x:v>1</x:v>
      </x:c>
      <x:c r="K5322" s="6" t="n">
        <x:f>IF(G5322&gt;H5322,1,0)</x:f>
        <x:v>1</x:v>
      </x:c>
      <x:c r="L5322" s="6" t="n">
        <x:f>J5322*K5322</x:f>
        <x:v>1</x:v>
      </x:c>
    </x:row>
    <x:row r="5323">
      <x:c r="A5323" s="1" t="n">
        <x:v>41863</x:v>
      </x:c>
      <x:c r="B5323" s="5" t="d">
        <x:v>2016-09-03T00:00:00.000Z</x:v>
      </x:c>
      <x:c r="C5323" s="1" t="str">
        <x:v>Standard Class</x:v>
      </x:c>
      <x:c r="D5323" s="1" t="str">
        <x:v>Pacific Asia</x:v>
      </x:c>
      <x:c r="E5323" s="1" t="str">
        <x:v>PROCESSING</x:v>
      </x:c>
      <x:c r="F5323" s="1" t="str">
        <x:v>Shipping on time</x:v>
      </x:c>
      <x:c r="G5323" s="6" t="n">
        <x:v>4</x:v>
      </x:c>
      <x:c r="H5323" s="6" t="n">
        <x:v>4</x:v>
      </x:c>
      <x:c r="I5323" s="6" t="n">
        <x:f>G5323-H5323</x:f>
        <x:v>0</x:v>
      </x:c>
      <x:c r="J5323" s="6" t="n">
        <x:f>IF(OR(E5323="CANCELED",E5323="SUSPECTED_FRAUD",F5323="Shipping canceled"),0,1)</x:f>
        <x:v>1</x:v>
      </x:c>
      <x:c r="K5323" s="6" t="n">
        <x:f>IF(G5323&gt;H5323,1,0)</x:f>
        <x:v>0</x:v>
      </x:c>
      <x:c r="L5323" s="6" t="n">
        <x:f>J5323*K5323</x:f>
        <x:v>0</x:v>
      </x:c>
    </x:row>
    <x:row r="5324">
      <x:c r="A5324" s="1" t="n">
        <x:v>41865</x:v>
      </x:c>
      <x:c r="B5324" s="5" t="d">
        <x:v>2016-09-03T00:00:00.000Z</x:v>
      </x:c>
      <x:c r="C5324" s="1" t="str">
        <x:v>Standard Class</x:v>
      </x:c>
      <x:c r="D5324" s="1" t="str">
        <x:v>Pacific Asia</x:v>
      </x:c>
      <x:c r="E5324" s="1" t="str">
        <x:v>ON_HOLD</x:v>
      </x:c>
      <x:c r="F5324" s="1" t="str">
        <x:v>Late delivery</x:v>
      </x:c>
      <x:c r="G5324" s="6" t="n">
        <x:v>6</x:v>
      </x:c>
      <x:c r="H5324" s="6" t="n">
        <x:v>4</x:v>
      </x:c>
      <x:c r="I5324" s="6" t="n">
        <x:f>G5324-H5324</x:f>
        <x:v>2</x:v>
      </x:c>
      <x:c r="J5324" s="6" t="n">
        <x:f>IF(OR(E5324="CANCELED",E5324="SUSPECTED_FRAUD",F5324="Shipping canceled"),0,1)</x:f>
        <x:v>1</x:v>
      </x:c>
      <x:c r="K5324" s="6" t="n">
        <x:f>IF(G5324&gt;H5324,1,0)</x:f>
        <x:v>1</x:v>
      </x:c>
      <x:c r="L5324" s="6" t="n">
        <x:f>J5324*K5324</x:f>
        <x:v>1</x:v>
      </x:c>
    </x:row>
    <x:row r="5325">
      <x:c r="A5325" s="1" t="n">
        <x:v>41870</x:v>
      </x:c>
      <x:c r="B5325" s="5" t="d">
        <x:v>2016-09-03T00:00:00.000Z</x:v>
      </x:c>
      <x:c r="C5325" s="1" t="str">
        <x:v>First Class</x:v>
      </x:c>
      <x:c r="D5325" s="1" t="str">
        <x:v>Africa</x:v>
      </x:c>
      <x:c r="E5325" s="1" t="str">
        <x:v>PENDING_PAYMENT</x:v>
      </x:c>
      <x:c r="F5325" s="1" t="str">
        <x:v>Late delivery</x:v>
      </x:c>
      <x:c r="G5325" s="6" t="n">
        <x:v>2</x:v>
      </x:c>
      <x:c r="H5325" s="6" t="n">
        <x:v>1</x:v>
      </x:c>
      <x:c r="I5325" s="6" t="n">
        <x:f>G5325-H5325</x:f>
        <x:v>1</x:v>
      </x:c>
      <x:c r="J5325" s="6" t="n">
        <x:f>IF(OR(E5325="CANCELED",E5325="SUSPECTED_FRAUD",F5325="Shipping canceled"),0,1)</x:f>
        <x:v>1</x:v>
      </x:c>
      <x:c r="K5325" s="6" t="n">
        <x:f>IF(G5325&gt;H5325,1,0)</x:f>
        <x:v>1</x:v>
      </x:c>
      <x:c r="L5325" s="6" t="n">
        <x:f>J5325*K5325</x:f>
        <x:v>1</x:v>
      </x:c>
    </x:row>
    <x:row r="5326">
      <x:c r="A5326" s="1" t="n">
        <x:v>41874</x:v>
      </x:c>
      <x:c r="B5326" s="5" t="d">
        <x:v>2016-09-03T00:00:00.000Z</x:v>
      </x:c>
      <x:c r="C5326" s="1" t="str">
        <x:v>Standard Class</x:v>
      </x:c>
      <x:c r="D5326" s="1" t="str">
        <x:v>Africa</x:v>
      </x:c>
      <x:c r="E5326" s="1" t="str">
        <x:v>PROCESSING</x:v>
      </x:c>
      <x:c r="F5326" s="1" t="str">
        <x:v>Late delivery</x:v>
      </x:c>
      <x:c r="G5326" s="6" t="n">
        <x:v>5</x:v>
      </x:c>
      <x:c r="H5326" s="6" t="n">
        <x:v>4</x:v>
      </x:c>
      <x:c r="I5326" s="6" t="n">
        <x:f>G5326-H5326</x:f>
        <x:v>1</x:v>
      </x:c>
      <x:c r="J5326" s="6" t="n">
        <x:f>IF(OR(E5326="CANCELED",E5326="SUSPECTED_FRAUD",F5326="Shipping canceled"),0,1)</x:f>
        <x:v>1</x:v>
      </x:c>
      <x:c r="K5326" s="6" t="n">
        <x:f>IF(G5326&gt;H5326,1,0)</x:f>
        <x:v>1</x:v>
      </x:c>
      <x:c r="L5326" s="6" t="n">
        <x:f>J5326*K5326</x:f>
        <x:v>1</x:v>
      </x:c>
    </x:row>
    <x:row r="5327">
      <x:c r="A5327" s="1" t="n">
        <x:v>41878</x:v>
      </x:c>
      <x:c r="B5327" s="5" t="d">
        <x:v>2016-09-03T00:00:00.000Z</x:v>
      </x:c>
      <x:c r="C5327" s="1" t="str">
        <x:v>Second Class</x:v>
      </x:c>
      <x:c r="D5327" s="1" t="str">
        <x:v>USCA</x:v>
      </x:c>
      <x:c r="E5327" s="1" t="str">
        <x:v>PENDING</x:v>
      </x:c>
      <x:c r="F5327" s="1" t="str">
        <x:v>Late delivery</x:v>
      </x:c>
      <x:c r="G5327" s="6" t="n">
        <x:v>4</x:v>
      </x:c>
      <x:c r="H5327" s="6" t="n">
        <x:v>2</x:v>
      </x:c>
      <x:c r="I5327" s="6" t="n">
        <x:f>G5327-H5327</x:f>
        <x:v>2</x:v>
      </x:c>
      <x:c r="J5327" s="6" t="n">
        <x:f>IF(OR(E5327="CANCELED",E5327="SUSPECTED_FRAUD",F5327="Shipping canceled"),0,1)</x:f>
        <x:v>1</x:v>
      </x:c>
      <x:c r="K5327" s="6" t="n">
        <x:f>IF(G5327&gt;H5327,1,0)</x:f>
        <x:v>1</x:v>
      </x:c>
      <x:c r="L5327" s="6" t="n">
        <x:f>J5327*K5327</x:f>
        <x:v>1</x:v>
      </x:c>
    </x:row>
    <x:row r="5328">
      <x:c r="A5328" s="1" t="n">
        <x:v>41886</x:v>
      </x:c>
      <x:c r="B5328" s="5" t="d">
        <x:v>2016-09-03T00:00:00.000Z</x:v>
      </x:c>
      <x:c r="C5328" s="1" t="str">
        <x:v>Same Day</x:v>
      </x:c>
      <x:c r="D5328" s="1" t="str">
        <x:v>Africa</x:v>
      </x:c>
      <x:c r="E5328" s="1" t="str">
        <x:v>CANCELED</x:v>
      </x:c>
      <x:c r="F5328" s="1" t="str">
        <x:v>Shipping canceled</x:v>
      </x:c>
      <x:c r="G5328" s="6" t="n">
        <x:v>0</x:v>
      </x:c>
      <x:c r="H5328" s="6" t="n">
        <x:v>0</x:v>
      </x:c>
      <x:c r="I5328" s="6" t="n">
        <x:f>G5328-H5328</x:f>
        <x:v>0</x:v>
      </x:c>
      <x:c r="J5328" s="6" t="n">
        <x:f>IF(OR(E5328="CANCELED",E5328="SUSPECTED_FRAUD",F5328="Shipping canceled"),0,1)</x:f>
        <x:v>0</x:v>
      </x:c>
      <x:c r="K5328" s="6" t="n">
        <x:f>IF(G5328&gt;H5328,1,0)</x:f>
        <x:v>0</x:v>
      </x:c>
      <x:c r="L5328" s="6" t="n">
        <x:f>J5328*K5328</x:f>
        <x:v>0</x:v>
      </x:c>
    </x:row>
    <x:row r="5329">
      <x:c r="A5329" s="1" t="n">
        <x:v>41892</x:v>
      </x:c>
      <x:c r="B5329" s="5" t="d">
        <x:v>2016-09-03T00:00:00.000Z</x:v>
      </x:c>
      <x:c r="C5329" s="1" t="str">
        <x:v>Standard Class</x:v>
      </x:c>
      <x:c r="D5329" s="1" t="str">
        <x:v>Africa</x:v>
      </x:c>
      <x:c r="E5329" s="1" t="str">
        <x:v>CLOSED</x:v>
      </x:c>
      <x:c r="F5329" s="1" t="str">
        <x:v>Advance shipping</x:v>
      </x:c>
      <x:c r="G5329" s="6" t="n">
        <x:v>3</x:v>
      </x:c>
      <x:c r="H5329" s="6" t="n">
        <x:v>4</x:v>
      </x:c>
      <x:c r="I5329" s="6" t="n">
        <x:f>G5329-H5329</x:f>
        <x:v>-1</x:v>
      </x:c>
      <x:c r="J5329" s="6" t="n">
        <x:f>IF(OR(E5329="CANCELED",E5329="SUSPECTED_FRAUD",F5329="Shipping canceled"),0,1)</x:f>
        <x:v>1</x:v>
      </x:c>
      <x:c r="K5329" s="6" t="n">
        <x:f>IF(G5329&gt;H5329,1,0)</x:f>
        <x:v>0</x:v>
      </x:c>
      <x:c r="L5329" s="6" t="n">
        <x:f>J5329*K5329</x:f>
        <x:v>0</x:v>
      </x:c>
    </x:row>
    <x:row r="5330">
      <x:c r="A5330" s="1" t="n">
        <x:v>41893</x:v>
      </x:c>
      <x:c r="B5330" s="5" t="d">
        <x:v>2016-09-03T00:00:00.000Z</x:v>
      </x:c>
      <x:c r="C5330" s="1" t="str">
        <x:v>Standard Class</x:v>
      </x:c>
      <x:c r="D5330" s="1" t="str">
        <x:v>Africa</x:v>
      </x:c>
      <x:c r="E5330" s="1" t="str">
        <x:v>COMPLETE</x:v>
      </x:c>
      <x:c r="F5330" s="1" t="str">
        <x:v>Shipping on time</x:v>
      </x:c>
      <x:c r="G5330" s="6" t="n">
        <x:v>4</x:v>
      </x:c>
      <x:c r="H5330" s="6" t="n">
        <x:v>4</x:v>
      </x:c>
      <x:c r="I5330" s="6" t="n">
        <x:f>G5330-H5330</x:f>
        <x:v>0</x:v>
      </x:c>
      <x:c r="J5330" s="6" t="n">
        <x:f>IF(OR(E5330="CANCELED",E5330="SUSPECTED_FRAUD",F5330="Shipping canceled"),0,1)</x:f>
        <x:v>1</x:v>
      </x:c>
      <x:c r="K5330" s="6" t="n">
        <x:f>IF(G5330&gt;H5330,1,0)</x:f>
        <x:v>0</x:v>
      </x:c>
      <x:c r="L5330" s="6" t="n">
        <x:f>J5330*K5330</x:f>
        <x:v>0</x:v>
      </x:c>
    </x:row>
    <x:row r="5331">
      <x:c r="A5331" s="1" t="n">
        <x:v>41894</x:v>
      </x:c>
      <x:c r="B5331" s="5" t="d">
        <x:v>2016-09-03T00:00:00.000Z</x:v>
      </x:c>
      <x:c r="C5331" s="1" t="str">
        <x:v>Standard Class</x:v>
      </x:c>
      <x:c r="D5331" s="1" t="str">
        <x:v>Pacific Asia</x:v>
      </x:c>
      <x:c r="E5331" s="1" t="str">
        <x:v>PENDING_PAYMENT</x:v>
      </x:c>
      <x:c r="F5331" s="1" t="str">
        <x:v>Late delivery</x:v>
      </x:c>
      <x:c r="G5331" s="6" t="n">
        <x:v>5</x:v>
      </x:c>
      <x:c r="H5331" s="6" t="n">
        <x:v>4</x:v>
      </x:c>
      <x:c r="I5331" s="6" t="n">
        <x:f>G5331-H5331</x:f>
        <x:v>1</x:v>
      </x:c>
      <x:c r="J5331" s="6" t="n">
        <x:f>IF(OR(E5331="CANCELED",E5331="SUSPECTED_FRAUD",F5331="Shipping canceled"),0,1)</x:f>
        <x:v>1</x:v>
      </x:c>
      <x:c r="K5331" s="6" t="n">
        <x:f>IF(G5331&gt;H5331,1,0)</x:f>
        <x:v>1</x:v>
      </x:c>
      <x:c r="L5331" s="6" t="n">
        <x:f>J5331*K5331</x:f>
        <x:v>1</x:v>
      </x:c>
    </x:row>
    <x:row r="5332">
      <x:c r="A5332" s="1" t="n">
        <x:v>41896</x:v>
      </x:c>
      <x:c r="B5332" s="5" t="d">
        <x:v>2016-09-03T00:00:00.000Z</x:v>
      </x:c>
      <x:c r="C5332" s="1" t="str">
        <x:v>Standard Class</x:v>
      </x:c>
      <x:c r="D5332" s="1" t="str">
        <x:v>Pacific Asia</x:v>
      </x:c>
      <x:c r="E5332" s="1" t="str">
        <x:v>COMPLETE</x:v>
      </x:c>
      <x:c r="F5332" s="1" t="str">
        <x:v>Advance shipping</x:v>
      </x:c>
      <x:c r="G5332" s="6" t="n">
        <x:v>2</x:v>
      </x:c>
      <x:c r="H5332" s="6" t="n">
        <x:v>4</x:v>
      </x:c>
      <x:c r="I5332" s="6" t="n">
        <x:f>G5332-H5332</x:f>
        <x:v>-2</x:v>
      </x:c>
      <x:c r="J5332" s="6" t="n">
        <x:f>IF(OR(E5332="CANCELED",E5332="SUSPECTED_FRAUD",F5332="Shipping canceled"),0,1)</x:f>
        <x:v>1</x:v>
      </x:c>
      <x:c r="K5332" s="6" t="n">
        <x:f>IF(G5332&gt;H5332,1,0)</x:f>
        <x:v>0</x:v>
      </x:c>
      <x:c r="L5332" s="6" t="n">
        <x:f>J5332*K5332</x:f>
        <x:v>0</x:v>
      </x:c>
    </x:row>
    <x:row r="5333">
      <x:c r="A5333" s="1" t="n">
        <x:v>41897</x:v>
      </x:c>
      <x:c r="B5333" s="5" t="d">
        <x:v>2016-09-03T00:00:00.000Z</x:v>
      </x:c>
      <x:c r="C5333" s="1" t="str">
        <x:v>Second Class</x:v>
      </x:c>
      <x:c r="D5333" s="1" t="str">
        <x:v>Africa</x:v>
      </x:c>
      <x:c r="E5333" s="1" t="str">
        <x:v>PENDING</x:v>
      </x:c>
      <x:c r="F5333" s="1" t="str">
        <x:v>Late delivery</x:v>
      </x:c>
      <x:c r="G5333" s="6" t="n">
        <x:v>3</x:v>
      </x:c>
      <x:c r="H5333" s="6" t="n">
        <x:v>2</x:v>
      </x:c>
      <x:c r="I5333" s="6" t="n">
        <x:f>G5333-H5333</x:f>
        <x:v>1</x:v>
      </x:c>
      <x:c r="J5333" s="6" t="n">
        <x:f>IF(OR(E5333="CANCELED",E5333="SUSPECTED_FRAUD",F5333="Shipping canceled"),0,1)</x:f>
        <x:v>1</x:v>
      </x:c>
      <x:c r="K5333" s="6" t="n">
        <x:f>IF(G5333&gt;H5333,1,0)</x:f>
        <x:v>1</x:v>
      </x:c>
      <x:c r="L5333" s="6" t="n">
        <x:f>J5333*K5333</x:f>
        <x:v>1</x:v>
      </x:c>
    </x:row>
    <x:row r="5334">
      <x:c r="A5334" s="1" t="n">
        <x:v>41901</x:v>
      </x:c>
      <x:c r="B5334" s="5" t="d">
        <x:v>2016-09-03T00:00:00.000Z</x:v>
      </x:c>
      <x:c r="C5334" s="1" t="str">
        <x:v>Standard Class</x:v>
      </x:c>
      <x:c r="D5334" s="1" t="str">
        <x:v>Africa</x:v>
      </x:c>
      <x:c r="E5334" s="1" t="str">
        <x:v>CANCELED</x:v>
      </x:c>
      <x:c r="F5334" s="1" t="str">
        <x:v>Shipping canceled</x:v>
      </x:c>
      <x:c r="G5334" s="6" t="n">
        <x:v>2</x:v>
      </x:c>
      <x:c r="H5334" s="6" t="n">
        <x:v>4</x:v>
      </x:c>
      <x:c r="I5334" s="6" t="n">
        <x:f>G5334-H5334</x:f>
        <x:v>-2</x:v>
      </x:c>
      <x:c r="J5334" s="6" t="n">
        <x:f>IF(OR(E5334="CANCELED",E5334="SUSPECTED_FRAUD",F5334="Shipping canceled"),0,1)</x:f>
        <x:v>0</x:v>
      </x:c>
      <x:c r="K5334" s="6" t="n">
        <x:f>IF(G5334&gt;H5334,1,0)</x:f>
        <x:v>0</x:v>
      </x:c>
      <x:c r="L5334" s="6" t="n">
        <x:f>J5334*K5334</x:f>
        <x:v>0</x:v>
      </x:c>
    </x:row>
    <x:row r="5335">
      <x:c r="A5335" s="1" t="n">
        <x:v>41903</x:v>
      </x:c>
      <x:c r="B5335" s="5" t="d">
        <x:v>2016-09-03T00:00:00.000Z</x:v>
      </x:c>
      <x:c r="C5335" s="1" t="str">
        <x:v>Standard Class</x:v>
      </x:c>
      <x:c r="D5335" s="1" t="str">
        <x:v>Pacific Asia</x:v>
      </x:c>
      <x:c r="E5335" s="1" t="str">
        <x:v>PROCESSING</x:v>
      </x:c>
      <x:c r="F5335" s="1" t="str">
        <x:v>Shipping on time</x:v>
      </x:c>
      <x:c r="G5335" s="6" t="n">
        <x:v>4</x:v>
      </x:c>
      <x:c r="H5335" s="6" t="n">
        <x:v>4</x:v>
      </x:c>
      <x:c r="I5335" s="6" t="n">
        <x:f>G5335-H5335</x:f>
        <x:v>0</x:v>
      </x:c>
      <x:c r="J5335" s="6" t="n">
        <x:f>IF(OR(E5335="CANCELED",E5335="SUSPECTED_FRAUD",F5335="Shipping canceled"),0,1)</x:f>
        <x:v>1</x:v>
      </x:c>
      <x:c r="K5335" s="6" t="n">
        <x:f>IF(G5335&gt;H5335,1,0)</x:f>
        <x:v>0</x:v>
      </x:c>
      <x:c r="L5335" s="6" t="n">
        <x:f>J5335*K5335</x:f>
        <x:v>0</x:v>
      </x:c>
    </x:row>
    <x:row r="5336">
      <x:c r="A5336" s="1" t="n">
        <x:v>41916</x:v>
      </x:c>
      <x:c r="B5336" s="5" t="d">
        <x:v>2016-09-03T00:00:00.000Z</x:v>
      </x:c>
      <x:c r="C5336" s="1" t="str">
        <x:v>Standard Class</x:v>
      </x:c>
      <x:c r="D5336" s="1" t="str">
        <x:v>Africa</x:v>
      </x:c>
      <x:c r="E5336" s="1" t="str">
        <x:v>CLOSED</x:v>
      </x:c>
      <x:c r="F5336" s="1" t="str">
        <x:v>Advance shipping</x:v>
      </x:c>
      <x:c r="G5336" s="6" t="n">
        <x:v>2</x:v>
      </x:c>
      <x:c r="H5336" s="6" t="n">
        <x:v>4</x:v>
      </x:c>
      <x:c r="I5336" s="6" t="n">
        <x:f>G5336-H5336</x:f>
        <x:v>-2</x:v>
      </x:c>
      <x:c r="J5336" s="6" t="n">
        <x:f>IF(OR(E5336="CANCELED",E5336="SUSPECTED_FRAUD",F5336="Shipping canceled"),0,1)</x:f>
        <x:v>1</x:v>
      </x:c>
      <x:c r="K5336" s="6" t="n">
        <x:f>IF(G5336&gt;H5336,1,0)</x:f>
        <x:v>0</x:v>
      </x:c>
      <x:c r="L5336" s="6" t="n">
        <x:f>J5336*K5336</x:f>
        <x:v>0</x:v>
      </x:c>
    </x:row>
    <x:row r="5337">
      <x:c r="A5337" s="1" t="n">
        <x:v>41948</x:v>
      </x:c>
      <x:c r="B5337" s="5" t="d">
        <x:v>2016-09-04T00:00:00.000Z</x:v>
      </x:c>
      <x:c r="C5337" s="1" t="str">
        <x:v>First Class</x:v>
      </x:c>
      <x:c r="D5337" s="1" t="str">
        <x:v>USCA</x:v>
      </x:c>
      <x:c r="E5337" s="1" t="str">
        <x:v>PROCESSING</x:v>
      </x:c>
      <x:c r="F5337" s="1" t="str">
        <x:v>Late delivery</x:v>
      </x:c>
      <x:c r="G5337" s="6" t="n">
        <x:v>2</x:v>
      </x:c>
      <x:c r="H5337" s="6" t="n">
        <x:v>1</x:v>
      </x:c>
      <x:c r="I5337" s="6" t="n">
        <x:f>G5337-H5337</x:f>
        <x:v>1</x:v>
      </x:c>
      <x:c r="J5337" s="6" t="n">
        <x:f>IF(OR(E5337="CANCELED",E5337="SUSPECTED_FRAUD",F5337="Shipping canceled"),0,1)</x:f>
        <x:v>1</x:v>
      </x:c>
      <x:c r="K5337" s="6" t="n">
        <x:f>IF(G5337&gt;H5337,1,0)</x:f>
        <x:v>1</x:v>
      </x:c>
      <x:c r="L5337" s="6" t="n">
        <x:f>J5337*K5337</x:f>
        <x:v>1</x:v>
      </x:c>
    </x:row>
    <x:row r="5338">
      <x:c r="A5338" s="1" t="n">
        <x:v>41951</x:v>
      </x:c>
      <x:c r="B5338" s="5" t="d">
        <x:v>2016-09-04T00:00:00.000Z</x:v>
      </x:c>
      <x:c r="C5338" s="1" t="str">
        <x:v>Standard Class</x:v>
      </x:c>
      <x:c r="D5338" s="1" t="str">
        <x:v>USCA</x:v>
      </x:c>
      <x:c r="E5338" s="1" t="str">
        <x:v>COMPLETE</x:v>
      </x:c>
      <x:c r="F5338" s="1" t="str">
        <x:v>Advance shipping</x:v>
      </x:c>
      <x:c r="G5338" s="6" t="n">
        <x:v>2</x:v>
      </x:c>
      <x:c r="H5338" s="6" t="n">
        <x:v>4</x:v>
      </x:c>
      <x:c r="I5338" s="6" t="n">
        <x:f>G5338-H5338</x:f>
        <x:v>-2</x:v>
      </x:c>
      <x:c r="J5338" s="6" t="n">
        <x:f>IF(OR(E5338="CANCELED",E5338="SUSPECTED_FRAUD",F5338="Shipping canceled"),0,1)</x:f>
        <x:v>1</x:v>
      </x:c>
      <x:c r="K5338" s="6" t="n">
        <x:f>IF(G5338&gt;H5338,1,0)</x:f>
        <x:v>0</x:v>
      </x:c>
      <x:c r="L5338" s="6" t="n">
        <x:f>J5338*K5338</x:f>
        <x:v>0</x:v>
      </x:c>
    </x:row>
    <x:row r="5339">
      <x:c r="A5339" s="1" t="n">
        <x:v>41966</x:v>
      </x:c>
      <x:c r="B5339" s="5" t="d">
        <x:v>2016-09-04T00:00:00.000Z</x:v>
      </x:c>
      <x:c r="C5339" s="1" t="str">
        <x:v>Standard Class</x:v>
      </x:c>
      <x:c r="D5339" s="1" t="str">
        <x:v>Africa</x:v>
      </x:c>
      <x:c r="E5339" s="1" t="str">
        <x:v>COMPLETE</x:v>
      </x:c>
      <x:c r="F5339" s="1" t="str">
        <x:v>Advance shipping</x:v>
      </x:c>
      <x:c r="G5339" s="6" t="n">
        <x:v>2</x:v>
      </x:c>
      <x:c r="H5339" s="6" t="n">
        <x:v>4</x:v>
      </x:c>
      <x:c r="I5339" s="6" t="n">
        <x:f>G5339-H5339</x:f>
        <x:v>-2</x:v>
      </x:c>
      <x:c r="J5339" s="6" t="n">
        <x:f>IF(OR(E5339="CANCELED",E5339="SUSPECTED_FRAUD",F5339="Shipping canceled"),0,1)</x:f>
        <x:v>1</x:v>
      </x:c>
      <x:c r="K5339" s="6" t="n">
        <x:f>IF(G5339&gt;H5339,1,0)</x:f>
        <x:v>0</x:v>
      </x:c>
      <x:c r="L5339" s="6" t="n">
        <x:f>J5339*K5339</x:f>
        <x:v>0</x:v>
      </x:c>
    </x:row>
    <x:row r="5340">
      <x:c r="A5340" s="1" t="n">
        <x:v>41968</x:v>
      </x:c>
      <x:c r="B5340" s="5" t="d">
        <x:v>2016-09-04T00:00:00.000Z</x:v>
      </x:c>
      <x:c r="C5340" s="1" t="str">
        <x:v>First Class</x:v>
      </x:c>
      <x:c r="D5340" s="1" t="str">
        <x:v>Africa</x:v>
      </x:c>
      <x:c r="E5340" s="1" t="str">
        <x:v>PENDING_PAYMENT</x:v>
      </x:c>
      <x:c r="F5340" s="1" t="str">
        <x:v>Late delivery</x:v>
      </x:c>
      <x:c r="G5340" s="6" t="n">
        <x:v>2</x:v>
      </x:c>
      <x:c r="H5340" s="6" t="n">
        <x:v>1</x:v>
      </x:c>
      <x:c r="I5340" s="6" t="n">
        <x:f>G5340-H5340</x:f>
        <x:v>1</x:v>
      </x:c>
      <x:c r="J5340" s="6" t="n">
        <x:f>IF(OR(E5340="CANCELED",E5340="SUSPECTED_FRAUD",F5340="Shipping canceled"),0,1)</x:f>
        <x:v>1</x:v>
      </x:c>
      <x:c r="K5340" s="6" t="n">
        <x:f>IF(G5340&gt;H5340,1,0)</x:f>
        <x:v>1</x:v>
      </x:c>
      <x:c r="L5340" s="6" t="n">
        <x:f>J5340*K5340</x:f>
        <x:v>1</x:v>
      </x:c>
    </x:row>
    <x:row r="5341">
      <x:c r="A5341" s="1" t="n">
        <x:v>41975</x:v>
      </x:c>
      <x:c r="B5341" s="5" t="d">
        <x:v>2016-09-04T00:00:00.000Z</x:v>
      </x:c>
      <x:c r="C5341" s="1" t="str">
        <x:v>Standard Class</x:v>
      </x:c>
      <x:c r="D5341" s="1" t="str">
        <x:v>Pacific Asia</x:v>
      </x:c>
      <x:c r="E5341" s="1" t="str">
        <x:v>COMPLETE</x:v>
      </x:c>
      <x:c r="F5341" s="1" t="str">
        <x:v>Late delivery</x:v>
      </x:c>
      <x:c r="G5341" s="6" t="n">
        <x:v>6</x:v>
      </x:c>
      <x:c r="H5341" s="6" t="n">
        <x:v>4</x:v>
      </x:c>
      <x:c r="I5341" s="6" t="n">
        <x:f>G5341-H5341</x:f>
        <x:v>2</x:v>
      </x:c>
      <x:c r="J5341" s="6" t="n">
        <x:f>IF(OR(E5341="CANCELED",E5341="SUSPECTED_FRAUD",F5341="Shipping canceled"),0,1)</x:f>
        <x:v>1</x:v>
      </x:c>
      <x:c r="K5341" s="6" t="n">
        <x:f>IF(G5341&gt;H5341,1,0)</x:f>
        <x:v>1</x:v>
      </x:c>
      <x:c r="L5341" s="6" t="n">
        <x:f>J5341*K5341</x:f>
        <x:v>1</x:v>
      </x:c>
    </x:row>
    <x:row r="5342">
      <x:c r="A5342" s="1" t="n">
        <x:v>41976</x:v>
      </x:c>
      <x:c r="B5342" s="5" t="d">
        <x:v>2016-09-04T00:00:00.000Z</x:v>
      </x:c>
      <x:c r="C5342" s="1" t="str">
        <x:v>Standard Class</x:v>
      </x:c>
      <x:c r="D5342" s="1" t="str">
        <x:v>Pacific Asia</x:v>
      </x:c>
      <x:c r="E5342" s="1" t="str">
        <x:v>COMPLETE</x:v>
      </x:c>
      <x:c r="F5342" s="1" t="str">
        <x:v>Advance shipping</x:v>
      </x:c>
      <x:c r="G5342" s="6" t="n">
        <x:v>2</x:v>
      </x:c>
      <x:c r="H5342" s="6" t="n">
        <x:v>4</x:v>
      </x:c>
      <x:c r="I5342" s="6" t="n">
        <x:f>G5342-H5342</x:f>
        <x:v>-2</x:v>
      </x:c>
      <x:c r="J5342" s="6" t="n">
        <x:f>IF(OR(E5342="CANCELED",E5342="SUSPECTED_FRAUD",F5342="Shipping canceled"),0,1)</x:f>
        <x:v>1</x:v>
      </x:c>
      <x:c r="K5342" s="6" t="n">
        <x:f>IF(G5342&gt;H5342,1,0)</x:f>
        <x:v>0</x:v>
      </x:c>
      <x:c r="L5342" s="6" t="n">
        <x:f>J5342*K5342</x:f>
        <x:v>0</x:v>
      </x:c>
    </x:row>
    <x:row r="5343">
      <x:c r="A5343" s="1" t="n">
        <x:v>41980</x:v>
      </x:c>
      <x:c r="B5343" s="5" t="d">
        <x:v>2016-09-04T00:00:00.000Z</x:v>
      </x:c>
      <x:c r="C5343" s="1" t="str">
        <x:v>Second Class</x:v>
      </x:c>
      <x:c r="D5343" s="1" t="str">
        <x:v>Africa</x:v>
      </x:c>
      <x:c r="E5343" s="1" t="str">
        <x:v>COMPLETE</x:v>
      </x:c>
      <x:c r="F5343" s="1" t="str">
        <x:v>Late delivery</x:v>
      </x:c>
      <x:c r="G5343" s="6" t="n">
        <x:v>6</x:v>
      </x:c>
      <x:c r="H5343" s="6" t="n">
        <x:v>2</x:v>
      </x:c>
      <x:c r="I5343" s="6" t="n">
        <x:f>G5343-H5343</x:f>
        <x:v>4</x:v>
      </x:c>
      <x:c r="J5343" s="6" t="n">
        <x:f>IF(OR(E5343="CANCELED",E5343="SUSPECTED_FRAUD",F5343="Shipping canceled"),0,1)</x:f>
        <x:v>1</x:v>
      </x:c>
      <x:c r="K5343" s="6" t="n">
        <x:f>IF(G5343&gt;H5343,1,0)</x:f>
        <x:v>1</x:v>
      </x:c>
      <x:c r="L5343" s="6" t="n">
        <x:f>J5343*K5343</x:f>
        <x:v>1</x:v>
      </x:c>
    </x:row>
    <x:row r="5344">
      <x:c r="A5344" s="1" t="n">
        <x:v>41996</x:v>
      </x:c>
      <x:c r="B5344" s="5" t="d">
        <x:v>2016-09-05T00:00:00.000Z</x:v>
      </x:c>
      <x:c r="C5344" s="1" t="str">
        <x:v>Second Class</x:v>
      </x:c>
      <x:c r="D5344" s="1" t="str">
        <x:v>Pacific Asia</x:v>
      </x:c>
      <x:c r="E5344" s="1" t="str">
        <x:v>PROCESSING</x:v>
      </x:c>
      <x:c r="F5344" s="1" t="str">
        <x:v>Shipping on time</x:v>
      </x:c>
      <x:c r="G5344" s="6" t="n">
        <x:v>2</x:v>
      </x:c>
      <x:c r="H5344" s="6" t="n">
        <x:v>2</x:v>
      </x:c>
      <x:c r="I5344" s="6" t="n">
        <x:f>G5344-H5344</x:f>
        <x:v>0</x:v>
      </x:c>
      <x:c r="J5344" s="6" t="n">
        <x:f>IF(OR(E5344="CANCELED",E5344="SUSPECTED_FRAUD",F5344="Shipping canceled"),0,1)</x:f>
        <x:v>1</x:v>
      </x:c>
      <x:c r="K5344" s="6" t="n">
        <x:f>IF(G5344&gt;H5344,1,0)</x:f>
        <x:v>0</x:v>
      </x:c>
      <x:c r="L5344" s="6" t="n">
        <x:f>J5344*K5344</x:f>
        <x:v>0</x:v>
      </x:c>
    </x:row>
    <x:row r="5345">
      <x:c r="A5345" s="1" t="n">
        <x:v>42007</x:v>
      </x:c>
      <x:c r="B5345" s="5" t="d">
        <x:v>2016-09-05T00:00:00.000Z</x:v>
      </x:c>
      <x:c r="C5345" s="1" t="str">
        <x:v>Standard Class</x:v>
      </x:c>
      <x:c r="D5345" s="1" t="str">
        <x:v>Pacific Asia</x:v>
      </x:c>
      <x:c r="E5345" s="1" t="str">
        <x:v>PENDING_PAYMENT</x:v>
      </x:c>
      <x:c r="F5345" s="1" t="str">
        <x:v>Advance shipping</x:v>
      </x:c>
      <x:c r="G5345" s="6" t="n">
        <x:v>3</x:v>
      </x:c>
      <x:c r="H5345" s="6" t="n">
        <x:v>4</x:v>
      </x:c>
      <x:c r="I5345" s="6" t="n">
        <x:f>G5345-H5345</x:f>
        <x:v>-1</x:v>
      </x:c>
      <x:c r="J5345" s="6" t="n">
        <x:f>IF(OR(E5345="CANCELED",E5345="SUSPECTED_FRAUD",F5345="Shipping canceled"),0,1)</x:f>
        <x:v>1</x:v>
      </x:c>
      <x:c r="K5345" s="6" t="n">
        <x:f>IF(G5345&gt;H5345,1,0)</x:f>
        <x:v>0</x:v>
      </x:c>
      <x:c r="L5345" s="6" t="n">
        <x:f>J5345*K5345</x:f>
        <x:v>0</x:v>
      </x:c>
    </x:row>
    <x:row r="5346">
      <x:c r="A5346" s="1" t="n">
        <x:v>42019</x:v>
      </x:c>
      <x:c r="B5346" s="5" t="d">
        <x:v>2016-09-05T00:00:00.000Z</x:v>
      </x:c>
      <x:c r="C5346" s="1" t="str">
        <x:v>First Class</x:v>
      </x:c>
      <x:c r="D5346" s="1" t="str">
        <x:v>Africa</x:v>
      </x:c>
      <x:c r="E5346" s="1" t="str">
        <x:v>CLOSED</x:v>
      </x:c>
      <x:c r="F5346" s="1" t="str">
        <x:v>Late delivery</x:v>
      </x:c>
      <x:c r="G5346" s="6" t="n">
        <x:v>2</x:v>
      </x:c>
      <x:c r="H5346" s="6" t="n">
        <x:v>1</x:v>
      </x:c>
      <x:c r="I5346" s="6" t="n">
        <x:f>G5346-H5346</x:f>
        <x:v>1</x:v>
      </x:c>
      <x:c r="J5346" s="6" t="n">
        <x:f>IF(OR(E5346="CANCELED",E5346="SUSPECTED_FRAUD",F5346="Shipping canceled"),0,1)</x:f>
        <x:v>1</x:v>
      </x:c>
      <x:c r="K5346" s="6" t="n">
        <x:f>IF(G5346&gt;H5346,1,0)</x:f>
        <x:v>1</x:v>
      </x:c>
      <x:c r="L5346" s="6" t="n">
        <x:f>J5346*K5346</x:f>
        <x:v>1</x:v>
      </x:c>
    </x:row>
    <x:row r="5347">
      <x:c r="A5347" s="1" t="n">
        <x:v>42020</x:v>
      </x:c>
      <x:c r="B5347" s="5" t="d">
        <x:v>2016-09-05T00:00:00.000Z</x:v>
      </x:c>
      <x:c r="C5347" s="1" t="str">
        <x:v>Standard Class</x:v>
      </x:c>
      <x:c r="D5347" s="1" t="str">
        <x:v>Africa</x:v>
      </x:c>
      <x:c r="E5347" s="1" t="str">
        <x:v>ON_HOLD</x:v>
      </x:c>
      <x:c r="F5347" s="1" t="str">
        <x:v>Late delivery</x:v>
      </x:c>
      <x:c r="G5347" s="6" t="n">
        <x:v>6</x:v>
      </x:c>
      <x:c r="H5347" s="6" t="n">
        <x:v>4</x:v>
      </x:c>
      <x:c r="I5347" s="6" t="n">
        <x:f>G5347-H5347</x:f>
        <x:v>2</x:v>
      </x:c>
      <x:c r="J5347" s="6" t="n">
        <x:f>IF(OR(E5347="CANCELED",E5347="SUSPECTED_FRAUD",F5347="Shipping canceled"),0,1)</x:f>
        <x:v>1</x:v>
      </x:c>
      <x:c r="K5347" s="6" t="n">
        <x:f>IF(G5347&gt;H5347,1,0)</x:f>
        <x:v>1</x:v>
      </x:c>
      <x:c r="L5347" s="6" t="n">
        <x:f>J5347*K5347</x:f>
        <x:v>1</x:v>
      </x:c>
    </x:row>
    <x:row r="5348">
      <x:c r="A5348" s="1" t="n">
        <x:v>42022</x:v>
      </x:c>
      <x:c r="B5348" s="5" t="d">
        <x:v>2016-09-05T00:00:00.000Z</x:v>
      </x:c>
      <x:c r="C5348" s="1" t="str">
        <x:v>Standard Class</x:v>
      </x:c>
      <x:c r="D5348" s="1" t="str">
        <x:v>Africa</x:v>
      </x:c>
      <x:c r="E5348" s="1" t="str">
        <x:v>COMPLETE</x:v>
      </x:c>
      <x:c r="F5348" s="1" t="str">
        <x:v>Advance shipping</x:v>
      </x:c>
      <x:c r="G5348" s="6" t="n">
        <x:v>3</x:v>
      </x:c>
      <x:c r="H5348" s="6" t="n">
        <x:v>4</x:v>
      </x:c>
      <x:c r="I5348" s="6" t="n">
        <x:f>G5348-H5348</x:f>
        <x:v>-1</x:v>
      </x:c>
      <x:c r="J5348" s="6" t="n">
        <x:f>IF(OR(E5348="CANCELED",E5348="SUSPECTED_FRAUD",F5348="Shipping canceled"),0,1)</x:f>
        <x:v>1</x:v>
      </x:c>
      <x:c r="K5348" s="6" t="n">
        <x:f>IF(G5348&gt;H5348,1,0)</x:f>
        <x:v>0</x:v>
      </x:c>
      <x:c r="L5348" s="6" t="n">
        <x:f>J5348*K5348</x:f>
        <x:v>0</x:v>
      </x:c>
    </x:row>
    <x:row r="5349">
      <x:c r="A5349" s="1" t="n">
        <x:v>42023</x:v>
      </x:c>
      <x:c r="B5349" s="5" t="d">
        <x:v>2016-09-05T00:00:00.000Z</x:v>
      </x:c>
      <x:c r="C5349" s="1" t="str">
        <x:v>Standard Class</x:v>
      </x:c>
      <x:c r="D5349" s="1" t="str">
        <x:v>Africa</x:v>
      </x:c>
      <x:c r="E5349" s="1" t="str">
        <x:v>PENDING</x:v>
      </x:c>
      <x:c r="F5349" s="1" t="str">
        <x:v>Shipping on time</x:v>
      </x:c>
      <x:c r="G5349" s="6" t="n">
        <x:v>4</x:v>
      </x:c>
      <x:c r="H5349" s="6" t="n">
        <x:v>4</x:v>
      </x:c>
      <x:c r="I5349" s="6" t="n">
        <x:f>G5349-H5349</x:f>
        <x:v>0</x:v>
      </x:c>
      <x:c r="J5349" s="6" t="n">
        <x:f>IF(OR(E5349="CANCELED",E5349="SUSPECTED_FRAUD",F5349="Shipping canceled"),0,1)</x:f>
        <x:v>1</x:v>
      </x:c>
      <x:c r="K5349" s="6" t="n">
        <x:f>IF(G5349&gt;H5349,1,0)</x:f>
        <x:v>0</x:v>
      </x:c>
      <x:c r="L5349" s="6" t="n">
        <x:f>J5349*K5349</x:f>
        <x:v>0</x:v>
      </x:c>
    </x:row>
    <x:row r="5350">
      <x:c r="A5350" s="1" t="n">
        <x:v>42028</x:v>
      </x:c>
      <x:c r="B5350" s="5" t="d">
        <x:v>2016-09-05T00:00:00.000Z</x:v>
      </x:c>
      <x:c r="C5350" s="1" t="str">
        <x:v>Standard Class</x:v>
      </x:c>
      <x:c r="D5350" s="1" t="str">
        <x:v>Pacific Asia</x:v>
      </x:c>
      <x:c r="E5350" s="1" t="str">
        <x:v>PENDING</x:v>
      </x:c>
      <x:c r="F5350" s="1" t="str">
        <x:v>Shipping on time</x:v>
      </x:c>
      <x:c r="G5350" s="6" t="n">
        <x:v>4</x:v>
      </x:c>
      <x:c r="H5350" s="6" t="n">
        <x:v>4</x:v>
      </x:c>
      <x:c r="I5350" s="6" t="n">
        <x:f>G5350-H5350</x:f>
        <x:v>0</x:v>
      </x:c>
      <x:c r="J5350" s="6" t="n">
        <x:f>IF(OR(E5350="CANCELED",E5350="SUSPECTED_FRAUD",F5350="Shipping canceled"),0,1)</x:f>
        <x:v>1</x:v>
      </x:c>
      <x:c r="K5350" s="6" t="n">
        <x:f>IF(G5350&gt;H5350,1,0)</x:f>
        <x:v>0</x:v>
      </x:c>
      <x:c r="L5350" s="6" t="n">
        <x:f>J5350*K5350</x:f>
        <x:v>0</x:v>
      </x:c>
    </x:row>
    <x:row r="5351">
      <x:c r="A5351" s="1" t="n">
        <x:v>42034</x:v>
      </x:c>
      <x:c r="B5351" s="5" t="d">
        <x:v>2016-09-05T00:00:00.000Z</x:v>
      </x:c>
      <x:c r="C5351" s="1" t="str">
        <x:v>Standard Class</x:v>
      </x:c>
      <x:c r="D5351" s="1" t="str">
        <x:v>Africa</x:v>
      </x:c>
      <x:c r="E5351" s="1" t="str">
        <x:v>COMPLETE</x:v>
      </x:c>
      <x:c r="F5351" s="1" t="str">
        <x:v>Late delivery</x:v>
      </x:c>
      <x:c r="G5351" s="6" t="n">
        <x:v>5</x:v>
      </x:c>
      <x:c r="H5351" s="6" t="n">
        <x:v>4</x:v>
      </x:c>
      <x:c r="I5351" s="6" t="n">
        <x:f>G5351-H5351</x:f>
        <x:v>1</x:v>
      </x:c>
      <x:c r="J5351" s="6" t="n">
        <x:f>IF(OR(E5351="CANCELED",E5351="SUSPECTED_FRAUD",F5351="Shipping canceled"),0,1)</x:f>
        <x:v>1</x:v>
      </x:c>
      <x:c r="K5351" s="6" t="n">
        <x:f>IF(G5351&gt;H5351,1,0)</x:f>
        <x:v>1</x:v>
      </x:c>
      <x:c r="L5351" s="6" t="n">
        <x:f>J5351*K5351</x:f>
        <x:v>1</x:v>
      </x:c>
    </x:row>
    <x:row r="5352">
      <x:c r="A5352" s="1" t="n">
        <x:v>42036</x:v>
      </x:c>
      <x:c r="B5352" s="5" t="d">
        <x:v>2016-09-05T00:00:00.000Z</x:v>
      </x:c>
      <x:c r="C5352" s="1" t="str">
        <x:v>Second Class</x:v>
      </x:c>
      <x:c r="D5352" s="1" t="str">
        <x:v>Pacific Asia</x:v>
      </x:c>
      <x:c r="E5352" s="1" t="str">
        <x:v>ON_HOLD</x:v>
      </x:c>
      <x:c r="F5352" s="1" t="str">
        <x:v>Shipping on time</x:v>
      </x:c>
      <x:c r="G5352" s="6" t="n">
        <x:v>2</x:v>
      </x:c>
      <x:c r="H5352" s="6" t="n">
        <x:v>2</x:v>
      </x:c>
      <x:c r="I5352" s="6" t="n">
        <x:f>G5352-H5352</x:f>
        <x:v>0</x:v>
      </x:c>
      <x:c r="J5352" s="6" t="n">
        <x:f>IF(OR(E5352="CANCELED",E5352="SUSPECTED_FRAUD",F5352="Shipping canceled"),0,1)</x:f>
        <x:v>1</x:v>
      </x:c>
      <x:c r="K5352" s="6" t="n">
        <x:f>IF(G5352&gt;H5352,1,0)</x:f>
        <x:v>0</x:v>
      </x:c>
      <x:c r="L5352" s="6" t="n">
        <x:f>J5352*K5352</x:f>
        <x:v>0</x:v>
      </x:c>
    </x:row>
    <x:row r="5353">
      <x:c r="A5353" s="1" t="n">
        <x:v>42048</x:v>
      </x:c>
      <x:c r="B5353" s="5" t="d">
        <x:v>2016-09-05T00:00:00.000Z</x:v>
      </x:c>
      <x:c r="C5353" s="1" t="str">
        <x:v>First Class</x:v>
      </x:c>
      <x:c r="D5353" s="1" t="str">
        <x:v>USCA</x:v>
      </x:c>
      <x:c r="E5353" s="1" t="str">
        <x:v>CLOSED</x:v>
      </x:c>
      <x:c r="F5353" s="1" t="str">
        <x:v>Late delivery</x:v>
      </x:c>
      <x:c r="G5353" s="6" t="n">
        <x:v>2</x:v>
      </x:c>
      <x:c r="H5353" s="6" t="n">
        <x:v>1</x:v>
      </x:c>
      <x:c r="I5353" s="6" t="n">
        <x:f>G5353-H5353</x:f>
        <x:v>1</x:v>
      </x:c>
      <x:c r="J5353" s="6" t="n">
        <x:f>IF(OR(E5353="CANCELED",E5353="SUSPECTED_FRAUD",F5353="Shipping canceled"),0,1)</x:f>
        <x:v>1</x:v>
      </x:c>
      <x:c r="K5353" s="6" t="n">
        <x:f>IF(G5353&gt;H5353,1,0)</x:f>
        <x:v>1</x:v>
      </x:c>
      <x:c r="L5353" s="6" t="n">
        <x:f>J5353*K5353</x:f>
        <x:v>1</x:v>
      </x:c>
    </x:row>
    <x:row r="5354">
      <x:c r="A5354" s="1" t="n">
        <x:v>42054</x:v>
      </x:c>
      <x:c r="B5354" s="5" t="d">
        <x:v>2016-09-05T00:00:00.000Z</x:v>
      </x:c>
      <x:c r="C5354" s="1" t="str">
        <x:v>Standard Class</x:v>
      </x:c>
      <x:c r="D5354" s="1" t="str">
        <x:v>Africa</x:v>
      </x:c>
      <x:c r="E5354" s="1" t="str">
        <x:v>COMPLETE</x:v>
      </x:c>
      <x:c r="F5354" s="1" t="str">
        <x:v>Late delivery</x:v>
      </x:c>
      <x:c r="G5354" s="6" t="n">
        <x:v>5</x:v>
      </x:c>
      <x:c r="H5354" s="6" t="n">
        <x:v>4</x:v>
      </x:c>
      <x:c r="I5354" s="6" t="n">
        <x:f>G5354-H5354</x:f>
        <x:v>1</x:v>
      </x:c>
      <x:c r="J5354" s="6" t="n">
        <x:f>IF(OR(E5354="CANCELED",E5354="SUSPECTED_FRAUD",F5354="Shipping canceled"),0,1)</x:f>
        <x:v>1</x:v>
      </x:c>
      <x:c r="K5354" s="6" t="n">
        <x:f>IF(G5354&gt;H5354,1,0)</x:f>
        <x:v>1</x:v>
      </x:c>
      <x:c r="L5354" s="6" t="n">
        <x:f>J5354*K5354</x:f>
        <x:v>1</x:v>
      </x:c>
    </x:row>
    <x:row r="5355">
      <x:c r="A5355" s="1" t="n">
        <x:v>42066</x:v>
      </x:c>
      <x:c r="B5355" s="5" t="d">
        <x:v>2016-09-06T00:00:00.000Z</x:v>
      </x:c>
      <x:c r="C5355" s="1" t="str">
        <x:v>Standard Class</x:v>
      </x:c>
      <x:c r="D5355" s="1" t="str">
        <x:v>Europe</x:v>
      </x:c>
      <x:c r="E5355" s="1" t="str">
        <x:v>COMPLETE</x:v>
      </x:c>
      <x:c r="F5355" s="1" t="str">
        <x:v>Advance shipping</x:v>
      </x:c>
      <x:c r="G5355" s="6" t="n">
        <x:v>2</x:v>
      </x:c>
      <x:c r="H5355" s="6" t="n">
        <x:v>4</x:v>
      </x:c>
      <x:c r="I5355" s="6" t="n">
        <x:f>G5355-H5355</x:f>
        <x:v>-2</x:v>
      </x:c>
      <x:c r="J5355" s="6" t="n">
        <x:f>IF(OR(E5355="CANCELED",E5355="SUSPECTED_FRAUD",F5355="Shipping canceled"),0,1)</x:f>
        <x:v>1</x:v>
      </x:c>
      <x:c r="K5355" s="6" t="n">
        <x:f>IF(G5355&gt;H5355,1,0)</x:f>
        <x:v>0</x:v>
      </x:c>
      <x:c r="L5355" s="6" t="n">
        <x:f>J5355*K5355</x:f>
        <x:v>0</x:v>
      </x:c>
    </x:row>
    <x:row r="5356">
      <x:c r="A5356" s="1" t="n">
        <x:v>42075</x:v>
      </x:c>
      <x:c r="B5356" s="5" t="d">
        <x:v>2016-09-06T00:00:00.000Z</x:v>
      </x:c>
      <x:c r="C5356" s="1" t="str">
        <x:v>Standard Class</x:v>
      </x:c>
      <x:c r="D5356" s="1" t="str">
        <x:v>Pacific Asia</x:v>
      </x:c>
      <x:c r="E5356" s="1" t="str">
        <x:v>PENDING_PAYMENT</x:v>
      </x:c>
      <x:c r="F5356" s="1" t="str">
        <x:v>Late delivery</x:v>
      </x:c>
      <x:c r="G5356" s="6" t="n">
        <x:v>6</x:v>
      </x:c>
      <x:c r="H5356" s="6" t="n">
        <x:v>4</x:v>
      </x:c>
      <x:c r="I5356" s="6" t="n">
        <x:f>G5356-H5356</x:f>
        <x:v>2</x:v>
      </x:c>
      <x:c r="J5356" s="6" t="n">
        <x:f>IF(OR(E5356="CANCELED",E5356="SUSPECTED_FRAUD",F5356="Shipping canceled"),0,1)</x:f>
        <x:v>1</x:v>
      </x:c>
      <x:c r="K5356" s="6" t="n">
        <x:f>IF(G5356&gt;H5356,1,0)</x:f>
        <x:v>1</x:v>
      </x:c>
      <x:c r="L5356" s="6" t="n">
        <x:f>J5356*K5356</x:f>
        <x:v>1</x:v>
      </x:c>
    </x:row>
    <x:row r="5357">
      <x:c r="A5357" s="1" t="n">
        <x:v>42076</x:v>
      </x:c>
      <x:c r="B5357" s="5" t="d">
        <x:v>2016-09-06T00:00:00.000Z</x:v>
      </x:c>
      <x:c r="C5357" s="1" t="str">
        <x:v>Second Class</x:v>
      </x:c>
      <x:c r="D5357" s="1" t="str">
        <x:v>Pacific Asia</x:v>
      </x:c>
      <x:c r="E5357" s="1" t="str">
        <x:v>COMPLETE</x:v>
      </x:c>
      <x:c r="F5357" s="1" t="str">
        <x:v>Shipping on time</x:v>
      </x:c>
      <x:c r="G5357" s="6" t="n">
        <x:v>2</x:v>
      </x:c>
      <x:c r="H5357" s="6" t="n">
        <x:v>2</x:v>
      </x:c>
      <x:c r="I5357" s="6" t="n">
        <x:f>G5357-H5357</x:f>
        <x:v>0</x:v>
      </x:c>
      <x:c r="J5357" s="6" t="n">
        <x:f>IF(OR(E5357="CANCELED",E5357="SUSPECTED_FRAUD",F5357="Shipping canceled"),0,1)</x:f>
        <x:v>1</x:v>
      </x:c>
      <x:c r="K5357" s="6" t="n">
        <x:f>IF(G5357&gt;H5357,1,0)</x:f>
        <x:v>0</x:v>
      </x:c>
      <x:c r="L5357" s="6" t="n">
        <x:f>J5357*K5357</x:f>
        <x:v>0</x:v>
      </x:c>
    </x:row>
    <x:row r="5358">
      <x:c r="A5358" s="1" t="n">
        <x:v>42078</x:v>
      </x:c>
      <x:c r="B5358" s="5" t="d">
        <x:v>2016-09-06T00:00:00.000Z</x:v>
      </x:c>
      <x:c r="C5358" s="1" t="str">
        <x:v>Standard Class</x:v>
      </x:c>
      <x:c r="D5358" s="1" t="str">
        <x:v>Pacific Asia</x:v>
      </x:c>
      <x:c r="E5358" s="1" t="str">
        <x:v>PENDING_PAYMENT</x:v>
      </x:c>
      <x:c r="F5358" s="1" t="str">
        <x:v>Shipping on time</x:v>
      </x:c>
      <x:c r="G5358" s="6" t="n">
        <x:v>4</x:v>
      </x:c>
      <x:c r="H5358" s="6" t="n">
        <x:v>4</x:v>
      </x:c>
      <x:c r="I5358" s="6" t="n">
        <x:f>G5358-H5358</x:f>
        <x:v>0</x:v>
      </x:c>
      <x:c r="J5358" s="6" t="n">
        <x:f>IF(OR(E5358="CANCELED",E5358="SUSPECTED_FRAUD",F5358="Shipping canceled"),0,1)</x:f>
        <x:v>1</x:v>
      </x:c>
      <x:c r="K5358" s="6" t="n">
        <x:f>IF(G5358&gt;H5358,1,0)</x:f>
        <x:v>0</x:v>
      </x:c>
      <x:c r="L5358" s="6" t="n">
        <x:f>J5358*K5358</x:f>
        <x:v>0</x:v>
      </x:c>
    </x:row>
    <x:row r="5359">
      <x:c r="A5359" s="1" t="n">
        <x:v>42080</x:v>
      </x:c>
      <x:c r="B5359" s="5" t="d">
        <x:v>2016-09-06T00:00:00.000Z</x:v>
      </x:c>
      <x:c r="C5359" s="1" t="str">
        <x:v>Standard Class</x:v>
      </x:c>
      <x:c r="D5359" s="1" t="str">
        <x:v>Africa</x:v>
      </x:c>
      <x:c r="E5359" s="1" t="str">
        <x:v>COMPLETE</x:v>
      </x:c>
      <x:c r="F5359" s="1" t="str">
        <x:v>Late delivery</x:v>
      </x:c>
      <x:c r="G5359" s="6" t="n">
        <x:v>6</x:v>
      </x:c>
      <x:c r="H5359" s="6" t="n">
        <x:v>4</x:v>
      </x:c>
      <x:c r="I5359" s="6" t="n">
        <x:f>G5359-H5359</x:f>
        <x:v>2</x:v>
      </x:c>
      <x:c r="J5359" s="6" t="n">
        <x:f>IF(OR(E5359="CANCELED",E5359="SUSPECTED_FRAUD",F5359="Shipping canceled"),0,1)</x:f>
        <x:v>1</x:v>
      </x:c>
      <x:c r="K5359" s="6" t="n">
        <x:f>IF(G5359&gt;H5359,1,0)</x:f>
        <x:v>1</x:v>
      </x:c>
      <x:c r="L5359" s="6" t="n">
        <x:f>J5359*K5359</x:f>
        <x:v>1</x:v>
      </x:c>
    </x:row>
    <x:row r="5360">
      <x:c r="A5360" s="1" t="n">
        <x:v>42087</x:v>
      </x:c>
      <x:c r="B5360" s="5" t="d">
        <x:v>2016-09-06T00:00:00.000Z</x:v>
      </x:c>
      <x:c r="C5360" s="1" t="str">
        <x:v>Standard Class</x:v>
      </x:c>
      <x:c r="D5360" s="1" t="str">
        <x:v>Europe</x:v>
      </x:c>
      <x:c r="E5360" s="1" t="str">
        <x:v>COMPLETE</x:v>
      </x:c>
      <x:c r="F5360" s="1" t="str">
        <x:v>Advance shipping</x:v>
      </x:c>
      <x:c r="G5360" s="6" t="n">
        <x:v>3</x:v>
      </x:c>
      <x:c r="H5360" s="6" t="n">
        <x:v>4</x:v>
      </x:c>
      <x:c r="I5360" s="6" t="n">
        <x:f>G5360-H5360</x:f>
        <x:v>-1</x:v>
      </x:c>
      <x:c r="J5360" s="6" t="n">
        <x:f>IF(OR(E5360="CANCELED",E5360="SUSPECTED_FRAUD",F5360="Shipping canceled"),0,1)</x:f>
        <x:v>1</x:v>
      </x:c>
      <x:c r="K5360" s="6" t="n">
        <x:f>IF(G5360&gt;H5360,1,0)</x:f>
        <x:v>0</x:v>
      </x:c>
      <x:c r="L5360" s="6" t="n">
        <x:f>J5360*K5360</x:f>
        <x:v>0</x:v>
      </x:c>
    </x:row>
    <x:row r="5361">
      <x:c r="A5361" s="1" t="n">
        <x:v>42099</x:v>
      </x:c>
      <x:c r="B5361" s="5" t="d">
        <x:v>2016-09-06T00:00:00.000Z</x:v>
      </x:c>
      <x:c r="C5361" s="1" t="str">
        <x:v>Standard Class</x:v>
      </x:c>
      <x:c r="D5361" s="1" t="str">
        <x:v>Africa</x:v>
      </x:c>
      <x:c r="E5361" s="1" t="str">
        <x:v>PROCESSING</x:v>
      </x:c>
      <x:c r="F5361" s="1" t="str">
        <x:v>Late delivery</x:v>
      </x:c>
      <x:c r="G5361" s="6" t="n">
        <x:v>5</x:v>
      </x:c>
      <x:c r="H5361" s="6" t="n">
        <x:v>4</x:v>
      </x:c>
      <x:c r="I5361" s="6" t="n">
        <x:f>G5361-H5361</x:f>
        <x:v>1</x:v>
      </x:c>
      <x:c r="J5361" s="6" t="n">
        <x:f>IF(OR(E5361="CANCELED",E5361="SUSPECTED_FRAUD",F5361="Shipping canceled"),0,1)</x:f>
        <x:v>1</x:v>
      </x:c>
      <x:c r="K5361" s="6" t="n">
        <x:f>IF(G5361&gt;H5361,1,0)</x:f>
        <x:v>1</x:v>
      </x:c>
      <x:c r="L5361" s="6" t="n">
        <x:f>J5361*K5361</x:f>
        <x:v>1</x:v>
      </x:c>
    </x:row>
    <x:row r="5362">
      <x:c r="A5362" s="1" t="n">
        <x:v>42101</x:v>
      </x:c>
      <x:c r="B5362" s="5" t="d">
        <x:v>2016-09-06T00:00:00.000Z</x:v>
      </x:c>
      <x:c r="C5362" s="1" t="str">
        <x:v>Standard Class</x:v>
      </x:c>
      <x:c r="D5362" s="1" t="str">
        <x:v>Africa</x:v>
      </x:c>
      <x:c r="E5362" s="1" t="str">
        <x:v>PENDING</x:v>
      </x:c>
      <x:c r="F5362" s="1" t="str">
        <x:v>Advance shipping</x:v>
      </x:c>
      <x:c r="G5362" s="6" t="n">
        <x:v>2</x:v>
      </x:c>
      <x:c r="H5362" s="6" t="n">
        <x:v>4</x:v>
      </x:c>
      <x:c r="I5362" s="6" t="n">
        <x:f>G5362-H5362</x:f>
        <x:v>-2</x:v>
      </x:c>
      <x:c r="J5362" s="6" t="n">
        <x:f>IF(OR(E5362="CANCELED",E5362="SUSPECTED_FRAUD",F5362="Shipping canceled"),0,1)</x:f>
        <x:v>1</x:v>
      </x:c>
      <x:c r="K5362" s="6" t="n">
        <x:f>IF(G5362&gt;H5362,1,0)</x:f>
        <x:v>0</x:v>
      </x:c>
      <x:c r="L5362" s="6" t="n">
        <x:f>J5362*K5362</x:f>
        <x:v>0</x:v>
      </x:c>
    </x:row>
    <x:row r="5363">
      <x:c r="A5363" s="1" t="n">
        <x:v>42102</x:v>
      </x:c>
      <x:c r="B5363" s="5" t="d">
        <x:v>2016-09-06T00:00:00.000Z</x:v>
      </x:c>
      <x:c r="C5363" s="1" t="str">
        <x:v>Standard Class</x:v>
      </x:c>
      <x:c r="D5363" s="1" t="str">
        <x:v>Africa</x:v>
      </x:c>
      <x:c r="E5363" s="1" t="str">
        <x:v>ON_HOLD</x:v>
      </x:c>
      <x:c r="F5363" s="1" t="str">
        <x:v>Advance shipping</x:v>
      </x:c>
      <x:c r="G5363" s="6" t="n">
        <x:v>3</x:v>
      </x:c>
      <x:c r="H5363" s="6" t="n">
        <x:v>4</x:v>
      </x:c>
      <x:c r="I5363" s="6" t="n">
        <x:f>G5363-H5363</x:f>
        <x:v>-1</x:v>
      </x:c>
      <x:c r="J5363" s="6" t="n">
        <x:f>IF(OR(E5363="CANCELED",E5363="SUSPECTED_FRAUD",F5363="Shipping canceled"),0,1)</x:f>
        <x:v>1</x:v>
      </x:c>
      <x:c r="K5363" s="6" t="n">
        <x:f>IF(G5363&gt;H5363,1,0)</x:f>
        <x:v>0</x:v>
      </x:c>
      <x:c r="L5363" s="6" t="n">
        <x:f>J5363*K5363</x:f>
        <x:v>0</x:v>
      </x:c>
    </x:row>
    <x:row r="5364">
      <x:c r="A5364" s="1" t="n">
        <x:v>42105</x:v>
      </x:c>
      <x:c r="B5364" s="5" t="d">
        <x:v>2016-09-06T00:00:00.000Z</x:v>
      </x:c>
      <x:c r="C5364" s="1" t="str">
        <x:v>Standard Class</x:v>
      </x:c>
      <x:c r="D5364" s="1" t="str">
        <x:v>Europe</x:v>
      </x:c>
      <x:c r="E5364" s="1" t="str">
        <x:v>COMPLETE</x:v>
      </x:c>
      <x:c r="F5364" s="1" t="str">
        <x:v>Late delivery</x:v>
      </x:c>
      <x:c r="G5364" s="6" t="n">
        <x:v>6</x:v>
      </x:c>
      <x:c r="H5364" s="6" t="n">
        <x:v>4</x:v>
      </x:c>
      <x:c r="I5364" s="6" t="n">
        <x:f>G5364-H5364</x:f>
        <x:v>2</x:v>
      </x:c>
      <x:c r="J5364" s="6" t="n">
        <x:f>IF(OR(E5364="CANCELED",E5364="SUSPECTED_FRAUD",F5364="Shipping canceled"),0,1)</x:f>
        <x:v>1</x:v>
      </x:c>
      <x:c r="K5364" s="6" t="n">
        <x:f>IF(G5364&gt;H5364,1,0)</x:f>
        <x:v>1</x:v>
      </x:c>
      <x:c r="L5364" s="6" t="n">
        <x:f>J5364*K5364</x:f>
        <x:v>1</x:v>
      </x:c>
    </x:row>
    <x:row r="5365">
      <x:c r="A5365" s="1" t="n">
        <x:v>42106</x:v>
      </x:c>
      <x:c r="B5365" s="5" t="d">
        <x:v>2016-09-06T00:00:00.000Z</x:v>
      </x:c>
      <x:c r="C5365" s="1" t="str">
        <x:v>Standard Class</x:v>
      </x:c>
      <x:c r="D5365" s="1" t="str">
        <x:v>Africa</x:v>
      </x:c>
      <x:c r="E5365" s="1" t="str">
        <x:v>COMPLETE</x:v>
      </x:c>
      <x:c r="F5365" s="1" t="str">
        <x:v>Advance shipping</x:v>
      </x:c>
      <x:c r="G5365" s="6" t="n">
        <x:v>2</x:v>
      </x:c>
      <x:c r="H5365" s="6" t="n">
        <x:v>4</x:v>
      </x:c>
      <x:c r="I5365" s="6" t="n">
        <x:f>G5365-H5365</x:f>
        <x:v>-2</x:v>
      </x:c>
      <x:c r="J5365" s="6" t="n">
        <x:f>IF(OR(E5365="CANCELED",E5365="SUSPECTED_FRAUD",F5365="Shipping canceled"),0,1)</x:f>
        <x:v>1</x:v>
      </x:c>
      <x:c r="K5365" s="6" t="n">
        <x:f>IF(G5365&gt;H5365,1,0)</x:f>
        <x:v>0</x:v>
      </x:c>
      <x:c r="L5365" s="6" t="n">
        <x:f>J5365*K5365</x:f>
        <x:v>0</x:v>
      </x:c>
    </x:row>
    <x:row r="5366">
      <x:c r="A5366" s="1" t="n">
        <x:v>42112</x:v>
      </x:c>
      <x:c r="B5366" s="5" t="d">
        <x:v>2016-09-06T00:00:00.000Z</x:v>
      </x:c>
      <x:c r="C5366" s="1" t="str">
        <x:v>Standard Class</x:v>
      </x:c>
      <x:c r="D5366" s="1" t="str">
        <x:v>Europe</x:v>
      </x:c>
      <x:c r="E5366" s="1" t="str">
        <x:v>COMPLETE</x:v>
      </x:c>
      <x:c r="F5366" s="1" t="str">
        <x:v>Advance shipping</x:v>
      </x:c>
      <x:c r="G5366" s="6" t="n">
        <x:v>3</x:v>
      </x:c>
      <x:c r="H5366" s="6" t="n">
        <x:v>4</x:v>
      </x:c>
      <x:c r="I5366" s="6" t="n">
        <x:f>G5366-H5366</x:f>
        <x:v>-1</x:v>
      </x:c>
      <x:c r="J5366" s="6" t="n">
        <x:f>IF(OR(E5366="CANCELED",E5366="SUSPECTED_FRAUD",F5366="Shipping canceled"),0,1)</x:f>
        <x:v>1</x:v>
      </x:c>
      <x:c r="K5366" s="6" t="n">
        <x:f>IF(G5366&gt;H5366,1,0)</x:f>
        <x:v>0</x:v>
      </x:c>
      <x:c r="L5366" s="6" t="n">
        <x:f>J5366*K5366</x:f>
        <x:v>0</x:v>
      </x:c>
    </x:row>
    <x:row r="5367">
      <x:c r="A5367" s="1" t="n">
        <x:v>42120</x:v>
      </x:c>
      <x:c r="B5367" s="5" t="d">
        <x:v>2016-09-06T00:00:00.000Z</x:v>
      </x:c>
      <x:c r="C5367" s="1" t="str">
        <x:v>First Class</x:v>
      </x:c>
      <x:c r="D5367" s="1" t="str">
        <x:v>Pacific Asia</x:v>
      </x:c>
      <x:c r="E5367" s="1" t="str">
        <x:v>PENDING</x:v>
      </x:c>
      <x:c r="F5367" s="1" t="str">
        <x:v>Late delivery</x:v>
      </x:c>
      <x:c r="G5367" s="6" t="n">
        <x:v>2</x:v>
      </x:c>
      <x:c r="H5367" s="6" t="n">
        <x:v>1</x:v>
      </x:c>
      <x:c r="I5367" s="6" t="n">
        <x:f>G5367-H5367</x:f>
        <x:v>1</x:v>
      </x:c>
      <x:c r="J5367" s="6" t="n">
        <x:f>IF(OR(E5367="CANCELED",E5367="SUSPECTED_FRAUD",F5367="Shipping canceled"),0,1)</x:f>
        <x:v>1</x:v>
      </x:c>
      <x:c r="K5367" s="6" t="n">
        <x:f>IF(G5367&gt;H5367,1,0)</x:f>
        <x:v>1</x:v>
      </x:c>
      <x:c r="L5367" s="6" t="n">
        <x:f>J5367*K5367</x:f>
        <x:v>1</x:v>
      </x:c>
    </x:row>
    <x:row r="5368">
      <x:c r="A5368" s="1" t="n">
        <x:v>42130</x:v>
      </x:c>
      <x:c r="B5368" s="5" t="d">
        <x:v>2016-09-06T00:00:00.000Z</x:v>
      </x:c>
      <x:c r="C5368" s="1" t="str">
        <x:v>Standard Class</x:v>
      </x:c>
      <x:c r="D5368" s="1" t="str">
        <x:v>Pacific Asia</x:v>
      </x:c>
      <x:c r="E5368" s="1" t="str">
        <x:v>COMPLETE</x:v>
      </x:c>
      <x:c r="F5368" s="1" t="str">
        <x:v>Late delivery</x:v>
      </x:c>
      <x:c r="G5368" s="6" t="n">
        <x:v>6</x:v>
      </x:c>
      <x:c r="H5368" s="6" t="n">
        <x:v>4</x:v>
      </x:c>
      <x:c r="I5368" s="6" t="n">
        <x:f>G5368-H5368</x:f>
        <x:v>2</x:v>
      </x:c>
      <x:c r="J5368" s="6" t="n">
        <x:f>IF(OR(E5368="CANCELED",E5368="SUSPECTED_FRAUD",F5368="Shipping canceled"),0,1)</x:f>
        <x:v>1</x:v>
      </x:c>
      <x:c r="K5368" s="6" t="n">
        <x:f>IF(G5368&gt;H5368,1,0)</x:f>
        <x:v>1</x:v>
      </x:c>
      <x:c r="L5368" s="6" t="n">
        <x:f>J5368*K5368</x:f>
        <x:v>1</x:v>
      </x:c>
    </x:row>
    <x:row r="5369">
      <x:c r="A5369" s="1" t="n">
        <x:v>42134</x:v>
      </x:c>
      <x:c r="B5369" s="5" t="d">
        <x:v>2016-09-07T00:00:00.000Z</x:v>
      </x:c>
      <x:c r="C5369" s="1" t="str">
        <x:v>Standard Class</x:v>
      </x:c>
      <x:c r="D5369" s="1" t="str">
        <x:v>Pacific Asia</x:v>
      </x:c>
      <x:c r="E5369" s="1" t="str">
        <x:v>COMPLETE</x:v>
      </x:c>
      <x:c r="F5369" s="1" t="str">
        <x:v>Late delivery</x:v>
      </x:c>
      <x:c r="G5369" s="6" t="n">
        <x:v>5</x:v>
      </x:c>
      <x:c r="H5369" s="6" t="n">
        <x:v>4</x:v>
      </x:c>
      <x:c r="I5369" s="6" t="n">
        <x:f>G5369-H5369</x:f>
        <x:v>1</x:v>
      </x:c>
      <x:c r="J5369" s="6" t="n">
        <x:f>IF(OR(E5369="CANCELED",E5369="SUSPECTED_FRAUD",F5369="Shipping canceled"),0,1)</x:f>
        <x:v>1</x:v>
      </x:c>
      <x:c r="K5369" s="6" t="n">
        <x:f>IF(G5369&gt;H5369,1,0)</x:f>
        <x:v>1</x:v>
      </x:c>
      <x:c r="L5369" s="6" t="n">
        <x:f>J5369*K5369</x:f>
        <x:v>1</x:v>
      </x:c>
    </x:row>
    <x:row r="5370">
      <x:c r="A5370" s="1" t="n">
        <x:v>42139</x:v>
      </x:c>
      <x:c r="B5370" s="5" t="d">
        <x:v>2016-09-07T00:00:00.000Z</x:v>
      </x:c>
      <x:c r="C5370" s="1" t="str">
        <x:v>Standard Class</x:v>
      </x:c>
      <x:c r="D5370" s="1" t="str">
        <x:v>Africa</x:v>
      </x:c>
      <x:c r="E5370" s="1" t="str">
        <x:v>COMPLETE</x:v>
      </x:c>
      <x:c r="F5370" s="1" t="str">
        <x:v>Late delivery</x:v>
      </x:c>
      <x:c r="G5370" s="6" t="n">
        <x:v>5</x:v>
      </x:c>
      <x:c r="H5370" s="6" t="n">
        <x:v>4</x:v>
      </x:c>
      <x:c r="I5370" s="6" t="n">
        <x:f>G5370-H5370</x:f>
        <x:v>1</x:v>
      </x:c>
      <x:c r="J5370" s="6" t="n">
        <x:f>IF(OR(E5370="CANCELED",E5370="SUSPECTED_FRAUD",F5370="Shipping canceled"),0,1)</x:f>
        <x:v>1</x:v>
      </x:c>
      <x:c r="K5370" s="6" t="n">
        <x:f>IF(G5370&gt;H5370,1,0)</x:f>
        <x:v>1</x:v>
      </x:c>
      <x:c r="L5370" s="6" t="n">
        <x:f>J5370*K5370</x:f>
        <x:v>1</x:v>
      </x:c>
    </x:row>
    <x:row r="5371">
      <x:c r="A5371" s="1" t="n">
        <x:v>42140</x:v>
      </x:c>
      <x:c r="B5371" s="5" t="d">
        <x:v>2016-09-07T00:00:00.000Z</x:v>
      </x:c>
      <x:c r="C5371" s="1" t="str">
        <x:v>Standard Class</x:v>
      </x:c>
      <x:c r="D5371" s="1" t="str">
        <x:v>Africa</x:v>
      </x:c>
      <x:c r="E5371" s="1" t="str">
        <x:v>PROCESSING</x:v>
      </x:c>
      <x:c r="F5371" s="1" t="str">
        <x:v>Late delivery</x:v>
      </x:c>
      <x:c r="G5371" s="6" t="n">
        <x:v>6</x:v>
      </x:c>
      <x:c r="H5371" s="6" t="n">
        <x:v>4</x:v>
      </x:c>
      <x:c r="I5371" s="6" t="n">
        <x:f>G5371-H5371</x:f>
        <x:v>2</x:v>
      </x:c>
      <x:c r="J5371" s="6" t="n">
        <x:f>IF(OR(E5371="CANCELED",E5371="SUSPECTED_FRAUD",F5371="Shipping canceled"),0,1)</x:f>
        <x:v>1</x:v>
      </x:c>
      <x:c r="K5371" s="6" t="n">
        <x:f>IF(G5371&gt;H5371,1,0)</x:f>
        <x:v>1</x:v>
      </x:c>
      <x:c r="L5371" s="6" t="n">
        <x:f>J5371*K5371</x:f>
        <x:v>1</x:v>
      </x:c>
    </x:row>
    <x:row r="5372">
      <x:c r="A5372" s="1" t="n">
        <x:v>42146</x:v>
      </x:c>
      <x:c r="B5372" s="5" t="d">
        <x:v>2016-09-07T00:00:00.000Z</x:v>
      </x:c>
      <x:c r="C5372" s="1" t="str">
        <x:v>Standard Class</x:v>
      </x:c>
      <x:c r="D5372" s="1" t="str">
        <x:v>USCA</x:v>
      </x:c>
      <x:c r="E5372" s="1" t="str">
        <x:v>COMPLETE</x:v>
      </x:c>
      <x:c r="F5372" s="1" t="str">
        <x:v>Advance shipping</x:v>
      </x:c>
      <x:c r="G5372" s="6" t="n">
        <x:v>2</x:v>
      </x:c>
      <x:c r="H5372" s="6" t="n">
        <x:v>4</x:v>
      </x:c>
      <x:c r="I5372" s="6" t="n">
        <x:f>G5372-H5372</x:f>
        <x:v>-2</x:v>
      </x:c>
      <x:c r="J5372" s="6" t="n">
        <x:f>IF(OR(E5372="CANCELED",E5372="SUSPECTED_FRAUD",F5372="Shipping canceled"),0,1)</x:f>
        <x:v>1</x:v>
      </x:c>
      <x:c r="K5372" s="6" t="n">
        <x:f>IF(G5372&gt;H5372,1,0)</x:f>
        <x:v>0</x:v>
      </x:c>
      <x:c r="L5372" s="6" t="n">
        <x:f>J5372*K5372</x:f>
        <x:v>0</x:v>
      </x:c>
    </x:row>
    <x:row r="5373">
      <x:c r="A5373" s="1" t="n">
        <x:v>42152</x:v>
      </x:c>
      <x:c r="B5373" s="5" t="d">
        <x:v>2016-09-07T00:00:00.000Z</x:v>
      </x:c>
      <x:c r="C5373" s="1" t="str">
        <x:v>Standard Class</x:v>
      </x:c>
      <x:c r="D5373" s="1" t="str">
        <x:v>Pacific Asia</x:v>
      </x:c>
      <x:c r="E5373" s="1" t="str">
        <x:v>PROCESSING</x:v>
      </x:c>
      <x:c r="F5373" s="1" t="str">
        <x:v>Advance shipping</x:v>
      </x:c>
      <x:c r="G5373" s="6" t="n">
        <x:v>3</x:v>
      </x:c>
      <x:c r="H5373" s="6" t="n">
        <x:v>4</x:v>
      </x:c>
      <x:c r="I5373" s="6" t="n">
        <x:f>G5373-H5373</x:f>
        <x:v>-1</x:v>
      </x:c>
      <x:c r="J5373" s="6" t="n">
        <x:f>IF(OR(E5373="CANCELED",E5373="SUSPECTED_FRAUD",F5373="Shipping canceled"),0,1)</x:f>
        <x:v>1</x:v>
      </x:c>
      <x:c r="K5373" s="6" t="n">
        <x:f>IF(G5373&gt;H5373,1,0)</x:f>
        <x:v>0</x:v>
      </x:c>
      <x:c r="L5373" s="6" t="n">
        <x:f>J5373*K5373</x:f>
        <x:v>0</x:v>
      </x:c>
    </x:row>
    <x:row r="5374">
      <x:c r="A5374" s="1" t="n">
        <x:v>42154</x:v>
      </x:c>
      <x:c r="B5374" s="5" t="d">
        <x:v>2016-09-07T00:00:00.000Z</x:v>
      </x:c>
      <x:c r="C5374" s="1" t="str">
        <x:v>Standard Class</x:v>
      </x:c>
      <x:c r="D5374" s="1" t="str">
        <x:v>Pacific Asia</x:v>
      </x:c>
      <x:c r="E5374" s="1" t="str">
        <x:v>PROCESSING</x:v>
      </x:c>
      <x:c r="F5374" s="1" t="str">
        <x:v>Late delivery</x:v>
      </x:c>
      <x:c r="G5374" s="6" t="n">
        <x:v>5</x:v>
      </x:c>
      <x:c r="H5374" s="6" t="n">
        <x:v>4</x:v>
      </x:c>
      <x:c r="I5374" s="6" t="n">
        <x:f>G5374-H5374</x:f>
        <x:v>1</x:v>
      </x:c>
      <x:c r="J5374" s="6" t="n">
        <x:f>IF(OR(E5374="CANCELED",E5374="SUSPECTED_FRAUD",F5374="Shipping canceled"),0,1)</x:f>
        <x:v>1</x:v>
      </x:c>
      <x:c r="K5374" s="6" t="n">
        <x:f>IF(G5374&gt;H5374,1,0)</x:f>
        <x:v>1</x:v>
      </x:c>
      <x:c r="L5374" s="6" t="n">
        <x:f>J5374*K5374</x:f>
        <x:v>1</x:v>
      </x:c>
    </x:row>
    <x:row r="5375">
      <x:c r="A5375" s="1" t="n">
        <x:v>42169</x:v>
      </x:c>
      <x:c r="B5375" s="5" t="d">
        <x:v>2016-09-07T00:00:00.000Z</x:v>
      </x:c>
      <x:c r="C5375" s="1" t="str">
        <x:v>Second Class</x:v>
      </x:c>
      <x:c r="D5375" s="1" t="str">
        <x:v>Pacific Asia</x:v>
      </x:c>
      <x:c r="E5375" s="1" t="str">
        <x:v>COMPLETE</x:v>
      </x:c>
      <x:c r="F5375" s="1" t="str">
        <x:v>Late delivery</x:v>
      </x:c>
      <x:c r="G5375" s="6" t="n">
        <x:v>5</x:v>
      </x:c>
      <x:c r="H5375" s="6" t="n">
        <x:v>2</x:v>
      </x:c>
      <x:c r="I5375" s="6" t="n">
        <x:f>G5375-H5375</x:f>
        <x:v>3</x:v>
      </x:c>
      <x:c r="J5375" s="6" t="n">
        <x:f>IF(OR(E5375="CANCELED",E5375="SUSPECTED_FRAUD",F5375="Shipping canceled"),0,1)</x:f>
        <x:v>1</x:v>
      </x:c>
      <x:c r="K5375" s="6" t="n">
        <x:f>IF(G5375&gt;H5375,1,0)</x:f>
        <x:v>1</x:v>
      </x:c>
      <x:c r="L5375" s="6" t="n">
        <x:f>J5375*K5375</x:f>
        <x:v>1</x:v>
      </x:c>
    </x:row>
    <x:row r="5376">
      <x:c r="A5376" s="1" t="n">
        <x:v>42171</x:v>
      </x:c>
      <x:c r="B5376" s="5" t="d">
        <x:v>2016-09-07T00:00:00.000Z</x:v>
      </x:c>
      <x:c r="C5376" s="1" t="str">
        <x:v>Standard Class</x:v>
      </x:c>
      <x:c r="D5376" s="1" t="str">
        <x:v>Europe</x:v>
      </x:c>
      <x:c r="E5376" s="1" t="str">
        <x:v>PENDING</x:v>
      </x:c>
      <x:c r="F5376" s="1" t="str">
        <x:v>Advance shipping</x:v>
      </x:c>
      <x:c r="G5376" s="6" t="n">
        <x:v>2</x:v>
      </x:c>
      <x:c r="H5376" s="6" t="n">
        <x:v>4</x:v>
      </x:c>
      <x:c r="I5376" s="6" t="n">
        <x:f>G5376-H5376</x:f>
        <x:v>-2</x:v>
      </x:c>
      <x:c r="J5376" s="6" t="n">
        <x:f>IF(OR(E5376="CANCELED",E5376="SUSPECTED_FRAUD",F5376="Shipping canceled"),0,1)</x:f>
        <x:v>1</x:v>
      </x:c>
      <x:c r="K5376" s="6" t="n">
        <x:f>IF(G5376&gt;H5376,1,0)</x:f>
        <x:v>0</x:v>
      </x:c>
      <x:c r="L5376" s="6" t="n">
        <x:f>J5376*K5376</x:f>
        <x:v>0</x:v>
      </x:c>
    </x:row>
    <x:row r="5377">
      <x:c r="A5377" s="1" t="n">
        <x:v>42178</x:v>
      </x:c>
      <x:c r="B5377" s="5" t="d">
        <x:v>2016-09-07T00:00:00.000Z</x:v>
      </x:c>
      <x:c r="C5377" s="1" t="str">
        <x:v>Standard Class</x:v>
      </x:c>
      <x:c r="D5377" s="1" t="str">
        <x:v>Pacific Asia</x:v>
      </x:c>
      <x:c r="E5377" s="1" t="str">
        <x:v>COMPLETE</x:v>
      </x:c>
      <x:c r="F5377" s="1" t="str">
        <x:v>Shipping on time</x:v>
      </x:c>
      <x:c r="G5377" s="6" t="n">
        <x:v>4</x:v>
      </x:c>
      <x:c r="H5377" s="6" t="n">
        <x:v>4</x:v>
      </x:c>
      <x:c r="I5377" s="6" t="n">
        <x:f>G5377-H5377</x:f>
        <x:v>0</x:v>
      </x:c>
      <x:c r="J5377" s="6" t="n">
        <x:f>IF(OR(E5377="CANCELED",E5377="SUSPECTED_FRAUD",F5377="Shipping canceled"),0,1)</x:f>
        <x:v>1</x:v>
      </x:c>
      <x:c r="K5377" s="6" t="n">
        <x:f>IF(G5377&gt;H5377,1,0)</x:f>
        <x:v>0</x:v>
      </x:c>
      <x:c r="L5377" s="6" t="n">
        <x:f>J5377*K5377</x:f>
        <x:v>0</x:v>
      </x:c>
    </x:row>
    <x:row r="5378">
      <x:c r="A5378" s="1" t="n">
        <x:v>42194</x:v>
      </x:c>
      <x:c r="B5378" s="5" t="d">
        <x:v>2016-09-07T00:00:00.000Z</x:v>
      </x:c>
      <x:c r="C5378" s="1" t="str">
        <x:v>Standard Class</x:v>
      </x:c>
      <x:c r="D5378" s="1" t="str">
        <x:v>Pacific Asia</x:v>
      </x:c>
      <x:c r="E5378" s="1" t="str">
        <x:v>PROCESSING</x:v>
      </x:c>
      <x:c r="F5378" s="1" t="str">
        <x:v>Late delivery</x:v>
      </x:c>
      <x:c r="G5378" s="6" t="n">
        <x:v>5</x:v>
      </x:c>
      <x:c r="H5378" s="6" t="n">
        <x:v>4</x:v>
      </x:c>
      <x:c r="I5378" s="6" t="n">
        <x:f>G5378-H5378</x:f>
        <x:v>1</x:v>
      </x:c>
      <x:c r="J5378" s="6" t="n">
        <x:f>IF(OR(E5378="CANCELED",E5378="SUSPECTED_FRAUD",F5378="Shipping canceled"),0,1)</x:f>
        <x:v>1</x:v>
      </x:c>
      <x:c r="K5378" s="6" t="n">
        <x:f>IF(G5378&gt;H5378,1,0)</x:f>
        <x:v>1</x:v>
      </x:c>
      <x:c r="L5378" s="6" t="n">
        <x:f>J5378*K5378</x:f>
        <x:v>1</x:v>
      </x:c>
    </x:row>
    <x:row r="5379">
      <x:c r="A5379" s="1" t="n">
        <x:v>42198</x:v>
      </x:c>
      <x:c r="B5379" s="5" t="d">
        <x:v>2016-09-07T00:00:00.000Z</x:v>
      </x:c>
      <x:c r="C5379" s="1" t="str">
        <x:v>Standard Class</x:v>
      </x:c>
      <x:c r="D5379" s="1" t="str">
        <x:v>Africa</x:v>
      </x:c>
      <x:c r="E5379" s="1" t="str">
        <x:v>PENDING_PAYMENT</x:v>
      </x:c>
      <x:c r="F5379" s="1" t="str">
        <x:v>Shipping on time</x:v>
      </x:c>
      <x:c r="G5379" s="6" t="n">
        <x:v>4</x:v>
      </x:c>
      <x:c r="H5379" s="6" t="n">
        <x:v>4</x:v>
      </x:c>
      <x:c r="I5379" s="6" t="n">
        <x:f>G5379-H5379</x:f>
        <x:v>0</x:v>
      </x:c>
      <x:c r="J5379" s="6" t="n">
        <x:f>IF(OR(E5379="CANCELED",E5379="SUSPECTED_FRAUD",F5379="Shipping canceled"),0,1)</x:f>
        <x:v>1</x:v>
      </x:c>
      <x:c r="K5379" s="6" t="n">
        <x:f>IF(G5379&gt;H5379,1,0)</x:f>
        <x:v>0</x:v>
      </x:c>
      <x:c r="L5379" s="6" t="n">
        <x:f>J5379*K5379</x:f>
        <x:v>0</x:v>
      </x:c>
    </x:row>
    <x:row r="5380">
      <x:c r="A5380" s="1" t="n">
        <x:v>42200</x:v>
      </x:c>
      <x:c r="B5380" s="5" t="d">
        <x:v>2016-09-08T00:00:00.000Z</x:v>
      </x:c>
      <x:c r="C5380" s="1" t="str">
        <x:v>Standard Class</x:v>
      </x:c>
      <x:c r="D5380" s="1" t="str">
        <x:v>Pacific Asia</x:v>
      </x:c>
      <x:c r="E5380" s="1" t="str">
        <x:v>PENDING_PAYMENT</x:v>
      </x:c>
      <x:c r="F5380" s="1" t="str">
        <x:v>Late delivery</x:v>
      </x:c>
      <x:c r="G5380" s="6" t="n">
        <x:v>6</x:v>
      </x:c>
      <x:c r="H5380" s="6" t="n">
        <x:v>4</x:v>
      </x:c>
      <x:c r="I5380" s="6" t="n">
        <x:f>G5380-H5380</x:f>
        <x:v>2</x:v>
      </x:c>
      <x:c r="J5380" s="6" t="n">
        <x:f>IF(OR(E5380="CANCELED",E5380="SUSPECTED_FRAUD",F5380="Shipping canceled"),0,1)</x:f>
        <x:v>1</x:v>
      </x:c>
      <x:c r="K5380" s="6" t="n">
        <x:f>IF(G5380&gt;H5380,1,0)</x:f>
        <x:v>1</x:v>
      </x:c>
      <x:c r="L5380" s="6" t="n">
        <x:f>J5380*K5380</x:f>
        <x:v>1</x:v>
      </x:c>
    </x:row>
    <x:row r="5381">
      <x:c r="A5381" s="1" t="n">
        <x:v>42210</x:v>
      </x:c>
      <x:c r="B5381" s="5" t="d">
        <x:v>2016-09-08T00:00:00.000Z</x:v>
      </x:c>
      <x:c r="C5381" s="1" t="str">
        <x:v>Standard Class</x:v>
      </x:c>
      <x:c r="D5381" s="1" t="str">
        <x:v>Africa</x:v>
      </x:c>
      <x:c r="E5381" s="1" t="str">
        <x:v>CLOSED</x:v>
      </x:c>
      <x:c r="F5381" s="1" t="str">
        <x:v>Late delivery</x:v>
      </x:c>
      <x:c r="G5381" s="6" t="n">
        <x:v>6</x:v>
      </x:c>
      <x:c r="H5381" s="6" t="n">
        <x:v>4</x:v>
      </x:c>
      <x:c r="I5381" s="6" t="n">
        <x:f>G5381-H5381</x:f>
        <x:v>2</x:v>
      </x:c>
      <x:c r="J5381" s="6" t="n">
        <x:f>IF(OR(E5381="CANCELED",E5381="SUSPECTED_FRAUD",F5381="Shipping canceled"),0,1)</x:f>
        <x:v>1</x:v>
      </x:c>
      <x:c r="K5381" s="6" t="n">
        <x:f>IF(G5381&gt;H5381,1,0)</x:f>
        <x:v>1</x:v>
      </x:c>
      <x:c r="L5381" s="6" t="n">
        <x:f>J5381*K5381</x:f>
        <x:v>1</x:v>
      </x:c>
    </x:row>
    <x:row r="5382">
      <x:c r="A5382" s="1" t="n">
        <x:v>42224</x:v>
      </x:c>
      <x:c r="B5382" s="5" t="d">
        <x:v>2016-09-08T00:00:00.000Z</x:v>
      </x:c>
      <x:c r="C5382" s="1" t="str">
        <x:v>First Class</x:v>
      </x:c>
      <x:c r="D5382" s="1" t="str">
        <x:v>Pacific Asia</x:v>
      </x:c>
      <x:c r="E5382" s="1" t="str">
        <x:v>CLOSED</x:v>
      </x:c>
      <x:c r="F5382" s="1" t="str">
        <x:v>Late delivery</x:v>
      </x:c>
      <x:c r="G5382" s="6" t="n">
        <x:v>2</x:v>
      </x:c>
      <x:c r="H5382" s="6" t="n">
        <x:v>1</x:v>
      </x:c>
      <x:c r="I5382" s="6" t="n">
        <x:f>G5382-H5382</x:f>
        <x:v>1</x:v>
      </x:c>
      <x:c r="J5382" s="6" t="n">
        <x:f>IF(OR(E5382="CANCELED",E5382="SUSPECTED_FRAUD",F5382="Shipping canceled"),0,1)</x:f>
        <x:v>1</x:v>
      </x:c>
      <x:c r="K5382" s="6" t="n">
        <x:f>IF(G5382&gt;H5382,1,0)</x:f>
        <x:v>1</x:v>
      </x:c>
      <x:c r="L5382" s="6" t="n">
        <x:f>J5382*K5382</x:f>
        <x:v>1</x:v>
      </x:c>
    </x:row>
    <x:row r="5383">
      <x:c r="A5383" s="1" t="n">
        <x:v>42244</x:v>
      </x:c>
      <x:c r="B5383" s="5" t="d">
        <x:v>2016-09-08T00:00:00.000Z</x:v>
      </x:c>
      <x:c r="C5383" s="1" t="str">
        <x:v>Standard Class</x:v>
      </x:c>
      <x:c r="D5383" s="1" t="str">
        <x:v>Pacific Asia</x:v>
      </x:c>
      <x:c r="E5383" s="1" t="str">
        <x:v>COMPLETE</x:v>
      </x:c>
      <x:c r="F5383" s="1" t="str">
        <x:v>Late delivery</x:v>
      </x:c>
      <x:c r="G5383" s="6" t="n">
        <x:v>5</x:v>
      </x:c>
      <x:c r="H5383" s="6" t="n">
        <x:v>4</x:v>
      </x:c>
      <x:c r="I5383" s="6" t="n">
        <x:f>G5383-H5383</x:f>
        <x:v>1</x:v>
      </x:c>
      <x:c r="J5383" s="6" t="n">
        <x:f>IF(OR(E5383="CANCELED",E5383="SUSPECTED_FRAUD",F5383="Shipping canceled"),0,1)</x:f>
        <x:v>1</x:v>
      </x:c>
      <x:c r="K5383" s="6" t="n">
        <x:f>IF(G5383&gt;H5383,1,0)</x:f>
        <x:v>1</x:v>
      </x:c>
      <x:c r="L5383" s="6" t="n">
        <x:f>J5383*K5383</x:f>
        <x:v>1</x:v>
      </x:c>
    </x:row>
    <x:row r="5384">
      <x:c r="A5384" s="1" t="n">
        <x:v>42255</x:v>
      </x:c>
      <x:c r="B5384" s="5" t="d">
        <x:v>2016-09-08T00:00:00.000Z</x:v>
      </x:c>
      <x:c r="C5384" s="1" t="str">
        <x:v>Standard Class</x:v>
      </x:c>
      <x:c r="D5384" s="1" t="str">
        <x:v>Pacific Asia</x:v>
      </x:c>
      <x:c r="E5384" s="1" t="str">
        <x:v>SUSPECTED_FRAUD</x:v>
      </x:c>
      <x:c r="F5384" s="1" t="str">
        <x:v>Shipping canceled</x:v>
      </x:c>
      <x:c r="G5384" s="6" t="n">
        <x:v>6</x:v>
      </x:c>
      <x:c r="H5384" s="6" t="n">
        <x:v>4</x:v>
      </x:c>
      <x:c r="I5384" s="6" t="n">
        <x:f>G5384-H5384</x:f>
        <x:v>2</x:v>
      </x:c>
      <x:c r="J5384" s="6" t="n">
        <x:f>IF(OR(E5384="CANCELED",E5384="SUSPECTED_FRAUD",F5384="Shipping canceled"),0,1)</x:f>
        <x:v>0</x:v>
      </x:c>
      <x:c r="K5384" s="6" t="n">
        <x:f>IF(G5384&gt;H5384,1,0)</x:f>
        <x:v>1</x:v>
      </x:c>
      <x:c r="L5384" s="6" t="n">
        <x:f>J5384*K5384</x:f>
        <x:v>0</x:v>
      </x:c>
    </x:row>
    <x:row r="5385">
      <x:c r="A5385" s="1" t="n">
        <x:v>42261</x:v>
      </x:c>
      <x:c r="B5385" s="5" t="d">
        <x:v>2016-09-08T00:00:00.000Z</x:v>
      </x:c>
      <x:c r="C5385" s="1" t="str">
        <x:v>Standard Class</x:v>
      </x:c>
      <x:c r="D5385" s="1" t="str">
        <x:v>Africa</x:v>
      </x:c>
      <x:c r="E5385" s="1" t="str">
        <x:v>PENDING</x:v>
      </x:c>
      <x:c r="F5385" s="1" t="str">
        <x:v>Advance shipping</x:v>
      </x:c>
      <x:c r="G5385" s="6" t="n">
        <x:v>2</x:v>
      </x:c>
      <x:c r="H5385" s="6" t="n">
        <x:v>4</x:v>
      </x:c>
      <x:c r="I5385" s="6" t="n">
        <x:f>G5385-H5385</x:f>
        <x:v>-2</x:v>
      </x:c>
      <x:c r="J5385" s="6" t="n">
        <x:f>IF(OR(E5385="CANCELED",E5385="SUSPECTED_FRAUD",F5385="Shipping canceled"),0,1)</x:f>
        <x:v>1</x:v>
      </x:c>
      <x:c r="K5385" s="6" t="n">
        <x:f>IF(G5385&gt;H5385,1,0)</x:f>
        <x:v>0</x:v>
      </x:c>
      <x:c r="L5385" s="6" t="n">
        <x:f>J5385*K5385</x:f>
        <x:v>0</x:v>
      </x:c>
    </x:row>
    <x:row r="5386">
      <x:c r="A5386" s="1" t="n">
        <x:v>42262</x:v>
      </x:c>
      <x:c r="B5386" s="5" t="d">
        <x:v>2016-09-08T00:00:00.000Z</x:v>
      </x:c>
      <x:c r="C5386" s="1" t="str">
        <x:v>First Class</x:v>
      </x:c>
      <x:c r="D5386" s="1" t="str">
        <x:v>USCA</x:v>
      </x:c>
      <x:c r="E5386" s="1" t="str">
        <x:v>PROCESSING</x:v>
      </x:c>
      <x:c r="F5386" s="1" t="str">
        <x:v>Late delivery</x:v>
      </x:c>
      <x:c r="G5386" s="6" t="n">
        <x:v>2</x:v>
      </x:c>
      <x:c r="H5386" s="6" t="n">
        <x:v>1</x:v>
      </x:c>
      <x:c r="I5386" s="6" t="n">
        <x:f>G5386-H5386</x:f>
        <x:v>1</x:v>
      </x:c>
      <x:c r="J5386" s="6" t="n">
        <x:f>IF(OR(E5386="CANCELED",E5386="SUSPECTED_FRAUD",F5386="Shipping canceled"),0,1)</x:f>
        <x:v>1</x:v>
      </x:c>
      <x:c r="K5386" s="6" t="n">
        <x:f>IF(G5386&gt;H5386,1,0)</x:f>
        <x:v>1</x:v>
      </x:c>
      <x:c r="L5386" s="6" t="n">
        <x:f>J5386*K5386</x:f>
        <x:v>1</x:v>
      </x:c>
    </x:row>
    <x:row r="5387">
      <x:c r="A5387" s="1" t="n">
        <x:v>42271</x:v>
      </x:c>
      <x:c r="B5387" s="5" t="d">
        <x:v>2016-09-09T00:00:00.000Z</x:v>
      </x:c>
      <x:c r="C5387" s="1" t="str">
        <x:v>Standard Class</x:v>
      </x:c>
      <x:c r="D5387" s="1" t="str">
        <x:v>Pacific Asia</x:v>
      </x:c>
      <x:c r="E5387" s="1" t="str">
        <x:v>COMPLETE</x:v>
      </x:c>
      <x:c r="F5387" s="1" t="str">
        <x:v>Advance shipping</x:v>
      </x:c>
      <x:c r="G5387" s="6" t="n">
        <x:v>2</x:v>
      </x:c>
      <x:c r="H5387" s="6" t="n">
        <x:v>4</x:v>
      </x:c>
      <x:c r="I5387" s="6" t="n">
        <x:f>G5387-H5387</x:f>
        <x:v>-2</x:v>
      </x:c>
      <x:c r="J5387" s="6" t="n">
        <x:f>IF(OR(E5387="CANCELED",E5387="SUSPECTED_FRAUD",F5387="Shipping canceled"),0,1)</x:f>
        <x:v>1</x:v>
      </x:c>
      <x:c r="K5387" s="6" t="n">
        <x:f>IF(G5387&gt;H5387,1,0)</x:f>
        <x:v>0</x:v>
      </x:c>
      <x:c r="L5387" s="6" t="n">
        <x:f>J5387*K5387</x:f>
        <x:v>0</x:v>
      </x:c>
    </x:row>
    <x:row r="5388">
      <x:c r="A5388" s="1" t="n">
        <x:v>42282</x:v>
      </x:c>
      <x:c r="B5388" s="5" t="d">
        <x:v>2016-09-09T00:00:00.000Z</x:v>
      </x:c>
      <x:c r="C5388" s="1" t="str">
        <x:v>Standard Class</x:v>
      </x:c>
      <x:c r="D5388" s="1" t="str">
        <x:v>Africa</x:v>
      </x:c>
      <x:c r="E5388" s="1" t="str">
        <x:v>COMPLETE</x:v>
      </x:c>
      <x:c r="F5388" s="1" t="str">
        <x:v>Advance shipping</x:v>
      </x:c>
      <x:c r="G5388" s="6" t="n">
        <x:v>3</x:v>
      </x:c>
      <x:c r="H5388" s="6" t="n">
        <x:v>4</x:v>
      </x:c>
      <x:c r="I5388" s="6" t="n">
        <x:f>G5388-H5388</x:f>
        <x:v>-1</x:v>
      </x:c>
      <x:c r="J5388" s="6" t="n">
        <x:f>IF(OR(E5388="CANCELED",E5388="SUSPECTED_FRAUD",F5388="Shipping canceled"),0,1)</x:f>
        <x:v>1</x:v>
      </x:c>
      <x:c r="K5388" s="6" t="n">
        <x:f>IF(G5388&gt;H5388,1,0)</x:f>
        <x:v>0</x:v>
      </x:c>
      <x:c r="L5388" s="6" t="n">
        <x:f>J5388*K5388</x:f>
        <x:v>0</x:v>
      </x:c>
    </x:row>
    <x:row r="5389">
      <x:c r="A5389" s="1" t="n">
        <x:v>42287</x:v>
      </x:c>
      <x:c r="B5389" s="5" t="d">
        <x:v>2016-09-09T00:00:00.000Z</x:v>
      </x:c>
      <x:c r="C5389" s="1" t="str">
        <x:v>Standard Class</x:v>
      </x:c>
      <x:c r="D5389" s="1" t="str">
        <x:v>Pacific Asia</x:v>
      </x:c>
      <x:c r="E5389" s="1" t="str">
        <x:v>PENDING</x:v>
      </x:c>
      <x:c r="F5389" s="1" t="str">
        <x:v>Advance shipping</x:v>
      </x:c>
      <x:c r="G5389" s="6" t="n">
        <x:v>3</x:v>
      </x:c>
      <x:c r="H5389" s="6" t="n">
        <x:v>4</x:v>
      </x:c>
      <x:c r="I5389" s="6" t="n">
        <x:f>G5389-H5389</x:f>
        <x:v>-1</x:v>
      </x:c>
      <x:c r="J5389" s="6" t="n">
        <x:f>IF(OR(E5389="CANCELED",E5389="SUSPECTED_FRAUD",F5389="Shipping canceled"),0,1)</x:f>
        <x:v>1</x:v>
      </x:c>
      <x:c r="K5389" s="6" t="n">
        <x:f>IF(G5389&gt;H5389,1,0)</x:f>
        <x:v>0</x:v>
      </x:c>
      <x:c r="L5389" s="6" t="n">
        <x:f>J5389*K5389</x:f>
        <x:v>0</x:v>
      </x:c>
    </x:row>
    <x:row r="5390">
      <x:c r="A5390" s="1" t="n">
        <x:v>42294</x:v>
      </x:c>
      <x:c r="B5390" s="5" t="d">
        <x:v>2016-09-09T00:00:00.000Z</x:v>
      </x:c>
      <x:c r="C5390" s="1" t="str">
        <x:v>First Class</x:v>
      </x:c>
      <x:c r="D5390" s="1" t="str">
        <x:v>Europe</x:v>
      </x:c>
      <x:c r="E5390" s="1" t="str">
        <x:v>CLOSED</x:v>
      </x:c>
      <x:c r="F5390" s="1" t="str">
        <x:v>Late delivery</x:v>
      </x:c>
      <x:c r="G5390" s="6" t="n">
        <x:v>2</x:v>
      </x:c>
      <x:c r="H5390" s="6" t="n">
        <x:v>1</x:v>
      </x:c>
      <x:c r="I5390" s="6" t="n">
        <x:f>G5390-H5390</x:f>
        <x:v>1</x:v>
      </x:c>
      <x:c r="J5390" s="6" t="n">
        <x:f>IF(OR(E5390="CANCELED",E5390="SUSPECTED_FRAUD",F5390="Shipping canceled"),0,1)</x:f>
        <x:v>1</x:v>
      </x:c>
      <x:c r="K5390" s="6" t="n">
        <x:f>IF(G5390&gt;H5390,1,0)</x:f>
        <x:v>1</x:v>
      </x:c>
      <x:c r="L5390" s="6" t="n">
        <x:f>J5390*K5390</x:f>
        <x:v>1</x:v>
      </x:c>
    </x:row>
    <x:row r="5391">
      <x:c r="A5391" s="1" t="n">
        <x:v>42307</x:v>
      </x:c>
      <x:c r="B5391" s="5" t="d">
        <x:v>2016-09-09T00:00:00.000Z</x:v>
      </x:c>
      <x:c r="C5391" s="1" t="str">
        <x:v>Standard Class</x:v>
      </x:c>
      <x:c r="D5391" s="1" t="str">
        <x:v>Africa</x:v>
      </x:c>
      <x:c r="E5391" s="1" t="str">
        <x:v>COMPLETE</x:v>
      </x:c>
      <x:c r="F5391" s="1" t="str">
        <x:v>Advance shipping</x:v>
      </x:c>
      <x:c r="G5391" s="6" t="n">
        <x:v>3</x:v>
      </x:c>
      <x:c r="H5391" s="6" t="n">
        <x:v>4</x:v>
      </x:c>
      <x:c r="I5391" s="6" t="n">
        <x:f>G5391-H5391</x:f>
        <x:v>-1</x:v>
      </x:c>
      <x:c r="J5391" s="6" t="n">
        <x:f>IF(OR(E5391="CANCELED",E5391="SUSPECTED_FRAUD",F5391="Shipping canceled"),0,1)</x:f>
        <x:v>1</x:v>
      </x:c>
      <x:c r="K5391" s="6" t="n">
        <x:f>IF(G5391&gt;H5391,1,0)</x:f>
        <x:v>0</x:v>
      </x:c>
      <x:c r="L5391" s="6" t="n">
        <x:f>J5391*K5391</x:f>
        <x:v>0</x:v>
      </x:c>
    </x:row>
    <x:row r="5392">
      <x:c r="A5392" s="1" t="n">
        <x:v>42315</x:v>
      </x:c>
      <x:c r="B5392" s="5" t="d">
        <x:v>2016-09-09T00:00:00.000Z</x:v>
      </x:c>
      <x:c r="C5392" s="1" t="str">
        <x:v>Standard Class</x:v>
      </x:c>
      <x:c r="D5392" s="1" t="str">
        <x:v>Europe</x:v>
      </x:c>
      <x:c r="E5392" s="1" t="str">
        <x:v>COMPLETE</x:v>
      </x:c>
      <x:c r="F5392" s="1" t="str">
        <x:v>Late delivery</x:v>
      </x:c>
      <x:c r="G5392" s="6" t="n">
        <x:v>6</x:v>
      </x:c>
      <x:c r="H5392" s="6" t="n">
        <x:v>4</x:v>
      </x:c>
      <x:c r="I5392" s="6" t="n">
        <x:f>G5392-H5392</x:f>
        <x:v>2</x:v>
      </x:c>
      <x:c r="J5392" s="6" t="n">
        <x:f>IF(OR(E5392="CANCELED",E5392="SUSPECTED_FRAUD",F5392="Shipping canceled"),0,1)</x:f>
        <x:v>1</x:v>
      </x:c>
      <x:c r="K5392" s="6" t="n">
        <x:f>IF(G5392&gt;H5392,1,0)</x:f>
        <x:v>1</x:v>
      </x:c>
      <x:c r="L5392" s="6" t="n">
        <x:f>J5392*K5392</x:f>
        <x:v>1</x:v>
      </x:c>
    </x:row>
    <x:row r="5393">
      <x:c r="A5393" s="1" t="n">
        <x:v>42322</x:v>
      </x:c>
      <x:c r="B5393" s="5" t="d">
        <x:v>2016-09-09T00:00:00.000Z</x:v>
      </x:c>
      <x:c r="C5393" s="1" t="str">
        <x:v>Standard Class</x:v>
      </x:c>
      <x:c r="D5393" s="1" t="str">
        <x:v>Europe</x:v>
      </x:c>
      <x:c r="E5393" s="1" t="str">
        <x:v>COMPLETE</x:v>
      </x:c>
      <x:c r="F5393" s="1" t="str">
        <x:v>Advance shipping</x:v>
      </x:c>
      <x:c r="G5393" s="6" t="n">
        <x:v>3</x:v>
      </x:c>
      <x:c r="H5393" s="6" t="n">
        <x:v>4</x:v>
      </x:c>
      <x:c r="I5393" s="6" t="n">
        <x:f>G5393-H5393</x:f>
        <x:v>-1</x:v>
      </x:c>
      <x:c r="J5393" s="6" t="n">
        <x:f>IF(OR(E5393="CANCELED",E5393="SUSPECTED_FRAUD",F5393="Shipping canceled"),0,1)</x:f>
        <x:v>1</x:v>
      </x:c>
      <x:c r="K5393" s="6" t="n">
        <x:f>IF(G5393&gt;H5393,1,0)</x:f>
        <x:v>0</x:v>
      </x:c>
      <x:c r="L5393" s="6" t="n">
        <x:f>J5393*K5393</x:f>
        <x:v>0</x:v>
      </x:c>
    </x:row>
    <x:row r="5394">
      <x:c r="A5394" s="1" t="n">
        <x:v>42328</x:v>
      </x:c>
      <x:c r="B5394" s="5" t="d">
        <x:v>2016-09-09T00:00:00.000Z</x:v>
      </x:c>
      <x:c r="C5394" s="1" t="str">
        <x:v>Second Class</x:v>
      </x:c>
      <x:c r="D5394" s="1" t="str">
        <x:v>Africa</x:v>
      </x:c>
      <x:c r="E5394" s="1" t="str">
        <x:v>CLOSED</x:v>
      </x:c>
      <x:c r="F5394" s="1" t="str">
        <x:v>Late delivery</x:v>
      </x:c>
      <x:c r="G5394" s="6" t="n">
        <x:v>4</x:v>
      </x:c>
      <x:c r="H5394" s="6" t="n">
        <x:v>2</x:v>
      </x:c>
      <x:c r="I5394" s="6" t="n">
        <x:f>G5394-H5394</x:f>
        <x:v>2</x:v>
      </x:c>
      <x:c r="J5394" s="6" t="n">
        <x:f>IF(OR(E5394="CANCELED",E5394="SUSPECTED_FRAUD",F5394="Shipping canceled"),0,1)</x:f>
        <x:v>1</x:v>
      </x:c>
      <x:c r="K5394" s="6" t="n">
        <x:f>IF(G5394&gt;H5394,1,0)</x:f>
        <x:v>1</x:v>
      </x:c>
      <x:c r="L5394" s="6" t="n">
        <x:f>J5394*K5394</x:f>
        <x:v>1</x:v>
      </x:c>
    </x:row>
    <x:row r="5395">
      <x:c r="A5395" s="1" t="n">
        <x:v>42331</x:v>
      </x:c>
      <x:c r="B5395" s="5" t="d">
        <x:v>2016-09-09T00:00:00.000Z</x:v>
      </x:c>
      <x:c r="C5395" s="1" t="str">
        <x:v>Standard Class</x:v>
      </x:c>
      <x:c r="D5395" s="1" t="str">
        <x:v>Africa</x:v>
      </x:c>
      <x:c r="E5395" s="1" t="str">
        <x:v>CANCELED</x:v>
      </x:c>
      <x:c r="F5395" s="1" t="str">
        <x:v>Shipping canceled</x:v>
      </x:c>
      <x:c r="G5395" s="6" t="n">
        <x:v>2</x:v>
      </x:c>
      <x:c r="H5395" s="6" t="n">
        <x:v>4</x:v>
      </x:c>
      <x:c r="I5395" s="6" t="n">
        <x:f>G5395-H5395</x:f>
        <x:v>-2</x:v>
      </x:c>
      <x:c r="J5395" s="6" t="n">
        <x:f>IF(OR(E5395="CANCELED",E5395="SUSPECTED_FRAUD",F5395="Shipping canceled"),0,1)</x:f>
        <x:v>0</x:v>
      </x:c>
      <x:c r="K5395" s="6" t="n">
        <x:f>IF(G5395&gt;H5395,1,0)</x:f>
        <x:v>0</x:v>
      </x:c>
      <x:c r="L5395" s="6" t="n">
        <x:f>J5395*K5395</x:f>
        <x:v>0</x:v>
      </x:c>
    </x:row>
    <x:row r="5396">
      <x:c r="A5396" s="1" t="n">
        <x:v>42337</x:v>
      </x:c>
      <x:c r="B5396" s="5" t="d">
        <x:v>2016-09-10T00:00:00.000Z</x:v>
      </x:c>
      <x:c r="C5396" s="1" t="str">
        <x:v>Standard Class</x:v>
      </x:c>
      <x:c r="D5396" s="1" t="str">
        <x:v>Pacific Asia</x:v>
      </x:c>
      <x:c r="E5396" s="1" t="str">
        <x:v>COMPLETE</x:v>
      </x:c>
      <x:c r="F5396" s="1" t="str">
        <x:v>Advance shipping</x:v>
      </x:c>
      <x:c r="G5396" s="6" t="n">
        <x:v>3</x:v>
      </x:c>
      <x:c r="H5396" s="6" t="n">
        <x:v>4</x:v>
      </x:c>
      <x:c r="I5396" s="6" t="n">
        <x:f>G5396-H5396</x:f>
        <x:v>-1</x:v>
      </x:c>
      <x:c r="J5396" s="6" t="n">
        <x:f>IF(OR(E5396="CANCELED",E5396="SUSPECTED_FRAUD",F5396="Shipping canceled"),0,1)</x:f>
        <x:v>1</x:v>
      </x:c>
      <x:c r="K5396" s="6" t="n">
        <x:f>IF(G5396&gt;H5396,1,0)</x:f>
        <x:v>0</x:v>
      </x:c>
      <x:c r="L5396" s="6" t="n">
        <x:f>J5396*K5396</x:f>
        <x:v>0</x:v>
      </x:c>
    </x:row>
    <x:row r="5397">
      <x:c r="A5397" s="1" t="n">
        <x:v>42341</x:v>
      </x:c>
      <x:c r="B5397" s="5" t="d">
        <x:v>2016-09-10T00:00:00.000Z</x:v>
      </x:c>
      <x:c r="C5397" s="1" t="str">
        <x:v>Second Class</x:v>
      </x:c>
      <x:c r="D5397" s="1" t="str">
        <x:v>Africa</x:v>
      </x:c>
      <x:c r="E5397" s="1" t="str">
        <x:v>COMPLETE</x:v>
      </x:c>
      <x:c r="F5397" s="1" t="str">
        <x:v>Shipping on time</x:v>
      </x:c>
      <x:c r="G5397" s="6" t="n">
        <x:v>2</x:v>
      </x:c>
      <x:c r="H5397" s="6" t="n">
        <x:v>2</x:v>
      </x:c>
      <x:c r="I5397" s="6" t="n">
        <x:f>G5397-H5397</x:f>
        <x:v>0</x:v>
      </x:c>
      <x:c r="J5397" s="6" t="n">
        <x:f>IF(OR(E5397="CANCELED",E5397="SUSPECTED_FRAUD",F5397="Shipping canceled"),0,1)</x:f>
        <x:v>1</x:v>
      </x:c>
      <x:c r="K5397" s="6" t="n">
        <x:f>IF(G5397&gt;H5397,1,0)</x:f>
        <x:v>0</x:v>
      </x:c>
      <x:c r="L5397" s="6" t="n">
        <x:f>J5397*K5397</x:f>
        <x:v>0</x:v>
      </x:c>
    </x:row>
    <x:row r="5398">
      <x:c r="A5398" s="1" t="n">
        <x:v>42344</x:v>
      </x:c>
      <x:c r="B5398" s="5" t="d">
        <x:v>2016-09-10T00:00:00.000Z</x:v>
      </x:c>
      <x:c r="C5398" s="1" t="str">
        <x:v>Standard Class</x:v>
      </x:c>
      <x:c r="D5398" s="1" t="str">
        <x:v>Europe</x:v>
      </x:c>
      <x:c r="E5398" s="1" t="str">
        <x:v>PROCESSING</x:v>
      </x:c>
      <x:c r="F5398" s="1" t="str">
        <x:v>Late delivery</x:v>
      </x:c>
      <x:c r="G5398" s="6" t="n">
        <x:v>5</x:v>
      </x:c>
      <x:c r="H5398" s="6" t="n">
        <x:v>4</x:v>
      </x:c>
      <x:c r="I5398" s="6" t="n">
        <x:f>G5398-H5398</x:f>
        <x:v>1</x:v>
      </x:c>
      <x:c r="J5398" s="6" t="n">
        <x:f>IF(OR(E5398="CANCELED",E5398="SUSPECTED_FRAUD",F5398="Shipping canceled"),0,1)</x:f>
        <x:v>1</x:v>
      </x:c>
      <x:c r="K5398" s="6" t="n">
        <x:f>IF(G5398&gt;H5398,1,0)</x:f>
        <x:v>1</x:v>
      </x:c>
      <x:c r="L5398" s="6" t="n">
        <x:f>J5398*K5398</x:f>
        <x:v>1</x:v>
      </x:c>
    </x:row>
    <x:row r="5399">
      <x:c r="A5399" s="1" t="n">
        <x:v>42352</x:v>
      </x:c>
      <x:c r="B5399" s="5" t="d">
        <x:v>2016-09-10T00:00:00.000Z</x:v>
      </x:c>
      <x:c r="C5399" s="1" t="str">
        <x:v>Standard Class</x:v>
      </x:c>
      <x:c r="D5399" s="1" t="str">
        <x:v>Africa</x:v>
      </x:c>
      <x:c r="E5399" s="1" t="str">
        <x:v>COMPLETE</x:v>
      </x:c>
      <x:c r="F5399" s="1" t="str">
        <x:v>Advance shipping</x:v>
      </x:c>
      <x:c r="G5399" s="6" t="n">
        <x:v>3</x:v>
      </x:c>
      <x:c r="H5399" s="6" t="n">
        <x:v>4</x:v>
      </x:c>
      <x:c r="I5399" s="6" t="n">
        <x:f>G5399-H5399</x:f>
        <x:v>-1</x:v>
      </x:c>
      <x:c r="J5399" s="6" t="n">
        <x:f>IF(OR(E5399="CANCELED",E5399="SUSPECTED_FRAUD",F5399="Shipping canceled"),0,1)</x:f>
        <x:v>1</x:v>
      </x:c>
      <x:c r="K5399" s="6" t="n">
        <x:f>IF(G5399&gt;H5399,1,0)</x:f>
        <x:v>0</x:v>
      </x:c>
      <x:c r="L5399" s="6" t="n">
        <x:f>J5399*K5399</x:f>
        <x:v>0</x:v>
      </x:c>
    </x:row>
    <x:row r="5400">
      <x:c r="A5400" s="1" t="n">
        <x:v>42353</x:v>
      </x:c>
      <x:c r="B5400" s="5" t="d">
        <x:v>2016-09-10T00:00:00.000Z</x:v>
      </x:c>
      <x:c r="C5400" s="1" t="str">
        <x:v>Standard Class</x:v>
      </x:c>
      <x:c r="D5400" s="1" t="str">
        <x:v>Pacific Asia</x:v>
      </x:c>
      <x:c r="E5400" s="1" t="str">
        <x:v>COMPLETE</x:v>
      </x:c>
      <x:c r="F5400" s="1" t="str">
        <x:v>Shipping on time</x:v>
      </x:c>
      <x:c r="G5400" s="6" t="n">
        <x:v>4</x:v>
      </x:c>
      <x:c r="H5400" s="6" t="n">
        <x:v>4</x:v>
      </x:c>
      <x:c r="I5400" s="6" t="n">
        <x:f>G5400-H5400</x:f>
        <x:v>0</x:v>
      </x:c>
      <x:c r="J5400" s="6" t="n">
        <x:f>IF(OR(E5400="CANCELED",E5400="SUSPECTED_FRAUD",F5400="Shipping canceled"),0,1)</x:f>
        <x:v>1</x:v>
      </x:c>
      <x:c r="K5400" s="6" t="n">
        <x:f>IF(G5400&gt;H5400,1,0)</x:f>
        <x:v>0</x:v>
      </x:c>
      <x:c r="L5400" s="6" t="n">
        <x:f>J5400*K5400</x:f>
        <x:v>0</x:v>
      </x:c>
    </x:row>
    <x:row r="5401">
      <x:c r="A5401" s="1" t="n">
        <x:v>42373</x:v>
      </x:c>
      <x:c r="B5401" s="5" t="d">
        <x:v>2016-09-10T00:00:00.000Z</x:v>
      </x:c>
      <x:c r="C5401" s="1" t="str">
        <x:v>Second Class</x:v>
      </x:c>
      <x:c r="D5401" s="1" t="str">
        <x:v>Pacific Asia</x:v>
      </x:c>
      <x:c r="E5401" s="1" t="str">
        <x:v>COMPLETE</x:v>
      </x:c>
      <x:c r="F5401" s="1" t="str">
        <x:v>Late delivery</x:v>
      </x:c>
      <x:c r="G5401" s="6" t="n">
        <x:v>4</x:v>
      </x:c>
      <x:c r="H5401" s="6" t="n">
        <x:v>2</x:v>
      </x:c>
      <x:c r="I5401" s="6" t="n">
        <x:f>G5401-H5401</x:f>
        <x:v>2</x:v>
      </x:c>
      <x:c r="J5401" s="6" t="n">
        <x:f>IF(OR(E5401="CANCELED",E5401="SUSPECTED_FRAUD",F5401="Shipping canceled"),0,1)</x:f>
        <x:v>1</x:v>
      </x:c>
      <x:c r="K5401" s="6" t="n">
        <x:f>IF(G5401&gt;H5401,1,0)</x:f>
        <x:v>1</x:v>
      </x:c>
      <x:c r="L5401" s="6" t="n">
        <x:f>J5401*K5401</x:f>
        <x:v>1</x:v>
      </x:c>
    </x:row>
    <x:row r="5402">
      <x:c r="A5402" s="1" t="n">
        <x:v>42375</x:v>
      </x:c>
      <x:c r="B5402" s="5" t="d">
        <x:v>2016-09-10T00:00:00.000Z</x:v>
      </x:c>
      <x:c r="C5402" s="1" t="str">
        <x:v>Standard Class</x:v>
      </x:c>
      <x:c r="D5402" s="1" t="str">
        <x:v>Africa</x:v>
      </x:c>
      <x:c r="E5402" s="1" t="str">
        <x:v>CANCELED</x:v>
      </x:c>
      <x:c r="F5402" s="1" t="str">
        <x:v>Shipping canceled</x:v>
      </x:c>
      <x:c r="G5402" s="6" t="n">
        <x:v>6</x:v>
      </x:c>
      <x:c r="H5402" s="6" t="n">
        <x:v>4</x:v>
      </x:c>
      <x:c r="I5402" s="6" t="n">
        <x:f>G5402-H5402</x:f>
        <x:v>2</x:v>
      </x:c>
      <x:c r="J5402" s="6" t="n">
        <x:f>IF(OR(E5402="CANCELED",E5402="SUSPECTED_FRAUD",F5402="Shipping canceled"),0,1)</x:f>
        <x:v>0</x:v>
      </x:c>
      <x:c r="K5402" s="6" t="n">
        <x:f>IF(G5402&gt;H5402,1,0)</x:f>
        <x:v>1</x:v>
      </x:c>
      <x:c r="L5402" s="6" t="n">
        <x:f>J5402*K5402</x:f>
        <x:v>0</x:v>
      </x:c>
    </x:row>
    <x:row r="5403">
      <x:c r="A5403" s="1" t="n">
        <x:v>42382</x:v>
      </x:c>
      <x:c r="B5403" s="5" t="d">
        <x:v>2016-09-10T00:00:00.000Z</x:v>
      </x:c>
      <x:c r="C5403" s="1" t="str">
        <x:v>First Class</x:v>
      </x:c>
      <x:c r="D5403" s="1" t="str">
        <x:v>Africa</x:v>
      </x:c>
      <x:c r="E5403" s="1" t="str">
        <x:v>PENDING_PAYMENT</x:v>
      </x:c>
      <x:c r="F5403" s="1" t="str">
        <x:v>Late delivery</x:v>
      </x:c>
      <x:c r="G5403" s="6" t="n">
        <x:v>2</x:v>
      </x:c>
      <x:c r="H5403" s="6" t="n">
        <x:v>1</x:v>
      </x:c>
      <x:c r="I5403" s="6" t="n">
        <x:f>G5403-H5403</x:f>
        <x:v>1</x:v>
      </x:c>
      <x:c r="J5403" s="6" t="n">
        <x:f>IF(OR(E5403="CANCELED",E5403="SUSPECTED_FRAUD",F5403="Shipping canceled"),0,1)</x:f>
        <x:v>1</x:v>
      </x:c>
      <x:c r="K5403" s="6" t="n">
        <x:f>IF(G5403&gt;H5403,1,0)</x:f>
        <x:v>1</x:v>
      </x:c>
      <x:c r="L5403" s="6" t="n">
        <x:f>J5403*K5403</x:f>
        <x:v>1</x:v>
      </x:c>
    </x:row>
    <x:row r="5404">
      <x:c r="A5404" s="1" t="n">
        <x:v>42402</x:v>
      </x:c>
      <x:c r="B5404" s="5" t="d">
        <x:v>2016-09-10T00:00:00.000Z</x:v>
      </x:c>
      <x:c r="C5404" s="1" t="str">
        <x:v>Standard Class</x:v>
      </x:c>
      <x:c r="D5404" s="1" t="str">
        <x:v>Pacific Asia</x:v>
      </x:c>
      <x:c r="E5404" s="1" t="str">
        <x:v>ON_HOLD</x:v>
      </x:c>
      <x:c r="F5404" s="1" t="str">
        <x:v>Advance shipping</x:v>
      </x:c>
      <x:c r="G5404" s="6" t="n">
        <x:v>3</x:v>
      </x:c>
      <x:c r="H5404" s="6" t="n">
        <x:v>4</x:v>
      </x:c>
      <x:c r="I5404" s="6" t="n">
        <x:f>G5404-H5404</x:f>
        <x:v>-1</x:v>
      </x:c>
      <x:c r="J5404" s="6" t="n">
        <x:f>IF(OR(E5404="CANCELED",E5404="SUSPECTED_FRAUD",F5404="Shipping canceled"),0,1)</x:f>
        <x:v>1</x:v>
      </x:c>
      <x:c r="K5404" s="6" t="n">
        <x:f>IF(G5404&gt;H5404,1,0)</x:f>
        <x:v>0</x:v>
      </x:c>
      <x:c r="L5404" s="6" t="n">
        <x:f>J5404*K5404</x:f>
        <x:v>0</x:v>
      </x:c>
    </x:row>
    <x:row r="5405">
      <x:c r="A5405" s="1" t="n">
        <x:v>42427</x:v>
      </x:c>
      <x:c r="B5405" s="5" t="d">
        <x:v>2016-09-11T00:00:00.000Z</x:v>
      </x:c>
      <x:c r="C5405" s="1" t="str">
        <x:v>First Class</x:v>
      </x:c>
      <x:c r="D5405" s="1" t="str">
        <x:v>Africa</x:v>
      </x:c>
      <x:c r="E5405" s="1" t="str">
        <x:v>PENDING_PAYMENT</x:v>
      </x:c>
      <x:c r="F5405" s="1" t="str">
        <x:v>Late delivery</x:v>
      </x:c>
      <x:c r="G5405" s="6" t="n">
        <x:v>2</x:v>
      </x:c>
      <x:c r="H5405" s="6" t="n">
        <x:v>1</x:v>
      </x:c>
      <x:c r="I5405" s="6" t="n">
        <x:f>G5405-H5405</x:f>
        <x:v>1</x:v>
      </x:c>
      <x:c r="J5405" s="6" t="n">
        <x:f>IF(OR(E5405="CANCELED",E5405="SUSPECTED_FRAUD",F5405="Shipping canceled"),0,1)</x:f>
        <x:v>1</x:v>
      </x:c>
      <x:c r="K5405" s="6" t="n">
        <x:f>IF(G5405&gt;H5405,1,0)</x:f>
        <x:v>1</x:v>
      </x:c>
      <x:c r="L5405" s="6" t="n">
        <x:f>J5405*K5405</x:f>
        <x:v>1</x:v>
      </x:c>
    </x:row>
    <x:row r="5406">
      <x:c r="A5406" s="1" t="n">
        <x:v>42447</x:v>
      </x:c>
      <x:c r="B5406" s="5" t="d">
        <x:v>2016-09-11T00:00:00.000Z</x:v>
      </x:c>
      <x:c r="C5406" s="1" t="str">
        <x:v>First Class</x:v>
      </x:c>
      <x:c r="D5406" s="1" t="str">
        <x:v>Africa</x:v>
      </x:c>
      <x:c r="E5406" s="1" t="str">
        <x:v>PENDING_PAYMENT</x:v>
      </x:c>
      <x:c r="F5406" s="1" t="str">
        <x:v>Late delivery</x:v>
      </x:c>
      <x:c r="G5406" s="6" t="n">
        <x:v>2</x:v>
      </x:c>
      <x:c r="H5406" s="6" t="n">
        <x:v>1</x:v>
      </x:c>
      <x:c r="I5406" s="6" t="n">
        <x:f>G5406-H5406</x:f>
        <x:v>1</x:v>
      </x:c>
      <x:c r="J5406" s="6" t="n">
        <x:f>IF(OR(E5406="CANCELED",E5406="SUSPECTED_FRAUD",F5406="Shipping canceled"),0,1)</x:f>
        <x:v>1</x:v>
      </x:c>
      <x:c r="K5406" s="6" t="n">
        <x:f>IF(G5406&gt;H5406,1,0)</x:f>
        <x:v>1</x:v>
      </x:c>
      <x:c r="L5406" s="6" t="n">
        <x:f>J5406*K5406</x:f>
        <x:v>1</x:v>
      </x:c>
    </x:row>
    <x:row r="5407">
      <x:c r="A5407" s="1" t="n">
        <x:v>42460</x:v>
      </x:c>
      <x:c r="B5407" s="5" t="d">
        <x:v>2016-09-11T00:00:00.000Z</x:v>
      </x:c>
      <x:c r="C5407" s="1" t="str">
        <x:v>Standard Class</x:v>
      </x:c>
      <x:c r="D5407" s="1" t="str">
        <x:v>Europe</x:v>
      </x:c>
      <x:c r="E5407" s="1" t="str">
        <x:v>PENDING</x:v>
      </x:c>
      <x:c r="F5407" s="1" t="str">
        <x:v>Late delivery</x:v>
      </x:c>
      <x:c r="G5407" s="6" t="n">
        <x:v>6</x:v>
      </x:c>
      <x:c r="H5407" s="6" t="n">
        <x:v>4</x:v>
      </x:c>
      <x:c r="I5407" s="6" t="n">
        <x:f>G5407-H5407</x:f>
        <x:v>2</x:v>
      </x:c>
      <x:c r="J5407" s="6" t="n">
        <x:f>IF(OR(E5407="CANCELED",E5407="SUSPECTED_FRAUD",F5407="Shipping canceled"),0,1)</x:f>
        <x:v>1</x:v>
      </x:c>
      <x:c r="K5407" s="6" t="n">
        <x:f>IF(G5407&gt;H5407,1,0)</x:f>
        <x:v>1</x:v>
      </x:c>
      <x:c r="L5407" s="6" t="n">
        <x:f>J5407*K5407</x:f>
        <x:v>1</x:v>
      </x:c>
    </x:row>
    <x:row r="5408">
      <x:c r="A5408" s="1" t="n">
        <x:v>42464</x:v>
      </x:c>
      <x:c r="B5408" s="5" t="d">
        <x:v>2016-09-11T00:00:00.000Z</x:v>
      </x:c>
      <x:c r="C5408" s="1" t="str">
        <x:v>Standard Class</x:v>
      </x:c>
      <x:c r="D5408" s="1" t="str">
        <x:v>Europe</x:v>
      </x:c>
      <x:c r="E5408" s="1" t="str">
        <x:v>ON_HOLD</x:v>
      </x:c>
      <x:c r="F5408" s="1" t="str">
        <x:v>Late delivery</x:v>
      </x:c>
      <x:c r="G5408" s="6" t="n">
        <x:v>5</x:v>
      </x:c>
      <x:c r="H5408" s="6" t="n">
        <x:v>4</x:v>
      </x:c>
      <x:c r="I5408" s="6" t="n">
        <x:f>G5408-H5408</x:f>
        <x:v>1</x:v>
      </x:c>
      <x:c r="J5408" s="6" t="n">
        <x:f>IF(OR(E5408="CANCELED",E5408="SUSPECTED_FRAUD",F5408="Shipping canceled"),0,1)</x:f>
        <x:v>1</x:v>
      </x:c>
      <x:c r="K5408" s="6" t="n">
        <x:f>IF(G5408&gt;H5408,1,0)</x:f>
        <x:v>1</x:v>
      </x:c>
      <x:c r="L5408" s="6" t="n">
        <x:f>J5408*K5408</x:f>
        <x:v>1</x:v>
      </x:c>
    </x:row>
    <x:row r="5409">
      <x:c r="A5409" s="1" t="n">
        <x:v>42465</x:v>
      </x:c>
      <x:c r="B5409" s="5" t="d">
        <x:v>2016-09-11T00:00:00.000Z</x:v>
      </x:c>
      <x:c r="C5409" s="1" t="str">
        <x:v>First Class</x:v>
      </x:c>
      <x:c r="D5409" s="1" t="str">
        <x:v>Africa</x:v>
      </x:c>
      <x:c r="E5409" s="1" t="str">
        <x:v>PENDING</x:v>
      </x:c>
      <x:c r="F5409" s="1" t="str">
        <x:v>Late delivery</x:v>
      </x:c>
      <x:c r="G5409" s="6" t="n">
        <x:v>2</x:v>
      </x:c>
      <x:c r="H5409" s="6" t="n">
        <x:v>1</x:v>
      </x:c>
      <x:c r="I5409" s="6" t="n">
        <x:f>G5409-H5409</x:f>
        <x:v>1</x:v>
      </x:c>
      <x:c r="J5409" s="6" t="n">
        <x:f>IF(OR(E5409="CANCELED",E5409="SUSPECTED_FRAUD",F5409="Shipping canceled"),0,1)</x:f>
        <x:v>1</x:v>
      </x:c>
      <x:c r="K5409" s="6" t="n">
        <x:f>IF(G5409&gt;H5409,1,0)</x:f>
        <x:v>1</x:v>
      </x:c>
      <x:c r="L5409" s="6" t="n">
        <x:f>J5409*K5409</x:f>
        <x:v>1</x:v>
      </x:c>
    </x:row>
    <x:row r="5410">
      <x:c r="A5410" s="1" t="n">
        <x:v>42471</x:v>
      </x:c>
      <x:c r="B5410" s="5" t="d">
        <x:v>2016-09-11T00:00:00.000Z</x:v>
      </x:c>
      <x:c r="C5410" s="1" t="str">
        <x:v>Standard Class</x:v>
      </x:c>
      <x:c r="D5410" s="1" t="str">
        <x:v>Africa</x:v>
      </x:c>
      <x:c r="E5410" s="1" t="str">
        <x:v>COMPLETE</x:v>
      </x:c>
      <x:c r="F5410" s="1" t="str">
        <x:v>Advance shipping</x:v>
      </x:c>
      <x:c r="G5410" s="6" t="n">
        <x:v>2</x:v>
      </x:c>
      <x:c r="H5410" s="6" t="n">
        <x:v>4</x:v>
      </x:c>
      <x:c r="I5410" s="6" t="n">
        <x:f>G5410-H5410</x:f>
        <x:v>-2</x:v>
      </x:c>
      <x:c r="J5410" s="6" t="n">
        <x:f>IF(OR(E5410="CANCELED",E5410="SUSPECTED_FRAUD",F5410="Shipping canceled"),0,1)</x:f>
        <x:v>1</x:v>
      </x:c>
      <x:c r="K5410" s="6" t="n">
        <x:f>IF(G5410&gt;H5410,1,0)</x:f>
        <x:v>0</x:v>
      </x:c>
      <x:c r="L5410" s="6" t="n">
        <x:f>J5410*K5410</x:f>
        <x:v>0</x:v>
      </x:c>
    </x:row>
    <x:row r="5411">
      <x:c r="A5411" s="1" t="n">
        <x:v>42474</x:v>
      </x:c>
      <x:c r="B5411" s="5" t="d">
        <x:v>2016-09-12T00:00:00.000Z</x:v>
      </x:c>
      <x:c r="C5411" s="1" t="str">
        <x:v>Second Class</x:v>
      </x:c>
      <x:c r="D5411" s="1" t="str">
        <x:v>Africa</x:v>
      </x:c>
      <x:c r="E5411" s="1" t="str">
        <x:v>PROCESSING</x:v>
      </x:c>
      <x:c r="F5411" s="1" t="str">
        <x:v>Late delivery</x:v>
      </x:c>
      <x:c r="G5411" s="6" t="n">
        <x:v>5</x:v>
      </x:c>
      <x:c r="H5411" s="6" t="n">
        <x:v>2</x:v>
      </x:c>
      <x:c r="I5411" s="6" t="n">
        <x:f>G5411-H5411</x:f>
        <x:v>3</x:v>
      </x:c>
      <x:c r="J5411" s="6" t="n">
        <x:f>IF(OR(E5411="CANCELED",E5411="SUSPECTED_FRAUD",F5411="Shipping canceled"),0,1)</x:f>
        <x:v>1</x:v>
      </x:c>
      <x:c r="K5411" s="6" t="n">
        <x:f>IF(G5411&gt;H5411,1,0)</x:f>
        <x:v>1</x:v>
      </x:c>
      <x:c r="L5411" s="6" t="n">
        <x:f>J5411*K5411</x:f>
        <x:v>1</x:v>
      </x:c>
    </x:row>
    <x:row r="5412">
      <x:c r="A5412" s="1" t="n">
        <x:v>42479</x:v>
      </x:c>
      <x:c r="B5412" s="5" t="d">
        <x:v>2016-09-12T00:00:00.000Z</x:v>
      </x:c>
      <x:c r="C5412" s="1" t="str">
        <x:v>Standard Class</x:v>
      </x:c>
      <x:c r="D5412" s="1" t="str">
        <x:v>Pacific Asia</x:v>
      </x:c>
      <x:c r="E5412" s="1" t="str">
        <x:v>COMPLETE</x:v>
      </x:c>
      <x:c r="F5412" s="1" t="str">
        <x:v>Late delivery</x:v>
      </x:c>
      <x:c r="G5412" s="6" t="n">
        <x:v>5</x:v>
      </x:c>
      <x:c r="H5412" s="6" t="n">
        <x:v>4</x:v>
      </x:c>
      <x:c r="I5412" s="6" t="n">
        <x:f>G5412-H5412</x:f>
        <x:v>1</x:v>
      </x:c>
      <x:c r="J5412" s="6" t="n">
        <x:f>IF(OR(E5412="CANCELED",E5412="SUSPECTED_FRAUD",F5412="Shipping canceled"),0,1)</x:f>
        <x:v>1</x:v>
      </x:c>
      <x:c r="K5412" s="6" t="n">
        <x:f>IF(G5412&gt;H5412,1,0)</x:f>
        <x:v>1</x:v>
      </x:c>
      <x:c r="L5412" s="6" t="n">
        <x:f>J5412*K5412</x:f>
        <x:v>1</x:v>
      </x:c>
    </x:row>
    <x:row r="5413">
      <x:c r="A5413" s="1" t="n">
        <x:v>42491</x:v>
      </x:c>
      <x:c r="B5413" s="5" t="d">
        <x:v>2016-09-12T00:00:00.000Z</x:v>
      </x:c>
      <x:c r="C5413" s="1" t="str">
        <x:v>Standard Class</x:v>
      </x:c>
      <x:c r="D5413" s="1" t="str">
        <x:v>Europe</x:v>
      </x:c>
      <x:c r="E5413" s="1" t="str">
        <x:v>PROCESSING</x:v>
      </x:c>
      <x:c r="F5413" s="1" t="str">
        <x:v>Advance shipping</x:v>
      </x:c>
      <x:c r="G5413" s="6" t="n">
        <x:v>2</x:v>
      </x:c>
      <x:c r="H5413" s="6" t="n">
        <x:v>4</x:v>
      </x:c>
      <x:c r="I5413" s="6" t="n">
        <x:f>G5413-H5413</x:f>
        <x:v>-2</x:v>
      </x:c>
      <x:c r="J5413" s="6" t="n">
        <x:f>IF(OR(E5413="CANCELED",E5413="SUSPECTED_FRAUD",F5413="Shipping canceled"),0,1)</x:f>
        <x:v>1</x:v>
      </x:c>
      <x:c r="K5413" s="6" t="n">
        <x:f>IF(G5413&gt;H5413,1,0)</x:f>
        <x:v>0</x:v>
      </x:c>
      <x:c r="L5413" s="6" t="n">
        <x:f>J5413*K5413</x:f>
        <x:v>0</x:v>
      </x:c>
    </x:row>
    <x:row r="5414">
      <x:c r="A5414" s="1" t="n">
        <x:v>42493</x:v>
      </x:c>
      <x:c r="B5414" s="5" t="d">
        <x:v>2016-09-12T00:00:00.000Z</x:v>
      </x:c>
      <x:c r="C5414" s="1" t="str">
        <x:v>Standard Class</x:v>
      </x:c>
      <x:c r="D5414" s="1" t="str">
        <x:v>Pacific Asia</x:v>
      </x:c>
      <x:c r="E5414" s="1" t="str">
        <x:v>COMPLETE</x:v>
      </x:c>
      <x:c r="F5414" s="1" t="str">
        <x:v>Shipping on time</x:v>
      </x:c>
      <x:c r="G5414" s="6" t="n">
        <x:v>4</x:v>
      </x:c>
      <x:c r="H5414" s="6" t="n">
        <x:v>4</x:v>
      </x:c>
      <x:c r="I5414" s="6" t="n">
        <x:f>G5414-H5414</x:f>
        <x:v>0</x:v>
      </x:c>
      <x:c r="J5414" s="6" t="n">
        <x:f>IF(OR(E5414="CANCELED",E5414="SUSPECTED_FRAUD",F5414="Shipping canceled"),0,1)</x:f>
        <x:v>1</x:v>
      </x:c>
      <x:c r="K5414" s="6" t="n">
        <x:f>IF(G5414&gt;H5414,1,0)</x:f>
        <x:v>0</x:v>
      </x:c>
      <x:c r="L5414" s="6" t="n">
        <x:f>J5414*K5414</x:f>
        <x:v>0</x:v>
      </x:c>
    </x:row>
    <x:row r="5415">
      <x:c r="A5415" s="1" t="n">
        <x:v>42496</x:v>
      </x:c>
      <x:c r="B5415" s="5" t="d">
        <x:v>2016-09-12T00:00:00.000Z</x:v>
      </x:c>
      <x:c r="C5415" s="1" t="str">
        <x:v>Standard Class</x:v>
      </x:c>
      <x:c r="D5415" s="1" t="str">
        <x:v>Pacific Asia</x:v>
      </x:c>
      <x:c r="E5415" s="1" t="str">
        <x:v>COMPLETE</x:v>
      </x:c>
      <x:c r="F5415" s="1" t="str">
        <x:v>Advance shipping</x:v>
      </x:c>
      <x:c r="G5415" s="6" t="n">
        <x:v>2</x:v>
      </x:c>
      <x:c r="H5415" s="6" t="n">
        <x:v>4</x:v>
      </x:c>
      <x:c r="I5415" s="6" t="n">
        <x:f>G5415-H5415</x:f>
        <x:v>-2</x:v>
      </x:c>
      <x:c r="J5415" s="6" t="n">
        <x:f>IF(OR(E5415="CANCELED",E5415="SUSPECTED_FRAUD",F5415="Shipping canceled"),0,1)</x:f>
        <x:v>1</x:v>
      </x:c>
      <x:c r="K5415" s="6" t="n">
        <x:f>IF(G5415&gt;H5415,1,0)</x:f>
        <x:v>0</x:v>
      </x:c>
      <x:c r="L5415" s="6" t="n">
        <x:f>J5415*K5415</x:f>
        <x:v>0</x:v>
      </x:c>
    </x:row>
    <x:row r="5416">
      <x:c r="A5416" s="1" t="n">
        <x:v>42498</x:v>
      </x:c>
      <x:c r="B5416" s="5" t="d">
        <x:v>2016-09-12T00:00:00.000Z</x:v>
      </x:c>
      <x:c r="C5416" s="1" t="str">
        <x:v>Standard Class</x:v>
      </x:c>
      <x:c r="D5416" s="1" t="str">
        <x:v>Pacific Asia</x:v>
      </x:c>
      <x:c r="E5416" s="1" t="str">
        <x:v>PENDING_PAYMENT</x:v>
      </x:c>
      <x:c r="F5416" s="1" t="str">
        <x:v>Shipping on time</x:v>
      </x:c>
      <x:c r="G5416" s="6" t="n">
        <x:v>4</x:v>
      </x:c>
      <x:c r="H5416" s="6" t="n">
        <x:v>4</x:v>
      </x:c>
      <x:c r="I5416" s="6" t="n">
        <x:f>G5416-H5416</x:f>
        <x:v>0</x:v>
      </x:c>
      <x:c r="J5416" s="6" t="n">
        <x:f>IF(OR(E5416="CANCELED",E5416="SUSPECTED_FRAUD",F5416="Shipping canceled"),0,1)</x:f>
        <x:v>1</x:v>
      </x:c>
      <x:c r="K5416" s="6" t="n">
        <x:f>IF(G5416&gt;H5416,1,0)</x:f>
        <x:v>0</x:v>
      </x:c>
      <x:c r="L5416" s="6" t="n">
        <x:f>J5416*K5416</x:f>
        <x:v>0</x:v>
      </x:c>
    </x:row>
    <x:row r="5417">
      <x:c r="A5417" s="1" t="n">
        <x:v>42517</x:v>
      </x:c>
      <x:c r="B5417" s="5" t="d">
        <x:v>2016-09-12T00:00:00.000Z</x:v>
      </x:c>
      <x:c r="C5417" s="1" t="str">
        <x:v>Second Class</x:v>
      </x:c>
      <x:c r="D5417" s="1" t="str">
        <x:v>Pacific Asia</x:v>
      </x:c>
      <x:c r="E5417" s="1" t="str">
        <x:v>PROCESSING</x:v>
      </x:c>
      <x:c r="F5417" s="1" t="str">
        <x:v>Late delivery</x:v>
      </x:c>
      <x:c r="G5417" s="6" t="n">
        <x:v>3</x:v>
      </x:c>
      <x:c r="H5417" s="6" t="n">
        <x:v>2</x:v>
      </x:c>
      <x:c r="I5417" s="6" t="n">
        <x:f>G5417-H5417</x:f>
        <x:v>1</x:v>
      </x:c>
      <x:c r="J5417" s="6" t="n">
        <x:f>IF(OR(E5417="CANCELED",E5417="SUSPECTED_FRAUD",F5417="Shipping canceled"),0,1)</x:f>
        <x:v>1</x:v>
      </x:c>
      <x:c r="K5417" s="6" t="n">
        <x:f>IF(G5417&gt;H5417,1,0)</x:f>
        <x:v>1</x:v>
      </x:c>
      <x:c r="L5417" s="6" t="n">
        <x:f>J5417*K5417</x:f>
        <x:v>1</x:v>
      </x:c>
    </x:row>
    <x:row r="5418">
      <x:c r="A5418" s="1" t="n">
        <x:v>42519</x:v>
      </x:c>
      <x:c r="B5418" s="5" t="d">
        <x:v>2016-09-12T00:00:00.000Z</x:v>
      </x:c>
      <x:c r="C5418" s="1" t="str">
        <x:v>Standard Class</x:v>
      </x:c>
      <x:c r="D5418" s="1" t="str">
        <x:v>Pacific Asia</x:v>
      </x:c>
      <x:c r="E5418" s="1" t="str">
        <x:v>PENDING_PAYMENT</x:v>
      </x:c>
      <x:c r="F5418" s="1" t="str">
        <x:v>Late delivery</x:v>
      </x:c>
      <x:c r="G5418" s="6" t="n">
        <x:v>5</x:v>
      </x:c>
      <x:c r="H5418" s="6" t="n">
        <x:v>4</x:v>
      </x:c>
      <x:c r="I5418" s="6" t="n">
        <x:f>G5418-H5418</x:f>
        <x:v>1</x:v>
      </x:c>
      <x:c r="J5418" s="6" t="n">
        <x:f>IF(OR(E5418="CANCELED",E5418="SUSPECTED_FRAUD",F5418="Shipping canceled"),0,1)</x:f>
        <x:v>1</x:v>
      </x:c>
      <x:c r="K5418" s="6" t="n">
        <x:f>IF(G5418&gt;H5418,1,0)</x:f>
        <x:v>1</x:v>
      </x:c>
      <x:c r="L5418" s="6" t="n">
        <x:f>J5418*K5418</x:f>
        <x:v>1</x:v>
      </x:c>
    </x:row>
    <x:row r="5419">
      <x:c r="A5419" s="1" t="n">
        <x:v>42525</x:v>
      </x:c>
      <x:c r="B5419" s="5" t="d">
        <x:v>2016-09-12T00:00:00.000Z</x:v>
      </x:c>
      <x:c r="C5419" s="1" t="str">
        <x:v>Standard Class</x:v>
      </x:c>
      <x:c r="D5419" s="1" t="str">
        <x:v>Africa</x:v>
      </x:c>
      <x:c r="E5419" s="1" t="str">
        <x:v>PROCESSING</x:v>
      </x:c>
      <x:c r="F5419" s="1" t="str">
        <x:v>Late delivery</x:v>
      </x:c>
      <x:c r="G5419" s="6" t="n">
        <x:v>6</x:v>
      </x:c>
      <x:c r="H5419" s="6" t="n">
        <x:v>4</x:v>
      </x:c>
      <x:c r="I5419" s="6" t="n">
        <x:f>G5419-H5419</x:f>
        <x:v>2</x:v>
      </x:c>
      <x:c r="J5419" s="6" t="n">
        <x:f>IF(OR(E5419="CANCELED",E5419="SUSPECTED_FRAUD",F5419="Shipping canceled"),0,1)</x:f>
        <x:v>1</x:v>
      </x:c>
      <x:c r="K5419" s="6" t="n">
        <x:f>IF(G5419&gt;H5419,1,0)</x:f>
        <x:v>1</x:v>
      </x:c>
      <x:c r="L5419" s="6" t="n">
        <x:f>J5419*K5419</x:f>
        <x:v>1</x:v>
      </x:c>
    </x:row>
    <x:row r="5420">
      <x:c r="A5420" s="1" t="n">
        <x:v>42528</x:v>
      </x:c>
      <x:c r="B5420" s="5" t="d">
        <x:v>2016-09-12T00:00:00.000Z</x:v>
      </x:c>
      <x:c r="C5420" s="1" t="str">
        <x:v>Standard Class</x:v>
      </x:c>
      <x:c r="D5420" s="1" t="str">
        <x:v>Africa</x:v>
      </x:c>
      <x:c r="E5420" s="1" t="str">
        <x:v>PROCESSING</x:v>
      </x:c>
      <x:c r="F5420" s="1" t="str">
        <x:v>Shipping on time</x:v>
      </x:c>
      <x:c r="G5420" s="6" t="n">
        <x:v>4</x:v>
      </x:c>
      <x:c r="H5420" s="6" t="n">
        <x:v>4</x:v>
      </x:c>
      <x:c r="I5420" s="6" t="n">
        <x:f>G5420-H5420</x:f>
        <x:v>0</x:v>
      </x:c>
      <x:c r="J5420" s="6" t="n">
        <x:f>IF(OR(E5420="CANCELED",E5420="SUSPECTED_FRAUD",F5420="Shipping canceled"),0,1)</x:f>
        <x:v>1</x:v>
      </x:c>
      <x:c r="K5420" s="6" t="n">
        <x:f>IF(G5420&gt;H5420,1,0)</x:f>
        <x:v>0</x:v>
      </x:c>
      <x:c r="L5420" s="6" t="n">
        <x:f>J5420*K5420</x:f>
        <x:v>0</x:v>
      </x:c>
    </x:row>
    <x:row r="5421">
      <x:c r="A5421" s="1" t="n">
        <x:v>42533</x:v>
      </x:c>
      <x:c r="B5421" s="5" t="d">
        <x:v>2016-09-12T00:00:00.000Z</x:v>
      </x:c>
      <x:c r="C5421" s="1" t="str">
        <x:v>Standard Class</x:v>
      </x:c>
      <x:c r="D5421" s="1" t="str">
        <x:v>Pacific Asia</x:v>
      </x:c>
      <x:c r="E5421" s="1" t="str">
        <x:v>COMPLETE</x:v>
      </x:c>
      <x:c r="F5421" s="1" t="str">
        <x:v>Shipping on time</x:v>
      </x:c>
      <x:c r="G5421" s="6" t="n">
        <x:v>4</x:v>
      </x:c>
      <x:c r="H5421" s="6" t="n">
        <x:v>4</x:v>
      </x:c>
      <x:c r="I5421" s="6" t="n">
        <x:f>G5421-H5421</x:f>
        <x:v>0</x:v>
      </x:c>
      <x:c r="J5421" s="6" t="n">
        <x:f>IF(OR(E5421="CANCELED",E5421="SUSPECTED_FRAUD",F5421="Shipping canceled"),0,1)</x:f>
        <x:v>1</x:v>
      </x:c>
      <x:c r="K5421" s="6" t="n">
        <x:f>IF(G5421&gt;H5421,1,0)</x:f>
        <x:v>0</x:v>
      </x:c>
      <x:c r="L5421" s="6" t="n">
        <x:f>J5421*K5421</x:f>
        <x:v>0</x:v>
      </x:c>
    </x:row>
    <x:row r="5422">
      <x:c r="A5422" s="1" t="n">
        <x:v>42537</x:v>
      </x:c>
      <x:c r="B5422" s="5" t="d">
        <x:v>2016-09-12T00:00:00.000Z</x:v>
      </x:c>
      <x:c r="C5422" s="1" t="str">
        <x:v>Standard Class</x:v>
      </x:c>
      <x:c r="D5422" s="1" t="str">
        <x:v>Africa</x:v>
      </x:c>
      <x:c r="E5422" s="1" t="str">
        <x:v>COMPLETE</x:v>
      </x:c>
      <x:c r="F5422" s="1" t="str">
        <x:v>Advance shipping</x:v>
      </x:c>
      <x:c r="G5422" s="6" t="n">
        <x:v>3</x:v>
      </x:c>
      <x:c r="H5422" s="6" t="n">
        <x:v>4</x:v>
      </x:c>
      <x:c r="I5422" s="6" t="n">
        <x:f>G5422-H5422</x:f>
        <x:v>-1</x:v>
      </x:c>
      <x:c r="J5422" s="6" t="n">
        <x:f>IF(OR(E5422="CANCELED",E5422="SUSPECTED_FRAUD",F5422="Shipping canceled"),0,1)</x:f>
        <x:v>1</x:v>
      </x:c>
      <x:c r="K5422" s="6" t="n">
        <x:f>IF(G5422&gt;H5422,1,0)</x:f>
        <x:v>0</x:v>
      </x:c>
      <x:c r="L5422" s="6" t="n">
        <x:f>J5422*K5422</x:f>
        <x:v>0</x:v>
      </x:c>
    </x:row>
    <x:row r="5423">
      <x:c r="A5423" s="1" t="n">
        <x:v>42552</x:v>
      </x:c>
      <x:c r="B5423" s="5" t="d">
        <x:v>2016-09-13T00:00:00.000Z</x:v>
      </x:c>
      <x:c r="C5423" s="1" t="str">
        <x:v>Second Class</x:v>
      </x:c>
      <x:c r="D5423" s="1" t="str">
        <x:v>Africa</x:v>
      </x:c>
      <x:c r="E5423" s="1" t="str">
        <x:v>PENDING</x:v>
      </x:c>
      <x:c r="F5423" s="1" t="str">
        <x:v>Late delivery</x:v>
      </x:c>
      <x:c r="G5423" s="6" t="n">
        <x:v>3</x:v>
      </x:c>
      <x:c r="H5423" s="6" t="n">
        <x:v>2</x:v>
      </x:c>
      <x:c r="I5423" s="6" t="n">
        <x:f>G5423-H5423</x:f>
        <x:v>1</x:v>
      </x:c>
      <x:c r="J5423" s="6" t="n">
        <x:f>IF(OR(E5423="CANCELED",E5423="SUSPECTED_FRAUD",F5423="Shipping canceled"),0,1)</x:f>
        <x:v>1</x:v>
      </x:c>
      <x:c r="K5423" s="6" t="n">
        <x:f>IF(G5423&gt;H5423,1,0)</x:f>
        <x:v>1</x:v>
      </x:c>
      <x:c r="L5423" s="6" t="n">
        <x:f>J5423*K5423</x:f>
        <x:v>1</x:v>
      </x:c>
    </x:row>
    <x:row r="5424">
      <x:c r="A5424" s="1" t="n">
        <x:v>42554</x:v>
      </x:c>
      <x:c r="B5424" s="5" t="d">
        <x:v>2016-09-13T00:00:00.000Z</x:v>
      </x:c>
      <x:c r="C5424" s="1" t="str">
        <x:v>Second Class</x:v>
      </x:c>
      <x:c r="D5424" s="1" t="str">
        <x:v>Europe</x:v>
      </x:c>
      <x:c r="E5424" s="1" t="str">
        <x:v>PROCESSING</x:v>
      </x:c>
      <x:c r="F5424" s="1" t="str">
        <x:v>Late delivery</x:v>
      </x:c>
      <x:c r="G5424" s="6" t="n">
        <x:v>5</x:v>
      </x:c>
      <x:c r="H5424" s="6" t="n">
        <x:v>2</x:v>
      </x:c>
      <x:c r="I5424" s="6" t="n">
        <x:f>G5424-H5424</x:f>
        <x:v>3</x:v>
      </x:c>
      <x:c r="J5424" s="6" t="n">
        <x:f>IF(OR(E5424="CANCELED",E5424="SUSPECTED_FRAUD",F5424="Shipping canceled"),0,1)</x:f>
        <x:v>1</x:v>
      </x:c>
      <x:c r="K5424" s="6" t="n">
        <x:f>IF(G5424&gt;H5424,1,0)</x:f>
        <x:v>1</x:v>
      </x:c>
      <x:c r="L5424" s="6" t="n">
        <x:f>J5424*K5424</x:f>
        <x:v>1</x:v>
      </x:c>
    </x:row>
    <x:row r="5425">
      <x:c r="A5425" s="1" t="n">
        <x:v>42569</x:v>
      </x:c>
      <x:c r="B5425" s="5" t="d">
        <x:v>2016-09-13T00:00:00.000Z</x:v>
      </x:c>
      <x:c r="C5425" s="1" t="str">
        <x:v>First Class</x:v>
      </x:c>
      <x:c r="D5425" s="1" t="str">
        <x:v>Pacific Asia</x:v>
      </x:c>
      <x:c r="E5425" s="1" t="str">
        <x:v>PENDING_PAYMENT</x:v>
      </x:c>
      <x:c r="F5425" s="1" t="str">
        <x:v>Late delivery</x:v>
      </x:c>
      <x:c r="G5425" s="6" t="n">
        <x:v>2</x:v>
      </x:c>
      <x:c r="H5425" s="6" t="n">
        <x:v>1</x:v>
      </x:c>
      <x:c r="I5425" s="6" t="n">
        <x:f>G5425-H5425</x:f>
        <x:v>1</x:v>
      </x:c>
      <x:c r="J5425" s="6" t="n">
        <x:f>IF(OR(E5425="CANCELED",E5425="SUSPECTED_FRAUD",F5425="Shipping canceled"),0,1)</x:f>
        <x:v>1</x:v>
      </x:c>
      <x:c r="K5425" s="6" t="n">
        <x:f>IF(G5425&gt;H5425,1,0)</x:f>
        <x:v>1</x:v>
      </x:c>
      <x:c r="L5425" s="6" t="n">
        <x:f>J5425*K5425</x:f>
        <x:v>1</x:v>
      </x:c>
    </x:row>
    <x:row r="5426">
      <x:c r="A5426" s="1" t="n">
        <x:v>42572</x:v>
      </x:c>
      <x:c r="B5426" s="5" t="d">
        <x:v>2016-09-13T00:00:00.000Z</x:v>
      </x:c>
      <x:c r="C5426" s="1" t="str">
        <x:v>First Class</x:v>
      </x:c>
      <x:c r="D5426" s="1" t="str">
        <x:v>Africa</x:v>
      </x:c>
      <x:c r="E5426" s="1" t="str">
        <x:v>PROCESSING</x:v>
      </x:c>
      <x:c r="F5426" s="1" t="str">
        <x:v>Late delivery</x:v>
      </x:c>
      <x:c r="G5426" s="6" t="n">
        <x:v>2</x:v>
      </x:c>
      <x:c r="H5426" s="6" t="n">
        <x:v>1</x:v>
      </x:c>
      <x:c r="I5426" s="6" t="n">
        <x:f>G5426-H5426</x:f>
        <x:v>1</x:v>
      </x:c>
      <x:c r="J5426" s="6" t="n">
        <x:f>IF(OR(E5426="CANCELED",E5426="SUSPECTED_FRAUD",F5426="Shipping canceled"),0,1)</x:f>
        <x:v>1</x:v>
      </x:c>
      <x:c r="K5426" s="6" t="n">
        <x:f>IF(G5426&gt;H5426,1,0)</x:f>
        <x:v>1</x:v>
      </x:c>
      <x:c r="L5426" s="6" t="n">
        <x:f>J5426*K5426</x:f>
        <x:v>1</x:v>
      </x:c>
    </x:row>
    <x:row r="5427">
      <x:c r="A5427" s="1" t="n">
        <x:v>42579</x:v>
      </x:c>
      <x:c r="B5427" s="5" t="d">
        <x:v>2016-09-13T00:00:00.000Z</x:v>
      </x:c>
      <x:c r="C5427" s="1" t="str">
        <x:v>Same Day</x:v>
      </x:c>
      <x:c r="D5427" s="1" t="str">
        <x:v>Africa</x:v>
      </x:c>
      <x:c r="E5427" s="1" t="str">
        <x:v>PROCESSING</x:v>
      </x:c>
      <x:c r="F5427" s="1" t="str">
        <x:v>Late delivery</x:v>
      </x:c>
      <x:c r="G5427" s="6" t="n">
        <x:v>1</x:v>
      </x:c>
      <x:c r="H5427" s="6" t="n">
        <x:v>0</x:v>
      </x:c>
      <x:c r="I5427" s="6" t="n">
        <x:f>G5427-H5427</x:f>
        <x:v>1</x:v>
      </x:c>
      <x:c r="J5427" s="6" t="n">
        <x:f>IF(OR(E5427="CANCELED",E5427="SUSPECTED_FRAUD",F5427="Shipping canceled"),0,1)</x:f>
        <x:v>1</x:v>
      </x:c>
      <x:c r="K5427" s="6" t="n">
        <x:f>IF(G5427&gt;H5427,1,0)</x:f>
        <x:v>1</x:v>
      </x:c>
      <x:c r="L5427" s="6" t="n">
        <x:f>J5427*K5427</x:f>
        <x:v>1</x:v>
      </x:c>
    </x:row>
    <x:row r="5428">
      <x:c r="A5428" s="1" t="n">
        <x:v>42586</x:v>
      </x:c>
      <x:c r="B5428" s="5" t="d">
        <x:v>2016-09-13T00:00:00.000Z</x:v>
      </x:c>
      <x:c r="C5428" s="1" t="str">
        <x:v>Standard Class</x:v>
      </x:c>
      <x:c r="D5428" s="1" t="str">
        <x:v>Africa</x:v>
      </x:c>
      <x:c r="E5428" s="1" t="str">
        <x:v>COMPLETE</x:v>
      </x:c>
      <x:c r="F5428" s="1" t="str">
        <x:v>Advance shipping</x:v>
      </x:c>
      <x:c r="G5428" s="6" t="n">
        <x:v>2</x:v>
      </x:c>
      <x:c r="H5428" s="6" t="n">
        <x:v>4</x:v>
      </x:c>
      <x:c r="I5428" s="6" t="n">
        <x:f>G5428-H5428</x:f>
        <x:v>-2</x:v>
      </x:c>
      <x:c r="J5428" s="6" t="n">
        <x:f>IF(OR(E5428="CANCELED",E5428="SUSPECTED_FRAUD",F5428="Shipping canceled"),0,1)</x:f>
        <x:v>1</x:v>
      </x:c>
      <x:c r="K5428" s="6" t="n">
        <x:f>IF(G5428&gt;H5428,1,0)</x:f>
        <x:v>0</x:v>
      </x:c>
      <x:c r="L5428" s="6" t="n">
        <x:f>J5428*K5428</x:f>
        <x:v>0</x:v>
      </x:c>
    </x:row>
    <x:row r="5429">
      <x:c r="A5429" s="1" t="n">
        <x:v>42603</x:v>
      </x:c>
      <x:c r="B5429" s="5" t="d">
        <x:v>2016-09-13T00:00:00.000Z</x:v>
      </x:c>
      <x:c r="C5429" s="1" t="str">
        <x:v>Second Class</x:v>
      </x:c>
      <x:c r="D5429" s="1" t="str">
        <x:v>Africa</x:v>
      </x:c>
      <x:c r="E5429" s="1" t="str">
        <x:v>COMPLETE</x:v>
      </x:c>
      <x:c r="F5429" s="1" t="str">
        <x:v>Late delivery</x:v>
      </x:c>
      <x:c r="G5429" s="6" t="n">
        <x:v>4</x:v>
      </x:c>
      <x:c r="H5429" s="6" t="n">
        <x:v>2</x:v>
      </x:c>
      <x:c r="I5429" s="6" t="n">
        <x:f>G5429-H5429</x:f>
        <x:v>2</x:v>
      </x:c>
      <x:c r="J5429" s="6" t="n">
        <x:f>IF(OR(E5429="CANCELED",E5429="SUSPECTED_FRAUD",F5429="Shipping canceled"),0,1)</x:f>
        <x:v>1</x:v>
      </x:c>
      <x:c r="K5429" s="6" t="n">
        <x:f>IF(G5429&gt;H5429,1,0)</x:f>
        <x:v>1</x:v>
      </x:c>
      <x:c r="L5429" s="6" t="n">
        <x:f>J5429*K5429</x:f>
        <x:v>1</x:v>
      </x:c>
    </x:row>
    <x:row r="5430">
      <x:c r="A5430" s="1" t="n">
        <x:v>42626</x:v>
      </x:c>
      <x:c r="B5430" s="5" t="d">
        <x:v>2016-09-14T00:00:00.000Z</x:v>
      </x:c>
      <x:c r="C5430" s="1" t="str">
        <x:v>Standard Class</x:v>
      </x:c>
      <x:c r="D5430" s="1" t="str">
        <x:v>Africa</x:v>
      </x:c>
      <x:c r="E5430" s="1" t="str">
        <x:v>PENDING</x:v>
      </x:c>
      <x:c r="F5430" s="1" t="str">
        <x:v>Advance shipping</x:v>
      </x:c>
      <x:c r="G5430" s="6" t="n">
        <x:v>2</x:v>
      </x:c>
      <x:c r="H5430" s="6" t="n">
        <x:v>4</x:v>
      </x:c>
      <x:c r="I5430" s="6" t="n">
        <x:f>G5430-H5430</x:f>
        <x:v>-2</x:v>
      </x:c>
      <x:c r="J5430" s="6" t="n">
        <x:f>IF(OR(E5430="CANCELED",E5430="SUSPECTED_FRAUD",F5430="Shipping canceled"),0,1)</x:f>
        <x:v>1</x:v>
      </x:c>
      <x:c r="K5430" s="6" t="n">
        <x:f>IF(G5430&gt;H5430,1,0)</x:f>
        <x:v>0</x:v>
      </x:c>
      <x:c r="L5430" s="6" t="n">
        <x:f>J5430*K5430</x:f>
        <x:v>0</x:v>
      </x:c>
    </x:row>
    <x:row r="5431">
      <x:c r="A5431" s="1" t="n">
        <x:v>42643</x:v>
      </x:c>
      <x:c r="B5431" s="5" t="d">
        <x:v>2016-09-14T00:00:00.000Z</x:v>
      </x:c>
      <x:c r="C5431" s="1" t="str">
        <x:v>Standard Class</x:v>
      </x:c>
      <x:c r="D5431" s="1" t="str">
        <x:v>Africa</x:v>
      </x:c>
      <x:c r="E5431" s="1" t="str">
        <x:v>COMPLETE</x:v>
      </x:c>
      <x:c r="F5431" s="1" t="str">
        <x:v>Shipping on time</x:v>
      </x:c>
      <x:c r="G5431" s="6" t="n">
        <x:v>4</x:v>
      </x:c>
      <x:c r="H5431" s="6" t="n">
        <x:v>4</x:v>
      </x:c>
      <x:c r="I5431" s="6" t="n">
        <x:f>G5431-H5431</x:f>
        <x:v>0</x:v>
      </x:c>
      <x:c r="J5431" s="6" t="n">
        <x:f>IF(OR(E5431="CANCELED",E5431="SUSPECTED_FRAUD",F5431="Shipping canceled"),0,1)</x:f>
        <x:v>1</x:v>
      </x:c>
      <x:c r="K5431" s="6" t="n">
        <x:f>IF(G5431&gt;H5431,1,0)</x:f>
        <x:v>0</x:v>
      </x:c>
      <x:c r="L5431" s="6" t="n">
        <x:f>J5431*K5431</x:f>
        <x:v>0</x:v>
      </x:c>
    </x:row>
    <x:row r="5432">
      <x:c r="A5432" s="1" t="n">
        <x:v>42646</x:v>
      </x:c>
      <x:c r="B5432" s="5" t="d">
        <x:v>2016-09-14T00:00:00.000Z</x:v>
      </x:c>
      <x:c r="C5432" s="1" t="str">
        <x:v>Standard Class</x:v>
      </x:c>
      <x:c r="D5432" s="1" t="str">
        <x:v>Africa</x:v>
      </x:c>
      <x:c r="E5432" s="1" t="str">
        <x:v>PROCESSING</x:v>
      </x:c>
      <x:c r="F5432" s="1" t="str">
        <x:v>Advance shipping</x:v>
      </x:c>
      <x:c r="G5432" s="6" t="n">
        <x:v>2</x:v>
      </x:c>
      <x:c r="H5432" s="6" t="n">
        <x:v>4</x:v>
      </x:c>
      <x:c r="I5432" s="6" t="n">
        <x:f>G5432-H5432</x:f>
        <x:v>-2</x:v>
      </x:c>
      <x:c r="J5432" s="6" t="n">
        <x:f>IF(OR(E5432="CANCELED",E5432="SUSPECTED_FRAUD",F5432="Shipping canceled"),0,1)</x:f>
        <x:v>1</x:v>
      </x:c>
      <x:c r="K5432" s="6" t="n">
        <x:f>IF(G5432&gt;H5432,1,0)</x:f>
        <x:v>0</x:v>
      </x:c>
      <x:c r="L5432" s="6" t="n">
        <x:f>J5432*K5432</x:f>
        <x:v>0</x:v>
      </x:c>
    </x:row>
    <x:row r="5433">
      <x:c r="A5433" s="1" t="n">
        <x:v>42658</x:v>
      </x:c>
      <x:c r="B5433" s="5" t="d">
        <x:v>2016-09-14T00:00:00.000Z</x:v>
      </x:c>
      <x:c r="C5433" s="1" t="str">
        <x:v>Standard Class</x:v>
      </x:c>
      <x:c r="D5433" s="1" t="str">
        <x:v>Pacific Asia</x:v>
      </x:c>
      <x:c r="E5433" s="1" t="str">
        <x:v>PENDING</x:v>
      </x:c>
      <x:c r="F5433" s="1" t="str">
        <x:v>Shipping on time</x:v>
      </x:c>
      <x:c r="G5433" s="6" t="n">
        <x:v>4</x:v>
      </x:c>
      <x:c r="H5433" s="6" t="n">
        <x:v>4</x:v>
      </x:c>
      <x:c r="I5433" s="6" t="n">
        <x:f>G5433-H5433</x:f>
        <x:v>0</x:v>
      </x:c>
      <x:c r="J5433" s="6" t="n">
        <x:f>IF(OR(E5433="CANCELED",E5433="SUSPECTED_FRAUD",F5433="Shipping canceled"),0,1)</x:f>
        <x:v>1</x:v>
      </x:c>
      <x:c r="K5433" s="6" t="n">
        <x:f>IF(G5433&gt;H5433,1,0)</x:f>
        <x:v>0</x:v>
      </x:c>
      <x:c r="L5433" s="6" t="n">
        <x:f>J5433*K5433</x:f>
        <x:v>0</x:v>
      </x:c>
    </x:row>
    <x:row r="5434">
      <x:c r="A5434" s="1" t="n">
        <x:v>42670</x:v>
      </x:c>
      <x:c r="B5434" s="5" t="d">
        <x:v>2016-09-14T00:00:00.000Z</x:v>
      </x:c>
      <x:c r="C5434" s="1" t="str">
        <x:v>Standard Class</x:v>
      </x:c>
      <x:c r="D5434" s="1" t="str">
        <x:v>Europe</x:v>
      </x:c>
      <x:c r="E5434" s="1" t="str">
        <x:v>COMPLETE</x:v>
      </x:c>
      <x:c r="F5434" s="1" t="str">
        <x:v>Late delivery</x:v>
      </x:c>
      <x:c r="G5434" s="6" t="n">
        <x:v>6</x:v>
      </x:c>
      <x:c r="H5434" s="6" t="n">
        <x:v>4</x:v>
      </x:c>
      <x:c r="I5434" s="6" t="n">
        <x:f>G5434-H5434</x:f>
        <x:v>2</x:v>
      </x:c>
      <x:c r="J5434" s="6" t="n">
        <x:f>IF(OR(E5434="CANCELED",E5434="SUSPECTED_FRAUD",F5434="Shipping canceled"),0,1)</x:f>
        <x:v>1</x:v>
      </x:c>
      <x:c r="K5434" s="6" t="n">
        <x:f>IF(G5434&gt;H5434,1,0)</x:f>
        <x:v>1</x:v>
      </x:c>
      <x:c r="L5434" s="6" t="n">
        <x:f>J5434*K5434</x:f>
        <x:v>1</x:v>
      </x:c>
    </x:row>
    <x:row r="5435">
      <x:c r="A5435" s="1" t="n">
        <x:v>42671</x:v>
      </x:c>
      <x:c r="B5435" s="5" t="d">
        <x:v>2016-09-14T00:00:00.000Z</x:v>
      </x:c>
      <x:c r="C5435" s="1" t="str">
        <x:v>Standard Class</x:v>
      </x:c>
      <x:c r="D5435" s="1" t="str">
        <x:v>Pacific Asia</x:v>
      </x:c>
      <x:c r="E5435" s="1" t="str">
        <x:v>COMPLETE</x:v>
      </x:c>
      <x:c r="F5435" s="1" t="str">
        <x:v>Advance shipping</x:v>
      </x:c>
      <x:c r="G5435" s="6" t="n">
        <x:v>2</x:v>
      </x:c>
      <x:c r="H5435" s="6" t="n">
        <x:v>4</x:v>
      </x:c>
      <x:c r="I5435" s="6" t="n">
        <x:f>G5435-H5435</x:f>
        <x:v>-2</x:v>
      </x:c>
      <x:c r="J5435" s="6" t="n">
        <x:f>IF(OR(E5435="CANCELED",E5435="SUSPECTED_FRAUD",F5435="Shipping canceled"),0,1)</x:f>
        <x:v>1</x:v>
      </x:c>
      <x:c r="K5435" s="6" t="n">
        <x:f>IF(G5435&gt;H5435,1,0)</x:f>
        <x:v>0</x:v>
      </x:c>
      <x:c r="L5435" s="6" t="n">
        <x:f>J5435*K5435</x:f>
        <x:v>0</x:v>
      </x:c>
    </x:row>
    <x:row r="5436">
      <x:c r="A5436" s="1" t="n">
        <x:v>42693</x:v>
      </x:c>
      <x:c r="B5436" s="5" t="d">
        <x:v>2016-09-15T00:00:00.000Z</x:v>
      </x:c>
      <x:c r="C5436" s="1" t="str">
        <x:v>Standard Class</x:v>
      </x:c>
      <x:c r="D5436" s="1" t="str">
        <x:v>Pacific Asia</x:v>
      </x:c>
      <x:c r="E5436" s="1" t="str">
        <x:v>ON_HOLD</x:v>
      </x:c>
      <x:c r="F5436" s="1" t="str">
        <x:v>Shipping on time</x:v>
      </x:c>
      <x:c r="G5436" s="6" t="n">
        <x:v>4</x:v>
      </x:c>
      <x:c r="H5436" s="6" t="n">
        <x:v>4</x:v>
      </x:c>
      <x:c r="I5436" s="6" t="n">
        <x:f>G5436-H5436</x:f>
        <x:v>0</x:v>
      </x:c>
      <x:c r="J5436" s="6" t="n">
        <x:f>IF(OR(E5436="CANCELED",E5436="SUSPECTED_FRAUD",F5436="Shipping canceled"),0,1)</x:f>
        <x:v>1</x:v>
      </x:c>
      <x:c r="K5436" s="6" t="n">
        <x:f>IF(G5436&gt;H5436,1,0)</x:f>
        <x:v>0</x:v>
      </x:c>
      <x:c r="L5436" s="6" t="n">
        <x:f>J5436*K5436</x:f>
        <x:v>0</x:v>
      </x:c>
    </x:row>
    <x:row r="5437">
      <x:c r="A5437" s="1" t="n">
        <x:v>42712</x:v>
      </x:c>
      <x:c r="B5437" s="5" t="d">
        <x:v>2016-09-15T00:00:00.000Z</x:v>
      </x:c>
      <x:c r="C5437" s="1" t="str">
        <x:v>Standard Class</x:v>
      </x:c>
      <x:c r="D5437" s="1" t="str">
        <x:v>Africa</x:v>
      </x:c>
      <x:c r="E5437" s="1" t="str">
        <x:v>PENDING_PAYMENT</x:v>
      </x:c>
      <x:c r="F5437" s="1" t="str">
        <x:v>Advance shipping</x:v>
      </x:c>
      <x:c r="G5437" s="6" t="n">
        <x:v>3</x:v>
      </x:c>
      <x:c r="H5437" s="6" t="n">
        <x:v>4</x:v>
      </x:c>
      <x:c r="I5437" s="6" t="n">
        <x:f>G5437-H5437</x:f>
        <x:v>-1</x:v>
      </x:c>
      <x:c r="J5437" s="6" t="n">
        <x:f>IF(OR(E5437="CANCELED",E5437="SUSPECTED_FRAUD",F5437="Shipping canceled"),0,1)</x:f>
        <x:v>1</x:v>
      </x:c>
      <x:c r="K5437" s="6" t="n">
        <x:f>IF(G5437&gt;H5437,1,0)</x:f>
        <x:v>0</x:v>
      </x:c>
      <x:c r="L5437" s="6" t="n">
        <x:f>J5437*K5437</x:f>
        <x:v>0</x:v>
      </x:c>
    </x:row>
    <x:row r="5438">
      <x:c r="A5438" s="1" t="n">
        <x:v>42721</x:v>
      </x:c>
      <x:c r="B5438" s="5" t="d">
        <x:v>2016-09-15T00:00:00.000Z</x:v>
      </x:c>
      <x:c r="C5438" s="1" t="str">
        <x:v>Standard Class</x:v>
      </x:c>
      <x:c r="D5438" s="1" t="str">
        <x:v>Europe</x:v>
      </x:c>
      <x:c r="E5438" s="1" t="str">
        <x:v>COMPLETE</x:v>
      </x:c>
      <x:c r="F5438" s="1" t="str">
        <x:v>Advance shipping</x:v>
      </x:c>
      <x:c r="G5438" s="6" t="n">
        <x:v>2</x:v>
      </x:c>
      <x:c r="H5438" s="6" t="n">
        <x:v>4</x:v>
      </x:c>
      <x:c r="I5438" s="6" t="n">
        <x:f>G5438-H5438</x:f>
        <x:v>-2</x:v>
      </x:c>
      <x:c r="J5438" s="6" t="n">
        <x:f>IF(OR(E5438="CANCELED",E5438="SUSPECTED_FRAUD",F5438="Shipping canceled"),0,1)</x:f>
        <x:v>1</x:v>
      </x:c>
      <x:c r="K5438" s="6" t="n">
        <x:f>IF(G5438&gt;H5438,1,0)</x:f>
        <x:v>0</x:v>
      </x:c>
      <x:c r="L5438" s="6" t="n">
        <x:f>J5438*K5438</x:f>
        <x:v>0</x:v>
      </x:c>
    </x:row>
    <x:row r="5439">
      <x:c r="A5439" s="1" t="n">
        <x:v>42722</x:v>
      </x:c>
      <x:c r="B5439" s="5" t="d">
        <x:v>2016-09-15T00:00:00.000Z</x:v>
      </x:c>
      <x:c r="C5439" s="1" t="str">
        <x:v>Standard Class</x:v>
      </x:c>
      <x:c r="D5439" s="1" t="str">
        <x:v>Europe</x:v>
      </x:c>
      <x:c r="E5439" s="1" t="str">
        <x:v>ON_HOLD</x:v>
      </x:c>
      <x:c r="F5439" s="1" t="str">
        <x:v>Advance shipping</x:v>
      </x:c>
      <x:c r="G5439" s="6" t="n">
        <x:v>3</x:v>
      </x:c>
      <x:c r="H5439" s="6" t="n">
        <x:v>4</x:v>
      </x:c>
      <x:c r="I5439" s="6" t="n">
        <x:f>G5439-H5439</x:f>
        <x:v>-1</x:v>
      </x:c>
      <x:c r="J5439" s="6" t="n">
        <x:f>IF(OR(E5439="CANCELED",E5439="SUSPECTED_FRAUD",F5439="Shipping canceled"),0,1)</x:f>
        <x:v>1</x:v>
      </x:c>
      <x:c r="K5439" s="6" t="n">
        <x:f>IF(G5439&gt;H5439,1,0)</x:f>
        <x:v>0</x:v>
      </x:c>
      <x:c r="L5439" s="6" t="n">
        <x:f>J5439*K5439</x:f>
        <x:v>0</x:v>
      </x:c>
    </x:row>
    <x:row r="5440">
      <x:c r="A5440" s="1" t="n">
        <x:v>42731</x:v>
      </x:c>
      <x:c r="B5440" s="5" t="d">
        <x:v>2016-09-15T00:00:00.000Z</x:v>
      </x:c>
      <x:c r="C5440" s="1" t="str">
        <x:v>Standard Class</x:v>
      </x:c>
      <x:c r="D5440" s="1" t="str">
        <x:v>Africa</x:v>
      </x:c>
      <x:c r="E5440" s="1" t="str">
        <x:v>CLOSED</x:v>
      </x:c>
      <x:c r="F5440" s="1" t="str">
        <x:v>Advance shipping</x:v>
      </x:c>
      <x:c r="G5440" s="6" t="n">
        <x:v>2</x:v>
      </x:c>
      <x:c r="H5440" s="6" t="n">
        <x:v>4</x:v>
      </x:c>
      <x:c r="I5440" s="6" t="n">
        <x:f>G5440-H5440</x:f>
        <x:v>-2</x:v>
      </x:c>
      <x:c r="J5440" s="6" t="n">
        <x:f>IF(OR(E5440="CANCELED",E5440="SUSPECTED_FRAUD",F5440="Shipping canceled"),0,1)</x:f>
        <x:v>1</x:v>
      </x:c>
      <x:c r="K5440" s="6" t="n">
        <x:f>IF(G5440&gt;H5440,1,0)</x:f>
        <x:v>0</x:v>
      </x:c>
      <x:c r="L5440" s="6" t="n">
        <x:f>J5440*K5440</x:f>
        <x:v>0</x:v>
      </x:c>
    </x:row>
    <x:row r="5441">
      <x:c r="A5441" s="1" t="n">
        <x:v>42739</x:v>
      </x:c>
      <x:c r="B5441" s="5" t="d">
        <x:v>2016-09-15T00:00:00.000Z</x:v>
      </x:c>
      <x:c r="C5441" s="1" t="str">
        <x:v>Standard Class</x:v>
      </x:c>
      <x:c r="D5441" s="1" t="str">
        <x:v>Europe</x:v>
      </x:c>
      <x:c r="E5441" s="1" t="str">
        <x:v>PROCESSING</x:v>
      </x:c>
      <x:c r="F5441" s="1" t="str">
        <x:v>Late delivery</x:v>
      </x:c>
      <x:c r="G5441" s="6" t="n">
        <x:v>5</x:v>
      </x:c>
      <x:c r="H5441" s="6" t="n">
        <x:v>4</x:v>
      </x:c>
      <x:c r="I5441" s="6" t="n">
        <x:f>G5441-H5441</x:f>
        <x:v>1</x:v>
      </x:c>
      <x:c r="J5441" s="6" t="n">
        <x:f>IF(OR(E5441="CANCELED",E5441="SUSPECTED_FRAUD",F5441="Shipping canceled"),0,1)</x:f>
        <x:v>1</x:v>
      </x:c>
      <x:c r="K5441" s="6" t="n">
        <x:f>IF(G5441&gt;H5441,1,0)</x:f>
        <x:v>1</x:v>
      </x:c>
      <x:c r="L5441" s="6" t="n">
        <x:f>J5441*K5441</x:f>
        <x:v>1</x:v>
      </x:c>
    </x:row>
    <x:row r="5442">
      <x:c r="A5442" s="1" t="n">
        <x:v>42742</x:v>
      </x:c>
      <x:c r="B5442" s="5" t="d">
        <x:v>2016-09-15T00:00:00.000Z</x:v>
      </x:c>
      <x:c r="C5442" s="1" t="str">
        <x:v>Second Class</x:v>
      </x:c>
      <x:c r="D5442" s="1" t="str">
        <x:v>Pacific Asia</x:v>
      </x:c>
      <x:c r="E5442" s="1" t="str">
        <x:v>PENDING_PAYMENT</x:v>
      </x:c>
      <x:c r="F5442" s="1" t="str">
        <x:v>Late delivery</x:v>
      </x:c>
      <x:c r="G5442" s="6" t="n">
        <x:v>3</x:v>
      </x:c>
      <x:c r="H5442" s="6" t="n">
        <x:v>2</x:v>
      </x:c>
      <x:c r="I5442" s="6" t="n">
        <x:f>G5442-H5442</x:f>
        <x:v>1</x:v>
      </x:c>
      <x:c r="J5442" s="6" t="n">
        <x:f>IF(OR(E5442="CANCELED",E5442="SUSPECTED_FRAUD",F5442="Shipping canceled"),0,1)</x:f>
        <x:v>1</x:v>
      </x:c>
      <x:c r="K5442" s="6" t="n">
        <x:f>IF(G5442&gt;H5442,1,0)</x:f>
        <x:v>1</x:v>
      </x:c>
      <x:c r="L5442" s="6" t="n">
        <x:f>J5442*K5442</x:f>
        <x:v>1</x:v>
      </x:c>
    </x:row>
    <x:row r="5443">
      <x:c r="A5443" s="1" t="n">
        <x:v>42745</x:v>
      </x:c>
      <x:c r="B5443" s="5" t="d">
        <x:v>2016-09-15T00:00:00.000Z</x:v>
      </x:c>
      <x:c r="C5443" s="1" t="str">
        <x:v>Second Class</x:v>
      </x:c>
      <x:c r="D5443" s="1" t="str">
        <x:v>Pacific Asia</x:v>
      </x:c>
      <x:c r="E5443" s="1" t="str">
        <x:v>CLOSED</x:v>
      </x:c>
      <x:c r="F5443" s="1" t="str">
        <x:v>Late delivery</x:v>
      </x:c>
      <x:c r="G5443" s="6" t="n">
        <x:v>6</x:v>
      </x:c>
      <x:c r="H5443" s="6" t="n">
        <x:v>2</x:v>
      </x:c>
      <x:c r="I5443" s="6" t="n">
        <x:f>G5443-H5443</x:f>
        <x:v>4</x:v>
      </x:c>
      <x:c r="J5443" s="6" t="n">
        <x:f>IF(OR(E5443="CANCELED",E5443="SUSPECTED_FRAUD",F5443="Shipping canceled"),0,1)</x:f>
        <x:v>1</x:v>
      </x:c>
      <x:c r="K5443" s="6" t="n">
        <x:f>IF(G5443&gt;H5443,1,0)</x:f>
        <x:v>1</x:v>
      </x:c>
      <x:c r="L5443" s="6" t="n">
        <x:f>J5443*K5443</x:f>
        <x:v>1</x:v>
      </x:c>
    </x:row>
    <x:row r="5444">
      <x:c r="A5444" s="1" t="n">
        <x:v>42749</x:v>
      </x:c>
      <x:c r="B5444" s="5" t="d">
        <x:v>2016-09-16T00:00:00.000Z</x:v>
      </x:c>
      <x:c r="C5444" s="1" t="str">
        <x:v>Standard Class</x:v>
      </x:c>
      <x:c r="D5444" s="1" t="str">
        <x:v>Africa</x:v>
      </x:c>
      <x:c r="E5444" s="1" t="str">
        <x:v>ON_HOLD</x:v>
      </x:c>
      <x:c r="F5444" s="1" t="str">
        <x:v>Late delivery</x:v>
      </x:c>
      <x:c r="G5444" s="6" t="n">
        <x:v>5</x:v>
      </x:c>
      <x:c r="H5444" s="6" t="n">
        <x:v>4</x:v>
      </x:c>
      <x:c r="I5444" s="6" t="n">
        <x:f>G5444-H5444</x:f>
        <x:v>1</x:v>
      </x:c>
      <x:c r="J5444" s="6" t="n">
        <x:f>IF(OR(E5444="CANCELED",E5444="SUSPECTED_FRAUD",F5444="Shipping canceled"),0,1)</x:f>
        <x:v>1</x:v>
      </x:c>
      <x:c r="K5444" s="6" t="n">
        <x:f>IF(G5444&gt;H5444,1,0)</x:f>
        <x:v>1</x:v>
      </x:c>
      <x:c r="L5444" s="6" t="n">
        <x:f>J5444*K5444</x:f>
        <x:v>1</x:v>
      </x:c>
    </x:row>
    <x:row r="5445">
      <x:c r="A5445" s="1" t="n">
        <x:v>42751</x:v>
      </x:c>
      <x:c r="B5445" s="5" t="d">
        <x:v>2016-09-16T00:00:00.000Z</x:v>
      </x:c>
      <x:c r="C5445" s="1" t="str">
        <x:v>Standard Class</x:v>
      </x:c>
      <x:c r="D5445" s="1" t="str">
        <x:v>Africa</x:v>
      </x:c>
      <x:c r="E5445" s="1" t="str">
        <x:v>PENDING</x:v>
      </x:c>
      <x:c r="F5445" s="1" t="str">
        <x:v>Advance shipping</x:v>
      </x:c>
      <x:c r="G5445" s="6" t="n">
        <x:v>2</x:v>
      </x:c>
      <x:c r="H5445" s="6" t="n">
        <x:v>4</x:v>
      </x:c>
      <x:c r="I5445" s="6" t="n">
        <x:f>G5445-H5445</x:f>
        <x:v>-2</x:v>
      </x:c>
      <x:c r="J5445" s="6" t="n">
        <x:f>IF(OR(E5445="CANCELED",E5445="SUSPECTED_FRAUD",F5445="Shipping canceled"),0,1)</x:f>
        <x:v>1</x:v>
      </x:c>
      <x:c r="K5445" s="6" t="n">
        <x:f>IF(G5445&gt;H5445,1,0)</x:f>
        <x:v>0</x:v>
      </x:c>
      <x:c r="L5445" s="6" t="n">
        <x:f>J5445*K5445</x:f>
        <x:v>0</x:v>
      </x:c>
    </x:row>
    <x:row r="5446">
      <x:c r="A5446" s="1" t="n">
        <x:v>42771</x:v>
      </x:c>
      <x:c r="B5446" s="5" t="d">
        <x:v>2016-09-16T00:00:00.000Z</x:v>
      </x:c>
      <x:c r="C5446" s="1" t="str">
        <x:v>Second Class</x:v>
      </x:c>
      <x:c r="D5446" s="1" t="str">
        <x:v>Africa</x:v>
      </x:c>
      <x:c r="E5446" s="1" t="str">
        <x:v>COMPLETE</x:v>
      </x:c>
      <x:c r="F5446" s="1" t="str">
        <x:v>Shipping on time</x:v>
      </x:c>
      <x:c r="G5446" s="6" t="n">
        <x:v>2</x:v>
      </x:c>
      <x:c r="H5446" s="6" t="n">
        <x:v>2</x:v>
      </x:c>
      <x:c r="I5446" s="6" t="n">
        <x:f>G5446-H5446</x:f>
        <x:v>0</x:v>
      </x:c>
      <x:c r="J5446" s="6" t="n">
        <x:f>IF(OR(E5446="CANCELED",E5446="SUSPECTED_FRAUD",F5446="Shipping canceled"),0,1)</x:f>
        <x:v>1</x:v>
      </x:c>
      <x:c r="K5446" s="6" t="n">
        <x:f>IF(G5446&gt;H5446,1,0)</x:f>
        <x:v>0</x:v>
      </x:c>
      <x:c r="L5446" s="6" t="n">
        <x:f>J5446*K5446</x:f>
        <x:v>0</x:v>
      </x:c>
    </x:row>
    <x:row r="5447">
      <x:c r="A5447" s="1" t="n">
        <x:v>42772</x:v>
      </x:c>
      <x:c r="B5447" s="5" t="d">
        <x:v>2016-09-16T00:00:00.000Z</x:v>
      </x:c>
      <x:c r="C5447" s="1" t="str">
        <x:v>Standard Class</x:v>
      </x:c>
      <x:c r="D5447" s="1" t="str">
        <x:v>Pacific Asia</x:v>
      </x:c>
      <x:c r="E5447" s="1" t="str">
        <x:v>PROCESSING</x:v>
      </x:c>
      <x:c r="F5447" s="1" t="str">
        <x:v>Advance shipping</x:v>
      </x:c>
      <x:c r="G5447" s="6" t="n">
        <x:v>3</x:v>
      </x:c>
      <x:c r="H5447" s="6" t="n">
        <x:v>4</x:v>
      </x:c>
      <x:c r="I5447" s="6" t="n">
        <x:f>G5447-H5447</x:f>
        <x:v>-1</x:v>
      </x:c>
      <x:c r="J5447" s="6" t="n">
        <x:f>IF(OR(E5447="CANCELED",E5447="SUSPECTED_FRAUD",F5447="Shipping canceled"),0,1)</x:f>
        <x:v>1</x:v>
      </x:c>
      <x:c r="K5447" s="6" t="n">
        <x:f>IF(G5447&gt;H5447,1,0)</x:f>
        <x:v>0</x:v>
      </x:c>
      <x:c r="L5447" s="6" t="n">
        <x:f>J5447*K5447</x:f>
        <x:v>0</x:v>
      </x:c>
    </x:row>
    <x:row r="5448">
      <x:c r="A5448" s="1" t="n">
        <x:v>42777</x:v>
      </x:c>
      <x:c r="B5448" s="5" t="d">
        <x:v>2016-09-16T00:00:00.000Z</x:v>
      </x:c>
      <x:c r="C5448" s="1" t="str">
        <x:v>Standard Class</x:v>
      </x:c>
      <x:c r="D5448" s="1" t="str">
        <x:v>Pacific Asia</x:v>
      </x:c>
      <x:c r="E5448" s="1" t="str">
        <x:v>PENDING</x:v>
      </x:c>
      <x:c r="F5448" s="1" t="str">
        <x:v>Advance shipping</x:v>
      </x:c>
      <x:c r="G5448" s="6" t="n">
        <x:v>3</x:v>
      </x:c>
      <x:c r="H5448" s="6" t="n">
        <x:v>4</x:v>
      </x:c>
      <x:c r="I5448" s="6" t="n">
        <x:f>G5448-H5448</x:f>
        <x:v>-1</x:v>
      </x:c>
      <x:c r="J5448" s="6" t="n">
        <x:f>IF(OR(E5448="CANCELED",E5448="SUSPECTED_FRAUD",F5448="Shipping canceled"),0,1)</x:f>
        <x:v>1</x:v>
      </x:c>
      <x:c r="K5448" s="6" t="n">
        <x:f>IF(G5448&gt;H5448,1,0)</x:f>
        <x:v>0</x:v>
      </x:c>
      <x:c r="L5448" s="6" t="n">
        <x:f>J5448*K5448</x:f>
        <x:v>0</x:v>
      </x:c>
    </x:row>
    <x:row r="5449">
      <x:c r="A5449" s="1" t="n">
        <x:v>42783</x:v>
      </x:c>
      <x:c r="B5449" s="5" t="d">
        <x:v>2016-09-16T00:00:00.000Z</x:v>
      </x:c>
      <x:c r="C5449" s="1" t="str">
        <x:v>Standard Class</x:v>
      </x:c>
      <x:c r="D5449" s="1" t="str">
        <x:v>Europe</x:v>
      </x:c>
      <x:c r="E5449" s="1" t="str">
        <x:v>COMPLETE</x:v>
      </x:c>
      <x:c r="F5449" s="1" t="str">
        <x:v>Shipping on time</x:v>
      </x:c>
      <x:c r="G5449" s="6" t="n">
        <x:v>4</x:v>
      </x:c>
      <x:c r="H5449" s="6" t="n">
        <x:v>4</x:v>
      </x:c>
      <x:c r="I5449" s="6" t="n">
        <x:f>G5449-H5449</x:f>
        <x:v>0</x:v>
      </x:c>
      <x:c r="J5449" s="6" t="n">
        <x:f>IF(OR(E5449="CANCELED",E5449="SUSPECTED_FRAUD",F5449="Shipping canceled"),0,1)</x:f>
        <x:v>1</x:v>
      </x:c>
      <x:c r="K5449" s="6" t="n">
        <x:f>IF(G5449&gt;H5449,1,0)</x:f>
        <x:v>0</x:v>
      </x:c>
      <x:c r="L5449" s="6" t="n">
        <x:f>J5449*K5449</x:f>
        <x:v>0</x:v>
      </x:c>
    </x:row>
    <x:row r="5450">
      <x:c r="A5450" s="1" t="n">
        <x:v>42789</x:v>
      </x:c>
      <x:c r="B5450" s="5" t="d">
        <x:v>2016-09-16T00:00:00.000Z</x:v>
      </x:c>
      <x:c r="C5450" s="1" t="str">
        <x:v>Second Class</x:v>
      </x:c>
      <x:c r="D5450" s="1" t="str">
        <x:v>Africa</x:v>
      </x:c>
      <x:c r="E5450" s="1" t="str">
        <x:v>CLOSED</x:v>
      </x:c>
      <x:c r="F5450" s="1" t="str">
        <x:v>Late delivery</x:v>
      </x:c>
      <x:c r="G5450" s="6" t="n">
        <x:v>5</x:v>
      </x:c>
      <x:c r="H5450" s="6" t="n">
        <x:v>2</x:v>
      </x:c>
      <x:c r="I5450" s="6" t="n">
        <x:f>G5450-H5450</x:f>
        <x:v>3</x:v>
      </x:c>
      <x:c r="J5450" s="6" t="n">
        <x:f>IF(OR(E5450="CANCELED",E5450="SUSPECTED_FRAUD",F5450="Shipping canceled"),0,1)</x:f>
        <x:v>1</x:v>
      </x:c>
      <x:c r="K5450" s="6" t="n">
        <x:f>IF(G5450&gt;H5450,1,0)</x:f>
        <x:v>1</x:v>
      </x:c>
      <x:c r="L5450" s="6" t="n">
        <x:f>J5450*K5450</x:f>
        <x:v>1</x:v>
      </x:c>
    </x:row>
    <x:row r="5451">
      <x:c r="A5451" s="1" t="n">
        <x:v>42793</x:v>
      </x:c>
      <x:c r="B5451" s="5" t="d">
        <x:v>2016-09-16T00:00:00.000Z</x:v>
      </x:c>
      <x:c r="C5451" s="1" t="str">
        <x:v>Standard Class</x:v>
      </x:c>
      <x:c r="D5451" s="1" t="str">
        <x:v>Pacific Asia</x:v>
      </x:c>
      <x:c r="E5451" s="1" t="str">
        <x:v>PENDING_PAYMENT</x:v>
      </x:c>
      <x:c r="F5451" s="1" t="str">
        <x:v>Shipping on time</x:v>
      </x:c>
      <x:c r="G5451" s="6" t="n">
        <x:v>4</x:v>
      </x:c>
      <x:c r="H5451" s="6" t="n">
        <x:v>4</x:v>
      </x:c>
      <x:c r="I5451" s="6" t="n">
        <x:f>G5451-H5451</x:f>
        <x:v>0</x:v>
      </x:c>
      <x:c r="J5451" s="6" t="n">
        <x:f>IF(OR(E5451="CANCELED",E5451="SUSPECTED_FRAUD",F5451="Shipping canceled"),0,1)</x:f>
        <x:v>1</x:v>
      </x:c>
      <x:c r="K5451" s="6" t="n">
        <x:f>IF(G5451&gt;H5451,1,0)</x:f>
        <x:v>0</x:v>
      </x:c>
      <x:c r="L5451" s="6" t="n">
        <x:f>J5451*K5451</x:f>
        <x:v>0</x:v>
      </x:c>
    </x:row>
    <x:row r="5452">
      <x:c r="A5452" s="1" t="n">
        <x:v>42796</x:v>
      </x:c>
      <x:c r="B5452" s="5" t="d">
        <x:v>2016-09-16T00:00:00.000Z</x:v>
      </x:c>
      <x:c r="C5452" s="1" t="str">
        <x:v>Second Class</x:v>
      </x:c>
      <x:c r="D5452" s="1" t="str">
        <x:v>Africa</x:v>
      </x:c>
      <x:c r="E5452" s="1" t="str">
        <x:v>COMPLETE</x:v>
      </x:c>
      <x:c r="F5452" s="1" t="str">
        <x:v>Shipping on time</x:v>
      </x:c>
      <x:c r="G5452" s="6" t="n">
        <x:v>2</x:v>
      </x:c>
      <x:c r="H5452" s="6" t="n">
        <x:v>2</x:v>
      </x:c>
      <x:c r="I5452" s="6" t="n">
        <x:f>G5452-H5452</x:f>
        <x:v>0</x:v>
      </x:c>
      <x:c r="J5452" s="6" t="n">
        <x:f>IF(OR(E5452="CANCELED",E5452="SUSPECTED_FRAUD",F5452="Shipping canceled"),0,1)</x:f>
        <x:v>1</x:v>
      </x:c>
      <x:c r="K5452" s="6" t="n">
        <x:f>IF(G5452&gt;H5452,1,0)</x:f>
        <x:v>0</x:v>
      </x:c>
      <x:c r="L5452" s="6" t="n">
        <x:f>J5452*K5452</x:f>
        <x:v>0</x:v>
      </x:c>
    </x:row>
    <x:row r="5453">
      <x:c r="A5453" s="1" t="n">
        <x:v>42819</x:v>
      </x:c>
      <x:c r="B5453" s="5" t="d">
        <x:v>2016-09-17T00:00:00.000Z</x:v>
      </x:c>
      <x:c r="C5453" s="1" t="str">
        <x:v>Standard Class</x:v>
      </x:c>
      <x:c r="D5453" s="1" t="str">
        <x:v>Africa</x:v>
      </x:c>
      <x:c r="E5453" s="1" t="str">
        <x:v>COMPLETE</x:v>
      </x:c>
      <x:c r="F5453" s="1" t="str">
        <x:v>Late delivery</x:v>
      </x:c>
      <x:c r="G5453" s="6" t="n">
        <x:v>5</x:v>
      </x:c>
      <x:c r="H5453" s="6" t="n">
        <x:v>4</x:v>
      </x:c>
      <x:c r="I5453" s="6" t="n">
        <x:f>G5453-H5453</x:f>
        <x:v>1</x:v>
      </x:c>
      <x:c r="J5453" s="6" t="n">
        <x:f>IF(OR(E5453="CANCELED",E5453="SUSPECTED_FRAUD",F5453="Shipping canceled"),0,1)</x:f>
        <x:v>1</x:v>
      </x:c>
      <x:c r="K5453" s="6" t="n">
        <x:f>IF(G5453&gt;H5453,1,0)</x:f>
        <x:v>1</x:v>
      </x:c>
      <x:c r="L5453" s="6" t="n">
        <x:f>J5453*K5453</x:f>
        <x:v>1</x:v>
      </x:c>
    </x:row>
    <x:row r="5454">
      <x:c r="A5454" s="1" t="n">
        <x:v>42821</x:v>
      </x:c>
      <x:c r="B5454" s="5" t="d">
        <x:v>2016-09-17T00:00:00.000Z</x:v>
      </x:c>
      <x:c r="C5454" s="1" t="str">
        <x:v>Standard Class</x:v>
      </x:c>
      <x:c r="D5454" s="1" t="str">
        <x:v>Europe</x:v>
      </x:c>
      <x:c r="E5454" s="1" t="str">
        <x:v>PENDING_PAYMENT</x:v>
      </x:c>
      <x:c r="F5454" s="1" t="str">
        <x:v>Advance shipping</x:v>
      </x:c>
      <x:c r="G5454" s="6" t="n">
        <x:v>2</x:v>
      </x:c>
      <x:c r="H5454" s="6" t="n">
        <x:v>4</x:v>
      </x:c>
      <x:c r="I5454" s="6" t="n">
        <x:f>G5454-H5454</x:f>
        <x:v>-2</x:v>
      </x:c>
      <x:c r="J5454" s="6" t="n">
        <x:f>IF(OR(E5454="CANCELED",E5454="SUSPECTED_FRAUD",F5454="Shipping canceled"),0,1)</x:f>
        <x:v>1</x:v>
      </x:c>
      <x:c r="K5454" s="6" t="n">
        <x:f>IF(G5454&gt;H5454,1,0)</x:f>
        <x:v>0</x:v>
      </x:c>
      <x:c r="L5454" s="6" t="n">
        <x:f>J5454*K5454</x:f>
        <x:v>0</x:v>
      </x:c>
    </x:row>
    <x:row r="5455">
      <x:c r="A5455" s="1" t="n">
        <x:v>42825</x:v>
      </x:c>
      <x:c r="B5455" s="5" t="d">
        <x:v>2016-09-17T00:00:00.000Z</x:v>
      </x:c>
      <x:c r="C5455" s="1" t="str">
        <x:v>Standard Class</x:v>
      </x:c>
      <x:c r="D5455" s="1" t="str">
        <x:v>Europe</x:v>
      </x:c>
      <x:c r="E5455" s="1" t="str">
        <x:v>PENDING_PAYMENT</x:v>
      </x:c>
      <x:c r="F5455" s="1" t="str">
        <x:v>Late delivery</x:v>
      </x:c>
      <x:c r="G5455" s="6" t="n">
        <x:v>6</x:v>
      </x:c>
      <x:c r="H5455" s="6" t="n">
        <x:v>4</x:v>
      </x:c>
      <x:c r="I5455" s="6" t="n">
        <x:f>G5455-H5455</x:f>
        <x:v>2</x:v>
      </x:c>
      <x:c r="J5455" s="6" t="n">
        <x:f>IF(OR(E5455="CANCELED",E5455="SUSPECTED_FRAUD",F5455="Shipping canceled"),0,1)</x:f>
        <x:v>1</x:v>
      </x:c>
      <x:c r="K5455" s="6" t="n">
        <x:f>IF(G5455&gt;H5455,1,0)</x:f>
        <x:v>1</x:v>
      </x:c>
      <x:c r="L5455" s="6" t="n">
        <x:f>J5455*K5455</x:f>
        <x:v>1</x:v>
      </x:c>
    </x:row>
    <x:row r="5456">
      <x:c r="A5456" s="1" t="n">
        <x:v>42828</x:v>
      </x:c>
      <x:c r="B5456" s="5" t="d">
        <x:v>2016-09-17T00:00:00.000Z</x:v>
      </x:c>
      <x:c r="C5456" s="1" t="str">
        <x:v>Standard Class</x:v>
      </x:c>
      <x:c r="D5456" s="1" t="str">
        <x:v>Pacific Asia</x:v>
      </x:c>
      <x:c r="E5456" s="1" t="str">
        <x:v>COMPLETE</x:v>
      </x:c>
      <x:c r="F5456" s="1" t="str">
        <x:v>Shipping on time</x:v>
      </x:c>
      <x:c r="G5456" s="6" t="n">
        <x:v>4</x:v>
      </x:c>
      <x:c r="H5456" s="6" t="n">
        <x:v>4</x:v>
      </x:c>
      <x:c r="I5456" s="6" t="n">
        <x:f>G5456-H5456</x:f>
        <x:v>0</x:v>
      </x:c>
      <x:c r="J5456" s="6" t="n">
        <x:f>IF(OR(E5456="CANCELED",E5456="SUSPECTED_FRAUD",F5456="Shipping canceled"),0,1)</x:f>
        <x:v>1</x:v>
      </x:c>
      <x:c r="K5456" s="6" t="n">
        <x:f>IF(G5456&gt;H5456,1,0)</x:f>
        <x:v>0</x:v>
      </x:c>
      <x:c r="L5456" s="6" t="n">
        <x:f>J5456*K5456</x:f>
        <x:v>0</x:v>
      </x:c>
    </x:row>
    <x:row r="5457">
      <x:c r="A5457" s="1" t="n">
        <x:v>42844</x:v>
      </x:c>
      <x:c r="B5457" s="5" t="d">
        <x:v>2016-09-17T00:00:00.000Z</x:v>
      </x:c>
      <x:c r="C5457" s="1" t="str">
        <x:v>Standard Class</x:v>
      </x:c>
      <x:c r="D5457" s="1" t="str">
        <x:v>Pacific Asia</x:v>
      </x:c>
      <x:c r="E5457" s="1" t="str">
        <x:v>COMPLETE</x:v>
      </x:c>
      <x:c r="F5457" s="1" t="str">
        <x:v>Late delivery</x:v>
      </x:c>
      <x:c r="G5457" s="6" t="n">
        <x:v>5</x:v>
      </x:c>
      <x:c r="H5457" s="6" t="n">
        <x:v>4</x:v>
      </x:c>
      <x:c r="I5457" s="6" t="n">
        <x:f>G5457-H5457</x:f>
        <x:v>1</x:v>
      </x:c>
      <x:c r="J5457" s="6" t="n">
        <x:f>IF(OR(E5457="CANCELED",E5457="SUSPECTED_FRAUD",F5457="Shipping canceled"),0,1)</x:f>
        <x:v>1</x:v>
      </x:c>
      <x:c r="K5457" s="6" t="n">
        <x:f>IF(G5457&gt;H5457,1,0)</x:f>
        <x:v>1</x:v>
      </x:c>
      <x:c r="L5457" s="6" t="n">
        <x:f>J5457*K5457</x:f>
        <x:v>1</x:v>
      </x:c>
    </x:row>
    <x:row r="5458">
      <x:c r="A5458" s="1" t="n">
        <x:v>42845</x:v>
      </x:c>
      <x:c r="B5458" s="5" t="d">
        <x:v>2016-09-17T00:00:00.000Z</x:v>
      </x:c>
      <x:c r="C5458" s="1" t="str">
        <x:v>Standard Class</x:v>
      </x:c>
      <x:c r="D5458" s="1" t="str">
        <x:v>Europe</x:v>
      </x:c>
      <x:c r="E5458" s="1" t="str">
        <x:v>COMPLETE</x:v>
      </x:c>
      <x:c r="F5458" s="1" t="str">
        <x:v>Late delivery</x:v>
      </x:c>
      <x:c r="G5458" s="6" t="n">
        <x:v>6</x:v>
      </x:c>
      <x:c r="H5458" s="6" t="n">
        <x:v>4</x:v>
      </x:c>
      <x:c r="I5458" s="6" t="n">
        <x:f>G5458-H5458</x:f>
        <x:v>2</x:v>
      </x:c>
      <x:c r="J5458" s="6" t="n">
        <x:f>IF(OR(E5458="CANCELED",E5458="SUSPECTED_FRAUD",F5458="Shipping canceled"),0,1)</x:f>
        <x:v>1</x:v>
      </x:c>
      <x:c r="K5458" s="6" t="n">
        <x:f>IF(G5458&gt;H5458,1,0)</x:f>
        <x:v>1</x:v>
      </x:c>
      <x:c r="L5458" s="6" t="n">
        <x:f>J5458*K5458</x:f>
        <x:v>1</x:v>
      </x:c>
    </x:row>
    <x:row r="5459">
      <x:c r="A5459" s="1" t="n">
        <x:v>42859</x:v>
      </x:c>
      <x:c r="B5459" s="5" t="d">
        <x:v>2016-09-17T00:00:00.000Z</x:v>
      </x:c>
      <x:c r="C5459" s="1" t="str">
        <x:v>Standard Class</x:v>
      </x:c>
      <x:c r="D5459" s="1" t="str">
        <x:v>Africa</x:v>
      </x:c>
      <x:c r="E5459" s="1" t="str">
        <x:v>PENDING_PAYMENT</x:v>
      </x:c>
      <x:c r="F5459" s="1" t="str">
        <x:v>Late delivery</x:v>
      </x:c>
      <x:c r="G5459" s="6" t="n">
        <x:v>5</x:v>
      </x:c>
      <x:c r="H5459" s="6" t="n">
        <x:v>4</x:v>
      </x:c>
      <x:c r="I5459" s="6" t="n">
        <x:f>G5459-H5459</x:f>
        <x:v>1</x:v>
      </x:c>
      <x:c r="J5459" s="6" t="n">
        <x:f>IF(OR(E5459="CANCELED",E5459="SUSPECTED_FRAUD",F5459="Shipping canceled"),0,1)</x:f>
        <x:v>1</x:v>
      </x:c>
      <x:c r="K5459" s="6" t="n">
        <x:f>IF(G5459&gt;H5459,1,0)</x:f>
        <x:v>1</x:v>
      </x:c>
      <x:c r="L5459" s="6" t="n">
        <x:f>J5459*K5459</x:f>
        <x:v>1</x:v>
      </x:c>
    </x:row>
    <x:row r="5460">
      <x:c r="A5460" s="1" t="n">
        <x:v>42863</x:v>
      </x:c>
      <x:c r="B5460" s="5" t="d">
        <x:v>2016-09-17T00:00:00.000Z</x:v>
      </x:c>
      <x:c r="C5460" s="1" t="str">
        <x:v>Standard Class</x:v>
      </x:c>
      <x:c r="D5460" s="1" t="str">
        <x:v>Europe</x:v>
      </x:c>
      <x:c r="E5460" s="1" t="str">
        <x:v>PROCESSING</x:v>
      </x:c>
      <x:c r="F5460" s="1" t="str">
        <x:v>Shipping on time</x:v>
      </x:c>
      <x:c r="G5460" s="6" t="n">
        <x:v>4</x:v>
      </x:c>
      <x:c r="H5460" s="6" t="n">
        <x:v>4</x:v>
      </x:c>
      <x:c r="I5460" s="6" t="n">
        <x:f>G5460-H5460</x:f>
        <x:v>0</x:v>
      </x:c>
      <x:c r="J5460" s="6" t="n">
        <x:f>IF(OR(E5460="CANCELED",E5460="SUSPECTED_FRAUD",F5460="Shipping canceled"),0,1)</x:f>
        <x:v>1</x:v>
      </x:c>
      <x:c r="K5460" s="6" t="n">
        <x:f>IF(G5460&gt;H5460,1,0)</x:f>
        <x:v>0</x:v>
      </x:c>
      <x:c r="L5460" s="6" t="n">
        <x:f>J5460*K5460</x:f>
        <x:v>0</x:v>
      </x:c>
    </x:row>
    <x:row r="5461">
      <x:c r="A5461" s="1" t="n">
        <x:v>42865</x:v>
      </x:c>
      <x:c r="B5461" s="5" t="d">
        <x:v>2016-09-17T00:00:00.000Z</x:v>
      </x:c>
      <x:c r="C5461" s="1" t="str">
        <x:v>Standard Class</x:v>
      </x:c>
      <x:c r="D5461" s="1" t="str">
        <x:v>Pacific Asia</x:v>
      </x:c>
      <x:c r="E5461" s="1" t="str">
        <x:v>COMPLETE</x:v>
      </x:c>
      <x:c r="F5461" s="1" t="str">
        <x:v>Late delivery</x:v>
      </x:c>
      <x:c r="G5461" s="6" t="n">
        <x:v>6</x:v>
      </x:c>
      <x:c r="H5461" s="6" t="n">
        <x:v>4</x:v>
      </x:c>
      <x:c r="I5461" s="6" t="n">
        <x:f>G5461-H5461</x:f>
        <x:v>2</x:v>
      </x:c>
      <x:c r="J5461" s="6" t="n">
        <x:f>IF(OR(E5461="CANCELED",E5461="SUSPECTED_FRAUD",F5461="Shipping canceled"),0,1)</x:f>
        <x:v>1</x:v>
      </x:c>
      <x:c r="K5461" s="6" t="n">
        <x:f>IF(G5461&gt;H5461,1,0)</x:f>
        <x:v>1</x:v>
      </x:c>
      <x:c r="L5461" s="6" t="n">
        <x:f>J5461*K5461</x:f>
        <x:v>1</x:v>
      </x:c>
    </x:row>
    <x:row r="5462">
      <x:c r="A5462" s="1" t="n">
        <x:v>42882</x:v>
      </x:c>
      <x:c r="B5462" s="5" t="d">
        <x:v>2016-09-17T00:00:00.000Z</x:v>
      </x:c>
      <x:c r="C5462" s="1" t="str">
        <x:v>Standard Class</x:v>
      </x:c>
      <x:c r="D5462" s="1" t="str">
        <x:v>Africa</x:v>
      </x:c>
      <x:c r="E5462" s="1" t="str">
        <x:v>PROCESSING</x:v>
      </x:c>
      <x:c r="F5462" s="1" t="str">
        <x:v>Advance shipping</x:v>
      </x:c>
      <x:c r="G5462" s="6" t="n">
        <x:v>3</x:v>
      </x:c>
      <x:c r="H5462" s="6" t="n">
        <x:v>4</x:v>
      </x:c>
      <x:c r="I5462" s="6" t="n">
        <x:f>G5462-H5462</x:f>
        <x:v>-1</x:v>
      </x:c>
      <x:c r="J5462" s="6" t="n">
        <x:f>IF(OR(E5462="CANCELED",E5462="SUSPECTED_FRAUD",F5462="Shipping canceled"),0,1)</x:f>
        <x:v>1</x:v>
      </x:c>
      <x:c r="K5462" s="6" t="n">
        <x:f>IF(G5462&gt;H5462,1,0)</x:f>
        <x:v>0</x:v>
      </x:c>
      <x:c r="L5462" s="6" t="n">
        <x:f>J5462*K5462</x:f>
        <x:v>0</x:v>
      </x:c>
    </x:row>
    <x:row r="5463">
      <x:c r="A5463" s="1" t="n">
        <x:v>42885</x:v>
      </x:c>
      <x:c r="B5463" s="5" t="d">
        <x:v>2016-09-18T00:00:00.000Z</x:v>
      </x:c>
      <x:c r="C5463" s="1" t="str">
        <x:v>Standard Class</x:v>
      </x:c>
      <x:c r="D5463" s="1" t="str">
        <x:v>Africa</x:v>
      </x:c>
      <x:c r="E5463" s="1" t="str">
        <x:v>PROCESSING</x:v>
      </x:c>
      <x:c r="F5463" s="1" t="str">
        <x:v>Late delivery</x:v>
      </x:c>
      <x:c r="G5463" s="6" t="n">
        <x:v>6</x:v>
      </x:c>
      <x:c r="H5463" s="6" t="n">
        <x:v>4</x:v>
      </x:c>
      <x:c r="I5463" s="6" t="n">
        <x:f>G5463-H5463</x:f>
        <x:v>2</x:v>
      </x:c>
      <x:c r="J5463" s="6" t="n">
        <x:f>IF(OR(E5463="CANCELED",E5463="SUSPECTED_FRAUD",F5463="Shipping canceled"),0,1)</x:f>
        <x:v>1</x:v>
      </x:c>
      <x:c r="K5463" s="6" t="n">
        <x:f>IF(G5463&gt;H5463,1,0)</x:f>
        <x:v>1</x:v>
      </x:c>
      <x:c r="L5463" s="6" t="n">
        <x:f>J5463*K5463</x:f>
        <x:v>1</x:v>
      </x:c>
    </x:row>
    <x:row r="5464">
      <x:c r="A5464" s="1" t="n">
        <x:v>42886</x:v>
      </x:c>
      <x:c r="B5464" s="5" t="d">
        <x:v>2016-09-18T00:00:00.000Z</x:v>
      </x:c>
      <x:c r="C5464" s="1" t="str">
        <x:v>Standard Class</x:v>
      </x:c>
      <x:c r="D5464" s="1" t="str">
        <x:v>Africa</x:v>
      </x:c>
      <x:c r="E5464" s="1" t="str">
        <x:v>COMPLETE</x:v>
      </x:c>
      <x:c r="F5464" s="1" t="str">
        <x:v>Advance shipping</x:v>
      </x:c>
      <x:c r="G5464" s="6" t="n">
        <x:v>2</x:v>
      </x:c>
      <x:c r="H5464" s="6" t="n">
        <x:v>4</x:v>
      </x:c>
      <x:c r="I5464" s="6" t="n">
        <x:f>G5464-H5464</x:f>
        <x:v>-2</x:v>
      </x:c>
      <x:c r="J5464" s="6" t="n">
        <x:f>IF(OR(E5464="CANCELED",E5464="SUSPECTED_FRAUD",F5464="Shipping canceled"),0,1)</x:f>
        <x:v>1</x:v>
      </x:c>
      <x:c r="K5464" s="6" t="n">
        <x:f>IF(G5464&gt;H5464,1,0)</x:f>
        <x:v>0</x:v>
      </x:c>
      <x:c r="L5464" s="6" t="n">
        <x:f>J5464*K5464</x:f>
        <x:v>0</x:v>
      </x:c>
    </x:row>
    <x:row r="5465">
      <x:c r="A5465" s="1" t="n">
        <x:v>42889</x:v>
      </x:c>
      <x:c r="B5465" s="5" t="d">
        <x:v>2016-09-18T00:00:00.000Z</x:v>
      </x:c>
      <x:c r="C5465" s="1" t="str">
        <x:v>Second Class</x:v>
      </x:c>
      <x:c r="D5465" s="1" t="str">
        <x:v>Pacific Asia</x:v>
      </x:c>
      <x:c r="E5465" s="1" t="str">
        <x:v>COMPLETE</x:v>
      </x:c>
      <x:c r="F5465" s="1" t="str">
        <x:v>Late delivery</x:v>
      </x:c>
      <x:c r="G5465" s="6" t="n">
        <x:v>5</x:v>
      </x:c>
      <x:c r="H5465" s="6" t="n">
        <x:v>2</x:v>
      </x:c>
      <x:c r="I5465" s="6" t="n">
        <x:f>G5465-H5465</x:f>
        <x:v>3</x:v>
      </x:c>
      <x:c r="J5465" s="6" t="n">
        <x:f>IF(OR(E5465="CANCELED",E5465="SUSPECTED_FRAUD",F5465="Shipping canceled"),0,1)</x:f>
        <x:v>1</x:v>
      </x:c>
      <x:c r="K5465" s="6" t="n">
        <x:f>IF(G5465&gt;H5465,1,0)</x:f>
        <x:v>1</x:v>
      </x:c>
      <x:c r="L5465" s="6" t="n">
        <x:f>J5465*K5465</x:f>
        <x:v>1</x:v>
      </x:c>
    </x:row>
    <x:row r="5466">
      <x:c r="A5466" s="1" t="n">
        <x:v>42905</x:v>
      </x:c>
      <x:c r="B5466" s="5" t="d">
        <x:v>2016-09-18T00:00:00.000Z</x:v>
      </x:c>
      <x:c r="C5466" s="1" t="str">
        <x:v>Second Class</x:v>
      </x:c>
      <x:c r="D5466" s="1" t="str">
        <x:v>Africa</x:v>
      </x:c>
      <x:c r="E5466" s="1" t="str">
        <x:v>COMPLETE</x:v>
      </x:c>
      <x:c r="F5466" s="1" t="str">
        <x:v>Late delivery</x:v>
      </x:c>
      <x:c r="G5466" s="6" t="n">
        <x:v>6</x:v>
      </x:c>
      <x:c r="H5466" s="6" t="n">
        <x:v>2</x:v>
      </x:c>
      <x:c r="I5466" s="6" t="n">
        <x:f>G5466-H5466</x:f>
        <x:v>4</x:v>
      </x:c>
      <x:c r="J5466" s="6" t="n">
        <x:f>IF(OR(E5466="CANCELED",E5466="SUSPECTED_FRAUD",F5466="Shipping canceled"),0,1)</x:f>
        <x:v>1</x:v>
      </x:c>
      <x:c r="K5466" s="6" t="n">
        <x:f>IF(G5466&gt;H5466,1,0)</x:f>
        <x:v>1</x:v>
      </x:c>
      <x:c r="L5466" s="6" t="n">
        <x:f>J5466*K5466</x:f>
        <x:v>1</x:v>
      </x:c>
    </x:row>
    <x:row r="5467">
      <x:c r="A5467" s="1" t="n">
        <x:v>42912</x:v>
      </x:c>
      <x:c r="B5467" s="5" t="d">
        <x:v>2016-09-18T00:00:00.000Z</x:v>
      </x:c>
      <x:c r="C5467" s="1" t="str">
        <x:v>Second Class</x:v>
      </x:c>
      <x:c r="D5467" s="1" t="str">
        <x:v>Africa</x:v>
      </x:c>
      <x:c r="E5467" s="1" t="str">
        <x:v>COMPLETE</x:v>
      </x:c>
      <x:c r="F5467" s="1" t="str">
        <x:v>Late delivery</x:v>
      </x:c>
      <x:c r="G5467" s="6" t="n">
        <x:v>3</x:v>
      </x:c>
      <x:c r="H5467" s="6" t="n">
        <x:v>2</x:v>
      </x:c>
      <x:c r="I5467" s="6" t="n">
        <x:f>G5467-H5467</x:f>
        <x:v>1</x:v>
      </x:c>
      <x:c r="J5467" s="6" t="n">
        <x:f>IF(OR(E5467="CANCELED",E5467="SUSPECTED_FRAUD",F5467="Shipping canceled"),0,1)</x:f>
        <x:v>1</x:v>
      </x:c>
      <x:c r="K5467" s="6" t="n">
        <x:f>IF(G5467&gt;H5467,1,0)</x:f>
        <x:v>1</x:v>
      </x:c>
      <x:c r="L5467" s="6" t="n">
        <x:f>J5467*K5467</x:f>
        <x:v>1</x:v>
      </x:c>
    </x:row>
    <x:row r="5468">
      <x:c r="A5468" s="1" t="n">
        <x:v>42920</x:v>
      </x:c>
      <x:c r="B5468" s="5" t="d">
        <x:v>2016-09-18T00:00:00.000Z</x:v>
      </x:c>
      <x:c r="C5468" s="1" t="str">
        <x:v>Standard Class</x:v>
      </x:c>
      <x:c r="D5468" s="1" t="str">
        <x:v>Africa</x:v>
      </x:c>
      <x:c r="E5468" s="1" t="str">
        <x:v>PENDING_PAYMENT</x:v>
      </x:c>
      <x:c r="F5468" s="1" t="str">
        <x:v>Late delivery</x:v>
      </x:c>
      <x:c r="G5468" s="6" t="n">
        <x:v>6</x:v>
      </x:c>
      <x:c r="H5468" s="6" t="n">
        <x:v>4</x:v>
      </x:c>
      <x:c r="I5468" s="6" t="n">
        <x:f>G5468-H5468</x:f>
        <x:v>2</x:v>
      </x:c>
      <x:c r="J5468" s="6" t="n">
        <x:f>IF(OR(E5468="CANCELED",E5468="SUSPECTED_FRAUD",F5468="Shipping canceled"),0,1)</x:f>
        <x:v>1</x:v>
      </x:c>
      <x:c r="K5468" s="6" t="n">
        <x:f>IF(G5468&gt;H5468,1,0)</x:f>
        <x:v>1</x:v>
      </x:c>
      <x:c r="L5468" s="6" t="n">
        <x:f>J5468*K5468</x:f>
        <x:v>1</x:v>
      </x:c>
    </x:row>
    <x:row r="5469">
      <x:c r="A5469" s="1" t="n">
        <x:v>42923</x:v>
      </x:c>
      <x:c r="B5469" s="5" t="d">
        <x:v>2016-09-18T00:00:00.000Z</x:v>
      </x:c>
      <x:c r="C5469" s="1" t="str">
        <x:v>Standard Class</x:v>
      </x:c>
      <x:c r="D5469" s="1" t="str">
        <x:v>Africa</x:v>
      </x:c>
      <x:c r="E5469" s="1" t="str">
        <x:v>PROCESSING</x:v>
      </x:c>
      <x:c r="F5469" s="1" t="str">
        <x:v>Shipping on time</x:v>
      </x:c>
      <x:c r="G5469" s="6" t="n">
        <x:v>4</x:v>
      </x:c>
      <x:c r="H5469" s="6" t="n">
        <x:v>4</x:v>
      </x:c>
      <x:c r="I5469" s="6" t="n">
        <x:f>G5469-H5469</x:f>
        <x:v>0</x:v>
      </x:c>
      <x:c r="J5469" s="6" t="n">
        <x:f>IF(OR(E5469="CANCELED",E5469="SUSPECTED_FRAUD",F5469="Shipping canceled"),0,1)</x:f>
        <x:v>1</x:v>
      </x:c>
      <x:c r="K5469" s="6" t="n">
        <x:f>IF(G5469&gt;H5469,1,0)</x:f>
        <x:v>0</x:v>
      </x:c>
      <x:c r="L5469" s="6" t="n">
        <x:f>J5469*K5469</x:f>
        <x:v>0</x:v>
      </x:c>
    </x:row>
    <x:row r="5470">
      <x:c r="A5470" s="1" t="n">
        <x:v>42925</x:v>
      </x:c>
      <x:c r="B5470" s="5" t="d">
        <x:v>2016-09-18T00:00:00.000Z</x:v>
      </x:c>
      <x:c r="C5470" s="1" t="str">
        <x:v>Second Class</x:v>
      </x:c>
      <x:c r="D5470" s="1" t="str">
        <x:v>Pacific Asia</x:v>
      </x:c>
      <x:c r="E5470" s="1" t="str">
        <x:v>COMPLETE</x:v>
      </x:c>
      <x:c r="F5470" s="1" t="str">
        <x:v>Late delivery</x:v>
      </x:c>
      <x:c r="G5470" s="6" t="n">
        <x:v>6</x:v>
      </x:c>
      <x:c r="H5470" s="6" t="n">
        <x:v>2</x:v>
      </x:c>
      <x:c r="I5470" s="6" t="n">
        <x:f>G5470-H5470</x:f>
        <x:v>4</x:v>
      </x:c>
      <x:c r="J5470" s="6" t="n">
        <x:f>IF(OR(E5470="CANCELED",E5470="SUSPECTED_FRAUD",F5470="Shipping canceled"),0,1)</x:f>
        <x:v>1</x:v>
      </x:c>
      <x:c r="K5470" s="6" t="n">
        <x:f>IF(G5470&gt;H5470,1,0)</x:f>
        <x:v>1</x:v>
      </x:c>
      <x:c r="L5470" s="6" t="n">
        <x:f>J5470*K5470</x:f>
        <x:v>1</x:v>
      </x:c>
    </x:row>
    <x:row r="5471">
      <x:c r="A5471" s="1" t="n">
        <x:v>42926</x:v>
      </x:c>
      <x:c r="B5471" s="5" t="d">
        <x:v>2016-09-18T00:00:00.000Z</x:v>
      </x:c>
      <x:c r="C5471" s="1" t="str">
        <x:v>Second Class</x:v>
      </x:c>
      <x:c r="D5471" s="1" t="str">
        <x:v>Africa</x:v>
      </x:c>
      <x:c r="E5471" s="1" t="str">
        <x:v>COMPLETE</x:v>
      </x:c>
      <x:c r="F5471" s="1" t="str">
        <x:v>Shipping on time</x:v>
      </x:c>
      <x:c r="G5471" s="6" t="n">
        <x:v>2</x:v>
      </x:c>
      <x:c r="H5471" s="6" t="n">
        <x:v>2</x:v>
      </x:c>
      <x:c r="I5471" s="6" t="n">
        <x:f>G5471-H5471</x:f>
        <x:v>0</x:v>
      </x:c>
      <x:c r="J5471" s="6" t="n">
        <x:f>IF(OR(E5471="CANCELED",E5471="SUSPECTED_FRAUD",F5471="Shipping canceled"),0,1)</x:f>
        <x:v>1</x:v>
      </x:c>
      <x:c r="K5471" s="6" t="n">
        <x:f>IF(G5471&gt;H5471,1,0)</x:f>
        <x:v>0</x:v>
      </x:c>
      <x:c r="L5471" s="6" t="n">
        <x:f>J5471*K5471</x:f>
        <x:v>0</x:v>
      </x:c>
    </x:row>
    <x:row r="5472">
      <x:c r="A5472" s="1" t="n">
        <x:v>42930</x:v>
      </x:c>
      <x:c r="B5472" s="5" t="d">
        <x:v>2016-09-18T00:00:00.000Z</x:v>
      </x:c>
      <x:c r="C5472" s="1" t="str">
        <x:v>First Class</x:v>
      </x:c>
      <x:c r="D5472" s="1" t="str">
        <x:v>Africa</x:v>
      </x:c>
      <x:c r="E5472" s="1" t="str">
        <x:v>CLOSED</x:v>
      </x:c>
      <x:c r="F5472" s="1" t="str">
        <x:v>Late delivery</x:v>
      </x:c>
      <x:c r="G5472" s="6" t="n">
        <x:v>2</x:v>
      </x:c>
      <x:c r="H5472" s="6" t="n">
        <x:v>1</x:v>
      </x:c>
      <x:c r="I5472" s="6" t="n">
        <x:f>G5472-H5472</x:f>
        <x:v>1</x:v>
      </x:c>
      <x:c r="J5472" s="6" t="n">
        <x:f>IF(OR(E5472="CANCELED",E5472="SUSPECTED_FRAUD",F5472="Shipping canceled"),0,1)</x:f>
        <x:v>1</x:v>
      </x:c>
      <x:c r="K5472" s="6" t="n">
        <x:f>IF(G5472&gt;H5472,1,0)</x:f>
        <x:v>1</x:v>
      </x:c>
      <x:c r="L5472" s="6" t="n">
        <x:f>J5472*K5472</x:f>
        <x:v>1</x:v>
      </x:c>
    </x:row>
    <x:row r="5473">
      <x:c r="A5473" s="1" t="n">
        <x:v>42949</x:v>
      </x:c>
      <x:c r="B5473" s="5" t="d">
        <x:v>2016-09-18T00:00:00.000Z</x:v>
      </x:c>
      <x:c r="C5473" s="1" t="str">
        <x:v>Standard Class</x:v>
      </x:c>
      <x:c r="D5473" s="1" t="str">
        <x:v>Africa</x:v>
      </x:c>
      <x:c r="E5473" s="1" t="str">
        <x:v>ON_HOLD</x:v>
      </x:c>
      <x:c r="F5473" s="1" t="str">
        <x:v>Late delivery</x:v>
      </x:c>
      <x:c r="G5473" s="6" t="n">
        <x:v>5</x:v>
      </x:c>
      <x:c r="H5473" s="6" t="n">
        <x:v>4</x:v>
      </x:c>
      <x:c r="I5473" s="6" t="n">
        <x:f>G5473-H5473</x:f>
        <x:v>1</x:v>
      </x:c>
      <x:c r="J5473" s="6" t="n">
        <x:f>IF(OR(E5473="CANCELED",E5473="SUSPECTED_FRAUD",F5473="Shipping canceled"),0,1)</x:f>
        <x:v>1</x:v>
      </x:c>
      <x:c r="K5473" s="6" t="n">
        <x:f>IF(G5473&gt;H5473,1,0)</x:f>
        <x:v>1</x:v>
      </x:c>
      <x:c r="L5473" s="6" t="n">
        <x:f>J5473*K5473</x:f>
        <x:v>1</x:v>
      </x:c>
    </x:row>
    <x:row r="5474">
      <x:c r="A5474" s="1" t="n">
        <x:v>42952</x:v>
      </x:c>
      <x:c r="B5474" s="5" t="d">
        <x:v>2016-09-18T00:00:00.000Z</x:v>
      </x:c>
      <x:c r="C5474" s="1" t="str">
        <x:v>Standard Class</x:v>
      </x:c>
      <x:c r="D5474" s="1" t="str">
        <x:v>Europe</x:v>
      </x:c>
      <x:c r="E5474" s="1" t="str">
        <x:v>ON_HOLD</x:v>
      </x:c>
      <x:c r="F5474" s="1" t="str">
        <x:v>Advance shipping</x:v>
      </x:c>
      <x:c r="G5474" s="6" t="n">
        <x:v>3</x:v>
      </x:c>
      <x:c r="H5474" s="6" t="n">
        <x:v>4</x:v>
      </x:c>
      <x:c r="I5474" s="6" t="n">
        <x:f>G5474-H5474</x:f>
        <x:v>-1</x:v>
      </x:c>
      <x:c r="J5474" s="6" t="n">
        <x:f>IF(OR(E5474="CANCELED",E5474="SUSPECTED_FRAUD",F5474="Shipping canceled"),0,1)</x:f>
        <x:v>1</x:v>
      </x:c>
      <x:c r="K5474" s="6" t="n">
        <x:f>IF(G5474&gt;H5474,1,0)</x:f>
        <x:v>0</x:v>
      </x:c>
      <x:c r="L5474" s="6" t="n">
        <x:f>J5474*K5474</x:f>
        <x:v>0</x:v>
      </x:c>
    </x:row>
    <x:row r="5475">
      <x:c r="A5475" s="1" t="n">
        <x:v>42954</x:v>
      </x:c>
      <x:c r="B5475" s="5" t="d">
        <x:v>2016-09-19T00:00:00.000Z</x:v>
      </x:c>
      <x:c r="C5475" s="1" t="str">
        <x:v>Standard Class</x:v>
      </x:c>
      <x:c r="D5475" s="1" t="str">
        <x:v>Africa</x:v>
      </x:c>
      <x:c r="E5475" s="1" t="str">
        <x:v>ON_HOLD</x:v>
      </x:c>
      <x:c r="F5475" s="1" t="str">
        <x:v>Late delivery</x:v>
      </x:c>
      <x:c r="G5475" s="6" t="n">
        <x:v>5</x:v>
      </x:c>
      <x:c r="H5475" s="6" t="n">
        <x:v>4</x:v>
      </x:c>
      <x:c r="I5475" s="6" t="n">
        <x:f>G5475-H5475</x:f>
        <x:v>1</x:v>
      </x:c>
      <x:c r="J5475" s="6" t="n">
        <x:f>IF(OR(E5475="CANCELED",E5475="SUSPECTED_FRAUD",F5475="Shipping canceled"),0,1)</x:f>
        <x:v>1</x:v>
      </x:c>
      <x:c r="K5475" s="6" t="n">
        <x:f>IF(G5475&gt;H5475,1,0)</x:f>
        <x:v>1</x:v>
      </x:c>
      <x:c r="L5475" s="6" t="n">
        <x:f>J5475*K5475</x:f>
        <x:v>1</x:v>
      </x:c>
    </x:row>
    <x:row r="5476">
      <x:c r="A5476" s="1" t="n">
        <x:v>42968</x:v>
      </x:c>
      <x:c r="B5476" s="5" t="d">
        <x:v>2016-09-19T00:00:00.000Z</x:v>
      </x:c>
      <x:c r="C5476" s="1" t="str">
        <x:v>Second Class</x:v>
      </x:c>
      <x:c r="D5476" s="1" t="str">
        <x:v>Africa</x:v>
      </x:c>
      <x:c r="E5476" s="1" t="str">
        <x:v>PENDING</x:v>
      </x:c>
      <x:c r="F5476" s="1" t="str">
        <x:v>Late delivery</x:v>
      </x:c>
      <x:c r="G5476" s="6" t="n">
        <x:v>4</x:v>
      </x:c>
      <x:c r="H5476" s="6" t="n">
        <x:v>2</x:v>
      </x:c>
      <x:c r="I5476" s="6" t="n">
        <x:f>G5476-H5476</x:f>
        <x:v>2</x:v>
      </x:c>
      <x:c r="J5476" s="6" t="n">
        <x:f>IF(OR(E5476="CANCELED",E5476="SUSPECTED_FRAUD",F5476="Shipping canceled"),0,1)</x:f>
        <x:v>1</x:v>
      </x:c>
      <x:c r="K5476" s="6" t="n">
        <x:f>IF(G5476&gt;H5476,1,0)</x:f>
        <x:v>1</x:v>
      </x:c>
      <x:c r="L5476" s="6" t="n">
        <x:f>J5476*K5476</x:f>
        <x:v>1</x:v>
      </x:c>
    </x:row>
    <x:row r="5477">
      <x:c r="A5477" s="1" t="n">
        <x:v>42971</x:v>
      </x:c>
      <x:c r="B5477" s="5" t="d">
        <x:v>2016-09-19T00:00:00.000Z</x:v>
      </x:c>
      <x:c r="C5477" s="1" t="str">
        <x:v>Standard Class</x:v>
      </x:c>
      <x:c r="D5477" s="1" t="str">
        <x:v>Africa</x:v>
      </x:c>
      <x:c r="E5477" s="1" t="str">
        <x:v>PROCESSING</x:v>
      </x:c>
      <x:c r="F5477" s="1" t="str">
        <x:v>Advance shipping</x:v>
      </x:c>
      <x:c r="G5477" s="6" t="n">
        <x:v>2</x:v>
      </x:c>
      <x:c r="H5477" s="6" t="n">
        <x:v>4</x:v>
      </x:c>
      <x:c r="I5477" s="6" t="n">
        <x:f>G5477-H5477</x:f>
        <x:v>-2</x:v>
      </x:c>
      <x:c r="J5477" s="6" t="n">
        <x:f>IF(OR(E5477="CANCELED",E5477="SUSPECTED_FRAUD",F5477="Shipping canceled"),0,1)</x:f>
        <x:v>1</x:v>
      </x:c>
      <x:c r="K5477" s="6" t="n">
        <x:f>IF(G5477&gt;H5477,1,0)</x:f>
        <x:v>0</x:v>
      </x:c>
      <x:c r="L5477" s="6" t="n">
        <x:f>J5477*K5477</x:f>
        <x:v>0</x:v>
      </x:c>
    </x:row>
    <x:row r="5478">
      <x:c r="A5478" s="1" t="n">
        <x:v>42982</x:v>
      </x:c>
      <x:c r="B5478" s="5" t="d">
        <x:v>2016-09-19T00:00:00.000Z</x:v>
      </x:c>
      <x:c r="C5478" s="1" t="str">
        <x:v>Standard Class</x:v>
      </x:c>
      <x:c r="D5478" s="1" t="str">
        <x:v>Africa</x:v>
      </x:c>
      <x:c r="E5478" s="1" t="str">
        <x:v>COMPLETE</x:v>
      </x:c>
      <x:c r="F5478" s="1" t="str">
        <x:v>Advance shipping</x:v>
      </x:c>
      <x:c r="G5478" s="6" t="n">
        <x:v>3</x:v>
      </x:c>
      <x:c r="H5478" s="6" t="n">
        <x:v>4</x:v>
      </x:c>
      <x:c r="I5478" s="6" t="n">
        <x:f>G5478-H5478</x:f>
        <x:v>-1</x:v>
      </x:c>
      <x:c r="J5478" s="6" t="n">
        <x:f>IF(OR(E5478="CANCELED",E5478="SUSPECTED_FRAUD",F5478="Shipping canceled"),0,1)</x:f>
        <x:v>1</x:v>
      </x:c>
      <x:c r="K5478" s="6" t="n">
        <x:f>IF(G5478&gt;H5478,1,0)</x:f>
        <x:v>0</x:v>
      </x:c>
      <x:c r="L5478" s="6" t="n">
        <x:f>J5478*K5478</x:f>
        <x:v>0</x:v>
      </x:c>
    </x:row>
    <x:row r="5479">
      <x:c r="A5479" s="1" t="n">
        <x:v>42992</x:v>
      </x:c>
      <x:c r="B5479" s="5" t="d">
        <x:v>2016-09-19T00:00:00.000Z</x:v>
      </x:c>
      <x:c r="C5479" s="1" t="str">
        <x:v>Second Class</x:v>
      </x:c>
      <x:c r="D5479" s="1" t="str">
        <x:v>Africa</x:v>
      </x:c>
      <x:c r="E5479" s="1" t="str">
        <x:v>ON_HOLD</x:v>
      </x:c>
      <x:c r="F5479" s="1" t="str">
        <x:v>Late delivery</x:v>
      </x:c>
      <x:c r="G5479" s="6" t="n">
        <x:v>3</x:v>
      </x:c>
      <x:c r="H5479" s="6" t="n">
        <x:v>2</x:v>
      </x:c>
      <x:c r="I5479" s="6" t="n">
        <x:f>G5479-H5479</x:f>
        <x:v>1</x:v>
      </x:c>
      <x:c r="J5479" s="6" t="n">
        <x:f>IF(OR(E5479="CANCELED",E5479="SUSPECTED_FRAUD",F5479="Shipping canceled"),0,1)</x:f>
        <x:v>1</x:v>
      </x:c>
      <x:c r="K5479" s="6" t="n">
        <x:f>IF(G5479&gt;H5479,1,0)</x:f>
        <x:v>1</x:v>
      </x:c>
      <x:c r="L5479" s="6" t="n">
        <x:f>J5479*K5479</x:f>
        <x:v>1</x:v>
      </x:c>
    </x:row>
    <x:row r="5480">
      <x:c r="A5480" s="1" t="n">
        <x:v>42997</x:v>
      </x:c>
      <x:c r="B5480" s="5" t="d">
        <x:v>2016-09-19T00:00:00.000Z</x:v>
      </x:c>
      <x:c r="C5480" s="1" t="str">
        <x:v>Standard Class</x:v>
      </x:c>
      <x:c r="D5480" s="1" t="str">
        <x:v>Africa</x:v>
      </x:c>
      <x:c r="E5480" s="1" t="str">
        <x:v>COMPLETE</x:v>
      </x:c>
      <x:c r="F5480" s="1" t="str">
        <x:v>Advance shipping</x:v>
      </x:c>
      <x:c r="G5480" s="6" t="n">
        <x:v>3</x:v>
      </x:c>
      <x:c r="H5480" s="6" t="n">
        <x:v>4</x:v>
      </x:c>
      <x:c r="I5480" s="6" t="n">
        <x:f>G5480-H5480</x:f>
        <x:v>-1</x:v>
      </x:c>
      <x:c r="J5480" s="6" t="n">
        <x:f>IF(OR(E5480="CANCELED",E5480="SUSPECTED_FRAUD",F5480="Shipping canceled"),0,1)</x:f>
        <x:v>1</x:v>
      </x:c>
      <x:c r="K5480" s="6" t="n">
        <x:f>IF(G5480&gt;H5480,1,0)</x:f>
        <x:v>0</x:v>
      </x:c>
      <x:c r="L5480" s="6" t="n">
        <x:f>J5480*K5480</x:f>
        <x:v>0</x:v>
      </x:c>
    </x:row>
    <x:row r="5481">
      <x:c r="A5481" s="1" t="n">
        <x:v>42998</x:v>
      </x:c>
      <x:c r="B5481" s="5" t="d">
        <x:v>2016-09-19T00:00:00.000Z</x:v>
      </x:c>
      <x:c r="C5481" s="1" t="str">
        <x:v>Standard Class</x:v>
      </x:c>
      <x:c r="D5481" s="1" t="str">
        <x:v>USCA</x:v>
      </x:c>
      <x:c r="E5481" s="1" t="str">
        <x:v>PROCESSING</x:v>
      </x:c>
      <x:c r="F5481" s="1" t="str">
        <x:v>Shipping on time</x:v>
      </x:c>
      <x:c r="G5481" s="6" t="n">
        <x:v>4</x:v>
      </x:c>
      <x:c r="H5481" s="6" t="n">
        <x:v>4</x:v>
      </x:c>
      <x:c r="I5481" s="6" t="n">
        <x:f>G5481-H5481</x:f>
        <x:v>0</x:v>
      </x:c>
      <x:c r="J5481" s="6" t="n">
        <x:f>IF(OR(E5481="CANCELED",E5481="SUSPECTED_FRAUD",F5481="Shipping canceled"),0,1)</x:f>
        <x:v>1</x:v>
      </x:c>
      <x:c r="K5481" s="6" t="n">
        <x:f>IF(G5481&gt;H5481,1,0)</x:f>
        <x:v>0</x:v>
      </x:c>
      <x:c r="L5481" s="6" t="n">
        <x:f>J5481*K5481</x:f>
        <x:v>0</x:v>
      </x:c>
    </x:row>
    <x:row r="5482">
      <x:c r="A5482" s="1" t="n">
        <x:v>43032</x:v>
      </x:c>
      <x:c r="B5482" s="5" t="d">
        <x:v>2016-09-20T00:00:00.000Z</x:v>
      </x:c>
      <x:c r="C5482" s="1" t="str">
        <x:v>Second Class</x:v>
      </x:c>
      <x:c r="D5482" s="1" t="str">
        <x:v>Europe</x:v>
      </x:c>
      <x:c r="E5482" s="1" t="str">
        <x:v>COMPLETE</x:v>
      </x:c>
      <x:c r="F5482" s="1" t="str">
        <x:v>Late delivery</x:v>
      </x:c>
      <x:c r="G5482" s="6" t="n">
        <x:v>3</x:v>
      </x:c>
      <x:c r="H5482" s="6" t="n">
        <x:v>2</x:v>
      </x:c>
      <x:c r="I5482" s="6" t="n">
        <x:f>G5482-H5482</x:f>
        <x:v>1</x:v>
      </x:c>
      <x:c r="J5482" s="6" t="n">
        <x:f>IF(OR(E5482="CANCELED",E5482="SUSPECTED_FRAUD",F5482="Shipping canceled"),0,1)</x:f>
        <x:v>1</x:v>
      </x:c>
      <x:c r="K5482" s="6" t="n">
        <x:f>IF(G5482&gt;H5482,1,0)</x:f>
        <x:v>1</x:v>
      </x:c>
      <x:c r="L5482" s="6" t="n">
        <x:f>J5482*K5482</x:f>
        <x:v>1</x:v>
      </x:c>
    </x:row>
    <x:row r="5483">
      <x:c r="A5483" s="1" t="n">
        <x:v>43040</x:v>
      </x:c>
      <x:c r="B5483" s="5" t="d">
        <x:v>2016-09-20T00:00:00.000Z</x:v>
      </x:c>
      <x:c r="C5483" s="1" t="str">
        <x:v>Standard Class</x:v>
      </x:c>
      <x:c r="D5483" s="1" t="str">
        <x:v>Africa</x:v>
      </x:c>
      <x:c r="E5483" s="1" t="str">
        <x:v>PENDING</x:v>
      </x:c>
      <x:c r="F5483" s="1" t="str">
        <x:v>Late delivery</x:v>
      </x:c>
      <x:c r="G5483" s="6" t="n">
        <x:v>6</x:v>
      </x:c>
      <x:c r="H5483" s="6" t="n">
        <x:v>4</x:v>
      </x:c>
      <x:c r="I5483" s="6" t="n">
        <x:f>G5483-H5483</x:f>
        <x:v>2</x:v>
      </x:c>
      <x:c r="J5483" s="6" t="n">
        <x:f>IF(OR(E5483="CANCELED",E5483="SUSPECTED_FRAUD",F5483="Shipping canceled"),0,1)</x:f>
        <x:v>1</x:v>
      </x:c>
      <x:c r="K5483" s="6" t="n">
        <x:f>IF(G5483&gt;H5483,1,0)</x:f>
        <x:v>1</x:v>
      </x:c>
      <x:c r="L5483" s="6" t="n">
        <x:f>J5483*K5483</x:f>
        <x:v>1</x:v>
      </x:c>
    </x:row>
    <x:row r="5484">
      <x:c r="A5484" s="1" t="n">
        <x:v>43069</x:v>
      </x:c>
      <x:c r="B5484" s="5" t="d">
        <x:v>2016-09-20T00:00:00.000Z</x:v>
      </x:c>
      <x:c r="C5484" s="1" t="str">
        <x:v>Second Class</x:v>
      </x:c>
      <x:c r="D5484" s="1" t="str">
        <x:v>Africa</x:v>
      </x:c>
      <x:c r="E5484" s="1" t="str">
        <x:v>CLOSED</x:v>
      </x:c>
      <x:c r="F5484" s="1" t="str">
        <x:v>Late delivery</x:v>
      </x:c>
      <x:c r="G5484" s="6" t="n">
        <x:v>5</x:v>
      </x:c>
      <x:c r="H5484" s="6" t="n">
        <x:v>2</x:v>
      </x:c>
      <x:c r="I5484" s="6" t="n">
        <x:f>G5484-H5484</x:f>
        <x:v>3</x:v>
      </x:c>
      <x:c r="J5484" s="6" t="n">
        <x:f>IF(OR(E5484="CANCELED",E5484="SUSPECTED_FRAUD",F5484="Shipping canceled"),0,1)</x:f>
        <x:v>1</x:v>
      </x:c>
      <x:c r="K5484" s="6" t="n">
        <x:f>IF(G5484&gt;H5484,1,0)</x:f>
        <x:v>1</x:v>
      </x:c>
      <x:c r="L5484" s="6" t="n">
        <x:f>J5484*K5484</x:f>
        <x:v>1</x:v>
      </x:c>
    </x:row>
    <x:row r="5485">
      <x:c r="A5485" s="1" t="n">
        <x:v>43086</x:v>
      </x:c>
      <x:c r="B5485" s="5" t="d">
        <x:v>2016-09-20T00:00:00.000Z</x:v>
      </x:c>
      <x:c r="C5485" s="1" t="str">
        <x:v>Standard Class</x:v>
      </x:c>
      <x:c r="D5485" s="1" t="str">
        <x:v>Pacific Asia</x:v>
      </x:c>
      <x:c r="E5485" s="1" t="str">
        <x:v>PROCESSING</x:v>
      </x:c>
      <x:c r="F5485" s="1" t="str">
        <x:v>Advance shipping</x:v>
      </x:c>
      <x:c r="G5485" s="6" t="n">
        <x:v>2</x:v>
      </x:c>
      <x:c r="H5485" s="6" t="n">
        <x:v>4</x:v>
      </x:c>
      <x:c r="I5485" s="6" t="n">
        <x:f>G5485-H5485</x:f>
        <x:v>-2</x:v>
      </x:c>
      <x:c r="J5485" s="6" t="n">
        <x:f>IF(OR(E5485="CANCELED",E5485="SUSPECTED_FRAUD",F5485="Shipping canceled"),0,1)</x:f>
        <x:v>1</x:v>
      </x:c>
      <x:c r="K5485" s="6" t="n">
        <x:f>IF(G5485&gt;H5485,1,0)</x:f>
        <x:v>0</x:v>
      </x:c>
      <x:c r="L5485" s="6" t="n">
        <x:f>J5485*K5485</x:f>
        <x:v>0</x:v>
      </x:c>
    </x:row>
    <x:row r="5486">
      <x:c r="A5486" s="1" t="n">
        <x:v>43092</x:v>
      </x:c>
      <x:c r="B5486" s="5" t="d">
        <x:v>2016-09-21T00:00:00.000Z</x:v>
      </x:c>
      <x:c r="C5486" s="1" t="str">
        <x:v>Standard Class</x:v>
      </x:c>
      <x:c r="D5486" s="1" t="str">
        <x:v>Africa</x:v>
      </x:c>
      <x:c r="E5486" s="1" t="str">
        <x:v>COMPLETE</x:v>
      </x:c>
      <x:c r="F5486" s="1" t="str">
        <x:v>Advance shipping</x:v>
      </x:c>
      <x:c r="G5486" s="6" t="n">
        <x:v>3</x:v>
      </x:c>
      <x:c r="H5486" s="6" t="n">
        <x:v>4</x:v>
      </x:c>
      <x:c r="I5486" s="6" t="n">
        <x:f>G5486-H5486</x:f>
        <x:v>-1</x:v>
      </x:c>
      <x:c r="J5486" s="6" t="n">
        <x:f>IF(OR(E5486="CANCELED",E5486="SUSPECTED_FRAUD",F5486="Shipping canceled"),0,1)</x:f>
        <x:v>1</x:v>
      </x:c>
      <x:c r="K5486" s="6" t="n">
        <x:f>IF(G5486&gt;H5486,1,0)</x:f>
        <x:v>0</x:v>
      </x:c>
      <x:c r="L5486" s="6" t="n">
        <x:f>J5486*K5486</x:f>
        <x:v>0</x:v>
      </x:c>
    </x:row>
    <x:row r="5487">
      <x:c r="A5487" s="1" t="n">
        <x:v>43099</x:v>
      </x:c>
      <x:c r="B5487" s="5" t="d">
        <x:v>2016-09-21T00:00:00.000Z</x:v>
      </x:c>
      <x:c r="C5487" s="1" t="str">
        <x:v>First Class</x:v>
      </x:c>
      <x:c r="D5487" s="1" t="str">
        <x:v>USCA</x:v>
      </x:c>
      <x:c r="E5487" s="1" t="str">
        <x:v>CLOSED</x:v>
      </x:c>
      <x:c r="F5487" s="1" t="str">
        <x:v>Late delivery</x:v>
      </x:c>
      <x:c r="G5487" s="6" t="n">
        <x:v>2</x:v>
      </x:c>
      <x:c r="H5487" s="6" t="n">
        <x:v>1</x:v>
      </x:c>
      <x:c r="I5487" s="6" t="n">
        <x:f>G5487-H5487</x:f>
        <x:v>1</x:v>
      </x:c>
      <x:c r="J5487" s="6" t="n">
        <x:f>IF(OR(E5487="CANCELED",E5487="SUSPECTED_FRAUD",F5487="Shipping canceled"),0,1)</x:f>
        <x:v>1</x:v>
      </x:c>
      <x:c r="K5487" s="6" t="n">
        <x:f>IF(G5487&gt;H5487,1,0)</x:f>
        <x:v>1</x:v>
      </x:c>
      <x:c r="L5487" s="6" t="n">
        <x:f>J5487*K5487</x:f>
        <x:v>1</x:v>
      </x:c>
    </x:row>
    <x:row r="5488">
      <x:c r="A5488" s="1" t="n">
        <x:v>43100</x:v>
      </x:c>
      <x:c r="B5488" s="5" t="d">
        <x:v>2016-09-21T00:00:00.000Z</x:v>
      </x:c>
      <x:c r="C5488" s="1" t="str">
        <x:v>Second Class</x:v>
      </x:c>
      <x:c r="D5488" s="1" t="str">
        <x:v>USCA</x:v>
      </x:c>
      <x:c r="E5488" s="1" t="str">
        <x:v>PENDING</x:v>
      </x:c>
      <x:c r="F5488" s="1" t="str">
        <x:v>Late delivery</x:v>
      </x:c>
      <x:c r="G5488" s="6" t="n">
        <x:v>6</x:v>
      </x:c>
      <x:c r="H5488" s="6" t="n">
        <x:v>2</x:v>
      </x:c>
      <x:c r="I5488" s="6" t="n">
        <x:f>G5488-H5488</x:f>
        <x:v>4</x:v>
      </x:c>
      <x:c r="J5488" s="6" t="n">
        <x:f>IF(OR(E5488="CANCELED",E5488="SUSPECTED_FRAUD",F5488="Shipping canceled"),0,1)</x:f>
        <x:v>1</x:v>
      </x:c>
      <x:c r="K5488" s="6" t="n">
        <x:f>IF(G5488&gt;H5488,1,0)</x:f>
        <x:v>1</x:v>
      </x:c>
      <x:c r="L5488" s="6" t="n">
        <x:f>J5488*K5488</x:f>
        <x:v>1</x:v>
      </x:c>
    </x:row>
    <x:row r="5489">
      <x:c r="A5489" s="1" t="n">
        <x:v>43109</x:v>
      </x:c>
      <x:c r="B5489" s="5" t="d">
        <x:v>2016-09-21T00:00:00.000Z</x:v>
      </x:c>
      <x:c r="C5489" s="1" t="str">
        <x:v>Standard Class</x:v>
      </x:c>
      <x:c r="D5489" s="1" t="str">
        <x:v>Europe</x:v>
      </x:c>
      <x:c r="E5489" s="1" t="str">
        <x:v>COMPLETE</x:v>
      </x:c>
      <x:c r="F5489" s="1" t="str">
        <x:v>Late delivery</x:v>
      </x:c>
      <x:c r="G5489" s="6" t="n">
        <x:v>5</x:v>
      </x:c>
      <x:c r="H5489" s="6" t="n">
        <x:v>4</x:v>
      </x:c>
      <x:c r="I5489" s="6" t="n">
        <x:f>G5489-H5489</x:f>
        <x:v>1</x:v>
      </x:c>
      <x:c r="J5489" s="6" t="n">
        <x:f>IF(OR(E5489="CANCELED",E5489="SUSPECTED_FRAUD",F5489="Shipping canceled"),0,1)</x:f>
        <x:v>1</x:v>
      </x:c>
      <x:c r="K5489" s="6" t="n">
        <x:f>IF(G5489&gt;H5489,1,0)</x:f>
        <x:v>1</x:v>
      </x:c>
      <x:c r="L5489" s="6" t="n">
        <x:f>J5489*K5489</x:f>
        <x:v>1</x:v>
      </x:c>
    </x:row>
    <x:row r="5490">
      <x:c r="A5490" s="1" t="n">
        <x:v>43115</x:v>
      </x:c>
      <x:c r="B5490" s="5" t="d">
        <x:v>2016-09-21T00:00:00.000Z</x:v>
      </x:c>
      <x:c r="C5490" s="1" t="str">
        <x:v>Standard Class</x:v>
      </x:c>
      <x:c r="D5490" s="1" t="str">
        <x:v>Africa</x:v>
      </x:c>
      <x:c r="E5490" s="1" t="str">
        <x:v>COMPLETE</x:v>
      </x:c>
      <x:c r="F5490" s="1" t="str">
        <x:v>Late delivery</x:v>
      </x:c>
      <x:c r="G5490" s="6" t="n">
        <x:v>6</x:v>
      </x:c>
      <x:c r="H5490" s="6" t="n">
        <x:v>4</x:v>
      </x:c>
      <x:c r="I5490" s="6" t="n">
        <x:f>G5490-H5490</x:f>
        <x:v>2</x:v>
      </x:c>
      <x:c r="J5490" s="6" t="n">
        <x:f>IF(OR(E5490="CANCELED",E5490="SUSPECTED_FRAUD",F5490="Shipping canceled"),0,1)</x:f>
        <x:v>1</x:v>
      </x:c>
      <x:c r="K5490" s="6" t="n">
        <x:f>IF(G5490&gt;H5490,1,0)</x:f>
        <x:v>1</x:v>
      </x:c>
      <x:c r="L5490" s="6" t="n">
        <x:f>J5490*K5490</x:f>
        <x:v>1</x:v>
      </x:c>
    </x:row>
    <x:row r="5491">
      <x:c r="A5491" s="1" t="n">
        <x:v>43122</x:v>
      </x:c>
      <x:c r="B5491" s="5" t="d">
        <x:v>2016-09-21T00:00:00.000Z</x:v>
      </x:c>
      <x:c r="C5491" s="1" t="str">
        <x:v>Second Class</x:v>
      </x:c>
      <x:c r="D5491" s="1" t="str">
        <x:v>Pacific Asia</x:v>
      </x:c>
      <x:c r="E5491" s="1" t="str">
        <x:v>CLOSED</x:v>
      </x:c>
      <x:c r="F5491" s="1" t="str">
        <x:v>Late delivery</x:v>
      </x:c>
      <x:c r="G5491" s="6" t="n">
        <x:v>3</x:v>
      </x:c>
      <x:c r="H5491" s="6" t="n">
        <x:v>2</x:v>
      </x:c>
      <x:c r="I5491" s="6" t="n">
        <x:f>G5491-H5491</x:f>
        <x:v>1</x:v>
      </x:c>
      <x:c r="J5491" s="6" t="n">
        <x:f>IF(OR(E5491="CANCELED",E5491="SUSPECTED_FRAUD",F5491="Shipping canceled"),0,1)</x:f>
        <x:v>1</x:v>
      </x:c>
      <x:c r="K5491" s="6" t="n">
        <x:f>IF(G5491&gt;H5491,1,0)</x:f>
        <x:v>1</x:v>
      </x:c>
      <x:c r="L5491" s="6" t="n">
        <x:f>J5491*K5491</x:f>
        <x:v>1</x:v>
      </x:c>
    </x:row>
    <x:row r="5492">
      <x:c r="A5492" s="1" t="n">
        <x:v>43142</x:v>
      </x:c>
      <x:c r="B5492" s="5" t="d">
        <x:v>2016-09-21T00:00:00.000Z</x:v>
      </x:c>
      <x:c r="C5492" s="1" t="str">
        <x:v>Standard Class</x:v>
      </x:c>
      <x:c r="D5492" s="1" t="str">
        <x:v>Africa</x:v>
      </x:c>
      <x:c r="E5492" s="1" t="str">
        <x:v>PROCESSING</x:v>
      </x:c>
      <x:c r="F5492" s="1" t="str">
        <x:v>Advance shipping</x:v>
      </x:c>
      <x:c r="G5492" s="6" t="n">
        <x:v>3</x:v>
      </x:c>
      <x:c r="H5492" s="6" t="n">
        <x:v>4</x:v>
      </x:c>
      <x:c r="I5492" s="6" t="n">
        <x:f>G5492-H5492</x:f>
        <x:v>-1</x:v>
      </x:c>
      <x:c r="J5492" s="6" t="n">
        <x:f>IF(OR(E5492="CANCELED",E5492="SUSPECTED_FRAUD",F5492="Shipping canceled"),0,1)</x:f>
        <x:v>1</x:v>
      </x:c>
      <x:c r="K5492" s="6" t="n">
        <x:f>IF(G5492&gt;H5492,1,0)</x:f>
        <x:v>0</x:v>
      </x:c>
      <x:c r="L5492" s="6" t="n">
        <x:f>J5492*K5492</x:f>
        <x:v>0</x:v>
      </x:c>
    </x:row>
    <x:row r="5493">
      <x:c r="A5493" s="1" t="n">
        <x:v>43155</x:v>
      </x:c>
      <x:c r="B5493" s="5" t="d">
        <x:v>2016-09-21T00:00:00.000Z</x:v>
      </x:c>
      <x:c r="C5493" s="1" t="str">
        <x:v>Standard Class</x:v>
      </x:c>
      <x:c r="D5493" s="1" t="str">
        <x:v>Africa</x:v>
      </x:c>
      <x:c r="E5493" s="1" t="str">
        <x:v>COMPLETE</x:v>
      </x:c>
      <x:c r="F5493" s="1" t="str">
        <x:v>Late delivery</x:v>
      </x:c>
      <x:c r="G5493" s="6" t="n">
        <x:v>6</x:v>
      </x:c>
      <x:c r="H5493" s="6" t="n">
        <x:v>4</x:v>
      </x:c>
      <x:c r="I5493" s="6" t="n">
        <x:f>G5493-H5493</x:f>
        <x:v>2</x:v>
      </x:c>
      <x:c r="J5493" s="6" t="n">
        <x:f>IF(OR(E5493="CANCELED",E5493="SUSPECTED_FRAUD",F5493="Shipping canceled"),0,1)</x:f>
        <x:v>1</x:v>
      </x:c>
      <x:c r="K5493" s="6" t="n">
        <x:f>IF(G5493&gt;H5493,1,0)</x:f>
        <x:v>1</x:v>
      </x:c>
      <x:c r="L5493" s="6" t="n">
        <x:f>J5493*K5493</x:f>
        <x:v>1</x:v>
      </x:c>
    </x:row>
    <x:row r="5494">
      <x:c r="A5494" s="1" t="n">
        <x:v>43157</x:v>
      </x:c>
      <x:c r="B5494" s="5" t="d">
        <x:v>2016-09-21T00:00:00.000Z</x:v>
      </x:c>
      <x:c r="C5494" s="1" t="str">
        <x:v>Standard Class</x:v>
      </x:c>
      <x:c r="D5494" s="1" t="str">
        <x:v>Africa</x:v>
      </x:c>
      <x:c r="E5494" s="1" t="str">
        <x:v>PROCESSING</x:v>
      </x:c>
      <x:c r="F5494" s="1" t="str">
        <x:v>Advance shipping</x:v>
      </x:c>
      <x:c r="G5494" s="6" t="n">
        <x:v>3</x:v>
      </x:c>
      <x:c r="H5494" s="6" t="n">
        <x:v>4</x:v>
      </x:c>
      <x:c r="I5494" s="6" t="n">
        <x:f>G5494-H5494</x:f>
        <x:v>-1</x:v>
      </x:c>
      <x:c r="J5494" s="6" t="n">
        <x:f>IF(OR(E5494="CANCELED",E5494="SUSPECTED_FRAUD",F5494="Shipping canceled"),0,1)</x:f>
        <x:v>1</x:v>
      </x:c>
      <x:c r="K5494" s="6" t="n">
        <x:f>IF(G5494&gt;H5494,1,0)</x:f>
        <x:v>0</x:v>
      </x:c>
      <x:c r="L5494" s="6" t="n">
        <x:f>J5494*K5494</x:f>
        <x:v>0</x:v>
      </x:c>
    </x:row>
    <x:row r="5495">
      <x:c r="A5495" s="1" t="n">
        <x:v>43159</x:v>
      </x:c>
      <x:c r="B5495" s="5" t="d">
        <x:v>2016-09-22T00:00:00.000Z</x:v>
      </x:c>
      <x:c r="C5495" s="1" t="str">
        <x:v>Standard Class</x:v>
      </x:c>
      <x:c r="D5495" s="1" t="str">
        <x:v>Pacific Asia</x:v>
      </x:c>
      <x:c r="E5495" s="1" t="str">
        <x:v>COMPLETE</x:v>
      </x:c>
      <x:c r="F5495" s="1" t="str">
        <x:v>Late delivery</x:v>
      </x:c>
      <x:c r="G5495" s="6" t="n">
        <x:v>5</x:v>
      </x:c>
      <x:c r="H5495" s="6" t="n">
        <x:v>4</x:v>
      </x:c>
      <x:c r="I5495" s="6" t="n">
        <x:f>G5495-H5495</x:f>
        <x:v>1</x:v>
      </x:c>
      <x:c r="J5495" s="6" t="n">
        <x:f>IF(OR(E5495="CANCELED",E5495="SUSPECTED_FRAUD",F5495="Shipping canceled"),0,1)</x:f>
        <x:v>1</x:v>
      </x:c>
      <x:c r="K5495" s="6" t="n">
        <x:f>IF(G5495&gt;H5495,1,0)</x:f>
        <x:v>1</x:v>
      </x:c>
      <x:c r="L5495" s="6" t="n">
        <x:f>J5495*K5495</x:f>
        <x:v>1</x:v>
      </x:c>
    </x:row>
    <x:row r="5496">
      <x:c r="A5496" s="1" t="n">
        <x:v>43168</x:v>
      </x:c>
      <x:c r="B5496" s="5" t="d">
        <x:v>2016-09-22T00:00:00.000Z</x:v>
      </x:c>
      <x:c r="C5496" s="1" t="str">
        <x:v>Standard Class</x:v>
      </x:c>
      <x:c r="D5496" s="1" t="str">
        <x:v>Africa</x:v>
      </x:c>
      <x:c r="E5496" s="1" t="str">
        <x:v>COMPLETE</x:v>
      </x:c>
      <x:c r="F5496" s="1" t="str">
        <x:v>Shipping on time</x:v>
      </x:c>
      <x:c r="G5496" s="6" t="n">
        <x:v>4</x:v>
      </x:c>
      <x:c r="H5496" s="6" t="n">
        <x:v>4</x:v>
      </x:c>
      <x:c r="I5496" s="6" t="n">
        <x:f>G5496-H5496</x:f>
        <x:v>0</x:v>
      </x:c>
      <x:c r="J5496" s="6" t="n">
        <x:f>IF(OR(E5496="CANCELED",E5496="SUSPECTED_FRAUD",F5496="Shipping canceled"),0,1)</x:f>
        <x:v>1</x:v>
      </x:c>
      <x:c r="K5496" s="6" t="n">
        <x:f>IF(G5496&gt;H5496,1,0)</x:f>
        <x:v>0</x:v>
      </x:c>
      <x:c r="L5496" s="6" t="n">
        <x:f>J5496*K5496</x:f>
        <x:v>0</x:v>
      </x:c>
    </x:row>
    <x:row r="5497">
      <x:c r="A5497" s="1" t="n">
        <x:v>43170</x:v>
      </x:c>
      <x:c r="B5497" s="5" t="d">
        <x:v>2016-09-22T00:00:00.000Z</x:v>
      </x:c>
      <x:c r="C5497" s="1" t="str">
        <x:v>Standard Class</x:v>
      </x:c>
      <x:c r="D5497" s="1" t="str">
        <x:v>Africa</x:v>
      </x:c>
      <x:c r="E5497" s="1" t="str">
        <x:v>COMPLETE</x:v>
      </x:c>
      <x:c r="F5497" s="1" t="str">
        <x:v>Late delivery</x:v>
      </x:c>
      <x:c r="G5497" s="6" t="n">
        <x:v>6</x:v>
      </x:c>
      <x:c r="H5497" s="6" t="n">
        <x:v>4</x:v>
      </x:c>
      <x:c r="I5497" s="6" t="n">
        <x:f>G5497-H5497</x:f>
        <x:v>2</x:v>
      </x:c>
      <x:c r="J5497" s="6" t="n">
        <x:f>IF(OR(E5497="CANCELED",E5497="SUSPECTED_FRAUD",F5497="Shipping canceled"),0,1)</x:f>
        <x:v>1</x:v>
      </x:c>
      <x:c r="K5497" s="6" t="n">
        <x:f>IF(G5497&gt;H5497,1,0)</x:f>
        <x:v>1</x:v>
      </x:c>
      <x:c r="L5497" s="6" t="n">
        <x:f>J5497*K5497</x:f>
        <x:v>1</x:v>
      </x:c>
    </x:row>
    <x:row r="5498">
      <x:c r="A5498" s="1" t="n">
        <x:v>43175</x:v>
      </x:c>
      <x:c r="B5498" s="5" t="d">
        <x:v>2016-09-22T00:00:00.000Z</x:v>
      </x:c>
      <x:c r="C5498" s="1" t="str">
        <x:v>Standard Class</x:v>
      </x:c>
      <x:c r="D5498" s="1" t="str">
        <x:v>Africa</x:v>
      </x:c>
      <x:c r="E5498" s="1" t="str">
        <x:v>COMPLETE</x:v>
      </x:c>
      <x:c r="F5498" s="1" t="str">
        <x:v>Late delivery</x:v>
      </x:c>
      <x:c r="G5498" s="6" t="n">
        <x:v>6</x:v>
      </x:c>
      <x:c r="H5498" s="6" t="n">
        <x:v>4</x:v>
      </x:c>
      <x:c r="I5498" s="6" t="n">
        <x:f>G5498-H5498</x:f>
        <x:v>2</x:v>
      </x:c>
      <x:c r="J5498" s="6" t="n">
        <x:f>IF(OR(E5498="CANCELED",E5498="SUSPECTED_FRAUD",F5498="Shipping canceled"),0,1)</x:f>
        <x:v>1</x:v>
      </x:c>
      <x:c r="K5498" s="6" t="n">
        <x:f>IF(G5498&gt;H5498,1,0)</x:f>
        <x:v>1</x:v>
      </x:c>
      <x:c r="L5498" s="6" t="n">
        <x:f>J5498*K5498</x:f>
        <x:v>1</x:v>
      </x:c>
    </x:row>
    <x:row r="5499">
      <x:c r="A5499" s="1" t="n">
        <x:v>43177</x:v>
      </x:c>
      <x:c r="B5499" s="5" t="d">
        <x:v>2016-09-22T00:00:00.000Z</x:v>
      </x:c>
      <x:c r="C5499" s="1" t="str">
        <x:v>Standard Class</x:v>
      </x:c>
      <x:c r="D5499" s="1" t="str">
        <x:v>Africa</x:v>
      </x:c>
      <x:c r="E5499" s="1" t="str">
        <x:v>COMPLETE</x:v>
      </x:c>
      <x:c r="F5499" s="1" t="str">
        <x:v>Advance shipping</x:v>
      </x:c>
      <x:c r="G5499" s="6" t="n">
        <x:v>3</x:v>
      </x:c>
      <x:c r="H5499" s="6" t="n">
        <x:v>4</x:v>
      </x:c>
      <x:c r="I5499" s="6" t="n">
        <x:f>G5499-H5499</x:f>
        <x:v>-1</x:v>
      </x:c>
      <x:c r="J5499" s="6" t="n">
        <x:f>IF(OR(E5499="CANCELED",E5499="SUSPECTED_FRAUD",F5499="Shipping canceled"),0,1)</x:f>
        <x:v>1</x:v>
      </x:c>
      <x:c r="K5499" s="6" t="n">
        <x:f>IF(G5499&gt;H5499,1,0)</x:f>
        <x:v>0</x:v>
      </x:c>
      <x:c r="L5499" s="6" t="n">
        <x:f>J5499*K5499</x:f>
        <x:v>0</x:v>
      </x:c>
    </x:row>
    <x:row r="5500">
      <x:c r="A5500" s="1" t="n">
        <x:v>43190</x:v>
      </x:c>
      <x:c r="B5500" s="5" t="d">
        <x:v>2016-09-22T00:00:00.000Z</x:v>
      </x:c>
      <x:c r="C5500" s="1" t="str">
        <x:v>Standard Class</x:v>
      </x:c>
      <x:c r="D5500" s="1" t="str">
        <x:v>Pacific Asia</x:v>
      </x:c>
      <x:c r="E5500" s="1" t="str">
        <x:v>PENDING_PAYMENT</x:v>
      </x:c>
      <x:c r="F5500" s="1" t="str">
        <x:v>Late delivery</x:v>
      </x:c>
      <x:c r="G5500" s="6" t="n">
        <x:v>6</x:v>
      </x:c>
      <x:c r="H5500" s="6" t="n">
        <x:v>4</x:v>
      </x:c>
      <x:c r="I5500" s="6" t="n">
        <x:f>G5500-H5500</x:f>
        <x:v>2</x:v>
      </x:c>
      <x:c r="J5500" s="6" t="n">
        <x:f>IF(OR(E5500="CANCELED",E5500="SUSPECTED_FRAUD",F5500="Shipping canceled"),0,1)</x:f>
        <x:v>1</x:v>
      </x:c>
      <x:c r="K5500" s="6" t="n">
        <x:f>IF(G5500&gt;H5500,1,0)</x:f>
        <x:v>1</x:v>
      </x:c>
      <x:c r="L5500" s="6" t="n">
        <x:f>J5500*K5500</x:f>
        <x:v>1</x:v>
      </x:c>
    </x:row>
    <x:row r="5501">
      <x:c r="A5501" s="1" t="n">
        <x:v>43197</x:v>
      </x:c>
      <x:c r="B5501" s="5" t="d">
        <x:v>2016-09-22T00:00:00.000Z</x:v>
      </x:c>
      <x:c r="C5501" s="1" t="str">
        <x:v>Standard Class</x:v>
      </x:c>
      <x:c r="D5501" s="1" t="str">
        <x:v>Africa</x:v>
      </x:c>
      <x:c r="E5501" s="1" t="str">
        <x:v>COMPLETE</x:v>
      </x:c>
      <x:c r="F5501" s="1" t="str">
        <x:v>Advance shipping</x:v>
      </x:c>
      <x:c r="G5501" s="6" t="n">
        <x:v>3</x:v>
      </x:c>
      <x:c r="H5501" s="6" t="n">
        <x:v>4</x:v>
      </x:c>
      <x:c r="I5501" s="6" t="n">
        <x:f>G5501-H5501</x:f>
        <x:v>-1</x:v>
      </x:c>
      <x:c r="J5501" s="6" t="n">
        <x:f>IF(OR(E5501="CANCELED",E5501="SUSPECTED_FRAUD",F5501="Shipping canceled"),0,1)</x:f>
        <x:v>1</x:v>
      </x:c>
      <x:c r="K5501" s="6" t="n">
        <x:f>IF(G5501&gt;H5501,1,0)</x:f>
        <x:v>0</x:v>
      </x:c>
      <x:c r="L5501" s="6" t="n">
        <x:f>J5501*K5501</x:f>
        <x:v>0</x:v>
      </x:c>
    </x:row>
    <x:row r="5502">
      <x:c r="A5502" s="1" t="n">
        <x:v>43202</x:v>
      </x:c>
      <x:c r="B5502" s="5" t="d">
        <x:v>2016-09-22T00:00:00.000Z</x:v>
      </x:c>
      <x:c r="C5502" s="1" t="str">
        <x:v>Standard Class</x:v>
      </x:c>
      <x:c r="D5502" s="1" t="str">
        <x:v>Pacific Asia</x:v>
      </x:c>
      <x:c r="E5502" s="1" t="str">
        <x:v>ON_HOLD</x:v>
      </x:c>
      <x:c r="F5502" s="1" t="str">
        <x:v>Advance shipping</x:v>
      </x:c>
      <x:c r="G5502" s="6" t="n">
        <x:v>3</x:v>
      </x:c>
      <x:c r="H5502" s="6" t="n">
        <x:v>4</x:v>
      </x:c>
      <x:c r="I5502" s="6" t="n">
        <x:f>G5502-H5502</x:f>
        <x:v>-1</x:v>
      </x:c>
      <x:c r="J5502" s="6" t="n">
        <x:f>IF(OR(E5502="CANCELED",E5502="SUSPECTED_FRAUD",F5502="Shipping canceled"),0,1)</x:f>
        <x:v>1</x:v>
      </x:c>
      <x:c r="K5502" s="6" t="n">
        <x:f>IF(G5502&gt;H5502,1,0)</x:f>
        <x:v>0</x:v>
      </x:c>
      <x:c r="L5502" s="6" t="n">
        <x:f>J5502*K5502</x:f>
        <x:v>0</x:v>
      </x:c>
    </x:row>
    <x:row r="5503">
      <x:c r="A5503" s="1" t="n">
        <x:v>43219</x:v>
      </x:c>
      <x:c r="B5503" s="5" t="d">
        <x:v>2016-09-22T00:00:00.000Z</x:v>
      </x:c>
      <x:c r="C5503" s="1" t="str">
        <x:v>Standard Class</x:v>
      </x:c>
      <x:c r="D5503" s="1" t="str">
        <x:v>Africa</x:v>
      </x:c>
      <x:c r="E5503" s="1" t="str">
        <x:v>COMPLETE</x:v>
      </x:c>
      <x:c r="F5503" s="1" t="str">
        <x:v>Late delivery</x:v>
      </x:c>
      <x:c r="G5503" s="6" t="n">
        <x:v>5</x:v>
      </x:c>
      <x:c r="H5503" s="6" t="n">
        <x:v>4</x:v>
      </x:c>
      <x:c r="I5503" s="6" t="n">
        <x:f>G5503-H5503</x:f>
        <x:v>1</x:v>
      </x:c>
      <x:c r="J5503" s="6" t="n">
        <x:f>IF(OR(E5503="CANCELED",E5503="SUSPECTED_FRAUD",F5503="Shipping canceled"),0,1)</x:f>
        <x:v>1</x:v>
      </x:c>
      <x:c r="K5503" s="6" t="n">
        <x:f>IF(G5503&gt;H5503,1,0)</x:f>
        <x:v>1</x:v>
      </x:c>
      <x:c r="L5503" s="6" t="n">
        <x:f>J5503*K5503</x:f>
        <x:v>1</x:v>
      </x:c>
    </x:row>
    <x:row r="5504">
      <x:c r="A5504" s="1" t="n">
        <x:v>43226</x:v>
      </x:c>
      <x:c r="B5504" s="5" t="d">
        <x:v>2016-09-22T00:00:00.000Z</x:v>
      </x:c>
      <x:c r="C5504" s="1" t="str">
        <x:v>Standard Class</x:v>
      </x:c>
      <x:c r="D5504" s="1" t="str">
        <x:v>Africa</x:v>
      </x:c>
      <x:c r="E5504" s="1" t="str">
        <x:v>COMPLETE</x:v>
      </x:c>
      <x:c r="F5504" s="1" t="str">
        <x:v>Advance shipping</x:v>
      </x:c>
      <x:c r="G5504" s="6" t="n">
        <x:v>2</x:v>
      </x:c>
      <x:c r="H5504" s="6" t="n">
        <x:v>4</x:v>
      </x:c>
      <x:c r="I5504" s="6" t="n">
        <x:f>G5504-H5504</x:f>
        <x:v>-2</x:v>
      </x:c>
      <x:c r="J5504" s="6" t="n">
        <x:f>IF(OR(E5504="CANCELED",E5504="SUSPECTED_FRAUD",F5504="Shipping canceled"),0,1)</x:f>
        <x:v>1</x:v>
      </x:c>
      <x:c r="K5504" s="6" t="n">
        <x:f>IF(G5504&gt;H5504,1,0)</x:f>
        <x:v>0</x:v>
      </x:c>
      <x:c r="L5504" s="6" t="n">
        <x:f>J5504*K5504</x:f>
        <x:v>0</x:v>
      </x:c>
    </x:row>
    <x:row r="5505">
      <x:c r="A5505" s="1" t="n">
        <x:v>43232</x:v>
      </x:c>
      <x:c r="B5505" s="5" t="d">
        <x:v>2016-09-23T00:00:00.000Z</x:v>
      </x:c>
      <x:c r="C5505" s="1" t="str">
        <x:v>Standard Class</x:v>
      </x:c>
      <x:c r="D5505" s="1" t="str">
        <x:v>Pacific Asia</x:v>
      </x:c>
      <x:c r="E5505" s="1" t="str">
        <x:v>PROCESSING</x:v>
      </x:c>
      <x:c r="F5505" s="1" t="str">
        <x:v>Advance shipping</x:v>
      </x:c>
      <x:c r="G5505" s="6" t="n">
        <x:v>3</x:v>
      </x:c>
      <x:c r="H5505" s="6" t="n">
        <x:v>4</x:v>
      </x:c>
      <x:c r="I5505" s="6" t="n">
        <x:f>G5505-H5505</x:f>
        <x:v>-1</x:v>
      </x:c>
      <x:c r="J5505" s="6" t="n">
        <x:f>IF(OR(E5505="CANCELED",E5505="SUSPECTED_FRAUD",F5505="Shipping canceled"),0,1)</x:f>
        <x:v>1</x:v>
      </x:c>
      <x:c r="K5505" s="6" t="n">
        <x:f>IF(G5505&gt;H5505,1,0)</x:f>
        <x:v>0</x:v>
      </x:c>
      <x:c r="L5505" s="6" t="n">
        <x:f>J5505*K5505</x:f>
        <x:v>0</x:v>
      </x:c>
    </x:row>
    <x:row r="5506">
      <x:c r="A5506" s="1" t="n">
        <x:v>43237</x:v>
      </x:c>
      <x:c r="B5506" s="5" t="d">
        <x:v>2016-09-23T00:00:00.000Z</x:v>
      </x:c>
      <x:c r="C5506" s="1" t="str">
        <x:v>Standard Class</x:v>
      </x:c>
      <x:c r="D5506" s="1" t="str">
        <x:v>Pacific Asia</x:v>
      </x:c>
      <x:c r="E5506" s="1" t="str">
        <x:v>PENDING_PAYMENT</x:v>
      </x:c>
      <x:c r="F5506" s="1" t="str">
        <x:v>Advance shipping</x:v>
      </x:c>
      <x:c r="G5506" s="6" t="n">
        <x:v>3</x:v>
      </x:c>
      <x:c r="H5506" s="6" t="n">
        <x:v>4</x:v>
      </x:c>
      <x:c r="I5506" s="6" t="n">
        <x:f>G5506-H5506</x:f>
        <x:v>-1</x:v>
      </x:c>
      <x:c r="J5506" s="6" t="n">
        <x:f>IF(OR(E5506="CANCELED",E5506="SUSPECTED_FRAUD",F5506="Shipping canceled"),0,1)</x:f>
        <x:v>1</x:v>
      </x:c>
      <x:c r="K5506" s="6" t="n">
        <x:f>IF(G5506&gt;H5506,1,0)</x:f>
        <x:v>0</x:v>
      </x:c>
      <x:c r="L5506" s="6" t="n">
        <x:f>J5506*K5506</x:f>
        <x:v>0</x:v>
      </x:c>
    </x:row>
    <x:row r="5507">
      <x:c r="A5507" s="1" t="n">
        <x:v>43246</x:v>
      </x:c>
      <x:c r="B5507" s="5" t="d">
        <x:v>2016-09-23T00:00:00.000Z</x:v>
      </x:c>
      <x:c r="C5507" s="1" t="str">
        <x:v>Standard Class</x:v>
      </x:c>
      <x:c r="D5507" s="1" t="str">
        <x:v>Europe</x:v>
      </x:c>
      <x:c r="E5507" s="1" t="str">
        <x:v>COMPLETE</x:v>
      </x:c>
      <x:c r="F5507" s="1" t="str">
        <x:v>Advance shipping</x:v>
      </x:c>
      <x:c r="G5507" s="6" t="n">
        <x:v>2</x:v>
      </x:c>
      <x:c r="H5507" s="6" t="n">
        <x:v>4</x:v>
      </x:c>
      <x:c r="I5507" s="6" t="n">
        <x:f>G5507-H5507</x:f>
        <x:v>-2</x:v>
      </x:c>
      <x:c r="J5507" s="6" t="n">
        <x:f>IF(OR(E5507="CANCELED",E5507="SUSPECTED_FRAUD",F5507="Shipping canceled"),0,1)</x:f>
        <x:v>1</x:v>
      </x:c>
      <x:c r="K5507" s="6" t="n">
        <x:f>IF(G5507&gt;H5507,1,0)</x:f>
        <x:v>0</x:v>
      </x:c>
      <x:c r="L5507" s="6" t="n">
        <x:f>J5507*K5507</x:f>
        <x:v>0</x:v>
      </x:c>
    </x:row>
    <x:row r="5508">
      <x:c r="A5508" s="1" t="n">
        <x:v>43257</x:v>
      </x:c>
      <x:c r="B5508" s="5" t="d">
        <x:v>2016-09-23T00:00:00.000Z</x:v>
      </x:c>
      <x:c r="C5508" s="1" t="str">
        <x:v>Standard Class</x:v>
      </x:c>
      <x:c r="D5508" s="1" t="str">
        <x:v>Pacific Asia</x:v>
      </x:c>
      <x:c r="E5508" s="1" t="str">
        <x:v>COMPLETE</x:v>
      </x:c>
      <x:c r="F5508" s="1" t="str">
        <x:v>Advance shipping</x:v>
      </x:c>
      <x:c r="G5508" s="6" t="n">
        <x:v>3</x:v>
      </x:c>
      <x:c r="H5508" s="6" t="n">
        <x:v>4</x:v>
      </x:c>
      <x:c r="I5508" s="6" t="n">
        <x:f>G5508-H5508</x:f>
        <x:v>-1</x:v>
      </x:c>
      <x:c r="J5508" s="6" t="n">
        <x:f>IF(OR(E5508="CANCELED",E5508="SUSPECTED_FRAUD",F5508="Shipping canceled"),0,1)</x:f>
        <x:v>1</x:v>
      </x:c>
      <x:c r="K5508" s="6" t="n">
        <x:f>IF(G5508&gt;H5508,1,0)</x:f>
        <x:v>0</x:v>
      </x:c>
      <x:c r="L5508" s="6" t="n">
        <x:f>J5508*K5508</x:f>
        <x:v>0</x:v>
      </x:c>
    </x:row>
    <x:row r="5509">
      <x:c r="A5509" s="1" t="n">
        <x:v>43266</x:v>
      </x:c>
      <x:c r="B5509" s="5" t="d">
        <x:v>2016-09-23T00:00:00.000Z</x:v>
      </x:c>
      <x:c r="C5509" s="1" t="str">
        <x:v>Standard Class</x:v>
      </x:c>
      <x:c r="D5509" s="1" t="str">
        <x:v>Africa</x:v>
      </x:c>
      <x:c r="E5509" s="1" t="str">
        <x:v>PROCESSING</x:v>
      </x:c>
      <x:c r="F5509" s="1" t="str">
        <x:v>Advance shipping</x:v>
      </x:c>
      <x:c r="G5509" s="6" t="n">
        <x:v>2</x:v>
      </x:c>
      <x:c r="H5509" s="6" t="n">
        <x:v>4</x:v>
      </x:c>
      <x:c r="I5509" s="6" t="n">
        <x:f>G5509-H5509</x:f>
        <x:v>-2</x:v>
      </x:c>
      <x:c r="J5509" s="6" t="n">
        <x:f>IF(OR(E5509="CANCELED",E5509="SUSPECTED_FRAUD",F5509="Shipping canceled"),0,1)</x:f>
        <x:v>1</x:v>
      </x:c>
      <x:c r="K5509" s="6" t="n">
        <x:f>IF(G5509&gt;H5509,1,0)</x:f>
        <x:v>0</x:v>
      </x:c>
      <x:c r="L5509" s="6" t="n">
        <x:f>J5509*K5509</x:f>
        <x:v>0</x:v>
      </x:c>
    </x:row>
    <x:row r="5510">
      <x:c r="A5510" s="1" t="n">
        <x:v>43268</x:v>
      </x:c>
      <x:c r="B5510" s="5" t="d">
        <x:v>2016-09-23T00:00:00.000Z</x:v>
      </x:c>
      <x:c r="C5510" s="1" t="str">
        <x:v>Standard Class</x:v>
      </x:c>
      <x:c r="D5510" s="1" t="str">
        <x:v>Africa</x:v>
      </x:c>
      <x:c r="E5510" s="1" t="str">
        <x:v>PROCESSING</x:v>
      </x:c>
      <x:c r="F5510" s="1" t="str">
        <x:v>Shipping on time</x:v>
      </x:c>
      <x:c r="G5510" s="6" t="n">
        <x:v>4</x:v>
      </x:c>
      <x:c r="H5510" s="6" t="n">
        <x:v>4</x:v>
      </x:c>
      <x:c r="I5510" s="6" t="n">
        <x:f>G5510-H5510</x:f>
        <x:v>0</x:v>
      </x:c>
      <x:c r="J5510" s="6" t="n">
        <x:f>IF(OR(E5510="CANCELED",E5510="SUSPECTED_FRAUD",F5510="Shipping canceled"),0,1)</x:f>
        <x:v>1</x:v>
      </x:c>
      <x:c r="K5510" s="6" t="n">
        <x:f>IF(G5510&gt;H5510,1,0)</x:f>
        <x:v>0</x:v>
      </x:c>
      <x:c r="L5510" s="6" t="n">
        <x:f>J5510*K5510</x:f>
        <x:v>0</x:v>
      </x:c>
    </x:row>
    <x:row r="5511">
      <x:c r="A5511" s="1" t="n">
        <x:v>43294</x:v>
      </x:c>
      <x:c r="B5511" s="5" t="d">
        <x:v>2016-09-23T00:00:00.000Z</x:v>
      </x:c>
      <x:c r="C5511" s="1" t="str">
        <x:v>Standard Class</x:v>
      </x:c>
      <x:c r="D5511" s="1" t="str">
        <x:v>Pacific Asia</x:v>
      </x:c>
      <x:c r="E5511" s="1" t="str">
        <x:v>COMPLETE</x:v>
      </x:c>
      <x:c r="F5511" s="1" t="str">
        <x:v>Late delivery</x:v>
      </x:c>
      <x:c r="G5511" s="6" t="n">
        <x:v>5</x:v>
      </x:c>
      <x:c r="H5511" s="6" t="n">
        <x:v>4</x:v>
      </x:c>
      <x:c r="I5511" s="6" t="n">
        <x:f>G5511-H5511</x:f>
        <x:v>1</x:v>
      </x:c>
      <x:c r="J5511" s="6" t="n">
        <x:f>IF(OR(E5511="CANCELED",E5511="SUSPECTED_FRAUD",F5511="Shipping canceled"),0,1)</x:f>
        <x:v>1</x:v>
      </x:c>
      <x:c r="K5511" s="6" t="n">
        <x:f>IF(G5511&gt;H5511,1,0)</x:f>
        <x:v>1</x:v>
      </x:c>
      <x:c r="L5511" s="6" t="n">
        <x:f>J5511*K5511</x:f>
        <x:v>1</x:v>
      </x:c>
    </x:row>
    <x:row r="5512">
      <x:c r="A5512" s="1" t="n">
        <x:v>43313</x:v>
      </x:c>
      <x:c r="B5512" s="5" t="d">
        <x:v>2016-09-24T00:00:00.000Z</x:v>
      </x:c>
      <x:c r="C5512" s="1" t="str">
        <x:v>Second Class</x:v>
      </x:c>
      <x:c r="D5512" s="1" t="str">
        <x:v>Africa</x:v>
      </x:c>
      <x:c r="E5512" s="1" t="str">
        <x:v>COMPLETE</x:v>
      </x:c>
      <x:c r="F5512" s="1" t="str">
        <x:v>Late delivery</x:v>
      </x:c>
      <x:c r="G5512" s="6" t="n">
        <x:v>4</x:v>
      </x:c>
      <x:c r="H5512" s="6" t="n">
        <x:v>2</x:v>
      </x:c>
      <x:c r="I5512" s="6" t="n">
        <x:f>G5512-H5512</x:f>
        <x:v>2</x:v>
      </x:c>
      <x:c r="J5512" s="6" t="n">
        <x:f>IF(OR(E5512="CANCELED",E5512="SUSPECTED_FRAUD",F5512="Shipping canceled"),0,1)</x:f>
        <x:v>1</x:v>
      </x:c>
      <x:c r="K5512" s="6" t="n">
        <x:f>IF(G5512&gt;H5512,1,0)</x:f>
        <x:v>1</x:v>
      </x:c>
      <x:c r="L5512" s="6" t="n">
        <x:f>J5512*K5512</x:f>
        <x:v>1</x:v>
      </x:c>
    </x:row>
    <x:row r="5513">
      <x:c r="A5513" s="1" t="n">
        <x:v>43319</x:v>
      </x:c>
      <x:c r="B5513" s="5" t="d">
        <x:v>2016-09-24T00:00:00.000Z</x:v>
      </x:c>
      <x:c r="C5513" s="1" t="str">
        <x:v>Second Class</x:v>
      </x:c>
      <x:c r="D5513" s="1" t="str">
        <x:v>Africa</x:v>
      </x:c>
      <x:c r="E5513" s="1" t="str">
        <x:v>COMPLETE</x:v>
      </x:c>
      <x:c r="F5513" s="1" t="str">
        <x:v>Late delivery</x:v>
      </x:c>
      <x:c r="G5513" s="6" t="n">
        <x:v>5</x:v>
      </x:c>
      <x:c r="H5513" s="6" t="n">
        <x:v>2</x:v>
      </x:c>
      <x:c r="I5513" s="6" t="n">
        <x:f>G5513-H5513</x:f>
        <x:v>3</x:v>
      </x:c>
      <x:c r="J5513" s="6" t="n">
        <x:f>IF(OR(E5513="CANCELED",E5513="SUSPECTED_FRAUD",F5513="Shipping canceled"),0,1)</x:f>
        <x:v>1</x:v>
      </x:c>
      <x:c r="K5513" s="6" t="n">
        <x:f>IF(G5513&gt;H5513,1,0)</x:f>
        <x:v>1</x:v>
      </x:c>
      <x:c r="L5513" s="6" t="n">
        <x:f>J5513*K5513</x:f>
        <x:v>1</x:v>
      </x:c>
    </x:row>
    <x:row r="5514">
      <x:c r="A5514" s="1" t="n">
        <x:v>43354</x:v>
      </x:c>
      <x:c r="B5514" s="5" t="d">
        <x:v>2016-09-24T00:00:00.000Z</x:v>
      </x:c>
      <x:c r="C5514" s="1" t="str">
        <x:v>Standard Class</x:v>
      </x:c>
      <x:c r="D5514" s="1" t="str">
        <x:v>Pacific Asia</x:v>
      </x:c>
      <x:c r="E5514" s="1" t="str">
        <x:v>ON_HOLD</x:v>
      </x:c>
      <x:c r="F5514" s="1" t="str">
        <x:v>Late delivery</x:v>
      </x:c>
      <x:c r="G5514" s="6" t="n">
        <x:v>5</x:v>
      </x:c>
      <x:c r="H5514" s="6" t="n">
        <x:v>4</x:v>
      </x:c>
      <x:c r="I5514" s="6" t="n">
        <x:f>G5514-H5514</x:f>
        <x:v>1</x:v>
      </x:c>
      <x:c r="J5514" s="6" t="n">
        <x:f>IF(OR(E5514="CANCELED",E5514="SUSPECTED_FRAUD",F5514="Shipping canceled"),0,1)</x:f>
        <x:v>1</x:v>
      </x:c>
      <x:c r="K5514" s="6" t="n">
        <x:f>IF(G5514&gt;H5514,1,0)</x:f>
        <x:v>1</x:v>
      </x:c>
      <x:c r="L5514" s="6" t="n">
        <x:f>J5514*K5514</x:f>
        <x:v>1</x:v>
      </x:c>
    </x:row>
    <x:row r="5515">
      <x:c r="A5515" s="1" t="n">
        <x:v>43356</x:v>
      </x:c>
      <x:c r="B5515" s="5" t="d">
        <x:v>2016-09-24T00:00:00.000Z</x:v>
      </x:c>
      <x:c r="C5515" s="1" t="str">
        <x:v>Standard Class</x:v>
      </x:c>
      <x:c r="D5515" s="1" t="str">
        <x:v>Pacific Asia</x:v>
      </x:c>
      <x:c r="E5515" s="1" t="str">
        <x:v>CLOSED</x:v>
      </x:c>
      <x:c r="F5515" s="1" t="str">
        <x:v>Advance shipping</x:v>
      </x:c>
      <x:c r="G5515" s="6" t="n">
        <x:v>2</x:v>
      </x:c>
      <x:c r="H5515" s="6" t="n">
        <x:v>4</x:v>
      </x:c>
      <x:c r="I5515" s="6" t="n">
        <x:f>G5515-H5515</x:f>
        <x:v>-2</x:v>
      </x:c>
      <x:c r="J5515" s="6" t="n">
        <x:f>IF(OR(E5515="CANCELED",E5515="SUSPECTED_FRAUD",F5515="Shipping canceled"),0,1)</x:f>
        <x:v>1</x:v>
      </x:c>
      <x:c r="K5515" s="6" t="n">
        <x:f>IF(G5515&gt;H5515,1,0)</x:f>
        <x:v>0</x:v>
      </x:c>
      <x:c r="L5515" s="6" t="n">
        <x:f>J5515*K5515</x:f>
        <x:v>0</x:v>
      </x:c>
    </x:row>
    <x:row r="5516">
      <x:c r="A5516" s="1" t="n">
        <x:v>43396</x:v>
      </x:c>
      <x:c r="B5516" s="5" t="d">
        <x:v>2016-09-25T00:00:00.000Z</x:v>
      </x:c>
      <x:c r="C5516" s="1" t="str">
        <x:v>Standard Class</x:v>
      </x:c>
      <x:c r="D5516" s="1" t="str">
        <x:v>Africa</x:v>
      </x:c>
      <x:c r="E5516" s="1" t="str">
        <x:v>PENDING</x:v>
      </x:c>
      <x:c r="F5516" s="1" t="str">
        <x:v>Advance shipping</x:v>
      </x:c>
      <x:c r="G5516" s="6" t="n">
        <x:v>2</x:v>
      </x:c>
      <x:c r="H5516" s="6" t="n">
        <x:v>4</x:v>
      </x:c>
      <x:c r="I5516" s="6" t="n">
        <x:f>G5516-H5516</x:f>
        <x:v>-2</x:v>
      </x:c>
      <x:c r="J5516" s="6" t="n">
        <x:f>IF(OR(E5516="CANCELED",E5516="SUSPECTED_FRAUD",F5516="Shipping canceled"),0,1)</x:f>
        <x:v>1</x:v>
      </x:c>
      <x:c r="K5516" s="6" t="n">
        <x:f>IF(G5516&gt;H5516,1,0)</x:f>
        <x:v>0</x:v>
      </x:c>
      <x:c r="L5516" s="6" t="n">
        <x:f>J5516*K5516</x:f>
        <x:v>0</x:v>
      </x:c>
    </x:row>
    <x:row r="5517">
      <x:c r="A5517" s="1" t="n">
        <x:v>43404</x:v>
      </x:c>
      <x:c r="B5517" s="5" t="d">
        <x:v>2016-09-25T00:00:00.000Z</x:v>
      </x:c>
      <x:c r="C5517" s="1" t="str">
        <x:v>Standard Class</x:v>
      </x:c>
      <x:c r="D5517" s="1" t="str">
        <x:v>Africa</x:v>
      </x:c>
      <x:c r="E5517" s="1" t="str">
        <x:v>COMPLETE</x:v>
      </x:c>
      <x:c r="F5517" s="1" t="str">
        <x:v>Late delivery</x:v>
      </x:c>
      <x:c r="G5517" s="6" t="n">
        <x:v>5</x:v>
      </x:c>
      <x:c r="H5517" s="6" t="n">
        <x:v>4</x:v>
      </x:c>
      <x:c r="I5517" s="6" t="n">
        <x:f>G5517-H5517</x:f>
        <x:v>1</x:v>
      </x:c>
      <x:c r="J5517" s="6" t="n">
        <x:f>IF(OR(E5517="CANCELED",E5517="SUSPECTED_FRAUD",F5517="Shipping canceled"),0,1)</x:f>
        <x:v>1</x:v>
      </x:c>
      <x:c r="K5517" s="6" t="n">
        <x:f>IF(G5517&gt;H5517,1,0)</x:f>
        <x:v>1</x:v>
      </x:c>
      <x:c r="L5517" s="6" t="n">
        <x:f>J5517*K5517</x:f>
        <x:v>1</x:v>
      </x:c>
    </x:row>
    <x:row r="5518">
      <x:c r="A5518" s="1" t="n">
        <x:v>43416</x:v>
      </x:c>
      <x:c r="B5518" s="5" t="d">
        <x:v>2016-09-25T00:00:00.000Z</x:v>
      </x:c>
      <x:c r="C5518" s="1" t="str">
        <x:v>Same Day</x:v>
      </x:c>
      <x:c r="D5518" s="1" t="str">
        <x:v>Pacific Asia</x:v>
      </x:c>
      <x:c r="E5518" s="1" t="str">
        <x:v>COMPLETE</x:v>
      </x:c>
      <x:c r="F5518" s="1" t="str">
        <x:v>Late delivery</x:v>
      </x:c>
      <x:c r="G5518" s="6" t="n">
        <x:v>1</x:v>
      </x:c>
      <x:c r="H5518" s="6" t="n">
        <x:v>0</x:v>
      </x:c>
      <x:c r="I5518" s="6" t="n">
        <x:f>G5518-H5518</x:f>
        <x:v>1</x:v>
      </x:c>
      <x:c r="J5518" s="6" t="n">
        <x:f>IF(OR(E5518="CANCELED",E5518="SUSPECTED_FRAUD",F5518="Shipping canceled"),0,1)</x:f>
        <x:v>1</x:v>
      </x:c>
      <x:c r="K5518" s="6" t="n">
        <x:f>IF(G5518&gt;H5518,1,0)</x:f>
        <x:v>1</x:v>
      </x:c>
      <x:c r="L5518" s="6" t="n">
        <x:f>J5518*K5518</x:f>
        <x:v>1</x:v>
      </x:c>
    </x:row>
    <x:row r="5519">
      <x:c r="A5519" s="1" t="n">
        <x:v>43423</x:v>
      </x:c>
      <x:c r="B5519" s="5" t="d">
        <x:v>2016-09-25T00:00:00.000Z</x:v>
      </x:c>
      <x:c r="C5519" s="1" t="str">
        <x:v>First Class</x:v>
      </x:c>
      <x:c r="D5519" s="1" t="str">
        <x:v>Africa</x:v>
      </x:c>
      <x:c r="E5519" s="1" t="str">
        <x:v>PENDING_PAYMENT</x:v>
      </x:c>
      <x:c r="F5519" s="1" t="str">
        <x:v>Late delivery</x:v>
      </x:c>
      <x:c r="G5519" s="6" t="n">
        <x:v>2</x:v>
      </x:c>
      <x:c r="H5519" s="6" t="n">
        <x:v>1</x:v>
      </x:c>
      <x:c r="I5519" s="6" t="n">
        <x:f>G5519-H5519</x:f>
        <x:v>1</x:v>
      </x:c>
      <x:c r="J5519" s="6" t="n">
        <x:f>IF(OR(E5519="CANCELED",E5519="SUSPECTED_FRAUD",F5519="Shipping canceled"),0,1)</x:f>
        <x:v>1</x:v>
      </x:c>
      <x:c r="K5519" s="6" t="n">
        <x:f>IF(G5519&gt;H5519,1,0)</x:f>
        <x:v>1</x:v>
      </x:c>
      <x:c r="L5519" s="6" t="n">
        <x:f>J5519*K5519</x:f>
        <x:v>1</x:v>
      </x:c>
    </x:row>
    <x:row r="5520">
      <x:c r="A5520" s="1" t="n">
        <x:v>43428</x:v>
      </x:c>
      <x:c r="B5520" s="5" t="d">
        <x:v>2016-09-25T00:00:00.000Z</x:v>
      </x:c>
      <x:c r="C5520" s="1" t="str">
        <x:v>First Class</x:v>
      </x:c>
      <x:c r="D5520" s="1" t="str">
        <x:v>Europe</x:v>
      </x:c>
      <x:c r="E5520" s="1" t="str">
        <x:v>PENDING</x:v>
      </x:c>
      <x:c r="F5520" s="1" t="str">
        <x:v>Late delivery</x:v>
      </x:c>
      <x:c r="G5520" s="6" t="n">
        <x:v>2</x:v>
      </x:c>
      <x:c r="H5520" s="6" t="n">
        <x:v>1</x:v>
      </x:c>
      <x:c r="I5520" s="6" t="n">
        <x:f>G5520-H5520</x:f>
        <x:v>1</x:v>
      </x:c>
      <x:c r="J5520" s="6" t="n">
        <x:f>IF(OR(E5520="CANCELED",E5520="SUSPECTED_FRAUD",F5520="Shipping canceled"),0,1)</x:f>
        <x:v>1</x:v>
      </x:c>
      <x:c r="K5520" s="6" t="n">
        <x:f>IF(G5520&gt;H5520,1,0)</x:f>
        <x:v>1</x:v>
      </x:c>
      <x:c r="L5520" s="6" t="n">
        <x:f>J5520*K5520</x:f>
        <x:v>1</x:v>
      </x:c>
    </x:row>
    <x:row r="5521">
      <x:c r="A5521" s="1" t="n">
        <x:v>43441</x:v>
      </x:c>
      <x:c r="B5521" s="5" t="d">
        <x:v>2016-09-26T00:00:00.000Z</x:v>
      </x:c>
      <x:c r="C5521" s="1" t="str">
        <x:v>Standard Class</x:v>
      </x:c>
      <x:c r="D5521" s="1" t="str">
        <x:v>Europe</x:v>
      </x:c>
      <x:c r="E5521" s="1" t="str">
        <x:v>COMPLETE</x:v>
      </x:c>
      <x:c r="F5521" s="1" t="str">
        <x:v>Advance shipping</x:v>
      </x:c>
      <x:c r="G5521" s="6" t="n">
        <x:v>2</x:v>
      </x:c>
      <x:c r="H5521" s="6" t="n">
        <x:v>4</x:v>
      </x:c>
      <x:c r="I5521" s="6" t="n">
        <x:f>G5521-H5521</x:f>
        <x:v>-2</x:v>
      </x:c>
      <x:c r="J5521" s="6" t="n">
        <x:f>IF(OR(E5521="CANCELED",E5521="SUSPECTED_FRAUD",F5521="Shipping canceled"),0,1)</x:f>
        <x:v>1</x:v>
      </x:c>
      <x:c r="K5521" s="6" t="n">
        <x:f>IF(G5521&gt;H5521,1,0)</x:f>
        <x:v>0</x:v>
      </x:c>
      <x:c r="L5521" s="6" t="n">
        <x:f>J5521*K5521</x:f>
        <x:v>0</x:v>
      </x:c>
    </x:row>
    <x:row r="5522">
      <x:c r="A5522" s="1" t="n">
        <x:v>43447</x:v>
      </x:c>
      <x:c r="B5522" s="5" t="d">
        <x:v>2016-09-26T00:00:00.000Z</x:v>
      </x:c>
      <x:c r="C5522" s="1" t="str">
        <x:v>Standard Class</x:v>
      </x:c>
      <x:c r="D5522" s="1" t="str">
        <x:v>Europe</x:v>
      </x:c>
      <x:c r="E5522" s="1" t="str">
        <x:v>CLOSED</x:v>
      </x:c>
      <x:c r="F5522" s="1" t="str">
        <x:v>Advance shipping</x:v>
      </x:c>
      <x:c r="G5522" s="6" t="n">
        <x:v>3</x:v>
      </x:c>
      <x:c r="H5522" s="6" t="n">
        <x:v>4</x:v>
      </x:c>
      <x:c r="I5522" s="6" t="n">
        <x:f>G5522-H5522</x:f>
        <x:v>-1</x:v>
      </x:c>
      <x:c r="J5522" s="6" t="n">
        <x:f>IF(OR(E5522="CANCELED",E5522="SUSPECTED_FRAUD",F5522="Shipping canceled"),0,1)</x:f>
        <x:v>1</x:v>
      </x:c>
      <x:c r="K5522" s="6" t="n">
        <x:f>IF(G5522&gt;H5522,1,0)</x:f>
        <x:v>0</x:v>
      </x:c>
      <x:c r="L5522" s="6" t="n">
        <x:f>J5522*K5522</x:f>
        <x:v>0</x:v>
      </x:c>
    </x:row>
    <x:row r="5523">
      <x:c r="A5523" s="1" t="n">
        <x:v>43455</x:v>
      </x:c>
      <x:c r="B5523" s="5" t="d">
        <x:v>2016-09-26T00:00:00.000Z</x:v>
      </x:c>
      <x:c r="C5523" s="1" t="str">
        <x:v>Standard Class</x:v>
      </x:c>
      <x:c r="D5523" s="1" t="str">
        <x:v>Africa</x:v>
      </x:c>
      <x:c r="E5523" s="1" t="str">
        <x:v>CLOSED</x:v>
      </x:c>
      <x:c r="F5523" s="1" t="str">
        <x:v>Late delivery</x:v>
      </x:c>
      <x:c r="G5523" s="6" t="n">
        <x:v>6</x:v>
      </x:c>
      <x:c r="H5523" s="6" t="n">
        <x:v>4</x:v>
      </x:c>
      <x:c r="I5523" s="6" t="n">
        <x:f>G5523-H5523</x:f>
        <x:v>2</x:v>
      </x:c>
      <x:c r="J5523" s="6" t="n">
        <x:f>IF(OR(E5523="CANCELED",E5523="SUSPECTED_FRAUD",F5523="Shipping canceled"),0,1)</x:f>
        <x:v>1</x:v>
      </x:c>
      <x:c r="K5523" s="6" t="n">
        <x:f>IF(G5523&gt;H5523,1,0)</x:f>
        <x:v>1</x:v>
      </x:c>
      <x:c r="L5523" s="6" t="n">
        <x:f>J5523*K5523</x:f>
        <x:v>1</x:v>
      </x:c>
    </x:row>
    <x:row r="5524">
      <x:c r="A5524" s="1" t="n">
        <x:v>43461</x:v>
      </x:c>
      <x:c r="B5524" s="5" t="d">
        <x:v>2016-09-26T00:00:00.000Z</x:v>
      </x:c>
      <x:c r="C5524" s="1" t="str">
        <x:v>Standard Class</x:v>
      </x:c>
      <x:c r="D5524" s="1" t="str">
        <x:v>Africa</x:v>
      </x:c>
      <x:c r="E5524" s="1" t="str">
        <x:v>PENDING</x:v>
      </x:c>
      <x:c r="F5524" s="1" t="str">
        <x:v>Advance shipping</x:v>
      </x:c>
      <x:c r="G5524" s="6" t="n">
        <x:v>2</x:v>
      </x:c>
      <x:c r="H5524" s="6" t="n">
        <x:v>4</x:v>
      </x:c>
      <x:c r="I5524" s="6" t="n">
        <x:f>G5524-H5524</x:f>
        <x:v>-2</x:v>
      </x:c>
      <x:c r="J5524" s="6" t="n">
        <x:f>IF(OR(E5524="CANCELED",E5524="SUSPECTED_FRAUD",F5524="Shipping canceled"),0,1)</x:f>
        <x:v>1</x:v>
      </x:c>
      <x:c r="K5524" s="6" t="n">
        <x:f>IF(G5524&gt;H5524,1,0)</x:f>
        <x:v>0</x:v>
      </x:c>
      <x:c r="L5524" s="6" t="n">
        <x:f>J5524*K5524</x:f>
        <x:v>0</x:v>
      </x:c>
    </x:row>
    <x:row r="5525">
      <x:c r="A5525" s="1" t="n">
        <x:v>43465</x:v>
      </x:c>
      <x:c r="B5525" s="5" t="d">
        <x:v>2016-09-26T00:00:00.000Z</x:v>
      </x:c>
      <x:c r="C5525" s="1" t="str">
        <x:v>Standard Class</x:v>
      </x:c>
      <x:c r="D5525" s="1" t="str">
        <x:v>Pacific Asia</x:v>
      </x:c>
      <x:c r="E5525" s="1" t="str">
        <x:v>PROCESSING</x:v>
      </x:c>
      <x:c r="F5525" s="1" t="str">
        <x:v>Late delivery</x:v>
      </x:c>
      <x:c r="G5525" s="6" t="n">
        <x:v>6</x:v>
      </x:c>
      <x:c r="H5525" s="6" t="n">
        <x:v>4</x:v>
      </x:c>
      <x:c r="I5525" s="6" t="n">
        <x:f>G5525-H5525</x:f>
        <x:v>2</x:v>
      </x:c>
      <x:c r="J5525" s="6" t="n">
        <x:f>IF(OR(E5525="CANCELED",E5525="SUSPECTED_FRAUD",F5525="Shipping canceled"),0,1)</x:f>
        <x:v>1</x:v>
      </x:c>
      <x:c r="K5525" s="6" t="n">
        <x:f>IF(G5525&gt;H5525,1,0)</x:f>
        <x:v>1</x:v>
      </x:c>
      <x:c r="L5525" s="6" t="n">
        <x:f>J5525*K5525</x:f>
        <x:v>1</x:v>
      </x:c>
    </x:row>
    <x:row r="5526">
      <x:c r="A5526" s="1" t="n">
        <x:v>43468</x:v>
      </x:c>
      <x:c r="B5526" s="5" t="d">
        <x:v>2016-09-26T00:00:00.000Z</x:v>
      </x:c>
      <x:c r="C5526" s="1" t="str">
        <x:v>Standard Class</x:v>
      </x:c>
      <x:c r="D5526" s="1" t="str">
        <x:v>Pacific Asia</x:v>
      </x:c>
      <x:c r="E5526" s="1" t="str">
        <x:v>PROCESSING</x:v>
      </x:c>
      <x:c r="F5526" s="1" t="str">
        <x:v>Shipping on time</x:v>
      </x:c>
      <x:c r="G5526" s="6" t="n">
        <x:v>4</x:v>
      </x:c>
      <x:c r="H5526" s="6" t="n">
        <x:v>4</x:v>
      </x:c>
      <x:c r="I5526" s="6" t="n">
        <x:f>G5526-H5526</x:f>
        <x:v>0</x:v>
      </x:c>
      <x:c r="J5526" s="6" t="n">
        <x:f>IF(OR(E5526="CANCELED",E5526="SUSPECTED_FRAUD",F5526="Shipping canceled"),0,1)</x:f>
        <x:v>1</x:v>
      </x:c>
      <x:c r="K5526" s="6" t="n">
        <x:f>IF(G5526&gt;H5526,1,0)</x:f>
        <x:v>0</x:v>
      </x:c>
      <x:c r="L5526" s="6" t="n">
        <x:f>J5526*K5526</x:f>
        <x:v>0</x:v>
      </x:c>
    </x:row>
    <x:row r="5527">
      <x:c r="A5527" s="1" t="n">
        <x:v>43470</x:v>
      </x:c>
      <x:c r="B5527" s="5" t="d">
        <x:v>2016-09-26T00:00:00.000Z</x:v>
      </x:c>
      <x:c r="C5527" s="1" t="str">
        <x:v>Standard Class</x:v>
      </x:c>
      <x:c r="D5527" s="1" t="str">
        <x:v>Europe</x:v>
      </x:c>
      <x:c r="E5527" s="1" t="str">
        <x:v>COMPLETE</x:v>
      </x:c>
      <x:c r="F5527" s="1" t="str">
        <x:v>Late delivery</x:v>
      </x:c>
      <x:c r="G5527" s="6" t="n">
        <x:v>6</x:v>
      </x:c>
      <x:c r="H5527" s="6" t="n">
        <x:v>4</x:v>
      </x:c>
      <x:c r="I5527" s="6" t="n">
        <x:f>G5527-H5527</x:f>
        <x:v>2</x:v>
      </x:c>
      <x:c r="J5527" s="6" t="n">
        <x:f>IF(OR(E5527="CANCELED",E5527="SUSPECTED_FRAUD",F5527="Shipping canceled"),0,1)</x:f>
        <x:v>1</x:v>
      </x:c>
      <x:c r="K5527" s="6" t="n">
        <x:f>IF(G5527&gt;H5527,1,0)</x:f>
        <x:v>1</x:v>
      </x:c>
      <x:c r="L5527" s="6" t="n">
        <x:f>J5527*K5527</x:f>
        <x:v>1</x:v>
      </x:c>
    </x:row>
    <x:row r="5528">
      <x:c r="A5528" s="1" t="n">
        <x:v>43472</x:v>
      </x:c>
      <x:c r="B5528" s="5" t="d">
        <x:v>2016-09-26T00:00:00.000Z</x:v>
      </x:c>
      <x:c r="C5528" s="1" t="str">
        <x:v>Standard Class</x:v>
      </x:c>
      <x:c r="D5528" s="1" t="str">
        <x:v>Africa</x:v>
      </x:c>
      <x:c r="E5528" s="1" t="str">
        <x:v>PENDING</x:v>
      </x:c>
      <x:c r="F5528" s="1" t="str">
        <x:v>Advance shipping</x:v>
      </x:c>
      <x:c r="G5528" s="6" t="n">
        <x:v>3</x:v>
      </x:c>
      <x:c r="H5528" s="6" t="n">
        <x:v>4</x:v>
      </x:c>
      <x:c r="I5528" s="6" t="n">
        <x:f>G5528-H5528</x:f>
        <x:v>-1</x:v>
      </x:c>
      <x:c r="J5528" s="6" t="n">
        <x:f>IF(OR(E5528="CANCELED",E5528="SUSPECTED_FRAUD",F5528="Shipping canceled"),0,1)</x:f>
        <x:v>1</x:v>
      </x:c>
      <x:c r="K5528" s="6" t="n">
        <x:f>IF(G5528&gt;H5528,1,0)</x:f>
        <x:v>0</x:v>
      </x:c>
      <x:c r="L5528" s="6" t="n">
        <x:f>J5528*K5528</x:f>
        <x:v>0</x:v>
      </x:c>
    </x:row>
    <x:row r="5529">
      <x:c r="A5529" s="1" t="n">
        <x:v>43473</x:v>
      </x:c>
      <x:c r="B5529" s="5" t="d">
        <x:v>2016-09-26T00:00:00.000Z</x:v>
      </x:c>
      <x:c r="C5529" s="1" t="str">
        <x:v>Standard Class</x:v>
      </x:c>
      <x:c r="D5529" s="1" t="str">
        <x:v>Europe</x:v>
      </x:c>
      <x:c r="E5529" s="1" t="str">
        <x:v>PROCESSING</x:v>
      </x:c>
      <x:c r="F5529" s="1" t="str">
        <x:v>Shipping on time</x:v>
      </x:c>
      <x:c r="G5529" s="6" t="n">
        <x:v>4</x:v>
      </x:c>
      <x:c r="H5529" s="6" t="n">
        <x:v>4</x:v>
      </x:c>
      <x:c r="I5529" s="6" t="n">
        <x:f>G5529-H5529</x:f>
        <x:v>0</x:v>
      </x:c>
      <x:c r="J5529" s="6" t="n">
        <x:f>IF(OR(E5529="CANCELED",E5529="SUSPECTED_FRAUD",F5529="Shipping canceled"),0,1)</x:f>
        <x:v>1</x:v>
      </x:c>
      <x:c r="K5529" s="6" t="n">
        <x:f>IF(G5529&gt;H5529,1,0)</x:f>
        <x:v>0</x:v>
      </x:c>
      <x:c r="L5529" s="6" t="n">
        <x:f>J5529*K5529</x:f>
        <x:v>0</x:v>
      </x:c>
    </x:row>
    <x:row r="5530">
      <x:c r="A5530" s="1" t="n">
        <x:v>43477</x:v>
      </x:c>
      <x:c r="B5530" s="5" t="d">
        <x:v>2016-09-26T00:00:00.000Z</x:v>
      </x:c>
      <x:c r="C5530" s="1" t="str">
        <x:v>First Class</x:v>
      </x:c>
      <x:c r="D5530" s="1" t="str">
        <x:v>Europe</x:v>
      </x:c>
      <x:c r="E5530" s="1" t="str">
        <x:v>PENDING_PAYMENT</x:v>
      </x:c>
      <x:c r="F5530" s="1" t="str">
        <x:v>Late delivery</x:v>
      </x:c>
      <x:c r="G5530" s="6" t="n">
        <x:v>2</x:v>
      </x:c>
      <x:c r="H5530" s="6" t="n">
        <x:v>1</x:v>
      </x:c>
      <x:c r="I5530" s="6" t="n">
        <x:f>G5530-H5530</x:f>
        <x:v>1</x:v>
      </x:c>
      <x:c r="J5530" s="6" t="n">
        <x:f>IF(OR(E5530="CANCELED",E5530="SUSPECTED_FRAUD",F5530="Shipping canceled"),0,1)</x:f>
        <x:v>1</x:v>
      </x:c>
      <x:c r="K5530" s="6" t="n">
        <x:f>IF(G5530&gt;H5530,1,0)</x:f>
        <x:v>1</x:v>
      </x:c>
      <x:c r="L5530" s="6" t="n">
        <x:f>J5530*K5530</x:f>
        <x:v>1</x:v>
      </x:c>
    </x:row>
    <x:row r="5531">
      <x:c r="A5531" s="1" t="n">
        <x:v>43484</x:v>
      </x:c>
      <x:c r="B5531" s="5" t="d">
        <x:v>2016-09-26T00:00:00.000Z</x:v>
      </x:c>
      <x:c r="C5531" s="1" t="str">
        <x:v>Standard Class</x:v>
      </x:c>
      <x:c r="D5531" s="1" t="str">
        <x:v>Africa</x:v>
      </x:c>
      <x:c r="E5531" s="1" t="str">
        <x:v>COMPLETE</x:v>
      </x:c>
      <x:c r="F5531" s="1" t="str">
        <x:v>Late delivery</x:v>
      </x:c>
      <x:c r="G5531" s="6" t="n">
        <x:v>5</x:v>
      </x:c>
      <x:c r="H5531" s="6" t="n">
        <x:v>4</x:v>
      </x:c>
      <x:c r="I5531" s="6" t="n">
        <x:f>G5531-H5531</x:f>
        <x:v>1</x:v>
      </x:c>
      <x:c r="J5531" s="6" t="n">
        <x:f>IF(OR(E5531="CANCELED",E5531="SUSPECTED_FRAUD",F5531="Shipping canceled"),0,1)</x:f>
        <x:v>1</x:v>
      </x:c>
      <x:c r="K5531" s="6" t="n">
        <x:f>IF(G5531&gt;H5531,1,0)</x:f>
        <x:v>1</x:v>
      </x:c>
      <x:c r="L5531" s="6" t="n">
        <x:f>J5531*K5531</x:f>
        <x:v>1</x:v>
      </x:c>
    </x:row>
    <x:row r="5532">
      <x:c r="A5532" s="1" t="n">
        <x:v>43492</x:v>
      </x:c>
      <x:c r="B5532" s="5" t="d">
        <x:v>2016-09-26T00:00:00.000Z</x:v>
      </x:c>
      <x:c r="C5532" s="1" t="str">
        <x:v>Standard Class</x:v>
      </x:c>
      <x:c r="D5532" s="1" t="str">
        <x:v>Africa</x:v>
      </x:c>
      <x:c r="E5532" s="1" t="str">
        <x:v>COMPLETE</x:v>
      </x:c>
      <x:c r="F5532" s="1" t="str">
        <x:v>Advance shipping</x:v>
      </x:c>
      <x:c r="G5532" s="6" t="n">
        <x:v>3</x:v>
      </x:c>
      <x:c r="H5532" s="6" t="n">
        <x:v>4</x:v>
      </x:c>
      <x:c r="I5532" s="6" t="n">
        <x:f>G5532-H5532</x:f>
        <x:v>-1</x:v>
      </x:c>
      <x:c r="J5532" s="6" t="n">
        <x:f>IF(OR(E5532="CANCELED",E5532="SUSPECTED_FRAUD",F5532="Shipping canceled"),0,1)</x:f>
        <x:v>1</x:v>
      </x:c>
      <x:c r="K5532" s="6" t="n">
        <x:f>IF(G5532&gt;H5532,1,0)</x:f>
        <x:v>0</x:v>
      </x:c>
      <x:c r="L5532" s="6" t="n">
        <x:f>J5532*K5532</x:f>
        <x:v>0</x:v>
      </x:c>
    </x:row>
    <x:row r="5533">
      <x:c r="A5533" s="1" t="n">
        <x:v>43497</x:v>
      </x:c>
      <x:c r="B5533" s="5" t="d">
        <x:v>2016-09-26T00:00:00.000Z</x:v>
      </x:c>
      <x:c r="C5533" s="1" t="str">
        <x:v>Standard Class</x:v>
      </x:c>
      <x:c r="D5533" s="1" t="str">
        <x:v>Africa</x:v>
      </x:c>
      <x:c r="E5533" s="1" t="str">
        <x:v>COMPLETE</x:v>
      </x:c>
      <x:c r="F5533" s="1" t="str">
        <x:v>Advance shipping</x:v>
      </x:c>
      <x:c r="G5533" s="6" t="n">
        <x:v>3</x:v>
      </x:c>
      <x:c r="H5533" s="6" t="n">
        <x:v>4</x:v>
      </x:c>
      <x:c r="I5533" s="6" t="n">
        <x:f>G5533-H5533</x:f>
        <x:v>-1</x:v>
      </x:c>
      <x:c r="J5533" s="6" t="n">
        <x:f>IF(OR(E5533="CANCELED",E5533="SUSPECTED_FRAUD",F5533="Shipping canceled"),0,1)</x:f>
        <x:v>1</x:v>
      </x:c>
      <x:c r="K5533" s="6" t="n">
        <x:f>IF(G5533&gt;H5533,1,0)</x:f>
        <x:v>0</x:v>
      </x:c>
      <x:c r="L5533" s="6" t="n">
        <x:f>J5533*K5533</x:f>
        <x:v>0</x:v>
      </x:c>
    </x:row>
    <x:row r="5534">
      <x:c r="A5534" s="1" t="n">
        <x:v>43516</x:v>
      </x:c>
      <x:c r="B5534" s="5" t="d">
        <x:v>2016-09-27T00:00:00.000Z</x:v>
      </x:c>
      <x:c r="C5534" s="1" t="str">
        <x:v>Standard Class</x:v>
      </x:c>
      <x:c r="D5534" s="1" t="str">
        <x:v>Africa</x:v>
      </x:c>
      <x:c r="E5534" s="1" t="str">
        <x:v>PROCESSING</x:v>
      </x:c>
      <x:c r="F5534" s="1" t="str">
        <x:v>Advance shipping</x:v>
      </x:c>
      <x:c r="G5534" s="6" t="n">
        <x:v>2</x:v>
      </x:c>
      <x:c r="H5534" s="6" t="n">
        <x:v>4</x:v>
      </x:c>
      <x:c r="I5534" s="6" t="n">
        <x:f>G5534-H5534</x:f>
        <x:v>-2</x:v>
      </x:c>
      <x:c r="J5534" s="6" t="n">
        <x:f>IF(OR(E5534="CANCELED",E5534="SUSPECTED_FRAUD",F5534="Shipping canceled"),0,1)</x:f>
        <x:v>1</x:v>
      </x:c>
      <x:c r="K5534" s="6" t="n">
        <x:f>IF(G5534&gt;H5534,1,0)</x:f>
        <x:v>0</x:v>
      </x:c>
      <x:c r="L5534" s="6" t="n">
        <x:f>J5534*K5534</x:f>
        <x:v>0</x:v>
      </x:c>
    </x:row>
    <x:row r="5535">
      <x:c r="A5535" s="1" t="n">
        <x:v>43521</x:v>
      </x:c>
      <x:c r="B5535" s="5" t="d">
        <x:v>2016-09-27T00:00:00.000Z</x:v>
      </x:c>
      <x:c r="C5535" s="1" t="str">
        <x:v>Standard Class</x:v>
      </x:c>
      <x:c r="D5535" s="1" t="str">
        <x:v>Pacific Asia</x:v>
      </x:c>
      <x:c r="E5535" s="1" t="str">
        <x:v>PENDING</x:v>
      </x:c>
      <x:c r="F5535" s="1" t="str">
        <x:v>Advance shipping</x:v>
      </x:c>
      <x:c r="G5535" s="6" t="n">
        <x:v>2</x:v>
      </x:c>
      <x:c r="H5535" s="6" t="n">
        <x:v>4</x:v>
      </x:c>
      <x:c r="I5535" s="6" t="n">
        <x:f>G5535-H5535</x:f>
        <x:v>-2</x:v>
      </x:c>
      <x:c r="J5535" s="6" t="n">
        <x:f>IF(OR(E5535="CANCELED",E5535="SUSPECTED_FRAUD",F5535="Shipping canceled"),0,1)</x:f>
        <x:v>1</x:v>
      </x:c>
      <x:c r="K5535" s="6" t="n">
        <x:f>IF(G5535&gt;H5535,1,0)</x:f>
        <x:v>0</x:v>
      </x:c>
      <x:c r="L5535" s="6" t="n">
        <x:f>J5535*K5535</x:f>
        <x:v>0</x:v>
      </x:c>
    </x:row>
    <x:row r="5536">
      <x:c r="A5536" s="1" t="n">
        <x:v>43539</x:v>
      </x:c>
      <x:c r="B5536" s="5" t="d">
        <x:v>2016-09-27T00:00:00.000Z</x:v>
      </x:c>
      <x:c r="C5536" s="1" t="str">
        <x:v>Standard Class</x:v>
      </x:c>
      <x:c r="D5536" s="1" t="str">
        <x:v>Africa</x:v>
      </x:c>
      <x:c r="E5536" s="1" t="str">
        <x:v>CLOSED</x:v>
      </x:c>
      <x:c r="F5536" s="1" t="str">
        <x:v>Late delivery</x:v>
      </x:c>
      <x:c r="G5536" s="6" t="n">
        <x:v>5</x:v>
      </x:c>
      <x:c r="H5536" s="6" t="n">
        <x:v>4</x:v>
      </x:c>
      <x:c r="I5536" s="6" t="n">
        <x:f>G5536-H5536</x:f>
        <x:v>1</x:v>
      </x:c>
      <x:c r="J5536" s="6" t="n">
        <x:f>IF(OR(E5536="CANCELED",E5536="SUSPECTED_FRAUD",F5536="Shipping canceled"),0,1)</x:f>
        <x:v>1</x:v>
      </x:c>
      <x:c r="K5536" s="6" t="n">
        <x:f>IF(G5536&gt;H5536,1,0)</x:f>
        <x:v>1</x:v>
      </x:c>
      <x:c r="L5536" s="6" t="n">
        <x:f>J5536*K5536</x:f>
        <x:v>1</x:v>
      </x:c>
    </x:row>
    <x:row r="5537">
      <x:c r="A5537" s="1" t="n">
        <x:v>43546</x:v>
      </x:c>
      <x:c r="B5537" s="5" t="d">
        <x:v>2016-09-27T00:00:00.000Z</x:v>
      </x:c>
      <x:c r="C5537" s="1" t="str">
        <x:v>Standard Class</x:v>
      </x:c>
      <x:c r="D5537" s="1" t="str">
        <x:v>Africa</x:v>
      </x:c>
      <x:c r="E5537" s="1" t="str">
        <x:v>COMPLETE</x:v>
      </x:c>
      <x:c r="F5537" s="1" t="str">
        <x:v>Advance shipping</x:v>
      </x:c>
      <x:c r="G5537" s="6" t="n">
        <x:v>2</x:v>
      </x:c>
      <x:c r="H5537" s="6" t="n">
        <x:v>4</x:v>
      </x:c>
      <x:c r="I5537" s="6" t="n">
        <x:f>G5537-H5537</x:f>
        <x:v>-2</x:v>
      </x:c>
      <x:c r="J5537" s="6" t="n">
        <x:f>IF(OR(E5537="CANCELED",E5537="SUSPECTED_FRAUD",F5537="Shipping canceled"),0,1)</x:f>
        <x:v>1</x:v>
      </x:c>
      <x:c r="K5537" s="6" t="n">
        <x:f>IF(G5537&gt;H5537,1,0)</x:f>
        <x:v>0</x:v>
      </x:c>
      <x:c r="L5537" s="6" t="n">
        <x:f>J5537*K5537</x:f>
        <x:v>0</x:v>
      </x:c>
    </x:row>
    <x:row r="5538">
      <x:c r="A5538" s="1" t="n">
        <x:v>43551</x:v>
      </x:c>
      <x:c r="B5538" s="5" t="d">
        <x:v>2016-09-27T00:00:00.000Z</x:v>
      </x:c>
      <x:c r="C5538" s="1" t="str">
        <x:v>Standard Class</x:v>
      </x:c>
      <x:c r="D5538" s="1" t="str">
        <x:v>Europe</x:v>
      </x:c>
      <x:c r="E5538" s="1" t="str">
        <x:v>SUSPECTED_FRAUD</x:v>
      </x:c>
      <x:c r="F5538" s="1" t="str">
        <x:v>Shipping canceled</x:v>
      </x:c>
      <x:c r="G5538" s="6" t="n">
        <x:v>2</x:v>
      </x:c>
      <x:c r="H5538" s="6" t="n">
        <x:v>4</x:v>
      </x:c>
      <x:c r="I5538" s="6" t="n">
        <x:f>G5538-H5538</x:f>
        <x:v>-2</x:v>
      </x:c>
      <x:c r="J5538" s="6" t="n">
        <x:f>IF(OR(E5538="CANCELED",E5538="SUSPECTED_FRAUD",F5538="Shipping canceled"),0,1)</x:f>
        <x:v>0</x:v>
      </x:c>
      <x:c r="K5538" s="6" t="n">
        <x:f>IF(G5538&gt;H5538,1,0)</x:f>
        <x:v>0</x:v>
      </x:c>
      <x:c r="L5538" s="6" t="n">
        <x:f>J5538*K5538</x:f>
        <x:v>0</x:v>
      </x:c>
    </x:row>
    <x:row r="5539">
      <x:c r="A5539" s="1" t="n">
        <x:v>43555</x:v>
      </x:c>
      <x:c r="B5539" s="5" t="d">
        <x:v>2016-09-27T00:00:00.000Z</x:v>
      </x:c>
      <x:c r="C5539" s="1" t="str">
        <x:v>First Class</x:v>
      </x:c>
      <x:c r="D5539" s="1" t="str">
        <x:v>Pacific Asia</x:v>
      </x:c>
      <x:c r="E5539" s="1" t="str">
        <x:v>CLOSED</x:v>
      </x:c>
      <x:c r="F5539" s="1" t="str">
        <x:v>Late delivery</x:v>
      </x:c>
      <x:c r="G5539" s="6" t="n">
        <x:v>2</x:v>
      </x:c>
      <x:c r="H5539" s="6" t="n">
        <x:v>1</x:v>
      </x:c>
      <x:c r="I5539" s="6" t="n">
        <x:f>G5539-H5539</x:f>
        <x:v>1</x:v>
      </x:c>
      <x:c r="J5539" s="6" t="n">
        <x:f>IF(OR(E5539="CANCELED",E5539="SUSPECTED_FRAUD",F5539="Shipping canceled"),0,1)</x:f>
        <x:v>1</x:v>
      </x:c>
      <x:c r="K5539" s="6" t="n">
        <x:f>IF(G5539&gt;H5539,1,0)</x:f>
        <x:v>1</x:v>
      </x:c>
      <x:c r="L5539" s="6" t="n">
        <x:f>J5539*K5539</x:f>
        <x:v>1</x:v>
      </x:c>
    </x:row>
    <x:row r="5540">
      <x:c r="A5540" s="1" t="n">
        <x:v>43559</x:v>
      </x:c>
      <x:c r="B5540" s="5" t="d">
        <x:v>2016-09-27T00:00:00.000Z</x:v>
      </x:c>
      <x:c r="C5540" s="1" t="str">
        <x:v>Standard Class</x:v>
      </x:c>
      <x:c r="D5540" s="1" t="str">
        <x:v>Africa</x:v>
      </x:c>
      <x:c r="E5540" s="1" t="str">
        <x:v>COMPLETE</x:v>
      </x:c>
      <x:c r="F5540" s="1" t="str">
        <x:v>Late delivery</x:v>
      </x:c>
      <x:c r="G5540" s="6" t="n">
        <x:v>5</x:v>
      </x:c>
      <x:c r="H5540" s="6" t="n">
        <x:v>4</x:v>
      </x:c>
      <x:c r="I5540" s="6" t="n">
        <x:f>G5540-H5540</x:f>
        <x:v>1</x:v>
      </x:c>
      <x:c r="J5540" s="6" t="n">
        <x:f>IF(OR(E5540="CANCELED",E5540="SUSPECTED_FRAUD",F5540="Shipping canceled"),0,1)</x:f>
        <x:v>1</x:v>
      </x:c>
      <x:c r="K5540" s="6" t="n">
        <x:f>IF(G5540&gt;H5540,1,0)</x:f>
        <x:v>1</x:v>
      </x:c>
      <x:c r="L5540" s="6" t="n">
        <x:f>J5540*K5540</x:f>
        <x:v>1</x:v>
      </x:c>
    </x:row>
    <x:row r="5541">
      <x:c r="A5541" s="1" t="n">
        <x:v>43561</x:v>
      </x:c>
      <x:c r="B5541" s="5" t="d">
        <x:v>2016-09-27T00:00:00.000Z</x:v>
      </x:c>
      <x:c r="C5541" s="1" t="str">
        <x:v>Standard Class</x:v>
      </x:c>
      <x:c r="D5541" s="1" t="str">
        <x:v>Pacific Asia</x:v>
      </x:c>
      <x:c r="E5541" s="1" t="str">
        <x:v>PENDING</x:v>
      </x:c>
      <x:c r="F5541" s="1" t="str">
        <x:v>Advance shipping</x:v>
      </x:c>
      <x:c r="G5541" s="6" t="n">
        <x:v>2</x:v>
      </x:c>
      <x:c r="H5541" s="6" t="n">
        <x:v>4</x:v>
      </x:c>
      <x:c r="I5541" s="6" t="n">
        <x:f>G5541-H5541</x:f>
        <x:v>-2</x:v>
      </x:c>
      <x:c r="J5541" s="6" t="n">
        <x:f>IF(OR(E5541="CANCELED",E5541="SUSPECTED_FRAUD",F5541="Shipping canceled"),0,1)</x:f>
        <x:v>1</x:v>
      </x:c>
      <x:c r="K5541" s="6" t="n">
        <x:f>IF(G5541&gt;H5541,1,0)</x:f>
        <x:v>0</x:v>
      </x:c>
      <x:c r="L5541" s="6" t="n">
        <x:f>J5541*K5541</x:f>
        <x:v>0</x:v>
      </x:c>
    </x:row>
    <x:row r="5542">
      <x:c r="A5542" s="1" t="n">
        <x:v>43576</x:v>
      </x:c>
      <x:c r="B5542" s="5" t="d">
        <x:v>2016-09-28T00:00:00.000Z</x:v>
      </x:c>
      <x:c r="C5542" s="1" t="str">
        <x:v>Standard Class</x:v>
      </x:c>
      <x:c r="D5542" s="1" t="str">
        <x:v>Pacific Asia</x:v>
      </x:c>
      <x:c r="E5542" s="1" t="str">
        <x:v>PROCESSING</x:v>
      </x:c>
      <x:c r="F5542" s="1" t="str">
        <x:v>Advance shipping</x:v>
      </x:c>
      <x:c r="G5542" s="6" t="n">
        <x:v>2</x:v>
      </x:c>
      <x:c r="H5542" s="6" t="n">
        <x:v>4</x:v>
      </x:c>
      <x:c r="I5542" s="6" t="n">
        <x:f>G5542-H5542</x:f>
        <x:v>-2</x:v>
      </x:c>
      <x:c r="J5542" s="6" t="n">
        <x:f>IF(OR(E5542="CANCELED",E5542="SUSPECTED_FRAUD",F5542="Shipping canceled"),0,1)</x:f>
        <x:v>1</x:v>
      </x:c>
      <x:c r="K5542" s="6" t="n">
        <x:f>IF(G5542&gt;H5542,1,0)</x:f>
        <x:v>0</x:v>
      </x:c>
      <x:c r="L5542" s="6" t="n">
        <x:f>J5542*K5542</x:f>
        <x:v>0</x:v>
      </x:c>
    </x:row>
    <x:row r="5543">
      <x:c r="A5543" s="1" t="n">
        <x:v>43577</x:v>
      </x:c>
      <x:c r="B5543" s="5" t="d">
        <x:v>2016-09-28T00:00:00.000Z</x:v>
      </x:c>
      <x:c r="C5543" s="1" t="str">
        <x:v>Standard Class</x:v>
      </x:c>
      <x:c r="D5543" s="1" t="str">
        <x:v>Pacific Asia</x:v>
      </x:c>
      <x:c r="E5543" s="1" t="str">
        <x:v>COMPLETE</x:v>
      </x:c>
      <x:c r="F5543" s="1" t="str">
        <x:v>Advance shipping</x:v>
      </x:c>
      <x:c r="G5543" s="6" t="n">
        <x:v>3</x:v>
      </x:c>
      <x:c r="H5543" s="6" t="n">
        <x:v>4</x:v>
      </x:c>
      <x:c r="I5543" s="6" t="n">
        <x:f>G5543-H5543</x:f>
        <x:v>-1</x:v>
      </x:c>
      <x:c r="J5543" s="6" t="n">
        <x:f>IF(OR(E5543="CANCELED",E5543="SUSPECTED_FRAUD",F5543="Shipping canceled"),0,1)</x:f>
        <x:v>1</x:v>
      </x:c>
      <x:c r="K5543" s="6" t="n">
        <x:f>IF(G5543&gt;H5543,1,0)</x:f>
        <x:v>0</x:v>
      </x:c>
      <x:c r="L5543" s="6" t="n">
        <x:f>J5543*K5543</x:f>
        <x:v>0</x:v>
      </x:c>
    </x:row>
    <x:row r="5544">
      <x:c r="A5544" s="1" t="n">
        <x:v>43578</x:v>
      </x:c>
      <x:c r="B5544" s="5" t="d">
        <x:v>2016-09-28T00:00:00.000Z</x:v>
      </x:c>
      <x:c r="C5544" s="1" t="str">
        <x:v>Standard Class</x:v>
      </x:c>
      <x:c r="D5544" s="1" t="str">
        <x:v>Europe</x:v>
      </x:c>
      <x:c r="E5544" s="1" t="str">
        <x:v>COMPLETE</x:v>
      </x:c>
      <x:c r="F5544" s="1" t="str">
        <x:v>Shipping on time</x:v>
      </x:c>
      <x:c r="G5544" s="6" t="n">
        <x:v>4</x:v>
      </x:c>
      <x:c r="H5544" s="6" t="n">
        <x:v>4</x:v>
      </x:c>
      <x:c r="I5544" s="6" t="n">
        <x:f>G5544-H5544</x:f>
        <x:v>0</x:v>
      </x:c>
      <x:c r="J5544" s="6" t="n">
        <x:f>IF(OR(E5544="CANCELED",E5544="SUSPECTED_FRAUD",F5544="Shipping canceled"),0,1)</x:f>
        <x:v>1</x:v>
      </x:c>
      <x:c r="K5544" s="6" t="n">
        <x:f>IF(G5544&gt;H5544,1,0)</x:f>
        <x:v>0</x:v>
      </x:c>
      <x:c r="L5544" s="6" t="n">
        <x:f>J5544*K5544</x:f>
        <x:v>0</x:v>
      </x:c>
    </x:row>
    <x:row r="5545">
      <x:c r="A5545" s="1" t="n">
        <x:v>43583</x:v>
      </x:c>
      <x:c r="B5545" s="5" t="d">
        <x:v>2016-09-28T00:00:00.000Z</x:v>
      </x:c>
      <x:c r="C5545" s="1" t="str">
        <x:v>Standard Class</x:v>
      </x:c>
      <x:c r="D5545" s="1" t="str">
        <x:v>Pacific Asia</x:v>
      </x:c>
      <x:c r="E5545" s="1" t="str">
        <x:v>PAYMENT_REVIEW</x:v>
      </x:c>
      <x:c r="F5545" s="1" t="str">
        <x:v>Shipping on time</x:v>
      </x:c>
      <x:c r="G5545" s="6" t="n">
        <x:v>4</x:v>
      </x:c>
      <x:c r="H5545" s="6" t="n">
        <x:v>4</x:v>
      </x:c>
      <x:c r="I5545" s="6" t="n">
        <x:f>G5545-H5545</x:f>
        <x:v>0</x:v>
      </x:c>
      <x:c r="J5545" s="6" t="n">
        <x:f>IF(OR(E5545="CANCELED",E5545="SUSPECTED_FRAUD",F5545="Shipping canceled"),0,1)</x:f>
        <x:v>1</x:v>
      </x:c>
      <x:c r="K5545" s="6" t="n">
        <x:f>IF(G5545&gt;H5545,1,0)</x:f>
        <x:v>0</x:v>
      </x:c>
      <x:c r="L5545" s="6" t="n">
        <x:f>J5545*K5545</x:f>
        <x:v>0</x:v>
      </x:c>
    </x:row>
    <x:row r="5546">
      <x:c r="A5546" s="1" t="n">
        <x:v>43599</x:v>
      </x:c>
      <x:c r="B5546" s="5" t="d">
        <x:v>2016-09-28T00:00:00.000Z</x:v>
      </x:c>
      <x:c r="C5546" s="1" t="str">
        <x:v>Standard Class</x:v>
      </x:c>
      <x:c r="D5546" s="1" t="str">
        <x:v>Africa</x:v>
      </x:c>
      <x:c r="E5546" s="1" t="str">
        <x:v>CANCELED</x:v>
      </x:c>
      <x:c r="F5546" s="1" t="str">
        <x:v>Shipping canceled</x:v>
      </x:c>
      <x:c r="G5546" s="6" t="n">
        <x:v>5</x:v>
      </x:c>
      <x:c r="H5546" s="6" t="n">
        <x:v>4</x:v>
      </x:c>
      <x:c r="I5546" s="6" t="n">
        <x:f>G5546-H5546</x:f>
        <x:v>1</x:v>
      </x:c>
      <x:c r="J5546" s="6" t="n">
        <x:f>IF(OR(E5546="CANCELED",E5546="SUSPECTED_FRAUD",F5546="Shipping canceled"),0,1)</x:f>
        <x:v>0</x:v>
      </x:c>
      <x:c r="K5546" s="6" t="n">
        <x:f>IF(G5546&gt;H5546,1,0)</x:f>
        <x:v>1</x:v>
      </x:c>
      <x:c r="L5546" s="6" t="n">
        <x:f>J5546*K5546</x:f>
        <x:v>0</x:v>
      </x:c>
    </x:row>
    <x:row r="5547">
      <x:c r="A5547" s="1" t="n">
        <x:v>43600</x:v>
      </x:c>
      <x:c r="B5547" s="5" t="d">
        <x:v>2016-09-28T00:00:00.000Z</x:v>
      </x:c>
      <x:c r="C5547" s="1" t="str">
        <x:v>Standard Class</x:v>
      </x:c>
      <x:c r="D5547" s="1" t="str">
        <x:v>Africa</x:v>
      </x:c>
      <x:c r="E5547" s="1" t="str">
        <x:v>COMPLETE</x:v>
      </x:c>
      <x:c r="F5547" s="1" t="str">
        <x:v>Late delivery</x:v>
      </x:c>
      <x:c r="G5547" s="6" t="n">
        <x:v>6</x:v>
      </x:c>
      <x:c r="H5547" s="6" t="n">
        <x:v>4</x:v>
      </x:c>
      <x:c r="I5547" s="6" t="n">
        <x:f>G5547-H5547</x:f>
        <x:v>2</x:v>
      </x:c>
      <x:c r="J5547" s="6" t="n">
        <x:f>IF(OR(E5547="CANCELED",E5547="SUSPECTED_FRAUD",F5547="Shipping canceled"),0,1)</x:f>
        <x:v>1</x:v>
      </x:c>
      <x:c r="K5547" s="6" t="n">
        <x:f>IF(G5547&gt;H5547,1,0)</x:f>
        <x:v>1</x:v>
      </x:c>
      <x:c r="L5547" s="6" t="n">
        <x:f>J5547*K5547</x:f>
        <x:v>1</x:v>
      </x:c>
    </x:row>
    <x:row r="5548">
      <x:c r="A5548" s="1" t="n">
        <x:v>43607</x:v>
      </x:c>
      <x:c r="B5548" s="5" t="d">
        <x:v>2016-09-28T00:00:00.000Z</x:v>
      </x:c>
      <x:c r="C5548" s="1" t="str">
        <x:v>Standard Class</x:v>
      </x:c>
      <x:c r="D5548" s="1" t="str">
        <x:v>Africa</x:v>
      </x:c>
      <x:c r="E5548" s="1" t="str">
        <x:v>COMPLETE</x:v>
      </x:c>
      <x:c r="F5548" s="1" t="str">
        <x:v>Advance shipping</x:v>
      </x:c>
      <x:c r="G5548" s="6" t="n">
        <x:v>3</x:v>
      </x:c>
      <x:c r="H5548" s="6" t="n">
        <x:v>4</x:v>
      </x:c>
      <x:c r="I5548" s="6" t="n">
        <x:f>G5548-H5548</x:f>
        <x:v>-1</x:v>
      </x:c>
      <x:c r="J5548" s="6" t="n">
        <x:f>IF(OR(E5548="CANCELED",E5548="SUSPECTED_FRAUD",F5548="Shipping canceled"),0,1)</x:f>
        <x:v>1</x:v>
      </x:c>
      <x:c r="K5548" s="6" t="n">
        <x:f>IF(G5548&gt;H5548,1,0)</x:f>
        <x:v>0</x:v>
      </x:c>
      <x:c r="L5548" s="6" t="n">
        <x:f>J5548*K5548</x:f>
        <x:v>0</x:v>
      </x:c>
    </x:row>
    <x:row r="5549">
      <x:c r="A5549" s="1" t="n">
        <x:v>43612</x:v>
      </x:c>
      <x:c r="B5549" s="5" t="d">
        <x:v>2016-09-28T00:00:00.000Z</x:v>
      </x:c>
      <x:c r="C5549" s="1" t="str">
        <x:v>Standard Class</x:v>
      </x:c>
      <x:c r="D5549" s="1" t="str">
        <x:v>Pacific Asia</x:v>
      </x:c>
      <x:c r="E5549" s="1" t="str">
        <x:v>PENDING_PAYMENT</x:v>
      </x:c>
      <x:c r="F5549" s="1" t="str">
        <x:v>Advance shipping</x:v>
      </x:c>
      <x:c r="G5549" s="6" t="n">
        <x:v>3</x:v>
      </x:c>
      <x:c r="H5549" s="6" t="n">
        <x:v>4</x:v>
      </x:c>
      <x:c r="I5549" s="6" t="n">
        <x:f>G5549-H5549</x:f>
        <x:v>-1</x:v>
      </x:c>
      <x:c r="J5549" s="6" t="n">
        <x:f>IF(OR(E5549="CANCELED",E5549="SUSPECTED_FRAUD",F5549="Shipping canceled"),0,1)</x:f>
        <x:v>1</x:v>
      </x:c>
      <x:c r="K5549" s="6" t="n">
        <x:f>IF(G5549&gt;H5549,1,0)</x:f>
        <x:v>0</x:v>
      </x:c>
      <x:c r="L5549" s="6" t="n">
        <x:f>J5549*K5549</x:f>
        <x:v>0</x:v>
      </x:c>
    </x:row>
    <x:row r="5550">
      <x:c r="A5550" s="1" t="n">
        <x:v>43613</x:v>
      </x:c>
      <x:c r="B5550" s="5" t="d">
        <x:v>2016-09-28T00:00:00.000Z</x:v>
      </x:c>
      <x:c r="C5550" s="1" t="str">
        <x:v>Standard Class</x:v>
      </x:c>
      <x:c r="D5550" s="1" t="str">
        <x:v>Pacific Asia</x:v>
      </x:c>
      <x:c r="E5550" s="1" t="str">
        <x:v>COMPLETE</x:v>
      </x:c>
      <x:c r="F5550" s="1" t="str">
        <x:v>Shipping on time</x:v>
      </x:c>
      <x:c r="G5550" s="6" t="n">
        <x:v>4</x:v>
      </x:c>
      <x:c r="H5550" s="6" t="n">
        <x:v>4</x:v>
      </x:c>
      <x:c r="I5550" s="6" t="n">
        <x:f>G5550-H5550</x:f>
        <x:v>0</x:v>
      </x:c>
      <x:c r="J5550" s="6" t="n">
        <x:f>IF(OR(E5550="CANCELED",E5550="SUSPECTED_FRAUD",F5550="Shipping canceled"),0,1)</x:f>
        <x:v>1</x:v>
      </x:c>
      <x:c r="K5550" s="6" t="n">
        <x:f>IF(G5550&gt;H5550,1,0)</x:f>
        <x:v>0</x:v>
      </x:c>
      <x:c r="L5550" s="6" t="n">
        <x:f>J5550*K5550</x:f>
        <x:v>0</x:v>
      </x:c>
    </x:row>
    <x:row r="5551">
      <x:c r="A5551" s="1" t="n">
        <x:v>43638</x:v>
      </x:c>
      <x:c r="B5551" s="5" t="d">
        <x:v>2016-09-28T00:00:00.000Z</x:v>
      </x:c>
      <x:c r="C5551" s="1" t="str">
        <x:v>Standard Class</x:v>
      </x:c>
      <x:c r="D5551" s="1" t="str">
        <x:v>Pacific Asia</x:v>
      </x:c>
      <x:c r="E5551" s="1" t="str">
        <x:v>COMPLETE</x:v>
      </x:c>
      <x:c r="F5551" s="1" t="str">
        <x:v>Shipping on time</x:v>
      </x:c>
      <x:c r="G5551" s="6" t="n">
        <x:v>4</x:v>
      </x:c>
      <x:c r="H5551" s="6" t="n">
        <x:v>4</x:v>
      </x:c>
      <x:c r="I5551" s="6" t="n">
        <x:f>G5551-H5551</x:f>
        <x:v>0</x:v>
      </x:c>
      <x:c r="J5551" s="6" t="n">
        <x:f>IF(OR(E5551="CANCELED",E5551="SUSPECTED_FRAUD",F5551="Shipping canceled"),0,1)</x:f>
        <x:v>1</x:v>
      </x:c>
      <x:c r="K5551" s="6" t="n">
        <x:f>IF(G5551&gt;H5551,1,0)</x:f>
        <x:v>0</x:v>
      </x:c>
      <x:c r="L5551" s="6" t="n">
        <x:f>J5551*K5551</x:f>
        <x:v>0</x:v>
      </x:c>
    </x:row>
    <x:row r="5552">
      <x:c r="A5552" s="1" t="n">
        <x:v>43640</x:v>
      </x:c>
      <x:c r="B5552" s="5" t="d">
        <x:v>2016-09-29T00:00:00.000Z</x:v>
      </x:c>
      <x:c r="C5552" s="1" t="str">
        <x:v>Standard Class</x:v>
      </x:c>
      <x:c r="D5552" s="1" t="str">
        <x:v>Pacific Asia</x:v>
      </x:c>
      <x:c r="E5552" s="1" t="str">
        <x:v>PROCESSING</x:v>
      </x:c>
      <x:c r="F5552" s="1" t="str">
        <x:v>Late delivery</x:v>
      </x:c>
      <x:c r="G5552" s="6" t="n">
        <x:v>6</x:v>
      </x:c>
      <x:c r="H5552" s="6" t="n">
        <x:v>4</x:v>
      </x:c>
      <x:c r="I5552" s="6" t="n">
        <x:f>G5552-H5552</x:f>
        <x:v>2</x:v>
      </x:c>
      <x:c r="J5552" s="6" t="n">
        <x:f>IF(OR(E5552="CANCELED",E5552="SUSPECTED_FRAUD",F5552="Shipping canceled"),0,1)</x:f>
        <x:v>1</x:v>
      </x:c>
      <x:c r="K5552" s="6" t="n">
        <x:f>IF(G5552&gt;H5552,1,0)</x:f>
        <x:v>1</x:v>
      </x:c>
      <x:c r="L5552" s="6" t="n">
        <x:f>J5552*K5552</x:f>
        <x:v>1</x:v>
      </x:c>
    </x:row>
    <x:row r="5553">
      <x:c r="A5553" s="1" t="n">
        <x:v>43650</x:v>
      </x:c>
      <x:c r="B5553" s="5" t="d">
        <x:v>2016-09-29T00:00:00.000Z</x:v>
      </x:c>
      <x:c r="C5553" s="1" t="str">
        <x:v>Standard Class</x:v>
      </x:c>
      <x:c r="D5553" s="1" t="str">
        <x:v>Europe</x:v>
      </x:c>
      <x:c r="E5553" s="1" t="str">
        <x:v>COMPLETE</x:v>
      </x:c>
      <x:c r="F5553" s="1" t="str">
        <x:v>Late delivery</x:v>
      </x:c>
      <x:c r="G5553" s="6" t="n">
        <x:v>6</x:v>
      </x:c>
      <x:c r="H5553" s="6" t="n">
        <x:v>4</x:v>
      </x:c>
      <x:c r="I5553" s="6" t="n">
        <x:f>G5553-H5553</x:f>
        <x:v>2</x:v>
      </x:c>
      <x:c r="J5553" s="6" t="n">
        <x:f>IF(OR(E5553="CANCELED",E5553="SUSPECTED_FRAUD",F5553="Shipping canceled"),0,1)</x:f>
        <x:v>1</x:v>
      </x:c>
      <x:c r="K5553" s="6" t="n">
        <x:f>IF(G5553&gt;H5553,1,0)</x:f>
        <x:v>1</x:v>
      </x:c>
      <x:c r="L5553" s="6" t="n">
        <x:f>J5553*K5553</x:f>
        <x:v>1</x:v>
      </x:c>
    </x:row>
    <x:row r="5554">
      <x:c r="A5554" s="1" t="n">
        <x:v>43653</x:v>
      </x:c>
      <x:c r="B5554" s="5" t="d">
        <x:v>2016-09-29T00:00:00.000Z</x:v>
      </x:c>
      <x:c r="C5554" s="1" t="str">
        <x:v>Standard Class</x:v>
      </x:c>
      <x:c r="D5554" s="1" t="str">
        <x:v>Europe</x:v>
      </x:c>
      <x:c r="E5554" s="1" t="str">
        <x:v>COMPLETE</x:v>
      </x:c>
      <x:c r="F5554" s="1" t="str">
        <x:v>Shipping on time</x:v>
      </x:c>
      <x:c r="G5554" s="6" t="n">
        <x:v>4</x:v>
      </x:c>
      <x:c r="H5554" s="6" t="n">
        <x:v>4</x:v>
      </x:c>
      <x:c r="I5554" s="6" t="n">
        <x:f>G5554-H5554</x:f>
        <x:v>0</x:v>
      </x:c>
      <x:c r="J5554" s="6" t="n">
        <x:f>IF(OR(E5554="CANCELED",E5554="SUSPECTED_FRAUD",F5554="Shipping canceled"),0,1)</x:f>
        <x:v>1</x:v>
      </x:c>
      <x:c r="K5554" s="6" t="n">
        <x:f>IF(G5554&gt;H5554,1,0)</x:f>
        <x:v>0</x:v>
      </x:c>
      <x:c r="L5554" s="6" t="n">
        <x:f>J5554*K5554</x:f>
        <x:v>0</x:v>
      </x:c>
    </x:row>
    <x:row r="5555">
      <x:c r="A5555" s="1" t="n">
        <x:v>43670</x:v>
      </x:c>
      <x:c r="B5555" s="5" t="d">
        <x:v>2016-09-29T00:00:00.000Z</x:v>
      </x:c>
      <x:c r="C5555" s="1" t="str">
        <x:v>Standard Class</x:v>
      </x:c>
      <x:c r="D5555" s="1" t="str">
        <x:v>Europe</x:v>
      </x:c>
      <x:c r="E5555" s="1" t="str">
        <x:v>COMPLETE</x:v>
      </x:c>
      <x:c r="F5555" s="1" t="str">
        <x:v>Late delivery</x:v>
      </x:c>
      <x:c r="G5555" s="6" t="n">
        <x:v>6</x:v>
      </x:c>
      <x:c r="H5555" s="6" t="n">
        <x:v>4</x:v>
      </x:c>
      <x:c r="I5555" s="6" t="n">
        <x:f>G5555-H5555</x:f>
        <x:v>2</x:v>
      </x:c>
      <x:c r="J5555" s="6" t="n">
        <x:f>IF(OR(E5555="CANCELED",E5555="SUSPECTED_FRAUD",F5555="Shipping canceled"),0,1)</x:f>
        <x:v>1</x:v>
      </x:c>
      <x:c r="K5555" s="6" t="n">
        <x:f>IF(G5555&gt;H5555,1,0)</x:f>
        <x:v>1</x:v>
      </x:c>
      <x:c r="L5555" s="6" t="n">
        <x:f>J5555*K5555</x:f>
        <x:v>1</x:v>
      </x:c>
    </x:row>
    <x:row r="5556">
      <x:c r="A5556" s="1" t="n">
        <x:v>43681</x:v>
      </x:c>
      <x:c r="B5556" s="5" t="d">
        <x:v>2016-09-29T00:00:00.000Z</x:v>
      </x:c>
      <x:c r="C5556" s="1" t="str">
        <x:v>Standard Class</x:v>
      </x:c>
      <x:c r="D5556" s="1" t="str">
        <x:v>Africa</x:v>
      </x:c>
      <x:c r="E5556" s="1" t="str">
        <x:v>PENDING</x:v>
      </x:c>
      <x:c r="F5556" s="1" t="str">
        <x:v>Advance shipping</x:v>
      </x:c>
      <x:c r="G5556" s="6" t="n">
        <x:v>2</x:v>
      </x:c>
      <x:c r="H5556" s="6" t="n">
        <x:v>4</x:v>
      </x:c>
      <x:c r="I5556" s="6" t="n">
        <x:f>G5556-H5556</x:f>
        <x:v>-2</x:v>
      </x:c>
      <x:c r="J5556" s="6" t="n">
        <x:f>IF(OR(E5556="CANCELED",E5556="SUSPECTED_FRAUD",F5556="Shipping canceled"),0,1)</x:f>
        <x:v>1</x:v>
      </x:c>
      <x:c r="K5556" s="6" t="n">
        <x:f>IF(G5556&gt;H5556,1,0)</x:f>
        <x:v>0</x:v>
      </x:c>
      <x:c r="L5556" s="6" t="n">
        <x:f>J5556*K5556</x:f>
        <x:v>0</x:v>
      </x:c>
    </x:row>
    <x:row r="5557">
      <x:c r="A5557" s="1" t="n">
        <x:v>43682</x:v>
      </x:c>
      <x:c r="B5557" s="5" t="d">
        <x:v>2016-09-29T00:00:00.000Z</x:v>
      </x:c>
      <x:c r="C5557" s="1" t="str">
        <x:v>Standard Class</x:v>
      </x:c>
      <x:c r="D5557" s="1" t="str">
        <x:v>Pacific Asia</x:v>
      </x:c>
      <x:c r="E5557" s="1" t="str">
        <x:v>COMPLETE</x:v>
      </x:c>
      <x:c r="F5557" s="1" t="str">
        <x:v>Advance shipping</x:v>
      </x:c>
      <x:c r="G5557" s="6" t="n">
        <x:v>3</x:v>
      </x:c>
      <x:c r="H5557" s="6" t="n">
        <x:v>4</x:v>
      </x:c>
      <x:c r="I5557" s="6" t="n">
        <x:f>G5557-H5557</x:f>
        <x:v>-1</x:v>
      </x:c>
      <x:c r="J5557" s="6" t="n">
        <x:f>IF(OR(E5557="CANCELED",E5557="SUSPECTED_FRAUD",F5557="Shipping canceled"),0,1)</x:f>
        <x:v>1</x:v>
      </x:c>
      <x:c r="K5557" s="6" t="n">
        <x:f>IF(G5557&gt;H5557,1,0)</x:f>
        <x:v>0</x:v>
      </x:c>
      <x:c r="L5557" s="6" t="n">
        <x:f>J5557*K5557</x:f>
        <x:v>0</x:v>
      </x:c>
    </x:row>
    <x:row r="5558">
      <x:c r="A5558" s="1" t="n">
        <x:v>43685</x:v>
      </x:c>
      <x:c r="B5558" s="5" t="d">
        <x:v>2016-09-29T00:00:00.000Z</x:v>
      </x:c>
      <x:c r="C5558" s="1" t="str">
        <x:v>Standard Class</x:v>
      </x:c>
      <x:c r="D5558" s="1" t="str">
        <x:v>Africa</x:v>
      </x:c>
      <x:c r="E5558" s="1" t="str">
        <x:v>COMPLETE</x:v>
      </x:c>
      <x:c r="F5558" s="1" t="str">
        <x:v>Late delivery</x:v>
      </x:c>
      <x:c r="G5558" s="6" t="n">
        <x:v>6</x:v>
      </x:c>
      <x:c r="H5558" s="6" t="n">
        <x:v>4</x:v>
      </x:c>
      <x:c r="I5558" s="6" t="n">
        <x:f>G5558-H5558</x:f>
        <x:v>2</x:v>
      </x:c>
      <x:c r="J5558" s="6" t="n">
        <x:f>IF(OR(E5558="CANCELED",E5558="SUSPECTED_FRAUD",F5558="Shipping canceled"),0,1)</x:f>
        <x:v>1</x:v>
      </x:c>
      <x:c r="K5558" s="6" t="n">
        <x:f>IF(G5558&gt;H5558,1,0)</x:f>
        <x:v>1</x:v>
      </x:c>
      <x:c r="L5558" s="6" t="n">
        <x:f>J5558*K5558</x:f>
        <x:v>1</x:v>
      </x:c>
    </x:row>
    <x:row r="5559">
      <x:c r="A5559" s="1" t="n">
        <x:v>43689</x:v>
      </x:c>
      <x:c r="B5559" s="5" t="d">
        <x:v>2016-09-29T00:00:00.000Z</x:v>
      </x:c>
      <x:c r="C5559" s="1" t="str">
        <x:v>Standard Class</x:v>
      </x:c>
      <x:c r="D5559" s="1" t="str">
        <x:v>Africa</x:v>
      </x:c>
      <x:c r="E5559" s="1" t="str">
        <x:v>PENDING</x:v>
      </x:c>
      <x:c r="F5559" s="1" t="str">
        <x:v>Late delivery</x:v>
      </x:c>
      <x:c r="G5559" s="6" t="n">
        <x:v>5</x:v>
      </x:c>
      <x:c r="H5559" s="6" t="n">
        <x:v>4</x:v>
      </x:c>
      <x:c r="I5559" s="6" t="n">
        <x:f>G5559-H5559</x:f>
        <x:v>1</x:v>
      </x:c>
      <x:c r="J5559" s="6" t="n">
        <x:f>IF(OR(E5559="CANCELED",E5559="SUSPECTED_FRAUD",F5559="Shipping canceled"),0,1)</x:f>
        <x:v>1</x:v>
      </x:c>
      <x:c r="K5559" s="6" t="n">
        <x:f>IF(G5559&gt;H5559,1,0)</x:f>
        <x:v>1</x:v>
      </x:c>
      <x:c r="L5559" s="6" t="n">
        <x:f>J5559*K5559</x:f>
        <x:v>1</x:v>
      </x:c>
    </x:row>
    <x:row r="5560">
      <x:c r="A5560" s="1" t="n">
        <x:v>43690</x:v>
      </x:c>
      <x:c r="B5560" s="5" t="d">
        <x:v>2016-09-29T00:00:00.000Z</x:v>
      </x:c>
      <x:c r="C5560" s="1" t="str">
        <x:v>Standard Class</x:v>
      </x:c>
      <x:c r="D5560" s="1" t="str">
        <x:v>Africa</x:v>
      </x:c>
      <x:c r="E5560" s="1" t="str">
        <x:v>COMPLETE</x:v>
      </x:c>
      <x:c r="F5560" s="1" t="str">
        <x:v>Late delivery</x:v>
      </x:c>
      <x:c r="G5560" s="6" t="n">
        <x:v>6</x:v>
      </x:c>
      <x:c r="H5560" s="6" t="n">
        <x:v>4</x:v>
      </x:c>
      <x:c r="I5560" s="6" t="n">
        <x:f>G5560-H5560</x:f>
        <x:v>2</x:v>
      </x:c>
      <x:c r="J5560" s="6" t="n">
        <x:f>IF(OR(E5560="CANCELED",E5560="SUSPECTED_FRAUD",F5560="Shipping canceled"),0,1)</x:f>
        <x:v>1</x:v>
      </x:c>
      <x:c r="K5560" s="6" t="n">
        <x:f>IF(G5560&gt;H5560,1,0)</x:f>
        <x:v>1</x:v>
      </x:c>
      <x:c r="L5560" s="6" t="n">
        <x:f>J5560*K5560</x:f>
        <x:v>1</x:v>
      </x:c>
    </x:row>
    <x:row r="5561">
      <x:c r="A5561" s="1" t="n">
        <x:v>43693</x:v>
      </x:c>
      <x:c r="B5561" s="5" t="d">
        <x:v>2016-09-29T00:00:00.000Z</x:v>
      </x:c>
      <x:c r="C5561" s="1" t="str">
        <x:v>Standard Class</x:v>
      </x:c>
      <x:c r="D5561" s="1" t="str">
        <x:v>Africa</x:v>
      </x:c>
      <x:c r="E5561" s="1" t="str">
        <x:v>ON_HOLD</x:v>
      </x:c>
      <x:c r="F5561" s="1" t="str">
        <x:v>Shipping on time</x:v>
      </x:c>
      <x:c r="G5561" s="6" t="n">
        <x:v>4</x:v>
      </x:c>
      <x:c r="H5561" s="6" t="n">
        <x:v>4</x:v>
      </x:c>
      <x:c r="I5561" s="6" t="n">
        <x:f>G5561-H5561</x:f>
        <x:v>0</x:v>
      </x:c>
      <x:c r="J5561" s="6" t="n">
        <x:f>IF(OR(E5561="CANCELED",E5561="SUSPECTED_FRAUD",F5561="Shipping canceled"),0,1)</x:f>
        <x:v>1</x:v>
      </x:c>
      <x:c r="K5561" s="6" t="n">
        <x:f>IF(G5561&gt;H5561,1,0)</x:f>
        <x:v>0</x:v>
      </x:c>
      <x:c r="L5561" s="6" t="n">
        <x:f>J5561*K5561</x:f>
        <x:v>0</x:v>
      </x:c>
    </x:row>
    <x:row r="5562">
      <x:c r="A5562" s="1" t="n">
        <x:v>43702</x:v>
      </x:c>
      <x:c r="B5562" s="5" t="d">
        <x:v>2016-09-29T00:00:00.000Z</x:v>
      </x:c>
      <x:c r="C5562" s="1" t="str">
        <x:v>Second Class</x:v>
      </x:c>
      <x:c r="D5562" s="1" t="str">
        <x:v>Pacific Asia</x:v>
      </x:c>
      <x:c r="E5562" s="1" t="str">
        <x:v>CLOSED</x:v>
      </x:c>
      <x:c r="F5562" s="1" t="str">
        <x:v>Late delivery</x:v>
      </x:c>
      <x:c r="G5562" s="6" t="n">
        <x:v>3</x:v>
      </x:c>
      <x:c r="H5562" s="6" t="n">
        <x:v>2</x:v>
      </x:c>
      <x:c r="I5562" s="6" t="n">
        <x:f>G5562-H5562</x:f>
        <x:v>1</x:v>
      </x:c>
      <x:c r="J5562" s="6" t="n">
        <x:f>IF(OR(E5562="CANCELED",E5562="SUSPECTED_FRAUD",F5562="Shipping canceled"),0,1)</x:f>
        <x:v>1</x:v>
      </x:c>
      <x:c r="K5562" s="6" t="n">
        <x:f>IF(G5562&gt;H5562,1,0)</x:f>
        <x:v>1</x:v>
      </x:c>
      <x:c r="L5562" s="6" t="n">
        <x:f>J5562*K5562</x:f>
        <x:v>1</x:v>
      </x:c>
    </x:row>
    <x:row r="5563">
      <x:c r="A5563" s="1" t="n">
        <x:v>43715</x:v>
      </x:c>
      <x:c r="B5563" s="5" t="d">
        <x:v>2016-09-30T00:00:00.000Z</x:v>
      </x:c>
      <x:c r="C5563" s="1" t="str">
        <x:v>Second Class</x:v>
      </x:c>
      <x:c r="D5563" s="1" t="str">
        <x:v>Africa</x:v>
      </x:c>
      <x:c r="E5563" s="1" t="str">
        <x:v>SUSPECTED_FRAUD</x:v>
      </x:c>
      <x:c r="F5563" s="1" t="str">
        <x:v>Shipping canceled</x:v>
      </x:c>
      <x:c r="G5563" s="6" t="n">
        <x:v>6</x:v>
      </x:c>
      <x:c r="H5563" s="6" t="n">
        <x:v>2</x:v>
      </x:c>
      <x:c r="I5563" s="6" t="n">
        <x:f>G5563-H5563</x:f>
        <x:v>4</x:v>
      </x:c>
      <x:c r="J5563" s="6" t="n">
        <x:f>IF(OR(E5563="CANCELED",E5563="SUSPECTED_FRAUD",F5563="Shipping canceled"),0,1)</x:f>
        <x:v>0</x:v>
      </x:c>
      <x:c r="K5563" s="6" t="n">
        <x:f>IF(G5563&gt;H5563,1,0)</x:f>
        <x:v>1</x:v>
      </x:c>
      <x:c r="L5563" s="6" t="n">
        <x:f>J5563*K5563</x:f>
        <x:v>0</x:v>
      </x:c>
    </x:row>
    <x:row r="5564">
      <x:c r="A5564" s="1" t="n">
        <x:v>43720</x:v>
      </x:c>
      <x:c r="B5564" s="5" t="d">
        <x:v>2016-09-30T00:00:00.000Z</x:v>
      </x:c>
      <x:c r="C5564" s="1" t="str">
        <x:v>Standard Class</x:v>
      </x:c>
      <x:c r="D5564" s="1" t="str">
        <x:v>Europe</x:v>
      </x:c>
      <x:c r="E5564" s="1" t="str">
        <x:v>PENDING_PAYMENT</x:v>
      </x:c>
      <x:c r="F5564" s="1" t="str">
        <x:v>Late delivery</x:v>
      </x:c>
      <x:c r="G5564" s="6" t="n">
        <x:v>6</x:v>
      </x:c>
      <x:c r="H5564" s="6" t="n">
        <x:v>4</x:v>
      </x:c>
      <x:c r="I5564" s="6" t="n">
        <x:f>G5564-H5564</x:f>
        <x:v>2</x:v>
      </x:c>
      <x:c r="J5564" s="6" t="n">
        <x:f>IF(OR(E5564="CANCELED",E5564="SUSPECTED_FRAUD",F5564="Shipping canceled"),0,1)</x:f>
        <x:v>1</x:v>
      </x:c>
      <x:c r="K5564" s="6" t="n">
        <x:f>IF(G5564&gt;H5564,1,0)</x:f>
        <x:v>1</x:v>
      </x:c>
      <x:c r="L5564" s="6" t="n">
        <x:f>J5564*K5564</x:f>
        <x:v>1</x:v>
      </x:c>
    </x:row>
    <x:row r="5565">
      <x:c r="A5565" s="1" t="n">
        <x:v>43739</x:v>
      </x:c>
      <x:c r="B5565" s="5" t="d">
        <x:v>2016-09-30T00:00:00.000Z</x:v>
      </x:c>
      <x:c r="C5565" s="1" t="str">
        <x:v>Standard Class</x:v>
      </x:c>
      <x:c r="D5565" s="1" t="str">
        <x:v>Pacific Asia</x:v>
      </x:c>
      <x:c r="E5565" s="1" t="str">
        <x:v>PENDING</x:v>
      </x:c>
      <x:c r="F5565" s="1" t="str">
        <x:v>Late delivery</x:v>
      </x:c>
      <x:c r="G5565" s="6" t="n">
        <x:v>5</x:v>
      </x:c>
      <x:c r="H5565" s="6" t="n">
        <x:v>4</x:v>
      </x:c>
      <x:c r="I5565" s="6" t="n">
        <x:f>G5565-H5565</x:f>
        <x:v>1</x:v>
      </x:c>
      <x:c r="J5565" s="6" t="n">
        <x:f>IF(OR(E5565="CANCELED",E5565="SUSPECTED_FRAUD",F5565="Shipping canceled"),0,1)</x:f>
        <x:v>1</x:v>
      </x:c>
      <x:c r="K5565" s="6" t="n">
        <x:f>IF(G5565&gt;H5565,1,0)</x:f>
        <x:v>1</x:v>
      </x:c>
      <x:c r="L5565" s="6" t="n">
        <x:f>J5565*K5565</x:f>
        <x:v>1</x:v>
      </x:c>
    </x:row>
    <x:row r="5566">
      <x:c r="A5566" s="1" t="n">
        <x:v>43757</x:v>
      </x:c>
      <x:c r="B5566" s="5" t="d">
        <x:v>2016-09-30T00:00:00.000Z</x:v>
      </x:c>
      <x:c r="C5566" s="1" t="str">
        <x:v>Standard Class</x:v>
      </x:c>
      <x:c r="D5566" s="1" t="str">
        <x:v>Africa</x:v>
      </x:c>
      <x:c r="E5566" s="1" t="str">
        <x:v>COMPLETE</x:v>
      </x:c>
      <x:c r="F5566" s="1" t="str">
        <x:v>Advance shipping</x:v>
      </x:c>
      <x:c r="G5566" s="6" t="n">
        <x:v>3</x:v>
      </x:c>
      <x:c r="H5566" s="6" t="n">
        <x:v>4</x:v>
      </x:c>
      <x:c r="I5566" s="6" t="n">
        <x:f>G5566-H5566</x:f>
        <x:v>-1</x:v>
      </x:c>
      <x:c r="J5566" s="6" t="n">
        <x:f>IF(OR(E5566="CANCELED",E5566="SUSPECTED_FRAUD",F5566="Shipping canceled"),0,1)</x:f>
        <x:v>1</x:v>
      </x:c>
      <x:c r="K5566" s="6" t="n">
        <x:f>IF(G5566&gt;H5566,1,0)</x:f>
        <x:v>0</x:v>
      </x:c>
      <x:c r="L5566" s="6" t="n">
        <x:f>J5566*K5566</x:f>
        <x:v>0</x:v>
      </x:c>
    </x:row>
    <x:row r="5567">
      <x:c r="A5567" s="1" t="n">
        <x:v>43772</x:v>
      </x:c>
      <x:c r="B5567" s="5" t="d">
        <x:v>2016-09-30T00:00:00.000Z</x:v>
      </x:c>
      <x:c r="C5567" s="1" t="str">
        <x:v>Standard Class</x:v>
      </x:c>
      <x:c r="D5567" s="1" t="str">
        <x:v>Europe</x:v>
      </x:c>
      <x:c r="E5567" s="1" t="str">
        <x:v>COMPLETE</x:v>
      </x:c>
      <x:c r="F5567" s="1" t="str">
        <x:v>Advance shipping</x:v>
      </x:c>
      <x:c r="G5567" s="6" t="n">
        <x:v>3</x:v>
      </x:c>
      <x:c r="H5567" s="6" t="n">
        <x:v>4</x:v>
      </x:c>
      <x:c r="I5567" s="6" t="n">
        <x:f>G5567-H5567</x:f>
        <x:v>-1</x:v>
      </x:c>
      <x:c r="J5567" s="6" t="n">
        <x:f>IF(OR(E5567="CANCELED",E5567="SUSPECTED_FRAUD",F5567="Shipping canceled"),0,1)</x:f>
        <x:v>1</x:v>
      </x:c>
      <x:c r="K5567" s="6" t="n">
        <x:f>IF(G5567&gt;H5567,1,0)</x:f>
        <x:v>0</x:v>
      </x:c>
      <x:c r="L5567" s="6" t="n">
        <x:f>J5567*K5567</x:f>
        <x:v>0</x:v>
      </x:c>
    </x:row>
    <x:row r="5568">
      <x:c r="A5568" s="1" t="n">
        <x:v>43781</x:v>
      </x:c>
      <x:c r="B5568" s="5" t="d">
        <x:v>2016-10-01T00:00:00.000Z</x:v>
      </x:c>
      <x:c r="C5568" s="1" t="str">
        <x:v>First Class</x:v>
      </x:c>
      <x:c r="D5568" s="1" t="str">
        <x:v>Europe</x:v>
      </x:c>
      <x:c r="E5568" s="1" t="str">
        <x:v>PENDING_PAYMENT</x:v>
      </x:c>
      <x:c r="F5568" s="1" t="str">
        <x:v>Late delivery</x:v>
      </x:c>
      <x:c r="G5568" s="6" t="n">
        <x:v>2</x:v>
      </x:c>
      <x:c r="H5568" s="6" t="n">
        <x:v>1</x:v>
      </x:c>
      <x:c r="I5568" s="6" t="n">
        <x:f>G5568-H5568</x:f>
        <x:v>1</x:v>
      </x:c>
      <x:c r="J5568" s="6" t="n">
        <x:f>IF(OR(E5568="CANCELED",E5568="SUSPECTED_FRAUD",F5568="Shipping canceled"),0,1)</x:f>
        <x:v>1</x:v>
      </x:c>
      <x:c r="K5568" s="6" t="n">
        <x:f>IF(G5568&gt;H5568,1,0)</x:f>
        <x:v>1</x:v>
      </x:c>
      <x:c r="L5568" s="6" t="n">
        <x:f>J5568*K5568</x:f>
        <x:v>1</x:v>
      </x:c>
    </x:row>
    <x:row r="5569">
      <x:c r="A5569" s="1" t="n">
        <x:v>43785</x:v>
      </x:c>
      <x:c r="B5569" s="5" t="d">
        <x:v>2016-10-01T00:00:00.000Z</x:v>
      </x:c>
      <x:c r="C5569" s="1" t="str">
        <x:v>Standard Class</x:v>
      </x:c>
      <x:c r="D5569" s="1" t="str">
        <x:v>Europe</x:v>
      </x:c>
      <x:c r="E5569" s="1" t="str">
        <x:v>COMPLETE</x:v>
      </x:c>
      <x:c r="F5569" s="1" t="str">
        <x:v>Late delivery</x:v>
      </x:c>
      <x:c r="G5569" s="6" t="n">
        <x:v>6</x:v>
      </x:c>
      <x:c r="H5569" s="6" t="n">
        <x:v>4</x:v>
      </x:c>
      <x:c r="I5569" s="6" t="n">
        <x:f>G5569-H5569</x:f>
        <x:v>2</x:v>
      </x:c>
      <x:c r="J5569" s="6" t="n">
        <x:f>IF(OR(E5569="CANCELED",E5569="SUSPECTED_FRAUD",F5569="Shipping canceled"),0,1)</x:f>
        <x:v>1</x:v>
      </x:c>
      <x:c r="K5569" s="6" t="n">
        <x:f>IF(G5569&gt;H5569,1,0)</x:f>
        <x:v>1</x:v>
      </x:c>
      <x:c r="L5569" s="6" t="n">
        <x:f>J5569*K5569</x:f>
        <x:v>1</x:v>
      </x:c>
    </x:row>
    <x:row r="5570">
      <x:c r="A5570" s="1" t="n">
        <x:v>43792</x:v>
      </x:c>
      <x:c r="B5570" s="5" t="d">
        <x:v>2016-10-01T00:00:00.000Z</x:v>
      </x:c>
      <x:c r="C5570" s="1" t="str">
        <x:v>Standard Class</x:v>
      </x:c>
      <x:c r="D5570" s="1" t="str">
        <x:v>Europe</x:v>
      </x:c>
      <x:c r="E5570" s="1" t="str">
        <x:v>COMPLETE</x:v>
      </x:c>
      <x:c r="F5570" s="1" t="str">
        <x:v>Advance shipping</x:v>
      </x:c>
      <x:c r="G5570" s="6" t="n">
        <x:v>3</x:v>
      </x:c>
      <x:c r="H5570" s="6" t="n">
        <x:v>4</x:v>
      </x:c>
      <x:c r="I5570" s="6" t="n">
        <x:f>G5570-H5570</x:f>
        <x:v>-1</x:v>
      </x:c>
      <x:c r="J5570" s="6" t="n">
        <x:f>IF(OR(E5570="CANCELED",E5570="SUSPECTED_FRAUD",F5570="Shipping canceled"),0,1)</x:f>
        <x:v>1</x:v>
      </x:c>
      <x:c r="K5570" s="6" t="n">
        <x:f>IF(G5570&gt;H5570,1,0)</x:f>
        <x:v>0</x:v>
      </x:c>
      <x:c r="L5570" s="6" t="n">
        <x:f>J5570*K5570</x:f>
        <x:v>0</x:v>
      </x:c>
    </x:row>
    <x:row r="5571">
      <x:c r="A5571" s="1" t="n">
        <x:v>43794</x:v>
      </x:c>
      <x:c r="B5571" s="5" t="d">
        <x:v>2016-10-01T00:00:00.000Z</x:v>
      </x:c>
      <x:c r="C5571" s="1" t="str">
        <x:v>Standard Class</x:v>
      </x:c>
      <x:c r="D5571" s="1" t="str">
        <x:v>Europe</x:v>
      </x:c>
      <x:c r="E5571" s="1" t="str">
        <x:v>PENDING</x:v>
      </x:c>
      <x:c r="F5571" s="1" t="str">
        <x:v>Late delivery</x:v>
      </x:c>
      <x:c r="G5571" s="6" t="n">
        <x:v>5</x:v>
      </x:c>
      <x:c r="H5571" s="6" t="n">
        <x:v>4</x:v>
      </x:c>
      <x:c r="I5571" s="6" t="n">
        <x:f>G5571-H5571</x:f>
        <x:v>1</x:v>
      </x:c>
      <x:c r="J5571" s="6" t="n">
        <x:f>IF(OR(E5571="CANCELED",E5571="SUSPECTED_FRAUD",F5571="Shipping canceled"),0,1)</x:f>
        <x:v>1</x:v>
      </x:c>
      <x:c r="K5571" s="6" t="n">
        <x:f>IF(G5571&gt;H5571,1,0)</x:f>
        <x:v>1</x:v>
      </x:c>
      <x:c r="L5571" s="6" t="n">
        <x:f>J5571*K5571</x:f>
        <x:v>1</x:v>
      </x:c>
    </x:row>
    <x:row r="5572">
      <x:c r="A5572" s="1" t="n">
        <x:v>43799</x:v>
      </x:c>
      <x:c r="B5572" s="5" t="d">
        <x:v>2016-10-01T00:00:00.000Z</x:v>
      </x:c>
      <x:c r="C5572" s="1" t="str">
        <x:v>Second Class</x:v>
      </x:c>
      <x:c r="D5572" s="1" t="str">
        <x:v>Pacific Asia</x:v>
      </x:c>
      <x:c r="E5572" s="1" t="str">
        <x:v>COMPLETE</x:v>
      </x:c>
      <x:c r="F5572" s="1" t="str">
        <x:v>Late delivery</x:v>
      </x:c>
      <x:c r="G5572" s="6" t="n">
        <x:v>5</x:v>
      </x:c>
      <x:c r="H5572" s="6" t="n">
        <x:v>2</x:v>
      </x:c>
      <x:c r="I5572" s="6" t="n">
        <x:f>G5572-H5572</x:f>
        <x:v>3</x:v>
      </x:c>
      <x:c r="J5572" s="6" t="n">
        <x:f>IF(OR(E5572="CANCELED",E5572="SUSPECTED_FRAUD",F5572="Shipping canceled"),0,1)</x:f>
        <x:v>1</x:v>
      </x:c>
      <x:c r="K5572" s="6" t="n">
        <x:f>IF(G5572&gt;H5572,1,0)</x:f>
        <x:v>1</x:v>
      </x:c>
      <x:c r="L5572" s="6" t="n">
        <x:f>J5572*K5572</x:f>
        <x:v>1</x:v>
      </x:c>
    </x:row>
    <x:row r="5573">
      <x:c r="A5573" s="1" t="n">
        <x:v>43803</x:v>
      </x:c>
      <x:c r="B5573" s="5" t="d">
        <x:v>2016-10-01T00:00:00.000Z</x:v>
      </x:c>
      <x:c r="C5573" s="1" t="str">
        <x:v>Standard Class</x:v>
      </x:c>
      <x:c r="D5573" s="1" t="str">
        <x:v>Africa</x:v>
      </x:c>
      <x:c r="E5573" s="1" t="str">
        <x:v>COMPLETE</x:v>
      </x:c>
      <x:c r="F5573" s="1" t="str">
        <x:v>Shipping on time</x:v>
      </x:c>
      <x:c r="G5573" s="6" t="n">
        <x:v>4</x:v>
      </x:c>
      <x:c r="H5573" s="6" t="n">
        <x:v>4</x:v>
      </x:c>
      <x:c r="I5573" s="6" t="n">
        <x:f>G5573-H5573</x:f>
        <x:v>0</x:v>
      </x:c>
      <x:c r="J5573" s="6" t="n">
        <x:f>IF(OR(E5573="CANCELED",E5573="SUSPECTED_FRAUD",F5573="Shipping canceled"),0,1)</x:f>
        <x:v>1</x:v>
      </x:c>
      <x:c r="K5573" s="6" t="n">
        <x:f>IF(G5573&gt;H5573,1,0)</x:f>
        <x:v>0</x:v>
      </x:c>
      <x:c r="L5573" s="6" t="n">
        <x:f>J5573*K5573</x:f>
        <x:v>0</x:v>
      </x:c>
    </x:row>
    <x:row r="5574">
      <x:c r="A5574" s="1" t="n">
        <x:v>43807</x:v>
      </x:c>
      <x:c r="B5574" s="5" t="d">
        <x:v>2016-10-01T00:00:00.000Z</x:v>
      </x:c>
      <x:c r="C5574" s="1" t="str">
        <x:v>Standard Class</x:v>
      </x:c>
      <x:c r="D5574" s="1" t="str">
        <x:v>Africa</x:v>
      </x:c>
      <x:c r="E5574" s="1" t="str">
        <x:v>COMPLETE</x:v>
      </x:c>
      <x:c r="F5574" s="1" t="str">
        <x:v>Advance shipping</x:v>
      </x:c>
      <x:c r="G5574" s="6" t="n">
        <x:v>3</x:v>
      </x:c>
      <x:c r="H5574" s="6" t="n">
        <x:v>4</x:v>
      </x:c>
      <x:c r="I5574" s="6" t="n">
        <x:f>G5574-H5574</x:f>
        <x:v>-1</x:v>
      </x:c>
      <x:c r="J5574" s="6" t="n">
        <x:f>IF(OR(E5574="CANCELED",E5574="SUSPECTED_FRAUD",F5574="Shipping canceled"),0,1)</x:f>
        <x:v>1</x:v>
      </x:c>
      <x:c r="K5574" s="6" t="n">
        <x:f>IF(G5574&gt;H5574,1,0)</x:f>
        <x:v>0</x:v>
      </x:c>
      <x:c r="L5574" s="6" t="n">
        <x:f>J5574*K5574</x:f>
        <x:v>0</x:v>
      </x:c>
    </x:row>
    <x:row r="5575">
      <x:c r="A5575" s="1" t="n">
        <x:v>43817</x:v>
      </x:c>
      <x:c r="B5575" s="5" t="d">
        <x:v>2016-10-01T00:00:00.000Z</x:v>
      </x:c>
      <x:c r="C5575" s="1" t="str">
        <x:v>Standard Class</x:v>
      </x:c>
      <x:c r="D5575" s="1" t="str">
        <x:v>Africa</x:v>
      </x:c>
      <x:c r="E5575" s="1" t="str">
        <x:v>COMPLETE</x:v>
      </x:c>
      <x:c r="F5575" s="1" t="str">
        <x:v>Advance shipping</x:v>
      </x:c>
      <x:c r="G5575" s="6" t="n">
        <x:v>3</x:v>
      </x:c>
      <x:c r="H5575" s="6" t="n">
        <x:v>4</x:v>
      </x:c>
      <x:c r="I5575" s="6" t="n">
        <x:f>G5575-H5575</x:f>
        <x:v>-1</x:v>
      </x:c>
      <x:c r="J5575" s="6" t="n">
        <x:f>IF(OR(E5575="CANCELED",E5575="SUSPECTED_FRAUD",F5575="Shipping canceled"),0,1)</x:f>
        <x:v>1</x:v>
      </x:c>
      <x:c r="K5575" s="6" t="n">
        <x:f>IF(G5575&gt;H5575,1,0)</x:f>
        <x:v>0</x:v>
      </x:c>
      <x:c r="L5575" s="6" t="n">
        <x:f>J5575*K5575</x:f>
        <x:v>0</x:v>
      </x:c>
    </x:row>
    <x:row r="5576">
      <x:c r="A5576" s="1" t="n">
        <x:v>43827</x:v>
      </x:c>
      <x:c r="B5576" s="5" t="d">
        <x:v>2016-10-01T00:00:00.000Z</x:v>
      </x:c>
      <x:c r="C5576" s="1" t="str">
        <x:v>Standard Class</x:v>
      </x:c>
      <x:c r="D5576" s="1" t="str">
        <x:v>Africa</x:v>
      </x:c>
      <x:c r="E5576" s="1" t="str">
        <x:v>PROCESSING</x:v>
      </x:c>
      <x:c r="F5576" s="1" t="str">
        <x:v>Advance shipping</x:v>
      </x:c>
      <x:c r="G5576" s="6" t="n">
        <x:v>3</x:v>
      </x:c>
      <x:c r="H5576" s="6" t="n">
        <x:v>4</x:v>
      </x:c>
      <x:c r="I5576" s="6" t="n">
        <x:f>G5576-H5576</x:f>
        <x:v>-1</x:v>
      </x:c>
      <x:c r="J5576" s="6" t="n">
        <x:f>IF(OR(E5576="CANCELED",E5576="SUSPECTED_FRAUD",F5576="Shipping canceled"),0,1)</x:f>
        <x:v>1</x:v>
      </x:c>
      <x:c r="K5576" s="6" t="n">
        <x:f>IF(G5576&gt;H5576,1,0)</x:f>
        <x:v>0</x:v>
      </x:c>
      <x:c r="L5576" s="6" t="n">
        <x:f>J5576*K5576</x:f>
        <x:v>0</x:v>
      </x:c>
    </x:row>
    <x:row r="5577">
      <x:c r="A5577" s="1" t="n">
        <x:v>43853</x:v>
      </x:c>
      <x:c r="B5577" s="5" t="d">
        <x:v>2016-10-02T00:00:00.000Z</x:v>
      </x:c>
      <x:c r="C5577" s="1" t="str">
        <x:v>Standard Class</x:v>
      </x:c>
      <x:c r="D5577" s="1" t="str">
        <x:v>Europe</x:v>
      </x:c>
      <x:c r="E5577" s="1" t="str">
        <x:v>ON_HOLD</x:v>
      </x:c>
      <x:c r="F5577" s="1" t="str">
        <x:v>Shipping on time</x:v>
      </x:c>
      <x:c r="G5577" s="6" t="n">
        <x:v>4</x:v>
      </x:c>
      <x:c r="H5577" s="6" t="n">
        <x:v>4</x:v>
      </x:c>
      <x:c r="I5577" s="6" t="n">
        <x:f>G5577-H5577</x:f>
        <x:v>0</x:v>
      </x:c>
      <x:c r="J5577" s="6" t="n">
        <x:f>IF(OR(E5577="CANCELED",E5577="SUSPECTED_FRAUD",F5577="Shipping canceled"),0,1)</x:f>
        <x:v>1</x:v>
      </x:c>
      <x:c r="K5577" s="6" t="n">
        <x:f>IF(G5577&gt;H5577,1,0)</x:f>
        <x:v>0</x:v>
      </x:c>
      <x:c r="L5577" s="6" t="n">
        <x:f>J5577*K5577</x:f>
        <x:v>0</x:v>
      </x:c>
    </x:row>
    <x:row r="5578">
      <x:c r="A5578" s="1" t="n">
        <x:v>43857</x:v>
      </x:c>
      <x:c r="B5578" s="5" t="d">
        <x:v>2016-10-02T00:00:00.000Z</x:v>
      </x:c>
      <x:c r="C5578" s="1" t="str">
        <x:v>Standard Class</x:v>
      </x:c>
      <x:c r="D5578" s="1" t="str">
        <x:v>Pacific Asia</x:v>
      </x:c>
      <x:c r="E5578" s="1" t="str">
        <x:v>COMPLETE</x:v>
      </x:c>
      <x:c r="F5578" s="1" t="str">
        <x:v>Advance shipping</x:v>
      </x:c>
      <x:c r="G5578" s="6" t="n">
        <x:v>3</x:v>
      </x:c>
      <x:c r="H5578" s="6" t="n">
        <x:v>4</x:v>
      </x:c>
      <x:c r="I5578" s="6" t="n">
        <x:f>G5578-H5578</x:f>
        <x:v>-1</x:v>
      </x:c>
      <x:c r="J5578" s="6" t="n">
        <x:f>IF(OR(E5578="CANCELED",E5578="SUSPECTED_FRAUD",F5578="Shipping canceled"),0,1)</x:f>
        <x:v>1</x:v>
      </x:c>
      <x:c r="K5578" s="6" t="n">
        <x:f>IF(G5578&gt;H5578,1,0)</x:f>
        <x:v>0</x:v>
      </x:c>
      <x:c r="L5578" s="6" t="n">
        <x:f>J5578*K5578</x:f>
        <x:v>0</x:v>
      </x:c>
    </x:row>
    <x:row r="5579">
      <x:c r="A5579" s="1" t="n">
        <x:v>43870</x:v>
      </x:c>
      <x:c r="B5579" s="5" t="d">
        <x:v>2016-10-02T00:00:00.000Z</x:v>
      </x:c>
      <x:c r="C5579" s="1" t="str">
        <x:v>Standard Class</x:v>
      </x:c>
      <x:c r="D5579" s="1" t="str">
        <x:v>Africa</x:v>
      </x:c>
      <x:c r="E5579" s="1" t="str">
        <x:v>COMPLETE</x:v>
      </x:c>
      <x:c r="F5579" s="1" t="str">
        <x:v>Late delivery</x:v>
      </x:c>
      <x:c r="G5579" s="6" t="n">
        <x:v>6</x:v>
      </x:c>
      <x:c r="H5579" s="6" t="n">
        <x:v>4</x:v>
      </x:c>
      <x:c r="I5579" s="6" t="n">
        <x:f>G5579-H5579</x:f>
        <x:v>2</x:v>
      </x:c>
      <x:c r="J5579" s="6" t="n">
        <x:f>IF(OR(E5579="CANCELED",E5579="SUSPECTED_FRAUD",F5579="Shipping canceled"),0,1)</x:f>
        <x:v>1</x:v>
      </x:c>
      <x:c r="K5579" s="6" t="n">
        <x:f>IF(G5579&gt;H5579,1,0)</x:f>
        <x:v>1</x:v>
      </x:c>
      <x:c r="L5579" s="6" t="n">
        <x:f>J5579*K5579</x:f>
        <x:v>1</x:v>
      </x:c>
    </x:row>
    <x:row r="5580">
      <x:c r="A5580" s="1" t="n">
        <x:v>43874</x:v>
      </x:c>
      <x:c r="B5580" s="5" t="d">
        <x:v>2016-10-02T00:00:00.000Z</x:v>
      </x:c>
      <x:c r="C5580" s="1" t="str">
        <x:v>Standard Class</x:v>
      </x:c>
      <x:c r="D5580" s="1" t="str">
        <x:v>Africa</x:v>
      </x:c>
      <x:c r="E5580" s="1" t="str">
        <x:v>SUSPECTED_FRAUD</x:v>
      </x:c>
      <x:c r="F5580" s="1" t="str">
        <x:v>Shipping canceled</x:v>
      </x:c>
      <x:c r="G5580" s="6" t="n">
        <x:v>5</x:v>
      </x:c>
      <x:c r="H5580" s="6" t="n">
        <x:v>4</x:v>
      </x:c>
      <x:c r="I5580" s="6" t="n">
        <x:f>G5580-H5580</x:f>
        <x:v>1</x:v>
      </x:c>
      <x:c r="J5580" s="6" t="n">
        <x:f>IF(OR(E5580="CANCELED",E5580="SUSPECTED_FRAUD",F5580="Shipping canceled"),0,1)</x:f>
        <x:v>0</x:v>
      </x:c>
      <x:c r="K5580" s="6" t="n">
        <x:f>IF(G5580&gt;H5580,1,0)</x:f>
        <x:v>1</x:v>
      </x:c>
      <x:c r="L5580" s="6" t="n">
        <x:f>J5580*K5580</x:f>
        <x:v>0</x:v>
      </x:c>
    </x:row>
    <x:row r="5581">
      <x:c r="A5581" s="1" t="n">
        <x:v>43888</x:v>
      </x:c>
      <x:c r="B5581" s="5" t="d">
        <x:v>2016-10-02T00:00:00.000Z</x:v>
      </x:c>
      <x:c r="C5581" s="1" t="str">
        <x:v>Standard Class</x:v>
      </x:c>
      <x:c r="D5581" s="1" t="str">
        <x:v>Africa</x:v>
      </x:c>
      <x:c r="E5581" s="1" t="str">
        <x:v>COMPLETE</x:v>
      </x:c>
      <x:c r="F5581" s="1" t="str">
        <x:v>Shipping on time</x:v>
      </x:c>
      <x:c r="G5581" s="6" t="n">
        <x:v>4</x:v>
      </x:c>
      <x:c r="H5581" s="6" t="n">
        <x:v>4</x:v>
      </x:c>
      <x:c r="I5581" s="6" t="n">
        <x:f>G5581-H5581</x:f>
        <x:v>0</x:v>
      </x:c>
      <x:c r="J5581" s="6" t="n">
        <x:f>IF(OR(E5581="CANCELED",E5581="SUSPECTED_FRAUD",F5581="Shipping canceled"),0,1)</x:f>
        <x:v>1</x:v>
      </x:c>
      <x:c r="K5581" s="6" t="n">
        <x:f>IF(G5581&gt;H5581,1,0)</x:f>
        <x:v>0</x:v>
      </x:c>
      <x:c r="L5581" s="6" t="n">
        <x:f>J5581*K5581</x:f>
        <x:v>0</x:v>
      </x:c>
    </x:row>
    <x:row r="5582">
      <x:c r="A5582" s="1" t="n">
        <x:v>43889</x:v>
      </x:c>
      <x:c r="B5582" s="5" t="d">
        <x:v>2016-10-02T00:00:00.000Z</x:v>
      </x:c>
      <x:c r="C5582" s="1" t="str">
        <x:v>Standard Class</x:v>
      </x:c>
      <x:c r="D5582" s="1" t="str">
        <x:v>Africa</x:v>
      </x:c>
      <x:c r="E5582" s="1" t="str">
        <x:v>COMPLETE</x:v>
      </x:c>
      <x:c r="F5582" s="1" t="str">
        <x:v>Late delivery</x:v>
      </x:c>
      <x:c r="G5582" s="6" t="n">
        <x:v>5</x:v>
      </x:c>
      <x:c r="H5582" s="6" t="n">
        <x:v>4</x:v>
      </x:c>
      <x:c r="I5582" s="6" t="n">
        <x:f>G5582-H5582</x:f>
        <x:v>1</x:v>
      </x:c>
      <x:c r="J5582" s="6" t="n">
        <x:f>IF(OR(E5582="CANCELED",E5582="SUSPECTED_FRAUD",F5582="Shipping canceled"),0,1)</x:f>
        <x:v>1</x:v>
      </x:c>
      <x:c r="K5582" s="6" t="n">
        <x:f>IF(G5582&gt;H5582,1,0)</x:f>
        <x:v>1</x:v>
      </x:c>
      <x:c r="L5582" s="6" t="n">
        <x:f>J5582*K5582</x:f>
        <x:v>1</x:v>
      </x:c>
    </x:row>
    <x:row r="5583">
      <x:c r="A5583" s="1" t="n">
        <x:v>43908</x:v>
      </x:c>
      <x:c r="B5583" s="5" t="d">
        <x:v>2016-10-02T00:00:00.000Z</x:v>
      </x:c>
      <x:c r="C5583" s="1" t="str">
        <x:v>Standard Class</x:v>
      </x:c>
      <x:c r="D5583" s="1" t="str">
        <x:v>Africa</x:v>
      </x:c>
      <x:c r="E5583" s="1" t="str">
        <x:v>PENDING</x:v>
      </x:c>
      <x:c r="F5583" s="1" t="str">
        <x:v>Shipping on time</x:v>
      </x:c>
      <x:c r="G5583" s="6" t="n">
        <x:v>4</x:v>
      </x:c>
      <x:c r="H5583" s="6" t="n">
        <x:v>4</x:v>
      </x:c>
      <x:c r="I5583" s="6" t="n">
        <x:f>G5583-H5583</x:f>
        <x:v>0</x:v>
      </x:c>
      <x:c r="J5583" s="6" t="n">
        <x:f>IF(OR(E5583="CANCELED",E5583="SUSPECTED_FRAUD",F5583="Shipping canceled"),0,1)</x:f>
        <x:v>1</x:v>
      </x:c>
      <x:c r="K5583" s="6" t="n">
        <x:f>IF(G5583&gt;H5583,1,0)</x:f>
        <x:v>0</x:v>
      </x:c>
      <x:c r="L5583" s="6" t="n">
        <x:f>J5583*K5583</x:f>
        <x:v>0</x:v>
      </x:c>
    </x:row>
    <x:row r="5584">
      <x:c r="A5584" s="1" t="n">
        <x:v>43912</x:v>
      </x:c>
      <x:c r="B5584" s="5" t="d">
        <x:v>2016-10-02T00:00:00.000Z</x:v>
      </x:c>
      <x:c r="C5584" s="1" t="str">
        <x:v>Standard Class</x:v>
      </x:c>
      <x:c r="D5584" s="1" t="str">
        <x:v>Europe</x:v>
      </x:c>
      <x:c r="E5584" s="1" t="str">
        <x:v>COMPLETE</x:v>
      </x:c>
      <x:c r="F5584" s="1" t="str">
        <x:v>Advance shipping</x:v>
      </x:c>
      <x:c r="G5584" s="6" t="n">
        <x:v>3</x:v>
      </x:c>
      <x:c r="H5584" s="6" t="n">
        <x:v>4</x:v>
      </x:c>
      <x:c r="I5584" s="6" t="n">
        <x:f>G5584-H5584</x:f>
        <x:v>-1</x:v>
      </x:c>
      <x:c r="J5584" s="6" t="n">
        <x:f>IF(OR(E5584="CANCELED",E5584="SUSPECTED_FRAUD",F5584="Shipping canceled"),0,1)</x:f>
        <x:v>1</x:v>
      </x:c>
      <x:c r="K5584" s="6" t="n">
        <x:f>IF(G5584&gt;H5584,1,0)</x:f>
        <x:v>0</x:v>
      </x:c>
      <x:c r="L5584" s="6" t="n">
        <x:f>J5584*K5584</x:f>
        <x:v>0</x:v>
      </x:c>
    </x:row>
    <x:row r="5585">
      <x:c r="A5585" s="1" t="n">
        <x:v>43934</x:v>
      </x:c>
      <x:c r="B5585" s="5" t="d">
        <x:v>2016-10-03T00:00:00.000Z</x:v>
      </x:c>
      <x:c r="C5585" s="1" t="str">
        <x:v>Standard Class</x:v>
      </x:c>
      <x:c r="D5585" s="1" t="str">
        <x:v>Pacific Asia</x:v>
      </x:c>
      <x:c r="E5585" s="1" t="str">
        <x:v>PENDING</x:v>
      </x:c>
      <x:c r="F5585" s="1" t="str">
        <x:v>Late delivery</x:v>
      </x:c>
      <x:c r="G5585" s="6" t="n">
        <x:v>5</x:v>
      </x:c>
      <x:c r="H5585" s="6" t="n">
        <x:v>4</x:v>
      </x:c>
      <x:c r="I5585" s="6" t="n">
        <x:f>G5585-H5585</x:f>
        <x:v>1</x:v>
      </x:c>
      <x:c r="J5585" s="6" t="n">
        <x:f>IF(OR(E5585="CANCELED",E5585="SUSPECTED_FRAUD",F5585="Shipping canceled"),0,1)</x:f>
        <x:v>1</x:v>
      </x:c>
      <x:c r="K5585" s="6" t="n">
        <x:f>IF(G5585&gt;H5585,1,0)</x:f>
        <x:v>1</x:v>
      </x:c>
      <x:c r="L5585" s="6" t="n">
        <x:f>J5585*K5585</x:f>
        <x:v>1</x:v>
      </x:c>
    </x:row>
    <x:row r="5586">
      <x:c r="A5586" s="1" t="n">
        <x:v>43948</x:v>
      </x:c>
      <x:c r="B5586" s="5" t="d">
        <x:v>2016-10-03T00:00:00.000Z</x:v>
      </x:c>
      <x:c r="C5586" s="1" t="str">
        <x:v>Second Class</x:v>
      </x:c>
      <x:c r="D5586" s="1" t="str">
        <x:v>Pacific Asia</x:v>
      </x:c>
      <x:c r="E5586" s="1" t="str">
        <x:v>CLOSED</x:v>
      </x:c>
      <x:c r="F5586" s="1" t="str">
        <x:v>Late delivery</x:v>
      </x:c>
      <x:c r="G5586" s="6" t="n">
        <x:v>4</x:v>
      </x:c>
      <x:c r="H5586" s="6" t="n">
        <x:v>2</x:v>
      </x:c>
      <x:c r="I5586" s="6" t="n">
        <x:f>G5586-H5586</x:f>
        <x:v>2</x:v>
      </x:c>
      <x:c r="J5586" s="6" t="n">
        <x:f>IF(OR(E5586="CANCELED",E5586="SUSPECTED_FRAUD",F5586="Shipping canceled"),0,1)</x:f>
        <x:v>1</x:v>
      </x:c>
      <x:c r="K5586" s="6" t="n">
        <x:f>IF(G5586&gt;H5586,1,0)</x:f>
        <x:v>1</x:v>
      </x:c>
      <x:c r="L5586" s="6" t="n">
        <x:f>J5586*K5586</x:f>
        <x:v>1</x:v>
      </x:c>
    </x:row>
    <x:row r="5587">
      <x:c r="A5587" s="1" t="n">
        <x:v>43952</x:v>
      </x:c>
      <x:c r="B5587" s="5" t="d">
        <x:v>2016-10-03T00:00:00.000Z</x:v>
      </x:c>
      <x:c r="C5587" s="1" t="str">
        <x:v>Second Class</x:v>
      </x:c>
      <x:c r="D5587" s="1" t="str">
        <x:v>Africa</x:v>
      </x:c>
      <x:c r="E5587" s="1" t="str">
        <x:v>COMPLETE</x:v>
      </x:c>
      <x:c r="F5587" s="1" t="str">
        <x:v>Late delivery</x:v>
      </x:c>
      <x:c r="G5587" s="6" t="n">
        <x:v>3</x:v>
      </x:c>
      <x:c r="H5587" s="6" t="n">
        <x:v>2</x:v>
      </x:c>
      <x:c r="I5587" s="6" t="n">
        <x:f>G5587-H5587</x:f>
        <x:v>1</x:v>
      </x:c>
      <x:c r="J5587" s="6" t="n">
        <x:f>IF(OR(E5587="CANCELED",E5587="SUSPECTED_FRAUD",F5587="Shipping canceled"),0,1)</x:f>
        <x:v>1</x:v>
      </x:c>
      <x:c r="K5587" s="6" t="n">
        <x:f>IF(G5587&gt;H5587,1,0)</x:f>
        <x:v>1</x:v>
      </x:c>
      <x:c r="L5587" s="6" t="n">
        <x:f>J5587*K5587</x:f>
        <x:v>1</x:v>
      </x:c>
    </x:row>
    <x:row r="5588">
      <x:c r="A5588" s="1" t="n">
        <x:v>43955</x:v>
      </x:c>
      <x:c r="B5588" s="5" t="d">
        <x:v>2016-10-03T00:00:00.000Z</x:v>
      </x:c>
      <x:c r="C5588" s="1" t="str">
        <x:v>Standard Class</x:v>
      </x:c>
      <x:c r="D5588" s="1" t="str">
        <x:v>Africa</x:v>
      </x:c>
      <x:c r="E5588" s="1" t="str">
        <x:v>PROCESSING</x:v>
      </x:c>
      <x:c r="F5588" s="1" t="str">
        <x:v>Late delivery</x:v>
      </x:c>
      <x:c r="G5588" s="6" t="n">
        <x:v>6</x:v>
      </x:c>
      <x:c r="H5588" s="6" t="n">
        <x:v>4</x:v>
      </x:c>
      <x:c r="I5588" s="6" t="n">
        <x:f>G5588-H5588</x:f>
        <x:v>2</x:v>
      </x:c>
      <x:c r="J5588" s="6" t="n">
        <x:f>IF(OR(E5588="CANCELED",E5588="SUSPECTED_FRAUD",F5588="Shipping canceled"),0,1)</x:f>
        <x:v>1</x:v>
      </x:c>
      <x:c r="K5588" s="6" t="n">
        <x:f>IF(G5588&gt;H5588,1,0)</x:f>
        <x:v>1</x:v>
      </x:c>
      <x:c r="L5588" s="6" t="n">
        <x:f>J5588*K5588</x:f>
        <x:v>1</x:v>
      </x:c>
    </x:row>
    <x:row r="5589">
      <x:c r="A5589" s="1" t="n">
        <x:v>43956</x:v>
      </x:c>
      <x:c r="B5589" s="5" t="d">
        <x:v>2016-10-03T00:00:00.000Z</x:v>
      </x:c>
      <x:c r="C5589" s="1" t="str">
        <x:v>Standard Class</x:v>
      </x:c>
      <x:c r="D5589" s="1" t="str">
        <x:v>Africa</x:v>
      </x:c>
      <x:c r="E5589" s="1" t="str">
        <x:v>CLOSED</x:v>
      </x:c>
      <x:c r="F5589" s="1" t="str">
        <x:v>Advance shipping</x:v>
      </x:c>
      <x:c r="G5589" s="6" t="n">
        <x:v>2</x:v>
      </x:c>
      <x:c r="H5589" s="6" t="n">
        <x:v>4</x:v>
      </x:c>
      <x:c r="I5589" s="6" t="n">
        <x:f>G5589-H5589</x:f>
        <x:v>-2</x:v>
      </x:c>
      <x:c r="J5589" s="6" t="n">
        <x:f>IF(OR(E5589="CANCELED",E5589="SUSPECTED_FRAUD",F5589="Shipping canceled"),0,1)</x:f>
        <x:v>1</x:v>
      </x:c>
      <x:c r="K5589" s="6" t="n">
        <x:f>IF(G5589&gt;H5589,1,0)</x:f>
        <x:v>0</x:v>
      </x:c>
      <x:c r="L5589" s="6" t="n">
        <x:f>J5589*K5589</x:f>
        <x:v>0</x:v>
      </x:c>
    </x:row>
    <x:row r="5590">
      <x:c r="A5590" s="1" t="n">
        <x:v>43959</x:v>
      </x:c>
      <x:c r="B5590" s="5" t="d">
        <x:v>2016-10-03T00:00:00.000Z</x:v>
      </x:c>
      <x:c r="C5590" s="1" t="str">
        <x:v>Standard Class</x:v>
      </x:c>
      <x:c r="D5590" s="1" t="str">
        <x:v>Europe</x:v>
      </x:c>
      <x:c r="E5590" s="1" t="str">
        <x:v>COMPLETE</x:v>
      </x:c>
      <x:c r="F5590" s="1" t="str">
        <x:v>Late delivery</x:v>
      </x:c>
      <x:c r="G5590" s="6" t="n">
        <x:v>5</x:v>
      </x:c>
      <x:c r="H5590" s="6" t="n">
        <x:v>4</x:v>
      </x:c>
      <x:c r="I5590" s="6" t="n">
        <x:f>G5590-H5590</x:f>
        <x:v>1</x:v>
      </x:c>
      <x:c r="J5590" s="6" t="n">
        <x:f>IF(OR(E5590="CANCELED",E5590="SUSPECTED_FRAUD",F5590="Shipping canceled"),0,1)</x:f>
        <x:v>1</x:v>
      </x:c>
      <x:c r="K5590" s="6" t="n">
        <x:f>IF(G5590&gt;H5590,1,0)</x:f>
        <x:v>1</x:v>
      </x:c>
      <x:c r="L5590" s="6" t="n">
        <x:f>J5590*K5590</x:f>
        <x:v>1</x:v>
      </x:c>
    </x:row>
    <x:row r="5591">
      <x:c r="A5591" s="1" t="n">
        <x:v>43963</x:v>
      </x:c>
      <x:c r="B5591" s="5" t="d">
        <x:v>2016-10-03T00:00:00.000Z</x:v>
      </x:c>
      <x:c r="C5591" s="1" t="str">
        <x:v>Second Class</x:v>
      </x:c>
      <x:c r="D5591" s="1" t="str">
        <x:v>Europe</x:v>
      </x:c>
      <x:c r="E5591" s="1" t="str">
        <x:v>COMPLETE</x:v>
      </x:c>
      <x:c r="F5591" s="1" t="str">
        <x:v>Late delivery</x:v>
      </x:c>
      <x:c r="G5591" s="6" t="n">
        <x:v>4</x:v>
      </x:c>
      <x:c r="H5591" s="6" t="n">
        <x:v>2</x:v>
      </x:c>
      <x:c r="I5591" s="6" t="n">
        <x:f>G5591-H5591</x:f>
        <x:v>2</x:v>
      </x:c>
      <x:c r="J5591" s="6" t="n">
        <x:f>IF(OR(E5591="CANCELED",E5591="SUSPECTED_FRAUD",F5591="Shipping canceled"),0,1)</x:f>
        <x:v>1</x:v>
      </x:c>
      <x:c r="K5591" s="6" t="n">
        <x:f>IF(G5591&gt;H5591,1,0)</x:f>
        <x:v>1</x:v>
      </x:c>
      <x:c r="L5591" s="6" t="n">
        <x:f>J5591*K5591</x:f>
        <x:v>1</x:v>
      </x:c>
    </x:row>
    <x:row r="5592">
      <x:c r="A5592" s="1" t="n">
        <x:v>43964</x:v>
      </x:c>
      <x:c r="B5592" s="5" t="d">
        <x:v>2016-10-03T00:00:00.000Z</x:v>
      </x:c>
      <x:c r="C5592" s="1" t="str">
        <x:v>Standard Class</x:v>
      </x:c>
      <x:c r="D5592" s="1" t="str">
        <x:v>Europe</x:v>
      </x:c>
      <x:c r="E5592" s="1" t="str">
        <x:v>PROCESSING</x:v>
      </x:c>
      <x:c r="F5592" s="1" t="str">
        <x:v>Late delivery</x:v>
      </x:c>
      <x:c r="G5592" s="6" t="n">
        <x:v>5</x:v>
      </x:c>
      <x:c r="H5592" s="6" t="n">
        <x:v>4</x:v>
      </x:c>
      <x:c r="I5592" s="6" t="n">
        <x:f>G5592-H5592</x:f>
        <x:v>1</x:v>
      </x:c>
      <x:c r="J5592" s="6" t="n">
        <x:f>IF(OR(E5592="CANCELED",E5592="SUSPECTED_FRAUD",F5592="Shipping canceled"),0,1)</x:f>
        <x:v>1</x:v>
      </x:c>
      <x:c r="K5592" s="6" t="n">
        <x:f>IF(G5592&gt;H5592,1,0)</x:f>
        <x:v>1</x:v>
      </x:c>
      <x:c r="L5592" s="6" t="n">
        <x:f>J5592*K5592</x:f>
        <x:v>1</x:v>
      </x:c>
    </x:row>
    <x:row r="5593">
      <x:c r="A5593" s="1" t="n">
        <x:v>43965</x:v>
      </x:c>
      <x:c r="B5593" s="5" t="d">
        <x:v>2016-10-03T00:00:00.000Z</x:v>
      </x:c>
      <x:c r="C5593" s="1" t="str">
        <x:v>Standard Class</x:v>
      </x:c>
      <x:c r="D5593" s="1" t="str">
        <x:v>Europe</x:v>
      </x:c>
      <x:c r="E5593" s="1" t="str">
        <x:v>COMPLETE</x:v>
      </x:c>
      <x:c r="F5593" s="1" t="str">
        <x:v>Late delivery</x:v>
      </x:c>
      <x:c r="G5593" s="6" t="n">
        <x:v>6</x:v>
      </x:c>
      <x:c r="H5593" s="6" t="n">
        <x:v>4</x:v>
      </x:c>
      <x:c r="I5593" s="6" t="n">
        <x:f>G5593-H5593</x:f>
        <x:v>2</x:v>
      </x:c>
      <x:c r="J5593" s="6" t="n">
        <x:f>IF(OR(E5593="CANCELED",E5593="SUSPECTED_FRAUD",F5593="Shipping canceled"),0,1)</x:f>
        <x:v>1</x:v>
      </x:c>
      <x:c r="K5593" s="6" t="n">
        <x:f>IF(G5593&gt;H5593,1,0)</x:f>
        <x:v>1</x:v>
      </x:c>
      <x:c r="L5593" s="6" t="n">
        <x:f>J5593*K5593</x:f>
        <x:v>1</x:v>
      </x:c>
    </x:row>
    <x:row r="5594">
      <x:c r="A5594" s="1" t="n">
        <x:v>43968</x:v>
      </x:c>
      <x:c r="B5594" s="5" t="d">
        <x:v>2016-10-03T00:00:00.000Z</x:v>
      </x:c>
      <x:c r="C5594" s="1" t="str">
        <x:v>Standard Class</x:v>
      </x:c>
      <x:c r="D5594" s="1" t="str">
        <x:v>Africa</x:v>
      </x:c>
      <x:c r="E5594" s="1" t="str">
        <x:v>ON_HOLD</x:v>
      </x:c>
      <x:c r="F5594" s="1" t="str">
        <x:v>Shipping on time</x:v>
      </x:c>
      <x:c r="G5594" s="6" t="n">
        <x:v>4</x:v>
      </x:c>
      <x:c r="H5594" s="6" t="n">
        <x:v>4</x:v>
      </x:c>
      <x:c r="I5594" s="6" t="n">
        <x:f>G5594-H5594</x:f>
        <x:v>0</x:v>
      </x:c>
      <x:c r="J5594" s="6" t="n">
        <x:f>IF(OR(E5594="CANCELED",E5594="SUSPECTED_FRAUD",F5594="Shipping canceled"),0,1)</x:f>
        <x:v>1</x:v>
      </x:c>
      <x:c r="K5594" s="6" t="n">
        <x:f>IF(G5594&gt;H5594,1,0)</x:f>
        <x:v>0</x:v>
      </x:c>
      <x:c r="L5594" s="6" t="n">
        <x:f>J5594*K5594</x:f>
        <x:v>0</x:v>
      </x:c>
    </x:row>
    <x:row r="5595">
      <x:c r="A5595" s="1" t="n">
        <x:v>43971</x:v>
      </x:c>
      <x:c r="B5595" s="5" t="d">
        <x:v>2016-10-03T00:00:00.000Z</x:v>
      </x:c>
      <x:c r="C5595" s="1" t="str">
        <x:v>Standard Class</x:v>
      </x:c>
      <x:c r="D5595" s="1" t="str">
        <x:v>Pacific Asia</x:v>
      </x:c>
      <x:c r="E5595" s="1" t="str">
        <x:v>SUSPECTED_FRAUD</x:v>
      </x:c>
      <x:c r="F5595" s="1" t="str">
        <x:v>Shipping canceled</x:v>
      </x:c>
      <x:c r="G5595" s="6" t="n">
        <x:v>2</x:v>
      </x:c>
      <x:c r="H5595" s="6" t="n">
        <x:v>4</x:v>
      </x:c>
      <x:c r="I5595" s="6" t="n">
        <x:f>G5595-H5595</x:f>
        <x:v>-2</x:v>
      </x:c>
      <x:c r="J5595" s="6" t="n">
        <x:f>IF(OR(E5595="CANCELED",E5595="SUSPECTED_FRAUD",F5595="Shipping canceled"),0,1)</x:f>
        <x:v>0</x:v>
      </x:c>
      <x:c r="K5595" s="6" t="n">
        <x:f>IF(G5595&gt;H5595,1,0)</x:f>
        <x:v>0</x:v>
      </x:c>
      <x:c r="L5595" s="6" t="n">
        <x:f>J5595*K5595</x:f>
        <x:v>0</x:v>
      </x:c>
    </x:row>
    <x:row r="5596">
      <x:c r="A5596" s="1" t="n">
        <x:v>43975</x:v>
      </x:c>
      <x:c r="B5596" s="5" t="d">
        <x:v>2016-10-03T00:00:00.000Z</x:v>
      </x:c>
      <x:c r="C5596" s="1" t="str">
        <x:v>Standard Class</x:v>
      </x:c>
      <x:c r="D5596" s="1" t="str">
        <x:v>Africa</x:v>
      </x:c>
      <x:c r="E5596" s="1" t="str">
        <x:v>SUSPECTED_FRAUD</x:v>
      </x:c>
      <x:c r="F5596" s="1" t="str">
        <x:v>Shipping canceled</x:v>
      </x:c>
      <x:c r="G5596" s="6" t="n">
        <x:v>6</x:v>
      </x:c>
      <x:c r="H5596" s="6" t="n">
        <x:v>4</x:v>
      </x:c>
      <x:c r="I5596" s="6" t="n">
        <x:f>G5596-H5596</x:f>
        <x:v>2</x:v>
      </x:c>
      <x:c r="J5596" s="6" t="n">
        <x:f>IF(OR(E5596="CANCELED",E5596="SUSPECTED_FRAUD",F5596="Shipping canceled"),0,1)</x:f>
        <x:v>0</x:v>
      </x:c>
      <x:c r="K5596" s="6" t="n">
        <x:f>IF(G5596&gt;H5596,1,0)</x:f>
        <x:v>1</x:v>
      </x:c>
      <x:c r="L5596" s="6" t="n">
        <x:f>J5596*K5596</x:f>
        <x:v>0</x:v>
      </x:c>
    </x:row>
    <x:row r="5597">
      <x:c r="A5597" s="1" t="n">
        <x:v>43976</x:v>
      </x:c>
      <x:c r="B5597" s="5" t="d">
        <x:v>2016-10-03T00:00:00.000Z</x:v>
      </x:c>
      <x:c r="C5597" s="1" t="str">
        <x:v>Standard Class</x:v>
      </x:c>
      <x:c r="D5597" s="1" t="str">
        <x:v>Africa</x:v>
      </x:c>
      <x:c r="E5597" s="1" t="str">
        <x:v>PENDING_PAYMENT</x:v>
      </x:c>
      <x:c r="F5597" s="1" t="str">
        <x:v>Advance shipping</x:v>
      </x:c>
      <x:c r="G5597" s="6" t="n">
        <x:v>2</x:v>
      </x:c>
      <x:c r="H5597" s="6" t="n">
        <x:v>4</x:v>
      </x:c>
      <x:c r="I5597" s="6" t="n">
        <x:f>G5597-H5597</x:f>
        <x:v>-2</x:v>
      </x:c>
      <x:c r="J5597" s="6" t="n">
        <x:f>IF(OR(E5597="CANCELED",E5597="SUSPECTED_FRAUD",F5597="Shipping canceled"),0,1)</x:f>
        <x:v>1</x:v>
      </x:c>
      <x:c r="K5597" s="6" t="n">
        <x:f>IF(G5597&gt;H5597,1,0)</x:f>
        <x:v>0</x:v>
      </x:c>
      <x:c r="L5597" s="6" t="n">
        <x:f>J5597*K5597</x:f>
        <x:v>0</x:v>
      </x:c>
    </x:row>
    <x:row r="5598">
      <x:c r="A5598" s="1" t="n">
        <x:v>44017</x:v>
      </x:c>
      <x:c r="B5598" s="5" t="d">
        <x:v>2016-10-04T00:00:00.000Z</x:v>
      </x:c>
      <x:c r="C5598" s="1" t="str">
        <x:v>Standard Class</x:v>
      </x:c>
      <x:c r="D5598" s="1" t="str">
        <x:v>Africa</x:v>
      </x:c>
      <x:c r="E5598" s="1" t="str">
        <x:v>PENDING</x:v>
      </x:c>
      <x:c r="F5598" s="1" t="str">
        <x:v>Advance shipping</x:v>
      </x:c>
      <x:c r="G5598" s="6" t="n">
        <x:v>3</x:v>
      </x:c>
      <x:c r="H5598" s="6" t="n">
        <x:v>4</x:v>
      </x:c>
      <x:c r="I5598" s="6" t="n">
        <x:f>G5598-H5598</x:f>
        <x:v>-1</x:v>
      </x:c>
      <x:c r="J5598" s="6" t="n">
        <x:f>IF(OR(E5598="CANCELED",E5598="SUSPECTED_FRAUD",F5598="Shipping canceled"),0,1)</x:f>
        <x:v>1</x:v>
      </x:c>
      <x:c r="K5598" s="6" t="n">
        <x:f>IF(G5598&gt;H5598,1,0)</x:f>
        <x:v>0</x:v>
      </x:c>
      <x:c r="L5598" s="6" t="n">
        <x:f>J5598*K5598</x:f>
        <x:v>0</x:v>
      </x:c>
    </x:row>
    <x:row r="5599">
      <x:c r="A5599" s="1" t="n">
        <x:v>44027</x:v>
      </x:c>
      <x:c r="B5599" s="5" t="d">
        <x:v>2016-10-04T00:00:00.000Z</x:v>
      </x:c>
      <x:c r="C5599" s="1" t="str">
        <x:v>Standard Class</x:v>
      </x:c>
      <x:c r="D5599" s="1" t="str">
        <x:v>Africa</x:v>
      </x:c>
      <x:c r="E5599" s="1" t="str">
        <x:v>PENDING_PAYMENT</x:v>
      </x:c>
      <x:c r="F5599" s="1" t="str">
        <x:v>Advance shipping</x:v>
      </x:c>
      <x:c r="G5599" s="6" t="n">
        <x:v>3</x:v>
      </x:c>
      <x:c r="H5599" s="6" t="n">
        <x:v>4</x:v>
      </x:c>
      <x:c r="I5599" s="6" t="n">
        <x:f>G5599-H5599</x:f>
        <x:v>-1</x:v>
      </x:c>
      <x:c r="J5599" s="6" t="n">
        <x:f>IF(OR(E5599="CANCELED",E5599="SUSPECTED_FRAUD",F5599="Shipping canceled"),0,1)</x:f>
        <x:v>1</x:v>
      </x:c>
      <x:c r="K5599" s="6" t="n">
        <x:f>IF(G5599&gt;H5599,1,0)</x:f>
        <x:v>0</x:v>
      </x:c>
      <x:c r="L5599" s="6" t="n">
        <x:f>J5599*K5599</x:f>
        <x:v>0</x:v>
      </x:c>
    </x:row>
    <x:row r="5600">
      <x:c r="A5600" s="1" t="n">
        <x:v>44028</x:v>
      </x:c>
      <x:c r="B5600" s="5" t="d">
        <x:v>2016-10-04T00:00:00.000Z</x:v>
      </x:c>
      <x:c r="C5600" s="1" t="str">
        <x:v>Standard Class</x:v>
      </x:c>
      <x:c r="D5600" s="1" t="str">
        <x:v>Pacific Asia</x:v>
      </x:c>
      <x:c r="E5600" s="1" t="str">
        <x:v>PENDING_PAYMENT</x:v>
      </x:c>
      <x:c r="F5600" s="1" t="str">
        <x:v>Shipping on time</x:v>
      </x:c>
      <x:c r="G5600" s="6" t="n">
        <x:v>4</x:v>
      </x:c>
      <x:c r="H5600" s="6" t="n">
        <x:v>4</x:v>
      </x:c>
      <x:c r="I5600" s="6" t="n">
        <x:f>G5600-H5600</x:f>
        <x:v>0</x:v>
      </x:c>
      <x:c r="J5600" s="6" t="n">
        <x:f>IF(OR(E5600="CANCELED",E5600="SUSPECTED_FRAUD",F5600="Shipping canceled"),0,1)</x:f>
        <x:v>1</x:v>
      </x:c>
      <x:c r="K5600" s="6" t="n">
        <x:f>IF(G5600&gt;H5600,1,0)</x:f>
        <x:v>0</x:v>
      </x:c>
      <x:c r="L5600" s="6" t="n">
        <x:f>J5600*K5600</x:f>
        <x:v>0</x:v>
      </x:c>
    </x:row>
    <x:row r="5601">
      <x:c r="A5601" s="1" t="n">
        <x:v>44046</x:v>
      </x:c>
      <x:c r="B5601" s="5" t="d">
        <x:v>2016-10-04T00:00:00.000Z</x:v>
      </x:c>
      <x:c r="C5601" s="1" t="str">
        <x:v>Second Class</x:v>
      </x:c>
      <x:c r="D5601" s="1" t="str">
        <x:v>Africa</x:v>
      </x:c>
      <x:c r="E5601" s="1" t="str">
        <x:v>PENDING_PAYMENT</x:v>
      </x:c>
      <x:c r="F5601" s="1" t="str">
        <x:v>Shipping on time</x:v>
      </x:c>
      <x:c r="G5601" s="6" t="n">
        <x:v>2</x:v>
      </x:c>
      <x:c r="H5601" s="6" t="n">
        <x:v>2</x:v>
      </x:c>
      <x:c r="I5601" s="6" t="n">
        <x:f>G5601-H5601</x:f>
        <x:v>0</x:v>
      </x:c>
      <x:c r="J5601" s="6" t="n">
        <x:f>IF(OR(E5601="CANCELED",E5601="SUSPECTED_FRAUD",F5601="Shipping canceled"),0,1)</x:f>
        <x:v>1</x:v>
      </x:c>
      <x:c r="K5601" s="6" t="n">
        <x:f>IF(G5601&gt;H5601,1,0)</x:f>
        <x:v>0</x:v>
      </x:c>
      <x:c r="L5601" s="6" t="n">
        <x:f>J5601*K5601</x:f>
        <x:v>0</x:v>
      </x:c>
    </x:row>
    <x:row r="5602">
      <x:c r="A5602" s="1" t="n">
        <x:v>44065</x:v>
      </x:c>
      <x:c r="B5602" s="5" t="d">
        <x:v>2016-10-05T00:00:00.000Z</x:v>
      </x:c>
      <x:c r="C5602" s="1" t="str">
        <x:v>Standard Class</x:v>
      </x:c>
      <x:c r="D5602" s="1" t="str">
        <x:v>Europe</x:v>
      </x:c>
      <x:c r="E5602" s="1" t="str">
        <x:v>PENDING_PAYMENT</x:v>
      </x:c>
      <x:c r="F5602" s="1" t="str">
        <x:v>Late delivery</x:v>
      </x:c>
      <x:c r="G5602" s="6" t="n">
        <x:v>6</x:v>
      </x:c>
      <x:c r="H5602" s="6" t="n">
        <x:v>4</x:v>
      </x:c>
      <x:c r="I5602" s="6" t="n">
        <x:f>G5602-H5602</x:f>
        <x:v>2</x:v>
      </x:c>
      <x:c r="J5602" s="6" t="n">
        <x:f>IF(OR(E5602="CANCELED",E5602="SUSPECTED_FRAUD",F5602="Shipping canceled"),0,1)</x:f>
        <x:v>1</x:v>
      </x:c>
      <x:c r="K5602" s="6" t="n">
        <x:f>IF(G5602&gt;H5602,1,0)</x:f>
        <x:v>1</x:v>
      </x:c>
      <x:c r="L5602" s="6" t="n">
        <x:f>J5602*K5602</x:f>
        <x:v>1</x:v>
      </x:c>
    </x:row>
    <x:row r="5603">
      <x:c r="A5603" s="1" t="n">
        <x:v>44066</x:v>
      </x:c>
      <x:c r="B5603" s="5" t="d">
        <x:v>2016-10-05T00:00:00.000Z</x:v>
      </x:c>
      <x:c r="C5603" s="1" t="str">
        <x:v>Standard Class</x:v>
      </x:c>
      <x:c r="D5603" s="1" t="str">
        <x:v>Europe</x:v>
      </x:c>
      <x:c r="E5603" s="1" t="str">
        <x:v>COMPLETE</x:v>
      </x:c>
      <x:c r="F5603" s="1" t="str">
        <x:v>Advance shipping</x:v>
      </x:c>
      <x:c r="G5603" s="6" t="n">
        <x:v>2</x:v>
      </x:c>
      <x:c r="H5603" s="6" t="n">
        <x:v>4</x:v>
      </x:c>
      <x:c r="I5603" s="6" t="n">
        <x:f>G5603-H5603</x:f>
        <x:v>-2</x:v>
      </x:c>
      <x:c r="J5603" s="6" t="n">
        <x:f>IF(OR(E5603="CANCELED",E5603="SUSPECTED_FRAUD",F5603="Shipping canceled"),0,1)</x:f>
        <x:v>1</x:v>
      </x:c>
      <x:c r="K5603" s="6" t="n">
        <x:f>IF(G5603&gt;H5603,1,0)</x:f>
        <x:v>0</x:v>
      </x:c>
      <x:c r="L5603" s="6" t="n">
        <x:f>J5603*K5603</x:f>
        <x:v>0</x:v>
      </x:c>
    </x:row>
    <x:row r="5604">
      <x:c r="A5604" s="1" t="n">
        <x:v>44069</x:v>
      </x:c>
      <x:c r="B5604" s="5" t="d">
        <x:v>2016-10-05T00:00:00.000Z</x:v>
      </x:c>
      <x:c r="C5604" s="1" t="str">
        <x:v>Standard Class</x:v>
      </x:c>
      <x:c r="D5604" s="1" t="str">
        <x:v>Pacific Asia</x:v>
      </x:c>
      <x:c r="E5604" s="1" t="str">
        <x:v>CANCELED</x:v>
      </x:c>
      <x:c r="F5604" s="1" t="str">
        <x:v>Shipping canceled</x:v>
      </x:c>
      <x:c r="G5604" s="6" t="n">
        <x:v>5</x:v>
      </x:c>
      <x:c r="H5604" s="6" t="n">
        <x:v>4</x:v>
      </x:c>
      <x:c r="I5604" s="6" t="n">
        <x:f>G5604-H5604</x:f>
        <x:v>1</x:v>
      </x:c>
      <x:c r="J5604" s="6" t="n">
        <x:f>IF(OR(E5604="CANCELED",E5604="SUSPECTED_FRAUD",F5604="Shipping canceled"),0,1)</x:f>
        <x:v>0</x:v>
      </x:c>
      <x:c r="K5604" s="6" t="n">
        <x:f>IF(G5604&gt;H5604,1,0)</x:f>
        <x:v>1</x:v>
      </x:c>
      <x:c r="L5604" s="6" t="n">
        <x:f>J5604*K5604</x:f>
        <x:v>0</x:v>
      </x:c>
    </x:row>
    <x:row r="5605">
      <x:c r="A5605" s="1" t="n">
        <x:v>44074</x:v>
      </x:c>
      <x:c r="B5605" s="5" t="d">
        <x:v>2016-10-05T00:00:00.000Z</x:v>
      </x:c>
      <x:c r="C5605" s="1" t="str">
        <x:v>Standard Class</x:v>
      </x:c>
      <x:c r="D5605" s="1" t="str">
        <x:v>Africa</x:v>
      </x:c>
      <x:c r="E5605" s="1" t="str">
        <x:v>COMPLETE</x:v>
      </x:c>
      <x:c r="F5605" s="1" t="str">
        <x:v>Late delivery</x:v>
      </x:c>
      <x:c r="G5605" s="6" t="n">
        <x:v>5</x:v>
      </x:c>
      <x:c r="H5605" s="6" t="n">
        <x:v>4</x:v>
      </x:c>
      <x:c r="I5605" s="6" t="n">
        <x:f>G5605-H5605</x:f>
        <x:v>1</x:v>
      </x:c>
      <x:c r="J5605" s="6" t="n">
        <x:f>IF(OR(E5605="CANCELED",E5605="SUSPECTED_FRAUD",F5605="Shipping canceled"),0,1)</x:f>
        <x:v>1</x:v>
      </x:c>
      <x:c r="K5605" s="6" t="n">
        <x:f>IF(G5605&gt;H5605,1,0)</x:f>
        <x:v>1</x:v>
      </x:c>
      <x:c r="L5605" s="6" t="n">
        <x:f>J5605*K5605</x:f>
        <x:v>1</x:v>
      </x:c>
    </x:row>
    <x:row r="5606">
      <x:c r="A5606" s="1" t="n">
        <x:v>44084</x:v>
      </x:c>
      <x:c r="B5606" s="5" t="d">
        <x:v>2016-10-05T00:00:00.000Z</x:v>
      </x:c>
      <x:c r="C5606" s="1" t="str">
        <x:v>Standard Class</x:v>
      </x:c>
      <x:c r="D5606" s="1" t="str">
        <x:v>Europe</x:v>
      </x:c>
      <x:c r="E5606" s="1" t="str">
        <x:v>COMPLETE</x:v>
      </x:c>
      <x:c r="F5606" s="1" t="str">
        <x:v>Late delivery</x:v>
      </x:c>
      <x:c r="G5606" s="6" t="n">
        <x:v>5</x:v>
      </x:c>
      <x:c r="H5606" s="6" t="n">
        <x:v>4</x:v>
      </x:c>
      <x:c r="I5606" s="6" t="n">
        <x:f>G5606-H5606</x:f>
        <x:v>1</x:v>
      </x:c>
      <x:c r="J5606" s="6" t="n">
        <x:f>IF(OR(E5606="CANCELED",E5606="SUSPECTED_FRAUD",F5606="Shipping canceled"),0,1)</x:f>
        <x:v>1</x:v>
      </x:c>
      <x:c r="K5606" s="6" t="n">
        <x:f>IF(G5606&gt;H5606,1,0)</x:f>
        <x:v>1</x:v>
      </x:c>
      <x:c r="L5606" s="6" t="n">
        <x:f>J5606*K5606</x:f>
        <x:v>1</x:v>
      </x:c>
    </x:row>
    <x:row r="5607">
      <x:c r="A5607" s="1" t="n">
        <x:v>44085</x:v>
      </x:c>
      <x:c r="B5607" s="5" t="d">
        <x:v>2016-10-05T00:00:00.000Z</x:v>
      </x:c>
      <x:c r="C5607" s="1" t="str">
        <x:v>Standard Class</x:v>
      </x:c>
      <x:c r="D5607" s="1" t="str">
        <x:v>Europe</x:v>
      </x:c>
      <x:c r="E5607" s="1" t="str">
        <x:v>COMPLETE</x:v>
      </x:c>
      <x:c r="F5607" s="1" t="str">
        <x:v>Late delivery</x:v>
      </x:c>
      <x:c r="G5607" s="6" t="n">
        <x:v>6</x:v>
      </x:c>
      <x:c r="H5607" s="6" t="n">
        <x:v>4</x:v>
      </x:c>
      <x:c r="I5607" s="6" t="n">
        <x:f>G5607-H5607</x:f>
        <x:v>2</x:v>
      </x:c>
      <x:c r="J5607" s="6" t="n">
        <x:f>IF(OR(E5607="CANCELED",E5607="SUSPECTED_FRAUD",F5607="Shipping canceled"),0,1)</x:f>
        <x:v>1</x:v>
      </x:c>
      <x:c r="K5607" s="6" t="n">
        <x:f>IF(G5607&gt;H5607,1,0)</x:f>
        <x:v>1</x:v>
      </x:c>
      <x:c r="L5607" s="6" t="n">
        <x:f>J5607*K5607</x:f>
        <x:v>1</x:v>
      </x:c>
    </x:row>
    <x:row r="5608">
      <x:c r="A5608" s="1" t="n">
        <x:v>44097</x:v>
      </x:c>
      <x:c r="B5608" s="5" t="d">
        <x:v>2016-10-05T00:00:00.000Z</x:v>
      </x:c>
      <x:c r="C5608" s="1" t="str">
        <x:v>Standard Class</x:v>
      </x:c>
      <x:c r="D5608" s="1" t="str">
        <x:v>Pacific Asia</x:v>
      </x:c>
      <x:c r="E5608" s="1" t="str">
        <x:v>COMPLETE</x:v>
      </x:c>
      <x:c r="F5608" s="1" t="str">
        <x:v>Advance shipping</x:v>
      </x:c>
      <x:c r="G5608" s="6" t="n">
        <x:v>3</x:v>
      </x:c>
      <x:c r="H5608" s="6" t="n">
        <x:v>4</x:v>
      </x:c>
      <x:c r="I5608" s="6" t="n">
        <x:f>G5608-H5608</x:f>
        <x:v>-1</x:v>
      </x:c>
      <x:c r="J5608" s="6" t="n">
        <x:f>IF(OR(E5608="CANCELED",E5608="SUSPECTED_FRAUD",F5608="Shipping canceled"),0,1)</x:f>
        <x:v>1</x:v>
      </x:c>
      <x:c r="K5608" s="6" t="n">
        <x:f>IF(G5608&gt;H5608,1,0)</x:f>
        <x:v>0</x:v>
      </x:c>
      <x:c r="L5608" s="6" t="n">
        <x:f>J5608*K5608</x:f>
        <x:v>0</x:v>
      </x:c>
    </x:row>
    <x:row r="5609">
      <x:c r="A5609" s="1" t="n">
        <x:v>44098</x:v>
      </x:c>
      <x:c r="B5609" s="5" t="d">
        <x:v>2016-10-05T00:00:00.000Z</x:v>
      </x:c>
      <x:c r="C5609" s="1" t="str">
        <x:v>Second Class</x:v>
      </x:c>
      <x:c r="D5609" s="1" t="str">
        <x:v>Pacific Asia</x:v>
      </x:c>
      <x:c r="E5609" s="1" t="str">
        <x:v>PROCESSING</x:v>
      </x:c>
      <x:c r="F5609" s="1" t="str">
        <x:v>Late delivery</x:v>
      </x:c>
      <x:c r="G5609" s="6" t="n">
        <x:v>4</x:v>
      </x:c>
      <x:c r="H5609" s="6" t="n">
        <x:v>2</x:v>
      </x:c>
      <x:c r="I5609" s="6" t="n">
        <x:f>G5609-H5609</x:f>
        <x:v>2</x:v>
      </x:c>
      <x:c r="J5609" s="6" t="n">
        <x:f>IF(OR(E5609="CANCELED",E5609="SUSPECTED_FRAUD",F5609="Shipping canceled"),0,1)</x:f>
        <x:v>1</x:v>
      </x:c>
      <x:c r="K5609" s="6" t="n">
        <x:f>IF(G5609&gt;H5609,1,0)</x:f>
        <x:v>1</x:v>
      </x:c>
      <x:c r="L5609" s="6" t="n">
        <x:f>J5609*K5609</x:f>
        <x:v>1</x:v>
      </x:c>
    </x:row>
    <x:row r="5610">
      <x:c r="A5610" s="1" t="n">
        <x:v>44131</x:v>
      </x:c>
      <x:c r="B5610" s="5" t="d">
        <x:v>2016-10-06T00:00:00.000Z</x:v>
      </x:c>
      <x:c r="C5610" s="1" t="str">
        <x:v>Standard Class</x:v>
      </x:c>
      <x:c r="D5610" s="1" t="str">
        <x:v>Africa</x:v>
      </x:c>
      <x:c r="E5610" s="1" t="str">
        <x:v>PROCESSING</x:v>
      </x:c>
      <x:c r="F5610" s="1" t="str">
        <x:v>Advance shipping</x:v>
      </x:c>
      <x:c r="G5610" s="6" t="n">
        <x:v>2</x:v>
      </x:c>
      <x:c r="H5610" s="6" t="n">
        <x:v>4</x:v>
      </x:c>
      <x:c r="I5610" s="6" t="n">
        <x:f>G5610-H5610</x:f>
        <x:v>-2</x:v>
      </x:c>
      <x:c r="J5610" s="6" t="n">
        <x:f>IF(OR(E5610="CANCELED",E5610="SUSPECTED_FRAUD",F5610="Shipping canceled"),0,1)</x:f>
        <x:v>1</x:v>
      </x:c>
      <x:c r="K5610" s="6" t="n">
        <x:f>IF(G5610&gt;H5610,1,0)</x:f>
        <x:v>0</x:v>
      </x:c>
      <x:c r="L5610" s="6" t="n">
        <x:f>J5610*K5610</x:f>
        <x:v>0</x:v>
      </x:c>
    </x:row>
    <x:row r="5611">
      <x:c r="A5611" s="1" t="n">
        <x:v>44134</x:v>
      </x:c>
      <x:c r="B5611" s="5" t="d">
        <x:v>2016-10-06T00:00:00.000Z</x:v>
      </x:c>
      <x:c r="C5611" s="1" t="str">
        <x:v>Second Class</x:v>
      </x:c>
      <x:c r="D5611" s="1" t="str">
        <x:v>USCA</x:v>
      </x:c>
      <x:c r="E5611" s="1" t="str">
        <x:v>COMPLETE</x:v>
      </x:c>
      <x:c r="F5611" s="1" t="str">
        <x:v>Late delivery</x:v>
      </x:c>
      <x:c r="G5611" s="6" t="n">
        <x:v>5</x:v>
      </x:c>
      <x:c r="H5611" s="6" t="n">
        <x:v>2</x:v>
      </x:c>
      <x:c r="I5611" s="6" t="n">
        <x:f>G5611-H5611</x:f>
        <x:v>3</x:v>
      </x:c>
      <x:c r="J5611" s="6" t="n">
        <x:f>IF(OR(E5611="CANCELED",E5611="SUSPECTED_FRAUD",F5611="Shipping canceled"),0,1)</x:f>
        <x:v>1</x:v>
      </x:c>
      <x:c r="K5611" s="6" t="n">
        <x:f>IF(G5611&gt;H5611,1,0)</x:f>
        <x:v>1</x:v>
      </x:c>
      <x:c r="L5611" s="6" t="n">
        <x:f>J5611*K5611</x:f>
        <x:v>1</x:v>
      </x:c>
    </x:row>
    <x:row r="5612">
      <x:c r="A5612" s="1" t="n">
        <x:v>44143</x:v>
      </x:c>
      <x:c r="B5612" s="5" t="d">
        <x:v>2016-10-06T00:00:00.000Z</x:v>
      </x:c>
      <x:c r="C5612" s="1" t="str">
        <x:v>Second Class</x:v>
      </x:c>
      <x:c r="D5612" s="1" t="str">
        <x:v>Africa</x:v>
      </x:c>
      <x:c r="E5612" s="1" t="str">
        <x:v>CLOSED</x:v>
      </x:c>
      <x:c r="F5612" s="1" t="str">
        <x:v>Late delivery</x:v>
      </x:c>
      <x:c r="G5612" s="6" t="n">
        <x:v>4</x:v>
      </x:c>
      <x:c r="H5612" s="6" t="n">
        <x:v>2</x:v>
      </x:c>
      <x:c r="I5612" s="6" t="n">
        <x:f>G5612-H5612</x:f>
        <x:v>2</x:v>
      </x:c>
      <x:c r="J5612" s="6" t="n">
        <x:f>IF(OR(E5612="CANCELED",E5612="SUSPECTED_FRAUD",F5612="Shipping canceled"),0,1)</x:f>
        <x:v>1</x:v>
      </x:c>
      <x:c r="K5612" s="6" t="n">
        <x:f>IF(G5612&gt;H5612,1,0)</x:f>
        <x:v>1</x:v>
      </x:c>
      <x:c r="L5612" s="6" t="n">
        <x:f>J5612*K5612</x:f>
        <x:v>1</x:v>
      </x:c>
    </x:row>
    <x:row r="5613">
      <x:c r="A5613" s="1" t="n">
        <x:v>44147</x:v>
      </x:c>
      <x:c r="B5613" s="5" t="d">
        <x:v>2016-10-06T00:00:00.000Z</x:v>
      </x:c>
      <x:c r="C5613" s="1" t="str">
        <x:v>Second Class</x:v>
      </x:c>
      <x:c r="D5613" s="1" t="str">
        <x:v>Africa</x:v>
      </x:c>
      <x:c r="E5613" s="1" t="str">
        <x:v>COMPLETE</x:v>
      </x:c>
      <x:c r="F5613" s="1" t="str">
        <x:v>Late delivery</x:v>
      </x:c>
      <x:c r="G5613" s="6" t="n">
        <x:v>3</x:v>
      </x:c>
      <x:c r="H5613" s="6" t="n">
        <x:v>2</x:v>
      </x:c>
      <x:c r="I5613" s="6" t="n">
        <x:f>G5613-H5613</x:f>
        <x:v>1</x:v>
      </x:c>
      <x:c r="J5613" s="6" t="n">
        <x:f>IF(OR(E5613="CANCELED",E5613="SUSPECTED_FRAUD",F5613="Shipping canceled"),0,1)</x:f>
        <x:v>1</x:v>
      </x:c>
      <x:c r="K5613" s="6" t="n">
        <x:f>IF(G5613&gt;H5613,1,0)</x:f>
        <x:v>1</x:v>
      </x:c>
      <x:c r="L5613" s="6" t="n">
        <x:f>J5613*K5613</x:f>
        <x:v>1</x:v>
      </x:c>
    </x:row>
    <x:row r="5614">
      <x:c r="A5614" s="1" t="n">
        <x:v>44148</x:v>
      </x:c>
      <x:c r="B5614" s="5" t="d">
        <x:v>2016-10-06T00:00:00.000Z</x:v>
      </x:c>
      <x:c r="C5614" s="1" t="str">
        <x:v>Second Class</x:v>
      </x:c>
      <x:c r="D5614" s="1" t="str">
        <x:v>Europe</x:v>
      </x:c>
      <x:c r="E5614" s="1" t="str">
        <x:v>COMPLETE</x:v>
      </x:c>
      <x:c r="F5614" s="1" t="str">
        <x:v>Late delivery</x:v>
      </x:c>
      <x:c r="G5614" s="6" t="n">
        <x:v>4</x:v>
      </x:c>
      <x:c r="H5614" s="6" t="n">
        <x:v>2</x:v>
      </x:c>
      <x:c r="I5614" s="6" t="n">
        <x:f>G5614-H5614</x:f>
        <x:v>2</x:v>
      </x:c>
      <x:c r="J5614" s="6" t="n">
        <x:f>IF(OR(E5614="CANCELED",E5614="SUSPECTED_FRAUD",F5614="Shipping canceled"),0,1)</x:f>
        <x:v>1</x:v>
      </x:c>
      <x:c r="K5614" s="6" t="n">
        <x:f>IF(G5614&gt;H5614,1,0)</x:f>
        <x:v>1</x:v>
      </x:c>
      <x:c r="L5614" s="6" t="n">
        <x:f>J5614*K5614</x:f>
        <x:v>1</x:v>
      </x:c>
    </x:row>
    <x:row r="5615">
      <x:c r="A5615" s="1" t="n">
        <x:v>44150</x:v>
      </x:c>
      <x:c r="B5615" s="5" t="d">
        <x:v>2016-10-06T00:00:00.000Z</x:v>
      </x:c>
      <x:c r="C5615" s="1" t="str">
        <x:v>Standard Class</x:v>
      </x:c>
      <x:c r="D5615" s="1" t="str">
        <x:v>Europe</x:v>
      </x:c>
      <x:c r="E5615" s="1" t="str">
        <x:v>CANCELED</x:v>
      </x:c>
      <x:c r="F5615" s="1" t="str">
        <x:v>Shipping canceled</x:v>
      </x:c>
      <x:c r="G5615" s="6" t="n">
        <x:v>6</x:v>
      </x:c>
      <x:c r="H5615" s="6" t="n">
        <x:v>4</x:v>
      </x:c>
      <x:c r="I5615" s="6" t="n">
        <x:f>G5615-H5615</x:f>
        <x:v>2</x:v>
      </x:c>
      <x:c r="J5615" s="6" t="n">
        <x:f>IF(OR(E5615="CANCELED",E5615="SUSPECTED_FRAUD",F5615="Shipping canceled"),0,1)</x:f>
        <x:v>0</x:v>
      </x:c>
      <x:c r="K5615" s="6" t="n">
        <x:f>IF(G5615&gt;H5615,1,0)</x:f>
        <x:v>1</x:v>
      </x:c>
      <x:c r="L5615" s="6" t="n">
        <x:f>J5615*K5615</x:f>
        <x:v>0</x:v>
      </x:c>
    </x:row>
    <x:row r="5616">
      <x:c r="A5616" s="1" t="n">
        <x:v>44152</x:v>
      </x:c>
      <x:c r="B5616" s="5" t="d">
        <x:v>2016-10-06T00:00:00.000Z</x:v>
      </x:c>
      <x:c r="C5616" s="1" t="str">
        <x:v>Standard Class</x:v>
      </x:c>
      <x:c r="D5616" s="1" t="str">
        <x:v>Europe</x:v>
      </x:c>
      <x:c r="E5616" s="1" t="str">
        <x:v>ON_HOLD</x:v>
      </x:c>
      <x:c r="F5616" s="1" t="str">
        <x:v>Advance shipping</x:v>
      </x:c>
      <x:c r="G5616" s="6" t="n">
        <x:v>3</x:v>
      </x:c>
      <x:c r="H5616" s="6" t="n">
        <x:v>4</x:v>
      </x:c>
      <x:c r="I5616" s="6" t="n">
        <x:f>G5616-H5616</x:f>
        <x:v>-1</x:v>
      </x:c>
      <x:c r="J5616" s="6" t="n">
        <x:f>IF(OR(E5616="CANCELED",E5616="SUSPECTED_FRAUD",F5616="Shipping canceled"),0,1)</x:f>
        <x:v>1</x:v>
      </x:c>
      <x:c r="K5616" s="6" t="n">
        <x:f>IF(G5616&gt;H5616,1,0)</x:f>
        <x:v>0</x:v>
      </x:c>
      <x:c r="L5616" s="6" t="n">
        <x:f>J5616*K5616</x:f>
        <x:v>0</x:v>
      </x:c>
    </x:row>
    <x:row r="5617">
      <x:c r="A5617" s="1" t="n">
        <x:v>44156</x:v>
      </x:c>
      <x:c r="B5617" s="5" t="d">
        <x:v>2016-10-06T00:00:00.000Z</x:v>
      </x:c>
      <x:c r="C5617" s="1" t="str">
        <x:v>Standard Class</x:v>
      </x:c>
      <x:c r="D5617" s="1" t="str">
        <x:v>Europe</x:v>
      </x:c>
      <x:c r="E5617" s="1" t="str">
        <x:v>PENDING</x:v>
      </x:c>
      <x:c r="F5617" s="1" t="str">
        <x:v>Advance shipping</x:v>
      </x:c>
      <x:c r="G5617" s="6" t="n">
        <x:v>2</x:v>
      </x:c>
      <x:c r="H5617" s="6" t="n">
        <x:v>4</x:v>
      </x:c>
      <x:c r="I5617" s="6" t="n">
        <x:f>G5617-H5617</x:f>
        <x:v>-2</x:v>
      </x:c>
      <x:c r="J5617" s="6" t="n">
        <x:f>IF(OR(E5617="CANCELED",E5617="SUSPECTED_FRAUD",F5617="Shipping canceled"),0,1)</x:f>
        <x:v>1</x:v>
      </x:c>
      <x:c r="K5617" s="6" t="n">
        <x:f>IF(G5617&gt;H5617,1,0)</x:f>
        <x:v>0</x:v>
      </x:c>
      <x:c r="L5617" s="6" t="n">
        <x:f>J5617*K5617</x:f>
        <x:v>0</x:v>
      </x:c>
    </x:row>
    <x:row r="5618">
      <x:c r="A5618" s="1" t="n">
        <x:v>44160</x:v>
      </x:c>
      <x:c r="B5618" s="5" t="d">
        <x:v>2016-10-06T00:00:00.000Z</x:v>
      </x:c>
      <x:c r="C5618" s="1" t="str">
        <x:v>Standard Class</x:v>
      </x:c>
      <x:c r="D5618" s="1" t="str">
        <x:v>Africa</x:v>
      </x:c>
      <x:c r="E5618" s="1" t="str">
        <x:v>COMPLETE</x:v>
      </x:c>
      <x:c r="F5618" s="1" t="str">
        <x:v>Late delivery</x:v>
      </x:c>
      <x:c r="G5618" s="6" t="n">
        <x:v>6</x:v>
      </x:c>
      <x:c r="H5618" s="6" t="n">
        <x:v>4</x:v>
      </x:c>
      <x:c r="I5618" s="6" t="n">
        <x:f>G5618-H5618</x:f>
        <x:v>2</x:v>
      </x:c>
      <x:c r="J5618" s="6" t="n">
        <x:f>IF(OR(E5618="CANCELED",E5618="SUSPECTED_FRAUD",F5618="Shipping canceled"),0,1)</x:f>
        <x:v>1</x:v>
      </x:c>
      <x:c r="K5618" s="6" t="n">
        <x:f>IF(G5618&gt;H5618,1,0)</x:f>
        <x:v>1</x:v>
      </x:c>
      <x:c r="L5618" s="6" t="n">
        <x:f>J5618*K5618</x:f>
        <x:v>1</x:v>
      </x:c>
    </x:row>
    <x:row r="5619">
      <x:c r="A5619" s="1" t="n">
        <x:v>44162</x:v>
      </x:c>
      <x:c r="B5619" s="5" t="d">
        <x:v>2016-10-06T00:00:00.000Z</x:v>
      </x:c>
      <x:c r="C5619" s="1" t="str">
        <x:v>Standard Class</x:v>
      </x:c>
      <x:c r="D5619" s="1" t="str">
        <x:v>Africa</x:v>
      </x:c>
      <x:c r="E5619" s="1" t="str">
        <x:v>COMPLETE</x:v>
      </x:c>
      <x:c r="F5619" s="1" t="str">
        <x:v>Advance shipping</x:v>
      </x:c>
      <x:c r="G5619" s="6" t="n">
        <x:v>3</x:v>
      </x:c>
      <x:c r="H5619" s="6" t="n">
        <x:v>4</x:v>
      </x:c>
      <x:c r="I5619" s="6" t="n">
        <x:f>G5619-H5619</x:f>
        <x:v>-1</x:v>
      </x:c>
      <x:c r="J5619" s="6" t="n">
        <x:f>IF(OR(E5619="CANCELED",E5619="SUSPECTED_FRAUD",F5619="Shipping canceled"),0,1)</x:f>
        <x:v>1</x:v>
      </x:c>
      <x:c r="K5619" s="6" t="n">
        <x:f>IF(G5619&gt;H5619,1,0)</x:f>
        <x:v>0</x:v>
      </x:c>
      <x:c r="L5619" s="6" t="n">
        <x:f>J5619*K5619</x:f>
        <x:v>0</x:v>
      </x:c>
    </x:row>
    <x:row r="5620">
      <x:c r="A5620" s="1" t="n">
        <x:v>44168</x:v>
      </x:c>
      <x:c r="B5620" s="5" t="d">
        <x:v>2016-10-06T00:00:00.000Z</x:v>
      </x:c>
      <x:c r="C5620" s="1" t="str">
        <x:v>Standard Class</x:v>
      </x:c>
      <x:c r="D5620" s="1" t="str">
        <x:v>Africa</x:v>
      </x:c>
      <x:c r="E5620" s="1" t="str">
        <x:v>PENDING</x:v>
      </x:c>
      <x:c r="F5620" s="1" t="str">
        <x:v>Shipping on time</x:v>
      </x:c>
      <x:c r="G5620" s="6" t="n">
        <x:v>4</x:v>
      </x:c>
      <x:c r="H5620" s="6" t="n">
        <x:v>4</x:v>
      </x:c>
      <x:c r="I5620" s="6" t="n">
        <x:f>G5620-H5620</x:f>
        <x:v>0</x:v>
      </x:c>
      <x:c r="J5620" s="6" t="n">
        <x:f>IF(OR(E5620="CANCELED",E5620="SUSPECTED_FRAUD",F5620="Shipping canceled"),0,1)</x:f>
        <x:v>1</x:v>
      </x:c>
      <x:c r="K5620" s="6" t="n">
        <x:f>IF(G5620&gt;H5620,1,0)</x:f>
        <x:v>0</x:v>
      </x:c>
      <x:c r="L5620" s="6" t="n">
        <x:f>J5620*K5620</x:f>
        <x:v>0</x:v>
      </x:c>
    </x:row>
    <x:row r="5621">
      <x:c r="A5621" s="1" t="n">
        <x:v>44171</x:v>
      </x:c>
      <x:c r="B5621" s="5" t="d">
        <x:v>2016-10-06T00:00:00.000Z</x:v>
      </x:c>
      <x:c r="C5621" s="1" t="str">
        <x:v>Standard Class</x:v>
      </x:c>
      <x:c r="D5621" s="1" t="str">
        <x:v>Africa</x:v>
      </x:c>
      <x:c r="E5621" s="1" t="str">
        <x:v>COMPLETE</x:v>
      </x:c>
      <x:c r="F5621" s="1" t="str">
        <x:v>Advance shipping</x:v>
      </x:c>
      <x:c r="G5621" s="6" t="n">
        <x:v>2</x:v>
      </x:c>
      <x:c r="H5621" s="6" t="n">
        <x:v>4</x:v>
      </x:c>
      <x:c r="I5621" s="6" t="n">
        <x:f>G5621-H5621</x:f>
        <x:v>-2</x:v>
      </x:c>
      <x:c r="J5621" s="6" t="n">
        <x:f>IF(OR(E5621="CANCELED",E5621="SUSPECTED_FRAUD",F5621="Shipping canceled"),0,1)</x:f>
        <x:v>1</x:v>
      </x:c>
      <x:c r="K5621" s="6" t="n">
        <x:f>IF(G5621&gt;H5621,1,0)</x:f>
        <x:v>0</x:v>
      </x:c>
      <x:c r="L5621" s="6" t="n">
        <x:f>J5621*K5621</x:f>
        <x:v>0</x:v>
      </x:c>
    </x:row>
    <x:row r="5622">
      <x:c r="A5622" s="1" t="n">
        <x:v>44179</x:v>
      </x:c>
      <x:c r="B5622" s="5" t="d">
        <x:v>2016-10-06T00:00:00.000Z</x:v>
      </x:c>
      <x:c r="C5622" s="1" t="str">
        <x:v>Standard Class</x:v>
      </x:c>
      <x:c r="D5622" s="1" t="str">
        <x:v>Pacific Asia</x:v>
      </x:c>
      <x:c r="E5622" s="1" t="str">
        <x:v>COMPLETE</x:v>
      </x:c>
      <x:c r="F5622" s="1" t="str">
        <x:v>Late delivery</x:v>
      </x:c>
      <x:c r="G5622" s="6" t="n">
        <x:v>5</x:v>
      </x:c>
      <x:c r="H5622" s="6" t="n">
        <x:v>4</x:v>
      </x:c>
      <x:c r="I5622" s="6" t="n">
        <x:f>G5622-H5622</x:f>
        <x:v>1</x:v>
      </x:c>
      <x:c r="J5622" s="6" t="n">
        <x:f>IF(OR(E5622="CANCELED",E5622="SUSPECTED_FRAUD",F5622="Shipping canceled"),0,1)</x:f>
        <x:v>1</x:v>
      </x:c>
      <x:c r="K5622" s="6" t="n">
        <x:f>IF(G5622&gt;H5622,1,0)</x:f>
        <x:v>1</x:v>
      </x:c>
      <x:c r="L5622" s="6" t="n">
        <x:f>J5622*K5622</x:f>
        <x:v>1</x:v>
      </x:c>
    </x:row>
    <x:row r="5623">
      <x:c r="A5623" s="1" t="n">
        <x:v>44192</x:v>
      </x:c>
      <x:c r="B5623" s="5" t="d">
        <x:v>2016-10-07T00:00:00.000Z</x:v>
      </x:c>
      <x:c r="C5623" s="1" t="str">
        <x:v>Standard Class</x:v>
      </x:c>
      <x:c r="D5623" s="1" t="str">
        <x:v>Pacific Asia</x:v>
      </x:c>
      <x:c r="E5623" s="1" t="str">
        <x:v>COMPLETE</x:v>
      </x:c>
      <x:c r="F5623" s="1" t="str">
        <x:v>Advance shipping</x:v>
      </x:c>
      <x:c r="G5623" s="6" t="n">
        <x:v>3</x:v>
      </x:c>
      <x:c r="H5623" s="6" t="n">
        <x:v>4</x:v>
      </x:c>
      <x:c r="I5623" s="6" t="n">
        <x:f>G5623-H5623</x:f>
        <x:v>-1</x:v>
      </x:c>
      <x:c r="J5623" s="6" t="n">
        <x:f>IF(OR(E5623="CANCELED",E5623="SUSPECTED_FRAUD",F5623="Shipping canceled"),0,1)</x:f>
        <x:v>1</x:v>
      </x:c>
      <x:c r="K5623" s="6" t="n">
        <x:f>IF(G5623&gt;H5623,1,0)</x:f>
        <x:v>0</x:v>
      </x:c>
      <x:c r="L5623" s="6" t="n">
        <x:f>J5623*K5623</x:f>
        <x:v>0</x:v>
      </x:c>
    </x:row>
    <x:row r="5624">
      <x:c r="A5624" s="1" t="n">
        <x:v>44203</x:v>
      </x:c>
      <x:c r="B5624" s="5" t="d">
        <x:v>2016-10-07T00:00:00.000Z</x:v>
      </x:c>
      <x:c r="C5624" s="1" t="str">
        <x:v>First Class</x:v>
      </x:c>
      <x:c r="D5624" s="1" t="str">
        <x:v>Europe</x:v>
      </x:c>
      <x:c r="E5624" s="1" t="str">
        <x:v>CLOSED</x:v>
      </x:c>
      <x:c r="F5624" s="1" t="str">
        <x:v>Late delivery</x:v>
      </x:c>
      <x:c r="G5624" s="6" t="n">
        <x:v>2</x:v>
      </x:c>
      <x:c r="H5624" s="6" t="n">
        <x:v>1</x:v>
      </x:c>
      <x:c r="I5624" s="6" t="n">
        <x:f>G5624-H5624</x:f>
        <x:v>1</x:v>
      </x:c>
      <x:c r="J5624" s="6" t="n">
        <x:f>IF(OR(E5624="CANCELED",E5624="SUSPECTED_FRAUD",F5624="Shipping canceled"),0,1)</x:f>
        <x:v>1</x:v>
      </x:c>
      <x:c r="K5624" s="6" t="n">
        <x:f>IF(G5624&gt;H5624,1,0)</x:f>
        <x:v>1</x:v>
      </x:c>
      <x:c r="L5624" s="6" t="n">
        <x:f>J5624*K5624</x:f>
        <x:v>1</x:v>
      </x:c>
    </x:row>
    <x:row r="5625">
      <x:c r="A5625" s="1" t="n">
        <x:v>44208</x:v>
      </x:c>
      <x:c r="B5625" s="5" t="d">
        <x:v>2016-10-07T00:00:00.000Z</x:v>
      </x:c>
      <x:c r="C5625" s="1" t="str">
        <x:v>First Class</x:v>
      </x:c>
      <x:c r="D5625" s="1" t="str">
        <x:v>Europe</x:v>
      </x:c>
      <x:c r="E5625" s="1" t="str">
        <x:v>PENDING_PAYMENT</x:v>
      </x:c>
      <x:c r="F5625" s="1" t="str">
        <x:v>Late delivery</x:v>
      </x:c>
      <x:c r="G5625" s="6" t="n">
        <x:v>2</x:v>
      </x:c>
      <x:c r="H5625" s="6" t="n">
        <x:v>1</x:v>
      </x:c>
      <x:c r="I5625" s="6" t="n">
        <x:f>G5625-H5625</x:f>
        <x:v>1</x:v>
      </x:c>
      <x:c r="J5625" s="6" t="n">
        <x:f>IF(OR(E5625="CANCELED",E5625="SUSPECTED_FRAUD",F5625="Shipping canceled"),0,1)</x:f>
        <x:v>1</x:v>
      </x:c>
      <x:c r="K5625" s="6" t="n">
        <x:f>IF(G5625&gt;H5625,1,0)</x:f>
        <x:v>1</x:v>
      </x:c>
      <x:c r="L5625" s="6" t="n">
        <x:f>J5625*K5625</x:f>
        <x:v>1</x:v>
      </x:c>
    </x:row>
    <x:row r="5626">
      <x:c r="A5626" s="1" t="n">
        <x:v>44211</x:v>
      </x:c>
      <x:c r="B5626" s="5" t="d">
        <x:v>2016-10-07T00:00:00.000Z</x:v>
      </x:c>
      <x:c r="C5626" s="1" t="str">
        <x:v>Standard Class</x:v>
      </x:c>
      <x:c r="D5626" s="1" t="str">
        <x:v>Africa</x:v>
      </x:c>
      <x:c r="E5626" s="1" t="str">
        <x:v>PROCESSING</x:v>
      </x:c>
      <x:c r="F5626" s="1" t="str">
        <x:v>Advance shipping</x:v>
      </x:c>
      <x:c r="G5626" s="6" t="n">
        <x:v>2</x:v>
      </x:c>
      <x:c r="H5626" s="6" t="n">
        <x:v>4</x:v>
      </x:c>
      <x:c r="I5626" s="6" t="n">
        <x:f>G5626-H5626</x:f>
        <x:v>-2</x:v>
      </x:c>
      <x:c r="J5626" s="6" t="n">
        <x:f>IF(OR(E5626="CANCELED",E5626="SUSPECTED_FRAUD",F5626="Shipping canceled"),0,1)</x:f>
        <x:v>1</x:v>
      </x:c>
      <x:c r="K5626" s="6" t="n">
        <x:f>IF(G5626&gt;H5626,1,0)</x:f>
        <x:v>0</x:v>
      </x:c>
      <x:c r="L5626" s="6" t="n">
        <x:f>J5626*K5626</x:f>
        <x:v>0</x:v>
      </x:c>
    </x:row>
    <x:row r="5627">
      <x:c r="A5627" s="1" t="n">
        <x:v>44245</x:v>
      </x:c>
      <x:c r="B5627" s="5" t="d">
        <x:v>2016-10-07T00:00:00.000Z</x:v>
      </x:c>
      <x:c r="C5627" s="1" t="str">
        <x:v>Standard Class</x:v>
      </x:c>
      <x:c r="D5627" s="1" t="str">
        <x:v>Africa</x:v>
      </x:c>
      <x:c r="E5627" s="1" t="str">
        <x:v>COMPLETE</x:v>
      </x:c>
      <x:c r="F5627" s="1" t="str">
        <x:v>Late delivery</x:v>
      </x:c>
      <x:c r="G5627" s="6" t="n">
        <x:v>6</x:v>
      </x:c>
      <x:c r="H5627" s="6" t="n">
        <x:v>4</x:v>
      </x:c>
      <x:c r="I5627" s="6" t="n">
        <x:f>G5627-H5627</x:f>
        <x:v>2</x:v>
      </x:c>
      <x:c r="J5627" s="6" t="n">
        <x:f>IF(OR(E5627="CANCELED",E5627="SUSPECTED_FRAUD",F5627="Shipping canceled"),0,1)</x:f>
        <x:v>1</x:v>
      </x:c>
      <x:c r="K5627" s="6" t="n">
        <x:f>IF(G5627&gt;H5627,1,0)</x:f>
        <x:v>1</x:v>
      </x:c>
      <x:c r="L5627" s="6" t="n">
        <x:f>J5627*K5627</x:f>
        <x:v>1</x:v>
      </x:c>
    </x:row>
    <x:row r="5628">
      <x:c r="A5628" s="1" t="n">
        <x:v>44253</x:v>
      </x:c>
      <x:c r="B5628" s="5" t="d">
        <x:v>2016-10-07T00:00:00.000Z</x:v>
      </x:c>
      <x:c r="C5628" s="1" t="str">
        <x:v>Second Class</x:v>
      </x:c>
      <x:c r="D5628" s="1" t="str">
        <x:v>Africa</x:v>
      </x:c>
      <x:c r="E5628" s="1" t="str">
        <x:v>ON_HOLD</x:v>
      </x:c>
      <x:c r="F5628" s="1" t="str">
        <x:v>Late delivery</x:v>
      </x:c>
      <x:c r="G5628" s="6" t="n">
        <x:v>4</x:v>
      </x:c>
      <x:c r="H5628" s="6" t="n">
        <x:v>2</x:v>
      </x:c>
      <x:c r="I5628" s="6" t="n">
        <x:f>G5628-H5628</x:f>
        <x:v>2</x:v>
      </x:c>
      <x:c r="J5628" s="6" t="n">
        <x:f>IF(OR(E5628="CANCELED",E5628="SUSPECTED_FRAUD",F5628="Shipping canceled"),0,1)</x:f>
        <x:v>1</x:v>
      </x:c>
      <x:c r="K5628" s="6" t="n">
        <x:f>IF(G5628&gt;H5628,1,0)</x:f>
        <x:v>1</x:v>
      </x:c>
      <x:c r="L5628" s="6" t="n">
        <x:f>J5628*K5628</x:f>
        <x:v>1</x:v>
      </x:c>
    </x:row>
    <x:row r="5629">
      <x:c r="A5629" s="1" t="n">
        <x:v>44254</x:v>
      </x:c>
      <x:c r="B5629" s="5" t="d">
        <x:v>2016-10-07T00:00:00.000Z</x:v>
      </x:c>
      <x:c r="C5629" s="1" t="str">
        <x:v>Standard Class</x:v>
      </x:c>
      <x:c r="D5629" s="1" t="str">
        <x:v>Africa</x:v>
      </x:c>
      <x:c r="E5629" s="1" t="str">
        <x:v>COMPLETE</x:v>
      </x:c>
      <x:c r="F5629" s="1" t="str">
        <x:v>Late delivery</x:v>
      </x:c>
      <x:c r="G5629" s="6" t="n">
        <x:v>5</x:v>
      </x:c>
      <x:c r="H5629" s="6" t="n">
        <x:v>4</x:v>
      </x:c>
      <x:c r="I5629" s="6" t="n">
        <x:f>G5629-H5629</x:f>
        <x:v>1</x:v>
      </x:c>
      <x:c r="J5629" s="6" t="n">
        <x:f>IF(OR(E5629="CANCELED",E5629="SUSPECTED_FRAUD",F5629="Shipping canceled"),0,1)</x:f>
        <x:v>1</x:v>
      </x:c>
      <x:c r="K5629" s="6" t="n">
        <x:f>IF(G5629&gt;H5629,1,0)</x:f>
        <x:v>1</x:v>
      </x:c>
      <x:c r="L5629" s="6" t="n">
        <x:f>J5629*K5629</x:f>
        <x:v>1</x:v>
      </x:c>
    </x:row>
    <x:row r="5630">
      <x:c r="A5630" s="1" t="n">
        <x:v>44264</x:v>
      </x:c>
      <x:c r="B5630" s="5" t="d">
        <x:v>2016-10-08T00:00:00.000Z</x:v>
      </x:c>
      <x:c r="C5630" s="1" t="str">
        <x:v>Second Class</x:v>
      </x:c>
      <x:c r="D5630" s="1" t="str">
        <x:v>Pacific Asia</x:v>
      </x:c>
      <x:c r="E5630" s="1" t="str">
        <x:v>PROCESSING</x:v>
      </x:c>
      <x:c r="F5630" s="1" t="str">
        <x:v>Late delivery</x:v>
      </x:c>
      <x:c r="G5630" s="6" t="n">
        <x:v>5</x:v>
      </x:c>
      <x:c r="H5630" s="6" t="n">
        <x:v>2</x:v>
      </x:c>
      <x:c r="I5630" s="6" t="n">
        <x:f>G5630-H5630</x:f>
        <x:v>3</x:v>
      </x:c>
      <x:c r="J5630" s="6" t="n">
        <x:f>IF(OR(E5630="CANCELED",E5630="SUSPECTED_FRAUD",F5630="Shipping canceled"),0,1)</x:f>
        <x:v>1</x:v>
      </x:c>
      <x:c r="K5630" s="6" t="n">
        <x:f>IF(G5630&gt;H5630,1,0)</x:f>
        <x:v>1</x:v>
      </x:c>
      <x:c r="L5630" s="6" t="n">
        <x:f>J5630*K5630</x:f>
        <x:v>1</x:v>
      </x:c>
    </x:row>
    <x:row r="5631">
      <x:c r="A5631" s="1" t="n">
        <x:v>44265</x:v>
      </x:c>
      <x:c r="B5631" s="5" t="d">
        <x:v>2016-10-08T00:00:00.000Z</x:v>
      </x:c>
      <x:c r="C5631" s="1" t="str">
        <x:v>Standard Class</x:v>
      </x:c>
      <x:c r="D5631" s="1" t="str">
        <x:v>Africa</x:v>
      </x:c>
      <x:c r="E5631" s="1" t="str">
        <x:v>SUSPECTED_FRAUD</x:v>
      </x:c>
      <x:c r="F5631" s="1" t="str">
        <x:v>Shipping canceled</x:v>
      </x:c>
      <x:c r="G5631" s="6" t="n">
        <x:v>6</x:v>
      </x:c>
      <x:c r="H5631" s="6" t="n">
        <x:v>4</x:v>
      </x:c>
      <x:c r="I5631" s="6" t="n">
        <x:f>G5631-H5631</x:f>
        <x:v>2</x:v>
      </x:c>
      <x:c r="J5631" s="6" t="n">
        <x:f>IF(OR(E5631="CANCELED",E5631="SUSPECTED_FRAUD",F5631="Shipping canceled"),0,1)</x:f>
        <x:v>0</x:v>
      </x:c>
      <x:c r="K5631" s="6" t="n">
        <x:f>IF(G5631&gt;H5631,1,0)</x:f>
        <x:v>1</x:v>
      </x:c>
      <x:c r="L5631" s="6" t="n">
        <x:f>J5631*K5631</x:f>
        <x:v>0</x:v>
      </x:c>
    </x:row>
    <x:row r="5632">
      <x:c r="A5632" s="1" t="n">
        <x:v>44268</x:v>
      </x:c>
      <x:c r="B5632" s="5" t="d">
        <x:v>2016-10-08T00:00:00.000Z</x:v>
      </x:c>
      <x:c r="C5632" s="1" t="str">
        <x:v>Second Class</x:v>
      </x:c>
      <x:c r="D5632" s="1" t="str">
        <x:v>Pacific Asia</x:v>
      </x:c>
      <x:c r="E5632" s="1" t="str">
        <x:v>COMPLETE</x:v>
      </x:c>
      <x:c r="F5632" s="1" t="str">
        <x:v>Late delivery</x:v>
      </x:c>
      <x:c r="G5632" s="6" t="n">
        <x:v>4</x:v>
      </x:c>
      <x:c r="H5632" s="6" t="n">
        <x:v>2</x:v>
      </x:c>
      <x:c r="I5632" s="6" t="n">
        <x:f>G5632-H5632</x:f>
        <x:v>2</x:v>
      </x:c>
      <x:c r="J5632" s="6" t="n">
        <x:f>IF(OR(E5632="CANCELED",E5632="SUSPECTED_FRAUD",F5632="Shipping canceled"),0,1)</x:f>
        <x:v>1</x:v>
      </x:c>
      <x:c r="K5632" s="6" t="n">
        <x:f>IF(G5632&gt;H5632,1,0)</x:f>
        <x:v>1</x:v>
      </x:c>
      <x:c r="L5632" s="6" t="n">
        <x:f>J5632*K5632</x:f>
        <x:v>1</x:v>
      </x:c>
    </x:row>
    <x:row r="5633">
      <x:c r="A5633" s="1" t="n">
        <x:v>44273</x:v>
      </x:c>
      <x:c r="B5633" s="5" t="d">
        <x:v>2016-10-08T00:00:00.000Z</x:v>
      </x:c>
      <x:c r="C5633" s="1" t="str">
        <x:v>Standard Class</x:v>
      </x:c>
      <x:c r="D5633" s="1" t="str">
        <x:v>USCA</x:v>
      </x:c>
      <x:c r="E5633" s="1" t="str">
        <x:v>COMPLETE</x:v>
      </x:c>
      <x:c r="F5633" s="1" t="str">
        <x:v>Shipping on time</x:v>
      </x:c>
      <x:c r="G5633" s="6" t="n">
        <x:v>4</x:v>
      </x:c>
      <x:c r="H5633" s="6" t="n">
        <x:v>4</x:v>
      </x:c>
      <x:c r="I5633" s="6" t="n">
        <x:f>G5633-H5633</x:f>
        <x:v>0</x:v>
      </x:c>
      <x:c r="J5633" s="6" t="n">
        <x:f>IF(OR(E5633="CANCELED",E5633="SUSPECTED_FRAUD",F5633="Shipping canceled"),0,1)</x:f>
        <x:v>1</x:v>
      </x:c>
      <x:c r="K5633" s="6" t="n">
        <x:f>IF(G5633&gt;H5633,1,0)</x:f>
        <x:v>0</x:v>
      </x:c>
      <x:c r="L5633" s="6" t="n">
        <x:f>J5633*K5633</x:f>
        <x:v>0</x:v>
      </x:c>
    </x:row>
    <x:row r="5634">
      <x:c r="A5634" s="1" t="n">
        <x:v>44275</x:v>
      </x:c>
      <x:c r="B5634" s="5" t="d">
        <x:v>2016-10-08T00:00:00.000Z</x:v>
      </x:c>
      <x:c r="C5634" s="1" t="str">
        <x:v>Standard Class</x:v>
      </x:c>
      <x:c r="D5634" s="1" t="str">
        <x:v>USCA</x:v>
      </x:c>
      <x:c r="E5634" s="1" t="str">
        <x:v>ON_HOLD</x:v>
      </x:c>
      <x:c r="F5634" s="1" t="str">
        <x:v>Late delivery</x:v>
      </x:c>
      <x:c r="G5634" s="6" t="n">
        <x:v>6</x:v>
      </x:c>
      <x:c r="H5634" s="6" t="n">
        <x:v>4</x:v>
      </x:c>
      <x:c r="I5634" s="6" t="n">
        <x:f>G5634-H5634</x:f>
        <x:v>2</x:v>
      </x:c>
      <x:c r="J5634" s="6" t="n">
        <x:f>IF(OR(E5634="CANCELED",E5634="SUSPECTED_FRAUD",F5634="Shipping canceled"),0,1)</x:f>
        <x:v>1</x:v>
      </x:c>
      <x:c r="K5634" s="6" t="n">
        <x:f>IF(G5634&gt;H5634,1,0)</x:f>
        <x:v>1</x:v>
      </x:c>
      <x:c r="L5634" s="6" t="n">
        <x:f>J5634*K5634</x:f>
        <x:v>1</x:v>
      </x:c>
    </x:row>
    <x:row r="5635">
      <x:c r="A5635" s="1" t="n">
        <x:v>44276</x:v>
      </x:c>
      <x:c r="B5635" s="5" t="d">
        <x:v>2016-10-08T00:00:00.000Z</x:v>
      </x:c>
      <x:c r="C5635" s="1" t="str">
        <x:v>Standard Class</x:v>
      </x:c>
      <x:c r="D5635" s="1" t="str">
        <x:v>Africa</x:v>
      </x:c>
      <x:c r="E5635" s="1" t="str">
        <x:v>PENDING</x:v>
      </x:c>
      <x:c r="F5635" s="1" t="str">
        <x:v>Advance shipping</x:v>
      </x:c>
      <x:c r="G5635" s="6" t="n">
        <x:v>2</x:v>
      </x:c>
      <x:c r="H5635" s="6" t="n">
        <x:v>4</x:v>
      </x:c>
      <x:c r="I5635" s="6" t="n">
        <x:f>G5635-H5635</x:f>
        <x:v>-2</x:v>
      </x:c>
      <x:c r="J5635" s="6" t="n">
        <x:f>IF(OR(E5635="CANCELED",E5635="SUSPECTED_FRAUD",F5635="Shipping canceled"),0,1)</x:f>
        <x:v>1</x:v>
      </x:c>
      <x:c r="K5635" s="6" t="n">
        <x:f>IF(G5635&gt;H5635,1,0)</x:f>
        <x:v>0</x:v>
      </x:c>
      <x:c r="L5635" s="6" t="n">
        <x:f>J5635*K5635</x:f>
        <x:v>0</x:v>
      </x:c>
    </x:row>
    <x:row r="5636">
      <x:c r="A5636" s="1" t="n">
        <x:v>44279</x:v>
      </x:c>
      <x:c r="B5636" s="5" t="d">
        <x:v>2016-10-08T00:00:00.000Z</x:v>
      </x:c>
      <x:c r="C5636" s="1" t="str">
        <x:v>Standard Class</x:v>
      </x:c>
      <x:c r="D5636" s="1" t="str">
        <x:v>Africa</x:v>
      </x:c>
      <x:c r="E5636" s="1" t="str">
        <x:v>PENDING_PAYMENT</x:v>
      </x:c>
      <x:c r="F5636" s="1" t="str">
        <x:v>Late delivery</x:v>
      </x:c>
      <x:c r="G5636" s="6" t="n">
        <x:v>5</x:v>
      </x:c>
      <x:c r="H5636" s="6" t="n">
        <x:v>4</x:v>
      </x:c>
      <x:c r="I5636" s="6" t="n">
        <x:f>G5636-H5636</x:f>
        <x:v>1</x:v>
      </x:c>
      <x:c r="J5636" s="6" t="n">
        <x:f>IF(OR(E5636="CANCELED",E5636="SUSPECTED_FRAUD",F5636="Shipping canceled"),0,1)</x:f>
        <x:v>1</x:v>
      </x:c>
      <x:c r="K5636" s="6" t="n">
        <x:f>IF(G5636&gt;H5636,1,0)</x:f>
        <x:v>1</x:v>
      </x:c>
      <x:c r="L5636" s="6" t="n">
        <x:f>J5636*K5636</x:f>
        <x:v>1</x:v>
      </x:c>
    </x:row>
    <x:row r="5637">
      <x:c r="A5637" s="1" t="n">
        <x:v>44301</x:v>
      </x:c>
      <x:c r="B5637" s="5" t="d">
        <x:v>2016-10-08T00:00:00.000Z</x:v>
      </x:c>
      <x:c r="C5637" s="1" t="str">
        <x:v>Standard Class</x:v>
      </x:c>
      <x:c r="D5637" s="1" t="str">
        <x:v>Africa</x:v>
      </x:c>
      <x:c r="E5637" s="1" t="str">
        <x:v>ON_HOLD</x:v>
      </x:c>
      <x:c r="F5637" s="1" t="str">
        <x:v>Advance shipping</x:v>
      </x:c>
      <x:c r="G5637" s="6" t="n">
        <x:v>2</x:v>
      </x:c>
      <x:c r="H5637" s="6" t="n">
        <x:v>4</x:v>
      </x:c>
      <x:c r="I5637" s="6" t="n">
        <x:f>G5637-H5637</x:f>
        <x:v>-2</x:v>
      </x:c>
      <x:c r="J5637" s="6" t="n">
        <x:f>IF(OR(E5637="CANCELED",E5637="SUSPECTED_FRAUD",F5637="Shipping canceled"),0,1)</x:f>
        <x:v>1</x:v>
      </x:c>
      <x:c r="K5637" s="6" t="n">
        <x:f>IF(G5637&gt;H5637,1,0)</x:f>
        <x:v>0</x:v>
      </x:c>
      <x:c r="L5637" s="6" t="n">
        <x:f>J5637*K5637</x:f>
        <x:v>0</x:v>
      </x:c>
    </x:row>
    <x:row r="5638">
      <x:c r="A5638" s="1" t="n">
        <x:v>44311</x:v>
      </x:c>
      <x:c r="B5638" s="5" t="d">
        <x:v>2016-10-08T00:00:00.000Z</x:v>
      </x:c>
      <x:c r="C5638" s="1" t="str">
        <x:v>Standard Class</x:v>
      </x:c>
      <x:c r="D5638" s="1" t="str">
        <x:v>USCA</x:v>
      </x:c>
      <x:c r="E5638" s="1" t="str">
        <x:v>COMPLETE</x:v>
      </x:c>
      <x:c r="F5638" s="1" t="str">
        <x:v>Advance shipping</x:v>
      </x:c>
      <x:c r="G5638" s="6" t="n">
        <x:v>2</x:v>
      </x:c>
      <x:c r="H5638" s="6" t="n">
        <x:v>4</x:v>
      </x:c>
      <x:c r="I5638" s="6" t="n">
        <x:f>G5638-H5638</x:f>
        <x:v>-2</x:v>
      </x:c>
      <x:c r="J5638" s="6" t="n">
        <x:f>IF(OR(E5638="CANCELED",E5638="SUSPECTED_FRAUD",F5638="Shipping canceled"),0,1)</x:f>
        <x:v>1</x:v>
      </x:c>
      <x:c r="K5638" s="6" t="n">
        <x:f>IF(G5638&gt;H5638,1,0)</x:f>
        <x:v>0</x:v>
      </x:c>
      <x:c r="L5638" s="6" t="n">
        <x:f>J5638*K5638</x:f>
        <x:v>0</x:v>
      </x:c>
    </x:row>
    <x:row r="5639">
      <x:c r="A5639" s="1" t="n">
        <x:v>44316</x:v>
      </x:c>
      <x:c r="B5639" s="5" t="d">
        <x:v>2016-10-08T00:00:00.000Z</x:v>
      </x:c>
      <x:c r="C5639" s="1" t="str">
        <x:v>Standard Class</x:v>
      </x:c>
      <x:c r="D5639" s="1" t="str">
        <x:v>Pacific Asia</x:v>
      </x:c>
      <x:c r="E5639" s="1" t="str">
        <x:v>PROCESSING</x:v>
      </x:c>
      <x:c r="F5639" s="1" t="str">
        <x:v>Advance shipping</x:v>
      </x:c>
      <x:c r="G5639" s="6" t="n">
        <x:v>2</x:v>
      </x:c>
      <x:c r="H5639" s="6" t="n">
        <x:v>4</x:v>
      </x:c>
      <x:c r="I5639" s="6" t="n">
        <x:f>G5639-H5639</x:f>
        <x:v>-2</x:v>
      </x:c>
      <x:c r="J5639" s="6" t="n">
        <x:f>IF(OR(E5639="CANCELED",E5639="SUSPECTED_FRAUD",F5639="Shipping canceled"),0,1)</x:f>
        <x:v>1</x:v>
      </x:c>
      <x:c r="K5639" s="6" t="n">
        <x:f>IF(G5639&gt;H5639,1,0)</x:f>
        <x:v>0</x:v>
      </x:c>
      <x:c r="L5639" s="6" t="n">
        <x:f>J5639*K5639</x:f>
        <x:v>0</x:v>
      </x:c>
    </x:row>
    <x:row r="5640">
      <x:c r="A5640" s="1" t="n">
        <x:v>44334</x:v>
      </x:c>
      <x:c r="B5640" s="5" t="d">
        <x:v>2016-10-09T00:00:00.000Z</x:v>
      </x:c>
      <x:c r="C5640" s="1" t="str">
        <x:v>Standard Class</x:v>
      </x:c>
      <x:c r="D5640" s="1" t="str">
        <x:v>Europe</x:v>
      </x:c>
      <x:c r="E5640" s="1" t="str">
        <x:v>ON_HOLD</x:v>
      </x:c>
      <x:c r="F5640" s="1" t="str">
        <x:v>Late delivery</x:v>
      </x:c>
      <x:c r="G5640" s="6" t="n">
        <x:v>5</x:v>
      </x:c>
      <x:c r="H5640" s="6" t="n">
        <x:v>4</x:v>
      </x:c>
      <x:c r="I5640" s="6" t="n">
        <x:f>G5640-H5640</x:f>
        <x:v>1</x:v>
      </x:c>
      <x:c r="J5640" s="6" t="n">
        <x:f>IF(OR(E5640="CANCELED",E5640="SUSPECTED_FRAUD",F5640="Shipping canceled"),0,1)</x:f>
        <x:v>1</x:v>
      </x:c>
      <x:c r="K5640" s="6" t="n">
        <x:f>IF(G5640&gt;H5640,1,0)</x:f>
        <x:v>1</x:v>
      </x:c>
      <x:c r="L5640" s="6" t="n">
        <x:f>J5640*K5640</x:f>
        <x:v>1</x:v>
      </x:c>
    </x:row>
    <x:row r="5641">
      <x:c r="A5641" s="1" t="n">
        <x:v>44335</x:v>
      </x:c>
      <x:c r="B5641" s="5" t="d">
        <x:v>2016-10-09T00:00:00.000Z</x:v>
      </x:c>
      <x:c r="C5641" s="1" t="str">
        <x:v>First Class</x:v>
      </x:c>
      <x:c r="D5641" s="1" t="str">
        <x:v>Europe</x:v>
      </x:c>
      <x:c r="E5641" s="1" t="str">
        <x:v>CLOSED</x:v>
      </x:c>
      <x:c r="F5641" s="1" t="str">
        <x:v>Late delivery</x:v>
      </x:c>
      <x:c r="G5641" s="6" t="n">
        <x:v>2</x:v>
      </x:c>
      <x:c r="H5641" s="6" t="n">
        <x:v>1</x:v>
      </x:c>
      <x:c r="I5641" s="6" t="n">
        <x:f>G5641-H5641</x:f>
        <x:v>1</x:v>
      </x:c>
      <x:c r="J5641" s="6" t="n">
        <x:f>IF(OR(E5641="CANCELED",E5641="SUSPECTED_FRAUD",F5641="Shipping canceled"),0,1)</x:f>
        <x:v>1</x:v>
      </x:c>
      <x:c r="K5641" s="6" t="n">
        <x:f>IF(G5641&gt;H5641,1,0)</x:f>
        <x:v>1</x:v>
      </x:c>
      <x:c r="L5641" s="6" t="n">
        <x:f>J5641*K5641</x:f>
        <x:v>1</x:v>
      </x:c>
    </x:row>
    <x:row r="5642">
      <x:c r="A5642" s="1" t="n">
        <x:v>44343</x:v>
      </x:c>
      <x:c r="B5642" s="5" t="d">
        <x:v>2016-10-09T00:00:00.000Z</x:v>
      </x:c>
      <x:c r="C5642" s="1" t="str">
        <x:v>Standard Class</x:v>
      </x:c>
      <x:c r="D5642" s="1" t="str">
        <x:v>Africa</x:v>
      </x:c>
      <x:c r="E5642" s="1" t="str">
        <x:v>COMPLETE</x:v>
      </x:c>
      <x:c r="F5642" s="1" t="str">
        <x:v>Shipping on time</x:v>
      </x:c>
      <x:c r="G5642" s="6" t="n">
        <x:v>4</x:v>
      </x:c>
      <x:c r="H5642" s="6" t="n">
        <x:v>4</x:v>
      </x:c>
      <x:c r="I5642" s="6" t="n">
        <x:f>G5642-H5642</x:f>
        <x:v>0</x:v>
      </x:c>
      <x:c r="J5642" s="6" t="n">
        <x:f>IF(OR(E5642="CANCELED",E5642="SUSPECTED_FRAUD",F5642="Shipping canceled"),0,1)</x:f>
        <x:v>1</x:v>
      </x:c>
      <x:c r="K5642" s="6" t="n">
        <x:f>IF(G5642&gt;H5642,1,0)</x:f>
        <x:v>0</x:v>
      </x:c>
      <x:c r="L5642" s="6" t="n">
        <x:f>J5642*K5642</x:f>
        <x:v>0</x:v>
      </x:c>
    </x:row>
    <x:row r="5643">
      <x:c r="A5643" s="1" t="n">
        <x:v>44351</x:v>
      </x:c>
      <x:c r="B5643" s="5" t="d">
        <x:v>2016-10-09T00:00:00.000Z</x:v>
      </x:c>
      <x:c r="C5643" s="1" t="str">
        <x:v>First Class</x:v>
      </x:c>
      <x:c r="D5643" s="1" t="str">
        <x:v>Pacific Asia</x:v>
      </x:c>
      <x:c r="E5643" s="1" t="str">
        <x:v>CLOSED</x:v>
      </x:c>
      <x:c r="F5643" s="1" t="str">
        <x:v>Late delivery</x:v>
      </x:c>
      <x:c r="G5643" s="6" t="n">
        <x:v>2</x:v>
      </x:c>
      <x:c r="H5643" s="6" t="n">
        <x:v>1</x:v>
      </x:c>
      <x:c r="I5643" s="6" t="n">
        <x:f>G5643-H5643</x:f>
        <x:v>1</x:v>
      </x:c>
      <x:c r="J5643" s="6" t="n">
        <x:f>IF(OR(E5643="CANCELED",E5643="SUSPECTED_FRAUD",F5643="Shipping canceled"),0,1)</x:f>
        <x:v>1</x:v>
      </x:c>
      <x:c r="K5643" s="6" t="n">
        <x:f>IF(G5643&gt;H5643,1,0)</x:f>
        <x:v>1</x:v>
      </x:c>
      <x:c r="L5643" s="6" t="n">
        <x:f>J5643*K5643</x:f>
        <x:v>1</x:v>
      </x:c>
    </x:row>
    <x:row r="5644">
      <x:c r="A5644" s="1" t="n">
        <x:v>44372</x:v>
      </x:c>
      <x:c r="B5644" s="5" t="d">
        <x:v>2016-10-09T00:00:00.000Z</x:v>
      </x:c>
      <x:c r="C5644" s="1" t="str">
        <x:v>Same Day</x:v>
      </x:c>
      <x:c r="D5644" s="1" t="str">
        <x:v>Europe</x:v>
      </x:c>
      <x:c r="E5644" s="1" t="str">
        <x:v>CLOSED</x:v>
      </x:c>
      <x:c r="F5644" s="1" t="str">
        <x:v>Late delivery</x:v>
      </x:c>
      <x:c r="G5644" s="6" t="n">
        <x:v>1</x:v>
      </x:c>
      <x:c r="H5644" s="6" t="n">
        <x:v>0</x:v>
      </x:c>
      <x:c r="I5644" s="6" t="n">
        <x:f>G5644-H5644</x:f>
        <x:v>1</x:v>
      </x:c>
      <x:c r="J5644" s="6" t="n">
        <x:f>IF(OR(E5644="CANCELED",E5644="SUSPECTED_FRAUD",F5644="Shipping canceled"),0,1)</x:f>
        <x:v>1</x:v>
      </x:c>
      <x:c r="K5644" s="6" t="n">
        <x:f>IF(G5644&gt;H5644,1,0)</x:f>
        <x:v>1</x:v>
      </x:c>
      <x:c r="L5644" s="6" t="n">
        <x:f>J5644*K5644</x:f>
        <x:v>1</x:v>
      </x:c>
    </x:row>
    <x:row r="5645">
      <x:c r="A5645" s="1" t="n">
        <x:v>44378</x:v>
      </x:c>
      <x:c r="B5645" s="5" t="d">
        <x:v>2016-10-09T00:00:00.000Z</x:v>
      </x:c>
      <x:c r="C5645" s="1" t="str">
        <x:v>Second Class</x:v>
      </x:c>
      <x:c r="D5645" s="1" t="str">
        <x:v>USCA</x:v>
      </x:c>
      <x:c r="E5645" s="1" t="str">
        <x:v>CLOSED</x:v>
      </x:c>
      <x:c r="F5645" s="1" t="str">
        <x:v>Late delivery</x:v>
      </x:c>
      <x:c r="G5645" s="6" t="n">
        <x:v>4</x:v>
      </x:c>
      <x:c r="H5645" s="6" t="n">
        <x:v>2</x:v>
      </x:c>
      <x:c r="I5645" s="6" t="n">
        <x:f>G5645-H5645</x:f>
        <x:v>2</x:v>
      </x:c>
      <x:c r="J5645" s="6" t="n">
        <x:f>IF(OR(E5645="CANCELED",E5645="SUSPECTED_FRAUD",F5645="Shipping canceled"),0,1)</x:f>
        <x:v>1</x:v>
      </x:c>
      <x:c r="K5645" s="6" t="n">
        <x:f>IF(G5645&gt;H5645,1,0)</x:f>
        <x:v>1</x:v>
      </x:c>
      <x:c r="L5645" s="6" t="n">
        <x:f>J5645*K5645</x:f>
        <x:v>1</x:v>
      </x:c>
    </x:row>
    <x:row r="5646">
      <x:c r="A5646" s="1" t="n">
        <x:v>44388</x:v>
      </x:c>
      <x:c r="B5646" s="5" t="d">
        <x:v>2016-10-09T00:00:00.000Z</x:v>
      </x:c>
      <x:c r="C5646" s="1" t="str">
        <x:v>Second Class</x:v>
      </x:c>
      <x:c r="D5646" s="1" t="str">
        <x:v>Europe</x:v>
      </x:c>
      <x:c r="E5646" s="1" t="str">
        <x:v>COMPLETE</x:v>
      </x:c>
      <x:c r="F5646" s="1" t="str">
        <x:v>Late delivery</x:v>
      </x:c>
      <x:c r="G5646" s="6" t="n">
        <x:v>4</x:v>
      </x:c>
      <x:c r="H5646" s="6" t="n">
        <x:v>2</x:v>
      </x:c>
      <x:c r="I5646" s="6" t="n">
        <x:f>G5646-H5646</x:f>
        <x:v>2</x:v>
      </x:c>
      <x:c r="J5646" s="6" t="n">
        <x:f>IF(OR(E5646="CANCELED",E5646="SUSPECTED_FRAUD",F5646="Shipping canceled"),0,1)</x:f>
        <x:v>1</x:v>
      </x:c>
      <x:c r="K5646" s="6" t="n">
        <x:f>IF(G5646&gt;H5646,1,0)</x:f>
        <x:v>1</x:v>
      </x:c>
      <x:c r="L5646" s="6" t="n">
        <x:f>J5646*K5646</x:f>
        <x:v>1</x:v>
      </x:c>
    </x:row>
    <x:row r="5647">
      <x:c r="A5647" s="1" t="n">
        <x:v>44409</x:v>
      </x:c>
      <x:c r="B5647" s="5" t="d">
        <x:v>2016-10-10T00:00:00.000Z</x:v>
      </x:c>
      <x:c r="C5647" s="1" t="str">
        <x:v>Standard Class</x:v>
      </x:c>
      <x:c r="D5647" s="1" t="str">
        <x:v>Africa</x:v>
      </x:c>
      <x:c r="E5647" s="1" t="str">
        <x:v>PENDING</x:v>
      </x:c>
      <x:c r="F5647" s="1" t="str">
        <x:v>Late delivery</x:v>
      </x:c>
      <x:c r="G5647" s="6" t="n">
        <x:v>5</x:v>
      </x:c>
      <x:c r="H5647" s="6" t="n">
        <x:v>4</x:v>
      </x:c>
      <x:c r="I5647" s="6" t="n">
        <x:f>G5647-H5647</x:f>
        <x:v>1</x:v>
      </x:c>
      <x:c r="J5647" s="6" t="n">
        <x:f>IF(OR(E5647="CANCELED",E5647="SUSPECTED_FRAUD",F5647="Shipping canceled"),0,1)</x:f>
        <x:v>1</x:v>
      </x:c>
      <x:c r="K5647" s="6" t="n">
        <x:f>IF(G5647&gt;H5647,1,0)</x:f>
        <x:v>1</x:v>
      </x:c>
      <x:c r="L5647" s="6" t="n">
        <x:f>J5647*K5647</x:f>
        <x:v>1</x:v>
      </x:c>
    </x:row>
    <x:row r="5648">
      <x:c r="A5648" s="1" t="n">
        <x:v>44424</x:v>
      </x:c>
      <x:c r="B5648" s="5" t="d">
        <x:v>2016-10-10T00:00:00.000Z</x:v>
      </x:c>
      <x:c r="C5648" s="1" t="str">
        <x:v>First Class</x:v>
      </x:c>
      <x:c r="D5648" s="1" t="str">
        <x:v>Africa</x:v>
      </x:c>
      <x:c r="E5648" s="1" t="str">
        <x:v>PENDING_PAYMENT</x:v>
      </x:c>
      <x:c r="F5648" s="1" t="str">
        <x:v>Late delivery</x:v>
      </x:c>
      <x:c r="G5648" s="6" t="n">
        <x:v>2</x:v>
      </x:c>
      <x:c r="H5648" s="6" t="n">
        <x:v>1</x:v>
      </x:c>
      <x:c r="I5648" s="6" t="n">
        <x:f>G5648-H5648</x:f>
        <x:v>1</x:v>
      </x:c>
      <x:c r="J5648" s="6" t="n">
        <x:f>IF(OR(E5648="CANCELED",E5648="SUSPECTED_FRAUD",F5648="Shipping canceled"),0,1)</x:f>
        <x:v>1</x:v>
      </x:c>
      <x:c r="K5648" s="6" t="n">
        <x:f>IF(G5648&gt;H5648,1,0)</x:f>
        <x:v>1</x:v>
      </x:c>
      <x:c r="L5648" s="6" t="n">
        <x:f>J5648*K5648</x:f>
        <x:v>1</x:v>
      </x:c>
    </x:row>
    <x:row r="5649">
      <x:c r="A5649" s="1" t="n">
        <x:v>44425</x:v>
      </x:c>
      <x:c r="B5649" s="5" t="d">
        <x:v>2016-10-10T00:00:00.000Z</x:v>
      </x:c>
      <x:c r="C5649" s="1" t="str">
        <x:v>Standard Class</x:v>
      </x:c>
      <x:c r="D5649" s="1" t="str">
        <x:v>Africa</x:v>
      </x:c>
      <x:c r="E5649" s="1" t="str">
        <x:v>PROCESSING</x:v>
      </x:c>
      <x:c r="F5649" s="1" t="str">
        <x:v>Late delivery</x:v>
      </x:c>
      <x:c r="G5649" s="6" t="n">
        <x:v>6</x:v>
      </x:c>
      <x:c r="H5649" s="6" t="n">
        <x:v>4</x:v>
      </x:c>
      <x:c r="I5649" s="6" t="n">
        <x:f>G5649-H5649</x:f>
        <x:v>2</x:v>
      </x:c>
      <x:c r="J5649" s="6" t="n">
        <x:f>IF(OR(E5649="CANCELED",E5649="SUSPECTED_FRAUD",F5649="Shipping canceled"),0,1)</x:f>
        <x:v>1</x:v>
      </x:c>
      <x:c r="K5649" s="6" t="n">
        <x:f>IF(G5649&gt;H5649,1,0)</x:f>
        <x:v>1</x:v>
      </x:c>
      <x:c r="L5649" s="6" t="n">
        <x:f>J5649*K5649</x:f>
        <x:v>1</x:v>
      </x:c>
    </x:row>
    <x:row r="5650">
      <x:c r="A5650" s="1" t="n">
        <x:v>44428</x:v>
      </x:c>
      <x:c r="B5650" s="5" t="d">
        <x:v>2016-10-10T00:00:00.000Z</x:v>
      </x:c>
      <x:c r="C5650" s="1" t="str">
        <x:v>Second Class</x:v>
      </x:c>
      <x:c r="D5650" s="1" t="str">
        <x:v>Pacific Asia</x:v>
      </x:c>
      <x:c r="E5650" s="1" t="str">
        <x:v>COMPLETE</x:v>
      </x:c>
      <x:c r="F5650" s="1" t="str">
        <x:v>Late delivery</x:v>
      </x:c>
      <x:c r="G5650" s="6" t="n">
        <x:v>4</x:v>
      </x:c>
      <x:c r="H5650" s="6" t="n">
        <x:v>2</x:v>
      </x:c>
      <x:c r="I5650" s="6" t="n">
        <x:f>G5650-H5650</x:f>
        <x:v>2</x:v>
      </x:c>
      <x:c r="J5650" s="6" t="n">
        <x:f>IF(OR(E5650="CANCELED",E5650="SUSPECTED_FRAUD",F5650="Shipping canceled"),0,1)</x:f>
        <x:v>1</x:v>
      </x:c>
      <x:c r="K5650" s="6" t="n">
        <x:f>IF(G5650&gt;H5650,1,0)</x:f>
        <x:v>1</x:v>
      </x:c>
      <x:c r="L5650" s="6" t="n">
        <x:f>J5650*K5650</x:f>
        <x:v>1</x:v>
      </x:c>
    </x:row>
    <x:row r="5651">
      <x:c r="A5651" s="1" t="n">
        <x:v>44435</x:v>
      </x:c>
      <x:c r="B5651" s="5" t="d">
        <x:v>2016-10-10T00:00:00.000Z</x:v>
      </x:c>
      <x:c r="C5651" s="1" t="str">
        <x:v>Second Class</x:v>
      </x:c>
      <x:c r="D5651" s="1" t="str">
        <x:v>Europe</x:v>
      </x:c>
      <x:c r="E5651" s="1" t="str">
        <x:v>PENDING_PAYMENT</x:v>
      </x:c>
      <x:c r="F5651" s="1" t="str">
        <x:v>Late delivery</x:v>
      </x:c>
      <x:c r="G5651" s="6" t="n">
        <x:v>6</x:v>
      </x:c>
      <x:c r="H5651" s="6" t="n">
        <x:v>2</x:v>
      </x:c>
      <x:c r="I5651" s="6" t="n">
        <x:f>G5651-H5651</x:f>
        <x:v>4</x:v>
      </x:c>
      <x:c r="J5651" s="6" t="n">
        <x:f>IF(OR(E5651="CANCELED",E5651="SUSPECTED_FRAUD",F5651="Shipping canceled"),0,1)</x:f>
        <x:v>1</x:v>
      </x:c>
      <x:c r="K5651" s="6" t="n">
        <x:f>IF(G5651&gt;H5651,1,0)</x:f>
        <x:v>1</x:v>
      </x:c>
      <x:c r="L5651" s="6" t="n">
        <x:f>J5651*K5651</x:f>
        <x:v>1</x:v>
      </x:c>
    </x:row>
    <x:row r="5652">
      <x:c r="A5652" s="1" t="n">
        <x:v>44439</x:v>
      </x:c>
      <x:c r="B5652" s="5" t="d">
        <x:v>2016-10-10T00:00:00.000Z</x:v>
      </x:c>
      <x:c r="C5652" s="1" t="str">
        <x:v>Standard Class</x:v>
      </x:c>
      <x:c r="D5652" s="1" t="str">
        <x:v>Europe</x:v>
      </x:c>
      <x:c r="E5652" s="1" t="str">
        <x:v>ON_HOLD</x:v>
      </x:c>
      <x:c r="F5652" s="1" t="str">
        <x:v>Late delivery</x:v>
      </x:c>
      <x:c r="G5652" s="6" t="n">
        <x:v>5</x:v>
      </x:c>
      <x:c r="H5652" s="6" t="n">
        <x:v>4</x:v>
      </x:c>
      <x:c r="I5652" s="6" t="n">
        <x:f>G5652-H5652</x:f>
        <x:v>1</x:v>
      </x:c>
      <x:c r="J5652" s="6" t="n">
        <x:f>IF(OR(E5652="CANCELED",E5652="SUSPECTED_FRAUD",F5652="Shipping canceled"),0,1)</x:f>
        <x:v>1</x:v>
      </x:c>
      <x:c r="K5652" s="6" t="n">
        <x:f>IF(G5652&gt;H5652,1,0)</x:f>
        <x:v>1</x:v>
      </x:c>
      <x:c r="L5652" s="6" t="n">
        <x:f>J5652*K5652</x:f>
        <x:v>1</x:v>
      </x:c>
    </x:row>
    <x:row r="5653">
      <x:c r="A5653" s="1" t="n">
        <x:v>44441</x:v>
      </x:c>
      <x:c r="B5653" s="5" t="d">
        <x:v>2016-10-10T00:00:00.000Z</x:v>
      </x:c>
      <x:c r="C5653" s="1" t="str">
        <x:v>Standard Class</x:v>
      </x:c>
      <x:c r="D5653" s="1" t="str">
        <x:v>Europe</x:v>
      </x:c>
      <x:c r="E5653" s="1" t="str">
        <x:v>PROCESSING</x:v>
      </x:c>
      <x:c r="F5653" s="1" t="str">
        <x:v>Advance shipping</x:v>
      </x:c>
      <x:c r="G5653" s="6" t="n">
        <x:v>2</x:v>
      </x:c>
      <x:c r="H5653" s="6" t="n">
        <x:v>4</x:v>
      </x:c>
      <x:c r="I5653" s="6" t="n">
        <x:f>G5653-H5653</x:f>
        <x:v>-2</x:v>
      </x:c>
      <x:c r="J5653" s="6" t="n">
        <x:f>IF(OR(E5653="CANCELED",E5653="SUSPECTED_FRAUD",F5653="Shipping canceled"),0,1)</x:f>
        <x:v>1</x:v>
      </x:c>
      <x:c r="K5653" s="6" t="n">
        <x:f>IF(G5653&gt;H5653,1,0)</x:f>
        <x:v>0</x:v>
      </x:c>
      <x:c r="L5653" s="6" t="n">
        <x:f>J5653*K5653</x:f>
        <x:v>0</x:v>
      </x:c>
    </x:row>
    <x:row r="5654">
      <x:c r="A5654" s="1" t="n">
        <x:v>44442</x:v>
      </x:c>
      <x:c r="B5654" s="5" t="d">
        <x:v>2016-10-10T00:00:00.000Z</x:v>
      </x:c>
      <x:c r="C5654" s="1" t="str">
        <x:v>Standard Class</x:v>
      </x:c>
      <x:c r="D5654" s="1" t="str">
        <x:v>Europe</x:v>
      </x:c>
      <x:c r="E5654" s="1" t="str">
        <x:v>COMPLETE</x:v>
      </x:c>
      <x:c r="F5654" s="1" t="str">
        <x:v>Advance shipping</x:v>
      </x:c>
      <x:c r="G5654" s="6" t="n">
        <x:v>3</x:v>
      </x:c>
      <x:c r="H5654" s="6" t="n">
        <x:v>4</x:v>
      </x:c>
      <x:c r="I5654" s="6" t="n">
        <x:f>G5654-H5654</x:f>
        <x:v>-1</x:v>
      </x:c>
      <x:c r="J5654" s="6" t="n">
        <x:f>IF(OR(E5654="CANCELED",E5654="SUSPECTED_FRAUD",F5654="Shipping canceled"),0,1)</x:f>
        <x:v>1</x:v>
      </x:c>
      <x:c r="K5654" s="6" t="n">
        <x:f>IF(G5654&gt;H5654,1,0)</x:f>
        <x:v>0</x:v>
      </x:c>
      <x:c r="L5654" s="6" t="n">
        <x:f>J5654*K5654</x:f>
        <x:v>0</x:v>
      </x:c>
    </x:row>
    <x:row r="5655">
      <x:c r="A5655" s="1" t="n">
        <x:v>44449</x:v>
      </x:c>
      <x:c r="B5655" s="5" t="d">
        <x:v>2016-10-10T00:00:00.000Z</x:v>
      </x:c>
      <x:c r="C5655" s="1" t="str">
        <x:v>Standard Class</x:v>
      </x:c>
      <x:c r="D5655" s="1" t="str">
        <x:v>Pacific Asia</x:v>
      </x:c>
      <x:c r="E5655" s="1" t="str">
        <x:v>COMPLETE</x:v>
      </x:c>
      <x:c r="F5655" s="1" t="str">
        <x:v>Late delivery</x:v>
      </x:c>
      <x:c r="G5655" s="6" t="n">
        <x:v>5</x:v>
      </x:c>
      <x:c r="H5655" s="6" t="n">
        <x:v>4</x:v>
      </x:c>
      <x:c r="I5655" s="6" t="n">
        <x:f>G5655-H5655</x:f>
        <x:v>1</x:v>
      </x:c>
      <x:c r="J5655" s="6" t="n">
        <x:f>IF(OR(E5655="CANCELED",E5655="SUSPECTED_FRAUD",F5655="Shipping canceled"),0,1)</x:f>
        <x:v>1</x:v>
      </x:c>
      <x:c r="K5655" s="6" t="n">
        <x:f>IF(G5655&gt;H5655,1,0)</x:f>
        <x:v>1</x:v>
      </x:c>
      <x:c r="L5655" s="6" t="n">
        <x:f>J5655*K5655</x:f>
        <x:v>1</x:v>
      </x:c>
    </x:row>
    <x:row r="5656">
      <x:c r="A5656" s="1" t="n">
        <x:v>44450</x:v>
      </x:c>
      <x:c r="B5656" s="5" t="d">
        <x:v>2016-10-10T00:00:00.000Z</x:v>
      </x:c>
      <x:c r="C5656" s="1" t="str">
        <x:v>Standard Class</x:v>
      </x:c>
      <x:c r="D5656" s="1" t="str">
        <x:v>Pacific Asia</x:v>
      </x:c>
      <x:c r="E5656" s="1" t="str">
        <x:v>PENDING_PAYMENT</x:v>
      </x:c>
      <x:c r="F5656" s="1" t="str">
        <x:v>Late delivery</x:v>
      </x:c>
      <x:c r="G5656" s="6" t="n">
        <x:v>6</x:v>
      </x:c>
      <x:c r="H5656" s="6" t="n">
        <x:v>4</x:v>
      </x:c>
      <x:c r="I5656" s="6" t="n">
        <x:f>G5656-H5656</x:f>
        <x:v>2</x:v>
      </x:c>
      <x:c r="J5656" s="6" t="n">
        <x:f>IF(OR(E5656="CANCELED",E5656="SUSPECTED_FRAUD",F5656="Shipping canceled"),0,1)</x:f>
        <x:v>1</x:v>
      </x:c>
      <x:c r="K5656" s="6" t="n">
        <x:f>IF(G5656&gt;H5656,1,0)</x:f>
        <x:v>1</x:v>
      </x:c>
      <x:c r="L5656" s="6" t="n">
        <x:f>J5656*K5656</x:f>
        <x:v>1</x:v>
      </x:c>
    </x:row>
    <x:row r="5657">
      <x:c r="A5657" s="1" t="n">
        <x:v>44452</x:v>
      </x:c>
      <x:c r="B5657" s="5" t="d">
        <x:v>2016-10-10T00:00:00.000Z</x:v>
      </x:c>
      <x:c r="C5657" s="1" t="str">
        <x:v>Standard Class</x:v>
      </x:c>
      <x:c r="D5657" s="1" t="str">
        <x:v>Africa</x:v>
      </x:c>
      <x:c r="E5657" s="1" t="str">
        <x:v>SUSPECTED_FRAUD</x:v>
      </x:c>
      <x:c r="F5657" s="1" t="str">
        <x:v>Shipping canceled</x:v>
      </x:c>
      <x:c r="G5657" s="6" t="n">
        <x:v>3</x:v>
      </x:c>
      <x:c r="H5657" s="6" t="n">
        <x:v>4</x:v>
      </x:c>
      <x:c r="I5657" s="6" t="n">
        <x:f>G5657-H5657</x:f>
        <x:v>-1</x:v>
      </x:c>
      <x:c r="J5657" s="6" t="n">
        <x:f>IF(OR(E5657="CANCELED",E5657="SUSPECTED_FRAUD",F5657="Shipping canceled"),0,1)</x:f>
        <x:v>0</x:v>
      </x:c>
      <x:c r="K5657" s="6" t="n">
        <x:f>IF(G5657&gt;H5657,1,0)</x:f>
        <x:v>0</x:v>
      </x:c>
      <x:c r="L5657" s="6" t="n">
        <x:f>J5657*K5657</x:f>
        <x:v>0</x:v>
      </x:c>
    </x:row>
    <x:row r="5658">
      <x:c r="A5658" s="1" t="n">
        <x:v>44456</x:v>
      </x:c>
      <x:c r="B5658" s="5" t="d">
        <x:v>2016-10-10T00:00:00.000Z</x:v>
      </x:c>
      <x:c r="C5658" s="1" t="str">
        <x:v>Standard Class</x:v>
      </x:c>
      <x:c r="D5658" s="1" t="str">
        <x:v>Pacific Asia</x:v>
      </x:c>
      <x:c r="E5658" s="1" t="str">
        <x:v>COMPLETE</x:v>
      </x:c>
      <x:c r="F5658" s="1" t="str">
        <x:v>Advance shipping</x:v>
      </x:c>
      <x:c r="G5658" s="6" t="n">
        <x:v>2</x:v>
      </x:c>
      <x:c r="H5658" s="6" t="n">
        <x:v>4</x:v>
      </x:c>
      <x:c r="I5658" s="6" t="n">
        <x:f>G5658-H5658</x:f>
        <x:v>-2</x:v>
      </x:c>
      <x:c r="J5658" s="6" t="n">
        <x:f>IF(OR(E5658="CANCELED",E5658="SUSPECTED_FRAUD",F5658="Shipping canceled"),0,1)</x:f>
        <x:v>1</x:v>
      </x:c>
      <x:c r="K5658" s="6" t="n">
        <x:f>IF(G5658&gt;H5658,1,0)</x:f>
        <x:v>0</x:v>
      </x:c>
      <x:c r="L5658" s="6" t="n">
        <x:f>J5658*K5658</x:f>
        <x:v>0</x:v>
      </x:c>
    </x:row>
    <x:row r="5659">
      <x:c r="A5659" s="1" t="n">
        <x:v>44461</x:v>
      </x:c>
      <x:c r="B5659" s="5" t="d">
        <x:v>2016-10-11T00:00:00.000Z</x:v>
      </x:c>
      <x:c r="C5659" s="1" t="str">
        <x:v>Standard Class</x:v>
      </x:c>
      <x:c r="D5659" s="1" t="str">
        <x:v>Europe</x:v>
      </x:c>
      <x:c r="E5659" s="1" t="str">
        <x:v>COMPLETE</x:v>
      </x:c>
      <x:c r="F5659" s="1" t="str">
        <x:v>Advance shipping</x:v>
      </x:c>
      <x:c r="G5659" s="6" t="n">
        <x:v>2</x:v>
      </x:c>
      <x:c r="H5659" s="6" t="n">
        <x:v>4</x:v>
      </x:c>
      <x:c r="I5659" s="6" t="n">
        <x:f>G5659-H5659</x:f>
        <x:v>-2</x:v>
      </x:c>
      <x:c r="J5659" s="6" t="n">
        <x:f>IF(OR(E5659="CANCELED",E5659="SUSPECTED_FRAUD",F5659="Shipping canceled"),0,1)</x:f>
        <x:v>1</x:v>
      </x:c>
      <x:c r="K5659" s="6" t="n">
        <x:f>IF(G5659&gt;H5659,1,0)</x:f>
        <x:v>0</x:v>
      </x:c>
      <x:c r="L5659" s="6" t="n">
        <x:f>J5659*K5659</x:f>
        <x:v>0</x:v>
      </x:c>
    </x:row>
    <x:row r="5660">
      <x:c r="A5660" s="1" t="n">
        <x:v>44471</x:v>
      </x:c>
      <x:c r="B5660" s="5" t="d">
        <x:v>2016-10-11T00:00:00.000Z</x:v>
      </x:c>
      <x:c r="C5660" s="1" t="str">
        <x:v>Standard Class</x:v>
      </x:c>
      <x:c r="D5660" s="1" t="str">
        <x:v>Pacific Asia</x:v>
      </x:c>
      <x:c r="E5660" s="1" t="str">
        <x:v>COMPLETE</x:v>
      </x:c>
      <x:c r="F5660" s="1" t="str">
        <x:v>Advance shipping</x:v>
      </x:c>
      <x:c r="G5660" s="6" t="n">
        <x:v>2</x:v>
      </x:c>
      <x:c r="H5660" s="6" t="n">
        <x:v>4</x:v>
      </x:c>
      <x:c r="I5660" s="6" t="n">
        <x:f>G5660-H5660</x:f>
        <x:v>-2</x:v>
      </x:c>
      <x:c r="J5660" s="6" t="n">
        <x:f>IF(OR(E5660="CANCELED",E5660="SUSPECTED_FRAUD",F5660="Shipping canceled"),0,1)</x:f>
        <x:v>1</x:v>
      </x:c>
      <x:c r="K5660" s="6" t="n">
        <x:f>IF(G5660&gt;H5660,1,0)</x:f>
        <x:v>0</x:v>
      </x:c>
      <x:c r="L5660" s="6" t="n">
        <x:f>J5660*K5660</x:f>
        <x:v>0</x:v>
      </x:c>
    </x:row>
    <x:row r="5661">
      <x:c r="A5661" s="1" t="n">
        <x:v>44472</x:v>
      </x:c>
      <x:c r="B5661" s="5" t="d">
        <x:v>2016-10-11T00:00:00.000Z</x:v>
      </x:c>
      <x:c r="C5661" s="1" t="str">
        <x:v>Standard Class</x:v>
      </x:c>
      <x:c r="D5661" s="1" t="str">
        <x:v>Africa</x:v>
      </x:c>
      <x:c r="E5661" s="1" t="str">
        <x:v>CLOSED</x:v>
      </x:c>
      <x:c r="F5661" s="1" t="str">
        <x:v>Advance shipping</x:v>
      </x:c>
      <x:c r="G5661" s="6" t="n">
        <x:v>3</x:v>
      </x:c>
      <x:c r="H5661" s="6" t="n">
        <x:v>4</x:v>
      </x:c>
      <x:c r="I5661" s="6" t="n">
        <x:f>G5661-H5661</x:f>
        <x:v>-1</x:v>
      </x:c>
      <x:c r="J5661" s="6" t="n">
        <x:f>IF(OR(E5661="CANCELED",E5661="SUSPECTED_FRAUD",F5661="Shipping canceled"),0,1)</x:f>
        <x:v>1</x:v>
      </x:c>
      <x:c r="K5661" s="6" t="n">
        <x:f>IF(G5661&gt;H5661,1,0)</x:f>
        <x:v>0</x:v>
      </x:c>
      <x:c r="L5661" s="6" t="n">
        <x:f>J5661*K5661</x:f>
        <x:v>0</x:v>
      </x:c>
    </x:row>
    <x:row r="5662">
      <x:c r="A5662" s="1" t="n">
        <x:v>44474</x:v>
      </x:c>
      <x:c r="B5662" s="5" t="d">
        <x:v>2016-10-11T00:00:00.000Z</x:v>
      </x:c>
      <x:c r="C5662" s="1" t="str">
        <x:v>Standard Class</x:v>
      </x:c>
      <x:c r="D5662" s="1" t="str">
        <x:v>Africa</x:v>
      </x:c>
      <x:c r="E5662" s="1" t="str">
        <x:v>PROCESSING</x:v>
      </x:c>
      <x:c r="F5662" s="1" t="str">
        <x:v>Late delivery</x:v>
      </x:c>
      <x:c r="G5662" s="6" t="n">
        <x:v>5</x:v>
      </x:c>
      <x:c r="H5662" s="6" t="n">
        <x:v>4</x:v>
      </x:c>
      <x:c r="I5662" s="6" t="n">
        <x:f>G5662-H5662</x:f>
        <x:v>1</x:v>
      </x:c>
      <x:c r="J5662" s="6" t="n">
        <x:f>IF(OR(E5662="CANCELED",E5662="SUSPECTED_FRAUD",F5662="Shipping canceled"),0,1)</x:f>
        <x:v>1</x:v>
      </x:c>
      <x:c r="K5662" s="6" t="n">
        <x:f>IF(G5662&gt;H5662,1,0)</x:f>
        <x:v>1</x:v>
      </x:c>
      <x:c r="L5662" s="6" t="n">
        <x:f>J5662*K5662</x:f>
        <x:v>1</x:v>
      </x:c>
    </x:row>
    <x:row r="5663">
      <x:c r="A5663" s="1" t="n">
        <x:v>44476</x:v>
      </x:c>
      <x:c r="B5663" s="5" t="d">
        <x:v>2016-10-11T00:00:00.000Z</x:v>
      </x:c>
      <x:c r="C5663" s="1" t="str">
        <x:v>Second Class</x:v>
      </x:c>
      <x:c r="D5663" s="1" t="str">
        <x:v>Africa</x:v>
      </x:c>
      <x:c r="E5663" s="1" t="str">
        <x:v>ON_HOLD</x:v>
      </x:c>
      <x:c r="F5663" s="1" t="str">
        <x:v>Shipping on time</x:v>
      </x:c>
      <x:c r="G5663" s="6" t="n">
        <x:v>2</x:v>
      </x:c>
      <x:c r="H5663" s="6" t="n">
        <x:v>2</x:v>
      </x:c>
      <x:c r="I5663" s="6" t="n">
        <x:f>G5663-H5663</x:f>
        <x:v>0</x:v>
      </x:c>
      <x:c r="J5663" s="6" t="n">
        <x:f>IF(OR(E5663="CANCELED",E5663="SUSPECTED_FRAUD",F5663="Shipping canceled"),0,1)</x:f>
        <x:v>1</x:v>
      </x:c>
      <x:c r="K5663" s="6" t="n">
        <x:f>IF(G5663&gt;H5663,1,0)</x:f>
        <x:v>0</x:v>
      </x:c>
      <x:c r="L5663" s="6" t="n">
        <x:f>J5663*K5663</x:f>
        <x:v>0</x:v>
      </x:c>
    </x:row>
    <x:row r="5664">
      <x:c r="A5664" s="1" t="n">
        <x:v>44477</x:v>
      </x:c>
      <x:c r="B5664" s="5" t="d">
        <x:v>2016-10-11T00:00:00.000Z</x:v>
      </x:c>
      <x:c r="C5664" s="1" t="str">
        <x:v>Same Day</x:v>
      </x:c>
      <x:c r="D5664" s="1" t="str">
        <x:v>Europe</x:v>
      </x:c>
      <x:c r="E5664" s="1" t="str">
        <x:v>COMPLETE</x:v>
      </x:c>
      <x:c r="F5664" s="1" t="str">
        <x:v>Shipping on time</x:v>
      </x:c>
      <x:c r="G5664" s="6" t="n">
        <x:v>0</x:v>
      </x:c>
      <x:c r="H5664" s="6" t="n">
        <x:v>0</x:v>
      </x:c>
      <x:c r="I5664" s="6" t="n">
        <x:f>G5664-H5664</x:f>
        <x:v>0</x:v>
      </x:c>
      <x:c r="J5664" s="6" t="n">
        <x:f>IF(OR(E5664="CANCELED",E5664="SUSPECTED_FRAUD",F5664="Shipping canceled"),0,1)</x:f>
        <x:v>1</x:v>
      </x:c>
      <x:c r="K5664" s="6" t="n">
        <x:f>IF(G5664&gt;H5664,1,0)</x:f>
        <x:v>0</x:v>
      </x:c>
      <x:c r="L5664" s="6" t="n">
        <x:f>J5664*K5664</x:f>
        <x:v>0</x:v>
      </x:c>
    </x:row>
    <x:row r="5665">
      <x:c r="A5665" s="1" t="n">
        <x:v>44485</x:v>
      </x:c>
      <x:c r="B5665" s="5" t="d">
        <x:v>2016-10-11T00:00:00.000Z</x:v>
      </x:c>
      <x:c r="C5665" s="1" t="str">
        <x:v>Standard Class</x:v>
      </x:c>
      <x:c r="D5665" s="1" t="str">
        <x:v>Africa</x:v>
      </x:c>
      <x:c r="E5665" s="1" t="str">
        <x:v>PENDING_PAYMENT</x:v>
      </x:c>
      <x:c r="F5665" s="1" t="str">
        <x:v>Late delivery</x:v>
      </x:c>
      <x:c r="G5665" s="6" t="n">
        <x:v>6</x:v>
      </x:c>
      <x:c r="H5665" s="6" t="n">
        <x:v>4</x:v>
      </x:c>
      <x:c r="I5665" s="6" t="n">
        <x:f>G5665-H5665</x:f>
        <x:v>2</x:v>
      </x:c>
      <x:c r="J5665" s="6" t="n">
        <x:f>IF(OR(E5665="CANCELED",E5665="SUSPECTED_FRAUD",F5665="Shipping canceled"),0,1)</x:f>
        <x:v>1</x:v>
      </x:c>
      <x:c r="K5665" s="6" t="n">
        <x:f>IF(G5665&gt;H5665,1,0)</x:f>
        <x:v>1</x:v>
      </x:c>
      <x:c r="L5665" s="6" t="n">
        <x:f>J5665*K5665</x:f>
        <x:v>1</x:v>
      </x:c>
    </x:row>
    <x:row r="5666">
      <x:c r="A5666" s="1" t="n">
        <x:v>44496</x:v>
      </x:c>
      <x:c r="B5666" s="5" t="d">
        <x:v>2016-10-11T00:00:00.000Z</x:v>
      </x:c>
      <x:c r="C5666" s="1" t="str">
        <x:v>Standard Class</x:v>
      </x:c>
      <x:c r="D5666" s="1" t="str">
        <x:v>Africa</x:v>
      </x:c>
      <x:c r="E5666" s="1" t="str">
        <x:v>COMPLETE</x:v>
      </x:c>
      <x:c r="F5666" s="1" t="str">
        <x:v>Advance shipping</x:v>
      </x:c>
      <x:c r="G5666" s="6" t="n">
        <x:v>2</x:v>
      </x:c>
      <x:c r="H5666" s="6" t="n">
        <x:v>4</x:v>
      </x:c>
      <x:c r="I5666" s="6" t="n">
        <x:f>G5666-H5666</x:f>
        <x:v>-2</x:v>
      </x:c>
      <x:c r="J5666" s="6" t="n">
        <x:f>IF(OR(E5666="CANCELED",E5666="SUSPECTED_FRAUD",F5666="Shipping canceled"),0,1)</x:f>
        <x:v>1</x:v>
      </x:c>
      <x:c r="K5666" s="6" t="n">
        <x:f>IF(G5666&gt;H5666,1,0)</x:f>
        <x:v>0</x:v>
      </x:c>
      <x:c r="L5666" s="6" t="n">
        <x:f>J5666*K5666</x:f>
        <x:v>0</x:v>
      </x:c>
    </x:row>
    <x:row r="5667">
      <x:c r="A5667" s="1" t="n">
        <x:v>44504</x:v>
      </x:c>
      <x:c r="B5667" s="5" t="d">
        <x:v>2016-10-11T00:00:00.000Z</x:v>
      </x:c>
      <x:c r="C5667" s="1" t="str">
        <x:v>Standard Class</x:v>
      </x:c>
      <x:c r="D5667" s="1" t="str">
        <x:v>Africa</x:v>
      </x:c>
      <x:c r="E5667" s="1" t="str">
        <x:v>COMPLETE</x:v>
      </x:c>
      <x:c r="F5667" s="1" t="str">
        <x:v>Late delivery</x:v>
      </x:c>
      <x:c r="G5667" s="6" t="n">
        <x:v>5</x:v>
      </x:c>
      <x:c r="H5667" s="6" t="n">
        <x:v>4</x:v>
      </x:c>
      <x:c r="I5667" s="6" t="n">
        <x:f>G5667-H5667</x:f>
        <x:v>1</x:v>
      </x:c>
      <x:c r="J5667" s="6" t="n">
        <x:f>IF(OR(E5667="CANCELED",E5667="SUSPECTED_FRAUD",F5667="Shipping canceled"),0,1)</x:f>
        <x:v>1</x:v>
      </x:c>
      <x:c r="K5667" s="6" t="n">
        <x:f>IF(G5667&gt;H5667,1,0)</x:f>
        <x:v>1</x:v>
      </x:c>
      <x:c r="L5667" s="6" t="n">
        <x:f>J5667*K5667</x:f>
        <x:v>1</x:v>
      </x:c>
    </x:row>
    <x:row r="5668">
      <x:c r="A5668" s="1" t="n">
        <x:v>44507</x:v>
      </x:c>
      <x:c r="B5668" s="5" t="d">
        <x:v>2016-10-11T00:00:00.000Z</x:v>
      </x:c>
      <x:c r="C5668" s="1" t="str">
        <x:v>Standard Class</x:v>
      </x:c>
      <x:c r="D5668" s="1" t="str">
        <x:v>Africa</x:v>
      </x:c>
      <x:c r="E5668" s="1" t="str">
        <x:v>COMPLETE</x:v>
      </x:c>
      <x:c r="F5668" s="1" t="str">
        <x:v>Advance shipping</x:v>
      </x:c>
      <x:c r="G5668" s="6" t="n">
        <x:v>3</x:v>
      </x:c>
      <x:c r="H5668" s="6" t="n">
        <x:v>4</x:v>
      </x:c>
      <x:c r="I5668" s="6" t="n">
        <x:f>G5668-H5668</x:f>
        <x:v>-1</x:v>
      </x:c>
      <x:c r="J5668" s="6" t="n">
        <x:f>IF(OR(E5668="CANCELED",E5668="SUSPECTED_FRAUD",F5668="Shipping canceled"),0,1)</x:f>
        <x:v>1</x:v>
      </x:c>
      <x:c r="K5668" s="6" t="n">
        <x:f>IF(G5668&gt;H5668,1,0)</x:f>
        <x:v>0</x:v>
      </x:c>
      <x:c r="L5668" s="6" t="n">
        <x:f>J5668*K5668</x:f>
        <x:v>0</x:v>
      </x:c>
    </x:row>
    <x:row r="5669">
      <x:c r="A5669" s="1" t="n">
        <x:v>44514</x:v>
      </x:c>
      <x:c r="B5669" s="5" t="d">
        <x:v>2016-10-11T00:00:00.000Z</x:v>
      </x:c>
      <x:c r="C5669" s="1" t="str">
        <x:v>Standard Class</x:v>
      </x:c>
      <x:c r="D5669" s="1" t="str">
        <x:v>Pacific Asia</x:v>
      </x:c>
      <x:c r="E5669" s="1" t="str">
        <x:v>PROCESSING</x:v>
      </x:c>
      <x:c r="F5669" s="1" t="str">
        <x:v>Late delivery</x:v>
      </x:c>
      <x:c r="G5669" s="6" t="n">
        <x:v>5</x:v>
      </x:c>
      <x:c r="H5669" s="6" t="n">
        <x:v>4</x:v>
      </x:c>
      <x:c r="I5669" s="6" t="n">
        <x:f>G5669-H5669</x:f>
        <x:v>1</x:v>
      </x:c>
      <x:c r="J5669" s="6" t="n">
        <x:f>IF(OR(E5669="CANCELED",E5669="SUSPECTED_FRAUD",F5669="Shipping canceled"),0,1)</x:f>
        <x:v>1</x:v>
      </x:c>
      <x:c r="K5669" s="6" t="n">
        <x:f>IF(G5669&gt;H5669,1,0)</x:f>
        <x:v>1</x:v>
      </x:c>
      <x:c r="L5669" s="6" t="n">
        <x:f>J5669*K5669</x:f>
        <x:v>1</x:v>
      </x:c>
    </x:row>
    <x:row r="5670">
      <x:c r="A5670" s="1" t="n">
        <x:v>44523</x:v>
      </x:c>
      <x:c r="B5670" s="5" t="d">
        <x:v>2016-10-11T00:00:00.000Z</x:v>
      </x:c>
      <x:c r="C5670" s="1" t="str">
        <x:v>Standard Class</x:v>
      </x:c>
      <x:c r="D5670" s="1" t="str">
        <x:v>Africa</x:v>
      </x:c>
      <x:c r="E5670" s="1" t="str">
        <x:v>ON_HOLD</x:v>
      </x:c>
      <x:c r="F5670" s="1" t="str">
        <x:v>Shipping on time</x:v>
      </x:c>
      <x:c r="G5670" s="6" t="n">
        <x:v>4</x:v>
      </x:c>
      <x:c r="H5670" s="6" t="n">
        <x:v>4</x:v>
      </x:c>
      <x:c r="I5670" s="6" t="n">
        <x:f>G5670-H5670</x:f>
        <x:v>0</x:v>
      </x:c>
      <x:c r="J5670" s="6" t="n">
        <x:f>IF(OR(E5670="CANCELED",E5670="SUSPECTED_FRAUD",F5670="Shipping canceled"),0,1)</x:f>
        <x:v>1</x:v>
      </x:c>
      <x:c r="K5670" s="6" t="n">
        <x:f>IF(G5670&gt;H5670,1,0)</x:f>
        <x:v>0</x:v>
      </x:c>
      <x:c r="L5670" s="6" t="n">
        <x:f>J5670*K5670</x:f>
        <x:v>0</x:v>
      </x:c>
    </x:row>
    <x:row r="5671">
      <x:c r="A5671" s="1" t="n">
        <x:v>44528</x:v>
      </x:c>
      <x:c r="B5671" s="5" t="d">
        <x:v>2016-10-11T00:00:00.000Z</x:v>
      </x:c>
      <x:c r="C5671" s="1" t="str">
        <x:v>Standard Class</x:v>
      </x:c>
      <x:c r="D5671" s="1" t="str">
        <x:v>Europe</x:v>
      </x:c>
      <x:c r="E5671" s="1" t="str">
        <x:v>PROCESSING</x:v>
      </x:c>
      <x:c r="F5671" s="1" t="str">
        <x:v>Shipping on time</x:v>
      </x:c>
      <x:c r="G5671" s="6" t="n">
        <x:v>4</x:v>
      </x:c>
      <x:c r="H5671" s="6" t="n">
        <x:v>4</x:v>
      </x:c>
      <x:c r="I5671" s="6" t="n">
        <x:f>G5671-H5671</x:f>
        <x:v>0</x:v>
      </x:c>
      <x:c r="J5671" s="6" t="n">
        <x:f>IF(OR(E5671="CANCELED",E5671="SUSPECTED_FRAUD",F5671="Shipping canceled"),0,1)</x:f>
        <x:v>1</x:v>
      </x:c>
      <x:c r="K5671" s="6" t="n">
        <x:f>IF(G5671&gt;H5671,1,0)</x:f>
        <x:v>0</x:v>
      </x:c>
      <x:c r="L5671" s="6" t="n">
        <x:f>J5671*K5671</x:f>
        <x:v>0</x:v>
      </x:c>
    </x:row>
    <x:row r="5672">
      <x:c r="A5672" s="1" t="n">
        <x:v>44531</x:v>
      </x:c>
      <x:c r="B5672" s="5" t="d">
        <x:v>2016-10-12T00:00:00.000Z</x:v>
      </x:c>
      <x:c r="C5672" s="1" t="str">
        <x:v>Second Class</x:v>
      </x:c>
      <x:c r="D5672" s="1" t="str">
        <x:v>Africa</x:v>
      </x:c>
      <x:c r="E5672" s="1" t="str">
        <x:v>PROCESSING</x:v>
      </x:c>
      <x:c r="F5672" s="1" t="str">
        <x:v>Shipping on time</x:v>
      </x:c>
      <x:c r="G5672" s="6" t="n">
        <x:v>2</x:v>
      </x:c>
      <x:c r="H5672" s="6" t="n">
        <x:v>2</x:v>
      </x:c>
      <x:c r="I5672" s="6" t="n">
        <x:f>G5672-H5672</x:f>
        <x:v>0</x:v>
      </x:c>
      <x:c r="J5672" s="6" t="n">
        <x:f>IF(OR(E5672="CANCELED",E5672="SUSPECTED_FRAUD",F5672="Shipping canceled"),0,1)</x:f>
        <x:v>1</x:v>
      </x:c>
      <x:c r="K5672" s="6" t="n">
        <x:f>IF(G5672&gt;H5672,1,0)</x:f>
        <x:v>0</x:v>
      </x:c>
      <x:c r="L5672" s="6" t="n">
        <x:f>J5672*K5672</x:f>
        <x:v>0</x:v>
      </x:c>
    </x:row>
    <x:row r="5673">
      <x:c r="A5673" s="1" t="n">
        <x:v>44536</x:v>
      </x:c>
      <x:c r="B5673" s="5" t="d">
        <x:v>2016-10-12T00:00:00.000Z</x:v>
      </x:c>
      <x:c r="C5673" s="1" t="str">
        <x:v>Standard Class</x:v>
      </x:c>
      <x:c r="D5673" s="1" t="str">
        <x:v>Africa</x:v>
      </x:c>
      <x:c r="E5673" s="1" t="str">
        <x:v>COMPLETE</x:v>
      </x:c>
      <x:c r="F5673" s="1" t="str">
        <x:v>Advance shipping</x:v>
      </x:c>
      <x:c r="G5673" s="6" t="n">
        <x:v>2</x:v>
      </x:c>
      <x:c r="H5673" s="6" t="n">
        <x:v>4</x:v>
      </x:c>
      <x:c r="I5673" s="6" t="n">
        <x:f>G5673-H5673</x:f>
        <x:v>-2</x:v>
      </x:c>
      <x:c r="J5673" s="6" t="n">
        <x:f>IF(OR(E5673="CANCELED",E5673="SUSPECTED_FRAUD",F5673="Shipping canceled"),0,1)</x:f>
        <x:v>1</x:v>
      </x:c>
      <x:c r="K5673" s="6" t="n">
        <x:f>IF(G5673&gt;H5673,1,0)</x:f>
        <x:v>0</x:v>
      </x:c>
      <x:c r="L5673" s="6" t="n">
        <x:f>J5673*K5673</x:f>
        <x:v>0</x:v>
      </x:c>
    </x:row>
    <x:row r="5674">
      <x:c r="A5674" s="1" t="n">
        <x:v>44540</x:v>
      </x:c>
      <x:c r="B5674" s="5" t="d">
        <x:v>2016-10-12T00:00:00.000Z</x:v>
      </x:c>
      <x:c r="C5674" s="1" t="str">
        <x:v>Standard Class</x:v>
      </x:c>
      <x:c r="D5674" s="1" t="str">
        <x:v>Europe</x:v>
      </x:c>
      <x:c r="E5674" s="1" t="str">
        <x:v>ON_HOLD</x:v>
      </x:c>
      <x:c r="F5674" s="1" t="str">
        <x:v>Late delivery</x:v>
      </x:c>
      <x:c r="G5674" s="6" t="n">
        <x:v>6</x:v>
      </x:c>
      <x:c r="H5674" s="6" t="n">
        <x:v>4</x:v>
      </x:c>
      <x:c r="I5674" s="6" t="n">
        <x:f>G5674-H5674</x:f>
        <x:v>2</x:v>
      </x:c>
      <x:c r="J5674" s="6" t="n">
        <x:f>IF(OR(E5674="CANCELED",E5674="SUSPECTED_FRAUD",F5674="Shipping canceled"),0,1)</x:f>
        <x:v>1</x:v>
      </x:c>
      <x:c r="K5674" s="6" t="n">
        <x:f>IF(G5674&gt;H5674,1,0)</x:f>
        <x:v>1</x:v>
      </x:c>
      <x:c r="L5674" s="6" t="n">
        <x:f>J5674*K5674</x:f>
        <x:v>1</x:v>
      </x:c>
    </x:row>
    <x:row r="5675">
      <x:c r="A5675" s="1" t="n">
        <x:v>44546</x:v>
      </x:c>
      <x:c r="B5675" s="5" t="d">
        <x:v>2016-10-12T00:00:00.000Z</x:v>
      </x:c>
      <x:c r="C5675" s="1" t="str">
        <x:v>Standard Class</x:v>
      </x:c>
      <x:c r="D5675" s="1" t="str">
        <x:v>Africa</x:v>
      </x:c>
      <x:c r="E5675" s="1" t="str">
        <x:v>COMPLETE</x:v>
      </x:c>
      <x:c r="F5675" s="1" t="str">
        <x:v>Advance shipping</x:v>
      </x:c>
      <x:c r="G5675" s="6" t="n">
        <x:v>2</x:v>
      </x:c>
      <x:c r="H5675" s="6" t="n">
        <x:v>4</x:v>
      </x:c>
      <x:c r="I5675" s="6" t="n">
        <x:f>G5675-H5675</x:f>
        <x:v>-2</x:v>
      </x:c>
      <x:c r="J5675" s="6" t="n">
        <x:f>IF(OR(E5675="CANCELED",E5675="SUSPECTED_FRAUD",F5675="Shipping canceled"),0,1)</x:f>
        <x:v>1</x:v>
      </x:c>
      <x:c r="K5675" s="6" t="n">
        <x:f>IF(G5675&gt;H5675,1,0)</x:f>
        <x:v>0</x:v>
      </x:c>
      <x:c r="L5675" s="6" t="n">
        <x:f>J5675*K5675</x:f>
        <x:v>0</x:v>
      </x:c>
    </x:row>
    <x:row r="5676">
      <x:c r="A5676" s="1" t="n">
        <x:v>44550</x:v>
      </x:c>
      <x:c r="B5676" s="5" t="d">
        <x:v>2016-10-12T00:00:00.000Z</x:v>
      </x:c>
      <x:c r="C5676" s="1" t="str">
        <x:v>First Class</x:v>
      </x:c>
      <x:c r="D5676" s="1" t="str">
        <x:v>Europe</x:v>
      </x:c>
      <x:c r="E5676" s="1" t="str">
        <x:v>PENDING_PAYMENT</x:v>
      </x:c>
      <x:c r="F5676" s="1" t="str">
        <x:v>Late delivery</x:v>
      </x:c>
      <x:c r="G5676" s="6" t="n">
        <x:v>2</x:v>
      </x:c>
      <x:c r="H5676" s="6" t="n">
        <x:v>1</x:v>
      </x:c>
      <x:c r="I5676" s="6" t="n">
        <x:f>G5676-H5676</x:f>
        <x:v>1</x:v>
      </x:c>
      <x:c r="J5676" s="6" t="n">
        <x:f>IF(OR(E5676="CANCELED",E5676="SUSPECTED_FRAUD",F5676="Shipping canceled"),0,1)</x:f>
        <x:v>1</x:v>
      </x:c>
      <x:c r="K5676" s="6" t="n">
        <x:f>IF(G5676&gt;H5676,1,0)</x:f>
        <x:v>1</x:v>
      </x:c>
      <x:c r="L5676" s="6" t="n">
        <x:f>J5676*K5676</x:f>
        <x:v>1</x:v>
      </x:c>
    </x:row>
    <x:row r="5677">
      <x:c r="A5677" s="1" t="n">
        <x:v>44567</x:v>
      </x:c>
      <x:c r="B5677" s="5" t="d">
        <x:v>2016-10-12T00:00:00.000Z</x:v>
      </x:c>
      <x:c r="C5677" s="1" t="str">
        <x:v>Standard Class</x:v>
      </x:c>
      <x:c r="D5677" s="1" t="str">
        <x:v>Africa</x:v>
      </x:c>
      <x:c r="E5677" s="1" t="str">
        <x:v>CLOSED</x:v>
      </x:c>
      <x:c r="F5677" s="1" t="str">
        <x:v>Advance shipping</x:v>
      </x:c>
      <x:c r="G5677" s="6" t="n">
        <x:v>3</x:v>
      </x:c>
      <x:c r="H5677" s="6" t="n">
        <x:v>4</x:v>
      </x:c>
      <x:c r="I5677" s="6" t="n">
        <x:f>G5677-H5677</x:f>
        <x:v>-1</x:v>
      </x:c>
      <x:c r="J5677" s="6" t="n">
        <x:f>IF(OR(E5677="CANCELED",E5677="SUSPECTED_FRAUD",F5677="Shipping canceled"),0,1)</x:f>
        <x:v>1</x:v>
      </x:c>
      <x:c r="K5677" s="6" t="n">
        <x:f>IF(G5677&gt;H5677,1,0)</x:f>
        <x:v>0</x:v>
      </x:c>
      <x:c r="L5677" s="6" t="n">
        <x:f>J5677*K5677</x:f>
        <x:v>0</x:v>
      </x:c>
    </x:row>
    <x:row r="5678">
      <x:c r="A5678" s="1" t="n">
        <x:v>44586</x:v>
      </x:c>
      <x:c r="B5678" s="5" t="d">
        <x:v>2016-10-12T00:00:00.000Z</x:v>
      </x:c>
      <x:c r="C5678" s="1" t="str">
        <x:v>First Class</x:v>
      </x:c>
      <x:c r="D5678" s="1" t="str">
        <x:v>Africa</x:v>
      </x:c>
      <x:c r="E5678" s="1" t="str">
        <x:v>PENDING_PAYMENT</x:v>
      </x:c>
      <x:c r="F5678" s="1" t="str">
        <x:v>Late delivery</x:v>
      </x:c>
      <x:c r="G5678" s="6" t="n">
        <x:v>2</x:v>
      </x:c>
      <x:c r="H5678" s="6" t="n">
        <x:v>1</x:v>
      </x:c>
      <x:c r="I5678" s="6" t="n">
        <x:f>G5678-H5678</x:f>
        <x:v>1</x:v>
      </x:c>
      <x:c r="J5678" s="6" t="n">
        <x:f>IF(OR(E5678="CANCELED",E5678="SUSPECTED_FRAUD",F5678="Shipping canceled"),0,1)</x:f>
        <x:v>1</x:v>
      </x:c>
      <x:c r="K5678" s="6" t="n">
        <x:f>IF(G5678&gt;H5678,1,0)</x:f>
        <x:v>1</x:v>
      </x:c>
      <x:c r="L5678" s="6" t="n">
        <x:f>J5678*K5678</x:f>
        <x:v>1</x:v>
      </x:c>
    </x:row>
    <x:row r="5679">
      <x:c r="A5679" s="1" t="n">
        <x:v>44590</x:v>
      </x:c>
      <x:c r="B5679" s="5" t="d">
        <x:v>2016-10-12T00:00:00.000Z</x:v>
      </x:c>
      <x:c r="C5679" s="1" t="str">
        <x:v>Standard Class</x:v>
      </x:c>
      <x:c r="D5679" s="1" t="str">
        <x:v>Africa</x:v>
      </x:c>
      <x:c r="E5679" s="1" t="str">
        <x:v>COMPLETE</x:v>
      </x:c>
      <x:c r="F5679" s="1" t="str">
        <x:v>Late delivery</x:v>
      </x:c>
      <x:c r="G5679" s="6" t="n">
        <x:v>6</x:v>
      </x:c>
      <x:c r="H5679" s="6" t="n">
        <x:v>4</x:v>
      </x:c>
      <x:c r="I5679" s="6" t="n">
        <x:f>G5679-H5679</x:f>
        <x:v>2</x:v>
      </x:c>
      <x:c r="J5679" s="6" t="n">
        <x:f>IF(OR(E5679="CANCELED",E5679="SUSPECTED_FRAUD",F5679="Shipping canceled"),0,1)</x:f>
        <x:v>1</x:v>
      </x:c>
      <x:c r="K5679" s="6" t="n">
        <x:f>IF(G5679&gt;H5679,1,0)</x:f>
        <x:v>1</x:v>
      </x:c>
      <x:c r="L5679" s="6" t="n">
        <x:f>J5679*K5679</x:f>
        <x:v>1</x:v>
      </x:c>
    </x:row>
    <x:row r="5680">
      <x:c r="A5680" s="1" t="n">
        <x:v>44591</x:v>
      </x:c>
      <x:c r="B5680" s="5" t="d">
        <x:v>2016-10-12T00:00:00.000Z</x:v>
      </x:c>
      <x:c r="C5680" s="1" t="str">
        <x:v>Standard Class</x:v>
      </x:c>
      <x:c r="D5680" s="1" t="str">
        <x:v>Africa</x:v>
      </x:c>
      <x:c r="E5680" s="1" t="str">
        <x:v>PROCESSING</x:v>
      </x:c>
      <x:c r="F5680" s="1" t="str">
        <x:v>Advance shipping</x:v>
      </x:c>
      <x:c r="G5680" s="6" t="n">
        <x:v>2</x:v>
      </x:c>
      <x:c r="H5680" s="6" t="n">
        <x:v>4</x:v>
      </x:c>
      <x:c r="I5680" s="6" t="n">
        <x:f>G5680-H5680</x:f>
        <x:v>-2</x:v>
      </x:c>
      <x:c r="J5680" s="6" t="n">
        <x:f>IF(OR(E5680="CANCELED",E5680="SUSPECTED_FRAUD",F5680="Shipping canceled"),0,1)</x:f>
        <x:v>1</x:v>
      </x:c>
      <x:c r="K5680" s="6" t="n">
        <x:f>IF(G5680&gt;H5680,1,0)</x:f>
        <x:v>0</x:v>
      </x:c>
      <x:c r="L5680" s="6" t="n">
        <x:f>J5680*K5680</x:f>
        <x:v>0</x:v>
      </x:c>
    </x:row>
    <x:row r="5681">
      <x:c r="A5681" s="1" t="n">
        <x:v>44599</x:v>
      </x:c>
      <x:c r="B5681" s="5" t="d">
        <x:v>2016-10-13T00:00:00.000Z</x:v>
      </x:c>
      <x:c r="C5681" s="1" t="str">
        <x:v>Standard Class</x:v>
      </x:c>
      <x:c r="D5681" s="1" t="str">
        <x:v>Africa</x:v>
      </x:c>
      <x:c r="E5681" s="1" t="str">
        <x:v>ON_HOLD</x:v>
      </x:c>
      <x:c r="F5681" s="1" t="str">
        <x:v>Late delivery</x:v>
      </x:c>
      <x:c r="G5681" s="6" t="n">
        <x:v>5</x:v>
      </x:c>
      <x:c r="H5681" s="6" t="n">
        <x:v>4</x:v>
      </x:c>
      <x:c r="I5681" s="6" t="n">
        <x:f>G5681-H5681</x:f>
        <x:v>1</x:v>
      </x:c>
      <x:c r="J5681" s="6" t="n">
        <x:f>IF(OR(E5681="CANCELED",E5681="SUSPECTED_FRAUD",F5681="Shipping canceled"),0,1)</x:f>
        <x:v>1</x:v>
      </x:c>
      <x:c r="K5681" s="6" t="n">
        <x:f>IF(G5681&gt;H5681,1,0)</x:f>
        <x:v>1</x:v>
      </x:c>
      <x:c r="L5681" s="6" t="n">
        <x:f>J5681*K5681</x:f>
        <x:v>1</x:v>
      </x:c>
    </x:row>
    <x:row r="5682">
      <x:c r="A5682" s="1" t="n">
        <x:v>44603</x:v>
      </x:c>
      <x:c r="B5682" s="5" t="d">
        <x:v>2016-10-13T00:00:00.000Z</x:v>
      </x:c>
      <x:c r="C5682" s="1" t="str">
        <x:v>First Class</x:v>
      </x:c>
      <x:c r="D5682" s="1" t="str">
        <x:v>Europe</x:v>
      </x:c>
      <x:c r="E5682" s="1" t="str">
        <x:v>PENDING_PAYMENT</x:v>
      </x:c>
      <x:c r="F5682" s="1" t="str">
        <x:v>Late delivery</x:v>
      </x:c>
      <x:c r="G5682" s="6" t="n">
        <x:v>2</x:v>
      </x:c>
      <x:c r="H5682" s="6" t="n">
        <x:v>1</x:v>
      </x:c>
      <x:c r="I5682" s="6" t="n">
        <x:f>G5682-H5682</x:f>
        <x:v>1</x:v>
      </x:c>
      <x:c r="J5682" s="6" t="n">
        <x:f>IF(OR(E5682="CANCELED",E5682="SUSPECTED_FRAUD",F5682="Shipping canceled"),0,1)</x:f>
        <x:v>1</x:v>
      </x:c>
      <x:c r="K5682" s="6" t="n">
        <x:f>IF(G5682&gt;H5682,1,0)</x:f>
        <x:v>1</x:v>
      </x:c>
      <x:c r="L5682" s="6" t="n">
        <x:f>J5682*K5682</x:f>
        <x:v>1</x:v>
      </x:c>
    </x:row>
    <x:row r="5683">
      <x:c r="A5683" s="1" t="n">
        <x:v>44612</x:v>
      </x:c>
      <x:c r="B5683" s="5" t="d">
        <x:v>2016-10-13T00:00:00.000Z</x:v>
      </x:c>
      <x:c r="C5683" s="1" t="str">
        <x:v>First Class</x:v>
      </x:c>
      <x:c r="D5683" s="1" t="str">
        <x:v>Europe</x:v>
      </x:c>
      <x:c r="E5683" s="1" t="str">
        <x:v>PENDING_PAYMENT</x:v>
      </x:c>
      <x:c r="F5683" s="1" t="str">
        <x:v>Late delivery</x:v>
      </x:c>
      <x:c r="G5683" s="6" t="n">
        <x:v>2</x:v>
      </x:c>
      <x:c r="H5683" s="6" t="n">
        <x:v>1</x:v>
      </x:c>
      <x:c r="I5683" s="6" t="n">
        <x:f>G5683-H5683</x:f>
        <x:v>1</x:v>
      </x:c>
      <x:c r="J5683" s="6" t="n">
        <x:f>IF(OR(E5683="CANCELED",E5683="SUSPECTED_FRAUD",F5683="Shipping canceled"),0,1)</x:f>
        <x:v>1</x:v>
      </x:c>
      <x:c r="K5683" s="6" t="n">
        <x:f>IF(G5683&gt;H5683,1,0)</x:f>
        <x:v>1</x:v>
      </x:c>
      <x:c r="L5683" s="6" t="n">
        <x:f>J5683*K5683</x:f>
        <x:v>1</x:v>
      </x:c>
    </x:row>
    <x:row r="5684">
      <x:c r="A5684" s="1" t="n">
        <x:v>44617</x:v>
      </x:c>
      <x:c r="B5684" s="5" t="d">
        <x:v>2016-10-13T00:00:00.000Z</x:v>
      </x:c>
      <x:c r="C5684" s="1" t="str">
        <x:v>Standard Class</x:v>
      </x:c>
      <x:c r="D5684" s="1" t="str">
        <x:v>Pacific Asia</x:v>
      </x:c>
      <x:c r="E5684" s="1" t="str">
        <x:v>PENDING</x:v>
      </x:c>
      <x:c r="F5684" s="1" t="str">
        <x:v>Advance shipping</x:v>
      </x:c>
      <x:c r="G5684" s="6" t="n">
        <x:v>3</x:v>
      </x:c>
      <x:c r="H5684" s="6" t="n">
        <x:v>4</x:v>
      </x:c>
      <x:c r="I5684" s="6" t="n">
        <x:f>G5684-H5684</x:f>
        <x:v>-1</x:v>
      </x:c>
      <x:c r="J5684" s="6" t="n">
        <x:f>IF(OR(E5684="CANCELED",E5684="SUSPECTED_FRAUD",F5684="Shipping canceled"),0,1)</x:f>
        <x:v>1</x:v>
      </x:c>
      <x:c r="K5684" s="6" t="n">
        <x:f>IF(G5684&gt;H5684,1,0)</x:f>
        <x:v>0</x:v>
      </x:c>
      <x:c r="L5684" s="6" t="n">
        <x:f>J5684*K5684</x:f>
        <x:v>0</x:v>
      </x:c>
    </x:row>
    <x:row r="5685">
      <x:c r="A5685" s="1" t="n">
        <x:v>44621</x:v>
      </x:c>
      <x:c r="B5685" s="5" t="d">
        <x:v>2016-10-13T00:00:00.000Z</x:v>
      </x:c>
      <x:c r="C5685" s="1" t="str">
        <x:v>Standard Class</x:v>
      </x:c>
      <x:c r="D5685" s="1" t="str">
        <x:v>Pacific Asia</x:v>
      </x:c>
      <x:c r="E5685" s="1" t="str">
        <x:v>PENDING</x:v>
      </x:c>
      <x:c r="F5685" s="1" t="str">
        <x:v>Advance shipping</x:v>
      </x:c>
      <x:c r="G5685" s="6" t="n">
        <x:v>2</x:v>
      </x:c>
      <x:c r="H5685" s="6" t="n">
        <x:v>4</x:v>
      </x:c>
      <x:c r="I5685" s="6" t="n">
        <x:f>G5685-H5685</x:f>
        <x:v>-2</x:v>
      </x:c>
      <x:c r="J5685" s="6" t="n">
        <x:f>IF(OR(E5685="CANCELED",E5685="SUSPECTED_FRAUD",F5685="Shipping canceled"),0,1)</x:f>
        <x:v>1</x:v>
      </x:c>
      <x:c r="K5685" s="6" t="n">
        <x:f>IF(G5685&gt;H5685,1,0)</x:f>
        <x:v>0</x:v>
      </x:c>
      <x:c r="L5685" s="6" t="n">
        <x:f>J5685*K5685</x:f>
        <x:v>0</x:v>
      </x:c>
    </x:row>
    <x:row r="5686">
      <x:c r="A5686" s="1" t="n">
        <x:v>44624</x:v>
      </x:c>
      <x:c r="B5686" s="5" t="d">
        <x:v>2016-10-13T00:00:00.000Z</x:v>
      </x:c>
      <x:c r="C5686" s="1" t="str">
        <x:v>Standard Class</x:v>
      </x:c>
      <x:c r="D5686" s="1" t="str">
        <x:v>Pacific Asia</x:v>
      </x:c>
      <x:c r="E5686" s="1" t="str">
        <x:v>COMPLETE</x:v>
      </x:c>
      <x:c r="F5686" s="1" t="str">
        <x:v>Late delivery</x:v>
      </x:c>
      <x:c r="G5686" s="6" t="n">
        <x:v>5</x:v>
      </x:c>
      <x:c r="H5686" s="6" t="n">
        <x:v>4</x:v>
      </x:c>
      <x:c r="I5686" s="6" t="n">
        <x:f>G5686-H5686</x:f>
        <x:v>1</x:v>
      </x:c>
      <x:c r="J5686" s="6" t="n">
        <x:f>IF(OR(E5686="CANCELED",E5686="SUSPECTED_FRAUD",F5686="Shipping canceled"),0,1)</x:f>
        <x:v>1</x:v>
      </x:c>
      <x:c r="K5686" s="6" t="n">
        <x:f>IF(G5686&gt;H5686,1,0)</x:f>
        <x:v>1</x:v>
      </x:c>
      <x:c r="L5686" s="6" t="n">
        <x:f>J5686*K5686</x:f>
        <x:v>1</x:v>
      </x:c>
    </x:row>
    <x:row r="5687">
      <x:c r="A5687" s="1" t="n">
        <x:v>44629</x:v>
      </x:c>
      <x:c r="B5687" s="5" t="d">
        <x:v>2016-10-13T00:00:00.000Z</x:v>
      </x:c>
      <x:c r="C5687" s="1" t="str">
        <x:v>First Class</x:v>
      </x:c>
      <x:c r="D5687" s="1" t="str">
        <x:v>Europe</x:v>
      </x:c>
      <x:c r="E5687" s="1" t="str">
        <x:v>PENDING_PAYMENT</x:v>
      </x:c>
      <x:c r="F5687" s="1" t="str">
        <x:v>Late delivery</x:v>
      </x:c>
      <x:c r="G5687" s="6" t="n">
        <x:v>2</x:v>
      </x:c>
      <x:c r="H5687" s="6" t="n">
        <x:v>1</x:v>
      </x:c>
      <x:c r="I5687" s="6" t="n">
        <x:f>G5687-H5687</x:f>
        <x:v>1</x:v>
      </x:c>
      <x:c r="J5687" s="6" t="n">
        <x:f>IF(OR(E5687="CANCELED",E5687="SUSPECTED_FRAUD",F5687="Shipping canceled"),0,1)</x:f>
        <x:v>1</x:v>
      </x:c>
      <x:c r="K5687" s="6" t="n">
        <x:f>IF(G5687&gt;H5687,1,0)</x:f>
        <x:v>1</x:v>
      </x:c>
      <x:c r="L5687" s="6" t="n">
        <x:f>J5687*K5687</x:f>
        <x:v>1</x:v>
      </x:c>
    </x:row>
    <x:row r="5688">
      <x:c r="A5688" s="1" t="n">
        <x:v>44631</x:v>
      </x:c>
      <x:c r="B5688" s="5" t="d">
        <x:v>2016-10-13T00:00:00.000Z</x:v>
      </x:c>
      <x:c r="C5688" s="1" t="str">
        <x:v>First Class</x:v>
      </x:c>
      <x:c r="D5688" s="1" t="str">
        <x:v>Pacific Asia</x:v>
      </x:c>
      <x:c r="E5688" s="1" t="str">
        <x:v>CLOSED</x:v>
      </x:c>
      <x:c r="F5688" s="1" t="str">
        <x:v>Late delivery</x:v>
      </x:c>
      <x:c r="G5688" s="6" t="n">
        <x:v>2</x:v>
      </x:c>
      <x:c r="H5688" s="6" t="n">
        <x:v>1</x:v>
      </x:c>
      <x:c r="I5688" s="6" t="n">
        <x:f>G5688-H5688</x:f>
        <x:v>1</x:v>
      </x:c>
      <x:c r="J5688" s="6" t="n">
        <x:f>IF(OR(E5688="CANCELED",E5688="SUSPECTED_FRAUD",F5688="Shipping canceled"),0,1)</x:f>
        <x:v>1</x:v>
      </x:c>
      <x:c r="K5688" s="6" t="n">
        <x:f>IF(G5688&gt;H5688,1,0)</x:f>
        <x:v>1</x:v>
      </x:c>
      <x:c r="L5688" s="6" t="n">
        <x:f>J5688*K5688</x:f>
        <x:v>1</x:v>
      </x:c>
    </x:row>
    <x:row r="5689">
      <x:c r="A5689" s="1" t="n">
        <x:v>44635</x:v>
      </x:c>
      <x:c r="B5689" s="5" t="d">
        <x:v>2016-10-13T00:00:00.000Z</x:v>
      </x:c>
      <x:c r="C5689" s="1" t="str">
        <x:v>Standard Class</x:v>
      </x:c>
      <x:c r="D5689" s="1" t="str">
        <x:v>Europe</x:v>
      </x:c>
      <x:c r="E5689" s="1" t="str">
        <x:v>PENDING</x:v>
      </x:c>
      <x:c r="F5689" s="1" t="str">
        <x:v>Late delivery</x:v>
      </x:c>
      <x:c r="G5689" s="6" t="n">
        <x:v>6</x:v>
      </x:c>
      <x:c r="H5689" s="6" t="n">
        <x:v>4</x:v>
      </x:c>
      <x:c r="I5689" s="6" t="n">
        <x:f>G5689-H5689</x:f>
        <x:v>2</x:v>
      </x:c>
      <x:c r="J5689" s="6" t="n">
        <x:f>IF(OR(E5689="CANCELED",E5689="SUSPECTED_FRAUD",F5689="Shipping canceled"),0,1)</x:f>
        <x:v>1</x:v>
      </x:c>
      <x:c r="K5689" s="6" t="n">
        <x:f>IF(G5689&gt;H5689,1,0)</x:f>
        <x:v>1</x:v>
      </x:c>
      <x:c r="L5689" s="6" t="n">
        <x:f>J5689*K5689</x:f>
        <x:v>1</x:v>
      </x:c>
    </x:row>
    <x:row r="5690">
      <x:c r="A5690" s="1" t="n">
        <x:v>44655</x:v>
      </x:c>
      <x:c r="B5690" s="5" t="d">
        <x:v>2016-10-13T00:00:00.000Z</x:v>
      </x:c>
      <x:c r="C5690" s="1" t="str">
        <x:v>Standard Class</x:v>
      </x:c>
      <x:c r="D5690" s="1" t="str">
        <x:v>Pacific Asia</x:v>
      </x:c>
      <x:c r="E5690" s="1" t="str">
        <x:v>PROCESSING</x:v>
      </x:c>
      <x:c r="F5690" s="1" t="str">
        <x:v>Late delivery</x:v>
      </x:c>
      <x:c r="G5690" s="6" t="n">
        <x:v>6</x:v>
      </x:c>
      <x:c r="H5690" s="6" t="n">
        <x:v>4</x:v>
      </x:c>
      <x:c r="I5690" s="6" t="n">
        <x:f>G5690-H5690</x:f>
        <x:v>2</x:v>
      </x:c>
      <x:c r="J5690" s="6" t="n">
        <x:f>IF(OR(E5690="CANCELED",E5690="SUSPECTED_FRAUD",F5690="Shipping canceled"),0,1)</x:f>
        <x:v>1</x:v>
      </x:c>
      <x:c r="K5690" s="6" t="n">
        <x:f>IF(G5690&gt;H5690,1,0)</x:f>
        <x:v>1</x:v>
      </x:c>
      <x:c r="L5690" s="6" t="n">
        <x:f>J5690*K5690</x:f>
        <x:v>1</x:v>
      </x:c>
    </x:row>
    <x:row r="5691">
      <x:c r="A5691" s="1" t="n">
        <x:v>44666</x:v>
      </x:c>
      <x:c r="B5691" s="5" t="d">
        <x:v>2016-10-14T00:00:00.000Z</x:v>
      </x:c>
      <x:c r="C5691" s="1" t="str">
        <x:v>Standard Class</x:v>
      </x:c>
      <x:c r="D5691" s="1" t="str">
        <x:v>Pacific Asia</x:v>
      </x:c>
      <x:c r="E5691" s="1" t="str">
        <x:v>PENDING</x:v>
      </x:c>
      <x:c r="F5691" s="1" t="str">
        <x:v>Advance shipping</x:v>
      </x:c>
      <x:c r="G5691" s="6" t="n">
        <x:v>2</x:v>
      </x:c>
      <x:c r="H5691" s="6" t="n">
        <x:v>4</x:v>
      </x:c>
      <x:c r="I5691" s="6" t="n">
        <x:f>G5691-H5691</x:f>
        <x:v>-2</x:v>
      </x:c>
      <x:c r="J5691" s="6" t="n">
        <x:f>IF(OR(E5691="CANCELED",E5691="SUSPECTED_FRAUD",F5691="Shipping canceled"),0,1)</x:f>
        <x:v>1</x:v>
      </x:c>
      <x:c r="K5691" s="6" t="n">
        <x:f>IF(G5691&gt;H5691,1,0)</x:f>
        <x:v>0</x:v>
      </x:c>
      <x:c r="L5691" s="6" t="n">
        <x:f>J5691*K5691</x:f>
        <x:v>0</x:v>
      </x:c>
    </x:row>
    <x:row r="5692">
      <x:c r="A5692" s="1" t="n">
        <x:v>44675</x:v>
      </x:c>
      <x:c r="B5692" s="5" t="d">
        <x:v>2016-10-14T00:00:00.000Z</x:v>
      </x:c>
      <x:c r="C5692" s="1" t="str">
        <x:v>Standard Class</x:v>
      </x:c>
      <x:c r="D5692" s="1" t="str">
        <x:v>Africa</x:v>
      </x:c>
      <x:c r="E5692" s="1" t="str">
        <x:v>COMPLETE</x:v>
      </x:c>
      <x:c r="F5692" s="1" t="str">
        <x:v>Late delivery</x:v>
      </x:c>
      <x:c r="G5692" s="6" t="n">
        <x:v>6</x:v>
      </x:c>
      <x:c r="H5692" s="6" t="n">
        <x:v>4</x:v>
      </x:c>
      <x:c r="I5692" s="6" t="n">
        <x:f>G5692-H5692</x:f>
        <x:v>2</x:v>
      </x:c>
      <x:c r="J5692" s="6" t="n">
        <x:f>IF(OR(E5692="CANCELED",E5692="SUSPECTED_FRAUD",F5692="Shipping canceled"),0,1)</x:f>
        <x:v>1</x:v>
      </x:c>
      <x:c r="K5692" s="6" t="n">
        <x:f>IF(G5692&gt;H5692,1,0)</x:f>
        <x:v>1</x:v>
      </x:c>
      <x:c r="L5692" s="6" t="n">
        <x:f>J5692*K5692</x:f>
        <x:v>1</x:v>
      </x:c>
    </x:row>
    <x:row r="5693">
      <x:c r="A5693" s="1" t="n">
        <x:v>44677</x:v>
      </x:c>
      <x:c r="B5693" s="5" t="d">
        <x:v>2016-10-14T00:00:00.000Z</x:v>
      </x:c>
      <x:c r="C5693" s="1" t="str">
        <x:v>Standard Class</x:v>
      </x:c>
      <x:c r="D5693" s="1" t="str">
        <x:v>Africa</x:v>
      </x:c>
      <x:c r="E5693" s="1" t="str">
        <x:v>PROCESSING</x:v>
      </x:c>
      <x:c r="F5693" s="1" t="str">
        <x:v>Advance shipping</x:v>
      </x:c>
      <x:c r="G5693" s="6" t="n">
        <x:v>3</x:v>
      </x:c>
      <x:c r="H5693" s="6" t="n">
        <x:v>4</x:v>
      </x:c>
      <x:c r="I5693" s="6" t="n">
        <x:f>G5693-H5693</x:f>
        <x:v>-1</x:v>
      </x:c>
      <x:c r="J5693" s="6" t="n">
        <x:f>IF(OR(E5693="CANCELED",E5693="SUSPECTED_FRAUD",F5693="Shipping canceled"),0,1)</x:f>
        <x:v>1</x:v>
      </x:c>
      <x:c r="K5693" s="6" t="n">
        <x:f>IF(G5693&gt;H5693,1,0)</x:f>
        <x:v>0</x:v>
      </x:c>
      <x:c r="L5693" s="6" t="n">
        <x:f>J5693*K5693</x:f>
        <x:v>0</x:v>
      </x:c>
    </x:row>
    <x:row r="5694">
      <x:c r="A5694" s="1" t="n">
        <x:v>44684</x:v>
      </x:c>
      <x:c r="B5694" s="5" t="d">
        <x:v>2016-10-14T00:00:00.000Z</x:v>
      </x:c>
      <x:c r="C5694" s="1" t="str">
        <x:v>Standard Class</x:v>
      </x:c>
      <x:c r="D5694" s="1" t="str">
        <x:v>Pacific Asia</x:v>
      </x:c>
      <x:c r="E5694" s="1" t="str">
        <x:v>PENDING</x:v>
      </x:c>
      <x:c r="F5694" s="1" t="str">
        <x:v>Late delivery</x:v>
      </x:c>
      <x:c r="G5694" s="6" t="n">
        <x:v>5</x:v>
      </x:c>
      <x:c r="H5694" s="6" t="n">
        <x:v>4</x:v>
      </x:c>
      <x:c r="I5694" s="6" t="n">
        <x:f>G5694-H5694</x:f>
        <x:v>1</x:v>
      </x:c>
      <x:c r="J5694" s="6" t="n">
        <x:f>IF(OR(E5694="CANCELED",E5694="SUSPECTED_FRAUD",F5694="Shipping canceled"),0,1)</x:f>
        <x:v>1</x:v>
      </x:c>
      <x:c r="K5694" s="6" t="n">
        <x:f>IF(G5694&gt;H5694,1,0)</x:f>
        <x:v>1</x:v>
      </x:c>
      <x:c r="L5694" s="6" t="n">
        <x:f>J5694*K5694</x:f>
        <x:v>1</x:v>
      </x:c>
    </x:row>
    <x:row r="5695">
      <x:c r="A5695" s="1" t="n">
        <x:v>44686</x:v>
      </x:c>
      <x:c r="B5695" s="5" t="d">
        <x:v>2016-10-14T00:00:00.000Z</x:v>
      </x:c>
      <x:c r="C5695" s="1" t="str">
        <x:v>Standard Class</x:v>
      </x:c>
      <x:c r="D5695" s="1" t="str">
        <x:v>Pacific Asia</x:v>
      </x:c>
      <x:c r="E5695" s="1" t="str">
        <x:v>COMPLETE</x:v>
      </x:c>
      <x:c r="F5695" s="1" t="str">
        <x:v>Advance shipping</x:v>
      </x:c>
      <x:c r="G5695" s="6" t="n">
        <x:v>2</x:v>
      </x:c>
      <x:c r="H5695" s="6" t="n">
        <x:v>4</x:v>
      </x:c>
      <x:c r="I5695" s="6" t="n">
        <x:f>G5695-H5695</x:f>
        <x:v>-2</x:v>
      </x:c>
      <x:c r="J5695" s="6" t="n">
        <x:f>IF(OR(E5695="CANCELED",E5695="SUSPECTED_FRAUD",F5695="Shipping canceled"),0,1)</x:f>
        <x:v>1</x:v>
      </x:c>
      <x:c r="K5695" s="6" t="n">
        <x:f>IF(G5695&gt;H5695,1,0)</x:f>
        <x:v>0</x:v>
      </x:c>
      <x:c r="L5695" s="6" t="n">
        <x:f>J5695*K5695</x:f>
        <x:v>0</x:v>
      </x:c>
    </x:row>
    <x:row r="5696">
      <x:c r="A5696" s="1" t="n">
        <x:v>44697</x:v>
      </x:c>
      <x:c r="B5696" s="5" t="d">
        <x:v>2016-10-14T00:00:00.000Z</x:v>
      </x:c>
      <x:c r="C5696" s="1" t="str">
        <x:v>Standard Class</x:v>
      </x:c>
      <x:c r="D5696" s="1" t="str">
        <x:v>Europe</x:v>
      </x:c>
      <x:c r="E5696" s="1" t="str">
        <x:v>PENDING_PAYMENT</x:v>
      </x:c>
      <x:c r="F5696" s="1" t="str">
        <x:v>Advance shipping</x:v>
      </x:c>
      <x:c r="G5696" s="6" t="n">
        <x:v>3</x:v>
      </x:c>
      <x:c r="H5696" s="6" t="n">
        <x:v>4</x:v>
      </x:c>
      <x:c r="I5696" s="6" t="n">
        <x:f>G5696-H5696</x:f>
        <x:v>-1</x:v>
      </x:c>
      <x:c r="J5696" s="6" t="n">
        <x:f>IF(OR(E5696="CANCELED",E5696="SUSPECTED_FRAUD",F5696="Shipping canceled"),0,1)</x:f>
        <x:v>1</x:v>
      </x:c>
      <x:c r="K5696" s="6" t="n">
        <x:f>IF(G5696&gt;H5696,1,0)</x:f>
        <x:v>0</x:v>
      </x:c>
      <x:c r="L5696" s="6" t="n">
        <x:f>J5696*K5696</x:f>
        <x:v>0</x:v>
      </x:c>
    </x:row>
    <x:row r="5697">
      <x:c r="A5697" s="1" t="n">
        <x:v>44698</x:v>
      </x:c>
      <x:c r="B5697" s="5" t="d">
        <x:v>2016-10-14T00:00:00.000Z</x:v>
      </x:c>
      <x:c r="C5697" s="1" t="str">
        <x:v>Standard Class</x:v>
      </x:c>
      <x:c r="D5697" s="1" t="str">
        <x:v>Europe</x:v>
      </x:c>
      <x:c r="E5697" s="1" t="str">
        <x:v>COMPLETE</x:v>
      </x:c>
      <x:c r="F5697" s="1" t="str">
        <x:v>Shipping on time</x:v>
      </x:c>
      <x:c r="G5697" s="6" t="n">
        <x:v>4</x:v>
      </x:c>
      <x:c r="H5697" s="6" t="n">
        <x:v>4</x:v>
      </x:c>
      <x:c r="I5697" s="6" t="n">
        <x:f>G5697-H5697</x:f>
        <x:v>0</x:v>
      </x:c>
      <x:c r="J5697" s="6" t="n">
        <x:f>IF(OR(E5697="CANCELED",E5697="SUSPECTED_FRAUD",F5697="Shipping canceled"),0,1)</x:f>
        <x:v>1</x:v>
      </x:c>
      <x:c r="K5697" s="6" t="n">
        <x:f>IF(G5697&gt;H5697,1,0)</x:f>
        <x:v>0</x:v>
      </x:c>
      <x:c r="L5697" s="6" t="n">
        <x:f>J5697*K5697</x:f>
        <x:v>0</x:v>
      </x:c>
    </x:row>
    <x:row r="5698">
      <x:c r="A5698" s="1" t="n">
        <x:v>44706</x:v>
      </x:c>
      <x:c r="B5698" s="5" t="d">
        <x:v>2016-10-14T00:00:00.000Z</x:v>
      </x:c>
      <x:c r="C5698" s="1" t="str">
        <x:v>Standard Class</x:v>
      </x:c>
      <x:c r="D5698" s="1" t="str">
        <x:v>Pacific Asia</x:v>
      </x:c>
      <x:c r="E5698" s="1" t="str">
        <x:v>COMPLETE</x:v>
      </x:c>
      <x:c r="F5698" s="1" t="str">
        <x:v>Advance shipping</x:v>
      </x:c>
      <x:c r="G5698" s="6" t="n">
        <x:v>2</x:v>
      </x:c>
      <x:c r="H5698" s="6" t="n">
        <x:v>4</x:v>
      </x:c>
      <x:c r="I5698" s="6" t="n">
        <x:f>G5698-H5698</x:f>
        <x:v>-2</x:v>
      </x:c>
      <x:c r="J5698" s="6" t="n">
        <x:f>IF(OR(E5698="CANCELED",E5698="SUSPECTED_FRAUD",F5698="Shipping canceled"),0,1)</x:f>
        <x:v>1</x:v>
      </x:c>
      <x:c r="K5698" s="6" t="n">
        <x:f>IF(G5698&gt;H5698,1,0)</x:f>
        <x:v>0</x:v>
      </x:c>
      <x:c r="L5698" s="6" t="n">
        <x:f>J5698*K5698</x:f>
        <x:v>0</x:v>
      </x:c>
    </x:row>
    <x:row r="5699">
      <x:c r="A5699" s="1" t="n">
        <x:v>44721</x:v>
      </x:c>
      <x:c r="B5699" s="5" t="d">
        <x:v>2016-10-14T00:00:00.000Z</x:v>
      </x:c>
      <x:c r="C5699" s="1" t="str">
        <x:v>Standard Class</x:v>
      </x:c>
      <x:c r="D5699" s="1" t="str">
        <x:v>Europe</x:v>
      </x:c>
      <x:c r="E5699" s="1" t="str">
        <x:v>PENDING_PAYMENT</x:v>
      </x:c>
      <x:c r="F5699" s="1" t="str">
        <x:v>Advance shipping</x:v>
      </x:c>
      <x:c r="G5699" s="6" t="n">
        <x:v>2</x:v>
      </x:c>
      <x:c r="H5699" s="6" t="n">
        <x:v>4</x:v>
      </x:c>
      <x:c r="I5699" s="6" t="n">
        <x:f>G5699-H5699</x:f>
        <x:v>-2</x:v>
      </x:c>
      <x:c r="J5699" s="6" t="n">
        <x:f>IF(OR(E5699="CANCELED",E5699="SUSPECTED_FRAUD",F5699="Shipping canceled"),0,1)</x:f>
        <x:v>1</x:v>
      </x:c>
      <x:c r="K5699" s="6" t="n">
        <x:f>IF(G5699&gt;H5699,1,0)</x:f>
        <x:v>0</x:v>
      </x:c>
      <x:c r="L5699" s="6" t="n">
        <x:f>J5699*K5699</x:f>
        <x:v>0</x:v>
      </x:c>
    </x:row>
    <x:row r="5700">
      <x:c r="A5700" s="1" t="n">
        <x:v>44748</x:v>
      </x:c>
      <x:c r="B5700" s="5" t="d">
        <x:v>2016-10-15T00:00:00.000Z</x:v>
      </x:c>
      <x:c r="C5700" s="1" t="str">
        <x:v>Second Class</x:v>
      </x:c>
      <x:c r="D5700" s="1" t="str">
        <x:v>Pacific Asia</x:v>
      </x:c>
      <x:c r="E5700" s="1" t="str">
        <x:v>COMPLETE</x:v>
      </x:c>
      <x:c r="F5700" s="1" t="str">
        <x:v>Late delivery</x:v>
      </x:c>
      <x:c r="G5700" s="6" t="n">
        <x:v>4</x:v>
      </x:c>
      <x:c r="H5700" s="6" t="n">
        <x:v>2</x:v>
      </x:c>
      <x:c r="I5700" s="6" t="n">
        <x:f>G5700-H5700</x:f>
        <x:v>2</x:v>
      </x:c>
      <x:c r="J5700" s="6" t="n">
        <x:f>IF(OR(E5700="CANCELED",E5700="SUSPECTED_FRAUD",F5700="Shipping canceled"),0,1)</x:f>
        <x:v>1</x:v>
      </x:c>
      <x:c r="K5700" s="6" t="n">
        <x:f>IF(G5700&gt;H5700,1,0)</x:f>
        <x:v>1</x:v>
      </x:c>
      <x:c r="L5700" s="6" t="n">
        <x:f>J5700*K5700</x:f>
        <x:v>1</x:v>
      </x:c>
    </x:row>
    <x:row r="5701">
      <x:c r="A5701" s="1" t="n">
        <x:v>44758</x:v>
      </x:c>
      <x:c r="B5701" s="5" t="d">
        <x:v>2016-10-15T00:00:00.000Z</x:v>
      </x:c>
      <x:c r="C5701" s="1" t="str">
        <x:v>Standard Class</x:v>
      </x:c>
      <x:c r="D5701" s="1" t="str">
        <x:v>Europe</x:v>
      </x:c>
      <x:c r="E5701" s="1" t="str">
        <x:v>COMPLETE</x:v>
      </x:c>
      <x:c r="F5701" s="1" t="str">
        <x:v>Shipping on time</x:v>
      </x:c>
      <x:c r="G5701" s="6" t="n">
        <x:v>4</x:v>
      </x:c>
      <x:c r="H5701" s="6" t="n">
        <x:v>4</x:v>
      </x:c>
      <x:c r="I5701" s="6" t="n">
        <x:f>G5701-H5701</x:f>
        <x:v>0</x:v>
      </x:c>
      <x:c r="J5701" s="6" t="n">
        <x:f>IF(OR(E5701="CANCELED",E5701="SUSPECTED_FRAUD",F5701="Shipping canceled"),0,1)</x:f>
        <x:v>1</x:v>
      </x:c>
      <x:c r="K5701" s="6" t="n">
        <x:f>IF(G5701&gt;H5701,1,0)</x:f>
        <x:v>0</x:v>
      </x:c>
      <x:c r="L5701" s="6" t="n">
        <x:f>J5701*K5701</x:f>
        <x:v>0</x:v>
      </x:c>
    </x:row>
    <x:row r="5702">
      <x:c r="A5702" s="1" t="n">
        <x:v>44763</x:v>
      </x:c>
      <x:c r="B5702" s="5" t="d">
        <x:v>2016-10-15T00:00:00.000Z</x:v>
      </x:c>
      <x:c r="C5702" s="1" t="str">
        <x:v>Standard Class</x:v>
      </x:c>
      <x:c r="D5702" s="1" t="str">
        <x:v>Europe</x:v>
      </x:c>
      <x:c r="E5702" s="1" t="str">
        <x:v>PENDING</x:v>
      </x:c>
      <x:c r="F5702" s="1" t="str">
        <x:v>Shipping on time</x:v>
      </x:c>
      <x:c r="G5702" s="6" t="n">
        <x:v>4</x:v>
      </x:c>
      <x:c r="H5702" s="6" t="n">
        <x:v>4</x:v>
      </x:c>
      <x:c r="I5702" s="6" t="n">
        <x:f>G5702-H5702</x:f>
        <x:v>0</x:v>
      </x:c>
      <x:c r="J5702" s="6" t="n">
        <x:f>IF(OR(E5702="CANCELED",E5702="SUSPECTED_FRAUD",F5702="Shipping canceled"),0,1)</x:f>
        <x:v>1</x:v>
      </x:c>
      <x:c r="K5702" s="6" t="n">
        <x:f>IF(G5702&gt;H5702,1,0)</x:f>
        <x:v>0</x:v>
      </x:c>
      <x:c r="L5702" s="6" t="n">
        <x:f>J5702*K5702</x:f>
        <x:v>0</x:v>
      </x:c>
    </x:row>
    <x:row r="5703">
      <x:c r="A5703" s="1" t="n">
        <x:v>44768</x:v>
      </x:c>
      <x:c r="B5703" s="5" t="d">
        <x:v>2016-10-15T00:00:00.000Z</x:v>
      </x:c>
      <x:c r="C5703" s="1" t="str">
        <x:v>Second Class</x:v>
      </x:c>
      <x:c r="D5703" s="1" t="str">
        <x:v>Pacific Asia</x:v>
      </x:c>
      <x:c r="E5703" s="1" t="str">
        <x:v>COMPLETE</x:v>
      </x:c>
      <x:c r="F5703" s="1" t="str">
        <x:v>Late delivery</x:v>
      </x:c>
      <x:c r="G5703" s="6" t="n">
        <x:v>4</x:v>
      </x:c>
      <x:c r="H5703" s="6" t="n">
        <x:v>2</x:v>
      </x:c>
      <x:c r="I5703" s="6" t="n">
        <x:f>G5703-H5703</x:f>
        <x:v>2</x:v>
      </x:c>
      <x:c r="J5703" s="6" t="n">
        <x:f>IF(OR(E5703="CANCELED",E5703="SUSPECTED_FRAUD",F5703="Shipping canceled"),0,1)</x:f>
        <x:v>1</x:v>
      </x:c>
      <x:c r="K5703" s="6" t="n">
        <x:f>IF(G5703&gt;H5703,1,0)</x:f>
        <x:v>1</x:v>
      </x:c>
      <x:c r="L5703" s="6" t="n">
        <x:f>J5703*K5703</x:f>
        <x:v>1</x:v>
      </x:c>
    </x:row>
    <x:row r="5704">
      <x:c r="A5704" s="1" t="n">
        <x:v>44771</x:v>
      </x:c>
      <x:c r="B5704" s="5" t="d">
        <x:v>2016-10-15T00:00:00.000Z</x:v>
      </x:c>
      <x:c r="C5704" s="1" t="str">
        <x:v>Second Class</x:v>
      </x:c>
      <x:c r="D5704" s="1" t="str">
        <x:v>Africa</x:v>
      </x:c>
      <x:c r="E5704" s="1" t="str">
        <x:v>PENDING_PAYMENT</x:v>
      </x:c>
      <x:c r="F5704" s="1" t="str">
        <x:v>Shipping on time</x:v>
      </x:c>
      <x:c r="G5704" s="6" t="n">
        <x:v>2</x:v>
      </x:c>
      <x:c r="H5704" s="6" t="n">
        <x:v>2</x:v>
      </x:c>
      <x:c r="I5704" s="6" t="n">
        <x:f>G5704-H5704</x:f>
        <x:v>0</x:v>
      </x:c>
      <x:c r="J5704" s="6" t="n">
        <x:f>IF(OR(E5704="CANCELED",E5704="SUSPECTED_FRAUD",F5704="Shipping canceled"),0,1)</x:f>
        <x:v>1</x:v>
      </x:c>
      <x:c r="K5704" s="6" t="n">
        <x:f>IF(G5704&gt;H5704,1,0)</x:f>
        <x:v>0</x:v>
      </x:c>
      <x:c r="L5704" s="6" t="n">
        <x:f>J5704*K5704</x:f>
        <x:v>0</x:v>
      </x:c>
    </x:row>
    <x:row r="5705">
      <x:c r="A5705" s="1" t="n">
        <x:v>44802</x:v>
      </x:c>
      <x:c r="B5705" s="5" t="d">
        <x:v>2016-10-15T00:00:00.000Z</x:v>
      </x:c>
      <x:c r="C5705" s="1" t="str">
        <x:v>Standard Class</x:v>
      </x:c>
      <x:c r="D5705" s="1" t="str">
        <x:v>USCA</x:v>
      </x:c>
      <x:c r="E5705" s="1" t="str">
        <x:v>PENDING</x:v>
      </x:c>
      <x:c r="F5705" s="1" t="str">
        <x:v>Advance shipping</x:v>
      </x:c>
      <x:c r="G5705" s="6" t="n">
        <x:v>3</x:v>
      </x:c>
      <x:c r="H5705" s="6" t="n">
        <x:v>4</x:v>
      </x:c>
      <x:c r="I5705" s="6" t="n">
        <x:f>G5705-H5705</x:f>
        <x:v>-1</x:v>
      </x:c>
      <x:c r="J5705" s="6" t="n">
        <x:f>IF(OR(E5705="CANCELED",E5705="SUSPECTED_FRAUD",F5705="Shipping canceled"),0,1)</x:f>
        <x:v>1</x:v>
      </x:c>
      <x:c r="K5705" s="6" t="n">
        <x:f>IF(G5705&gt;H5705,1,0)</x:f>
        <x:v>0</x:v>
      </x:c>
      <x:c r="L5705" s="6" t="n">
        <x:f>J5705*K5705</x:f>
        <x:v>0</x:v>
      </x:c>
    </x:row>
    <x:row r="5706">
      <x:c r="A5706" s="1" t="n">
        <x:v>44806</x:v>
      </x:c>
      <x:c r="B5706" s="5" t="d">
        <x:v>2016-10-16T00:00:00.000Z</x:v>
      </x:c>
      <x:c r="C5706" s="1" t="str">
        <x:v>Standard Class</x:v>
      </x:c>
      <x:c r="D5706" s="1" t="str">
        <x:v>Africa</x:v>
      </x:c>
      <x:c r="E5706" s="1" t="str">
        <x:v>PROCESSING</x:v>
      </x:c>
      <x:c r="F5706" s="1" t="str">
        <x:v>Advance shipping</x:v>
      </x:c>
      <x:c r="G5706" s="6" t="n">
        <x:v>2</x:v>
      </x:c>
      <x:c r="H5706" s="6" t="n">
        <x:v>4</x:v>
      </x:c>
      <x:c r="I5706" s="6" t="n">
        <x:f>G5706-H5706</x:f>
        <x:v>-2</x:v>
      </x:c>
      <x:c r="J5706" s="6" t="n">
        <x:f>IF(OR(E5706="CANCELED",E5706="SUSPECTED_FRAUD",F5706="Shipping canceled"),0,1)</x:f>
        <x:v>1</x:v>
      </x:c>
      <x:c r="K5706" s="6" t="n">
        <x:f>IF(G5706&gt;H5706,1,0)</x:f>
        <x:v>0</x:v>
      </x:c>
      <x:c r="L5706" s="6" t="n">
        <x:f>J5706*K5706</x:f>
        <x:v>0</x:v>
      </x:c>
    </x:row>
    <x:row r="5707">
      <x:c r="A5707" s="1" t="n">
        <x:v>44816</x:v>
      </x:c>
      <x:c r="B5707" s="5" t="d">
        <x:v>2016-10-16T00:00:00.000Z</x:v>
      </x:c>
      <x:c r="C5707" s="1" t="str">
        <x:v>Standard Class</x:v>
      </x:c>
      <x:c r="D5707" s="1" t="str">
        <x:v>Europe</x:v>
      </x:c>
      <x:c r="E5707" s="1" t="str">
        <x:v>COMPLETE</x:v>
      </x:c>
      <x:c r="F5707" s="1" t="str">
        <x:v>Advance shipping</x:v>
      </x:c>
      <x:c r="G5707" s="6" t="n">
        <x:v>2</x:v>
      </x:c>
      <x:c r="H5707" s="6" t="n">
        <x:v>4</x:v>
      </x:c>
      <x:c r="I5707" s="6" t="n">
        <x:f>G5707-H5707</x:f>
        <x:v>-2</x:v>
      </x:c>
      <x:c r="J5707" s="6" t="n">
        <x:f>IF(OR(E5707="CANCELED",E5707="SUSPECTED_FRAUD",F5707="Shipping canceled"),0,1)</x:f>
        <x:v>1</x:v>
      </x:c>
      <x:c r="K5707" s="6" t="n">
        <x:f>IF(G5707&gt;H5707,1,0)</x:f>
        <x:v>0</x:v>
      </x:c>
      <x:c r="L5707" s="6" t="n">
        <x:f>J5707*K5707</x:f>
        <x:v>0</x:v>
      </x:c>
    </x:row>
    <x:row r="5708">
      <x:c r="A5708" s="1" t="n">
        <x:v>44824</x:v>
      </x:c>
      <x:c r="B5708" s="5" t="d">
        <x:v>2016-10-16T00:00:00.000Z</x:v>
      </x:c>
      <x:c r="C5708" s="1" t="str">
        <x:v>Second Class</x:v>
      </x:c>
      <x:c r="D5708" s="1" t="str">
        <x:v>Pacific Asia</x:v>
      </x:c>
      <x:c r="E5708" s="1" t="str">
        <x:v>COMPLETE</x:v>
      </x:c>
      <x:c r="F5708" s="1" t="str">
        <x:v>Late delivery</x:v>
      </x:c>
      <x:c r="G5708" s="6" t="n">
        <x:v>5</x:v>
      </x:c>
      <x:c r="H5708" s="6" t="n">
        <x:v>2</x:v>
      </x:c>
      <x:c r="I5708" s="6" t="n">
        <x:f>G5708-H5708</x:f>
        <x:v>3</x:v>
      </x:c>
      <x:c r="J5708" s="6" t="n">
        <x:f>IF(OR(E5708="CANCELED",E5708="SUSPECTED_FRAUD",F5708="Shipping canceled"),0,1)</x:f>
        <x:v>1</x:v>
      </x:c>
      <x:c r="K5708" s="6" t="n">
        <x:f>IF(G5708&gt;H5708,1,0)</x:f>
        <x:v>1</x:v>
      </x:c>
      <x:c r="L5708" s="6" t="n">
        <x:f>J5708*K5708</x:f>
        <x:v>1</x:v>
      </x:c>
    </x:row>
    <x:row r="5709">
      <x:c r="A5709" s="1" t="n">
        <x:v>44830</x:v>
      </x:c>
      <x:c r="B5709" s="5" t="d">
        <x:v>2016-10-16T00:00:00.000Z</x:v>
      </x:c>
      <x:c r="C5709" s="1" t="str">
        <x:v>Standard Class</x:v>
      </x:c>
      <x:c r="D5709" s="1" t="str">
        <x:v>Europe</x:v>
      </x:c>
      <x:c r="E5709" s="1" t="str">
        <x:v>CANCELED</x:v>
      </x:c>
      <x:c r="F5709" s="1" t="str">
        <x:v>Shipping canceled</x:v>
      </x:c>
      <x:c r="G5709" s="6" t="n">
        <x:v>6</x:v>
      </x:c>
      <x:c r="H5709" s="6" t="n">
        <x:v>4</x:v>
      </x:c>
      <x:c r="I5709" s="6" t="n">
        <x:f>G5709-H5709</x:f>
        <x:v>2</x:v>
      </x:c>
      <x:c r="J5709" s="6" t="n">
        <x:f>IF(OR(E5709="CANCELED",E5709="SUSPECTED_FRAUD",F5709="Shipping canceled"),0,1)</x:f>
        <x:v>0</x:v>
      </x:c>
      <x:c r="K5709" s="6" t="n">
        <x:f>IF(G5709&gt;H5709,1,0)</x:f>
        <x:v>1</x:v>
      </x:c>
      <x:c r="L5709" s="6" t="n">
        <x:f>J5709*K5709</x:f>
        <x:v>0</x:v>
      </x:c>
    </x:row>
    <x:row r="5710">
      <x:c r="A5710" s="1" t="n">
        <x:v>44836</x:v>
      </x:c>
      <x:c r="B5710" s="5" t="d">
        <x:v>2016-10-16T00:00:00.000Z</x:v>
      </x:c>
      <x:c r="C5710" s="1" t="str">
        <x:v>Standard Class</x:v>
      </x:c>
      <x:c r="D5710" s="1" t="str">
        <x:v>Africa</x:v>
      </x:c>
      <x:c r="E5710" s="1" t="str">
        <x:v>COMPLETE</x:v>
      </x:c>
      <x:c r="F5710" s="1" t="str">
        <x:v>Advance shipping</x:v>
      </x:c>
      <x:c r="G5710" s="6" t="n">
        <x:v>2</x:v>
      </x:c>
      <x:c r="H5710" s="6" t="n">
        <x:v>4</x:v>
      </x:c>
      <x:c r="I5710" s="6" t="n">
        <x:f>G5710-H5710</x:f>
        <x:v>-2</x:v>
      </x:c>
      <x:c r="J5710" s="6" t="n">
        <x:f>IF(OR(E5710="CANCELED",E5710="SUSPECTED_FRAUD",F5710="Shipping canceled"),0,1)</x:f>
        <x:v>1</x:v>
      </x:c>
      <x:c r="K5710" s="6" t="n">
        <x:f>IF(G5710&gt;H5710,1,0)</x:f>
        <x:v>0</x:v>
      </x:c>
      <x:c r="L5710" s="6" t="n">
        <x:f>J5710*K5710</x:f>
        <x:v>0</x:v>
      </x:c>
    </x:row>
    <x:row r="5711">
      <x:c r="A5711" s="1" t="n">
        <x:v>44854</x:v>
      </x:c>
      <x:c r="B5711" s="5" t="d">
        <x:v>2016-10-16T00:00:00.000Z</x:v>
      </x:c>
      <x:c r="C5711" s="1" t="str">
        <x:v>Second Class</x:v>
      </x:c>
      <x:c r="D5711" s="1" t="str">
        <x:v>Africa</x:v>
      </x:c>
      <x:c r="E5711" s="1" t="str">
        <x:v>CLOSED</x:v>
      </x:c>
      <x:c r="F5711" s="1" t="str">
        <x:v>Late delivery</x:v>
      </x:c>
      <x:c r="G5711" s="6" t="n">
        <x:v>5</x:v>
      </x:c>
      <x:c r="H5711" s="6" t="n">
        <x:v>2</x:v>
      </x:c>
      <x:c r="I5711" s="6" t="n">
        <x:f>G5711-H5711</x:f>
        <x:v>3</x:v>
      </x:c>
      <x:c r="J5711" s="6" t="n">
        <x:f>IF(OR(E5711="CANCELED",E5711="SUSPECTED_FRAUD",F5711="Shipping canceled"),0,1)</x:f>
        <x:v>1</x:v>
      </x:c>
      <x:c r="K5711" s="6" t="n">
        <x:f>IF(G5711&gt;H5711,1,0)</x:f>
        <x:v>1</x:v>
      </x:c>
      <x:c r="L5711" s="6" t="n">
        <x:f>J5711*K5711</x:f>
        <x:v>1</x:v>
      </x:c>
    </x:row>
    <x:row r="5712">
      <x:c r="A5712" s="1" t="n">
        <x:v>44864</x:v>
      </x:c>
      <x:c r="B5712" s="5" t="d">
        <x:v>2016-10-16T00:00:00.000Z</x:v>
      </x:c>
      <x:c r="C5712" s="1" t="str">
        <x:v>Standard Class</x:v>
      </x:c>
      <x:c r="D5712" s="1" t="str">
        <x:v>Africa</x:v>
      </x:c>
      <x:c r="E5712" s="1" t="str">
        <x:v>COMPLETE</x:v>
      </x:c>
      <x:c r="F5712" s="1" t="str">
        <x:v>Late delivery</x:v>
      </x:c>
      <x:c r="G5712" s="6" t="n">
        <x:v>5</x:v>
      </x:c>
      <x:c r="H5712" s="6" t="n">
        <x:v>4</x:v>
      </x:c>
      <x:c r="I5712" s="6" t="n">
        <x:f>G5712-H5712</x:f>
        <x:v>1</x:v>
      </x:c>
      <x:c r="J5712" s="6" t="n">
        <x:f>IF(OR(E5712="CANCELED",E5712="SUSPECTED_FRAUD",F5712="Shipping canceled"),0,1)</x:f>
        <x:v>1</x:v>
      </x:c>
      <x:c r="K5712" s="6" t="n">
        <x:f>IF(G5712&gt;H5712,1,0)</x:f>
        <x:v>1</x:v>
      </x:c>
      <x:c r="L5712" s="6" t="n">
        <x:f>J5712*K5712</x:f>
        <x:v>1</x:v>
      </x:c>
    </x:row>
    <x:row r="5713">
      <x:c r="A5713" s="1" t="n">
        <x:v>44866</x:v>
      </x:c>
      <x:c r="B5713" s="5" t="d">
        <x:v>2016-10-16T00:00:00.000Z</x:v>
      </x:c>
      <x:c r="C5713" s="1" t="str">
        <x:v>Standard Class</x:v>
      </x:c>
      <x:c r="D5713" s="1" t="str">
        <x:v>Africa</x:v>
      </x:c>
      <x:c r="E5713" s="1" t="str">
        <x:v>COMPLETE</x:v>
      </x:c>
      <x:c r="F5713" s="1" t="str">
        <x:v>Advance shipping</x:v>
      </x:c>
      <x:c r="G5713" s="6" t="n">
        <x:v>2</x:v>
      </x:c>
      <x:c r="H5713" s="6" t="n">
        <x:v>4</x:v>
      </x:c>
      <x:c r="I5713" s="6" t="n">
        <x:f>G5713-H5713</x:f>
        <x:v>-2</x:v>
      </x:c>
      <x:c r="J5713" s="6" t="n">
        <x:f>IF(OR(E5713="CANCELED",E5713="SUSPECTED_FRAUD",F5713="Shipping canceled"),0,1)</x:f>
        <x:v>1</x:v>
      </x:c>
      <x:c r="K5713" s="6" t="n">
        <x:f>IF(G5713&gt;H5713,1,0)</x:f>
        <x:v>0</x:v>
      </x:c>
      <x:c r="L5713" s="6" t="n">
        <x:f>J5713*K5713</x:f>
        <x:v>0</x:v>
      </x:c>
    </x:row>
    <x:row r="5714">
      <x:c r="A5714" s="1" t="n">
        <x:v>44890</x:v>
      </x:c>
      <x:c r="B5714" s="5" t="d">
        <x:v>2016-10-17T00:00:00.000Z</x:v>
      </x:c>
      <x:c r="C5714" s="1" t="str">
        <x:v>Standard Class</x:v>
      </x:c>
      <x:c r="D5714" s="1" t="str">
        <x:v>Africa</x:v>
      </x:c>
      <x:c r="E5714" s="1" t="str">
        <x:v>PROCESSING</x:v>
      </x:c>
      <x:c r="F5714" s="1" t="str">
        <x:v>Late delivery</x:v>
      </x:c>
      <x:c r="G5714" s="6" t="n">
        <x:v>6</x:v>
      </x:c>
      <x:c r="H5714" s="6" t="n">
        <x:v>4</x:v>
      </x:c>
      <x:c r="I5714" s="6" t="n">
        <x:f>G5714-H5714</x:f>
        <x:v>2</x:v>
      </x:c>
      <x:c r="J5714" s="6" t="n">
        <x:f>IF(OR(E5714="CANCELED",E5714="SUSPECTED_FRAUD",F5714="Shipping canceled"),0,1)</x:f>
        <x:v>1</x:v>
      </x:c>
      <x:c r="K5714" s="6" t="n">
        <x:f>IF(G5714&gt;H5714,1,0)</x:f>
        <x:v>1</x:v>
      </x:c>
      <x:c r="L5714" s="6" t="n">
        <x:f>J5714*K5714</x:f>
        <x:v>1</x:v>
      </x:c>
    </x:row>
    <x:row r="5715">
      <x:c r="A5715" s="1" t="n">
        <x:v>44892</x:v>
      </x:c>
      <x:c r="B5715" s="5" t="d">
        <x:v>2016-10-17T00:00:00.000Z</x:v>
      </x:c>
      <x:c r="C5715" s="1" t="str">
        <x:v>Standard Class</x:v>
      </x:c>
      <x:c r="D5715" s="1" t="str">
        <x:v>Africa</x:v>
      </x:c>
      <x:c r="E5715" s="1" t="str">
        <x:v>COMPLETE</x:v>
      </x:c>
      <x:c r="F5715" s="1" t="str">
        <x:v>Advance shipping</x:v>
      </x:c>
      <x:c r="G5715" s="6" t="n">
        <x:v>3</x:v>
      </x:c>
      <x:c r="H5715" s="6" t="n">
        <x:v>4</x:v>
      </x:c>
      <x:c r="I5715" s="6" t="n">
        <x:f>G5715-H5715</x:f>
        <x:v>-1</x:v>
      </x:c>
      <x:c r="J5715" s="6" t="n">
        <x:f>IF(OR(E5715="CANCELED",E5715="SUSPECTED_FRAUD",F5715="Shipping canceled"),0,1)</x:f>
        <x:v>1</x:v>
      </x:c>
      <x:c r="K5715" s="6" t="n">
        <x:f>IF(G5715&gt;H5715,1,0)</x:f>
        <x:v>0</x:v>
      </x:c>
      <x:c r="L5715" s="6" t="n">
        <x:f>J5715*K5715</x:f>
        <x:v>0</x:v>
      </x:c>
    </x:row>
    <x:row r="5716">
      <x:c r="A5716" s="1" t="n">
        <x:v>44895</x:v>
      </x:c>
      <x:c r="B5716" s="5" t="d">
        <x:v>2016-10-17T00:00:00.000Z</x:v>
      </x:c>
      <x:c r="C5716" s="1" t="str">
        <x:v>Standard Class</x:v>
      </x:c>
      <x:c r="D5716" s="1" t="str">
        <x:v>Africa</x:v>
      </x:c>
      <x:c r="E5716" s="1" t="str">
        <x:v>PENDING</x:v>
      </x:c>
      <x:c r="F5716" s="1" t="str">
        <x:v>Late delivery</x:v>
      </x:c>
      <x:c r="G5716" s="6" t="n">
        <x:v>6</x:v>
      </x:c>
      <x:c r="H5716" s="6" t="n">
        <x:v>4</x:v>
      </x:c>
      <x:c r="I5716" s="6" t="n">
        <x:f>G5716-H5716</x:f>
        <x:v>2</x:v>
      </x:c>
      <x:c r="J5716" s="6" t="n">
        <x:f>IF(OR(E5716="CANCELED",E5716="SUSPECTED_FRAUD",F5716="Shipping canceled"),0,1)</x:f>
        <x:v>1</x:v>
      </x:c>
      <x:c r="K5716" s="6" t="n">
        <x:f>IF(G5716&gt;H5716,1,0)</x:f>
        <x:v>1</x:v>
      </x:c>
      <x:c r="L5716" s="6" t="n">
        <x:f>J5716*K5716</x:f>
        <x:v>1</x:v>
      </x:c>
    </x:row>
    <x:row r="5717">
      <x:c r="A5717" s="1" t="n">
        <x:v>44903</x:v>
      </x:c>
      <x:c r="B5717" s="5" t="d">
        <x:v>2016-10-17T00:00:00.000Z</x:v>
      </x:c>
      <x:c r="C5717" s="1" t="str">
        <x:v>Standard Class</x:v>
      </x:c>
      <x:c r="D5717" s="1" t="str">
        <x:v>Pacific Asia</x:v>
      </x:c>
      <x:c r="E5717" s="1" t="str">
        <x:v>CANCELED</x:v>
      </x:c>
      <x:c r="F5717" s="1" t="str">
        <x:v>Shipping canceled</x:v>
      </x:c>
      <x:c r="G5717" s="6" t="n">
        <x:v>4</x:v>
      </x:c>
      <x:c r="H5717" s="6" t="n">
        <x:v>4</x:v>
      </x:c>
      <x:c r="I5717" s="6" t="n">
        <x:f>G5717-H5717</x:f>
        <x:v>0</x:v>
      </x:c>
      <x:c r="J5717" s="6" t="n">
        <x:f>IF(OR(E5717="CANCELED",E5717="SUSPECTED_FRAUD",F5717="Shipping canceled"),0,1)</x:f>
        <x:v>0</x:v>
      </x:c>
      <x:c r="K5717" s="6" t="n">
        <x:f>IF(G5717&gt;H5717,1,0)</x:f>
        <x:v>0</x:v>
      </x:c>
      <x:c r="L5717" s="6" t="n">
        <x:f>J5717*K5717</x:f>
        <x:v>0</x:v>
      </x:c>
    </x:row>
    <x:row r="5718">
      <x:c r="A5718" s="1" t="n">
        <x:v>44910</x:v>
      </x:c>
      <x:c r="B5718" s="5" t="d">
        <x:v>2016-10-17T00:00:00.000Z</x:v>
      </x:c>
      <x:c r="C5718" s="1" t="str">
        <x:v>First Class</x:v>
      </x:c>
      <x:c r="D5718" s="1" t="str">
        <x:v>USCA</x:v>
      </x:c>
      <x:c r="E5718" s="1" t="str">
        <x:v>COMPLETE</x:v>
      </x:c>
      <x:c r="F5718" s="1" t="str">
        <x:v>Late delivery</x:v>
      </x:c>
      <x:c r="G5718" s="6" t="n">
        <x:v>2</x:v>
      </x:c>
      <x:c r="H5718" s="6" t="n">
        <x:v>1</x:v>
      </x:c>
      <x:c r="I5718" s="6" t="n">
        <x:f>G5718-H5718</x:f>
        <x:v>1</x:v>
      </x:c>
      <x:c r="J5718" s="6" t="n">
        <x:f>IF(OR(E5718="CANCELED",E5718="SUSPECTED_FRAUD",F5718="Shipping canceled"),0,1)</x:f>
        <x:v>1</x:v>
      </x:c>
      <x:c r="K5718" s="6" t="n">
        <x:f>IF(G5718&gt;H5718,1,0)</x:f>
        <x:v>1</x:v>
      </x:c>
      <x:c r="L5718" s="6" t="n">
        <x:f>J5718*K5718</x:f>
        <x:v>1</x:v>
      </x:c>
    </x:row>
    <x:row r="5719">
      <x:c r="A5719" s="1" t="n">
        <x:v>44925</x:v>
      </x:c>
      <x:c r="B5719" s="5" t="d">
        <x:v>2016-10-17T00:00:00.000Z</x:v>
      </x:c>
      <x:c r="C5719" s="1" t="str">
        <x:v>Standard Class</x:v>
      </x:c>
      <x:c r="D5719" s="1" t="str">
        <x:v>Europe</x:v>
      </x:c>
      <x:c r="E5719" s="1" t="str">
        <x:v>CLOSED</x:v>
      </x:c>
      <x:c r="F5719" s="1" t="str">
        <x:v>Late delivery</x:v>
      </x:c>
      <x:c r="G5719" s="6" t="n">
        <x:v>6</x:v>
      </x:c>
      <x:c r="H5719" s="6" t="n">
        <x:v>4</x:v>
      </x:c>
      <x:c r="I5719" s="6" t="n">
        <x:f>G5719-H5719</x:f>
        <x:v>2</x:v>
      </x:c>
      <x:c r="J5719" s="6" t="n">
        <x:f>IF(OR(E5719="CANCELED",E5719="SUSPECTED_FRAUD",F5719="Shipping canceled"),0,1)</x:f>
        <x:v>1</x:v>
      </x:c>
      <x:c r="K5719" s="6" t="n">
        <x:f>IF(G5719&gt;H5719,1,0)</x:f>
        <x:v>1</x:v>
      </x:c>
      <x:c r="L5719" s="6" t="n">
        <x:f>J5719*K5719</x:f>
        <x:v>1</x:v>
      </x:c>
    </x:row>
    <x:row r="5720">
      <x:c r="A5720" s="1" t="n">
        <x:v>44926</x:v>
      </x:c>
      <x:c r="B5720" s="5" t="d">
        <x:v>2016-10-17T00:00:00.000Z</x:v>
      </x:c>
      <x:c r="C5720" s="1" t="str">
        <x:v>Standard Class</x:v>
      </x:c>
      <x:c r="D5720" s="1" t="str">
        <x:v>Europe</x:v>
      </x:c>
      <x:c r="E5720" s="1" t="str">
        <x:v>PROCESSING</x:v>
      </x:c>
      <x:c r="F5720" s="1" t="str">
        <x:v>Advance shipping</x:v>
      </x:c>
      <x:c r="G5720" s="6" t="n">
        <x:v>2</x:v>
      </x:c>
      <x:c r="H5720" s="6" t="n">
        <x:v>4</x:v>
      </x:c>
      <x:c r="I5720" s="6" t="n">
        <x:f>G5720-H5720</x:f>
        <x:v>-2</x:v>
      </x:c>
      <x:c r="J5720" s="6" t="n">
        <x:f>IF(OR(E5720="CANCELED",E5720="SUSPECTED_FRAUD",F5720="Shipping canceled"),0,1)</x:f>
        <x:v>1</x:v>
      </x:c>
      <x:c r="K5720" s="6" t="n">
        <x:f>IF(G5720&gt;H5720,1,0)</x:f>
        <x:v>0</x:v>
      </x:c>
      <x:c r="L5720" s="6" t="n">
        <x:f>J5720*K5720</x:f>
        <x:v>0</x:v>
      </x:c>
    </x:row>
    <x:row r="5721">
      <x:c r="A5721" s="1" t="n">
        <x:v>44928</x:v>
      </x:c>
      <x:c r="B5721" s="5" t="d">
        <x:v>2016-10-17T00:00:00.000Z</x:v>
      </x:c>
      <x:c r="C5721" s="1" t="str">
        <x:v>Standard Class</x:v>
      </x:c>
      <x:c r="D5721" s="1" t="str">
        <x:v>Europe</x:v>
      </x:c>
      <x:c r="E5721" s="1" t="str">
        <x:v>COMPLETE</x:v>
      </x:c>
      <x:c r="F5721" s="1" t="str">
        <x:v>Shipping on time</x:v>
      </x:c>
      <x:c r="G5721" s="6" t="n">
        <x:v>4</x:v>
      </x:c>
      <x:c r="H5721" s="6" t="n">
        <x:v>4</x:v>
      </x:c>
      <x:c r="I5721" s="6" t="n">
        <x:f>G5721-H5721</x:f>
        <x:v>0</x:v>
      </x:c>
      <x:c r="J5721" s="6" t="n">
        <x:f>IF(OR(E5721="CANCELED",E5721="SUSPECTED_FRAUD",F5721="Shipping canceled"),0,1)</x:f>
        <x:v>1</x:v>
      </x:c>
      <x:c r="K5721" s="6" t="n">
        <x:f>IF(G5721&gt;H5721,1,0)</x:f>
        <x:v>0</x:v>
      </x:c>
      <x:c r="L5721" s="6" t="n">
        <x:f>J5721*K5721</x:f>
        <x:v>0</x:v>
      </x:c>
    </x:row>
    <x:row r="5722">
      <x:c r="A5722" s="1" t="n">
        <x:v>44934</x:v>
      </x:c>
      <x:c r="B5722" s="5" t="d">
        <x:v>2016-10-17T00:00:00.000Z</x:v>
      </x:c>
      <x:c r="C5722" s="1" t="str">
        <x:v>Standard Class</x:v>
      </x:c>
      <x:c r="D5722" s="1" t="str">
        <x:v>Africa</x:v>
      </x:c>
      <x:c r="E5722" s="1" t="str">
        <x:v>ON_HOLD</x:v>
      </x:c>
      <x:c r="F5722" s="1" t="str">
        <x:v>Late delivery</x:v>
      </x:c>
      <x:c r="G5722" s="6" t="n">
        <x:v>5</x:v>
      </x:c>
      <x:c r="H5722" s="6" t="n">
        <x:v>4</x:v>
      </x:c>
      <x:c r="I5722" s="6" t="n">
        <x:f>G5722-H5722</x:f>
        <x:v>1</x:v>
      </x:c>
      <x:c r="J5722" s="6" t="n">
        <x:f>IF(OR(E5722="CANCELED",E5722="SUSPECTED_FRAUD",F5722="Shipping canceled"),0,1)</x:f>
        <x:v>1</x:v>
      </x:c>
      <x:c r="K5722" s="6" t="n">
        <x:f>IF(G5722&gt;H5722,1,0)</x:f>
        <x:v>1</x:v>
      </x:c>
      <x:c r="L5722" s="6" t="n">
        <x:f>J5722*K5722</x:f>
        <x:v>1</x:v>
      </x:c>
    </x:row>
    <x:row r="5723">
      <x:c r="A5723" s="1" t="n">
        <x:v>44937</x:v>
      </x:c>
      <x:c r="B5723" s="5" t="d">
        <x:v>2016-10-17T00:00:00.000Z</x:v>
      </x:c>
      <x:c r="C5723" s="1" t="str">
        <x:v>Standard Class</x:v>
      </x:c>
      <x:c r="D5723" s="1" t="str">
        <x:v>Africa</x:v>
      </x:c>
      <x:c r="E5723" s="1" t="str">
        <x:v>COMPLETE</x:v>
      </x:c>
      <x:c r="F5723" s="1" t="str">
        <x:v>Advance shipping</x:v>
      </x:c>
      <x:c r="G5723" s="6" t="n">
        <x:v>3</x:v>
      </x:c>
      <x:c r="H5723" s="6" t="n">
        <x:v>4</x:v>
      </x:c>
      <x:c r="I5723" s="6" t="n">
        <x:f>G5723-H5723</x:f>
        <x:v>-1</x:v>
      </x:c>
      <x:c r="J5723" s="6" t="n">
        <x:f>IF(OR(E5723="CANCELED",E5723="SUSPECTED_FRAUD",F5723="Shipping canceled"),0,1)</x:f>
        <x:v>1</x:v>
      </x:c>
      <x:c r="K5723" s="6" t="n">
        <x:f>IF(G5723&gt;H5723,1,0)</x:f>
        <x:v>0</x:v>
      </x:c>
      <x:c r="L5723" s="6" t="n">
        <x:f>J5723*K5723</x:f>
        <x:v>0</x:v>
      </x:c>
    </x:row>
    <x:row r="5724">
      <x:c r="A5724" s="1" t="n">
        <x:v>44938</x:v>
      </x:c>
      <x:c r="B5724" s="5" t="d">
        <x:v>2016-10-17T00:00:00.000Z</x:v>
      </x:c>
      <x:c r="C5724" s="1" t="str">
        <x:v>Standard Class</x:v>
      </x:c>
      <x:c r="D5724" s="1" t="str">
        <x:v>Africa</x:v>
      </x:c>
      <x:c r="E5724" s="1" t="str">
        <x:v>PROCESSING</x:v>
      </x:c>
      <x:c r="F5724" s="1" t="str">
        <x:v>Shipping on time</x:v>
      </x:c>
      <x:c r="G5724" s="6" t="n">
        <x:v>4</x:v>
      </x:c>
      <x:c r="H5724" s="6" t="n">
        <x:v>4</x:v>
      </x:c>
      <x:c r="I5724" s="6" t="n">
        <x:f>G5724-H5724</x:f>
        <x:v>0</x:v>
      </x:c>
      <x:c r="J5724" s="6" t="n">
        <x:f>IF(OR(E5724="CANCELED",E5724="SUSPECTED_FRAUD",F5724="Shipping canceled"),0,1)</x:f>
        <x:v>1</x:v>
      </x:c>
      <x:c r="K5724" s="6" t="n">
        <x:f>IF(G5724&gt;H5724,1,0)</x:f>
        <x:v>0</x:v>
      </x:c>
      <x:c r="L5724" s="6" t="n">
        <x:f>J5724*K5724</x:f>
        <x:v>0</x:v>
      </x:c>
    </x:row>
    <x:row r="5725">
      <x:c r="A5725" s="1" t="n">
        <x:v>44964</x:v>
      </x:c>
      <x:c r="B5725" s="5" t="d">
        <x:v>2016-10-18T00:00:00.000Z</x:v>
      </x:c>
      <x:c r="C5725" s="1" t="str">
        <x:v>First Class</x:v>
      </x:c>
      <x:c r="D5725" s="1" t="str">
        <x:v>Europe</x:v>
      </x:c>
      <x:c r="E5725" s="1" t="str">
        <x:v>ON_HOLD</x:v>
      </x:c>
      <x:c r="F5725" s="1" t="str">
        <x:v>Late delivery</x:v>
      </x:c>
      <x:c r="G5725" s="6" t="n">
        <x:v>2</x:v>
      </x:c>
      <x:c r="H5725" s="6" t="n">
        <x:v>1</x:v>
      </x:c>
      <x:c r="I5725" s="6" t="n">
        <x:f>G5725-H5725</x:f>
        <x:v>1</x:v>
      </x:c>
      <x:c r="J5725" s="6" t="n">
        <x:f>IF(OR(E5725="CANCELED",E5725="SUSPECTED_FRAUD",F5725="Shipping canceled"),0,1)</x:f>
        <x:v>1</x:v>
      </x:c>
      <x:c r="K5725" s="6" t="n">
        <x:f>IF(G5725&gt;H5725,1,0)</x:f>
        <x:v>1</x:v>
      </x:c>
      <x:c r="L5725" s="6" t="n">
        <x:f>J5725*K5725</x:f>
        <x:v>1</x:v>
      </x:c>
    </x:row>
    <x:row r="5726">
      <x:c r="A5726" s="1" t="n">
        <x:v>44981</x:v>
      </x:c>
      <x:c r="B5726" s="5" t="d">
        <x:v>2016-10-18T00:00:00.000Z</x:v>
      </x:c>
      <x:c r="C5726" s="1" t="str">
        <x:v>Standard Class</x:v>
      </x:c>
      <x:c r="D5726" s="1" t="str">
        <x:v>Africa</x:v>
      </x:c>
      <x:c r="E5726" s="1" t="str">
        <x:v>ON_HOLD</x:v>
      </x:c>
      <x:c r="F5726" s="1" t="str">
        <x:v>Advance shipping</x:v>
      </x:c>
      <x:c r="G5726" s="6" t="n">
        <x:v>2</x:v>
      </x:c>
      <x:c r="H5726" s="6" t="n">
        <x:v>4</x:v>
      </x:c>
      <x:c r="I5726" s="6" t="n">
        <x:f>G5726-H5726</x:f>
        <x:v>-2</x:v>
      </x:c>
      <x:c r="J5726" s="6" t="n">
        <x:f>IF(OR(E5726="CANCELED",E5726="SUSPECTED_FRAUD",F5726="Shipping canceled"),0,1)</x:f>
        <x:v>1</x:v>
      </x:c>
      <x:c r="K5726" s="6" t="n">
        <x:f>IF(G5726&gt;H5726,1,0)</x:f>
        <x:v>0</x:v>
      </x:c>
      <x:c r="L5726" s="6" t="n">
        <x:f>J5726*K5726</x:f>
        <x:v>0</x:v>
      </x:c>
    </x:row>
    <x:row r="5727">
      <x:c r="A5727" s="1" t="n">
        <x:v>44983</x:v>
      </x:c>
      <x:c r="B5727" s="5" t="d">
        <x:v>2016-10-18T00:00:00.000Z</x:v>
      </x:c>
      <x:c r="C5727" s="1" t="str">
        <x:v>Standard Class</x:v>
      </x:c>
      <x:c r="D5727" s="1" t="str">
        <x:v>Africa</x:v>
      </x:c>
      <x:c r="E5727" s="1" t="str">
        <x:v>COMPLETE</x:v>
      </x:c>
      <x:c r="F5727" s="1" t="str">
        <x:v>Shipping on time</x:v>
      </x:c>
      <x:c r="G5727" s="6" t="n">
        <x:v>4</x:v>
      </x:c>
      <x:c r="H5727" s="6" t="n">
        <x:v>4</x:v>
      </x:c>
      <x:c r="I5727" s="6" t="n">
        <x:f>G5727-H5727</x:f>
        <x:v>0</x:v>
      </x:c>
      <x:c r="J5727" s="6" t="n">
        <x:f>IF(OR(E5727="CANCELED",E5727="SUSPECTED_FRAUD",F5727="Shipping canceled"),0,1)</x:f>
        <x:v>1</x:v>
      </x:c>
      <x:c r="K5727" s="6" t="n">
        <x:f>IF(G5727&gt;H5727,1,0)</x:f>
        <x:v>0</x:v>
      </x:c>
      <x:c r="L5727" s="6" t="n">
        <x:f>J5727*K5727</x:f>
        <x:v>0</x:v>
      </x:c>
    </x:row>
    <x:row r="5728">
      <x:c r="A5728" s="1" t="n">
        <x:v>45019</x:v>
      </x:c>
      <x:c r="B5728" s="5" t="d">
        <x:v>2016-10-19T00:00:00.000Z</x:v>
      </x:c>
      <x:c r="C5728" s="1" t="str">
        <x:v>Second Class</x:v>
      </x:c>
      <x:c r="D5728" s="1" t="str">
        <x:v>Europe</x:v>
      </x:c>
      <x:c r="E5728" s="1" t="str">
        <x:v>COMPLETE</x:v>
      </x:c>
      <x:c r="F5728" s="1" t="str">
        <x:v>Late delivery</x:v>
      </x:c>
      <x:c r="G5728" s="6" t="n">
        <x:v>5</x:v>
      </x:c>
      <x:c r="H5728" s="6" t="n">
        <x:v>2</x:v>
      </x:c>
      <x:c r="I5728" s="6" t="n">
        <x:f>G5728-H5728</x:f>
        <x:v>3</x:v>
      </x:c>
      <x:c r="J5728" s="6" t="n">
        <x:f>IF(OR(E5728="CANCELED",E5728="SUSPECTED_FRAUD",F5728="Shipping canceled"),0,1)</x:f>
        <x:v>1</x:v>
      </x:c>
      <x:c r="K5728" s="6" t="n">
        <x:f>IF(G5728&gt;H5728,1,0)</x:f>
        <x:v>1</x:v>
      </x:c>
      <x:c r="L5728" s="6" t="n">
        <x:f>J5728*K5728</x:f>
        <x:v>1</x:v>
      </x:c>
    </x:row>
    <x:row r="5729">
      <x:c r="A5729" s="1" t="n">
        <x:v>45027</x:v>
      </x:c>
      <x:c r="B5729" s="5" t="d">
        <x:v>2016-10-19T00:00:00.000Z</x:v>
      </x:c>
      <x:c r="C5729" s="1" t="str">
        <x:v>Standard Class</x:v>
      </x:c>
      <x:c r="D5729" s="1" t="str">
        <x:v>Africa</x:v>
      </x:c>
      <x:c r="E5729" s="1" t="str">
        <x:v>COMPLETE</x:v>
      </x:c>
      <x:c r="F5729" s="1" t="str">
        <x:v>Advance shipping</x:v>
      </x:c>
      <x:c r="G5729" s="6" t="n">
        <x:v>3</x:v>
      </x:c>
      <x:c r="H5729" s="6" t="n">
        <x:v>4</x:v>
      </x:c>
      <x:c r="I5729" s="6" t="n">
        <x:f>G5729-H5729</x:f>
        <x:v>-1</x:v>
      </x:c>
      <x:c r="J5729" s="6" t="n">
        <x:f>IF(OR(E5729="CANCELED",E5729="SUSPECTED_FRAUD",F5729="Shipping canceled"),0,1)</x:f>
        <x:v>1</x:v>
      </x:c>
      <x:c r="K5729" s="6" t="n">
        <x:f>IF(G5729&gt;H5729,1,0)</x:f>
        <x:v>0</x:v>
      </x:c>
      <x:c r="L5729" s="6" t="n">
        <x:f>J5729*K5729</x:f>
        <x:v>0</x:v>
      </x:c>
    </x:row>
    <x:row r="5730">
      <x:c r="A5730" s="1" t="n">
        <x:v>45036</x:v>
      </x:c>
      <x:c r="B5730" s="5" t="d">
        <x:v>2016-10-19T00:00:00.000Z</x:v>
      </x:c>
      <x:c r="C5730" s="1" t="str">
        <x:v>Standard Class</x:v>
      </x:c>
      <x:c r="D5730" s="1" t="str">
        <x:v>Pacific Asia</x:v>
      </x:c>
      <x:c r="E5730" s="1" t="str">
        <x:v>PROCESSING</x:v>
      </x:c>
      <x:c r="F5730" s="1" t="str">
        <x:v>Advance shipping</x:v>
      </x:c>
      <x:c r="G5730" s="6" t="n">
        <x:v>2</x:v>
      </x:c>
      <x:c r="H5730" s="6" t="n">
        <x:v>4</x:v>
      </x:c>
      <x:c r="I5730" s="6" t="n">
        <x:f>G5730-H5730</x:f>
        <x:v>-2</x:v>
      </x:c>
      <x:c r="J5730" s="6" t="n">
        <x:f>IF(OR(E5730="CANCELED",E5730="SUSPECTED_FRAUD",F5730="Shipping canceled"),0,1)</x:f>
        <x:v>1</x:v>
      </x:c>
      <x:c r="K5730" s="6" t="n">
        <x:f>IF(G5730&gt;H5730,1,0)</x:f>
        <x:v>0</x:v>
      </x:c>
      <x:c r="L5730" s="6" t="n">
        <x:f>J5730*K5730</x:f>
        <x:v>0</x:v>
      </x:c>
    </x:row>
    <x:row r="5731">
      <x:c r="A5731" s="1" t="n">
        <x:v>45051</x:v>
      </x:c>
      <x:c r="B5731" s="5" t="d">
        <x:v>2016-10-19T00:00:00.000Z</x:v>
      </x:c>
      <x:c r="C5731" s="1" t="str">
        <x:v>Second Class</x:v>
      </x:c>
      <x:c r="D5731" s="1" t="str">
        <x:v>Europe</x:v>
      </x:c>
      <x:c r="E5731" s="1" t="str">
        <x:v>ON_HOLD</x:v>
      </x:c>
      <x:c r="F5731" s="1" t="str">
        <x:v>Shipping on time</x:v>
      </x:c>
      <x:c r="G5731" s="6" t="n">
        <x:v>2</x:v>
      </x:c>
      <x:c r="H5731" s="6" t="n">
        <x:v>2</x:v>
      </x:c>
      <x:c r="I5731" s="6" t="n">
        <x:f>G5731-H5731</x:f>
        <x:v>0</x:v>
      </x:c>
      <x:c r="J5731" s="6" t="n">
        <x:f>IF(OR(E5731="CANCELED",E5731="SUSPECTED_FRAUD",F5731="Shipping canceled"),0,1)</x:f>
        <x:v>1</x:v>
      </x:c>
      <x:c r="K5731" s="6" t="n">
        <x:f>IF(G5731&gt;H5731,1,0)</x:f>
        <x:v>0</x:v>
      </x:c>
      <x:c r="L5731" s="6" t="n">
        <x:f>J5731*K5731</x:f>
        <x:v>0</x:v>
      </x:c>
    </x:row>
    <x:row r="5732">
      <x:c r="A5732" s="1" t="n">
        <x:v>45052</x:v>
      </x:c>
      <x:c r="B5732" s="5" t="d">
        <x:v>2016-10-19T00:00:00.000Z</x:v>
      </x:c>
      <x:c r="C5732" s="1" t="str">
        <x:v>Standard Class</x:v>
      </x:c>
      <x:c r="D5732" s="1" t="str">
        <x:v>Africa</x:v>
      </x:c>
      <x:c r="E5732" s="1" t="str">
        <x:v>COMPLETE</x:v>
      </x:c>
      <x:c r="F5732" s="1" t="str">
        <x:v>Advance shipping</x:v>
      </x:c>
      <x:c r="G5732" s="6" t="n">
        <x:v>3</x:v>
      </x:c>
      <x:c r="H5732" s="6" t="n">
        <x:v>4</x:v>
      </x:c>
      <x:c r="I5732" s="6" t="n">
        <x:f>G5732-H5732</x:f>
        <x:v>-1</x:v>
      </x:c>
      <x:c r="J5732" s="6" t="n">
        <x:f>IF(OR(E5732="CANCELED",E5732="SUSPECTED_FRAUD",F5732="Shipping canceled"),0,1)</x:f>
        <x:v>1</x:v>
      </x:c>
      <x:c r="K5732" s="6" t="n">
        <x:f>IF(G5732&gt;H5732,1,0)</x:f>
        <x:v>0</x:v>
      </x:c>
      <x:c r="L5732" s="6" t="n">
        <x:f>J5732*K5732</x:f>
        <x:v>0</x:v>
      </x:c>
    </x:row>
    <x:row r="5733">
      <x:c r="A5733" s="1" t="n">
        <x:v>45057</x:v>
      </x:c>
      <x:c r="B5733" s="5" t="d">
        <x:v>2016-10-19T00:00:00.000Z</x:v>
      </x:c>
      <x:c r="C5733" s="1" t="str">
        <x:v>Standard Class</x:v>
      </x:c>
      <x:c r="D5733" s="1" t="str">
        <x:v>Africa</x:v>
      </x:c>
      <x:c r="E5733" s="1" t="str">
        <x:v>COMPLETE</x:v>
      </x:c>
      <x:c r="F5733" s="1" t="str">
        <x:v>Advance shipping</x:v>
      </x:c>
      <x:c r="G5733" s="6" t="n">
        <x:v>3</x:v>
      </x:c>
      <x:c r="H5733" s="6" t="n">
        <x:v>4</x:v>
      </x:c>
      <x:c r="I5733" s="6" t="n">
        <x:f>G5733-H5733</x:f>
        <x:v>-1</x:v>
      </x:c>
      <x:c r="J5733" s="6" t="n">
        <x:f>IF(OR(E5733="CANCELED",E5733="SUSPECTED_FRAUD",F5733="Shipping canceled"),0,1)</x:f>
        <x:v>1</x:v>
      </x:c>
      <x:c r="K5733" s="6" t="n">
        <x:f>IF(G5733&gt;H5733,1,0)</x:f>
        <x:v>0</x:v>
      </x:c>
      <x:c r="L5733" s="6" t="n">
        <x:f>J5733*K5733</x:f>
        <x:v>0</x:v>
      </x:c>
    </x:row>
    <x:row r="5734">
      <x:c r="A5734" s="1" t="n">
        <x:v>45059</x:v>
      </x:c>
      <x:c r="B5734" s="5" t="d">
        <x:v>2016-10-19T00:00:00.000Z</x:v>
      </x:c>
      <x:c r="C5734" s="1" t="str">
        <x:v>Standard Class</x:v>
      </x:c>
      <x:c r="D5734" s="1" t="str">
        <x:v>Europe</x:v>
      </x:c>
      <x:c r="E5734" s="1" t="str">
        <x:v>PENDING</x:v>
      </x:c>
      <x:c r="F5734" s="1" t="str">
        <x:v>Late delivery</x:v>
      </x:c>
      <x:c r="G5734" s="6" t="n">
        <x:v>5</x:v>
      </x:c>
      <x:c r="H5734" s="6" t="n">
        <x:v>4</x:v>
      </x:c>
      <x:c r="I5734" s="6" t="n">
        <x:f>G5734-H5734</x:f>
        <x:v>1</x:v>
      </x:c>
      <x:c r="J5734" s="6" t="n">
        <x:f>IF(OR(E5734="CANCELED",E5734="SUSPECTED_FRAUD",F5734="Shipping canceled"),0,1)</x:f>
        <x:v>1</x:v>
      </x:c>
      <x:c r="K5734" s="6" t="n">
        <x:f>IF(G5734&gt;H5734,1,0)</x:f>
        <x:v>1</x:v>
      </x:c>
      <x:c r="L5734" s="6" t="n">
        <x:f>J5734*K5734</x:f>
        <x:v>1</x:v>
      </x:c>
    </x:row>
    <x:row r="5735">
      <x:c r="A5735" s="1" t="n">
        <x:v>45088</x:v>
      </x:c>
      <x:c r="B5735" s="5" t="d">
        <x:v>2016-10-20T00:00:00.000Z</x:v>
      </x:c>
      <x:c r="C5735" s="1" t="str">
        <x:v>Standard Class</x:v>
      </x:c>
      <x:c r="D5735" s="1" t="str">
        <x:v>Africa</x:v>
      </x:c>
      <x:c r="E5735" s="1" t="str">
        <x:v>PENDING</x:v>
      </x:c>
      <x:c r="F5735" s="1" t="str">
        <x:v>Shipping on time</x:v>
      </x:c>
      <x:c r="G5735" s="6" t="n">
        <x:v>4</x:v>
      </x:c>
      <x:c r="H5735" s="6" t="n">
        <x:v>4</x:v>
      </x:c>
      <x:c r="I5735" s="6" t="n">
        <x:f>G5735-H5735</x:f>
        <x:v>0</x:v>
      </x:c>
      <x:c r="J5735" s="6" t="n">
        <x:f>IF(OR(E5735="CANCELED",E5735="SUSPECTED_FRAUD",F5735="Shipping canceled"),0,1)</x:f>
        <x:v>1</x:v>
      </x:c>
      <x:c r="K5735" s="6" t="n">
        <x:f>IF(G5735&gt;H5735,1,0)</x:f>
        <x:v>0</x:v>
      </x:c>
      <x:c r="L5735" s="6" t="n">
        <x:f>J5735*K5735</x:f>
        <x:v>0</x:v>
      </x:c>
    </x:row>
    <x:row r="5736">
      <x:c r="A5736" s="1" t="n">
        <x:v>45091</x:v>
      </x:c>
      <x:c r="B5736" s="5" t="d">
        <x:v>2016-10-20T00:00:00.000Z</x:v>
      </x:c>
      <x:c r="C5736" s="1" t="str">
        <x:v>Second Class</x:v>
      </x:c>
      <x:c r="D5736" s="1" t="str">
        <x:v>Europe</x:v>
      </x:c>
      <x:c r="E5736" s="1" t="str">
        <x:v>PROCESSING</x:v>
      </x:c>
      <x:c r="F5736" s="1" t="str">
        <x:v>Shipping on time</x:v>
      </x:c>
      <x:c r="G5736" s="6" t="n">
        <x:v>2</x:v>
      </x:c>
      <x:c r="H5736" s="6" t="n">
        <x:v>2</x:v>
      </x:c>
      <x:c r="I5736" s="6" t="n">
        <x:f>G5736-H5736</x:f>
        <x:v>0</x:v>
      </x:c>
      <x:c r="J5736" s="6" t="n">
        <x:f>IF(OR(E5736="CANCELED",E5736="SUSPECTED_FRAUD",F5736="Shipping canceled"),0,1)</x:f>
        <x:v>1</x:v>
      </x:c>
      <x:c r="K5736" s="6" t="n">
        <x:f>IF(G5736&gt;H5736,1,0)</x:f>
        <x:v>0</x:v>
      </x:c>
      <x:c r="L5736" s="6" t="n">
        <x:f>J5736*K5736</x:f>
        <x:v>0</x:v>
      </x:c>
    </x:row>
    <x:row r="5737">
      <x:c r="A5737" s="1" t="n">
        <x:v>45099</x:v>
      </x:c>
      <x:c r="B5737" s="5" t="d">
        <x:v>2016-10-20T00:00:00.000Z</x:v>
      </x:c>
      <x:c r="C5737" s="1" t="str">
        <x:v>First Class</x:v>
      </x:c>
      <x:c r="D5737" s="1" t="str">
        <x:v>Africa</x:v>
      </x:c>
      <x:c r="E5737" s="1" t="str">
        <x:v>PENDING_PAYMENT</x:v>
      </x:c>
      <x:c r="F5737" s="1" t="str">
        <x:v>Late delivery</x:v>
      </x:c>
      <x:c r="G5737" s="6" t="n">
        <x:v>2</x:v>
      </x:c>
      <x:c r="H5737" s="6" t="n">
        <x:v>1</x:v>
      </x:c>
      <x:c r="I5737" s="6" t="n">
        <x:f>G5737-H5737</x:f>
        <x:v>1</x:v>
      </x:c>
      <x:c r="J5737" s="6" t="n">
        <x:f>IF(OR(E5737="CANCELED",E5737="SUSPECTED_FRAUD",F5737="Shipping canceled"),0,1)</x:f>
        <x:v>1</x:v>
      </x:c>
      <x:c r="K5737" s="6" t="n">
        <x:f>IF(G5737&gt;H5737,1,0)</x:f>
        <x:v>1</x:v>
      </x:c>
      <x:c r="L5737" s="6" t="n">
        <x:f>J5737*K5737</x:f>
        <x:v>1</x:v>
      </x:c>
    </x:row>
    <x:row r="5738">
      <x:c r="A5738" s="1" t="n">
        <x:v>45112</x:v>
      </x:c>
      <x:c r="B5738" s="5" t="d">
        <x:v>2016-10-20T00:00:00.000Z</x:v>
      </x:c>
      <x:c r="C5738" s="1" t="str">
        <x:v>Standard Class</x:v>
      </x:c>
      <x:c r="D5738" s="1" t="str">
        <x:v>Africa</x:v>
      </x:c>
      <x:c r="E5738" s="1" t="str">
        <x:v>COMPLETE</x:v>
      </x:c>
      <x:c r="F5738" s="1" t="str">
        <x:v>Advance shipping</x:v>
      </x:c>
      <x:c r="G5738" s="6" t="n">
        <x:v>3</x:v>
      </x:c>
      <x:c r="H5738" s="6" t="n">
        <x:v>4</x:v>
      </x:c>
      <x:c r="I5738" s="6" t="n">
        <x:f>G5738-H5738</x:f>
        <x:v>-1</x:v>
      </x:c>
      <x:c r="J5738" s="6" t="n">
        <x:f>IF(OR(E5738="CANCELED",E5738="SUSPECTED_FRAUD",F5738="Shipping canceled"),0,1)</x:f>
        <x:v>1</x:v>
      </x:c>
      <x:c r="K5738" s="6" t="n">
        <x:f>IF(G5738&gt;H5738,1,0)</x:f>
        <x:v>0</x:v>
      </x:c>
      <x:c r="L5738" s="6" t="n">
        <x:f>J5738*K5738</x:f>
        <x:v>0</x:v>
      </x:c>
    </x:row>
    <x:row r="5739">
      <x:c r="A5739" s="1" t="n">
        <x:v>45116</x:v>
      </x:c>
      <x:c r="B5739" s="5" t="d">
        <x:v>2016-10-20T00:00:00.000Z</x:v>
      </x:c>
      <x:c r="C5739" s="1" t="str">
        <x:v>Second Class</x:v>
      </x:c>
      <x:c r="D5739" s="1" t="str">
        <x:v>Africa</x:v>
      </x:c>
      <x:c r="E5739" s="1" t="str">
        <x:v>PENDING</x:v>
      </x:c>
      <x:c r="F5739" s="1" t="str">
        <x:v>Shipping on time</x:v>
      </x:c>
      <x:c r="G5739" s="6" t="n">
        <x:v>2</x:v>
      </x:c>
      <x:c r="H5739" s="6" t="n">
        <x:v>2</x:v>
      </x:c>
      <x:c r="I5739" s="6" t="n">
        <x:f>G5739-H5739</x:f>
        <x:v>0</x:v>
      </x:c>
      <x:c r="J5739" s="6" t="n">
        <x:f>IF(OR(E5739="CANCELED",E5739="SUSPECTED_FRAUD",F5739="Shipping canceled"),0,1)</x:f>
        <x:v>1</x:v>
      </x:c>
      <x:c r="K5739" s="6" t="n">
        <x:f>IF(G5739&gt;H5739,1,0)</x:f>
        <x:v>0</x:v>
      </x:c>
      <x:c r="L5739" s="6" t="n">
        <x:f>J5739*K5739</x:f>
        <x:v>0</x:v>
      </x:c>
    </x:row>
    <x:row r="5740">
      <x:c r="A5740" s="1" t="n">
        <x:v>45126</x:v>
      </x:c>
      <x:c r="B5740" s="5" t="d">
        <x:v>2016-10-20T00:00:00.000Z</x:v>
      </x:c>
      <x:c r="C5740" s="1" t="str">
        <x:v>Standard Class</x:v>
      </x:c>
      <x:c r="D5740" s="1" t="str">
        <x:v>Pacific Asia</x:v>
      </x:c>
      <x:c r="E5740" s="1" t="str">
        <x:v>PENDING</x:v>
      </x:c>
      <x:c r="F5740" s="1" t="str">
        <x:v>Advance shipping</x:v>
      </x:c>
      <x:c r="G5740" s="6" t="n">
        <x:v>2</x:v>
      </x:c>
      <x:c r="H5740" s="6" t="n">
        <x:v>4</x:v>
      </x:c>
      <x:c r="I5740" s="6" t="n">
        <x:f>G5740-H5740</x:f>
        <x:v>-2</x:v>
      </x:c>
      <x:c r="J5740" s="6" t="n">
        <x:f>IF(OR(E5740="CANCELED",E5740="SUSPECTED_FRAUD",F5740="Shipping canceled"),0,1)</x:f>
        <x:v>1</x:v>
      </x:c>
      <x:c r="K5740" s="6" t="n">
        <x:f>IF(G5740&gt;H5740,1,0)</x:f>
        <x:v>0</x:v>
      </x:c>
      <x:c r="L5740" s="6" t="n">
        <x:f>J5740*K5740</x:f>
        <x:v>0</x:v>
      </x:c>
    </x:row>
    <x:row r="5741">
      <x:c r="A5741" s="1" t="n">
        <x:v>45132</x:v>
      </x:c>
      <x:c r="B5741" s="5" t="d">
        <x:v>2016-10-20T00:00:00.000Z</x:v>
      </x:c>
      <x:c r="C5741" s="1" t="str">
        <x:v>Standard Class</x:v>
      </x:c>
      <x:c r="D5741" s="1" t="str">
        <x:v>Europe</x:v>
      </x:c>
      <x:c r="E5741" s="1" t="str">
        <x:v>COMPLETE</x:v>
      </x:c>
      <x:c r="F5741" s="1" t="str">
        <x:v>Advance shipping</x:v>
      </x:c>
      <x:c r="G5741" s="6" t="n">
        <x:v>3</x:v>
      </x:c>
      <x:c r="H5741" s="6" t="n">
        <x:v>4</x:v>
      </x:c>
      <x:c r="I5741" s="6" t="n">
        <x:f>G5741-H5741</x:f>
        <x:v>-1</x:v>
      </x:c>
      <x:c r="J5741" s="6" t="n">
        <x:f>IF(OR(E5741="CANCELED",E5741="SUSPECTED_FRAUD",F5741="Shipping canceled"),0,1)</x:f>
        <x:v>1</x:v>
      </x:c>
      <x:c r="K5741" s="6" t="n">
        <x:f>IF(G5741&gt;H5741,1,0)</x:f>
        <x:v>0</x:v>
      </x:c>
      <x:c r="L5741" s="6" t="n">
        <x:f>J5741*K5741</x:f>
        <x:v>0</x:v>
      </x:c>
    </x:row>
    <x:row r="5742">
      <x:c r="A5742" s="1" t="n">
        <x:v>45134</x:v>
      </x:c>
      <x:c r="B5742" s="5" t="d">
        <x:v>2016-10-20T00:00:00.000Z</x:v>
      </x:c>
      <x:c r="C5742" s="1" t="str">
        <x:v>Standard Class</x:v>
      </x:c>
      <x:c r="D5742" s="1" t="str">
        <x:v>Europe</x:v>
      </x:c>
      <x:c r="E5742" s="1" t="str">
        <x:v>COMPLETE</x:v>
      </x:c>
      <x:c r="F5742" s="1" t="str">
        <x:v>Late delivery</x:v>
      </x:c>
      <x:c r="G5742" s="6" t="n">
        <x:v>5</x:v>
      </x:c>
      <x:c r="H5742" s="6" t="n">
        <x:v>4</x:v>
      </x:c>
      <x:c r="I5742" s="6" t="n">
        <x:f>G5742-H5742</x:f>
        <x:v>1</x:v>
      </x:c>
      <x:c r="J5742" s="6" t="n">
        <x:f>IF(OR(E5742="CANCELED",E5742="SUSPECTED_FRAUD",F5742="Shipping canceled"),0,1)</x:f>
        <x:v>1</x:v>
      </x:c>
      <x:c r="K5742" s="6" t="n">
        <x:f>IF(G5742&gt;H5742,1,0)</x:f>
        <x:v>1</x:v>
      </x:c>
      <x:c r="L5742" s="6" t="n">
        <x:f>J5742*K5742</x:f>
        <x:v>1</x:v>
      </x:c>
    </x:row>
    <x:row r="5743">
      <x:c r="A5743" s="1" t="n">
        <x:v>45138</x:v>
      </x:c>
      <x:c r="B5743" s="5" t="d">
        <x:v>2016-10-20T00:00:00.000Z</x:v>
      </x:c>
      <x:c r="C5743" s="1" t="str">
        <x:v>Standard Class</x:v>
      </x:c>
      <x:c r="D5743" s="1" t="str">
        <x:v>Africa</x:v>
      </x:c>
      <x:c r="E5743" s="1" t="str">
        <x:v>COMPLETE</x:v>
      </x:c>
      <x:c r="F5743" s="1" t="str">
        <x:v>Shipping on time</x:v>
      </x:c>
      <x:c r="G5743" s="6" t="n">
        <x:v>4</x:v>
      </x:c>
      <x:c r="H5743" s="6" t="n">
        <x:v>4</x:v>
      </x:c>
      <x:c r="I5743" s="6" t="n">
        <x:f>G5743-H5743</x:f>
        <x:v>0</x:v>
      </x:c>
      <x:c r="J5743" s="6" t="n">
        <x:f>IF(OR(E5743="CANCELED",E5743="SUSPECTED_FRAUD",F5743="Shipping canceled"),0,1)</x:f>
        <x:v>1</x:v>
      </x:c>
      <x:c r="K5743" s="6" t="n">
        <x:f>IF(G5743&gt;H5743,1,0)</x:f>
        <x:v>0</x:v>
      </x:c>
      <x:c r="L5743" s="6" t="n">
        <x:f>J5743*K5743</x:f>
        <x:v>0</x:v>
      </x:c>
    </x:row>
    <x:row r="5744">
      <x:c r="A5744" s="1" t="n">
        <x:v>45139</x:v>
      </x:c>
      <x:c r="B5744" s="5" t="d">
        <x:v>2016-10-20T00:00:00.000Z</x:v>
      </x:c>
      <x:c r="C5744" s="1" t="str">
        <x:v>Standard Class</x:v>
      </x:c>
      <x:c r="D5744" s="1" t="str">
        <x:v>Europe</x:v>
      </x:c>
      <x:c r="E5744" s="1" t="str">
        <x:v>CLOSED</x:v>
      </x:c>
      <x:c r="F5744" s="1" t="str">
        <x:v>Late delivery</x:v>
      </x:c>
      <x:c r="G5744" s="6" t="n">
        <x:v>5</x:v>
      </x:c>
      <x:c r="H5744" s="6" t="n">
        <x:v>4</x:v>
      </x:c>
      <x:c r="I5744" s="6" t="n">
        <x:f>G5744-H5744</x:f>
        <x:v>1</x:v>
      </x:c>
      <x:c r="J5744" s="6" t="n">
        <x:f>IF(OR(E5744="CANCELED",E5744="SUSPECTED_FRAUD",F5744="Shipping canceled"),0,1)</x:f>
        <x:v>1</x:v>
      </x:c>
      <x:c r="K5744" s="6" t="n">
        <x:f>IF(G5744&gt;H5744,1,0)</x:f>
        <x:v>1</x:v>
      </x:c>
      <x:c r="L5744" s="6" t="n">
        <x:f>J5744*K5744</x:f>
        <x:v>1</x:v>
      </x:c>
    </x:row>
    <x:row r="5745">
      <x:c r="A5745" s="1" t="n">
        <x:v>45162</x:v>
      </x:c>
      <x:c r="B5745" s="5" t="d">
        <x:v>2016-10-21T00:00:00.000Z</x:v>
      </x:c>
      <x:c r="C5745" s="1" t="str">
        <x:v>Second Class</x:v>
      </x:c>
      <x:c r="D5745" s="1" t="str">
        <x:v>USCA</x:v>
      </x:c>
      <x:c r="E5745" s="1" t="str">
        <x:v>CLOSED</x:v>
      </x:c>
      <x:c r="F5745" s="1" t="str">
        <x:v>Late delivery</x:v>
      </x:c>
      <x:c r="G5745" s="6" t="n">
        <x:v>3</x:v>
      </x:c>
      <x:c r="H5745" s="6" t="n">
        <x:v>2</x:v>
      </x:c>
      <x:c r="I5745" s="6" t="n">
        <x:f>G5745-H5745</x:f>
        <x:v>1</x:v>
      </x:c>
      <x:c r="J5745" s="6" t="n">
        <x:f>IF(OR(E5745="CANCELED",E5745="SUSPECTED_FRAUD",F5745="Shipping canceled"),0,1)</x:f>
        <x:v>1</x:v>
      </x:c>
      <x:c r="K5745" s="6" t="n">
        <x:f>IF(G5745&gt;H5745,1,0)</x:f>
        <x:v>1</x:v>
      </x:c>
      <x:c r="L5745" s="6" t="n">
        <x:f>J5745*K5745</x:f>
        <x:v>1</x:v>
      </x:c>
    </x:row>
    <x:row r="5746">
      <x:c r="A5746" s="1" t="n">
        <x:v>45166</x:v>
      </x:c>
      <x:c r="B5746" s="5" t="d">
        <x:v>2016-10-21T00:00:00.000Z</x:v>
      </x:c>
      <x:c r="C5746" s="1" t="str">
        <x:v>Second Class</x:v>
      </x:c>
      <x:c r="D5746" s="1" t="str">
        <x:v>Africa</x:v>
      </x:c>
      <x:c r="E5746" s="1" t="str">
        <x:v>PROCESSING</x:v>
      </x:c>
      <x:c r="F5746" s="1" t="str">
        <x:v>Shipping on time</x:v>
      </x:c>
      <x:c r="G5746" s="6" t="n">
        <x:v>2</x:v>
      </x:c>
      <x:c r="H5746" s="6" t="n">
        <x:v>2</x:v>
      </x:c>
      <x:c r="I5746" s="6" t="n">
        <x:f>G5746-H5746</x:f>
        <x:v>0</x:v>
      </x:c>
      <x:c r="J5746" s="6" t="n">
        <x:f>IF(OR(E5746="CANCELED",E5746="SUSPECTED_FRAUD",F5746="Shipping canceled"),0,1)</x:f>
        <x:v>1</x:v>
      </x:c>
      <x:c r="K5746" s="6" t="n">
        <x:f>IF(G5746&gt;H5746,1,0)</x:f>
        <x:v>0</x:v>
      </x:c>
      <x:c r="L5746" s="6" t="n">
        <x:f>J5746*K5746</x:f>
        <x:v>0</x:v>
      </x:c>
    </x:row>
    <x:row r="5747">
      <x:c r="A5747" s="1" t="n">
        <x:v>45172</x:v>
      </x:c>
      <x:c r="B5747" s="5" t="d">
        <x:v>2016-10-21T00:00:00.000Z</x:v>
      </x:c>
      <x:c r="C5747" s="1" t="str">
        <x:v>First Class</x:v>
      </x:c>
      <x:c r="D5747" s="1" t="str">
        <x:v>Africa</x:v>
      </x:c>
      <x:c r="E5747" s="1" t="str">
        <x:v>PENDING_PAYMENT</x:v>
      </x:c>
      <x:c r="F5747" s="1" t="str">
        <x:v>Late delivery</x:v>
      </x:c>
      <x:c r="G5747" s="6" t="n">
        <x:v>2</x:v>
      </x:c>
      <x:c r="H5747" s="6" t="n">
        <x:v>1</x:v>
      </x:c>
      <x:c r="I5747" s="6" t="n">
        <x:f>G5747-H5747</x:f>
        <x:v>1</x:v>
      </x:c>
      <x:c r="J5747" s="6" t="n">
        <x:f>IF(OR(E5747="CANCELED",E5747="SUSPECTED_FRAUD",F5747="Shipping canceled"),0,1)</x:f>
        <x:v>1</x:v>
      </x:c>
      <x:c r="K5747" s="6" t="n">
        <x:f>IF(G5747&gt;H5747,1,0)</x:f>
        <x:v>1</x:v>
      </x:c>
      <x:c r="L5747" s="6" t="n">
        <x:f>J5747*K5747</x:f>
        <x:v>1</x:v>
      </x:c>
    </x:row>
    <x:row r="5748">
      <x:c r="A5748" s="1" t="n">
        <x:v>45174</x:v>
      </x:c>
      <x:c r="B5748" s="5" t="d">
        <x:v>2016-10-21T00:00:00.000Z</x:v>
      </x:c>
      <x:c r="C5748" s="1" t="str">
        <x:v>Standard Class</x:v>
      </x:c>
      <x:c r="D5748" s="1" t="str">
        <x:v>Africa</x:v>
      </x:c>
      <x:c r="E5748" s="1" t="str">
        <x:v>ON_HOLD</x:v>
      </x:c>
      <x:c r="F5748" s="1" t="str">
        <x:v>Late delivery</x:v>
      </x:c>
      <x:c r="G5748" s="6" t="n">
        <x:v>5</x:v>
      </x:c>
      <x:c r="H5748" s="6" t="n">
        <x:v>4</x:v>
      </x:c>
      <x:c r="I5748" s="6" t="n">
        <x:f>G5748-H5748</x:f>
        <x:v>1</x:v>
      </x:c>
      <x:c r="J5748" s="6" t="n">
        <x:f>IF(OR(E5748="CANCELED",E5748="SUSPECTED_FRAUD",F5748="Shipping canceled"),0,1)</x:f>
        <x:v>1</x:v>
      </x:c>
      <x:c r="K5748" s="6" t="n">
        <x:f>IF(G5748&gt;H5748,1,0)</x:f>
        <x:v>1</x:v>
      </x:c>
      <x:c r="L5748" s="6" t="n">
        <x:f>J5748*K5748</x:f>
        <x:v>1</x:v>
      </x:c>
    </x:row>
    <x:row r="5749">
      <x:c r="A5749" s="1" t="n">
        <x:v>45179</x:v>
      </x:c>
      <x:c r="B5749" s="5" t="d">
        <x:v>2016-10-21T00:00:00.000Z</x:v>
      </x:c>
      <x:c r="C5749" s="1" t="str">
        <x:v>Standard Class</x:v>
      </x:c>
      <x:c r="D5749" s="1" t="str">
        <x:v>Pacific Asia</x:v>
      </x:c>
      <x:c r="E5749" s="1" t="str">
        <x:v>COMPLETE</x:v>
      </x:c>
      <x:c r="F5749" s="1" t="str">
        <x:v>Late delivery</x:v>
      </x:c>
      <x:c r="G5749" s="6" t="n">
        <x:v>5</x:v>
      </x:c>
      <x:c r="H5749" s="6" t="n">
        <x:v>4</x:v>
      </x:c>
      <x:c r="I5749" s="6" t="n">
        <x:f>G5749-H5749</x:f>
        <x:v>1</x:v>
      </x:c>
      <x:c r="J5749" s="6" t="n">
        <x:f>IF(OR(E5749="CANCELED",E5749="SUSPECTED_FRAUD",F5749="Shipping canceled"),0,1)</x:f>
        <x:v>1</x:v>
      </x:c>
      <x:c r="K5749" s="6" t="n">
        <x:f>IF(G5749&gt;H5749,1,0)</x:f>
        <x:v>1</x:v>
      </x:c>
      <x:c r="L5749" s="6" t="n">
        <x:f>J5749*K5749</x:f>
        <x:v>1</x:v>
      </x:c>
    </x:row>
    <x:row r="5750">
      <x:c r="A5750" s="1" t="n">
        <x:v>45185</x:v>
      </x:c>
      <x:c r="B5750" s="5" t="d">
        <x:v>2016-10-21T00:00:00.000Z</x:v>
      </x:c>
      <x:c r="C5750" s="1" t="str">
        <x:v>Second Class</x:v>
      </x:c>
      <x:c r="D5750" s="1" t="str">
        <x:v>Pacific Asia</x:v>
      </x:c>
      <x:c r="E5750" s="1" t="str">
        <x:v>COMPLETE</x:v>
      </x:c>
      <x:c r="F5750" s="1" t="str">
        <x:v>Late delivery</x:v>
      </x:c>
      <x:c r="G5750" s="6" t="n">
        <x:v>6</x:v>
      </x:c>
      <x:c r="H5750" s="6" t="n">
        <x:v>2</x:v>
      </x:c>
      <x:c r="I5750" s="6" t="n">
        <x:f>G5750-H5750</x:f>
        <x:v>4</x:v>
      </x:c>
      <x:c r="J5750" s="6" t="n">
        <x:f>IF(OR(E5750="CANCELED",E5750="SUSPECTED_FRAUD",F5750="Shipping canceled"),0,1)</x:f>
        <x:v>1</x:v>
      </x:c>
      <x:c r="K5750" s="6" t="n">
        <x:f>IF(G5750&gt;H5750,1,0)</x:f>
        <x:v>1</x:v>
      </x:c>
      <x:c r="L5750" s="6" t="n">
        <x:f>J5750*K5750</x:f>
        <x:v>1</x:v>
      </x:c>
    </x:row>
    <x:row r="5751">
      <x:c r="A5751" s="1" t="n">
        <x:v>45198</x:v>
      </x:c>
      <x:c r="B5751" s="5" t="d">
        <x:v>2016-10-21T00:00:00.000Z</x:v>
      </x:c>
      <x:c r="C5751" s="1" t="str">
        <x:v>Standard Class</x:v>
      </x:c>
      <x:c r="D5751" s="1" t="str">
        <x:v>Africa</x:v>
      </x:c>
      <x:c r="E5751" s="1" t="str">
        <x:v>PENDING_PAYMENT</x:v>
      </x:c>
      <x:c r="F5751" s="1" t="str">
        <x:v>Shipping on time</x:v>
      </x:c>
      <x:c r="G5751" s="6" t="n">
        <x:v>4</x:v>
      </x:c>
      <x:c r="H5751" s="6" t="n">
        <x:v>4</x:v>
      </x:c>
      <x:c r="I5751" s="6" t="n">
        <x:f>G5751-H5751</x:f>
        <x:v>0</x:v>
      </x:c>
      <x:c r="J5751" s="6" t="n">
        <x:f>IF(OR(E5751="CANCELED",E5751="SUSPECTED_FRAUD",F5751="Shipping canceled"),0,1)</x:f>
        <x:v>1</x:v>
      </x:c>
      <x:c r="K5751" s="6" t="n">
        <x:f>IF(G5751&gt;H5751,1,0)</x:f>
        <x:v>0</x:v>
      </x:c>
      <x:c r="L5751" s="6" t="n">
        <x:f>J5751*K5751</x:f>
        <x:v>0</x:v>
      </x:c>
    </x:row>
    <x:row r="5752">
      <x:c r="A5752" s="1" t="n">
        <x:v>45206</x:v>
      </x:c>
      <x:c r="B5752" s="5" t="d">
        <x:v>2016-10-21T00:00:00.000Z</x:v>
      </x:c>
      <x:c r="C5752" s="1" t="str">
        <x:v>Standard Class</x:v>
      </x:c>
      <x:c r="D5752" s="1" t="str">
        <x:v>Africa</x:v>
      </x:c>
      <x:c r="E5752" s="1" t="str">
        <x:v>COMPLETE</x:v>
      </x:c>
      <x:c r="F5752" s="1" t="str">
        <x:v>Advance shipping</x:v>
      </x:c>
      <x:c r="G5752" s="6" t="n">
        <x:v>2</x:v>
      </x:c>
      <x:c r="H5752" s="6" t="n">
        <x:v>4</x:v>
      </x:c>
      <x:c r="I5752" s="6" t="n">
        <x:f>G5752-H5752</x:f>
        <x:v>-2</x:v>
      </x:c>
      <x:c r="J5752" s="6" t="n">
        <x:f>IF(OR(E5752="CANCELED",E5752="SUSPECTED_FRAUD",F5752="Shipping canceled"),0,1)</x:f>
        <x:v>1</x:v>
      </x:c>
      <x:c r="K5752" s="6" t="n">
        <x:f>IF(G5752&gt;H5752,1,0)</x:f>
        <x:v>0</x:v>
      </x:c>
      <x:c r="L5752" s="6" t="n">
        <x:f>J5752*K5752</x:f>
        <x:v>0</x:v>
      </x:c>
    </x:row>
    <x:row r="5753">
      <x:c r="A5753" s="1" t="n">
        <x:v>45209</x:v>
      </x:c>
      <x:c r="B5753" s="5" t="d">
        <x:v>2016-10-21T00:00:00.000Z</x:v>
      </x:c>
      <x:c r="C5753" s="1" t="str">
        <x:v>Standard Class</x:v>
      </x:c>
      <x:c r="D5753" s="1" t="str">
        <x:v>Africa</x:v>
      </x:c>
      <x:c r="E5753" s="1" t="str">
        <x:v>COMPLETE</x:v>
      </x:c>
      <x:c r="F5753" s="1" t="str">
        <x:v>Late delivery</x:v>
      </x:c>
      <x:c r="G5753" s="6" t="n">
        <x:v>5</x:v>
      </x:c>
      <x:c r="H5753" s="6" t="n">
        <x:v>4</x:v>
      </x:c>
      <x:c r="I5753" s="6" t="n">
        <x:f>G5753-H5753</x:f>
        <x:v>1</x:v>
      </x:c>
      <x:c r="J5753" s="6" t="n">
        <x:f>IF(OR(E5753="CANCELED",E5753="SUSPECTED_FRAUD",F5753="Shipping canceled"),0,1)</x:f>
        <x:v>1</x:v>
      </x:c>
      <x:c r="K5753" s="6" t="n">
        <x:f>IF(G5753&gt;H5753,1,0)</x:f>
        <x:v>1</x:v>
      </x:c>
      <x:c r="L5753" s="6" t="n">
        <x:f>J5753*K5753</x:f>
        <x:v>1</x:v>
      </x:c>
    </x:row>
    <x:row r="5754">
      <x:c r="A5754" s="1" t="n">
        <x:v>45210</x:v>
      </x:c>
      <x:c r="B5754" s="5" t="d">
        <x:v>2016-10-21T00:00:00.000Z</x:v>
      </x:c>
      <x:c r="C5754" s="1" t="str">
        <x:v>Standard Class</x:v>
      </x:c>
      <x:c r="D5754" s="1" t="str">
        <x:v>Africa</x:v>
      </x:c>
      <x:c r="E5754" s="1" t="str">
        <x:v>ON_HOLD</x:v>
      </x:c>
      <x:c r="F5754" s="1" t="str">
        <x:v>Late delivery</x:v>
      </x:c>
      <x:c r="G5754" s="6" t="n">
        <x:v>6</x:v>
      </x:c>
      <x:c r="H5754" s="6" t="n">
        <x:v>4</x:v>
      </x:c>
      <x:c r="I5754" s="6" t="n">
        <x:f>G5754-H5754</x:f>
        <x:v>2</x:v>
      </x:c>
      <x:c r="J5754" s="6" t="n">
        <x:f>IF(OR(E5754="CANCELED",E5754="SUSPECTED_FRAUD",F5754="Shipping canceled"),0,1)</x:f>
        <x:v>1</x:v>
      </x:c>
      <x:c r="K5754" s="6" t="n">
        <x:f>IF(G5754&gt;H5754,1,0)</x:f>
        <x:v>1</x:v>
      </x:c>
      <x:c r="L5754" s="6" t="n">
        <x:f>J5754*K5754</x:f>
        <x:v>1</x:v>
      </x:c>
    </x:row>
    <x:row r="5755">
      <x:c r="A5755" s="1" t="n">
        <x:v>45218</x:v>
      </x:c>
      <x:c r="B5755" s="5" t="d">
        <x:v>2016-10-22T00:00:00.000Z</x:v>
      </x:c>
      <x:c r="C5755" s="1" t="str">
        <x:v>Standard Class</x:v>
      </x:c>
      <x:c r="D5755" s="1" t="str">
        <x:v>Africa</x:v>
      </x:c>
      <x:c r="E5755" s="1" t="str">
        <x:v>COMPLETE</x:v>
      </x:c>
      <x:c r="F5755" s="1" t="str">
        <x:v>Shipping on time</x:v>
      </x:c>
      <x:c r="G5755" s="6" t="n">
        <x:v>4</x:v>
      </x:c>
      <x:c r="H5755" s="6" t="n">
        <x:v>4</x:v>
      </x:c>
      <x:c r="I5755" s="6" t="n">
        <x:f>G5755-H5755</x:f>
        <x:v>0</x:v>
      </x:c>
      <x:c r="J5755" s="6" t="n">
        <x:f>IF(OR(E5755="CANCELED",E5755="SUSPECTED_FRAUD",F5755="Shipping canceled"),0,1)</x:f>
        <x:v>1</x:v>
      </x:c>
      <x:c r="K5755" s="6" t="n">
        <x:f>IF(G5755&gt;H5755,1,0)</x:f>
        <x:v>0</x:v>
      </x:c>
      <x:c r="L5755" s="6" t="n">
        <x:f>J5755*K5755</x:f>
        <x:v>0</x:v>
      </x:c>
    </x:row>
    <x:row r="5756">
      <x:c r="A5756" s="1" t="n">
        <x:v>45219</x:v>
      </x:c>
      <x:c r="B5756" s="5" t="d">
        <x:v>2016-10-22T00:00:00.000Z</x:v>
      </x:c>
      <x:c r="C5756" s="1" t="str">
        <x:v>Standard Class</x:v>
      </x:c>
      <x:c r="D5756" s="1" t="str">
        <x:v>Africa</x:v>
      </x:c>
      <x:c r="E5756" s="1" t="str">
        <x:v>COMPLETE</x:v>
      </x:c>
      <x:c r="F5756" s="1" t="str">
        <x:v>Late delivery</x:v>
      </x:c>
      <x:c r="G5756" s="6" t="n">
        <x:v>5</x:v>
      </x:c>
      <x:c r="H5756" s="6" t="n">
        <x:v>4</x:v>
      </x:c>
      <x:c r="I5756" s="6" t="n">
        <x:f>G5756-H5756</x:f>
        <x:v>1</x:v>
      </x:c>
      <x:c r="J5756" s="6" t="n">
        <x:f>IF(OR(E5756="CANCELED",E5756="SUSPECTED_FRAUD",F5756="Shipping canceled"),0,1)</x:f>
        <x:v>1</x:v>
      </x:c>
      <x:c r="K5756" s="6" t="n">
        <x:f>IF(G5756&gt;H5756,1,0)</x:f>
        <x:v>1</x:v>
      </x:c>
      <x:c r="L5756" s="6" t="n">
        <x:f>J5756*K5756</x:f>
        <x:v>1</x:v>
      </x:c>
    </x:row>
    <x:row r="5757">
      <x:c r="A5757" s="1" t="n">
        <x:v>45232</x:v>
      </x:c>
      <x:c r="B5757" s="5" t="d">
        <x:v>2016-10-22T00:00:00.000Z</x:v>
      </x:c>
      <x:c r="C5757" s="1" t="str">
        <x:v>Second Class</x:v>
      </x:c>
      <x:c r="D5757" s="1" t="str">
        <x:v>Pacific Asia</x:v>
      </x:c>
      <x:c r="E5757" s="1" t="str">
        <x:v>ON_HOLD</x:v>
      </x:c>
      <x:c r="F5757" s="1" t="str">
        <x:v>Late delivery</x:v>
      </x:c>
      <x:c r="G5757" s="6" t="n">
        <x:v>3</x:v>
      </x:c>
      <x:c r="H5757" s="6" t="n">
        <x:v>2</x:v>
      </x:c>
      <x:c r="I5757" s="6" t="n">
        <x:f>G5757-H5757</x:f>
        <x:v>1</x:v>
      </x:c>
      <x:c r="J5757" s="6" t="n">
        <x:f>IF(OR(E5757="CANCELED",E5757="SUSPECTED_FRAUD",F5757="Shipping canceled"),0,1)</x:f>
        <x:v>1</x:v>
      </x:c>
      <x:c r="K5757" s="6" t="n">
        <x:f>IF(G5757&gt;H5757,1,0)</x:f>
        <x:v>1</x:v>
      </x:c>
      <x:c r="L5757" s="6" t="n">
        <x:f>J5757*K5757</x:f>
        <x:v>1</x:v>
      </x:c>
    </x:row>
    <x:row r="5758">
      <x:c r="A5758" s="1" t="n">
        <x:v>45236</x:v>
      </x:c>
      <x:c r="B5758" s="5" t="d">
        <x:v>2016-10-22T00:00:00.000Z</x:v>
      </x:c>
      <x:c r="C5758" s="1" t="str">
        <x:v>Second Class</x:v>
      </x:c>
      <x:c r="D5758" s="1" t="str">
        <x:v>Pacific Asia</x:v>
      </x:c>
      <x:c r="E5758" s="1" t="str">
        <x:v>COMPLETE</x:v>
      </x:c>
      <x:c r="F5758" s="1" t="str">
        <x:v>Shipping on time</x:v>
      </x:c>
      <x:c r="G5758" s="6" t="n">
        <x:v>2</x:v>
      </x:c>
      <x:c r="H5758" s="6" t="n">
        <x:v>2</x:v>
      </x:c>
      <x:c r="I5758" s="6" t="n">
        <x:f>G5758-H5758</x:f>
        <x:v>0</x:v>
      </x:c>
      <x:c r="J5758" s="6" t="n">
        <x:f>IF(OR(E5758="CANCELED",E5758="SUSPECTED_FRAUD",F5758="Shipping canceled"),0,1)</x:f>
        <x:v>1</x:v>
      </x:c>
      <x:c r="K5758" s="6" t="n">
        <x:f>IF(G5758&gt;H5758,1,0)</x:f>
        <x:v>0</x:v>
      </x:c>
      <x:c r="L5758" s="6" t="n">
        <x:f>J5758*K5758</x:f>
        <x:v>0</x:v>
      </x:c>
    </x:row>
    <x:row r="5759">
      <x:c r="A5759" s="1" t="n">
        <x:v>45239</x:v>
      </x:c>
      <x:c r="B5759" s="5" t="d">
        <x:v>2016-10-22T00:00:00.000Z</x:v>
      </x:c>
      <x:c r="C5759" s="1" t="str">
        <x:v>Standard Class</x:v>
      </x:c>
      <x:c r="D5759" s="1" t="str">
        <x:v>Africa</x:v>
      </x:c>
      <x:c r="E5759" s="1" t="str">
        <x:v>COMPLETE</x:v>
      </x:c>
      <x:c r="F5759" s="1" t="str">
        <x:v>Late delivery</x:v>
      </x:c>
      <x:c r="G5759" s="6" t="n">
        <x:v>5</x:v>
      </x:c>
      <x:c r="H5759" s="6" t="n">
        <x:v>4</x:v>
      </x:c>
      <x:c r="I5759" s="6" t="n">
        <x:f>G5759-H5759</x:f>
        <x:v>1</x:v>
      </x:c>
      <x:c r="J5759" s="6" t="n">
        <x:f>IF(OR(E5759="CANCELED",E5759="SUSPECTED_FRAUD",F5759="Shipping canceled"),0,1)</x:f>
        <x:v>1</x:v>
      </x:c>
      <x:c r="K5759" s="6" t="n">
        <x:f>IF(G5759&gt;H5759,1,0)</x:f>
        <x:v>1</x:v>
      </x:c>
      <x:c r="L5759" s="6" t="n">
        <x:f>J5759*K5759</x:f>
        <x:v>1</x:v>
      </x:c>
    </x:row>
    <x:row r="5760">
      <x:c r="A5760" s="1" t="n">
        <x:v>45242</x:v>
      </x:c>
      <x:c r="B5760" s="5" t="d">
        <x:v>2016-10-22T00:00:00.000Z</x:v>
      </x:c>
      <x:c r="C5760" s="1" t="str">
        <x:v>Standard Class</x:v>
      </x:c>
      <x:c r="D5760" s="1" t="str">
        <x:v>Pacific Asia</x:v>
      </x:c>
      <x:c r="E5760" s="1" t="str">
        <x:v>COMPLETE</x:v>
      </x:c>
      <x:c r="F5760" s="1" t="str">
        <x:v>Advance shipping</x:v>
      </x:c>
      <x:c r="G5760" s="6" t="n">
        <x:v>3</x:v>
      </x:c>
      <x:c r="H5760" s="6" t="n">
        <x:v>4</x:v>
      </x:c>
      <x:c r="I5760" s="6" t="n">
        <x:f>G5760-H5760</x:f>
        <x:v>-1</x:v>
      </x:c>
      <x:c r="J5760" s="6" t="n">
        <x:f>IF(OR(E5760="CANCELED",E5760="SUSPECTED_FRAUD",F5760="Shipping canceled"),0,1)</x:f>
        <x:v>1</x:v>
      </x:c>
      <x:c r="K5760" s="6" t="n">
        <x:f>IF(G5760&gt;H5760,1,0)</x:f>
        <x:v>0</x:v>
      </x:c>
      <x:c r="L5760" s="6" t="n">
        <x:f>J5760*K5760</x:f>
        <x:v>0</x:v>
      </x:c>
    </x:row>
    <x:row r="5761">
      <x:c r="A5761" s="1" t="n">
        <x:v>45247</x:v>
      </x:c>
      <x:c r="B5761" s="5" t="d">
        <x:v>2016-10-22T00:00:00.000Z</x:v>
      </x:c>
      <x:c r="C5761" s="1" t="str">
        <x:v>Standard Class</x:v>
      </x:c>
      <x:c r="D5761" s="1" t="str">
        <x:v>Africa</x:v>
      </x:c>
      <x:c r="E5761" s="1" t="str">
        <x:v>COMPLETE</x:v>
      </x:c>
      <x:c r="F5761" s="1" t="str">
        <x:v>Advance shipping</x:v>
      </x:c>
      <x:c r="G5761" s="6" t="n">
        <x:v>3</x:v>
      </x:c>
      <x:c r="H5761" s="6" t="n">
        <x:v>4</x:v>
      </x:c>
      <x:c r="I5761" s="6" t="n">
        <x:f>G5761-H5761</x:f>
        <x:v>-1</x:v>
      </x:c>
      <x:c r="J5761" s="6" t="n">
        <x:f>IF(OR(E5761="CANCELED",E5761="SUSPECTED_FRAUD",F5761="Shipping canceled"),0,1)</x:f>
        <x:v>1</x:v>
      </x:c>
      <x:c r="K5761" s="6" t="n">
        <x:f>IF(G5761&gt;H5761,1,0)</x:f>
        <x:v>0</x:v>
      </x:c>
      <x:c r="L5761" s="6" t="n">
        <x:f>J5761*K5761</x:f>
        <x:v>0</x:v>
      </x:c>
    </x:row>
    <x:row r="5762">
      <x:c r="A5762" s="1" t="n">
        <x:v>45249</x:v>
      </x:c>
      <x:c r="B5762" s="5" t="d">
        <x:v>2016-10-22T00:00:00.000Z</x:v>
      </x:c>
      <x:c r="C5762" s="1" t="str">
        <x:v>Standard Class</x:v>
      </x:c>
      <x:c r="D5762" s="1" t="str">
        <x:v>Africa</x:v>
      </x:c>
      <x:c r="E5762" s="1" t="str">
        <x:v>PROCESSING</x:v>
      </x:c>
      <x:c r="F5762" s="1" t="str">
        <x:v>Late delivery</x:v>
      </x:c>
      <x:c r="G5762" s="6" t="n">
        <x:v>5</x:v>
      </x:c>
      <x:c r="H5762" s="6" t="n">
        <x:v>4</x:v>
      </x:c>
      <x:c r="I5762" s="6" t="n">
        <x:f>G5762-H5762</x:f>
        <x:v>1</x:v>
      </x:c>
      <x:c r="J5762" s="6" t="n">
        <x:f>IF(OR(E5762="CANCELED",E5762="SUSPECTED_FRAUD",F5762="Shipping canceled"),0,1)</x:f>
        <x:v>1</x:v>
      </x:c>
      <x:c r="K5762" s="6" t="n">
        <x:f>IF(G5762&gt;H5762,1,0)</x:f>
        <x:v>1</x:v>
      </x:c>
      <x:c r="L5762" s="6" t="n">
        <x:f>J5762*K5762</x:f>
        <x:v>1</x:v>
      </x:c>
    </x:row>
    <x:row r="5763">
      <x:c r="A5763" s="1" t="n">
        <x:v>45258</x:v>
      </x:c>
      <x:c r="B5763" s="5" t="d">
        <x:v>2016-10-22T00:00:00.000Z</x:v>
      </x:c>
      <x:c r="C5763" s="1" t="str">
        <x:v>Standard Class</x:v>
      </x:c>
      <x:c r="D5763" s="1" t="str">
        <x:v>Pacific Asia</x:v>
      </x:c>
      <x:c r="E5763" s="1" t="str">
        <x:v>PENDING</x:v>
      </x:c>
      <x:c r="F5763" s="1" t="str">
        <x:v>Shipping on time</x:v>
      </x:c>
      <x:c r="G5763" s="6" t="n">
        <x:v>4</x:v>
      </x:c>
      <x:c r="H5763" s="6" t="n">
        <x:v>4</x:v>
      </x:c>
      <x:c r="I5763" s="6" t="n">
        <x:f>G5763-H5763</x:f>
        <x:v>0</x:v>
      </x:c>
      <x:c r="J5763" s="6" t="n">
        <x:f>IF(OR(E5763="CANCELED",E5763="SUSPECTED_FRAUD",F5763="Shipping canceled"),0,1)</x:f>
        <x:v>1</x:v>
      </x:c>
      <x:c r="K5763" s="6" t="n">
        <x:f>IF(G5763&gt;H5763,1,0)</x:f>
        <x:v>0</x:v>
      </x:c>
      <x:c r="L5763" s="6" t="n">
        <x:f>J5763*K5763</x:f>
        <x:v>0</x:v>
      </x:c>
    </x:row>
    <x:row r="5764">
      <x:c r="A5764" s="1" t="n">
        <x:v>45264</x:v>
      </x:c>
      <x:c r="B5764" s="5" t="d">
        <x:v>2016-10-22T00:00:00.000Z</x:v>
      </x:c>
      <x:c r="C5764" s="1" t="str">
        <x:v>Standard Class</x:v>
      </x:c>
      <x:c r="D5764" s="1" t="str">
        <x:v>Europe</x:v>
      </x:c>
      <x:c r="E5764" s="1" t="str">
        <x:v>COMPLETE</x:v>
      </x:c>
      <x:c r="F5764" s="1" t="str">
        <x:v>Late delivery</x:v>
      </x:c>
      <x:c r="G5764" s="6" t="n">
        <x:v>5</x:v>
      </x:c>
      <x:c r="H5764" s="6" t="n">
        <x:v>4</x:v>
      </x:c>
      <x:c r="I5764" s="6" t="n">
        <x:f>G5764-H5764</x:f>
        <x:v>1</x:v>
      </x:c>
      <x:c r="J5764" s="6" t="n">
        <x:f>IF(OR(E5764="CANCELED",E5764="SUSPECTED_FRAUD",F5764="Shipping canceled"),0,1)</x:f>
        <x:v>1</x:v>
      </x:c>
      <x:c r="K5764" s="6" t="n">
        <x:f>IF(G5764&gt;H5764,1,0)</x:f>
        <x:v>1</x:v>
      </x:c>
      <x:c r="L5764" s="6" t="n">
        <x:f>J5764*K5764</x:f>
        <x:v>1</x:v>
      </x:c>
    </x:row>
    <x:row r="5765">
      <x:c r="A5765" s="1" t="n">
        <x:v>45268</x:v>
      </x:c>
      <x:c r="B5765" s="5" t="d">
        <x:v>2016-10-22T00:00:00.000Z</x:v>
      </x:c>
      <x:c r="C5765" s="1" t="str">
        <x:v>Standard Class</x:v>
      </x:c>
      <x:c r="D5765" s="1" t="str">
        <x:v>Africa</x:v>
      </x:c>
      <x:c r="E5765" s="1" t="str">
        <x:v>COMPLETE</x:v>
      </x:c>
      <x:c r="F5765" s="1" t="str">
        <x:v>Shipping on time</x:v>
      </x:c>
      <x:c r="G5765" s="6" t="n">
        <x:v>4</x:v>
      </x:c>
      <x:c r="H5765" s="6" t="n">
        <x:v>4</x:v>
      </x:c>
      <x:c r="I5765" s="6" t="n">
        <x:f>G5765-H5765</x:f>
        <x:v>0</x:v>
      </x:c>
      <x:c r="J5765" s="6" t="n">
        <x:f>IF(OR(E5765="CANCELED",E5765="SUSPECTED_FRAUD",F5765="Shipping canceled"),0,1)</x:f>
        <x:v>1</x:v>
      </x:c>
      <x:c r="K5765" s="6" t="n">
        <x:f>IF(G5765&gt;H5765,1,0)</x:f>
        <x:v>0</x:v>
      </x:c>
      <x:c r="L5765" s="6" t="n">
        <x:f>J5765*K5765</x:f>
        <x:v>0</x:v>
      </x:c>
    </x:row>
    <x:row r="5766">
      <x:c r="A5766" s="1" t="n">
        <x:v>45269</x:v>
      </x:c>
      <x:c r="B5766" s="5" t="d">
        <x:v>2016-10-22T00:00:00.000Z</x:v>
      </x:c>
      <x:c r="C5766" s="1" t="str">
        <x:v>Standard Class</x:v>
      </x:c>
      <x:c r="D5766" s="1" t="str">
        <x:v>Africa</x:v>
      </x:c>
      <x:c r="E5766" s="1" t="str">
        <x:v>PENDING</x:v>
      </x:c>
      <x:c r="F5766" s="1" t="str">
        <x:v>Late delivery</x:v>
      </x:c>
      <x:c r="G5766" s="6" t="n">
        <x:v>5</x:v>
      </x:c>
      <x:c r="H5766" s="6" t="n">
        <x:v>4</x:v>
      </x:c>
      <x:c r="I5766" s="6" t="n">
        <x:f>G5766-H5766</x:f>
        <x:v>1</x:v>
      </x:c>
      <x:c r="J5766" s="6" t="n">
        <x:f>IF(OR(E5766="CANCELED",E5766="SUSPECTED_FRAUD",F5766="Shipping canceled"),0,1)</x:f>
        <x:v>1</x:v>
      </x:c>
      <x:c r="K5766" s="6" t="n">
        <x:f>IF(G5766&gt;H5766,1,0)</x:f>
        <x:v>1</x:v>
      </x:c>
      <x:c r="L5766" s="6" t="n">
        <x:f>J5766*K5766</x:f>
        <x:v>1</x:v>
      </x:c>
    </x:row>
    <x:row r="5767">
      <x:c r="A5767" s="1" t="n">
        <x:v>45273</x:v>
      </x:c>
      <x:c r="B5767" s="5" t="d">
        <x:v>2016-10-22T00:00:00.000Z</x:v>
      </x:c>
      <x:c r="C5767" s="1" t="str">
        <x:v>First Class</x:v>
      </x:c>
      <x:c r="D5767" s="1" t="str">
        <x:v>Europe</x:v>
      </x:c>
      <x:c r="E5767" s="1" t="str">
        <x:v>PENDING_PAYMENT</x:v>
      </x:c>
      <x:c r="F5767" s="1" t="str">
        <x:v>Late delivery</x:v>
      </x:c>
      <x:c r="G5767" s="6" t="n">
        <x:v>2</x:v>
      </x:c>
      <x:c r="H5767" s="6" t="n">
        <x:v>1</x:v>
      </x:c>
      <x:c r="I5767" s="6" t="n">
        <x:f>G5767-H5767</x:f>
        <x:v>1</x:v>
      </x:c>
      <x:c r="J5767" s="6" t="n">
        <x:f>IF(OR(E5767="CANCELED",E5767="SUSPECTED_FRAUD",F5767="Shipping canceled"),0,1)</x:f>
        <x:v>1</x:v>
      </x:c>
      <x:c r="K5767" s="6" t="n">
        <x:f>IF(G5767&gt;H5767,1,0)</x:f>
        <x:v>1</x:v>
      </x:c>
      <x:c r="L5767" s="6" t="n">
        <x:f>J5767*K5767</x:f>
        <x:v>1</x:v>
      </x:c>
    </x:row>
    <x:row r="5768">
      <x:c r="A5768" s="1" t="n">
        <x:v>45279</x:v>
      </x:c>
      <x:c r="B5768" s="5" t="d">
        <x:v>2016-10-22T00:00:00.000Z</x:v>
      </x:c>
      <x:c r="C5768" s="1" t="str">
        <x:v>Standard Class</x:v>
      </x:c>
      <x:c r="D5768" s="1" t="str">
        <x:v>Europe</x:v>
      </x:c>
      <x:c r="E5768" s="1" t="str">
        <x:v>COMPLETE</x:v>
      </x:c>
      <x:c r="F5768" s="1" t="str">
        <x:v>Late delivery</x:v>
      </x:c>
      <x:c r="G5768" s="6" t="n">
        <x:v>5</x:v>
      </x:c>
      <x:c r="H5768" s="6" t="n">
        <x:v>4</x:v>
      </x:c>
      <x:c r="I5768" s="6" t="n">
        <x:f>G5768-H5768</x:f>
        <x:v>1</x:v>
      </x:c>
      <x:c r="J5768" s="6" t="n">
        <x:f>IF(OR(E5768="CANCELED",E5768="SUSPECTED_FRAUD",F5768="Shipping canceled"),0,1)</x:f>
        <x:v>1</x:v>
      </x:c>
      <x:c r="K5768" s="6" t="n">
        <x:f>IF(G5768&gt;H5768,1,0)</x:f>
        <x:v>1</x:v>
      </x:c>
      <x:c r="L5768" s="6" t="n">
        <x:f>J5768*K5768</x:f>
        <x:v>1</x:v>
      </x:c>
    </x:row>
    <x:row r="5769">
      <x:c r="A5769" s="1" t="n">
        <x:v>45280</x:v>
      </x:c>
      <x:c r="B5769" s="5" t="d">
        <x:v>2016-10-22T00:00:00.000Z</x:v>
      </x:c>
      <x:c r="C5769" s="1" t="str">
        <x:v>Standard Class</x:v>
      </x:c>
      <x:c r="D5769" s="1" t="str">
        <x:v>Europe</x:v>
      </x:c>
      <x:c r="E5769" s="1" t="str">
        <x:v>PROCESSING</x:v>
      </x:c>
      <x:c r="F5769" s="1" t="str">
        <x:v>Late delivery</x:v>
      </x:c>
      <x:c r="G5769" s="6" t="n">
        <x:v>6</x:v>
      </x:c>
      <x:c r="H5769" s="6" t="n">
        <x:v>4</x:v>
      </x:c>
      <x:c r="I5769" s="6" t="n">
        <x:f>G5769-H5769</x:f>
        <x:v>2</x:v>
      </x:c>
      <x:c r="J5769" s="6" t="n">
        <x:f>IF(OR(E5769="CANCELED",E5769="SUSPECTED_FRAUD",F5769="Shipping canceled"),0,1)</x:f>
        <x:v>1</x:v>
      </x:c>
      <x:c r="K5769" s="6" t="n">
        <x:f>IF(G5769&gt;H5769,1,0)</x:f>
        <x:v>1</x:v>
      </x:c>
      <x:c r="L5769" s="6" t="n">
        <x:f>J5769*K5769</x:f>
        <x:v>1</x:v>
      </x:c>
    </x:row>
    <x:row r="5770">
      <x:c r="A5770" s="1" t="n">
        <x:v>45285</x:v>
      </x:c>
      <x:c r="B5770" s="5" t="d">
        <x:v>2016-10-23T00:00:00.000Z</x:v>
      </x:c>
      <x:c r="C5770" s="1" t="str">
        <x:v>Second Class</x:v>
      </x:c>
      <x:c r="D5770" s="1" t="str">
        <x:v>Pacific Asia</x:v>
      </x:c>
      <x:c r="E5770" s="1" t="str">
        <x:v>PENDING</x:v>
      </x:c>
      <x:c r="F5770" s="1" t="str">
        <x:v>Late delivery</x:v>
      </x:c>
      <x:c r="G5770" s="6" t="n">
        <x:v>6</x:v>
      </x:c>
      <x:c r="H5770" s="6" t="n">
        <x:v>2</x:v>
      </x:c>
      <x:c r="I5770" s="6" t="n">
        <x:f>G5770-H5770</x:f>
        <x:v>4</x:v>
      </x:c>
      <x:c r="J5770" s="6" t="n">
        <x:f>IF(OR(E5770="CANCELED",E5770="SUSPECTED_FRAUD",F5770="Shipping canceled"),0,1)</x:f>
        <x:v>1</x:v>
      </x:c>
      <x:c r="K5770" s="6" t="n">
        <x:f>IF(G5770&gt;H5770,1,0)</x:f>
        <x:v>1</x:v>
      </x:c>
      <x:c r="L5770" s="6" t="n">
        <x:f>J5770*K5770</x:f>
        <x:v>1</x:v>
      </x:c>
    </x:row>
    <x:row r="5771">
      <x:c r="A5771" s="1" t="n">
        <x:v>45291</x:v>
      </x:c>
      <x:c r="B5771" s="5" t="d">
        <x:v>2016-10-23T00:00:00.000Z</x:v>
      </x:c>
      <x:c r="C5771" s="1" t="str">
        <x:v>Standard Class</x:v>
      </x:c>
      <x:c r="D5771" s="1" t="str">
        <x:v>Europe</x:v>
      </x:c>
      <x:c r="E5771" s="1" t="str">
        <x:v>COMPLETE</x:v>
      </x:c>
      <x:c r="F5771" s="1" t="str">
        <x:v>Advance shipping</x:v>
      </x:c>
      <x:c r="G5771" s="6" t="n">
        <x:v>2</x:v>
      </x:c>
      <x:c r="H5771" s="6" t="n">
        <x:v>4</x:v>
      </x:c>
      <x:c r="I5771" s="6" t="n">
        <x:f>G5771-H5771</x:f>
        <x:v>-2</x:v>
      </x:c>
      <x:c r="J5771" s="6" t="n">
        <x:f>IF(OR(E5771="CANCELED",E5771="SUSPECTED_FRAUD",F5771="Shipping canceled"),0,1)</x:f>
        <x:v>1</x:v>
      </x:c>
      <x:c r="K5771" s="6" t="n">
        <x:f>IF(G5771&gt;H5771,1,0)</x:f>
        <x:v>0</x:v>
      </x:c>
      <x:c r="L5771" s="6" t="n">
        <x:f>J5771*K5771</x:f>
        <x:v>0</x:v>
      </x:c>
    </x:row>
    <x:row r="5772">
      <x:c r="A5772" s="1" t="n">
        <x:v>45296</x:v>
      </x:c>
      <x:c r="B5772" s="5" t="d">
        <x:v>2016-10-23T00:00:00.000Z</x:v>
      </x:c>
      <x:c r="C5772" s="1" t="str">
        <x:v>Second Class</x:v>
      </x:c>
      <x:c r="D5772" s="1" t="str">
        <x:v>Africa</x:v>
      </x:c>
      <x:c r="E5772" s="1" t="str">
        <x:v>COMPLETE</x:v>
      </x:c>
      <x:c r="F5772" s="1" t="str">
        <x:v>Shipping on time</x:v>
      </x:c>
      <x:c r="G5772" s="6" t="n">
        <x:v>2</x:v>
      </x:c>
      <x:c r="H5772" s="6" t="n">
        <x:v>2</x:v>
      </x:c>
      <x:c r="I5772" s="6" t="n">
        <x:f>G5772-H5772</x:f>
        <x:v>0</x:v>
      </x:c>
      <x:c r="J5772" s="6" t="n">
        <x:f>IF(OR(E5772="CANCELED",E5772="SUSPECTED_FRAUD",F5772="Shipping canceled"),0,1)</x:f>
        <x:v>1</x:v>
      </x:c>
      <x:c r="K5772" s="6" t="n">
        <x:f>IF(G5772&gt;H5772,1,0)</x:f>
        <x:v>0</x:v>
      </x:c>
      <x:c r="L5772" s="6" t="n">
        <x:f>J5772*K5772</x:f>
        <x:v>0</x:v>
      </x:c>
    </x:row>
    <x:row r="5773">
      <x:c r="A5773" s="1" t="n">
        <x:v>45300</x:v>
      </x:c>
      <x:c r="B5773" s="5" t="d">
        <x:v>2016-10-23T00:00:00.000Z</x:v>
      </x:c>
      <x:c r="C5773" s="1" t="str">
        <x:v>Standard Class</x:v>
      </x:c>
      <x:c r="D5773" s="1" t="str">
        <x:v>Pacific Asia</x:v>
      </x:c>
      <x:c r="E5773" s="1" t="str">
        <x:v>PENDING_PAYMENT</x:v>
      </x:c>
      <x:c r="F5773" s="1" t="str">
        <x:v>Late delivery</x:v>
      </x:c>
      <x:c r="G5773" s="6" t="n">
        <x:v>6</x:v>
      </x:c>
      <x:c r="H5773" s="6" t="n">
        <x:v>4</x:v>
      </x:c>
      <x:c r="I5773" s="6" t="n">
        <x:f>G5773-H5773</x:f>
        <x:v>2</x:v>
      </x:c>
      <x:c r="J5773" s="6" t="n">
        <x:f>IF(OR(E5773="CANCELED",E5773="SUSPECTED_FRAUD",F5773="Shipping canceled"),0,1)</x:f>
        <x:v>1</x:v>
      </x:c>
      <x:c r="K5773" s="6" t="n">
        <x:f>IF(G5773&gt;H5773,1,0)</x:f>
        <x:v>1</x:v>
      </x:c>
      <x:c r="L5773" s="6" t="n">
        <x:f>J5773*K5773</x:f>
        <x:v>1</x:v>
      </x:c>
    </x:row>
    <x:row r="5774">
      <x:c r="A5774" s="1" t="n">
        <x:v>45303</x:v>
      </x:c>
      <x:c r="B5774" s="5" t="d">
        <x:v>2016-10-23T00:00:00.000Z</x:v>
      </x:c>
      <x:c r="C5774" s="1" t="str">
        <x:v>Standard Class</x:v>
      </x:c>
      <x:c r="D5774" s="1" t="str">
        <x:v>Africa</x:v>
      </x:c>
      <x:c r="E5774" s="1" t="str">
        <x:v>CANCELED</x:v>
      </x:c>
      <x:c r="F5774" s="1" t="str">
        <x:v>Shipping canceled</x:v>
      </x:c>
      <x:c r="G5774" s="6" t="n">
        <x:v>4</x:v>
      </x:c>
      <x:c r="H5774" s="6" t="n">
        <x:v>4</x:v>
      </x:c>
      <x:c r="I5774" s="6" t="n">
        <x:f>G5774-H5774</x:f>
        <x:v>0</x:v>
      </x:c>
      <x:c r="J5774" s="6" t="n">
        <x:f>IF(OR(E5774="CANCELED",E5774="SUSPECTED_FRAUD",F5774="Shipping canceled"),0,1)</x:f>
        <x:v>0</x:v>
      </x:c>
      <x:c r="K5774" s="6" t="n">
        <x:f>IF(G5774&gt;H5774,1,0)</x:f>
        <x:v>0</x:v>
      </x:c>
      <x:c r="L5774" s="6" t="n">
        <x:f>J5774*K5774</x:f>
        <x:v>0</x:v>
      </x:c>
    </x:row>
    <x:row r="5775">
      <x:c r="A5775" s="1" t="n">
        <x:v>45304</x:v>
      </x:c>
      <x:c r="B5775" s="5" t="d">
        <x:v>2016-10-23T00:00:00.000Z</x:v>
      </x:c>
      <x:c r="C5775" s="1" t="str">
        <x:v>Standard Class</x:v>
      </x:c>
      <x:c r="D5775" s="1" t="str">
        <x:v>Africa</x:v>
      </x:c>
      <x:c r="E5775" s="1" t="str">
        <x:v>COMPLETE</x:v>
      </x:c>
      <x:c r="F5775" s="1" t="str">
        <x:v>Late delivery</x:v>
      </x:c>
      <x:c r="G5775" s="6" t="n">
        <x:v>5</x:v>
      </x:c>
      <x:c r="H5775" s="6" t="n">
        <x:v>4</x:v>
      </x:c>
      <x:c r="I5775" s="6" t="n">
        <x:f>G5775-H5775</x:f>
        <x:v>1</x:v>
      </x:c>
      <x:c r="J5775" s="6" t="n">
        <x:f>IF(OR(E5775="CANCELED",E5775="SUSPECTED_FRAUD",F5775="Shipping canceled"),0,1)</x:f>
        <x:v>1</x:v>
      </x:c>
      <x:c r="K5775" s="6" t="n">
        <x:f>IF(G5775&gt;H5775,1,0)</x:f>
        <x:v>1</x:v>
      </x:c>
      <x:c r="L5775" s="6" t="n">
        <x:f>J5775*K5775</x:f>
        <x:v>1</x:v>
      </x:c>
    </x:row>
    <x:row r="5776">
      <x:c r="A5776" s="1" t="n">
        <x:v>45305</x:v>
      </x:c>
      <x:c r="B5776" s="5" t="d">
        <x:v>2016-10-23T00:00:00.000Z</x:v>
      </x:c>
      <x:c r="C5776" s="1" t="str">
        <x:v>Standard Class</x:v>
      </x:c>
      <x:c r="D5776" s="1" t="str">
        <x:v>Pacific Asia</x:v>
      </x:c>
      <x:c r="E5776" s="1" t="str">
        <x:v>ON_HOLD</x:v>
      </x:c>
      <x:c r="F5776" s="1" t="str">
        <x:v>Late delivery</x:v>
      </x:c>
      <x:c r="G5776" s="6" t="n">
        <x:v>6</x:v>
      </x:c>
      <x:c r="H5776" s="6" t="n">
        <x:v>4</x:v>
      </x:c>
      <x:c r="I5776" s="6" t="n">
        <x:f>G5776-H5776</x:f>
        <x:v>2</x:v>
      </x:c>
      <x:c r="J5776" s="6" t="n">
        <x:f>IF(OR(E5776="CANCELED",E5776="SUSPECTED_FRAUD",F5776="Shipping canceled"),0,1)</x:f>
        <x:v>1</x:v>
      </x:c>
      <x:c r="K5776" s="6" t="n">
        <x:f>IF(G5776&gt;H5776,1,0)</x:f>
        <x:v>1</x:v>
      </x:c>
      <x:c r="L5776" s="6" t="n">
        <x:f>J5776*K5776</x:f>
        <x:v>1</x:v>
      </x:c>
    </x:row>
    <x:row r="5777">
      <x:c r="A5777" s="1" t="n">
        <x:v>45319</x:v>
      </x:c>
      <x:c r="B5777" s="5" t="d">
        <x:v>2016-10-23T00:00:00.000Z</x:v>
      </x:c>
      <x:c r="C5777" s="1" t="str">
        <x:v>First Class</x:v>
      </x:c>
      <x:c r="D5777" s="1" t="str">
        <x:v>Africa</x:v>
      </x:c>
      <x:c r="E5777" s="1" t="str">
        <x:v>CLOSED</x:v>
      </x:c>
      <x:c r="F5777" s="1" t="str">
        <x:v>Late delivery</x:v>
      </x:c>
      <x:c r="G5777" s="6" t="n">
        <x:v>2</x:v>
      </x:c>
      <x:c r="H5777" s="6" t="n">
        <x:v>1</x:v>
      </x:c>
      <x:c r="I5777" s="6" t="n">
        <x:f>G5777-H5777</x:f>
        <x:v>1</x:v>
      </x:c>
      <x:c r="J5777" s="6" t="n">
        <x:f>IF(OR(E5777="CANCELED",E5777="SUSPECTED_FRAUD",F5777="Shipping canceled"),0,1)</x:f>
        <x:v>1</x:v>
      </x:c>
      <x:c r="K5777" s="6" t="n">
        <x:f>IF(G5777&gt;H5777,1,0)</x:f>
        <x:v>1</x:v>
      </x:c>
      <x:c r="L5777" s="6" t="n">
        <x:f>J5777*K5777</x:f>
        <x:v>1</x:v>
      </x:c>
    </x:row>
    <x:row r="5778">
      <x:c r="A5778" s="1" t="n">
        <x:v>45322</x:v>
      </x:c>
      <x:c r="B5778" s="5" t="d">
        <x:v>2016-10-23T00:00:00.000Z</x:v>
      </x:c>
      <x:c r="C5778" s="1" t="str">
        <x:v>Standard Class</x:v>
      </x:c>
      <x:c r="D5778" s="1" t="str">
        <x:v>Africa</x:v>
      </x:c>
      <x:c r="E5778" s="1" t="str">
        <x:v>PENDING</x:v>
      </x:c>
      <x:c r="F5778" s="1" t="str">
        <x:v>Advance shipping</x:v>
      </x:c>
      <x:c r="G5778" s="6" t="n">
        <x:v>3</x:v>
      </x:c>
      <x:c r="H5778" s="6" t="n">
        <x:v>4</x:v>
      </x:c>
      <x:c r="I5778" s="6" t="n">
        <x:f>G5778-H5778</x:f>
        <x:v>-1</x:v>
      </x:c>
      <x:c r="J5778" s="6" t="n">
        <x:f>IF(OR(E5778="CANCELED",E5778="SUSPECTED_FRAUD",F5778="Shipping canceled"),0,1)</x:f>
        <x:v>1</x:v>
      </x:c>
      <x:c r="K5778" s="6" t="n">
        <x:f>IF(G5778&gt;H5778,1,0)</x:f>
        <x:v>0</x:v>
      </x:c>
      <x:c r="L5778" s="6" t="n">
        <x:f>J5778*K5778</x:f>
        <x:v>0</x:v>
      </x:c>
    </x:row>
    <x:row r="5779">
      <x:c r="A5779" s="1" t="n">
        <x:v>45326</x:v>
      </x:c>
      <x:c r="B5779" s="5" t="d">
        <x:v>2016-10-23T00:00:00.000Z</x:v>
      </x:c>
      <x:c r="C5779" s="1" t="str">
        <x:v>Same Day</x:v>
      </x:c>
      <x:c r="D5779" s="1" t="str">
        <x:v>Europe</x:v>
      </x:c>
      <x:c r="E5779" s="1" t="str">
        <x:v>CLOSED</x:v>
      </x:c>
      <x:c r="F5779" s="1" t="str">
        <x:v>Late delivery</x:v>
      </x:c>
      <x:c r="G5779" s="6" t="n">
        <x:v>1</x:v>
      </x:c>
      <x:c r="H5779" s="6" t="n">
        <x:v>0</x:v>
      </x:c>
      <x:c r="I5779" s="6" t="n">
        <x:f>G5779-H5779</x:f>
        <x:v>1</x:v>
      </x:c>
      <x:c r="J5779" s="6" t="n">
        <x:f>IF(OR(E5779="CANCELED",E5779="SUSPECTED_FRAUD",F5779="Shipping canceled"),0,1)</x:f>
        <x:v>1</x:v>
      </x:c>
      <x:c r="K5779" s="6" t="n">
        <x:f>IF(G5779&gt;H5779,1,0)</x:f>
        <x:v>1</x:v>
      </x:c>
      <x:c r="L5779" s="6" t="n">
        <x:f>J5779*K5779</x:f>
        <x:v>1</x:v>
      </x:c>
    </x:row>
    <x:row r="5780">
      <x:c r="A5780" s="1" t="n">
        <x:v>45339</x:v>
      </x:c>
      <x:c r="B5780" s="5" t="d">
        <x:v>2016-10-23T00:00:00.000Z</x:v>
      </x:c>
      <x:c r="C5780" s="1" t="str">
        <x:v>Standard Class</x:v>
      </x:c>
      <x:c r="D5780" s="1" t="str">
        <x:v>Pacific Asia</x:v>
      </x:c>
      <x:c r="E5780" s="1" t="str">
        <x:v>CANCELED</x:v>
      </x:c>
      <x:c r="F5780" s="1" t="str">
        <x:v>Shipping canceled</x:v>
      </x:c>
      <x:c r="G5780" s="6" t="n">
        <x:v>5</x:v>
      </x:c>
      <x:c r="H5780" s="6" t="n">
        <x:v>4</x:v>
      </x:c>
      <x:c r="I5780" s="6" t="n">
        <x:f>G5780-H5780</x:f>
        <x:v>1</x:v>
      </x:c>
      <x:c r="J5780" s="6" t="n">
        <x:f>IF(OR(E5780="CANCELED",E5780="SUSPECTED_FRAUD",F5780="Shipping canceled"),0,1)</x:f>
        <x:v>0</x:v>
      </x:c>
      <x:c r="K5780" s="6" t="n">
        <x:f>IF(G5780&gt;H5780,1,0)</x:f>
        <x:v>1</x:v>
      </x:c>
      <x:c r="L5780" s="6" t="n">
        <x:f>J5780*K5780</x:f>
        <x:v>0</x:v>
      </x:c>
    </x:row>
    <x:row r="5781">
      <x:c r="A5781" s="1" t="n">
        <x:v>45345</x:v>
      </x:c>
      <x:c r="B5781" s="5" t="d">
        <x:v>2016-10-23T00:00:00.000Z</x:v>
      </x:c>
      <x:c r="C5781" s="1" t="str">
        <x:v>Standard Class</x:v>
      </x:c>
      <x:c r="D5781" s="1" t="str">
        <x:v>Africa</x:v>
      </x:c>
      <x:c r="E5781" s="1" t="str">
        <x:v>COMPLETE</x:v>
      </x:c>
      <x:c r="F5781" s="1" t="str">
        <x:v>Late delivery</x:v>
      </x:c>
      <x:c r="G5781" s="6" t="n">
        <x:v>6</x:v>
      </x:c>
      <x:c r="H5781" s="6" t="n">
        <x:v>4</x:v>
      </x:c>
      <x:c r="I5781" s="6" t="n">
        <x:f>G5781-H5781</x:f>
        <x:v>2</x:v>
      </x:c>
      <x:c r="J5781" s="6" t="n">
        <x:f>IF(OR(E5781="CANCELED",E5781="SUSPECTED_FRAUD",F5781="Shipping canceled"),0,1)</x:f>
        <x:v>1</x:v>
      </x:c>
      <x:c r="K5781" s="6" t="n">
        <x:f>IF(G5781&gt;H5781,1,0)</x:f>
        <x:v>1</x:v>
      </x:c>
      <x:c r="L5781" s="6" t="n">
        <x:f>J5781*K5781</x:f>
        <x:v>1</x:v>
      </x:c>
    </x:row>
    <x:row r="5782">
      <x:c r="A5782" s="1" t="n">
        <x:v>45351</x:v>
      </x:c>
      <x:c r="B5782" s="5" t="d">
        <x:v>2016-10-24T00:00:00.000Z</x:v>
      </x:c>
      <x:c r="C5782" s="1" t="str">
        <x:v>First Class</x:v>
      </x:c>
      <x:c r="D5782" s="1" t="str">
        <x:v>Europe</x:v>
      </x:c>
      <x:c r="E5782" s="1" t="str">
        <x:v>CLOSED</x:v>
      </x:c>
      <x:c r="F5782" s="1" t="str">
        <x:v>Late delivery</x:v>
      </x:c>
      <x:c r="G5782" s="6" t="n">
        <x:v>2</x:v>
      </x:c>
      <x:c r="H5782" s="6" t="n">
        <x:v>1</x:v>
      </x:c>
      <x:c r="I5782" s="6" t="n">
        <x:f>G5782-H5782</x:f>
        <x:v>1</x:v>
      </x:c>
      <x:c r="J5782" s="6" t="n">
        <x:f>IF(OR(E5782="CANCELED",E5782="SUSPECTED_FRAUD",F5782="Shipping canceled"),0,1)</x:f>
        <x:v>1</x:v>
      </x:c>
      <x:c r="K5782" s="6" t="n">
        <x:f>IF(G5782&gt;H5782,1,0)</x:f>
        <x:v>1</x:v>
      </x:c>
      <x:c r="L5782" s="6" t="n">
        <x:f>J5782*K5782</x:f>
        <x:v>1</x:v>
      </x:c>
    </x:row>
    <x:row r="5783">
      <x:c r="A5783" s="1" t="n">
        <x:v>45360</x:v>
      </x:c>
      <x:c r="B5783" s="5" t="d">
        <x:v>2016-10-24T00:00:00.000Z</x:v>
      </x:c>
      <x:c r="C5783" s="1" t="str">
        <x:v>Standard Class</x:v>
      </x:c>
      <x:c r="D5783" s="1" t="str">
        <x:v>Europe</x:v>
      </x:c>
      <x:c r="E5783" s="1" t="str">
        <x:v>COMPLETE</x:v>
      </x:c>
      <x:c r="F5783" s="1" t="str">
        <x:v>Late delivery</x:v>
      </x:c>
      <x:c r="G5783" s="6" t="n">
        <x:v>6</x:v>
      </x:c>
      <x:c r="H5783" s="6" t="n">
        <x:v>4</x:v>
      </x:c>
      <x:c r="I5783" s="6" t="n">
        <x:f>G5783-H5783</x:f>
        <x:v>2</x:v>
      </x:c>
      <x:c r="J5783" s="6" t="n">
        <x:f>IF(OR(E5783="CANCELED",E5783="SUSPECTED_FRAUD",F5783="Shipping canceled"),0,1)</x:f>
        <x:v>1</x:v>
      </x:c>
      <x:c r="K5783" s="6" t="n">
        <x:f>IF(G5783&gt;H5783,1,0)</x:f>
        <x:v>1</x:v>
      </x:c>
      <x:c r="L5783" s="6" t="n">
        <x:f>J5783*K5783</x:f>
        <x:v>1</x:v>
      </x:c>
    </x:row>
    <x:row r="5784">
      <x:c r="A5784" s="1" t="n">
        <x:v>45361</x:v>
      </x:c>
      <x:c r="B5784" s="5" t="d">
        <x:v>2016-10-24T00:00:00.000Z</x:v>
      </x:c>
      <x:c r="C5784" s="1" t="str">
        <x:v>Standard Class</x:v>
      </x:c>
      <x:c r="D5784" s="1" t="str">
        <x:v>Europe</x:v>
      </x:c>
      <x:c r="E5784" s="1" t="str">
        <x:v>CLOSED</x:v>
      </x:c>
      <x:c r="F5784" s="1" t="str">
        <x:v>Advance shipping</x:v>
      </x:c>
      <x:c r="G5784" s="6" t="n">
        <x:v>2</x:v>
      </x:c>
      <x:c r="H5784" s="6" t="n">
        <x:v>4</x:v>
      </x:c>
      <x:c r="I5784" s="6" t="n">
        <x:f>G5784-H5784</x:f>
        <x:v>-2</x:v>
      </x:c>
      <x:c r="J5784" s="6" t="n">
        <x:f>IF(OR(E5784="CANCELED",E5784="SUSPECTED_FRAUD",F5784="Shipping canceled"),0,1)</x:f>
        <x:v>1</x:v>
      </x:c>
      <x:c r="K5784" s="6" t="n">
        <x:f>IF(G5784&gt;H5784,1,0)</x:f>
        <x:v>0</x:v>
      </x:c>
      <x:c r="L5784" s="6" t="n">
        <x:f>J5784*K5784</x:f>
        <x:v>0</x:v>
      </x:c>
    </x:row>
    <x:row r="5785">
      <x:c r="A5785" s="1" t="n">
        <x:v>45368</x:v>
      </x:c>
      <x:c r="B5785" s="5" t="d">
        <x:v>2016-10-24T00:00:00.000Z</x:v>
      </x:c>
      <x:c r="C5785" s="1" t="str">
        <x:v>First Class</x:v>
      </x:c>
      <x:c r="D5785" s="1" t="str">
        <x:v>Africa</x:v>
      </x:c>
      <x:c r="E5785" s="1" t="str">
        <x:v>PENDING</x:v>
      </x:c>
      <x:c r="F5785" s="1" t="str">
        <x:v>Late delivery</x:v>
      </x:c>
      <x:c r="G5785" s="6" t="n">
        <x:v>2</x:v>
      </x:c>
      <x:c r="H5785" s="6" t="n">
        <x:v>1</x:v>
      </x:c>
      <x:c r="I5785" s="6" t="n">
        <x:f>G5785-H5785</x:f>
        <x:v>1</x:v>
      </x:c>
      <x:c r="J5785" s="6" t="n">
        <x:f>IF(OR(E5785="CANCELED",E5785="SUSPECTED_FRAUD",F5785="Shipping canceled"),0,1)</x:f>
        <x:v>1</x:v>
      </x:c>
      <x:c r="K5785" s="6" t="n">
        <x:f>IF(G5785&gt;H5785,1,0)</x:f>
        <x:v>1</x:v>
      </x:c>
      <x:c r="L5785" s="6" t="n">
        <x:f>J5785*K5785</x:f>
        <x:v>1</x:v>
      </x:c>
    </x:row>
    <x:row r="5786">
      <x:c r="A5786" s="1" t="n">
        <x:v>45380</x:v>
      </x:c>
      <x:c r="B5786" s="5" t="d">
        <x:v>2016-10-24T00:00:00.000Z</x:v>
      </x:c>
      <x:c r="C5786" s="1" t="str">
        <x:v>Standard Class</x:v>
      </x:c>
      <x:c r="D5786" s="1" t="str">
        <x:v>Pacific Asia</x:v>
      </x:c>
      <x:c r="E5786" s="1" t="str">
        <x:v>PROCESSING</x:v>
      </x:c>
      <x:c r="F5786" s="1" t="str">
        <x:v>Late delivery</x:v>
      </x:c>
      <x:c r="G5786" s="6" t="n">
        <x:v>6</x:v>
      </x:c>
      <x:c r="H5786" s="6" t="n">
        <x:v>4</x:v>
      </x:c>
      <x:c r="I5786" s="6" t="n">
        <x:f>G5786-H5786</x:f>
        <x:v>2</x:v>
      </x:c>
      <x:c r="J5786" s="6" t="n">
        <x:f>IF(OR(E5786="CANCELED",E5786="SUSPECTED_FRAUD",F5786="Shipping canceled"),0,1)</x:f>
        <x:v>1</x:v>
      </x:c>
      <x:c r="K5786" s="6" t="n">
        <x:f>IF(G5786&gt;H5786,1,0)</x:f>
        <x:v>1</x:v>
      </x:c>
      <x:c r="L5786" s="6" t="n">
        <x:f>J5786*K5786</x:f>
        <x:v>1</x:v>
      </x:c>
    </x:row>
    <x:row r="5787">
      <x:c r="A5787" s="1" t="n">
        <x:v>45384</x:v>
      </x:c>
      <x:c r="B5787" s="5" t="d">
        <x:v>2016-10-24T00:00:00.000Z</x:v>
      </x:c>
      <x:c r="C5787" s="1" t="str">
        <x:v>Standard Class</x:v>
      </x:c>
      <x:c r="D5787" s="1" t="str">
        <x:v>Pacific Asia</x:v>
      </x:c>
      <x:c r="E5787" s="1" t="str">
        <x:v>PAYMENT_REVIEW</x:v>
      </x:c>
      <x:c r="F5787" s="1" t="str">
        <x:v>Late delivery</x:v>
      </x:c>
      <x:c r="G5787" s="6" t="n">
        <x:v>5</x:v>
      </x:c>
      <x:c r="H5787" s="6" t="n">
        <x:v>4</x:v>
      </x:c>
      <x:c r="I5787" s="6" t="n">
        <x:f>G5787-H5787</x:f>
        <x:v>1</x:v>
      </x:c>
      <x:c r="J5787" s="6" t="n">
        <x:f>IF(OR(E5787="CANCELED",E5787="SUSPECTED_FRAUD",F5787="Shipping canceled"),0,1)</x:f>
        <x:v>1</x:v>
      </x:c>
      <x:c r="K5787" s="6" t="n">
        <x:f>IF(G5787&gt;H5787,1,0)</x:f>
        <x:v>1</x:v>
      </x:c>
      <x:c r="L5787" s="6" t="n">
        <x:f>J5787*K5787</x:f>
        <x:v>1</x:v>
      </x:c>
    </x:row>
    <x:row r="5788">
      <x:c r="A5788" s="1" t="n">
        <x:v>45385</x:v>
      </x:c>
      <x:c r="B5788" s="5" t="d">
        <x:v>2016-10-24T00:00:00.000Z</x:v>
      </x:c>
      <x:c r="C5788" s="1" t="str">
        <x:v>Standard Class</x:v>
      </x:c>
      <x:c r="D5788" s="1" t="str">
        <x:v>Africa</x:v>
      </x:c>
      <x:c r="E5788" s="1" t="str">
        <x:v>COMPLETE</x:v>
      </x:c>
      <x:c r="F5788" s="1" t="str">
        <x:v>Late delivery</x:v>
      </x:c>
      <x:c r="G5788" s="6" t="n">
        <x:v>6</x:v>
      </x:c>
      <x:c r="H5788" s="6" t="n">
        <x:v>4</x:v>
      </x:c>
      <x:c r="I5788" s="6" t="n">
        <x:f>G5788-H5788</x:f>
        <x:v>2</x:v>
      </x:c>
      <x:c r="J5788" s="6" t="n">
        <x:f>IF(OR(E5788="CANCELED",E5788="SUSPECTED_FRAUD",F5788="Shipping canceled"),0,1)</x:f>
        <x:v>1</x:v>
      </x:c>
      <x:c r="K5788" s="6" t="n">
        <x:f>IF(G5788&gt;H5788,1,0)</x:f>
        <x:v>1</x:v>
      </x:c>
      <x:c r="L5788" s="6" t="n">
        <x:f>J5788*K5788</x:f>
        <x:v>1</x:v>
      </x:c>
    </x:row>
    <x:row r="5789">
      <x:c r="A5789" s="1" t="n">
        <x:v>45389</x:v>
      </x:c>
      <x:c r="B5789" s="5" t="d">
        <x:v>2016-10-24T00:00:00.000Z</x:v>
      </x:c>
      <x:c r="C5789" s="1" t="str">
        <x:v>Standard Class</x:v>
      </x:c>
      <x:c r="D5789" s="1" t="str">
        <x:v>Europe</x:v>
      </x:c>
      <x:c r="E5789" s="1" t="str">
        <x:v>COMPLETE</x:v>
      </x:c>
      <x:c r="F5789" s="1" t="str">
        <x:v>Late delivery</x:v>
      </x:c>
      <x:c r="G5789" s="6" t="n">
        <x:v>5</x:v>
      </x:c>
      <x:c r="H5789" s="6" t="n">
        <x:v>4</x:v>
      </x:c>
      <x:c r="I5789" s="6" t="n">
        <x:f>G5789-H5789</x:f>
        <x:v>1</x:v>
      </x:c>
      <x:c r="J5789" s="6" t="n">
        <x:f>IF(OR(E5789="CANCELED",E5789="SUSPECTED_FRAUD",F5789="Shipping canceled"),0,1)</x:f>
        <x:v>1</x:v>
      </x:c>
      <x:c r="K5789" s="6" t="n">
        <x:f>IF(G5789&gt;H5789,1,0)</x:f>
        <x:v>1</x:v>
      </x:c>
      <x:c r="L5789" s="6" t="n">
        <x:f>J5789*K5789</x:f>
        <x:v>1</x:v>
      </x:c>
    </x:row>
    <x:row r="5790">
      <x:c r="A5790" s="1" t="n">
        <x:v>45390</x:v>
      </x:c>
      <x:c r="B5790" s="5" t="d">
        <x:v>2016-10-24T00:00:00.000Z</x:v>
      </x:c>
      <x:c r="C5790" s="1" t="str">
        <x:v>Standard Class</x:v>
      </x:c>
      <x:c r="D5790" s="1" t="str">
        <x:v>Europe</x:v>
      </x:c>
      <x:c r="E5790" s="1" t="str">
        <x:v>PENDING_PAYMENT</x:v>
      </x:c>
      <x:c r="F5790" s="1" t="str">
        <x:v>Late delivery</x:v>
      </x:c>
      <x:c r="G5790" s="6" t="n">
        <x:v>6</x:v>
      </x:c>
      <x:c r="H5790" s="6" t="n">
        <x:v>4</x:v>
      </x:c>
      <x:c r="I5790" s="6" t="n">
        <x:f>G5790-H5790</x:f>
        <x:v>2</x:v>
      </x:c>
      <x:c r="J5790" s="6" t="n">
        <x:f>IF(OR(E5790="CANCELED",E5790="SUSPECTED_FRAUD",F5790="Shipping canceled"),0,1)</x:f>
        <x:v>1</x:v>
      </x:c>
      <x:c r="K5790" s="6" t="n">
        <x:f>IF(G5790&gt;H5790,1,0)</x:f>
        <x:v>1</x:v>
      </x:c>
      <x:c r="L5790" s="6" t="n">
        <x:f>J5790*K5790</x:f>
        <x:v>1</x:v>
      </x:c>
    </x:row>
    <x:row r="5791">
      <x:c r="A5791" s="1" t="n">
        <x:v>45398</x:v>
      </x:c>
      <x:c r="B5791" s="5" t="d">
        <x:v>2016-10-24T00:00:00.000Z</x:v>
      </x:c>
      <x:c r="C5791" s="1" t="str">
        <x:v>Standard Class</x:v>
      </x:c>
      <x:c r="D5791" s="1" t="str">
        <x:v>Africa</x:v>
      </x:c>
      <x:c r="E5791" s="1" t="str">
        <x:v>ON_HOLD</x:v>
      </x:c>
      <x:c r="F5791" s="1" t="str">
        <x:v>Shipping on time</x:v>
      </x:c>
      <x:c r="G5791" s="6" t="n">
        <x:v>4</x:v>
      </x:c>
      <x:c r="H5791" s="6" t="n">
        <x:v>4</x:v>
      </x:c>
      <x:c r="I5791" s="6" t="n">
        <x:f>G5791-H5791</x:f>
        <x:v>0</x:v>
      </x:c>
      <x:c r="J5791" s="6" t="n">
        <x:f>IF(OR(E5791="CANCELED",E5791="SUSPECTED_FRAUD",F5791="Shipping canceled"),0,1)</x:f>
        <x:v>1</x:v>
      </x:c>
      <x:c r="K5791" s="6" t="n">
        <x:f>IF(G5791&gt;H5791,1,0)</x:f>
        <x:v>0</x:v>
      </x:c>
      <x:c r="L5791" s="6" t="n">
        <x:f>J5791*K5791</x:f>
        <x:v>0</x:v>
      </x:c>
    </x:row>
    <x:row r="5792">
      <x:c r="A5792" s="1" t="n">
        <x:v>45418</x:v>
      </x:c>
      <x:c r="B5792" s="5" t="d">
        <x:v>2016-10-24T00:00:00.000Z</x:v>
      </x:c>
      <x:c r="C5792" s="1" t="str">
        <x:v>Standard Class</x:v>
      </x:c>
      <x:c r="D5792" s="1" t="str">
        <x:v>Africa</x:v>
      </x:c>
      <x:c r="E5792" s="1" t="str">
        <x:v>PENDING_PAYMENT</x:v>
      </x:c>
      <x:c r="F5792" s="1" t="str">
        <x:v>Shipping on time</x:v>
      </x:c>
      <x:c r="G5792" s="6" t="n">
        <x:v>4</x:v>
      </x:c>
      <x:c r="H5792" s="6" t="n">
        <x:v>4</x:v>
      </x:c>
      <x:c r="I5792" s="6" t="n">
        <x:f>G5792-H5792</x:f>
        <x:v>0</x:v>
      </x:c>
      <x:c r="J5792" s="6" t="n">
        <x:f>IF(OR(E5792="CANCELED",E5792="SUSPECTED_FRAUD",F5792="Shipping canceled"),0,1)</x:f>
        <x:v>1</x:v>
      </x:c>
      <x:c r="K5792" s="6" t="n">
        <x:f>IF(G5792&gt;H5792,1,0)</x:f>
        <x:v>0</x:v>
      </x:c>
      <x:c r="L5792" s="6" t="n">
        <x:f>J5792*K5792</x:f>
        <x:v>0</x:v>
      </x:c>
    </x:row>
    <x:row r="5793">
      <x:c r="A5793" s="1" t="n">
        <x:v>45420</x:v>
      </x:c>
      <x:c r="B5793" s="5" t="d">
        <x:v>2016-10-25T00:00:00.000Z</x:v>
      </x:c>
      <x:c r="C5793" s="1" t="str">
        <x:v>Standard Class</x:v>
      </x:c>
      <x:c r="D5793" s="1" t="str">
        <x:v>Europe</x:v>
      </x:c>
      <x:c r="E5793" s="1" t="str">
        <x:v>SUSPECTED_FRAUD</x:v>
      </x:c>
      <x:c r="F5793" s="1" t="str">
        <x:v>Shipping canceled</x:v>
      </x:c>
      <x:c r="G5793" s="6" t="n">
        <x:v>6</x:v>
      </x:c>
      <x:c r="H5793" s="6" t="n">
        <x:v>4</x:v>
      </x:c>
      <x:c r="I5793" s="6" t="n">
        <x:f>G5793-H5793</x:f>
        <x:v>2</x:v>
      </x:c>
      <x:c r="J5793" s="6" t="n">
        <x:f>IF(OR(E5793="CANCELED",E5793="SUSPECTED_FRAUD",F5793="Shipping canceled"),0,1)</x:f>
        <x:v>0</x:v>
      </x:c>
      <x:c r="K5793" s="6" t="n">
        <x:f>IF(G5793&gt;H5793,1,0)</x:f>
        <x:v>1</x:v>
      </x:c>
      <x:c r="L5793" s="6" t="n">
        <x:f>J5793*K5793</x:f>
        <x:v>0</x:v>
      </x:c>
    </x:row>
    <x:row r="5794">
      <x:c r="A5794" s="1" t="n">
        <x:v>45434</x:v>
      </x:c>
      <x:c r="B5794" s="5" t="d">
        <x:v>2016-10-25T00:00:00.000Z</x:v>
      </x:c>
      <x:c r="C5794" s="1" t="str">
        <x:v>Standard Class</x:v>
      </x:c>
      <x:c r="D5794" s="1" t="str">
        <x:v>Europe</x:v>
      </x:c>
      <x:c r="E5794" s="1" t="str">
        <x:v>COMPLETE</x:v>
      </x:c>
      <x:c r="F5794" s="1" t="str">
        <x:v>Late delivery</x:v>
      </x:c>
      <x:c r="G5794" s="6" t="n">
        <x:v>5</x:v>
      </x:c>
      <x:c r="H5794" s="6" t="n">
        <x:v>4</x:v>
      </x:c>
      <x:c r="I5794" s="6" t="n">
        <x:f>G5794-H5794</x:f>
        <x:v>1</x:v>
      </x:c>
      <x:c r="J5794" s="6" t="n">
        <x:f>IF(OR(E5794="CANCELED",E5794="SUSPECTED_FRAUD",F5794="Shipping canceled"),0,1)</x:f>
        <x:v>1</x:v>
      </x:c>
      <x:c r="K5794" s="6" t="n">
        <x:f>IF(G5794&gt;H5794,1,0)</x:f>
        <x:v>1</x:v>
      </x:c>
      <x:c r="L5794" s="6" t="n">
        <x:f>J5794*K5794</x:f>
        <x:v>1</x:v>
      </x:c>
    </x:row>
    <x:row r="5795">
      <x:c r="A5795" s="1" t="n">
        <x:v>45437</x:v>
      </x:c>
      <x:c r="B5795" s="5" t="d">
        <x:v>2016-10-25T00:00:00.000Z</x:v>
      </x:c>
      <x:c r="C5795" s="1" t="str">
        <x:v>Standard Class</x:v>
      </x:c>
      <x:c r="D5795" s="1" t="str">
        <x:v>Europe</x:v>
      </x:c>
      <x:c r="E5795" s="1" t="str">
        <x:v>COMPLETE</x:v>
      </x:c>
      <x:c r="F5795" s="1" t="str">
        <x:v>Advance shipping</x:v>
      </x:c>
      <x:c r="G5795" s="6" t="n">
        <x:v>3</x:v>
      </x:c>
      <x:c r="H5795" s="6" t="n">
        <x:v>4</x:v>
      </x:c>
      <x:c r="I5795" s="6" t="n">
        <x:f>G5795-H5795</x:f>
        <x:v>-1</x:v>
      </x:c>
      <x:c r="J5795" s="6" t="n">
        <x:f>IF(OR(E5795="CANCELED",E5795="SUSPECTED_FRAUD",F5795="Shipping canceled"),0,1)</x:f>
        <x:v>1</x:v>
      </x:c>
      <x:c r="K5795" s="6" t="n">
        <x:f>IF(G5795&gt;H5795,1,0)</x:f>
        <x:v>0</x:v>
      </x:c>
      <x:c r="L5795" s="6" t="n">
        <x:f>J5795*K5795</x:f>
        <x:v>0</x:v>
      </x:c>
    </x:row>
    <x:row r="5796">
      <x:c r="A5796" s="1" t="n">
        <x:v>45445</x:v>
      </x:c>
      <x:c r="B5796" s="5" t="d">
        <x:v>2016-10-25T00:00:00.000Z</x:v>
      </x:c>
      <x:c r="C5796" s="1" t="str">
        <x:v>First Class</x:v>
      </x:c>
      <x:c r="D5796" s="1" t="str">
        <x:v>Africa</x:v>
      </x:c>
      <x:c r="E5796" s="1" t="str">
        <x:v>CLOSED</x:v>
      </x:c>
      <x:c r="F5796" s="1" t="str">
        <x:v>Late delivery</x:v>
      </x:c>
      <x:c r="G5796" s="6" t="n">
        <x:v>2</x:v>
      </x:c>
      <x:c r="H5796" s="6" t="n">
        <x:v>1</x:v>
      </x:c>
      <x:c r="I5796" s="6" t="n">
        <x:f>G5796-H5796</x:f>
        <x:v>1</x:v>
      </x:c>
      <x:c r="J5796" s="6" t="n">
        <x:f>IF(OR(E5796="CANCELED",E5796="SUSPECTED_FRAUD",F5796="Shipping canceled"),0,1)</x:f>
        <x:v>1</x:v>
      </x:c>
      <x:c r="K5796" s="6" t="n">
        <x:f>IF(G5796&gt;H5796,1,0)</x:f>
        <x:v>1</x:v>
      </x:c>
      <x:c r="L5796" s="6" t="n">
        <x:f>J5796*K5796</x:f>
        <x:v>1</x:v>
      </x:c>
    </x:row>
    <x:row r="5797">
      <x:c r="A5797" s="1" t="n">
        <x:v>45450</x:v>
      </x:c>
      <x:c r="B5797" s="5" t="d">
        <x:v>2016-10-25T00:00:00.000Z</x:v>
      </x:c>
      <x:c r="C5797" s="1" t="str">
        <x:v>Standard Class</x:v>
      </x:c>
      <x:c r="D5797" s="1" t="str">
        <x:v>Africa</x:v>
      </x:c>
      <x:c r="E5797" s="1" t="str">
        <x:v>PROCESSING</x:v>
      </x:c>
      <x:c r="F5797" s="1" t="str">
        <x:v>Late delivery</x:v>
      </x:c>
      <x:c r="G5797" s="6" t="n">
        <x:v>6</x:v>
      </x:c>
      <x:c r="H5797" s="6" t="n">
        <x:v>4</x:v>
      </x:c>
      <x:c r="I5797" s="6" t="n">
        <x:f>G5797-H5797</x:f>
        <x:v>2</x:v>
      </x:c>
      <x:c r="J5797" s="6" t="n">
        <x:f>IF(OR(E5797="CANCELED",E5797="SUSPECTED_FRAUD",F5797="Shipping canceled"),0,1)</x:f>
        <x:v>1</x:v>
      </x:c>
      <x:c r="K5797" s="6" t="n">
        <x:f>IF(G5797&gt;H5797,1,0)</x:f>
        <x:v>1</x:v>
      </x:c>
      <x:c r="L5797" s="6" t="n">
        <x:f>J5797*K5797</x:f>
        <x:v>1</x:v>
      </x:c>
    </x:row>
    <x:row r="5798">
      <x:c r="A5798" s="1" t="n">
        <x:v>45454</x:v>
      </x:c>
      <x:c r="B5798" s="5" t="d">
        <x:v>2016-10-25T00:00:00.000Z</x:v>
      </x:c>
      <x:c r="C5798" s="1" t="str">
        <x:v>Standard Class</x:v>
      </x:c>
      <x:c r="D5798" s="1" t="str">
        <x:v>Africa</x:v>
      </x:c>
      <x:c r="E5798" s="1" t="str">
        <x:v>PENDING_PAYMENT</x:v>
      </x:c>
      <x:c r="F5798" s="1" t="str">
        <x:v>Late delivery</x:v>
      </x:c>
      <x:c r="G5798" s="6" t="n">
        <x:v>5</x:v>
      </x:c>
      <x:c r="H5798" s="6" t="n">
        <x:v>4</x:v>
      </x:c>
      <x:c r="I5798" s="6" t="n">
        <x:f>G5798-H5798</x:f>
        <x:v>1</x:v>
      </x:c>
      <x:c r="J5798" s="6" t="n">
        <x:f>IF(OR(E5798="CANCELED",E5798="SUSPECTED_FRAUD",F5798="Shipping canceled"),0,1)</x:f>
        <x:v>1</x:v>
      </x:c>
      <x:c r="K5798" s="6" t="n">
        <x:f>IF(G5798&gt;H5798,1,0)</x:f>
        <x:v>1</x:v>
      </x:c>
      <x:c r="L5798" s="6" t="n">
        <x:f>J5798*K5798</x:f>
        <x:v>1</x:v>
      </x:c>
    </x:row>
    <x:row r="5799">
      <x:c r="A5799" s="1" t="n">
        <x:v>45455</x:v>
      </x:c>
      <x:c r="B5799" s="5" t="d">
        <x:v>2016-10-25T00:00:00.000Z</x:v>
      </x:c>
      <x:c r="C5799" s="1" t="str">
        <x:v>Standard Class</x:v>
      </x:c>
      <x:c r="D5799" s="1" t="str">
        <x:v>Europe</x:v>
      </x:c>
      <x:c r="E5799" s="1" t="str">
        <x:v>PROCESSING</x:v>
      </x:c>
      <x:c r="F5799" s="1" t="str">
        <x:v>Late delivery</x:v>
      </x:c>
      <x:c r="G5799" s="6" t="n">
        <x:v>6</x:v>
      </x:c>
      <x:c r="H5799" s="6" t="n">
        <x:v>4</x:v>
      </x:c>
      <x:c r="I5799" s="6" t="n">
        <x:f>G5799-H5799</x:f>
        <x:v>2</x:v>
      </x:c>
      <x:c r="J5799" s="6" t="n">
        <x:f>IF(OR(E5799="CANCELED",E5799="SUSPECTED_FRAUD",F5799="Shipping canceled"),0,1)</x:f>
        <x:v>1</x:v>
      </x:c>
      <x:c r="K5799" s="6" t="n">
        <x:f>IF(G5799&gt;H5799,1,0)</x:f>
        <x:v>1</x:v>
      </x:c>
      <x:c r="L5799" s="6" t="n">
        <x:f>J5799*K5799</x:f>
        <x:v>1</x:v>
      </x:c>
    </x:row>
    <x:row r="5800">
      <x:c r="A5800" s="1" t="n">
        <x:v>45461</x:v>
      </x:c>
      <x:c r="B5800" s="5" t="d">
        <x:v>2016-10-25T00:00:00.000Z</x:v>
      </x:c>
      <x:c r="C5800" s="1" t="str">
        <x:v>Second Class</x:v>
      </x:c>
      <x:c r="D5800" s="1" t="str">
        <x:v>Pacific Asia</x:v>
      </x:c>
      <x:c r="E5800" s="1" t="str">
        <x:v>PENDING_PAYMENT</x:v>
      </x:c>
      <x:c r="F5800" s="1" t="str">
        <x:v>Shipping on time</x:v>
      </x:c>
      <x:c r="G5800" s="6" t="n">
        <x:v>2</x:v>
      </x:c>
      <x:c r="H5800" s="6" t="n">
        <x:v>2</x:v>
      </x:c>
      <x:c r="I5800" s="6" t="n">
        <x:f>G5800-H5800</x:f>
        <x:v>0</x:v>
      </x:c>
      <x:c r="J5800" s="6" t="n">
        <x:f>IF(OR(E5800="CANCELED",E5800="SUSPECTED_FRAUD",F5800="Shipping canceled"),0,1)</x:f>
        <x:v>1</x:v>
      </x:c>
      <x:c r="K5800" s="6" t="n">
        <x:f>IF(G5800&gt;H5800,1,0)</x:f>
        <x:v>0</x:v>
      </x:c>
      <x:c r="L5800" s="6" t="n">
        <x:f>J5800*K5800</x:f>
        <x:v>0</x:v>
      </x:c>
    </x:row>
    <x:row r="5801">
      <x:c r="A5801" s="1" t="n">
        <x:v>45464</x:v>
      </x:c>
      <x:c r="B5801" s="5" t="d">
        <x:v>2016-10-25T00:00:00.000Z</x:v>
      </x:c>
      <x:c r="C5801" s="1" t="str">
        <x:v>First Class</x:v>
      </x:c>
      <x:c r="D5801" s="1" t="str">
        <x:v>Europe</x:v>
      </x:c>
      <x:c r="E5801" s="1" t="str">
        <x:v>CLOSED</x:v>
      </x:c>
      <x:c r="F5801" s="1" t="str">
        <x:v>Late delivery</x:v>
      </x:c>
      <x:c r="G5801" s="6" t="n">
        <x:v>2</x:v>
      </x:c>
      <x:c r="H5801" s="6" t="n">
        <x:v>1</x:v>
      </x:c>
      <x:c r="I5801" s="6" t="n">
        <x:f>G5801-H5801</x:f>
        <x:v>1</x:v>
      </x:c>
      <x:c r="J5801" s="6" t="n">
        <x:f>IF(OR(E5801="CANCELED",E5801="SUSPECTED_FRAUD",F5801="Shipping canceled"),0,1)</x:f>
        <x:v>1</x:v>
      </x:c>
      <x:c r="K5801" s="6" t="n">
        <x:f>IF(G5801&gt;H5801,1,0)</x:f>
        <x:v>1</x:v>
      </x:c>
      <x:c r="L5801" s="6" t="n">
        <x:f>J5801*K5801</x:f>
        <x:v>1</x:v>
      </x:c>
    </x:row>
    <x:row r="5802">
      <x:c r="A5802" s="1" t="n">
        <x:v>45469</x:v>
      </x:c>
      <x:c r="B5802" s="5" t="d">
        <x:v>2016-10-25T00:00:00.000Z</x:v>
      </x:c>
      <x:c r="C5802" s="1" t="str">
        <x:v>Standard Class</x:v>
      </x:c>
      <x:c r="D5802" s="1" t="str">
        <x:v>Africa</x:v>
      </x:c>
      <x:c r="E5802" s="1" t="str">
        <x:v>COMPLETE</x:v>
      </x:c>
      <x:c r="F5802" s="1" t="str">
        <x:v>Late delivery</x:v>
      </x:c>
      <x:c r="G5802" s="6" t="n">
        <x:v>5</x:v>
      </x:c>
      <x:c r="H5802" s="6" t="n">
        <x:v>4</x:v>
      </x:c>
      <x:c r="I5802" s="6" t="n">
        <x:f>G5802-H5802</x:f>
        <x:v>1</x:v>
      </x:c>
      <x:c r="J5802" s="6" t="n">
        <x:f>IF(OR(E5802="CANCELED",E5802="SUSPECTED_FRAUD",F5802="Shipping canceled"),0,1)</x:f>
        <x:v>1</x:v>
      </x:c>
      <x:c r="K5802" s="6" t="n">
        <x:f>IF(G5802&gt;H5802,1,0)</x:f>
        <x:v>1</x:v>
      </x:c>
      <x:c r="L5802" s="6" t="n">
        <x:f>J5802*K5802</x:f>
        <x:v>1</x:v>
      </x:c>
    </x:row>
    <x:row r="5803">
      <x:c r="A5803" s="1" t="n">
        <x:v>45470</x:v>
      </x:c>
      <x:c r="B5803" s="5" t="d">
        <x:v>2016-10-25T00:00:00.000Z</x:v>
      </x:c>
      <x:c r="C5803" s="1" t="str">
        <x:v>Standard Class</x:v>
      </x:c>
      <x:c r="D5803" s="1" t="str">
        <x:v>Europe</x:v>
      </x:c>
      <x:c r="E5803" s="1" t="str">
        <x:v>ON_HOLD</x:v>
      </x:c>
      <x:c r="F5803" s="1" t="str">
        <x:v>Late delivery</x:v>
      </x:c>
      <x:c r="G5803" s="6" t="n">
        <x:v>6</x:v>
      </x:c>
      <x:c r="H5803" s="6" t="n">
        <x:v>4</x:v>
      </x:c>
      <x:c r="I5803" s="6" t="n">
        <x:f>G5803-H5803</x:f>
        <x:v>2</x:v>
      </x:c>
      <x:c r="J5803" s="6" t="n">
        <x:f>IF(OR(E5803="CANCELED",E5803="SUSPECTED_FRAUD",F5803="Shipping canceled"),0,1)</x:f>
        <x:v>1</x:v>
      </x:c>
      <x:c r="K5803" s="6" t="n">
        <x:f>IF(G5803&gt;H5803,1,0)</x:f>
        <x:v>1</x:v>
      </x:c>
      <x:c r="L5803" s="6" t="n">
        <x:f>J5803*K5803</x:f>
        <x:v>1</x:v>
      </x:c>
    </x:row>
    <x:row r="5804">
      <x:c r="A5804" s="1" t="n">
        <x:v>45481</x:v>
      </x:c>
      <x:c r="B5804" s="5" t="d">
        <x:v>2016-10-25T00:00:00.000Z</x:v>
      </x:c>
      <x:c r="C5804" s="1" t="str">
        <x:v>First Class</x:v>
      </x:c>
      <x:c r="D5804" s="1" t="str">
        <x:v>Europe</x:v>
      </x:c>
      <x:c r="E5804" s="1" t="str">
        <x:v>PENDING_PAYMENT</x:v>
      </x:c>
      <x:c r="F5804" s="1" t="str">
        <x:v>Late delivery</x:v>
      </x:c>
      <x:c r="G5804" s="6" t="n">
        <x:v>2</x:v>
      </x:c>
      <x:c r="H5804" s="6" t="n">
        <x:v>1</x:v>
      </x:c>
      <x:c r="I5804" s="6" t="n">
        <x:f>G5804-H5804</x:f>
        <x:v>1</x:v>
      </x:c>
      <x:c r="J5804" s="6" t="n">
        <x:f>IF(OR(E5804="CANCELED",E5804="SUSPECTED_FRAUD",F5804="Shipping canceled"),0,1)</x:f>
        <x:v>1</x:v>
      </x:c>
      <x:c r="K5804" s="6" t="n">
        <x:f>IF(G5804&gt;H5804,1,0)</x:f>
        <x:v>1</x:v>
      </x:c>
      <x:c r="L5804" s="6" t="n">
        <x:f>J5804*K5804</x:f>
        <x:v>1</x:v>
      </x:c>
    </x:row>
    <x:row r="5805">
      <x:c r="A5805" s="1" t="n">
        <x:v>45484</x:v>
      </x:c>
      <x:c r="B5805" s="5" t="d">
        <x:v>2016-10-25T00:00:00.000Z</x:v>
      </x:c>
      <x:c r="C5805" s="1" t="str">
        <x:v>Standard Class</x:v>
      </x:c>
      <x:c r="D5805" s="1" t="str">
        <x:v>Africa</x:v>
      </x:c>
      <x:c r="E5805" s="1" t="str">
        <x:v>PENDING</x:v>
      </x:c>
      <x:c r="F5805" s="1" t="str">
        <x:v>Late delivery</x:v>
      </x:c>
      <x:c r="G5805" s="6" t="n">
        <x:v>5</x:v>
      </x:c>
      <x:c r="H5805" s="6" t="n">
        <x:v>4</x:v>
      </x:c>
      <x:c r="I5805" s="6" t="n">
        <x:f>G5805-H5805</x:f>
        <x:v>1</x:v>
      </x:c>
      <x:c r="J5805" s="6" t="n">
        <x:f>IF(OR(E5805="CANCELED",E5805="SUSPECTED_FRAUD",F5805="Shipping canceled"),0,1)</x:f>
        <x:v>1</x:v>
      </x:c>
      <x:c r="K5805" s="6" t="n">
        <x:f>IF(G5805&gt;H5805,1,0)</x:f>
        <x:v>1</x:v>
      </x:c>
      <x:c r="L5805" s="6" t="n">
        <x:f>J5805*K5805</x:f>
        <x:v>1</x:v>
      </x:c>
    </x:row>
    <x:row r="5806">
      <x:c r="A5806" s="1" t="n">
        <x:v>45491</x:v>
      </x:c>
      <x:c r="B5806" s="5" t="d">
        <x:v>2016-10-26T00:00:00.000Z</x:v>
      </x:c>
      <x:c r="C5806" s="1" t="str">
        <x:v>Standard Class</x:v>
      </x:c>
      <x:c r="D5806" s="1" t="str">
        <x:v>Europe</x:v>
      </x:c>
      <x:c r="E5806" s="1" t="str">
        <x:v>PENDING_PAYMENT</x:v>
      </x:c>
      <x:c r="F5806" s="1" t="str">
        <x:v>Advance shipping</x:v>
      </x:c>
      <x:c r="G5806" s="6" t="n">
        <x:v>2</x:v>
      </x:c>
      <x:c r="H5806" s="6" t="n">
        <x:v>4</x:v>
      </x:c>
      <x:c r="I5806" s="6" t="n">
        <x:f>G5806-H5806</x:f>
        <x:v>-2</x:v>
      </x:c>
      <x:c r="J5806" s="6" t="n">
        <x:f>IF(OR(E5806="CANCELED",E5806="SUSPECTED_FRAUD",F5806="Shipping canceled"),0,1)</x:f>
        <x:v>1</x:v>
      </x:c>
      <x:c r="K5806" s="6" t="n">
        <x:f>IF(G5806&gt;H5806,1,0)</x:f>
        <x:v>0</x:v>
      </x:c>
      <x:c r="L5806" s="6" t="n">
        <x:f>J5806*K5806</x:f>
        <x:v>0</x:v>
      </x:c>
    </x:row>
    <x:row r="5807">
      <x:c r="A5807" s="1" t="n">
        <x:v>45493</x:v>
      </x:c>
      <x:c r="B5807" s="5" t="d">
        <x:v>2016-10-26T00:00:00.000Z</x:v>
      </x:c>
      <x:c r="C5807" s="1" t="str">
        <x:v>Standard Class</x:v>
      </x:c>
      <x:c r="D5807" s="1" t="str">
        <x:v>Pacific Asia</x:v>
      </x:c>
      <x:c r="E5807" s="1" t="str">
        <x:v>PENDING</x:v>
      </x:c>
      <x:c r="F5807" s="1" t="str">
        <x:v>Shipping on time</x:v>
      </x:c>
      <x:c r="G5807" s="6" t="n">
        <x:v>4</x:v>
      </x:c>
      <x:c r="H5807" s="6" t="n">
        <x:v>4</x:v>
      </x:c>
      <x:c r="I5807" s="6" t="n">
        <x:f>G5807-H5807</x:f>
        <x:v>0</x:v>
      </x:c>
      <x:c r="J5807" s="6" t="n">
        <x:f>IF(OR(E5807="CANCELED",E5807="SUSPECTED_FRAUD",F5807="Shipping canceled"),0,1)</x:f>
        <x:v>1</x:v>
      </x:c>
      <x:c r="K5807" s="6" t="n">
        <x:f>IF(G5807&gt;H5807,1,0)</x:f>
        <x:v>0</x:v>
      </x:c>
      <x:c r="L5807" s="6" t="n">
        <x:f>J5807*K5807</x:f>
        <x:v>0</x:v>
      </x:c>
    </x:row>
    <x:row r="5808">
      <x:c r="A5808" s="1" t="n">
        <x:v>45504</x:v>
      </x:c>
      <x:c r="B5808" s="5" t="d">
        <x:v>2016-10-26T00:00:00.000Z</x:v>
      </x:c>
      <x:c r="C5808" s="1" t="str">
        <x:v>Standard Class</x:v>
      </x:c>
      <x:c r="D5808" s="1" t="str">
        <x:v>Pacific Asia</x:v>
      </x:c>
      <x:c r="E5808" s="1" t="str">
        <x:v>COMPLETE</x:v>
      </x:c>
      <x:c r="F5808" s="1" t="str">
        <x:v>Late delivery</x:v>
      </x:c>
      <x:c r="G5808" s="6" t="n">
        <x:v>5</x:v>
      </x:c>
      <x:c r="H5808" s="6" t="n">
        <x:v>4</x:v>
      </x:c>
      <x:c r="I5808" s="6" t="n">
        <x:f>G5808-H5808</x:f>
        <x:v>1</x:v>
      </x:c>
      <x:c r="J5808" s="6" t="n">
        <x:f>IF(OR(E5808="CANCELED",E5808="SUSPECTED_FRAUD",F5808="Shipping canceled"),0,1)</x:f>
        <x:v>1</x:v>
      </x:c>
      <x:c r="K5808" s="6" t="n">
        <x:f>IF(G5808&gt;H5808,1,0)</x:f>
        <x:v>1</x:v>
      </x:c>
      <x:c r="L5808" s="6" t="n">
        <x:f>J5808*K5808</x:f>
        <x:v>1</x:v>
      </x:c>
    </x:row>
    <x:row r="5809">
      <x:c r="A5809" s="1" t="n">
        <x:v>45506</x:v>
      </x:c>
      <x:c r="B5809" s="5" t="d">
        <x:v>2016-10-26T00:00:00.000Z</x:v>
      </x:c>
      <x:c r="C5809" s="1" t="str">
        <x:v>Standard Class</x:v>
      </x:c>
      <x:c r="D5809" s="1" t="str">
        <x:v>Africa</x:v>
      </x:c>
      <x:c r="E5809" s="1" t="str">
        <x:v>COMPLETE</x:v>
      </x:c>
      <x:c r="F5809" s="1" t="str">
        <x:v>Advance shipping</x:v>
      </x:c>
      <x:c r="G5809" s="6" t="n">
        <x:v>2</x:v>
      </x:c>
      <x:c r="H5809" s="6" t="n">
        <x:v>4</x:v>
      </x:c>
      <x:c r="I5809" s="6" t="n">
        <x:f>G5809-H5809</x:f>
        <x:v>-2</x:v>
      </x:c>
      <x:c r="J5809" s="6" t="n">
        <x:f>IF(OR(E5809="CANCELED",E5809="SUSPECTED_FRAUD",F5809="Shipping canceled"),0,1)</x:f>
        <x:v>1</x:v>
      </x:c>
      <x:c r="K5809" s="6" t="n">
        <x:f>IF(G5809&gt;H5809,1,0)</x:f>
        <x:v>0</x:v>
      </x:c>
      <x:c r="L5809" s="6" t="n">
        <x:f>J5809*K5809</x:f>
        <x:v>0</x:v>
      </x:c>
    </x:row>
    <x:row r="5810">
      <x:c r="A5810" s="1" t="n">
        <x:v>45520</x:v>
      </x:c>
      <x:c r="B5810" s="5" t="d">
        <x:v>2016-10-26T00:00:00.000Z</x:v>
      </x:c>
      <x:c r="C5810" s="1" t="str">
        <x:v>Second Class</x:v>
      </x:c>
      <x:c r="D5810" s="1" t="str">
        <x:v>Pacific Asia</x:v>
      </x:c>
      <x:c r="E5810" s="1" t="str">
        <x:v>COMPLETE</x:v>
      </x:c>
      <x:c r="F5810" s="1" t="str">
        <x:v>Late delivery</x:v>
      </x:c>
      <x:c r="G5810" s="6" t="n">
        <x:v>6</x:v>
      </x:c>
      <x:c r="H5810" s="6" t="n">
        <x:v>2</x:v>
      </x:c>
      <x:c r="I5810" s="6" t="n">
        <x:f>G5810-H5810</x:f>
        <x:v>4</x:v>
      </x:c>
      <x:c r="J5810" s="6" t="n">
        <x:f>IF(OR(E5810="CANCELED",E5810="SUSPECTED_FRAUD",F5810="Shipping canceled"),0,1)</x:f>
        <x:v>1</x:v>
      </x:c>
      <x:c r="K5810" s="6" t="n">
        <x:f>IF(G5810&gt;H5810,1,0)</x:f>
        <x:v>1</x:v>
      </x:c>
      <x:c r="L5810" s="6" t="n">
        <x:f>J5810*K5810</x:f>
        <x:v>1</x:v>
      </x:c>
    </x:row>
    <x:row r="5811">
      <x:c r="A5811" s="1" t="n">
        <x:v>45537</x:v>
      </x:c>
      <x:c r="B5811" s="5" t="d">
        <x:v>2016-10-26T00:00:00.000Z</x:v>
      </x:c>
      <x:c r="C5811" s="1" t="str">
        <x:v>Standard Class</x:v>
      </x:c>
      <x:c r="D5811" s="1" t="str">
        <x:v>Pacific Asia</x:v>
      </x:c>
      <x:c r="E5811" s="1" t="str">
        <x:v>COMPLETE</x:v>
      </x:c>
      <x:c r="F5811" s="1" t="str">
        <x:v>Advance shipping</x:v>
      </x:c>
      <x:c r="G5811" s="6" t="n">
        <x:v>3</x:v>
      </x:c>
      <x:c r="H5811" s="6" t="n">
        <x:v>4</x:v>
      </x:c>
      <x:c r="I5811" s="6" t="n">
        <x:f>G5811-H5811</x:f>
        <x:v>-1</x:v>
      </x:c>
      <x:c r="J5811" s="6" t="n">
        <x:f>IF(OR(E5811="CANCELED",E5811="SUSPECTED_FRAUD",F5811="Shipping canceled"),0,1)</x:f>
        <x:v>1</x:v>
      </x:c>
      <x:c r="K5811" s="6" t="n">
        <x:f>IF(G5811&gt;H5811,1,0)</x:f>
        <x:v>0</x:v>
      </x:c>
      <x:c r="L5811" s="6" t="n">
        <x:f>J5811*K5811</x:f>
        <x:v>0</x:v>
      </x:c>
    </x:row>
    <x:row r="5812">
      <x:c r="A5812" s="1" t="n">
        <x:v>45538</x:v>
      </x:c>
      <x:c r="B5812" s="5" t="d">
        <x:v>2016-10-26T00:00:00.000Z</x:v>
      </x:c>
      <x:c r="C5812" s="1" t="str">
        <x:v>Standard Class</x:v>
      </x:c>
      <x:c r="D5812" s="1" t="str">
        <x:v>Pacific Asia</x:v>
      </x:c>
      <x:c r="E5812" s="1" t="str">
        <x:v>COMPLETE</x:v>
      </x:c>
      <x:c r="F5812" s="1" t="str">
        <x:v>Shipping on time</x:v>
      </x:c>
      <x:c r="G5812" s="6" t="n">
        <x:v>4</x:v>
      </x:c>
      <x:c r="H5812" s="6" t="n">
        <x:v>4</x:v>
      </x:c>
      <x:c r="I5812" s="6" t="n">
        <x:f>G5812-H5812</x:f>
        <x:v>0</x:v>
      </x:c>
      <x:c r="J5812" s="6" t="n">
        <x:f>IF(OR(E5812="CANCELED",E5812="SUSPECTED_FRAUD",F5812="Shipping canceled"),0,1)</x:f>
        <x:v>1</x:v>
      </x:c>
      <x:c r="K5812" s="6" t="n">
        <x:f>IF(G5812&gt;H5812,1,0)</x:f>
        <x:v>0</x:v>
      </x:c>
      <x:c r="L5812" s="6" t="n">
        <x:f>J5812*K5812</x:f>
        <x:v>0</x:v>
      </x:c>
    </x:row>
    <x:row r="5813">
      <x:c r="A5813" s="1" t="n">
        <x:v>45558</x:v>
      </x:c>
      <x:c r="B5813" s="5" t="d">
        <x:v>2016-10-27T00:00:00.000Z</x:v>
      </x:c>
      <x:c r="C5813" s="1" t="str">
        <x:v>Standard Class</x:v>
      </x:c>
      <x:c r="D5813" s="1" t="str">
        <x:v>Africa</x:v>
      </x:c>
      <x:c r="E5813" s="1" t="str">
        <x:v>ON_HOLD</x:v>
      </x:c>
      <x:c r="F5813" s="1" t="str">
        <x:v>Shipping on time</x:v>
      </x:c>
      <x:c r="G5813" s="6" t="n">
        <x:v>4</x:v>
      </x:c>
      <x:c r="H5813" s="6" t="n">
        <x:v>4</x:v>
      </x:c>
      <x:c r="I5813" s="6" t="n">
        <x:f>G5813-H5813</x:f>
        <x:v>0</x:v>
      </x:c>
      <x:c r="J5813" s="6" t="n">
        <x:f>IF(OR(E5813="CANCELED",E5813="SUSPECTED_FRAUD",F5813="Shipping canceled"),0,1)</x:f>
        <x:v>1</x:v>
      </x:c>
      <x:c r="K5813" s="6" t="n">
        <x:f>IF(G5813&gt;H5813,1,0)</x:f>
        <x:v>0</x:v>
      </x:c>
      <x:c r="L5813" s="6" t="n">
        <x:f>J5813*K5813</x:f>
        <x:v>0</x:v>
      </x:c>
    </x:row>
    <x:row r="5814">
      <x:c r="A5814" s="1" t="n">
        <x:v>45559</x:v>
      </x:c>
      <x:c r="B5814" s="5" t="d">
        <x:v>2016-10-27T00:00:00.000Z</x:v>
      </x:c>
      <x:c r="C5814" s="1" t="str">
        <x:v>Standard Class</x:v>
      </x:c>
      <x:c r="D5814" s="1" t="str">
        <x:v>Africa</x:v>
      </x:c>
      <x:c r="E5814" s="1" t="str">
        <x:v>COMPLETE</x:v>
      </x:c>
      <x:c r="F5814" s="1" t="str">
        <x:v>Late delivery</x:v>
      </x:c>
      <x:c r="G5814" s="6" t="n">
        <x:v>5</x:v>
      </x:c>
      <x:c r="H5814" s="6" t="n">
        <x:v>4</x:v>
      </x:c>
      <x:c r="I5814" s="6" t="n">
        <x:f>G5814-H5814</x:f>
        <x:v>1</x:v>
      </x:c>
      <x:c r="J5814" s="6" t="n">
        <x:f>IF(OR(E5814="CANCELED",E5814="SUSPECTED_FRAUD",F5814="Shipping canceled"),0,1)</x:f>
        <x:v>1</x:v>
      </x:c>
      <x:c r="K5814" s="6" t="n">
        <x:f>IF(G5814&gt;H5814,1,0)</x:f>
        <x:v>1</x:v>
      </x:c>
      <x:c r="L5814" s="6" t="n">
        <x:f>J5814*K5814</x:f>
        <x:v>1</x:v>
      </x:c>
    </x:row>
    <x:row r="5815">
      <x:c r="A5815" s="1" t="n">
        <x:v>45565</x:v>
      </x:c>
      <x:c r="B5815" s="5" t="d">
        <x:v>2016-10-27T00:00:00.000Z</x:v>
      </x:c>
      <x:c r="C5815" s="1" t="str">
        <x:v>Second Class</x:v>
      </x:c>
      <x:c r="D5815" s="1" t="str">
        <x:v>Pacific Asia</x:v>
      </x:c>
      <x:c r="E5815" s="1" t="str">
        <x:v>PROCESSING</x:v>
      </x:c>
      <x:c r="F5815" s="1" t="str">
        <x:v>Late delivery</x:v>
      </x:c>
      <x:c r="G5815" s="6" t="n">
        <x:v>6</x:v>
      </x:c>
      <x:c r="H5815" s="6" t="n">
        <x:v>2</x:v>
      </x:c>
      <x:c r="I5815" s="6" t="n">
        <x:f>G5815-H5815</x:f>
        <x:v>4</x:v>
      </x:c>
      <x:c r="J5815" s="6" t="n">
        <x:f>IF(OR(E5815="CANCELED",E5815="SUSPECTED_FRAUD",F5815="Shipping canceled"),0,1)</x:f>
        <x:v>1</x:v>
      </x:c>
      <x:c r="K5815" s="6" t="n">
        <x:f>IF(G5815&gt;H5815,1,0)</x:f>
        <x:v>1</x:v>
      </x:c>
      <x:c r="L5815" s="6" t="n">
        <x:f>J5815*K5815</x:f>
        <x:v>1</x:v>
      </x:c>
    </x:row>
    <x:row r="5816">
      <x:c r="A5816" s="1" t="n">
        <x:v>45574</x:v>
      </x:c>
      <x:c r="B5816" s="5" t="d">
        <x:v>2016-10-27T00:00:00.000Z</x:v>
      </x:c>
      <x:c r="C5816" s="1" t="str">
        <x:v>First Class</x:v>
      </x:c>
      <x:c r="D5816" s="1" t="str">
        <x:v>Europe</x:v>
      </x:c>
      <x:c r="E5816" s="1" t="str">
        <x:v>PENDING_PAYMENT</x:v>
      </x:c>
      <x:c r="F5816" s="1" t="str">
        <x:v>Late delivery</x:v>
      </x:c>
      <x:c r="G5816" s="6" t="n">
        <x:v>2</x:v>
      </x:c>
      <x:c r="H5816" s="6" t="n">
        <x:v>1</x:v>
      </x:c>
      <x:c r="I5816" s="6" t="n">
        <x:f>G5816-H5816</x:f>
        <x:v>1</x:v>
      </x:c>
      <x:c r="J5816" s="6" t="n">
        <x:f>IF(OR(E5816="CANCELED",E5816="SUSPECTED_FRAUD",F5816="Shipping canceled"),0,1)</x:f>
        <x:v>1</x:v>
      </x:c>
      <x:c r="K5816" s="6" t="n">
        <x:f>IF(G5816&gt;H5816,1,0)</x:f>
        <x:v>1</x:v>
      </x:c>
      <x:c r="L5816" s="6" t="n">
        <x:f>J5816*K5816</x:f>
        <x:v>1</x:v>
      </x:c>
    </x:row>
    <x:row r="5817">
      <x:c r="A5817" s="1" t="n">
        <x:v>45575</x:v>
      </x:c>
      <x:c r="B5817" s="5" t="d">
        <x:v>2016-10-27T00:00:00.000Z</x:v>
      </x:c>
      <x:c r="C5817" s="1" t="str">
        <x:v>First Class</x:v>
      </x:c>
      <x:c r="D5817" s="1" t="str">
        <x:v>Africa</x:v>
      </x:c>
      <x:c r="E5817" s="1" t="str">
        <x:v>CLOSED</x:v>
      </x:c>
      <x:c r="F5817" s="1" t="str">
        <x:v>Late delivery</x:v>
      </x:c>
      <x:c r="G5817" s="6" t="n">
        <x:v>2</x:v>
      </x:c>
      <x:c r="H5817" s="6" t="n">
        <x:v>1</x:v>
      </x:c>
      <x:c r="I5817" s="6" t="n">
        <x:f>G5817-H5817</x:f>
        <x:v>1</x:v>
      </x:c>
      <x:c r="J5817" s="6" t="n">
        <x:f>IF(OR(E5817="CANCELED",E5817="SUSPECTED_FRAUD",F5817="Shipping canceled"),0,1)</x:f>
        <x:v>1</x:v>
      </x:c>
      <x:c r="K5817" s="6" t="n">
        <x:f>IF(G5817&gt;H5817,1,0)</x:f>
        <x:v>1</x:v>
      </x:c>
      <x:c r="L5817" s="6" t="n">
        <x:f>J5817*K5817</x:f>
        <x:v>1</x:v>
      </x:c>
    </x:row>
    <x:row r="5818">
      <x:c r="A5818" s="1" t="n">
        <x:v>45583</x:v>
      </x:c>
      <x:c r="B5818" s="5" t="d">
        <x:v>2016-10-27T00:00:00.000Z</x:v>
      </x:c>
      <x:c r="C5818" s="1" t="str">
        <x:v>Standard Class</x:v>
      </x:c>
      <x:c r="D5818" s="1" t="str">
        <x:v>Europe</x:v>
      </x:c>
      <x:c r="E5818" s="1" t="str">
        <x:v>COMPLETE</x:v>
      </x:c>
      <x:c r="F5818" s="1" t="str">
        <x:v>Shipping on time</x:v>
      </x:c>
      <x:c r="G5818" s="6" t="n">
        <x:v>4</x:v>
      </x:c>
      <x:c r="H5818" s="6" t="n">
        <x:v>4</x:v>
      </x:c>
      <x:c r="I5818" s="6" t="n">
        <x:f>G5818-H5818</x:f>
        <x:v>0</x:v>
      </x:c>
      <x:c r="J5818" s="6" t="n">
        <x:f>IF(OR(E5818="CANCELED",E5818="SUSPECTED_FRAUD",F5818="Shipping canceled"),0,1)</x:f>
        <x:v>1</x:v>
      </x:c>
      <x:c r="K5818" s="6" t="n">
        <x:f>IF(G5818&gt;H5818,1,0)</x:f>
        <x:v>0</x:v>
      </x:c>
      <x:c r="L5818" s="6" t="n">
        <x:f>J5818*K5818</x:f>
        <x:v>0</x:v>
      </x:c>
    </x:row>
    <x:row r="5819">
      <x:c r="A5819" s="1" t="n">
        <x:v>45592</x:v>
      </x:c>
      <x:c r="B5819" s="5" t="d">
        <x:v>2016-10-27T00:00:00.000Z</x:v>
      </x:c>
      <x:c r="C5819" s="1" t="str">
        <x:v>First Class</x:v>
      </x:c>
      <x:c r="D5819" s="1" t="str">
        <x:v>Africa</x:v>
      </x:c>
      <x:c r="E5819" s="1" t="str">
        <x:v>CLOSED</x:v>
      </x:c>
      <x:c r="F5819" s="1" t="str">
        <x:v>Late delivery</x:v>
      </x:c>
      <x:c r="G5819" s="6" t="n">
        <x:v>2</x:v>
      </x:c>
      <x:c r="H5819" s="6" t="n">
        <x:v>1</x:v>
      </x:c>
      <x:c r="I5819" s="6" t="n">
        <x:f>G5819-H5819</x:f>
        <x:v>1</x:v>
      </x:c>
      <x:c r="J5819" s="6" t="n">
        <x:f>IF(OR(E5819="CANCELED",E5819="SUSPECTED_FRAUD",F5819="Shipping canceled"),0,1)</x:f>
        <x:v>1</x:v>
      </x:c>
      <x:c r="K5819" s="6" t="n">
        <x:f>IF(G5819&gt;H5819,1,0)</x:f>
        <x:v>1</x:v>
      </x:c>
      <x:c r="L5819" s="6" t="n">
        <x:f>J5819*K5819</x:f>
        <x:v>1</x:v>
      </x:c>
    </x:row>
    <x:row r="5820">
      <x:c r="A5820" s="1" t="n">
        <x:v>45595</x:v>
      </x:c>
      <x:c r="B5820" s="5" t="d">
        <x:v>2016-10-27T00:00:00.000Z</x:v>
      </x:c>
      <x:c r="C5820" s="1" t="str">
        <x:v>Standard Class</x:v>
      </x:c>
      <x:c r="D5820" s="1" t="str">
        <x:v>Europe</x:v>
      </x:c>
      <x:c r="E5820" s="1" t="str">
        <x:v>PENDING</x:v>
      </x:c>
      <x:c r="F5820" s="1" t="str">
        <x:v>Late delivery</x:v>
      </x:c>
      <x:c r="G5820" s="6" t="n">
        <x:v>6</x:v>
      </x:c>
      <x:c r="H5820" s="6" t="n">
        <x:v>4</x:v>
      </x:c>
      <x:c r="I5820" s="6" t="n">
        <x:f>G5820-H5820</x:f>
        <x:v>2</x:v>
      </x:c>
      <x:c r="J5820" s="6" t="n">
        <x:f>IF(OR(E5820="CANCELED",E5820="SUSPECTED_FRAUD",F5820="Shipping canceled"),0,1)</x:f>
        <x:v>1</x:v>
      </x:c>
      <x:c r="K5820" s="6" t="n">
        <x:f>IF(G5820&gt;H5820,1,0)</x:f>
        <x:v>1</x:v>
      </x:c>
      <x:c r="L5820" s="6" t="n">
        <x:f>J5820*K5820</x:f>
        <x:v>1</x:v>
      </x:c>
    </x:row>
    <x:row r="5821">
      <x:c r="A5821" s="1" t="n">
        <x:v>45596</x:v>
      </x:c>
      <x:c r="B5821" s="5" t="d">
        <x:v>2016-10-27T00:00:00.000Z</x:v>
      </x:c>
      <x:c r="C5821" s="1" t="str">
        <x:v>Standard Class</x:v>
      </x:c>
      <x:c r="D5821" s="1" t="str">
        <x:v>Europe</x:v>
      </x:c>
      <x:c r="E5821" s="1" t="str">
        <x:v>PROCESSING</x:v>
      </x:c>
      <x:c r="F5821" s="1" t="str">
        <x:v>Advance shipping</x:v>
      </x:c>
      <x:c r="G5821" s="6" t="n">
        <x:v>2</x:v>
      </x:c>
      <x:c r="H5821" s="6" t="n">
        <x:v>4</x:v>
      </x:c>
      <x:c r="I5821" s="6" t="n">
        <x:f>G5821-H5821</x:f>
        <x:v>-2</x:v>
      </x:c>
      <x:c r="J5821" s="6" t="n">
        <x:f>IF(OR(E5821="CANCELED",E5821="SUSPECTED_FRAUD",F5821="Shipping canceled"),0,1)</x:f>
        <x:v>1</x:v>
      </x:c>
      <x:c r="K5821" s="6" t="n">
        <x:f>IF(G5821&gt;H5821,1,0)</x:f>
        <x:v>0</x:v>
      </x:c>
      <x:c r="L5821" s="6" t="n">
        <x:f>J5821*K5821</x:f>
        <x:v>0</x:v>
      </x:c>
    </x:row>
    <x:row r="5822">
      <x:c r="A5822" s="1" t="n">
        <x:v>45601</x:v>
      </x:c>
      <x:c r="B5822" s="5" t="d">
        <x:v>2016-10-27T00:00:00.000Z</x:v>
      </x:c>
      <x:c r="C5822" s="1" t="str">
        <x:v>Standard Class</x:v>
      </x:c>
      <x:c r="D5822" s="1" t="str">
        <x:v>Africa</x:v>
      </x:c>
      <x:c r="E5822" s="1" t="str">
        <x:v>COMPLETE</x:v>
      </x:c>
      <x:c r="F5822" s="1" t="str">
        <x:v>Advance shipping</x:v>
      </x:c>
      <x:c r="G5822" s="6" t="n">
        <x:v>2</x:v>
      </x:c>
      <x:c r="H5822" s="6" t="n">
        <x:v>4</x:v>
      </x:c>
      <x:c r="I5822" s="6" t="n">
        <x:f>G5822-H5822</x:f>
        <x:v>-2</x:v>
      </x:c>
      <x:c r="J5822" s="6" t="n">
        <x:f>IF(OR(E5822="CANCELED",E5822="SUSPECTED_FRAUD",F5822="Shipping canceled"),0,1)</x:f>
        <x:v>1</x:v>
      </x:c>
      <x:c r="K5822" s="6" t="n">
        <x:f>IF(G5822&gt;H5822,1,0)</x:f>
        <x:v>0</x:v>
      </x:c>
      <x:c r="L5822" s="6" t="n">
        <x:f>J5822*K5822</x:f>
        <x:v>0</x:v>
      </x:c>
    </x:row>
    <x:row r="5823">
      <x:c r="A5823" s="1" t="n">
        <x:v>45607</x:v>
      </x:c>
      <x:c r="B5823" s="5" t="d">
        <x:v>2016-10-27T00:00:00.000Z</x:v>
      </x:c>
      <x:c r="C5823" s="1" t="str">
        <x:v>First Class</x:v>
      </x:c>
      <x:c r="D5823" s="1" t="str">
        <x:v>Africa</x:v>
      </x:c>
      <x:c r="E5823" s="1" t="str">
        <x:v>PENDING_PAYMENT</x:v>
      </x:c>
      <x:c r="F5823" s="1" t="str">
        <x:v>Late delivery</x:v>
      </x:c>
      <x:c r="G5823" s="6" t="n">
        <x:v>2</x:v>
      </x:c>
      <x:c r="H5823" s="6" t="n">
        <x:v>1</x:v>
      </x:c>
      <x:c r="I5823" s="6" t="n">
        <x:f>G5823-H5823</x:f>
        <x:v>1</x:v>
      </x:c>
      <x:c r="J5823" s="6" t="n">
        <x:f>IF(OR(E5823="CANCELED",E5823="SUSPECTED_FRAUD",F5823="Shipping canceled"),0,1)</x:f>
        <x:v>1</x:v>
      </x:c>
      <x:c r="K5823" s="6" t="n">
        <x:f>IF(G5823&gt;H5823,1,0)</x:f>
        <x:v>1</x:v>
      </x:c>
      <x:c r="L5823" s="6" t="n">
        <x:f>J5823*K5823</x:f>
        <x:v>1</x:v>
      </x:c>
    </x:row>
    <x:row r="5824">
      <x:c r="A5824" s="1" t="n">
        <x:v>45611</x:v>
      </x:c>
      <x:c r="B5824" s="5" t="d">
        <x:v>2016-10-27T00:00:00.000Z</x:v>
      </x:c>
      <x:c r="C5824" s="1" t="str">
        <x:v>Standard Class</x:v>
      </x:c>
      <x:c r="D5824" s="1" t="str">
        <x:v>Africa</x:v>
      </x:c>
      <x:c r="E5824" s="1" t="str">
        <x:v>PROCESSING</x:v>
      </x:c>
      <x:c r="F5824" s="1" t="str">
        <x:v>Advance shipping</x:v>
      </x:c>
      <x:c r="G5824" s="6" t="n">
        <x:v>2</x:v>
      </x:c>
      <x:c r="H5824" s="6" t="n">
        <x:v>4</x:v>
      </x:c>
      <x:c r="I5824" s="6" t="n">
        <x:f>G5824-H5824</x:f>
        <x:v>-2</x:v>
      </x:c>
      <x:c r="J5824" s="6" t="n">
        <x:f>IF(OR(E5824="CANCELED",E5824="SUSPECTED_FRAUD",F5824="Shipping canceled"),0,1)</x:f>
        <x:v>1</x:v>
      </x:c>
      <x:c r="K5824" s="6" t="n">
        <x:f>IF(G5824&gt;H5824,1,0)</x:f>
        <x:v>0</x:v>
      </x:c>
      <x:c r="L5824" s="6" t="n">
        <x:f>J5824*K5824</x:f>
        <x:v>0</x:v>
      </x:c>
    </x:row>
    <x:row r="5825">
      <x:c r="A5825" s="1" t="n">
        <x:v>45618</x:v>
      </x:c>
      <x:c r="B5825" s="5" t="d">
        <x:v>2016-10-27T00:00:00.000Z</x:v>
      </x:c>
      <x:c r="C5825" s="1" t="str">
        <x:v>Second Class</x:v>
      </x:c>
      <x:c r="D5825" s="1" t="str">
        <x:v>Pacific Asia</x:v>
      </x:c>
      <x:c r="E5825" s="1" t="str">
        <x:v>COMPLETE</x:v>
      </x:c>
      <x:c r="F5825" s="1" t="str">
        <x:v>Late delivery</x:v>
      </x:c>
      <x:c r="G5825" s="6" t="n">
        <x:v>4</x:v>
      </x:c>
      <x:c r="H5825" s="6" t="n">
        <x:v>2</x:v>
      </x:c>
      <x:c r="I5825" s="6" t="n">
        <x:f>G5825-H5825</x:f>
        <x:v>2</x:v>
      </x:c>
      <x:c r="J5825" s="6" t="n">
        <x:f>IF(OR(E5825="CANCELED",E5825="SUSPECTED_FRAUD",F5825="Shipping canceled"),0,1)</x:f>
        <x:v>1</x:v>
      </x:c>
      <x:c r="K5825" s="6" t="n">
        <x:f>IF(G5825&gt;H5825,1,0)</x:f>
        <x:v>1</x:v>
      </x:c>
      <x:c r="L5825" s="6" t="n">
        <x:f>J5825*K5825</x:f>
        <x:v>1</x:v>
      </x:c>
    </x:row>
    <x:row r="5826">
      <x:c r="A5826" s="1" t="n">
        <x:v>45646</x:v>
      </x:c>
      <x:c r="B5826" s="5" t="d">
        <x:v>2016-10-28T00:00:00.000Z</x:v>
      </x:c>
      <x:c r="C5826" s="1" t="str">
        <x:v>Standard Class</x:v>
      </x:c>
      <x:c r="D5826" s="1" t="str">
        <x:v>Pacific Asia</x:v>
      </x:c>
      <x:c r="E5826" s="1" t="str">
        <x:v>PENDING</x:v>
      </x:c>
      <x:c r="F5826" s="1" t="str">
        <x:v>Advance shipping</x:v>
      </x:c>
      <x:c r="G5826" s="6" t="n">
        <x:v>2</x:v>
      </x:c>
      <x:c r="H5826" s="6" t="n">
        <x:v>4</x:v>
      </x:c>
      <x:c r="I5826" s="6" t="n">
        <x:f>G5826-H5826</x:f>
        <x:v>-2</x:v>
      </x:c>
      <x:c r="J5826" s="6" t="n">
        <x:f>IF(OR(E5826="CANCELED",E5826="SUSPECTED_FRAUD",F5826="Shipping canceled"),0,1)</x:f>
        <x:v>1</x:v>
      </x:c>
      <x:c r="K5826" s="6" t="n">
        <x:f>IF(G5826&gt;H5826,1,0)</x:f>
        <x:v>0</x:v>
      </x:c>
      <x:c r="L5826" s="6" t="n">
        <x:f>J5826*K5826</x:f>
        <x:v>0</x:v>
      </x:c>
    </x:row>
    <x:row r="5827">
      <x:c r="A5827" s="1" t="n">
        <x:v>45668</x:v>
      </x:c>
      <x:c r="B5827" s="5" t="d">
        <x:v>2016-10-28T00:00:00.000Z</x:v>
      </x:c>
      <x:c r="C5827" s="1" t="str">
        <x:v>Standard Class</x:v>
      </x:c>
      <x:c r="D5827" s="1" t="str">
        <x:v>Pacific Asia</x:v>
      </x:c>
      <x:c r="E5827" s="1" t="str">
        <x:v>COMPLETE</x:v>
      </x:c>
      <x:c r="F5827" s="1" t="str">
        <x:v>Shipping on time</x:v>
      </x:c>
      <x:c r="G5827" s="6" t="n">
        <x:v>4</x:v>
      </x:c>
      <x:c r="H5827" s="6" t="n">
        <x:v>4</x:v>
      </x:c>
      <x:c r="I5827" s="6" t="n">
        <x:f>G5827-H5827</x:f>
        <x:v>0</x:v>
      </x:c>
      <x:c r="J5827" s="6" t="n">
        <x:f>IF(OR(E5827="CANCELED",E5827="SUSPECTED_FRAUD",F5827="Shipping canceled"),0,1)</x:f>
        <x:v>1</x:v>
      </x:c>
      <x:c r="K5827" s="6" t="n">
        <x:f>IF(G5827&gt;H5827,1,0)</x:f>
        <x:v>0</x:v>
      </x:c>
      <x:c r="L5827" s="6" t="n">
        <x:f>J5827*K5827</x:f>
        <x:v>0</x:v>
      </x:c>
    </x:row>
    <x:row r="5828">
      <x:c r="A5828" s="1" t="n">
        <x:v>45670</x:v>
      </x:c>
      <x:c r="B5828" s="5" t="d">
        <x:v>2016-10-28T00:00:00.000Z</x:v>
      </x:c>
      <x:c r="C5828" s="1" t="str">
        <x:v>Standard Class</x:v>
      </x:c>
      <x:c r="D5828" s="1" t="str">
        <x:v>Africa</x:v>
      </x:c>
      <x:c r="E5828" s="1" t="str">
        <x:v>COMPLETE</x:v>
      </x:c>
      <x:c r="F5828" s="1" t="str">
        <x:v>Late delivery</x:v>
      </x:c>
      <x:c r="G5828" s="6" t="n">
        <x:v>6</x:v>
      </x:c>
      <x:c r="H5828" s="6" t="n">
        <x:v>4</x:v>
      </x:c>
      <x:c r="I5828" s="6" t="n">
        <x:f>G5828-H5828</x:f>
        <x:v>2</x:v>
      </x:c>
      <x:c r="J5828" s="6" t="n">
        <x:f>IF(OR(E5828="CANCELED",E5828="SUSPECTED_FRAUD",F5828="Shipping canceled"),0,1)</x:f>
        <x:v>1</x:v>
      </x:c>
      <x:c r="K5828" s="6" t="n">
        <x:f>IF(G5828&gt;H5828,1,0)</x:f>
        <x:v>1</x:v>
      </x:c>
      <x:c r="L5828" s="6" t="n">
        <x:f>J5828*K5828</x:f>
        <x:v>1</x:v>
      </x:c>
    </x:row>
    <x:row r="5829">
      <x:c r="A5829" s="1" t="n">
        <x:v>45680</x:v>
      </x:c>
      <x:c r="B5829" s="5" t="d">
        <x:v>2016-10-28T00:00:00.000Z</x:v>
      </x:c>
      <x:c r="C5829" s="1" t="str">
        <x:v>Second Class</x:v>
      </x:c>
      <x:c r="D5829" s="1" t="str">
        <x:v>Africa</x:v>
      </x:c>
      <x:c r="E5829" s="1" t="str">
        <x:v>ON_HOLD</x:v>
      </x:c>
      <x:c r="F5829" s="1" t="str">
        <x:v>Late delivery</x:v>
      </x:c>
      <x:c r="G5829" s="6" t="n">
        <x:v>6</x:v>
      </x:c>
      <x:c r="H5829" s="6" t="n">
        <x:v>2</x:v>
      </x:c>
      <x:c r="I5829" s="6" t="n">
        <x:f>G5829-H5829</x:f>
        <x:v>4</x:v>
      </x:c>
      <x:c r="J5829" s="6" t="n">
        <x:f>IF(OR(E5829="CANCELED",E5829="SUSPECTED_FRAUD",F5829="Shipping canceled"),0,1)</x:f>
        <x:v>1</x:v>
      </x:c>
      <x:c r="K5829" s="6" t="n">
        <x:f>IF(G5829&gt;H5829,1,0)</x:f>
        <x:v>1</x:v>
      </x:c>
      <x:c r="L5829" s="6" t="n">
        <x:f>J5829*K5829</x:f>
        <x:v>1</x:v>
      </x:c>
    </x:row>
    <x:row r="5830">
      <x:c r="A5830" s="1" t="n">
        <x:v>45695</x:v>
      </x:c>
      <x:c r="B5830" s="5" t="d">
        <x:v>2016-10-29T00:00:00.000Z</x:v>
      </x:c>
      <x:c r="C5830" s="1" t="str">
        <x:v>Standard Class</x:v>
      </x:c>
      <x:c r="D5830" s="1" t="str">
        <x:v>Africa</x:v>
      </x:c>
      <x:c r="E5830" s="1" t="str">
        <x:v>COMPLETE</x:v>
      </x:c>
      <x:c r="F5830" s="1" t="str">
        <x:v>Late delivery</x:v>
      </x:c>
      <x:c r="G5830" s="6" t="n">
        <x:v>6</x:v>
      </x:c>
      <x:c r="H5830" s="6" t="n">
        <x:v>4</x:v>
      </x:c>
      <x:c r="I5830" s="6" t="n">
        <x:f>G5830-H5830</x:f>
        <x:v>2</x:v>
      </x:c>
      <x:c r="J5830" s="6" t="n">
        <x:f>IF(OR(E5830="CANCELED",E5830="SUSPECTED_FRAUD",F5830="Shipping canceled"),0,1)</x:f>
        <x:v>1</x:v>
      </x:c>
      <x:c r="K5830" s="6" t="n">
        <x:f>IF(G5830&gt;H5830,1,0)</x:f>
        <x:v>1</x:v>
      </x:c>
      <x:c r="L5830" s="6" t="n">
        <x:f>J5830*K5830</x:f>
        <x:v>1</x:v>
      </x:c>
    </x:row>
    <x:row r="5831">
      <x:c r="A5831" s="1" t="n">
        <x:v>45721</x:v>
      </x:c>
      <x:c r="B5831" s="5" t="d">
        <x:v>2016-10-29T00:00:00.000Z</x:v>
      </x:c>
      <x:c r="C5831" s="1" t="str">
        <x:v>First Class</x:v>
      </x:c>
      <x:c r="D5831" s="1" t="str">
        <x:v>Pacific Asia</x:v>
      </x:c>
      <x:c r="E5831" s="1" t="str">
        <x:v>CLOSED</x:v>
      </x:c>
      <x:c r="F5831" s="1" t="str">
        <x:v>Late delivery</x:v>
      </x:c>
      <x:c r="G5831" s="6" t="n">
        <x:v>2</x:v>
      </x:c>
      <x:c r="H5831" s="6" t="n">
        <x:v>1</x:v>
      </x:c>
      <x:c r="I5831" s="6" t="n">
        <x:f>G5831-H5831</x:f>
        <x:v>1</x:v>
      </x:c>
      <x:c r="J5831" s="6" t="n">
        <x:f>IF(OR(E5831="CANCELED",E5831="SUSPECTED_FRAUD",F5831="Shipping canceled"),0,1)</x:f>
        <x:v>1</x:v>
      </x:c>
      <x:c r="K5831" s="6" t="n">
        <x:f>IF(G5831&gt;H5831,1,0)</x:f>
        <x:v>1</x:v>
      </x:c>
      <x:c r="L5831" s="6" t="n">
        <x:f>J5831*K5831</x:f>
        <x:v>1</x:v>
      </x:c>
    </x:row>
    <x:row r="5832">
      <x:c r="A5832" s="1" t="n">
        <x:v>45725</x:v>
      </x:c>
      <x:c r="B5832" s="5" t="d">
        <x:v>2016-10-29T00:00:00.000Z</x:v>
      </x:c>
      <x:c r="C5832" s="1" t="str">
        <x:v>Standard Class</x:v>
      </x:c>
      <x:c r="D5832" s="1" t="str">
        <x:v>Pacific Asia</x:v>
      </x:c>
      <x:c r="E5832" s="1" t="str">
        <x:v>ON_HOLD</x:v>
      </x:c>
      <x:c r="F5832" s="1" t="str">
        <x:v>Late delivery</x:v>
      </x:c>
      <x:c r="G5832" s="6" t="n">
        <x:v>6</x:v>
      </x:c>
      <x:c r="H5832" s="6" t="n">
        <x:v>4</x:v>
      </x:c>
      <x:c r="I5832" s="6" t="n">
        <x:f>G5832-H5832</x:f>
        <x:v>2</x:v>
      </x:c>
      <x:c r="J5832" s="6" t="n">
        <x:f>IF(OR(E5832="CANCELED",E5832="SUSPECTED_FRAUD",F5832="Shipping canceled"),0,1)</x:f>
        <x:v>1</x:v>
      </x:c>
      <x:c r="K5832" s="6" t="n">
        <x:f>IF(G5832&gt;H5832,1,0)</x:f>
        <x:v>1</x:v>
      </x:c>
      <x:c r="L5832" s="6" t="n">
        <x:f>J5832*K5832</x:f>
        <x:v>1</x:v>
      </x:c>
    </x:row>
    <x:row r="5833">
      <x:c r="A5833" s="1" t="n">
        <x:v>45733</x:v>
      </x:c>
      <x:c r="B5833" s="5" t="d">
        <x:v>2016-10-29T00:00:00.000Z</x:v>
      </x:c>
      <x:c r="C5833" s="1" t="str">
        <x:v>Second Class</x:v>
      </x:c>
      <x:c r="D5833" s="1" t="str">
        <x:v>Pacific Asia</x:v>
      </x:c>
      <x:c r="E5833" s="1" t="str">
        <x:v>COMPLETE</x:v>
      </x:c>
      <x:c r="F5833" s="1" t="str">
        <x:v>Late delivery</x:v>
      </x:c>
      <x:c r="G5833" s="6" t="n">
        <x:v>4</x:v>
      </x:c>
      <x:c r="H5833" s="6" t="n">
        <x:v>2</x:v>
      </x:c>
      <x:c r="I5833" s="6" t="n">
        <x:f>G5833-H5833</x:f>
        <x:v>2</x:v>
      </x:c>
      <x:c r="J5833" s="6" t="n">
        <x:f>IF(OR(E5833="CANCELED",E5833="SUSPECTED_FRAUD",F5833="Shipping canceled"),0,1)</x:f>
        <x:v>1</x:v>
      </x:c>
      <x:c r="K5833" s="6" t="n">
        <x:f>IF(G5833&gt;H5833,1,0)</x:f>
        <x:v>1</x:v>
      </x:c>
      <x:c r="L5833" s="6" t="n">
        <x:f>J5833*K5833</x:f>
        <x:v>1</x:v>
      </x:c>
    </x:row>
    <x:row r="5834">
      <x:c r="A5834" s="1" t="n">
        <x:v>45738</x:v>
      </x:c>
      <x:c r="B5834" s="5" t="d">
        <x:v>2016-10-29T00:00:00.000Z</x:v>
      </x:c>
      <x:c r="C5834" s="1" t="str">
        <x:v>Same Day</x:v>
      </x:c>
      <x:c r="D5834" s="1" t="str">
        <x:v>Africa</x:v>
      </x:c>
      <x:c r="E5834" s="1" t="str">
        <x:v>CLOSED</x:v>
      </x:c>
      <x:c r="F5834" s="1" t="str">
        <x:v>Late delivery</x:v>
      </x:c>
      <x:c r="G5834" s="6" t="n">
        <x:v>1</x:v>
      </x:c>
      <x:c r="H5834" s="6" t="n">
        <x:v>0</x:v>
      </x:c>
      <x:c r="I5834" s="6" t="n">
        <x:f>G5834-H5834</x:f>
        <x:v>1</x:v>
      </x:c>
      <x:c r="J5834" s="6" t="n">
        <x:f>IF(OR(E5834="CANCELED",E5834="SUSPECTED_FRAUD",F5834="Shipping canceled"),0,1)</x:f>
        <x:v>1</x:v>
      </x:c>
      <x:c r="K5834" s="6" t="n">
        <x:f>IF(G5834&gt;H5834,1,0)</x:f>
        <x:v>1</x:v>
      </x:c>
      <x:c r="L5834" s="6" t="n">
        <x:f>J5834*K5834</x:f>
        <x:v>1</x:v>
      </x:c>
    </x:row>
    <x:row r="5835">
      <x:c r="A5835" s="1" t="n">
        <x:v>45746</x:v>
      </x:c>
      <x:c r="B5835" s="5" t="d">
        <x:v>2016-10-29T00:00:00.000Z</x:v>
      </x:c>
      <x:c r="C5835" s="1" t="str">
        <x:v>Second Class</x:v>
      </x:c>
      <x:c r="D5835" s="1" t="str">
        <x:v>Europe</x:v>
      </x:c>
      <x:c r="E5835" s="1" t="str">
        <x:v>PENDING_PAYMENT</x:v>
      </x:c>
      <x:c r="F5835" s="1" t="str">
        <x:v>Shipping on time</x:v>
      </x:c>
      <x:c r="G5835" s="6" t="n">
        <x:v>2</x:v>
      </x:c>
      <x:c r="H5835" s="6" t="n">
        <x:v>2</x:v>
      </x:c>
      <x:c r="I5835" s="6" t="n">
        <x:f>G5835-H5835</x:f>
        <x:v>0</x:v>
      </x:c>
      <x:c r="J5835" s="6" t="n">
        <x:f>IF(OR(E5835="CANCELED",E5835="SUSPECTED_FRAUD",F5835="Shipping canceled"),0,1)</x:f>
        <x:v>1</x:v>
      </x:c>
      <x:c r="K5835" s="6" t="n">
        <x:f>IF(G5835&gt;H5835,1,0)</x:f>
        <x:v>0</x:v>
      </x:c>
      <x:c r="L5835" s="6" t="n">
        <x:f>J5835*K5835</x:f>
        <x:v>0</x:v>
      </x:c>
    </x:row>
    <x:row r="5836">
      <x:c r="A5836" s="1" t="n">
        <x:v>45750</x:v>
      </x:c>
      <x:c r="B5836" s="5" t="d">
        <x:v>2016-10-29T00:00:00.000Z</x:v>
      </x:c>
      <x:c r="C5836" s="1" t="str">
        <x:v>Standard Class</x:v>
      </x:c>
      <x:c r="D5836" s="1" t="str">
        <x:v>Europe</x:v>
      </x:c>
      <x:c r="E5836" s="1" t="str">
        <x:v>PROCESSING</x:v>
      </x:c>
      <x:c r="F5836" s="1" t="str">
        <x:v>Late delivery</x:v>
      </x:c>
      <x:c r="G5836" s="6" t="n">
        <x:v>6</x:v>
      </x:c>
      <x:c r="H5836" s="6" t="n">
        <x:v>4</x:v>
      </x:c>
      <x:c r="I5836" s="6" t="n">
        <x:f>G5836-H5836</x:f>
        <x:v>2</x:v>
      </x:c>
      <x:c r="J5836" s="6" t="n">
        <x:f>IF(OR(E5836="CANCELED",E5836="SUSPECTED_FRAUD",F5836="Shipping canceled"),0,1)</x:f>
        <x:v>1</x:v>
      </x:c>
      <x:c r="K5836" s="6" t="n">
        <x:f>IF(G5836&gt;H5836,1,0)</x:f>
        <x:v>1</x:v>
      </x:c>
      <x:c r="L5836" s="6" t="n">
        <x:f>J5836*K5836</x:f>
        <x:v>1</x:v>
      </x:c>
    </x:row>
    <x:row r="5837">
      <x:c r="A5837" s="1" t="n">
        <x:v>45762</x:v>
      </x:c>
      <x:c r="B5837" s="5" t="d">
        <x:v>2016-10-30T00:00:00.000Z</x:v>
      </x:c>
      <x:c r="C5837" s="1" t="str">
        <x:v>Standard Class</x:v>
      </x:c>
      <x:c r="D5837" s="1" t="str">
        <x:v>Pacific Asia</x:v>
      </x:c>
      <x:c r="E5837" s="1" t="str">
        <x:v>PENDING_PAYMENT</x:v>
      </x:c>
      <x:c r="F5837" s="1" t="str">
        <x:v>Advance shipping</x:v>
      </x:c>
      <x:c r="G5837" s="6" t="n">
        <x:v>3</x:v>
      </x:c>
      <x:c r="H5837" s="6" t="n">
        <x:v>4</x:v>
      </x:c>
      <x:c r="I5837" s="6" t="n">
        <x:f>G5837-H5837</x:f>
        <x:v>-1</x:v>
      </x:c>
      <x:c r="J5837" s="6" t="n">
        <x:f>IF(OR(E5837="CANCELED",E5837="SUSPECTED_FRAUD",F5837="Shipping canceled"),0,1)</x:f>
        <x:v>1</x:v>
      </x:c>
      <x:c r="K5837" s="6" t="n">
        <x:f>IF(G5837&gt;H5837,1,0)</x:f>
        <x:v>0</x:v>
      </x:c>
      <x:c r="L5837" s="6" t="n">
        <x:f>J5837*K5837</x:f>
        <x:v>0</x:v>
      </x:c>
    </x:row>
    <x:row r="5838">
      <x:c r="A5838" s="1" t="n">
        <x:v>45766</x:v>
      </x:c>
      <x:c r="B5838" s="5" t="d">
        <x:v>2016-10-30T00:00:00.000Z</x:v>
      </x:c>
      <x:c r="C5838" s="1" t="str">
        <x:v>Second Class</x:v>
      </x:c>
      <x:c r="D5838" s="1" t="str">
        <x:v>Pacific Asia</x:v>
      </x:c>
      <x:c r="E5838" s="1" t="str">
        <x:v>PENDING_PAYMENT</x:v>
      </x:c>
      <x:c r="F5838" s="1" t="str">
        <x:v>Shipping on time</x:v>
      </x:c>
      <x:c r="G5838" s="6" t="n">
        <x:v>2</x:v>
      </x:c>
      <x:c r="H5838" s="6" t="n">
        <x:v>2</x:v>
      </x:c>
      <x:c r="I5838" s="6" t="n">
        <x:f>G5838-H5838</x:f>
        <x:v>0</x:v>
      </x:c>
      <x:c r="J5838" s="6" t="n">
        <x:f>IF(OR(E5838="CANCELED",E5838="SUSPECTED_FRAUD",F5838="Shipping canceled"),0,1)</x:f>
        <x:v>1</x:v>
      </x:c>
      <x:c r="K5838" s="6" t="n">
        <x:f>IF(G5838&gt;H5838,1,0)</x:f>
        <x:v>0</x:v>
      </x:c>
      <x:c r="L5838" s="6" t="n">
        <x:f>J5838*K5838</x:f>
        <x:v>0</x:v>
      </x:c>
    </x:row>
    <x:row r="5839">
      <x:c r="A5839" s="1" t="n">
        <x:v>45769</x:v>
      </x:c>
      <x:c r="B5839" s="5" t="d">
        <x:v>2016-10-30T00:00:00.000Z</x:v>
      </x:c>
      <x:c r="C5839" s="1" t="str">
        <x:v>Standard Class</x:v>
      </x:c>
      <x:c r="D5839" s="1" t="str">
        <x:v>Pacific Asia</x:v>
      </x:c>
      <x:c r="E5839" s="1" t="str">
        <x:v>COMPLETE</x:v>
      </x:c>
      <x:c r="F5839" s="1" t="str">
        <x:v>Late delivery</x:v>
      </x:c>
      <x:c r="G5839" s="6" t="n">
        <x:v>5</x:v>
      </x:c>
      <x:c r="H5839" s="6" t="n">
        <x:v>4</x:v>
      </x:c>
      <x:c r="I5839" s="6" t="n">
        <x:f>G5839-H5839</x:f>
        <x:v>1</x:v>
      </x:c>
      <x:c r="J5839" s="6" t="n">
        <x:f>IF(OR(E5839="CANCELED",E5839="SUSPECTED_FRAUD",F5839="Shipping canceled"),0,1)</x:f>
        <x:v>1</x:v>
      </x:c>
      <x:c r="K5839" s="6" t="n">
        <x:f>IF(G5839&gt;H5839,1,0)</x:f>
        <x:v>1</x:v>
      </x:c>
      <x:c r="L5839" s="6" t="n">
        <x:f>J5839*K5839</x:f>
        <x:v>1</x:v>
      </x:c>
    </x:row>
    <x:row r="5840">
      <x:c r="A5840" s="1" t="n">
        <x:v>45772</x:v>
      </x:c>
      <x:c r="B5840" s="5" t="d">
        <x:v>2016-10-30T00:00:00.000Z</x:v>
      </x:c>
      <x:c r="C5840" s="1" t="str">
        <x:v>Second Class</x:v>
      </x:c>
      <x:c r="D5840" s="1" t="str">
        <x:v>Pacific Asia</x:v>
      </x:c>
      <x:c r="E5840" s="1" t="str">
        <x:v>PENDING_PAYMENT</x:v>
      </x:c>
      <x:c r="F5840" s="1" t="str">
        <x:v>Late delivery</x:v>
      </x:c>
      <x:c r="G5840" s="6" t="n">
        <x:v>3</x:v>
      </x:c>
      <x:c r="H5840" s="6" t="n">
        <x:v>2</x:v>
      </x:c>
      <x:c r="I5840" s="6" t="n">
        <x:f>G5840-H5840</x:f>
        <x:v>1</x:v>
      </x:c>
      <x:c r="J5840" s="6" t="n">
        <x:f>IF(OR(E5840="CANCELED",E5840="SUSPECTED_FRAUD",F5840="Shipping canceled"),0,1)</x:f>
        <x:v>1</x:v>
      </x:c>
      <x:c r="K5840" s="6" t="n">
        <x:f>IF(G5840&gt;H5840,1,0)</x:f>
        <x:v>1</x:v>
      </x:c>
      <x:c r="L5840" s="6" t="n">
        <x:f>J5840*K5840</x:f>
        <x:v>1</x:v>
      </x:c>
    </x:row>
    <x:row r="5841">
      <x:c r="A5841" s="1" t="n">
        <x:v>45780</x:v>
      </x:c>
      <x:c r="B5841" s="5" t="d">
        <x:v>2016-10-30T00:00:00.000Z</x:v>
      </x:c>
      <x:c r="C5841" s="1" t="str">
        <x:v>Second Class</x:v>
      </x:c>
      <x:c r="D5841" s="1" t="str">
        <x:v>Pacific Asia</x:v>
      </x:c>
      <x:c r="E5841" s="1" t="str">
        <x:v>COMPLETE</x:v>
      </x:c>
      <x:c r="F5841" s="1" t="str">
        <x:v>Late delivery</x:v>
      </x:c>
      <x:c r="G5841" s="6" t="n">
        <x:v>6</x:v>
      </x:c>
      <x:c r="H5841" s="6" t="n">
        <x:v>2</x:v>
      </x:c>
      <x:c r="I5841" s="6" t="n">
        <x:f>G5841-H5841</x:f>
        <x:v>4</x:v>
      </x:c>
      <x:c r="J5841" s="6" t="n">
        <x:f>IF(OR(E5841="CANCELED",E5841="SUSPECTED_FRAUD",F5841="Shipping canceled"),0,1)</x:f>
        <x:v>1</x:v>
      </x:c>
      <x:c r="K5841" s="6" t="n">
        <x:f>IF(G5841&gt;H5841,1,0)</x:f>
        <x:v>1</x:v>
      </x:c>
      <x:c r="L5841" s="6" t="n">
        <x:f>J5841*K5841</x:f>
        <x:v>1</x:v>
      </x:c>
    </x:row>
    <x:row r="5842">
      <x:c r="A5842" s="1" t="n">
        <x:v>45801</x:v>
      </x:c>
      <x:c r="B5842" s="5" t="d">
        <x:v>2016-10-30T00:00:00.000Z</x:v>
      </x:c>
      <x:c r="C5842" s="1" t="str">
        <x:v>Standard Class</x:v>
      </x:c>
      <x:c r="D5842" s="1" t="str">
        <x:v>Pacific Asia</x:v>
      </x:c>
      <x:c r="E5842" s="1" t="str">
        <x:v>PENDING_PAYMENT</x:v>
      </x:c>
      <x:c r="F5842" s="1" t="str">
        <x:v>Advance shipping</x:v>
      </x:c>
      <x:c r="G5842" s="6" t="n">
        <x:v>2</x:v>
      </x:c>
      <x:c r="H5842" s="6" t="n">
        <x:v>4</x:v>
      </x:c>
      <x:c r="I5842" s="6" t="n">
        <x:f>G5842-H5842</x:f>
        <x:v>-2</x:v>
      </x:c>
      <x:c r="J5842" s="6" t="n">
        <x:f>IF(OR(E5842="CANCELED",E5842="SUSPECTED_FRAUD",F5842="Shipping canceled"),0,1)</x:f>
        <x:v>1</x:v>
      </x:c>
      <x:c r="K5842" s="6" t="n">
        <x:f>IF(G5842&gt;H5842,1,0)</x:f>
        <x:v>0</x:v>
      </x:c>
      <x:c r="L5842" s="6" t="n">
        <x:f>J5842*K5842</x:f>
        <x:v>0</x:v>
      </x:c>
    </x:row>
    <x:row r="5843">
      <x:c r="A5843" s="1" t="n">
        <x:v>45816</x:v>
      </x:c>
      <x:c r="B5843" s="5" t="d">
        <x:v>2016-10-30T00:00:00.000Z</x:v>
      </x:c>
      <x:c r="C5843" s="1" t="str">
        <x:v>Standard Class</x:v>
      </x:c>
      <x:c r="D5843" s="1" t="str">
        <x:v>Europe</x:v>
      </x:c>
      <x:c r="E5843" s="1" t="str">
        <x:v>PROCESSING</x:v>
      </x:c>
      <x:c r="F5843" s="1" t="str">
        <x:v>Advance shipping</x:v>
      </x:c>
      <x:c r="G5843" s="6" t="n">
        <x:v>2</x:v>
      </x:c>
      <x:c r="H5843" s="6" t="n">
        <x:v>4</x:v>
      </x:c>
      <x:c r="I5843" s="6" t="n">
        <x:f>G5843-H5843</x:f>
        <x:v>-2</x:v>
      </x:c>
      <x:c r="J5843" s="6" t="n">
        <x:f>IF(OR(E5843="CANCELED",E5843="SUSPECTED_FRAUD",F5843="Shipping canceled"),0,1)</x:f>
        <x:v>1</x:v>
      </x:c>
      <x:c r="K5843" s="6" t="n">
        <x:f>IF(G5843&gt;H5843,1,0)</x:f>
        <x:v>0</x:v>
      </x:c>
      <x:c r="L5843" s="6" t="n">
        <x:f>J5843*K5843</x:f>
        <x:v>0</x:v>
      </x:c>
    </x:row>
    <x:row r="5844">
      <x:c r="A5844" s="1" t="n">
        <x:v>45832</x:v>
      </x:c>
      <x:c r="B5844" s="5" t="d">
        <x:v>2016-10-31T00:00:00.000Z</x:v>
      </x:c>
      <x:c r="C5844" s="1" t="str">
        <x:v>Standard Class</x:v>
      </x:c>
      <x:c r="D5844" s="1" t="str">
        <x:v>Africa</x:v>
      </x:c>
      <x:c r="E5844" s="1" t="str">
        <x:v>PENDING_PAYMENT</x:v>
      </x:c>
      <x:c r="F5844" s="1" t="str">
        <x:v>Advance shipping</x:v>
      </x:c>
      <x:c r="G5844" s="6" t="n">
        <x:v>3</x:v>
      </x:c>
      <x:c r="H5844" s="6" t="n">
        <x:v>4</x:v>
      </x:c>
      <x:c r="I5844" s="6" t="n">
        <x:f>G5844-H5844</x:f>
        <x:v>-1</x:v>
      </x:c>
      <x:c r="J5844" s="6" t="n">
        <x:f>IF(OR(E5844="CANCELED",E5844="SUSPECTED_FRAUD",F5844="Shipping canceled"),0,1)</x:f>
        <x:v>1</x:v>
      </x:c>
      <x:c r="K5844" s="6" t="n">
        <x:f>IF(G5844&gt;H5844,1,0)</x:f>
        <x:v>0</x:v>
      </x:c>
      <x:c r="L5844" s="6" t="n">
        <x:f>J5844*K5844</x:f>
        <x:v>0</x:v>
      </x:c>
    </x:row>
    <x:row r="5845">
      <x:c r="A5845" s="1" t="n">
        <x:v>45841</x:v>
      </x:c>
      <x:c r="B5845" s="5" t="d">
        <x:v>2016-10-31T00:00:00.000Z</x:v>
      </x:c>
      <x:c r="C5845" s="1" t="str">
        <x:v>Standard Class</x:v>
      </x:c>
      <x:c r="D5845" s="1" t="str">
        <x:v>Africa</x:v>
      </x:c>
      <x:c r="E5845" s="1" t="str">
        <x:v>COMPLETE</x:v>
      </x:c>
      <x:c r="F5845" s="1" t="str">
        <x:v>Advance shipping</x:v>
      </x:c>
      <x:c r="G5845" s="6" t="n">
        <x:v>2</x:v>
      </x:c>
      <x:c r="H5845" s="6" t="n">
        <x:v>4</x:v>
      </x:c>
      <x:c r="I5845" s="6" t="n">
        <x:f>G5845-H5845</x:f>
        <x:v>-2</x:v>
      </x:c>
      <x:c r="J5845" s="6" t="n">
        <x:f>IF(OR(E5845="CANCELED",E5845="SUSPECTED_FRAUD",F5845="Shipping canceled"),0,1)</x:f>
        <x:v>1</x:v>
      </x:c>
      <x:c r="K5845" s="6" t="n">
        <x:f>IF(G5845&gt;H5845,1,0)</x:f>
        <x:v>0</x:v>
      </x:c>
      <x:c r="L5845" s="6" t="n">
        <x:f>J5845*K5845</x:f>
        <x:v>0</x:v>
      </x:c>
    </x:row>
    <x:row r="5846">
      <x:c r="A5846" s="1" t="n">
        <x:v>45842</x:v>
      </x:c>
      <x:c r="B5846" s="5" t="d">
        <x:v>2016-10-31T00:00:00.000Z</x:v>
      </x:c>
      <x:c r="C5846" s="1" t="str">
        <x:v>Standard Class</x:v>
      </x:c>
      <x:c r="D5846" s="1" t="str">
        <x:v>Pacific Asia</x:v>
      </x:c>
      <x:c r="E5846" s="1" t="str">
        <x:v>CANCELED</x:v>
      </x:c>
      <x:c r="F5846" s="1" t="str">
        <x:v>Shipping canceled</x:v>
      </x:c>
      <x:c r="G5846" s="6" t="n">
        <x:v>3</x:v>
      </x:c>
      <x:c r="H5846" s="6" t="n">
        <x:v>4</x:v>
      </x:c>
      <x:c r="I5846" s="6" t="n">
        <x:f>G5846-H5846</x:f>
        <x:v>-1</x:v>
      </x:c>
      <x:c r="J5846" s="6" t="n">
        <x:f>IF(OR(E5846="CANCELED",E5846="SUSPECTED_FRAUD",F5846="Shipping canceled"),0,1)</x:f>
        <x:v>0</x:v>
      </x:c>
      <x:c r="K5846" s="6" t="n">
        <x:f>IF(G5846&gt;H5846,1,0)</x:f>
        <x:v>0</x:v>
      </x:c>
      <x:c r="L5846" s="6" t="n">
        <x:f>J5846*K5846</x:f>
        <x:v>0</x:v>
      </x:c>
    </x:row>
    <x:row r="5847">
      <x:c r="A5847" s="1" t="n">
        <x:v>45846</x:v>
      </x:c>
      <x:c r="B5847" s="5" t="d">
        <x:v>2016-10-31T00:00:00.000Z</x:v>
      </x:c>
      <x:c r="C5847" s="1" t="str">
        <x:v>Standard Class</x:v>
      </x:c>
      <x:c r="D5847" s="1" t="str">
        <x:v>Pacific Asia</x:v>
      </x:c>
      <x:c r="E5847" s="1" t="str">
        <x:v>PROCESSING</x:v>
      </x:c>
      <x:c r="F5847" s="1" t="str">
        <x:v>Advance shipping</x:v>
      </x:c>
      <x:c r="G5847" s="6" t="n">
        <x:v>2</x:v>
      </x:c>
      <x:c r="H5847" s="6" t="n">
        <x:v>4</x:v>
      </x:c>
      <x:c r="I5847" s="6" t="n">
        <x:f>G5847-H5847</x:f>
        <x:v>-2</x:v>
      </x:c>
      <x:c r="J5847" s="6" t="n">
        <x:f>IF(OR(E5847="CANCELED",E5847="SUSPECTED_FRAUD",F5847="Shipping canceled"),0,1)</x:f>
        <x:v>1</x:v>
      </x:c>
      <x:c r="K5847" s="6" t="n">
        <x:f>IF(G5847&gt;H5847,1,0)</x:f>
        <x:v>0</x:v>
      </x:c>
      <x:c r="L5847" s="6" t="n">
        <x:f>J5847*K5847</x:f>
        <x:v>0</x:v>
      </x:c>
    </x:row>
    <x:row r="5848">
      <x:c r="A5848" s="1" t="n">
        <x:v>45863</x:v>
      </x:c>
      <x:c r="B5848" s="5" t="d">
        <x:v>2016-10-31T00:00:00.000Z</x:v>
      </x:c>
      <x:c r="C5848" s="1" t="str">
        <x:v>Standard Class</x:v>
      </x:c>
      <x:c r="D5848" s="1" t="str">
        <x:v>Pacific Asia</x:v>
      </x:c>
      <x:c r="E5848" s="1" t="str">
        <x:v>PROCESSING</x:v>
      </x:c>
      <x:c r="F5848" s="1" t="str">
        <x:v>Shipping on time</x:v>
      </x:c>
      <x:c r="G5848" s="6" t="n">
        <x:v>4</x:v>
      </x:c>
      <x:c r="H5848" s="6" t="n">
        <x:v>4</x:v>
      </x:c>
      <x:c r="I5848" s="6" t="n">
        <x:f>G5848-H5848</x:f>
        <x:v>0</x:v>
      </x:c>
      <x:c r="J5848" s="6" t="n">
        <x:f>IF(OR(E5848="CANCELED",E5848="SUSPECTED_FRAUD",F5848="Shipping canceled"),0,1)</x:f>
        <x:v>1</x:v>
      </x:c>
      <x:c r="K5848" s="6" t="n">
        <x:f>IF(G5848&gt;H5848,1,0)</x:f>
        <x:v>0</x:v>
      </x:c>
      <x:c r="L5848" s="6" t="n">
        <x:f>J5848*K5848</x:f>
        <x:v>0</x:v>
      </x:c>
    </x:row>
    <x:row r="5849">
      <x:c r="A5849" s="1" t="n">
        <x:v>45864</x:v>
      </x:c>
      <x:c r="B5849" s="5" t="d">
        <x:v>2016-10-31T00:00:00.000Z</x:v>
      </x:c>
      <x:c r="C5849" s="1" t="str">
        <x:v>Standard Class</x:v>
      </x:c>
      <x:c r="D5849" s="1" t="str">
        <x:v>Africa</x:v>
      </x:c>
      <x:c r="E5849" s="1" t="str">
        <x:v>COMPLETE</x:v>
      </x:c>
      <x:c r="F5849" s="1" t="str">
        <x:v>Late delivery</x:v>
      </x:c>
      <x:c r="G5849" s="6" t="n">
        <x:v>5</x:v>
      </x:c>
      <x:c r="H5849" s="6" t="n">
        <x:v>4</x:v>
      </x:c>
      <x:c r="I5849" s="6" t="n">
        <x:f>G5849-H5849</x:f>
        <x:v>1</x:v>
      </x:c>
      <x:c r="J5849" s="6" t="n">
        <x:f>IF(OR(E5849="CANCELED",E5849="SUSPECTED_FRAUD",F5849="Shipping canceled"),0,1)</x:f>
        <x:v>1</x:v>
      </x:c>
      <x:c r="K5849" s="6" t="n">
        <x:f>IF(G5849&gt;H5849,1,0)</x:f>
        <x:v>1</x:v>
      </x:c>
      <x:c r="L5849" s="6" t="n">
        <x:f>J5849*K5849</x:f>
        <x:v>1</x:v>
      </x:c>
    </x:row>
    <x:row r="5850">
      <x:c r="A5850" s="1" t="n">
        <x:v>45870</x:v>
      </x:c>
      <x:c r="B5850" s="5" t="d">
        <x:v>2016-10-31T00:00:00.000Z</x:v>
      </x:c>
      <x:c r="C5850" s="1" t="str">
        <x:v>Standard Class</x:v>
      </x:c>
      <x:c r="D5850" s="1" t="str">
        <x:v>Europe</x:v>
      </x:c>
      <x:c r="E5850" s="1" t="str">
        <x:v>COMPLETE</x:v>
      </x:c>
      <x:c r="F5850" s="1" t="str">
        <x:v>Late delivery</x:v>
      </x:c>
      <x:c r="G5850" s="6" t="n">
        <x:v>6</x:v>
      </x:c>
      <x:c r="H5850" s="6" t="n">
        <x:v>4</x:v>
      </x:c>
      <x:c r="I5850" s="6" t="n">
        <x:f>G5850-H5850</x:f>
        <x:v>2</x:v>
      </x:c>
      <x:c r="J5850" s="6" t="n">
        <x:f>IF(OR(E5850="CANCELED",E5850="SUSPECTED_FRAUD",F5850="Shipping canceled"),0,1)</x:f>
        <x:v>1</x:v>
      </x:c>
      <x:c r="K5850" s="6" t="n">
        <x:f>IF(G5850&gt;H5850,1,0)</x:f>
        <x:v>1</x:v>
      </x:c>
      <x:c r="L5850" s="6" t="n">
        <x:f>J5850*K5850</x:f>
        <x:v>1</x:v>
      </x:c>
    </x:row>
    <x:row r="5851">
      <x:c r="A5851" s="1" t="n">
        <x:v>45882</x:v>
      </x:c>
      <x:c r="B5851" s="5" t="d">
        <x:v>2016-10-31T00:00:00.000Z</x:v>
      </x:c>
      <x:c r="C5851" s="1" t="str">
        <x:v>Standard Class</x:v>
      </x:c>
      <x:c r="D5851" s="1" t="str">
        <x:v>USCA</x:v>
      </x:c>
      <x:c r="E5851" s="1" t="str">
        <x:v>PROCESSING</x:v>
      </x:c>
      <x:c r="F5851" s="1" t="str">
        <x:v>Advance shipping</x:v>
      </x:c>
      <x:c r="G5851" s="6" t="n">
        <x:v>3</x:v>
      </x:c>
      <x:c r="H5851" s="6" t="n">
        <x:v>4</x:v>
      </x:c>
      <x:c r="I5851" s="6" t="n">
        <x:f>G5851-H5851</x:f>
        <x:v>-1</x:v>
      </x:c>
      <x:c r="J5851" s="6" t="n">
        <x:f>IF(OR(E5851="CANCELED",E5851="SUSPECTED_FRAUD",F5851="Shipping canceled"),0,1)</x:f>
        <x:v>1</x:v>
      </x:c>
      <x:c r="K5851" s="6" t="n">
        <x:f>IF(G5851&gt;H5851,1,0)</x:f>
        <x:v>0</x:v>
      </x:c>
      <x:c r="L5851" s="6" t="n">
        <x:f>J5851*K5851</x:f>
        <x:v>0</x:v>
      </x:c>
    </x:row>
    <x:row r="5852">
      <x:c r="A5852" s="1" t="n">
        <x:v>45901</x:v>
      </x:c>
      <x:c r="B5852" s="5" t="d">
        <x:v>2016-11-01T00:00:00.000Z</x:v>
      </x:c>
      <x:c r="C5852" s="1" t="str">
        <x:v>First Class</x:v>
      </x:c>
      <x:c r="D5852" s="1" t="str">
        <x:v>Europe</x:v>
      </x:c>
      <x:c r="E5852" s="1" t="str">
        <x:v>PENDING_PAYMENT</x:v>
      </x:c>
      <x:c r="F5852" s="1" t="str">
        <x:v>Late delivery</x:v>
      </x:c>
      <x:c r="G5852" s="6" t="n">
        <x:v>2</x:v>
      </x:c>
      <x:c r="H5852" s="6" t="n">
        <x:v>1</x:v>
      </x:c>
      <x:c r="I5852" s="6" t="n">
        <x:f>G5852-H5852</x:f>
        <x:v>1</x:v>
      </x:c>
      <x:c r="J5852" s="6" t="n">
        <x:f>IF(OR(E5852="CANCELED",E5852="SUSPECTED_FRAUD",F5852="Shipping canceled"),0,1)</x:f>
        <x:v>1</x:v>
      </x:c>
      <x:c r="K5852" s="6" t="n">
        <x:f>IF(G5852&gt;H5852,1,0)</x:f>
        <x:v>1</x:v>
      </x:c>
      <x:c r="L5852" s="6" t="n">
        <x:f>J5852*K5852</x:f>
        <x:v>1</x:v>
      </x:c>
    </x:row>
    <x:row r="5853">
      <x:c r="A5853" s="1" t="n">
        <x:v>45912</x:v>
      </x:c>
      <x:c r="B5853" s="5" t="d">
        <x:v>2016-11-01T00:00:00.000Z</x:v>
      </x:c>
      <x:c r="C5853" s="1" t="str">
        <x:v>Second Class</x:v>
      </x:c>
      <x:c r="D5853" s="1" t="str">
        <x:v>Europe</x:v>
      </x:c>
      <x:c r="E5853" s="1" t="str">
        <x:v>CLOSED</x:v>
      </x:c>
      <x:c r="F5853" s="1" t="str">
        <x:v>Late delivery</x:v>
      </x:c>
      <x:c r="G5853" s="6" t="n">
        <x:v>3</x:v>
      </x:c>
      <x:c r="H5853" s="6" t="n">
        <x:v>2</x:v>
      </x:c>
      <x:c r="I5853" s="6" t="n">
        <x:f>G5853-H5853</x:f>
        <x:v>1</x:v>
      </x:c>
      <x:c r="J5853" s="6" t="n">
        <x:f>IF(OR(E5853="CANCELED",E5853="SUSPECTED_FRAUD",F5853="Shipping canceled"),0,1)</x:f>
        <x:v>1</x:v>
      </x:c>
      <x:c r="K5853" s="6" t="n">
        <x:f>IF(G5853&gt;H5853,1,0)</x:f>
        <x:v>1</x:v>
      </x:c>
      <x:c r="L5853" s="6" t="n">
        <x:f>J5853*K5853</x:f>
        <x:v>1</x:v>
      </x:c>
    </x:row>
    <x:row r="5854">
      <x:c r="A5854" s="1" t="n">
        <x:v>45918</x:v>
      </x:c>
      <x:c r="B5854" s="5" t="d">
        <x:v>2016-11-01T00:00:00.000Z</x:v>
      </x:c>
      <x:c r="C5854" s="1" t="str">
        <x:v>Same Day</x:v>
      </x:c>
      <x:c r="D5854" s="1" t="str">
        <x:v>Pacific Asia</x:v>
      </x:c>
      <x:c r="E5854" s="1" t="str">
        <x:v>CLOSED</x:v>
      </x:c>
      <x:c r="F5854" s="1" t="str">
        <x:v>Shipping on time</x:v>
      </x:c>
      <x:c r="G5854" s="6" t="n">
        <x:v>0</x:v>
      </x:c>
      <x:c r="H5854" s="6" t="n">
        <x:v>0</x:v>
      </x:c>
      <x:c r="I5854" s="6" t="n">
        <x:f>G5854-H5854</x:f>
        <x:v>0</x:v>
      </x:c>
      <x:c r="J5854" s="6" t="n">
        <x:f>IF(OR(E5854="CANCELED",E5854="SUSPECTED_FRAUD",F5854="Shipping canceled"),0,1)</x:f>
        <x:v>1</x:v>
      </x:c>
      <x:c r="K5854" s="6" t="n">
        <x:f>IF(G5854&gt;H5854,1,0)</x:f>
        <x:v>0</x:v>
      </x:c>
      <x:c r="L5854" s="6" t="n">
        <x:f>J5854*K5854</x:f>
        <x:v>0</x:v>
      </x:c>
    </x:row>
    <x:row r="5855">
      <x:c r="A5855" s="1" t="n">
        <x:v>45947</x:v>
      </x:c>
      <x:c r="B5855" s="5" t="d">
        <x:v>2016-11-01T00:00:00.000Z</x:v>
      </x:c>
      <x:c r="C5855" s="1" t="str">
        <x:v>Second Class</x:v>
      </x:c>
      <x:c r="D5855" s="1" t="str">
        <x:v>Africa</x:v>
      </x:c>
      <x:c r="E5855" s="1" t="str">
        <x:v>COMPLETE</x:v>
      </x:c>
      <x:c r="F5855" s="1" t="str">
        <x:v>Late delivery</x:v>
      </x:c>
      <x:c r="G5855" s="6" t="n">
        <x:v>3</x:v>
      </x:c>
      <x:c r="H5855" s="6" t="n">
        <x:v>2</x:v>
      </x:c>
      <x:c r="I5855" s="6" t="n">
        <x:f>G5855-H5855</x:f>
        <x:v>1</x:v>
      </x:c>
      <x:c r="J5855" s="6" t="n">
        <x:f>IF(OR(E5855="CANCELED",E5855="SUSPECTED_FRAUD",F5855="Shipping canceled"),0,1)</x:f>
        <x:v>1</x:v>
      </x:c>
      <x:c r="K5855" s="6" t="n">
        <x:f>IF(G5855&gt;H5855,1,0)</x:f>
        <x:v>1</x:v>
      </x:c>
      <x:c r="L5855" s="6" t="n">
        <x:f>J5855*K5855</x:f>
        <x:v>1</x:v>
      </x:c>
    </x:row>
    <x:row r="5856">
      <x:c r="A5856" s="1" t="n">
        <x:v>45956</x:v>
      </x:c>
      <x:c r="B5856" s="5" t="d">
        <x:v>2016-11-01T00:00:00.000Z</x:v>
      </x:c>
      <x:c r="C5856" s="1" t="str">
        <x:v>Standard Class</x:v>
      </x:c>
      <x:c r="D5856" s="1" t="str">
        <x:v>Africa</x:v>
      </x:c>
      <x:c r="E5856" s="1" t="str">
        <x:v>COMPLETE</x:v>
      </x:c>
      <x:c r="F5856" s="1" t="str">
        <x:v>Advance shipping</x:v>
      </x:c>
      <x:c r="G5856" s="6" t="n">
        <x:v>2</x:v>
      </x:c>
      <x:c r="H5856" s="6" t="n">
        <x:v>4</x:v>
      </x:c>
      <x:c r="I5856" s="6" t="n">
        <x:f>G5856-H5856</x:f>
        <x:v>-2</x:v>
      </x:c>
      <x:c r="J5856" s="6" t="n">
        <x:f>IF(OR(E5856="CANCELED",E5856="SUSPECTED_FRAUD",F5856="Shipping canceled"),0,1)</x:f>
        <x:v>1</x:v>
      </x:c>
      <x:c r="K5856" s="6" t="n">
        <x:f>IF(G5856&gt;H5856,1,0)</x:f>
        <x:v>0</x:v>
      </x:c>
      <x:c r="L5856" s="6" t="n">
        <x:f>J5856*K5856</x:f>
        <x:v>0</x:v>
      </x:c>
    </x:row>
    <x:row r="5857">
      <x:c r="A5857" s="1" t="n">
        <x:v>45962</x:v>
      </x:c>
      <x:c r="B5857" s="5" t="d">
        <x:v>2016-11-01T00:00:00.000Z</x:v>
      </x:c>
      <x:c r="C5857" s="1" t="str">
        <x:v>Standard Class</x:v>
      </x:c>
      <x:c r="D5857" s="1" t="str">
        <x:v>Pacific Asia</x:v>
      </x:c>
      <x:c r="E5857" s="1" t="str">
        <x:v>SUSPECTED_FRAUD</x:v>
      </x:c>
      <x:c r="F5857" s="1" t="str">
        <x:v>Shipping canceled</x:v>
      </x:c>
      <x:c r="G5857" s="6" t="n">
        <x:v>3</x:v>
      </x:c>
      <x:c r="H5857" s="6" t="n">
        <x:v>4</x:v>
      </x:c>
      <x:c r="I5857" s="6" t="n">
        <x:f>G5857-H5857</x:f>
        <x:v>-1</x:v>
      </x:c>
      <x:c r="J5857" s="6" t="n">
        <x:f>IF(OR(E5857="CANCELED",E5857="SUSPECTED_FRAUD",F5857="Shipping canceled"),0,1)</x:f>
        <x:v>0</x:v>
      </x:c>
      <x:c r="K5857" s="6" t="n">
        <x:f>IF(G5857&gt;H5857,1,0)</x:f>
        <x:v>0</x:v>
      </x:c>
      <x:c r="L5857" s="6" t="n">
        <x:f>J5857*K5857</x:f>
        <x:v>0</x:v>
      </x:c>
    </x:row>
    <x:row r="5858">
      <x:c r="A5858" s="1" t="n">
        <x:v>45963</x:v>
      </x:c>
      <x:c r="B5858" s="5" t="d">
        <x:v>2016-11-01T00:00:00.000Z</x:v>
      </x:c>
      <x:c r="C5858" s="1" t="str">
        <x:v>Standard Class</x:v>
      </x:c>
      <x:c r="D5858" s="1" t="str">
        <x:v>Pacific Asia</x:v>
      </x:c>
      <x:c r="E5858" s="1" t="str">
        <x:v>COMPLETE</x:v>
      </x:c>
      <x:c r="F5858" s="1" t="str">
        <x:v>Shipping on time</x:v>
      </x:c>
      <x:c r="G5858" s="6" t="n">
        <x:v>4</x:v>
      </x:c>
      <x:c r="H5858" s="6" t="n">
        <x:v>4</x:v>
      </x:c>
      <x:c r="I5858" s="6" t="n">
        <x:f>G5858-H5858</x:f>
        <x:v>0</x:v>
      </x:c>
      <x:c r="J5858" s="6" t="n">
        <x:f>IF(OR(E5858="CANCELED",E5858="SUSPECTED_FRAUD",F5858="Shipping canceled"),0,1)</x:f>
        <x:v>1</x:v>
      </x:c>
      <x:c r="K5858" s="6" t="n">
        <x:f>IF(G5858&gt;H5858,1,0)</x:f>
        <x:v>0</x:v>
      </x:c>
      <x:c r="L5858" s="6" t="n">
        <x:f>J5858*K5858</x:f>
        <x:v>0</x:v>
      </x:c>
    </x:row>
    <x:row r="5859">
      <x:c r="A5859" s="1" t="n">
        <x:v>45969</x:v>
      </x:c>
      <x:c r="B5859" s="5" t="d">
        <x:v>2016-11-02T00:00:00.000Z</x:v>
      </x:c>
      <x:c r="C5859" s="1" t="str">
        <x:v>First Class</x:v>
      </x:c>
      <x:c r="D5859" s="1" t="str">
        <x:v>Europe</x:v>
      </x:c>
      <x:c r="E5859" s="1" t="str">
        <x:v>PENDING_PAYMENT</x:v>
      </x:c>
      <x:c r="F5859" s="1" t="str">
        <x:v>Late delivery</x:v>
      </x:c>
      <x:c r="G5859" s="6" t="n">
        <x:v>2</x:v>
      </x:c>
      <x:c r="H5859" s="6" t="n">
        <x:v>1</x:v>
      </x:c>
      <x:c r="I5859" s="6" t="n">
        <x:f>G5859-H5859</x:f>
        <x:v>1</x:v>
      </x:c>
      <x:c r="J5859" s="6" t="n">
        <x:f>IF(OR(E5859="CANCELED",E5859="SUSPECTED_FRAUD",F5859="Shipping canceled"),0,1)</x:f>
        <x:v>1</x:v>
      </x:c>
      <x:c r="K5859" s="6" t="n">
        <x:f>IF(G5859&gt;H5859,1,0)</x:f>
        <x:v>1</x:v>
      </x:c>
      <x:c r="L5859" s="6" t="n">
        <x:f>J5859*K5859</x:f>
        <x:v>1</x:v>
      </x:c>
    </x:row>
    <x:row r="5860">
      <x:c r="A5860" s="1" t="n">
        <x:v>45976</x:v>
      </x:c>
      <x:c r="B5860" s="5" t="d">
        <x:v>2016-11-02T00:00:00.000Z</x:v>
      </x:c>
      <x:c r="C5860" s="1" t="str">
        <x:v>Standard Class</x:v>
      </x:c>
      <x:c r="D5860" s="1" t="str">
        <x:v>Pacific Asia</x:v>
      </x:c>
      <x:c r="E5860" s="1" t="str">
        <x:v>PROCESSING</x:v>
      </x:c>
      <x:c r="F5860" s="1" t="str">
        <x:v>Advance shipping</x:v>
      </x:c>
      <x:c r="G5860" s="6" t="n">
        <x:v>2</x:v>
      </x:c>
      <x:c r="H5860" s="6" t="n">
        <x:v>4</x:v>
      </x:c>
      <x:c r="I5860" s="6" t="n">
        <x:f>G5860-H5860</x:f>
        <x:v>-2</x:v>
      </x:c>
      <x:c r="J5860" s="6" t="n">
        <x:f>IF(OR(E5860="CANCELED",E5860="SUSPECTED_FRAUD",F5860="Shipping canceled"),0,1)</x:f>
        <x:v>1</x:v>
      </x:c>
      <x:c r="K5860" s="6" t="n">
        <x:f>IF(G5860&gt;H5860,1,0)</x:f>
        <x:v>0</x:v>
      </x:c>
      <x:c r="L5860" s="6" t="n">
        <x:f>J5860*K5860</x:f>
        <x:v>0</x:v>
      </x:c>
    </x:row>
    <x:row r="5861">
      <x:c r="A5861" s="1" t="n">
        <x:v>45987</x:v>
      </x:c>
      <x:c r="B5861" s="5" t="d">
        <x:v>2016-11-02T00:00:00.000Z</x:v>
      </x:c>
      <x:c r="C5861" s="1" t="str">
        <x:v>Standard Class</x:v>
      </x:c>
      <x:c r="D5861" s="1" t="str">
        <x:v>Africa</x:v>
      </x:c>
      <x:c r="E5861" s="1" t="str">
        <x:v>SUSPECTED_FRAUD</x:v>
      </x:c>
      <x:c r="F5861" s="1" t="str">
        <x:v>Shipping canceled</x:v>
      </x:c>
      <x:c r="G5861" s="6" t="n">
        <x:v>3</x:v>
      </x:c>
      <x:c r="H5861" s="6" t="n">
        <x:v>4</x:v>
      </x:c>
      <x:c r="I5861" s="6" t="n">
        <x:f>G5861-H5861</x:f>
        <x:v>-1</x:v>
      </x:c>
      <x:c r="J5861" s="6" t="n">
        <x:f>IF(OR(E5861="CANCELED",E5861="SUSPECTED_FRAUD",F5861="Shipping canceled"),0,1)</x:f>
        <x:v>0</x:v>
      </x:c>
      <x:c r="K5861" s="6" t="n">
        <x:f>IF(G5861&gt;H5861,1,0)</x:f>
        <x:v>0</x:v>
      </x:c>
      <x:c r="L5861" s="6" t="n">
        <x:f>J5861*K5861</x:f>
        <x:v>0</x:v>
      </x:c>
    </x:row>
    <x:row r="5862">
      <x:c r="A5862" s="1" t="n">
        <x:v>45993</x:v>
      </x:c>
      <x:c r="B5862" s="5" t="d">
        <x:v>2016-11-02T00:00:00.000Z</x:v>
      </x:c>
      <x:c r="C5862" s="1" t="str">
        <x:v>Standard Class</x:v>
      </x:c>
      <x:c r="D5862" s="1" t="str">
        <x:v>USCA</x:v>
      </x:c>
      <x:c r="E5862" s="1" t="str">
        <x:v>PENDING</x:v>
      </x:c>
      <x:c r="F5862" s="1" t="str">
        <x:v>Shipping on time</x:v>
      </x:c>
      <x:c r="G5862" s="6" t="n">
        <x:v>4</x:v>
      </x:c>
      <x:c r="H5862" s="6" t="n">
        <x:v>4</x:v>
      </x:c>
      <x:c r="I5862" s="6" t="n">
        <x:f>G5862-H5862</x:f>
        <x:v>0</x:v>
      </x:c>
      <x:c r="J5862" s="6" t="n">
        <x:f>IF(OR(E5862="CANCELED",E5862="SUSPECTED_FRAUD",F5862="Shipping canceled"),0,1)</x:f>
        <x:v>1</x:v>
      </x:c>
      <x:c r="K5862" s="6" t="n">
        <x:f>IF(G5862&gt;H5862,1,0)</x:f>
        <x:v>0</x:v>
      </x:c>
      <x:c r="L5862" s="6" t="n">
        <x:f>J5862*K5862</x:f>
        <x:v>0</x:v>
      </x:c>
    </x:row>
    <x:row r="5863">
      <x:c r="A5863" s="1" t="n">
        <x:v>46024</x:v>
      </x:c>
      <x:c r="B5863" s="5" t="d">
        <x:v>2016-11-02T00:00:00.000Z</x:v>
      </x:c>
      <x:c r="C5863" s="1" t="str">
        <x:v>Standard Class</x:v>
      </x:c>
      <x:c r="D5863" s="1" t="str">
        <x:v>Pacific Asia</x:v>
      </x:c>
      <x:c r="E5863" s="1" t="str">
        <x:v>COMPLETE</x:v>
      </x:c>
      <x:c r="F5863" s="1" t="str">
        <x:v>Late delivery</x:v>
      </x:c>
      <x:c r="G5863" s="6" t="n">
        <x:v>5</x:v>
      </x:c>
      <x:c r="H5863" s="6" t="n">
        <x:v>4</x:v>
      </x:c>
      <x:c r="I5863" s="6" t="n">
        <x:f>G5863-H5863</x:f>
        <x:v>1</x:v>
      </x:c>
      <x:c r="J5863" s="6" t="n">
        <x:f>IF(OR(E5863="CANCELED",E5863="SUSPECTED_FRAUD",F5863="Shipping canceled"),0,1)</x:f>
        <x:v>1</x:v>
      </x:c>
      <x:c r="K5863" s="6" t="n">
        <x:f>IF(G5863&gt;H5863,1,0)</x:f>
        <x:v>1</x:v>
      </x:c>
      <x:c r="L5863" s="6" t="n">
        <x:f>J5863*K5863</x:f>
        <x:v>1</x:v>
      </x:c>
    </x:row>
    <x:row r="5864">
      <x:c r="A5864" s="1" t="n">
        <x:v>46032</x:v>
      </x:c>
      <x:c r="B5864" s="5" t="d">
        <x:v>2016-11-02T00:00:00.000Z</x:v>
      </x:c>
      <x:c r="C5864" s="1" t="str">
        <x:v>Standard Class</x:v>
      </x:c>
      <x:c r="D5864" s="1" t="str">
        <x:v>Europe</x:v>
      </x:c>
      <x:c r="E5864" s="1" t="str">
        <x:v>PROCESSING</x:v>
      </x:c>
      <x:c r="F5864" s="1" t="str">
        <x:v>Advance shipping</x:v>
      </x:c>
      <x:c r="G5864" s="6" t="n">
        <x:v>3</x:v>
      </x:c>
      <x:c r="H5864" s="6" t="n">
        <x:v>4</x:v>
      </x:c>
      <x:c r="I5864" s="6" t="n">
        <x:f>G5864-H5864</x:f>
        <x:v>-1</x:v>
      </x:c>
      <x:c r="J5864" s="6" t="n">
        <x:f>IF(OR(E5864="CANCELED",E5864="SUSPECTED_FRAUD",F5864="Shipping canceled"),0,1)</x:f>
        <x:v>1</x:v>
      </x:c>
      <x:c r="K5864" s="6" t="n">
        <x:f>IF(G5864&gt;H5864,1,0)</x:f>
        <x:v>0</x:v>
      </x:c>
      <x:c r="L5864" s="6" t="n">
        <x:f>J5864*K5864</x:f>
        <x:v>0</x:v>
      </x:c>
    </x:row>
    <x:row r="5865">
      <x:c r="A5865" s="1" t="n">
        <x:v>46036</x:v>
      </x:c>
      <x:c r="B5865" s="5" t="d">
        <x:v>2016-11-03T00:00:00.000Z</x:v>
      </x:c>
      <x:c r="C5865" s="1" t="str">
        <x:v>Standard Class</x:v>
      </x:c>
      <x:c r="D5865" s="1" t="str">
        <x:v>Europe</x:v>
      </x:c>
      <x:c r="E5865" s="1" t="str">
        <x:v>COMPLETE</x:v>
      </x:c>
      <x:c r="F5865" s="1" t="str">
        <x:v>Advance shipping</x:v>
      </x:c>
      <x:c r="G5865" s="6" t="n">
        <x:v>2</x:v>
      </x:c>
      <x:c r="H5865" s="6" t="n">
        <x:v>4</x:v>
      </x:c>
      <x:c r="I5865" s="6" t="n">
        <x:f>G5865-H5865</x:f>
        <x:v>-2</x:v>
      </x:c>
      <x:c r="J5865" s="6" t="n">
        <x:f>IF(OR(E5865="CANCELED",E5865="SUSPECTED_FRAUD",F5865="Shipping canceled"),0,1)</x:f>
        <x:v>1</x:v>
      </x:c>
      <x:c r="K5865" s="6" t="n">
        <x:f>IF(G5865&gt;H5865,1,0)</x:f>
        <x:v>0</x:v>
      </x:c>
      <x:c r="L5865" s="6" t="n">
        <x:f>J5865*K5865</x:f>
        <x:v>0</x:v>
      </x:c>
    </x:row>
    <x:row r="5866">
      <x:c r="A5866" s="1" t="n">
        <x:v>46040</x:v>
      </x:c>
      <x:c r="B5866" s="5" t="d">
        <x:v>2016-11-03T00:00:00.000Z</x:v>
      </x:c>
      <x:c r="C5866" s="1" t="str">
        <x:v>Standard Class</x:v>
      </x:c>
      <x:c r="D5866" s="1" t="str">
        <x:v>Africa</x:v>
      </x:c>
      <x:c r="E5866" s="1" t="str">
        <x:v>CLOSED</x:v>
      </x:c>
      <x:c r="F5866" s="1" t="str">
        <x:v>Late delivery</x:v>
      </x:c>
      <x:c r="G5866" s="6" t="n">
        <x:v>6</x:v>
      </x:c>
      <x:c r="H5866" s="6" t="n">
        <x:v>4</x:v>
      </x:c>
      <x:c r="I5866" s="6" t="n">
        <x:f>G5866-H5866</x:f>
        <x:v>2</x:v>
      </x:c>
      <x:c r="J5866" s="6" t="n">
        <x:f>IF(OR(E5866="CANCELED",E5866="SUSPECTED_FRAUD",F5866="Shipping canceled"),0,1)</x:f>
        <x:v>1</x:v>
      </x:c>
      <x:c r="K5866" s="6" t="n">
        <x:f>IF(G5866&gt;H5866,1,0)</x:f>
        <x:v>1</x:v>
      </x:c>
      <x:c r="L5866" s="6" t="n">
        <x:f>J5866*K5866</x:f>
        <x:v>1</x:v>
      </x:c>
    </x:row>
    <x:row r="5867">
      <x:c r="A5867" s="1" t="n">
        <x:v>46041</x:v>
      </x:c>
      <x:c r="B5867" s="5" t="d">
        <x:v>2016-11-03T00:00:00.000Z</x:v>
      </x:c>
      <x:c r="C5867" s="1" t="str">
        <x:v>Second Class</x:v>
      </x:c>
      <x:c r="D5867" s="1" t="str">
        <x:v>Africa</x:v>
      </x:c>
      <x:c r="E5867" s="1" t="str">
        <x:v>PENDING_PAYMENT</x:v>
      </x:c>
      <x:c r="F5867" s="1" t="str">
        <x:v>Shipping on time</x:v>
      </x:c>
      <x:c r="G5867" s="6" t="n">
        <x:v>2</x:v>
      </x:c>
      <x:c r="H5867" s="6" t="n">
        <x:v>2</x:v>
      </x:c>
      <x:c r="I5867" s="6" t="n">
        <x:f>G5867-H5867</x:f>
        <x:v>0</x:v>
      </x:c>
      <x:c r="J5867" s="6" t="n">
        <x:f>IF(OR(E5867="CANCELED",E5867="SUSPECTED_FRAUD",F5867="Shipping canceled"),0,1)</x:f>
        <x:v>1</x:v>
      </x:c>
      <x:c r="K5867" s="6" t="n">
        <x:f>IF(G5867&gt;H5867,1,0)</x:f>
        <x:v>0</x:v>
      </x:c>
      <x:c r="L5867" s="6" t="n">
        <x:f>J5867*K5867</x:f>
        <x:v>0</x:v>
      </x:c>
    </x:row>
    <x:row r="5868">
      <x:c r="A5868" s="1" t="n">
        <x:v>46042</x:v>
      </x:c>
      <x:c r="B5868" s="5" t="d">
        <x:v>2016-11-03T00:00:00.000Z</x:v>
      </x:c>
      <x:c r="C5868" s="1" t="str">
        <x:v>Standard Class</x:v>
      </x:c>
      <x:c r="D5868" s="1" t="str">
        <x:v>Africa</x:v>
      </x:c>
      <x:c r="E5868" s="1" t="str">
        <x:v>COMPLETE</x:v>
      </x:c>
      <x:c r="F5868" s="1" t="str">
        <x:v>Advance shipping</x:v>
      </x:c>
      <x:c r="G5868" s="6" t="n">
        <x:v>3</x:v>
      </x:c>
      <x:c r="H5868" s="6" t="n">
        <x:v>4</x:v>
      </x:c>
      <x:c r="I5868" s="6" t="n">
        <x:f>G5868-H5868</x:f>
        <x:v>-1</x:v>
      </x:c>
      <x:c r="J5868" s="6" t="n">
        <x:f>IF(OR(E5868="CANCELED",E5868="SUSPECTED_FRAUD",F5868="Shipping canceled"),0,1)</x:f>
        <x:v>1</x:v>
      </x:c>
      <x:c r="K5868" s="6" t="n">
        <x:f>IF(G5868&gt;H5868,1,0)</x:f>
        <x:v>0</x:v>
      </x:c>
      <x:c r="L5868" s="6" t="n">
        <x:f>J5868*K5868</x:f>
        <x:v>0</x:v>
      </x:c>
    </x:row>
    <x:row r="5869">
      <x:c r="A5869" s="1" t="n">
        <x:v>46048</x:v>
      </x:c>
      <x:c r="B5869" s="5" t="d">
        <x:v>2016-11-03T00:00:00.000Z</x:v>
      </x:c>
      <x:c r="C5869" s="1" t="str">
        <x:v>Standard Class</x:v>
      </x:c>
      <x:c r="D5869" s="1" t="str">
        <x:v>Africa</x:v>
      </x:c>
      <x:c r="E5869" s="1" t="str">
        <x:v>PENDING</x:v>
      </x:c>
      <x:c r="F5869" s="1" t="str">
        <x:v>Shipping on time</x:v>
      </x:c>
      <x:c r="G5869" s="6" t="n">
        <x:v>4</x:v>
      </x:c>
      <x:c r="H5869" s="6" t="n">
        <x:v>4</x:v>
      </x:c>
      <x:c r="I5869" s="6" t="n">
        <x:f>G5869-H5869</x:f>
        <x:v>0</x:v>
      </x:c>
      <x:c r="J5869" s="6" t="n">
        <x:f>IF(OR(E5869="CANCELED",E5869="SUSPECTED_FRAUD",F5869="Shipping canceled"),0,1)</x:f>
        <x:v>1</x:v>
      </x:c>
      <x:c r="K5869" s="6" t="n">
        <x:f>IF(G5869&gt;H5869,1,0)</x:f>
        <x:v>0</x:v>
      </x:c>
      <x:c r="L5869" s="6" t="n">
        <x:f>J5869*K5869</x:f>
        <x:v>0</x:v>
      </x:c>
    </x:row>
    <x:row r="5870">
      <x:c r="A5870" s="1" t="n">
        <x:v>46062</x:v>
      </x:c>
      <x:c r="B5870" s="5" t="d">
        <x:v>2016-11-03T00:00:00.000Z</x:v>
      </x:c>
      <x:c r="C5870" s="1" t="str">
        <x:v>Standard Class</x:v>
      </x:c>
      <x:c r="D5870" s="1" t="str">
        <x:v>Africa</x:v>
      </x:c>
      <x:c r="E5870" s="1" t="str">
        <x:v>PROCESSING</x:v>
      </x:c>
      <x:c r="F5870" s="1" t="str">
        <x:v>Advance shipping</x:v>
      </x:c>
      <x:c r="G5870" s="6" t="n">
        <x:v>3</x:v>
      </x:c>
      <x:c r="H5870" s="6" t="n">
        <x:v>4</x:v>
      </x:c>
      <x:c r="I5870" s="6" t="n">
        <x:f>G5870-H5870</x:f>
        <x:v>-1</x:v>
      </x:c>
      <x:c r="J5870" s="6" t="n">
        <x:f>IF(OR(E5870="CANCELED",E5870="SUSPECTED_FRAUD",F5870="Shipping canceled"),0,1)</x:f>
        <x:v>1</x:v>
      </x:c>
      <x:c r="K5870" s="6" t="n">
        <x:f>IF(G5870&gt;H5870,1,0)</x:f>
        <x:v>0</x:v>
      </x:c>
      <x:c r="L5870" s="6" t="n">
        <x:f>J5870*K5870</x:f>
        <x:v>0</x:v>
      </x:c>
    </x:row>
    <x:row r="5871">
      <x:c r="A5871" s="1" t="n">
        <x:v>46064</x:v>
      </x:c>
      <x:c r="B5871" s="5" t="d">
        <x:v>2016-11-03T00:00:00.000Z</x:v>
      </x:c>
      <x:c r="C5871" s="1" t="str">
        <x:v>Standard Class</x:v>
      </x:c>
      <x:c r="D5871" s="1" t="str">
        <x:v>Europe</x:v>
      </x:c>
      <x:c r="E5871" s="1" t="str">
        <x:v>PENDING_PAYMENT</x:v>
      </x:c>
      <x:c r="F5871" s="1" t="str">
        <x:v>Late delivery</x:v>
      </x:c>
      <x:c r="G5871" s="6" t="n">
        <x:v>5</x:v>
      </x:c>
      <x:c r="H5871" s="6" t="n">
        <x:v>4</x:v>
      </x:c>
      <x:c r="I5871" s="6" t="n">
        <x:f>G5871-H5871</x:f>
        <x:v>1</x:v>
      </x:c>
      <x:c r="J5871" s="6" t="n">
        <x:f>IF(OR(E5871="CANCELED",E5871="SUSPECTED_FRAUD",F5871="Shipping canceled"),0,1)</x:f>
        <x:v>1</x:v>
      </x:c>
      <x:c r="K5871" s="6" t="n">
        <x:f>IF(G5871&gt;H5871,1,0)</x:f>
        <x:v>1</x:v>
      </x:c>
      <x:c r="L5871" s="6" t="n">
        <x:f>J5871*K5871</x:f>
        <x:v>1</x:v>
      </x:c>
    </x:row>
    <x:row r="5872">
      <x:c r="A5872" s="1" t="n">
        <x:v>46073</x:v>
      </x:c>
      <x:c r="B5872" s="5" t="d">
        <x:v>2016-11-03T00:00:00.000Z</x:v>
      </x:c>
      <x:c r="C5872" s="1" t="str">
        <x:v>Standard Class</x:v>
      </x:c>
      <x:c r="D5872" s="1" t="str">
        <x:v>Pacific Asia</x:v>
      </x:c>
      <x:c r="E5872" s="1" t="str">
        <x:v>PENDING</x:v>
      </x:c>
      <x:c r="F5872" s="1" t="str">
        <x:v>Shipping on time</x:v>
      </x:c>
      <x:c r="G5872" s="6" t="n">
        <x:v>4</x:v>
      </x:c>
      <x:c r="H5872" s="6" t="n">
        <x:v>4</x:v>
      </x:c>
      <x:c r="I5872" s="6" t="n">
        <x:f>G5872-H5872</x:f>
        <x:v>0</x:v>
      </x:c>
      <x:c r="J5872" s="6" t="n">
        <x:f>IF(OR(E5872="CANCELED",E5872="SUSPECTED_FRAUD",F5872="Shipping canceled"),0,1)</x:f>
        <x:v>1</x:v>
      </x:c>
      <x:c r="K5872" s="6" t="n">
        <x:f>IF(G5872&gt;H5872,1,0)</x:f>
        <x:v>0</x:v>
      </x:c>
      <x:c r="L5872" s="6" t="n">
        <x:f>J5872*K5872</x:f>
        <x:v>0</x:v>
      </x:c>
    </x:row>
    <x:row r="5873">
      <x:c r="A5873" s="1" t="n">
        <x:v>46082</x:v>
      </x:c>
      <x:c r="B5873" s="5" t="d">
        <x:v>2016-11-03T00:00:00.000Z</x:v>
      </x:c>
      <x:c r="C5873" s="1" t="str">
        <x:v>Standard Class</x:v>
      </x:c>
      <x:c r="D5873" s="1" t="str">
        <x:v>USCA</x:v>
      </x:c>
      <x:c r="E5873" s="1" t="str">
        <x:v>COMPLETE</x:v>
      </x:c>
      <x:c r="F5873" s="1" t="str">
        <x:v>Advance shipping</x:v>
      </x:c>
      <x:c r="G5873" s="6" t="n">
        <x:v>3</x:v>
      </x:c>
      <x:c r="H5873" s="6" t="n">
        <x:v>4</x:v>
      </x:c>
      <x:c r="I5873" s="6" t="n">
        <x:f>G5873-H5873</x:f>
        <x:v>-1</x:v>
      </x:c>
      <x:c r="J5873" s="6" t="n">
        <x:f>IF(OR(E5873="CANCELED",E5873="SUSPECTED_FRAUD",F5873="Shipping canceled"),0,1)</x:f>
        <x:v>1</x:v>
      </x:c>
      <x:c r="K5873" s="6" t="n">
        <x:f>IF(G5873&gt;H5873,1,0)</x:f>
        <x:v>0</x:v>
      </x:c>
      <x:c r="L5873" s="6" t="n">
        <x:f>J5873*K5873</x:f>
        <x:v>0</x:v>
      </x:c>
    </x:row>
    <x:row r="5874">
      <x:c r="A5874" s="1" t="n">
        <x:v>46087</x:v>
      </x:c>
      <x:c r="B5874" s="5" t="d">
        <x:v>2016-11-03T00:00:00.000Z</x:v>
      </x:c>
      <x:c r="C5874" s="1" t="str">
        <x:v>Standard Class</x:v>
      </x:c>
      <x:c r="D5874" s="1" t="str">
        <x:v>Pacific Asia</x:v>
      </x:c>
      <x:c r="E5874" s="1" t="str">
        <x:v>COMPLETE</x:v>
      </x:c>
      <x:c r="F5874" s="1" t="str">
        <x:v>Advance shipping</x:v>
      </x:c>
      <x:c r="G5874" s="6" t="n">
        <x:v>3</x:v>
      </x:c>
      <x:c r="H5874" s="6" t="n">
        <x:v>4</x:v>
      </x:c>
      <x:c r="I5874" s="6" t="n">
        <x:f>G5874-H5874</x:f>
        <x:v>-1</x:v>
      </x:c>
      <x:c r="J5874" s="6" t="n">
        <x:f>IF(OR(E5874="CANCELED",E5874="SUSPECTED_FRAUD",F5874="Shipping canceled"),0,1)</x:f>
        <x:v>1</x:v>
      </x:c>
      <x:c r="K5874" s="6" t="n">
        <x:f>IF(G5874&gt;H5874,1,0)</x:f>
        <x:v>0</x:v>
      </x:c>
      <x:c r="L5874" s="6" t="n">
        <x:f>J5874*K5874</x:f>
        <x:v>0</x:v>
      </x:c>
    </x:row>
    <x:row r="5875">
      <x:c r="A5875" s="1" t="n">
        <x:v>46093</x:v>
      </x:c>
      <x:c r="B5875" s="5" t="d">
        <x:v>2016-11-03T00:00:00.000Z</x:v>
      </x:c>
      <x:c r="C5875" s="1" t="str">
        <x:v>Standard Class</x:v>
      </x:c>
      <x:c r="D5875" s="1" t="str">
        <x:v>Europe</x:v>
      </x:c>
      <x:c r="E5875" s="1" t="str">
        <x:v>PENDING</x:v>
      </x:c>
      <x:c r="F5875" s="1" t="str">
        <x:v>Shipping on time</x:v>
      </x:c>
      <x:c r="G5875" s="6" t="n">
        <x:v>4</x:v>
      </x:c>
      <x:c r="H5875" s="6" t="n">
        <x:v>4</x:v>
      </x:c>
      <x:c r="I5875" s="6" t="n">
        <x:f>G5875-H5875</x:f>
        <x:v>0</x:v>
      </x:c>
      <x:c r="J5875" s="6" t="n">
        <x:f>IF(OR(E5875="CANCELED",E5875="SUSPECTED_FRAUD",F5875="Shipping canceled"),0,1)</x:f>
        <x:v>1</x:v>
      </x:c>
      <x:c r="K5875" s="6" t="n">
        <x:f>IF(G5875&gt;H5875,1,0)</x:f>
        <x:v>0</x:v>
      </x:c>
      <x:c r="L5875" s="6" t="n">
        <x:f>J5875*K5875</x:f>
        <x:v>0</x:v>
      </x:c>
    </x:row>
    <x:row r="5876">
      <x:c r="A5876" s="1" t="n">
        <x:v>46098</x:v>
      </x:c>
      <x:c r="B5876" s="5" t="d">
        <x:v>2016-11-03T00:00:00.000Z</x:v>
      </x:c>
      <x:c r="C5876" s="1" t="str">
        <x:v>Second Class</x:v>
      </x:c>
      <x:c r="D5876" s="1" t="str">
        <x:v>Africa</x:v>
      </x:c>
      <x:c r="E5876" s="1" t="str">
        <x:v>ON_HOLD</x:v>
      </x:c>
      <x:c r="F5876" s="1" t="str">
        <x:v>Late delivery</x:v>
      </x:c>
      <x:c r="G5876" s="6" t="n">
        <x:v>4</x:v>
      </x:c>
      <x:c r="H5876" s="6" t="n">
        <x:v>2</x:v>
      </x:c>
      <x:c r="I5876" s="6" t="n">
        <x:f>G5876-H5876</x:f>
        <x:v>2</x:v>
      </x:c>
      <x:c r="J5876" s="6" t="n">
        <x:f>IF(OR(E5876="CANCELED",E5876="SUSPECTED_FRAUD",F5876="Shipping canceled"),0,1)</x:f>
        <x:v>1</x:v>
      </x:c>
      <x:c r="K5876" s="6" t="n">
        <x:f>IF(G5876&gt;H5876,1,0)</x:f>
        <x:v>1</x:v>
      </x:c>
      <x:c r="L5876" s="6" t="n">
        <x:f>J5876*K5876</x:f>
        <x:v>1</x:v>
      </x:c>
    </x:row>
    <x:row r="5877">
      <x:c r="A5877" s="1" t="n">
        <x:v>46103</x:v>
      </x:c>
      <x:c r="B5877" s="5" t="d">
        <x:v>2016-11-03T00:00:00.000Z</x:v>
      </x:c>
      <x:c r="C5877" s="1" t="str">
        <x:v>Standard Class</x:v>
      </x:c>
      <x:c r="D5877" s="1" t="str">
        <x:v>Europe</x:v>
      </x:c>
      <x:c r="E5877" s="1" t="str">
        <x:v>ON_HOLD</x:v>
      </x:c>
      <x:c r="F5877" s="1" t="str">
        <x:v>Shipping on time</x:v>
      </x:c>
      <x:c r="G5877" s="6" t="n">
        <x:v>4</x:v>
      </x:c>
      <x:c r="H5877" s="6" t="n">
        <x:v>4</x:v>
      </x:c>
      <x:c r="I5877" s="6" t="n">
        <x:f>G5877-H5877</x:f>
        <x:v>0</x:v>
      </x:c>
      <x:c r="J5877" s="6" t="n">
        <x:f>IF(OR(E5877="CANCELED",E5877="SUSPECTED_FRAUD",F5877="Shipping canceled"),0,1)</x:f>
        <x:v>1</x:v>
      </x:c>
      <x:c r="K5877" s="6" t="n">
        <x:f>IF(G5877&gt;H5877,1,0)</x:f>
        <x:v>0</x:v>
      </x:c>
      <x:c r="L5877" s="6" t="n">
        <x:f>J5877*K5877</x:f>
        <x:v>0</x:v>
      </x:c>
    </x:row>
    <x:row r="5878">
      <x:c r="A5878" s="1" t="n">
        <x:v>46118</x:v>
      </x:c>
      <x:c r="B5878" s="5" t="d">
        <x:v>2016-11-04T00:00:00.000Z</x:v>
      </x:c>
      <x:c r="C5878" s="1" t="str">
        <x:v>Standard Class</x:v>
      </x:c>
      <x:c r="D5878" s="1" t="str">
        <x:v>Africa</x:v>
      </x:c>
      <x:c r="E5878" s="1" t="str">
        <x:v>PROCESSING</x:v>
      </x:c>
      <x:c r="F5878" s="1" t="str">
        <x:v>Shipping on time</x:v>
      </x:c>
      <x:c r="G5878" s="6" t="n">
        <x:v>4</x:v>
      </x:c>
      <x:c r="H5878" s="6" t="n">
        <x:v>4</x:v>
      </x:c>
      <x:c r="I5878" s="6" t="n">
        <x:f>G5878-H5878</x:f>
        <x:v>0</x:v>
      </x:c>
      <x:c r="J5878" s="6" t="n">
        <x:f>IF(OR(E5878="CANCELED",E5878="SUSPECTED_FRAUD",F5878="Shipping canceled"),0,1)</x:f>
        <x:v>1</x:v>
      </x:c>
      <x:c r="K5878" s="6" t="n">
        <x:f>IF(G5878&gt;H5878,1,0)</x:f>
        <x:v>0</x:v>
      </x:c>
      <x:c r="L5878" s="6" t="n">
        <x:f>J5878*K5878</x:f>
        <x:v>0</x:v>
      </x:c>
    </x:row>
    <x:row r="5879">
      <x:c r="A5879" s="1" t="n">
        <x:v>46125</x:v>
      </x:c>
      <x:c r="B5879" s="5" t="d">
        <x:v>2016-11-04T00:00:00.000Z</x:v>
      </x:c>
      <x:c r="C5879" s="1" t="str">
        <x:v>Standard Class</x:v>
      </x:c>
      <x:c r="D5879" s="1" t="str">
        <x:v>Africa</x:v>
      </x:c>
      <x:c r="E5879" s="1" t="str">
        <x:v>COMPLETE</x:v>
      </x:c>
      <x:c r="F5879" s="1" t="str">
        <x:v>Late delivery</x:v>
      </x:c>
      <x:c r="G5879" s="6" t="n">
        <x:v>6</x:v>
      </x:c>
      <x:c r="H5879" s="6" t="n">
        <x:v>4</x:v>
      </x:c>
      <x:c r="I5879" s="6" t="n">
        <x:f>G5879-H5879</x:f>
        <x:v>2</x:v>
      </x:c>
      <x:c r="J5879" s="6" t="n">
        <x:f>IF(OR(E5879="CANCELED",E5879="SUSPECTED_FRAUD",F5879="Shipping canceled"),0,1)</x:f>
        <x:v>1</x:v>
      </x:c>
      <x:c r="K5879" s="6" t="n">
        <x:f>IF(G5879&gt;H5879,1,0)</x:f>
        <x:v>1</x:v>
      </x:c>
      <x:c r="L5879" s="6" t="n">
        <x:f>J5879*K5879</x:f>
        <x:v>1</x:v>
      </x:c>
    </x:row>
    <x:row r="5880">
      <x:c r="A5880" s="1" t="n">
        <x:v>46131</x:v>
      </x:c>
      <x:c r="B5880" s="5" t="d">
        <x:v>2016-11-04T00:00:00.000Z</x:v>
      </x:c>
      <x:c r="C5880" s="1" t="str">
        <x:v>Standard Class</x:v>
      </x:c>
      <x:c r="D5880" s="1" t="str">
        <x:v>Pacific Asia</x:v>
      </x:c>
      <x:c r="E5880" s="1" t="str">
        <x:v>PROCESSING</x:v>
      </x:c>
      <x:c r="F5880" s="1" t="str">
        <x:v>Advance shipping</x:v>
      </x:c>
      <x:c r="G5880" s="6" t="n">
        <x:v>2</x:v>
      </x:c>
      <x:c r="H5880" s="6" t="n">
        <x:v>4</x:v>
      </x:c>
      <x:c r="I5880" s="6" t="n">
        <x:f>G5880-H5880</x:f>
        <x:v>-2</x:v>
      </x:c>
      <x:c r="J5880" s="6" t="n">
        <x:f>IF(OR(E5880="CANCELED",E5880="SUSPECTED_FRAUD",F5880="Shipping canceled"),0,1)</x:f>
        <x:v>1</x:v>
      </x:c>
      <x:c r="K5880" s="6" t="n">
        <x:f>IF(G5880&gt;H5880,1,0)</x:f>
        <x:v>0</x:v>
      </x:c>
      <x:c r="L5880" s="6" t="n">
        <x:f>J5880*K5880</x:f>
        <x:v>0</x:v>
      </x:c>
    </x:row>
    <x:row r="5881">
      <x:c r="A5881" s="1" t="n">
        <x:v>46136</x:v>
      </x:c>
      <x:c r="B5881" s="5" t="d">
        <x:v>2016-11-04T00:00:00.000Z</x:v>
      </x:c>
      <x:c r="C5881" s="1" t="str">
        <x:v>Standard Class</x:v>
      </x:c>
      <x:c r="D5881" s="1" t="str">
        <x:v>Europe</x:v>
      </x:c>
      <x:c r="E5881" s="1" t="str">
        <x:v>PENDING_PAYMENT</x:v>
      </x:c>
      <x:c r="F5881" s="1" t="str">
        <x:v>Advance shipping</x:v>
      </x:c>
      <x:c r="G5881" s="6" t="n">
        <x:v>2</x:v>
      </x:c>
      <x:c r="H5881" s="6" t="n">
        <x:v>4</x:v>
      </x:c>
      <x:c r="I5881" s="6" t="n">
        <x:f>G5881-H5881</x:f>
        <x:v>-2</x:v>
      </x:c>
      <x:c r="J5881" s="6" t="n">
        <x:f>IF(OR(E5881="CANCELED",E5881="SUSPECTED_FRAUD",F5881="Shipping canceled"),0,1)</x:f>
        <x:v>1</x:v>
      </x:c>
      <x:c r="K5881" s="6" t="n">
        <x:f>IF(G5881&gt;H5881,1,0)</x:f>
        <x:v>0</x:v>
      </x:c>
      <x:c r="L5881" s="6" t="n">
        <x:f>J5881*K5881</x:f>
        <x:v>0</x:v>
      </x:c>
    </x:row>
    <x:row r="5882">
      <x:c r="A5882" s="1" t="n">
        <x:v>46145</x:v>
      </x:c>
      <x:c r="B5882" s="5" t="d">
        <x:v>2016-11-04T00:00:00.000Z</x:v>
      </x:c>
      <x:c r="C5882" s="1" t="str">
        <x:v>Standard Class</x:v>
      </x:c>
      <x:c r="D5882" s="1" t="str">
        <x:v>Europe</x:v>
      </x:c>
      <x:c r="E5882" s="1" t="str">
        <x:v>ON_HOLD</x:v>
      </x:c>
      <x:c r="F5882" s="1" t="str">
        <x:v>Late delivery</x:v>
      </x:c>
      <x:c r="G5882" s="6" t="n">
        <x:v>6</x:v>
      </x:c>
      <x:c r="H5882" s="6" t="n">
        <x:v>4</x:v>
      </x:c>
      <x:c r="I5882" s="6" t="n">
        <x:f>G5882-H5882</x:f>
        <x:v>2</x:v>
      </x:c>
      <x:c r="J5882" s="6" t="n">
        <x:f>IF(OR(E5882="CANCELED",E5882="SUSPECTED_FRAUD",F5882="Shipping canceled"),0,1)</x:f>
        <x:v>1</x:v>
      </x:c>
      <x:c r="K5882" s="6" t="n">
        <x:f>IF(G5882&gt;H5882,1,0)</x:f>
        <x:v>1</x:v>
      </x:c>
      <x:c r="L5882" s="6" t="n">
        <x:f>J5882*K5882</x:f>
        <x:v>1</x:v>
      </x:c>
    </x:row>
    <x:row r="5883">
      <x:c r="A5883" s="1" t="n">
        <x:v>46149</x:v>
      </x:c>
      <x:c r="B5883" s="5" t="d">
        <x:v>2016-11-04T00:00:00.000Z</x:v>
      </x:c>
      <x:c r="C5883" s="1" t="str">
        <x:v>Standard Class</x:v>
      </x:c>
      <x:c r="D5883" s="1" t="str">
        <x:v>Africa</x:v>
      </x:c>
      <x:c r="E5883" s="1" t="str">
        <x:v>PENDING</x:v>
      </x:c>
      <x:c r="F5883" s="1" t="str">
        <x:v>Late delivery</x:v>
      </x:c>
      <x:c r="G5883" s="6" t="n">
        <x:v>5</x:v>
      </x:c>
      <x:c r="H5883" s="6" t="n">
        <x:v>4</x:v>
      </x:c>
      <x:c r="I5883" s="6" t="n">
        <x:f>G5883-H5883</x:f>
        <x:v>1</x:v>
      </x:c>
      <x:c r="J5883" s="6" t="n">
        <x:f>IF(OR(E5883="CANCELED",E5883="SUSPECTED_FRAUD",F5883="Shipping canceled"),0,1)</x:f>
        <x:v>1</x:v>
      </x:c>
      <x:c r="K5883" s="6" t="n">
        <x:f>IF(G5883&gt;H5883,1,0)</x:f>
        <x:v>1</x:v>
      </x:c>
      <x:c r="L5883" s="6" t="n">
        <x:f>J5883*K5883</x:f>
        <x:v>1</x:v>
      </x:c>
    </x:row>
    <x:row r="5884">
      <x:c r="A5884" s="1" t="n">
        <x:v>46152</x:v>
      </x:c>
      <x:c r="B5884" s="5" t="d">
        <x:v>2016-11-04T00:00:00.000Z</x:v>
      </x:c>
      <x:c r="C5884" s="1" t="str">
        <x:v>Standard Class</x:v>
      </x:c>
      <x:c r="D5884" s="1" t="str">
        <x:v>Europe</x:v>
      </x:c>
      <x:c r="E5884" s="1" t="str">
        <x:v>COMPLETE</x:v>
      </x:c>
      <x:c r="F5884" s="1" t="str">
        <x:v>Advance shipping</x:v>
      </x:c>
      <x:c r="G5884" s="6" t="n">
        <x:v>3</x:v>
      </x:c>
      <x:c r="H5884" s="6" t="n">
        <x:v>4</x:v>
      </x:c>
      <x:c r="I5884" s="6" t="n">
        <x:f>G5884-H5884</x:f>
        <x:v>-1</x:v>
      </x:c>
      <x:c r="J5884" s="6" t="n">
        <x:f>IF(OR(E5884="CANCELED",E5884="SUSPECTED_FRAUD",F5884="Shipping canceled"),0,1)</x:f>
        <x:v>1</x:v>
      </x:c>
      <x:c r="K5884" s="6" t="n">
        <x:f>IF(G5884&gt;H5884,1,0)</x:f>
        <x:v>0</x:v>
      </x:c>
      <x:c r="L5884" s="6" t="n">
        <x:f>J5884*K5884</x:f>
        <x:v>0</x:v>
      </x:c>
    </x:row>
    <x:row r="5885">
      <x:c r="A5885" s="1" t="n">
        <x:v>46170</x:v>
      </x:c>
      <x:c r="B5885" s="5" t="d">
        <x:v>2016-11-04T00:00:00.000Z</x:v>
      </x:c>
      <x:c r="C5885" s="1" t="str">
        <x:v>Standard Class</x:v>
      </x:c>
      <x:c r="D5885" s="1" t="str">
        <x:v>Pacific Asia</x:v>
      </x:c>
      <x:c r="E5885" s="1" t="str">
        <x:v>COMPLETE</x:v>
      </x:c>
      <x:c r="F5885" s="1" t="str">
        <x:v>Late delivery</x:v>
      </x:c>
      <x:c r="G5885" s="6" t="n">
        <x:v>6</x:v>
      </x:c>
      <x:c r="H5885" s="6" t="n">
        <x:v>4</x:v>
      </x:c>
      <x:c r="I5885" s="6" t="n">
        <x:f>G5885-H5885</x:f>
        <x:v>2</x:v>
      </x:c>
      <x:c r="J5885" s="6" t="n">
        <x:f>IF(OR(E5885="CANCELED",E5885="SUSPECTED_FRAUD",F5885="Shipping canceled"),0,1)</x:f>
        <x:v>1</x:v>
      </x:c>
      <x:c r="K5885" s="6" t="n">
        <x:f>IF(G5885&gt;H5885,1,0)</x:f>
        <x:v>1</x:v>
      </x:c>
      <x:c r="L5885" s="6" t="n">
        <x:f>J5885*K5885</x:f>
        <x:v>1</x:v>
      </x:c>
    </x:row>
    <x:row r="5886">
      <x:c r="A5886" s="1" t="n">
        <x:v>46192</x:v>
      </x:c>
      <x:c r="B5886" s="5" t="d">
        <x:v>2016-11-05T00:00:00.000Z</x:v>
      </x:c>
      <x:c r="C5886" s="1" t="str">
        <x:v>First Class</x:v>
      </x:c>
      <x:c r="D5886" s="1" t="str">
        <x:v>Africa</x:v>
      </x:c>
      <x:c r="E5886" s="1" t="str">
        <x:v>PENDING_PAYMENT</x:v>
      </x:c>
      <x:c r="F5886" s="1" t="str">
        <x:v>Late delivery</x:v>
      </x:c>
      <x:c r="G5886" s="6" t="n">
        <x:v>2</x:v>
      </x:c>
      <x:c r="H5886" s="6" t="n">
        <x:v>1</x:v>
      </x:c>
      <x:c r="I5886" s="6" t="n">
        <x:f>G5886-H5886</x:f>
        <x:v>1</x:v>
      </x:c>
      <x:c r="J5886" s="6" t="n">
        <x:f>IF(OR(E5886="CANCELED",E5886="SUSPECTED_FRAUD",F5886="Shipping canceled"),0,1)</x:f>
        <x:v>1</x:v>
      </x:c>
      <x:c r="K5886" s="6" t="n">
        <x:f>IF(G5886&gt;H5886,1,0)</x:f>
        <x:v>1</x:v>
      </x:c>
      <x:c r="L5886" s="6" t="n">
        <x:f>J5886*K5886</x:f>
        <x:v>1</x:v>
      </x:c>
    </x:row>
    <x:row r="5887">
      <x:c r="A5887" s="1" t="n">
        <x:v>46197</x:v>
      </x:c>
      <x:c r="B5887" s="5" t="d">
        <x:v>2016-11-05T00:00:00.000Z</x:v>
      </x:c>
      <x:c r="C5887" s="1" t="str">
        <x:v>Standard Class</x:v>
      </x:c>
      <x:c r="D5887" s="1" t="str">
        <x:v>Europe</x:v>
      </x:c>
      <x:c r="E5887" s="1" t="str">
        <x:v>COMPLETE</x:v>
      </x:c>
      <x:c r="F5887" s="1" t="str">
        <x:v>Advance shipping</x:v>
      </x:c>
      <x:c r="G5887" s="6" t="n">
        <x:v>3</x:v>
      </x:c>
      <x:c r="H5887" s="6" t="n">
        <x:v>4</x:v>
      </x:c>
      <x:c r="I5887" s="6" t="n">
        <x:f>G5887-H5887</x:f>
        <x:v>-1</x:v>
      </x:c>
      <x:c r="J5887" s="6" t="n">
        <x:f>IF(OR(E5887="CANCELED",E5887="SUSPECTED_FRAUD",F5887="Shipping canceled"),0,1)</x:f>
        <x:v>1</x:v>
      </x:c>
      <x:c r="K5887" s="6" t="n">
        <x:f>IF(G5887&gt;H5887,1,0)</x:f>
        <x:v>0</x:v>
      </x:c>
      <x:c r="L5887" s="6" t="n">
        <x:f>J5887*K5887</x:f>
        <x:v>0</x:v>
      </x:c>
    </x:row>
    <x:row r="5888">
      <x:c r="A5888" s="1" t="n">
        <x:v>46199</x:v>
      </x:c>
      <x:c r="B5888" s="5" t="d">
        <x:v>2016-11-05T00:00:00.000Z</x:v>
      </x:c>
      <x:c r="C5888" s="1" t="str">
        <x:v>Standard Class</x:v>
      </x:c>
      <x:c r="D5888" s="1" t="str">
        <x:v>Africa</x:v>
      </x:c>
      <x:c r="E5888" s="1" t="str">
        <x:v>PENDING</x:v>
      </x:c>
      <x:c r="F5888" s="1" t="str">
        <x:v>Late delivery</x:v>
      </x:c>
      <x:c r="G5888" s="6" t="n">
        <x:v>5</x:v>
      </x:c>
      <x:c r="H5888" s="6" t="n">
        <x:v>4</x:v>
      </x:c>
      <x:c r="I5888" s="6" t="n">
        <x:f>G5888-H5888</x:f>
        <x:v>1</x:v>
      </x:c>
      <x:c r="J5888" s="6" t="n">
        <x:f>IF(OR(E5888="CANCELED",E5888="SUSPECTED_FRAUD",F5888="Shipping canceled"),0,1)</x:f>
        <x:v>1</x:v>
      </x:c>
      <x:c r="K5888" s="6" t="n">
        <x:f>IF(G5888&gt;H5888,1,0)</x:f>
        <x:v>1</x:v>
      </x:c>
      <x:c r="L5888" s="6" t="n">
        <x:f>J5888*K5888</x:f>
        <x:v>1</x:v>
      </x:c>
    </x:row>
    <x:row r="5889">
      <x:c r="A5889" s="1" t="n">
        <x:v>46202</x:v>
      </x:c>
      <x:c r="B5889" s="5" t="d">
        <x:v>2016-11-05T00:00:00.000Z</x:v>
      </x:c>
      <x:c r="C5889" s="1" t="str">
        <x:v>Second Class</x:v>
      </x:c>
      <x:c r="D5889" s="1" t="str">
        <x:v>Europe</x:v>
      </x:c>
      <x:c r="E5889" s="1" t="str">
        <x:v>CLOSED</x:v>
      </x:c>
      <x:c r="F5889" s="1" t="str">
        <x:v>Late delivery</x:v>
      </x:c>
      <x:c r="G5889" s="6" t="n">
        <x:v>3</x:v>
      </x:c>
      <x:c r="H5889" s="6" t="n">
        <x:v>2</x:v>
      </x:c>
      <x:c r="I5889" s="6" t="n">
        <x:f>G5889-H5889</x:f>
        <x:v>1</x:v>
      </x:c>
      <x:c r="J5889" s="6" t="n">
        <x:f>IF(OR(E5889="CANCELED",E5889="SUSPECTED_FRAUD",F5889="Shipping canceled"),0,1)</x:f>
        <x:v>1</x:v>
      </x:c>
      <x:c r="K5889" s="6" t="n">
        <x:f>IF(G5889&gt;H5889,1,0)</x:f>
        <x:v>1</x:v>
      </x:c>
      <x:c r="L5889" s="6" t="n">
        <x:f>J5889*K5889</x:f>
        <x:v>1</x:v>
      </x:c>
    </x:row>
    <x:row r="5890">
      <x:c r="A5890" s="1" t="n">
        <x:v>46223</x:v>
      </x:c>
      <x:c r="B5890" s="5" t="d">
        <x:v>2016-11-05T00:00:00.000Z</x:v>
      </x:c>
      <x:c r="C5890" s="1" t="str">
        <x:v>Standard Class</x:v>
      </x:c>
      <x:c r="D5890" s="1" t="str">
        <x:v>Europe</x:v>
      </x:c>
      <x:c r="E5890" s="1" t="str">
        <x:v>CANCELED</x:v>
      </x:c>
      <x:c r="F5890" s="1" t="str">
        <x:v>Shipping canceled</x:v>
      </x:c>
      <x:c r="G5890" s="6" t="n">
        <x:v>4</x:v>
      </x:c>
      <x:c r="H5890" s="6" t="n">
        <x:v>4</x:v>
      </x:c>
      <x:c r="I5890" s="6" t="n">
        <x:f>G5890-H5890</x:f>
        <x:v>0</x:v>
      </x:c>
      <x:c r="J5890" s="6" t="n">
        <x:f>IF(OR(E5890="CANCELED",E5890="SUSPECTED_FRAUD",F5890="Shipping canceled"),0,1)</x:f>
        <x:v>0</x:v>
      </x:c>
      <x:c r="K5890" s="6" t="n">
        <x:f>IF(G5890&gt;H5890,1,0)</x:f>
        <x:v>0</x:v>
      </x:c>
      <x:c r="L5890" s="6" t="n">
        <x:f>J5890*K5890</x:f>
        <x:v>0</x:v>
      </x:c>
    </x:row>
    <x:row r="5891">
      <x:c r="A5891" s="1" t="n">
        <x:v>46224</x:v>
      </x:c>
      <x:c r="B5891" s="5" t="d">
        <x:v>2016-11-05T00:00:00.000Z</x:v>
      </x:c>
      <x:c r="C5891" s="1" t="str">
        <x:v>Second Class</x:v>
      </x:c>
      <x:c r="D5891" s="1" t="str">
        <x:v>Europe</x:v>
      </x:c>
      <x:c r="E5891" s="1" t="str">
        <x:v>COMPLETE</x:v>
      </x:c>
      <x:c r="F5891" s="1" t="str">
        <x:v>Late delivery</x:v>
      </x:c>
      <x:c r="G5891" s="6" t="n">
        <x:v>5</x:v>
      </x:c>
      <x:c r="H5891" s="6" t="n">
        <x:v>2</x:v>
      </x:c>
      <x:c r="I5891" s="6" t="n">
        <x:f>G5891-H5891</x:f>
        <x:v>3</x:v>
      </x:c>
      <x:c r="J5891" s="6" t="n">
        <x:f>IF(OR(E5891="CANCELED",E5891="SUSPECTED_FRAUD",F5891="Shipping canceled"),0,1)</x:f>
        <x:v>1</x:v>
      </x:c>
      <x:c r="K5891" s="6" t="n">
        <x:f>IF(G5891&gt;H5891,1,0)</x:f>
        <x:v>1</x:v>
      </x:c>
      <x:c r="L5891" s="6" t="n">
        <x:f>J5891*K5891</x:f>
        <x:v>1</x:v>
      </x:c>
    </x:row>
    <x:row r="5892">
      <x:c r="A5892" s="1" t="n">
        <x:v>46229</x:v>
      </x:c>
      <x:c r="B5892" s="5" t="d">
        <x:v>2016-11-05T00:00:00.000Z</x:v>
      </x:c>
      <x:c r="C5892" s="1" t="str">
        <x:v>Standard Class</x:v>
      </x:c>
      <x:c r="D5892" s="1" t="str">
        <x:v>Africa</x:v>
      </x:c>
      <x:c r="E5892" s="1" t="str">
        <x:v>PROCESSING</x:v>
      </x:c>
      <x:c r="F5892" s="1" t="str">
        <x:v>Late delivery</x:v>
      </x:c>
      <x:c r="G5892" s="6" t="n">
        <x:v>5</x:v>
      </x:c>
      <x:c r="H5892" s="6" t="n">
        <x:v>4</x:v>
      </x:c>
      <x:c r="I5892" s="6" t="n">
        <x:f>G5892-H5892</x:f>
        <x:v>1</x:v>
      </x:c>
      <x:c r="J5892" s="6" t="n">
        <x:f>IF(OR(E5892="CANCELED",E5892="SUSPECTED_FRAUD",F5892="Shipping canceled"),0,1)</x:f>
        <x:v>1</x:v>
      </x:c>
      <x:c r="K5892" s="6" t="n">
        <x:f>IF(G5892&gt;H5892,1,0)</x:f>
        <x:v>1</x:v>
      </x:c>
      <x:c r="L5892" s="6" t="n">
        <x:f>J5892*K5892</x:f>
        <x:v>1</x:v>
      </x:c>
    </x:row>
    <x:row r="5893">
      <x:c r="A5893" s="1" t="n">
        <x:v>46246</x:v>
      </x:c>
      <x:c r="B5893" s="5" t="d">
        <x:v>2016-11-06T00:00:00.000Z</x:v>
      </x:c>
      <x:c r="C5893" s="1" t="str">
        <x:v>Standard Class</x:v>
      </x:c>
      <x:c r="D5893" s="1" t="str">
        <x:v>Africa</x:v>
      </x:c>
      <x:c r="E5893" s="1" t="str">
        <x:v>PENDING</x:v>
      </x:c>
      <x:c r="F5893" s="1" t="str">
        <x:v>Advance shipping</x:v>
      </x:c>
      <x:c r="G5893" s="6" t="n">
        <x:v>2</x:v>
      </x:c>
      <x:c r="H5893" s="6" t="n">
        <x:v>4</x:v>
      </x:c>
      <x:c r="I5893" s="6" t="n">
        <x:f>G5893-H5893</x:f>
        <x:v>-2</x:v>
      </x:c>
      <x:c r="J5893" s="6" t="n">
        <x:f>IF(OR(E5893="CANCELED",E5893="SUSPECTED_FRAUD",F5893="Shipping canceled"),0,1)</x:f>
        <x:v>1</x:v>
      </x:c>
      <x:c r="K5893" s="6" t="n">
        <x:f>IF(G5893&gt;H5893,1,0)</x:f>
        <x:v>0</x:v>
      </x:c>
      <x:c r="L5893" s="6" t="n">
        <x:f>J5893*K5893</x:f>
        <x:v>0</x:v>
      </x:c>
    </x:row>
    <x:row r="5894">
      <x:c r="A5894" s="1" t="n">
        <x:v>46255</x:v>
      </x:c>
      <x:c r="B5894" s="5" t="d">
        <x:v>2016-11-06T00:00:00.000Z</x:v>
      </x:c>
      <x:c r="C5894" s="1" t="str">
        <x:v>Standard Class</x:v>
      </x:c>
      <x:c r="D5894" s="1" t="str">
        <x:v>Africa</x:v>
      </x:c>
      <x:c r="E5894" s="1" t="str">
        <x:v>COMPLETE</x:v>
      </x:c>
      <x:c r="F5894" s="1" t="str">
        <x:v>Late delivery</x:v>
      </x:c>
      <x:c r="G5894" s="6" t="n">
        <x:v>6</x:v>
      </x:c>
      <x:c r="H5894" s="6" t="n">
        <x:v>4</x:v>
      </x:c>
      <x:c r="I5894" s="6" t="n">
        <x:f>G5894-H5894</x:f>
        <x:v>2</x:v>
      </x:c>
      <x:c r="J5894" s="6" t="n">
        <x:f>IF(OR(E5894="CANCELED",E5894="SUSPECTED_FRAUD",F5894="Shipping canceled"),0,1)</x:f>
        <x:v>1</x:v>
      </x:c>
      <x:c r="K5894" s="6" t="n">
        <x:f>IF(G5894&gt;H5894,1,0)</x:f>
        <x:v>1</x:v>
      </x:c>
      <x:c r="L5894" s="6" t="n">
        <x:f>J5894*K5894</x:f>
        <x:v>1</x:v>
      </x:c>
    </x:row>
    <x:row r="5895">
      <x:c r="A5895" s="1" t="n">
        <x:v>46256</x:v>
      </x:c>
      <x:c r="B5895" s="5" t="d">
        <x:v>2016-11-06T00:00:00.000Z</x:v>
      </x:c>
      <x:c r="C5895" s="1" t="str">
        <x:v>Standard Class</x:v>
      </x:c>
      <x:c r="D5895" s="1" t="str">
        <x:v>Africa</x:v>
      </x:c>
      <x:c r="E5895" s="1" t="str">
        <x:v>PENDING</x:v>
      </x:c>
      <x:c r="F5895" s="1" t="str">
        <x:v>Advance shipping</x:v>
      </x:c>
      <x:c r="G5895" s="6" t="n">
        <x:v>2</x:v>
      </x:c>
      <x:c r="H5895" s="6" t="n">
        <x:v>4</x:v>
      </x:c>
      <x:c r="I5895" s="6" t="n">
        <x:f>G5895-H5895</x:f>
        <x:v>-2</x:v>
      </x:c>
      <x:c r="J5895" s="6" t="n">
        <x:f>IF(OR(E5895="CANCELED",E5895="SUSPECTED_FRAUD",F5895="Shipping canceled"),0,1)</x:f>
        <x:v>1</x:v>
      </x:c>
      <x:c r="K5895" s="6" t="n">
        <x:f>IF(G5895&gt;H5895,1,0)</x:f>
        <x:v>0</x:v>
      </x:c>
      <x:c r="L5895" s="6" t="n">
        <x:f>J5895*K5895</x:f>
        <x:v>0</x:v>
      </x:c>
    </x:row>
    <x:row r="5896">
      <x:c r="A5896" s="1" t="n">
        <x:v>46268</x:v>
      </x:c>
      <x:c r="B5896" s="5" t="d">
        <x:v>2016-11-06T00:00:00.000Z</x:v>
      </x:c>
      <x:c r="C5896" s="1" t="str">
        <x:v>Second Class</x:v>
      </x:c>
      <x:c r="D5896" s="1" t="str">
        <x:v>Africa</x:v>
      </x:c>
      <x:c r="E5896" s="1" t="str">
        <x:v>COMPLETE</x:v>
      </x:c>
      <x:c r="F5896" s="1" t="str">
        <x:v>Late delivery</x:v>
      </x:c>
      <x:c r="G5896" s="6" t="n">
        <x:v>4</x:v>
      </x:c>
      <x:c r="H5896" s="6" t="n">
        <x:v>2</x:v>
      </x:c>
      <x:c r="I5896" s="6" t="n">
        <x:f>G5896-H5896</x:f>
        <x:v>2</x:v>
      </x:c>
      <x:c r="J5896" s="6" t="n">
        <x:f>IF(OR(E5896="CANCELED",E5896="SUSPECTED_FRAUD",F5896="Shipping canceled"),0,1)</x:f>
        <x:v>1</x:v>
      </x:c>
      <x:c r="K5896" s="6" t="n">
        <x:f>IF(G5896&gt;H5896,1,0)</x:f>
        <x:v>1</x:v>
      </x:c>
      <x:c r="L5896" s="6" t="n">
        <x:f>J5896*K5896</x:f>
        <x:v>1</x:v>
      </x:c>
    </x:row>
    <x:row r="5897">
      <x:c r="A5897" s="1" t="n">
        <x:v>46288</x:v>
      </x:c>
      <x:c r="B5897" s="5" t="d">
        <x:v>2016-11-06T00:00:00.000Z</x:v>
      </x:c>
      <x:c r="C5897" s="1" t="str">
        <x:v>Standard Class</x:v>
      </x:c>
      <x:c r="D5897" s="1" t="str">
        <x:v>Pacific Asia</x:v>
      </x:c>
      <x:c r="E5897" s="1" t="str">
        <x:v>PENDING_PAYMENT</x:v>
      </x:c>
      <x:c r="F5897" s="1" t="str">
        <x:v>Shipping on time</x:v>
      </x:c>
      <x:c r="G5897" s="6" t="n">
        <x:v>4</x:v>
      </x:c>
      <x:c r="H5897" s="6" t="n">
        <x:v>4</x:v>
      </x:c>
      <x:c r="I5897" s="6" t="n">
        <x:f>G5897-H5897</x:f>
        <x:v>0</x:v>
      </x:c>
      <x:c r="J5897" s="6" t="n">
        <x:f>IF(OR(E5897="CANCELED",E5897="SUSPECTED_FRAUD",F5897="Shipping canceled"),0,1)</x:f>
        <x:v>1</x:v>
      </x:c>
      <x:c r="K5897" s="6" t="n">
        <x:f>IF(G5897&gt;H5897,1,0)</x:f>
        <x:v>0</x:v>
      </x:c>
      <x:c r="L5897" s="6" t="n">
        <x:f>J5897*K5897</x:f>
        <x:v>0</x:v>
      </x:c>
    </x:row>
    <x:row r="5898">
      <x:c r="A5898" s="1" t="n">
        <x:v>46292</x:v>
      </x:c>
      <x:c r="B5898" s="5" t="d">
        <x:v>2016-11-06T00:00:00.000Z</x:v>
      </x:c>
      <x:c r="C5898" s="1" t="str">
        <x:v>Standard Class</x:v>
      </x:c>
      <x:c r="D5898" s="1" t="str">
        <x:v>Africa</x:v>
      </x:c>
      <x:c r="E5898" s="1" t="str">
        <x:v>PENDING_PAYMENT</x:v>
      </x:c>
      <x:c r="F5898" s="1" t="str">
        <x:v>Advance shipping</x:v>
      </x:c>
      <x:c r="G5898" s="6" t="n">
        <x:v>3</x:v>
      </x:c>
      <x:c r="H5898" s="6" t="n">
        <x:v>4</x:v>
      </x:c>
      <x:c r="I5898" s="6" t="n">
        <x:f>G5898-H5898</x:f>
        <x:v>-1</x:v>
      </x:c>
      <x:c r="J5898" s="6" t="n">
        <x:f>IF(OR(E5898="CANCELED",E5898="SUSPECTED_FRAUD",F5898="Shipping canceled"),0,1)</x:f>
        <x:v>1</x:v>
      </x:c>
      <x:c r="K5898" s="6" t="n">
        <x:f>IF(G5898&gt;H5898,1,0)</x:f>
        <x:v>0</x:v>
      </x:c>
      <x:c r="L5898" s="6" t="n">
        <x:f>J5898*K5898</x:f>
        <x:v>0</x:v>
      </x:c>
    </x:row>
    <x:row r="5899">
      <x:c r="A5899" s="1" t="n">
        <x:v>46305</x:v>
      </x:c>
      <x:c r="B5899" s="5" t="d">
        <x:v>2016-11-06T00:00:00.000Z</x:v>
      </x:c>
      <x:c r="C5899" s="1" t="str">
        <x:v>Standard Class</x:v>
      </x:c>
      <x:c r="D5899" s="1" t="str">
        <x:v>Europe</x:v>
      </x:c>
      <x:c r="E5899" s="1" t="str">
        <x:v>COMPLETE</x:v>
      </x:c>
      <x:c r="F5899" s="1" t="str">
        <x:v>Late delivery</x:v>
      </x:c>
      <x:c r="G5899" s="6" t="n">
        <x:v>6</x:v>
      </x:c>
      <x:c r="H5899" s="6" t="n">
        <x:v>4</x:v>
      </x:c>
      <x:c r="I5899" s="6" t="n">
        <x:f>G5899-H5899</x:f>
        <x:v>2</x:v>
      </x:c>
      <x:c r="J5899" s="6" t="n">
        <x:f>IF(OR(E5899="CANCELED",E5899="SUSPECTED_FRAUD",F5899="Shipping canceled"),0,1)</x:f>
        <x:v>1</x:v>
      </x:c>
      <x:c r="K5899" s="6" t="n">
        <x:f>IF(G5899&gt;H5899,1,0)</x:f>
        <x:v>1</x:v>
      </x:c>
      <x:c r="L5899" s="6" t="n">
        <x:f>J5899*K5899</x:f>
        <x:v>1</x:v>
      </x:c>
    </x:row>
    <x:row r="5900">
      <x:c r="A5900" s="1" t="n">
        <x:v>46306</x:v>
      </x:c>
      <x:c r="B5900" s="5" t="d">
        <x:v>2016-11-06T00:00:00.000Z</x:v>
      </x:c>
      <x:c r="C5900" s="1" t="str">
        <x:v>Standard Class</x:v>
      </x:c>
      <x:c r="D5900" s="1" t="str">
        <x:v>Europe</x:v>
      </x:c>
      <x:c r="E5900" s="1" t="str">
        <x:v>PROCESSING</x:v>
      </x:c>
      <x:c r="F5900" s="1" t="str">
        <x:v>Advance shipping</x:v>
      </x:c>
      <x:c r="G5900" s="6" t="n">
        <x:v>2</x:v>
      </x:c>
      <x:c r="H5900" s="6" t="n">
        <x:v>4</x:v>
      </x:c>
      <x:c r="I5900" s="6" t="n">
        <x:f>G5900-H5900</x:f>
        <x:v>-2</x:v>
      </x:c>
      <x:c r="J5900" s="6" t="n">
        <x:f>IF(OR(E5900="CANCELED",E5900="SUSPECTED_FRAUD",F5900="Shipping canceled"),0,1)</x:f>
        <x:v>1</x:v>
      </x:c>
      <x:c r="K5900" s="6" t="n">
        <x:f>IF(G5900&gt;H5900,1,0)</x:f>
        <x:v>0</x:v>
      </x:c>
      <x:c r="L5900" s="6" t="n">
        <x:f>J5900*K5900</x:f>
        <x:v>0</x:v>
      </x:c>
    </x:row>
    <x:row r="5901">
      <x:c r="A5901" s="1" t="n">
        <x:v>46307</x:v>
      </x:c>
      <x:c r="B5901" s="5" t="d">
        <x:v>2016-11-06T00:00:00.000Z</x:v>
      </x:c>
      <x:c r="C5901" s="1" t="str">
        <x:v>Standard Class</x:v>
      </x:c>
      <x:c r="D5901" s="1" t="str">
        <x:v>Africa</x:v>
      </x:c>
      <x:c r="E5901" s="1" t="str">
        <x:v>PROCESSING</x:v>
      </x:c>
      <x:c r="F5901" s="1" t="str">
        <x:v>Advance shipping</x:v>
      </x:c>
      <x:c r="G5901" s="6" t="n">
        <x:v>3</x:v>
      </x:c>
      <x:c r="H5901" s="6" t="n">
        <x:v>4</x:v>
      </x:c>
      <x:c r="I5901" s="6" t="n">
        <x:f>G5901-H5901</x:f>
        <x:v>-1</x:v>
      </x:c>
      <x:c r="J5901" s="6" t="n">
        <x:f>IF(OR(E5901="CANCELED",E5901="SUSPECTED_FRAUD",F5901="Shipping canceled"),0,1)</x:f>
        <x:v>1</x:v>
      </x:c>
      <x:c r="K5901" s="6" t="n">
        <x:f>IF(G5901&gt;H5901,1,0)</x:f>
        <x:v>0</x:v>
      </x:c>
      <x:c r="L5901" s="6" t="n">
        <x:f>J5901*K5901</x:f>
        <x:v>0</x:v>
      </x:c>
    </x:row>
    <x:row r="5902">
      <x:c r="A5902" s="1" t="n">
        <x:v>46308</x:v>
      </x:c>
      <x:c r="B5902" s="5" t="d">
        <x:v>2016-11-06T00:00:00.000Z</x:v>
      </x:c>
      <x:c r="C5902" s="1" t="str">
        <x:v>Standard Class</x:v>
      </x:c>
      <x:c r="D5902" s="1" t="str">
        <x:v>Africa</x:v>
      </x:c>
      <x:c r="E5902" s="1" t="str">
        <x:v>COMPLETE</x:v>
      </x:c>
      <x:c r="F5902" s="1" t="str">
        <x:v>Shipping on time</x:v>
      </x:c>
      <x:c r="G5902" s="6" t="n">
        <x:v>4</x:v>
      </x:c>
      <x:c r="H5902" s="6" t="n">
        <x:v>4</x:v>
      </x:c>
      <x:c r="I5902" s="6" t="n">
        <x:f>G5902-H5902</x:f>
        <x:v>0</x:v>
      </x:c>
      <x:c r="J5902" s="6" t="n">
        <x:f>IF(OR(E5902="CANCELED",E5902="SUSPECTED_FRAUD",F5902="Shipping canceled"),0,1)</x:f>
        <x:v>1</x:v>
      </x:c>
      <x:c r="K5902" s="6" t="n">
        <x:f>IF(G5902&gt;H5902,1,0)</x:f>
        <x:v>0</x:v>
      </x:c>
      <x:c r="L5902" s="6" t="n">
        <x:f>J5902*K5902</x:f>
        <x:v>0</x:v>
      </x:c>
    </x:row>
    <x:row r="5903">
      <x:c r="A5903" s="1" t="n">
        <x:v>46314</x:v>
      </x:c>
      <x:c r="B5903" s="5" t="d">
        <x:v>2016-11-07T00:00:00.000Z</x:v>
      </x:c>
      <x:c r="C5903" s="1" t="str">
        <x:v>Standard Class</x:v>
      </x:c>
      <x:c r="D5903" s="1" t="str">
        <x:v>Europe</x:v>
      </x:c>
      <x:c r="E5903" s="1" t="str">
        <x:v>COMPLETE</x:v>
      </x:c>
      <x:c r="F5903" s="1" t="str">
        <x:v>Late delivery</x:v>
      </x:c>
      <x:c r="G5903" s="6" t="n">
        <x:v>5</x:v>
      </x:c>
      <x:c r="H5903" s="6" t="n">
        <x:v>4</x:v>
      </x:c>
      <x:c r="I5903" s="6" t="n">
        <x:f>G5903-H5903</x:f>
        <x:v>1</x:v>
      </x:c>
      <x:c r="J5903" s="6" t="n">
        <x:f>IF(OR(E5903="CANCELED",E5903="SUSPECTED_FRAUD",F5903="Shipping canceled"),0,1)</x:f>
        <x:v>1</x:v>
      </x:c>
      <x:c r="K5903" s="6" t="n">
        <x:f>IF(G5903&gt;H5903,1,0)</x:f>
        <x:v>1</x:v>
      </x:c>
      <x:c r="L5903" s="6" t="n">
        <x:f>J5903*K5903</x:f>
        <x:v>1</x:v>
      </x:c>
    </x:row>
    <x:row r="5904">
      <x:c r="A5904" s="1" t="n">
        <x:v>46327</x:v>
      </x:c>
      <x:c r="B5904" s="5" t="d">
        <x:v>2016-11-07T00:00:00.000Z</x:v>
      </x:c>
      <x:c r="C5904" s="1" t="str">
        <x:v>Second Class</x:v>
      </x:c>
      <x:c r="D5904" s="1" t="str">
        <x:v>Africa</x:v>
      </x:c>
      <x:c r="E5904" s="1" t="str">
        <x:v>COMPLETE</x:v>
      </x:c>
      <x:c r="F5904" s="1" t="str">
        <x:v>Late delivery</x:v>
      </x:c>
      <x:c r="G5904" s="6" t="n">
        <x:v>3</x:v>
      </x:c>
      <x:c r="H5904" s="6" t="n">
        <x:v>2</x:v>
      </x:c>
      <x:c r="I5904" s="6" t="n">
        <x:f>G5904-H5904</x:f>
        <x:v>1</x:v>
      </x:c>
      <x:c r="J5904" s="6" t="n">
        <x:f>IF(OR(E5904="CANCELED",E5904="SUSPECTED_FRAUD",F5904="Shipping canceled"),0,1)</x:f>
        <x:v>1</x:v>
      </x:c>
      <x:c r="K5904" s="6" t="n">
        <x:f>IF(G5904&gt;H5904,1,0)</x:f>
        <x:v>1</x:v>
      </x:c>
      <x:c r="L5904" s="6" t="n">
        <x:f>J5904*K5904</x:f>
        <x:v>1</x:v>
      </x:c>
    </x:row>
    <x:row r="5905">
      <x:c r="A5905" s="1" t="n">
        <x:v>46332</x:v>
      </x:c>
      <x:c r="B5905" s="5" t="d">
        <x:v>2016-11-07T00:00:00.000Z</x:v>
      </x:c>
      <x:c r="C5905" s="1" t="str">
        <x:v>Standard Class</x:v>
      </x:c>
      <x:c r="D5905" s="1" t="str">
        <x:v>Pacific Asia</x:v>
      </x:c>
      <x:c r="E5905" s="1" t="str">
        <x:v>PENDING_PAYMENT</x:v>
      </x:c>
      <x:c r="F5905" s="1" t="str">
        <x:v>Advance shipping</x:v>
      </x:c>
      <x:c r="G5905" s="6" t="n">
        <x:v>3</x:v>
      </x:c>
      <x:c r="H5905" s="6" t="n">
        <x:v>4</x:v>
      </x:c>
      <x:c r="I5905" s="6" t="n">
        <x:f>G5905-H5905</x:f>
        <x:v>-1</x:v>
      </x:c>
      <x:c r="J5905" s="6" t="n">
        <x:f>IF(OR(E5905="CANCELED",E5905="SUSPECTED_FRAUD",F5905="Shipping canceled"),0,1)</x:f>
        <x:v>1</x:v>
      </x:c>
      <x:c r="K5905" s="6" t="n">
        <x:f>IF(G5905&gt;H5905,1,0)</x:f>
        <x:v>0</x:v>
      </x:c>
      <x:c r="L5905" s="6" t="n">
        <x:f>J5905*K5905</x:f>
        <x:v>0</x:v>
      </x:c>
    </x:row>
    <x:row r="5906">
      <x:c r="A5906" s="1" t="n">
        <x:v>46339</x:v>
      </x:c>
      <x:c r="B5906" s="5" t="d">
        <x:v>2016-11-07T00:00:00.000Z</x:v>
      </x:c>
      <x:c r="C5906" s="1" t="str">
        <x:v>Standard Class</x:v>
      </x:c>
      <x:c r="D5906" s="1" t="str">
        <x:v>Africa</x:v>
      </x:c>
      <x:c r="E5906" s="1" t="str">
        <x:v>COMPLETE</x:v>
      </x:c>
      <x:c r="F5906" s="1" t="str">
        <x:v>Late delivery</x:v>
      </x:c>
      <x:c r="G5906" s="6" t="n">
        <x:v>5</x:v>
      </x:c>
      <x:c r="H5906" s="6" t="n">
        <x:v>4</x:v>
      </x:c>
      <x:c r="I5906" s="6" t="n">
        <x:f>G5906-H5906</x:f>
        <x:v>1</x:v>
      </x:c>
      <x:c r="J5906" s="6" t="n">
        <x:f>IF(OR(E5906="CANCELED",E5906="SUSPECTED_FRAUD",F5906="Shipping canceled"),0,1)</x:f>
        <x:v>1</x:v>
      </x:c>
      <x:c r="K5906" s="6" t="n">
        <x:f>IF(G5906&gt;H5906,1,0)</x:f>
        <x:v>1</x:v>
      </x:c>
      <x:c r="L5906" s="6" t="n">
        <x:f>J5906*K5906</x:f>
        <x:v>1</x:v>
      </x:c>
    </x:row>
    <x:row r="5907">
      <x:c r="A5907" s="1" t="n">
        <x:v>46342</x:v>
      </x:c>
      <x:c r="B5907" s="5" t="d">
        <x:v>2016-11-07T00:00:00.000Z</x:v>
      </x:c>
      <x:c r="C5907" s="1" t="str">
        <x:v>Standard Class</x:v>
      </x:c>
      <x:c r="D5907" s="1" t="str">
        <x:v>Europe</x:v>
      </x:c>
      <x:c r="E5907" s="1" t="str">
        <x:v>PROCESSING</x:v>
      </x:c>
      <x:c r="F5907" s="1" t="str">
        <x:v>Advance shipping</x:v>
      </x:c>
      <x:c r="G5907" s="6" t="n">
        <x:v>3</x:v>
      </x:c>
      <x:c r="H5907" s="6" t="n">
        <x:v>4</x:v>
      </x:c>
      <x:c r="I5907" s="6" t="n">
        <x:f>G5907-H5907</x:f>
        <x:v>-1</x:v>
      </x:c>
      <x:c r="J5907" s="6" t="n">
        <x:f>IF(OR(E5907="CANCELED",E5907="SUSPECTED_FRAUD",F5907="Shipping canceled"),0,1)</x:f>
        <x:v>1</x:v>
      </x:c>
      <x:c r="K5907" s="6" t="n">
        <x:f>IF(G5907&gt;H5907,1,0)</x:f>
        <x:v>0</x:v>
      </x:c>
      <x:c r="L5907" s="6" t="n">
        <x:f>J5907*K5907</x:f>
        <x:v>0</x:v>
      </x:c>
    </x:row>
    <x:row r="5908">
      <x:c r="A5908" s="1" t="n">
        <x:v>46363</x:v>
      </x:c>
      <x:c r="B5908" s="5" t="d">
        <x:v>2016-11-07T00:00:00.000Z</x:v>
      </x:c>
      <x:c r="C5908" s="1" t="str">
        <x:v>Second Class</x:v>
      </x:c>
      <x:c r="D5908" s="1" t="str">
        <x:v>Pacific Asia</x:v>
      </x:c>
      <x:c r="E5908" s="1" t="str">
        <x:v>COMPLETE</x:v>
      </x:c>
      <x:c r="F5908" s="1" t="str">
        <x:v>Late delivery</x:v>
      </x:c>
      <x:c r="G5908" s="6" t="n">
        <x:v>4</x:v>
      </x:c>
      <x:c r="H5908" s="6" t="n">
        <x:v>2</x:v>
      </x:c>
      <x:c r="I5908" s="6" t="n">
        <x:f>G5908-H5908</x:f>
        <x:v>2</x:v>
      </x:c>
      <x:c r="J5908" s="6" t="n">
        <x:f>IF(OR(E5908="CANCELED",E5908="SUSPECTED_FRAUD",F5908="Shipping canceled"),0,1)</x:f>
        <x:v>1</x:v>
      </x:c>
      <x:c r="K5908" s="6" t="n">
        <x:f>IF(G5908&gt;H5908,1,0)</x:f>
        <x:v>1</x:v>
      </x:c>
      <x:c r="L5908" s="6" t="n">
        <x:f>J5908*K5908</x:f>
        <x:v>1</x:v>
      </x:c>
    </x:row>
    <x:row r="5909">
      <x:c r="A5909" s="1" t="n">
        <x:v>46379</x:v>
      </x:c>
      <x:c r="B5909" s="5" t="d">
        <x:v>2016-11-08T00:00:00.000Z</x:v>
      </x:c>
      <x:c r="C5909" s="1" t="str">
        <x:v>Second Class</x:v>
      </x:c>
      <x:c r="D5909" s="1" t="str">
        <x:v>Africa</x:v>
      </x:c>
      <x:c r="E5909" s="1" t="str">
        <x:v>COMPLETE</x:v>
      </x:c>
      <x:c r="F5909" s="1" t="str">
        <x:v>Late delivery</x:v>
      </x:c>
      <x:c r="G5909" s="6" t="n">
        <x:v>5</x:v>
      </x:c>
      <x:c r="H5909" s="6" t="n">
        <x:v>2</x:v>
      </x:c>
      <x:c r="I5909" s="6" t="n">
        <x:f>G5909-H5909</x:f>
        <x:v>3</x:v>
      </x:c>
      <x:c r="J5909" s="6" t="n">
        <x:f>IF(OR(E5909="CANCELED",E5909="SUSPECTED_FRAUD",F5909="Shipping canceled"),0,1)</x:f>
        <x:v>1</x:v>
      </x:c>
      <x:c r="K5909" s="6" t="n">
        <x:f>IF(G5909&gt;H5909,1,0)</x:f>
        <x:v>1</x:v>
      </x:c>
      <x:c r="L5909" s="6" t="n">
        <x:f>J5909*K5909</x:f>
        <x:v>1</x:v>
      </x:c>
    </x:row>
    <x:row r="5910">
      <x:c r="A5910" s="1" t="n">
        <x:v>46387</x:v>
      </x:c>
      <x:c r="B5910" s="5" t="d">
        <x:v>2016-11-08T00:00:00.000Z</x:v>
      </x:c>
      <x:c r="C5910" s="1" t="str">
        <x:v>Standard Class</x:v>
      </x:c>
      <x:c r="D5910" s="1" t="str">
        <x:v>Europe</x:v>
      </x:c>
      <x:c r="E5910" s="1" t="str">
        <x:v>PROCESSING</x:v>
      </x:c>
      <x:c r="F5910" s="1" t="str">
        <x:v>Advance shipping</x:v>
      </x:c>
      <x:c r="G5910" s="6" t="n">
        <x:v>3</x:v>
      </x:c>
      <x:c r="H5910" s="6" t="n">
        <x:v>4</x:v>
      </x:c>
      <x:c r="I5910" s="6" t="n">
        <x:f>G5910-H5910</x:f>
        <x:v>-1</x:v>
      </x:c>
      <x:c r="J5910" s="6" t="n">
        <x:f>IF(OR(E5910="CANCELED",E5910="SUSPECTED_FRAUD",F5910="Shipping canceled"),0,1)</x:f>
        <x:v>1</x:v>
      </x:c>
      <x:c r="K5910" s="6" t="n">
        <x:f>IF(G5910&gt;H5910,1,0)</x:f>
        <x:v>0</x:v>
      </x:c>
      <x:c r="L5910" s="6" t="n">
        <x:f>J5910*K5910</x:f>
        <x:v>0</x:v>
      </x:c>
    </x:row>
    <x:row r="5911">
      <x:c r="A5911" s="1" t="n">
        <x:v>46401</x:v>
      </x:c>
      <x:c r="B5911" s="5" t="d">
        <x:v>2016-11-08T00:00:00.000Z</x:v>
      </x:c>
      <x:c r="C5911" s="1" t="str">
        <x:v>Standard Class</x:v>
      </x:c>
      <x:c r="D5911" s="1" t="str">
        <x:v>Pacific Asia</x:v>
      </x:c>
      <x:c r="E5911" s="1" t="str">
        <x:v>PROCESSING</x:v>
      </x:c>
      <x:c r="F5911" s="1" t="str">
        <x:v>Advance shipping</x:v>
      </x:c>
      <x:c r="G5911" s="6" t="n">
        <x:v>2</x:v>
      </x:c>
      <x:c r="H5911" s="6" t="n">
        <x:v>4</x:v>
      </x:c>
      <x:c r="I5911" s="6" t="n">
        <x:f>G5911-H5911</x:f>
        <x:v>-2</x:v>
      </x:c>
      <x:c r="J5911" s="6" t="n">
        <x:f>IF(OR(E5911="CANCELED",E5911="SUSPECTED_FRAUD",F5911="Shipping canceled"),0,1)</x:f>
        <x:v>1</x:v>
      </x:c>
      <x:c r="K5911" s="6" t="n">
        <x:f>IF(G5911&gt;H5911,1,0)</x:f>
        <x:v>0</x:v>
      </x:c>
      <x:c r="L5911" s="6" t="n">
        <x:f>J5911*K5911</x:f>
        <x:v>0</x:v>
      </x:c>
    </x:row>
    <x:row r="5912">
      <x:c r="A5912" s="1" t="n">
        <x:v>46411</x:v>
      </x:c>
      <x:c r="B5912" s="5" t="d">
        <x:v>2016-11-08T00:00:00.000Z</x:v>
      </x:c>
      <x:c r="C5912" s="1" t="str">
        <x:v>Standard Class</x:v>
      </x:c>
      <x:c r="D5912" s="1" t="str">
        <x:v>Pacific Asia</x:v>
      </x:c>
      <x:c r="E5912" s="1" t="str">
        <x:v>PENDING_PAYMENT</x:v>
      </x:c>
      <x:c r="F5912" s="1" t="str">
        <x:v>Advance shipping</x:v>
      </x:c>
      <x:c r="G5912" s="6" t="n">
        <x:v>2</x:v>
      </x:c>
      <x:c r="H5912" s="6" t="n">
        <x:v>4</x:v>
      </x:c>
      <x:c r="I5912" s="6" t="n">
        <x:f>G5912-H5912</x:f>
        <x:v>-2</x:v>
      </x:c>
      <x:c r="J5912" s="6" t="n">
        <x:f>IF(OR(E5912="CANCELED",E5912="SUSPECTED_FRAUD",F5912="Shipping canceled"),0,1)</x:f>
        <x:v>1</x:v>
      </x:c>
      <x:c r="K5912" s="6" t="n">
        <x:f>IF(G5912&gt;H5912,1,0)</x:f>
        <x:v>0</x:v>
      </x:c>
      <x:c r="L5912" s="6" t="n">
        <x:f>J5912*K5912</x:f>
        <x:v>0</x:v>
      </x:c>
    </x:row>
    <x:row r="5913">
      <x:c r="A5913" s="1" t="n">
        <x:v>46414</x:v>
      </x:c>
      <x:c r="B5913" s="5" t="d">
        <x:v>2016-11-08T00:00:00.000Z</x:v>
      </x:c>
      <x:c r="C5913" s="1" t="str">
        <x:v>Second Class</x:v>
      </x:c>
      <x:c r="D5913" s="1" t="str">
        <x:v>Africa</x:v>
      </x:c>
      <x:c r="E5913" s="1" t="str">
        <x:v>PENDING_PAYMENT</x:v>
      </x:c>
      <x:c r="F5913" s="1" t="str">
        <x:v>Late delivery</x:v>
      </x:c>
      <x:c r="G5913" s="6" t="n">
        <x:v>5</x:v>
      </x:c>
      <x:c r="H5913" s="6" t="n">
        <x:v>2</x:v>
      </x:c>
      <x:c r="I5913" s="6" t="n">
        <x:f>G5913-H5913</x:f>
        <x:v>3</x:v>
      </x:c>
      <x:c r="J5913" s="6" t="n">
        <x:f>IF(OR(E5913="CANCELED",E5913="SUSPECTED_FRAUD",F5913="Shipping canceled"),0,1)</x:f>
        <x:v>1</x:v>
      </x:c>
      <x:c r="K5913" s="6" t="n">
        <x:f>IF(G5913&gt;H5913,1,0)</x:f>
        <x:v>1</x:v>
      </x:c>
      <x:c r="L5913" s="6" t="n">
        <x:f>J5913*K5913</x:f>
        <x:v>1</x:v>
      </x:c>
    </x:row>
    <x:row r="5914">
      <x:c r="A5914" s="1" t="n">
        <x:v>46416</x:v>
      </x:c>
      <x:c r="B5914" s="5" t="d">
        <x:v>2016-11-08T00:00:00.000Z</x:v>
      </x:c>
      <x:c r="C5914" s="1" t="str">
        <x:v>Standard Class</x:v>
      </x:c>
      <x:c r="D5914" s="1" t="str">
        <x:v>Africa</x:v>
      </x:c>
      <x:c r="E5914" s="1" t="str">
        <x:v>PROCESSING</x:v>
      </x:c>
      <x:c r="F5914" s="1" t="str">
        <x:v>Advance shipping</x:v>
      </x:c>
      <x:c r="G5914" s="6" t="n">
        <x:v>2</x:v>
      </x:c>
      <x:c r="H5914" s="6" t="n">
        <x:v>4</x:v>
      </x:c>
      <x:c r="I5914" s="6" t="n">
        <x:f>G5914-H5914</x:f>
        <x:v>-2</x:v>
      </x:c>
      <x:c r="J5914" s="6" t="n">
        <x:f>IF(OR(E5914="CANCELED",E5914="SUSPECTED_FRAUD",F5914="Shipping canceled"),0,1)</x:f>
        <x:v>1</x:v>
      </x:c>
      <x:c r="K5914" s="6" t="n">
        <x:f>IF(G5914&gt;H5914,1,0)</x:f>
        <x:v>0</x:v>
      </x:c>
      <x:c r="L5914" s="6" t="n">
        <x:f>J5914*K5914</x:f>
        <x:v>0</x:v>
      </x:c>
    </x:row>
    <x:row r="5915">
      <x:c r="A5915" s="1" t="n">
        <x:v>46443</x:v>
      </x:c>
      <x:c r="B5915" s="5" t="d">
        <x:v>2016-11-08T00:00:00.000Z</x:v>
      </x:c>
      <x:c r="C5915" s="1" t="str">
        <x:v>Standard Class</x:v>
      </x:c>
      <x:c r="D5915" s="1" t="str">
        <x:v>Africa</x:v>
      </x:c>
      <x:c r="E5915" s="1" t="str">
        <x:v>PROCESSING</x:v>
      </x:c>
      <x:c r="F5915" s="1" t="str">
        <x:v>Shipping on time</x:v>
      </x:c>
      <x:c r="G5915" s="6" t="n">
        <x:v>4</x:v>
      </x:c>
      <x:c r="H5915" s="6" t="n">
        <x:v>4</x:v>
      </x:c>
      <x:c r="I5915" s="6" t="n">
        <x:f>G5915-H5915</x:f>
        <x:v>0</x:v>
      </x:c>
      <x:c r="J5915" s="6" t="n">
        <x:f>IF(OR(E5915="CANCELED",E5915="SUSPECTED_FRAUD",F5915="Shipping canceled"),0,1)</x:f>
        <x:v>1</x:v>
      </x:c>
      <x:c r="K5915" s="6" t="n">
        <x:f>IF(G5915&gt;H5915,1,0)</x:f>
        <x:v>0</x:v>
      </x:c>
      <x:c r="L5915" s="6" t="n">
        <x:f>J5915*K5915</x:f>
        <x:v>0</x:v>
      </x:c>
    </x:row>
    <x:row r="5916">
      <x:c r="A5916" s="1" t="n">
        <x:v>46446</x:v>
      </x:c>
      <x:c r="B5916" s="5" t="d">
        <x:v>2016-11-08T00:00:00.000Z</x:v>
      </x:c>
      <x:c r="C5916" s="1" t="str">
        <x:v>Standard Class</x:v>
      </x:c>
      <x:c r="D5916" s="1" t="str">
        <x:v>Pacific Asia</x:v>
      </x:c>
      <x:c r="E5916" s="1" t="str">
        <x:v>COMPLETE</x:v>
      </x:c>
      <x:c r="F5916" s="1" t="str">
        <x:v>Advance shipping</x:v>
      </x:c>
      <x:c r="G5916" s="6" t="n">
        <x:v>2</x:v>
      </x:c>
      <x:c r="H5916" s="6" t="n">
        <x:v>4</x:v>
      </x:c>
      <x:c r="I5916" s="6" t="n">
        <x:f>G5916-H5916</x:f>
        <x:v>-2</x:v>
      </x:c>
      <x:c r="J5916" s="6" t="n">
        <x:f>IF(OR(E5916="CANCELED",E5916="SUSPECTED_FRAUD",F5916="Shipping canceled"),0,1)</x:f>
        <x:v>1</x:v>
      </x:c>
      <x:c r="K5916" s="6" t="n">
        <x:f>IF(G5916&gt;H5916,1,0)</x:f>
        <x:v>0</x:v>
      </x:c>
      <x:c r="L5916" s="6" t="n">
        <x:f>J5916*K5916</x:f>
        <x:v>0</x:v>
      </x:c>
    </x:row>
    <x:row r="5917">
      <x:c r="A5917" s="1" t="n">
        <x:v>46447</x:v>
      </x:c>
      <x:c r="B5917" s="5" t="d">
        <x:v>2016-11-09T00:00:00.000Z</x:v>
      </x:c>
      <x:c r="C5917" s="1" t="str">
        <x:v>Standard Class</x:v>
      </x:c>
      <x:c r="D5917" s="1" t="str">
        <x:v>Pacific Asia</x:v>
      </x:c>
      <x:c r="E5917" s="1" t="str">
        <x:v>COMPLETE</x:v>
      </x:c>
      <x:c r="F5917" s="1" t="str">
        <x:v>Advance shipping</x:v>
      </x:c>
      <x:c r="G5917" s="6" t="n">
        <x:v>3</x:v>
      </x:c>
      <x:c r="H5917" s="6" t="n">
        <x:v>4</x:v>
      </x:c>
      <x:c r="I5917" s="6" t="n">
        <x:f>G5917-H5917</x:f>
        <x:v>-1</x:v>
      </x:c>
      <x:c r="J5917" s="6" t="n">
        <x:f>IF(OR(E5917="CANCELED",E5917="SUSPECTED_FRAUD",F5917="Shipping canceled"),0,1)</x:f>
        <x:v>1</x:v>
      </x:c>
      <x:c r="K5917" s="6" t="n">
        <x:f>IF(G5917&gt;H5917,1,0)</x:f>
        <x:v>0</x:v>
      </x:c>
      <x:c r="L5917" s="6" t="n">
        <x:f>J5917*K5917</x:f>
        <x:v>0</x:v>
      </x:c>
    </x:row>
    <x:row r="5918">
      <x:c r="A5918" s="1" t="n">
        <x:v>46453</x:v>
      </x:c>
      <x:c r="B5918" s="5" t="d">
        <x:v>2016-11-09T00:00:00.000Z</x:v>
      </x:c>
      <x:c r="C5918" s="1" t="str">
        <x:v>Standard Class</x:v>
      </x:c>
      <x:c r="D5918" s="1" t="str">
        <x:v>Pacific Asia</x:v>
      </x:c>
      <x:c r="E5918" s="1" t="str">
        <x:v>CANCELED</x:v>
      </x:c>
      <x:c r="F5918" s="1" t="str">
        <x:v>Shipping canceled</x:v>
      </x:c>
      <x:c r="G5918" s="6" t="n">
        <x:v>4</x:v>
      </x:c>
      <x:c r="H5918" s="6" t="n">
        <x:v>4</x:v>
      </x:c>
      <x:c r="I5918" s="6" t="n">
        <x:f>G5918-H5918</x:f>
        <x:v>0</x:v>
      </x:c>
      <x:c r="J5918" s="6" t="n">
        <x:f>IF(OR(E5918="CANCELED",E5918="SUSPECTED_FRAUD",F5918="Shipping canceled"),0,1)</x:f>
        <x:v>0</x:v>
      </x:c>
      <x:c r="K5918" s="6" t="n">
        <x:f>IF(G5918&gt;H5918,1,0)</x:f>
        <x:v>0</x:v>
      </x:c>
      <x:c r="L5918" s="6" t="n">
        <x:f>J5918*K5918</x:f>
        <x:v>0</x:v>
      </x:c>
    </x:row>
    <x:row r="5919">
      <x:c r="A5919" s="1" t="n">
        <x:v>46454</x:v>
      </x:c>
      <x:c r="B5919" s="5" t="d">
        <x:v>2016-11-09T00:00:00.000Z</x:v>
      </x:c>
      <x:c r="C5919" s="1" t="str">
        <x:v>Standard Class</x:v>
      </x:c>
      <x:c r="D5919" s="1" t="str">
        <x:v>Pacific Asia</x:v>
      </x:c>
      <x:c r="E5919" s="1" t="str">
        <x:v>COMPLETE</x:v>
      </x:c>
      <x:c r="F5919" s="1" t="str">
        <x:v>Late delivery</x:v>
      </x:c>
      <x:c r="G5919" s="6" t="n">
        <x:v>5</x:v>
      </x:c>
      <x:c r="H5919" s="6" t="n">
        <x:v>4</x:v>
      </x:c>
      <x:c r="I5919" s="6" t="n">
        <x:f>G5919-H5919</x:f>
        <x:v>1</x:v>
      </x:c>
      <x:c r="J5919" s="6" t="n">
        <x:f>IF(OR(E5919="CANCELED",E5919="SUSPECTED_FRAUD",F5919="Shipping canceled"),0,1)</x:f>
        <x:v>1</x:v>
      </x:c>
      <x:c r="K5919" s="6" t="n">
        <x:f>IF(G5919&gt;H5919,1,0)</x:f>
        <x:v>1</x:v>
      </x:c>
      <x:c r="L5919" s="6" t="n">
        <x:f>J5919*K5919</x:f>
        <x:v>1</x:v>
      </x:c>
    </x:row>
    <x:row r="5920">
      <x:c r="A5920" s="1" t="n">
        <x:v>46461</x:v>
      </x:c>
      <x:c r="B5920" s="5" t="d">
        <x:v>2016-11-09T00:00:00.000Z</x:v>
      </x:c>
      <x:c r="C5920" s="1" t="str">
        <x:v>First Class</x:v>
      </x:c>
      <x:c r="D5920" s="1" t="str">
        <x:v>Africa</x:v>
      </x:c>
      <x:c r="E5920" s="1" t="str">
        <x:v>CLOSED</x:v>
      </x:c>
      <x:c r="F5920" s="1" t="str">
        <x:v>Late delivery</x:v>
      </x:c>
      <x:c r="G5920" s="6" t="n">
        <x:v>2</x:v>
      </x:c>
      <x:c r="H5920" s="6" t="n">
        <x:v>1</x:v>
      </x:c>
      <x:c r="I5920" s="6" t="n">
        <x:f>G5920-H5920</x:f>
        <x:v>1</x:v>
      </x:c>
      <x:c r="J5920" s="6" t="n">
        <x:f>IF(OR(E5920="CANCELED",E5920="SUSPECTED_FRAUD",F5920="Shipping canceled"),0,1)</x:f>
        <x:v>1</x:v>
      </x:c>
      <x:c r="K5920" s="6" t="n">
        <x:f>IF(G5920&gt;H5920,1,0)</x:f>
        <x:v>1</x:v>
      </x:c>
      <x:c r="L5920" s="6" t="n">
        <x:f>J5920*K5920</x:f>
        <x:v>1</x:v>
      </x:c>
    </x:row>
    <x:row r="5921">
      <x:c r="A5921" s="1" t="n">
        <x:v>46470</x:v>
      </x:c>
      <x:c r="B5921" s="5" t="d">
        <x:v>2016-11-09T00:00:00.000Z</x:v>
      </x:c>
      <x:c r="C5921" s="1" t="str">
        <x:v>Standard Class</x:v>
      </x:c>
      <x:c r="D5921" s="1" t="str">
        <x:v>Pacific Asia</x:v>
      </x:c>
      <x:c r="E5921" s="1" t="str">
        <x:v>COMPLETE</x:v>
      </x:c>
      <x:c r="F5921" s="1" t="str">
        <x:v>Late delivery</x:v>
      </x:c>
      <x:c r="G5921" s="6" t="n">
        <x:v>6</x:v>
      </x:c>
      <x:c r="H5921" s="6" t="n">
        <x:v>4</x:v>
      </x:c>
      <x:c r="I5921" s="6" t="n">
        <x:f>G5921-H5921</x:f>
        <x:v>2</x:v>
      </x:c>
      <x:c r="J5921" s="6" t="n">
        <x:f>IF(OR(E5921="CANCELED",E5921="SUSPECTED_FRAUD",F5921="Shipping canceled"),0,1)</x:f>
        <x:v>1</x:v>
      </x:c>
      <x:c r="K5921" s="6" t="n">
        <x:f>IF(G5921&gt;H5921,1,0)</x:f>
        <x:v>1</x:v>
      </x:c>
      <x:c r="L5921" s="6" t="n">
        <x:f>J5921*K5921</x:f>
        <x:v>1</x:v>
      </x:c>
    </x:row>
    <x:row r="5922">
      <x:c r="A5922" s="1" t="n">
        <x:v>46479</x:v>
      </x:c>
      <x:c r="B5922" s="5" t="d">
        <x:v>2016-11-09T00:00:00.000Z</x:v>
      </x:c>
      <x:c r="C5922" s="1" t="str">
        <x:v>Standard Class</x:v>
      </x:c>
      <x:c r="D5922" s="1" t="str">
        <x:v>Africa</x:v>
      </x:c>
      <x:c r="E5922" s="1" t="str">
        <x:v>ON_HOLD</x:v>
      </x:c>
      <x:c r="F5922" s="1" t="str">
        <x:v>Late delivery</x:v>
      </x:c>
      <x:c r="G5922" s="6" t="n">
        <x:v>5</x:v>
      </x:c>
      <x:c r="H5922" s="6" t="n">
        <x:v>4</x:v>
      </x:c>
      <x:c r="I5922" s="6" t="n">
        <x:f>G5922-H5922</x:f>
        <x:v>1</x:v>
      </x:c>
      <x:c r="J5922" s="6" t="n">
        <x:f>IF(OR(E5922="CANCELED",E5922="SUSPECTED_FRAUD",F5922="Shipping canceled"),0,1)</x:f>
        <x:v>1</x:v>
      </x:c>
      <x:c r="K5922" s="6" t="n">
        <x:f>IF(G5922&gt;H5922,1,0)</x:f>
        <x:v>1</x:v>
      </x:c>
      <x:c r="L5922" s="6" t="n">
        <x:f>J5922*K5922</x:f>
        <x:v>1</x:v>
      </x:c>
    </x:row>
    <x:row r="5923">
      <x:c r="A5923" s="1" t="n">
        <x:v>46482</x:v>
      </x:c>
      <x:c r="B5923" s="5" t="d">
        <x:v>2016-11-09T00:00:00.000Z</x:v>
      </x:c>
      <x:c r="C5923" s="1" t="str">
        <x:v>Standard Class</x:v>
      </x:c>
      <x:c r="D5923" s="1" t="str">
        <x:v>Pacific Asia</x:v>
      </x:c>
      <x:c r="E5923" s="1" t="str">
        <x:v>CLOSED</x:v>
      </x:c>
      <x:c r="F5923" s="1" t="str">
        <x:v>Advance shipping</x:v>
      </x:c>
      <x:c r="G5923" s="6" t="n">
        <x:v>3</x:v>
      </x:c>
      <x:c r="H5923" s="6" t="n">
        <x:v>4</x:v>
      </x:c>
      <x:c r="I5923" s="6" t="n">
        <x:f>G5923-H5923</x:f>
        <x:v>-1</x:v>
      </x:c>
      <x:c r="J5923" s="6" t="n">
        <x:f>IF(OR(E5923="CANCELED",E5923="SUSPECTED_FRAUD",F5923="Shipping canceled"),0,1)</x:f>
        <x:v>1</x:v>
      </x:c>
      <x:c r="K5923" s="6" t="n">
        <x:f>IF(G5923&gt;H5923,1,0)</x:f>
        <x:v>0</x:v>
      </x:c>
      <x:c r="L5923" s="6" t="n">
        <x:f>J5923*K5923</x:f>
        <x:v>0</x:v>
      </x:c>
    </x:row>
    <x:row r="5924">
      <x:c r="A5924" s="1" t="n">
        <x:v>46495</x:v>
      </x:c>
      <x:c r="B5924" s="5" t="d">
        <x:v>2016-11-09T00:00:00.000Z</x:v>
      </x:c>
      <x:c r="C5924" s="1" t="str">
        <x:v>First Class</x:v>
      </x:c>
      <x:c r="D5924" s="1" t="str">
        <x:v>Africa</x:v>
      </x:c>
      <x:c r="E5924" s="1" t="str">
        <x:v>CLOSED</x:v>
      </x:c>
      <x:c r="F5924" s="1" t="str">
        <x:v>Late delivery</x:v>
      </x:c>
      <x:c r="G5924" s="6" t="n">
        <x:v>2</x:v>
      </x:c>
      <x:c r="H5924" s="6" t="n">
        <x:v>1</x:v>
      </x:c>
      <x:c r="I5924" s="6" t="n">
        <x:f>G5924-H5924</x:f>
        <x:v>1</x:v>
      </x:c>
      <x:c r="J5924" s="6" t="n">
        <x:f>IF(OR(E5924="CANCELED",E5924="SUSPECTED_FRAUD",F5924="Shipping canceled"),0,1)</x:f>
        <x:v>1</x:v>
      </x:c>
      <x:c r="K5924" s="6" t="n">
        <x:f>IF(G5924&gt;H5924,1,0)</x:f>
        <x:v>1</x:v>
      </x:c>
      <x:c r="L5924" s="6" t="n">
        <x:f>J5924*K5924</x:f>
        <x:v>1</x:v>
      </x:c>
    </x:row>
    <x:row r="5925">
      <x:c r="A5925" s="1" t="n">
        <x:v>46505</x:v>
      </x:c>
      <x:c r="B5925" s="5" t="d">
        <x:v>2016-11-09T00:00:00.000Z</x:v>
      </x:c>
      <x:c r="C5925" s="1" t="str">
        <x:v>Standard Class</x:v>
      </x:c>
      <x:c r="D5925" s="1" t="str">
        <x:v>Pacific Asia</x:v>
      </x:c>
      <x:c r="E5925" s="1" t="str">
        <x:v>PENDING_PAYMENT</x:v>
      </x:c>
      <x:c r="F5925" s="1" t="str">
        <x:v>Late delivery</x:v>
      </x:c>
      <x:c r="G5925" s="6" t="n">
        <x:v>6</x:v>
      </x:c>
      <x:c r="H5925" s="6" t="n">
        <x:v>4</x:v>
      </x:c>
      <x:c r="I5925" s="6" t="n">
        <x:f>G5925-H5925</x:f>
        <x:v>2</x:v>
      </x:c>
      <x:c r="J5925" s="6" t="n">
        <x:f>IF(OR(E5925="CANCELED",E5925="SUSPECTED_FRAUD",F5925="Shipping canceled"),0,1)</x:f>
        <x:v>1</x:v>
      </x:c>
      <x:c r="K5925" s="6" t="n">
        <x:f>IF(G5925&gt;H5925,1,0)</x:f>
        <x:v>1</x:v>
      </x:c>
      <x:c r="L5925" s="6" t="n">
        <x:f>J5925*K5925</x:f>
        <x:v>1</x:v>
      </x:c>
    </x:row>
    <x:row r="5926">
      <x:c r="A5926" s="1" t="n">
        <x:v>46507</x:v>
      </x:c>
      <x:c r="B5926" s="5" t="d">
        <x:v>2016-11-09T00:00:00.000Z</x:v>
      </x:c>
      <x:c r="C5926" s="1" t="str">
        <x:v>Standard Class</x:v>
      </x:c>
      <x:c r="D5926" s="1" t="str">
        <x:v>Pacific Asia</x:v>
      </x:c>
      <x:c r="E5926" s="1" t="str">
        <x:v>ON_HOLD</x:v>
      </x:c>
      <x:c r="F5926" s="1" t="str">
        <x:v>Advance shipping</x:v>
      </x:c>
      <x:c r="G5926" s="6" t="n">
        <x:v>3</x:v>
      </x:c>
      <x:c r="H5926" s="6" t="n">
        <x:v>4</x:v>
      </x:c>
      <x:c r="I5926" s="6" t="n">
        <x:f>G5926-H5926</x:f>
        <x:v>-1</x:v>
      </x:c>
      <x:c r="J5926" s="6" t="n">
        <x:f>IF(OR(E5926="CANCELED",E5926="SUSPECTED_FRAUD",F5926="Shipping canceled"),0,1)</x:f>
        <x:v>1</x:v>
      </x:c>
      <x:c r="K5926" s="6" t="n">
        <x:f>IF(G5926&gt;H5926,1,0)</x:f>
        <x:v>0</x:v>
      </x:c>
      <x:c r="L5926" s="6" t="n">
        <x:f>J5926*K5926</x:f>
        <x:v>0</x:v>
      </x:c>
    </x:row>
    <x:row r="5927">
      <x:c r="A5927" s="1" t="n">
        <x:v>46517</x:v>
      </x:c>
      <x:c r="B5927" s="5" t="d">
        <x:v>2016-11-10T00:00:00.000Z</x:v>
      </x:c>
      <x:c r="C5927" s="1" t="str">
        <x:v>Standard Class</x:v>
      </x:c>
      <x:c r="D5927" s="1" t="str">
        <x:v>Pacific Asia</x:v>
      </x:c>
      <x:c r="E5927" s="1" t="str">
        <x:v>CLOSED</x:v>
      </x:c>
      <x:c r="F5927" s="1" t="str">
        <x:v>Advance shipping</x:v>
      </x:c>
      <x:c r="G5927" s="6" t="n">
        <x:v>3</x:v>
      </x:c>
      <x:c r="H5927" s="6" t="n">
        <x:v>4</x:v>
      </x:c>
      <x:c r="I5927" s="6" t="n">
        <x:f>G5927-H5927</x:f>
        <x:v>-1</x:v>
      </x:c>
      <x:c r="J5927" s="6" t="n">
        <x:f>IF(OR(E5927="CANCELED",E5927="SUSPECTED_FRAUD",F5927="Shipping canceled"),0,1)</x:f>
        <x:v>1</x:v>
      </x:c>
      <x:c r="K5927" s="6" t="n">
        <x:f>IF(G5927&gt;H5927,1,0)</x:f>
        <x:v>0</x:v>
      </x:c>
      <x:c r="L5927" s="6" t="n">
        <x:f>J5927*K5927</x:f>
        <x:v>0</x:v>
      </x:c>
    </x:row>
    <x:row r="5928">
      <x:c r="A5928" s="1" t="n">
        <x:v>46521</x:v>
      </x:c>
      <x:c r="B5928" s="5" t="d">
        <x:v>2016-11-10T00:00:00.000Z</x:v>
      </x:c>
      <x:c r="C5928" s="1" t="str">
        <x:v>Standard Class</x:v>
      </x:c>
      <x:c r="D5928" s="1" t="str">
        <x:v>Pacific Asia</x:v>
      </x:c>
      <x:c r="E5928" s="1" t="str">
        <x:v>COMPLETE</x:v>
      </x:c>
      <x:c r="F5928" s="1" t="str">
        <x:v>Advance shipping</x:v>
      </x:c>
      <x:c r="G5928" s="6" t="n">
        <x:v>2</x:v>
      </x:c>
      <x:c r="H5928" s="6" t="n">
        <x:v>4</x:v>
      </x:c>
      <x:c r="I5928" s="6" t="n">
        <x:f>G5928-H5928</x:f>
        <x:v>-2</x:v>
      </x:c>
      <x:c r="J5928" s="6" t="n">
        <x:f>IF(OR(E5928="CANCELED",E5928="SUSPECTED_FRAUD",F5928="Shipping canceled"),0,1)</x:f>
        <x:v>1</x:v>
      </x:c>
      <x:c r="K5928" s="6" t="n">
        <x:f>IF(G5928&gt;H5928,1,0)</x:f>
        <x:v>0</x:v>
      </x:c>
      <x:c r="L5928" s="6" t="n">
        <x:f>J5928*K5928</x:f>
        <x:v>0</x:v>
      </x:c>
    </x:row>
    <x:row r="5929">
      <x:c r="A5929" s="1" t="n">
        <x:v>46523</x:v>
      </x:c>
      <x:c r="B5929" s="5" t="d">
        <x:v>2016-11-10T00:00:00.000Z</x:v>
      </x:c>
      <x:c r="C5929" s="1" t="str">
        <x:v>Standard Class</x:v>
      </x:c>
      <x:c r="D5929" s="1" t="str">
        <x:v>Europe</x:v>
      </x:c>
      <x:c r="E5929" s="1" t="str">
        <x:v>COMPLETE</x:v>
      </x:c>
      <x:c r="F5929" s="1" t="str">
        <x:v>Shipping on time</x:v>
      </x:c>
      <x:c r="G5929" s="6" t="n">
        <x:v>4</x:v>
      </x:c>
      <x:c r="H5929" s="6" t="n">
        <x:v>4</x:v>
      </x:c>
      <x:c r="I5929" s="6" t="n">
        <x:f>G5929-H5929</x:f>
        <x:v>0</x:v>
      </x:c>
      <x:c r="J5929" s="6" t="n">
        <x:f>IF(OR(E5929="CANCELED",E5929="SUSPECTED_FRAUD",F5929="Shipping canceled"),0,1)</x:f>
        <x:v>1</x:v>
      </x:c>
      <x:c r="K5929" s="6" t="n">
        <x:f>IF(G5929&gt;H5929,1,0)</x:f>
        <x:v>0</x:v>
      </x:c>
      <x:c r="L5929" s="6" t="n">
        <x:f>J5929*K5929</x:f>
        <x:v>0</x:v>
      </x:c>
    </x:row>
    <x:row r="5930">
      <x:c r="A5930" s="1" t="n">
        <x:v>46531</x:v>
      </x:c>
      <x:c r="B5930" s="5" t="d">
        <x:v>2016-11-10T00:00:00.000Z</x:v>
      </x:c>
      <x:c r="C5930" s="1" t="str">
        <x:v>Standard Class</x:v>
      </x:c>
      <x:c r="D5930" s="1" t="str">
        <x:v>Pacific Asia</x:v>
      </x:c>
      <x:c r="E5930" s="1" t="str">
        <x:v>CANCELED</x:v>
      </x:c>
      <x:c r="F5930" s="1" t="str">
        <x:v>Shipping canceled</x:v>
      </x:c>
      <x:c r="G5930" s="6" t="n">
        <x:v>2</x:v>
      </x:c>
      <x:c r="H5930" s="6" t="n">
        <x:v>4</x:v>
      </x:c>
      <x:c r="I5930" s="6" t="n">
        <x:f>G5930-H5930</x:f>
        <x:v>-2</x:v>
      </x:c>
      <x:c r="J5930" s="6" t="n">
        <x:f>IF(OR(E5930="CANCELED",E5930="SUSPECTED_FRAUD",F5930="Shipping canceled"),0,1)</x:f>
        <x:v>0</x:v>
      </x:c>
      <x:c r="K5930" s="6" t="n">
        <x:f>IF(G5930&gt;H5930,1,0)</x:f>
        <x:v>0</x:v>
      </x:c>
      <x:c r="L5930" s="6" t="n">
        <x:f>J5930*K5930</x:f>
        <x:v>0</x:v>
      </x:c>
    </x:row>
    <x:row r="5931">
      <x:c r="A5931" s="1" t="n">
        <x:v>46554</x:v>
      </x:c>
      <x:c r="B5931" s="5" t="d">
        <x:v>2016-11-10T00:00:00.000Z</x:v>
      </x:c>
      <x:c r="C5931" s="1" t="str">
        <x:v>First Class</x:v>
      </x:c>
      <x:c r="D5931" s="1" t="str">
        <x:v>Europe</x:v>
      </x:c>
      <x:c r="E5931" s="1" t="str">
        <x:v>PENDING_PAYMENT</x:v>
      </x:c>
      <x:c r="F5931" s="1" t="str">
        <x:v>Late delivery</x:v>
      </x:c>
      <x:c r="G5931" s="6" t="n">
        <x:v>2</x:v>
      </x:c>
      <x:c r="H5931" s="6" t="n">
        <x:v>1</x:v>
      </x:c>
      <x:c r="I5931" s="6" t="n">
        <x:f>G5931-H5931</x:f>
        <x:v>1</x:v>
      </x:c>
      <x:c r="J5931" s="6" t="n">
        <x:f>IF(OR(E5931="CANCELED",E5931="SUSPECTED_FRAUD",F5931="Shipping canceled"),0,1)</x:f>
        <x:v>1</x:v>
      </x:c>
      <x:c r="K5931" s="6" t="n">
        <x:f>IF(G5931&gt;H5931,1,0)</x:f>
        <x:v>1</x:v>
      </x:c>
      <x:c r="L5931" s="6" t="n">
        <x:f>J5931*K5931</x:f>
        <x:v>1</x:v>
      </x:c>
    </x:row>
    <x:row r="5932">
      <x:c r="A5932" s="1" t="n">
        <x:v>46571</x:v>
      </x:c>
      <x:c r="B5932" s="5" t="d">
        <x:v>2016-11-10T00:00:00.000Z</x:v>
      </x:c>
      <x:c r="C5932" s="1" t="str">
        <x:v>Standard Class</x:v>
      </x:c>
      <x:c r="D5932" s="1" t="str">
        <x:v>Africa</x:v>
      </x:c>
      <x:c r="E5932" s="1" t="str">
        <x:v>ON_HOLD</x:v>
      </x:c>
      <x:c r="F5932" s="1" t="str">
        <x:v>Advance shipping</x:v>
      </x:c>
      <x:c r="G5932" s="6" t="n">
        <x:v>2</x:v>
      </x:c>
      <x:c r="H5932" s="6" t="n">
        <x:v>4</x:v>
      </x:c>
      <x:c r="I5932" s="6" t="n">
        <x:f>G5932-H5932</x:f>
        <x:v>-2</x:v>
      </x:c>
      <x:c r="J5932" s="6" t="n">
        <x:f>IF(OR(E5932="CANCELED",E5932="SUSPECTED_FRAUD",F5932="Shipping canceled"),0,1)</x:f>
        <x:v>1</x:v>
      </x:c>
      <x:c r="K5932" s="6" t="n">
        <x:f>IF(G5932&gt;H5932,1,0)</x:f>
        <x:v>0</x:v>
      </x:c>
      <x:c r="L5932" s="6" t="n">
        <x:f>J5932*K5932</x:f>
        <x:v>0</x:v>
      </x:c>
    </x:row>
    <x:row r="5933">
      <x:c r="A5933" s="1" t="n">
        <x:v>46585</x:v>
      </x:c>
      <x:c r="B5933" s="5" t="d">
        <x:v>2016-11-11T00:00:00.000Z</x:v>
      </x:c>
      <x:c r="C5933" s="1" t="str">
        <x:v>Standard Class</x:v>
      </x:c>
      <x:c r="D5933" s="1" t="str">
        <x:v>Pacific Asia</x:v>
      </x:c>
      <x:c r="E5933" s="1" t="str">
        <x:v>CLOSED</x:v>
      </x:c>
      <x:c r="F5933" s="1" t="str">
        <x:v>Late delivery</x:v>
      </x:c>
      <x:c r="G5933" s="6" t="n">
        <x:v>6</x:v>
      </x:c>
      <x:c r="H5933" s="6" t="n">
        <x:v>4</x:v>
      </x:c>
      <x:c r="I5933" s="6" t="n">
        <x:f>G5933-H5933</x:f>
        <x:v>2</x:v>
      </x:c>
      <x:c r="J5933" s="6" t="n">
        <x:f>IF(OR(E5933="CANCELED",E5933="SUSPECTED_FRAUD",F5933="Shipping canceled"),0,1)</x:f>
        <x:v>1</x:v>
      </x:c>
      <x:c r="K5933" s="6" t="n">
        <x:f>IF(G5933&gt;H5933,1,0)</x:f>
        <x:v>1</x:v>
      </x:c>
      <x:c r="L5933" s="6" t="n">
        <x:f>J5933*K5933</x:f>
        <x:v>1</x:v>
      </x:c>
    </x:row>
    <x:row r="5934">
      <x:c r="A5934" s="1" t="n">
        <x:v>46599</x:v>
      </x:c>
      <x:c r="B5934" s="5" t="d">
        <x:v>2016-11-11T00:00:00.000Z</x:v>
      </x:c>
      <x:c r="C5934" s="1" t="str">
        <x:v>Second Class</x:v>
      </x:c>
      <x:c r="D5934" s="1" t="str">
        <x:v>Africa</x:v>
      </x:c>
      <x:c r="E5934" s="1" t="str">
        <x:v>PENDING_PAYMENT</x:v>
      </x:c>
      <x:c r="F5934" s="1" t="str">
        <x:v>Late delivery</x:v>
      </x:c>
      <x:c r="G5934" s="6" t="n">
        <x:v>5</x:v>
      </x:c>
      <x:c r="H5934" s="6" t="n">
        <x:v>2</x:v>
      </x:c>
      <x:c r="I5934" s="6" t="n">
        <x:f>G5934-H5934</x:f>
        <x:v>3</x:v>
      </x:c>
      <x:c r="J5934" s="6" t="n">
        <x:f>IF(OR(E5934="CANCELED",E5934="SUSPECTED_FRAUD",F5934="Shipping canceled"),0,1)</x:f>
        <x:v>1</x:v>
      </x:c>
      <x:c r="K5934" s="6" t="n">
        <x:f>IF(G5934&gt;H5934,1,0)</x:f>
        <x:v>1</x:v>
      </x:c>
      <x:c r="L5934" s="6" t="n">
        <x:f>J5934*K5934</x:f>
        <x:v>1</x:v>
      </x:c>
    </x:row>
    <x:row r="5935">
      <x:c r="A5935" s="1" t="n">
        <x:v>46621</x:v>
      </x:c>
      <x:c r="B5935" s="5" t="d">
        <x:v>2016-11-11T00:00:00.000Z</x:v>
      </x:c>
      <x:c r="C5935" s="1" t="str">
        <x:v>First Class</x:v>
      </x:c>
      <x:c r="D5935" s="1" t="str">
        <x:v>Africa</x:v>
      </x:c>
      <x:c r="E5935" s="1" t="str">
        <x:v>PENDING</x:v>
      </x:c>
      <x:c r="F5935" s="1" t="str">
        <x:v>Late delivery</x:v>
      </x:c>
      <x:c r="G5935" s="6" t="n">
        <x:v>2</x:v>
      </x:c>
      <x:c r="H5935" s="6" t="n">
        <x:v>1</x:v>
      </x:c>
      <x:c r="I5935" s="6" t="n">
        <x:f>G5935-H5935</x:f>
        <x:v>1</x:v>
      </x:c>
      <x:c r="J5935" s="6" t="n">
        <x:f>IF(OR(E5935="CANCELED",E5935="SUSPECTED_FRAUD",F5935="Shipping canceled"),0,1)</x:f>
        <x:v>1</x:v>
      </x:c>
      <x:c r="K5935" s="6" t="n">
        <x:f>IF(G5935&gt;H5935,1,0)</x:f>
        <x:v>1</x:v>
      </x:c>
      <x:c r="L5935" s="6" t="n">
        <x:f>J5935*K5935</x:f>
        <x:v>1</x:v>
      </x:c>
    </x:row>
    <x:row r="5936">
      <x:c r="A5936" s="1" t="n">
        <x:v>46623</x:v>
      </x:c>
      <x:c r="B5936" s="5" t="d">
        <x:v>2016-11-11T00:00:00.000Z</x:v>
      </x:c>
      <x:c r="C5936" s="1" t="str">
        <x:v>Standard Class</x:v>
      </x:c>
      <x:c r="D5936" s="1" t="str">
        <x:v>Europe</x:v>
      </x:c>
      <x:c r="E5936" s="1" t="str">
        <x:v>PENDING_PAYMENT</x:v>
      </x:c>
      <x:c r="F5936" s="1" t="str">
        <x:v>Shipping on time</x:v>
      </x:c>
      <x:c r="G5936" s="6" t="n">
        <x:v>4</x:v>
      </x:c>
      <x:c r="H5936" s="6" t="n">
        <x:v>4</x:v>
      </x:c>
      <x:c r="I5936" s="6" t="n">
        <x:f>G5936-H5936</x:f>
        <x:v>0</x:v>
      </x:c>
      <x:c r="J5936" s="6" t="n">
        <x:f>IF(OR(E5936="CANCELED",E5936="SUSPECTED_FRAUD",F5936="Shipping canceled"),0,1)</x:f>
        <x:v>1</x:v>
      </x:c>
      <x:c r="K5936" s="6" t="n">
        <x:f>IF(G5936&gt;H5936,1,0)</x:f>
        <x:v>0</x:v>
      </x:c>
      <x:c r="L5936" s="6" t="n">
        <x:f>J5936*K5936</x:f>
        <x:v>0</x:v>
      </x:c>
    </x:row>
    <x:row r="5937">
      <x:c r="A5937" s="1" t="n">
        <x:v>46627</x:v>
      </x:c>
      <x:c r="B5937" s="5" t="d">
        <x:v>2016-11-11T00:00:00.000Z</x:v>
      </x:c>
      <x:c r="C5937" s="1" t="str">
        <x:v>Standard Class</x:v>
      </x:c>
      <x:c r="D5937" s="1" t="str">
        <x:v>Africa</x:v>
      </x:c>
      <x:c r="E5937" s="1" t="str">
        <x:v>PENDING_PAYMENT</x:v>
      </x:c>
      <x:c r="F5937" s="1" t="str">
        <x:v>Advance shipping</x:v>
      </x:c>
      <x:c r="G5937" s="6" t="n">
        <x:v>3</x:v>
      </x:c>
      <x:c r="H5937" s="6" t="n">
        <x:v>4</x:v>
      </x:c>
      <x:c r="I5937" s="6" t="n">
        <x:f>G5937-H5937</x:f>
        <x:v>-1</x:v>
      </x:c>
      <x:c r="J5937" s="6" t="n">
        <x:f>IF(OR(E5937="CANCELED",E5937="SUSPECTED_FRAUD",F5937="Shipping canceled"),0,1)</x:f>
        <x:v>1</x:v>
      </x:c>
      <x:c r="K5937" s="6" t="n">
        <x:f>IF(G5937&gt;H5937,1,0)</x:f>
        <x:v>0</x:v>
      </x:c>
      <x:c r="L5937" s="6" t="n">
        <x:f>J5937*K5937</x:f>
        <x:v>0</x:v>
      </x:c>
    </x:row>
    <x:row r="5938">
      <x:c r="A5938" s="1" t="n">
        <x:v>46636</x:v>
      </x:c>
      <x:c r="B5938" s="5" t="d">
        <x:v>2016-11-11T00:00:00.000Z</x:v>
      </x:c>
      <x:c r="C5938" s="1" t="str">
        <x:v>Standard Class</x:v>
      </x:c>
      <x:c r="D5938" s="1" t="str">
        <x:v>Africa</x:v>
      </x:c>
      <x:c r="E5938" s="1" t="str">
        <x:v>PROCESSING</x:v>
      </x:c>
      <x:c r="F5938" s="1" t="str">
        <x:v>Advance shipping</x:v>
      </x:c>
      <x:c r="G5938" s="6" t="n">
        <x:v>2</x:v>
      </x:c>
      <x:c r="H5938" s="6" t="n">
        <x:v>4</x:v>
      </x:c>
      <x:c r="I5938" s="6" t="n">
        <x:f>G5938-H5938</x:f>
        <x:v>-2</x:v>
      </x:c>
      <x:c r="J5938" s="6" t="n">
        <x:f>IF(OR(E5938="CANCELED",E5938="SUSPECTED_FRAUD",F5938="Shipping canceled"),0,1)</x:f>
        <x:v>1</x:v>
      </x:c>
      <x:c r="K5938" s="6" t="n">
        <x:f>IF(G5938&gt;H5938,1,0)</x:f>
        <x:v>0</x:v>
      </x:c>
      <x:c r="L5938" s="6" t="n">
        <x:f>J5938*K5938</x:f>
        <x:v>0</x:v>
      </x:c>
    </x:row>
    <x:row r="5939">
      <x:c r="A5939" s="1" t="n">
        <x:v>46641</x:v>
      </x:c>
      <x:c r="B5939" s="5" t="d">
        <x:v>2016-11-11T00:00:00.000Z</x:v>
      </x:c>
      <x:c r="C5939" s="1" t="str">
        <x:v>Standard Class</x:v>
      </x:c>
      <x:c r="D5939" s="1" t="str">
        <x:v>Europe</x:v>
      </x:c>
      <x:c r="E5939" s="1" t="str">
        <x:v>COMPLETE</x:v>
      </x:c>
      <x:c r="F5939" s="1" t="str">
        <x:v>Advance shipping</x:v>
      </x:c>
      <x:c r="G5939" s="6" t="n">
        <x:v>2</x:v>
      </x:c>
      <x:c r="H5939" s="6" t="n">
        <x:v>4</x:v>
      </x:c>
      <x:c r="I5939" s="6" t="n">
        <x:f>G5939-H5939</x:f>
        <x:v>-2</x:v>
      </x:c>
      <x:c r="J5939" s="6" t="n">
        <x:f>IF(OR(E5939="CANCELED",E5939="SUSPECTED_FRAUD",F5939="Shipping canceled"),0,1)</x:f>
        <x:v>1</x:v>
      </x:c>
      <x:c r="K5939" s="6" t="n">
        <x:f>IF(G5939&gt;H5939,1,0)</x:f>
        <x:v>0</x:v>
      </x:c>
      <x:c r="L5939" s="6" t="n">
        <x:f>J5939*K5939</x:f>
        <x:v>0</x:v>
      </x:c>
    </x:row>
    <x:row r="5940">
      <x:c r="A5940" s="1" t="n">
        <x:v>46648</x:v>
      </x:c>
      <x:c r="B5940" s="5" t="d">
        <x:v>2016-11-11T00:00:00.000Z</x:v>
      </x:c>
      <x:c r="C5940" s="1" t="str">
        <x:v>Standard Class</x:v>
      </x:c>
      <x:c r="D5940" s="1" t="str">
        <x:v>Pacific Asia</x:v>
      </x:c>
      <x:c r="E5940" s="1" t="str">
        <x:v>PENDING_PAYMENT</x:v>
      </x:c>
      <x:c r="F5940" s="1" t="str">
        <x:v>Shipping on time</x:v>
      </x:c>
      <x:c r="G5940" s="6" t="n">
        <x:v>4</x:v>
      </x:c>
      <x:c r="H5940" s="6" t="n">
        <x:v>4</x:v>
      </x:c>
      <x:c r="I5940" s="6" t="n">
        <x:f>G5940-H5940</x:f>
        <x:v>0</x:v>
      </x:c>
      <x:c r="J5940" s="6" t="n">
        <x:f>IF(OR(E5940="CANCELED",E5940="SUSPECTED_FRAUD",F5940="Shipping canceled"),0,1)</x:f>
        <x:v>1</x:v>
      </x:c>
      <x:c r="K5940" s="6" t="n">
        <x:f>IF(G5940&gt;H5940,1,0)</x:f>
        <x:v>0</x:v>
      </x:c>
      <x:c r="L5940" s="6" t="n">
        <x:f>J5940*K5940</x:f>
        <x:v>0</x:v>
      </x:c>
    </x:row>
    <x:row r="5941">
      <x:c r="A5941" s="1" t="n">
        <x:v>46667</x:v>
      </x:c>
      <x:c r="B5941" s="5" t="d">
        <x:v>2016-11-12T00:00:00.000Z</x:v>
      </x:c>
      <x:c r="C5941" s="1" t="str">
        <x:v>Standard Class</x:v>
      </x:c>
      <x:c r="D5941" s="1" t="str">
        <x:v>Africa</x:v>
      </x:c>
      <x:c r="E5941" s="1" t="str">
        <x:v>COMPLETE</x:v>
      </x:c>
      <x:c r="F5941" s="1" t="str">
        <x:v>Advance shipping</x:v>
      </x:c>
      <x:c r="G5941" s="6" t="n">
        <x:v>3</x:v>
      </x:c>
      <x:c r="H5941" s="6" t="n">
        <x:v>4</x:v>
      </x:c>
      <x:c r="I5941" s="6" t="n">
        <x:f>G5941-H5941</x:f>
        <x:v>-1</x:v>
      </x:c>
      <x:c r="J5941" s="6" t="n">
        <x:f>IF(OR(E5941="CANCELED",E5941="SUSPECTED_FRAUD",F5941="Shipping canceled"),0,1)</x:f>
        <x:v>1</x:v>
      </x:c>
      <x:c r="K5941" s="6" t="n">
        <x:f>IF(G5941&gt;H5941,1,0)</x:f>
        <x:v>0</x:v>
      </x:c>
      <x:c r="L5941" s="6" t="n">
        <x:f>J5941*K5941</x:f>
        <x:v>0</x:v>
      </x:c>
    </x:row>
    <x:row r="5942">
      <x:c r="A5942" s="1" t="n">
        <x:v>46669</x:v>
      </x:c>
      <x:c r="B5942" s="5" t="d">
        <x:v>2016-11-12T00:00:00.000Z</x:v>
      </x:c>
      <x:c r="C5942" s="1" t="str">
        <x:v>Standard Class</x:v>
      </x:c>
      <x:c r="D5942" s="1" t="str">
        <x:v>Africa</x:v>
      </x:c>
      <x:c r="E5942" s="1" t="str">
        <x:v>CLOSED</x:v>
      </x:c>
      <x:c r="F5942" s="1" t="str">
        <x:v>Late delivery</x:v>
      </x:c>
      <x:c r="G5942" s="6" t="n">
        <x:v>5</x:v>
      </x:c>
      <x:c r="H5942" s="6" t="n">
        <x:v>4</x:v>
      </x:c>
      <x:c r="I5942" s="6" t="n">
        <x:f>G5942-H5942</x:f>
        <x:v>1</x:v>
      </x:c>
      <x:c r="J5942" s="6" t="n">
        <x:f>IF(OR(E5942="CANCELED",E5942="SUSPECTED_FRAUD",F5942="Shipping canceled"),0,1)</x:f>
        <x:v>1</x:v>
      </x:c>
      <x:c r="K5942" s="6" t="n">
        <x:f>IF(G5942&gt;H5942,1,0)</x:f>
        <x:v>1</x:v>
      </x:c>
      <x:c r="L5942" s="6" t="n">
        <x:f>J5942*K5942</x:f>
        <x:v>1</x:v>
      </x:c>
    </x:row>
    <x:row r="5943">
      <x:c r="A5943" s="1" t="n">
        <x:v>46677</x:v>
      </x:c>
      <x:c r="B5943" s="5" t="d">
        <x:v>2016-11-12T00:00:00.000Z</x:v>
      </x:c>
      <x:c r="C5943" s="1" t="str">
        <x:v>Standard Class</x:v>
      </x:c>
      <x:c r="D5943" s="1" t="str">
        <x:v>Europe</x:v>
      </x:c>
      <x:c r="E5943" s="1" t="str">
        <x:v>PROCESSING</x:v>
      </x:c>
      <x:c r="F5943" s="1" t="str">
        <x:v>Advance shipping</x:v>
      </x:c>
      <x:c r="G5943" s="6" t="n">
        <x:v>3</x:v>
      </x:c>
      <x:c r="H5943" s="6" t="n">
        <x:v>4</x:v>
      </x:c>
      <x:c r="I5943" s="6" t="n">
        <x:f>G5943-H5943</x:f>
        <x:v>-1</x:v>
      </x:c>
      <x:c r="J5943" s="6" t="n">
        <x:f>IF(OR(E5943="CANCELED",E5943="SUSPECTED_FRAUD",F5943="Shipping canceled"),0,1)</x:f>
        <x:v>1</x:v>
      </x:c>
      <x:c r="K5943" s="6" t="n">
        <x:f>IF(G5943&gt;H5943,1,0)</x:f>
        <x:v>0</x:v>
      </x:c>
      <x:c r="L5943" s="6" t="n">
        <x:f>J5943*K5943</x:f>
        <x:v>0</x:v>
      </x:c>
    </x:row>
    <x:row r="5944">
      <x:c r="A5944" s="1" t="n">
        <x:v>46681</x:v>
      </x:c>
      <x:c r="B5944" s="5" t="d">
        <x:v>2016-11-12T00:00:00.000Z</x:v>
      </x:c>
      <x:c r="C5944" s="1" t="str">
        <x:v>Standard Class</x:v>
      </x:c>
      <x:c r="D5944" s="1" t="str">
        <x:v>Pacific Asia</x:v>
      </x:c>
      <x:c r="E5944" s="1" t="str">
        <x:v>SUSPECTED_FRAUD</x:v>
      </x:c>
      <x:c r="F5944" s="1" t="str">
        <x:v>Shipping canceled</x:v>
      </x:c>
      <x:c r="G5944" s="6" t="n">
        <x:v>2</x:v>
      </x:c>
      <x:c r="H5944" s="6" t="n">
        <x:v>4</x:v>
      </x:c>
      <x:c r="I5944" s="6" t="n">
        <x:f>G5944-H5944</x:f>
        <x:v>-2</x:v>
      </x:c>
      <x:c r="J5944" s="6" t="n">
        <x:f>IF(OR(E5944="CANCELED",E5944="SUSPECTED_FRAUD",F5944="Shipping canceled"),0,1)</x:f>
        <x:v>0</x:v>
      </x:c>
      <x:c r="K5944" s="6" t="n">
        <x:f>IF(G5944&gt;H5944,1,0)</x:f>
        <x:v>0</x:v>
      </x:c>
      <x:c r="L5944" s="6" t="n">
        <x:f>J5944*K5944</x:f>
        <x:v>0</x:v>
      </x:c>
    </x:row>
    <x:row r="5945">
      <x:c r="A5945" s="1" t="n">
        <x:v>46683</x:v>
      </x:c>
      <x:c r="B5945" s="5" t="d">
        <x:v>2016-11-12T00:00:00.000Z</x:v>
      </x:c>
      <x:c r="C5945" s="1" t="str">
        <x:v>Second Class</x:v>
      </x:c>
      <x:c r="D5945" s="1" t="str">
        <x:v>Africa</x:v>
      </x:c>
      <x:c r="E5945" s="1" t="str">
        <x:v>COMPLETE</x:v>
      </x:c>
      <x:c r="F5945" s="1" t="str">
        <x:v>Late delivery</x:v>
      </x:c>
      <x:c r="G5945" s="6" t="n">
        <x:v>4</x:v>
      </x:c>
      <x:c r="H5945" s="6" t="n">
        <x:v>2</x:v>
      </x:c>
      <x:c r="I5945" s="6" t="n">
        <x:f>G5945-H5945</x:f>
        <x:v>2</x:v>
      </x:c>
      <x:c r="J5945" s="6" t="n">
        <x:f>IF(OR(E5945="CANCELED",E5945="SUSPECTED_FRAUD",F5945="Shipping canceled"),0,1)</x:f>
        <x:v>1</x:v>
      </x:c>
      <x:c r="K5945" s="6" t="n">
        <x:f>IF(G5945&gt;H5945,1,0)</x:f>
        <x:v>1</x:v>
      </x:c>
      <x:c r="L5945" s="6" t="n">
        <x:f>J5945*K5945</x:f>
        <x:v>1</x:v>
      </x:c>
    </x:row>
    <x:row r="5946">
      <x:c r="A5946" s="1" t="n">
        <x:v>46687</x:v>
      </x:c>
      <x:c r="B5946" s="5" t="d">
        <x:v>2016-11-12T00:00:00.000Z</x:v>
      </x:c>
      <x:c r="C5946" s="1" t="str">
        <x:v>Second Class</x:v>
      </x:c>
      <x:c r="D5946" s="1" t="str">
        <x:v>Africa</x:v>
      </x:c>
      <x:c r="E5946" s="1" t="str">
        <x:v>PROCESSING</x:v>
      </x:c>
      <x:c r="F5946" s="1" t="str">
        <x:v>Late delivery</x:v>
      </x:c>
      <x:c r="G5946" s="6" t="n">
        <x:v>3</x:v>
      </x:c>
      <x:c r="H5946" s="6" t="n">
        <x:v>2</x:v>
      </x:c>
      <x:c r="I5946" s="6" t="n">
        <x:f>G5946-H5946</x:f>
        <x:v>1</x:v>
      </x:c>
      <x:c r="J5946" s="6" t="n">
        <x:f>IF(OR(E5946="CANCELED",E5946="SUSPECTED_FRAUD",F5946="Shipping canceled"),0,1)</x:f>
        <x:v>1</x:v>
      </x:c>
      <x:c r="K5946" s="6" t="n">
        <x:f>IF(G5946&gt;H5946,1,0)</x:f>
        <x:v>1</x:v>
      </x:c>
      <x:c r="L5946" s="6" t="n">
        <x:f>J5946*K5946</x:f>
        <x:v>1</x:v>
      </x:c>
    </x:row>
    <x:row r="5947">
      <x:c r="A5947" s="1" t="n">
        <x:v>46690</x:v>
      </x:c>
      <x:c r="B5947" s="5" t="d">
        <x:v>2016-11-12T00:00:00.000Z</x:v>
      </x:c>
      <x:c r="C5947" s="1" t="str">
        <x:v>Standard Class</x:v>
      </x:c>
      <x:c r="D5947" s="1" t="str">
        <x:v>Africa</x:v>
      </x:c>
      <x:c r="E5947" s="1" t="str">
        <x:v>COMPLETE</x:v>
      </x:c>
      <x:c r="F5947" s="1" t="str">
        <x:v>Late delivery</x:v>
      </x:c>
      <x:c r="G5947" s="6" t="n">
        <x:v>6</x:v>
      </x:c>
      <x:c r="H5947" s="6" t="n">
        <x:v>4</x:v>
      </x:c>
      <x:c r="I5947" s="6" t="n">
        <x:f>G5947-H5947</x:f>
        <x:v>2</x:v>
      </x:c>
      <x:c r="J5947" s="6" t="n">
        <x:f>IF(OR(E5947="CANCELED",E5947="SUSPECTED_FRAUD",F5947="Shipping canceled"),0,1)</x:f>
        <x:v>1</x:v>
      </x:c>
      <x:c r="K5947" s="6" t="n">
        <x:f>IF(G5947&gt;H5947,1,0)</x:f>
        <x:v>1</x:v>
      </x:c>
      <x:c r="L5947" s="6" t="n">
        <x:f>J5947*K5947</x:f>
        <x:v>1</x:v>
      </x:c>
    </x:row>
    <x:row r="5948">
      <x:c r="A5948" s="1" t="n">
        <x:v>46701</x:v>
      </x:c>
      <x:c r="B5948" s="5" t="d">
        <x:v>2016-11-12T00:00:00.000Z</x:v>
      </x:c>
      <x:c r="C5948" s="1" t="str">
        <x:v>Standard Class</x:v>
      </x:c>
      <x:c r="D5948" s="1" t="str">
        <x:v>Africa</x:v>
      </x:c>
      <x:c r="E5948" s="1" t="str">
        <x:v>PENDING</x:v>
      </x:c>
      <x:c r="F5948" s="1" t="str">
        <x:v>Advance shipping</x:v>
      </x:c>
      <x:c r="G5948" s="6" t="n">
        <x:v>2</x:v>
      </x:c>
      <x:c r="H5948" s="6" t="n">
        <x:v>4</x:v>
      </x:c>
      <x:c r="I5948" s="6" t="n">
        <x:f>G5948-H5948</x:f>
        <x:v>-2</x:v>
      </x:c>
      <x:c r="J5948" s="6" t="n">
        <x:f>IF(OR(E5948="CANCELED",E5948="SUSPECTED_FRAUD",F5948="Shipping canceled"),0,1)</x:f>
        <x:v>1</x:v>
      </x:c>
      <x:c r="K5948" s="6" t="n">
        <x:f>IF(G5948&gt;H5948,1,0)</x:f>
        <x:v>0</x:v>
      </x:c>
      <x:c r="L5948" s="6" t="n">
        <x:f>J5948*K5948</x:f>
        <x:v>0</x:v>
      </x:c>
    </x:row>
    <x:row r="5949">
      <x:c r="A5949" s="1" t="n">
        <x:v>46708</x:v>
      </x:c>
      <x:c r="B5949" s="5" t="d">
        <x:v>2016-11-12T00:00:00.000Z</x:v>
      </x:c>
      <x:c r="C5949" s="1" t="str">
        <x:v>Standard Class</x:v>
      </x:c>
      <x:c r="D5949" s="1" t="str">
        <x:v>Africa</x:v>
      </x:c>
      <x:c r="E5949" s="1" t="str">
        <x:v>PENDING</x:v>
      </x:c>
      <x:c r="F5949" s="1" t="str">
        <x:v>Shipping on time</x:v>
      </x:c>
      <x:c r="G5949" s="6" t="n">
        <x:v>4</x:v>
      </x:c>
      <x:c r="H5949" s="6" t="n">
        <x:v>4</x:v>
      </x:c>
      <x:c r="I5949" s="6" t="n">
        <x:f>G5949-H5949</x:f>
        <x:v>0</x:v>
      </x:c>
      <x:c r="J5949" s="6" t="n">
        <x:f>IF(OR(E5949="CANCELED",E5949="SUSPECTED_FRAUD",F5949="Shipping canceled"),0,1)</x:f>
        <x:v>1</x:v>
      </x:c>
      <x:c r="K5949" s="6" t="n">
        <x:f>IF(G5949&gt;H5949,1,0)</x:f>
        <x:v>0</x:v>
      </x:c>
      <x:c r="L5949" s="6" t="n">
        <x:f>J5949*K5949</x:f>
        <x:v>0</x:v>
      </x:c>
    </x:row>
    <x:row r="5950">
      <x:c r="A5950" s="1" t="n">
        <x:v>46712</x:v>
      </x:c>
      <x:c r="B5950" s="5" t="d">
        <x:v>2016-11-12T00:00:00.000Z</x:v>
      </x:c>
      <x:c r="C5950" s="1" t="str">
        <x:v>Standard Class</x:v>
      </x:c>
      <x:c r="D5950" s="1" t="str">
        <x:v>Africa</x:v>
      </x:c>
      <x:c r="E5950" s="1" t="str">
        <x:v>COMPLETE</x:v>
      </x:c>
      <x:c r="F5950" s="1" t="str">
        <x:v>Advance shipping</x:v>
      </x:c>
      <x:c r="G5950" s="6" t="n">
        <x:v>3</x:v>
      </x:c>
      <x:c r="H5950" s="6" t="n">
        <x:v>4</x:v>
      </x:c>
      <x:c r="I5950" s="6" t="n">
        <x:f>G5950-H5950</x:f>
        <x:v>-1</x:v>
      </x:c>
      <x:c r="J5950" s="6" t="n">
        <x:f>IF(OR(E5950="CANCELED",E5950="SUSPECTED_FRAUD",F5950="Shipping canceled"),0,1)</x:f>
        <x:v>1</x:v>
      </x:c>
      <x:c r="K5950" s="6" t="n">
        <x:f>IF(G5950&gt;H5950,1,0)</x:f>
        <x:v>0</x:v>
      </x:c>
      <x:c r="L5950" s="6" t="n">
        <x:f>J5950*K5950</x:f>
        <x:v>0</x:v>
      </x:c>
    </x:row>
    <x:row r="5951">
      <x:c r="A5951" s="1" t="n">
        <x:v>46725</x:v>
      </x:c>
      <x:c r="B5951" s="5" t="d">
        <x:v>2016-11-13T00:00:00.000Z</x:v>
      </x:c>
      <x:c r="C5951" s="1" t="str">
        <x:v>Standard Class</x:v>
      </x:c>
      <x:c r="D5951" s="1" t="str">
        <x:v>Africa</x:v>
      </x:c>
      <x:c r="E5951" s="1" t="str">
        <x:v>PENDING_PAYMENT</x:v>
      </x:c>
      <x:c r="F5951" s="1" t="str">
        <x:v>Late delivery</x:v>
      </x:c>
      <x:c r="G5951" s="6" t="n">
        <x:v>6</x:v>
      </x:c>
      <x:c r="H5951" s="6" t="n">
        <x:v>4</x:v>
      </x:c>
      <x:c r="I5951" s="6" t="n">
        <x:f>G5951-H5951</x:f>
        <x:v>2</x:v>
      </x:c>
      <x:c r="J5951" s="6" t="n">
        <x:f>IF(OR(E5951="CANCELED",E5951="SUSPECTED_FRAUD",F5951="Shipping canceled"),0,1)</x:f>
        <x:v>1</x:v>
      </x:c>
      <x:c r="K5951" s="6" t="n">
        <x:f>IF(G5951&gt;H5951,1,0)</x:f>
        <x:v>1</x:v>
      </x:c>
      <x:c r="L5951" s="6" t="n">
        <x:f>J5951*K5951</x:f>
        <x:v>1</x:v>
      </x:c>
    </x:row>
    <x:row r="5952">
      <x:c r="A5952" s="1" t="n">
        <x:v>46727</x:v>
      </x:c>
      <x:c r="B5952" s="5" t="d">
        <x:v>2016-11-13T00:00:00.000Z</x:v>
      </x:c>
      <x:c r="C5952" s="1" t="str">
        <x:v>Standard Class</x:v>
      </x:c>
      <x:c r="D5952" s="1" t="str">
        <x:v>Africa</x:v>
      </x:c>
      <x:c r="E5952" s="1" t="str">
        <x:v>COMPLETE</x:v>
      </x:c>
      <x:c r="F5952" s="1" t="str">
        <x:v>Advance shipping</x:v>
      </x:c>
      <x:c r="G5952" s="6" t="n">
        <x:v>3</x:v>
      </x:c>
      <x:c r="H5952" s="6" t="n">
        <x:v>4</x:v>
      </x:c>
      <x:c r="I5952" s="6" t="n">
        <x:f>G5952-H5952</x:f>
        <x:v>-1</x:v>
      </x:c>
      <x:c r="J5952" s="6" t="n">
        <x:f>IF(OR(E5952="CANCELED",E5952="SUSPECTED_FRAUD",F5952="Shipping canceled"),0,1)</x:f>
        <x:v>1</x:v>
      </x:c>
      <x:c r="K5952" s="6" t="n">
        <x:f>IF(G5952&gt;H5952,1,0)</x:f>
        <x:v>0</x:v>
      </x:c>
      <x:c r="L5952" s="6" t="n">
        <x:f>J5952*K5952</x:f>
        <x:v>0</x:v>
      </x:c>
    </x:row>
    <x:row r="5953">
      <x:c r="A5953" s="1" t="n">
        <x:v>46738</x:v>
      </x:c>
      <x:c r="B5953" s="5" t="d">
        <x:v>2016-11-13T00:00:00.000Z</x:v>
      </x:c>
      <x:c r="C5953" s="1" t="str">
        <x:v>Standard Class</x:v>
      </x:c>
      <x:c r="D5953" s="1" t="str">
        <x:v>Europe</x:v>
      </x:c>
      <x:c r="E5953" s="1" t="str">
        <x:v>COMPLETE</x:v>
      </x:c>
      <x:c r="F5953" s="1" t="str">
        <x:v>Shipping on time</x:v>
      </x:c>
      <x:c r="G5953" s="6" t="n">
        <x:v>4</x:v>
      </x:c>
      <x:c r="H5953" s="6" t="n">
        <x:v>4</x:v>
      </x:c>
      <x:c r="I5953" s="6" t="n">
        <x:f>G5953-H5953</x:f>
        <x:v>0</x:v>
      </x:c>
      <x:c r="J5953" s="6" t="n">
        <x:f>IF(OR(E5953="CANCELED",E5953="SUSPECTED_FRAUD",F5953="Shipping canceled"),0,1)</x:f>
        <x:v>1</x:v>
      </x:c>
      <x:c r="K5953" s="6" t="n">
        <x:f>IF(G5953&gt;H5953,1,0)</x:f>
        <x:v>0</x:v>
      </x:c>
      <x:c r="L5953" s="6" t="n">
        <x:f>J5953*K5953</x:f>
        <x:v>0</x:v>
      </x:c>
    </x:row>
    <x:row r="5954">
      <x:c r="A5954" s="1" t="n">
        <x:v>46744</x:v>
      </x:c>
      <x:c r="B5954" s="5" t="d">
        <x:v>2016-11-13T00:00:00.000Z</x:v>
      </x:c>
      <x:c r="C5954" s="1" t="str">
        <x:v>Standard Class</x:v>
      </x:c>
      <x:c r="D5954" s="1" t="str">
        <x:v>USCA</x:v>
      </x:c>
      <x:c r="E5954" s="1" t="str">
        <x:v>PROCESSING</x:v>
      </x:c>
      <x:c r="F5954" s="1" t="str">
        <x:v>Late delivery</x:v>
      </x:c>
      <x:c r="G5954" s="6" t="n">
        <x:v>5</x:v>
      </x:c>
      <x:c r="H5954" s="6" t="n">
        <x:v>4</x:v>
      </x:c>
      <x:c r="I5954" s="6" t="n">
        <x:f>G5954-H5954</x:f>
        <x:v>1</x:v>
      </x:c>
      <x:c r="J5954" s="6" t="n">
        <x:f>IF(OR(E5954="CANCELED",E5954="SUSPECTED_FRAUD",F5954="Shipping canceled"),0,1)</x:f>
        <x:v>1</x:v>
      </x:c>
      <x:c r="K5954" s="6" t="n">
        <x:f>IF(G5954&gt;H5954,1,0)</x:f>
        <x:v>1</x:v>
      </x:c>
      <x:c r="L5954" s="6" t="n">
        <x:f>J5954*K5954</x:f>
        <x:v>1</x:v>
      </x:c>
    </x:row>
    <x:row r="5955">
      <x:c r="A5955" s="1" t="n">
        <x:v>46745</x:v>
      </x:c>
      <x:c r="B5955" s="5" t="d">
        <x:v>2016-11-13T00:00:00.000Z</x:v>
      </x:c>
      <x:c r="C5955" s="1" t="str">
        <x:v>Standard Class</x:v>
      </x:c>
      <x:c r="D5955" s="1" t="str">
        <x:v>Africa</x:v>
      </x:c>
      <x:c r="E5955" s="1" t="str">
        <x:v>PAYMENT_REVIEW</x:v>
      </x:c>
      <x:c r="F5955" s="1" t="str">
        <x:v>Late delivery</x:v>
      </x:c>
      <x:c r="G5955" s="6" t="n">
        <x:v>6</x:v>
      </x:c>
      <x:c r="H5955" s="6" t="n">
        <x:v>4</x:v>
      </x:c>
      <x:c r="I5955" s="6" t="n">
        <x:f>G5955-H5955</x:f>
        <x:v>2</x:v>
      </x:c>
      <x:c r="J5955" s="6" t="n">
        <x:f>IF(OR(E5955="CANCELED",E5955="SUSPECTED_FRAUD",F5955="Shipping canceled"),0,1)</x:f>
        <x:v>1</x:v>
      </x:c>
      <x:c r="K5955" s="6" t="n">
        <x:f>IF(G5955&gt;H5955,1,0)</x:f>
        <x:v>1</x:v>
      </x:c>
      <x:c r="L5955" s="6" t="n">
        <x:f>J5955*K5955</x:f>
        <x:v>1</x:v>
      </x:c>
    </x:row>
    <x:row r="5956">
      <x:c r="A5956" s="1" t="n">
        <x:v>46749</x:v>
      </x:c>
      <x:c r="B5956" s="5" t="d">
        <x:v>2016-11-13T00:00:00.000Z</x:v>
      </x:c>
      <x:c r="C5956" s="1" t="str">
        <x:v>Standard Class</x:v>
      </x:c>
      <x:c r="D5956" s="1" t="str">
        <x:v>Pacific Asia</x:v>
      </x:c>
      <x:c r="E5956" s="1" t="str">
        <x:v>PENDING</x:v>
      </x:c>
      <x:c r="F5956" s="1" t="str">
        <x:v>Late delivery</x:v>
      </x:c>
      <x:c r="G5956" s="6" t="n">
        <x:v>5</x:v>
      </x:c>
      <x:c r="H5956" s="6" t="n">
        <x:v>4</x:v>
      </x:c>
      <x:c r="I5956" s="6" t="n">
        <x:f>G5956-H5956</x:f>
        <x:v>1</x:v>
      </x:c>
      <x:c r="J5956" s="6" t="n">
        <x:f>IF(OR(E5956="CANCELED",E5956="SUSPECTED_FRAUD",F5956="Shipping canceled"),0,1)</x:f>
        <x:v>1</x:v>
      </x:c>
      <x:c r="K5956" s="6" t="n">
        <x:f>IF(G5956&gt;H5956,1,0)</x:f>
        <x:v>1</x:v>
      </x:c>
      <x:c r="L5956" s="6" t="n">
        <x:f>J5956*K5956</x:f>
        <x:v>1</x:v>
      </x:c>
    </x:row>
    <x:row r="5957">
      <x:c r="A5957" s="1" t="n">
        <x:v>46759</x:v>
      </x:c>
      <x:c r="B5957" s="5" t="d">
        <x:v>2016-11-13T00:00:00.000Z</x:v>
      </x:c>
      <x:c r="C5957" s="1" t="str">
        <x:v>Second Class</x:v>
      </x:c>
      <x:c r="D5957" s="1" t="str">
        <x:v>Pacific Asia</x:v>
      </x:c>
      <x:c r="E5957" s="1" t="str">
        <x:v>PROCESSING</x:v>
      </x:c>
      <x:c r="F5957" s="1" t="str">
        <x:v>Late delivery</x:v>
      </x:c>
      <x:c r="G5957" s="6" t="n">
        <x:v>5</x:v>
      </x:c>
      <x:c r="H5957" s="6" t="n">
        <x:v>2</x:v>
      </x:c>
      <x:c r="I5957" s="6" t="n">
        <x:f>G5957-H5957</x:f>
        <x:v>3</x:v>
      </x:c>
      <x:c r="J5957" s="6" t="n">
        <x:f>IF(OR(E5957="CANCELED",E5957="SUSPECTED_FRAUD",F5957="Shipping canceled"),0,1)</x:f>
        <x:v>1</x:v>
      </x:c>
      <x:c r="K5957" s="6" t="n">
        <x:f>IF(G5957&gt;H5957,1,0)</x:f>
        <x:v>1</x:v>
      </x:c>
      <x:c r="L5957" s="6" t="n">
        <x:f>J5957*K5957</x:f>
        <x:v>1</x:v>
      </x:c>
    </x:row>
    <x:row r="5958">
      <x:c r="A5958" s="1" t="n">
        <x:v>46764</x:v>
      </x:c>
      <x:c r="B5958" s="5" t="d">
        <x:v>2016-11-13T00:00:00.000Z</x:v>
      </x:c>
      <x:c r="C5958" s="1" t="str">
        <x:v>Second Class</x:v>
      </x:c>
      <x:c r="D5958" s="1" t="str">
        <x:v>Pacific Asia</x:v>
      </x:c>
      <x:c r="E5958" s="1" t="str">
        <x:v>COMPLETE</x:v>
      </x:c>
      <x:c r="F5958" s="1" t="str">
        <x:v>Late delivery</x:v>
      </x:c>
      <x:c r="G5958" s="6" t="n">
        <x:v>5</x:v>
      </x:c>
      <x:c r="H5958" s="6" t="n">
        <x:v>2</x:v>
      </x:c>
      <x:c r="I5958" s="6" t="n">
        <x:f>G5958-H5958</x:f>
        <x:v>3</x:v>
      </x:c>
      <x:c r="J5958" s="6" t="n">
        <x:f>IF(OR(E5958="CANCELED",E5958="SUSPECTED_FRAUD",F5958="Shipping canceled"),0,1)</x:f>
        <x:v>1</x:v>
      </x:c>
      <x:c r="K5958" s="6" t="n">
        <x:f>IF(G5958&gt;H5958,1,0)</x:f>
        <x:v>1</x:v>
      </x:c>
      <x:c r="L5958" s="6" t="n">
        <x:f>J5958*K5958</x:f>
        <x:v>1</x:v>
      </x:c>
    </x:row>
    <x:row r="5959">
      <x:c r="A5959" s="1" t="n">
        <x:v>46768</x:v>
      </x:c>
      <x:c r="B5959" s="5" t="d">
        <x:v>2016-11-13T00:00:00.000Z</x:v>
      </x:c>
      <x:c r="C5959" s="1" t="str">
        <x:v>First Class</x:v>
      </x:c>
      <x:c r="D5959" s="1" t="str">
        <x:v>Pacific Asia</x:v>
      </x:c>
      <x:c r="E5959" s="1" t="str">
        <x:v>PROCESSING</x:v>
      </x:c>
      <x:c r="F5959" s="1" t="str">
        <x:v>Late delivery</x:v>
      </x:c>
      <x:c r="G5959" s="6" t="n">
        <x:v>2</x:v>
      </x:c>
      <x:c r="H5959" s="6" t="n">
        <x:v>1</x:v>
      </x:c>
      <x:c r="I5959" s="6" t="n">
        <x:f>G5959-H5959</x:f>
        <x:v>1</x:v>
      </x:c>
      <x:c r="J5959" s="6" t="n">
        <x:f>IF(OR(E5959="CANCELED",E5959="SUSPECTED_FRAUD",F5959="Shipping canceled"),0,1)</x:f>
        <x:v>1</x:v>
      </x:c>
      <x:c r="K5959" s="6" t="n">
        <x:f>IF(G5959&gt;H5959,1,0)</x:f>
        <x:v>1</x:v>
      </x:c>
      <x:c r="L5959" s="6" t="n">
        <x:f>J5959*K5959</x:f>
        <x:v>1</x:v>
      </x:c>
    </x:row>
    <x:row r="5960">
      <x:c r="A5960" s="1" t="n">
        <x:v>46773</x:v>
      </x:c>
      <x:c r="B5960" s="5" t="d">
        <x:v>2016-11-13T00:00:00.000Z</x:v>
      </x:c>
      <x:c r="C5960" s="1" t="str">
        <x:v>Standard Class</x:v>
      </x:c>
      <x:c r="D5960" s="1" t="str">
        <x:v>Africa</x:v>
      </x:c>
      <x:c r="E5960" s="1" t="str">
        <x:v>COMPLETE</x:v>
      </x:c>
      <x:c r="F5960" s="1" t="str">
        <x:v>Shipping on time</x:v>
      </x:c>
      <x:c r="G5960" s="6" t="n">
        <x:v>4</x:v>
      </x:c>
      <x:c r="H5960" s="6" t="n">
        <x:v>4</x:v>
      </x:c>
      <x:c r="I5960" s="6" t="n">
        <x:f>G5960-H5960</x:f>
        <x:v>0</x:v>
      </x:c>
      <x:c r="J5960" s="6" t="n">
        <x:f>IF(OR(E5960="CANCELED",E5960="SUSPECTED_FRAUD",F5960="Shipping canceled"),0,1)</x:f>
        <x:v>1</x:v>
      </x:c>
      <x:c r="K5960" s="6" t="n">
        <x:f>IF(G5960&gt;H5960,1,0)</x:f>
        <x:v>0</x:v>
      </x:c>
      <x:c r="L5960" s="6" t="n">
        <x:f>J5960*K5960</x:f>
        <x:v>0</x:v>
      </x:c>
    </x:row>
    <x:row r="5961">
      <x:c r="A5961" s="1" t="n">
        <x:v>46777</x:v>
      </x:c>
      <x:c r="B5961" s="5" t="d">
        <x:v>2016-11-13T00:00:00.000Z</x:v>
      </x:c>
      <x:c r="C5961" s="1" t="str">
        <x:v>Second Class</x:v>
      </x:c>
      <x:c r="D5961" s="1" t="str">
        <x:v>Africa</x:v>
      </x:c>
      <x:c r="E5961" s="1" t="str">
        <x:v>CLOSED</x:v>
      </x:c>
      <x:c r="F5961" s="1" t="str">
        <x:v>Late delivery</x:v>
      </x:c>
      <x:c r="G5961" s="6" t="n">
        <x:v>3</x:v>
      </x:c>
      <x:c r="H5961" s="6" t="n">
        <x:v>2</x:v>
      </x:c>
      <x:c r="I5961" s="6" t="n">
        <x:f>G5961-H5961</x:f>
        <x:v>1</x:v>
      </x:c>
      <x:c r="J5961" s="6" t="n">
        <x:f>IF(OR(E5961="CANCELED",E5961="SUSPECTED_FRAUD",F5961="Shipping canceled"),0,1)</x:f>
        <x:v>1</x:v>
      </x:c>
      <x:c r="K5961" s="6" t="n">
        <x:f>IF(G5961&gt;H5961,1,0)</x:f>
        <x:v>1</x:v>
      </x:c>
      <x:c r="L5961" s="6" t="n">
        <x:f>J5961*K5961</x:f>
        <x:v>1</x:v>
      </x:c>
    </x:row>
    <x:row r="5962">
      <x:c r="A5962" s="1" t="n">
        <x:v>46791</x:v>
      </x:c>
      <x:c r="B5962" s="5" t="d">
        <x:v>2016-11-14T00:00:00.000Z</x:v>
      </x:c>
      <x:c r="C5962" s="1" t="str">
        <x:v>Standard Class</x:v>
      </x:c>
      <x:c r="D5962" s="1" t="str">
        <x:v>Pacific Asia</x:v>
      </x:c>
      <x:c r="E5962" s="1" t="str">
        <x:v>PENDING</x:v>
      </x:c>
      <x:c r="F5962" s="1" t="str">
        <x:v>Advance shipping</x:v>
      </x:c>
      <x:c r="G5962" s="6" t="n">
        <x:v>2</x:v>
      </x:c>
      <x:c r="H5962" s="6" t="n">
        <x:v>4</x:v>
      </x:c>
      <x:c r="I5962" s="6" t="n">
        <x:f>G5962-H5962</x:f>
        <x:v>-2</x:v>
      </x:c>
      <x:c r="J5962" s="6" t="n">
        <x:f>IF(OR(E5962="CANCELED",E5962="SUSPECTED_FRAUD",F5962="Shipping canceled"),0,1)</x:f>
        <x:v>1</x:v>
      </x:c>
      <x:c r="K5962" s="6" t="n">
        <x:f>IF(G5962&gt;H5962,1,0)</x:f>
        <x:v>0</x:v>
      </x:c>
      <x:c r="L5962" s="6" t="n">
        <x:f>J5962*K5962</x:f>
        <x:v>0</x:v>
      </x:c>
    </x:row>
    <x:row r="5963">
      <x:c r="A5963" s="1" t="n">
        <x:v>46807</x:v>
      </x:c>
      <x:c r="B5963" s="5" t="d">
        <x:v>2016-11-14T00:00:00.000Z</x:v>
      </x:c>
      <x:c r="C5963" s="1" t="str">
        <x:v>Standard Class</x:v>
      </x:c>
      <x:c r="D5963" s="1" t="str">
        <x:v>Africa</x:v>
      </x:c>
      <x:c r="E5963" s="1" t="str">
        <x:v>COMPLETE</x:v>
      </x:c>
      <x:c r="F5963" s="1" t="str">
        <x:v>Advance shipping</x:v>
      </x:c>
      <x:c r="G5963" s="6" t="n">
        <x:v>3</x:v>
      </x:c>
      <x:c r="H5963" s="6" t="n">
        <x:v>4</x:v>
      </x:c>
      <x:c r="I5963" s="6" t="n">
        <x:f>G5963-H5963</x:f>
        <x:v>-1</x:v>
      </x:c>
      <x:c r="J5963" s="6" t="n">
        <x:f>IF(OR(E5963="CANCELED",E5963="SUSPECTED_FRAUD",F5963="Shipping canceled"),0,1)</x:f>
        <x:v>1</x:v>
      </x:c>
      <x:c r="K5963" s="6" t="n">
        <x:f>IF(G5963&gt;H5963,1,0)</x:f>
        <x:v>0</x:v>
      </x:c>
      <x:c r="L5963" s="6" t="n">
        <x:f>J5963*K5963</x:f>
        <x:v>0</x:v>
      </x:c>
    </x:row>
    <x:row r="5964">
      <x:c r="A5964" s="1" t="n">
        <x:v>46827</x:v>
      </x:c>
      <x:c r="B5964" s="5" t="d">
        <x:v>2016-11-14T00:00:00.000Z</x:v>
      </x:c>
      <x:c r="C5964" s="1" t="str">
        <x:v>Standard Class</x:v>
      </x:c>
      <x:c r="D5964" s="1" t="str">
        <x:v>Africa</x:v>
      </x:c>
      <x:c r="E5964" s="1" t="str">
        <x:v>PROCESSING</x:v>
      </x:c>
      <x:c r="F5964" s="1" t="str">
        <x:v>Advance shipping</x:v>
      </x:c>
      <x:c r="G5964" s="6" t="n">
        <x:v>3</x:v>
      </x:c>
      <x:c r="H5964" s="6" t="n">
        <x:v>4</x:v>
      </x:c>
      <x:c r="I5964" s="6" t="n">
        <x:f>G5964-H5964</x:f>
        <x:v>-1</x:v>
      </x:c>
      <x:c r="J5964" s="6" t="n">
        <x:f>IF(OR(E5964="CANCELED",E5964="SUSPECTED_FRAUD",F5964="Shipping canceled"),0,1)</x:f>
        <x:v>1</x:v>
      </x:c>
      <x:c r="K5964" s="6" t="n">
        <x:f>IF(G5964&gt;H5964,1,0)</x:f>
        <x:v>0</x:v>
      </x:c>
      <x:c r="L5964" s="6" t="n">
        <x:f>J5964*K5964</x:f>
        <x:v>0</x:v>
      </x:c>
    </x:row>
    <x:row r="5965">
      <x:c r="A5965" s="1" t="n">
        <x:v>46838</x:v>
      </x:c>
      <x:c r="B5965" s="5" t="d">
        <x:v>2016-11-14T00:00:00.000Z</x:v>
      </x:c>
      <x:c r="C5965" s="1" t="str">
        <x:v>Second Class</x:v>
      </x:c>
      <x:c r="D5965" s="1" t="str">
        <x:v>Europe</x:v>
      </x:c>
      <x:c r="E5965" s="1" t="str">
        <x:v>COMPLETE</x:v>
      </x:c>
      <x:c r="F5965" s="1" t="str">
        <x:v>Late delivery</x:v>
      </x:c>
      <x:c r="G5965" s="6" t="n">
        <x:v>4</x:v>
      </x:c>
      <x:c r="H5965" s="6" t="n">
        <x:v>2</x:v>
      </x:c>
      <x:c r="I5965" s="6" t="n">
        <x:f>G5965-H5965</x:f>
        <x:v>2</x:v>
      </x:c>
      <x:c r="J5965" s="6" t="n">
        <x:f>IF(OR(E5965="CANCELED",E5965="SUSPECTED_FRAUD",F5965="Shipping canceled"),0,1)</x:f>
        <x:v>1</x:v>
      </x:c>
      <x:c r="K5965" s="6" t="n">
        <x:f>IF(G5965&gt;H5965,1,0)</x:f>
        <x:v>1</x:v>
      </x:c>
      <x:c r="L5965" s="6" t="n">
        <x:f>J5965*K5965</x:f>
        <x:v>1</x:v>
      </x:c>
    </x:row>
    <x:row r="5966">
      <x:c r="A5966" s="1" t="n">
        <x:v>46846</x:v>
      </x:c>
      <x:c r="B5966" s="5" t="d">
        <x:v>2016-11-14T00:00:00.000Z</x:v>
      </x:c>
      <x:c r="C5966" s="1" t="str">
        <x:v>Standard Class</x:v>
      </x:c>
      <x:c r="D5966" s="1" t="str">
        <x:v>Africa</x:v>
      </x:c>
      <x:c r="E5966" s="1" t="str">
        <x:v>COMPLETE</x:v>
      </x:c>
      <x:c r="F5966" s="1" t="str">
        <x:v>Advance shipping</x:v>
      </x:c>
      <x:c r="G5966" s="6" t="n">
        <x:v>2</x:v>
      </x:c>
      <x:c r="H5966" s="6" t="n">
        <x:v>4</x:v>
      </x:c>
      <x:c r="I5966" s="6" t="n">
        <x:f>G5966-H5966</x:f>
        <x:v>-2</x:v>
      </x:c>
      <x:c r="J5966" s="6" t="n">
        <x:f>IF(OR(E5966="CANCELED",E5966="SUSPECTED_FRAUD",F5966="Shipping canceled"),0,1)</x:f>
        <x:v>1</x:v>
      </x:c>
      <x:c r="K5966" s="6" t="n">
        <x:f>IF(G5966&gt;H5966,1,0)</x:f>
        <x:v>0</x:v>
      </x:c>
      <x:c r="L5966" s="6" t="n">
        <x:f>J5966*K5966</x:f>
        <x:v>0</x:v>
      </x:c>
    </x:row>
    <x:row r="5967">
      <x:c r="A5967" s="1" t="n">
        <x:v>46851</x:v>
      </x:c>
      <x:c r="B5967" s="5" t="d">
        <x:v>2016-11-14T00:00:00.000Z</x:v>
      </x:c>
      <x:c r="C5967" s="1" t="str">
        <x:v>Second Class</x:v>
      </x:c>
      <x:c r="D5967" s="1" t="str">
        <x:v>Pacific Asia</x:v>
      </x:c>
      <x:c r="E5967" s="1" t="str">
        <x:v>ON_HOLD</x:v>
      </x:c>
      <x:c r="F5967" s="1" t="str">
        <x:v>Shipping on time</x:v>
      </x:c>
      <x:c r="G5967" s="6" t="n">
        <x:v>2</x:v>
      </x:c>
      <x:c r="H5967" s="6" t="n">
        <x:v>2</x:v>
      </x:c>
      <x:c r="I5967" s="6" t="n">
        <x:f>G5967-H5967</x:f>
        <x:v>0</x:v>
      </x:c>
      <x:c r="J5967" s="6" t="n">
        <x:f>IF(OR(E5967="CANCELED",E5967="SUSPECTED_FRAUD",F5967="Shipping canceled"),0,1)</x:f>
        <x:v>1</x:v>
      </x:c>
      <x:c r="K5967" s="6" t="n">
        <x:f>IF(G5967&gt;H5967,1,0)</x:f>
        <x:v>0</x:v>
      </x:c>
      <x:c r="L5967" s="6" t="n">
        <x:f>J5967*K5967</x:f>
        <x:v>0</x:v>
      </x:c>
    </x:row>
    <x:row r="5968">
      <x:c r="A5968" s="1" t="n">
        <x:v>46859</x:v>
      </x:c>
      <x:c r="B5968" s="5" t="d">
        <x:v>2016-11-15T00:00:00.000Z</x:v>
      </x:c>
      <x:c r="C5968" s="1" t="str">
        <x:v>Standard Class</x:v>
      </x:c>
      <x:c r="D5968" s="1" t="str">
        <x:v>Europe</x:v>
      </x:c>
      <x:c r="E5968" s="1" t="str">
        <x:v>COMPLETE</x:v>
      </x:c>
      <x:c r="F5968" s="1" t="str">
        <x:v>Late delivery</x:v>
      </x:c>
      <x:c r="G5968" s="6" t="n">
        <x:v>5</x:v>
      </x:c>
      <x:c r="H5968" s="6" t="n">
        <x:v>4</x:v>
      </x:c>
      <x:c r="I5968" s="6" t="n">
        <x:f>G5968-H5968</x:f>
        <x:v>1</x:v>
      </x:c>
      <x:c r="J5968" s="6" t="n">
        <x:f>IF(OR(E5968="CANCELED",E5968="SUSPECTED_FRAUD",F5968="Shipping canceled"),0,1)</x:f>
        <x:v>1</x:v>
      </x:c>
      <x:c r="K5968" s="6" t="n">
        <x:f>IF(G5968&gt;H5968,1,0)</x:f>
        <x:v>1</x:v>
      </x:c>
      <x:c r="L5968" s="6" t="n">
        <x:f>J5968*K5968</x:f>
        <x:v>1</x:v>
      </x:c>
    </x:row>
    <x:row r="5969">
      <x:c r="A5969" s="1" t="n">
        <x:v>46863</x:v>
      </x:c>
      <x:c r="B5969" s="5" t="d">
        <x:v>2016-11-15T00:00:00.000Z</x:v>
      </x:c>
      <x:c r="C5969" s="1" t="str">
        <x:v>Standard Class</x:v>
      </x:c>
      <x:c r="D5969" s="1" t="str">
        <x:v>Europe</x:v>
      </x:c>
      <x:c r="E5969" s="1" t="str">
        <x:v>PENDING</x:v>
      </x:c>
      <x:c r="F5969" s="1" t="str">
        <x:v>Shipping on time</x:v>
      </x:c>
      <x:c r="G5969" s="6" t="n">
        <x:v>4</x:v>
      </x:c>
      <x:c r="H5969" s="6" t="n">
        <x:v>4</x:v>
      </x:c>
      <x:c r="I5969" s="6" t="n">
        <x:f>G5969-H5969</x:f>
        <x:v>0</x:v>
      </x:c>
      <x:c r="J5969" s="6" t="n">
        <x:f>IF(OR(E5969="CANCELED",E5969="SUSPECTED_FRAUD",F5969="Shipping canceled"),0,1)</x:f>
        <x:v>1</x:v>
      </x:c>
      <x:c r="K5969" s="6" t="n">
        <x:f>IF(G5969&gt;H5969,1,0)</x:f>
        <x:v>0</x:v>
      </x:c>
      <x:c r="L5969" s="6" t="n">
        <x:f>J5969*K5969</x:f>
        <x:v>0</x:v>
      </x:c>
    </x:row>
    <x:row r="5970">
      <x:c r="A5970" s="1" t="n">
        <x:v>46864</x:v>
      </x:c>
      <x:c r="B5970" s="5" t="d">
        <x:v>2016-11-15T00:00:00.000Z</x:v>
      </x:c>
      <x:c r="C5970" s="1" t="str">
        <x:v>Standard Class</x:v>
      </x:c>
      <x:c r="D5970" s="1" t="str">
        <x:v>Europe</x:v>
      </x:c>
      <x:c r="E5970" s="1" t="str">
        <x:v>CANCELED</x:v>
      </x:c>
      <x:c r="F5970" s="1" t="str">
        <x:v>Shipping canceled</x:v>
      </x:c>
      <x:c r="G5970" s="6" t="n">
        <x:v>5</x:v>
      </x:c>
      <x:c r="H5970" s="6" t="n">
        <x:v>4</x:v>
      </x:c>
      <x:c r="I5970" s="6" t="n">
        <x:f>G5970-H5970</x:f>
        <x:v>1</x:v>
      </x:c>
      <x:c r="J5970" s="6" t="n">
        <x:f>IF(OR(E5970="CANCELED",E5970="SUSPECTED_FRAUD",F5970="Shipping canceled"),0,1)</x:f>
        <x:v>0</x:v>
      </x:c>
      <x:c r="K5970" s="6" t="n">
        <x:f>IF(G5970&gt;H5970,1,0)</x:f>
        <x:v>1</x:v>
      </x:c>
      <x:c r="L5970" s="6" t="n">
        <x:f>J5970*K5970</x:f>
        <x:v>0</x:v>
      </x:c>
    </x:row>
    <x:row r="5971">
      <x:c r="A5971" s="1" t="n">
        <x:v>46870</x:v>
      </x:c>
      <x:c r="B5971" s="5" t="d">
        <x:v>2016-11-15T00:00:00.000Z</x:v>
      </x:c>
      <x:c r="C5971" s="1" t="str">
        <x:v>Standard Class</x:v>
      </x:c>
      <x:c r="D5971" s="1" t="str">
        <x:v>Africa</x:v>
      </x:c>
      <x:c r="E5971" s="1" t="str">
        <x:v>PROCESSING</x:v>
      </x:c>
      <x:c r="F5971" s="1" t="str">
        <x:v>Late delivery</x:v>
      </x:c>
      <x:c r="G5971" s="6" t="n">
        <x:v>6</x:v>
      </x:c>
      <x:c r="H5971" s="6" t="n">
        <x:v>4</x:v>
      </x:c>
      <x:c r="I5971" s="6" t="n">
        <x:f>G5971-H5971</x:f>
        <x:v>2</x:v>
      </x:c>
      <x:c r="J5971" s="6" t="n">
        <x:f>IF(OR(E5971="CANCELED",E5971="SUSPECTED_FRAUD",F5971="Shipping canceled"),0,1)</x:f>
        <x:v>1</x:v>
      </x:c>
      <x:c r="K5971" s="6" t="n">
        <x:f>IF(G5971&gt;H5971,1,0)</x:f>
        <x:v>1</x:v>
      </x:c>
      <x:c r="L5971" s="6" t="n">
        <x:f>J5971*K5971</x:f>
        <x:v>1</x:v>
      </x:c>
    </x:row>
    <x:row r="5972">
      <x:c r="A5972" s="1" t="n">
        <x:v>46882</x:v>
      </x:c>
      <x:c r="B5972" s="5" t="d">
        <x:v>2016-11-15T00:00:00.000Z</x:v>
      </x:c>
      <x:c r="C5972" s="1" t="str">
        <x:v>Standard Class</x:v>
      </x:c>
      <x:c r="D5972" s="1" t="str">
        <x:v>Pacific Asia</x:v>
      </x:c>
      <x:c r="E5972" s="1" t="str">
        <x:v>COMPLETE</x:v>
      </x:c>
      <x:c r="F5972" s="1" t="str">
        <x:v>Advance shipping</x:v>
      </x:c>
      <x:c r="G5972" s="6" t="n">
        <x:v>3</x:v>
      </x:c>
      <x:c r="H5972" s="6" t="n">
        <x:v>4</x:v>
      </x:c>
      <x:c r="I5972" s="6" t="n">
        <x:f>G5972-H5972</x:f>
        <x:v>-1</x:v>
      </x:c>
      <x:c r="J5972" s="6" t="n">
        <x:f>IF(OR(E5972="CANCELED",E5972="SUSPECTED_FRAUD",F5972="Shipping canceled"),0,1)</x:f>
        <x:v>1</x:v>
      </x:c>
      <x:c r="K5972" s="6" t="n">
        <x:f>IF(G5972&gt;H5972,1,0)</x:f>
        <x:v>0</x:v>
      </x:c>
      <x:c r="L5972" s="6" t="n">
        <x:f>J5972*K5972</x:f>
        <x:v>0</x:v>
      </x:c>
    </x:row>
    <x:row r="5973">
      <x:c r="A5973" s="1" t="n">
        <x:v>46885</x:v>
      </x:c>
      <x:c r="B5973" s="5" t="d">
        <x:v>2016-11-15T00:00:00.000Z</x:v>
      </x:c>
      <x:c r="C5973" s="1" t="str">
        <x:v>Standard Class</x:v>
      </x:c>
      <x:c r="D5973" s="1" t="str">
        <x:v>Africa</x:v>
      </x:c>
      <x:c r="E5973" s="1" t="str">
        <x:v>COMPLETE</x:v>
      </x:c>
      <x:c r="F5973" s="1" t="str">
        <x:v>Late delivery</x:v>
      </x:c>
      <x:c r="G5973" s="6" t="n">
        <x:v>6</x:v>
      </x:c>
      <x:c r="H5973" s="6" t="n">
        <x:v>4</x:v>
      </x:c>
      <x:c r="I5973" s="6" t="n">
        <x:f>G5973-H5973</x:f>
        <x:v>2</x:v>
      </x:c>
      <x:c r="J5973" s="6" t="n">
        <x:f>IF(OR(E5973="CANCELED",E5973="SUSPECTED_FRAUD",F5973="Shipping canceled"),0,1)</x:f>
        <x:v>1</x:v>
      </x:c>
      <x:c r="K5973" s="6" t="n">
        <x:f>IF(G5973&gt;H5973,1,0)</x:f>
        <x:v>1</x:v>
      </x:c>
      <x:c r="L5973" s="6" t="n">
        <x:f>J5973*K5973</x:f>
        <x:v>1</x:v>
      </x:c>
    </x:row>
    <x:row r="5974">
      <x:c r="A5974" s="1" t="n">
        <x:v>46887</x:v>
      </x:c>
      <x:c r="B5974" s="5" t="d">
        <x:v>2016-11-15T00:00:00.000Z</x:v>
      </x:c>
      <x:c r="C5974" s="1" t="str">
        <x:v>Second Class</x:v>
      </x:c>
      <x:c r="D5974" s="1" t="str">
        <x:v>Africa</x:v>
      </x:c>
      <x:c r="E5974" s="1" t="str">
        <x:v>COMPLETE</x:v>
      </x:c>
      <x:c r="F5974" s="1" t="str">
        <x:v>Late delivery</x:v>
      </x:c>
      <x:c r="G5974" s="6" t="n">
        <x:v>3</x:v>
      </x:c>
      <x:c r="H5974" s="6" t="n">
        <x:v>2</x:v>
      </x:c>
      <x:c r="I5974" s="6" t="n">
        <x:f>G5974-H5974</x:f>
        <x:v>1</x:v>
      </x:c>
      <x:c r="J5974" s="6" t="n">
        <x:f>IF(OR(E5974="CANCELED",E5974="SUSPECTED_FRAUD",F5974="Shipping canceled"),0,1)</x:f>
        <x:v>1</x:v>
      </x:c>
      <x:c r="K5974" s="6" t="n">
        <x:f>IF(G5974&gt;H5974,1,0)</x:f>
        <x:v>1</x:v>
      </x:c>
      <x:c r="L5974" s="6" t="n">
        <x:f>J5974*K5974</x:f>
        <x:v>1</x:v>
      </x:c>
    </x:row>
    <x:row r="5975">
      <x:c r="A5975" s="1" t="n">
        <x:v>46891</x:v>
      </x:c>
      <x:c r="B5975" s="5" t="d">
        <x:v>2016-11-15T00:00:00.000Z</x:v>
      </x:c>
      <x:c r="C5975" s="1" t="str">
        <x:v>Standard Class</x:v>
      </x:c>
      <x:c r="D5975" s="1" t="str">
        <x:v>Europe</x:v>
      </x:c>
      <x:c r="E5975" s="1" t="str">
        <x:v>COMPLETE</x:v>
      </x:c>
      <x:c r="F5975" s="1" t="str">
        <x:v>Advance shipping</x:v>
      </x:c>
      <x:c r="G5975" s="6" t="n">
        <x:v>2</x:v>
      </x:c>
      <x:c r="H5975" s="6" t="n">
        <x:v>4</x:v>
      </x:c>
      <x:c r="I5975" s="6" t="n">
        <x:f>G5975-H5975</x:f>
        <x:v>-2</x:v>
      </x:c>
      <x:c r="J5975" s="6" t="n">
        <x:f>IF(OR(E5975="CANCELED",E5975="SUSPECTED_FRAUD",F5975="Shipping canceled"),0,1)</x:f>
        <x:v>1</x:v>
      </x:c>
      <x:c r="K5975" s="6" t="n">
        <x:f>IF(G5975&gt;H5975,1,0)</x:f>
        <x:v>0</x:v>
      </x:c>
      <x:c r="L5975" s="6" t="n">
        <x:f>J5975*K5975</x:f>
        <x:v>0</x:v>
      </x:c>
    </x:row>
    <x:row r="5976">
      <x:c r="A5976" s="1" t="n">
        <x:v>46899</x:v>
      </x:c>
      <x:c r="B5976" s="5" t="d">
        <x:v>2016-11-15T00:00:00.000Z</x:v>
      </x:c>
      <x:c r="C5976" s="1" t="str">
        <x:v>Standard Class</x:v>
      </x:c>
      <x:c r="D5976" s="1" t="str">
        <x:v>Pacific Asia</x:v>
      </x:c>
      <x:c r="E5976" s="1" t="str">
        <x:v>CANCELED</x:v>
      </x:c>
      <x:c r="F5976" s="1" t="str">
        <x:v>Shipping canceled</x:v>
      </x:c>
      <x:c r="G5976" s="6" t="n">
        <x:v>5</x:v>
      </x:c>
      <x:c r="H5976" s="6" t="n">
        <x:v>4</x:v>
      </x:c>
      <x:c r="I5976" s="6" t="n">
        <x:f>G5976-H5976</x:f>
        <x:v>1</x:v>
      </x:c>
      <x:c r="J5976" s="6" t="n">
        <x:f>IF(OR(E5976="CANCELED",E5976="SUSPECTED_FRAUD",F5976="Shipping canceled"),0,1)</x:f>
        <x:v>0</x:v>
      </x:c>
      <x:c r="K5976" s="6" t="n">
        <x:f>IF(G5976&gt;H5976,1,0)</x:f>
        <x:v>1</x:v>
      </x:c>
      <x:c r="L5976" s="6" t="n">
        <x:f>J5976*K5976</x:f>
        <x:v>0</x:v>
      </x:c>
    </x:row>
    <x:row r="5977">
      <x:c r="A5977" s="1" t="n">
        <x:v>46903</x:v>
      </x:c>
      <x:c r="B5977" s="5" t="d">
        <x:v>2016-11-15T00:00:00.000Z</x:v>
      </x:c>
      <x:c r="C5977" s="1" t="str">
        <x:v>Standard Class</x:v>
      </x:c>
      <x:c r="D5977" s="1" t="str">
        <x:v>Pacific Asia</x:v>
      </x:c>
      <x:c r="E5977" s="1" t="str">
        <x:v>COMPLETE</x:v>
      </x:c>
      <x:c r="F5977" s="1" t="str">
        <x:v>Shipping on time</x:v>
      </x:c>
      <x:c r="G5977" s="6" t="n">
        <x:v>4</x:v>
      </x:c>
      <x:c r="H5977" s="6" t="n">
        <x:v>4</x:v>
      </x:c>
      <x:c r="I5977" s="6" t="n">
        <x:f>G5977-H5977</x:f>
        <x:v>0</x:v>
      </x:c>
      <x:c r="J5977" s="6" t="n">
        <x:f>IF(OR(E5977="CANCELED",E5977="SUSPECTED_FRAUD",F5977="Shipping canceled"),0,1)</x:f>
        <x:v>1</x:v>
      </x:c>
      <x:c r="K5977" s="6" t="n">
        <x:f>IF(G5977&gt;H5977,1,0)</x:f>
        <x:v>0</x:v>
      </x:c>
      <x:c r="L5977" s="6" t="n">
        <x:f>J5977*K5977</x:f>
        <x:v>0</x:v>
      </x:c>
    </x:row>
    <x:row r="5978">
      <x:c r="A5978" s="1" t="n">
        <x:v>46906</x:v>
      </x:c>
      <x:c r="B5978" s="5" t="d">
        <x:v>2016-11-15T00:00:00.000Z</x:v>
      </x:c>
      <x:c r="C5978" s="1" t="str">
        <x:v>Standard Class</x:v>
      </x:c>
      <x:c r="D5978" s="1" t="str">
        <x:v>Pacific Asia</x:v>
      </x:c>
      <x:c r="E5978" s="1" t="str">
        <x:v>COMPLETE</x:v>
      </x:c>
      <x:c r="F5978" s="1" t="str">
        <x:v>Advance shipping</x:v>
      </x:c>
      <x:c r="G5978" s="6" t="n">
        <x:v>2</x:v>
      </x:c>
      <x:c r="H5978" s="6" t="n">
        <x:v>4</x:v>
      </x:c>
      <x:c r="I5978" s="6" t="n">
        <x:f>G5978-H5978</x:f>
        <x:v>-2</x:v>
      </x:c>
      <x:c r="J5978" s="6" t="n">
        <x:f>IF(OR(E5978="CANCELED",E5978="SUSPECTED_FRAUD",F5978="Shipping canceled"),0,1)</x:f>
        <x:v>1</x:v>
      </x:c>
      <x:c r="K5978" s="6" t="n">
        <x:f>IF(G5978&gt;H5978,1,0)</x:f>
        <x:v>0</x:v>
      </x:c>
      <x:c r="L5978" s="6" t="n">
        <x:f>J5978*K5978</x:f>
        <x:v>0</x:v>
      </x:c>
    </x:row>
    <x:row r="5979">
      <x:c r="A5979" s="1" t="n">
        <x:v>46907</x:v>
      </x:c>
      <x:c r="B5979" s="5" t="d">
        <x:v>2016-11-15T00:00:00.000Z</x:v>
      </x:c>
      <x:c r="C5979" s="1" t="str">
        <x:v>Standard Class</x:v>
      </x:c>
      <x:c r="D5979" s="1" t="str">
        <x:v>Africa</x:v>
      </x:c>
      <x:c r="E5979" s="1" t="str">
        <x:v>PENDING_PAYMENT</x:v>
      </x:c>
      <x:c r="F5979" s="1" t="str">
        <x:v>Advance shipping</x:v>
      </x:c>
      <x:c r="G5979" s="6" t="n">
        <x:v>3</x:v>
      </x:c>
      <x:c r="H5979" s="6" t="n">
        <x:v>4</x:v>
      </x:c>
      <x:c r="I5979" s="6" t="n">
        <x:f>G5979-H5979</x:f>
        <x:v>-1</x:v>
      </x:c>
      <x:c r="J5979" s="6" t="n">
        <x:f>IF(OR(E5979="CANCELED",E5979="SUSPECTED_FRAUD",F5979="Shipping canceled"),0,1)</x:f>
        <x:v>1</x:v>
      </x:c>
      <x:c r="K5979" s="6" t="n">
        <x:f>IF(G5979&gt;H5979,1,0)</x:f>
        <x:v>0</x:v>
      </x:c>
      <x:c r="L5979" s="6" t="n">
        <x:f>J5979*K5979</x:f>
        <x:v>0</x:v>
      </x:c>
    </x:row>
    <x:row r="5980">
      <x:c r="A5980" s="1" t="n">
        <x:v>46908</x:v>
      </x:c>
      <x:c r="B5980" s="5" t="d">
        <x:v>2016-11-15T00:00:00.000Z</x:v>
      </x:c>
      <x:c r="C5980" s="1" t="str">
        <x:v>Standard Class</x:v>
      </x:c>
      <x:c r="D5980" s="1" t="str">
        <x:v>Africa</x:v>
      </x:c>
      <x:c r="E5980" s="1" t="str">
        <x:v>CLOSED</x:v>
      </x:c>
      <x:c r="F5980" s="1" t="str">
        <x:v>Shipping on time</x:v>
      </x:c>
      <x:c r="G5980" s="6" t="n">
        <x:v>4</x:v>
      </x:c>
      <x:c r="H5980" s="6" t="n">
        <x:v>4</x:v>
      </x:c>
      <x:c r="I5980" s="6" t="n">
        <x:f>G5980-H5980</x:f>
        <x:v>0</x:v>
      </x:c>
      <x:c r="J5980" s="6" t="n">
        <x:f>IF(OR(E5980="CANCELED",E5980="SUSPECTED_FRAUD",F5980="Shipping canceled"),0,1)</x:f>
        <x:v>1</x:v>
      </x:c>
      <x:c r="K5980" s="6" t="n">
        <x:f>IF(G5980&gt;H5980,1,0)</x:f>
        <x:v>0</x:v>
      </x:c>
      <x:c r="L5980" s="6" t="n">
        <x:f>J5980*K5980</x:f>
        <x:v>0</x:v>
      </x:c>
    </x:row>
    <x:row r="5981">
      <x:c r="A5981" s="1" t="n">
        <x:v>46921</x:v>
      </x:c>
      <x:c r="B5981" s="5" t="d">
        <x:v>2016-11-15T00:00:00.000Z</x:v>
      </x:c>
      <x:c r="C5981" s="1" t="str">
        <x:v>First Class</x:v>
      </x:c>
      <x:c r="D5981" s="1" t="str">
        <x:v>Africa</x:v>
      </x:c>
      <x:c r="E5981" s="1" t="str">
        <x:v>CLOSED</x:v>
      </x:c>
      <x:c r="F5981" s="1" t="str">
        <x:v>Late delivery</x:v>
      </x:c>
      <x:c r="G5981" s="6" t="n">
        <x:v>2</x:v>
      </x:c>
      <x:c r="H5981" s="6" t="n">
        <x:v>1</x:v>
      </x:c>
      <x:c r="I5981" s="6" t="n">
        <x:f>G5981-H5981</x:f>
        <x:v>1</x:v>
      </x:c>
      <x:c r="J5981" s="6" t="n">
        <x:f>IF(OR(E5981="CANCELED",E5981="SUSPECTED_FRAUD",F5981="Shipping canceled"),0,1)</x:f>
        <x:v>1</x:v>
      </x:c>
      <x:c r="K5981" s="6" t="n">
        <x:f>IF(G5981&gt;H5981,1,0)</x:f>
        <x:v>1</x:v>
      </x:c>
      <x:c r="L5981" s="6" t="n">
        <x:f>J5981*K5981</x:f>
        <x:v>1</x:v>
      </x:c>
    </x:row>
    <x:row r="5982">
      <x:c r="A5982" s="1" t="n">
        <x:v>46929</x:v>
      </x:c>
      <x:c r="B5982" s="5" t="d">
        <x:v>2016-11-16T00:00:00.000Z</x:v>
      </x:c>
      <x:c r="C5982" s="1" t="str">
        <x:v>Standard Class</x:v>
      </x:c>
      <x:c r="D5982" s="1" t="str">
        <x:v>Africa</x:v>
      </x:c>
      <x:c r="E5982" s="1" t="str">
        <x:v>COMPLETE</x:v>
      </x:c>
      <x:c r="F5982" s="1" t="str">
        <x:v>Late delivery</x:v>
      </x:c>
      <x:c r="G5982" s="6" t="n">
        <x:v>5</x:v>
      </x:c>
      <x:c r="H5982" s="6" t="n">
        <x:v>4</x:v>
      </x:c>
      <x:c r="I5982" s="6" t="n">
        <x:f>G5982-H5982</x:f>
        <x:v>1</x:v>
      </x:c>
      <x:c r="J5982" s="6" t="n">
        <x:f>IF(OR(E5982="CANCELED",E5982="SUSPECTED_FRAUD",F5982="Shipping canceled"),0,1)</x:f>
        <x:v>1</x:v>
      </x:c>
      <x:c r="K5982" s="6" t="n">
        <x:f>IF(G5982&gt;H5982,1,0)</x:f>
        <x:v>1</x:v>
      </x:c>
      <x:c r="L5982" s="6" t="n">
        <x:f>J5982*K5982</x:f>
        <x:v>1</x:v>
      </x:c>
    </x:row>
    <x:row r="5983">
      <x:c r="A5983" s="1" t="n">
        <x:v>46934</x:v>
      </x:c>
      <x:c r="B5983" s="5" t="d">
        <x:v>2016-11-16T00:00:00.000Z</x:v>
      </x:c>
      <x:c r="C5983" s="1" t="str">
        <x:v>Second Class</x:v>
      </x:c>
      <x:c r="D5983" s="1" t="str">
        <x:v>Pacific Asia</x:v>
      </x:c>
      <x:c r="E5983" s="1" t="str">
        <x:v>COMPLETE</x:v>
      </x:c>
      <x:c r="F5983" s="1" t="str">
        <x:v>Late delivery</x:v>
      </x:c>
      <x:c r="G5983" s="6" t="n">
        <x:v>5</x:v>
      </x:c>
      <x:c r="H5983" s="6" t="n">
        <x:v>2</x:v>
      </x:c>
      <x:c r="I5983" s="6" t="n">
        <x:f>G5983-H5983</x:f>
        <x:v>3</x:v>
      </x:c>
      <x:c r="J5983" s="6" t="n">
        <x:f>IF(OR(E5983="CANCELED",E5983="SUSPECTED_FRAUD",F5983="Shipping canceled"),0,1)</x:f>
        <x:v>1</x:v>
      </x:c>
      <x:c r="K5983" s="6" t="n">
        <x:f>IF(G5983&gt;H5983,1,0)</x:f>
        <x:v>1</x:v>
      </x:c>
      <x:c r="L5983" s="6" t="n">
        <x:f>J5983*K5983</x:f>
        <x:v>1</x:v>
      </x:c>
    </x:row>
    <x:row r="5984">
      <x:c r="A5984" s="1" t="n">
        <x:v>46949</x:v>
      </x:c>
      <x:c r="B5984" s="5" t="d">
        <x:v>2016-11-16T00:00:00.000Z</x:v>
      </x:c>
      <x:c r="C5984" s="1" t="str">
        <x:v>First Class</x:v>
      </x:c>
      <x:c r="D5984" s="1" t="str">
        <x:v>Africa</x:v>
      </x:c>
      <x:c r="E5984" s="1" t="str">
        <x:v>PENDING_PAYMENT</x:v>
      </x:c>
      <x:c r="F5984" s="1" t="str">
        <x:v>Late delivery</x:v>
      </x:c>
      <x:c r="G5984" s="6" t="n">
        <x:v>2</x:v>
      </x:c>
      <x:c r="H5984" s="6" t="n">
        <x:v>1</x:v>
      </x:c>
      <x:c r="I5984" s="6" t="n">
        <x:f>G5984-H5984</x:f>
        <x:v>1</x:v>
      </x:c>
      <x:c r="J5984" s="6" t="n">
        <x:f>IF(OR(E5984="CANCELED",E5984="SUSPECTED_FRAUD",F5984="Shipping canceled"),0,1)</x:f>
        <x:v>1</x:v>
      </x:c>
      <x:c r="K5984" s="6" t="n">
        <x:f>IF(G5984&gt;H5984,1,0)</x:f>
        <x:v>1</x:v>
      </x:c>
      <x:c r="L5984" s="6" t="n">
        <x:f>J5984*K5984</x:f>
        <x:v>1</x:v>
      </x:c>
    </x:row>
    <x:row r="5985">
      <x:c r="A5985" s="1" t="n">
        <x:v>46951</x:v>
      </x:c>
      <x:c r="B5985" s="5" t="d">
        <x:v>2016-11-16T00:00:00.000Z</x:v>
      </x:c>
      <x:c r="C5985" s="1" t="str">
        <x:v>Standard Class</x:v>
      </x:c>
      <x:c r="D5985" s="1" t="str">
        <x:v>Africa</x:v>
      </x:c>
      <x:c r="E5985" s="1" t="str">
        <x:v>PAYMENT_REVIEW</x:v>
      </x:c>
      <x:c r="F5985" s="1" t="str">
        <x:v>Advance shipping</x:v>
      </x:c>
      <x:c r="G5985" s="6" t="n">
        <x:v>2</x:v>
      </x:c>
      <x:c r="H5985" s="6" t="n">
        <x:v>4</x:v>
      </x:c>
      <x:c r="I5985" s="6" t="n">
        <x:f>G5985-H5985</x:f>
        <x:v>-2</x:v>
      </x:c>
      <x:c r="J5985" s="6" t="n">
        <x:f>IF(OR(E5985="CANCELED",E5985="SUSPECTED_FRAUD",F5985="Shipping canceled"),0,1)</x:f>
        <x:v>1</x:v>
      </x:c>
      <x:c r="K5985" s="6" t="n">
        <x:f>IF(G5985&gt;H5985,1,0)</x:f>
        <x:v>0</x:v>
      </x:c>
      <x:c r="L5985" s="6" t="n">
        <x:f>J5985*K5985</x:f>
        <x:v>0</x:v>
      </x:c>
    </x:row>
    <x:row r="5986">
      <x:c r="A5986" s="1" t="n">
        <x:v>46955</x:v>
      </x:c>
      <x:c r="B5986" s="5" t="d">
        <x:v>2016-11-16T00:00:00.000Z</x:v>
      </x:c>
      <x:c r="C5986" s="1" t="str">
        <x:v>Standard Class</x:v>
      </x:c>
      <x:c r="D5986" s="1" t="str">
        <x:v>Europe</x:v>
      </x:c>
      <x:c r="E5986" s="1" t="str">
        <x:v>COMPLETE</x:v>
      </x:c>
      <x:c r="F5986" s="1" t="str">
        <x:v>Late delivery</x:v>
      </x:c>
      <x:c r="G5986" s="6" t="n">
        <x:v>6</x:v>
      </x:c>
      <x:c r="H5986" s="6" t="n">
        <x:v>4</x:v>
      </x:c>
      <x:c r="I5986" s="6" t="n">
        <x:f>G5986-H5986</x:f>
        <x:v>2</x:v>
      </x:c>
      <x:c r="J5986" s="6" t="n">
        <x:f>IF(OR(E5986="CANCELED",E5986="SUSPECTED_FRAUD",F5986="Shipping canceled"),0,1)</x:f>
        <x:v>1</x:v>
      </x:c>
      <x:c r="K5986" s="6" t="n">
        <x:f>IF(G5986&gt;H5986,1,0)</x:f>
        <x:v>1</x:v>
      </x:c>
      <x:c r="L5986" s="6" t="n">
        <x:f>J5986*K5986</x:f>
        <x:v>1</x:v>
      </x:c>
    </x:row>
    <x:row r="5987">
      <x:c r="A5987" s="1" t="n">
        <x:v>46960</x:v>
      </x:c>
      <x:c r="B5987" s="5" t="d">
        <x:v>2016-11-16T00:00:00.000Z</x:v>
      </x:c>
      <x:c r="C5987" s="1" t="str">
        <x:v>First Class</x:v>
      </x:c>
      <x:c r="D5987" s="1" t="str">
        <x:v>Europe</x:v>
      </x:c>
      <x:c r="E5987" s="1" t="str">
        <x:v>PENDING_PAYMENT</x:v>
      </x:c>
      <x:c r="F5987" s="1" t="str">
        <x:v>Late delivery</x:v>
      </x:c>
      <x:c r="G5987" s="6" t="n">
        <x:v>2</x:v>
      </x:c>
      <x:c r="H5987" s="6" t="n">
        <x:v>1</x:v>
      </x:c>
      <x:c r="I5987" s="6" t="n">
        <x:f>G5987-H5987</x:f>
        <x:v>1</x:v>
      </x:c>
      <x:c r="J5987" s="6" t="n">
        <x:f>IF(OR(E5987="CANCELED",E5987="SUSPECTED_FRAUD",F5987="Shipping canceled"),0,1)</x:f>
        <x:v>1</x:v>
      </x:c>
      <x:c r="K5987" s="6" t="n">
        <x:f>IF(G5987&gt;H5987,1,0)</x:f>
        <x:v>1</x:v>
      </x:c>
      <x:c r="L5987" s="6" t="n">
        <x:f>J5987*K5987</x:f>
        <x:v>1</x:v>
      </x:c>
    </x:row>
    <x:row r="5988">
      <x:c r="A5988" s="1" t="n">
        <x:v>46962</x:v>
      </x:c>
      <x:c r="B5988" s="5" t="d">
        <x:v>2016-11-16T00:00:00.000Z</x:v>
      </x:c>
      <x:c r="C5988" s="1" t="str">
        <x:v>Standard Class</x:v>
      </x:c>
      <x:c r="D5988" s="1" t="str">
        <x:v>Africa</x:v>
      </x:c>
      <x:c r="E5988" s="1" t="str">
        <x:v>COMPLETE</x:v>
      </x:c>
      <x:c r="F5988" s="1" t="str">
        <x:v>Advance shipping</x:v>
      </x:c>
      <x:c r="G5988" s="6" t="n">
        <x:v>3</x:v>
      </x:c>
      <x:c r="H5988" s="6" t="n">
        <x:v>4</x:v>
      </x:c>
      <x:c r="I5988" s="6" t="n">
        <x:f>G5988-H5988</x:f>
        <x:v>-1</x:v>
      </x:c>
      <x:c r="J5988" s="6" t="n">
        <x:f>IF(OR(E5988="CANCELED",E5988="SUSPECTED_FRAUD",F5988="Shipping canceled"),0,1)</x:f>
        <x:v>1</x:v>
      </x:c>
      <x:c r="K5988" s="6" t="n">
        <x:f>IF(G5988&gt;H5988,1,0)</x:f>
        <x:v>0</x:v>
      </x:c>
      <x:c r="L5988" s="6" t="n">
        <x:f>J5988*K5988</x:f>
        <x:v>0</x:v>
      </x:c>
    </x:row>
    <x:row r="5989">
      <x:c r="A5989" s="1" t="n">
        <x:v>46969</x:v>
      </x:c>
      <x:c r="B5989" s="5" t="d">
        <x:v>2016-11-16T00:00:00.000Z</x:v>
      </x:c>
      <x:c r="C5989" s="1" t="str">
        <x:v>Standard Class</x:v>
      </x:c>
      <x:c r="D5989" s="1" t="str">
        <x:v>Europe</x:v>
      </x:c>
      <x:c r="E5989" s="1" t="str">
        <x:v>PENDING</x:v>
      </x:c>
      <x:c r="F5989" s="1" t="str">
        <x:v>Late delivery</x:v>
      </x:c>
      <x:c r="G5989" s="6" t="n">
        <x:v>5</x:v>
      </x:c>
      <x:c r="H5989" s="6" t="n">
        <x:v>4</x:v>
      </x:c>
      <x:c r="I5989" s="6" t="n">
        <x:f>G5989-H5989</x:f>
        <x:v>1</x:v>
      </x:c>
      <x:c r="J5989" s="6" t="n">
        <x:f>IF(OR(E5989="CANCELED",E5989="SUSPECTED_FRAUD",F5989="Shipping canceled"),0,1)</x:f>
        <x:v>1</x:v>
      </x:c>
      <x:c r="K5989" s="6" t="n">
        <x:f>IF(G5989&gt;H5989,1,0)</x:f>
        <x:v>1</x:v>
      </x:c>
      <x:c r="L5989" s="6" t="n">
        <x:f>J5989*K5989</x:f>
        <x:v>1</x:v>
      </x:c>
    </x:row>
    <x:row r="5990">
      <x:c r="A5990" s="1" t="n">
        <x:v>46978</x:v>
      </x:c>
      <x:c r="B5990" s="5" t="d">
        <x:v>2016-11-16T00:00:00.000Z</x:v>
      </x:c>
      <x:c r="C5990" s="1" t="str">
        <x:v>Standard Class</x:v>
      </x:c>
      <x:c r="D5990" s="1" t="str">
        <x:v>Pacific Asia</x:v>
      </x:c>
      <x:c r="E5990" s="1" t="str">
        <x:v>PENDING</x:v>
      </x:c>
      <x:c r="F5990" s="1" t="str">
        <x:v>Shipping on time</x:v>
      </x:c>
      <x:c r="G5990" s="6" t="n">
        <x:v>4</x:v>
      </x:c>
      <x:c r="H5990" s="6" t="n">
        <x:v>4</x:v>
      </x:c>
      <x:c r="I5990" s="6" t="n">
        <x:f>G5990-H5990</x:f>
        <x:v>0</x:v>
      </x:c>
      <x:c r="J5990" s="6" t="n">
        <x:f>IF(OR(E5990="CANCELED",E5990="SUSPECTED_FRAUD",F5990="Shipping canceled"),0,1)</x:f>
        <x:v>1</x:v>
      </x:c>
      <x:c r="K5990" s="6" t="n">
        <x:f>IF(G5990&gt;H5990,1,0)</x:f>
        <x:v>0</x:v>
      </x:c>
      <x:c r="L5990" s="6" t="n">
        <x:f>J5990*K5990</x:f>
        <x:v>0</x:v>
      </x:c>
    </x:row>
    <x:row r="5991">
      <x:c r="A5991" s="1" t="n">
        <x:v>46984</x:v>
      </x:c>
      <x:c r="B5991" s="5" t="d">
        <x:v>2016-11-16T00:00:00.000Z</x:v>
      </x:c>
      <x:c r="C5991" s="1" t="str">
        <x:v>Standard Class</x:v>
      </x:c>
      <x:c r="D5991" s="1" t="str">
        <x:v>Africa</x:v>
      </x:c>
      <x:c r="E5991" s="1" t="str">
        <x:v>COMPLETE</x:v>
      </x:c>
      <x:c r="F5991" s="1" t="str">
        <x:v>Late delivery</x:v>
      </x:c>
      <x:c r="G5991" s="6" t="n">
        <x:v>5</x:v>
      </x:c>
      <x:c r="H5991" s="6" t="n">
        <x:v>4</x:v>
      </x:c>
      <x:c r="I5991" s="6" t="n">
        <x:f>G5991-H5991</x:f>
        <x:v>1</x:v>
      </x:c>
      <x:c r="J5991" s="6" t="n">
        <x:f>IF(OR(E5991="CANCELED",E5991="SUSPECTED_FRAUD",F5991="Shipping canceled"),0,1)</x:f>
        <x:v>1</x:v>
      </x:c>
      <x:c r="K5991" s="6" t="n">
        <x:f>IF(G5991&gt;H5991,1,0)</x:f>
        <x:v>1</x:v>
      </x:c>
      <x:c r="L5991" s="6" t="n">
        <x:f>J5991*K5991</x:f>
        <x:v>1</x:v>
      </x:c>
    </x:row>
    <x:row r="5992">
      <x:c r="A5992" s="1" t="n">
        <x:v>46992</x:v>
      </x:c>
      <x:c r="B5992" s="5" t="d">
        <x:v>2016-11-16T00:00:00.000Z</x:v>
      </x:c>
      <x:c r="C5992" s="1" t="str">
        <x:v>Standard Class</x:v>
      </x:c>
      <x:c r="D5992" s="1" t="str">
        <x:v>USCA</x:v>
      </x:c>
      <x:c r="E5992" s="1" t="str">
        <x:v>PROCESSING</x:v>
      </x:c>
      <x:c r="F5992" s="1" t="str">
        <x:v>Advance shipping</x:v>
      </x:c>
      <x:c r="G5992" s="6" t="n">
        <x:v>3</x:v>
      </x:c>
      <x:c r="H5992" s="6" t="n">
        <x:v>4</x:v>
      </x:c>
      <x:c r="I5992" s="6" t="n">
        <x:f>G5992-H5992</x:f>
        <x:v>-1</x:v>
      </x:c>
      <x:c r="J5992" s="6" t="n">
        <x:f>IF(OR(E5992="CANCELED",E5992="SUSPECTED_FRAUD",F5992="Shipping canceled"),0,1)</x:f>
        <x:v>1</x:v>
      </x:c>
      <x:c r="K5992" s="6" t="n">
        <x:f>IF(G5992&gt;H5992,1,0)</x:f>
        <x:v>0</x:v>
      </x:c>
      <x:c r="L5992" s="6" t="n">
        <x:f>J5992*K5992</x:f>
        <x:v>0</x:v>
      </x:c>
    </x:row>
    <x:row r="5993">
      <x:c r="A5993" s="1" t="n">
        <x:v>47002</x:v>
      </x:c>
      <x:c r="B5993" s="5" t="d">
        <x:v>2016-11-17T00:00:00.000Z</x:v>
      </x:c>
      <x:c r="C5993" s="1" t="str">
        <x:v>Standard Class</x:v>
      </x:c>
      <x:c r="D5993" s="1" t="str">
        <x:v>Europe</x:v>
      </x:c>
      <x:c r="E5993" s="1" t="str">
        <x:v>COMPLETE</x:v>
      </x:c>
      <x:c r="F5993" s="1" t="str">
        <x:v>Advance shipping</x:v>
      </x:c>
      <x:c r="G5993" s="6" t="n">
        <x:v>3</x:v>
      </x:c>
      <x:c r="H5993" s="6" t="n">
        <x:v>4</x:v>
      </x:c>
      <x:c r="I5993" s="6" t="n">
        <x:f>G5993-H5993</x:f>
        <x:v>-1</x:v>
      </x:c>
      <x:c r="J5993" s="6" t="n">
        <x:f>IF(OR(E5993="CANCELED",E5993="SUSPECTED_FRAUD",F5993="Shipping canceled"),0,1)</x:f>
        <x:v>1</x:v>
      </x:c>
      <x:c r="K5993" s="6" t="n">
        <x:f>IF(G5993&gt;H5993,1,0)</x:f>
        <x:v>0</x:v>
      </x:c>
      <x:c r="L5993" s="6" t="n">
        <x:f>J5993*K5993</x:f>
        <x:v>0</x:v>
      </x:c>
    </x:row>
    <x:row r="5994">
      <x:c r="A5994" s="1" t="n">
        <x:v>47009</x:v>
      </x:c>
      <x:c r="B5994" s="5" t="d">
        <x:v>2016-11-17T00:00:00.000Z</x:v>
      </x:c>
      <x:c r="C5994" s="1" t="str">
        <x:v>Standard Class</x:v>
      </x:c>
      <x:c r="D5994" s="1" t="str">
        <x:v>Pacific Asia</x:v>
      </x:c>
      <x:c r="E5994" s="1" t="str">
        <x:v>COMPLETE</x:v>
      </x:c>
      <x:c r="F5994" s="1" t="str">
        <x:v>Late delivery</x:v>
      </x:c>
      <x:c r="G5994" s="6" t="n">
        <x:v>5</x:v>
      </x:c>
      <x:c r="H5994" s="6" t="n">
        <x:v>4</x:v>
      </x:c>
      <x:c r="I5994" s="6" t="n">
        <x:f>G5994-H5994</x:f>
        <x:v>1</x:v>
      </x:c>
      <x:c r="J5994" s="6" t="n">
        <x:f>IF(OR(E5994="CANCELED",E5994="SUSPECTED_FRAUD",F5994="Shipping canceled"),0,1)</x:f>
        <x:v>1</x:v>
      </x:c>
      <x:c r="K5994" s="6" t="n">
        <x:f>IF(G5994&gt;H5994,1,0)</x:f>
        <x:v>1</x:v>
      </x:c>
      <x:c r="L5994" s="6" t="n">
        <x:f>J5994*K5994</x:f>
        <x:v>1</x:v>
      </x:c>
    </x:row>
    <x:row r="5995">
      <x:c r="A5995" s="1" t="n">
        <x:v>47011</x:v>
      </x:c>
      <x:c r="B5995" s="5" t="d">
        <x:v>2016-11-17T00:00:00.000Z</x:v>
      </x:c>
      <x:c r="C5995" s="1" t="str">
        <x:v>Standard Class</x:v>
      </x:c>
      <x:c r="D5995" s="1" t="str">
        <x:v>Pacific Asia</x:v>
      </x:c>
      <x:c r="E5995" s="1" t="str">
        <x:v>PENDING</x:v>
      </x:c>
      <x:c r="F5995" s="1" t="str">
        <x:v>Advance shipping</x:v>
      </x:c>
      <x:c r="G5995" s="6" t="n">
        <x:v>2</x:v>
      </x:c>
      <x:c r="H5995" s="6" t="n">
        <x:v>4</x:v>
      </x:c>
      <x:c r="I5995" s="6" t="n">
        <x:f>G5995-H5995</x:f>
        <x:v>-2</x:v>
      </x:c>
      <x:c r="J5995" s="6" t="n">
        <x:f>IF(OR(E5995="CANCELED",E5995="SUSPECTED_FRAUD",F5995="Shipping canceled"),0,1)</x:f>
        <x:v>1</x:v>
      </x:c>
      <x:c r="K5995" s="6" t="n">
        <x:f>IF(G5995&gt;H5995,1,0)</x:f>
        <x:v>0</x:v>
      </x:c>
      <x:c r="L5995" s="6" t="n">
        <x:f>J5995*K5995</x:f>
        <x:v>0</x:v>
      </x:c>
    </x:row>
    <x:row r="5996">
      <x:c r="A5996" s="1" t="n">
        <x:v>47020</x:v>
      </x:c>
      <x:c r="B5996" s="5" t="d">
        <x:v>2016-11-17T00:00:00.000Z</x:v>
      </x:c>
      <x:c r="C5996" s="1" t="str">
        <x:v>Standard Class</x:v>
      </x:c>
      <x:c r="D5996" s="1" t="str">
        <x:v>Europe</x:v>
      </x:c>
      <x:c r="E5996" s="1" t="str">
        <x:v>PROCESSING</x:v>
      </x:c>
      <x:c r="F5996" s="1" t="str">
        <x:v>Late delivery</x:v>
      </x:c>
      <x:c r="G5996" s="6" t="n">
        <x:v>6</x:v>
      </x:c>
      <x:c r="H5996" s="6" t="n">
        <x:v>4</x:v>
      </x:c>
      <x:c r="I5996" s="6" t="n">
        <x:f>G5996-H5996</x:f>
        <x:v>2</x:v>
      </x:c>
      <x:c r="J5996" s="6" t="n">
        <x:f>IF(OR(E5996="CANCELED",E5996="SUSPECTED_FRAUD",F5996="Shipping canceled"),0,1)</x:f>
        <x:v>1</x:v>
      </x:c>
      <x:c r="K5996" s="6" t="n">
        <x:f>IF(G5996&gt;H5996,1,0)</x:f>
        <x:v>1</x:v>
      </x:c>
      <x:c r="L5996" s="6" t="n">
        <x:f>J5996*K5996</x:f>
        <x:v>1</x:v>
      </x:c>
    </x:row>
    <x:row r="5997">
      <x:c r="A5997" s="1" t="n">
        <x:v>47039</x:v>
      </x:c>
      <x:c r="B5997" s="5" t="d">
        <x:v>2016-11-17T00:00:00.000Z</x:v>
      </x:c>
      <x:c r="C5997" s="1" t="str">
        <x:v>Standard Class</x:v>
      </x:c>
      <x:c r="D5997" s="1" t="str">
        <x:v>Pacific Asia</x:v>
      </x:c>
      <x:c r="E5997" s="1" t="str">
        <x:v>PENDING</x:v>
      </x:c>
      <x:c r="F5997" s="1" t="str">
        <x:v>Late delivery</x:v>
      </x:c>
      <x:c r="G5997" s="6" t="n">
        <x:v>5</x:v>
      </x:c>
      <x:c r="H5997" s="6" t="n">
        <x:v>4</x:v>
      </x:c>
      <x:c r="I5997" s="6" t="n">
        <x:f>G5997-H5997</x:f>
        <x:v>1</x:v>
      </x:c>
      <x:c r="J5997" s="6" t="n">
        <x:f>IF(OR(E5997="CANCELED",E5997="SUSPECTED_FRAUD",F5997="Shipping canceled"),0,1)</x:f>
        <x:v>1</x:v>
      </x:c>
      <x:c r="K5997" s="6" t="n">
        <x:f>IF(G5997&gt;H5997,1,0)</x:f>
        <x:v>1</x:v>
      </x:c>
      <x:c r="L5997" s="6" t="n">
        <x:f>J5997*K5997</x:f>
        <x:v>1</x:v>
      </x:c>
    </x:row>
    <x:row r="5998">
      <x:c r="A5998" s="1" t="n">
        <x:v>47044</x:v>
      </x:c>
      <x:c r="B5998" s="5" t="d">
        <x:v>2016-11-17T00:00:00.000Z</x:v>
      </x:c>
      <x:c r="C5998" s="1" t="str">
        <x:v>Standard Class</x:v>
      </x:c>
      <x:c r="D5998" s="1" t="str">
        <x:v>Pacific Asia</x:v>
      </x:c>
      <x:c r="E5998" s="1" t="str">
        <x:v>COMPLETE</x:v>
      </x:c>
      <x:c r="F5998" s="1" t="str">
        <x:v>Late delivery</x:v>
      </x:c>
      <x:c r="G5998" s="6" t="n">
        <x:v>5</x:v>
      </x:c>
      <x:c r="H5998" s="6" t="n">
        <x:v>4</x:v>
      </x:c>
      <x:c r="I5998" s="6" t="n">
        <x:f>G5998-H5998</x:f>
        <x:v>1</x:v>
      </x:c>
      <x:c r="J5998" s="6" t="n">
        <x:f>IF(OR(E5998="CANCELED",E5998="SUSPECTED_FRAUD",F5998="Shipping canceled"),0,1)</x:f>
        <x:v>1</x:v>
      </x:c>
      <x:c r="K5998" s="6" t="n">
        <x:f>IF(G5998&gt;H5998,1,0)</x:f>
        <x:v>1</x:v>
      </x:c>
      <x:c r="L5998" s="6" t="n">
        <x:f>J5998*K5998</x:f>
        <x:v>1</x:v>
      </x:c>
    </x:row>
    <x:row r="5999">
      <x:c r="A5999" s="1" t="n">
        <x:v>47051</x:v>
      </x:c>
      <x:c r="B5999" s="5" t="d">
        <x:v>2016-11-17T00:00:00.000Z</x:v>
      </x:c>
      <x:c r="C5999" s="1" t="str">
        <x:v>First Class</x:v>
      </x:c>
      <x:c r="D5999" s="1" t="str">
        <x:v>Pacific Asia</x:v>
      </x:c>
      <x:c r="E5999" s="1" t="str">
        <x:v>CLOSED</x:v>
      </x:c>
      <x:c r="F5999" s="1" t="str">
        <x:v>Late delivery</x:v>
      </x:c>
      <x:c r="G5999" s="6" t="n">
        <x:v>2</x:v>
      </x:c>
      <x:c r="H5999" s="6" t="n">
        <x:v>1</x:v>
      </x:c>
      <x:c r="I5999" s="6" t="n">
        <x:f>G5999-H5999</x:f>
        <x:v>1</x:v>
      </x:c>
      <x:c r="J5999" s="6" t="n">
        <x:f>IF(OR(E5999="CANCELED",E5999="SUSPECTED_FRAUD",F5999="Shipping canceled"),0,1)</x:f>
        <x:v>1</x:v>
      </x:c>
      <x:c r="K5999" s="6" t="n">
        <x:f>IF(G5999&gt;H5999,1,0)</x:f>
        <x:v>1</x:v>
      </x:c>
      <x:c r="L5999" s="6" t="n">
        <x:f>J5999*K5999</x:f>
        <x:v>1</x:v>
      </x:c>
    </x:row>
    <x:row r="6000">
      <x:c r="A6000" s="1" t="n">
        <x:v>47077</x:v>
      </x:c>
      <x:c r="B6000" s="5" t="d">
        <x:v>2016-11-18T00:00:00.000Z</x:v>
      </x:c>
      <x:c r="C6000" s="1" t="str">
        <x:v>Standard Class</x:v>
      </x:c>
      <x:c r="D6000" s="1" t="str">
        <x:v>Africa</x:v>
      </x:c>
      <x:c r="E6000" s="1" t="str">
        <x:v>COMPLETE</x:v>
      </x:c>
      <x:c r="F6000" s="1" t="str">
        <x:v>Advance shipping</x:v>
      </x:c>
      <x:c r="G6000" s="6" t="n">
        <x:v>3</x:v>
      </x:c>
      <x:c r="H6000" s="6" t="n">
        <x:v>4</x:v>
      </x:c>
      <x:c r="I6000" s="6" t="n">
        <x:f>G6000-H6000</x:f>
        <x:v>-1</x:v>
      </x:c>
      <x:c r="J6000" s="6" t="n">
        <x:f>IF(OR(E6000="CANCELED",E6000="SUSPECTED_FRAUD",F6000="Shipping canceled"),0,1)</x:f>
        <x:v>1</x:v>
      </x:c>
      <x:c r="K6000" s="6" t="n">
        <x:f>IF(G6000&gt;H6000,1,0)</x:f>
        <x:v>0</x:v>
      </x:c>
      <x:c r="L6000" s="6" t="n">
        <x:f>J6000*K6000</x:f>
        <x:v>0</x:v>
      </x:c>
    </x:row>
    <x:row r="6001">
      <x:c r="A6001" s="1" t="n">
        <x:v>47079</x:v>
      </x:c>
      <x:c r="B6001" s="5" t="d">
        <x:v>2016-11-18T00:00:00.000Z</x:v>
      </x:c>
      <x:c r="C6001" s="1" t="str">
        <x:v>Standard Class</x:v>
      </x:c>
      <x:c r="D6001" s="1" t="str">
        <x:v>Africa</x:v>
      </x:c>
      <x:c r="E6001" s="1" t="str">
        <x:v>CLOSED</x:v>
      </x:c>
      <x:c r="F6001" s="1" t="str">
        <x:v>Late delivery</x:v>
      </x:c>
      <x:c r="G6001" s="6" t="n">
        <x:v>5</x:v>
      </x:c>
      <x:c r="H6001" s="6" t="n">
        <x:v>4</x:v>
      </x:c>
      <x:c r="I6001" s="6" t="n">
        <x:f>G6001-H6001</x:f>
        <x:v>1</x:v>
      </x:c>
      <x:c r="J6001" s="6" t="n">
        <x:f>IF(OR(E6001="CANCELED",E6001="SUSPECTED_FRAUD",F6001="Shipping canceled"),0,1)</x:f>
        <x:v>1</x:v>
      </x:c>
      <x:c r="K6001" s="6" t="n">
        <x:f>IF(G6001&gt;H6001,1,0)</x:f>
        <x:v>1</x:v>
      </x:c>
      <x:c r="L6001" s="6" t="n">
        <x:f>J6001*K6001</x:f>
        <x:v>1</x:v>
      </x:c>
    </x:row>
    <x:row r="6002">
      <x:c r="A6002" s="1" t="n">
        <x:v>47085</x:v>
      </x:c>
      <x:c r="B6002" s="5" t="d">
        <x:v>2016-11-18T00:00:00.000Z</x:v>
      </x:c>
      <x:c r="C6002" s="1" t="str">
        <x:v>Standard Class</x:v>
      </x:c>
      <x:c r="D6002" s="1" t="str">
        <x:v>Africa</x:v>
      </x:c>
      <x:c r="E6002" s="1" t="str">
        <x:v>COMPLETE</x:v>
      </x:c>
      <x:c r="F6002" s="1" t="str">
        <x:v>Late delivery</x:v>
      </x:c>
      <x:c r="G6002" s="6" t="n">
        <x:v>6</x:v>
      </x:c>
      <x:c r="H6002" s="6" t="n">
        <x:v>4</x:v>
      </x:c>
      <x:c r="I6002" s="6" t="n">
        <x:f>G6002-H6002</x:f>
        <x:v>2</x:v>
      </x:c>
      <x:c r="J6002" s="6" t="n">
        <x:f>IF(OR(E6002="CANCELED",E6002="SUSPECTED_FRAUD",F6002="Shipping canceled"),0,1)</x:f>
        <x:v>1</x:v>
      </x:c>
      <x:c r="K6002" s="6" t="n">
        <x:f>IF(G6002&gt;H6002,1,0)</x:f>
        <x:v>1</x:v>
      </x:c>
      <x:c r="L6002" s="6" t="n">
        <x:f>J6002*K6002</x:f>
        <x:v>1</x:v>
      </x:c>
    </x:row>
    <x:row r="6003">
      <x:c r="A6003" s="1" t="n">
        <x:v>47090</x:v>
      </x:c>
      <x:c r="B6003" s="5" t="d">
        <x:v>2016-11-18T00:00:00.000Z</x:v>
      </x:c>
      <x:c r="C6003" s="1" t="str">
        <x:v>Standard Class</x:v>
      </x:c>
      <x:c r="D6003" s="1" t="str">
        <x:v>Pacific Asia</x:v>
      </x:c>
      <x:c r="E6003" s="1" t="str">
        <x:v>PENDING</x:v>
      </x:c>
      <x:c r="F6003" s="1" t="str">
        <x:v>Late delivery</x:v>
      </x:c>
      <x:c r="G6003" s="6" t="n">
        <x:v>6</x:v>
      </x:c>
      <x:c r="H6003" s="6" t="n">
        <x:v>4</x:v>
      </x:c>
      <x:c r="I6003" s="6" t="n">
        <x:f>G6003-H6003</x:f>
        <x:v>2</x:v>
      </x:c>
      <x:c r="J6003" s="6" t="n">
        <x:f>IF(OR(E6003="CANCELED",E6003="SUSPECTED_FRAUD",F6003="Shipping canceled"),0,1)</x:f>
        <x:v>1</x:v>
      </x:c>
      <x:c r="K6003" s="6" t="n">
        <x:f>IF(G6003&gt;H6003,1,0)</x:f>
        <x:v>1</x:v>
      </x:c>
      <x:c r="L6003" s="6" t="n">
        <x:f>J6003*K6003</x:f>
        <x:v>1</x:v>
      </x:c>
    </x:row>
    <x:row r="6004">
      <x:c r="A6004" s="1" t="n">
        <x:v>47092</x:v>
      </x:c>
      <x:c r="B6004" s="5" t="d">
        <x:v>2016-11-18T00:00:00.000Z</x:v>
      </x:c>
      <x:c r="C6004" s="1" t="str">
        <x:v>Standard Class</x:v>
      </x:c>
      <x:c r="D6004" s="1" t="str">
        <x:v>Pacific Asia</x:v>
      </x:c>
      <x:c r="E6004" s="1" t="str">
        <x:v>PENDING</x:v>
      </x:c>
      <x:c r="F6004" s="1" t="str">
        <x:v>Advance shipping</x:v>
      </x:c>
      <x:c r="G6004" s="6" t="n">
        <x:v>3</x:v>
      </x:c>
      <x:c r="H6004" s="6" t="n">
        <x:v>4</x:v>
      </x:c>
      <x:c r="I6004" s="6" t="n">
        <x:f>G6004-H6004</x:f>
        <x:v>-1</x:v>
      </x:c>
      <x:c r="J6004" s="6" t="n">
        <x:f>IF(OR(E6004="CANCELED",E6004="SUSPECTED_FRAUD",F6004="Shipping canceled"),0,1)</x:f>
        <x:v>1</x:v>
      </x:c>
      <x:c r="K6004" s="6" t="n">
        <x:f>IF(G6004&gt;H6004,1,0)</x:f>
        <x:v>0</x:v>
      </x:c>
      <x:c r="L6004" s="6" t="n">
        <x:f>J6004*K6004</x:f>
        <x:v>0</x:v>
      </x:c>
    </x:row>
    <x:row r="6005">
      <x:c r="A6005" s="1" t="n">
        <x:v>47094</x:v>
      </x:c>
      <x:c r="B6005" s="5" t="d">
        <x:v>2016-11-18T00:00:00.000Z</x:v>
      </x:c>
      <x:c r="C6005" s="1" t="str">
        <x:v>Standard Class</x:v>
      </x:c>
      <x:c r="D6005" s="1" t="str">
        <x:v>Europe</x:v>
      </x:c>
      <x:c r="E6005" s="1" t="str">
        <x:v>COMPLETE</x:v>
      </x:c>
      <x:c r="F6005" s="1" t="str">
        <x:v>Late delivery</x:v>
      </x:c>
      <x:c r="G6005" s="6" t="n">
        <x:v>5</x:v>
      </x:c>
      <x:c r="H6005" s="6" t="n">
        <x:v>4</x:v>
      </x:c>
      <x:c r="I6005" s="6" t="n">
        <x:f>G6005-H6005</x:f>
        <x:v>1</x:v>
      </x:c>
      <x:c r="J6005" s="6" t="n">
        <x:f>IF(OR(E6005="CANCELED",E6005="SUSPECTED_FRAUD",F6005="Shipping canceled"),0,1)</x:f>
        <x:v>1</x:v>
      </x:c>
      <x:c r="K6005" s="6" t="n">
        <x:f>IF(G6005&gt;H6005,1,0)</x:f>
        <x:v>1</x:v>
      </x:c>
      <x:c r="L6005" s="6" t="n">
        <x:f>J6005*K6005</x:f>
        <x:v>1</x:v>
      </x:c>
    </x:row>
    <x:row r="6006">
      <x:c r="A6006" s="1" t="n">
        <x:v>47107</x:v>
      </x:c>
      <x:c r="B6006" s="5" t="d">
        <x:v>2016-11-18T00:00:00.000Z</x:v>
      </x:c>
      <x:c r="C6006" s="1" t="str">
        <x:v>Standard Class</x:v>
      </x:c>
      <x:c r="D6006" s="1" t="str">
        <x:v>Europe</x:v>
      </x:c>
      <x:c r="E6006" s="1" t="str">
        <x:v>COMPLETE</x:v>
      </x:c>
      <x:c r="F6006" s="1" t="str">
        <x:v>Advance shipping</x:v>
      </x:c>
      <x:c r="G6006" s="6" t="n">
        <x:v>3</x:v>
      </x:c>
      <x:c r="H6006" s="6" t="n">
        <x:v>4</x:v>
      </x:c>
      <x:c r="I6006" s="6" t="n">
        <x:f>G6006-H6006</x:f>
        <x:v>-1</x:v>
      </x:c>
      <x:c r="J6006" s="6" t="n">
        <x:f>IF(OR(E6006="CANCELED",E6006="SUSPECTED_FRAUD",F6006="Shipping canceled"),0,1)</x:f>
        <x:v>1</x:v>
      </x:c>
      <x:c r="K6006" s="6" t="n">
        <x:f>IF(G6006&gt;H6006,1,0)</x:f>
        <x:v>0</x:v>
      </x:c>
      <x:c r="L6006" s="6" t="n">
        <x:f>J6006*K6006</x:f>
        <x:v>0</x:v>
      </x:c>
    </x:row>
    <x:row r="6007">
      <x:c r="A6007" s="1" t="n">
        <x:v>47112</x:v>
      </x:c>
      <x:c r="B6007" s="5" t="d">
        <x:v>2016-11-18T00:00:00.000Z</x:v>
      </x:c>
      <x:c r="C6007" s="1" t="str">
        <x:v>Standard Class</x:v>
      </x:c>
      <x:c r="D6007" s="1" t="str">
        <x:v>Africa</x:v>
      </x:c>
      <x:c r="E6007" s="1" t="str">
        <x:v>COMPLETE</x:v>
      </x:c>
      <x:c r="F6007" s="1" t="str">
        <x:v>Advance shipping</x:v>
      </x:c>
      <x:c r="G6007" s="6" t="n">
        <x:v>3</x:v>
      </x:c>
      <x:c r="H6007" s="6" t="n">
        <x:v>4</x:v>
      </x:c>
      <x:c r="I6007" s="6" t="n">
        <x:f>G6007-H6007</x:f>
        <x:v>-1</x:v>
      </x:c>
      <x:c r="J6007" s="6" t="n">
        <x:f>IF(OR(E6007="CANCELED",E6007="SUSPECTED_FRAUD",F6007="Shipping canceled"),0,1)</x:f>
        <x:v>1</x:v>
      </x:c>
      <x:c r="K6007" s="6" t="n">
        <x:f>IF(G6007&gt;H6007,1,0)</x:f>
        <x:v>0</x:v>
      </x:c>
      <x:c r="L6007" s="6" t="n">
        <x:f>J6007*K6007</x:f>
        <x:v>0</x:v>
      </x:c>
    </x:row>
    <x:row r="6008">
      <x:c r="A6008" s="1" t="n">
        <x:v>47117</x:v>
      </x:c>
      <x:c r="B6008" s="5" t="d">
        <x:v>2016-11-18T00:00:00.000Z</x:v>
      </x:c>
      <x:c r="C6008" s="1" t="str">
        <x:v>Standard Class</x:v>
      </x:c>
      <x:c r="D6008" s="1" t="str">
        <x:v>Europe</x:v>
      </x:c>
      <x:c r="E6008" s="1" t="str">
        <x:v>COMPLETE</x:v>
      </x:c>
      <x:c r="F6008" s="1" t="str">
        <x:v>Advance shipping</x:v>
      </x:c>
      <x:c r="G6008" s="6" t="n">
        <x:v>3</x:v>
      </x:c>
      <x:c r="H6008" s="6" t="n">
        <x:v>4</x:v>
      </x:c>
      <x:c r="I6008" s="6" t="n">
        <x:f>G6008-H6008</x:f>
        <x:v>-1</x:v>
      </x:c>
      <x:c r="J6008" s="6" t="n">
        <x:f>IF(OR(E6008="CANCELED",E6008="SUSPECTED_FRAUD",F6008="Shipping canceled"),0,1)</x:f>
        <x:v>1</x:v>
      </x:c>
      <x:c r="K6008" s="6" t="n">
        <x:f>IF(G6008&gt;H6008,1,0)</x:f>
        <x:v>0</x:v>
      </x:c>
      <x:c r="L6008" s="6" t="n">
        <x:f>J6008*K6008</x:f>
        <x:v>0</x:v>
      </x:c>
    </x:row>
    <x:row r="6009">
      <x:c r="A6009" s="1" t="n">
        <x:v>47130</x:v>
      </x:c>
      <x:c r="B6009" s="5" t="d">
        <x:v>2016-11-18T00:00:00.000Z</x:v>
      </x:c>
      <x:c r="C6009" s="1" t="str">
        <x:v>Second Class</x:v>
      </x:c>
      <x:c r="D6009" s="1" t="str">
        <x:v>Pacific Asia</x:v>
      </x:c>
      <x:c r="E6009" s="1" t="str">
        <x:v>COMPLETE</x:v>
      </x:c>
      <x:c r="F6009" s="1" t="str">
        <x:v>Late delivery</x:v>
      </x:c>
      <x:c r="G6009" s="6" t="n">
        <x:v>6</x:v>
      </x:c>
      <x:c r="H6009" s="6" t="n">
        <x:v>2</x:v>
      </x:c>
      <x:c r="I6009" s="6" t="n">
        <x:f>G6009-H6009</x:f>
        <x:v>4</x:v>
      </x:c>
      <x:c r="J6009" s="6" t="n">
        <x:f>IF(OR(E6009="CANCELED",E6009="SUSPECTED_FRAUD",F6009="Shipping canceled"),0,1)</x:f>
        <x:v>1</x:v>
      </x:c>
      <x:c r="K6009" s="6" t="n">
        <x:f>IF(G6009&gt;H6009,1,0)</x:f>
        <x:v>1</x:v>
      </x:c>
      <x:c r="L6009" s="6" t="n">
        <x:f>J6009*K6009</x:f>
        <x:v>1</x:v>
      </x:c>
    </x:row>
    <x:row r="6010">
      <x:c r="A6010" s="1" t="n">
        <x:v>47141</x:v>
      </x:c>
      <x:c r="B6010" s="5" t="d">
        <x:v>2016-11-19T00:00:00.000Z</x:v>
      </x:c>
      <x:c r="C6010" s="1" t="str">
        <x:v>Standard Class</x:v>
      </x:c>
      <x:c r="D6010" s="1" t="str">
        <x:v>Europe</x:v>
      </x:c>
      <x:c r="E6010" s="1" t="str">
        <x:v>PENDING_PAYMENT</x:v>
      </x:c>
      <x:c r="F6010" s="1" t="str">
        <x:v>Advance shipping</x:v>
      </x:c>
      <x:c r="G6010" s="6" t="n">
        <x:v>2</x:v>
      </x:c>
      <x:c r="H6010" s="6" t="n">
        <x:v>4</x:v>
      </x:c>
      <x:c r="I6010" s="6" t="n">
        <x:f>G6010-H6010</x:f>
        <x:v>-2</x:v>
      </x:c>
      <x:c r="J6010" s="6" t="n">
        <x:f>IF(OR(E6010="CANCELED",E6010="SUSPECTED_FRAUD",F6010="Shipping canceled"),0,1)</x:f>
        <x:v>1</x:v>
      </x:c>
      <x:c r="K6010" s="6" t="n">
        <x:f>IF(G6010&gt;H6010,1,0)</x:f>
        <x:v>0</x:v>
      </x:c>
      <x:c r="L6010" s="6" t="n">
        <x:f>J6010*K6010</x:f>
        <x:v>0</x:v>
      </x:c>
    </x:row>
    <x:row r="6011">
      <x:c r="A6011" s="1" t="n">
        <x:v>47144</x:v>
      </x:c>
      <x:c r="B6011" s="5" t="d">
        <x:v>2016-11-19T00:00:00.000Z</x:v>
      </x:c>
      <x:c r="C6011" s="1" t="str">
        <x:v>Second Class</x:v>
      </x:c>
      <x:c r="D6011" s="1" t="str">
        <x:v>Europe</x:v>
      </x:c>
      <x:c r="E6011" s="1" t="str">
        <x:v>COMPLETE</x:v>
      </x:c>
      <x:c r="F6011" s="1" t="str">
        <x:v>Late delivery</x:v>
      </x:c>
      <x:c r="G6011" s="6" t="n">
        <x:v>5</x:v>
      </x:c>
      <x:c r="H6011" s="6" t="n">
        <x:v>2</x:v>
      </x:c>
      <x:c r="I6011" s="6" t="n">
        <x:f>G6011-H6011</x:f>
        <x:v>3</x:v>
      </x:c>
      <x:c r="J6011" s="6" t="n">
        <x:f>IF(OR(E6011="CANCELED",E6011="SUSPECTED_FRAUD",F6011="Shipping canceled"),0,1)</x:f>
        <x:v>1</x:v>
      </x:c>
      <x:c r="K6011" s="6" t="n">
        <x:f>IF(G6011&gt;H6011,1,0)</x:f>
        <x:v>1</x:v>
      </x:c>
      <x:c r="L6011" s="6" t="n">
        <x:f>J6011*K6011</x:f>
        <x:v>1</x:v>
      </x:c>
    </x:row>
    <x:row r="6012">
      <x:c r="A6012" s="1" t="n">
        <x:v>47153</x:v>
      </x:c>
      <x:c r="B6012" s="5" t="d">
        <x:v>2016-11-19T00:00:00.000Z</x:v>
      </x:c>
      <x:c r="C6012" s="1" t="str">
        <x:v>Standard Class</x:v>
      </x:c>
      <x:c r="D6012" s="1" t="str">
        <x:v>Europe</x:v>
      </x:c>
      <x:c r="E6012" s="1" t="str">
        <x:v>PENDING</x:v>
      </x:c>
      <x:c r="F6012" s="1" t="str">
        <x:v>Shipping on time</x:v>
      </x:c>
      <x:c r="G6012" s="6" t="n">
        <x:v>4</x:v>
      </x:c>
      <x:c r="H6012" s="6" t="n">
        <x:v>4</x:v>
      </x:c>
      <x:c r="I6012" s="6" t="n">
        <x:f>G6012-H6012</x:f>
        <x:v>0</x:v>
      </x:c>
      <x:c r="J6012" s="6" t="n">
        <x:f>IF(OR(E6012="CANCELED",E6012="SUSPECTED_FRAUD",F6012="Shipping canceled"),0,1)</x:f>
        <x:v>1</x:v>
      </x:c>
      <x:c r="K6012" s="6" t="n">
        <x:f>IF(G6012&gt;H6012,1,0)</x:f>
        <x:v>0</x:v>
      </x:c>
      <x:c r="L6012" s="6" t="n">
        <x:f>J6012*K6012</x:f>
        <x:v>0</x:v>
      </x:c>
    </x:row>
    <x:row r="6013">
      <x:c r="A6013" s="1" t="n">
        <x:v>47158</x:v>
      </x:c>
      <x:c r="B6013" s="5" t="d">
        <x:v>2016-11-19T00:00:00.000Z</x:v>
      </x:c>
      <x:c r="C6013" s="1" t="str">
        <x:v>Standard Class</x:v>
      </x:c>
      <x:c r="D6013" s="1" t="str">
        <x:v>Europe</x:v>
      </x:c>
      <x:c r="E6013" s="1" t="str">
        <x:v>PROCESSING</x:v>
      </x:c>
      <x:c r="F6013" s="1" t="str">
        <x:v>Shipping on time</x:v>
      </x:c>
      <x:c r="G6013" s="6" t="n">
        <x:v>4</x:v>
      </x:c>
      <x:c r="H6013" s="6" t="n">
        <x:v>4</x:v>
      </x:c>
      <x:c r="I6013" s="6" t="n">
        <x:f>G6013-H6013</x:f>
        <x:v>0</x:v>
      </x:c>
      <x:c r="J6013" s="6" t="n">
        <x:f>IF(OR(E6013="CANCELED",E6013="SUSPECTED_FRAUD",F6013="Shipping canceled"),0,1)</x:f>
        <x:v>1</x:v>
      </x:c>
      <x:c r="K6013" s="6" t="n">
        <x:f>IF(G6013&gt;H6013,1,0)</x:f>
        <x:v>0</x:v>
      </x:c>
      <x:c r="L6013" s="6" t="n">
        <x:f>J6013*K6013</x:f>
        <x:v>0</x:v>
      </x:c>
    </x:row>
    <x:row r="6014">
      <x:c r="A6014" s="1" t="n">
        <x:v>47161</x:v>
      </x:c>
      <x:c r="B6014" s="5" t="d">
        <x:v>2016-11-19T00:00:00.000Z</x:v>
      </x:c>
      <x:c r="C6014" s="1" t="str">
        <x:v>Standard Class</x:v>
      </x:c>
      <x:c r="D6014" s="1" t="str">
        <x:v>Pacific Asia</x:v>
      </x:c>
      <x:c r="E6014" s="1" t="str">
        <x:v>COMPLETE</x:v>
      </x:c>
      <x:c r="F6014" s="1" t="str">
        <x:v>Advance shipping</x:v>
      </x:c>
      <x:c r="G6014" s="6" t="n">
        <x:v>2</x:v>
      </x:c>
      <x:c r="H6014" s="6" t="n">
        <x:v>4</x:v>
      </x:c>
      <x:c r="I6014" s="6" t="n">
        <x:f>G6014-H6014</x:f>
        <x:v>-2</x:v>
      </x:c>
      <x:c r="J6014" s="6" t="n">
        <x:f>IF(OR(E6014="CANCELED",E6014="SUSPECTED_FRAUD",F6014="Shipping canceled"),0,1)</x:f>
        <x:v>1</x:v>
      </x:c>
      <x:c r="K6014" s="6" t="n">
        <x:f>IF(G6014&gt;H6014,1,0)</x:f>
        <x:v>0</x:v>
      </x:c>
      <x:c r="L6014" s="6" t="n">
        <x:f>J6014*K6014</x:f>
        <x:v>0</x:v>
      </x:c>
    </x:row>
    <x:row r="6015">
      <x:c r="A6015" s="1" t="n">
        <x:v>47162</x:v>
      </x:c>
      <x:c r="B6015" s="5" t="d">
        <x:v>2016-11-19T00:00:00.000Z</x:v>
      </x:c>
      <x:c r="C6015" s="1" t="str">
        <x:v>Standard Class</x:v>
      </x:c>
      <x:c r="D6015" s="1" t="str">
        <x:v>Pacific Asia</x:v>
      </x:c>
      <x:c r="E6015" s="1" t="str">
        <x:v>PENDING</x:v>
      </x:c>
      <x:c r="F6015" s="1" t="str">
        <x:v>Advance shipping</x:v>
      </x:c>
      <x:c r="G6015" s="6" t="n">
        <x:v>3</x:v>
      </x:c>
      <x:c r="H6015" s="6" t="n">
        <x:v>4</x:v>
      </x:c>
      <x:c r="I6015" s="6" t="n">
        <x:f>G6015-H6015</x:f>
        <x:v>-1</x:v>
      </x:c>
      <x:c r="J6015" s="6" t="n">
        <x:f>IF(OR(E6015="CANCELED",E6015="SUSPECTED_FRAUD",F6015="Shipping canceled"),0,1)</x:f>
        <x:v>1</x:v>
      </x:c>
      <x:c r="K6015" s="6" t="n">
        <x:f>IF(G6015&gt;H6015,1,0)</x:f>
        <x:v>0</x:v>
      </x:c>
      <x:c r="L6015" s="6" t="n">
        <x:f>J6015*K6015</x:f>
        <x:v>0</x:v>
      </x:c>
    </x:row>
    <x:row r="6016">
      <x:c r="A6016" s="1" t="n">
        <x:v>47178</x:v>
      </x:c>
      <x:c r="B6016" s="5" t="d">
        <x:v>2016-11-19T00:00:00.000Z</x:v>
      </x:c>
      <x:c r="C6016" s="1" t="str">
        <x:v>Standard Class</x:v>
      </x:c>
      <x:c r="D6016" s="1" t="str">
        <x:v>Pacific Asia</x:v>
      </x:c>
      <x:c r="E6016" s="1" t="str">
        <x:v>PENDING_PAYMENT</x:v>
      </x:c>
      <x:c r="F6016" s="1" t="str">
        <x:v>Shipping on time</x:v>
      </x:c>
      <x:c r="G6016" s="6" t="n">
        <x:v>4</x:v>
      </x:c>
      <x:c r="H6016" s="6" t="n">
        <x:v>4</x:v>
      </x:c>
      <x:c r="I6016" s="6" t="n">
        <x:f>G6016-H6016</x:f>
        <x:v>0</x:v>
      </x:c>
      <x:c r="J6016" s="6" t="n">
        <x:f>IF(OR(E6016="CANCELED",E6016="SUSPECTED_FRAUD",F6016="Shipping canceled"),0,1)</x:f>
        <x:v>1</x:v>
      </x:c>
      <x:c r="K6016" s="6" t="n">
        <x:f>IF(G6016&gt;H6016,1,0)</x:f>
        <x:v>0</x:v>
      </x:c>
      <x:c r="L6016" s="6" t="n">
        <x:f>J6016*K6016</x:f>
        <x:v>0</x:v>
      </x:c>
    </x:row>
    <x:row r="6017">
      <x:c r="A6017" s="1" t="n">
        <x:v>47193</x:v>
      </x:c>
      <x:c r="B6017" s="5" t="d">
        <x:v>2016-11-19T00:00:00.000Z</x:v>
      </x:c>
      <x:c r="C6017" s="1" t="str">
        <x:v>Standard Class</x:v>
      </x:c>
      <x:c r="D6017" s="1" t="str">
        <x:v>Africa</x:v>
      </x:c>
      <x:c r="E6017" s="1" t="str">
        <x:v>PENDING</x:v>
      </x:c>
      <x:c r="F6017" s="1" t="str">
        <x:v>Shipping on time</x:v>
      </x:c>
      <x:c r="G6017" s="6" t="n">
        <x:v>4</x:v>
      </x:c>
      <x:c r="H6017" s="6" t="n">
        <x:v>4</x:v>
      </x:c>
      <x:c r="I6017" s="6" t="n">
        <x:f>G6017-H6017</x:f>
        <x:v>0</x:v>
      </x:c>
      <x:c r="J6017" s="6" t="n">
        <x:f>IF(OR(E6017="CANCELED",E6017="SUSPECTED_FRAUD",F6017="Shipping canceled"),0,1)</x:f>
        <x:v>1</x:v>
      </x:c>
      <x:c r="K6017" s="6" t="n">
        <x:f>IF(G6017&gt;H6017,1,0)</x:f>
        <x:v>0</x:v>
      </x:c>
      <x:c r="L6017" s="6" t="n">
        <x:f>J6017*K6017</x:f>
        <x:v>0</x:v>
      </x:c>
    </x:row>
    <x:row r="6018">
      <x:c r="A6018" s="1" t="n">
        <x:v>47199</x:v>
      </x:c>
      <x:c r="B6018" s="5" t="d">
        <x:v>2016-11-19T00:00:00.000Z</x:v>
      </x:c>
      <x:c r="C6018" s="1" t="str">
        <x:v>Standard Class</x:v>
      </x:c>
      <x:c r="D6018" s="1" t="str">
        <x:v>Europe</x:v>
      </x:c>
      <x:c r="E6018" s="1" t="str">
        <x:v>PROCESSING</x:v>
      </x:c>
      <x:c r="F6018" s="1" t="str">
        <x:v>Late delivery</x:v>
      </x:c>
      <x:c r="G6018" s="6" t="n">
        <x:v>5</x:v>
      </x:c>
      <x:c r="H6018" s="6" t="n">
        <x:v>4</x:v>
      </x:c>
      <x:c r="I6018" s="6" t="n">
        <x:f>G6018-H6018</x:f>
        <x:v>1</x:v>
      </x:c>
      <x:c r="J6018" s="6" t="n">
        <x:f>IF(OR(E6018="CANCELED",E6018="SUSPECTED_FRAUD",F6018="Shipping canceled"),0,1)</x:f>
        <x:v>1</x:v>
      </x:c>
      <x:c r="K6018" s="6" t="n">
        <x:f>IF(G6018&gt;H6018,1,0)</x:f>
        <x:v>1</x:v>
      </x:c>
      <x:c r="L6018" s="6" t="n">
        <x:f>J6018*K6018</x:f>
        <x:v>1</x:v>
      </x:c>
    </x:row>
    <x:row r="6019">
      <x:c r="A6019" s="1" t="n">
        <x:v>47208</x:v>
      </x:c>
      <x:c r="B6019" s="5" t="d">
        <x:v>2016-11-20T00:00:00.000Z</x:v>
      </x:c>
      <x:c r="C6019" s="1" t="str">
        <x:v>Standard Class</x:v>
      </x:c>
      <x:c r="D6019" s="1" t="str">
        <x:v>Africa</x:v>
      </x:c>
      <x:c r="E6019" s="1" t="str">
        <x:v>CANCELED</x:v>
      </x:c>
      <x:c r="F6019" s="1" t="str">
        <x:v>Shipping canceled</x:v>
      </x:c>
      <x:c r="G6019" s="6" t="n">
        <x:v>4</x:v>
      </x:c>
      <x:c r="H6019" s="6" t="n">
        <x:v>4</x:v>
      </x:c>
      <x:c r="I6019" s="6" t="n">
        <x:f>G6019-H6019</x:f>
        <x:v>0</x:v>
      </x:c>
      <x:c r="J6019" s="6" t="n">
        <x:f>IF(OR(E6019="CANCELED",E6019="SUSPECTED_FRAUD",F6019="Shipping canceled"),0,1)</x:f>
        <x:v>0</x:v>
      </x:c>
      <x:c r="K6019" s="6" t="n">
        <x:f>IF(G6019&gt;H6019,1,0)</x:f>
        <x:v>0</x:v>
      </x:c>
      <x:c r="L6019" s="6" t="n">
        <x:f>J6019*K6019</x:f>
        <x:v>0</x:v>
      </x:c>
    </x:row>
    <x:row r="6020">
      <x:c r="A6020" s="1" t="n">
        <x:v>47215</x:v>
      </x:c>
      <x:c r="B6020" s="5" t="d">
        <x:v>2016-11-20T00:00:00.000Z</x:v>
      </x:c>
      <x:c r="C6020" s="1" t="str">
        <x:v>Second Class</x:v>
      </x:c>
      <x:c r="D6020" s="1" t="str">
        <x:v>Africa</x:v>
      </x:c>
      <x:c r="E6020" s="1" t="str">
        <x:v>COMPLETE</x:v>
      </x:c>
      <x:c r="F6020" s="1" t="str">
        <x:v>Late delivery</x:v>
      </x:c>
      <x:c r="G6020" s="6" t="n">
        <x:v>6</x:v>
      </x:c>
      <x:c r="H6020" s="6" t="n">
        <x:v>2</x:v>
      </x:c>
      <x:c r="I6020" s="6" t="n">
        <x:f>G6020-H6020</x:f>
        <x:v>4</x:v>
      </x:c>
      <x:c r="J6020" s="6" t="n">
        <x:f>IF(OR(E6020="CANCELED",E6020="SUSPECTED_FRAUD",F6020="Shipping canceled"),0,1)</x:f>
        <x:v>1</x:v>
      </x:c>
      <x:c r="K6020" s="6" t="n">
        <x:f>IF(G6020&gt;H6020,1,0)</x:f>
        <x:v>1</x:v>
      </x:c>
      <x:c r="L6020" s="6" t="n">
        <x:f>J6020*K6020</x:f>
        <x:v>1</x:v>
      </x:c>
    </x:row>
    <x:row r="6021">
      <x:c r="A6021" s="1" t="n">
        <x:v>47227</x:v>
      </x:c>
      <x:c r="B6021" s="5" t="d">
        <x:v>2016-11-20T00:00:00.000Z</x:v>
      </x:c>
      <x:c r="C6021" s="1" t="str">
        <x:v>Second Class</x:v>
      </x:c>
      <x:c r="D6021" s="1" t="str">
        <x:v>Pacific Asia</x:v>
      </x:c>
      <x:c r="E6021" s="1" t="str">
        <x:v>COMPLETE</x:v>
      </x:c>
      <x:c r="F6021" s="1" t="str">
        <x:v>Late delivery</x:v>
      </x:c>
      <x:c r="G6021" s="6" t="n">
        <x:v>3</x:v>
      </x:c>
      <x:c r="H6021" s="6" t="n">
        <x:v>2</x:v>
      </x:c>
      <x:c r="I6021" s="6" t="n">
        <x:f>G6021-H6021</x:f>
        <x:v>1</x:v>
      </x:c>
      <x:c r="J6021" s="6" t="n">
        <x:f>IF(OR(E6021="CANCELED",E6021="SUSPECTED_FRAUD",F6021="Shipping canceled"),0,1)</x:f>
        <x:v>1</x:v>
      </x:c>
      <x:c r="K6021" s="6" t="n">
        <x:f>IF(G6021&gt;H6021,1,0)</x:f>
        <x:v>1</x:v>
      </x:c>
      <x:c r="L6021" s="6" t="n">
        <x:f>J6021*K6021</x:f>
        <x:v>1</x:v>
      </x:c>
    </x:row>
    <x:row r="6022">
      <x:c r="A6022" s="1" t="n">
        <x:v>47236</x:v>
      </x:c>
      <x:c r="B6022" s="5" t="d">
        <x:v>2016-11-20T00:00:00.000Z</x:v>
      </x:c>
      <x:c r="C6022" s="1" t="str">
        <x:v>Standard Class</x:v>
      </x:c>
      <x:c r="D6022" s="1" t="str">
        <x:v>Africa</x:v>
      </x:c>
      <x:c r="E6022" s="1" t="str">
        <x:v>PENDING</x:v>
      </x:c>
      <x:c r="F6022" s="1" t="str">
        <x:v>Advance shipping</x:v>
      </x:c>
      <x:c r="G6022" s="6" t="n">
        <x:v>2</x:v>
      </x:c>
      <x:c r="H6022" s="6" t="n">
        <x:v>4</x:v>
      </x:c>
      <x:c r="I6022" s="6" t="n">
        <x:f>G6022-H6022</x:f>
        <x:v>-2</x:v>
      </x:c>
      <x:c r="J6022" s="6" t="n">
        <x:f>IF(OR(E6022="CANCELED",E6022="SUSPECTED_FRAUD",F6022="Shipping canceled"),0,1)</x:f>
        <x:v>1</x:v>
      </x:c>
      <x:c r="K6022" s="6" t="n">
        <x:f>IF(G6022&gt;H6022,1,0)</x:f>
        <x:v>0</x:v>
      </x:c>
      <x:c r="L6022" s="6" t="n">
        <x:f>J6022*K6022</x:f>
        <x:v>0</x:v>
      </x:c>
    </x:row>
    <x:row r="6023">
      <x:c r="A6023" s="1" t="n">
        <x:v>47241</x:v>
      </x:c>
      <x:c r="B6023" s="5" t="d">
        <x:v>2016-11-20T00:00:00.000Z</x:v>
      </x:c>
      <x:c r="C6023" s="1" t="str">
        <x:v>First Class</x:v>
      </x:c>
      <x:c r="D6023" s="1" t="str">
        <x:v>Africa</x:v>
      </x:c>
      <x:c r="E6023" s="1" t="str">
        <x:v>PAYMENT_REVIEW</x:v>
      </x:c>
      <x:c r="F6023" s="1" t="str">
        <x:v>Late delivery</x:v>
      </x:c>
      <x:c r="G6023" s="6" t="n">
        <x:v>2</x:v>
      </x:c>
      <x:c r="H6023" s="6" t="n">
        <x:v>1</x:v>
      </x:c>
      <x:c r="I6023" s="6" t="n">
        <x:f>G6023-H6023</x:f>
        <x:v>1</x:v>
      </x:c>
      <x:c r="J6023" s="6" t="n">
        <x:f>IF(OR(E6023="CANCELED",E6023="SUSPECTED_FRAUD",F6023="Shipping canceled"),0,1)</x:f>
        <x:v>1</x:v>
      </x:c>
      <x:c r="K6023" s="6" t="n">
        <x:f>IF(G6023&gt;H6023,1,0)</x:f>
        <x:v>1</x:v>
      </x:c>
      <x:c r="L6023" s="6" t="n">
        <x:f>J6023*K6023</x:f>
        <x:v>1</x:v>
      </x:c>
    </x:row>
    <x:row r="6024">
      <x:c r="A6024" s="1" t="n">
        <x:v>47247</x:v>
      </x:c>
      <x:c r="B6024" s="5" t="d">
        <x:v>2016-11-20T00:00:00.000Z</x:v>
      </x:c>
      <x:c r="C6024" s="1" t="str">
        <x:v>Standard Class</x:v>
      </x:c>
      <x:c r="D6024" s="1" t="str">
        <x:v>Africa</x:v>
      </x:c>
      <x:c r="E6024" s="1" t="str">
        <x:v>CLOSED</x:v>
      </x:c>
      <x:c r="F6024" s="1" t="str">
        <x:v>Advance shipping</x:v>
      </x:c>
      <x:c r="G6024" s="6" t="n">
        <x:v>3</x:v>
      </x:c>
      <x:c r="H6024" s="6" t="n">
        <x:v>4</x:v>
      </x:c>
      <x:c r="I6024" s="6" t="n">
        <x:f>G6024-H6024</x:f>
        <x:v>-1</x:v>
      </x:c>
      <x:c r="J6024" s="6" t="n">
        <x:f>IF(OR(E6024="CANCELED",E6024="SUSPECTED_FRAUD",F6024="Shipping canceled"),0,1)</x:f>
        <x:v>1</x:v>
      </x:c>
      <x:c r="K6024" s="6" t="n">
        <x:f>IF(G6024&gt;H6024,1,0)</x:f>
        <x:v>0</x:v>
      </x:c>
      <x:c r="L6024" s="6" t="n">
        <x:f>J6024*K6024</x:f>
        <x:v>0</x:v>
      </x:c>
    </x:row>
    <x:row r="6025">
      <x:c r="A6025" s="1" t="n">
        <x:v>47249</x:v>
      </x:c>
      <x:c r="B6025" s="5" t="d">
        <x:v>2016-11-20T00:00:00.000Z</x:v>
      </x:c>
      <x:c r="C6025" s="1" t="str">
        <x:v>Standard Class</x:v>
      </x:c>
      <x:c r="D6025" s="1" t="str">
        <x:v>Africa</x:v>
      </x:c>
      <x:c r="E6025" s="1" t="str">
        <x:v>PENDING</x:v>
      </x:c>
      <x:c r="F6025" s="1" t="str">
        <x:v>Late delivery</x:v>
      </x:c>
      <x:c r="G6025" s="6" t="n">
        <x:v>5</x:v>
      </x:c>
      <x:c r="H6025" s="6" t="n">
        <x:v>4</x:v>
      </x:c>
      <x:c r="I6025" s="6" t="n">
        <x:f>G6025-H6025</x:f>
        <x:v>1</x:v>
      </x:c>
      <x:c r="J6025" s="6" t="n">
        <x:f>IF(OR(E6025="CANCELED",E6025="SUSPECTED_FRAUD",F6025="Shipping canceled"),0,1)</x:f>
        <x:v>1</x:v>
      </x:c>
      <x:c r="K6025" s="6" t="n">
        <x:f>IF(G6025&gt;H6025,1,0)</x:f>
        <x:v>1</x:v>
      </x:c>
      <x:c r="L6025" s="6" t="n">
        <x:f>J6025*K6025</x:f>
        <x:v>1</x:v>
      </x:c>
    </x:row>
    <x:row r="6026">
      <x:c r="A6026" s="1" t="n">
        <x:v>47253</x:v>
      </x:c>
      <x:c r="B6026" s="5" t="d">
        <x:v>2016-11-20T00:00:00.000Z</x:v>
      </x:c>
      <x:c r="C6026" s="1" t="str">
        <x:v>First Class</x:v>
      </x:c>
      <x:c r="D6026" s="1" t="str">
        <x:v>Africa</x:v>
      </x:c>
      <x:c r="E6026" s="1" t="str">
        <x:v>PENDING_PAYMENT</x:v>
      </x:c>
      <x:c r="F6026" s="1" t="str">
        <x:v>Late delivery</x:v>
      </x:c>
      <x:c r="G6026" s="6" t="n">
        <x:v>2</x:v>
      </x:c>
      <x:c r="H6026" s="6" t="n">
        <x:v>1</x:v>
      </x:c>
      <x:c r="I6026" s="6" t="n">
        <x:f>G6026-H6026</x:f>
        <x:v>1</x:v>
      </x:c>
      <x:c r="J6026" s="6" t="n">
        <x:f>IF(OR(E6026="CANCELED",E6026="SUSPECTED_FRAUD",F6026="Shipping canceled"),0,1)</x:f>
        <x:v>1</x:v>
      </x:c>
      <x:c r="K6026" s="6" t="n">
        <x:f>IF(G6026&gt;H6026,1,0)</x:f>
        <x:v>1</x:v>
      </x:c>
      <x:c r="L6026" s="6" t="n">
        <x:f>J6026*K6026</x:f>
        <x:v>1</x:v>
      </x:c>
    </x:row>
    <x:row r="6027">
      <x:c r="A6027" s="1" t="n">
        <x:v>47262</x:v>
      </x:c>
      <x:c r="B6027" s="5" t="d">
        <x:v>2016-11-20T00:00:00.000Z</x:v>
      </x:c>
      <x:c r="C6027" s="1" t="str">
        <x:v>Second Class</x:v>
      </x:c>
      <x:c r="D6027" s="1" t="str">
        <x:v>Africa</x:v>
      </x:c>
      <x:c r="E6027" s="1" t="str">
        <x:v>PAYMENT_REVIEW</x:v>
      </x:c>
      <x:c r="F6027" s="1" t="str">
        <x:v>Late delivery</x:v>
      </x:c>
      <x:c r="G6027" s="6" t="n">
        <x:v>3</x:v>
      </x:c>
      <x:c r="H6027" s="6" t="n">
        <x:v>2</x:v>
      </x:c>
      <x:c r="I6027" s="6" t="n">
        <x:f>G6027-H6027</x:f>
        <x:v>1</x:v>
      </x:c>
      <x:c r="J6027" s="6" t="n">
        <x:f>IF(OR(E6027="CANCELED",E6027="SUSPECTED_FRAUD",F6027="Shipping canceled"),0,1)</x:f>
        <x:v>1</x:v>
      </x:c>
      <x:c r="K6027" s="6" t="n">
        <x:f>IF(G6027&gt;H6027,1,0)</x:f>
        <x:v>1</x:v>
      </x:c>
      <x:c r="L6027" s="6" t="n">
        <x:f>J6027*K6027</x:f>
        <x:v>1</x:v>
      </x:c>
    </x:row>
    <x:row r="6028">
      <x:c r="A6028" s="1" t="n">
        <x:v>47265</x:v>
      </x:c>
      <x:c r="B6028" s="5" t="d">
        <x:v>2016-11-20T00:00:00.000Z</x:v>
      </x:c>
      <x:c r="C6028" s="1" t="str">
        <x:v>Standard Class</x:v>
      </x:c>
      <x:c r="D6028" s="1" t="str">
        <x:v>Africa</x:v>
      </x:c>
      <x:c r="E6028" s="1" t="str">
        <x:v>PROCESSING</x:v>
      </x:c>
      <x:c r="F6028" s="1" t="str">
        <x:v>Late delivery</x:v>
      </x:c>
      <x:c r="G6028" s="6" t="n">
        <x:v>6</x:v>
      </x:c>
      <x:c r="H6028" s="6" t="n">
        <x:v>4</x:v>
      </x:c>
      <x:c r="I6028" s="6" t="n">
        <x:f>G6028-H6028</x:f>
        <x:v>2</x:v>
      </x:c>
      <x:c r="J6028" s="6" t="n">
        <x:f>IF(OR(E6028="CANCELED",E6028="SUSPECTED_FRAUD",F6028="Shipping canceled"),0,1)</x:f>
        <x:v>1</x:v>
      </x:c>
      <x:c r="K6028" s="6" t="n">
        <x:f>IF(G6028&gt;H6028,1,0)</x:f>
        <x:v>1</x:v>
      </x:c>
      <x:c r="L6028" s="6" t="n">
        <x:f>J6028*K6028</x:f>
        <x:v>1</x:v>
      </x:c>
    </x:row>
    <x:row r="6029">
      <x:c r="A6029" s="1" t="n">
        <x:v>47286</x:v>
      </x:c>
      <x:c r="B6029" s="5" t="d">
        <x:v>2016-11-21T00:00:00.000Z</x:v>
      </x:c>
      <x:c r="C6029" s="1" t="str">
        <x:v>Standard Class</x:v>
      </x:c>
      <x:c r="D6029" s="1" t="str">
        <x:v>Pacific Asia</x:v>
      </x:c>
      <x:c r="E6029" s="1" t="str">
        <x:v>COMPLETE</x:v>
      </x:c>
      <x:c r="F6029" s="1" t="str">
        <x:v>Advance shipping</x:v>
      </x:c>
      <x:c r="G6029" s="6" t="n">
        <x:v>2</x:v>
      </x:c>
      <x:c r="H6029" s="6" t="n">
        <x:v>4</x:v>
      </x:c>
      <x:c r="I6029" s="6" t="n">
        <x:f>G6029-H6029</x:f>
        <x:v>-2</x:v>
      </x:c>
      <x:c r="J6029" s="6" t="n">
        <x:f>IF(OR(E6029="CANCELED",E6029="SUSPECTED_FRAUD",F6029="Shipping canceled"),0,1)</x:f>
        <x:v>1</x:v>
      </x:c>
      <x:c r="K6029" s="6" t="n">
        <x:f>IF(G6029&gt;H6029,1,0)</x:f>
        <x:v>0</x:v>
      </x:c>
      <x:c r="L6029" s="6" t="n">
        <x:f>J6029*K6029</x:f>
        <x:v>0</x:v>
      </x:c>
    </x:row>
    <x:row r="6030">
      <x:c r="A6030" s="1" t="n">
        <x:v>47291</x:v>
      </x:c>
      <x:c r="B6030" s="5" t="d">
        <x:v>2016-11-21T00:00:00.000Z</x:v>
      </x:c>
      <x:c r="C6030" s="1" t="str">
        <x:v>Standard Class</x:v>
      </x:c>
      <x:c r="D6030" s="1" t="str">
        <x:v>Pacific Asia</x:v>
      </x:c>
      <x:c r="E6030" s="1" t="str">
        <x:v>CLOSED</x:v>
      </x:c>
      <x:c r="F6030" s="1" t="str">
        <x:v>Advance shipping</x:v>
      </x:c>
      <x:c r="G6030" s="6" t="n">
        <x:v>2</x:v>
      </x:c>
      <x:c r="H6030" s="6" t="n">
        <x:v>4</x:v>
      </x:c>
      <x:c r="I6030" s="6" t="n">
        <x:f>G6030-H6030</x:f>
        <x:v>-2</x:v>
      </x:c>
      <x:c r="J6030" s="6" t="n">
        <x:f>IF(OR(E6030="CANCELED",E6030="SUSPECTED_FRAUD",F6030="Shipping canceled"),0,1)</x:f>
        <x:v>1</x:v>
      </x:c>
      <x:c r="K6030" s="6" t="n">
        <x:f>IF(G6030&gt;H6030,1,0)</x:f>
        <x:v>0</x:v>
      </x:c>
      <x:c r="L6030" s="6" t="n">
        <x:f>J6030*K6030</x:f>
        <x:v>0</x:v>
      </x:c>
    </x:row>
    <x:row r="6031">
      <x:c r="A6031" s="1" t="n">
        <x:v>47310</x:v>
      </x:c>
      <x:c r="B6031" s="5" t="d">
        <x:v>2016-11-21T00:00:00.000Z</x:v>
      </x:c>
      <x:c r="C6031" s="1" t="str">
        <x:v>Standard Class</x:v>
      </x:c>
      <x:c r="D6031" s="1" t="str">
        <x:v>Africa</x:v>
      </x:c>
      <x:c r="E6031" s="1" t="str">
        <x:v>COMPLETE</x:v>
      </x:c>
      <x:c r="F6031" s="1" t="str">
        <x:v>Late delivery</x:v>
      </x:c>
      <x:c r="G6031" s="6" t="n">
        <x:v>6</x:v>
      </x:c>
      <x:c r="H6031" s="6" t="n">
        <x:v>4</x:v>
      </x:c>
      <x:c r="I6031" s="6" t="n">
        <x:f>G6031-H6031</x:f>
        <x:v>2</x:v>
      </x:c>
      <x:c r="J6031" s="6" t="n">
        <x:f>IF(OR(E6031="CANCELED",E6031="SUSPECTED_FRAUD",F6031="Shipping canceled"),0,1)</x:f>
        <x:v>1</x:v>
      </x:c>
      <x:c r="K6031" s="6" t="n">
        <x:f>IF(G6031&gt;H6031,1,0)</x:f>
        <x:v>1</x:v>
      </x:c>
      <x:c r="L6031" s="6" t="n">
        <x:f>J6031*K6031</x:f>
        <x:v>1</x:v>
      </x:c>
    </x:row>
    <x:row r="6032">
      <x:c r="A6032" s="1" t="n">
        <x:v>47321</x:v>
      </x:c>
      <x:c r="B6032" s="5" t="d">
        <x:v>2016-11-21T00:00:00.000Z</x:v>
      </x:c>
      <x:c r="C6032" s="1" t="str">
        <x:v>Second Class</x:v>
      </x:c>
      <x:c r="D6032" s="1" t="str">
        <x:v>Europe</x:v>
      </x:c>
      <x:c r="E6032" s="1" t="str">
        <x:v>COMPLETE</x:v>
      </x:c>
      <x:c r="F6032" s="1" t="str">
        <x:v>Shipping on time</x:v>
      </x:c>
      <x:c r="G6032" s="6" t="n">
        <x:v>2</x:v>
      </x:c>
      <x:c r="H6032" s="6" t="n">
        <x:v>2</x:v>
      </x:c>
      <x:c r="I6032" s="6" t="n">
        <x:f>G6032-H6032</x:f>
        <x:v>0</x:v>
      </x:c>
      <x:c r="J6032" s="6" t="n">
        <x:f>IF(OR(E6032="CANCELED",E6032="SUSPECTED_FRAUD",F6032="Shipping canceled"),0,1)</x:f>
        <x:v>1</x:v>
      </x:c>
      <x:c r="K6032" s="6" t="n">
        <x:f>IF(G6032&gt;H6032,1,0)</x:f>
        <x:v>0</x:v>
      </x:c>
      <x:c r="L6032" s="6" t="n">
        <x:f>J6032*K6032</x:f>
        <x:v>0</x:v>
      </x:c>
    </x:row>
    <x:row r="6033">
      <x:c r="A6033" s="1" t="n">
        <x:v>47329</x:v>
      </x:c>
      <x:c r="B6033" s="5" t="d">
        <x:v>2016-11-21T00:00:00.000Z</x:v>
      </x:c>
      <x:c r="C6033" s="1" t="str">
        <x:v>Standard Class</x:v>
      </x:c>
      <x:c r="D6033" s="1" t="str">
        <x:v>Africa</x:v>
      </x:c>
      <x:c r="E6033" s="1" t="str">
        <x:v>PROCESSING</x:v>
      </x:c>
      <x:c r="F6033" s="1" t="str">
        <x:v>Late delivery</x:v>
      </x:c>
      <x:c r="G6033" s="6" t="n">
        <x:v>5</x:v>
      </x:c>
      <x:c r="H6033" s="6" t="n">
        <x:v>4</x:v>
      </x:c>
      <x:c r="I6033" s="6" t="n">
        <x:f>G6033-H6033</x:f>
        <x:v>1</x:v>
      </x:c>
      <x:c r="J6033" s="6" t="n">
        <x:f>IF(OR(E6033="CANCELED",E6033="SUSPECTED_FRAUD",F6033="Shipping canceled"),0,1)</x:f>
        <x:v>1</x:v>
      </x:c>
      <x:c r="K6033" s="6" t="n">
        <x:f>IF(G6033&gt;H6033,1,0)</x:f>
        <x:v>1</x:v>
      </x:c>
      <x:c r="L6033" s="6" t="n">
        <x:f>J6033*K6033</x:f>
        <x:v>1</x:v>
      </x:c>
    </x:row>
    <x:row r="6034">
      <x:c r="A6034" s="1" t="n">
        <x:v>47330</x:v>
      </x:c>
      <x:c r="B6034" s="5" t="d">
        <x:v>2016-11-21T00:00:00.000Z</x:v>
      </x:c>
      <x:c r="C6034" s="1" t="str">
        <x:v>Standard Class</x:v>
      </x:c>
      <x:c r="D6034" s="1" t="str">
        <x:v>Africa</x:v>
      </x:c>
      <x:c r="E6034" s="1" t="str">
        <x:v>PENDING_PAYMENT</x:v>
      </x:c>
      <x:c r="F6034" s="1" t="str">
        <x:v>Late delivery</x:v>
      </x:c>
      <x:c r="G6034" s="6" t="n">
        <x:v>6</x:v>
      </x:c>
      <x:c r="H6034" s="6" t="n">
        <x:v>4</x:v>
      </x:c>
      <x:c r="I6034" s="6" t="n">
        <x:f>G6034-H6034</x:f>
        <x:v>2</x:v>
      </x:c>
      <x:c r="J6034" s="6" t="n">
        <x:f>IF(OR(E6034="CANCELED",E6034="SUSPECTED_FRAUD",F6034="Shipping canceled"),0,1)</x:f>
        <x:v>1</x:v>
      </x:c>
      <x:c r="K6034" s="6" t="n">
        <x:f>IF(G6034&gt;H6034,1,0)</x:f>
        <x:v>1</x:v>
      </x:c>
      <x:c r="L6034" s="6" t="n">
        <x:f>J6034*K6034</x:f>
        <x:v>1</x:v>
      </x:c>
    </x:row>
    <x:row r="6035">
      <x:c r="A6035" s="1" t="n">
        <x:v>47335</x:v>
      </x:c>
      <x:c r="B6035" s="5" t="d">
        <x:v>2016-11-21T00:00:00.000Z</x:v>
      </x:c>
      <x:c r="C6035" s="1" t="str">
        <x:v>Standard Class</x:v>
      </x:c>
      <x:c r="D6035" s="1" t="str">
        <x:v>Europe</x:v>
      </x:c>
      <x:c r="E6035" s="1" t="str">
        <x:v>ON_HOLD</x:v>
      </x:c>
      <x:c r="F6035" s="1" t="str">
        <x:v>Late delivery</x:v>
      </x:c>
      <x:c r="G6035" s="6" t="n">
        <x:v>6</x:v>
      </x:c>
      <x:c r="H6035" s="6" t="n">
        <x:v>4</x:v>
      </x:c>
      <x:c r="I6035" s="6" t="n">
        <x:f>G6035-H6035</x:f>
        <x:v>2</x:v>
      </x:c>
      <x:c r="J6035" s="6" t="n">
        <x:f>IF(OR(E6035="CANCELED",E6035="SUSPECTED_FRAUD",F6035="Shipping canceled"),0,1)</x:f>
        <x:v>1</x:v>
      </x:c>
      <x:c r="K6035" s="6" t="n">
        <x:f>IF(G6035&gt;H6035,1,0)</x:f>
        <x:v>1</x:v>
      </x:c>
      <x:c r="L6035" s="6" t="n">
        <x:f>J6035*K6035</x:f>
        <x:v>1</x:v>
      </x:c>
    </x:row>
    <x:row r="6036">
      <x:c r="A6036" s="1" t="n">
        <x:v>47343</x:v>
      </x:c>
      <x:c r="B6036" s="5" t="d">
        <x:v>2016-11-22T00:00:00.000Z</x:v>
      </x:c>
      <x:c r="C6036" s="1" t="str">
        <x:v>Standard Class</x:v>
      </x:c>
      <x:c r="D6036" s="1" t="str">
        <x:v>Africa</x:v>
      </x:c>
      <x:c r="E6036" s="1" t="str">
        <x:v>PROCESSING</x:v>
      </x:c>
      <x:c r="F6036" s="1" t="str">
        <x:v>Shipping on time</x:v>
      </x:c>
      <x:c r="G6036" s="6" t="n">
        <x:v>4</x:v>
      </x:c>
      <x:c r="H6036" s="6" t="n">
        <x:v>4</x:v>
      </x:c>
      <x:c r="I6036" s="6" t="n">
        <x:f>G6036-H6036</x:f>
        <x:v>0</x:v>
      </x:c>
      <x:c r="J6036" s="6" t="n">
        <x:f>IF(OR(E6036="CANCELED",E6036="SUSPECTED_FRAUD",F6036="Shipping canceled"),0,1)</x:f>
        <x:v>1</x:v>
      </x:c>
      <x:c r="K6036" s="6" t="n">
        <x:f>IF(G6036&gt;H6036,1,0)</x:f>
        <x:v>0</x:v>
      </x:c>
      <x:c r="L6036" s="6" t="n">
        <x:f>J6036*K6036</x:f>
        <x:v>0</x:v>
      </x:c>
    </x:row>
    <x:row r="6037">
      <x:c r="A6037" s="1" t="n">
        <x:v>47352</x:v>
      </x:c>
      <x:c r="B6037" s="5" t="d">
        <x:v>2016-11-22T00:00:00.000Z</x:v>
      </x:c>
      <x:c r="C6037" s="1" t="str">
        <x:v>Standard Class</x:v>
      </x:c>
      <x:c r="D6037" s="1" t="str">
        <x:v>Pacific Asia</x:v>
      </x:c>
      <x:c r="E6037" s="1" t="str">
        <x:v>COMPLETE</x:v>
      </x:c>
      <x:c r="F6037" s="1" t="str">
        <x:v>Advance shipping</x:v>
      </x:c>
      <x:c r="G6037" s="6" t="n">
        <x:v>3</x:v>
      </x:c>
      <x:c r="H6037" s="6" t="n">
        <x:v>4</x:v>
      </x:c>
      <x:c r="I6037" s="6" t="n">
        <x:f>G6037-H6037</x:f>
        <x:v>-1</x:v>
      </x:c>
      <x:c r="J6037" s="6" t="n">
        <x:f>IF(OR(E6037="CANCELED",E6037="SUSPECTED_FRAUD",F6037="Shipping canceled"),0,1)</x:f>
        <x:v>1</x:v>
      </x:c>
      <x:c r="K6037" s="6" t="n">
        <x:f>IF(G6037&gt;H6037,1,0)</x:f>
        <x:v>0</x:v>
      </x:c>
      <x:c r="L6037" s="6" t="n">
        <x:f>J6037*K6037</x:f>
        <x:v>0</x:v>
      </x:c>
    </x:row>
    <x:row r="6038">
      <x:c r="A6038" s="1" t="n">
        <x:v>47364</x:v>
      </x:c>
      <x:c r="B6038" s="5" t="d">
        <x:v>2016-11-22T00:00:00.000Z</x:v>
      </x:c>
      <x:c r="C6038" s="1" t="str">
        <x:v>Standard Class</x:v>
      </x:c>
      <x:c r="D6038" s="1" t="str">
        <x:v>Pacific Asia</x:v>
      </x:c>
      <x:c r="E6038" s="1" t="str">
        <x:v>PENDING</x:v>
      </x:c>
      <x:c r="F6038" s="1" t="str">
        <x:v>Late delivery</x:v>
      </x:c>
      <x:c r="G6038" s="6" t="n">
        <x:v>5</x:v>
      </x:c>
      <x:c r="H6038" s="6" t="n">
        <x:v>4</x:v>
      </x:c>
      <x:c r="I6038" s="6" t="n">
        <x:f>G6038-H6038</x:f>
        <x:v>1</x:v>
      </x:c>
      <x:c r="J6038" s="6" t="n">
        <x:f>IF(OR(E6038="CANCELED",E6038="SUSPECTED_FRAUD",F6038="Shipping canceled"),0,1)</x:f>
        <x:v>1</x:v>
      </x:c>
      <x:c r="K6038" s="6" t="n">
        <x:f>IF(G6038&gt;H6038,1,0)</x:f>
        <x:v>1</x:v>
      </x:c>
      <x:c r="L6038" s="6" t="n">
        <x:f>J6038*K6038</x:f>
        <x:v>1</x:v>
      </x:c>
    </x:row>
    <x:row r="6039">
      <x:c r="A6039" s="1" t="n">
        <x:v>47369</x:v>
      </x:c>
      <x:c r="B6039" s="5" t="d">
        <x:v>2016-11-22T00:00:00.000Z</x:v>
      </x:c>
      <x:c r="C6039" s="1" t="str">
        <x:v>Standard Class</x:v>
      </x:c>
      <x:c r="D6039" s="1" t="str">
        <x:v>Europe</x:v>
      </x:c>
      <x:c r="E6039" s="1" t="str">
        <x:v>PENDING_PAYMENT</x:v>
      </x:c>
      <x:c r="F6039" s="1" t="str">
        <x:v>Late delivery</x:v>
      </x:c>
      <x:c r="G6039" s="6" t="n">
        <x:v>5</x:v>
      </x:c>
      <x:c r="H6039" s="6" t="n">
        <x:v>4</x:v>
      </x:c>
      <x:c r="I6039" s="6" t="n">
        <x:f>G6039-H6039</x:f>
        <x:v>1</x:v>
      </x:c>
      <x:c r="J6039" s="6" t="n">
        <x:f>IF(OR(E6039="CANCELED",E6039="SUSPECTED_FRAUD",F6039="Shipping canceled"),0,1)</x:f>
        <x:v>1</x:v>
      </x:c>
      <x:c r="K6039" s="6" t="n">
        <x:f>IF(G6039&gt;H6039,1,0)</x:f>
        <x:v>1</x:v>
      </x:c>
      <x:c r="L6039" s="6" t="n">
        <x:f>J6039*K6039</x:f>
        <x:v>1</x:v>
      </x:c>
    </x:row>
    <x:row r="6040">
      <x:c r="A6040" s="1" t="n">
        <x:v>47371</x:v>
      </x:c>
      <x:c r="B6040" s="5" t="d">
        <x:v>2016-11-22T00:00:00.000Z</x:v>
      </x:c>
      <x:c r="C6040" s="1" t="str">
        <x:v>Standard Class</x:v>
      </x:c>
      <x:c r="D6040" s="1" t="str">
        <x:v>Pacific Asia</x:v>
      </x:c>
      <x:c r="E6040" s="1" t="str">
        <x:v>ON_HOLD</x:v>
      </x:c>
      <x:c r="F6040" s="1" t="str">
        <x:v>Advance shipping</x:v>
      </x:c>
      <x:c r="G6040" s="6" t="n">
        <x:v>2</x:v>
      </x:c>
      <x:c r="H6040" s="6" t="n">
        <x:v>4</x:v>
      </x:c>
      <x:c r="I6040" s="6" t="n">
        <x:f>G6040-H6040</x:f>
        <x:v>-2</x:v>
      </x:c>
      <x:c r="J6040" s="6" t="n">
        <x:f>IF(OR(E6040="CANCELED",E6040="SUSPECTED_FRAUD",F6040="Shipping canceled"),0,1)</x:f>
        <x:v>1</x:v>
      </x:c>
      <x:c r="K6040" s="6" t="n">
        <x:f>IF(G6040&gt;H6040,1,0)</x:f>
        <x:v>0</x:v>
      </x:c>
      <x:c r="L6040" s="6" t="n">
        <x:f>J6040*K6040</x:f>
        <x:v>0</x:v>
      </x:c>
    </x:row>
    <x:row r="6041">
      <x:c r="A6041" s="1" t="n">
        <x:v>47388</x:v>
      </x:c>
      <x:c r="B6041" s="5" t="d">
        <x:v>2016-11-22T00:00:00.000Z</x:v>
      </x:c>
      <x:c r="C6041" s="1" t="str">
        <x:v>Standard Class</x:v>
      </x:c>
      <x:c r="D6041" s="1" t="str">
        <x:v>Africa</x:v>
      </x:c>
      <x:c r="E6041" s="1" t="str">
        <x:v>COMPLETE</x:v>
      </x:c>
      <x:c r="F6041" s="1" t="str">
        <x:v>Shipping on time</x:v>
      </x:c>
      <x:c r="G6041" s="6" t="n">
        <x:v>4</x:v>
      </x:c>
      <x:c r="H6041" s="6" t="n">
        <x:v>4</x:v>
      </x:c>
      <x:c r="I6041" s="6" t="n">
        <x:f>G6041-H6041</x:f>
        <x:v>0</x:v>
      </x:c>
      <x:c r="J6041" s="6" t="n">
        <x:f>IF(OR(E6041="CANCELED",E6041="SUSPECTED_FRAUD",F6041="Shipping canceled"),0,1)</x:f>
        <x:v>1</x:v>
      </x:c>
      <x:c r="K6041" s="6" t="n">
        <x:f>IF(G6041&gt;H6041,1,0)</x:f>
        <x:v>0</x:v>
      </x:c>
      <x:c r="L6041" s="6" t="n">
        <x:f>J6041*K6041</x:f>
        <x:v>0</x:v>
      </x:c>
    </x:row>
    <x:row r="6042">
      <x:c r="A6042" s="1" t="n">
        <x:v>47394</x:v>
      </x:c>
      <x:c r="B6042" s="5" t="d">
        <x:v>2016-11-22T00:00:00.000Z</x:v>
      </x:c>
      <x:c r="C6042" s="1" t="str">
        <x:v>Standard Class</x:v>
      </x:c>
      <x:c r="D6042" s="1" t="str">
        <x:v>Pacific Asia</x:v>
      </x:c>
      <x:c r="E6042" s="1" t="str">
        <x:v>PENDING</x:v>
      </x:c>
      <x:c r="F6042" s="1" t="str">
        <x:v>Late delivery</x:v>
      </x:c>
      <x:c r="G6042" s="6" t="n">
        <x:v>5</x:v>
      </x:c>
      <x:c r="H6042" s="6" t="n">
        <x:v>4</x:v>
      </x:c>
      <x:c r="I6042" s="6" t="n">
        <x:f>G6042-H6042</x:f>
        <x:v>1</x:v>
      </x:c>
      <x:c r="J6042" s="6" t="n">
        <x:f>IF(OR(E6042="CANCELED",E6042="SUSPECTED_FRAUD",F6042="Shipping canceled"),0,1)</x:f>
        <x:v>1</x:v>
      </x:c>
      <x:c r="K6042" s="6" t="n">
        <x:f>IF(G6042&gt;H6042,1,0)</x:f>
        <x:v>1</x:v>
      </x:c>
      <x:c r="L6042" s="6" t="n">
        <x:f>J6042*K6042</x:f>
        <x:v>1</x:v>
      </x:c>
    </x:row>
    <x:row r="6043">
      <x:c r="A6043" s="1" t="n">
        <x:v>47398</x:v>
      </x:c>
      <x:c r="B6043" s="5" t="d">
        <x:v>2016-11-22T00:00:00.000Z</x:v>
      </x:c>
      <x:c r="C6043" s="1" t="str">
        <x:v>Standard Class</x:v>
      </x:c>
      <x:c r="D6043" s="1" t="str">
        <x:v>Africa</x:v>
      </x:c>
      <x:c r="E6043" s="1" t="str">
        <x:v>PROCESSING</x:v>
      </x:c>
      <x:c r="F6043" s="1" t="str">
        <x:v>Shipping on time</x:v>
      </x:c>
      <x:c r="G6043" s="6" t="n">
        <x:v>4</x:v>
      </x:c>
      <x:c r="H6043" s="6" t="n">
        <x:v>4</x:v>
      </x:c>
      <x:c r="I6043" s="6" t="n">
        <x:f>G6043-H6043</x:f>
        <x:v>0</x:v>
      </x:c>
      <x:c r="J6043" s="6" t="n">
        <x:f>IF(OR(E6043="CANCELED",E6043="SUSPECTED_FRAUD",F6043="Shipping canceled"),0,1)</x:f>
        <x:v>1</x:v>
      </x:c>
      <x:c r="K6043" s="6" t="n">
        <x:f>IF(G6043&gt;H6043,1,0)</x:f>
        <x:v>0</x:v>
      </x:c>
      <x:c r="L6043" s="6" t="n">
        <x:f>J6043*K6043</x:f>
        <x:v>0</x:v>
      </x:c>
    </x:row>
    <x:row r="6044">
      <x:c r="A6044" s="1" t="n">
        <x:v>47425</x:v>
      </x:c>
      <x:c r="B6044" s="5" t="d">
        <x:v>2016-11-23T00:00:00.000Z</x:v>
      </x:c>
      <x:c r="C6044" s="1" t="str">
        <x:v>Standard Class</x:v>
      </x:c>
      <x:c r="D6044" s="1" t="str">
        <x:v>Europe</x:v>
      </x:c>
      <x:c r="E6044" s="1" t="str">
        <x:v>COMPLETE</x:v>
      </x:c>
      <x:c r="F6044" s="1" t="str">
        <x:v>Late delivery</x:v>
      </x:c>
      <x:c r="G6044" s="6" t="n">
        <x:v>6</x:v>
      </x:c>
      <x:c r="H6044" s="6" t="n">
        <x:v>4</x:v>
      </x:c>
      <x:c r="I6044" s="6" t="n">
        <x:f>G6044-H6044</x:f>
        <x:v>2</x:v>
      </x:c>
      <x:c r="J6044" s="6" t="n">
        <x:f>IF(OR(E6044="CANCELED",E6044="SUSPECTED_FRAUD",F6044="Shipping canceled"),0,1)</x:f>
        <x:v>1</x:v>
      </x:c>
      <x:c r="K6044" s="6" t="n">
        <x:f>IF(G6044&gt;H6044,1,0)</x:f>
        <x:v>1</x:v>
      </x:c>
      <x:c r="L6044" s="6" t="n">
        <x:f>J6044*K6044</x:f>
        <x:v>1</x:v>
      </x:c>
    </x:row>
    <x:row r="6045">
      <x:c r="A6045" s="1" t="n">
        <x:v>47429</x:v>
      </x:c>
      <x:c r="B6045" s="5" t="d">
        <x:v>2016-11-23T00:00:00.000Z</x:v>
      </x:c>
      <x:c r="C6045" s="1" t="str">
        <x:v>Standard Class</x:v>
      </x:c>
      <x:c r="D6045" s="1" t="str">
        <x:v>Europe</x:v>
      </x:c>
      <x:c r="E6045" s="1" t="str">
        <x:v>PROCESSING</x:v>
      </x:c>
      <x:c r="F6045" s="1" t="str">
        <x:v>Late delivery</x:v>
      </x:c>
      <x:c r="G6045" s="6" t="n">
        <x:v>5</x:v>
      </x:c>
      <x:c r="H6045" s="6" t="n">
        <x:v>4</x:v>
      </x:c>
      <x:c r="I6045" s="6" t="n">
        <x:f>G6045-H6045</x:f>
        <x:v>1</x:v>
      </x:c>
      <x:c r="J6045" s="6" t="n">
        <x:f>IF(OR(E6045="CANCELED",E6045="SUSPECTED_FRAUD",F6045="Shipping canceled"),0,1)</x:f>
        <x:v>1</x:v>
      </x:c>
      <x:c r="K6045" s="6" t="n">
        <x:f>IF(G6045&gt;H6045,1,0)</x:f>
        <x:v>1</x:v>
      </x:c>
      <x:c r="L6045" s="6" t="n">
        <x:f>J6045*K6045</x:f>
        <x:v>1</x:v>
      </x:c>
    </x:row>
    <x:row r="6046">
      <x:c r="A6046" s="1" t="n">
        <x:v>47436</x:v>
      </x:c>
      <x:c r="B6046" s="5" t="d">
        <x:v>2016-11-23T00:00:00.000Z</x:v>
      </x:c>
      <x:c r="C6046" s="1" t="str">
        <x:v>Standard Class</x:v>
      </x:c>
      <x:c r="D6046" s="1" t="str">
        <x:v>Africa</x:v>
      </x:c>
      <x:c r="E6046" s="1" t="str">
        <x:v>PENDING</x:v>
      </x:c>
      <x:c r="F6046" s="1" t="str">
        <x:v>Advance shipping</x:v>
      </x:c>
      <x:c r="G6046" s="6" t="n">
        <x:v>2</x:v>
      </x:c>
      <x:c r="H6046" s="6" t="n">
        <x:v>4</x:v>
      </x:c>
      <x:c r="I6046" s="6" t="n">
        <x:f>G6046-H6046</x:f>
        <x:v>-2</x:v>
      </x:c>
      <x:c r="J6046" s="6" t="n">
        <x:f>IF(OR(E6046="CANCELED",E6046="SUSPECTED_FRAUD",F6046="Shipping canceled"),0,1)</x:f>
        <x:v>1</x:v>
      </x:c>
      <x:c r="K6046" s="6" t="n">
        <x:f>IF(G6046&gt;H6046,1,0)</x:f>
        <x:v>0</x:v>
      </x:c>
      <x:c r="L6046" s="6" t="n">
        <x:f>J6046*K6046</x:f>
        <x:v>0</x:v>
      </x:c>
    </x:row>
    <x:row r="6047">
      <x:c r="A6047" s="1" t="n">
        <x:v>47439</x:v>
      </x:c>
      <x:c r="B6047" s="5" t="d">
        <x:v>2016-11-23T00:00:00.000Z</x:v>
      </x:c>
      <x:c r="C6047" s="1" t="str">
        <x:v>Standard Class</x:v>
      </x:c>
      <x:c r="D6047" s="1" t="str">
        <x:v>Pacific Asia</x:v>
      </x:c>
      <x:c r="E6047" s="1" t="str">
        <x:v>PROCESSING</x:v>
      </x:c>
      <x:c r="F6047" s="1" t="str">
        <x:v>Late delivery</x:v>
      </x:c>
      <x:c r="G6047" s="6" t="n">
        <x:v>5</x:v>
      </x:c>
      <x:c r="H6047" s="6" t="n">
        <x:v>4</x:v>
      </x:c>
      <x:c r="I6047" s="6" t="n">
        <x:f>G6047-H6047</x:f>
        <x:v>1</x:v>
      </x:c>
      <x:c r="J6047" s="6" t="n">
        <x:f>IF(OR(E6047="CANCELED",E6047="SUSPECTED_FRAUD",F6047="Shipping canceled"),0,1)</x:f>
        <x:v>1</x:v>
      </x:c>
      <x:c r="K6047" s="6" t="n">
        <x:f>IF(G6047&gt;H6047,1,0)</x:f>
        <x:v>1</x:v>
      </x:c>
      <x:c r="L6047" s="6" t="n">
        <x:f>J6047*K6047</x:f>
        <x:v>1</x:v>
      </x:c>
    </x:row>
    <x:row r="6048">
      <x:c r="A6048" s="1" t="n">
        <x:v>47440</x:v>
      </x:c>
      <x:c r="B6048" s="5" t="d">
        <x:v>2016-11-23T00:00:00.000Z</x:v>
      </x:c>
      <x:c r="C6048" s="1" t="str">
        <x:v>Standard Class</x:v>
      </x:c>
      <x:c r="D6048" s="1" t="str">
        <x:v>Pacific Asia</x:v>
      </x:c>
      <x:c r="E6048" s="1" t="str">
        <x:v>PROCESSING</x:v>
      </x:c>
      <x:c r="F6048" s="1" t="str">
        <x:v>Late delivery</x:v>
      </x:c>
      <x:c r="G6048" s="6" t="n">
        <x:v>6</x:v>
      </x:c>
      <x:c r="H6048" s="6" t="n">
        <x:v>4</x:v>
      </x:c>
      <x:c r="I6048" s="6" t="n">
        <x:f>G6048-H6048</x:f>
        <x:v>2</x:v>
      </x:c>
      <x:c r="J6048" s="6" t="n">
        <x:f>IF(OR(E6048="CANCELED",E6048="SUSPECTED_FRAUD",F6048="Shipping canceled"),0,1)</x:f>
        <x:v>1</x:v>
      </x:c>
      <x:c r="K6048" s="6" t="n">
        <x:f>IF(G6048&gt;H6048,1,0)</x:f>
        <x:v>1</x:v>
      </x:c>
      <x:c r="L6048" s="6" t="n">
        <x:f>J6048*K6048</x:f>
        <x:v>1</x:v>
      </x:c>
    </x:row>
    <x:row r="6049">
      <x:c r="A6049" s="1" t="n">
        <x:v>47458</x:v>
      </x:c>
      <x:c r="B6049" s="5" t="d">
        <x:v>2016-11-23T00:00:00.000Z</x:v>
      </x:c>
      <x:c r="C6049" s="1" t="str">
        <x:v>Second Class</x:v>
      </x:c>
      <x:c r="D6049" s="1" t="str">
        <x:v>Africa</x:v>
      </x:c>
      <x:c r="E6049" s="1" t="str">
        <x:v>COMPLETE</x:v>
      </x:c>
      <x:c r="F6049" s="1" t="str">
        <x:v>Late delivery</x:v>
      </x:c>
      <x:c r="G6049" s="6" t="n">
        <x:v>4</x:v>
      </x:c>
      <x:c r="H6049" s="6" t="n">
        <x:v>2</x:v>
      </x:c>
      <x:c r="I6049" s="6" t="n">
        <x:f>G6049-H6049</x:f>
        <x:v>2</x:v>
      </x:c>
      <x:c r="J6049" s="6" t="n">
        <x:f>IF(OR(E6049="CANCELED",E6049="SUSPECTED_FRAUD",F6049="Shipping canceled"),0,1)</x:f>
        <x:v>1</x:v>
      </x:c>
      <x:c r="K6049" s="6" t="n">
        <x:f>IF(G6049&gt;H6049,1,0)</x:f>
        <x:v>1</x:v>
      </x:c>
      <x:c r="L6049" s="6" t="n">
        <x:f>J6049*K6049</x:f>
        <x:v>1</x:v>
      </x:c>
    </x:row>
    <x:row r="6050">
      <x:c r="A6050" s="1" t="n">
        <x:v>47465</x:v>
      </x:c>
      <x:c r="B6050" s="5" t="d">
        <x:v>2016-11-23T00:00:00.000Z</x:v>
      </x:c>
      <x:c r="C6050" s="1" t="str">
        <x:v>Standard Class</x:v>
      </x:c>
      <x:c r="D6050" s="1" t="str">
        <x:v>Africa</x:v>
      </x:c>
      <x:c r="E6050" s="1" t="str">
        <x:v>COMPLETE</x:v>
      </x:c>
      <x:c r="F6050" s="1" t="str">
        <x:v>Late delivery</x:v>
      </x:c>
      <x:c r="G6050" s="6" t="n">
        <x:v>6</x:v>
      </x:c>
      <x:c r="H6050" s="6" t="n">
        <x:v>4</x:v>
      </x:c>
      <x:c r="I6050" s="6" t="n">
        <x:f>G6050-H6050</x:f>
        <x:v>2</x:v>
      </x:c>
      <x:c r="J6050" s="6" t="n">
        <x:f>IF(OR(E6050="CANCELED",E6050="SUSPECTED_FRAUD",F6050="Shipping canceled"),0,1)</x:f>
        <x:v>1</x:v>
      </x:c>
      <x:c r="K6050" s="6" t="n">
        <x:f>IF(G6050&gt;H6050,1,0)</x:f>
        <x:v>1</x:v>
      </x:c>
      <x:c r="L6050" s="6" t="n">
        <x:f>J6050*K6050</x:f>
        <x:v>1</x:v>
      </x:c>
    </x:row>
    <x:row r="6051">
      <x:c r="A6051" s="1" t="n">
        <x:v>47468</x:v>
      </x:c>
      <x:c r="B6051" s="5" t="d">
        <x:v>2016-11-23T00:00:00.000Z</x:v>
      </x:c>
      <x:c r="C6051" s="1" t="str">
        <x:v>Standard Class</x:v>
      </x:c>
      <x:c r="D6051" s="1" t="str">
        <x:v>Africa</x:v>
      </x:c>
      <x:c r="E6051" s="1" t="str">
        <x:v>PENDING</x:v>
      </x:c>
      <x:c r="F6051" s="1" t="str">
        <x:v>Shipping on time</x:v>
      </x:c>
      <x:c r="G6051" s="6" t="n">
        <x:v>4</x:v>
      </x:c>
      <x:c r="H6051" s="6" t="n">
        <x:v>4</x:v>
      </x:c>
      <x:c r="I6051" s="6" t="n">
        <x:f>G6051-H6051</x:f>
        <x:v>0</x:v>
      </x:c>
      <x:c r="J6051" s="6" t="n">
        <x:f>IF(OR(E6051="CANCELED",E6051="SUSPECTED_FRAUD",F6051="Shipping canceled"),0,1)</x:f>
        <x:v>1</x:v>
      </x:c>
      <x:c r="K6051" s="6" t="n">
        <x:f>IF(G6051&gt;H6051,1,0)</x:f>
        <x:v>0</x:v>
      </x:c>
      <x:c r="L6051" s="6" t="n">
        <x:f>J6051*K6051</x:f>
        <x:v>0</x:v>
      </x:c>
    </x:row>
    <x:row r="6052">
      <x:c r="A6052" s="1" t="n">
        <x:v>47482</x:v>
      </x:c>
      <x:c r="B6052" s="5" t="d">
        <x:v>2016-11-24T00:00:00.000Z</x:v>
      </x:c>
      <x:c r="C6052" s="1" t="str">
        <x:v>Standard Class</x:v>
      </x:c>
      <x:c r="D6052" s="1" t="str">
        <x:v>Europe</x:v>
      </x:c>
      <x:c r="E6052" s="1" t="str">
        <x:v>COMPLETE</x:v>
      </x:c>
      <x:c r="F6052" s="1" t="str">
        <x:v>Advance shipping</x:v>
      </x:c>
      <x:c r="G6052" s="6" t="n">
        <x:v>3</x:v>
      </x:c>
      <x:c r="H6052" s="6" t="n">
        <x:v>4</x:v>
      </x:c>
      <x:c r="I6052" s="6" t="n">
        <x:f>G6052-H6052</x:f>
        <x:v>-1</x:v>
      </x:c>
      <x:c r="J6052" s="6" t="n">
        <x:f>IF(OR(E6052="CANCELED",E6052="SUSPECTED_FRAUD",F6052="Shipping canceled"),0,1)</x:f>
        <x:v>1</x:v>
      </x:c>
      <x:c r="K6052" s="6" t="n">
        <x:f>IF(G6052&gt;H6052,1,0)</x:f>
        <x:v>0</x:v>
      </x:c>
      <x:c r="L6052" s="6" t="n">
        <x:f>J6052*K6052</x:f>
        <x:v>0</x:v>
      </x:c>
    </x:row>
    <x:row r="6053">
      <x:c r="A6053" s="1" t="n">
        <x:v>47485</x:v>
      </x:c>
      <x:c r="B6053" s="5" t="d">
        <x:v>2016-11-24T00:00:00.000Z</x:v>
      </x:c>
      <x:c r="C6053" s="1" t="str">
        <x:v>Standard Class</x:v>
      </x:c>
      <x:c r="D6053" s="1" t="str">
        <x:v>Pacific Asia</x:v>
      </x:c>
      <x:c r="E6053" s="1" t="str">
        <x:v>COMPLETE</x:v>
      </x:c>
      <x:c r="F6053" s="1" t="str">
        <x:v>Late delivery</x:v>
      </x:c>
      <x:c r="G6053" s="6" t="n">
        <x:v>6</x:v>
      </x:c>
      <x:c r="H6053" s="6" t="n">
        <x:v>4</x:v>
      </x:c>
      <x:c r="I6053" s="6" t="n">
        <x:f>G6053-H6053</x:f>
        <x:v>2</x:v>
      </x:c>
      <x:c r="J6053" s="6" t="n">
        <x:f>IF(OR(E6053="CANCELED",E6053="SUSPECTED_FRAUD",F6053="Shipping canceled"),0,1)</x:f>
        <x:v>1</x:v>
      </x:c>
      <x:c r="K6053" s="6" t="n">
        <x:f>IF(G6053&gt;H6053,1,0)</x:f>
        <x:v>1</x:v>
      </x:c>
      <x:c r="L6053" s="6" t="n">
        <x:f>J6053*K6053</x:f>
        <x:v>1</x:v>
      </x:c>
    </x:row>
    <x:row r="6054">
      <x:c r="A6054" s="1" t="n">
        <x:v>47491</x:v>
      </x:c>
      <x:c r="B6054" s="5" t="d">
        <x:v>2016-11-24T00:00:00.000Z</x:v>
      </x:c>
      <x:c r="C6054" s="1" t="str">
        <x:v>Standard Class</x:v>
      </x:c>
      <x:c r="D6054" s="1" t="str">
        <x:v>Pacific Asia</x:v>
      </x:c>
      <x:c r="E6054" s="1" t="str">
        <x:v>PENDING</x:v>
      </x:c>
      <x:c r="F6054" s="1" t="str">
        <x:v>Advance shipping</x:v>
      </x:c>
      <x:c r="G6054" s="6" t="n">
        <x:v>2</x:v>
      </x:c>
      <x:c r="H6054" s="6" t="n">
        <x:v>4</x:v>
      </x:c>
      <x:c r="I6054" s="6" t="n">
        <x:f>G6054-H6054</x:f>
        <x:v>-2</x:v>
      </x:c>
      <x:c r="J6054" s="6" t="n">
        <x:f>IF(OR(E6054="CANCELED",E6054="SUSPECTED_FRAUD",F6054="Shipping canceled"),0,1)</x:f>
        <x:v>1</x:v>
      </x:c>
      <x:c r="K6054" s="6" t="n">
        <x:f>IF(G6054&gt;H6054,1,0)</x:f>
        <x:v>0</x:v>
      </x:c>
      <x:c r="L6054" s="6" t="n">
        <x:f>J6054*K6054</x:f>
        <x:v>0</x:v>
      </x:c>
    </x:row>
    <x:row r="6055">
      <x:c r="A6055" s="1" t="n">
        <x:v>47492</x:v>
      </x:c>
      <x:c r="B6055" s="5" t="d">
        <x:v>2016-11-24T00:00:00.000Z</x:v>
      </x:c>
      <x:c r="C6055" s="1" t="str">
        <x:v>Standard Class</x:v>
      </x:c>
      <x:c r="D6055" s="1" t="str">
        <x:v>Africa</x:v>
      </x:c>
      <x:c r="E6055" s="1" t="str">
        <x:v>COMPLETE</x:v>
      </x:c>
      <x:c r="F6055" s="1" t="str">
        <x:v>Advance shipping</x:v>
      </x:c>
      <x:c r="G6055" s="6" t="n">
        <x:v>3</x:v>
      </x:c>
      <x:c r="H6055" s="6" t="n">
        <x:v>4</x:v>
      </x:c>
      <x:c r="I6055" s="6" t="n">
        <x:f>G6055-H6055</x:f>
        <x:v>-1</x:v>
      </x:c>
      <x:c r="J6055" s="6" t="n">
        <x:f>IF(OR(E6055="CANCELED",E6055="SUSPECTED_FRAUD",F6055="Shipping canceled"),0,1)</x:f>
        <x:v>1</x:v>
      </x:c>
      <x:c r="K6055" s="6" t="n">
        <x:f>IF(G6055&gt;H6055,1,0)</x:f>
        <x:v>0</x:v>
      </x:c>
      <x:c r="L6055" s="6" t="n">
        <x:f>J6055*K6055</x:f>
        <x:v>0</x:v>
      </x:c>
    </x:row>
    <x:row r="6056">
      <x:c r="A6056" s="1" t="n">
        <x:v>47493</x:v>
      </x:c>
      <x:c r="B6056" s="5" t="d">
        <x:v>2016-11-24T00:00:00.000Z</x:v>
      </x:c>
      <x:c r="C6056" s="1" t="str">
        <x:v>Standard Class</x:v>
      </x:c>
      <x:c r="D6056" s="1" t="str">
        <x:v>Africa</x:v>
      </x:c>
      <x:c r="E6056" s="1" t="str">
        <x:v>SUSPECTED_FRAUD</x:v>
      </x:c>
      <x:c r="F6056" s="1" t="str">
        <x:v>Shipping canceled</x:v>
      </x:c>
      <x:c r="G6056" s="6" t="n">
        <x:v>4</x:v>
      </x:c>
      <x:c r="H6056" s="6" t="n">
        <x:v>4</x:v>
      </x:c>
      <x:c r="I6056" s="6" t="n">
        <x:f>G6056-H6056</x:f>
        <x:v>0</x:v>
      </x:c>
      <x:c r="J6056" s="6" t="n">
        <x:f>IF(OR(E6056="CANCELED",E6056="SUSPECTED_FRAUD",F6056="Shipping canceled"),0,1)</x:f>
        <x:v>0</x:v>
      </x:c>
      <x:c r="K6056" s="6" t="n">
        <x:f>IF(G6056&gt;H6056,1,0)</x:f>
        <x:v>0</x:v>
      </x:c>
      <x:c r="L6056" s="6" t="n">
        <x:f>J6056*K6056</x:f>
        <x:v>0</x:v>
      </x:c>
    </x:row>
    <x:row r="6057">
      <x:c r="A6057" s="1" t="n">
        <x:v>47497</x:v>
      </x:c>
      <x:c r="B6057" s="5" t="d">
        <x:v>2016-11-24T00:00:00.000Z</x:v>
      </x:c>
      <x:c r="C6057" s="1" t="str">
        <x:v>Standard Class</x:v>
      </x:c>
      <x:c r="D6057" s="1" t="str">
        <x:v>Africa</x:v>
      </x:c>
      <x:c r="E6057" s="1" t="str">
        <x:v>CANCELED</x:v>
      </x:c>
      <x:c r="F6057" s="1" t="str">
        <x:v>Shipping canceled</x:v>
      </x:c>
      <x:c r="G6057" s="6" t="n">
        <x:v>3</x:v>
      </x:c>
      <x:c r="H6057" s="6" t="n">
        <x:v>4</x:v>
      </x:c>
      <x:c r="I6057" s="6" t="n">
        <x:f>G6057-H6057</x:f>
        <x:v>-1</x:v>
      </x:c>
      <x:c r="J6057" s="6" t="n">
        <x:f>IF(OR(E6057="CANCELED",E6057="SUSPECTED_FRAUD",F6057="Shipping canceled"),0,1)</x:f>
        <x:v>0</x:v>
      </x:c>
      <x:c r="K6057" s="6" t="n">
        <x:f>IF(G6057&gt;H6057,1,0)</x:f>
        <x:v>0</x:v>
      </x:c>
      <x:c r="L6057" s="6" t="n">
        <x:f>J6057*K6057</x:f>
        <x:v>0</x:v>
      </x:c>
    </x:row>
    <x:row r="6058">
      <x:c r="A6058" s="1" t="n">
        <x:v>47509</x:v>
      </x:c>
      <x:c r="B6058" s="5" t="d">
        <x:v>2016-11-24T00:00:00.000Z</x:v>
      </x:c>
      <x:c r="C6058" s="1" t="str">
        <x:v>Standard Class</x:v>
      </x:c>
      <x:c r="D6058" s="1" t="str">
        <x:v>Europe</x:v>
      </x:c>
      <x:c r="E6058" s="1" t="str">
        <x:v>COMPLETE</x:v>
      </x:c>
      <x:c r="F6058" s="1" t="str">
        <x:v>Late delivery</x:v>
      </x:c>
      <x:c r="G6058" s="6" t="n">
        <x:v>5</x:v>
      </x:c>
      <x:c r="H6058" s="6" t="n">
        <x:v>4</x:v>
      </x:c>
      <x:c r="I6058" s="6" t="n">
        <x:f>G6058-H6058</x:f>
        <x:v>1</x:v>
      </x:c>
      <x:c r="J6058" s="6" t="n">
        <x:f>IF(OR(E6058="CANCELED",E6058="SUSPECTED_FRAUD",F6058="Shipping canceled"),0,1)</x:f>
        <x:v>1</x:v>
      </x:c>
      <x:c r="K6058" s="6" t="n">
        <x:f>IF(G6058&gt;H6058,1,0)</x:f>
        <x:v>1</x:v>
      </x:c>
      <x:c r="L6058" s="6" t="n">
        <x:f>J6058*K6058</x:f>
        <x:v>1</x:v>
      </x:c>
    </x:row>
    <x:row r="6059">
      <x:c r="A6059" s="1" t="n">
        <x:v>47512</x:v>
      </x:c>
      <x:c r="B6059" s="5" t="d">
        <x:v>2016-11-24T00:00:00.000Z</x:v>
      </x:c>
      <x:c r="C6059" s="1" t="str">
        <x:v>Standard Class</x:v>
      </x:c>
      <x:c r="D6059" s="1" t="str">
        <x:v>Africa</x:v>
      </x:c>
      <x:c r="E6059" s="1" t="str">
        <x:v>PROCESSING</x:v>
      </x:c>
      <x:c r="F6059" s="1" t="str">
        <x:v>Advance shipping</x:v>
      </x:c>
      <x:c r="G6059" s="6" t="n">
        <x:v>3</x:v>
      </x:c>
      <x:c r="H6059" s="6" t="n">
        <x:v>4</x:v>
      </x:c>
      <x:c r="I6059" s="6" t="n">
        <x:f>G6059-H6059</x:f>
        <x:v>-1</x:v>
      </x:c>
      <x:c r="J6059" s="6" t="n">
        <x:f>IF(OR(E6059="CANCELED",E6059="SUSPECTED_FRAUD",F6059="Shipping canceled"),0,1)</x:f>
        <x:v>1</x:v>
      </x:c>
      <x:c r="K6059" s="6" t="n">
        <x:f>IF(G6059&gt;H6059,1,0)</x:f>
        <x:v>0</x:v>
      </x:c>
      <x:c r="L6059" s="6" t="n">
        <x:f>J6059*K6059</x:f>
        <x:v>0</x:v>
      </x:c>
    </x:row>
    <x:row r="6060">
      <x:c r="A6060" s="1" t="n">
        <x:v>47519</x:v>
      </x:c>
      <x:c r="B6060" s="5" t="d">
        <x:v>2016-11-24T00:00:00.000Z</x:v>
      </x:c>
      <x:c r="C6060" s="1" t="str">
        <x:v>First Class</x:v>
      </x:c>
      <x:c r="D6060" s="1" t="str">
        <x:v>Africa</x:v>
      </x:c>
      <x:c r="E6060" s="1" t="str">
        <x:v>PENDING_PAYMENT</x:v>
      </x:c>
      <x:c r="F6060" s="1" t="str">
        <x:v>Late delivery</x:v>
      </x:c>
      <x:c r="G6060" s="6" t="n">
        <x:v>2</x:v>
      </x:c>
      <x:c r="H6060" s="6" t="n">
        <x:v>1</x:v>
      </x:c>
      <x:c r="I6060" s="6" t="n">
        <x:f>G6060-H6060</x:f>
        <x:v>1</x:v>
      </x:c>
      <x:c r="J6060" s="6" t="n">
        <x:f>IF(OR(E6060="CANCELED",E6060="SUSPECTED_FRAUD",F6060="Shipping canceled"),0,1)</x:f>
        <x:v>1</x:v>
      </x:c>
      <x:c r="K6060" s="6" t="n">
        <x:f>IF(G6060&gt;H6060,1,0)</x:f>
        <x:v>1</x:v>
      </x:c>
      <x:c r="L6060" s="6" t="n">
        <x:f>J6060*K6060</x:f>
        <x:v>1</x:v>
      </x:c>
    </x:row>
    <x:row r="6061">
      <x:c r="A6061" s="1" t="n">
        <x:v>47526</x:v>
      </x:c>
      <x:c r="B6061" s="5" t="d">
        <x:v>2016-11-24T00:00:00.000Z</x:v>
      </x:c>
      <x:c r="C6061" s="1" t="str">
        <x:v>Standard Class</x:v>
      </x:c>
      <x:c r="D6061" s="1" t="str">
        <x:v>Africa</x:v>
      </x:c>
      <x:c r="E6061" s="1" t="str">
        <x:v>COMPLETE</x:v>
      </x:c>
      <x:c r="F6061" s="1" t="str">
        <x:v>Advance shipping</x:v>
      </x:c>
      <x:c r="G6061" s="6" t="n">
        <x:v>2</x:v>
      </x:c>
      <x:c r="H6061" s="6" t="n">
        <x:v>4</x:v>
      </x:c>
      <x:c r="I6061" s="6" t="n">
        <x:f>G6061-H6061</x:f>
        <x:v>-2</x:v>
      </x:c>
      <x:c r="J6061" s="6" t="n">
        <x:f>IF(OR(E6061="CANCELED",E6061="SUSPECTED_FRAUD",F6061="Shipping canceled"),0,1)</x:f>
        <x:v>1</x:v>
      </x:c>
      <x:c r="K6061" s="6" t="n">
        <x:f>IF(G6061&gt;H6061,1,0)</x:f>
        <x:v>0</x:v>
      </x:c>
      <x:c r="L6061" s="6" t="n">
        <x:f>J6061*K6061</x:f>
        <x:v>0</x:v>
      </x:c>
    </x:row>
    <x:row r="6062">
      <x:c r="A6062" s="1" t="n">
        <x:v>47539</x:v>
      </x:c>
      <x:c r="B6062" s="5" t="d">
        <x:v>2016-11-24T00:00:00.000Z</x:v>
      </x:c>
      <x:c r="C6062" s="1" t="str">
        <x:v>First Class</x:v>
      </x:c>
      <x:c r="D6062" s="1" t="str">
        <x:v>Pacific Asia</x:v>
      </x:c>
      <x:c r="E6062" s="1" t="str">
        <x:v>PENDING</x:v>
      </x:c>
      <x:c r="F6062" s="1" t="str">
        <x:v>Late delivery</x:v>
      </x:c>
      <x:c r="G6062" s="6" t="n">
        <x:v>2</x:v>
      </x:c>
      <x:c r="H6062" s="6" t="n">
        <x:v>1</x:v>
      </x:c>
      <x:c r="I6062" s="6" t="n">
        <x:f>G6062-H6062</x:f>
        <x:v>1</x:v>
      </x:c>
      <x:c r="J6062" s="6" t="n">
        <x:f>IF(OR(E6062="CANCELED",E6062="SUSPECTED_FRAUD",F6062="Shipping canceled"),0,1)</x:f>
        <x:v>1</x:v>
      </x:c>
      <x:c r="K6062" s="6" t="n">
        <x:f>IF(G6062&gt;H6062,1,0)</x:f>
        <x:v>1</x:v>
      </x:c>
      <x:c r="L6062" s="6" t="n">
        <x:f>J6062*K6062</x:f>
        <x:v>1</x:v>
      </x:c>
    </x:row>
    <x:row r="6063">
      <x:c r="A6063" s="1" t="n">
        <x:v>47544</x:v>
      </x:c>
      <x:c r="B6063" s="5" t="d">
        <x:v>2016-11-25T00:00:00.000Z</x:v>
      </x:c>
      <x:c r="C6063" s="1" t="str">
        <x:v>Standard Class</x:v>
      </x:c>
      <x:c r="D6063" s="1" t="str">
        <x:v>Europe</x:v>
      </x:c>
      <x:c r="E6063" s="1" t="str">
        <x:v>COMPLETE</x:v>
      </x:c>
      <x:c r="F6063" s="1" t="str">
        <x:v>Late delivery</x:v>
      </x:c>
      <x:c r="G6063" s="6" t="n">
        <x:v>5</x:v>
      </x:c>
      <x:c r="H6063" s="6" t="n">
        <x:v>4</x:v>
      </x:c>
      <x:c r="I6063" s="6" t="n">
        <x:f>G6063-H6063</x:f>
        <x:v>1</x:v>
      </x:c>
      <x:c r="J6063" s="6" t="n">
        <x:f>IF(OR(E6063="CANCELED",E6063="SUSPECTED_FRAUD",F6063="Shipping canceled"),0,1)</x:f>
        <x:v>1</x:v>
      </x:c>
      <x:c r="K6063" s="6" t="n">
        <x:f>IF(G6063&gt;H6063,1,0)</x:f>
        <x:v>1</x:v>
      </x:c>
      <x:c r="L6063" s="6" t="n">
        <x:f>J6063*K6063</x:f>
        <x:v>1</x:v>
      </x:c>
    </x:row>
    <x:row r="6064">
      <x:c r="A6064" s="1" t="n">
        <x:v>47549</x:v>
      </x:c>
      <x:c r="B6064" s="5" t="d">
        <x:v>2016-11-25T00:00:00.000Z</x:v>
      </x:c>
      <x:c r="C6064" s="1" t="str">
        <x:v>Standard Class</x:v>
      </x:c>
      <x:c r="D6064" s="1" t="str">
        <x:v>Africa</x:v>
      </x:c>
      <x:c r="E6064" s="1" t="str">
        <x:v>COMPLETE</x:v>
      </x:c>
      <x:c r="F6064" s="1" t="str">
        <x:v>Late delivery</x:v>
      </x:c>
      <x:c r="G6064" s="6" t="n">
        <x:v>5</x:v>
      </x:c>
      <x:c r="H6064" s="6" t="n">
        <x:v>4</x:v>
      </x:c>
      <x:c r="I6064" s="6" t="n">
        <x:f>G6064-H6064</x:f>
        <x:v>1</x:v>
      </x:c>
      <x:c r="J6064" s="6" t="n">
        <x:f>IF(OR(E6064="CANCELED",E6064="SUSPECTED_FRAUD",F6064="Shipping canceled"),0,1)</x:f>
        <x:v>1</x:v>
      </x:c>
      <x:c r="K6064" s="6" t="n">
        <x:f>IF(G6064&gt;H6064,1,0)</x:f>
        <x:v>1</x:v>
      </x:c>
      <x:c r="L6064" s="6" t="n">
        <x:f>J6064*K6064</x:f>
        <x:v>1</x:v>
      </x:c>
    </x:row>
    <x:row r="6065">
      <x:c r="A6065" s="1" t="n">
        <x:v>47556</x:v>
      </x:c>
      <x:c r="B6065" s="5" t="d">
        <x:v>2016-11-25T00:00:00.000Z</x:v>
      </x:c>
      <x:c r="C6065" s="1" t="str">
        <x:v>Standard Class</x:v>
      </x:c>
      <x:c r="D6065" s="1" t="str">
        <x:v>Africa</x:v>
      </x:c>
      <x:c r="E6065" s="1" t="str">
        <x:v>COMPLETE</x:v>
      </x:c>
      <x:c r="F6065" s="1" t="str">
        <x:v>Advance shipping</x:v>
      </x:c>
      <x:c r="G6065" s="6" t="n">
        <x:v>2</x:v>
      </x:c>
      <x:c r="H6065" s="6" t="n">
        <x:v>4</x:v>
      </x:c>
      <x:c r="I6065" s="6" t="n">
        <x:f>G6065-H6065</x:f>
        <x:v>-2</x:v>
      </x:c>
      <x:c r="J6065" s="6" t="n">
        <x:f>IF(OR(E6065="CANCELED",E6065="SUSPECTED_FRAUD",F6065="Shipping canceled"),0,1)</x:f>
        <x:v>1</x:v>
      </x:c>
      <x:c r="K6065" s="6" t="n">
        <x:f>IF(G6065&gt;H6065,1,0)</x:f>
        <x:v>0</x:v>
      </x:c>
      <x:c r="L6065" s="6" t="n">
        <x:f>J6065*K6065</x:f>
        <x:v>0</x:v>
      </x:c>
    </x:row>
    <x:row r="6066">
      <x:c r="A6066" s="1" t="n">
        <x:v>47558</x:v>
      </x:c>
      <x:c r="B6066" s="5" t="d">
        <x:v>2016-11-25T00:00:00.000Z</x:v>
      </x:c>
      <x:c r="C6066" s="1" t="str">
        <x:v>Standard Class</x:v>
      </x:c>
      <x:c r="D6066" s="1" t="str">
        <x:v>Pacific Asia</x:v>
      </x:c>
      <x:c r="E6066" s="1" t="str">
        <x:v>COMPLETE</x:v>
      </x:c>
      <x:c r="F6066" s="1" t="str">
        <x:v>Shipping on time</x:v>
      </x:c>
      <x:c r="G6066" s="6" t="n">
        <x:v>4</x:v>
      </x:c>
      <x:c r="H6066" s="6" t="n">
        <x:v>4</x:v>
      </x:c>
      <x:c r="I6066" s="6" t="n">
        <x:f>G6066-H6066</x:f>
        <x:v>0</x:v>
      </x:c>
      <x:c r="J6066" s="6" t="n">
        <x:f>IF(OR(E6066="CANCELED",E6066="SUSPECTED_FRAUD",F6066="Shipping canceled"),0,1)</x:f>
        <x:v>1</x:v>
      </x:c>
      <x:c r="K6066" s="6" t="n">
        <x:f>IF(G6066&gt;H6066,1,0)</x:f>
        <x:v>0</x:v>
      </x:c>
      <x:c r="L6066" s="6" t="n">
        <x:f>J6066*K6066</x:f>
        <x:v>0</x:v>
      </x:c>
    </x:row>
    <x:row r="6067">
      <x:c r="A6067" s="1" t="n">
        <x:v>47560</x:v>
      </x:c>
      <x:c r="B6067" s="5" t="d">
        <x:v>2016-11-25T00:00:00.000Z</x:v>
      </x:c>
      <x:c r="C6067" s="1" t="str">
        <x:v>Standard Class</x:v>
      </x:c>
      <x:c r="D6067" s="1" t="str">
        <x:v>Europe</x:v>
      </x:c>
      <x:c r="E6067" s="1" t="str">
        <x:v>COMPLETE</x:v>
      </x:c>
      <x:c r="F6067" s="1" t="str">
        <x:v>Late delivery</x:v>
      </x:c>
      <x:c r="G6067" s="6" t="n">
        <x:v>6</x:v>
      </x:c>
      <x:c r="H6067" s="6" t="n">
        <x:v>4</x:v>
      </x:c>
      <x:c r="I6067" s="6" t="n">
        <x:f>G6067-H6067</x:f>
        <x:v>2</x:v>
      </x:c>
      <x:c r="J6067" s="6" t="n">
        <x:f>IF(OR(E6067="CANCELED",E6067="SUSPECTED_FRAUD",F6067="Shipping canceled"),0,1)</x:f>
        <x:v>1</x:v>
      </x:c>
      <x:c r="K6067" s="6" t="n">
        <x:f>IF(G6067&gt;H6067,1,0)</x:f>
        <x:v>1</x:v>
      </x:c>
      <x:c r="L6067" s="6" t="n">
        <x:f>J6067*K6067</x:f>
        <x:v>1</x:v>
      </x:c>
    </x:row>
    <x:row r="6068">
      <x:c r="A6068" s="1" t="n">
        <x:v>47562</x:v>
      </x:c>
      <x:c r="B6068" s="5" t="d">
        <x:v>2016-11-25T00:00:00.000Z</x:v>
      </x:c>
      <x:c r="C6068" s="1" t="str">
        <x:v>Standard Class</x:v>
      </x:c>
      <x:c r="D6068" s="1" t="str">
        <x:v>Pacific Asia</x:v>
      </x:c>
      <x:c r="E6068" s="1" t="str">
        <x:v>PROCESSING</x:v>
      </x:c>
      <x:c r="F6068" s="1" t="str">
        <x:v>Advance shipping</x:v>
      </x:c>
      <x:c r="G6068" s="6" t="n">
        <x:v>3</x:v>
      </x:c>
      <x:c r="H6068" s="6" t="n">
        <x:v>4</x:v>
      </x:c>
      <x:c r="I6068" s="6" t="n">
        <x:f>G6068-H6068</x:f>
        <x:v>-1</x:v>
      </x:c>
      <x:c r="J6068" s="6" t="n">
        <x:f>IF(OR(E6068="CANCELED",E6068="SUSPECTED_FRAUD",F6068="Shipping canceled"),0,1)</x:f>
        <x:v>1</x:v>
      </x:c>
      <x:c r="K6068" s="6" t="n">
        <x:f>IF(G6068&gt;H6068,1,0)</x:f>
        <x:v>0</x:v>
      </x:c>
      <x:c r="L6068" s="6" t="n">
        <x:f>J6068*K6068</x:f>
        <x:v>0</x:v>
      </x:c>
    </x:row>
    <x:row r="6069">
      <x:c r="A6069" s="1" t="n">
        <x:v>47564</x:v>
      </x:c>
      <x:c r="B6069" s="5" t="d">
        <x:v>2016-11-25T00:00:00.000Z</x:v>
      </x:c>
      <x:c r="C6069" s="1" t="str">
        <x:v>Second Class</x:v>
      </x:c>
      <x:c r="D6069" s="1" t="str">
        <x:v>Africa</x:v>
      </x:c>
      <x:c r="E6069" s="1" t="str">
        <x:v>COMPLETE</x:v>
      </x:c>
      <x:c r="F6069" s="1" t="str">
        <x:v>Late delivery</x:v>
      </x:c>
      <x:c r="G6069" s="6" t="n">
        <x:v>5</x:v>
      </x:c>
      <x:c r="H6069" s="6" t="n">
        <x:v>2</x:v>
      </x:c>
      <x:c r="I6069" s="6" t="n">
        <x:f>G6069-H6069</x:f>
        <x:v>3</x:v>
      </x:c>
      <x:c r="J6069" s="6" t="n">
        <x:f>IF(OR(E6069="CANCELED",E6069="SUSPECTED_FRAUD",F6069="Shipping canceled"),0,1)</x:f>
        <x:v>1</x:v>
      </x:c>
      <x:c r="K6069" s="6" t="n">
        <x:f>IF(G6069&gt;H6069,1,0)</x:f>
        <x:v>1</x:v>
      </x:c>
      <x:c r="L6069" s="6" t="n">
        <x:f>J6069*K6069</x:f>
        <x:v>1</x:v>
      </x:c>
    </x:row>
    <x:row r="6070">
      <x:c r="A6070" s="1" t="n">
        <x:v>47576</x:v>
      </x:c>
      <x:c r="B6070" s="5" t="d">
        <x:v>2016-11-25T00:00:00.000Z</x:v>
      </x:c>
      <x:c r="C6070" s="1" t="str">
        <x:v>Standard Class</x:v>
      </x:c>
      <x:c r="D6070" s="1" t="str">
        <x:v>Africa</x:v>
      </x:c>
      <x:c r="E6070" s="1" t="str">
        <x:v>COMPLETE</x:v>
      </x:c>
      <x:c r="F6070" s="1" t="str">
        <x:v>Advance shipping</x:v>
      </x:c>
      <x:c r="G6070" s="6" t="n">
        <x:v>2</x:v>
      </x:c>
      <x:c r="H6070" s="6" t="n">
        <x:v>4</x:v>
      </x:c>
      <x:c r="I6070" s="6" t="n">
        <x:f>G6070-H6070</x:f>
        <x:v>-2</x:v>
      </x:c>
      <x:c r="J6070" s="6" t="n">
        <x:f>IF(OR(E6070="CANCELED",E6070="SUSPECTED_FRAUD",F6070="Shipping canceled"),0,1)</x:f>
        <x:v>1</x:v>
      </x:c>
      <x:c r="K6070" s="6" t="n">
        <x:f>IF(G6070&gt;H6070,1,0)</x:f>
        <x:v>0</x:v>
      </x:c>
      <x:c r="L6070" s="6" t="n">
        <x:f>J6070*K6070</x:f>
        <x:v>0</x:v>
      </x:c>
    </x:row>
    <x:row r="6071">
      <x:c r="A6071" s="1" t="n">
        <x:v>47585</x:v>
      </x:c>
      <x:c r="B6071" s="5" t="d">
        <x:v>2016-11-25T00:00:00.000Z</x:v>
      </x:c>
      <x:c r="C6071" s="1" t="str">
        <x:v>Standard Class</x:v>
      </x:c>
      <x:c r="D6071" s="1" t="str">
        <x:v>Pacific Asia</x:v>
      </x:c>
      <x:c r="E6071" s="1" t="str">
        <x:v>PENDING</x:v>
      </x:c>
      <x:c r="F6071" s="1" t="str">
        <x:v>Late delivery</x:v>
      </x:c>
      <x:c r="G6071" s="6" t="n">
        <x:v>6</x:v>
      </x:c>
      <x:c r="H6071" s="6" t="n">
        <x:v>4</x:v>
      </x:c>
      <x:c r="I6071" s="6" t="n">
        <x:f>G6071-H6071</x:f>
        <x:v>2</x:v>
      </x:c>
      <x:c r="J6071" s="6" t="n">
        <x:f>IF(OR(E6071="CANCELED",E6071="SUSPECTED_FRAUD",F6071="Shipping canceled"),0,1)</x:f>
        <x:v>1</x:v>
      </x:c>
      <x:c r="K6071" s="6" t="n">
        <x:f>IF(G6071&gt;H6071,1,0)</x:f>
        <x:v>1</x:v>
      </x:c>
      <x:c r="L6071" s="6" t="n">
        <x:f>J6071*K6071</x:f>
        <x:v>1</x:v>
      </x:c>
    </x:row>
    <x:row r="6072">
      <x:c r="A6072" s="1" t="n">
        <x:v>47588</x:v>
      </x:c>
      <x:c r="B6072" s="5" t="d">
        <x:v>2016-11-25T00:00:00.000Z</x:v>
      </x:c>
      <x:c r="C6072" s="1" t="str">
        <x:v>Standard Class</x:v>
      </x:c>
      <x:c r="D6072" s="1" t="str">
        <x:v>Europe</x:v>
      </x:c>
      <x:c r="E6072" s="1" t="str">
        <x:v>COMPLETE</x:v>
      </x:c>
      <x:c r="F6072" s="1" t="str">
        <x:v>Shipping on time</x:v>
      </x:c>
      <x:c r="G6072" s="6" t="n">
        <x:v>4</x:v>
      </x:c>
      <x:c r="H6072" s="6" t="n">
        <x:v>4</x:v>
      </x:c>
      <x:c r="I6072" s="6" t="n">
        <x:f>G6072-H6072</x:f>
        <x:v>0</x:v>
      </x:c>
      <x:c r="J6072" s="6" t="n">
        <x:f>IF(OR(E6072="CANCELED",E6072="SUSPECTED_FRAUD",F6072="Shipping canceled"),0,1)</x:f>
        <x:v>1</x:v>
      </x:c>
      <x:c r="K6072" s="6" t="n">
        <x:f>IF(G6072&gt;H6072,1,0)</x:f>
        <x:v>0</x:v>
      </x:c>
      <x:c r="L6072" s="6" t="n">
        <x:f>J6072*K6072</x:f>
        <x:v>0</x:v>
      </x:c>
    </x:row>
    <x:row r="6073">
      <x:c r="A6073" s="1" t="n">
        <x:v>47597</x:v>
      </x:c>
      <x:c r="B6073" s="5" t="d">
        <x:v>2016-11-25T00:00:00.000Z</x:v>
      </x:c>
      <x:c r="C6073" s="1" t="str">
        <x:v>Standard Class</x:v>
      </x:c>
      <x:c r="D6073" s="1" t="str">
        <x:v>Pacific Asia</x:v>
      </x:c>
      <x:c r="E6073" s="1" t="str">
        <x:v>PENDING_PAYMENT</x:v>
      </x:c>
      <x:c r="F6073" s="1" t="str">
        <x:v>Advance shipping</x:v>
      </x:c>
      <x:c r="G6073" s="6" t="n">
        <x:v>3</x:v>
      </x:c>
      <x:c r="H6073" s="6" t="n">
        <x:v>4</x:v>
      </x:c>
      <x:c r="I6073" s="6" t="n">
        <x:f>G6073-H6073</x:f>
        <x:v>-1</x:v>
      </x:c>
      <x:c r="J6073" s="6" t="n">
        <x:f>IF(OR(E6073="CANCELED",E6073="SUSPECTED_FRAUD",F6073="Shipping canceled"),0,1)</x:f>
        <x:v>1</x:v>
      </x:c>
      <x:c r="K6073" s="6" t="n">
        <x:f>IF(G6073&gt;H6073,1,0)</x:f>
        <x:v>0</x:v>
      </x:c>
      <x:c r="L6073" s="6" t="n">
        <x:f>J6073*K6073</x:f>
        <x:v>0</x:v>
      </x:c>
    </x:row>
    <x:row r="6074">
      <x:c r="A6074" s="1" t="n">
        <x:v>47599</x:v>
      </x:c>
      <x:c r="B6074" s="5" t="d">
        <x:v>2016-11-25T00:00:00.000Z</x:v>
      </x:c>
      <x:c r="C6074" s="1" t="str">
        <x:v>Standard Class</x:v>
      </x:c>
      <x:c r="D6074" s="1" t="str">
        <x:v>Pacific Asia</x:v>
      </x:c>
      <x:c r="E6074" s="1" t="str">
        <x:v>COMPLETE</x:v>
      </x:c>
      <x:c r="F6074" s="1" t="str">
        <x:v>Late delivery</x:v>
      </x:c>
      <x:c r="G6074" s="6" t="n">
        <x:v>5</x:v>
      </x:c>
      <x:c r="H6074" s="6" t="n">
        <x:v>4</x:v>
      </x:c>
      <x:c r="I6074" s="6" t="n">
        <x:f>G6074-H6074</x:f>
        <x:v>1</x:v>
      </x:c>
      <x:c r="J6074" s="6" t="n">
        <x:f>IF(OR(E6074="CANCELED",E6074="SUSPECTED_FRAUD",F6074="Shipping canceled"),0,1)</x:f>
        <x:v>1</x:v>
      </x:c>
      <x:c r="K6074" s="6" t="n">
        <x:f>IF(G6074&gt;H6074,1,0)</x:f>
        <x:v>1</x:v>
      </x:c>
      <x:c r="L6074" s="6" t="n">
        <x:f>J6074*K6074</x:f>
        <x:v>1</x:v>
      </x:c>
    </x:row>
    <x:row r="6075">
      <x:c r="A6075" s="1" t="n">
        <x:v>47600</x:v>
      </x:c>
      <x:c r="B6075" s="5" t="d">
        <x:v>2016-11-25T00:00:00.000Z</x:v>
      </x:c>
      <x:c r="C6075" s="1" t="str">
        <x:v>Standard Class</x:v>
      </x:c>
      <x:c r="D6075" s="1" t="str">
        <x:v>Pacific Asia</x:v>
      </x:c>
      <x:c r="E6075" s="1" t="str">
        <x:v>COMPLETE</x:v>
      </x:c>
      <x:c r="F6075" s="1" t="str">
        <x:v>Late delivery</x:v>
      </x:c>
      <x:c r="G6075" s="6" t="n">
        <x:v>6</x:v>
      </x:c>
      <x:c r="H6075" s="6" t="n">
        <x:v>4</x:v>
      </x:c>
      <x:c r="I6075" s="6" t="n">
        <x:f>G6075-H6075</x:f>
        <x:v>2</x:v>
      </x:c>
      <x:c r="J6075" s="6" t="n">
        <x:f>IF(OR(E6075="CANCELED",E6075="SUSPECTED_FRAUD",F6075="Shipping canceled"),0,1)</x:f>
        <x:v>1</x:v>
      </x:c>
      <x:c r="K6075" s="6" t="n">
        <x:f>IF(G6075&gt;H6075,1,0)</x:f>
        <x:v>1</x:v>
      </x:c>
      <x:c r="L6075" s="6" t="n">
        <x:f>J6075*K6075</x:f>
        <x:v>1</x:v>
      </x:c>
    </x:row>
    <x:row r="6076">
      <x:c r="A6076" s="1" t="n">
        <x:v>47603</x:v>
      </x:c>
      <x:c r="B6076" s="5" t="d">
        <x:v>2016-11-25T00:00:00.000Z</x:v>
      </x:c>
      <x:c r="C6076" s="1" t="str">
        <x:v>Standard Class</x:v>
      </x:c>
      <x:c r="D6076" s="1" t="str">
        <x:v>Pacific Asia</x:v>
      </x:c>
      <x:c r="E6076" s="1" t="str">
        <x:v>PENDING_PAYMENT</x:v>
      </x:c>
      <x:c r="F6076" s="1" t="str">
        <x:v>Shipping on time</x:v>
      </x:c>
      <x:c r="G6076" s="6" t="n">
        <x:v>4</x:v>
      </x:c>
      <x:c r="H6076" s="6" t="n">
        <x:v>4</x:v>
      </x:c>
      <x:c r="I6076" s="6" t="n">
        <x:f>G6076-H6076</x:f>
        <x:v>0</x:v>
      </x:c>
      <x:c r="J6076" s="6" t="n">
        <x:f>IF(OR(E6076="CANCELED",E6076="SUSPECTED_FRAUD",F6076="Shipping canceled"),0,1)</x:f>
        <x:v>1</x:v>
      </x:c>
      <x:c r="K6076" s="6" t="n">
        <x:f>IF(G6076&gt;H6076,1,0)</x:f>
        <x:v>0</x:v>
      </x:c>
      <x:c r="L6076" s="6" t="n">
        <x:f>J6076*K6076</x:f>
        <x:v>0</x:v>
      </x:c>
    </x:row>
    <x:row r="6077">
      <x:c r="A6077" s="1" t="n">
        <x:v>47647</x:v>
      </x:c>
      <x:c r="B6077" s="5" t="d">
        <x:v>2016-11-26T00:00:00.000Z</x:v>
      </x:c>
      <x:c r="C6077" s="1" t="str">
        <x:v>Standard Class</x:v>
      </x:c>
      <x:c r="D6077" s="1" t="str">
        <x:v>Africa</x:v>
      </x:c>
      <x:c r="E6077" s="1" t="str">
        <x:v>COMPLETE</x:v>
      </x:c>
      <x:c r="F6077" s="1" t="str">
        <x:v>Advance shipping</x:v>
      </x:c>
      <x:c r="G6077" s="6" t="n">
        <x:v>3</x:v>
      </x:c>
      <x:c r="H6077" s="6" t="n">
        <x:v>4</x:v>
      </x:c>
      <x:c r="I6077" s="6" t="n">
        <x:f>G6077-H6077</x:f>
        <x:v>-1</x:v>
      </x:c>
      <x:c r="J6077" s="6" t="n">
        <x:f>IF(OR(E6077="CANCELED",E6077="SUSPECTED_FRAUD",F6077="Shipping canceled"),0,1)</x:f>
        <x:v>1</x:v>
      </x:c>
      <x:c r="K6077" s="6" t="n">
        <x:f>IF(G6077&gt;H6077,1,0)</x:f>
        <x:v>0</x:v>
      </x:c>
      <x:c r="L6077" s="6" t="n">
        <x:f>J6077*K6077</x:f>
        <x:v>0</x:v>
      </x:c>
    </x:row>
    <x:row r="6078">
      <x:c r="A6078" s="1" t="n">
        <x:v>47649</x:v>
      </x:c>
      <x:c r="B6078" s="5" t="d">
        <x:v>2016-11-26T00:00:00.000Z</x:v>
      </x:c>
      <x:c r="C6078" s="1" t="str">
        <x:v>Standard Class</x:v>
      </x:c>
      <x:c r="D6078" s="1" t="str">
        <x:v>Pacific Asia</x:v>
      </x:c>
      <x:c r="E6078" s="1" t="str">
        <x:v>PENDING_PAYMENT</x:v>
      </x:c>
      <x:c r="F6078" s="1" t="str">
        <x:v>Late delivery</x:v>
      </x:c>
      <x:c r="G6078" s="6" t="n">
        <x:v>5</x:v>
      </x:c>
      <x:c r="H6078" s="6" t="n">
        <x:v>4</x:v>
      </x:c>
      <x:c r="I6078" s="6" t="n">
        <x:f>G6078-H6078</x:f>
        <x:v>1</x:v>
      </x:c>
      <x:c r="J6078" s="6" t="n">
        <x:f>IF(OR(E6078="CANCELED",E6078="SUSPECTED_FRAUD",F6078="Shipping canceled"),0,1)</x:f>
        <x:v>1</x:v>
      </x:c>
      <x:c r="K6078" s="6" t="n">
        <x:f>IF(G6078&gt;H6078,1,0)</x:f>
        <x:v>1</x:v>
      </x:c>
      <x:c r="L6078" s="6" t="n">
        <x:f>J6078*K6078</x:f>
        <x:v>1</x:v>
      </x:c>
    </x:row>
    <x:row r="6079">
      <x:c r="A6079" s="1" t="n">
        <x:v>47652</x:v>
      </x:c>
      <x:c r="B6079" s="5" t="d">
        <x:v>2016-11-26T00:00:00.000Z</x:v>
      </x:c>
      <x:c r="C6079" s="1" t="str">
        <x:v>Same Day</x:v>
      </x:c>
      <x:c r="D6079" s="1" t="str">
        <x:v>Pacific Asia</x:v>
      </x:c>
      <x:c r="E6079" s="1" t="str">
        <x:v>COMPLETE</x:v>
      </x:c>
      <x:c r="F6079" s="1" t="str">
        <x:v>Late delivery</x:v>
      </x:c>
      <x:c r="G6079" s="6" t="n">
        <x:v>1</x:v>
      </x:c>
      <x:c r="H6079" s="6" t="n">
        <x:v>0</x:v>
      </x:c>
      <x:c r="I6079" s="6" t="n">
        <x:f>G6079-H6079</x:f>
        <x:v>1</x:v>
      </x:c>
      <x:c r="J6079" s="6" t="n">
        <x:f>IF(OR(E6079="CANCELED",E6079="SUSPECTED_FRAUD",F6079="Shipping canceled"),0,1)</x:f>
        <x:v>1</x:v>
      </x:c>
      <x:c r="K6079" s="6" t="n">
        <x:f>IF(G6079&gt;H6079,1,0)</x:f>
        <x:v>1</x:v>
      </x:c>
      <x:c r="L6079" s="6" t="n">
        <x:f>J6079*K6079</x:f>
        <x:v>1</x:v>
      </x:c>
    </x:row>
    <x:row r="6080">
      <x:c r="A6080" s="1" t="n">
        <x:v>47657</x:v>
      </x:c>
      <x:c r="B6080" s="5" t="d">
        <x:v>2016-11-26T00:00:00.000Z</x:v>
      </x:c>
      <x:c r="C6080" s="1" t="str">
        <x:v>First Class</x:v>
      </x:c>
      <x:c r="D6080" s="1" t="str">
        <x:v>Pacific Asia</x:v>
      </x:c>
      <x:c r="E6080" s="1" t="str">
        <x:v>PROCESSING</x:v>
      </x:c>
      <x:c r="F6080" s="1" t="str">
        <x:v>Late delivery</x:v>
      </x:c>
      <x:c r="G6080" s="6" t="n">
        <x:v>2</x:v>
      </x:c>
      <x:c r="H6080" s="6" t="n">
        <x:v>1</x:v>
      </x:c>
      <x:c r="I6080" s="6" t="n">
        <x:f>G6080-H6080</x:f>
        <x:v>1</x:v>
      </x:c>
      <x:c r="J6080" s="6" t="n">
        <x:f>IF(OR(E6080="CANCELED",E6080="SUSPECTED_FRAUD",F6080="Shipping canceled"),0,1)</x:f>
        <x:v>1</x:v>
      </x:c>
      <x:c r="K6080" s="6" t="n">
        <x:f>IF(G6080&gt;H6080,1,0)</x:f>
        <x:v>1</x:v>
      </x:c>
      <x:c r="L6080" s="6" t="n">
        <x:f>J6080*K6080</x:f>
        <x:v>1</x:v>
      </x:c>
    </x:row>
    <x:row r="6081">
      <x:c r="A6081" s="1" t="n">
        <x:v>47670</x:v>
      </x:c>
      <x:c r="B6081" s="5" t="d">
        <x:v>2016-11-26T00:00:00.000Z</x:v>
      </x:c>
      <x:c r="C6081" s="1" t="str">
        <x:v>Standard Class</x:v>
      </x:c>
      <x:c r="D6081" s="1" t="str">
        <x:v>Africa</x:v>
      </x:c>
      <x:c r="E6081" s="1" t="str">
        <x:v>COMPLETE</x:v>
      </x:c>
      <x:c r="F6081" s="1" t="str">
        <x:v>Late delivery</x:v>
      </x:c>
      <x:c r="G6081" s="6" t="n">
        <x:v>6</x:v>
      </x:c>
      <x:c r="H6081" s="6" t="n">
        <x:v>4</x:v>
      </x:c>
      <x:c r="I6081" s="6" t="n">
        <x:f>G6081-H6081</x:f>
        <x:v>2</x:v>
      </x:c>
      <x:c r="J6081" s="6" t="n">
        <x:f>IF(OR(E6081="CANCELED",E6081="SUSPECTED_FRAUD",F6081="Shipping canceled"),0,1)</x:f>
        <x:v>1</x:v>
      </x:c>
      <x:c r="K6081" s="6" t="n">
        <x:f>IF(G6081&gt;H6081,1,0)</x:f>
        <x:v>1</x:v>
      </x:c>
      <x:c r="L6081" s="6" t="n">
        <x:f>J6081*K6081</x:f>
        <x:v>1</x:v>
      </x:c>
    </x:row>
    <x:row r="6082">
      <x:c r="A6082" s="1" t="n">
        <x:v>47697</x:v>
      </x:c>
      <x:c r="B6082" s="5" t="d">
        <x:v>2016-11-27T00:00:00.000Z</x:v>
      </x:c>
      <x:c r="C6082" s="1" t="str">
        <x:v>First Class</x:v>
      </x:c>
      <x:c r="D6082" s="1" t="str">
        <x:v>Africa</x:v>
      </x:c>
      <x:c r="E6082" s="1" t="str">
        <x:v>PROCESSING</x:v>
      </x:c>
      <x:c r="F6082" s="1" t="str">
        <x:v>Late delivery</x:v>
      </x:c>
      <x:c r="G6082" s="6" t="n">
        <x:v>2</x:v>
      </x:c>
      <x:c r="H6082" s="6" t="n">
        <x:v>1</x:v>
      </x:c>
      <x:c r="I6082" s="6" t="n">
        <x:f>G6082-H6082</x:f>
        <x:v>1</x:v>
      </x:c>
      <x:c r="J6082" s="6" t="n">
        <x:f>IF(OR(E6082="CANCELED",E6082="SUSPECTED_FRAUD",F6082="Shipping canceled"),0,1)</x:f>
        <x:v>1</x:v>
      </x:c>
      <x:c r="K6082" s="6" t="n">
        <x:f>IF(G6082&gt;H6082,1,0)</x:f>
        <x:v>1</x:v>
      </x:c>
      <x:c r="L6082" s="6" t="n">
        <x:f>J6082*K6082</x:f>
        <x:v>1</x:v>
      </x:c>
    </x:row>
    <x:row r="6083">
      <x:c r="A6083" s="1" t="n">
        <x:v>47707</x:v>
      </x:c>
      <x:c r="B6083" s="5" t="d">
        <x:v>2016-11-27T00:00:00.000Z</x:v>
      </x:c>
      <x:c r="C6083" s="1" t="str">
        <x:v>Standard Class</x:v>
      </x:c>
      <x:c r="D6083" s="1" t="str">
        <x:v>Europe</x:v>
      </x:c>
      <x:c r="E6083" s="1" t="str">
        <x:v>COMPLETE</x:v>
      </x:c>
      <x:c r="F6083" s="1" t="str">
        <x:v>Advance shipping</x:v>
      </x:c>
      <x:c r="G6083" s="6" t="n">
        <x:v>3</x:v>
      </x:c>
      <x:c r="H6083" s="6" t="n">
        <x:v>4</x:v>
      </x:c>
      <x:c r="I6083" s="6" t="n">
        <x:f>G6083-H6083</x:f>
        <x:v>-1</x:v>
      </x:c>
      <x:c r="J6083" s="6" t="n">
        <x:f>IF(OR(E6083="CANCELED",E6083="SUSPECTED_FRAUD",F6083="Shipping canceled"),0,1)</x:f>
        <x:v>1</x:v>
      </x:c>
      <x:c r="K6083" s="6" t="n">
        <x:f>IF(G6083&gt;H6083,1,0)</x:f>
        <x:v>0</x:v>
      </x:c>
      <x:c r="L6083" s="6" t="n">
        <x:f>J6083*K6083</x:f>
        <x:v>0</x:v>
      </x:c>
    </x:row>
    <x:row r="6084">
      <x:c r="A6084" s="1" t="n">
        <x:v>47731</x:v>
      </x:c>
      <x:c r="B6084" s="5" t="d">
        <x:v>2016-11-27T00:00:00.000Z</x:v>
      </x:c>
      <x:c r="C6084" s="1" t="str">
        <x:v>Standard Class</x:v>
      </x:c>
      <x:c r="D6084" s="1" t="str">
        <x:v>Africa</x:v>
      </x:c>
      <x:c r="E6084" s="1" t="str">
        <x:v>PROCESSING</x:v>
      </x:c>
      <x:c r="F6084" s="1" t="str">
        <x:v>Advance shipping</x:v>
      </x:c>
      <x:c r="G6084" s="6" t="n">
        <x:v>2</x:v>
      </x:c>
      <x:c r="H6084" s="6" t="n">
        <x:v>4</x:v>
      </x:c>
      <x:c r="I6084" s="6" t="n">
        <x:f>G6084-H6084</x:f>
        <x:v>-2</x:v>
      </x:c>
      <x:c r="J6084" s="6" t="n">
        <x:f>IF(OR(E6084="CANCELED",E6084="SUSPECTED_FRAUD",F6084="Shipping canceled"),0,1)</x:f>
        <x:v>1</x:v>
      </x:c>
      <x:c r="K6084" s="6" t="n">
        <x:f>IF(G6084&gt;H6084,1,0)</x:f>
        <x:v>0</x:v>
      </x:c>
      <x:c r="L6084" s="6" t="n">
        <x:f>J6084*K6084</x:f>
        <x:v>0</x:v>
      </x:c>
    </x:row>
    <x:row r="6085">
      <x:c r="A6085" s="1" t="n">
        <x:v>47734</x:v>
      </x:c>
      <x:c r="B6085" s="5" t="d">
        <x:v>2016-11-27T00:00:00.000Z</x:v>
      </x:c>
      <x:c r="C6085" s="1" t="str">
        <x:v>Standard Class</x:v>
      </x:c>
      <x:c r="D6085" s="1" t="str">
        <x:v>Africa</x:v>
      </x:c>
      <x:c r="E6085" s="1" t="str">
        <x:v>COMPLETE</x:v>
      </x:c>
      <x:c r="F6085" s="1" t="str">
        <x:v>Late delivery</x:v>
      </x:c>
      <x:c r="G6085" s="6" t="n">
        <x:v>5</x:v>
      </x:c>
      <x:c r="H6085" s="6" t="n">
        <x:v>4</x:v>
      </x:c>
      <x:c r="I6085" s="6" t="n">
        <x:f>G6085-H6085</x:f>
        <x:v>1</x:v>
      </x:c>
      <x:c r="J6085" s="6" t="n">
        <x:f>IF(OR(E6085="CANCELED",E6085="SUSPECTED_FRAUD",F6085="Shipping canceled"),0,1)</x:f>
        <x:v>1</x:v>
      </x:c>
      <x:c r="K6085" s="6" t="n">
        <x:f>IF(G6085&gt;H6085,1,0)</x:f>
        <x:v>1</x:v>
      </x:c>
      <x:c r="L6085" s="6" t="n">
        <x:f>J6085*K6085</x:f>
        <x:v>1</x:v>
      </x:c>
    </x:row>
    <x:row r="6086">
      <x:c r="A6086" s="1" t="n">
        <x:v>47743</x:v>
      </x:c>
      <x:c r="B6086" s="5" t="d">
        <x:v>2016-11-27T00:00:00.000Z</x:v>
      </x:c>
      <x:c r="C6086" s="1" t="str">
        <x:v>Standard Class</x:v>
      </x:c>
      <x:c r="D6086" s="1" t="str">
        <x:v>Pacific Asia</x:v>
      </x:c>
      <x:c r="E6086" s="1" t="str">
        <x:v>CANCELED</x:v>
      </x:c>
      <x:c r="F6086" s="1" t="str">
        <x:v>Shipping canceled</x:v>
      </x:c>
      <x:c r="G6086" s="6" t="n">
        <x:v>4</x:v>
      </x:c>
      <x:c r="H6086" s="6" t="n">
        <x:v>4</x:v>
      </x:c>
      <x:c r="I6086" s="6" t="n">
        <x:f>G6086-H6086</x:f>
        <x:v>0</x:v>
      </x:c>
      <x:c r="J6086" s="6" t="n">
        <x:f>IF(OR(E6086="CANCELED",E6086="SUSPECTED_FRAUD",F6086="Shipping canceled"),0,1)</x:f>
        <x:v>0</x:v>
      </x:c>
      <x:c r="K6086" s="6" t="n">
        <x:f>IF(G6086&gt;H6086,1,0)</x:f>
        <x:v>0</x:v>
      </x:c>
      <x:c r="L6086" s="6" t="n">
        <x:f>J6086*K6086</x:f>
        <x:v>0</x:v>
      </x:c>
    </x:row>
    <x:row r="6087">
      <x:c r="A6087" s="1" t="n">
        <x:v>47752</x:v>
      </x:c>
      <x:c r="B6087" s="5" t="d">
        <x:v>2016-11-28T00:00:00.000Z</x:v>
      </x:c>
      <x:c r="C6087" s="1" t="str">
        <x:v>Second Class</x:v>
      </x:c>
      <x:c r="D6087" s="1" t="str">
        <x:v>Pacific Asia</x:v>
      </x:c>
      <x:c r="E6087" s="1" t="str">
        <x:v>PENDING_PAYMENT</x:v>
      </x:c>
      <x:c r="F6087" s="1" t="str">
        <x:v>Late delivery</x:v>
      </x:c>
      <x:c r="G6087" s="6" t="n">
        <x:v>3</x:v>
      </x:c>
      <x:c r="H6087" s="6" t="n">
        <x:v>2</x:v>
      </x:c>
      <x:c r="I6087" s="6" t="n">
        <x:f>G6087-H6087</x:f>
        <x:v>1</x:v>
      </x:c>
      <x:c r="J6087" s="6" t="n">
        <x:f>IF(OR(E6087="CANCELED",E6087="SUSPECTED_FRAUD",F6087="Shipping canceled"),0,1)</x:f>
        <x:v>1</x:v>
      </x:c>
      <x:c r="K6087" s="6" t="n">
        <x:f>IF(G6087&gt;H6087,1,0)</x:f>
        <x:v>1</x:v>
      </x:c>
      <x:c r="L6087" s="6" t="n">
        <x:f>J6087*K6087</x:f>
        <x:v>1</x:v>
      </x:c>
    </x:row>
    <x:row r="6088">
      <x:c r="A6088" s="1" t="n">
        <x:v>47755</x:v>
      </x:c>
      <x:c r="B6088" s="5" t="d">
        <x:v>2016-11-28T00:00:00.000Z</x:v>
      </x:c>
      <x:c r="C6088" s="1" t="str">
        <x:v>First Class</x:v>
      </x:c>
      <x:c r="D6088" s="1" t="str">
        <x:v>Pacific Asia</x:v>
      </x:c>
      <x:c r="E6088" s="1" t="str">
        <x:v>PROCESSING</x:v>
      </x:c>
      <x:c r="F6088" s="1" t="str">
        <x:v>Late delivery</x:v>
      </x:c>
      <x:c r="G6088" s="6" t="n">
        <x:v>2</x:v>
      </x:c>
      <x:c r="H6088" s="6" t="n">
        <x:v>1</x:v>
      </x:c>
      <x:c r="I6088" s="6" t="n">
        <x:f>G6088-H6088</x:f>
        <x:v>1</x:v>
      </x:c>
      <x:c r="J6088" s="6" t="n">
        <x:f>IF(OR(E6088="CANCELED",E6088="SUSPECTED_FRAUD",F6088="Shipping canceled"),0,1)</x:f>
        <x:v>1</x:v>
      </x:c>
      <x:c r="K6088" s="6" t="n">
        <x:f>IF(G6088&gt;H6088,1,0)</x:f>
        <x:v>1</x:v>
      </x:c>
      <x:c r="L6088" s="6" t="n">
        <x:f>J6088*K6088</x:f>
        <x:v>1</x:v>
      </x:c>
    </x:row>
    <x:row r="6089">
      <x:c r="A6089" s="1" t="n">
        <x:v>47756</x:v>
      </x:c>
      <x:c r="B6089" s="5" t="d">
        <x:v>2016-11-28T00:00:00.000Z</x:v>
      </x:c>
      <x:c r="C6089" s="1" t="str">
        <x:v>Second Class</x:v>
      </x:c>
      <x:c r="D6089" s="1" t="str">
        <x:v>Africa</x:v>
      </x:c>
      <x:c r="E6089" s="1" t="str">
        <x:v>COMPLETE</x:v>
      </x:c>
      <x:c r="F6089" s="1" t="str">
        <x:v>Shipping on time</x:v>
      </x:c>
      <x:c r="G6089" s="6" t="n">
        <x:v>2</x:v>
      </x:c>
      <x:c r="H6089" s="6" t="n">
        <x:v>2</x:v>
      </x:c>
      <x:c r="I6089" s="6" t="n">
        <x:f>G6089-H6089</x:f>
        <x:v>0</x:v>
      </x:c>
      <x:c r="J6089" s="6" t="n">
        <x:f>IF(OR(E6089="CANCELED",E6089="SUSPECTED_FRAUD",F6089="Shipping canceled"),0,1)</x:f>
        <x:v>1</x:v>
      </x:c>
      <x:c r="K6089" s="6" t="n">
        <x:f>IF(G6089&gt;H6089,1,0)</x:f>
        <x:v>0</x:v>
      </x:c>
      <x:c r="L6089" s="6" t="n">
        <x:f>J6089*K6089</x:f>
        <x:v>0</x:v>
      </x:c>
    </x:row>
    <x:row r="6090">
      <x:c r="A6090" s="1" t="n">
        <x:v>47758</x:v>
      </x:c>
      <x:c r="B6090" s="5" t="d">
        <x:v>2016-11-28T00:00:00.000Z</x:v>
      </x:c>
      <x:c r="C6090" s="1" t="str">
        <x:v>Second Class</x:v>
      </x:c>
      <x:c r="D6090" s="1" t="str">
        <x:v>Europe</x:v>
      </x:c>
      <x:c r="E6090" s="1" t="str">
        <x:v>COMPLETE</x:v>
      </x:c>
      <x:c r="F6090" s="1" t="str">
        <x:v>Late delivery</x:v>
      </x:c>
      <x:c r="G6090" s="6" t="n">
        <x:v>4</x:v>
      </x:c>
      <x:c r="H6090" s="6" t="n">
        <x:v>2</x:v>
      </x:c>
      <x:c r="I6090" s="6" t="n">
        <x:f>G6090-H6090</x:f>
        <x:v>2</x:v>
      </x:c>
      <x:c r="J6090" s="6" t="n">
        <x:f>IF(OR(E6090="CANCELED",E6090="SUSPECTED_FRAUD",F6090="Shipping canceled"),0,1)</x:f>
        <x:v>1</x:v>
      </x:c>
      <x:c r="K6090" s="6" t="n">
        <x:f>IF(G6090&gt;H6090,1,0)</x:f>
        <x:v>1</x:v>
      </x:c>
      <x:c r="L6090" s="6" t="n">
        <x:f>J6090*K6090</x:f>
        <x:v>1</x:v>
      </x:c>
    </x:row>
    <x:row r="6091">
      <x:c r="A6091" s="1" t="n">
        <x:v>47769</x:v>
      </x:c>
      <x:c r="B6091" s="5" t="d">
        <x:v>2016-11-28T00:00:00.000Z</x:v>
      </x:c>
      <x:c r="C6091" s="1" t="str">
        <x:v>Standard Class</x:v>
      </x:c>
      <x:c r="D6091" s="1" t="str">
        <x:v>Africa</x:v>
      </x:c>
      <x:c r="E6091" s="1" t="str">
        <x:v>COMPLETE</x:v>
      </x:c>
      <x:c r="F6091" s="1" t="str">
        <x:v>Late delivery</x:v>
      </x:c>
      <x:c r="G6091" s="6" t="n">
        <x:v>5</x:v>
      </x:c>
      <x:c r="H6091" s="6" t="n">
        <x:v>4</x:v>
      </x:c>
      <x:c r="I6091" s="6" t="n">
        <x:f>G6091-H6091</x:f>
        <x:v>1</x:v>
      </x:c>
      <x:c r="J6091" s="6" t="n">
        <x:f>IF(OR(E6091="CANCELED",E6091="SUSPECTED_FRAUD",F6091="Shipping canceled"),0,1)</x:f>
        <x:v>1</x:v>
      </x:c>
      <x:c r="K6091" s="6" t="n">
        <x:f>IF(G6091&gt;H6091,1,0)</x:f>
        <x:v>1</x:v>
      </x:c>
      <x:c r="L6091" s="6" t="n">
        <x:f>J6091*K6091</x:f>
        <x:v>1</x:v>
      </x:c>
    </x:row>
    <x:row r="6092">
      <x:c r="A6092" s="1" t="n">
        <x:v>47774</x:v>
      </x:c>
      <x:c r="B6092" s="5" t="d">
        <x:v>2016-11-28T00:00:00.000Z</x:v>
      </x:c>
      <x:c r="C6092" s="1" t="str">
        <x:v>Standard Class</x:v>
      </x:c>
      <x:c r="D6092" s="1" t="str">
        <x:v>Africa</x:v>
      </x:c>
      <x:c r="E6092" s="1" t="str">
        <x:v>PENDING</x:v>
      </x:c>
      <x:c r="F6092" s="1" t="str">
        <x:v>Late delivery</x:v>
      </x:c>
      <x:c r="G6092" s="6" t="n">
        <x:v>5</x:v>
      </x:c>
      <x:c r="H6092" s="6" t="n">
        <x:v>4</x:v>
      </x:c>
      <x:c r="I6092" s="6" t="n">
        <x:f>G6092-H6092</x:f>
        <x:v>1</x:v>
      </x:c>
      <x:c r="J6092" s="6" t="n">
        <x:f>IF(OR(E6092="CANCELED",E6092="SUSPECTED_FRAUD",F6092="Shipping canceled"),0,1)</x:f>
        <x:v>1</x:v>
      </x:c>
      <x:c r="K6092" s="6" t="n">
        <x:f>IF(G6092&gt;H6092,1,0)</x:f>
        <x:v>1</x:v>
      </x:c>
      <x:c r="L6092" s="6" t="n">
        <x:f>J6092*K6092</x:f>
        <x:v>1</x:v>
      </x:c>
    </x:row>
    <x:row r="6093">
      <x:c r="A6093" s="1" t="n">
        <x:v>47775</x:v>
      </x:c>
      <x:c r="B6093" s="5" t="d">
        <x:v>2016-11-28T00:00:00.000Z</x:v>
      </x:c>
      <x:c r="C6093" s="1" t="str">
        <x:v>Standard Class</x:v>
      </x:c>
      <x:c r="D6093" s="1" t="str">
        <x:v>Africa</x:v>
      </x:c>
      <x:c r="E6093" s="1" t="str">
        <x:v>CLOSED</x:v>
      </x:c>
      <x:c r="F6093" s="1" t="str">
        <x:v>Late delivery</x:v>
      </x:c>
      <x:c r="G6093" s="6" t="n">
        <x:v>6</x:v>
      </x:c>
      <x:c r="H6093" s="6" t="n">
        <x:v>4</x:v>
      </x:c>
      <x:c r="I6093" s="6" t="n">
        <x:f>G6093-H6093</x:f>
        <x:v>2</x:v>
      </x:c>
      <x:c r="J6093" s="6" t="n">
        <x:f>IF(OR(E6093="CANCELED",E6093="SUSPECTED_FRAUD",F6093="Shipping canceled"),0,1)</x:f>
        <x:v>1</x:v>
      </x:c>
      <x:c r="K6093" s="6" t="n">
        <x:f>IF(G6093&gt;H6093,1,0)</x:f>
        <x:v>1</x:v>
      </x:c>
      <x:c r="L6093" s="6" t="n">
        <x:f>J6093*K6093</x:f>
        <x:v>1</x:v>
      </x:c>
    </x:row>
    <x:row r="6094">
      <x:c r="A6094" s="1" t="n">
        <x:v>47783</x:v>
      </x:c>
      <x:c r="B6094" s="5" t="d">
        <x:v>2016-11-28T00:00:00.000Z</x:v>
      </x:c>
      <x:c r="C6094" s="1" t="str">
        <x:v>Same Day</x:v>
      </x:c>
      <x:c r="D6094" s="1" t="str">
        <x:v>Africa</x:v>
      </x:c>
      <x:c r="E6094" s="1" t="str">
        <x:v>PENDING_PAYMENT</x:v>
      </x:c>
      <x:c r="F6094" s="1" t="str">
        <x:v>Late delivery</x:v>
      </x:c>
      <x:c r="G6094" s="6" t="n">
        <x:v>1</x:v>
      </x:c>
      <x:c r="H6094" s="6" t="n">
        <x:v>0</x:v>
      </x:c>
      <x:c r="I6094" s="6" t="n">
        <x:f>G6094-H6094</x:f>
        <x:v>1</x:v>
      </x:c>
      <x:c r="J6094" s="6" t="n">
        <x:f>IF(OR(E6094="CANCELED",E6094="SUSPECTED_FRAUD",F6094="Shipping canceled"),0,1)</x:f>
        <x:v>1</x:v>
      </x:c>
      <x:c r="K6094" s="6" t="n">
        <x:f>IF(G6094&gt;H6094,1,0)</x:f>
        <x:v>1</x:v>
      </x:c>
      <x:c r="L6094" s="6" t="n">
        <x:f>J6094*K6094</x:f>
        <x:v>1</x:v>
      </x:c>
    </x:row>
    <x:row r="6095">
      <x:c r="A6095" s="1" t="n">
        <x:v>47792</x:v>
      </x:c>
      <x:c r="B6095" s="5" t="d">
        <x:v>2016-11-28T00:00:00.000Z</x:v>
      </x:c>
      <x:c r="C6095" s="1" t="str">
        <x:v>Second Class</x:v>
      </x:c>
      <x:c r="D6095" s="1" t="str">
        <x:v>Pacific Asia</x:v>
      </x:c>
      <x:c r="E6095" s="1" t="str">
        <x:v>COMPLETE</x:v>
      </x:c>
      <x:c r="F6095" s="1" t="str">
        <x:v>Late delivery</x:v>
      </x:c>
      <x:c r="G6095" s="6" t="n">
        <x:v>3</x:v>
      </x:c>
      <x:c r="H6095" s="6" t="n">
        <x:v>2</x:v>
      </x:c>
      <x:c r="I6095" s="6" t="n">
        <x:f>G6095-H6095</x:f>
        <x:v>1</x:v>
      </x:c>
      <x:c r="J6095" s="6" t="n">
        <x:f>IF(OR(E6095="CANCELED",E6095="SUSPECTED_FRAUD",F6095="Shipping canceled"),0,1)</x:f>
        <x:v>1</x:v>
      </x:c>
      <x:c r="K6095" s="6" t="n">
        <x:f>IF(G6095&gt;H6095,1,0)</x:f>
        <x:v>1</x:v>
      </x:c>
      <x:c r="L6095" s="6" t="n">
        <x:f>J6095*K6095</x:f>
        <x:v>1</x:v>
      </x:c>
    </x:row>
    <x:row r="6096">
      <x:c r="A6096" s="1" t="n">
        <x:v>47796</x:v>
      </x:c>
      <x:c r="B6096" s="5" t="d">
        <x:v>2016-11-28T00:00:00.000Z</x:v>
      </x:c>
      <x:c r="C6096" s="1" t="str">
        <x:v>Standard Class</x:v>
      </x:c>
      <x:c r="D6096" s="1" t="str">
        <x:v>USCA</x:v>
      </x:c>
      <x:c r="E6096" s="1" t="str">
        <x:v>PROCESSING</x:v>
      </x:c>
      <x:c r="F6096" s="1" t="str">
        <x:v>Advance shipping</x:v>
      </x:c>
      <x:c r="G6096" s="6" t="n">
        <x:v>2</x:v>
      </x:c>
      <x:c r="H6096" s="6" t="n">
        <x:v>4</x:v>
      </x:c>
      <x:c r="I6096" s="6" t="n">
        <x:f>G6096-H6096</x:f>
        <x:v>-2</x:v>
      </x:c>
      <x:c r="J6096" s="6" t="n">
        <x:f>IF(OR(E6096="CANCELED",E6096="SUSPECTED_FRAUD",F6096="Shipping canceled"),0,1)</x:f>
        <x:v>1</x:v>
      </x:c>
      <x:c r="K6096" s="6" t="n">
        <x:f>IF(G6096&gt;H6096,1,0)</x:f>
        <x:v>0</x:v>
      </x:c>
      <x:c r="L6096" s="6" t="n">
        <x:f>J6096*K6096</x:f>
        <x:v>0</x:v>
      </x:c>
    </x:row>
    <x:row r="6097">
      <x:c r="A6097" s="1" t="n">
        <x:v>47810</x:v>
      </x:c>
      <x:c r="B6097" s="5" t="d">
        <x:v>2016-11-28T00:00:00.000Z</x:v>
      </x:c>
      <x:c r="C6097" s="1" t="str">
        <x:v>Second Class</x:v>
      </x:c>
      <x:c r="D6097" s="1" t="str">
        <x:v>Pacific Asia</x:v>
      </x:c>
      <x:c r="E6097" s="1" t="str">
        <x:v>CANCELED</x:v>
      </x:c>
      <x:c r="F6097" s="1" t="str">
        <x:v>Shipping canceled</x:v>
      </x:c>
      <x:c r="G6097" s="6" t="n">
        <x:v>6</x:v>
      </x:c>
      <x:c r="H6097" s="6" t="n">
        <x:v>2</x:v>
      </x:c>
      <x:c r="I6097" s="6" t="n">
        <x:f>G6097-H6097</x:f>
        <x:v>4</x:v>
      </x:c>
      <x:c r="J6097" s="6" t="n">
        <x:f>IF(OR(E6097="CANCELED",E6097="SUSPECTED_FRAUD",F6097="Shipping canceled"),0,1)</x:f>
        <x:v>0</x:v>
      </x:c>
      <x:c r="K6097" s="6" t="n">
        <x:f>IF(G6097&gt;H6097,1,0)</x:f>
        <x:v>1</x:v>
      </x:c>
      <x:c r="L6097" s="6" t="n">
        <x:f>J6097*K6097</x:f>
        <x:v>0</x:v>
      </x:c>
    </x:row>
    <x:row r="6098">
      <x:c r="A6098" s="1" t="n">
        <x:v>47834</x:v>
      </x:c>
      <x:c r="B6098" s="5" t="d">
        <x:v>2016-11-29T00:00:00.000Z</x:v>
      </x:c>
      <x:c r="C6098" s="1" t="str">
        <x:v>Same Day</x:v>
      </x:c>
      <x:c r="D6098" s="1" t="str">
        <x:v>Pacific Asia</x:v>
      </x:c>
      <x:c r="E6098" s="1" t="str">
        <x:v>PENDING</x:v>
      </x:c>
      <x:c r="F6098" s="1" t="str">
        <x:v>Shipping on time</x:v>
      </x:c>
      <x:c r="G6098" s="6" t="n">
        <x:v>0</x:v>
      </x:c>
      <x:c r="H6098" s="6" t="n">
        <x:v>0</x:v>
      </x:c>
      <x:c r="I6098" s="6" t="n">
        <x:f>G6098-H6098</x:f>
        <x:v>0</x:v>
      </x:c>
      <x:c r="J6098" s="6" t="n">
        <x:f>IF(OR(E6098="CANCELED",E6098="SUSPECTED_FRAUD",F6098="Shipping canceled"),0,1)</x:f>
        <x:v>1</x:v>
      </x:c>
      <x:c r="K6098" s="6" t="n">
        <x:f>IF(G6098&gt;H6098,1,0)</x:f>
        <x:v>0</x:v>
      </x:c>
      <x:c r="L6098" s="6" t="n">
        <x:f>J6098*K6098</x:f>
        <x:v>0</x:v>
      </x:c>
    </x:row>
    <x:row r="6099">
      <x:c r="A6099" s="1" t="n">
        <x:v>47836</x:v>
      </x:c>
      <x:c r="B6099" s="5" t="d">
        <x:v>2016-11-29T00:00:00.000Z</x:v>
      </x:c>
      <x:c r="C6099" s="1" t="str">
        <x:v>Standard Class</x:v>
      </x:c>
      <x:c r="D6099" s="1" t="str">
        <x:v>Africa</x:v>
      </x:c>
      <x:c r="E6099" s="1" t="str">
        <x:v>COMPLETE</x:v>
      </x:c>
      <x:c r="F6099" s="1" t="str">
        <x:v>Advance shipping</x:v>
      </x:c>
      <x:c r="G6099" s="6" t="n">
        <x:v>2</x:v>
      </x:c>
      <x:c r="H6099" s="6" t="n">
        <x:v>4</x:v>
      </x:c>
      <x:c r="I6099" s="6" t="n">
        <x:f>G6099-H6099</x:f>
        <x:v>-2</x:v>
      </x:c>
      <x:c r="J6099" s="6" t="n">
        <x:f>IF(OR(E6099="CANCELED",E6099="SUSPECTED_FRAUD",F6099="Shipping canceled"),0,1)</x:f>
        <x:v>1</x:v>
      </x:c>
      <x:c r="K6099" s="6" t="n">
        <x:f>IF(G6099&gt;H6099,1,0)</x:f>
        <x:v>0</x:v>
      </x:c>
      <x:c r="L6099" s="6" t="n">
        <x:f>J6099*K6099</x:f>
        <x:v>0</x:v>
      </x:c>
    </x:row>
    <x:row r="6100">
      <x:c r="A6100" s="1" t="n">
        <x:v>47840</x:v>
      </x:c>
      <x:c r="B6100" s="5" t="d">
        <x:v>2016-11-29T00:00:00.000Z</x:v>
      </x:c>
      <x:c r="C6100" s="1" t="str">
        <x:v>Standard Class</x:v>
      </x:c>
      <x:c r="D6100" s="1" t="str">
        <x:v>Africa</x:v>
      </x:c>
      <x:c r="E6100" s="1" t="str">
        <x:v>SUSPECTED_FRAUD</x:v>
      </x:c>
      <x:c r="F6100" s="1" t="str">
        <x:v>Shipping canceled</x:v>
      </x:c>
      <x:c r="G6100" s="6" t="n">
        <x:v>6</x:v>
      </x:c>
      <x:c r="H6100" s="6" t="n">
        <x:v>4</x:v>
      </x:c>
      <x:c r="I6100" s="6" t="n">
        <x:f>G6100-H6100</x:f>
        <x:v>2</x:v>
      </x:c>
      <x:c r="J6100" s="6" t="n">
        <x:f>IF(OR(E6100="CANCELED",E6100="SUSPECTED_FRAUD",F6100="Shipping canceled"),0,1)</x:f>
        <x:v>0</x:v>
      </x:c>
      <x:c r="K6100" s="6" t="n">
        <x:f>IF(G6100&gt;H6100,1,0)</x:f>
        <x:v>1</x:v>
      </x:c>
      <x:c r="L6100" s="6" t="n">
        <x:f>J6100*K6100</x:f>
        <x:v>0</x:v>
      </x:c>
    </x:row>
    <x:row r="6101">
      <x:c r="A6101" s="1" t="n">
        <x:v>47841</x:v>
      </x:c>
      <x:c r="B6101" s="5" t="d">
        <x:v>2016-11-29T00:00:00.000Z</x:v>
      </x:c>
      <x:c r="C6101" s="1" t="str">
        <x:v>Standard Class</x:v>
      </x:c>
      <x:c r="D6101" s="1" t="str">
        <x:v>Pacific Asia</x:v>
      </x:c>
      <x:c r="E6101" s="1" t="str">
        <x:v>COMPLETE</x:v>
      </x:c>
      <x:c r="F6101" s="1" t="str">
        <x:v>Advance shipping</x:v>
      </x:c>
      <x:c r="G6101" s="6" t="n">
        <x:v>2</x:v>
      </x:c>
      <x:c r="H6101" s="6" t="n">
        <x:v>4</x:v>
      </x:c>
      <x:c r="I6101" s="6" t="n">
        <x:f>G6101-H6101</x:f>
        <x:v>-2</x:v>
      </x:c>
      <x:c r="J6101" s="6" t="n">
        <x:f>IF(OR(E6101="CANCELED",E6101="SUSPECTED_FRAUD",F6101="Shipping canceled"),0,1)</x:f>
        <x:v>1</x:v>
      </x:c>
      <x:c r="K6101" s="6" t="n">
        <x:f>IF(G6101&gt;H6101,1,0)</x:f>
        <x:v>0</x:v>
      </x:c>
      <x:c r="L6101" s="6" t="n">
        <x:f>J6101*K6101</x:f>
        <x:v>0</x:v>
      </x:c>
    </x:row>
    <x:row r="6102">
      <x:c r="A6102" s="1" t="n">
        <x:v>47846</x:v>
      </x:c>
      <x:c r="B6102" s="5" t="d">
        <x:v>2016-11-29T00:00:00.000Z</x:v>
      </x:c>
      <x:c r="C6102" s="1" t="str">
        <x:v>Standard Class</x:v>
      </x:c>
      <x:c r="D6102" s="1" t="str">
        <x:v>Pacific Asia</x:v>
      </x:c>
      <x:c r="E6102" s="1" t="str">
        <x:v>PENDING</x:v>
      </x:c>
      <x:c r="F6102" s="1" t="str">
        <x:v>Advance shipping</x:v>
      </x:c>
      <x:c r="G6102" s="6" t="n">
        <x:v>2</x:v>
      </x:c>
      <x:c r="H6102" s="6" t="n">
        <x:v>4</x:v>
      </x:c>
      <x:c r="I6102" s="6" t="n">
        <x:f>G6102-H6102</x:f>
        <x:v>-2</x:v>
      </x:c>
      <x:c r="J6102" s="6" t="n">
        <x:f>IF(OR(E6102="CANCELED",E6102="SUSPECTED_FRAUD",F6102="Shipping canceled"),0,1)</x:f>
        <x:v>1</x:v>
      </x:c>
      <x:c r="K6102" s="6" t="n">
        <x:f>IF(G6102&gt;H6102,1,0)</x:f>
        <x:v>0</x:v>
      </x:c>
      <x:c r="L6102" s="6" t="n">
        <x:f>J6102*K6102</x:f>
        <x:v>0</x:v>
      </x:c>
    </x:row>
    <x:row r="6103">
      <x:c r="A6103" s="1" t="n">
        <x:v>47851</x:v>
      </x:c>
      <x:c r="B6103" s="5" t="d">
        <x:v>2016-11-29T00:00:00.000Z</x:v>
      </x:c>
      <x:c r="C6103" s="1" t="str">
        <x:v>Standard Class</x:v>
      </x:c>
      <x:c r="D6103" s="1" t="str">
        <x:v>Pacific Asia</x:v>
      </x:c>
      <x:c r="E6103" s="1" t="str">
        <x:v>PENDING</x:v>
      </x:c>
      <x:c r="F6103" s="1" t="str">
        <x:v>Advance shipping</x:v>
      </x:c>
      <x:c r="G6103" s="6" t="n">
        <x:v>2</x:v>
      </x:c>
      <x:c r="H6103" s="6" t="n">
        <x:v>4</x:v>
      </x:c>
      <x:c r="I6103" s="6" t="n">
        <x:f>G6103-H6103</x:f>
        <x:v>-2</x:v>
      </x:c>
      <x:c r="J6103" s="6" t="n">
        <x:f>IF(OR(E6103="CANCELED",E6103="SUSPECTED_FRAUD",F6103="Shipping canceled"),0,1)</x:f>
        <x:v>1</x:v>
      </x:c>
      <x:c r="K6103" s="6" t="n">
        <x:f>IF(G6103&gt;H6103,1,0)</x:f>
        <x:v>0</x:v>
      </x:c>
      <x:c r="L6103" s="6" t="n">
        <x:f>J6103*K6103</x:f>
        <x:v>0</x:v>
      </x:c>
    </x:row>
    <x:row r="6104">
      <x:c r="A6104" s="1" t="n">
        <x:v>47852</x:v>
      </x:c>
      <x:c r="B6104" s="5" t="d">
        <x:v>2016-11-29T00:00:00.000Z</x:v>
      </x:c>
      <x:c r="C6104" s="1" t="str">
        <x:v>Standard Class</x:v>
      </x:c>
      <x:c r="D6104" s="1" t="str">
        <x:v>Africa</x:v>
      </x:c>
      <x:c r="E6104" s="1" t="str">
        <x:v>COMPLETE</x:v>
      </x:c>
      <x:c r="F6104" s="1" t="str">
        <x:v>Advance shipping</x:v>
      </x:c>
      <x:c r="G6104" s="6" t="n">
        <x:v>3</x:v>
      </x:c>
      <x:c r="H6104" s="6" t="n">
        <x:v>4</x:v>
      </x:c>
      <x:c r="I6104" s="6" t="n">
        <x:f>G6104-H6104</x:f>
        <x:v>-1</x:v>
      </x:c>
      <x:c r="J6104" s="6" t="n">
        <x:f>IF(OR(E6104="CANCELED",E6104="SUSPECTED_FRAUD",F6104="Shipping canceled"),0,1)</x:f>
        <x:v>1</x:v>
      </x:c>
      <x:c r="K6104" s="6" t="n">
        <x:f>IF(G6104&gt;H6104,1,0)</x:f>
        <x:v>0</x:v>
      </x:c>
      <x:c r="L6104" s="6" t="n">
        <x:f>J6104*K6104</x:f>
        <x:v>0</x:v>
      </x:c>
    </x:row>
    <x:row r="6105">
      <x:c r="A6105" s="1" t="n">
        <x:v>47853</x:v>
      </x:c>
      <x:c r="B6105" s="5" t="d">
        <x:v>2016-11-29T00:00:00.000Z</x:v>
      </x:c>
      <x:c r="C6105" s="1" t="str">
        <x:v>Standard Class</x:v>
      </x:c>
      <x:c r="D6105" s="1" t="str">
        <x:v>Africa</x:v>
      </x:c>
      <x:c r="E6105" s="1" t="str">
        <x:v>COMPLETE</x:v>
      </x:c>
      <x:c r="F6105" s="1" t="str">
        <x:v>Shipping on time</x:v>
      </x:c>
      <x:c r="G6105" s="6" t="n">
        <x:v>4</x:v>
      </x:c>
      <x:c r="H6105" s="6" t="n">
        <x:v>4</x:v>
      </x:c>
      <x:c r="I6105" s="6" t="n">
        <x:f>G6105-H6105</x:f>
        <x:v>0</x:v>
      </x:c>
      <x:c r="J6105" s="6" t="n">
        <x:f>IF(OR(E6105="CANCELED",E6105="SUSPECTED_FRAUD",F6105="Shipping canceled"),0,1)</x:f>
        <x:v>1</x:v>
      </x:c>
      <x:c r="K6105" s="6" t="n">
        <x:f>IF(G6105&gt;H6105,1,0)</x:f>
        <x:v>0</x:v>
      </x:c>
      <x:c r="L6105" s="6" t="n">
        <x:f>J6105*K6105</x:f>
        <x:v>0</x:v>
      </x:c>
    </x:row>
    <x:row r="6106">
      <x:c r="A6106" s="1" t="n">
        <x:v>47866</x:v>
      </x:c>
      <x:c r="B6106" s="5" t="d">
        <x:v>2016-11-29T00:00:00.000Z</x:v>
      </x:c>
      <x:c r="C6106" s="1" t="str">
        <x:v>Standard Class</x:v>
      </x:c>
      <x:c r="D6106" s="1" t="str">
        <x:v>Africa</x:v>
      </x:c>
      <x:c r="E6106" s="1" t="str">
        <x:v>COMPLETE</x:v>
      </x:c>
      <x:c r="F6106" s="1" t="str">
        <x:v>Advance shipping</x:v>
      </x:c>
      <x:c r="G6106" s="6" t="n">
        <x:v>2</x:v>
      </x:c>
      <x:c r="H6106" s="6" t="n">
        <x:v>4</x:v>
      </x:c>
      <x:c r="I6106" s="6" t="n">
        <x:f>G6106-H6106</x:f>
        <x:v>-2</x:v>
      </x:c>
      <x:c r="J6106" s="6" t="n">
        <x:f>IF(OR(E6106="CANCELED",E6106="SUSPECTED_FRAUD",F6106="Shipping canceled"),0,1)</x:f>
        <x:v>1</x:v>
      </x:c>
      <x:c r="K6106" s="6" t="n">
        <x:f>IF(G6106&gt;H6106,1,0)</x:f>
        <x:v>0</x:v>
      </x:c>
      <x:c r="L6106" s="6" t="n">
        <x:f>J6106*K6106</x:f>
        <x:v>0</x:v>
      </x:c>
    </x:row>
    <x:row r="6107">
      <x:c r="A6107" s="1" t="n">
        <x:v>47867</x:v>
      </x:c>
      <x:c r="B6107" s="5" t="d">
        <x:v>2016-11-29T00:00:00.000Z</x:v>
      </x:c>
      <x:c r="C6107" s="1" t="str">
        <x:v>First Class</x:v>
      </x:c>
      <x:c r="D6107" s="1" t="str">
        <x:v>Pacific Asia</x:v>
      </x:c>
      <x:c r="E6107" s="1" t="str">
        <x:v>PROCESSING</x:v>
      </x:c>
      <x:c r="F6107" s="1" t="str">
        <x:v>Late delivery</x:v>
      </x:c>
      <x:c r="G6107" s="6" t="n">
        <x:v>2</x:v>
      </x:c>
      <x:c r="H6107" s="6" t="n">
        <x:v>1</x:v>
      </x:c>
      <x:c r="I6107" s="6" t="n">
        <x:f>G6107-H6107</x:f>
        <x:v>1</x:v>
      </x:c>
      <x:c r="J6107" s="6" t="n">
        <x:f>IF(OR(E6107="CANCELED",E6107="SUSPECTED_FRAUD",F6107="Shipping canceled"),0,1)</x:f>
        <x:v>1</x:v>
      </x:c>
      <x:c r="K6107" s="6" t="n">
        <x:f>IF(G6107&gt;H6107,1,0)</x:f>
        <x:v>1</x:v>
      </x:c>
      <x:c r="L6107" s="6" t="n">
        <x:f>J6107*K6107</x:f>
        <x:v>1</x:v>
      </x:c>
    </x:row>
    <x:row r="6108">
      <x:c r="A6108" s="1" t="n">
        <x:v>47872</x:v>
      </x:c>
      <x:c r="B6108" s="5" t="d">
        <x:v>2016-11-29T00:00:00.000Z</x:v>
      </x:c>
      <x:c r="C6108" s="1" t="str">
        <x:v>Standard Class</x:v>
      </x:c>
      <x:c r="D6108" s="1" t="str">
        <x:v>Africa</x:v>
      </x:c>
      <x:c r="E6108" s="1" t="str">
        <x:v>COMPLETE</x:v>
      </x:c>
      <x:c r="F6108" s="1" t="str">
        <x:v>Advance shipping</x:v>
      </x:c>
      <x:c r="G6108" s="6" t="n">
        <x:v>3</x:v>
      </x:c>
      <x:c r="H6108" s="6" t="n">
        <x:v>4</x:v>
      </x:c>
      <x:c r="I6108" s="6" t="n">
        <x:f>G6108-H6108</x:f>
        <x:v>-1</x:v>
      </x:c>
      <x:c r="J6108" s="6" t="n">
        <x:f>IF(OR(E6108="CANCELED",E6108="SUSPECTED_FRAUD",F6108="Shipping canceled"),0,1)</x:f>
        <x:v>1</x:v>
      </x:c>
      <x:c r="K6108" s="6" t="n">
        <x:f>IF(G6108&gt;H6108,1,0)</x:f>
        <x:v>0</x:v>
      </x:c>
      <x:c r="L6108" s="6" t="n">
        <x:f>J6108*K6108</x:f>
        <x:v>0</x:v>
      </x:c>
    </x:row>
    <x:row r="6109">
      <x:c r="A6109" s="1" t="n">
        <x:v>47882</x:v>
      </x:c>
      <x:c r="B6109" s="5" t="d">
        <x:v>2016-11-29T00:00:00.000Z</x:v>
      </x:c>
      <x:c r="C6109" s="1" t="str">
        <x:v>First Class</x:v>
      </x:c>
      <x:c r="D6109" s="1" t="str">
        <x:v>Africa</x:v>
      </x:c>
      <x:c r="E6109" s="1" t="str">
        <x:v>PENDING</x:v>
      </x:c>
      <x:c r="F6109" s="1" t="str">
        <x:v>Late delivery</x:v>
      </x:c>
      <x:c r="G6109" s="6" t="n">
        <x:v>2</x:v>
      </x:c>
      <x:c r="H6109" s="6" t="n">
        <x:v>1</x:v>
      </x:c>
      <x:c r="I6109" s="6" t="n">
        <x:f>G6109-H6109</x:f>
        <x:v>1</x:v>
      </x:c>
      <x:c r="J6109" s="6" t="n">
        <x:f>IF(OR(E6109="CANCELED",E6109="SUSPECTED_FRAUD",F6109="Shipping canceled"),0,1)</x:f>
        <x:v>1</x:v>
      </x:c>
      <x:c r="K6109" s="6" t="n">
        <x:f>IF(G6109&gt;H6109,1,0)</x:f>
        <x:v>1</x:v>
      </x:c>
      <x:c r="L6109" s="6" t="n">
        <x:f>J6109*K6109</x:f>
        <x:v>1</x:v>
      </x:c>
    </x:row>
    <x:row r="6110">
      <x:c r="A6110" s="1" t="n">
        <x:v>47892</x:v>
      </x:c>
      <x:c r="B6110" s="5" t="d">
        <x:v>2016-11-30T00:00:00.000Z</x:v>
      </x:c>
      <x:c r="C6110" s="1" t="str">
        <x:v>Second Class</x:v>
      </x:c>
      <x:c r="D6110" s="1" t="str">
        <x:v>Pacific Asia</x:v>
      </x:c>
      <x:c r="E6110" s="1" t="str">
        <x:v>COMPLETE</x:v>
      </x:c>
      <x:c r="F6110" s="1" t="str">
        <x:v>Late delivery</x:v>
      </x:c>
      <x:c r="G6110" s="6" t="n">
        <x:v>3</x:v>
      </x:c>
      <x:c r="H6110" s="6" t="n">
        <x:v>2</x:v>
      </x:c>
      <x:c r="I6110" s="6" t="n">
        <x:f>G6110-H6110</x:f>
        <x:v>1</x:v>
      </x:c>
      <x:c r="J6110" s="6" t="n">
        <x:f>IF(OR(E6110="CANCELED",E6110="SUSPECTED_FRAUD",F6110="Shipping canceled"),0,1)</x:f>
        <x:v>1</x:v>
      </x:c>
      <x:c r="K6110" s="6" t="n">
        <x:f>IF(G6110&gt;H6110,1,0)</x:f>
        <x:v>1</x:v>
      </x:c>
      <x:c r="L6110" s="6" t="n">
        <x:f>J6110*K6110</x:f>
        <x:v>1</x:v>
      </x:c>
    </x:row>
    <x:row r="6111">
      <x:c r="A6111" s="1" t="n">
        <x:v>47893</x:v>
      </x:c>
      <x:c r="B6111" s="5" t="d">
        <x:v>2016-11-30T00:00:00.000Z</x:v>
      </x:c>
      <x:c r="C6111" s="1" t="str">
        <x:v>Standard Class</x:v>
      </x:c>
      <x:c r="D6111" s="1" t="str">
        <x:v>Africa</x:v>
      </x:c>
      <x:c r="E6111" s="1" t="str">
        <x:v>ON_HOLD</x:v>
      </x:c>
      <x:c r="F6111" s="1" t="str">
        <x:v>Shipping on time</x:v>
      </x:c>
      <x:c r="G6111" s="6" t="n">
        <x:v>4</x:v>
      </x:c>
      <x:c r="H6111" s="6" t="n">
        <x:v>4</x:v>
      </x:c>
      <x:c r="I6111" s="6" t="n">
        <x:f>G6111-H6111</x:f>
        <x:v>0</x:v>
      </x:c>
      <x:c r="J6111" s="6" t="n">
        <x:f>IF(OR(E6111="CANCELED",E6111="SUSPECTED_FRAUD",F6111="Shipping canceled"),0,1)</x:f>
        <x:v>1</x:v>
      </x:c>
      <x:c r="K6111" s="6" t="n">
        <x:f>IF(G6111&gt;H6111,1,0)</x:f>
        <x:v>0</x:v>
      </x:c>
      <x:c r="L6111" s="6" t="n">
        <x:f>J6111*K6111</x:f>
        <x:v>0</x:v>
      </x:c>
    </x:row>
    <x:row r="6112">
      <x:c r="A6112" s="1" t="n">
        <x:v>47898</x:v>
      </x:c>
      <x:c r="B6112" s="5" t="d">
        <x:v>2016-11-30T00:00:00.000Z</x:v>
      </x:c>
      <x:c r="C6112" s="1" t="str">
        <x:v>Standard Class</x:v>
      </x:c>
      <x:c r="D6112" s="1" t="str">
        <x:v>Pacific Asia</x:v>
      </x:c>
      <x:c r="E6112" s="1" t="str">
        <x:v>COMPLETE</x:v>
      </x:c>
      <x:c r="F6112" s="1" t="str">
        <x:v>Shipping on time</x:v>
      </x:c>
      <x:c r="G6112" s="6" t="n">
        <x:v>4</x:v>
      </x:c>
      <x:c r="H6112" s="6" t="n">
        <x:v>4</x:v>
      </x:c>
      <x:c r="I6112" s="6" t="n">
        <x:f>G6112-H6112</x:f>
        <x:v>0</x:v>
      </x:c>
      <x:c r="J6112" s="6" t="n">
        <x:f>IF(OR(E6112="CANCELED",E6112="SUSPECTED_FRAUD",F6112="Shipping canceled"),0,1)</x:f>
        <x:v>1</x:v>
      </x:c>
      <x:c r="K6112" s="6" t="n">
        <x:f>IF(G6112&gt;H6112,1,0)</x:f>
        <x:v>0</x:v>
      </x:c>
      <x:c r="L6112" s="6" t="n">
        <x:f>J6112*K6112</x:f>
        <x:v>0</x:v>
      </x:c>
    </x:row>
    <x:row r="6113">
      <x:c r="A6113" s="1" t="n">
        <x:v>47899</x:v>
      </x:c>
      <x:c r="B6113" s="5" t="d">
        <x:v>2016-11-30T00:00:00.000Z</x:v>
      </x:c>
      <x:c r="C6113" s="1" t="str">
        <x:v>Standard Class</x:v>
      </x:c>
      <x:c r="D6113" s="1" t="str">
        <x:v>Pacific Asia</x:v>
      </x:c>
      <x:c r="E6113" s="1" t="str">
        <x:v>COMPLETE</x:v>
      </x:c>
      <x:c r="F6113" s="1" t="str">
        <x:v>Late delivery</x:v>
      </x:c>
      <x:c r="G6113" s="6" t="n">
        <x:v>5</x:v>
      </x:c>
      <x:c r="H6113" s="6" t="n">
        <x:v>4</x:v>
      </x:c>
      <x:c r="I6113" s="6" t="n">
        <x:f>G6113-H6113</x:f>
        <x:v>1</x:v>
      </x:c>
      <x:c r="J6113" s="6" t="n">
        <x:f>IF(OR(E6113="CANCELED",E6113="SUSPECTED_FRAUD",F6113="Shipping canceled"),0,1)</x:f>
        <x:v>1</x:v>
      </x:c>
      <x:c r="K6113" s="6" t="n">
        <x:f>IF(G6113&gt;H6113,1,0)</x:f>
        <x:v>1</x:v>
      </x:c>
      <x:c r="L6113" s="6" t="n">
        <x:f>J6113*K6113</x:f>
        <x:v>1</x:v>
      </x:c>
    </x:row>
    <x:row r="6114">
      <x:c r="A6114" s="1" t="n">
        <x:v>47905</x:v>
      </x:c>
      <x:c r="B6114" s="5" t="d">
        <x:v>2016-11-30T00:00:00.000Z</x:v>
      </x:c>
      <x:c r="C6114" s="1" t="str">
        <x:v>Standard Class</x:v>
      </x:c>
      <x:c r="D6114" s="1" t="str">
        <x:v>Africa</x:v>
      </x:c>
      <x:c r="E6114" s="1" t="str">
        <x:v>COMPLETE</x:v>
      </x:c>
      <x:c r="F6114" s="1" t="str">
        <x:v>Late delivery</x:v>
      </x:c>
      <x:c r="G6114" s="6" t="n">
        <x:v>6</x:v>
      </x:c>
      <x:c r="H6114" s="6" t="n">
        <x:v>4</x:v>
      </x:c>
      <x:c r="I6114" s="6" t="n">
        <x:f>G6114-H6114</x:f>
        <x:v>2</x:v>
      </x:c>
      <x:c r="J6114" s="6" t="n">
        <x:f>IF(OR(E6114="CANCELED",E6114="SUSPECTED_FRAUD",F6114="Shipping canceled"),0,1)</x:f>
        <x:v>1</x:v>
      </x:c>
      <x:c r="K6114" s="6" t="n">
        <x:f>IF(G6114&gt;H6114,1,0)</x:f>
        <x:v>1</x:v>
      </x:c>
      <x:c r="L6114" s="6" t="n">
        <x:f>J6114*K6114</x:f>
        <x:v>1</x:v>
      </x:c>
    </x:row>
    <x:row r="6115">
      <x:c r="A6115" s="1" t="n">
        <x:v>47908</x:v>
      </x:c>
      <x:c r="B6115" s="5" t="d">
        <x:v>2016-11-30T00:00:00.000Z</x:v>
      </x:c>
      <x:c r="C6115" s="1" t="str">
        <x:v>Standard Class</x:v>
      </x:c>
      <x:c r="D6115" s="1" t="str">
        <x:v>Africa</x:v>
      </x:c>
      <x:c r="E6115" s="1" t="str">
        <x:v>PENDING_PAYMENT</x:v>
      </x:c>
      <x:c r="F6115" s="1" t="str">
        <x:v>Shipping on time</x:v>
      </x:c>
      <x:c r="G6115" s="6" t="n">
        <x:v>4</x:v>
      </x:c>
      <x:c r="H6115" s="6" t="n">
        <x:v>4</x:v>
      </x:c>
      <x:c r="I6115" s="6" t="n">
        <x:f>G6115-H6115</x:f>
        <x:v>0</x:v>
      </x:c>
      <x:c r="J6115" s="6" t="n">
        <x:f>IF(OR(E6115="CANCELED",E6115="SUSPECTED_FRAUD",F6115="Shipping canceled"),0,1)</x:f>
        <x:v>1</x:v>
      </x:c>
      <x:c r="K6115" s="6" t="n">
        <x:f>IF(G6115&gt;H6115,1,0)</x:f>
        <x:v>0</x:v>
      </x:c>
      <x:c r="L6115" s="6" t="n">
        <x:f>J6115*K6115</x:f>
        <x:v>0</x:v>
      </x:c>
    </x:row>
    <x:row r="6116">
      <x:c r="A6116" s="1" t="n">
        <x:v>47917</x:v>
      </x:c>
      <x:c r="B6116" s="5" t="d">
        <x:v>2016-11-30T00:00:00.000Z</x:v>
      </x:c>
      <x:c r="C6116" s="1" t="str">
        <x:v>Standard Class</x:v>
      </x:c>
      <x:c r="D6116" s="1" t="str">
        <x:v>Africa</x:v>
      </x:c>
      <x:c r="E6116" s="1" t="str">
        <x:v>PROCESSING</x:v>
      </x:c>
      <x:c r="F6116" s="1" t="str">
        <x:v>Advance shipping</x:v>
      </x:c>
      <x:c r="G6116" s="6" t="n">
        <x:v>3</x:v>
      </x:c>
      <x:c r="H6116" s="6" t="n">
        <x:v>4</x:v>
      </x:c>
      <x:c r="I6116" s="6" t="n">
        <x:f>G6116-H6116</x:f>
        <x:v>-1</x:v>
      </x:c>
      <x:c r="J6116" s="6" t="n">
        <x:f>IF(OR(E6116="CANCELED",E6116="SUSPECTED_FRAUD",F6116="Shipping canceled"),0,1)</x:f>
        <x:v>1</x:v>
      </x:c>
      <x:c r="K6116" s="6" t="n">
        <x:f>IF(G6116&gt;H6116,1,0)</x:f>
        <x:v>0</x:v>
      </x:c>
      <x:c r="L6116" s="6" t="n">
        <x:f>J6116*K6116</x:f>
        <x:v>0</x:v>
      </x:c>
    </x:row>
    <x:row r="6117">
      <x:c r="A6117" s="1" t="n">
        <x:v>47920</x:v>
      </x:c>
      <x:c r="B6117" s="5" t="d">
        <x:v>2016-11-30T00:00:00.000Z</x:v>
      </x:c>
      <x:c r="C6117" s="1" t="str">
        <x:v>Standard Class</x:v>
      </x:c>
      <x:c r="D6117" s="1" t="str">
        <x:v>Europe</x:v>
      </x:c>
      <x:c r="E6117" s="1" t="str">
        <x:v>COMPLETE</x:v>
      </x:c>
      <x:c r="F6117" s="1" t="str">
        <x:v>Late delivery</x:v>
      </x:c>
      <x:c r="G6117" s="6" t="n">
        <x:v>6</x:v>
      </x:c>
      <x:c r="H6117" s="6" t="n">
        <x:v>4</x:v>
      </x:c>
      <x:c r="I6117" s="6" t="n">
        <x:f>G6117-H6117</x:f>
        <x:v>2</x:v>
      </x:c>
      <x:c r="J6117" s="6" t="n">
        <x:f>IF(OR(E6117="CANCELED",E6117="SUSPECTED_FRAUD",F6117="Shipping canceled"),0,1)</x:f>
        <x:v>1</x:v>
      </x:c>
      <x:c r="K6117" s="6" t="n">
        <x:f>IF(G6117&gt;H6117,1,0)</x:f>
        <x:v>1</x:v>
      </x:c>
      <x:c r="L6117" s="6" t="n">
        <x:f>J6117*K6117</x:f>
        <x:v>1</x:v>
      </x:c>
    </x:row>
    <x:row r="6118">
      <x:c r="A6118" s="1" t="n">
        <x:v>47932</x:v>
      </x:c>
      <x:c r="B6118" s="5" t="d">
        <x:v>2016-11-30T00:00:00.000Z</x:v>
      </x:c>
      <x:c r="C6118" s="1" t="str">
        <x:v>Standard Class</x:v>
      </x:c>
      <x:c r="D6118" s="1" t="str">
        <x:v>Europe</x:v>
      </x:c>
      <x:c r="E6118" s="1" t="str">
        <x:v>PENDING</x:v>
      </x:c>
      <x:c r="F6118" s="1" t="str">
        <x:v>Advance shipping</x:v>
      </x:c>
      <x:c r="G6118" s="6" t="n">
        <x:v>3</x:v>
      </x:c>
      <x:c r="H6118" s="6" t="n">
        <x:v>4</x:v>
      </x:c>
      <x:c r="I6118" s="6" t="n">
        <x:f>G6118-H6118</x:f>
        <x:v>-1</x:v>
      </x:c>
      <x:c r="J6118" s="6" t="n">
        <x:f>IF(OR(E6118="CANCELED",E6118="SUSPECTED_FRAUD",F6118="Shipping canceled"),0,1)</x:f>
        <x:v>1</x:v>
      </x:c>
      <x:c r="K6118" s="6" t="n">
        <x:f>IF(G6118&gt;H6118,1,0)</x:f>
        <x:v>0</x:v>
      </x:c>
      <x:c r="L6118" s="6" t="n">
        <x:f>J6118*K6118</x:f>
        <x:v>0</x:v>
      </x:c>
    </x:row>
    <x:row r="6119">
      <x:c r="A6119" s="1" t="n">
        <x:v>47937</x:v>
      </x:c>
      <x:c r="B6119" s="5" t="d">
        <x:v>2016-11-30T00:00:00.000Z</x:v>
      </x:c>
      <x:c r="C6119" s="1" t="str">
        <x:v>Standard Class</x:v>
      </x:c>
      <x:c r="D6119" s="1" t="str">
        <x:v>Africa</x:v>
      </x:c>
      <x:c r="E6119" s="1" t="str">
        <x:v>COMPLETE</x:v>
      </x:c>
      <x:c r="F6119" s="1" t="str">
        <x:v>Advance shipping</x:v>
      </x:c>
      <x:c r="G6119" s="6" t="n">
        <x:v>3</x:v>
      </x:c>
      <x:c r="H6119" s="6" t="n">
        <x:v>4</x:v>
      </x:c>
      <x:c r="I6119" s="6" t="n">
        <x:f>G6119-H6119</x:f>
        <x:v>-1</x:v>
      </x:c>
      <x:c r="J6119" s="6" t="n">
        <x:f>IF(OR(E6119="CANCELED",E6119="SUSPECTED_FRAUD",F6119="Shipping canceled"),0,1)</x:f>
        <x:v>1</x:v>
      </x:c>
      <x:c r="K6119" s="6" t="n">
        <x:f>IF(G6119&gt;H6119,1,0)</x:f>
        <x:v>0</x:v>
      </x:c>
      <x:c r="L6119" s="6" t="n">
        <x:f>J6119*K6119</x:f>
        <x:v>0</x:v>
      </x:c>
    </x:row>
    <x:row r="6120">
      <x:c r="A6120" s="1" t="n">
        <x:v>47938</x:v>
      </x:c>
      <x:c r="B6120" s="5" t="d">
        <x:v>2016-11-30T00:00:00.000Z</x:v>
      </x:c>
      <x:c r="C6120" s="1" t="str">
        <x:v>Standard Class</x:v>
      </x:c>
      <x:c r="D6120" s="1" t="str">
        <x:v>Africa</x:v>
      </x:c>
      <x:c r="E6120" s="1" t="str">
        <x:v>PROCESSING</x:v>
      </x:c>
      <x:c r="F6120" s="1" t="str">
        <x:v>Shipping on time</x:v>
      </x:c>
      <x:c r="G6120" s="6" t="n">
        <x:v>4</x:v>
      </x:c>
      <x:c r="H6120" s="6" t="n">
        <x:v>4</x:v>
      </x:c>
      <x:c r="I6120" s="6" t="n">
        <x:f>G6120-H6120</x:f>
        <x:v>0</x:v>
      </x:c>
      <x:c r="J6120" s="6" t="n">
        <x:f>IF(OR(E6120="CANCELED",E6120="SUSPECTED_FRAUD",F6120="Shipping canceled"),0,1)</x:f>
        <x:v>1</x:v>
      </x:c>
      <x:c r="K6120" s="6" t="n">
        <x:f>IF(G6120&gt;H6120,1,0)</x:f>
        <x:v>0</x:v>
      </x:c>
      <x:c r="L6120" s="6" t="n">
        <x:f>J6120*K6120</x:f>
        <x:v>0</x:v>
      </x:c>
    </x:row>
    <x:row r="6121">
      <x:c r="A6121" s="1" t="n">
        <x:v>47941</x:v>
      </x:c>
      <x:c r="B6121" s="5" t="d">
        <x:v>2016-11-30T00:00:00.000Z</x:v>
      </x:c>
      <x:c r="C6121" s="1" t="str">
        <x:v>Standard Class</x:v>
      </x:c>
      <x:c r="D6121" s="1" t="str">
        <x:v>Africa</x:v>
      </x:c>
      <x:c r="E6121" s="1" t="str">
        <x:v>COMPLETE</x:v>
      </x:c>
      <x:c r="F6121" s="1" t="str">
        <x:v>Advance shipping</x:v>
      </x:c>
      <x:c r="G6121" s="6" t="n">
        <x:v>2</x:v>
      </x:c>
      <x:c r="H6121" s="6" t="n">
        <x:v>4</x:v>
      </x:c>
      <x:c r="I6121" s="6" t="n">
        <x:f>G6121-H6121</x:f>
        <x:v>-2</x:v>
      </x:c>
      <x:c r="J6121" s="6" t="n">
        <x:f>IF(OR(E6121="CANCELED",E6121="SUSPECTED_FRAUD",F6121="Shipping canceled"),0,1)</x:f>
        <x:v>1</x:v>
      </x:c>
      <x:c r="K6121" s="6" t="n">
        <x:f>IF(G6121&gt;H6121,1,0)</x:f>
        <x:v>0</x:v>
      </x:c>
      <x:c r="L6121" s="6" t="n">
        <x:f>J6121*K6121</x:f>
        <x:v>0</x:v>
      </x:c>
    </x:row>
    <x:row r="6122">
      <x:c r="A6122" s="1" t="n">
        <x:v>47944</x:v>
      </x:c>
      <x:c r="B6122" s="5" t="d">
        <x:v>2016-11-30T00:00:00.000Z</x:v>
      </x:c>
      <x:c r="C6122" s="1" t="str">
        <x:v>Standard Class</x:v>
      </x:c>
      <x:c r="D6122" s="1" t="str">
        <x:v>Africa</x:v>
      </x:c>
      <x:c r="E6122" s="1" t="str">
        <x:v>PROCESSING</x:v>
      </x:c>
      <x:c r="F6122" s="1" t="str">
        <x:v>Late delivery</x:v>
      </x:c>
      <x:c r="G6122" s="6" t="n">
        <x:v>5</x:v>
      </x:c>
      <x:c r="H6122" s="6" t="n">
        <x:v>4</x:v>
      </x:c>
      <x:c r="I6122" s="6" t="n">
        <x:f>G6122-H6122</x:f>
        <x:v>1</x:v>
      </x:c>
      <x:c r="J6122" s="6" t="n">
        <x:f>IF(OR(E6122="CANCELED",E6122="SUSPECTED_FRAUD",F6122="Shipping canceled"),0,1)</x:f>
        <x:v>1</x:v>
      </x:c>
      <x:c r="K6122" s="6" t="n">
        <x:f>IF(G6122&gt;H6122,1,0)</x:f>
        <x:v>1</x:v>
      </x:c>
      <x:c r="L6122" s="6" t="n">
        <x:f>J6122*K6122</x:f>
        <x:v>1</x:v>
      </x:c>
    </x:row>
    <x:row r="6123">
      <x:c r="A6123" s="1" t="n">
        <x:v>47950</x:v>
      </x:c>
      <x:c r="B6123" s="5" t="d">
        <x:v>2016-11-30T00:00:00.000Z</x:v>
      </x:c>
      <x:c r="C6123" s="1" t="str">
        <x:v>Second Class</x:v>
      </x:c>
      <x:c r="D6123" s="1" t="str">
        <x:v>Pacific Asia</x:v>
      </x:c>
      <x:c r="E6123" s="1" t="str">
        <x:v>COMPLETE</x:v>
      </x:c>
      <x:c r="F6123" s="1" t="str">
        <x:v>Late delivery</x:v>
      </x:c>
      <x:c r="G6123" s="6" t="n">
        <x:v>6</x:v>
      </x:c>
      <x:c r="H6123" s="6" t="n">
        <x:v>2</x:v>
      </x:c>
      <x:c r="I6123" s="6" t="n">
        <x:f>G6123-H6123</x:f>
        <x:v>4</x:v>
      </x:c>
      <x:c r="J6123" s="6" t="n">
        <x:f>IF(OR(E6123="CANCELED",E6123="SUSPECTED_FRAUD",F6123="Shipping canceled"),0,1)</x:f>
        <x:v>1</x:v>
      </x:c>
      <x:c r="K6123" s="6" t="n">
        <x:f>IF(G6123&gt;H6123,1,0)</x:f>
        <x:v>1</x:v>
      </x:c>
      <x:c r="L6123" s="6" t="n">
        <x:f>J6123*K6123</x:f>
        <x:v>1</x:v>
      </x:c>
    </x:row>
    <x:row r="6124">
      <x:c r="A6124" s="1" t="n">
        <x:v>47954</x:v>
      </x:c>
      <x:c r="B6124" s="5" t="d">
        <x:v>2016-12-01T00:00:00.000Z</x:v>
      </x:c>
      <x:c r="C6124" s="1" t="str">
        <x:v>Standard Class</x:v>
      </x:c>
      <x:c r="D6124" s="1" t="str">
        <x:v>Pacific Asia</x:v>
      </x:c>
      <x:c r="E6124" s="1" t="str">
        <x:v>COMPLETE</x:v>
      </x:c>
      <x:c r="F6124" s="1" t="str">
        <x:v>Late delivery</x:v>
      </x:c>
      <x:c r="G6124" s="6" t="n">
        <x:v>5</x:v>
      </x:c>
      <x:c r="H6124" s="6" t="n">
        <x:v>4</x:v>
      </x:c>
      <x:c r="I6124" s="6" t="n">
        <x:f>G6124-H6124</x:f>
        <x:v>1</x:v>
      </x:c>
      <x:c r="J6124" s="6" t="n">
        <x:f>IF(OR(E6124="CANCELED",E6124="SUSPECTED_FRAUD",F6124="Shipping canceled"),0,1)</x:f>
        <x:v>1</x:v>
      </x:c>
      <x:c r="K6124" s="6" t="n">
        <x:f>IF(G6124&gt;H6124,1,0)</x:f>
        <x:v>1</x:v>
      </x:c>
      <x:c r="L6124" s="6" t="n">
        <x:f>J6124*K6124</x:f>
        <x:v>1</x:v>
      </x:c>
    </x:row>
    <x:row r="6125">
      <x:c r="A6125" s="1" t="n">
        <x:v>47966</x:v>
      </x:c>
      <x:c r="B6125" s="5" t="d">
        <x:v>2016-12-01T00:00:00.000Z</x:v>
      </x:c>
      <x:c r="C6125" s="1" t="str">
        <x:v>Standard Class</x:v>
      </x:c>
      <x:c r="D6125" s="1" t="str">
        <x:v>USCA</x:v>
      </x:c>
      <x:c r="E6125" s="1" t="str">
        <x:v>COMPLETE</x:v>
      </x:c>
      <x:c r="F6125" s="1" t="str">
        <x:v>Advance shipping</x:v>
      </x:c>
      <x:c r="G6125" s="6" t="n">
        <x:v>2</x:v>
      </x:c>
      <x:c r="H6125" s="6" t="n">
        <x:v>4</x:v>
      </x:c>
      <x:c r="I6125" s="6" t="n">
        <x:f>G6125-H6125</x:f>
        <x:v>-2</x:v>
      </x:c>
      <x:c r="J6125" s="6" t="n">
        <x:f>IF(OR(E6125="CANCELED",E6125="SUSPECTED_FRAUD",F6125="Shipping canceled"),0,1)</x:f>
        <x:v>1</x:v>
      </x:c>
      <x:c r="K6125" s="6" t="n">
        <x:f>IF(G6125&gt;H6125,1,0)</x:f>
        <x:v>0</x:v>
      </x:c>
      <x:c r="L6125" s="6" t="n">
        <x:f>J6125*K6125</x:f>
        <x:v>0</x:v>
      </x:c>
    </x:row>
    <x:row r="6126">
      <x:c r="A6126" s="1" t="n">
        <x:v>47985</x:v>
      </x:c>
      <x:c r="B6126" s="5" t="d">
        <x:v>2016-12-01T00:00:00.000Z</x:v>
      </x:c>
      <x:c r="C6126" s="1" t="str">
        <x:v>Standard Class</x:v>
      </x:c>
      <x:c r="D6126" s="1" t="str">
        <x:v>Africa</x:v>
      </x:c>
      <x:c r="E6126" s="1" t="str">
        <x:v>PROCESSING</x:v>
      </x:c>
      <x:c r="F6126" s="1" t="str">
        <x:v>Late delivery</x:v>
      </x:c>
      <x:c r="G6126" s="6" t="n">
        <x:v>6</x:v>
      </x:c>
      <x:c r="H6126" s="6" t="n">
        <x:v>4</x:v>
      </x:c>
      <x:c r="I6126" s="6" t="n">
        <x:f>G6126-H6126</x:f>
        <x:v>2</x:v>
      </x:c>
      <x:c r="J6126" s="6" t="n">
        <x:f>IF(OR(E6126="CANCELED",E6126="SUSPECTED_FRAUD",F6126="Shipping canceled"),0,1)</x:f>
        <x:v>1</x:v>
      </x:c>
      <x:c r="K6126" s="6" t="n">
        <x:f>IF(G6126&gt;H6126,1,0)</x:f>
        <x:v>1</x:v>
      </x:c>
      <x:c r="L6126" s="6" t="n">
        <x:f>J6126*K6126</x:f>
        <x:v>1</x:v>
      </x:c>
    </x:row>
    <x:row r="6127">
      <x:c r="A6127" s="1" t="n">
        <x:v>47988</x:v>
      </x:c>
      <x:c r="B6127" s="5" t="d">
        <x:v>2016-12-01T00:00:00.000Z</x:v>
      </x:c>
      <x:c r="C6127" s="1" t="str">
        <x:v>Second Class</x:v>
      </x:c>
      <x:c r="D6127" s="1" t="str">
        <x:v>Africa</x:v>
      </x:c>
      <x:c r="E6127" s="1" t="str">
        <x:v>COMPLETE</x:v>
      </x:c>
      <x:c r="F6127" s="1" t="str">
        <x:v>Late delivery</x:v>
      </x:c>
      <x:c r="G6127" s="6" t="n">
        <x:v>4</x:v>
      </x:c>
      <x:c r="H6127" s="6" t="n">
        <x:v>2</x:v>
      </x:c>
      <x:c r="I6127" s="6" t="n">
        <x:f>G6127-H6127</x:f>
        <x:v>2</x:v>
      </x:c>
      <x:c r="J6127" s="6" t="n">
        <x:f>IF(OR(E6127="CANCELED",E6127="SUSPECTED_FRAUD",F6127="Shipping canceled"),0,1)</x:f>
        <x:v>1</x:v>
      </x:c>
      <x:c r="K6127" s="6" t="n">
        <x:f>IF(G6127&gt;H6127,1,0)</x:f>
        <x:v>1</x:v>
      </x:c>
      <x:c r="L6127" s="6" t="n">
        <x:f>J6127*K6127</x:f>
        <x:v>1</x:v>
      </x:c>
    </x:row>
    <x:row r="6128">
      <x:c r="A6128" s="1" t="n">
        <x:v>47998</x:v>
      </x:c>
      <x:c r="B6128" s="5" t="d">
        <x:v>2016-12-01T00:00:00.000Z</x:v>
      </x:c>
      <x:c r="C6128" s="1" t="str">
        <x:v>Standard Class</x:v>
      </x:c>
      <x:c r="D6128" s="1" t="str">
        <x:v>Africa</x:v>
      </x:c>
      <x:c r="E6128" s="1" t="str">
        <x:v>COMPLETE</x:v>
      </x:c>
      <x:c r="F6128" s="1" t="str">
        <x:v>Shipping on time</x:v>
      </x:c>
      <x:c r="G6128" s="6" t="n">
        <x:v>4</x:v>
      </x:c>
      <x:c r="H6128" s="6" t="n">
        <x:v>4</x:v>
      </x:c>
      <x:c r="I6128" s="6" t="n">
        <x:f>G6128-H6128</x:f>
        <x:v>0</x:v>
      </x:c>
      <x:c r="J6128" s="6" t="n">
        <x:f>IF(OR(E6128="CANCELED",E6128="SUSPECTED_FRAUD",F6128="Shipping canceled"),0,1)</x:f>
        <x:v>1</x:v>
      </x:c>
      <x:c r="K6128" s="6" t="n">
        <x:f>IF(G6128&gt;H6128,1,0)</x:f>
        <x:v>0</x:v>
      </x:c>
      <x:c r="L6128" s="6" t="n">
        <x:f>J6128*K6128</x:f>
        <x:v>0</x:v>
      </x:c>
    </x:row>
    <x:row r="6129">
      <x:c r="A6129" s="1" t="n">
        <x:v>48000</x:v>
      </x:c>
      <x:c r="B6129" s="5" t="d">
        <x:v>2016-12-01T00:00:00.000Z</x:v>
      </x:c>
      <x:c r="C6129" s="1" t="str">
        <x:v>Standard Class</x:v>
      </x:c>
      <x:c r="D6129" s="1" t="str">
        <x:v>Africa</x:v>
      </x:c>
      <x:c r="E6129" s="1" t="str">
        <x:v>COMPLETE</x:v>
      </x:c>
      <x:c r="F6129" s="1" t="str">
        <x:v>Late delivery</x:v>
      </x:c>
      <x:c r="G6129" s="6" t="n">
        <x:v>6</x:v>
      </x:c>
      <x:c r="H6129" s="6" t="n">
        <x:v>4</x:v>
      </x:c>
      <x:c r="I6129" s="6" t="n">
        <x:f>G6129-H6129</x:f>
        <x:v>2</x:v>
      </x:c>
      <x:c r="J6129" s="6" t="n">
        <x:f>IF(OR(E6129="CANCELED",E6129="SUSPECTED_FRAUD",F6129="Shipping canceled"),0,1)</x:f>
        <x:v>1</x:v>
      </x:c>
      <x:c r="K6129" s="6" t="n">
        <x:f>IF(G6129&gt;H6129,1,0)</x:f>
        <x:v>1</x:v>
      </x:c>
      <x:c r="L6129" s="6" t="n">
        <x:f>J6129*K6129</x:f>
        <x:v>1</x:v>
      </x:c>
    </x:row>
    <x:row r="6130">
      <x:c r="A6130" s="1" t="n">
        <x:v>48004</x:v>
      </x:c>
      <x:c r="B6130" s="5" t="d">
        <x:v>2016-12-01T00:00:00.000Z</x:v>
      </x:c>
      <x:c r="C6130" s="1" t="str">
        <x:v>Standard Class</x:v>
      </x:c>
      <x:c r="D6130" s="1" t="str">
        <x:v>Africa</x:v>
      </x:c>
      <x:c r="E6130" s="1" t="str">
        <x:v>CLOSED</x:v>
      </x:c>
      <x:c r="F6130" s="1" t="str">
        <x:v>Late delivery</x:v>
      </x:c>
      <x:c r="G6130" s="6" t="n">
        <x:v>5</x:v>
      </x:c>
      <x:c r="H6130" s="6" t="n">
        <x:v>4</x:v>
      </x:c>
      <x:c r="I6130" s="6" t="n">
        <x:f>G6130-H6130</x:f>
        <x:v>1</x:v>
      </x:c>
      <x:c r="J6130" s="6" t="n">
        <x:f>IF(OR(E6130="CANCELED",E6130="SUSPECTED_FRAUD",F6130="Shipping canceled"),0,1)</x:f>
        <x:v>1</x:v>
      </x:c>
      <x:c r="K6130" s="6" t="n">
        <x:f>IF(G6130&gt;H6130,1,0)</x:f>
        <x:v>1</x:v>
      </x:c>
      <x:c r="L6130" s="6" t="n">
        <x:f>J6130*K6130</x:f>
        <x:v>1</x:v>
      </x:c>
    </x:row>
    <x:row r="6131">
      <x:c r="A6131" s="1" t="n">
        <x:v>48018</x:v>
      </x:c>
      <x:c r="B6131" s="5" t="d">
        <x:v>2016-12-01T00:00:00.000Z</x:v>
      </x:c>
      <x:c r="C6131" s="1" t="str">
        <x:v>Standard Class</x:v>
      </x:c>
      <x:c r="D6131" s="1" t="str">
        <x:v>Africa</x:v>
      </x:c>
      <x:c r="E6131" s="1" t="str">
        <x:v>PROCESSING</x:v>
      </x:c>
      <x:c r="F6131" s="1" t="str">
        <x:v>Shipping on time</x:v>
      </x:c>
      <x:c r="G6131" s="6" t="n">
        <x:v>4</x:v>
      </x:c>
      <x:c r="H6131" s="6" t="n">
        <x:v>4</x:v>
      </x:c>
      <x:c r="I6131" s="6" t="n">
        <x:f>G6131-H6131</x:f>
        <x:v>0</x:v>
      </x:c>
      <x:c r="J6131" s="6" t="n">
        <x:f>IF(OR(E6131="CANCELED",E6131="SUSPECTED_FRAUD",F6131="Shipping canceled"),0,1)</x:f>
        <x:v>1</x:v>
      </x:c>
      <x:c r="K6131" s="6" t="n">
        <x:f>IF(G6131&gt;H6131,1,0)</x:f>
        <x:v>0</x:v>
      </x:c>
      <x:c r="L6131" s="6" t="n">
        <x:f>J6131*K6131</x:f>
        <x:v>0</x:v>
      </x:c>
    </x:row>
    <x:row r="6132">
      <x:c r="A6132" s="1" t="n">
        <x:v>48021</x:v>
      </x:c>
      <x:c r="B6132" s="5" t="d">
        <x:v>2016-12-01T00:00:00.000Z</x:v>
      </x:c>
      <x:c r="C6132" s="1" t="str">
        <x:v>Standard Class</x:v>
      </x:c>
      <x:c r="D6132" s="1" t="str">
        <x:v>Europe</x:v>
      </x:c>
      <x:c r="E6132" s="1" t="str">
        <x:v>COMPLETE</x:v>
      </x:c>
      <x:c r="F6132" s="1" t="str">
        <x:v>Advance shipping</x:v>
      </x:c>
      <x:c r="G6132" s="6" t="n">
        <x:v>2</x:v>
      </x:c>
      <x:c r="H6132" s="6" t="n">
        <x:v>4</x:v>
      </x:c>
      <x:c r="I6132" s="6" t="n">
        <x:f>G6132-H6132</x:f>
        <x:v>-2</x:v>
      </x:c>
      <x:c r="J6132" s="6" t="n">
        <x:f>IF(OR(E6132="CANCELED",E6132="SUSPECTED_FRAUD",F6132="Shipping canceled"),0,1)</x:f>
        <x:v>1</x:v>
      </x:c>
      <x:c r="K6132" s="6" t="n">
        <x:f>IF(G6132&gt;H6132,1,0)</x:f>
        <x:v>0</x:v>
      </x:c>
      <x:c r="L6132" s="6" t="n">
        <x:f>J6132*K6132</x:f>
        <x:v>0</x:v>
      </x:c>
    </x:row>
    <x:row r="6133">
      <x:c r="A6133" s="1" t="n">
        <x:v>48024</x:v>
      </x:c>
      <x:c r="B6133" s="5" t="d">
        <x:v>2016-12-02T00:00:00.000Z</x:v>
      </x:c>
      <x:c r="C6133" s="1" t="str">
        <x:v>Standard Class</x:v>
      </x:c>
      <x:c r="D6133" s="1" t="str">
        <x:v>Africa</x:v>
      </x:c>
      <x:c r="E6133" s="1" t="str">
        <x:v>ON_HOLD</x:v>
      </x:c>
      <x:c r="F6133" s="1" t="str">
        <x:v>Late delivery</x:v>
      </x:c>
      <x:c r="G6133" s="6" t="n">
        <x:v>5</x:v>
      </x:c>
      <x:c r="H6133" s="6" t="n">
        <x:v>4</x:v>
      </x:c>
      <x:c r="I6133" s="6" t="n">
        <x:f>G6133-H6133</x:f>
        <x:v>1</x:v>
      </x:c>
      <x:c r="J6133" s="6" t="n">
        <x:f>IF(OR(E6133="CANCELED",E6133="SUSPECTED_FRAUD",F6133="Shipping canceled"),0,1)</x:f>
        <x:v>1</x:v>
      </x:c>
      <x:c r="K6133" s="6" t="n">
        <x:f>IF(G6133&gt;H6133,1,0)</x:f>
        <x:v>1</x:v>
      </x:c>
      <x:c r="L6133" s="6" t="n">
        <x:f>J6133*K6133</x:f>
        <x:v>1</x:v>
      </x:c>
    </x:row>
    <x:row r="6134">
      <x:c r="A6134" s="1" t="n">
        <x:v>48029</x:v>
      </x:c>
      <x:c r="B6134" s="5" t="d">
        <x:v>2016-12-02T00:00:00.000Z</x:v>
      </x:c>
      <x:c r="C6134" s="1" t="str">
        <x:v>Second Class</x:v>
      </x:c>
      <x:c r="D6134" s="1" t="str">
        <x:v>Africa</x:v>
      </x:c>
      <x:c r="E6134" s="1" t="str">
        <x:v>PENDING_PAYMENT</x:v>
      </x:c>
      <x:c r="F6134" s="1" t="str">
        <x:v>Late delivery</x:v>
      </x:c>
      <x:c r="G6134" s="6" t="n">
        <x:v>5</x:v>
      </x:c>
      <x:c r="H6134" s="6" t="n">
        <x:v>2</x:v>
      </x:c>
      <x:c r="I6134" s="6" t="n">
        <x:f>G6134-H6134</x:f>
        <x:v>3</x:v>
      </x:c>
      <x:c r="J6134" s="6" t="n">
        <x:f>IF(OR(E6134="CANCELED",E6134="SUSPECTED_FRAUD",F6134="Shipping canceled"),0,1)</x:f>
        <x:v>1</x:v>
      </x:c>
      <x:c r="K6134" s="6" t="n">
        <x:f>IF(G6134&gt;H6134,1,0)</x:f>
        <x:v>1</x:v>
      </x:c>
      <x:c r="L6134" s="6" t="n">
        <x:f>J6134*K6134</x:f>
        <x:v>1</x:v>
      </x:c>
    </x:row>
    <x:row r="6135">
      <x:c r="A6135" s="1" t="n">
        <x:v>48035</x:v>
      </x:c>
      <x:c r="B6135" s="5" t="d">
        <x:v>2016-12-02T00:00:00.000Z</x:v>
      </x:c>
      <x:c r="C6135" s="1" t="str">
        <x:v>Standard Class</x:v>
      </x:c>
      <x:c r="D6135" s="1" t="str">
        <x:v>Pacific Asia</x:v>
      </x:c>
      <x:c r="E6135" s="1" t="str">
        <x:v>COMPLETE</x:v>
      </x:c>
      <x:c r="F6135" s="1" t="str">
        <x:v>Late delivery</x:v>
      </x:c>
      <x:c r="G6135" s="6" t="n">
        <x:v>6</x:v>
      </x:c>
      <x:c r="H6135" s="6" t="n">
        <x:v>4</x:v>
      </x:c>
      <x:c r="I6135" s="6" t="n">
        <x:f>G6135-H6135</x:f>
        <x:v>2</x:v>
      </x:c>
      <x:c r="J6135" s="6" t="n">
        <x:f>IF(OR(E6135="CANCELED",E6135="SUSPECTED_FRAUD",F6135="Shipping canceled"),0,1)</x:f>
        <x:v>1</x:v>
      </x:c>
      <x:c r="K6135" s="6" t="n">
        <x:f>IF(G6135&gt;H6135,1,0)</x:f>
        <x:v>1</x:v>
      </x:c>
      <x:c r="L6135" s="6" t="n">
        <x:f>J6135*K6135</x:f>
        <x:v>1</x:v>
      </x:c>
    </x:row>
    <x:row r="6136">
      <x:c r="A6136" s="1" t="n">
        <x:v>48042</x:v>
      </x:c>
      <x:c r="B6136" s="5" t="d">
        <x:v>2016-12-02T00:00:00.000Z</x:v>
      </x:c>
      <x:c r="C6136" s="1" t="str">
        <x:v>Standard Class</x:v>
      </x:c>
      <x:c r="D6136" s="1" t="str">
        <x:v>Africa</x:v>
      </x:c>
      <x:c r="E6136" s="1" t="str">
        <x:v>ON_HOLD</x:v>
      </x:c>
      <x:c r="F6136" s="1" t="str">
        <x:v>Advance shipping</x:v>
      </x:c>
      <x:c r="G6136" s="6" t="n">
        <x:v>3</x:v>
      </x:c>
      <x:c r="H6136" s="6" t="n">
        <x:v>4</x:v>
      </x:c>
      <x:c r="I6136" s="6" t="n">
        <x:f>G6136-H6136</x:f>
        <x:v>-1</x:v>
      </x:c>
      <x:c r="J6136" s="6" t="n">
        <x:f>IF(OR(E6136="CANCELED",E6136="SUSPECTED_FRAUD",F6136="Shipping canceled"),0,1)</x:f>
        <x:v>1</x:v>
      </x:c>
      <x:c r="K6136" s="6" t="n">
        <x:f>IF(G6136&gt;H6136,1,0)</x:f>
        <x:v>0</x:v>
      </x:c>
      <x:c r="L6136" s="6" t="n">
        <x:f>J6136*K6136</x:f>
        <x:v>0</x:v>
      </x:c>
    </x:row>
    <x:row r="6137">
      <x:c r="A6137" s="1" t="n">
        <x:v>48046</x:v>
      </x:c>
      <x:c r="B6137" s="5" t="d">
        <x:v>2016-12-02T00:00:00.000Z</x:v>
      </x:c>
      <x:c r="C6137" s="1" t="str">
        <x:v>Standard Class</x:v>
      </x:c>
      <x:c r="D6137" s="1" t="str">
        <x:v>Pacific Asia</x:v>
      </x:c>
      <x:c r="E6137" s="1" t="str">
        <x:v>COMPLETE</x:v>
      </x:c>
      <x:c r="F6137" s="1" t="str">
        <x:v>Advance shipping</x:v>
      </x:c>
      <x:c r="G6137" s="6" t="n">
        <x:v>2</x:v>
      </x:c>
      <x:c r="H6137" s="6" t="n">
        <x:v>4</x:v>
      </x:c>
      <x:c r="I6137" s="6" t="n">
        <x:f>G6137-H6137</x:f>
        <x:v>-2</x:v>
      </x:c>
      <x:c r="J6137" s="6" t="n">
        <x:f>IF(OR(E6137="CANCELED",E6137="SUSPECTED_FRAUD",F6137="Shipping canceled"),0,1)</x:f>
        <x:v>1</x:v>
      </x:c>
      <x:c r="K6137" s="6" t="n">
        <x:f>IF(G6137&gt;H6137,1,0)</x:f>
        <x:v>0</x:v>
      </x:c>
      <x:c r="L6137" s="6" t="n">
        <x:f>J6137*K6137</x:f>
        <x:v>0</x:v>
      </x:c>
    </x:row>
    <x:row r="6138">
      <x:c r="A6138" s="1" t="n">
        <x:v>48048</x:v>
      </x:c>
      <x:c r="B6138" s="5" t="d">
        <x:v>2016-12-02T00:00:00.000Z</x:v>
      </x:c>
      <x:c r="C6138" s="1" t="str">
        <x:v>Standard Class</x:v>
      </x:c>
      <x:c r="D6138" s="1" t="str">
        <x:v>Pacific Asia</x:v>
      </x:c>
      <x:c r="E6138" s="1" t="str">
        <x:v>COMPLETE</x:v>
      </x:c>
      <x:c r="F6138" s="1" t="str">
        <x:v>Shipping on time</x:v>
      </x:c>
      <x:c r="G6138" s="6" t="n">
        <x:v>4</x:v>
      </x:c>
      <x:c r="H6138" s="6" t="n">
        <x:v>4</x:v>
      </x:c>
      <x:c r="I6138" s="6" t="n">
        <x:f>G6138-H6138</x:f>
        <x:v>0</x:v>
      </x:c>
      <x:c r="J6138" s="6" t="n">
        <x:f>IF(OR(E6138="CANCELED",E6138="SUSPECTED_FRAUD",F6138="Shipping canceled"),0,1)</x:f>
        <x:v>1</x:v>
      </x:c>
      <x:c r="K6138" s="6" t="n">
        <x:f>IF(G6138&gt;H6138,1,0)</x:f>
        <x:v>0</x:v>
      </x:c>
      <x:c r="L6138" s="6" t="n">
        <x:f>J6138*K6138</x:f>
        <x:v>0</x:v>
      </x:c>
    </x:row>
    <x:row r="6139">
      <x:c r="A6139" s="1" t="n">
        <x:v>48094</x:v>
      </x:c>
      <x:c r="B6139" s="5" t="d">
        <x:v>2016-12-03T00:00:00.000Z</x:v>
      </x:c>
      <x:c r="C6139" s="1" t="str">
        <x:v>Second Class</x:v>
      </x:c>
      <x:c r="D6139" s="1" t="str">
        <x:v>Pacific Asia</x:v>
      </x:c>
      <x:c r="E6139" s="1" t="str">
        <x:v>COMPLETE</x:v>
      </x:c>
      <x:c r="F6139" s="1" t="str">
        <x:v>Late delivery</x:v>
      </x:c>
      <x:c r="G6139" s="6" t="n">
        <x:v>5</x:v>
      </x:c>
      <x:c r="H6139" s="6" t="n">
        <x:v>2</x:v>
      </x:c>
      <x:c r="I6139" s="6" t="n">
        <x:f>G6139-H6139</x:f>
        <x:v>3</x:v>
      </x:c>
      <x:c r="J6139" s="6" t="n">
        <x:f>IF(OR(E6139="CANCELED",E6139="SUSPECTED_FRAUD",F6139="Shipping canceled"),0,1)</x:f>
        <x:v>1</x:v>
      </x:c>
      <x:c r="K6139" s="6" t="n">
        <x:f>IF(G6139&gt;H6139,1,0)</x:f>
        <x:v>1</x:v>
      </x:c>
      <x:c r="L6139" s="6" t="n">
        <x:f>J6139*K6139</x:f>
        <x:v>1</x:v>
      </x:c>
    </x:row>
    <x:row r="6140">
      <x:c r="A6140" s="1" t="n">
        <x:v>48098</x:v>
      </x:c>
      <x:c r="B6140" s="5" t="d">
        <x:v>2016-12-03T00:00:00.000Z</x:v>
      </x:c>
      <x:c r="C6140" s="1" t="str">
        <x:v>Standard Class</x:v>
      </x:c>
      <x:c r="D6140" s="1" t="str">
        <x:v>Europe</x:v>
      </x:c>
      <x:c r="E6140" s="1" t="str">
        <x:v>PENDING_PAYMENT</x:v>
      </x:c>
      <x:c r="F6140" s="1" t="str">
        <x:v>Shipping on time</x:v>
      </x:c>
      <x:c r="G6140" s="6" t="n">
        <x:v>4</x:v>
      </x:c>
      <x:c r="H6140" s="6" t="n">
        <x:v>4</x:v>
      </x:c>
      <x:c r="I6140" s="6" t="n">
        <x:f>G6140-H6140</x:f>
        <x:v>0</x:v>
      </x:c>
      <x:c r="J6140" s="6" t="n">
        <x:f>IF(OR(E6140="CANCELED",E6140="SUSPECTED_FRAUD",F6140="Shipping canceled"),0,1)</x:f>
        <x:v>1</x:v>
      </x:c>
      <x:c r="K6140" s="6" t="n">
        <x:f>IF(G6140&gt;H6140,1,0)</x:f>
        <x:v>0</x:v>
      </x:c>
      <x:c r="L6140" s="6" t="n">
        <x:f>J6140*K6140</x:f>
        <x:v>0</x:v>
      </x:c>
    </x:row>
    <x:row r="6141">
      <x:c r="A6141" s="1" t="n">
        <x:v>48111</x:v>
      </x:c>
      <x:c r="B6141" s="5" t="d">
        <x:v>2016-12-03T00:00:00.000Z</x:v>
      </x:c>
      <x:c r="C6141" s="1" t="str">
        <x:v>Standard Class</x:v>
      </x:c>
      <x:c r="D6141" s="1" t="str">
        <x:v>Africa</x:v>
      </x:c>
      <x:c r="E6141" s="1" t="str">
        <x:v>COMPLETE</x:v>
      </x:c>
      <x:c r="F6141" s="1" t="str">
        <x:v>Advance shipping</x:v>
      </x:c>
      <x:c r="G6141" s="6" t="n">
        <x:v>2</x:v>
      </x:c>
      <x:c r="H6141" s="6" t="n">
        <x:v>4</x:v>
      </x:c>
      <x:c r="I6141" s="6" t="n">
        <x:f>G6141-H6141</x:f>
        <x:v>-2</x:v>
      </x:c>
      <x:c r="J6141" s="6" t="n">
        <x:f>IF(OR(E6141="CANCELED",E6141="SUSPECTED_FRAUD",F6141="Shipping canceled"),0,1)</x:f>
        <x:v>1</x:v>
      </x:c>
      <x:c r="K6141" s="6" t="n">
        <x:f>IF(G6141&gt;H6141,1,0)</x:f>
        <x:v>0</x:v>
      </x:c>
      <x:c r="L6141" s="6" t="n">
        <x:f>J6141*K6141</x:f>
        <x:v>0</x:v>
      </x:c>
    </x:row>
    <x:row r="6142">
      <x:c r="A6142" s="1" t="n">
        <x:v>48124</x:v>
      </x:c>
      <x:c r="B6142" s="5" t="d">
        <x:v>2016-12-03T00:00:00.000Z</x:v>
      </x:c>
      <x:c r="C6142" s="1" t="str">
        <x:v>Standard Class</x:v>
      </x:c>
      <x:c r="D6142" s="1" t="str">
        <x:v>Europe</x:v>
      </x:c>
      <x:c r="E6142" s="1" t="str">
        <x:v>COMPLETE</x:v>
      </x:c>
      <x:c r="F6142" s="1" t="str">
        <x:v>Late delivery</x:v>
      </x:c>
      <x:c r="G6142" s="6" t="n">
        <x:v>5</x:v>
      </x:c>
      <x:c r="H6142" s="6" t="n">
        <x:v>4</x:v>
      </x:c>
      <x:c r="I6142" s="6" t="n">
        <x:f>G6142-H6142</x:f>
        <x:v>1</x:v>
      </x:c>
      <x:c r="J6142" s="6" t="n">
        <x:f>IF(OR(E6142="CANCELED",E6142="SUSPECTED_FRAUD",F6142="Shipping canceled"),0,1)</x:f>
        <x:v>1</x:v>
      </x:c>
      <x:c r="K6142" s="6" t="n">
        <x:f>IF(G6142&gt;H6142,1,0)</x:f>
        <x:v>1</x:v>
      </x:c>
      <x:c r="L6142" s="6" t="n">
        <x:f>J6142*K6142</x:f>
        <x:v>1</x:v>
      </x:c>
    </x:row>
    <x:row r="6143">
      <x:c r="A6143" s="1" t="n">
        <x:v>48133</x:v>
      </x:c>
      <x:c r="B6143" s="5" t="d">
        <x:v>2016-12-03T00:00:00.000Z</x:v>
      </x:c>
      <x:c r="C6143" s="1" t="str">
        <x:v>Standard Class</x:v>
      </x:c>
      <x:c r="D6143" s="1" t="str">
        <x:v>Africa</x:v>
      </x:c>
      <x:c r="E6143" s="1" t="str">
        <x:v>COMPLETE</x:v>
      </x:c>
      <x:c r="F6143" s="1" t="str">
        <x:v>Shipping on time</x:v>
      </x:c>
      <x:c r="G6143" s="6" t="n">
        <x:v>4</x:v>
      </x:c>
      <x:c r="H6143" s="6" t="n">
        <x:v>4</x:v>
      </x:c>
      <x:c r="I6143" s="6" t="n">
        <x:f>G6143-H6143</x:f>
        <x:v>0</x:v>
      </x:c>
      <x:c r="J6143" s="6" t="n">
        <x:f>IF(OR(E6143="CANCELED",E6143="SUSPECTED_FRAUD",F6143="Shipping canceled"),0,1)</x:f>
        <x:v>1</x:v>
      </x:c>
      <x:c r="K6143" s="6" t="n">
        <x:f>IF(G6143&gt;H6143,1,0)</x:f>
        <x:v>0</x:v>
      </x:c>
      <x:c r="L6143" s="6" t="n">
        <x:f>J6143*K6143</x:f>
        <x:v>0</x:v>
      </x:c>
    </x:row>
    <x:row r="6144">
      <x:c r="A6144" s="1" t="n">
        <x:v>48135</x:v>
      </x:c>
      <x:c r="B6144" s="5" t="d">
        <x:v>2016-12-03T00:00:00.000Z</x:v>
      </x:c>
      <x:c r="C6144" s="1" t="str">
        <x:v>First Class</x:v>
      </x:c>
      <x:c r="D6144" s="1" t="str">
        <x:v>Africa</x:v>
      </x:c>
      <x:c r="E6144" s="1" t="str">
        <x:v>PENDING_PAYMENT</x:v>
      </x:c>
      <x:c r="F6144" s="1" t="str">
        <x:v>Late delivery</x:v>
      </x:c>
      <x:c r="G6144" s="6" t="n">
        <x:v>2</x:v>
      </x:c>
      <x:c r="H6144" s="6" t="n">
        <x:v>1</x:v>
      </x:c>
      <x:c r="I6144" s="6" t="n">
        <x:f>G6144-H6144</x:f>
        <x:v>1</x:v>
      </x:c>
      <x:c r="J6144" s="6" t="n">
        <x:f>IF(OR(E6144="CANCELED",E6144="SUSPECTED_FRAUD",F6144="Shipping canceled"),0,1)</x:f>
        <x:v>1</x:v>
      </x:c>
      <x:c r="K6144" s="6" t="n">
        <x:f>IF(G6144&gt;H6144,1,0)</x:f>
        <x:v>1</x:v>
      </x:c>
      <x:c r="L6144" s="6" t="n">
        <x:f>J6144*K6144</x:f>
        <x:v>1</x:v>
      </x:c>
    </x:row>
    <x:row r="6145">
      <x:c r="A6145" s="1" t="n">
        <x:v>48141</x:v>
      </x:c>
      <x:c r="B6145" s="5" t="d">
        <x:v>2016-12-03T00:00:00.000Z</x:v>
      </x:c>
      <x:c r="C6145" s="1" t="str">
        <x:v>Second Class</x:v>
      </x:c>
      <x:c r="D6145" s="1" t="str">
        <x:v>Europe</x:v>
      </x:c>
      <x:c r="E6145" s="1" t="str">
        <x:v>COMPLETE</x:v>
      </x:c>
      <x:c r="F6145" s="1" t="str">
        <x:v>Shipping on time</x:v>
      </x:c>
      <x:c r="G6145" s="6" t="n">
        <x:v>2</x:v>
      </x:c>
      <x:c r="H6145" s="6" t="n">
        <x:v>2</x:v>
      </x:c>
      <x:c r="I6145" s="6" t="n">
        <x:f>G6145-H6145</x:f>
        <x:v>0</x:v>
      </x:c>
      <x:c r="J6145" s="6" t="n">
        <x:f>IF(OR(E6145="CANCELED",E6145="SUSPECTED_FRAUD",F6145="Shipping canceled"),0,1)</x:f>
        <x:v>1</x:v>
      </x:c>
      <x:c r="K6145" s="6" t="n">
        <x:f>IF(G6145&gt;H6145,1,0)</x:f>
        <x:v>0</x:v>
      </x:c>
      <x:c r="L6145" s="6" t="n">
        <x:f>J6145*K6145</x:f>
        <x:v>0</x:v>
      </x:c>
    </x:row>
    <x:row r="6146">
      <x:c r="A6146" s="1" t="n">
        <x:v>48151</x:v>
      </x:c>
      <x:c r="B6146" s="5" t="d">
        <x:v>2016-12-03T00:00:00.000Z</x:v>
      </x:c>
      <x:c r="C6146" s="1" t="str">
        <x:v>Standard Class</x:v>
      </x:c>
      <x:c r="D6146" s="1" t="str">
        <x:v>Africa</x:v>
      </x:c>
      <x:c r="E6146" s="1" t="str">
        <x:v>COMPLETE</x:v>
      </x:c>
      <x:c r="F6146" s="1" t="str">
        <x:v>Advance shipping</x:v>
      </x:c>
      <x:c r="G6146" s="6" t="n">
        <x:v>2</x:v>
      </x:c>
      <x:c r="H6146" s="6" t="n">
        <x:v>4</x:v>
      </x:c>
      <x:c r="I6146" s="6" t="n">
        <x:f>G6146-H6146</x:f>
        <x:v>-2</x:v>
      </x:c>
      <x:c r="J6146" s="6" t="n">
        <x:f>IF(OR(E6146="CANCELED",E6146="SUSPECTED_FRAUD",F6146="Shipping canceled"),0,1)</x:f>
        <x:v>1</x:v>
      </x:c>
      <x:c r="K6146" s="6" t="n">
        <x:f>IF(G6146&gt;H6146,1,0)</x:f>
        <x:v>0</x:v>
      </x:c>
      <x:c r="L6146" s="6" t="n">
        <x:f>J6146*K6146</x:f>
        <x:v>0</x:v>
      </x:c>
    </x:row>
    <x:row r="6147">
      <x:c r="A6147" s="1" t="n">
        <x:v>48152</x:v>
      </x:c>
      <x:c r="B6147" s="5" t="d">
        <x:v>2016-12-03T00:00:00.000Z</x:v>
      </x:c>
      <x:c r="C6147" s="1" t="str">
        <x:v>Standard Class</x:v>
      </x:c>
      <x:c r="D6147" s="1" t="str">
        <x:v>Pacific Asia</x:v>
      </x:c>
      <x:c r="E6147" s="1" t="str">
        <x:v>PENDING</x:v>
      </x:c>
      <x:c r="F6147" s="1" t="str">
        <x:v>Advance shipping</x:v>
      </x:c>
      <x:c r="G6147" s="6" t="n">
        <x:v>3</x:v>
      </x:c>
      <x:c r="H6147" s="6" t="n">
        <x:v>4</x:v>
      </x:c>
      <x:c r="I6147" s="6" t="n">
        <x:f>G6147-H6147</x:f>
        <x:v>-1</x:v>
      </x:c>
      <x:c r="J6147" s="6" t="n">
        <x:f>IF(OR(E6147="CANCELED",E6147="SUSPECTED_FRAUD",F6147="Shipping canceled"),0,1)</x:f>
        <x:v>1</x:v>
      </x:c>
      <x:c r="K6147" s="6" t="n">
        <x:f>IF(G6147&gt;H6147,1,0)</x:f>
        <x:v>0</x:v>
      </x:c>
      <x:c r="L6147" s="6" t="n">
        <x:f>J6147*K6147</x:f>
        <x:v>0</x:v>
      </x:c>
    </x:row>
    <x:row r="6148">
      <x:c r="A6148" s="1" t="n">
        <x:v>48156</x:v>
      </x:c>
      <x:c r="B6148" s="5" t="d">
        <x:v>2016-12-03T00:00:00.000Z</x:v>
      </x:c>
      <x:c r="C6148" s="1" t="str">
        <x:v>Standard Class</x:v>
      </x:c>
      <x:c r="D6148" s="1" t="str">
        <x:v>Pacific Asia</x:v>
      </x:c>
      <x:c r="E6148" s="1" t="str">
        <x:v>PROCESSING</x:v>
      </x:c>
      <x:c r="F6148" s="1" t="str">
        <x:v>Advance shipping</x:v>
      </x:c>
      <x:c r="G6148" s="6" t="n">
        <x:v>2</x:v>
      </x:c>
      <x:c r="H6148" s="6" t="n">
        <x:v>4</x:v>
      </x:c>
      <x:c r="I6148" s="6" t="n">
        <x:f>G6148-H6148</x:f>
        <x:v>-2</x:v>
      </x:c>
      <x:c r="J6148" s="6" t="n">
        <x:f>IF(OR(E6148="CANCELED",E6148="SUSPECTED_FRAUD",F6148="Shipping canceled"),0,1)</x:f>
        <x:v>1</x:v>
      </x:c>
      <x:c r="K6148" s="6" t="n">
        <x:f>IF(G6148&gt;H6148,1,0)</x:f>
        <x:v>0</x:v>
      </x:c>
      <x:c r="L6148" s="6" t="n">
        <x:f>J6148*K6148</x:f>
        <x:v>0</x:v>
      </x:c>
    </x:row>
    <x:row r="6149">
      <x:c r="A6149" s="1" t="n">
        <x:v>48163</x:v>
      </x:c>
      <x:c r="B6149" s="5" t="d">
        <x:v>2016-12-04T00:00:00.000Z</x:v>
      </x:c>
      <x:c r="C6149" s="1" t="str">
        <x:v>Standard Class</x:v>
      </x:c>
      <x:c r="D6149" s="1" t="str">
        <x:v>Africa</x:v>
      </x:c>
      <x:c r="E6149" s="1" t="str">
        <x:v>SUSPECTED_FRAUD</x:v>
      </x:c>
      <x:c r="F6149" s="1" t="str">
        <x:v>Shipping canceled</x:v>
      </x:c>
      <x:c r="G6149" s="6" t="n">
        <x:v>4</x:v>
      </x:c>
      <x:c r="H6149" s="6" t="n">
        <x:v>4</x:v>
      </x:c>
      <x:c r="I6149" s="6" t="n">
        <x:f>G6149-H6149</x:f>
        <x:v>0</x:v>
      </x:c>
      <x:c r="J6149" s="6" t="n">
        <x:f>IF(OR(E6149="CANCELED",E6149="SUSPECTED_FRAUD",F6149="Shipping canceled"),0,1)</x:f>
        <x:v>0</x:v>
      </x:c>
      <x:c r="K6149" s="6" t="n">
        <x:f>IF(G6149&gt;H6149,1,0)</x:f>
        <x:v>0</x:v>
      </x:c>
      <x:c r="L6149" s="6" t="n">
        <x:f>J6149*K6149</x:f>
        <x:v>0</x:v>
      </x:c>
    </x:row>
    <x:row r="6150">
      <x:c r="A6150" s="1" t="n">
        <x:v>48164</x:v>
      </x:c>
      <x:c r="B6150" s="5" t="d">
        <x:v>2016-12-04T00:00:00.000Z</x:v>
      </x:c>
      <x:c r="C6150" s="1" t="str">
        <x:v>First Class</x:v>
      </x:c>
      <x:c r="D6150" s="1" t="str">
        <x:v>Africa</x:v>
      </x:c>
      <x:c r="E6150" s="1" t="str">
        <x:v>CLOSED</x:v>
      </x:c>
      <x:c r="F6150" s="1" t="str">
        <x:v>Late delivery</x:v>
      </x:c>
      <x:c r="G6150" s="6" t="n">
        <x:v>2</x:v>
      </x:c>
      <x:c r="H6150" s="6" t="n">
        <x:v>1</x:v>
      </x:c>
      <x:c r="I6150" s="6" t="n">
        <x:f>G6150-H6150</x:f>
        <x:v>1</x:v>
      </x:c>
      <x:c r="J6150" s="6" t="n">
        <x:f>IF(OR(E6150="CANCELED",E6150="SUSPECTED_FRAUD",F6150="Shipping canceled"),0,1)</x:f>
        <x:v>1</x:v>
      </x:c>
      <x:c r="K6150" s="6" t="n">
        <x:f>IF(G6150&gt;H6150,1,0)</x:f>
        <x:v>1</x:v>
      </x:c>
      <x:c r="L6150" s="6" t="n">
        <x:f>J6150*K6150</x:f>
        <x:v>1</x:v>
      </x:c>
    </x:row>
    <x:row r="6151">
      <x:c r="A6151" s="1" t="n">
        <x:v>48169</x:v>
      </x:c>
      <x:c r="B6151" s="5" t="d">
        <x:v>2016-12-04T00:00:00.000Z</x:v>
      </x:c>
      <x:c r="C6151" s="1" t="str">
        <x:v>First Class</x:v>
      </x:c>
      <x:c r="D6151" s="1" t="str">
        <x:v>Europe</x:v>
      </x:c>
      <x:c r="E6151" s="1" t="str">
        <x:v>CLOSED</x:v>
      </x:c>
      <x:c r="F6151" s="1" t="str">
        <x:v>Late delivery</x:v>
      </x:c>
      <x:c r="G6151" s="6" t="n">
        <x:v>2</x:v>
      </x:c>
      <x:c r="H6151" s="6" t="n">
        <x:v>1</x:v>
      </x:c>
      <x:c r="I6151" s="6" t="n">
        <x:f>G6151-H6151</x:f>
        <x:v>1</x:v>
      </x:c>
      <x:c r="J6151" s="6" t="n">
        <x:f>IF(OR(E6151="CANCELED",E6151="SUSPECTED_FRAUD",F6151="Shipping canceled"),0,1)</x:f>
        <x:v>1</x:v>
      </x:c>
      <x:c r="K6151" s="6" t="n">
        <x:f>IF(G6151&gt;H6151,1,0)</x:f>
        <x:v>1</x:v>
      </x:c>
      <x:c r="L6151" s="6" t="n">
        <x:f>J6151*K6151</x:f>
        <x:v>1</x:v>
      </x:c>
    </x:row>
    <x:row r="6152">
      <x:c r="A6152" s="1" t="n">
        <x:v>48176</x:v>
      </x:c>
      <x:c r="B6152" s="5" t="d">
        <x:v>2016-12-04T00:00:00.000Z</x:v>
      </x:c>
      <x:c r="C6152" s="1" t="str">
        <x:v>Standard Class</x:v>
      </x:c>
      <x:c r="D6152" s="1" t="str">
        <x:v>Pacific Asia</x:v>
      </x:c>
      <x:c r="E6152" s="1" t="str">
        <x:v>PENDING</x:v>
      </x:c>
      <x:c r="F6152" s="1" t="str">
        <x:v>Advance shipping</x:v>
      </x:c>
      <x:c r="G6152" s="6" t="n">
        <x:v>2</x:v>
      </x:c>
      <x:c r="H6152" s="6" t="n">
        <x:v>4</x:v>
      </x:c>
      <x:c r="I6152" s="6" t="n">
        <x:f>G6152-H6152</x:f>
        <x:v>-2</x:v>
      </x:c>
      <x:c r="J6152" s="6" t="n">
        <x:f>IF(OR(E6152="CANCELED",E6152="SUSPECTED_FRAUD",F6152="Shipping canceled"),0,1)</x:f>
        <x:v>1</x:v>
      </x:c>
      <x:c r="K6152" s="6" t="n">
        <x:f>IF(G6152&gt;H6152,1,0)</x:f>
        <x:v>0</x:v>
      </x:c>
      <x:c r="L6152" s="6" t="n">
        <x:f>J6152*K6152</x:f>
        <x:v>0</x:v>
      </x:c>
    </x:row>
    <x:row r="6153">
      <x:c r="A6153" s="1" t="n">
        <x:v>48183</x:v>
      </x:c>
      <x:c r="B6153" s="5" t="d">
        <x:v>2016-12-04T00:00:00.000Z</x:v>
      </x:c>
      <x:c r="C6153" s="1" t="str">
        <x:v>Standard Class</x:v>
      </x:c>
      <x:c r="D6153" s="1" t="str">
        <x:v>Pacific Asia</x:v>
      </x:c>
      <x:c r="E6153" s="1" t="str">
        <x:v>PENDING</x:v>
      </x:c>
      <x:c r="F6153" s="1" t="str">
        <x:v>Shipping on time</x:v>
      </x:c>
      <x:c r="G6153" s="6" t="n">
        <x:v>4</x:v>
      </x:c>
      <x:c r="H6153" s="6" t="n">
        <x:v>4</x:v>
      </x:c>
      <x:c r="I6153" s="6" t="n">
        <x:f>G6153-H6153</x:f>
        <x:v>0</x:v>
      </x:c>
      <x:c r="J6153" s="6" t="n">
        <x:f>IF(OR(E6153="CANCELED",E6153="SUSPECTED_FRAUD",F6153="Shipping canceled"),0,1)</x:f>
        <x:v>1</x:v>
      </x:c>
      <x:c r="K6153" s="6" t="n">
        <x:f>IF(G6153&gt;H6153,1,0)</x:f>
        <x:v>0</x:v>
      </x:c>
      <x:c r="L6153" s="6" t="n">
        <x:f>J6153*K6153</x:f>
        <x:v>0</x:v>
      </x:c>
    </x:row>
    <x:row r="6154">
      <x:c r="A6154" s="1" t="n">
        <x:v>48190</x:v>
      </x:c>
      <x:c r="B6154" s="5" t="d">
        <x:v>2016-12-04T00:00:00.000Z</x:v>
      </x:c>
      <x:c r="C6154" s="1" t="str">
        <x:v>Standard Class</x:v>
      </x:c>
      <x:c r="D6154" s="1" t="str">
        <x:v>Europe</x:v>
      </x:c>
      <x:c r="E6154" s="1" t="str">
        <x:v>COMPLETE</x:v>
      </x:c>
      <x:c r="F6154" s="1" t="str">
        <x:v>Late delivery</x:v>
      </x:c>
      <x:c r="G6154" s="6" t="n">
        <x:v>6</x:v>
      </x:c>
      <x:c r="H6154" s="6" t="n">
        <x:v>4</x:v>
      </x:c>
      <x:c r="I6154" s="6" t="n">
        <x:f>G6154-H6154</x:f>
        <x:v>2</x:v>
      </x:c>
      <x:c r="J6154" s="6" t="n">
        <x:f>IF(OR(E6154="CANCELED",E6154="SUSPECTED_FRAUD",F6154="Shipping canceled"),0,1)</x:f>
        <x:v>1</x:v>
      </x:c>
      <x:c r="K6154" s="6" t="n">
        <x:f>IF(G6154&gt;H6154,1,0)</x:f>
        <x:v>1</x:v>
      </x:c>
      <x:c r="L6154" s="6" t="n">
        <x:f>J6154*K6154</x:f>
        <x:v>1</x:v>
      </x:c>
    </x:row>
    <x:row r="6155">
      <x:c r="A6155" s="1" t="n">
        <x:v>48193</x:v>
      </x:c>
      <x:c r="B6155" s="5" t="d">
        <x:v>2016-12-04T00:00:00.000Z</x:v>
      </x:c>
      <x:c r="C6155" s="1" t="str">
        <x:v>Standard Class</x:v>
      </x:c>
      <x:c r="D6155" s="1" t="str">
        <x:v>Europe</x:v>
      </x:c>
      <x:c r="E6155" s="1" t="str">
        <x:v>CANCELED</x:v>
      </x:c>
      <x:c r="F6155" s="1" t="str">
        <x:v>Shipping canceled</x:v>
      </x:c>
      <x:c r="G6155" s="6" t="n">
        <x:v>4</x:v>
      </x:c>
      <x:c r="H6155" s="6" t="n">
        <x:v>4</x:v>
      </x:c>
      <x:c r="I6155" s="6" t="n">
        <x:f>G6155-H6155</x:f>
        <x:v>0</x:v>
      </x:c>
      <x:c r="J6155" s="6" t="n">
        <x:f>IF(OR(E6155="CANCELED",E6155="SUSPECTED_FRAUD",F6155="Shipping canceled"),0,1)</x:f>
        <x:v>0</x:v>
      </x:c>
      <x:c r="K6155" s="6" t="n">
        <x:f>IF(G6155&gt;H6155,1,0)</x:f>
        <x:v>0</x:v>
      </x:c>
      <x:c r="L6155" s="6" t="n">
        <x:f>J6155*K6155</x:f>
        <x:v>0</x:v>
      </x:c>
    </x:row>
    <x:row r="6156">
      <x:c r="A6156" s="1" t="n">
        <x:v>48208</x:v>
      </x:c>
      <x:c r="B6156" s="5" t="d">
        <x:v>2016-12-04T00:00:00.000Z</x:v>
      </x:c>
      <x:c r="C6156" s="1" t="str">
        <x:v>Standard Class</x:v>
      </x:c>
      <x:c r="D6156" s="1" t="str">
        <x:v>Africa</x:v>
      </x:c>
      <x:c r="E6156" s="1" t="str">
        <x:v>PROCESSING</x:v>
      </x:c>
      <x:c r="F6156" s="1" t="str">
        <x:v>Shipping on time</x:v>
      </x:c>
      <x:c r="G6156" s="6" t="n">
        <x:v>4</x:v>
      </x:c>
      <x:c r="H6156" s="6" t="n">
        <x:v>4</x:v>
      </x:c>
      <x:c r="I6156" s="6" t="n">
        <x:f>G6156-H6156</x:f>
        <x:v>0</x:v>
      </x:c>
      <x:c r="J6156" s="6" t="n">
        <x:f>IF(OR(E6156="CANCELED",E6156="SUSPECTED_FRAUD",F6156="Shipping canceled"),0,1)</x:f>
        <x:v>1</x:v>
      </x:c>
      <x:c r="K6156" s="6" t="n">
        <x:f>IF(G6156&gt;H6156,1,0)</x:f>
        <x:v>0</x:v>
      </x:c>
      <x:c r="L6156" s="6" t="n">
        <x:f>J6156*K6156</x:f>
        <x:v>0</x:v>
      </x:c>
    </x:row>
    <x:row r="6157">
      <x:c r="A6157" s="1" t="n">
        <x:v>48215</x:v>
      </x:c>
      <x:c r="B6157" s="5" t="d">
        <x:v>2016-12-04T00:00:00.000Z</x:v>
      </x:c>
      <x:c r="C6157" s="1" t="str">
        <x:v>Standard Class</x:v>
      </x:c>
      <x:c r="D6157" s="1" t="str">
        <x:v>Africa</x:v>
      </x:c>
      <x:c r="E6157" s="1" t="str">
        <x:v>COMPLETE</x:v>
      </x:c>
      <x:c r="F6157" s="1" t="str">
        <x:v>Late delivery</x:v>
      </x:c>
      <x:c r="G6157" s="6" t="n">
        <x:v>6</x:v>
      </x:c>
      <x:c r="H6157" s="6" t="n">
        <x:v>4</x:v>
      </x:c>
      <x:c r="I6157" s="6" t="n">
        <x:f>G6157-H6157</x:f>
        <x:v>2</x:v>
      </x:c>
      <x:c r="J6157" s="6" t="n">
        <x:f>IF(OR(E6157="CANCELED",E6157="SUSPECTED_FRAUD",F6157="Shipping canceled"),0,1)</x:f>
        <x:v>1</x:v>
      </x:c>
      <x:c r="K6157" s="6" t="n">
        <x:f>IF(G6157&gt;H6157,1,0)</x:f>
        <x:v>1</x:v>
      </x:c>
      <x:c r="L6157" s="6" t="n">
        <x:f>J6157*K6157</x:f>
        <x:v>1</x:v>
      </x:c>
    </x:row>
    <x:row r="6158">
      <x:c r="A6158" s="1" t="n">
        <x:v>48220</x:v>
      </x:c>
      <x:c r="B6158" s="5" t="d">
        <x:v>2016-12-04T00:00:00.000Z</x:v>
      </x:c>
      <x:c r="C6158" s="1" t="str">
        <x:v>Standard Class</x:v>
      </x:c>
      <x:c r="D6158" s="1" t="str">
        <x:v>Europe</x:v>
      </x:c>
      <x:c r="E6158" s="1" t="str">
        <x:v>CANCELED</x:v>
      </x:c>
      <x:c r="F6158" s="1" t="str">
        <x:v>Shipping canceled</x:v>
      </x:c>
      <x:c r="G6158" s="6" t="n">
        <x:v>6</x:v>
      </x:c>
      <x:c r="H6158" s="6" t="n">
        <x:v>4</x:v>
      </x:c>
      <x:c r="I6158" s="6" t="n">
        <x:f>G6158-H6158</x:f>
        <x:v>2</x:v>
      </x:c>
      <x:c r="J6158" s="6" t="n">
        <x:f>IF(OR(E6158="CANCELED",E6158="SUSPECTED_FRAUD",F6158="Shipping canceled"),0,1)</x:f>
        <x:v>0</x:v>
      </x:c>
      <x:c r="K6158" s="6" t="n">
        <x:f>IF(G6158&gt;H6158,1,0)</x:f>
        <x:v>1</x:v>
      </x:c>
      <x:c r="L6158" s="6" t="n">
        <x:f>J6158*K6158</x:f>
        <x:v>0</x:v>
      </x:c>
    </x:row>
    <x:row r="6159">
      <x:c r="A6159" s="1" t="n">
        <x:v>48222</x:v>
      </x:c>
      <x:c r="B6159" s="5" t="d">
        <x:v>2016-12-04T00:00:00.000Z</x:v>
      </x:c>
      <x:c r="C6159" s="1" t="str">
        <x:v>First Class</x:v>
      </x:c>
      <x:c r="D6159" s="1" t="str">
        <x:v>Europe</x:v>
      </x:c>
      <x:c r="E6159" s="1" t="str">
        <x:v>PENDING_PAYMENT</x:v>
      </x:c>
      <x:c r="F6159" s="1" t="str">
        <x:v>Late delivery</x:v>
      </x:c>
      <x:c r="G6159" s="6" t="n">
        <x:v>2</x:v>
      </x:c>
      <x:c r="H6159" s="6" t="n">
        <x:v>1</x:v>
      </x:c>
      <x:c r="I6159" s="6" t="n">
        <x:f>G6159-H6159</x:f>
        <x:v>1</x:v>
      </x:c>
      <x:c r="J6159" s="6" t="n">
        <x:f>IF(OR(E6159="CANCELED",E6159="SUSPECTED_FRAUD",F6159="Shipping canceled"),0,1)</x:f>
        <x:v>1</x:v>
      </x:c>
      <x:c r="K6159" s="6" t="n">
        <x:f>IF(G6159&gt;H6159,1,0)</x:f>
        <x:v>1</x:v>
      </x:c>
      <x:c r="L6159" s="6" t="n">
        <x:f>J6159*K6159</x:f>
        <x:v>1</x:v>
      </x:c>
    </x:row>
    <x:row r="6160">
      <x:c r="A6160" s="1" t="n">
        <x:v>48241</x:v>
      </x:c>
      <x:c r="B6160" s="5" t="d">
        <x:v>2016-12-05T00:00:00.000Z</x:v>
      </x:c>
      <x:c r="C6160" s="1" t="str">
        <x:v>Standard Class</x:v>
      </x:c>
      <x:c r="D6160" s="1" t="str">
        <x:v>Africa</x:v>
      </x:c>
      <x:c r="E6160" s="1" t="str">
        <x:v>COMPLETE</x:v>
      </x:c>
      <x:c r="F6160" s="1" t="str">
        <x:v>Advance shipping</x:v>
      </x:c>
      <x:c r="G6160" s="6" t="n">
        <x:v>2</x:v>
      </x:c>
      <x:c r="H6160" s="6" t="n">
        <x:v>4</x:v>
      </x:c>
      <x:c r="I6160" s="6" t="n">
        <x:f>G6160-H6160</x:f>
        <x:v>-2</x:v>
      </x:c>
      <x:c r="J6160" s="6" t="n">
        <x:f>IF(OR(E6160="CANCELED",E6160="SUSPECTED_FRAUD",F6160="Shipping canceled"),0,1)</x:f>
        <x:v>1</x:v>
      </x:c>
      <x:c r="K6160" s="6" t="n">
        <x:f>IF(G6160&gt;H6160,1,0)</x:f>
        <x:v>0</x:v>
      </x:c>
      <x:c r="L6160" s="6" t="n">
        <x:f>J6160*K6160</x:f>
        <x:v>0</x:v>
      </x:c>
    </x:row>
    <x:row r="6161">
      <x:c r="A6161" s="1" t="n">
        <x:v>48248</x:v>
      </x:c>
      <x:c r="B6161" s="5" t="d">
        <x:v>2016-12-05T00:00:00.000Z</x:v>
      </x:c>
      <x:c r="C6161" s="1" t="str">
        <x:v>Standard Class</x:v>
      </x:c>
      <x:c r="D6161" s="1" t="str">
        <x:v>Africa</x:v>
      </x:c>
      <x:c r="E6161" s="1" t="str">
        <x:v>COMPLETE</x:v>
      </x:c>
      <x:c r="F6161" s="1" t="str">
        <x:v>Shipping on time</x:v>
      </x:c>
      <x:c r="G6161" s="6" t="n">
        <x:v>4</x:v>
      </x:c>
      <x:c r="H6161" s="6" t="n">
        <x:v>4</x:v>
      </x:c>
      <x:c r="I6161" s="6" t="n">
        <x:f>G6161-H6161</x:f>
        <x:v>0</x:v>
      </x:c>
      <x:c r="J6161" s="6" t="n">
        <x:f>IF(OR(E6161="CANCELED",E6161="SUSPECTED_FRAUD",F6161="Shipping canceled"),0,1)</x:f>
        <x:v>1</x:v>
      </x:c>
      <x:c r="K6161" s="6" t="n">
        <x:f>IF(G6161&gt;H6161,1,0)</x:f>
        <x:v>0</x:v>
      </x:c>
      <x:c r="L6161" s="6" t="n">
        <x:f>J6161*K6161</x:f>
        <x:v>0</x:v>
      </x:c>
    </x:row>
    <x:row r="6162">
      <x:c r="A6162" s="1" t="n">
        <x:v>48254</x:v>
      </x:c>
      <x:c r="B6162" s="5" t="d">
        <x:v>2016-12-05T00:00:00.000Z</x:v>
      </x:c>
      <x:c r="C6162" s="1" t="str">
        <x:v>Standard Class</x:v>
      </x:c>
      <x:c r="D6162" s="1" t="str">
        <x:v>Africa</x:v>
      </x:c>
      <x:c r="E6162" s="1" t="str">
        <x:v>COMPLETE</x:v>
      </x:c>
      <x:c r="F6162" s="1" t="str">
        <x:v>Late delivery</x:v>
      </x:c>
      <x:c r="G6162" s="6" t="n">
        <x:v>5</x:v>
      </x:c>
      <x:c r="H6162" s="6" t="n">
        <x:v>4</x:v>
      </x:c>
      <x:c r="I6162" s="6" t="n">
        <x:f>G6162-H6162</x:f>
        <x:v>1</x:v>
      </x:c>
      <x:c r="J6162" s="6" t="n">
        <x:f>IF(OR(E6162="CANCELED",E6162="SUSPECTED_FRAUD",F6162="Shipping canceled"),0,1)</x:f>
        <x:v>1</x:v>
      </x:c>
      <x:c r="K6162" s="6" t="n">
        <x:f>IF(G6162&gt;H6162,1,0)</x:f>
        <x:v>1</x:v>
      </x:c>
      <x:c r="L6162" s="6" t="n">
        <x:f>J6162*K6162</x:f>
        <x:v>1</x:v>
      </x:c>
    </x:row>
    <x:row r="6163">
      <x:c r="A6163" s="1" t="n">
        <x:v>48255</x:v>
      </x:c>
      <x:c r="B6163" s="5" t="d">
        <x:v>2016-12-05T00:00:00.000Z</x:v>
      </x:c>
      <x:c r="C6163" s="1" t="str">
        <x:v>Standard Class</x:v>
      </x:c>
      <x:c r="D6163" s="1" t="str">
        <x:v>Africa</x:v>
      </x:c>
      <x:c r="E6163" s="1" t="str">
        <x:v>SUSPECTED_FRAUD</x:v>
      </x:c>
      <x:c r="F6163" s="1" t="str">
        <x:v>Shipping canceled</x:v>
      </x:c>
      <x:c r="G6163" s="6" t="n">
        <x:v>6</x:v>
      </x:c>
      <x:c r="H6163" s="6" t="n">
        <x:v>4</x:v>
      </x:c>
      <x:c r="I6163" s="6" t="n">
        <x:f>G6163-H6163</x:f>
        <x:v>2</x:v>
      </x:c>
      <x:c r="J6163" s="6" t="n">
        <x:f>IF(OR(E6163="CANCELED",E6163="SUSPECTED_FRAUD",F6163="Shipping canceled"),0,1)</x:f>
        <x:v>0</x:v>
      </x:c>
      <x:c r="K6163" s="6" t="n">
        <x:f>IF(G6163&gt;H6163,1,0)</x:f>
        <x:v>1</x:v>
      </x:c>
      <x:c r="L6163" s="6" t="n">
        <x:f>J6163*K6163</x:f>
        <x:v>0</x:v>
      </x:c>
    </x:row>
    <x:row r="6164">
      <x:c r="A6164" s="1" t="n">
        <x:v>48277</x:v>
      </x:c>
      <x:c r="B6164" s="5" t="d">
        <x:v>2016-12-05T00:00:00.000Z</x:v>
      </x:c>
      <x:c r="C6164" s="1" t="str">
        <x:v>Second Class</x:v>
      </x:c>
      <x:c r="D6164" s="1" t="str">
        <x:v>Pacific Asia</x:v>
      </x:c>
      <x:c r="E6164" s="1" t="str">
        <x:v>COMPLETE</x:v>
      </x:c>
      <x:c r="F6164" s="1" t="str">
        <x:v>Late delivery</x:v>
      </x:c>
      <x:c r="G6164" s="6" t="n">
        <x:v>3</x:v>
      </x:c>
      <x:c r="H6164" s="6" t="n">
        <x:v>2</x:v>
      </x:c>
      <x:c r="I6164" s="6" t="n">
        <x:f>G6164-H6164</x:f>
        <x:v>1</x:v>
      </x:c>
      <x:c r="J6164" s="6" t="n">
        <x:f>IF(OR(E6164="CANCELED",E6164="SUSPECTED_FRAUD",F6164="Shipping canceled"),0,1)</x:f>
        <x:v>1</x:v>
      </x:c>
      <x:c r="K6164" s="6" t="n">
        <x:f>IF(G6164&gt;H6164,1,0)</x:f>
        <x:v>1</x:v>
      </x:c>
      <x:c r="L6164" s="6" t="n">
        <x:f>J6164*K6164</x:f>
        <x:v>1</x:v>
      </x:c>
    </x:row>
    <x:row r="6165">
      <x:c r="A6165" s="1" t="n">
        <x:v>48282</x:v>
      </x:c>
      <x:c r="B6165" s="5" t="d">
        <x:v>2016-12-05T00:00:00.000Z</x:v>
      </x:c>
      <x:c r="C6165" s="1" t="str">
        <x:v>Standard Class</x:v>
      </x:c>
      <x:c r="D6165" s="1" t="str">
        <x:v>USCA</x:v>
      </x:c>
      <x:c r="E6165" s="1" t="str">
        <x:v>PENDING</x:v>
      </x:c>
      <x:c r="F6165" s="1" t="str">
        <x:v>Advance shipping</x:v>
      </x:c>
      <x:c r="G6165" s="6" t="n">
        <x:v>3</x:v>
      </x:c>
      <x:c r="H6165" s="6" t="n">
        <x:v>4</x:v>
      </x:c>
      <x:c r="I6165" s="6" t="n">
        <x:f>G6165-H6165</x:f>
        <x:v>-1</x:v>
      </x:c>
      <x:c r="J6165" s="6" t="n">
        <x:f>IF(OR(E6165="CANCELED",E6165="SUSPECTED_FRAUD",F6165="Shipping canceled"),0,1)</x:f>
        <x:v>1</x:v>
      </x:c>
      <x:c r="K6165" s="6" t="n">
        <x:f>IF(G6165&gt;H6165,1,0)</x:f>
        <x:v>0</x:v>
      </x:c>
      <x:c r="L6165" s="6" t="n">
        <x:f>J6165*K6165</x:f>
        <x:v>0</x:v>
      </x:c>
    </x:row>
    <x:row r="6166">
      <x:c r="A6166" s="1" t="n">
        <x:v>48300</x:v>
      </x:c>
      <x:c r="B6166" s="5" t="d">
        <x:v>2016-12-06T00:00:00.000Z</x:v>
      </x:c>
      <x:c r="C6166" s="1" t="str">
        <x:v>Standard Class</x:v>
      </x:c>
      <x:c r="D6166" s="1" t="str">
        <x:v>Pacific Asia</x:v>
      </x:c>
      <x:c r="E6166" s="1" t="str">
        <x:v>PENDING_PAYMENT</x:v>
      </x:c>
      <x:c r="F6166" s="1" t="str">
        <x:v>Late delivery</x:v>
      </x:c>
      <x:c r="G6166" s="6" t="n">
        <x:v>6</x:v>
      </x:c>
      <x:c r="H6166" s="6" t="n">
        <x:v>4</x:v>
      </x:c>
      <x:c r="I6166" s="6" t="n">
        <x:f>G6166-H6166</x:f>
        <x:v>2</x:v>
      </x:c>
      <x:c r="J6166" s="6" t="n">
        <x:f>IF(OR(E6166="CANCELED",E6166="SUSPECTED_FRAUD",F6166="Shipping canceled"),0,1)</x:f>
        <x:v>1</x:v>
      </x:c>
      <x:c r="K6166" s="6" t="n">
        <x:f>IF(G6166&gt;H6166,1,0)</x:f>
        <x:v>1</x:v>
      </x:c>
      <x:c r="L6166" s="6" t="n">
        <x:f>J6166*K6166</x:f>
        <x:v>1</x:v>
      </x:c>
    </x:row>
    <x:row r="6167">
      <x:c r="A6167" s="1" t="n">
        <x:v>48301</x:v>
      </x:c>
      <x:c r="B6167" s="5" t="d">
        <x:v>2016-12-06T00:00:00.000Z</x:v>
      </x:c>
      <x:c r="C6167" s="1" t="str">
        <x:v>Standard Class</x:v>
      </x:c>
      <x:c r="D6167" s="1" t="str">
        <x:v>Pacific Asia</x:v>
      </x:c>
      <x:c r="E6167" s="1" t="str">
        <x:v>COMPLETE</x:v>
      </x:c>
      <x:c r="F6167" s="1" t="str">
        <x:v>Advance shipping</x:v>
      </x:c>
      <x:c r="G6167" s="6" t="n">
        <x:v>2</x:v>
      </x:c>
      <x:c r="H6167" s="6" t="n">
        <x:v>4</x:v>
      </x:c>
      <x:c r="I6167" s="6" t="n">
        <x:f>G6167-H6167</x:f>
        <x:v>-2</x:v>
      </x:c>
      <x:c r="J6167" s="6" t="n">
        <x:f>IF(OR(E6167="CANCELED",E6167="SUSPECTED_FRAUD",F6167="Shipping canceled"),0,1)</x:f>
        <x:v>1</x:v>
      </x:c>
      <x:c r="K6167" s="6" t="n">
        <x:f>IF(G6167&gt;H6167,1,0)</x:f>
        <x:v>0</x:v>
      </x:c>
      <x:c r="L6167" s="6" t="n">
        <x:f>J6167*K6167</x:f>
        <x:v>0</x:v>
      </x:c>
    </x:row>
    <x:row r="6168">
      <x:c r="A6168" s="1" t="n">
        <x:v>48310</x:v>
      </x:c>
      <x:c r="B6168" s="5" t="d">
        <x:v>2016-12-06T00:00:00.000Z</x:v>
      </x:c>
      <x:c r="C6168" s="1" t="str">
        <x:v>First Class</x:v>
      </x:c>
      <x:c r="D6168" s="1" t="str">
        <x:v>Europe</x:v>
      </x:c>
      <x:c r="E6168" s="1" t="str">
        <x:v>PROCESSING</x:v>
      </x:c>
      <x:c r="F6168" s="1" t="str">
        <x:v>Late delivery</x:v>
      </x:c>
      <x:c r="G6168" s="6" t="n">
        <x:v>2</x:v>
      </x:c>
      <x:c r="H6168" s="6" t="n">
        <x:v>1</x:v>
      </x:c>
      <x:c r="I6168" s="6" t="n">
        <x:f>G6168-H6168</x:f>
        <x:v>1</x:v>
      </x:c>
      <x:c r="J6168" s="6" t="n">
        <x:f>IF(OR(E6168="CANCELED",E6168="SUSPECTED_FRAUD",F6168="Shipping canceled"),0,1)</x:f>
        <x:v>1</x:v>
      </x:c>
      <x:c r="K6168" s="6" t="n">
        <x:f>IF(G6168&gt;H6168,1,0)</x:f>
        <x:v>1</x:v>
      </x:c>
      <x:c r="L6168" s="6" t="n">
        <x:f>J6168*K6168</x:f>
        <x:v>1</x:v>
      </x:c>
    </x:row>
    <x:row r="6169">
      <x:c r="A6169" s="1" t="n">
        <x:v>48317</x:v>
      </x:c>
      <x:c r="B6169" s="5" t="d">
        <x:v>2016-12-06T00:00:00.000Z</x:v>
      </x:c>
      <x:c r="C6169" s="1" t="str">
        <x:v>Second Class</x:v>
      </x:c>
      <x:c r="D6169" s="1" t="str">
        <x:v>Africa</x:v>
      </x:c>
      <x:c r="E6169" s="1" t="str">
        <x:v>COMPLETE</x:v>
      </x:c>
      <x:c r="F6169" s="1" t="str">
        <x:v>Late delivery</x:v>
      </x:c>
      <x:c r="G6169" s="6" t="n">
        <x:v>3</x:v>
      </x:c>
      <x:c r="H6169" s="6" t="n">
        <x:v>2</x:v>
      </x:c>
      <x:c r="I6169" s="6" t="n">
        <x:f>G6169-H6169</x:f>
        <x:v>1</x:v>
      </x:c>
      <x:c r="J6169" s="6" t="n">
        <x:f>IF(OR(E6169="CANCELED",E6169="SUSPECTED_FRAUD",F6169="Shipping canceled"),0,1)</x:f>
        <x:v>1</x:v>
      </x:c>
      <x:c r="K6169" s="6" t="n">
        <x:f>IF(G6169&gt;H6169,1,0)</x:f>
        <x:v>1</x:v>
      </x:c>
      <x:c r="L6169" s="6" t="n">
        <x:f>J6169*K6169</x:f>
        <x:v>1</x:v>
      </x:c>
    </x:row>
    <x:row r="6170">
      <x:c r="A6170" s="1" t="n">
        <x:v>48320</x:v>
      </x:c>
      <x:c r="B6170" s="5" t="d">
        <x:v>2016-12-06T00:00:00.000Z</x:v>
      </x:c>
      <x:c r="C6170" s="1" t="str">
        <x:v>Standard Class</x:v>
      </x:c>
      <x:c r="D6170" s="1" t="str">
        <x:v>Pacific Asia</x:v>
      </x:c>
      <x:c r="E6170" s="1" t="str">
        <x:v>COMPLETE</x:v>
      </x:c>
      <x:c r="F6170" s="1" t="str">
        <x:v>Late delivery</x:v>
      </x:c>
      <x:c r="G6170" s="6" t="n">
        <x:v>6</x:v>
      </x:c>
      <x:c r="H6170" s="6" t="n">
        <x:v>4</x:v>
      </x:c>
      <x:c r="I6170" s="6" t="n">
        <x:f>G6170-H6170</x:f>
        <x:v>2</x:v>
      </x:c>
      <x:c r="J6170" s="6" t="n">
        <x:f>IF(OR(E6170="CANCELED",E6170="SUSPECTED_FRAUD",F6170="Shipping canceled"),0,1)</x:f>
        <x:v>1</x:v>
      </x:c>
      <x:c r="K6170" s="6" t="n">
        <x:f>IF(G6170&gt;H6170,1,0)</x:f>
        <x:v>1</x:v>
      </x:c>
      <x:c r="L6170" s="6" t="n">
        <x:f>J6170*K6170</x:f>
        <x:v>1</x:v>
      </x:c>
    </x:row>
    <x:row r="6171">
      <x:c r="A6171" s="1" t="n">
        <x:v>48329</x:v>
      </x:c>
      <x:c r="B6171" s="5" t="d">
        <x:v>2016-12-06T00:00:00.000Z</x:v>
      </x:c>
      <x:c r="C6171" s="1" t="str">
        <x:v>First Class</x:v>
      </x:c>
      <x:c r="D6171" s="1" t="str">
        <x:v>Europe</x:v>
      </x:c>
      <x:c r="E6171" s="1" t="str">
        <x:v>CLOSED</x:v>
      </x:c>
      <x:c r="F6171" s="1" t="str">
        <x:v>Late delivery</x:v>
      </x:c>
      <x:c r="G6171" s="6" t="n">
        <x:v>2</x:v>
      </x:c>
      <x:c r="H6171" s="6" t="n">
        <x:v>1</x:v>
      </x:c>
      <x:c r="I6171" s="6" t="n">
        <x:f>G6171-H6171</x:f>
        <x:v>1</x:v>
      </x:c>
      <x:c r="J6171" s="6" t="n">
        <x:f>IF(OR(E6171="CANCELED",E6171="SUSPECTED_FRAUD",F6171="Shipping canceled"),0,1)</x:f>
        <x:v>1</x:v>
      </x:c>
      <x:c r="K6171" s="6" t="n">
        <x:f>IF(G6171&gt;H6171,1,0)</x:f>
        <x:v>1</x:v>
      </x:c>
      <x:c r="L6171" s="6" t="n">
        <x:f>J6171*K6171</x:f>
        <x:v>1</x:v>
      </x:c>
    </x:row>
    <x:row r="6172">
      <x:c r="A6172" s="1" t="n">
        <x:v>48331</x:v>
      </x:c>
      <x:c r="B6172" s="5" t="d">
        <x:v>2016-12-06T00:00:00.000Z</x:v>
      </x:c>
      <x:c r="C6172" s="1" t="str">
        <x:v>First Class</x:v>
      </x:c>
      <x:c r="D6172" s="1" t="str">
        <x:v>Europe</x:v>
      </x:c>
      <x:c r="E6172" s="1" t="str">
        <x:v>CLOSED</x:v>
      </x:c>
      <x:c r="F6172" s="1" t="str">
        <x:v>Late delivery</x:v>
      </x:c>
      <x:c r="G6172" s="6" t="n">
        <x:v>2</x:v>
      </x:c>
      <x:c r="H6172" s="6" t="n">
        <x:v>1</x:v>
      </x:c>
      <x:c r="I6172" s="6" t="n">
        <x:f>G6172-H6172</x:f>
        <x:v>1</x:v>
      </x:c>
      <x:c r="J6172" s="6" t="n">
        <x:f>IF(OR(E6172="CANCELED",E6172="SUSPECTED_FRAUD",F6172="Shipping canceled"),0,1)</x:f>
        <x:v>1</x:v>
      </x:c>
      <x:c r="K6172" s="6" t="n">
        <x:f>IF(G6172&gt;H6172,1,0)</x:f>
        <x:v>1</x:v>
      </x:c>
      <x:c r="L6172" s="6" t="n">
        <x:f>J6172*K6172</x:f>
        <x:v>1</x:v>
      </x:c>
    </x:row>
    <x:row r="6173">
      <x:c r="A6173" s="1" t="n">
        <x:v>48332</x:v>
      </x:c>
      <x:c r="B6173" s="5" t="d">
        <x:v>2016-12-06T00:00:00.000Z</x:v>
      </x:c>
      <x:c r="C6173" s="1" t="str">
        <x:v>First Class</x:v>
      </x:c>
      <x:c r="D6173" s="1" t="str">
        <x:v>Pacific Asia</x:v>
      </x:c>
      <x:c r="E6173" s="1" t="str">
        <x:v>CLOSED</x:v>
      </x:c>
      <x:c r="F6173" s="1" t="str">
        <x:v>Late delivery</x:v>
      </x:c>
      <x:c r="G6173" s="6" t="n">
        <x:v>2</x:v>
      </x:c>
      <x:c r="H6173" s="6" t="n">
        <x:v>1</x:v>
      </x:c>
      <x:c r="I6173" s="6" t="n">
        <x:f>G6173-H6173</x:f>
        <x:v>1</x:v>
      </x:c>
      <x:c r="J6173" s="6" t="n">
        <x:f>IF(OR(E6173="CANCELED",E6173="SUSPECTED_FRAUD",F6173="Shipping canceled"),0,1)</x:f>
        <x:v>1</x:v>
      </x:c>
      <x:c r="K6173" s="6" t="n">
        <x:f>IF(G6173&gt;H6173,1,0)</x:f>
        <x:v>1</x:v>
      </x:c>
      <x:c r="L6173" s="6" t="n">
        <x:f>J6173*K6173</x:f>
        <x:v>1</x:v>
      </x:c>
    </x:row>
    <x:row r="6174">
      <x:c r="A6174" s="1" t="n">
        <x:v>48334</x:v>
      </x:c>
      <x:c r="B6174" s="5" t="d">
        <x:v>2016-12-06T00:00:00.000Z</x:v>
      </x:c>
      <x:c r="C6174" s="1" t="str">
        <x:v>Standard Class</x:v>
      </x:c>
      <x:c r="D6174" s="1" t="str">
        <x:v>Pacific Asia</x:v>
      </x:c>
      <x:c r="E6174" s="1" t="str">
        <x:v>PROCESSING</x:v>
      </x:c>
      <x:c r="F6174" s="1" t="str">
        <x:v>Late delivery</x:v>
      </x:c>
      <x:c r="G6174" s="6" t="n">
        <x:v>5</x:v>
      </x:c>
      <x:c r="H6174" s="6" t="n">
        <x:v>4</x:v>
      </x:c>
      <x:c r="I6174" s="6" t="n">
        <x:f>G6174-H6174</x:f>
        <x:v>1</x:v>
      </x:c>
      <x:c r="J6174" s="6" t="n">
        <x:f>IF(OR(E6174="CANCELED",E6174="SUSPECTED_FRAUD",F6174="Shipping canceled"),0,1)</x:f>
        <x:v>1</x:v>
      </x:c>
      <x:c r="K6174" s="6" t="n">
        <x:f>IF(G6174&gt;H6174,1,0)</x:f>
        <x:v>1</x:v>
      </x:c>
      <x:c r="L6174" s="6" t="n">
        <x:f>J6174*K6174</x:f>
        <x:v>1</x:v>
      </x:c>
    </x:row>
    <x:row r="6175">
      <x:c r="A6175" s="1" t="n">
        <x:v>48336</x:v>
      </x:c>
      <x:c r="B6175" s="5" t="d">
        <x:v>2016-12-06T00:00:00.000Z</x:v>
      </x:c>
      <x:c r="C6175" s="1" t="str">
        <x:v>Standard Class</x:v>
      </x:c>
      <x:c r="D6175" s="1" t="str">
        <x:v>Africa</x:v>
      </x:c>
      <x:c r="E6175" s="1" t="str">
        <x:v>COMPLETE</x:v>
      </x:c>
      <x:c r="F6175" s="1" t="str">
        <x:v>Advance shipping</x:v>
      </x:c>
      <x:c r="G6175" s="6" t="n">
        <x:v>2</x:v>
      </x:c>
      <x:c r="H6175" s="6" t="n">
        <x:v>4</x:v>
      </x:c>
      <x:c r="I6175" s="6" t="n">
        <x:f>G6175-H6175</x:f>
        <x:v>-2</x:v>
      </x:c>
      <x:c r="J6175" s="6" t="n">
        <x:f>IF(OR(E6175="CANCELED",E6175="SUSPECTED_FRAUD",F6175="Shipping canceled"),0,1)</x:f>
        <x:v>1</x:v>
      </x:c>
      <x:c r="K6175" s="6" t="n">
        <x:f>IF(G6175&gt;H6175,1,0)</x:f>
        <x:v>0</x:v>
      </x:c>
      <x:c r="L6175" s="6" t="n">
        <x:f>J6175*K6175</x:f>
        <x:v>0</x:v>
      </x:c>
    </x:row>
    <x:row r="6176">
      <x:c r="A6176" s="1" t="n">
        <x:v>48340</x:v>
      </x:c>
      <x:c r="B6176" s="5" t="d">
        <x:v>2016-12-06T00:00:00.000Z</x:v>
      </x:c>
      <x:c r="C6176" s="1" t="str">
        <x:v>Second Class</x:v>
      </x:c>
      <x:c r="D6176" s="1" t="str">
        <x:v>Africa</x:v>
      </x:c>
      <x:c r="E6176" s="1" t="str">
        <x:v>COMPLETE</x:v>
      </x:c>
      <x:c r="F6176" s="1" t="str">
        <x:v>Late delivery</x:v>
      </x:c>
      <x:c r="G6176" s="6" t="n">
        <x:v>6</x:v>
      </x:c>
      <x:c r="H6176" s="6" t="n">
        <x:v>2</x:v>
      </x:c>
      <x:c r="I6176" s="6" t="n">
        <x:f>G6176-H6176</x:f>
        <x:v>4</x:v>
      </x:c>
      <x:c r="J6176" s="6" t="n">
        <x:f>IF(OR(E6176="CANCELED",E6176="SUSPECTED_FRAUD",F6176="Shipping canceled"),0,1)</x:f>
        <x:v>1</x:v>
      </x:c>
      <x:c r="K6176" s="6" t="n">
        <x:f>IF(G6176&gt;H6176,1,0)</x:f>
        <x:v>1</x:v>
      </x:c>
      <x:c r="L6176" s="6" t="n">
        <x:f>J6176*K6176</x:f>
        <x:v>1</x:v>
      </x:c>
    </x:row>
    <x:row r="6177">
      <x:c r="A6177" s="1" t="n">
        <x:v>48353</x:v>
      </x:c>
      <x:c r="B6177" s="5" t="d">
        <x:v>2016-12-06T00:00:00.000Z</x:v>
      </x:c>
      <x:c r="C6177" s="1" t="str">
        <x:v>Standard Class</x:v>
      </x:c>
      <x:c r="D6177" s="1" t="str">
        <x:v>Africa</x:v>
      </x:c>
      <x:c r="E6177" s="1" t="str">
        <x:v>ON_HOLD</x:v>
      </x:c>
      <x:c r="F6177" s="1" t="str">
        <x:v>Shipping on time</x:v>
      </x:c>
      <x:c r="G6177" s="6" t="n">
        <x:v>4</x:v>
      </x:c>
      <x:c r="H6177" s="6" t="n">
        <x:v>4</x:v>
      </x:c>
      <x:c r="I6177" s="6" t="n">
        <x:f>G6177-H6177</x:f>
        <x:v>0</x:v>
      </x:c>
      <x:c r="J6177" s="6" t="n">
        <x:f>IF(OR(E6177="CANCELED",E6177="SUSPECTED_FRAUD",F6177="Shipping canceled"),0,1)</x:f>
        <x:v>1</x:v>
      </x:c>
      <x:c r="K6177" s="6" t="n">
        <x:f>IF(G6177&gt;H6177,1,0)</x:f>
        <x:v>0</x:v>
      </x:c>
      <x:c r="L6177" s="6" t="n">
        <x:f>J6177*K6177</x:f>
        <x:v>0</x:v>
      </x:c>
    </x:row>
    <x:row r="6178">
      <x:c r="A6178" s="1" t="n">
        <x:v>48360</x:v>
      </x:c>
      <x:c r="B6178" s="5" t="d">
        <x:v>2016-12-06T00:00:00.000Z</x:v>
      </x:c>
      <x:c r="C6178" s="1" t="str">
        <x:v>Second Class</x:v>
      </x:c>
      <x:c r="D6178" s="1" t="str">
        <x:v>Pacific Asia</x:v>
      </x:c>
      <x:c r="E6178" s="1" t="str">
        <x:v>COMPLETE</x:v>
      </x:c>
      <x:c r="F6178" s="1" t="str">
        <x:v>Late delivery</x:v>
      </x:c>
      <x:c r="G6178" s="6" t="n">
        <x:v>6</x:v>
      </x:c>
      <x:c r="H6178" s="6" t="n">
        <x:v>2</x:v>
      </x:c>
      <x:c r="I6178" s="6" t="n">
        <x:f>G6178-H6178</x:f>
        <x:v>4</x:v>
      </x:c>
      <x:c r="J6178" s="6" t="n">
        <x:f>IF(OR(E6178="CANCELED",E6178="SUSPECTED_FRAUD",F6178="Shipping canceled"),0,1)</x:f>
        <x:v>1</x:v>
      </x:c>
      <x:c r="K6178" s="6" t="n">
        <x:f>IF(G6178&gt;H6178,1,0)</x:f>
        <x:v>1</x:v>
      </x:c>
      <x:c r="L6178" s="6" t="n">
        <x:f>J6178*K6178</x:f>
        <x:v>1</x:v>
      </x:c>
    </x:row>
    <x:row r="6179">
      <x:c r="A6179" s="1" t="n">
        <x:v>48362</x:v>
      </x:c>
      <x:c r="B6179" s="5" t="d">
        <x:v>2016-12-06T00:00:00.000Z</x:v>
      </x:c>
      <x:c r="C6179" s="1" t="str">
        <x:v>Second Class</x:v>
      </x:c>
      <x:c r="D6179" s="1" t="str">
        <x:v>Africa</x:v>
      </x:c>
      <x:c r="E6179" s="1" t="str">
        <x:v>COMPLETE</x:v>
      </x:c>
      <x:c r="F6179" s="1" t="str">
        <x:v>Late delivery</x:v>
      </x:c>
      <x:c r="G6179" s="6" t="n">
        <x:v>3</x:v>
      </x:c>
      <x:c r="H6179" s="6" t="n">
        <x:v>2</x:v>
      </x:c>
      <x:c r="I6179" s="6" t="n">
        <x:f>G6179-H6179</x:f>
        <x:v>1</x:v>
      </x:c>
      <x:c r="J6179" s="6" t="n">
        <x:f>IF(OR(E6179="CANCELED",E6179="SUSPECTED_FRAUD",F6179="Shipping canceled"),0,1)</x:f>
        <x:v>1</x:v>
      </x:c>
      <x:c r="K6179" s="6" t="n">
        <x:f>IF(G6179&gt;H6179,1,0)</x:f>
        <x:v>1</x:v>
      </x:c>
      <x:c r="L6179" s="6" t="n">
        <x:f>J6179*K6179</x:f>
        <x:v>1</x:v>
      </x:c>
    </x:row>
    <x:row r="6180">
      <x:c r="A6180" s="1" t="n">
        <x:v>48363</x:v>
      </x:c>
      <x:c r="B6180" s="5" t="d">
        <x:v>2016-12-06T00:00:00.000Z</x:v>
      </x:c>
      <x:c r="C6180" s="1" t="str">
        <x:v>Second Class</x:v>
      </x:c>
      <x:c r="D6180" s="1" t="str">
        <x:v>Europe</x:v>
      </x:c>
      <x:c r="E6180" s="1" t="str">
        <x:v>COMPLETE</x:v>
      </x:c>
      <x:c r="F6180" s="1" t="str">
        <x:v>Late delivery</x:v>
      </x:c>
      <x:c r="G6180" s="6" t="n">
        <x:v>4</x:v>
      </x:c>
      <x:c r="H6180" s="6" t="n">
        <x:v>2</x:v>
      </x:c>
      <x:c r="I6180" s="6" t="n">
        <x:f>G6180-H6180</x:f>
        <x:v>2</x:v>
      </x:c>
      <x:c r="J6180" s="6" t="n">
        <x:f>IF(OR(E6180="CANCELED",E6180="SUSPECTED_FRAUD",F6180="Shipping canceled"),0,1)</x:f>
        <x:v>1</x:v>
      </x:c>
      <x:c r="K6180" s="6" t="n">
        <x:f>IF(G6180&gt;H6180,1,0)</x:f>
        <x:v>1</x:v>
      </x:c>
      <x:c r="L6180" s="6" t="n">
        <x:f>J6180*K6180</x:f>
        <x:v>1</x:v>
      </x:c>
    </x:row>
    <x:row r="6181">
      <x:c r="A6181" s="1" t="n">
        <x:v>48365</x:v>
      </x:c>
      <x:c r="B6181" s="5" t="d">
        <x:v>2016-12-07T00:00:00.000Z</x:v>
      </x:c>
      <x:c r="C6181" s="1" t="str">
        <x:v>Second Class</x:v>
      </x:c>
      <x:c r="D6181" s="1" t="str">
        <x:v>Africa</x:v>
      </x:c>
      <x:c r="E6181" s="1" t="str">
        <x:v>CLOSED</x:v>
      </x:c>
      <x:c r="F6181" s="1" t="str">
        <x:v>Late delivery</x:v>
      </x:c>
      <x:c r="G6181" s="6" t="n">
        <x:v>6</x:v>
      </x:c>
      <x:c r="H6181" s="6" t="n">
        <x:v>2</x:v>
      </x:c>
      <x:c r="I6181" s="6" t="n">
        <x:f>G6181-H6181</x:f>
        <x:v>4</x:v>
      </x:c>
      <x:c r="J6181" s="6" t="n">
        <x:f>IF(OR(E6181="CANCELED",E6181="SUSPECTED_FRAUD",F6181="Shipping canceled"),0,1)</x:f>
        <x:v>1</x:v>
      </x:c>
      <x:c r="K6181" s="6" t="n">
        <x:f>IF(G6181&gt;H6181,1,0)</x:f>
        <x:v>1</x:v>
      </x:c>
      <x:c r="L6181" s="6" t="n">
        <x:f>J6181*K6181</x:f>
        <x:v>1</x:v>
      </x:c>
    </x:row>
    <x:row r="6182">
      <x:c r="A6182" s="1" t="n">
        <x:v>48367</x:v>
      </x:c>
      <x:c r="B6182" s="5" t="d">
        <x:v>2016-12-07T00:00:00.000Z</x:v>
      </x:c>
      <x:c r="C6182" s="1" t="str">
        <x:v>Standard Class</x:v>
      </x:c>
      <x:c r="D6182" s="1" t="str">
        <x:v>Africa</x:v>
      </x:c>
      <x:c r="E6182" s="1" t="str">
        <x:v>COMPLETE</x:v>
      </x:c>
      <x:c r="F6182" s="1" t="str">
        <x:v>Advance shipping</x:v>
      </x:c>
      <x:c r="G6182" s="6" t="n">
        <x:v>3</x:v>
      </x:c>
      <x:c r="H6182" s="6" t="n">
        <x:v>4</x:v>
      </x:c>
      <x:c r="I6182" s="6" t="n">
        <x:f>G6182-H6182</x:f>
        <x:v>-1</x:v>
      </x:c>
      <x:c r="J6182" s="6" t="n">
        <x:f>IF(OR(E6182="CANCELED",E6182="SUSPECTED_FRAUD",F6182="Shipping canceled"),0,1)</x:f>
        <x:v>1</x:v>
      </x:c>
      <x:c r="K6182" s="6" t="n">
        <x:f>IF(G6182&gt;H6182,1,0)</x:f>
        <x:v>0</x:v>
      </x:c>
      <x:c r="L6182" s="6" t="n">
        <x:f>J6182*K6182</x:f>
        <x:v>0</x:v>
      </x:c>
    </x:row>
    <x:row r="6183">
      <x:c r="A6183" s="1" t="n">
        <x:v>48374</x:v>
      </x:c>
      <x:c r="B6183" s="5" t="d">
        <x:v>2016-12-07T00:00:00.000Z</x:v>
      </x:c>
      <x:c r="C6183" s="1" t="str">
        <x:v>Second Class</x:v>
      </x:c>
      <x:c r="D6183" s="1" t="str">
        <x:v>Africa</x:v>
      </x:c>
      <x:c r="E6183" s="1" t="str">
        <x:v>PENDING_PAYMENT</x:v>
      </x:c>
      <x:c r="F6183" s="1" t="str">
        <x:v>Late delivery</x:v>
      </x:c>
      <x:c r="G6183" s="6" t="n">
        <x:v>5</x:v>
      </x:c>
      <x:c r="H6183" s="6" t="n">
        <x:v>2</x:v>
      </x:c>
      <x:c r="I6183" s="6" t="n">
        <x:f>G6183-H6183</x:f>
        <x:v>3</x:v>
      </x:c>
      <x:c r="J6183" s="6" t="n">
        <x:f>IF(OR(E6183="CANCELED",E6183="SUSPECTED_FRAUD",F6183="Shipping canceled"),0,1)</x:f>
        <x:v>1</x:v>
      </x:c>
      <x:c r="K6183" s="6" t="n">
        <x:f>IF(G6183&gt;H6183,1,0)</x:f>
        <x:v>1</x:v>
      </x:c>
      <x:c r="L6183" s="6" t="n">
        <x:f>J6183*K6183</x:f>
        <x:v>1</x:v>
      </x:c>
    </x:row>
    <x:row r="6184">
      <x:c r="A6184" s="1" t="n">
        <x:v>48375</x:v>
      </x:c>
      <x:c r="B6184" s="5" t="d">
        <x:v>2016-12-07T00:00:00.000Z</x:v>
      </x:c>
      <x:c r="C6184" s="1" t="str">
        <x:v>Standard Class</x:v>
      </x:c>
      <x:c r="D6184" s="1" t="str">
        <x:v>Pacific Asia</x:v>
      </x:c>
      <x:c r="E6184" s="1" t="str">
        <x:v>PENDING_PAYMENT</x:v>
      </x:c>
      <x:c r="F6184" s="1" t="str">
        <x:v>Late delivery</x:v>
      </x:c>
      <x:c r="G6184" s="6" t="n">
        <x:v>6</x:v>
      </x:c>
      <x:c r="H6184" s="6" t="n">
        <x:v>4</x:v>
      </x:c>
      <x:c r="I6184" s="6" t="n">
        <x:f>G6184-H6184</x:f>
        <x:v>2</x:v>
      </x:c>
      <x:c r="J6184" s="6" t="n">
        <x:f>IF(OR(E6184="CANCELED",E6184="SUSPECTED_FRAUD",F6184="Shipping canceled"),0,1)</x:f>
        <x:v>1</x:v>
      </x:c>
      <x:c r="K6184" s="6" t="n">
        <x:f>IF(G6184&gt;H6184,1,0)</x:f>
        <x:v>1</x:v>
      </x:c>
      <x:c r="L6184" s="6" t="n">
        <x:f>J6184*K6184</x:f>
        <x:v>1</x:v>
      </x:c>
    </x:row>
    <x:row r="6185">
      <x:c r="A6185" s="1" t="n">
        <x:v>48430</x:v>
      </x:c>
      <x:c r="B6185" s="5" t="d">
        <x:v>2016-12-07T00:00:00.000Z</x:v>
      </x:c>
      <x:c r="C6185" s="1" t="str">
        <x:v>Standard Class</x:v>
      </x:c>
      <x:c r="D6185" s="1" t="str">
        <x:v>Europe</x:v>
      </x:c>
      <x:c r="E6185" s="1" t="str">
        <x:v>COMPLETE</x:v>
      </x:c>
      <x:c r="F6185" s="1" t="str">
        <x:v>Late delivery</x:v>
      </x:c>
      <x:c r="G6185" s="6" t="n">
        <x:v>6</x:v>
      </x:c>
      <x:c r="H6185" s="6" t="n">
        <x:v>4</x:v>
      </x:c>
      <x:c r="I6185" s="6" t="n">
        <x:f>G6185-H6185</x:f>
        <x:v>2</x:v>
      </x:c>
      <x:c r="J6185" s="6" t="n">
        <x:f>IF(OR(E6185="CANCELED",E6185="SUSPECTED_FRAUD",F6185="Shipping canceled"),0,1)</x:f>
        <x:v>1</x:v>
      </x:c>
      <x:c r="K6185" s="6" t="n">
        <x:f>IF(G6185&gt;H6185,1,0)</x:f>
        <x:v>1</x:v>
      </x:c>
      <x:c r="L6185" s="6" t="n">
        <x:f>J6185*K6185</x:f>
        <x:v>1</x:v>
      </x:c>
    </x:row>
    <x:row r="6186">
      <x:c r="A6186" s="1" t="n">
        <x:v>48434</x:v>
      </x:c>
      <x:c r="B6186" s="5" t="d">
        <x:v>2016-12-08T00:00:00.000Z</x:v>
      </x:c>
      <x:c r="C6186" s="1" t="str">
        <x:v>Second Class</x:v>
      </x:c>
      <x:c r="D6186" s="1" t="str">
        <x:v>Africa</x:v>
      </x:c>
      <x:c r="E6186" s="1" t="str">
        <x:v>PENDING_PAYMENT</x:v>
      </x:c>
      <x:c r="F6186" s="1" t="str">
        <x:v>Late delivery</x:v>
      </x:c>
      <x:c r="G6186" s="6" t="n">
        <x:v>5</x:v>
      </x:c>
      <x:c r="H6186" s="6" t="n">
        <x:v>2</x:v>
      </x:c>
      <x:c r="I6186" s="6" t="n">
        <x:f>G6186-H6186</x:f>
        <x:v>3</x:v>
      </x:c>
      <x:c r="J6186" s="6" t="n">
        <x:f>IF(OR(E6186="CANCELED",E6186="SUSPECTED_FRAUD",F6186="Shipping canceled"),0,1)</x:f>
        <x:v>1</x:v>
      </x:c>
      <x:c r="K6186" s="6" t="n">
        <x:f>IF(G6186&gt;H6186,1,0)</x:f>
        <x:v>1</x:v>
      </x:c>
      <x:c r="L6186" s="6" t="n">
        <x:f>J6186*K6186</x:f>
        <x:v>1</x:v>
      </x:c>
    </x:row>
    <x:row r="6187">
      <x:c r="A6187" s="1" t="n">
        <x:v>48450</x:v>
      </x:c>
      <x:c r="B6187" s="5" t="d">
        <x:v>2016-12-08T00:00:00.000Z</x:v>
      </x:c>
      <x:c r="C6187" s="1" t="str">
        <x:v>Standard Class</x:v>
      </x:c>
      <x:c r="D6187" s="1" t="str">
        <x:v>Pacific Asia</x:v>
      </x:c>
      <x:c r="E6187" s="1" t="str">
        <x:v>COMPLETE</x:v>
      </x:c>
      <x:c r="F6187" s="1" t="str">
        <x:v>Late delivery</x:v>
      </x:c>
      <x:c r="G6187" s="6" t="n">
        <x:v>6</x:v>
      </x:c>
      <x:c r="H6187" s="6" t="n">
        <x:v>4</x:v>
      </x:c>
      <x:c r="I6187" s="6" t="n">
        <x:f>G6187-H6187</x:f>
        <x:v>2</x:v>
      </x:c>
      <x:c r="J6187" s="6" t="n">
        <x:f>IF(OR(E6187="CANCELED",E6187="SUSPECTED_FRAUD",F6187="Shipping canceled"),0,1)</x:f>
        <x:v>1</x:v>
      </x:c>
      <x:c r="K6187" s="6" t="n">
        <x:f>IF(G6187&gt;H6187,1,0)</x:f>
        <x:v>1</x:v>
      </x:c>
      <x:c r="L6187" s="6" t="n">
        <x:f>J6187*K6187</x:f>
        <x:v>1</x:v>
      </x:c>
    </x:row>
    <x:row r="6188">
      <x:c r="A6188" s="1" t="n">
        <x:v>48453</x:v>
      </x:c>
      <x:c r="B6188" s="5" t="d">
        <x:v>2016-12-08T00:00:00.000Z</x:v>
      </x:c>
      <x:c r="C6188" s="1" t="str">
        <x:v>Standard Class</x:v>
      </x:c>
      <x:c r="D6188" s="1" t="str">
        <x:v>Pacific Asia</x:v>
      </x:c>
      <x:c r="E6188" s="1" t="str">
        <x:v>PENDING_PAYMENT</x:v>
      </x:c>
      <x:c r="F6188" s="1" t="str">
        <x:v>Shipping on time</x:v>
      </x:c>
      <x:c r="G6188" s="6" t="n">
        <x:v>4</x:v>
      </x:c>
      <x:c r="H6188" s="6" t="n">
        <x:v>4</x:v>
      </x:c>
      <x:c r="I6188" s="6" t="n">
        <x:f>G6188-H6188</x:f>
        <x:v>0</x:v>
      </x:c>
      <x:c r="J6188" s="6" t="n">
        <x:f>IF(OR(E6188="CANCELED",E6188="SUSPECTED_FRAUD",F6188="Shipping canceled"),0,1)</x:f>
        <x:v>1</x:v>
      </x:c>
      <x:c r="K6188" s="6" t="n">
        <x:f>IF(G6188&gt;H6188,1,0)</x:f>
        <x:v>0</x:v>
      </x:c>
      <x:c r="L6188" s="6" t="n">
        <x:f>J6188*K6188</x:f>
        <x:v>0</x:v>
      </x:c>
    </x:row>
    <x:row r="6189">
      <x:c r="A6189" s="1" t="n">
        <x:v>48465</x:v>
      </x:c>
      <x:c r="B6189" s="5" t="d">
        <x:v>2016-12-08T00:00:00.000Z</x:v>
      </x:c>
      <x:c r="C6189" s="1" t="str">
        <x:v>Second Class</x:v>
      </x:c>
      <x:c r="D6189" s="1" t="str">
        <x:v>Pacific Asia</x:v>
      </x:c>
      <x:c r="E6189" s="1" t="str">
        <x:v>PROCESSING</x:v>
      </x:c>
      <x:c r="F6189" s="1" t="str">
        <x:v>Late delivery</x:v>
      </x:c>
      <x:c r="G6189" s="6" t="n">
        <x:v>6</x:v>
      </x:c>
      <x:c r="H6189" s="6" t="n">
        <x:v>2</x:v>
      </x:c>
      <x:c r="I6189" s="6" t="n">
        <x:f>G6189-H6189</x:f>
        <x:v>4</x:v>
      </x:c>
      <x:c r="J6189" s="6" t="n">
        <x:f>IF(OR(E6189="CANCELED",E6189="SUSPECTED_FRAUD",F6189="Shipping canceled"),0,1)</x:f>
        <x:v>1</x:v>
      </x:c>
      <x:c r="K6189" s="6" t="n">
        <x:f>IF(G6189&gt;H6189,1,0)</x:f>
        <x:v>1</x:v>
      </x:c>
      <x:c r="L6189" s="6" t="n">
        <x:f>J6189*K6189</x:f>
        <x:v>1</x:v>
      </x:c>
    </x:row>
    <x:row r="6190">
      <x:c r="A6190" s="1" t="n">
        <x:v>48468</x:v>
      </x:c>
      <x:c r="B6190" s="5" t="d">
        <x:v>2016-12-08T00:00:00.000Z</x:v>
      </x:c>
      <x:c r="C6190" s="1" t="str">
        <x:v>Standard Class</x:v>
      </x:c>
      <x:c r="D6190" s="1" t="str">
        <x:v>Africa</x:v>
      </x:c>
      <x:c r="E6190" s="1" t="str">
        <x:v>PENDING</x:v>
      </x:c>
      <x:c r="F6190" s="1" t="str">
        <x:v>Shipping on time</x:v>
      </x:c>
      <x:c r="G6190" s="6" t="n">
        <x:v>4</x:v>
      </x:c>
      <x:c r="H6190" s="6" t="n">
        <x:v>4</x:v>
      </x:c>
      <x:c r="I6190" s="6" t="n">
        <x:f>G6190-H6190</x:f>
        <x:v>0</x:v>
      </x:c>
      <x:c r="J6190" s="6" t="n">
        <x:f>IF(OR(E6190="CANCELED",E6190="SUSPECTED_FRAUD",F6190="Shipping canceled"),0,1)</x:f>
        <x:v>1</x:v>
      </x:c>
      <x:c r="K6190" s="6" t="n">
        <x:f>IF(G6190&gt;H6190,1,0)</x:f>
        <x:v>0</x:v>
      </x:c>
      <x:c r="L6190" s="6" t="n">
        <x:f>J6190*K6190</x:f>
        <x:v>0</x:v>
      </x:c>
    </x:row>
    <x:row r="6191">
      <x:c r="A6191" s="1" t="n">
        <x:v>48473</x:v>
      </x:c>
      <x:c r="B6191" s="5" t="d">
        <x:v>2016-12-08T00:00:00.000Z</x:v>
      </x:c>
      <x:c r="C6191" s="1" t="str">
        <x:v>Standard Class</x:v>
      </x:c>
      <x:c r="D6191" s="1" t="str">
        <x:v>Europe</x:v>
      </x:c>
      <x:c r="E6191" s="1" t="str">
        <x:v>PROCESSING</x:v>
      </x:c>
      <x:c r="F6191" s="1" t="str">
        <x:v>Shipping on time</x:v>
      </x:c>
      <x:c r="G6191" s="6" t="n">
        <x:v>4</x:v>
      </x:c>
      <x:c r="H6191" s="6" t="n">
        <x:v>4</x:v>
      </x:c>
      <x:c r="I6191" s="6" t="n">
        <x:f>G6191-H6191</x:f>
        <x:v>0</x:v>
      </x:c>
      <x:c r="J6191" s="6" t="n">
        <x:f>IF(OR(E6191="CANCELED",E6191="SUSPECTED_FRAUD",F6191="Shipping canceled"),0,1)</x:f>
        <x:v>1</x:v>
      </x:c>
      <x:c r="K6191" s="6" t="n">
        <x:f>IF(G6191&gt;H6191,1,0)</x:f>
        <x:v>0</x:v>
      </x:c>
      <x:c r="L6191" s="6" t="n">
        <x:f>J6191*K6191</x:f>
        <x:v>0</x:v>
      </x:c>
    </x:row>
    <x:row r="6192">
      <x:c r="A6192" s="1" t="n">
        <x:v>48478</x:v>
      </x:c>
      <x:c r="B6192" s="5" t="d">
        <x:v>2016-12-08T00:00:00.000Z</x:v>
      </x:c>
      <x:c r="C6192" s="1" t="str">
        <x:v>Standard Class</x:v>
      </x:c>
      <x:c r="D6192" s="1" t="str">
        <x:v>Africa</x:v>
      </x:c>
      <x:c r="E6192" s="1" t="str">
        <x:v>COMPLETE</x:v>
      </x:c>
      <x:c r="F6192" s="1" t="str">
        <x:v>Shipping on time</x:v>
      </x:c>
      <x:c r="G6192" s="6" t="n">
        <x:v>4</x:v>
      </x:c>
      <x:c r="H6192" s="6" t="n">
        <x:v>4</x:v>
      </x:c>
      <x:c r="I6192" s="6" t="n">
        <x:f>G6192-H6192</x:f>
        <x:v>0</x:v>
      </x:c>
      <x:c r="J6192" s="6" t="n">
        <x:f>IF(OR(E6192="CANCELED",E6192="SUSPECTED_FRAUD",F6192="Shipping canceled"),0,1)</x:f>
        <x:v>1</x:v>
      </x:c>
      <x:c r="K6192" s="6" t="n">
        <x:f>IF(G6192&gt;H6192,1,0)</x:f>
        <x:v>0</x:v>
      </x:c>
      <x:c r="L6192" s="6" t="n">
        <x:f>J6192*K6192</x:f>
        <x:v>0</x:v>
      </x:c>
    </x:row>
    <x:row r="6193">
      <x:c r="A6193" s="1" t="n">
        <x:v>48482</x:v>
      </x:c>
      <x:c r="B6193" s="5" t="d">
        <x:v>2016-12-08T00:00:00.000Z</x:v>
      </x:c>
      <x:c r="C6193" s="1" t="str">
        <x:v>Standard Class</x:v>
      </x:c>
      <x:c r="D6193" s="1" t="str">
        <x:v>Europe</x:v>
      </x:c>
      <x:c r="E6193" s="1" t="str">
        <x:v>PROCESSING</x:v>
      </x:c>
      <x:c r="F6193" s="1" t="str">
        <x:v>Advance shipping</x:v>
      </x:c>
      <x:c r="G6193" s="6" t="n">
        <x:v>3</x:v>
      </x:c>
      <x:c r="H6193" s="6" t="n">
        <x:v>4</x:v>
      </x:c>
      <x:c r="I6193" s="6" t="n">
        <x:f>G6193-H6193</x:f>
        <x:v>-1</x:v>
      </x:c>
      <x:c r="J6193" s="6" t="n">
        <x:f>IF(OR(E6193="CANCELED",E6193="SUSPECTED_FRAUD",F6193="Shipping canceled"),0,1)</x:f>
        <x:v>1</x:v>
      </x:c>
      <x:c r="K6193" s="6" t="n">
        <x:f>IF(G6193&gt;H6193,1,0)</x:f>
        <x:v>0</x:v>
      </x:c>
      <x:c r="L6193" s="6" t="n">
        <x:f>J6193*K6193</x:f>
        <x:v>0</x:v>
      </x:c>
    </x:row>
    <x:row r="6194">
      <x:c r="A6194" s="1" t="n">
        <x:v>48483</x:v>
      </x:c>
      <x:c r="B6194" s="5" t="d">
        <x:v>2016-12-08T00:00:00.000Z</x:v>
      </x:c>
      <x:c r="C6194" s="1" t="str">
        <x:v>Second Class</x:v>
      </x:c>
      <x:c r="D6194" s="1" t="str">
        <x:v>Europe</x:v>
      </x:c>
      <x:c r="E6194" s="1" t="str">
        <x:v>COMPLETE</x:v>
      </x:c>
      <x:c r="F6194" s="1" t="str">
        <x:v>Late delivery</x:v>
      </x:c>
      <x:c r="G6194" s="6" t="n">
        <x:v>4</x:v>
      </x:c>
      <x:c r="H6194" s="6" t="n">
        <x:v>2</x:v>
      </x:c>
      <x:c r="I6194" s="6" t="n">
        <x:f>G6194-H6194</x:f>
        <x:v>2</x:v>
      </x:c>
      <x:c r="J6194" s="6" t="n">
        <x:f>IF(OR(E6194="CANCELED",E6194="SUSPECTED_FRAUD",F6194="Shipping canceled"),0,1)</x:f>
        <x:v>1</x:v>
      </x:c>
      <x:c r="K6194" s="6" t="n">
        <x:f>IF(G6194&gt;H6194,1,0)</x:f>
        <x:v>1</x:v>
      </x:c>
      <x:c r="L6194" s="6" t="n">
        <x:f>J6194*K6194</x:f>
        <x:v>1</x:v>
      </x:c>
    </x:row>
    <x:row r="6195">
      <x:c r="A6195" s="1" t="n">
        <x:v>48518</x:v>
      </x:c>
      <x:c r="B6195" s="5" t="d">
        <x:v>2016-12-09T00:00:00.000Z</x:v>
      </x:c>
      <x:c r="C6195" s="1" t="str">
        <x:v>Second Class</x:v>
      </x:c>
      <x:c r="D6195" s="1" t="str">
        <x:v>Africa</x:v>
      </x:c>
      <x:c r="E6195" s="1" t="str">
        <x:v>COMPLETE</x:v>
      </x:c>
      <x:c r="F6195" s="1" t="str">
        <x:v>Late delivery</x:v>
      </x:c>
      <x:c r="G6195" s="6" t="n">
        <x:v>4</x:v>
      </x:c>
      <x:c r="H6195" s="6" t="n">
        <x:v>2</x:v>
      </x:c>
      <x:c r="I6195" s="6" t="n">
        <x:f>G6195-H6195</x:f>
        <x:v>2</x:v>
      </x:c>
      <x:c r="J6195" s="6" t="n">
        <x:f>IF(OR(E6195="CANCELED",E6195="SUSPECTED_FRAUD",F6195="Shipping canceled"),0,1)</x:f>
        <x:v>1</x:v>
      </x:c>
      <x:c r="K6195" s="6" t="n">
        <x:f>IF(G6195&gt;H6195,1,0)</x:f>
        <x:v>1</x:v>
      </x:c>
      <x:c r="L6195" s="6" t="n">
        <x:f>J6195*K6195</x:f>
        <x:v>1</x:v>
      </x:c>
    </x:row>
    <x:row r="6196">
      <x:c r="A6196" s="1" t="n">
        <x:v>48521</x:v>
      </x:c>
      <x:c r="B6196" s="5" t="d">
        <x:v>2016-12-09T00:00:00.000Z</x:v>
      </x:c>
      <x:c r="C6196" s="1" t="str">
        <x:v>First Class</x:v>
      </x:c>
      <x:c r="D6196" s="1" t="str">
        <x:v>Europe</x:v>
      </x:c>
      <x:c r="E6196" s="1" t="str">
        <x:v>CLOSED</x:v>
      </x:c>
      <x:c r="F6196" s="1" t="str">
        <x:v>Late delivery</x:v>
      </x:c>
      <x:c r="G6196" s="6" t="n">
        <x:v>2</x:v>
      </x:c>
      <x:c r="H6196" s="6" t="n">
        <x:v>1</x:v>
      </x:c>
      <x:c r="I6196" s="6" t="n">
        <x:f>G6196-H6196</x:f>
        <x:v>1</x:v>
      </x:c>
      <x:c r="J6196" s="6" t="n">
        <x:f>IF(OR(E6196="CANCELED",E6196="SUSPECTED_FRAUD",F6196="Shipping canceled"),0,1)</x:f>
        <x:v>1</x:v>
      </x:c>
      <x:c r="K6196" s="6" t="n">
        <x:f>IF(G6196&gt;H6196,1,0)</x:f>
        <x:v>1</x:v>
      </x:c>
      <x:c r="L6196" s="6" t="n">
        <x:f>J6196*K6196</x:f>
        <x:v>1</x:v>
      </x:c>
    </x:row>
    <x:row r="6197">
      <x:c r="A6197" s="1" t="n">
        <x:v>48525</x:v>
      </x:c>
      <x:c r="B6197" s="5" t="d">
        <x:v>2016-12-09T00:00:00.000Z</x:v>
      </x:c>
      <x:c r="C6197" s="1" t="str">
        <x:v>Standard Class</x:v>
      </x:c>
      <x:c r="D6197" s="1" t="str">
        <x:v>Africa</x:v>
      </x:c>
      <x:c r="E6197" s="1" t="str">
        <x:v>PENDING</x:v>
      </x:c>
      <x:c r="F6197" s="1" t="str">
        <x:v>Late delivery</x:v>
      </x:c>
      <x:c r="G6197" s="6" t="n">
        <x:v>6</x:v>
      </x:c>
      <x:c r="H6197" s="6" t="n">
        <x:v>4</x:v>
      </x:c>
      <x:c r="I6197" s="6" t="n">
        <x:f>G6197-H6197</x:f>
        <x:v>2</x:v>
      </x:c>
      <x:c r="J6197" s="6" t="n">
        <x:f>IF(OR(E6197="CANCELED",E6197="SUSPECTED_FRAUD",F6197="Shipping canceled"),0,1)</x:f>
        <x:v>1</x:v>
      </x:c>
      <x:c r="K6197" s="6" t="n">
        <x:f>IF(G6197&gt;H6197,1,0)</x:f>
        <x:v>1</x:v>
      </x:c>
      <x:c r="L6197" s="6" t="n">
        <x:f>J6197*K6197</x:f>
        <x:v>1</x:v>
      </x:c>
    </x:row>
    <x:row r="6198">
      <x:c r="A6198" s="1" t="n">
        <x:v>48539</x:v>
      </x:c>
      <x:c r="B6198" s="5" t="d">
        <x:v>2016-12-09T00:00:00.000Z</x:v>
      </x:c>
      <x:c r="C6198" s="1" t="str">
        <x:v>Standard Class</x:v>
      </x:c>
      <x:c r="D6198" s="1" t="str">
        <x:v>Pacific Asia</x:v>
      </x:c>
      <x:c r="E6198" s="1" t="str">
        <x:v>COMPLETE</x:v>
      </x:c>
      <x:c r="F6198" s="1" t="str">
        <x:v>Late delivery</x:v>
      </x:c>
      <x:c r="G6198" s="6" t="n">
        <x:v>5</x:v>
      </x:c>
      <x:c r="H6198" s="6" t="n">
        <x:v>4</x:v>
      </x:c>
      <x:c r="I6198" s="6" t="n">
        <x:f>G6198-H6198</x:f>
        <x:v>1</x:v>
      </x:c>
      <x:c r="J6198" s="6" t="n">
        <x:f>IF(OR(E6198="CANCELED",E6198="SUSPECTED_FRAUD",F6198="Shipping canceled"),0,1)</x:f>
        <x:v>1</x:v>
      </x:c>
      <x:c r="K6198" s="6" t="n">
        <x:f>IF(G6198&gt;H6198,1,0)</x:f>
        <x:v>1</x:v>
      </x:c>
      <x:c r="L6198" s="6" t="n">
        <x:f>J6198*K6198</x:f>
        <x:v>1</x:v>
      </x:c>
    </x:row>
    <x:row r="6199">
      <x:c r="A6199" s="1" t="n">
        <x:v>48551</x:v>
      </x:c>
      <x:c r="B6199" s="5" t="d">
        <x:v>2016-12-09T00:00:00.000Z</x:v>
      </x:c>
      <x:c r="C6199" s="1" t="str">
        <x:v>Standard Class</x:v>
      </x:c>
      <x:c r="D6199" s="1" t="str">
        <x:v>Europe</x:v>
      </x:c>
      <x:c r="E6199" s="1" t="str">
        <x:v>COMPLETE</x:v>
      </x:c>
      <x:c r="F6199" s="1" t="str">
        <x:v>Advance shipping</x:v>
      </x:c>
      <x:c r="G6199" s="6" t="n">
        <x:v>2</x:v>
      </x:c>
      <x:c r="H6199" s="6" t="n">
        <x:v>4</x:v>
      </x:c>
      <x:c r="I6199" s="6" t="n">
        <x:f>G6199-H6199</x:f>
        <x:v>-2</x:v>
      </x:c>
      <x:c r="J6199" s="6" t="n">
        <x:f>IF(OR(E6199="CANCELED",E6199="SUSPECTED_FRAUD",F6199="Shipping canceled"),0,1)</x:f>
        <x:v>1</x:v>
      </x:c>
      <x:c r="K6199" s="6" t="n">
        <x:f>IF(G6199&gt;H6199,1,0)</x:f>
        <x:v>0</x:v>
      </x:c>
      <x:c r="L6199" s="6" t="n">
        <x:f>J6199*K6199</x:f>
        <x:v>0</x:v>
      </x:c>
    </x:row>
    <x:row r="6200">
      <x:c r="A6200" s="1" t="n">
        <x:v>48565</x:v>
      </x:c>
      <x:c r="B6200" s="5" t="d">
        <x:v>2016-12-09T00:00:00.000Z</x:v>
      </x:c>
      <x:c r="C6200" s="1" t="str">
        <x:v>Standard Class</x:v>
      </x:c>
      <x:c r="D6200" s="1" t="str">
        <x:v>Africa</x:v>
      </x:c>
      <x:c r="E6200" s="1" t="str">
        <x:v>COMPLETE</x:v>
      </x:c>
      <x:c r="F6200" s="1" t="str">
        <x:v>Late delivery</x:v>
      </x:c>
      <x:c r="G6200" s="6" t="n">
        <x:v>6</x:v>
      </x:c>
      <x:c r="H6200" s="6" t="n">
        <x:v>4</x:v>
      </x:c>
      <x:c r="I6200" s="6" t="n">
        <x:f>G6200-H6200</x:f>
        <x:v>2</x:v>
      </x:c>
      <x:c r="J6200" s="6" t="n">
        <x:f>IF(OR(E6200="CANCELED",E6200="SUSPECTED_FRAUD",F6200="Shipping canceled"),0,1)</x:f>
        <x:v>1</x:v>
      </x:c>
      <x:c r="K6200" s="6" t="n">
        <x:f>IF(G6200&gt;H6200,1,0)</x:f>
        <x:v>1</x:v>
      </x:c>
      <x:c r="L6200" s="6" t="n">
        <x:f>J6200*K6200</x:f>
        <x:v>1</x:v>
      </x:c>
    </x:row>
    <x:row r="6201">
      <x:c r="A6201" s="1" t="n">
        <x:v>48578</x:v>
      </x:c>
      <x:c r="B6201" s="5" t="d">
        <x:v>2016-12-10T00:00:00.000Z</x:v>
      </x:c>
      <x:c r="C6201" s="1" t="str">
        <x:v>First Class</x:v>
      </x:c>
      <x:c r="D6201" s="1" t="str">
        <x:v>Africa</x:v>
      </x:c>
      <x:c r="E6201" s="1" t="str">
        <x:v>PENDING</x:v>
      </x:c>
      <x:c r="F6201" s="1" t="str">
        <x:v>Late delivery</x:v>
      </x:c>
      <x:c r="G6201" s="6" t="n">
        <x:v>2</x:v>
      </x:c>
      <x:c r="H6201" s="6" t="n">
        <x:v>1</x:v>
      </x:c>
      <x:c r="I6201" s="6" t="n">
        <x:f>G6201-H6201</x:f>
        <x:v>1</x:v>
      </x:c>
      <x:c r="J6201" s="6" t="n">
        <x:f>IF(OR(E6201="CANCELED",E6201="SUSPECTED_FRAUD",F6201="Shipping canceled"),0,1)</x:f>
        <x:v>1</x:v>
      </x:c>
      <x:c r="K6201" s="6" t="n">
        <x:f>IF(G6201&gt;H6201,1,0)</x:f>
        <x:v>1</x:v>
      </x:c>
      <x:c r="L6201" s="6" t="n">
        <x:f>J6201*K6201</x:f>
        <x:v>1</x:v>
      </x:c>
    </x:row>
    <x:row r="6202">
      <x:c r="A6202" s="1" t="n">
        <x:v>48593</x:v>
      </x:c>
      <x:c r="B6202" s="5" t="d">
        <x:v>2016-12-10T00:00:00.000Z</x:v>
      </x:c>
      <x:c r="C6202" s="1" t="str">
        <x:v>Standard Class</x:v>
      </x:c>
      <x:c r="D6202" s="1" t="str">
        <x:v>Europe</x:v>
      </x:c>
      <x:c r="E6202" s="1" t="str">
        <x:v>COMPLETE</x:v>
      </x:c>
      <x:c r="F6202" s="1" t="str">
        <x:v>Shipping on time</x:v>
      </x:c>
      <x:c r="G6202" s="6" t="n">
        <x:v>4</x:v>
      </x:c>
      <x:c r="H6202" s="6" t="n">
        <x:v>4</x:v>
      </x:c>
      <x:c r="I6202" s="6" t="n">
        <x:f>G6202-H6202</x:f>
        <x:v>0</x:v>
      </x:c>
      <x:c r="J6202" s="6" t="n">
        <x:f>IF(OR(E6202="CANCELED",E6202="SUSPECTED_FRAUD",F6202="Shipping canceled"),0,1)</x:f>
        <x:v>1</x:v>
      </x:c>
      <x:c r="K6202" s="6" t="n">
        <x:f>IF(G6202&gt;H6202,1,0)</x:f>
        <x:v>0</x:v>
      </x:c>
      <x:c r="L6202" s="6" t="n">
        <x:f>J6202*K6202</x:f>
        <x:v>0</x:v>
      </x:c>
    </x:row>
    <x:row r="6203">
      <x:c r="A6203" s="1" t="n">
        <x:v>48595</x:v>
      </x:c>
      <x:c r="B6203" s="5" t="d">
        <x:v>2016-12-10T00:00:00.000Z</x:v>
      </x:c>
      <x:c r="C6203" s="1" t="str">
        <x:v>Standard Class</x:v>
      </x:c>
      <x:c r="D6203" s="1" t="str">
        <x:v>Europe</x:v>
      </x:c>
      <x:c r="E6203" s="1" t="str">
        <x:v>PROCESSING</x:v>
      </x:c>
      <x:c r="F6203" s="1" t="str">
        <x:v>Late delivery</x:v>
      </x:c>
      <x:c r="G6203" s="6" t="n">
        <x:v>6</x:v>
      </x:c>
      <x:c r="H6203" s="6" t="n">
        <x:v>4</x:v>
      </x:c>
      <x:c r="I6203" s="6" t="n">
        <x:f>G6203-H6203</x:f>
        <x:v>2</x:v>
      </x:c>
      <x:c r="J6203" s="6" t="n">
        <x:f>IF(OR(E6203="CANCELED",E6203="SUSPECTED_FRAUD",F6203="Shipping canceled"),0,1)</x:f>
        <x:v>1</x:v>
      </x:c>
      <x:c r="K6203" s="6" t="n">
        <x:f>IF(G6203&gt;H6203,1,0)</x:f>
        <x:v>1</x:v>
      </x:c>
      <x:c r="L6203" s="6" t="n">
        <x:f>J6203*K6203</x:f>
        <x:v>1</x:v>
      </x:c>
    </x:row>
    <x:row r="6204">
      <x:c r="A6204" s="1" t="n">
        <x:v>48598</x:v>
      </x:c>
      <x:c r="B6204" s="5" t="d">
        <x:v>2016-12-10T00:00:00.000Z</x:v>
      </x:c>
      <x:c r="C6204" s="1" t="str">
        <x:v>Standard Class</x:v>
      </x:c>
      <x:c r="D6204" s="1" t="str">
        <x:v>Europe</x:v>
      </x:c>
      <x:c r="E6204" s="1" t="str">
        <x:v>COMPLETE</x:v>
      </x:c>
      <x:c r="F6204" s="1" t="str">
        <x:v>Shipping on time</x:v>
      </x:c>
      <x:c r="G6204" s="6" t="n">
        <x:v>4</x:v>
      </x:c>
      <x:c r="H6204" s="6" t="n">
        <x:v>4</x:v>
      </x:c>
      <x:c r="I6204" s="6" t="n">
        <x:f>G6204-H6204</x:f>
        <x:v>0</x:v>
      </x:c>
      <x:c r="J6204" s="6" t="n">
        <x:f>IF(OR(E6204="CANCELED",E6204="SUSPECTED_FRAUD",F6204="Shipping canceled"),0,1)</x:f>
        <x:v>1</x:v>
      </x:c>
      <x:c r="K6204" s="6" t="n">
        <x:f>IF(G6204&gt;H6204,1,0)</x:f>
        <x:v>0</x:v>
      </x:c>
      <x:c r="L6204" s="6" t="n">
        <x:f>J6204*K6204</x:f>
        <x:v>0</x:v>
      </x:c>
    </x:row>
    <x:row r="6205">
      <x:c r="A6205" s="1" t="n">
        <x:v>48608</x:v>
      </x:c>
      <x:c r="B6205" s="5" t="d">
        <x:v>2016-12-10T00:00:00.000Z</x:v>
      </x:c>
      <x:c r="C6205" s="1" t="str">
        <x:v>Standard Class</x:v>
      </x:c>
      <x:c r="D6205" s="1" t="str">
        <x:v>Africa</x:v>
      </x:c>
      <x:c r="E6205" s="1" t="str">
        <x:v>COMPLETE</x:v>
      </x:c>
      <x:c r="F6205" s="1" t="str">
        <x:v>Shipping on time</x:v>
      </x:c>
      <x:c r="G6205" s="6" t="n">
        <x:v>4</x:v>
      </x:c>
      <x:c r="H6205" s="6" t="n">
        <x:v>4</x:v>
      </x:c>
      <x:c r="I6205" s="6" t="n">
        <x:f>G6205-H6205</x:f>
        <x:v>0</x:v>
      </x:c>
      <x:c r="J6205" s="6" t="n">
        <x:f>IF(OR(E6205="CANCELED",E6205="SUSPECTED_FRAUD",F6205="Shipping canceled"),0,1)</x:f>
        <x:v>1</x:v>
      </x:c>
      <x:c r="K6205" s="6" t="n">
        <x:f>IF(G6205&gt;H6205,1,0)</x:f>
        <x:v>0</x:v>
      </x:c>
      <x:c r="L6205" s="6" t="n">
        <x:f>J6205*K6205</x:f>
        <x:v>0</x:v>
      </x:c>
    </x:row>
    <x:row r="6206">
      <x:c r="A6206" s="1" t="n">
        <x:v>48610</x:v>
      </x:c>
      <x:c r="B6206" s="5" t="d">
        <x:v>2016-12-10T00:00:00.000Z</x:v>
      </x:c>
      <x:c r="C6206" s="1" t="str">
        <x:v>Standard Class</x:v>
      </x:c>
      <x:c r="D6206" s="1" t="str">
        <x:v>Pacific Asia</x:v>
      </x:c>
      <x:c r="E6206" s="1" t="str">
        <x:v>CLOSED</x:v>
      </x:c>
      <x:c r="F6206" s="1" t="str">
        <x:v>Late delivery</x:v>
      </x:c>
      <x:c r="G6206" s="6" t="n">
        <x:v>6</x:v>
      </x:c>
      <x:c r="H6206" s="6" t="n">
        <x:v>4</x:v>
      </x:c>
      <x:c r="I6206" s="6" t="n">
        <x:f>G6206-H6206</x:f>
        <x:v>2</x:v>
      </x:c>
      <x:c r="J6206" s="6" t="n">
        <x:f>IF(OR(E6206="CANCELED",E6206="SUSPECTED_FRAUD",F6206="Shipping canceled"),0,1)</x:f>
        <x:v>1</x:v>
      </x:c>
      <x:c r="K6206" s="6" t="n">
        <x:f>IF(G6206&gt;H6206,1,0)</x:f>
        <x:v>1</x:v>
      </x:c>
      <x:c r="L6206" s="6" t="n">
        <x:f>J6206*K6206</x:f>
        <x:v>1</x:v>
      </x:c>
    </x:row>
    <x:row r="6207">
      <x:c r="A6207" s="1" t="n">
        <x:v>48614</x:v>
      </x:c>
      <x:c r="B6207" s="5" t="d">
        <x:v>2016-12-10T00:00:00.000Z</x:v>
      </x:c>
      <x:c r="C6207" s="1" t="str">
        <x:v>Second Class</x:v>
      </x:c>
      <x:c r="D6207" s="1" t="str">
        <x:v>Pacific Asia</x:v>
      </x:c>
      <x:c r="E6207" s="1" t="str">
        <x:v>CLOSED</x:v>
      </x:c>
      <x:c r="F6207" s="1" t="str">
        <x:v>Late delivery</x:v>
      </x:c>
      <x:c r="G6207" s="6" t="n">
        <x:v>5</x:v>
      </x:c>
      <x:c r="H6207" s="6" t="n">
        <x:v>2</x:v>
      </x:c>
      <x:c r="I6207" s="6" t="n">
        <x:f>G6207-H6207</x:f>
        <x:v>3</x:v>
      </x:c>
      <x:c r="J6207" s="6" t="n">
        <x:f>IF(OR(E6207="CANCELED",E6207="SUSPECTED_FRAUD",F6207="Shipping canceled"),0,1)</x:f>
        <x:v>1</x:v>
      </x:c>
      <x:c r="K6207" s="6" t="n">
        <x:f>IF(G6207&gt;H6207,1,0)</x:f>
        <x:v>1</x:v>
      </x:c>
      <x:c r="L6207" s="6" t="n">
        <x:f>J6207*K6207</x:f>
        <x:v>1</x:v>
      </x:c>
    </x:row>
    <x:row r="6208">
      <x:c r="A6208" s="1" t="n">
        <x:v>48622</x:v>
      </x:c>
      <x:c r="B6208" s="5" t="d">
        <x:v>2016-12-10T00:00:00.000Z</x:v>
      </x:c>
      <x:c r="C6208" s="1" t="str">
        <x:v>Standard Class</x:v>
      </x:c>
      <x:c r="D6208" s="1" t="str">
        <x:v>Africa</x:v>
      </x:c>
      <x:c r="E6208" s="1" t="str">
        <x:v>PENDING_PAYMENT</x:v>
      </x:c>
      <x:c r="F6208" s="1" t="str">
        <x:v>Advance shipping</x:v>
      </x:c>
      <x:c r="G6208" s="6" t="n">
        <x:v>3</x:v>
      </x:c>
      <x:c r="H6208" s="6" t="n">
        <x:v>4</x:v>
      </x:c>
      <x:c r="I6208" s="6" t="n">
        <x:f>G6208-H6208</x:f>
        <x:v>-1</x:v>
      </x:c>
      <x:c r="J6208" s="6" t="n">
        <x:f>IF(OR(E6208="CANCELED",E6208="SUSPECTED_FRAUD",F6208="Shipping canceled"),0,1)</x:f>
        <x:v>1</x:v>
      </x:c>
      <x:c r="K6208" s="6" t="n">
        <x:f>IF(G6208&gt;H6208,1,0)</x:f>
        <x:v>0</x:v>
      </x:c>
      <x:c r="L6208" s="6" t="n">
        <x:f>J6208*K6208</x:f>
        <x:v>0</x:v>
      </x:c>
    </x:row>
    <x:row r="6209">
      <x:c r="A6209" s="1" t="n">
        <x:v>48624</x:v>
      </x:c>
      <x:c r="B6209" s="5" t="d">
        <x:v>2016-12-10T00:00:00.000Z</x:v>
      </x:c>
      <x:c r="C6209" s="1" t="str">
        <x:v>Standard Class</x:v>
      </x:c>
      <x:c r="D6209" s="1" t="str">
        <x:v>Pacific Asia</x:v>
      </x:c>
      <x:c r="E6209" s="1" t="str">
        <x:v>COMPLETE</x:v>
      </x:c>
      <x:c r="F6209" s="1" t="str">
        <x:v>Late delivery</x:v>
      </x:c>
      <x:c r="G6209" s="6" t="n">
        <x:v>5</x:v>
      </x:c>
      <x:c r="H6209" s="6" t="n">
        <x:v>4</x:v>
      </x:c>
      <x:c r="I6209" s="6" t="n">
        <x:f>G6209-H6209</x:f>
        <x:v>1</x:v>
      </x:c>
      <x:c r="J6209" s="6" t="n">
        <x:f>IF(OR(E6209="CANCELED",E6209="SUSPECTED_FRAUD",F6209="Shipping canceled"),0,1)</x:f>
        <x:v>1</x:v>
      </x:c>
      <x:c r="K6209" s="6" t="n">
        <x:f>IF(G6209&gt;H6209,1,0)</x:f>
        <x:v>1</x:v>
      </x:c>
      <x:c r="L6209" s="6" t="n">
        <x:f>J6209*K6209</x:f>
        <x:v>1</x:v>
      </x:c>
    </x:row>
    <x:row r="6210">
      <x:c r="A6210" s="1" t="n">
        <x:v>48625</x:v>
      </x:c>
      <x:c r="B6210" s="5" t="d">
        <x:v>2016-12-10T00:00:00.000Z</x:v>
      </x:c>
      <x:c r="C6210" s="1" t="str">
        <x:v>Standard Class</x:v>
      </x:c>
      <x:c r="D6210" s="1" t="str">
        <x:v>Pacific Asia</x:v>
      </x:c>
      <x:c r="E6210" s="1" t="str">
        <x:v>ON_HOLD</x:v>
      </x:c>
      <x:c r="F6210" s="1" t="str">
        <x:v>Late delivery</x:v>
      </x:c>
      <x:c r="G6210" s="6" t="n">
        <x:v>6</x:v>
      </x:c>
      <x:c r="H6210" s="6" t="n">
        <x:v>4</x:v>
      </x:c>
      <x:c r="I6210" s="6" t="n">
        <x:f>G6210-H6210</x:f>
        <x:v>2</x:v>
      </x:c>
      <x:c r="J6210" s="6" t="n">
        <x:f>IF(OR(E6210="CANCELED",E6210="SUSPECTED_FRAUD",F6210="Shipping canceled"),0,1)</x:f>
        <x:v>1</x:v>
      </x:c>
      <x:c r="K6210" s="6" t="n">
        <x:f>IF(G6210&gt;H6210,1,0)</x:f>
        <x:v>1</x:v>
      </x:c>
      <x:c r="L6210" s="6" t="n">
        <x:f>J6210*K6210</x:f>
        <x:v>1</x:v>
      </x:c>
    </x:row>
    <x:row r="6211">
      <x:c r="A6211" s="1" t="n">
        <x:v>48637</x:v>
      </x:c>
      <x:c r="B6211" s="5" t="d">
        <x:v>2016-12-10T00:00:00.000Z</x:v>
      </x:c>
      <x:c r="C6211" s="1" t="str">
        <x:v>Second Class</x:v>
      </x:c>
      <x:c r="D6211" s="1" t="str">
        <x:v>Pacific Asia</x:v>
      </x:c>
      <x:c r="E6211" s="1" t="str">
        <x:v>COMPLETE</x:v>
      </x:c>
      <x:c r="F6211" s="1" t="str">
        <x:v>Late delivery</x:v>
      </x:c>
      <x:c r="G6211" s="6" t="n">
        <x:v>3</x:v>
      </x:c>
      <x:c r="H6211" s="6" t="n">
        <x:v>2</x:v>
      </x:c>
      <x:c r="I6211" s="6" t="n">
        <x:f>G6211-H6211</x:f>
        <x:v>1</x:v>
      </x:c>
      <x:c r="J6211" s="6" t="n">
        <x:f>IF(OR(E6211="CANCELED",E6211="SUSPECTED_FRAUD",F6211="Shipping canceled"),0,1)</x:f>
        <x:v>1</x:v>
      </x:c>
      <x:c r="K6211" s="6" t="n">
        <x:f>IF(G6211&gt;H6211,1,0)</x:f>
        <x:v>1</x:v>
      </x:c>
      <x:c r="L6211" s="6" t="n">
        <x:f>J6211*K6211</x:f>
        <x:v>1</x:v>
      </x:c>
    </x:row>
    <x:row r="6212">
      <x:c r="A6212" s="1" t="n">
        <x:v>48647</x:v>
      </x:c>
      <x:c r="B6212" s="5" t="d">
        <x:v>2016-12-11T00:00:00.000Z</x:v>
      </x:c>
      <x:c r="C6212" s="1" t="str">
        <x:v>Standard Class</x:v>
      </x:c>
      <x:c r="D6212" s="1" t="str">
        <x:v>Africa</x:v>
      </x:c>
      <x:c r="E6212" s="1" t="str">
        <x:v>COMPLETE</x:v>
      </x:c>
      <x:c r="F6212" s="1" t="str">
        <x:v>Advance shipping</x:v>
      </x:c>
      <x:c r="G6212" s="6" t="n">
        <x:v>3</x:v>
      </x:c>
      <x:c r="H6212" s="6" t="n">
        <x:v>4</x:v>
      </x:c>
      <x:c r="I6212" s="6" t="n">
        <x:f>G6212-H6212</x:f>
        <x:v>-1</x:v>
      </x:c>
      <x:c r="J6212" s="6" t="n">
        <x:f>IF(OR(E6212="CANCELED",E6212="SUSPECTED_FRAUD",F6212="Shipping canceled"),0,1)</x:f>
        <x:v>1</x:v>
      </x:c>
      <x:c r="K6212" s="6" t="n">
        <x:f>IF(G6212&gt;H6212,1,0)</x:f>
        <x:v>0</x:v>
      </x:c>
      <x:c r="L6212" s="6" t="n">
        <x:f>J6212*K6212</x:f>
        <x:v>0</x:v>
      </x:c>
    </x:row>
    <x:row r="6213">
      <x:c r="A6213" s="1" t="n">
        <x:v>48672</x:v>
      </x:c>
      <x:c r="B6213" s="5" t="d">
        <x:v>2016-12-11T00:00:00.000Z</x:v>
      </x:c>
      <x:c r="C6213" s="1" t="str">
        <x:v>Standard Class</x:v>
      </x:c>
      <x:c r="D6213" s="1" t="str">
        <x:v>USCA</x:v>
      </x:c>
      <x:c r="E6213" s="1" t="str">
        <x:v>COMPLETE</x:v>
      </x:c>
      <x:c r="F6213" s="1" t="str">
        <x:v>Advance shipping</x:v>
      </x:c>
      <x:c r="G6213" s="6" t="n">
        <x:v>3</x:v>
      </x:c>
      <x:c r="H6213" s="6" t="n">
        <x:v>4</x:v>
      </x:c>
      <x:c r="I6213" s="6" t="n">
        <x:f>G6213-H6213</x:f>
        <x:v>-1</x:v>
      </x:c>
      <x:c r="J6213" s="6" t="n">
        <x:f>IF(OR(E6213="CANCELED",E6213="SUSPECTED_FRAUD",F6213="Shipping canceled"),0,1)</x:f>
        <x:v>1</x:v>
      </x:c>
      <x:c r="K6213" s="6" t="n">
        <x:f>IF(G6213&gt;H6213,1,0)</x:f>
        <x:v>0</x:v>
      </x:c>
      <x:c r="L6213" s="6" t="n">
        <x:f>J6213*K6213</x:f>
        <x:v>0</x:v>
      </x:c>
    </x:row>
    <x:row r="6214">
      <x:c r="A6214" s="1" t="n">
        <x:v>48675</x:v>
      </x:c>
      <x:c r="B6214" s="5" t="d">
        <x:v>2016-12-11T00:00:00.000Z</x:v>
      </x:c>
      <x:c r="C6214" s="1" t="str">
        <x:v>Standard Class</x:v>
      </x:c>
      <x:c r="D6214" s="1" t="str">
        <x:v>Europe</x:v>
      </x:c>
      <x:c r="E6214" s="1" t="str">
        <x:v>COMPLETE</x:v>
      </x:c>
      <x:c r="F6214" s="1" t="str">
        <x:v>Late delivery</x:v>
      </x:c>
      <x:c r="G6214" s="6" t="n">
        <x:v>6</x:v>
      </x:c>
      <x:c r="H6214" s="6" t="n">
        <x:v>4</x:v>
      </x:c>
      <x:c r="I6214" s="6" t="n">
        <x:f>G6214-H6214</x:f>
        <x:v>2</x:v>
      </x:c>
      <x:c r="J6214" s="6" t="n">
        <x:f>IF(OR(E6214="CANCELED",E6214="SUSPECTED_FRAUD",F6214="Shipping canceled"),0,1)</x:f>
        <x:v>1</x:v>
      </x:c>
      <x:c r="K6214" s="6" t="n">
        <x:f>IF(G6214&gt;H6214,1,0)</x:f>
        <x:v>1</x:v>
      </x:c>
      <x:c r="L6214" s="6" t="n">
        <x:f>J6214*K6214</x:f>
        <x:v>1</x:v>
      </x:c>
    </x:row>
    <x:row r="6215">
      <x:c r="A6215" s="1" t="n">
        <x:v>48684</x:v>
      </x:c>
      <x:c r="B6215" s="5" t="d">
        <x:v>2016-12-11T00:00:00.000Z</x:v>
      </x:c>
      <x:c r="C6215" s="1" t="str">
        <x:v>Standard Class</x:v>
      </x:c>
      <x:c r="D6215" s="1" t="str">
        <x:v>Africa</x:v>
      </x:c>
      <x:c r="E6215" s="1" t="str">
        <x:v>PROCESSING</x:v>
      </x:c>
      <x:c r="F6215" s="1" t="str">
        <x:v>Late delivery</x:v>
      </x:c>
      <x:c r="G6215" s="6" t="n">
        <x:v>5</x:v>
      </x:c>
      <x:c r="H6215" s="6" t="n">
        <x:v>4</x:v>
      </x:c>
      <x:c r="I6215" s="6" t="n">
        <x:f>G6215-H6215</x:f>
        <x:v>1</x:v>
      </x:c>
      <x:c r="J6215" s="6" t="n">
        <x:f>IF(OR(E6215="CANCELED",E6215="SUSPECTED_FRAUD",F6215="Shipping canceled"),0,1)</x:f>
        <x:v>1</x:v>
      </x:c>
      <x:c r="K6215" s="6" t="n">
        <x:f>IF(G6215&gt;H6215,1,0)</x:f>
        <x:v>1</x:v>
      </x:c>
      <x:c r="L6215" s="6" t="n">
        <x:f>J6215*K6215</x:f>
        <x:v>1</x:v>
      </x:c>
    </x:row>
    <x:row r="6216">
      <x:c r="A6216" s="1" t="n">
        <x:v>48687</x:v>
      </x:c>
      <x:c r="B6216" s="5" t="d">
        <x:v>2016-12-11T00:00:00.000Z</x:v>
      </x:c>
      <x:c r="C6216" s="1" t="str">
        <x:v>Standard Class</x:v>
      </x:c>
      <x:c r="D6216" s="1" t="str">
        <x:v>Africa</x:v>
      </x:c>
      <x:c r="E6216" s="1" t="str">
        <x:v>COMPLETE</x:v>
      </x:c>
      <x:c r="F6216" s="1" t="str">
        <x:v>Advance shipping</x:v>
      </x:c>
      <x:c r="G6216" s="6" t="n">
        <x:v>3</x:v>
      </x:c>
      <x:c r="H6216" s="6" t="n">
        <x:v>4</x:v>
      </x:c>
      <x:c r="I6216" s="6" t="n">
        <x:f>G6216-H6216</x:f>
        <x:v>-1</x:v>
      </x:c>
      <x:c r="J6216" s="6" t="n">
        <x:f>IF(OR(E6216="CANCELED",E6216="SUSPECTED_FRAUD",F6216="Shipping canceled"),0,1)</x:f>
        <x:v>1</x:v>
      </x:c>
      <x:c r="K6216" s="6" t="n">
        <x:f>IF(G6216&gt;H6216,1,0)</x:f>
        <x:v>0</x:v>
      </x:c>
      <x:c r="L6216" s="6" t="n">
        <x:f>J6216*K6216</x:f>
        <x:v>0</x:v>
      </x:c>
    </x:row>
    <x:row r="6217">
      <x:c r="A6217" s="1" t="n">
        <x:v>48694</x:v>
      </x:c>
      <x:c r="B6217" s="5" t="d">
        <x:v>2016-12-11T00:00:00.000Z</x:v>
      </x:c>
      <x:c r="C6217" s="1" t="str">
        <x:v>First Class</x:v>
      </x:c>
      <x:c r="D6217" s="1" t="str">
        <x:v>Pacific Asia</x:v>
      </x:c>
      <x:c r="E6217" s="1" t="str">
        <x:v>CLOSED</x:v>
      </x:c>
      <x:c r="F6217" s="1" t="str">
        <x:v>Late delivery</x:v>
      </x:c>
      <x:c r="G6217" s="6" t="n">
        <x:v>2</x:v>
      </x:c>
      <x:c r="H6217" s="6" t="n">
        <x:v>1</x:v>
      </x:c>
      <x:c r="I6217" s="6" t="n">
        <x:f>G6217-H6217</x:f>
        <x:v>1</x:v>
      </x:c>
      <x:c r="J6217" s="6" t="n">
        <x:f>IF(OR(E6217="CANCELED",E6217="SUSPECTED_FRAUD",F6217="Shipping canceled"),0,1)</x:f>
        <x:v>1</x:v>
      </x:c>
      <x:c r="K6217" s="6" t="n">
        <x:f>IF(G6217&gt;H6217,1,0)</x:f>
        <x:v>1</x:v>
      </x:c>
      <x:c r="L6217" s="6" t="n">
        <x:f>J6217*K6217</x:f>
        <x:v>1</x:v>
      </x:c>
    </x:row>
    <x:row r="6218">
      <x:c r="A6218" s="1" t="n">
        <x:v>48699</x:v>
      </x:c>
      <x:c r="B6218" s="5" t="d">
        <x:v>2016-12-11T00:00:00.000Z</x:v>
      </x:c>
      <x:c r="C6218" s="1" t="str">
        <x:v>Standard Class</x:v>
      </x:c>
      <x:c r="D6218" s="1" t="str">
        <x:v>Pacific Asia</x:v>
      </x:c>
      <x:c r="E6218" s="1" t="str">
        <x:v>PROCESSING</x:v>
      </x:c>
      <x:c r="F6218" s="1" t="str">
        <x:v>Late delivery</x:v>
      </x:c>
      <x:c r="G6218" s="6" t="n">
        <x:v>5</x:v>
      </x:c>
      <x:c r="H6218" s="6" t="n">
        <x:v>4</x:v>
      </x:c>
      <x:c r="I6218" s="6" t="n">
        <x:f>G6218-H6218</x:f>
        <x:v>1</x:v>
      </x:c>
      <x:c r="J6218" s="6" t="n">
        <x:f>IF(OR(E6218="CANCELED",E6218="SUSPECTED_FRAUD",F6218="Shipping canceled"),0,1)</x:f>
        <x:v>1</x:v>
      </x:c>
      <x:c r="K6218" s="6" t="n">
        <x:f>IF(G6218&gt;H6218,1,0)</x:f>
        <x:v>1</x:v>
      </x:c>
      <x:c r="L6218" s="6" t="n">
        <x:f>J6218*K6218</x:f>
        <x:v>1</x:v>
      </x:c>
    </x:row>
    <x:row r="6219">
      <x:c r="A6219" s="1" t="n">
        <x:v>48713</x:v>
      </x:c>
      <x:c r="B6219" s="5" t="d">
        <x:v>2016-12-12T00:00:00.000Z</x:v>
      </x:c>
      <x:c r="C6219" s="1" t="str">
        <x:v>Standard Class</x:v>
      </x:c>
      <x:c r="D6219" s="1" t="str">
        <x:v>Pacific Asia</x:v>
      </x:c>
      <x:c r="E6219" s="1" t="str">
        <x:v>COMPLETE</x:v>
      </x:c>
      <x:c r="F6219" s="1" t="str">
        <x:v>Shipping on time</x:v>
      </x:c>
      <x:c r="G6219" s="6" t="n">
        <x:v>4</x:v>
      </x:c>
      <x:c r="H6219" s="6" t="n">
        <x:v>4</x:v>
      </x:c>
      <x:c r="I6219" s="6" t="n">
        <x:f>G6219-H6219</x:f>
        <x:v>0</x:v>
      </x:c>
      <x:c r="J6219" s="6" t="n">
        <x:f>IF(OR(E6219="CANCELED",E6219="SUSPECTED_FRAUD",F6219="Shipping canceled"),0,1)</x:f>
        <x:v>1</x:v>
      </x:c>
      <x:c r="K6219" s="6" t="n">
        <x:f>IF(G6219&gt;H6219,1,0)</x:f>
        <x:v>0</x:v>
      </x:c>
      <x:c r="L6219" s="6" t="n">
        <x:f>J6219*K6219</x:f>
        <x:v>0</x:v>
      </x:c>
    </x:row>
    <x:row r="6220">
      <x:c r="A6220" s="1" t="n">
        <x:v>48778</x:v>
      </x:c>
      <x:c r="B6220" s="5" t="d">
        <x:v>2016-12-13T00:00:00.000Z</x:v>
      </x:c>
      <x:c r="C6220" s="1" t="str">
        <x:v>Standard Class</x:v>
      </x:c>
      <x:c r="D6220" s="1" t="str">
        <x:v>Pacific Asia</x:v>
      </x:c>
      <x:c r="E6220" s="1" t="str">
        <x:v>COMPLETE</x:v>
      </x:c>
      <x:c r="F6220" s="1" t="str">
        <x:v>Shipping on time</x:v>
      </x:c>
      <x:c r="G6220" s="6" t="n">
        <x:v>4</x:v>
      </x:c>
      <x:c r="H6220" s="6" t="n">
        <x:v>4</x:v>
      </x:c>
      <x:c r="I6220" s="6" t="n">
        <x:f>G6220-H6220</x:f>
        <x:v>0</x:v>
      </x:c>
      <x:c r="J6220" s="6" t="n">
        <x:f>IF(OR(E6220="CANCELED",E6220="SUSPECTED_FRAUD",F6220="Shipping canceled"),0,1)</x:f>
        <x:v>1</x:v>
      </x:c>
      <x:c r="K6220" s="6" t="n">
        <x:f>IF(G6220&gt;H6220,1,0)</x:f>
        <x:v>0</x:v>
      </x:c>
      <x:c r="L6220" s="6" t="n">
        <x:f>J6220*K6220</x:f>
        <x:v>0</x:v>
      </x:c>
    </x:row>
    <x:row r="6221">
      <x:c r="A6221" s="1" t="n">
        <x:v>48779</x:v>
      </x:c>
      <x:c r="B6221" s="5" t="d">
        <x:v>2016-12-13T00:00:00.000Z</x:v>
      </x:c>
      <x:c r="C6221" s="1" t="str">
        <x:v>Standard Class</x:v>
      </x:c>
      <x:c r="D6221" s="1" t="str">
        <x:v>Pacific Asia</x:v>
      </x:c>
      <x:c r="E6221" s="1" t="str">
        <x:v>PENDING_PAYMENT</x:v>
      </x:c>
      <x:c r="F6221" s="1" t="str">
        <x:v>Late delivery</x:v>
      </x:c>
      <x:c r="G6221" s="6" t="n">
        <x:v>5</x:v>
      </x:c>
      <x:c r="H6221" s="6" t="n">
        <x:v>4</x:v>
      </x:c>
      <x:c r="I6221" s="6" t="n">
        <x:f>G6221-H6221</x:f>
        <x:v>1</x:v>
      </x:c>
      <x:c r="J6221" s="6" t="n">
        <x:f>IF(OR(E6221="CANCELED",E6221="SUSPECTED_FRAUD",F6221="Shipping canceled"),0,1)</x:f>
        <x:v>1</x:v>
      </x:c>
      <x:c r="K6221" s="6" t="n">
        <x:f>IF(G6221&gt;H6221,1,0)</x:f>
        <x:v>1</x:v>
      </x:c>
      <x:c r="L6221" s="6" t="n">
        <x:f>J6221*K6221</x:f>
        <x:v>1</x:v>
      </x:c>
    </x:row>
    <x:row r="6222">
      <x:c r="A6222" s="1" t="n">
        <x:v>48790</x:v>
      </x:c>
      <x:c r="B6222" s="5" t="d">
        <x:v>2016-12-13T00:00:00.000Z</x:v>
      </x:c>
      <x:c r="C6222" s="1" t="str">
        <x:v>Standard Class</x:v>
      </x:c>
      <x:c r="D6222" s="1" t="str">
        <x:v>Pacific Asia</x:v>
      </x:c>
      <x:c r="E6222" s="1" t="str">
        <x:v>COMPLETE</x:v>
      </x:c>
      <x:c r="F6222" s="1" t="str">
        <x:v>Late delivery</x:v>
      </x:c>
      <x:c r="G6222" s="6" t="n">
        <x:v>6</x:v>
      </x:c>
      <x:c r="H6222" s="6" t="n">
        <x:v>4</x:v>
      </x:c>
      <x:c r="I6222" s="6" t="n">
        <x:f>G6222-H6222</x:f>
        <x:v>2</x:v>
      </x:c>
      <x:c r="J6222" s="6" t="n">
        <x:f>IF(OR(E6222="CANCELED",E6222="SUSPECTED_FRAUD",F6222="Shipping canceled"),0,1)</x:f>
        <x:v>1</x:v>
      </x:c>
      <x:c r="K6222" s="6" t="n">
        <x:f>IF(G6222&gt;H6222,1,0)</x:f>
        <x:v>1</x:v>
      </x:c>
      <x:c r="L6222" s="6" t="n">
        <x:f>J6222*K6222</x:f>
        <x:v>1</x:v>
      </x:c>
    </x:row>
    <x:row r="6223">
      <x:c r="A6223" s="1" t="n">
        <x:v>48791</x:v>
      </x:c>
      <x:c r="B6223" s="5" t="d">
        <x:v>2016-12-13T00:00:00.000Z</x:v>
      </x:c>
      <x:c r="C6223" s="1" t="str">
        <x:v>Standard Class</x:v>
      </x:c>
      <x:c r="D6223" s="1" t="str">
        <x:v>Pacific Asia</x:v>
      </x:c>
      <x:c r="E6223" s="1" t="str">
        <x:v>PROCESSING</x:v>
      </x:c>
      <x:c r="F6223" s="1" t="str">
        <x:v>Advance shipping</x:v>
      </x:c>
      <x:c r="G6223" s="6" t="n">
        <x:v>2</x:v>
      </x:c>
      <x:c r="H6223" s="6" t="n">
        <x:v>4</x:v>
      </x:c>
      <x:c r="I6223" s="6" t="n">
        <x:f>G6223-H6223</x:f>
        <x:v>-2</x:v>
      </x:c>
      <x:c r="J6223" s="6" t="n">
        <x:f>IF(OR(E6223="CANCELED",E6223="SUSPECTED_FRAUD",F6223="Shipping canceled"),0,1)</x:f>
        <x:v>1</x:v>
      </x:c>
      <x:c r="K6223" s="6" t="n">
        <x:f>IF(G6223&gt;H6223,1,0)</x:f>
        <x:v>0</x:v>
      </x:c>
      <x:c r="L6223" s="6" t="n">
        <x:f>J6223*K6223</x:f>
        <x:v>0</x:v>
      </x:c>
    </x:row>
    <x:row r="6224">
      <x:c r="A6224" s="1" t="n">
        <x:v>48793</x:v>
      </x:c>
      <x:c r="B6224" s="5" t="d">
        <x:v>2016-12-13T00:00:00.000Z</x:v>
      </x:c>
      <x:c r="C6224" s="1" t="str">
        <x:v>Standard Class</x:v>
      </x:c>
      <x:c r="D6224" s="1" t="str">
        <x:v>Africa</x:v>
      </x:c>
      <x:c r="E6224" s="1" t="str">
        <x:v>COMPLETE</x:v>
      </x:c>
      <x:c r="F6224" s="1" t="str">
        <x:v>Shipping on time</x:v>
      </x:c>
      <x:c r="G6224" s="6" t="n">
        <x:v>4</x:v>
      </x:c>
      <x:c r="H6224" s="6" t="n">
        <x:v>4</x:v>
      </x:c>
      <x:c r="I6224" s="6" t="n">
        <x:f>G6224-H6224</x:f>
        <x:v>0</x:v>
      </x:c>
      <x:c r="J6224" s="6" t="n">
        <x:f>IF(OR(E6224="CANCELED",E6224="SUSPECTED_FRAUD",F6224="Shipping canceled"),0,1)</x:f>
        <x:v>1</x:v>
      </x:c>
      <x:c r="K6224" s="6" t="n">
        <x:f>IF(G6224&gt;H6224,1,0)</x:f>
        <x:v>0</x:v>
      </x:c>
      <x:c r="L6224" s="6" t="n">
        <x:f>J6224*K6224</x:f>
        <x:v>0</x:v>
      </x:c>
    </x:row>
    <x:row r="6225">
      <x:c r="A6225" s="1" t="n">
        <x:v>48794</x:v>
      </x:c>
      <x:c r="B6225" s="5" t="d">
        <x:v>2016-12-13T00:00:00.000Z</x:v>
      </x:c>
      <x:c r="C6225" s="1" t="str">
        <x:v>Standard Class</x:v>
      </x:c>
      <x:c r="D6225" s="1" t="str">
        <x:v>Africa</x:v>
      </x:c>
      <x:c r="E6225" s="1" t="str">
        <x:v>PROCESSING</x:v>
      </x:c>
      <x:c r="F6225" s="1" t="str">
        <x:v>Late delivery</x:v>
      </x:c>
      <x:c r="G6225" s="6" t="n">
        <x:v>5</x:v>
      </x:c>
      <x:c r="H6225" s="6" t="n">
        <x:v>4</x:v>
      </x:c>
      <x:c r="I6225" s="6" t="n">
        <x:f>G6225-H6225</x:f>
        <x:v>1</x:v>
      </x:c>
      <x:c r="J6225" s="6" t="n">
        <x:f>IF(OR(E6225="CANCELED",E6225="SUSPECTED_FRAUD",F6225="Shipping canceled"),0,1)</x:f>
        <x:v>1</x:v>
      </x:c>
      <x:c r="K6225" s="6" t="n">
        <x:f>IF(G6225&gt;H6225,1,0)</x:f>
        <x:v>1</x:v>
      </x:c>
      <x:c r="L6225" s="6" t="n">
        <x:f>J6225*K6225</x:f>
        <x:v>1</x:v>
      </x:c>
    </x:row>
    <x:row r="6226">
      <x:c r="A6226" s="1" t="n">
        <x:v>48822</x:v>
      </x:c>
      <x:c r="B6226" s="5" t="d">
        <x:v>2016-12-13T00:00:00.000Z</x:v>
      </x:c>
      <x:c r="C6226" s="1" t="str">
        <x:v>First Class</x:v>
      </x:c>
      <x:c r="D6226" s="1" t="str">
        <x:v>Europe</x:v>
      </x:c>
      <x:c r="E6226" s="1" t="str">
        <x:v>PROCESSING</x:v>
      </x:c>
      <x:c r="F6226" s="1" t="str">
        <x:v>Late delivery</x:v>
      </x:c>
      <x:c r="G6226" s="6" t="n">
        <x:v>2</x:v>
      </x:c>
      <x:c r="H6226" s="6" t="n">
        <x:v>1</x:v>
      </x:c>
      <x:c r="I6226" s="6" t="n">
        <x:f>G6226-H6226</x:f>
        <x:v>1</x:v>
      </x:c>
      <x:c r="J6226" s="6" t="n">
        <x:f>IF(OR(E6226="CANCELED",E6226="SUSPECTED_FRAUD",F6226="Shipping canceled"),0,1)</x:f>
        <x:v>1</x:v>
      </x:c>
      <x:c r="K6226" s="6" t="n">
        <x:f>IF(G6226&gt;H6226,1,0)</x:f>
        <x:v>1</x:v>
      </x:c>
      <x:c r="L6226" s="6" t="n">
        <x:f>J6226*K6226</x:f>
        <x:v>1</x:v>
      </x:c>
    </x:row>
    <x:row r="6227">
      <x:c r="A6227" s="1" t="n">
        <x:v>48826</x:v>
      </x:c>
      <x:c r="B6227" s="5" t="d">
        <x:v>2016-12-13T00:00:00.000Z</x:v>
      </x:c>
      <x:c r="C6227" s="1" t="str">
        <x:v>Second Class</x:v>
      </x:c>
      <x:c r="D6227" s="1" t="str">
        <x:v>Pacific Asia</x:v>
      </x:c>
      <x:c r="E6227" s="1" t="str">
        <x:v>PROCESSING</x:v>
      </x:c>
      <x:c r="F6227" s="1" t="str">
        <x:v>Shipping on time</x:v>
      </x:c>
      <x:c r="G6227" s="6" t="n">
        <x:v>2</x:v>
      </x:c>
      <x:c r="H6227" s="6" t="n">
        <x:v>2</x:v>
      </x:c>
      <x:c r="I6227" s="6" t="n">
        <x:f>G6227-H6227</x:f>
        <x:v>0</x:v>
      </x:c>
      <x:c r="J6227" s="6" t="n">
        <x:f>IF(OR(E6227="CANCELED",E6227="SUSPECTED_FRAUD",F6227="Shipping canceled"),0,1)</x:f>
        <x:v>1</x:v>
      </x:c>
      <x:c r="K6227" s="6" t="n">
        <x:f>IF(G6227&gt;H6227,1,0)</x:f>
        <x:v>0</x:v>
      </x:c>
      <x:c r="L6227" s="6" t="n">
        <x:f>J6227*K6227</x:f>
        <x:v>0</x:v>
      </x:c>
    </x:row>
    <x:row r="6228">
      <x:c r="A6228" s="1" t="n">
        <x:v>48842</x:v>
      </x:c>
      <x:c r="B6228" s="5" t="d">
        <x:v>2016-12-13T00:00:00.000Z</x:v>
      </x:c>
      <x:c r="C6228" s="1" t="str">
        <x:v>Standard Class</x:v>
      </x:c>
      <x:c r="D6228" s="1" t="str">
        <x:v>Africa</x:v>
      </x:c>
      <x:c r="E6228" s="1" t="str">
        <x:v>PROCESSING</x:v>
      </x:c>
      <x:c r="F6228" s="1" t="str">
        <x:v>Advance shipping</x:v>
      </x:c>
      <x:c r="G6228" s="6" t="n">
        <x:v>3</x:v>
      </x:c>
      <x:c r="H6228" s="6" t="n">
        <x:v>4</x:v>
      </x:c>
      <x:c r="I6228" s="6" t="n">
        <x:f>G6228-H6228</x:f>
        <x:v>-1</x:v>
      </x:c>
      <x:c r="J6228" s="6" t="n">
        <x:f>IF(OR(E6228="CANCELED",E6228="SUSPECTED_FRAUD",F6228="Shipping canceled"),0,1)</x:f>
        <x:v>1</x:v>
      </x:c>
      <x:c r="K6228" s="6" t="n">
        <x:f>IF(G6228&gt;H6228,1,0)</x:f>
        <x:v>0</x:v>
      </x:c>
      <x:c r="L6228" s="6" t="n">
        <x:f>J6228*K6228</x:f>
        <x:v>0</x:v>
      </x:c>
    </x:row>
    <x:row r="6229">
      <x:c r="A6229" s="1" t="n">
        <x:v>48844</x:v>
      </x:c>
      <x:c r="B6229" s="5" t="d">
        <x:v>2016-12-13T00:00:00.000Z</x:v>
      </x:c>
      <x:c r="C6229" s="1" t="str">
        <x:v>Standard Class</x:v>
      </x:c>
      <x:c r="D6229" s="1" t="str">
        <x:v>Pacific Asia</x:v>
      </x:c>
      <x:c r="E6229" s="1" t="str">
        <x:v>PROCESSING</x:v>
      </x:c>
      <x:c r="F6229" s="1" t="str">
        <x:v>Late delivery</x:v>
      </x:c>
      <x:c r="G6229" s="6" t="n">
        <x:v>5</x:v>
      </x:c>
      <x:c r="H6229" s="6" t="n">
        <x:v>4</x:v>
      </x:c>
      <x:c r="I6229" s="6" t="n">
        <x:f>G6229-H6229</x:f>
        <x:v>1</x:v>
      </x:c>
      <x:c r="J6229" s="6" t="n">
        <x:f>IF(OR(E6229="CANCELED",E6229="SUSPECTED_FRAUD",F6229="Shipping canceled"),0,1)</x:f>
        <x:v>1</x:v>
      </x:c>
      <x:c r="K6229" s="6" t="n">
        <x:f>IF(G6229&gt;H6229,1,0)</x:f>
        <x:v>1</x:v>
      </x:c>
      <x:c r="L6229" s="6" t="n">
        <x:f>J6229*K6229</x:f>
        <x:v>1</x:v>
      </x:c>
    </x:row>
    <x:row r="6230">
      <x:c r="A6230" s="1" t="n">
        <x:v>48860</x:v>
      </x:c>
      <x:c r="B6230" s="5" t="d">
        <x:v>2016-12-14T00:00:00.000Z</x:v>
      </x:c>
      <x:c r="C6230" s="1" t="str">
        <x:v>Standard Class</x:v>
      </x:c>
      <x:c r="D6230" s="1" t="str">
        <x:v>USCA</x:v>
      </x:c>
      <x:c r="E6230" s="1" t="str">
        <x:v>SUSPECTED_FRAUD</x:v>
      </x:c>
      <x:c r="F6230" s="1" t="str">
        <x:v>Shipping canceled</x:v>
      </x:c>
      <x:c r="G6230" s="6" t="n">
        <x:v>6</x:v>
      </x:c>
      <x:c r="H6230" s="6" t="n">
        <x:v>4</x:v>
      </x:c>
      <x:c r="I6230" s="6" t="n">
        <x:f>G6230-H6230</x:f>
        <x:v>2</x:v>
      </x:c>
      <x:c r="J6230" s="6" t="n">
        <x:f>IF(OR(E6230="CANCELED",E6230="SUSPECTED_FRAUD",F6230="Shipping canceled"),0,1)</x:f>
        <x:v>0</x:v>
      </x:c>
      <x:c r="K6230" s="6" t="n">
        <x:f>IF(G6230&gt;H6230,1,0)</x:f>
        <x:v>1</x:v>
      </x:c>
      <x:c r="L6230" s="6" t="n">
        <x:f>J6230*K6230</x:f>
        <x:v>0</x:v>
      </x:c>
    </x:row>
    <x:row r="6231">
      <x:c r="A6231" s="1" t="n">
        <x:v>48866</x:v>
      </x:c>
      <x:c r="B6231" s="5" t="d">
        <x:v>2016-12-14T00:00:00.000Z</x:v>
      </x:c>
      <x:c r="C6231" s="1" t="str">
        <x:v>Standard Class</x:v>
      </x:c>
      <x:c r="D6231" s="1" t="str">
        <x:v>Europe</x:v>
      </x:c>
      <x:c r="E6231" s="1" t="str">
        <x:v>COMPLETE</x:v>
      </x:c>
      <x:c r="F6231" s="1" t="str">
        <x:v>Advance shipping</x:v>
      </x:c>
      <x:c r="G6231" s="6" t="n">
        <x:v>2</x:v>
      </x:c>
      <x:c r="H6231" s="6" t="n">
        <x:v>4</x:v>
      </x:c>
      <x:c r="I6231" s="6" t="n">
        <x:f>G6231-H6231</x:f>
        <x:v>-2</x:v>
      </x:c>
      <x:c r="J6231" s="6" t="n">
        <x:f>IF(OR(E6231="CANCELED",E6231="SUSPECTED_FRAUD",F6231="Shipping canceled"),0,1)</x:f>
        <x:v>1</x:v>
      </x:c>
      <x:c r="K6231" s="6" t="n">
        <x:f>IF(G6231&gt;H6231,1,0)</x:f>
        <x:v>0</x:v>
      </x:c>
      <x:c r="L6231" s="6" t="n">
        <x:f>J6231*K6231</x:f>
        <x:v>0</x:v>
      </x:c>
    </x:row>
    <x:row r="6232">
      <x:c r="A6232" s="1" t="n">
        <x:v>48869</x:v>
      </x:c>
      <x:c r="B6232" s="5" t="d">
        <x:v>2016-12-14T00:00:00.000Z</x:v>
      </x:c>
      <x:c r="C6232" s="1" t="str">
        <x:v>Standard Class</x:v>
      </x:c>
      <x:c r="D6232" s="1" t="str">
        <x:v>Europe</x:v>
      </x:c>
      <x:c r="E6232" s="1" t="str">
        <x:v>PENDING_PAYMENT</x:v>
      </x:c>
      <x:c r="F6232" s="1" t="str">
        <x:v>Late delivery</x:v>
      </x:c>
      <x:c r="G6232" s="6" t="n">
        <x:v>5</x:v>
      </x:c>
      <x:c r="H6232" s="6" t="n">
        <x:v>4</x:v>
      </x:c>
      <x:c r="I6232" s="6" t="n">
        <x:f>G6232-H6232</x:f>
        <x:v>1</x:v>
      </x:c>
      <x:c r="J6232" s="6" t="n">
        <x:f>IF(OR(E6232="CANCELED",E6232="SUSPECTED_FRAUD",F6232="Shipping canceled"),0,1)</x:f>
        <x:v>1</x:v>
      </x:c>
      <x:c r="K6232" s="6" t="n">
        <x:f>IF(G6232&gt;H6232,1,0)</x:f>
        <x:v>1</x:v>
      </x:c>
      <x:c r="L6232" s="6" t="n">
        <x:f>J6232*K6232</x:f>
        <x:v>1</x:v>
      </x:c>
    </x:row>
    <x:row r="6233">
      <x:c r="A6233" s="1" t="n">
        <x:v>48873</x:v>
      </x:c>
      <x:c r="B6233" s="5" t="d">
        <x:v>2016-12-14T00:00:00.000Z</x:v>
      </x:c>
      <x:c r="C6233" s="1" t="str">
        <x:v>Second Class</x:v>
      </x:c>
      <x:c r="D6233" s="1" t="str">
        <x:v>Africa</x:v>
      </x:c>
      <x:c r="E6233" s="1" t="str">
        <x:v>ON_HOLD</x:v>
      </x:c>
      <x:c r="F6233" s="1" t="str">
        <x:v>Late delivery</x:v>
      </x:c>
      <x:c r="G6233" s="6" t="n">
        <x:v>4</x:v>
      </x:c>
      <x:c r="H6233" s="6" t="n">
        <x:v>2</x:v>
      </x:c>
      <x:c r="I6233" s="6" t="n">
        <x:f>G6233-H6233</x:f>
        <x:v>2</x:v>
      </x:c>
      <x:c r="J6233" s="6" t="n">
        <x:f>IF(OR(E6233="CANCELED",E6233="SUSPECTED_FRAUD",F6233="Shipping canceled"),0,1)</x:f>
        <x:v>1</x:v>
      </x:c>
      <x:c r="K6233" s="6" t="n">
        <x:f>IF(G6233&gt;H6233,1,0)</x:f>
        <x:v>1</x:v>
      </x:c>
      <x:c r="L6233" s="6" t="n">
        <x:f>J6233*K6233</x:f>
        <x:v>1</x:v>
      </x:c>
    </x:row>
    <x:row r="6234">
      <x:c r="A6234" s="1" t="n">
        <x:v>48879</x:v>
      </x:c>
      <x:c r="B6234" s="5" t="d">
        <x:v>2016-12-14T00:00:00.000Z</x:v>
      </x:c>
      <x:c r="C6234" s="1" t="str">
        <x:v>Standard Class</x:v>
      </x:c>
      <x:c r="D6234" s="1" t="str">
        <x:v>Africa</x:v>
      </x:c>
      <x:c r="E6234" s="1" t="str">
        <x:v>COMPLETE</x:v>
      </x:c>
      <x:c r="F6234" s="1" t="str">
        <x:v>Late delivery</x:v>
      </x:c>
      <x:c r="G6234" s="6" t="n">
        <x:v>5</x:v>
      </x:c>
      <x:c r="H6234" s="6" t="n">
        <x:v>4</x:v>
      </x:c>
      <x:c r="I6234" s="6" t="n">
        <x:f>G6234-H6234</x:f>
        <x:v>1</x:v>
      </x:c>
      <x:c r="J6234" s="6" t="n">
        <x:f>IF(OR(E6234="CANCELED",E6234="SUSPECTED_FRAUD",F6234="Shipping canceled"),0,1)</x:f>
        <x:v>1</x:v>
      </x:c>
      <x:c r="K6234" s="6" t="n">
        <x:f>IF(G6234&gt;H6234,1,0)</x:f>
        <x:v>1</x:v>
      </x:c>
      <x:c r="L6234" s="6" t="n">
        <x:f>J6234*K6234</x:f>
        <x:v>1</x:v>
      </x:c>
    </x:row>
    <x:row r="6235">
      <x:c r="A6235" s="1" t="n">
        <x:v>48888</x:v>
      </x:c>
      <x:c r="B6235" s="5" t="d">
        <x:v>2016-12-14T00:00:00.000Z</x:v>
      </x:c>
      <x:c r="C6235" s="1" t="str">
        <x:v>Standard Class</x:v>
      </x:c>
      <x:c r="D6235" s="1" t="str">
        <x:v>Africa</x:v>
      </x:c>
      <x:c r="E6235" s="1" t="str">
        <x:v>CLOSED</x:v>
      </x:c>
      <x:c r="F6235" s="1" t="str">
        <x:v>Shipping on time</x:v>
      </x:c>
      <x:c r="G6235" s="6" t="n">
        <x:v>4</x:v>
      </x:c>
      <x:c r="H6235" s="6" t="n">
        <x:v>4</x:v>
      </x:c>
      <x:c r="I6235" s="6" t="n">
        <x:f>G6235-H6235</x:f>
        <x:v>0</x:v>
      </x:c>
      <x:c r="J6235" s="6" t="n">
        <x:f>IF(OR(E6235="CANCELED",E6235="SUSPECTED_FRAUD",F6235="Shipping canceled"),0,1)</x:f>
        <x:v>1</x:v>
      </x:c>
      <x:c r="K6235" s="6" t="n">
        <x:f>IF(G6235&gt;H6235,1,0)</x:f>
        <x:v>0</x:v>
      </x:c>
      <x:c r="L6235" s="6" t="n">
        <x:f>J6235*K6235</x:f>
        <x:v>0</x:v>
      </x:c>
    </x:row>
    <x:row r="6236">
      <x:c r="A6236" s="1" t="n">
        <x:v>48901</x:v>
      </x:c>
      <x:c r="B6236" s="5" t="d">
        <x:v>2016-12-14T00:00:00.000Z</x:v>
      </x:c>
      <x:c r="C6236" s="1" t="str">
        <x:v>Standard Class</x:v>
      </x:c>
      <x:c r="D6236" s="1" t="str">
        <x:v>Africa</x:v>
      </x:c>
      <x:c r="E6236" s="1" t="str">
        <x:v>PROCESSING</x:v>
      </x:c>
      <x:c r="F6236" s="1" t="str">
        <x:v>Advance shipping</x:v>
      </x:c>
      <x:c r="G6236" s="6" t="n">
        <x:v>2</x:v>
      </x:c>
      <x:c r="H6236" s="6" t="n">
        <x:v>4</x:v>
      </x:c>
      <x:c r="I6236" s="6" t="n">
        <x:f>G6236-H6236</x:f>
        <x:v>-2</x:v>
      </x:c>
      <x:c r="J6236" s="6" t="n">
        <x:f>IF(OR(E6236="CANCELED",E6236="SUSPECTED_FRAUD",F6236="Shipping canceled"),0,1)</x:f>
        <x:v>1</x:v>
      </x:c>
      <x:c r="K6236" s="6" t="n">
        <x:f>IF(G6236&gt;H6236,1,0)</x:f>
        <x:v>0</x:v>
      </x:c>
      <x:c r="L6236" s="6" t="n">
        <x:f>J6236*K6236</x:f>
        <x:v>0</x:v>
      </x:c>
    </x:row>
    <x:row r="6237">
      <x:c r="A6237" s="1" t="n">
        <x:v>48904</x:v>
      </x:c>
      <x:c r="B6237" s="5" t="d">
        <x:v>2016-12-14T00:00:00.000Z</x:v>
      </x:c>
      <x:c r="C6237" s="1" t="str">
        <x:v>Standard Class</x:v>
      </x:c>
      <x:c r="D6237" s="1" t="str">
        <x:v>Europe</x:v>
      </x:c>
      <x:c r="E6237" s="1" t="str">
        <x:v>SUSPECTED_FRAUD</x:v>
      </x:c>
      <x:c r="F6237" s="1" t="str">
        <x:v>Shipping canceled</x:v>
      </x:c>
      <x:c r="G6237" s="6" t="n">
        <x:v>5</x:v>
      </x:c>
      <x:c r="H6237" s="6" t="n">
        <x:v>4</x:v>
      </x:c>
      <x:c r="I6237" s="6" t="n">
        <x:f>G6237-H6237</x:f>
        <x:v>1</x:v>
      </x:c>
      <x:c r="J6237" s="6" t="n">
        <x:f>IF(OR(E6237="CANCELED",E6237="SUSPECTED_FRAUD",F6237="Shipping canceled"),0,1)</x:f>
        <x:v>0</x:v>
      </x:c>
      <x:c r="K6237" s="6" t="n">
        <x:f>IF(G6237&gt;H6237,1,0)</x:f>
        <x:v>1</x:v>
      </x:c>
      <x:c r="L6237" s="6" t="n">
        <x:f>J6237*K6237</x:f>
        <x:v>0</x:v>
      </x:c>
    </x:row>
    <x:row r="6238">
      <x:c r="A6238" s="1" t="n">
        <x:v>48909</x:v>
      </x:c>
      <x:c r="B6238" s="5" t="d">
        <x:v>2016-12-14T00:00:00.000Z</x:v>
      </x:c>
      <x:c r="C6238" s="1" t="str">
        <x:v>Standard Class</x:v>
      </x:c>
      <x:c r="D6238" s="1" t="str">
        <x:v>Africa</x:v>
      </x:c>
      <x:c r="E6238" s="1" t="str">
        <x:v>COMPLETE</x:v>
      </x:c>
      <x:c r="F6238" s="1" t="str">
        <x:v>Late delivery</x:v>
      </x:c>
      <x:c r="G6238" s="6" t="n">
        <x:v>5</x:v>
      </x:c>
      <x:c r="H6238" s="6" t="n">
        <x:v>4</x:v>
      </x:c>
      <x:c r="I6238" s="6" t="n">
        <x:f>G6238-H6238</x:f>
        <x:v>1</x:v>
      </x:c>
      <x:c r="J6238" s="6" t="n">
        <x:f>IF(OR(E6238="CANCELED",E6238="SUSPECTED_FRAUD",F6238="Shipping canceled"),0,1)</x:f>
        <x:v>1</x:v>
      </x:c>
      <x:c r="K6238" s="6" t="n">
        <x:f>IF(G6238&gt;H6238,1,0)</x:f>
        <x:v>1</x:v>
      </x:c>
      <x:c r="L6238" s="6" t="n">
        <x:f>J6238*K6238</x:f>
        <x:v>1</x:v>
      </x:c>
    </x:row>
    <x:row r="6239">
      <x:c r="A6239" s="1" t="n">
        <x:v>48912</x:v>
      </x:c>
      <x:c r="B6239" s="5" t="d">
        <x:v>2016-12-14T00:00:00.000Z</x:v>
      </x:c>
      <x:c r="C6239" s="1" t="str">
        <x:v>Standard Class</x:v>
      </x:c>
      <x:c r="D6239" s="1" t="str">
        <x:v>Africa</x:v>
      </x:c>
      <x:c r="E6239" s="1" t="str">
        <x:v>ON_HOLD</x:v>
      </x:c>
      <x:c r="F6239" s="1" t="str">
        <x:v>Advance shipping</x:v>
      </x:c>
      <x:c r="G6239" s="6" t="n">
        <x:v>3</x:v>
      </x:c>
      <x:c r="H6239" s="6" t="n">
        <x:v>4</x:v>
      </x:c>
      <x:c r="I6239" s="6" t="n">
        <x:f>G6239-H6239</x:f>
        <x:v>-1</x:v>
      </x:c>
      <x:c r="J6239" s="6" t="n">
        <x:f>IF(OR(E6239="CANCELED",E6239="SUSPECTED_FRAUD",F6239="Shipping canceled"),0,1)</x:f>
        <x:v>1</x:v>
      </x:c>
      <x:c r="K6239" s="6" t="n">
        <x:f>IF(G6239&gt;H6239,1,0)</x:f>
        <x:v>0</x:v>
      </x:c>
      <x:c r="L6239" s="6" t="n">
        <x:f>J6239*K6239</x:f>
        <x:v>0</x:v>
      </x:c>
    </x:row>
    <x:row r="6240">
      <x:c r="A6240" s="1" t="n">
        <x:v>48915</x:v>
      </x:c>
      <x:c r="B6240" s="5" t="d">
        <x:v>2016-12-15T00:00:00.000Z</x:v>
      </x:c>
      <x:c r="C6240" s="1" t="str">
        <x:v>Standard Class</x:v>
      </x:c>
      <x:c r="D6240" s="1" t="str">
        <x:v>USCA</x:v>
      </x:c>
      <x:c r="E6240" s="1" t="str">
        <x:v>PENDING_PAYMENT</x:v>
      </x:c>
      <x:c r="F6240" s="1" t="str">
        <x:v>Late delivery</x:v>
      </x:c>
      <x:c r="G6240" s="6" t="n">
        <x:v>6</x:v>
      </x:c>
      <x:c r="H6240" s="6" t="n">
        <x:v>4</x:v>
      </x:c>
      <x:c r="I6240" s="6" t="n">
        <x:f>G6240-H6240</x:f>
        <x:v>2</x:v>
      </x:c>
      <x:c r="J6240" s="6" t="n">
        <x:f>IF(OR(E6240="CANCELED",E6240="SUSPECTED_FRAUD",F6240="Shipping canceled"),0,1)</x:f>
        <x:v>1</x:v>
      </x:c>
      <x:c r="K6240" s="6" t="n">
        <x:f>IF(G6240&gt;H6240,1,0)</x:f>
        <x:v>1</x:v>
      </x:c>
      <x:c r="L6240" s="6" t="n">
        <x:f>J6240*K6240</x:f>
        <x:v>1</x:v>
      </x:c>
    </x:row>
    <x:row r="6241">
      <x:c r="A6241" s="1" t="n">
        <x:v>48919</x:v>
      </x:c>
      <x:c r="B6241" s="5" t="d">
        <x:v>2016-12-15T00:00:00.000Z</x:v>
      </x:c>
      <x:c r="C6241" s="1" t="str">
        <x:v>First Class</x:v>
      </x:c>
      <x:c r="D6241" s="1" t="str">
        <x:v>Africa</x:v>
      </x:c>
      <x:c r="E6241" s="1" t="str">
        <x:v>PENDING_PAYMENT</x:v>
      </x:c>
      <x:c r="F6241" s="1" t="str">
        <x:v>Late delivery</x:v>
      </x:c>
      <x:c r="G6241" s="6" t="n">
        <x:v>2</x:v>
      </x:c>
      <x:c r="H6241" s="6" t="n">
        <x:v>1</x:v>
      </x:c>
      <x:c r="I6241" s="6" t="n">
        <x:f>G6241-H6241</x:f>
        <x:v>1</x:v>
      </x:c>
      <x:c r="J6241" s="6" t="n">
        <x:f>IF(OR(E6241="CANCELED",E6241="SUSPECTED_FRAUD",F6241="Shipping canceled"),0,1)</x:f>
        <x:v>1</x:v>
      </x:c>
      <x:c r="K6241" s="6" t="n">
        <x:f>IF(G6241&gt;H6241,1,0)</x:f>
        <x:v>1</x:v>
      </x:c>
      <x:c r="L6241" s="6" t="n">
        <x:f>J6241*K6241</x:f>
        <x:v>1</x:v>
      </x:c>
    </x:row>
    <x:row r="6242">
      <x:c r="A6242" s="1" t="n">
        <x:v>48923</x:v>
      </x:c>
      <x:c r="B6242" s="5" t="d">
        <x:v>2016-12-15T00:00:00.000Z</x:v>
      </x:c>
      <x:c r="C6242" s="1" t="str">
        <x:v>First Class</x:v>
      </x:c>
      <x:c r="D6242" s="1" t="str">
        <x:v>Africa</x:v>
      </x:c>
      <x:c r="E6242" s="1" t="str">
        <x:v>PAYMENT_REVIEW</x:v>
      </x:c>
      <x:c r="F6242" s="1" t="str">
        <x:v>Late delivery</x:v>
      </x:c>
      <x:c r="G6242" s="6" t="n">
        <x:v>2</x:v>
      </x:c>
      <x:c r="H6242" s="6" t="n">
        <x:v>1</x:v>
      </x:c>
      <x:c r="I6242" s="6" t="n">
        <x:f>G6242-H6242</x:f>
        <x:v>1</x:v>
      </x:c>
      <x:c r="J6242" s="6" t="n">
        <x:f>IF(OR(E6242="CANCELED",E6242="SUSPECTED_FRAUD",F6242="Shipping canceled"),0,1)</x:f>
        <x:v>1</x:v>
      </x:c>
      <x:c r="K6242" s="6" t="n">
        <x:f>IF(G6242&gt;H6242,1,0)</x:f>
        <x:v>1</x:v>
      </x:c>
      <x:c r="L6242" s="6" t="n">
        <x:f>J6242*K6242</x:f>
        <x:v>1</x:v>
      </x:c>
    </x:row>
    <x:row r="6243">
      <x:c r="A6243" s="1" t="n">
        <x:v>48948</x:v>
      </x:c>
      <x:c r="B6243" s="5" t="d">
        <x:v>2016-12-15T00:00:00.000Z</x:v>
      </x:c>
      <x:c r="C6243" s="1" t="str">
        <x:v>Standard Class</x:v>
      </x:c>
      <x:c r="D6243" s="1" t="str">
        <x:v>Pacific Asia</x:v>
      </x:c>
      <x:c r="E6243" s="1" t="str">
        <x:v>SUSPECTED_FRAUD</x:v>
      </x:c>
      <x:c r="F6243" s="1" t="str">
        <x:v>Shipping canceled</x:v>
      </x:c>
      <x:c r="G6243" s="6" t="n">
        <x:v>4</x:v>
      </x:c>
      <x:c r="H6243" s="6" t="n">
        <x:v>4</x:v>
      </x:c>
      <x:c r="I6243" s="6" t="n">
        <x:f>G6243-H6243</x:f>
        <x:v>0</x:v>
      </x:c>
      <x:c r="J6243" s="6" t="n">
        <x:f>IF(OR(E6243="CANCELED",E6243="SUSPECTED_FRAUD",F6243="Shipping canceled"),0,1)</x:f>
        <x:v>0</x:v>
      </x:c>
      <x:c r="K6243" s="6" t="n">
        <x:f>IF(G6243&gt;H6243,1,0)</x:f>
        <x:v>0</x:v>
      </x:c>
      <x:c r="L6243" s="6" t="n">
        <x:f>J6243*K6243</x:f>
        <x:v>0</x:v>
      </x:c>
    </x:row>
    <x:row r="6244">
      <x:c r="A6244" s="1" t="n">
        <x:v>48950</x:v>
      </x:c>
      <x:c r="B6244" s="5" t="d">
        <x:v>2016-12-15T00:00:00.000Z</x:v>
      </x:c>
      <x:c r="C6244" s="1" t="str">
        <x:v>Standard Class</x:v>
      </x:c>
      <x:c r="D6244" s="1" t="str">
        <x:v>Pacific Asia</x:v>
      </x:c>
      <x:c r="E6244" s="1" t="str">
        <x:v>COMPLETE</x:v>
      </x:c>
      <x:c r="F6244" s="1" t="str">
        <x:v>Late delivery</x:v>
      </x:c>
      <x:c r="G6244" s="6" t="n">
        <x:v>6</x:v>
      </x:c>
      <x:c r="H6244" s="6" t="n">
        <x:v>4</x:v>
      </x:c>
      <x:c r="I6244" s="6" t="n">
        <x:f>G6244-H6244</x:f>
        <x:v>2</x:v>
      </x:c>
      <x:c r="J6244" s="6" t="n">
        <x:f>IF(OR(E6244="CANCELED",E6244="SUSPECTED_FRAUD",F6244="Shipping canceled"),0,1)</x:f>
        <x:v>1</x:v>
      </x:c>
      <x:c r="K6244" s="6" t="n">
        <x:f>IF(G6244&gt;H6244,1,0)</x:f>
        <x:v>1</x:v>
      </x:c>
      <x:c r="L6244" s="6" t="n">
        <x:f>J6244*K6244</x:f>
        <x:v>1</x:v>
      </x:c>
    </x:row>
    <x:row r="6245">
      <x:c r="A6245" s="1" t="n">
        <x:v>48954</x:v>
      </x:c>
      <x:c r="B6245" s="5" t="d">
        <x:v>2016-12-15T00:00:00.000Z</x:v>
      </x:c>
      <x:c r="C6245" s="1" t="str">
        <x:v>Standard Class</x:v>
      </x:c>
      <x:c r="D6245" s="1" t="str">
        <x:v>Pacific Asia</x:v>
      </x:c>
      <x:c r="E6245" s="1" t="str">
        <x:v>CANCELED</x:v>
      </x:c>
      <x:c r="F6245" s="1" t="str">
        <x:v>Shipping canceled</x:v>
      </x:c>
      <x:c r="G6245" s="6" t="n">
        <x:v>5</x:v>
      </x:c>
      <x:c r="H6245" s="6" t="n">
        <x:v>4</x:v>
      </x:c>
      <x:c r="I6245" s="6" t="n">
        <x:f>G6245-H6245</x:f>
        <x:v>1</x:v>
      </x:c>
      <x:c r="J6245" s="6" t="n">
        <x:f>IF(OR(E6245="CANCELED",E6245="SUSPECTED_FRAUD",F6245="Shipping canceled"),0,1)</x:f>
        <x:v>0</x:v>
      </x:c>
      <x:c r="K6245" s="6" t="n">
        <x:f>IF(G6245&gt;H6245,1,0)</x:f>
        <x:v>1</x:v>
      </x:c>
      <x:c r="L6245" s="6" t="n">
        <x:f>J6245*K6245</x:f>
        <x:v>0</x:v>
      </x:c>
    </x:row>
    <x:row r="6246">
      <x:c r="A6246" s="1" t="n">
        <x:v>48973</x:v>
      </x:c>
      <x:c r="B6246" s="5" t="d">
        <x:v>2016-12-15T00:00:00.000Z</x:v>
      </x:c>
      <x:c r="C6246" s="1" t="str">
        <x:v>Standard Class</x:v>
      </x:c>
      <x:c r="D6246" s="1" t="str">
        <x:v>Pacific Asia</x:v>
      </x:c>
      <x:c r="E6246" s="1" t="str">
        <x:v>PENDING</x:v>
      </x:c>
      <x:c r="F6246" s="1" t="str">
        <x:v>Shipping on time</x:v>
      </x:c>
      <x:c r="G6246" s="6" t="n">
        <x:v>4</x:v>
      </x:c>
      <x:c r="H6246" s="6" t="n">
        <x:v>4</x:v>
      </x:c>
      <x:c r="I6246" s="6" t="n">
        <x:f>G6246-H6246</x:f>
        <x:v>0</x:v>
      </x:c>
      <x:c r="J6246" s="6" t="n">
        <x:f>IF(OR(E6246="CANCELED",E6246="SUSPECTED_FRAUD",F6246="Shipping canceled"),0,1)</x:f>
        <x:v>1</x:v>
      </x:c>
      <x:c r="K6246" s="6" t="n">
        <x:f>IF(G6246&gt;H6246,1,0)</x:f>
        <x:v>0</x:v>
      </x:c>
      <x:c r="L6246" s="6" t="n">
        <x:f>J6246*K6246</x:f>
        <x:v>0</x:v>
      </x:c>
    </x:row>
    <x:row r="6247">
      <x:c r="A6247" s="1" t="n">
        <x:v>48975</x:v>
      </x:c>
      <x:c r="B6247" s="5" t="d">
        <x:v>2016-12-15T00:00:00.000Z</x:v>
      </x:c>
      <x:c r="C6247" s="1" t="str">
        <x:v>Standard Class</x:v>
      </x:c>
      <x:c r="D6247" s="1" t="str">
        <x:v>Africa</x:v>
      </x:c>
      <x:c r="E6247" s="1" t="str">
        <x:v>COMPLETE</x:v>
      </x:c>
      <x:c r="F6247" s="1" t="str">
        <x:v>Late delivery</x:v>
      </x:c>
      <x:c r="G6247" s="6" t="n">
        <x:v>6</x:v>
      </x:c>
      <x:c r="H6247" s="6" t="n">
        <x:v>4</x:v>
      </x:c>
      <x:c r="I6247" s="6" t="n">
        <x:f>G6247-H6247</x:f>
        <x:v>2</x:v>
      </x:c>
      <x:c r="J6247" s="6" t="n">
        <x:f>IF(OR(E6247="CANCELED",E6247="SUSPECTED_FRAUD",F6247="Shipping canceled"),0,1)</x:f>
        <x:v>1</x:v>
      </x:c>
      <x:c r="K6247" s="6" t="n">
        <x:f>IF(G6247&gt;H6247,1,0)</x:f>
        <x:v>1</x:v>
      </x:c>
      <x:c r="L6247" s="6" t="n">
        <x:f>J6247*K6247</x:f>
        <x:v>1</x:v>
      </x:c>
    </x:row>
    <x:row r="6248">
      <x:c r="A6248" s="1" t="n">
        <x:v>48978</x:v>
      </x:c>
      <x:c r="B6248" s="5" t="d">
        <x:v>2016-12-15T00:00:00.000Z</x:v>
      </x:c>
      <x:c r="C6248" s="1" t="str">
        <x:v>Standard Class</x:v>
      </x:c>
      <x:c r="D6248" s="1" t="str">
        <x:v>Africa</x:v>
      </x:c>
      <x:c r="E6248" s="1" t="str">
        <x:v>CANCELED</x:v>
      </x:c>
      <x:c r="F6248" s="1" t="str">
        <x:v>Shipping canceled</x:v>
      </x:c>
      <x:c r="G6248" s="6" t="n">
        <x:v>4</x:v>
      </x:c>
      <x:c r="H6248" s="6" t="n">
        <x:v>4</x:v>
      </x:c>
      <x:c r="I6248" s="6" t="n">
        <x:f>G6248-H6248</x:f>
        <x:v>0</x:v>
      </x:c>
      <x:c r="J6248" s="6" t="n">
        <x:f>IF(OR(E6248="CANCELED",E6248="SUSPECTED_FRAUD",F6248="Shipping canceled"),0,1)</x:f>
        <x:v>0</x:v>
      </x:c>
      <x:c r="K6248" s="6" t="n">
        <x:f>IF(G6248&gt;H6248,1,0)</x:f>
        <x:v>0</x:v>
      </x:c>
      <x:c r="L6248" s="6" t="n">
        <x:f>J6248*K6248</x:f>
        <x:v>0</x:v>
      </x:c>
    </x:row>
    <x:row r="6249">
      <x:c r="A6249" s="1" t="n">
        <x:v>48982</x:v>
      </x:c>
      <x:c r="B6249" s="5" t="d">
        <x:v>2016-12-16T00:00:00.000Z</x:v>
      </x:c>
      <x:c r="C6249" s="1" t="str">
        <x:v>Standard Class</x:v>
      </x:c>
      <x:c r="D6249" s="1" t="str">
        <x:v>Africa</x:v>
      </x:c>
      <x:c r="E6249" s="1" t="str">
        <x:v>COMPLETE</x:v>
      </x:c>
      <x:c r="F6249" s="1" t="str">
        <x:v>Advance shipping</x:v>
      </x:c>
      <x:c r="G6249" s="6" t="n">
        <x:v>3</x:v>
      </x:c>
      <x:c r="H6249" s="6" t="n">
        <x:v>4</x:v>
      </x:c>
      <x:c r="I6249" s="6" t="n">
        <x:f>G6249-H6249</x:f>
        <x:v>-1</x:v>
      </x:c>
      <x:c r="J6249" s="6" t="n">
        <x:f>IF(OR(E6249="CANCELED",E6249="SUSPECTED_FRAUD",F6249="Shipping canceled"),0,1)</x:f>
        <x:v>1</x:v>
      </x:c>
      <x:c r="K6249" s="6" t="n">
        <x:f>IF(G6249&gt;H6249,1,0)</x:f>
        <x:v>0</x:v>
      </x:c>
      <x:c r="L6249" s="6" t="n">
        <x:f>J6249*K6249</x:f>
        <x:v>0</x:v>
      </x:c>
    </x:row>
    <x:row r="6250">
      <x:c r="A6250" s="1" t="n">
        <x:v>48983</x:v>
      </x:c>
      <x:c r="B6250" s="5" t="d">
        <x:v>2016-12-16T00:00:00.000Z</x:v>
      </x:c>
      <x:c r="C6250" s="1" t="str">
        <x:v>Standard Class</x:v>
      </x:c>
      <x:c r="D6250" s="1" t="str">
        <x:v>Africa</x:v>
      </x:c>
      <x:c r="E6250" s="1" t="str">
        <x:v>COMPLETE</x:v>
      </x:c>
      <x:c r="F6250" s="1" t="str">
        <x:v>Shipping on time</x:v>
      </x:c>
      <x:c r="G6250" s="6" t="n">
        <x:v>4</x:v>
      </x:c>
      <x:c r="H6250" s="6" t="n">
        <x:v>4</x:v>
      </x:c>
      <x:c r="I6250" s="6" t="n">
        <x:f>G6250-H6250</x:f>
        <x:v>0</x:v>
      </x:c>
      <x:c r="J6250" s="6" t="n">
        <x:f>IF(OR(E6250="CANCELED",E6250="SUSPECTED_FRAUD",F6250="Shipping canceled"),0,1)</x:f>
        <x:v>1</x:v>
      </x:c>
      <x:c r="K6250" s="6" t="n">
        <x:f>IF(G6250&gt;H6250,1,0)</x:f>
        <x:v>0</x:v>
      </x:c>
      <x:c r="L6250" s="6" t="n">
        <x:f>J6250*K6250</x:f>
        <x:v>0</x:v>
      </x:c>
    </x:row>
    <x:row r="6251">
      <x:c r="A6251" s="1" t="n">
        <x:v>48998</x:v>
      </x:c>
      <x:c r="B6251" s="5" t="d">
        <x:v>2016-12-16T00:00:00.000Z</x:v>
      </x:c>
      <x:c r="C6251" s="1" t="str">
        <x:v>Same Day</x:v>
      </x:c>
      <x:c r="D6251" s="1" t="str">
        <x:v>Europe</x:v>
      </x:c>
      <x:c r="E6251" s="1" t="str">
        <x:v>COMPLETE</x:v>
      </x:c>
      <x:c r="F6251" s="1" t="str">
        <x:v>Shipping on time</x:v>
      </x:c>
      <x:c r="G6251" s="6" t="n">
        <x:v>0</x:v>
      </x:c>
      <x:c r="H6251" s="6" t="n">
        <x:v>0</x:v>
      </x:c>
      <x:c r="I6251" s="6" t="n">
        <x:f>G6251-H6251</x:f>
        <x:v>0</x:v>
      </x:c>
      <x:c r="J6251" s="6" t="n">
        <x:f>IF(OR(E6251="CANCELED",E6251="SUSPECTED_FRAUD",F6251="Shipping canceled"),0,1)</x:f>
        <x:v>1</x:v>
      </x:c>
      <x:c r="K6251" s="6" t="n">
        <x:f>IF(G6251&gt;H6251,1,0)</x:f>
        <x:v>0</x:v>
      </x:c>
      <x:c r="L6251" s="6" t="n">
        <x:f>J6251*K6251</x:f>
        <x:v>0</x:v>
      </x:c>
    </x:row>
    <x:row r="6252">
      <x:c r="A6252" s="1" t="n">
        <x:v>49019</x:v>
      </x:c>
      <x:c r="B6252" s="5" t="d">
        <x:v>2016-12-16T00:00:00.000Z</x:v>
      </x:c>
      <x:c r="C6252" s="1" t="str">
        <x:v>Standard Class</x:v>
      </x:c>
      <x:c r="D6252" s="1" t="str">
        <x:v>Europe</x:v>
      </x:c>
      <x:c r="E6252" s="1" t="str">
        <x:v>COMPLETE</x:v>
      </x:c>
      <x:c r="F6252" s="1" t="str">
        <x:v>Late delivery</x:v>
      </x:c>
      <x:c r="G6252" s="6" t="n">
        <x:v>5</x:v>
      </x:c>
      <x:c r="H6252" s="6" t="n">
        <x:v>4</x:v>
      </x:c>
      <x:c r="I6252" s="6" t="n">
        <x:f>G6252-H6252</x:f>
        <x:v>1</x:v>
      </x:c>
      <x:c r="J6252" s="6" t="n">
        <x:f>IF(OR(E6252="CANCELED",E6252="SUSPECTED_FRAUD",F6252="Shipping canceled"),0,1)</x:f>
        <x:v>1</x:v>
      </x:c>
      <x:c r="K6252" s="6" t="n">
        <x:f>IF(G6252&gt;H6252,1,0)</x:f>
        <x:v>1</x:v>
      </x:c>
      <x:c r="L6252" s="6" t="n">
        <x:f>J6252*K6252</x:f>
        <x:v>1</x:v>
      </x:c>
    </x:row>
    <x:row r="6253">
      <x:c r="A6253" s="1" t="n">
        <x:v>49021</x:v>
      </x:c>
      <x:c r="B6253" s="5" t="d">
        <x:v>2016-12-16T00:00:00.000Z</x:v>
      </x:c>
      <x:c r="C6253" s="1" t="str">
        <x:v>Standard Class</x:v>
      </x:c>
      <x:c r="D6253" s="1" t="str">
        <x:v>Africa</x:v>
      </x:c>
      <x:c r="E6253" s="1" t="str">
        <x:v>COMPLETE</x:v>
      </x:c>
      <x:c r="F6253" s="1" t="str">
        <x:v>Advance shipping</x:v>
      </x:c>
      <x:c r="G6253" s="6" t="n">
        <x:v>2</x:v>
      </x:c>
      <x:c r="H6253" s="6" t="n">
        <x:v>4</x:v>
      </x:c>
      <x:c r="I6253" s="6" t="n">
        <x:f>G6253-H6253</x:f>
        <x:v>-2</x:v>
      </x:c>
      <x:c r="J6253" s="6" t="n">
        <x:f>IF(OR(E6253="CANCELED",E6253="SUSPECTED_FRAUD",F6253="Shipping canceled"),0,1)</x:f>
        <x:v>1</x:v>
      </x:c>
      <x:c r="K6253" s="6" t="n">
        <x:f>IF(G6253&gt;H6253,1,0)</x:f>
        <x:v>0</x:v>
      </x:c>
      <x:c r="L6253" s="6" t="n">
        <x:f>J6253*K6253</x:f>
        <x:v>0</x:v>
      </x:c>
    </x:row>
    <x:row r="6254">
      <x:c r="A6254" s="1" t="n">
        <x:v>49024</x:v>
      </x:c>
      <x:c r="B6254" s="5" t="d">
        <x:v>2016-12-16T00:00:00.000Z</x:v>
      </x:c>
      <x:c r="C6254" s="1" t="str">
        <x:v>Standard Class</x:v>
      </x:c>
      <x:c r="D6254" s="1" t="str">
        <x:v>Africa</x:v>
      </x:c>
      <x:c r="E6254" s="1" t="str">
        <x:v>COMPLETE</x:v>
      </x:c>
      <x:c r="F6254" s="1" t="str">
        <x:v>Late delivery</x:v>
      </x:c>
      <x:c r="G6254" s="6" t="n">
        <x:v>5</x:v>
      </x:c>
      <x:c r="H6254" s="6" t="n">
        <x:v>4</x:v>
      </x:c>
      <x:c r="I6254" s="6" t="n">
        <x:f>G6254-H6254</x:f>
        <x:v>1</x:v>
      </x:c>
      <x:c r="J6254" s="6" t="n">
        <x:f>IF(OR(E6254="CANCELED",E6254="SUSPECTED_FRAUD",F6254="Shipping canceled"),0,1)</x:f>
        <x:v>1</x:v>
      </x:c>
      <x:c r="K6254" s="6" t="n">
        <x:f>IF(G6254&gt;H6254,1,0)</x:f>
        <x:v>1</x:v>
      </x:c>
      <x:c r="L6254" s="6" t="n">
        <x:f>J6254*K6254</x:f>
        <x:v>1</x:v>
      </x:c>
    </x:row>
    <x:row r="6255">
      <x:c r="A6255" s="1" t="n">
        <x:v>49031</x:v>
      </x:c>
      <x:c r="B6255" s="5" t="d">
        <x:v>2016-12-16T00:00:00.000Z</x:v>
      </x:c>
      <x:c r="C6255" s="1" t="str">
        <x:v>Standard Class</x:v>
      </x:c>
      <x:c r="D6255" s="1" t="str">
        <x:v>USCA</x:v>
      </x:c>
      <x:c r="E6255" s="1" t="str">
        <x:v>PENDING</x:v>
      </x:c>
      <x:c r="F6255" s="1" t="str">
        <x:v>Advance shipping</x:v>
      </x:c>
      <x:c r="G6255" s="6" t="n">
        <x:v>2</x:v>
      </x:c>
      <x:c r="H6255" s="6" t="n">
        <x:v>4</x:v>
      </x:c>
      <x:c r="I6255" s="6" t="n">
        <x:f>G6255-H6255</x:f>
        <x:v>-2</x:v>
      </x:c>
      <x:c r="J6255" s="6" t="n">
        <x:f>IF(OR(E6255="CANCELED",E6255="SUSPECTED_FRAUD",F6255="Shipping canceled"),0,1)</x:f>
        <x:v>1</x:v>
      </x:c>
      <x:c r="K6255" s="6" t="n">
        <x:f>IF(G6255&gt;H6255,1,0)</x:f>
        <x:v>0</x:v>
      </x:c>
      <x:c r="L6255" s="6" t="n">
        <x:f>J6255*K6255</x:f>
        <x:v>0</x:v>
      </x:c>
    </x:row>
    <x:row r="6256">
      <x:c r="A6256" s="1" t="n">
        <x:v>49035</x:v>
      </x:c>
      <x:c r="B6256" s="5" t="d">
        <x:v>2016-12-16T00:00:00.000Z</x:v>
      </x:c>
      <x:c r="C6256" s="1" t="str">
        <x:v>Standard Class</x:v>
      </x:c>
      <x:c r="D6256" s="1" t="str">
        <x:v>Africa</x:v>
      </x:c>
      <x:c r="E6256" s="1" t="str">
        <x:v>ON_HOLD</x:v>
      </x:c>
      <x:c r="F6256" s="1" t="str">
        <x:v>Late delivery</x:v>
      </x:c>
      <x:c r="G6256" s="6" t="n">
        <x:v>6</x:v>
      </x:c>
      <x:c r="H6256" s="6" t="n">
        <x:v>4</x:v>
      </x:c>
      <x:c r="I6256" s="6" t="n">
        <x:f>G6256-H6256</x:f>
        <x:v>2</x:v>
      </x:c>
      <x:c r="J6256" s="6" t="n">
        <x:f>IF(OR(E6256="CANCELED",E6256="SUSPECTED_FRAUD",F6256="Shipping canceled"),0,1)</x:f>
        <x:v>1</x:v>
      </x:c>
      <x:c r="K6256" s="6" t="n">
        <x:f>IF(G6256&gt;H6256,1,0)</x:f>
        <x:v>1</x:v>
      </x:c>
      <x:c r="L6256" s="6" t="n">
        <x:f>J6256*K6256</x:f>
        <x:v>1</x:v>
      </x:c>
    </x:row>
    <x:row r="6257">
      <x:c r="A6257" s="1" t="n">
        <x:v>49048</x:v>
      </x:c>
      <x:c r="B6257" s="5" t="d">
        <x:v>2016-12-16T00:00:00.000Z</x:v>
      </x:c>
      <x:c r="C6257" s="1" t="str">
        <x:v>First Class</x:v>
      </x:c>
      <x:c r="D6257" s="1" t="str">
        <x:v>Africa</x:v>
      </x:c>
      <x:c r="E6257" s="1" t="str">
        <x:v>CLOSED</x:v>
      </x:c>
      <x:c r="F6257" s="1" t="str">
        <x:v>Late delivery</x:v>
      </x:c>
      <x:c r="G6257" s="6" t="n">
        <x:v>2</x:v>
      </x:c>
      <x:c r="H6257" s="6" t="n">
        <x:v>1</x:v>
      </x:c>
      <x:c r="I6257" s="6" t="n">
        <x:f>G6257-H6257</x:f>
        <x:v>1</x:v>
      </x:c>
      <x:c r="J6257" s="6" t="n">
        <x:f>IF(OR(E6257="CANCELED",E6257="SUSPECTED_FRAUD",F6257="Shipping canceled"),0,1)</x:f>
        <x:v>1</x:v>
      </x:c>
      <x:c r="K6257" s="6" t="n">
        <x:f>IF(G6257&gt;H6257,1,0)</x:f>
        <x:v>1</x:v>
      </x:c>
      <x:c r="L6257" s="6" t="n">
        <x:f>J6257*K6257</x:f>
        <x:v>1</x:v>
      </x:c>
    </x:row>
    <x:row r="6258">
      <x:c r="A6258" s="1" t="n">
        <x:v>49054</x:v>
      </x:c>
      <x:c r="B6258" s="5" t="d">
        <x:v>2016-12-17T00:00:00.000Z</x:v>
      </x:c>
      <x:c r="C6258" s="1" t="str">
        <x:v>Second Class</x:v>
      </x:c>
      <x:c r="D6258" s="1" t="str">
        <x:v>Pacific Asia</x:v>
      </x:c>
      <x:c r="E6258" s="1" t="str">
        <x:v>PROCESSING</x:v>
      </x:c>
      <x:c r="F6258" s="1" t="str">
        <x:v>Late delivery</x:v>
      </x:c>
      <x:c r="G6258" s="6" t="n">
        <x:v>5</x:v>
      </x:c>
      <x:c r="H6258" s="6" t="n">
        <x:v>2</x:v>
      </x:c>
      <x:c r="I6258" s="6" t="n">
        <x:f>G6258-H6258</x:f>
        <x:v>3</x:v>
      </x:c>
      <x:c r="J6258" s="6" t="n">
        <x:f>IF(OR(E6258="CANCELED",E6258="SUSPECTED_FRAUD",F6258="Shipping canceled"),0,1)</x:f>
        <x:v>1</x:v>
      </x:c>
      <x:c r="K6258" s="6" t="n">
        <x:f>IF(G6258&gt;H6258,1,0)</x:f>
        <x:v>1</x:v>
      </x:c>
      <x:c r="L6258" s="6" t="n">
        <x:f>J6258*K6258</x:f>
        <x:v>1</x:v>
      </x:c>
    </x:row>
    <x:row r="6259">
      <x:c r="A6259" s="1" t="n">
        <x:v>49056</x:v>
      </x:c>
      <x:c r="B6259" s="5" t="d">
        <x:v>2016-12-17T00:00:00.000Z</x:v>
      </x:c>
      <x:c r="C6259" s="1" t="str">
        <x:v>Second Class</x:v>
      </x:c>
      <x:c r="D6259" s="1" t="str">
        <x:v>Pacific Asia</x:v>
      </x:c>
      <x:c r="E6259" s="1" t="str">
        <x:v>COMPLETE</x:v>
      </x:c>
      <x:c r="F6259" s="1" t="str">
        <x:v>Shipping on time</x:v>
      </x:c>
      <x:c r="G6259" s="6" t="n">
        <x:v>2</x:v>
      </x:c>
      <x:c r="H6259" s="6" t="n">
        <x:v>2</x:v>
      </x:c>
      <x:c r="I6259" s="6" t="n">
        <x:f>G6259-H6259</x:f>
        <x:v>0</x:v>
      </x:c>
      <x:c r="J6259" s="6" t="n">
        <x:f>IF(OR(E6259="CANCELED",E6259="SUSPECTED_FRAUD",F6259="Shipping canceled"),0,1)</x:f>
        <x:v>1</x:v>
      </x:c>
      <x:c r="K6259" s="6" t="n">
        <x:f>IF(G6259&gt;H6259,1,0)</x:f>
        <x:v>0</x:v>
      </x:c>
      <x:c r="L6259" s="6" t="n">
        <x:f>J6259*K6259</x:f>
        <x:v>0</x:v>
      </x:c>
    </x:row>
    <x:row r="6260">
      <x:c r="A6260" s="1" t="n">
        <x:v>49059</x:v>
      </x:c>
      <x:c r="B6260" s="5" t="d">
        <x:v>2016-12-17T00:00:00.000Z</x:v>
      </x:c>
      <x:c r="C6260" s="1" t="str">
        <x:v>Standard Class</x:v>
      </x:c>
      <x:c r="D6260" s="1" t="str">
        <x:v>Pacific Asia</x:v>
      </x:c>
      <x:c r="E6260" s="1" t="str">
        <x:v>COMPLETE</x:v>
      </x:c>
      <x:c r="F6260" s="1" t="str">
        <x:v>Late delivery</x:v>
      </x:c>
      <x:c r="G6260" s="6" t="n">
        <x:v>5</x:v>
      </x:c>
      <x:c r="H6260" s="6" t="n">
        <x:v>4</x:v>
      </x:c>
      <x:c r="I6260" s="6" t="n">
        <x:f>G6260-H6260</x:f>
        <x:v>1</x:v>
      </x:c>
      <x:c r="J6260" s="6" t="n">
        <x:f>IF(OR(E6260="CANCELED",E6260="SUSPECTED_FRAUD",F6260="Shipping canceled"),0,1)</x:f>
        <x:v>1</x:v>
      </x:c>
      <x:c r="K6260" s="6" t="n">
        <x:f>IF(G6260&gt;H6260,1,0)</x:f>
        <x:v>1</x:v>
      </x:c>
      <x:c r="L6260" s="6" t="n">
        <x:f>J6260*K6260</x:f>
        <x:v>1</x:v>
      </x:c>
    </x:row>
    <x:row r="6261">
      <x:c r="A6261" s="1" t="n">
        <x:v>49060</x:v>
      </x:c>
      <x:c r="B6261" s="5" t="d">
        <x:v>2016-12-17T00:00:00.000Z</x:v>
      </x:c>
      <x:c r="C6261" s="1" t="str">
        <x:v>Standard Class</x:v>
      </x:c>
      <x:c r="D6261" s="1" t="str">
        <x:v>Europe</x:v>
      </x:c>
      <x:c r="E6261" s="1" t="str">
        <x:v>COMPLETE</x:v>
      </x:c>
      <x:c r="F6261" s="1" t="str">
        <x:v>Late delivery</x:v>
      </x:c>
      <x:c r="G6261" s="6" t="n">
        <x:v>6</x:v>
      </x:c>
      <x:c r="H6261" s="6" t="n">
        <x:v>4</x:v>
      </x:c>
      <x:c r="I6261" s="6" t="n">
        <x:f>G6261-H6261</x:f>
        <x:v>2</x:v>
      </x:c>
      <x:c r="J6261" s="6" t="n">
        <x:f>IF(OR(E6261="CANCELED",E6261="SUSPECTED_FRAUD",F6261="Shipping canceled"),0,1)</x:f>
        <x:v>1</x:v>
      </x:c>
      <x:c r="K6261" s="6" t="n">
        <x:f>IF(G6261&gt;H6261,1,0)</x:f>
        <x:v>1</x:v>
      </x:c>
      <x:c r="L6261" s="6" t="n">
        <x:f>J6261*K6261</x:f>
        <x:v>1</x:v>
      </x:c>
    </x:row>
    <x:row r="6262">
      <x:c r="A6262" s="1" t="n">
        <x:v>49075</x:v>
      </x:c>
      <x:c r="B6262" s="5" t="d">
        <x:v>2016-12-17T00:00:00.000Z</x:v>
      </x:c>
      <x:c r="C6262" s="1" t="str">
        <x:v>Standard Class</x:v>
      </x:c>
      <x:c r="D6262" s="1" t="str">
        <x:v>USCA</x:v>
      </x:c>
      <x:c r="E6262" s="1" t="str">
        <x:v>SUSPECTED_FRAUD</x:v>
      </x:c>
      <x:c r="F6262" s="1" t="str">
        <x:v>Shipping canceled</x:v>
      </x:c>
      <x:c r="G6262" s="6" t="n">
        <x:v>6</x:v>
      </x:c>
      <x:c r="H6262" s="6" t="n">
        <x:v>4</x:v>
      </x:c>
      <x:c r="I6262" s="6" t="n">
        <x:f>G6262-H6262</x:f>
        <x:v>2</x:v>
      </x:c>
      <x:c r="J6262" s="6" t="n">
        <x:f>IF(OR(E6262="CANCELED",E6262="SUSPECTED_FRAUD",F6262="Shipping canceled"),0,1)</x:f>
        <x:v>0</x:v>
      </x:c>
      <x:c r="K6262" s="6" t="n">
        <x:f>IF(G6262&gt;H6262,1,0)</x:f>
        <x:v>1</x:v>
      </x:c>
      <x:c r="L6262" s="6" t="n">
        <x:f>J6262*K6262</x:f>
        <x:v>0</x:v>
      </x:c>
    </x:row>
    <x:row r="6263">
      <x:c r="A6263" s="1" t="n">
        <x:v>49076</x:v>
      </x:c>
      <x:c r="B6263" s="5" t="d">
        <x:v>2016-12-17T00:00:00.000Z</x:v>
      </x:c>
      <x:c r="C6263" s="1" t="str">
        <x:v>Standard Class</x:v>
      </x:c>
      <x:c r="D6263" s="1" t="str">
        <x:v>USCA</x:v>
      </x:c>
      <x:c r="E6263" s="1" t="str">
        <x:v>PENDING</x:v>
      </x:c>
      <x:c r="F6263" s="1" t="str">
        <x:v>Advance shipping</x:v>
      </x:c>
      <x:c r="G6263" s="6" t="n">
        <x:v>2</x:v>
      </x:c>
      <x:c r="H6263" s="6" t="n">
        <x:v>4</x:v>
      </x:c>
      <x:c r="I6263" s="6" t="n">
        <x:f>G6263-H6263</x:f>
        <x:v>-2</x:v>
      </x:c>
      <x:c r="J6263" s="6" t="n">
        <x:f>IF(OR(E6263="CANCELED",E6263="SUSPECTED_FRAUD",F6263="Shipping canceled"),0,1)</x:f>
        <x:v>1</x:v>
      </x:c>
      <x:c r="K6263" s="6" t="n">
        <x:f>IF(G6263&gt;H6263,1,0)</x:f>
        <x:v>0</x:v>
      </x:c>
      <x:c r="L6263" s="6" t="n">
        <x:f>J6263*K6263</x:f>
        <x:v>0</x:v>
      </x:c>
    </x:row>
    <x:row r="6264">
      <x:c r="A6264" s="1" t="n">
        <x:v>49081</x:v>
      </x:c>
      <x:c r="B6264" s="5" t="d">
        <x:v>2016-12-17T00:00:00.000Z</x:v>
      </x:c>
      <x:c r="C6264" s="1" t="str">
        <x:v>Standard Class</x:v>
      </x:c>
      <x:c r="D6264" s="1" t="str">
        <x:v>Europe</x:v>
      </x:c>
      <x:c r="E6264" s="1" t="str">
        <x:v>COMPLETE</x:v>
      </x:c>
      <x:c r="F6264" s="1" t="str">
        <x:v>Advance shipping</x:v>
      </x:c>
      <x:c r="G6264" s="6" t="n">
        <x:v>2</x:v>
      </x:c>
      <x:c r="H6264" s="6" t="n">
        <x:v>4</x:v>
      </x:c>
      <x:c r="I6264" s="6" t="n">
        <x:f>G6264-H6264</x:f>
        <x:v>-2</x:v>
      </x:c>
      <x:c r="J6264" s="6" t="n">
        <x:f>IF(OR(E6264="CANCELED",E6264="SUSPECTED_FRAUD",F6264="Shipping canceled"),0,1)</x:f>
        <x:v>1</x:v>
      </x:c>
      <x:c r="K6264" s="6" t="n">
        <x:f>IF(G6264&gt;H6264,1,0)</x:f>
        <x:v>0</x:v>
      </x:c>
      <x:c r="L6264" s="6" t="n">
        <x:f>J6264*K6264</x:f>
        <x:v>0</x:v>
      </x:c>
    </x:row>
    <x:row r="6265">
      <x:c r="A6265" s="1" t="n">
        <x:v>49086</x:v>
      </x:c>
      <x:c r="B6265" s="5" t="d">
        <x:v>2016-12-17T00:00:00.000Z</x:v>
      </x:c>
      <x:c r="C6265" s="1" t="str">
        <x:v>Standard Class</x:v>
      </x:c>
      <x:c r="D6265" s="1" t="str">
        <x:v>Europe</x:v>
      </x:c>
      <x:c r="E6265" s="1" t="str">
        <x:v>COMPLETE</x:v>
      </x:c>
      <x:c r="F6265" s="1" t="str">
        <x:v>Advance shipping</x:v>
      </x:c>
      <x:c r="G6265" s="6" t="n">
        <x:v>2</x:v>
      </x:c>
      <x:c r="H6265" s="6" t="n">
        <x:v>4</x:v>
      </x:c>
      <x:c r="I6265" s="6" t="n">
        <x:f>G6265-H6265</x:f>
        <x:v>-2</x:v>
      </x:c>
      <x:c r="J6265" s="6" t="n">
        <x:f>IF(OR(E6265="CANCELED",E6265="SUSPECTED_FRAUD",F6265="Shipping canceled"),0,1)</x:f>
        <x:v>1</x:v>
      </x:c>
      <x:c r="K6265" s="6" t="n">
        <x:f>IF(G6265&gt;H6265,1,0)</x:f>
        <x:v>0</x:v>
      </x:c>
      <x:c r="L6265" s="6" t="n">
        <x:f>J6265*K6265</x:f>
        <x:v>0</x:v>
      </x:c>
    </x:row>
    <x:row r="6266">
      <x:c r="A6266" s="1" t="n">
        <x:v>49099</x:v>
      </x:c>
      <x:c r="B6266" s="5" t="d">
        <x:v>2016-12-17T00:00:00.000Z</x:v>
      </x:c>
      <x:c r="C6266" s="1" t="str">
        <x:v>First Class</x:v>
      </x:c>
      <x:c r="D6266" s="1" t="str">
        <x:v>Africa</x:v>
      </x:c>
      <x:c r="E6266" s="1" t="str">
        <x:v>PENDING_PAYMENT</x:v>
      </x:c>
      <x:c r="F6266" s="1" t="str">
        <x:v>Late delivery</x:v>
      </x:c>
      <x:c r="G6266" s="6" t="n">
        <x:v>2</x:v>
      </x:c>
      <x:c r="H6266" s="6" t="n">
        <x:v>1</x:v>
      </x:c>
      <x:c r="I6266" s="6" t="n">
        <x:f>G6266-H6266</x:f>
        <x:v>1</x:v>
      </x:c>
      <x:c r="J6266" s="6" t="n">
        <x:f>IF(OR(E6266="CANCELED",E6266="SUSPECTED_FRAUD",F6266="Shipping canceled"),0,1)</x:f>
        <x:v>1</x:v>
      </x:c>
      <x:c r="K6266" s="6" t="n">
        <x:f>IF(G6266&gt;H6266,1,0)</x:f>
        <x:v>1</x:v>
      </x:c>
      <x:c r="L6266" s="6" t="n">
        <x:f>J6266*K6266</x:f>
        <x:v>1</x:v>
      </x:c>
    </x:row>
    <x:row r="6267">
      <x:c r="A6267" s="1" t="n">
        <x:v>49101</x:v>
      </x:c>
      <x:c r="B6267" s="5" t="d">
        <x:v>2016-12-17T00:00:00.000Z</x:v>
      </x:c>
      <x:c r="C6267" s="1" t="str">
        <x:v>First Class</x:v>
      </x:c>
      <x:c r="D6267" s="1" t="str">
        <x:v>Africa</x:v>
      </x:c>
      <x:c r="E6267" s="1" t="str">
        <x:v>PENDING_PAYMENT</x:v>
      </x:c>
      <x:c r="F6267" s="1" t="str">
        <x:v>Late delivery</x:v>
      </x:c>
      <x:c r="G6267" s="6" t="n">
        <x:v>2</x:v>
      </x:c>
      <x:c r="H6267" s="6" t="n">
        <x:v>1</x:v>
      </x:c>
      <x:c r="I6267" s="6" t="n">
        <x:f>G6267-H6267</x:f>
        <x:v>1</x:v>
      </x:c>
      <x:c r="J6267" s="6" t="n">
        <x:f>IF(OR(E6267="CANCELED",E6267="SUSPECTED_FRAUD",F6267="Shipping canceled"),0,1)</x:f>
        <x:v>1</x:v>
      </x:c>
      <x:c r="K6267" s="6" t="n">
        <x:f>IF(G6267&gt;H6267,1,0)</x:f>
        <x:v>1</x:v>
      </x:c>
      <x:c r="L6267" s="6" t="n">
        <x:f>J6267*K6267</x:f>
        <x:v>1</x:v>
      </x:c>
    </x:row>
    <x:row r="6268">
      <x:c r="A6268" s="1" t="n">
        <x:v>49107</x:v>
      </x:c>
      <x:c r="B6268" s="5" t="d">
        <x:v>2016-12-17T00:00:00.000Z</x:v>
      </x:c>
      <x:c r="C6268" s="1" t="str">
        <x:v>First Class</x:v>
      </x:c>
      <x:c r="D6268" s="1" t="str">
        <x:v>Europe</x:v>
      </x:c>
      <x:c r="E6268" s="1" t="str">
        <x:v>PENDING_PAYMENT</x:v>
      </x:c>
      <x:c r="F6268" s="1" t="str">
        <x:v>Late delivery</x:v>
      </x:c>
      <x:c r="G6268" s="6" t="n">
        <x:v>2</x:v>
      </x:c>
      <x:c r="H6268" s="6" t="n">
        <x:v>1</x:v>
      </x:c>
      <x:c r="I6268" s="6" t="n">
        <x:f>G6268-H6268</x:f>
        <x:v>1</x:v>
      </x:c>
      <x:c r="J6268" s="6" t="n">
        <x:f>IF(OR(E6268="CANCELED",E6268="SUSPECTED_FRAUD",F6268="Shipping canceled"),0,1)</x:f>
        <x:v>1</x:v>
      </x:c>
      <x:c r="K6268" s="6" t="n">
        <x:f>IF(G6268&gt;H6268,1,0)</x:f>
        <x:v>1</x:v>
      </x:c>
      <x:c r="L6268" s="6" t="n">
        <x:f>J6268*K6268</x:f>
        <x:v>1</x:v>
      </x:c>
    </x:row>
    <x:row r="6269">
      <x:c r="A6269" s="1" t="n">
        <x:v>49109</x:v>
      </x:c>
      <x:c r="B6269" s="5" t="d">
        <x:v>2016-12-17T00:00:00.000Z</x:v>
      </x:c>
      <x:c r="C6269" s="1" t="str">
        <x:v>Standard Class</x:v>
      </x:c>
      <x:c r="D6269" s="1" t="str">
        <x:v>Africa</x:v>
      </x:c>
      <x:c r="E6269" s="1" t="str">
        <x:v>PENDING</x:v>
      </x:c>
      <x:c r="F6269" s="1" t="str">
        <x:v>Late delivery</x:v>
      </x:c>
      <x:c r="G6269" s="6" t="n">
        <x:v>5</x:v>
      </x:c>
      <x:c r="H6269" s="6" t="n">
        <x:v>4</x:v>
      </x:c>
      <x:c r="I6269" s="6" t="n">
        <x:f>G6269-H6269</x:f>
        <x:v>1</x:v>
      </x:c>
      <x:c r="J6269" s="6" t="n">
        <x:f>IF(OR(E6269="CANCELED",E6269="SUSPECTED_FRAUD",F6269="Shipping canceled"),0,1)</x:f>
        <x:v>1</x:v>
      </x:c>
      <x:c r="K6269" s="6" t="n">
        <x:f>IF(G6269&gt;H6269,1,0)</x:f>
        <x:v>1</x:v>
      </x:c>
      <x:c r="L6269" s="6" t="n">
        <x:f>J6269*K6269</x:f>
        <x:v>1</x:v>
      </x:c>
    </x:row>
    <x:row r="6270">
      <x:c r="A6270" s="1" t="n">
        <x:v>49113</x:v>
      </x:c>
      <x:c r="B6270" s="5" t="d">
        <x:v>2016-12-17T00:00:00.000Z</x:v>
      </x:c>
      <x:c r="C6270" s="1" t="str">
        <x:v>Second Class</x:v>
      </x:c>
      <x:c r="D6270" s="1" t="str">
        <x:v>Africa</x:v>
      </x:c>
      <x:c r="E6270" s="1" t="str">
        <x:v>PENDING_PAYMENT</x:v>
      </x:c>
      <x:c r="F6270" s="1" t="str">
        <x:v>Late delivery</x:v>
      </x:c>
      <x:c r="G6270" s="6" t="n">
        <x:v>4</x:v>
      </x:c>
      <x:c r="H6270" s="6" t="n">
        <x:v>2</x:v>
      </x:c>
      <x:c r="I6270" s="6" t="n">
        <x:f>G6270-H6270</x:f>
        <x:v>2</x:v>
      </x:c>
      <x:c r="J6270" s="6" t="n">
        <x:f>IF(OR(E6270="CANCELED",E6270="SUSPECTED_FRAUD",F6270="Shipping canceled"),0,1)</x:f>
        <x:v>1</x:v>
      </x:c>
      <x:c r="K6270" s="6" t="n">
        <x:f>IF(G6270&gt;H6270,1,0)</x:f>
        <x:v>1</x:v>
      </x:c>
      <x:c r="L6270" s="6" t="n">
        <x:f>J6270*K6270</x:f>
        <x:v>1</x:v>
      </x:c>
    </x:row>
    <x:row r="6271">
      <x:c r="A6271" s="1" t="n">
        <x:v>49119</x:v>
      </x:c>
      <x:c r="B6271" s="5" t="d">
        <x:v>2016-12-18T00:00:00.000Z</x:v>
      </x:c>
      <x:c r="C6271" s="1" t="str">
        <x:v>Standard Class</x:v>
      </x:c>
      <x:c r="D6271" s="1" t="str">
        <x:v>Pacific Asia</x:v>
      </x:c>
      <x:c r="E6271" s="1" t="str">
        <x:v>COMPLETE</x:v>
      </x:c>
      <x:c r="F6271" s="1" t="str">
        <x:v>Late delivery</x:v>
      </x:c>
      <x:c r="G6271" s="6" t="n">
        <x:v>5</x:v>
      </x:c>
      <x:c r="H6271" s="6" t="n">
        <x:v>4</x:v>
      </x:c>
      <x:c r="I6271" s="6" t="n">
        <x:f>G6271-H6271</x:f>
        <x:v>1</x:v>
      </x:c>
      <x:c r="J6271" s="6" t="n">
        <x:f>IF(OR(E6271="CANCELED",E6271="SUSPECTED_FRAUD",F6271="Shipping canceled"),0,1)</x:f>
        <x:v>1</x:v>
      </x:c>
      <x:c r="K6271" s="6" t="n">
        <x:f>IF(G6271&gt;H6271,1,0)</x:f>
        <x:v>1</x:v>
      </x:c>
      <x:c r="L6271" s="6" t="n">
        <x:f>J6271*K6271</x:f>
        <x:v>1</x:v>
      </x:c>
    </x:row>
    <x:row r="6272">
      <x:c r="A6272" s="1" t="n">
        <x:v>49134</x:v>
      </x:c>
      <x:c r="B6272" s="5" t="d">
        <x:v>2016-12-18T00:00:00.000Z</x:v>
      </x:c>
      <x:c r="C6272" s="1" t="str">
        <x:v>Standard Class</x:v>
      </x:c>
      <x:c r="D6272" s="1" t="str">
        <x:v>Pacific Asia</x:v>
      </x:c>
      <x:c r="E6272" s="1" t="str">
        <x:v>COMPLETE</x:v>
      </x:c>
      <x:c r="F6272" s="1" t="str">
        <x:v>Late delivery</x:v>
      </x:c>
      <x:c r="G6272" s="6" t="n">
        <x:v>5</x:v>
      </x:c>
      <x:c r="H6272" s="6" t="n">
        <x:v>4</x:v>
      </x:c>
      <x:c r="I6272" s="6" t="n">
        <x:f>G6272-H6272</x:f>
        <x:v>1</x:v>
      </x:c>
      <x:c r="J6272" s="6" t="n">
        <x:f>IF(OR(E6272="CANCELED",E6272="SUSPECTED_FRAUD",F6272="Shipping canceled"),0,1)</x:f>
        <x:v>1</x:v>
      </x:c>
      <x:c r="K6272" s="6" t="n">
        <x:f>IF(G6272&gt;H6272,1,0)</x:f>
        <x:v>1</x:v>
      </x:c>
      <x:c r="L6272" s="6" t="n">
        <x:f>J6272*K6272</x:f>
        <x:v>1</x:v>
      </x:c>
    </x:row>
    <x:row r="6273">
      <x:c r="A6273" s="1" t="n">
        <x:v>49136</x:v>
      </x:c>
      <x:c r="B6273" s="5" t="d">
        <x:v>2016-12-18T00:00:00.000Z</x:v>
      </x:c>
      <x:c r="C6273" s="1" t="str">
        <x:v>Standard Class</x:v>
      </x:c>
      <x:c r="D6273" s="1" t="str">
        <x:v>Pacific Asia</x:v>
      </x:c>
      <x:c r="E6273" s="1" t="str">
        <x:v>COMPLETE</x:v>
      </x:c>
      <x:c r="F6273" s="1" t="str">
        <x:v>Advance shipping</x:v>
      </x:c>
      <x:c r="G6273" s="6" t="n">
        <x:v>2</x:v>
      </x:c>
      <x:c r="H6273" s="6" t="n">
        <x:v>4</x:v>
      </x:c>
      <x:c r="I6273" s="6" t="n">
        <x:f>G6273-H6273</x:f>
        <x:v>-2</x:v>
      </x:c>
      <x:c r="J6273" s="6" t="n">
        <x:f>IF(OR(E6273="CANCELED",E6273="SUSPECTED_FRAUD",F6273="Shipping canceled"),0,1)</x:f>
        <x:v>1</x:v>
      </x:c>
      <x:c r="K6273" s="6" t="n">
        <x:f>IF(G6273&gt;H6273,1,0)</x:f>
        <x:v>0</x:v>
      </x:c>
      <x:c r="L6273" s="6" t="n">
        <x:f>J6273*K6273</x:f>
        <x:v>0</x:v>
      </x:c>
    </x:row>
    <x:row r="6274">
      <x:c r="A6274" s="1" t="n">
        <x:v>49145</x:v>
      </x:c>
      <x:c r="B6274" s="5" t="d">
        <x:v>2016-12-18T00:00:00.000Z</x:v>
      </x:c>
      <x:c r="C6274" s="1" t="str">
        <x:v>First Class</x:v>
      </x:c>
      <x:c r="D6274" s="1" t="str">
        <x:v>Africa</x:v>
      </x:c>
      <x:c r="E6274" s="1" t="str">
        <x:v>PAYMENT_REVIEW</x:v>
      </x:c>
      <x:c r="F6274" s="1" t="str">
        <x:v>Late delivery</x:v>
      </x:c>
      <x:c r="G6274" s="6" t="n">
        <x:v>2</x:v>
      </x:c>
      <x:c r="H6274" s="6" t="n">
        <x:v>1</x:v>
      </x:c>
      <x:c r="I6274" s="6" t="n">
        <x:f>G6274-H6274</x:f>
        <x:v>1</x:v>
      </x:c>
      <x:c r="J6274" s="6" t="n">
        <x:f>IF(OR(E6274="CANCELED",E6274="SUSPECTED_FRAUD",F6274="Shipping canceled"),0,1)</x:f>
        <x:v>1</x:v>
      </x:c>
      <x:c r="K6274" s="6" t="n">
        <x:f>IF(G6274&gt;H6274,1,0)</x:f>
        <x:v>1</x:v>
      </x:c>
      <x:c r="L6274" s="6" t="n">
        <x:f>J6274*K6274</x:f>
        <x:v>1</x:v>
      </x:c>
    </x:row>
    <x:row r="6275">
      <x:c r="A6275" s="1" t="n">
        <x:v>49172</x:v>
      </x:c>
      <x:c r="B6275" s="5" t="d">
        <x:v>2016-12-18T00:00:00.000Z</x:v>
      </x:c>
      <x:c r="C6275" s="1" t="str">
        <x:v>Standard Class</x:v>
      </x:c>
      <x:c r="D6275" s="1" t="str">
        <x:v>Africa</x:v>
      </x:c>
      <x:c r="E6275" s="1" t="str">
        <x:v>PENDING_PAYMENT</x:v>
      </x:c>
      <x:c r="F6275" s="1" t="str">
        <x:v>Advance shipping</x:v>
      </x:c>
      <x:c r="G6275" s="6" t="n">
        <x:v>3</x:v>
      </x:c>
      <x:c r="H6275" s="6" t="n">
        <x:v>4</x:v>
      </x:c>
      <x:c r="I6275" s="6" t="n">
        <x:f>G6275-H6275</x:f>
        <x:v>-1</x:v>
      </x:c>
      <x:c r="J6275" s="6" t="n">
        <x:f>IF(OR(E6275="CANCELED",E6275="SUSPECTED_FRAUD",F6275="Shipping canceled"),0,1)</x:f>
        <x:v>1</x:v>
      </x:c>
      <x:c r="K6275" s="6" t="n">
        <x:f>IF(G6275&gt;H6275,1,0)</x:f>
        <x:v>0</x:v>
      </x:c>
      <x:c r="L6275" s="6" t="n">
        <x:f>J6275*K6275</x:f>
        <x:v>0</x:v>
      </x:c>
    </x:row>
    <x:row r="6276">
      <x:c r="A6276" s="1" t="n">
        <x:v>49190</x:v>
      </x:c>
      <x:c r="B6276" s="5" t="d">
        <x:v>2016-12-19T00:00:00.000Z</x:v>
      </x:c>
      <x:c r="C6276" s="1" t="str">
        <x:v>Standard Class</x:v>
      </x:c>
      <x:c r="D6276" s="1" t="str">
        <x:v>Europe</x:v>
      </x:c>
      <x:c r="E6276" s="1" t="str">
        <x:v>COMPLETE</x:v>
      </x:c>
      <x:c r="F6276" s="1" t="str">
        <x:v>Late delivery</x:v>
      </x:c>
      <x:c r="G6276" s="6" t="n">
        <x:v>6</x:v>
      </x:c>
      <x:c r="H6276" s="6" t="n">
        <x:v>4</x:v>
      </x:c>
      <x:c r="I6276" s="6" t="n">
        <x:f>G6276-H6276</x:f>
        <x:v>2</x:v>
      </x:c>
      <x:c r="J6276" s="6" t="n">
        <x:f>IF(OR(E6276="CANCELED",E6276="SUSPECTED_FRAUD",F6276="Shipping canceled"),0,1)</x:f>
        <x:v>1</x:v>
      </x:c>
      <x:c r="K6276" s="6" t="n">
        <x:f>IF(G6276&gt;H6276,1,0)</x:f>
        <x:v>1</x:v>
      </x:c>
      <x:c r="L6276" s="6" t="n">
        <x:f>J6276*K6276</x:f>
        <x:v>1</x:v>
      </x:c>
    </x:row>
    <x:row r="6277">
      <x:c r="A6277" s="1" t="n">
        <x:v>49191</x:v>
      </x:c>
      <x:c r="B6277" s="5" t="d">
        <x:v>2016-12-19T00:00:00.000Z</x:v>
      </x:c>
      <x:c r="C6277" s="1" t="str">
        <x:v>Standard Class</x:v>
      </x:c>
      <x:c r="D6277" s="1" t="str">
        <x:v>USCA</x:v>
      </x:c>
      <x:c r="E6277" s="1" t="str">
        <x:v>ON_HOLD</x:v>
      </x:c>
      <x:c r="F6277" s="1" t="str">
        <x:v>Advance shipping</x:v>
      </x:c>
      <x:c r="G6277" s="6" t="n">
        <x:v>2</x:v>
      </x:c>
      <x:c r="H6277" s="6" t="n">
        <x:v>4</x:v>
      </x:c>
      <x:c r="I6277" s="6" t="n">
        <x:f>G6277-H6277</x:f>
        <x:v>-2</x:v>
      </x:c>
      <x:c r="J6277" s="6" t="n">
        <x:f>IF(OR(E6277="CANCELED",E6277="SUSPECTED_FRAUD",F6277="Shipping canceled"),0,1)</x:f>
        <x:v>1</x:v>
      </x:c>
      <x:c r="K6277" s="6" t="n">
        <x:f>IF(G6277&gt;H6277,1,0)</x:f>
        <x:v>0</x:v>
      </x:c>
      <x:c r="L6277" s="6" t="n">
        <x:f>J6277*K6277</x:f>
        <x:v>0</x:v>
      </x:c>
    </x:row>
    <x:row r="6278">
      <x:c r="A6278" s="1" t="n">
        <x:v>49201</x:v>
      </x:c>
      <x:c r="B6278" s="5" t="d">
        <x:v>2016-12-19T00:00:00.000Z</x:v>
      </x:c>
      <x:c r="C6278" s="1" t="str">
        <x:v>Standard Class</x:v>
      </x:c>
      <x:c r="D6278" s="1" t="str">
        <x:v>USCA</x:v>
      </x:c>
      <x:c r="E6278" s="1" t="str">
        <x:v>COMPLETE</x:v>
      </x:c>
      <x:c r="F6278" s="1" t="str">
        <x:v>Advance shipping</x:v>
      </x:c>
      <x:c r="G6278" s="6" t="n">
        <x:v>2</x:v>
      </x:c>
      <x:c r="H6278" s="6" t="n">
        <x:v>4</x:v>
      </x:c>
      <x:c r="I6278" s="6" t="n">
        <x:f>G6278-H6278</x:f>
        <x:v>-2</x:v>
      </x:c>
      <x:c r="J6278" s="6" t="n">
        <x:f>IF(OR(E6278="CANCELED",E6278="SUSPECTED_FRAUD",F6278="Shipping canceled"),0,1)</x:f>
        <x:v>1</x:v>
      </x:c>
      <x:c r="K6278" s="6" t="n">
        <x:f>IF(G6278&gt;H6278,1,0)</x:f>
        <x:v>0</x:v>
      </x:c>
      <x:c r="L6278" s="6" t="n">
        <x:f>J6278*K6278</x:f>
        <x:v>0</x:v>
      </x:c>
    </x:row>
    <x:row r="6279">
      <x:c r="A6279" s="1" t="n">
        <x:v>49214</x:v>
      </x:c>
      <x:c r="B6279" s="5" t="d">
        <x:v>2016-12-19T00:00:00.000Z</x:v>
      </x:c>
      <x:c r="C6279" s="1" t="str">
        <x:v>Standard Class</x:v>
      </x:c>
      <x:c r="D6279" s="1" t="str">
        <x:v>Africa</x:v>
      </x:c>
      <x:c r="E6279" s="1" t="str">
        <x:v>COMPLETE</x:v>
      </x:c>
      <x:c r="F6279" s="1" t="str">
        <x:v>Late delivery</x:v>
      </x:c>
      <x:c r="G6279" s="6" t="n">
        <x:v>5</x:v>
      </x:c>
      <x:c r="H6279" s="6" t="n">
        <x:v>4</x:v>
      </x:c>
      <x:c r="I6279" s="6" t="n">
        <x:f>G6279-H6279</x:f>
        <x:v>1</x:v>
      </x:c>
      <x:c r="J6279" s="6" t="n">
        <x:f>IF(OR(E6279="CANCELED",E6279="SUSPECTED_FRAUD",F6279="Shipping canceled"),0,1)</x:f>
        <x:v>1</x:v>
      </x:c>
      <x:c r="K6279" s="6" t="n">
        <x:f>IF(G6279&gt;H6279,1,0)</x:f>
        <x:v>1</x:v>
      </x:c>
      <x:c r="L6279" s="6" t="n">
        <x:f>J6279*K6279</x:f>
        <x:v>1</x:v>
      </x:c>
    </x:row>
    <x:row r="6280">
      <x:c r="A6280" s="1" t="n">
        <x:v>49218</x:v>
      </x:c>
      <x:c r="B6280" s="5" t="d">
        <x:v>2016-12-19T00:00:00.000Z</x:v>
      </x:c>
      <x:c r="C6280" s="1" t="str">
        <x:v>Standard Class</x:v>
      </x:c>
      <x:c r="D6280" s="1" t="str">
        <x:v>Africa</x:v>
      </x:c>
      <x:c r="E6280" s="1" t="str">
        <x:v>SUSPECTED_FRAUD</x:v>
      </x:c>
      <x:c r="F6280" s="1" t="str">
        <x:v>Shipping canceled</x:v>
      </x:c>
      <x:c r="G6280" s="6" t="n">
        <x:v>4</x:v>
      </x:c>
      <x:c r="H6280" s="6" t="n">
        <x:v>4</x:v>
      </x:c>
      <x:c r="I6280" s="6" t="n">
        <x:f>G6280-H6280</x:f>
        <x:v>0</x:v>
      </x:c>
      <x:c r="J6280" s="6" t="n">
        <x:f>IF(OR(E6280="CANCELED",E6280="SUSPECTED_FRAUD",F6280="Shipping canceled"),0,1)</x:f>
        <x:v>0</x:v>
      </x:c>
      <x:c r="K6280" s="6" t="n">
        <x:f>IF(G6280&gt;H6280,1,0)</x:f>
        <x:v>0</x:v>
      </x:c>
      <x:c r="L6280" s="6" t="n">
        <x:f>J6280*K6280</x:f>
        <x:v>0</x:v>
      </x:c>
    </x:row>
    <x:row r="6281">
      <x:c r="A6281" s="1" t="n">
        <x:v>49233</x:v>
      </x:c>
      <x:c r="B6281" s="5" t="d">
        <x:v>2016-12-19T00:00:00.000Z</x:v>
      </x:c>
      <x:c r="C6281" s="1" t="str">
        <x:v>Standard Class</x:v>
      </x:c>
      <x:c r="D6281" s="1" t="str">
        <x:v>Africa</x:v>
      </x:c>
      <x:c r="E6281" s="1" t="str">
        <x:v>PENDING</x:v>
      </x:c>
      <x:c r="F6281" s="1" t="str">
        <x:v>Shipping on time</x:v>
      </x:c>
      <x:c r="G6281" s="6" t="n">
        <x:v>4</x:v>
      </x:c>
      <x:c r="H6281" s="6" t="n">
        <x:v>4</x:v>
      </x:c>
      <x:c r="I6281" s="6" t="n">
        <x:f>G6281-H6281</x:f>
        <x:v>0</x:v>
      </x:c>
      <x:c r="J6281" s="6" t="n">
        <x:f>IF(OR(E6281="CANCELED",E6281="SUSPECTED_FRAUD",F6281="Shipping canceled"),0,1)</x:f>
        <x:v>1</x:v>
      </x:c>
      <x:c r="K6281" s="6" t="n">
        <x:f>IF(G6281&gt;H6281,1,0)</x:f>
        <x:v>0</x:v>
      </x:c>
      <x:c r="L6281" s="6" t="n">
        <x:f>J6281*K6281</x:f>
        <x:v>0</x:v>
      </x:c>
    </x:row>
    <x:row r="6282">
      <x:c r="A6282" s="1" t="n">
        <x:v>49236</x:v>
      </x:c>
      <x:c r="B6282" s="5" t="d">
        <x:v>2016-12-19T00:00:00.000Z</x:v>
      </x:c>
      <x:c r="C6282" s="1" t="str">
        <x:v>Standard Class</x:v>
      </x:c>
      <x:c r="D6282" s="1" t="str">
        <x:v>Africa</x:v>
      </x:c>
      <x:c r="E6282" s="1" t="str">
        <x:v>PENDING</x:v>
      </x:c>
      <x:c r="F6282" s="1" t="str">
        <x:v>Advance shipping</x:v>
      </x:c>
      <x:c r="G6282" s="6" t="n">
        <x:v>2</x:v>
      </x:c>
      <x:c r="H6282" s="6" t="n">
        <x:v>4</x:v>
      </x:c>
      <x:c r="I6282" s="6" t="n">
        <x:f>G6282-H6282</x:f>
        <x:v>-2</x:v>
      </x:c>
      <x:c r="J6282" s="6" t="n">
        <x:f>IF(OR(E6282="CANCELED",E6282="SUSPECTED_FRAUD",F6282="Shipping canceled"),0,1)</x:f>
        <x:v>1</x:v>
      </x:c>
      <x:c r="K6282" s="6" t="n">
        <x:f>IF(G6282&gt;H6282,1,0)</x:f>
        <x:v>0</x:v>
      </x:c>
      <x:c r="L6282" s="6" t="n">
        <x:f>J6282*K6282</x:f>
        <x:v>0</x:v>
      </x:c>
    </x:row>
    <x:row r="6283">
      <x:c r="A6283" s="1" t="n">
        <x:v>49241</x:v>
      </x:c>
      <x:c r="B6283" s="5" t="d">
        <x:v>2016-12-19T00:00:00.000Z</x:v>
      </x:c>
      <x:c r="C6283" s="1" t="str">
        <x:v>Standard Class</x:v>
      </x:c>
      <x:c r="D6283" s="1" t="str">
        <x:v>Africa</x:v>
      </x:c>
      <x:c r="E6283" s="1" t="str">
        <x:v>PROCESSING</x:v>
      </x:c>
      <x:c r="F6283" s="1" t="str">
        <x:v>Advance shipping</x:v>
      </x:c>
      <x:c r="G6283" s="6" t="n">
        <x:v>2</x:v>
      </x:c>
      <x:c r="H6283" s="6" t="n">
        <x:v>4</x:v>
      </x:c>
      <x:c r="I6283" s="6" t="n">
        <x:f>G6283-H6283</x:f>
        <x:v>-2</x:v>
      </x:c>
      <x:c r="J6283" s="6" t="n">
        <x:f>IF(OR(E6283="CANCELED",E6283="SUSPECTED_FRAUD",F6283="Shipping canceled"),0,1)</x:f>
        <x:v>1</x:v>
      </x:c>
      <x:c r="K6283" s="6" t="n">
        <x:f>IF(G6283&gt;H6283,1,0)</x:f>
        <x:v>0</x:v>
      </x:c>
      <x:c r="L6283" s="6" t="n">
        <x:f>J6283*K6283</x:f>
        <x:v>0</x:v>
      </x:c>
    </x:row>
    <x:row r="6284">
      <x:c r="A6284" s="1" t="n">
        <x:v>49261</x:v>
      </x:c>
      <x:c r="B6284" s="5" t="d">
        <x:v>2016-12-20T00:00:00.000Z</x:v>
      </x:c>
      <x:c r="C6284" s="1" t="str">
        <x:v>Standard Class</x:v>
      </x:c>
      <x:c r="D6284" s="1" t="str">
        <x:v>Pacific Asia</x:v>
      </x:c>
      <x:c r="E6284" s="1" t="str">
        <x:v>PENDING</x:v>
      </x:c>
      <x:c r="F6284" s="1" t="str">
        <x:v>Advance shipping</x:v>
      </x:c>
      <x:c r="G6284" s="6" t="n">
        <x:v>2</x:v>
      </x:c>
      <x:c r="H6284" s="6" t="n">
        <x:v>4</x:v>
      </x:c>
      <x:c r="I6284" s="6" t="n">
        <x:f>G6284-H6284</x:f>
        <x:v>-2</x:v>
      </x:c>
      <x:c r="J6284" s="6" t="n">
        <x:f>IF(OR(E6284="CANCELED",E6284="SUSPECTED_FRAUD",F6284="Shipping canceled"),0,1)</x:f>
        <x:v>1</x:v>
      </x:c>
      <x:c r="K6284" s="6" t="n">
        <x:f>IF(G6284&gt;H6284,1,0)</x:f>
        <x:v>0</x:v>
      </x:c>
      <x:c r="L6284" s="6" t="n">
        <x:f>J6284*K6284</x:f>
        <x:v>0</x:v>
      </x:c>
    </x:row>
    <x:row r="6285">
      <x:c r="A6285" s="1" t="n">
        <x:v>49262</x:v>
      </x:c>
      <x:c r="B6285" s="5" t="d">
        <x:v>2016-12-20T00:00:00.000Z</x:v>
      </x:c>
      <x:c r="C6285" s="1" t="str">
        <x:v>Standard Class</x:v>
      </x:c>
      <x:c r="D6285" s="1" t="str">
        <x:v>Pacific Asia</x:v>
      </x:c>
      <x:c r="E6285" s="1" t="str">
        <x:v>PENDING_PAYMENT</x:v>
      </x:c>
      <x:c r="F6285" s="1" t="str">
        <x:v>Advance shipping</x:v>
      </x:c>
      <x:c r="G6285" s="6" t="n">
        <x:v>3</x:v>
      </x:c>
      <x:c r="H6285" s="6" t="n">
        <x:v>4</x:v>
      </x:c>
      <x:c r="I6285" s="6" t="n">
        <x:f>G6285-H6285</x:f>
        <x:v>-1</x:v>
      </x:c>
      <x:c r="J6285" s="6" t="n">
        <x:f>IF(OR(E6285="CANCELED",E6285="SUSPECTED_FRAUD",F6285="Shipping canceled"),0,1)</x:f>
        <x:v>1</x:v>
      </x:c>
      <x:c r="K6285" s="6" t="n">
        <x:f>IF(G6285&gt;H6285,1,0)</x:f>
        <x:v>0</x:v>
      </x:c>
      <x:c r="L6285" s="6" t="n">
        <x:f>J6285*K6285</x:f>
        <x:v>0</x:v>
      </x:c>
    </x:row>
    <x:row r="6286">
      <x:c r="A6286" s="1" t="n">
        <x:v>49271</x:v>
      </x:c>
      <x:c r="B6286" s="5" t="d">
        <x:v>2016-12-20T00:00:00.000Z</x:v>
      </x:c>
      <x:c r="C6286" s="1" t="str">
        <x:v>Standard Class</x:v>
      </x:c>
      <x:c r="D6286" s="1" t="str">
        <x:v>Pacific Asia</x:v>
      </x:c>
      <x:c r="E6286" s="1" t="str">
        <x:v>COMPLETE</x:v>
      </x:c>
      <x:c r="F6286" s="1" t="str">
        <x:v>Advance shipping</x:v>
      </x:c>
      <x:c r="G6286" s="6" t="n">
        <x:v>2</x:v>
      </x:c>
      <x:c r="H6286" s="6" t="n">
        <x:v>4</x:v>
      </x:c>
      <x:c r="I6286" s="6" t="n">
        <x:f>G6286-H6286</x:f>
        <x:v>-2</x:v>
      </x:c>
      <x:c r="J6286" s="6" t="n">
        <x:f>IF(OR(E6286="CANCELED",E6286="SUSPECTED_FRAUD",F6286="Shipping canceled"),0,1)</x:f>
        <x:v>1</x:v>
      </x:c>
      <x:c r="K6286" s="6" t="n">
        <x:f>IF(G6286&gt;H6286,1,0)</x:f>
        <x:v>0</x:v>
      </x:c>
      <x:c r="L6286" s="6" t="n">
        <x:f>J6286*K6286</x:f>
        <x:v>0</x:v>
      </x:c>
    </x:row>
    <x:row r="6287">
      <x:c r="A6287" s="1" t="n">
        <x:v>49290</x:v>
      </x:c>
      <x:c r="B6287" s="5" t="d">
        <x:v>2016-12-20T00:00:00.000Z</x:v>
      </x:c>
      <x:c r="C6287" s="1" t="str">
        <x:v>Standard Class</x:v>
      </x:c>
      <x:c r="D6287" s="1" t="str">
        <x:v>Pacific Asia</x:v>
      </x:c>
      <x:c r="E6287" s="1" t="str">
        <x:v>PENDING_PAYMENT</x:v>
      </x:c>
      <x:c r="F6287" s="1" t="str">
        <x:v>Late delivery</x:v>
      </x:c>
      <x:c r="G6287" s="6" t="n">
        <x:v>6</x:v>
      </x:c>
      <x:c r="H6287" s="6" t="n">
        <x:v>4</x:v>
      </x:c>
      <x:c r="I6287" s="6" t="n">
        <x:f>G6287-H6287</x:f>
        <x:v>2</x:v>
      </x:c>
      <x:c r="J6287" s="6" t="n">
        <x:f>IF(OR(E6287="CANCELED",E6287="SUSPECTED_FRAUD",F6287="Shipping canceled"),0,1)</x:f>
        <x:v>1</x:v>
      </x:c>
      <x:c r="K6287" s="6" t="n">
        <x:f>IF(G6287&gt;H6287,1,0)</x:f>
        <x:v>1</x:v>
      </x:c>
      <x:c r="L6287" s="6" t="n">
        <x:f>J6287*K6287</x:f>
        <x:v>1</x:v>
      </x:c>
    </x:row>
    <x:row r="6288">
      <x:c r="A6288" s="1" t="n">
        <x:v>49296</x:v>
      </x:c>
      <x:c r="B6288" s="5" t="d">
        <x:v>2016-12-20T00:00:00.000Z</x:v>
      </x:c>
      <x:c r="C6288" s="1" t="str">
        <x:v>Second Class</x:v>
      </x:c>
      <x:c r="D6288" s="1" t="str">
        <x:v>Pacific Asia</x:v>
      </x:c>
      <x:c r="E6288" s="1" t="str">
        <x:v>COMPLETE</x:v>
      </x:c>
      <x:c r="F6288" s="1" t="str">
        <x:v>Shipping on time</x:v>
      </x:c>
      <x:c r="G6288" s="6" t="n">
        <x:v>2</x:v>
      </x:c>
      <x:c r="H6288" s="6" t="n">
        <x:v>2</x:v>
      </x:c>
      <x:c r="I6288" s="6" t="n">
        <x:f>G6288-H6288</x:f>
        <x:v>0</x:v>
      </x:c>
      <x:c r="J6288" s="6" t="n">
        <x:f>IF(OR(E6288="CANCELED",E6288="SUSPECTED_FRAUD",F6288="Shipping canceled"),0,1)</x:f>
        <x:v>1</x:v>
      </x:c>
      <x:c r="K6288" s="6" t="n">
        <x:f>IF(G6288&gt;H6288,1,0)</x:f>
        <x:v>0</x:v>
      </x:c>
      <x:c r="L6288" s="6" t="n">
        <x:f>J6288*K6288</x:f>
        <x:v>0</x:v>
      </x:c>
    </x:row>
    <x:row r="6289">
      <x:c r="A6289" s="1" t="n">
        <x:v>49299</x:v>
      </x:c>
      <x:c r="B6289" s="5" t="d">
        <x:v>2016-12-20T00:00:00.000Z</x:v>
      </x:c>
      <x:c r="C6289" s="1" t="str">
        <x:v>Standard Class</x:v>
      </x:c>
      <x:c r="D6289" s="1" t="str">
        <x:v>Pacific Asia</x:v>
      </x:c>
      <x:c r="E6289" s="1" t="str">
        <x:v>COMPLETE</x:v>
      </x:c>
      <x:c r="F6289" s="1" t="str">
        <x:v>Late delivery</x:v>
      </x:c>
      <x:c r="G6289" s="6" t="n">
        <x:v>5</x:v>
      </x:c>
      <x:c r="H6289" s="6" t="n">
        <x:v>4</x:v>
      </x:c>
      <x:c r="I6289" s="6" t="n">
        <x:f>G6289-H6289</x:f>
        <x:v>1</x:v>
      </x:c>
      <x:c r="J6289" s="6" t="n">
        <x:f>IF(OR(E6289="CANCELED",E6289="SUSPECTED_FRAUD",F6289="Shipping canceled"),0,1)</x:f>
        <x:v>1</x:v>
      </x:c>
      <x:c r="K6289" s="6" t="n">
        <x:f>IF(G6289&gt;H6289,1,0)</x:f>
        <x:v>1</x:v>
      </x:c>
      <x:c r="L6289" s="6" t="n">
        <x:f>J6289*K6289</x:f>
        <x:v>1</x:v>
      </x:c>
    </x:row>
    <x:row r="6290">
      <x:c r="A6290" s="1" t="n">
        <x:v>49302</x:v>
      </x:c>
      <x:c r="B6290" s="5" t="d">
        <x:v>2016-12-20T00:00:00.000Z</x:v>
      </x:c>
      <x:c r="C6290" s="1" t="str">
        <x:v>Standard Class</x:v>
      </x:c>
      <x:c r="D6290" s="1" t="str">
        <x:v>Africa</x:v>
      </x:c>
      <x:c r="E6290" s="1" t="str">
        <x:v>COMPLETE</x:v>
      </x:c>
      <x:c r="F6290" s="1" t="str">
        <x:v>Advance shipping</x:v>
      </x:c>
      <x:c r="G6290" s="6" t="n">
        <x:v>3</x:v>
      </x:c>
      <x:c r="H6290" s="6" t="n">
        <x:v>4</x:v>
      </x:c>
      <x:c r="I6290" s="6" t="n">
        <x:f>G6290-H6290</x:f>
        <x:v>-1</x:v>
      </x:c>
      <x:c r="J6290" s="6" t="n">
        <x:f>IF(OR(E6290="CANCELED",E6290="SUSPECTED_FRAUD",F6290="Shipping canceled"),0,1)</x:f>
        <x:v>1</x:v>
      </x:c>
      <x:c r="K6290" s="6" t="n">
        <x:f>IF(G6290&gt;H6290,1,0)</x:f>
        <x:v>0</x:v>
      </x:c>
      <x:c r="L6290" s="6" t="n">
        <x:f>J6290*K6290</x:f>
        <x:v>0</x:v>
      </x:c>
    </x:row>
    <x:row r="6291">
      <x:c r="A6291" s="1" t="n">
        <x:v>49308</x:v>
      </x:c>
      <x:c r="B6291" s="5" t="d">
        <x:v>2016-12-20T00:00:00.000Z</x:v>
      </x:c>
      <x:c r="C6291" s="1" t="str">
        <x:v>Standard Class</x:v>
      </x:c>
      <x:c r="D6291" s="1" t="str">
        <x:v>Europe</x:v>
      </x:c>
      <x:c r="E6291" s="1" t="str">
        <x:v>PENDING</x:v>
      </x:c>
      <x:c r="F6291" s="1" t="str">
        <x:v>Shipping on time</x:v>
      </x:c>
      <x:c r="G6291" s="6" t="n">
        <x:v>4</x:v>
      </x:c>
      <x:c r="H6291" s="6" t="n">
        <x:v>4</x:v>
      </x:c>
      <x:c r="I6291" s="6" t="n">
        <x:f>G6291-H6291</x:f>
        <x:v>0</x:v>
      </x:c>
      <x:c r="J6291" s="6" t="n">
        <x:f>IF(OR(E6291="CANCELED",E6291="SUSPECTED_FRAUD",F6291="Shipping canceled"),0,1)</x:f>
        <x:v>1</x:v>
      </x:c>
      <x:c r="K6291" s="6" t="n">
        <x:f>IF(G6291&gt;H6291,1,0)</x:f>
        <x:v>0</x:v>
      </x:c>
      <x:c r="L6291" s="6" t="n">
        <x:f>J6291*K6291</x:f>
        <x:v>0</x:v>
      </x:c>
    </x:row>
    <x:row r="6292">
      <x:c r="A6292" s="1" t="n">
        <x:v>49329</x:v>
      </x:c>
      <x:c r="B6292" s="5" t="d">
        <x:v>2016-12-21T00:00:00.000Z</x:v>
      </x:c>
      <x:c r="C6292" s="1" t="str">
        <x:v>Standard Class</x:v>
      </x:c>
      <x:c r="D6292" s="1" t="str">
        <x:v>Africa</x:v>
      </x:c>
      <x:c r="E6292" s="1" t="str">
        <x:v>COMPLETE</x:v>
      </x:c>
      <x:c r="F6292" s="1" t="str">
        <x:v>Late delivery</x:v>
      </x:c>
      <x:c r="G6292" s="6" t="n">
        <x:v>5</x:v>
      </x:c>
      <x:c r="H6292" s="6" t="n">
        <x:v>4</x:v>
      </x:c>
      <x:c r="I6292" s="6" t="n">
        <x:f>G6292-H6292</x:f>
        <x:v>1</x:v>
      </x:c>
      <x:c r="J6292" s="6" t="n">
        <x:f>IF(OR(E6292="CANCELED",E6292="SUSPECTED_FRAUD",F6292="Shipping canceled"),0,1)</x:f>
        <x:v>1</x:v>
      </x:c>
      <x:c r="K6292" s="6" t="n">
        <x:f>IF(G6292&gt;H6292,1,0)</x:f>
        <x:v>1</x:v>
      </x:c>
      <x:c r="L6292" s="6" t="n">
        <x:f>J6292*K6292</x:f>
        <x:v>1</x:v>
      </x:c>
    </x:row>
    <x:row r="6293">
      <x:c r="A6293" s="1" t="n">
        <x:v>49339</x:v>
      </x:c>
      <x:c r="B6293" s="5" t="d">
        <x:v>2016-12-21T00:00:00.000Z</x:v>
      </x:c>
      <x:c r="C6293" s="1" t="str">
        <x:v>Standard Class</x:v>
      </x:c>
      <x:c r="D6293" s="1" t="str">
        <x:v>Pacific Asia</x:v>
      </x:c>
      <x:c r="E6293" s="1" t="str">
        <x:v>COMPLETE</x:v>
      </x:c>
      <x:c r="F6293" s="1" t="str">
        <x:v>Late delivery</x:v>
      </x:c>
      <x:c r="G6293" s="6" t="n">
        <x:v>5</x:v>
      </x:c>
      <x:c r="H6293" s="6" t="n">
        <x:v>4</x:v>
      </x:c>
      <x:c r="I6293" s="6" t="n">
        <x:f>G6293-H6293</x:f>
        <x:v>1</x:v>
      </x:c>
      <x:c r="J6293" s="6" t="n">
        <x:f>IF(OR(E6293="CANCELED",E6293="SUSPECTED_FRAUD",F6293="Shipping canceled"),0,1)</x:f>
        <x:v>1</x:v>
      </x:c>
      <x:c r="K6293" s="6" t="n">
        <x:f>IF(G6293&gt;H6293,1,0)</x:f>
        <x:v>1</x:v>
      </x:c>
      <x:c r="L6293" s="6" t="n">
        <x:f>J6293*K6293</x:f>
        <x:v>1</x:v>
      </x:c>
    </x:row>
    <x:row r="6294">
      <x:c r="A6294" s="1" t="n">
        <x:v>49347</x:v>
      </x:c>
      <x:c r="B6294" s="5" t="d">
        <x:v>2016-12-21T00:00:00.000Z</x:v>
      </x:c>
      <x:c r="C6294" s="1" t="str">
        <x:v>Standard Class</x:v>
      </x:c>
      <x:c r="D6294" s="1" t="str">
        <x:v>Europe</x:v>
      </x:c>
      <x:c r="E6294" s="1" t="str">
        <x:v>COMPLETE</x:v>
      </x:c>
      <x:c r="F6294" s="1" t="str">
        <x:v>Advance shipping</x:v>
      </x:c>
      <x:c r="G6294" s="6" t="n">
        <x:v>3</x:v>
      </x:c>
      <x:c r="H6294" s="6" t="n">
        <x:v>4</x:v>
      </x:c>
      <x:c r="I6294" s="6" t="n">
        <x:f>G6294-H6294</x:f>
        <x:v>-1</x:v>
      </x:c>
      <x:c r="J6294" s="6" t="n">
        <x:f>IF(OR(E6294="CANCELED",E6294="SUSPECTED_FRAUD",F6294="Shipping canceled"),0,1)</x:f>
        <x:v>1</x:v>
      </x:c>
      <x:c r="K6294" s="6" t="n">
        <x:f>IF(G6294&gt;H6294,1,0)</x:f>
        <x:v>0</x:v>
      </x:c>
      <x:c r="L6294" s="6" t="n">
        <x:f>J6294*K6294</x:f>
        <x:v>0</x:v>
      </x:c>
    </x:row>
    <x:row r="6295">
      <x:c r="A6295" s="1" t="n">
        <x:v>49348</x:v>
      </x:c>
      <x:c r="B6295" s="5" t="d">
        <x:v>2016-12-21T00:00:00.000Z</x:v>
      </x:c>
      <x:c r="C6295" s="1" t="str">
        <x:v>Standard Class</x:v>
      </x:c>
      <x:c r="D6295" s="1" t="str">
        <x:v>Europe</x:v>
      </x:c>
      <x:c r="E6295" s="1" t="str">
        <x:v>COMPLETE</x:v>
      </x:c>
      <x:c r="F6295" s="1" t="str">
        <x:v>Shipping on time</x:v>
      </x:c>
      <x:c r="G6295" s="6" t="n">
        <x:v>4</x:v>
      </x:c>
      <x:c r="H6295" s="6" t="n">
        <x:v>4</x:v>
      </x:c>
      <x:c r="I6295" s="6" t="n">
        <x:f>G6295-H6295</x:f>
        <x:v>0</x:v>
      </x:c>
      <x:c r="J6295" s="6" t="n">
        <x:f>IF(OR(E6295="CANCELED",E6295="SUSPECTED_FRAUD",F6295="Shipping canceled"),0,1)</x:f>
        <x:v>1</x:v>
      </x:c>
      <x:c r="K6295" s="6" t="n">
        <x:f>IF(G6295&gt;H6295,1,0)</x:f>
        <x:v>0</x:v>
      </x:c>
      <x:c r="L6295" s="6" t="n">
        <x:f>J6295*K6295</x:f>
        <x:v>0</x:v>
      </x:c>
    </x:row>
    <x:row r="6296">
      <x:c r="A6296" s="1" t="n">
        <x:v>49354</x:v>
      </x:c>
      <x:c r="B6296" s="5" t="d">
        <x:v>2016-12-21T00:00:00.000Z</x:v>
      </x:c>
      <x:c r="C6296" s="1" t="str">
        <x:v>Same Day</x:v>
      </x:c>
      <x:c r="D6296" s="1" t="str">
        <x:v>Pacific Asia</x:v>
      </x:c>
      <x:c r="E6296" s="1" t="str">
        <x:v>PENDING</x:v>
      </x:c>
      <x:c r="F6296" s="1" t="str">
        <x:v>Shipping on time</x:v>
      </x:c>
      <x:c r="G6296" s="6" t="n">
        <x:v>0</x:v>
      </x:c>
      <x:c r="H6296" s="6" t="n">
        <x:v>0</x:v>
      </x:c>
      <x:c r="I6296" s="6" t="n">
        <x:f>G6296-H6296</x:f>
        <x:v>0</x:v>
      </x:c>
      <x:c r="J6296" s="6" t="n">
        <x:f>IF(OR(E6296="CANCELED",E6296="SUSPECTED_FRAUD",F6296="Shipping canceled"),0,1)</x:f>
        <x:v>1</x:v>
      </x:c>
      <x:c r="K6296" s="6" t="n">
        <x:f>IF(G6296&gt;H6296,1,0)</x:f>
        <x:v>0</x:v>
      </x:c>
      <x:c r="L6296" s="6" t="n">
        <x:f>J6296*K6296</x:f>
        <x:v>0</x:v>
      </x:c>
    </x:row>
    <x:row r="6297">
      <x:c r="A6297" s="1" t="n">
        <x:v>49358</x:v>
      </x:c>
      <x:c r="B6297" s="5" t="d">
        <x:v>2016-12-21T00:00:00.000Z</x:v>
      </x:c>
      <x:c r="C6297" s="1" t="str">
        <x:v>First Class</x:v>
      </x:c>
      <x:c r="D6297" s="1" t="str">
        <x:v>Europe</x:v>
      </x:c>
      <x:c r="E6297" s="1" t="str">
        <x:v>PROCESSING</x:v>
      </x:c>
      <x:c r="F6297" s="1" t="str">
        <x:v>Late delivery</x:v>
      </x:c>
      <x:c r="G6297" s="6" t="n">
        <x:v>2</x:v>
      </x:c>
      <x:c r="H6297" s="6" t="n">
        <x:v>1</x:v>
      </x:c>
      <x:c r="I6297" s="6" t="n">
        <x:f>G6297-H6297</x:f>
        <x:v>1</x:v>
      </x:c>
      <x:c r="J6297" s="6" t="n">
        <x:f>IF(OR(E6297="CANCELED",E6297="SUSPECTED_FRAUD",F6297="Shipping canceled"),0,1)</x:f>
        <x:v>1</x:v>
      </x:c>
      <x:c r="K6297" s="6" t="n">
        <x:f>IF(G6297&gt;H6297,1,0)</x:f>
        <x:v>1</x:v>
      </x:c>
      <x:c r="L6297" s="6" t="n">
        <x:f>J6297*K6297</x:f>
        <x:v>1</x:v>
      </x:c>
    </x:row>
    <x:row r="6298">
      <x:c r="A6298" s="1" t="n">
        <x:v>49369</x:v>
      </x:c>
      <x:c r="B6298" s="5" t="d">
        <x:v>2016-12-21T00:00:00.000Z</x:v>
      </x:c>
      <x:c r="C6298" s="1" t="str">
        <x:v>Standard Class</x:v>
      </x:c>
      <x:c r="D6298" s="1" t="str">
        <x:v>Pacific Asia</x:v>
      </x:c>
      <x:c r="E6298" s="1" t="str">
        <x:v>COMPLETE</x:v>
      </x:c>
      <x:c r="F6298" s="1" t="str">
        <x:v>Late delivery</x:v>
      </x:c>
      <x:c r="G6298" s="6" t="n">
        <x:v>5</x:v>
      </x:c>
      <x:c r="H6298" s="6" t="n">
        <x:v>4</x:v>
      </x:c>
      <x:c r="I6298" s="6" t="n">
        <x:f>G6298-H6298</x:f>
        <x:v>1</x:v>
      </x:c>
      <x:c r="J6298" s="6" t="n">
        <x:f>IF(OR(E6298="CANCELED",E6298="SUSPECTED_FRAUD",F6298="Shipping canceled"),0,1)</x:f>
        <x:v>1</x:v>
      </x:c>
      <x:c r="K6298" s="6" t="n">
        <x:f>IF(G6298&gt;H6298,1,0)</x:f>
        <x:v>1</x:v>
      </x:c>
      <x:c r="L6298" s="6" t="n">
        <x:f>J6298*K6298</x:f>
        <x:v>1</x:v>
      </x:c>
    </x:row>
    <x:row r="6299">
      <x:c r="A6299" s="1" t="n">
        <x:v>49371</x:v>
      </x:c>
      <x:c r="B6299" s="5" t="d">
        <x:v>2016-12-21T00:00:00.000Z</x:v>
      </x:c>
      <x:c r="C6299" s="1" t="str">
        <x:v>Standard Class</x:v>
      </x:c>
      <x:c r="D6299" s="1" t="str">
        <x:v>Pacific Asia</x:v>
      </x:c>
      <x:c r="E6299" s="1" t="str">
        <x:v>PROCESSING</x:v>
      </x:c>
      <x:c r="F6299" s="1" t="str">
        <x:v>Advance shipping</x:v>
      </x:c>
      <x:c r="G6299" s="6" t="n">
        <x:v>2</x:v>
      </x:c>
      <x:c r="H6299" s="6" t="n">
        <x:v>4</x:v>
      </x:c>
      <x:c r="I6299" s="6" t="n">
        <x:f>G6299-H6299</x:f>
        <x:v>-2</x:v>
      </x:c>
      <x:c r="J6299" s="6" t="n">
        <x:f>IF(OR(E6299="CANCELED",E6299="SUSPECTED_FRAUD",F6299="Shipping canceled"),0,1)</x:f>
        <x:v>1</x:v>
      </x:c>
      <x:c r="K6299" s="6" t="n">
        <x:f>IF(G6299&gt;H6299,1,0)</x:f>
        <x:v>0</x:v>
      </x:c>
      <x:c r="L6299" s="6" t="n">
        <x:f>J6299*K6299</x:f>
        <x:v>0</x:v>
      </x:c>
    </x:row>
    <x:row r="6300">
      <x:c r="A6300" s="1" t="n">
        <x:v>49384</x:v>
      </x:c>
      <x:c r="B6300" s="5" t="d">
        <x:v>2016-12-21T00:00:00.000Z</x:v>
      </x:c>
      <x:c r="C6300" s="1" t="str">
        <x:v>Standard Class</x:v>
      </x:c>
      <x:c r="D6300" s="1" t="str">
        <x:v>Africa</x:v>
      </x:c>
      <x:c r="E6300" s="1" t="str">
        <x:v>PENDING_PAYMENT</x:v>
      </x:c>
      <x:c r="F6300" s="1" t="str">
        <x:v>Late delivery</x:v>
      </x:c>
      <x:c r="G6300" s="6" t="n">
        <x:v>5</x:v>
      </x:c>
      <x:c r="H6300" s="6" t="n">
        <x:v>4</x:v>
      </x:c>
      <x:c r="I6300" s="6" t="n">
        <x:f>G6300-H6300</x:f>
        <x:v>1</x:v>
      </x:c>
      <x:c r="J6300" s="6" t="n">
        <x:f>IF(OR(E6300="CANCELED",E6300="SUSPECTED_FRAUD",F6300="Shipping canceled"),0,1)</x:f>
        <x:v>1</x:v>
      </x:c>
      <x:c r="K6300" s="6" t="n">
        <x:f>IF(G6300&gt;H6300,1,0)</x:f>
        <x:v>1</x:v>
      </x:c>
      <x:c r="L6300" s="6" t="n">
        <x:f>J6300*K6300</x:f>
        <x:v>1</x:v>
      </x:c>
    </x:row>
    <x:row r="6301">
      <x:c r="A6301" s="1" t="n">
        <x:v>49402</x:v>
      </x:c>
      <x:c r="B6301" s="5" t="d">
        <x:v>2016-12-22T00:00:00.000Z</x:v>
      </x:c>
      <x:c r="C6301" s="1" t="str">
        <x:v>Standard Class</x:v>
      </x:c>
      <x:c r="D6301" s="1" t="str">
        <x:v>Pacific Asia</x:v>
      </x:c>
      <x:c r="E6301" s="1" t="str">
        <x:v>COMPLETE</x:v>
      </x:c>
      <x:c r="F6301" s="1" t="str">
        <x:v>Advance shipping</x:v>
      </x:c>
      <x:c r="G6301" s="6" t="n">
        <x:v>3</x:v>
      </x:c>
      <x:c r="H6301" s="6" t="n">
        <x:v>4</x:v>
      </x:c>
      <x:c r="I6301" s="6" t="n">
        <x:f>G6301-H6301</x:f>
        <x:v>-1</x:v>
      </x:c>
      <x:c r="J6301" s="6" t="n">
        <x:f>IF(OR(E6301="CANCELED",E6301="SUSPECTED_FRAUD",F6301="Shipping canceled"),0,1)</x:f>
        <x:v>1</x:v>
      </x:c>
      <x:c r="K6301" s="6" t="n">
        <x:f>IF(G6301&gt;H6301,1,0)</x:f>
        <x:v>0</x:v>
      </x:c>
      <x:c r="L6301" s="6" t="n">
        <x:f>J6301*K6301</x:f>
        <x:v>0</x:v>
      </x:c>
    </x:row>
    <x:row r="6302">
      <x:c r="A6302" s="1" t="n">
        <x:v>49410</x:v>
      </x:c>
      <x:c r="B6302" s="5" t="d">
        <x:v>2016-12-22T00:00:00.000Z</x:v>
      </x:c>
      <x:c r="C6302" s="1" t="str">
        <x:v>Standard Class</x:v>
      </x:c>
      <x:c r="D6302" s="1" t="str">
        <x:v>Pacific Asia</x:v>
      </x:c>
      <x:c r="E6302" s="1" t="str">
        <x:v>SUSPECTED_FRAUD</x:v>
      </x:c>
      <x:c r="F6302" s="1" t="str">
        <x:v>Shipping canceled</x:v>
      </x:c>
      <x:c r="G6302" s="6" t="n">
        <x:v>6</x:v>
      </x:c>
      <x:c r="H6302" s="6" t="n">
        <x:v>4</x:v>
      </x:c>
      <x:c r="I6302" s="6" t="n">
        <x:f>G6302-H6302</x:f>
        <x:v>2</x:v>
      </x:c>
      <x:c r="J6302" s="6" t="n">
        <x:f>IF(OR(E6302="CANCELED",E6302="SUSPECTED_FRAUD",F6302="Shipping canceled"),0,1)</x:f>
        <x:v>0</x:v>
      </x:c>
      <x:c r="K6302" s="6" t="n">
        <x:f>IF(G6302&gt;H6302,1,0)</x:f>
        <x:v>1</x:v>
      </x:c>
      <x:c r="L6302" s="6" t="n">
        <x:f>J6302*K6302</x:f>
        <x:v>0</x:v>
      </x:c>
    </x:row>
    <x:row r="6303">
      <x:c r="A6303" s="1" t="n">
        <x:v>49413</x:v>
      </x:c>
      <x:c r="B6303" s="5" t="d">
        <x:v>2016-12-22T00:00:00.000Z</x:v>
      </x:c>
      <x:c r="C6303" s="1" t="str">
        <x:v>First Class</x:v>
      </x:c>
      <x:c r="D6303" s="1" t="str">
        <x:v>Africa</x:v>
      </x:c>
      <x:c r="E6303" s="1" t="str">
        <x:v>COMPLETE</x:v>
      </x:c>
      <x:c r="F6303" s="1" t="str">
        <x:v>Late delivery</x:v>
      </x:c>
      <x:c r="G6303" s="6" t="n">
        <x:v>2</x:v>
      </x:c>
      <x:c r="H6303" s="6" t="n">
        <x:v>1</x:v>
      </x:c>
      <x:c r="I6303" s="6" t="n">
        <x:f>G6303-H6303</x:f>
        <x:v>1</x:v>
      </x:c>
      <x:c r="J6303" s="6" t="n">
        <x:f>IF(OR(E6303="CANCELED",E6303="SUSPECTED_FRAUD",F6303="Shipping canceled"),0,1)</x:f>
        <x:v>1</x:v>
      </x:c>
      <x:c r="K6303" s="6" t="n">
        <x:f>IF(G6303&gt;H6303,1,0)</x:f>
        <x:v>1</x:v>
      </x:c>
      <x:c r="L6303" s="6" t="n">
        <x:f>J6303*K6303</x:f>
        <x:v>1</x:v>
      </x:c>
    </x:row>
    <x:row r="6304">
      <x:c r="A6304" s="1" t="n">
        <x:v>49416</x:v>
      </x:c>
      <x:c r="B6304" s="5" t="d">
        <x:v>2016-12-22T00:00:00.000Z</x:v>
      </x:c>
      <x:c r="C6304" s="1" t="str">
        <x:v>First Class</x:v>
      </x:c>
      <x:c r="D6304" s="1" t="str">
        <x:v>Africa</x:v>
      </x:c>
      <x:c r="E6304" s="1" t="str">
        <x:v>ON_HOLD</x:v>
      </x:c>
      <x:c r="F6304" s="1" t="str">
        <x:v>Late delivery</x:v>
      </x:c>
      <x:c r="G6304" s="6" t="n">
        <x:v>2</x:v>
      </x:c>
      <x:c r="H6304" s="6" t="n">
        <x:v>1</x:v>
      </x:c>
      <x:c r="I6304" s="6" t="n">
        <x:f>G6304-H6304</x:f>
        <x:v>1</x:v>
      </x:c>
      <x:c r="J6304" s="6" t="n">
        <x:f>IF(OR(E6304="CANCELED",E6304="SUSPECTED_FRAUD",F6304="Shipping canceled"),0,1)</x:f>
        <x:v>1</x:v>
      </x:c>
      <x:c r="K6304" s="6" t="n">
        <x:f>IF(G6304&gt;H6304,1,0)</x:f>
        <x:v>1</x:v>
      </x:c>
      <x:c r="L6304" s="6" t="n">
        <x:f>J6304*K6304</x:f>
        <x:v>1</x:v>
      </x:c>
    </x:row>
    <x:row r="6305">
      <x:c r="A6305" s="1" t="n">
        <x:v>49435</x:v>
      </x:c>
      <x:c r="B6305" s="5" t="d">
        <x:v>2016-12-22T00:00:00.000Z</x:v>
      </x:c>
      <x:c r="C6305" s="1" t="str">
        <x:v>Standard Class</x:v>
      </x:c>
      <x:c r="D6305" s="1" t="str">
        <x:v>Pacific Asia</x:v>
      </x:c>
      <x:c r="E6305" s="1" t="str">
        <x:v>ON_HOLD</x:v>
      </x:c>
      <x:c r="F6305" s="1" t="str">
        <x:v>Late delivery</x:v>
      </x:c>
      <x:c r="G6305" s="6" t="n">
        <x:v>6</x:v>
      </x:c>
      <x:c r="H6305" s="6" t="n">
        <x:v>4</x:v>
      </x:c>
      <x:c r="I6305" s="6" t="n">
        <x:f>G6305-H6305</x:f>
        <x:v>2</x:v>
      </x:c>
      <x:c r="J6305" s="6" t="n">
        <x:f>IF(OR(E6305="CANCELED",E6305="SUSPECTED_FRAUD",F6305="Shipping canceled"),0,1)</x:f>
        <x:v>1</x:v>
      </x:c>
      <x:c r="K6305" s="6" t="n">
        <x:f>IF(G6305&gt;H6305,1,0)</x:f>
        <x:v>1</x:v>
      </x:c>
      <x:c r="L6305" s="6" t="n">
        <x:f>J6305*K6305</x:f>
        <x:v>1</x:v>
      </x:c>
    </x:row>
    <x:row r="6306">
      <x:c r="A6306" s="1" t="n">
        <x:v>49445</x:v>
      </x:c>
      <x:c r="B6306" s="5" t="d">
        <x:v>2016-12-22T00:00:00.000Z</x:v>
      </x:c>
      <x:c r="C6306" s="1" t="str">
        <x:v>Standard Class</x:v>
      </x:c>
      <x:c r="D6306" s="1" t="str">
        <x:v>Africa</x:v>
      </x:c>
      <x:c r="E6306" s="1" t="str">
        <x:v>PROCESSING</x:v>
      </x:c>
      <x:c r="F6306" s="1" t="str">
        <x:v>Late delivery</x:v>
      </x:c>
      <x:c r="G6306" s="6" t="n">
        <x:v>6</x:v>
      </x:c>
      <x:c r="H6306" s="6" t="n">
        <x:v>4</x:v>
      </x:c>
      <x:c r="I6306" s="6" t="n">
        <x:f>G6306-H6306</x:f>
        <x:v>2</x:v>
      </x:c>
      <x:c r="J6306" s="6" t="n">
        <x:f>IF(OR(E6306="CANCELED",E6306="SUSPECTED_FRAUD",F6306="Shipping canceled"),0,1)</x:f>
        <x:v>1</x:v>
      </x:c>
      <x:c r="K6306" s="6" t="n">
        <x:f>IF(G6306&gt;H6306,1,0)</x:f>
        <x:v>1</x:v>
      </x:c>
      <x:c r="L6306" s="6" t="n">
        <x:f>J6306*K6306</x:f>
        <x:v>1</x:v>
      </x:c>
    </x:row>
    <x:row r="6307">
      <x:c r="A6307" s="1" t="n">
        <x:v>49461</x:v>
      </x:c>
      <x:c r="B6307" s="5" t="d">
        <x:v>2016-12-23T00:00:00.000Z</x:v>
      </x:c>
      <x:c r="C6307" s="1" t="str">
        <x:v>First Class</x:v>
      </x:c>
      <x:c r="D6307" s="1" t="str">
        <x:v>Pacific Asia</x:v>
      </x:c>
      <x:c r="E6307" s="1" t="str">
        <x:v>PROCESSING</x:v>
      </x:c>
      <x:c r="F6307" s="1" t="str">
        <x:v>Late delivery</x:v>
      </x:c>
      <x:c r="G6307" s="6" t="n">
        <x:v>2</x:v>
      </x:c>
      <x:c r="H6307" s="6" t="n">
        <x:v>1</x:v>
      </x:c>
      <x:c r="I6307" s="6" t="n">
        <x:f>G6307-H6307</x:f>
        <x:v>1</x:v>
      </x:c>
      <x:c r="J6307" s="6" t="n">
        <x:f>IF(OR(E6307="CANCELED",E6307="SUSPECTED_FRAUD",F6307="Shipping canceled"),0,1)</x:f>
        <x:v>1</x:v>
      </x:c>
      <x:c r="K6307" s="6" t="n">
        <x:f>IF(G6307&gt;H6307,1,0)</x:f>
        <x:v>1</x:v>
      </x:c>
      <x:c r="L6307" s="6" t="n">
        <x:f>J6307*K6307</x:f>
        <x:v>1</x:v>
      </x:c>
    </x:row>
    <x:row r="6308">
      <x:c r="A6308" s="1" t="n">
        <x:v>49473</x:v>
      </x:c>
      <x:c r="B6308" s="5" t="d">
        <x:v>2016-12-23T00:00:00.000Z</x:v>
      </x:c>
      <x:c r="C6308" s="1" t="str">
        <x:v>First Class</x:v>
      </x:c>
      <x:c r="D6308" s="1" t="str">
        <x:v>Africa</x:v>
      </x:c>
      <x:c r="E6308" s="1" t="str">
        <x:v>PENDING_PAYMENT</x:v>
      </x:c>
      <x:c r="F6308" s="1" t="str">
        <x:v>Late delivery</x:v>
      </x:c>
      <x:c r="G6308" s="6" t="n">
        <x:v>2</x:v>
      </x:c>
      <x:c r="H6308" s="6" t="n">
        <x:v>1</x:v>
      </x:c>
      <x:c r="I6308" s="6" t="n">
        <x:f>G6308-H6308</x:f>
        <x:v>1</x:v>
      </x:c>
      <x:c r="J6308" s="6" t="n">
        <x:f>IF(OR(E6308="CANCELED",E6308="SUSPECTED_FRAUD",F6308="Shipping canceled"),0,1)</x:f>
        <x:v>1</x:v>
      </x:c>
      <x:c r="K6308" s="6" t="n">
        <x:f>IF(G6308&gt;H6308,1,0)</x:f>
        <x:v>1</x:v>
      </x:c>
      <x:c r="L6308" s="6" t="n">
        <x:f>J6308*K6308</x:f>
        <x:v>1</x:v>
      </x:c>
    </x:row>
    <x:row r="6309">
      <x:c r="A6309" s="1" t="n">
        <x:v>49482</x:v>
      </x:c>
      <x:c r="B6309" s="5" t="d">
        <x:v>2016-12-23T00:00:00.000Z</x:v>
      </x:c>
      <x:c r="C6309" s="1" t="str">
        <x:v>Standard Class</x:v>
      </x:c>
      <x:c r="D6309" s="1" t="str">
        <x:v>Africa</x:v>
      </x:c>
      <x:c r="E6309" s="1" t="str">
        <x:v>PROCESSING</x:v>
      </x:c>
      <x:c r="F6309" s="1" t="str">
        <x:v>Advance shipping</x:v>
      </x:c>
      <x:c r="G6309" s="6" t="n">
        <x:v>3</x:v>
      </x:c>
      <x:c r="H6309" s="6" t="n">
        <x:v>4</x:v>
      </x:c>
      <x:c r="I6309" s="6" t="n">
        <x:f>G6309-H6309</x:f>
        <x:v>-1</x:v>
      </x:c>
      <x:c r="J6309" s="6" t="n">
        <x:f>IF(OR(E6309="CANCELED",E6309="SUSPECTED_FRAUD",F6309="Shipping canceled"),0,1)</x:f>
        <x:v>1</x:v>
      </x:c>
      <x:c r="K6309" s="6" t="n">
        <x:f>IF(G6309&gt;H6309,1,0)</x:f>
        <x:v>0</x:v>
      </x:c>
      <x:c r="L6309" s="6" t="n">
        <x:f>J6309*K6309</x:f>
        <x:v>0</x:v>
      </x:c>
    </x:row>
    <x:row r="6310">
      <x:c r="A6310" s="1" t="n">
        <x:v>49498</x:v>
      </x:c>
      <x:c r="B6310" s="5" t="d">
        <x:v>2016-12-23T00:00:00.000Z</x:v>
      </x:c>
      <x:c r="C6310" s="1" t="str">
        <x:v>Second Class</x:v>
      </x:c>
      <x:c r="D6310" s="1" t="str">
        <x:v>Pacific Asia</x:v>
      </x:c>
      <x:c r="E6310" s="1" t="str">
        <x:v>COMPLETE</x:v>
      </x:c>
      <x:c r="F6310" s="1" t="str">
        <x:v>Late delivery</x:v>
      </x:c>
      <x:c r="G6310" s="6" t="n">
        <x:v>4</x:v>
      </x:c>
      <x:c r="H6310" s="6" t="n">
        <x:v>2</x:v>
      </x:c>
      <x:c r="I6310" s="6" t="n">
        <x:f>G6310-H6310</x:f>
        <x:v>2</x:v>
      </x:c>
      <x:c r="J6310" s="6" t="n">
        <x:f>IF(OR(E6310="CANCELED",E6310="SUSPECTED_FRAUD",F6310="Shipping canceled"),0,1)</x:f>
        <x:v>1</x:v>
      </x:c>
      <x:c r="K6310" s="6" t="n">
        <x:f>IF(G6310&gt;H6310,1,0)</x:f>
        <x:v>1</x:v>
      </x:c>
      <x:c r="L6310" s="6" t="n">
        <x:f>J6310*K6310</x:f>
        <x:v>1</x:v>
      </x:c>
    </x:row>
    <x:row r="6311">
      <x:c r="A6311" s="1" t="n">
        <x:v>49507</x:v>
      </x:c>
      <x:c r="B6311" s="5" t="d">
        <x:v>2016-12-23T00:00:00.000Z</x:v>
      </x:c>
      <x:c r="C6311" s="1" t="str">
        <x:v>Second Class</x:v>
      </x:c>
      <x:c r="D6311" s="1" t="str">
        <x:v>Europe</x:v>
      </x:c>
      <x:c r="E6311" s="1" t="str">
        <x:v>COMPLETE</x:v>
      </x:c>
      <x:c r="F6311" s="1" t="str">
        <x:v>Late delivery</x:v>
      </x:c>
      <x:c r="G6311" s="6" t="n">
        <x:v>3</x:v>
      </x:c>
      <x:c r="H6311" s="6" t="n">
        <x:v>2</x:v>
      </x:c>
      <x:c r="I6311" s="6" t="n">
        <x:f>G6311-H6311</x:f>
        <x:v>1</x:v>
      </x:c>
      <x:c r="J6311" s="6" t="n">
        <x:f>IF(OR(E6311="CANCELED",E6311="SUSPECTED_FRAUD",F6311="Shipping canceled"),0,1)</x:f>
        <x:v>1</x:v>
      </x:c>
      <x:c r="K6311" s="6" t="n">
        <x:f>IF(G6311&gt;H6311,1,0)</x:f>
        <x:v>1</x:v>
      </x:c>
      <x:c r="L6311" s="6" t="n">
        <x:f>J6311*K6311</x:f>
        <x:v>1</x:v>
      </x:c>
    </x:row>
    <x:row r="6312">
      <x:c r="A6312" s="1" t="n">
        <x:v>49508</x:v>
      </x:c>
      <x:c r="B6312" s="5" t="d">
        <x:v>2016-12-23T00:00:00.000Z</x:v>
      </x:c>
      <x:c r="C6312" s="1" t="str">
        <x:v>Standard Class</x:v>
      </x:c>
      <x:c r="D6312" s="1" t="str">
        <x:v>Europe</x:v>
      </x:c>
      <x:c r="E6312" s="1" t="str">
        <x:v>PENDING_PAYMENT</x:v>
      </x:c>
      <x:c r="F6312" s="1" t="str">
        <x:v>Shipping on time</x:v>
      </x:c>
      <x:c r="G6312" s="6" t="n">
        <x:v>4</x:v>
      </x:c>
      <x:c r="H6312" s="6" t="n">
        <x:v>4</x:v>
      </x:c>
      <x:c r="I6312" s="6" t="n">
        <x:f>G6312-H6312</x:f>
        <x:v>0</x:v>
      </x:c>
      <x:c r="J6312" s="6" t="n">
        <x:f>IF(OR(E6312="CANCELED",E6312="SUSPECTED_FRAUD",F6312="Shipping canceled"),0,1)</x:f>
        <x:v>1</x:v>
      </x:c>
      <x:c r="K6312" s="6" t="n">
        <x:f>IF(G6312&gt;H6312,1,0)</x:f>
        <x:v>0</x:v>
      </x:c>
      <x:c r="L6312" s="6" t="n">
        <x:f>J6312*K6312</x:f>
        <x:v>0</x:v>
      </x:c>
    </x:row>
    <x:row r="6313">
      <x:c r="A6313" s="1" t="n">
        <x:v>49510</x:v>
      </x:c>
      <x:c r="B6313" s="5" t="d">
        <x:v>2016-12-23T00:00:00.000Z</x:v>
      </x:c>
      <x:c r="C6313" s="1" t="str">
        <x:v>Standard Class</x:v>
      </x:c>
      <x:c r="D6313" s="1" t="str">
        <x:v>Africa</x:v>
      </x:c>
      <x:c r="E6313" s="1" t="str">
        <x:v>COMPLETE</x:v>
      </x:c>
      <x:c r="F6313" s="1" t="str">
        <x:v>Late delivery</x:v>
      </x:c>
      <x:c r="G6313" s="6" t="n">
        <x:v>6</x:v>
      </x:c>
      <x:c r="H6313" s="6" t="n">
        <x:v>4</x:v>
      </x:c>
      <x:c r="I6313" s="6" t="n">
        <x:f>G6313-H6313</x:f>
        <x:v>2</x:v>
      </x:c>
      <x:c r="J6313" s="6" t="n">
        <x:f>IF(OR(E6313="CANCELED",E6313="SUSPECTED_FRAUD",F6313="Shipping canceled"),0,1)</x:f>
        <x:v>1</x:v>
      </x:c>
      <x:c r="K6313" s="6" t="n">
        <x:f>IF(G6313&gt;H6313,1,0)</x:f>
        <x:v>1</x:v>
      </x:c>
      <x:c r="L6313" s="6" t="n">
        <x:f>J6313*K6313</x:f>
        <x:v>1</x:v>
      </x:c>
    </x:row>
    <x:row r="6314">
      <x:c r="A6314" s="1" t="n">
        <x:v>49512</x:v>
      </x:c>
      <x:c r="B6314" s="5" t="d">
        <x:v>2016-12-23T00:00:00.000Z</x:v>
      </x:c>
      <x:c r="C6314" s="1" t="str">
        <x:v>Second Class</x:v>
      </x:c>
      <x:c r="D6314" s="1" t="str">
        <x:v>Africa</x:v>
      </x:c>
      <x:c r="E6314" s="1" t="str">
        <x:v>COMPLETE</x:v>
      </x:c>
      <x:c r="F6314" s="1" t="str">
        <x:v>Late delivery</x:v>
      </x:c>
      <x:c r="G6314" s="6" t="n">
        <x:v>3</x:v>
      </x:c>
      <x:c r="H6314" s="6" t="n">
        <x:v>2</x:v>
      </x:c>
      <x:c r="I6314" s="6" t="n">
        <x:f>G6314-H6314</x:f>
        <x:v>1</x:v>
      </x:c>
      <x:c r="J6314" s="6" t="n">
        <x:f>IF(OR(E6314="CANCELED",E6314="SUSPECTED_FRAUD",F6314="Shipping canceled"),0,1)</x:f>
        <x:v>1</x:v>
      </x:c>
      <x:c r="K6314" s="6" t="n">
        <x:f>IF(G6314&gt;H6314,1,0)</x:f>
        <x:v>1</x:v>
      </x:c>
      <x:c r="L6314" s="6" t="n">
        <x:f>J6314*K6314</x:f>
        <x:v>1</x:v>
      </x:c>
    </x:row>
    <x:row r="6315">
      <x:c r="A6315" s="1" t="n">
        <x:v>49521</x:v>
      </x:c>
      <x:c r="B6315" s="5" t="d">
        <x:v>2016-12-23T00:00:00.000Z</x:v>
      </x:c>
      <x:c r="C6315" s="1" t="str">
        <x:v>Second Class</x:v>
      </x:c>
      <x:c r="D6315" s="1" t="str">
        <x:v>Pacific Asia</x:v>
      </x:c>
      <x:c r="E6315" s="1" t="str">
        <x:v>PAYMENT_REVIEW</x:v>
      </x:c>
      <x:c r="F6315" s="1" t="str">
        <x:v>Shipping on time</x:v>
      </x:c>
      <x:c r="G6315" s="6" t="n">
        <x:v>2</x:v>
      </x:c>
      <x:c r="H6315" s="6" t="n">
        <x:v>2</x:v>
      </x:c>
      <x:c r="I6315" s="6" t="n">
        <x:f>G6315-H6315</x:f>
        <x:v>0</x:v>
      </x:c>
      <x:c r="J6315" s="6" t="n">
        <x:f>IF(OR(E6315="CANCELED",E6315="SUSPECTED_FRAUD",F6315="Shipping canceled"),0,1)</x:f>
        <x:v>1</x:v>
      </x:c>
      <x:c r="K6315" s="6" t="n">
        <x:f>IF(G6315&gt;H6315,1,0)</x:f>
        <x:v>0</x:v>
      </x:c>
      <x:c r="L6315" s="6" t="n">
        <x:f>J6315*K6315</x:f>
        <x:v>0</x:v>
      </x:c>
    </x:row>
    <x:row r="6316">
      <x:c r="A6316" s="1" t="n">
        <x:v>49523</x:v>
      </x:c>
      <x:c r="B6316" s="5" t="d">
        <x:v>2016-12-23T00:00:00.000Z</x:v>
      </x:c>
      <x:c r="C6316" s="1" t="str">
        <x:v>Standard Class</x:v>
      </x:c>
      <x:c r="D6316" s="1" t="str">
        <x:v>Africa</x:v>
      </x:c>
      <x:c r="E6316" s="1" t="str">
        <x:v>PROCESSING</x:v>
      </x:c>
      <x:c r="F6316" s="1" t="str">
        <x:v>Shipping on time</x:v>
      </x:c>
      <x:c r="G6316" s="6" t="n">
        <x:v>4</x:v>
      </x:c>
      <x:c r="H6316" s="6" t="n">
        <x:v>4</x:v>
      </x:c>
      <x:c r="I6316" s="6" t="n">
        <x:f>G6316-H6316</x:f>
        <x:v>0</x:v>
      </x:c>
      <x:c r="J6316" s="6" t="n">
        <x:f>IF(OR(E6316="CANCELED",E6316="SUSPECTED_FRAUD",F6316="Shipping canceled"),0,1)</x:f>
        <x:v>1</x:v>
      </x:c>
      <x:c r="K6316" s="6" t="n">
        <x:f>IF(G6316&gt;H6316,1,0)</x:f>
        <x:v>0</x:v>
      </x:c>
      <x:c r="L6316" s="6" t="n">
        <x:f>J6316*K6316</x:f>
        <x:v>0</x:v>
      </x:c>
    </x:row>
    <x:row r="6317">
      <x:c r="A6317" s="1" t="n">
        <x:v>49528</x:v>
      </x:c>
      <x:c r="B6317" s="5" t="d">
        <x:v>2016-12-23T00:00:00.000Z</x:v>
      </x:c>
      <x:c r="C6317" s="1" t="str">
        <x:v>Standard Class</x:v>
      </x:c>
      <x:c r="D6317" s="1" t="str">
        <x:v>Africa</x:v>
      </x:c>
      <x:c r="E6317" s="1" t="str">
        <x:v>PROCESSING</x:v>
      </x:c>
      <x:c r="F6317" s="1" t="str">
        <x:v>Shipping on time</x:v>
      </x:c>
      <x:c r="G6317" s="6" t="n">
        <x:v>4</x:v>
      </x:c>
      <x:c r="H6317" s="6" t="n">
        <x:v>4</x:v>
      </x:c>
      <x:c r="I6317" s="6" t="n">
        <x:f>G6317-H6317</x:f>
        <x:v>0</x:v>
      </x:c>
      <x:c r="J6317" s="6" t="n">
        <x:f>IF(OR(E6317="CANCELED",E6317="SUSPECTED_FRAUD",F6317="Shipping canceled"),0,1)</x:f>
        <x:v>1</x:v>
      </x:c>
      <x:c r="K6317" s="6" t="n">
        <x:f>IF(G6317&gt;H6317,1,0)</x:f>
        <x:v>0</x:v>
      </x:c>
      <x:c r="L6317" s="6" t="n">
        <x:f>J6317*K6317</x:f>
        <x:v>0</x:v>
      </x:c>
    </x:row>
    <x:row r="6318">
      <x:c r="A6318" s="1" t="n">
        <x:v>49553</x:v>
      </x:c>
      <x:c r="B6318" s="5" t="d">
        <x:v>2016-12-24T00:00:00.000Z</x:v>
      </x:c>
      <x:c r="C6318" s="1" t="str">
        <x:v>Second Class</x:v>
      </x:c>
      <x:c r="D6318" s="1" t="str">
        <x:v>Africa</x:v>
      </x:c>
      <x:c r="E6318" s="1" t="str">
        <x:v>COMPLETE</x:v>
      </x:c>
      <x:c r="F6318" s="1" t="str">
        <x:v>Late delivery</x:v>
      </x:c>
      <x:c r="G6318" s="6" t="n">
        <x:v>4</x:v>
      </x:c>
      <x:c r="H6318" s="6" t="n">
        <x:v>2</x:v>
      </x:c>
      <x:c r="I6318" s="6" t="n">
        <x:f>G6318-H6318</x:f>
        <x:v>2</x:v>
      </x:c>
      <x:c r="J6318" s="6" t="n">
        <x:f>IF(OR(E6318="CANCELED",E6318="SUSPECTED_FRAUD",F6318="Shipping canceled"),0,1)</x:f>
        <x:v>1</x:v>
      </x:c>
      <x:c r="K6318" s="6" t="n">
        <x:f>IF(G6318&gt;H6318,1,0)</x:f>
        <x:v>1</x:v>
      </x:c>
      <x:c r="L6318" s="6" t="n">
        <x:f>J6318*K6318</x:f>
        <x:v>1</x:v>
      </x:c>
    </x:row>
    <x:row r="6319">
      <x:c r="A6319" s="1" t="n">
        <x:v>49558</x:v>
      </x:c>
      <x:c r="B6319" s="5" t="d">
        <x:v>2016-12-24T00:00:00.000Z</x:v>
      </x:c>
      <x:c r="C6319" s="1" t="str">
        <x:v>Standard Class</x:v>
      </x:c>
      <x:c r="D6319" s="1" t="str">
        <x:v>Africa</x:v>
      </x:c>
      <x:c r="E6319" s="1" t="str">
        <x:v>COMPLETE</x:v>
      </x:c>
      <x:c r="F6319" s="1" t="str">
        <x:v>Shipping on time</x:v>
      </x:c>
      <x:c r="G6319" s="6" t="n">
        <x:v>4</x:v>
      </x:c>
      <x:c r="H6319" s="6" t="n">
        <x:v>4</x:v>
      </x:c>
      <x:c r="I6319" s="6" t="n">
        <x:f>G6319-H6319</x:f>
        <x:v>0</x:v>
      </x:c>
      <x:c r="J6319" s="6" t="n">
        <x:f>IF(OR(E6319="CANCELED",E6319="SUSPECTED_FRAUD",F6319="Shipping canceled"),0,1)</x:f>
        <x:v>1</x:v>
      </x:c>
      <x:c r="K6319" s="6" t="n">
        <x:f>IF(G6319&gt;H6319,1,0)</x:f>
        <x:v>0</x:v>
      </x:c>
      <x:c r="L6319" s="6" t="n">
        <x:f>J6319*K6319</x:f>
        <x:v>0</x:v>
      </x:c>
    </x:row>
    <x:row r="6320">
      <x:c r="A6320" s="1" t="n">
        <x:v>49561</x:v>
      </x:c>
      <x:c r="B6320" s="5" t="d">
        <x:v>2016-12-24T00:00:00.000Z</x:v>
      </x:c>
      <x:c r="C6320" s="1" t="str">
        <x:v>Same Day</x:v>
      </x:c>
      <x:c r="D6320" s="1" t="str">
        <x:v>Pacific Asia</x:v>
      </x:c>
      <x:c r="E6320" s="1" t="str">
        <x:v>PROCESSING</x:v>
      </x:c>
      <x:c r="F6320" s="1" t="str">
        <x:v>Shipping on time</x:v>
      </x:c>
      <x:c r="G6320" s="6" t="n">
        <x:v>0</x:v>
      </x:c>
      <x:c r="H6320" s="6" t="n">
        <x:v>0</x:v>
      </x:c>
      <x:c r="I6320" s="6" t="n">
        <x:f>G6320-H6320</x:f>
        <x:v>0</x:v>
      </x:c>
      <x:c r="J6320" s="6" t="n">
        <x:f>IF(OR(E6320="CANCELED",E6320="SUSPECTED_FRAUD",F6320="Shipping canceled"),0,1)</x:f>
        <x:v>1</x:v>
      </x:c>
      <x:c r="K6320" s="6" t="n">
        <x:f>IF(G6320&gt;H6320,1,0)</x:f>
        <x:v>0</x:v>
      </x:c>
      <x:c r="L6320" s="6" t="n">
        <x:f>J6320*K6320</x:f>
        <x:v>0</x:v>
      </x:c>
    </x:row>
    <x:row r="6321">
      <x:c r="A6321" s="1" t="n">
        <x:v>49563</x:v>
      </x:c>
      <x:c r="B6321" s="5" t="d">
        <x:v>2016-12-24T00:00:00.000Z</x:v>
      </x:c>
      <x:c r="C6321" s="1" t="str">
        <x:v>Standard Class</x:v>
      </x:c>
      <x:c r="D6321" s="1" t="str">
        <x:v>Pacific Asia</x:v>
      </x:c>
      <x:c r="E6321" s="1" t="str">
        <x:v>COMPLETE</x:v>
      </x:c>
      <x:c r="F6321" s="1" t="str">
        <x:v>Shipping on time</x:v>
      </x:c>
      <x:c r="G6321" s="6" t="n">
        <x:v>4</x:v>
      </x:c>
      <x:c r="H6321" s="6" t="n">
        <x:v>4</x:v>
      </x:c>
      <x:c r="I6321" s="6" t="n">
        <x:f>G6321-H6321</x:f>
        <x:v>0</x:v>
      </x:c>
      <x:c r="J6321" s="6" t="n">
        <x:f>IF(OR(E6321="CANCELED",E6321="SUSPECTED_FRAUD",F6321="Shipping canceled"),0,1)</x:f>
        <x:v>1</x:v>
      </x:c>
      <x:c r="K6321" s="6" t="n">
        <x:f>IF(G6321&gt;H6321,1,0)</x:f>
        <x:v>0</x:v>
      </x:c>
      <x:c r="L6321" s="6" t="n">
        <x:f>J6321*K6321</x:f>
        <x:v>0</x:v>
      </x:c>
    </x:row>
    <x:row r="6322">
      <x:c r="A6322" s="1" t="n">
        <x:v>49570</x:v>
      </x:c>
      <x:c r="B6322" s="5" t="d">
        <x:v>2016-12-24T00:00:00.000Z</x:v>
      </x:c>
      <x:c r="C6322" s="1" t="str">
        <x:v>Standard Class</x:v>
      </x:c>
      <x:c r="D6322" s="1" t="str">
        <x:v>Africa</x:v>
      </x:c>
      <x:c r="E6322" s="1" t="str">
        <x:v>PROCESSING</x:v>
      </x:c>
      <x:c r="F6322" s="1" t="str">
        <x:v>Late delivery</x:v>
      </x:c>
      <x:c r="G6322" s="6" t="n">
        <x:v>6</x:v>
      </x:c>
      <x:c r="H6322" s="6" t="n">
        <x:v>4</x:v>
      </x:c>
      <x:c r="I6322" s="6" t="n">
        <x:f>G6322-H6322</x:f>
        <x:v>2</x:v>
      </x:c>
      <x:c r="J6322" s="6" t="n">
        <x:f>IF(OR(E6322="CANCELED",E6322="SUSPECTED_FRAUD",F6322="Shipping canceled"),0,1)</x:f>
        <x:v>1</x:v>
      </x:c>
      <x:c r="K6322" s="6" t="n">
        <x:f>IF(G6322&gt;H6322,1,0)</x:f>
        <x:v>1</x:v>
      </x:c>
      <x:c r="L6322" s="6" t="n">
        <x:f>J6322*K6322</x:f>
        <x:v>1</x:v>
      </x:c>
    </x:row>
    <x:row r="6323">
      <x:c r="A6323" s="1" t="n">
        <x:v>49572</x:v>
      </x:c>
      <x:c r="B6323" s="5" t="d">
        <x:v>2016-12-24T00:00:00.000Z</x:v>
      </x:c>
      <x:c r="C6323" s="1" t="str">
        <x:v>Standard Class</x:v>
      </x:c>
      <x:c r="D6323" s="1" t="str">
        <x:v>USCA</x:v>
      </x:c>
      <x:c r="E6323" s="1" t="str">
        <x:v>COMPLETE</x:v>
      </x:c>
      <x:c r="F6323" s="1" t="str">
        <x:v>Advance shipping</x:v>
      </x:c>
      <x:c r="G6323" s="6" t="n">
        <x:v>3</x:v>
      </x:c>
      <x:c r="H6323" s="6" t="n">
        <x:v>4</x:v>
      </x:c>
      <x:c r="I6323" s="6" t="n">
        <x:f>G6323-H6323</x:f>
        <x:v>-1</x:v>
      </x:c>
      <x:c r="J6323" s="6" t="n">
        <x:f>IF(OR(E6323="CANCELED",E6323="SUSPECTED_FRAUD",F6323="Shipping canceled"),0,1)</x:f>
        <x:v>1</x:v>
      </x:c>
      <x:c r="K6323" s="6" t="n">
        <x:f>IF(G6323&gt;H6323,1,0)</x:f>
        <x:v>0</x:v>
      </x:c>
      <x:c r="L6323" s="6" t="n">
        <x:f>J6323*K6323</x:f>
        <x:v>0</x:v>
      </x:c>
    </x:row>
    <x:row r="6324">
      <x:c r="A6324" s="1" t="n">
        <x:v>49576</x:v>
      </x:c>
      <x:c r="B6324" s="5" t="d">
        <x:v>2016-12-24T00:00:00.000Z</x:v>
      </x:c>
      <x:c r="C6324" s="1" t="str">
        <x:v>Standard Class</x:v>
      </x:c>
      <x:c r="D6324" s="1" t="str">
        <x:v>Pacific Asia</x:v>
      </x:c>
      <x:c r="E6324" s="1" t="str">
        <x:v>ON_HOLD</x:v>
      </x:c>
      <x:c r="F6324" s="1" t="str">
        <x:v>Advance shipping</x:v>
      </x:c>
      <x:c r="G6324" s="6" t="n">
        <x:v>2</x:v>
      </x:c>
      <x:c r="H6324" s="6" t="n">
        <x:v>4</x:v>
      </x:c>
      <x:c r="I6324" s="6" t="n">
        <x:f>G6324-H6324</x:f>
        <x:v>-2</x:v>
      </x:c>
      <x:c r="J6324" s="6" t="n">
        <x:f>IF(OR(E6324="CANCELED",E6324="SUSPECTED_FRAUD",F6324="Shipping canceled"),0,1)</x:f>
        <x:v>1</x:v>
      </x:c>
      <x:c r="K6324" s="6" t="n">
        <x:f>IF(G6324&gt;H6324,1,0)</x:f>
        <x:v>0</x:v>
      </x:c>
      <x:c r="L6324" s="6" t="n">
        <x:f>J6324*K6324</x:f>
        <x:v>0</x:v>
      </x:c>
    </x:row>
    <x:row r="6325">
      <x:c r="A6325" s="1" t="n">
        <x:v>49579</x:v>
      </x:c>
      <x:c r="B6325" s="5" t="d">
        <x:v>2016-12-24T00:00:00.000Z</x:v>
      </x:c>
      <x:c r="C6325" s="1" t="str">
        <x:v>First Class</x:v>
      </x:c>
      <x:c r="D6325" s="1" t="str">
        <x:v>Europe</x:v>
      </x:c>
      <x:c r="E6325" s="1" t="str">
        <x:v>PENDING_PAYMENT</x:v>
      </x:c>
      <x:c r="F6325" s="1" t="str">
        <x:v>Late delivery</x:v>
      </x:c>
      <x:c r="G6325" s="6" t="n">
        <x:v>2</x:v>
      </x:c>
      <x:c r="H6325" s="6" t="n">
        <x:v>1</x:v>
      </x:c>
      <x:c r="I6325" s="6" t="n">
        <x:f>G6325-H6325</x:f>
        <x:v>1</x:v>
      </x:c>
      <x:c r="J6325" s="6" t="n">
        <x:f>IF(OR(E6325="CANCELED",E6325="SUSPECTED_FRAUD",F6325="Shipping canceled"),0,1)</x:f>
        <x:v>1</x:v>
      </x:c>
      <x:c r="K6325" s="6" t="n">
        <x:f>IF(G6325&gt;H6325,1,0)</x:f>
        <x:v>1</x:v>
      </x:c>
      <x:c r="L6325" s="6" t="n">
        <x:f>J6325*K6325</x:f>
        <x:v>1</x:v>
      </x:c>
    </x:row>
    <x:row r="6326">
      <x:c r="A6326" s="1" t="n">
        <x:v>49598</x:v>
      </x:c>
      <x:c r="B6326" s="5" t="d">
        <x:v>2016-12-25T00:00:00.000Z</x:v>
      </x:c>
      <x:c r="C6326" s="1" t="str">
        <x:v>Standard Class</x:v>
      </x:c>
      <x:c r="D6326" s="1" t="str">
        <x:v>Pacific Asia</x:v>
      </x:c>
      <x:c r="E6326" s="1" t="str">
        <x:v>COMPLETE</x:v>
      </x:c>
      <x:c r="F6326" s="1" t="str">
        <x:v>Shipping on time</x:v>
      </x:c>
      <x:c r="G6326" s="6" t="n">
        <x:v>4</x:v>
      </x:c>
      <x:c r="H6326" s="6" t="n">
        <x:v>4</x:v>
      </x:c>
      <x:c r="I6326" s="6" t="n">
        <x:f>G6326-H6326</x:f>
        <x:v>0</x:v>
      </x:c>
      <x:c r="J6326" s="6" t="n">
        <x:f>IF(OR(E6326="CANCELED",E6326="SUSPECTED_FRAUD",F6326="Shipping canceled"),0,1)</x:f>
        <x:v>1</x:v>
      </x:c>
      <x:c r="K6326" s="6" t="n">
        <x:f>IF(G6326&gt;H6326,1,0)</x:f>
        <x:v>0</x:v>
      </x:c>
      <x:c r="L6326" s="6" t="n">
        <x:f>J6326*K6326</x:f>
        <x:v>0</x:v>
      </x:c>
    </x:row>
    <x:row r="6327">
      <x:c r="A6327" s="1" t="n">
        <x:v>49600</x:v>
      </x:c>
      <x:c r="B6327" s="5" t="d">
        <x:v>2016-12-25T00:00:00.000Z</x:v>
      </x:c>
      <x:c r="C6327" s="1" t="str">
        <x:v>Standard Class</x:v>
      </x:c>
      <x:c r="D6327" s="1" t="str">
        <x:v>USCA</x:v>
      </x:c>
      <x:c r="E6327" s="1" t="str">
        <x:v>COMPLETE</x:v>
      </x:c>
      <x:c r="F6327" s="1" t="str">
        <x:v>Late delivery</x:v>
      </x:c>
      <x:c r="G6327" s="6" t="n">
        <x:v>6</x:v>
      </x:c>
      <x:c r="H6327" s="6" t="n">
        <x:v>4</x:v>
      </x:c>
      <x:c r="I6327" s="6" t="n">
        <x:f>G6327-H6327</x:f>
        <x:v>2</x:v>
      </x:c>
      <x:c r="J6327" s="6" t="n">
        <x:f>IF(OR(E6327="CANCELED",E6327="SUSPECTED_FRAUD",F6327="Shipping canceled"),0,1)</x:f>
        <x:v>1</x:v>
      </x:c>
      <x:c r="K6327" s="6" t="n">
        <x:f>IF(G6327&gt;H6327,1,0)</x:f>
        <x:v>1</x:v>
      </x:c>
      <x:c r="L6327" s="6" t="n">
        <x:f>J6327*K6327</x:f>
        <x:v>1</x:v>
      </x:c>
    </x:row>
    <x:row r="6328">
      <x:c r="A6328" s="1" t="n">
        <x:v>49610</x:v>
      </x:c>
      <x:c r="B6328" s="5" t="d">
        <x:v>2016-12-25T00:00:00.000Z</x:v>
      </x:c>
      <x:c r="C6328" s="1" t="str">
        <x:v>Standard Class</x:v>
      </x:c>
      <x:c r="D6328" s="1" t="str">
        <x:v>Africa</x:v>
      </x:c>
      <x:c r="E6328" s="1" t="str">
        <x:v>PENDING</x:v>
      </x:c>
      <x:c r="F6328" s="1" t="str">
        <x:v>Late delivery</x:v>
      </x:c>
      <x:c r="G6328" s="6" t="n">
        <x:v>6</x:v>
      </x:c>
      <x:c r="H6328" s="6" t="n">
        <x:v>4</x:v>
      </x:c>
      <x:c r="I6328" s="6" t="n">
        <x:f>G6328-H6328</x:f>
        <x:v>2</x:v>
      </x:c>
      <x:c r="J6328" s="6" t="n">
        <x:f>IF(OR(E6328="CANCELED",E6328="SUSPECTED_FRAUD",F6328="Shipping canceled"),0,1)</x:f>
        <x:v>1</x:v>
      </x:c>
      <x:c r="K6328" s="6" t="n">
        <x:f>IF(G6328&gt;H6328,1,0)</x:f>
        <x:v>1</x:v>
      </x:c>
      <x:c r="L6328" s="6" t="n">
        <x:f>J6328*K6328</x:f>
        <x:v>1</x:v>
      </x:c>
    </x:row>
    <x:row r="6329">
      <x:c r="A6329" s="1" t="n">
        <x:v>49612</x:v>
      </x:c>
      <x:c r="B6329" s="5" t="d">
        <x:v>2016-12-25T00:00:00.000Z</x:v>
      </x:c>
      <x:c r="C6329" s="1" t="str">
        <x:v>Standard Class</x:v>
      </x:c>
      <x:c r="D6329" s="1" t="str">
        <x:v>Africa</x:v>
      </x:c>
      <x:c r="E6329" s="1" t="str">
        <x:v>COMPLETE</x:v>
      </x:c>
      <x:c r="F6329" s="1" t="str">
        <x:v>Advance shipping</x:v>
      </x:c>
      <x:c r="G6329" s="6" t="n">
        <x:v>3</x:v>
      </x:c>
      <x:c r="H6329" s="6" t="n">
        <x:v>4</x:v>
      </x:c>
      <x:c r="I6329" s="6" t="n">
        <x:f>G6329-H6329</x:f>
        <x:v>-1</x:v>
      </x:c>
      <x:c r="J6329" s="6" t="n">
        <x:f>IF(OR(E6329="CANCELED",E6329="SUSPECTED_FRAUD",F6329="Shipping canceled"),0,1)</x:f>
        <x:v>1</x:v>
      </x:c>
      <x:c r="K6329" s="6" t="n">
        <x:f>IF(G6329&gt;H6329,1,0)</x:f>
        <x:v>0</x:v>
      </x:c>
      <x:c r="L6329" s="6" t="n">
        <x:f>J6329*K6329</x:f>
        <x:v>0</x:v>
      </x:c>
    </x:row>
    <x:row r="6330">
      <x:c r="A6330" s="1" t="n">
        <x:v>49622</x:v>
      </x:c>
      <x:c r="B6330" s="5" t="d">
        <x:v>2016-12-25T00:00:00.000Z</x:v>
      </x:c>
      <x:c r="C6330" s="1" t="str">
        <x:v>Second Class</x:v>
      </x:c>
      <x:c r="D6330" s="1" t="str">
        <x:v>Europe</x:v>
      </x:c>
      <x:c r="E6330" s="1" t="str">
        <x:v>PENDING_PAYMENT</x:v>
      </x:c>
      <x:c r="F6330" s="1" t="str">
        <x:v>Late delivery</x:v>
      </x:c>
      <x:c r="G6330" s="6" t="n">
        <x:v>3</x:v>
      </x:c>
      <x:c r="H6330" s="6" t="n">
        <x:v>2</x:v>
      </x:c>
      <x:c r="I6330" s="6" t="n">
        <x:f>G6330-H6330</x:f>
        <x:v>1</x:v>
      </x:c>
      <x:c r="J6330" s="6" t="n">
        <x:f>IF(OR(E6330="CANCELED",E6330="SUSPECTED_FRAUD",F6330="Shipping canceled"),0,1)</x:f>
        <x:v>1</x:v>
      </x:c>
      <x:c r="K6330" s="6" t="n">
        <x:f>IF(G6330&gt;H6330,1,0)</x:f>
        <x:v>1</x:v>
      </x:c>
      <x:c r="L6330" s="6" t="n">
        <x:f>J6330*K6330</x:f>
        <x:v>1</x:v>
      </x:c>
    </x:row>
    <x:row r="6331">
      <x:c r="A6331" s="1" t="n">
        <x:v>49635</x:v>
      </x:c>
      <x:c r="B6331" s="5" t="d">
        <x:v>2016-12-25T00:00:00.000Z</x:v>
      </x:c>
      <x:c r="C6331" s="1" t="str">
        <x:v>First Class</x:v>
      </x:c>
      <x:c r="D6331" s="1" t="str">
        <x:v>Africa</x:v>
      </x:c>
      <x:c r="E6331" s="1" t="str">
        <x:v>PENDING_PAYMENT</x:v>
      </x:c>
      <x:c r="F6331" s="1" t="str">
        <x:v>Late delivery</x:v>
      </x:c>
      <x:c r="G6331" s="6" t="n">
        <x:v>2</x:v>
      </x:c>
      <x:c r="H6331" s="6" t="n">
        <x:v>1</x:v>
      </x:c>
      <x:c r="I6331" s="6" t="n">
        <x:f>G6331-H6331</x:f>
        <x:v>1</x:v>
      </x:c>
      <x:c r="J6331" s="6" t="n">
        <x:f>IF(OR(E6331="CANCELED",E6331="SUSPECTED_FRAUD",F6331="Shipping canceled"),0,1)</x:f>
        <x:v>1</x:v>
      </x:c>
      <x:c r="K6331" s="6" t="n">
        <x:f>IF(G6331&gt;H6331,1,0)</x:f>
        <x:v>1</x:v>
      </x:c>
      <x:c r="L6331" s="6" t="n">
        <x:f>J6331*K6331</x:f>
        <x:v>1</x:v>
      </x:c>
    </x:row>
    <x:row r="6332">
      <x:c r="A6332" s="1" t="n">
        <x:v>49655</x:v>
      </x:c>
      <x:c r="B6332" s="5" t="d">
        <x:v>2016-12-25T00:00:00.000Z</x:v>
      </x:c>
      <x:c r="C6332" s="1" t="str">
        <x:v>Second Class</x:v>
      </x:c>
      <x:c r="D6332" s="1" t="str">
        <x:v>Africa</x:v>
      </x:c>
      <x:c r="E6332" s="1" t="str">
        <x:v>ON_HOLD</x:v>
      </x:c>
      <x:c r="F6332" s="1" t="str">
        <x:v>Late delivery</x:v>
      </x:c>
      <x:c r="G6332" s="6" t="n">
        <x:v>6</x:v>
      </x:c>
      <x:c r="H6332" s="6" t="n">
        <x:v>2</x:v>
      </x:c>
      <x:c r="I6332" s="6" t="n">
        <x:f>G6332-H6332</x:f>
        <x:v>4</x:v>
      </x:c>
      <x:c r="J6332" s="6" t="n">
        <x:f>IF(OR(E6332="CANCELED",E6332="SUSPECTED_FRAUD",F6332="Shipping canceled"),0,1)</x:f>
        <x:v>1</x:v>
      </x:c>
      <x:c r="K6332" s="6" t="n">
        <x:f>IF(G6332&gt;H6332,1,0)</x:f>
        <x:v>1</x:v>
      </x:c>
      <x:c r="L6332" s="6" t="n">
        <x:f>J6332*K6332</x:f>
        <x:v>1</x:v>
      </x:c>
    </x:row>
    <x:row r="6333">
      <x:c r="A6333" s="1" t="n">
        <x:v>49664</x:v>
      </x:c>
      <x:c r="B6333" s="5" t="d">
        <x:v>2016-12-25T00:00:00.000Z</x:v>
      </x:c>
      <x:c r="C6333" s="1" t="str">
        <x:v>Second Class</x:v>
      </x:c>
      <x:c r="D6333" s="1" t="str">
        <x:v>Europe</x:v>
      </x:c>
      <x:c r="E6333" s="1" t="str">
        <x:v>COMPLETE</x:v>
      </x:c>
      <x:c r="F6333" s="1" t="str">
        <x:v>Late delivery</x:v>
      </x:c>
      <x:c r="G6333" s="6" t="n">
        <x:v>5</x:v>
      </x:c>
      <x:c r="H6333" s="6" t="n">
        <x:v>2</x:v>
      </x:c>
      <x:c r="I6333" s="6" t="n">
        <x:f>G6333-H6333</x:f>
        <x:v>3</x:v>
      </x:c>
      <x:c r="J6333" s="6" t="n">
        <x:f>IF(OR(E6333="CANCELED",E6333="SUSPECTED_FRAUD",F6333="Shipping canceled"),0,1)</x:f>
        <x:v>1</x:v>
      </x:c>
      <x:c r="K6333" s="6" t="n">
        <x:f>IF(G6333&gt;H6333,1,0)</x:f>
        <x:v>1</x:v>
      </x:c>
      <x:c r="L6333" s="6" t="n">
        <x:f>J6333*K6333</x:f>
        <x:v>1</x:v>
      </x:c>
    </x:row>
    <x:row r="6334">
      <x:c r="A6334" s="1" t="n">
        <x:v>49667</x:v>
      </x:c>
      <x:c r="B6334" s="5" t="d">
        <x:v>2016-12-26T00:00:00.000Z</x:v>
      </x:c>
      <x:c r="C6334" s="1" t="str">
        <x:v>Standard Class</x:v>
      </x:c>
      <x:c r="D6334" s="1" t="str">
        <x:v>USCA</x:v>
      </x:c>
      <x:c r="E6334" s="1" t="str">
        <x:v>PENDING_PAYMENT</x:v>
      </x:c>
      <x:c r="F6334" s="1" t="str">
        <x:v>Advance shipping</x:v>
      </x:c>
      <x:c r="G6334" s="6" t="n">
        <x:v>3</x:v>
      </x:c>
      <x:c r="H6334" s="6" t="n">
        <x:v>4</x:v>
      </x:c>
      <x:c r="I6334" s="6" t="n">
        <x:f>G6334-H6334</x:f>
        <x:v>-1</x:v>
      </x:c>
      <x:c r="J6334" s="6" t="n">
        <x:f>IF(OR(E6334="CANCELED",E6334="SUSPECTED_FRAUD",F6334="Shipping canceled"),0,1)</x:f>
        <x:v>1</x:v>
      </x:c>
      <x:c r="K6334" s="6" t="n">
        <x:f>IF(G6334&gt;H6334,1,0)</x:f>
        <x:v>0</x:v>
      </x:c>
      <x:c r="L6334" s="6" t="n">
        <x:f>J6334*K6334</x:f>
        <x:v>0</x:v>
      </x:c>
    </x:row>
    <x:row r="6335">
      <x:c r="A6335" s="1" t="n">
        <x:v>49674</x:v>
      </x:c>
      <x:c r="B6335" s="5" t="d">
        <x:v>2016-12-26T00:00:00.000Z</x:v>
      </x:c>
      <x:c r="C6335" s="1" t="str">
        <x:v>Standard Class</x:v>
      </x:c>
      <x:c r="D6335" s="1" t="str">
        <x:v>Europe</x:v>
      </x:c>
      <x:c r="E6335" s="1" t="str">
        <x:v>COMPLETE</x:v>
      </x:c>
      <x:c r="F6335" s="1" t="str">
        <x:v>Late delivery</x:v>
      </x:c>
      <x:c r="G6335" s="6" t="n">
        <x:v>5</x:v>
      </x:c>
      <x:c r="H6335" s="6" t="n">
        <x:v>4</x:v>
      </x:c>
      <x:c r="I6335" s="6" t="n">
        <x:f>G6335-H6335</x:f>
        <x:v>1</x:v>
      </x:c>
      <x:c r="J6335" s="6" t="n">
        <x:f>IF(OR(E6335="CANCELED",E6335="SUSPECTED_FRAUD",F6335="Shipping canceled"),0,1)</x:f>
        <x:v>1</x:v>
      </x:c>
      <x:c r="K6335" s="6" t="n">
        <x:f>IF(G6335&gt;H6335,1,0)</x:f>
        <x:v>1</x:v>
      </x:c>
      <x:c r="L6335" s="6" t="n">
        <x:f>J6335*K6335</x:f>
        <x:v>1</x:v>
      </x:c>
    </x:row>
    <x:row r="6336">
      <x:c r="A6336" s="1" t="n">
        <x:v>49687</x:v>
      </x:c>
      <x:c r="B6336" s="5" t="d">
        <x:v>2016-12-26T00:00:00.000Z</x:v>
      </x:c>
      <x:c r="C6336" s="1" t="str">
        <x:v>Standard Class</x:v>
      </x:c>
      <x:c r="D6336" s="1" t="str">
        <x:v>Africa</x:v>
      </x:c>
      <x:c r="E6336" s="1" t="str">
        <x:v>PENDING</x:v>
      </x:c>
      <x:c r="F6336" s="1" t="str">
        <x:v>Advance shipping</x:v>
      </x:c>
      <x:c r="G6336" s="6" t="n">
        <x:v>3</x:v>
      </x:c>
      <x:c r="H6336" s="6" t="n">
        <x:v>4</x:v>
      </x:c>
      <x:c r="I6336" s="6" t="n">
        <x:f>G6336-H6336</x:f>
        <x:v>-1</x:v>
      </x:c>
      <x:c r="J6336" s="6" t="n">
        <x:f>IF(OR(E6336="CANCELED",E6336="SUSPECTED_FRAUD",F6336="Shipping canceled"),0,1)</x:f>
        <x:v>1</x:v>
      </x:c>
      <x:c r="K6336" s="6" t="n">
        <x:f>IF(G6336&gt;H6336,1,0)</x:f>
        <x:v>0</x:v>
      </x:c>
      <x:c r="L6336" s="6" t="n">
        <x:f>J6336*K6336</x:f>
        <x:v>0</x:v>
      </x:c>
    </x:row>
    <x:row r="6337">
      <x:c r="A6337" s="1" t="n">
        <x:v>49691</x:v>
      </x:c>
      <x:c r="B6337" s="5" t="d">
        <x:v>2016-12-26T00:00:00.000Z</x:v>
      </x:c>
      <x:c r="C6337" s="1" t="str">
        <x:v>Standard Class</x:v>
      </x:c>
      <x:c r="D6337" s="1" t="str">
        <x:v>Pacific Asia</x:v>
      </x:c>
      <x:c r="E6337" s="1" t="str">
        <x:v>PROCESSING</x:v>
      </x:c>
      <x:c r="F6337" s="1" t="str">
        <x:v>Advance shipping</x:v>
      </x:c>
      <x:c r="G6337" s="6" t="n">
        <x:v>2</x:v>
      </x:c>
      <x:c r="H6337" s="6" t="n">
        <x:v>4</x:v>
      </x:c>
      <x:c r="I6337" s="6" t="n">
        <x:f>G6337-H6337</x:f>
        <x:v>-2</x:v>
      </x:c>
      <x:c r="J6337" s="6" t="n">
        <x:f>IF(OR(E6337="CANCELED",E6337="SUSPECTED_FRAUD",F6337="Shipping canceled"),0,1)</x:f>
        <x:v>1</x:v>
      </x:c>
      <x:c r="K6337" s="6" t="n">
        <x:f>IF(G6337&gt;H6337,1,0)</x:f>
        <x:v>0</x:v>
      </x:c>
      <x:c r="L6337" s="6" t="n">
        <x:f>J6337*K6337</x:f>
        <x:v>0</x:v>
      </x:c>
    </x:row>
    <x:row r="6338">
      <x:c r="A6338" s="1" t="n">
        <x:v>49693</x:v>
      </x:c>
      <x:c r="B6338" s="5" t="d">
        <x:v>2016-12-26T00:00:00.000Z</x:v>
      </x:c>
      <x:c r="C6338" s="1" t="str">
        <x:v>Standard Class</x:v>
      </x:c>
      <x:c r="D6338" s="1" t="str">
        <x:v>Pacific Asia</x:v>
      </x:c>
      <x:c r="E6338" s="1" t="str">
        <x:v>PROCESSING</x:v>
      </x:c>
      <x:c r="F6338" s="1" t="str">
        <x:v>Shipping on time</x:v>
      </x:c>
      <x:c r="G6338" s="6" t="n">
        <x:v>4</x:v>
      </x:c>
      <x:c r="H6338" s="6" t="n">
        <x:v>4</x:v>
      </x:c>
      <x:c r="I6338" s="6" t="n">
        <x:f>G6338-H6338</x:f>
        <x:v>0</x:v>
      </x:c>
      <x:c r="J6338" s="6" t="n">
        <x:f>IF(OR(E6338="CANCELED",E6338="SUSPECTED_FRAUD",F6338="Shipping canceled"),0,1)</x:f>
        <x:v>1</x:v>
      </x:c>
      <x:c r="K6338" s="6" t="n">
        <x:f>IF(G6338&gt;H6338,1,0)</x:f>
        <x:v>0</x:v>
      </x:c>
      <x:c r="L6338" s="6" t="n">
        <x:f>J6338*K6338</x:f>
        <x:v>0</x:v>
      </x:c>
    </x:row>
    <x:row r="6339">
      <x:c r="A6339" s="1" t="n">
        <x:v>49696</x:v>
      </x:c>
      <x:c r="B6339" s="5" t="d">
        <x:v>2016-12-26T00:00:00.000Z</x:v>
      </x:c>
      <x:c r="C6339" s="1" t="str">
        <x:v>Standard Class</x:v>
      </x:c>
      <x:c r="D6339" s="1" t="str">
        <x:v>Pacific Asia</x:v>
      </x:c>
      <x:c r="E6339" s="1" t="str">
        <x:v>PENDING</x:v>
      </x:c>
      <x:c r="F6339" s="1" t="str">
        <x:v>Advance shipping</x:v>
      </x:c>
      <x:c r="G6339" s="6" t="n">
        <x:v>2</x:v>
      </x:c>
      <x:c r="H6339" s="6" t="n">
        <x:v>4</x:v>
      </x:c>
      <x:c r="I6339" s="6" t="n">
        <x:f>G6339-H6339</x:f>
        <x:v>-2</x:v>
      </x:c>
      <x:c r="J6339" s="6" t="n">
        <x:f>IF(OR(E6339="CANCELED",E6339="SUSPECTED_FRAUD",F6339="Shipping canceled"),0,1)</x:f>
        <x:v>1</x:v>
      </x:c>
      <x:c r="K6339" s="6" t="n">
        <x:f>IF(G6339&gt;H6339,1,0)</x:f>
        <x:v>0</x:v>
      </x:c>
      <x:c r="L6339" s="6" t="n">
        <x:f>J6339*K6339</x:f>
        <x:v>0</x:v>
      </x:c>
    </x:row>
    <x:row r="6340">
      <x:c r="A6340" s="1" t="n">
        <x:v>49703</x:v>
      </x:c>
      <x:c r="B6340" s="5" t="d">
        <x:v>2016-12-26T00:00:00.000Z</x:v>
      </x:c>
      <x:c r="C6340" s="1" t="str">
        <x:v>First Class</x:v>
      </x:c>
      <x:c r="D6340" s="1" t="str">
        <x:v>Africa</x:v>
      </x:c>
      <x:c r="E6340" s="1" t="str">
        <x:v>CLOSED</x:v>
      </x:c>
      <x:c r="F6340" s="1" t="str">
        <x:v>Late delivery</x:v>
      </x:c>
      <x:c r="G6340" s="6" t="n">
        <x:v>2</x:v>
      </x:c>
      <x:c r="H6340" s="6" t="n">
        <x:v>1</x:v>
      </x:c>
      <x:c r="I6340" s="6" t="n">
        <x:f>G6340-H6340</x:f>
        <x:v>1</x:v>
      </x:c>
      <x:c r="J6340" s="6" t="n">
        <x:f>IF(OR(E6340="CANCELED",E6340="SUSPECTED_FRAUD",F6340="Shipping canceled"),0,1)</x:f>
        <x:v>1</x:v>
      </x:c>
      <x:c r="K6340" s="6" t="n">
        <x:f>IF(G6340&gt;H6340,1,0)</x:f>
        <x:v>1</x:v>
      </x:c>
      <x:c r="L6340" s="6" t="n">
        <x:f>J6340*K6340</x:f>
        <x:v>1</x:v>
      </x:c>
    </x:row>
    <x:row r="6341">
      <x:c r="A6341" s="1" t="n">
        <x:v>49714</x:v>
      </x:c>
      <x:c r="B6341" s="5" t="d">
        <x:v>2016-12-26T00:00:00.000Z</x:v>
      </x:c>
      <x:c r="C6341" s="1" t="str">
        <x:v>Standard Class</x:v>
      </x:c>
      <x:c r="D6341" s="1" t="str">
        <x:v>Africa</x:v>
      </x:c>
      <x:c r="E6341" s="1" t="str">
        <x:v>COMPLETE</x:v>
      </x:c>
      <x:c r="F6341" s="1" t="str">
        <x:v>Late delivery</x:v>
      </x:c>
      <x:c r="G6341" s="6" t="n">
        <x:v>5</x:v>
      </x:c>
      <x:c r="H6341" s="6" t="n">
        <x:v>4</x:v>
      </x:c>
      <x:c r="I6341" s="6" t="n">
        <x:f>G6341-H6341</x:f>
        <x:v>1</x:v>
      </x:c>
      <x:c r="J6341" s="6" t="n">
        <x:f>IF(OR(E6341="CANCELED",E6341="SUSPECTED_FRAUD",F6341="Shipping canceled"),0,1)</x:f>
        <x:v>1</x:v>
      </x:c>
      <x:c r="K6341" s="6" t="n">
        <x:f>IF(G6341&gt;H6341,1,0)</x:f>
        <x:v>1</x:v>
      </x:c>
      <x:c r="L6341" s="6" t="n">
        <x:f>J6341*K6341</x:f>
        <x:v>1</x:v>
      </x:c>
    </x:row>
    <x:row r="6342">
      <x:c r="A6342" s="1" t="n">
        <x:v>49725</x:v>
      </x:c>
      <x:c r="B6342" s="5" t="d">
        <x:v>2016-12-26T00:00:00.000Z</x:v>
      </x:c>
      <x:c r="C6342" s="1" t="str">
        <x:v>Standard Class</x:v>
      </x:c>
      <x:c r="D6342" s="1" t="str">
        <x:v>Africa</x:v>
      </x:c>
      <x:c r="E6342" s="1" t="str">
        <x:v>COMPLETE</x:v>
      </x:c>
      <x:c r="F6342" s="1" t="str">
        <x:v>Late delivery</x:v>
      </x:c>
      <x:c r="G6342" s="6" t="n">
        <x:v>6</x:v>
      </x:c>
      <x:c r="H6342" s="6" t="n">
        <x:v>4</x:v>
      </x:c>
      <x:c r="I6342" s="6" t="n">
        <x:f>G6342-H6342</x:f>
        <x:v>2</x:v>
      </x:c>
      <x:c r="J6342" s="6" t="n">
        <x:f>IF(OR(E6342="CANCELED",E6342="SUSPECTED_FRAUD",F6342="Shipping canceled"),0,1)</x:f>
        <x:v>1</x:v>
      </x:c>
      <x:c r="K6342" s="6" t="n">
        <x:f>IF(G6342&gt;H6342,1,0)</x:f>
        <x:v>1</x:v>
      </x:c>
      <x:c r="L6342" s="6" t="n">
        <x:f>J6342*K6342</x:f>
        <x:v>1</x:v>
      </x:c>
    </x:row>
    <x:row r="6343">
      <x:c r="A6343" s="1" t="n">
        <x:v>49736</x:v>
      </x:c>
      <x:c r="B6343" s="5" t="d">
        <x:v>2016-12-27T00:00:00.000Z</x:v>
      </x:c>
      <x:c r="C6343" s="1" t="str">
        <x:v>First Class</x:v>
      </x:c>
      <x:c r="D6343" s="1" t="str">
        <x:v>Europe</x:v>
      </x:c>
      <x:c r="E6343" s="1" t="str">
        <x:v>CLOSED</x:v>
      </x:c>
      <x:c r="F6343" s="1" t="str">
        <x:v>Late delivery</x:v>
      </x:c>
      <x:c r="G6343" s="6" t="n">
        <x:v>2</x:v>
      </x:c>
      <x:c r="H6343" s="6" t="n">
        <x:v>1</x:v>
      </x:c>
      <x:c r="I6343" s="6" t="n">
        <x:f>G6343-H6343</x:f>
        <x:v>1</x:v>
      </x:c>
      <x:c r="J6343" s="6" t="n">
        <x:f>IF(OR(E6343="CANCELED",E6343="SUSPECTED_FRAUD",F6343="Shipping canceled"),0,1)</x:f>
        <x:v>1</x:v>
      </x:c>
      <x:c r="K6343" s="6" t="n">
        <x:f>IF(G6343&gt;H6343,1,0)</x:f>
        <x:v>1</x:v>
      </x:c>
      <x:c r="L6343" s="6" t="n">
        <x:f>J6343*K6343</x:f>
        <x:v>1</x:v>
      </x:c>
    </x:row>
    <x:row r="6344">
      <x:c r="A6344" s="1" t="n">
        <x:v>49746</x:v>
      </x:c>
      <x:c r="B6344" s="5" t="d">
        <x:v>2016-12-27T00:00:00.000Z</x:v>
      </x:c>
      <x:c r="C6344" s="1" t="str">
        <x:v>First Class</x:v>
      </x:c>
      <x:c r="D6344" s="1" t="str">
        <x:v>Pacific Asia</x:v>
      </x:c>
      <x:c r="E6344" s="1" t="str">
        <x:v>PROCESSING</x:v>
      </x:c>
      <x:c r="F6344" s="1" t="str">
        <x:v>Late delivery</x:v>
      </x:c>
      <x:c r="G6344" s="6" t="n">
        <x:v>2</x:v>
      </x:c>
      <x:c r="H6344" s="6" t="n">
        <x:v>1</x:v>
      </x:c>
      <x:c r="I6344" s="6" t="n">
        <x:f>G6344-H6344</x:f>
        <x:v>1</x:v>
      </x:c>
      <x:c r="J6344" s="6" t="n">
        <x:f>IF(OR(E6344="CANCELED",E6344="SUSPECTED_FRAUD",F6344="Shipping canceled"),0,1)</x:f>
        <x:v>1</x:v>
      </x:c>
      <x:c r="K6344" s="6" t="n">
        <x:f>IF(G6344&gt;H6344,1,0)</x:f>
        <x:v>1</x:v>
      </x:c>
      <x:c r="L6344" s="6" t="n">
        <x:f>J6344*K6344</x:f>
        <x:v>1</x:v>
      </x:c>
    </x:row>
    <x:row r="6345">
      <x:c r="A6345" s="1" t="n">
        <x:v>49752</x:v>
      </x:c>
      <x:c r="B6345" s="5" t="d">
        <x:v>2016-12-27T00:00:00.000Z</x:v>
      </x:c>
      <x:c r="C6345" s="1" t="str">
        <x:v>Standard Class</x:v>
      </x:c>
      <x:c r="D6345" s="1" t="str">
        <x:v>Africa</x:v>
      </x:c>
      <x:c r="E6345" s="1" t="str">
        <x:v>COMPLETE</x:v>
      </x:c>
      <x:c r="F6345" s="1" t="str">
        <x:v>Advance shipping</x:v>
      </x:c>
      <x:c r="G6345" s="6" t="n">
        <x:v>3</x:v>
      </x:c>
      <x:c r="H6345" s="6" t="n">
        <x:v>4</x:v>
      </x:c>
      <x:c r="I6345" s="6" t="n">
        <x:f>G6345-H6345</x:f>
        <x:v>-1</x:v>
      </x:c>
      <x:c r="J6345" s="6" t="n">
        <x:f>IF(OR(E6345="CANCELED",E6345="SUSPECTED_FRAUD",F6345="Shipping canceled"),0,1)</x:f>
        <x:v>1</x:v>
      </x:c>
      <x:c r="K6345" s="6" t="n">
        <x:f>IF(G6345&gt;H6345,1,0)</x:f>
        <x:v>0</x:v>
      </x:c>
      <x:c r="L6345" s="6" t="n">
        <x:f>J6345*K6345</x:f>
        <x:v>0</x:v>
      </x:c>
    </x:row>
    <x:row r="6346">
      <x:c r="A6346" s="1" t="n">
        <x:v>49754</x:v>
      </x:c>
      <x:c r="B6346" s="5" t="d">
        <x:v>2016-12-27T00:00:00.000Z</x:v>
      </x:c>
      <x:c r="C6346" s="1" t="str">
        <x:v>Standard Class</x:v>
      </x:c>
      <x:c r="D6346" s="1" t="str">
        <x:v>Africa</x:v>
      </x:c>
      <x:c r="E6346" s="1" t="str">
        <x:v>COMPLETE</x:v>
      </x:c>
      <x:c r="F6346" s="1" t="str">
        <x:v>Late delivery</x:v>
      </x:c>
      <x:c r="G6346" s="6" t="n">
        <x:v>5</x:v>
      </x:c>
      <x:c r="H6346" s="6" t="n">
        <x:v>4</x:v>
      </x:c>
      <x:c r="I6346" s="6" t="n">
        <x:f>G6346-H6346</x:f>
        <x:v>1</x:v>
      </x:c>
      <x:c r="J6346" s="6" t="n">
        <x:f>IF(OR(E6346="CANCELED",E6346="SUSPECTED_FRAUD",F6346="Shipping canceled"),0,1)</x:f>
        <x:v>1</x:v>
      </x:c>
      <x:c r="K6346" s="6" t="n">
        <x:f>IF(G6346&gt;H6346,1,0)</x:f>
        <x:v>1</x:v>
      </x:c>
      <x:c r="L6346" s="6" t="n">
        <x:f>J6346*K6346</x:f>
        <x:v>1</x:v>
      </x:c>
    </x:row>
    <x:row r="6347">
      <x:c r="A6347" s="1" t="n">
        <x:v>49763</x:v>
      </x:c>
      <x:c r="B6347" s="5" t="d">
        <x:v>2016-12-27T00:00:00.000Z</x:v>
      </x:c>
      <x:c r="C6347" s="1" t="str">
        <x:v>Standard Class</x:v>
      </x:c>
      <x:c r="D6347" s="1" t="str">
        <x:v>Europe</x:v>
      </x:c>
      <x:c r="E6347" s="1" t="str">
        <x:v>PENDING</x:v>
      </x:c>
      <x:c r="F6347" s="1" t="str">
        <x:v>Shipping on time</x:v>
      </x:c>
      <x:c r="G6347" s="6" t="n">
        <x:v>4</x:v>
      </x:c>
      <x:c r="H6347" s="6" t="n">
        <x:v>4</x:v>
      </x:c>
      <x:c r="I6347" s="6" t="n">
        <x:f>G6347-H6347</x:f>
        <x:v>0</x:v>
      </x:c>
      <x:c r="J6347" s="6" t="n">
        <x:f>IF(OR(E6347="CANCELED",E6347="SUSPECTED_FRAUD",F6347="Shipping canceled"),0,1)</x:f>
        <x:v>1</x:v>
      </x:c>
      <x:c r="K6347" s="6" t="n">
        <x:f>IF(G6347&gt;H6347,1,0)</x:f>
        <x:v>0</x:v>
      </x:c>
      <x:c r="L6347" s="6" t="n">
        <x:f>J6347*K6347</x:f>
        <x:v>0</x:v>
      </x:c>
    </x:row>
    <x:row r="6348">
      <x:c r="A6348" s="1" t="n">
        <x:v>49765</x:v>
      </x:c>
      <x:c r="B6348" s="5" t="d">
        <x:v>2016-12-27T00:00:00.000Z</x:v>
      </x:c>
      <x:c r="C6348" s="1" t="str">
        <x:v>Standard Class</x:v>
      </x:c>
      <x:c r="D6348" s="1" t="str">
        <x:v>Africa</x:v>
      </x:c>
      <x:c r="E6348" s="1" t="str">
        <x:v>PROCESSING</x:v>
      </x:c>
      <x:c r="F6348" s="1" t="str">
        <x:v>Late delivery</x:v>
      </x:c>
      <x:c r="G6348" s="6" t="n">
        <x:v>6</x:v>
      </x:c>
      <x:c r="H6348" s="6" t="n">
        <x:v>4</x:v>
      </x:c>
      <x:c r="I6348" s="6" t="n">
        <x:f>G6348-H6348</x:f>
        <x:v>2</x:v>
      </x:c>
      <x:c r="J6348" s="6" t="n">
        <x:f>IF(OR(E6348="CANCELED",E6348="SUSPECTED_FRAUD",F6348="Shipping canceled"),0,1)</x:f>
        <x:v>1</x:v>
      </x:c>
      <x:c r="K6348" s="6" t="n">
        <x:f>IF(G6348&gt;H6348,1,0)</x:f>
        <x:v>1</x:v>
      </x:c>
      <x:c r="L6348" s="6" t="n">
        <x:f>J6348*K6348</x:f>
        <x:v>1</x:v>
      </x:c>
    </x:row>
    <x:row r="6349">
      <x:c r="A6349" s="1" t="n">
        <x:v>49767</x:v>
      </x:c>
      <x:c r="B6349" s="5" t="d">
        <x:v>2016-12-27T00:00:00.000Z</x:v>
      </x:c>
      <x:c r="C6349" s="1" t="str">
        <x:v>Standard Class</x:v>
      </x:c>
      <x:c r="D6349" s="1" t="str">
        <x:v>USCA</x:v>
      </x:c>
      <x:c r="E6349" s="1" t="str">
        <x:v>PENDING_PAYMENT</x:v>
      </x:c>
      <x:c r="F6349" s="1" t="str">
        <x:v>Advance shipping</x:v>
      </x:c>
      <x:c r="G6349" s="6" t="n">
        <x:v>3</x:v>
      </x:c>
      <x:c r="H6349" s="6" t="n">
        <x:v>4</x:v>
      </x:c>
      <x:c r="I6349" s="6" t="n">
        <x:f>G6349-H6349</x:f>
        <x:v>-1</x:v>
      </x:c>
      <x:c r="J6349" s="6" t="n">
        <x:f>IF(OR(E6349="CANCELED",E6349="SUSPECTED_FRAUD",F6349="Shipping canceled"),0,1)</x:f>
        <x:v>1</x:v>
      </x:c>
      <x:c r="K6349" s="6" t="n">
        <x:f>IF(G6349&gt;H6349,1,0)</x:f>
        <x:v>0</x:v>
      </x:c>
      <x:c r="L6349" s="6" t="n">
        <x:f>J6349*K6349</x:f>
        <x:v>0</x:v>
      </x:c>
    </x:row>
    <x:row r="6350">
      <x:c r="A6350" s="1" t="n">
        <x:v>49782</x:v>
      </x:c>
      <x:c r="B6350" s="5" t="d">
        <x:v>2016-12-27T00:00:00.000Z</x:v>
      </x:c>
      <x:c r="C6350" s="1" t="str">
        <x:v>Standard Class</x:v>
      </x:c>
      <x:c r="D6350" s="1" t="str">
        <x:v>Pacific Asia</x:v>
      </x:c>
      <x:c r="E6350" s="1" t="str">
        <x:v>COMPLETE</x:v>
      </x:c>
      <x:c r="F6350" s="1" t="str">
        <x:v>Advance shipping</x:v>
      </x:c>
      <x:c r="G6350" s="6" t="n">
        <x:v>3</x:v>
      </x:c>
      <x:c r="H6350" s="6" t="n">
        <x:v>4</x:v>
      </x:c>
      <x:c r="I6350" s="6" t="n">
        <x:f>G6350-H6350</x:f>
        <x:v>-1</x:v>
      </x:c>
      <x:c r="J6350" s="6" t="n">
        <x:f>IF(OR(E6350="CANCELED",E6350="SUSPECTED_FRAUD",F6350="Shipping canceled"),0,1)</x:f>
        <x:v>1</x:v>
      </x:c>
      <x:c r="K6350" s="6" t="n">
        <x:f>IF(G6350&gt;H6350,1,0)</x:f>
        <x:v>0</x:v>
      </x:c>
      <x:c r="L6350" s="6" t="n">
        <x:f>J6350*K6350</x:f>
        <x:v>0</x:v>
      </x:c>
    </x:row>
    <x:row r="6351">
      <x:c r="A6351" s="1" t="n">
        <x:v>49806</x:v>
      </x:c>
      <x:c r="B6351" s="5" t="d">
        <x:v>2016-12-28T00:00:00.000Z</x:v>
      </x:c>
      <x:c r="C6351" s="1" t="str">
        <x:v>Standard Class</x:v>
      </x:c>
      <x:c r="D6351" s="1" t="str">
        <x:v>Pacific Asia</x:v>
      </x:c>
      <x:c r="E6351" s="1" t="str">
        <x:v>COMPLETE</x:v>
      </x:c>
      <x:c r="F6351" s="1" t="str">
        <x:v>Advance shipping</x:v>
      </x:c>
      <x:c r="G6351" s="6" t="n">
        <x:v>2</x:v>
      </x:c>
      <x:c r="H6351" s="6" t="n">
        <x:v>4</x:v>
      </x:c>
      <x:c r="I6351" s="6" t="n">
        <x:f>G6351-H6351</x:f>
        <x:v>-2</x:v>
      </x:c>
      <x:c r="J6351" s="6" t="n">
        <x:f>IF(OR(E6351="CANCELED",E6351="SUSPECTED_FRAUD",F6351="Shipping canceled"),0,1)</x:f>
        <x:v>1</x:v>
      </x:c>
      <x:c r="K6351" s="6" t="n">
        <x:f>IF(G6351&gt;H6351,1,0)</x:f>
        <x:v>0</x:v>
      </x:c>
      <x:c r="L6351" s="6" t="n">
        <x:f>J6351*K6351</x:f>
        <x:v>0</x:v>
      </x:c>
    </x:row>
    <x:row r="6352">
      <x:c r="A6352" s="1" t="n">
        <x:v>49807</x:v>
      </x:c>
      <x:c r="B6352" s="5" t="d">
        <x:v>2016-12-28T00:00:00.000Z</x:v>
      </x:c>
      <x:c r="C6352" s="1" t="str">
        <x:v>Standard Class</x:v>
      </x:c>
      <x:c r="D6352" s="1" t="str">
        <x:v>Pacific Asia</x:v>
      </x:c>
      <x:c r="E6352" s="1" t="str">
        <x:v>PROCESSING</x:v>
      </x:c>
      <x:c r="F6352" s="1" t="str">
        <x:v>Advance shipping</x:v>
      </x:c>
      <x:c r="G6352" s="6" t="n">
        <x:v>3</x:v>
      </x:c>
      <x:c r="H6352" s="6" t="n">
        <x:v>4</x:v>
      </x:c>
      <x:c r="I6352" s="6" t="n">
        <x:f>G6352-H6352</x:f>
        <x:v>-1</x:v>
      </x:c>
      <x:c r="J6352" s="6" t="n">
        <x:f>IF(OR(E6352="CANCELED",E6352="SUSPECTED_FRAUD",F6352="Shipping canceled"),0,1)</x:f>
        <x:v>1</x:v>
      </x:c>
      <x:c r="K6352" s="6" t="n">
        <x:f>IF(G6352&gt;H6352,1,0)</x:f>
        <x:v>0</x:v>
      </x:c>
      <x:c r="L6352" s="6" t="n">
        <x:f>J6352*K6352</x:f>
        <x:v>0</x:v>
      </x:c>
    </x:row>
    <x:row r="6353">
      <x:c r="A6353" s="1" t="n">
        <x:v>49809</x:v>
      </x:c>
      <x:c r="B6353" s="5" t="d">
        <x:v>2016-12-28T00:00:00.000Z</x:v>
      </x:c>
      <x:c r="C6353" s="1" t="str">
        <x:v>Standard Class</x:v>
      </x:c>
      <x:c r="D6353" s="1" t="str">
        <x:v>Africa</x:v>
      </x:c>
      <x:c r="E6353" s="1" t="str">
        <x:v>COMPLETE</x:v>
      </x:c>
      <x:c r="F6353" s="1" t="str">
        <x:v>Late delivery</x:v>
      </x:c>
      <x:c r="G6353" s="6" t="n">
        <x:v>5</x:v>
      </x:c>
      <x:c r="H6353" s="6" t="n">
        <x:v>4</x:v>
      </x:c>
      <x:c r="I6353" s="6" t="n">
        <x:f>G6353-H6353</x:f>
        <x:v>1</x:v>
      </x:c>
      <x:c r="J6353" s="6" t="n">
        <x:f>IF(OR(E6353="CANCELED",E6353="SUSPECTED_FRAUD",F6353="Shipping canceled"),0,1)</x:f>
        <x:v>1</x:v>
      </x:c>
      <x:c r="K6353" s="6" t="n">
        <x:f>IF(G6353&gt;H6353,1,0)</x:f>
        <x:v>1</x:v>
      </x:c>
      <x:c r="L6353" s="6" t="n">
        <x:f>J6353*K6353</x:f>
        <x:v>1</x:v>
      </x:c>
    </x:row>
    <x:row r="6354">
      <x:c r="A6354" s="1" t="n">
        <x:v>49819</x:v>
      </x:c>
      <x:c r="B6354" s="5" t="d">
        <x:v>2016-12-28T00:00:00.000Z</x:v>
      </x:c>
      <x:c r="C6354" s="1" t="str">
        <x:v>Standard Class</x:v>
      </x:c>
      <x:c r="D6354" s="1" t="str">
        <x:v>Africa</x:v>
      </x:c>
      <x:c r="E6354" s="1" t="str">
        <x:v>COMPLETE</x:v>
      </x:c>
      <x:c r="F6354" s="1" t="str">
        <x:v>Late delivery</x:v>
      </x:c>
      <x:c r="G6354" s="6" t="n">
        <x:v>5</x:v>
      </x:c>
      <x:c r="H6354" s="6" t="n">
        <x:v>4</x:v>
      </x:c>
      <x:c r="I6354" s="6" t="n">
        <x:f>G6354-H6354</x:f>
        <x:v>1</x:v>
      </x:c>
      <x:c r="J6354" s="6" t="n">
        <x:f>IF(OR(E6354="CANCELED",E6354="SUSPECTED_FRAUD",F6354="Shipping canceled"),0,1)</x:f>
        <x:v>1</x:v>
      </x:c>
      <x:c r="K6354" s="6" t="n">
        <x:f>IF(G6354&gt;H6354,1,0)</x:f>
        <x:v>1</x:v>
      </x:c>
      <x:c r="L6354" s="6" t="n">
        <x:f>J6354*K6354</x:f>
        <x:v>1</x:v>
      </x:c>
    </x:row>
    <x:row r="6355">
      <x:c r="A6355" s="1" t="n">
        <x:v>49820</x:v>
      </x:c>
      <x:c r="B6355" s="5" t="d">
        <x:v>2016-12-28T00:00:00.000Z</x:v>
      </x:c>
      <x:c r="C6355" s="1" t="str">
        <x:v>First Class</x:v>
      </x:c>
      <x:c r="D6355" s="1" t="str">
        <x:v>Pacific Asia</x:v>
      </x:c>
      <x:c r="E6355" s="1" t="str">
        <x:v>PENDING_PAYMENT</x:v>
      </x:c>
      <x:c r="F6355" s="1" t="str">
        <x:v>Late delivery</x:v>
      </x:c>
      <x:c r="G6355" s="6" t="n">
        <x:v>2</x:v>
      </x:c>
      <x:c r="H6355" s="6" t="n">
        <x:v>1</x:v>
      </x:c>
      <x:c r="I6355" s="6" t="n">
        <x:f>G6355-H6355</x:f>
        <x:v>1</x:v>
      </x:c>
      <x:c r="J6355" s="6" t="n">
        <x:f>IF(OR(E6355="CANCELED",E6355="SUSPECTED_FRAUD",F6355="Shipping canceled"),0,1)</x:f>
        <x:v>1</x:v>
      </x:c>
      <x:c r="K6355" s="6" t="n">
        <x:f>IF(G6355&gt;H6355,1,0)</x:f>
        <x:v>1</x:v>
      </x:c>
      <x:c r="L6355" s="6" t="n">
        <x:f>J6355*K6355</x:f>
        <x:v>1</x:v>
      </x:c>
    </x:row>
    <x:row r="6356">
      <x:c r="A6356" s="1" t="n">
        <x:v>49823</x:v>
      </x:c>
      <x:c r="B6356" s="5" t="d">
        <x:v>2016-12-28T00:00:00.000Z</x:v>
      </x:c>
      <x:c r="C6356" s="1" t="str">
        <x:v>Second Class</x:v>
      </x:c>
      <x:c r="D6356" s="1" t="str">
        <x:v>Africa</x:v>
      </x:c>
      <x:c r="E6356" s="1" t="str">
        <x:v>COMPLETE</x:v>
      </x:c>
      <x:c r="F6356" s="1" t="str">
        <x:v>Late delivery</x:v>
      </x:c>
      <x:c r="G6356" s="6" t="n">
        <x:v>4</x:v>
      </x:c>
      <x:c r="H6356" s="6" t="n">
        <x:v>2</x:v>
      </x:c>
      <x:c r="I6356" s="6" t="n">
        <x:f>G6356-H6356</x:f>
        <x:v>2</x:v>
      </x:c>
      <x:c r="J6356" s="6" t="n">
        <x:f>IF(OR(E6356="CANCELED",E6356="SUSPECTED_FRAUD",F6356="Shipping canceled"),0,1)</x:f>
        <x:v>1</x:v>
      </x:c>
      <x:c r="K6356" s="6" t="n">
        <x:f>IF(G6356&gt;H6356,1,0)</x:f>
        <x:v>1</x:v>
      </x:c>
      <x:c r="L6356" s="6" t="n">
        <x:f>J6356*K6356</x:f>
        <x:v>1</x:v>
      </x:c>
    </x:row>
    <x:row r="6357">
      <x:c r="A6357" s="1" t="n">
        <x:v>49825</x:v>
      </x:c>
      <x:c r="B6357" s="5" t="d">
        <x:v>2016-12-28T00:00:00.000Z</x:v>
      </x:c>
      <x:c r="C6357" s="1" t="str">
        <x:v>Standard Class</x:v>
      </x:c>
      <x:c r="D6357" s="1" t="str">
        <x:v>Africa</x:v>
      </x:c>
      <x:c r="E6357" s="1" t="str">
        <x:v>PENDING</x:v>
      </x:c>
      <x:c r="F6357" s="1" t="str">
        <x:v>Late delivery</x:v>
      </x:c>
      <x:c r="G6357" s="6" t="n">
        <x:v>6</x:v>
      </x:c>
      <x:c r="H6357" s="6" t="n">
        <x:v>4</x:v>
      </x:c>
      <x:c r="I6357" s="6" t="n">
        <x:f>G6357-H6357</x:f>
        <x:v>2</x:v>
      </x:c>
      <x:c r="J6357" s="6" t="n">
        <x:f>IF(OR(E6357="CANCELED",E6357="SUSPECTED_FRAUD",F6357="Shipping canceled"),0,1)</x:f>
        <x:v>1</x:v>
      </x:c>
      <x:c r="K6357" s="6" t="n">
        <x:f>IF(G6357&gt;H6357,1,0)</x:f>
        <x:v>1</x:v>
      </x:c>
      <x:c r="L6357" s="6" t="n">
        <x:f>J6357*K6357</x:f>
        <x:v>1</x:v>
      </x:c>
    </x:row>
    <x:row r="6358">
      <x:c r="A6358" s="1" t="n">
        <x:v>49835</x:v>
      </x:c>
      <x:c r="B6358" s="5" t="d">
        <x:v>2016-12-28T00:00:00.000Z</x:v>
      </x:c>
      <x:c r="C6358" s="1" t="str">
        <x:v>Standard Class</x:v>
      </x:c>
      <x:c r="D6358" s="1" t="str">
        <x:v>Africa</x:v>
      </x:c>
      <x:c r="E6358" s="1" t="str">
        <x:v>COMPLETE</x:v>
      </x:c>
      <x:c r="F6358" s="1" t="str">
        <x:v>Late delivery</x:v>
      </x:c>
      <x:c r="G6358" s="6" t="n">
        <x:v>6</x:v>
      </x:c>
      <x:c r="H6358" s="6" t="n">
        <x:v>4</x:v>
      </x:c>
      <x:c r="I6358" s="6" t="n">
        <x:f>G6358-H6358</x:f>
        <x:v>2</x:v>
      </x:c>
      <x:c r="J6358" s="6" t="n">
        <x:f>IF(OR(E6358="CANCELED",E6358="SUSPECTED_FRAUD",F6358="Shipping canceled"),0,1)</x:f>
        <x:v>1</x:v>
      </x:c>
      <x:c r="K6358" s="6" t="n">
        <x:f>IF(G6358&gt;H6358,1,0)</x:f>
        <x:v>1</x:v>
      </x:c>
      <x:c r="L6358" s="6" t="n">
        <x:f>J6358*K6358</x:f>
        <x:v>1</x:v>
      </x:c>
    </x:row>
    <x:row r="6359">
      <x:c r="A6359" s="1" t="n">
        <x:v>49836</x:v>
      </x:c>
      <x:c r="B6359" s="5" t="d">
        <x:v>2016-12-28T00:00:00.000Z</x:v>
      </x:c>
      <x:c r="C6359" s="1" t="str">
        <x:v>Standard Class</x:v>
      </x:c>
      <x:c r="D6359" s="1" t="str">
        <x:v>Pacific Asia</x:v>
      </x:c>
      <x:c r="E6359" s="1" t="str">
        <x:v>PROCESSING</x:v>
      </x:c>
      <x:c r="F6359" s="1" t="str">
        <x:v>Advance shipping</x:v>
      </x:c>
      <x:c r="G6359" s="6" t="n">
        <x:v>2</x:v>
      </x:c>
      <x:c r="H6359" s="6" t="n">
        <x:v>4</x:v>
      </x:c>
      <x:c r="I6359" s="6" t="n">
        <x:f>G6359-H6359</x:f>
        <x:v>-2</x:v>
      </x:c>
      <x:c r="J6359" s="6" t="n">
        <x:f>IF(OR(E6359="CANCELED",E6359="SUSPECTED_FRAUD",F6359="Shipping canceled"),0,1)</x:f>
        <x:v>1</x:v>
      </x:c>
      <x:c r="K6359" s="6" t="n">
        <x:f>IF(G6359&gt;H6359,1,0)</x:f>
        <x:v>0</x:v>
      </x:c>
      <x:c r="L6359" s="6" t="n">
        <x:f>J6359*K6359</x:f>
        <x:v>0</x:v>
      </x:c>
    </x:row>
    <x:row r="6360">
      <x:c r="A6360" s="1" t="n">
        <x:v>49839</x:v>
      </x:c>
      <x:c r="B6360" s="5" t="d">
        <x:v>2016-12-28T00:00:00.000Z</x:v>
      </x:c>
      <x:c r="C6360" s="1" t="str">
        <x:v>Standard Class</x:v>
      </x:c>
      <x:c r="D6360" s="1" t="str">
        <x:v>Europe</x:v>
      </x:c>
      <x:c r="E6360" s="1" t="str">
        <x:v>PENDING</x:v>
      </x:c>
      <x:c r="F6360" s="1" t="str">
        <x:v>Late delivery</x:v>
      </x:c>
      <x:c r="G6360" s="6" t="n">
        <x:v>5</x:v>
      </x:c>
      <x:c r="H6360" s="6" t="n">
        <x:v>4</x:v>
      </x:c>
      <x:c r="I6360" s="6" t="n">
        <x:f>G6360-H6360</x:f>
        <x:v>1</x:v>
      </x:c>
      <x:c r="J6360" s="6" t="n">
        <x:f>IF(OR(E6360="CANCELED",E6360="SUSPECTED_FRAUD",F6360="Shipping canceled"),0,1)</x:f>
        <x:v>1</x:v>
      </x:c>
      <x:c r="K6360" s="6" t="n">
        <x:f>IF(G6360&gt;H6360,1,0)</x:f>
        <x:v>1</x:v>
      </x:c>
      <x:c r="L6360" s="6" t="n">
        <x:f>J6360*K6360</x:f>
        <x:v>1</x:v>
      </x:c>
    </x:row>
    <x:row r="6361">
      <x:c r="A6361" s="1" t="n">
        <x:v>49846</x:v>
      </x:c>
      <x:c r="B6361" s="5" t="d">
        <x:v>2016-12-28T00:00:00.000Z</x:v>
      </x:c>
      <x:c r="C6361" s="1" t="str">
        <x:v>Standard Class</x:v>
      </x:c>
      <x:c r="D6361" s="1" t="str">
        <x:v>Africa</x:v>
      </x:c>
      <x:c r="E6361" s="1" t="str">
        <x:v>CANCELED</x:v>
      </x:c>
      <x:c r="F6361" s="1" t="str">
        <x:v>Shipping canceled</x:v>
      </x:c>
      <x:c r="G6361" s="6" t="n">
        <x:v>2</x:v>
      </x:c>
      <x:c r="H6361" s="6" t="n">
        <x:v>4</x:v>
      </x:c>
      <x:c r="I6361" s="6" t="n">
        <x:f>G6361-H6361</x:f>
        <x:v>-2</x:v>
      </x:c>
      <x:c r="J6361" s="6" t="n">
        <x:f>IF(OR(E6361="CANCELED",E6361="SUSPECTED_FRAUD",F6361="Shipping canceled"),0,1)</x:f>
        <x:v>0</x:v>
      </x:c>
      <x:c r="K6361" s="6" t="n">
        <x:f>IF(G6361&gt;H6361,1,0)</x:f>
        <x:v>0</x:v>
      </x:c>
      <x:c r="L6361" s="6" t="n">
        <x:f>J6361*K6361</x:f>
        <x:v>0</x:v>
      </x:c>
    </x:row>
    <x:row r="6362">
      <x:c r="A6362" s="1" t="n">
        <x:v>49853</x:v>
      </x:c>
      <x:c r="B6362" s="5" t="d">
        <x:v>2016-12-28T00:00:00.000Z</x:v>
      </x:c>
      <x:c r="C6362" s="1" t="str">
        <x:v>Standard Class</x:v>
      </x:c>
      <x:c r="D6362" s="1" t="str">
        <x:v>Europe</x:v>
      </x:c>
      <x:c r="E6362" s="1" t="str">
        <x:v>COMPLETE</x:v>
      </x:c>
      <x:c r="F6362" s="1" t="str">
        <x:v>Shipping on time</x:v>
      </x:c>
      <x:c r="G6362" s="6" t="n">
        <x:v>4</x:v>
      </x:c>
      <x:c r="H6362" s="6" t="n">
        <x:v>4</x:v>
      </x:c>
      <x:c r="I6362" s="6" t="n">
        <x:f>G6362-H6362</x:f>
        <x:v>0</x:v>
      </x:c>
      <x:c r="J6362" s="6" t="n">
        <x:f>IF(OR(E6362="CANCELED",E6362="SUSPECTED_FRAUD",F6362="Shipping canceled"),0,1)</x:f>
        <x:v>1</x:v>
      </x:c>
      <x:c r="K6362" s="6" t="n">
        <x:f>IF(G6362&gt;H6362,1,0)</x:f>
        <x:v>0</x:v>
      </x:c>
      <x:c r="L6362" s="6" t="n">
        <x:f>J6362*K6362</x:f>
        <x:v>0</x:v>
      </x:c>
    </x:row>
    <x:row r="6363">
      <x:c r="A6363" s="1" t="n">
        <x:v>49857</x:v>
      </x:c>
      <x:c r="B6363" s="5" t="d">
        <x:v>2016-12-28T00:00:00.000Z</x:v>
      </x:c>
      <x:c r="C6363" s="1" t="str">
        <x:v>Standard Class</x:v>
      </x:c>
      <x:c r="D6363" s="1" t="str">
        <x:v>Africa</x:v>
      </x:c>
      <x:c r="E6363" s="1" t="str">
        <x:v>COMPLETE</x:v>
      </x:c>
      <x:c r="F6363" s="1" t="str">
        <x:v>Advance shipping</x:v>
      </x:c>
      <x:c r="G6363" s="6" t="n">
        <x:v>3</x:v>
      </x:c>
      <x:c r="H6363" s="6" t="n">
        <x:v>4</x:v>
      </x:c>
      <x:c r="I6363" s="6" t="n">
        <x:f>G6363-H6363</x:f>
        <x:v>-1</x:v>
      </x:c>
      <x:c r="J6363" s="6" t="n">
        <x:f>IF(OR(E6363="CANCELED",E6363="SUSPECTED_FRAUD",F6363="Shipping canceled"),0,1)</x:f>
        <x:v>1</x:v>
      </x:c>
      <x:c r="K6363" s="6" t="n">
        <x:f>IF(G6363&gt;H6363,1,0)</x:f>
        <x:v>0</x:v>
      </x:c>
      <x:c r="L6363" s="6" t="n">
        <x:f>J6363*K6363</x:f>
        <x:v>0</x:v>
      </x:c>
    </x:row>
    <x:row r="6364">
      <x:c r="A6364" s="1" t="n">
        <x:v>49873</x:v>
      </x:c>
      <x:c r="B6364" s="5" t="d">
        <x:v>2016-12-29T00:00:00.000Z</x:v>
      </x:c>
      <x:c r="C6364" s="1" t="str">
        <x:v>Standard Class</x:v>
      </x:c>
      <x:c r="D6364" s="1" t="str">
        <x:v>Pacific Asia</x:v>
      </x:c>
      <x:c r="E6364" s="1" t="str">
        <x:v>PENDING</x:v>
      </x:c>
      <x:c r="F6364" s="1" t="str">
        <x:v>Shipping on time</x:v>
      </x:c>
      <x:c r="G6364" s="6" t="n">
        <x:v>4</x:v>
      </x:c>
      <x:c r="H6364" s="6" t="n">
        <x:v>4</x:v>
      </x:c>
      <x:c r="I6364" s="6" t="n">
        <x:f>G6364-H6364</x:f>
        <x:v>0</x:v>
      </x:c>
      <x:c r="J6364" s="6" t="n">
        <x:f>IF(OR(E6364="CANCELED",E6364="SUSPECTED_FRAUD",F6364="Shipping canceled"),0,1)</x:f>
        <x:v>1</x:v>
      </x:c>
      <x:c r="K6364" s="6" t="n">
        <x:f>IF(G6364&gt;H6364,1,0)</x:f>
        <x:v>0</x:v>
      </x:c>
      <x:c r="L6364" s="6" t="n">
        <x:f>J6364*K6364</x:f>
        <x:v>0</x:v>
      </x:c>
    </x:row>
    <x:row r="6365">
      <x:c r="A6365" s="1" t="n">
        <x:v>49875</x:v>
      </x:c>
      <x:c r="B6365" s="5" t="d">
        <x:v>2016-12-29T00:00:00.000Z</x:v>
      </x:c>
      <x:c r="C6365" s="1" t="str">
        <x:v>Standard Class</x:v>
      </x:c>
      <x:c r="D6365" s="1" t="str">
        <x:v>Europe</x:v>
      </x:c>
      <x:c r="E6365" s="1" t="str">
        <x:v>COMPLETE</x:v>
      </x:c>
      <x:c r="F6365" s="1" t="str">
        <x:v>Late delivery</x:v>
      </x:c>
      <x:c r="G6365" s="6" t="n">
        <x:v>6</x:v>
      </x:c>
      <x:c r="H6365" s="6" t="n">
        <x:v>4</x:v>
      </x:c>
      <x:c r="I6365" s="6" t="n">
        <x:f>G6365-H6365</x:f>
        <x:v>2</x:v>
      </x:c>
      <x:c r="J6365" s="6" t="n">
        <x:f>IF(OR(E6365="CANCELED",E6365="SUSPECTED_FRAUD",F6365="Shipping canceled"),0,1)</x:f>
        <x:v>1</x:v>
      </x:c>
      <x:c r="K6365" s="6" t="n">
        <x:f>IF(G6365&gt;H6365,1,0)</x:f>
        <x:v>1</x:v>
      </x:c>
      <x:c r="L6365" s="6" t="n">
        <x:f>J6365*K6365</x:f>
        <x:v>1</x:v>
      </x:c>
    </x:row>
    <x:row r="6366">
      <x:c r="A6366" s="1" t="n">
        <x:v>49876</x:v>
      </x:c>
      <x:c r="B6366" s="5" t="d">
        <x:v>2016-12-29T00:00:00.000Z</x:v>
      </x:c>
      <x:c r="C6366" s="1" t="str">
        <x:v>Standard Class</x:v>
      </x:c>
      <x:c r="D6366" s="1" t="str">
        <x:v>Africa</x:v>
      </x:c>
      <x:c r="E6366" s="1" t="str">
        <x:v>COMPLETE</x:v>
      </x:c>
      <x:c r="F6366" s="1" t="str">
        <x:v>Advance shipping</x:v>
      </x:c>
      <x:c r="G6366" s="6" t="n">
        <x:v>2</x:v>
      </x:c>
      <x:c r="H6366" s="6" t="n">
        <x:v>4</x:v>
      </x:c>
      <x:c r="I6366" s="6" t="n">
        <x:f>G6366-H6366</x:f>
        <x:v>-2</x:v>
      </x:c>
      <x:c r="J6366" s="6" t="n">
        <x:f>IF(OR(E6366="CANCELED",E6366="SUSPECTED_FRAUD",F6366="Shipping canceled"),0,1)</x:f>
        <x:v>1</x:v>
      </x:c>
      <x:c r="K6366" s="6" t="n">
        <x:f>IF(G6366&gt;H6366,1,0)</x:f>
        <x:v>0</x:v>
      </x:c>
      <x:c r="L6366" s="6" t="n">
        <x:f>J6366*K6366</x:f>
        <x:v>0</x:v>
      </x:c>
    </x:row>
    <x:row r="6367">
      <x:c r="A6367" s="1" t="n">
        <x:v>49878</x:v>
      </x:c>
      <x:c r="B6367" s="5" t="d">
        <x:v>2016-12-29T00:00:00.000Z</x:v>
      </x:c>
      <x:c r="C6367" s="1" t="str">
        <x:v>Standard Class</x:v>
      </x:c>
      <x:c r="D6367" s="1" t="str">
        <x:v>Europe</x:v>
      </x:c>
      <x:c r="E6367" s="1" t="str">
        <x:v>PENDING</x:v>
      </x:c>
      <x:c r="F6367" s="1" t="str">
        <x:v>Shipping on time</x:v>
      </x:c>
      <x:c r="G6367" s="6" t="n">
        <x:v>4</x:v>
      </x:c>
      <x:c r="H6367" s="6" t="n">
        <x:v>4</x:v>
      </x:c>
      <x:c r="I6367" s="6" t="n">
        <x:f>G6367-H6367</x:f>
        <x:v>0</x:v>
      </x:c>
      <x:c r="J6367" s="6" t="n">
        <x:f>IF(OR(E6367="CANCELED",E6367="SUSPECTED_FRAUD",F6367="Shipping canceled"),0,1)</x:f>
        <x:v>1</x:v>
      </x:c>
      <x:c r="K6367" s="6" t="n">
        <x:f>IF(G6367&gt;H6367,1,0)</x:f>
        <x:v>0</x:v>
      </x:c>
      <x:c r="L6367" s="6" t="n">
        <x:f>J6367*K6367</x:f>
        <x:v>0</x:v>
      </x:c>
    </x:row>
    <x:row r="6368">
      <x:c r="A6368" s="1" t="n">
        <x:v>49888</x:v>
      </x:c>
      <x:c r="B6368" s="5" t="d">
        <x:v>2016-12-29T00:00:00.000Z</x:v>
      </x:c>
      <x:c r="C6368" s="1" t="str">
        <x:v>Standard Class</x:v>
      </x:c>
      <x:c r="D6368" s="1" t="str">
        <x:v>Pacific Asia</x:v>
      </x:c>
      <x:c r="E6368" s="1" t="str">
        <x:v>COMPLETE</x:v>
      </x:c>
      <x:c r="F6368" s="1" t="str">
        <x:v>Shipping on time</x:v>
      </x:c>
      <x:c r="G6368" s="6" t="n">
        <x:v>4</x:v>
      </x:c>
      <x:c r="H6368" s="6" t="n">
        <x:v>4</x:v>
      </x:c>
      <x:c r="I6368" s="6" t="n">
        <x:f>G6368-H6368</x:f>
        <x:v>0</x:v>
      </x:c>
      <x:c r="J6368" s="6" t="n">
        <x:f>IF(OR(E6368="CANCELED",E6368="SUSPECTED_FRAUD",F6368="Shipping canceled"),0,1)</x:f>
        <x:v>1</x:v>
      </x:c>
      <x:c r="K6368" s="6" t="n">
        <x:f>IF(G6368&gt;H6368,1,0)</x:f>
        <x:v>0</x:v>
      </x:c>
      <x:c r="L6368" s="6" t="n">
        <x:f>J6368*K6368</x:f>
        <x:v>0</x:v>
      </x:c>
    </x:row>
    <x:row r="6369">
      <x:c r="A6369" s="1" t="n">
        <x:v>49889</x:v>
      </x:c>
      <x:c r="B6369" s="5" t="d">
        <x:v>2016-12-29T00:00:00.000Z</x:v>
      </x:c>
      <x:c r="C6369" s="1" t="str">
        <x:v>Standard Class</x:v>
      </x:c>
      <x:c r="D6369" s="1" t="str">
        <x:v>Pacific Asia</x:v>
      </x:c>
      <x:c r="E6369" s="1" t="str">
        <x:v>COMPLETE</x:v>
      </x:c>
      <x:c r="F6369" s="1" t="str">
        <x:v>Late delivery</x:v>
      </x:c>
      <x:c r="G6369" s="6" t="n">
        <x:v>5</x:v>
      </x:c>
      <x:c r="H6369" s="6" t="n">
        <x:v>4</x:v>
      </x:c>
      <x:c r="I6369" s="6" t="n">
        <x:f>G6369-H6369</x:f>
        <x:v>1</x:v>
      </x:c>
      <x:c r="J6369" s="6" t="n">
        <x:f>IF(OR(E6369="CANCELED",E6369="SUSPECTED_FRAUD",F6369="Shipping canceled"),0,1)</x:f>
        <x:v>1</x:v>
      </x:c>
      <x:c r="K6369" s="6" t="n">
        <x:f>IF(G6369&gt;H6369,1,0)</x:f>
        <x:v>1</x:v>
      </x:c>
      <x:c r="L6369" s="6" t="n">
        <x:f>J6369*K6369</x:f>
        <x:v>1</x:v>
      </x:c>
    </x:row>
    <x:row r="6370">
      <x:c r="A6370" s="1" t="n">
        <x:v>49890</x:v>
      </x:c>
      <x:c r="B6370" s="5" t="d">
        <x:v>2016-12-29T00:00:00.000Z</x:v>
      </x:c>
      <x:c r="C6370" s="1" t="str">
        <x:v>Standard Class</x:v>
      </x:c>
      <x:c r="D6370" s="1" t="str">
        <x:v>Pacific Asia</x:v>
      </x:c>
      <x:c r="E6370" s="1" t="str">
        <x:v>COMPLETE</x:v>
      </x:c>
      <x:c r="F6370" s="1" t="str">
        <x:v>Late delivery</x:v>
      </x:c>
      <x:c r="G6370" s="6" t="n">
        <x:v>6</x:v>
      </x:c>
      <x:c r="H6370" s="6" t="n">
        <x:v>4</x:v>
      </x:c>
      <x:c r="I6370" s="6" t="n">
        <x:f>G6370-H6370</x:f>
        <x:v>2</x:v>
      </x:c>
      <x:c r="J6370" s="6" t="n">
        <x:f>IF(OR(E6370="CANCELED",E6370="SUSPECTED_FRAUD",F6370="Shipping canceled"),0,1)</x:f>
        <x:v>1</x:v>
      </x:c>
      <x:c r="K6370" s="6" t="n">
        <x:f>IF(G6370&gt;H6370,1,0)</x:f>
        <x:v>1</x:v>
      </x:c>
      <x:c r="L6370" s="6" t="n">
        <x:f>J6370*K6370</x:f>
        <x:v>1</x:v>
      </x:c>
    </x:row>
    <x:row r="6371">
      <x:c r="A6371" s="1" t="n">
        <x:v>49910</x:v>
      </x:c>
      <x:c r="B6371" s="5" t="d">
        <x:v>2016-12-29T00:00:00.000Z</x:v>
      </x:c>
      <x:c r="C6371" s="1" t="str">
        <x:v>Standard Class</x:v>
      </x:c>
      <x:c r="D6371" s="1" t="str">
        <x:v>Africa</x:v>
      </x:c>
      <x:c r="E6371" s="1" t="str">
        <x:v>ON_HOLD</x:v>
      </x:c>
      <x:c r="F6371" s="1" t="str">
        <x:v>Late delivery</x:v>
      </x:c>
      <x:c r="G6371" s="6" t="n">
        <x:v>6</x:v>
      </x:c>
      <x:c r="H6371" s="6" t="n">
        <x:v>4</x:v>
      </x:c>
      <x:c r="I6371" s="6" t="n">
        <x:f>G6371-H6371</x:f>
        <x:v>2</x:v>
      </x:c>
      <x:c r="J6371" s="6" t="n">
        <x:f>IF(OR(E6371="CANCELED",E6371="SUSPECTED_FRAUD",F6371="Shipping canceled"),0,1)</x:f>
        <x:v>1</x:v>
      </x:c>
      <x:c r="K6371" s="6" t="n">
        <x:f>IF(G6371&gt;H6371,1,0)</x:f>
        <x:v>1</x:v>
      </x:c>
      <x:c r="L6371" s="6" t="n">
        <x:f>J6371*K6371</x:f>
        <x:v>1</x:v>
      </x:c>
    </x:row>
    <x:row r="6372">
      <x:c r="A6372" s="1" t="n">
        <x:v>49916</x:v>
      </x:c>
      <x:c r="B6372" s="5" t="d">
        <x:v>2016-12-29T00:00:00.000Z</x:v>
      </x:c>
      <x:c r="C6372" s="1" t="str">
        <x:v>Standard Class</x:v>
      </x:c>
      <x:c r="D6372" s="1" t="str">
        <x:v>Pacific Asia</x:v>
      </x:c>
      <x:c r="E6372" s="1" t="str">
        <x:v>COMPLETE</x:v>
      </x:c>
      <x:c r="F6372" s="1" t="str">
        <x:v>Advance shipping</x:v>
      </x:c>
      <x:c r="G6372" s="6" t="n">
        <x:v>2</x:v>
      </x:c>
      <x:c r="H6372" s="6" t="n">
        <x:v>4</x:v>
      </x:c>
      <x:c r="I6372" s="6" t="n">
        <x:f>G6372-H6372</x:f>
        <x:v>-2</x:v>
      </x:c>
      <x:c r="J6372" s="6" t="n">
        <x:f>IF(OR(E6372="CANCELED",E6372="SUSPECTED_FRAUD",F6372="Shipping canceled"),0,1)</x:f>
        <x:v>1</x:v>
      </x:c>
      <x:c r="K6372" s="6" t="n">
        <x:f>IF(G6372&gt;H6372,1,0)</x:f>
        <x:v>0</x:v>
      </x:c>
      <x:c r="L6372" s="6" t="n">
        <x:f>J6372*K6372</x:f>
        <x:v>0</x:v>
      </x:c>
    </x:row>
    <x:row r="6373">
      <x:c r="A6373" s="1" t="n">
        <x:v>49925</x:v>
      </x:c>
      <x:c r="B6373" s="5" t="d">
        <x:v>2016-12-29T00:00:00.000Z</x:v>
      </x:c>
      <x:c r="C6373" s="1" t="str">
        <x:v>First Class</x:v>
      </x:c>
      <x:c r="D6373" s="1" t="str">
        <x:v>USCA</x:v>
      </x:c>
      <x:c r="E6373" s="1" t="str">
        <x:v>PROCESSING</x:v>
      </x:c>
      <x:c r="F6373" s="1" t="str">
        <x:v>Late delivery</x:v>
      </x:c>
      <x:c r="G6373" s="6" t="n">
        <x:v>2</x:v>
      </x:c>
      <x:c r="H6373" s="6" t="n">
        <x:v>1</x:v>
      </x:c>
      <x:c r="I6373" s="6" t="n">
        <x:f>G6373-H6373</x:f>
        <x:v>1</x:v>
      </x:c>
      <x:c r="J6373" s="6" t="n">
        <x:f>IF(OR(E6373="CANCELED",E6373="SUSPECTED_FRAUD",F6373="Shipping canceled"),0,1)</x:f>
        <x:v>1</x:v>
      </x:c>
      <x:c r="K6373" s="6" t="n">
        <x:f>IF(G6373&gt;H6373,1,0)</x:f>
        <x:v>1</x:v>
      </x:c>
      <x:c r="L6373" s="6" t="n">
        <x:f>J6373*K6373</x:f>
        <x:v>1</x:v>
      </x:c>
    </x:row>
    <x:row r="6374">
      <x:c r="A6374" s="1" t="n">
        <x:v>49936</x:v>
      </x:c>
      <x:c r="B6374" s="5" t="d">
        <x:v>2016-12-29T00:00:00.000Z</x:v>
      </x:c>
      <x:c r="C6374" s="1" t="str">
        <x:v>Standard Class</x:v>
      </x:c>
      <x:c r="D6374" s="1" t="str">
        <x:v>Europe</x:v>
      </x:c>
      <x:c r="E6374" s="1" t="str">
        <x:v>COMPLETE</x:v>
      </x:c>
      <x:c r="F6374" s="1" t="str">
        <x:v>Advance shipping</x:v>
      </x:c>
      <x:c r="G6374" s="6" t="n">
        <x:v>2</x:v>
      </x:c>
      <x:c r="H6374" s="6" t="n">
        <x:v>4</x:v>
      </x:c>
      <x:c r="I6374" s="6" t="n">
        <x:f>G6374-H6374</x:f>
        <x:v>-2</x:v>
      </x:c>
      <x:c r="J6374" s="6" t="n">
        <x:f>IF(OR(E6374="CANCELED",E6374="SUSPECTED_FRAUD",F6374="Shipping canceled"),0,1)</x:f>
        <x:v>1</x:v>
      </x:c>
      <x:c r="K6374" s="6" t="n">
        <x:f>IF(G6374&gt;H6374,1,0)</x:f>
        <x:v>0</x:v>
      </x:c>
      <x:c r="L6374" s="6" t="n">
        <x:f>J6374*K6374</x:f>
        <x:v>0</x:v>
      </x:c>
    </x:row>
    <x:row r="6375">
      <x:c r="A6375" s="1" t="n">
        <x:v>49946</x:v>
      </x:c>
      <x:c r="B6375" s="5" t="d">
        <x:v>2016-12-30T00:00:00.000Z</x:v>
      </x:c>
      <x:c r="C6375" s="1" t="str">
        <x:v>Standard Class</x:v>
      </x:c>
      <x:c r="D6375" s="1" t="str">
        <x:v>Africa</x:v>
      </x:c>
      <x:c r="E6375" s="1" t="str">
        <x:v>COMPLETE</x:v>
      </x:c>
      <x:c r="F6375" s="1" t="str">
        <x:v>Advance shipping</x:v>
      </x:c>
      <x:c r="G6375" s="6" t="n">
        <x:v>2</x:v>
      </x:c>
      <x:c r="H6375" s="6" t="n">
        <x:v>4</x:v>
      </x:c>
      <x:c r="I6375" s="6" t="n">
        <x:f>G6375-H6375</x:f>
        <x:v>-2</x:v>
      </x:c>
      <x:c r="J6375" s="6" t="n">
        <x:f>IF(OR(E6375="CANCELED",E6375="SUSPECTED_FRAUD",F6375="Shipping canceled"),0,1)</x:f>
        <x:v>1</x:v>
      </x:c>
      <x:c r="K6375" s="6" t="n">
        <x:f>IF(G6375&gt;H6375,1,0)</x:f>
        <x:v>0</x:v>
      </x:c>
      <x:c r="L6375" s="6" t="n">
        <x:f>J6375*K6375</x:f>
        <x:v>0</x:v>
      </x:c>
    </x:row>
    <x:row r="6376">
      <x:c r="A6376" s="1" t="n">
        <x:v>49949</x:v>
      </x:c>
      <x:c r="B6376" s="5" t="d">
        <x:v>2016-12-30T00:00:00.000Z</x:v>
      </x:c>
      <x:c r="C6376" s="1" t="str">
        <x:v>Standard Class</x:v>
      </x:c>
      <x:c r="D6376" s="1" t="str">
        <x:v>Africa</x:v>
      </x:c>
      <x:c r="E6376" s="1" t="str">
        <x:v>PROCESSING</x:v>
      </x:c>
      <x:c r="F6376" s="1" t="str">
        <x:v>Late delivery</x:v>
      </x:c>
      <x:c r="G6376" s="6" t="n">
        <x:v>5</x:v>
      </x:c>
      <x:c r="H6376" s="6" t="n">
        <x:v>4</x:v>
      </x:c>
      <x:c r="I6376" s="6" t="n">
        <x:f>G6376-H6376</x:f>
        <x:v>1</x:v>
      </x:c>
      <x:c r="J6376" s="6" t="n">
        <x:f>IF(OR(E6376="CANCELED",E6376="SUSPECTED_FRAUD",F6376="Shipping canceled"),0,1)</x:f>
        <x:v>1</x:v>
      </x:c>
      <x:c r="K6376" s="6" t="n">
        <x:f>IF(G6376&gt;H6376,1,0)</x:f>
        <x:v>1</x:v>
      </x:c>
      <x:c r="L6376" s="6" t="n">
        <x:f>J6376*K6376</x:f>
        <x:v>1</x:v>
      </x:c>
    </x:row>
    <x:row r="6377">
      <x:c r="A6377" s="1" t="n">
        <x:v>49955</x:v>
      </x:c>
      <x:c r="B6377" s="5" t="d">
        <x:v>2016-12-30T00:00:00.000Z</x:v>
      </x:c>
      <x:c r="C6377" s="1" t="str">
        <x:v>Standard Class</x:v>
      </x:c>
      <x:c r="D6377" s="1" t="str">
        <x:v>Europe</x:v>
      </x:c>
      <x:c r="E6377" s="1" t="str">
        <x:v>PENDING_PAYMENT</x:v>
      </x:c>
      <x:c r="F6377" s="1" t="str">
        <x:v>Late delivery</x:v>
      </x:c>
      <x:c r="G6377" s="6" t="n">
        <x:v>6</x:v>
      </x:c>
      <x:c r="H6377" s="6" t="n">
        <x:v>4</x:v>
      </x:c>
      <x:c r="I6377" s="6" t="n">
        <x:f>G6377-H6377</x:f>
        <x:v>2</x:v>
      </x:c>
      <x:c r="J6377" s="6" t="n">
        <x:f>IF(OR(E6377="CANCELED",E6377="SUSPECTED_FRAUD",F6377="Shipping canceled"),0,1)</x:f>
        <x:v>1</x:v>
      </x:c>
      <x:c r="K6377" s="6" t="n">
        <x:f>IF(G6377&gt;H6377,1,0)</x:f>
        <x:v>1</x:v>
      </x:c>
      <x:c r="L6377" s="6" t="n">
        <x:f>J6377*K6377</x:f>
        <x:v>1</x:v>
      </x:c>
    </x:row>
    <x:row r="6378">
      <x:c r="A6378" s="1" t="n">
        <x:v>49973</x:v>
      </x:c>
      <x:c r="B6378" s="5" t="d">
        <x:v>2016-12-30T00:00:00.000Z</x:v>
      </x:c>
      <x:c r="C6378" s="1" t="str">
        <x:v>Standard Class</x:v>
      </x:c>
      <x:c r="D6378" s="1" t="str">
        <x:v>Europe</x:v>
      </x:c>
      <x:c r="E6378" s="1" t="str">
        <x:v>COMPLETE</x:v>
      </x:c>
      <x:c r="F6378" s="1" t="str">
        <x:v>Shipping on time</x:v>
      </x:c>
      <x:c r="G6378" s="6" t="n">
        <x:v>4</x:v>
      </x:c>
      <x:c r="H6378" s="6" t="n">
        <x:v>4</x:v>
      </x:c>
      <x:c r="I6378" s="6" t="n">
        <x:f>G6378-H6378</x:f>
        <x:v>0</x:v>
      </x:c>
      <x:c r="J6378" s="6" t="n">
        <x:f>IF(OR(E6378="CANCELED",E6378="SUSPECTED_FRAUD",F6378="Shipping canceled"),0,1)</x:f>
        <x:v>1</x:v>
      </x:c>
      <x:c r="K6378" s="6" t="n">
        <x:f>IF(G6378&gt;H6378,1,0)</x:f>
        <x:v>0</x:v>
      </x:c>
      <x:c r="L6378" s="6" t="n">
        <x:f>J6378*K6378</x:f>
        <x:v>0</x:v>
      </x:c>
    </x:row>
    <x:row r="6379">
      <x:c r="A6379" s="1" t="n">
        <x:v>49974</x:v>
      </x:c>
      <x:c r="B6379" s="5" t="d">
        <x:v>2016-12-30T00:00:00.000Z</x:v>
      </x:c>
      <x:c r="C6379" s="1" t="str">
        <x:v>Standard Class</x:v>
      </x:c>
      <x:c r="D6379" s="1" t="str">
        <x:v>Europe</x:v>
      </x:c>
      <x:c r="E6379" s="1" t="str">
        <x:v>PROCESSING</x:v>
      </x:c>
      <x:c r="F6379" s="1" t="str">
        <x:v>Late delivery</x:v>
      </x:c>
      <x:c r="G6379" s="6" t="n">
        <x:v>5</x:v>
      </x:c>
      <x:c r="H6379" s="6" t="n">
        <x:v>4</x:v>
      </x:c>
      <x:c r="I6379" s="6" t="n">
        <x:f>G6379-H6379</x:f>
        <x:v>1</x:v>
      </x:c>
      <x:c r="J6379" s="6" t="n">
        <x:f>IF(OR(E6379="CANCELED",E6379="SUSPECTED_FRAUD",F6379="Shipping canceled"),0,1)</x:f>
        <x:v>1</x:v>
      </x:c>
      <x:c r="K6379" s="6" t="n">
        <x:f>IF(G6379&gt;H6379,1,0)</x:f>
        <x:v>1</x:v>
      </x:c>
      <x:c r="L6379" s="6" t="n">
        <x:f>J6379*K6379</x:f>
        <x:v>1</x:v>
      </x:c>
    </x:row>
    <x:row r="6380">
      <x:c r="A6380" s="1" t="n">
        <x:v>49979</x:v>
      </x:c>
      <x:c r="B6380" s="5" t="d">
        <x:v>2016-12-30T00:00:00.000Z</x:v>
      </x:c>
      <x:c r="C6380" s="1" t="str">
        <x:v>Standard Class</x:v>
      </x:c>
      <x:c r="D6380" s="1" t="str">
        <x:v>Africa</x:v>
      </x:c>
      <x:c r="E6380" s="1" t="str">
        <x:v>PROCESSING</x:v>
      </x:c>
      <x:c r="F6380" s="1" t="str">
        <x:v>Late delivery</x:v>
      </x:c>
      <x:c r="G6380" s="6" t="n">
        <x:v>5</x:v>
      </x:c>
      <x:c r="H6380" s="6" t="n">
        <x:v>4</x:v>
      </x:c>
      <x:c r="I6380" s="6" t="n">
        <x:f>G6380-H6380</x:f>
        <x:v>1</x:v>
      </x:c>
      <x:c r="J6380" s="6" t="n">
        <x:f>IF(OR(E6380="CANCELED",E6380="SUSPECTED_FRAUD",F6380="Shipping canceled"),0,1)</x:f>
        <x:v>1</x:v>
      </x:c>
      <x:c r="K6380" s="6" t="n">
        <x:f>IF(G6380&gt;H6380,1,0)</x:f>
        <x:v>1</x:v>
      </x:c>
      <x:c r="L6380" s="6" t="n">
        <x:f>J6380*K6380</x:f>
        <x:v>1</x:v>
      </x:c>
    </x:row>
    <x:row r="6381">
      <x:c r="A6381" s="1" t="n">
        <x:v>49983</x:v>
      </x:c>
      <x:c r="B6381" s="5" t="d">
        <x:v>2016-12-30T00:00:00.000Z</x:v>
      </x:c>
      <x:c r="C6381" s="1" t="str">
        <x:v>Standard Class</x:v>
      </x:c>
      <x:c r="D6381" s="1" t="str">
        <x:v>Pacific Asia</x:v>
      </x:c>
      <x:c r="E6381" s="1" t="str">
        <x:v>PROCESSING</x:v>
      </x:c>
      <x:c r="F6381" s="1" t="str">
        <x:v>Shipping on time</x:v>
      </x:c>
      <x:c r="G6381" s="6" t="n">
        <x:v>4</x:v>
      </x:c>
      <x:c r="H6381" s="6" t="n">
        <x:v>4</x:v>
      </x:c>
      <x:c r="I6381" s="6" t="n">
        <x:f>G6381-H6381</x:f>
        <x:v>0</x:v>
      </x:c>
      <x:c r="J6381" s="6" t="n">
        <x:f>IF(OR(E6381="CANCELED",E6381="SUSPECTED_FRAUD",F6381="Shipping canceled"),0,1)</x:f>
        <x:v>1</x:v>
      </x:c>
      <x:c r="K6381" s="6" t="n">
        <x:f>IF(G6381&gt;H6381,1,0)</x:f>
        <x:v>0</x:v>
      </x:c>
      <x:c r="L6381" s="6" t="n">
        <x:f>J6381*K6381</x:f>
        <x:v>0</x:v>
      </x:c>
    </x:row>
    <x:row r="6382">
      <x:c r="A6382" s="1" t="n">
        <x:v>49997</x:v>
      </x:c>
      <x:c r="B6382" s="5" t="d">
        <x:v>2016-12-30T00:00:00.000Z</x:v>
      </x:c>
      <x:c r="C6382" s="1" t="str">
        <x:v>Second Class</x:v>
      </x:c>
      <x:c r="D6382" s="1" t="str">
        <x:v>Africa</x:v>
      </x:c>
      <x:c r="E6382" s="1" t="str">
        <x:v>PENDING</x:v>
      </x:c>
      <x:c r="F6382" s="1" t="str">
        <x:v>Late delivery</x:v>
      </x:c>
      <x:c r="G6382" s="6" t="n">
        <x:v>3</x:v>
      </x:c>
      <x:c r="H6382" s="6" t="n">
        <x:v>2</x:v>
      </x:c>
      <x:c r="I6382" s="6" t="n">
        <x:f>G6382-H6382</x:f>
        <x:v>1</x:v>
      </x:c>
      <x:c r="J6382" s="6" t="n">
        <x:f>IF(OR(E6382="CANCELED",E6382="SUSPECTED_FRAUD",F6382="Shipping canceled"),0,1)</x:f>
        <x:v>1</x:v>
      </x:c>
      <x:c r="K6382" s="6" t="n">
        <x:f>IF(G6382&gt;H6382,1,0)</x:f>
        <x:v>1</x:v>
      </x:c>
      <x:c r="L6382" s="6" t="n">
        <x:f>J6382*K6382</x:f>
        <x:v>1</x:v>
      </x:c>
    </x:row>
    <x:row r="6383">
      <x:c r="A6383" s="1" t="n">
        <x:v>50000</x:v>
      </x:c>
      <x:c r="B6383" s="5" t="d">
        <x:v>2016-12-30T00:00:00.000Z</x:v>
      </x:c>
      <x:c r="C6383" s="1" t="str">
        <x:v>Standard Class</x:v>
      </x:c>
      <x:c r="D6383" s="1" t="str">
        <x:v>Africa</x:v>
      </x:c>
      <x:c r="E6383" s="1" t="str">
        <x:v>PENDING_PAYMENT</x:v>
      </x:c>
      <x:c r="F6383" s="1" t="str">
        <x:v>Late delivery</x:v>
      </x:c>
      <x:c r="G6383" s="6" t="n">
        <x:v>6</x:v>
      </x:c>
      <x:c r="H6383" s="6" t="n">
        <x:v>4</x:v>
      </x:c>
      <x:c r="I6383" s="6" t="n">
        <x:f>G6383-H6383</x:f>
        <x:v>2</x:v>
      </x:c>
      <x:c r="J6383" s="6" t="n">
        <x:f>IF(OR(E6383="CANCELED",E6383="SUSPECTED_FRAUD",F6383="Shipping canceled"),0,1)</x:f>
        <x:v>1</x:v>
      </x:c>
      <x:c r="K6383" s="6" t="n">
        <x:f>IF(G6383&gt;H6383,1,0)</x:f>
        <x:v>1</x:v>
      </x:c>
      <x:c r="L6383" s="6" t="n">
        <x:f>J6383*K6383</x:f>
        <x:v>1</x:v>
      </x:c>
    </x:row>
    <x:row r="6384">
      <x:c r="A6384" s="1" t="n">
        <x:v>50002</x:v>
      </x:c>
      <x:c r="B6384" s="5" t="d">
        <x:v>2016-12-30T00:00:00.000Z</x:v>
      </x:c>
      <x:c r="C6384" s="1" t="str">
        <x:v>Standard Class</x:v>
      </x:c>
      <x:c r="D6384" s="1" t="str">
        <x:v>Africa</x:v>
      </x:c>
      <x:c r="E6384" s="1" t="str">
        <x:v>CANCELED</x:v>
      </x:c>
      <x:c r="F6384" s="1" t="str">
        <x:v>Shipping canceled</x:v>
      </x:c>
      <x:c r="G6384" s="6" t="n">
        <x:v>3</x:v>
      </x:c>
      <x:c r="H6384" s="6" t="n">
        <x:v>4</x:v>
      </x:c>
      <x:c r="I6384" s="6" t="n">
        <x:f>G6384-H6384</x:f>
        <x:v>-1</x:v>
      </x:c>
      <x:c r="J6384" s="6" t="n">
        <x:f>IF(OR(E6384="CANCELED",E6384="SUSPECTED_FRAUD",F6384="Shipping canceled"),0,1)</x:f>
        <x:v>0</x:v>
      </x:c>
      <x:c r="K6384" s="6" t="n">
        <x:f>IF(G6384&gt;H6384,1,0)</x:f>
        <x:v>0</x:v>
      </x:c>
      <x:c r="L6384" s="6" t="n">
        <x:f>J6384*K6384</x:f>
        <x:v>0</x:v>
      </x:c>
    </x:row>
    <x:row r="6385">
      <x:c r="A6385" s="1" t="n">
        <x:v>50003</x:v>
      </x:c>
      <x:c r="B6385" s="5" t="d">
        <x:v>2016-12-30T00:00:00.000Z</x:v>
      </x:c>
      <x:c r="C6385" s="1" t="str">
        <x:v>First Class</x:v>
      </x:c>
      <x:c r="D6385" s="1" t="str">
        <x:v>Africa</x:v>
      </x:c>
      <x:c r="E6385" s="1" t="str">
        <x:v>PENDING</x:v>
      </x:c>
      <x:c r="F6385" s="1" t="str">
        <x:v>Late delivery</x:v>
      </x:c>
      <x:c r="G6385" s="6" t="n">
        <x:v>2</x:v>
      </x:c>
      <x:c r="H6385" s="6" t="n">
        <x:v>1</x:v>
      </x:c>
      <x:c r="I6385" s="6" t="n">
        <x:f>G6385-H6385</x:f>
        <x:v>1</x:v>
      </x:c>
      <x:c r="J6385" s="6" t="n">
        <x:f>IF(OR(E6385="CANCELED",E6385="SUSPECTED_FRAUD",F6385="Shipping canceled"),0,1)</x:f>
        <x:v>1</x:v>
      </x:c>
      <x:c r="K6385" s="6" t="n">
        <x:f>IF(G6385&gt;H6385,1,0)</x:f>
        <x:v>1</x:v>
      </x:c>
      <x:c r="L6385" s="6" t="n">
        <x:f>J6385*K6385</x:f>
        <x:v>1</x:v>
      </x:c>
    </x:row>
    <x:row r="6386">
      <x:c r="A6386" s="1" t="n">
        <x:v>50011</x:v>
      </x:c>
      <x:c r="B6386" s="5" t="d">
        <x:v>2016-12-31T00:00:00.000Z</x:v>
      </x:c>
      <x:c r="C6386" s="1" t="str">
        <x:v>First Class</x:v>
      </x:c>
      <x:c r="D6386" s="1" t="str">
        <x:v>Africa</x:v>
      </x:c>
      <x:c r="E6386" s="1" t="str">
        <x:v>PENDING_PAYMENT</x:v>
      </x:c>
      <x:c r="F6386" s="1" t="str">
        <x:v>Late delivery</x:v>
      </x:c>
      <x:c r="G6386" s="6" t="n">
        <x:v>2</x:v>
      </x:c>
      <x:c r="H6386" s="6" t="n">
        <x:v>1</x:v>
      </x:c>
      <x:c r="I6386" s="6" t="n">
        <x:f>G6386-H6386</x:f>
        <x:v>1</x:v>
      </x:c>
      <x:c r="J6386" s="6" t="n">
        <x:f>IF(OR(E6386="CANCELED",E6386="SUSPECTED_FRAUD",F6386="Shipping canceled"),0,1)</x:f>
        <x:v>1</x:v>
      </x:c>
      <x:c r="K6386" s="6" t="n">
        <x:f>IF(G6386&gt;H6386,1,0)</x:f>
        <x:v>1</x:v>
      </x:c>
      <x:c r="L6386" s="6" t="n">
        <x:f>J6386*K6386</x:f>
        <x:v>1</x:v>
      </x:c>
    </x:row>
    <x:row r="6387">
      <x:c r="A6387" s="1" t="n">
        <x:v>50024</x:v>
      </x:c>
      <x:c r="B6387" s="5" t="d">
        <x:v>2016-12-31T00:00:00.000Z</x:v>
      </x:c>
      <x:c r="C6387" s="1" t="str">
        <x:v>Standard Class</x:v>
      </x:c>
      <x:c r="D6387" s="1" t="str">
        <x:v>Pacific Asia</x:v>
      </x:c>
      <x:c r="E6387" s="1" t="str">
        <x:v>COMPLETE</x:v>
      </x:c>
      <x:c r="F6387" s="1" t="str">
        <x:v>Late delivery</x:v>
      </x:c>
      <x:c r="G6387" s="6" t="n">
        <x:v>5</x:v>
      </x:c>
      <x:c r="H6387" s="6" t="n">
        <x:v>4</x:v>
      </x:c>
      <x:c r="I6387" s="6" t="n">
        <x:f>G6387-H6387</x:f>
        <x:v>1</x:v>
      </x:c>
      <x:c r="J6387" s="6" t="n">
        <x:f>IF(OR(E6387="CANCELED",E6387="SUSPECTED_FRAUD",F6387="Shipping canceled"),0,1)</x:f>
        <x:v>1</x:v>
      </x:c>
      <x:c r="K6387" s="6" t="n">
        <x:f>IF(G6387&gt;H6387,1,0)</x:f>
        <x:v>1</x:v>
      </x:c>
      <x:c r="L6387" s="6" t="n">
        <x:f>J6387*K6387</x:f>
        <x:v>1</x:v>
      </x:c>
    </x:row>
    <x:row r="6388">
      <x:c r="A6388" s="1" t="n">
        <x:v>50026</x:v>
      </x:c>
      <x:c r="B6388" s="5" t="d">
        <x:v>2016-12-31T00:00:00.000Z</x:v>
      </x:c>
      <x:c r="C6388" s="1" t="str">
        <x:v>Standard Class</x:v>
      </x:c>
      <x:c r="D6388" s="1" t="str">
        <x:v>Pacific Asia</x:v>
      </x:c>
      <x:c r="E6388" s="1" t="str">
        <x:v>CANCELED</x:v>
      </x:c>
      <x:c r="F6388" s="1" t="str">
        <x:v>Shipping canceled</x:v>
      </x:c>
      <x:c r="G6388" s="6" t="n">
        <x:v>2</x:v>
      </x:c>
      <x:c r="H6388" s="6" t="n">
        <x:v>4</x:v>
      </x:c>
      <x:c r="I6388" s="6" t="n">
        <x:f>G6388-H6388</x:f>
        <x:v>-2</x:v>
      </x:c>
      <x:c r="J6388" s="6" t="n">
        <x:f>IF(OR(E6388="CANCELED",E6388="SUSPECTED_FRAUD",F6388="Shipping canceled"),0,1)</x:f>
        <x:v>0</x:v>
      </x:c>
      <x:c r="K6388" s="6" t="n">
        <x:f>IF(G6388&gt;H6388,1,0)</x:f>
        <x:v>0</x:v>
      </x:c>
      <x:c r="L6388" s="6" t="n">
        <x:f>J6388*K6388</x:f>
        <x:v>0</x:v>
      </x:c>
    </x:row>
    <x:row r="6389">
      <x:c r="A6389" s="1" t="n">
        <x:v>50033</x:v>
      </x:c>
      <x:c r="B6389" s="5" t="d">
        <x:v>2016-12-31T00:00:00.000Z</x:v>
      </x:c>
      <x:c r="C6389" s="1" t="str">
        <x:v>Standard Class</x:v>
      </x:c>
      <x:c r="D6389" s="1" t="str">
        <x:v>Pacific Asia</x:v>
      </x:c>
      <x:c r="E6389" s="1" t="str">
        <x:v>COMPLETE</x:v>
      </x:c>
      <x:c r="F6389" s="1" t="str">
        <x:v>Shipping on time</x:v>
      </x:c>
      <x:c r="G6389" s="6" t="n">
        <x:v>4</x:v>
      </x:c>
      <x:c r="H6389" s="6" t="n">
        <x:v>4</x:v>
      </x:c>
      <x:c r="I6389" s="6" t="n">
        <x:f>G6389-H6389</x:f>
        <x:v>0</x:v>
      </x:c>
      <x:c r="J6389" s="6" t="n">
        <x:f>IF(OR(E6389="CANCELED",E6389="SUSPECTED_FRAUD",F6389="Shipping canceled"),0,1)</x:f>
        <x:v>1</x:v>
      </x:c>
      <x:c r="K6389" s="6" t="n">
        <x:f>IF(G6389&gt;H6389,1,0)</x:f>
        <x:v>0</x:v>
      </x:c>
      <x:c r="L6389" s="6" t="n">
        <x:f>J6389*K6389</x:f>
        <x:v>0</x:v>
      </x:c>
    </x:row>
    <x:row r="6390">
      <x:c r="A6390" s="1" t="n">
        <x:v>50036</x:v>
      </x:c>
      <x:c r="B6390" s="5" t="d">
        <x:v>2016-12-31T00:00:00.000Z</x:v>
      </x:c>
      <x:c r="C6390" s="1" t="str">
        <x:v>Standard Class</x:v>
      </x:c>
      <x:c r="D6390" s="1" t="str">
        <x:v>Africa</x:v>
      </x:c>
      <x:c r="E6390" s="1" t="str">
        <x:v>CLOSED</x:v>
      </x:c>
      <x:c r="F6390" s="1" t="str">
        <x:v>Advance shipping</x:v>
      </x:c>
      <x:c r="G6390" s="6" t="n">
        <x:v>2</x:v>
      </x:c>
      <x:c r="H6390" s="6" t="n">
        <x:v>4</x:v>
      </x:c>
      <x:c r="I6390" s="6" t="n">
        <x:f>G6390-H6390</x:f>
        <x:v>-2</x:v>
      </x:c>
      <x:c r="J6390" s="6" t="n">
        <x:f>IF(OR(E6390="CANCELED",E6390="SUSPECTED_FRAUD",F6390="Shipping canceled"),0,1)</x:f>
        <x:v>1</x:v>
      </x:c>
      <x:c r="K6390" s="6" t="n">
        <x:f>IF(G6390&gt;H6390,1,0)</x:f>
        <x:v>0</x:v>
      </x:c>
      <x:c r="L6390" s="6" t="n">
        <x:f>J6390*K6390</x:f>
        <x:v>0</x:v>
      </x:c>
    </x:row>
    <x:row r="6391">
      <x:c r="A6391" s="1" t="n">
        <x:v>50054</x:v>
      </x:c>
      <x:c r="B6391" s="5" t="d">
        <x:v>2016-12-31T00:00:00.000Z</x:v>
      </x:c>
      <x:c r="C6391" s="1" t="str">
        <x:v>Second Class</x:v>
      </x:c>
      <x:c r="D6391" s="1" t="str">
        <x:v>Pacific Asia</x:v>
      </x:c>
      <x:c r="E6391" s="1" t="str">
        <x:v>PENDING_PAYMENT</x:v>
      </x:c>
      <x:c r="F6391" s="1" t="str">
        <x:v>Late delivery</x:v>
      </x:c>
      <x:c r="G6391" s="6" t="n">
        <x:v>5</x:v>
      </x:c>
      <x:c r="H6391" s="6" t="n">
        <x:v>2</x:v>
      </x:c>
      <x:c r="I6391" s="6" t="n">
        <x:f>G6391-H6391</x:f>
        <x:v>3</x:v>
      </x:c>
      <x:c r="J6391" s="6" t="n">
        <x:f>IF(OR(E6391="CANCELED",E6391="SUSPECTED_FRAUD",F6391="Shipping canceled"),0,1)</x:f>
        <x:v>1</x:v>
      </x:c>
      <x:c r="K6391" s="6" t="n">
        <x:f>IF(G6391&gt;H6391,1,0)</x:f>
        <x:v>1</x:v>
      </x:c>
      <x:c r="L6391" s="6" t="n">
        <x:f>J6391*K6391</x:f>
        <x:v>1</x:v>
      </x:c>
    </x:row>
    <x:row r="6392">
      <x:c r="A6392" s="1" t="n">
        <x:v>50062</x:v>
      </x:c>
      <x:c r="B6392" s="5" t="d">
        <x:v>2016-12-31T00:00:00.000Z</x:v>
      </x:c>
      <x:c r="C6392" s="1" t="str">
        <x:v>Second Class</x:v>
      </x:c>
      <x:c r="D6392" s="1" t="str">
        <x:v>Pacific Asia</x:v>
      </x:c>
      <x:c r="E6392" s="1" t="str">
        <x:v>PROCESSING</x:v>
      </x:c>
      <x:c r="F6392" s="1" t="str">
        <x:v>Late delivery</x:v>
      </x:c>
      <x:c r="G6392" s="6" t="n">
        <x:v>3</x:v>
      </x:c>
      <x:c r="H6392" s="6" t="n">
        <x:v>2</x:v>
      </x:c>
      <x:c r="I6392" s="6" t="n">
        <x:f>G6392-H6392</x:f>
        <x:v>1</x:v>
      </x:c>
      <x:c r="J6392" s="6" t="n">
        <x:f>IF(OR(E6392="CANCELED",E6392="SUSPECTED_FRAUD",F6392="Shipping canceled"),0,1)</x:f>
        <x:v>1</x:v>
      </x:c>
      <x:c r="K6392" s="6" t="n">
        <x:f>IF(G6392&gt;H6392,1,0)</x:f>
        <x:v>1</x:v>
      </x:c>
      <x:c r="L6392" s="6" t="n">
        <x:f>J6392*K6392</x:f>
        <x:v>1</x:v>
      </x:c>
    </x:row>
    <x:row r="6393">
      <x:c r="A6393" s="1" t="n">
        <x:v>50080</x:v>
      </x:c>
      <x:c r="B6393" s="5" t="d">
        <x:v>2017-01-01T00:00:00.000Z</x:v>
      </x:c>
      <x:c r="C6393" s="1" t="str">
        <x:v>Standard Class</x:v>
      </x:c>
      <x:c r="D6393" s="1" t="str">
        <x:v>Pacific Asia</x:v>
      </x:c>
      <x:c r="E6393" s="1" t="str">
        <x:v>PENDING_PAYMENT</x:v>
      </x:c>
      <x:c r="F6393" s="1" t="str">
        <x:v>Late delivery</x:v>
      </x:c>
      <x:c r="G6393" s="6" t="n">
        <x:v>6</x:v>
      </x:c>
      <x:c r="H6393" s="6" t="n">
        <x:v>4</x:v>
      </x:c>
      <x:c r="I6393" s="6" t="n">
        <x:f>G6393-H6393</x:f>
        <x:v>2</x:v>
      </x:c>
      <x:c r="J6393" s="6" t="n">
        <x:f>IF(OR(E6393="CANCELED",E6393="SUSPECTED_FRAUD",F6393="Shipping canceled"),0,1)</x:f>
        <x:v>1</x:v>
      </x:c>
      <x:c r="K6393" s="6" t="n">
        <x:f>IF(G6393&gt;H6393,1,0)</x:f>
        <x:v>1</x:v>
      </x:c>
      <x:c r="L6393" s="6" t="n">
        <x:f>J6393*K6393</x:f>
        <x:v>1</x:v>
      </x:c>
    </x:row>
    <x:row r="6394">
      <x:c r="A6394" s="1" t="n">
        <x:v>50083</x:v>
      </x:c>
      <x:c r="B6394" s="5" t="d">
        <x:v>2017-01-01T00:00:00.000Z</x:v>
      </x:c>
      <x:c r="C6394" s="1" t="str">
        <x:v>Standard Class</x:v>
      </x:c>
      <x:c r="D6394" s="1" t="str">
        <x:v>Africa</x:v>
      </x:c>
      <x:c r="E6394" s="1" t="str">
        <x:v>COMPLETE</x:v>
      </x:c>
      <x:c r="F6394" s="1" t="str">
        <x:v>Shipping on time</x:v>
      </x:c>
      <x:c r="G6394" s="6" t="n">
        <x:v>4</x:v>
      </x:c>
      <x:c r="H6394" s="6" t="n">
        <x:v>4</x:v>
      </x:c>
      <x:c r="I6394" s="6" t="n">
        <x:f>G6394-H6394</x:f>
        <x:v>0</x:v>
      </x:c>
      <x:c r="J6394" s="6" t="n">
        <x:f>IF(OR(E6394="CANCELED",E6394="SUSPECTED_FRAUD",F6394="Shipping canceled"),0,1)</x:f>
        <x:v>1</x:v>
      </x:c>
      <x:c r="K6394" s="6" t="n">
        <x:f>IF(G6394&gt;H6394,1,0)</x:f>
        <x:v>0</x:v>
      </x:c>
      <x:c r="L6394" s="6" t="n">
        <x:f>J6394*K6394</x:f>
        <x:v>0</x:v>
      </x:c>
    </x:row>
    <x:row r="6395">
      <x:c r="A6395" s="1" t="n">
        <x:v>50087</x:v>
      </x:c>
      <x:c r="B6395" s="5" t="d">
        <x:v>2017-01-01T00:00:00.000Z</x:v>
      </x:c>
      <x:c r="C6395" s="1" t="str">
        <x:v>Standard Class</x:v>
      </x:c>
      <x:c r="D6395" s="1" t="str">
        <x:v>Europe</x:v>
      </x:c>
      <x:c r="E6395" s="1" t="str">
        <x:v>COMPLETE</x:v>
      </x:c>
      <x:c r="F6395" s="1" t="str">
        <x:v>Advance shipping</x:v>
      </x:c>
      <x:c r="G6395" s="6" t="n">
        <x:v>3</x:v>
      </x:c>
      <x:c r="H6395" s="6" t="n">
        <x:v>4</x:v>
      </x:c>
      <x:c r="I6395" s="6" t="n">
        <x:f>G6395-H6395</x:f>
        <x:v>-1</x:v>
      </x:c>
      <x:c r="J6395" s="6" t="n">
        <x:f>IF(OR(E6395="CANCELED",E6395="SUSPECTED_FRAUD",F6395="Shipping canceled"),0,1)</x:f>
        <x:v>1</x:v>
      </x:c>
      <x:c r="K6395" s="6" t="n">
        <x:f>IF(G6395&gt;H6395,1,0)</x:f>
        <x:v>0</x:v>
      </x:c>
      <x:c r="L6395" s="6" t="n">
        <x:f>J6395*K6395</x:f>
        <x:v>0</x:v>
      </x:c>
    </x:row>
    <x:row r="6396">
      <x:c r="A6396" s="1" t="n">
        <x:v>50097</x:v>
      </x:c>
      <x:c r="B6396" s="5" t="d">
        <x:v>2017-01-01T00:00:00.000Z</x:v>
      </x:c>
      <x:c r="C6396" s="1" t="str">
        <x:v>Standard Class</x:v>
      </x:c>
      <x:c r="D6396" s="1" t="str">
        <x:v>Europe</x:v>
      </x:c>
      <x:c r="E6396" s="1" t="str">
        <x:v>CLOSED</x:v>
      </x:c>
      <x:c r="F6396" s="1" t="str">
        <x:v>Advance shipping</x:v>
      </x:c>
      <x:c r="G6396" s="6" t="n">
        <x:v>3</x:v>
      </x:c>
      <x:c r="H6396" s="6" t="n">
        <x:v>4</x:v>
      </x:c>
      <x:c r="I6396" s="6" t="n">
        <x:f>G6396-H6396</x:f>
        <x:v>-1</x:v>
      </x:c>
      <x:c r="J6396" s="6" t="n">
        <x:f>IF(OR(E6396="CANCELED",E6396="SUSPECTED_FRAUD",F6396="Shipping canceled"),0,1)</x:f>
        <x:v>1</x:v>
      </x:c>
      <x:c r="K6396" s="6" t="n">
        <x:f>IF(G6396&gt;H6396,1,0)</x:f>
        <x:v>0</x:v>
      </x:c>
      <x:c r="L6396" s="6" t="n">
        <x:f>J6396*K6396</x:f>
        <x:v>0</x:v>
      </x:c>
    </x:row>
    <x:row r="6397">
      <x:c r="A6397" s="1" t="n">
        <x:v>50109</x:v>
      </x:c>
      <x:c r="B6397" s="5" t="d">
        <x:v>2017-01-01T00:00:00.000Z</x:v>
      </x:c>
      <x:c r="C6397" s="1" t="str">
        <x:v>Standard Class</x:v>
      </x:c>
      <x:c r="D6397" s="1" t="str">
        <x:v>Africa</x:v>
      </x:c>
      <x:c r="E6397" s="1" t="str">
        <x:v>CANCELED</x:v>
      </x:c>
      <x:c r="F6397" s="1" t="str">
        <x:v>Shipping canceled</x:v>
      </x:c>
      <x:c r="G6397" s="6" t="n">
        <x:v>5</x:v>
      </x:c>
      <x:c r="H6397" s="6" t="n">
        <x:v>4</x:v>
      </x:c>
      <x:c r="I6397" s="6" t="n">
        <x:f>G6397-H6397</x:f>
        <x:v>1</x:v>
      </x:c>
      <x:c r="J6397" s="6" t="n">
        <x:f>IF(OR(E6397="CANCELED",E6397="SUSPECTED_FRAUD",F6397="Shipping canceled"),0,1)</x:f>
        <x:v>0</x:v>
      </x:c>
      <x:c r="K6397" s="6" t="n">
        <x:f>IF(G6397&gt;H6397,1,0)</x:f>
        <x:v>1</x:v>
      </x:c>
      <x:c r="L6397" s="6" t="n">
        <x:f>J6397*K6397</x:f>
        <x:v>0</x:v>
      </x:c>
    </x:row>
    <x:row r="6398">
      <x:c r="A6398" s="1" t="n">
        <x:v>50111</x:v>
      </x:c>
      <x:c r="B6398" s="5" t="d">
        <x:v>2017-01-01T00:00:00.000Z</x:v>
      </x:c>
      <x:c r="C6398" s="1" t="str">
        <x:v>Standard Class</x:v>
      </x:c>
      <x:c r="D6398" s="1" t="str">
        <x:v>Pacific Asia</x:v>
      </x:c>
      <x:c r="E6398" s="1" t="str">
        <x:v>COMPLETE</x:v>
      </x:c>
      <x:c r="F6398" s="1" t="str">
        <x:v>Advance shipping</x:v>
      </x:c>
      <x:c r="G6398" s="6" t="n">
        <x:v>2</x:v>
      </x:c>
      <x:c r="H6398" s="6" t="n">
        <x:v>4</x:v>
      </x:c>
      <x:c r="I6398" s="6" t="n">
        <x:f>G6398-H6398</x:f>
        <x:v>-2</x:v>
      </x:c>
      <x:c r="J6398" s="6" t="n">
        <x:f>IF(OR(E6398="CANCELED",E6398="SUSPECTED_FRAUD",F6398="Shipping canceled"),0,1)</x:f>
        <x:v>1</x:v>
      </x:c>
      <x:c r="K6398" s="6" t="n">
        <x:f>IF(G6398&gt;H6398,1,0)</x:f>
        <x:v>0</x:v>
      </x:c>
      <x:c r="L6398" s="6" t="n">
        <x:f>J6398*K6398</x:f>
        <x:v>0</x:v>
      </x:c>
    </x:row>
    <x:row r="6399">
      <x:c r="A6399" s="1" t="n">
        <x:v>50118</x:v>
      </x:c>
      <x:c r="B6399" s="5" t="d">
        <x:v>2017-01-01T00:00:00.000Z</x:v>
      </x:c>
      <x:c r="C6399" s="1" t="str">
        <x:v>Standard Class</x:v>
      </x:c>
      <x:c r="D6399" s="1" t="str">
        <x:v>Africa</x:v>
      </x:c>
      <x:c r="E6399" s="1" t="str">
        <x:v>COMPLETE</x:v>
      </x:c>
      <x:c r="F6399" s="1" t="str">
        <x:v>Shipping on time</x:v>
      </x:c>
      <x:c r="G6399" s="6" t="n">
        <x:v>4</x:v>
      </x:c>
      <x:c r="H6399" s="6" t="n">
        <x:v>4</x:v>
      </x:c>
      <x:c r="I6399" s="6" t="n">
        <x:f>G6399-H6399</x:f>
        <x:v>0</x:v>
      </x:c>
      <x:c r="J6399" s="6" t="n">
        <x:f>IF(OR(E6399="CANCELED",E6399="SUSPECTED_FRAUD",F6399="Shipping canceled"),0,1)</x:f>
        <x:v>1</x:v>
      </x:c>
      <x:c r="K6399" s="6" t="n">
        <x:f>IF(G6399&gt;H6399,1,0)</x:f>
        <x:v>0</x:v>
      </x:c>
      <x:c r="L6399" s="6" t="n">
        <x:f>J6399*K6399</x:f>
        <x:v>0</x:v>
      </x:c>
    </x:row>
    <x:row r="6400">
      <x:c r="A6400" s="1" t="n">
        <x:v>50153</x:v>
      </x:c>
      <x:c r="B6400" s="5" t="d">
        <x:v>2017-01-02T00:00:00.000Z</x:v>
      </x:c>
      <x:c r="C6400" s="1" t="str">
        <x:v>Standard Class</x:v>
      </x:c>
      <x:c r="D6400" s="1" t="str">
        <x:v>Africa</x:v>
      </x:c>
      <x:c r="E6400" s="1" t="str">
        <x:v>COMPLETE</x:v>
      </x:c>
      <x:c r="F6400" s="1" t="str">
        <x:v>Shipping on time</x:v>
      </x:c>
      <x:c r="G6400" s="6" t="n">
        <x:v>4</x:v>
      </x:c>
      <x:c r="H6400" s="6" t="n">
        <x:v>4</x:v>
      </x:c>
      <x:c r="I6400" s="6" t="n">
        <x:f>G6400-H6400</x:f>
        <x:v>0</x:v>
      </x:c>
      <x:c r="J6400" s="6" t="n">
        <x:f>IF(OR(E6400="CANCELED",E6400="SUSPECTED_FRAUD",F6400="Shipping canceled"),0,1)</x:f>
        <x:v>1</x:v>
      </x:c>
      <x:c r="K6400" s="6" t="n">
        <x:f>IF(G6400&gt;H6400,1,0)</x:f>
        <x:v>0</x:v>
      </x:c>
      <x:c r="L6400" s="6" t="n">
        <x:f>J6400*K6400</x:f>
        <x:v>0</x:v>
      </x:c>
    </x:row>
    <x:row r="6401">
      <x:c r="A6401" s="1" t="n">
        <x:v>50159</x:v>
      </x:c>
      <x:c r="B6401" s="5" t="d">
        <x:v>2017-01-02T00:00:00.000Z</x:v>
      </x:c>
      <x:c r="C6401" s="1" t="str">
        <x:v>Standard Class</x:v>
      </x:c>
      <x:c r="D6401" s="1" t="str">
        <x:v>Europe</x:v>
      </x:c>
      <x:c r="E6401" s="1" t="str">
        <x:v>COMPLETE</x:v>
      </x:c>
      <x:c r="F6401" s="1" t="str">
        <x:v>Late delivery</x:v>
      </x:c>
      <x:c r="G6401" s="6" t="n">
        <x:v>5</x:v>
      </x:c>
      <x:c r="H6401" s="6" t="n">
        <x:v>4</x:v>
      </x:c>
      <x:c r="I6401" s="6" t="n">
        <x:f>G6401-H6401</x:f>
        <x:v>1</x:v>
      </x:c>
      <x:c r="J6401" s="6" t="n">
        <x:f>IF(OR(E6401="CANCELED",E6401="SUSPECTED_FRAUD",F6401="Shipping canceled"),0,1)</x:f>
        <x:v>1</x:v>
      </x:c>
      <x:c r="K6401" s="6" t="n">
        <x:f>IF(G6401&gt;H6401,1,0)</x:f>
        <x:v>1</x:v>
      </x:c>
      <x:c r="L6401" s="6" t="n">
        <x:f>J6401*K6401</x:f>
        <x:v>1</x:v>
      </x:c>
    </x:row>
    <x:row r="6402">
      <x:c r="A6402" s="1" t="n">
        <x:v>50161</x:v>
      </x:c>
      <x:c r="B6402" s="5" t="d">
        <x:v>2017-01-02T00:00:00.000Z</x:v>
      </x:c>
      <x:c r="C6402" s="1" t="str">
        <x:v>Second Class</x:v>
      </x:c>
      <x:c r="D6402" s="1" t="str">
        <x:v>Africa</x:v>
      </x:c>
      <x:c r="E6402" s="1" t="str">
        <x:v>COMPLETE</x:v>
      </x:c>
      <x:c r="F6402" s="1" t="str">
        <x:v>Shipping on time</x:v>
      </x:c>
      <x:c r="G6402" s="6" t="n">
        <x:v>2</x:v>
      </x:c>
      <x:c r="H6402" s="6" t="n">
        <x:v>2</x:v>
      </x:c>
      <x:c r="I6402" s="6" t="n">
        <x:f>G6402-H6402</x:f>
        <x:v>0</x:v>
      </x:c>
      <x:c r="J6402" s="6" t="n">
        <x:f>IF(OR(E6402="CANCELED",E6402="SUSPECTED_FRAUD",F6402="Shipping canceled"),0,1)</x:f>
        <x:v>1</x:v>
      </x:c>
      <x:c r="K6402" s="6" t="n">
        <x:f>IF(G6402&gt;H6402,1,0)</x:f>
        <x:v>0</x:v>
      </x:c>
      <x:c r="L6402" s="6" t="n">
        <x:f>J6402*K6402</x:f>
        <x:v>0</x:v>
      </x:c>
    </x:row>
    <x:row r="6403">
      <x:c r="A6403" s="1" t="n">
        <x:v>50174</x:v>
      </x:c>
      <x:c r="B6403" s="5" t="d">
        <x:v>2017-01-02T00:00:00.000Z</x:v>
      </x:c>
      <x:c r="C6403" s="1" t="str">
        <x:v>Standard Class</x:v>
      </x:c>
      <x:c r="D6403" s="1" t="str">
        <x:v>Europe</x:v>
      </x:c>
      <x:c r="E6403" s="1" t="str">
        <x:v>COMPLETE</x:v>
      </x:c>
      <x:c r="F6403" s="1" t="str">
        <x:v>Late delivery</x:v>
      </x:c>
      <x:c r="G6403" s="6" t="n">
        <x:v>5</x:v>
      </x:c>
      <x:c r="H6403" s="6" t="n">
        <x:v>4</x:v>
      </x:c>
      <x:c r="I6403" s="6" t="n">
        <x:f>G6403-H6403</x:f>
        <x:v>1</x:v>
      </x:c>
      <x:c r="J6403" s="6" t="n">
        <x:f>IF(OR(E6403="CANCELED",E6403="SUSPECTED_FRAUD",F6403="Shipping canceled"),0,1)</x:f>
        <x:v>1</x:v>
      </x:c>
      <x:c r="K6403" s="6" t="n">
        <x:f>IF(G6403&gt;H6403,1,0)</x:f>
        <x:v>1</x:v>
      </x:c>
      <x:c r="L6403" s="6" t="n">
        <x:f>J6403*K6403</x:f>
        <x:v>1</x:v>
      </x:c>
    </x:row>
    <x:row r="6404">
      <x:c r="A6404" s="1" t="n">
        <x:v>50176</x:v>
      </x:c>
      <x:c r="B6404" s="5" t="d">
        <x:v>2017-01-02T00:00:00.000Z</x:v>
      </x:c>
      <x:c r="C6404" s="1" t="str">
        <x:v>Standard Class</x:v>
      </x:c>
      <x:c r="D6404" s="1" t="str">
        <x:v>Africa</x:v>
      </x:c>
      <x:c r="E6404" s="1" t="str">
        <x:v>COMPLETE</x:v>
      </x:c>
      <x:c r="F6404" s="1" t="str">
        <x:v>Advance shipping</x:v>
      </x:c>
      <x:c r="G6404" s="6" t="n">
        <x:v>2</x:v>
      </x:c>
      <x:c r="H6404" s="6" t="n">
        <x:v>4</x:v>
      </x:c>
      <x:c r="I6404" s="6" t="n">
        <x:f>G6404-H6404</x:f>
        <x:v>-2</x:v>
      </x:c>
      <x:c r="J6404" s="6" t="n">
        <x:f>IF(OR(E6404="CANCELED",E6404="SUSPECTED_FRAUD",F6404="Shipping canceled"),0,1)</x:f>
        <x:v>1</x:v>
      </x:c>
      <x:c r="K6404" s="6" t="n">
        <x:f>IF(G6404&gt;H6404,1,0)</x:f>
        <x:v>0</x:v>
      </x:c>
      <x:c r="L6404" s="6" t="n">
        <x:f>J6404*K6404</x:f>
        <x:v>0</x:v>
      </x:c>
    </x:row>
    <x:row r="6405">
      <x:c r="A6405" s="1" t="n">
        <x:v>50180</x:v>
      </x:c>
      <x:c r="B6405" s="5" t="d">
        <x:v>2017-01-02T00:00:00.000Z</x:v>
      </x:c>
      <x:c r="C6405" s="1" t="str">
        <x:v>Standard Class</x:v>
      </x:c>
      <x:c r="D6405" s="1" t="str">
        <x:v>Africa</x:v>
      </x:c>
      <x:c r="E6405" s="1" t="str">
        <x:v>PROCESSING</x:v>
      </x:c>
      <x:c r="F6405" s="1" t="str">
        <x:v>Late delivery</x:v>
      </x:c>
      <x:c r="G6405" s="6" t="n">
        <x:v>6</x:v>
      </x:c>
      <x:c r="H6405" s="6" t="n">
        <x:v>4</x:v>
      </x:c>
      <x:c r="I6405" s="6" t="n">
        <x:f>G6405-H6405</x:f>
        <x:v>2</x:v>
      </x:c>
      <x:c r="J6405" s="6" t="n">
        <x:f>IF(OR(E6405="CANCELED",E6405="SUSPECTED_FRAUD",F6405="Shipping canceled"),0,1)</x:f>
        <x:v>1</x:v>
      </x:c>
      <x:c r="K6405" s="6" t="n">
        <x:f>IF(G6405&gt;H6405,1,0)</x:f>
        <x:v>1</x:v>
      </x:c>
      <x:c r="L6405" s="6" t="n">
        <x:f>J6405*K6405</x:f>
        <x:v>1</x:v>
      </x:c>
    </x:row>
    <x:row r="6406">
      <x:c r="A6406" s="1" t="n">
        <x:v>50190</x:v>
      </x:c>
      <x:c r="B6406" s="5" t="d">
        <x:v>2017-01-02T00:00:00.000Z</x:v>
      </x:c>
      <x:c r="C6406" s="1" t="str">
        <x:v>Standard Class</x:v>
      </x:c>
      <x:c r="D6406" s="1" t="str">
        <x:v>Africa</x:v>
      </x:c>
      <x:c r="E6406" s="1" t="str">
        <x:v>CLOSED</x:v>
      </x:c>
      <x:c r="F6406" s="1" t="str">
        <x:v>Late delivery</x:v>
      </x:c>
      <x:c r="G6406" s="6" t="n">
        <x:v>6</x:v>
      </x:c>
      <x:c r="H6406" s="6" t="n">
        <x:v>4</x:v>
      </x:c>
      <x:c r="I6406" s="6" t="n">
        <x:f>G6406-H6406</x:f>
        <x:v>2</x:v>
      </x:c>
      <x:c r="J6406" s="6" t="n">
        <x:f>IF(OR(E6406="CANCELED",E6406="SUSPECTED_FRAUD",F6406="Shipping canceled"),0,1)</x:f>
        <x:v>1</x:v>
      </x:c>
      <x:c r="K6406" s="6" t="n">
        <x:f>IF(G6406&gt;H6406,1,0)</x:f>
        <x:v>1</x:v>
      </x:c>
      <x:c r="L6406" s="6" t="n">
        <x:f>J6406*K6406</x:f>
        <x:v>1</x:v>
      </x:c>
    </x:row>
    <x:row r="6407">
      <x:c r="A6407" s="1" t="n">
        <x:v>50204</x:v>
      </x:c>
      <x:c r="B6407" s="5" t="d">
        <x:v>2017-01-02T00:00:00.000Z</x:v>
      </x:c>
      <x:c r="C6407" s="1" t="str">
        <x:v>Standard Class</x:v>
      </x:c>
      <x:c r="D6407" s="1" t="str">
        <x:v>Pacific Asia</x:v>
      </x:c>
      <x:c r="E6407" s="1" t="str">
        <x:v>PENDING</x:v>
      </x:c>
      <x:c r="F6407" s="1" t="str">
        <x:v>Late delivery</x:v>
      </x:c>
      <x:c r="G6407" s="6" t="n">
        <x:v>5</x:v>
      </x:c>
      <x:c r="H6407" s="6" t="n">
        <x:v>4</x:v>
      </x:c>
      <x:c r="I6407" s="6" t="n">
        <x:f>G6407-H6407</x:f>
        <x:v>1</x:v>
      </x:c>
      <x:c r="J6407" s="6" t="n">
        <x:f>IF(OR(E6407="CANCELED",E6407="SUSPECTED_FRAUD",F6407="Shipping canceled"),0,1)</x:f>
        <x:v>1</x:v>
      </x:c>
      <x:c r="K6407" s="6" t="n">
        <x:f>IF(G6407&gt;H6407,1,0)</x:f>
        <x:v>1</x:v>
      </x:c>
      <x:c r="L6407" s="6" t="n">
        <x:f>J6407*K6407</x:f>
        <x:v>1</x:v>
      </x:c>
    </x:row>
    <x:row r="6408">
      <x:c r="A6408" s="1" t="n">
        <x:v>50206</x:v>
      </x:c>
      <x:c r="B6408" s="5" t="d">
        <x:v>2017-01-02T00:00:00.000Z</x:v>
      </x:c>
      <x:c r="C6408" s="1" t="str">
        <x:v>Standard Class</x:v>
      </x:c>
      <x:c r="D6408" s="1" t="str">
        <x:v>Africa</x:v>
      </x:c>
      <x:c r="E6408" s="1" t="str">
        <x:v>COMPLETE</x:v>
      </x:c>
      <x:c r="F6408" s="1" t="str">
        <x:v>Advance shipping</x:v>
      </x:c>
      <x:c r="G6408" s="6" t="n">
        <x:v>2</x:v>
      </x:c>
      <x:c r="H6408" s="6" t="n">
        <x:v>4</x:v>
      </x:c>
      <x:c r="I6408" s="6" t="n">
        <x:f>G6408-H6408</x:f>
        <x:v>-2</x:v>
      </x:c>
      <x:c r="J6408" s="6" t="n">
        <x:f>IF(OR(E6408="CANCELED",E6408="SUSPECTED_FRAUD",F6408="Shipping canceled"),0,1)</x:f>
        <x:v>1</x:v>
      </x:c>
      <x:c r="K6408" s="6" t="n">
        <x:f>IF(G6408&gt;H6408,1,0)</x:f>
        <x:v>0</x:v>
      </x:c>
      <x:c r="L6408" s="6" t="n">
        <x:f>J6408*K6408</x:f>
        <x:v>0</x:v>
      </x:c>
    </x:row>
    <x:row r="6409">
      <x:c r="A6409" s="1" t="n">
        <x:v>50213</x:v>
      </x:c>
      <x:c r="B6409" s="5" t="d">
        <x:v>2017-01-02T00:00:00.000Z</x:v>
      </x:c>
      <x:c r="C6409" s="1" t="str">
        <x:v>Standard Class</x:v>
      </x:c>
      <x:c r="D6409" s="1" t="str">
        <x:v>Africa</x:v>
      </x:c>
      <x:c r="E6409" s="1" t="str">
        <x:v>PENDING_PAYMENT</x:v>
      </x:c>
      <x:c r="F6409" s="1" t="str">
        <x:v>Shipping on time</x:v>
      </x:c>
      <x:c r="G6409" s="6" t="n">
        <x:v>4</x:v>
      </x:c>
      <x:c r="H6409" s="6" t="n">
        <x:v>4</x:v>
      </x:c>
      <x:c r="I6409" s="6" t="n">
        <x:f>G6409-H6409</x:f>
        <x:v>0</x:v>
      </x:c>
      <x:c r="J6409" s="6" t="n">
        <x:f>IF(OR(E6409="CANCELED",E6409="SUSPECTED_FRAUD",F6409="Shipping canceled"),0,1)</x:f>
        <x:v>1</x:v>
      </x:c>
      <x:c r="K6409" s="6" t="n">
        <x:f>IF(G6409&gt;H6409,1,0)</x:f>
        <x:v>0</x:v>
      </x:c>
      <x:c r="L6409" s="6" t="n">
        <x:f>J6409*K6409</x:f>
        <x:v>0</x:v>
      </x:c>
    </x:row>
    <x:row r="6410">
      <x:c r="A6410" s="1" t="n">
        <x:v>50226</x:v>
      </x:c>
      <x:c r="B6410" s="5" t="d">
        <x:v>2017-01-03T00:00:00.000Z</x:v>
      </x:c>
      <x:c r="C6410" s="1" t="str">
        <x:v>Standard Class</x:v>
      </x:c>
      <x:c r="D6410" s="1" t="str">
        <x:v>Pacific Asia</x:v>
      </x:c>
      <x:c r="E6410" s="1" t="str">
        <x:v>PENDING</x:v>
      </x:c>
      <x:c r="F6410" s="1" t="str">
        <x:v>Advance shipping</x:v>
      </x:c>
      <x:c r="G6410" s="6" t="n">
        <x:v>2</x:v>
      </x:c>
      <x:c r="H6410" s="6" t="n">
        <x:v>4</x:v>
      </x:c>
      <x:c r="I6410" s="6" t="n">
        <x:f>G6410-H6410</x:f>
        <x:v>-2</x:v>
      </x:c>
      <x:c r="J6410" s="6" t="n">
        <x:f>IF(OR(E6410="CANCELED",E6410="SUSPECTED_FRAUD",F6410="Shipping canceled"),0,1)</x:f>
        <x:v>1</x:v>
      </x:c>
      <x:c r="K6410" s="6" t="n">
        <x:f>IF(G6410&gt;H6410,1,0)</x:f>
        <x:v>0</x:v>
      </x:c>
      <x:c r="L6410" s="6" t="n">
        <x:f>J6410*K6410</x:f>
        <x:v>0</x:v>
      </x:c>
    </x:row>
    <x:row r="6411">
      <x:c r="A6411" s="1" t="n">
        <x:v>50236</x:v>
      </x:c>
      <x:c r="B6411" s="5" t="d">
        <x:v>2017-01-03T00:00:00.000Z</x:v>
      </x:c>
      <x:c r="C6411" s="1" t="str">
        <x:v>First Class</x:v>
      </x:c>
      <x:c r="D6411" s="1" t="str">
        <x:v>Africa</x:v>
      </x:c>
      <x:c r="E6411" s="1" t="str">
        <x:v>CLOSED</x:v>
      </x:c>
      <x:c r="F6411" s="1" t="str">
        <x:v>Late delivery</x:v>
      </x:c>
      <x:c r="G6411" s="6" t="n">
        <x:v>2</x:v>
      </x:c>
      <x:c r="H6411" s="6" t="n">
        <x:v>1</x:v>
      </x:c>
      <x:c r="I6411" s="6" t="n">
        <x:f>G6411-H6411</x:f>
        <x:v>1</x:v>
      </x:c>
      <x:c r="J6411" s="6" t="n">
        <x:f>IF(OR(E6411="CANCELED",E6411="SUSPECTED_FRAUD",F6411="Shipping canceled"),0,1)</x:f>
        <x:v>1</x:v>
      </x:c>
      <x:c r="K6411" s="6" t="n">
        <x:f>IF(G6411&gt;H6411,1,0)</x:f>
        <x:v>1</x:v>
      </x:c>
      <x:c r="L6411" s="6" t="n">
        <x:f>J6411*K6411</x:f>
        <x:v>1</x:v>
      </x:c>
    </x:row>
    <x:row r="6412">
      <x:c r="A6412" s="1" t="n">
        <x:v>50242</x:v>
      </x:c>
      <x:c r="B6412" s="5" t="d">
        <x:v>2017-01-03T00:00:00.000Z</x:v>
      </x:c>
      <x:c r="C6412" s="1" t="str">
        <x:v>Standard Class</x:v>
      </x:c>
      <x:c r="D6412" s="1" t="str">
        <x:v>Pacific Asia</x:v>
      </x:c>
      <x:c r="E6412" s="1" t="str">
        <x:v>ON_HOLD</x:v>
      </x:c>
      <x:c r="F6412" s="1" t="str">
        <x:v>Advance shipping</x:v>
      </x:c>
      <x:c r="G6412" s="6" t="n">
        <x:v>3</x:v>
      </x:c>
      <x:c r="H6412" s="6" t="n">
        <x:v>4</x:v>
      </x:c>
      <x:c r="I6412" s="6" t="n">
        <x:f>G6412-H6412</x:f>
        <x:v>-1</x:v>
      </x:c>
      <x:c r="J6412" s="6" t="n">
        <x:f>IF(OR(E6412="CANCELED",E6412="SUSPECTED_FRAUD",F6412="Shipping canceled"),0,1)</x:f>
        <x:v>1</x:v>
      </x:c>
      <x:c r="K6412" s="6" t="n">
        <x:f>IF(G6412&gt;H6412,1,0)</x:f>
        <x:v>0</x:v>
      </x:c>
      <x:c r="L6412" s="6" t="n">
        <x:f>J6412*K6412</x:f>
        <x:v>0</x:v>
      </x:c>
    </x:row>
    <x:row r="6413">
      <x:c r="A6413" s="1" t="n">
        <x:v>50255</x:v>
      </x:c>
      <x:c r="B6413" s="5" t="d">
        <x:v>2017-01-03T00:00:00.000Z</x:v>
      </x:c>
      <x:c r="C6413" s="1" t="str">
        <x:v>Standard Class</x:v>
      </x:c>
      <x:c r="D6413" s="1" t="str">
        <x:v>Pacific Asia</x:v>
      </x:c>
      <x:c r="E6413" s="1" t="str">
        <x:v>COMPLETE</x:v>
      </x:c>
      <x:c r="F6413" s="1" t="str">
        <x:v>Late delivery</x:v>
      </x:c>
      <x:c r="G6413" s="6" t="n">
        <x:v>6</x:v>
      </x:c>
      <x:c r="H6413" s="6" t="n">
        <x:v>4</x:v>
      </x:c>
      <x:c r="I6413" s="6" t="n">
        <x:f>G6413-H6413</x:f>
        <x:v>2</x:v>
      </x:c>
      <x:c r="J6413" s="6" t="n">
        <x:f>IF(OR(E6413="CANCELED",E6413="SUSPECTED_FRAUD",F6413="Shipping canceled"),0,1)</x:f>
        <x:v>1</x:v>
      </x:c>
      <x:c r="K6413" s="6" t="n">
        <x:f>IF(G6413&gt;H6413,1,0)</x:f>
        <x:v>1</x:v>
      </x:c>
      <x:c r="L6413" s="6" t="n">
        <x:f>J6413*K6413</x:f>
        <x:v>1</x:v>
      </x:c>
    </x:row>
    <x:row r="6414">
      <x:c r="A6414" s="1" t="n">
        <x:v>50270</x:v>
      </x:c>
      <x:c r="B6414" s="5" t="d">
        <x:v>2017-01-03T00:00:00.000Z</x:v>
      </x:c>
      <x:c r="C6414" s="1" t="str">
        <x:v>Standard Class</x:v>
      </x:c>
      <x:c r="D6414" s="1" t="str">
        <x:v>Pacific Asia</x:v>
      </x:c>
      <x:c r="E6414" s="1" t="str">
        <x:v>PENDING_PAYMENT</x:v>
      </x:c>
      <x:c r="F6414" s="1" t="str">
        <x:v>Late delivery</x:v>
      </x:c>
      <x:c r="G6414" s="6" t="n">
        <x:v>6</x:v>
      </x:c>
      <x:c r="H6414" s="6" t="n">
        <x:v>4</x:v>
      </x:c>
      <x:c r="I6414" s="6" t="n">
        <x:f>G6414-H6414</x:f>
        <x:v>2</x:v>
      </x:c>
      <x:c r="J6414" s="6" t="n">
        <x:f>IF(OR(E6414="CANCELED",E6414="SUSPECTED_FRAUD",F6414="Shipping canceled"),0,1)</x:f>
        <x:v>1</x:v>
      </x:c>
      <x:c r="K6414" s="6" t="n">
        <x:f>IF(G6414&gt;H6414,1,0)</x:f>
        <x:v>1</x:v>
      </x:c>
      <x:c r="L6414" s="6" t="n">
        <x:f>J6414*K6414</x:f>
        <x:v>1</x:v>
      </x:c>
    </x:row>
    <x:row r="6415">
      <x:c r="A6415" s="1" t="n">
        <x:v>50271</x:v>
      </x:c>
      <x:c r="B6415" s="5" t="d">
        <x:v>2017-01-03T00:00:00.000Z</x:v>
      </x:c>
      <x:c r="C6415" s="1" t="str">
        <x:v>Standard Class</x:v>
      </x:c>
      <x:c r="D6415" s="1" t="str">
        <x:v>Pacific Asia</x:v>
      </x:c>
      <x:c r="E6415" s="1" t="str">
        <x:v>COMPLETE</x:v>
      </x:c>
      <x:c r="F6415" s="1" t="str">
        <x:v>Advance shipping</x:v>
      </x:c>
      <x:c r="G6415" s="6" t="n">
        <x:v>2</x:v>
      </x:c>
      <x:c r="H6415" s="6" t="n">
        <x:v>4</x:v>
      </x:c>
      <x:c r="I6415" s="6" t="n">
        <x:f>G6415-H6415</x:f>
        <x:v>-2</x:v>
      </x:c>
      <x:c r="J6415" s="6" t="n">
        <x:f>IF(OR(E6415="CANCELED",E6415="SUSPECTED_FRAUD",F6415="Shipping canceled"),0,1)</x:f>
        <x:v>1</x:v>
      </x:c>
      <x:c r="K6415" s="6" t="n">
        <x:f>IF(G6415&gt;H6415,1,0)</x:f>
        <x:v>0</x:v>
      </x:c>
      <x:c r="L6415" s="6" t="n">
        <x:f>J6415*K6415</x:f>
        <x:v>0</x:v>
      </x:c>
    </x:row>
    <x:row r="6416">
      <x:c r="A6416" s="1" t="n">
        <x:v>50311</x:v>
      </x:c>
      <x:c r="B6416" s="5" t="d">
        <x:v>2017-01-04T00:00:00.000Z</x:v>
      </x:c>
      <x:c r="C6416" s="1" t="str">
        <x:v>Standard Class</x:v>
      </x:c>
      <x:c r="D6416" s="1" t="str">
        <x:v>Europe</x:v>
      </x:c>
      <x:c r="E6416" s="1" t="str">
        <x:v>CANCELED</x:v>
      </x:c>
      <x:c r="F6416" s="1" t="str">
        <x:v>Shipping canceled</x:v>
      </x:c>
      <x:c r="G6416" s="6" t="n">
        <x:v>2</x:v>
      </x:c>
      <x:c r="H6416" s="6" t="n">
        <x:v>4</x:v>
      </x:c>
      <x:c r="I6416" s="6" t="n">
        <x:f>G6416-H6416</x:f>
        <x:v>-2</x:v>
      </x:c>
      <x:c r="J6416" s="6" t="n">
        <x:f>IF(OR(E6416="CANCELED",E6416="SUSPECTED_FRAUD",F6416="Shipping canceled"),0,1)</x:f>
        <x:v>0</x:v>
      </x:c>
      <x:c r="K6416" s="6" t="n">
        <x:f>IF(G6416&gt;H6416,1,0)</x:f>
        <x:v>0</x:v>
      </x:c>
      <x:c r="L6416" s="6" t="n">
        <x:f>J6416*K6416</x:f>
        <x:v>0</x:v>
      </x:c>
    </x:row>
    <x:row r="6417">
      <x:c r="A6417" s="1" t="n">
        <x:v>50313</x:v>
      </x:c>
      <x:c r="B6417" s="5" t="d">
        <x:v>2017-01-04T00:00:00.000Z</x:v>
      </x:c>
      <x:c r="C6417" s="1" t="str">
        <x:v>Second Class</x:v>
      </x:c>
      <x:c r="D6417" s="1" t="str">
        <x:v>Europe</x:v>
      </x:c>
      <x:c r="E6417" s="1" t="str">
        <x:v>PENDING</x:v>
      </x:c>
      <x:c r="F6417" s="1" t="str">
        <x:v>Late delivery</x:v>
      </x:c>
      <x:c r="G6417" s="6" t="n">
        <x:v>4</x:v>
      </x:c>
      <x:c r="H6417" s="6" t="n">
        <x:v>2</x:v>
      </x:c>
      <x:c r="I6417" s="6" t="n">
        <x:f>G6417-H6417</x:f>
        <x:v>2</x:v>
      </x:c>
      <x:c r="J6417" s="6" t="n">
        <x:f>IF(OR(E6417="CANCELED",E6417="SUSPECTED_FRAUD",F6417="Shipping canceled"),0,1)</x:f>
        <x:v>1</x:v>
      </x:c>
      <x:c r="K6417" s="6" t="n">
        <x:f>IF(G6417&gt;H6417,1,0)</x:f>
        <x:v>1</x:v>
      </x:c>
      <x:c r="L6417" s="6" t="n">
        <x:f>J6417*K6417</x:f>
        <x:v>1</x:v>
      </x:c>
    </x:row>
    <x:row r="6418">
      <x:c r="A6418" s="1" t="n">
        <x:v>50319</x:v>
      </x:c>
      <x:c r="B6418" s="5" t="d">
        <x:v>2017-01-04T00:00:00.000Z</x:v>
      </x:c>
      <x:c r="C6418" s="1" t="str">
        <x:v>Standard Class</x:v>
      </x:c>
      <x:c r="D6418" s="1" t="str">
        <x:v>Pacific Asia</x:v>
      </x:c>
      <x:c r="E6418" s="1" t="str">
        <x:v>COMPLETE</x:v>
      </x:c>
      <x:c r="F6418" s="1" t="str">
        <x:v>Late delivery</x:v>
      </x:c>
      <x:c r="G6418" s="6" t="n">
        <x:v>5</x:v>
      </x:c>
      <x:c r="H6418" s="6" t="n">
        <x:v>4</x:v>
      </x:c>
      <x:c r="I6418" s="6" t="n">
        <x:f>G6418-H6418</x:f>
        <x:v>1</x:v>
      </x:c>
      <x:c r="J6418" s="6" t="n">
        <x:f>IF(OR(E6418="CANCELED",E6418="SUSPECTED_FRAUD",F6418="Shipping canceled"),0,1)</x:f>
        <x:v>1</x:v>
      </x:c>
      <x:c r="K6418" s="6" t="n">
        <x:f>IF(G6418&gt;H6418,1,0)</x:f>
        <x:v>1</x:v>
      </x:c>
      <x:c r="L6418" s="6" t="n">
        <x:f>J6418*K6418</x:f>
        <x:v>1</x:v>
      </x:c>
    </x:row>
    <x:row r="6419">
      <x:c r="A6419" s="1" t="n">
        <x:v>50337</x:v>
      </x:c>
      <x:c r="B6419" s="5" t="d">
        <x:v>2017-01-04T00:00:00.000Z</x:v>
      </x:c>
      <x:c r="C6419" s="1" t="str">
        <x:v>Standard Class</x:v>
      </x:c>
      <x:c r="D6419" s="1" t="str">
        <x:v>Africa</x:v>
      </x:c>
      <x:c r="E6419" s="1" t="str">
        <x:v>COMPLETE</x:v>
      </x:c>
      <x:c r="F6419" s="1" t="str">
        <x:v>Advance shipping</x:v>
      </x:c>
      <x:c r="G6419" s="6" t="n">
        <x:v>3</x:v>
      </x:c>
      <x:c r="H6419" s="6" t="n">
        <x:v>4</x:v>
      </x:c>
      <x:c r="I6419" s="6" t="n">
        <x:f>G6419-H6419</x:f>
        <x:v>-1</x:v>
      </x:c>
      <x:c r="J6419" s="6" t="n">
        <x:f>IF(OR(E6419="CANCELED",E6419="SUSPECTED_FRAUD",F6419="Shipping canceled"),0,1)</x:f>
        <x:v>1</x:v>
      </x:c>
      <x:c r="K6419" s="6" t="n">
        <x:f>IF(G6419&gt;H6419,1,0)</x:f>
        <x:v>0</x:v>
      </x:c>
      <x:c r="L6419" s="6" t="n">
        <x:f>J6419*K6419</x:f>
        <x:v>0</x:v>
      </x:c>
    </x:row>
    <x:row r="6420">
      <x:c r="A6420" s="1" t="n">
        <x:v>50340</x:v>
      </x:c>
      <x:c r="B6420" s="5" t="d">
        <x:v>2017-01-04T00:00:00.000Z</x:v>
      </x:c>
      <x:c r="C6420" s="1" t="str">
        <x:v>Standard Class</x:v>
      </x:c>
      <x:c r="D6420" s="1" t="str">
        <x:v>Europe</x:v>
      </x:c>
      <x:c r="E6420" s="1" t="str">
        <x:v>COMPLETE</x:v>
      </x:c>
      <x:c r="F6420" s="1" t="str">
        <x:v>Late delivery</x:v>
      </x:c>
      <x:c r="G6420" s="6" t="n">
        <x:v>6</x:v>
      </x:c>
      <x:c r="H6420" s="6" t="n">
        <x:v>4</x:v>
      </x:c>
      <x:c r="I6420" s="6" t="n">
        <x:f>G6420-H6420</x:f>
        <x:v>2</x:v>
      </x:c>
      <x:c r="J6420" s="6" t="n">
        <x:f>IF(OR(E6420="CANCELED",E6420="SUSPECTED_FRAUD",F6420="Shipping canceled"),0,1)</x:f>
        <x:v>1</x:v>
      </x:c>
      <x:c r="K6420" s="6" t="n">
        <x:f>IF(G6420&gt;H6420,1,0)</x:f>
        <x:v>1</x:v>
      </x:c>
      <x:c r="L6420" s="6" t="n">
        <x:f>J6420*K6420</x:f>
        <x:v>1</x:v>
      </x:c>
    </x:row>
    <x:row r="6421">
      <x:c r="A6421" s="1" t="n">
        <x:v>50355</x:v>
      </x:c>
      <x:c r="B6421" s="5" t="d">
        <x:v>2017-01-05T00:00:00.000Z</x:v>
      </x:c>
      <x:c r="C6421" s="1" t="str">
        <x:v>Second Class</x:v>
      </x:c>
      <x:c r="D6421" s="1" t="str">
        <x:v>Europe</x:v>
      </x:c>
      <x:c r="E6421" s="1" t="str">
        <x:v>CLOSED</x:v>
      </x:c>
      <x:c r="F6421" s="1" t="str">
        <x:v>Late delivery</x:v>
      </x:c>
      <x:c r="G6421" s="6" t="n">
        <x:v>6</x:v>
      </x:c>
      <x:c r="H6421" s="6" t="n">
        <x:v>2</x:v>
      </x:c>
      <x:c r="I6421" s="6" t="n">
        <x:f>G6421-H6421</x:f>
        <x:v>4</x:v>
      </x:c>
      <x:c r="J6421" s="6" t="n">
        <x:f>IF(OR(E6421="CANCELED",E6421="SUSPECTED_FRAUD",F6421="Shipping canceled"),0,1)</x:f>
        <x:v>1</x:v>
      </x:c>
      <x:c r="K6421" s="6" t="n">
        <x:f>IF(G6421&gt;H6421,1,0)</x:f>
        <x:v>1</x:v>
      </x:c>
      <x:c r="L6421" s="6" t="n">
        <x:f>J6421*K6421</x:f>
        <x:v>1</x:v>
      </x:c>
    </x:row>
    <x:row r="6422">
      <x:c r="A6422" s="1" t="n">
        <x:v>50356</x:v>
      </x:c>
      <x:c r="B6422" s="5" t="d">
        <x:v>2017-01-05T00:00:00.000Z</x:v>
      </x:c>
      <x:c r="C6422" s="1" t="str">
        <x:v>Standard Class</x:v>
      </x:c>
      <x:c r="D6422" s="1" t="str">
        <x:v>Europe</x:v>
      </x:c>
      <x:c r="E6422" s="1" t="str">
        <x:v>CANCELED</x:v>
      </x:c>
      <x:c r="F6422" s="1" t="str">
        <x:v>Shipping canceled</x:v>
      </x:c>
      <x:c r="G6422" s="6" t="n">
        <x:v>2</x:v>
      </x:c>
      <x:c r="H6422" s="6" t="n">
        <x:v>4</x:v>
      </x:c>
      <x:c r="I6422" s="6" t="n">
        <x:f>G6422-H6422</x:f>
        <x:v>-2</x:v>
      </x:c>
      <x:c r="J6422" s="6" t="n">
        <x:f>IF(OR(E6422="CANCELED",E6422="SUSPECTED_FRAUD",F6422="Shipping canceled"),0,1)</x:f>
        <x:v>0</x:v>
      </x:c>
      <x:c r="K6422" s="6" t="n">
        <x:f>IF(G6422&gt;H6422,1,0)</x:f>
        <x:v>0</x:v>
      </x:c>
      <x:c r="L6422" s="6" t="n">
        <x:f>J6422*K6422</x:f>
        <x:v>0</x:v>
      </x:c>
    </x:row>
    <x:row r="6423">
      <x:c r="A6423" s="1" t="n">
        <x:v>50364</x:v>
      </x:c>
      <x:c r="B6423" s="5" t="d">
        <x:v>2017-01-05T00:00:00.000Z</x:v>
      </x:c>
      <x:c r="C6423" s="1" t="str">
        <x:v>Standard Class</x:v>
      </x:c>
      <x:c r="D6423" s="1" t="str">
        <x:v>Africa</x:v>
      </x:c>
      <x:c r="E6423" s="1" t="str">
        <x:v>PENDING_PAYMENT</x:v>
      </x:c>
      <x:c r="F6423" s="1" t="str">
        <x:v>Late delivery</x:v>
      </x:c>
      <x:c r="G6423" s="6" t="n">
        <x:v>5</x:v>
      </x:c>
      <x:c r="H6423" s="6" t="n">
        <x:v>4</x:v>
      </x:c>
      <x:c r="I6423" s="6" t="n">
        <x:f>G6423-H6423</x:f>
        <x:v>1</x:v>
      </x:c>
      <x:c r="J6423" s="6" t="n">
        <x:f>IF(OR(E6423="CANCELED",E6423="SUSPECTED_FRAUD",F6423="Shipping canceled"),0,1)</x:f>
        <x:v>1</x:v>
      </x:c>
      <x:c r="K6423" s="6" t="n">
        <x:f>IF(G6423&gt;H6423,1,0)</x:f>
        <x:v>1</x:v>
      </x:c>
      <x:c r="L6423" s="6" t="n">
        <x:f>J6423*K6423</x:f>
        <x:v>1</x:v>
      </x:c>
    </x:row>
    <x:row r="6424">
      <x:c r="A6424" s="1" t="n">
        <x:v>50365</x:v>
      </x:c>
      <x:c r="B6424" s="5" t="d">
        <x:v>2017-01-05T00:00:00.000Z</x:v>
      </x:c>
      <x:c r="C6424" s="1" t="str">
        <x:v>Standard Class</x:v>
      </x:c>
      <x:c r="D6424" s="1" t="str">
        <x:v>Africa</x:v>
      </x:c>
      <x:c r="E6424" s="1" t="str">
        <x:v>PENDING</x:v>
      </x:c>
      <x:c r="F6424" s="1" t="str">
        <x:v>Late delivery</x:v>
      </x:c>
      <x:c r="G6424" s="6" t="n">
        <x:v>6</x:v>
      </x:c>
      <x:c r="H6424" s="6" t="n">
        <x:v>4</x:v>
      </x:c>
      <x:c r="I6424" s="6" t="n">
        <x:f>G6424-H6424</x:f>
        <x:v>2</x:v>
      </x:c>
      <x:c r="J6424" s="6" t="n">
        <x:f>IF(OR(E6424="CANCELED",E6424="SUSPECTED_FRAUD",F6424="Shipping canceled"),0,1)</x:f>
        <x:v>1</x:v>
      </x:c>
      <x:c r="K6424" s="6" t="n">
        <x:f>IF(G6424&gt;H6424,1,0)</x:f>
        <x:v>1</x:v>
      </x:c>
      <x:c r="L6424" s="6" t="n">
        <x:f>J6424*K6424</x:f>
        <x:v>1</x:v>
      </x:c>
    </x:row>
    <x:row r="6425">
      <x:c r="A6425" s="1" t="n">
        <x:v>50377</x:v>
      </x:c>
      <x:c r="B6425" s="5" t="d">
        <x:v>2017-01-05T00:00:00.000Z</x:v>
      </x:c>
      <x:c r="C6425" s="1" t="str">
        <x:v>Standard Class</x:v>
      </x:c>
      <x:c r="D6425" s="1" t="str">
        <x:v>Pacific Asia</x:v>
      </x:c>
      <x:c r="E6425" s="1" t="str">
        <x:v>COMPLETE</x:v>
      </x:c>
      <x:c r="F6425" s="1" t="str">
        <x:v>Advance shipping</x:v>
      </x:c>
      <x:c r="G6425" s="6" t="n">
        <x:v>3</x:v>
      </x:c>
      <x:c r="H6425" s="6" t="n">
        <x:v>4</x:v>
      </x:c>
      <x:c r="I6425" s="6" t="n">
        <x:f>G6425-H6425</x:f>
        <x:v>-1</x:v>
      </x:c>
      <x:c r="J6425" s="6" t="n">
        <x:f>IF(OR(E6425="CANCELED",E6425="SUSPECTED_FRAUD",F6425="Shipping canceled"),0,1)</x:f>
        <x:v>1</x:v>
      </x:c>
      <x:c r="K6425" s="6" t="n">
        <x:f>IF(G6425&gt;H6425,1,0)</x:f>
        <x:v>0</x:v>
      </x:c>
      <x:c r="L6425" s="6" t="n">
        <x:f>J6425*K6425</x:f>
        <x:v>0</x:v>
      </x:c>
    </x:row>
    <x:row r="6426">
      <x:c r="A6426" s="1" t="n">
        <x:v>50382</x:v>
      </x:c>
      <x:c r="B6426" s="5" t="d">
        <x:v>2017-01-05T00:00:00.000Z</x:v>
      </x:c>
      <x:c r="C6426" s="1" t="str">
        <x:v>Standard Class</x:v>
      </x:c>
      <x:c r="D6426" s="1" t="str">
        <x:v>Pacific Asia</x:v>
      </x:c>
      <x:c r="E6426" s="1" t="str">
        <x:v>PROCESSING</x:v>
      </x:c>
      <x:c r="F6426" s="1" t="str">
        <x:v>Advance shipping</x:v>
      </x:c>
      <x:c r="G6426" s="6" t="n">
        <x:v>3</x:v>
      </x:c>
      <x:c r="H6426" s="6" t="n">
        <x:v>4</x:v>
      </x:c>
      <x:c r="I6426" s="6" t="n">
        <x:f>G6426-H6426</x:f>
        <x:v>-1</x:v>
      </x:c>
      <x:c r="J6426" s="6" t="n">
        <x:f>IF(OR(E6426="CANCELED",E6426="SUSPECTED_FRAUD",F6426="Shipping canceled"),0,1)</x:f>
        <x:v>1</x:v>
      </x:c>
      <x:c r="K6426" s="6" t="n">
        <x:f>IF(G6426&gt;H6426,1,0)</x:f>
        <x:v>0</x:v>
      </x:c>
      <x:c r="L6426" s="6" t="n">
        <x:f>J6426*K6426</x:f>
        <x:v>0</x:v>
      </x:c>
    </x:row>
    <x:row r="6427">
      <x:c r="A6427" s="1" t="n">
        <x:v>50392</x:v>
      </x:c>
      <x:c r="B6427" s="5" t="d">
        <x:v>2017-01-05T00:00:00.000Z</x:v>
      </x:c>
      <x:c r="C6427" s="1" t="str">
        <x:v>Standard Class</x:v>
      </x:c>
      <x:c r="D6427" s="1" t="str">
        <x:v>Africa</x:v>
      </x:c>
      <x:c r="E6427" s="1" t="str">
        <x:v>PENDING_PAYMENT</x:v>
      </x:c>
      <x:c r="F6427" s="1" t="str">
        <x:v>Advance shipping</x:v>
      </x:c>
      <x:c r="G6427" s="6" t="n">
        <x:v>3</x:v>
      </x:c>
      <x:c r="H6427" s="6" t="n">
        <x:v>4</x:v>
      </x:c>
      <x:c r="I6427" s="6" t="n">
        <x:f>G6427-H6427</x:f>
        <x:v>-1</x:v>
      </x:c>
      <x:c r="J6427" s="6" t="n">
        <x:f>IF(OR(E6427="CANCELED",E6427="SUSPECTED_FRAUD",F6427="Shipping canceled"),0,1)</x:f>
        <x:v>1</x:v>
      </x:c>
      <x:c r="K6427" s="6" t="n">
        <x:f>IF(G6427&gt;H6427,1,0)</x:f>
        <x:v>0</x:v>
      </x:c>
      <x:c r="L6427" s="6" t="n">
        <x:f>J6427*K6427</x:f>
        <x:v>0</x:v>
      </x:c>
    </x:row>
    <x:row r="6428">
      <x:c r="A6428" s="1" t="n">
        <x:v>50395</x:v>
      </x:c>
      <x:c r="B6428" s="5" t="d">
        <x:v>2017-01-05T00:00:00.000Z</x:v>
      </x:c>
      <x:c r="C6428" s="1" t="str">
        <x:v>First Class</x:v>
      </x:c>
      <x:c r="D6428" s="1" t="str">
        <x:v>Africa</x:v>
      </x:c>
      <x:c r="E6428" s="1" t="str">
        <x:v>CLOSED</x:v>
      </x:c>
      <x:c r="F6428" s="1" t="str">
        <x:v>Late delivery</x:v>
      </x:c>
      <x:c r="G6428" s="6" t="n">
        <x:v>2</x:v>
      </x:c>
      <x:c r="H6428" s="6" t="n">
        <x:v>1</x:v>
      </x:c>
      <x:c r="I6428" s="6" t="n">
        <x:f>G6428-H6428</x:f>
        <x:v>1</x:v>
      </x:c>
      <x:c r="J6428" s="6" t="n">
        <x:f>IF(OR(E6428="CANCELED",E6428="SUSPECTED_FRAUD",F6428="Shipping canceled"),0,1)</x:f>
        <x:v>1</x:v>
      </x:c>
      <x:c r="K6428" s="6" t="n">
        <x:f>IF(G6428&gt;H6428,1,0)</x:f>
        <x:v>1</x:v>
      </x:c>
      <x:c r="L6428" s="6" t="n">
        <x:f>J6428*K6428</x:f>
        <x:v>1</x:v>
      </x:c>
    </x:row>
    <x:row r="6429">
      <x:c r="A6429" s="1" t="n">
        <x:v>50406</x:v>
      </x:c>
      <x:c r="B6429" s="5" t="d">
        <x:v>2017-01-05T00:00:00.000Z</x:v>
      </x:c>
      <x:c r="C6429" s="1" t="str">
        <x:v>Standard Class</x:v>
      </x:c>
      <x:c r="D6429" s="1" t="str">
        <x:v>Pacific Asia</x:v>
      </x:c>
      <x:c r="E6429" s="1" t="str">
        <x:v>COMPLETE</x:v>
      </x:c>
      <x:c r="F6429" s="1" t="str">
        <x:v>Advance shipping</x:v>
      </x:c>
      <x:c r="G6429" s="6" t="n">
        <x:v>2</x:v>
      </x:c>
      <x:c r="H6429" s="6" t="n">
        <x:v>4</x:v>
      </x:c>
      <x:c r="I6429" s="6" t="n">
        <x:f>G6429-H6429</x:f>
        <x:v>-2</x:v>
      </x:c>
      <x:c r="J6429" s="6" t="n">
        <x:f>IF(OR(E6429="CANCELED",E6429="SUSPECTED_FRAUD",F6429="Shipping canceled"),0,1)</x:f>
        <x:v>1</x:v>
      </x:c>
      <x:c r="K6429" s="6" t="n">
        <x:f>IF(G6429&gt;H6429,1,0)</x:f>
        <x:v>0</x:v>
      </x:c>
      <x:c r="L6429" s="6" t="n">
        <x:f>J6429*K6429</x:f>
        <x:v>0</x:v>
      </x:c>
    </x:row>
    <x:row r="6430">
      <x:c r="A6430" s="1" t="n">
        <x:v>50410</x:v>
      </x:c>
      <x:c r="B6430" s="5" t="d">
        <x:v>2017-01-05T00:00:00.000Z</x:v>
      </x:c>
      <x:c r="C6430" s="1" t="str">
        <x:v>Standard Class</x:v>
      </x:c>
      <x:c r="D6430" s="1" t="str">
        <x:v>Europe</x:v>
      </x:c>
      <x:c r="E6430" s="1" t="str">
        <x:v>COMPLETE</x:v>
      </x:c>
      <x:c r="F6430" s="1" t="str">
        <x:v>Late delivery</x:v>
      </x:c>
      <x:c r="G6430" s="6" t="n">
        <x:v>6</x:v>
      </x:c>
      <x:c r="H6430" s="6" t="n">
        <x:v>4</x:v>
      </x:c>
      <x:c r="I6430" s="6" t="n">
        <x:f>G6430-H6430</x:f>
        <x:v>2</x:v>
      </x:c>
      <x:c r="J6430" s="6" t="n">
        <x:f>IF(OR(E6430="CANCELED",E6430="SUSPECTED_FRAUD",F6430="Shipping canceled"),0,1)</x:f>
        <x:v>1</x:v>
      </x:c>
      <x:c r="K6430" s="6" t="n">
        <x:f>IF(G6430&gt;H6430,1,0)</x:f>
        <x:v>1</x:v>
      </x:c>
      <x:c r="L6430" s="6" t="n">
        <x:f>J6430*K6430</x:f>
        <x:v>1</x:v>
      </x:c>
    </x:row>
    <x:row r="6431">
      <x:c r="A6431" s="1" t="n">
        <x:v>50419</x:v>
      </x:c>
      <x:c r="B6431" s="5" t="d">
        <x:v>2017-01-05T00:00:00.000Z</x:v>
      </x:c>
      <x:c r="C6431" s="1" t="str">
        <x:v>Standard Class</x:v>
      </x:c>
      <x:c r="D6431" s="1" t="str">
        <x:v>Africa</x:v>
      </x:c>
      <x:c r="E6431" s="1" t="str">
        <x:v>PENDING_PAYMENT</x:v>
      </x:c>
      <x:c r="F6431" s="1" t="str">
        <x:v>Late delivery</x:v>
      </x:c>
      <x:c r="G6431" s="6" t="n">
        <x:v>5</x:v>
      </x:c>
      <x:c r="H6431" s="6" t="n">
        <x:v>4</x:v>
      </x:c>
      <x:c r="I6431" s="6" t="n">
        <x:f>G6431-H6431</x:f>
        <x:v>1</x:v>
      </x:c>
      <x:c r="J6431" s="6" t="n">
        <x:f>IF(OR(E6431="CANCELED",E6431="SUSPECTED_FRAUD",F6431="Shipping canceled"),0,1)</x:f>
        <x:v>1</x:v>
      </x:c>
      <x:c r="K6431" s="6" t="n">
        <x:f>IF(G6431&gt;H6431,1,0)</x:f>
        <x:v>1</x:v>
      </x:c>
      <x:c r="L6431" s="6" t="n">
        <x:f>J6431*K6431</x:f>
        <x:v>1</x:v>
      </x:c>
    </x:row>
    <x:row r="6432">
      <x:c r="A6432" s="1" t="n">
        <x:v>50424</x:v>
      </x:c>
      <x:c r="B6432" s="5" t="d">
        <x:v>2017-01-06T00:00:00.000Z</x:v>
      </x:c>
      <x:c r="C6432" s="1" t="str">
        <x:v>Standard Class</x:v>
      </x:c>
      <x:c r="D6432" s="1" t="str">
        <x:v>Africa</x:v>
      </x:c>
      <x:c r="E6432" s="1" t="str">
        <x:v>PENDING</x:v>
      </x:c>
      <x:c r="F6432" s="1" t="str">
        <x:v>Late delivery</x:v>
      </x:c>
      <x:c r="G6432" s="6" t="n">
        <x:v>5</x:v>
      </x:c>
      <x:c r="H6432" s="6" t="n">
        <x:v>4</x:v>
      </x:c>
      <x:c r="I6432" s="6" t="n">
        <x:f>G6432-H6432</x:f>
        <x:v>1</x:v>
      </x:c>
      <x:c r="J6432" s="6" t="n">
        <x:f>IF(OR(E6432="CANCELED",E6432="SUSPECTED_FRAUD",F6432="Shipping canceled"),0,1)</x:f>
        <x:v>1</x:v>
      </x:c>
      <x:c r="K6432" s="6" t="n">
        <x:f>IF(G6432&gt;H6432,1,0)</x:f>
        <x:v>1</x:v>
      </x:c>
      <x:c r="L6432" s="6" t="n">
        <x:f>J6432*K6432</x:f>
        <x:v>1</x:v>
      </x:c>
    </x:row>
    <x:row r="6433">
      <x:c r="A6433" s="1" t="n">
        <x:v>50426</x:v>
      </x:c>
      <x:c r="B6433" s="5" t="d">
        <x:v>2017-01-06T00:00:00.000Z</x:v>
      </x:c>
      <x:c r="C6433" s="1" t="str">
        <x:v>Standard Class</x:v>
      </x:c>
      <x:c r="D6433" s="1" t="str">
        <x:v>Africa</x:v>
      </x:c>
      <x:c r="E6433" s="1" t="str">
        <x:v>PROCESSING</x:v>
      </x:c>
      <x:c r="F6433" s="1" t="str">
        <x:v>Advance shipping</x:v>
      </x:c>
      <x:c r="G6433" s="6" t="n">
        <x:v>2</x:v>
      </x:c>
      <x:c r="H6433" s="6" t="n">
        <x:v>4</x:v>
      </x:c>
      <x:c r="I6433" s="6" t="n">
        <x:f>G6433-H6433</x:f>
        <x:v>-2</x:v>
      </x:c>
      <x:c r="J6433" s="6" t="n">
        <x:f>IF(OR(E6433="CANCELED",E6433="SUSPECTED_FRAUD",F6433="Shipping canceled"),0,1)</x:f>
        <x:v>1</x:v>
      </x:c>
      <x:c r="K6433" s="6" t="n">
        <x:f>IF(G6433&gt;H6433,1,0)</x:f>
        <x:v>0</x:v>
      </x:c>
      <x:c r="L6433" s="6" t="n">
        <x:f>J6433*K6433</x:f>
        <x:v>0</x:v>
      </x:c>
    </x:row>
    <x:row r="6434">
      <x:c r="A6434" s="1" t="n">
        <x:v>50437</x:v>
      </x:c>
      <x:c r="B6434" s="5" t="d">
        <x:v>2017-01-06T00:00:00.000Z</x:v>
      </x:c>
      <x:c r="C6434" s="1" t="str">
        <x:v>Standard Class</x:v>
      </x:c>
      <x:c r="D6434" s="1" t="str">
        <x:v>Africa</x:v>
      </x:c>
      <x:c r="E6434" s="1" t="str">
        <x:v>PENDING</x:v>
      </x:c>
      <x:c r="F6434" s="1" t="str">
        <x:v>Advance shipping</x:v>
      </x:c>
      <x:c r="G6434" s="6" t="n">
        <x:v>3</x:v>
      </x:c>
      <x:c r="H6434" s="6" t="n">
        <x:v>4</x:v>
      </x:c>
      <x:c r="I6434" s="6" t="n">
        <x:f>G6434-H6434</x:f>
        <x:v>-1</x:v>
      </x:c>
      <x:c r="J6434" s="6" t="n">
        <x:f>IF(OR(E6434="CANCELED",E6434="SUSPECTED_FRAUD",F6434="Shipping canceled"),0,1)</x:f>
        <x:v>1</x:v>
      </x:c>
      <x:c r="K6434" s="6" t="n">
        <x:f>IF(G6434&gt;H6434,1,0)</x:f>
        <x:v>0</x:v>
      </x:c>
      <x:c r="L6434" s="6" t="n">
        <x:f>J6434*K6434</x:f>
        <x:v>0</x:v>
      </x:c>
    </x:row>
    <x:row r="6435">
      <x:c r="A6435" s="1" t="n">
        <x:v>50439</x:v>
      </x:c>
      <x:c r="B6435" s="5" t="d">
        <x:v>2017-01-06T00:00:00.000Z</x:v>
      </x:c>
      <x:c r="C6435" s="1" t="str">
        <x:v>First Class</x:v>
      </x:c>
      <x:c r="D6435" s="1" t="str">
        <x:v>Pacific Asia</x:v>
      </x:c>
      <x:c r="E6435" s="1" t="str">
        <x:v>PROCESSING</x:v>
      </x:c>
      <x:c r="F6435" s="1" t="str">
        <x:v>Late delivery</x:v>
      </x:c>
      <x:c r="G6435" s="6" t="n">
        <x:v>2</x:v>
      </x:c>
      <x:c r="H6435" s="6" t="n">
        <x:v>1</x:v>
      </x:c>
      <x:c r="I6435" s="6" t="n">
        <x:f>G6435-H6435</x:f>
        <x:v>1</x:v>
      </x:c>
      <x:c r="J6435" s="6" t="n">
        <x:f>IF(OR(E6435="CANCELED",E6435="SUSPECTED_FRAUD",F6435="Shipping canceled"),0,1)</x:f>
        <x:v>1</x:v>
      </x:c>
      <x:c r="K6435" s="6" t="n">
        <x:f>IF(G6435&gt;H6435,1,0)</x:f>
        <x:v>1</x:v>
      </x:c>
      <x:c r="L6435" s="6" t="n">
        <x:f>J6435*K6435</x:f>
        <x:v>1</x:v>
      </x:c>
    </x:row>
    <x:row r="6436">
      <x:c r="A6436" s="1" t="n">
        <x:v>50466</x:v>
      </x:c>
      <x:c r="B6436" s="5" t="d">
        <x:v>2017-01-06T00:00:00.000Z</x:v>
      </x:c>
      <x:c r="C6436" s="1" t="str">
        <x:v>Standard Class</x:v>
      </x:c>
      <x:c r="D6436" s="1" t="str">
        <x:v>Pacific Asia</x:v>
      </x:c>
      <x:c r="E6436" s="1" t="str">
        <x:v>COMPLETE</x:v>
      </x:c>
      <x:c r="F6436" s="1" t="str">
        <x:v>Advance shipping</x:v>
      </x:c>
      <x:c r="G6436" s="6" t="n">
        <x:v>2</x:v>
      </x:c>
      <x:c r="H6436" s="6" t="n">
        <x:v>4</x:v>
      </x:c>
      <x:c r="I6436" s="6" t="n">
        <x:f>G6436-H6436</x:f>
        <x:v>-2</x:v>
      </x:c>
      <x:c r="J6436" s="6" t="n">
        <x:f>IF(OR(E6436="CANCELED",E6436="SUSPECTED_FRAUD",F6436="Shipping canceled"),0,1)</x:f>
        <x:v>1</x:v>
      </x:c>
      <x:c r="K6436" s="6" t="n">
        <x:f>IF(G6436&gt;H6436,1,0)</x:f>
        <x:v>0</x:v>
      </x:c>
      <x:c r="L6436" s="6" t="n">
        <x:f>J6436*K6436</x:f>
        <x:v>0</x:v>
      </x:c>
    </x:row>
    <x:row r="6437">
      <x:c r="A6437" s="1" t="n">
        <x:v>50472</x:v>
      </x:c>
      <x:c r="B6437" s="5" t="d">
        <x:v>2017-01-06T00:00:00.000Z</x:v>
      </x:c>
      <x:c r="C6437" s="1" t="str">
        <x:v>Standard Class</x:v>
      </x:c>
      <x:c r="D6437" s="1" t="str">
        <x:v>Africa</x:v>
      </x:c>
      <x:c r="E6437" s="1" t="str">
        <x:v>ON_HOLD</x:v>
      </x:c>
      <x:c r="F6437" s="1" t="str">
        <x:v>Advance shipping</x:v>
      </x:c>
      <x:c r="G6437" s="6" t="n">
        <x:v>3</x:v>
      </x:c>
      <x:c r="H6437" s="6" t="n">
        <x:v>4</x:v>
      </x:c>
      <x:c r="I6437" s="6" t="n">
        <x:f>G6437-H6437</x:f>
        <x:v>-1</x:v>
      </x:c>
      <x:c r="J6437" s="6" t="n">
        <x:f>IF(OR(E6437="CANCELED",E6437="SUSPECTED_FRAUD",F6437="Shipping canceled"),0,1)</x:f>
        <x:v>1</x:v>
      </x:c>
      <x:c r="K6437" s="6" t="n">
        <x:f>IF(G6437&gt;H6437,1,0)</x:f>
        <x:v>0</x:v>
      </x:c>
      <x:c r="L6437" s="6" t="n">
        <x:f>J6437*K6437</x:f>
        <x:v>0</x:v>
      </x:c>
    </x:row>
    <x:row r="6438">
      <x:c r="A6438" s="1" t="n">
        <x:v>50474</x:v>
      </x:c>
      <x:c r="B6438" s="5" t="d">
        <x:v>2017-01-06T00:00:00.000Z</x:v>
      </x:c>
      <x:c r="C6438" s="1" t="str">
        <x:v>Standard Class</x:v>
      </x:c>
      <x:c r="D6438" s="1" t="str">
        <x:v>Pacific Asia</x:v>
      </x:c>
      <x:c r="E6438" s="1" t="str">
        <x:v>PENDING</x:v>
      </x:c>
      <x:c r="F6438" s="1" t="str">
        <x:v>Late delivery</x:v>
      </x:c>
      <x:c r="G6438" s="6" t="n">
        <x:v>5</x:v>
      </x:c>
      <x:c r="H6438" s="6" t="n">
        <x:v>4</x:v>
      </x:c>
      <x:c r="I6438" s="6" t="n">
        <x:f>G6438-H6438</x:f>
        <x:v>1</x:v>
      </x:c>
      <x:c r="J6438" s="6" t="n">
        <x:f>IF(OR(E6438="CANCELED",E6438="SUSPECTED_FRAUD",F6438="Shipping canceled"),0,1)</x:f>
        <x:v>1</x:v>
      </x:c>
      <x:c r="K6438" s="6" t="n">
        <x:f>IF(G6438&gt;H6438,1,0)</x:f>
        <x:v>1</x:v>
      </x:c>
      <x:c r="L6438" s="6" t="n">
        <x:f>J6438*K6438</x:f>
        <x:v>1</x:v>
      </x:c>
    </x:row>
    <x:row r="6439">
      <x:c r="A6439" s="1" t="n">
        <x:v>50480</x:v>
      </x:c>
      <x:c r="B6439" s="5" t="d">
        <x:v>2017-01-06T00:00:00.000Z</x:v>
      </x:c>
      <x:c r="C6439" s="1" t="str">
        <x:v>Standard Class</x:v>
      </x:c>
      <x:c r="D6439" s="1" t="str">
        <x:v>USCA</x:v>
      </x:c>
      <x:c r="E6439" s="1" t="str">
        <x:v>COMPLETE</x:v>
      </x:c>
      <x:c r="F6439" s="1" t="str">
        <x:v>Late delivery</x:v>
      </x:c>
      <x:c r="G6439" s="6" t="n">
        <x:v>6</x:v>
      </x:c>
      <x:c r="H6439" s="6" t="n">
        <x:v>4</x:v>
      </x:c>
      <x:c r="I6439" s="6" t="n">
        <x:f>G6439-H6439</x:f>
        <x:v>2</x:v>
      </x:c>
      <x:c r="J6439" s="6" t="n">
        <x:f>IF(OR(E6439="CANCELED",E6439="SUSPECTED_FRAUD",F6439="Shipping canceled"),0,1)</x:f>
        <x:v>1</x:v>
      </x:c>
      <x:c r="K6439" s="6" t="n">
        <x:f>IF(G6439&gt;H6439,1,0)</x:f>
        <x:v>1</x:v>
      </x:c>
      <x:c r="L6439" s="6" t="n">
        <x:f>J6439*K6439</x:f>
        <x:v>1</x:v>
      </x:c>
    </x:row>
    <x:row r="6440">
      <x:c r="A6440" s="1" t="n">
        <x:v>50482</x:v>
      </x:c>
      <x:c r="B6440" s="5" t="d">
        <x:v>2017-01-06T00:00:00.000Z</x:v>
      </x:c>
      <x:c r="C6440" s="1" t="str">
        <x:v>Standard Class</x:v>
      </x:c>
      <x:c r="D6440" s="1" t="str">
        <x:v>Pacific Asia</x:v>
      </x:c>
      <x:c r="E6440" s="1" t="str">
        <x:v>PROCESSING</x:v>
      </x:c>
      <x:c r="F6440" s="1" t="str">
        <x:v>Advance shipping</x:v>
      </x:c>
      <x:c r="G6440" s="6" t="n">
        <x:v>3</x:v>
      </x:c>
      <x:c r="H6440" s="6" t="n">
        <x:v>4</x:v>
      </x:c>
      <x:c r="I6440" s="6" t="n">
        <x:f>G6440-H6440</x:f>
        <x:v>-1</x:v>
      </x:c>
      <x:c r="J6440" s="6" t="n">
        <x:f>IF(OR(E6440="CANCELED",E6440="SUSPECTED_FRAUD",F6440="Shipping canceled"),0,1)</x:f>
        <x:v>1</x:v>
      </x:c>
      <x:c r="K6440" s="6" t="n">
        <x:f>IF(G6440&gt;H6440,1,0)</x:f>
        <x:v>0</x:v>
      </x:c>
      <x:c r="L6440" s="6" t="n">
        <x:f>J6440*K6440</x:f>
        <x:v>0</x:v>
      </x:c>
    </x:row>
    <x:row r="6441">
      <x:c r="A6441" s="1" t="n">
        <x:v>50487</x:v>
      </x:c>
      <x:c r="B6441" s="5" t="d">
        <x:v>2017-01-06T00:00:00.000Z</x:v>
      </x:c>
      <x:c r="C6441" s="1" t="str">
        <x:v>Standard Class</x:v>
      </x:c>
      <x:c r="D6441" s="1" t="str">
        <x:v>Africa</x:v>
      </x:c>
      <x:c r="E6441" s="1" t="str">
        <x:v>PROCESSING</x:v>
      </x:c>
      <x:c r="F6441" s="1" t="str">
        <x:v>Advance shipping</x:v>
      </x:c>
      <x:c r="G6441" s="6" t="n">
        <x:v>3</x:v>
      </x:c>
      <x:c r="H6441" s="6" t="n">
        <x:v>4</x:v>
      </x:c>
      <x:c r="I6441" s="6" t="n">
        <x:f>G6441-H6441</x:f>
        <x:v>-1</x:v>
      </x:c>
      <x:c r="J6441" s="6" t="n">
        <x:f>IF(OR(E6441="CANCELED",E6441="SUSPECTED_FRAUD",F6441="Shipping canceled"),0,1)</x:f>
        <x:v>1</x:v>
      </x:c>
      <x:c r="K6441" s="6" t="n">
        <x:f>IF(G6441&gt;H6441,1,0)</x:f>
        <x:v>0</x:v>
      </x:c>
      <x:c r="L6441" s="6" t="n">
        <x:f>J6441*K6441</x:f>
        <x:v>0</x:v>
      </x:c>
    </x:row>
    <x:row r="6442">
      <x:c r="A6442" s="1" t="n">
        <x:v>50489</x:v>
      </x:c>
      <x:c r="B6442" s="5" t="d">
        <x:v>2017-01-07T00:00:00.000Z</x:v>
      </x:c>
      <x:c r="C6442" s="1" t="str">
        <x:v>Standard Class</x:v>
      </x:c>
      <x:c r="D6442" s="1" t="str">
        <x:v>Africa</x:v>
      </x:c>
      <x:c r="E6442" s="1" t="str">
        <x:v>PENDING</x:v>
      </x:c>
      <x:c r="F6442" s="1" t="str">
        <x:v>Late delivery</x:v>
      </x:c>
      <x:c r="G6442" s="6" t="n">
        <x:v>5</x:v>
      </x:c>
      <x:c r="H6442" s="6" t="n">
        <x:v>4</x:v>
      </x:c>
      <x:c r="I6442" s="6" t="n">
        <x:f>G6442-H6442</x:f>
        <x:v>1</x:v>
      </x:c>
      <x:c r="J6442" s="6" t="n">
        <x:f>IF(OR(E6442="CANCELED",E6442="SUSPECTED_FRAUD",F6442="Shipping canceled"),0,1)</x:f>
        <x:v>1</x:v>
      </x:c>
      <x:c r="K6442" s="6" t="n">
        <x:f>IF(G6442&gt;H6442,1,0)</x:f>
        <x:v>1</x:v>
      </x:c>
      <x:c r="L6442" s="6" t="n">
        <x:f>J6442*K6442</x:f>
        <x:v>1</x:v>
      </x:c>
    </x:row>
    <x:row r="6443">
      <x:c r="A6443" s="1" t="n">
        <x:v>50491</x:v>
      </x:c>
      <x:c r="B6443" s="5" t="d">
        <x:v>2017-01-07T00:00:00.000Z</x:v>
      </x:c>
      <x:c r="C6443" s="1" t="str">
        <x:v>Standard Class</x:v>
      </x:c>
      <x:c r="D6443" s="1" t="str">
        <x:v>Africa</x:v>
      </x:c>
      <x:c r="E6443" s="1" t="str">
        <x:v>COMPLETE</x:v>
      </x:c>
      <x:c r="F6443" s="1" t="str">
        <x:v>Advance shipping</x:v>
      </x:c>
      <x:c r="G6443" s="6" t="n">
        <x:v>2</x:v>
      </x:c>
      <x:c r="H6443" s="6" t="n">
        <x:v>4</x:v>
      </x:c>
      <x:c r="I6443" s="6" t="n">
        <x:f>G6443-H6443</x:f>
        <x:v>-2</x:v>
      </x:c>
      <x:c r="J6443" s="6" t="n">
        <x:f>IF(OR(E6443="CANCELED",E6443="SUSPECTED_FRAUD",F6443="Shipping canceled"),0,1)</x:f>
        <x:v>1</x:v>
      </x:c>
      <x:c r="K6443" s="6" t="n">
        <x:f>IF(G6443&gt;H6443,1,0)</x:f>
        <x:v>0</x:v>
      </x:c>
      <x:c r="L6443" s="6" t="n">
        <x:f>J6443*K6443</x:f>
        <x:v>0</x:v>
      </x:c>
    </x:row>
    <x:row r="6444">
      <x:c r="A6444" s="1" t="n">
        <x:v>50510</x:v>
      </x:c>
      <x:c r="B6444" s="5" t="d">
        <x:v>2017-01-07T00:00:00.000Z</x:v>
      </x:c>
      <x:c r="C6444" s="1" t="str">
        <x:v>Standard Class</x:v>
      </x:c>
      <x:c r="D6444" s="1" t="str">
        <x:v>Africa</x:v>
      </x:c>
      <x:c r="E6444" s="1" t="str">
        <x:v>COMPLETE</x:v>
      </x:c>
      <x:c r="F6444" s="1" t="str">
        <x:v>Late delivery</x:v>
      </x:c>
      <x:c r="G6444" s="6" t="n">
        <x:v>6</x:v>
      </x:c>
      <x:c r="H6444" s="6" t="n">
        <x:v>4</x:v>
      </x:c>
      <x:c r="I6444" s="6" t="n">
        <x:f>G6444-H6444</x:f>
        <x:v>2</x:v>
      </x:c>
      <x:c r="J6444" s="6" t="n">
        <x:f>IF(OR(E6444="CANCELED",E6444="SUSPECTED_FRAUD",F6444="Shipping canceled"),0,1)</x:f>
        <x:v>1</x:v>
      </x:c>
      <x:c r="K6444" s="6" t="n">
        <x:f>IF(G6444&gt;H6444,1,0)</x:f>
        <x:v>1</x:v>
      </x:c>
      <x:c r="L6444" s="6" t="n">
        <x:f>J6444*K6444</x:f>
        <x:v>1</x:v>
      </x:c>
    </x:row>
    <x:row r="6445">
      <x:c r="A6445" s="1" t="n">
        <x:v>50512</x:v>
      </x:c>
      <x:c r="B6445" s="5" t="d">
        <x:v>2017-01-07T00:00:00.000Z</x:v>
      </x:c>
      <x:c r="C6445" s="1" t="str">
        <x:v>Standard Class</x:v>
      </x:c>
      <x:c r="D6445" s="1" t="str">
        <x:v>Africa</x:v>
      </x:c>
      <x:c r="E6445" s="1" t="str">
        <x:v>COMPLETE</x:v>
      </x:c>
      <x:c r="F6445" s="1" t="str">
        <x:v>Advance shipping</x:v>
      </x:c>
      <x:c r="G6445" s="6" t="n">
        <x:v>3</x:v>
      </x:c>
      <x:c r="H6445" s="6" t="n">
        <x:v>4</x:v>
      </x:c>
      <x:c r="I6445" s="6" t="n">
        <x:f>G6445-H6445</x:f>
        <x:v>-1</x:v>
      </x:c>
      <x:c r="J6445" s="6" t="n">
        <x:f>IF(OR(E6445="CANCELED",E6445="SUSPECTED_FRAUD",F6445="Shipping canceled"),0,1)</x:f>
        <x:v>1</x:v>
      </x:c>
      <x:c r="K6445" s="6" t="n">
        <x:f>IF(G6445&gt;H6445,1,0)</x:f>
        <x:v>0</x:v>
      </x:c>
      <x:c r="L6445" s="6" t="n">
        <x:f>J6445*K6445</x:f>
        <x:v>0</x:v>
      </x:c>
    </x:row>
    <x:row r="6446">
      <x:c r="A6446" s="1" t="n">
        <x:v>50533</x:v>
      </x:c>
      <x:c r="B6446" s="5" t="d">
        <x:v>2017-01-07T00:00:00.000Z</x:v>
      </x:c>
      <x:c r="C6446" s="1" t="str">
        <x:v>Standard Class</x:v>
      </x:c>
      <x:c r="D6446" s="1" t="str">
        <x:v>Africa</x:v>
      </x:c>
      <x:c r="E6446" s="1" t="str">
        <x:v>COMPLETE</x:v>
      </x:c>
      <x:c r="F6446" s="1" t="str">
        <x:v>Shipping on time</x:v>
      </x:c>
      <x:c r="G6446" s="6" t="n">
        <x:v>4</x:v>
      </x:c>
      <x:c r="H6446" s="6" t="n">
        <x:v>4</x:v>
      </x:c>
      <x:c r="I6446" s="6" t="n">
        <x:f>G6446-H6446</x:f>
        <x:v>0</x:v>
      </x:c>
      <x:c r="J6446" s="6" t="n">
        <x:f>IF(OR(E6446="CANCELED",E6446="SUSPECTED_FRAUD",F6446="Shipping canceled"),0,1)</x:f>
        <x:v>1</x:v>
      </x:c>
      <x:c r="K6446" s="6" t="n">
        <x:f>IF(G6446&gt;H6446,1,0)</x:f>
        <x:v>0</x:v>
      </x:c>
      <x:c r="L6446" s="6" t="n">
        <x:f>J6446*K6446</x:f>
        <x:v>0</x:v>
      </x:c>
    </x:row>
    <x:row r="6447">
      <x:c r="A6447" s="1" t="n">
        <x:v>50540</x:v>
      </x:c>
      <x:c r="B6447" s="5" t="d">
        <x:v>2017-01-07T00:00:00.000Z</x:v>
      </x:c>
      <x:c r="C6447" s="1" t="str">
        <x:v>Standard Class</x:v>
      </x:c>
      <x:c r="D6447" s="1" t="str">
        <x:v>Europe</x:v>
      </x:c>
      <x:c r="E6447" s="1" t="str">
        <x:v>CANCELED</x:v>
      </x:c>
      <x:c r="F6447" s="1" t="str">
        <x:v>Shipping canceled</x:v>
      </x:c>
      <x:c r="G6447" s="6" t="n">
        <x:v>6</x:v>
      </x:c>
      <x:c r="H6447" s="6" t="n">
        <x:v>4</x:v>
      </x:c>
      <x:c r="I6447" s="6" t="n">
        <x:f>G6447-H6447</x:f>
        <x:v>2</x:v>
      </x:c>
      <x:c r="J6447" s="6" t="n">
        <x:f>IF(OR(E6447="CANCELED",E6447="SUSPECTED_FRAUD",F6447="Shipping canceled"),0,1)</x:f>
        <x:v>0</x:v>
      </x:c>
      <x:c r="K6447" s="6" t="n">
        <x:f>IF(G6447&gt;H6447,1,0)</x:f>
        <x:v>1</x:v>
      </x:c>
      <x:c r="L6447" s="6" t="n">
        <x:f>J6447*K6447</x:f>
        <x:v>0</x:v>
      </x:c>
    </x:row>
    <x:row r="6448">
      <x:c r="A6448" s="1" t="n">
        <x:v>50546</x:v>
      </x:c>
      <x:c r="B6448" s="5" t="d">
        <x:v>2017-01-07T00:00:00.000Z</x:v>
      </x:c>
      <x:c r="C6448" s="1" t="str">
        <x:v>Second Class</x:v>
      </x:c>
      <x:c r="D6448" s="1" t="str">
        <x:v>Africa</x:v>
      </x:c>
      <x:c r="E6448" s="1" t="str">
        <x:v>PENDING</x:v>
      </x:c>
      <x:c r="F6448" s="1" t="str">
        <x:v>Shipping on time</x:v>
      </x:c>
      <x:c r="G6448" s="6" t="n">
        <x:v>2</x:v>
      </x:c>
      <x:c r="H6448" s="6" t="n">
        <x:v>2</x:v>
      </x:c>
      <x:c r="I6448" s="6" t="n">
        <x:f>G6448-H6448</x:f>
        <x:v>0</x:v>
      </x:c>
      <x:c r="J6448" s="6" t="n">
        <x:f>IF(OR(E6448="CANCELED",E6448="SUSPECTED_FRAUD",F6448="Shipping canceled"),0,1)</x:f>
        <x:v>1</x:v>
      </x:c>
      <x:c r="K6448" s="6" t="n">
        <x:f>IF(G6448&gt;H6448,1,0)</x:f>
        <x:v>0</x:v>
      </x:c>
      <x:c r="L6448" s="6" t="n">
        <x:f>J6448*K6448</x:f>
        <x:v>0</x:v>
      </x:c>
    </x:row>
    <x:row r="6449">
      <x:c r="A6449" s="1" t="n">
        <x:v>50563</x:v>
      </x:c>
      <x:c r="B6449" s="5" t="d">
        <x:v>2017-01-08T00:00:00.000Z</x:v>
      </x:c>
      <x:c r="C6449" s="1" t="str">
        <x:v>Standard Class</x:v>
      </x:c>
      <x:c r="D6449" s="1" t="str">
        <x:v>Africa</x:v>
      </x:c>
      <x:c r="E6449" s="1" t="str">
        <x:v>COMPLETE</x:v>
      </x:c>
      <x:c r="F6449" s="1" t="str">
        <x:v>Shipping on time</x:v>
      </x:c>
      <x:c r="G6449" s="6" t="n">
        <x:v>4</x:v>
      </x:c>
      <x:c r="H6449" s="6" t="n">
        <x:v>4</x:v>
      </x:c>
      <x:c r="I6449" s="6" t="n">
        <x:f>G6449-H6449</x:f>
        <x:v>0</x:v>
      </x:c>
      <x:c r="J6449" s="6" t="n">
        <x:f>IF(OR(E6449="CANCELED",E6449="SUSPECTED_FRAUD",F6449="Shipping canceled"),0,1)</x:f>
        <x:v>1</x:v>
      </x:c>
      <x:c r="K6449" s="6" t="n">
        <x:f>IF(G6449&gt;H6449,1,0)</x:f>
        <x:v>0</x:v>
      </x:c>
      <x:c r="L6449" s="6" t="n">
        <x:f>J6449*K6449</x:f>
        <x:v>0</x:v>
      </x:c>
    </x:row>
    <x:row r="6450">
      <x:c r="A6450" s="1" t="n">
        <x:v>50566</x:v>
      </x:c>
      <x:c r="B6450" s="5" t="d">
        <x:v>2017-01-08T00:00:00.000Z</x:v>
      </x:c>
      <x:c r="C6450" s="1" t="str">
        <x:v>Standard Class</x:v>
      </x:c>
      <x:c r="D6450" s="1" t="str">
        <x:v>Africa</x:v>
      </x:c>
      <x:c r="E6450" s="1" t="str">
        <x:v>PENDING</x:v>
      </x:c>
      <x:c r="F6450" s="1" t="str">
        <x:v>Advance shipping</x:v>
      </x:c>
      <x:c r="G6450" s="6" t="n">
        <x:v>2</x:v>
      </x:c>
      <x:c r="H6450" s="6" t="n">
        <x:v>4</x:v>
      </x:c>
      <x:c r="I6450" s="6" t="n">
        <x:f>G6450-H6450</x:f>
        <x:v>-2</x:v>
      </x:c>
      <x:c r="J6450" s="6" t="n">
        <x:f>IF(OR(E6450="CANCELED",E6450="SUSPECTED_FRAUD",F6450="Shipping canceled"),0,1)</x:f>
        <x:v>1</x:v>
      </x:c>
      <x:c r="K6450" s="6" t="n">
        <x:f>IF(G6450&gt;H6450,1,0)</x:f>
        <x:v>0</x:v>
      </x:c>
      <x:c r="L6450" s="6" t="n">
        <x:f>J6450*K6450</x:f>
        <x:v>0</x:v>
      </x:c>
    </x:row>
    <x:row r="6451">
      <x:c r="A6451" s="1" t="n">
        <x:v>50571</x:v>
      </x:c>
      <x:c r="B6451" s="5" t="d">
        <x:v>2017-01-08T00:00:00.000Z</x:v>
      </x:c>
      <x:c r="C6451" s="1" t="str">
        <x:v>Standard Class</x:v>
      </x:c>
      <x:c r="D6451" s="1" t="str">
        <x:v>USCA</x:v>
      </x:c>
      <x:c r="E6451" s="1" t="str">
        <x:v>PROCESSING</x:v>
      </x:c>
      <x:c r="F6451" s="1" t="str">
        <x:v>Advance shipping</x:v>
      </x:c>
      <x:c r="G6451" s="6" t="n">
        <x:v>2</x:v>
      </x:c>
      <x:c r="H6451" s="6" t="n">
        <x:v>4</x:v>
      </x:c>
      <x:c r="I6451" s="6" t="n">
        <x:f>G6451-H6451</x:f>
        <x:v>-2</x:v>
      </x:c>
      <x:c r="J6451" s="6" t="n">
        <x:f>IF(OR(E6451="CANCELED",E6451="SUSPECTED_FRAUD",F6451="Shipping canceled"),0,1)</x:f>
        <x:v>1</x:v>
      </x:c>
      <x:c r="K6451" s="6" t="n">
        <x:f>IF(G6451&gt;H6451,1,0)</x:f>
        <x:v>0</x:v>
      </x:c>
      <x:c r="L6451" s="6" t="n">
        <x:f>J6451*K6451</x:f>
        <x:v>0</x:v>
      </x:c>
    </x:row>
    <x:row r="6452">
      <x:c r="A6452" s="1" t="n">
        <x:v>50572</x:v>
      </x:c>
      <x:c r="B6452" s="5" t="d">
        <x:v>2017-01-08T00:00:00.000Z</x:v>
      </x:c>
      <x:c r="C6452" s="1" t="str">
        <x:v>Standard Class</x:v>
      </x:c>
      <x:c r="D6452" s="1" t="str">
        <x:v>USCA</x:v>
      </x:c>
      <x:c r="E6452" s="1" t="str">
        <x:v>COMPLETE</x:v>
      </x:c>
      <x:c r="F6452" s="1" t="str">
        <x:v>Advance shipping</x:v>
      </x:c>
      <x:c r="G6452" s="6" t="n">
        <x:v>3</x:v>
      </x:c>
      <x:c r="H6452" s="6" t="n">
        <x:v>4</x:v>
      </x:c>
      <x:c r="I6452" s="6" t="n">
        <x:f>G6452-H6452</x:f>
        <x:v>-1</x:v>
      </x:c>
      <x:c r="J6452" s="6" t="n">
        <x:f>IF(OR(E6452="CANCELED",E6452="SUSPECTED_FRAUD",F6452="Shipping canceled"),0,1)</x:f>
        <x:v>1</x:v>
      </x:c>
      <x:c r="K6452" s="6" t="n">
        <x:f>IF(G6452&gt;H6452,1,0)</x:f>
        <x:v>0</x:v>
      </x:c>
      <x:c r="L6452" s="6" t="n">
        <x:f>J6452*K6452</x:f>
        <x:v>0</x:v>
      </x:c>
    </x:row>
    <x:row r="6453">
      <x:c r="A6453" s="1" t="n">
        <x:v>50574</x:v>
      </x:c>
      <x:c r="B6453" s="5" t="d">
        <x:v>2017-01-08T00:00:00.000Z</x:v>
      </x:c>
      <x:c r="C6453" s="1" t="str">
        <x:v>Standard Class</x:v>
      </x:c>
      <x:c r="D6453" s="1" t="str">
        <x:v>Africa</x:v>
      </x:c>
      <x:c r="E6453" s="1" t="str">
        <x:v>PENDING</x:v>
      </x:c>
      <x:c r="F6453" s="1" t="str">
        <x:v>Late delivery</x:v>
      </x:c>
      <x:c r="G6453" s="6" t="n">
        <x:v>5</x:v>
      </x:c>
      <x:c r="H6453" s="6" t="n">
        <x:v>4</x:v>
      </x:c>
      <x:c r="I6453" s="6" t="n">
        <x:f>G6453-H6453</x:f>
        <x:v>1</x:v>
      </x:c>
      <x:c r="J6453" s="6" t="n">
        <x:f>IF(OR(E6453="CANCELED",E6453="SUSPECTED_FRAUD",F6453="Shipping canceled"),0,1)</x:f>
        <x:v>1</x:v>
      </x:c>
      <x:c r="K6453" s="6" t="n">
        <x:f>IF(G6453&gt;H6453,1,0)</x:f>
        <x:v>1</x:v>
      </x:c>
      <x:c r="L6453" s="6" t="n">
        <x:f>J6453*K6453</x:f>
        <x:v>1</x:v>
      </x:c>
    </x:row>
    <x:row r="6454">
      <x:c r="A6454" s="1" t="n">
        <x:v>50579</x:v>
      </x:c>
      <x:c r="B6454" s="5" t="d">
        <x:v>2017-01-08T00:00:00.000Z</x:v>
      </x:c>
      <x:c r="C6454" s="1" t="str">
        <x:v>Standard Class</x:v>
      </x:c>
      <x:c r="D6454" s="1" t="str">
        <x:v>Pacific Asia</x:v>
      </x:c>
      <x:c r="E6454" s="1" t="str">
        <x:v>COMPLETE</x:v>
      </x:c>
      <x:c r="F6454" s="1" t="str">
        <x:v>Late delivery</x:v>
      </x:c>
      <x:c r="G6454" s="6" t="n">
        <x:v>5</x:v>
      </x:c>
      <x:c r="H6454" s="6" t="n">
        <x:v>4</x:v>
      </x:c>
      <x:c r="I6454" s="6" t="n">
        <x:f>G6454-H6454</x:f>
        <x:v>1</x:v>
      </x:c>
      <x:c r="J6454" s="6" t="n">
        <x:f>IF(OR(E6454="CANCELED",E6454="SUSPECTED_FRAUD",F6454="Shipping canceled"),0,1)</x:f>
        <x:v>1</x:v>
      </x:c>
      <x:c r="K6454" s="6" t="n">
        <x:f>IF(G6454&gt;H6454,1,0)</x:f>
        <x:v>1</x:v>
      </x:c>
      <x:c r="L6454" s="6" t="n">
        <x:f>J6454*K6454</x:f>
        <x:v>1</x:v>
      </x:c>
    </x:row>
    <x:row r="6455">
      <x:c r="A6455" s="1" t="n">
        <x:v>50588</x:v>
      </x:c>
      <x:c r="B6455" s="5" t="d">
        <x:v>2017-01-08T00:00:00.000Z</x:v>
      </x:c>
      <x:c r="C6455" s="1" t="str">
        <x:v>Standard Class</x:v>
      </x:c>
      <x:c r="D6455" s="1" t="str">
        <x:v>Europe</x:v>
      </x:c>
      <x:c r="E6455" s="1" t="str">
        <x:v>COMPLETE</x:v>
      </x:c>
      <x:c r="F6455" s="1" t="str">
        <x:v>Shipping on time</x:v>
      </x:c>
      <x:c r="G6455" s="6" t="n">
        <x:v>4</x:v>
      </x:c>
      <x:c r="H6455" s="6" t="n">
        <x:v>4</x:v>
      </x:c>
      <x:c r="I6455" s="6" t="n">
        <x:f>G6455-H6455</x:f>
        <x:v>0</x:v>
      </x:c>
      <x:c r="J6455" s="6" t="n">
        <x:f>IF(OR(E6455="CANCELED",E6455="SUSPECTED_FRAUD",F6455="Shipping canceled"),0,1)</x:f>
        <x:v>1</x:v>
      </x:c>
      <x:c r="K6455" s="6" t="n">
        <x:f>IF(G6455&gt;H6455,1,0)</x:f>
        <x:v>0</x:v>
      </x:c>
      <x:c r="L6455" s="6" t="n">
        <x:f>J6455*K6455</x:f>
        <x:v>0</x:v>
      </x:c>
    </x:row>
    <x:row r="6456">
      <x:c r="A6456" s="1" t="n">
        <x:v>50589</x:v>
      </x:c>
      <x:c r="B6456" s="5" t="d">
        <x:v>2017-01-08T00:00:00.000Z</x:v>
      </x:c>
      <x:c r="C6456" s="1" t="str">
        <x:v>Standard Class</x:v>
      </x:c>
      <x:c r="D6456" s="1" t="str">
        <x:v>Pacific Asia</x:v>
      </x:c>
      <x:c r="E6456" s="1" t="str">
        <x:v>COMPLETE</x:v>
      </x:c>
      <x:c r="F6456" s="1" t="str">
        <x:v>Late delivery</x:v>
      </x:c>
      <x:c r="G6456" s="6" t="n">
        <x:v>5</x:v>
      </x:c>
      <x:c r="H6456" s="6" t="n">
        <x:v>4</x:v>
      </x:c>
      <x:c r="I6456" s="6" t="n">
        <x:f>G6456-H6456</x:f>
        <x:v>1</x:v>
      </x:c>
      <x:c r="J6456" s="6" t="n">
        <x:f>IF(OR(E6456="CANCELED",E6456="SUSPECTED_FRAUD",F6456="Shipping canceled"),0,1)</x:f>
        <x:v>1</x:v>
      </x:c>
      <x:c r="K6456" s="6" t="n">
        <x:f>IF(G6456&gt;H6456,1,0)</x:f>
        <x:v>1</x:v>
      </x:c>
      <x:c r="L6456" s="6" t="n">
        <x:f>J6456*K6456</x:f>
        <x:v>1</x:v>
      </x:c>
    </x:row>
    <x:row r="6457">
      <x:c r="A6457" s="1" t="n">
        <x:v>50606</x:v>
      </x:c>
      <x:c r="B6457" s="5" t="d">
        <x:v>2017-01-08T00:00:00.000Z</x:v>
      </x:c>
      <x:c r="C6457" s="1" t="str">
        <x:v>Standard Class</x:v>
      </x:c>
      <x:c r="D6457" s="1" t="str">
        <x:v>Africa</x:v>
      </x:c>
      <x:c r="E6457" s="1" t="str">
        <x:v>COMPLETE</x:v>
      </x:c>
      <x:c r="F6457" s="1" t="str">
        <x:v>Advance shipping</x:v>
      </x:c>
      <x:c r="G6457" s="6" t="n">
        <x:v>2</x:v>
      </x:c>
      <x:c r="H6457" s="6" t="n">
        <x:v>4</x:v>
      </x:c>
      <x:c r="I6457" s="6" t="n">
        <x:f>G6457-H6457</x:f>
        <x:v>-2</x:v>
      </x:c>
      <x:c r="J6457" s="6" t="n">
        <x:f>IF(OR(E6457="CANCELED",E6457="SUSPECTED_FRAUD",F6457="Shipping canceled"),0,1)</x:f>
        <x:v>1</x:v>
      </x:c>
      <x:c r="K6457" s="6" t="n">
        <x:f>IF(G6457&gt;H6457,1,0)</x:f>
        <x:v>0</x:v>
      </x:c>
      <x:c r="L6457" s="6" t="n">
        <x:f>J6457*K6457</x:f>
        <x:v>0</x:v>
      </x:c>
    </x:row>
    <x:row r="6458">
      <x:c r="A6458" s="1" t="n">
        <x:v>50607</x:v>
      </x:c>
      <x:c r="B6458" s="5" t="d">
        <x:v>2017-01-08T00:00:00.000Z</x:v>
      </x:c>
      <x:c r="C6458" s="1" t="str">
        <x:v>Standard Class</x:v>
      </x:c>
      <x:c r="D6458" s="1" t="str">
        <x:v>Africa</x:v>
      </x:c>
      <x:c r="E6458" s="1" t="str">
        <x:v>PENDING_PAYMENT</x:v>
      </x:c>
      <x:c r="F6458" s="1" t="str">
        <x:v>Advance shipping</x:v>
      </x:c>
      <x:c r="G6458" s="6" t="n">
        <x:v>3</x:v>
      </x:c>
      <x:c r="H6458" s="6" t="n">
        <x:v>4</x:v>
      </x:c>
      <x:c r="I6458" s="6" t="n">
        <x:f>G6458-H6458</x:f>
        <x:v>-1</x:v>
      </x:c>
      <x:c r="J6458" s="6" t="n">
        <x:f>IF(OR(E6458="CANCELED",E6458="SUSPECTED_FRAUD",F6458="Shipping canceled"),0,1)</x:f>
        <x:v>1</x:v>
      </x:c>
      <x:c r="K6458" s="6" t="n">
        <x:f>IF(G6458&gt;H6458,1,0)</x:f>
        <x:v>0</x:v>
      </x:c>
      <x:c r="L6458" s="6" t="n">
        <x:f>J6458*K6458</x:f>
        <x:v>0</x:v>
      </x:c>
    </x:row>
    <x:row r="6459">
      <x:c r="A6459" s="1" t="n">
        <x:v>50620</x:v>
      </x:c>
      <x:c r="B6459" s="5" t="d">
        <x:v>2017-01-08T00:00:00.000Z</x:v>
      </x:c>
      <x:c r="C6459" s="1" t="str">
        <x:v>Standard Class</x:v>
      </x:c>
      <x:c r="D6459" s="1" t="str">
        <x:v>Africa</x:v>
      </x:c>
      <x:c r="E6459" s="1" t="str">
        <x:v>PROCESSING</x:v>
      </x:c>
      <x:c r="F6459" s="1" t="str">
        <x:v>Late delivery</x:v>
      </x:c>
      <x:c r="G6459" s="6" t="n">
        <x:v>6</x:v>
      </x:c>
      <x:c r="H6459" s="6" t="n">
        <x:v>4</x:v>
      </x:c>
      <x:c r="I6459" s="6" t="n">
        <x:f>G6459-H6459</x:f>
        <x:v>2</x:v>
      </x:c>
      <x:c r="J6459" s="6" t="n">
        <x:f>IF(OR(E6459="CANCELED",E6459="SUSPECTED_FRAUD",F6459="Shipping canceled"),0,1)</x:f>
        <x:v>1</x:v>
      </x:c>
      <x:c r="K6459" s="6" t="n">
        <x:f>IF(G6459&gt;H6459,1,0)</x:f>
        <x:v>1</x:v>
      </x:c>
      <x:c r="L6459" s="6" t="n">
        <x:f>J6459*K6459</x:f>
        <x:v>1</x:v>
      </x:c>
    </x:row>
    <x:row r="6460">
      <x:c r="A6460" s="1" t="n">
        <x:v>50621</x:v>
      </x:c>
      <x:c r="B6460" s="5" t="d">
        <x:v>2017-01-08T00:00:00.000Z</x:v>
      </x:c>
      <x:c r="C6460" s="1" t="str">
        <x:v>Standard Class</x:v>
      </x:c>
      <x:c r="D6460" s="1" t="str">
        <x:v>Pacific Asia</x:v>
      </x:c>
      <x:c r="E6460" s="1" t="str">
        <x:v>COMPLETE</x:v>
      </x:c>
      <x:c r="F6460" s="1" t="str">
        <x:v>Advance shipping</x:v>
      </x:c>
      <x:c r="G6460" s="6" t="n">
        <x:v>2</x:v>
      </x:c>
      <x:c r="H6460" s="6" t="n">
        <x:v>4</x:v>
      </x:c>
      <x:c r="I6460" s="6" t="n">
        <x:f>G6460-H6460</x:f>
        <x:v>-2</x:v>
      </x:c>
      <x:c r="J6460" s="6" t="n">
        <x:f>IF(OR(E6460="CANCELED",E6460="SUSPECTED_FRAUD",F6460="Shipping canceled"),0,1)</x:f>
        <x:v>1</x:v>
      </x:c>
      <x:c r="K6460" s="6" t="n">
        <x:f>IF(G6460&gt;H6460,1,0)</x:f>
        <x:v>0</x:v>
      </x:c>
      <x:c r="L6460" s="6" t="n">
        <x:f>J6460*K6460</x:f>
        <x:v>0</x:v>
      </x:c>
    </x:row>
    <x:row r="6461">
      <x:c r="A6461" s="1" t="n">
        <x:v>50623</x:v>
      </x:c>
      <x:c r="B6461" s="5" t="d">
        <x:v>2017-01-08T00:00:00.000Z</x:v>
      </x:c>
      <x:c r="C6461" s="1" t="str">
        <x:v>Second Class</x:v>
      </x:c>
      <x:c r="D6461" s="1" t="str">
        <x:v>Europe</x:v>
      </x:c>
      <x:c r="E6461" s="1" t="str">
        <x:v>CLOSED</x:v>
      </x:c>
      <x:c r="F6461" s="1" t="str">
        <x:v>Late delivery</x:v>
      </x:c>
      <x:c r="G6461" s="6" t="n">
        <x:v>4</x:v>
      </x:c>
      <x:c r="H6461" s="6" t="n">
        <x:v>2</x:v>
      </x:c>
      <x:c r="I6461" s="6" t="n">
        <x:f>G6461-H6461</x:f>
        <x:v>2</x:v>
      </x:c>
      <x:c r="J6461" s="6" t="n">
        <x:f>IF(OR(E6461="CANCELED",E6461="SUSPECTED_FRAUD",F6461="Shipping canceled"),0,1)</x:f>
        <x:v>1</x:v>
      </x:c>
      <x:c r="K6461" s="6" t="n">
        <x:f>IF(G6461&gt;H6461,1,0)</x:f>
        <x:v>1</x:v>
      </x:c>
      <x:c r="L6461" s="6" t="n">
        <x:f>J6461*K6461</x:f>
        <x:v>1</x:v>
      </x:c>
    </x:row>
    <x:row r="6462">
      <x:c r="A6462" s="1" t="n">
        <x:v>50628</x:v>
      </x:c>
      <x:c r="B6462" s="5" t="d">
        <x:v>2017-01-09T00:00:00.000Z</x:v>
      </x:c>
      <x:c r="C6462" s="1" t="str">
        <x:v>Standard Class</x:v>
      </x:c>
      <x:c r="D6462" s="1" t="str">
        <x:v>Pacific Asia</x:v>
      </x:c>
      <x:c r="E6462" s="1" t="str">
        <x:v>COMPLETE</x:v>
      </x:c>
      <x:c r="F6462" s="1" t="str">
        <x:v>Shipping on time</x:v>
      </x:c>
      <x:c r="G6462" s="6" t="n">
        <x:v>4</x:v>
      </x:c>
      <x:c r="H6462" s="6" t="n">
        <x:v>4</x:v>
      </x:c>
      <x:c r="I6462" s="6" t="n">
        <x:f>G6462-H6462</x:f>
        <x:v>0</x:v>
      </x:c>
      <x:c r="J6462" s="6" t="n">
        <x:f>IF(OR(E6462="CANCELED",E6462="SUSPECTED_FRAUD",F6462="Shipping canceled"),0,1)</x:f>
        <x:v>1</x:v>
      </x:c>
      <x:c r="K6462" s="6" t="n">
        <x:f>IF(G6462&gt;H6462,1,0)</x:f>
        <x:v>0</x:v>
      </x:c>
      <x:c r="L6462" s="6" t="n">
        <x:f>J6462*K6462</x:f>
        <x:v>0</x:v>
      </x:c>
    </x:row>
    <x:row r="6463">
      <x:c r="A6463" s="1" t="n">
        <x:v>50659</x:v>
      </x:c>
      <x:c r="B6463" s="5" t="d">
        <x:v>2017-01-09T00:00:00.000Z</x:v>
      </x:c>
      <x:c r="C6463" s="1" t="str">
        <x:v>First Class</x:v>
      </x:c>
      <x:c r="D6463" s="1" t="str">
        <x:v>Africa</x:v>
      </x:c>
      <x:c r="E6463" s="1" t="str">
        <x:v>SUSPECTED_FRAUD</x:v>
      </x:c>
      <x:c r="F6463" s="1" t="str">
        <x:v>Shipping canceled</x:v>
      </x:c>
      <x:c r="G6463" s="6" t="n">
        <x:v>2</x:v>
      </x:c>
      <x:c r="H6463" s="6" t="n">
        <x:v>1</x:v>
      </x:c>
      <x:c r="I6463" s="6" t="n">
        <x:f>G6463-H6463</x:f>
        <x:v>1</x:v>
      </x:c>
      <x:c r="J6463" s="6" t="n">
        <x:f>IF(OR(E6463="CANCELED",E6463="SUSPECTED_FRAUD",F6463="Shipping canceled"),0,1)</x:f>
        <x:v>0</x:v>
      </x:c>
      <x:c r="K6463" s="6" t="n">
        <x:f>IF(G6463&gt;H6463,1,0)</x:f>
        <x:v>1</x:v>
      </x:c>
      <x:c r="L6463" s="6" t="n">
        <x:f>J6463*K6463</x:f>
        <x:v>0</x:v>
      </x:c>
    </x:row>
    <x:row r="6464">
      <x:c r="A6464" s="1" t="n">
        <x:v>50667</x:v>
      </x:c>
      <x:c r="B6464" s="5" t="d">
        <x:v>2017-01-09T00:00:00.000Z</x:v>
      </x:c>
      <x:c r="C6464" s="1" t="str">
        <x:v>Standard Class</x:v>
      </x:c>
      <x:c r="D6464" s="1" t="str">
        <x:v>Europe</x:v>
      </x:c>
      <x:c r="E6464" s="1" t="str">
        <x:v>COMPLETE</x:v>
      </x:c>
      <x:c r="F6464" s="1" t="str">
        <x:v>Advance shipping</x:v>
      </x:c>
      <x:c r="G6464" s="6" t="n">
        <x:v>3</x:v>
      </x:c>
      <x:c r="H6464" s="6" t="n">
        <x:v>4</x:v>
      </x:c>
      <x:c r="I6464" s="6" t="n">
        <x:f>G6464-H6464</x:f>
        <x:v>-1</x:v>
      </x:c>
      <x:c r="J6464" s="6" t="n">
        <x:f>IF(OR(E6464="CANCELED",E6464="SUSPECTED_FRAUD",F6464="Shipping canceled"),0,1)</x:f>
        <x:v>1</x:v>
      </x:c>
      <x:c r="K6464" s="6" t="n">
        <x:f>IF(G6464&gt;H6464,1,0)</x:f>
        <x:v>0</x:v>
      </x:c>
      <x:c r="L6464" s="6" t="n">
        <x:f>J6464*K6464</x:f>
        <x:v>0</x:v>
      </x:c>
    </x:row>
    <x:row r="6465">
      <x:c r="A6465" s="1" t="n">
        <x:v>50668</x:v>
      </x:c>
      <x:c r="B6465" s="5" t="d">
        <x:v>2017-01-09T00:00:00.000Z</x:v>
      </x:c>
      <x:c r="C6465" s="1" t="str">
        <x:v>First Class</x:v>
      </x:c>
      <x:c r="D6465" s="1" t="str">
        <x:v>Africa</x:v>
      </x:c>
      <x:c r="E6465" s="1" t="str">
        <x:v>CLOSED</x:v>
      </x:c>
      <x:c r="F6465" s="1" t="str">
        <x:v>Late delivery</x:v>
      </x:c>
      <x:c r="G6465" s="6" t="n">
        <x:v>2</x:v>
      </x:c>
      <x:c r="H6465" s="6" t="n">
        <x:v>1</x:v>
      </x:c>
      <x:c r="I6465" s="6" t="n">
        <x:f>G6465-H6465</x:f>
        <x:v>1</x:v>
      </x:c>
      <x:c r="J6465" s="6" t="n">
        <x:f>IF(OR(E6465="CANCELED",E6465="SUSPECTED_FRAUD",F6465="Shipping canceled"),0,1)</x:f>
        <x:v>1</x:v>
      </x:c>
      <x:c r="K6465" s="6" t="n">
        <x:f>IF(G6465&gt;H6465,1,0)</x:f>
        <x:v>1</x:v>
      </x:c>
      <x:c r="L6465" s="6" t="n">
        <x:f>J6465*K6465</x:f>
        <x:v>1</x:v>
      </x:c>
    </x:row>
    <x:row r="6466">
      <x:c r="A6466" s="1" t="n">
        <x:v>50669</x:v>
      </x:c>
      <x:c r="B6466" s="5" t="d">
        <x:v>2017-01-09T00:00:00.000Z</x:v>
      </x:c>
      <x:c r="C6466" s="1" t="str">
        <x:v>Standard Class</x:v>
      </x:c>
      <x:c r="D6466" s="1" t="str">
        <x:v>Europe</x:v>
      </x:c>
      <x:c r="E6466" s="1" t="str">
        <x:v>COMPLETE</x:v>
      </x:c>
      <x:c r="F6466" s="1" t="str">
        <x:v>Late delivery</x:v>
      </x:c>
      <x:c r="G6466" s="6" t="n">
        <x:v>5</x:v>
      </x:c>
      <x:c r="H6466" s="6" t="n">
        <x:v>4</x:v>
      </x:c>
      <x:c r="I6466" s="6" t="n">
        <x:f>G6466-H6466</x:f>
        <x:v>1</x:v>
      </x:c>
      <x:c r="J6466" s="6" t="n">
        <x:f>IF(OR(E6466="CANCELED",E6466="SUSPECTED_FRAUD",F6466="Shipping canceled"),0,1)</x:f>
        <x:v>1</x:v>
      </x:c>
      <x:c r="K6466" s="6" t="n">
        <x:f>IF(G6466&gt;H6466,1,0)</x:f>
        <x:v>1</x:v>
      </x:c>
      <x:c r="L6466" s="6" t="n">
        <x:f>J6466*K6466</x:f>
        <x:v>1</x:v>
      </x:c>
    </x:row>
    <x:row r="6467">
      <x:c r="A6467" s="1" t="n">
        <x:v>50676</x:v>
      </x:c>
      <x:c r="B6467" s="5" t="d">
        <x:v>2017-01-09T00:00:00.000Z</x:v>
      </x:c>
      <x:c r="C6467" s="1" t="str">
        <x:v>Standard Class</x:v>
      </x:c>
      <x:c r="D6467" s="1" t="str">
        <x:v>Africa</x:v>
      </x:c>
      <x:c r="E6467" s="1" t="str">
        <x:v>COMPLETE</x:v>
      </x:c>
      <x:c r="F6467" s="1" t="str">
        <x:v>Advance shipping</x:v>
      </x:c>
      <x:c r="G6467" s="6" t="n">
        <x:v>2</x:v>
      </x:c>
      <x:c r="H6467" s="6" t="n">
        <x:v>4</x:v>
      </x:c>
      <x:c r="I6467" s="6" t="n">
        <x:f>G6467-H6467</x:f>
        <x:v>-2</x:v>
      </x:c>
      <x:c r="J6467" s="6" t="n">
        <x:f>IF(OR(E6467="CANCELED",E6467="SUSPECTED_FRAUD",F6467="Shipping canceled"),0,1)</x:f>
        <x:v>1</x:v>
      </x:c>
      <x:c r="K6467" s="6" t="n">
        <x:f>IF(G6467&gt;H6467,1,0)</x:f>
        <x:v>0</x:v>
      </x:c>
      <x:c r="L6467" s="6" t="n">
        <x:f>J6467*K6467</x:f>
        <x:v>0</x:v>
      </x:c>
    </x:row>
    <x:row r="6468">
      <x:c r="A6468" s="1" t="n">
        <x:v>50684</x:v>
      </x:c>
      <x:c r="B6468" s="5" t="d">
        <x:v>2017-01-09T00:00:00.000Z</x:v>
      </x:c>
      <x:c r="C6468" s="1" t="str">
        <x:v>Standard Class</x:v>
      </x:c>
      <x:c r="D6468" s="1" t="str">
        <x:v>Pacific Asia</x:v>
      </x:c>
      <x:c r="E6468" s="1" t="str">
        <x:v>PROCESSING</x:v>
      </x:c>
      <x:c r="F6468" s="1" t="str">
        <x:v>Late delivery</x:v>
      </x:c>
      <x:c r="G6468" s="6" t="n">
        <x:v>5</x:v>
      </x:c>
      <x:c r="H6468" s="6" t="n">
        <x:v>4</x:v>
      </x:c>
      <x:c r="I6468" s="6" t="n">
        <x:f>G6468-H6468</x:f>
        <x:v>1</x:v>
      </x:c>
      <x:c r="J6468" s="6" t="n">
        <x:f>IF(OR(E6468="CANCELED",E6468="SUSPECTED_FRAUD",F6468="Shipping canceled"),0,1)</x:f>
        <x:v>1</x:v>
      </x:c>
      <x:c r="K6468" s="6" t="n">
        <x:f>IF(G6468&gt;H6468,1,0)</x:f>
        <x:v>1</x:v>
      </x:c>
      <x:c r="L6468" s="6" t="n">
        <x:f>J6468*K6468</x:f>
        <x:v>1</x:v>
      </x:c>
    </x:row>
    <x:row r="6469">
      <x:c r="A6469" s="1" t="n">
        <x:v>50688</x:v>
      </x:c>
      <x:c r="B6469" s="5" t="d">
        <x:v>2017-01-09T00:00:00.000Z</x:v>
      </x:c>
      <x:c r="C6469" s="1" t="str">
        <x:v>Standard Class</x:v>
      </x:c>
      <x:c r="D6469" s="1" t="str">
        <x:v>Africa</x:v>
      </x:c>
      <x:c r="E6469" s="1" t="str">
        <x:v>PROCESSING</x:v>
      </x:c>
      <x:c r="F6469" s="1" t="str">
        <x:v>Shipping on time</x:v>
      </x:c>
      <x:c r="G6469" s="6" t="n">
        <x:v>4</x:v>
      </x:c>
      <x:c r="H6469" s="6" t="n">
        <x:v>4</x:v>
      </x:c>
      <x:c r="I6469" s="6" t="n">
        <x:f>G6469-H6469</x:f>
        <x:v>0</x:v>
      </x:c>
      <x:c r="J6469" s="6" t="n">
        <x:f>IF(OR(E6469="CANCELED",E6469="SUSPECTED_FRAUD",F6469="Shipping canceled"),0,1)</x:f>
        <x:v>1</x:v>
      </x:c>
      <x:c r="K6469" s="6" t="n">
        <x:f>IF(G6469&gt;H6469,1,0)</x:f>
        <x:v>0</x:v>
      </x:c>
      <x:c r="L6469" s="6" t="n">
        <x:f>J6469*K6469</x:f>
        <x:v>0</x:v>
      </x:c>
    </x:row>
    <x:row r="6470">
      <x:c r="A6470" s="1" t="n">
        <x:v>50690</x:v>
      </x:c>
      <x:c r="B6470" s="5" t="d">
        <x:v>2017-01-09T00:00:00.000Z</x:v>
      </x:c>
      <x:c r="C6470" s="1" t="str">
        <x:v>Second Class</x:v>
      </x:c>
      <x:c r="D6470" s="1" t="str">
        <x:v>Pacific Asia</x:v>
      </x:c>
      <x:c r="E6470" s="1" t="str">
        <x:v>ON_HOLD</x:v>
      </x:c>
      <x:c r="F6470" s="1" t="str">
        <x:v>Late delivery</x:v>
      </x:c>
      <x:c r="G6470" s="6" t="n">
        <x:v>6</x:v>
      </x:c>
      <x:c r="H6470" s="6" t="n">
        <x:v>2</x:v>
      </x:c>
      <x:c r="I6470" s="6" t="n">
        <x:f>G6470-H6470</x:f>
        <x:v>4</x:v>
      </x:c>
      <x:c r="J6470" s="6" t="n">
        <x:f>IF(OR(E6470="CANCELED",E6470="SUSPECTED_FRAUD",F6470="Shipping canceled"),0,1)</x:f>
        <x:v>1</x:v>
      </x:c>
      <x:c r="K6470" s="6" t="n">
        <x:f>IF(G6470&gt;H6470,1,0)</x:f>
        <x:v>1</x:v>
      </x:c>
      <x:c r="L6470" s="6" t="n">
        <x:f>J6470*K6470</x:f>
        <x:v>1</x:v>
      </x:c>
    </x:row>
    <x:row r="6471">
      <x:c r="A6471" s="1" t="n">
        <x:v>50701</x:v>
      </x:c>
      <x:c r="B6471" s="5" t="d">
        <x:v>2017-01-10T00:00:00.000Z</x:v>
      </x:c>
      <x:c r="C6471" s="1" t="str">
        <x:v>Standard Class</x:v>
      </x:c>
      <x:c r="D6471" s="1" t="str">
        <x:v>Pacific Asia</x:v>
      </x:c>
      <x:c r="E6471" s="1" t="str">
        <x:v>PENDING</x:v>
      </x:c>
      <x:c r="F6471" s="1" t="str">
        <x:v>Advance shipping</x:v>
      </x:c>
      <x:c r="G6471" s="6" t="n">
        <x:v>2</x:v>
      </x:c>
      <x:c r="H6471" s="6" t="n">
        <x:v>4</x:v>
      </x:c>
      <x:c r="I6471" s="6" t="n">
        <x:f>G6471-H6471</x:f>
        <x:v>-2</x:v>
      </x:c>
      <x:c r="J6471" s="6" t="n">
        <x:f>IF(OR(E6471="CANCELED",E6471="SUSPECTED_FRAUD",F6471="Shipping canceled"),0,1)</x:f>
        <x:v>1</x:v>
      </x:c>
      <x:c r="K6471" s="6" t="n">
        <x:f>IF(G6471&gt;H6471,1,0)</x:f>
        <x:v>0</x:v>
      </x:c>
      <x:c r="L6471" s="6" t="n">
        <x:f>J6471*K6471</x:f>
        <x:v>0</x:v>
      </x:c>
    </x:row>
    <x:row r="6472">
      <x:c r="A6472" s="1" t="n">
        <x:v>50711</x:v>
      </x:c>
      <x:c r="B6472" s="5" t="d">
        <x:v>2017-01-10T00:00:00.000Z</x:v>
      </x:c>
      <x:c r="C6472" s="1" t="str">
        <x:v>Standard Class</x:v>
      </x:c>
      <x:c r="D6472" s="1" t="str">
        <x:v>Pacific Asia</x:v>
      </x:c>
      <x:c r="E6472" s="1" t="str">
        <x:v>CLOSED</x:v>
      </x:c>
      <x:c r="F6472" s="1" t="str">
        <x:v>Advance shipping</x:v>
      </x:c>
      <x:c r="G6472" s="6" t="n">
        <x:v>2</x:v>
      </x:c>
      <x:c r="H6472" s="6" t="n">
        <x:v>4</x:v>
      </x:c>
      <x:c r="I6472" s="6" t="n">
        <x:f>G6472-H6472</x:f>
        <x:v>-2</x:v>
      </x:c>
      <x:c r="J6472" s="6" t="n">
        <x:f>IF(OR(E6472="CANCELED",E6472="SUSPECTED_FRAUD",F6472="Shipping canceled"),0,1)</x:f>
        <x:v>1</x:v>
      </x:c>
      <x:c r="K6472" s="6" t="n">
        <x:f>IF(G6472&gt;H6472,1,0)</x:f>
        <x:v>0</x:v>
      </x:c>
      <x:c r="L6472" s="6" t="n">
        <x:f>J6472*K6472</x:f>
        <x:v>0</x:v>
      </x:c>
    </x:row>
    <x:row r="6473">
      <x:c r="A6473" s="1" t="n">
        <x:v>50720</x:v>
      </x:c>
      <x:c r="B6473" s="5" t="d">
        <x:v>2017-01-10T00:00:00.000Z</x:v>
      </x:c>
      <x:c r="C6473" s="1" t="str">
        <x:v>Standard Class</x:v>
      </x:c>
      <x:c r="D6473" s="1" t="str">
        <x:v>Pacific Asia</x:v>
      </x:c>
      <x:c r="E6473" s="1" t="str">
        <x:v>PENDING</x:v>
      </x:c>
      <x:c r="F6473" s="1" t="str">
        <x:v>Late delivery</x:v>
      </x:c>
      <x:c r="G6473" s="6" t="n">
        <x:v>6</x:v>
      </x:c>
      <x:c r="H6473" s="6" t="n">
        <x:v>4</x:v>
      </x:c>
      <x:c r="I6473" s="6" t="n">
        <x:f>G6473-H6473</x:f>
        <x:v>2</x:v>
      </x:c>
      <x:c r="J6473" s="6" t="n">
        <x:f>IF(OR(E6473="CANCELED",E6473="SUSPECTED_FRAUD",F6473="Shipping canceled"),0,1)</x:f>
        <x:v>1</x:v>
      </x:c>
      <x:c r="K6473" s="6" t="n">
        <x:f>IF(G6473&gt;H6473,1,0)</x:f>
        <x:v>1</x:v>
      </x:c>
      <x:c r="L6473" s="6" t="n">
        <x:f>J6473*K6473</x:f>
        <x:v>1</x:v>
      </x:c>
    </x:row>
    <x:row r="6474">
      <x:c r="A6474" s="1" t="n">
        <x:v>50721</x:v>
      </x:c>
      <x:c r="B6474" s="5" t="d">
        <x:v>2017-01-10T00:00:00.000Z</x:v>
      </x:c>
      <x:c r="C6474" s="1" t="str">
        <x:v>Same Day</x:v>
      </x:c>
      <x:c r="D6474" s="1" t="str">
        <x:v>Pacific Asia</x:v>
      </x:c>
      <x:c r="E6474" s="1" t="str">
        <x:v>CLOSED</x:v>
      </x:c>
      <x:c r="F6474" s="1" t="str">
        <x:v>Shipping on time</x:v>
      </x:c>
      <x:c r="G6474" s="6" t="n">
        <x:v>0</x:v>
      </x:c>
      <x:c r="H6474" s="6" t="n">
        <x:v>0</x:v>
      </x:c>
      <x:c r="I6474" s="6" t="n">
        <x:f>G6474-H6474</x:f>
        <x:v>0</x:v>
      </x:c>
      <x:c r="J6474" s="6" t="n">
        <x:f>IF(OR(E6474="CANCELED",E6474="SUSPECTED_FRAUD",F6474="Shipping canceled"),0,1)</x:f>
        <x:v>1</x:v>
      </x:c>
      <x:c r="K6474" s="6" t="n">
        <x:f>IF(G6474&gt;H6474,1,0)</x:f>
        <x:v>0</x:v>
      </x:c>
      <x:c r="L6474" s="6" t="n">
        <x:f>J6474*K6474</x:f>
        <x:v>0</x:v>
      </x:c>
    </x:row>
    <x:row r="6475">
      <x:c r="A6475" s="1" t="n">
        <x:v>50727</x:v>
      </x:c>
      <x:c r="B6475" s="5" t="d">
        <x:v>2017-01-10T00:00:00.000Z</x:v>
      </x:c>
      <x:c r="C6475" s="1" t="str">
        <x:v>First Class</x:v>
      </x:c>
      <x:c r="D6475" s="1" t="str">
        <x:v>Pacific Asia</x:v>
      </x:c>
      <x:c r="E6475" s="1" t="str">
        <x:v>COMPLETE</x:v>
      </x:c>
      <x:c r="F6475" s="1" t="str">
        <x:v>Late delivery</x:v>
      </x:c>
      <x:c r="G6475" s="6" t="n">
        <x:v>2</x:v>
      </x:c>
      <x:c r="H6475" s="6" t="n">
        <x:v>1</x:v>
      </x:c>
      <x:c r="I6475" s="6" t="n">
        <x:f>G6475-H6475</x:f>
        <x:v>1</x:v>
      </x:c>
      <x:c r="J6475" s="6" t="n">
        <x:f>IF(OR(E6475="CANCELED",E6475="SUSPECTED_FRAUD",F6475="Shipping canceled"),0,1)</x:f>
        <x:v>1</x:v>
      </x:c>
      <x:c r="K6475" s="6" t="n">
        <x:f>IF(G6475&gt;H6475,1,0)</x:f>
        <x:v>1</x:v>
      </x:c>
      <x:c r="L6475" s="6" t="n">
        <x:f>J6475*K6475</x:f>
        <x:v>1</x:v>
      </x:c>
    </x:row>
    <x:row r="6476">
      <x:c r="A6476" s="1" t="n">
        <x:v>50728</x:v>
      </x:c>
      <x:c r="B6476" s="5" t="d">
        <x:v>2017-01-10T00:00:00.000Z</x:v>
      </x:c>
      <x:c r="C6476" s="1" t="str">
        <x:v>First Class</x:v>
      </x:c>
      <x:c r="D6476" s="1" t="str">
        <x:v>Pacific Asia</x:v>
      </x:c>
      <x:c r="E6476" s="1" t="str">
        <x:v>CLOSED</x:v>
      </x:c>
      <x:c r="F6476" s="1" t="str">
        <x:v>Late delivery</x:v>
      </x:c>
      <x:c r="G6476" s="6" t="n">
        <x:v>2</x:v>
      </x:c>
      <x:c r="H6476" s="6" t="n">
        <x:v>1</x:v>
      </x:c>
      <x:c r="I6476" s="6" t="n">
        <x:f>G6476-H6476</x:f>
        <x:v>1</x:v>
      </x:c>
      <x:c r="J6476" s="6" t="n">
        <x:f>IF(OR(E6476="CANCELED",E6476="SUSPECTED_FRAUD",F6476="Shipping canceled"),0,1)</x:f>
        <x:v>1</x:v>
      </x:c>
      <x:c r="K6476" s="6" t="n">
        <x:f>IF(G6476&gt;H6476,1,0)</x:f>
        <x:v>1</x:v>
      </x:c>
      <x:c r="L6476" s="6" t="n">
        <x:f>J6476*K6476</x:f>
        <x:v>1</x:v>
      </x:c>
    </x:row>
    <x:row r="6477">
      <x:c r="A6477" s="1" t="n">
        <x:v>50741</x:v>
      </x:c>
      <x:c r="B6477" s="5" t="d">
        <x:v>2017-01-10T00:00:00.000Z</x:v>
      </x:c>
      <x:c r="C6477" s="1" t="str">
        <x:v>Standard Class</x:v>
      </x:c>
      <x:c r="D6477" s="1" t="str">
        <x:v>Pacific Asia</x:v>
      </x:c>
      <x:c r="E6477" s="1" t="str">
        <x:v>ON_HOLD</x:v>
      </x:c>
      <x:c r="F6477" s="1" t="str">
        <x:v>Advance shipping</x:v>
      </x:c>
      <x:c r="G6477" s="6" t="n">
        <x:v>2</x:v>
      </x:c>
      <x:c r="H6477" s="6" t="n">
        <x:v>4</x:v>
      </x:c>
      <x:c r="I6477" s="6" t="n">
        <x:f>G6477-H6477</x:f>
        <x:v>-2</x:v>
      </x:c>
      <x:c r="J6477" s="6" t="n">
        <x:f>IF(OR(E6477="CANCELED",E6477="SUSPECTED_FRAUD",F6477="Shipping canceled"),0,1)</x:f>
        <x:v>1</x:v>
      </x:c>
      <x:c r="K6477" s="6" t="n">
        <x:f>IF(G6477&gt;H6477,1,0)</x:f>
        <x:v>0</x:v>
      </x:c>
      <x:c r="L6477" s="6" t="n">
        <x:f>J6477*K6477</x:f>
        <x:v>0</x:v>
      </x:c>
    </x:row>
    <x:row r="6478">
      <x:c r="A6478" s="1" t="n">
        <x:v>50749</x:v>
      </x:c>
      <x:c r="B6478" s="5" t="d">
        <x:v>2017-01-10T00:00:00.000Z</x:v>
      </x:c>
      <x:c r="C6478" s="1" t="str">
        <x:v>Standard Class</x:v>
      </x:c>
      <x:c r="D6478" s="1" t="str">
        <x:v>Pacific Asia</x:v>
      </x:c>
      <x:c r="E6478" s="1" t="str">
        <x:v>PENDING_PAYMENT</x:v>
      </x:c>
      <x:c r="F6478" s="1" t="str">
        <x:v>Late delivery</x:v>
      </x:c>
      <x:c r="G6478" s="6" t="n">
        <x:v>5</x:v>
      </x:c>
      <x:c r="H6478" s="6" t="n">
        <x:v>4</x:v>
      </x:c>
      <x:c r="I6478" s="6" t="n">
        <x:f>G6478-H6478</x:f>
        <x:v>1</x:v>
      </x:c>
      <x:c r="J6478" s="6" t="n">
        <x:f>IF(OR(E6478="CANCELED",E6478="SUSPECTED_FRAUD",F6478="Shipping canceled"),0,1)</x:f>
        <x:v>1</x:v>
      </x:c>
      <x:c r="K6478" s="6" t="n">
        <x:f>IF(G6478&gt;H6478,1,0)</x:f>
        <x:v>1</x:v>
      </x:c>
      <x:c r="L6478" s="6" t="n">
        <x:f>J6478*K6478</x:f>
        <x:v>1</x:v>
      </x:c>
    </x:row>
    <x:row r="6479">
      <x:c r="A6479" s="1" t="n">
        <x:v>50758</x:v>
      </x:c>
      <x:c r="B6479" s="5" t="d">
        <x:v>2017-01-10T00:00:00.000Z</x:v>
      </x:c>
      <x:c r="C6479" s="1" t="str">
        <x:v>Standard Class</x:v>
      </x:c>
      <x:c r="D6479" s="1" t="str">
        <x:v>Pacific Asia</x:v>
      </x:c>
      <x:c r="E6479" s="1" t="str">
        <x:v>PENDING</x:v>
      </x:c>
      <x:c r="F6479" s="1" t="str">
        <x:v>Shipping on time</x:v>
      </x:c>
      <x:c r="G6479" s="6" t="n">
        <x:v>4</x:v>
      </x:c>
      <x:c r="H6479" s="6" t="n">
        <x:v>4</x:v>
      </x:c>
      <x:c r="I6479" s="6" t="n">
        <x:f>G6479-H6479</x:f>
        <x:v>0</x:v>
      </x:c>
      <x:c r="J6479" s="6" t="n">
        <x:f>IF(OR(E6479="CANCELED",E6479="SUSPECTED_FRAUD",F6479="Shipping canceled"),0,1)</x:f>
        <x:v>1</x:v>
      </x:c>
      <x:c r="K6479" s="6" t="n">
        <x:f>IF(G6479&gt;H6479,1,0)</x:f>
        <x:v>0</x:v>
      </x:c>
      <x:c r="L6479" s="6" t="n">
        <x:f>J6479*K6479</x:f>
        <x:v>0</x:v>
      </x:c>
    </x:row>
    <x:row r="6480">
      <x:c r="A6480" s="1" t="n">
        <x:v>50760</x:v>
      </x:c>
      <x:c r="B6480" s="5" t="d">
        <x:v>2017-01-10T00:00:00.000Z</x:v>
      </x:c>
      <x:c r="C6480" s="1" t="str">
        <x:v>Standard Class</x:v>
      </x:c>
      <x:c r="D6480" s="1" t="str">
        <x:v>Europe</x:v>
      </x:c>
      <x:c r="E6480" s="1" t="str">
        <x:v>CLOSED</x:v>
      </x:c>
      <x:c r="F6480" s="1" t="str">
        <x:v>Late delivery</x:v>
      </x:c>
      <x:c r="G6480" s="6" t="n">
        <x:v>6</x:v>
      </x:c>
      <x:c r="H6480" s="6" t="n">
        <x:v>4</x:v>
      </x:c>
      <x:c r="I6480" s="6" t="n">
        <x:f>G6480-H6480</x:f>
        <x:v>2</x:v>
      </x:c>
      <x:c r="J6480" s="6" t="n">
        <x:f>IF(OR(E6480="CANCELED",E6480="SUSPECTED_FRAUD",F6480="Shipping canceled"),0,1)</x:f>
        <x:v>1</x:v>
      </x:c>
      <x:c r="K6480" s="6" t="n">
        <x:f>IF(G6480&gt;H6480,1,0)</x:f>
        <x:v>1</x:v>
      </x:c>
      <x:c r="L6480" s="6" t="n">
        <x:f>J6480*K6480</x:f>
        <x:v>1</x:v>
      </x:c>
    </x:row>
    <x:row r="6481">
      <x:c r="A6481" s="1" t="n">
        <x:v>50789</x:v>
      </x:c>
      <x:c r="B6481" s="5" t="d">
        <x:v>2017-01-11T00:00:00.000Z</x:v>
      </x:c>
      <x:c r="C6481" s="1" t="str">
        <x:v>Standard Class</x:v>
      </x:c>
      <x:c r="D6481" s="1" t="str">
        <x:v>Africa</x:v>
      </x:c>
      <x:c r="E6481" s="1" t="str">
        <x:v>COMPLETE</x:v>
      </x:c>
      <x:c r="F6481" s="1" t="str">
        <x:v>Late delivery</x:v>
      </x:c>
      <x:c r="G6481" s="6" t="n">
        <x:v>5</x:v>
      </x:c>
      <x:c r="H6481" s="6" t="n">
        <x:v>4</x:v>
      </x:c>
      <x:c r="I6481" s="6" t="n">
        <x:f>G6481-H6481</x:f>
        <x:v>1</x:v>
      </x:c>
      <x:c r="J6481" s="6" t="n">
        <x:f>IF(OR(E6481="CANCELED",E6481="SUSPECTED_FRAUD",F6481="Shipping canceled"),0,1)</x:f>
        <x:v>1</x:v>
      </x:c>
      <x:c r="K6481" s="6" t="n">
        <x:f>IF(G6481&gt;H6481,1,0)</x:f>
        <x:v>1</x:v>
      </x:c>
      <x:c r="L6481" s="6" t="n">
        <x:f>J6481*K6481</x:f>
        <x:v>1</x:v>
      </x:c>
    </x:row>
    <x:row r="6482">
      <x:c r="A6482" s="1" t="n">
        <x:v>50801</x:v>
      </x:c>
      <x:c r="B6482" s="5" t="d">
        <x:v>2017-01-11T00:00:00.000Z</x:v>
      </x:c>
      <x:c r="C6482" s="1" t="str">
        <x:v>Standard Class</x:v>
      </x:c>
      <x:c r="D6482" s="1" t="str">
        <x:v>Africa</x:v>
      </x:c>
      <x:c r="E6482" s="1" t="str">
        <x:v>PROCESSING</x:v>
      </x:c>
      <x:c r="F6482" s="1" t="str">
        <x:v>Advance shipping</x:v>
      </x:c>
      <x:c r="G6482" s="6" t="n">
        <x:v>2</x:v>
      </x:c>
      <x:c r="H6482" s="6" t="n">
        <x:v>4</x:v>
      </x:c>
      <x:c r="I6482" s="6" t="n">
        <x:f>G6482-H6482</x:f>
        <x:v>-2</x:v>
      </x:c>
      <x:c r="J6482" s="6" t="n">
        <x:f>IF(OR(E6482="CANCELED",E6482="SUSPECTED_FRAUD",F6482="Shipping canceled"),0,1)</x:f>
        <x:v>1</x:v>
      </x:c>
      <x:c r="K6482" s="6" t="n">
        <x:f>IF(G6482&gt;H6482,1,0)</x:f>
        <x:v>0</x:v>
      </x:c>
      <x:c r="L6482" s="6" t="n">
        <x:f>J6482*K6482</x:f>
        <x:v>0</x:v>
      </x:c>
    </x:row>
    <x:row r="6483">
      <x:c r="A6483" s="1" t="n">
        <x:v>50803</x:v>
      </x:c>
      <x:c r="B6483" s="5" t="d">
        <x:v>2017-01-11T00:00:00.000Z</x:v>
      </x:c>
      <x:c r="C6483" s="1" t="str">
        <x:v>Standard Class</x:v>
      </x:c>
      <x:c r="D6483" s="1" t="str">
        <x:v>Africa</x:v>
      </x:c>
      <x:c r="E6483" s="1" t="str">
        <x:v>SUSPECTED_FRAUD</x:v>
      </x:c>
      <x:c r="F6483" s="1" t="str">
        <x:v>Shipping canceled</x:v>
      </x:c>
      <x:c r="G6483" s="6" t="n">
        <x:v>4</x:v>
      </x:c>
      <x:c r="H6483" s="6" t="n">
        <x:v>4</x:v>
      </x:c>
      <x:c r="I6483" s="6" t="n">
        <x:f>G6483-H6483</x:f>
        <x:v>0</x:v>
      </x:c>
      <x:c r="J6483" s="6" t="n">
        <x:f>IF(OR(E6483="CANCELED",E6483="SUSPECTED_FRAUD",F6483="Shipping canceled"),0,1)</x:f>
        <x:v>0</x:v>
      </x:c>
      <x:c r="K6483" s="6" t="n">
        <x:f>IF(G6483&gt;H6483,1,0)</x:f>
        <x:v>0</x:v>
      </x:c>
      <x:c r="L6483" s="6" t="n">
        <x:f>J6483*K6483</x:f>
        <x:v>0</x:v>
      </x:c>
    </x:row>
    <x:row r="6484">
      <x:c r="A6484" s="1" t="n">
        <x:v>50812</x:v>
      </x:c>
      <x:c r="B6484" s="5" t="d">
        <x:v>2017-01-11T00:00:00.000Z</x:v>
      </x:c>
      <x:c r="C6484" s="1" t="str">
        <x:v>Second Class</x:v>
      </x:c>
      <x:c r="D6484" s="1" t="str">
        <x:v>Africa</x:v>
      </x:c>
      <x:c r="E6484" s="1" t="str">
        <x:v>CLOSED</x:v>
      </x:c>
      <x:c r="F6484" s="1" t="str">
        <x:v>Late delivery</x:v>
      </x:c>
      <x:c r="G6484" s="6" t="n">
        <x:v>3</x:v>
      </x:c>
      <x:c r="H6484" s="6" t="n">
        <x:v>2</x:v>
      </x:c>
      <x:c r="I6484" s="6" t="n">
        <x:f>G6484-H6484</x:f>
        <x:v>1</x:v>
      </x:c>
      <x:c r="J6484" s="6" t="n">
        <x:f>IF(OR(E6484="CANCELED",E6484="SUSPECTED_FRAUD",F6484="Shipping canceled"),0,1)</x:f>
        <x:v>1</x:v>
      </x:c>
      <x:c r="K6484" s="6" t="n">
        <x:f>IF(G6484&gt;H6484,1,0)</x:f>
        <x:v>1</x:v>
      </x:c>
      <x:c r="L6484" s="6" t="n">
        <x:f>J6484*K6484</x:f>
        <x:v>1</x:v>
      </x:c>
    </x:row>
    <x:row r="6485">
      <x:c r="A6485" s="1" t="n">
        <x:v>50813</x:v>
      </x:c>
      <x:c r="B6485" s="5" t="d">
        <x:v>2017-01-11T00:00:00.000Z</x:v>
      </x:c>
      <x:c r="C6485" s="1" t="str">
        <x:v>Second Class</x:v>
      </x:c>
      <x:c r="D6485" s="1" t="str">
        <x:v>Africa</x:v>
      </x:c>
      <x:c r="E6485" s="1" t="str">
        <x:v>COMPLETE</x:v>
      </x:c>
      <x:c r="F6485" s="1" t="str">
        <x:v>Late delivery</x:v>
      </x:c>
      <x:c r="G6485" s="6" t="n">
        <x:v>4</x:v>
      </x:c>
      <x:c r="H6485" s="6" t="n">
        <x:v>2</x:v>
      </x:c>
      <x:c r="I6485" s="6" t="n">
        <x:f>G6485-H6485</x:f>
        <x:v>2</x:v>
      </x:c>
      <x:c r="J6485" s="6" t="n">
        <x:f>IF(OR(E6485="CANCELED",E6485="SUSPECTED_FRAUD",F6485="Shipping canceled"),0,1)</x:f>
        <x:v>1</x:v>
      </x:c>
      <x:c r="K6485" s="6" t="n">
        <x:f>IF(G6485&gt;H6485,1,0)</x:f>
        <x:v>1</x:v>
      </x:c>
      <x:c r="L6485" s="6" t="n">
        <x:f>J6485*K6485</x:f>
        <x:v>1</x:v>
      </x:c>
    </x:row>
    <x:row r="6486">
      <x:c r="A6486" s="1" t="n">
        <x:v>50815</x:v>
      </x:c>
      <x:c r="B6486" s="5" t="d">
        <x:v>2017-01-11T00:00:00.000Z</x:v>
      </x:c>
      <x:c r="C6486" s="1" t="str">
        <x:v>Standard Class</x:v>
      </x:c>
      <x:c r="D6486" s="1" t="str">
        <x:v>Europe</x:v>
      </x:c>
      <x:c r="E6486" s="1" t="str">
        <x:v>COMPLETE</x:v>
      </x:c>
      <x:c r="F6486" s="1" t="str">
        <x:v>Late delivery</x:v>
      </x:c>
      <x:c r="G6486" s="6" t="n">
        <x:v>6</x:v>
      </x:c>
      <x:c r="H6486" s="6" t="n">
        <x:v>4</x:v>
      </x:c>
      <x:c r="I6486" s="6" t="n">
        <x:f>G6486-H6486</x:f>
        <x:v>2</x:v>
      </x:c>
      <x:c r="J6486" s="6" t="n">
        <x:f>IF(OR(E6486="CANCELED",E6486="SUSPECTED_FRAUD",F6486="Shipping canceled"),0,1)</x:f>
        <x:v>1</x:v>
      </x:c>
      <x:c r="K6486" s="6" t="n">
        <x:f>IF(G6486&gt;H6486,1,0)</x:f>
        <x:v>1</x:v>
      </x:c>
      <x:c r="L6486" s="6" t="n">
        <x:f>J6486*K6486</x:f>
        <x:v>1</x:v>
      </x:c>
    </x:row>
    <x:row r="6487">
      <x:c r="A6487" s="1" t="n">
        <x:v>50820</x:v>
      </x:c>
      <x:c r="B6487" s="5" t="d">
        <x:v>2017-01-11T00:00:00.000Z</x:v>
      </x:c>
      <x:c r="C6487" s="1" t="str">
        <x:v>Standard Class</x:v>
      </x:c>
      <x:c r="D6487" s="1" t="str">
        <x:v>Europe</x:v>
      </x:c>
      <x:c r="E6487" s="1" t="str">
        <x:v>COMPLETE</x:v>
      </x:c>
      <x:c r="F6487" s="1" t="str">
        <x:v>Late delivery</x:v>
      </x:c>
      <x:c r="G6487" s="6" t="n">
        <x:v>6</x:v>
      </x:c>
      <x:c r="H6487" s="6" t="n">
        <x:v>4</x:v>
      </x:c>
      <x:c r="I6487" s="6" t="n">
        <x:f>G6487-H6487</x:f>
        <x:v>2</x:v>
      </x:c>
      <x:c r="J6487" s="6" t="n">
        <x:f>IF(OR(E6487="CANCELED",E6487="SUSPECTED_FRAUD",F6487="Shipping canceled"),0,1)</x:f>
        <x:v>1</x:v>
      </x:c>
      <x:c r="K6487" s="6" t="n">
        <x:f>IF(G6487&gt;H6487,1,0)</x:f>
        <x:v>1</x:v>
      </x:c>
      <x:c r="L6487" s="6" t="n">
        <x:f>J6487*K6487</x:f>
        <x:v>1</x:v>
      </x:c>
    </x:row>
    <x:row r="6488">
      <x:c r="A6488" s="1" t="n">
        <x:v>50832</x:v>
      </x:c>
      <x:c r="B6488" s="5" t="d">
        <x:v>2017-01-12T00:00:00.000Z</x:v>
      </x:c>
      <x:c r="C6488" s="1" t="str">
        <x:v>Standard Class</x:v>
      </x:c>
      <x:c r="D6488" s="1" t="str">
        <x:v>Europe</x:v>
      </x:c>
      <x:c r="E6488" s="1" t="str">
        <x:v>COMPLETE</x:v>
      </x:c>
      <x:c r="F6488" s="1" t="str">
        <x:v>Advance shipping</x:v>
      </x:c>
      <x:c r="G6488" s="6" t="n">
        <x:v>3</x:v>
      </x:c>
      <x:c r="H6488" s="6" t="n">
        <x:v>4</x:v>
      </x:c>
      <x:c r="I6488" s="6" t="n">
        <x:f>G6488-H6488</x:f>
        <x:v>-1</x:v>
      </x:c>
      <x:c r="J6488" s="6" t="n">
        <x:f>IF(OR(E6488="CANCELED",E6488="SUSPECTED_FRAUD",F6488="Shipping canceled"),0,1)</x:f>
        <x:v>1</x:v>
      </x:c>
      <x:c r="K6488" s="6" t="n">
        <x:f>IF(G6488&gt;H6488,1,0)</x:f>
        <x:v>0</x:v>
      </x:c>
      <x:c r="L6488" s="6" t="n">
        <x:f>J6488*K6488</x:f>
        <x:v>0</x:v>
      </x:c>
    </x:row>
    <x:row r="6489">
      <x:c r="A6489" s="1" t="n">
        <x:v>50835</x:v>
      </x:c>
      <x:c r="B6489" s="5" t="d">
        <x:v>2017-01-12T00:00:00.000Z</x:v>
      </x:c>
      <x:c r="C6489" s="1" t="str">
        <x:v>Standard Class</x:v>
      </x:c>
      <x:c r="D6489" s="1" t="str">
        <x:v>Europe</x:v>
      </x:c>
      <x:c r="E6489" s="1" t="str">
        <x:v>PROCESSING</x:v>
      </x:c>
      <x:c r="F6489" s="1" t="str">
        <x:v>Late delivery</x:v>
      </x:c>
      <x:c r="G6489" s="6" t="n">
        <x:v>6</x:v>
      </x:c>
      <x:c r="H6489" s="6" t="n">
        <x:v>4</x:v>
      </x:c>
      <x:c r="I6489" s="6" t="n">
        <x:f>G6489-H6489</x:f>
        <x:v>2</x:v>
      </x:c>
      <x:c r="J6489" s="6" t="n">
        <x:f>IF(OR(E6489="CANCELED",E6489="SUSPECTED_FRAUD",F6489="Shipping canceled"),0,1)</x:f>
        <x:v>1</x:v>
      </x:c>
      <x:c r="K6489" s="6" t="n">
        <x:f>IF(G6489&gt;H6489,1,0)</x:f>
        <x:v>1</x:v>
      </x:c>
      <x:c r="L6489" s="6" t="n">
        <x:f>J6489*K6489</x:f>
        <x:v>1</x:v>
      </x:c>
    </x:row>
    <x:row r="6490">
      <x:c r="A6490" s="1" t="n">
        <x:v>50848</x:v>
      </x:c>
      <x:c r="B6490" s="5" t="d">
        <x:v>2017-01-12T00:00:00.000Z</x:v>
      </x:c>
      <x:c r="C6490" s="1" t="str">
        <x:v>Standard Class</x:v>
      </x:c>
      <x:c r="D6490" s="1" t="str">
        <x:v>Europe</x:v>
      </x:c>
      <x:c r="E6490" s="1" t="str">
        <x:v>ON_HOLD</x:v>
      </x:c>
      <x:c r="F6490" s="1" t="str">
        <x:v>Shipping on time</x:v>
      </x:c>
      <x:c r="G6490" s="6" t="n">
        <x:v>4</x:v>
      </x:c>
      <x:c r="H6490" s="6" t="n">
        <x:v>4</x:v>
      </x:c>
      <x:c r="I6490" s="6" t="n">
        <x:f>G6490-H6490</x:f>
        <x:v>0</x:v>
      </x:c>
      <x:c r="J6490" s="6" t="n">
        <x:f>IF(OR(E6490="CANCELED",E6490="SUSPECTED_FRAUD",F6490="Shipping canceled"),0,1)</x:f>
        <x:v>1</x:v>
      </x:c>
      <x:c r="K6490" s="6" t="n">
        <x:f>IF(G6490&gt;H6490,1,0)</x:f>
        <x:v>0</x:v>
      </x:c>
      <x:c r="L6490" s="6" t="n">
        <x:f>J6490*K6490</x:f>
        <x:v>0</x:v>
      </x:c>
    </x:row>
    <x:row r="6491">
      <x:c r="A6491" s="1" t="n">
        <x:v>50856</x:v>
      </x:c>
      <x:c r="B6491" s="5" t="d">
        <x:v>2017-01-12T00:00:00.000Z</x:v>
      </x:c>
      <x:c r="C6491" s="1" t="str">
        <x:v>Standard Class</x:v>
      </x:c>
      <x:c r="D6491" s="1" t="str">
        <x:v>USCA</x:v>
      </x:c>
      <x:c r="E6491" s="1" t="str">
        <x:v>PENDING</x:v>
      </x:c>
      <x:c r="F6491" s="1" t="str">
        <x:v>Advance shipping</x:v>
      </x:c>
      <x:c r="G6491" s="6" t="n">
        <x:v>2</x:v>
      </x:c>
      <x:c r="H6491" s="6" t="n">
        <x:v>4</x:v>
      </x:c>
      <x:c r="I6491" s="6" t="n">
        <x:f>G6491-H6491</x:f>
        <x:v>-2</x:v>
      </x:c>
      <x:c r="J6491" s="6" t="n">
        <x:f>IF(OR(E6491="CANCELED",E6491="SUSPECTED_FRAUD",F6491="Shipping canceled"),0,1)</x:f>
        <x:v>1</x:v>
      </x:c>
      <x:c r="K6491" s="6" t="n">
        <x:f>IF(G6491&gt;H6491,1,0)</x:f>
        <x:v>0</x:v>
      </x:c>
      <x:c r="L6491" s="6" t="n">
        <x:f>J6491*K6491</x:f>
        <x:v>0</x:v>
      </x:c>
    </x:row>
    <x:row r="6492">
      <x:c r="A6492" s="1" t="n">
        <x:v>50868</x:v>
      </x:c>
      <x:c r="B6492" s="5" t="d">
        <x:v>2017-01-12T00:00:00.000Z</x:v>
      </x:c>
      <x:c r="C6492" s="1" t="str">
        <x:v>Standard Class</x:v>
      </x:c>
      <x:c r="D6492" s="1" t="str">
        <x:v>Africa</x:v>
      </x:c>
      <x:c r="E6492" s="1" t="str">
        <x:v>COMPLETE</x:v>
      </x:c>
      <x:c r="F6492" s="1" t="str">
        <x:v>Shipping on time</x:v>
      </x:c>
      <x:c r="G6492" s="6" t="n">
        <x:v>4</x:v>
      </x:c>
      <x:c r="H6492" s="6" t="n">
        <x:v>4</x:v>
      </x:c>
      <x:c r="I6492" s="6" t="n">
        <x:f>G6492-H6492</x:f>
        <x:v>0</x:v>
      </x:c>
      <x:c r="J6492" s="6" t="n">
        <x:f>IF(OR(E6492="CANCELED",E6492="SUSPECTED_FRAUD",F6492="Shipping canceled"),0,1)</x:f>
        <x:v>1</x:v>
      </x:c>
      <x:c r="K6492" s="6" t="n">
        <x:f>IF(G6492&gt;H6492,1,0)</x:f>
        <x:v>0</x:v>
      </x:c>
      <x:c r="L6492" s="6" t="n">
        <x:f>J6492*K6492</x:f>
        <x:v>0</x:v>
      </x:c>
    </x:row>
    <x:row r="6493">
      <x:c r="A6493" s="1" t="n">
        <x:v>50871</x:v>
      </x:c>
      <x:c r="B6493" s="5" t="d">
        <x:v>2017-01-12T00:00:00.000Z</x:v>
      </x:c>
      <x:c r="C6493" s="1" t="str">
        <x:v>Standard Class</x:v>
      </x:c>
      <x:c r="D6493" s="1" t="str">
        <x:v>Africa</x:v>
      </x:c>
      <x:c r="E6493" s="1" t="str">
        <x:v>PROCESSING</x:v>
      </x:c>
      <x:c r="F6493" s="1" t="str">
        <x:v>Advance shipping</x:v>
      </x:c>
      <x:c r="G6493" s="6" t="n">
        <x:v>2</x:v>
      </x:c>
      <x:c r="H6493" s="6" t="n">
        <x:v>4</x:v>
      </x:c>
      <x:c r="I6493" s="6" t="n">
        <x:f>G6493-H6493</x:f>
        <x:v>-2</x:v>
      </x:c>
      <x:c r="J6493" s="6" t="n">
        <x:f>IF(OR(E6493="CANCELED",E6493="SUSPECTED_FRAUD",F6493="Shipping canceled"),0,1)</x:f>
        <x:v>1</x:v>
      </x:c>
      <x:c r="K6493" s="6" t="n">
        <x:f>IF(G6493&gt;H6493,1,0)</x:f>
        <x:v>0</x:v>
      </x:c>
      <x:c r="L6493" s="6" t="n">
        <x:f>J6493*K6493</x:f>
        <x:v>0</x:v>
      </x:c>
    </x:row>
    <x:row r="6494">
      <x:c r="A6494" s="1" t="n">
        <x:v>50876</x:v>
      </x:c>
      <x:c r="B6494" s="5" t="d">
        <x:v>2017-01-12T00:00:00.000Z</x:v>
      </x:c>
      <x:c r="C6494" s="1" t="str">
        <x:v>Standard Class</x:v>
      </x:c>
      <x:c r="D6494" s="1" t="str">
        <x:v>USCA</x:v>
      </x:c>
      <x:c r="E6494" s="1" t="str">
        <x:v>PENDING</x:v>
      </x:c>
      <x:c r="F6494" s="1" t="str">
        <x:v>Advance shipping</x:v>
      </x:c>
      <x:c r="G6494" s="6" t="n">
        <x:v>2</x:v>
      </x:c>
      <x:c r="H6494" s="6" t="n">
        <x:v>4</x:v>
      </x:c>
      <x:c r="I6494" s="6" t="n">
        <x:f>G6494-H6494</x:f>
        <x:v>-2</x:v>
      </x:c>
      <x:c r="J6494" s="6" t="n">
        <x:f>IF(OR(E6494="CANCELED",E6494="SUSPECTED_FRAUD",F6494="Shipping canceled"),0,1)</x:f>
        <x:v>1</x:v>
      </x:c>
      <x:c r="K6494" s="6" t="n">
        <x:f>IF(G6494&gt;H6494,1,0)</x:f>
        <x:v>0</x:v>
      </x:c>
      <x:c r="L6494" s="6" t="n">
        <x:f>J6494*K6494</x:f>
        <x:v>0</x:v>
      </x:c>
    </x:row>
    <x:row r="6495">
      <x:c r="A6495" s="1" t="n">
        <x:v>50877</x:v>
      </x:c>
      <x:c r="B6495" s="5" t="d">
        <x:v>2017-01-12T00:00:00.000Z</x:v>
      </x:c>
      <x:c r="C6495" s="1" t="str">
        <x:v>Standard Class</x:v>
      </x:c>
      <x:c r="D6495" s="1" t="str">
        <x:v>Pacific Asia</x:v>
      </x:c>
      <x:c r="E6495" s="1" t="str">
        <x:v>PROCESSING</x:v>
      </x:c>
      <x:c r="F6495" s="1" t="str">
        <x:v>Advance shipping</x:v>
      </x:c>
      <x:c r="G6495" s="6" t="n">
        <x:v>3</x:v>
      </x:c>
      <x:c r="H6495" s="6" t="n">
        <x:v>4</x:v>
      </x:c>
      <x:c r="I6495" s="6" t="n">
        <x:f>G6495-H6495</x:f>
        <x:v>-1</x:v>
      </x:c>
      <x:c r="J6495" s="6" t="n">
        <x:f>IF(OR(E6495="CANCELED",E6495="SUSPECTED_FRAUD",F6495="Shipping canceled"),0,1)</x:f>
        <x:v>1</x:v>
      </x:c>
      <x:c r="K6495" s="6" t="n">
        <x:f>IF(G6495&gt;H6495,1,0)</x:f>
        <x:v>0</x:v>
      </x:c>
      <x:c r="L6495" s="6" t="n">
        <x:f>J6495*K6495</x:f>
        <x:v>0</x:v>
      </x:c>
    </x:row>
    <x:row r="6496">
      <x:c r="A6496" s="1" t="n">
        <x:v>50879</x:v>
      </x:c>
      <x:c r="B6496" s="5" t="d">
        <x:v>2017-01-12T00:00:00.000Z</x:v>
      </x:c>
      <x:c r="C6496" s="1" t="str">
        <x:v>Second Class</x:v>
      </x:c>
      <x:c r="D6496" s="1" t="str">
        <x:v>Pacific Asia</x:v>
      </x:c>
      <x:c r="E6496" s="1" t="str">
        <x:v>COMPLETE</x:v>
      </x:c>
      <x:c r="F6496" s="1" t="str">
        <x:v>Late delivery</x:v>
      </x:c>
      <x:c r="G6496" s="6" t="n">
        <x:v>5</x:v>
      </x:c>
      <x:c r="H6496" s="6" t="n">
        <x:v>2</x:v>
      </x:c>
      <x:c r="I6496" s="6" t="n">
        <x:f>G6496-H6496</x:f>
        <x:v>3</x:v>
      </x:c>
      <x:c r="J6496" s="6" t="n">
        <x:f>IF(OR(E6496="CANCELED",E6496="SUSPECTED_FRAUD",F6496="Shipping canceled"),0,1)</x:f>
        <x:v>1</x:v>
      </x:c>
      <x:c r="K6496" s="6" t="n">
        <x:f>IF(G6496&gt;H6496,1,0)</x:f>
        <x:v>1</x:v>
      </x:c>
      <x:c r="L6496" s="6" t="n">
        <x:f>J6496*K6496</x:f>
        <x:v>1</x:v>
      </x:c>
    </x:row>
    <x:row r="6497">
      <x:c r="A6497" s="1" t="n">
        <x:v>50882</x:v>
      </x:c>
      <x:c r="B6497" s="5" t="d">
        <x:v>2017-01-12T00:00:00.000Z</x:v>
      </x:c>
      <x:c r="C6497" s="1" t="str">
        <x:v>Standard Class</x:v>
      </x:c>
      <x:c r="D6497" s="1" t="str">
        <x:v>Pacific Asia</x:v>
      </x:c>
      <x:c r="E6497" s="1" t="str">
        <x:v>COMPLETE</x:v>
      </x:c>
      <x:c r="F6497" s="1" t="str">
        <x:v>Advance shipping</x:v>
      </x:c>
      <x:c r="G6497" s="6" t="n">
        <x:v>3</x:v>
      </x:c>
      <x:c r="H6497" s="6" t="n">
        <x:v>4</x:v>
      </x:c>
      <x:c r="I6497" s="6" t="n">
        <x:f>G6497-H6497</x:f>
        <x:v>-1</x:v>
      </x:c>
      <x:c r="J6497" s="6" t="n">
        <x:f>IF(OR(E6497="CANCELED",E6497="SUSPECTED_FRAUD",F6497="Shipping canceled"),0,1)</x:f>
        <x:v>1</x:v>
      </x:c>
      <x:c r="K6497" s="6" t="n">
        <x:f>IF(G6497&gt;H6497,1,0)</x:f>
        <x:v>0</x:v>
      </x:c>
      <x:c r="L6497" s="6" t="n">
        <x:f>J6497*K6497</x:f>
        <x:v>0</x:v>
      </x:c>
    </x:row>
    <x:row r="6498">
      <x:c r="A6498" s="1" t="n">
        <x:v>50888</x:v>
      </x:c>
      <x:c r="B6498" s="5" t="d">
        <x:v>2017-01-12T00:00:00.000Z</x:v>
      </x:c>
      <x:c r="C6498" s="1" t="str">
        <x:v>Standard Class</x:v>
      </x:c>
      <x:c r="D6498" s="1" t="str">
        <x:v>Pacific Asia</x:v>
      </x:c>
      <x:c r="E6498" s="1" t="str">
        <x:v>COMPLETE</x:v>
      </x:c>
      <x:c r="F6498" s="1" t="str">
        <x:v>Shipping on time</x:v>
      </x:c>
      <x:c r="G6498" s="6" t="n">
        <x:v>4</x:v>
      </x:c>
      <x:c r="H6498" s="6" t="n">
        <x:v>4</x:v>
      </x:c>
      <x:c r="I6498" s="6" t="n">
        <x:f>G6498-H6498</x:f>
        <x:v>0</x:v>
      </x:c>
      <x:c r="J6498" s="6" t="n">
        <x:f>IF(OR(E6498="CANCELED",E6498="SUSPECTED_FRAUD",F6498="Shipping canceled"),0,1)</x:f>
        <x:v>1</x:v>
      </x:c>
      <x:c r="K6498" s="6" t="n">
        <x:f>IF(G6498&gt;H6498,1,0)</x:f>
        <x:v>0</x:v>
      </x:c>
      <x:c r="L6498" s="6" t="n">
        <x:f>J6498*K6498</x:f>
        <x:v>0</x:v>
      </x:c>
    </x:row>
    <x:row r="6499">
      <x:c r="A6499" s="1" t="n">
        <x:v>50895</x:v>
      </x:c>
      <x:c r="B6499" s="5" t="d">
        <x:v>2017-01-12T00:00:00.000Z</x:v>
      </x:c>
      <x:c r="C6499" s="1" t="str">
        <x:v>Standard Class</x:v>
      </x:c>
      <x:c r="D6499" s="1" t="str">
        <x:v>Africa</x:v>
      </x:c>
      <x:c r="E6499" s="1" t="str">
        <x:v>CLOSED</x:v>
      </x:c>
      <x:c r="F6499" s="1" t="str">
        <x:v>Late delivery</x:v>
      </x:c>
      <x:c r="G6499" s="6" t="n">
        <x:v>6</x:v>
      </x:c>
      <x:c r="H6499" s="6" t="n">
        <x:v>4</x:v>
      </x:c>
      <x:c r="I6499" s="6" t="n">
        <x:f>G6499-H6499</x:f>
        <x:v>2</x:v>
      </x:c>
      <x:c r="J6499" s="6" t="n">
        <x:f>IF(OR(E6499="CANCELED",E6499="SUSPECTED_FRAUD",F6499="Shipping canceled"),0,1)</x:f>
        <x:v>1</x:v>
      </x:c>
      <x:c r="K6499" s="6" t="n">
        <x:f>IF(G6499&gt;H6499,1,0)</x:f>
        <x:v>1</x:v>
      </x:c>
      <x:c r="L6499" s="6" t="n">
        <x:f>J6499*K6499</x:f>
        <x:v>1</x:v>
      </x:c>
    </x:row>
    <x:row r="6500">
      <x:c r="A6500" s="1" t="n">
        <x:v>50897</x:v>
      </x:c>
      <x:c r="B6500" s="5" t="d">
        <x:v>2017-01-12T00:00:00.000Z</x:v>
      </x:c>
      <x:c r="C6500" s="1" t="str">
        <x:v>Standard Class</x:v>
      </x:c>
      <x:c r="D6500" s="1" t="str">
        <x:v>Pacific Asia</x:v>
      </x:c>
      <x:c r="E6500" s="1" t="str">
        <x:v>SUSPECTED_FRAUD</x:v>
      </x:c>
      <x:c r="F6500" s="1" t="str">
        <x:v>Shipping canceled</x:v>
      </x:c>
      <x:c r="G6500" s="6" t="n">
        <x:v>3</x:v>
      </x:c>
      <x:c r="H6500" s="6" t="n">
        <x:v>4</x:v>
      </x:c>
      <x:c r="I6500" s="6" t="n">
        <x:f>G6500-H6500</x:f>
        <x:v>-1</x:v>
      </x:c>
      <x:c r="J6500" s="6" t="n">
        <x:f>IF(OR(E6500="CANCELED",E6500="SUSPECTED_FRAUD",F6500="Shipping canceled"),0,1)</x:f>
        <x:v>0</x:v>
      </x:c>
      <x:c r="K6500" s="6" t="n">
        <x:f>IF(G6500&gt;H6500,1,0)</x:f>
        <x:v>0</x:v>
      </x:c>
      <x:c r="L6500" s="6" t="n">
        <x:f>J6500*K6500</x:f>
        <x:v>0</x:v>
      </x:c>
    </x:row>
    <x:row r="6501">
      <x:c r="A6501" s="1" t="n">
        <x:v>50906</x:v>
      </x:c>
      <x:c r="B6501" s="5" t="d">
        <x:v>2017-01-13T00:00:00.000Z</x:v>
      </x:c>
      <x:c r="C6501" s="1" t="str">
        <x:v>Second Class</x:v>
      </x:c>
      <x:c r="D6501" s="1" t="str">
        <x:v>Africa</x:v>
      </x:c>
      <x:c r="E6501" s="1" t="str">
        <x:v>PROCESSING</x:v>
      </x:c>
      <x:c r="F6501" s="1" t="str">
        <x:v>Shipping on time</x:v>
      </x:c>
      <x:c r="G6501" s="6" t="n">
        <x:v>2</x:v>
      </x:c>
      <x:c r="H6501" s="6" t="n">
        <x:v>2</x:v>
      </x:c>
      <x:c r="I6501" s="6" t="n">
        <x:f>G6501-H6501</x:f>
        <x:v>0</x:v>
      </x:c>
      <x:c r="J6501" s="6" t="n">
        <x:f>IF(OR(E6501="CANCELED",E6501="SUSPECTED_FRAUD",F6501="Shipping canceled"),0,1)</x:f>
        <x:v>1</x:v>
      </x:c>
      <x:c r="K6501" s="6" t="n">
        <x:f>IF(G6501&gt;H6501,1,0)</x:f>
        <x:v>0</x:v>
      </x:c>
      <x:c r="L6501" s="6" t="n">
        <x:f>J6501*K6501</x:f>
        <x:v>0</x:v>
      </x:c>
    </x:row>
    <x:row r="6502">
      <x:c r="A6502" s="1" t="n">
        <x:v>50910</x:v>
      </x:c>
      <x:c r="B6502" s="5" t="d">
        <x:v>2017-01-13T00:00:00.000Z</x:v>
      </x:c>
      <x:c r="C6502" s="1" t="str">
        <x:v>Standard Class</x:v>
      </x:c>
      <x:c r="D6502" s="1" t="str">
        <x:v>Pacific Asia</x:v>
      </x:c>
      <x:c r="E6502" s="1" t="str">
        <x:v>PENDING_PAYMENT</x:v>
      </x:c>
      <x:c r="F6502" s="1" t="str">
        <x:v>Late delivery</x:v>
      </x:c>
      <x:c r="G6502" s="6" t="n">
        <x:v>6</x:v>
      </x:c>
      <x:c r="H6502" s="6" t="n">
        <x:v>4</x:v>
      </x:c>
      <x:c r="I6502" s="6" t="n">
        <x:f>G6502-H6502</x:f>
        <x:v>2</x:v>
      </x:c>
      <x:c r="J6502" s="6" t="n">
        <x:f>IF(OR(E6502="CANCELED",E6502="SUSPECTED_FRAUD",F6502="Shipping canceled"),0,1)</x:f>
        <x:v>1</x:v>
      </x:c>
      <x:c r="K6502" s="6" t="n">
        <x:f>IF(G6502&gt;H6502,1,0)</x:f>
        <x:v>1</x:v>
      </x:c>
      <x:c r="L6502" s="6" t="n">
        <x:f>J6502*K6502</x:f>
        <x:v>1</x:v>
      </x:c>
    </x:row>
    <x:row r="6503">
      <x:c r="A6503" s="1" t="n">
        <x:v>50932</x:v>
      </x:c>
      <x:c r="B6503" s="5" t="d">
        <x:v>2017-01-13T00:00:00.000Z</x:v>
      </x:c>
      <x:c r="C6503" s="1" t="str">
        <x:v>Second Class</x:v>
      </x:c>
      <x:c r="D6503" s="1" t="str">
        <x:v>USCA</x:v>
      </x:c>
      <x:c r="E6503" s="1" t="str">
        <x:v>CLOSED</x:v>
      </x:c>
      <x:c r="F6503" s="1" t="str">
        <x:v>Late delivery</x:v>
      </x:c>
      <x:c r="G6503" s="6" t="n">
        <x:v>3</x:v>
      </x:c>
      <x:c r="H6503" s="6" t="n">
        <x:v>2</x:v>
      </x:c>
      <x:c r="I6503" s="6" t="n">
        <x:f>G6503-H6503</x:f>
        <x:v>1</x:v>
      </x:c>
      <x:c r="J6503" s="6" t="n">
        <x:f>IF(OR(E6503="CANCELED",E6503="SUSPECTED_FRAUD",F6503="Shipping canceled"),0,1)</x:f>
        <x:v>1</x:v>
      </x:c>
      <x:c r="K6503" s="6" t="n">
        <x:f>IF(G6503&gt;H6503,1,0)</x:f>
        <x:v>1</x:v>
      </x:c>
      <x:c r="L6503" s="6" t="n">
        <x:f>J6503*K6503</x:f>
        <x:v>1</x:v>
      </x:c>
    </x:row>
    <x:row r="6504">
      <x:c r="A6504" s="1" t="n">
        <x:v>50942</x:v>
      </x:c>
      <x:c r="B6504" s="5" t="d">
        <x:v>2017-01-13T00:00:00.000Z</x:v>
      </x:c>
      <x:c r="C6504" s="1" t="str">
        <x:v>First Class</x:v>
      </x:c>
      <x:c r="D6504" s="1" t="str">
        <x:v>Africa</x:v>
      </x:c>
      <x:c r="E6504" s="1" t="str">
        <x:v>PENDING_PAYMENT</x:v>
      </x:c>
      <x:c r="F6504" s="1" t="str">
        <x:v>Late delivery</x:v>
      </x:c>
      <x:c r="G6504" s="6" t="n">
        <x:v>2</x:v>
      </x:c>
      <x:c r="H6504" s="6" t="n">
        <x:v>1</x:v>
      </x:c>
      <x:c r="I6504" s="6" t="n">
        <x:f>G6504-H6504</x:f>
        <x:v>1</x:v>
      </x:c>
      <x:c r="J6504" s="6" t="n">
        <x:f>IF(OR(E6504="CANCELED",E6504="SUSPECTED_FRAUD",F6504="Shipping canceled"),0,1)</x:f>
        <x:v>1</x:v>
      </x:c>
      <x:c r="K6504" s="6" t="n">
        <x:f>IF(G6504&gt;H6504,1,0)</x:f>
        <x:v>1</x:v>
      </x:c>
      <x:c r="L6504" s="6" t="n">
        <x:f>J6504*K6504</x:f>
        <x:v>1</x:v>
      </x:c>
    </x:row>
    <x:row r="6505">
      <x:c r="A6505" s="1" t="n">
        <x:v>50958</x:v>
      </x:c>
      <x:c r="B6505" s="5" t="d">
        <x:v>2017-01-13T00:00:00.000Z</x:v>
      </x:c>
      <x:c r="C6505" s="1" t="str">
        <x:v>Standard Class</x:v>
      </x:c>
      <x:c r="D6505" s="1" t="str">
        <x:v>Europe</x:v>
      </x:c>
      <x:c r="E6505" s="1" t="str">
        <x:v>COMPLETE</x:v>
      </x:c>
      <x:c r="F6505" s="1" t="str">
        <x:v>Shipping on time</x:v>
      </x:c>
      <x:c r="G6505" s="6" t="n">
        <x:v>4</x:v>
      </x:c>
      <x:c r="H6505" s="6" t="n">
        <x:v>4</x:v>
      </x:c>
      <x:c r="I6505" s="6" t="n">
        <x:f>G6505-H6505</x:f>
        <x:v>0</x:v>
      </x:c>
      <x:c r="J6505" s="6" t="n">
        <x:f>IF(OR(E6505="CANCELED",E6505="SUSPECTED_FRAUD",F6505="Shipping canceled"),0,1)</x:f>
        <x:v>1</x:v>
      </x:c>
      <x:c r="K6505" s="6" t="n">
        <x:f>IF(G6505&gt;H6505,1,0)</x:f>
        <x:v>0</x:v>
      </x:c>
      <x:c r="L6505" s="6" t="n">
        <x:f>J6505*K6505</x:f>
        <x:v>0</x:v>
      </x:c>
    </x:row>
    <x:row r="6506">
      <x:c r="A6506" s="1" t="n">
        <x:v>50968</x:v>
      </x:c>
      <x:c r="B6506" s="5" t="d">
        <x:v>2017-01-14T00:00:00.000Z</x:v>
      </x:c>
      <x:c r="C6506" s="1" t="str">
        <x:v>Second Class</x:v>
      </x:c>
      <x:c r="D6506" s="1" t="str">
        <x:v>Africa</x:v>
      </x:c>
      <x:c r="E6506" s="1" t="str">
        <x:v>CLOSED</x:v>
      </x:c>
      <x:c r="F6506" s="1" t="str">
        <x:v>Late delivery</x:v>
      </x:c>
      <x:c r="G6506" s="6" t="n">
        <x:v>4</x:v>
      </x:c>
      <x:c r="H6506" s="6" t="n">
        <x:v>2</x:v>
      </x:c>
      <x:c r="I6506" s="6" t="n">
        <x:f>G6506-H6506</x:f>
        <x:v>2</x:v>
      </x:c>
      <x:c r="J6506" s="6" t="n">
        <x:f>IF(OR(E6506="CANCELED",E6506="SUSPECTED_FRAUD",F6506="Shipping canceled"),0,1)</x:f>
        <x:v>1</x:v>
      </x:c>
      <x:c r="K6506" s="6" t="n">
        <x:f>IF(G6506&gt;H6506,1,0)</x:f>
        <x:v>1</x:v>
      </x:c>
      <x:c r="L6506" s="6" t="n">
        <x:f>J6506*K6506</x:f>
        <x:v>1</x:v>
      </x:c>
    </x:row>
    <x:row r="6507">
      <x:c r="A6507" s="1" t="n">
        <x:v>50971</x:v>
      </x:c>
      <x:c r="B6507" s="5" t="d">
        <x:v>2017-01-14T00:00:00.000Z</x:v>
      </x:c>
      <x:c r="C6507" s="1" t="str">
        <x:v>Second Class</x:v>
      </x:c>
      <x:c r="D6507" s="1" t="str">
        <x:v>Africa</x:v>
      </x:c>
      <x:c r="E6507" s="1" t="str">
        <x:v>COMPLETE</x:v>
      </x:c>
      <x:c r="F6507" s="1" t="str">
        <x:v>Shipping on time</x:v>
      </x:c>
      <x:c r="G6507" s="6" t="n">
        <x:v>2</x:v>
      </x:c>
      <x:c r="H6507" s="6" t="n">
        <x:v>2</x:v>
      </x:c>
      <x:c r="I6507" s="6" t="n">
        <x:f>G6507-H6507</x:f>
        <x:v>0</x:v>
      </x:c>
      <x:c r="J6507" s="6" t="n">
        <x:f>IF(OR(E6507="CANCELED",E6507="SUSPECTED_FRAUD",F6507="Shipping canceled"),0,1)</x:f>
        <x:v>1</x:v>
      </x:c>
      <x:c r="K6507" s="6" t="n">
        <x:f>IF(G6507&gt;H6507,1,0)</x:f>
        <x:v>0</x:v>
      </x:c>
      <x:c r="L6507" s="6" t="n">
        <x:f>J6507*K6507</x:f>
        <x:v>0</x:v>
      </x:c>
    </x:row>
    <x:row r="6508">
      <x:c r="A6508" s="1" t="n">
        <x:v>50976</x:v>
      </x:c>
      <x:c r="B6508" s="5" t="d">
        <x:v>2017-01-14T00:00:00.000Z</x:v>
      </x:c>
      <x:c r="C6508" s="1" t="str">
        <x:v>Standard Class</x:v>
      </x:c>
      <x:c r="D6508" s="1" t="str">
        <x:v>Europe</x:v>
      </x:c>
      <x:c r="E6508" s="1" t="str">
        <x:v>ON_HOLD</x:v>
      </x:c>
      <x:c r="F6508" s="1" t="str">
        <x:v>Advance shipping</x:v>
      </x:c>
      <x:c r="G6508" s="6" t="n">
        <x:v>2</x:v>
      </x:c>
      <x:c r="H6508" s="6" t="n">
        <x:v>4</x:v>
      </x:c>
      <x:c r="I6508" s="6" t="n">
        <x:f>G6508-H6508</x:f>
        <x:v>-2</x:v>
      </x:c>
      <x:c r="J6508" s="6" t="n">
        <x:f>IF(OR(E6508="CANCELED",E6508="SUSPECTED_FRAUD",F6508="Shipping canceled"),0,1)</x:f>
        <x:v>1</x:v>
      </x:c>
      <x:c r="K6508" s="6" t="n">
        <x:f>IF(G6508&gt;H6508,1,0)</x:f>
        <x:v>0</x:v>
      </x:c>
      <x:c r="L6508" s="6" t="n">
        <x:f>J6508*K6508</x:f>
        <x:v>0</x:v>
      </x:c>
    </x:row>
    <x:row r="6509">
      <x:c r="A6509" s="1" t="n">
        <x:v>51000</x:v>
      </x:c>
      <x:c r="B6509" s="5" t="d">
        <x:v>2017-01-14T00:00:00.000Z</x:v>
      </x:c>
      <x:c r="C6509" s="1" t="str">
        <x:v>Standard Class</x:v>
      </x:c>
      <x:c r="D6509" s="1" t="str">
        <x:v>Africa</x:v>
      </x:c>
      <x:c r="E6509" s="1" t="str">
        <x:v>COMPLETE</x:v>
      </x:c>
      <x:c r="F6509" s="1" t="str">
        <x:v>Late delivery</x:v>
      </x:c>
      <x:c r="G6509" s="6" t="n">
        <x:v>6</x:v>
      </x:c>
      <x:c r="H6509" s="6" t="n">
        <x:v>4</x:v>
      </x:c>
      <x:c r="I6509" s="6" t="n">
        <x:f>G6509-H6509</x:f>
        <x:v>2</x:v>
      </x:c>
      <x:c r="J6509" s="6" t="n">
        <x:f>IF(OR(E6509="CANCELED",E6509="SUSPECTED_FRAUD",F6509="Shipping canceled"),0,1)</x:f>
        <x:v>1</x:v>
      </x:c>
      <x:c r="K6509" s="6" t="n">
        <x:f>IF(G6509&gt;H6509,1,0)</x:f>
        <x:v>1</x:v>
      </x:c>
      <x:c r="L6509" s="6" t="n">
        <x:f>J6509*K6509</x:f>
        <x:v>1</x:v>
      </x:c>
    </x:row>
    <x:row r="6510">
      <x:c r="A6510" s="1" t="n">
        <x:v>51009</x:v>
      </x:c>
      <x:c r="B6510" s="5" t="d">
        <x:v>2017-01-14T00:00:00.000Z</x:v>
      </x:c>
      <x:c r="C6510" s="1" t="str">
        <x:v>Standard Class</x:v>
      </x:c>
      <x:c r="D6510" s="1" t="str">
        <x:v>Africa</x:v>
      </x:c>
      <x:c r="E6510" s="1" t="str">
        <x:v>PROCESSING</x:v>
      </x:c>
      <x:c r="F6510" s="1" t="str">
        <x:v>Late delivery</x:v>
      </x:c>
      <x:c r="G6510" s="6" t="n">
        <x:v>5</x:v>
      </x:c>
      <x:c r="H6510" s="6" t="n">
        <x:v>4</x:v>
      </x:c>
      <x:c r="I6510" s="6" t="n">
        <x:f>G6510-H6510</x:f>
        <x:v>1</x:v>
      </x:c>
      <x:c r="J6510" s="6" t="n">
        <x:f>IF(OR(E6510="CANCELED",E6510="SUSPECTED_FRAUD",F6510="Shipping canceled"),0,1)</x:f>
        <x:v>1</x:v>
      </x:c>
      <x:c r="K6510" s="6" t="n">
        <x:f>IF(G6510&gt;H6510,1,0)</x:f>
        <x:v>1</x:v>
      </x:c>
      <x:c r="L6510" s="6" t="n">
        <x:f>J6510*K6510</x:f>
        <x:v>1</x:v>
      </x:c>
    </x:row>
    <x:row r="6511">
      <x:c r="A6511" s="1" t="n">
        <x:v>51014</x:v>
      </x:c>
      <x:c r="B6511" s="5" t="d">
        <x:v>2017-01-14T00:00:00.000Z</x:v>
      </x:c>
      <x:c r="C6511" s="1" t="str">
        <x:v>Second Class</x:v>
      </x:c>
      <x:c r="D6511" s="1" t="str">
        <x:v>USCA</x:v>
      </x:c>
      <x:c r="E6511" s="1" t="str">
        <x:v>PENDING</x:v>
      </x:c>
      <x:c r="F6511" s="1" t="str">
        <x:v>Late delivery</x:v>
      </x:c>
      <x:c r="G6511" s="6" t="n">
        <x:v>5</x:v>
      </x:c>
      <x:c r="H6511" s="6" t="n">
        <x:v>2</x:v>
      </x:c>
      <x:c r="I6511" s="6" t="n">
        <x:f>G6511-H6511</x:f>
        <x:v>3</x:v>
      </x:c>
      <x:c r="J6511" s="6" t="n">
        <x:f>IF(OR(E6511="CANCELED",E6511="SUSPECTED_FRAUD",F6511="Shipping canceled"),0,1)</x:f>
        <x:v>1</x:v>
      </x:c>
      <x:c r="K6511" s="6" t="n">
        <x:f>IF(G6511&gt;H6511,1,0)</x:f>
        <x:v>1</x:v>
      </x:c>
      <x:c r="L6511" s="6" t="n">
        <x:f>J6511*K6511</x:f>
        <x:v>1</x:v>
      </x:c>
    </x:row>
    <x:row r="6512">
      <x:c r="A6512" s="1" t="n">
        <x:v>51028</x:v>
      </x:c>
      <x:c r="B6512" s="5" t="d">
        <x:v>2017-01-14T00:00:00.000Z</x:v>
      </x:c>
      <x:c r="C6512" s="1" t="str">
        <x:v>First Class</x:v>
      </x:c>
      <x:c r="D6512" s="1" t="str">
        <x:v>Europe</x:v>
      </x:c>
      <x:c r="E6512" s="1" t="str">
        <x:v>PROCESSING</x:v>
      </x:c>
      <x:c r="F6512" s="1" t="str">
        <x:v>Late delivery</x:v>
      </x:c>
      <x:c r="G6512" s="6" t="n">
        <x:v>2</x:v>
      </x:c>
      <x:c r="H6512" s="6" t="n">
        <x:v>1</x:v>
      </x:c>
      <x:c r="I6512" s="6" t="n">
        <x:f>G6512-H6512</x:f>
        <x:v>1</x:v>
      </x:c>
      <x:c r="J6512" s="6" t="n">
        <x:f>IF(OR(E6512="CANCELED",E6512="SUSPECTED_FRAUD",F6512="Shipping canceled"),0,1)</x:f>
        <x:v>1</x:v>
      </x:c>
      <x:c r="K6512" s="6" t="n">
        <x:f>IF(G6512&gt;H6512,1,0)</x:f>
        <x:v>1</x:v>
      </x:c>
      <x:c r="L6512" s="6" t="n">
        <x:f>J6512*K6512</x:f>
        <x:v>1</x:v>
      </x:c>
    </x:row>
    <x:row r="6513">
      <x:c r="A6513" s="1" t="n">
        <x:v>51048</x:v>
      </x:c>
      <x:c r="B6513" s="5" t="d">
        <x:v>2017-01-15T00:00:00.000Z</x:v>
      </x:c>
      <x:c r="C6513" s="1" t="str">
        <x:v>Standard Class</x:v>
      </x:c>
      <x:c r="D6513" s="1" t="str">
        <x:v>Africa</x:v>
      </x:c>
      <x:c r="E6513" s="1" t="str">
        <x:v>COMPLETE</x:v>
      </x:c>
      <x:c r="F6513" s="1" t="str">
        <x:v>Shipping on time</x:v>
      </x:c>
      <x:c r="G6513" s="6" t="n">
        <x:v>4</x:v>
      </x:c>
      <x:c r="H6513" s="6" t="n">
        <x:v>4</x:v>
      </x:c>
      <x:c r="I6513" s="6" t="n">
        <x:f>G6513-H6513</x:f>
        <x:v>0</x:v>
      </x:c>
      <x:c r="J6513" s="6" t="n">
        <x:f>IF(OR(E6513="CANCELED",E6513="SUSPECTED_FRAUD",F6513="Shipping canceled"),0,1)</x:f>
        <x:v>1</x:v>
      </x:c>
      <x:c r="K6513" s="6" t="n">
        <x:f>IF(G6513&gt;H6513,1,0)</x:f>
        <x:v>0</x:v>
      </x:c>
      <x:c r="L6513" s="6" t="n">
        <x:f>J6513*K6513</x:f>
        <x:v>0</x:v>
      </x:c>
    </x:row>
    <x:row r="6514">
      <x:c r="A6514" s="1" t="n">
        <x:v>51050</x:v>
      </x:c>
      <x:c r="B6514" s="5" t="d">
        <x:v>2017-01-15T00:00:00.000Z</x:v>
      </x:c>
      <x:c r="C6514" s="1" t="str">
        <x:v>Second Class</x:v>
      </x:c>
      <x:c r="D6514" s="1" t="str">
        <x:v>Africa</x:v>
      </x:c>
      <x:c r="E6514" s="1" t="str">
        <x:v>ON_HOLD</x:v>
      </x:c>
      <x:c r="F6514" s="1" t="str">
        <x:v>Late delivery</x:v>
      </x:c>
      <x:c r="G6514" s="6" t="n">
        <x:v>6</x:v>
      </x:c>
      <x:c r="H6514" s="6" t="n">
        <x:v>2</x:v>
      </x:c>
      <x:c r="I6514" s="6" t="n">
        <x:f>G6514-H6514</x:f>
        <x:v>4</x:v>
      </x:c>
      <x:c r="J6514" s="6" t="n">
        <x:f>IF(OR(E6514="CANCELED",E6514="SUSPECTED_FRAUD",F6514="Shipping canceled"),0,1)</x:f>
        <x:v>1</x:v>
      </x:c>
      <x:c r="K6514" s="6" t="n">
        <x:f>IF(G6514&gt;H6514,1,0)</x:f>
        <x:v>1</x:v>
      </x:c>
      <x:c r="L6514" s="6" t="n">
        <x:f>J6514*K6514</x:f>
        <x:v>1</x:v>
      </x:c>
    </x:row>
    <x:row r="6515">
      <x:c r="A6515" s="1" t="n">
        <x:v>51053</x:v>
      </x:c>
      <x:c r="B6515" s="5" t="d">
        <x:v>2017-01-15T00:00:00.000Z</x:v>
      </x:c>
      <x:c r="C6515" s="1" t="str">
        <x:v>Standard Class</x:v>
      </x:c>
      <x:c r="D6515" s="1" t="str">
        <x:v>Europe</x:v>
      </x:c>
      <x:c r="E6515" s="1" t="str">
        <x:v>PENDING</x:v>
      </x:c>
      <x:c r="F6515" s="1" t="str">
        <x:v>Shipping on time</x:v>
      </x:c>
      <x:c r="G6515" s="6" t="n">
        <x:v>4</x:v>
      </x:c>
      <x:c r="H6515" s="6" t="n">
        <x:v>4</x:v>
      </x:c>
      <x:c r="I6515" s="6" t="n">
        <x:f>G6515-H6515</x:f>
        <x:v>0</x:v>
      </x:c>
      <x:c r="J6515" s="6" t="n">
        <x:f>IF(OR(E6515="CANCELED",E6515="SUSPECTED_FRAUD",F6515="Shipping canceled"),0,1)</x:f>
        <x:v>1</x:v>
      </x:c>
      <x:c r="K6515" s="6" t="n">
        <x:f>IF(G6515&gt;H6515,1,0)</x:f>
        <x:v>0</x:v>
      </x:c>
      <x:c r="L6515" s="6" t="n">
        <x:f>J6515*K6515</x:f>
        <x:v>0</x:v>
      </x:c>
    </x:row>
    <x:row r="6516">
      <x:c r="A6516" s="1" t="n">
        <x:v>51057</x:v>
      </x:c>
      <x:c r="B6516" s="5" t="d">
        <x:v>2017-01-15T00:00:00.000Z</x:v>
      </x:c>
      <x:c r="C6516" s="1" t="str">
        <x:v>Standard Class</x:v>
      </x:c>
      <x:c r="D6516" s="1" t="str">
        <x:v>Africa</x:v>
      </x:c>
      <x:c r="E6516" s="1" t="str">
        <x:v>COMPLETE</x:v>
      </x:c>
      <x:c r="F6516" s="1" t="str">
        <x:v>Advance shipping</x:v>
      </x:c>
      <x:c r="G6516" s="6" t="n">
        <x:v>3</x:v>
      </x:c>
      <x:c r="H6516" s="6" t="n">
        <x:v>4</x:v>
      </x:c>
      <x:c r="I6516" s="6" t="n">
        <x:f>G6516-H6516</x:f>
        <x:v>-1</x:v>
      </x:c>
      <x:c r="J6516" s="6" t="n">
        <x:f>IF(OR(E6516="CANCELED",E6516="SUSPECTED_FRAUD",F6516="Shipping canceled"),0,1)</x:f>
        <x:v>1</x:v>
      </x:c>
      <x:c r="K6516" s="6" t="n">
        <x:f>IF(G6516&gt;H6516,1,0)</x:f>
        <x:v>0</x:v>
      </x:c>
      <x:c r="L6516" s="6" t="n">
        <x:f>J6516*K6516</x:f>
        <x:v>0</x:v>
      </x:c>
    </x:row>
    <x:row r="6517">
      <x:c r="A6517" s="1" t="n">
        <x:v>51110</x:v>
      </x:c>
      <x:c r="B6517" s="5" t="d">
        <x:v>2017-01-16T00:00:00.000Z</x:v>
      </x:c>
      <x:c r="C6517" s="1" t="str">
        <x:v>Standard Class</x:v>
      </x:c>
      <x:c r="D6517" s="1" t="str">
        <x:v>Africa</x:v>
      </x:c>
      <x:c r="E6517" s="1" t="str">
        <x:v>PENDING_PAYMENT</x:v>
      </x:c>
      <x:c r="F6517" s="1" t="str">
        <x:v>Late delivery</x:v>
      </x:c>
      <x:c r="G6517" s="6" t="n">
        <x:v>6</x:v>
      </x:c>
      <x:c r="H6517" s="6" t="n">
        <x:v>4</x:v>
      </x:c>
      <x:c r="I6517" s="6" t="n">
        <x:f>G6517-H6517</x:f>
        <x:v>2</x:v>
      </x:c>
      <x:c r="J6517" s="6" t="n">
        <x:f>IF(OR(E6517="CANCELED",E6517="SUSPECTED_FRAUD",F6517="Shipping canceled"),0,1)</x:f>
        <x:v>1</x:v>
      </x:c>
      <x:c r="K6517" s="6" t="n">
        <x:f>IF(G6517&gt;H6517,1,0)</x:f>
        <x:v>1</x:v>
      </x:c>
      <x:c r="L6517" s="6" t="n">
        <x:f>J6517*K6517</x:f>
        <x:v>1</x:v>
      </x:c>
    </x:row>
    <x:row r="6518">
      <x:c r="A6518" s="1" t="n">
        <x:v>51117</x:v>
      </x:c>
      <x:c r="B6518" s="5" t="d">
        <x:v>2017-01-16T00:00:00.000Z</x:v>
      </x:c>
      <x:c r="C6518" s="1" t="str">
        <x:v>Standard Class</x:v>
      </x:c>
      <x:c r="D6518" s="1" t="str">
        <x:v>Africa</x:v>
      </x:c>
      <x:c r="E6518" s="1" t="str">
        <x:v>PENDING</x:v>
      </x:c>
      <x:c r="F6518" s="1" t="str">
        <x:v>Advance shipping</x:v>
      </x:c>
      <x:c r="G6518" s="6" t="n">
        <x:v>3</x:v>
      </x:c>
      <x:c r="H6518" s="6" t="n">
        <x:v>4</x:v>
      </x:c>
      <x:c r="I6518" s="6" t="n">
        <x:f>G6518-H6518</x:f>
        <x:v>-1</x:v>
      </x:c>
      <x:c r="J6518" s="6" t="n">
        <x:f>IF(OR(E6518="CANCELED",E6518="SUSPECTED_FRAUD",F6518="Shipping canceled"),0,1)</x:f>
        <x:v>1</x:v>
      </x:c>
      <x:c r="K6518" s="6" t="n">
        <x:f>IF(G6518&gt;H6518,1,0)</x:f>
        <x:v>0</x:v>
      </x:c>
      <x:c r="L6518" s="6" t="n">
        <x:f>J6518*K6518</x:f>
        <x:v>0</x:v>
      </x:c>
    </x:row>
    <x:row r="6519">
      <x:c r="A6519" s="1" t="n">
        <x:v>51133</x:v>
      </x:c>
      <x:c r="B6519" s="5" t="d">
        <x:v>2017-01-16T00:00:00.000Z</x:v>
      </x:c>
      <x:c r="C6519" s="1" t="str">
        <x:v>Standard Class</x:v>
      </x:c>
      <x:c r="D6519" s="1" t="str">
        <x:v>Pacific Asia</x:v>
      </x:c>
      <x:c r="E6519" s="1" t="str">
        <x:v>COMPLETE</x:v>
      </x:c>
      <x:c r="F6519" s="1" t="str">
        <x:v>Shipping on time</x:v>
      </x:c>
      <x:c r="G6519" s="6" t="n">
        <x:v>4</x:v>
      </x:c>
      <x:c r="H6519" s="6" t="n">
        <x:v>4</x:v>
      </x:c>
      <x:c r="I6519" s="6" t="n">
        <x:f>G6519-H6519</x:f>
        <x:v>0</x:v>
      </x:c>
      <x:c r="J6519" s="6" t="n">
        <x:f>IF(OR(E6519="CANCELED",E6519="SUSPECTED_FRAUD",F6519="Shipping canceled"),0,1)</x:f>
        <x:v>1</x:v>
      </x:c>
      <x:c r="K6519" s="6" t="n">
        <x:f>IF(G6519&gt;H6519,1,0)</x:f>
        <x:v>0</x:v>
      </x:c>
      <x:c r="L6519" s="6" t="n">
        <x:f>J6519*K6519</x:f>
        <x:v>0</x:v>
      </x:c>
    </x:row>
    <x:row r="6520">
      <x:c r="A6520" s="1" t="n">
        <x:v>51143</x:v>
      </x:c>
      <x:c r="B6520" s="5" t="d">
        <x:v>2017-01-16T00:00:00.000Z</x:v>
      </x:c>
      <x:c r="C6520" s="1" t="str">
        <x:v>Standard Class</x:v>
      </x:c>
      <x:c r="D6520" s="1" t="str">
        <x:v>Pacific Asia</x:v>
      </x:c>
      <x:c r="E6520" s="1" t="str">
        <x:v>COMPLETE</x:v>
      </x:c>
      <x:c r="F6520" s="1" t="str">
        <x:v>Shipping on time</x:v>
      </x:c>
      <x:c r="G6520" s="6" t="n">
        <x:v>4</x:v>
      </x:c>
      <x:c r="H6520" s="6" t="n">
        <x:v>4</x:v>
      </x:c>
      <x:c r="I6520" s="6" t="n">
        <x:f>G6520-H6520</x:f>
        <x:v>0</x:v>
      </x:c>
      <x:c r="J6520" s="6" t="n">
        <x:f>IF(OR(E6520="CANCELED",E6520="SUSPECTED_FRAUD",F6520="Shipping canceled"),0,1)</x:f>
        <x:v>1</x:v>
      </x:c>
      <x:c r="K6520" s="6" t="n">
        <x:f>IF(G6520&gt;H6520,1,0)</x:f>
        <x:v>0</x:v>
      </x:c>
      <x:c r="L6520" s="6" t="n">
        <x:f>J6520*K6520</x:f>
        <x:v>0</x:v>
      </x:c>
    </x:row>
    <x:row r="6521">
      <x:c r="A6521" s="1" t="n">
        <x:v>51145</x:v>
      </x:c>
      <x:c r="B6521" s="5" t="d">
        <x:v>2017-01-16T00:00:00.000Z</x:v>
      </x:c>
      <x:c r="C6521" s="1" t="str">
        <x:v>Standard Class</x:v>
      </x:c>
      <x:c r="D6521" s="1" t="str">
        <x:v>Pacific Asia</x:v>
      </x:c>
      <x:c r="E6521" s="1" t="str">
        <x:v>PENDING</x:v>
      </x:c>
      <x:c r="F6521" s="1" t="str">
        <x:v>Late delivery</x:v>
      </x:c>
      <x:c r="G6521" s="6" t="n">
        <x:v>6</x:v>
      </x:c>
      <x:c r="H6521" s="6" t="n">
        <x:v>4</x:v>
      </x:c>
      <x:c r="I6521" s="6" t="n">
        <x:f>G6521-H6521</x:f>
        <x:v>2</x:v>
      </x:c>
      <x:c r="J6521" s="6" t="n">
        <x:f>IF(OR(E6521="CANCELED",E6521="SUSPECTED_FRAUD",F6521="Shipping canceled"),0,1)</x:f>
        <x:v>1</x:v>
      </x:c>
      <x:c r="K6521" s="6" t="n">
        <x:f>IF(G6521&gt;H6521,1,0)</x:f>
        <x:v>1</x:v>
      </x:c>
      <x:c r="L6521" s="6" t="n">
        <x:f>J6521*K6521</x:f>
        <x:v>1</x:v>
      </x:c>
    </x:row>
    <x:row r="6522">
      <x:c r="A6522" s="1" t="n">
        <x:v>51162</x:v>
      </x:c>
      <x:c r="B6522" s="5" t="d">
        <x:v>2017-01-16T00:00:00.000Z</x:v>
      </x:c>
      <x:c r="C6522" s="1" t="str">
        <x:v>Standard Class</x:v>
      </x:c>
      <x:c r="D6522" s="1" t="str">
        <x:v>Pacific Asia</x:v>
      </x:c>
      <x:c r="E6522" s="1" t="str">
        <x:v>COMPLETE</x:v>
      </x:c>
      <x:c r="F6522" s="1" t="str">
        <x:v>Advance shipping</x:v>
      </x:c>
      <x:c r="G6522" s="6" t="n">
        <x:v>3</x:v>
      </x:c>
      <x:c r="H6522" s="6" t="n">
        <x:v>4</x:v>
      </x:c>
      <x:c r="I6522" s="6" t="n">
        <x:f>G6522-H6522</x:f>
        <x:v>-1</x:v>
      </x:c>
      <x:c r="J6522" s="6" t="n">
        <x:f>IF(OR(E6522="CANCELED",E6522="SUSPECTED_FRAUD",F6522="Shipping canceled"),0,1)</x:f>
        <x:v>1</x:v>
      </x:c>
      <x:c r="K6522" s="6" t="n">
        <x:f>IF(G6522&gt;H6522,1,0)</x:f>
        <x:v>0</x:v>
      </x:c>
      <x:c r="L6522" s="6" t="n">
        <x:f>J6522*K6522</x:f>
        <x:v>0</x:v>
      </x:c>
    </x:row>
    <x:row r="6523">
      <x:c r="A6523" s="1" t="n">
        <x:v>51168</x:v>
      </x:c>
      <x:c r="B6523" s="5" t="d">
        <x:v>2017-01-16T00:00:00.000Z</x:v>
      </x:c>
      <x:c r="C6523" s="1" t="str">
        <x:v>Standard Class</x:v>
      </x:c>
      <x:c r="D6523" s="1" t="str">
        <x:v>Africa</x:v>
      </x:c>
      <x:c r="E6523" s="1" t="str">
        <x:v>CANCELED</x:v>
      </x:c>
      <x:c r="F6523" s="1" t="str">
        <x:v>Shipping canceled</x:v>
      </x:c>
      <x:c r="G6523" s="6" t="n">
        <x:v>4</x:v>
      </x:c>
      <x:c r="H6523" s="6" t="n">
        <x:v>4</x:v>
      </x:c>
      <x:c r="I6523" s="6" t="n">
        <x:f>G6523-H6523</x:f>
        <x:v>0</x:v>
      </x:c>
      <x:c r="J6523" s="6" t="n">
        <x:f>IF(OR(E6523="CANCELED",E6523="SUSPECTED_FRAUD",F6523="Shipping canceled"),0,1)</x:f>
        <x:v>0</x:v>
      </x:c>
      <x:c r="K6523" s="6" t="n">
        <x:f>IF(G6523&gt;H6523,1,0)</x:f>
        <x:v>0</x:v>
      </x:c>
      <x:c r="L6523" s="6" t="n">
        <x:f>J6523*K6523</x:f>
        <x:v>0</x:v>
      </x:c>
    </x:row>
    <x:row r="6524">
      <x:c r="A6524" s="1" t="n">
        <x:v>51177</x:v>
      </x:c>
      <x:c r="B6524" s="5" t="d">
        <x:v>2017-01-17T00:00:00.000Z</x:v>
      </x:c>
      <x:c r="C6524" s="1" t="str">
        <x:v>Standard Class</x:v>
      </x:c>
      <x:c r="D6524" s="1" t="str">
        <x:v>Pacific Asia</x:v>
      </x:c>
      <x:c r="E6524" s="1" t="str">
        <x:v>CANCELED</x:v>
      </x:c>
      <x:c r="F6524" s="1" t="str">
        <x:v>Shipping canceled</x:v>
      </x:c>
      <x:c r="G6524" s="6" t="n">
        <x:v>3</x:v>
      </x:c>
      <x:c r="H6524" s="6" t="n">
        <x:v>4</x:v>
      </x:c>
      <x:c r="I6524" s="6" t="n">
        <x:f>G6524-H6524</x:f>
        <x:v>-1</x:v>
      </x:c>
      <x:c r="J6524" s="6" t="n">
        <x:f>IF(OR(E6524="CANCELED",E6524="SUSPECTED_FRAUD",F6524="Shipping canceled"),0,1)</x:f>
        <x:v>0</x:v>
      </x:c>
      <x:c r="K6524" s="6" t="n">
        <x:f>IF(G6524&gt;H6524,1,0)</x:f>
        <x:v>0</x:v>
      </x:c>
      <x:c r="L6524" s="6" t="n">
        <x:f>J6524*K6524</x:f>
        <x:v>0</x:v>
      </x:c>
    </x:row>
    <x:row r="6525">
      <x:c r="A6525" s="1" t="n">
        <x:v>51197</x:v>
      </x:c>
      <x:c r="B6525" s="5" t="d">
        <x:v>2017-01-17T00:00:00.000Z</x:v>
      </x:c>
      <x:c r="C6525" s="1" t="str">
        <x:v>Standard Class</x:v>
      </x:c>
      <x:c r="D6525" s="1" t="str">
        <x:v>Africa</x:v>
      </x:c>
      <x:c r="E6525" s="1" t="str">
        <x:v>ON_HOLD</x:v>
      </x:c>
      <x:c r="F6525" s="1" t="str">
        <x:v>Advance shipping</x:v>
      </x:c>
      <x:c r="G6525" s="6" t="n">
        <x:v>3</x:v>
      </x:c>
      <x:c r="H6525" s="6" t="n">
        <x:v>4</x:v>
      </x:c>
      <x:c r="I6525" s="6" t="n">
        <x:f>G6525-H6525</x:f>
        <x:v>-1</x:v>
      </x:c>
      <x:c r="J6525" s="6" t="n">
        <x:f>IF(OR(E6525="CANCELED",E6525="SUSPECTED_FRAUD",F6525="Shipping canceled"),0,1)</x:f>
        <x:v>1</x:v>
      </x:c>
      <x:c r="K6525" s="6" t="n">
        <x:f>IF(G6525&gt;H6525,1,0)</x:f>
        <x:v>0</x:v>
      </x:c>
      <x:c r="L6525" s="6" t="n">
        <x:f>J6525*K6525</x:f>
        <x:v>0</x:v>
      </x:c>
    </x:row>
    <x:row r="6526">
      <x:c r="A6526" s="1" t="n">
        <x:v>51204</x:v>
      </x:c>
      <x:c r="B6526" s="5" t="d">
        <x:v>2017-01-17T00:00:00.000Z</x:v>
      </x:c>
      <x:c r="C6526" s="1" t="str">
        <x:v>First Class</x:v>
      </x:c>
      <x:c r="D6526" s="1" t="str">
        <x:v>Africa</x:v>
      </x:c>
      <x:c r="E6526" s="1" t="str">
        <x:v>PENDING_PAYMENT</x:v>
      </x:c>
      <x:c r="F6526" s="1" t="str">
        <x:v>Late delivery</x:v>
      </x:c>
      <x:c r="G6526" s="6" t="n">
        <x:v>2</x:v>
      </x:c>
      <x:c r="H6526" s="6" t="n">
        <x:v>1</x:v>
      </x:c>
      <x:c r="I6526" s="6" t="n">
        <x:f>G6526-H6526</x:f>
        <x:v>1</x:v>
      </x:c>
      <x:c r="J6526" s="6" t="n">
        <x:f>IF(OR(E6526="CANCELED",E6526="SUSPECTED_FRAUD",F6526="Shipping canceled"),0,1)</x:f>
        <x:v>1</x:v>
      </x:c>
      <x:c r="K6526" s="6" t="n">
        <x:f>IF(G6526&gt;H6526,1,0)</x:f>
        <x:v>1</x:v>
      </x:c>
      <x:c r="L6526" s="6" t="n">
        <x:f>J6526*K6526</x:f>
        <x:v>1</x:v>
      </x:c>
    </x:row>
    <x:row r="6527">
      <x:c r="A6527" s="1" t="n">
        <x:v>51209</x:v>
      </x:c>
      <x:c r="B6527" s="5" t="d">
        <x:v>2017-01-17T00:00:00.000Z</x:v>
      </x:c>
      <x:c r="C6527" s="1" t="str">
        <x:v>Standard Class</x:v>
      </x:c>
      <x:c r="D6527" s="1" t="str">
        <x:v>Pacific Asia</x:v>
      </x:c>
      <x:c r="E6527" s="1" t="str">
        <x:v>COMPLETE</x:v>
      </x:c>
      <x:c r="F6527" s="1" t="str">
        <x:v>Late delivery</x:v>
      </x:c>
      <x:c r="G6527" s="6" t="n">
        <x:v>5</x:v>
      </x:c>
      <x:c r="H6527" s="6" t="n">
        <x:v>4</x:v>
      </x:c>
      <x:c r="I6527" s="6" t="n">
        <x:f>G6527-H6527</x:f>
        <x:v>1</x:v>
      </x:c>
      <x:c r="J6527" s="6" t="n">
        <x:f>IF(OR(E6527="CANCELED",E6527="SUSPECTED_FRAUD",F6527="Shipping canceled"),0,1)</x:f>
        <x:v>1</x:v>
      </x:c>
      <x:c r="K6527" s="6" t="n">
        <x:f>IF(G6527&gt;H6527,1,0)</x:f>
        <x:v>1</x:v>
      </x:c>
      <x:c r="L6527" s="6" t="n">
        <x:f>J6527*K6527</x:f>
        <x:v>1</x:v>
      </x:c>
    </x:row>
    <x:row r="6528">
      <x:c r="A6528" s="1" t="n">
        <x:v>51211</x:v>
      </x:c>
      <x:c r="B6528" s="5" t="d">
        <x:v>2017-01-17T00:00:00.000Z</x:v>
      </x:c>
      <x:c r="C6528" s="1" t="str">
        <x:v>Standard Class</x:v>
      </x:c>
      <x:c r="D6528" s="1" t="str">
        <x:v>Pacific Asia</x:v>
      </x:c>
      <x:c r="E6528" s="1" t="str">
        <x:v>CLOSED</x:v>
      </x:c>
      <x:c r="F6528" s="1" t="str">
        <x:v>Advance shipping</x:v>
      </x:c>
      <x:c r="G6528" s="6" t="n">
        <x:v>2</x:v>
      </x:c>
      <x:c r="H6528" s="6" t="n">
        <x:v>4</x:v>
      </x:c>
      <x:c r="I6528" s="6" t="n">
        <x:f>G6528-H6528</x:f>
        <x:v>-2</x:v>
      </x:c>
      <x:c r="J6528" s="6" t="n">
        <x:f>IF(OR(E6528="CANCELED",E6528="SUSPECTED_FRAUD",F6528="Shipping canceled"),0,1)</x:f>
        <x:v>1</x:v>
      </x:c>
      <x:c r="K6528" s="6" t="n">
        <x:f>IF(G6528&gt;H6528,1,0)</x:f>
        <x:v>0</x:v>
      </x:c>
      <x:c r="L6528" s="6" t="n">
        <x:f>J6528*K6528</x:f>
        <x:v>0</x:v>
      </x:c>
    </x:row>
    <x:row r="6529">
      <x:c r="A6529" s="1" t="n">
        <x:v>51220</x:v>
      </x:c>
      <x:c r="B6529" s="5" t="d">
        <x:v>2017-01-17T00:00:00.000Z</x:v>
      </x:c>
      <x:c r="C6529" s="1" t="str">
        <x:v>Standard Class</x:v>
      </x:c>
      <x:c r="D6529" s="1" t="str">
        <x:v>Pacific Asia</x:v>
      </x:c>
      <x:c r="E6529" s="1" t="str">
        <x:v>COMPLETE</x:v>
      </x:c>
      <x:c r="F6529" s="1" t="str">
        <x:v>Late delivery</x:v>
      </x:c>
      <x:c r="G6529" s="6" t="n">
        <x:v>6</x:v>
      </x:c>
      <x:c r="H6529" s="6" t="n">
        <x:v>4</x:v>
      </x:c>
      <x:c r="I6529" s="6" t="n">
        <x:f>G6529-H6529</x:f>
        <x:v>2</x:v>
      </x:c>
      <x:c r="J6529" s="6" t="n">
        <x:f>IF(OR(E6529="CANCELED",E6529="SUSPECTED_FRAUD",F6529="Shipping canceled"),0,1)</x:f>
        <x:v>1</x:v>
      </x:c>
      <x:c r="K6529" s="6" t="n">
        <x:f>IF(G6529&gt;H6529,1,0)</x:f>
        <x:v>1</x:v>
      </x:c>
      <x:c r="L6529" s="6" t="n">
        <x:f>J6529*K6529</x:f>
        <x:v>1</x:v>
      </x:c>
    </x:row>
    <x:row r="6530">
      <x:c r="A6530" s="1" t="n">
        <x:v>51226</x:v>
      </x:c>
      <x:c r="B6530" s="5" t="d">
        <x:v>2017-01-17T00:00:00.000Z</x:v>
      </x:c>
      <x:c r="C6530" s="1" t="str">
        <x:v>Second Class</x:v>
      </x:c>
      <x:c r="D6530" s="1" t="str">
        <x:v>Europe</x:v>
      </x:c>
      <x:c r="E6530" s="1" t="str">
        <x:v>PENDING_PAYMENT</x:v>
      </x:c>
      <x:c r="F6530" s="1" t="str">
        <x:v>Shipping on time</x:v>
      </x:c>
      <x:c r="G6530" s="6" t="n">
        <x:v>2</x:v>
      </x:c>
      <x:c r="H6530" s="6" t="n">
        <x:v>2</x:v>
      </x:c>
      <x:c r="I6530" s="6" t="n">
        <x:f>G6530-H6530</x:f>
        <x:v>0</x:v>
      </x:c>
      <x:c r="J6530" s="6" t="n">
        <x:f>IF(OR(E6530="CANCELED",E6530="SUSPECTED_FRAUD",F6530="Shipping canceled"),0,1)</x:f>
        <x:v>1</x:v>
      </x:c>
      <x:c r="K6530" s="6" t="n">
        <x:f>IF(G6530&gt;H6530,1,0)</x:f>
        <x:v>0</x:v>
      </x:c>
      <x:c r="L6530" s="6" t="n">
        <x:f>J6530*K6530</x:f>
        <x:v>0</x:v>
      </x:c>
    </x:row>
    <x:row r="6531">
      <x:c r="A6531" s="1" t="n">
        <x:v>51236</x:v>
      </x:c>
      <x:c r="B6531" s="5" t="d">
        <x:v>2017-01-17T00:00:00.000Z</x:v>
      </x:c>
      <x:c r="C6531" s="1" t="str">
        <x:v>Standard Class</x:v>
      </x:c>
      <x:c r="D6531" s="1" t="str">
        <x:v>Pacific Asia</x:v>
      </x:c>
      <x:c r="E6531" s="1" t="str">
        <x:v>COMPLETE</x:v>
      </x:c>
      <x:c r="F6531" s="1" t="str">
        <x:v>Advance shipping</x:v>
      </x:c>
      <x:c r="G6531" s="6" t="n">
        <x:v>2</x:v>
      </x:c>
      <x:c r="H6531" s="6" t="n">
        <x:v>4</x:v>
      </x:c>
      <x:c r="I6531" s="6" t="n">
        <x:f>G6531-H6531</x:f>
        <x:v>-2</x:v>
      </x:c>
      <x:c r="J6531" s="6" t="n">
        <x:f>IF(OR(E6531="CANCELED",E6531="SUSPECTED_FRAUD",F6531="Shipping canceled"),0,1)</x:f>
        <x:v>1</x:v>
      </x:c>
      <x:c r="K6531" s="6" t="n">
        <x:f>IF(G6531&gt;H6531,1,0)</x:f>
        <x:v>0</x:v>
      </x:c>
      <x:c r="L6531" s="6" t="n">
        <x:f>J6531*K6531</x:f>
        <x:v>0</x:v>
      </x:c>
    </x:row>
    <x:row r="6532">
      <x:c r="A6532" s="1" t="n">
        <x:v>51242</x:v>
      </x:c>
      <x:c r="B6532" s="5" t="d">
        <x:v>2017-01-18T00:00:00.000Z</x:v>
      </x:c>
      <x:c r="C6532" s="1" t="str">
        <x:v>Standard Class</x:v>
      </x:c>
      <x:c r="D6532" s="1" t="str">
        <x:v>Africa</x:v>
      </x:c>
      <x:c r="E6532" s="1" t="str">
        <x:v>COMPLETE</x:v>
      </x:c>
      <x:c r="F6532" s="1" t="str">
        <x:v>Advance shipping</x:v>
      </x:c>
      <x:c r="G6532" s="6" t="n">
        <x:v>3</x:v>
      </x:c>
      <x:c r="H6532" s="6" t="n">
        <x:v>4</x:v>
      </x:c>
      <x:c r="I6532" s="6" t="n">
        <x:f>G6532-H6532</x:f>
        <x:v>-1</x:v>
      </x:c>
      <x:c r="J6532" s="6" t="n">
        <x:f>IF(OR(E6532="CANCELED",E6532="SUSPECTED_FRAUD",F6532="Shipping canceled"),0,1)</x:f>
        <x:v>1</x:v>
      </x:c>
      <x:c r="K6532" s="6" t="n">
        <x:f>IF(G6532&gt;H6532,1,0)</x:f>
        <x:v>0</x:v>
      </x:c>
      <x:c r="L6532" s="6" t="n">
        <x:f>J6532*K6532</x:f>
        <x:v>0</x:v>
      </x:c>
    </x:row>
    <x:row r="6533">
      <x:c r="A6533" s="1" t="n">
        <x:v>51248</x:v>
      </x:c>
      <x:c r="B6533" s="5" t="d">
        <x:v>2017-01-18T00:00:00.000Z</x:v>
      </x:c>
      <x:c r="C6533" s="1" t="str">
        <x:v>Standard Class</x:v>
      </x:c>
      <x:c r="D6533" s="1" t="str">
        <x:v>Africa</x:v>
      </x:c>
      <x:c r="E6533" s="1" t="str">
        <x:v>SUSPECTED_FRAUD</x:v>
      </x:c>
      <x:c r="F6533" s="1" t="str">
        <x:v>Shipping canceled</x:v>
      </x:c>
      <x:c r="G6533" s="6" t="n">
        <x:v>4</x:v>
      </x:c>
      <x:c r="H6533" s="6" t="n">
        <x:v>4</x:v>
      </x:c>
      <x:c r="I6533" s="6" t="n">
        <x:f>G6533-H6533</x:f>
        <x:v>0</x:v>
      </x:c>
      <x:c r="J6533" s="6" t="n">
        <x:f>IF(OR(E6533="CANCELED",E6533="SUSPECTED_FRAUD",F6533="Shipping canceled"),0,1)</x:f>
        <x:v>0</x:v>
      </x:c>
      <x:c r="K6533" s="6" t="n">
        <x:f>IF(G6533&gt;H6533,1,0)</x:f>
        <x:v>0</x:v>
      </x:c>
      <x:c r="L6533" s="6" t="n">
        <x:f>J6533*K6533</x:f>
        <x:v>0</x:v>
      </x:c>
    </x:row>
    <x:row r="6534">
      <x:c r="A6534" s="1" t="n">
        <x:v>51255</x:v>
      </x:c>
      <x:c r="B6534" s="5" t="d">
        <x:v>2017-01-18T00:00:00.000Z</x:v>
      </x:c>
      <x:c r="C6534" s="1" t="str">
        <x:v>Standard Class</x:v>
      </x:c>
      <x:c r="D6534" s="1" t="str">
        <x:v>Africa</x:v>
      </x:c>
      <x:c r="E6534" s="1" t="str">
        <x:v>PENDING_PAYMENT</x:v>
      </x:c>
      <x:c r="F6534" s="1" t="str">
        <x:v>Late delivery</x:v>
      </x:c>
      <x:c r="G6534" s="6" t="n">
        <x:v>6</x:v>
      </x:c>
      <x:c r="H6534" s="6" t="n">
        <x:v>4</x:v>
      </x:c>
      <x:c r="I6534" s="6" t="n">
        <x:f>G6534-H6534</x:f>
        <x:v>2</x:v>
      </x:c>
      <x:c r="J6534" s="6" t="n">
        <x:f>IF(OR(E6534="CANCELED",E6534="SUSPECTED_FRAUD",F6534="Shipping canceled"),0,1)</x:f>
        <x:v>1</x:v>
      </x:c>
      <x:c r="K6534" s="6" t="n">
        <x:f>IF(G6534&gt;H6534,1,0)</x:f>
        <x:v>1</x:v>
      </x:c>
      <x:c r="L6534" s="6" t="n">
        <x:f>J6534*K6534</x:f>
        <x:v>1</x:v>
      </x:c>
    </x:row>
    <x:row r="6535">
      <x:c r="A6535" s="1" t="n">
        <x:v>51257</x:v>
      </x:c>
      <x:c r="B6535" s="5" t="d">
        <x:v>2017-01-18T00:00:00.000Z</x:v>
      </x:c>
      <x:c r="C6535" s="1" t="str">
        <x:v>Standard Class</x:v>
      </x:c>
      <x:c r="D6535" s="1" t="str">
        <x:v>Africa</x:v>
      </x:c>
      <x:c r="E6535" s="1" t="str">
        <x:v>PROCESSING</x:v>
      </x:c>
      <x:c r="F6535" s="1" t="str">
        <x:v>Advance shipping</x:v>
      </x:c>
      <x:c r="G6535" s="6" t="n">
        <x:v>3</x:v>
      </x:c>
      <x:c r="H6535" s="6" t="n">
        <x:v>4</x:v>
      </x:c>
      <x:c r="I6535" s="6" t="n">
        <x:f>G6535-H6535</x:f>
        <x:v>-1</x:v>
      </x:c>
      <x:c r="J6535" s="6" t="n">
        <x:f>IF(OR(E6535="CANCELED",E6535="SUSPECTED_FRAUD",F6535="Shipping canceled"),0,1)</x:f>
        <x:v>1</x:v>
      </x:c>
      <x:c r="K6535" s="6" t="n">
        <x:f>IF(G6535&gt;H6535,1,0)</x:f>
        <x:v>0</x:v>
      </x:c>
      <x:c r="L6535" s="6" t="n">
        <x:f>J6535*K6535</x:f>
        <x:v>0</x:v>
      </x:c>
    </x:row>
    <x:row r="6536">
      <x:c r="A6536" s="1" t="n">
        <x:v>51258</x:v>
      </x:c>
      <x:c r="B6536" s="5" t="d">
        <x:v>2017-01-18T00:00:00.000Z</x:v>
      </x:c>
      <x:c r="C6536" s="1" t="str">
        <x:v>Standard Class</x:v>
      </x:c>
      <x:c r="D6536" s="1" t="str">
        <x:v>Africa</x:v>
      </x:c>
      <x:c r="E6536" s="1" t="str">
        <x:v>COMPLETE</x:v>
      </x:c>
      <x:c r="F6536" s="1" t="str">
        <x:v>Shipping on time</x:v>
      </x:c>
      <x:c r="G6536" s="6" t="n">
        <x:v>4</x:v>
      </x:c>
      <x:c r="H6536" s="6" t="n">
        <x:v>4</x:v>
      </x:c>
      <x:c r="I6536" s="6" t="n">
        <x:f>G6536-H6536</x:f>
        <x:v>0</x:v>
      </x:c>
      <x:c r="J6536" s="6" t="n">
        <x:f>IF(OR(E6536="CANCELED",E6536="SUSPECTED_FRAUD",F6536="Shipping canceled"),0,1)</x:f>
        <x:v>1</x:v>
      </x:c>
      <x:c r="K6536" s="6" t="n">
        <x:f>IF(G6536&gt;H6536,1,0)</x:f>
        <x:v>0</x:v>
      </x:c>
      <x:c r="L6536" s="6" t="n">
        <x:f>J6536*K6536</x:f>
        <x:v>0</x:v>
      </x:c>
    </x:row>
    <x:row r="6537">
      <x:c r="A6537" s="1" t="n">
        <x:v>51263</x:v>
      </x:c>
      <x:c r="B6537" s="5" t="d">
        <x:v>2017-01-18T00:00:00.000Z</x:v>
      </x:c>
      <x:c r="C6537" s="1" t="str">
        <x:v>Standard Class</x:v>
      </x:c>
      <x:c r="D6537" s="1" t="str">
        <x:v>Africa</x:v>
      </x:c>
      <x:c r="E6537" s="1" t="str">
        <x:v>CLOSED</x:v>
      </x:c>
      <x:c r="F6537" s="1" t="str">
        <x:v>Shipping on time</x:v>
      </x:c>
      <x:c r="G6537" s="6" t="n">
        <x:v>4</x:v>
      </x:c>
      <x:c r="H6537" s="6" t="n">
        <x:v>4</x:v>
      </x:c>
      <x:c r="I6537" s="6" t="n">
        <x:f>G6537-H6537</x:f>
        <x:v>0</x:v>
      </x:c>
      <x:c r="J6537" s="6" t="n">
        <x:f>IF(OR(E6537="CANCELED",E6537="SUSPECTED_FRAUD",F6537="Shipping canceled"),0,1)</x:f>
        <x:v>1</x:v>
      </x:c>
      <x:c r="K6537" s="6" t="n">
        <x:f>IF(G6537&gt;H6537,1,0)</x:f>
        <x:v>0</x:v>
      </x:c>
      <x:c r="L6537" s="6" t="n">
        <x:f>J6537*K6537</x:f>
        <x:v>0</x:v>
      </x:c>
    </x:row>
    <x:row r="6538">
      <x:c r="A6538" s="1" t="n">
        <x:v>51266</x:v>
      </x:c>
      <x:c r="B6538" s="5" t="d">
        <x:v>2017-01-18T00:00:00.000Z</x:v>
      </x:c>
      <x:c r="C6538" s="1" t="str">
        <x:v>Second Class</x:v>
      </x:c>
      <x:c r="D6538" s="1" t="str">
        <x:v>Europe</x:v>
      </x:c>
      <x:c r="E6538" s="1" t="str">
        <x:v>PENDING</x:v>
      </x:c>
      <x:c r="F6538" s="1" t="str">
        <x:v>Shipping on time</x:v>
      </x:c>
      <x:c r="G6538" s="6" t="n">
        <x:v>2</x:v>
      </x:c>
      <x:c r="H6538" s="6" t="n">
        <x:v>2</x:v>
      </x:c>
      <x:c r="I6538" s="6" t="n">
        <x:f>G6538-H6538</x:f>
        <x:v>0</x:v>
      </x:c>
      <x:c r="J6538" s="6" t="n">
        <x:f>IF(OR(E6538="CANCELED",E6538="SUSPECTED_FRAUD",F6538="Shipping canceled"),0,1)</x:f>
        <x:v>1</x:v>
      </x:c>
      <x:c r="K6538" s="6" t="n">
        <x:f>IF(G6538&gt;H6538,1,0)</x:f>
        <x:v>0</x:v>
      </x:c>
      <x:c r="L6538" s="6" t="n">
        <x:f>J6538*K6538</x:f>
        <x:v>0</x:v>
      </x:c>
    </x:row>
    <x:row r="6539">
      <x:c r="A6539" s="1" t="n">
        <x:v>51280</x:v>
      </x:c>
      <x:c r="B6539" s="5" t="d">
        <x:v>2017-01-18T00:00:00.000Z</x:v>
      </x:c>
      <x:c r="C6539" s="1" t="str">
        <x:v>Standard Class</x:v>
      </x:c>
      <x:c r="D6539" s="1" t="str">
        <x:v>Pacific Asia</x:v>
      </x:c>
      <x:c r="E6539" s="1" t="str">
        <x:v>COMPLETE</x:v>
      </x:c>
      <x:c r="F6539" s="1" t="str">
        <x:v>Late delivery</x:v>
      </x:c>
      <x:c r="G6539" s="6" t="n">
        <x:v>6</x:v>
      </x:c>
      <x:c r="H6539" s="6" t="n">
        <x:v>4</x:v>
      </x:c>
      <x:c r="I6539" s="6" t="n">
        <x:f>G6539-H6539</x:f>
        <x:v>2</x:v>
      </x:c>
      <x:c r="J6539" s="6" t="n">
        <x:f>IF(OR(E6539="CANCELED",E6539="SUSPECTED_FRAUD",F6539="Shipping canceled"),0,1)</x:f>
        <x:v>1</x:v>
      </x:c>
      <x:c r="K6539" s="6" t="n">
        <x:f>IF(G6539&gt;H6539,1,0)</x:f>
        <x:v>1</x:v>
      </x:c>
      <x:c r="L6539" s="6" t="n">
        <x:f>J6539*K6539</x:f>
        <x:v>1</x:v>
      </x:c>
    </x:row>
    <x:row r="6540">
      <x:c r="A6540" s="1" t="n">
        <x:v>51287</x:v>
      </x:c>
      <x:c r="B6540" s="5" t="d">
        <x:v>2017-01-18T00:00:00.000Z</x:v>
      </x:c>
      <x:c r="C6540" s="1" t="str">
        <x:v>Standard Class</x:v>
      </x:c>
      <x:c r="D6540" s="1" t="str">
        <x:v>Europe</x:v>
      </x:c>
      <x:c r="E6540" s="1" t="str">
        <x:v>COMPLETE</x:v>
      </x:c>
      <x:c r="F6540" s="1" t="str">
        <x:v>Advance shipping</x:v>
      </x:c>
      <x:c r="G6540" s="6" t="n">
        <x:v>3</x:v>
      </x:c>
      <x:c r="H6540" s="6" t="n">
        <x:v>4</x:v>
      </x:c>
      <x:c r="I6540" s="6" t="n">
        <x:f>G6540-H6540</x:f>
        <x:v>-1</x:v>
      </x:c>
      <x:c r="J6540" s="6" t="n">
        <x:f>IF(OR(E6540="CANCELED",E6540="SUSPECTED_FRAUD",F6540="Shipping canceled"),0,1)</x:f>
        <x:v>1</x:v>
      </x:c>
      <x:c r="K6540" s="6" t="n">
        <x:f>IF(G6540&gt;H6540,1,0)</x:f>
        <x:v>0</x:v>
      </x:c>
      <x:c r="L6540" s="6" t="n">
        <x:f>J6540*K6540</x:f>
        <x:v>0</x:v>
      </x:c>
    </x:row>
    <x:row r="6541">
      <x:c r="A6541" s="1" t="n">
        <x:v>51289</x:v>
      </x:c>
      <x:c r="B6541" s="5" t="d">
        <x:v>2017-01-18T00:00:00.000Z</x:v>
      </x:c>
      <x:c r="C6541" s="1" t="str">
        <x:v>Standard Class</x:v>
      </x:c>
      <x:c r="D6541" s="1" t="str">
        <x:v>Europe</x:v>
      </x:c>
      <x:c r="E6541" s="1" t="str">
        <x:v>ON_HOLD</x:v>
      </x:c>
      <x:c r="F6541" s="1" t="str">
        <x:v>Late delivery</x:v>
      </x:c>
      <x:c r="G6541" s="6" t="n">
        <x:v>5</x:v>
      </x:c>
      <x:c r="H6541" s="6" t="n">
        <x:v>4</x:v>
      </x:c>
      <x:c r="I6541" s="6" t="n">
        <x:f>G6541-H6541</x:f>
        <x:v>1</x:v>
      </x:c>
      <x:c r="J6541" s="6" t="n">
        <x:f>IF(OR(E6541="CANCELED",E6541="SUSPECTED_FRAUD",F6541="Shipping canceled"),0,1)</x:f>
        <x:v>1</x:v>
      </x:c>
      <x:c r="K6541" s="6" t="n">
        <x:f>IF(G6541&gt;H6541,1,0)</x:f>
        <x:v>1</x:v>
      </x:c>
      <x:c r="L6541" s="6" t="n">
        <x:f>J6541*K6541</x:f>
        <x:v>1</x:v>
      </x:c>
    </x:row>
    <x:row r="6542">
      <x:c r="A6542" s="1" t="n">
        <x:v>51291</x:v>
      </x:c>
      <x:c r="B6542" s="5" t="d">
        <x:v>2017-01-18T00:00:00.000Z</x:v>
      </x:c>
      <x:c r="C6542" s="1" t="str">
        <x:v>Standard Class</x:v>
      </x:c>
      <x:c r="D6542" s="1" t="str">
        <x:v>LATAM</x:v>
      </x:c>
      <x:c r="E6542" s="1" t="str">
        <x:v>COMPLETE</x:v>
      </x:c>
      <x:c r="F6542" s="1" t="str">
        <x:v>Advance shipping</x:v>
      </x:c>
      <x:c r="G6542" s="6" t="n">
        <x:v>2</x:v>
      </x:c>
      <x:c r="H6542" s="6" t="n">
        <x:v>4</x:v>
      </x:c>
      <x:c r="I6542" s="6" t="n">
        <x:f>G6542-H6542</x:f>
        <x:v>-2</x:v>
      </x:c>
      <x:c r="J6542" s="6" t="n">
        <x:f>IF(OR(E6542="CANCELED",E6542="SUSPECTED_FRAUD",F6542="Shipping canceled"),0,1)</x:f>
        <x:v>1</x:v>
      </x:c>
      <x:c r="K6542" s="6" t="n">
        <x:f>IF(G6542&gt;H6542,1,0)</x:f>
        <x:v>0</x:v>
      </x:c>
      <x:c r="L6542" s="6" t="n">
        <x:f>J6542*K6542</x:f>
        <x:v>0</x:v>
      </x:c>
    </x:row>
    <x:row r="6543">
      <x:c r="A6543" s="1" t="n">
        <x:v>51295</x:v>
      </x:c>
      <x:c r="B6543" s="5" t="d">
        <x:v>2017-01-18T00:00:00.000Z</x:v>
      </x:c>
      <x:c r="C6543" s="1" t="str">
        <x:v>Standard Class</x:v>
      </x:c>
      <x:c r="D6543" s="1" t="str">
        <x:v>LATAM</x:v>
      </x:c>
      <x:c r="E6543" s="1" t="str">
        <x:v>PROCESSING</x:v>
      </x:c>
      <x:c r="F6543" s="1" t="str">
        <x:v>Late delivery</x:v>
      </x:c>
      <x:c r="G6543" s="6" t="n">
        <x:v>6</x:v>
      </x:c>
      <x:c r="H6543" s="6" t="n">
        <x:v>4</x:v>
      </x:c>
      <x:c r="I6543" s="6" t="n">
        <x:f>G6543-H6543</x:f>
        <x:v>2</x:v>
      </x:c>
      <x:c r="J6543" s="6" t="n">
        <x:f>IF(OR(E6543="CANCELED",E6543="SUSPECTED_FRAUD",F6543="Shipping canceled"),0,1)</x:f>
        <x:v>1</x:v>
      </x:c>
      <x:c r="K6543" s="6" t="n">
        <x:f>IF(G6543&gt;H6543,1,0)</x:f>
        <x:v>1</x:v>
      </x:c>
      <x:c r="L6543" s="6" t="n">
        <x:f>J6543*K6543</x:f>
        <x:v>1</x:v>
      </x:c>
    </x:row>
    <x:row r="6544">
      <x:c r="A6544" s="1" t="n">
        <x:v>51298</x:v>
      </x:c>
      <x:c r="B6544" s="5" t="d">
        <x:v>2017-01-18T00:00:00.000Z</x:v>
      </x:c>
      <x:c r="C6544" s="1" t="str">
        <x:v>Second Class</x:v>
      </x:c>
      <x:c r="D6544" s="1" t="str">
        <x:v>LATAM</x:v>
      </x:c>
      <x:c r="E6544" s="1" t="str">
        <x:v>PENDING_PAYMENT</x:v>
      </x:c>
      <x:c r="F6544" s="1" t="str">
        <x:v>Late delivery</x:v>
      </x:c>
      <x:c r="G6544" s="6" t="n">
        <x:v>4</x:v>
      </x:c>
      <x:c r="H6544" s="6" t="n">
        <x:v>2</x:v>
      </x:c>
      <x:c r="I6544" s="6" t="n">
        <x:f>G6544-H6544</x:f>
        <x:v>2</x:v>
      </x:c>
      <x:c r="J6544" s="6" t="n">
        <x:f>IF(OR(E6544="CANCELED",E6544="SUSPECTED_FRAUD",F6544="Shipping canceled"),0,1)</x:f>
        <x:v>1</x:v>
      </x:c>
      <x:c r="K6544" s="6" t="n">
        <x:f>IF(G6544&gt;H6544,1,0)</x:f>
        <x:v>1</x:v>
      </x:c>
      <x:c r="L6544" s="6" t="n">
        <x:f>J6544*K6544</x:f>
        <x:v>1</x:v>
      </x:c>
    </x:row>
    <x:row r="6545">
      <x:c r="A6545" s="1" t="n">
        <x:v>51301</x:v>
      </x:c>
      <x:c r="B6545" s="5" t="d">
        <x:v>2017-01-18T00:00:00.000Z</x:v>
      </x:c>
      <x:c r="C6545" s="1" t="str">
        <x:v>Second Class</x:v>
      </x:c>
      <x:c r="D6545" s="1" t="str">
        <x:v>LATAM</x:v>
      </x:c>
      <x:c r="E6545" s="1" t="str">
        <x:v>ON_HOLD</x:v>
      </x:c>
      <x:c r="F6545" s="1" t="str">
        <x:v>Shipping on time</x:v>
      </x:c>
      <x:c r="G6545" s="6" t="n">
        <x:v>2</x:v>
      </x:c>
      <x:c r="H6545" s="6" t="n">
        <x:v>2</x:v>
      </x:c>
      <x:c r="I6545" s="6" t="n">
        <x:f>G6545-H6545</x:f>
        <x:v>0</x:v>
      </x:c>
      <x:c r="J6545" s="6" t="n">
        <x:f>IF(OR(E6545="CANCELED",E6545="SUSPECTED_FRAUD",F6545="Shipping canceled"),0,1)</x:f>
        <x:v>1</x:v>
      </x:c>
      <x:c r="K6545" s="6" t="n">
        <x:f>IF(G6545&gt;H6545,1,0)</x:f>
        <x:v>0</x:v>
      </x:c>
      <x:c r="L6545" s="6" t="n">
        <x:f>J6545*K6545</x:f>
        <x:v>0</x:v>
      </x:c>
    </x:row>
    <x:row r="6546">
      <x:c r="A6546" s="1" t="n">
        <x:v>51306</x:v>
      </x:c>
      <x:c r="B6546" s="5" t="d">
        <x:v>2017-01-18T00:00:00.000Z</x:v>
      </x:c>
      <x:c r="C6546" s="1" t="str">
        <x:v>First Class</x:v>
      </x:c>
      <x:c r="D6546" s="1" t="str">
        <x:v>LATAM</x:v>
      </x:c>
      <x:c r="E6546" s="1" t="str">
        <x:v>CLOSED</x:v>
      </x:c>
      <x:c r="F6546" s="1" t="str">
        <x:v>Late delivery</x:v>
      </x:c>
      <x:c r="G6546" s="6" t="n">
        <x:v>2</x:v>
      </x:c>
      <x:c r="H6546" s="6" t="n">
        <x:v>1</x:v>
      </x:c>
      <x:c r="I6546" s="6" t="n">
        <x:f>G6546-H6546</x:f>
        <x:v>1</x:v>
      </x:c>
      <x:c r="J6546" s="6" t="n">
        <x:f>IF(OR(E6546="CANCELED",E6546="SUSPECTED_FRAUD",F6546="Shipping canceled"),0,1)</x:f>
        <x:v>1</x:v>
      </x:c>
      <x:c r="K6546" s="6" t="n">
        <x:f>IF(G6546&gt;H6546,1,0)</x:f>
        <x:v>1</x:v>
      </x:c>
      <x:c r="L6546" s="6" t="n">
        <x:f>J6546*K6546</x:f>
        <x:v>1</x:v>
      </x:c>
    </x:row>
    <x:row r="6547">
      <x:c r="A6547" s="1" t="n">
        <x:v>51319</x:v>
      </x:c>
      <x:c r="B6547" s="5" t="d">
        <x:v>2017-01-19T00:00:00.000Z</x:v>
      </x:c>
      <x:c r="C6547" s="1" t="str">
        <x:v>First Class</x:v>
      </x:c>
      <x:c r="D6547" s="1" t="str">
        <x:v>LATAM</x:v>
      </x:c>
      <x:c r="E6547" s="1" t="str">
        <x:v>PROCESSING</x:v>
      </x:c>
      <x:c r="F6547" s="1" t="str">
        <x:v>Late delivery</x:v>
      </x:c>
      <x:c r="G6547" s="6" t="n">
        <x:v>2</x:v>
      </x:c>
      <x:c r="H6547" s="6" t="n">
        <x:v>1</x:v>
      </x:c>
      <x:c r="I6547" s="6" t="n">
        <x:f>G6547-H6547</x:f>
        <x:v>1</x:v>
      </x:c>
      <x:c r="J6547" s="6" t="n">
        <x:f>IF(OR(E6547="CANCELED",E6547="SUSPECTED_FRAUD",F6547="Shipping canceled"),0,1)</x:f>
        <x:v>1</x:v>
      </x:c>
      <x:c r="K6547" s="6" t="n">
        <x:f>IF(G6547&gt;H6547,1,0)</x:f>
        <x:v>1</x:v>
      </x:c>
      <x:c r="L6547" s="6" t="n">
        <x:f>J6547*K6547</x:f>
        <x:v>1</x:v>
      </x:c>
    </x:row>
    <x:row r="6548">
      <x:c r="A6548" s="1" t="n">
        <x:v>51331</x:v>
      </x:c>
      <x:c r="B6548" s="5" t="d">
        <x:v>2017-01-19T00:00:00.000Z</x:v>
      </x:c>
      <x:c r="C6548" s="1" t="str">
        <x:v>Standard Class</x:v>
      </x:c>
      <x:c r="D6548" s="1" t="str">
        <x:v>LATAM</x:v>
      </x:c>
      <x:c r="E6548" s="1" t="str">
        <x:v>COMPLETE</x:v>
      </x:c>
      <x:c r="F6548" s="1" t="str">
        <x:v>Advance shipping</x:v>
      </x:c>
      <x:c r="G6548" s="6" t="n">
        <x:v>2</x:v>
      </x:c>
      <x:c r="H6548" s="6" t="n">
        <x:v>4</x:v>
      </x:c>
      <x:c r="I6548" s="6" t="n">
        <x:f>G6548-H6548</x:f>
        <x:v>-2</x:v>
      </x:c>
      <x:c r="J6548" s="6" t="n">
        <x:f>IF(OR(E6548="CANCELED",E6548="SUSPECTED_FRAUD",F6548="Shipping canceled"),0,1)</x:f>
        <x:v>1</x:v>
      </x:c>
      <x:c r="K6548" s="6" t="n">
        <x:f>IF(G6548&gt;H6548,1,0)</x:f>
        <x:v>0</x:v>
      </x:c>
      <x:c r="L6548" s="6" t="n">
        <x:f>J6548*K6548</x:f>
        <x:v>0</x:v>
      </x:c>
    </x:row>
    <x:row r="6549">
      <x:c r="A6549" s="1" t="n">
        <x:v>51358</x:v>
      </x:c>
      <x:c r="B6549" s="5" t="d">
        <x:v>2017-01-19T00:00:00.000Z</x:v>
      </x:c>
      <x:c r="C6549" s="1" t="str">
        <x:v>Standard Class</x:v>
      </x:c>
      <x:c r="D6549" s="1" t="str">
        <x:v>LATAM</x:v>
      </x:c>
      <x:c r="E6549" s="1" t="str">
        <x:v>CANCELED</x:v>
      </x:c>
      <x:c r="F6549" s="1" t="str">
        <x:v>Shipping canceled</x:v>
      </x:c>
      <x:c r="G6549" s="6" t="n">
        <x:v>4</x:v>
      </x:c>
      <x:c r="H6549" s="6" t="n">
        <x:v>4</x:v>
      </x:c>
      <x:c r="I6549" s="6" t="n">
        <x:f>G6549-H6549</x:f>
        <x:v>0</x:v>
      </x:c>
      <x:c r="J6549" s="6" t="n">
        <x:f>IF(OR(E6549="CANCELED",E6549="SUSPECTED_FRAUD",F6549="Shipping canceled"),0,1)</x:f>
        <x:v>0</x:v>
      </x:c>
      <x:c r="K6549" s="6" t="n">
        <x:f>IF(G6549&gt;H6549,1,0)</x:f>
        <x:v>0</x:v>
      </x:c>
      <x:c r="L6549" s="6" t="n">
        <x:f>J6549*K6549</x:f>
        <x:v>0</x:v>
      </x:c>
    </x:row>
    <x:row r="6550">
      <x:c r="A6550" s="1" t="n">
        <x:v>51361</x:v>
      </x:c>
      <x:c r="B6550" s="5" t="d">
        <x:v>2017-01-19T00:00:00.000Z</x:v>
      </x:c>
      <x:c r="C6550" s="1" t="str">
        <x:v>Standard Class</x:v>
      </x:c>
      <x:c r="D6550" s="1" t="str">
        <x:v>LATAM</x:v>
      </x:c>
      <x:c r="E6550" s="1" t="str">
        <x:v>ON_HOLD</x:v>
      </x:c>
      <x:c r="F6550" s="1" t="str">
        <x:v>Advance shipping</x:v>
      </x:c>
      <x:c r="G6550" s="6" t="n">
        <x:v>2</x:v>
      </x:c>
      <x:c r="H6550" s="6" t="n">
        <x:v>4</x:v>
      </x:c>
      <x:c r="I6550" s="6" t="n">
        <x:f>G6550-H6550</x:f>
        <x:v>-2</x:v>
      </x:c>
      <x:c r="J6550" s="6" t="n">
        <x:f>IF(OR(E6550="CANCELED",E6550="SUSPECTED_FRAUD",F6550="Shipping canceled"),0,1)</x:f>
        <x:v>1</x:v>
      </x:c>
      <x:c r="K6550" s="6" t="n">
        <x:f>IF(G6550&gt;H6550,1,0)</x:f>
        <x:v>0</x:v>
      </x:c>
      <x:c r="L6550" s="6" t="n">
        <x:f>J6550*K6550</x:f>
        <x:v>0</x:v>
      </x:c>
    </x:row>
    <x:row r="6551">
      <x:c r="A6551" s="1" t="n">
        <x:v>51385</x:v>
      </x:c>
      <x:c r="B6551" s="5" t="d">
        <x:v>2017-01-20T00:00:00.000Z</x:v>
      </x:c>
      <x:c r="C6551" s="1" t="str">
        <x:v>Standard Class</x:v>
      </x:c>
      <x:c r="D6551" s="1" t="str">
        <x:v>LATAM</x:v>
      </x:c>
      <x:c r="E6551" s="1" t="str">
        <x:v>CLOSED</x:v>
      </x:c>
      <x:c r="F6551" s="1" t="str">
        <x:v>Late delivery</x:v>
      </x:c>
      <x:c r="G6551" s="6" t="n">
        <x:v>6</x:v>
      </x:c>
      <x:c r="H6551" s="6" t="n">
        <x:v>4</x:v>
      </x:c>
      <x:c r="I6551" s="6" t="n">
        <x:f>G6551-H6551</x:f>
        <x:v>2</x:v>
      </x:c>
      <x:c r="J6551" s="6" t="n">
        <x:f>IF(OR(E6551="CANCELED",E6551="SUSPECTED_FRAUD",F6551="Shipping canceled"),0,1)</x:f>
        <x:v>1</x:v>
      </x:c>
      <x:c r="K6551" s="6" t="n">
        <x:f>IF(G6551&gt;H6551,1,0)</x:f>
        <x:v>1</x:v>
      </x:c>
      <x:c r="L6551" s="6" t="n">
        <x:f>J6551*K6551</x:f>
        <x:v>1</x:v>
      </x:c>
    </x:row>
    <x:row r="6552">
      <x:c r="A6552" s="1" t="n">
        <x:v>51393</x:v>
      </x:c>
      <x:c r="B6552" s="5" t="d">
        <x:v>2017-01-20T00:00:00.000Z</x:v>
      </x:c>
      <x:c r="C6552" s="1" t="str">
        <x:v>First Class</x:v>
      </x:c>
      <x:c r="D6552" s="1" t="str">
        <x:v>LATAM</x:v>
      </x:c>
      <x:c r="E6552" s="1" t="str">
        <x:v>CLOSED</x:v>
      </x:c>
      <x:c r="F6552" s="1" t="str">
        <x:v>Late delivery</x:v>
      </x:c>
      <x:c r="G6552" s="6" t="n">
        <x:v>2</x:v>
      </x:c>
      <x:c r="H6552" s="6" t="n">
        <x:v>1</x:v>
      </x:c>
      <x:c r="I6552" s="6" t="n">
        <x:f>G6552-H6552</x:f>
        <x:v>1</x:v>
      </x:c>
      <x:c r="J6552" s="6" t="n">
        <x:f>IF(OR(E6552="CANCELED",E6552="SUSPECTED_FRAUD",F6552="Shipping canceled"),0,1)</x:f>
        <x:v>1</x:v>
      </x:c>
      <x:c r="K6552" s="6" t="n">
        <x:f>IF(G6552&gt;H6552,1,0)</x:f>
        <x:v>1</x:v>
      </x:c>
      <x:c r="L6552" s="6" t="n">
        <x:f>J6552*K6552</x:f>
        <x:v>1</x:v>
      </x:c>
    </x:row>
    <x:row r="6553">
      <x:c r="A6553" s="1" t="n">
        <x:v>51396</x:v>
      </x:c>
      <x:c r="B6553" s="5" t="d">
        <x:v>2017-01-20T00:00:00.000Z</x:v>
      </x:c>
      <x:c r="C6553" s="1" t="str">
        <x:v>Standard Class</x:v>
      </x:c>
      <x:c r="D6553" s="1" t="str">
        <x:v>LATAM</x:v>
      </x:c>
      <x:c r="E6553" s="1" t="str">
        <x:v>PROCESSING</x:v>
      </x:c>
      <x:c r="F6553" s="1" t="str">
        <x:v>Advance shipping</x:v>
      </x:c>
      <x:c r="G6553" s="6" t="n">
        <x:v>2</x:v>
      </x:c>
      <x:c r="H6553" s="6" t="n">
        <x:v>4</x:v>
      </x:c>
      <x:c r="I6553" s="6" t="n">
        <x:f>G6553-H6553</x:f>
        <x:v>-2</x:v>
      </x:c>
      <x:c r="J6553" s="6" t="n">
        <x:f>IF(OR(E6553="CANCELED",E6553="SUSPECTED_FRAUD",F6553="Shipping canceled"),0,1)</x:f>
        <x:v>1</x:v>
      </x:c>
      <x:c r="K6553" s="6" t="n">
        <x:f>IF(G6553&gt;H6553,1,0)</x:f>
        <x:v>0</x:v>
      </x:c>
      <x:c r="L6553" s="6" t="n">
        <x:f>J6553*K6553</x:f>
        <x:v>0</x:v>
      </x:c>
    </x:row>
    <x:row r="6554">
      <x:c r="A6554" s="1" t="n">
        <x:v>51408</x:v>
      </x:c>
      <x:c r="B6554" s="5" t="d">
        <x:v>2017-01-20T00:00:00.000Z</x:v>
      </x:c>
      <x:c r="C6554" s="1" t="str">
        <x:v>Standard Class</x:v>
      </x:c>
      <x:c r="D6554" s="1" t="str">
        <x:v>LATAM</x:v>
      </x:c>
      <x:c r="E6554" s="1" t="str">
        <x:v>COMPLETE</x:v>
      </x:c>
      <x:c r="F6554" s="1" t="str">
        <x:v>Shipping on time</x:v>
      </x:c>
      <x:c r="G6554" s="6" t="n">
        <x:v>4</x:v>
      </x:c>
      <x:c r="H6554" s="6" t="n">
        <x:v>4</x:v>
      </x:c>
      <x:c r="I6554" s="6" t="n">
        <x:f>G6554-H6554</x:f>
        <x:v>0</x:v>
      </x:c>
      <x:c r="J6554" s="6" t="n">
        <x:f>IF(OR(E6554="CANCELED",E6554="SUSPECTED_FRAUD",F6554="Shipping canceled"),0,1)</x:f>
        <x:v>1</x:v>
      </x:c>
      <x:c r="K6554" s="6" t="n">
        <x:f>IF(G6554&gt;H6554,1,0)</x:f>
        <x:v>0</x:v>
      </x:c>
      <x:c r="L6554" s="6" t="n">
        <x:f>J6554*K6554</x:f>
        <x:v>0</x:v>
      </x:c>
    </x:row>
    <x:row r="6555">
      <x:c r="A6555" s="1" t="n">
        <x:v>51415</x:v>
      </x:c>
      <x:c r="B6555" s="5" t="d">
        <x:v>2017-01-20T00:00:00.000Z</x:v>
      </x:c>
      <x:c r="C6555" s="1" t="str">
        <x:v>Standard Class</x:v>
      </x:c>
      <x:c r="D6555" s="1" t="str">
        <x:v>LATAM</x:v>
      </x:c>
      <x:c r="E6555" s="1" t="str">
        <x:v>PENDING</x:v>
      </x:c>
      <x:c r="F6555" s="1" t="str">
        <x:v>Late delivery</x:v>
      </x:c>
      <x:c r="G6555" s="6" t="n">
        <x:v>6</x:v>
      </x:c>
      <x:c r="H6555" s="6" t="n">
        <x:v>4</x:v>
      </x:c>
      <x:c r="I6555" s="6" t="n">
        <x:f>G6555-H6555</x:f>
        <x:v>2</x:v>
      </x:c>
      <x:c r="J6555" s="6" t="n">
        <x:f>IF(OR(E6555="CANCELED",E6555="SUSPECTED_FRAUD",F6555="Shipping canceled"),0,1)</x:f>
        <x:v>1</x:v>
      </x:c>
      <x:c r="K6555" s="6" t="n">
        <x:f>IF(G6555&gt;H6555,1,0)</x:f>
        <x:v>1</x:v>
      </x:c>
      <x:c r="L6555" s="6" t="n">
        <x:f>J6555*K6555</x:f>
        <x:v>1</x:v>
      </x:c>
    </x:row>
    <x:row r="6556">
      <x:c r="A6556" s="1" t="n">
        <x:v>51424</x:v>
      </x:c>
      <x:c r="B6556" s="5" t="d">
        <x:v>2017-01-20T00:00:00.000Z</x:v>
      </x:c>
      <x:c r="C6556" s="1" t="str">
        <x:v>Second Class</x:v>
      </x:c>
      <x:c r="D6556" s="1" t="str">
        <x:v>LATAM</x:v>
      </x:c>
      <x:c r="E6556" s="1" t="str">
        <x:v>ON_HOLD</x:v>
      </x:c>
      <x:c r="F6556" s="1" t="str">
        <x:v>Late delivery</x:v>
      </x:c>
      <x:c r="G6556" s="6" t="n">
        <x:v>5</x:v>
      </x:c>
      <x:c r="H6556" s="6" t="n">
        <x:v>2</x:v>
      </x:c>
      <x:c r="I6556" s="6" t="n">
        <x:f>G6556-H6556</x:f>
        <x:v>3</x:v>
      </x:c>
      <x:c r="J6556" s="6" t="n">
        <x:f>IF(OR(E6556="CANCELED",E6556="SUSPECTED_FRAUD",F6556="Shipping canceled"),0,1)</x:f>
        <x:v>1</x:v>
      </x:c>
      <x:c r="K6556" s="6" t="n">
        <x:f>IF(G6556&gt;H6556,1,0)</x:f>
        <x:v>1</x:v>
      </x:c>
      <x:c r="L6556" s="6" t="n">
        <x:f>J6556*K6556</x:f>
        <x:v>1</x:v>
      </x:c>
    </x:row>
    <x:row r="6557">
      <x:c r="A6557" s="1" t="n">
        <x:v>51426</x:v>
      </x:c>
      <x:c r="B6557" s="5" t="d">
        <x:v>2017-01-20T00:00:00.000Z</x:v>
      </x:c>
      <x:c r="C6557" s="1" t="str">
        <x:v>Standard Class</x:v>
      </x:c>
      <x:c r="D6557" s="1" t="str">
        <x:v>LATAM</x:v>
      </x:c>
      <x:c r="E6557" s="1" t="str">
        <x:v>PENDING</x:v>
      </x:c>
      <x:c r="F6557" s="1" t="str">
        <x:v>Advance shipping</x:v>
      </x:c>
      <x:c r="G6557" s="6" t="n">
        <x:v>2</x:v>
      </x:c>
      <x:c r="H6557" s="6" t="n">
        <x:v>4</x:v>
      </x:c>
      <x:c r="I6557" s="6" t="n">
        <x:f>G6557-H6557</x:f>
        <x:v>-2</x:v>
      </x:c>
      <x:c r="J6557" s="6" t="n">
        <x:f>IF(OR(E6557="CANCELED",E6557="SUSPECTED_FRAUD",F6557="Shipping canceled"),0,1)</x:f>
        <x:v>1</x:v>
      </x:c>
      <x:c r="K6557" s="6" t="n">
        <x:f>IF(G6557&gt;H6557,1,0)</x:f>
        <x:v>0</x:v>
      </x:c>
      <x:c r="L6557" s="6" t="n">
        <x:f>J6557*K6557</x:f>
        <x:v>0</x:v>
      </x:c>
    </x:row>
    <x:row r="6558">
      <x:c r="A6558" s="1" t="n">
        <x:v>51437</x:v>
      </x:c>
      <x:c r="B6558" s="5" t="d">
        <x:v>2017-01-20T00:00:00.000Z</x:v>
      </x:c>
      <x:c r="C6558" s="1" t="str">
        <x:v>Standard Class</x:v>
      </x:c>
      <x:c r="D6558" s="1" t="str">
        <x:v>LATAM</x:v>
      </x:c>
      <x:c r="E6558" s="1" t="str">
        <x:v>PROCESSING</x:v>
      </x:c>
      <x:c r="F6558" s="1" t="str">
        <x:v>Advance shipping</x:v>
      </x:c>
      <x:c r="G6558" s="6" t="n">
        <x:v>3</x:v>
      </x:c>
      <x:c r="H6558" s="6" t="n">
        <x:v>4</x:v>
      </x:c>
      <x:c r="I6558" s="6" t="n">
        <x:f>G6558-H6558</x:f>
        <x:v>-1</x:v>
      </x:c>
      <x:c r="J6558" s="6" t="n">
        <x:f>IF(OR(E6558="CANCELED",E6558="SUSPECTED_FRAUD",F6558="Shipping canceled"),0,1)</x:f>
        <x:v>1</x:v>
      </x:c>
      <x:c r="K6558" s="6" t="n">
        <x:f>IF(G6558&gt;H6558,1,0)</x:f>
        <x:v>0</x:v>
      </x:c>
      <x:c r="L6558" s="6" t="n">
        <x:f>J6558*K6558</x:f>
        <x:v>0</x:v>
      </x:c>
    </x:row>
    <x:row r="6559">
      <x:c r="A6559" s="1" t="n">
        <x:v>51443</x:v>
      </x:c>
      <x:c r="B6559" s="5" t="d">
        <x:v>2017-01-20T00:00:00.000Z</x:v>
      </x:c>
      <x:c r="C6559" s="1" t="str">
        <x:v>Standard Class</x:v>
      </x:c>
      <x:c r="D6559" s="1" t="str">
        <x:v>LATAM</x:v>
      </x:c>
      <x:c r="E6559" s="1" t="str">
        <x:v>PENDING</x:v>
      </x:c>
      <x:c r="F6559" s="1" t="str">
        <x:v>Shipping on time</x:v>
      </x:c>
      <x:c r="G6559" s="6" t="n">
        <x:v>4</x:v>
      </x:c>
      <x:c r="H6559" s="6" t="n">
        <x:v>4</x:v>
      </x:c>
      <x:c r="I6559" s="6" t="n">
        <x:f>G6559-H6559</x:f>
        <x:v>0</x:v>
      </x:c>
      <x:c r="J6559" s="6" t="n">
        <x:f>IF(OR(E6559="CANCELED",E6559="SUSPECTED_FRAUD",F6559="Shipping canceled"),0,1)</x:f>
        <x:v>1</x:v>
      </x:c>
      <x:c r="K6559" s="6" t="n">
        <x:f>IF(G6559&gt;H6559,1,0)</x:f>
        <x:v>0</x:v>
      </x:c>
      <x:c r="L6559" s="6" t="n">
        <x:f>J6559*K6559</x:f>
        <x:v>0</x:v>
      </x:c>
    </x:row>
    <x:row r="6560">
      <x:c r="A6560" s="1" t="n">
        <x:v>51457</x:v>
      </x:c>
      <x:c r="B6560" s="5" t="d">
        <x:v>2017-01-21T00:00:00.000Z</x:v>
      </x:c>
      <x:c r="C6560" s="1" t="str">
        <x:v>Standard Class</x:v>
      </x:c>
      <x:c r="D6560" s="1" t="str">
        <x:v>LATAM</x:v>
      </x:c>
      <x:c r="E6560" s="1" t="str">
        <x:v>PROCESSING</x:v>
      </x:c>
      <x:c r="F6560" s="1" t="str">
        <x:v>Advance shipping</x:v>
      </x:c>
      <x:c r="G6560" s="6" t="n">
        <x:v>3</x:v>
      </x:c>
      <x:c r="H6560" s="6" t="n">
        <x:v>4</x:v>
      </x:c>
      <x:c r="I6560" s="6" t="n">
        <x:f>G6560-H6560</x:f>
        <x:v>-1</x:v>
      </x:c>
      <x:c r="J6560" s="6" t="n">
        <x:f>IF(OR(E6560="CANCELED",E6560="SUSPECTED_FRAUD",F6560="Shipping canceled"),0,1)</x:f>
        <x:v>1</x:v>
      </x:c>
      <x:c r="K6560" s="6" t="n">
        <x:f>IF(G6560&gt;H6560,1,0)</x:f>
        <x:v>0</x:v>
      </x:c>
      <x:c r="L6560" s="6" t="n">
        <x:f>J6560*K6560</x:f>
        <x:v>0</x:v>
      </x:c>
    </x:row>
    <x:row r="6561">
      <x:c r="A6561" s="1" t="n">
        <x:v>51463</x:v>
      </x:c>
      <x:c r="B6561" s="5" t="d">
        <x:v>2017-01-21T00:00:00.000Z</x:v>
      </x:c>
      <x:c r="C6561" s="1" t="str">
        <x:v>Standard Class</x:v>
      </x:c>
      <x:c r="D6561" s="1" t="str">
        <x:v>LATAM</x:v>
      </x:c>
      <x:c r="E6561" s="1" t="str">
        <x:v>COMPLETE</x:v>
      </x:c>
      <x:c r="F6561" s="1" t="str">
        <x:v>Shipping on time</x:v>
      </x:c>
      <x:c r="G6561" s="6" t="n">
        <x:v>4</x:v>
      </x:c>
      <x:c r="H6561" s="6" t="n">
        <x:v>4</x:v>
      </x:c>
      <x:c r="I6561" s="6" t="n">
        <x:f>G6561-H6561</x:f>
        <x:v>0</x:v>
      </x:c>
      <x:c r="J6561" s="6" t="n">
        <x:f>IF(OR(E6561="CANCELED",E6561="SUSPECTED_FRAUD",F6561="Shipping canceled"),0,1)</x:f>
        <x:v>1</x:v>
      </x:c>
      <x:c r="K6561" s="6" t="n">
        <x:f>IF(G6561&gt;H6561,1,0)</x:f>
        <x:v>0</x:v>
      </x:c>
      <x:c r="L6561" s="6" t="n">
        <x:f>J6561*K6561</x:f>
        <x:v>0</x:v>
      </x:c>
    </x:row>
    <x:row r="6562">
      <x:c r="A6562" s="1" t="n">
        <x:v>51468</x:v>
      </x:c>
      <x:c r="B6562" s="5" t="d">
        <x:v>2017-01-21T00:00:00.000Z</x:v>
      </x:c>
      <x:c r="C6562" s="1" t="str">
        <x:v>Standard Class</x:v>
      </x:c>
      <x:c r="D6562" s="1" t="str">
        <x:v>LATAM</x:v>
      </x:c>
      <x:c r="E6562" s="1" t="str">
        <x:v>PENDING_PAYMENT</x:v>
      </x:c>
      <x:c r="F6562" s="1" t="str">
        <x:v>Shipping on time</x:v>
      </x:c>
      <x:c r="G6562" s="6" t="n">
        <x:v>4</x:v>
      </x:c>
      <x:c r="H6562" s="6" t="n">
        <x:v>4</x:v>
      </x:c>
      <x:c r="I6562" s="6" t="n">
        <x:f>G6562-H6562</x:f>
        <x:v>0</x:v>
      </x:c>
      <x:c r="J6562" s="6" t="n">
        <x:f>IF(OR(E6562="CANCELED",E6562="SUSPECTED_FRAUD",F6562="Shipping canceled"),0,1)</x:f>
        <x:v>1</x:v>
      </x:c>
      <x:c r="K6562" s="6" t="n">
        <x:f>IF(G6562&gt;H6562,1,0)</x:f>
        <x:v>0</x:v>
      </x:c>
      <x:c r="L6562" s="6" t="n">
        <x:f>J6562*K6562</x:f>
        <x:v>0</x:v>
      </x:c>
    </x:row>
    <x:row r="6563">
      <x:c r="A6563" s="1" t="n">
        <x:v>51494</x:v>
      </x:c>
      <x:c r="B6563" s="5" t="d">
        <x:v>2017-01-21T00:00:00.000Z</x:v>
      </x:c>
      <x:c r="C6563" s="1" t="str">
        <x:v>Second Class</x:v>
      </x:c>
      <x:c r="D6563" s="1" t="str">
        <x:v>LATAM</x:v>
      </x:c>
      <x:c r="E6563" s="1" t="str">
        <x:v>COMPLETE</x:v>
      </x:c>
      <x:c r="F6563" s="1" t="str">
        <x:v>Late delivery</x:v>
      </x:c>
      <x:c r="G6563" s="6" t="n">
        <x:v>5</x:v>
      </x:c>
      <x:c r="H6563" s="6" t="n">
        <x:v>2</x:v>
      </x:c>
      <x:c r="I6563" s="6" t="n">
        <x:f>G6563-H6563</x:f>
        <x:v>3</x:v>
      </x:c>
      <x:c r="J6563" s="6" t="n">
        <x:f>IF(OR(E6563="CANCELED",E6563="SUSPECTED_FRAUD",F6563="Shipping canceled"),0,1)</x:f>
        <x:v>1</x:v>
      </x:c>
      <x:c r="K6563" s="6" t="n">
        <x:f>IF(G6563&gt;H6563,1,0)</x:f>
        <x:v>1</x:v>
      </x:c>
      <x:c r="L6563" s="6" t="n">
        <x:f>J6563*K6563</x:f>
        <x:v>1</x:v>
      </x:c>
    </x:row>
    <x:row r="6564">
      <x:c r="A6564" s="1" t="n">
        <x:v>51520</x:v>
      </x:c>
      <x:c r="B6564" s="5" t="d">
        <x:v>2017-01-22T00:00:00.000Z</x:v>
      </x:c>
      <x:c r="C6564" s="1" t="str">
        <x:v>Standard Class</x:v>
      </x:c>
      <x:c r="D6564" s="1" t="str">
        <x:v>LATAM</x:v>
      </x:c>
      <x:c r="E6564" s="1" t="str">
        <x:v>SUSPECTED_FRAUD</x:v>
      </x:c>
      <x:c r="F6564" s="1" t="str">
        <x:v>Shipping canceled</x:v>
      </x:c>
      <x:c r="G6564" s="6" t="n">
        <x:v>6</x:v>
      </x:c>
      <x:c r="H6564" s="6" t="n">
        <x:v>4</x:v>
      </x:c>
      <x:c r="I6564" s="6" t="n">
        <x:f>G6564-H6564</x:f>
        <x:v>2</x:v>
      </x:c>
      <x:c r="J6564" s="6" t="n">
        <x:f>IF(OR(E6564="CANCELED",E6564="SUSPECTED_FRAUD",F6564="Shipping canceled"),0,1)</x:f>
        <x:v>0</x:v>
      </x:c>
      <x:c r="K6564" s="6" t="n">
        <x:f>IF(G6564&gt;H6564,1,0)</x:f>
        <x:v>1</x:v>
      </x:c>
      <x:c r="L6564" s="6" t="n">
        <x:f>J6564*K6564</x:f>
        <x:v>0</x:v>
      </x:c>
    </x:row>
    <x:row r="6565">
      <x:c r="A6565" s="1" t="n">
        <x:v>51521</x:v>
      </x:c>
      <x:c r="B6565" s="5" t="d">
        <x:v>2017-01-22T00:00:00.000Z</x:v>
      </x:c>
      <x:c r="C6565" s="1" t="str">
        <x:v>Standard Class</x:v>
      </x:c>
      <x:c r="D6565" s="1" t="str">
        <x:v>LATAM</x:v>
      </x:c>
      <x:c r="E6565" s="1" t="str">
        <x:v>COMPLETE</x:v>
      </x:c>
      <x:c r="F6565" s="1" t="str">
        <x:v>Advance shipping</x:v>
      </x:c>
      <x:c r="G6565" s="6" t="n">
        <x:v>2</x:v>
      </x:c>
      <x:c r="H6565" s="6" t="n">
        <x:v>4</x:v>
      </x:c>
      <x:c r="I6565" s="6" t="n">
        <x:f>G6565-H6565</x:f>
        <x:v>-2</x:v>
      </x:c>
      <x:c r="J6565" s="6" t="n">
        <x:f>IF(OR(E6565="CANCELED",E6565="SUSPECTED_FRAUD",F6565="Shipping canceled"),0,1)</x:f>
        <x:v>1</x:v>
      </x:c>
      <x:c r="K6565" s="6" t="n">
        <x:f>IF(G6565&gt;H6565,1,0)</x:f>
        <x:v>0</x:v>
      </x:c>
      <x:c r="L6565" s="6" t="n">
        <x:f>J6565*K6565</x:f>
        <x:v>0</x:v>
      </x:c>
    </x:row>
    <x:row r="6566">
      <x:c r="A6566" s="1" t="n">
        <x:v>51535</x:v>
      </x:c>
      <x:c r="B6566" s="5" t="d">
        <x:v>2017-01-22T00:00:00.000Z</x:v>
      </x:c>
      <x:c r="C6566" s="1" t="str">
        <x:v>Standard Class</x:v>
      </x:c>
      <x:c r="D6566" s="1" t="str">
        <x:v>LATAM</x:v>
      </x:c>
      <x:c r="E6566" s="1" t="str">
        <x:v>PROCESSING</x:v>
      </x:c>
      <x:c r="F6566" s="1" t="str">
        <x:v>Late delivery</x:v>
      </x:c>
      <x:c r="G6566" s="6" t="n">
        <x:v>6</x:v>
      </x:c>
      <x:c r="H6566" s="6" t="n">
        <x:v>4</x:v>
      </x:c>
      <x:c r="I6566" s="6" t="n">
        <x:f>G6566-H6566</x:f>
        <x:v>2</x:v>
      </x:c>
      <x:c r="J6566" s="6" t="n">
        <x:f>IF(OR(E6566="CANCELED",E6566="SUSPECTED_FRAUD",F6566="Shipping canceled"),0,1)</x:f>
        <x:v>1</x:v>
      </x:c>
      <x:c r="K6566" s="6" t="n">
        <x:f>IF(G6566&gt;H6566,1,0)</x:f>
        <x:v>1</x:v>
      </x:c>
      <x:c r="L6566" s="6" t="n">
        <x:f>J6566*K6566</x:f>
        <x:v>1</x:v>
      </x:c>
    </x:row>
    <x:row r="6567">
      <x:c r="A6567" s="1" t="n">
        <x:v>51547</x:v>
      </x:c>
      <x:c r="B6567" s="5" t="d">
        <x:v>2017-01-22T00:00:00.000Z</x:v>
      </x:c>
      <x:c r="C6567" s="1" t="str">
        <x:v>Second Class</x:v>
      </x:c>
      <x:c r="D6567" s="1" t="str">
        <x:v>LATAM</x:v>
      </x:c>
      <x:c r="E6567" s="1" t="str">
        <x:v>CLOSED</x:v>
      </x:c>
      <x:c r="F6567" s="1" t="str">
        <x:v>Late delivery</x:v>
      </x:c>
      <x:c r="G6567" s="6" t="n">
        <x:v>3</x:v>
      </x:c>
      <x:c r="H6567" s="6" t="n">
        <x:v>2</x:v>
      </x:c>
      <x:c r="I6567" s="6" t="n">
        <x:f>G6567-H6567</x:f>
        <x:v>1</x:v>
      </x:c>
      <x:c r="J6567" s="6" t="n">
        <x:f>IF(OR(E6567="CANCELED",E6567="SUSPECTED_FRAUD",F6567="Shipping canceled"),0,1)</x:f>
        <x:v>1</x:v>
      </x:c>
      <x:c r="K6567" s="6" t="n">
        <x:f>IF(G6567&gt;H6567,1,0)</x:f>
        <x:v>1</x:v>
      </x:c>
      <x:c r="L6567" s="6" t="n">
        <x:f>J6567*K6567</x:f>
        <x:v>1</x:v>
      </x:c>
    </x:row>
    <x:row r="6568">
      <x:c r="A6568" s="1" t="n">
        <x:v>51552</x:v>
      </x:c>
      <x:c r="B6568" s="5" t="d">
        <x:v>2017-01-22T00:00:00.000Z</x:v>
      </x:c>
      <x:c r="C6568" s="1" t="str">
        <x:v>Standard Class</x:v>
      </x:c>
      <x:c r="D6568" s="1" t="str">
        <x:v>LATAM</x:v>
      </x:c>
      <x:c r="E6568" s="1" t="str">
        <x:v>PROCESSING</x:v>
      </x:c>
      <x:c r="F6568" s="1" t="str">
        <x:v>Advance shipping</x:v>
      </x:c>
      <x:c r="G6568" s="6" t="n">
        <x:v>3</x:v>
      </x:c>
      <x:c r="H6568" s="6" t="n">
        <x:v>4</x:v>
      </x:c>
      <x:c r="I6568" s="6" t="n">
        <x:f>G6568-H6568</x:f>
        <x:v>-1</x:v>
      </x:c>
      <x:c r="J6568" s="6" t="n">
        <x:f>IF(OR(E6568="CANCELED",E6568="SUSPECTED_FRAUD",F6568="Shipping canceled"),0,1)</x:f>
        <x:v>1</x:v>
      </x:c>
      <x:c r="K6568" s="6" t="n">
        <x:f>IF(G6568&gt;H6568,1,0)</x:f>
        <x:v>0</x:v>
      </x:c>
      <x:c r="L6568" s="6" t="n">
        <x:f>J6568*K6568</x:f>
        <x:v>0</x:v>
      </x:c>
    </x:row>
    <x:row r="6569">
      <x:c r="A6569" s="1" t="n">
        <x:v>51553</x:v>
      </x:c>
      <x:c r="B6569" s="5" t="d">
        <x:v>2017-01-22T00:00:00.000Z</x:v>
      </x:c>
      <x:c r="C6569" s="1" t="str">
        <x:v>Second Class</x:v>
      </x:c>
      <x:c r="D6569" s="1" t="str">
        <x:v>LATAM</x:v>
      </x:c>
      <x:c r="E6569" s="1" t="str">
        <x:v>COMPLETE</x:v>
      </x:c>
      <x:c r="F6569" s="1" t="str">
        <x:v>Late delivery</x:v>
      </x:c>
      <x:c r="G6569" s="6" t="n">
        <x:v>4</x:v>
      </x:c>
      <x:c r="H6569" s="6" t="n">
        <x:v>2</x:v>
      </x:c>
      <x:c r="I6569" s="6" t="n">
        <x:f>G6569-H6569</x:f>
        <x:v>2</x:v>
      </x:c>
      <x:c r="J6569" s="6" t="n">
        <x:f>IF(OR(E6569="CANCELED",E6569="SUSPECTED_FRAUD",F6569="Shipping canceled"),0,1)</x:f>
        <x:v>1</x:v>
      </x:c>
      <x:c r="K6569" s="6" t="n">
        <x:f>IF(G6569&gt;H6569,1,0)</x:f>
        <x:v>1</x:v>
      </x:c>
      <x:c r="L6569" s="6" t="n">
        <x:f>J6569*K6569</x:f>
        <x:v>1</x:v>
      </x:c>
    </x:row>
    <x:row r="6570">
      <x:c r="A6570" s="1" t="n">
        <x:v>51569</x:v>
      </x:c>
      <x:c r="B6570" s="5" t="d">
        <x:v>2017-01-22T00:00:00.000Z</x:v>
      </x:c>
      <x:c r="C6570" s="1" t="str">
        <x:v>Standard Class</x:v>
      </x:c>
      <x:c r="D6570" s="1" t="str">
        <x:v>LATAM</x:v>
      </x:c>
      <x:c r="E6570" s="1" t="str">
        <x:v>COMPLETE</x:v>
      </x:c>
      <x:c r="F6570" s="1" t="str">
        <x:v>Late delivery</x:v>
      </x:c>
      <x:c r="G6570" s="6" t="n">
        <x:v>5</x:v>
      </x:c>
      <x:c r="H6570" s="6" t="n">
        <x:v>4</x:v>
      </x:c>
      <x:c r="I6570" s="6" t="n">
        <x:f>G6570-H6570</x:f>
        <x:v>1</x:v>
      </x:c>
      <x:c r="J6570" s="6" t="n">
        <x:f>IF(OR(E6570="CANCELED",E6570="SUSPECTED_FRAUD",F6570="Shipping canceled"),0,1)</x:f>
        <x:v>1</x:v>
      </x:c>
      <x:c r="K6570" s="6" t="n">
        <x:f>IF(G6570&gt;H6570,1,0)</x:f>
        <x:v>1</x:v>
      </x:c>
      <x:c r="L6570" s="6" t="n">
        <x:f>J6570*K6570</x:f>
        <x:v>1</x:v>
      </x:c>
    </x:row>
    <x:row r="6571">
      <x:c r="A6571" s="1" t="n">
        <x:v>51579</x:v>
      </x:c>
      <x:c r="B6571" s="5" t="d">
        <x:v>2017-01-22T00:00:00.000Z</x:v>
      </x:c>
      <x:c r="C6571" s="1" t="str">
        <x:v>Second Class</x:v>
      </x:c>
      <x:c r="D6571" s="1" t="str">
        <x:v>LATAM</x:v>
      </x:c>
      <x:c r="E6571" s="1" t="str">
        <x:v>ON_HOLD</x:v>
      </x:c>
      <x:c r="F6571" s="1" t="str">
        <x:v>Late delivery</x:v>
      </x:c>
      <x:c r="G6571" s="6" t="n">
        <x:v>5</x:v>
      </x:c>
      <x:c r="H6571" s="6" t="n">
        <x:v>2</x:v>
      </x:c>
      <x:c r="I6571" s="6" t="n">
        <x:f>G6571-H6571</x:f>
        <x:v>3</x:v>
      </x:c>
      <x:c r="J6571" s="6" t="n">
        <x:f>IF(OR(E6571="CANCELED",E6571="SUSPECTED_FRAUD",F6571="Shipping canceled"),0,1)</x:f>
        <x:v>1</x:v>
      </x:c>
      <x:c r="K6571" s="6" t="n">
        <x:f>IF(G6571&gt;H6571,1,0)</x:f>
        <x:v>1</x:v>
      </x:c>
      <x:c r="L6571" s="6" t="n">
        <x:f>J6571*K6571</x:f>
        <x:v>1</x:v>
      </x:c>
    </x:row>
    <x:row r="6572">
      <x:c r="A6572" s="1" t="n">
        <x:v>51582</x:v>
      </x:c>
      <x:c r="B6572" s="5" t="d">
        <x:v>2017-01-22T00:00:00.000Z</x:v>
      </x:c>
      <x:c r="C6572" s="1" t="str">
        <x:v>Standard Class</x:v>
      </x:c>
      <x:c r="D6572" s="1" t="str">
        <x:v>LATAM</x:v>
      </x:c>
      <x:c r="E6572" s="1" t="str">
        <x:v>PENDING_PAYMENT</x:v>
      </x:c>
      <x:c r="F6572" s="1" t="str">
        <x:v>Advance shipping</x:v>
      </x:c>
      <x:c r="G6572" s="6" t="n">
        <x:v>3</x:v>
      </x:c>
      <x:c r="H6572" s="6" t="n">
        <x:v>4</x:v>
      </x:c>
      <x:c r="I6572" s="6" t="n">
        <x:f>G6572-H6572</x:f>
        <x:v>-1</x:v>
      </x:c>
      <x:c r="J6572" s="6" t="n">
        <x:f>IF(OR(E6572="CANCELED",E6572="SUSPECTED_FRAUD",F6572="Shipping canceled"),0,1)</x:f>
        <x:v>1</x:v>
      </x:c>
      <x:c r="K6572" s="6" t="n">
        <x:f>IF(G6572&gt;H6572,1,0)</x:f>
        <x:v>0</x:v>
      </x:c>
      <x:c r="L6572" s="6" t="n">
        <x:f>J6572*K6572</x:f>
        <x:v>0</x:v>
      </x:c>
    </x:row>
    <x:row r="6573">
      <x:c r="A6573" s="1" t="n">
        <x:v>51585</x:v>
      </x:c>
      <x:c r="B6573" s="5" t="d">
        <x:v>2017-01-23T00:00:00.000Z</x:v>
      </x:c>
      <x:c r="C6573" s="1" t="str">
        <x:v>Standard Class</x:v>
      </x:c>
      <x:c r="D6573" s="1" t="str">
        <x:v>LATAM</x:v>
      </x:c>
      <x:c r="E6573" s="1" t="str">
        <x:v>COMPLETE</x:v>
      </x:c>
      <x:c r="F6573" s="1" t="str">
        <x:v>Late delivery</x:v>
      </x:c>
      <x:c r="G6573" s="6" t="n">
        <x:v>6</x:v>
      </x:c>
      <x:c r="H6573" s="6" t="n">
        <x:v>4</x:v>
      </x:c>
      <x:c r="I6573" s="6" t="n">
        <x:f>G6573-H6573</x:f>
        <x:v>2</x:v>
      </x:c>
      <x:c r="J6573" s="6" t="n">
        <x:f>IF(OR(E6573="CANCELED",E6573="SUSPECTED_FRAUD",F6573="Shipping canceled"),0,1)</x:f>
        <x:v>1</x:v>
      </x:c>
      <x:c r="K6573" s="6" t="n">
        <x:f>IF(G6573&gt;H6573,1,0)</x:f>
        <x:v>1</x:v>
      </x:c>
      <x:c r="L6573" s="6" t="n">
        <x:f>J6573*K6573</x:f>
        <x:v>1</x:v>
      </x:c>
    </x:row>
    <x:row r="6574">
      <x:c r="A6574" s="1" t="n">
        <x:v>51598</x:v>
      </x:c>
      <x:c r="B6574" s="5" t="d">
        <x:v>2017-01-23T00:00:00.000Z</x:v>
      </x:c>
      <x:c r="C6574" s="1" t="str">
        <x:v>Standard Class</x:v>
      </x:c>
      <x:c r="D6574" s="1" t="str">
        <x:v>LATAM</x:v>
      </x:c>
      <x:c r="E6574" s="1" t="str">
        <x:v>COMPLETE</x:v>
      </x:c>
      <x:c r="F6574" s="1" t="str">
        <x:v>Shipping on time</x:v>
      </x:c>
      <x:c r="G6574" s="6" t="n">
        <x:v>4</x:v>
      </x:c>
      <x:c r="H6574" s="6" t="n">
        <x:v>4</x:v>
      </x:c>
      <x:c r="I6574" s="6" t="n">
        <x:f>G6574-H6574</x:f>
        <x:v>0</x:v>
      </x:c>
      <x:c r="J6574" s="6" t="n">
        <x:f>IF(OR(E6574="CANCELED",E6574="SUSPECTED_FRAUD",F6574="Shipping canceled"),0,1)</x:f>
        <x:v>1</x:v>
      </x:c>
      <x:c r="K6574" s="6" t="n">
        <x:f>IF(G6574&gt;H6574,1,0)</x:f>
        <x:v>0</x:v>
      </x:c>
      <x:c r="L6574" s="6" t="n">
        <x:f>J6574*K6574</x:f>
        <x:v>0</x:v>
      </x:c>
    </x:row>
    <x:row r="6575">
      <x:c r="A6575" s="1" t="n">
        <x:v>51604</x:v>
      </x:c>
      <x:c r="B6575" s="5" t="d">
        <x:v>2017-01-23T00:00:00.000Z</x:v>
      </x:c>
      <x:c r="C6575" s="1" t="str">
        <x:v>Standard Class</x:v>
      </x:c>
      <x:c r="D6575" s="1" t="str">
        <x:v>LATAM</x:v>
      </x:c>
      <x:c r="E6575" s="1" t="str">
        <x:v>COMPLETE</x:v>
      </x:c>
      <x:c r="F6575" s="1" t="str">
        <x:v>Late delivery</x:v>
      </x:c>
      <x:c r="G6575" s="6" t="n">
        <x:v>5</x:v>
      </x:c>
      <x:c r="H6575" s="6" t="n">
        <x:v>4</x:v>
      </x:c>
      <x:c r="I6575" s="6" t="n">
        <x:f>G6575-H6575</x:f>
        <x:v>1</x:v>
      </x:c>
      <x:c r="J6575" s="6" t="n">
        <x:f>IF(OR(E6575="CANCELED",E6575="SUSPECTED_FRAUD",F6575="Shipping canceled"),0,1)</x:f>
        <x:v>1</x:v>
      </x:c>
      <x:c r="K6575" s="6" t="n">
        <x:f>IF(G6575&gt;H6575,1,0)</x:f>
        <x:v>1</x:v>
      </x:c>
      <x:c r="L6575" s="6" t="n">
        <x:f>J6575*K6575</x:f>
        <x:v>1</x:v>
      </x:c>
    </x:row>
    <x:row r="6576">
      <x:c r="A6576" s="1" t="n">
        <x:v>51613</x:v>
      </x:c>
      <x:c r="B6576" s="5" t="d">
        <x:v>2017-01-23T00:00:00.000Z</x:v>
      </x:c>
      <x:c r="C6576" s="1" t="str">
        <x:v>Second Class</x:v>
      </x:c>
      <x:c r="D6576" s="1" t="str">
        <x:v>LATAM</x:v>
      </x:c>
      <x:c r="E6576" s="1" t="str">
        <x:v>COMPLETE</x:v>
      </x:c>
      <x:c r="F6576" s="1" t="str">
        <x:v>Late delivery</x:v>
      </x:c>
      <x:c r="G6576" s="6" t="n">
        <x:v>4</x:v>
      </x:c>
      <x:c r="H6576" s="6" t="n">
        <x:v>2</x:v>
      </x:c>
      <x:c r="I6576" s="6" t="n">
        <x:f>G6576-H6576</x:f>
        <x:v>2</x:v>
      </x:c>
      <x:c r="J6576" s="6" t="n">
        <x:f>IF(OR(E6576="CANCELED",E6576="SUSPECTED_FRAUD",F6576="Shipping canceled"),0,1)</x:f>
        <x:v>1</x:v>
      </x:c>
      <x:c r="K6576" s="6" t="n">
        <x:f>IF(G6576&gt;H6576,1,0)</x:f>
        <x:v>1</x:v>
      </x:c>
      <x:c r="L6576" s="6" t="n">
        <x:f>J6576*K6576</x:f>
        <x:v>1</x:v>
      </x:c>
    </x:row>
    <x:row r="6577">
      <x:c r="A6577" s="1" t="n">
        <x:v>51615</x:v>
      </x:c>
      <x:c r="B6577" s="5" t="d">
        <x:v>2017-01-23T00:00:00.000Z</x:v>
      </x:c>
      <x:c r="C6577" s="1" t="str">
        <x:v>Standard Class</x:v>
      </x:c>
      <x:c r="D6577" s="1" t="str">
        <x:v>LATAM</x:v>
      </x:c>
      <x:c r="E6577" s="1" t="str">
        <x:v>PROCESSING</x:v>
      </x:c>
      <x:c r="F6577" s="1" t="str">
        <x:v>Late delivery</x:v>
      </x:c>
      <x:c r="G6577" s="6" t="n">
        <x:v>6</x:v>
      </x:c>
      <x:c r="H6577" s="6" t="n">
        <x:v>4</x:v>
      </x:c>
      <x:c r="I6577" s="6" t="n">
        <x:f>G6577-H6577</x:f>
        <x:v>2</x:v>
      </x:c>
      <x:c r="J6577" s="6" t="n">
        <x:f>IF(OR(E6577="CANCELED",E6577="SUSPECTED_FRAUD",F6577="Shipping canceled"),0,1)</x:f>
        <x:v>1</x:v>
      </x:c>
      <x:c r="K6577" s="6" t="n">
        <x:f>IF(G6577&gt;H6577,1,0)</x:f>
        <x:v>1</x:v>
      </x:c>
      <x:c r="L6577" s="6" t="n">
        <x:f>J6577*K6577</x:f>
        <x:v>1</x:v>
      </x:c>
    </x:row>
    <x:row r="6578">
      <x:c r="A6578" s="1" t="n">
        <x:v>51635</x:v>
      </x:c>
      <x:c r="B6578" s="5" t="d">
        <x:v>2017-01-23T00:00:00.000Z</x:v>
      </x:c>
      <x:c r="C6578" s="1" t="str">
        <x:v>Standard Class</x:v>
      </x:c>
      <x:c r="D6578" s="1" t="str">
        <x:v>LATAM</x:v>
      </x:c>
      <x:c r="E6578" s="1" t="str">
        <x:v>ON_HOLD</x:v>
      </x:c>
      <x:c r="F6578" s="1" t="str">
        <x:v>Late delivery</x:v>
      </x:c>
      <x:c r="G6578" s="6" t="n">
        <x:v>6</x:v>
      </x:c>
      <x:c r="H6578" s="6" t="n">
        <x:v>4</x:v>
      </x:c>
      <x:c r="I6578" s="6" t="n">
        <x:f>G6578-H6578</x:f>
        <x:v>2</x:v>
      </x:c>
      <x:c r="J6578" s="6" t="n">
        <x:f>IF(OR(E6578="CANCELED",E6578="SUSPECTED_FRAUD",F6578="Shipping canceled"),0,1)</x:f>
        <x:v>1</x:v>
      </x:c>
      <x:c r="K6578" s="6" t="n">
        <x:f>IF(G6578&gt;H6578,1,0)</x:f>
        <x:v>1</x:v>
      </x:c>
      <x:c r="L6578" s="6" t="n">
        <x:f>J6578*K6578</x:f>
        <x:v>1</x:v>
      </x:c>
    </x:row>
    <x:row r="6579">
      <x:c r="A6579" s="1" t="n">
        <x:v>51653</x:v>
      </x:c>
      <x:c r="B6579" s="5" t="d">
        <x:v>2017-01-23T00:00:00.000Z</x:v>
      </x:c>
      <x:c r="C6579" s="1" t="str">
        <x:v>Second Class</x:v>
      </x:c>
      <x:c r="D6579" s="1" t="str">
        <x:v>LATAM</x:v>
      </x:c>
      <x:c r="E6579" s="1" t="str">
        <x:v>CLOSED</x:v>
      </x:c>
      <x:c r="F6579" s="1" t="str">
        <x:v>Late delivery</x:v>
      </x:c>
      <x:c r="G6579" s="6" t="n">
        <x:v>4</x:v>
      </x:c>
      <x:c r="H6579" s="6" t="n">
        <x:v>2</x:v>
      </x:c>
      <x:c r="I6579" s="6" t="n">
        <x:f>G6579-H6579</x:f>
        <x:v>2</x:v>
      </x:c>
      <x:c r="J6579" s="6" t="n">
        <x:f>IF(OR(E6579="CANCELED",E6579="SUSPECTED_FRAUD",F6579="Shipping canceled"),0,1)</x:f>
        <x:v>1</x:v>
      </x:c>
      <x:c r="K6579" s="6" t="n">
        <x:f>IF(G6579&gt;H6579,1,0)</x:f>
        <x:v>1</x:v>
      </x:c>
      <x:c r="L6579" s="6" t="n">
        <x:f>J6579*K6579</x:f>
        <x:v>1</x:v>
      </x:c>
    </x:row>
    <x:row r="6580">
      <x:c r="A6580" s="1" t="n">
        <x:v>51661</x:v>
      </x:c>
      <x:c r="B6580" s="5" t="d">
        <x:v>2017-01-24T00:00:00.000Z</x:v>
      </x:c>
      <x:c r="C6580" s="1" t="str">
        <x:v>Standard Class</x:v>
      </x:c>
      <x:c r="D6580" s="1" t="str">
        <x:v>LATAM</x:v>
      </x:c>
      <x:c r="E6580" s="1" t="str">
        <x:v>COMPLETE</x:v>
      </x:c>
      <x:c r="F6580" s="1" t="str">
        <x:v>Advance shipping</x:v>
      </x:c>
      <x:c r="G6580" s="6" t="n">
        <x:v>2</x:v>
      </x:c>
      <x:c r="H6580" s="6" t="n">
        <x:v>4</x:v>
      </x:c>
      <x:c r="I6580" s="6" t="n">
        <x:f>G6580-H6580</x:f>
        <x:v>-2</x:v>
      </x:c>
      <x:c r="J6580" s="6" t="n">
        <x:f>IF(OR(E6580="CANCELED",E6580="SUSPECTED_FRAUD",F6580="Shipping canceled"),0,1)</x:f>
        <x:v>1</x:v>
      </x:c>
      <x:c r="K6580" s="6" t="n">
        <x:f>IF(G6580&gt;H6580,1,0)</x:f>
        <x:v>0</x:v>
      </x:c>
      <x:c r="L6580" s="6" t="n">
        <x:f>J6580*K6580</x:f>
        <x:v>0</x:v>
      </x:c>
    </x:row>
    <x:row r="6581">
      <x:c r="A6581" s="1" t="n">
        <x:v>51674</x:v>
      </x:c>
      <x:c r="B6581" s="5" t="d">
        <x:v>2017-01-24T00:00:00.000Z</x:v>
      </x:c>
      <x:c r="C6581" s="1" t="str">
        <x:v>Standard Class</x:v>
      </x:c>
      <x:c r="D6581" s="1" t="str">
        <x:v>LATAM</x:v>
      </x:c>
      <x:c r="E6581" s="1" t="str">
        <x:v>PROCESSING</x:v>
      </x:c>
      <x:c r="F6581" s="1" t="str">
        <x:v>Late delivery</x:v>
      </x:c>
      <x:c r="G6581" s="6" t="n">
        <x:v>5</x:v>
      </x:c>
      <x:c r="H6581" s="6" t="n">
        <x:v>4</x:v>
      </x:c>
      <x:c r="I6581" s="6" t="n">
        <x:f>G6581-H6581</x:f>
        <x:v>1</x:v>
      </x:c>
      <x:c r="J6581" s="6" t="n">
        <x:f>IF(OR(E6581="CANCELED",E6581="SUSPECTED_FRAUD",F6581="Shipping canceled"),0,1)</x:f>
        <x:v>1</x:v>
      </x:c>
      <x:c r="K6581" s="6" t="n">
        <x:f>IF(G6581&gt;H6581,1,0)</x:f>
        <x:v>1</x:v>
      </x:c>
      <x:c r="L6581" s="6" t="n">
        <x:f>J6581*K6581</x:f>
        <x:v>1</x:v>
      </x:c>
    </x:row>
    <x:row r="6582">
      <x:c r="A6582" s="1" t="n">
        <x:v>51687</x:v>
      </x:c>
      <x:c r="B6582" s="5" t="d">
        <x:v>2017-01-24T00:00:00.000Z</x:v>
      </x:c>
      <x:c r="C6582" s="1" t="str">
        <x:v>Second Class</x:v>
      </x:c>
      <x:c r="D6582" s="1" t="str">
        <x:v>LATAM</x:v>
      </x:c>
      <x:c r="E6582" s="1" t="str">
        <x:v>ON_HOLD</x:v>
      </x:c>
      <x:c r="F6582" s="1" t="str">
        <x:v>Late delivery</x:v>
      </x:c>
      <x:c r="G6582" s="6" t="n">
        <x:v>3</x:v>
      </x:c>
      <x:c r="H6582" s="6" t="n">
        <x:v>2</x:v>
      </x:c>
      <x:c r="I6582" s="6" t="n">
        <x:f>G6582-H6582</x:f>
        <x:v>1</x:v>
      </x:c>
      <x:c r="J6582" s="6" t="n">
        <x:f>IF(OR(E6582="CANCELED",E6582="SUSPECTED_FRAUD",F6582="Shipping canceled"),0,1)</x:f>
        <x:v>1</x:v>
      </x:c>
      <x:c r="K6582" s="6" t="n">
        <x:f>IF(G6582&gt;H6582,1,0)</x:f>
        <x:v>1</x:v>
      </x:c>
      <x:c r="L6582" s="6" t="n">
        <x:f>J6582*K6582</x:f>
        <x:v>1</x:v>
      </x:c>
    </x:row>
    <x:row r="6583">
      <x:c r="A6583" s="1" t="n">
        <x:v>51688</x:v>
      </x:c>
      <x:c r="B6583" s="5" t="d">
        <x:v>2017-01-24T00:00:00.000Z</x:v>
      </x:c>
      <x:c r="C6583" s="1" t="str">
        <x:v>Standard Class</x:v>
      </x:c>
      <x:c r="D6583" s="1" t="str">
        <x:v>LATAM</x:v>
      </x:c>
      <x:c r="E6583" s="1" t="str">
        <x:v>COMPLETE</x:v>
      </x:c>
      <x:c r="F6583" s="1" t="str">
        <x:v>Shipping on time</x:v>
      </x:c>
      <x:c r="G6583" s="6" t="n">
        <x:v>4</x:v>
      </x:c>
      <x:c r="H6583" s="6" t="n">
        <x:v>4</x:v>
      </x:c>
      <x:c r="I6583" s="6" t="n">
        <x:f>G6583-H6583</x:f>
        <x:v>0</x:v>
      </x:c>
      <x:c r="J6583" s="6" t="n">
        <x:f>IF(OR(E6583="CANCELED",E6583="SUSPECTED_FRAUD",F6583="Shipping canceled"),0,1)</x:f>
        <x:v>1</x:v>
      </x:c>
      <x:c r="K6583" s="6" t="n">
        <x:f>IF(G6583&gt;H6583,1,0)</x:f>
        <x:v>0</x:v>
      </x:c>
      <x:c r="L6583" s="6" t="n">
        <x:f>J6583*K6583</x:f>
        <x:v>0</x:v>
      </x:c>
    </x:row>
    <x:row r="6584">
      <x:c r="A6584" s="1" t="n">
        <x:v>51697</x:v>
      </x:c>
      <x:c r="B6584" s="5" t="d">
        <x:v>2017-01-24T00:00:00.000Z</x:v>
      </x:c>
      <x:c r="C6584" s="1" t="str">
        <x:v>Second Class</x:v>
      </x:c>
      <x:c r="D6584" s="1" t="str">
        <x:v>LATAM</x:v>
      </x:c>
      <x:c r="E6584" s="1" t="str">
        <x:v>COMPLETE</x:v>
      </x:c>
      <x:c r="F6584" s="1" t="str">
        <x:v>Late delivery</x:v>
      </x:c>
      <x:c r="G6584" s="6" t="n">
        <x:v>3</x:v>
      </x:c>
      <x:c r="H6584" s="6" t="n">
        <x:v>2</x:v>
      </x:c>
      <x:c r="I6584" s="6" t="n">
        <x:f>G6584-H6584</x:f>
        <x:v>1</x:v>
      </x:c>
      <x:c r="J6584" s="6" t="n">
        <x:f>IF(OR(E6584="CANCELED",E6584="SUSPECTED_FRAUD",F6584="Shipping canceled"),0,1)</x:f>
        <x:v>1</x:v>
      </x:c>
      <x:c r="K6584" s="6" t="n">
        <x:f>IF(G6584&gt;H6584,1,0)</x:f>
        <x:v>1</x:v>
      </x:c>
      <x:c r="L6584" s="6" t="n">
        <x:f>J6584*K6584</x:f>
        <x:v>1</x:v>
      </x:c>
    </x:row>
    <x:row r="6585">
      <x:c r="A6585" s="1" t="n">
        <x:v>51720</x:v>
      </x:c>
      <x:c r="B6585" s="5" t="d">
        <x:v>2017-01-24T00:00:00.000Z</x:v>
      </x:c>
      <x:c r="C6585" s="1" t="str">
        <x:v>Standard Class</x:v>
      </x:c>
      <x:c r="D6585" s="1" t="str">
        <x:v>LATAM</x:v>
      </x:c>
      <x:c r="E6585" s="1" t="str">
        <x:v>COMPLETE</x:v>
      </x:c>
      <x:c r="F6585" s="1" t="str">
        <x:v>Late delivery</x:v>
      </x:c>
      <x:c r="G6585" s="6" t="n">
        <x:v>6</x:v>
      </x:c>
      <x:c r="H6585" s="6" t="n">
        <x:v>4</x:v>
      </x:c>
      <x:c r="I6585" s="6" t="n">
        <x:f>G6585-H6585</x:f>
        <x:v>2</x:v>
      </x:c>
      <x:c r="J6585" s="6" t="n">
        <x:f>IF(OR(E6585="CANCELED",E6585="SUSPECTED_FRAUD",F6585="Shipping canceled"),0,1)</x:f>
        <x:v>1</x:v>
      </x:c>
      <x:c r="K6585" s="6" t="n">
        <x:f>IF(G6585&gt;H6585,1,0)</x:f>
        <x:v>1</x:v>
      </x:c>
      <x:c r="L6585" s="6" t="n">
        <x:f>J6585*K6585</x:f>
        <x:v>1</x:v>
      </x:c>
    </x:row>
    <x:row r="6586">
      <x:c r="A6586" s="1" t="n">
        <x:v>51725</x:v>
      </x:c>
      <x:c r="B6586" s="5" t="d">
        <x:v>2017-01-25T00:00:00.000Z</x:v>
      </x:c>
      <x:c r="C6586" s="1" t="str">
        <x:v>Standard Class</x:v>
      </x:c>
      <x:c r="D6586" s="1" t="str">
        <x:v>LATAM</x:v>
      </x:c>
      <x:c r="E6586" s="1" t="str">
        <x:v>PROCESSING</x:v>
      </x:c>
      <x:c r="F6586" s="1" t="str">
        <x:v>Late delivery</x:v>
      </x:c>
      <x:c r="G6586" s="6" t="n">
        <x:v>6</x:v>
      </x:c>
      <x:c r="H6586" s="6" t="n">
        <x:v>4</x:v>
      </x:c>
      <x:c r="I6586" s="6" t="n">
        <x:f>G6586-H6586</x:f>
        <x:v>2</x:v>
      </x:c>
      <x:c r="J6586" s="6" t="n">
        <x:f>IF(OR(E6586="CANCELED",E6586="SUSPECTED_FRAUD",F6586="Shipping canceled"),0,1)</x:f>
        <x:v>1</x:v>
      </x:c>
      <x:c r="K6586" s="6" t="n">
        <x:f>IF(G6586&gt;H6586,1,0)</x:f>
        <x:v>1</x:v>
      </x:c>
      <x:c r="L6586" s="6" t="n">
        <x:f>J6586*K6586</x:f>
        <x:v>1</x:v>
      </x:c>
    </x:row>
    <x:row r="6587">
      <x:c r="A6587" s="1" t="n">
        <x:v>51744</x:v>
      </x:c>
      <x:c r="B6587" s="5" t="d">
        <x:v>2017-01-25T00:00:00.000Z</x:v>
      </x:c>
      <x:c r="C6587" s="1" t="str">
        <x:v>Second Class</x:v>
      </x:c>
      <x:c r="D6587" s="1" t="str">
        <x:v>LATAM</x:v>
      </x:c>
      <x:c r="E6587" s="1" t="str">
        <x:v>SUSPECTED_FRAUD</x:v>
      </x:c>
      <x:c r="F6587" s="1" t="str">
        <x:v>Shipping canceled</x:v>
      </x:c>
      <x:c r="G6587" s="6" t="n">
        <x:v>5</x:v>
      </x:c>
      <x:c r="H6587" s="6" t="n">
        <x:v>2</x:v>
      </x:c>
      <x:c r="I6587" s="6" t="n">
        <x:f>G6587-H6587</x:f>
        <x:v>3</x:v>
      </x:c>
      <x:c r="J6587" s="6" t="n">
        <x:f>IF(OR(E6587="CANCELED",E6587="SUSPECTED_FRAUD",F6587="Shipping canceled"),0,1)</x:f>
        <x:v>0</x:v>
      </x:c>
      <x:c r="K6587" s="6" t="n">
        <x:f>IF(G6587&gt;H6587,1,0)</x:f>
        <x:v>1</x:v>
      </x:c>
      <x:c r="L6587" s="6" t="n">
        <x:f>J6587*K6587</x:f>
        <x:v>0</x:v>
      </x:c>
    </x:row>
    <x:row r="6588">
      <x:c r="A6588" s="1" t="n">
        <x:v>51746</x:v>
      </x:c>
      <x:c r="B6588" s="5" t="d">
        <x:v>2017-01-25T00:00:00.000Z</x:v>
      </x:c>
      <x:c r="C6588" s="1" t="str">
        <x:v>Standard Class</x:v>
      </x:c>
      <x:c r="D6588" s="1" t="str">
        <x:v>LATAM</x:v>
      </x:c>
      <x:c r="E6588" s="1" t="str">
        <x:v>PROCESSING</x:v>
      </x:c>
      <x:c r="F6588" s="1" t="str">
        <x:v>Advance shipping</x:v>
      </x:c>
      <x:c r="G6588" s="6" t="n">
        <x:v>2</x:v>
      </x:c>
      <x:c r="H6588" s="6" t="n">
        <x:v>4</x:v>
      </x:c>
      <x:c r="I6588" s="6" t="n">
        <x:f>G6588-H6588</x:f>
        <x:v>-2</x:v>
      </x:c>
      <x:c r="J6588" s="6" t="n">
        <x:f>IF(OR(E6588="CANCELED",E6588="SUSPECTED_FRAUD",F6588="Shipping canceled"),0,1)</x:f>
        <x:v>1</x:v>
      </x:c>
      <x:c r="K6588" s="6" t="n">
        <x:f>IF(G6588&gt;H6588,1,0)</x:f>
        <x:v>0</x:v>
      </x:c>
      <x:c r="L6588" s="6" t="n">
        <x:f>J6588*K6588</x:f>
        <x:v>0</x:v>
      </x:c>
    </x:row>
    <x:row r="6589">
      <x:c r="A6589" s="1" t="n">
        <x:v>51789</x:v>
      </x:c>
      <x:c r="B6589" s="5" t="d">
        <x:v>2017-01-25T00:00:00.000Z</x:v>
      </x:c>
      <x:c r="C6589" s="1" t="str">
        <x:v>Standard Class</x:v>
      </x:c>
      <x:c r="D6589" s="1" t="str">
        <x:v>LATAM</x:v>
      </x:c>
      <x:c r="E6589" s="1" t="str">
        <x:v>COMPLETE</x:v>
      </x:c>
      <x:c r="F6589" s="1" t="str">
        <x:v>Late delivery</x:v>
      </x:c>
      <x:c r="G6589" s="6" t="n">
        <x:v>5</x:v>
      </x:c>
      <x:c r="H6589" s="6" t="n">
        <x:v>4</x:v>
      </x:c>
      <x:c r="I6589" s="6" t="n">
        <x:f>G6589-H6589</x:f>
        <x:v>1</x:v>
      </x:c>
      <x:c r="J6589" s="6" t="n">
        <x:f>IF(OR(E6589="CANCELED",E6589="SUSPECTED_FRAUD",F6589="Shipping canceled"),0,1)</x:f>
        <x:v>1</x:v>
      </x:c>
      <x:c r="K6589" s="6" t="n">
        <x:f>IF(G6589&gt;H6589,1,0)</x:f>
        <x:v>1</x:v>
      </x:c>
      <x:c r="L6589" s="6" t="n">
        <x:f>J6589*K6589</x:f>
        <x:v>1</x:v>
      </x:c>
    </x:row>
    <x:row r="6590">
      <x:c r="A6590" s="1" t="n">
        <x:v>51790</x:v>
      </x:c>
      <x:c r="B6590" s="5" t="d">
        <x:v>2017-01-25T00:00:00.000Z</x:v>
      </x:c>
      <x:c r="C6590" s="1" t="str">
        <x:v>Standard Class</x:v>
      </x:c>
      <x:c r="D6590" s="1" t="str">
        <x:v>LATAM</x:v>
      </x:c>
      <x:c r="E6590" s="1" t="str">
        <x:v>PROCESSING</x:v>
      </x:c>
      <x:c r="F6590" s="1" t="str">
        <x:v>Late delivery</x:v>
      </x:c>
      <x:c r="G6590" s="6" t="n">
        <x:v>6</x:v>
      </x:c>
      <x:c r="H6590" s="6" t="n">
        <x:v>4</x:v>
      </x:c>
      <x:c r="I6590" s="6" t="n">
        <x:f>G6590-H6590</x:f>
        <x:v>2</x:v>
      </x:c>
      <x:c r="J6590" s="6" t="n">
        <x:f>IF(OR(E6590="CANCELED",E6590="SUSPECTED_FRAUD",F6590="Shipping canceled"),0,1)</x:f>
        <x:v>1</x:v>
      </x:c>
      <x:c r="K6590" s="6" t="n">
        <x:f>IF(G6590&gt;H6590,1,0)</x:f>
        <x:v>1</x:v>
      </x:c>
      <x:c r="L6590" s="6" t="n">
        <x:f>J6590*K6590</x:f>
        <x:v>1</x:v>
      </x:c>
    </x:row>
    <x:row r="6591">
      <x:c r="A6591" s="1" t="n">
        <x:v>51798</x:v>
      </x:c>
      <x:c r="B6591" s="5" t="d">
        <x:v>2017-01-26T00:00:00.000Z</x:v>
      </x:c>
      <x:c r="C6591" s="1" t="str">
        <x:v>Standard Class</x:v>
      </x:c>
      <x:c r="D6591" s="1" t="str">
        <x:v>LATAM</x:v>
      </x:c>
      <x:c r="E6591" s="1" t="str">
        <x:v>ON_HOLD</x:v>
      </x:c>
      <x:c r="F6591" s="1" t="str">
        <x:v>Shipping on time</x:v>
      </x:c>
      <x:c r="G6591" s="6" t="n">
        <x:v>4</x:v>
      </x:c>
      <x:c r="H6591" s="6" t="n">
        <x:v>4</x:v>
      </x:c>
      <x:c r="I6591" s="6" t="n">
        <x:f>G6591-H6591</x:f>
        <x:v>0</x:v>
      </x:c>
      <x:c r="J6591" s="6" t="n">
        <x:f>IF(OR(E6591="CANCELED",E6591="SUSPECTED_FRAUD",F6591="Shipping canceled"),0,1)</x:f>
        <x:v>1</x:v>
      </x:c>
      <x:c r="K6591" s="6" t="n">
        <x:f>IF(G6591&gt;H6591,1,0)</x:f>
        <x:v>0</x:v>
      </x:c>
      <x:c r="L6591" s="6" t="n">
        <x:f>J6591*K6591</x:f>
        <x:v>0</x:v>
      </x:c>
    </x:row>
    <x:row r="6592">
      <x:c r="A6592" s="1" t="n">
        <x:v>51806</x:v>
      </x:c>
      <x:c r="B6592" s="5" t="d">
        <x:v>2017-01-26T00:00:00.000Z</x:v>
      </x:c>
      <x:c r="C6592" s="1" t="str">
        <x:v>Second Class</x:v>
      </x:c>
      <x:c r="D6592" s="1" t="str">
        <x:v>LATAM</x:v>
      </x:c>
      <x:c r="E6592" s="1" t="str">
        <x:v>COMPLETE</x:v>
      </x:c>
      <x:c r="F6592" s="1" t="str">
        <x:v>Shipping on time</x:v>
      </x:c>
      <x:c r="G6592" s="6" t="n">
        <x:v>2</x:v>
      </x:c>
      <x:c r="H6592" s="6" t="n">
        <x:v>2</x:v>
      </x:c>
      <x:c r="I6592" s="6" t="n">
        <x:f>G6592-H6592</x:f>
        <x:v>0</x:v>
      </x:c>
      <x:c r="J6592" s="6" t="n">
        <x:f>IF(OR(E6592="CANCELED",E6592="SUSPECTED_FRAUD",F6592="Shipping canceled"),0,1)</x:f>
        <x:v>1</x:v>
      </x:c>
      <x:c r="K6592" s="6" t="n">
        <x:f>IF(G6592&gt;H6592,1,0)</x:f>
        <x:v>0</x:v>
      </x:c>
      <x:c r="L6592" s="6" t="n">
        <x:f>J6592*K6592</x:f>
        <x:v>0</x:v>
      </x:c>
    </x:row>
    <x:row r="6593">
      <x:c r="A6593" s="1" t="n">
        <x:v>51820</x:v>
      </x:c>
      <x:c r="B6593" s="5" t="d">
        <x:v>2017-01-26T00:00:00.000Z</x:v>
      </x:c>
      <x:c r="C6593" s="1" t="str">
        <x:v>Standard Class</x:v>
      </x:c>
      <x:c r="D6593" s="1" t="str">
        <x:v>LATAM</x:v>
      </x:c>
      <x:c r="E6593" s="1" t="str">
        <x:v>COMPLETE</x:v>
      </x:c>
      <x:c r="F6593" s="1" t="str">
        <x:v>Late delivery</x:v>
      </x:c>
      <x:c r="G6593" s="6" t="n">
        <x:v>6</x:v>
      </x:c>
      <x:c r="H6593" s="6" t="n">
        <x:v>4</x:v>
      </x:c>
      <x:c r="I6593" s="6" t="n">
        <x:f>G6593-H6593</x:f>
        <x:v>2</x:v>
      </x:c>
      <x:c r="J6593" s="6" t="n">
        <x:f>IF(OR(E6593="CANCELED",E6593="SUSPECTED_FRAUD",F6593="Shipping canceled"),0,1)</x:f>
        <x:v>1</x:v>
      </x:c>
      <x:c r="K6593" s="6" t="n">
        <x:f>IF(G6593&gt;H6593,1,0)</x:f>
        <x:v>1</x:v>
      </x:c>
      <x:c r="L6593" s="6" t="n">
        <x:f>J6593*K6593</x:f>
        <x:v>1</x:v>
      </x:c>
    </x:row>
    <x:row r="6594">
      <x:c r="A6594" s="1" t="n">
        <x:v>51823</x:v>
      </x:c>
      <x:c r="B6594" s="5" t="d">
        <x:v>2017-01-26T00:00:00.000Z</x:v>
      </x:c>
      <x:c r="C6594" s="1" t="str">
        <x:v>Standard Class</x:v>
      </x:c>
      <x:c r="D6594" s="1" t="str">
        <x:v>LATAM</x:v>
      </x:c>
      <x:c r="E6594" s="1" t="str">
        <x:v>COMPLETE</x:v>
      </x:c>
      <x:c r="F6594" s="1" t="str">
        <x:v>Shipping on time</x:v>
      </x:c>
      <x:c r="G6594" s="6" t="n">
        <x:v>4</x:v>
      </x:c>
      <x:c r="H6594" s="6" t="n">
        <x:v>4</x:v>
      </x:c>
      <x:c r="I6594" s="6" t="n">
        <x:f>G6594-H6594</x:f>
        <x:v>0</x:v>
      </x:c>
      <x:c r="J6594" s="6" t="n">
        <x:f>IF(OR(E6594="CANCELED",E6594="SUSPECTED_FRAUD",F6594="Shipping canceled"),0,1)</x:f>
        <x:v>1</x:v>
      </x:c>
      <x:c r="K6594" s="6" t="n">
        <x:f>IF(G6594&gt;H6594,1,0)</x:f>
        <x:v>0</x:v>
      </x:c>
      <x:c r="L6594" s="6" t="n">
        <x:f>J6594*K6594</x:f>
        <x:v>0</x:v>
      </x:c>
    </x:row>
    <x:row r="6595">
      <x:c r="A6595" s="1" t="n">
        <x:v>51825</x:v>
      </x:c>
      <x:c r="B6595" s="5" t="d">
        <x:v>2017-01-26T00:00:00.000Z</x:v>
      </x:c>
      <x:c r="C6595" s="1" t="str">
        <x:v>Standard Class</x:v>
      </x:c>
      <x:c r="D6595" s="1" t="str">
        <x:v>LATAM</x:v>
      </x:c>
      <x:c r="E6595" s="1" t="str">
        <x:v>PROCESSING</x:v>
      </x:c>
      <x:c r="F6595" s="1" t="str">
        <x:v>Late delivery</x:v>
      </x:c>
      <x:c r="G6595" s="6" t="n">
        <x:v>6</x:v>
      </x:c>
      <x:c r="H6595" s="6" t="n">
        <x:v>4</x:v>
      </x:c>
      <x:c r="I6595" s="6" t="n">
        <x:f>G6595-H6595</x:f>
        <x:v>2</x:v>
      </x:c>
      <x:c r="J6595" s="6" t="n">
        <x:f>IF(OR(E6595="CANCELED",E6595="SUSPECTED_FRAUD",F6595="Shipping canceled"),0,1)</x:f>
        <x:v>1</x:v>
      </x:c>
      <x:c r="K6595" s="6" t="n">
        <x:f>IF(G6595&gt;H6595,1,0)</x:f>
        <x:v>1</x:v>
      </x:c>
      <x:c r="L6595" s="6" t="n">
        <x:f>J6595*K6595</x:f>
        <x:v>1</x:v>
      </x:c>
    </x:row>
    <x:row r="6596">
      <x:c r="A6596" s="1" t="n">
        <x:v>51826</x:v>
      </x:c>
      <x:c r="B6596" s="5" t="d">
        <x:v>2017-01-26T00:00:00.000Z</x:v>
      </x:c>
      <x:c r="C6596" s="1" t="str">
        <x:v>Standard Class</x:v>
      </x:c>
      <x:c r="D6596" s="1" t="str">
        <x:v>LATAM</x:v>
      </x:c>
      <x:c r="E6596" s="1" t="str">
        <x:v>COMPLETE</x:v>
      </x:c>
      <x:c r="F6596" s="1" t="str">
        <x:v>Advance shipping</x:v>
      </x:c>
      <x:c r="G6596" s="6" t="n">
        <x:v>2</x:v>
      </x:c>
      <x:c r="H6596" s="6" t="n">
        <x:v>4</x:v>
      </x:c>
      <x:c r="I6596" s="6" t="n">
        <x:f>G6596-H6596</x:f>
        <x:v>-2</x:v>
      </x:c>
      <x:c r="J6596" s="6" t="n">
        <x:f>IF(OR(E6596="CANCELED",E6596="SUSPECTED_FRAUD",F6596="Shipping canceled"),0,1)</x:f>
        <x:v>1</x:v>
      </x:c>
      <x:c r="K6596" s="6" t="n">
        <x:f>IF(G6596&gt;H6596,1,0)</x:f>
        <x:v>0</x:v>
      </x:c>
      <x:c r="L6596" s="6" t="n">
        <x:f>J6596*K6596</x:f>
        <x:v>0</x:v>
      </x:c>
    </x:row>
    <x:row r="6597">
      <x:c r="A6597" s="1" t="n">
        <x:v>51830</x:v>
      </x:c>
      <x:c r="B6597" s="5" t="d">
        <x:v>2017-01-26T00:00:00.000Z</x:v>
      </x:c>
      <x:c r="C6597" s="1" t="str">
        <x:v>Standard Class</x:v>
      </x:c>
      <x:c r="D6597" s="1" t="str">
        <x:v>LATAM</x:v>
      </x:c>
      <x:c r="E6597" s="1" t="str">
        <x:v>PENDING_PAYMENT</x:v>
      </x:c>
      <x:c r="F6597" s="1" t="str">
        <x:v>Late delivery</x:v>
      </x:c>
      <x:c r="G6597" s="6" t="n">
        <x:v>6</x:v>
      </x:c>
      <x:c r="H6597" s="6" t="n">
        <x:v>4</x:v>
      </x:c>
      <x:c r="I6597" s="6" t="n">
        <x:f>G6597-H6597</x:f>
        <x:v>2</x:v>
      </x:c>
      <x:c r="J6597" s="6" t="n">
        <x:f>IF(OR(E6597="CANCELED",E6597="SUSPECTED_FRAUD",F6597="Shipping canceled"),0,1)</x:f>
        <x:v>1</x:v>
      </x:c>
      <x:c r="K6597" s="6" t="n">
        <x:f>IF(G6597&gt;H6597,1,0)</x:f>
        <x:v>1</x:v>
      </x:c>
      <x:c r="L6597" s="6" t="n">
        <x:f>J6597*K6597</x:f>
        <x:v>1</x:v>
      </x:c>
    </x:row>
    <x:row r="6598">
      <x:c r="A6598" s="1" t="n">
        <x:v>51831</x:v>
      </x:c>
      <x:c r="B6598" s="5" t="d">
        <x:v>2017-01-26T00:00:00.000Z</x:v>
      </x:c>
      <x:c r="C6598" s="1" t="str">
        <x:v>Standard Class</x:v>
      </x:c>
      <x:c r="D6598" s="1" t="str">
        <x:v>LATAM</x:v>
      </x:c>
      <x:c r="E6598" s="1" t="str">
        <x:v>PENDING</x:v>
      </x:c>
      <x:c r="F6598" s="1" t="str">
        <x:v>Advance shipping</x:v>
      </x:c>
      <x:c r="G6598" s="6" t="n">
        <x:v>2</x:v>
      </x:c>
      <x:c r="H6598" s="6" t="n">
        <x:v>4</x:v>
      </x:c>
      <x:c r="I6598" s="6" t="n">
        <x:f>G6598-H6598</x:f>
        <x:v>-2</x:v>
      </x:c>
      <x:c r="J6598" s="6" t="n">
        <x:f>IF(OR(E6598="CANCELED",E6598="SUSPECTED_FRAUD",F6598="Shipping canceled"),0,1)</x:f>
        <x:v>1</x:v>
      </x:c>
      <x:c r="K6598" s="6" t="n">
        <x:f>IF(G6598&gt;H6598,1,0)</x:f>
        <x:v>0</x:v>
      </x:c>
      <x:c r="L6598" s="6" t="n">
        <x:f>J6598*K6598</x:f>
        <x:v>0</x:v>
      </x:c>
    </x:row>
    <x:row r="6599">
      <x:c r="A6599" s="1" t="n">
        <x:v>51856</x:v>
      </x:c>
      <x:c r="B6599" s="5" t="d">
        <x:v>2017-01-26T00:00:00.000Z</x:v>
      </x:c>
      <x:c r="C6599" s="1" t="str">
        <x:v>Standard Class</x:v>
      </x:c>
      <x:c r="D6599" s="1" t="str">
        <x:v>LATAM</x:v>
      </x:c>
      <x:c r="E6599" s="1" t="str">
        <x:v>ON_HOLD</x:v>
      </x:c>
      <x:c r="F6599" s="1" t="str">
        <x:v>Advance shipping</x:v>
      </x:c>
      <x:c r="G6599" s="6" t="n">
        <x:v>2</x:v>
      </x:c>
      <x:c r="H6599" s="6" t="n">
        <x:v>4</x:v>
      </x:c>
      <x:c r="I6599" s="6" t="n">
        <x:f>G6599-H6599</x:f>
        <x:v>-2</x:v>
      </x:c>
      <x:c r="J6599" s="6" t="n">
        <x:f>IF(OR(E6599="CANCELED",E6599="SUSPECTED_FRAUD",F6599="Shipping canceled"),0,1)</x:f>
        <x:v>1</x:v>
      </x:c>
      <x:c r="K6599" s="6" t="n">
        <x:f>IF(G6599&gt;H6599,1,0)</x:f>
        <x:v>0</x:v>
      </x:c>
      <x:c r="L6599" s="6" t="n">
        <x:f>J6599*K6599</x:f>
        <x:v>0</x:v>
      </x:c>
    </x:row>
    <x:row r="6600">
      <x:c r="A6600" s="1" t="n">
        <x:v>51865</x:v>
      </x:c>
      <x:c r="B6600" s="5" t="d">
        <x:v>2017-01-27T00:00:00.000Z</x:v>
      </x:c>
      <x:c r="C6600" s="1" t="str">
        <x:v>Standard Class</x:v>
      </x:c>
      <x:c r="D6600" s="1" t="str">
        <x:v>LATAM</x:v>
      </x:c>
      <x:c r="E6600" s="1" t="str">
        <x:v>PROCESSING</x:v>
      </x:c>
      <x:c r="F6600" s="1" t="str">
        <x:v>Late delivery</x:v>
      </x:c>
      <x:c r="G6600" s="6" t="n">
        <x:v>6</x:v>
      </x:c>
      <x:c r="H6600" s="6" t="n">
        <x:v>4</x:v>
      </x:c>
      <x:c r="I6600" s="6" t="n">
        <x:f>G6600-H6600</x:f>
        <x:v>2</x:v>
      </x:c>
      <x:c r="J6600" s="6" t="n">
        <x:f>IF(OR(E6600="CANCELED",E6600="SUSPECTED_FRAUD",F6600="Shipping canceled"),0,1)</x:f>
        <x:v>1</x:v>
      </x:c>
      <x:c r="K6600" s="6" t="n">
        <x:f>IF(G6600&gt;H6600,1,0)</x:f>
        <x:v>1</x:v>
      </x:c>
      <x:c r="L6600" s="6" t="n">
        <x:f>J6600*K6600</x:f>
        <x:v>1</x:v>
      </x:c>
    </x:row>
    <x:row r="6601">
      <x:c r="A6601" s="1" t="n">
        <x:v>51875</x:v>
      </x:c>
      <x:c r="B6601" s="5" t="d">
        <x:v>2017-01-27T00:00:00.000Z</x:v>
      </x:c>
      <x:c r="C6601" s="1" t="str">
        <x:v>Standard Class</x:v>
      </x:c>
      <x:c r="D6601" s="1" t="str">
        <x:v>LATAM</x:v>
      </x:c>
      <x:c r="E6601" s="1" t="str">
        <x:v>COMPLETE</x:v>
      </x:c>
      <x:c r="F6601" s="1" t="str">
        <x:v>Late delivery</x:v>
      </x:c>
      <x:c r="G6601" s="6" t="n">
        <x:v>6</x:v>
      </x:c>
      <x:c r="H6601" s="6" t="n">
        <x:v>4</x:v>
      </x:c>
      <x:c r="I6601" s="6" t="n">
        <x:f>G6601-H6601</x:f>
        <x:v>2</x:v>
      </x:c>
      <x:c r="J6601" s="6" t="n">
        <x:f>IF(OR(E6601="CANCELED",E6601="SUSPECTED_FRAUD",F6601="Shipping canceled"),0,1)</x:f>
        <x:v>1</x:v>
      </x:c>
      <x:c r="K6601" s="6" t="n">
        <x:f>IF(G6601&gt;H6601,1,0)</x:f>
        <x:v>1</x:v>
      </x:c>
      <x:c r="L6601" s="6" t="n">
        <x:f>J6601*K6601</x:f>
        <x:v>1</x:v>
      </x:c>
    </x:row>
    <x:row r="6602">
      <x:c r="A6602" s="1" t="n">
        <x:v>51885</x:v>
      </x:c>
      <x:c r="B6602" s="5" t="d">
        <x:v>2017-01-27T00:00:00.000Z</x:v>
      </x:c>
      <x:c r="C6602" s="1" t="str">
        <x:v>Standard Class</x:v>
      </x:c>
      <x:c r="D6602" s="1" t="str">
        <x:v>LATAM</x:v>
      </x:c>
      <x:c r="E6602" s="1" t="str">
        <x:v>PENDING</x:v>
      </x:c>
      <x:c r="F6602" s="1" t="str">
        <x:v>Late delivery</x:v>
      </x:c>
      <x:c r="G6602" s="6" t="n">
        <x:v>6</x:v>
      </x:c>
      <x:c r="H6602" s="6" t="n">
        <x:v>4</x:v>
      </x:c>
      <x:c r="I6602" s="6" t="n">
        <x:f>G6602-H6602</x:f>
        <x:v>2</x:v>
      </x:c>
      <x:c r="J6602" s="6" t="n">
        <x:f>IF(OR(E6602="CANCELED",E6602="SUSPECTED_FRAUD",F6602="Shipping canceled"),0,1)</x:f>
        <x:v>1</x:v>
      </x:c>
      <x:c r="K6602" s="6" t="n">
        <x:f>IF(G6602&gt;H6602,1,0)</x:f>
        <x:v>1</x:v>
      </x:c>
      <x:c r="L6602" s="6" t="n">
        <x:f>J6602*K6602</x:f>
        <x:v>1</x:v>
      </x:c>
    </x:row>
    <x:row r="6603">
      <x:c r="A6603" s="1" t="n">
        <x:v>51886</x:v>
      </x:c>
      <x:c r="B6603" s="5" t="d">
        <x:v>2017-01-27T00:00:00.000Z</x:v>
      </x:c>
      <x:c r="C6603" s="1" t="str">
        <x:v>Standard Class</x:v>
      </x:c>
      <x:c r="D6603" s="1" t="str">
        <x:v>LATAM</x:v>
      </x:c>
      <x:c r="E6603" s="1" t="str">
        <x:v>COMPLETE</x:v>
      </x:c>
      <x:c r="F6603" s="1" t="str">
        <x:v>Advance shipping</x:v>
      </x:c>
      <x:c r="G6603" s="6" t="n">
        <x:v>2</x:v>
      </x:c>
      <x:c r="H6603" s="6" t="n">
        <x:v>4</x:v>
      </x:c>
      <x:c r="I6603" s="6" t="n">
        <x:f>G6603-H6603</x:f>
        <x:v>-2</x:v>
      </x:c>
      <x:c r="J6603" s="6" t="n">
        <x:f>IF(OR(E6603="CANCELED",E6603="SUSPECTED_FRAUD",F6603="Shipping canceled"),0,1)</x:f>
        <x:v>1</x:v>
      </x:c>
      <x:c r="K6603" s="6" t="n">
        <x:f>IF(G6603&gt;H6603,1,0)</x:f>
        <x:v>0</x:v>
      </x:c>
      <x:c r="L6603" s="6" t="n">
        <x:f>J6603*K6603</x:f>
        <x:v>0</x:v>
      </x:c>
    </x:row>
    <x:row r="6604">
      <x:c r="A6604" s="1" t="n">
        <x:v>51893</x:v>
      </x:c>
      <x:c r="B6604" s="5" t="d">
        <x:v>2017-01-27T00:00:00.000Z</x:v>
      </x:c>
      <x:c r="C6604" s="1" t="str">
        <x:v>Second Class</x:v>
      </x:c>
      <x:c r="D6604" s="1" t="str">
        <x:v>LATAM</x:v>
      </x:c>
      <x:c r="E6604" s="1" t="str">
        <x:v>COMPLETE</x:v>
      </x:c>
      <x:c r="F6604" s="1" t="str">
        <x:v>Late delivery</x:v>
      </x:c>
      <x:c r="G6604" s="6" t="n">
        <x:v>4</x:v>
      </x:c>
      <x:c r="H6604" s="6" t="n">
        <x:v>2</x:v>
      </x:c>
      <x:c r="I6604" s="6" t="n">
        <x:f>G6604-H6604</x:f>
        <x:v>2</x:v>
      </x:c>
      <x:c r="J6604" s="6" t="n">
        <x:f>IF(OR(E6604="CANCELED",E6604="SUSPECTED_FRAUD",F6604="Shipping canceled"),0,1)</x:f>
        <x:v>1</x:v>
      </x:c>
      <x:c r="K6604" s="6" t="n">
        <x:f>IF(G6604&gt;H6604,1,0)</x:f>
        <x:v>1</x:v>
      </x:c>
      <x:c r="L6604" s="6" t="n">
        <x:f>J6604*K6604</x:f>
        <x:v>1</x:v>
      </x:c>
    </x:row>
    <x:row r="6605">
      <x:c r="A6605" s="1" t="n">
        <x:v>51895</x:v>
      </x:c>
      <x:c r="B6605" s="5" t="d">
        <x:v>2017-01-27T00:00:00.000Z</x:v>
      </x:c>
      <x:c r="C6605" s="1" t="str">
        <x:v>Standard Class</x:v>
      </x:c>
      <x:c r="D6605" s="1" t="str">
        <x:v>LATAM</x:v>
      </x:c>
      <x:c r="E6605" s="1" t="str">
        <x:v>SUSPECTED_FRAUD</x:v>
      </x:c>
      <x:c r="F6605" s="1" t="str">
        <x:v>Shipping canceled</x:v>
      </x:c>
      <x:c r="G6605" s="6" t="n">
        <x:v>6</x:v>
      </x:c>
      <x:c r="H6605" s="6" t="n">
        <x:v>4</x:v>
      </x:c>
      <x:c r="I6605" s="6" t="n">
        <x:f>G6605-H6605</x:f>
        <x:v>2</x:v>
      </x:c>
      <x:c r="J6605" s="6" t="n">
        <x:f>IF(OR(E6605="CANCELED",E6605="SUSPECTED_FRAUD",F6605="Shipping canceled"),0,1)</x:f>
        <x:v>0</x:v>
      </x:c>
      <x:c r="K6605" s="6" t="n">
        <x:f>IF(G6605&gt;H6605,1,0)</x:f>
        <x:v>1</x:v>
      </x:c>
      <x:c r="L6605" s="6" t="n">
        <x:f>J6605*K6605</x:f>
        <x:v>0</x:v>
      </x:c>
    </x:row>
    <x:row r="6606">
      <x:c r="A6606" s="1" t="n">
        <x:v>51898</x:v>
      </x:c>
      <x:c r="B6606" s="5" t="d">
        <x:v>2017-01-27T00:00:00.000Z</x:v>
      </x:c>
      <x:c r="C6606" s="1" t="str">
        <x:v>Standard Class</x:v>
      </x:c>
      <x:c r="D6606" s="1" t="str">
        <x:v>LATAM</x:v>
      </x:c>
      <x:c r="E6606" s="1" t="str">
        <x:v>ON_HOLD</x:v>
      </x:c>
      <x:c r="F6606" s="1" t="str">
        <x:v>Shipping on time</x:v>
      </x:c>
      <x:c r="G6606" s="6" t="n">
        <x:v>4</x:v>
      </x:c>
      <x:c r="H6606" s="6" t="n">
        <x:v>4</x:v>
      </x:c>
      <x:c r="I6606" s="6" t="n">
        <x:f>G6606-H6606</x:f>
        <x:v>0</x:v>
      </x:c>
      <x:c r="J6606" s="6" t="n">
        <x:f>IF(OR(E6606="CANCELED",E6606="SUSPECTED_FRAUD",F6606="Shipping canceled"),0,1)</x:f>
        <x:v>1</x:v>
      </x:c>
      <x:c r="K6606" s="6" t="n">
        <x:f>IF(G6606&gt;H6606,1,0)</x:f>
        <x:v>0</x:v>
      </x:c>
      <x:c r="L6606" s="6" t="n">
        <x:f>J6606*K6606</x:f>
        <x:v>0</x:v>
      </x:c>
    </x:row>
    <x:row r="6607">
      <x:c r="A6607" s="1" t="n">
        <x:v>51901</x:v>
      </x:c>
      <x:c r="B6607" s="5" t="d">
        <x:v>2017-01-27T00:00:00.000Z</x:v>
      </x:c>
      <x:c r="C6607" s="1" t="str">
        <x:v>Same Day</x:v>
      </x:c>
      <x:c r="D6607" s="1" t="str">
        <x:v>LATAM</x:v>
      </x:c>
      <x:c r="E6607" s="1" t="str">
        <x:v>PENDING</x:v>
      </x:c>
      <x:c r="F6607" s="1" t="str">
        <x:v>Late delivery</x:v>
      </x:c>
      <x:c r="G6607" s="6" t="n">
        <x:v>1</x:v>
      </x:c>
      <x:c r="H6607" s="6" t="n">
        <x:v>0</x:v>
      </x:c>
      <x:c r="I6607" s="6" t="n">
        <x:f>G6607-H6607</x:f>
        <x:v>1</x:v>
      </x:c>
      <x:c r="J6607" s="6" t="n">
        <x:f>IF(OR(E6607="CANCELED",E6607="SUSPECTED_FRAUD",F6607="Shipping canceled"),0,1)</x:f>
        <x:v>1</x:v>
      </x:c>
      <x:c r="K6607" s="6" t="n">
        <x:f>IF(G6607&gt;H6607,1,0)</x:f>
        <x:v>1</x:v>
      </x:c>
      <x:c r="L6607" s="6" t="n">
        <x:f>J6607*K6607</x:f>
        <x:v>1</x:v>
      </x:c>
    </x:row>
    <x:row r="6608">
      <x:c r="A6608" s="1" t="n">
        <x:v>51911</x:v>
      </x:c>
      <x:c r="B6608" s="5" t="d">
        <x:v>2017-01-27T00:00:00.000Z</x:v>
      </x:c>
      <x:c r="C6608" s="1" t="str">
        <x:v>Second Class</x:v>
      </x:c>
      <x:c r="D6608" s="1" t="str">
        <x:v>LATAM</x:v>
      </x:c>
      <x:c r="E6608" s="1" t="str">
        <x:v>PENDING_PAYMENT</x:v>
      </x:c>
      <x:c r="F6608" s="1" t="str">
        <x:v>Shipping on time</x:v>
      </x:c>
      <x:c r="G6608" s="6" t="n">
        <x:v>2</x:v>
      </x:c>
      <x:c r="H6608" s="6" t="n">
        <x:v>2</x:v>
      </x:c>
      <x:c r="I6608" s="6" t="n">
        <x:f>G6608-H6608</x:f>
        <x:v>0</x:v>
      </x:c>
      <x:c r="J6608" s="6" t="n">
        <x:f>IF(OR(E6608="CANCELED",E6608="SUSPECTED_FRAUD",F6608="Shipping canceled"),0,1)</x:f>
        <x:v>1</x:v>
      </x:c>
      <x:c r="K6608" s="6" t="n">
        <x:f>IF(G6608&gt;H6608,1,0)</x:f>
        <x:v>0</x:v>
      </x:c>
      <x:c r="L6608" s="6" t="n">
        <x:f>J6608*K6608</x:f>
        <x:v>0</x:v>
      </x:c>
    </x:row>
    <x:row r="6609">
      <x:c r="A6609" s="1" t="n">
        <x:v>51914</x:v>
      </x:c>
      <x:c r="B6609" s="5" t="d">
        <x:v>2017-01-27T00:00:00.000Z</x:v>
      </x:c>
      <x:c r="C6609" s="1" t="str">
        <x:v>Standard Class</x:v>
      </x:c>
      <x:c r="D6609" s="1" t="str">
        <x:v>LATAM</x:v>
      </x:c>
      <x:c r="E6609" s="1" t="str">
        <x:v>PENDING_PAYMENT</x:v>
      </x:c>
      <x:c r="F6609" s="1" t="str">
        <x:v>Late delivery</x:v>
      </x:c>
      <x:c r="G6609" s="6" t="n">
        <x:v>5</x:v>
      </x:c>
      <x:c r="H6609" s="6" t="n">
        <x:v>4</x:v>
      </x:c>
      <x:c r="I6609" s="6" t="n">
        <x:f>G6609-H6609</x:f>
        <x:v>1</x:v>
      </x:c>
      <x:c r="J6609" s="6" t="n">
        <x:f>IF(OR(E6609="CANCELED",E6609="SUSPECTED_FRAUD",F6609="Shipping canceled"),0,1)</x:f>
        <x:v>1</x:v>
      </x:c>
      <x:c r="K6609" s="6" t="n">
        <x:f>IF(G6609&gt;H6609,1,0)</x:f>
        <x:v>1</x:v>
      </x:c>
      <x:c r="L6609" s="6" t="n">
        <x:f>J6609*K6609</x:f>
        <x:v>1</x:v>
      </x:c>
    </x:row>
    <x:row r="6610">
      <x:c r="A6610" s="1" t="n">
        <x:v>51936</x:v>
      </x:c>
      <x:c r="B6610" s="5" t="d">
        <x:v>2017-01-28T00:00:00.000Z</x:v>
      </x:c>
      <x:c r="C6610" s="1" t="str">
        <x:v>Standard Class</x:v>
      </x:c>
      <x:c r="D6610" s="1" t="str">
        <x:v>LATAM</x:v>
      </x:c>
      <x:c r="E6610" s="1" t="str">
        <x:v>PENDING_PAYMENT</x:v>
      </x:c>
      <x:c r="F6610" s="1" t="str">
        <x:v>Advance shipping</x:v>
      </x:c>
      <x:c r="G6610" s="6" t="n">
        <x:v>2</x:v>
      </x:c>
      <x:c r="H6610" s="6" t="n">
        <x:v>4</x:v>
      </x:c>
      <x:c r="I6610" s="6" t="n">
        <x:f>G6610-H6610</x:f>
        <x:v>-2</x:v>
      </x:c>
      <x:c r="J6610" s="6" t="n">
        <x:f>IF(OR(E6610="CANCELED",E6610="SUSPECTED_FRAUD",F6610="Shipping canceled"),0,1)</x:f>
        <x:v>1</x:v>
      </x:c>
      <x:c r="K6610" s="6" t="n">
        <x:f>IF(G6610&gt;H6610,1,0)</x:f>
        <x:v>0</x:v>
      </x:c>
      <x:c r="L6610" s="6" t="n">
        <x:f>J6610*K6610</x:f>
        <x:v>0</x:v>
      </x:c>
    </x:row>
    <x:row r="6611">
      <x:c r="A6611" s="1" t="n">
        <x:v>51940</x:v>
      </x:c>
      <x:c r="B6611" s="5" t="d">
        <x:v>2017-01-28T00:00:00.000Z</x:v>
      </x:c>
      <x:c r="C6611" s="1" t="str">
        <x:v>Standard Class</x:v>
      </x:c>
      <x:c r="D6611" s="1" t="str">
        <x:v>LATAM</x:v>
      </x:c>
      <x:c r="E6611" s="1" t="str">
        <x:v>PENDING_PAYMENT</x:v>
      </x:c>
      <x:c r="F6611" s="1" t="str">
        <x:v>Late delivery</x:v>
      </x:c>
      <x:c r="G6611" s="6" t="n">
        <x:v>6</x:v>
      </x:c>
      <x:c r="H6611" s="6" t="n">
        <x:v>4</x:v>
      </x:c>
      <x:c r="I6611" s="6" t="n">
        <x:f>G6611-H6611</x:f>
        <x:v>2</x:v>
      </x:c>
      <x:c r="J6611" s="6" t="n">
        <x:f>IF(OR(E6611="CANCELED",E6611="SUSPECTED_FRAUD",F6611="Shipping canceled"),0,1)</x:f>
        <x:v>1</x:v>
      </x:c>
      <x:c r="K6611" s="6" t="n">
        <x:f>IF(G6611&gt;H6611,1,0)</x:f>
        <x:v>1</x:v>
      </x:c>
      <x:c r="L6611" s="6" t="n">
        <x:f>J6611*K6611</x:f>
        <x:v>1</x:v>
      </x:c>
    </x:row>
    <x:row r="6612">
      <x:c r="A6612" s="1" t="n">
        <x:v>51961</x:v>
      </x:c>
      <x:c r="B6612" s="5" t="d">
        <x:v>2017-01-28T00:00:00.000Z</x:v>
      </x:c>
      <x:c r="C6612" s="1" t="str">
        <x:v>Standard Class</x:v>
      </x:c>
      <x:c r="D6612" s="1" t="str">
        <x:v>LATAM</x:v>
      </x:c>
      <x:c r="E6612" s="1" t="str">
        <x:v>PROCESSING</x:v>
      </x:c>
      <x:c r="F6612" s="1" t="str">
        <x:v>Advance shipping</x:v>
      </x:c>
      <x:c r="G6612" s="6" t="n">
        <x:v>2</x:v>
      </x:c>
      <x:c r="H6612" s="6" t="n">
        <x:v>4</x:v>
      </x:c>
      <x:c r="I6612" s="6" t="n">
        <x:f>G6612-H6612</x:f>
        <x:v>-2</x:v>
      </x:c>
      <x:c r="J6612" s="6" t="n">
        <x:f>IF(OR(E6612="CANCELED",E6612="SUSPECTED_FRAUD",F6612="Shipping canceled"),0,1)</x:f>
        <x:v>1</x:v>
      </x:c>
      <x:c r="K6612" s="6" t="n">
        <x:f>IF(G6612&gt;H6612,1,0)</x:f>
        <x:v>0</x:v>
      </x:c>
      <x:c r="L6612" s="6" t="n">
        <x:f>J6612*K6612</x:f>
        <x:v>0</x:v>
      </x:c>
    </x:row>
    <x:row r="6613">
      <x:c r="A6613" s="1" t="n">
        <x:v>51992</x:v>
      </x:c>
      <x:c r="B6613" s="5" t="d">
        <x:v>2017-01-28T00:00:00.000Z</x:v>
      </x:c>
      <x:c r="C6613" s="1" t="str">
        <x:v>Second Class</x:v>
      </x:c>
      <x:c r="D6613" s="1" t="str">
        <x:v>LATAM</x:v>
      </x:c>
      <x:c r="E6613" s="1" t="str">
        <x:v>PROCESSING</x:v>
      </x:c>
      <x:c r="F6613" s="1" t="str">
        <x:v>Late delivery</x:v>
      </x:c>
      <x:c r="G6613" s="6" t="n">
        <x:v>3</x:v>
      </x:c>
      <x:c r="H6613" s="6" t="n">
        <x:v>2</x:v>
      </x:c>
      <x:c r="I6613" s="6" t="n">
        <x:f>G6613-H6613</x:f>
        <x:v>1</x:v>
      </x:c>
      <x:c r="J6613" s="6" t="n">
        <x:f>IF(OR(E6613="CANCELED",E6613="SUSPECTED_FRAUD",F6613="Shipping canceled"),0,1)</x:f>
        <x:v>1</x:v>
      </x:c>
      <x:c r="K6613" s="6" t="n">
        <x:f>IF(G6613&gt;H6613,1,0)</x:f>
        <x:v>1</x:v>
      </x:c>
      <x:c r="L6613" s="6" t="n">
        <x:f>J6613*K6613</x:f>
        <x:v>1</x:v>
      </x:c>
    </x:row>
    <x:row r="6614">
      <x:c r="A6614" s="1" t="n">
        <x:v>52003</x:v>
      </x:c>
      <x:c r="B6614" s="5" t="d">
        <x:v>2017-01-29T00:00:00.000Z</x:v>
      </x:c>
      <x:c r="C6614" s="1" t="str">
        <x:v>Standard Class</x:v>
      </x:c>
      <x:c r="D6614" s="1" t="str">
        <x:v>LATAM</x:v>
      </x:c>
      <x:c r="E6614" s="1" t="str">
        <x:v>COMPLETE</x:v>
      </x:c>
      <x:c r="F6614" s="1" t="str">
        <x:v>Shipping on time</x:v>
      </x:c>
      <x:c r="G6614" s="6" t="n">
        <x:v>4</x:v>
      </x:c>
      <x:c r="H6614" s="6" t="n">
        <x:v>4</x:v>
      </x:c>
      <x:c r="I6614" s="6" t="n">
        <x:f>G6614-H6614</x:f>
        <x:v>0</x:v>
      </x:c>
      <x:c r="J6614" s="6" t="n">
        <x:f>IF(OR(E6614="CANCELED",E6614="SUSPECTED_FRAUD",F6614="Shipping canceled"),0,1)</x:f>
        <x:v>1</x:v>
      </x:c>
      <x:c r="K6614" s="6" t="n">
        <x:f>IF(G6614&gt;H6614,1,0)</x:f>
        <x:v>0</x:v>
      </x:c>
      <x:c r="L6614" s="6" t="n">
        <x:f>J6614*K6614</x:f>
        <x:v>0</x:v>
      </x:c>
    </x:row>
    <x:row r="6615">
      <x:c r="A6615" s="1" t="n">
        <x:v>52018</x:v>
      </x:c>
      <x:c r="B6615" s="5" t="d">
        <x:v>2017-01-29T00:00:00.000Z</x:v>
      </x:c>
      <x:c r="C6615" s="1" t="str">
        <x:v>Standard Class</x:v>
      </x:c>
      <x:c r="D6615" s="1" t="str">
        <x:v>LATAM</x:v>
      </x:c>
      <x:c r="E6615" s="1" t="str">
        <x:v>PROCESSING</x:v>
      </x:c>
      <x:c r="F6615" s="1" t="str">
        <x:v>Shipping on time</x:v>
      </x:c>
      <x:c r="G6615" s="6" t="n">
        <x:v>4</x:v>
      </x:c>
      <x:c r="H6615" s="6" t="n">
        <x:v>4</x:v>
      </x:c>
      <x:c r="I6615" s="6" t="n">
        <x:f>G6615-H6615</x:f>
        <x:v>0</x:v>
      </x:c>
      <x:c r="J6615" s="6" t="n">
        <x:f>IF(OR(E6615="CANCELED",E6615="SUSPECTED_FRAUD",F6615="Shipping canceled"),0,1)</x:f>
        <x:v>1</x:v>
      </x:c>
      <x:c r="K6615" s="6" t="n">
        <x:f>IF(G6615&gt;H6615,1,0)</x:f>
        <x:v>0</x:v>
      </x:c>
      <x:c r="L6615" s="6" t="n">
        <x:f>J6615*K6615</x:f>
        <x:v>0</x:v>
      </x:c>
    </x:row>
    <x:row r="6616">
      <x:c r="A6616" s="1" t="n">
        <x:v>52021</x:v>
      </x:c>
      <x:c r="B6616" s="5" t="d">
        <x:v>2017-01-29T00:00:00.000Z</x:v>
      </x:c>
      <x:c r="C6616" s="1" t="str">
        <x:v>Standard Class</x:v>
      </x:c>
      <x:c r="D6616" s="1" t="str">
        <x:v>LATAM</x:v>
      </x:c>
      <x:c r="E6616" s="1" t="str">
        <x:v>ON_HOLD</x:v>
      </x:c>
      <x:c r="F6616" s="1" t="str">
        <x:v>Advance shipping</x:v>
      </x:c>
      <x:c r="G6616" s="6" t="n">
        <x:v>2</x:v>
      </x:c>
      <x:c r="H6616" s="6" t="n">
        <x:v>4</x:v>
      </x:c>
      <x:c r="I6616" s="6" t="n">
        <x:f>G6616-H6616</x:f>
        <x:v>-2</x:v>
      </x:c>
      <x:c r="J6616" s="6" t="n">
        <x:f>IF(OR(E6616="CANCELED",E6616="SUSPECTED_FRAUD",F6616="Shipping canceled"),0,1)</x:f>
        <x:v>1</x:v>
      </x:c>
      <x:c r="K6616" s="6" t="n">
        <x:f>IF(G6616&gt;H6616,1,0)</x:f>
        <x:v>0</x:v>
      </x:c>
      <x:c r="L6616" s="6" t="n">
        <x:f>J6616*K6616</x:f>
        <x:v>0</x:v>
      </x:c>
    </x:row>
    <x:row r="6617">
      <x:c r="A6617" s="1" t="n">
        <x:v>52036</x:v>
      </x:c>
      <x:c r="B6617" s="5" t="d">
        <x:v>2017-01-29T00:00:00.000Z</x:v>
      </x:c>
      <x:c r="C6617" s="1" t="str">
        <x:v>Standard Class</x:v>
      </x:c>
      <x:c r="D6617" s="1" t="str">
        <x:v>LATAM</x:v>
      </x:c>
      <x:c r="E6617" s="1" t="str">
        <x:v>ON_HOLD</x:v>
      </x:c>
      <x:c r="F6617" s="1" t="str">
        <x:v>Advance shipping</x:v>
      </x:c>
      <x:c r="G6617" s="6" t="n">
        <x:v>2</x:v>
      </x:c>
      <x:c r="H6617" s="6" t="n">
        <x:v>4</x:v>
      </x:c>
      <x:c r="I6617" s="6" t="n">
        <x:f>G6617-H6617</x:f>
        <x:v>-2</x:v>
      </x:c>
      <x:c r="J6617" s="6" t="n">
        <x:f>IF(OR(E6617="CANCELED",E6617="SUSPECTED_FRAUD",F6617="Shipping canceled"),0,1)</x:f>
        <x:v>1</x:v>
      </x:c>
      <x:c r="K6617" s="6" t="n">
        <x:f>IF(G6617&gt;H6617,1,0)</x:f>
        <x:v>0</x:v>
      </x:c>
      <x:c r="L6617" s="6" t="n">
        <x:f>J6617*K6617</x:f>
        <x:v>0</x:v>
      </x:c>
    </x:row>
    <x:row r="6618">
      <x:c r="A6618" s="1" t="n">
        <x:v>52054</x:v>
      </x:c>
      <x:c r="B6618" s="5" t="d">
        <x:v>2017-01-29T00:00:00.000Z</x:v>
      </x:c>
      <x:c r="C6618" s="1" t="str">
        <x:v>Standard Class</x:v>
      </x:c>
      <x:c r="D6618" s="1" t="str">
        <x:v>LATAM</x:v>
      </x:c>
      <x:c r="E6618" s="1" t="str">
        <x:v>ON_HOLD</x:v>
      </x:c>
      <x:c r="F6618" s="1" t="str">
        <x:v>Late delivery</x:v>
      </x:c>
      <x:c r="G6618" s="6" t="n">
        <x:v>5</x:v>
      </x:c>
      <x:c r="H6618" s="6" t="n">
        <x:v>4</x:v>
      </x:c>
      <x:c r="I6618" s="6" t="n">
        <x:f>G6618-H6618</x:f>
        <x:v>1</x:v>
      </x:c>
      <x:c r="J6618" s="6" t="n">
        <x:f>IF(OR(E6618="CANCELED",E6618="SUSPECTED_FRAUD",F6618="Shipping canceled"),0,1)</x:f>
        <x:v>1</x:v>
      </x:c>
      <x:c r="K6618" s="6" t="n">
        <x:f>IF(G6618&gt;H6618,1,0)</x:f>
        <x:v>1</x:v>
      </x:c>
      <x:c r="L6618" s="6" t="n">
        <x:f>J6618*K6618</x:f>
        <x:v>1</x:v>
      </x:c>
    </x:row>
    <x:row r="6619">
      <x:c r="A6619" s="1" t="n">
        <x:v>52069</x:v>
      </x:c>
      <x:c r="B6619" s="5" t="d">
        <x:v>2017-01-30T00:00:00.000Z</x:v>
      </x:c>
      <x:c r="C6619" s="1" t="str">
        <x:v>Standard Class</x:v>
      </x:c>
      <x:c r="D6619" s="1" t="str">
        <x:v>LATAM</x:v>
      </x:c>
      <x:c r="E6619" s="1" t="str">
        <x:v>PENDING</x:v>
      </x:c>
      <x:c r="F6619" s="1" t="str">
        <x:v>Late delivery</x:v>
      </x:c>
      <x:c r="G6619" s="6" t="n">
        <x:v>5</x:v>
      </x:c>
      <x:c r="H6619" s="6" t="n">
        <x:v>4</x:v>
      </x:c>
      <x:c r="I6619" s="6" t="n">
        <x:f>G6619-H6619</x:f>
        <x:v>1</x:v>
      </x:c>
      <x:c r="J6619" s="6" t="n">
        <x:f>IF(OR(E6619="CANCELED",E6619="SUSPECTED_FRAUD",F6619="Shipping canceled"),0,1)</x:f>
        <x:v>1</x:v>
      </x:c>
      <x:c r="K6619" s="6" t="n">
        <x:f>IF(G6619&gt;H6619,1,0)</x:f>
        <x:v>1</x:v>
      </x:c>
      <x:c r="L6619" s="6" t="n">
        <x:f>J6619*K6619</x:f>
        <x:v>1</x:v>
      </x:c>
    </x:row>
    <x:row r="6620">
      <x:c r="A6620" s="1" t="n">
        <x:v>52084</x:v>
      </x:c>
      <x:c r="B6620" s="5" t="d">
        <x:v>2017-01-30T00:00:00.000Z</x:v>
      </x:c>
      <x:c r="C6620" s="1" t="str">
        <x:v>Standard Class</x:v>
      </x:c>
      <x:c r="D6620" s="1" t="str">
        <x:v>LATAM</x:v>
      </x:c>
      <x:c r="E6620" s="1" t="str">
        <x:v>ON_HOLD</x:v>
      </x:c>
      <x:c r="F6620" s="1" t="str">
        <x:v>Late delivery</x:v>
      </x:c>
      <x:c r="G6620" s="6" t="n">
        <x:v>5</x:v>
      </x:c>
      <x:c r="H6620" s="6" t="n">
        <x:v>4</x:v>
      </x:c>
      <x:c r="I6620" s="6" t="n">
        <x:f>G6620-H6620</x:f>
        <x:v>1</x:v>
      </x:c>
      <x:c r="J6620" s="6" t="n">
        <x:f>IF(OR(E6620="CANCELED",E6620="SUSPECTED_FRAUD",F6620="Shipping canceled"),0,1)</x:f>
        <x:v>1</x:v>
      </x:c>
      <x:c r="K6620" s="6" t="n">
        <x:f>IF(G6620&gt;H6620,1,0)</x:f>
        <x:v>1</x:v>
      </x:c>
      <x:c r="L6620" s="6" t="n">
        <x:f>J6620*K6620</x:f>
        <x:v>1</x:v>
      </x:c>
    </x:row>
    <x:row r="6621">
      <x:c r="A6621" s="1" t="n">
        <x:v>52085</x:v>
      </x:c>
      <x:c r="B6621" s="5" t="d">
        <x:v>2017-01-30T00:00:00.000Z</x:v>
      </x:c>
      <x:c r="C6621" s="1" t="str">
        <x:v>Standard Class</x:v>
      </x:c>
      <x:c r="D6621" s="1" t="str">
        <x:v>LATAM</x:v>
      </x:c>
      <x:c r="E6621" s="1" t="str">
        <x:v>ON_HOLD</x:v>
      </x:c>
      <x:c r="F6621" s="1" t="str">
        <x:v>Late delivery</x:v>
      </x:c>
      <x:c r="G6621" s="6" t="n">
        <x:v>6</x:v>
      </x:c>
      <x:c r="H6621" s="6" t="n">
        <x:v>4</x:v>
      </x:c>
      <x:c r="I6621" s="6" t="n">
        <x:f>G6621-H6621</x:f>
        <x:v>2</x:v>
      </x:c>
      <x:c r="J6621" s="6" t="n">
        <x:f>IF(OR(E6621="CANCELED",E6621="SUSPECTED_FRAUD",F6621="Shipping canceled"),0,1)</x:f>
        <x:v>1</x:v>
      </x:c>
      <x:c r="K6621" s="6" t="n">
        <x:f>IF(G6621&gt;H6621,1,0)</x:f>
        <x:v>1</x:v>
      </x:c>
      <x:c r="L6621" s="6" t="n">
        <x:f>J6621*K6621</x:f>
        <x:v>1</x:v>
      </x:c>
    </x:row>
    <x:row r="6622">
      <x:c r="A6622" s="1" t="n">
        <x:v>52092</x:v>
      </x:c>
      <x:c r="B6622" s="5" t="d">
        <x:v>2017-01-30T00:00:00.000Z</x:v>
      </x:c>
      <x:c r="C6622" s="1" t="str">
        <x:v>Standard Class</x:v>
      </x:c>
      <x:c r="D6622" s="1" t="str">
        <x:v>LATAM</x:v>
      </x:c>
      <x:c r="E6622" s="1" t="str">
        <x:v>PENDING_PAYMENT</x:v>
      </x:c>
      <x:c r="F6622" s="1" t="str">
        <x:v>Advance shipping</x:v>
      </x:c>
      <x:c r="G6622" s="6" t="n">
        <x:v>3</x:v>
      </x:c>
      <x:c r="H6622" s="6" t="n">
        <x:v>4</x:v>
      </x:c>
      <x:c r="I6622" s="6" t="n">
        <x:f>G6622-H6622</x:f>
        <x:v>-1</x:v>
      </x:c>
      <x:c r="J6622" s="6" t="n">
        <x:f>IF(OR(E6622="CANCELED",E6622="SUSPECTED_FRAUD",F6622="Shipping canceled"),0,1)</x:f>
        <x:v>1</x:v>
      </x:c>
      <x:c r="K6622" s="6" t="n">
        <x:f>IF(G6622&gt;H6622,1,0)</x:f>
        <x:v>0</x:v>
      </x:c>
      <x:c r="L6622" s="6" t="n">
        <x:f>J6622*K6622</x:f>
        <x:v>0</x:v>
      </x:c>
    </x:row>
    <x:row r="6623">
      <x:c r="A6623" s="1" t="n">
        <x:v>52109</x:v>
      </x:c>
      <x:c r="B6623" s="5" t="d">
        <x:v>2017-01-30T00:00:00.000Z</x:v>
      </x:c>
      <x:c r="C6623" s="1" t="str">
        <x:v>Standard Class</x:v>
      </x:c>
      <x:c r="D6623" s="1" t="str">
        <x:v>LATAM</x:v>
      </x:c>
      <x:c r="E6623" s="1" t="str">
        <x:v>COMPLETE</x:v>
      </x:c>
      <x:c r="F6623" s="1" t="str">
        <x:v>Late delivery</x:v>
      </x:c>
      <x:c r="G6623" s="6" t="n">
        <x:v>5</x:v>
      </x:c>
      <x:c r="H6623" s="6" t="n">
        <x:v>4</x:v>
      </x:c>
      <x:c r="I6623" s="6" t="n">
        <x:f>G6623-H6623</x:f>
        <x:v>1</x:v>
      </x:c>
      <x:c r="J6623" s="6" t="n">
        <x:f>IF(OR(E6623="CANCELED",E6623="SUSPECTED_FRAUD",F6623="Shipping canceled"),0,1)</x:f>
        <x:v>1</x:v>
      </x:c>
      <x:c r="K6623" s="6" t="n">
        <x:f>IF(G6623&gt;H6623,1,0)</x:f>
        <x:v>1</x:v>
      </x:c>
      <x:c r="L6623" s="6" t="n">
        <x:f>J6623*K6623</x:f>
        <x:v>1</x:v>
      </x:c>
    </x:row>
    <x:row r="6624">
      <x:c r="A6624" s="1" t="n">
        <x:v>52132</x:v>
      </x:c>
      <x:c r="B6624" s="5" t="d">
        <x:v>2017-01-30T00:00:00.000Z</x:v>
      </x:c>
      <x:c r="C6624" s="1" t="str">
        <x:v>Standard Class</x:v>
      </x:c>
      <x:c r="D6624" s="1" t="str">
        <x:v>LATAM</x:v>
      </x:c>
      <x:c r="E6624" s="1" t="str">
        <x:v>PENDING_PAYMENT</x:v>
      </x:c>
      <x:c r="F6624" s="1" t="str">
        <x:v>Advance shipping</x:v>
      </x:c>
      <x:c r="G6624" s="6" t="n">
        <x:v>3</x:v>
      </x:c>
      <x:c r="H6624" s="6" t="n">
        <x:v>4</x:v>
      </x:c>
      <x:c r="I6624" s="6" t="n">
        <x:f>G6624-H6624</x:f>
        <x:v>-1</x:v>
      </x:c>
      <x:c r="J6624" s="6" t="n">
        <x:f>IF(OR(E6624="CANCELED",E6624="SUSPECTED_FRAUD",F6624="Shipping canceled"),0,1)</x:f>
        <x:v>1</x:v>
      </x:c>
      <x:c r="K6624" s="6" t="n">
        <x:f>IF(G6624&gt;H6624,1,0)</x:f>
        <x:v>0</x:v>
      </x:c>
      <x:c r="L6624" s="6" t="n">
        <x:f>J6624*K6624</x:f>
        <x:v>0</x:v>
      </x:c>
    </x:row>
    <x:row r="6625">
      <x:c r="A6625" s="1" t="n">
        <x:v>52139</x:v>
      </x:c>
      <x:c r="B6625" s="5" t="d">
        <x:v>2017-01-31T00:00:00.000Z</x:v>
      </x:c>
      <x:c r="C6625" s="1" t="str">
        <x:v>Standard Class</x:v>
      </x:c>
      <x:c r="D6625" s="1" t="str">
        <x:v>LATAM</x:v>
      </x:c>
      <x:c r="E6625" s="1" t="str">
        <x:v>COMPLETE</x:v>
      </x:c>
      <x:c r="F6625" s="1" t="str">
        <x:v>Late delivery</x:v>
      </x:c>
      <x:c r="G6625" s="6" t="n">
        <x:v>5</x:v>
      </x:c>
      <x:c r="H6625" s="6" t="n">
        <x:v>4</x:v>
      </x:c>
      <x:c r="I6625" s="6" t="n">
        <x:f>G6625-H6625</x:f>
        <x:v>1</x:v>
      </x:c>
      <x:c r="J6625" s="6" t="n">
        <x:f>IF(OR(E6625="CANCELED",E6625="SUSPECTED_FRAUD",F6625="Shipping canceled"),0,1)</x:f>
        <x:v>1</x:v>
      </x:c>
      <x:c r="K6625" s="6" t="n">
        <x:f>IF(G6625&gt;H6625,1,0)</x:f>
        <x:v>1</x:v>
      </x:c>
      <x:c r="L6625" s="6" t="n">
        <x:f>J6625*K6625</x:f>
        <x:v>1</x:v>
      </x:c>
    </x:row>
    <x:row r="6626">
      <x:c r="A6626" s="1" t="n">
        <x:v>52152</x:v>
      </x:c>
      <x:c r="B6626" s="5" t="d">
        <x:v>2017-01-31T00:00:00.000Z</x:v>
      </x:c>
      <x:c r="C6626" s="1" t="str">
        <x:v>First Class</x:v>
      </x:c>
      <x:c r="D6626" s="1" t="str">
        <x:v>LATAM</x:v>
      </x:c>
      <x:c r="E6626" s="1" t="str">
        <x:v>PENDING</x:v>
      </x:c>
      <x:c r="F6626" s="1" t="str">
        <x:v>Late delivery</x:v>
      </x:c>
      <x:c r="G6626" s="6" t="n">
        <x:v>2</x:v>
      </x:c>
      <x:c r="H6626" s="6" t="n">
        <x:v>1</x:v>
      </x:c>
      <x:c r="I6626" s="6" t="n">
        <x:f>G6626-H6626</x:f>
        <x:v>1</x:v>
      </x:c>
      <x:c r="J6626" s="6" t="n">
        <x:f>IF(OR(E6626="CANCELED",E6626="SUSPECTED_FRAUD",F6626="Shipping canceled"),0,1)</x:f>
        <x:v>1</x:v>
      </x:c>
      <x:c r="K6626" s="6" t="n">
        <x:f>IF(G6626&gt;H6626,1,0)</x:f>
        <x:v>1</x:v>
      </x:c>
      <x:c r="L6626" s="6" t="n">
        <x:f>J6626*K6626</x:f>
        <x:v>1</x:v>
      </x:c>
    </x:row>
    <x:row r="6627">
      <x:c r="A6627" s="1" t="n">
        <x:v>52154</x:v>
      </x:c>
      <x:c r="B6627" s="5" t="d">
        <x:v>2017-01-31T00:00:00.000Z</x:v>
      </x:c>
      <x:c r="C6627" s="1" t="str">
        <x:v>Second Class</x:v>
      </x:c>
      <x:c r="D6627" s="1" t="str">
        <x:v>LATAM</x:v>
      </x:c>
      <x:c r="E6627" s="1" t="str">
        <x:v>ON_HOLD</x:v>
      </x:c>
      <x:c r="F6627" s="1" t="str">
        <x:v>Late delivery</x:v>
      </x:c>
      <x:c r="G6627" s="6" t="n">
        <x:v>5</x:v>
      </x:c>
      <x:c r="H6627" s="6" t="n">
        <x:v>2</x:v>
      </x:c>
      <x:c r="I6627" s="6" t="n">
        <x:f>G6627-H6627</x:f>
        <x:v>3</x:v>
      </x:c>
      <x:c r="J6627" s="6" t="n">
        <x:f>IF(OR(E6627="CANCELED",E6627="SUSPECTED_FRAUD",F6627="Shipping canceled"),0,1)</x:f>
        <x:v>1</x:v>
      </x:c>
      <x:c r="K6627" s="6" t="n">
        <x:f>IF(G6627&gt;H6627,1,0)</x:f>
        <x:v>1</x:v>
      </x:c>
      <x:c r="L6627" s="6" t="n">
        <x:f>J6627*K6627</x:f>
        <x:v>1</x:v>
      </x:c>
    </x:row>
    <x:row r="6628">
      <x:c r="A6628" s="1" t="n">
        <x:v>52166</x:v>
      </x:c>
      <x:c r="B6628" s="5" t="d">
        <x:v>2017-01-31T00:00:00.000Z</x:v>
      </x:c>
      <x:c r="C6628" s="1" t="str">
        <x:v>Standard Class</x:v>
      </x:c>
      <x:c r="D6628" s="1" t="str">
        <x:v>LATAM</x:v>
      </x:c>
      <x:c r="E6628" s="1" t="str">
        <x:v>PENDING</x:v>
      </x:c>
      <x:c r="F6628" s="1" t="str">
        <x:v>Advance shipping</x:v>
      </x:c>
      <x:c r="G6628" s="6" t="n">
        <x:v>2</x:v>
      </x:c>
      <x:c r="H6628" s="6" t="n">
        <x:v>4</x:v>
      </x:c>
      <x:c r="I6628" s="6" t="n">
        <x:f>G6628-H6628</x:f>
        <x:v>-2</x:v>
      </x:c>
      <x:c r="J6628" s="6" t="n">
        <x:f>IF(OR(E6628="CANCELED",E6628="SUSPECTED_FRAUD",F6628="Shipping canceled"),0,1)</x:f>
        <x:v>1</x:v>
      </x:c>
      <x:c r="K6628" s="6" t="n">
        <x:f>IF(G6628&gt;H6628,1,0)</x:f>
        <x:v>0</x:v>
      </x:c>
      <x:c r="L6628" s="6" t="n">
        <x:f>J6628*K6628</x:f>
        <x:v>0</x:v>
      </x:c>
    </x:row>
    <x:row r="6629">
      <x:c r="A6629" s="1" t="n">
        <x:v>52168</x:v>
      </x:c>
      <x:c r="B6629" s="5" t="d">
        <x:v>2017-01-31T00:00:00.000Z</x:v>
      </x:c>
      <x:c r="C6629" s="1" t="str">
        <x:v>Standard Class</x:v>
      </x:c>
      <x:c r="D6629" s="1" t="str">
        <x:v>LATAM</x:v>
      </x:c>
      <x:c r="E6629" s="1" t="str">
        <x:v>COMPLETE</x:v>
      </x:c>
      <x:c r="F6629" s="1" t="str">
        <x:v>Shipping on time</x:v>
      </x:c>
      <x:c r="G6629" s="6" t="n">
        <x:v>4</x:v>
      </x:c>
      <x:c r="H6629" s="6" t="n">
        <x:v>4</x:v>
      </x:c>
      <x:c r="I6629" s="6" t="n">
        <x:f>G6629-H6629</x:f>
        <x:v>0</x:v>
      </x:c>
      <x:c r="J6629" s="6" t="n">
        <x:f>IF(OR(E6629="CANCELED",E6629="SUSPECTED_FRAUD",F6629="Shipping canceled"),0,1)</x:f>
        <x:v>1</x:v>
      </x:c>
      <x:c r="K6629" s="6" t="n">
        <x:f>IF(G6629&gt;H6629,1,0)</x:f>
        <x:v>0</x:v>
      </x:c>
      <x:c r="L6629" s="6" t="n">
        <x:f>J6629*K6629</x:f>
        <x:v>0</x:v>
      </x:c>
    </x:row>
    <x:row r="6630">
      <x:c r="A6630" s="1" t="n">
        <x:v>52209</x:v>
      </x:c>
      <x:c r="B6630" s="5" t="d">
        <x:v>2017-02-01T00:00:00.000Z</x:v>
      </x:c>
      <x:c r="C6630" s="1" t="str">
        <x:v>Standard Class</x:v>
      </x:c>
      <x:c r="D6630" s="1" t="str">
        <x:v>LATAM</x:v>
      </x:c>
      <x:c r="E6630" s="1" t="str">
        <x:v>PROCESSING</x:v>
      </x:c>
      <x:c r="F6630" s="1" t="str">
        <x:v>Late delivery</x:v>
      </x:c>
      <x:c r="G6630" s="6" t="n">
        <x:v>5</x:v>
      </x:c>
      <x:c r="H6630" s="6" t="n">
        <x:v>4</x:v>
      </x:c>
      <x:c r="I6630" s="6" t="n">
        <x:f>G6630-H6630</x:f>
        <x:v>1</x:v>
      </x:c>
      <x:c r="J6630" s="6" t="n">
        <x:f>IF(OR(E6630="CANCELED",E6630="SUSPECTED_FRAUD",F6630="Shipping canceled"),0,1)</x:f>
        <x:v>1</x:v>
      </x:c>
      <x:c r="K6630" s="6" t="n">
        <x:f>IF(G6630&gt;H6630,1,0)</x:f>
        <x:v>1</x:v>
      </x:c>
      <x:c r="L6630" s="6" t="n">
        <x:f>J6630*K6630</x:f>
        <x:v>1</x:v>
      </x:c>
    </x:row>
    <x:row r="6631">
      <x:c r="A6631" s="1" t="n">
        <x:v>52236</x:v>
      </x:c>
      <x:c r="B6631" s="5" t="d">
        <x:v>2017-02-01T00:00:00.000Z</x:v>
      </x:c>
      <x:c r="C6631" s="1" t="str">
        <x:v>Second Class</x:v>
      </x:c>
      <x:c r="D6631" s="1" t="str">
        <x:v>LATAM</x:v>
      </x:c>
      <x:c r="E6631" s="1" t="str">
        <x:v>CANCELED</x:v>
      </x:c>
      <x:c r="F6631" s="1" t="str">
        <x:v>Shipping canceled</x:v>
      </x:c>
      <x:c r="G6631" s="6" t="n">
        <x:v>2</x:v>
      </x:c>
      <x:c r="H6631" s="6" t="n">
        <x:v>2</x:v>
      </x:c>
      <x:c r="I6631" s="6" t="n">
        <x:f>G6631-H6631</x:f>
        <x:v>0</x:v>
      </x:c>
      <x:c r="J6631" s="6" t="n">
        <x:f>IF(OR(E6631="CANCELED",E6631="SUSPECTED_FRAUD",F6631="Shipping canceled"),0,1)</x:f>
        <x:v>0</x:v>
      </x:c>
      <x:c r="K6631" s="6" t="n">
        <x:f>IF(G6631&gt;H6631,1,0)</x:f>
        <x:v>0</x:v>
      </x:c>
      <x:c r="L6631" s="6" t="n">
        <x:f>J6631*K6631</x:f>
        <x:v>0</x:v>
      </x:c>
    </x:row>
    <x:row r="6632">
      <x:c r="A6632" s="1" t="n">
        <x:v>52246</x:v>
      </x:c>
      <x:c r="B6632" s="5" t="d">
        <x:v>2017-02-01T00:00:00.000Z</x:v>
      </x:c>
      <x:c r="C6632" s="1" t="str">
        <x:v>Standard Class</x:v>
      </x:c>
      <x:c r="D6632" s="1" t="str">
        <x:v>LATAM</x:v>
      </x:c>
      <x:c r="E6632" s="1" t="str">
        <x:v>COMPLETE</x:v>
      </x:c>
      <x:c r="F6632" s="1" t="str">
        <x:v>Advance shipping</x:v>
      </x:c>
      <x:c r="G6632" s="6" t="n">
        <x:v>2</x:v>
      </x:c>
      <x:c r="H6632" s="6" t="n">
        <x:v>4</x:v>
      </x:c>
      <x:c r="I6632" s="6" t="n">
        <x:f>G6632-H6632</x:f>
        <x:v>-2</x:v>
      </x:c>
      <x:c r="J6632" s="6" t="n">
        <x:f>IF(OR(E6632="CANCELED",E6632="SUSPECTED_FRAUD",F6632="Shipping canceled"),0,1)</x:f>
        <x:v>1</x:v>
      </x:c>
      <x:c r="K6632" s="6" t="n">
        <x:f>IF(G6632&gt;H6632,1,0)</x:f>
        <x:v>0</x:v>
      </x:c>
      <x:c r="L6632" s="6" t="n">
        <x:f>J6632*K6632</x:f>
        <x:v>0</x:v>
      </x:c>
    </x:row>
    <x:row r="6633">
      <x:c r="A6633" s="1" t="n">
        <x:v>52250</x:v>
      </x:c>
      <x:c r="B6633" s="5" t="d">
        <x:v>2017-02-01T00:00:00.000Z</x:v>
      </x:c>
      <x:c r="C6633" s="1" t="str">
        <x:v>Standard Class</x:v>
      </x:c>
      <x:c r="D6633" s="1" t="str">
        <x:v>LATAM</x:v>
      </x:c>
      <x:c r="E6633" s="1" t="str">
        <x:v>PROCESSING</x:v>
      </x:c>
      <x:c r="F6633" s="1" t="str">
        <x:v>Late delivery</x:v>
      </x:c>
      <x:c r="G6633" s="6" t="n">
        <x:v>6</x:v>
      </x:c>
      <x:c r="H6633" s="6" t="n">
        <x:v>4</x:v>
      </x:c>
      <x:c r="I6633" s="6" t="n">
        <x:f>G6633-H6633</x:f>
        <x:v>2</x:v>
      </x:c>
      <x:c r="J6633" s="6" t="n">
        <x:f>IF(OR(E6633="CANCELED",E6633="SUSPECTED_FRAUD",F6633="Shipping canceled"),0,1)</x:f>
        <x:v>1</x:v>
      </x:c>
      <x:c r="K6633" s="6" t="n">
        <x:f>IF(G6633&gt;H6633,1,0)</x:f>
        <x:v>1</x:v>
      </x:c>
      <x:c r="L6633" s="6" t="n">
        <x:f>J6633*K6633</x:f>
        <x:v>1</x:v>
      </x:c>
    </x:row>
    <x:row r="6634">
      <x:c r="A6634" s="1" t="n">
        <x:v>52263</x:v>
      </x:c>
      <x:c r="B6634" s="5" t="d">
        <x:v>2017-02-01T00:00:00.000Z</x:v>
      </x:c>
      <x:c r="C6634" s="1" t="str">
        <x:v>Standard Class</x:v>
      </x:c>
      <x:c r="D6634" s="1" t="str">
        <x:v>LATAM</x:v>
      </x:c>
      <x:c r="E6634" s="1" t="str">
        <x:v>CLOSED</x:v>
      </x:c>
      <x:c r="F6634" s="1" t="str">
        <x:v>Shipping on time</x:v>
      </x:c>
      <x:c r="G6634" s="6" t="n">
        <x:v>4</x:v>
      </x:c>
      <x:c r="H6634" s="6" t="n">
        <x:v>4</x:v>
      </x:c>
      <x:c r="I6634" s="6" t="n">
        <x:f>G6634-H6634</x:f>
        <x:v>0</x:v>
      </x:c>
      <x:c r="J6634" s="6" t="n">
        <x:f>IF(OR(E6634="CANCELED",E6634="SUSPECTED_FRAUD",F6634="Shipping canceled"),0,1)</x:f>
        <x:v>1</x:v>
      </x:c>
      <x:c r="K6634" s="6" t="n">
        <x:f>IF(G6634&gt;H6634,1,0)</x:f>
        <x:v>0</x:v>
      </x:c>
      <x:c r="L6634" s="6" t="n">
        <x:f>J6634*K6634</x:f>
        <x:v>0</x:v>
      </x:c>
    </x:row>
    <x:row r="6635">
      <x:c r="A6635" s="1" t="n">
        <x:v>52264</x:v>
      </x:c>
      <x:c r="B6635" s="5" t="d">
        <x:v>2017-02-01T00:00:00.000Z</x:v>
      </x:c>
      <x:c r="C6635" s="1" t="str">
        <x:v>Standard Class</x:v>
      </x:c>
      <x:c r="D6635" s="1" t="str">
        <x:v>LATAM</x:v>
      </x:c>
      <x:c r="E6635" s="1" t="str">
        <x:v>PROCESSING</x:v>
      </x:c>
      <x:c r="F6635" s="1" t="str">
        <x:v>Late delivery</x:v>
      </x:c>
      <x:c r="G6635" s="6" t="n">
        <x:v>5</x:v>
      </x:c>
      <x:c r="H6635" s="6" t="n">
        <x:v>4</x:v>
      </x:c>
      <x:c r="I6635" s="6" t="n">
        <x:f>G6635-H6635</x:f>
        <x:v>1</x:v>
      </x:c>
      <x:c r="J6635" s="6" t="n">
        <x:f>IF(OR(E6635="CANCELED",E6635="SUSPECTED_FRAUD",F6635="Shipping canceled"),0,1)</x:f>
        <x:v>1</x:v>
      </x:c>
      <x:c r="K6635" s="6" t="n">
        <x:f>IF(G6635&gt;H6635,1,0)</x:f>
        <x:v>1</x:v>
      </x:c>
      <x:c r="L6635" s="6" t="n">
        <x:f>J6635*K6635</x:f>
        <x:v>1</x:v>
      </x:c>
    </x:row>
    <x:row r="6636">
      <x:c r="A6636" s="1" t="n">
        <x:v>52269</x:v>
      </x:c>
      <x:c r="B6636" s="5" t="d">
        <x:v>2017-02-01T00:00:00.000Z</x:v>
      </x:c>
      <x:c r="C6636" s="1" t="str">
        <x:v>Standard Class</x:v>
      </x:c>
      <x:c r="D6636" s="1" t="str">
        <x:v>LATAM</x:v>
      </x:c>
      <x:c r="E6636" s="1" t="str">
        <x:v>COMPLETE</x:v>
      </x:c>
      <x:c r="F6636" s="1" t="str">
        <x:v>Late delivery</x:v>
      </x:c>
      <x:c r="G6636" s="6" t="n">
        <x:v>5</x:v>
      </x:c>
      <x:c r="H6636" s="6" t="n">
        <x:v>4</x:v>
      </x:c>
      <x:c r="I6636" s="6" t="n">
        <x:f>G6636-H6636</x:f>
        <x:v>1</x:v>
      </x:c>
      <x:c r="J6636" s="6" t="n">
        <x:f>IF(OR(E6636="CANCELED",E6636="SUSPECTED_FRAUD",F6636="Shipping canceled"),0,1)</x:f>
        <x:v>1</x:v>
      </x:c>
      <x:c r="K6636" s="6" t="n">
        <x:f>IF(G6636&gt;H6636,1,0)</x:f>
        <x:v>1</x:v>
      </x:c>
      <x:c r="L6636" s="6" t="n">
        <x:f>J6636*K6636</x:f>
        <x:v>1</x:v>
      </x:c>
    </x:row>
    <x:row r="6637">
      <x:c r="A6637" s="1" t="n">
        <x:v>52290</x:v>
      </x:c>
      <x:c r="B6637" s="5" t="d">
        <x:v>2017-02-02T00:00:00.000Z</x:v>
      </x:c>
      <x:c r="C6637" s="1" t="str">
        <x:v>Second Class</x:v>
      </x:c>
      <x:c r="D6637" s="1" t="str">
        <x:v>LATAM</x:v>
      </x:c>
      <x:c r="E6637" s="1" t="str">
        <x:v>PENDING_PAYMENT</x:v>
      </x:c>
      <x:c r="F6637" s="1" t="str">
        <x:v>Late delivery</x:v>
      </x:c>
      <x:c r="G6637" s="6" t="n">
        <x:v>6</x:v>
      </x:c>
      <x:c r="H6637" s="6" t="n">
        <x:v>2</x:v>
      </x:c>
      <x:c r="I6637" s="6" t="n">
        <x:f>G6637-H6637</x:f>
        <x:v>4</x:v>
      </x:c>
      <x:c r="J6637" s="6" t="n">
        <x:f>IF(OR(E6637="CANCELED",E6637="SUSPECTED_FRAUD",F6637="Shipping canceled"),0,1)</x:f>
        <x:v>1</x:v>
      </x:c>
      <x:c r="K6637" s="6" t="n">
        <x:f>IF(G6637&gt;H6637,1,0)</x:f>
        <x:v>1</x:v>
      </x:c>
      <x:c r="L6637" s="6" t="n">
        <x:f>J6637*K6637</x:f>
        <x:v>1</x:v>
      </x:c>
    </x:row>
    <x:row r="6638">
      <x:c r="A6638" s="1" t="n">
        <x:v>52321</x:v>
      </x:c>
      <x:c r="B6638" s="5" t="d">
        <x:v>2017-02-02T00:00:00.000Z</x:v>
      </x:c>
      <x:c r="C6638" s="1" t="str">
        <x:v>Standard Class</x:v>
      </x:c>
      <x:c r="D6638" s="1" t="str">
        <x:v>LATAM</x:v>
      </x:c>
      <x:c r="E6638" s="1" t="str">
        <x:v>SUSPECTED_FRAUD</x:v>
      </x:c>
      <x:c r="F6638" s="1" t="str">
        <x:v>Shipping canceled</x:v>
      </x:c>
      <x:c r="G6638" s="6" t="n">
        <x:v>2</x:v>
      </x:c>
      <x:c r="H6638" s="6" t="n">
        <x:v>4</x:v>
      </x:c>
      <x:c r="I6638" s="6" t="n">
        <x:f>G6638-H6638</x:f>
        <x:v>-2</x:v>
      </x:c>
      <x:c r="J6638" s="6" t="n">
        <x:f>IF(OR(E6638="CANCELED",E6638="SUSPECTED_FRAUD",F6638="Shipping canceled"),0,1)</x:f>
        <x:v>0</x:v>
      </x:c>
      <x:c r="K6638" s="6" t="n">
        <x:f>IF(G6638&gt;H6638,1,0)</x:f>
        <x:v>0</x:v>
      </x:c>
      <x:c r="L6638" s="6" t="n">
        <x:f>J6638*K6638</x:f>
        <x:v>0</x:v>
      </x:c>
    </x:row>
    <x:row r="6639">
      <x:c r="A6639" s="1" t="n">
        <x:v>52325</x:v>
      </x:c>
      <x:c r="B6639" s="5" t="d">
        <x:v>2017-02-02T00:00:00.000Z</x:v>
      </x:c>
      <x:c r="C6639" s="1" t="str">
        <x:v>Standard Class</x:v>
      </x:c>
      <x:c r="D6639" s="1" t="str">
        <x:v>LATAM</x:v>
      </x:c>
      <x:c r="E6639" s="1" t="str">
        <x:v>PENDING_PAYMENT</x:v>
      </x:c>
      <x:c r="F6639" s="1" t="str">
        <x:v>Late delivery</x:v>
      </x:c>
      <x:c r="G6639" s="6" t="n">
        <x:v>6</x:v>
      </x:c>
      <x:c r="H6639" s="6" t="n">
        <x:v>4</x:v>
      </x:c>
      <x:c r="I6639" s="6" t="n">
        <x:f>G6639-H6639</x:f>
        <x:v>2</x:v>
      </x:c>
      <x:c r="J6639" s="6" t="n">
        <x:f>IF(OR(E6639="CANCELED",E6639="SUSPECTED_FRAUD",F6639="Shipping canceled"),0,1)</x:f>
        <x:v>1</x:v>
      </x:c>
      <x:c r="K6639" s="6" t="n">
        <x:f>IF(G6639&gt;H6639,1,0)</x:f>
        <x:v>1</x:v>
      </x:c>
      <x:c r="L6639" s="6" t="n">
        <x:f>J6639*K6639</x:f>
        <x:v>1</x:v>
      </x:c>
    </x:row>
    <x:row r="6640">
      <x:c r="A6640" s="1" t="n">
        <x:v>52326</x:v>
      </x:c>
      <x:c r="B6640" s="5" t="d">
        <x:v>2017-02-02T00:00:00.000Z</x:v>
      </x:c>
      <x:c r="C6640" s="1" t="str">
        <x:v>Standard Class</x:v>
      </x:c>
      <x:c r="D6640" s="1" t="str">
        <x:v>LATAM</x:v>
      </x:c>
      <x:c r="E6640" s="1" t="str">
        <x:v>PENDING</x:v>
      </x:c>
      <x:c r="F6640" s="1" t="str">
        <x:v>Advance shipping</x:v>
      </x:c>
      <x:c r="G6640" s="6" t="n">
        <x:v>2</x:v>
      </x:c>
      <x:c r="H6640" s="6" t="n">
        <x:v>4</x:v>
      </x:c>
      <x:c r="I6640" s="6" t="n">
        <x:f>G6640-H6640</x:f>
        <x:v>-2</x:v>
      </x:c>
      <x:c r="J6640" s="6" t="n">
        <x:f>IF(OR(E6640="CANCELED",E6640="SUSPECTED_FRAUD",F6640="Shipping canceled"),0,1)</x:f>
        <x:v>1</x:v>
      </x:c>
      <x:c r="K6640" s="6" t="n">
        <x:f>IF(G6640&gt;H6640,1,0)</x:f>
        <x:v>0</x:v>
      </x:c>
      <x:c r="L6640" s="6" t="n">
        <x:f>J6640*K6640</x:f>
        <x:v>0</x:v>
      </x:c>
    </x:row>
    <x:row r="6641">
      <x:c r="A6641" s="1" t="n">
        <x:v>52328</x:v>
      </x:c>
      <x:c r="B6641" s="5" t="d">
        <x:v>2017-02-02T00:00:00.000Z</x:v>
      </x:c>
      <x:c r="C6641" s="1" t="str">
        <x:v>Standard Class</x:v>
      </x:c>
      <x:c r="D6641" s="1" t="str">
        <x:v>LATAM</x:v>
      </x:c>
      <x:c r="E6641" s="1" t="str">
        <x:v>COMPLETE</x:v>
      </x:c>
      <x:c r="F6641" s="1" t="str">
        <x:v>Shipping on time</x:v>
      </x:c>
      <x:c r="G6641" s="6" t="n">
        <x:v>4</x:v>
      </x:c>
      <x:c r="H6641" s="6" t="n">
        <x:v>4</x:v>
      </x:c>
      <x:c r="I6641" s="6" t="n">
        <x:f>G6641-H6641</x:f>
        <x:v>0</x:v>
      </x:c>
      <x:c r="J6641" s="6" t="n">
        <x:f>IF(OR(E6641="CANCELED",E6641="SUSPECTED_FRAUD",F6641="Shipping canceled"),0,1)</x:f>
        <x:v>1</x:v>
      </x:c>
      <x:c r="K6641" s="6" t="n">
        <x:f>IF(G6641&gt;H6641,1,0)</x:f>
        <x:v>0</x:v>
      </x:c>
      <x:c r="L6641" s="6" t="n">
        <x:f>J6641*K6641</x:f>
        <x:v>0</x:v>
      </x:c>
    </x:row>
    <x:row r="6642">
      <x:c r="A6642" s="1" t="n">
        <x:v>52348</x:v>
      </x:c>
      <x:c r="B6642" s="5" t="d">
        <x:v>2017-02-03T00:00:00.000Z</x:v>
      </x:c>
      <x:c r="C6642" s="1" t="str">
        <x:v>Standard Class</x:v>
      </x:c>
      <x:c r="D6642" s="1" t="str">
        <x:v>LATAM</x:v>
      </x:c>
      <x:c r="E6642" s="1" t="str">
        <x:v>COMPLETE</x:v>
      </x:c>
      <x:c r="F6642" s="1" t="str">
        <x:v>Shipping on time</x:v>
      </x:c>
      <x:c r="G6642" s="6" t="n">
        <x:v>4</x:v>
      </x:c>
      <x:c r="H6642" s="6" t="n">
        <x:v>4</x:v>
      </x:c>
      <x:c r="I6642" s="6" t="n">
        <x:f>G6642-H6642</x:f>
        <x:v>0</x:v>
      </x:c>
      <x:c r="J6642" s="6" t="n">
        <x:f>IF(OR(E6642="CANCELED",E6642="SUSPECTED_FRAUD",F6642="Shipping canceled"),0,1)</x:f>
        <x:v>1</x:v>
      </x:c>
      <x:c r="K6642" s="6" t="n">
        <x:f>IF(G6642&gt;H6642,1,0)</x:f>
        <x:v>0</x:v>
      </x:c>
      <x:c r="L6642" s="6" t="n">
        <x:f>J6642*K6642</x:f>
        <x:v>0</x:v>
      </x:c>
    </x:row>
    <x:row r="6643">
      <x:c r="A6643" s="1" t="n">
        <x:v>52350</x:v>
      </x:c>
      <x:c r="B6643" s="5" t="d">
        <x:v>2017-02-03T00:00:00.000Z</x:v>
      </x:c>
      <x:c r="C6643" s="1" t="str">
        <x:v>First Class</x:v>
      </x:c>
      <x:c r="D6643" s="1" t="str">
        <x:v>LATAM</x:v>
      </x:c>
      <x:c r="E6643" s="1" t="str">
        <x:v>COMPLETE</x:v>
      </x:c>
      <x:c r="F6643" s="1" t="str">
        <x:v>Late delivery</x:v>
      </x:c>
      <x:c r="G6643" s="6" t="n">
        <x:v>2</x:v>
      </x:c>
      <x:c r="H6643" s="6" t="n">
        <x:v>1</x:v>
      </x:c>
      <x:c r="I6643" s="6" t="n">
        <x:f>G6643-H6643</x:f>
        <x:v>1</x:v>
      </x:c>
      <x:c r="J6643" s="6" t="n">
        <x:f>IF(OR(E6643="CANCELED",E6643="SUSPECTED_FRAUD",F6643="Shipping canceled"),0,1)</x:f>
        <x:v>1</x:v>
      </x:c>
      <x:c r="K6643" s="6" t="n">
        <x:f>IF(G6643&gt;H6643,1,0)</x:f>
        <x:v>1</x:v>
      </x:c>
      <x:c r="L6643" s="6" t="n">
        <x:f>J6643*K6643</x:f>
        <x:v>1</x:v>
      </x:c>
    </x:row>
    <x:row r="6644">
      <x:c r="A6644" s="1" t="n">
        <x:v>52353</x:v>
      </x:c>
      <x:c r="B6644" s="5" t="d">
        <x:v>2017-02-03T00:00:00.000Z</x:v>
      </x:c>
      <x:c r="C6644" s="1" t="str">
        <x:v>Standard Class</x:v>
      </x:c>
      <x:c r="D6644" s="1" t="str">
        <x:v>LATAM</x:v>
      </x:c>
      <x:c r="E6644" s="1" t="str">
        <x:v>PROCESSING</x:v>
      </x:c>
      <x:c r="F6644" s="1" t="str">
        <x:v>Shipping on time</x:v>
      </x:c>
      <x:c r="G6644" s="6" t="n">
        <x:v>4</x:v>
      </x:c>
      <x:c r="H6644" s="6" t="n">
        <x:v>4</x:v>
      </x:c>
      <x:c r="I6644" s="6" t="n">
        <x:f>G6644-H6644</x:f>
        <x:v>0</x:v>
      </x:c>
      <x:c r="J6644" s="6" t="n">
        <x:f>IF(OR(E6644="CANCELED",E6644="SUSPECTED_FRAUD",F6644="Shipping canceled"),0,1)</x:f>
        <x:v>1</x:v>
      </x:c>
      <x:c r="K6644" s="6" t="n">
        <x:f>IF(G6644&gt;H6644,1,0)</x:f>
        <x:v>0</x:v>
      </x:c>
      <x:c r="L6644" s="6" t="n">
        <x:f>J6644*K6644</x:f>
        <x:v>0</x:v>
      </x:c>
    </x:row>
    <x:row r="6645">
      <x:c r="A6645" s="1" t="n">
        <x:v>52357</x:v>
      </x:c>
      <x:c r="B6645" s="5" t="d">
        <x:v>2017-02-03T00:00:00.000Z</x:v>
      </x:c>
      <x:c r="C6645" s="1" t="str">
        <x:v>Standard Class</x:v>
      </x:c>
      <x:c r="D6645" s="1" t="str">
        <x:v>LATAM</x:v>
      </x:c>
      <x:c r="E6645" s="1" t="str">
        <x:v>COMPLETE</x:v>
      </x:c>
      <x:c r="F6645" s="1" t="str">
        <x:v>Advance shipping</x:v>
      </x:c>
      <x:c r="G6645" s="6" t="n">
        <x:v>3</x:v>
      </x:c>
      <x:c r="H6645" s="6" t="n">
        <x:v>4</x:v>
      </x:c>
      <x:c r="I6645" s="6" t="n">
        <x:f>G6645-H6645</x:f>
        <x:v>-1</x:v>
      </x:c>
      <x:c r="J6645" s="6" t="n">
        <x:f>IF(OR(E6645="CANCELED",E6645="SUSPECTED_FRAUD",F6645="Shipping canceled"),0,1)</x:f>
        <x:v>1</x:v>
      </x:c>
      <x:c r="K6645" s="6" t="n">
        <x:f>IF(G6645&gt;H6645,1,0)</x:f>
        <x:v>0</x:v>
      </x:c>
      <x:c r="L6645" s="6" t="n">
        <x:f>J6645*K6645</x:f>
        <x:v>0</x:v>
      </x:c>
    </x:row>
    <x:row r="6646">
      <x:c r="A6646" s="1" t="n">
        <x:v>52359</x:v>
      </x:c>
      <x:c r="B6646" s="5" t="d">
        <x:v>2017-02-03T00:00:00.000Z</x:v>
      </x:c>
      <x:c r="C6646" s="1" t="str">
        <x:v>Standard Class</x:v>
      </x:c>
      <x:c r="D6646" s="1" t="str">
        <x:v>LATAM</x:v>
      </x:c>
      <x:c r="E6646" s="1" t="str">
        <x:v>COMPLETE</x:v>
      </x:c>
      <x:c r="F6646" s="1" t="str">
        <x:v>Late delivery</x:v>
      </x:c>
      <x:c r="G6646" s="6" t="n">
        <x:v>5</x:v>
      </x:c>
      <x:c r="H6646" s="6" t="n">
        <x:v>4</x:v>
      </x:c>
      <x:c r="I6646" s="6" t="n">
        <x:f>G6646-H6646</x:f>
        <x:v>1</x:v>
      </x:c>
      <x:c r="J6646" s="6" t="n">
        <x:f>IF(OR(E6646="CANCELED",E6646="SUSPECTED_FRAUD",F6646="Shipping canceled"),0,1)</x:f>
        <x:v>1</x:v>
      </x:c>
      <x:c r="K6646" s="6" t="n">
        <x:f>IF(G6646&gt;H6646,1,0)</x:f>
        <x:v>1</x:v>
      </x:c>
      <x:c r="L6646" s="6" t="n">
        <x:f>J6646*K6646</x:f>
        <x:v>1</x:v>
      </x:c>
    </x:row>
    <x:row r="6647">
      <x:c r="A6647" s="1" t="n">
        <x:v>52369</x:v>
      </x:c>
      <x:c r="B6647" s="5" t="d">
        <x:v>2017-02-03T00:00:00.000Z</x:v>
      </x:c>
      <x:c r="C6647" s="1" t="str">
        <x:v>Standard Class</x:v>
      </x:c>
      <x:c r="D6647" s="1" t="str">
        <x:v>LATAM</x:v>
      </x:c>
      <x:c r="E6647" s="1" t="str">
        <x:v>ON_HOLD</x:v>
      </x:c>
      <x:c r="F6647" s="1" t="str">
        <x:v>Late delivery</x:v>
      </x:c>
      <x:c r="G6647" s="6" t="n">
        <x:v>5</x:v>
      </x:c>
      <x:c r="H6647" s="6" t="n">
        <x:v>4</x:v>
      </x:c>
      <x:c r="I6647" s="6" t="n">
        <x:f>G6647-H6647</x:f>
        <x:v>1</x:v>
      </x:c>
      <x:c r="J6647" s="6" t="n">
        <x:f>IF(OR(E6647="CANCELED",E6647="SUSPECTED_FRAUD",F6647="Shipping canceled"),0,1)</x:f>
        <x:v>1</x:v>
      </x:c>
      <x:c r="K6647" s="6" t="n">
        <x:f>IF(G6647&gt;H6647,1,0)</x:f>
        <x:v>1</x:v>
      </x:c>
      <x:c r="L6647" s="6" t="n">
        <x:f>J6647*K6647</x:f>
        <x:v>1</x:v>
      </x:c>
    </x:row>
    <x:row r="6648">
      <x:c r="A6648" s="1" t="n">
        <x:v>52376</x:v>
      </x:c>
      <x:c r="B6648" s="5" t="d">
        <x:v>2017-02-03T00:00:00.000Z</x:v>
      </x:c>
      <x:c r="C6648" s="1" t="str">
        <x:v>First Class</x:v>
      </x:c>
      <x:c r="D6648" s="1" t="str">
        <x:v>LATAM</x:v>
      </x:c>
      <x:c r="E6648" s="1" t="str">
        <x:v>CLOSED</x:v>
      </x:c>
      <x:c r="F6648" s="1" t="str">
        <x:v>Late delivery</x:v>
      </x:c>
      <x:c r="G6648" s="6" t="n">
        <x:v>2</x:v>
      </x:c>
      <x:c r="H6648" s="6" t="n">
        <x:v>1</x:v>
      </x:c>
      <x:c r="I6648" s="6" t="n">
        <x:f>G6648-H6648</x:f>
        <x:v>1</x:v>
      </x:c>
      <x:c r="J6648" s="6" t="n">
        <x:f>IF(OR(E6648="CANCELED",E6648="SUSPECTED_FRAUD",F6648="Shipping canceled"),0,1)</x:f>
        <x:v>1</x:v>
      </x:c>
      <x:c r="K6648" s="6" t="n">
        <x:f>IF(G6648&gt;H6648,1,0)</x:f>
        <x:v>1</x:v>
      </x:c>
      <x:c r="L6648" s="6" t="n">
        <x:f>J6648*K6648</x:f>
        <x:v>1</x:v>
      </x:c>
    </x:row>
    <x:row r="6649">
      <x:c r="A6649" s="1" t="n">
        <x:v>52378</x:v>
      </x:c>
      <x:c r="B6649" s="5" t="d">
        <x:v>2017-02-03T00:00:00.000Z</x:v>
      </x:c>
      <x:c r="C6649" s="1" t="str">
        <x:v>First Class</x:v>
      </x:c>
      <x:c r="D6649" s="1" t="str">
        <x:v>LATAM</x:v>
      </x:c>
      <x:c r="E6649" s="1" t="str">
        <x:v>PENDING</x:v>
      </x:c>
      <x:c r="F6649" s="1" t="str">
        <x:v>Late delivery</x:v>
      </x:c>
      <x:c r="G6649" s="6" t="n">
        <x:v>2</x:v>
      </x:c>
      <x:c r="H6649" s="6" t="n">
        <x:v>1</x:v>
      </x:c>
      <x:c r="I6649" s="6" t="n">
        <x:f>G6649-H6649</x:f>
        <x:v>1</x:v>
      </x:c>
      <x:c r="J6649" s="6" t="n">
        <x:f>IF(OR(E6649="CANCELED",E6649="SUSPECTED_FRAUD",F6649="Shipping canceled"),0,1)</x:f>
        <x:v>1</x:v>
      </x:c>
      <x:c r="K6649" s="6" t="n">
        <x:f>IF(G6649&gt;H6649,1,0)</x:f>
        <x:v>1</x:v>
      </x:c>
      <x:c r="L6649" s="6" t="n">
        <x:f>J6649*K6649</x:f>
        <x:v>1</x:v>
      </x:c>
    </x:row>
    <x:row r="6650">
      <x:c r="A6650" s="1" t="n">
        <x:v>52380</x:v>
      </x:c>
      <x:c r="B6650" s="5" t="d">
        <x:v>2017-02-03T00:00:00.000Z</x:v>
      </x:c>
      <x:c r="C6650" s="1" t="str">
        <x:v>Second Class</x:v>
      </x:c>
      <x:c r="D6650" s="1" t="str">
        <x:v>LATAM</x:v>
      </x:c>
      <x:c r="E6650" s="1" t="str">
        <x:v>CLOSED</x:v>
      </x:c>
      <x:c r="F6650" s="1" t="str">
        <x:v>Late delivery</x:v>
      </x:c>
      <x:c r="G6650" s="6" t="n">
        <x:v>6</x:v>
      </x:c>
      <x:c r="H6650" s="6" t="n">
        <x:v>2</x:v>
      </x:c>
      <x:c r="I6650" s="6" t="n">
        <x:f>G6650-H6650</x:f>
        <x:v>4</x:v>
      </x:c>
      <x:c r="J6650" s="6" t="n">
        <x:f>IF(OR(E6650="CANCELED",E6650="SUSPECTED_FRAUD",F6650="Shipping canceled"),0,1)</x:f>
        <x:v>1</x:v>
      </x:c>
      <x:c r="K6650" s="6" t="n">
        <x:f>IF(G6650&gt;H6650,1,0)</x:f>
        <x:v>1</x:v>
      </x:c>
      <x:c r="L6650" s="6" t="n">
        <x:f>J6650*K6650</x:f>
        <x:v>1</x:v>
      </x:c>
    </x:row>
    <x:row r="6651">
      <x:c r="A6651" s="1" t="n">
        <x:v>52396</x:v>
      </x:c>
      <x:c r="B6651" s="5" t="d">
        <x:v>2017-02-03T00:00:00.000Z</x:v>
      </x:c>
      <x:c r="C6651" s="1" t="str">
        <x:v>Standard Class</x:v>
      </x:c>
      <x:c r="D6651" s="1" t="str">
        <x:v>LATAM</x:v>
      </x:c>
      <x:c r="E6651" s="1" t="str">
        <x:v>PROCESSING</x:v>
      </x:c>
      <x:c r="F6651" s="1" t="str">
        <x:v>Advance shipping</x:v>
      </x:c>
      <x:c r="G6651" s="6" t="n">
        <x:v>2</x:v>
      </x:c>
      <x:c r="H6651" s="6" t="n">
        <x:v>4</x:v>
      </x:c>
      <x:c r="I6651" s="6" t="n">
        <x:f>G6651-H6651</x:f>
        <x:v>-2</x:v>
      </x:c>
      <x:c r="J6651" s="6" t="n">
        <x:f>IF(OR(E6651="CANCELED",E6651="SUSPECTED_FRAUD",F6651="Shipping canceled"),0,1)</x:f>
        <x:v>1</x:v>
      </x:c>
      <x:c r="K6651" s="6" t="n">
        <x:f>IF(G6651&gt;H6651,1,0)</x:f>
        <x:v>0</x:v>
      </x:c>
      <x:c r="L6651" s="6" t="n">
        <x:f>J6651*K6651</x:f>
        <x:v>0</x:v>
      </x:c>
    </x:row>
    <x:row r="6652">
      <x:c r="A6652" s="1" t="n">
        <x:v>52398</x:v>
      </x:c>
      <x:c r="B6652" s="5" t="d">
        <x:v>2017-02-03T00:00:00.000Z</x:v>
      </x:c>
      <x:c r="C6652" s="1" t="str">
        <x:v>Standard Class</x:v>
      </x:c>
      <x:c r="D6652" s="1" t="str">
        <x:v>LATAM</x:v>
      </x:c>
      <x:c r="E6652" s="1" t="str">
        <x:v>COMPLETE</x:v>
      </x:c>
      <x:c r="F6652" s="1" t="str">
        <x:v>Shipping on time</x:v>
      </x:c>
      <x:c r="G6652" s="6" t="n">
        <x:v>4</x:v>
      </x:c>
      <x:c r="H6652" s="6" t="n">
        <x:v>4</x:v>
      </x:c>
      <x:c r="I6652" s="6" t="n">
        <x:f>G6652-H6652</x:f>
        <x:v>0</x:v>
      </x:c>
      <x:c r="J6652" s="6" t="n">
        <x:f>IF(OR(E6652="CANCELED",E6652="SUSPECTED_FRAUD",F6652="Shipping canceled"),0,1)</x:f>
        <x:v>1</x:v>
      </x:c>
      <x:c r="K6652" s="6" t="n">
        <x:f>IF(G6652&gt;H6652,1,0)</x:f>
        <x:v>0</x:v>
      </x:c>
      <x:c r="L6652" s="6" t="n">
        <x:f>J6652*K6652</x:f>
        <x:v>0</x:v>
      </x:c>
    </x:row>
    <x:row r="6653">
      <x:c r="A6653" s="1" t="n">
        <x:v>52407</x:v>
      </x:c>
      <x:c r="B6653" s="5" t="d">
        <x:v>2017-02-04T00:00:00.000Z</x:v>
      </x:c>
      <x:c r="C6653" s="1" t="str">
        <x:v>Second Class</x:v>
      </x:c>
      <x:c r="D6653" s="1" t="str">
        <x:v>LATAM</x:v>
      </x:c>
      <x:c r="E6653" s="1" t="str">
        <x:v>COMPLETE</x:v>
      </x:c>
      <x:c r="F6653" s="1" t="str">
        <x:v>Late delivery</x:v>
      </x:c>
      <x:c r="G6653" s="6" t="n">
        <x:v>3</x:v>
      </x:c>
      <x:c r="H6653" s="6" t="n">
        <x:v>2</x:v>
      </x:c>
      <x:c r="I6653" s="6" t="n">
        <x:f>G6653-H6653</x:f>
        <x:v>1</x:v>
      </x:c>
      <x:c r="J6653" s="6" t="n">
        <x:f>IF(OR(E6653="CANCELED",E6653="SUSPECTED_FRAUD",F6653="Shipping canceled"),0,1)</x:f>
        <x:v>1</x:v>
      </x:c>
      <x:c r="K6653" s="6" t="n">
        <x:f>IF(G6653&gt;H6653,1,0)</x:f>
        <x:v>1</x:v>
      </x:c>
      <x:c r="L6653" s="6" t="n">
        <x:f>J6653*K6653</x:f>
        <x:v>1</x:v>
      </x:c>
    </x:row>
    <x:row r="6654">
      <x:c r="A6654" s="1" t="n">
        <x:v>52425</x:v>
      </x:c>
      <x:c r="B6654" s="5" t="d">
        <x:v>2017-02-04T00:00:00.000Z</x:v>
      </x:c>
      <x:c r="C6654" s="1" t="str">
        <x:v>Standard Class</x:v>
      </x:c>
      <x:c r="D6654" s="1" t="str">
        <x:v>LATAM</x:v>
      </x:c>
      <x:c r="E6654" s="1" t="str">
        <x:v>CLOSED</x:v>
      </x:c>
      <x:c r="F6654" s="1" t="str">
        <x:v>Late delivery</x:v>
      </x:c>
      <x:c r="G6654" s="6" t="n">
        <x:v>6</x:v>
      </x:c>
      <x:c r="H6654" s="6" t="n">
        <x:v>4</x:v>
      </x:c>
      <x:c r="I6654" s="6" t="n">
        <x:f>G6654-H6654</x:f>
        <x:v>2</x:v>
      </x:c>
      <x:c r="J6654" s="6" t="n">
        <x:f>IF(OR(E6654="CANCELED",E6654="SUSPECTED_FRAUD",F6654="Shipping canceled"),0,1)</x:f>
        <x:v>1</x:v>
      </x:c>
      <x:c r="K6654" s="6" t="n">
        <x:f>IF(G6654&gt;H6654,1,0)</x:f>
        <x:v>1</x:v>
      </x:c>
      <x:c r="L6654" s="6" t="n">
        <x:f>J6654*K6654</x:f>
        <x:v>1</x:v>
      </x:c>
    </x:row>
    <x:row r="6655">
      <x:c r="A6655" s="1" t="n">
        <x:v>52428</x:v>
      </x:c>
      <x:c r="B6655" s="5" t="d">
        <x:v>2017-02-04T00:00:00.000Z</x:v>
      </x:c>
      <x:c r="C6655" s="1" t="str">
        <x:v>Standard Class</x:v>
      </x:c>
      <x:c r="D6655" s="1" t="str">
        <x:v>LATAM</x:v>
      </x:c>
      <x:c r="E6655" s="1" t="str">
        <x:v>COMPLETE</x:v>
      </x:c>
      <x:c r="F6655" s="1" t="str">
        <x:v>Shipping on time</x:v>
      </x:c>
      <x:c r="G6655" s="6" t="n">
        <x:v>4</x:v>
      </x:c>
      <x:c r="H6655" s="6" t="n">
        <x:v>4</x:v>
      </x:c>
      <x:c r="I6655" s="6" t="n">
        <x:f>G6655-H6655</x:f>
        <x:v>0</x:v>
      </x:c>
      <x:c r="J6655" s="6" t="n">
        <x:f>IF(OR(E6655="CANCELED",E6655="SUSPECTED_FRAUD",F6655="Shipping canceled"),0,1)</x:f>
        <x:v>1</x:v>
      </x:c>
      <x:c r="K6655" s="6" t="n">
        <x:f>IF(G6655&gt;H6655,1,0)</x:f>
        <x:v>0</x:v>
      </x:c>
      <x:c r="L6655" s="6" t="n">
        <x:f>J6655*K6655</x:f>
        <x:v>0</x:v>
      </x:c>
    </x:row>
    <x:row r="6656">
      <x:c r="A6656" s="1" t="n">
        <x:v>52437</x:v>
      </x:c>
      <x:c r="B6656" s="5" t="d">
        <x:v>2017-02-04T00:00:00.000Z</x:v>
      </x:c>
      <x:c r="C6656" s="1" t="str">
        <x:v>First Class</x:v>
      </x:c>
      <x:c r="D6656" s="1" t="str">
        <x:v>LATAM</x:v>
      </x:c>
      <x:c r="E6656" s="1" t="str">
        <x:v>PENDING</x:v>
      </x:c>
      <x:c r="F6656" s="1" t="str">
        <x:v>Late delivery</x:v>
      </x:c>
      <x:c r="G6656" s="6" t="n">
        <x:v>2</x:v>
      </x:c>
      <x:c r="H6656" s="6" t="n">
        <x:v>1</x:v>
      </x:c>
      <x:c r="I6656" s="6" t="n">
        <x:f>G6656-H6656</x:f>
        <x:v>1</x:v>
      </x:c>
      <x:c r="J6656" s="6" t="n">
        <x:f>IF(OR(E6656="CANCELED",E6656="SUSPECTED_FRAUD",F6656="Shipping canceled"),0,1)</x:f>
        <x:v>1</x:v>
      </x:c>
      <x:c r="K6656" s="6" t="n">
        <x:f>IF(G6656&gt;H6656,1,0)</x:f>
        <x:v>1</x:v>
      </x:c>
      <x:c r="L6656" s="6" t="n">
        <x:f>J6656*K6656</x:f>
        <x:v>1</x:v>
      </x:c>
    </x:row>
    <x:row r="6657">
      <x:c r="A6657" s="1" t="n">
        <x:v>52452</x:v>
      </x:c>
      <x:c r="B6657" s="5" t="d">
        <x:v>2017-02-04T00:00:00.000Z</x:v>
      </x:c>
      <x:c r="C6657" s="1" t="str">
        <x:v>Standard Class</x:v>
      </x:c>
      <x:c r="D6657" s="1" t="str">
        <x:v>LATAM</x:v>
      </x:c>
      <x:c r="E6657" s="1" t="str">
        <x:v>COMPLETE</x:v>
      </x:c>
      <x:c r="F6657" s="1" t="str">
        <x:v>Advance shipping</x:v>
      </x:c>
      <x:c r="G6657" s="6" t="n">
        <x:v>3</x:v>
      </x:c>
      <x:c r="H6657" s="6" t="n">
        <x:v>4</x:v>
      </x:c>
      <x:c r="I6657" s="6" t="n">
        <x:f>G6657-H6657</x:f>
        <x:v>-1</x:v>
      </x:c>
      <x:c r="J6657" s="6" t="n">
        <x:f>IF(OR(E6657="CANCELED",E6657="SUSPECTED_FRAUD",F6657="Shipping canceled"),0,1)</x:f>
        <x:v>1</x:v>
      </x:c>
      <x:c r="K6657" s="6" t="n">
        <x:f>IF(G6657&gt;H6657,1,0)</x:f>
        <x:v>0</x:v>
      </x:c>
      <x:c r="L6657" s="6" t="n">
        <x:f>J6657*K6657</x:f>
        <x:v>0</x:v>
      </x:c>
    </x:row>
    <x:row r="6658">
      <x:c r="A6658" s="1" t="n">
        <x:v>52470</x:v>
      </x:c>
      <x:c r="B6658" s="5" t="d">
        <x:v>2017-02-04T00:00:00.000Z</x:v>
      </x:c>
      <x:c r="C6658" s="1" t="str">
        <x:v>Standard Class</x:v>
      </x:c>
      <x:c r="D6658" s="1" t="str">
        <x:v>LATAM</x:v>
      </x:c>
      <x:c r="E6658" s="1" t="str">
        <x:v>CANCELED</x:v>
      </x:c>
      <x:c r="F6658" s="1" t="str">
        <x:v>Shipping canceled</x:v>
      </x:c>
      <x:c r="G6658" s="6" t="n">
        <x:v>6</x:v>
      </x:c>
      <x:c r="H6658" s="6" t="n">
        <x:v>4</x:v>
      </x:c>
      <x:c r="I6658" s="6" t="n">
        <x:f>G6658-H6658</x:f>
        <x:v>2</x:v>
      </x:c>
      <x:c r="J6658" s="6" t="n">
        <x:f>IF(OR(E6658="CANCELED",E6658="SUSPECTED_FRAUD",F6658="Shipping canceled"),0,1)</x:f>
        <x:v>0</x:v>
      </x:c>
      <x:c r="K6658" s="6" t="n">
        <x:f>IF(G6658&gt;H6658,1,0)</x:f>
        <x:v>1</x:v>
      </x:c>
      <x:c r="L6658" s="6" t="n">
        <x:f>J6658*K6658</x:f>
        <x:v>0</x:v>
      </x:c>
    </x:row>
    <x:row r="6659">
      <x:c r="A6659" s="1" t="n">
        <x:v>52478</x:v>
      </x:c>
      <x:c r="B6659" s="5" t="d">
        <x:v>2017-02-05T00:00:00.000Z</x:v>
      </x:c>
      <x:c r="C6659" s="1" t="str">
        <x:v>Standard Class</x:v>
      </x:c>
      <x:c r="D6659" s="1" t="str">
        <x:v>LATAM</x:v>
      </x:c>
      <x:c r="E6659" s="1" t="str">
        <x:v>PENDING</x:v>
      </x:c>
      <x:c r="F6659" s="1" t="str">
        <x:v>Shipping on time</x:v>
      </x:c>
      <x:c r="G6659" s="6" t="n">
        <x:v>4</x:v>
      </x:c>
      <x:c r="H6659" s="6" t="n">
        <x:v>4</x:v>
      </x:c>
      <x:c r="I6659" s="6" t="n">
        <x:f>G6659-H6659</x:f>
        <x:v>0</x:v>
      </x:c>
      <x:c r="J6659" s="6" t="n">
        <x:f>IF(OR(E6659="CANCELED",E6659="SUSPECTED_FRAUD",F6659="Shipping canceled"),0,1)</x:f>
        <x:v>1</x:v>
      </x:c>
      <x:c r="K6659" s="6" t="n">
        <x:f>IF(G6659&gt;H6659,1,0)</x:f>
        <x:v>0</x:v>
      </x:c>
      <x:c r="L6659" s="6" t="n">
        <x:f>J6659*K6659</x:f>
        <x:v>0</x:v>
      </x:c>
    </x:row>
    <x:row r="6660">
      <x:c r="A6660" s="1" t="n">
        <x:v>52506</x:v>
      </x:c>
      <x:c r="B6660" s="5" t="d">
        <x:v>2017-02-05T00:00:00.000Z</x:v>
      </x:c>
      <x:c r="C6660" s="1" t="str">
        <x:v>Second Class</x:v>
      </x:c>
      <x:c r="D6660" s="1" t="str">
        <x:v>LATAM</x:v>
      </x:c>
      <x:c r="E6660" s="1" t="str">
        <x:v>COMPLETE</x:v>
      </x:c>
      <x:c r="F6660" s="1" t="str">
        <x:v>Shipping on time</x:v>
      </x:c>
      <x:c r="G6660" s="6" t="n">
        <x:v>2</x:v>
      </x:c>
      <x:c r="H6660" s="6" t="n">
        <x:v>2</x:v>
      </x:c>
      <x:c r="I6660" s="6" t="n">
        <x:f>G6660-H6660</x:f>
        <x:v>0</x:v>
      </x:c>
      <x:c r="J6660" s="6" t="n">
        <x:f>IF(OR(E6660="CANCELED",E6660="SUSPECTED_FRAUD",F6660="Shipping canceled"),0,1)</x:f>
        <x:v>1</x:v>
      </x:c>
      <x:c r="K6660" s="6" t="n">
        <x:f>IF(G6660&gt;H6660,1,0)</x:f>
        <x:v>0</x:v>
      </x:c>
      <x:c r="L6660" s="6" t="n">
        <x:f>J6660*K6660</x:f>
        <x:v>0</x:v>
      </x:c>
    </x:row>
    <x:row r="6661">
      <x:c r="A6661" s="1" t="n">
        <x:v>52529</x:v>
      </x:c>
      <x:c r="B6661" s="5" t="d">
        <x:v>2017-02-05T00:00:00.000Z</x:v>
      </x:c>
      <x:c r="C6661" s="1" t="str">
        <x:v>Standard Class</x:v>
      </x:c>
      <x:c r="D6661" s="1" t="str">
        <x:v>LATAM</x:v>
      </x:c>
      <x:c r="E6661" s="1" t="str">
        <x:v>PENDING</x:v>
      </x:c>
      <x:c r="F6661" s="1" t="str">
        <x:v>Late delivery</x:v>
      </x:c>
      <x:c r="G6661" s="6" t="n">
        <x:v>5</x:v>
      </x:c>
      <x:c r="H6661" s="6" t="n">
        <x:v>4</x:v>
      </x:c>
      <x:c r="I6661" s="6" t="n">
        <x:f>G6661-H6661</x:f>
        <x:v>1</x:v>
      </x:c>
      <x:c r="J6661" s="6" t="n">
        <x:f>IF(OR(E6661="CANCELED",E6661="SUSPECTED_FRAUD",F6661="Shipping canceled"),0,1)</x:f>
        <x:v>1</x:v>
      </x:c>
      <x:c r="K6661" s="6" t="n">
        <x:f>IF(G6661&gt;H6661,1,0)</x:f>
        <x:v>1</x:v>
      </x:c>
      <x:c r="L6661" s="6" t="n">
        <x:f>J6661*K6661</x:f>
        <x:v>1</x:v>
      </x:c>
    </x:row>
    <x:row r="6662">
      <x:c r="A6662" s="1" t="n">
        <x:v>52530</x:v>
      </x:c>
      <x:c r="B6662" s="5" t="d">
        <x:v>2017-02-05T00:00:00.000Z</x:v>
      </x:c>
      <x:c r="C6662" s="1" t="str">
        <x:v>Standard Class</x:v>
      </x:c>
      <x:c r="D6662" s="1" t="str">
        <x:v>LATAM</x:v>
      </x:c>
      <x:c r="E6662" s="1" t="str">
        <x:v>PENDING</x:v>
      </x:c>
      <x:c r="F6662" s="1" t="str">
        <x:v>Late delivery</x:v>
      </x:c>
      <x:c r="G6662" s="6" t="n">
        <x:v>6</x:v>
      </x:c>
      <x:c r="H6662" s="6" t="n">
        <x:v>4</x:v>
      </x:c>
      <x:c r="I6662" s="6" t="n">
        <x:f>G6662-H6662</x:f>
        <x:v>2</x:v>
      </x:c>
      <x:c r="J6662" s="6" t="n">
        <x:f>IF(OR(E6662="CANCELED",E6662="SUSPECTED_FRAUD",F6662="Shipping canceled"),0,1)</x:f>
        <x:v>1</x:v>
      </x:c>
      <x:c r="K6662" s="6" t="n">
        <x:f>IF(G6662&gt;H6662,1,0)</x:f>
        <x:v>1</x:v>
      </x:c>
      <x:c r="L6662" s="6" t="n">
        <x:f>J6662*K6662</x:f>
        <x:v>1</x:v>
      </x:c>
    </x:row>
    <x:row r="6663">
      <x:c r="A6663" s="1" t="n">
        <x:v>52533</x:v>
      </x:c>
      <x:c r="B6663" s="5" t="d">
        <x:v>2017-02-05T00:00:00.000Z</x:v>
      </x:c>
      <x:c r="C6663" s="1" t="str">
        <x:v>Standard Class</x:v>
      </x:c>
      <x:c r="D6663" s="1" t="str">
        <x:v>LATAM</x:v>
      </x:c>
      <x:c r="E6663" s="1" t="str">
        <x:v>SUSPECTED_FRAUD</x:v>
      </x:c>
      <x:c r="F6663" s="1" t="str">
        <x:v>Shipping canceled</x:v>
      </x:c>
      <x:c r="G6663" s="6" t="n">
        <x:v>4</x:v>
      </x:c>
      <x:c r="H6663" s="6" t="n">
        <x:v>4</x:v>
      </x:c>
      <x:c r="I6663" s="6" t="n">
        <x:f>G6663-H6663</x:f>
        <x:v>0</x:v>
      </x:c>
      <x:c r="J6663" s="6" t="n">
        <x:f>IF(OR(E6663="CANCELED",E6663="SUSPECTED_FRAUD",F6663="Shipping canceled"),0,1)</x:f>
        <x:v>0</x:v>
      </x:c>
      <x:c r="K6663" s="6" t="n">
        <x:f>IF(G6663&gt;H6663,1,0)</x:f>
        <x:v>0</x:v>
      </x:c>
      <x:c r="L6663" s="6" t="n">
        <x:f>J6663*K6663</x:f>
        <x:v>0</x:v>
      </x:c>
    </x:row>
    <x:row r="6664">
      <x:c r="A6664" s="1" t="n">
        <x:v>52539</x:v>
      </x:c>
      <x:c r="B6664" s="5" t="d">
        <x:v>2017-02-05T00:00:00.000Z</x:v>
      </x:c>
      <x:c r="C6664" s="1" t="str">
        <x:v>Same Day</x:v>
      </x:c>
      <x:c r="D6664" s="1" t="str">
        <x:v>LATAM</x:v>
      </x:c>
      <x:c r="E6664" s="1" t="str">
        <x:v>PENDING_PAYMENT</x:v>
      </x:c>
      <x:c r="F6664" s="1" t="str">
        <x:v>Late delivery</x:v>
      </x:c>
      <x:c r="G6664" s="6" t="n">
        <x:v>1</x:v>
      </x:c>
      <x:c r="H6664" s="6" t="n">
        <x:v>0</x:v>
      </x:c>
      <x:c r="I6664" s="6" t="n">
        <x:f>G6664-H6664</x:f>
        <x:v>1</x:v>
      </x:c>
      <x:c r="J6664" s="6" t="n">
        <x:f>IF(OR(E6664="CANCELED",E6664="SUSPECTED_FRAUD",F6664="Shipping canceled"),0,1)</x:f>
        <x:v>1</x:v>
      </x:c>
      <x:c r="K6664" s="6" t="n">
        <x:f>IF(G6664&gt;H6664,1,0)</x:f>
        <x:v>1</x:v>
      </x:c>
      <x:c r="L6664" s="6" t="n">
        <x:f>J6664*K6664</x:f>
        <x:v>1</x:v>
      </x:c>
    </x:row>
    <x:row r="6665">
      <x:c r="A6665" s="1" t="n">
        <x:v>52545</x:v>
      </x:c>
      <x:c r="B6665" s="5" t="d">
        <x:v>2017-02-06T00:00:00.000Z</x:v>
      </x:c>
      <x:c r="C6665" s="1" t="str">
        <x:v>Standard Class</x:v>
      </x:c>
      <x:c r="D6665" s="1" t="str">
        <x:v>LATAM</x:v>
      </x:c>
      <x:c r="E6665" s="1" t="str">
        <x:v>COMPLETE</x:v>
      </x:c>
      <x:c r="F6665" s="1" t="str">
        <x:v>Late delivery</x:v>
      </x:c>
      <x:c r="G6665" s="6" t="n">
        <x:v>6</x:v>
      </x:c>
      <x:c r="H6665" s="6" t="n">
        <x:v>4</x:v>
      </x:c>
      <x:c r="I6665" s="6" t="n">
        <x:f>G6665-H6665</x:f>
        <x:v>2</x:v>
      </x:c>
      <x:c r="J6665" s="6" t="n">
        <x:f>IF(OR(E6665="CANCELED",E6665="SUSPECTED_FRAUD",F6665="Shipping canceled"),0,1)</x:f>
        <x:v>1</x:v>
      </x:c>
      <x:c r="K6665" s="6" t="n">
        <x:f>IF(G6665&gt;H6665,1,0)</x:f>
        <x:v>1</x:v>
      </x:c>
      <x:c r="L6665" s="6" t="n">
        <x:f>J6665*K6665</x:f>
        <x:v>1</x:v>
      </x:c>
    </x:row>
    <x:row r="6666">
      <x:c r="A6666" s="1" t="n">
        <x:v>52547</x:v>
      </x:c>
      <x:c r="B6666" s="5" t="d">
        <x:v>2017-02-06T00:00:00.000Z</x:v>
      </x:c>
      <x:c r="C6666" s="1" t="str">
        <x:v>Standard Class</x:v>
      </x:c>
      <x:c r="D6666" s="1" t="str">
        <x:v>LATAM</x:v>
      </x:c>
      <x:c r="E6666" s="1" t="str">
        <x:v>COMPLETE</x:v>
      </x:c>
      <x:c r="F6666" s="1" t="str">
        <x:v>Advance shipping</x:v>
      </x:c>
      <x:c r="G6666" s="6" t="n">
        <x:v>3</x:v>
      </x:c>
      <x:c r="H6666" s="6" t="n">
        <x:v>4</x:v>
      </x:c>
      <x:c r="I6666" s="6" t="n">
        <x:f>G6666-H6666</x:f>
        <x:v>-1</x:v>
      </x:c>
      <x:c r="J6666" s="6" t="n">
        <x:f>IF(OR(E6666="CANCELED",E6666="SUSPECTED_FRAUD",F6666="Shipping canceled"),0,1)</x:f>
        <x:v>1</x:v>
      </x:c>
      <x:c r="K6666" s="6" t="n">
        <x:f>IF(G6666&gt;H6666,1,0)</x:f>
        <x:v>0</x:v>
      </x:c>
      <x:c r="L6666" s="6" t="n">
        <x:f>J6666*K6666</x:f>
        <x:v>0</x:v>
      </x:c>
    </x:row>
    <x:row r="6667">
      <x:c r="A6667" s="1" t="n">
        <x:v>52548</x:v>
      </x:c>
      <x:c r="B6667" s="5" t="d">
        <x:v>2017-02-06T00:00:00.000Z</x:v>
      </x:c>
      <x:c r="C6667" s="1" t="str">
        <x:v>Second Class</x:v>
      </x:c>
      <x:c r="D6667" s="1" t="str">
        <x:v>LATAM</x:v>
      </x:c>
      <x:c r="E6667" s="1" t="str">
        <x:v>COMPLETE</x:v>
      </x:c>
      <x:c r="F6667" s="1" t="str">
        <x:v>Late delivery</x:v>
      </x:c>
      <x:c r="G6667" s="6" t="n">
        <x:v>4</x:v>
      </x:c>
      <x:c r="H6667" s="6" t="n">
        <x:v>2</x:v>
      </x:c>
      <x:c r="I6667" s="6" t="n">
        <x:f>G6667-H6667</x:f>
        <x:v>2</x:v>
      </x:c>
      <x:c r="J6667" s="6" t="n">
        <x:f>IF(OR(E6667="CANCELED",E6667="SUSPECTED_FRAUD",F6667="Shipping canceled"),0,1)</x:f>
        <x:v>1</x:v>
      </x:c>
      <x:c r="K6667" s="6" t="n">
        <x:f>IF(G6667&gt;H6667,1,0)</x:f>
        <x:v>1</x:v>
      </x:c>
      <x:c r="L6667" s="6" t="n">
        <x:f>J6667*K6667</x:f>
        <x:v>1</x:v>
      </x:c>
    </x:row>
    <x:row r="6668">
      <x:c r="A6668" s="1" t="n">
        <x:v>52549</x:v>
      </x:c>
      <x:c r="B6668" s="5" t="d">
        <x:v>2017-02-06T00:00:00.000Z</x:v>
      </x:c>
      <x:c r="C6668" s="1" t="str">
        <x:v>Standard Class</x:v>
      </x:c>
      <x:c r="D6668" s="1" t="str">
        <x:v>LATAM</x:v>
      </x:c>
      <x:c r="E6668" s="1" t="str">
        <x:v>PROCESSING</x:v>
      </x:c>
      <x:c r="F6668" s="1" t="str">
        <x:v>Late delivery</x:v>
      </x:c>
      <x:c r="G6668" s="6" t="n">
        <x:v>5</x:v>
      </x:c>
      <x:c r="H6668" s="6" t="n">
        <x:v>4</x:v>
      </x:c>
      <x:c r="I6668" s="6" t="n">
        <x:f>G6668-H6668</x:f>
        <x:v>1</x:v>
      </x:c>
      <x:c r="J6668" s="6" t="n">
        <x:f>IF(OR(E6668="CANCELED",E6668="SUSPECTED_FRAUD",F6668="Shipping canceled"),0,1)</x:f>
        <x:v>1</x:v>
      </x:c>
      <x:c r="K6668" s="6" t="n">
        <x:f>IF(G6668&gt;H6668,1,0)</x:f>
        <x:v>1</x:v>
      </x:c>
      <x:c r="L6668" s="6" t="n">
        <x:f>J6668*K6668</x:f>
        <x:v>1</x:v>
      </x:c>
    </x:row>
    <x:row r="6669">
      <x:c r="A6669" s="1" t="n">
        <x:v>52550</x:v>
      </x:c>
      <x:c r="B6669" s="5" t="d">
        <x:v>2017-02-06T00:00:00.000Z</x:v>
      </x:c>
      <x:c r="C6669" s="1" t="str">
        <x:v>Standard Class</x:v>
      </x:c>
      <x:c r="D6669" s="1" t="str">
        <x:v>LATAM</x:v>
      </x:c>
      <x:c r="E6669" s="1" t="str">
        <x:v>COMPLETE</x:v>
      </x:c>
      <x:c r="F6669" s="1" t="str">
        <x:v>Late delivery</x:v>
      </x:c>
      <x:c r="G6669" s="6" t="n">
        <x:v>6</x:v>
      </x:c>
      <x:c r="H6669" s="6" t="n">
        <x:v>4</x:v>
      </x:c>
      <x:c r="I6669" s="6" t="n">
        <x:f>G6669-H6669</x:f>
        <x:v>2</x:v>
      </x:c>
      <x:c r="J6669" s="6" t="n">
        <x:f>IF(OR(E6669="CANCELED",E6669="SUSPECTED_FRAUD",F6669="Shipping canceled"),0,1)</x:f>
        <x:v>1</x:v>
      </x:c>
      <x:c r="K6669" s="6" t="n">
        <x:f>IF(G6669&gt;H6669,1,0)</x:f>
        <x:v>1</x:v>
      </x:c>
      <x:c r="L6669" s="6" t="n">
        <x:f>J6669*K6669</x:f>
        <x:v>1</x:v>
      </x:c>
    </x:row>
    <x:row r="6670">
      <x:c r="A6670" s="1" t="n">
        <x:v>52554</x:v>
      </x:c>
      <x:c r="B6670" s="5" t="d">
        <x:v>2017-02-06T00:00:00.000Z</x:v>
      </x:c>
      <x:c r="C6670" s="1" t="str">
        <x:v>Standard Class</x:v>
      </x:c>
      <x:c r="D6670" s="1" t="str">
        <x:v>LATAM</x:v>
      </x:c>
      <x:c r="E6670" s="1" t="str">
        <x:v>PROCESSING</x:v>
      </x:c>
      <x:c r="F6670" s="1" t="str">
        <x:v>Late delivery</x:v>
      </x:c>
      <x:c r="G6670" s="6" t="n">
        <x:v>5</x:v>
      </x:c>
      <x:c r="H6670" s="6" t="n">
        <x:v>4</x:v>
      </x:c>
      <x:c r="I6670" s="6" t="n">
        <x:f>G6670-H6670</x:f>
        <x:v>1</x:v>
      </x:c>
      <x:c r="J6670" s="6" t="n">
        <x:f>IF(OR(E6670="CANCELED",E6670="SUSPECTED_FRAUD",F6670="Shipping canceled"),0,1)</x:f>
        <x:v>1</x:v>
      </x:c>
      <x:c r="K6670" s="6" t="n">
        <x:f>IF(G6670&gt;H6670,1,0)</x:f>
        <x:v>1</x:v>
      </x:c>
      <x:c r="L6670" s="6" t="n">
        <x:f>J6670*K6670</x:f>
        <x:v>1</x:v>
      </x:c>
    </x:row>
    <x:row r="6671">
      <x:c r="A6671" s="1" t="n">
        <x:v>52562</x:v>
      </x:c>
      <x:c r="B6671" s="5" t="d">
        <x:v>2017-02-06T00:00:00.000Z</x:v>
      </x:c>
      <x:c r="C6671" s="1" t="str">
        <x:v>Standard Class</x:v>
      </x:c>
      <x:c r="D6671" s="1" t="str">
        <x:v>LATAM</x:v>
      </x:c>
      <x:c r="E6671" s="1" t="str">
        <x:v>PROCESSING</x:v>
      </x:c>
      <x:c r="F6671" s="1" t="str">
        <x:v>Advance shipping</x:v>
      </x:c>
      <x:c r="G6671" s="6" t="n">
        <x:v>3</x:v>
      </x:c>
      <x:c r="H6671" s="6" t="n">
        <x:v>4</x:v>
      </x:c>
      <x:c r="I6671" s="6" t="n">
        <x:f>G6671-H6671</x:f>
        <x:v>-1</x:v>
      </x:c>
      <x:c r="J6671" s="6" t="n">
        <x:f>IF(OR(E6671="CANCELED",E6671="SUSPECTED_FRAUD",F6671="Shipping canceled"),0,1)</x:f>
        <x:v>1</x:v>
      </x:c>
      <x:c r="K6671" s="6" t="n">
        <x:f>IF(G6671&gt;H6671,1,0)</x:f>
        <x:v>0</x:v>
      </x:c>
      <x:c r="L6671" s="6" t="n">
        <x:f>J6671*K6671</x:f>
        <x:v>0</x:v>
      </x:c>
    </x:row>
    <x:row r="6672">
      <x:c r="A6672" s="1" t="n">
        <x:v>52575</x:v>
      </x:c>
      <x:c r="B6672" s="5" t="d">
        <x:v>2017-02-06T00:00:00.000Z</x:v>
      </x:c>
      <x:c r="C6672" s="1" t="str">
        <x:v>Second Class</x:v>
      </x:c>
      <x:c r="D6672" s="1" t="str">
        <x:v>LATAM</x:v>
      </x:c>
      <x:c r="E6672" s="1" t="str">
        <x:v>PENDING_PAYMENT</x:v>
      </x:c>
      <x:c r="F6672" s="1" t="str">
        <x:v>Late delivery</x:v>
      </x:c>
      <x:c r="G6672" s="6" t="n">
        <x:v>6</x:v>
      </x:c>
      <x:c r="H6672" s="6" t="n">
        <x:v>2</x:v>
      </x:c>
      <x:c r="I6672" s="6" t="n">
        <x:f>G6672-H6672</x:f>
        <x:v>4</x:v>
      </x:c>
      <x:c r="J6672" s="6" t="n">
        <x:f>IF(OR(E6672="CANCELED",E6672="SUSPECTED_FRAUD",F6672="Shipping canceled"),0,1)</x:f>
        <x:v>1</x:v>
      </x:c>
      <x:c r="K6672" s="6" t="n">
        <x:f>IF(G6672&gt;H6672,1,0)</x:f>
        <x:v>1</x:v>
      </x:c>
      <x:c r="L6672" s="6" t="n">
        <x:f>J6672*K6672</x:f>
        <x:v>1</x:v>
      </x:c>
    </x:row>
    <x:row r="6673">
      <x:c r="A6673" s="1" t="n">
        <x:v>52576</x:v>
      </x:c>
      <x:c r="B6673" s="5" t="d">
        <x:v>2017-02-06T00:00:00.000Z</x:v>
      </x:c>
      <x:c r="C6673" s="1" t="str">
        <x:v>Second Class</x:v>
      </x:c>
      <x:c r="D6673" s="1" t="str">
        <x:v>LATAM</x:v>
      </x:c>
      <x:c r="E6673" s="1" t="str">
        <x:v>PAYMENT_REVIEW</x:v>
      </x:c>
      <x:c r="F6673" s="1" t="str">
        <x:v>Shipping on time</x:v>
      </x:c>
      <x:c r="G6673" s="6" t="n">
        <x:v>2</x:v>
      </x:c>
      <x:c r="H6673" s="6" t="n">
        <x:v>2</x:v>
      </x:c>
      <x:c r="I6673" s="6" t="n">
        <x:f>G6673-H6673</x:f>
        <x:v>0</x:v>
      </x:c>
      <x:c r="J6673" s="6" t="n">
        <x:f>IF(OR(E6673="CANCELED",E6673="SUSPECTED_FRAUD",F6673="Shipping canceled"),0,1)</x:f>
        <x:v>1</x:v>
      </x:c>
      <x:c r="K6673" s="6" t="n">
        <x:f>IF(G6673&gt;H6673,1,0)</x:f>
        <x:v>0</x:v>
      </x:c>
      <x:c r="L6673" s="6" t="n">
        <x:f>J6673*K6673</x:f>
        <x:v>0</x:v>
      </x:c>
    </x:row>
    <x:row r="6674">
      <x:c r="A6674" s="1" t="n">
        <x:v>52579</x:v>
      </x:c>
      <x:c r="B6674" s="5" t="d">
        <x:v>2017-02-06T00:00:00.000Z</x:v>
      </x:c>
      <x:c r="C6674" s="1" t="str">
        <x:v>Second Class</x:v>
      </x:c>
      <x:c r="D6674" s="1" t="str">
        <x:v>LATAM</x:v>
      </x:c>
      <x:c r="E6674" s="1" t="str">
        <x:v>COMPLETE</x:v>
      </x:c>
      <x:c r="F6674" s="1" t="str">
        <x:v>Late delivery</x:v>
      </x:c>
      <x:c r="G6674" s="6" t="n">
        <x:v>5</x:v>
      </x:c>
      <x:c r="H6674" s="6" t="n">
        <x:v>2</x:v>
      </x:c>
      <x:c r="I6674" s="6" t="n">
        <x:f>G6674-H6674</x:f>
        <x:v>3</x:v>
      </x:c>
      <x:c r="J6674" s="6" t="n">
        <x:f>IF(OR(E6674="CANCELED",E6674="SUSPECTED_FRAUD",F6674="Shipping canceled"),0,1)</x:f>
        <x:v>1</x:v>
      </x:c>
      <x:c r="K6674" s="6" t="n">
        <x:f>IF(G6674&gt;H6674,1,0)</x:f>
        <x:v>1</x:v>
      </x:c>
      <x:c r="L6674" s="6" t="n">
        <x:f>J6674*K6674</x:f>
        <x:v>1</x:v>
      </x:c>
    </x:row>
    <x:row r="6675">
      <x:c r="A6675" s="1" t="n">
        <x:v>52582</x:v>
      </x:c>
      <x:c r="B6675" s="5" t="d">
        <x:v>2017-02-06T00:00:00.000Z</x:v>
      </x:c>
      <x:c r="C6675" s="1" t="str">
        <x:v>Standard Class</x:v>
      </x:c>
      <x:c r="D6675" s="1" t="str">
        <x:v>LATAM</x:v>
      </x:c>
      <x:c r="E6675" s="1" t="str">
        <x:v>PROCESSING</x:v>
      </x:c>
      <x:c r="F6675" s="1" t="str">
        <x:v>Advance shipping</x:v>
      </x:c>
      <x:c r="G6675" s="6" t="n">
        <x:v>3</x:v>
      </x:c>
      <x:c r="H6675" s="6" t="n">
        <x:v>4</x:v>
      </x:c>
      <x:c r="I6675" s="6" t="n">
        <x:f>G6675-H6675</x:f>
        <x:v>-1</x:v>
      </x:c>
      <x:c r="J6675" s="6" t="n">
        <x:f>IF(OR(E6675="CANCELED",E6675="SUSPECTED_FRAUD",F6675="Shipping canceled"),0,1)</x:f>
        <x:v>1</x:v>
      </x:c>
      <x:c r="K6675" s="6" t="n">
        <x:f>IF(G6675&gt;H6675,1,0)</x:f>
        <x:v>0</x:v>
      </x:c>
      <x:c r="L6675" s="6" t="n">
        <x:f>J6675*K6675</x:f>
        <x:v>0</x:v>
      </x:c>
    </x:row>
    <x:row r="6676">
      <x:c r="A6676" s="1" t="n">
        <x:v>52599</x:v>
      </x:c>
      <x:c r="B6676" s="5" t="d">
        <x:v>2017-02-06T00:00:00.000Z</x:v>
      </x:c>
      <x:c r="C6676" s="1" t="str">
        <x:v>Standard Class</x:v>
      </x:c>
      <x:c r="D6676" s="1" t="str">
        <x:v>LATAM</x:v>
      </x:c>
      <x:c r="E6676" s="1" t="str">
        <x:v>CLOSED</x:v>
      </x:c>
      <x:c r="F6676" s="1" t="str">
        <x:v>Late delivery</x:v>
      </x:c>
      <x:c r="G6676" s="6" t="n">
        <x:v>5</x:v>
      </x:c>
      <x:c r="H6676" s="6" t="n">
        <x:v>4</x:v>
      </x:c>
      <x:c r="I6676" s="6" t="n">
        <x:f>G6676-H6676</x:f>
        <x:v>1</x:v>
      </x:c>
      <x:c r="J6676" s="6" t="n">
        <x:f>IF(OR(E6676="CANCELED",E6676="SUSPECTED_FRAUD",F6676="Shipping canceled"),0,1)</x:f>
        <x:v>1</x:v>
      </x:c>
      <x:c r="K6676" s="6" t="n">
        <x:f>IF(G6676&gt;H6676,1,0)</x:f>
        <x:v>1</x:v>
      </x:c>
      <x:c r="L6676" s="6" t="n">
        <x:f>J6676*K6676</x:f>
        <x:v>1</x:v>
      </x:c>
    </x:row>
    <x:row r="6677">
      <x:c r="A6677" s="1" t="n">
        <x:v>52601</x:v>
      </x:c>
      <x:c r="B6677" s="5" t="d">
        <x:v>2017-02-06T00:00:00.000Z</x:v>
      </x:c>
      <x:c r="C6677" s="1" t="str">
        <x:v>Standard Class</x:v>
      </x:c>
      <x:c r="D6677" s="1" t="str">
        <x:v>LATAM</x:v>
      </x:c>
      <x:c r="E6677" s="1" t="str">
        <x:v>PROCESSING</x:v>
      </x:c>
      <x:c r="F6677" s="1" t="str">
        <x:v>Advance shipping</x:v>
      </x:c>
      <x:c r="G6677" s="6" t="n">
        <x:v>2</x:v>
      </x:c>
      <x:c r="H6677" s="6" t="n">
        <x:v>4</x:v>
      </x:c>
      <x:c r="I6677" s="6" t="n">
        <x:f>G6677-H6677</x:f>
        <x:v>-2</x:v>
      </x:c>
      <x:c r="J6677" s="6" t="n">
        <x:f>IF(OR(E6677="CANCELED",E6677="SUSPECTED_FRAUD",F6677="Shipping canceled"),0,1)</x:f>
        <x:v>1</x:v>
      </x:c>
      <x:c r="K6677" s="6" t="n">
        <x:f>IF(G6677&gt;H6677,1,0)</x:f>
        <x:v>0</x:v>
      </x:c>
      <x:c r="L6677" s="6" t="n">
        <x:f>J6677*K6677</x:f>
        <x:v>0</x:v>
      </x:c>
    </x:row>
    <x:row r="6678">
      <x:c r="A6678" s="1" t="n">
        <x:v>52604</x:v>
      </x:c>
      <x:c r="B6678" s="5" t="d">
        <x:v>2017-02-06T00:00:00.000Z</x:v>
      </x:c>
      <x:c r="C6678" s="1" t="str">
        <x:v>Standard Class</x:v>
      </x:c>
      <x:c r="D6678" s="1" t="str">
        <x:v>LATAM</x:v>
      </x:c>
      <x:c r="E6678" s="1" t="str">
        <x:v>COMPLETE</x:v>
      </x:c>
      <x:c r="F6678" s="1" t="str">
        <x:v>Late delivery</x:v>
      </x:c>
      <x:c r="G6678" s="6" t="n">
        <x:v>5</x:v>
      </x:c>
      <x:c r="H6678" s="6" t="n">
        <x:v>4</x:v>
      </x:c>
      <x:c r="I6678" s="6" t="n">
        <x:f>G6678-H6678</x:f>
        <x:v>1</x:v>
      </x:c>
      <x:c r="J6678" s="6" t="n">
        <x:f>IF(OR(E6678="CANCELED",E6678="SUSPECTED_FRAUD",F6678="Shipping canceled"),0,1)</x:f>
        <x:v>1</x:v>
      </x:c>
      <x:c r="K6678" s="6" t="n">
        <x:f>IF(G6678&gt;H6678,1,0)</x:f>
        <x:v>1</x:v>
      </x:c>
      <x:c r="L6678" s="6" t="n">
        <x:f>J6678*K6678</x:f>
        <x:v>1</x:v>
      </x:c>
    </x:row>
    <x:row r="6679">
      <x:c r="A6679" s="1" t="n">
        <x:v>52609</x:v>
      </x:c>
      <x:c r="B6679" s="5" t="d">
        <x:v>2017-02-06T00:00:00.000Z</x:v>
      </x:c>
      <x:c r="C6679" s="1" t="str">
        <x:v>Second Class</x:v>
      </x:c>
      <x:c r="D6679" s="1" t="str">
        <x:v>LATAM</x:v>
      </x:c>
      <x:c r="E6679" s="1" t="str">
        <x:v>COMPLETE</x:v>
      </x:c>
      <x:c r="F6679" s="1" t="str">
        <x:v>Late delivery</x:v>
      </x:c>
      <x:c r="G6679" s="6" t="n">
        <x:v>5</x:v>
      </x:c>
      <x:c r="H6679" s="6" t="n">
        <x:v>2</x:v>
      </x:c>
      <x:c r="I6679" s="6" t="n">
        <x:f>G6679-H6679</x:f>
        <x:v>3</x:v>
      </x:c>
      <x:c r="J6679" s="6" t="n">
        <x:f>IF(OR(E6679="CANCELED",E6679="SUSPECTED_FRAUD",F6679="Shipping canceled"),0,1)</x:f>
        <x:v>1</x:v>
      </x:c>
      <x:c r="K6679" s="6" t="n">
        <x:f>IF(G6679&gt;H6679,1,0)</x:f>
        <x:v>1</x:v>
      </x:c>
      <x:c r="L6679" s="6" t="n">
        <x:f>J6679*K6679</x:f>
        <x:v>1</x:v>
      </x:c>
    </x:row>
    <x:row r="6680">
      <x:c r="A6680" s="1" t="n">
        <x:v>52620</x:v>
      </x:c>
      <x:c r="B6680" s="5" t="d">
        <x:v>2017-02-07T00:00:00.000Z</x:v>
      </x:c>
      <x:c r="C6680" s="1" t="str">
        <x:v>Standard Class</x:v>
      </x:c>
      <x:c r="D6680" s="1" t="str">
        <x:v>LATAM</x:v>
      </x:c>
      <x:c r="E6680" s="1" t="str">
        <x:v>COMPLETE</x:v>
      </x:c>
      <x:c r="F6680" s="1" t="str">
        <x:v>Late delivery</x:v>
      </x:c>
      <x:c r="G6680" s="6" t="n">
        <x:v>6</x:v>
      </x:c>
      <x:c r="H6680" s="6" t="n">
        <x:v>4</x:v>
      </x:c>
      <x:c r="I6680" s="6" t="n">
        <x:f>G6680-H6680</x:f>
        <x:v>2</x:v>
      </x:c>
      <x:c r="J6680" s="6" t="n">
        <x:f>IF(OR(E6680="CANCELED",E6680="SUSPECTED_FRAUD",F6680="Shipping canceled"),0,1)</x:f>
        <x:v>1</x:v>
      </x:c>
      <x:c r="K6680" s="6" t="n">
        <x:f>IF(G6680&gt;H6680,1,0)</x:f>
        <x:v>1</x:v>
      </x:c>
      <x:c r="L6680" s="6" t="n">
        <x:f>J6680*K6680</x:f>
        <x:v>1</x:v>
      </x:c>
    </x:row>
    <x:row r="6681">
      <x:c r="A6681" s="1" t="n">
        <x:v>52637</x:v>
      </x:c>
      <x:c r="B6681" s="5" t="d">
        <x:v>2017-02-07T00:00:00.000Z</x:v>
      </x:c>
      <x:c r="C6681" s="1" t="str">
        <x:v>Standard Class</x:v>
      </x:c>
      <x:c r="D6681" s="1" t="str">
        <x:v>LATAM</x:v>
      </x:c>
      <x:c r="E6681" s="1" t="str">
        <x:v>COMPLETE</x:v>
      </x:c>
      <x:c r="F6681" s="1" t="str">
        <x:v>Advance shipping</x:v>
      </x:c>
      <x:c r="G6681" s="6" t="n">
        <x:v>3</x:v>
      </x:c>
      <x:c r="H6681" s="6" t="n">
        <x:v>4</x:v>
      </x:c>
      <x:c r="I6681" s="6" t="n">
        <x:f>G6681-H6681</x:f>
        <x:v>-1</x:v>
      </x:c>
      <x:c r="J6681" s="6" t="n">
        <x:f>IF(OR(E6681="CANCELED",E6681="SUSPECTED_FRAUD",F6681="Shipping canceled"),0,1)</x:f>
        <x:v>1</x:v>
      </x:c>
      <x:c r="K6681" s="6" t="n">
        <x:f>IF(G6681&gt;H6681,1,0)</x:f>
        <x:v>0</x:v>
      </x:c>
      <x:c r="L6681" s="6" t="n">
        <x:f>J6681*K6681</x:f>
        <x:v>0</x:v>
      </x:c>
    </x:row>
    <x:row r="6682">
      <x:c r="A6682" s="1" t="n">
        <x:v>52640</x:v>
      </x:c>
      <x:c r="B6682" s="5" t="d">
        <x:v>2017-02-07T00:00:00.000Z</x:v>
      </x:c>
      <x:c r="C6682" s="1" t="str">
        <x:v>Standard Class</x:v>
      </x:c>
      <x:c r="D6682" s="1" t="str">
        <x:v>LATAM</x:v>
      </x:c>
      <x:c r="E6682" s="1" t="str">
        <x:v>PENDING</x:v>
      </x:c>
      <x:c r="F6682" s="1" t="str">
        <x:v>Late delivery</x:v>
      </x:c>
      <x:c r="G6682" s="6" t="n">
        <x:v>6</x:v>
      </x:c>
      <x:c r="H6682" s="6" t="n">
        <x:v>4</x:v>
      </x:c>
      <x:c r="I6682" s="6" t="n">
        <x:f>G6682-H6682</x:f>
        <x:v>2</x:v>
      </x:c>
      <x:c r="J6682" s="6" t="n">
        <x:f>IF(OR(E6682="CANCELED",E6682="SUSPECTED_FRAUD",F6682="Shipping canceled"),0,1)</x:f>
        <x:v>1</x:v>
      </x:c>
      <x:c r="K6682" s="6" t="n">
        <x:f>IF(G6682&gt;H6682,1,0)</x:f>
        <x:v>1</x:v>
      </x:c>
      <x:c r="L6682" s="6" t="n">
        <x:f>J6682*K6682</x:f>
        <x:v>1</x:v>
      </x:c>
    </x:row>
    <x:row r="6683">
      <x:c r="A6683" s="1" t="n">
        <x:v>52644</x:v>
      </x:c>
      <x:c r="B6683" s="5" t="d">
        <x:v>2017-02-07T00:00:00.000Z</x:v>
      </x:c>
      <x:c r="C6683" s="1" t="str">
        <x:v>Second Class</x:v>
      </x:c>
      <x:c r="D6683" s="1" t="str">
        <x:v>LATAM</x:v>
      </x:c>
      <x:c r="E6683" s="1" t="str">
        <x:v>COMPLETE</x:v>
      </x:c>
      <x:c r="F6683" s="1" t="str">
        <x:v>Late delivery</x:v>
      </x:c>
      <x:c r="G6683" s="6" t="n">
        <x:v>5</x:v>
      </x:c>
      <x:c r="H6683" s="6" t="n">
        <x:v>2</x:v>
      </x:c>
      <x:c r="I6683" s="6" t="n">
        <x:f>G6683-H6683</x:f>
        <x:v>3</x:v>
      </x:c>
      <x:c r="J6683" s="6" t="n">
        <x:f>IF(OR(E6683="CANCELED",E6683="SUSPECTED_FRAUD",F6683="Shipping canceled"),0,1)</x:f>
        <x:v>1</x:v>
      </x:c>
      <x:c r="K6683" s="6" t="n">
        <x:f>IF(G6683&gt;H6683,1,0)</x:f>
        <x:v>1</x:v>
      </x:c>
      <x:c r="L6683" s="6" t="n">
        <x:f>J6683*K6683</x:f>
        <x:v>1</x:v>
      </x:c>
    </x:row>
    <x:row r="6684">
      <x:c r="A6684" s="1" t="n">
        <x:v>52647</x:v>
      </x:c>
      <x:c r="B6684" s="5" t="d">
        <x:v>2017-02-07T00:00:00.000Z</x:v>
      </x:c>
      <x:c r="C6684" s="1" t="str">
        <x:v>Standard Class</x:v>
      </x:c>
      <x:c r="D6684" s="1" t="str">
        <x:v>LATAM</x:v>
      </x:c>
      <x:c r="E6684" s="1" t="str">
        <x:v>PENDING_PAYMENT</x:v>
      </x:c>
      <x:c r="F6684" s="1" t="str">
        <x:v>Advance shipping</x:v>
      </x:c>
      <x:c r="G6684" s="6" t="n">
        <x:v>3</x:v>
      </x:c>
      <x:c r="H6684" s="6" t="n">
        <x:v>4</x:v>
      </x:c>
      <x:c r="I6684" s="6" t="n">
        <x:f>G6684-H6684</x:f>
        <x:v>-1</x:v>
      </x:c>
      <x:c r="J6684" s="6" t="n">
        <x:f>IF(OR(E6684="CANCELED",E6684="SUSPECTED_FRAUD",F6684="Shipping canceled"),0,1)</x:f>
        <x:v>1</x:v>
      </x:c>
      <x:c r="K6684" s="6" t="n">
        <x:f>IF(G6684&gt;H6684,1,0)</x:f>
        <x:v>0</x:v>
      </x:c>
      <x:c r="L6684" s="6" t="n">
        <x:f>J6684*K6684</x:f>
        <x:v>0</x:v>
      </x:c>
    </x:row>
    <x:row r="6685">
      <x:c r="A6685" s="1" t="n">
        <x:v>52648</x:v>
      </x:c>
      <x:c r="B6685" s="5" t="d">
        <x:v>2017-02-07T00:00:00.000Z</x:v>
      </x:c>
      <x:c r="C6685" s="1" t="str">
        <x:v>Standard Class</x:v>
      </x:c>
      <x:c r="D6685" s="1" t="str">
        <x:v>LATAM</x:v>
      </x:c>
      <x:c r="E6685" s="1" t="str">
        <x:v>COMPLETE</x:v>
      </x:c>
      <x:c r="F6685" s="1" t="str">
        <x:v>Shipping on time</x:v>
      </x:c>
      <x:c r="G6685" s="6" t="n">
        <x:v>4</x:v>
      </x:c>
      <x:c r="H6685" s="6" t="n">
        <x:v>4</x:v>
      </x:c>
      <x:c r="I6685" s="6" t="n">
        <x:f>G6685-H6685</x:f>
        <x:v>0</x:v>
      </x:c>
      <x:c r="J6685" s="6" t="n">
        <x:f>IF(OR(E6685="CANCELED",E6685="SUSPECTED_FRAUD",F6685="Shipping canceled"),0,1)</x:f>
        <x:v>1</x:v>
      </x:c>
      <x:c r="K6685" s="6" t="n">
        <x:f>IF(G6685&gt;H6685,1,0)</x:f>
        <x:v>0</x:v>
      </x:c>
      <x:c r="L6685" s="6" t="n">
        <x:f>J6685*K6685</x:f>
        <x:v>0</x:v>
      </x:c>
    </x:row>
    <x:row r="6686">
      <x:c r="A6686" s="1" t="n">
        <x:v>52656</x:v>
      </x:c>
      <x:c r="B6686" s="5" t="d">
        <x:v>2017-02-07T00:00:00.000Z</x:v>
      </x:c>
      <x:c r="C6686" s="1" t="str">
        <x:v>Standard Class</x:v>
      </x:c>
      <x:c r="D6686" s="1" t="str">
        <x:v>LATAM</x:v>
      </x:c>
      <x:c r="E6686" s="1" t="str">
        <x:v>PENDING_PAYMENT</x:v>
      </x:c>
      <x:c r="F6686" s="1" t="str">
        <x:v>Advance shipping</x:v>
      </x:c>
      <x:c r="G6686" s="6" t="n">
        <x:v>2</x:v>
      </x:c>
      <x:c r="H6686" s="6" t="n">
        <x:v>4</x:v>
      </x:c>
      <x:c r="I6686" s="6" t="n">
        <x:f>G6686-H6686</x:f>
        <x:v>-2</x:v>
      </x:c>
      <x:c r="J6686" s="6" t="n">
        <x:f>IF(OR(E6686="CANCELED",E6686="SUSPECTED_FRAUD",F6686="Shipping canceled"),0,1)</x:f>
        <x:v>1</x:v>
      </x:c>
      <x:c r="K6686" s="6" t="n">
        <x:f>IF(G6686&gt;H6686,1,0)</x:f>
        <x:v>0</x:v>
      </x:c>
      <x:c r="L6686" s="6" t="n">
        <x:f>J6686*K6686</x:f>
        <x:v>0</x:v>
      </x:c>
    </x:row>
    <x:row r="6687">
      <x:c r="A6687" s="1" t="n">
        <x:v>52657</x:v>
      </x:c>
      <x:c r="B6687" s="5" t="d">
        <x:v>2017-02-07T00:00:00.000Z</x:v>
      </x:c>
      <x:c r="C6687" s="1" t="str">
        <x:v>Standard Class</x:v>
      </x:c>
      <x:c r="D6687" s="1" t="str">
        <x:v>LATAM</x:v>
      </x:c>
      <x:c r="E6687" s="1" t="str">
        <x:v>COMPLETE</x:v>
      </x:c>
      <x:c r="F6687" s="1" t="str">
        <x:v>Advance shipping</x:v>
      </x:c>
      <x:c r="G6687" s="6" t="n">
        <x:v>3</x:v>
      </x:c>
      <x:c r="H6687" s="6" t="n">
        <x:v>4</x:v>
      </x:c>
      <x:c r="I6687" s="6" t="n">
        <x:f>G6687-H6687</x:f>
        <x:v>-1</x:v>
      </x:c>
      <x:c r="J6687" s="6" t="n">
        <x:f>IF(OR(E6687="CANCELED",E6687="SUSPECTED_FRAUD",F6687="Shipping canceled"),0,1)</x:f>
        <x:v>1</x:v>
      </x:c>
      <x:c r="K6687" s="6" t="n">
        <x:f>IF(G6687&gt;H6687,1,0)</x:f>
        <x:v>0</x:v>
      </x:c>
      <x:c r="L6687" s="6" t="n">
        <x:f>J6687*K6687</x:f>
        <x:v>0</x:v>
      </x:c>
    </x:row>
    <x:row r="6688">
      <x:c r="A6688" s="1" t="n">
        <x:v>52665</x:v>
      </x:c>
      <x:c r="B6688" s="5" t="d">
        <x:v>2017-02-07T00:00:00.000Z</x:v>
      </x:c>
      <x:c r="C6688" s="1" t="str">
        <x:v>Standard Class</x:v>
      </x:c>
      <x:c r="D6688" s="1" t="str">
        <x:v>LATAM</x:v>
      </x:c>
      <x:c r="E6688" s="1" t="str">
        <x:v>COMPLETE</x:v>
      </x:c>
      <x:c r="F6688" s="1" t="str">
        <x:v>Late delivery</x:v>
      </x:c>
      <x:c r="G6688" s="6" t="n">
        <x:v>6</x:v>
      </x:c>
      <x:c r="H6688" s="6" t="n">
        <x:v>4</x:v>
      </x:c>
      <x:c r="I6688" s="6" t="n">
        <x:f>G6688-H6688</x:f>
        <x:v>2</x:v>
      </x:c>
      <x:c r="J6688" s="6" t="n">
        <x:f>IF(OR(E6688="CANCELED",E6688="SUSPECTED_FRAUD",F6688="Shipping canceled"),0,1)</x:f>
        <x:v>1</x:v>
      </x:c>
      <x:c r="K6688" s="6" t="n">
        <x:f>IF(G6688&gt;H6688,1,0)</x:f>
        <x:v>1</x:v>
      </x:c>
      <x:c r="L6688" s="6" t="n">
        <x:f>J6688*K6688</x:f>
        <x:v>1</x:v>
      </x:c>
    </x:row>
    <x:row r="6689">
      <x:c r="A6689" s="1" t="n">
        <x:v>52668</x:v>
      </x:c>
      <x:c r="B6689" s="5" t="d">
        <x:v>2017-02-07T00:00:00.000Z</x:v>
      </x:c>
      <x:c r="C6689" s="1" t="str">
        <x:v>Standard Class</x:v>
      </x:c>
      <x:c r="D6689" s="1" t="str">
        <x:v>LATAM</x:v>
      </x:c>
      <x:c r="E6689" s="1" t="str">
        <x:v>PROCESSING</x:v>
      </x:c>
      <x:c r="F6689" s="1" t="str">
        <x:v>Shipping on time</x:v>
      </x:c>
      <x:c r="G6689" s="6" t="n">
        <x:v>4</x:v>
      </x:c>
      <x:c r="H6689" s="6" t="n">
        <x:v>4</x:v>
      </x:c>
      <x:c r="I6689" s="6" t="n">
        <x:f>G6689-H6689</x:f>
        <x:v>0</x:v>
      </x:c>
      <x:c r="J6689" s="6" t="n">
        <x:f>IF(OR(E6689="CANCELED",E6689="SUSPECTED_FRAUD",F6689="Shipping canceled"),0,1)</x:f>
        <x:v>1</x:v>
      </x:c>
      <x:c r="K6689" s="6" t="n">
        <x:f>IF(G6689&gt;H6689,1,0)</x:f>
        <x:v>0</x:v>
      </x:c>
      <x:c r="L6689" s="6" t="n">
        <x:f>J6689*K6689</x:f>
        <x:v>0</x:v>
      </x:c>
    </x:row>
    <x:row r="6690">
      <x:c r="A6690" s="1" t="n">
        <x:v>52672</x:v>
      </x:c>
      <x:c r="B6690" s="5" t="d">
        <x:v>2017-02-07T00:00:00.000Z</x:v>
      </x:c>
      <x:c r="C6690" s="1" t="str">
        <x:v>First Class</x:v>
      </x:c>
      <x:c r="D6690" s="1" t="str">
        <x:v>LATAM</x:v>
      </x:c>
      <x:c r="E6690" s="1" t="str">
        <x:v>CLOSED</x:v>
      </x:c>
      <x:c r="F6690" s="1" t="str">
        <x:v>Late delivery</x:v>
      </x:c>
      <x:c r="G6690" s="6" t="n">
        <x:v>2</x:v>
      </x:c>
      <x:c r="H6690" s="6" t="n">
        <x:v>1</x:v>
      </x:c>
      <x:c r="I6690" s="6" t="n">
        <x:f>G6690-H6690</x:f>
        <x:v>1</x:v>
      </x:c>
      <x:c r="J6690" s="6" t="n">
        <x:f>IF(OR(E6690="CANCELED",E6690="SUSPECTED_FRAUD",F6690="Shipping canceled"),0,1)</x:f>
        <x:v>1</x:v>
      </x:c>
      <x:c r="K6690" s="6" t="n">
        <x:f>IF(G6690&gt;H6690,1,0)</x:f>
        <x:v>1</x:v>
      </x:c>
      <x:c r="L6690" s="6" t="n">
        <x:f>J6690*K6690</x:f>
        <x:v>1</x:v>
      </x:c>
    </x:row>
    <x:row r="6691">
      <x:c r="A6691" s="1" t="n">
        <x:v>52683</x:v>
      </x:c>
      <x:c r="B6691" s="5" t="d">
        <x:v>2017-02-08T00:00:00.000Z</x:v>
      </x:c>
      <x:c r="C6691" s="1" t="str">
        <x:v>Standard Class</x:v>
      </x:c>
      <x:c r="D6691" s="1" t="str">
        <x:v>LATAM</x:v>
      </x:c>
      <x:c r="E6691" s="1" t="str">
        <x:v>COMPLETE</x:v>
      </x:c>
      <x:c r="F6691" s="1" t="str">
        <x:v>Shipping on time</x:v>
      </x:c>
      <x:c r="G6691" s="6" t="n">
        <x:v>4</x:v>
      </x:c>
      <x:c r="H6691" s="6" t="n">
        <x:v>4</x:v>
      </x:c>
      <x:c r="I6691" s="6" t="n">
        <x:f>G6691-H6691</x:f>
        <x:v>0</x:v>
      </x:c>
      <x:c r="J6691" s="6" t="n">
        <x:f>IF(OR(E6691="CANCELED",E6691="SUSPECTED_FRAUD",F6691="Shipping canceled"),0,1)</x:f>
        <x:v>1</x:v>
      </x:c>
      <x:c r="K6691" s="6" t="n">
        <x:f>IF(G6691&gt;H6691,1,0)</x:f>
        <x:v>0</x:v>
      </x:c>
      <x:c r="L6691" s="6" t="n">
        <x:f>J6691*K6691</x:f>
        <x:v>0</x:v>
      </x:c>
    </x:row>
    <x:row r="6692">
      <x:c r="A6692" s="1" t="n">
        <x:v>52690</x:v>
      </x:c>
      <x:c r="B6692" s="5" t="d">
        <x:v>2017-02-08T00:00:00.000Z</x:v>
      </x:c>
      <x:c r="C6692" s="1" t="str">
        <x:v>Same Day</x:v>
      </x:c>
      <x:c r="D6692" s="1" t="str">
        <x:v>LATAM</x:v>
      </x:c>
      <x:c r="E6692" s="1" t="str">
        <x:v>PROCESSING</x:v>
      </x:c>
      <x:c r="F6692" s="1" t="str">
        <x:v>Shipping on time</x:v>
      </x:c>
      <x:c r="G6692" s="6" t="n">
        <x:v>0</x:v>
      </x:c>
      <x:c r="H6692" s="6" t="n">
        <x:v>0</x:v>
      </x:c>
      <x:c r="I6692" s="6" t="n">
        <x:f>G6692-H6692</x:f>
        <x:v>0</x:v>
      </x:c>
      <x:c r="J6692" s="6" t="n">
        <x:f>IF(OR(E6692="CANCELED",E6692="SUSPECTED_FRAUD",F6692="Shipping canceled"),0,1)</x:f>
        <x:v>1</x:v>
      </x:c>
      <x:c r="K6692" s="6" t="n">
        <x:f>IF(G6692&gt;H6692,1,0)</x:f>
        <x:v>0</x:v>
      </x:c>
      <x:c r="L6692" s="6" t="n">
        <x:f>J6692*K6692</x:f>
        <x:v>0</x:v>
      </x:c>
    </x:row>
    <x:row r="6693">
      <x:c r="A6693" s="1" t="n">
        <x:v>52693</x:v>
      </x:c>
      <x:c r="B6693" s="5" t="d">
        <x:v>2017-02-08T00:00:00.000Z</x:v>
      </x:c>
      <x:c r="C6693" s="1" t="str">
        <x:v>Standard Class</x:v>
      </x:c>
      <x:c r="D6693" s="1" t="str">
        <x:v>LATAM</x:v>
      </x:c>
      <x:c r="E6693" s="1" t="str">
        <x:v>COMPLETE</x:v>
      </x:c>
      <x:c r="F6693" s="1" t="str">
        <x:v>Shipping on time</x:v>
      </x:c>
      <x:c r="G6693" s="6" t="n">
        <x:v>4</x:v>
      </x:c>
      <x:c r="H6693" s="6" t="n">
        <x:v>4</x:v>
      </x:c>
      <x:c r="I6693" s="6" t="n">
        <x:f>G6693-H6693</x:f>
        <x:v>0</x:v>
      </x:c>
      <x:c r="J6693" s="6" t="n">
        <x:f>IF(OR(E6693="CANCELED",E6693="SUSPECTED_FRAUD",F6693="Shipping canceled"),0,1)</x:f>
        <x:v>1</x:v>
      </x:c>
      <x:c r="K6693" s="6" t="n">
        <x:f>IF(G6693&gt;H6693,1,0)</x:f>
        <x:v>0</x:v>
      </x:c>
      <x:c r="L6693" s="6" t="n">
        <x:f>J6693*K6693</x:f>
        <x:v>0</x:v>
      </x:c>
    </x:row>
    <x:row r="6694">
      <x:c r="A6694" s="1" t="n">
        <x:v>52699</x:v>
      </x:c>
      <x:c r="B6694" s="5" t="d">
        <x:v>2017-02-08T00:00:00.000Z</x:v>
      </x:c>
      <x:c r="C6694" s="1" t="str">
        <x:v>Standard Class</x:v>
      </x:c>
      <x:c r="D6694" s="1" t="str">
        <x:v>LATAM</x:v>
      </x:c>
      <x:c r="E6694" s="1" t="str">
        <x:v>PROCESSING</x:v>
      </x:c>
      <x:c r="F6694" s="1" t="str">
        <x:v>Late delivery</x:v>
      </x:c>
      <x:c r="G6694" s="6" t="n">
        <x:v>5</x:v>
      </x:c>
      <x:c r="H6694" s="6" t="n">
        <x:v>4</x:v>
      </x:c>
      <x:c r="I6694" s="6" t="n">
        <x:f>G6694-H6694</x:f>
        <x:v>1</x:v>
      </x:c>
      <x:c r="J6694" s="6" t="n">
        <x:f>IF(OR(E6694="CANCELED",E6694="SUSPECTED_FRAUD",F6694="Shipping canceled"),0,1)</x:f>
        <x:v>1</x:v>
      </x:c>
      <x:c r="K6694" s="6" t="n">
        <x:f>IF(G6694&gt;H6694,1,0)</x:f>
        <x:v>1</x:v>
      </x:c>
      <x:c r="L6694" s="6" t="n">
        <x:f>J6694*K6694</x:f>
        <x:v>1</x:v>
      </x:c>
    </x:row>
    <x:row r="6695">
      <x:c r="A6695" s="1" t="n">
        <x:v>52704</x:v>
      </x:c>
      <x:c r="B6695" s="5" t="d">
        <x:v>2017-02-08T00:00:00.000Z</x:v>
      </x:c>
      <x:c r="C6695" s="1" t="str">
        <x:v>Standard Class</x:v>
      </x:c>
      <x:c r="D6695" s="1" t="str">
        <x:v>LATAM</x:v>
      </x:c>
      <x:c r="E6695" s="1" t="str">
        <x:v>CLOSED</x:v>
      </x:c>
      <x:c r="F6695" s="1" t="str">
        <x:v>Late delivery</x:v>
      </x:c>
      <x:c r="G6695" s="6" t="n">
        <x:v>5</x:v>
      </x:c>
      <x:c r="H6695" s="6" t="n">
        <x:v>4</x:v>
      </x:c>
      <x:c r="I6695" s="6" t="n">
        <x:f>G6695-H6695</x:f>
        <x:v>1</x:v>
      </x:c>
      <x:c r="J6695" s="6" t="n">
        <x:f>IF(OR(E6695="CANCELED",E6695="SUSPECTED_FRAUD",F6695="Shipping canceled"),0,1)</x:f>
        <x:v>1</x:v>
      </x:c>
      <x:c r="K6695" s="6" t="n">
        <x:f>IF(G6695&gt;H6695,1,0)</x:f>
        <x:v>1</x:v>
      </x:c>
      <x:c r="L6695" s="6" t="n">
        <x:f>J6695*K6695</x:f>
        <x:v>1</x:v>
      </x:c>
    </x:row>
    <x:row r="6696">
      <x:c r="A6696" s="1" t="n">
        <x:v>52719</x:v>
      </x:c>
      <x:c r="B6696" s="5" t="d">
        <x:v>2017-02-08T00:00:00.000Z</x:v>
      </x:c>
      <x:c r="C6696" s="1" t="str">
        <x:v>Standard Class</x:v>
      </x:c>
      <x:c r="D6696" s="1" t="str">
        <x:v>LATAM</x:v>
      </x:c>
      <x:c r="E6696" s="1" t="str">
        <x:v>SUSPECTED_FRAUD</x:v>
      </x:c>
      <x:c r="F6696" s="1" t="str">
        <x:v>Shipping canceled</x:v>
      </x:c>
      <x:c r="G6696" s="6" t="n">
        <x:v>5</x:v>
      </x:c>
      <x:c r="H6696" s="6" t="n">
        <x:v>4</x:v>
      </x:c>
      <x:c r="I6696" s="6" t="n">
        <x:f>G6696-H6696</x:f>
        <x:v>1</x:v>
      </x:c>
      <x:c r="J6696" s="6" t="n">
        <x:f>IF(OR(E6696="CANCELED",E6696="SUSPECTED_FRAUD",F6696="Shipping canceled"),0,1)</x:f>
        <x:v>0</x:v>
      </x:c>
      <x:c r="K6696" s="6" t="n">
        <x:f>IF(G6696&gt;H6696,1,0)</x:f>
        <x:v>1</x:v>
      </x:c>
      <x:c r="L6696" s="6" t="n">
        <x:f>J6696*K6696</x:f>
        <x:v>0</x:v>
      </x:c>
    </x:row>
    <x:row r="6697">
      <x:c r="A6697" s="1" t="n">
        <x:v>52727</x:v>
      </x:c>
      <x:c r="B6697" s="5" t="d">
        <x:v>2017-02-08T00:00:00.000Z</x:v>
      </x:c>
      <x:c r="C6697" s="1" t="str">
        <x:v>Second Class</x:v>
      </x:c>
      <x:c r="D6697" s="1" t="str">
        <x:v>LATAM</x:v>
      </x:c>
      <x:c r="E6697" s="1" t="str">
        <x:v>COMPLETE</x:v>
      </x:c>
      <x:c r="F6697" s="1" t="str">
        <x:v>Late delivery</x:v>
      </x:c>
      <x:c r="G6697" s="6" t="n">
        <x:v>3</x:v>
      </x:c>
      <x:c r="H6697" s="6" t="n">
        <x:v>2</x:v>
      </x:c>
      <x:c r="I6697" s="6" t="n">
        <x:f>G6697-H6697</x:f>
        <x:v>1</x:v>
      </x:c>
      <x:c r="J6697" s="6" t="n">
        <x:f>IF(OR(E6697="CANCELED",E6697="SUSPECTED_FRAUD",F6697="Shipping canceled"),0,1)</x:f>
        <x:v>1</x:v>
      </x:c>
      <x:c r="K6697" s="6" t="n">
        <x:f>IF(G6697&gt;H6697,1,0)</x:f>
        <x:v>1</x:v>
      </x:c>
      <x:c r="L6697" s="6" t="n">
        <x:f>J6697*K6697</x:f>
        <x:v>1</x:v>
      </x:c>
    </x:row>
    <x:row r="6698">
      <x:c r="A6698" s="1" t="n">
        <x:v>52728</x:v>
      </x:c>
      <x:c r="B6698" s="5" t="d">
        <x:v>2017-02-08T00:00:00.000Z</x:v>
      </x:c>
      <x:c r="C6698" s="1" t="str">
        <x:v>Standard Class</x:v>
      </x:c>
      <x:c r="D6698" s="1" t="str">
        <x:v>LATAM</x:v>
      </x:c>
      <x:c r="E6698" s="1" t="str">
        <x:v>ON_HOLD</x:v>
      </x:c>
      <x:c r="F6698" s="1" t="str">
        <x:v>Shipping on time</x:v>
      </x:c>
      <x:c r="G6698" s="6" t="n">
        <x:v>4</x:v>
      </x:c>
      <x:c r="H6698" s="6" t="n">
        <x:v>4</x:v>
      </x:c>
      <x:c r="I6698" s="6" t="n">
        <x:f>G6698-H6698</x:f>
        <x:v>0</x:v>
      </x:c>
      <x:c r="J6698" s="6" t="n">
        <x:f>IF(OR(E6698="CANCELED",E6698="SUSPECTED_FRAUD",F6698="Shipping canceled"),0,1)</x:f>
        <x:v>1</x:v>
      </x:c>
      <x:c r="K6698" s="6" t="n">
        <x:f>IF(G6698&gt;H6698,1,0)</x:f>
        <x:v>0</x:v>
      </x:c>
      <x:c r="L6698" s="6" t="n">
        <x:f>J6698*K6698</x:f>
        <x:v>0</x:v>
      </x:c>
    </x:row>
    <x:row r="6699">
      <x:c r="A6699" s="1" t="n">
        <x:v>52744</x:v>
      </x:c>
      <x:c r="B6699" s="5" t="d">
        <x:v>2017-02-08T00:00:00.000Z</x:v>
      </x:c>
      <x:c r="C6699" s="1" t="str">
        <x:v>Standard Class</x:v>
      </x:c>
      <x:c r="D6699" s="1" t="str">
        <x:v>LATAM</x:v>
      </x:c>
      <x:c r="E6699" s="1" t="str">
        <x:v>COMPLETE</x:v>
      </x:c>
      <x:c r="F6699" s="1" t="str">
        <x:v>Late delivery</x:v>
      </x:c>
      <x:c r="G6699" s="6" t="n">
        <x:v>5</x:v>
      </x:c>
      <x:c r="H6699" s="6" t="n">
        <x:v>4</x:v>
      </x:c>
      <x:c r="I6699" s="6" t="n">
        <x:f>G6699-H6699</x:f>
        <x:v>1</x:v>
      </x:c>
      <x:c r="J6699" s="6" t="n">
        <x:f>IF(OR(E6699="CANCELED",E6699="SUSPECTED_FRAUD",F6699="Shipping canceled"),0,1)</x:f>
        <x:v>1</x:v>
      </x:c>
      <x:c r="K6699" s="6" t="n">
        <x:f>IF(G6699&gt;H6699,1,0)</x:f>
        <x:v>1</x:v>
      </x:c>
      <x:c r="L6699" s="6" t="n">
        <x:f>J6699*K6699</x:f>
        <x:v>1</x:v>
      </x:c>
    </x:row>
    <x:row r="6700">
      <x:c r="A6700" s="1" t="n">
        <x:v>52767</x:v>
      </x:c>
      <x:c r="B6700" s="5" t="d">
        <x:v>2017-02-09T00:00:00.000Z</x:v>
      </x:c>
      <x:c r="C6700" s="1" t="str">
        <x:v>Standard Class</x:v>
      </x:c>
      <x:c r="D6700" s="1" t="str">
        <x:v>LATAM</x:v>
      </x:c>
      <x:c r="E6700" s="1" t="str">
        <x:v>COMPLETE</x:v>
      </x:c>
      <x:c r="F6700" s="1" t="str">
        <x:v>Advance shipping</x:v>
      </x:c>
      <x:c r="G6700" s="6" t="n">
        <x:v>3</x:v>
      </x:c>
      <x:c r="H6700" s="6" t="n">
        <x:v>4</x:v>
      </x:c>
      <x:c r="I6700" s="6" t="n">
        <x:f>G6700-H6700</x:f>
        <x:v>-1</x:v>
      </x:c>
      <x:c r="J6700" s="6" t="n">
        <x:f>IF(OR(E6700="CANCELED",E6700="SUSPECTED_FRAUD",F6700="Shipping canceled"),0,1)</x:f>
        <x:v>1</x:v>
      </x:c>
      <x:c r="K6700" s="6" t="n">
        <x:f>IF(G6700&gt;H6700,1,0)</x:f>
        <x:v>0</x:v>
      </x:c>
      <x:c r="L6700" s="6" t="n">
        <x:f>J6700*K6700</x:f>
        <x:v>0</x:v>
      </x:c>
    </x:row>
    <x:row r="6701">
      <x:c r="A6701" s="1" t="n">
        <x:v>52772</x:v>
      </x:c>
      <x:c r="B6701" s="5" t="d">
        <x:v>2017-02-09T00:00:00.000Z</x:v>
      </x:c>
      <x:c r="C6701" s="1" t="str">
        <x:v>Standard Class</x:v>
      </x:c>
      <x:c r="D6701" s="1" t="str">
        <x:v>LATAM</x:v>
      </x:c>
      <x:c r="E6701" s="1" t="str">
        <x:v>SUSPECTED_FRAUD</x:v>
      </x:c>
      <x:c r="F6701" s="1" t="str">
        <x:v>Shipping canceled</x:v>
      </x:c>
      <x:c r="G6701" s="6" t="n">
        <x:v>3</x:v>
      </x:c>
      <x:c r="H6701" s="6" t="n">
        <x:v>4</x:v>
      </x:c>
      <x:c r="I6701" s="6" t="n">
        <x:f>G6701-H6701</x:f>
        <x:v>-1</x:v>
      </x:c>
      <x:c r="J6701" s="6" t="n">
        <x:f>IF(OR(E6701="CANCELED",E6701="SUSPECTED_FRAUD",F6701="Shipping canceled"),0,1)</x:f>
        <x:v>0</x:v>
      </x:c>
      <x:c r="K6701" s="6" t="n">
        <x:f>IF(G6701&gt;H6701,1,0)</x:f>
        <x:v>0</x:v>
      </x:c>
      <x:c r="L6701" s="6" t="n">
        <x:f>J6701*K6701</x:f>
        <x:v>0</x:v>
      </x:c>
    </x:row>
    <x:row r="6702">
      <x:c r="A6702" s="1" t="n">
        <x:v>52773</x:v>
      </x:c>
      <x:c r="B6702" s="5" t="d">
        <x:v>2017-02-09T00:00:00.000Z</x:v>
      </x:c>
      <x:c r="C6702" s="1" t="str">
        <x:v>Standard Class</x:v>
      </x:c>
      <x:c r="D6702" s="1" t="str">
        <x:v>LATAM</x:v>
      </x:c>
      <x:c r="E6702" s="1" t="str">
        <x:v>CLOSED</x:v>
      </x:c>
      <x:c r="F6702" s="1" t="str">
        <x:v>Shipping on time</x:v>
      </x:c>
      <x:c r="G6702" s="6" t="n">
        <x:v>4</x:v>
      </x:c>
      <x:c r="H6702" s="6" t="n">
        <x:v>4</x:v>
      </x:c>
      <x:c r="I6702" s="6" t="n">
        <x:f>G6702-H6702</x:f>
        <x:v>0</x:v>
      </x:c>
      <x:c r="J6702" s="6" t="n">
        <x:f>IF(OR(E6702="CANCELED",E6702="SUSPECTED_FRAUD",F6702="Shipping canceled"),0,1)</x:f>
        <x:v>1</x:v>
      </x:c>
      <x:c r="K6702" s="6" t="n">
        <x:f>IF(G6702&gt;H6702,1,0)</x:f>
        <x:v>0</x:v>
      </x:c>
      <x:c r="L6702" s="6" t="n">
        <x:f>J6702*K6702</x:f>
        <x:v>0</x:v>
      </x:c>
    </x:row>
    <x:row r="6703">
      <x:c r="A6703" s="1" t="n">
        <x:v>52780</x:v>
      </x:c>
      <x:c r="B6703" s="5" t="d">
        <x:v>2017-02-09T00:00:00.000Z</x:v>
      </x:c>
      <x:c r="C6703" s="1" t="str">
        <x:v>Second Class</x:v>
      </x:c>
      <x:c r="D6703" s="1" t="str">
        <x:v>LATAM</x:v>
      </x:c>
      <x:c r="E6703" s="1" t="str">
        <x:v>CLOSED</x:v>
      </x:c>
      <x:c r="F6703" s="1" t="str">
        <x:v>Late delivery</x:v>
      </x:c>
      <x:c r="G6703" s="6" t="n">
        <x:v>6</x:v>
      </x:c>
      <x:c r="H6703" s="6" t="n">
        <x:v>2</x:v>
      </x:c>
      <x:c r="I6703" s="6" t="n">
        <x:f>G6703-H6703</x:f>
        <x:v>4</x:v>
      </x:c>
      <x:c r="J6703" s="6" t="n">
        <x:f>IF(OR(E6703="CANCELED",E6703="SUSPECTED_FRAUD",F6703="Shipping canceled"),0,1)</x:f>
        <x:v>1</x:v>
      </x:c>
      <x:c r="K6703" s="6" t="n">
        <x:f>IF(G6703&gt;H6703,1,0)</x:f>
        <x:v>1</x:v>
      </x:c>
      <x:c r="L6703" s="6" t="n">
        <x:f>J6703*K6703</x:f>
        <x:v>1</x:v>
      </x:c>
    </x:row>
    <x:row r="6704">
      <x:c r="A6704" s="1" t="n">
        <x:v>52788</x:v>
      </x:c>
      <x:c r="B6704" s="5" t="d">
        <x:v>2017-02-09T00:00:00.000Z</x:v>
      </x:c>
      <x:c r="C6704" s="1" t="str">
        <x:v>Standard Class</x:v>
      </x:c>
      <x:c r="D6704" s="1" t="str">
        <x:v>LATAM</x:v>
      </x:c>
      <x:c r="E6704" s="1" t="str">
        <x:v>PROCESSING</x:v>
      </x:c>
      <x:c r="F6704" s="1" t="str">
        <x:v>Shipping on time</x:v>
      </x:c>
      <x:c r="G6704" s="6" t="n">
        <x:v>4</x:v>
      </x:c>
      <x:c r="H6704" s="6" t="n">
        <x:v>4</x:v>
      </x:c>
      <x:c r="I6704" s="6" t="n">
        <x:f>G6704-H6704</x:f>
        <x:v>0</x:v>
      </x:c>
      <x:c r="J6704" s="6" t="n">
        <x:f>IF(OR(E6704="CANCELED",E6704="SUSPECTED_FRAUD",F6704="Shipping canceled"),0,1)</x:f>
        <x:v>1</x:v>
      </x:c>
      <x:c r="K6704" s="6" t="n">
        <x:f>IF(G6704&gt;H6704,1,0)</x:f>
        <x:v>0</x:v>
      </x:c>
      <x:c r="L6704" s="6" t="n">
        <x:f>J6704*K6704</x:f>
        <x:v>0</x:v>
      </x:c>
    </x:row>
    <x:row r="6705">
      <x:c r="A6705" s="1" t="n">
        <x:v>52792</x:v>
      </x:c>
      <x:c r="B6705" s="5" t="d">
        <x:v>2017-02-09T00:00:00.000Z</x:v>
      </x:c>
      <x:c r="C6705" s="1" t="str">
        <x:v>Standard Class</x:v>
      </x:c>
      <x:c r="D6705" s="1" t="str">
        <x:v>LATAM</x:v>
      </x:c>
      <x:c r="E6705" s="1" t="str">
        <x:v>COMPLETE</x:v>
      </x:c>
      <x:c r="F6705" s="1" t="str">
        <x:v>Advance shipping</x:v>
      </x:c>
      <x:c r="G6705" s="6" t="n">
        <x:v>3</x:v>
      </x:c>
      <x:c r="H6705" s="6" t="n">
        <x:v>4</x:v>
      </x:c>
      <x:c r="I6705" s="6" t="n">
        <x:f>G6705-H6705</x:f>
        <x:v>-1</x:v>
      </x:c>
      <x:c r="J6705" s="6" t="n">
        <x:f>IF(OR(E6705="CANCELED",E6705="SUSPECTED_FRAUD",F6705="Shipping canceled"),0,1)</x:f>
        <x:v>1</x:v>
      </x:c>
      <x:c r="K6705" s="6" t="n">
        <x:f>IF(G6705&gt;H6705,1,0)</x:f>
        <x:v>0</x:v>
      </x:c>
      <x:c r="L6705" s="6" t="n">
        <x:f>J6705*K6705</x:f>
        <x:v>0</x:v>
      </x:c>
    </x:row>
    <x:row r="6706">
      <x:c r="A6706" s="1" t="n">
        <x:v>52798</x:v>
      </x:c>
      <x:c r="B6706" s="5" t="d">
        <x:v>2017-02-09T00:00:00.000Z</x:v>
      </x:c>
      <x:c r="C6706" s="1" t="str">
        <x:v>Same Day</x:v>
      </x:c>
      <x:c r="D6706" s="1" t="str">
        <x:v>LATAM</x:v>
      </x:c>
      <x:c r="E6706" s="1" t="str">
        <x:v>COMPLETE</x:v>
      </x:c>
      <x:c r="F6706" s="1" t="str">
        <x:v>Late delivery</x:v>
      </x:c>
      <x:c r="G6706" s="6" t="n">
        <x:v>1</x:v>
      </x:c>
      <x:c r="H6706" s="6" t="n">
        <x:v>0</x:v>
      </x:c>
      <x:c r="I6706" s="6" t="n">
        <x:f>G6706-H6706</x:f>
        <x:v>1</x:v>
      </x:c>
      <x:c r="J6706" s="6" t="n">
        <x:f>IF(OR(E6706="CANCELED",E6706="SUSPECTED_FRAUD",F6706="Shipping canceled"),0,1)</x:f>
        <x:v>1</x:v>
      </x:c>
      <x:c r="K6706" s="6" t="n">
        <x:f>IF(G6706&gt;H6706,1,0)</x:f>
        <x:v>1</x:v>
      </x:c>
      <x:c r="L6706" s="6" t="n">
        <x:f>J6706*K6706</x:f>
        <x:v>1</x:v>
      </x:c>
    </x:row>
    <x:row r="6707">
      <x:c r="A6707" s="1" t="n">
        <x:v>52803</x:v>
      </x:c>
      <x:c r="B6707" s="5" t="d">
        <x:v>2017-02-09T00:00:00.000Z</x:v>
      </x:c>
      <x:c r="C6707" s="1" t="str">
        <x:v>Second Class</x:v>
      </x:c>
      <x:c r="D6707" s="1" t="str">
        <x:v>LATAM</x:v>
      </x:c>
      <x:c r="E6707" s="1" t="str">
        <x:v>ON_HOLD</x:v>
      </x:c>
      <x:c r="F6707" s="1" t="str">
        <x:v>Late delivery</x:v>
      </x:c>
      <x:c r="G6707" s="6" t="n">
        <x:v>4</x:v>
      </x:c>
      <x:c r="H6707" s="6" t="n">
        <x:v>2</x:v>
      </x:c>
      <x:c r="I6707" s="6" t="n">
        <x:f>G6707-H6707</x:f>
        <x:v>2</x:v>
      </x:c>
      <x:c r="J6707" s="6" t="n">
        <x:f>IF(OR(E6707="CANCELED",E6707="SUSPECTED_FRAUD",F6707="Shipping canceled"),0,1)</x:f>
        <x:v>1</x:v>
      </x:c>
      <x:c r="K6707" s="6" t="n">
        <x:f>IF(G6707&gt;H6707,1,0)</x:f>
        <x:v>1</x:v>
      </x:c>
      <x:c r="L6707" s="6" t="n">
        <x:f>J6707*K6707</x:f>
        <x:v>1</x:v>
      </x:c>
    </x:row>
    <x:row r="6708">
      <x:c r="A6708" s="1" t="n">
        <x:v>52817</x:v>
      </x:c>
      <x:c r="B6708" s="5" t="d">
        <x:v>2017-02-09T00:00:00.000Z</x:v>
      </x:c>
      <x:c r="C6708" s="1" t="str">
        <x:v>Standard Class</x:v>
      </x:c>
      <x:c r="D6708" s="1" t="str">
        <x:v>LATAM</x:v>
      </x:c>
      <x:c r="E6708" s="1" t="str">
        <x:v>COMPLETE</x:v>
      </x:c>
      <x:c r="F6708" s="1" t="str">
        <x:v>Advance shipping</x:v>
      </x:c>
      <x:c r="G6708" s="6" t="n">
        <x:v>3</x:v>
      </x:c>
      <x:c r="H6708" s="6" t="n">
        <x:v>4</x:v>
      </x:c>
      <x:c r="I6708" s="6" t="n">
        <x:f>G6708-H6708</x:f>
        <x:v>-1</x:v>
      </x:c>
      <x:c r="J6708" s="6" t="n">
        <x:f>IF(OR(E6708="CANCELED",E6708="SUSPECTED_FRAUD",F6708="Shipping canceled"),0,1)</x:f>
        <x:v>1</x:v>
      </x:c>
      <x:c r="K6708" s="6" t="n">
        <x:f>IF(G6708&gt;H6708,1,0)</x:f>
        <x:v>0</x:v>
      </x:c>
      <x:c r="L6708" s="6" t="n">
        <x:f>J6708*K6708</x:f>
        <x:v>0</x:v>
      </x:c>
    </x:row>
    <x:row r="6709">
      <x:c r="A6709" s="1" t="n">
        <x:v>52823</x:v>
      </x:c>
      <x:c r="B6709" s="5" t="d">
        <x:v>2017-02-10T00:00:00.000Z</x:v>
      </x:c>
      <x:c r="C6709" s="1" t="str">
        <x:v>Standard Class</x:v>
      </x:c>
      <x:c r="D6709" s="1" t="str">
        <x:v>LATAM</x:v>
      </x:c>
      <x:c r="E6709" s="1" t="str">
        <x:v>COMPLETE</x:v>
      </x:c>
      <x:c r="F6709" s="1" t="str">
        <x:v>Shipping on time</x:v>
      </x:c>
      <x:c r="G6709" s="6" t="n">
        <x:v>4</x:v>
      </x:c>
      <x:c r="H6709" s="6" t="n">
        <x:v>4</x:v>
      </x:c>
      <x:c r="I6709" s="6" t="n">
        <x:f>G6709-H6709</x:f>
        <x:v>0</x:v>
      </x:c>
      <x:c r="J6709" s="6" t="n">
        <x:f>IF(OR(E6709="CANCELED",E6709="SUSPECTED_FRAUD",F6709="Shipping canceled"),0,1)</x:f>
        <x:v>1</x:v>
      </x:c>
      <x:c r="K6709" s="6" t="n">
        <x:f>IF(G6709&gt;H6709,1,0)</x:f>
        <x:v>0</x:v>
      </x:c>
      <x:c r="L6709" s="6" t="n">
        <x:f>J6709*K6709</x:f>
        <x:v>0</x:v>
      </x:c>
    </x:row>
    <x:row r="6710">
      <x:c r="A6710" s="1" t="n">
        <x:v>52824</x:v>
      </x:c>
      <x:c r="B6710" s="5" t="d">
        <x:v>2017-02-10T00:00:00.000Z</x:v>
      </x:c>
      <x:c r="C6710" s="1" t="str">
        <x:v>First Class</x:v>
      </x:c>
      <x:c r="D6710" s="1" t="str">
        <x:v>LATAM</x:v>
      </x:c>
      <x:c r="E6710" s="1" t="str">
        <x:v>PENDING_PAYMENT</x:v>
      </x:c>
      <x:c r="F6710" s="1" t="str">
        <x:v>Late delivery</x:v>
      </x:c>
      <x:c r="G6710" s="6" t="n">
        <x:v>2</x:v>
      </x:c>
      <x:c r="H6710" s="6" t="n">
        <x:v>1</x:v>
      </x:c>
      <x:c r="I6710" s="6" t="n">
        <x:f>G6710-H6710</x:f>
        <x:v>1</x:v>
      </x:c>
      <x:c r="J6710" s="6" t="n">
        <x:f>IF(OR(E6710="CANCELED",E6710="SUSPECTED_FRAUD",F6710="Shipping canceled"),0,1)</x:f>
        <x:v>1</x:v>
      </x:c>
      <x:c r="K6710" s="6" t="n">
        <x:f>IF(G6710&gt;H6710,1,0)</x:f>
        <x:v>1</x:v>
      </x:c>
      <x:c r="L6710" s="6" t="n">
        <x:f>J6710*K6710</x:f>
        <x:v>1</x:v>
      </x:c>
    </x:row>
    <x:row r="6711">
      <x:c r="A6711" s="1" t="n">
        <x:v>52829</x:v>
      </x:c>
      <x:c r="B6711" s="5" t="d">
        <x:v>2017-02-10T00:00:00.000Z</x:v>
      </x:c>
      <x:c r="C6711" s="1" t="str">
        <x:v>Second Class</x:v>
      </x:c>
      <x:c r="D6711" s="1" t="str">
        <x:v>LATAM</x:v>
      </x:c>
      <x:c r="E6711" s="1" t="str">
        <x:v>PROCESSING</x:v>
      </x:c>
      <x:c r="F6711" s="1" t="str">
        <x:v>Late delivery</x:v>
      </x:c>
      <x:c r="G6711" s="6" t="n">
        <x:v>5</x:v>
      </x:c>
      <x:c r="H6711" s="6" t="n">
        <x:v>2</x:v>
      </x:c>
      <x:c r="I6711" s="6" t="n">
        <x:f>G6711-H6711</x:f>
        <x:v>3</x:v>
      </x:c>
      <x:c r="J6711" s="6" t="n">
        <x:f>IF(OR(E6711="CANCELED",E6711="SUSPECTED_FRAUD",F6711="Shipping canceled"),0,1)</x:f>
        <x:v>1</x:v>
      </x:c>
      <x:c r="K6711" s="6" t="n">
        <x:f>IF(G6711&gt;H6711,1,0)</x:f>
        <x:v>1</x:v>
      </x:c>
      <x:c r="L6711" s="6" t="n">
        <x:f>J6711*K6711</x:f>
        <x:v>1</x:v>
      </x:c>
    </x:row>
    <x:row r="6712">
      <x:c r="A6712" s="1" t="n">
        <x:v>52832</x:v>
      </x:c>
      <x:c r="B6712" s="5" t="d">
        <x:v>2017-02-10T00:00:00.000Z</x:v>
      </x:c>
      <x:c r="C6712" s="1" t="str">
        <x:v>Standard Class</x:v>
      </x:c>
      <x:c r="D6712" s="1" t="str">
        <x:v>LATAM</x:v>
      </x:c>
      <x:c r="E6712" s="1" t="str">
        <x:v>ON_HOLD</x:v>
      </x:c>
      <x:c r="F6712" s="1" t="str">
        <x:v>Advance shipping</x:v>
      </x:c>
      <x:c r="G6712" s="6" t="n">
        <x:v>3</x:v>
      </x:c>
      <x:c r="H6712" s="6" t="n">
        <x:v>4</x:v>
      </x:c>
      <x:c r="I6712" s="6" t="n">
        <x:f>G6712-H6712</x:f>
        <x:v>-1</x:v>
      </x:c>
      <x:c r="J6712" s="6" t="n">
        <x:f>IF(OR(E6712="CANCELED",E6712="SUSPECTED_FRAUD",F6712="Shipping canceled"),0,1)</x:f>
        <x:v>1</x:v>
      </x:c>
      <x:c r="K6712" s="6" t="n">
        <x:f>IF(G6712&gt;H6712,1,0)</x:f>
        <x:v>0</x:v>
      </x:c>
      <x:c r="L6712" s="6" t="n">
        <x:f>J6712*K6712</x:f>
        <x:v>0</x:v>
      </x:c>
    </x:row>
    <x:row r="6713">
      <x:c r="A6713" s="1" t="n">
        <x:v>52834</x:v>
      </x:c>
      <x:c r="B6713" s="5" t="d">
        <x:v>2017-02-10T00:00:00.000Z</x:v>
      </x:c>
      <x:c r="C6713" s="1" t="str">
        <x:v>Standard Class</x:v>
      </x:c>
      <x:c r="D6713" s="1" t="str">
        <x:v>LATAM</x:v>
      </x:c>
      <x:c r="E6713" s="1" t="str">
        <x:v>PENDING_PAYMENT</x:v>
      </x:c>
      <x:c r="F6713" s="1" t="str">
        <x:v>Late delivery</x:v>
      </x:c>
      <x:c r="G6713" s="6" t="n">
        <x:v>5</x:v>
      </x:c>
      <x:c r="H6713" s="6" t="n">
        <x:v>4</x:v>
      </x:c>
      <x:c r="I6713" s="6" t="n">
        <x:f>G6713-H6713</x:f>
        <x:v>1</x:v>
      </x:c>
      <x:c r="J6713" s="6" t="n">
        <x:f>IF(OR(E6713="CANCELED",E6713="SUSPECTED_FRAUD",F6713="Shipping canceled"),0,1)</x:f>
        <x:v>1</x:v>
      </x:c>
      <x:c r="K6713" s="6" t="n">
        <x:f>IF(G6713&gt;H6713,1,0)</x:f>
        <x:v>1</x:v>
      </x:c>
      <x:c r="L6713" s="6" t="n">
        <x:f>J6713*K6713</x:f>
        <x:v>1</x:v>
      </x:c>
    </x:row>
    <x:row r="6714">
      <x:c r="A6714" s="1" t="n">
        <x:v>52844</x:v>
      </x:c>
      <x:c r="B6714" s="5" t="d">
        <x:v>2017-02-10T00:00:00.000Z</x:v>
      </x:c>
      <x:c r="C6714" s="1" t="str">
        <x:v>Standard Class</x:v>
      </x:c>
      <x:c r="D6714" s="1" t="str">
        <x:v>LATAM</x:v>
      </x:c>
      <x:c r="E6714" s="1" t="str">
        <x:v>PROCESSING</x:v>
      </x:c>
      <x:c r="F6714" s="1" t="str">
        <x:v>Late delivery</x:v>
      </x:c>
      <x:c r="G6714" s="6" t="n">
        <x:v>5</x:v>
      </x:c>
      <x:c r="H6714" s="6" t="n">
        <x:v>4</x:v>
      </x:c>
      <x:c r="I6714" s="6" t="n">
        <x:f>G6714-H6714</x:f>
        <x:v>1</x:v>
      </x:c>
      <x:c r="J6714" s="6" t="n">
        <x:f>IF(OR(E6714="CANCELED",E6714="SUSPECTED_FRAUD",F6714="Shipping canceled"),0,1)</x:f>
        <x:v>1</x:v>
      </x:c>
      <x:c r="K6714" s="6" t="n">
        <x:f>IF(G6714&gt;H6714,1,0)</x:f>
        <x:v>1</x:v>
      </x:c>
      <x:c r="L6714" s="6" t="n">
        <x:f>J6714*K6714</x:f>
        <x:v>1</x:v>
      </x:c>
    </x:row>
    <x:row r="6715">
      <x:c r="A6715" s="1" t="n">
        <x:v>52845</x:v>
      </x:c>
      <x:c r="B6715" s="5" t="d">
        <x:v>2017-02-10T00:00:00.000Z</x:v>
      </x:c>
      <x:c r="C6715" s="1" t="str">
        <x:v>Standard Class</x:v>
      </x:c>
      <x:c r="D6715" s="1" t="str">
        <x:v>LATAM</x:v>
      </x:c>
      <x:c r="E6715" s="1" t="str">
        <x:v>CLOSED</x:v>
      </x:c>
      <x:c r="F6715" s="1" t="str">
        <x:v>Late delivery</x:v>
      </x:c>
      <x:c r="G6715" s="6" t="n">
        <x:v>6</x:v>
      </x:c>
      <x:c r="H6715" s="6" t="n">
        <x:v>4</x:v>
      </x:c>
      <x:c r="I6715" s="6" t="n">
        <x:f>G6715-H6715</x:f>
        <x:v>2</x:v>
      </x:c>
      <x:c r="J6715" s="6" t="n">
        <x:f>IF(OR(E6715="CANCELED",E6715="SUSPECTED_FRAUD",F6715="Shipping canceled"),0,1)</x:f>
        <x:v>1</x:v>
      </x:c>
      <x:c r="K6715" s="6" t="n">
        <x:f>IF(G6715&gt;H6715,1,0)</x:f>
        <x:v>1</x:v>
      </x:c>
      <x:c r="L6715" s="6" t="n">
        <x:f>J6715*K6715</x:f>
        <x:v>1</x:v>
      </x:c>
    </x:row>
    <x:row r="6716">
      <x:c r="A6716" s="1" t="n">
        <x:v>52849</x:v>
      </x:c>
      <x:c r="B6716" s="5" t="d">
        <x:v>2017-02-10T00:00:00.000Z</x:v>
      </x:c>
      <x:c r="C6716" s="1" t="str">
        <x:v>Second Class</x:v>
      </x:c>
      <x:c r="D6716" s="1" t="str">
        <x:v>LATAM</x:v>
      </x:c>
      <x:c r="E6716" s="1" t="str">
        <x:v>COMPLETE</x:v>
      </x:c>
      <x:c r="F6716" s="1" t="str">
        <x:v>Late delivery</x:v>
      </x:c>
      <x:c r="G6716" s="6" t="n">
        <x:v>5</x:v>
      </x:c>
      <x:c r="H6716" s="6" t="n">
        <x:v>2</x:v>
      </x:c>
      <x:c r="I6716" s="6" t="n">
        <x:f>G6716-H6716</x:f>
        <x:v>3</x:v>
      </x:c>
      <x:c r="J6716" s="6" t="n">
        <x:f>IF(OR(E6716="CANCELED",E6716="SUSPECTED_FRAUD",F6716="Shipping canceled"),0,1)</x:f>
        <x:v>1</x:v>
      </x:c>
      <x:c r="K6716" s="6" t="n">
        <x:f>IF(G6716&gt;H6716,1,0)</x:f>
        <x:v>1</x:v>
      </x:c>
      <x:c r="L6716" s="6" t="n">
        <x:f>J6716*K6716</x:f>
        <x:v>1</x:v>
      </x:c>
    </x:row>
    <x:row r="6717">
      <x:c r="A6717" s="1" t="n">
        <x:v>52855</x:v>
      </x:c>
      <x:c r="B6717" s="5" t="d">
        <x:v>2017-02-10T00:00:00.000Z</x:v>
      </x:c>
      <x:c r="C6717" s="1" t="str">
        <x:v>Standard Class</x:v>
      </x:c>
      <x:c r="D6717" s="1" t="str">
        <x:v>LATAM</x:v>
      </x:c>
      <x:c r="E6717" s="1" t="str">
        <x:v>PENDING</x:v>
      </x:c>
      <x:c r="F6717" s="1" t="str">
        <x:v>Late delivery</x:v>
      </x:c>
      <x:c r="G6717" s="6" t="n">
        <x:v>6</x:v>
      </x:c>
      <x:c r="H6717" s="6" t="n">
        <x:v>4</x:v>
      </x:c>
      <x:c r="I6717" s="6" t="n">
        <x:f>G6717-H6717</x:f>
        <x:v>2</x:v>
      </x:c>
      <x:c r="J6717" s="6" t="n">
        <x:f>IF(OR(E6717="CANCELED",E6717="SUSPECTED_FRAUD",F6717="Shipping canceled"),0,1)</x:f>
        <x:v>1</x:v>
      </x:c>
      <x:c r="K6717" s="6" t="n">
        <x:f>IF(G6717&gt;H6717,1,0)</x:f>
        <x:v>1</x:v>
      </x:c>
      <x:c r="L6717" s="6" t="n">
        <x:f>J6717*K6717</x:f>
        <x:v>1</x:v>
      </x:c>
    </x:row>
    <x:row r="6718">
      <x:c r="A6718" s="1" t="n">
        <x:v>52860</x:v>
      </x:c>
      <x:c r="B6718" s="5" t="d">
        <x:v>2017-02-10T00:00:00.000Z</x:v>
      </x:c>
      <x:c r="C6718" s="1" t="str">
        <x:v>Standard Class</x:v>
      </x:c>
      <x:c r="D6718" s="1" t="str">
        <x:v>LATAM</x:v>
      </x:c>
      <x:c r="E6718" s="1" t="str">
        <x:v>PENDING_PAYMENT</x:v>
      </x:c>
      <x:c r="F6718" s="1" t="str">
        <x:v>Late delivery</x:v>
      </x:c>
      <x:c r="G6718" s="6" t="n">
        <x:v>6</x:v>
      </x:c>
      <x:c r="H6718" s="6" t="n">
        <x:v>4</x:v>
      </x:c>
      <x:c r="I6718" s="6" t="n">
        <x:f>G6718-H6718</x:f>
        <x:v>2</x:v>
      </x:c>
      <x:c r="J6718" s="6" t="n">
        <x:f>IF(OR(E6718="CANCELED",E6718="SUSPECTED_FRAUD",F6718="Shipping canceled"),0,1)</x:f>
        <x:v>1</x:v>
      </x:c>
      <x:c r="K6718" s="6" t="n">
        <x:f>IF(G6718&gt;H6718,1,0)</x:f>
        <x:v>1</x:v>
      </x:c>
      <x:c r="L6718" s="6" t="n">
        <x:f>J6718*K6718</x:f>
        <x:v>1</x:v>
      </x:c>
    </x:row>
    <x:row r="6719">
      <x:c r="A6719" s="1" t="n">
        <x:v>52862</x:v>
      </x:c>
      <x:c r="B6719" s="5" t="d">
        <x:v>2017-02-10T00:00:00.000Z</x:v>
      </x:c>
      <x:c r="C6719" s="1" t="str">
        <x:v>Standard Class</x:v>
      </x:c>
      <x:c r="D6719" s="1" t="str">
        <x:v>LATAM</x:v>
      </x:c>
      <x:c r="E6719" s="1" t="str">
        <x:v>PENDING</x:v>
      </x:c>
      <x:c r="F6719" s="1" t="str">
        <x:v>Advance shipping</x:v>
      </x:c>
      <x:c r="G6719" s="6" t="n">
        <x:v>3</x:v>
      </x:c>
      <x:c r="H6719" s="6" t="n">
        <x:v>4</x:v>
      </x:c>
      <x:c r="I6719" s="6" t="n">
        <x:f>G6719-H6719</x:f>
        <x:v>-1</x:v>
      </x:c>
      <x:c r="J6719" s="6" t="n">
        <x:f>IF(OR(E6719="CANCELED",E6719="SUSPECTED_FRAUD",F6719="Shipping canceled"),0,1)</x:f>
        <x:v>1</x:v>
      </x:c>
      <x:c r="K6719" s="6" t="n">
        <x:f>IF(G6719&gt;H6719,1,0)</x:f>
        <x:v>0</x:v>
      </x:c>
      <x:c r="L6719" s="6" t="n">
        <x:f>J6719*K6719</x:f>
        <x:v>0</x:v>
      </x:c>
    </x:row>
    <x:row r="6720">
      <x:c r="A6720" s="1" t="n">
        <x:v>52870</x:v>
      </x:c>
      <x:c r="B6720" s="5" t="d">
        <x:v>2017-02-10T00:00:00.000Z</x:v>
      </x:c>
      <x:c r="C6720" s="1" t="str">
        <x:v>Second Class</x:v>
      </x:c>
      <x:c r="D6720" s="1" t="str">
        <x:v>LATAM</x:v>
      </x:c>
      <x:c r="E6720" s="1" t="str">
        <x:v>PENDING</x:v>
      </x:c>
      <x:c r="F6720" s="1" t="str">
        <x:v>Late delivery</x:v>
      </x:c>
      <x:c r="G6720" s="6" t="n">
        <x:v>6</x:v>
      </x:c>
      <x:c r="H6720" s="6" t="n">
        <x:v>2</x:v>
      </x:c>
      <x:c r="I6720" s="6" t="n">
        <x:f>G6720-H6720</x:f>
        <x:v>4</x:v>
      </x:c>
      <x:c r="J6720" s="6" t="n">
        <x:f>IF(OR(E6720="CANCELED",E6720="SUSPECTED_FRAUD",F6720="Shipping canceled"),0,1)</x:f>
        <x:v>1</x:v>
      </x:c>
      <x:c r="K6720" s="6" t="n">
        <x:f>IF(G6720&gt;H6720,1,0)</x:f>
        <x:v>1</x:v>
      </x:c>
      <x:c r="L6720" s="6" t="n">
        <x:f>J6720*K6720</x:f>
        <x:v>1</x:v>
      </x:c>
    </x:row>
    <x:row r="6721">
      <x:c r="A6721" s="1" t="n">
        <x:v>52880</x:v>
      </x:c>
      <x:c r="B6721" s="5" t="d">
        <x:v>2017-02-10T00:00:00.000Z</x:v>
      </x:c>
      <x:c r="C6721" s="1" t="str">
        <x:v>Standard Class</x:v>
      </x:c>
      <x:c r="D6721" s="1" t="str">
        <x:v>LATAM</x:v>
      </x:c>
      <x:c r="E6721" s="1" t="str">
        <x:v>PENDING</x:v>
      </x:c>
      <x:c r="F6721" s="1" t="str">
        <x:v>Late delivery</x:v>
      </x:c>
      <x:c r="G6721" s="6" t="n">
        <x:v>6</x:v>
      </x:c>
      <x:c r="H6721" s="6" t="n">
        <x:v>4</x:v>
      </x:c>
      <x:c r="I6721" s="6" t="n">
        <x:f>G6721-H6721</x:f>
        <x:v>2</x:v>
      </x:c>
      <x:c r="J6721" s="6" t="n">
        <x:f>IF(OR(E6721="CANCELED",E6721="SUSPECTED_FRAUD",F6721="Shipping canceled"),0,1)</x:f>
        <x:v>1</x:v>
      </x:c>
      <x:c r="K6721" s="6" t="n">
        <x:f>IF(G6721&gt;H6721,1,0)</x:f>
        <x:v>1</x:v>
      </x:c>
      <x:c r="L6721" s="6" t="n">
        <x:f>J6721*K6721</x:f>
        <x:v>1</x:v>
      </x:c>
    </x:row>
    <x:row r="6722">
      <x:c r="A6722" s="1" t="n">
        <x:v>52881</x:v>
      </x:c>
      <x:c r="B6722" s="5" t="d">
        <x:v>2017-02-10T00:00:00.000Z</x:v>
      </x:c>
      <x:c r="C6722" s="1" t="str">
        <x:v>Standard Class</x:v>
      </x:c>
      <x:c r="D6722" s="1" t="str">
        <x:v>LATAM</x:v>
      </x:c>
      <x:c r="E6722" s="1" t="str">
        <x:v>PROCESSING</x:v>
      </x:c>
      <x:c r="F6722" s="1" t="str">
        <x:v>Advance shipping</x:v>
      </x:c>
      <x:c r="G6722" s="6" t="n">
        <x:v>2</x:v>
      </x:c>
      <x:c r="H6722" s="6" t="n">
        <x:v>4</x:v>
      </x:c>
      <x:c r="I6722" s="6" t="n">
        <x:f>G6722-H6722</x:f>
        <x:v>-2</x:v>
      </x:c>
      <x:c r="J6722" s="6" t="n">
        <x:f>IF(OR(E6722="CANCELED",E6722="SUSPECTED_FRAUD",F6722="Shipping canceled"),0,1)</x:f>
        <x:v>1</x:v>
      </x:c>
      <x:c r="K6722" s="6" t="n">
        <x:f>IF(G6722&gt;H6722,1,0)</x:f>
        <x:v>0</x:v>
      </x:c>
      <x:c r="L6722" s="6" t="n">
        <x:f>J6722*K6722</x:f>
        <x:v>0</x:v>
      </x:c>
    </x:row>
    <x:row r="6723">
      <x:c r="A6723" s="1" t="n">
        <x:v>52885</x:v>
      </x:c>
      <x:c r="B6723" s="5" t="d">
        <x:v>2017-02-10T00:00:00.000Z</x:v>
      </x:c>
      <x:c r="C6723" s="1" t="str">
        <x:v>Second Class</x:v>
      </x:c>
      <x:c r="D6723" s="1" t="str">
        <x:v>LATAM</x:v>
      </x:c>
      <x:c r="E6723" s="1" t="str">
        <x:v>COMPLETE</x:v>
      </x:c>
      <x:c r="F6723" s="1" t="str">
        <x:v>Late delivery</x:v>
      </x:c>
      <x:c r="G6723" s="6" t="n">
        <x:v>6</x:v>
      </x:c>
      <x:c r="H6723" s="6" t="n">
        <x:v>2</x:v>
      </x:c>
      <x:c r="I6723" s="6" t="n">
        <x:f>G6723-H6723</x:f>
        <x:v>4</x:v>
      </x:c>
      <x:c r="J6723" s="6" t="n">
        <x:f>IF(OR(E6723="CANCELED",E6723="SUSPECTED_FRAUD",F6723="Shipping canceled"),0,1)</x:f>
        <x:v>1</x:v>
      </x:c>
      <x:c r="K6723" s="6" t="n">
        <x:f>IF(G6723&gt;H6723,1,0)</x:f>
        <x:v>1</x:v>
      </x:c>
      <x:c r="L6723" s="6" t="n">
        <x:f>J6723*K6723</x:f>
        <x:v>1</x:v>
      </x:c>
    </x:row>
    <x:row r="6724">
      <x:c r="A6724" s="1" t="n">
        <x:v>52893</x:v>
      </x:c>
      <x:c r="B6724" s="5" t="d">
        <x:v>2017-02-11T00:00:00.000Z</x:v>
      </x:c>
      <x:c r="C6724" s="1" t="str">
        <x:v>Standard Class</x:v>
      </x:c>
      <x:c r="D6724" s="1" t="str">
        <x:v>LATAM</x:v>
      </x:c>
      <x:c r="E6724" s="1" t="str">
        <x:v>COMPLETE</x:v>
      </x:c>
      <x:c r="F6724" s="1" t="str">
        <x:v>Shipping on time</x:v>
      </x:c>
      <x:c r="G6724" s="6" t="n">
        <x:v>4</x:v>
      </x:c>
      <x:c r="H6724" s="6" t="n">
        <x:v>4</x:v>
      </x:c>
      <x:c r="I6724" s="6" t="n">
        <x:f>G6724-H6724</x:f>
        <x:v>0</x:v>
      </x:c>
      <x:c r="J6724" s="6" t="n">
        <x:f>IF(OR(E6724="CANCELED",E6724="SUSPECTED_FRAUD",F6724="Shipping canceled"),0,1)</x:f>
        <x:v>1</x:v>
      </x:c>
      <x:c r="K6724" s="6" t="n">
        <x:f>IF(G6724&gt;H6724,1,0)</x:f>
        <x:v>0</x:v>
      </x:c>
      <x:c r="L6724" s="6" t="n">
        <x:f>J6724*K6724</x:f>
        <x:v>0</x:v>
      </x:c>
    </x:row>
    <x:row r="6725">
      <x:c r="A6725" s="1" t="n">
        <x:v>52913</x:v>
      </x:c>
      <x:c r="B6725" s="5" t="d">
        <x:v>2017-02-11T00:00:00.000Z</x:v>
      </x:c>
      <x:c r="C6725" s="1" t="str">
        <x:v>Standard Class</x:v>
      </x:c>
      <x:c r="D6725" s="1" t="str">
        <x:v>LATAM</x:v>
      </x:c>
      <x:c r="E6725" s="1" t="str">
        <x:v>PENDING_PAYMENT</x:v>
      </x:c>
      <x:c r="F6725" s="1" t="str">
        <x:v>Shipping on time</x:v>
      </x:c>
      <x:c r="G6725" s="6" t="n">
        <x:v>4</x:v>
      </x:c>
      <x:c r="H6725" s="6" t="n">
        <x:v>4</x:v>
      </x:c>
      <x:c r="I6725" s="6" t="n">
        <x:f>G6725-H6725</x:f>
        <x:v>0</x:v>
      </x:c>
      <x:c r="J6725" s="6" t="n">
        <x:f>IF(OR(E6725="CANCELED",E6725="SUSPECTED_FRAUD",F6725="Shipping canceled"),0,1)</x:f>
        <x:v>1</x:v>
      </x:c>
      <x:c r="K6725" s="6" t="n">
        <x:f>IF(G6725&gt;H6725,1,0)</x:f>
        <x:v>0</x:v>
      </x:c>
      <x:c r="L6725" s="6" t="n">
        <x:f>J6725*K6725</x:f>
        <x:v>0</x:v>
      </x:c>
    </x:row>
    <x:row r="6726">
      <x:c r="A6726" s="1" t="n">
        <x:v>52920</x:v>
      </x:c>
      <x:c r="B6726" s="5" t="d">
        <x:v>2017-02-11T00:00:00.000Z</x:v>
      </x:c>
      <x:c r="C6726" s="1" t="str">
        <x:v>Second Class</x:v>
      </x:c>
      <x:c r="D6726" s="1" t="str">
        <x:v>LATAM</x:v>
      </x:c>
      <x:c r="E6726" s="1" t="str">
        <x:v>CLOSED</x:v>
      </x:c>
      <x:c r="F6726" s="1" t="str">
        <x:v>Late delivery</x:v>
      </x:c>
      <x:c r="G6726" s="6" t="n">
        <x:v>6</x:v>
      </x:c>
      <x:c r="H6726" s="6" t="n">
        <x:v>2</x:v>
      </x:c>
      <x:c r="I6726" s="6" t="n">
        <x:f>G6726-H6726</x:f>
        <x:v>4</x:v>
      </x:c>
      <x:c r="J6726" s="6" t="n">
        <x:f>IF(OR(E6726="CANCELED",E6726="SUSPECTED_FRAUD",F6726="Shipping canceled"),0,1)</x:f>
        <x:v>1</x:v>
      </x:c>
      <x:c r="K6726" s="6" t="n">
        <x:f>IF(G6726&gt;H6726,1,0)</x:f>
        <x:v>1</x:v>
      </x:c>
      <x:c r="L6726" s="6" t="n">
        <x:f>J6726*K6726</x:f>
        <x:v>1</x:v>
      </x:c>
    </x:row>
    <x:row r="6727">
      <x:c r="A6727" s="1" t="n">
        <x:v>52958</x:v>
      </x:c>
      <x:c r="B6727" s="5" t="d">
        <x:v>2017-02-12T00:00:00.000Z</x:v>
      </x:c>
      <x:c r="C6727" s="1" t="str">
        <x:v>First Class</x:v>
      </x:c>
      <x:c r="D6727" s="1" t="str">
        <x:v>LATAM</x:v>
      </x:c>
      <x:c r="E6727" s="1" t="str">
        <x:v>CLOSED</x:v>
      </x:c>
      <x:c r="F6727" s="1" t="str">
        <x:v>Late delivery</x:v>
      </x:c>
      <x:c r="G6727" s="6" t="n">
        <x:v>2</x:v>
      </x:c>
      <x:c r="H6727" s="6" t="n">
        <x:v>1</x:v>
      </x:c>
      <x:c r="I6727" s="6" t="n">
        <x:f>G6727-H6727</x:f>
        <x:v>1</x:v>
      </x:c>
      <x:c r="J6727" s="6" t="n">
        <x:f>IF(OR(E6727="CANCELED",E6727="SUSPECTED_FRAUD",F6727="Shipping canceled"),0,1)</x:f>
        <x:v>1</x:v>
      </x:c>
      <x:c r="K6727" s="6" t="n">
        <x:f>IF(G6727&gt;H6727,1,0)</x:f>
        <x:v>1</x:v>
      </x:c>
      <x:c r="L6727" s="6" t="n">
        <x:f>J6727*K6727</x:f>
        <x:v>1</x:v>
      </x:c>
    </x:row>
    <x:row r="6728">
      <x:c r="A6728" s="1" t="n">
        <x:v>52977</x:v>
      </x:c>
      <x:c r="B6728" s="5" t="d">
        <x:v>2017-02-12T00:00:00.000Z</x:v>
      </x:c>
      <x:c r="C6728" s="1" t="str">
        <x:v>Standard Class</x:v>
      </x:c>
      <x:c r="D6728" s="1" t="str">
        <x:v>LATAM</x:v>
      </x:c>
      <x:c r="E6728" s="1" t="str">
        <x:v>ON_HOLD</x:v>
      </x:c>
      <x:c r="F6728" s="1" t="str">
        <x:v>Advance shipping</x:v>
      </x:c>
      <x:c r="G6728" s="6" t="n">
        <x:v>3</x:v>
      </x:c>
      <x:c r="H6728" s="6" t="n">
        <x:v>4</x:v>
      </x:c>
      <x:c r="I6728" s="6" t="n">
        <x:f>G6728-H6728</x:f>
        <x:v>-1</x:v>
      </x:c>
      <x:c r="J6728" s="6" t="n">
        <x:f>IF(OR(E6728="CANCELED",E6728="SUSPECTED_FRAUD",F6728="Shipping canceled"),0,1)</x:f>
        <x:v>1</x:v>
      </x:c>
      <x:c r="K6728" s="6" t="n">
        <x:f>IF(G6728&gt;H6728,1,0)</x:f>
        <x:v>0</x:v>
      </x:c>
      <x:c r="L6728" s="6" t="n">
        <x:f>J6728*K6728</x:f>
        <x:v>0</x:v>
      </x:c>
    </x:row>
    <x:row r="6729">
      <x:c r="A6729" s="1" t="n">
        <x:v>52993</x:v>
      </x:c>
      <x:c r="B6729" s="5" t="d">
        <x:v>2017-02-12T00:00:00.000Z</x:v>
      </x:c>
      <x:c r="C6729" s="1" t="str">
        <x:v>Standard Class</x:v>
      </x:c>
      <x:c r="D6729" s="1" t="str">
        <x:v>LATAM</x:v>
      </x:c>
      <x:c r="E6729" s="1" t="str">
        <x:v>COMPLETE</x:v>
      </x:c>
      <x:c r="F6729" s="1" t="str">
        <x:v>Shipping on time</x:v>
      </x:c>
      <x:c r="G6729" s="6" t="n">
        <x:v>4</x:v>
      </x:c>
      <x:c r="H6729" s="6" t="n">
        <x:v>4</x:v>
      </x:c>
      <x:c r="I6729" s="6" t="n">
        <x:f>G6729-H6729</x:f>
        <x:v>0</x:v>
      </x:c>
      <x:c r="J6729" s="6" t="n">
        <x:f>IF(OR(E6729="CANCELED",E6729="SUSPECTED_FRAUD",F6729="Shipping canceled"),0,1)</x:f>
        <x:v>1</x:v>
      </x:c>
      <x:c r="K6729" s="6" t="n">
        <x:f>IF(G6729&gt;H6729,1,0)</x:f>
        <x:v>0</x:v>
      </x:c>
      <x:c r="L6729" s="6" t="n">
        <x:f>J6729*K6729</x:f>
        <x:v>0</x:v>
      </x:c>
    </x:row>
    <x:row r="6730">
      <x:c r="A6730" s="1" t="n">
        <x:v>52994</x:v>
      </x:c>
      <x:c r="B6730" s="5" t="d">
        <x:v>2017-02-12T00:00:00.000Z</x:v>
      </x:c>
      <x:c r="C6730" s="1" t="str">
        <x:v>Standard Class</x:v>
      </x:c>
      <x:c r="D6730" s="1" t="str">
        <x:v>LATAM</x:v>
      </x:c>
      <x:c r="E6730" s="1" t="str">
        <x:v>PENDING_PAYMENT</x:v>
      </x:c>
      <x:c r="F6730" s="1" t="str">
        <x:v>Late delivery</x:v>
      </x:c>
      <x:c r="G6730" s="6" t="n">
        <x:v>5</x:v>
      </x:c>
      <x:c r="H6730" s="6" t="n">
        <x:v>4</x:v>
      </x:c>
      <x:c r="I6730" s="6" t="n">
        <x:f>G6730-H6730</x:f>
        <x:v>1</x:v>
      </x:c>
      <x:c r="J6730" s="6" t="n">
        <x:f>IF(OR(E6730="CANCELED",E6730="SUSPECTED_FRAUD",F6730="Shipping canceled"),0,1)</x:f>
        <x:v>1</x:v>
      </x:c>
      <x:c r="K6730" s="6" t="n">
        <x:f>IF(G6730&gt;H6730,1,0)</x:f>
        <x:v>1</x:v>
      </x:c>
      <x:c r="L6730" s="6" t="n">
        <x:f>J6730*K6730</x:f>
        <x:v>1</x:v>
      </x:c>
    </x:row>
    <x:row r="6731">
      <x:c r="A6731" s="1" t="n">
        <x:v>53003</x:v>
      </x:c>
      <x:c r="B6731" s="5" t="d">
        <x:v>2017-02-12T00:00:00.000Z</x:v>
      </x:c>
      <x:c r="C6731" s="1" t="str">
        <x:v>Second Class</x:v>
      </x:c>
      <x:c r="D6731" s="1" t="str">
        <x:v>LATAM</x:v>
      </x:c>
      <x:c r="E6731" s="1" t="str">
        <x:v>CLOSED</x:v>
      </x:c>
      <x:c r="F6731" s="1" t="str">
        <x:v>Late delivery</x:v>
      </x:c>
      <x:c r="G6731" s="6" t="n">
        <x:v>4</x:v>
      </x:c>
      <x:c r="H6731" s="6" t="n">
        <x:v>2</x:v>
      </x:c>
      <x:c r="I6731" s="6" t="n">
        <x:f>G6731-H6731</x:f>
        <x:v>2</x:v>
      </x:c>
      <x:c r="J6731" s="6" t="n">
        <x:f>IF(OR(E6731="CANCELED",E6731="SUSPECTED_FRAUD",F6731="Shipping canceled"),0,1)</x:f>
        <x:v>1</x:v>
      </x:c>
      <x:c r="K6731" s="6" t="n">
        <x:f>IF(G6731&gt;H6731,1,0)</x:f>
        <x:v>1</x:v>
      </x:c>
      <x:c r="L6731" s="6" t="n">
        <x:f>J6731*K6731</x:f>
        <x:v>1</x:v>
      </x:c>
    </x:row>
    <x:row r="6732">
      <x:c r="A6732" s="1" t="n">
        <x:v>53044</x:v>
      </x:c>
      <x:c r="B6732" s="5" t="d">
        <x:v>2017-02-13T00:00:00.000Z</x:v>
      </x:c>
      <x:c r="C6732" s="1" t="str">
        <x:v>Second Class</x:v>
      </x:c>
      <x:c r="D6732" s="1" t="str">
        <x:v>LATAM</x:v>
      </x:c>
      <x:c r="E6732" s="1" t="str">
        <x:v>PROCESSING</x:v>
      </x:c>
      <x:c r="F6732" s="1" t="str">
        <x:v>Late delivery</x:v>
      </x:c>
      <x:c r="G6732" s="6" t="n">
        <x:v>5</x:v>
      </x:c>
      <x:c r="H6732" s="6" t="n">
        <x:v>2</x:v>
      </x:c>
      <x:c r="I6732" s="6" t="n">
        <x:f>G6732-H6732</x:f>
        <x:v>3</x:v>
      </x:c>
      <x:c r="J6732" s="6" t="n">
        <x:f>IF(OR(E6732="CANCELED",E6732="SUSPECTED_FRAUD",F6732="Shipping canceled"),0,1)</x:f>
        <x:v>1</x:v>
      </x:c>
      <x:c r="K6732" s="6" t="n">
        <x:f>IF(G6732&gt;H6732,1,0)</x:f>
        <x:v>1</x:v>
      </x:c>
      <x:c r="L6732" s="6" t="n">
        <x:f>J6732*K6732</x:f>
        <x:v>1</x:v>
      </x:c>
    </x:row>
    <x:row r="6733">
      <x:c r="A6733" s="1" t="n">
        <x:v>53059</x:v>
      </x:c>
      <x:c r="B6733" s="5" t="d">
        <x:v>2017-02-13T00:00:00.000Z</x:v>
      </x:c>
      <x:c r="C6733" s="1" t="str">
        <x:v>Second Class</x:v>
      </x:c>
      <x:c r="D6733" s="1" t="str">
        <x:v>LATAM</x:v>
      </x:c>
      <x:c r="E6733" s="1" t="str">
        <x:v>COMPLETE</x:v>
      </x:c>
      <x:c r="F6733" s="1" t="str">
        <x:v>Late delivery</x:v>
      </x:c>
      <x:c r="G6733" s="6" t="n">
        <x:v>5</x:v>
      </x:c>
      <x:c r="H6733" s="6" t="n">
        <x:v>2</x:v>
      </x:c>
      <x:c r="I6733" s="6" t="n">
        <x:f>G6733-H6733</x:f>
        <x:v>3</x:v>
      </x:c>
      <x:c r="J6733" s="6" t="n">
        <x:f>IF(OR(E6733="CANCELED",E6733="SUSPECTED_FRAUD",F6733="Shipping canceled"),0,1)</x:f>
        <x:v>1</x:v>
      </x:c>
      <x:c r="K6733" s="6" t="n">
        <x:f>IF(G6733&gt;H6733,1,0)</x:f>
        <x:v>1</x:v>
      </x:c>
      <x:c r="L6733" s="6" t="n">
        <x:f>J6733*K6733</x:f>
        <x:v>1</x:v>
      </x:c>
    </x:row>
    <x:row r="6734">
      <x:c r="A6734" s="1" t="n">
        <x:v>53063</x:v>
      </x:c>
      <x:c r="B6734" s="5" t="d">
        <x:v>2017-02-13T00:00:00.000Z</x:v>
      </x:c>
      <x:c r="C6734" s="1" t="str">
        <x:v>Second Class</x:v>
      </x:c>
      <x:c r="D6734" s="1" t="str">
        <x:v>LATAM</x:v>
      </x:c>
      <x:c r="E6734" s="1" t="str">
        <x:v>COMPLETE</x:v>
      </x:c>
      <x:c r="F6734" s="1" t="str">
        <x:v>Late delivery</x:v>
      </x:c>
      <x:c r="G6734" s="6" t="n">
        <x:v>4</x:v>
      </x:c>
      <x:c r="H6734" s="6" t="n">
        <x:v>2</x:v>
      </x:c>
      <x:c r="I6734" s="6" t="n">
        <x:f>G6734-H6734</x:f>
        <x:v>2</x:v>
      </x:c>
      <x:c r="J6734" s="6" t="n">
        <x:f>IF(OR(E6734="CANCELED",E6734="SUSPECTED_FRAUD",F6734="Shipping canceled"),0,1)</x:f>
        <x:v>1</x:v>
      </x:c>
      <x:c r="K6734" s="6" t="n">
        <x:f>IF(G6734&gt;H6734,1,0)</x:f>
        <x:v>1</x:v>
      </x:c>
      <x:c r="L6734" s="6" t="n">
        <x:f>J6734*K6734</x:f>
        <x:v>1</x:v>
      </x:c>
    </x:row>
    <x:row r="6735">
      <x:c r="A6735" s="1" t="n">
        <x:v>53068</x:v>
      </x:c>
      <x:c r="B6735" s="5" t="d">
        <x:v>2017-02-13T00:00:00.000Z</x:v>
      </x:c>
      <x:c r="C6735" s="1" t="str">
        <x:v>Standard Class</x:v>
      </x:c>
      <x:c r="D6735" s="1" t="str">
        <x:v>LATAM</x:v>
      </x:c>
      <x:c r="E6735" s="1" t="str">
        <x:v>SUSPECTED_FRAUD</x:v>
      </x:c>
      <x:c r="F6735" s="1" t="str">
        <x:v>Shipping canceled</x:v>
      </x:c>
      <x:c r="G6735" s="6" t="n">
        <x:v>4</x:v>
      </x:c>
      <x:c r="H6735" s="6" t="n">
        <x:v>4</x:v>
      </x:c>
      <x:c r="I6735" s="6" t="n">
        <x:f>G6735-H6735</x:f>
        <x:v>0</x:v>
      </x:c>
      <x:c r="J6735" s="6" t="n">
        <x:f>IF(OR(E6735="CANCELED",E6735="SUSPECTED_FRAUD",F6735="Shipping canceled"),0,1)</x:f>
        <x:v>0</x:v>
      </x:c>
      <x:c r="K6735" s="6" t="n">
        <x:f>IF(G6735&gt;H6735,1,0)</x:f>
        <x:v>0</x:v>
      </x:c>
      <x:c r="L6735" s="6" t="n">
        <x:f>J6735*K6735</x:f>
        <x:v>0</x:v>
      </x:c>
    </x:row>
    <x:row r="6736">
      <x:c r="A6736" s="1" t="n">
        <x:v>53069</x:v>
      </x:c>
      <x:c r="B6736" s="5" t="d">
        <x:v>2017-02-13T00:00:00.000Z</x:v>
      </x:c>
      <x:c r="C6736" s="1" t="str">
        <x:v>Standard Class</x:v>
      </x:c>
      <x:c r="D6736" s="1" t="str">
        <x:v>LATAM</x:v>
      </x:c>
      <x:c r="E6736" s="1" t="str">
        <x:v>PROCESSING</x:v>
      </x:c>
      <x:c r="F6736" s="1" t="str">
        <x:v>Late delivery</x:v>
      </x:c>
      <x:c r="G6736" s="6" t="n">
        <x:v>5</x:v>
      </x:c>
      <x:c r="H6736" s="6" t="n">
        <x:v>4</x:v>
      </x:c>
      <x:c r="I6736" s="6" t="n">
        <x:f>G6736-H6736</x:f>
        <x:v>1</x:v>
      </x:c>
      <x:c r="J6736" s="6" t="n">
        <x:f>IF(OR(E6736="CANCELED",E6736="SUSPECTED_FRAUD",F6736="Shipping canceled"),0,1)</x:f>
        <x:v>1</x:v>
      </x:c>
      <x:c r="K6736" s="6" t="n">
        <x:f>IF(G6736&gt;H6736,1,0)</x:f>
        <x:v>1</x:v>
      </x:c>
      <x:c r="L6736" s="6" t="n">
        <x:f>J6736*K6736</x:f>
        <x:v>1</x:v>
      </x:c>
    </x:row>
    <x:row r="6737">
      <x:c r="A6737" s="1" t="n">
        <x:v>53074</x:v>
      </x:c>
      <x:c r="B6737" s="5" t="d">
        <x:v>2017-02-13T00:00:00.000Z</x:v>
      </x:c>
      <x:c r="C6737" s="1" t="str">
        <x:v>Standard Class</x:v>
      </x:c>
      <x:c r="D6737" s="1" t="str">
        <x:v>LATAM</x:v>
      </x:c>
      <x:c r="E6737" s="1" t="str">
        <x:v>COMPLETE</x:v>
      </x:c>
      <x:c r="F6737" s="1" t="str">
        <x:v>Late delivery</x:v>
      </x:c>
      <x:c r="G6737" s="6" t="n">
        <x:v>5</x:v>
      </x:c>
      <x:c r="H6737" s="6" t="n">
        <x:v>4</x:v>
      </x:c>
      <x:c r="I6737" s="6" t="n">
        <x:f>G6737-H6737</x:f>
        <x:v>1</x:v>
      </x:c>
      <x:c r="J6737" s="6" t="n">
        <x:f>IF(OR(E6737="CANCELED",E6737="SUSPECTED_FRAUD",F6737="Shipping canceled"),0,1)</x:f>
        <x:v>1</x:v>
      </x:c>
      <x:c r="K6737" s="6" t="n">
        <x:f>IF(G6737&gt;H6737,1,0)</x:f>
        <x:v>1</x:v>
      </x:c>
      <x:c r="L6737" s="6" t="n">
        <x:f>J6737*K6737</x:f>
        <x:v>1</x:v>
      </x:c>
    </x:row>
    <x:row r="6738">
      <x:c r="A6738" s="1" t="n">
        <x:v>53099</x:v>
      </x:c>
      <x:c r="B6738" s="5" t="d">
        <x:v>2017-02-14T00:00:00.000Z</x:v>
      </x:c>
      <x:c r="C6738" s="1" t="str">
        <x:v>Second Class</x:v>
      </x:c>
      <x:c r="D6738" s="1" t="str">
        <x:v>LATAM</x:v>
      </x:c>
      <x:c r="E6738" s="1" t="str">
        <x:v>PENDING</x:v>
      </x:c>
      <x:c r="F6738" s="1" t="str">
        <x:v>Late delivery</x:v>
      </x:c>
      <x:c r="G6738" s="6" t="n">
        <x:v>5</x:v>
      </x:c>
      <x:c r="H6738" s="6" t="n">
        <x:v>2</x:v>
      </x:c>
      <x:c r="I6738" s="6" t="n">
        <x:f>G6738-H6738</x:f>
        <x:v>3</x:v>
      </x:c>
      <x:c r="J6738" s="6" t="n">
        <x:f>IF(OR(E6738="CANCELED",E6738="SUSPECTED_FRAUD",F6738="Shipping canceled"),0,1)</x:f>
        <x:v>1</x:v>
      </x:c>
      <x:c r="K6738" s="6" t="n">
        <x:f>IF(G6738&gt;H6738,1,0)</x:f>
        <x:v>1</x:v>
      </x:c>
      <x:c r="L6738" s="6" t="n">
        <x:f>J6738*K6738</x:f>
        <x:v>1</x:v>
      </x:c>
    </x:row>
    <x:row r="6739">
      <x:c r="A6739" s="1" t="n">
        <x:v>53108</x:v>
      </x:c>
      <x:c r="B6739" s="5" t="d">
        <x:v>2017-02-14T00:00:00.000Z</x:v>
      </x:c>
      <x:c r="C6739" s="1" t="str">
        <x:v>Standard Class</x:v>
      </x:c>
      <x:c r="D6739" s="1" t="str">
        <x:v>LATAM</x:v>
      </x:c>
      <x:c r="E6739" s="1" t="str">
        <x:v>PROCESSING</x:v>
      </x:c>
      <x:c r="F6739" s="1" t="str">
        <x:v>Shipping on time</x:v>
      </x:c>
      <x:c r="G6739" s="6" t="n">
        <x:v>4</x:v>
      </x:c>
      <x:c r="H6739" s="6" t="n">
        <x:v>4</x:v>
      </x:c>
      <x:c r="I6739" s="6" t="n">
        <x:f>G6739-H6739</x:f>
        <x:v>0</x:v>
      </x:c>
      <x:c r="J6739" s="6" t="n">
        <x:f>IF(OR(E6739="CANCELED",E6739="SUSPECTED_FRAUD",F6739="Shipping canceled"),0,1)</x:f>
        <x:v>1</x:v>
      </x:c>
      <x:c r="K6739" s="6" t="n">
        <x:f>IF(G6739&gt;H6739,1,0)</x:f>
        <x:v>0</x:v>
      </x:c>
      <x:c r="L6739" s="6" t="n">
        <x:f>J6739*K6739</x:f>
        <x:v>0</x:v>
      </x:c>
    </x:row>
    <x:row r="6740">
      <x:c r="A6740" s="1" t="n">
        <x:v>53122</x:v>
      </x:c>
      <x:c r="B6740" s="5" t="d">
        <x:v>2017-02-14T00:00:00.000Z</x:v>
      </x:c>
      <x:c r="C6740" s="1" t="str">
        <x:v>Standard Class</x:v>
      </x:c>
      <x:c r="D6740" s="1" t="str">
        <x:v>LATAM</x:v>
      </x:c>
      <x:c r="E6740" s="1" t="str">
        <x:v>COMPLETE</x:v>
      </x:c>
      <x:c r="F6740" s="1" t="str">
        <x:v>Advance shipping</x:v>
      </x:c>
      <x:c r="G6740" s="6" t="n">
        <x:v>3</x:v>
      </x:c>
      <x:c r="H6740" s="6" t="n">
        <x:v>4</x:v>
      </x:c>
      <x:c r="I6740" s="6" t="n">
        <x:f>G6740-H6740</x:f>
        <x:v>-1</x:v>
      </x:c>
      <x:c r="J6740" s="6" t="n">
        <x:f>IF(OR(E6740="CANCELED",E6740="SUSPECTED_FRAUD",F6740="Shipping canceled"),0,1)</x:f>
        <x:v>1</x:v>
      </x:c>
      <x:c r="K6740" s="6" t="n">
        <x:f>IF(G6740&gt;H6740,1,0)</x:f>
        <x:v>0</x:v>
      </x:c>
      <x:c r="L6740" s="6" t="n">
        <x:f>J6740*K6740</x:f>
        <x:v>0</x:v>
      </x:c>
    </x:row>
    <x:row r="6741">
      <x:c r="A6741" s="1" t="n">
        <x:v>53165</x:v>
      </x:c>
      <x:c r="B6741" s="5" t="d">
        <x:v>2017-02-15T00:00:00.000Z</x:v>
      </x:c>
      <x:c r="C6741" s="1" t="str">
        <x:v>Standard Class</x:v>
      </x:c>
      <x:c r="D6741" s="1" t="str">
        <x:v>LATAM</x:v>
      </x:c>
      <x:c r="E6741" s="1" t="str">
        <x:v>COMPLETE</x:v>
      </x:c>
      <x:c r="F6741" s="1" t="str">
        <x:v>Late delivery</x:v>
      </x:c>
      <x:c r="G6741" s="6" t="n">
        <x:v>6</x:v>
      </x:c>
      <x:c r="H6741" s="6" t="n">
        <x:v>4</x:v>
      </x:c>
      <x:c r="I6741" s="6" t="n">
        <x:f>G6741-H6741</x:f>
        <x:v>2</x:v>
      </x:c>
      <x:c r="J6741" s="6" t="n">
        <x:f>IF(OR(E6741="CANCELED",E6741="SUSPECTED_FRAUD",F6741="Shipping canceled"),0,1)</x:f>
        <x:v>1</x:v>
      </x:c>
      <x:c r="K6741" s="6" t="n">
        <x:f>IF(G6741&gt;H6741,1,0)</x:f>
        <x:v>1</x:v>
      </x:c>
      <x:c r="L6741" s="6" t="n">
        <x:f>J6741*K6741</x:f>
        <x:v>1</x:v>
      </x:c>
    </x:row>
    <x:row r="6742">
      <x:c r="A6742" s="1" t="n">
        <x:v>53167</x:v>
      </x:c>
      <x:c r="B6742" s="5" t="d">
        <x:v>2017-02-15T00:00:00.000Z</x:v>
      </x:c>
      <x:c r="C6742" s="1" t="str">
        <x:v>Standard Class</x:v>
      </x:c>
      <x:c r="D6742" s="1" t="str">
        <x:v>LATAM</x:v>
      </x:c>
      <x:c r="E6742" s="1" t="str">
        <x:v>COMPLETE</x:v>
      </x:c>
      <x:c r="F6742" s="1" t="str">
        <x:v>Advance shipping</x:v>
      </x:c>
      <x:c r="G6742" s="6" t="n">
        <x:v>3</x:v>
      </x:c>
      <x:c r="H6742" s="6" t="n">
        <x:v>4</x:v>
      </x:c>
      <x:c r="I6742" s="6" t="n">
        <x:f>G6742-H6742</x:f>
        <x:v>-1</x:v>
      </x:c>
      <x:c r="J6742" s="6" t="n">
        <x:f>IF(OR(E6742="CANCELED",E6742="SUSPECTED_FRAUD",F6742="Shipping canceled"),0,1)</x:f>
        <x:v>1</x:v>
      </x:c>
      <x:c r="K6742" s="6" t="n">
        <x:f>IF(G6742&gt;H6742,1,0)</x:f>
        <x:v>0</x:v>
      </x:c>
      <x:c r="L6742" s="6" t="n">
        <x:f>J6742*K6742</x:f>
        <x:v>0</x:v>
      </x:c>
    </x:row>
    <x:row r="6743">
      <x:c r="A6743" s="1" t="n">
        <x:v>53171</x:v>
      </x:c>
      <x:c r="B6743" s="5" t="d">
        <x:v>2017-02-15T00:00:00.000Z</x:v>
      </x:c>
      <x:c r="C6743" s="1" t="str">
        <x:v>Standard Class</x:v>
      </x:c>
      <x:c r="D6743" s="1" t="str">
        <x:v>LATAM</x:v>
      </x:c>
      <x:c r="E6743" s="1" t="str">
        <x:v>PENDING</x:v>
      </x:c>
      <x:c r="F6743" s="1" t="str">
        <x:v>Advance shipping</x:v>
      </x:c>
      <x:c r="G6743" s="6" t="n">
        <x:v>2</x:v>
      </x:c>
      <x:c r="H6743" s="6" t="n">
        <x:v>4</x:v>
      </x:c>
      <x:c r="I6743" s="6" t="n">
        <x:f>G6743-H6743</x:f>
        <x:v>-2</x:v>
      </x:c>
      <x:c r="J6743" s="6" t="n">
        <x:f>IF(OR(E6743="CANCELED",E6743="SUSPECTED_FRAUD",F6743="Shipping canceled"),0,1)</x:f>
        <x:v>1</x:v>
      </x:c>
      <x:c r="K6743" s="6" t="n">
        <x:f>IF(G6743&gt;H6743,1,0)</x:f>
        <x:v>0</x:v>
      </x:c>
      <x:c r="L6743" s="6" t="n">
        <x:f>J6743*K6743</x:f>
        <x:v>0</x:v>
      </x:c>
    </x:row>
    <x:row r="6744">
      <x:c r="A6744" s="1" t="n">
        <x:v>53176</x:v>
      </x:c>
      <x:c r="B6744" s="5" t="d">
        <x:v>2017-02-15T00:00:00.000Z</x:v>
      </x:c>
      <x:c r="C6744" s="1" t="str">
        <x:v>Standard Class</x:v>
      </x:c>
      <x:c r="D6744" s="1" t="str">
        <x:v>LATAM</x:v>
      </x:c>
      <x:c r="E6744" s="1" t="str">
        <x:v>ON_HOLD</x:v>
      </x:c>
      <x:c r="F6744" s="1" t="str">
        <x:v>Advance shipping</x:v>
      </x:c>
      <x:c r="G6744" s="6" t="n">
        <x:v>2</x:v>
      </x:c>
      <x:c r="H6744" s="6" t="n">
        <x:v>4</x:v>
      </x:c>
      <x:c r="I6744" s="6" t="n">
        <x:f>G6744-H6744</x:f>
        <x:v>-2</x:v>
      </x:c>
      <x:c r="J6744" s="6" t="n">
        <x:f>IF(OR(E6744="CANCELED",E6744="SUSPECTED_FRAUD",F6744="Shipping canceled"),0,1)</x:f>
        <x:v>1</x:v>
      </x:c>
      <x:c r="K6744" s="6" t="n">
        <x:f>IF(G6744&gt;H6744,1,0)</x:f>
        <x:v>0</x:v>
      </x:c>
      <x:c r="L6744" s="6" t="n">
        <x:f>J6744*K6744</x:f>
        <x:v>0</x:v>
      </x:c>
    </x:row>
    <x:row r="6745">
      <x:c r="A6745" s="1" t="n">
        <x:v>53177</x:v>
      </x:c>
      <x:c r="B6745" s="5" t="d">
        <x:v>2017-02-15T00:00:00.000Z</x:v>
      </x:c>
      <x:c r="C6745" s="1" t="str">
        <x:v>Standard Class</x:v>
      </x:c>
      <x:c r="D6745" s="1" t="str">
        <x:v>LATAM</x:v>
      </x:c>
      <x:c r="E6745" s="1" t="str">
        <x:v>COMPLETE</x:v>
      </x:c>
      <x:c r="F6745" s="1" t="str">
        <x:v>Advance shipping</x:v>
      </x:c>
      <x:c r="G6745" s="6" t="n">
        <x:v>3</x:v>
      </x:c>
      <x:c r="H6745" s="6" t="n">
        <x:v>4</x:v>
      </x:c>
      <x:c r="I6745" s="6" t="n">
        <x:f>G6745-H6745</x:f>
        <x:v>-1</x:v>
      </x:c>
      <x:c r="J6745" s="6" t="n">
        <x:f>IF(OR(E6745="CANCELED",E6745="SUSPECTED_FRAUD",F6745="Shipping canceled"),0,1)</x:f>
        <x:v>1</x:v>
      </x:c>
      <x:c r="K6745" s="6" t="n">
        <x:f>IF(G6745&gt;H6745,1,0)</x:f>
        <x:v>0</x:v>
      </x:c>
      <x:c r="L6745" s="6" t="n">
        <x:f>J6745*K6745</x:f>
        <x:v>0</x:v>
      </x:c>
    </x:row>
    <x:row r="6746">
      <x:c r="A6746" s="1" t="n">
        <x:v>53186</x:v>
      </x:c>
      <x:c r="B6746" s="5" t="d">
        <x:v>2017-02-15T00:00:00.000Z</x:v>
      </x:c>
      <x:c r="C6746" s="1" t="str">
        <x:v>Standard Class</x:v>
      </x:c>
      <x:c r="D6746" s="1" t="str">
        <x:v>LATAM</x:v>
      </x:c>
      <x:c r="E6746" s="1" t="str">
        <x:v>PROCESSING</x:v>
      </x:c>
      <x:c r="F6746" s="1" t="str">
        <x:v>Advance shipping</x:v>
      </x:c>
      <x:c r="G6746" s="6" t="n">
        <x:v>2</x:v>
      </x:c>
      <x:c r="H6746" s="6" t="n">
        <x:v>4</x:v>
      </x:c>
      <x:c r="I6746" s="6" t="n">
        <x:f>G6746-H6746</x:f>
        <x:v>-2</x:v>
      </x:c>
      <x:c r="J6746" s="6" t="n">
        <x:f>IF(OR(E6746="CANCELED",E6746="SUSPECTED_FRAUD",F6746="Shipping canceled"),0,1)</x:f>
        <x:v>1</x:v>
      </x:c>
      <x:c r="K6746" s="6" t="n">
        <x:f>IF(G6746&gt;H6746,1,0)</x:f>
        <x:v>0</x:v>
      </x:c>
      <x:c r="L6746" s="6" t="n">
        <x:f>J6746*K6746</x:f>
        <x:v>0</x:v>
      </x:c>
    </x:row>
    <x:row r="6747">
      <x:c r="A6747" s="1" t="n">
        <x:v>53193</x:v>
      </x:c>
      <x:c r="B6747" s="5" t="d">
        <x:v>2017-02-15T00:00:00.000Z</x:v>
      </x:c>
      <x:c r="C6747" s="1" t="str">
        <x:v>Standard Class</x:v>
      </x:c>
      <x:c r="D6747" s="1" t="str">
        <x:v>LATAM</x:v>
      </x:c>
      <x:c r="E6747" s="1" t="str">
        <x:v>PENDING</x:v>
      </x:c>
      <x:c r="F6747" s="1" t="str">
        <x:v>Shipping on time</x:v>
      </x:c>
      <x:c r="G6747" s="6" t="n">
        <x:v>4</x:v>
      </x:c>
      <x:c r="H6747" s="6" t="n">
        <x:v>4</x:v>
      </x:c>
      <x:c r="I6747" s="6" t="n">
        <x:f>G6747-H6747</x:f>
        <x:v>0</x:v>
      </x:c>
      <x:c r="J6747" s="6" t="n">
        <x:f>IF(OR(E6747="CANCELED",E6747="SUSPECTED_FRAUD",F6747="Shipping canceled"),0,1)</x:f>
        <x:v>1</x:v>
      </x:c>
      <x:c r="K6747" s="6" t="n">
        <x:f>IF(G6747&gt;H6747,1,0)</x:f>
        <x:v>0</x:v>
      </x:c>
      <x:c r="L6747" s="6" t="n">
        <x:f>J6747*K6747</x:f>
        <x:v>0</x:v>
      </x:c>
    </x:row>
    <x:row r="6748">
      <x:c r="A6748" s="1" t="n">
        <x:v>53201</x:v>
      </x:c>
      <x:c r="B6748" s="5" t="d">
        <x:v>2017-02-15T00:00:00.000Z</x:v>
      </x:c>
      <x:c r="C6748" s="1" t="str">
        <x:v>Second Class</x:v>
      </x:c>
      <x:c r="D6748" s="1" t="str">
        <x:v>LATAM</x:v>
      </x:c>
      <x:c r="E6748" s="1" t="str">
        <x:v>PENDING</x:v>
      </x:c>
      <x:c r="F6748" s="1" t="str">
        <x:v>Shipping on time</x:v>
      </x:c>
      <x:c r="G6748" s="6" t="n">
        <x:v>2</x:v>
      </x:c>
      <x:c r="H6748" s="6" t="n">
        <x:v>2</x:v>
      </x:c>
      <x:c r="I6748" s="6" t="n">
        <x:f>G6748-H6748</x:f>
        <x:v>0</x:v>
      </x:c>
      <x:c r="J6748" s="6" t="n">
        <x:f>IF(OR(E6748="CANCELED",E6748="SUSPECTED_FRAUD",F6748="Shipping canceled"),0,1)</x:f>
        <x:v>1</x:v>
      </x:c>
      <x:c r="K6748" s="6" t="n">
        <x:f>IF(G6748&gt;H6748,1,0)</x:f>
        <x:v>0</x:v>
      </x:c>
      <x:c r="L6748" s="6" t="n">
        <x:f>J6748*K6748</x:f>
        <x:v>0</x:v>
      </x:c>
    </x:row>
    <x:row r="6749">
      <x:c r="A6749" s="1" t="n">
        <x:v>53202</x:v>
      </x:c>
      <x:c r="B6749" s="5" t="d">
        <x:v>2017-02-15T00:00:00.000Z</x:v>
      </x:c>
      <x:c r="C6749" s="1" t="str">
        <x:v>Second Class</x:v>
      </x:c>
      <x:c r="D6749" s="1" t="str">
        <x:v>LATAM</x:v>
      </x:c>
      <x:c r="E6749" s="1" t="str">
        <x:v>PENDING_PAYMENT</x:v>
      </x:c>
      <x:c r="F6749" s="1" t="str">
        <x:v>Late delivery</x:v>
      </x:c>
      <x:c r="G6749" s="6" t="n">
        <x:v>3</x:v>
      </x:c>
      <x:c r="H6749" s="6" t="n">
        <x:v>2</x:v>
      </x:c>
      <x:c r="I6749" s="6" t="n">
        <x:f>G6749-H6749</x:f>
        <x:v>1</x:v>
      </x:c>
      <x:c r="J6749" s="6" t="n">
        <x:f>IF(OR(E6749="CANCELED",E6749="SUSPECTED_FRAUD",F6749="Shipping canceled"),0,1)</x:f>
        <x:v>1</x:v>
      </x:c>
      <x:c r="K6749" s="6" t="n">
        <x:f>IF(G6749&gt;H6749,1,0)</x:f>
        <x:v>1</x:v>
      </x:c>
      <x:c r="L6749" s="6" t="n">
        <x:f>J6749*K6749</x:f>
        <x:v>1</x:v>
      </x:c>
    </x:row>
    <x:row r="6750">
      <x:c r="A6750" s="1" t="n">
        <x:v>53205</x:v>
      </x:c>
      <x:c r="B6750" s="5" t="d">
        <x:v>2017-02-15T00:00:00.000Z</x:v>
      </x:c>
      <x:c r="C6750" s="1" t="str">
        <x:v>First Class</x:v>
      </x:c>
      <x:c r="D6750" s="1" t="str">
        <x:v>LATAM</x:v>
      </x:c>
      <x:c r="E6750" s="1" t="str">
        <x:v>CLOSED</x:v>
      </x:c>
      <x:c r="F6750" s="1" t="str">
        <x:v>Late delivery</x:v>
      </x:c>
      <x:c r="G6750" s="6" t="n">
        <x:v>2</x:v>
      </x:c>
      <x:c r="H6750" s="6" t="n">
        <x:v>1</x:v>
      </x:c>
      <x:c r="I6750" s="6" t="n">
        <x:f>G6750-H6750</x:f>
        <x:v>1</x:v>
      </x:c>
      <x:c r="J6750" s="6" t="n">
        <x:f>IF(OR(E6750="CANCELED",E6750="SUSPECTED_FRAUD",F6750="Shipping canceled"),0,1)</x:f>
        <x:v>1</x:v>
      </x:c>
      <x:c r="K6750" s="6" t="n">
        <x:f>IF(G6750&gt;H6750,1,0)</x:f>
        <x:v>1</x:v>
      </x:c>
      <x:c r="L6750" s="6" t="n">
        <x:f>J6750*K6750</x:f>
        <x:v>1</x:v>
      </x:c>
    </x:row>
    <x:row r="6751">
      <x:c r="A6751" s="1" t="n">
        <x:v>53225</x:v>
      </x:c>
      <x:c r="B6751" s="5" t="d">
        <x:v>2017-02-15T00:00:00.000Z</x:v>
      </x:c>
      <x:c r="C6751" s="1" t="str">
        <x:v>Second Class</x:v>
      </x:c>
      <x:c r="D6751" s="1" t="str">
        <x:v>LATAM</x:v>
      </x:c>
      <x:c r="E6751" s="1" t="str">
        <x:v>COMPLETE</x:v>
      </x:c>
      <x:c r="F6751" s="1" t="str">
        <x:v>Late delivery</x:v>
      </x:c>
      <x:c r="G6751" s="6" t="n">
        <x:v>6</x:v>
      </x:c>
      <x:c r="H6751" s="6" t="n">
        <x:v>2</x:v>
      </x:c>
      <x:c r="I6751" s="6" t="n">
        <x:f>G6751-H6751</x:f>
        <x:v>4</x:v>
      </x:c>
      <x:c r="J6751" s="6" t="n">
        <x:f>IF(OR(E6751="CANCELED",E6751="SUSPECTED_FRAUD",F6751="Shipping canceled"),0,1)</x:f>
        <x:v>1</x:v>
      </x:c>
      <x:c r="K6751" s="6" t="n">
        <x:f>IF(G6751&gt;H6751,1,0)</x:f>
        <x:v>1</x:v>
      </x:c>
      <x:c r="L6751" s="6" t="n">
        <x:f>J6751*K6751</x:f>
        <x:v>1</x:v>
      </x:c>
    </x:row>
    <x:row r="6752">
      <x:c r="A6752" s="1" t="n">
        <x:v>53229</x:v>
      </x:c>
      <x:c r="B6752" s="5" t="d">
        <x:v>2017-02-16T00:00:00.000Z</x:v>
      </x:c>
      <x:c r="C6752" s="1" t="str">
        <x:v>Standard Class</x:v>
      </x:c>
      <x:c r="D6752" s="1" t="str">
        <x:v>LATAM</x:v>
      </x:c>
      <x:c r="E6752" s="1" t="str">
        <x:v>PENDING_PAYMENT</x:v>
      </x:c>
      <x:c r="F6752" s="1" t="str">
        <x:v>Late delivery</x:v>
      </x:c>
      <x:c r="G6752" s="6" t="n">
        <x:v>5</x:v>
      </x:c>
      <x:c r="H6752" s="6" t="n">
        <x:v>4</x:v>
      </x:c>
      <x:c r="I6752" s="6" t="n">
        <x:f>G6752-H6752</x:f>
        <x:v>1</x:v>
      </x:c>
      <x:c r="J6752" s="6" t="n">
        <x:f>IF(OR(E6752="CANCELED",E6752="SUSPECTED_FRAUD",F6752="Shipping canceled"),0,1)</x:f>
        <x:v>1</x:v>
      </x:c>
      <x:c r="K6752" s="6" t="n">
        <x:f>IF(G6752&gt;H6752,1,0)</x:f>
        <x:v>1</x:v>
      </x:c>
      <x:c r="L6752" s="6" t="n">
        <x:f>J6752*K6752</x:f>
        <x:v>1</x:v>
      </x:c>
    </x:row>
    <x:row r="6753">
      <x:c r="A6753" s="1" t="n">
        <x:v>53231</x:v>
      </x:c>
      <x:c r="B6753" s="5" t="d">
        <x:v>2017-02-16T00:00:00.000Z</x:v>
      </x:c>
      <x:c r="C6753" s="1" t="str">
        <x:v>Standard Class</x:v>
      </x:c>
      <x:c r="D6753" s="1" t="str">
        <x:v>LATAM</x:v>
      </x:c>
      <x:c r="E6753" s="1" t="str">
        <x:v>PROCESSING</x:v>
      </x:c>
      <x:c r="F6753" s="1" t="str">
        <x:v>Advance shipping</x:v>
      </x:c>
      <x:c r="G6753" s="6" t="n">
        <x:v>2</x:v>
      </x:c>
      <x:c r="H6753" s="6" t="n">
        <x:v>4</x:v>
      </x:c>
      <x:c r="I6753" s="6" t="n">
        <x:f>G6753-H6753</x:f>
        <x:v>-2</x:v>
      </x:c>
      <x:c r="J6753" s="6" t="n">
        <x:f>IF(OR(E6753="CANCELED",E6753="SUSPECTED_FRAUD",F6753="Shipping canceled"),0,1)</x:f>
        <x:v>1</x:v>
      </x:c>
      <x:c r="K6753" s="6" t="n">
        <x:f>IF(G6753&gt;H6753,1,0)</x:f>
        <x:v>0</x:v>
      </x:c>
      <x:c r="L6753" s="6" t="n">
        <x:f>J6753*K6753</x:f>
        <x:v>0</x:v>
      </x:c>
    </x:row>
    <x:row r="6754">
      <x:c r="A6754" s="1" t="n">
        <x:v>53233</x:v>
      </x:c>
      <x:c r="B6754" s="5" t="d">
        <x:v>2017-02-16T00:00:00.000Z</x:v>
      </x:c>
      <x:c r="C6754" s="1" t="str">
        <x:v>Standard Class</x:v>
      </x:c>
      <x:c r="D6754" s="1" t="str">
        <x:v>LATAM</x:v>
      </x:c>
      <x:c r="E6754" s="1" t="str">
        <x:v>PENDING</x:v>
      </x:c>
      <x:c r="F6754" s="1" t="str">
        <x:v>Shipping on time</x:v>
      </x:c>
      <x:c r="G6754" s="6" t="n">
        <x:v>4</x:v>
      </x:c>
      <x:c r="H6754" s="6" t="n">
        <x:v>4</x:v>
      </x:c>
      <x:c r="I6754" s="6" t="n">
        <x:f>G6754-H6754</x:f>
        <x:v>0</x:v>
      </x:c>
      <x:c r="J6754" s="6" t="n">
        <x:f>IF(OR(E6754="CANCELED",E6754="SUSPECTED_FRAUD",F6754="Shipping canceled"),0,1)</x:f>
        <x:v>1</x:v>
      </x:c>
      <x:c r="K6754" s="6" t="n">
        <x:f>IF(G6754&gt;H6754,1,0)</x:f>
        <x:v>0</x:v>
      </x:c>
      <x:c r="L6754" s="6" t="n">
        <x:f>J6754*K6754</x:f>
        <x:v>0</x:v>
      </x:c>
    </x:row>
    <x:row r="6755">
      <x:c r="A6755" s="1" t="n">
        <x:v>53234</x:v>
      </x:c>
      <x:c r="B6755" s="5" t="d">
        <x:v>2017-02-16T00:00:00.000Z</x:v>
      </x:c>
      <x:c r="C6755" s="1" t="str">
        <x:v>Standard Class</x:v>
      </x:c>
      <x:c r="D6755" s="1" t="str">
        <x:v>LATAM</x:v>
      </x:c>
      <x:c r="E6755" s="1" t="str">
        <x:v>PENDING</x:v>
      </x:c>
      <x:c r="F6755" s="1" t="str">
        <x:v>Late delivery</x:v>
      </x:c>
      <x:c r="G6755" s="6" t="n">
        <x:v>5</x:v>
      </x:c>
      <x:c r="H6755" s="6" t="n">
        <x:v>4</x:v>
      </x:c>
      <x:c r="I6755" s="6" t="n">
        <x:f>G6755-H6755</x:f>
        <x:v>1</x:v>
      </x:c>
      <x:c r="J6755" s="6" t="n">
        <x:f>IF(OR(E6755="CANCELED",E6755="SUSPECTED_FRAUD",F6755="Shipping canceled"),0,1)</x:f>
        <x:v>1</x:v>
      </x:c>
      <x:c r="K6755" s="6" t="n">
        <x:f>IF(G6755&gt;H6755,1,0)</x:f>
        <x:v>1</x:v>
      </x:c>
      <x:c r="L6755" s="6" t="n">
        <x:f>J6755*K6755</x:f>
        <x:v>1</x:v>
      </x:c>
    </x:row>
    <x:row r="6756">
      <x:c r="A6756" s="1" t="n">
        <x:v>53247</x:v>
      </x:c>
      <x:c r="B6756" s="5" t="d">
        <x:v>2017-02-16T00:00:00.000Z</x:v>
      </x:c>
      <x:c r="C6756" s="1" t="str">
        <x:v>First Class</x:v>
      </x:c>
      <x:c r="D6756" s="1" t="str">
        <x:v>LATAM</x:v>
      </x:c>
      <x:c r="E6756" s="1" t="str">
        <x:v>CLOSED</x:v>
      </x:c>
      <x:c r="F6756" s="1" t="str">
        <x:v>Late delivery</x:v>
      </x:c>
      <x:c r="G6756" s="6" t="n">
        <x:v>2</x:v>
      </x:c>
      <x:c r="H6756" s="6" t="n">
        <x:v>1</x:v>
      </x:c>
      <x:c r="I6756" s="6" t="n">
        <x:f>G6756-H6756</x:f>
        <x:v>1</x:v>
      </x:c>
      <x:c r="J6756" s="6" t="n">
        <x:f>IF(OR(E6756="CANCELED",E6756="SUSPECTED_FRAUD",F6756="Shipping canceled"),0,1)</x:f>
        <x:v>1</x:v>
      </x:c>
      <x:c r="K6756" s="6" t="n">
        <x:f>IF(G6756&gt;H6756,1,0)</x:f>
        <x:v>1</x:v>
      </x:c>
      <x:c r="L6756" s="6" t="n">
        <x:f>J6756*K6756</x:f>
        <x:v>1</x:v>
      </x:c>
    </x:row>
    <x:row r="6757">
      <x:c r="A6757" s="1" t="n">
        <x:v>53255</x:v>
      </x:c>
      <x:c r="B6757" s="5" t="d">
        <x:v>2017-02-16T00:00:00.000Z</x:v>
      </x:c>
      <x:c r="C6757" s="1" t="str">
        <x:v>First Class</x:v>
      </x:c>
      <x:c r="D6757" s="1" t="str">
        <x:v>LATAM</x:v>
      </x:c>
      <x:c r="E6757" s="1" t="str">
        <x:v>COMPLETE</x:v>
      </x:c>
      <x:c r="F6757" s="1" t="str">
        <x:v>Late delivery</x:v>
      </x:c>
      <x:c r="G6757" s="6" t="n">
        <x:v>2</x:v>
      </x:c>
      <x:c r="H6757" s="6" t="n">
        <x:v>1</x:v>
      </x:c>
      <x:c r="I6757" s="6" t="n">
        <x:f>G6757-H6757</x:f>
        <x:v>1</x:v>
      </x:c>
      <x:c r="J6757" s="6" t="n">
        <x:f>IF(OR(E6757="CANCELED",E6757="SUSPECTED_FRAUD",F6757="Shipping canceled"),0,1)</x:f>
        <x:v>1</x:v>
      </x:c>
      <x:c r="K6757" s="6" t="n">
        <x:f>IF(G6757&gt;H6757,1,0)</x:f>
        <x:v>1</x:v>
      </x:c>
      <x:c r="L6757" s="6" t="n">
        <x:f>J6757*K6757</x:f>
        <x:v>1</x:v>
      </x:c>
    </x:row>
    <x:row r="6758">
      <x:c r="A6758" s="1" t="n">
        <x:v>53297</x:v>
      </x:c>
      <x:c r="B6758" s="5" t="d">
        <x:v>2017-02-16T00:00:00.000Z</x:v>
      </x:c>
      <x:c r="C6758" s="1" t="str">
        <x:v>First Class</x:v>
      </x:c>
      <x:c r="D6758" s="1" t="str">
        <x:v>LATAM</x:v>
      </x:c>
      <x:c r="E6758" s="1" t="str">
        <x:v>CLOSED</x:v>
      </x:c>
      <x:c r="F6758" s="1" t="str">
        <x:v>Late delivery</x:v>
      </x:c>
      <x:c r="G6758" s="6" t="n">
        <x:v>2</x:v>
      </x:c>
      <x:c r="H6758" s="6" t="n">
        <x:v>1</x:v>
      </x:c>
      <x:c r="I6758" s="6" t="n">
        <x:f>G6758-H6758</x:f>
        <x:v>1</x:v>
      </x:c>
      <x:c r="J6758" s="6" t="n">
        <x:f>IF(OR(E6758="CANCELED",E6758="SUSPECTED_FRAUD",F6758="Shipping canceled"),0,1)</x:f>
        <x:v>1</x:v>
      </x:c>
      <x:c r="K6758" s="6" t="n">
        <x:f>IF(G6758&gt;H6758,1,0)</x:f>
        <x:v>1</x:v>
      </x:c>
      <x:c r="L6758" s="6" t="n">
        <x:f>J6758*K6758</x:f>
        <x:v>1</x:v>
      </x:c>
    </x:row>
    <x:row r="6759">
      <x:c r="A6759" s="1" t="n">
        <x:v>53307</x:v>
      </x:c>
      <x:c r="B6759" s="5" t="d">
        <x:v>2017-02-17T00:00:00.000Z</x:v>
      </x:c>
      <x:c r="C6759" s="1" t="str">
        <x:v>Second Class</x:v>
      </x:c>
      <x:c r="D6759" s="1" t="str">
        <x:v>LATAM</x:v>
      </x:c>
      <x:c r="E6759" s="1" t="str">
        <x:v>COMPLETE</x:v>
      </x:c>
      <x:c r="F6759" s="1" t="str">
        <x:v>Late delivery</x:v>
      </x:c>
      <x:c r="G6759" s="6" t="n">
        <x:v>3</x:v>
      </x:c>
      <x:c r="H6759" s="6" t="n">
        <x:v>2</x:v>
      </x:c>
      <x:c r="I6759" s="6" t="n">
        <x:f>G6759-H6759</x:f>
        <x:v>1</x:v>
      </x:c>
      <x:c r="J6759" s="6" t="n">
        <x:f>IF(OR(E6759="CANCELED",E6759="SUSPECTED_FRAUD",F6759="Shipping canceled"),0,1)</x:f>
        <x:v>1</x:v>
      </x:c>
      <x:c r="K6759" s="6" t="n">
        <x:f>IF(G6759&gt;H6759,1,0)</x:f>
        <x:v>1</x:v>
      </x:c>
      <x:c r="L6759" s="6" t="n">
        <x:f>J6759*K6759</x:f>
        <x:v>1</x:v>
      </x:c>
    </x:row>
    <x:row r="6760">
      <x:c r="A6760" s="1" t="n">
        <x:v>53311</x:v>
      </x:c>
      <x:c r="B6760" s="5" t="d">
        <x:v>2017-02-17T00:00:00.000Z</x:v>
      </x:c>
      <x:c r="C6760" s="1" t="str">
        <x:v>Second Class</x:v>
      </x:c>
      <x:c r="D6760" s="1" t="str">
        <x:v>LATAM</x:v>
      </x:c>
      <x:c r="E6760" s="1" t="str">
        <x:v>ON_HOLD</x:v>
      </x:c>
      <x:c r="F6760" s="1" t="str">
        <x:v>Shipping on time</x:v>
      </x:c>
      <x:c r="G6760" s="6" t="n">
        <x:v>2</x:v>
      </x:c>
      <x:c r="H6760" s="6" t="n">
        <x:v>2</x:v>
      </x:c>
      <x:c r="I6760" s="6" t="n">
        <x:f>G6760-H6760</x:f>
        <x:v>0</x:v>
      </x:c>
      <x:c r="J6760" s="6" t="n">
        <x:f>IF(OR(E6760="CANCELED",E6760="SUSPECTED_FRAUD",F6760="Shipping canceled"),0,1)</x:f>
        <x:v>1</x:v>
      </x:c>
      <x:c r="K6760" s="6" t="n">
        <x:f>IF(G6760&gt;H6760,1,0)</x:f>
        <x:v>0</x:v>
      </x:c>
      <x:c r="L6760" s="6" t="n">
        <x:f>J6760*K6760</x:f>
        <x:v>0</x:v>
      </x:c>
    </x:row>
    <x:row r="6761">
      <x:c r="A6761" s="1" t="n">
        <x:v>53315</x:v>
      </x:c>
      <x:c r="B6761" s="5" t="d">
        <x:v>2017-02-17T00:00:00.000Z</x:v>
      </x:c>
      <x:c r="C6761" s="1" t="str">
        <x:v>Second Class</x:v>
      </x:c>
      <x:c r="D6761" s="1" t="str">
        <x:v>LATAM</x:v>
      </x:c>
      <x:c r="E6761" s="1" t="str">
        <x:v>COMPLETE</x:v>
      </x:c>
      <x:c r="F6761" s="1" t="str">
        <x:v>Late delivery</x:v>
      </x:c>
      <x:c r="G6761" s="6" t="n">
        <x:v>6</x:v>
      </x:c>
      <x:c r="H6761" s="6" t="n">
        <x:v>2</x:v>
      </x:c>
      <x:c r="I6761" s="6" t="n">
        <x:f>G6761-H6761</x:f>
        <x:v>4</x:v>
      </x:c>
      <x:c r="J6761" s="6" t="n">
        <x:f>IF(OR(E6761="CANCELED",E6761="SUSPECTED_FRAUD",F6761="Shipping canceled"),0,1)</x:f>
        <x:v>1</x:v>
      </x:c>
      <x:c r="K6761" s="6" t="n">
        <x:f>IF(G6761&gt;H6761,1,0)</x:f>
        <x:v>1</x:v>
      </x:c>
      <x:c r="L6761" s="6" t="n">
        <x:f>J6761*K6761</x:f>
        <x:v>1</x:v>
      </x:c>
    </x:row>
    <x:row r="6762">
      <x:c r="A6762" s="1" t="n">
        <x:v>53328</x:v>
      </x:c>
      <x:c r="B6762" s="5" t="d">
        <x:v>2017-02-17T00:00:00.000Z</x:v>
      </x:c>
      <x:c r="C6762" s="1" t="str">
        <x:v>Standard Class</x:v>
      </x:c>
      <x:c r="D6762" s="1" t="str">
        <x:v>LATAM</x:v>
      </x:c>
      <x:c r="E6762" s="1" t="str">
        <x:v>COMPLETE</x:v>
      </x:c>
      <x:c r="F6762" s="1" t="str">
        <x:v>Shipping on time</x:v>
      </x:c>
      <x:c r="G6762" s="6" t="n">
        <x:v>4</x:v>
      </x:c>
      <x:c r="H6762" s="6" t="n">
        <x:v>4</x:v>
      </x:c>
      <x:c r="I6762" s="6" t="n">
        <x:f>G6762-H6762</x:f>
        <x:v>0</x:v>
      </x:c>
      <x:c r="J6762" s="6" t="n">
        <x:f>IF(OR(E6762="CANCELED",E6762="SUSPECTED_FRAUD",F6762="Shipping canceled"),0,1)</x:f>
        <x:v>1</x:v>
      </x:c>
      <x:c r="K6762" s="6" t="n">
        <x:f>IF(G6762&gt;H6762,1,0)</x:f>
        <x:v>0</x:v>
      </x:c>
      <x:c r="L6762" s="6" t="n">
        <x:f>J6762*K6762</x:f>
        <x:v>0</x:v>
      </x:c>
    </x:row>
    <x:row r="6763">
      <x:c r="A6763" s="1" t="n">
        <x:v>53331</x:v>
      </x:c>
      <x:c r="B6763" s="5" t="d">
        <x:v>2017-02-17T00:00:00.000Z</x:v>
      </x:c>
      <x:c r="C6763" s="1" t="str">
        <x:v>Standard Class</x:v>
      </x:c>
      <x:c r="D6763" s="1" t="str">
        <x:v>LATAM</x:v>
      </x:c>
      <x:c r="E6763" s="1" t="str">
        <x:v>PROCESSING</x:v>
      </x:c>
      <x:c r="F6763" s="1" t="str">
        <x:v>Advance shipping</x:v>
      </x:c>
      <x:c r="G6763" s="6" t="n">
        <x:v>2</x:v>
      </x:c>
      <x:c r="H6763" s="6" t="n">
        <x:v>4</x:v>
      </x:c>
      <x:c r="I6763" s="6" t="n">
        <x:f>G6763-H6763</x:f>
        <x:v>-2</x:v>
      </x:c>
      <x:c r="J6763" s="6" t="n">
        <x:f>IF(OR(E6763="CANCELED",E6763="SUSPECTED_FRAUD",F6763="Shipping canceled"),0,1)</x:f>
        <x:v>1</x:v>
      </x:c>
      <x:c r="K6763" s="6" t="n">
        <x:f>IF(G6763&gt;H6763,1,0)</x:f>
        <x:v>0</x:v>
      </x:c>
      <x:c r="L6763" s="6" t="n">
        <x:f>J6763*K6763</x:f>
        <x:v>0</x:v>
      </x:c>
    </x:row>
    <x:row r="6764">
      <x:c r="A6764" s="1" t="n">
        <x:v>53334</x:v>
      </x:c>
      <x:c r="B6764" s="5" t="d">
        <x:v>2017-02-17T00:00:00.000Z</x:v>
      </x:c>
      <x:c r="C6764" s="1" t="str">
        <x:v>Second Class</x:v>
      </x:c>
      <x:c r="D6764" s="1" t="str">
        <x:v>LATAM</x:v>
      </x:c>
      <x:c r="E6764" s="1" t="str">
        <x:v>COMPLETE</x:v>
      </x:c>
      <x:c r="F6764" s="1" t="str">
        <x:v>Late delivery</x:v>
      </x:c>
      <x:c r="G6764" s="6" t="n">
        <x:v>5</x:v>
      </x:c>
      <x:c r="H6764" s="6" t="n">
        <x:v>2</x:v>
      </x:c>
      <x:c r="I6764" s="6" t="n">
        <x:f>G6764-H6764</x:f>
        <x:v>3</x:v>
      </x:c>
      <x:c r="J6764" s="6" t="n">
        <x:f>IF(OR(E6764="CANCELED",E6764="SUSPECTED_FRAUD",F6764="Shipping canceled"),0,1)</x:f>
        <x:v>1</x:v>
      </x:c>
      <x:c r="K6764" s="6" t="n">
        <x:f>IF(G6764&gt;H6764,1,0)</x:f>
        <x:v>1</x:v>
      </x:c>
      <x:c r="L6764" s="6" t="n">
        <x:f>J6764*K6764</x:f>
        <x:v>1</x:v>
      </x:c>
    </x:row>
    <x:row r="6765">
      <x:c r="A6765" s="1" t="n">
        <x:v>53337</x:v>
      </x:c>
      <x:c r="B6765" s="5" t="d">
        <x:v>2017-02-17T00:00:00.000Z</x:v>
      </x:c>
      <x:c r="C6765" s="1" t="str">
        <x:v>Standard Class</x:v>
      </x:c>
      <x:c r="D6765" s="1" t="str">
        <x:v>LATAM</x:v>
      </x:c>
      <x:c r="E6765" s="1" t="str">
        <x:v>COMPLETE</x:v>
      </x:c>
      <x:c r="F6765" s="1" t="str">
        <x:v>Advance shipping</x:v>
      </x:c>
      <x:c r="G6765" s="6" t="n">
        <x:v>3</x:v>
      </x:c>
      <x:c r="H6765" s="6" t="n">
        <x:v>4</x:v>
      </x:c>
      <x:c r="I6765" s="6" t="n">
        <x:f>G6765-H6765</x:f>
        <x:v>-1</x:v>
      </x:c>
      <x:c r="J6765" s="6" t="n">
        <x:f>IF(OR(E6765="CANCELED",E6765="SUSPECTED_FRAUD",F6765="Shipping canceled"),0,1)</x:f>
        <x:v>1</x:v>
      </x:c>
      <x:c r="K6765" s="6" t="n">
        <x:f>IF(G6765&gt;H6765,1,0)</x:f>
        <x:v>0</x:v>
      </x:c>
      <x:c r="L6765" s="6" t="n">
        <x:f>J6765*K6765</x:f>
        <x:v>0</x:v>
      </x:c>
    </x:row>
    <x:row r="6766">
      <x:c r="A6766" s="1" t="n">
        <x:v>53351</x:v>
      </x:c>
      <x:c r="B6766" s="5" t="d">
        <x:v>2017-02-17T00:00:00.000Z</x:v>
      </x:c>
      <x:c r="C6766" s="1" t="str">
        <x:v>Standard Class</x:v>
      </x:c>
      <x:c r="D6766" s="1" t="str">
        <x:v>LATAM</x:v>
      </x:c>
      <x:c r="E6766" s="1" t="str">
        <x:v>COMPLETE</x:v>
      </x:c>
      <x:c r="F6766" s="1" t="str">
        <x:v>Advance shipping</x:v>
      </x:c>
      <x:c r="G6766" s="6" t="n">
        <x:v>2</x:v>
      </x:c>
      <x:c r="H6766" s="6" t="n">
        <x:v>4</x:v>
      </x:c>
      <x:c r="I6766" s="6" t="n">
        <x:f>G6766-H6766</x:f>
        <x:v>-2</x:v>
      </x:c>
      <x:c r="J6766" s="6" t="n">
        <x:f>IF(OR(E6766="CANCELED",E6766="SUSPECTED_FRAUD",F6766="Shipping canceled"),0,1)</x:f>
        <x:v>1</x:v>
      </x:c>
      <x:c r="K6766" s="6" t="n">
        <x:f>IF(G6766&gt;H6766,1,0)</x:f>
        <x:v>0</x:v>
      </x:c>
      <x:c r="L6766" s="6" t="n">
        <x:f>J6766*K6766</x:f>
        <x:v>0</x:v>
      </x:c>
    </x:row>
    <x:row r="6767">
      <x:c r="A6767" s="1" t="n">
        <x:v>53354</x:v>
      </x:c>
      <x:c r="B6767" s="5" t="d">
        <x:v>2017-02-17T00:00:00.000Z</x:v>
      </x:c>
      <x:c r="C6767" s="1" t="str">
        <x:v>Standard Class</x:v>
      </x:c>
      <x:c r="D6767" s="1" t="str">
        <x:v>LATAM</x:v>
      </x:c>
      <x:c r="E6767" s="1" t="str">
        <x:v>PENDING_PAYMENT</x:v>
      </x:c>
      <x:c r="F6767" s="1" t="str">
        <x:v>Late delivery</x:v>
      </x:c>
      <x:c r="G6767" s="6" t="n">
        <x:v>5</x:v>
      </x:c>
      <x:c r="H6767" s="6" t="n">
        <x:v>4</x:v>
      </x:c>
      <x:c r="I6767" s="6" t="n">
        <x:f>G6767-H6767</x:f>
        <x:v>1</x:v>
      </x:c>
      <x:c r="J6767" s="6" t="n">
        <x:f>IF(OR(E6767="CANCELED",E6767="SUSPECTED_FRAUD",F6767="Shipping canceled"),0,1)</x:f>
        <x:v>1</x:v>
      </x:c>
      <x:c r="K6767" s="6" t="n">
        <x:f>IF(G6767&gt;H6767,1,0)</x:f>
        <x:v>1</x:v>
      </x:c>
      <x:c r="L6767" s="6" t="n">
        <x:f>J6767*K6767</x:f>
        <x:v>1</x:v>
      </x:c>
    </x:row>
    <x:row r="6768">
      <x:c r="A6768" s="1" t="n">
        <x:v>53369</x:v>
      </x:c>
      <x:c r="B6768" s="5" t="d">
        <x:v>2017-02-18T00:00:00.000Z</x:v>
      </x:c>
      <x:c r="C6768" s="1" t="str">
        <x:v>Standard Class</x:v>
      </x:c>
      <x:c r="D6768" s="1" t="str">
        <x:v>LATAM</x:v>
      </x:c>
      <x:c r="E6768" s="1" t="str">
        <x:v>COMPLETE</x:v>
      </x:c>
      <x:c r="F6768" s="1" t="str">
        <x:v>Late delivery</x:v>
      </x:c>
      <x:c r="G6768" s="6" t="n">
        <x:v>5</x:v>
      </x:c>
      <x:c r="H6768" s="6" t="n">
        <x:v>4</x:v>
      </x:c>
      <x:c r="I6768" s="6" t="n">
        <x:f>G6768-H6768</x:f>
        <x:v>1</x:v>
      </x:c>
      <x:c r="J6768" s="6" t="n">
        <x:f>IF(OR(E6768="CANCELED",E6768="SUSPECTED_FRAUD",F6768="Shipping canceled"),0,1)</x:f>
        <x:v>1</x:v>
      </x:c>
      <x:c r="K6768" s="6" t="n">
        <x:f>IF(G6768&gt;H6768,1,0)</x:f>
        <x:v>1</x:v>
      </x:c>
      <x:c r="L6768" s="6" t="n">
        <x:f>J6768*K6768</x:f>
        <x:v>1</x:v>
      </x:c>
    </x:row>
    <x:row r="6769">
      <x:c r="A6769" s="1" t="n">
        <x:v>53382</x:v>
      </x:c>
      <x:c r="B6769" s="5" t="d">
        <x:v>2017-02-18T00:00:00.000Z</x:v>
      </x:c>
      <x:c r="C6769" s="1" t="str">
        <x:v>Standard Class</x:v>
      </x:c>
      <x:c r="D6769" s="1" t="str">
        <x:v>LATAM</x:v>
      </x:c>
      <x:c r="E6769" s="1" t="str">
        <x:v>PENDING</x:v>
      </x:c>
      <x:c r="F6769" s="1" t="str">
        <x:v>Advance shipping</x:v>
      </x:c>
      <x:c r="G6769" s="6" t="n">
        <x:v>3</x:v>
      </x:c>
      <x:c r="H6769" s="6" t="n">
        <x:v>4</x:v>
      </x:c>
      <x:c r="I6769" s="6" t="n">
        <x:f>G6769-H6769</x:f>
        <x:v>-1</x:v>
      </x:c>
      <x:c r="J6769" s="6" t="n">
        <x:f>IF(OR(E6769="CANCELED",E6769="SUSPECTED_FRAUD",F6769="Shipping canceled"),0,1)</x:f>
        <x:v>1</x:v>
      </x:c>
      <x:c r="K6769" s="6" t="n">
        <x:f>IF(G6769&gt;H6769,1,0)</x:f>
        <x:v>0</x:v>
      </x:c>
      <x:c r="L6769" s="6" t="n">
        <x:f>J6769*K6769</x:f>
        <x:v>0</x:v>
      </x:c>
    </x:row>
    <x:row r="6770">
      <x:c r="A6770" s="1" t="n">
        <x:v>53386</x:v>
      </x:c>
      <x:c r="B6770" s="5" t="d">
        <x:v>2017-02-18T00:00:00.000Z</x:v>
      </x:c>
      <x:c r="C6770" s="1" t="str">
        <x:v>Second Class</x:v>
      </x:c>
      <x:c r="D6770" s="1" t="str">
        <x:v>LATAM</x:v>
      </x:c>
      <x:c r="E6770" s="1" t="str">
        <x:v>PENDING</x:v>
      </x:c>
      <x:c r="F6770" s="1" t="str">
        <x:v>Shipping on time</x:v>
      </x:c>
      <x:c r="G6770" s="6" t="n">
        <x:v>2</x:v>
      </x:c>
      <x:c r="H6770" s="6" t="n">
        <x:v>2</x:v>
      </x:c>
      <x:c r="I6770" s="6" t="n">
        <x:f>G6770-H6770</x:f>
        <x:v>0</x:v>
      </x:c>
      <x:c r="J6770" s="6" t="n">
        <x:f>IF(OR(E6770="CANCELED",E6770="SUSPECTED_FRAUD",F6770="Shipping canceled"),0,1)</x:f>
        <x:v>1</x:v>
      </x:c>
      <x:c r="K6770" s="6" t="n">
        <x:f>IF(G6770&gt;H6770,1,0)</x:f>
        <x:v>0</x:v>
      </x:c>
      <x:c r="L6770" s="6" t="n">
        <x:f>J6770*K6770</x:f>
        <x:v>0</x:v>
      </x:c>
    </x:row>
    <x:row r="6771">
      <x:c r="A6771" s="1" t="n">
        <x:v>53403</x:v>
      </x:c>
      <x:c r="B6771" s="5" t="d">
        <x:v>2017-02-18T00:00:00.000Z</x:v>
      </x:c>
      <x:c r="C6771" s="1" t="str">
        <x:v>Second Class</x:v>
      </x:c>
      <x:c r="D6771" s="1" t="str">
        <x:v>LATAM</x:v>
      </x:c>
      <x:c r="E6771" s="1" t="str">
        <x:v>PENDING_PAYMENT</x:v>
      </x:c>
      <x:c r="F6771" s="1" t="str">
        <x:v>Late delivery</x:v>
      </x:c>
      <x:c r="G6771" s="6" t="n">
        <x:v>4</x:v>
      </x:c>
      <x:c r="H6771" s="6" t="n">
        <x:v>2</x:v>
      </x:c>
      <x:c r="I6771" s="6" t="n">
        <x:f>G6771-H6771</x:f>
        <x:v>2</x:v>
      </x:c>
      <x:c r="J6771" s="6" t="n">
        <x:f>IF(OR(E6771="CANCELED",E6771="SUSPECTED_FRAUD",F6771="Shipping canceled"),0,1)</x:f>
        <x:v>1</x:v>
      </x:c>
      <x:c r="K6771" s="6" t="n">
        <x:f>IF(G6771&gt;H6771,1,0)</x:f>
        <x:v>1</x:v>
      </x:c>
      <x:c r="L6771" s="6" t="n">
        <x:f>J6771*K6771</x:f>
        <x:v>1</x:v>
      </x:c>
    </x:row>
    <x:row r="6772">
      <x:c r="A6772" s="1" t="n">
        <x:v>53413</x:v>
      </x:c>
      <x:c r="B6772" s="5" t="d">
        <x:v>2017-02-18T00:00:00.000Z</x:v>
      </x:c>
      <x:c r="C6772" s="1" t="str">
        <x:v>Second Class</x:v>
      </x:c>
      <x:c r="D6772" s="1" t="str">
        <x:v>LATAM</x:v>
      </x:c>
      <x:c r="E6772" s="1" t="str">
        <x:v>PENDING_PAYMENT</x:v>
      </x:c>
      <x:c r="F6772" s="1" t="str">
        <x:v>Late delivery</x:v>
      </x:c>
      <x:c r="G6772" s="6" t="n">
        <x:v>4</x:v>
      </x:c>
      <x:c r="H6772" s="6" t="n">
        <x:v>2</x:v>
      </x:c>
      <x:c r="I6772" s="6" t="n">
        <x:f>G6772-H6772</x:f>
        <x:v>2</x:v>
      </x:c>
      <x:c r="J6772" s="6" t="n">
        <x:f>IF(OR(E6772="CANCELED",E6772="SUSPECTED_FRAUD",F6772="Shipping canceled"),0,1)</x:f>
        <x:v>1</x:v>
      </x:c>
      <x:c r="K6772" s="6" t="n">
        <x:f>IF(G6772&gt;H6772,1,0)</x:f>
        <x:v>1</x:v>
      </x:c>
      <x:c r="L6772" s="6" t="n">
        <x:f>J6772*K6772</x:f>
        <x:v>1</x:v>
      </x:c>
    </x:row>
    <x:row r="6773">
      <x:c r="A6773" s="1" t="n">
        <x:v>53421</x:v>
      </x:c>
      <x:c r="B6773" s="5" t="d">
        <x:v>2017-02-18T00:00:00.000Z</x:v>
      </x:c>
      <x:c r="C6773" s="1" t="str">
        <x:v>First Class</x:v>
      </x:c>
      <x:c r="D6773" s="1" t="str">
        <x:v>LATAM</x:v>
      </x:c>
      <x:c r="E6773" s="1" t="str">
        <x:v>CLOSED</x:v>
      </x:c>
      <x:c r="F6773" s="1" t="str">
        <x:v>Late delivery</x:v>
      </x:c>
      <x:c r="G6773" s="6" t="n">
        <x:v>2</x:v>
      </x:c>
      <x:c r="H6773" s="6" t="n">
        <x:v>1</x:v>
      </x:c>
      <x:c r="I6773" s="6" t="n">
        <x:f>G6773-H6773</x:f>
        <x:v>1</x:v>
      </x:c>
      <x:c r="J6773" s="6" t="n">
        <x:f>IF(OR(E6773="CANCELED",E6773="SUSPECTED_FRAUD",F6773="Shipping canceled"),0,1)</x:f>
        <x:v>1</x:v>
      </x:c>
      <x:c r="K6773" s="6" t="n">
        <x:f>IF(G6773&gt;H6773,1,0)</x:f>
        <x:v>1</x:v>
      </x:c>
      <x:c r="L6773" s="6" t="n">
        <x:f>J6773*K6773</x:f>
        <x:v>1</x:v>
      </x:c>
    </x:row>
    <x:row r="6774">
      <x:c r="A6774" s="1" t="n">
        <x:v>53423</x:v>
      </x:c>
      <x:c r="B6774" s="5" t="d">
        <x:v>2017-02-18T00:00:00.000Z</x:v>
      </x:c>
      <x:c r="C6774" s="1" t="str">
        <x:v>First Class</x:v>
      </x:c>
      <x:c r="D6774" s="1" t="str">
        <x:v>LATAM</x:v>
      </x:c>
      <x:c r="E6774" s="1" t="str">
        <x:v>CLOSED</x:v>
      </x:c>
      <x:c r="F6774" s="1" t="str">
        <x:v>Late delivery</x:v>
      </x:c>
      <x:c r="G6774" s="6" t="n">
        <x:v>2</x:v>
      </x:c>
      <x:c r="H6774" s="6" t="n">
        <x:v>1</x:v>
      </x:c>
      <x:c r="I6774" s="6" t="n">
        <x:f>G6774-H6774</x:f>
        <x:v>1</x:v>
      </x:c>
      <x:c r="J6774" s="6" t="n">
        <x:f>IF(OR(E6774="CANCELED",E6774="SUSPECTED_FRAUD",F6774="Shipping canceled"),0,1)</x:f>
        <x:v>1</x:v>
      </x:c>
      <x:c r="K6774" s="6" t="n">
        <x:f>IF(G6774&gt;H6774,1,0)</x:f>
        <x:v>1</x:v>
      </x:c>
      <x:c r="L6774" s="6" t="n">
        <x:f>J6774*K6774</x:f>
        <x:v>1</x:v>
      </x:c>
    </x:row>
    <x:row r="6775">
      <x:c r="A6775" s="1" t="n">
        <x:v>53426</x:v>
      </x:c>
      <x:c r="B6775" s="5" t="d">
        <x:v>2017-02-18T00:00:00.000Z</x:v>
      </x:c>
      <x:c r="C6775" s="1" t="str">
        <x:v>Standard Class</x:v>
      </x:c>
      <x:c r="D6775" s="1" t="str">
        <x:v>LATAM</x:v>
      </x:c>
      <x:c r="E6775" s="1" t="str">
        <x:v>COMPLETE</x:v>
      </x:c>
      <x:c r="F6775" s="1" t="str">
        <x:v>Advance shipping</x:v>
      </x:c>
      <x:c r="G6775" s="6" t="n">
        <x:v>2</x:v>
      </x:c>
      <x:c r="H6775" s="6" t="n">
        <x:v>4</x:v>
      </x:c>
      <x:c r="I6775" s="6" t="n">
        <x:f>G6775-H6775</x:f>
        <x:v>-2</x:v>
      </x:c>
      <x:c r="J6775" s="6" t="n">
        <x:f>IF(OR(E6775="CANCELED",E6775="SUSPECTED_FRAUD",F6775="Shipping canceled"),0,1)</x:f>
        <x:v>1</x:v>
      </x:c>
      <x:c r="K6775" s="6" t="n">
        <x:f>IF(G6775&gt;H6775,1,0)</x:f>
        <x:v>0</x:v>
      </x:c>
      <x:c r="L6775" s="6" t="n">
        <x:f>J6775*K6775</x:f>
        <x:v>0</x:v>
      </x:c>
    </x:row>
    <x:row r="6776">
      <x:c r="A6776" s="1" t="n">
        <x:v>53427</x:v>
      </x:c>
      <x:c r="B6776" s="5" t="d">
        <x:v>2017-02-18T00:00:00.000Z</x:v>
      </x:c>
      <x:c r="C6776" s="1" t="str">
        <x:v>Standard Class</x:v>
      </x:c>
      <x:c r="D6776" s="1" t="str">
        <x:v>LATAM</x:v>
      </x:c>
      <x:c r="E6776" s="1" t="str">
        <x:v>CLOSED</x:v>
      </x:c>
      <x:c r="F6776" s="1" t="str">
        <x:v>Advance shipping</x:v>
      </x:c>
      <x:c r="G6776" s="6" t="n">
        <x:v>3</x:v>
      </x:c>
      <x:c r="H6776" s="6" t="n">
        <x:v>4</x:v>
      </x:c>
      <x:c r="I6776" s="6" t="n">
        <x:f>G6776-H6776</x:f>
        <x:v>-1</x:v>
      </x:c>
      <x:c r="J6776" s="6" t="n">
        <x:f>IF(OR(E6776="CANCELED",E6776="SUSPECTED_FRAUD",F6776="Shipping canceled"),0,1)</x:f>
        <x:v>1</x:v>
      </x:c>
      <x:c r="K6776" s="6" t="n">
        <x:f>IF(G6776&gt;H6776,1,0)</x:f>
        <x:v>0</x:v>
      </x:c>
      <x:c r="L6776" s="6" t="n">
        <x:f>J6776*K6776</x:f>
        <x:v>0</x:v>
      </x:c>
    </x:row>
    <x:row r="6777">
      <x:c r="A6777" s="1" t="n">
        <x:v>53430</x:v>
      </x:c>
      <x:c r="B6777" s="5" t="d">
        <x:v>2017-02-18T00:00:00.000Z</x:v>
      </x:c>
      <x:c r="C6777" s="1" t="str">
        <x:v>Standard Class</x:v>
      </x:c>
      <x:c r="D6777" s="1" t="str">
        <x:v>LATAM</x:v>
      </x:c>
      <x:c r="E6777" s="1" t="str">
        <x:v>CANCELED</x:v>
      </x:c>
      <x:c r="F6777" s="1" t="str">
        <x:v>Shipping canceled</x:v>
      </x:c>
      <x:c r="G6777" s="6" t="n">
        <x:v>6</x:v>
      </x:c>
      <x:c r="H6777" s="6" t="n">
        <x:v>4</x:v>
      </x:c>
      <x:c r="I6777" s="6" t="n">
        <x:f>G6777-H6777</x:f>
        <x:v>2</x:v>
      </x:c>
      <x:c r="J6777" s="6" t="n">
        <x:f>IF(OR(E6777="CANCELED",E6777="SUSPECTED_FRAUD",F6777="Shipping canceled"),0,1)</x:f>
        <x:v>0</x:v>
      </x:c>
      <x:c r="K6777" s="6" t="n">
        <x:f>IF(G6777&gt;H6777,1,0)</x:f>
        <x:v>1</x:v>
      </x:c>
      <x:c r="L6777" s="6" t="n">
        <x:f>J6777*K6777</x:f>
        <x:v>0</x:v>
      </x:c>
    </x:row>
    <x:row r="6778">
      <x:c r="A6778" s="1" t="n">
        <x:v>53448</x:v>
      </x:c>
      <x:c r="B6778" s="5" t="d">
        <x:v>2017-02-19T00:00:00.000Z</x:v>
      </x:c>
      <x:c r="C6778" s="1" t="str">
        <x:v>Standard Class</x:v>
      </x:c>
      <x:c r="D6778" s="1" t="str">
        <x:v>LATAM</x:v>
      </x:c>
      <x:c r="E6778" s="1" t="str">
        <x:v>PENDING_PAYMENT</x:v>
      </x:c>
      <x:c r="F6778" s="1" t="str">
        <x:v>Shipping on time</x:v>
      </x:c>
      <x:c r="G6778" s="6" t="n">
        <x:v>4</x:v>
      </x:c>
      <x:c r="H6778" s="6" t="n">
        <x:v>4</x:v>
      </x:c>
      <x:c r="I6778" s="6" t="n">
        <x:f>G6778-H6778</x:f>
        <x:v>0</x:v>
      </x:c>
      <x:c r="J6778" s="6" t="n">
        <x:f>IF(OR(E6778="CANCELED",E6778="SUSPECTED_FRAUD",F6778="Shipping canceled"),0,1)</x:f>
        <x:v>1</x:v>
      </x:c>
      <x:c r="K6778" s="6" t="n">
        <x:f>IF(G6778&gt;H6778,1,0)</x:f>
        <x:v>0</x:v>
      </x:c>
      <x:c r="L6778" s="6" t="n">
        <x:f>J6778*K6778</x:f>
        <x:v>0</x:v>
      </x:c>
    </x:row>
    <x:row r="6779">
      <x:c r="A6779" s="1" t="n">
        <x:v>53449</x:v>
      </x:c>
      <x:c r="B6779" s="5" t="d">
        <x:v>2017-02-19T00:00:00.000Z</x:v>
      </x:c>
      <x:c r="C6779" s="1" t="str">
        <x:v>Standard Class</x:v>
      </x:c>
      <x:c r="D6779" s="1" t="str">
        <x:v>LATAM</x:v>
      </x:c>
      <x:c r="E6779" s="1" t="str">
        <x:v>COMPLETE</x:v>
      </x:c>
      <x:c r="F6779" s="1" t="str">
        <x:v>Late delivery</x:v>
      </x:c>
      <x:c r="G6779" s="6" t="n">
        <x:v>5</x:v>
      </x:c>
      <x:c r="H6779" s="6" t="n">
        <x:v>4</x:v>
      </x:c>
      <x:c r="I6779" s="6" t="n">
        <x:f>G6779-H6779</x:f>
        <x:v>1</x:v>
      </x:c>
      <x:c r="J6779" s="6" t="n">
        <x:f>IF(OR(E6779="CANCELED",E6779="SUSPECTED_FRAUD",F6779="Shipping canceled"),0,1)</x:f>
        <x:v>1</x:v>
      </x:c>
      <x:c r="K6779" s="6" t="n">
        <x:f>IF(G6779&gt;H6779,1,0)</x:f>
        <x:v>1</x:v>
      </x:c>
      <x:c r="L6779" s="6" t="n">
        <x:f>J6779*K6779</x:f>
        <x:v>1</x:v>
      </x:c>
    </x:row>
    <x:row r="6780">
      <x:c r="A6780" s="1" t="n">
        <x:v>53455</x:v>
      </x:c>
      <x:c r="B6780" s="5" t="d">
        <x:v>2017-02-19T00:00:00.000Z</x:v>
      </x:c>
      <x:c r="C6780" s="1" t="str">
        <x:v>Standard Class</x:v>
      </x:c>
      <x:c r="D6780" s="1" t="str">
        <x:v>LATAM</x:v>
      </x:c>
      <x:c r="E6780" s="1" t="str">
        <x:v>PROCESSING</x:v>
      </x:c>
      <x:c r="F6780" s="1" t="str">
        <x:v>Late delivery</x:v>
      </x:c>
      <x:c r="G6780" s="6" t="n">
        <x:v>6</x:v>
      </x:c>
      <x:c r="H6780" s="6" t="n">
        <x:v>4</x:v>
      </x:c>
      <x:c r="I6780" s="6" t="n">
        <x:f>G6780-H6780</x:f>
        <x:v>2</x:v>
      </x:c>
      <x:c r="J6780" s="6" t="n">
        <x:f>IF(OR(E6780="CANCELED",E6780="SUSPECTED_FRAUD",F6780="Shipping canceled"),0,1)</x:f>
        <x:v>1</x:v>
      </x:c>
      <x:c r="K6780" s="6" t="n">
        <x:f>IF(G6780&gt;H6780,1,0)</x:f>
        <x:v>1</x:v>
      </x:c>
      <x:c r="L6780" s="6" t="n">
        <x:f>J6780*K6780</x:f>
        <x:v>1</x:v>
      </x:c>
    </x:row>
    <x:row r="6781">
      <x:c r="A6781" s="1" t="n">
        <x:v>53464</x:v>
      </x:c>
      <x:c r="B6781" s="5" t="d">
        <x:v>2017-02-19T00:00:00.000Z</x:v>
      </x:c>
      <x:c r="C6781" s="1" t="str">
        <x:v>Standard Class</x:v>
      </x:c>
      <x:c r="D6781" s="1" t="str">
        <x:v>LATAM</x:v>
      </x:c>
      <x:c r="E6781" s="1" t="str">
        <x:v>COMPLETE</x:v>
      </x:c>
      <x:c r="F6781" s="1" t="str">
        <x:v>Late delivery</x:v>
      </x:c>
      <x:c r="G6781" s="6" t="n">
        <x:v>5</x:v>
      </x:c>
      <x:c r="H6781" s="6" t="n">
        <x:v>4</x:v>
      </x:c>
      <x:c r="I6781" s="6" t="n">
        <x:f>G6781-H6781</x:f>
        <x:v>1</x:v>
      </x:c>
      <x:c r="J6781" s="6" t="n">
        <x:f>IF(OR(E6781="CANCELED",E6781="SUSPECTED_FRAUD",F6781="Shipping canceled"),0,1)</x:f>
        <x:v>1</x:v>
      </x:c>
      <x:c r="K6781" s="6" t="n">
        <x:f>IF(G6781&gt;H6781,1,0)</x:f>
        <x:v>1</x:v>
      </x:c>
      <x:c r="L6781" s="6" t="n">
        <x:f>J6781*K6781</x:f>
        <x:v>1</x:v>
      </x:c>
    </x:row>
    <x:row r="6782">
      <x:c r="A6782" s="1" t="n">
        <x:v>53473</x:v>
      </x:c>
      <x:c r="B6782" s="5" t="d">
        <x:v>2017-02-19T00:00:00.000Z</x:v>
      </x:c>
      <x:c r="C6782" s="1" t="str">
        <x:v>Standard Class</x:v>
      </x:c>
      <x:c r="D6782" s="1" t="str">
        <x:v>LATAM</x:v>
      </x:c>
      <x:c r="E6782" s="1" t="str">
        <x:v>PENDING_PAYMENT</x:v>
      </x:c>
      <x:c r="F6782" s="1" t="str">
        <x:v>Shipping on time</x:v>
      </x:c>
      <x:c r="G6782" s="6" t="n">
        <x:v>4</x:v>
      </x:c>
      <x:c r="H6782" s="6" t="n">
        <x:v>4</x:v>
      </x:c>
      <x:c r="I6782" s="6" t="n">
        <x:f>G6782-H6782</x:f>
        <x:v>0</x:v>
      </x:c>
      <x:c r="J6782" s="6" t="n">
        <x:f>IF(OR(E6782="CANCELED",E6782="SUSPECTED_FRAUD",F6782="Shipping canceled"),0,1)</x:f>
        <x:v>1</x:v>
      </x:c>
      <x:c r="K6782" s="6" t="n">
        <x:f>IF(G6782&gt;H6782,1,0)</x:f>
        <x:v>0</x:v>
      </x:c>
      <x:c r="L6782" s="6" t="n">
        <x:f>J6782*K6782</x:f>
        <x:v>0</x:v>
      </x:c>
    </x:row>
    <x:row r="6783">
      <x:c r="A6783" s="1" t="n">
        <x:v>53477</x:v>
      </x:c>
      <x:c r="B6783" s="5" t="d">
        <x:v>2017-02-19T00:00:00.000Z</x:v>
      </x:c>
      <x:c r="C6783" s="1" t="str">
        <x:v>Standard Class</x:v>
      </x:c>
      <x:c r="D6783" s="1" t="str">
        <x:v>LATAM</x:v>
      </x:c>
      <x:c r="E6783" s="1" t="str">
        <x:v>COMPLETE</x:v>
      </x:c>
      <x:c r="F6783" s="1" t="str">
        <x:v>Advance shipping</x:v>
      </x:c>
      <x:c r="G6783" s="6" t="n">
        <x:v>3</x:v>
      </x:c>
      <x:c r="H6783" s="6" t="n">
        <x:v>4</x:v>
      </x:c>
      <x:c r="I6783" s="6" t="n">
        <x:f>G6783-H6783</x:f>
        <x:v>-1</x:v>
      </x:c>
      <x:c r="J6783" s="6" t="n">
        <x:f>IF(OR(E6783="CANCELED",E6783="SUSPECTED_FRAUD",F6783="Shipping canceled"),0,1)</x:f>
        <x:v>1</x:v>
      </x:c>
      <x:c r="K6783" s="6" t="n">
        <x:f>IF(G6783&gt;H6783,1,0)</x:f>
        <x:v>0</x:v>
      </x:c>
      <x:c r="L6783" s="6" t="n">
        <x:f>J6783*K6783</x:f>
        <x:v>0</x:v>
      </x:c>
    </x:row>
    <x:row r="6784">
      <x:c r="A6784" s="1" t="n">
        <x:v>53478</x:v>
      </x:c>
      <x:c r="B6784" s="5" t="d">
        <x:v>2017-02-19T00:00:00.000Z</x:v>
      </x:c>
      <x:c r="C6784" s="1" t="str">
        <x:v>Standard Class</x:v>
      </x:c>
      <x:c r="D6784" s="1" t="str">
        <x:v>LATAM</x:v>
      </x:c>
      <x:c r="E6784" s="1" t="str">
        <x:v>CANCELED</x:v>
      </x:c>
      <x:c r="F6784" s="1" t="str">
        <x:v>Shipping canceled</x:v>
      </x:c>
      <x:c r="G6784" s="6" t="n">
        <x:v>4</x:v>
      </x:c>
      <x:c r="H6784" s="6" t="n">
        <x:v>4</x:v>
      </x:c>
      <x:c r="I6784" s="6" t="n">
        <x:f>G6784-H6784</x:f>
        <x:v>0</x:v>
      </x:c>
      <x:c r="J6784" s="6" t="n">
        <x:f>IF(OR(E6784="CANCELED",E6784="SUSPECTED_FRAUD",F6784="Shipping canceled"),0,1)</x:f>
        <x:v>0</x:v>
      </x:c>
      <x:c r="K6784" s="6" t="n">
        <x:f>IF(G6784&gt;H6784,1,0)</x:f>
        <x:v>0</x:v>
      </x:c>
      <x:c r="L6784" s="6" t="n">
        <x:f>J6784*K6784</x:f>
        <x:v>0</x:v>
      </x:c>
    </x:row>
    <x:row r="6785">
      <x:c r="A6785" s="1" t="n">
        <x:v>53483</x:v>
      </x:c>
      <x:c r="B6785" s="5" t="d">
        <x:v>2017-02-19T00:00:00.000Z</x:v>
      </x:c>
      <x:c r="C6785" s="1" t="str">
        <x:v>Standard Class</x:v>
      </x:c>
      <x:c r="D6785" s="1" t="str">
        <x:v>LATAM</x:v>
      </x:c>
      <x:c r="E6785" s="1" t="str">
        <x:v>COMPLETE</x:v>
      </x:c>
      <x:c r="F6785" s="1" t="str">
        <x:v>Shipping on time</x:v>
      </x:c>
      <x:c r="G6785" s="6" t="n">
        <x:v>4</x:v>
      </x:c>
      <x:c r="H6785" s="6" t="n">
        <x:v>4</x:v>
      </x:c>
      <x:c r="I6785" s="6" t="n">
        <x:f>G6785-H6785</x:f>
        <x:v>0</x:v>
      </x:c>
      <x:c r="J6785" s="6" t="n">
        <x:f>IF(OR(E6785="CANCELED",E6785="SUSPECTED_FRAUD",F6785="Shipping canceled"),0,1)</x:f>
        <x:v>1</x:v>
      </x:c>
      <x:c r="K6785" s="6" t="n">
        <x:f>IF(G6785&gt;H6785,1,0)</x:f>
        <x:v>0</x:v>
      </x:c>
      <x:c r="L6785" s="6" t="n">
        <x:f>J6785*K6785</x:f>
        <x:v>0</x:v>
      </x:c>
    </x:row>
    <x:row r="6786">
      <x:c r="A6786" s="1" t="n">
        <x:v>53491</x:v>
      </x:c>
      <x:c r="B6786" s="5" t="d">
        <x:v>2017-02-19T00:00:00.000Z</x:v>
      </x:c>
      <x:c r="C6786" s="1" t="str">
        <x:v>Standard Class</x:v>
      </x:c>
      <x:c r="D6786" s="1" t="str">
        <x:v>LATAM</x:v>
      </x:c>
      <x:c r="E6786" s="1" t="str">
        <x:v>COMPLETE</x:v>
      </x:c>
      <x:c r="F6786" s="1" t="str">
        <x:v>Advance shipping</x:v>
      </x:c>
      <x:c r="G6786" s="6" t="n">
        <x:v>2</x:v>
      </x:c>
      <x:c r="H6786" s="6" t="n">
        <x:v>4</x:v>
      </x:c>
      <x:c r="I6786" s="6" t="n">
        <x:f>G6786-H6786</x:f>
        <x:v>-2</x:v>
      </x:c>
      <x:c r="J6786" s="6" t="n">
        <x:f>IF(OR(E6786="CANCELED",E6786="SUSPECTED_FRAUD",F6786="Shipping canceled"),0,1)</x:f>
        <x:v>1</x:v>
      </x:c>
      <x:c r="K6786" s="6" t="n">
        <x:f>IF(G6786&gt;H6786,1,0)</x:f>
        <x:v>0</x:v>
      </x:c>
      <x:c r="L6786" s="6" t="n">
        <x:f>J6786*K6786</x:f>
        <x:v>0</x:v>
      </x:c>
    </x:row>
    <x:row r="6787">
      <x:c r="A6787" s="1" t="n">
        <x:v>53499</x:v>
      </x:c>
      <x:c r="B6787" s="5" t="d">
        <x:v>2017-02-19T00:00:00.000Z</x:v>
      </x:c>
      <x:c r="C6787" s="1" t="str">
        <x:v>Second Class</x:v>
      </x:c>
      <x:c r="D6787" s="1" t="str">
        <x:v>LATAM</x:v>
      </x:c>
      <x:c r="E6787" s="1" t="str">
        <x:v>ON_HOLD</x:v>
      </x:c>
      <x:c r="F6787" s="1" t="str">
        <x:v>Late delivery</x:v>
      </x:c>
      <x:c r="G6787" s="6" t="n">
        <x:v>5</x:v>
      </x:c>
      <x:c r="H6787" s="6" t="n">
        <x:v>2</x:v>
      </x:c>
      <x:c r="I6787" s="6" t="n">
        <x:f>G6787-H6787</x:f>
        <x:v>3</x:v>
      </x:c>
      <x:c r="J6787" s="6" t="n">
        <x:f>IF(OR(E6787="CANCELED",E6787="SUSPECTED_FRAUD",F6787="Shipping canceled"),0,1)</x:f>
        <x:v>1</x:v>
      </x:c>
      <x:c r="K6787" s="6" t="n">
        <x:f>IF(G6787&gt;H6787,1,0)</x:f>
        <x:v>1</x:v>
      </x:c>
      <x:c r="L6787" s="6" t="n">
        <x:f>J6787*K6787</x:f>
        <x:v>1</x:v>
      </x:c>
    </x:row>
    <x:row r="6788">
      <x:c r="A6788" s="1" t="n">
        <x:v>53501</x:v>
      </x:c>
      <x:c r="B6788" s="5" t="d">
        <x:v>2017-02-19T00:00:00.000Z</x:v>
      </x:c>
      <x:c r="C6788" s="1" t="str">
        <x:v>Second Class</x:v>
      </x:c>
      <x:c r="D6788" s="1" t="str">
        <x:v>LATAM</x:v>
      </x:c>
      <x:c r="E6788" s="1" t="str">
        <x:v>COMPLETE</x:v>
      </x:c>
      <x:c r="F6788" s="1" t="str">
        <x:v>Shipping on time</x:v>
      </x:c>
      <x:c r="G6788" s="6" t="n">
        <x:v>2</x:v>
      </x:c>
      <x:c r="H6788" s="6" t="n">
        <x:v>2</x:v>
      </x:c>
      <x:c r="I6788" s="6" t="n">
        <x:f>G6788-H6788</x:f>
        <x:v>0</x:v>
      </x:c>
      <x:c r="J6788" s="6" t="n">
        <x:f>IF(OR(E6788="CANCELED",E6788="SUSPECTED_FRAUD",F6788="Shipping canceled"),0,1)</x:f>
        <x:v>1</x:v>
      </x:c>
      <x:c r="K6788" s="6" t="n">
        <x:f>IF(G6788&gt;H6788,1,0)</x:f>
        <x:v>0</x:v>
      </x:c>
      <x:c r="L6788" s="6" t="n">
        <x:f>J6788*K6788</x:f>
        <x:v>0</x:v>
      </x:c>
    </x:row>
    <x:row r="6789">
      <x:c r="A6789" s="1" t="n">
        <x:v>53505</x:v>
      </x:c>
      <x:c r="B6789" s="5" t="d">
        <x:v>2017-02-20T00:00:00.000Z</x:v>
      </x:c>
      <x:c r="C6789" s="1" t="str">
        <x:v>Standard Class</x:v>
      </x:c>
      <x:c r="D6789" s="1" t="str">
        <x:v>LATAM</x:v>
      </x:c>
      <x:c r="E6789" s="1" t="str">
        <x:v>PROCESSING</x:v>
      </x:c>
      <x:c r="F6789" s="1" t="str">
        <x:v>Late delivery</x:v>
      </x:c>
      <x:c r="G6789" s="6" t="n">
        <x:v>6</x:v>
      </x:c>
      <x:c r="H6789" s="6" t="n">
        <x:v>4</x:v>
      </x:c>
      <x:c r="I6789" s="6" t="n">
        <x:f>G6789-H6789</x:f>
        <x:v>2</x:v>
      </x:c>
      <x:c r="J6789" s="6" t="n">
        <x:f>IF(OR(E6789="CANCELED",E6789="SUSPECTED_FRAUD",F6789="Shipping canceled"),0,1)</x:f>
        <x:v>1</x:v>
      </x:c>
      <x:c r="K6789" s="6" t="n">
        <x:f>IF(G6789&gt;H6789,1,0)</x:f>
        <x:v>1</x:v>
      </x:c>
      <x:c r="L6789" s="6" t="n">
        <x:f>J6789*K6789</x:f>
        <x:v>1</x:v>
      </x:c>
    </x:row>
    <x:row r="6790">
      <x:c r="A6790" s="1" t="n">
        <x:v>53506</x:v>
      </x:c>
      <x:c r="B6790" s="5" t="d">
        <x:v>2017-02-20T00:00:00.000Z</x:v>
      </x:c>
      <x:c r="C6790" s="1" t="str">
        <x:v>Standard Class</x:v>
      </x:c>
      <x:c r="D6790" s="1" t="str">
        <x:v>LATAM</x:v>
      </x:c>
      <x:c r="E6790" s="1" t="str">
        <x:v>ON_HOLD</x:v>
      </x:c>
      <x:c r="F6790" s="1" t="str">
        <x:v>Advance shipping</x:v>
      </x:c>
      <x:c r="G6790" s="6" t="n">
        <x:v>2</x:v>
      </x:c>
      <x:c r="H6790" s="6" t="n">
        <x:v>4</x:v>
      </x:c>
      <x:c r="I6790" s="6" t="n">
        <x:f>G6790-H6790</x:f>
        <x:v>-2</x:v>
      </x:c>
      <x:c r="J6790" s="6" t="n">
        <x:f>IF(OR(E6790="CANCELED",E6790="SUSPECTED_FRAUD",F6790="Shipping canceled"),0,1)</x:f>
        <x:v>1</x:v>
      </x:c>
      <x:c r="K6790" s="6" t="n">
        <x:f>IF(G6790&gt;H6790,1,0)</x:f>
        <x:v>0</x:v>
      </x:c>
      <x:c r="L6790" s="6" t="n">
        <x:f>J6790*K6790</x:f>
        <x:v>0</x:v>
      </x:c>
    </x:row>
    <x:row r="6791">
      <x:c r="A6791" s="1" t="n">
        <x:v>53507</x:v>
      </x:c>
      <x:c r="B6791" s="5" t="d">
        <x:v>2017-02-20T00:00:00.000Z</x:v>
      </x:c>
      <x:c r="C6791" s="1" t="str">
        <x:v>Standard Class</x:v>
      </x:c>
      <x:c r="D6791" s="1" t="str">
        <x:v>LATAM</x:v>
      </x:c>
      <x:c r="E6791" s="1" t="str">
        <x:v>PENDING</x:v>
      </x:c>
      <x:c r="F6791" s="1" t="str">
        <x:v>Advance shipping</x:v>
      </x:c>
      <x:c r="G6791" s="6" t="n">
        <x:v>3</x:v>
      </x:c>
      <x:c r="H6791" s="6" t="n">
        <x:v>4</x:v>
      </x:c>
      <x:c r="I6791" s="6" t="n">
        <x:f>G6791-H6791</x:f>
        <x:v>-1</x:v>
      </x:c>
      <x:c r="J6791" s="6" t="n">
        <x:f>IF(OR(E6791="CANCELED",E6791="SUSPECTED_FRAUD",F6791="Shipping canceled"),0,1)</x:f>
        <x:v>1</x:v>
      </x:c>
      <x:c r="K6791" s="6" t="n">
        <x:f>IF(G6791&gt;H6791,1,0)</x:f>
        <x:v>0</x:v>
      </x:c>
      <x:c r="L6791" s="6" t="n">
        <x:f>J6791*K6791</x:f>
        <x:v>0</x:v>
      </x:c>
    </x:row>
    <x:row r="6792">
      <x:c r="A6792" s="1" t="n">
        <x:v>53510</x:v>
      </x:c>
      <x:c r="B6792" s="5" t="d">
        <x:v>2017-02-20T00:00:00.000Z</x:v>
      </x:c>
      <x:c r="C6792" s="1" t="str">
        <x:v>Standard Class</x:v>
      </x:c>
      <x:c r="D6792" s="1" t="str">
        <x:v>LATAM</x:v>
      </x:c>
      <x:c r="E6792" s="1" t="str">
        <x:v>PENDING_PAYMENT</x:v>
      </x:c>
      <x:c r="F6792" s="1" t="str">
        <x:v>Late delivery</x:v>
      </x:c>
      <x:c r="G6792" s="6" t="n">
        <x:v>6</x:v>
      </x:c>
      <x:c r="H6792" s="6" t="n">
        <x:v>4</x:v>
      </x:c>
      <x:c r="I6792" s="6" t="n">
        <x:f>G6792-H6792</x:f>
        <x:v>2</x:v>
      </x:c>
      <x:c r="J6792" s="6" t="n">
        <x:f>IF(OR(E6792="CANCELED",E6792="SUSPECTED_FRAUD",F6792="Shipping canceled"),0,1)</x:f>
        <x:v>1</x:v>
      </x:c>
      <x:c r="K6792" s="6" t="n">
        <x:f>IF(G6792&gt;H6792,1,0)</x:f>
        <x:v>1</x:v>
      </x:c>
      <x:c r="L6792" s="6" t="n">
        <x:f>J6792*K6792</x:f>
        <x:v>1</x:v>
      </x:c>
    </x:row>
    <x:row r="6793">
      <x:c r="A6793" s="1" t="n">
        <x:v>53522</x:v>
      </x:c>
      <x:c r="B6793" s="5" t="d">
        <x:v>2017-02-20T00:00:00.000Z</x:v>
      </x:c>
      <x:c r="C6793" s="1" t="str">
        <x:v>Standard Class</x:v>
      </x:c>
      <x:c r="D6793" s="1" t="str">
        <x:v>LATAM</x:v>
      </x:c>
      <x:c r="E6793" s="1" t="str">
        <x:v>PROCESSING</x:v>
      </x:c>
      <x:c r="F6793" s="1" t="str">
        <x:v>Advance shipping</x:v>
      </x:c>
      <x:c r="G6793" s="6" t="n">
        <x:v>3</x:v>
      </x:c>
      <x:c r="H6793" s="6" t="n">
        <x:v>4</x:v>
      </x:c>
      <x:c r="I6793" s="6" t="n">
        <x:f>G6793-H6793</x:f>
        <x:v>-1</x:v>
      </x:c>
      <x:c r="J6793" s="6" t="n">
        <x:f>IF(OR(E6793="CANCELED",E6793="SUSPECTED_FRAUD",F6793="Shipping canceled"),0,1)</x:f>
        <x:v>1</x:v>
      </x:c>
      <x:c r="K6793" s="6" t="n">
        <x:f>IF(G6793&gt;H6793,1,0)</x:f>
        <x:v>0</x:v>
      </x:c>
      <x:c r="L6793" s="6" t="n">
        <x:f>J6793*K6793</x:f>
        <x:v>0</x:v>
      </x:c>
    </x:row>
    <x:row r="6794">
      <x:c r="A6794" s="1" t="n">
        <x:v>53524</x:v>
      </x:c>
      <x:c r="B6794" s="5" t="d">
        <x:v>2017-02-20T00:00:00.000Z</x:v>
      </x:c>
      <x:c r="C6794" s="1" t="str">
        <x:v>Standard Class</x:v>
      </x:c>
      <x:c r="D6794" s="1" t="str">
        <x:v>LATAM</x:v>
      </x:c>
      <x:c r="E6794" s="1" t="str">
        <x:v>PENDING_PAYMENT</x:v>
      </x:c>
      <x:c r="F6794" s="1" t="str">
        <x:v>Late delivery</x:v>
      </x:c>
      <x:c r="G6794" s="6" t="n">
        <x:v>5</x:v>
      </x:c>
      <x:c r="H6794" s="6" t="n">
        <x:v>4</x:v>
      </x:c>
      <x:c r="I6794" s="6" t="n">
        <x:f>G6794-H6794</x:f>
        <x:v>1</x:v>
      </x:c>
      <x:c r="J6794" s="6" t="n">
        <x:f>IF(OR(E6794="CANCELED",E6794="SUSPECTED_FRAUD",F6794="Shipping canceled"),0,1)</x:f>
        <x:v>1</x:v>
      </x:c>
      <x:c r="K6794" s="6" t="n">
        <x:f>IF(G6794&gt;H6794,1,0)</x:f>
        <x:v>1</x:v>
      </x:c>
      <x:c r="L6794" s="6" t="n">
        <x:f>J6794*K6794</x:f>
        <x:v>1</x:v>
      </x:c>
    </x:row>
    <x:row r="6795">
      <x:c r="A6795" s="1" t="n">
        <x:v>53528</x:v>
      </x:c>
      <x:c r="B6795" s="5" t="d">
        <x:v>2017-02-20T00:00:00.000Z</x:v>
      </x:c>
      <x:c r="C6795" s="1" t="str">
        <x:v>Standard Class</x:v>
      </x:c>
      <x:c r="D6795" s="1" t="str">
        <x:v>LATAM</x:v>
      </x:c>
      <x:c r="E6795" s="1" t="str">
        <x:v>CLOSED</x:v>
      </x:c>
      <x:c r="F6795" s="1" t="str">
        <x:v>Shipping on time</x:v>
      </x:c>
      <x:c r="G6795" s="6" t="n">
        <x:v>4</x:v>
      </x:c>
      <x:c r="H6795" s="6" t="n">
        <x:v>4</x:v>
      </x:c>
      <x:c r="I6795" s="6" t="n">
        <x:f>G6795-H6795</x:f>
        <x:v>0</x:v>
      </x:c>
      <x:c r="J6795" s="6" t="n">
        <x:f>IF(OR(E6795="CANCELED",E6795="SUSPECTED_FRAUD",F6795="Shipping canceled"),0,1)</x:f>
        <x:v>1</x:v>
      </x:c>
      <x:c r="K6795" s="6" t="n">
        <x:f>IF(G6795&gt;H6795,1,0)</x:f>
        <x:v>0</x:v>
      </x:c>
      <x:c r="L6795" s="6" t="n">
        <x:f>J6795*K6795</x:f>
        <x:v>0</x:v>
      </x:c>
    </x:row>
    <x:row r="6796">
      <x:c r="A6796" s="1" t="n">
        <x:v>53539</x:v>
      </x:c>
      <x:c r="B6796" s="5" t="d">
        <x:v>2017-02-20T00:00:00.000Z</x:v>
      </x:c>
      <x:c r="C6796" s="1" t="str">
        <x:v>Standard Class</x:v>
      </x:c>
      <x:c r="D6796" s="1" t="str">
        <x:v>LATAM</x:v>
      </x:c>
      <x:c r="E6796" s="1" t="str">
        <x:v>PROCESSING</x:v>
      </x:c>
      <x:c r="F6796" s="1" t="str">
        <x:v>Late delivery</x:v>
      </x:c>
      <x:c r="G6796" s="6" t="n">
        <x:v>5</x:v>
      </x:c>
      <x:c r="H6796" s="6" t="n">
        <x:v>4</x:v>
      </x:c>
      <x:c r="I6796" s="6" t="n">
        <x:f>G6796-H6796</x:f>
        <x:v>1</x:v>
      </x:c>
      <x:c r="J6796" s="6" t="n">
        <x:f>IF(OR(E6796="CANCELED",E6796="SUSPECTED_FRAUD",F6796="Shipping canceled"),0,1)</x:f>
        <x:v>1</x:v>
      </x:c>
      <x:c r="K6796" s="6" t="n">
        <x:f>IF(G6796&gt;H6796,1,0)</x:f>
        <x:v>1</x:v>
      </x:c>
      <x:c r="L6796" s="6" t="n">
        <x:f>J6796*K6796</x:f>
        <x:v>1</x:v>
      </x:c>
    </x:row>
    <x:row r="6797">
      <x:c r="A6797" s="1" t="n">
        <x:v>53540</x:v>
      </x:c>
      <x:c r="B6797" s="5" t="d">
        <x:v>2017-02-20T00:00:00.000Z</x:v>
      </x:c>
      <x:c r="C6797" s="1" t="str">
        <x:v>Standard Class</x:v>
      </x:c>
      <x:c r="D6797" s="1" t="str">
        <x:v>LATAM</x:v>
      </x:c>
      <x:c r="E6797" s="1" t="str">
        <x:v>PROCESSING</x:v>
      </x:c>
      <x:c r="F6797" s="1" t="str">
        <x:v>Late delivery</x:v>
      </x:c>
      <x:c r="G6797" s="6" t="n">
        <x:v>6</x:v>
      </x:c>
      <x:c r="H6797" s="6" t="n">
        <x:v>4</x:v>
      </x:c>
      <x:c r="I6797" s="6" t="n">
        <x:f>G6797-H6797</x:f>
        <x:v>2</x:v>
      </x:c>
      <x:c r="J6797" s="6" t="n">
        <x:f>IF(OR(E6797="CANCELED",E6797="SUSPECTED_FRAUD",F6797="Shipping canceled"),0,1)</x:f>
        <x:v>1</x:v>
      </x:c>
      <x:c r="K6797" s="6" t="n">
        <x:f>IF(G6797&gt;H6797,1,0)</x:f>
        <x:v>1</x:v>
      </x:c>
      <x:c r="L6797" s="6" t="n">
        <x:f>J6797*K6797</x:f>
        <x:v>1</x:v>
      </x:c>
    </x:row>
    <x:row r="6798">
      <x:c r="A6798" s="1" t="n">
        <x:v>53543</x:v>
      </x:c>
      <x:c r="B6798" s="5" t="d">
        <x:v>2017-02-20T00:00:00.000Z</x:v>
      </x:c>
      <x:c r="C6798" s="1" t="str">
        <x:v>Second Class</x:v>
      </x:c>
      <x:c r="D6798" s="1" t="str">
        <x:v>LATAM</x:v>
      </x:c>
      <x:c r="E6798" s="1" t="str">
        <x:v>CLOSED</x:v>
      </x:c>
      <x:c r="F6798" s="1" t="str">
        <x:v>Late delivery</x:v>
      </x:c>
      <x:c r="G6798" s="6" t="n">
        <x:v>4</x:v>
      </x:c>
      <x:c r="H6798" s="6" t="n">
        <x:v>2</x:v>
      </x:c>
      <x:c r="I6798" s="6" t="n">
        <x:f>G6798-H6798</x:f>
        <x:v>2</x:v>
      </x:c>
      <x:c r="J6798" s="6" t="n">
        <x:f>IF(OR(E6798="CANCELED",E6798="SUSPECTED_FRAUD",F6798="Shipping canceled"),0,1)</x:f>
        <x:v>1</x:v>
      </x:c>
      <x:c r="K6798" s="6" t="n">
        <x:f>IF(G6798&gt;H6798,1,0)</x:f>
        <x:v>1</x:v>
      </x:c>
      <x:c r="L6798" s="6" t="n">
        <x:f>J6798*K6798</x:f>
        <x:v>1</x:v>
      </x:c>
    </x:row>
    <x:row r="6799">
      <x:c r="A6799" s="1" t="n">
        <x:v>53551</x:v>
      </x:c>
      <x:c r="B6799" s="5" t="d">
        <x:v>2017-02-20T00:00:00.000Z</x:v>
      </x:c>
      <x:c r="C6799" s="1" t="str">
        <x:v>Standard Class</x:v>
      </x:c>
      <x:c r="D6799" s="1" t="str">
        <x:v>LATAM</x:v>
      </x:c>
      <x:c r="E6799" s="1" t="str">
        <x:v>PROCESSING</x:v>
      </x:c>
      <x:c r="F6799" s="1" t="str">
        <x:v>Advance shipping</x:v>
      </x:c>
      <x:c r="G6799" s="6" t="n">
        <x:v>2</x:v>
      </x:c>
      <x:c r="H6799" s="6" t="n">
        <x:v>4</x:v>
      </x:c>
      <x:c r="I6799" s="6" t="n">
        <x:f>G6799-H6799</x:f>
        <x:v>-2</x:v>
      </x:c>
      <x:c r="J6799" s="6" t="n">
        <x:f>IF(OR(E6799="CANCELED",E6799="SUSPECTED_FRAUD",F6799="Shipping canceled"),0,1)</x:f>
        <x:v>1</x:v>
      </x:c>
      <x:c r="K6799" s="6" t="n">
        <x:f>IF(G6799&gt;H6799,1,0)</x:f>
        <x:v>0</x:v>
      </x:c>
      <x:c r="L6799" s="6" t="n">
        <x:f>J6799*K6799</x:f>
        <x:v>0</x:v>
      </x:c>
    </x:row>
    <x:row r="6800">
      <x:c r="A6800" s="1" t="n">
        <x:v>53568</x:v>
      </x:c>
      <x:c r="B6800" s="5" t="d">
        <x:v>2017-02-20T00:00:00.000Z</x:v>
      </x:c>
      <x:c r="C6800" s="1" t="str">
        <x:v>Standard Class</x:v>
      </x:c>
      <x:c r="D6800" s="1" t="str">
        <x:v>LATAM</x:v>
      </x:c>
      <x:c r="E6800" s="1" t="str">
        <x:v>SUSPECTED_FRAUD</x:v>
      </x:c>
      <x:c r="F6800" s="1" t="str">
        <x:v>Shipping canceled</x:v>
      </x:c>
      <x:c r="G6800" s="6" t="n">
        <x:v>4</x:v>
      </x:c>
      <x:c r="H6800" s="6" t="n">
        <x:v>4</x:v>
      </x:c>
      <x:c r="I6800" s="6" t="n">
        <x:f>G6800-H6800</x:f>
        <x:v>0</x:v>
      </x:c>
      <x:c r="J6800" s="6" t="n">
        <x:f>IF(OR(E6800="CANCELED",E6800="SUSPECTED_FRAUD",F6800="Shipping canceled"),0,1)</x:f>
        <x:v>0</x:v>
      </x:c>
      <x:c r="K6800" s="6" t="n">
        <x:f>IF(G6800&gt;H6800,1,0)</x:f>
        <x:v>0</x:v>
      </x:c>
      <x:c r="L6800" s="6" t="n">
        <x:f>J6800*K6800</x:f>
        <x:v>0</x:v>
      </x:c>
    </x:row>
    <x:row r="6801">
      <x:c r="A6801" s="1" t="n">
        <x:v>53570</x:v>
      </x:c>
      <x:c r="B6801" s="5" t="d">
        <x:v>2017-02-20T00:00:00.000Z</x:v>
      </x:c>
      <x:c r="C6801" s="1" t="str">
        <x:v>Standard Class</x:v>
      </x:c>
      <x:c r="D6801" s="1" t="str">
        <x:v>LATAM</x:v>
      </x:c>
      <x:c r="E6801" s="1" t="str">
        <x:v>PENDING_PAYMENT</x:v>
      </x:c>
      <x:c r="F6801" s="1" t="str">
        <x:v>Late delivery</x:v>
      </x:c>
      <x:c r="G6801" s="6" t="n">
        <x:v>6</x:v>
      </x:c>
      <x:c r="H6801" s="6" t="n">
        <x:v>4</x:v>
      </x:c>
      <x:c r="I6801" s="6" t="n">
        <x:f>G6801-H6801</x:f>
        <x:v>2</x:v>
      </x:c>
      <x:c r="J6801" s="6" t="n">
        <x:f>IF(OR(E6801="CANCELED",E6801="SUSPECTED_FRAUD",F6801="Shipping canceled"),0,1)</x:f>
        <x:v>1</x:v>
      </x:c>
      <x:c r="K6801" s="6" t="n">
        <x:f>IF(G6801&gt;H6801,1,0)</x:f>
        <x:v>1</x:v>
      </x:c>
      <x:c r="L6801" s="6" t="n">
        <x:f>J6801*K6801</x:f>
        <x:v>1</x:v>
      </x:c>
    </x:row>
    <x:row r="6802">
      <x:c r="A6802" s="1" t="n">
        <x:v>53574</x:v>
      </x:c>
      <x:c r="B6802" s="5" t="d">
        <x:v>2017-02-21T00:00:00.000Z</x:v>
      </x:c>
      <x:c r="C6802" s="1" t="str">
        <x:v>Standard Class</x:v>
      </x:c>
      <x:c r="D6802" s="1" t="str">
        <x:v>LATAM</x:v>
      </x:c>
      <x:c r="E6802" s="1" t="str">
        <x:v>PROCESSING</x:v>
      </x:c>
      <x:c r="F6802" s="1" t="str">
        <x:v>Late delivery</x:v>
      </x:c>
      <x:c r="G6802" s="6" t="n">
        <x:v>5</x:v>
      </x:c>
      <x:c r="H6802" s="6" t="n">
        <x:v>4</x:v>
      </x:c>
      <x:c r="I6802" s="6" t="n">
        <x:f>G6802-H6802</x:f>
        <x:v>1</x:v>
      </x:c>
      <x:c r="J6802" s="6" t="n">
        <x:f>IF(OR(E6802="CANCELED",E6802="SUSPECTED_FRAUD",F6802="Shipping canceled"),0,1)</x:f>
        <x:v>1</x:v>
      </x:c>
      <x:c r="K6802" s="6" t="n">
        <x:f>IF(G6802&gt;H6802,1,0)</x:f>
        <x:v>1</x:v>
      </x:c>
      <x:c r="L6802" s="6" t="n">
        <x:f>J6802*K6802</x:f>
        <x:v>1</x:v>
      </x:c>
    </x:row>
    <x:row r="6803">
      <x:c r="A6803" s="1" t="n">
        <x:v>53575</x:v>
      </x:c>
      <x:c r="B6803" s="5" t="d">
        <x:v>2017-02-21T00:00:00.000Z</x:v>
      </x:c>
      <x:c r="C6803" s="1" t="str">
        <x:v>Standard Class</x:v>
      </x:c>
      <x:c r="D6803" s="1" t="str">
        <x:v>LATAM</x:v>
      </x:c>
      <x:c r="E6803" s="1" t="str">
        <x:v>PENDING_PAYMENT</x:v>
      </x:c>
      <x:c r="F6803" s="1" t="str">
        <x:v>Late delivery</x:v>
      </x:c>
      <x:c r="G6803" s="6" t="n">
        <x:v>6</x:v>
      </x:c>
      <x:c r="H6803" s="6" t="n">
        <x:v>4</x:v>
      </x:c>
      <x:c r="I6803" s="6" t="n">
        <x:f>G6803-H6803</x:f>
        <x:v>2</x:v>
      </x:c>
      <x:c r="J6803" s="6" t="n">
        <x:f>IF(OR(E6803="CANCELED",E6803="SUSPECTED_FRAUD",F6803="Shipping canceled"),0,1)</x:f>
        <x:v>1</x:v>
      </x:c>
      <x:c r="K6803" s="6" t="n">
        <x:f>IF(G6803&gt;H6803,1,0)</x:f>
        <x:v>1</x:v>
      </x:c>
      <x:c r="L6803" s="6" t="n">
        <x:f>J6803*K6803</x:f>
        <x:v>1</x:v>
      </x:c>
    </x:row>
    <x:row r="6804">
      <x:c r="A6804" s="1" t="n">
        <x:v>53576</x:v>
      </x:c>
      <x:c r="B6804" s="5" t="d">
        <x:v>2017-02-21T00:00:00.000Z</x:v>
      </x:c>
      <x:c r="C6804" s="1" t="str">
        <x:v>Standard Class</x:v>
      </x:c>
      <x:c r="D6804" s="1" t="str">
        <x:v>LATAM</x:v>
      </x:c>
      <x:c r="E6804" s="1" t="str">
        <x:v>PROCESSING</x:v>
      </x:c>
      <x:c r="F6804" s="1" t="str">
        <x:v>Advance shipping</x:v>
      </x:c>
      <x:c r="G6804" s="6" t="n">
        <x:v>2</x:v>
      </x:c>
      <x:c r="H6804" s="6" t="n">
        <x:v>4</x:v>
      </x:c>
      <x:c r="I6804" s="6" t="n">
        <x:f>G6804-H6804</x:f>
        <x:v>-2</x:v>
      </x:c>
      <x:c r="J6804" s="6" t="n">
        <x:f>IF(OR(E6804="CANCELED",E6804="SUSPECTED_FRAUD",F6804="Shipping canceled"),0,1)</x:f>
        <x:v>1</x:v>
      </x:c>
      <x:c r="K6804" s="6" t="n">
        <x:f>IF(G6804&gt;H6804,1,0)</x:f>
        <x:v>0</x:v>
      </x:c>
      <x:c r="L6804" s="6" t="n">
        <x:f>J6804*K6804</x:f>
        <x:v>0</x:v>
      </x:c>
    </x:row>
    <x:row r="6805">
      <x:c r="A6805" s="1" t="n">
        <x:v>53581</x:v>
      </x:c>
      <x:c r="B6805" s="5" t="d">
        <x:v>2017-02-21T00:00:00.000Z</x:v>
      </x:c>
      <x:c r="C6805" s="1" t="str">
        <x:v>Standard Class</x:v>
      </x:c>
      <x:c r="D6805" s="1" t="str">
        <x:v>LATAM</x:v>
      </x:c>
      <x:c r="E6805" s="1" t="str">
        <x:v>CANCELED</x:v>
      </x:c>
      <x:c r="F6805" s="1" t="str">
        <x:v>Shipping canceled</x:v>
      </x:c>
      <x:c r="G6805" s="6" t="n">
        <x:v>2</x:v>
      </x:c>
      <x:c r="H6805" s="6" t="n">
        <x:v>4</x:v>
      </x:c>
      <x:c r="I6805" s="6" t="n">
        <x:f>G6805-H6805</x:f>
        <x:v>-2</x:v>
      </x:c>
      <x:c r="J6805" s="6" t="n">
        <x:f>IF(OR(E6805="CANCELED",E6805="SUSPECTED_FRAUD",F6805="Shipping canceled"),0,1)</x:f>
        <x:v>0</x:v>
      </x:c>
      <x:c r="K6805" s="6" t="n">
        <x:f>IF(G6805&gt;H6805,1,0)</x:f>
        <x:v>0</x:v>
      </x:c>
      <x:c r="L6805" s="6" t="n">
        <x:f>J6805*K6805</x:f>
        <x:v>0</x:v>
      </x:c>
    </x:row>
    <x:row r="6806">
      <x:c r="A6806" s="1" t="n">
        <x:v>53586</x:v>
      </x:c>
      <x:c r="B6806" s="5" t="d">
        <x:v>2017-02-21T00:00:00.000Z</x:v>
      </x:c>
      <x:c r="C6806" s="1" t="str">
        <x:v>Standard Class</x:v>
      </x:c>
      <x:c r="D6806" s="1" t="str">
        <x:v>LATAM</x:v>
      </x:c>
      <x:c r="E6806" s="1" t="str">
        <x:v>PROCESSING</x:v>
      </x:c>
      <x:c r="F6806" s="1" t="str">
        <x:v>Advance shipping</x:v>
      </x:c>
      <x:c r="G6806" s="6" t="n">
        <x:v>2</x:v>
      </x:c>
      <x:c r="H6806" s="6" t="n">
        <x:v>4</x:v>
      </x:c>
      <x:c r="I6806" s="6" t="n">
        <x:f>G6806-H6806</x:f>
        <x:v>-2</x:v>
      </x:c>
      <x:c r="J6806" s="6" t="n">
        <x:f>IF(OR(E6806="CANCELED",E6806="SUSPECTED_FRAUD",F6806="Shipping canceled"),0,1)</x:f>
        <x:v>1</x:v>
      </x:c>
      <x:c r="K6806" s="6" t="n">
        <x:f>IF(G6806&gt;H6806,1,0)</x:f>
        <x:v>0</x:v>
      </x:c>
      <x:c r="L6806" s="6" t="n">
        <x:f>J6806*K6806</x:f>
        <x:v>0</x:v>
      </x:c>
    </x:row>
    <x:row r="6807">
      <x:c r="A6807" s="1" t="n">
        <x:v>53596</x:v>
      </x:c>
      <x:c r="B6807" s="5" t="d">
        <x:v>2017-02-21T00:00:00.000Z</x:v>
      </x:c>
      <x:c r="C6807" s="1" t="str">
        <x:v>Standard Class</x:v>
      </x:c>
      <x:c r="D6807" s="1" t="str">
        <x:v>LATAM</x:v>
      </x:c>
      <x:c r="E6807" s="1" t="str">
        <x:v>PENDING_PAYMENT</x:v>
      </x:c>
      <x:c r="F6807" s="1" t="str">
        <x:v>Advance shipping</x:v>
      </x:c>
      <x:c r="G6807" s="6" t="n">
        <x:v>2</x:v>
      </x:c>
      <x:c r="H6807" s="6" t="n">
        <x:v>4</x:v>
      </x:c>
      <x:c r="I6807" s="6" t="n">
        <x:f>G6807-H6807</x:f>
        <x:v>-2</x:v>
      </x:c>
      <x:c r="J6807" s="6" t="n">
        <x:f>IF(OR(E6807="CANCELED",E6807="SUSPECTED_FRAUD",F6807="Shipping canceled"),0,1)</x:f>
        <x:v>1</x:v>
      </x:c>
      <x:c r="K6807" s="6" t="n">
        <x:f>IF(G6807&gt;H6807,1,0)</x:f>
        <x:v>0</x:v>
      </x:c>
      <x:c r="L6807" s="6" t="n">
        <x:f>J6807*K6807</x:f>
        <x:v>0</x:v>
      </x:c>
    </x:row>
    <x:row r="6808">
      <x:c r="A6808" s="1" t="n">
        <x:v>53598</x:v>
      </x:c>
      <x:c r="B6808" s="5" t="d">
        <x:v>2017-02-21T00:00:00.000Z</x:v>
      </x:c>
      <x:c r="C6808" s="1" t="str">
        <x:v>Standard Class</x:v>
      </x:c>
      <x:c r="D6808" s="1" t="str">
        <x:v>LATAM</x:v>
      </x:c>
      <x:c r="E6808" s="1" t="str">
        <x:v>COMPLETE</x:v>
      </x:c>
      <x:c r="F6808" s="1" t="str">
        <x:v>Shipping on time</x:v>
      </x:c>
      <x:c r="G6808" s="6" t="n">
        <x:v>4</x:v>
      </x:c>
      <x:c r="H6808" s="6" t="n">
        <x:v>4</x:v>
      </x:c>
      <x:c r="I6808" s="6" t="n">
        <x:f>G6808-H6808</x:f>
        <x:v>0</x:v>
      </x:c>
      <x:c r="J6808" s="6" t="n">
        <x:f>IF(OR(E6808="CANCELED",E6808="SUSPECTED_FRAUD",F6808="Shipping canceled"),0,1)</x:f>
        <x:v>1</x:v>
      </x:c>
      <x:c r="K6808" s="6" t="n">
        <x:f>IF(G6808&gt;H6808,1,0)</x:f>
        <x:v>0</x:v>
      </x:c>
      <x:c r="L6808" s="6" t="n">
        <x:f>J6808*K6808</x:f>
        <x:v>0</x:v>
      </x:c>
    </x:row>
    <x:row r="6809">
      <x:c r="A6809" s="1" t="n">
        <x:v>53609</x:v>
      </x:c>
      <x:c r="B6809" s="5" t="d">
        <x:v>2017-02-21T00:00:00.000Z</x:v>
      </x:c>
      <x:c r="C6809" s="1" t="str">
        <x:v>Standard Class</x:v>
      </x:c>
      <x:c r="D6809" s="1" t="str">
        <x:v>LATAM</x:v>
      </x:c>
      <x:c r="E6809" s="1" t="str">
        <x:v>COMPLETE</x:v>
      </x:c>
      <x:c r="F6809" s="1" t="str">
        <x:v>Late delivery</x:v>
      </x:c>
      <x:c r="G6809" s="6" t="n">
        <x:v>5</x:v>
      </x:c>
      <x:c r="H6809" s="6" t="n">
        <x:v>4</x:v>
      </x:c>
      <x:c r="I6809" s="6" t="n">
        <x:f>G6809-H6809</x:f>
        <x:v>1</x:v>
      </x:c>
      <x:c r="J6809" s="6" t="n">
        <x:f>IF(OR(E6809="CANCELED",E6809="SUSPECTED_FRAUD",F6809="Shipping canceled"),0,1)</x:f>
        <x:v>1</x:v>
      </x:c>
      <x:c r="K6809" s="6" t="n">
        <x:f>IF(G6809&gt;H6809,1,0)</x:f>
        <x:v>1</x:v>
      </x:c>
      <x:c r="L6809" s="6" t="n">
        <x:f>J6809*K6809</x:f>
        <x:v>1</x:v>
      </x:c>
    </x:row>
    <x:row r="6810">
      <x:c r="A6810" s="1" t="n">
        <x:v>53628</x:v>
      </x:c>
      <x:c r="B6810" s="5" t="d">
        <x:v>2017-02-21T00:00:00.000Z</x:v>
      </x:c>
      <x:c r="C6810" s="1" t="str">
        <x:v>Standard Class</x:v>
      </x:c>
      <x:c r="D6810" s="1" t="str">
        <x:v>LATAM</x:v>
      </x:c>
      <x:c r="E6810" s="1" t="str">
        <x:v>PENDING_PAYMENT</x:v>
      </x:c>
      <x:c r="F6810" s="1" t="str">
        <x:v>Shipping on time</x:v>
      </x:c>
      <x:c r="G6810" s="6" t="n">
        <x:v>4</x:v>
      </x:c>
      <x:c r="H6810" s="6" t="n">
        <x:v>4</x:v>
      </x:c>
      <x:c r="I6810" s="6" t="n">
        <x:f>G6810-H6810</x:f>
        <x:v>0</x:v>
      </x:c>
      <x:c r="J6810" s="6" t="n">
        <x:f>IF(OR(E6810="CANCELED",E6810="SUSPECTED_FRAUD",F6810="Shipping canceled"),0,1)</x:f>
        <x:v>1</x:v>
      </x:c>
      <x:c r="K6810" s="6" t="n">
        <x:f>IF(G6810&gt;H6810,1,0)</x:f>
        <x:v>0</x:v>
      </x:c>
      <x:c r="L6810" s="6" t="n">
        <x:f>J6810*K6810</x:f>
        <x:v>0</x:v>
      </x:c>
    </x:row>
    <x:row r="6811">
      <x:c r="A6811" s="1" t="n">
        <x:v>53633</x:v>
      </x:c>
      <x:c r="B6811" s="5" t="d">
        <x:v>2017-02-21T00:00:00.000Z</x:v>
      </x:c>
      <x:c r="C6811" s="1" t="str">
        <x:v>Standard Class</x:v>
      </x:c>
      <x:c r="D6811" s="1" t="str">
        <x:v>LATAM</x:v>
      </x:c>
      <x:c r="E6811" s="1" t="str">
        <x:v>COMPLETE</x:v>
      </x:c>
      <x:c r="F6811" s="1" t="str">
        <x:v>Shipping on time</x:v>
      </x:c>
      <x:c r="G6811" s="6" t="n">
        <x:v>4</x:v>
      </x:c>
      <x:c r="H6811" s="6" t="n">
        <x:v>4</x:v>
      </x:c>
      <x:c r="I6811" s="6" t="n">
        <x:f>G6811-H6811</x:f>
        <x:v>0</x:v>
      </x:c>
      <x:c r="J6811" s="6" t="n">
        <x:f>IF(OR(E6811="CANCELED",E6811="SUSPECTED_FRAUD",F6811="Shipping canceled"),0,1)</x:f>
        <x:v>1</x:v>
      </x:c>
      <x:c r="K6811" s="6" t="n">
        <x:f>IF(G6811&gt;H6811,1,0)</x:f>
        <x:v>0</x:v>
      </x:c>
      <x:c r="L6811" s="6" t="n">
        <x:f>J6811*K6811</x:f>
        <x:v>0</x:v>
      </x:c>
    </x:row>
    <x:row r="6812">
      <x:c r="A6812" s="1" t="n">
        <x:v>53640</x:v>
      </x:c>
      <x:c r="B6812" s="5" t="d">
        <x:v>2017-02-22T00:00:00.000Z</x:v>
      </x:c>
      <x:c r="C6812" s="1" t="str">
        <x:v>First Class</x:v>
      </x:c>
      <x:c r="D6812" s="1" t="str">
        <x:v>LATAM</x:v>
      </x:c>
      <x:c r="E6812" s="1" t="str">
        <x:v>PENDING</x:v>
      </x:c>
      <x:c r="F6812" s="1" t="str">
        <x:v>Late delivery</x:v>
      </x:c>
      <x:c r="G6812" s="6" t="n">
        <x:v>2</x:v>
      </x:c>
      <x:c r="H6812" s="6" t="n">
        <x:v>1</x:v>
      </x:c>
      <x:c r="I6812" s="6" t="n">
        <x:f>G6812-H6812</x:f>
        <x:v>1</x:v>
      </x:c>
      <x:c r="J6812" s="6" t="n">
        <x:f>IF(OR(E6812="CANCELED",E6812="SUSPECTED_FRAUD",F6812="Shipping canceled"),0,1)</x:f>
        <x:v>1</x:v>
      </x:c>
      <x:c r="K6812" s="6" t="n">
        <x:f>IF(G6812&gt;H6812,1,0)</x:f>
        <x:v>1</x:v>
      </x:c>
      <x:c r="L6812" s="6" t="n">
        <x:f>J6812*K6812</x:f>
        <x:v>1</x:v>
      </x:c>
    </x:row>
    <x:row r="6813">
      <x:c r="A6813" s="1" t="n">
        <x:v>53649</x:v>
      </x:c>
      <x:c r="B6813" s="5" t="d">
        <x:v>2017-02-22T00:00:00.000Z</x:v>
      </x:c>
      <x:c r="C6813" s="1" t="str">
        <x:v>Standard Class</x:v>
      </x:c>
      <x:c r="D6813" s="1" t="str">
        <x:v>LATAM</x:v>
      </x:c>
      <x:c r="E6813" s="1" t="str">
        <x:v>COMPLETE</x:v>
      </x:c>
      <x:c r="F6813" s="1" t="str">
        <x:v>Late delivery</x:v>
      </x:c>
      <x:c r="G6813" s="6" t="n">
        <x:v>5</x:v>
      </x:c>
      <x:c r="H6813" s="6" t="n">
        <x:v>4</x:v>
      </x:c>
      <x:c r="I6813" s="6" t="n">
        <x:f>G6813-H6813</x:f>
        <x:v>1</x:v>
      </x:c>
      <x:c r="J6813" s="6" t="n">
        <x:f>IF(OR(E6813="CANCELED",E6813="SUSPECTED_FRAUD",F6813="Shipping canceled"),0,1)</x:f>
        <x:v>1</x:v>
      </x:c>
      <x:c r="K6813" s="6" t="n">
        <x:f>IF(G6813&gt;H6813,1,0)</x:f>
        <x:v>1</x:v>
      </x:c>
      <x:c r="L6813" s="6" t="n">
        <x:f>J6813*K6813</x:f>
        <x:v>1</x:v>
      </x:c>
    </x:row>
    <x:row r="6814">
      <x:c r="A6814" s="1" t="n">
        <x:v>53651</x:v>
      </x:c>
      <x:c r="B6814" s="5" t="d">
        <x:v>2017-02-22T00:00:00.000Z</x:v>
      </x:c>
      <x:c r="C6814" s="1" t="str">
        <x:v>Standard Class</x:v>
      </x:c>
      <x:c r="D6814" s="1" t="str">
        <x:v>LATAM</x:v>
      </x:c>
      <x:c r="E6814" s="1" t="str">
        <x:v>COMPLETE</x:v>
      </x:c>
      <x:c r="F6814" s="1" t="str">
        <x:v>Advance shipping</x:v>
      </x:c>
      <x:c r="G6814" s="6" t="n">
        <x:v>2</x:v>
      </x:c>
      <x:c r="H6814" s="6" t="n">
        <x:v>4</x:v>
      </x:c>
      <x:c r="I6814" s="6" t="n">
        <x:f>G6814-H6814</x:f>
        <x:v>-2</x:v>
      </x:c>
      <x:c r="J6814" s="6" t="n">
        <x:f>IF(OR(E6814="CANCELED",E6814="SUSPECTED_FRAUD",F6814="Shipping canceled"),0,1)</x:f>
        <x:v>1</x:v>
      </x:c>
      <x:c r="K6814" s="6" t="n">
        <x:f>IF(G6814&gt;H6814,1,0)</x:f>
        <x:v>0</x:v>
      </x:c>
      <x:c r="L6814" s="6" t="n">
        <x:f>J6814*K6814</x:f>
        <x:v>0</x:v>
      </x:c>
    </x:row>
    <x:row r="6815">
      <x:c r="A6815" s="1" t="n">
        <x:v>53655</x:v>
      </x:c>
      <x:c r="B6815" s="5" t="d">
        <x:v>2017-02-22T00:00:00.000Z</x:v>
      </x:c>
      <x:c r="C6815" s="1" t="str">
        <x:v>Standard Class</x:v>
      </x:c>
      <x:c r="D6815" s="1" t="str">
        <x:v>LATAM</x:v>
      </x:c>
      <x:c r="E6815" s="1" t="str">
        <x:v>COMPLETE</x:v>
      </x:c>
      <x:c r="F6815" s="1" t="str">
        <x:v>Late delivery</x:v>
      </x:c>
      <x:c r="G6815" s="6" t="n">
        <x:v>6</x:v>
      </x:c>
      <x:c r="H6815" s="6" t="n">
        <x:v>4</x:v>
      </x:c>
      <x:c r="I6815" s="6" t="n">
        <x:f>G6815-H6815</x:f>
        <x:v>2</x:v>
      </x:c>
      <x:c r="J6815" s="6" t="n">
        <x:f>IF(OR(E6815="CANCELED",E6815="SUSPECTED_FRAUD",F6815="Shipping canceled"),0,1)</x:f>
        <x:v>1</x:v>
      </x:c>
      <x:c r="K6815" s="6" t="n">
        <x:f>IF(G6815&gt;H6815,1,0)</x:f>
        <x:v>1</x:v>
      </x:c>
      <x:c r="L6815" s="6" t="n">
        <x:f>J6815*K6815</x:f>
        <x:v>1</x:v>
      </x:c>
    </x:row>
    <x:row r="6816">
      <x:c r="A6816" s="1" t="n">
        <x:v>53666</x:v>
      </x:c>
      <x:c r="B6816" s="5" t="d">
        <x:v>2017-02-22T00:00:00.000Z</x:v>
      </x:c>
      <x:c r="C6816" s="1" t="str">
        <x:v>Second Class</x:v>
      </x:c>
      <x:c r="D6816" s="1" t="str">
        <x:v>LATAM</x:v>
      </x:c>
      <x:c r="E6816" s="1" t="str">
        <x:v>COMPLETE</x:v>
      </x:c>
      <x:c r="F6816" s="1" t="str">
        <x:v>Shipping on time</x:v>
      </x:c>
      <x:c r="G6816" s="6" t="n">
        <x:v>2</x:v>
      </x:c>
      <x:c r="H6816" s="6" t="n">
        <x:v>2</x:v>
      </x:c>
      <x:c r="I6816" s="6" t="n">
        <x:f>G6816-H6816</x:f>
        <x:v>0</x:v>
      </x:c>
      <x:c r="J6816" s="6" t="n">
        <x:f>IF(OR(E6816="CANCELED",E6816="SUSPECTED_FRAUD",F6816="Shipping canceled"),0,1)</x:f>
        <x:v>1</x:v>
      </x:c>
      <x:c r="K6816" s="6" t="n">
        <x:f>IF(G6816&gt;H6816,1,0)</x:f>
        <x:v>0</x:v>
      </x:c>
      <x:c r="L6816" s="6" t="n">
        <x:f>J6816*K6816</x:f>
        <x:v>0</x:v>
      </x:c>
    </x:row>
    <x:row r="6817">
      <x:c r="A6817" s="1" t="n">
        <x:v>53668</x:v>
      </x:c>
      <x:c r="B6817" s="5" t="d">
        <x:v>2017-02-22T00:00:00.000Z</x:v>
      </x:c>
      <x:c r="C6817" s="1" t="str">
        <x:v>Standard Class</x:v>
      </x:c>
      <x:c r="D6817" s="1" t="str">
        <x:v>LATAM</x:v>
      </x:c>
      <x:c r="E6817" s="1" t="str">
        <x:v>PROCESSING</x:v>
      </x:c>
      <x:c r="F6817" s="1" t="str">
        <x:v>Shipping on time</x:v>
      </x:c>
      <x:c r="G6817" s="6" t="n">
        <x:v>4</x:v>
      </x:c>
      <x:c r="H6817" s="6" t="n">
        <x:v>4</x:v>
      </x:c>
      <x:c r="I6817" s="6" t="n">
        <x:f>G6817-H6817</x:f>
        <x:v>0</x:v>
      </x:c>
      <x:c r="J6817" s="6" t="n">
        <x:f>IF(OR(E6817="CANCELED",E6817="SUSPECTED_FRAUD",F6817="Shipping canceled"),0,1)</x:f>
        <x:v>1</x:v>
      </x:c>
      <x:c r="K6817" s="6" t="n">
        <x:f>IF(G6817&gt;H6817,1,0)</x:f>
        <x:v>0</x:v>
      </x:c>
      <x:c r="L6817" s="6" t="n">
        <x:f>J6817*K6817</x:f>
        <x:v>0</x:v>
      </x:c>
    </x:row>
    <x:row r="6818">
      <x:c r="A6818" s="1" t="n">
        <x:v>53673</x:v>
      </x:c>
      <x:c r="B6818" s="5" t="d">
        <x:v>2017-02-22T00:00:00.000Z</x:v>
      </x:c>
      <x:c r="C6818" s="1" t="str">
        <x:v>First Class</x:v>
      </x:c>
      <x:c r="D6818" s="1" t="str">
        <x:v>LATAM</x:v>
      </x:c>
      <x:c r="E6818" s="1" t="str">
        <x:v>CLOSED</x:v>
      </x:c>
      <x:c r="F6818" s="1" t="str">
        <x:v>Late delivery</x:v>
      </x:c>
      <x:c r="G6818" s="6" t="n">
        <x:v>2</x:v>
      </x:c>
      <x:c r="H6818" s="6" t="n">
        <x:v>1</x:v>
      </x:c>
      <x:c r="I6818" s="6" t="n">
        <x:f>G6818-H6818</x:f>
        <x:v>1</x:v>
      </x:c>
      <x:c r="J6818" s="6" t="n">
        <x:f>IF(OR(E6818="CANCELED",E6818="SUSPECTED_FRAUD",F6818="Shipping canceled"),0,1)</x:f>
        <x:v>1</x:v>
      </x:c>
      <x:c r="K6818" s="6" t="n">
        <x:f>IF(G6818&gt;H6818,1,0)</x:f>
        <x:v>1</x:v>
      </x:c>
      <x:c r="L6818" s="6" t="n">
        <x:f>J6818*K6818</x:f>
        <x:v>1</x:v>
      </x:c>
    </x:row>
    <x:row r="6819">
      <x:c r="A6819" s="1" t="n">
        <x:v>53676</x:v>
      </x:c>
      <x:c r="B6819" s="5" t="d">
        <x:v>2017-02-22T00:00:00.000Z</x:v>
      </x:c>
      <x:c r="C6819" s="1" t="str">
        <x:v>Standard Class</x:v>
      </x:c>
      <x:c r="D6819" s="1" t="str">
        <x:v>LATAM</x:v>
      </x:c>
      <x:c r="E6819" s="1" t="str">
        <x:v>COMPLETE</x:v>
      </x:c>
      <x:c r="F6819" s="1" t="str">
        <x:v>Advance shipping</x:v>
      </x:c>
      <x:c r="G6819" s="6" t="n">
        <x:v>2</x:v>
      </x:c>
      <x:c r="H6819" s="6" t="n">
        <x:v>4</x:v>
      </x:c>
      <x:c r="I6819" s="6" t="n">
        <x:f>G6819-H6819</x:f>
        <x:v>-2</x:v>
      </x:c>
      <x:c r="J6819" s="6" t="n">
        <x:f>IF(OR(E6819="CANCELED",E6819="SUSPECTED_FRAUD",F6819="Shipping canceled"),0,1)</x:f>
        <x:v>1</x:v>
      </x:c>
      <x:c r="K6819" s="6" t="n">
        <x:f>IF(G6819&gt;H6819,1,0)</x:f>
        <x:v>0</x:v>
      </x:c>
      <x:c r="L6819" s="6" t="n">
        <x:f>J6819*K6819</x:f>
        <x:v>0</x:v>
      </x:c>
    </x:row>
    <x:row r="6820">
      <x:c r="A6820" s="1" t="n">
        <x:v>53685</x:v>
      </x:c>
      <x:c r="B6820" s="5" t="d">
        <x:v>2017-02-22T00:00:00.000Z</x:v>
      </x:c>
      <x:c r="C6820" s="1" t="str">
        <x:v>Standard Class</x:v>
      </x:c>
      <x:c r="D6820" s="1" t="str">
        <x:v>LATAM</x:v>
      </x:c>
      <x:c r="E6820" s="1" t="str">
        <x:v>COMPLETE</x:v>
      </x:c>
      <x:c r="F6820" s="1" t="str">
        <x:v>Late delivery</x:v>
      </x:c>
      <x:c r="G6820" s="6" t="n">
        <x:v>6</x:v>
      </x:c>
      <x:c r="H6820" s="6" t="n">
        <x:v>4</x:v>
      </x:c>
      <x:c r="I6820" s="6" t="n">
        <x:f>G6820-H6820</x:f>
        <x:v>2</x:v>
      </x:c>
      <x:c r="J6820" s="6" t="n">
        <x:f>IF(OR(E6820="CANCELED",E6820="SUSPECTED_FRAUD",F6820="Shipping canceled"),0,1)</x:f>
        <x:v>1</x:v>
      </x:c>
      <x:c r="K6820" s="6" t="n">
        <x:f>IF(G6820&gt;H6820,1,0)</x:f>
        <x:v>1</x:v>
      </x:c>
      <x:c r="L6820" s="6" t="n">
        <x:f>J6820*K6820</x:f>
        <x:v>1</x:v>
      </x:c>
    </x:row>
    <x:row r="6821">
      <x:c r="A6821" s="1" t="n">
        <x:v>53694</x:v>
      </x:c>
      <x:c r="B6821" s="5" t="d">
        <x:v>2017-02-22T00:00:00.000Z</x:v>
      </x:c>
      <x:c r="C6821" s="1" t="str">
        <x:v>Standard Class</x:v>
      </x:c>
      <x:c r="D6821" s="1" t="str">
        <x:v>LATAM</x:v>
      </x:c>
      <x:c r="E6821" s="1" t="str">
        <x:v>COMPLETE</x:v>
      </x:c>
      <x:c r="F6821" s="1" t="str">
        <x:v>Late delivery</x:v>
      </x:c>
      <x:c r="G6821" s="6" t="n">
        <x:v>5</x:v>
      </x:c>
      <x:c r="H6821" s="6" t="n">
        <x:v>4</x:v>
      </x:c>
      <x:c r="I6821" s="6" t="n">
        <x:f>G6821-H6821</x:f>
        <x:v>1</x:v>
      </x:c>
      <x:c r="J6821" s="6" t="n">
        <x:f>IF(OR(E6821="CANCELED",E6821="SUSPECTED_FRAUD",F6821="Shipping canceled"),0,1)</x:f>
        <x:v>1</x:v>
      </x:c>
      <x:c r="K6821" s="6" t="n">
        <x:f>IF(G6821&gt;H6821,1,0)</x:f>
        <x:v>1</x:v>
      </x:c>
      <x:c r="L6821" s="6" t="n">
        <x:f>J6821*K6821</x:f>
        <x:v>1</x:v>
      </x:c>
    </x:row>
    <x:row r="6822">
      <x:c r="A6822" s="1" t="n">
        <x:v>53701</x:v>
      </x:c>
      <x:c r="B6822" s="5" t="d">
        <x:v>2017-02-22T00:00:00.000Z</x:v>
      </x:c>
      <x:c r="C6822" s="1" t="str">
        <x:v>Standard Class</x:v>
      </x:c>
      <x:c r="D6822" s="1" t="str">
        <x:v>LATAM</x:v>
      </x:c>
      <x:c r="E6822" s="1" t="str">
        <x:v>COMPLETE</x:v>
      </x:c>
      <x:c r="F6822" s="1" t="str">
        <x:v>Advance shipping</x:v>
      </x:c>
      <x:c r="G6822" s="6" t="n">
        <x:v>2</x:v>
      </x:c>
      <x:c r="H6822" s="6" t="n">
        <x:v>4</x:v>
      </x:c>
      <x:c r="I6822" s="6" t="n">
        <x:f>G6822-H6822</x:f>
        <x:v>-2</x:v>
      </x:c>
      <x:c r="J6822" s="6" t="n">
        <x:f>IF(OR(E6822="CANCELED",E6822="SUSPECTED_FRAUD",F6822="Shipping canceled"),0,1)</x:f>
        <x:v>1</x:v>
      </x:c>
      <x:c r="K6822" s="6" t="n">
        <x:f>IF(G6822&gt;H6822,1,0)</x:f>
        <x:v>0</x:v>
      </x:c>
      <x:c r="L6822" s="6" t="n">
        <x:f>J6822*K6822</x:f>
        <x:v>0</x:v>
      </x:c>
    </x:row>
    <x:row r="6823">
      <x:c r="A6823" s="1" t="n">
        <x:v>53711</x:v>
      </x:c>
      <x:c r="B6823" s="5" t="d">
        <x:v>2017-02-23T00:00:00.000Z</x:v>
      </x:c>
      <x:c r="C6823" s="1" t="str">
        <x:v>Standard Class</x:v>
      </x:c>
      <x:c r="D6823" s="1" t="str">
        <x:v>LATAM</x:v>
      </x:c>
      <x:c r="E6823" s="1" t="str">
        <x:v>COMPLETE</x:v>
      </x:c>
      <x:c r="F6823" s="1" t="str">
        <x:v>Advance shipping</x:v>
      </x:c>
      <x:c r="G6823" s="6" t="n">
        <x:v>2</x:v>
      </x:c>
      <x:c r="H6823" s="6" t="n">
        <x:v>4</x:v>
      </x:c>
      <x:c r="I6823" s="6" t="n">
        <x:f>G6823-H6823</x:f>
        <x:v>-2</x:v>
      </x:c>
      <x:c r="J6823" s="6" t="n">
        <x:f>IF(OR(E6823="CANCELED",E6823="SUSPECTED_FRAUD",F6823="Shipping canceled"),0,1)</x:f>
        <x:v>1</x:v>
      </x:c>
      <x:c r="K6823" s="6" t="n">
        <x:f>IF(G6823&gt;H6823,1,0)</x:f>
        <x:v>0</x:v>
      </x:c>
      <x:c r="L6823" s="6" t="n">
        <x:f>J6823*K6823</x:f>
        <x:v>0</x:v>
      </x:c>
    </x:row>
    <x:row r="6824">
      <x:c r="A6824" s="1" t="n">
        <x:v>53717</x:v>
      </x:c>
      <x:c r="B6824" s="5" t="d">
        <x:v>2017-02-23T00:00:00.000Z</x:v>
      </x:c>
      <x:c r="C6824" s="1" t="str">
        <x:v>Standard Class</x:v>
      </x:c>
      <x:c r="D6824" s="1" t="str">
        <x:v>LATAM</x:v>
      </x:c>
      <x:c r="E6824" s="1" t="str">
        <x:v>PENDING_PAYMENT</x:v>
      </x:c>
      <x:c r="F6824" s="1" t="str">
        <x:v>Advance shipping</x:v>
      </x:c>
      <x:c r="G6824" s="6" t="n">
        <x:v>3</x:v>
      </x:c>
      <x:c r="H6824" s="6" t="n">
        <x:v>4</x:v>
      </x:c>
      <x:c r="I6824" s="6" t="n">
        <x:f>G6824-H6824</x:f>
        <x:v>-1</x:v>
      </x:c>
      <x:c r="J6824" s="6" t="n">
        <x:f>IF(OR(E6824="CANCELED",E6824="SUSPECTED_FRAUD",F6824="Shipping canceled"),0,1)</x:f>
        <x:v>1</x:v>
      </x:c>
      <x:c r="K6824" s="6" t="n">
        <x:f>IF(G6824&gt;H6824,1,0)</x:f>
        <x:v>0</x:v>
      </x:c>
      <x:c r="L6824" s="6" t="n">
        <x:f>J6824*K6824</x:f>
        <x:v>0</x:v>
      </x:c>
    </x:row>
    <x:row r="6825">
      <x:c r="A6825" s="1" t="n">
        <x:v>53721</x:v>
      </x:c>
      <x:c r="B6825" s="5" t="d">
        <x:v>2017-02-23T00:00:00.000Z</x:v>
      </x:c>
      <x:c r="C6825" s="1" t="str">
        <x:v>Standard Class</x:v>
      </x:c>
      <x:c r="D6825" s="1" t="str">
        <x:v>LATAM</x:v>
      </x:c>
      <x:c r="E6825" s="1" t="str">
        <x:v>PENDING</x:v>
      </x:c>
      <x:c r="F6825" s="1" t="str">
        <x:v>Advance shipping</x:v>
      </x:c>
      <x:c r="G6825" s="6" t="n">
        <x:v>2</x:v>
      </x:c>
      <x:c r="H6825" s="6" t="n">
        <x:v>4</x:v>
      </x:c>
      <x:c r="I6825" s="6" t="n">
        <x:f>G6825-H6825</x:f>
        <x:v>-2</x:v>
      </x:c>
      <x:c r="J6825" s="6" t="n">
        <x:f>IF(OR(E6825="CANCELED",E6825="SUSPECTED_FRAUD",F6825="Shipping canceled"),0,1)</x:f>
        <x:v>1</x:v>
      </x:c>
      <x:c r="K6825" s="6" t="n">
        <x:f>IF(G6825&gt;H6825,1,0)</x:f>
        <x:v>0</x:v>
      </x:c>
      <x:c r="L6825" s="6" t="n">
        <x:f>J6825*K6825</x:f>
        <x:v>0</x:v>
      </x:c>
    </x:row>
    <x:row r="6826">
      <x:c r="A6826" s="1" t="n">
        <x:v>53732</x:v>
      </x:c>
      <x:c r="B6826" s="5" t="d">
        <x:v>2017-02-23T00:00:00.000Z</x:v>
      </x:c>
      <x:c r="C6826" s="1" t="str">
        <x:v>Standard Class</x:v>
      </x:c>
      <x:c r="D6826" s="1" t="str">
        <x:v>LATAM</x:v>
      </x:c>
      <x:c r="E6826" s="1" t="str">
        <x:v>PROCESSING</x:v>
      </x:c>
      <x:c r="F6826" s="1" t="str">
        <x:v>Advance shipping</x:v>
      </x:c>
      <x:c r="G6826" s="6" t="n">
        <x:v>3</x:v>
      </x:c>
      <x:c r="H6826" s="6" t="n">
        <x:v>4</x:v>
      </x:c>
      <x:c r="I6826" s="6" t="n">
        <x:f>G6826-H6826</x:f>
        <x:v>-1</x:v>
      </x:c>
      <x:c r="J6826" s="6" t="n">
        <x:f>IF(OR(E6826="CANCELED",E6826="SUSPECTED_FRAUD",F6826="Shipping canceled"),0,1)</x:f>
        <x:v>1</x:v>
      </x:c>
      <x:c r="K6826" s="6" t="n">
        <x:f>IF(G6826&gt;H6826,1,0)</x:f>
        <x:v>0</x:v>
      </x:c>
      <x:c r="L6826" s="6" t="n">
        <x:f>J6826*K6826</x:f>
        <x:v>0</x:v>
      </x:c>
    </x:row>
    <x:row r="6827">
      <x:c r="A6827" s="1" t="n">
        <x:v>53753</x:v>
      </x:c>
      <x:c r="B6827" s="5" t="d">
        <x:v>2017-02-23T00:00:00.000Z</x:v>
      </x:c>
      <x:c r="C6827" s="1" t="str">
        <x:v>Same Day</x:v>
      </x:c>
      <x:c r="D6827" s="1" t="str">
        <x:v>LATAM</x:v>
      </x:c>
      <x:c r="E6827" s="1" t="str">
        <x:v>CLOSED</x:v>
      </x:c>
      <x:c r="F6827" s="1" t="str">
        <x:v>Late delivery</x:v>
      </x:c>
      <x:c r="G6827" s="6" t="n">
        <x:v>1</x:v>
      </x:c>
      <x:c r="H6827" s="6" t="n">
        <x:v>0</x:v>
      </x:c>
      <x:c r="I6827" s="6" t="n">
        <x:f>G6827-H6827</x:f>
        <x:v>1</x:v>
      </x:c>
      <x:c r="J6827" s="6" t="n">
        <x:f>IF(OR(E6827="CANCELED",E6827="SUSPECTED_FRAUD",F6827="Shipping canceled"),0,1)</x:f>
        <x:v>1</x:v>
      </x:c>
      <x:c r="K6827" s="6" t="n">
        <x:f>IF(G6827&gt;H6827,1,0)</x:f>
        <x:v>1</x:v>
      </x:c>
      <x:c r="L6827" s="6" t="n">
        <x:f>J6827*K6827</x:f>
        <x:v>1</x:v>
      </x:c>
    </x:row>
    <x:row r="6828">
      <x:c r="A6828" s="1" t="n">
        <x:v>53763</x:v>
      </x:c>
      <x:c r="B6828" s="5" t="d">
        <x:v>2017-02-23T00:00:00.000Z</x:v>
      </x:c>
      <x:c r="C6828" s="1" t="str">
        <x:v>Standard Class</x:v>
      </x:c>
      <x:c r="D6828" s="1" t="str">
        <x:v>LATAM</x:v>
      </x:c>
      <x:c r="E6828" s="1" t="str">
        <x:v>PROCESSING</x:v>
      </x:c>
      <x:c r="F6828" s="1" t="str">
        <x:v>Shipping on time</x:v>
      </x:c>
      <x:c r="G6828" s="6" t="n">
        <x:v>4</x:v>
      </x:c>
      <x:c r="H6828" s="6" t="n">
        <x:v>4</x:v>
      </x:c>
      <x:c r="I6828" s="6" t="n">
        <x:f>G6828-H6828</x:f>
        <x:v>0</x:v>
      </x:c>
      <x:c r="J6828" s="6" t="n">
        <x:f>IF(OR(E6828="CANCELED",E6828="SUSPECTED_FRAUD",F6828="Shipping canceled"),0,1)</x:f>
        <x:v>1</x:v>
      </x:c>
      <x:c r="K6828" s="6" t="n">
        <x:f>IF(G6828&gt;H6828,1,0)</x:f>
        <x:v>0</x:v>
      </x:c>
      <x:c r="L6828" s="6" t="n">
        <x:f>J6828*K6828</x:f>
        <x:v>0</x:v>
      </x:c>
    </x:row>
    <x:row r="6829">
      <x:c r="A6829" s="1" t="n">
        <x:v>53764</x:v>
      </x:c>
      <x:c r="B6829" s="5" t="d">
        <x:v>2017-02-23T00:00:00.000Z</x:v>
      </x:c>
      <x:c r="C6829" s="1" t="str">
        <x:v>Standard Class</x:v>
      </x:c>
      <x:c r="D6829" s="1" t="str">
        <x:v>LATAM</x:v>
      </x:c>
      <x:c r="E6829" s="1" t="str">
        <x:v>COMPLETE</x:v>
      </x:c>
      <x:c r="F6829" s="1" t="str">
        <x:v>Late delivery</x:v>
      </x:c>
      <x:c r="G6829" s="6" t="n">
        <x:v>5</x:v>
      </x:c>
      <x:c r="H6829" s="6" t="n">
        <x:v>4</x:v>
      </x:c>
      <x:c r="I6829" s="6" t="n">
        <x:f>G6829-H6829</x:f>
        <x:v>1</x:v>
      </x:c>
      <x:c r="J6829" s="6" t="n">
        <x:f>IF(OR(E6829="CANCELED",E6829="SUSPECTED_FRAUD",F6829="Shipping canceled"),0,1)</x:f>
        <x:v>1</x:v>
      </x:c>
      <x:c r="K6829" s="6" t="n">
        <x:f>IF(G6829&gt;H6829,1,0)</x:f>
        <x:v>1</x:v>
      </x:c>
      <x:c r="L6829" s="6" t="n">
        <x:f>J6829*K6829</x:f>
        <x:v>1</x:v>
      </x:c>
    </x:row>
    <x:row r="6830">
      <x:c r="A6830" s="1" t="n">
        <x:v>53767</x:v>
      </x:c>
      <x:c r="B6830" s="5" t="d">
        <x:v>2017-02-23T00:00:00.000Z</x:v>
      </x:c>
      <x:c r="C6830" s="1" t="str">
        <x:v>Standard Class</x:v>
      </x:c>
      <x:c r="D6830" s="1" t="str">
        <x:v>LATAM</x:v>
      </x:c>
      <x:c r="E6830" s="1" t="str">
        <x:v>PENDING_PAYMENT</x:v>
      </x:c>
      <x:c r="F6830" s="1" t="str">
        <x:v>Advance shipping</x:v>
      </x:c>
      <x:c r="G6830" s="6" t="n">
        <x:v>3</x:v>
      </x:c>
      <x:c r="H6830" s="6" t="n">
        <x:v>4</x:v>
      </x:c>
      <x:c r="I6830" s="6" t="n">
        <x:f>G6830-H6830</x:f>
        <x:v>-1</x:v>
      </x:c>
      <x:c r="J6830" s="6" t="n">
        <x:f>IF(OR(E6830="CANCELED",E6830="SUSPECTED_FRAUD",F6830="Shipping canceled"),0,1)</x:f>
        <x:v>1</x:v>
      </x:c>
      <x:c r="K6830" s="6" t="n">
        <x:f>IF(G6830&gt;H6830,1,0)</x:f>
        <x:v>0</x:v>
      </x:c>
      <x:c r="L6830" s="6" t="n">
        <x:f>J6830*K6830</x:f>
        <x:v>0</x:v>
      </x:c>
    </x:row>
    <x:row r="6831">
      <x:c r="A6831" s="1" t="n">
        <x:v>53768</x:v>
      </x:c>
      <x:c r="B6831" s="5" t="d">
        <x:v>2017-02-23T00:00:00.000Z</x:v>
      </x:c>
      <x:c r="C6831" s="1" t="str">
        <x:v>Second Class</x:v>
      </x:c>
      <x:c r="D6831" s="1" t="str">
        <x:v>LATAM</x:v>
      </x:c>
      <x:c r="E6831" s="1" t="str">
        <x:v>CLOSED</x:v>
      </x:c>
      <x:c r="F6831" s="1" t="str">
        <x:v>Late delivery</x:v>
      </x:c>
      <x:c r="G6831" s="6" t="n">
        <x:v>4</x:v>
      </x:c>
      <x:c r="H6831" s="6" t="n">
        <x:v>2</x:v>
      </x:c>
      <x:c r="I6831" s="6" t="n">
        <x:f>G6831-H6831</x:f>
        <x:v>2</x:v>
      </x:c>
      <x:c r="J6831" s="6" t="n">
        <x:f>IF(OR(E6831="CANCELED",E6831="SUSPECTED_FRAUD",F6831="Shipping canceled"),0,1)</x:f>
        <x:v>1</x:v>
      </x:c>
      <x:c r="K6831" s="6" t="n">
        <x:f>IF(G6831&gt;H6831,1,0)</x:f>
        <x:v>1</x:v>
      </x:c>
      <x:c r="L6831" s="6" t="n">
        <x:f>J6831*K6831</x:f>
        <x:v>1</x:v>
      </x:c>
    </x:row>
    <x:row r="6832">
      <x:c r="A6832" s="1" t="n">
        <x:v>53783</x:v>
      </x:c>
      <x:c r="B6832" s="5" t="d">
        <x:v>2017-02-24T00:00:00.000Z</x:v>
      </x:c>
      <x:c r="C6832" s="1" t="str">
        <x:v>Standard Class</x:v>
      </x:c>
      <x:c r="D6832" s="1" t="str">
        <x:v>LATAM</x:v>
      </x:c>
      <x:c r="E6832" s="1" t="str">
        <x:v>ON_HOLD</x:v>
      </x:c>
      <x:c r="F6832" s="1" t="str">
        <x:v>Shipping on time</x:v>
      </x:c>
      <x:c r="G6832" s="6" t="n">
        <x:v>4</x:v>
      </x:c>
      <x:c r="H6832" s="6" t="n">
        <x:v>4</x:v>
      </x:c>
      <x:c r="I6832" s="6" t="n">
        <x:f>G6832-H6832</x:f>
        <x:v>0</x:v>
      </x:c>
      <x:c r="J6832" s="6" t="n">
        <x:f>IF(OR(E6832="CANCELED",E6832="SUSPECTED_FRAUD",F6832="Shipping canceled"),0,1)</x:f>
        <x:v>1</x:v>
      </x:c>
      <x:c r="K6832" s="6" t="n">
        <x:f>IF(G6832&gt;H6832,1,0)</x:f>
        <x:v>0</x:v>
      </x:c>
      <x:c r="L6832" s="6" t="n">
        <x:f>J6832*K6832</x:f>
        <x:v>0</x:v>
      </x:c>
    </x:row>
    <x:row r="6833">
      <x:c r="A6833" s="1" t="n">
        <x:v>53785</x:v>
      </x:c>
      <x:c r="B6833" s="5" t="d">
        <x:v>2017-02-24T00:00:00.000Z</x:v>
      </x:c>
      <x:c r="C6833" s="1" t="str">
        <x:v>Standard Class</x:v>
      </x:c>
      <x:c r="D6833" s="1" t="str">
        <x:v>LATAM</x:v>
      </x:c>
      <x:c r="E6833" s="1" t="str">
        <x:v>PENDING_PAYMENT</x:v>
      </x:c>
      <x:c r="F6833" s="1" t="str">
        <x:v>Late delivery</x:v>
      </x:c>
      <x:c r="G6833" s="6" t="n">
        <x:v>6</x:v>
      </x:c>
      <x:c r="H6833" s="6" t="n">
        <x:v>4</x:v>
      </x:c>
      <x:c r="I6833" s="6" t="n">
        <x:f>G6833-H6833</x:f>
        <x:v>2</x:v>
      </x:c>
      <x:c r="J6833" s="6" t="n">
        <x:f>IF(OR(E6833="CANCELED",E6833="SUSPECTED_FRAUD",F6833="Shipping canceled"),0,1)</x:f>
        <x:v>1</x:v>
      </x:c>
      <x:c r="K6833" s="6" t="n">
        <x:f>IF(G6833&gt;H6833,1,0)</x:f>
        <x:v>1</x:v>
      </x:c>
      <x:c r="L6833" s="6" t="n">
        <x:f>J6833*K6833</x:f>
        <x:v>1</x:v>
      </x:c>
    </x:row>
    <x:row r="6834">
      <x:c r="A6834" s="1" t="n">
        <x:v>53803</x:v>
      </x:c>
      <x:c r="B6834" s="5" t="d">
        <x:v>2017-02-24T00:00:00.000Z</x:v>
      </x:c>
      <x:c r="C6834" s="1" t="str">
        <x:v>Standard Class</x:v>
      </x:c>
      <x:c r="D6834" s="1" t="str">
        <x:v>LATAM</x:v>
      </x:c>
      <x:c r="E6834" s="1" t="str">
        <x:v>PENDING_PAYMENT</x:v>
      </x:c>
      <x:c r="F6834" s="1" t="str">
        <x:v>Shipping on time</x:v>
      </x:c>
      <x:c r="G6834" s="6" t="n">
        <x:v>4</x:v>
      </x:c>
      <x:c r="H6834" s="6" t="n">
        <x:v>4</x:v>
      </x:c>
      <x:c r="I6834" s="6" t="n">
        <x:f>G6834-H6834</x:f>
        <x:v>0</x:v>
      </x:c>
      <x:c r="J6834" s="6" t="n">
        <x:f>IF(OR(E6834="CANCELED",E6834="SUSPECTED_FRAUD",F6834="Shipping canceled"),0,1)</x:f>
        <x:v>1</x:v>
      </x:c>
      <x:c r="K6834" s="6" t="n">
        <x:f>IF(G6834&gt;H6834,1,0)</x:f>
        <x:v>0</x:v>
      </x:c>
      <x:c r="L6834" s="6" t="n">
        <x:f>J6834*K6834</x:f>
        <x:v>0</x:v>
      </x:c>
    </x:row>
    <x:row r="6835">
      <x:c r="A6835" s="1" t="n">
        <x:v>53810</x:v>
      </x:c>
      <x:c r="B6835" s="5" t="d">
        <x:v>2017-02-24T00:00:00.000Z</x:v>
      </x:c>
      <x:c r="C6835" s="1" t="str">
        <x:v>Standard Class</x:v>
      </x:c>
      <x:c r="D6835" s="1" t="str">
        <x:v>LATAM</x:v>
      </x:c>
      <x:c r="E6835" s="1" t="str">
        <x:v>PROCESSING</x:v>
      </x:c>
      <x:c r="F6835" s="1" t="str">
        <x:v>Late delivery</x:v>
      </x:c>
      <x:c r="G6835" s="6" t="n">
        <x:v>6</x:v>
      </x:c>
      <x:c r="H6835" s="6" t="n">
        <x:v>4</x:v>
      </x:c>
      <x:c r="I6835" s="6" t="n">
        <x:f>G6835-H6835</x:f>
        <x:v>2</x:v>
      </x:c>
      <x:c r="J6835" s="6" t="n">
        <x:f>IF(OR(E6835="CANCELED",E6835="SUSPECTED_FRAUD",F6835="Shipping canceled"),0,1)</x:f>
        <x:v>1</x:v>
      </x:c>
      <x:c r="K6835" s="6" t="n">
        <x:f>IF(G6835&gt;H6835,1,0)</x:f>
        <x:v>1</x:v>
      </x:c>
      <x:c r="L6835" s="6" t="n">
        <x:f>J6835*K6835</x:f>
        <x:v>1</x:v>
      </x:c>
    </x:row>
    <x:row r="6836">
      <x:c r="A6836" s="1" t="n">
        <x:v>53813</x:v>
      </x:c>
      <x:c r="B6836" s="5" t="d">
        <x:v>2017-02-24T00:00:00.000Z</x:v>
      </x:c>
      <x:c r="C6836" s="1" t="str">
        <x:v>First Class</x:v>
      </x:c>
      <x:c r="D6836" s="1" t="str">
        <x:v>LATAM</x:v>
      </x:c>
      <x:c r="E6836" s="1" t="str">
        <x:v>CLOSED</x:v>
      </x:c>
      <x:c r="F6836" s="1" t="str">
        <x:v>Late delivery</x:v>
      </x:c>
      <x:c r="G6836" s="6" t="n">
        <x:v>2</x:v>
      </x:c>
      <x:c r="H6836" s="6" t="n">
        <x:v>1</x:v>
      </x:c>
      <x:c r="I6836" s="6" t="n">
        <x:f>G6836-H6836</x:f>
        <x:v>1</x:v>
      </x:c>
      <x:c r="J6836" s="6" t="n">
        <x:f>IF(OR(E6836="CANCELED",E6836="SUSPECTED_FRAUD",F6836="Shipping canceled"),0,1)</x:f>
        <x:v>1</x:v>
      </x:c>
      <x:c r="K6836" s="6" t="n">
        <x:f>IF(G6836&gt;H6836,1,0)</x:f>
        <x:v>1</x:v>
      </x:c>
      <x:c r="L6836" s="6" t="n">
        <x:f>J6836*K6836</x:f>
        <x:v>1</x:v>
      </x:c>
    </x:row>
    <x:row r="6837">
      <x:c r="A6837" s="1" t="n">
        <x:v>53816</x:v>
      </x:c>
      <x:c r="B6837" s="5" t="d">
        <x:v>2017-02-24T00:00:00.000Z</x:v>
      </x:c>
      <x:c r="C6837" s="1" t="str">
        <x:v>Second Class</x:v>
      </x:c>
      <x:c r="D6837" s="1" t="str">
        <x:v>LATAM</x:v>
      </x:c>
      <x:c r="E6837" s="1" t="str">
        <x:v>COMPLETE</x:v>
      </x:c>
      <x:c r="F6837" s="1" t="str">
        <x:v>Shipping on time</x:v>
      </x:c>
      <x:c r="G6837" s="6" t="n">
        <x:v>2</x:v>
      </x:c>
      <x:c r="H6837" s="6" t="n">
        <x:v>2</x:v>
      </x:c>
      <x:c r="I6837" s="6" t="n">
        <x:f>G6837-H6837</x:f>
        <x:v>0</x:v>
      </x:c>
      <x:c r="J6837" s="6" t="n">
        <x:f>IF(OR(E6837="CANCELED",E6837="SUSPECTED_FRAUD",F6837="Shipping canceled"),0,1)</x:f>
        <x:v>1</x:v>
      </x:c>
      <x:c r="K6837" s="6" t="n">
        <x:f>IF(G6837&gt;H6837,1,0)</x:f>
        <x:v>0</x:v>
      </x:c>
      <x:c r="L6837" s="6" t="n">
        <x:f>J6837*K6837</x:f>
        <x:v>0</x:v>
      </x:c>
    </x:row>
    <x:row r="6838">
      <x:c r="A6838" s="1" t="n">
        <x:v>53817</x:v>
      </x:c>
      <x:c r="B6838" s="5" t="d">
        <x:v>2017-02-24T00:00:00.000Z</x:v>
      </x:c>
      <x:c r="C6838" s="1" t="str">
        <x:v>Second Class</x:v>
      </x:c>
      <x:c r="D6838" s="1" t="str">
        <x:v>LATAM</x:v>
      </x:c>
      <x:c r="E6838" s="1" t="str">
        <x:v>PENDING</x:v>
      </x:c>
      <x:c r="F6838" s="1" t="str">
        <x:v>Late delivery</x:v>
      </x:c>
      <x:c r="G6838" s="6" t="n">
        <x:v>3</x:v>
      </x:c>
      <x:c r="H6838" s="6" t="n">
        <x:v>2</x:v>
      </x:c>
      <x:c r="I6838" s="6" t="n">
        <x:f>G6838-H6838</x:f>
        <x:v>1</x:v>
      </x:c>
      <x:c r="J6838" s="6" t="n">
        <x:f>IF(OR(E6838="CANCELED",E6838="SUSPECTED_FRAUD",F6838="Shipping canceled"),0,1)</x:f>
        <x:v>1</x:v>
      </x:c>
      <x:c r="K6838" s="6" t="n">
        <x:f>IF(G6838&gt;H6838,1,0)</x:f>
        <x:v>1</x:v>
      </x:c>
      <x:c r="L6838" s="6" t="n">
        <x:f>J6838*K6838</x:f>
        <x:v>1</x:v>
      </x:c>
    </x:row>
    <x:row r="6839">
      <x:c r="A6839" s="1" t="n">
        <x:v>53840</x:v>
      </x:c>
      <x:c r="B6839" s="5" t="d">
        <x:v>2017-02-24T00:00:00.000Z</x:v>
      </x:c>
      <x:c r="C6839" s="1" t="str">
        <x:v>First Class</x:v>
      </x:c>
      <x:c r="D6839" s="1" t="str">
        <x:v>LATAM</x:v>
      </x:c>
      <x:c r="E6839" s="1" t="str">
        <x:v>COMPLETE</x:v>
      </x:c>
      <x:c r="F6839" s="1" t="str">
        <x:v>Late delivery</x:v>
      </x:c>
      <x:c r="G6839" s="6" t="n">
        <x:v>2</x:v>
      </x:c>
      <x:c r="H6839" s="6" t="n">
        <x:v>1</x:v>
      </x:c>
      <x:c r="I6839" s="6" t="n">
        <x:f>G6839-H6839</x:f>
        <x:v>1</x:v>
      </x:c>
      <x:c r="J6839" s="6" t="n">
        <x:f>IF(OR(E6839="CANCELED",E6839="SUSPECTED_FRAUD",F6839="Shipping canceled"),0,1)</x:f>
        <x:v>1</x:v>
      </x:c>
      <x:c r="K6839" s="6" t="n">
        <x:f>IF(G6839&gt;H6839,1,0)</x:f>
        <x:v>1</x:v>
      </x:c>
      <x:c r="L6839" s="6" t="n">
        <x:f>J6839*K6839</x:f>
        <x:v>1</x:v>
      </x:c>
    </x:row>
    <x:row r="6840">
      <x:c r="A6840" s="1" t="n">
        <x:v>53842</x:v>
      </x:c>
      <x:c r="B6840" s="5" t="d">
        <x:v>2017-02-24T00:00:00.000Z</x:v>
      </x:c>
      <x:c r="C6840" s="1" t="str">
        <x:v>First Class</x:v>
      </x:c>
      <x:c r="D6840" s="1" t="str">
        <x:v>LATAM</x:v>
      </x:c>
      <x:c r="E6840" s="1" t="str">
        <x:v>COMPLETE</x:v>
      </x:c>
      <x:c r="F6840" s="1" t="str">
        <x:v>Late delivery</x:v>
      </x:c>
      <x:c r="G6840" s="6" t="n">
        <x:v>2</x:v>
      </x:c>
      <x:c r="H6840" s="6" t="n">
        <x:v>1</x:v>
      </x:c>
      <x:c r="I6840" s="6" t="n">
        <x:f>G6840-H6840</x:f>
        <x:v>1</x:v>
      </x:c>
      <x:c r="J6840" s="6" t="n">
        <x:f>IF(OR(E6840="CANCELED",E6840="SUSPECTED_FRAUD",F6840="Shipping canceled"),0,1)</x:f>
        <x:v>1</x:v>
      </x:c>
      <x:c r="K6840" s="6" t="n">
        <x:f>IF(G6840&gt;H6840,1,0)</x:f>
        <x:v>1</x:v>
      </x:c>
      <x:c r="L6840" s="6" t="n">
        <x:f>J6840*K6840</x:f>
        <x:v>1</x:v>
      </x:c>
    </x:row>
    <x:row r="6841">
      <x:c r="A6841" s="1" t="n">
        <x:v>53845</x:v>
      </x:c>
      <x:c r="B6841" s="5" t="d">
        <x:v>2017-02-24T00:00:00.000Z</x:v>
      </x:c>
      <x:c r="C6841" s="1" t="str">
        <x:v>Second Class</x:v>
      </x:c>
      <x:c r="D6841" s="1" t="str">
        <x:v>LATAM</x:v>
      </x:c>
      <x:c r="E6841" s="1" t="str">
        <x:v>PENDING_PAYMENT</x:v>
      </x:c>
      <x:c r="F6841" s="1" t="str">
        <x:v>Late delivery</x:v>
      </x:c>
      <x:c r="G6841" s="6" t="n">
        <x:v>6</x:v>
      </x:c>
      <x:c r="H6841" s="6" t="n">
        <x:v>2</x:v>
      </x:c>
      <x:c r="I6841" s="6" t="n">
        <x:f>G6841-H6841</x:f>
        <x:v>4</x:v>
      </x:c>
      <x:c r="J6841" s="6" t="n">
        <x:f>IF(OR(E6841="CANCELED",E6841="SUSPECTED_FRAUD",F6841="Shipping canceled"),0,1)</x:f>
        <x:v>1</x:v>
      </x:c>
      <x:c r="K6841" s="6" t="n">
        <x:f>IF(G6841&gt;H6841,1,0)</x:f>
        <x:v>1</x:v>
      </x:c>
      <x:c r="L6841" s="6" t="n">
        <x:f>J6841*K6841</x:f>
        <x:v>1</x:v>
      </x:c>
    </x:row>
    <x:row r="6842">
      <x:c r="A6842" s="1" t="n">
        <x:v>53848</x:v>
      </x:c>
      <x:c r="B6842" s="5" t="d">
        <x:v>2017-02-25T00:00:00.000Z</x:v>
      </x:c>
      <x:c r="C6842" s="1" t="str">
        <x:v>Standard Class</x:v>
      </x:c>
      <x:c r="D6842" s="1" t="str">
        <x:v>LATAM</x:v>
      </x:c>
      <x:c r="E6842" s="1" t="str">
        <x:v>COMPLETE</x:v>
      </x:c>
      <x:c r="F6842" s="1" t="str">
        <x:v>Shipping on time</x:v>
      </x:c>
      <x:c r="G6842" s="6" t="n">
        <x:v>4</x:v>
      </x:c>
      <x:c r="H6842" s="6" t="n">
        <x:v>4</x:v>
      </x:c>
      <x:c r="I6842" s="6" t="n">
        <x:f>G6842-H6842</x:f>
        <x:v>0</x:v>
      </x:c>
      <x:c r="J6842" s="6" t="n">
        <x:f>IF(OR(E6842="CANCELED",E6842="SUSPECTED_FRAUD",F6842="Shipping canceled"),0,1)</x:f>
        <x:v>1</x:v>
      </x:c>
      <x:c r="K6842" s="6" t="n">
        <x:f>IF(G6842&gt;H6842,1,0)</x:f>
        <x:v>0</x:v>
      </x:c>
      <x:c r="L6842" s="6" t="n">
        <x:f>J6842*K6842</x:f>
        <x:v>0</x:v>
      </x:c>
    </x:row>
    <x:row r="6843">
      <x:c r="A6843" s="1" t="n">
        <x:v>53852</x:v>
      </x:c>
      <x:c r="B6843" s="5" t="d">
        <x:v>2017-02-25T00:00:00.000Z</x:v>
      </x:c>
      <x:c r="C6843" s="1" t="str">
        <x:v>Standard Class</x:v>
      </x:c>
      <x:c r="D6843" s="1" t="str">
        <x:v>LATAM</x:v>
      </x:c>
      <x:c r="E6843" s="1" t="str">
        <x:v>COMPLETE</x:v>
      </x:c>
      <x:c r="F6843" s="1" t="str">
        <x:v>Advance shipping</x:v>
      </x:c>
      <x:c r="G6843" s="6" t="n">
        <x:v>3</x:v>
      </x:c>
      <x:c r="H6843" s="6" t="n">
        <x:v>4</x:v>
      </x:c>
      <x:c r="I6843" s="6" t="n">
        <x:f>G6843-H6843</x:f>
        <x:v>-1</x:v>
      </x:c>
      <x:c r="J6843" s="6" t="n">
        <x:f>IF(OR(E6843="CANCELED",E6843="SUSPECTED_FRAUD",F6843="Shipping canceled"),0,1)</x:f>
        <x:v>1</x:v>
      </x:c>
      <x:c r="K6843" s="6" t="n">
        <x:f>IF(G6843&gt;H6843,1,0)</x:f>
        <x:v>0</x:v>
      </x:c>
      <x:c r="L6843" s="6" t="n">
        <x:f>J6843*K6843</x:f>
        <x:v>0</x:v>
      </x:c>
    </x:row>
    <x:row r="6844">
      <x:c r="A6844" s="1" t="n">
        <x:v>53854</x:v>
      </x:c>
      <x:c r="B6844" s="5" t="d">
        <x:v>2017-02-25T00:00:00.000Z</x:v>
      </x:c>
      <x:c r="C6844" s="1" t="str">
        <x:v>Standard Class</x:v>
      </x:c>
      <x:c r="D6844" s="1" t="str">
        <x:v>LATAM</x:v>
      </x:c>
      <x:c r="E6844" s="1" t="str">
        <x:v>PROCESSING</x:v>
      </x:c>
      <x:c r="F6844" s="1" t="str">
        <x:v>Late delivery</x:v>
      </x:c>
      <x:c r="G6844" s="6" t="n">
        <x:v>5</x:v>
      </x:c>
      <x:c r="H6844" s="6" t="n">
        <x:v>4</x:v>
      </x:c>
      <x:c r="I6844" s="6" t="n">
        <x:f>G6844-H6844</x:f>
        <x:v>1</x:v>
      </x:c>
      <x:c r="J6844" s="6" t="n">
        <x:f>IF(OR(E6844="CANCELED",E6844="SUSPECTED_FRAUD",F6844="Shipping canceled"),0,1)</x:f>
        <x:v>1</x:v>
      </x:c>
      <x:c r="K6844" s="6" t="n">
        <x:f>IF(G6844&gt;H6844,1,0)</x:f>
        <x:v>1</x:v>
      </x:c>
      <x:c r="L6844" s="6" t="n">
        <x:f>J6844*K6844</x:f>
        <x:v>1</x:v>
      </x:c>
    </x:row>
    <x:row r="6845">
      <x:c r="A6845" s="1" t="n">
        <x:v>53863</x:v>
      </x:c>
      <x:c r="B6845" s="5" t="d">
        <x:v>2017-02-25T00:00:00.000Z</x:v>
      </x:c>
      <x:c r="C6845" s="1" t="str">
        <x:v>Standard Class</x:v>
      </x:c>
      <x:c r="D6845" s="1" t="str">
        <x:v>LATAM</x:v>
      </x:c>
      <x:c r="E6845" s="1" t="str">
        <x:v>COMPLETE</x:v>
      </x:c>
      <x:c r="F6845" s="1" t="str">
        <x:v>Shipping on time</x:v>
      </x:c>
      <x:c r="G6845" s="6" t="n">
        <x:v>4</x:v>
      </x:c>
      <x:c r="H6845" s="6" t="n">
        <x:v>4</x:v>
      </x:c>
      <x:c r="I6845" s="6" t="n">
        <x:f>G6845-H6845</x:f>
        <x:v>0</x:v>
      </x:c>
      <x:c r="J6845" s="6" t="n">
        <x:f>IF(OR(E6845="CANCELED",E6845="SUSPECTED_FRAUD",F6845="Shipping canceled"),0,1)</x:f>
        <x:v>1</x:v>
      </x:c>
      <x:c r="K6845" s="6" t="n">
        <x:f>IF(G6845&gt;H6845,1,0)</x:f>
        <x:v>0</x:v>
      </x:c>
      <x:c r="L6845" s="6" t="n">
        <x:f>J6845*K6845</x:f>
        <x:v>0</x:v>
      </x:c>
    </x:row>
    <x:row r="6846">
      <x:c r="A6846" s="1" t="n">
        <x:v>53871</x:v>
      </x:c>
      <x:c r="B6846" s="5" t="d">
        <x:v>2017-02-25T00:00:00.000Z</x:v>
      </x:c>
      <x:c r="C6846" s="1" t="str">
        <x:v>Standard Class</x:v>
      </x:c>
      <x:c r="D6846" s="1" t="str">
        <x:v>LATAM</x:v>
      </x:c>
      <x:c r="E6846" s="1" t="str">
        <x:v>COMPLETE</x:v>
      </x:c>
      <x:c r="F6846" s="1" t="str">
        <x:v>Advance shipping</x:v>
      </x:c>
      <x:c r="G6846" s="6" t="n">
        <x:v>2</x:v>
      </x:c>
      <x:c r="H6846" s="6" t="n">
        <x:v>4</x:v>
      </x:c>
      <x:c r="I6846" s="6" t="n">
        <x:f>G6846-H6846</x:f>
        <x:v>-2</x:v>
      </x:c>
      <x:c r="J6846" s="6" t="n">
        <x:f>IF(OR(E6846="CANCELED",E6846="SUSPECTED_FRAUD",F6846="Shipping canceled"),0,1)</x:f>
        <x:v>1</x:v>
      </x:c>
      <x:c r="K6846" s="6" t="n">
        <x:f>IF(G6846&gt;H6846,1,0)</x:f>
        <x:v>0</x:v>
      </x:c>
      <x:c r="L6846" s="6" t="n">
        <x:f>J6846*K6846</x:f>
        <x:v>0</x:v>
      </x:c>
    </x:row>
    <x:row r="6847">
      <x:c r="A6847" s="1" t="n">
        <x:v>53885</x:v>
      </x:c>
      <x:c r="B6847" s="5" t="d">
        <x:v>2017-02-25T00:00:00.000Z</x:v>
      </x:c>
      <x:c r="C6847" s="1" t="str">
        <x:v>Standard Class</x:v>
      </x:c>
      <x:c r="D6847" s="1" t="str">
        <x:v>LATAM</x:v>
      </x:c>
      <x:c r="E6847" s="1" t="str">
        <x:v>COMPLETE</x:v>
      </x:c>
      <x:c r="F6847" s="1" t="str">
        <x:v>Late delivery</x:v>
      </x:c>
      <x:c r="G6847" s="6" t="n">
        <x:v>6</x:v>
      </x:c>
      <x:c r="H6847" s="6" t="n">
        <x:v>4</x:v>
      </x:c>
      <x:c r="I6847" s="6" t="n">
        <x:f>G6847-H6847</x:f>
        <x:v>2</x:v>
      </x:c>
      <x:c r="J6847" s="6" t="n">
        <x:f>IF(OR(E6847="CANCELED",E6847="SUSPECTED_FRAUD",F6847="Shipping canceled"),0,1)</x:f>
        <x:v>1</x:v>
      </x:c>
      <x:c r="K6847" s="6" t="n">
        <x:f>IF(G6847&gt;H6847,1,0)</x:f>
        <x:v>1</x:v>
      </x:c>
      <x:c r="L6847" s="6" t="n">
        <x:f>J6847*K6847</x:f>
        <x:v>1</x:v>
      </x:c>
    </x:row>
    <x:row r="6848">
      <x:c r="A6848" s="1" t="n">
        <x:v>53886</x:v>
      </x:c>
      <x:c r="B6848" s="5" t="d">
        <x:v>2017-02-25T00:00:00.000Z</x:v>
      </x:c>
      <x:c r="C6848" s="1" t="str">
        <x:v>Second Class</x:v>
      </x:c>
      <x:c r="D6848" s="1" t="str">
        <x:v>LATAM</x:v>
      </x:c>
      <x:c r="E6848" s="1" t="str">
        <x:v>COMPLETE</x:v>
      </x:c>
      <x:c r="F6848" s="1" t="str">
        <x:v>Shipping on time</x:v>
      </x:c>
      <x:c r="G6848" s="6" t="n">
        <x:v>2</x:v>
      </x:c>
      <x:c r="H6848" s="6" t="n">
        <x:v>2</x:v>
      </x:c>
      <x:c r="I6848" s="6" t="n">
        <x:f>G6848-H6848</x:f>
        <x:v>0</x:v>
      </x:c>
      <x:c r="J6848" s="6" t="n">
        <x:f>IF(OR(E6848="CANCELED",E6848="SUSPECTED_FRAUD",F6848="Shipping canceled"),0,1)</x:f>
        <x:v>1</x:v>
      </x:c>
      <x:c r="K6848" s="6" t="n">
        <x:f>IF(G6848&gt;H6848,1,0)</x:f>
        <x:v>0</x:v>
      </x:c>
      <x:c r="L6848" s="6" t="n">
        <x:f>J6848*K6848</x:f>
        <x:v>0</x:v>
      </x:c>
    </x:row>
    <x:row r="6849">
      <x:c r="A6849" s="1" t="n">
        <x:v>53898</x:v>
      </x:c>
      <x:c r="B6849" s="5" t="d">
        <x:v>2017-02-25T00:00:00.000Z</x:v>
      </x:c>
      <x:c r="C6849" s="1" t="str">
        <x:v>First Class</x:v>
      </x:c>
      <x:c r="D6849" s="1" t="str">
        <x:v>LATAM</x:v>
      </x:c>
      <x:c r="E6849" s="1" t="str">
        <x:v>CLOSED</x:v>
      </x:c>
      <x:c r="F6849" s="1" t="str">
        <x:v>Late delivery</x:v>
      </x:c>
      <x:c r="G6849" s="6" t="n">
        <x:v>2</x:v>
      </x:c>
      <x:c r="H6849" s="6" t="n">
        <x:v>1</x:v>
      </x:c>
      <x:c r="I6849" s="6" t="n">
        <x:f>G6849-H6849</x:f>
        <x:v>1</x:v>
      </x:c>
      <x:c r="J6849" s="6" t="n">
        <x:f>IF(OR(E6849="CANCELED",E6849="SUSPECTED_FRAUD",F6849="Shipping canceled"),0,1)</x:f>
        <x:v>1</x:v>
      </x:c>
      <x:c r="K6849" s="6" t="n">
        <x:f>IF(G6849&gt;H6849,1,0)</x:f>
        <x:v>1</x:v>
      </x:c>
      <x:c r="L6849" s="6" t="n">
        <x:f>J6849*K6849</x:f>
        <x:v>1</x:v>
      </x:c>
    </x:row>
    <x:row r="6850">
      <x:c r="A6850" s="1" t="n">
        <x:v>53902</x:v>
      </x:c>
      <x:c r="B6850" s="5" t="d">
        <x:v>2017-02-25T00:00:00.000Z</x:v>
      </x:c>
      <x:c r="C6850" s="1" t="str">
        <x:v>Standard Class</x:v>
      </x:c>
      <x:c r="D6850" s="1" t="str">
        <x:v>LATAM</x:v>
      </x:c>
      <x:c r="E6850" s="1" t="str">
        <x:v>COMPLETE</x:v>
      </x:c>
      <x:c r="F6850" s="1" t="str">
        <x:v>Advance shipping</x:v>
      </x:c>
      <x:c r="G6850" s="6" t="n">
        <x:v>3</x:v>
      </x:c>
      <x:c r="H6850" s="6" t="n">
        <x:v>4</x:v>
      </x:c>
      <x:c r="I6850" s="6" t="n">
        <x:f>G6850-H6850</x:f>
        <x:v>-1</x:v>
      </x:c>
      <x:c r="J6850" s="6" t="n">
        <x:f>IF(OR(E6850="CANCELED",E6850="SUSPECTED_FRAUD",F6850="Shipping canceled"),0,1)</x:f>
        <x:v>1</x:v>
      </x:c>
      <x:c r="K6850" s="6" t="n">
        <x:f>IF(G6850&gt;H6850,1,0)</x:f>
        <x:v>0</x:v>
      </x:c>
      <x:c r="L6850" s="6" t="n">
        <x:f>J6850*K6850</x:f>
        <x:v>0</x:v>
      </x:c>
    </x:row>
    <x:row r="6851">
      <x:c r="A6851" s="1" t="n">
        <x:v>53921</x:v>
      </x:c>
      <x:c r="B6851" s="5" t="d">
        <x:v>2017-02-26T00:00:00.000Z</x:v>
      </x:c>
      <x:c r="C6851" s="1" t="str">
        <x:v>Standard Class</x:v>
      </x:c>
      <x:c r="D6851" s="1" t="str">
        <x:v>LATAM</x:v>
      </x:c>
      <x:c r="E6851" s="1" t="str">
        <x:v>CLOSED</x:v>
      </x:c>
      <x:c r="F6851" s="1" t="str">
        <x:v>Advance shipping</x:v>
      </x:c>
      <x:c r="G6851" s="6" t="n">
        <x:v>2</x:v>
      </x:c>
      <x:c r="H6851" s="6" t="n">
        <x:v>4</x:v>
      </x:c>
      <x:c r="I6851" s="6" t="n">
        <x:f>G6851-H6851</x:f>
        <x:v>-2</x:v>
      </x:c>
      <x:c r="J6851" s="6" t="n">
        <x:f>IF(OR(E6851="CANCELED",E6851="SUSPECTED_FRAUD",F6851="Shipping canceled"),0,1)</x:f>
        <x:v>1</x:v>
      </x:c>
      <x:c r="K6851" s="6" t="n">
        <x:f>IF(G6851&gt;H6851,1,0)</x:f>
        <x:v>0</x:v>
      </x:c>
      <x:c r="L6851" s="6" t="n">
        <x:f>J6851*K6851</x:f>
        <x:v>0</x:v>
      </x:c>
    </x:row>
    <x:row r="6852">
      <x:c r="A6852" s="1" t="n">
        <x:v>53949</x:v>
      </x:c>
      <x:c r="B6852" s="5" t="d">
        <x:v>2017-02-26T00:00:00.000Z</x:v>
      </x:c>
      <x:c r="C6852" s="1" t="str">
        <x:v>Standard Class</x:v>
      </x:c>
      <x:c r="D6852" s="1" t="str">
        <x:v>LATAM</x:v>
      </x:c>
      <x:c r="E6852" s="1" t="str">
        <x:v>CLOSED</x:v>
      </x:c>
      <x:c r="F6852" s="1" t="str">
        <x:v>Late delivery</x:v>
      </x:c>
      <x:c r="G6852" s="6" t="n">
        <x:v>5</x:v>
      </x:c>
      <x:c r="H6852" s="6" t="n">
        <x:v>4</x:v>
      </x:c>
      <x:c r="I6852" s="6" t="n">
        <x:f>G6852-H6852</x:f>
        <x:v>1</x:v>
      </x:c>
      <x:c r="J6852" s="6" t="n">
        <x:f>IF(OR(E6852="CANCELED",E6852="SUSPECTED_FRAUD",F6852="Shipping canceled"),0,1)</x:f>
        <x:v>1</x:v>
      </x:c>
      <x:c r="K6852" s="6" t="n">
        <x:f>IF(G6852&gt;H6852,1,0)</x:f>
        <x:v>1</x:v>
      </x:c>
      <x:c r="L6852" s="6" t="n">
        <x:f>J6852*K6852</x:f>
        <x:v>1</x:v>
      </x:c>
    </x:row>
    <x:row r="6853">
      <x:c r="A6853" s="1" t="n">
        <x:v>53950</x:v>
      </x:c>
      <x:c r="B6853" s="5" t="d">
        <x:v>2017-02-26T00:00:00.000Z</x:v>
      </x:c>
      <x:c r="C6853" s="1" t="str">
        <x:v>Standard Class</x:v>
      </x:c>
      <x:c r="D6853" s="1" t="str">
        <x:v>LATAM</x:v>
      </x:c>
      <x:c r="E6853" s="1" t="str">
        <x:v>COMPLETE</x:v>
      </x:c>
      <x:c r="F6853" s="1" t="str">
        <x:v>Late delivery</x:v>
      </x:c>
      <x:c r="G6853" s="6" t="n">
        <x:v>6</x:v>
      </x:c>
      <x:c r="H6853" s="6" t="n">
        <x:v>4</x:v>
      </x:c>
      <x:c r="I6853" s="6" t="n">
        <x:f>G6853-H6853</x:f>
        <x:v>2</x:v>
      </x:c>
      <x:c r="J6853" s="6" t="n">
        <x:f>IF(OR(E6853="CANCELED",E6853="SUSPECTED_FRAUD",F6853="Shipping canceled"),0,1)</x:f>
        <x:v>1</x:v>
      </x:c>
      <x:c r="K6853" s="6" t="n">
        <x:f>IF(G6853&gt;H6853,1,0)</x:f>
        <x:v>1</x:v>
      </x:c>
      <x:c r="L6853" s="6" t="n">
        <x:f>J6853*K6853</x:f>
        <x:v>1</x:v>
      </x:c>
    </x:row>
    <x:row r="6854">
      <x:c r="A6854" s="1" t="n">
        <x:v>53958</x:v>
      </x:c>
      <x:c r="B6854" s="5" t="d">
        <x:v>2017-02-26T00:00:00.000Z</x:v>
      </x:c>
      <x:c r="C6854" s="1" t="str">
        <x:v>Standard Class</x:v>
      </x:c>
      <x:c r="D6854" s="1" t="str">
        <x:v>LATAM</x:v>
      </x:c>
      <x:c r="E6854" s="1" t="str">
        <x:v>PENDING</x:v>
      </x:c>
      <x:c r="F6854" s="1" t="str">
        <x:v>Shipping on time</x:v>
      </x:c>
      <x:c r="G6854" s="6" t="n">
        <x:v>4</x:v>
      </x:c>
      <x:c r="H6854" s="6" t="n">
        <x:v>4</x:v>
      </x:c>
      <x:c r="I6854" s="6" t="n">
        <x:f>G6854-H6854</x:f>
        <x:v>0</x:v>
      </x:c>
      <x:c r="J6854" s="6" t="n">
        <x:f>IF(OR(E6854="CANCELED",E6854="SUSPECTED_FRAUD",F6854="Shipping canceled"),0,1)</x:f>
        <x:v>1</x:v>
      </x:c>
      <x:c r="K6854" s="6" t="n">
        <x:f>IF(G6854&gt;H6854,1,0)</x:f>
        <x:v>0</x:v>
      </x:c>
      <x:c r="L6854" s="6" t="n">
        <x:f>J6854*K6854</x:f>
        <x:v>0</x:v>
      </x:c>
    </x:row>
    <x:row r="6855">
      <x:c r="A6855" s="1" t="n">
        <x:v>53959</x:v>
      </x:c>
      <x:c r="B6855" s="5" t="d">
        <x:v>2017-02-26T00:00:00.000Z</x:v>
      </x:c>
      <x:c r="C6855" s="1" t="str">
        <x:v>Standard Class</x:v>
      </x:c>
      <x:c r="D6855" s="1" t="str">
        <x:v>LATAM</x:v>
      </x:c>
      <x:c r="E6855" s="1" t="str">
        <x:v>PAYMENT_REVIEW</x:v>
      </x:c>
      <x:c r="F6855" s="1" t="str">
        <x:v>Late delivery</x:v>
      </x:c>
      <x:c r="G6855" s="6" t="n">
        <x:v>5</x:v>
      </x:c>
      <x:c r="H6855" s="6" t="n">
        <x:v>4</x:v>
      </x:c>
      <x:c r="I6855" s="6" t="n">
        <x:f>G6855-H6855</x:f>
        <x:v>1</x:v>
      </x:c>
      <x:c r="J6855" s="6" t="n">
        <x:f>IF(OR(E6855="CANCELED",E6855="SUSPECTED_FRAUD",F6855="Shipping canceled"),0,1)</x:f>
        <x:v>1</x:v>
      </x:c>
      <x:c r="K6855" s="6" t="n">
        <x:f>IF(G6855&gt;H6855,1,0)</x:f>
        <x:v>1</x:v>
      </x:c>
      <x:c r="L6855" s="6" t="n">
        <x:f>J6855*K6855</x:f>
        <x:v>1</x:v>
      </x:c>
    </x:row>
    <x:row r="6856">
      <x:c r="A6856" s="1" t="n">
        <x:v>53961</x:v>
      </x:c>
      <x:c r="B6856" s="5" t="d">
        <x:v>2017-02-26T00:00:00.000Z</x:v>
      </x:c>
      <x:c r="C6856" s="1" t="str">
        <x:v>Standard Class</x:v>
      </x:c>
      <x:c r="D6856" s="1" t="str">
        <x:v>LATAM</x:v>
      </x:c>
      <x:c r="E6856" s="1" t="str">
        <x:v>COMPLETE</x:v>
      </x:c>
      <x:c r="F6856" s="1" t="str">
        <x:v>Advance shipping</x:v>
      </x:c>
      <x:c r="G6856" s="6" t="n">
        <x:v>2</x:v>
      </x:c>
      <x:c r="H6856" s="6" t="n">
        <x:v>4</x:v>
      </x:c>
      <x:c r="I6856" s="6" t="n">
        <x:f>G6856-H6856</x:f>
        <x:v>-2</x:v>
      </x:c>
      <x:c r="J6856" s="6" t="n">
        <x:f>IF(OR(E6856="CANCELED",E6856="SUSPECTED_FRAUD",F6856="Shipping canceled"),0,1)</x:f>
        <x:v>1</x:v>
      </x:c>
      <x:c r="K6856" s="6" t="n">
        <x:f>IF(G6856&gt;H6856,1,0)</x:f>
        <x:v>0</x:v>
      </x:c>
      <x:c r="L6856" s="6" t="n">
        <x:f>J6856*K6856</x:f>
        <x:v>0</x:v>
      </x:c>
    </x:row>
    <x:row r="6857">
      <x:c r="A6857" s="1" t="n">
        <x:v>53962</x:v>
      </x:c>
      <x:c r="B6857" s="5" t="d">
        <x:v>2017-02-26T00:00:00.000Z</x:v>
      </x:c>
      <x:c r="C6857" s="1" t="str">
        <x:v>Standard Class</x:v>
      </x:c>
      <x:c r="D6857" s="1" t="str">
        <x:v>LATAM</x:v>
      </x:c>
      <x:c r="E6857" s="1" t="str">
        <x:v>PROCESSING</x:v>
      </x:c>
      <x:c r="F6857" s="1" t="str">
        <x:v>Advance shipping</x:v>
      </x:c>
      <x:c r="G6857" s="6" t="n">
        <x:v>3</x:v>
      </x:c>
      <x:c r="H6857" s="6" t="n">
        <x:v>4</x:v>
      </x:c>
      <x:c r="I6857" s="6" t="n">
        <x:f>G6857-H6857</x:f>
        <x:v>-1</x:v>
      </x:c>
      <x:c r="J6857" s="6" t="n">
        <x:f>IF(OR(E6857="CANCELED",E6857="SUSPECTED_FRAUD",F6857="Shipping canceled"),0,1)</x:f>
        <x:v>1</x:v>
      </x:c>
      <x:c r="K6857" s="6" t="n">
        <x:f>IF(G6857&gt;H6857,1,0)</x:f>
        <x:v>0</x:v>
      </x:c>
      <x:c r="L6857" s="6" t="n">
        <x:f>J6857*K6857</x:f>
        <x:v>0</x:v>
      </x:c>
    </x:row>
    <x:row r="6858">
      <x:c r="A6858" s="1" t="n">
        <x:v>53969</x:v>
      </x:c>
      <x:c r="B6858" s="5" t="d">
        <x:v>2017-02-26T00:00:00.000Z</x:v>
      </x:c>
      <x:c r="C6858" s="1" t="str">
        <x:v>Standard Class</x:v>
      </x:c>
      <x:c r="D6858" s="1" t="str">
        <x:v>LATAM</x:v>
      </x:c>
      <x:c r="E6858" s="1" t="str">
        <x:v>COMPLETE</x:v>
      </x:c>
      <x:c r="F6858" s="1" t="str">
        <x:v>Late delivery</x:v>
      </x:c>
      <x:c r="G6858" s="6" t="n">
        <x:v>5</x:v>
      </x:c>
      <x:c r="H6858" s="6" t="n">
        <x:v>4</x:v>
      </x:c>
      <x:c r="I6858" s="6" t="n">
        <x:f>G6858-H6858</x:f>
        <x:v>1</x:v>
      </x:c>
      <x:c r="J6858" s="6" t="n">
        <x:f>IF(OR(E6858="CANCELED",E6858="SUSPECTED_FRAUD",F6858="Shipping canceled"),0,1)</x:f>
        <x:v>1</x:v>
      </x:c>
      <x:c r="K6858" s="6" t="n">
        <x:f>IF(G6858&gt;H6858,1,0)</x:f>
        <x:v>1</x:v>
      </x:c>
      <x:c r="L6858" s="6" t="n">
        <x:f>J6858*K6858</x:f>
        <x:v>1</x:v>
      </x:c>
    </x:row>
    <x:row r="6859">
      <x:c r="A6859" s="1" t="n">
        <x:v>54005</x:v>
      </x:c>
      <x:c r="B6859" s="5" t="d">
        <x:v>2017-02-27T00:00:00.000Z</x:v>
      </x:c>
      <x:c r="C6859" s="1" t="str">
        <x:v>Standard Class</x:v>
      </x:c>
      <x:c r="D6859" s="1" t="str">
        <x:v>LATAM</x:v>
      </x:c>
      <x:c r="E6859" s="1" t="str">
        <x:v>PENDING_PAYMENT</x:v>
      </x:c>
      <x:c r="F6859" s="1" t="str">
        <x:v>Late delivery</x:v>
      </x:c>
      <x:c r="G6859" s="6" t="n">
        <x:v>6</x:v>
      </x:c>
      <x:c r="H6859" s="6" t="n">
        <x:v>4</x:v>
      </x:c>
      <x:c r="I6859" s="6" t="n">
        <x:f>G6859-H6859</x:f>
        <x:v>2</x:v>
      </x:c>
      <x:c r="J6859" s="6" t="n">
        <x:f>IF(OR(E6859="CANCELED",E6859="SUSPECTED_FRAUD",F6859="Shipping canceled"),0,1)</x:f>
        <x:v>1</x:v>
      </x:c>
      <x:c r="K6859" s="6" t="n">
        <x:f>IF(G6859&gt;H6859,1,0)</x:f>
        <x:v>1</x:v>
      </x:c>
      <x:c r="L6859" s="6" t="n">
        <x:f>J6859*K6859</x:f>
        <x:v>1</x:v>
      </x:c>
    </x:row>
    <x:row r="6860">
      <x:c r="A6860" s="1" t="n">
        <x:v>54008</x:v>
      </x:c>
      <x:c r="B6860" s="5" t="d">
        <x:v>2017-02-27T00:00:00.000Z</x:v>
      </x:c>
      <x:c r="C6860" s="1" t="str">
        <x:v>Standard Class</x:v>
      </x:c>
      <x:c r="D6860" s="1" t="str">
        <x:v>LATAM</x:v>
      </x:c>
      <x:c r="E6860" s="1" t="str">
        <x:v>PENDING_PAYMENT</x:v>
      </x:c>
      <x:c r="F6860" s="1" t="str">
        <x:v>Shipping on time</x:v>
      </x:c>
      <x:c r="G6860" s="6" t="n">
        <x:v>4</x:v>
      </x:c>
      <x:c r="H6860" s="6" t="n">
        <x:v>4</x:v>
      </x:c>
      <x:c r="I6860" s="6" t="n">
        <x:f>G6860-H6860</x:f>
        <x:v>0</x:v>
      </x:c>
      <x:c r="J6860" s="6" t="n">
        <x:f>IF(OR(E6860="CANCELED",E6860="SUSPECTED_FRAUD",F6860="Shipping canceled"),0,1)</x:f>
        <x:v>1</x:v>
      </x:c>
      <x:c r="K6860" s="6" t="n">
        <x:f>IF(G6860&gt;H6860,1,0)</x:f>
        <x:v>0</x:v>
      </x:c>
      <x:c r="L6860" s="6" t="n">
        <x:f>J6860*K6860</x:f>
        <x:v>0</x:v>
      </x:c>
    </x:row>
    <x:row r="6861">
      <x:c r="A6861" s="1" t="n">
        <x:v>54009</x:v>
      </x:c>
      <x:c r="B6861" s="5" t="d">
        <x:v>2017-02-27T00:00:00.000Z</x:v>
      </x:c>
      <x:c r="C6861" s="1" t="str">
        <x:v>Standard Class</x:v>
      </x:c>
      <x:c r="D6861" s="1" t="str">
        <x:v>LATAM</x:v>
      </x:c>
      <x:c r="E6861" s="1" t="str">
        <x:v>COMPLETE</x:v>
      </x:c>
      <x:c r="F6861" s="1" t="str">
        <x:v>Late delivery</x:v>
      </x:c>
      <x:c r="G6861" s="6" t="n">
        <x:v>5</x:v>
      </x:c>
      <x:c r="H6861" s="6" t="n">
        <x:v>4</x:v>
      </x:c>
      <x:c r="I6861" s="6" t="n">
        <x:f>G6861-H6861</x:f>
        <x:v>1</x:v>
      </x:c>
      <x:c r="J6861" s="6" t="n">
        <x:f>IF(OR(E6861="CANCELED",E6861="SUSPECTED_FRAUD",F6861="Shipping canceled"),0,1)</x:f>
        <x:v>1</x:v>
      </x:c>
      <x:c r="K6861" s="6" t="n">
        <x:f>IF(G6861&gt;H6861,1,0)</x:f>
        <x:v>1</x:v>
      </x:c>
      <x:c r="L6861" s="6" t="n">
        <x:f>J6861*K6861</x:f>
        <x:v>1</x:v>
      </x:c>
    </x:row>
    <x:row r="6862">
      <x:c r="A6862" s="1" t="n">
        <x:v>54016</x:v>
      </x:c>
      <x:c r="B6862" s="5" t="d">
        <x:v>2017-02-27T00:00:00.000Z</x:v>
      </x:c>
      <x:c r="C6862" s="1" t="str">
        <x:v>Standard Class</x:v>
      </x:c>
      <x:c r="D6862" s="1" t="str">
        <x:v>LATAM</x:v>
      </x:c>
      <x:c r="E6862" s="1" t="str">
        <x:v>COMPLETE</x:v>
      </x:c>
      <x:c r="F6862" s="1" t="str">
        <x:v>Advance shipping</x:v>
      </x:c>
      <x:c r="G6862" s="6" t="n">
        <x:v>2</x:v>
      </x:c>
      <x:c r="H6862" s="6" t="n">
        <x:v>4</x:v>
      </x:c>
      <x:c r="I6862" s="6" t="n">
        <x:f>G6862-H6862</x:f>
        <x:v>-2</x:v>
      </x:c>
      <x:c r="J6862" s="6" t="n">
        <x:f>IF(OR(E6862="CANCELED",E6862="SUSPECTED_FRAUD",F6862="Shipping canceled"),0,1)</x:f>
        <x:v>1</x:v>
      </x:c>
      <x:c r="K6862" s="6" t="n">
        <x:f>IF(G6862&gt;H6862,1,0)</x:f>
        <x:v>0</x:v>
      </x:c>
      <x:c r="L6862" s="6" t="n">
        <x:f>J6862*K6862</x:f>
        <x:v>0</x:v>
      </x:c>
    </x:row>
    <x:row r="6863">
      <x:c r="A6863" s="1" t="n">
        <x:v>54041</x:v>
      </x:c>
      <x:c r="B6863" s="5" t="d">
        <x:v>2017-02-27T00:00:00.000Z</x:v>
      </x:c>
      <x:c r="C6863" s="1" t="str">
        <x:v>Second Class</x:v>
      </x:c>
      <x:c r="D6863" s="1" t="str">
        <x:v>LATAM</x:v>
      </x:c>
      <x:c r="E6863" s="1" t="str">
        <x:v>COMPLETE</x:v>
      </x:c>
      <x:c r="F6863" s="1" t="str">
        <x:v>Shipping on time</x:v>
      </x:c>
      <x:c r="G6863" s="6" t="n">
        <x:v>2</x:v>
      </x:c>
      <x:c r="H6863" s="6" t="n">
        <x:v>2</x:v>
      </x:c>
      <x:c r="I6863" s="6" t="n">
        <x:f>G6863-H6863</x:f>
        <x:v>0</x:v>
      </x:c>
      <x:c r="J6863" s="6" t="n">
        <x:f>IF(OR(E6863="CANCELED",E6863="SUSPECTED_FRAUD",F6863="Shipping canceled"),0,1)</x:f>
        <x:v>1</x:v>
      </x:c>
      <x:c r="K6863" s="6" t="n">
        <x:f>IF(G6863&gt;H6863,1,0)</x:f>
        <x:v>0</x:v>
      </x:c>
      <x:c r="L6863" s="6" t="n">
        <x:f>J6863*K6863</x:f>
        <x:v>0</x:v>
      </x:c>
    </x:row>
    <x:row r="6864">
      <x:c r="A6864" s="1" t="n">
        <x:v>54063</x:v>
      </x:c>
      <x:c r="B6864" s="5" t="d">
        <x:v>2017-02-28T00:00:00.000Z</x:v>
      </x:c>
      <x:c r="C6864" s="1" t="str">
        <x:v>Standard Class</x:v>
      </x:c>
      <x:c r="D6864" s="1" t="str">
        <x:v>LATAM</x:v>
      </x:c>
      <x:c r="E6864" s="1" t="str">
        <x:v>COMPLETE</x:v>
      </x:c>
      <x:c r="F6864" s="1" t="str">
        <x:v>Shipping on time</x:v>
      </x:c>
      <x:c r="G6864" s="6" t="n">
        <x:v>4</x:v>
      </x:c>
      <x:c r="H6864" s="6" t="n">
        <x:v>4</x:v>
      </x:c>
      <x:c r="I6864" s="6" t="n">
        <x:f>G6864-H6864</x:f>
        <x:v>0</x:v>
      </x:c>
      <x:c r="J6864" s="6" t="n">
        <x:f>IF(OR(E6864="CANCELED",E6864="SUSPECTED_FRAUD",F6864="Shipping canceled"),0,1)</x:f>
        <x:v>1</x:v>
      </x:c>
      <x:c r="K6864" s="6" t="n">
        <x:f>IF(G6864&gt;H6864,1,0)</x:f>
        <x:v>0</x:v>
      </x:c>
      <x:c r="L6864" s="6" t="n">
        <x:f>J6864*K6864</x:f>
        <x:v>0</x:v>
      </x:c>
    </x:row>
    <x:row r="6865">
      <x:c r="A6865" s="1" t="n">
        <x:v>54073</x:v>
      </x:c>
      <x:c r="B6865" s="5" t="d">
        <x:v>2017-02-28T00:00:00.000Z</x:v>
      </x:c>
      <x:c r="C6865" s="1" t="str">
        <x:v>Standard Class</x:v>
      </x:c>
      <x:c r="D6865" s="1" t="str">
        <x:v>LATAM</x:v>
      </x:c>
      <x:c r="E6865" s="1" t="str">
        <x:v>PENDING_PAYMENT</x:v>
      </x:c>
      <x:c r="F6865" s="1" t="str">
        <x:v>Shipping on time</x:v>
      </x:c>
      <x:c r="G6865" s="6" t="n">
        <x:v>4</x:v>
      </x:c>
      <x:c r="H6865" s="6" t="n">
        <x:v>4</x:v>
      </x:c>
      <x:c r="I6865" s="6" t="n">
        <x:f>G6865-H6865</x:f>
        <x:v>0</x:v>
      </x:c>
      <x:c r="J6865" s="6" t="n">
        <x:f>IF(OR(E6865="CANCELED",E6865="SUSPECTED_FRAUD",F6865="Shipping canceled"),0,1)</x:f>
        <x:v>1</x:v>
      </x:c>
      <x:c r="K6865" s="6" t="n">
        <x:f>IF(G6865&gt;H6865,1,0)</x:f>
        <x:v>0</x:v>
      </x:c>
      <x:c r="L6865" s="6" t="n">
        <x:f>J6865*K6865</x:f>
        <x:v>0</x:v>
      </x:c>
    </x:row>
    <x:row r="6866">
      <x:c r="A6866" s="1" t="n">
        <x:v>54080</x:v>
      </x:c>
      <x:c r="B6866" s="5" t="d">
        <x:v>2017-02-28T00:00:00.000Z</x:v>
      </x:c>
      <x:c r="C6866" s="1" t="str">
        <x:v>Standard Class</x:v>
      </x:c>
      <x:c r="D6866" s="1" t="str">
        <x:v>LATAM</x:v>
      </x:c>
      <x:c r="E6866" s="1" t="str">
        <x:v>COMPLETE</x:v>
      </x:c>
      <x:c r="F6866" s="1" t="str">
        <x:v>Late delivery</x:v>
      </x:c>
      <x:c r="G6866" s="6" t="n">
        <x:v>6</x:v>
      </x:c>
      <x:c r="H6866" s="6" t="n">
        <x:v>4</x:v>
      </x:c>
      <x:c r="I6866" s="6" t="n">
        <x:f>G6866-H6866</x:f>
        <x:v>2</x:v>
      </x:c>
      <x:c r="J6866" s="6" t="n">
        <x:f>IF(OR(E6866="CANCELED",E6866="SUSPECTED_FRAUD",F6866="Shipping canceled"),0,1)</x:f>
        <x:v>1</x:v>
      </x:c>
      <x:c r="K6866" s="6" t="n">
        <x:f>IF(G6866&gt;H6866,1,0)</x:f>
        <x:v>1</x:v>
      </x:c>
      <x:c r="L6866" s="6" t="n">
        <x:f>J6866*K6866</x:f>
        <x:v>1</x:v>
      </x:c>
    </x:row>
    <x:row r="6867">
      <x:c r="A6867" s="1" t="n">
        <x:v>54081</x:v>
      </x:c>
      <x:c r="B6867" s="5" t="d">
        <x:v>2017-02-28T00:00:00.000Z</x:v>
      </x:c>
      <x:c r="C6867" s="1" t="str">
        <x:v>Standard Class</x:v>
      </x:c>
      <x:c r="D6867" s="1" t="str">
        <x:v>LATAM</x:v>
      </x:c>
      <x:c r="E6867" s="1" t="str">
        <x:v>PENDING</x:v>
      </x:c>
      <x:c r="F6867" s="1" t="str">
        <x:v>Advance shipping</x:v>
      </x:c>
      <x:c r="G6867" s="6" t="n">
        <x:v>2</x:v>
      </x:c>
      <x:c r="H6867" s="6" t="n">
        <x:v>4</x:v>
      </x:c>
      <x:c r="I6867" s="6" t="n">
        <x:f>G6867-H6867</x:f>
        <x:v>-2</x:v>
      </x:c>
      <x:c r="J6867" s="6" t="n">
        <x:f>IF(OR(E6867="CANCELED",E6867="SUSPECTED_FRAUD",F6867="Shipping canceled"),0,1)</x:f>
        <x:v>1</x:v>
      </x:c>
      <x:c r="K6867" s="6" t="n">
        <x:f>IF(G6867&gt;H6867,1,0)</x:f>
        <x:v>0</x:v>
      </x:c>
      <x:c r="L6867" s="6" t="n">
        <x:f>J6867*K6867</x:f>
        <x:v>0</x:v>
      </x:c>
    </x:row>
    <x:row r="6868">
      <x:c r="A6868" s="1" t="n">
        <x:v>54095</x:v>
      </x:c>
      <x:c r="B6868" s="5" t="d">
        <x:v>2017-02-28T00:00:00.000Z</x:v>
      </x:c>
      <x:c r="C6868" s="1" t="str">
        <x:v>Second Class</x:v>
      </x:c>
      <x:c r="D6868" s="1" t="str">
        <x:v>LATAM</x:v>
      </x:c>
      <x:c r="E6868" s="1" t="str">
        <x:v>ON_HOLD</x:v>
      </x:c>
      <x:c r="F6868" s="1" t="str">
        <x:v>Late delivery</x:v>
      </x:c>
      <x:c r="G6868" s="6" t="n">
        <x:v>6</x:v>
      </x:c>
      <x:c r="H6868" s="6" t="n">
        <x:v>2</x:v>
      </x:c>
      <x:c r="I6868" s="6" t="n">
        <x:f>G6868-H6868</x:f>
        <x:v>4</x:v>
      </x:c>
      <x:c r="J6868" s="6" t="n">
        <x:f>IF(OR(E6868="CANCELED",E6868="SUSPECTED_FRAUD",F6868="Shipping canceled"),0,1)</x:f>
        <x:v>1</x:v>
      </x:c>
      <x:c r="K6868" s="6" t="n">
        <x:f>IF(G6868&gt;H6868,1,0)</x:f>
        <x:v>1</x:v>
      </x:c>
      <x:c r="L6868" s="6" t="n">
        <x:f>J6868*K6868</x:f>
        <x:v>1</x:v>
      </x:c>
    </x:row>
    <x:row r="6869">
      <x:c r="A6869" s="1" t="n">
        <x:v>54105</x:v>
      </x:c>
      <x:c r="B6869" s="5" t="d">
        <x:v>2017-02-28T00:00:00.000Z</x:v>
      </x:c>
      <x:c r="C6869" s="1" t="str">
        <x:v>Second Class</x:v>
      </x:c>
      <x:c r="D6869" s="1" t="str">
        <x:v>LATAM</x:v>
      </x:c>
      <x:c r="E6869" s="1" t="str">
        <x:v>COMPLETE</x:v>
      </x:c>
      <x:c r="F6869" s="1" t="str">
        <x:v>Late delivery</x:v>
      </x:c>
      <x:c r="G6869" s="6" t="n">
        <x:v>6</x:v>
      </x:c>
      <x:c r="H6869" s="6" t="n">
        <x:v>2</x:v>
      </x:c>
      <x:c r="I6869" s="6" t="n">
        <x:f>G6869-H6869</x:f>
        <x:v>4</x:v>
      </x:c>
      <x:c r="J6869" s="6" t="n">
        <x:f>IF(OR(E6869="CANCELED",E6869="SUSPECTED_FRAUD",F6869="Shipping canceled"),0,1)</x:f>
        <x:v>1</x:v>
      </x:c>
      <x:c r="K6869" s="6" t="n">
        <x:f>IF(G6869&gt;H6869,1,0)</x:f>
        <x:v>1</x:v>
      </x:c>
      <x:c r="L6869" s="6" t="n">
        <x:f>J6869*K6869</x:f>
        <x:v>1</x:v>
      </x:c>
    </x:row>
    <x:row r="6870">
      <x:c r="A6870" s="1" t="n">
        <x:v>54120</x:v>
      </x:c>
      <x:c r="B6870" s="5" t="d">
        <x:v>2017-03-01T00:00:00.000Z</x:v>
      </x:c>
      <x:c r="C6870" s="1" t="str">
        <x:v>Same Day</x:v>
      </x:c>
      <x:c r="D6870" s="1" t="str">
        <x:v>LATAM</x:v>
      </x:c>
      <x:c r="E6870" s="1" t="str">
        <x:v>COMPLETE</x:v>
      </x:c>
      <x:c r="F6870" s="1" t="str">
        <x:v>Shipping on time</x:v>
      </x:c>
      <x:c r="G6870" s="6" t="n">
        <x:v>0</x:v>
      </x:c>
      <x:c r="H6870" s="6" t="n">
        <x:v>0</x:v>
      </x:c>
      <x:c r="I6870" s="6" t="n">
        <x:f>G6870-H6870</x:f>
        <x:v>0</x:v>
      </x:c>
      <x:c r="J6870" s="6" t="n">
        <x:f>IF(OR(E6870="CANCELED",E6870="SUSPECTED_FRAUD",F6870="Shipping canceled"),0,1)</x:f>
        <x:v>1</x:v>
      </x:c>
      <x:c r="K6870" s="6" t="n">
        <x:f>IF(G6870&gt;H6870,1,0)</x:f>
        <x:v>0</x:v>
      </x:c>
      <x:c r="L6870" s="6" t="n">
        <x:f>J6870*K6870</x:f>
        <x:v>0</x:v>
      </x:c>
    </x:row>
    <x:row r="6871">
      <x:c r="A6871" s="1" t="n">
        <x:v>54124</x:v>
      </x:c>
      <x:c r="B6871" s="5" t="d">
        <x:v>2017-03-01T00:00:00.000Z</x:v>
      </x:c>
      <x:c r="C6871" s="1" t="str">
        <x:v>First Class</x:v>
      </x:c>
      <x:c r="D6871" s="1" t="str">
        <x:v>LATAM</x:v>
      </x:c>
      <x:c r="E6871" s="1" t="str">
        <x:v>SUSPECTED_FRAUD</x:v>
      </x:c>
      <x:c r="F6871" s="1" t="str">
        <x:v>Shipping canceled</x:v>
      </x:c>
      <x:c r="G6871" s="6" t="n">
        <x:v>2</x:v>
      </x:c>
      <x:c r="H6871" s="6" t="n">
        <x:v>1</x:v>
      </x:c>
      <x:c r="I6871" s="6" t="n">
        <x:f>G6871-H6871</x:f>
        <x:v>1</x:v>
      </x:c>
      <x:c r="J6871" s="6" t="n">
        <x:f>IF(OR(E6871="CANCELED",E6871="SUSPECTED_FRAUD",F6871="Shipping canceled"),0,1)</x:f>
        <x:v>0</x:v>
      </x:c>
      <x:c r="K6871" s="6" t="n">
        <x:f>IF(G6871&gt;H6871,1,0)</x:f>
        <x:v>1</x:v>
      </x:c>
      <x:c r="L6871" s="6" t="n">
        <x:f>J6871*K6871</x:f>
        <x:v>0</x:v>
      </x:c>
    </x:row>
    <x:row r="6872">
      <x:c r="A6872" s="1" t="n">
        <x:v>54128</x:v>
      </x:c>
      <x:c r="B6872" s="5" t="d">
        <x:v>2017-03-01T00:00:00.000Z</x:v>
      </x:c>
      <x:c r="C6872" s="1" t="str">
        <x:v>Second Class</x:v>
      </x:c>
      <x:c r="D6872" s="1" t="str">
        <x:v>LATAM</x:v>
      </x:c>
      <x:c r="E6872" s="1" t="str">
        <x:v>PENDING_PAYMENT</x:v>
      </x:c>
      <x:c r="F6872" s="1" t="str">
        <x:v>Late delivery</x:v>
      </x:c>
      <x:c r="G6872" s="6" t="n">
        <x:v>4</x:v>
      </x:c>
      <x:c r="H6872" s="6" t="n">
        <x:v>2</x:v>
      </x:c>
      <x:c r="I6872" s="6" t="n">
        <x:f>G6872-H6872</x:f>
        <x:v>2</x:v>
      </x:c>
      <x:c r="J6872" s="6" t="n">
        <x:f>IF(OR(E6872="CANCELED",E6872="SUSPECTED_FRAUD",F6872="Shipping canceled"),0,1)</x:f>
        <x:v>1</x:v>
      </x:c>
      <x:c r="K6872" s="6" t="n">
        <x:f>IF(G6872&gt;H6872,1,0)</x:f>
        <x:v>1</x:v>
      </x:c>
      <x:c r="L6872" s="6" t="n">
        <x:f>J6872*K6872</x:f>
        <x:v>1</x:v>
      </x:c>
    </x:row>
    <x:row r="6873">
      <x:c r="A6873" s="1" t="n">
        <x:v>54129</x:v>
      </x:c>
      <x:c r="B6873" s="5" t="d">
        <x:v>2017-03-01T00:00:00.000Z</x:v>
      </x:c>
      <x:c r="C6873" s="1" t="str">
        <x:v>Standard Class</x:v>
      </x:c>
      <x:c r="D6873" s="1" t="str">
        <x:v>LATAM</x:v>
      </x:c>
      <x:c r="E6873" s="1" t="str">
        <x:v>PENDING</x:v>
      </x:c>
      <x:c r="F6873" s="1" t="str">
        <x:v>Late delivery</x:v>
      </x:c>
      <x:c r="G6873" s="6" t="n">
        <x:v>5</x:v>
      </x:c>
      <x:c r="H6873" s="6" t="n">
        <x:v>4</x:v>
      </x:c>
      <x:c r="I6873" s="6" t="n">
        <x:f>G6873-H6873</x:f>
        <x:v>1</x:v>
      </x:c>
      <x:c r="J6873" s="6" t="n">
        <x:f>IF(OR(E6873="CANCELED",E6873="SUSPECTED_FRAUD",F6873="Shipping canceled"),0,1)</x:f>
        <x:v>1</x:v>
      </x:c>
      <x:c r="K6873" s="6" t="n">
        <x:f>IF(G6873&gt;H6873,1,0)</x:f>
        <x:v>1</x:v>
      </x:c>
      <x:c r="L6873" s="6" t="n">
        <x:f>J6873*K6873</x:f>
        <x:v>1</x:v>
      </x:c>
    </x:row>
    <x:row r="6874">
      <x:c r="A6874" s="1" t="n">
        <x:v>54146</x:v>
      </x:c>
      <x:c r="B6874" s="5" t="d">
        <x:v>2017-03-01T00:00:00.000Z</x:v>
      </x:c>
      <x:c r="C6874" s="1" t="str">
        <x:v>Standard Class</x:v>
      </x:c>
      <x:c r="D6874" s="1" t="str">
        <x:v>LATAM</x:v>
      </x:c>
      <x:c r="E6874" s="1" t="str">
        <x:v>ON_HOLD</x:v>
      </x:c>
      <x:c r="F6874" s="1" t="str">
        <x:v>Advance shipping</x:v>
      </x:c>
      <x:c r="G6874" s="6" t="n">
        <x:v>2</x:v>
      </x:c>
      <x:c r="H6874" s="6" t="n">
        <x:v>4</x:v>
      </x:c>
      <x:c r="I6874" s="6" t="n">
        <x:f>G6874-H6874</x:f>
        <x:v>-2</x:v>
      </x:c>
      <x:c r="J6874" s="6" t="n">
        <x:f>IF(OR(E6874="CANCELED",E6874="SUSPECTED_FRAUD",F6874="Shipping canceled"),0,1)</x:f>
        <x:v>1</x:v>
      </x:c>
      <x:c r="K6874" s="6" t="n">
        <x:f>IF(G6874&gt;H6874,1,0)</x:f>
        <x:v>0</x:v>
      </x:c>
      <x:c r="L6874" s="6" t="n">
        <x:f>J6874*K6874</x:f>
        <x:v>0</x:v>
      </x:c>
    </x:row>
    <x:row r="6875">
      <x:c r="A6875" s="1" t="n">
        <x:v>54148</x:v>
      </x:c>
      <x:c r="B6875" s="5" t="d">
        <x:v>2017-03-01T00:00:00.000Z</x:v>
      </x:c>
      <x:c r="C6875" s="1" t="str">
        <x:v>Standard Class</x:v>
      </x:c>
      <x:c r="D6875" s="1" t="str">
        <x:v>LATAM</x:v>
      </x:c>
      <x:c r="E6875" s="1" t="str">
        <x:v>COMPLETE</x:v>
      </x:c>
      <x:c r="F6875" s="1" t="str">
        <x:v>Shipping on time</x:v>
      </x:c>
      <x:c r="G6875" s="6" t="n">
        <x:v>4</x:v>
      </x:c>
      <x:c r="H6875" s="6" t="n">
        <x:v>4</x:v>
      </x:c>
      <x:c r="I6875" s="6" t="n">
        <x:f>G6875-H6875</x:f>
        <x:v>0</x:v>
      </x:c>
      <x:c r="J6875" s="6" t="n">
        <x:f>IF(OR(E6875="CANCELED",E6875="SUSPECTED_FRAUD",F6875="Shipping canceled"),0,1)</x:f>
        <x:v>1</x:v>
      </x:c>
      <x:c r="K6875" s="6" t="n">
        <x:f>IF(G6875&gt;H6875,1,0)</x:f>
        <x:v>0</x:v>
      </x:c>
      <x:c r="L6875" s="6" t="n">
        <x:f>J6875*K6875</x:f>
        <x:v>0</x:v>
      </x:c>
    </x:row>
    <x:row r="6876">
      <x:c r="A6876" s="1" t="n">
        <x:v>54153</x:v>
      </x:c>
      <x:c r="B6876" s="5" t="d">
        <x:v>2017-03-01T00:00:00.000Z</x:v>
      </x:c>
      <x:c r="C6876" s="1" t="str">
        <x:v>Standard Class</x:v>
      </x:c>
      <x:c r="D6876" s="1" t="str">
        <x:v>LATAM</x:v>
      </x:c>
      <x:c r="E6876" s="1" t="str">
        <x:v>PENDING</x:v>
      </x:c>
      <x:c r="F6876" s="1" t="str">
        <x:v>Shipping on time</x:v>
      </x:c>
      <x:c r="G6876" s="6" t="n">
        <x:v>4</x:v>
      </x:c>
      <x:c r="H6876" s="6" t="n">
        <x:v>4</x:v>
      </x:c>
      <x:c r="I6876" s="6" t="n">
        <x:f>G6876-H6876</x:f>
        <x:v>0</x:v>
      </x:c>
      <x:c r="J6876" s="6" t="n">
        <x:f>IF(OR(E6876="CANCELED",E6876="SUSPECTED_FRAUD",F6876="Shipping canceled"),0,1)</x:f>
        <x:v>1</x:v>
      </x:c>
      <x:c r="K6876" s="6" t="n">
        <x:f>IF(G6876&gt;H6876,1,0)</x:f>
        <x:v>0</x:v>
      </x:c>
      <x:c r="L6876" s="6" t="n">
        <x:f>J6876*K6876</x:f>
        <x:v>0</x:v>
      </x:c>
    </x:row>
    <x:row r="6877">
      <x:c r="A6877" s="1" t="n">
        <x:v>54166</x:v>
      </x:c>
      <x:c r="B6877" s="5" t="d">
        <x:v>2017-03-01T00:00:00.000Z</x:v>
      </x:c>
      <x:c r="C6877" s="1" t="str">
        <x:v>Standard Class</x:v>
      </x:c>
      <x:c r="D6877" s="1" t="str">
        <x:v>LATAM</x:v>
      </x:c>
      <x:c r="E6877" s="1" t="str">
        <x:v>PENDING</x:v>
      </x:c>
      <x:c r="F6877" s="1" t="str">
        <x:v>Advance shipping</x:v>
      </x:c>
      <x:c r="G6877" s="6" t="n">
        <x:v>2</x:v>
      </x:c>
      <x:c r="H6877" s="6" t="n">
        <x:v>4</x:v>
      </x:c>
      <x:c r="I6877" s="6" t="n">
        <x:f>G6877-H6877</x:f>
        <x:v>-2</x:v>
      </x:c>
      <x:c r="J6877" s="6" t="n">
        <x:f>IF(OR(E6877="CANCELED",E6877="SUSPECTED_FRAUD",F6877="Shipping canceled"),0,1)</x:f>
        <x:v>1</x:v>
      </x:c>
      <x:c r="K6877" s="6" t="n">
        <x:f>IF(G6877&gt;H6877,1,0)</x:f>
        <x:v>0</x:v>
      </x:c>
      <x:c r="L6877" s="6" t="n">
        <x:f>J6877*K6877</x:f>
        <x:v>0</x:v>
      </x:c>
    </x:row>
    <x:row r="6878">
      <x:c r="A6878" s="1" t="n">
        <x:v>54172</x:v>
      </x:c>
      <x:c r="B6878" s="5" t="d">
        <x:v>2017-03-01T00:00:00.000Z</x:v>
      </x:c>
      <x:c r="C6878" s="1" t="str">
        <x:v>Standard Class</x:v>
      </x:c>
      <x:c r="D6878" s="1" t="str">
        <x:v>LATAM</x:v>
      </x:c>
      <x:c r="E6878" s="1" t="str">
        <x:v>COMPLETE</x:v>
      </x:c>
      <x:c r="F6878" s="1" t="str">
        <x:v>Advance shipping</x:v>
      </x:c>
      <x:c r="G6878" s="6" t="n">
        <x:v>3</x:v>
      </x:c>
      <x:c r="H6878" s="6" t="n">
        <x:v>4</x:v>
      </x:c>
      <x:c r="I6878" s="6" t="n">
        <x:f>G6878-H6878</x:f>
        <x:v>-1</x:v>
      </x:c>
      <x:c r="J6878" s="6" t="n">
        <x:f>IF(OR(E6878="CANCELED",E6878="SUSPECTED_FRAUD",F6878="Shipping canceled"),0,1)</x:f>
        <x:v>1</x:v>
      </x:c>
      <x:c r="K6878" s="6" t="n">
        <x:f>IF(G6878&gt;H6878,1,0)</x:f>
        <x:v>0</x:v>
      </x:c>
      <x:c r="L6878" s="6" t="n">
        <x:f>J6878*K6878</x:f>
        <x:v>0</x:v>
      </x:c>
    </x:row>
    <x:row r="6879">
      <x:c r="A6879" s="1" t="n">
        <x:v>54189</x:v>
      </x:c>
      <x:c r="B6879" s="5" t="d">
        <x:v>2017-03-02T00:00:00.000Z</x:v>
      </x:c>
      <x:c r="C6879" s="1" t="str">
        <x:v>Standard Class</x:v>
      </x:c>
      <x:c r="D6879" s="1" t="str">
        <x:v>LATAM</x:v>
      </x:c>
      <x:c r="E6879" s="1" t="str">
        <x:v>COMPLETE</x:v>
      </x:c>
      <x:c r="F6879" s="1" t="str">
        <x:v>Late delivery</x:v>
      </x:c>
      <x:c r="G6879" s="6" t="n">
        <x:v>5</x:v>
      </x:c>
      <x:c r="H6879" s="6" t="n">
        <x:v>4</x:v>
      </x:c>
      <x:c r="I6879" s="6" t="n">
        <x:f>G6879-H6879</x:f>
        <x:v>1</x:v>
      </x:c>
      <x:c r="J6879" s="6" t="n">
        <x:f>IF(OR(E6879="CANCELED",E6879="SUSPECTED_FRAUD",F6879="Shipping canceled"),0,1)</x:f>
        <x:v>1</x:v>
      </x:c>
      <x:c r="K6879" s="6" t="n">
        <x:f>IF(G6879&gt;H6879,1,0)</x:f>
        <x:v>1</x:v>
      </x:c>
      <x:c r="L6879" s="6" t="n">
        <x:f>J6879*K6879</x:f>
        <x:v>1</x:v>
      </x:c>
    </x:row>
    <x:row r="6880">
      <x:c r="A6880" s="1" t="n">
        <x:v>54201</x:v>
      </x:c>
      <x:c r="B6880" s="5" t="d">
        <x:v>2017-03-02T00:00:00.000Z</x:v>
      </x:c>
      <x:c r="C6880" s="1" t="str">
        <x:v>First Class</x:v>
      </x:c>
      <x:c r="D6880" s="1" t="str">
        <x:v>LATAM</x:v>
      </x:c>
      <x:c r="E6880" s="1" t="str">
        <x:v>CLOSED</x:v>
      </x:c>
      <x:c r="F6880" s="1" t="str">
        <x:v>Late delivery</x:v>
      </x:c>
      <x:c r="G6880" s="6" t="n">
        <x:v>2</x:v>
      </x:c>
      <x:c r="H6880" s="6" t="n">
        <x:v>1</x:v>
      </x:c>
      <x:c r="I6880" s="6" t="n">
        <x:f>G6880-H6880</x:f>
        <x:v>1</x:v>
      </x:c>
      <x:c r="J6880" s="6" t="n">
        <x:f>IF(OR(E6880="CANCELED",E6880="SUSPECTED_FRAUD",F6880="Shipping canceled"),0,1)</x:f>
        <x:v>1</x:v>
      </x:c>
      <x:c r="K6880" s="6" t="n">
        <x:f>IF(G6880&gt;H6880,1,0)</x:f>
        <x:v>1</x:v>
      </x:c>
      <x:c r="L6880" s="6" t="n">
        <x:f>J6880*K6880</x:f>
        <x:v>1</x:v>
      </x:c>
    </x:row>
    <x:row r="6881">
      <x:c r="A6881" s="1" t="n">
        <x:v>54213</x:v>
      </x:c>
      <x:c r="B6881" s="5" t="d">
        <x:v>2017-03-02T00:00:00.000Z</x:v>
      </x:c>
      <x:c r="C6881" s="1" t="str">
        <x:v>Standard Class</x:v>
      </x:c>
      <x:c r="D6881" s="1" t="str">
        <x:v>LATAM</x:v>
      </x:c>
      <x:c r="E6881" s="1" t="str">
        <x:v>ON_HOLD</x:v>
      </x:c>
      <x:c r="F6881" s="1" t="str">
        <x:v>Shipping on time</x:v>
      </x:c>
      <x:c r="G6881" s="6" t="n">
        <x:v>4</x:v>
      </x:c>
      <x:c r="H6881" s="6" t="n">
        <x:v>4</x:v>
      </x:c>
      <x:c r="I6881" s="6" t="n">
        <x:f>G6881-H6881</x:f>
        <x:v>0</x:v>
      </x:c>
      <x:c r="J6881" s="6" t="n">
        <x:f>IF(OR(E6881="CANCELED",E6881="SUSPECTED_FRAUD",F6881="Shipping canceled"),0,1)</x:f>
        <x:v>1</x:v>
      </x:c>
      <x:c r="K6881" s="6" t="n">
        <x:f>IF(G6881&gt;H6881,1,0)</x:f>
        <x:v>0</x:v>
      </x:c>
      <x:c r="L6881" s="6" t="n">
        <x:f>J6881*K6881</x:f>
        <x:v>0</x:v>
      </x:c>
    </x:row>
    <x:row r="6882">
      <x:c r="A6882" s="1" t="n">
        <x:v>54221</x:v>
      </x:c>
      <x:c r="B6882" s="5" t="d">
        <x:v>2017-03-02T00:00:00.000Z</x:v>
      </x:c>
      <x:c r="C6882" s="1" t="str">
        <x:v>Standard Class</x:v>
      </x:c>
      <x:c r="D6882" s="1" t="str">
        <x:v>LATAM</x:v>
      </x:c>
      <x:c r="E6882" s="1" t="str">
        <x:v>ON_HOLD</x:v>
      </x:c>
      <x:c r="F6882" s="1" t="str">
        <x:v>Advance shipping</x:v>
      </x:c>
      <x:c r="G6882" s="6" t="n">
        <x:v>2</x:v>
      </x:c>
      <x:c r="H6882" s="6" t="n">
        <x:v>4</x:v>
      </x:c>
      <x:c r="I6882" s="6" t="n">
        <x:f>G6882-H6882</x:f>
        <x:v>-2</x:v>
      </x:c>
      <x:c r="J6882" s="6" t="n">
        <x:f>IF(OR(E6882="CANCELED",E6882="SUSPECTED_FRAUD",F6882="Shipping canceled"),0,1)</x:f>
        <x:v>1</x:v>
      </x:c>
      <x:c r="K6882" s="6" t="n">
        <x:f>IF(G6882&gt;H6882,1,0)</x:f>
        <x:v>0</x:v>
      </x:c>
      <x:c r="L6882" s="6" t="n">
        <x:f>J6882*K6882</x:f>
        <x:v>0</x:v>
      </x:c>
    </x:row>
    <x:row r="6883">
      <x:c r="A6883" s="1" t="n">
        <x:v>54224</x:v>
      </x:c>
      <x:c r="B6883" s="5" t="d">
        <x:v>2017-03-02T00:00:00.000Z</x:v>
      </x:c>
      <x:c r="C6883" s="1" t="str">
        <x:v>Standard Class</x:v>
      </x:c>
      <x:c r="D6883" s="1" t="str">
        <x:v>LATAM</x:v>
      </x:c>
      <x:c r="E6883" s="1" t="str">
        <x:v>ON_HOLD</x:v>
      </x:c>
      <x:c r="F6883" s="1" t="str">
        <x:v>Late delivery</x:v>
      </x:c>
      <x:c r="G6883" s="6" t="n">
        <x:v>5</x:v>
      </x:c>
      <x:c r="H6883" s="6" t="n">
        <x:v>4</x:v>
      </x:c>
      <x:c r="I6883" s="6" t="n">
        <x:f>G6883-H6883</x:f>
        <x:v>1</x:v>
      </x:c>
      <x:c r="J6883" s="6" t="n">
        <x:f>IF(OR(E6883="CANCELED",E6883="SUSPECTED_FRAUD",F6883="Shipping canceled"),0,1)</x:f>
        <x:v>1</x:v>
      </x:c>
      <x:c r="K6883" s="6" t="n">
        <x:f>IF(G6883&gt;H6883,1,0)</x:f>
        <x:v>1</x:v>
      </x:c>
      <x:c r="L6883" s="6" t="n">
        <x:f>J6883*K6883</x:f>
        <x:v>1</x:v>
      </x:c>
    </x:row>
    <x:row r="6884">
      <x:c r="A6884" s="1" t="n">
        <x:v>54236</x:v>
      </x:c>
      <x:c r="B6884" s="5" t="d">
        <x:v>2017-03-02T00:00:00.000Z</x:v>
      </x:c>
      <x:c r="C6884" s="1" t="str">
        <x:v>Same Day</x:v>
      </x:c>
      <x:c r="D6884" s="1" t="str">
        <x:v>LATAM</x:v>
      </x:c>
      <x:c r="E6884" s="1" t="str">
        <x:v>CLOSED</x:v>
      </x:c>
      <x:c r="F6884" s="1" t="str">
        <x:v>Late delivery</x:v>
      </x:c>
      <x:c r="G6884" s="6" t="n">
        <x:v>1</x:v>
      </x:c>
      <x:c r="H6884" s="6" t="n">
        <x:v>0</x:v>
      </x:c>
      <x:c r="I6884" s="6" t="n">
        <x:f>G6884-H6884</x:f>
        <x:v>1</x:v>
      </x:c>
      <x:c r="J6884" s="6" t="n">
        <x:f>IF(OR(E6884="CANCELED",E6884="SUSPECTED_FRAUD",F6884="Shipping canceled"),0,1)</x:f>
        <x:v>1</x:v>
      </x:c>
      <x:c r="K6884" s="6" t="n">
        <x:f>IF(G6884&gt;H6884,1,0)</x:f>
        <x:v>1</x:v>
      </x:c>
      <x:c r="L6884" s="6" t="n">
        <x:f>J6884*K6884</x:f>
        <x:v>1</x:v>
      </x:c>
    </x:row>
    <x:row r="6885">
      <x:c r="A6885" s="1" t="n">
        <x:v>54252</x:v>
      </x:c>
      <x:c r="B6885" s="5" t="d">
        <x:v>2017-03-02T00:00:00.000Z</x:v>
      </x:c>
      <x:c r="C6885" s="1" t="str">
        <x:v>Standard Class</x:v>
      </x:c>
      <x:c r="D6885" s="1" t="str">
        <x:v>LATAM</x:v>
      </x:c>
      <x:c r="E6885" s="1" t="str">
        <x:v>COMPLETE</x:v>
      </x:c>
      <x:c r="F6885" s="1" t="str">
        <x:v>Advance shipping</x:v>
      </x:c>
      <x:c r="G6885" s="6" t="n">
        <x:v>3</x:v>
      </x:c>
      <x:c r="H6885" s="6" t="n">
        <x:v>4</x:v>
      </x:c>
      <x:c r="I6885" s="6" t="n">
        <x:f>G6885-H6885</x:f>
        <x:v>-1</x:v>
      </x:c>
      <x:c r="J6885" s="6" t="n">
        <x:f>IF(OR(E6885="CANCELED",E6885="SUSPECTED_FRAUD",F6885="Shipping canceled"),0,1)</x:f>
        <x:v>1</x:v>
      </x:c>
      <x:c r="K6885" s="6" t="n">
        <x:f>IF(G6885&gt;H6885,1,0)</x:f>
        <x:v>0</x:v>
      </x:c>
      <x:c r="L6885" s="6" t="n">
        <x:f>J6885*K6885</x:f>
        <x:v>0</x:v>
      </x:c>
    </x:row>
    <x:row r="6886">
      <x:c r="A6886" s="1" t="n">
        <x:v>54253</x:v>
      </x:c>
      <x:c r="B6886" s="5" t="d">
        <x:v>2017-03-02T00:00:00.000Z</x:v>
      </x:c>
      <x:c r="C6886" s="1" t="str">
        <x:v>Standard Class</x:v>
      </x:c>
      <x:c r="D6886" s="1" t="str">
        <x:v>LATAM</x:v>
      </x:c>
      <x:c r="E6886" s="1" t="str">
        <x:v>PENDING</x:v>
      </x:c>
      <x:c r="F6886" s="1" t="str">
        <x:v>Shipping on time</x:v>
      </x:c>
      <x:c r="G6886" s="6" t="n">
        <x:v>4</x:v>
      </x:c>
      <x:c r="H6886" s="6" t="n">
        <x:v>4</x:v>
      </x:c>
      <x:c r="I6886" s="6" t="n">
        <x:f>G6886-H6886</x:f>
        <x:v>0</x:v>
      </x:c>
      <x:c r="J6886" s="6" t="n">
        <x:f>IF(OR(E6886="CANCELED",E6886="SUSPECTED_FRAUD",F6886="Shipping canceled"),0,1)</x:f>
        <x:v>1</x:v>
      </x:c>
      <x:c r="K6886" s="6" t="n">
        <x:f>IF(G6886&gt;H6886,1,0)</x:f>
        <x:v>0</x:v>
      </x:c>
      <x:c r="L6886" s="6" t="n">
        <x:f>J6886*K6886</x:f>
        <x:v>0</x:v>
      </x:c>
    </x:row>
    <x:row r="6887">
      <x:c r="A6887" s="1" t="n">
        <x:v>54264</x:v>
      </x:c>
      <x:c r="B6887" s="5" t="d">
        <x:v>2017-03-03T00:00:00.000Z</x:v>
      </x:c>
      <x:c r="C6887" s="1" t="str">
        <x:v>Second Class</x:v>
      </x:c>
      <x:c r="D6887" s="1" t="str">
        <x:v>LATAM</x:v>
      </x:c>
      <x:c r="E6887" s="1" t="str">
        <x:v>COMPLETE</x:v>
      </x:c>
      <x:c r="F6887" s="1" t="str">
        <x:v>Late delivery</x:v>
      </x:c>
      <x:c r="G6887" s="6" t="n">
        <x:v>5</x:v>
      </x:c>
      <x:c r="H6887" s="6" t="n">
        <x:v>2</x:v>
      </x:c>
      <x:c r="I6887" s="6" t="n">
        <x:f>G6887-H6887</x:f>
        <x:v>3</x:v>
      </x:c>
      <x:c r="J6887" s="6" t="n">
        <x:f>IF(OR(E6887="CANCELED",E6887="SUSPECTED_FRAUD",F6887="Shipping canceled"),0,1)</x:f>
        <x:v>1</x:v>
      </x:c>
      <x:c r="K6887" s="6" t="n">
        <x:f>IF(G6887&gt;H6887,1,0)</x:f>
        <x:v>1</x:v>
      </x:c>
      <x:c r="L6887" s="6" t="n">
        <x:f>J6887*K6887</x:f>
        <x:v>1</x:v>
      </x:c>
    </x:row>
    <x:row r="6888">
      <x:c r="A6888" s="1" t="n">
        <x:v>54274</x:v>
      </x:c>
      <x:c r="B6888" s="5" t="d">
        <x:v>2017-03-03T00:00:00.000Z</x:v>
      </x:c>
      <x:c r="C6888" s="1" t="str">
        <x:v>Standard Class</x:v>
      </x:c>
      <x:c r="D6888" s="1" t="str">
        <x:v>LATAM</x:v>
      </x:c>
      <x:c r="E6888" s="1" t="str">
        <x:v>PENDING</x:v>
      </x:c>
      <x:c r="F6888" s="1" t="str">
        <x:v>Late delivery</x:v>
      </x:c>
      <x:c r="G6888" s="6" t="n">
        <x:v>5</x:v>
      </x:c>
      <x:c r="H6888" s="6" t="n">
        <x:v>4</x:v>
      </x:c>
      <x:c r="I6888" s="6" t="n">
        <x:f>G6888-H6888</x:f>
        <x:v>1</x:v>
      </x:c>
      <x:c r="J6888" s="6" t="n">
        <x:f>IF(OR(E6888="CANCELED",E6888="SUSPECTED_FRAUD",F6888="Shipping canceled"),0,1)</x:f>
        <x:v>1</x:v>
      </x:c>
      <x:c r="K6888" s="6" t="n">
        <x:f>IF(G6888&gt;H6888,1,0)</x:f>
        <x:v>1</x:v>
      </x:c>
      <x:c r="L6888" s="6" t="n">
        <x:f>J6888*K6888</x:f>
        <x:v>1</x:v>
      </x:c>
    </x:row>
    <x:row r="6889">
      <x:c r="A6889" s="1" t="n">
        <x:v>54276</x:v>
      </x:c>
      <x:c r="B6889" s="5" t="d">
        <x:v>2017-03-03T00:00:00.000Z</x:v>
      </x:c>
      <x:c r="C6889" s="1" t="str">
        <x:v>Standard Class</x:v>
      </x:c>
      <x:c r="D6889" s="1" t="str">
        <x:v>LATAM</x:v>
      </x:c>
      <x:c r="E6889" s="1" t="str">
        <x:v>COMPLETE</x:v>
      </x:c>
      <x:c r="F6889" s="1" t="str">
        <x:v>Advance shipping</x:v>
      </x:c>
      <x:c r="G6889" s="6" t="n">
        <x:v>2</x:v>
      </x:c>
      <x:c r="H6889" s="6" t="n">
        <x:v>4</x:v>
      </x:c>
      <x:c r="I6889" s="6" t="n">
        <x:f>G6889-H6889</x:f>
        <x:v>-2</x:v>
      </x:c>
      <x:c r="J6889" s="6" t="n">
        <x:f>IF(OR(E6889="CANCELED",E6889="SUSPECTED_FRAUD",F6889="Shipping canceled"),0,1)</x:f>
        <x:v>1</x:v>
      </x:c>
      <x:c r="K6889" s="6" t="n">
        <x:f>IF(G6889&gt;H6889,1,0)</x:f>
        <x:v>0</x:v>
      </x:c>
      <x:c r="L6889" s="6" t="n">
        <x:f>J6889*K6889</x:f>
        <x:v>0</x:v>
      </x:c>
    </x:row>
    <x:row r="6890">
      <x:c r="A6890" s="1" t="n">
        <x:v>54277</x:v>
      </x:c>
      <x:c r="B6890" s="5" t="d">
        <x:v>2017-03-03T00:00:00.000Z</x:v>
      </x:c>
      <x:c r="C6890" s="1" t="str">
        <x:v>Standard Class</x:v>
      </x:c>
      <x:c r="D6890" s="1" t="str">
        <x:v>LATAM</x:v>
      </x:c>
      <x:c r="E6890" s="1" t="str">
        <x:v>COMPLETE</x:v>
      </x:c>
      <x:c r="F6890" s="1" t="str">
        <x:v>Advance shipping</x:v>
      </x:c>
      <x:c r="G6890" s="6" t="n">
        <x:v>3</x:v>
      </x:c>
      <x:c r="H6890" s="6" t="n">
        <x:v>4</x:v>
      </x:c>
      <x:c r="I6890" s="6" t="n">
        <x:f>G6890-H6890</x:f>
        <x:v>-1</x:v>
      </x:c>
      <x:c r="J6890" s="6" t="n">
        <x:f>IF(OR(E6890="CANCELED",E6890="SUSPECTED_FRAUD",F6890="Shipping canceled"),0,1)</x:f>
        <x:v>1</x:v>
      </x:c>
      <x:c r="K6890" s="6" t="n">
        <x:f>IF(G6890&gt;H6890,1,0)</x:f>
        <x:v>0</x:v>
      </x:c>
      <x:c r="L6890" s="6" t="n">
        <x:f>J6890*K6890</x:f>
        <x:v>0</x:v>
      </x:c>
    </x:row>
    <x:row r="6891">
      <x:c r="A6891" s="1" t="n">
        <x:v>54278</x:v>
      </x:c>
      <x:c r="B6891" s="5" t="d">
        <x:v>2017-03-03T00:00:00.000Z</x:v>
      </x:c>
      <x:c r="C6891" s="1" t="str">
        <x:v>Standard Class</x:v>
      </x:c>
      <x:c r="D6891" s="1" t="str">
        <x:v>LATAM</x:v>
      </x:c>
      <x:c r="E6891" s="1" t="str">
        <x:v>PROCESSING</x:v>
      </x:c>
      <x:c r="F6891" s="1" t="str">
        <x:v>Shipping on time</x:v>
      </x:c>
      <x:c r="G6891" s="6" t="n">
        <x:v>4</x:v>
      </x:c>
      <x:c r="H6891" s="6" t="n">
        <x:v>4</x:v>
      </x:c>
      <x:c r="I6891" s="6" t="n">
        <x:f>G6891-H6891</x:f>
        <x:v>0</x:v>
      </x:c>
      <x:c r="J6891" s="6" t="n">
        <x:f>IF(OR(E6891="CANCELED",E6891="SUSPECTED_FRAUD",F6891="Shipping canceled"),0,1)</x:f>
        <x:v>1</x:v>
      </x:c>
      <x:c r="K6891" s="6" t="n">
        <x:f>IF(G6891&gt;H6891,1,0)</x:f>
        <x:v>0</x:v>
      </x:c>
      <x:c r="L6891" s="6" t="n">
        <x:f>J6891*K6891</x:f>
        <x:v>0</x:v>
      </x:c>
    </x:row>
    <x:row r="6892">
      <x:c r="A6892" s="1" t="n">
        <x:v>54279</x:v>
      </x:c>
      <x:c r="B6892" s="5" t="d">
        <x:v>2017-03-03T00:00:00.000Z</x:v>
      </x:c>
      <x:c r="C6892" s="1" t="str">
        <x:v>Standard Class</x:v>
      </x:c>
      <x:c r="D6892" s="1" t="str">
        <x:v>LATAM</x:v>
      </x:c>
      <x:c r="E6892" s="1" t="str">
        <x:v>COMPLETE</x:v>
      </x:c>
      <x:c r="F6892" s="1" t="str">
        <x:v>Late delivery</x:v>
      </x:c>
      <x:c r="G6892" s="6" t="n">
        <x:v>5</x:v>
      </x:c>
      <x:c r="H6892" s="6" t="n">
        <x:v>4</x:v>
      </x:c>
      <x:c r="I6892" s="6" t="n">
        <x:f>G6892-H6892</x:f>
        <x:v>1</x:v>
      </x:c>
      <x:c r="J6892" s="6" t="n">
        <x:f>IF(OR(E6892="CANCELED",E6892="SUSPECTED_FRAUD",F6892="Shipping canceled"),0,1)</x:f>
        <x:v>1</x:v>
      </x:c>
      <x:c r="K6892" s="6" t="n">
        <x:f>IF(G6892&gt;H6892,1,0)</x:f>
        <x:v>1</x:v>
      </x:c>
      <x:c r="L6892" s="6" t="n">
        <x:f>J6892*K6892</x:f>
        <x:v>1</x:v>
      </x:c>
    </x:row>
    <x:row r="6893">
      <x:c r="A6893" s="1" t="n">
        <x:v>54280</x:v>
      </x:c>
      <x:c r="B6893" s="5" t="d">
        <x:v>2017-03-03T00:00:00.000Z</x:v>
      </x:c>
      <x:c r="C6893" s="1" t="str">
        <x:v>Standard Class</x:v>
      </x:c>
      <x:c r="D6893" s="1" t="str">
        <x:v>LATAM</x:v>
      </x:c>
      <x:c r="E6893" s="1" t="str">
        <x:v>COMPLETE</x:v>
      </x:c>
      <x:c r="F6893" s="1" t="str">
        <x:v>Late delivery</x:v>
      </x:c>
      <x:c r="G6893" s="6" t="n">
        <x:v>6</x:v>
      </x:c>
      <x:c r="H6893" s="6" t="n">
        <x:v>4</x:v>
      </x:c>
      <x:c r="I6893" s="6" t="n">
        <x:f>G6893-H6893</x:f>
        <x:v>2</x:v>
      </x:c>
      <x:c r="J6893" s="6" t="n">
        <x:f>IF(OR(E6893="CANCELED",E6893="SUSPECTED_FRAUD",F6893="Shipping canceled"),0,1)</x:f>
        <x:v>1</x:v>
      </x:c>
      <x:c r="K6893" s="6" t="n">
        <x:f>IF(G6893&gt;H6893,1,0)</x:f>
        <x:v>1</x:v>
      </x:c>
      <x:c r="L6893" s="6" t="n">
        <x:f>J6893*K6893</x:f>
        <x:v>1</x:v>
      </x:c>
    </x:row>
    <x:row r="6894">
      <x:c r="A6894" s="1" t="n">
        <x:v>54293</x:v>
      </x:c>
      <x:c r="B6894" s="5" t="d">
        <x:v>2017-03-03T00:00:00.000Z</x:v>
      </x:c>
      <x:c r="C6894" s="1" t="str">
        <x:v>Standard Class</x:v>
      </x:c>
      <x:c r="D6894" s="1" t="str">
        <x:v>LATAM</x:v>
      </x:c>
      <x:c r="E6894" s="1" t="str">
        <x:v>PENDING</x:v>
      </x:c>
      <x:c r="F6894" s="1" t="str">
        <x:v>Shipping on time</x:v>
      </x:c>
      <x:c r="G6894" s="6" t="n">
        <x:v>4</x:v>
      </x:c>
      <x:c r="H6894" s="6" t="n">
        <x:v>4</x:v>
      </x:c>
      <x:c r="I6894" s="6" t="n">
        <x:f>G6894-H6894</x:f>
        <x:v>0</x:v>
      </x:c>
      <x:c r="J6894" s="6" t="n">
        <x:f>IF(OR(E6894="CANCELED",E6894="SUSPECTED_FRAUD",F6894="Shipping canceled"),0,1)</x:f>
        <x:v>1</x:v>
      </x:c>
      <x:c r="K6894" s="6" t="n">
        <x:f>IF(G6894&gt;H6894,1,0)</x:f>
        <x:v>0</x:v>
      </x:c>
      <x:c r="L6894" s="6" t="n">
        <x:f>J6894*K6894</x:f>
        <x:v>0</x:v>
      </x:c>
    </x:row>
    <x:row r="6895">
      <x:c r="A6895" s="1" t="n">
        <x:v>54300</x:v>
      </x:c>
      <x:c r="B6895" s="5" t="d">
        <x:v>2017-03-03T00:00:00.000Z</x:v>
      </x:c>
      <x:c r="C6895" s="1" t="str">
        <x:v>Standard Class</x:v>
      </x:c>
      <x:c r="D6895" s="1" t="str">
        <x:v>LATAM</x:v>
      </x:c>
      <x:c r="E6895" s="1" t="str">
        <x:v>PROCESSING</x:v>
      </x:c>
      <x:c r="F6895" s="1" t="str">
        <x:v>Late delivery</x:v>
      </x:c>
      <x:c r="G6895" s="6" t="n">
        <x:v>6</x:v>
      </x:c>
      <x:c r="H6895" s="6" t="n">
        <x:v>4</x:v>
      </x:c>
      <x:c r="I6895" s="6" t="n">
        <x:f>G6895-H6895</x:f>
        <x:v>2</x:v>
      </x:c>
      <x:c r="J6895" s="6" t="n">
        <x:f>IF(OR(E6895="CANCELED",E6895="SUSPECTED_FRAUD",F6895="Shipping canceled"),0,1)</x:f>
        <x:v>1</x:v>
      </x:c>
      <x:c r="K6895" s="6" t="n">
        <x:f>IF(G6895&gt;H6895,1,0)</x:f>
        <x:v>1</x:v>
      </x:c>
      <x:c r="L6895" s="6" t="n">
        <x:f>J6895*K6895</x:f>
        <x:v>1</x:v>
      </x:c>
    </x:row>
    <x:row r="6896">
      <x:c r="A6896" s="1" t="n">
        <x:v>54305</x:v>
      </x:c>
      <x:c r="B6896" s="5" t="d">
        <x:v>2017-03-03T00:00:00.000Z</x:v>
      </x:c>
      <x:c r="C6896" s="1" t="str">
        <x:v>Standard Class</x:v>
      </x:c>
      <x:c r="D6896" s="1" t="str">
        <x:v>LATAM</x:v>
      </x:c>
      <x:c r="E6896" s="1" t="str">
        <x:v>COMPLETE</x:v>
      </x:c>
      <x:c r="F6896" s="1" t="str">
        <x:v>Late delivery</x:v>
      </x:c>
      <x:c r="G6896" s="6" t="n">
        <x:v>6</x:v>
      </x:c>
      <x:c r="H6896" s="6" t="n">
        <x:v>4</x:v>
      </x:c>
      <x:c r="I6896" s="6" t="n">
        <x:f>G6896-H6896</x:f>
        <x:v>2</x:v>
      </x:c>
      <x:c r="J6896" s="6" t="n">
        <x:f>IF(OR(E6896="CANCELED",E6896="SUSPECTED_FRAUD",F6896="Shipping canceled"),0,1)</x:f>
        <x:v>1</x:v>
      </x:c>
      <x:c r="K6896" s="6" t="n">
        <x:f>IF(G6896&gt;H6896,1,0)</x:f>
        <x:v>1</x:v>
      </x:c>
      <x:c r="L6896" s="6" t="n">
        <x:f>J6896*K6896</x:f>
        <x:v>1</x:v>
      </x:c>
    </x:row>
    <x:row r="6897">
      <x:c r="A6897" s="1" t="n">
        <x:v>54307</x:v>
      </x:c>
      <x:c r="B6897" s="5" t="d">
        <x:v>2017-03-03T00:00:00.000Z</x:v>
      </x:c>
      <x:c r="C6897" s="1" t="str">
        <x:v>Second Class</x:v>
      </x:c>
      <x:c r="D6897" s="1" t="str">
        <x:v>LATAM</x:v>
      </x:c>
      <x:c r="E6897" s="1" t="str">
        <x:v>COMPLETE</x:v>
      </x:c>
      <x:c r="F6897" s="1" t="str">
        <x:v>Late delivery</x:v>
      </x:c>
      <x:c r="G6897" s="6" t="n">
        <x:v>3</x:v>
      </x:c>
      <x:c r="H6897" s="6" t="n">
        <x:v>2</x:v>
      </x:c>
      <x:c r="I6897" s="6" t="n">
        <x:f>G6897-H6897</x:f>
        <x:v>1</x:v>
      </x:c>
      <x:c r="J6897" s="6" t="n">
        <x:f>IF(OR(E6897="CANCELED",E6897="SUSPECTED_FRAUD",F6897="Shipping canceled"),0,1)</x:f>
        <x:v>1</x:v>
      </x:c>
      <x:c r="K6897" s="6" t="n">
        <x:f>IF(G6897&gt;H6897,1,0)</x:f>
        <x:v>1</x:v>
      </x:c>
      <x:c r="L6897" s="6" t="n">
        <x:f>J6897*K6897</x:f>
        <x:v>1</x:v>
      </x:c>
    </x:row>
    <x:row r="6898">
      <x:c r="A6898" s="1" t="n">
        <x:v>54316</x:v>
      </x:c>
      <x:c r="B6898" s="5" t="d">
        <x:v>2017-03-03T00:00:00.000Z</x:v>
      </x:c>
      <x:c r="C6898" s="1" t="str">
        <x:v>Standard Class</x:v>
      </x:c>
      <x:c r="D6898" s="1" t="str">
        <x:v>LATAM</x:v>
      </x:c>
      <x:c r="E6898" s="1" t="str">
        <x:v>COMPLETE</x:v>
      </x:c>
      <x:c r="F6898" s="1" t="str">
        <x:v>Advance shipping</x:v>
      </x:c>
      <x:c r="G6898" s="6" t="n">
        <x:v>2</x:v>
      </x:c>
      <x:c r="H6898" s="6" t="n">
        <x:v>4</x:v>
      </x:c>
      <x:c r="I6898" s="6" t="n">
        <x:f>G6898-H6898</x:f>
        <x:v>-2</x:v>
      </x:c>
      <x:c r="J6898" s="6" t="n">
        <x:f>IF(OR(E6898="CANCELED",E6898="SUSPECTED_FRAUD",F6898="Shipping canceled"),0,1)</x:f>
        <x:v>1</x:v>
      </x:c>
      <x:c r="K6898" s="6" t="n">
        <x:f>IF(G6898&gt;H6898,1,0)</x:f>
        <x:v>0</x:v>
      </x:c>
      <x:c r="L6898" s="6" t="n">
        <x:f>J6898*K6898</x:f>
        <x:v>0</x:v>
      </x:c>
    </x:row>
    <x:row r="6899">
      <x:c r="A6899" s="1" t="n">
        <x:v>54345</x:v>
      </x:c>
      <x:c r="B6899" s="5" t="d">
        <x:v>2017-03-04T00:00:00.000Z</x:v>
      </x:c>
      <x:c r="C6899" s="1" t="str">
        <x:v>First Class</x:v>
      </x:c>
      <x:c r="D6899" s="1" t="str">
        <x:v>LATAM</x:v>
      </x:c>
      <x:c r="E6899" s="1" t="str">
        <x:v>PENDING</x:v>
      </x:c>
      <x:c r="F6899" s="1" t="str">
        <x:v>Late delivery</x:v>
      </x:c>
      <x:c r="G6899" s="6" t="n">
        <x:v>2</x:v>
      </x:c>
      <x:c r="H6899" s="6" t="n">
        <x:v>1</x:v>
      </x:c>
      <x:c r="I6899" s="6" t="n">
        <x:f>G6899-H6899</x:f>
        <x:v>1</x:v>
      </x:c>
      <x:c r="J6899" s="6" t="n">
        <x:f>IF(OR(E6899="CANCELED",E6899="SUSPECTED_FRAUD",F6899="Shipping canceled"),0,1)</x:f>
        <x:v>1</x:v>
      </x:c>
      <x:c r="K6899" s="6" t="n">
        <x:f>IF(G6899&gt;H6899,1,0)</x:f>
        <x:v>1</x:v>
      </x:c>
      <x:c r="L6899" s="6" t="n">
        <x:f>J6899*K6899</x:f>
        <x:v>1</x:v>
      </x:c>
    </x:row>
    <x:row r="6900">
      <x:c r="A6900" s="1" t="n">
        <x:v>54362</x:v>
      </x:c>
      <x:c r="B6900" s="5" t="d">
        <x:v>2017-03-04T00:00:00.000Z</x:v>
      </x:c>
      <x:c r="C6900" s="1" t="str">
        <x:v>First Class</x:v>
      </x:c>
      <x:c r="D6900" s="1" t="str">
        <x:v>LATAM</x:v>
      </x:c>
      <x:c r="E6900" s="1" t="str">
        <x:v>PENDING_PAYMENT</x:v>
      </x:c>
      <x:c r="F6900" s="1" t="str">
        <x:v>Late delivery</x:v>
      </x:c>
      <x:c r="G6900" s="6" t="n">
        <x:v>2</x:v>
      </x:c>
      <x:c r="H6900" s="6" t="n">
        <x:v>1</x:v>
      </x:c>
      <x:c r="I6900" s="6" t="n">
        <x:f>G6900-H6900</x:f>
        <x:v>1</x:v>
      </x:c>
      <x:c r="J6900" s="6" t="n">
        <x:f>IF(OR(E6900="CANCELED",E6900="SUSPECTED_FRAUD",F6900="Shipping canceled"),0,1)</x:f>
        <x:v>1</x:v>
      </x:c>
      <x:c r="K6900" s="6" t="n">
        <x:f>IF(G6900&gt;H6900,1,0)</x:f>
        <x:v>1</x:v>
      </x:c>
      <x:c r="L6900" s="6" t="n">
        <x:f>J6900*K6900</x:f>
        <x:v>1</x:v>
      </x:c>
    </x:row>
    <x:row r="6901">
      <x:c r="A6901" s="1" t="n">
        <x:v>54375</x:v>
      </x:c>
      <x:c r="B6901" s="5" t="d">
        <x:v>2017-03-04T00:00:00.000Z</x:v>
      </x:c>
      <x:c r="C6901" s="1" t="str">
        <x:v>Standard Class</x:v>
      </x:c>
      <x:c r="D6901" s="1" t="str">
        <x:v>LATAM</x:v>
      </x:c>
      <x:c r="E6901" s="1" t="str">
        <x:v>PENDING_PAYMENT</x:v>
      </x:c>
      <x:c r="F6901" s="1" t="str">
        <x:v>Late delivery</x:v>
      </x:c>
      <x:c r="G6901" s="6" t="n">
        <x:v>6</x:v>
      </x:c>
      <x:c r="H6901" s="6" t="n">
        <x:v>4</x:v>
      </x:c>
      <x:c r="I6901" s="6" t="n">
        <x:f>G6901-H6901</x:f>
        <x:v>2</x:v>
      </x:c>
      <x:c r="J6901" s="6" t="n">
        <x:f>IF(OR(E6901="CANCELED",E6901="SUSPECTED_FRAUD",F6901="Shipping canceled"),0,1)</x:f>
        <x:v>1</x:v>
      </x:c>
      <x:c r="K6901" s="6" t="n">
        <x:f>IF(G6901&gt;H6901,1,0)</x:f>
        <x:v>1</x:v>
      </x:c>
      <x:c r="L6901" s="6" t="n">
        <x:f>J6901*K6901</x:f>
        <x:v>1</x:v>
      </x:c>
    </x:row>
    <x:row r="6902">
      <x:c r="A6902" s="1" t="n">
        <x:v>54403</x:v>
      </x:c>
      <x:c r="B6902" s="5" t="d">
        <x:v>2017-03-05T00:00:00.000Z</x:v>
      </x:c>
      <x:c r="C6902" s="1" t="str">
        <x:v>Standard Class</x:v>
      </x:c>
      <x:c r="D6902" s="1" t="str">
        <x:v>LATAM</x:v>
      </x:c>
      <x:c r="E6902" s="1" t="str">
        <x:v>COMPLETE</x:v>
      </x:c>
      <x:c r="F6902" s="1" t="str">
        <x:v>Shipping on time</x:v>
      </x:c>
      <x:c r="G6902" s="6" t="n">
        <x:v>4</x:v>
      </x:c>
      <x:c r="H6902" s="6" t="n">
        <x:v>4</x:v>
      </x:c>
      <x:c r="I6902" s="6" t="n">
        <x:f>G6902-H6902</x:f>
        <x:v>0</x:v>
      </x:c>
      <x:c r="J6902" s="6" t="n">
        <x:f>IF(OR(E6902="CANCELED",E6902="SUSPECTED_FRAUD",F6902="Shipping canceled"),0,1)</x:f>
        <x:v>1</x:v>
      </x:c>
      <x:c r="K6902" s="6" t="n">
        <x:f>IF(G6902&gt;H6902,1,0)</x:f>
        <x:v>0</x:v>
      </x:c>
      <x:c r="L6902" s="6" t="n">
        <x:f>J6902*K6902</x:f>
        <x:v>0</x:v>
      </x:c>
    </x:row>
    <x:row r="6903">
      <x:c r="A6903" s="1" t="n">
        <x:v>54406</x:v>
      </x:c>
      <x:c r="B6903" s="5" t="d">
        <x:v>2017-03-05T00:00:00.000Z</x:v>
      </x:c>
      <x:c r="C6903" s="1" t="str">
        <x:v>Standard Class</x:v>
      </x:c>
      <x:c r="D6903" s="1" t="str">
        <x:v>LATAM</x:v>
      </x:c>
      <x:c r="E6903" s="1" t="str">
        <x:v>PENDING</x:v>
      </x:c>
      <x:c r="F6903" s="1" t="str">
        <x:v>Advance shipping</x:v>
      </x:c>
      <x:c r="G6903" s="6" t="n">
        <x:v>2</x:v>
      </x:c>
      <x:c r="H6903" s="6" t="n">
        <x:v>4</x:v>
      </x:c>
      <x:c r="I6903" s="6" t="n">
        <x:f>G6903-H6903</x:f>
        <x:v>-2</x:v>
      </x:c>
      <x:c r="J6903" s="6" t="n">
        <x:f>IF(OR(E6903="CANCELED",E6903="SUSPECTED_FRAUD",F6903="Shipping canceled"),0,1)</x:f>
        <x:v>1</x:v>
      </x:c>
      <x:c r="K6903" s="6" t="n">
        <x:f>IF(G6903&gt;H6903,1,0)</x:f>
        <x:v>0</x:v>
      </x:c>
      <x:c r="L6903" s="6" t="n">
        <x:f>J6903*K6903</x:f>
        <x:v>0</x:v>
      </x:c>
    </x:row>
    <x:row r="6904">
      <x:c r="A6904" s="1" t="n">
        <x:v>54417</x:v>
      </x:c>
      <x:c r="B6904" s="5" t="d">
        <x:v>2017-03-05T00:00:00.000Z</x:v>
      </x:c>
      <x:c r="C6904" s="1" t="str">
        <x:v>Standard Class</x:v>
      </x:c>
      <x:c r="D6904" s="1" t="str">
        <x:v>LATAM</x:v>
      </x:c>
      <x:c r="E6904" s="1" t="str">
        <x:v>COMPLETE</x:v>
      </x:c>
      <x:c r="F6904" s="1" t="str">
        <x:v>Advance shipping</x:v>
      </x:c>
      <x:c r="G6904" s="6" t="n">
        <x:v>3</x:v>
      </x:c>
      <x:c r="H6904" s="6" t="n">
        <x:v>4</x:v>
      </x:c>
      <x:c r="I6904" s="6" t="n">
        <x:f>G6904-H6904</x:f>
        <x:v>-1</x:v>
      </x:c>
      <x:c r="J6904" s="6" t="n">
        <x:f>IF(OR(E6904="CANCELED",E6904="SUSPECTED_FRAUD",F6904="Shipping canceled"),0,1)</x:f>
        <x:v>1</x:v>
      </x:c>
      <x:c r="K6904" s="6" t="n">
        <x:f>IF(G6904&gt;H6904,1,0)</x:f>
        <x:v>0</x:v>
      </x:c>
      <x:c r="L6904" s="6" t="n">
        <x:f>J6904*K6904</x:f>
        <x:v>0</x:v>
      </x:c>
    </x:row>
    <x:row r="6905">
      <x:c r="A6905" s="1" t="n">
        <x:v>54433</x:v>
      </x:c>
      <x:c r="B6905" s="5" t="d">
        <x:v>2017-03-05T00:00:00.000Z</x:v>
      </x:c>
      <x:c r="C6905" s="1" t="str">
        <x:v>Standard Class</x:v>
      </x:c>
      <x:c r="D6905" s="1" t="str">
        <x:v>LATAM</x:v>
      </x:c>
      <x:c r="E6905" s="1" t="str">
        <x:v>PROCESSING</x:v>
      </x:c>
      <x:c r="F6905" s="1" t="str">
        <x:v>Shipping on time</x:v>
      </x:c>
      <x:c r="G6905" s="6" t="n">
        <x:v>4</x:v>
      </x:c>
      <x:c r="H6905" s="6" t="n">
        <x:v>4</x:v>
      </x:c>
      <x:c r="I6905" s="6" t="n">
        <x:f>G6905-H6905</x:f>
        <x:v>0</x:v>
      </x:c>
      <x:c r="J6905" s="6" t="n">
        <x:f>IF(OR(E6905="CANCELED",E6905="SUSPECTED_FRAUD",F6905="Shipping canceled"),0,1)</x:f>
        <x:v>1</x:v>
      </x:c>
      <x:c r="K6905" s="6" t="n">
        <x:f>IF(G6905&gt;H6905,1,0)</x:f>
        <x:v>0</x:v>
      </x:c>
      <x:c r="L6905" s="6" t="n">
        <x:f>J6905*K6905</x:f>
        <x:v>0</x:v>
      </x:c>
    </x:row>
    <x:row r="6906">
      <x:c r="A6906" s="1" t="n">
        <x:v>54436</x:v>
      </x:c>
      <x:c r="B6906" s="5" t="d">
        <x:v>2017-03-05T00:00:00.000Z</x:v>
      </x:c>
      <x:c r="C6906" s="1" t="str">
        <x:v>Standard Class</x:v>
      </x:c>
      <x:c r="D6906" s="1" t="str">
        <x:v>LATAM</x:v>
      </x:c>
      <x:c r="E6906" s="1" t="str">
        <x:v>ON_HOLD</x:v>
      </x:c>
      <x:c r="F6906" s="1" t="str">
        <x:v>Advance shipping</x:v>
      </x:c>
      <x:c r="G6906" s="6" t="n">
        <x:v>2</x:v>
      </x:c>
      <x:c r="H6906" s="6" t="n">
        <x:v>4</x:v>
      </x:c>
      <x:c r="I6906" s="6" t="n">
        <x:f>G6906-H6906</x:f>
        <x:v>-2</x:v>
      </x:c>
      <x:c r="J6906" s="6" t="n">
        <x:f>IF(OR(E6906="CANCELED",E6906="SUSPECTED_FRAUD",F6906="Shipping canceled"),0,1)</x:f>
        <x:v>1</x:v>
      </x:c>
      <x:c r="K6906" s="6" t="n">
        <x:f>IF(G6906&gt;H6906,1,0)</x:f>
        <x:v>0</x:v>
      </x:c>
      <x:c r="L6906" s="6" t="n">
        <x:f>J6906*K6906</x:f>
        <x:v>0</x:v>
      </x:c>
    </x:row>
    <x:row r="6907">
      <x:c r="A6907" s="1" t="n">
        <x:v>54437</x:v>
      </x:c>
      <x:c r="B6907" s="5" t="d">
        <x:v>2017-03-05T00:00:00.000Z</x:v>
      </x:c>
      <x:c r="C6907" s="1" t="str">
        <x:v>Standard Class</x:v>
      </x:c>
      <x:c r="D6907" s="1" t="str">
        <x:v>LATAM</x:v>
      </x:c>
      <x:c r="E6907" s="1" t="str">
        <x:v>PENDING</x:v>
      </x:c>
      <x:c r="F6907" s="1" t="str">
        <x:v>Advance shipping</x:v>
      </x:c>
      <x:c r="G6907" s="6" t="n">
        <x:v>3</x:v>
      </x:c>
      <x:c r="H6907" s="6" t="n">
        <x:v>4</x:v>
      </x:c>
      <x:c r="I6907" s="6" t="n">
        <x:f>G6907-H6907</x:f>
        <x:v>-1</x:v>
      </x:c>
      <x:c r="J6907" s="6" t="n">
        <x:f>IF(OR(E6907="CANCELED",E6907="SUSPECTED_FRAUD",F6907="Shipping canceled"),0,1)</x:f>
        <x:v>1</x:v>
      </x:c>
      <x:c r="K6907" s="6" t="n">
        <x:f>IF(G6907&gt;H6907,1,0)</x:f>
        <x:v>0</x:v>
      </x:c>
      <x:c r="L6907" s="6" t="n">
        <x:f>J6907*K6907</x:f>
        <x:v>0</x:v>
      </x:c>
    </x:row>
    <x:row r="6908">
      <x:c r="A6908" s="1" t="n">
        <x:v>54439</x:v>
      </x:c>
      <x:c r="B6908" s="5" t="d">
        <x:v>2017-03-05T00:00:00.000Z</x:v>
      </x:c>
      <x:c r="C6908" s="1" t="str">
        <x:v>Standard Class</x:v>
      </x:c>
      <x:c r="D6908" s="1" t="str">
        <x:v>LATAM</x:v>
      </x:c>
      <x:c r="E6908" s="1" t="str">
        <x:v>PROCESSING</x:v>
      </x:c>
      <x:c r="F6908" s="1" t="str">
        <x:v>Late delivery</x:v>
      </x:c>
      <x:c r="G6908" s="6" t="n">
        <x:v>5</x:v>
      </x:c>
      <x:c r="H6908" s="6" t="n">
        <x:v>4</x:v>
      </x:c>
      <x:c r="I6908" s="6" t="n">
        <x:f>G6908-H6908</x:f>
        <x:v>1</x:v>
      </x:c>
      <x:c r="J6908" s="6" t="n">
        <x:f>IF(OR(E6908="CANCELED",E6908="SUSPECTED_FRAUD",F6908="Shipping canceled"),0,1)</x:f>
        <x:v>1</x:v>
      </x:c>
      <x:c r="K6908" s="6" t="n">
        <x:f>IF(G6908&gt;H6908,1,0)</x:f>
        <x:v>1</x:v>
      </x:c>
      <x:c r="L6908" s="6" t="n">
        <x:f>J6908*K6908</x:f>
        <x:v>1</x:v>
      </x:c>
    </x:row>
    <x:row r="6909">
      <x:c r="A6909" s="1" t="n">
        <x:v>54442</x:v>
      </x:c>
      <x:c r="B6909" s="5" t="d">
        <x:v>2017-03-05T00:00:00.000Z</x:v>
      </x:c>
      <x:c r="C6909" s="1" t="str">
        <x:v>First Class</x:v>
      </x:c>
      <x:c r="D6909" s="1" t="str">
        <x:v>LATAM</x:v>
      </x:c>
      <x:c r="E6909" s="1" t="str">
        <x:v>CLOSED</x:v>
      </x:c>
      <x:c r="F6909" s="1" t="str">
        <x:v>Late delivery</x:v>
      </x:c>
      <x:c r="G6909" s="6" t="n">
        <x:v>2</x:v>
      </x:c>
      <x:c r="H6909" s="6" t="n">
        <x:v>1</x:v>
      </x:c>
      <x:c r="I6909" s="6" t="n">
        <x:f>G6909-H6909</x:f>
        <x:v>1</x:v>
      </x:c>
      <x:c r="J6909" s="6" t="n">
        <x:f>IF(OR(E6909="CANCELED",E6909="SUSPECTED_FRAUD",F6909="Shipping canceled"),0,1)</x:f>
        <x:v>1</x:v>
      </x:c>
      <x:c r="K6909" s="6" t="n">
        <x:f>IF(G6909&gt;H6909,1,0)</x:f>
        <x:v>1</x:v>
      </x:c>
      <x:c r="L6909" s="6" t="n">
        <x:f>J6909*K6909</x:f>
        <x:v>1</x:v>
      </x:c>
    </x:row>
    <x:row r="6910">
      <x:c r="A6910" s="1" t="n">
        <x:v>54446</x:v>
      </x:c>
      <x:c r="B6910" s="5" t="d">
        <x:v>2017-03-05T00:00:00.000Z</x:v>
      </x:c>
      <x:c r="C6910" s="1" t="str">
        <x:v>Standard Class</x:v>
      </x:c>
      <x:c r="D6910" s="1" t="str">
        <x:v>LATAM</x:v>
      </x:c>
      <x:c r="E6910" s="1" t="str">
        <x:v>PROCESSING</x:v>
      </x:c>
      <x:c r="F6910" s="1" t="str">
        <x:v>Advance shipping</x:v>
      </x:c>
      <x:c r="G6910" s="6" t="n">
        <x:v>2</x:v>
      </x:c>
      <x:c r="H6910" s="6" t="n">
        <x:v>4</x:v>
      </x:c>
      <x:c r="I6910" s="6" t="n">
        <x:f>G6910-H6910</x:f>
        <x:v>-2</x:v>
      </x:c>
      <x:c r="J6910" s="6" t="n">
        <x:f>IF(OR(E6910="CANCELED",E6910="SUSPECTED_FRAUD",F6910="Shipping canceled"),0,1)</x:f>
        <x:v>1</x:v>
      </x:c>
      <x:c r="K6910" s="6" t="n">
        <x:f>IF(G6910&gt;H6910,1,0)</x:f>
        <x:v>0</x:v>
      </x:c>
      <x:c r="L6910" s="6" t="n">
        <x:f>J6910*K6910</x:f>
        <x:v>0</x:v>
      </x:c>
    </x:row>
    <x:row r="6911">
      <x:c r="A6911" s="1" t="n">
        <x:v>54479</x:v>
      </x:c>
      <x:c r="B6911" s="5" t="d">
        <x:v>2017-03-06T00:00:00.000Z</x:v>
      </x:c>
      <x:c r="C6911" s="1" t="str">
        <x:v>Standard Class</x:v>
      </x:c>
      <x:c r="D6911" s="1" t="str">
        <x:v>LATAM</x:v>
      </x:c>
      <x:c r="E6911" s="1" t="str">
        <x:v>COMPLETE</x:v>
      </x:c>
      <x:c r="F6911" s="1" t="str">
        <x:v>Late delivery</x:v>
      </x:c>
      <x:c r="G6911" s="6" t="n">
        <x:v>5</x:v>
      </x:c>
      <x:c r="H6911" s="6" t="n">
        <x:v>4</x:v>
      </x:c>
      <x:c r="I6911" s="6" t="n">
        <x:f>G6911-H6911</x:f>
        <x:v>1</x:v>
      </x:c>
      <x:c r="J6911" s="6" t="n">
        <x:f>IF(OR(E6911="CANCELED",E6911="SUSPECTED_FRAUD",F6911="Shipping canceled"),0,1)</x:f>
        <x:v>1</x:v>
      </x:c>
      <x:c r="K6911" s="6" t="n">
        <x:f>IF(G6911&gt;H6911,1,0)</x:f>
        <x:v>1</x:v>
      </x:c>
      <x:c r="L6911" s="6" t="n">
        <x:f>J6911*K6911</x:f>
        <x:v>1</x:v>
      </x:c>
    </x:row>
    <x:row r="6912">
      <x:c r="A6912" s="1" t="n">
        <x:v>54481</x:v>
      </x:c>
      <x:c r="B6912" s="5" t="d">
        <x:v>2017-03-06T00:00:00.000Z</x:v>
      </x:c>
      <x:c r="C6912" s="1" t="str">
        <x:v>Standard Class</x:v>
      </x:c>
      <x:c r="D6912" s="1" t="str">
        <x:v>LATAM</x:v>
      </x:c>
      <x:c r="E6912" s="1" t="str">
        <x:v>PROCESSING</x:v>
      </x:c>
      <x:c r="F6912" s="1" t="str">
        <x:v>Advance shipping</x:v>
      </x:c>
      <x:c r="G6912" s="6" t="n">
        <x:v>2</x:v>
      </x:c>
      <x:c r="H6912" s="6" t="n">
        <x:v>4</x:v>
      </x:c>
      <x:c r="I6912" s="6" t="n">
        <x:f>G6912-H6912</x:f>
        <x:v>-2</x:v>
      </x:c>
      <x:c r="J6912" s="6" t="n">
        <x:f>IF(OR(E6912="CANCELED",E6912="SUSPECTED_FRAUD",F6912="Shipping canceled"),0,1)</x:f>
        <x:v>1</x:v>
      </x:c>
      <x:c r="K6912" s="6" t="n">
        <x:f>IF(G6912&gt;H6912,1,0)</x:f>
        <x:v>0</x:v>
      </x:c>
      <x:c r="L6912" s="6" t="n">
        <x:f>J6912*K6912</x:f>
        <x:v>0</x:v>
      </x:c>
    </x:row>
    <x:row r="6913">
      <x:c r="A6913" s="1" t="n">
        <x:v>54482</x:v>
      </x:c>
      <x:c r="B6913" s="5" t="d">
        <x:v>2017-03-06T00:00:00.000Z</x:v>
      </x:c>
      <x:c r="C6913" s="1" t="str">
        <x:v>Standard Class</x:v>
      </x:c>
      <x:c r="D6913" s="1" t="str">
        <x:v>LATAM</x:v>
      </x:c>
      <x:c r="E6913" s="1" t="str">
        <x:v>PROCESSING</x:v>
      </x:c>
      <x:c r="F6913" s="1" t="str">
        <x:v>Advance shipping</x:v>
      </x:c>
      <x:c r="G6913" s="6" t="n">
        <x:v>3</x:v>
      </x:c>
      <x:c r="H6913" s="6" t="n">
        <x:v>4</x:v>
      </x:c>
      <x:c r="I6913" s="6" t="n">
        <x:f>G6913-H6913</x:f>
        <x:v>-1</x:v>
      </x:c>
      <x:c r="J6913" s="6" t="n">
        <x:f>IF(OR(E6913="CANCELED",E6913="SUSPECTED_FRAUD",F6913="Shipping canceled"),0,1)</x:f>
        <x:v>1</x:v>
      </x:c>
      <x:c r="K6913" s="6" t="n">
        <x:f>IF(G6913&gt;H6913,1,0)</x:f>
        <x:v>0</x:v>
      </x:c>
      <x:c r="L6913" s="6" t="n">
        <x:f>J6913*K6913</x:f>
        <x:v>0</x:v>
      </x:c>
    </x:row>
    <x:row r="6914">
      <x:c r="A6914" s="1" t="n">
        <x:v>54488</x:v>
      </x:c>
      <x:c r="B6914" s="5" t="d">
        <x:v>2017-03-06T00:00:00.000Z</x:v>
      </x:c>
      <x:c r="C6914" s="1" t="str">
        <x:v>Standard Class</x:v>
      </x:c>
      <x:c r="D6914" s="1" t="str">
        <x:v>LATAM</x:v>
      </x:c>
      <x:c r="E6914" s="1" t="str">
        <x:v>PROCESSING</x:v>
      </x:c>
      <x:c r="F6914" s="1" t="str">
        <x:v>Shipping on time</x:v>
      </x:c>
      <x:c r="G6914" s="6" t="n">
        <x:v>4</x:v>
      </x:c>
      <x:c r="H6914" s="6" t="n">
        <x:v>4</x:v>
      </x:c>
      <x:c r="I6914" s="6" t="n">
        <x:f>G6914-H6914</x:f>
        <x:v>0</x:v>
      </x:c>
      <x:c r="J6914" s="6" t="n">
        <x:f>IF(OR(E6914="CANCELED",E6914="SUSPECTED_FRAUD",F6914="Shipping canceled"),0,1)</x:f>
        <x:v>1</x:v>
      </x:c>
      <x:c r="K6914" s="6" t="n">
        <x:f>IF(G6914&gt;H6914,1,0)</x:f>
        <x:v>0</x:v>
      </x:c>
      <x:c r="L6914" s="6" t="n">
        <x:f>J6914*K6914</x:f>
        <x:v>0</x:v>
      </x:c>
    </x:row>
    <x:row r="6915">
      <x:c r="A6915" s="1" t="n">
        <x:v>54490</x:v>
      </x:c>
      <x:c r="B6915" s="5" t="d">
        <x:v>2017-03-06T00:00:00.000Z</x:v>
      </x:c>
      <x:c r="C6915" s="1" t="str">
        <x:v>Standard Class</x:v>
      </x:c>
      <x:c r="D6915" s="1" t="str">
        <x:v>LATAM</x:v>
      </x:c>
      <x:c r="E6915" s="1" t="str">
        <x:v>CLOSED</x:v>
      </x:c>
      <x:c r="F6915" s="1" t="str">
        <x:v>Late delivery</x:v>
      </x:c>
      <x:c r="G6915" s="6" t="n">
        <x:v>6</x:v>
      </x:c>
      <x:c r="H6915" s="6" t="n">
        <x:v>4</x:v>
      </x:c>
      <x:c r="I6915" s="6" t="n">
        <x:f>G6915-H6915</x:f>
        <x:v>2</x:v>
      </x:c>
      <x:c r="J6915" s="6" t="n">
        <x:f>IF(OR(E6915="CANCELED",E6915="SUSPECTED_FRAUD",F6915="Shipping canceled"),0,1)</x:f>
        <x:v>1</x:v>
      </x:c>
      <x:c r="K6915" s="6" t="n">
        <x:f>IF(G6915&gt;H6915,1,0)</x:f>
        <x:v>1</x:v>
      </x:c>
      <x:c r="L6915" s="6" t="n">
        <x:f>J6915*K6915</x:f>
        <x:v>1</x:v>
      </x:c>
    </x:row>
    <x:row r="6916">
      <x:c r="A6916" s="1" t="n">
        <x:v>54495</x:v>
      </x:c>
      <x:c r="B6916" s="5" t="d">
        <x:v>2017-03-06T00:00:00.000Z</x:v>
      </x:c>
      <x:c r="C6916" s="1" t="str">
        <x:v>Standard Class</x:v>
      </x:c>
      <x:c r="D6916" s="1" t="str">
        <x:v>LATAM</x:v>
      </x:c>
      <x:c r="E6916" s="1" t="str">
        <x:v>PENDING</x:v>
      </x:c>
      <x:c r="F6916" s="1" t="str">
        <x:v>Late delivery</x:v>
      </x:c>
      <x:c r="G6916" s="6" t="n">
        <x:v>6</x:v>
      </x:c>
      <x:c r="H6916" s="6" t="n">
        <x:v>4</x:v>
      </x:c>
      <x:c r="I6916" s="6" t="n">
        <x:f>G6916-H6916</x:f>
        <x:v>2</x:v>
      </x:c>
      <x:c r="J6916" s="6" t="n">
        <x:f>IF(OR(E6916="CANCELED",E6916="SUSPECTED_FRAUD",F6916="Shipping canceled"),0,1)</x:f>
        <x:v>1</x:v>
      </x:c>
      <x:c r="K6916" s="6" t="n">
        <x:f>IF(G6916&gt;H6916,1,0)</x:f>
        <x:v>1</x:v>
      </x:c>
      <x:c r="L6916" s="6" t="n">
        <x:f>J6916*K6916</x:f>
        <x:v>1</x:v>
      </x:c>
    </x:row>
    <x:row r="6917">
      <x:c r="A6917" s="1" t="n">
        <x:v>54498</x:v>
      </x:c>
      <x:c r="B6917" s="5" t="d">
        <x:v>2017-03-06T00:00:00.000Z</x:v>
      </x:c>
      <x:c r="C6917" s="1" t="str">
        <x:v>Standard Class</x:v>
      </x:c>
      <x:c r="D6917" s="1" t="str">
        <x:v>LATAM</x:v>
      </x:c>
      <x:c r="E6917" s="1" t="str">
        <x:v>CANCELED</x:v>
      </x:c>
      <x:c r="F6917" s="1" t="str">
        <x:v>Shipping canceled</x:v>
      </x:c>
      <x:c r="G6917" s="6" t="n">
        <x:v>4</x:v>
      </x:c>
      <x:c r="H6917" s="6" t="n">
        <x:v>4</x:v>
      </x:c>
      <x:c r="I6917" s="6" t="n">
        <x:f>G6917-H6917</x:f>
        <x:v>0</x:v>
      </x:c>
      <x:c r="J6917" s="6" t="n">
        <x:f>IF(OR(E6917="CANCELED",E6917="SUSPECTED_FRAUD",F6917="Shipping canceled"),0,1)</x:f>
        <x:v>0</x:v>
      </x:c>
      <x:c r="K6917" s="6" t="n">
        <x:f>IF(G6917&gt;H6917,1,0)</x:f>
        <x:v>0</x:v>
      </x:c>
      <x:c r="L6917" s="6" t="n">
        <x:f>J6917*K6917</x:f>
        <x:v>0</x:v>
      </x:c>
    </x:row>
    <x:row r="6918">
      <x:c r="A6918" s="1" t="n">
        <x:v>54511</x:v>
      </x:c>
      <x:c r="B6918" s="5" t="d">
        <x:v>2017-03-06T00:00:00.000Z</x:v>
      </x:c>
      <x:c r="C6918" s="1" t="str">
        <x:v>First Class</x:v>
      </x:c>
      <x:c r="D6918" s="1" t="str">
        <x:v>LATAM</x:v>
      </x:c>
      <x:c r="E6918" s="1" t="str">
        <x:v>CLOSED</x:v>
      </x:c>
      <x:c r="F6918" s="1" t="str">
        <x:v>Late delivery</x:v>
      </x:c>
      <x:c r="G6918" s="6" t="n">
        <x:v>2</x:v>
      </x:c>
      <x:c r="H6918" s="6" t="n">
        <x:v>1</x:v>
      </x:c>
      <x:c r="I6918" s="6" t="n">
        <x:f>G6918-H6918</x:f>
        <x:v>1</x:v>
      </x:c>
      <x:c r="J6918" s="6" t="n">
        <x:f>IF(OR(E6918="CANCELED",E6918="SUSPECTED_FRAUD",F6918="Shipping canceled"),0,1)</x:f>
        <x:v>1</x:v>
      </x:c>
      <x:c r="K6918" s="6" t="n">
        <x:f>IF(G6918&gt;H6918,1,0)</x:f>
        <x:v>1</x:v>
      </x:c>
      <x:c r="L6918" s="6" t="n">
        <x:f>J6918*K6918</x:f>
        <x:v>1</x:v>
      </x:c>
    </x:row>
    <x:row r="6919">
      <x:c r="A6919" s="1" t="n">
        <x:v>54513</x:v>
      </x:c>
      <x:c r="B6919" s="5" t="d">
        <x:v>2017-03-06T00:00:00.000Z</x:v>
      </x:c>
      <x:c r="C6919" s="1" t="str">
        <x:v>Second Class</x:v>
      </x:c>
      <x:c r="D6919" s="1" t="str">
        <x:v>LATAM</x:v>
      </x:c>
      <x:c r="E6919" s="1" t="str">
        <x:v>CLOSED</x:v>
      </x:c>
      <x:c r="F6919" s="1" t="str">
        <x:v>Late delivery</x:v>
      </x:c>
      <x:c r="G6919" s="6" t="n">
        <x:v>4</x:v>
      </x:c>
      <x:c r="H6919" s="6" t="n">
        <x:v>2</x:v>
      </x:c>
      <x:c r="I6919" s="6" t="n">
        <x:f>G6919-H6919</x:f>
        <x:v>2</x:v>
      </x:c>
      <x:c r="J6919" s="6" t="n">
        <x:f>IF(OR(E6919="CANCELED",E6919="SUSPECTED_FRAUD",F6919="Shipping canceled"),0,1)</x:f>
        <x:v>1</x:v>
      </x:c>
      <x:c r="K6919" s="6" t="n">
        <x:f>IF(G6919&gt;H6919,1,0)</x:f>
        <x:v>1</x:v>
      </x:c>
      <x:c r="L6919" s="6" t="n">
        <x:f>J6919*K6919</x:f>
        <x:v>1</x:v>
      </x:c>
    </x:row>
    <x:row r="6920">
      <x:c r="A6920" s="1" t="n">
        <x:v>54514</x:v>
      </x:c>
      <x:c r="B6920" s="5" t="d">
        <x:v>2017-03-06T00:00:00.000Z</x:v>
      </x:c>
      <x:c r="C6920" s="1" t="str">
        <x:v>Second Class</x:v>
      </x:c>
      <x:c r="D6920" s="1" t="str">
        <x:v>LATAM</x:v>
      </x:c>
      <x:c r="E6920" s="1" t="str">
        <x:v>COMPLETE</x:v>
      </x:c>
      <x:c r="F6920" s="1" t="str">
        <x:v>Late delivery</x:v>
      </x:c>
      <x:c r="G6920" s="6" t="n">
        <x:v>5</x:v>
      </x:c>
      <x:c r="H6920" s="6" t="n">
        <x:v>2</x:v>
      </x:c>
      <x:c r="I6920" s="6" t="n">
        <x:f>G6920-H6920</x:f>
        <x:v>3</x:v>
      </x:c>
      <x:c r="J6920" s="6" t="n">
        <x:f>IF(OR(E6920="CANCELED",E6920="SUSPECTED_FRAUD",F6920="Shipping canceled"),0,1)</x:f>
        <x:v>1</x:v>
      </x:c>
      <x:c r="K6920" s="6" t="n">
        <x:f>IF(G6920&gt;H6920,1,0)</x:f>
        <x:v>1</x:v>
      </x:c>
      <x:c r="L6920" s="6" t="n">
        <x:f>J6920*K6920</x:f>
        <x:v>1</x:v>
      </x:c>
    </x:row>
    <x:row r="6921">
      <x:c r="A6921" s="1" t="n">
        <x:v>54515</x:v>
      </x:c>
      <x:c r="B6921" s="5" t="d">
        <x:v>2017-03-06T00:00:00.000Z</x:v>
      </x:c>
      <x:c r="C6921" s="1" t="str">
        <x:v>Standard Class</x:v>
      </x:c>
      <x:c r="D6921" s="1" t="str">
        <x:v>LATAM</x:v>
      </x:c>
      <x:c r="E6921" s="1" t="str">
        <x:v>COMPLETE</x:v>
      </x:c>
      <x:c r="F6921" s="1" t="str">
        <x:v>Late delivery</x:v>
      </x:c>
      <x:c r="G6921" s="6" t="n">
        <x:v>6</x:v>
      </x:c>
      <x:c r="H6921" s="6" t="n">
        <x:v>4</x:v>
      </x:c>
      <x:c r="I6921" s="6" t="n">
        <x:f>G6921-H6921</x:f>
        <x:v>2</x:v>
      </x:c>
      <x:c r="J6921" s="6" t="n">
        <x:f>IF(OR(E6921="CANCELED",E6921="SUSPECTED_FRAUD",F6921="Shipping canceled"),0,1)</x:f>
        <x:v>1</x:v>
      </x:c>
      <x:c r="K6921" s="6" t="n">
        <x:f>IF(G6921&gt;H6921,1,0)</x:f>
        <x:v>1</x:v>
      </x:c>
      <x:c r="L6921" s="6" t="n">
        <x:f>J6921*K6921</x:f>
        <x:v>1</x:v>
      </x:c>
    </x:row>
    <x:row r="6922">
      <x:c r="A6922" s="1" t="n">
        <x:v>54527</x:v>
      </x:c>
      <x:c r="B6922" s="5" t="d">
        <x:v>2017-03-06T00:00:00.000Z</x:v>
      </x:c>
      <x:c r="C6922" s="1" t="str">
        <x:v>Second Class</x:v>
      </x:c>
      <x:c r="D6922" s="1" t="str">
        <x:v>LATAM</x:v>
      </x:c>
      <x:c r="E6922" s="1" t="str">
        <x:v>PENDING</x:v>
      </x:c>
      <x:c r="F6922" s="1" t="str">
        <x:v>Late delivery</x:v>
      </x:c>
      <x:c r="G6922" s="6" t="n">
        <x:v>3</x:v>
      </x:c>
      <x:c r="H6922" s="6" t="n">
        <x:v>2</x:v>
      </x:c>
      <x:c r="I6922" s="6" t="n">
        <x:f>G6922-H6922</x:f>
        <x:v>1</x:v>
      </x:c>
      <x:c r="J6922" s="6" t="n">
        <x:f>IF(OR(E6922="CANCELED",E6922="SUSPECTED_FRAUD",F6922="Shipping canceled"),0,1)</x:f>
        <x:v>1</x:v>
      </x:c>
      <x:c r="K6922" s="6" t="n">
        <x:f>IF(G6922&gt;H6922,1,0)</x:f>
        <x:v>1</x:v>
      </x:c>
      <x:c r="L6922" s="6" t="n">
        <x:f>J6922*K6922</x:f>
        <x:v>1</x:v>
      </x:c>
    </x:row>
    <x:row r="6923">
      <x:c r="A6923" s="1" t="n">
        <x:v>54533</x:v>
      </x:c>
      <x:c r="B6923" s="5" t="d">
        <x:v>2017-03-07T00:00:00.000Z</x:v>
      </x:c>
      <x:c r="C6923" s="1" t="str">
        <x:v>Standard Class</x:v>
      </x:c>
      <x:c r="D6923" s="1" t="str">
        <x:v>LATAM</x:v>
      </x:c>
      <x:c r="E6923" s="1" t="str">
        <x:v>CLOSED</x:v>
      </x:c>
      <x:c r="F6923" s="1" t="str">
        <x:v>Shipping on time</x:v>
      </x:c>
      <x:c r="G6923" s="6" t="n">
        <x:v>4</x:v>
      </x:c>
      <x:c r="H6923" s="6" t="n">
        <x:v>4</x:v>
      </x:c>
      <x:c r="I6923" s="6" t="n">
        <x:f>G6923-H6923</x:f>
        <x:v>0</x:v>
      </x:c>
      <x:c r="J6923" s="6" t="n">
        <x:f>IF(OR(E6923="CANCELED",E6923="SUSPECTED_FRAUD",F6923="Shipping canceled"),0,1)</x:f>
        <x:v>1</x:v>
      </x:c>
      <x:c r="K6923" s="6" t="n">
        <x:f>IF(G6923&gt;H6923,1,0)</x:f>
        <x:v>0</x:v>
      </x:c>
      <x:c r="L6923" s="6" t="n">
        <x:f>J6923*K6923</x:f>
        <x:v>0</x:v>
      </x:c>
    </x:row>
    <x:row r="6924">
      <x:c r="A6924" s="1" t="n">
        <x:v>54535</x:v>
      </x:c>
      <x:c r="B6924" s="5" t="d">
        <x:v>2017-03-07T00:00:00.000Z</x:v>
      </x:c>
      <x:c r="C6924" s="1" t="str">
        <x:v>Standard Class</x:v>
      </x:c>
      <x:c r="D6924" s="1" t="str">
        <x:v>LATAM</x:v>
      </x:c>
      <x:c r="E6924" s="1" t="str">
        <x:v>PENDING</x:v>
      </x:c>
      <x:c r="F6924" s="1" t="str">
        <x:v>Late delivery</x:v>
      </x:c>
      <x:c r="G6924" s="6" t="n">
        <x:v>6</x:v>
      </x:c>
      <x:c r="H6924" s="6" t="n">
        <x:v>4</x:v>
      </x:c>
      <x:c r="I6924" s="6" t="n">
        <x:f>G6924-H6924</x:f>
        <x:v>2</x:v>
      </x:c>
      <x:c r="J6924" s="6" t="n">
        <x:f>IF(OR(E6924="CANCELED",E6924="SUSPECTED_FRAUD",F6924="Shipping canceled"),0,1)</x:f>
        <x:v>1</x:v>
      </x:c>
      <x:c r="K6924" s="6" t="n">
        <x:f>IF(G6924&gt;H6924,1,0)</x:f>
        <x:v>1</x:v>
      </x:c>
      <x:c r="L6924" s="6" t="n">
        <x:f>J6924*K6924</x:f>
        <x:v>1</x:v>
      </x:c>
    </x:row>
    <x:row r="6925">
      <x:c r="A6925" s="1" t="n">
        <x:v>54548</x:v>
      </x:c>
      <x:c r="B6925" s="5" t="d">
        <x:v>2017-03-07T00:00:00.000Z</x:v>
      </x:c>
      <x:c r="C6925" s="1" t="str">
        <x:v>Second Class</x:v>
      </x:c>
      <x:c r="D6925" s="1" t="str">
        <x:v>LATAM</x:v>
      </x:c>
      <x:c r="E6925" s="1" t="str">
        <x:v>CLOSED</x:v>
      </x:c>
      <x:c r="F6925" s="1" t="str">
        <x:v>Late delivery</x:v>
      </x:c>
      <x:c r="G6925" s="6" t="n">
        <x:v>4</x:v>
      </x:c>
      <x:c r="H6925" s="6" t="n">
        <x:v>2</x:v>
      </x:c>
      <x:c r="I6925" s="6" t="n">
        <x:f>G6925-H6925</x:f>
        <x:v>2</x:v>
      </x:c>
      <x:c r="J6925" s="6" t="n">
        <x:f>IF(OR(E6925="CANCELED",E6925="SUSPECTED_FRAUD",F6925="Shipping canceled"),0,1)</x:f>
        <x:v>1</x:v>
      </x:c>
      <x:c r="K6925" s="6" t="n">
        <x:f>IF(G6925&gt;H6925,1,0)</x:f>
        <x:v>1</x:v>
      </x:c>
      <x:c r="L6925" s="6" t="n">
        <x:f>J6925*K6925</x:f>
        <x:v>1</x:v>
      </x:c>
    </x:row>
    <x:row r="6926">
      <x:c r="A6926" s="1" t="n">
        <x:v>54570</x:v>
      </x:c>
      <x:c r="B6926" s="5" t="d">
        <x:v>2017-03-07T00:00:00.000Z</x:v>
      </x:c>
      <x:c r="C6926" s="1" t="str">
        <x:v>Standard Class</x:v>
      </x:c>
      <x:c r="D6926" s="1" t="str">
        <x:v>LATAM</x:v>
      </x:c>
      <x:c r="E6926" s="1" t="str">
        <x:v>PENDING</x:v>
      </x:c>
      <x:c r="F6926" s="1" t="str">
        <x:v>Late delivery</x:v>
      </x:c>
      <x:c r="G6926" s="6" t="n">
        <x:v>6</x:v>
      </x:c>
      <x:c r="H6926" s="6" t="n">
        <x:v>4</x:v>
      </x:c>
      <x:c r="I6926" s="6" t="n">
        <x:f>G6926-H6926</x:f>
        <x:v>2</x:v>
      </x:c>
      <x:c r="J6926" s="6" t="n">
        <x:f>IF(OR(E6926="CANCELED",E6926="SUSPECTED_FRAUD",F6926="Shipping canceled"),0,1)</x:f>
        <x:v>1</x:v>
      </x:c>
      <x:c r="K6926" s="6" t="n">
        <x:f>IF(G6926&gt;H6926,1,0)</x:f>
        <x:v>1</x:v>
      </x:c>
      <x:c r="L6926" s="6" t="n">
        <x:f>J6926*K6926</x:f>
        <x:v>1</x:v>
      </x:c>
    </x:row>
    <x:row r="6927">
      <x:c r="A6927" s="1" t="n">
        <x:v>54572</x:v>
      </x:c>
      <x:c r="B6927" s="5" t="d">
        <x:v>2017-03-07T00:00:00.000Z</x:v>
      </x:c>
      <x:c r="C6927" s="1" t="str">
        <x:v>Standard Class</x:v>
      </x:c>
      <x:c r="D6927" s="1" t="str">
        <x:v>LATAM</x:v>
      </x:c>
      <x:c r="E6927" s="1" t="str">
        <x:v>PROCESSING</x:v>
      </x:c>
      <x:c r="F6927" s="1" t="str">
        <x:v>Advance shipping</x:v>
      </x:c>
      <x:c r="G6927" s="6" t="n">
        <x:v>3</x:v>
      </x:c>
      <x:c r="H6927" s="6" t="n">
        <x:v>4</x:v>
      </x:c>
      <x:c r="I6927" s="6" t="n">
        <x:f>G6927-H6927</x:f>
        <x:v>-1</x:v>
      </x:c>
      <x:c r="J6927" s="6" t="n">
        <x:f>IF(OR(E6927="CANCELED",E6927="SUSPECTED_FRAUD",F6927="Shipping canceled"),0,1)</x:f>
        <x:v>1</x:v>
      </x:c>
      <x:c r="K6927" s="6" t="n">
        <x:f>IF(G6927&gt;H6927,1,0)</x:f>
        <x:v>0</x:v>
      </x:c>
      <x:c r="L6927" s="6" t="n">
        <x:f>J6927*K6927</x:f>
        <x:v>0</x:v>
      </x:c>
    </x:row>
    <x:row r="6928">
      <x:c r="A6928" s="1" t="n">
        <x:v>54576</x:v>
      </x:c>
      <x:c r="B6928" s="5" t="d">
        <x:v>2017-03-07T00:00:00.000Z</x:v>
      </x:c>
      <x:c r="C6928" s="1" t="str">
        <x:v>Standard Class</x:v>
      </x:c>
      <x:c r="D6928" s="1" t="str">
        <x:v>LATAM</x:v>
      </x:c>
      <x:c r="E6928" s="1" t="str">
        <x:v>COMPLETE</x:v>
      </x:c>
      <x:c r="F6928" s="1" t="str">
        <x:v>Advance shipping</x:v>
      </x:c>
      <x:c r="G6928" s="6" t="n">
        <x:v>2</x:v>
      </x:c>
      <x:c r="H6928" s="6" t="n">
        <x:v>4</x:v>
      </x:c>
      <x:c r="I6928" s="6" t="n">
        <x:f>G6928-H6928</x:f>
        <x:v>-2</x:v>
      </x:c>
      <x:c r="J6928" s="6" t="n">
        <x:f>IF(OR(E6928="CANCELED",E6928="SUSPECTED_FRAUD",F6928="Shipping canceled"),0,1)</x:f>
        <x:v>1</x:v>
      </x:c>
      <x:c r="K6928" s="6" t="n">
        <x:f>IF(G6928&gt;H6928,1,0)</x:f>
        <x:v>0</x:v>
      </x:c>
      <x:c r="L6928" s="6" t="n">
        <x:f>J6928*K6928</x:f>
        <x:v>0</x:v>
      </x:c>
    </x:row>
    <x:row r="6929">
      <x:c r="A6929" s="1" t="n">
        <x:v>54583</x:v>
      </x:c>
      <x:c r="B6929" s="5" t="d">
        <x:v>2017-03-07T00:00:00.000Z</x:v>
      </x:c>
      <x:c r="C6929" s="1" t="str">
        <x:v>Standard Class</x:v>
      </x:c>
      <x:c r="D6929" s="1" t="str">
        <x:v>LATAM</x:v>
      </x:c>
      <x:c r="E6929" s="1" t="str">
        <x:v>ON_HOLD</x:v>
      </x:c>
      <x:c r="F6929" s="1" t="str">
        <x:v>Shipping on time</x:v>
      </x:c>
      <x:c r="G6929" s="6" t="n">
        <x:v>4</x:v>
      </x:c>
      <x:c r="H6929" s="6" t="n">
        <x:v>4</x:v>
      </x:c>
      <x:c r="I6929" s="6" t="n">
        <x:f>G6929-H6929</x:f>
        <x:v>0</x:v>
      </x:c>
      <x:c r="J6929" s="6" t="n">
        <x:f>IF(OR(E6929="CANCELED",E6929="SUSPECTED_FRAUD",F6929="Shipping canceled"),0,1)</x:f>
        <x:v>1</x:v>
      </x:c>
      <x:c r="K6929" s="6" t="n">
        <x:f>IF(G6929&gt;H6929,1,0)</x:f>
        <x:v>0</x:v>
      </x:c>
      <x:c r="L6929" s="6" t="n">
        <x:f>J6929*K6929</x:f>
        <x:v>0</x:v>
      </x:c>
    </x:row>
    <x:row r="6930">
      <x:c r="A6930" s="1" t="n">
        <x:v>54584</x:v>
      </x:c>
      <x:c r="B6930" s="5" t="d">
        <x:v>2017-03-07T00:00:00.000Z</x:v>
      </x:c>
      <x:c r="C6930" s="1" t="str">
        <x:v>Standard Class</x:v>
      </x:c>
      <x:c r="D6930" s="1" t="str">
        <x:v>LATAM</x:v>
      </x:c>
      <x:c r="E6930" s="1" t="str">
        <x:v>PENDING_PAYMENT</x:v>
      </x:c>
      <x:c r="F6930" s="1" t="str">
        <x:v>Late delivery</x:v>
      </x:c>
      <x:c r="G6930" s="6" t="n">
        <x:v>5</x:v>
      </x:c>
      <x:c r="H6930" s="6" t="n">
        <x:v>4</x:v>
      </x:c>
      <x:c r="I6930" s="6" t="n">
        <x:f>G6930-H6930</x:f>
        <x:v>1</x:v>
      </x:c>
      <x:c r="J6930" s="6" t="n">
        <x:f>IF(OR(E6930="CANCELED",E6930="SUSPECTED_FRAUD",F6930="Shipping canceled"),0,1)</x:f>
        <x:v>1</x:v>
      </x:c>
      <x:c r="K6930" s="6" t="n">
        <x:f>IF(G6930&gt;H6930,1,0)</x:f>
        <x:v>1</x:v>
      </x:c>
      <x:c r="L6930" s="6" t="n">
        <x:f>J6930*K6930</x:f>
        <x:v>1</x:v>
      </x:c>
    </x:row>
    <x:row r="6931">
      <x:c r="A6931" s="1" t="n">
        <x:v>54585</x:v>
      </x:c>
      <x:c r="B6931" s="5" t="d">
        <x:v>2017-03-07T00:00:00.000Z</x:v>
      </x:c>
      <x:c r="C6931" s="1" t="str">
        <x:v>Standard Class</x:v>
      </x:c>
      <x:c r="D6931" s="1" t="str">
        <x:v>LATAM</x:v>
      </x:c>
      <x:c r="E6931" s="1" t="str">
        <x:v>PENDING</x:v>
      </x:c>
      <x:c r="F6931" s="1" t="str">
        <x:v>Late delivery</x:v>
      </x:c>
      <x:c r="G6931" s="6" t="n">
        <x:v>6</x:v>
      </x:c>
      <x:c r="H6931" s="6" t="n">
        <x:v>4</x:v>
      </x:c>
      <x:c r="I6931" s="6" t="n">
        <x:f>G6931-H6931</x:f>
        <x:v>2</x:v>
      </x:c>
      <x:c r="J6931" s="6" t="n">
        <x:f>IF(OR(E6931="CANCELED",E6931="SUSPECTED_FRAUD",F6931="Shipping canceled"),0,1)</x:f>
        <x:v>1</x:v>
      </x:c>
      <x:c r="K6931" s="6" t="n">
        <x:f>IF(G6931&gt;H6931,1,0)</x:f>
        <x:v>1</x:v>
      </x:c>
      <x:c r="L6931" s="6" t="n">
        <x:f>J6931*K6931</x:f>
        <x:v>1</x:v>
      </x:c>
    </x:row>
    <x:row r="6932">
      <x:c r="A6932" s="1" t="n">
        <x:v>54589</x:v>
      </x:c>
      <x:c r="B6932" s="5" t="d">
        <x:v>2017-03-07T00:00:00.000Z</x:v>
      </x:c>
      <x:c r="C6932" s="1" t="str">
        <x:v>First Class</x:v>
      </x:c>
      <x:c r="D6932" s="1" t="str">
        <x:v>LATAM</x:v>
      </x:c>
      <x:c r="E6932" s="1" t="str">
        <x:v>CLOSED</x:v>
      </x:c>
      <x:c r="F6932" s="1" t="str">
        <x:v>Late delivery</x:v>
      </x:c>
      <x:c r="G6932" s="6" t="n">
        <x:v>2</x:v>
      </x:c>
      <x:c r="H6932" s="6" t="n">
        <x:v>1</x:v>
      </x:c>
      <x:c r="I6932" s="6" t="n">
        <x:f>G6932-H6932</x:f>
        <x:v>1</x:v>
      </x:c>
      <x:c r="J6932" s="6" t="n">
        <x:f>IF(OR(E6932="CANCELED",E6932="SUSPECTED_FRAUD",F6932="Shipping canceled"),0,1)</x:f>
        <x:v>1</x:v>
      </x:c>
      <x:c r="K6932" s="6" t="n">
        <x:f>IF(G6932&gt;H6932,1,0)</x:f>
        <x:v>1</x:v>
      </x:c>
      <x:c r="L6932" s="6" t="n">
        <x:f>J6932*K6932</x:f>
        <x:v>1</x:v>
      </x:c>
    </x:row>
    <x:row r="6933">
      <x:c r="A6933" s="1" t="n">
        <x:v>54591</x:v>
      </x:c>
      <x:c r="B6933" s="5" t="d">
        <x:v>2017-03-07T00:00:00.000Z</x:v>
      </x:c>
      <x:c r="C6933" s="1" t="str">
        <x:v>First Class</x:v>
      </x:c>
      <x:c r="D6933" s="1" t="str">
        <x:v>LATAM</x:v>
      </x:c>
      <x:c r="E6933" s="1" t="str">
        <x:v>PENDING</x:v>
      </x:c>
      <x:c r="F6933" s="1" t="str">
        <x:v>Late delivery</x:v>
      </x:c>
      <x:c r="G6933" s="6" t="n">
        <x:v>2</x:v>
      </x:c>
      <x:c r="H6933" s="6" t="n">
        <x:v>1</x:v>
      </x:c>
      <x:c r="I6933" s="6" t="n">
        <x:f>G6933-H6933</x:f>
        <x:v>1</x:v>
      </x:c>
      <x:c r="J6933" s="6" t="n">
        <x:f>IF(OR(E6933="CANCELED",E6933="SUSPECTED_FRAUD",F6933="Shipping canceled"),0,1)</x:f>
        <x:v>1</x:v>
      </x:c>
      <x:c r="K6933" s="6" t="n">
        <x:f>IF(G6933&gt;H6933,1,0)</x:f>
        <x:v>1</x:v>
      </x:c>
      <x:c r="L6933" s="6" t="n">
        <x:f>J6933*K6933</x:f>
        <x:v>1</x:v>
      </x:c>
    </x:row>
    <x:row r="6934">
      <x:c r="A6934" s="1" t="n">
        <x:v>54599</x:v>
      </x:c>
      <x:c r="B6934" s="5" t="d">
        <x:v>2017-03-08T00:00:00.000Z</x:v>
      </x:c>
      <x:c r="C6934" s="1" t="str">
        <x:v>Standard Class</x:v>
      </x:c>
      <x:c r="D6934" s="1" t="str">
        <x:v>LATAM</x:v>
      </x:c>
      <x:c r="E6934" s="1" t="str">
        <x:v>COMPLETE</x:v>
      </x:c>
      <x:c r="F6934" s="1" t="str">
        <x:v>Late delivery</x:v>
      </x:c>
      <x:c r="G6934" s="6" t="n">
        <x:v>5</x:v>
      </x:c>
      <x:c r="H6934" s="6" t="n">
        <x:v>4</x:v>
      </x:c>
      <x:c r="I6934" s="6" t="n">
        <x:f>G6934-H6934</x:f>
        <x:v>1</x:v>
      </x:c>
      <x:c r="J6934" s="6" t="n">
        <x:f>IF(OR(E6934="CANCELED",E6934="SUSPECTED_FRAUD",F6934="Shipping canceled"),0,1)</x:f>
        <x:v>1</x:v>
      </x:c>
      <x:c r="K6934" s="6" t="n">
        <x:f>IF(G6934&gt;H6934,1,0)</x:f>
        <x:v>1</x:v>
      </x:c>
      <x:c r="L6934" s="6" t="n">
        <x:f>J6934*K6934</x:f>
        <x:v>1</x:v>
      </x:c>
    </x:row>
    <x:row r="6935">
      <x:c r="A6935" s="1" t="n">
        <x:v>54608</x:v>
      </x:c>
      <x:c r="B6935" s="5" t="d">
        <x:v>2017-03-08T00:00:00.000Z</x:v>
      </x:c>
      <x:c r="C6935" s="1" t="str">
        <x:v>First Class</x:v>
      </x:c>
      <x:c r="D6935" s="1" t="str">
        <x:v>LATAM</x:v>
      </x:c>
      <x:c r="E6935" s="1" t="str">
        <x:v>CLOSED</x:v>
      </x:c>
      <x:c r="F6935" s="1" t="str">
        <x:v>Late delivery</x:v>
      </x:c>
      <x:c r="G6935" s="6" t="n">
        <x:v>2</x:v>
      </x:c>
      <x:c r="H6935" s="6" t="n">
        <x:v>1</x:v>
      </x:c>
      <x:c r="I6935" s="6" t="n">
        <x:f>G6935-H6935</x:f>
        <x:v>1</x:v>
      </x:c>
      <x:c r="J6935" s="6" t="n">
        <x:f>IF(OR(E6935="CANCELED",E6935="SUSPECTED_FRAUD",F6935="Shipping canceled"),0,1)</x:f>
        <x:v>1</x:v>
      </x:c>
      <x:c r="K6935" s="6" t="n">
        <x:f>IF(G6935&gt;H6935,1,0)</x:f>
        <x:v>1</x:v>
      </x:c>
      <x:c r="L6935" s="6" t="n">
        <x:f>J6935*K6935</x:f>
        <x:v>1</x:v>
      </x:c>
    </x:row>
    <x:row r="6936">
      <x:c r="A6936" s="1" t="n">
        <x:v>54618</x:v>
      </x:c>
      <x:c r="B6936" s="5" t="d">
        <x:v>2017-03-08T00:00:00.000Z</x:v>
      </x:c>
      <x:c r="C6936" s="1" t="str">
        <x:v>Standard Class</x:v>
      </x:c>
      <x:c r="D6936" s="1" t="str">
        <x:v>LATAM</x:v>
      </x:c>
      <x:c r="E6936" s="1" t="str">
        <x:v>PENDING</x:v>
      </x:c>
      <x:c r="F6936" s="1" t="str">
        <x:v>Shipping on time</x:v>
      </x:c>
      <x:c r="G6936" s="6" t="n">
        <x:v>4</x:v>
      </x:c>
      <x:c r="H6936" s="6" t="n">
        <x:v>4</x:v>
      </x:c>
      <x:c r="I6936" s="6" t="n">
        <x:f>G6936-H6936</x:f>
        <x:v>0</x:v>
      </x:c>
      <x:c r="J6936" s="6" t="n">
        <x:f>IF(OR(E6936="CANCELED",E6936="SUSPECTED_FRAUD",F6936="Shipping canceled"),0,1)</x:f>
        <x:v>1</x:v>
      </x:c>
      <x:c r="K6936" s="6" t="n">
        <x:f>IF(G6936&gt;H6936,1,0)</x:f>
        <x:v>0</x:v>
      </x:c>
      <x:c r="L6936" s="6" t="n">
        <x:f>J6936*K6936</x:f>
        <x:v>0</x:v>
      </x:c>
    </x:row>
    <x:row r="6937">
      <x:c r="A6937" s="1" t="n">
        <x:v>54626</x:v>
      </x:c>
      <x:c r="B6937" s="5" t="d">
        <x:v>2017-03-08T00:00:00.000Z</x:v>
      </x:c>
      <x:c r="C6937" s="1" t="str">
        <x:v>First Class</x:v>
      </x:c>
      <x:c r="D6937" s="1" t="str">
        <x:v>LATAM</x:v>
      </x:c>
      <x:c r="E6937" s="1" t="str">
        <x:v>CLOSED</x:v>
      </x:c>
      <x:c r="F6937" s="1" t="str">
        <x:v>Late delivery</x:v>
      </x:c>
      <x:c r="G6937" s="6" t="n">
        <x:v>2</x:v>
      </x:c>
      <x:c r="H6937" s="6" t="n">
        <x:v>1</x:v>
      </x:c>
      <x:c r="I6937" s="6" t="n">
        <x:f>G6937-H6937</x:f>
        <x:v>1</x:v>
      </x:c>
      <x:c r="J6937" s="6" t="n">
        <x:f>IF(OR(E6937="CANCELED",E6937="SUSPECTED_FRAUD",F6937="Shipping canceled"),0,1)</x:f>
        <x:v>1</x:v>
      </x:c>
      <x:c r="K6937" s="6" t="n">
        <x:f>IF(G6937&gt;H6937,1,0)</x:f>
        <x:v>1</x:v>
      </x:c>
      <x:c r="L6937" s="6" t="n">
        <x:f>J6937*K6937</x:f>
        <x:v>1</x:v>
      </x:c>
    </x:row>
    <x:row r="6938">
      <x:c r="A6938" s="1" t="n">
        <x:v>54632</x:v>
      </x:c>
      <x:c r="B6938" s="5" t="d">
        <x:v>2017-03-08T00:00:00.000Z</x:v>
      </x:c>
      <x:c r="C6938" s="1" t="str">
        <x:v>Standard Class</x:v>
      </x:c>
      <x:c r="D6938" s="1" t="str">
        <x:v>LATAM</x:v>
      </x:c>
      <x:c r="E6938" s="1" t="str">
        <x:v>PENDING</x:v>
      </x:c>
      <x:c r="F6938" s="1" t="str">
        <x:v>Advance shipping</x:v>
      </x:c>
      <x:c r="G6938" s="6" t="n">
        <x:v>3</x:v>
      </x:c>
      <x:c r="H6938" s="6" t="n">
        <x:v>4</x:v>
      </x:c>
      <x:c r="I6938" s="6" t="n">
        <x:f>G6938-H6938</x:f>
        <x:v>-1</x:v>
      </x:c>
      <x:c r="J6938" s="6" t="n">
        <x:f>IF(OR(E6938="CANCELED",E6938="SUSPECTED_FRAUD",F6938="Shipping canceled"),0,1)</x:f>
        <x:v>1</x:v>
      </x:c>
      <x:c r="K6938" s="6" t="n">
        <x:f>IF(G6938&gt;H6938,1,0)</x:f>
        <x:v>0</x:v>
      </x:c>
      <x:c r="L6938" s="6" t="n">
        <x:f>J6938*K6938</x:f>
        <x:v>0</x:v>
      </x:c>
    </x:row>
    <x:row r="6939">
      <x:c r="A6939" s="1" t="n">
        <x:v>54640</x:v>
      </x:c>
      <x:c r="B6939" s="5" t="d">
        <x:v>2017-03-08T00:00:00.000Z</x:v>
      </x:c>
      <x:c r="C6939" s="1" t="str">
        <x:v>Second Class</x:v>
      </x:c>
      <x:c r="D6939" s="1" t="str">
        <x:v>LATAM</x:v>
      </x:c>
      <x:c r="E6939" s="1" t="str">
        <x:v>PENDING</x:v>
      </x:c>
      <x:c r="F6939" s="1" t="str">
        <x:v>Late delivery</x:v>
      </x:c>
      <x:c r="G6939" s="6" t="n">
        <x:v>6</x:v>
      </x:c>
      <x:c r="H6939" s="6" t="n">
        <x:v>2</x:v>
      </x:c>
      <x:c r="I6939" s="6" t="n">
        <x:f>G6939-H6939</x:f>
        <x:v>4</x:v>
      </x:c>
      <x:c r="J6939" s="6" t="n">
        <x:f>IF(OR(E6939="CANCELED",E6939="SUSPECTED_FRAUD",F6939="Shipping canceled"),0,1)</x:f>
        <x:v>1</x:v>
      </x:c>
      <x:c r="K6939" s="6" t="n">
        <x:f>IF(G6939&gt;H6939,1,0)</x:f>
        <x:v>1</x:v>
      </x:c>
      <x:c r="L6939" s="6" t="n">
        <x:f>J6939*K6939</x:f>
        <x:v>1</x:v>
      </x:c>
    </x:row>
    <x:row r="6940">
      <x:c r="A6940" s="1" t="n">
        <x:v>54647</x:v>
      </x:c>
      <x:c r="B6940" s="5" t="d">
        <x:v>2017-03-08T00:00:00.000Z</x:v>
      </x:c>
      <x:c r="C6940" s="1" t="str">
        <x:v>Second Class</x:v>
      </x:c>
      <x:c r="D6940" s="1" t="str">
        <x:v>LATAM</x:v>
      </x:c>
      <x:c r="E6940" s="1" t="str">
        <x:v>COMPLETE</x:v>
      </x:c>
      <x:c r="F6940" s="1" t="str">
        <x:v>Late delivery</x:v>
      </x:c>
      <x:c r="G6940" s="6" t="n">
        <x:v>3</x:v>
      </x:c>
      <x:c r="H6940" s="6" t="n">
        <x:v>2</x:v>
      </x:c>
      <x:c r="I6940" s="6" t="n">
        <x:f>G6940-H6940</x:f>
        <x:v>1</x:v>
      </x:c>
      <x:c r="J6940" s="6" t="n">
        <x:f>IF(OR(E6940="CANCELED",E6940="SUSPECTED_FRAUD",F6940="Shipping canceled"),0,1)</x:f>
        <x:v>1</x:v>
      </x:c>
      <x:c r="K6940" s="6" t="n">
        <x:f>IF(G6940&gt;H6940,1,0)</x:f>
        <x:v>1</x:v>
      </x:c>
      <x:c r="L6940" s="6" t="n">
        <x:f>J6940*K6940</x:f>
        <x:v>1</x:v>
      </x:c>
    </x:row>
    <x:row r="6941">
      <x:c r="A6941" s="1" t="n">
        <x:v>54650</x:v>
      </x:c>
      <x:c r="B6941" s="5" t="d">
        <x:v>2017-03-08T00:00:00.000Z</x:v>
      </x:c>
      <x:c r="C6941" s="1" t="str">
        <x:v>Standard Class</x:v>
      </x:c>
      <x:c r="D6941" s="1" t="str">
        <x:v>LATAM</x:v>
      </x:c>
      <x:c r="E6941" s="1" t="str">
        <x:v>PROCESSING</x:v>
      </x:c>
      <x:c r="F6941" s="1" t="str">
        <x:v>Late delivery</x:v>
      </x:c>
      <x:c r="G6941" s="6" t="n">
        <x:v>6</x:v>
      </x:c>
      <x:c r="H6941" s="6" t="n">
        <x:v>4</x:v>
      </x:c>
      <x:c r="I6941" s="6" t="n">
        <x:f>G6941-H6941</x:f>
        <x:v>2</x:v>
      </x:c>
      <x:c r="J6941" s="6" t="n">
        <x:f>IF(OR(E6941="CANCELED",E6941="SUSPECTED_FRAUD",F6941="Shipping canceled"),0,1)</x:f>
        <x:v>1</x:v>
      </x:c>
      <x:c r="K6941" s="6" t="n">
        <x:f>IF(G6941&gt;H6941,1,0)</x:f>
        <x:v>1</x:v>
      </x:c>
      <x:c r="L6941" s="6" t="n">
        <x:f>J6941*K6941</x:f>
        <x:v>1</x:v>
      </x:c>
    </x:row>
    <x:row r="6942">
      <x:c r="A6942" s="1" t="n">
        <x:v>54654</x:v>
      </x:c>
      <x:c r="B6942" s="5" t="d">
        <x:v>2017-03-08T00:00:00.000Z</x:v>
      </x:c>
      <x:c r="C6942" s="1" t="str">
        <x:v>Standard Class</x:v>
      </x:c>
      <x:c r="D6942" s="1" t="str">
        <x:v>LATAM</x:v>
      </x:c>
      <x:c r="E6942" s="1" t="str">
        <x:v>PROCESSING</x:v>
      </x:c>
      <x:c r="F6942" s="1" t="str">
        <x:v>Late delivery</x:v>
      </x:c>
      <x:c r="G6942" s="6" t="n">
        <x:v>5</x:v>
      </x:c>
      <x:c r="H6942" s="6" t="n">
        <x:v>4</x:v>
      </x:c>
      <x:c r="I6942" s="6" t="n">
        <x:f>G6942-H6942</x:f>
        <x:v>1</x:v>
      </x:c>
      <x:c r="J6942" s="6" t="n">
        <x:f>IF(OR(E6942="CANCELED",E6942="SUSPECTED_FRAUD",F6942="Shipping canceled"),0,1)</x:f>
        <x:v>1</x:v>
      </x:c>
      <x:c r="K6942" s="6" t="n">
        <x:f>IF(G6942&gt;H6942,1,0)</x:f>
        <x:v>1</x:v>
      </x:c>
      <x:c r="L6942" s="6" t="n">
        <x:f>J6942*K6942</x:f>
        <x:v>1</x:v>
      </x:c>
    </x:row>
    <x:row r="6943">
      <x:c r="A6943" s="1" t="n">
        <x:v>54669</x:v>
      </x:c>
      <x:c r="B6943" s="5" t="d">
        <x:v>2017-03-09T00:00:00.000Z</x:v>
      </x:c>
      <x:c r="C6943" s="1" t="str">
        <x:v>Standard Class</x:v>
      </x:c>
      <x:c r="D6943" s="1" t="str">
        <x:v>LATAM</x:v>
      </x:c>
      <x:c r="E6943" s="1" t="str">
        <x:v>SUSPECTED_FRAUD</x:v>
      </x:c>
      <x:c r="F6943" s="1" t="str">
        <x:v>Shipping canceled</x:v>
      </x:c>
      <x:c r="G6943" s="6" t="n">
        <x:v>5</x:v>
      </x:c>
      <x:c r="H6943" s="6" t="n">
        <x:v>4</x:v>
      </x:c>
      <x:c r="I6943" s="6" t="n">
        <x:f>G6943-H6943</x:f>
        <x:v>1</x:v>
      </x:c>
      <x:c r="J6943" s="6" t="n">
        <x:f>IF(OR(E6943="CANCELED",E6943="SUSPECTED_FRAUD",F6943="Shipping canceled"),0,1)</x:f>
        <x:v>0</x:v>
      </x:c>
      <x:c r="K6943" s="6" t="n">
        <x:f>IF(G6943&gt;H6943,1,0)</x:f>
        <x:v>1</x:v>
      </x:c>
      <x:c r="L6943" s="6" t="n">
        <x:f>J6943*K6943</x:f>
        <x:v>0</x:v>
      </x:c>
    </x:row>
    <x:row r="6944">
      <x:c r="A6944" s="1" t="n">
        <x:v>54673</x:v>
      </x:c>
      <x:c r="B6944" s="5" t="d">
        <x:v>2017-03-09T00:00:00.000Z</x:v>
      </x:c>
      <x:c r="C6944" s="1" t="str">
        <x:v>First Class</x:v>
      </x:c>
      <x:c r="D6944" s="1" t="str">
        <x:v>LATAM</x:v>
      </x:c>
      <x:c r="E6944" s="1" t="str">
        <x:v>COMPLETE</x:v>
      </x:c>
      <x:c r="F6944" s="1" t="str">
        <x:v>Late delivery</x:v>
      </x:c>
      <x:c r="G6944" s="6" t="n">
        <x:v>2</x:v>
      </x:c>
      <x:c r="H6944" s="6" t="n">
        <x:v>1</x:v>
      </x:c>
      <x:c r="I6944" s="6" t="n">
        <x:f>G6944-H6944</x:f>
        <x:v>1</x:v>
      </x:c>
      <x:c r="J6944" s="6" t="n">
        <x:f>IF(OR(E6944="CANCELED",E6944="SUSPECTED_FRAUD",F6944="Shipping canceled"),0,1)</x:f>
        <x:v>1</x:v>
      </x:c>
      <x:c r="K6944" s="6" t="n">
        <x:f>IF(G6944&gt;H6944,1,0)</x:f>
        <x:v>1</x:v>
      </x:c>
      <x:c r="L6944" s="6" t="n">
        <x:f>J6944*K6944</x:f>
        <x:v>1</x:v>
      </x:c>
    </x:row>
    <x:row r="6945">
      <x:c r="A6945" s="1" t="n">
        <x:v>54676</x:v>
      </x:c>
      <x:c r="B6945" s="5" t="d">
        <x:v>2017-03-09T00:00:00.000Z</x:v>
      </x:c>
      <x:c r="C6945" s="1" t="str">
        <x:v>First Class</x:v>
      </x:c>
      <x:c r="D6945" s="1" t="str">
        <x:v>LATAM</x:v>
      </x:c>
      <x:c r="E6945" s="1" t="str">
        <x:v>PROCESSING</x:v>
      </x:c>
      <x:c r="F6945" s="1" t="str">
        <x:v>Late delivery</x:v>
      </x:c>
      <x:c r="G6945" s="6" t="n">
        <x:v>2</x:v>
      </x:c>
      <x:c r="H6945" s="6" t="n">
        <x:v>1</x:v>
      </x:c>
      <x:c r="I6945" s="6" t="n">
        <x:f>G6945-H6945</x:f>
        <x:v>1</x:v>
      </x:c>
      <x:c r="J6945" s="6" t="n">
        <x:f>IF(OR(E6945="CANCELED",E6945="SUSPECTED_FRAUD",F6945="Shipping canceled"),0,1)</x:f>
        <x:v>1</x:v>
      </x:c>
      <x:c r="K6945" s="6" t="n">
        <x:f>IF(G6945&gt;H6945,1,0)</x:f>
        <x:v>1</x:v>
      </x:c>
      <x:c r="L6945" s="6" t="n">
        <x:f>J6945*K6945</x:f>
        <x:v>1</x:v>
      </x:c>
    </x:row>
    <x:row r="6946">
      <x:c r="A6946" s="1" t="n">
        <x:v>54677</x:v>
      </x:c>
      <x:c r="B6946" s="5" t="d">
        <x:v>2017-03-09T00:00:00.000Z</x:v>
      </x:c>
      <x:c r="C6946" s="1" t="str">
        <x:v>Second Class</x:v>
      </x:c>
      <x:c r="D6946" s="1" t="str">
        <x:v>LATAM</x:v>
      </x:c>
      <x:c r="E6946" s="1" t="str">
        <x:v>CLOSED</x:v>
      </x:c>
      <x:c r="F6946" s="1" t="str">
        <x:v>Late delivery</x:v>
      </x:c>
      <x:c r="G6946" s="6" t="n">
        <x:v>3</x:v>
      </x:c>
      <x:c r="H6946" s="6" t="n">
        <x:v>2</x:v>
      </x:c>
      <x:c r="I6946" s="6" t="n">
        <x:f>G6946-H6946</x:f>
        <x:v>1</x:v>
      </x:c>
      <x:c r="J6946" s="6" t="n">
        <x:f>IF(OR(E6946="CANCELED",E6946="SUSPECTED_FRAUD",F6946="Shipping canceled"),0,1)</x:f>
        <x:v>1</x:v>
      </x:c>
      <x:c r="K6946" s="6" t="n">
        <x:f>IF(G6946&gt;H6946,1,0)</x:f>
        <x:v>1</x:v>
      </x:c>
      <x:c r="L6946" s="6" t="n">
        <x:f>J6946*K6946</x:f>
        <x:v>1</x:v>
      </x:c>
    </x:row>
    <x:row r="6947">
      <x:c r="A6947" s="1" t="n">
        <x:v>54690</x:v>
      </x:c>
      <x:c r="B6947" s="5" t="d">
        <x:v>2017-03-09T00:00:00.000Z</x:v>
      </x:c>
      <x:c r="C6947" s="1" t="str">
        <x:v>Standard Class</x:v>
      </x:c>
      <x:c r="D6947" s="1" t="str">
        <x:v>LATAM</x:v>
      </x:c>
      <x:c r="E6947" s="1" t="str">
        <x:v>ON_HOLD</x:v>
      </x:c>
      <x:c r="F6947" s="1" t="str">
        <x:v>Late delivery</x:v>
      </x:c>
      <x:c r="G6947" s="6" t="n">
        <x:v>6</x:v>
      </x:c>
      <x:c r="H6947" s="6" t="n">
        <x:v>4</x:v>
      </x:c>
      <x:c r="I6947" s="6" t="n">
        <x:f>G6947-H6947</x:f>
        <x:v>2</x:v>
      </x:c>
      <x:c r="J6947" s="6" t="n">
        <x:f>IF(OR(E6947="CANCELED",E6947="SUSPECTED_FRAUD",F6947="Shipping canceled"),0,1)</x:f>
        <x:v>1</x:v>
      </x:c>
      <x:c r="K6947" s="6" t="n">
        <x:f>IF(G6947&gt;H6947,1,0)</x:f>
        <x:v>1</x:v>
      </x:c>
      <x:c r="L6947" s="6" t="n">
        <x:f>J6947*K6947</x:f>
        <x:v>1</x:v>
      </x:c>
    </x:row>
    <x:row r="6948">
      <x:c r="A6948" s="1" t="n">
        <x:v>54702</x:v>
      </x:c>
      <x:c r="B6948" s="5" t="d">
        <x:v>2017-03-09T00:00:00.000Z</x:v>
      </x:c>
      <x:c r="C6948" s="1" t="str">
        <x:v>Standard Class</x:v>
      </x:c>
      <x:c r="D6948" s="1" t="str">
        <x:v>LATAM</x:v>
      </x:c>
      <x:c r="E6948" s="1" t="str">
        <x:v>ON_HOLD</x:v>
      </x:c>
      <x:c r="F6948" s="1" t="str">
        <x:v>Advance shipping</x:v>
      </x:c>
      <x:c r="G6948" s="6" t="n">
        <x:v>3</x:v>
      </x:c>
      <x:c r="H6948" s="6" t="n">
        <x:v>4</x:v>
      </x:c>
      <x:c r="I6948" s="6" t="n">
        <x:f>G6948-H6948</x:f>
        <x:v>-1</x:v>
      </x:c>
      <x:c r="J6948" s="6" t="n">
        <x:f>IF(OR(E6948="CANCELED",E6948="SUSPECTED_FRAUD",F6948="Shipping canceled"),0,1)</x:f>
        <x:v>1</x:v>
      </x:c>
      <x:c r="K6948" s="6" t="n">
        <x:f>IF(G6948&gt;H6948,1,0)</x:f>
        <x:v>0</x:v>
      </x:c>
      <x:c r="L6948" s="6" t="n">
        <x:f>J6948*K6948</x:f>
        <x:v>0</x:v>
      </x:c>
    </x:row>
    <x:row r="6949">
      <x:c r="A6949" s="1" t="n">
        <x:v>54709</x:v>
      </x:c>
      <x:c r="B6949" s="5" t="d">
        <x:v>2017-03-09T00:00:00.000Z</x:v>
      </x:c>
      <x:c r="C6949" s="1" t="str">
        <x:v>Second Class</x:v>
      </x:c>
      <x:c r="D6949" s="1" t="str">
        <x:v>LATAM</x:v>
      </x:c>
      <x:c r="E6949" s="1" t="str">
        <x:v>COMPLETE</x:v>
      </x:c>
      <x:c r="F6949" s="1" t="str">
        <x:v>Late delivery</x:v>
      </x:c>
      <x:c r="G6949" s="6" t="n">
        <x:v>5</x:v>
      </x:c>
      <x:c r="H6949" s="6" t="n">
        <x:v>2</x:v>
      </x:c>
      <x:c r="I6949" s="6" t="n">
        <x:f>G6949-H6949</x:f>
        <x:v>3</x:v>
      </x:c>
      <x:c r="J6949" s="6" t="n">
        <x:f>IF(OR(E6949="CANCELED",E6949="SUSPECTED_FRAUD",F6949="Shipping canceled"),0,1)</x:f>
        <x:v>1</x:v>
      </x:c>
      <x:c r="K6949" s="6" t="n">
        <x:f>IF(G6949&gt;H6949,1,0)</x:f>
        <x:v>1</x:v>
      </x:c>
      <x:c r="L6949" s="6" t="n">
        <x:f>J6949*K6949</x:f>
        <x:v>1</x:v>
      </x:c>
    </x:row>
    <x:row r="6950">
      <x:c r="A6950" s="1" t="n">
        <x:v>54715</x:v>
      </x:c>
      <x:c r="B6950" s="5" t="d">
        <x:v>2017-03-09T00:00:00.000Z</x:v>
      </x:c>
      <x:c r="C6950" s="1" t="str">
        <x:v>Standard Class</x:v>
      </x:c>
      <x:c r="D6950" s="1" t="str">
        <x:v>LATAM</x:v>
      </x:c>
      <x:c r="E6950" s="1" t="str">
        <x:v>ON_HOLD</x:v>
      </x:c>
      <x:c r="F6950" s="1" t="str">
        <x:v>Late delivery</x:v>
      </x:c>
      <x:c r="G6950" s="6" t="n">
        <x:v>6</x:v>
      </x:c>
      <x:c r="H6950" s="6" t="n">
        <x:v>4</x:v>
      </x:c>
      <x:c r="I6950" s="6" t="n">
        <x:f>G6950-H6950</x:f>
        <x:v>2</x:v>
      </x:c>
      <x:c r="J6950" s="6" t="n">
        <x:f>IF(OR(E6950="CANCELED",E6950="SUSPECTED_FRAUD",F6950="Shipping canceled"),0,1)</x:f>
        <x:v>1</x:v>
      </x:c>
      <x:c r="K6950" s="6" t="n">
        <x:f>IF(G6950&gt;H6950,1,0)</x:f>
        <x:v>1</x:v>
      </x:c>
      <x:c r="L6950" s="6" t="n">
        <x:f>J6950*K6950</x:f>
        <x:v>1</x:v>
      </x:c>
    </x:row>
    <x:row r="6951">
      <x:c r="A6951" s="1" t="n">
        <x:v>54720</x:v>
      </x:c>
      <x:c r="B6951" s="5" t="d">
        <x:v>2017-03-09T00:00:00.000Z</x:v>
      </x:c>
      <x:c r="C6951" s="1" t="str">
        <x:v>Same Day</x:v>
      </x:c>
      <x:c r="D6951" s="1" t="str">
        <x:v>LATAM</x:v>
      </x:c>
      <x:c r="E6951" s="1" t="str">
        <x:v>CLOSED</x:v>
      </x:c>
      <x:c r="F6951" s="1" t="str">
        <x:v>Late delivery</x:v>
      </x:c>
      <x:c r="G6951" s="6" t="n">
        <x:v>1</x:v>
      </x:c>
      <x:c r="H6951" s="6" t="n">
        <x:v>0</x:v>
      </x:c>
      <x:c r="I6951" s="6" t="n">
        <x:f>G6951-H6951</x:f>
        <x:v>1</x:v>
      </x:c>
      <x:c r="J6951" s="6" t="n">
        <x:f>IF(OR(E6951="CANCELED",E6951="SUSPECTED_FRAUD",F6951="Shipping canceled"),0,1)</x:f>
        <x:v>1</x:v>
      </x:c>
      <x:c r="K6951" s="6" t="n">
        <x:f>IF(G6951&gt;H6951,1,0)</x:f>
        <x:v>1</x:v>
      </x:c>
      <x:c r="L6951" s="6" t="n">
        <x:f>J6951*K6951</x:f>
        <x:v>1</x:v>
      </x:c>
    </x:row>
    <x:row r="6952">
      <x:c r="A6952" s="1" t="n">
        <x:v>54732</x:v>
      </x:c>
      <x:c r="B6952" s="5" t="d">
        <x:v>2017-03-09T00:00:00.000Z</x:v>
      </x:c>
      <x:c r="C6952" s="1" t="str">
        <x:v>Standard Class</x:v>
      </x:c>
      <x:c r="D6952" s="1" t="str">
        <x:v>LATAM</x:v>
      </x:c>
      <x:c r="E6952" s="1" t="str">
        <x:v>PENDING</x:v>
      </x:c>
      <x:c r="F6952" s="1" t="str">
        <x:v>Advance shipping</x:v>
      </x:c>
      <x:c r="G6952" s="6" t="n">
        <x:v>3</x:v>
      </x:c>
      <x:c r="H6952" s="6" t="n">
        <x:v>4</x:v>
      </x:c>
      <x:c r="I6952" s="6" t="n">
        <x:f>G6952-H6952</x:f>
        <x:v>-1</x:v>
      </x:c>
      <x:c r="J6952" s="6" t="n">
        <x:f>IF(OR(E6952="CANCELED",E6952="SUSPECTED_FRAUD",F6952="Shipping canceled"),0,1)</x:f>
        <x:v>1</x:v>
      </x:c>
      <x:c r="K6952" s="6" t="n">
        <x:f>IF(G6952&gt;H6952,1,0)</x:f>
        <x:v>0</x:v>
      </x:c>
      <x:c r="L6952" s="6" t="n">
        <x:f>J6952*K6952</x:f>
        <x:v>0</x:v>
      </x:c>
    </x:row>
    <x:row r="6953">
      <x:c r="A6953" s="1" t="n">
        <x:v>54733</x:v>
      </x:c>
      <x:c r="B6953" s="5" t="d">
        <x:v>2017-03-09T00:00:00.000Z</x:v>
      </x:c>
      <x:c r="C6953" s="1" t="str">
        <x:v>Standard Class</x:v>
      </x:c>
      <x:c r="D6953" s="1" t="str">
        <x:v>LATAM</x:v>
      </x:c>
      <x:c r="E6953" s="1" t="str">
        <x:v>PENDING</x:v>
      </x:c>
      <x:c r="F6953" s="1" t="str">
        <x:v>Shipping on time</x:v>
      </x:c>
      <x:c r="G6953" s="6" t="n">
        <x:v>4</x:v>
      </x:c>
      <x:c r="H6953" s="6" t="n">
        <x:v>4</x:v>
      </x:c>
      <x:c r="I6953" s="6" t="n">
        <x:f>G6953-H6953</x:f>
        <x:v>0</x:v>
      </x:c>
      <x:c r="J6953" s="6" t="n">
        <x:f>IF(OR(E6953="CANCELED",E6953="SUSPECTED_FRAUD",F6953="Shipping canceled"),0,1)</x:f>
        <x:v>1</x:v>
      </x:c>
      <x:c r="K6953" s="6" t="n">
        <x:f>IF(G6953&gt;H6953,1,0)</x:f>
        <x:v>0</x:v>
      </x:c>
      <x:c r="L6953" s="6" t="n">
        <x:f>J6953*K6953</x:f>
        <x:v>0</x:v>
      </x:c>
    </x:row>
    <x:row r="6954">
      <x:c r="A6954" s="1" t="n">
        <x:v>54738</x:v>
      </x:c>
      <x:c r="B6954" s="5" t="d">
        <x:v>2017-03-10T00:00:00.000Z</x:v>
      </x:c>
      <x:c r="C6954" s="1" t="str">
        <x:v>Same Day</x:v>
      </x:c>
      <x:c r="D6954" s="1" t="str">
        <x:v>LATAM</x:v>
      </x:c>
      <x:c r="E6954" s="1" t="str">
        <x:v>PENDING</x:v>
      </x:c>
      <x:c r="F6954" s="1" t="str">
        <x:v>Shipping on time</x:v>
      </x:c>
      <x:c r="G6954" s="6" t="n">
        <x:v>0</x:v>
      </x:c>
      <x:c r="H6954" s="6" t="n">
        <x:v>0</x:v>
      </x:c>
      <x:c r="I6954" s="6" t="n">
        <x:f>G6954-H6954</x:f>
        <x:v>0</x:v>
      </x:c>
      <x:c r="J6954" s="6" t="n">
        <x:f>IF(OR(E6954="CANCELED",E6954="SUSPECTED_FRAUD",F6954="Shipping canceled"),0,1)</x:f>
        <x:v>1</x:v>
      </x:c>
      <x:c r="K6954" s="6" t="n">
        <x:f>IF(G6954&gt;H6954,1,0)</x:f>
        <x:v>0</x:v>
      </x:c>
      <x:c r="L6954" s="6" t="n">
        <x:f>J6954*K6954</x:f>
        <x:v>0</x:v>
      </x:c>
    </x:row>
    <x:row r="6955">
      <x:c r="A6955" s="1" t="n">
        <x:v>54751</x:v>
      </x:c>
      <x:c r="B6955" s="5" t="d">
        <x:v>2017-03-10T00:00:00.000Z</x:v>
      </x:c>
      <x:c r="C6955" s="1" t="str">
        <x:v>Standard Class</x:v>
      </x:c>
      <x:c r="D6955" s="1" t="str">
        <x:v>LATAM</x:v>
      </x:c>
      <x:c r="E6955" s="1" t="str">
        <x:v>PENDING_PAYMENT</x:v>
      </x:c>
      <x:c r="F6955" s="1" t="str">
        <x:v>Advance shipping</x:v>
      </x:c>
      <x:c r="G6955" s="6" t="n">
        <x:v>2</x:v>
      </x:c>
      <x:c r="H6955" s="6" t="n">
        <x:v>4</x:v>
      </x:c>
      <x:c r="I6955" s="6" t="n">
        <x:f>G6955-H6955</x:f>
        <x:v>-2</x:v>
      </x:c>
      <x:c r="J6955" s="6" t="n">
        <x:f>IF(OR(E6955="CANCELED",E6955="SUSPECTED_FRAUD",F6955="Shipping canceled"),0,1)</x:f>
        <x:v>1</x:v>
      </x:c>
      <x:c r="K6955" s="6" t="n">
        <x:f>IF(G6955&gt;H6955,1,0)</x:f>
        <x:v>0</x:v>
      </x:c>
      <x:c r="L6955" s="6" t="n">
        <x:f>J6955*K6955</x:f>
        <x:v>0</x:v>
      </x:c>
    </x:row>
    <x:row r="6956">
      <x:c r="A6956" s="1" t="n">
        <x:v>54756</x:v>
      </x:c>
      <x:c r="B6956" s="5" t="d">
        <x:v>2017-03-10T00:00:00.000Z</x:v>
      </x:c>
      <x:c r="C6956" s="1" t="str">
        <x:v>Standard Class</x:v>
      </x:c>
      <x:c r="D6956" s="1" t="str">
        <x:v>LATAM</x:v>
      </x:c>
      <x:c r="E6956" s="1" t="str">
        <x:v>COMPLETE</x:v>
      </x:c>
      <x:c r="F6956" s="1" t="str">
        <x:v>Advance shipping</x:v>
      </x:c>
      <x:c r="G6956" s="6" t="n">
        <x:v>2</x:v>
      </x:c>
      <x:c r="H6956" s="6" t="n">
        <x:v>4</x:v>
      </x:c>
      <x:c r="I6956" s="6" t="n">
        <x:f>G6956-H6956</x:f>
        <x:v>-2</x:v>
      </x:c>
      <x:c r="J6956" s="6" t="n">
        <x:f>IF(OR(E6956="CANCELED",E6956="SUSPECTED_FRAUD",F6956="Shipping canceled"),0,1)</x:f>
        <x:v>1</x:v>
      </x:c>
      <x:c r="K6956" s="6" t="n">
        <x:f>IF(G6956&gt;H6956,1,0)</x:f>
        <x:v>0</x:v>
      </x:c>
      <x:c r="L6956" s="6" t="n">
        <x:f>J6956*K6956</x:f>
        <x:v>0</x:v>
      </x:c>
    </x:row>
    <x:row r="6957">
      <x:c r="A6957" s="1" t="n">
        <x:v>54820</x:v>
      </x:c>
      <x:c r="B6957" s="5" t="d">
        <x:v>2017-03-11T00:00:00.000Z</x:v>
      </x:c>
      <x:c r="C6957" s="1" t="str">
        <x:v>Standard Class</x:v>
      </x:c>
      <x:c r="D6957" s="1" t="str">
        <x:v>LATAM</x:v>
      </x:c>
      <x:c r="E6957" s="1" t="str">
        <x:v>CLOSED</x:v>
      </x:c>
      <x:c r="F6957" s="1" t="str">
        <x:v>Late delivery</x:v>
      </x:c>
      <x:c r="G6957" s="6" t="n">
        <x:v>6</x:v>
      </x:c>
      <x:c r="H6957" s="6" t="n">
        <x:v>4</x:v>
      </x:c>
      <x:c r="I6957" s="6" t="n">
        <x:f>G6957-H6957</x:f>
        <x:v>2</x:v>
      </x:c>
      <x:c r="J6957" s="6" t="n">
        <x:f>IF(OR(E6957="CANCELED",E6957="SUSPECTED_FRAUD",F6957="Shipping canceled"),0,1)</x:f>
        <x:v>1</x:v>
      </x:c>
      <x:c r="K6957" s="6" t="n">
        <x:f>IF(G6957&gt;H6957,1,0)</x:f>
        <x:v>1</x:v>
      </x:c>
      <x:c r="L6957" s="6" t="n">
        <x:f>J6957*K6957</x:f>
        <x:v>1</x:v>
      </x:c>
    </x:row>
    <x:row r="6958">
      <x:c r="A6958" s="1" t="n">
        <x:v>54823</x:v>
      </x:c>
      <x:c r="B6958" s="5" t="d">
        <x:v>2017-03-11T00:00:00.000Z</x:v>
      </x:c>
      <x:c r="C6958" s="1" t="str">
        <x:v>Standard Class</x:v>
      </x:c>
      <x:c r="D6958" s="1" t="str">
        <x:v>LATAM</x:v>
      </x:c>
      <x:c r="E6958" s="1" t="str">
        <x:v>PENDING</x:v>
      </x:c>
      <x:c r="F6958" s="1" t="str">
        <x:v>Shipping on time</x:v>
      </x:c>
      <x:c r="G6958" s="6" t="n">
        <x:v>4</x:v>
      </x:c>
      <x:c r="H6958" s="6" t="n">
        <x:v>4</x:v>
      </x:c>
      <x:c r="I6958" s="6" t="n">
        <x:f>G6958-H6958</x:f>
        <x:v>0</x:v>
      </x:c>
      <x:c r="J6958" s="6" t="n">
        <x:f>IF(OR(E6958="CANCELED",E6958="SUSPECTED_FRAUD",F6958="Shipping canceled"),0,1)</x:f>
        <x:v>1</x:v>
      </x:c>
      <x:c r="K6958" s="6" t="n">
        <x:f>IF(G6958&gt;H6958,1,0)</x:f>
        <x:v>0</x:v>
      </x:c>
      <x:c r="L6958" s="6" t="n">
        <x:f>J6958*K6958</x:f>
        <x:v>0</x:v>
      </x:c>
    </x:row>
    <x:row r="6959">
      <x:c r="A6959" s="1" t="n">
        <x:v>54825</x:v>
      </x:c>
      <x:c r="B6959" s="5" t="d">
        <x:v>2017-03-11T00:00:00.000Z</x:v>
      </x:c>
      <x:c r="C6959" s="1" t="str">
        <x:v>Standard Class</x:v>
      </x:c>
      <x:c r="D6959" s="1" t="str">
        <x:v>LATAM</x:v>
      </x:c>
      <x:c r="E6959" s="1" t="str">
        <x:v>COMPLETE</x:v>
      </x:c>
      <x:c r="F6959" s="1" t="str">
        <x:v>Late delivery</x:v>
      </x:c>
      <x:c r="G6959" s="6" t="n">
        <x:v>6</x:v>
      </x:c>
      <x:c r="H6959" s="6" t="n">
        <x:v>4</x:v>
      </x:c>
      <x:c r="I6959" s="6" t="n">
        <x:f>G6959-H6959</x:f>
        <x:v>2</x:v>
      </x:c>
      <x:c r="J6959" s="6" t="n">
        <x:f>IF(OR(E6959="CANCELED",E6959="SUSPECTED_FRAUD",F6959="Shipping canceled"),0,1)</x:f>
        <x:v>1</x:v>
      </x:c>
      <x:c r="K6959" s="6" t="n">
        <x:f>IF(G6959&gt;H6959,1,0)</x:f>
        <x:v>1</x:v>
      </x:c>
      <x:c r="L6959" s="6" t="n">
        <x:f>J6959*K6959</x:f>
        <x:v>1</x:v>
      </x:c>
    </x:row>
    <x:row r="6960">
      <x:c r="A6960" s="1" t="n">
        <x:v>54838</x:v>
      </x:c>
      <x:c r="B6960" s="5" t="d">
        <x:v>2017-03-11T00:00:00.000Z</x:v>
      </x:c>
      <x:c r="C6960" s="1" t="str">
        <x:v>Standard Class</x:v>
      </x:c>
      <x:c r="D6960" s="1" t="str">
        <x:v>LATAM</x:v>
      </x:c>
      <x:c r="E6960" s="1" t="str">
        <x:v>PROCESSING</x:v>
      </x:c>
      <x:c r="F6960" s="1" t="str">
        <x:v>Shipping on time</x:v>
      </x:c>
      <x:c r="G6960" s="6" t="n">
        <x:v>4</x:v>
      </x:c>
      <x:c r="H6960" s="6" t="n">
        <x:v>4</x:v>
      </x:c>
      <x:c r="I6960" s="6" t="n">
        <x:f>G6960-H6960</x:f>
        <x:v>0</x:v>
      </x:c>
      <x:c r="J6960" s="6" t="n">
        <x:f>IF(OR(E6960="CANCELED",E6960="SUSPECTED_FRAUD",F6960="Shipping canceled"),0,1)</x:f>
        <x:v>1</x:v>
      </x:c>
      <x:c r="K6960" s="6" t="n">
        <x:f>IF(G6960&gt;H6960,1,0)</x:f>
        <x:v>0</x:v>
      </x:c>
      <x:c r="L6960" s="6" t="n">
        <x:f>J6960*K6960</x:f>
        <x:v>0</x:v>
      </x:c>
    </x:row>
    <x:row r="6961">
      <x:c r="A6961" s="1" t="n">
        <x:v>54845</x:v>
      </x:c>
      <x:c r="B6961" s="5" t="d">
        <x:v>2017-03-11T00:00:00.000Z</x:v>
      </x:c>
      <x:c r="C6961" s="1" t="str">
        <x:v>Second Class</x:v>
      </x:c>
      <x:c r="D6961" s="1" t="str">
        <x:v>LATAM</x:v>
      </x:c>
      <x:c r="E6961" s="1" t="str">
        <x:v>COMPLETE</x:v>
      </x:c>
      <x:c r="F6961" s="1" t="str">
        <x:v>Late delivery</x:v>
      </x:c>
      <x:c r="G6961" s="6" t="n">
        <x:v>6</x:v>
      </x:c>
      <x:c r="H6961" s="6" t="n">
        <x:v>2</x:v>
      </x:c>
      <x:c r="I6961" s="6" t="n">
        <x:f>G6961-H6961</x:f>
        <x:v>4</x:v>
      </x:c>
      <x:c r="J6961" s="6" t="n">
        <x:f>IF(OR(E6961="CANCELED",E6961="SUSPECTED_FRAUD",F6961="Shipping canceled"),0,1)</x:f>
        <x:v>1</x:v>
      </x:c>
      <x:c r="K6961" s="6" t="n">
        <x:f>IF(G6961&gt;H6961,1,0)</x:f>
        <x:v>1</x:v>
      </x:c>
      <x:c r="L6961" s="6" t="n">
        <x:f>J6961*K6961</x:f>
        <x:v>1</x:v>
      </x:c>
    </x:row>
    <x:row r="6962">
      <x:c r="A6962" s="1" t="n">
        <x:v>54862</x:v>
      </x:c>
      <x:c r="B6962" s="5" t="d">
        <x:v>2017-03-11T00:00:00.000Z</x:v>
      </x:c>
      <x:c r="C6962" s="1" t="str">
        <x:v>Standard Class</x:v>
      </x:c>
      <x:c r="D6962" s="1" t="str">
        <x:v>LATAM</x:v>
      </x:c>
      <x:c r="E6962" s="1" t="str">
        <x:v>COMPLETE</x:v>
      </x:c>
      <x:c r="F6962" s="1" t="str">
        <x:v>Advance shipping</x:v>
      </x:c>
      <x:c r="G6962" s="6" t="n">
        <x:v>3</x:v>
      </x:c>
      <x:c r="H6962" s="6" t="n">
        <x:v>4</x:v>
      </x:c>
      <x:c r="I6962" s="6" t="n">
        <x:f>G6962-H6962</x:f>
        <x:v>-1</x:v>
      </x:c>
      <x:c r="J6962" s="6" t="n">
        <x:f>IF(OR(E6962="CANCELED",E6962="SUSPECTED_FRAUD",F6962="Shipping canceled"),0,1)</x:f>
        <x:v>1</x:v>
      </x:c>
      <x:c r="K6962" s="6" t="n">
        <x:f>IF(G6962&gt;H6962,1,0)</x:f>
        <x:v>0</x:v>
      </x:c>
      <x:c r="L6962" s="6" t="n">
        <x:f>J6962*K6962</x:f>
        <x:v>0</x:v>
      </x:c>
    </x:row>
    <x:row r="6963">
      <x:c r="A6963" s="1" t="n">
        <x:v>54871</x:v>
      </x:c>
      <x:c r="B6963" s="5" t="d">
        <x:v>2017-03-11T00:00:00.000Z</x:v>
      </x:c>
      <x:c r="C6963" s="1" t="str">
        <x:v>Second Class</x:v>
      </x:c>
      <x:c r="D6963" s="1" t="str">
        <x:v>LATAM</x:v>
      </x:c>
      <x:c r="E6963" s="1" t="str">
        <x:v>PENDING</x:v>
      </x:c>
      <x:c r="F6963" s="1" t="str">
        <x:v>Shipping on time</x:v>
      </x:c>
      <x:c r="G6963" s="6" t="n">
        <x:v>2</x:v>
      </x:c>
      <x:c r="H6963" s="6" t="n">
        <x:v>2</x:v>
      </x:c>
      <x:c r="I6963" s="6" t="n">
        <x:f>G6963-H6963</x:f>
        <x:v>0</x:v>
      </x:c>
      <x:c r="J6963" s="6" t="n">
        <x:f>IF(OR(E6963="CANCELED",E6963="SUSPECTED_FRAUD",F6963="Shipping canceled"),0,1)</x:f>
        <x:v>1</x:v>
      </x:c>
      <x:c r="K6963" s="6" t="n">
        <x:f>IF(G6963&gt;H6963,1,0)</x:f>
        <x:v>0</x:v>
      </x:c>
      <x:c r="L6963" s="6" t="n">
        <x:f>J6963*K6963</x:f>
        <x:v>0</x:v>
      </x:c>
    </x:row>
    <x:row r="6964">
      <x:c r="A6964" s="1" t="n">
        <x:v>54872</x:v>
      </x:c>
      <x:c r="B6964" s="5" t="d">
        <x:v>2017-03-11T00:00:00.000Z</x:v>
      </x:c>
      <x:c r="C6964" s="1" t="str">
        <x:v>Standard Class</x:v>
      </x:c>
      <x:c r="D6964" s="1" t="str">
        <x:v>LATAM</x:v>
      </x:c>
      <x:c r="E6964" s="1" t="str">
        <x:v>COMPLETE</x:v>
      </x:c>
      <x:c r="F6964" s="1" t="str">
        <x:v>Advance shipping</x:v>
      </x:c>
      <x:c r="G6964" s="6" t="n">
        <x:v>3</x:v>
      </x:c>
      <x:c r="H6964" s="6" t="n">
        <x:v>4</x:v>
      </x:c>
      <x:c r="I6964" s="6" t="n">
        <x:f>G6964-H6964</x:f>
        <x:v>-1</x:v>
      </x:c>
      <x:c r="J6964" s="6" t="n">
        <x:f>IF(OR(E6964="CANCELED",E6964="SUSPECTED_FRAUD",F6964="Shipping canceled"),0,1)</x:f>
        <x:v>1</x:v>
      </x:c>
      <x:c r="K6964" s="6" t="n">
        <x:f>IF(G6964&gt;H6964,1,0)</x:f>
        <x:v>0</x:v>
      </x:c>
      <x:c r="L6964" s="6" t="n">
        <x:f>J6964*K6964</x:f>
        <x:v>0</x:v>
      </x:c>
    </x:row>
    <x:row r="6965">
      <x:c r="A6965" s="1" t="n">
        <x:v>54876</x:v>
      </x:c>
      <x:c r="B6965" s="5" t="d">
        <x:v>2017-03-12T00:00:00.000Z</x:v>
      </x:c>
      <x:c r="C6965" s="1" t="str">
        <x:v>First Class</x:v>
      </x:c>
      <x:c r="D6965" s="1" t="str">
        <x:v>LATAM</x:v>
      </x:c>
      <x:c r="E6965" s="1" t="str">
        <x:v>PENDING</x:v>
      </x:c>
      <x:c r="F6965" s="1" t="str">
        <x:v>Late delivery</x:v>
      </x:c>
      <x:c r="G6965" s="6" t="n">
        <x:v>2</x:v>
      </x:c>
      <x:c r="H6965" s="6" t="n">
        <x:v>1</x:v>
      </x:c>
      <x:c r="I6965" s="6" t="n">
        <x:f>G6965-H6965</x:f>
        <x:v>1</x:v>
      </x:c>
      <x:c r="J6965" s="6" t="n">
        <x:f>IF(OR(E6965="CANCELED",E6965="SUSPECTED_FRAUD",F6965="Shipping canceled"),0,1)</x:f>
        <x:v>1</x:v>
      </x:c>
      <x:c r="K6965" s="6" t="n">
        <x:f>IF(G6965&gt;H6965,1,0)</x:f>
        <x:v>1</x:v>
      </x:c>
      <x:c r="L6965" s="6" t="n">
        <x:f>J6965*K6965</x:f>
        <x:v>1</x:v>
      </x:c>
    </x:row>
    <x:row r="6966">
      <x:c r="A6966" s="1" t="n">
        <x:v>54907</x:v>
      </x:c>
      <x:c r="B6966" s="5" t="d">
        <x:v>2017-03-12T00:00:00.000Z</x:v>
      </x:c>
      <x:c r="C6966" s="1" t="str">
        <x:v>First Class</x:v>
      </x:c>
      <x:c r="D6966" s="1" t="str">
        <x:v>LATAM</x:v>
      </x:c>
      <x:c r="E6966" s="1" t="str">
        <x:v>COMPLETE</x:v>
      </x:c>
      <x:c r="F6966" s="1" t="str">
        <x:v>Late delivery</x:v>
      </x:c>
      <x:c r="G6966" s="6" t="n">
        <x:v>2</x:v>
      </x:c>
      <x:c r="H6966" s="6" t="n">
        <x:v>1</x:v>
      </x:c>
      <x:c r="I6966" s="6" t="n">
        <x:f>G6966-H6966</x:f>
        <x:v>1</x:v>
      </x:c>
      <x:c r="J6966" s="6" t="n">
        <x:f>IF(OR(E6966="CANCELED",E6966="SUSPECTED_FRAUD",F6966="Shipping canceled"),0,1)</x:f>
        <x:v>1</x:v>
      </x:c>
      <x:c r="K6966" s="6" t="n">
        <x:f>IF(G6966&gt;H6966,1,0)</x:f>
        <x:v>1</x:v>
      </x:c>
      <x:c r="L6966" s="6" t="n">
        <x:f>J6966*K6966</x:f>
        <x:v>1</x:v>
      </x:c>
    </x:row>
    <x:row r="6967">
      <x:c r="A6967" s="1" t="n">
        <x:v>54923</x:v>
      </x:c>
      <x:c r="B6967" s="5" t="d">
        <x:v>2017-03-12T00:00:00.000Z</x:v>
      </x:c>
      <x:c r="C6967" s="1" t="str">
        <x:v>Standard Class</x:v>
      </x:c>
      <x:c r="D6967" s="1" t="str">
        <x:v>LATAM</x:v>
      </x:c>
      <x:c r="E6967" s="1" t="str">
        <x:v>PENDING</x:v>
      </x:c>
      <x:c r="F6967" s="1" t="str">
        <x:v>Shipping on time</x:v>
      </x:c>
      <x:c r="G6967" s="6" t="n">
        <x:v>4</x:v>
      </x:c>
      <x:c r="H6967" s="6" t="n">
        <x:v>4</x:v>
      </x:c>
      <x:c r="I6967" s="6" t="n">
        <x:f>G6967-H6967</x:f>
        <x:v>0</x:v>
      </x:c>
      <x:c r="J6967" s="6" t="n">
        <x:f>IF(OR(E6967="CANCELED",E6967="SUSPECTED_FRAUD",F6967="Shipping canceled"),0,1)</x:f>
        <x:v>1</x:v>
      </x:c>
      <x:c r="K6967" s="6" t="n">
        <x:f>IF(G6967&gt;H6967,1,0)</x:f>
        <x:v>0</x:v>
      </x:c>
      <x:c r="L6967" s="6" t="n">
        <x:f>J6967*K6967</x:f>
        <x:v>0</x:v>
      </x:c>
    </x:row>
    <x:row r="6968">
      <x:c r="A6968" s="1" t="n">
        <x:v>54930</x:v>
      </x:c>
      <x:c r="B6968" s="5" t="d">
        <x:v>2017-03-12T00:00:00.000Z</x:v>
      </x:c>
      <x:c r="C6968" s="1" t="str">
        <x:v>Standard Class</x:v>
      </x:c>
      <x:c r="D6968" s="1" t="str">
        <x:v>LATAM</x:v>
      </x:c>
      <x:c r="E6968" s="1" t="str">
        <x:v>SUSPECTED_FRAUD</x:v>
      </x:c>
      <x:c r="F6968" s="1" t="str">
        <x:v>Shipping canceled</x:v>
      </x:c>
      <x:c r="G6968" s="6" t="n">
        <x:v>6</x:v>
      </x:c>
      <x:c r="H6968" s="6" t="n">
        <x:v>4</x:v>
      </x:c>
      <x:c r="I6968" s="6" t="n">
        <x:f>G6968-H6968</x:f>
        <x:v>2</x:v>
      </x:c>
      <x:c r="J6968" s="6" t="n">
        <x:f>IF(OR(E6968="CANCELED",E6968="SUSPECTED_FRAUD",F6968="Shipping canceled"),0,1)</x:f>
        <x:v>0</x:v>
      </x:c>
      <x:c r="K6968" s="6" t="n">
        <x:f>IF(G6968&gt;H6968,1,0)</x:f>
        <x:v>1</x:v>
      </x:c>
      <x:c r="L6968" s="6" t="n">
        <x:f>J6968*K6968</x:f>
        <x:v>0</x:v>
      </x:c>
    </x:row>
    <x:row r="6969">
      <x:c r="A6969" s="1" t="n">
        <x:v>54948</x:v>
      </x:c>
      <x:c r="B6969" s="5" t="d">
        <x:v>2017-03-13T00:00:00.000Z</x:v>
      </x:c>
      <x:c r="C6969" s="1" t="str">
        <x:v>Standard Class</x:v>
      </x:c>
      <x:c r="D6969" s="1" t="str">
        <x:v>LATAM</x:v>
      </x:c>
      <x:c r="E6969" s="1" t="str">
        <x:v>PENDING_PAYMENT</x:v>
      </x:c>
      <x:c r="F6969" s="1" t="str">
        <x:v>Shipping on time</x:v>
      </x:c>
      <x:c r="G6969" s="6" t="n">
        <x:v>4</x:v>
      </x:c>
      <x:c r="H6969" s="6" t="n">
        <x:v>4</x:v>
      </x:c>
      <x:c r="I6969" s="6" t="n">
        <x:f>G6969-H6969</x:f>
        <x:v>0</x:v>
      </x:c>
      <x:c r="J6969" s="6" t="n">
        <x:f>IF(OR(E6969="CANCELED",E6969="SUSPECTED_FRAUD",F6969="Shipping canceled"),0,1)</x:f>
        <x:v>1</x:v>
      </x:c>
      <x:c r="K6969" s="6" t="n">
        <x:f>IF(G6969&gt;H6969,1,0)</x:f>
        <x:v>0</x:v>
      </x:c>
      <x:c r="L6969" s="6" t="n">
        <x:f>J6969*K6969</x:f>
        <x:v>0</x:v>
      </x:c>
    </x:row>
    <x:row r="6970">
      <x:c r="A6970" s="1" t="n">
        <x:v>54960</x:v>
      </x:c>
      <x:c r="B6970" s="5" t="d">
        <x:v>2017-03-13T00:00:00.000Z</x:v>
      </x:c>
      <x:c r="C6970" s="1" t="str">
        <x:v>First Class</x:v>
      </x:c>
      <x:c r="D6970" s="1" t="str">
        <x:v>LATAM</x:v>
      </x:c>
      <x:c r="E6970" s="1" t="str">
        <x:v>PENDING</x:v>
      </x:c>
      <x:c r="F6970" s="1" t="str">
        <x:v>Late delivery</x:v>
      </x:c>
      <x:c r="G6970" s="6" t="n">
        <x:v>2</x:v>
      </x:c>
      <x:c r="H6970" s="6" t="n">
        <x:v>1</x:v>
      </x:c>
      <x:c r="I6970" s="6" t="n">
        <x:f>G6970-H6970</x:f>
        <x:v>1</x:v>
      </x:c>
      <x:c r="J6970" s="6" t="n">
        <x:f>IF(OR(E6970="CANCELED",E6970="SUSPECTED_FRAUD",F6970="Shipping canceled"),0,1)</x:f>
        <x:v>1</x:v>
      </x:c>
      <x:c r="K6970" s="6" t="n">
        <x:f>IF(G6970&gt;H6970,1,0)</x:f>
        <x:v>1</x:v>
      </x:c>
      <x:c r="L6970" s="6" t="n">
        <x:f>J6970*K6970</x:f>
        <x:v>1</x:v>
      </x:c>
    </x:row>
    <x:row r="6971">
      <x:c r="A6971" s="1" t="n">
        <x:v>54966</x:v>
      </x:c>
      <x:c r="B6971" s="5" t="d">
        <x:v>2017-03-13T00:00:00.000Z</x:v>
      </x:c>
      <x:c r="C6971" s="1" t="str">
        <x:v>Standard Class</x:v>
      </x:c>
      <x:c r="D6971" s="1" t="str">
        <x:v>LATAM</x:v>
      </x:c>
      <x:c r="E6971" s="1" t="str">
        <x:v>PENDING_PAYMENT</x:v>
      </x:c>
      <x:c r="F6971" s="1" t="str">
        <x:v>Advance shipping</x:v>
      </x:c>
      <x:c r="G6971" s="6" t="n">
        <x:v>2</x:v>
      </x:c>
      <x:c r="H6971" s="6" t="n">
        <x:v>4</x:v>
      </x:c>
      <x:c r="I6971" s="6" t="n">
        <x:f>G6971-H6971</x:f>
        <x:v>-2</x:v>
      </x:c>
      <x:c r="J6971" s="6" t="n">
        <x:f>IF(OR(E6971="CANCELED",E6971="SUSPECTED_FRAUD",F6971="Shipping canceled"),0,1)</x:f>
        <x:v>1</x:v>
      </x:c>
      <x:c r="K6971" s="6" t="n">
        <x:f>IF(G6971&gt;H6971,1,0)</x:f>
        <x:v>0</x:v>
      </x:c>
      <x:c r="L6971" s="6" t="n">
        <x:f>J6971*K6971</x:f>
        <x:v>0</x:v>
      </x:c>
    </x:row>
    <x:row r="6972">
      <x:c r="A6972" s="1" t="n">
        <x:v>54970</x:v>
      </x:c>
      <x:c r="B6972" s="5" t="d">
        <x:v>2017-03-13T00:00:00.000Z</x:v>
      </x:c>
      <x:c r="C6972" s="1" t="str">
        <x:v>Standard Class</x:v>
      </x:c>
      <x:c r="D6972" s="1" t="str">
        <x:v>LATAM</x:v>
      </x:c>
      <x:c r="E6972" s="1" t="str">
        <x:v>COMPLETE</x:v>
      </x:c>
      <x:c r="F6972" s="1" t="str">
        <x:v>Late delivery</x:v>
      </x:c>
      <x:c r="G6972" s="6" t="n">
        <x:v>6</x:v>
      </x:c>
      <x:c r="H6972" s="6" t="n">
        <x:v>4</x:v>
      </x:c>
      <x:c r="I6972" s="6" t="n">
        <x:f>G6972-H6972</x:f>
        <x:v>2</x:v>
      </x:c>
      <x:c r="J6972" s="6" t="n">
        <x:f>IF(OR(E6972="CANCELED",E6972="SUSPECTED_FRAUD",F6972="Shipping canceled"),0,1)</x:f>
        <x:v>1</x:v>
      </x:c>
      <x:c r="K6972" s="6" t="n">
        <x:f>IF(G6972&gt;H6972,1,0)</x:f>
        <x:v>1</x:v>
      </x:c>
      <x:c r="L6972" s="6" t="n">
        <x:f>J6972*K6972</x:f>
        <x:v>1</x:v>
      </x:c>
    </x:row>
    <x:row r="6973">
      <x:c r="A6973" s="1" t="n">
        <x:v>54974</x:v>
      </x:c>
      <x:c r="B6973" s="5" t="d">
        <x:v>2017-03-13T00:00:00.000Z</x:v>
      </x:c>
      <x:c r="C6973" s="1" t="str">
        <x:v>Standard Class</x:v>
      </x:c>
      <x:c r="D6973" s="1" t="str">
        <x:v>LATAM</x:v>
      </x:c>
      <x:c r="E6973" s="1" t="str">
        <x:v>ON_HOLD</x:v>
      </x:c>
      <x:c r="F6973" s="1" t="str">
        <x:v>Late delivery</x:v>
      </x:c>
      <x:c r="G6973" s="6" t="n">
        <x:v>5</x:v>
      </x:c>
      <x:c r="H6973" s="6" t="n">
        <x:v>4</x:v>
      </x:c>
      <x:c r="I6973" s="6" t="n">
        <x:f>G6973-H6973</x:f>
        <x:v>1</x:v>
      </x:c>
      <x:c r="J6973" s="6" t="n">
        <x:f>IF(OR(E6973="CANCELED",E6973="SUSPECTED_FRAUD",F6973="Shipping canceled"),0,1)</x:f>
        <x:v>1</x:v>
      </x:c>
      <x:c r="K6973" s="6" t="n">
        <x:f>IF(G6973&gt;H6973,1,0)</x:f>
        <x:v>1</x:v>
      </x:c>
      <x:c r="L6973" s="6" t="n">
        <x:f>J6973*K6973</x:f>
        <x:v>1</x:v>
      </x:c>
    </x:row>
    <x:row r="6974">
      <x:c r="A6974" s="1" t="n">
        <x:v>54979</x:v>
      </x:c>
      <x:c r="B6974" s="5" t="d">
        <x:v>2017-03-13T00:00:00.000Z</x:v>
      </x:c>
      <x:c r="C6974" s="1" t="str">
        <x:v>Standard Class</x:v>
      </x:c>
      <x:c r="D6974" s="1" t="str">
        <x:v>LATAM</x:v>
      </x:c>
      <x:c r="E6974" s="1" t="str">
        <x:v>COMPLETE</x:v>
      </x:c>
      <x:c r="F6974" s="1" t="str">
        <x:v>Late delivery</x:v>
      </x:c>
      <x:c r="G6974" s="6" t="n">
        <x:v>5</x:v>
      </x:c>
      <x:c r="H6974" s="6" t="n">
        <x:v>4</x:v>
      </x:c>
      <x:c r="I6974" s="6" t="n">
        <x:f>G6974-H6974</x:f>
        <x:v>1</x:v>
      </x:c>
      <x:c r="J6974" s="6" t="n">
        <x:f>IF(OR(E6974="CANCELED",E6974="SUSPECTED_FRAUD",F6974="Shipping canceled"),0,1)</x:f>
        <x:v>1</x:v>
      </x:c>
      <x:c r="K6974" s="6" t="n">
        <x:f>IF(G6974&gt;H6974,1,0)</x:f>
        <x:v>1</x:v>
      </x:c>
      <x:c r="L6974" s="6" t="n">
        <x:f>J6974*K6974</x:f>
        <x:v>1</x:v>
      </x:c>
    </x:row>
    <x:row r="6975">
      <x:c r="A6975" s="1" t="n">
        <x:v>54989</x:v>
      </x:c>
      <x:c r="B6975" s="5" t="d">
        <x:v>2017-03-13T00:00:00.000Z</x:v>
      </x:c>
      <x:c r="C6975" s="1" t="str">
        <x:v>Standard Class</x:v>
      </x:c>
      <x:c r="D6975" s="1" t="str">
        <x:v>LATAM</x:v>
      </x:c>
      <x:c r="E6975" s="1" t="str">
        <x:v>PENDING</x:v>
      </x:c>
      <x:c r="F6975" s="1" t="str">
        <x:v>Late delivery</x:v>
      </x:c>
      <x:c r="G6975" s="6" t="n">
        <x:v>5</x:v>
      </x:c>
      <x:c r="H6975" s="6" t="n">
        <x:v>4</x:v>
      </x:c>
      <x:c r="I6975" s="6" t="n">
        <x:f>G6975-H6975</x:f>
        <x:v>1</x:v>
      </x:c>
      <x:c r="J6975" s="6" t="n">
        <x:f>IF(OR(E6975="CANCELED",E6975="SUSPECTED_FRAUD",F6975="Shipping canceled"),0,1)</x:f>
        <x:v>1</x:v>
      </x:c>
      <x:c r="K6975" s="6" t="n">
        <x:f>IF(G6975&gt;H6975,1,0)</x:f>
        <x:v>1</x:v>
      </x:c>
      <x:c r="L6975" s="6" t="n">
        <x:f>J6975*K6975</x:f>
        <x:v>1</x:v>
      </x:c>
    </x:row>
    <x:row r="6976">
      <x:c r="A6976" s="1" t="n">
        <x:v>55000</x:v>
      </x:c>
      <x:c r="B6976" s="5" t="d">
        <x:v>2017-03-13T00:00:00.000Z</x:v>
      </x:c>
      <x:c r="C6976" s="1" t="str">
        <x:v>Standard Class</x:v>
      </x:c>
      <x:c r="D6976" s="1" t="str">
        <x:v>LATAM</x:v>
      </x:c>
      <x:c r="E6976" s="1" t="str">
        <x:v>CANCELED</x:v>
      </x:c>
      <x:c r="F6976" s="1" t="str">
        <x:v>Shipping canceled</x:v>
      </x:c>
      <x:c r="G6976" s="6" t="n">
        <x:v>6</x:v>
      </x:c>
      <x:c r="H6976" s="6" t="n">
        <x:v>4</x:v>
      </x:c>
      <x:c r="I6976" s="6" t="n">
        <x:f>G6976-H6976</x:f>
        <x:v>2</x:v>
      </x:c>
      <x:c r="J6976" s="6" t="n">
        <x:f>IF(OR(E6976="CANCELED",E6976="SUSPECTED_FRAUD",F6976="Shipping canceled"),0,1)</x:f>
        <x:v>0</x:v>
      </x:c>
      <x:c r="K6976" s="6" t="n">
        <x:f>IF(G6976&gt;H6976,1,0)</x:f>
        <x:v>1</x:v>
      </x:c>
      <x:c r="L6976" s="6" t="n">
        <x:f>J6976*K6976</x:f>
        <x:v>0</x:v>
      </x:c>
    </x:row>
    <x:row r="6977">
      <x:c r="A6977" s="1" t="n">
        <x:v>55002</x:v>
      </x:c>
      <x:c r="B6977" s="5" t="d">
        <x:v>2017-03-13T00:00:00.000Z</x:v>
      </x:c>
      <x:c r="C6977" s="1" t="str">
        <x:v>Standard Class</x:v>
      </x:c>
      <x:c r="D6977" s="1" t="str">
        <x:v>LATAM</x:v>
      </x:c>
      <x:c r="E6977" s="1" t="str">
        <x:v>PROCESSING</x:v>
      </x:c>
      <x:c r="F6977" s="1" t="str">
        <x:v>Advance shipping</x:v>
      </x:c>
      <x:c r="G6977" s="6" t="n">
        <x:v>3</x:v>
      </x:c>
      <x:c r="H6977" s="6" t="n">
        <x:v>4</x:v>
      </x:c>
      <x:c r="I6977" s="6" t="n">
        <x:f>G6977-H6977</x:f>
        <x:v>-1</x:v>
      </x:c>
      <x:c r="J6977" s="6" t="n">
        <x:f>IF(OR(E6977="CANCELED",E6977="SUSPECTED_FRAUD",F6977="Shipping canceled"),0,1)</x:f>
        <x:v>1</x:v>
      </x:c>
      <x:c r="K6977" s="6" t="n">
        <x:f>IF(G6977&gt;H6977,1,0)</x:f>
        <x:v>0</x:v>
      </x:c>
      <x:c r="L6977" s="6" t="n">
        <x:f>J6977*K6977</x:f>
        <x:v>0</x:v>
      </x:c>
    </x:row>
    <x:row r="6978">
      <x:c r="A6978" s="1" t="n">
        <x:v>55007</x:v>
      </x:c>
      <x:c r="B6978" s="5" t="d">
        <x:v>2017-03-13T00:00:00.000Z</x:v>
      </x:c>
      <x:c r="C6978" s="1" t="str">
        <x:v>Standard Class</x:v>
      </x:c>
      <x:c r="D6978" s="1" t="str">
        <x:v>LATAM</x:v>
      </x:c>
      <x:c r="E6978" s="1" t="str">
        <x:v>ON_HOLD</x:v>
      </x:c>
      <x:c r="F6978" s="1" t="str">
        <x:v>Advance shipping</x:v>
      </x:c>
      <x:c r="G6978" s="6" t="n">
        <x:v>3</x:v>
      </x:c>
      <x:c r="H6978" s="6" t="n">
        <x:v>4</x:v>
      </x:c>
      <x:c r="I6978" s="6" t="n">
        <x:f>G6978-H6978</x:f>
        <x:v>-1</x:v>
      </x:c>
      <x:c r="J6978" s="6" t="n">
        <x:f>IF(OR(E6978="CANCELED",E6978="SUSPECTED_FRAUD",F6978="Shipping canceled"),0,1)</x:f>
        <x:v>1</x:v>
      </x:c>
      <x:c r="K6978" s="6" t="n">
        <x:f>IF(G6978&gt;H6978,1,0)</x:f>
        <x:v>0</x:v>
      </x:c>
      <x:c r="L6978" s="6" t="n">
        <x:f>J6978*K6978</x:f>
        <x:v>0</x:v>
      </x:c>
    </x:row>
    <x:row r="6979">
      <x:c r="A6979" s="1" t="n">
        <x:v>55034</x:v>
      </x:c>
      <x:c r="B6979" s="5" t="d">
        <x:v>2017-03-14T00:00:00.000Z</x:v>
      </x:c>
      <x:c r="C6979" s="1" t="str">
        <x:v>Standard Class</x:v>
      </x:c>
      <x:c r="D6979" s="1" t="str">
        <x:v>LATAM</x:v>
      </x:c>
      <x:c r="E6979" s="1" t="str">
        <x:v>COMPLETE</x:v>
      </x:c>
      <x:c r="F6979" s="1" t="str">
        <x:v>Late delivery</x:v>
      </x:c>
      <x:c r="G6979" s="6" t="n">
        <x:v>5</x:v>
      </x:c>
      <x:c r="H6979" s="6" t="n">
        <x:v>4</x:v>
      </x:c>
      <x:c r="I6979" s="6" t="n">
        <x:f>G6979-H6979</x:f>
        <x:v>1</x:v>
      </x:c>
      <x:c r="J6979" s="6" t="n">
        <x:f>IF(OR(E6979="CANCELED",E6979="SUSPECTED_FRAUD",F6979="Shipping canceled"),0,1)</x:f>
        <x:v>1</x:v>
      </x:c>
      <x:c r="K6979" s="6" t="n">
        <x:f>IF(G6979&gt;H6979,1,0)</x:f>
        <x:v>1</x:v>
      </x:c>
      <x:c r="L6979" s="6" t="n">
        <x:f>J6979*K6979</x:f>
        <x:v>1</x:v>
      </x:c>
    </x:row>
    <x:row r="6980">
      <x:c r="A6980" s="1" t="n">
        <x:v>55073</x:v>
      </x:c>
      <x:c r="B6980" s="5" t="d">
        <x:v>2017-03-14T00:00:00.000Z</x:v>
      </x:c>
      <x:c r="C6980" s="1" t="str">
        <x:v>Standard Class</x:v>
      </x:c>
      <x:c r="D6980" s="1" t="str">
        <x:v>LATAM</x:v>
      </x:c>
      <x:c r="E6980" s="1" t="str">
        <x:v>COMPLETE</x:v>
      </x:c>
      <x:c r="F6980" s="1" t="str">
        <x:v>Shipping on time</x:v>
      </x:c>
      <x:c r="G6980" s="6" t="n">
        <x:v>4</x:v>
      </x:c>
      <x:c r="H6980" s="6" t="n">
        <x:v>4</x:v>
      </x:c>
      <x:c r="I6980" s="6" t="n">
        <x:f>G6980-H6980</x:f>
        <x:v>0</x:v>
      </x:c>
      <x:c r="J6980" s="6" t="n">
        <x:f>IF(OR(E6980="CANCELED",E6980="SUSPECTED_FRAUD",F6980="Shipping canceled"),0,1)</x:f>
        <x:v>1</x:v>
      </x:c>
      <x:c r="K6980" s="6" t="n">
        <x:f>IF(G6980&gt;H6980,1,0)</x:f>
        <x:v>0</x:v>
      </x:c>
      <x:c r="L6980" s="6" t="n">
        <x:f>J6980*K6980</x:f>
        <x:v>0</x:v>
      </x:c>
    </x:row>
    <x:row r="6981">
      <x:c r="A6981" s="1" t="n">
        <x:v>55078</x:v>
      </x:c>
      <x:c r="B6981" s="5" t="d">
        <x:v>2017-03-14T00:00:00.000Z</x:v>
      </x:c>
      <x:c r="C6981" s="1" t="str">
        <x:v>Standard Class</x:v>
      </x:c>
      <x:c r="D6981" s="1" t="str">
        <x:v>LATAM</x:v>
      </x:c>
      <x:c r="E6981" s="1" t="str">
        <x:v>PROCESSING</x:v>
      </x:c>
      <x:c r="F6981" s="1" t="str">
        <x:v>Shipping on time</x:v>
      </x:c>
      <x:c r="G6981" s="6" t="n">
        <x:v>4</x:v>
      </x:c>
      <x:c r="H6981" s="6" t="n">
        <x:v>4</x:v>
      </x:c>
      <x:c r="I6981" s="6" t="n">
        <x:f>G6981-H6981</x:f>
        <x:v>0</x:v>
      </x:c>
      <x:c r="J6981" s="6" t="n">
        <x:f>IF(OR(E6981="CANCELED",E6981="SUSPECTED_FRAUD",F6981="Shipping canceled"),0,1)</x:f>
        <x:v>1</x:v>
      </x:c>
      <x:c r="K6981" s="6" t="n">
        <x:f>IF(G6981&gt;H6981,1,0)</x:f>
        <x:v>0</x:v>
      </x:c>
      <x:c r="L6981" s="6" t="n">
        <x:f>J6981*K6981</x:f>
        <x:v>0</x:v>
      </x:c>
    </x:row>
    <x:row r="6982">
      <x:c r="A6982" s="1" t="n">
        <x:v>55094</x:v>
      </x:c>
      <x:c r="B6982" s="5" t="d">
        <x:v>2017-03-15T00:00:00.000Z</x:v>
      </x:c>
      <x:c r="C6982" s="1" t="str">
        <x:v>First Class</x:v>
      </x:c>
      <x:c r="D6982" s="1" t="str">
        <x:v>LATAM</x:v>
      </x:c>
      <x:c r="E6982" s="1" t="str">
        <x:v>CLOSED</x:v>
      </x:c>
      <x:c r="F6982" s="1" t="str">
        <x:v>Late delivery</x:v>
      </x:c>
      <x:c r="G6982" s="6" t="n">
        <x:v>2</x:v>
      </x:c>
      <x:c r="H6982" s="6" t="n">
        <x:v>1</x:v>
      </x:c>
      <x:c r="I6982" s="6" t="n">
        <x:f>G6982-H6982</x:f>
        <x:v>1</x:v>
      </x:c>
      <x:c r="J6982" s="6" t="n">
        <x:f>IF(OR(E6982="CANCELED",E6982="SUSPECTED_FRAUD",F6982="Shipping canceled"),0,1)</x:f>
        <x:v>1</x:v>
      </x:c>
      <x:c r="K6982" s="6" t="n">
        <x:f>IF(G6982&gt;H6982,1,0)</x:f>
        <x:v>1</x:v>
      </x:c>
      <x:c r="L6982" s="6" t="n">
        <x:f>J6982*K6982</x:f>
        <x:v>1</x:v>
      </x:c>
    </x:row>
    <x:row r="6983">
      <x:c r="A6983" s="1" t="n">
        <x:v>55101</x:v>
      </x:c>
      <x:c r="B6983" s="5" t="d">
        <x:v>2017-03-15T00:00:00.000Z</x:v>
      </x:c>
      <x:c r="C6983" s="1" t="str">
        <x:v>First Class</x:v>
      </x:c>
      <x:c r="D6983" s="1" t="str">
        <x:v>LATAM</x:v>
      </x:c>
      <x:c r="E6983" s="1" t="str">
        <x:v>CLOSED</x:v>
      </x:c>
      <x:c r="F6983" s="1" t="str">
        <x:v>Late delivery</x:v>
      </x:c>
      <x:c r="G6983" s="6" t="n">
        <x:v>2</x:v>
      </x:c>
      <x:c r="H6983" s="6" t="n">
        <x:v>1</x:v>
      </x:c>
      <x:c r="I6983" s="6" t="n">
        <x:f>G6983-H6983</x:f>
        <x:v>1</x:v>
      </x:c>
      <x:c r="J6983" s="6" t="n">
        <x:f>IF(OR(E6983="CANCELED",E6983="SUSPECTED_FRAUD",F6983="Shipping canceled"),0,1)</x:f>
        <x:v>1</x:v>
      </x:c>
      <x:c r="K6983" s="6" t="n">
        <x:f>IF(G6983&gt;H6983,1,0)</x:f>
        <x:v>1</x:v>
      </x:c>
      <x:c r="L6983" s="6" t="n">
        <x:f>J6983*K6983</x:f>
        <x:v>1</x:v>
      </x:c>
    </x:row>
    <x:row r="6984">
      <x:c r="A6984" s="1" t="n">
        <x:v>55106</x:v>
      </x:c>
      <x:c r="B6984" s="5" t="d">
        <x:v>2017-03-15T00:00:00.000Z</x:v>
      </x:c>
      <x:c r="C6984" s="1" t="str">
        <x:v>Standard Class</x:v>
      </x:c>
      <x:c r="D6984" s="1" t="str">
        <x:v>LATAM</x:v>
      </x:c>
      <x:c r="E6984" s="1" t="str">
        <x:v>COMPLETE</x:v>
      </x:c>
      <x:c r="F6984" s="1" t="str">
        <x:v>Advance shipping</x:v>
      </x:c>
      <x:c r="G6984" s="6" t="n">
        <x:v>2</x:v>
      </x:c>
      <x:c r="H6984" s="6" t="n">
        <x:v>4</x:v>
      </x:c>
      <x:c r="I6984" s="6" t="n">
        <x:f>G6984-H6984</x:f>
        <x:v>-2</x:v>
      </x:c>
      <x:c r="J6984" s="6" t="n">
        <x:f>IF(OR(E6984="CANCELED",E6984="SUSPECTED_FRAUD",F6984="Shipping canceled"),0,1)</x:f>
        <x:v>1</x:v>
      </x:c>
      <x:c r="K6984" s="6" t="n">
        <x:f>IF(G6984&gt;H6984,1,0)</x:f>
        <x:v>0</x:v>
      </x:c>
      <x:c r="L6984" s="6" t="n">
        <x:f>J6984*K6984</x:f>
        <x:v>0</x:v>
      </x:c>
    </x:row>
    <x:row r="6985">
      <x:c r="A6985" s="1" t="n">
        <x:v>55126</x:v>
      </x:c>
      <x:c r="B6985" s="5" t="d">
        <x:v>2017-03-15T00:00:00.000Z</x:v>
      </x:c>
      <x:c r="C6985" s="1" t="str">
        <x:v>Standard Class</x:v>
      </x:c>
      <x:c r="D6985" s="1" t="str">
        <x:v>LATAM</x:v>
      </x:c>
      <x:c r="E6985" s="1" t="str">
        <x:v>ON_HOLD</x:v>
      </x:c>
      <x:c r="F6985" s="1" t="str">
        <x:v>Advance shipping</x:v>
      </x:c>
      <x:c r="G6985" s="6" t="n">
        <x:v>2</x:v>
      </x:c>
      <x:c r="H6985" s="6" t="n">
        <x:v>4</x:v>
      </x:c>
      <x:c r="I6985" s="6" t="n">
        <x:f>G6985-H6985</x:f>
        <x:v>-2</x:v>
      </x:c>
      <x:c r="J6985" s="6" t="n">
        <x:f>IF(OR(E6985="CANCELED",E6985="SUSPECTED_FRAUD",F6985="Shipping canceled"),0,1)</x:f>
        <x:v>1</x:v>
      </x:c>
      <x:c r="K6985" s="6" t="n">
        <x:f>IF(G6985&gt;H6985,1,0)</x:f>
        <x:v>0</x:v>
      </x:c>
      <x:c r="L6985" s="6" t="n">
        <x:f>J6985*K6985</x:f>
        <x:v>0</x:v>
      </x:c>
    </x:row>
    <x:row r="6986">
      <x:c r="A6986" s="1" t="n">
        <x:v>55132</x:v>
      </x:c>
      <x:c r="B6986" s="5" t="d">
        <x:v>2017-03-15T00:00:00.000Z</x:v>
      </x:c>
      <x:c r="C6986" s="1" t="str">
        <x:v>Standard Class</x:v>
      </x:c>
      <x:c r="D6986" s="1" t="str">
        <x:v>LATAM</x:v>
      </x:c>
      <x:c r="E6986" s="1" t="str">
        <x:v>PENDING_PAYMENT</x:v>
      </x:c>
      <x:c r="F6986" s="1" t="str">
        <x:v>Advance shipping</x:v>
      </x:c>
      <x:c r="G6986" s="6" t="n">
        <x:v>3</x:v>
      </x:c>
      <x:c r="H6986" s="6" t="n">
        <x:v>4</x:v>
      </x:c>
      <x:c r="I6986" s="6" t="n">
        <x:f>G6986-H6986</x:f>
        <x:v>-1</x:v>
      </x:c>
      <x:c r="J6986" s="6" t="n">
        <x:f>IF(OR(E6986="CANCELED",E6986="SUSPECTED_FRAUD",F6986="Shipping canceled"),0,1)</x:f>
        <x:v>1</x:v>
      </x:c>
      <x:c r="K6986" s="6" t="n">
        <x:f>IF(G6986&gt;H6986,1,0)</x:f>
        <x:v>0</x:v>
      </x:c>
      <x:c r="L6986" s="6" t="n">
        <x:f>J6986*K6986</x:f>
        <x:v>0</x:v>
      </x:c>
    </x:row>
    <x:row r="6987">
      <x:c r="A6987" s="1" t="n">
        <x:v>55133</x:v>
      </x:c>
      <x:c r="B6987" s="5" t="d">
        <x:v>2017-03-15T00:00:00.000Z</x:v>
      </x:c>
      <x:c r="C6987" s="1" t="str">
        <x:v>Standard Class</x:v>
      </x:c>
      <x:c r="D6987" s="1" t="str">
        <x:v>LATAM</x:v>
      </x:c>
      <x:c r="E6987" s="1" t="str">
        <x:v>PENDING</x:v>
      </x:c>
      <x:c r="F6987" s="1" t="str">
        <x:v>Shipping on time</x:v>
      </x:c>
      <x:c r="G6987" s="6" t="n">
        <x:v>4</x:v>
      </x:c>
      <x:c r="H6987" s="6" t="n">
        <x:v>4</x:v>
      </x:c>
      <x:c r="I6987" s="6" t="n">
        <x:f>G6987-H6987</x:f>
        <x:v>0</x:v>
      </x:c>
      <x:c r="J6987" s="6" t="n">
        <x:f>IF(OR(E6987="CANCELED",E6987="SUSPECTED_FRAUD",F6987="Shipping canceled"),0,1)</x:f>
        <x:v>1</x:v>
      </x:c>
      <x:c r="K6987" s="6" t="n">
        <x:f>IF(G6987&gt;H6987,1,0)</x:f>
        <x:v>0</x:v>
      </x:c>
      <x:c r="L6987" s="6" t="n">
        <x:f>J6987*K6987</x:f>
        <x:v>0</x:v>
      </x:c>
    </x:row>
    <x:row r="6988">
      <x:c r="A6988" s="1" t="n">
        <x:v>55155</x:v>
      </x:c>
      <x:c r="B6988" s="5" t="d">
        <x:v>2017-03-16T00:00:00.000Z</x:v>
      </x:c>
      <x:c r="C6988" s="1" t="str">
        <x:v>Second Class</x:v>
      </x:c>
      <x:c r="D6988" s="1" t="str">
        <x:v>LATAM</x:v>
      </x:c>
      <x:c r="E6988" s="1" t="str">
        <x:v>PENDING_PAYMENT</x:v>
      </x:c>
      <x:c r="F6988" s="1" t="str">
        <x:v>Late delivery</x:v>
      </x:c>
      <x:c r="G6988" s="6" t="n">
        <x:v>6</x:v>
      </x:c>
      <x:c r="H6988" s="6" t="n">
        <x:v>2</x:v>
      </x:c>
      <x:c r="I6988" s="6" t="n">
        <x:f>G6988-H6988</x:f>
        <x:v>4</x:v>
      </x:c>
      <x:c r="J6988" s="6" t="n">
        <x:f>IF(OR(E6988="CANCELED",E6988="SUSPECTED_FRAUD",F6988="Shipping canceled"),0,1)</x:f>
        <x:v>1</x:v>
      </x:c>
      <x:c r="K6988" s="6" t="n">
        <x:f>IF(G6988&gt;H6988,1,0)</x:f>
        <x:v>1</x:v>
      </x:c>
      <x:c r="L6988" s="6" t="n">
        <x:f>J6988*K6988</x:f>
        <x:v>1</x:v>
      </x:c>
    </x:row>
    <x:row r="6989">
      <x:c r="A6989" s="1" t="n">
        <x:v>55163</x:v>
      </x:c>
      <x:c r="B6989" s="5" t="d">
        <x:v>2017-03-16T00:00:00.000Z</x:v>
      </x:c>
      <x:c r="C6989" s="1" t="str">
        <x:v>Standard Class</x:v>
      </x:c>
      <x:c r="D6989" s="1" t="str">
        <x:v>LATAM</x:v>
      </x:c>
      <x:c r="E6989" s="1" t="str">
        <x:v>PENDING_PAYMENT</x:v>
      </x:c>
      <x:c r="F6989" s="1" t="str">
        <x:v>Shipping on time</x:v>
      </x:c>
      <x:c r="G6989" s="6" t="n">
        <x:v>4</x:v>
      </x:c>
      <x:c r="H6989" s="6" t="n">
        <x:v>4</x:v>
      </x:c>
      <x:c r="I6989" s="6" t="n">
        <x:f>G6989-H6989</x:f>
        <x:v>0</x:v>
      </x:c>
      <x:c r="J6989" s="6" t="n">
        <x:f>IF(OR(E6989="CANCELED",E6989="SUSPECTED_FRAUD",F6989="Shipping canceled"),0,1)</x:f>
        <x:v>1</x:v>
      </x:c>
      <x:c r="K6989" s="6" t="n">
        <x:f>IF(G6989&gt;H6989,1,0)</x:f>
        <x:v>0</x:v>
      </x:c>
      <x:c r="L6989" s="6" t="n">
        <x:f>J6989*K6989</x:f>
        <x:v>0</x:v>
      </x:c>
    </x:row>
    <x:row r="6990">
      <x:c r="A6990" s="1" t="n">
        <x:v>55168</x:v>
      </x:c>
      <x:c r="B6990" s="5" t="d">
        <x:v>2017-03-16T00:00:00.000Z</x:v>
      </x:c>
      <x:c r="C6990" s="1" t="str">
        <x:v>Standard Class</x:v>
      </x:c>
      <x:c r="D6990" s="1" t="str">
        <x:v>LATAM</x:v>
      </x:c>
      <x:c r="E6990" s="1" t="str">
        <x:v>CLOSED</x:v>
      </x:c>
      <x:c r="F6990" s="1" t="str">
        <x:v>Shipping on time</x:v>
      </x:c>
      <x:c r="G6990" s="6" t="n">
        <x:v>4</x:v>
      </x:c>
      <x:c r="H6990" s="6" t="n">
        <x:v>4</x:v>
      </x:c>
      <x:c r="I6990" s="6" t="n">
        <x:f>G6990-H6990</x:f>
        <x:v>0</x:v>
      </x:c>
      <x:c r="J6990" s="6" t="n">
        <x:f>IF(OR(E6990="CANCELED",E6990="SUSPECTED_FRAUD",F6990="Shipping canceled"),0,1)</x:f>
        <x:v>1</x:v>
      </x:c>
      <x:c r="K6990" s="6" t="n">
        <x:f>IF(G6990&gt;H6990,1,0)</x:f>
        <x:v>0</x:v>
      </x:c>
      <x:c r="L6990" s="6" t="n">
        <x:f>J6990*K6990</x:f>
        <x:v>0</x:v>
      </x:c>
    </x:row>
    <x:row r="6991">
      <x:c r="A6991" s="1" t="n">
        <x:v>55174</x:v>
      </x:c>
      <x:c r="B6991" s="5" t="d">
        <x:v>2017-03-16T00:00:00.000Z</x:v>
      </x:c>
      <x:c r="C6991" s="1" t="str">
        <x:v>Standard Class</x:v>
      </x:c>
      <x:c r="D6991" s="1" t="str">
        <x:v>LATAM</x:v>
      </x:c>
      <x:c r="E6991" s="1" t="str">
        <x:v>PROCESSING</x:v>
      </x:c>
      <x:c r="F6991" s="1" t="str">
        <x:v>Late delivery</x:v>
      </x:c>
      <x:c r="G6991" s="6" t="n">
        <x:v>5</x:v>
      </x:c>
      <x:c r="H6991" s="6" t="n">
        <x:v>4</x:v>
      </x:c>
      <x:c r="I6991" s="6" t="n">
        <x:f>G6991-H6991</x:f>
        <x:v>1</x:v>
      </x:c>
      <x:c r="J6991" s="6" t="n">
        <x:f>IF(OR(E6991="CANCELED",E6991="SUSPECTED_FRAUD",F6991="Shipping canceled"),0,1)</x:f>
        <x:v>1</x:v>
      </x:c>
      <x:c r="K6991" s="6" t="n">
        <x:f>IF(G6991&gt;H6991,1,0)</x:f>
        <x:v>1</x:v>
      </x:c>
      <x:c r="L6991" s="6" t="n">
        <x:f>J6991*K6991</x:f>
        <x:v>1</x:v>
      </x:c>
    </x:row>
    <x:row r="6992">
      <x:c r="A6992" s="1" t="n">
        <x:v>55190</x:v>
      </x:c>
      <x:c r="B6992" s="5" t="d">
        <x:v>2017-03-16T00:00:00.000Z</x:v>
      </x:c>
      <x:c r="C6992" s="1" t="str">
        <x:v>Standard Class</x:v>
      </x:c>
      <x:c r="D6992" s="1" t="str">
        <x:v>LATAM</x:v>
      </x:c>
      <x:c r="E6992" s="1" t="str">
        <x:v>CLOSED</x:v>
      </x:c>
      <x:c r="F6992" s="1" t="str">
        <x:v>Late delivery</x:v>
      </x:c>
      <x:c r="G6992" s="6" t="n">
        <x:v>6</x:v>
      </x:c>
      <x:c r="H6992" s="6" t="n">
        <x:v>4</x:v>
      </x:c>
      <x:c r="I6992" s="6" t="n">
        <x:f>G6992-H6992</x:f>
        <x:v>2</x:v>
      </x:c>
      <x:c r="J6992" s="6" t="n">
        <x:f>IF(OR(E6992="CANCELED",E6992="SUSPECTED_FRAUD",F6992="Shipping canceled"),0,1)</x:f>
        <x:v>1</x:v>
      </x:c>
      <x:c r="K6992" s="6" t="n">
        <x:f>IF(G6992&gt;H6992,1,0)</x:f>
        <x:v>1</x:v>
      </x:c>
      <x:c r="L6992" s="6" t="n">
        <x:f>J6992*K6992</x:f>
        <x:v>1</x:v>
      </x:c>
    </x:row>
    <x:row r="6993">
      <x:c r="A6993" s="1" t="n">
        <x:v>55196</x:v>
      </x:c>
      <x:c r="B6993" s="5" t="d">
        <x:v>2017-03-16T00:00:00.000Z</x:v>
      </x:c>
      <x:c r="C6993" s="1" t="str">
        <x:v>Standard Class</x:v>
      </x:c>
      <x:c r="D6993" s="1" t="str">
        <x:v>LATAM</x:v>
      </x:c>
      <x:c r="E6993" s="1" t="str">
        <x:v>PENDING_PAYMENT</x:v>
      </x:c>
      <x:c r="F6993" s="1" t="str">
        <x:v>Advance shipping</x:v>
      </x:c>
      <x:c r="G6993" s="6" t="n">
        <x:v>2</x:v>
      </x:c>
      <x:c r="H6993" s="6" t="n">
        <x:v>4</x:v>
      </x:c>
      <x:c r="I6993" s="6" t="n">
        <x:f>G6993-H6993</x:f>
        <x:v>-2</x:v>
      </x:c>
      <x:c r="J6993" s="6" t="n">
        <x:f>IF(OR(E6993="CANCELED",E6993="SUSPECTED_FRAUD",F6993="Shipping canceled"),0,1)</x:f>
        <x:v>1</x:v>
      </x:c>
      <x:c r="K6993" s="6" t="n">
        <x:f>IF(G6993&gt;H6993,1,0)</x:f>
        <x:v>0</x:v>
      </x:c>
      <x:c r="L6993" s="6" t="n">
        <x:f>J6993*K6993</x:f>
        <x:v>0</x:v>
      </x:c>
    </x:row>
    <x:row r="6994">
      <x:c r="A6994" s="1" t="n">
        <x:v>55199</x:v>
      </x:c>
      <x:c r="B6994" s="5" t="d">
        <x:v>2017-03-16T00:00:00.000Z</x:v>
      </x:c>
      <x:c r="C6994" s="1" t="str">
        <x:v>Standard Class</x:v>
      </x:c>
      <x:c r="D6994" s="1" t="str">
        <x:v>LATAM</x:v>
      </x:c>
      <x:c r="E6994" s="1" t="str">
        <x:v>PENDING_PAYMENT</x:v>
      </x:c>
      <x:c r="F6994" s="1" t="str">
        <x:v>Late delivery</x:v>
      </x:c>
      <x:c r="G6994" s="6" t="n">
        <x:v>5</x:v>
      </x:c>
      <x:c r="H6994" s="6" t="n">
        <x:v>4</x:v>
      </x:c>
      <x:c r="I6994" s="6" t="n">
        <x:f>G6994-H6994</x:f>
        <x:v>1</x:v>
      </x:c>
      <x:c r="J6994" s="6" t="n">
        <x:f>IF(OR(E6994="CANCELED",E6994="SUSPECTED_FRAUD",F6994="Shipping canceled"),0,1)</x:f>
        <x:v>1</x:v>
      </x:c>
      <x:c r="K6994" s="6" t="n">
        <x:f>IF(G6994&gt;H6994,1,0)</x:f>
        <x:v>1</x:v>
      </x:c>
      <x:c r="L6994" s="6" t="n">
        <x:f>J6994*K6994</x:f>
        <x:v>1</x:v>
      </x:c>
    </x:row>
    <x:row r="6995">
      <x:c r="A6995" s="1" t="n">
        <x:v>55201</x:v>
      </x:c>
      <x:c r="B6995" s="5" t="d">
        <x:v>2017-03-16T00:00:00.000Z</x:v>
      </x:c>
      <x:c r="C6995" s="1" t="str">
        <x:v>Standard Class</x:v>
      </x:c>
      <x:c r="D6995" s="1" t="str">
        <x:v>LATAM</x:v>
      </x:c>
      <x:c r="E6995" s="1" t="str">
        <x:v>CANCELED</x:v>
      </x:c>
      <x:c r="F6995" s="1" t="str">
        <x:v>Shipping canceled</x:v>
      </x:c>
      <x:c r="G6995" s="6" t="n">
        <x:v>2</x:v>
      </x:c>
      <x:c r="H6995" s="6" t="n">
        <x:v>4</x:v>
      </x:c>
      <x:c r="I6995" s="6" t="n">
        <x:f>G6995-H6995</x:f>
        <x:v>-2</x:v>
      </x:c>
      <x:c r="J6995" s="6" t="n">
        <x:f>IF(OR(E6995="CANCELED",E6995="SUSPECTED_FRAUD",F6995="Shipping canceled"),0,1)</x:f>
        <x:v>0</x:v>
      </x:c>
      <x:c r="K6995" s="6" t="n">
        <x:f>IF(G6995&gt;H6995,1,0)</x:f>
        <x:v>0</x:v>
      </x:c>
      <x:c r="L6995" s="6" t="n">
        <x:f>J6995*K6995</x:f>
        <x:v>0</x:v>
      </x:c>
    </x:row>
    <x:row r="6996">
      <x:c r="A6996" s="1" t="n">
        <x:v>55206</x:v>
      </x:c>
      <x:c r="B6996" s="5" t="d">
        <x:v>2017-03-16T00:00:00.000Z</x:v>
      </x:c>
      <x:c r="C6996" s="1" t="str">
        <x:v>Standard Class</x:v>
      </x:c>
      <x:c r="D6996" s="1" t="str">
        <x:v>LATAM</x:v>
      </x:c>
      <x:c r="E6996" s="1" t="str">
        <x:v>COMPLETE</x:v>
      </x:c>
      <x:c r="F6996" s="1" t="str">
        <x:v>Advance shipping</x:v>
      </x:c>
      <x:c r="G6996" s="6" t="n">
        <x:v>2</x:v>
      </x:c>
      <x:c r="H6996" s="6" t="n">
        <x:v>4</x:v>
      </x:c>
      <x:c r="I6996" s="6" t="n">
        <x:f>G6996-H6996</x:f>
        <x:v>-2</x:v>
      </x:c>
      <x:c r="J6996" s="6" t="n">
        <x:f>IF(OR(E6996="CANCELED",E6996="SUSPECTED_FRAUD",F6996="Shipping canceled"),0,1)</x:f>
        <x:v>1</x:v>
      </x:c>
      <x:c r="K6996" s="6" t="n">
        <x:f>IF(G6996&gt;H6996,1,0)</x:f>
        <x:v>0</x:v>
      </x:c>
      <x:c r="L6996" s="6" t="n">
        <x:f>J6996*K6996</x:f>
        <x:v>0</x:v>
      </x:c>
    </x:row>
    <x:row r="6997">
      <x:c r="A6997" s="1" t="n">
        <x:v>55210</x:v>
      </x:c>
      <x:c r="B6997" s="5" t="d">
        <x:v>2017-03-16T00:00:00.000Z</x:v>
      </x:c>
      <x:c r="C6997" s="1" t="str">
        <x:v>Standard Class</x:v>
      </x:c>
      <x:c r="D6997" s="1" t="str">
        <x:v>LATAM</x:v>
      </x:c>
      <x:c r="E6997" s="1" t="str">
        <x:v>CLOSED</x:v>
      </x:c>
      <x:c r="F6997" s="1" t="str">
        <x:v>Late delivery</x:v>
      </x:c>
      <x:c r="G6997" s="6" t="n">
        <x:v>6</x:v>
      </x:c>
      <x:c r="H6997" s="6" t="n">
        <x:v>4</x:v>
      </x:c>
      <x:c r="I6997" s="6" t="n">
        <x:f>G6997-H6997</x:f>
        <x:v>2</x:v>
      </x:c>
      <x:c r="J6997" s="6" t="n">
        <x:f>IF(OR(E6997="CANCELED",E6997="SUSPECTED_FRAUD",F6997="Shipping canceled"),0,1)</x:f>
        <x:v>1</x:v>
      </x:c>
      <x:c r="K6997" s="6" t="n">
        <x:f>IF(G6997&gt;H6997,1,0)</x:f>
        <x:v>1</x:v>
      </x:c>
      <x:c r="L6997" s="6" t="n">
        <x:f>J6997*K6997</x:f>
        <x:v>1</x:v>
      </x:c>
    </x:row>
    <x:row r="6998">
      <x:c r="A6998" s="1" t="n">
        <x:v>55216</x:v>
      </x:c>
      <x:c r="B6998" s="5" t="d">
        <x:v>2017-03-17T00:00:00.000Z</x:v>
      </x:c>
      <x:c r="C6998" s="1" t="str">
        <x:v>First Class</x:v>
      </x:c>
      <x:c r="D6998" s="1" t="str">
        <x:v>LATAM</x:v>
      </x:c>
      <x:c r="E6998" s="1" t="str">
        <x:v>CLOSED</x:v>
      </x:c>
      <x:c r="F6998" s="1" t="str">
        <x:v>Late delivery</x:v>
      </x:c>
      <x:c r="G6998" s="6" t="n">
        <x:v>2</x:v>
      </x:c>
      <x:c r="H6998" s="6" t="n">
        <x:v>1</x:v>
      </x:c>
      <x:c r="I6998" s="6" t="n">
        <x:f>G6998-H6998</x:f>
        <x:v>1</x:v>
      </x:c>
      <x:c r="J6998" s="6" t="n">
        <x:f>IF(OR(E6998="CANCELED",E6998="SUSPECTED_FRAUD",F6998="Shipping canceled"),0,1)</x:f>
        <x:v>1</x:v>
      </x:c>
      <x:c r="K6998" s="6" t="n">
        <x:f>IF(G6998&gt;H6998,1,0)</x:f>
        <x:v>1</x:v>
      </x:c>
      <x:c r="L6998" s="6" t="n">
        <x:f>J6998*K6998</x:f>
        <x:v>1</x:v>
      </x:c>
    </x:row>
    <x:row r="6999">
      <x:c r="A6999" s="1" t="n">
        <x:v>55221</x:v>
      </x:c>
      <x:c r="B6999" s="5" t="d">
        <x:v>2017-03-17T00:00:00.000Z</x:v>
      </x:c>
      <x:c r="C6999" s="1" t="str">
        <x:v>Standard Class</x:v>
      </x:c>
      <x:c r="D6999" s="1" t="str">
        <x:v>LATAM</x:v>
      </x:c>
      <x:c r="E6999" s="1" t="str">
        <x:v>COMPLETE</x:v>
      </x:c>
      <x:c r="F6999" s="1" t="str">
        <x:v>Advance shipping</x:v>
      </x:c>
      <x:c r="G6999" s="6" t="n">
        <x:v>2</x:v>
      </x:c>
      <x:c r="H6999" s="6" t="n">
        <x:v>4</x:v>
      </x:c>
      <x:c r="I6999" s="6" t="n">
        <x:f>G6999-H6999</x:f>
        <x:v>-2</x:v>
      </x:c>
      <x:c r="J6999" s="6" t="n">
        <x:f>IF(OR(E6999="CANCELED",E6999="SUSPECTED_FRAUD",F6999="Shipping canceled"),0,1)</x:f>
        <x:v>1</x:v>
      </x:c>
      <x:c r="K6999" s="6" t="n">
        <x:f>IF(G6999&gt;H6999,1,0)</x:f>
        <x:v>0</x:v>
      </x:c>
      <x:c r="L6999" s="6" t="n">
        <x:f>J6999*K6999</x:f>
        <x:v>0</x:v>
      </x:c>
    </x:row>
    <x:row r="7000">
      <x:c r="A7000" s="1" t="n">
        <x:v>55229</x:v>
      </x:c>
      <x:c r="B7000" s="5" t="d">
        <x:v>2017-03-17T00:00:00.000Z</x:v>
      </x:c>
      <x:c r="C7000" s="1" t="str">
        <x:v>Second Class</x:v>
      </x:c>
      <x:c r="D7000" s="1" t="str">
        <x:v>LATAM</x:v>
      </x:c>
      <x:c r="E7000" s="1" t="str">
        <x:v>ON_HOLD</x:v>
      </x:c>
      <x:c r="F7000" s="1" t="str">
        <x:v>Late delivery</x:v>
      </x:c>
      <x:c r="G7000" s="6" t="n">
        <x:v>5</x:v>
      </x:c>
      <x:c r="H7000" s="6" t="n">
        <x:v>2</x:v>
      </x:c>
      <x:c r="I7000" s="6" t="n">
        <x:f>G7000-H7000</x:f>
        <x:v>3</x:v>
      </x:c>
      <x:c r="J7000" s="6" t="n">
        <x:f>IF(OR(E7000="CANCELED",E7000="SUSPECTED_FRAUD",F7000="Shipping canceled"),0,1)</x:f>
        <x:v>1</x:v>
      </x:c>
      <x:c r="K7000" s="6" t="n">
        <x:f>IF(G7000&gt;H7000,1,0)</x:f>
        <x:v>1</x:v>
      </x:c>
      <x:c r="L7000" s="6" t="n">
        <x:f>J7000*K7000</x:f>
        <x:v>1</x:v>
      </x:c>
    </x:row>
    <x:row r="7001">
      <x:c r="A7001" s="1" t="n">
        <x:v>55234</x:v>
      </x:c>
      <x:c r="B7001" s="5" t="d">
        <x:v>2017-03-17T00:00:00.000Z</x:v>
      </x:c>
      <x:c r="C7001" s="1" t="str">
        <x:v>Standard Class</x:v>
      </x:c>
      <x:c r="D7001" s="1" t="str">
        <x:v>LATAM</x:v>
      </x:c>
      <x:c r="E7001" s="1" t="str">
        <x:v>PROCESSING</x:v>
      </x:c>
      <x:c r="F7001" s="1" t="str">
        <x:v>Late delivery</x:v>
      </x:c>
      <x:c r="G7001" s="6" t="n">
        <x:v>5</x:v>
      </x:c>
      <x:c r="H7001" s="6" t="n">
        <x:v>4</x:v>
      </x:c>
      <x:c r="I7001" s="6" t="n">
        <x:f>G7001-H7001</x:f>
        <x:v>1</x:v>
      </x:c>
      <x:c r="J7001" s="6" t="n">
        <x:f>IF(OR(E7001="CANCELED",E7001="SUSPECTED_FRAUD",F7001="Shipping canceled"),0,1)</x:f>
        <x:v>1</x:v>
      </x:c>
      <x:c r="K7001" s="6" t="n">
        <x:f>IF(G7001&gt;H7001,1,0)</x:f>
        <x:v>1</x:v>
      </x:c>
      <x:c r="L7001" s="6" t="n">
        <x:f>J7001*K7001</x:f>
        <x:v>1</x:v>
      </x:c>
    </x:row>
    <x:row r="7002">
      <x:c r="A7002" s="1" t="n">
        <x:v>55241</x:v>
      </x:c>
      <x:c r="B7002" s="5" t="d">
        <x:v>2017-03-17T00:00:00.000Z</x:v>
      </x:c>
      <x:c r="C7002" s="1" t="str">
        <x:v>Standard Class</x:v>
      </x:c>
      <x:c r="D7002" s="1" t="str">
        <x:v>LATAM</x:v>
      </x:c>
      <x:c r="E7002" s="1" t="str">
        <x:v>PROCESSING</x:v>
      </x:c>
      <x:c r="F7002" s="1" t="str">
        <x:v>Advance shipping</x:v>
      </x:c>
      <x:c r="G7002" s="6" t="n">
        <x:v>2</x:v>
      </x:c>
      <x:c r="H7002" s="6" t="n">
        <x:v>4</x:v>
      </x:c>
      <x:c r="I7002" s="6" t="n">
        <x:f>G7002-H7002</x:f>
        <x:v>-2</x:v>
      </x:c>
      <x:c r="J7002" s="6" t="n">
        <x:f>IF(OR(E7002="CANCELED",E7002="SUSPECTED_FRAUD",F7002="Shipping canceled"),0,1)</x:f>
        <x:v>1</x:v>
      </x:c>
      <x:c r="K7002" s="6" t="n">
        <x:f>IF(G7002&gt;H7002,1,0)</x:f>
        <x:v>0</x:v>
      </x:c>
      <x:c r="L7002" s="6" t="n">
        <x:f>J7002*K7002</x:f>
        <x:v>0</x:v>
      </x:c>
    </x:row>
    <x:row r="7003">
      <x:c r="A7003" s="1" t="n">
        <x:v>55243</x:v>
      </x:c>
      <x:c r="B7003" s="5" t="d">
        <x:v>2017-03-17T00:00:00.000Z</x:v>
      </x:c>
      <x:c r="C7003" s="1" t="str">
        <x:v>Standard Class</x:v>
      </x:c>
      <x:c r="D7003" s="1" t="str">
        <x:v>LATAM</x:v>
      </x:c>
      <x:c r="E7003" s="1" t="str">
        <x:v>COMPLETE</x:v>
      </x:c>
      <x:c r="F7003" s="1" t="str">
        <x:v>Shipping on time</x:v>
      </x:c>
      <x:c r="G7003" s="6" t="n">
        <x:v>4</x:v>
      </x:c>
      <x:c r="H7003" s="6" t="n">
        <x:v>4</x:v>
      </x:c>
      <x:c r="I7003" s="6" t="n">
        <x:f>G7003-H7003</x:f>
        <x:v>0</x:v>
      </x:c>
      <x:c r="J7003" s="6" t="n">
        <x:f>IF(OR(E7003="CANCELED",E7003="SUSPECTED_FRAUD",F7003="Shipping canceled"),0,1)</x:f>
        <x:v>1</x:v>
      </x:c>
      <x:c r="K7003" s="6" t="n">
        <x:f>IF(G7003&gt;H7003,1,0)</x:f>
        <x:v>0</x:v>
      </x:c>
      <x:c r="L7003" s="6" t="n">
        <x:f>J7003*K7003</x:f>
        <x:v>0</x:v>
      </x:c>
    </x:row>
    <x:row r="7004">
      <x:c r="A7004" s="1" t="n">
        <x:v>55251</x:v>
      </x:c>
      <x:c r="B7004" s="5" t="d">
        <x:v>2017-03-17T00:00:00.000Z</x:v>
      </x:c>
      <x:c r="C7004" s="1" t="str">
        <x:v>First Class</x:v>
      </x:c>
      <x:c r="D7004" s="1" t="str">
        <x:v>LATAM</x:v>
      </x:c>
      <x:c r="E7004" s="1" t="str">
        <x:v>CLOSED</x:v>
      </x:c>
      <x:c r="F7004" s="1" t="str">
        <x:v>Late delivery</x:v>
      </x:c>
      <x:c r="G7004" s="6" t="n">
        <x:v>2</x:v>
      </x:c>
      <x:c r="H7004" s="6" t="n">
        <x:v>1</x:v>
      </x:c>
      <x:c r="I7004" s="6" t="n">
        <x:f>G7004-H7004</x:f>
        <x:v>1</x:v>
      </x:c>
      <x:c r="J7004" s="6" t="n">
        <x:f>IF(OR(E7004="CANCELED",E7004="SUSPECTED_FRAUD",F7004="Shipping canceled"),0,1)</x:f>
        <x:v>1</x:v>
      </x:c>
      <x:c r="K7004" s="6" t="n">
        <x:f>IF(G7004&gt;H7004,1,0)</x:f>
        <x:v>1</x:v>
      </x:c>
      <x:c r="L7004" s="6" t="n">
        <x:f>J7004*K7004</x:f>
        <x:v>1</x:v>
      </x:c>
    </x:row>
    <x:row r="7005">
      <x:c r="A7005" s="1" t="n">
        <x:v>55252</x:v>
      </x:c>
      <x:c r="B7005" s="5" t="d">
        <x:v>2017-03-17T00:00:00.000Z</x:v>
      </x:c>
      <x:c r="C7005" s="1" t="str">
        <x:v>Standard Class</x:v>
      </x:c>
      <x:c r="D7005" s="1" t="str">
        <x:v>LATAM</x:v>
      </x:c>
      <x:c r="E7005" s="1" t="str">
        <x:v>ON_HOLD</x:v>
      </x:c>
      <x:c r="F7005" s="1" t="str">
        <x:v>Advance shipping</x:v>
      </x:c>
      <x:c r="G7005" s="6" t="n">
        <x:v>3</x:v>
      </x:c>
      <x:c r="H7005" s="6" t="n">
        <x:v>4</x:v>
      </x:c>
      <x:c r="I7005" s="6" t="n">
        <x:f>G7005-H7005</x:f>
        <x:v>-1</x:v>
      </x:c>
      <x:c r="J7005" s="6" t="n">
        <x:f>IF(OR(E7005="CANCELED",E7005="SUSPECTED_FRAUD",F7005="Shipping canceled"),0,1)</x:f>
        <x:v>1</x:v>
      </x:c>
      <x:c r="K7005" s="6" t="n">
        <x:f>IF(G7005&gt;H7005,1,0)</x:f>
        <x:v>0</x:v>
      </x:c>
      <x:c r="L7005" s="6" t="n">
        <x:f>J7005*K7005</x:f>
        <x:v>0</x:v>
      </x:c>
    </x:row>
    <x:row r="7006">
      <x:c r="A7006" s="1" t="n">
        <x:v>55253</x:v>
      </x:c>
      <x:c r="B7006" s="5" t="d">
        <x:v>2017-03-17T00:00:00.000Z</x:v>
      </x:c>
      <x:c r="C7006" s="1" t="str">
        <x:v>Standard Class</x:v>
      </x:c>
      <x:c r="D7006" s="1" t="str">
        <x:v>LATAM</x:v>
      </x:c>
      <x:c r="E7006" s="1" t="str">
        <x:v>ON_HOLD</x:v>
      </x:c>
      <x:c r="F7006" s="1" t="str">
        <x:v>Shipping on time</x:v>
      </x:c>
      <x:c r="G7006" s="6" t="n">
        <x:v>4</x:v>
      </x:c>
      <x:c r="H7006" s="6" t="n">
        <x:v>4</x:v>
      </x:c>
      <x:c r="I7006" s="6" t="n">
        <x:f>G7006-H7006</x:f>
        <x:v>0</x:v>
      </x:c>
      <x:c r="J7006" s="6" t="n">
        <x:f>IF(OR(E7006="CANCELED",E7006="SUSPECTED_FRAUD",F7006="Shipping canceled"),0,1)</x:f>
        <x:v>1</x:v>
      </x:c>
      <x:c r="K7006" s="6" t="n">
        <x:f>IF(G7006&gt;H7006,1,0)</x:f>
        <x:v>0</x:v>
      </x:c>
      <x:c r="L7006" s="6" t="n">
        <x:f>J7006*K7006</x:f>
        <x:v>0</x:v>
      </x:c>
    </x:row>
    <x:row r="7007">
      <x:c r="A7007" s="1" t="n">
        <x:v>55256</x:v>
      </x:c>
      <x:c r="B7007" s="5" t="d">
        <x:v>2017-03-17T00:00:00.000Z</x:v>
      </x:c>
      <x:c r="C7007" s="1" t="str">
        <x:v>Standard Class</x:v>
      </x:c>
      <x:c r="D7007" s="1" t="str">
        <x:v>LATAM</x:v>
      </x:c>
      <x:c r="E7007" s="1" t="str">
        <x:v>COMPLETE</x:v>
      </x:c>
      <x:c r="F7007" s="1" t="str">
        <x:v>Advance shipping</x:v>
      </x:c>
      <x:c r="G7007" s="6" t="n">
        <x:v>2</x:v>
      </x:c>
      <x:c r="H7007" s="6" t="n">
        <x:v>4</x:v>
      </x:c>
      <x:c r="I7007" s="6" t="n">
        <x:f>G7007-H7007</x:f>
        <x:v>-2</x:v>
      </x:c>
      <x:c r="J7007" s="6" t="n">
        <x:f>IF(OR(E7007="CANCELED",E7007="SUSPECTED_FRAUD",F7007="Shipping canceled"),0,1)</x:f>
        <x:v>1</x:v>
      </x:c>
      <x:c r="K7007" s="6" t="n">
        <x:f>IF(G7007&gt;H7007,1,0)</x:f>
        <x:v>0</x:v>
      </x:c>
      <x:c r="L7007" s="6" t="n">
        <x:f>J7007*K7007</x:f>
        <x:v>0</x:v>
      </x:c>
    </x:row>
    <x:row r="7008">
      <x:c r="A7008" s="1" t="n">
        <x:v>55259</x:v>
      </x:c>
      <x:c r="B7008" s="5" t="d">
        <x:v>2017-03-17T00:00:00.000Z</x:v>
      </x:c>
      <x:c r="C7008" s="1" t="str">
        <x:v>Standard Class</x:v>
      </x:c>
      <x:c r="D7008" s="1" t="str">
        <x:v>LATAM</x:v>
      </x:c>
      <x:c r="E7008" s="1" t="str">
        <x:v>PENDING_PAYMENT</x:v>
      </x:c>
      <x:c r="F7008" s="1" t="str">
        <x:v>Late delivery</x:v>
      </x:c>
      <x:c r="G7008" s="6" t="n">
        <x:v>5</x:v>
      </x:c>
      <x:c r="H7008" s="6" t="n">
        <x:v>4</x:v>
      </x:c>
      <x:c r="I7008" s="6" t="n">
        <x:f>G7008-H7008</x:f>
        <x:v>1</x:v>
      </x:c>
      <x:c r="J7008" s="6" t="n">
        <x:f>IF(OR(E7008="CANCELED",E7008="SUSPECTED_FRAUD",F7008="Shipping canceled"),0,1)</x:f>
        <x:v>1</x:v>
      </x:c>
      <x:c r="K7008" s="6" t="n">
        <x:f>IF(G7008&gt;H7008,1,0)</x:f>
        <x:v>1</x:v>
      </x:c>
      <x:c r="L7008" s="6" t="n">
        <x:f>J7008*K7008</x:f>
        <x:v>1</x:v>
      </x:c>
    </x:row>
    <x:row r="7009">
      <x:c r="A7009" s="1" t="n">
        <x:v>55264</x:v>
      </x:c>
      <x:c r="B7009" s="5" t="d">
        <x:v>2017-03-17T00:00:00.000Z</x:v>
      </x:c>
      <x:c r="C7009" s="1" t="str">
        <x:v>Same Day</x:v>
      </x:c>
      <x:c r="D7009" s="1" t="str">
        <x:v>LATAM</x:v>
      </x:c>
      <x:c r="E7009" s="1" t="str">
        <x:v>CLOSED</x:v>
      </x:c>
      <x:c r="F7009" s="1" t="str">
        <x:v>Late delivery</x:v>
      </x:c>
      <x:c r="G7009" s="6" t="n">
        <x:v>1</x:v>
      </x:c>
      <x:c r="H7009" s="6" t="n">
        <x:v>0</x:v>
      </x:c>
      <x:c r="I7009" s="6" t="n">
        <x:f>G7009-H7009</x:f>
        <x:v>1</x:v>
      </x:c>
      <x:c r="J7009" s="6" t="n">
        <x:f>IF(OR(E7009="CANCELED",E7009="SUSPECTED_FRAUD",F7009="Shipping canceled"),0,1)</x:f>
        <x:v>1</x:v>
      </x:c>
      <x:c r="K7009" s="6" t="n">
        <x:f>IF(G7009&gt;H7009,1,0)</x:f>
        <x:v>1</x:v>
      </x:c>
      <x:c r="L7009" s="6" t="n">
        <x:f>J7009*K7009</x:f>
        <x:v>1</x:v>
      </x:c>
    </x:row>
    <x:row r="7010">
      <x:c r="A7010" s="1" t="n">
        <x:v>55284</x:v>
      </x:c>
      <x:c r="B7010" s="5" t="d">
        <x:v>2017-03-18T00:00:00.000Z</x:v>
      </x:c>
      <x:c r="C7010" s="1" t="str">
        <x:v>Standard Class</x:v>
      </x:c>
      <x:c r="D7010" s="1" t="str">
        <x:v>LATAM</x:v>
      </x:c>
      <x:c r="E7010" s="1" t="str">
        <x:v>COMPLETE</x:v>
      </x:c>
      <x:c r="F7010" s="1" t="str">
        <x:v>Late delivery</x:v>
      </x:c>
      <x:c r="G7010" s="6" t="n">
        <x:v>5</x:v>
      </x:c>
      <x:c r="H7010" s="6" t="n">
        <x:v>4</x:v>
      </x:c>
      <x:c r="I7010" s="6" t="n">
        <x:f>G7010-H7010</x:f>
        <x:v>1</x:v>
      </x:c>
      <x:c r="J7010" s="6" t="n">
        <x:f>IF(OR(E7010="CANCELED",E7010="SUSPECTED_FRAUD",F7010="Shipping canceled"),0,1)</x:f>
        <x:v>1</x:v>
      </x:c>
      <x:c r="K7010" s="6" t="n">
        <x:f>IF(G7010&gt;H7010,1,0)</x:f>
        <x:v>1</x:v>
      </x:c>
      <x:c r="L7010" s="6" t="n">
        <x:f>J7010*K7010</x:f>
        <x:v>1</x:v>
      </x:c>
    </x:row>
    <x:row r="7011">
      <x:c r="A7011" s="1" t="n">
        <x:v>55287</x:v>
      </x:c>
      <x:c r="B7011" s="5" t="d">
        <x:v>2017-03-18T00:00:00.000Z</x:v>
      </x:c>
      <x:c r="C7011" s="1" t="str">
        <x:v>Standard Class</x:v>
      </x:c>
      <x:c r="D7011" s="1" t="str">
        <x:v>LATAM</x:v>
      </x:c>
      <x:c r="E7011" s="1" t="str">
        <x:v>COMPLETE</x:v>
      </x:c>
      <x:c r="F7011" s="1" t="str">
        <x:v>Advance shipping</x:v>
      </x:c>
      <x:c r="G7011" s="6" t="n">
        <x:v>3</x:v>
      </x:c>
      <x:c r="H7011" s="6" t="n">
        <x:v>4</x:v>
      </x:c>
      <x:c r="I7011" s="6" t="n">
        <x:f>G7011-H7011</x:f>
        <x:v>-1</x:v>
      </x:c>
      <x:c r="J7011" s="6" t="n">
        <x:f>IF(OR(E7011="CANCELED",E7011="SUSPECTED_FRAUD",F7011="Shipping canceled"),0,1)</x:f>
        <x:v>1</x:v>
      </x:c>
      <x:c r="K7011" s="6" t="n">
        <x:f>IF(G7011&gt;H7011,1,0)</x:f>
        <x:v>0</x:v>
      </x:c>
      <x:c r="L7011" s="6" t="n">
        <x:f>J7011*K7011</x:f>
        <x:v>0</x:v>
      </x:c>
    </x:row>
    <x:row r="7012">
      <x:c r="A7012" s="1" t="n">
        <x:v>55290</x:v>
      </x:c>
      <x:c r="B7012" s="5" t="d">
        <x:v>2017-03-18T00:00:00.000Z</x:v>
      </x:c>
      <x:c r="C7012" s="1" t="str">
        <x:v>Second Class</x:v>
      </x:c>
      <x:c r="D7012" s="1" t="str">
        <x:v>LATAM</x:v>
      </x:c>
      <x:c r="E7012" s="1" t="str">
        <x:v>CANCELED</x:v>
      </x:c>
      <x:c r="F7012" s="1" t="str">
        <x:v>Shipping canceled</x:v>
      </x:c>
      <x:c r="G7012" s="6" t="n">
        <x:v>6</x:v>
      </x:c>
      <x:c r="H7012" s="6" t="n">
        <x:v>2</x:v>
      </x:c>
      <x:c r="I7012" s="6" t="n">
        <x:f>G7012-H7012</x:f>
        <x:v>4</x:v>
      </x:c>
      <x:c r="J7012" s="6" t="n">
        <x:f>IF(OR(E7012="CANCELED",E7012="SUSPECTED_FRAUD",F7012="Shipping canceled"),0,1)</x:f>
        <x:v>0</x:v>
      </x:c>
      <x:c r="K7012" s="6" t="n">
        <x:f>IF(G7012&gt;H7012,1,0)</x:f>
        <x:v>1</x:v>
      </x:c>
      <x:c r="L7012" s="6" t="n">
        <x:f>J7012*K7012</x:f>
        <x:v>0</x:v>
      </x:c>
    </x:row>
    <x:row r="7013">
      <x:c r="A7013" s="1" t="n">
        <x:v>55297</x:v>
      </x:c>
      <x:c r="B7013" s="5" t="d">
        <x:v>2017-03-18T00:00:00.000Z</x:v>
      </x:c>
      <x:c r="C7013" s="1" t="str">
        <x:v>Standard Class</x:v>
      </x:c>
      <x:c r="D7013" s="1" t="str">
        <x:v>LATAM</x:v>
      </x:c>
      <x:c r="E7013" s="1" t="str">
        <x:v>COMPLETE</x:v>
      </x:c>
      <x:c r="F7013" s="1" t="str">
        <x:v>Advance shipping</x:v>
      </x:c>
      <x:c r="G7013" s="6" t="n">
        <x:v>3</x:v>
      </x:c>
      <x:c r="H7013" s="6" t="n">
        <x:v>4</x:v>
      </x:c>
      <x:c r="I7013" s="6" t="n">
        <x:f>G7013-H7013</x:f>
        <x:v>-1</x:v>
      </x:c>
      <x:c r="J7013" s="6" t="n">
        <x:f>IF(OR(E7013="CANCELED",E7013="SUSPECTED_FRAUD",F7013="Shipping canceled"),0,1)</x:f>
        <x:v>1</x:v>
      </x:c>
      <x:c r="K7013" s="6" t="n">
        <x:f>IF(G7013&gt;H7013,1,0)</x:f>
        <x:v>0</x:v>
      </x:c>
      <x:c r="L7013" s="6" t="n">
        <x:f>J7013*K7013</x:f>
        <x:v>0</x:v>
      </x:c>
    </x:row>
    <x:row r="7014">
      <x:c r="A7014" s="1" t="n">
        <x:v>55299</x:v>
      </x:c>
      <x:c r="B7014" s="5" t="d">
        <x:v>2017-03-18T00:00:00.000Z</x:v>
      </x:c>
      <x:c r="C7014" s="1" t="str">
        <x:v>Standard Class</x:v>
      </x:c>
      <x:c r="D7014" s="1" t="str">
        <x:v>LATAM</x:v>
      </x:c>
      <x:c r="E7014" s="1" t="str">
        <x:v>PENDING_PAYMENT</x:v>
      </x:c>
      <x:c r="F7014" s="1" t="str">
        <x:v>Late delivery</x:v>
      </x:c>
      <x:c r="G7014" s="6" t="n">
        <x:v>5</x:v>
      </x:c>
      <x:c r="H7014" s="6" t="n">
        <x:v>4</x:v>
      </x:c>
      <x:c r="I7014" s="6" t="n">
        <x:f>G7014-H7014</x:f>
        <x:v>1</x:v>
      </x:c>
      <x:c r="J7014" s="6" t="n">
        <x:f>IF(OR(E7014="CANCELED",E7014="SUSPECTED_FRAUD",F7014="Shipping canceled"),0,1)</x:f>
        <x:v>1</x:v>
      </x:c>
      <x:c r="K7014" s="6" t="n">
        <x:f>IF(G7014&gt;H7014,1,0)</x:f>
        <x:v>1</x:v>
      </x:c>
      <x:c r="L7014" s="6" t="n">
        <x:f>J7014*K7014</x:f>
        <x:v>1</x:v>
      </x:c>
    </x:row>
    <x:row r="7015">
      <x:c r="A7015" s="1" t="n">
        <x:v>55333</x:v>
      </x:c>
      <x:c r="B7015" s="5" t="d">
        <x:v>2017-03-18T00:00:00.000Z</x:v>
      </x:c>
      <x:c r="C7015" s="1" t="str">
        <x:v>Standard Class</x:v>
      </x:c>
      <x:c r="D7015" s="1" t="str">
        <x:v>LATAM</x:v>
      </x:c>
      <x:c r="E7015" s="1" t="str">
        <x:v>CLOSED</x:v>
      </x:c>
      <x:c r="F7015" s="1" t="str">
        <x:v>Shipping on time</x:v>
      </x:c>
      <x:c r="G7015" s="6" t="n">
        <x:v>4</x:v>
      </x:c>
      <x:c r="H7015" s="6" t="n">
        <x:v>4</x:v>
      </x:c>
      <x:c r="I7015" s="6" t="n">
        <x:f>G7015-H7015</x:f>
        <x:v>0</x:v>
      </x:c>
      <x:c r="J7015" s="6" t="n">
        <x:f>IF(OR(E7015="CANCELED",E7015="SUSPECTED_FRAUD",F7015="Shipping canceled"),0,1)</x:f>
        <x:v>1</x:v>
      </x:c>
      <x:c r="K7015" s="6" t="n">
        <x:f>IF(G7015&gt;H7015,1,0)</x:f>
        <x:v>0</x:v>
      </x:c>
      <x:c r="L7015" s="6" t="n">
        <x:f>J7015*K7015</x:f>
        <x:v>0</x:v>
      </x:c>
    </x:row>
    <x:row r="7016">
      <x:c r="A7016" s="1" t="n">
        <x:v>55336</x:v>
      </x:c>
      <x:c r="B7016" s="5" t="d">
        <x:v>2017-03-18T00:00:00.000Z</x:v>
      </x:c>
      <x:c r="C7016" s="1" t="str">
        <x:v>Standard Class</x:v>
      </x:c>
      <x:c r="D7016" s="1" t="str">
        <x:v>LATAM</x:v>
      </x:c>
      <x:c r="E7016" s="1" t="str">
        <x:v>PROCESSING</x:v>
      </x:c>
      <x:c r="F7016" s="1" t="str">
        <x:v>Advance shipping</x:v>
      </x:c>
      <x:c r="G7016" s="6" t="n">
        <x:v>2</x:v>
      </x:c>
      <x:c r="H7016" s="6" t="n">
        <x:v>4</x:v>
      </x:c>
      <x:c r="I7016" s="6" t="n">
        <x:f>G7016-H7016</x:f>
        <x:v>-2</x:v>
      </x:c>
      <x:c r="J7016" s="6" t="n">
        <x:f>IF(OR(E7016="CANCELED",E7016="SUSPECTED_FRAUD",F7016="Shipping canceled"),0,1)</x:f>
        <x:v>1</x:v>
      </x:c>
      <x:c r="K7016" s="6" t="n">
        <x:f>IF(G7016&gt;H7016,1,0)</x:f>
        <x:v>0</x:v>
      </x:c>
      <x:c r="L7016" s="6" t="n">
        <x:f>J7016*K7016</x:f>
        <x:v>0</x:v>
      </x:c>
    </x:row>
    <x:row r="7017">
      <x:c r="A7017" s="1" t="n">
        <x:v>55368</x:v>
      </x:c>
      <x:c r="B7017" s="5" t="d">
        <x:v>2017-03-19T00:00:00.000Z</x:v>
      </x:c>
      <x:c r="C7017" s="1" t="str">
        <x:v>Standard Class</x:v>
      </x:c>
      <x:c r="D7017" s="1" t="str">
        <x:v>LATAM</x:v>
      </x:c>
      <x:c r="E7017" s="1" t="str">
        <x:v>ON_HOLD</x:v>
      </x:c>
      <x:c r="F7017" s="1" t="str">
        <x:v>Shipping on time</x:v>
      </x:c>
      <x:c r="G7017" s="6" t="n">
        <x:v>4</x:v>
      </x:c>
      <x:c r="H7017" s="6" t="n">
        <x:v>4</x:v>
      </x:c>
      <x:c r="I7017" s="6" t="n">
        <x:f>G7017-H7017</x:f>
        <x:v>0</x:v>
      </x:c>
      <x:c r="J7017" s="6" t="n">
        <x:f>IF(OR(E7017="CANCELED",E7017="SUSPECTED_FRAUD",F7017="Shipping canceled"),0,1)</x:f>
        <x:v>1</x:v>
      </x:c>
      <x:c r="K7017" s="6" t="n">
        <x:f>IF(G7017&gt;H7017,1,0)</x:f>
        <x:v>0</x:v>
      </x:c>
      <x:c r="L7017" s="6" t="n">
        <x:f>J7017*K7017</x:f>
        <x:v>0</x:v>
      </x:c>
    </x:row>
    <x:row r="7018">
      <x:c r="A7018" s="1" t="n">
        <x:v>55369</x:v>
      </x:c>
      <x:c r="B7018" s="5" t="d">
        <x:v>2017-03-19T00:00:00.000Z</x:v>
      </x:c>
      <x:c r="C7018" s="1" t="str">
        <x:v>Standard Class</x:v>
      </x:c>
      <x:c r="D7018" s="1" t="str">
        <x:v>LATAM</x:v>
      </x:c>
      <x:c r="E7018" s="1" t="str">
        <x:v>PENDING_PAYMENT</x:v>
      </x:c>
      <x:c r="F7018" s="1" t="str">
        <x:v>Late delivery</x:v>
      </x:c>
      <x:c r="G7018" s="6" t="n">
        <x:v>5</x:v>
      </x:c>
      <x:c r="H7018" s="6" t="n">
        <x:v>4</x:v>
      </x:c>
      <x:c r="I7018" s="6" t="n">
        <x:f>G7018-H7018</x:f>
        <x:v>1</x:v>
      </x:c>
      <x:c r="J7018" s="6" t="n">
        <x:f>IF(OR(E7018="CANCELED",E7018="SUSPECTED_FRAUD",F7018="Shipping canceled"),0,1)</x:f>
        <x:v>1</x:v>
      </x:c>
      <x:c r="K7018" s="6" t="n">
        <x:f>IF(G7018&gt;H7018,1,0)</x:f>
        <x:v>1</x:v>
      </x:c>
      <x:c r="L7018" s="6" t="n">
        <x:f>J7018*K7018</x:f>
        <x:v>1</x:v>
      </x:c>
    </x:row>
    <x:row r="7019">
      <x:c r="A7019" s="1" t="n">
        <x:v>55370</x:v>
      </x:c>
      <x:c r="B7019" s="5" t="d">
        <x:v>2017-03-19T00:00:00.000Z</x:v>
      </x:c>
      <x:c r="C7019" s="1" t="str">
        <x:v>Second Class</x:v>
      </x:c>
      <x:c r="D7019" s="1" t="str">
        <x:v>LATAM</x:v>
      </x:c>
      <x:c r="E7019" s="1" t="str">
        <x:v>PENDING</x:v>
      </x:c>
      <x:c r="F7019" s="1" t="str">
        <x:v>Late delivery</x:v>
      </x:c>
      <x:c r="G7019" s="6" t="n">
        <x:v>6</x:v>
      </x:c>
      <x:c r="H7019" s="6" t="n">
        <x:v>2</x:v>
      </x:c>
      <x:c r="I7019" s="6" t="n">
        <x:f>G7019-H7019</x:f>
        <x:v>4</x:v>
      </x:c>
      <x:c r="J7019" s="6" t="n">
        <x:f>IF(OR(E7019="CANCELED",E7019="SUSPECTED_FRAUD",F7019="Shipping canceled"),0,1)</x:f>
        <x:v>1</x:v>
      </x:c>
      <x:c r="K7019" s="6" t="n">
        <x:f>IF(G7019&gt;H7019,1,0)</x:f>
        <x:v>1</x:v>
      </x:c>
      <x:c r="L7019" s="6" t="n">
        <x:f>J7019*K7019</x:f>
        <x:v>1</x:v>
      </x:c>
    </x:row>
    <x:row r="7020">
      <x:c r="A7020" s="1" t="n">
        <x:v>55380</x:v>
      </x:c>
      <x:c r="B7020" s="5" t="d">
        <x:v>2017-03-19T00:00:00.000Z</x:v>
      </x:c>
      <x:c r="C7020" s="1" t="str">
        <x:v>Standard Class</x:v>
      </x:c>
      <x:c r="D7020" s="1" t="str">
        <x:v>LATAM</x:v>
      </x:c>
      <x:c r="E7020" s="1" t="str">
        <x:v>PROCESSING</x:v>
      </x:c>
      <x:c r="F7020" s="1" t="str">
        <x:v>Late delivery</x:v>
      </x:c>
      <x:c r="G7020" s="6" t="n">
        <x:v>6</x:v>
      </x:c>
      <x:c r="H7020" s="6" t="n">
        <x:v>4</x:v>
      </x:c>
      <x:c r="I7020" s="6" t="n">
        <x:f>G7020-H7020</x:f>
        <x:v>2</x:v>
      </x:c>
      <x:c r="J7020" s="6" t="n">
        <x:f>IF(OR(E7020="CANCELED",E7020="SUSPECTED_FRAUD",F7020="Shipping canceled"),0,1)</x:f>
        <x:v>1</x:v>
      </x:c>
      <x:c r="K7020" s="6" t="n">
        <x:f>IF(G7020&gt;H7020,1,0)</x:f>
        <x:v>1</x:v>
      </x:c>
      <x:c r="L7020" s="6" t="n">
        <x:f>J7020*K7020</x:f>
        <x:v>1</x:v>
      </x:c>
    </x:row>
    <x:row r="7021">
      <x:c r="A7021" s="1" t="n">
        <x:v>55407</x:v>
      </x:c>
      <x:c r="B7021" s="5" t="d">
        <x:v>2017-03-19T00:00:00.000Z</x:v>
      </x:c>
      <x:c r="C7021" s="1" t="str">
        <x:v>Standard Class</x:v>
      </x:c>
      <x:c r="D7021" s="1" t="str">
        <x:v>LATAM</x:v>
      </x:c>
      <x:c r="E7021" s="1" t="str">
        <x:v>COMPLETE</x:v>
      </x:c>
      <x:c r="F7021" s="1" t="str">
        <x:v>Advance shipping</x:v>
      </x:c>
      <x:c r="G7021" s="6" t="n">
        <x:v>3</x:v>
      </x:c>
      <x:c r="H7021" s="6" t="n">
        <x:v>4</x:v>
      </x:c>
      <x:c r="I7021" s="6" t="n">
        <x:f>G7021-H7021</x:f>
        <x:v>-1</x:v>
      </x:c>
      <x:c r="J7021" s="6" t="n">
        <x:f>IF(OR(E7021="CANCELED",E7021="SUSPECTED_FRAUD",F7021="Shipping canceled"),0,1)</x:f>
        <x:v>1</x:v>
      </x:c>
      <x:c r="K7021" s="6" t="n">
        <x:f>IF(G7021&gt;H7021,1,0)</x:f>
        <x:v>0</x:v>
      </x:c>
      <x:c r="L7021" s="6" t="n">
        <x:f>J7021*K7021</x:f>
        <x:v>0</x:v>
      </x:c>
    </x:row>
    <x:row r="7022">
      <x:c r="A7022" s="1" t="n">
        <x:v>55409</x:v>
      </x:c>
      <x:c r="B7022" s="5" t="d">
        <x:v>2017-03-19T00:00:00.000Z</x:v>
      </x:c>
      <x:c r="C7022" s="1" t="str">
        <x:v>Standard Class</x:v>
      </x:c>
      <x:c r="D7022" s="1" t="str">
        <x:v>LATAM</x:v>
      </x:c>
      <x:c r="E7022" s="1" t="str">
        <x:v>PROCESSING</x:v>
      </x:c>
      <x:c r="F7022" s="1" t="str">
        <x:v>Late delivery</x:v>
      </x:c>
      <x:c r="G7022" s="6" t="n">
        <x:v>5</x:v>
      </x:c>
      <x:c r="H7022" s="6" t="n">
        <x:v>4</x:v>
      </x:c>
      <x:c r="I7022" s="6" t="n">
        <x:f>G7022-H7022</x:f>
        <x:v>1</x:v>
      </x:c>
      <x:c r="J7022" s="6" t="n">
        <x:f>IF(OR(E7022="CANCELED",E7022="SUSPECTED_FRAUD",F7022="Shipping canceled"),0,1)</x:f>
        <x:v>1</x:v>
      </x:c>
      <x:c r="K7022" s="6" t="n">
        <x:f>IF(G7022&gt;H7022,1,0)</x:f>
        <x:v>1</x:v>
      </x:c>
      <x:c r="L7022" s="6" t="n">
        <x:f>J7022*K7022</x:f>
        <x:v>1</x:v>
      </x:c>
    </x:row>
    <x:row r="7023">
      <x:c r="A7023" s="1" t="n">
        <x:v>55414</x:v>
      </x:c>
      <x:c r="B7023" s="5" t="d">
        <x:v>2017-03-19T00:00:00.000Z</x:v>
      </x:c>
      <x:c r="C7023" s="1" t="str">
        <x:v>Standard Class</x:v>
      </x:c>
      <x:c r="D7023" s="1" t="str">
        <x:v>LATAM</x:v>
      </x:c>
      <x:c r="E7023" s="1" t="str">
        <x:v>PENDING_PAYMENT</x:v>
      </x:c>
      <x:c r="F7023" s="1" t="str">
        <x:v>Late delivery</x:v>
      </x:c>
      <x:c r="G7023" s="6" t="n">
        <x:v>5</x:v>
      </x:c>
      <x:c r="H7023" s="6" t="n">
        <x:v>4</x:v>
      </x:c>
      <x:c r="I7023" s="6" t="n">
        <x:f>G7023-H7023</x:f>
        <x:v>1</x:v>
      </x:c>
      <x:c r="J7023" s="6" t="n">
        <x:f>IF(OR(E7023="CANCELED",E7023="SUSPECTED_FRAUD",F7023="Shipping canceled"),0,1)</x:f>
        <x:v>1</x:v>
      </x:c>
      <x:c r="K7023" s="6" t="n">
        <x:f>IF(G7023&gt;H7023,1,0)</x:f>
        <x:v>1</x:v>
      </x:c>
      <x:c r="L7023" s="6" t="n">
        <x:f>J7023*K7023</x:f>
        <x:v>1</x:v>
      </x:c>
    </x:row>
    <x:row r="7024">
      <x:c r="A7024" s="1" t="n">
        <x:v>55417</x:v>
      </x:c>
      <x:c r="B7024" s="5" t="d">
        <x:v>2017-03-19T00:00:00.000Z</x:v>
      </x:c>
      <x:c r="C7024" s="1" t="str">
        <x:v>Standard Class</x:v>
      </x:c>
      <x:c r="D7024" s="1" t="str">
        <x:v>LATAM</x:v>
      </x:c>
      <x:c r="E7024" s="1" t="str">
        <x:v>PENDING</x:v>
      </x:c>
      <x:c r="F7024" s="1" t="str">
        <x:v>Advance shipping</x:v>
      </x:c>
      <x:c r="G7024" s="6" t="n">
        <x:v>3</x:v>
      </x:c>
      <x:c r="H7024" s="6" t="n">
        <x:v>4</x:v>
      </x:c>
      <x:c r="I7024" s="6" t="n">
        <x:f>G7024-H7024</x:f>
        <x:v>-1</x:v>
      </x:c>
      <x:c r="J7024" s="6" t="n">
        <x:f>IF(OR(E7024="CANCELED",E7024="SUSPECTED_FRAUD",F7024="Shipping canceled"),0,1)</x:f>
        <x:v>1</x:v>
      </x:c>
      <x:c r="K7024" s="6" t="n">
        <x:f>IF(G7024&gt;H7024,1,0)</x:f>
        <x:v>0</x:v>
      </x:c>
      <x:c r="L7024" s="6" t="n">
        <x:f>J7024*K7024</x:f>
        <x:v>0</x:v>
      </x:c>
    </x:row>
    <x:row r="7025">
      <x:c r="A7025" s="1" t="n">
        <x:v>55426</x:v>
      </x:c>
      <x:c r="B7025" s="5" t="d">
        <x:v>2017-03-20T00:00:00.000Z</x:v>
      </x:c>
      <x:c r="C7025" s="1" t="str">
        <x:v>Standard Class</x:v>
      </x:c>
      <x:c r="D7025" s="1" t="str">
        <x:v>LATAM</x:v>
      </x:c>
      <x:c r="E7025" s="1" t="str">
        <x:v>PROCESSING</x:v>
      </x:c>
      <x:c r="F7025" s="1" t="str">
        <x:v>Advance shipping</x:v>
      </x:c>
      <x:c r="G7025" s="6" t="n">
        <x:v>2</x:v>
      </x:c>
      <x:c r="H7025" s="6" t="n">
        <x:v>4</x:v>
      </x:c>
      <x:c r="I7025" s="6" t="n">
        <x:f>G7025-H7025</x:f>
        <x:v>-2</x:v>
      </x:c>
      <x:c r="J7025" s="6" t="n">
        <x:f>IF(OR(E7025="CANCELED",E7025="SUSPECTED_FRAUD",F7025="Shipping canceled"),0,1)</x:f>
        <x:v>1</x:v>
      </x:c>
      <x:c r="K7025" s="6" t="n">
        <x:f>IF(G7025&gt;H7025,1,0)</x:f>
        <x:v>0</x:v>
      </x:c>
      <x:c r="L7025" s="6" t="n">
        <x:f>J7025*K7025</x:f>
        <x:v>0</x:v>
      </x:c>
    </x:row>
    <x:row r="7026">
      <x:c r="A7026" s="1" t="n">
        <x:v>55429</x:v>
      </x:c>
      <x:c r="B7026" s="5" t="d">
        <x:v>2017-03-20T00:00:00.000Z</x:v>
      </x:c>
      <x:c r="C7026" s="1" t="str">
        <x:v>Standard Class</x:v>
      </x:c>
      <x:c r="D7026" s="1" t="str">
        <x:v>LATAM</x:v>
      </x:c>
      <x:c r="E7026" s="1" t="str">
        <x:v>PENDING</x:v>
      </x:c>
      <x:c r="F7026" s="1" t="str">
        <x:v>Late delivery</x:v>
      </x:c>
      <x:c r="G7026" s="6" t="n">
        <x:v>5</x:v>
      </x:c>
      <x:c r="H7026" s="6" t="n">
        <x:v>4</x:v>
      </x:c>
      <x:c r="I7026" s="6" t="n">
        <x:f>G7026-H7026</x:f>
        <x:v>1</x:v>
      </x:c>
      <x:c r="J7026" s="6" t="n">
        <x:f>IF(OR(E7026="CANCELED",E7026="SUSPECTED_FRAUD",F7026="Shipping canceled"),0,1)</x:f>
        <x:v>1</x:v>
      </x:c>
      <x:c r="K7026" s="6" t="n">
        <x:f>IF(G7026&gt;H7026,1,0)</x:f>
        <x:v>1</x:v>
      </x:c>
      <x:c r="L7026" s="6" t="n">
        <x:f>J7026*K7026</x:f>
        <x:v>1</x:v>
      </x:c>
    </x:row>
    <x:row r="7027">
      <x:c r="A7027" s="1" t="n">
        <x:v>55440</x:v>
      </x:c>
      <x:c r="B7027" s="5" t="d">
        <x:v>2017-03-20T00:00:00.000Z</x:v>
      </x:c>
      <x:c r="C7027" s="1" t="str">
        <x:v>Second Class</x:v>
      </x:c>
      <x:c r="D7027" s="1" t="str">
        <x:v>LATAM</x:v>
      </x:c>
      <x:c r="E7027" s="1" t="str">
        <x:v>PENDING</x:v>
      </x:c>
      <x:c r="F7027" s="1" t="str">
        <x:v>Late delivery</x:v>
      </x:c>
      <x:c r="G7027" s="6" t="n">
        <x:v>6</x:v>
      </x:c>
      <x:c r="H7027" s="6" t="n">
        <x:v>2</x:v>
      </x:c>
      <x:c r="I7027" s="6" t="n">
        <x:f>G7027-H7027</x:f>
        <x:v>4</x:v>
      </x:c>
      <x:c r="J7027" s="6" t="n">
        <x:f>IF(OR(E7027="CANCELED",E7027="SUSPECTED_FRAUD",F7027="Shipping canceled"),0,1)</x:f>
        <x:v>1</x:v>
      </x:c>
      <x:c r="K7027" s="6" t="n">
        <x:f>IF(G7027&gt;H7027,1,0)</x:f>
        <x:v>1</x:v>
      </x:c>
      <x:c r="L7027" s="6" t="n">
        <x:f>J7027*K7027</x:f>
        <x:v>1</x:v>
      </x:c>
    </x:row>
    <x:row r="7028">
      <x:c r="A7028" s="1" t="n">
        <x:v>55447</x:v>
      </x:c>
      <x:c r="B7028" s="5" t="d">
        <x:v>2017-03-20T00:00:00.000Z</x:v>
      </x:c>
      <x:c r="C7028" s="1" t="str">
        <x:v>Standard Class</x:v>
      </x:c>
      <x:c r="D7028" s="1" t="str">
        <x:v>LATAM</x:v>
      </x:c>
      <x:c r="E7028" s="1" t="str">
        <x:v>COMPLETE</x:v>
      </x:c>
      <x:c r="F7028" s="1" t="str">
        <x:v>Advance shipping</x:v>
      </x:c>
      <x:c r="G7028" s="6" t="n">
        <x:v>3</x:v>
      </x:c>
      <x:c r="H7028" s="6" t="n">
        <x:v>4</x:v>
      </x:c>
      <x:c r="I7028" s="6" t="n">
        <x:f>G7028-H7028</x:f>
        <x:v>-1</x:v>
      </x:c>
      <x:c r="J7028" s="6" t="n">
        <x:f>IF(OR(E7028="CANCELED",E7028="SUSPECTED_FRAUD",F7028="Shipping canceled"),0,1)</x:f>
        <x:v>1</x:v>
      </x:c>
      <x:c r="K7028" s="6" t="n">
        <x:f>IF(G7028&gt;H7028,1,0)</x:f>
        <x:v>0</x:v>
      </x:c>
      <x:c r="L7028" s="6" t="n">
        <x:f>J7028*K7028</x:f>
        <x:v>0</x:v>
      </x:c>
    </x:row>
    <x:row r="7029">
      <x:c r="A7029" s="1" t="n">
        <x:v>55461</x:v>
      </x:c>
      <x:c r="B7029" s="5" t="d">
        <x:v>2017-03-20T00:00:00.000Z</x:v>
      </x:c>
      <x:c r="C7029" s="1" t="str">
        <x:v>Standard Class</x:v>
      </x:c>
      <x:c r="D7029" s="1" t="str">
        <x:v>LATAM</x:v>
      </x:c>
      <x:c r="E7029" s="1" t="str">
        <x:v>CLOSED</x:v>
      </x:c>
      <x:c r="F7029" s="1" t="str">
        <x:v>Advance shipping</x:v>
      </x:c>
      <x:c r="G7029" s="6" t="n">
        <x:v>2</x:v>
      </x:c>
      <x:c r="H7029" s="6" t="n">
        <x:v>4</x:v>
      </x:c>
      <x:c r="I7029" s="6" t="n">
        <x:f>G7029-H7029</x:f>
        <x:v>-2</x:v>
      </x:c>
      <x:c r="J7029" s="6" t="n">
        <x:f>IF(OR(E7029="CANCELED",E7029="SUSPECTED_FRAUD",F7029="Shipping canceled"),0,1)</x:f>
        <x:v>1</x:v>
      </x:c>
      <x:c r="K7029" s="6" t="n">
        <x:f>IF(G7029&gt;H7029,1,0)</x:f>
        <x:v>0</x:v>
      </x:c>
      <x:c r="L7029" s="6" t="n">
        <x:f>J7029*K7029</x:f>
        <x:v>0</x:v>
      </x:c>
    </x:row>
    <x:row r="7030">
      <x:c r="A7030" s="1" t="n">
        <x:v>55464</x:v>
      </x:c>
      <x:c r="B7030" s="5" t="d">
        <x:v>2017-03-20T00:00:00.000Z</x:v>
      </x:c>
      <x:c r="C7030" s="1" t="str">
        <x:v>Standard Class</x:v>
      </x:c>
      <x:c r="D7030" s="1" t="str">
        <x:v>LATAM</x:v>
      </x:c>
      <x:c r="E7030" s="1" t="str">
        <x:v>COMPLETE</x:v>
      </x:c>
      <x:c r="F7030" s="1" t="str">
        <x:v>Late delivery</x:v>
      </x:c>
      <x:c r="G7030" s="6" t="n">
        <x:v>5</x:v>
      </x:c>
      <x:c r="H7030" s="6" t="n">
        <x:v>4</x:v>
      </x:c>
      <x:c r="I7030" s="6" t="n">
        <x:f>G7030-H7030</x:f>
        <x:v>1</x:v>
      </x:c>
      <x:c r="J7030" s="6" t="n">
        <x:f>IF(OR(E7030="CANCELED",E7030="SUSPECTED_FRAUD",F7030="Shipping canceled"),0,1)</x:f>
        <x:v>1</x:v>
      </x:c>
      <x:c r="K7030" s="6" t="n">
        <x:f>IF(G7030&gt;H7030,1,0)</x:f>
        <x:v>1</x:v>
      </x:c>
      <x:c r="L7030" s="6" t="n">
        <x:f>J7030*K7030</x:f>
        <x:v>1</x:v>
      </x:c>
    </x:row>
    <x:row r="7031">
      <x:c r="A7031" s="1" t="n">
        <x:v>55479</x:v>
      </x:c>
      <x:c r="B7031" s="5" t="d">
        <x:v>2017-03-20T00:00:00.000Z</x:v>
      </x:c>
      <x:c r="C7031" s="1" t="str">
        <x:v>Standard Class</x:v>
      </x:c>
      <x:c r="D7031" s="1" t="str">
        <x:v>LATAM</x:v>
      </x:c>
      <x:c r="E7031" s="1" t="str">
        <x:v>PROCESSING</x:v>
      </x:c>
      <x:c r="F7031" s="1" t="str">
        <x:v>Late delivery</x:v>
      </x:c>
      <x:c r="G7031" s="6" t="n">
        <x:v>5</x:v>
      </x:c>
      <x:c r="H7031" s="6" t="n">
        <x:v>4</x:v>
      </x:c>
      <x:c r="I7031" s="6" t="n">
        <x:f>G7031-H7031</x:f>
        <x:v>1</x:v>
      </x:c>
      <x:c r="J7031" s="6" t="n">
        <x:f>IF(OR(E7031="CANCELED",E7031="SUSPECTED_FRAUD",F7031="Shipping canceled"),0,1)</x:f>
        <x:v>1</x:v>
      </x:c>
      <x:c r="K7031" s="6" t="n">
        <x:f>IF(G7031&gt;H7031,1,0)</x:f>
        <x:v>1</x:v>
      </x:c>
      <x:c r="L7031" s="6" t="n">
        <x:f>J7031*K7031</x:f>
        <x:v>1</x:v>
      </x:c>
    </x:row>
    <x:row r="7032">
      <x:c r="A7032" s="1" t="n">
        <x:v>55482</x:v>
      </x:c>
      <x:c r="B7032" s="5" t="d">
        <x:v>2017-03-20T00:00:00.000Z</x:v>
      </x:c>
      <x:c r="C7032" s="1" t="str">
        <x:v>Standard Class</x:v>
      </x:c>
      <x:c r="D7032" s="1" t="str">
        <x:v>LATAM</x:v>
      </x:c>
      <x:c r="E7032" s="1" t="str">
        <x:v>COMPLETE</x:v>
      </x:c>
      <x:c r="F7032" s="1" t="str">
        <x:v>Advance shipping</x:v>
      </x:c>
      <x:c r="G7032" s="6" t="n">
        <x:v>3</x:v>
      </x:c>
      <x:c r="H7032" s="6" t="n">
        <x:v>4</x:v>
      </x:c>
      <x:c r="I7032" s="6" t="n">
        <x:f>G7032-H7032</x:f>
        <x:v>-1</x:v>
      </x:c>
      <x:c r="J7032" s="6" t="n">
        <x:f>IF(OR(E7032="CANCELED",E7032="SUSPECTED_FRAUD",F7032="Shipping canceled"),0,1)</x:f>
        <x:v>1</x:v>
      </x:c>
      <x:c r="K7032" s="6" t="n">
        <x:f>IF(G7032&gt;H7032,1,0)</x:f>
        <x:v>0</x:v>
      </x:c>
      <x:c r="L7032" s="6" t="n">
        <x:f>J7032*K7032</x:f>
        <x:v>0</x:v>
      </x:c>
    </x:row>
    <x:row r="7033">
      <x:c r="A7033" s="1" t="n">
        <x:v>55508</x:v>
      </x:c>
      <x:c r="B7033" s="5" t="d">
        <x:v>2017-03-21T00:00:00.000Z</x:v>
      </x:c>
      <x:c r="C7033" s="1" t="str">
        <x:v>Standard Class</x:v>
      </x:c>
      <x:c r="D7033" s="1" t="str">
        <x:v>LATAM</x:v>
      </x:c>
      <x:c r="E7033" s="1" t="str">
        <x:v>PROCESSING</x:v>
      </x:c>
      <x:c r="F7033" s="1" t="str">
        <x:v>Shipping on time</x:v>
      </x:c>
      <x:c r="G7033" s="6" t="n">
        <x:v>4</x:v>
      </x:c>
      <x:c r="H7033" s="6" t="n">
        <x:v>4</x:v>
      </x:c>
      <x:c r="I7033" s="6" t="n">
        <x:f>G7033-H7033</x:f>
        <x:v>0</x:v>
      </x:c>
      <x:c r="J7033" s="6" t="n">
        <x:f>IF(OR(E7033="CANCELED",E7033="SUSPECTED_FRAUD",F7033="Shipping canceled"),0,1)</x:f>
        <x:v>1</x:v>
      </x:c>
      <x:c r="K7033" s="6" t="n">
        <x:f>IF(G7033&gt;H7033,1,0)</x:f>
        <x:v>0</x:v>
      </x:c>
      <x:c r="L7033" s="6" t="n">
        <x:f>J7033*K7033</x:f>
        <x:v>0</x:v>
      </x:c>
    </x:row>
    <x:row r="7034">
      <x:c r="A7034" s="1" t="n">
        <x:v>55509</x:v>
      </x:c>
      <x:c r="B7034" s="5" t="d">
        <x:v>2017-03-21T00:00:00.000Z</x:v>
      </x:c>
      <x:c r="C7034" s="1" t="str">
        <x:v>Standard Class</x:v>
      </x:c>
      <x:c r="D7034" s="1" t="str">
        <x:v>LATAM</x:v>
      </x:c>
      <x:c r="E7034" s="1" t="str">
        <x:v>COMPLETE</x:v>
      </x:c>
      <x:c r="F7034" s="1" t="str">
        <x:v>Late delivery</x:v>
      </x:c>
      <x:c r="G7034" s="6" t="n">
        <x:v>5</x:v>
      </x:c>
      <x:c r="H7034" s="6" t="n">
        <x:v>4</x:v>
      </x:c>
      <x:c r="I7034" s="6" t="n">
        <x:f>G7034-H7034</x:f>
        <x:v>1</x:v>
      </x:c>
      <x:c r="J7034" s="6" t="n">
        <x:f>IF(OR(E7034="CANCELED",E7034="SUSPECTED_FRAUD",F7034="Shipping canceled"),0,1)</x:f>
        <x:v>1</x:v>
      </x:c>
      <x:c r="K7034" s="6" t="n">
        <x:f>IF(G7034&gt;H7034,1,0)</x:f>
        <x:v>1</x:v>
      </x:c>
      <x:c r="L7034" s="6" t="n">
        <x:f>J7034*K7034</x:f>
        <x:v>1</x:v>
      </x:c>
    </x:row>
    <x:row r="7035">
      <x:c r="A7035" s="1" t="n">
        <x:v>55511</x:v>
      </x:c>
      <x:c r="B7035" s="5" t="d">
        <x:v>2017-03-21T00:00:00.000Z</x:v>
      </x:c>
      <x:c r="C7035" s="1" t="str">
        <x:v>Second Class</x:v>
      </x:c>
      <x:c r="D7035" s="1" t="str">
        <x:v>LATAM</x:v>
      </x:c>
      <x:c r="E7035" s="1" t="str">
        <x:v>PENDING_PAYMENT</x:v>
      </x:c>
      <x:c r="F7035" s="1" t="str">
        <x:v>Shipping on time</x:v>
      </x:c>
      <x:c r="G7035" s="6" t="n">
        <x:v>2</x:v>
      </x:c>
      <x:c r="H7035" s="6" t="n">
        <x:v>2</x:v>
      </x:c>
      <x:c r="I7035" s="6" t="n">
        <x:f>G7035-H7035</x:f>
        <x:v>0</x:v>
      </x:c>
      <x:c r="J7035" s="6" t="n">
        <x:f>IF(OR(E7035="CANCELED",E7035="SUSPECTED_FRAUD",F7035="Shipping canceled"),0,1)</x:f>
        <x:v>1</x:v>
      </x:c>
      <x:c r="K7035" s="6" t="n">
        <x:f>IF(G7035&gt;H7035,1,0)</x:f>
        <x:v>0</x:v>
      </x:c>
      <x:c r="L7035" s="6" t="n">
        <x:f>J7035*K7035</x:f>
        <x:v>0</x:v>
      </x:c>
    </x:row>
    <x:row r="7036">
      <x:c r="A7036" s="1" t="n">
        <x:v>55532</x:v>
      </x:c>
      <x:c r="B7036" s="5" t="d">
        <x:v>2017-03-21T00:00:00.000Z</x:v>
      </x:c>
      <x:c r="C7036" s="1" t="str">
        <x:v>Standard Class</x:v>
      </x:c>
      <x:c r="D7036" s="1" t="str">
        <x:v>LATAM</x:v>
      </x:c>
      <x:c r="E7036" s="1" t="str">
        <x:v>COMPLETE</x:v>
      </x:c>
      <x:c r="F7036" s="1" t="str">
        <x:v>Advance shipping</x:v>
      </x:c>
      <x:c r="G7036" s="6" t="n">
        <x:v>3</x:v>
      </x:c>
      <x:c r="H7036" s="6" t="n">
        <x:v>4</x:v>
      </x:c>
      <x:c r="I7036" s="6" t="n">
        <x:f>G7036-H7036</x:f>
        <x:v>-1</x:v>
      </x:c>
      <x:c r="J7036" s="6" t="n">
        <x:f>IF(OR(E7036="CANCELED",E7036="SUSPECTED_FRAUD",F7036="Shipping canceled"),0,1)</x:f>
        <x:v>1</x:v>
      </x:c>
      <x:c r="K7036" s="6" t="n">
        <x:f>IF(G7036&gt;H7036,1,0)</x:f>
        <x:v>0</x:v>
      </x:c>
      <x:c r="L7036" s="6" t="n">
        <x:f>J7036*K7036</x:f>
        <x:v>0</x:v>
      </x:c>
    </x:row>
    <x:row r="7037">
      <x:c r="A7037" s="1" t="n">
        <x:v>55553</x:v>
      </x:c>
      <x:c r="B7037" s="5" t="d">
        <x:v>2017-03-21T00:00:00.000Z</x:v>
      </x:c>
      <x:c r="C7037" s="1" t="str">
        <x:v>Standard Class</x:v>
      </x:c>
      <x:c r="D7037" s="1" t="str">
        <x:v>LATAM</x:v>
      </x:c>
      <x:c r="E7037" s="1" t="str">
        <x:v>PROCESSING</x:v>
      </x:c>
      <x:c r="F7037" s="1" t="str">
        <x:v>Shipping on time</x:v>
      </x:c>
      <x:c r="G7037" s="6" t="n">
        <x:v>4</x:v>
      </x:c>
      <x:c r="H7037" s="6" t="n">
        <x:v>4</x:v>
      </x:c>
      <x:c r="I7037" s="6" t="n">
        <x:f>G7037-H7037</x:f>
        <x:v>0</x:v>
      </x:c>
      <x:c r="J7037" s="6" t="n">
        <x:f>IF(OR(E7037="CANCELED",E7037="SUSPECTED_FRAUD",F7037="Shipping canceled"),0,1)</x:f>
        <x:v>1</x:v>
      </x:c>
      <x:c r="K7037" s="6" t="n">
        <x:f>IF(G7037&gt;H7037,1,0)</x:f>
        <x:v>0</x:v>
      </x:c>
      <x:c r="L7037" s="6" t="n">
        <x:f>J7037*K7037</x:f>
        <x:v>0</x:v>
      </x:c>
    </x:row>
    <x:row r="7038">
      <x:c r="A7038" s="1" t="n">
        <x:v>55566</x:v>
      </x:c>
      <x:c r="B7038" s="5" t="d">
        <x:v>2017-03-22T00:00:00.000Z</x:v>
      </x:c>
      <x:c r="C7038" s="1" t="str">
        <x:v>Standard Class</x:v>
      </x:c>
      <x:c r="D7038" s="1" t="str">
        <x:v>LATAM</x:v>
      </x:c>
      <x:c r="E7038" s="1" t="str">
        <x:v>PROCESSING</x:v>
      </x:c>
      <x:c r="F7038" s="1" t="str">
        <x:v>Advance shipping</x:v>
      </x:c>
      <x:c r="G7038" s="6" t="n">
        <x:v>2</x:v>
      </x:c>
      <x:c r="H7038" s="6" t="n">
        <x:v>4</x:v>
      </x:c>
      <x:c r="I7038" s="6" t="n">
        <x:f>G7038-H7038</x:f>
        <x:v>-2</x:v>
      </x:c>
      <x:c r="J7038" s="6" t="n">
        <x:f>IF(OR(E7038="CANCELED",E7038="SUSPECTED_FRAUD",F7038="Shipping canceled"),0,1)</x:f>
        <x:v>1</x:v>
      </x:c>
      <x:c r="K7038" s="6" t="n">
        <x:f>IF(G7038&gt;H7038,1,0)</x:f>
        <x:v>0</x:v>
      </x:c>
      <x:c r="L7038" s="6" t="n">
        <x:f>J7038*K7038</x:f>
        <x:v>0</x:v>
      </x:c>
    </x:row>
    <x:row r="7039">
      <x:c r="A7039" s="1" t="n">
        <x:v>55576</x:v>
      </x:c>
      <x:c r="B7039" s="5" t="d">
        <x:v>2017-03-22T00:00:00.000Z</x:v>
      </x:c>
      <x:c r="C7039" s="1" t="str">
        <x:v>Second Class</x:v>
      </x:c>
      <x:c r="D7039" s="1" t="str">
        <x:v>LATAM</x:v>
      </x:c>
      <x:c r="E7039" s="1" t="str">
        <x:v>COMPLETE</x:v>
      </x:c>
      <x:c r="F7039" s="1" t="str">
        <x:v>Shipping on time</x:v>
      </x:c>
      <x:c r="G7039" s="6" t="n">
        <x:v>2</x:v>
      </x:c>
      <x:c r="H7039" s="6" t="n">
        <x:v>2</x:v>
      </x:c>
      <x:c r="I7039" s="6" t="n">
        <x:f>G7039-H7039</x:f>
        <x:v>0</x:v>
      </x:c>
      <x:c r="J7039" s="6" t="n">
        <x:f>IF(OR(E7039="CANCELED",E7039="SUSPECTED_FRAUD",F7039="Shipping canceled"),0,1)</x:f>
        <x:v>1</x:v>
      </x:c>
      <x:c r="K7039" s="6" t="n">
        <x:f>IF(G7039&gt;H7039,1,0)</x:f>
        <x:v>0</x:v>
      </x:c>
      <x:c r="L7039" s="6" t="n">
        <x:f>J7039*K7039</x:f>
        <x:v>0</x:v>
      </x:c>
    </x:row>
    <x:row r="7040">
      <x:c r="A7040" s="1" t="n">
        <x:v>55582</x:v>
      </x:c>
      <x:c r="B7040" s="5" t="d">
        <x:v>2017-03-22T00:00:00.000Z</x:v>
      </x:c>
      <x:c r="C7040" s="1" t="str">
        <x:v>Standard Class</x:v>
      </x:c>
      <x:c r="D7040" s="1" t="str">
        <x:v>LATAM</x:v>
      </x:c>
      <x:c r="E7040" s="1" t="str">
        <x:v>COMPLETE</x:v>
      </x:c>
      <x:c r="F7040" s="1" t="str">
        <x:v>Advance shipping</x:v>
      </x:c>
      <x:c r="G7040" s="6" t="n">
        <x:v>3</x:v>
      </x:c>
      <x:c r="H7040" s="6" t="n">
        <x:v>4</x:v>
      </x:c>
      <x:c r="I7040" s="6" t="n">
        <x:f>G7040-H7040</x:f>
        <x:v>-1</x:v>
      </x:c>
      <x:c r="J7040" s="6" t="n">
        <x:f>IF(OR(E7040="CANCELED",E7040="SUSPECTED_FRAUD",F7040="Shipping canceled"),0,1)</x:f>
        <x:v>1</x:v>
      </x:c>
      <x:c r="K7040" s="6" t="n">
        <x:f>IF(G7040&gt;H7040,1,0)</x:f>
        <x:v>0</x:v>
      </x:c>
      <x:c r="L7040" s="6" t="n">
        <x:f>J7040*K7040</x:f>
        <x:v>0</x:v>
      </x:c>
    </x:row>
    <x:row r="7041">
      <x:c r="A7041" s="1" t="n">
        <x:v>55583</x:v>
      </x:c>
      <x:c r="B7041" s="5" t="d">
        <x:v>2017-03-22T00:00:00.000Z</x:v>
      </x:c>
      <x:c r="C7041" s="1" t="str">
        <x:v>Standard Class</x:v>
      </x:c>
      <x:c r="D7041" s="1" t="str">
        <x:v>LATAM</x:v>
      </x:c>
      <x:c r="E7041" s="1" t="str">
        <x:v>PENDING</x:v>
      </x:c>
      <x:c r="F7041" s="1" t="str">
        <x:v>Shipping on time</x:v>
      </x:c>
      <x:c r="G7041" s="6" t="n">
        <x:v>4</x:v>
      </x:c>
      <x:c r="H7041" s="6" t="n">
        <x:v>4</x:v>
      </x:c>
      <x:c r="I7041" s="6" t="n">
        <x:f>G7041-H7041</x:f>
        <x:v>0</x:v>
      </x:c>
      <x:c r="J7041" s="6" t="n">
        <x:f>IF(OR(E7041="CANCELED",E7041="SUSPECTED_FRAUD",F7041="Shipping canceled"),0,1)</x:f>
        <x:v>1</x:v>
      </x:c>
      <x:c r="K7041" s="6" t="n">
        <x:f>IF(G7041&gt;H7041,1,0)</x:f>
        <x:v>0</x:v>
      </x:c>
      <x:c r="L7041" s="6" t="n">
        <x:f>J7041*K7041</x:f>
        <x:v>0</x:v>
      </x:c>
    </x:row>
    <x:row r="7042">
      <x:c r="A7042" s="1" t="n">
        <x:v>55584</x:v>
      </x:c>
      <x:c r="B7042" s="5" t="d">
        <x:v>2017-03-22T00:00:00.000Z</x:v>
      </x:c>
      <x:c r="C7042" s="1" t="str">
        <x:v>Standard Class</x:v>
      </x:c>
      <x:c r="D7042" s="1" t="str">
        <x:v>LATAM</x:v>
      </x:c>
      <x:c r="E7042" s="1" t="str">
        <x:v>PENDING_PAYMENT</x:v>
      </x:c>
      <x:c r="F7042" s="1" t="str">
        <x:v>Late delivery</x:v>
      </x:c>
      <x:c r="G7042" s="6" t="n">
        <x:v>5</x:v>
      </x:c>
      <x:c r="H7042" s="6" t="n">
        <x:v>4</x:v>
      </x:c>
      <x:c r="I7042" s="6" t="n">
        <x:f>G7042-H7042</x:f>
        <x:v>1</x:v>
      </x:c>
      <x:c r="J7042" s="6" t="n">
        <x:f>IF(OR(E7042="CANCELED",E7042="SUSPECTED_FRAUD",F7042="Shipping canceled"),0,1)</x:f>
        <x:v>1</x:v>
      </x:c>
      <x:c r="K7042" s="6" t="n">
        <x:f>IF(G7042&gt;H7042,1,0)</x:f>
        <x:v>1</x:v>
      </x:c>
      <x:c r="L7042" s="6" t="n">
        <x:f>J7042*K7042</x:f>
        <x:v>1</x:v>
      </x:c>
    </x:row>
    <x:row r="7043">
      <x:c r="A7043" s="1" t="n">
        <x:v>55587</x:v>
      </x:c>
      <x:c r="B7043" s="5" t="d">
        <x:v>2017-03-22T00:00:00.000Z</x:v>
      </x:c>
      <x:c r="C7043" s="1" t="str">
        <x:v>Standard Class</x:v>
      </x:c>
      <x:c r="D7043" s="1" t="str">
        <x:v>LATAM</x:v>
      </x:c>
      <x:c r="E7043" s="1" t="str">
        <x:v>COMPLETE</x:v>
      </x:c>
      <x:c r="F7043" s="1" t="str">
        <x:v>Advance shipping</x:v>
      </x:c>
      <x:c r="G7043" s="6" t="n">
        <x:v>3</x:v>
      </x:c>
      <x:c r="H7043" s="6" t="n">
        <x:v>4</x:v>
      </x:c>
      <x:c r="I7043" s="6" t="n">
        <x:f>G7043-H7043</x:f>
        <x:v>-1</x:v>
      </x:c>
      <x:c r="J7043" s="6" t="n">
        <x:f>IF(OR(E7043="CANCELED",E7043="SUSPECTED_FRAUD",F7043="Shipping canceled"),0,1)</x:f>
        <x:v>1</x:v>
      </x:c>
      <x:c r="K7043" s="6" t="n">
        <x:f>IF(G7043&gt;H7043,1,0)</x:f>
        <x:v>0</x:v>
      </x:c>
      <x:c r="L7043" s="6" t="n">
        <x:f>J7043*K7043</x:f>
        <x:v>0</x:v>
      </x:c>
    </x:row>
    <x:row r="7044">
      <x:c r="A7044" s="1" t="n">
        <x:v>55589</x:v>
      </x:c>
      <x:c r="B7044" s="5" t="d">
        <x:v>2017-03-22T00:00:00.000Z</x:v>
      </x:c>
      <x:c r="C7044" s="1" t="str">
        <x:v>Standard Class</x:v>
      </x:c>
      <x:c r="D7044" s="1" t="str">
        <x:v>LATAM</x:v>
      </x:c>
      <x:c r="E7044" s="1" t="str">
        <x:v>PENDING_PAYMENT</x:v>
      </x:c>
      <x:c r="F7044" s="1" t="str">
        <x:v>Late delivery</x:v>
      </x:c>
      <x:c r="G7044" s="6" t="n">
        <x:v>5</x:v>
      </x:c>
      <x:c r="H7044" s="6" t="n">
        <x:v>4</x:v>
      </x:c>
      <x:c r="I7044" s="6" t="n">
        <x:f>G7044-H7044</x:f>
        <x:v>1</x:v>
      </x:c>
      <x:c r="J7044" s="6" t="n">
        <x:f>IF(OR(E7044="CANCELED",E7044="SUSPECTED_FRAUD",F7044="Shipping canceled"),0,1)</x:f>
        <x:v>1</x:v>
      </x:c>
      <x:c r="K7044" s="6" t="n">
        <x:f>IF(G7044&gt;H7044,1,0)</x:f>
        <x:v>1</x:v>
      </x:c>
      <x:c r="L7044" s="6" t="n">
        <x:f>J7044*K7044</x:f>
        <x:v>1</x:v>
      </x:c>
    </x:row>
    <x:row r="7045">
      <x:c r="A7045" s="1" t="n">
        <x:v>55597</x:v>
      </x:c>
      <x:c r="B7045" s="5" t="d">
        <x:v>2017-03-22T00:00:00.000Z</x:v>
      </x:c>
      <x:c r="C7045" s="1" t="str">
        <x:v>Standard Class</x:v>
      </x:c>
      <x:c r="D7045" s="1" t="str">
        <x:v>LATAM</x:v>
      </x:c>
      <x:c r="E7045" s="1" t="str">
        <x:v>PROCESSING</x:v>
      </x:c>
      <x:c r="F7045" s="1" t="str">
        <x:v>Advance shipping</x:v>
      </x:c>
      <x:c r="G7045" s="6" t="n">
        <x:v>3</x:v>
      </x:c>
      <x:c r="H7045" s="6" t="n">
        <x:v>4</x:v>
      </x:c>
      <x:c r="I7045" s="6" t="n">
        <x:f>G7045-H7045</x:f>
        <x:v>-1</x:v>
      </x:c>
      <x:c r="J7045" s="6" t="n">
        <x:f>IF(OR(E7045="CANCELED",E7045="SUSPECTED_FRAUD",F7045="Shipping canceled"),0,1)</x:f>
        <x:v>1</x:v>
      </x:c>
      <x:c r="K7045" s="6" t="n">
        <x:f>IF(G7045&gt;H7045,1,0)</x:f>
        <x:v>0</x:v>
      </x:c>
      <x:c r="L7045" s="6" t="n">
        <x:f>J7045*K7045</x:f>
        <x:v>0</x:v>
      </x:c>
    </x:row>
    <x:row r="7046">
      <x:c r="A7046" s="1" t="n">
        <x:v>55601</x:v>
      </x:c>
      <x:c r="B7046" s="5" t="d">
        <x:v>2017-03-22T00:00:00.000Z</x:v>
      </x:c>
      <x:c r="C7046" s="1" t="str">
        <x:v>First Class</x:v>
      </x:c>
      <x:c r="D7046" s="1" t="str">
        <x:v>LATAM</x:v>
      </x:c>
      <x:c r="E7046" s="1" t="str">
        <x:v>CLOSED</x:v>
      </x:c>
      <x:c r="F7046" s="1" t="str">
        <x:v>Late delivery</x:v>
      </x:c>
      <x:c r="G7046" s="6" t="n">
        <x:v>2</x:v>
      </x:c>
      <x:c r="H7046" s="6" t="n">
        <x:v>1</x:v>
      </x:c>
      <x:c r="I7046" s="6" t="n">
        <x:f>G7046-H7046</x:f>
        <x:v>1</x:v>
      </x:c>
      <x:c r="J7046" s="6" t="n">
        <x:f>IF(OR(E7046="CANCELED",E7046="SUSPECTED_FRAUD",F7046="Shipping canceled"),0,1)</x:f>
        <x:v>1</x:v>
      </x:c>
      <x:c r="K7046" s="6" t="n">
        <x:f>IF(G7046&gt;H7046,1,0)</x:f>
        <x:v>1</x:v>
      </x:c>
      <x:c r="L7046" s="6" t="n">
        <x:f>J7046*K7046</x:f>
        <x:v>1</x:v>
      </x:c>
    </x:row>
    <x:row r="7047">
      <x:c r="A7047" s="1" t="n">
        <x:v>55608</x:v>
      </x:c>
      <x:c r="B7047" s="5" t="d">
        <x:v>2017-03-22T00:00:00.000Z</x:v>
      </x:c>
      <x:c r="C7047" s="1" t="str">
        <x:v>Standard Class</x:v>
      </x:c>
      <x:c r="D7047" s="1" t="str">
        <x:v>LATAM</x:v>
      </x:c>
      <x:c r="E7047" s="1" t="str">
        <x:v>PENDING_PAYMENT</x:v>
      </x:c>
      <x:c r="F7047" s="1" t="str">
        <x:v>Shipping on time</x:v>
      </x:c>
      <x:c r="G7047" s="6" t="n">
        <x:v>4</x:v>
      </x:c>
      <x:c r="H7047" s="6" t="n">
        <x:v>4</x:v>
      </x:c>
      <x:c r="I7047" s="6" t="n">
        <x:f>G7047-H7047</x:f>
        <x:v>0</x:v>
      </x:c>
      <x:c r="J7047" s="6" t="n">
        <x:f>IF(OR(E7047="CANCELED",E7047="SUSPECTED_FRAUD",F7047="Shipping canceled"),0,1)</x:f>
        <x:v>1</x:v>
      </x:c>
      <x:c r="K7047" s="6" t="n">
        <x:f>IF(G7047&gt;H7047,1,0)</x:f>
        <x:v>0</x:v>
      </x:c>
      <x:c r="L7047" s="6" t="n">
        <x:f>J7047*K7047</x:f>
        <x:v>0</x:v>
      </x:c>
    </x:row>
    <x:row r="7048">
      <x:c r="A7048" s="1" t="n">
        <x:v>55613</x:v>
      </x:c>
      <x:c r="B7048" s="5" t="d">
        <x:v>2017-03-22T00:00:00.000Z</x:v>
      </x:c>
      <x:c r="C7048" s="1" t="str">
        <x:v>Second Class</x:v>
      </x:c>
      <x:c r="D7048" s="1" t="str">
        <x:v>LATAM</x:v>
      </x:c>
      <x:c r="E7048" s="1" t="str">
        <x:v>COMPLETE</x:v>
      </x:c>
      <x:c r="F7048" s="1" t="str">
        <x:v>Late delivery</x:v>
      </x:c>
      <x:c r="G7048" s="6" t="n">
        <x:v>4</x:v>
      </x:c>
      <x:c r="H7048" s="6" t="n">
        <x:v>2</x:v>
      </x:c>
      <x:c r="I7048" s="6" t="n">
        <x:f>G7048-H7048</x:f>
        <x:v>2</x:v>
      </x:c>
      <x:c r="J7048" s="6" t="n">
        <x:f>IF(OR(E7048="CANCELED",E7048="SUSPECTED_FRAUD",F7048="Shipping canceled"),0,1)</x:f>
        <x:v>1</x:v>
      </x:c>
      <x:c r="K7048" s="6" t="n">
        <x:f>IF(G7048&gt;H7048,1,0)</x:f>
        <x:v>1</x:v>
      </x:c>
      <x:c r="L7048" s="6" t="n">
        <x:f>J7048*K7048</x:f>
        <x:v>1</x:v>
      </x:c>
    </x:row>
    <x:row r="7049">
      <x:c r="A7049" s="1" t="n">
        <x:v>55622</x:v>
      </x:c>
      <x:c r="B7049" s="5" t="d">
        <x:v>2017-03-22T00:00:00.000Z</x:v>
      </x:c>
      <x:c r="C7049" s="1" t="str">
        <x:v>First Class</x:v>
      </x:c>
      <x:c r="D7049" s="1" t="str">
        <x:v>LATAM</x:v>
      </x:c>
      <x:c r="E7049" s="1" t="str">
        <x:v>PENDING</x:v>
      </x:c>
      <x:c r="F7049" s="1" t="str">
        <x:v>Late delivery</x:v>
      </x:c>
      <x:c r="G7049" s="6" t="n">
        <x:v>2</x:v>
      </x:c>
      <x:c r="H7049" s="6" t="n">
        <x:v>1</x:v>
      </x:c>
      <x:c r="I7049" s="6" t="n">
        <x:f>G7049-H7049</x:f>
        <x:v>1</x:v>
      </x:c>
      <x:c r="J7049" s="6" t="n">
        <x:f>IF(OR(E7049="CANCELED",E7049="SUSPECTED_FRAUD",F7049="Shipping canceled"),0,1)</x:f>
        <x:v>1</x:v>
      </x:c>
      <x:c r="K7049" s="6" t="n">
        <x:f>IF(G7049&gt;H7049,1,0)</x:f>
        <x:v>1</x:v>
      </x:c>
      <x:c r="L7049" s="6" t="n">
        <x:f>J7049*K7049</x:f>
        <x:v>1</x:v>
      </x:c>
    </x:row>
    <x:row r="7050">
      <x:c r="A7050" s="1" t="n">
        <x:v>55623</x:v>
      </x:c>
      <x:c r="B7050" s="5" t="d">
        <x:v>2017-03-22T00:00:00.000Z</x:v>
      </x:c>
      <x:c r="C7050" s="1" t="str">
        <x:v>First Class</x:v>
      </x:c>
      <x:c r="D7050" s="1" t="str">
        <x:v>LATAM</x:v>
      </x:c>
      <x:c r="E7050" s="1" t="str">
        <x:v>PENDING</x:v>
      </x:c>
      <x:c r="F7050" s="1" t="str">
        <x:v>Late delivery</x:v>
      </x:c>
      <x:c r="G7050" s="6" t="n">
        <x:v>2</x:v>
      </x:c>
      <x:c r="H7050" s="6" t="n">
        <x:v>1</x:v>
      </x:c>
      <x:c r="I7050" s="6" t="n">
        <x:f>G7050-H7050</x:f>
        <x:v>1</x:v>
      </x:c>
      <x:c r="J7050" s="6" t="n">
        <x:f>IF(OR(E7050="CANCELED",E7050="SUSPECTED_FRAUD",F7050="Shipping canceled"),0,1)</x:f>
        <x:v>1</x:v>
      </x:c>
      <x:c r="K7050" s="6" t="n">
        <x:f>IF(G7050&gt;H7050,1,0)</x:f>
        <x:v>1</x:v>
      </x:c>
      <x:c r="L7050" s="6" t="n">
        <x:f>J7050*K7050</x:f>
        <x:v>1</x:v>
      </x:c>
    </x:row>
    <x:row r="7051">
      <x:c r="A7051" s="1" t="n">
        <x:v>55632</x:v>
      </x:c>
      <x:c r="B7051" s="5" t="d">
        <x:v>2017-03-23T00:00:00.000Z</x:v>
      </x:c>
      <x:c r="C7051" s="1" t="str">
        <x:v>Standard Class</x:v>
      </x:c>
      <x:c r="D7051" s="1" t="str">
        <x:v>LATAM</x:v>
      </x:c>
      <x:c r="E7051" s="1" t="str">
        <x:v>PENDING_PAYMENT</x:v>
      </x:c>
      <x:c r="F7051" s="1" t="str">
        <x:v>Advance shipping</x:v>
      </x:c>
      <x:c r="G7051" s="6" t="n">
        <x:v>3</x:v>
      </x:c>
      <x:c r="H7051" s="6" t="n">
        <x:v>4</x:v>
      </x:c>
      <x:c r="I7051" s="6" t="n">
        <x:f>G7051-H7051</x:f>
        <x:v>-1</x:v>
      </x:c>
      <x:c r="J7051" s="6" t="n">
        <x:f>IF(OR(E7051="CANCELED",E7051="SUSPECTED_FRAUD",F7051="Shipping canceled"),0,1)</x:f>
        <x:v>1</x:v>
      </x:c>
      <x:c r="K7051" s="6" t="n">
        <x:f>IF(G7051&gt;H7051,1,0)</x:f>
        <x:v>0</x:v>
      </x:c>
      <x:c r="L7051" s="6" t="n">
        <x:f>J7051*K7051</x:f>
        <x:v>0</x:v>
      </x:c>
    </x:row>
    <x:row r="7052">
      <x:c r="A7052" s="1" t="n">
        <x:v>55636</x:v>
      </x:c>
      <x:c r="B7052" s="5" t="d">
        <x:v>2017-03-23T00:00:00.000Z</x:v>
      </x:c>
      <x:c r="C7052" s="1" t="str">
        <x:v>Standard Class</x:v>
      </x:c>
      <x:c r="D7052" s="1" t="str">
        <x:v>LATAM</x:v>
      </x:c>
      <x:c r="E7052" s="1" t="str">
        <x:v>PROCESSING</x:v>
      </x:c>
      <x:c r="F7052" s="1" t="str">
        <x:v>Advance shipping</x:v>
      </x:c>
      <x:c r="G7052" s="6" t="n">
        <x:v>2</x:v>
      </x:c>
      <x:c r="H7052" s="6" t="n">
        <x:v>4</x:v>
      </x:c>
      <x:c r="I7052" s="6" t="n">
        <x:f>G7052-H7052</x:f>
        <x:v>-2</x:v>
      </x:c>
      <x:c r="J7052" s="6" t="n">
        <x:f>IF(OR(E7052="CANCELED",E7052="SUSPECTED_FRAUD",F7052="Shipping canceled"),0,1)</x:f>
        <x:v>1</x:v>
      </x:c>
      <x:c r="K7052" s="6" t="n">
        <x:f>IF(G7052&gt;H7052,1,0)</x:f>
        <x:v>0</x:v>
      </x:c>
      <x:c r="L7052" s="6" t="n">
        <x:f>J7052*K7052</x:f>
        <x:v>0</x:v>
      </x:c>
    </x:row>
    <x:row r="7053">
      <x:c r="A7053" s="1" t="n">
        <x:v>55637</x:v>
      </x:c>
      <x:c r="B7053" s="5" t="d">
        <x:v>2017-03-23T00:00:00.000Z</x:v>
      </x:c>
      <x:c r="C7053" s="1" t="str">
        <x:v>Standard Class</x:v>
      </x:c>
      <x:c r="D7053" s="1" t="str">
        <x:v>LATAM</x:v>
      </x:c>
      <x:c r="E7053" s="1" t="str">
        <x:v>COMPLETE</x:v>
      </x:c>
      <x:c r="F7053" s="1" t="str">
        <x:v>Advance shipping</x:v>
      </x:c>
      <x:c r="G7053" s="6" t="n">
        <x:v>3</x:v>
      </x:c>
      <x:c r="H7053" s="6" t="n">
        <x:v>4</x:v>
      </x:c>
      <x:c r="I7053" s="6" t="n">
        <x:f>G7053-H7053</x:f>
        <x:v>-1</x:v>
      </x:c>
      <x:c r="J7053" s="6" t="n">
        <x:f>IF(OR(E7053="CANCELED",E7053="SUSPECTED_FRAUD",F7053="Shipping canceled"),0,1)</x:f>
        <x:v>1</x:v>
      </x:c>
      <x:c r="K7053" s="6" t="n">
        <x:f>IF(G7053&gt;H7053,1,0)</x:f>
        <x:v>0</x:v>
      </x:c>
      <x:c r="L7053" s="6" t="n">
        <x:f>J7053*K7053</x:f>
        <x:v>0</x:v>
      </x:c>
    </x:row>
    <x:row r="7054">
      <x:c r="A7054" s="1" t="n">
        <x:v>55638</x:v>
      </x:c>
      <x:c r="B7054" s="5" t="d">
        <x:v>2017-03-23T00:00:00.000Z</x:v>
      </x:c>
      <x:c r="C7054" s="1" t="str">
        <x:v>Standard Class</x:v>
      </x:c>
      <x:c r="D7054" s="1" t="str">
        <x:v>LATAM</x:v>
      </x:c>
      <x:c r="E7054" s="1" t="str">
        <x:v>SUSPECTED_FRAUD</x:v>
      </x:c>
      <x:c r="F7054" s="1" t="str">
        <x:v>Shipping canceled</x:v>
      </x:c>
      <x:c r="G7054" s="6" t="n">
        <x:v>4</x:v>
      </x:c>
      <x:c r="H7054" s="6" t="n">
        <x:v>4</x:v>
      </x:c>
      <x:c r="I7054" s="6" t="n">
        <x:f>G7054-H7054</x:f>
        <x:v>0</x:v>
      </x:c>
      <x:c r="J7054" s="6" t="n">
        <x:f>IF(OR(E7054="CANCELED",E7054="SUSPECTED_FRAUD",F7054="Shipping canceled"),0,1)</x:f>
        <x:v>0</x:v>
      </x:c>
      <x:c r="K7054" s="6" t="n">
        <x:f>IF(G7054&gt;H7054,1,0)</x:f>
        <x:v>0</x:v>
      </x:c>
      <x:c r="L7054" s="6" t="n">
        <x:f>J7054*K7054</x:f>
        <x:v>0</x:v>
      </x:c>
    </x:row>
    <x:row r="7055">
      <x:c r="A7055" s="1" t="n">
        <x:v>55640</x:v>
      </x:c>
      <x:c r="B7055" s="5" t="d">
        <x:v>2017-03-23T00:00:00.000Z</x:v>
      </x:c>
      <x:c r="C7055" s="1" t="str">
        <x:v>Standard Class</x:v>
      </x:c>
      <x:c r="D7055" s="1" t="str">
        <x:v>LATAM</x:v>
      </x:c>
      <x:c r="E7055" s="1" t="str">
        <x:v>COMPLETE</x:v>
      </x:c>
      <x:c r="F7055" s="1" t="str">
        <x:v>Late delivery</x:v>
      </x:c>
      <x:c r="G7055" s="6" t="n">
        <x:v>6</x:v>
      </x:c>
      <x:c r="H7055" s="6" t="n">
        <x:v>4</x:v>
      </x:c>
      <x:c r="I7055" s="6" t="n">
        <x:f>G7055-H7055</x:f>
        <x:v>2</x:v>
      </x:c>
      <x:c r="J7055" s="6" t="n">
        <x:f>IF(OR(E7055="CANCELED",E7055="SUSPECTED_FRAUD",F7055="Shipping canceled"),0,1)</x:f>
        <x:v>1</x:v>
      </x:c>
      <x:c r="K7055" s="6" t="n">
        <x:f>IF(G7055&gt;H7055,1,0)</x:f>
        <x:v>1</x:v>
      </x:c>
      <x:c r="L7055" s="6" t="n">
        <x:f>J7055*K7055</x:f>
        <x:v>1</x:v>
      </x:c>
    </x:row>
    <x:row r="7056">
      <x:c r="A7056" s="1" t="n">
        <x:v>55665</x:v>
      </x:c>
      <x:c r="B7056" s="5" t="d">
        <x:v>2017-03-23T00:00:00.000Z</x:v>
      </x:c>
      <x:c r="C7056" s="1" t="str">
        <x:v>Standard Class</x:v>
      </x:c>
      <x:c r="D7056" s="1" t="str">
        <x:v>LATAM</x:v>
      </x:c>
      <x:c r="E7056" s="1" t="str">
        <x:v>CLOSED</x:v>
      </x:c>
      <x:c r="F7056" s="1" t="str">
        <x:v>Late delivery</x:v>
      </x:c>
      <x:c r="G7056" s="6" t="n">
        <x:v>6</x:v>
      </x:c>
      <x:c r="H7056" s="6" t="n">
        <x:v>4</x:v>
      </x:c>
      <x:c r="I7056" s="6" t="n">
        <x:f>G7056-H7056</x:f>
        <x:v>2</x:v>
      </x:c>
      <x:c r="J7056" s="6" t="n">
        <x:f>IF(OR(E7056="CANCELED",E7056="SUSPECTED_FRAUD",F7056="Shipping canceled"),0,1)</x:f>
        <x:v>1</x:v>
      </x:c>
      <x:c r="K7056" s="6" t="n">
        <x:f>IF(G7056&gt;H7056,1,0)</x:f>
        <x:v>1</x:v>
      </x:c>
      <x:c r="L7056" s="6" t="n">
        <x:f>J7056*K7056</x:f>
        <x:v>1</x:v>
      </x:c>
    </x:row>
    <x:row r="7057">
      <x:c r="A7057" s="1" t="n">
        <x:v>55666</x:v>
      </x:c>
      <x:c r="B7057" s="5" t="d">
        <x:v>2017-03-23T00:00:00.000Z</x:v>
      </x:c>
      <x:c r="C7057" s="1" t="str">
        <x:v>Second Class</x:v>
      </x:c>
      <x:c r="D7057" s="1" t="str">
        <x:v>LATAM</x:v>
      </x:c>
      <x:c r="E7057" s="1" t="str">
        <x:v>COMPLETE</x:v>
      </x:c>
      <x:c r="F7057" s="1" t="str">
        <x:v>Shipping on time</x:v>
      </x:c>
      <x:c r="G7057" s="6" t="n">
        <x:v>2</x:v>
      </x:c>
      <x:c r="H7057" s="6" t="n">
        <x:v>2</x:v>
      </x:c>
      <x:c r="I7057" s="6" t="n">
        <x:f>G7057-H7057</x:f>
        <x:v>0</x:v>
      </x:c>
      <x:c r="J7057" s="6" t="n">
        <x:f>IF(OR(E7057="CANCELED",E7057="SUSPECTED_FRAUD",F7057="Shipping canceled"),0,1)</x:f>
        <x:v>1</x:v>
      </x:c>
      <x:c r="K7057" s="6" t="n">
        <x:f>IF(G7057&gt;H7057,1,0)</x:f>
        <x:v>0</x:v>
      </x:c>
      <x:c r="L7057" s="6" t="n">
        <x:f>J7057*K7057</x:f>
        <x:v>0</x:v>
      </x:c>
    </x:row>
    <x:row r="7058">
      <x:c r="A7058" s="1" t="n">
        <x:v>55668</x:v>
      </x:c>
      <x:c r="B7058" s="5" t="d">
        <x:v>2017-03-23T00:00:00.000Z</x:v>
      </x:c>
      <x:c r="C7058" s="1" t="str">
        <x:v>Standard Class</x:v>
      </x:c>
      <x:c r="D7058" s="1" t="str">
        <x:v>LATAM</x:v>
      </x:c>
      <x:c r="E7058" s="1" t="str">
        <x:v>CLOSED</x:v>
      </x:c>
      <x:c r="F7058" s="1" t="str">
        <x:v>Shipping on time</x:v>
      </x:c>
      <x:c r="G7058" s="6" t="n">
        <x:v>4</x:v>
      </x:c>
      <x:c r="H7058" s="6" t="n">
        <x:v>4</x:v>
      </x:c>
      <x:c r="I7058" s="6" t="n">
        <x:f>G7058-H7058</x:f>
        <x:v>0</x:v>
      </x:c>
      <x:c r="J7058" s="6" t="n">
        <x:f>IF(OR(E7058="CANCELED",E7058="SUSPECTED_FRAUD",F7058="Shipping canceled"),0,1)</x:f>
        <x:v>1</x:v>
      </x:c>
      <x:c r="K7058" s="6" t="n">
        <x:f>IF(G7058&gt;H7058,1,0)</x:f>
        <x:v>0</x:v>
      </x:c>
      <x:c r="L7058" s="6" t="n">
        <x:f>J7058*K7058</x:f>
        <x:v>0</x:v>
      </x:c>
    </x:row>
    <x:row r="7059">
      <x:c r="A7059" s="1" t="n">
        <x:v>55671</x:v>
      </x:c>
      <x:c r="B7059" s="5" t="d">
        <x:v>2017-03-23T00:00:00.000Z</x:v>
      </x:c>
      <x:c r="C7059" s="1" t="str">
        <x:v>Second Class</x:v>
      </x:c>
      <x:c r="D7059" s="1" t="str">
        <x:v>LATAM</x:v>
      </x:c>
      <x:c r="E7059" s="1" t="str">
        <x:v>COMPLETE</x:v>
      </x:c>
      <x:c r="F7059" s="1" t="str">
        <x:v>Shipping on time</x:v>
      </x:c>
      <x:c r="G7059" s="6" t="n">
        <x:v>2</x:v>
      </x:c>
      <x:c r="H7059" s="6" t="n">
        <x:v>2</x:v>
      </x:c>
      <x:c r="I7059" s="6" t="n">
        <x:f>G7059-H7059</x:f>
        <x:v>0</x:v>
      </x:c>
      <x:c r="J7059" s="6" t="n">
        <x:f>IF(OR(E7059="CANCELED",E7059="SUSPECTED_FRAUD",F7059="Shipping canceled"),0,1)</x:f>
        <x:v>1</x:v>
      </x:c>
      <x:c r="K7059" s="6" t="n">
        <x:f>IF(G7059&gt;H7059,1,0)</x:f>
        <x:v>0</x:v>
      </x:c>
      <x:c r="L7059" s="6" t="n">
        <x:f>J7059*K7059</x:f>
        <x:v>0</x:v>
      </x:c>
    </x:row>
    <x:row r="7060">
      <x:c r="A7060" s="1" t="n">
        <x:v>55687</x:v>
      </x:c>
      <x:c r="B7060" s="5" t="d">
        <x:v>2017-03-23T00:00:00.000Z</x:v>
      </x:c>
      <x:c r="C7060" s="1" t="str">
        <x:v>Standard Class</x:v>
      </x:c>
      <x:c r="D7060" s="1" t="str">
        <x:v>LATAM</x:v>
      </x:c>
      <x:c r="E7060" s="1" t="str">
        <x:v>ON_HOLD</x:v>
      </x:c>
      <x:c r="F7060" s="1" t="str">
        <x:v>Advance shipping</x:v>
      </x:c>
      <x:c r="G7060" s="6" t="n">
        <x:v>3</x:v>
      </x:c>
      <x:c r="H7060" s="6" t="n">
        <x:v>4</x:v>
      </x:c>
      <x:c r="I7060" s="6" t="n">
        <x:f>G7060-H7060</x:f>
        <x:v>-1</x:v>
      </x:c>
      <x:c r="J7060" s="6" t="n">
        <x:f>IF(OR(E7060="CANCELED",E7060="SUSPECTED_FRAUD",F7060="Shipping canceled"),0,1)</x:f>
        <x:v>1</x:v>
      </x:c>
      <x:c r="K7060" s="6" t="n">
        <x:f>IF(G7060&gt;H7060,1,0)</x:f>
        <x:v>0</x:v>
      </x:c>
      <x:c r="L7060" s="6" t="n">
        <x:f>J7060*K7060</x:f>
        <x:v>0</x:v>
      </x:c>
    </x:row>
    <x:row r="7061">
      <x:c r="A7061" s="1" t="n">
        <x:v>55688</x:v>
      </x:c>
      <x:c r="B7061" s="5" t="d">
        <x:v>2017-03-23T00:00:00.000Z</x:v>
      </x:c>
      <x:c r="C7061" s="1" t="str">
        <x:v>Standard Class</x:v>
      </x:c>
      <x:c r="D7061" s="1" t="str">
        <x:v>LATAM</x:v>
      </x:c>
      <x:c r="E7061" s="1" t="str">
        <x:v>PENDING</x:v>
      </x:c>
      <x:c r="F7061" s="1" t="str">
        <x:v>Shipping on time</x:v>
      </x:c>
      <x:c r="G7061" s="6" t="n">
        <x:v>4</x:v>
      </x:c>
      <x:c r="H7061" s="6" t="n">
        <x:v>4</x:v>
      </x:c>
      <x:c r="I7061" s="6" t="n">
        <x:f>G7061-H7061</x:f>
        <x:v>0</x:v>
      </x:c>
      <x:c r="J7061" s="6" t="n">
        <x:f>IF(OR(E7061="CANCELED",E7061="SUSPECTED_FRAUD",F7061="Shipping canceled"),0,1)</x:f>
        <x:v>1</x:v>
      </x:c>
      <x:c r="K7061" s="6" t="n">
        <x:f>IF(G7061&gt;H7061,1,0)</x:f>
        <x:v>0</x:v>
      </x:c>
      <x:c r="L7061" s="6" t="n">
        <x:f>J7061*K7061</x:f>
        <x:v>0</x:v>
      </x:c>
    </x:row>
    <x:row r="7062">
      <x:c r="A7062" s="1" t="n">
        <x:v>55696</x:v>
      </x:c>
      <x:c r="B7062" s="5" t="d">
        <x:v>2017-03-24T00:00:00.000Z</x:v>
      </x:c>
      <x:c r="C7062" s="1" t="str">
        <x:v>Standard Class</x:v>
      </x:c>
      <x:c r="D7062" s="1" t="str">
        <x:v>LATAM</x:v>
      </x:c>
      <x:c r="E7062" s="1" t="str">
        <x:v>ON_HOLD</x:v>
      </x:c>
      <x:c r="F7062" s="1" t="str">
        <x:v>Advance shipping</x:v>
      </x:c>
      <x:c r="G7062" s="6" t="n">
        <x:v>2</x:v>
      </x:c>
      <x:c r="H7062" s="6" t="n">
        <x:v>4</x:v>
      </x:c>
      <x:c r="I7062" s="6" t="n">
        <x:f>G7062-H7062</x:f>
        <x:v>-2</x:v>
      </x:c>
      <x:c r="J7062" s="6" t="n">
        <x:f>IF(OR(E7062="CANCELED",E7062="SUSPECTED_FRAUD",F7062="Shipping canceled"),0,1)</x:f>
        <x:v>1</x:v>
      </x:c>
      <x:c r="K7062" s="6" t="n">
        <x:f>IF(G7062&gt;H7062,1,0)</x:f>
        <x:v>0</x:v>
      </x:c>
      <x:c r="L7062" s="6" t="n">
        <x:f>J7062*K7062</x:f>
        <x:v>0</x:v>
      </x:c>
    </x:row>
    <x:row r="7063">
      <x:c r="A7063" s="1" t="n">
        <x:v>55720</x:v>
      </x:c>
      <x:c r="B7063" s="5" t="d">
        <x:v>2017-03-24T00:00:00.000Z</x:v>
      </x:c>
      <x:c r="C7063" s="1" t="str">
        <x:v>Standard Class</x:v>
      </x:c>
      <x:c r="D7063" s="1" t="str">
        <x:v>LATAM</x:v>
      </x:c>
      <x:c r="E7063" s="1" t="str">
        <x:v>COMPLETE</x:v>
      </x:c>
      <x:c r="F7063" s="1" t="str">
        <x:v>Late delivery</x:v>
      </x:c>
      <x:c r="G7063" s="6" t="n">
        <x:v>6</x:v>
      </x:c>
      <x:c r="H7063" s="6" t="n">
        <x:v>4</x:v>
      </x:c>
      <x:c r="I7063" s="6" t="n">
        <x:f>G7063-H7063</x:f>
        <x:v>2</x:v>
      </x:c>
      <x:c r="J7063" s="6" t="n">
        <x:f>IF(OR(E7063="CANCELED",E7063="SUSPECTED_FRAUD",F7063="Shipping canceled"),0,1)</x:f>
        <x:v>1</x:v>
      </x:c>
      <x:c r="K7063" s="6" t="n">
        <x:f>IF(G7063&gt;H7063,1,0)</x:f>
        <x:v>1</x:v>
      </x:c>
      <x:c r="L7063" s="6" t="n">
        <x:f>J7063*K7063</x:f>
        <x:v>1</x:v>
      </x:c>
    </x:row>
    <x:row r="7064">
      <x:c r="A7064" s="1" t="n">
        <x:v>55726</x:v>
      </x:c>
      <x:c r="B7064" s="5" t="d">
        <x:v>2017-03-24T00:00:00.000Z</x:v>
      </x:c>
      <x:c r="C7064" s="1" t="str">
        <x:v>Second Class</x:v>
      </x:c>
      <x:c r="D7064" s="1" t="str">
        <x:v>LATAM</x:v>
      </x:c>
      <x:c r="E7064" s="1" t="str">
        <x:v>COMPLETE</x:v>
      </x:c>
      <x:c r="F7064" s="1" t="str">
        <x:v>Shipping on time</x:v>
      </x:c>
      <x:c r="G7064" s="6" t="n">
        <x:v>2</x:v>
      </x:c>
      <x:c r="H7064" s="6" t="n">
        <x:v>2</x:v>
      </x:c>
      <x:c r="I7064" s="6" t="n">
        <x:f>G7064-H7064</x:f>
        <x:v>0</x:v>
      </x:c>
      <x:c r="J7064" s="6" t="n">
        <x:f>IF(OR(E7064="CANCELED",E7064="SUSPECTED_FRAUD",F7064="Shipping canceled"),0,1)</x:f>
        <x:v>1</x:v>
      </x:c>
      <x:c r="K7064" s="6" t="n">
        <x:f>IF(G7064&gt;H7064,1,0)</x:f>
        <x:v>0</x:v>
      </x:c>
      <x:c r="L7064" s="6" t="n">
        <x:f>J7064*K7064</x:f>
        <x:v>0</x:v>
      </x:c>
    </x:row>
    <x:row r="7065">
      <x:c r="A7065" s="1" t="n">
        <x:v>55751</x:v>
      </x:c>
      <x:c r="B7065" s="5" t="d">
        <x:v>2017-03-24T00:00:00.000Z</x:v>
      </x:c>
      <x:c r="C7065" s="1" t="str">
        <x:v>Standard Class</x:v>
      </x:c>
      <x:c r="D7065" s="1" t="str">
        <x:v>LATAM</x:v>
      </x:c>
      <x:c r="E7065" s="1" t="str">
        <x:v>PENDING_PAYMENT</x:v>
      </x:c>
      <x:c r="F7065" s="1" t="str">
        <x:v>Advance shipping</x:v>
      </x:c>
      <x:c r="G7065" s="6" t="n">
        <x:v>2</x:v>
      </x:c>
      <x:c r="H7065" s="6" t="n">
        <x:v>4</x:v>
      </x:c>
      <x:c r="I7065" s="6" t="n">
        <x:f>G7065-H7065</x:f>
        <x:v>-2</x:v>
      </x:c>
      <x:c r="J7065" s="6" t="n">
        <x:f>IF(OR(E7065="CANCELED",E7065="SUSPECTED_FRAUD",F7065="Shipping canceled"),0,1)</x:f>
        <x:v>1</x:v>
      </x:c>
      <x:c r="K7065" s="6" t="n">
        <x:f>IF(G7065&gt;H7065,1,0)</x:f>
        <x:v>0</x:v>
      </x:c>
      <x:c r="L7065" s="6" t="n">
        <x:f>J7065*K7065</x:f>
        <x:v>0</x:v>
      </x:c>
    </x:row>
    <x:row r="7066">
      <x:c r="A7066" s="1" t="n">
        <x:v>55757</x:v>
      </x:c>
      <x:c r="B7066" s="5" t="d">
        <x:v>2017-03-24T00:00:00.000Z</x:v>
      </x:c>
      <x:c r="C7066" s="1" t="str">
        <x:v>Standard Class</x:v>
      </x:c>
      <x:c r="D7066" s="1" t="str">
        <x:v>LATAM</x:v>
      </x:c>
      <x:c r="E7066" s="1" t="str">
        <x:v>CLOSED</x:v>
      </x:c>
      <x:c r="F7066" s="1" t="str">
        <x:v>Advance shipping</x:v>
      </x:c>
      <x:c r="G7066" s="6" t="n">
        <x:v>3</x:v>
      </x:c>
      <x:c r="H7066" s="6" t="n">
        <x:v>4</x:v>
      </x:c>
      <x:c r="I7066" s="6" t="n">
        <x:f>G7066-H7066</x:f>
        <x:v>-1</x:v>
      </x:c>
      <x:c r="J7066" s="6" t="n">
        <x:f>IF(OR(E7066="CANCELED",E7066="SUSPECTED_FRAUD",F7066="Shipping canceled"),0,1)</x:f>
        <x:v>1</x:v>
      </x:c>
      <x:c r="K7066" s="6" t="n">
        <x:f>IF(G7066&gt;H7066,1,0)</x:f>
        <x:v>0</x:v>
      </x:c>
      <x:c r="L7066" s="6" t="n">
        <x:f>J7066*K7066</x:f>
        <x:v>0</x:v>
      </x:c>
    </x:row>
    <x:row r="7067">
      <x:c r="A7067" s="1" t="n">
        <x:v>55768</x:v>
      </x:c>
      <x:c r="B7067" s="5" t="d">
        <x:v>2017-03-25T00:00:00.000Z</x:v>
      </x:c>
      <x:c r="C7067" s="1" t="str">
        <x:v>Standard Class</x:v>
      </x:c>
      <x:c r="D7067" s="1" t="str">
        <x:v>LATAM</x:v>
      </x:c>
      <x:c r="E7067" s="1" t="str">
        <x:v>COMPLETE</x:v>
      </x:c>
      <x:c r="F7067" s="1" t="str">
        <x:v>Shipping on time</x:v>
      </x:c>
      <x:c r="G7067" s="6" t="n">
        <x:v>4</x:v>
      </x:c>
      <x:c r="H7067" s="6" t="n">
        <x:v>4</x:v>
      </x:c>
      <x:c r="I7067" s="6" t="n">
        <x:f>G7067-H7067</x:f>
        <x:v>0</x:v>
      </x:c>
      <x:c r="J7067" s="6" t="n">
        <x:f>IF(OR(E7067="CANCELED",E7067="SUSPECTED_FRAUD",F7067="Shipping canceled"),0,1)</x:f>
        <x:v>1</x:v>
      </x:c>
      <x:c r="K7067" s="6" t="n">
        <x:f>IF(G7067&gt;H7067,1,0)</x:f>
        <x:v>0</x:v>
      </x:c>
      <x:c r="L7067" s="6" t="n">
        <x:f>J7067*K7067</x:f>
        <x:v>0</x:v>
      </x:c>
    </x:row>
    <x:row r="7068">
      <x:c r="A7068" s="1" t="n">
        <x:v>55771</x:v>
      </x:c>
      <x:c r="B7068" s="5" t="d">
        <x:v>2017-03-25T00:00:00.000Z</x:v>
      </x:c>
      <x:c r="C7068" s="1" t="str">
        <x:v>First Class</x:v>
      </x:c>
      <x:c r="D7068" s="1" t="str">
        <x:v>LATAM</x:v>
      </x:c>
      <x:c r="E7068" s="1" t="str">
        <x:v>PENDING</x:v>
      </x:c>
      <x:c r="F7068" s="1" t="str">
        <x:v>Late delivery</x:v>
      </x:c>
      <x:c r="G7068" s="6" t="n">
        <x:v>2</x:v>
      </x:c>
      <x:c r="H7068" s="6" t="n">
        <x:v>1</x:v>
      </x:c>
      <x:c r="I7068" s="6" t="n">
        <x:f>G7068-H7068</x:f>
        <x:v>1</x:v>
      </x:c>
      <x:c r="J7068" s="6" t="n">
        <x:f>IF(OR(E7068="CANCELED",E7068="SUSPECTED_FRAUD",F7068="Shipping canceled"),0,1)</x:f>
        <x:v>1</x:v>
      </x:c>
      <x:c r="K7068" s="6" t="n">
        <x:f>IF(G7068&gt;H7068,1,0)</x:f>
        <x:v>1</x:v>
      </x:c>
      <x:c r="L7068" s="6" t="n">
        <x:f>J7068*K7068</x:f>
        <x:v>1</x:v>
      </x:c>
    </x:row>
    <x:row r="7069">
      <x:c r="A7069" s="1" t="n">
        <x:v>55776</x:v>
      </x:c>
      <x:c r="B7069" s="5" t="d">
        <x:v>2017-03-25T00:00:00.000Z</x:v>
      </x:c>
      <x:c r="C7069" s="1" t="str">
        <x:v>Second Class</x:v>
      </x:c>
      <x:c r="D7069" s="1" t="str">
        <x:v>LATAM</x:v>
      </x:c>
      <x:c r="E7069" s="1" t="str">
        <x:v>CLOSED</x:v>
      </x:c>
      <x:c r="F7069" s="1" t="str">
        <x:v>Shipping on time</x:v>
      </x:c>
      <x:c r="G7069" s="6" t="n">
        <x:v>2</x:v>
      </x:c>
      <x:c r="H7069" s="6" t="n">
        <x:v>2</x:v>
      </x:c>
      <x:c r="I7069" s="6" t="n">
        <x:f>G7069-H7069</x:f>
        <x:v>0</x:v>
      </x:c>
      <x:c r="J7069" s="6" t="n">
        <x:f>IF(OR(E7069="CANCELED",E7069="SUSPECTED_FRAUD",F7069="Shipping canceled"),0,1)</x:f>
        <x:v>1</x:v>
      </x:c>
      <x:c r="K7069" s="6" t="n">
        <x:f>IF(G7069&gt;H7069,1,0)</x:f>
        <x:v>0</x:v>
      </x:c>
      <x:c r="L7069" s="6" t="n">
        <x:f>J7069*K7069</x:f>
        <x:v>0</x:v>
      </x:c>
    </x:row>
    <x:row r="7070">
      <x:c r="A7070" s="1" t="n">
        <x:v>55798</x:v>
      </x:c>
      <x:c r="B7070" s="5" t="d">
        <x:v>2017-03-25T00:00:00.000Z</x:v>
      </x:c>
      <x:c r="C7070" s="1" t="str">
        <x:v>First Class</x:v>
      </x:c>
      <x:c r="D7070" s="1" t="str">
        <x:v>LATAM</x:v>
      </x:c>
      <x:c r="E7070" s="1" t="str">
        <x:v>COMPLETE</x:v>
      </x:c>
      <x:c r="F7070" s="1" t="str">
        <x:v>Late delivery</x:v>
      </x:c>
      <x:c r="G7070" s="6" t="n">
        <x:v>2</x:v>
      </x:c>
      <x:c r="H7070" s="6" t="n">
        <x:v>1</x:v>
      </x:c>
      <x:c r="I7070" s="6" t="n">
        <x:f>G7070-H7070</x:f>
        <x:v>1</x:v>
      </x:c>
      <x:c r="J7070" s="6" t="n">
        <x:f>IF(OR(E7070="CANCELED",E7070="SUSPECTED_FRAUD",F7070="Shipping canceled"),0,1)</x:f>
        <x:v>1</x:v>
      </x:c>
      <x:c r="K7070" s="6" t="n">
        <x:f>IF(G7070&gt;H7070,1,0)</x:f>
        <x:v>1</x:v>
      </x:c>
      <x:c r="L7070" s="6" t="n">
        <x:f>J7070*K7070</x:f>
        <x:v>1</x:v>
      </x:c>
    </x:row>
    <x:row r="7071">
      <x:c r="A7071" s="1" t="n">
        <x:v>55820</x:v>
      </x:c>
      <x:c r="B7071" s="5" t="d">
        <x:v>2017-03-25T00:00:00.000Z</x:v>
      </x:c>
      <x:c r="C7071" s="1" t="str">
        <x:v>Second Class</x:v>
      </x:c>
      <x:c r="D7071" s="1" t="str">
        <x:v>LATAM</x:v>
      </x:c>
      <x:c r="E7071" s="1" t="str">
        <x:v>CLOSED</x:v>
      </x:c>
      <x:c r="F7071" s="1" t="str">
        <x:v>Late delivery</x:v>
      </x:c>
      <x:c r="G7071" s="6" t="n">
        <x:v>6</x:v>
      </x:c>
      <x:c r="H7071" s="6" t="n">
        <x:v>2</x:v>
      </x:c>
      <x:c r="I7071" s="6" t="n">
        <x:f>G7071-H7071</x:f>
        <x:v>4</x:v>
      </x:c>
      <x:c r="J7071" s="6" t="n">
        <x:f>IF(OR(E7071="CANCELED",E7071="SUSPECTED_FRAUD",F7071="Shipping canceled"),0,1)</x:f>
        <x:v>1</x:v>
      </x:c>
      <x:c r="K7071" s="6" t="n">
        <x:f>IF(G7071&gt;H7071,1,0)</x:f>
        <x:v>1</x:v>
      </x:c>
      <x:c r="L7071" s="6" t="n">
        <x:f>J7071*K7071</x:f>
        <x:v>1</x:v>
      </x:c>
    </x:row>
    <x:row r="7072">
      <x:c r="A7072" s="1" t="n">
        <x:v>55829</x:v>
      </x:c>
      <x:c r="B7072" s="5" t="d">
        <x:v>2017-03-25T00:00:00.000Z</x:v>
      </x:c>
      <x:c r="C7072" s="1" t="str">
        <x:v>Standard Class</x:v>
      </x:c>
      <x:c r="D7072" s="1" t="str">
        <x:v>LATAM</x:v>
      </x:c>
      <x:c r="E7072" s="1" t="str">
        <x:v>PENDING</x:v>
      </x:c>
      <x:c r="F7072" s="1" t="str">
        <x:v>Late delivery</x:v>
      </x:c>
      <x:c r="G7072" s="6" t="n">
        <x:v>5</x:v>
      </x:c>
      <x:c r="H7072" s="6" t="n">
        <x:v>4</x:v>
      </x:c>
      <x:c r="I7072" s="6" t="n">
        <x:f>G7072-H7072</x:f>
        <x:v>1</x:v>
      </x:c>
      <x:c r="J7072" s="6" t="n">
        <x:f>IF(OR(E7072="CANCELED",E7072="SUSPECTED_FRAUD",F7072="Shipping canceled"),0,1)</x:f>
        <x:v>1</x:v>
      </x:c>
      <x:c r="K7072" s="6" t="n">
        <x:f>IF(G7072&gt;H7072,1,0)</x:f>
        <x:v>1</x:v>
      </x:c>
      <x:c r="L7072" s="6" t="n">
        <x:f>J7072*K7072</x:f>
        <x:v>1</x:v>
      </x:c>
    </x:row>
    <x:row r="7073">
      <x:c r="A7073" s="1" t="n">
        <x:v>55832</x:v>
      </x:c>
      <x:c r="B7073" s="5" t="d">
        <x:v>2017-03-26T00:00:00.000Z</x:v>
      </x:c>
      <x:c r="C7073" s="1" t="str">
        <x:v>Standard Class</x:v>
      </x:c>
      <x:c r="D7073" s="1" t="str">
        <x:v>LATAM</x:v>
      </x:c>
      <x:c r="E7073" s="1" t="str">
        <x:v>PENDING</x:v>
      </x:c>
      <x:c r="F7073" s="1" t="str">
        <x:v>Advance shipping</x:v>
      </x:c>
      <x:c r="G7073" s="6" t="n">
        <x:v>3</x:v>
      </x:c>
      <x:c r="H7073" s="6" t="n">
        <x:v>4</x:v>
      </x:c>
      <x:c r="I7073" s="6" t="n">
        <x:f>G7073-H7073</x:f>
        <x:v>-1</x:v>
      </x:c>
      <x:c r="J7073" s="6" t="n">
        <x:f>IF(OR(E7073="CANCELED",E7073="SUSPECTED_FRAUD",F7073="Shipping canceled"),0,1)</x:f>
        <x:v>1</x:v>
      </x:c>
      <x:c r="K7073" s="6" t="n">
        <x:f>IF(G7073&gt;H7073,1,0)</x:f>
        <x:v>0</x:v>
      </x:c>
      <x:c r="L7073" s="6" t="n">
        <x:f>J7073*K7073</x:f>
        <x:v>0</x:v>
      </x:c>
    </x:row>
    <x:row r="7074">
      <x:c r="A7074" s="1" t="n">
        <x:v>55864</x:v>
      </x:c>
      <x:c r="B7074" s="5" t="d">
        <x:v>2017-03-26T00:00:00.000Z</x:v>
      </x:c>
      <x:c r="C7074" s="1" t="str">
        <x:v>Standard Class</x:v>
      </x:c>
      <x:c r="D7074" s="1" t="str">
        <x:v>LATAM</x:v>
      </x:c>
      <x:c r="E7074" s="1" t="str">
        <x:v>PROCESSING</x:v>
      </x:c>
      <x:c r="F7074" s="1" t="str">
        <x:v>Late delivery</x:v>
      </x:c>
      <x:c r="G7074" s="6" t="n">
        <x:v>5</x:v>
      </x:c>
      <x:c r="H7074" s="6" t="n">
        <x:v>4</x:v>
      </x:c>
      <x:c r="I7074" s="6" t="n">
        <x:f>G7074-H7074</x:f>
        <x:v>1</x:v>
      </x:c>
      <x:c r="J7074" s="6" t="n">
        <x:f>IF(OR(E7074="CANCELED",E7074="SUSPECTED_FRAUD",F7074="Shipping canceled"),0,1)</x:f>
        <x:v>1</x:v>
      </x:c>
      <x:c r="K7074" s="6" t="n">
        <x:f>IF(G7074&gt;H7074,1,0)</x:f>
        <x:v>1</x:v>
      </x:c>
      <x:c r="L7074" s="6" t="n">
        <x:f>J7074*K7074</x:f>
        <x:v>1</x:v>
      </x:c>
    </x:row>
    <x:row r="7075">
      <x:c r="A7075" s="1" t="n">
        <x:v>55866</x:v>
      </x:c>
      <x:c r="B7075" s="5" t="d">
        <x:v>2017-03-26T00:00:00.000Z</x:v>
      </x:c>
      <x:c r="C7075" s="1" t="str">
        <x:v>Second Class</x:v>
      </x:c>
      <x:c r="D7075" s="1" t="str">
        <x:v>LATAM</x:v>
      </x:c>
      <x:c r="E7075" s="1" t="str">
        <x:v>CLOSED</x:v>
      </x:c>
      <x:c r="F7075" s="1" t="str">
        <x:v>Shipping on time</x:v>
      </x:c>
      <x:c r="G7075" s="6" t="n">
        <x:v>2</x:v>
      </x:c>
      <x:c r="H7075" s="6" t="n">
        <x:v>2</x:v>
      </x:c>
      <x:c r="I7075" s="6" t="n">
        <x:f>G7075-H7075</x:f>
        <x:v>0</x:v>
      </x:c>
      <x:c r="J7075" s="6" t="n">
        <x:f>IF(OR(E7075="CANCELED",E7075="SUSPECTED_FRAUD",F7075="Shipping canceled"),0,1)</x:f>
        <x:v>1</x:v>
      </x:c>
      <x:c r="K7075" s="6" t="n">
        <x:f>IF(G7075&gt;H7075,1,0)</x:f>
        <x:v>0</x:v>
      </x:c>
      <x:c r="L7075" s="6" t="n">
        <x:f>J7075*K7075</x:f>
        <x:v>0</x:v>
      </x:c>
    </x:row>
    <x:row r="7076">
      <x:c r="A7076" s="1" t="n">
        <x:v>55869</x:v>
      </x:c>
      <x:c r="B7076" s="5" t="d">
        <x:v>2017-03-26T00:00:00.000Z</x:v>
      </x:c>
      <x:c r="C7076" s="1" t="str">
        <x:v>Standard Class</x:v>
      </x:c>
      <x:c r="D7076" s="1" t="str">
        <x:v>LATAM</x:v>
      </x:c>
      <x:c r="E7076" s="1" t="str">
        <x:v>PENDING_PAYMENT</x:v>
      </x:c>
      <x:c r="F7076" s="1" t="str">
        <x:v>Late delivery</x:v>
      </x:c>
      <x:c r="G7076" s="6" t="n">
        <x:v>5</x:v>
      </x:c>
      <x:c r="H7076" s="6" t="n">
        <x:v>4</x:v>
      </x:c>
      <x:c r="I7076" s="6" t="n">
        <x:f>G7076-H7076</x:f>
        <x:v>1</x:v>
      </x:c>
      <x:c r="J7076" s="6" t="n">
        <x:f>IF(OR(E7076="CANCELED",E7076="SUSPECTED_FRAUD",F7076="Shipping canceled"),0,1)</x:f>
        <x:v>1</x:v>
      </x:c>
      <x:c r="K7076" s="6" t="n">
        <x:f>IF(G7076&gt;H7076,1,0)</x:f>
        <x:v>1</x:v>
      </x:c>
      <x:c r="L7076" s="6" t="n">
        <x:f>J7076*K7076</x:f>
        <x:v>1</x:v>
      </x:c>
    </x:row>
    <x:row r="7077">
      <x:c r="A7077" s="1" t="n">
        <x:v>55872</x:v>
      </x:c>
      <x:c r="B7077" s="5" t="d">
        <x:v>2017-03-26T00:00:00.000Z</x:v>
      </x:c>
      <x:c r="C7077" s="1" t="str">
        <x:v>Standard Class</x:v>
      </x:c>
      <x:c r="D7077" s="1" t="str">
        <x:v>LATAM</x:v>
      </x:c>
      <x:c r="E7077" s="1" t="str">
        <x:v>COMPLETE</x:v>
      </x:c>
      <x:c r="F7077" s="1" t="str">
        <x:v>Advance shipping</x:v>
      </x:c>
      <x:c r="G7077" s="6" t="n">
        <x:v>3</x:v>
      </x:c>
      <x:c r="H7077" s="6" t="n">
        <x:v>4</x:v>
      </x:c>
      <x:c r="I7077" s="6" t="n">
        <x:f>G7077-H7077</x:f>
        <x:v>-1</x:v>
      </x:c>
      <x:c r="J7077" s="6" t="n">
        <x:f>IF(OR(E7077="CANCELED",E7077="SUSPECTED_FRAUD",F7077="Shipping canceled"),0,1)</x:f>
        <x:v>1</x:v>
      </x:c>
      <x:c r="K7077" s="6" t="n">
        <x:f>IF(G7077&gt;H7077,1,0)</x:f>
        <x:v>0</x:v>
      </x:c>
      <x:c r="L7077" s="6" t="n">
        <x:f>J7077*K7077</x:f>
        <x:v>0</x:v>
      </x:c>
    </x:row>
    <x:row r="7078">
      <x:c r="A7078" s="1" t="n">
        <x:v>55876</x:v>
      </x:c>
      <x:c r="B7078" s="5" t="d">
        <x:v>2017-03-26T00:00:00.000Z</x:v>
      </x:c>
      <x:c r="C7078" s="1" t="str">
        <x:v>Standard Class</x:v>
      </x:c>
      <x:c r="D7078" s="1" t="str">
        <x:v>LATAM</x:v>
      </x:c>
      <x:c r="E7078" s="1" t="str">
        <x:v>PROCESSING</x:v>
      </x:c>
      <x:c r="F7078" s="1" t="str">
        <x:v>Advance shipping</x:v>
      </x:c>
      <x:c r="G7078" s="6" t="n">
        <x:v>2</x:v>
      </x:c>
      <x:c r="H7078" s="6" t="n">
        <x:v>4</x:v>
      </x:c>
      <x:c r="I7078" s="6" t="n">
        <x:f>G7078-H7078</x:f>
        <x:v>-2</x:v>
      </x:c>
      <x:c r="J7078" s="6" t="n">
        <x:f>IF(OR(E7078="CANCELED",E7078="SUSPECTED_FRAUD",F7078="Shipping canceled"),0,1)</x:f>
        <x:v>1</x:v>
      </x:c>
      <x:c r="K7078" s="6" t="n">
        <x:f>IF(G7078&gt;H7078,1,0)</x:f>
        <x:v>0</x:v>
      </x:c>
      <x:c r="L7078" s="6" t="n">
        <x:f>J7078*K7078</x:f>
        <x:v>0</x:v>
      </x:c>
    </x:row>
    <x:row r="7079">
      <x:c r="A7079" s="1" t="n">
        <x:v>55891</x:v>
      </x:c>
      <x:c r="B7079" s="5" t="d">
        <x:v>2017-03-26T00:00:00.000Z</x:v>
      </x:c>
      <x:c r="C7079" s="1" t="str">
        <x:v>Standard Class</x:v>
      </x:c>
      <x:c r="D7079" s="1" t="str">
        <x:v>LATAM</x:v>
      </x:c>
      <x:c r="E7079" s="1" t="str">
        <x:v>CLOSED</x:v>
      </x:c>
      <x:c r="F7079" s="1" t="str">
        <x:v>Advance shipping</x:v>
      </x:c>
      <x:c r="G7079" s="6" t="n">
        <x:v>2</x:v>
      </x:c>
      <x:c r="H7079" s="6" t="n">
        <x:v>4</x:v>
      </x:c>
      <x:c r="I7079" s="6" t="n">
        <x:f>G7079-H7079</x:f>
        <x:v>-2</x:v>
      </x:c>
      <x:c r="J7079" s="6" t="n">
        <x:f>IF(OR(E7079="CANCELED",E7079="SUSPECTED_FRAUD",F7079="Shipping canceled"),0,1)</x:f>
        <x:v>1</x:v>
      </x:c>
      <x:c r="K7079" s="6" t="n">
        <x:f>IF(G7079&gt;H7079,1,0)</x:f>
        <x:v>0</x:v>
      </x:c>
      <x:c r="L7079" s="6" t="n">
        <x:f>J7079*K7079</x:f>
        <x:v>0</x:v>
      </x:c>
    </x:row>
    <x:row r="7080">
      <x:c r="A7080" s="1" t="n">
        <x:v>55894</x:v>
      </x:c>
      <x:c r="B7080" s="5" t="d">
        <x:v>2017-03-26T00:00:00.000Z</x:v>
      </x:c>
      <x:c r="C7080" s="1" t="str">
        <x:v>Standard Class</x:v>
      </x:c>
      <x:c r="D7080" s="1" t="str">
        <x:v>LATAM</x:v>
      </x:c>
      <x:c r="E7080" s="1" t="str">
        <x:v>COMPLETE</x:v>
      </x:c>
      <x:c r="F7080" s="1" t="str">
        <x:v>Late delivery</x:v>
      </x:c>
      <x:c r="G7080" s="6" t="n">
        <x:v>5</x:v>
      </x:c>
      <x:c r="H7080" s="6" t="n">
        <x:v>4</x:v>
      </x:c>
      <x:c r="I7080" s="6" t="n">
        <x:f>G7080-H7080</x:f>
        <x:v>1</x:v>
      </x:c>
      <x:c r="J7080" s="6" t="n">
        <x:f>IF(OR(E7080="CANCELED",E7080="SUSPECTED_FRAUD",F7080="Shipping canceled"),0,1)</x:f>
        <x:v>1</x:v>
      </x:c>
      <x:c r="K7080" s="6" t="n">
        <x:f>IF(G7080&gt;H7080,1,0)</x:f>
        <x:v>1</x:v>
      </x:c>
      <x:c r="L7080" s="6" t="n">
        <x:f>J7080*K7080</x:f>
        <x:v>1</x:v>
      </x:c>
    </x:row>
    <x:row r="7081">
      <x:c r="A7081" s="1" t="n">
        <x:v>55898</x:v>
      </x:c>
      <x:c r="B7081" s="5" t="d">
        <x:v>2017-03-26T00:00:00.000Z</x:v>
      </x:c>
      <x:c r="C7081" s="1" t="str">
        <x:v>Standard Class</x:v>
      </x:c>
      <x:c r="D7081" s="1" t="str">
        <x:v>LATAM</x:v>
      </x:c>
      <x:c r="E7081" s="1" t="str">
        <x:v>COMPLETE</x:v>
      </x:c>
      <x:c r="F7081" s="1" t="str">
        <x:v>Shipping on time</x:v>
      </x:c>
      <x:c r="G7081" s="6" t="n">
        <x:v>4</x:v>
      </x:c>
      <x:c r="H7081" s="6" t="n">
        <x:v>4</x:v>
      </x:c>
      <x:c r="I7081" s="6" t="n">
        <x:f>G7081-H7081</x:f>
        <x:v>0</x:v>
      </x:c>
      <x:c r="J7081" s="6" t="n">
        <x:f>IF(OR(E7081="CANCELED",E7081="SUSPECTED_FRAUD",F7081="Shipping canceled"),0,1)</x:f>
        <x:v>1</x:v>
      </x:c>
      <x:c r="K7081" s="6" t="n">
        <x:f>IF(G7081&gt;H7081,1,0)</x:f>
        <x:v>0</x:v>
      </x:c>
      <x:c r="L7081" s="6" t="n">
        <x:f>J7081*K7081</x:f>
        <x:v>0</x:v>
      </x:c>
    </x:row>
    <x:row r="7082">
      <x:c r="A7082" s="1" t="n">
        <x:v>55899</x:v>
      </x:c>
      <x:c r="B7082" s="5" t="d">
        <x:v>2017-03-26T00:00:00.000Z</x:v>
      </x:c>
      <x:c r="C7082" s="1" t="str">
        <x:v>Standard Class</x:v>
      </x:c>
      <x:c r="D7082" s="1" t="str">
        <x:v>LATAM</x:v>
      </x:c>
      <x:c r="E7082" s="1" t="str">
        <x:v>PROCESSING</x:v>
      </x:c>
      <x:c r="F7082" s="1" t="str">
        <x:v>Late delivery</x:v>
      </x:c>
      <x:c r="G7082" s="6" t="n">
        <x:v>5</x:v>
      </x:c>
      <x:c r="H7082" s="6" t="n">
        <x:v>4</x:v>
      </x:c>
      <x:c r="I7082" s="6" t="n">
        <x:f>G7082-H7082</x:f>
        <x:v>1</x:v>
      </x:c>
      <x:c r="J7082" s="6" t="n">
        <x:f>IF(OR(E7082="CANCELED",E7082="SUSPECTED_FRAUD",F7082="Shipping canceled"),0,1)</x:f>
        <x:v>1</x:v>
      </x:c>
      <x:c r="K7082" s="6" t="n">
        <x:f>IF(G7082&gt;H7082,1,0)</x:f>
        <x:v>1</x:v>
      </x:c>
      <x:c r="L7082" s="6" t="n">
        <x:f>J7082*K7082</x:f>
        <x:v>1</x:v>
      </x:c>
    </x:row>
    <x:row r="7083">
      <x:c r="A7083" s="1" t="n">
        <x:v>55900</x:v>
      </x:c>
      <x:c r="B7083" s="5" t="d">
        <x:v>2017-03-26T00:00:00.000Z</x:v>
      </x:c>
      <x:c r="C7083" s="1" t="str">
        <x:v>Standard Class</x:v>
      </x:c>
      <x:c r="D7083" s="1" t="str">
        <x:v>LATAM</x:v>
      </x:c>
      <x:c r="E7083" s="1" t="str">
        <x:v>PENDING</x:v>
      </x:c>
      <x:c r="F7083" s="1" t="str">
        <x:v>Late delivery</x:v>
      </x:c>
      <x:c r="G7083" s="6" t="n">
        <x:v>6</x:v>
      </x:c>
      <x:c r="H7083" s="6" t="n">
        <x:v>4</x:v>
      </x:c>
      <x:c r="I7083" s="6" t="n">
        <x:f>G7083-H7083</x:f>
        <x:v>2</x:v>
      </x:c>
      <x:c r="J7083" s="6" t="n">
        <x:f>IF(OR(E7083="CANCELED",E7083="SUSPECTED_FRAUD",F7083="Shipping canceled"),0,1)</x:f>
        <x:v>1</x:v>
      </x:c>
      <x:c r="K7083" s="6" t="n">
        <x:f>IF(G7083&gt;H7083,1,0)</x:f>
        <x:v>1</x:v>
      </x:c>
      <x:c r="L7083" s="6" t="n">
        <x:f>J7083*K7083</x:f>
        <x:v>1</x:v>
      </x:c>
    </x:row>
    <x:row r="7084">
      <x:c r="A7084" s="1" t="n">
        <x:v>55906</x:v>
      </x:c>
      <x:c r="B7084" s="5" t="d">
        <x:v>2017-03-27T00:00:00.000Z</x:v>
      </x:c>
      <x:c r="C7084" s="1" t="str">
        <x:v>Second Class</x:v>
      </x:c>
      <x:c r="D7084" s="1" t="str">
        <x:v>LATAM</x:v>
      </x:c>
      <x:c r="E7084" s="1" t="str">
        <x:v>PENDING_PAYMENT</x:v>
      </x:c>
      <x:c r="F7084" s="1" t="str">
        <x:v>Shipping on time</x:v>
      </x:c>
      <x:c r="G7084" s="6" t="n">
        <x:v>2</x:v>
      </x:c>
      <x:c r="H7084" s="6" t="n">
        <x:v>2</x:v>
      </x:c>
      <x:c r="I7084" s="6" t="n">
        <x:f>G7084-H7084</x:f>
        <x:v>0</x:v>
      </x:c>
      <x:c r="J7084" s="6" t="n">
        <x:f>IF(OR(E7084="CANCELED",E7084="SUSPECTED_FRAUD",F7084="Shipping canceled"),0,1)</x:f>
        <x:v>1</x:v>
      </x:c>
      <x:c r="K7084" s="6" t="n">
        <x:f>IF(G7084&gt;H7084,1,0)</x:f>
        <x:v>0</x:v>
      </x:c>
      <x:c r="L7084" s="6" t="n">
        <x:f>J7084*K7084</x:f>
        <x:v>0</x:v>
      </x:c>
    </x:row>
    <x:row r="7085">
      <x:c r="A7085" s="1" t="n">
        <x:v>55911</x:v>
      </x:c>
      <x:c r="B7085" s="5" t="d">
        <x:v>2017-03-27T00:00:00.000Z</x:v>
      </x:c>
      <x:c r="C7085" s="1" t="str">
        <x:v>Same Day</x:v>
      </x:c>
      <x:c r="D7085" s="1" t="str">
        <x:v>LATAM</x:v>
      </x:c>
      <x:c r="E7085" s="1" t="str">
        <x:v>PROCESSING</x:v>
      </x:c>
      <x:c r="F7085" s="1" t="str">
        <x:v>Shipping on time</x:v>
      </x:c>
      <x:c r="G7085" s="6" t="n">
        <x:v>0</x:v>
      </x:c>
      <x:c r="H7085" s="6" t="n">
        <x:v>0</x:v>
      </x:c>
      <x:c r="I7085" s="6" t="n">
        <x:f>G7085-H7085</x:f>
        <x:v>0</x:v>
      </x:c>
      <x:c r="J7085" s="6" t="n">
        <x:f>IF(OR(E7085="CANCELED",E7085="SUSPECTED_FRAUD",F7085="Shipping canceled"),0,1)</x:f>
        <x:v>1</x:v>
      </x:c>
      <x:c r="K7085" s="6" t="n">
        <x:f>IF(G7085&gt;H7085,1,0)</x:f>
        <x:v>0</x:v>
      </x:c>
      <x:c r="L7085" s="6" t="n">
        <x:f>J7085*K7085</x:f>
        <x:v>0</x:v>
      </x:c>
    </x:row>
    <x:row r="7086">
      <x:c r="A7086" s="1" t="n">
        <x:v>55912</x:v>
      </x:c>
      <x:c r="B7086" s="5" t="d">
        <x:v>2017-03-27T00:00:00.000Z</x:v>
      </x:c>
      <x:c r="C7086" s="1" t="str">
        <x:v>Same Day</x:v>
      </x:c>
      <x:c r="D7086" s="1" t="str">
        <x:v>LATAM</x:v>
      </x:c>
      <x:c r="E7086" s="1" t="str">
        <x:v>CLOSED</x:v>
      </x:c>
      <x:c r="F7086" s="1" t="str">
        <x:v>Shipping on time</x:v>
      </x:c>
      <x:c r="G7086" s="6" t="n">
        <x:v>0</x:v>
      </x:c>
      <x:c r="H7086" s="6" t="n">
        <x:v>0</x:v>
      </x:c>
      <x:c r="I7086" s="6" t="n">
        <x:f>G7086-H7086</x:f>
        <x:v>0</x:v>
      </x:c>
      <x:c r="J7086" s="6" t="n">
        <x:f>IF(OR(E7086="CANCELED",E7086="SUSPECTED_FRAUD",F7086="Shipping canceled"),0,1)</x:f>
        <x:v>1</x:v>
      </x:c>
      <x:c r="K7086" s="6" t="n">
        <x:f>IF(G7086&gt;H7086,1,0)</x:f>
        <x:v>0</x:v>
      </x:c>
      <x:c r="L7086" s="6" t="n">
        <x:f>J7086*K7086</x:f>
        <x:v>0</x:v>
      </x:c>
    </x:row>
    <x:row r="7087">
      <x:c r="A7087" s="1" t="n">
        <x:v>55926</x:v>
      </x:c>
      <x:c r="B7087" s="5" t="d">
        <x:v>2017-03-27T00:00:00.000Z</x:v>
      </x:c>
      <x:c r="C7087" s="1" t="str">
        <x:v>Second Class</x:v>
      </x:c>
      <x:c r="D7087" s="1" t="str">
        <x:v>LATAM</x:v>
      </x:c>
      <x:c r="E7087" s="1" t="str">
        <x:v>COMPLETE</x:v>
      </x:c>
      <x:c r="F7087" s="1" t="str">
        <x:v>Shipping on time</x:v>
      </x:c>
      <x:c r="G7087" s="6" t="n">
        <x:v>2</x:v>
      </x:c>
      <x:c r="H7087" s="6" t="n">
        <x:v>2</x:v>
      </x:c>
      <x:c r="I7087" s="6" t="n">
        <x:f>G7087-H7087</x:f>
        <x:v>0</x:v>
      </x:c>
      <x:c r="J7087" s="6" t="n">
        <x:f>IF(OR(E7087="CANCELED",E7087="SUSPECTED_FRAUD",F7087="Shipping canceled"),0,1)</x:f>
        <x:v>1</x:v>
      </x:c>
      <x:c r="K7087" s="6" t="n">
        <x:f>IF(G7087&gt;H7087,1,0)</x:f>
        <x:v>0</x:v>
      </x:c>
      <x:c r="L7087" s="6" t="n">
        <x:f>J7087*K7087</x:f>
        <x:v>0</x:v>
      </x:c>
    </x:row>
    <x:row r="7088">
      <x:c r="A7088" s="1" t="n">
        <x:v>55931</x:v>
      </x:c>
      <x:c r="B7088" s="5" t="d">
        <x:v>2017-03-27T00:00:00.000Z</x:v>
      </x:c>
      <x:c r="C7088" s="1" t="str">
        <x:v>Standard Class</x:v>
      </x:c>
      <x:c r="D7088" s="1" t="str">
        <x:v>LATAM</x:v>
      </x:c>
      <x:c r="E7088" s="1" t="str">
        <x:v>CLOSED</x:v>
      </x:c>
      <x:c r="F7088" s="1" t="str">
        <x:v>Advance shipping</x:v>
      </x:c>
      <x:c r="G7088" s="6" t="n">
        <x:v>2</x:v>
      </x:c>
      <x:c r="H7088" s="6" t="n">
        <x:v>4</x:v>
      </x:c>
      <x:c r="I7088" s="6" t="n">
        <x:f>G7088-H7088</x:f>
        <x:v>-2</x:v>
      </x:c>
      <x:c r="J7088" s="6" t="n">
        <x:f>IF(OR(E7088="CANCELED",E7088="SUSPECTED_FRAUD",F7088="Shipping canceled"),0,1)</x:f>
        <x:v>1</x:v>
      </x:c>
      <x:c r="K7088" s="6" t="n">
        <x:f>IF(G7088&gt;H7088,1,0)</x:f>
        <x:v>0</x:v>
      </x:c>
      <x:c r="L7088" s="6" t="n">
        <x:f>J7088*K7088</x:f>
        <x:v>0</x:v>
      </x:c>
    </x:row>
    <x:row r="7089">
      <x:c r="A7089" s="1" t="n">
        <x:v>55935</x:v>
      </x:c>
      <x:c r="B7089" s="5" t="d">
        <x:v>2017-03-27T00:00:00.000Z</x:v>
      </x:c>
      <x:c r="C7089" s="1" t="str">
        <x:v>First Class</x:v>
      </x:c>
      <x:c r="D7089" s="1" t="str">
        <x:v>LATAM</x:v>
      </x:c>
      <x:c r="E7089" s="1" t="str">
        <x:v>CANCELED</x:v>
      </x:c>
      <x:c r="F7089" s="1" t="str">
        <x:v>Shipping canceled</x:v>
      </x:c>
      <x:c r="G7089" s="6" t="n">
        <x:v>2</x:v>
      </x:c>
      <x:c r="H7089" s="6" t="n">
        <x:v>1</x:v>
      </x:c>
      <x:c r="I7089" s="6" t="n">
        <x:f>G7089-H7089</x:f>
        <x:v>1</x:v>
      </x:c>
      <x:c r="J7089" s="6" t="n">
        <x:f>IF(OR(E7089="CANCELED",E7089="SUSPECTED_FRAUD",F7089="Shipping canceled"),0,1)</x:f>
        <x:v>0</x:v>
      </x:c>
      <x:c r="K7089" s="6" t="n">
        <x:f>IF(G7089&gt;H7089,1,0)</x:f>
        <x:v>1</x:v>
      </x:c>
      <x:c r="L7089" s="6" t="n">
        <x:f>J7089*K7089</x:f>
        <x:v>0</x:v>
      </x:c>
    </x:row>
    <x:row r="7090">
      <x:c r="A7090" s="1" t="n">
        <x:v>55945</x:v>
      </x:c>
      <x:c r="B7090" s="5" t="d">
        <x:v>2017-03-27T00:00:00.000Z</x:v>
      </x:c>
      <x:c r="C7090" s="1" t="str">
        <x:v>First Class</x:v>
      </x:c>
      <x:c r="D7090" s="1" t="str">
        <x:v>LATAM</x:v>
      </x:c>
      <x:c r="E7090" s="1" t="str">
        <x:v>CLOSED</x:v>
      </x:c>
      <x:c r="F7090" s="1" t="str">
        <x:v>Late delivery</x:v>
      </x:c>
      <x:c r="G7090" s="6" t="n">
        <x:v>2</x:v>
      </x:c>
      <x:c r="H7090" s="6" t="n">
        <x:v>1</x:v>
      </x:c>
      <x:c r="I7090" s="6" t="n">
        <x:f>G7090-H7090</x:f>
        <x:v>1</x:v>
      </x:c>
      <x:c r="J7090" s="6" t="n">
        <x:f>IF(OR(E7090="CANCELED",E7090="SUSPECTED_FRAUD",F7090="Shipping canceled"),0,1)</x:f>
        <x:v>1</x:v>
      </x:c>
      <x:c r="K7090" s="6" t="n">
        <x:f>IF(G7090&gt;H7090,1,0)</x:f>
        <x:v>1</x:v>
      </x:c>
      <x:c r="L7090" s="6" t="n">
        <x:f>J7090*K7090</x:f>
        <x:v>1</x:v>
      </x:c>
    </x:row>
    <x:row r="7091">
      <x:c r="A7091" s="1" t="n">
        <x:v>55952</x:v>
      </x:c>
      <x:c r="B7091" s="5" t="d">
        <x:v>2017-03-27T00:00:00.000Z</x:v>
      </x:c>
      <x:c r="C7091" s="1" t="str">
        <x:v>Standard Class</x:v>
      </x:c>
      <x:c r="D7091" s="1" t="str">
        <x:v>LATAM</x:v>
      </x:c>
      <x:c r="E7091" s="1" t="str">
        <x:v>COMPLETE</x:v>
      </x:c>
      <x:c r="F7091" s="1" t="str">
        <x:v>Advance shipping</x:v>
      </x:c>
      <x:c r="G7091" s="6" t="n">
        <x:v>3</x:v>
      </x:c>
      <x:c r="H7091" s="6" t="n">
        <x:v>4</x:v>
      </x:c>
      <x:c r="I7091" s="6" t="n">
        <x:f>G7091-H7091</x:f>
        <x:v>-1</x:v>
      </x:c>
      <x:c r="J7091" s="6" t="n">
        <x:f>IF(OR(E7091="CANCELED",E7091="SUSPECTED_FRAUD",F7091="Shipping canceled"),0,1)</x:f>
        <x:v>1</x:v>
      </x:c>
      <x:c r="K7091" s="6" t="n">
        <x:f>IF(G7091&gt;H7091,1,0)</x:f>
        <x:v>0</x:v>
      </x:c>
      <x:c r="L7091" s="6" t="n">
        <x:f>J7091*K7091</x:f>
        <x:v>0</x:v>
      </x:c>
    </x:row>
    <x:row r="7092">
      <x:c r="A7092" s="1" t="n">
        <x:v>55955</x:v>
      </x:c>
      <x:c r="B7092" s="5" t="d">
        <x:v>2017-03-27T00:00:00.000Z</x:v>
      </x:c>
      <x:c r="C7092" s="1" t="str">
        <x:v>Standard Class</x:v>
      </x:c>
      <x:c r="D7092" s="1" t="str">
        <x:v>LATAM</x:v>
      </x:c>
      <x:c r="E7092" s="1" t="str">
        <x:v>ON_HOLD</x:v>
      </x:c>
      <x:c r="F7092" s="1" t="str">
        <x:v>Late delivery</x:v>
      </x:c>
      <x:c r="G7092" s="6" t="n">
        <x:v>6</x:v>
      </x:c>
      <x:c r="H7092" s="6" t="n">
        <x:v>4</x:v>
      </x:c>
      <x:c r="I7092" s="6" t="n">
        <x:f>G7092-H7092</x:f>
        <x:v>2</x:v>
      </x:c>
      <x:c r="J7092" s="6" t="n">
        <x:f>IF(OR(E7092="CANCELED",E7092="SUSPECTED_FRAUD",F7092="Shipping canceled"),0,1)</x:f>
        <x:v>1</x:v>
      </x:c>
      <x:c r="K7092" s="6" t="n">
        <x:f>IF(G7092&gt;H7092,1,0)</x:f>
        <x:v>1</x:v>
      </x:c>
      <x:c r="L7092" s="6" t="n">
        <x:f>J7092*K7092</x:f>
        <x:v>1</x:v>
      </x:c>
    </x:row>
    <x:row r="7093">
      <x:c r="A7093" s="1" t="n">
        <x:v>55956</x:v>
      </x:c>
      <x:c r="B7093" s="5" t="d">
        <x:v>2017-03-27T00:00:00.000Z</x:v>
      </x:c>
      <x:c r="C7093" s="1" t="str">
        <x:v>Standard Class</x:v>
      </x:c>
      <x:c r="D7093" s="1" t="str">
        <x:v>LATAM</x:v>
      </x:c>
      <x:c r="E7093" s="1" t="str">
        <x:v>COMPLETE</x:v>
      </x:c>
      <x:c r="F7093" s="1" t="str">
        <x:v>Advance shipping</x:v>
      </x:c>
      <x:c r="G7093" s="6" t="n">
        <x:v>2</x:v>
      </x:c>
      <x:c r="H7093" s="6" t="n">
        <x:v>4</x:v>
      </x:c>
      <x:c r="I7093" s="6" t="n">
        <x:f>G7093-H7093</x:f>
        <x:v>-2</x:v>
      </x:c>
      <x:c r="J7093" s="6" t="n">
        <x:f>IF(OR(E7093="CANCELED",E7093="SUSPECTED_FRAUD",F7093="Shipping canceled"),0,1)</x:f>
        <x:v>1</x:v>
      </x:c>
      <x:c r="K7093" s="6" t="n">
        <x:f>IF(G7093&gt;H7093,1,0)</x:f>
        <x:v>0</x:v>
      </x:c>
      <x:c r="L7093" s="6" t="n">
        <x:f>J7093*K7093</x:f>
        <x:v>0</x:v>
      </x:c>
    </x:row>
    <x:row r="7094">
      <x:c r="A7094" s="1" t="n">
        <x:v>55981</x:v>
      </x:c>
      <x:c r="B7094" s="5" t="d">
        <x:v>2017-03-28T00:00:00.000Z</x:v>
      </x:c>
      <x:c r="C7094" s="1" t="str">
        <x:v>Standard Class</x:v>
      </x:c>
      <x:c r="D7094" s="1" t="str">
        <x:v>LATAM</x:v>
      </x:c>
      <x:c r="E7094" s="1" t="str">
        <x:v>COMPLETE</x:v>
      </x:c>
      <x:c r="F7094" s="1" t="str">
        <x:v>Advance shipping</x:v>
      </x:c>
      <x:c r="G7094" s="6" t="n">
        <x:v>2</x:v>
      </x:c>
      <x:c r="H7094" s="6" t="n">
        <x:v>4</x:v>
      </x:c>
      <x:c r="I7094" s="6" t="n">
        <x:f>G7094-H7094</x:f>
        <x:v>-2</x:v>
      </x:c>
      <x:c r="J7094" s="6" t="n">
        <x:f>IF(OR(E7094="CANCELED",E7094="SUSPECTED_FRAUD",F7094="Shipping canceled"),0,1)</x:f>
        <x:v>1</x:v>
      </x:c>
      <x:c r="K7094" s="6" t="n">
        <x:f>IF(G7094&gt;H7094,1,0)</x:f>
        <x:v>0</x:v>
      </x:c>
      <x:c r="L7094" s="6" t="n">
        <x:f>J7094*K7094</x:f>
        <x:v>0</x:v>
      </x:c>
    </x:row>
    <x:row r="7095">
      <x:c r="A7095" s="1" t="n">
        <x:v>55984</x:v>
      </x:c>
      <x:c r="B7095" s="5" t="d">
        <x:v>2017-03-28T00:00:00.000Z</x:v>
      </x:c>
      <x:c r="C7095" s="1" t="str">
        <x:v>Standard Class</x:v>
      </x:c>
      <x:c r="D7095" s="1" t="str">
        <x:v>LATAM</x:v>
      </x:c>
      <x:c r="E7095" s="1" t="str">
        <x:v>PENDING</x:v>
      </x:c>
      <x:c r="F7095" s="1" t="str">
        <x:v>Late delivery</x:v>
      </x:c>
      <x:c r="G7095" s="6" t="n">
        <x:v>5</x:v>
      </x:c>
      <x:c r="H7095" s="6" t="n">
        <x:v>4</x:v>
      </x:c>
      <x:c r="I7095" s="6" t="n">
        <x:f>G7095-H7095</x:f>
        <x:v>1</x:v>
      </x:c>
      <x:c r="J7095" s="6" t="n">
        <x:f>IF(OR(E7095="CANCELED",E7095="SUSPECTED_FRAUD",F7095="Shipping canceled"),0,1)</x:f>
        <x:v>1</x:v>
      </x:c>
      <x:c r="K7095" s="6" t="n">
        <x:f>IF(G7095&gt;H7095,1,0)</x:f>
        <x:v>1</x:v>
      </x:c>
      <x:c r="L7095" s="6" t="n">
        <x:f>J7095*K7095</x:f>
        <x:v>1</x:v>
      </x:c>
    </x:row>
    <x:row r="7096">
      <x:c r="A7096" s="1" t="n">
        <x:v>55998</x:v>
      </x:c>
      <x:c r="B7096" s="5" t="d">
        <x:v>2017-03-28T00:00:00.000Z</x:v>
      </x:c>
      <x:c r="C7096" s="1" t="str">
        <x:v>Second Class</x:v>
      </x:c>
      <x:c r="D7096" s="1" t="str">
        <x:v>LATAM</x:v>
      </x:c>
      <x:c r="E7096" s="1" t="str">
        <x:v>PROCESSING</x:v>
      </x:c>
      <x:c r="F7096" s="1" t="str">
        <x:v>Late delivery</x:v>
      </x:c>
      <x:c r="G7096" s="6" t="n">
        <x:v>4</x:v>
      </x:c>
      <x:c r="H7096" s="6" t="n">
        <x:v>2</x:v>
      </x:c>
      <x:c r="I7096" s="6" t="n">
        <x:f>G7096-H7096</x:f>
        <x:v>2</x:v>
      </x:c>
      <x:c r="J7096" s="6" t="n">
        <x:f>IF(OR(E7096="CANCELED",E7096="SUSPECTED_FRAUD",F7096="Shipping canceled"),0,1)</x:f>
        <x:v>1</x:v>
      </x:c>
      <x:c r="K7096" s="6" t="n">
        <x:f>IF(G7096&gt;H7096,1,0)</x:f>
        <x:v>1</x:v>
      </x:c>
      <x:c r="L7096" s="6" t="n">
        <x:f>J7096*K7096</x:f>
        <x:v>1</x:v>
      </x:c>
    </x:row>
    <x:row r="7097">
      <x:c r="A7097" s="1" t="n">
        <x:v>56003</x:v>
      </x:c>
      <x:c r="B7097" s="5" t="d">
        <x:v>2017-03-28T00:00:00.000Z</x:v>
      </x:c>
      <x:c r="C7097" s="1" t="str">
        <x:v>Standard Class</x:v>
      </x:c>
      <x:c r="D7097" s="1" t="str">
        <x:v>LATAM</x:v>
      </x:c>
      <x:c r="E7097" s="1" t="str">
        <x:v>COMPLETE</x:v>
      </x:c>
      <x:c r="F7097" s="1" t="str">
        <x:v>Shipping on time</x:v>
      </x:c>
      <x:c r="G7097" s="6" t="n">
        <x:v>4</x:v>
      </x:c>
      <x:c r="H7097" s="6" t="n">
        <x:v>4</x:v>
      </x:c>
      <x:c r="I7097" s="6" t="n">
        <x:f>G7097-H7097</x:f>
        <x:v>0</x:v>
      </x:c>
      <x:c r="J7097" s="6" t="n">
        <x:f>IF(OR(E7097="CANCELED",E7097="SUSPECTED_FRAUD",F7097="Shipping canceled"),0,1)</x:f>
        <x:v>1</x:v>
      </x:c>
      <x:c r="K7097" s="6" t="n">
        <x:f>IF(G7097&gt;H7097,1,0)</x:f>
        <x:v>0</x:v>
      </x:c>
      <x:c r="L7097" s="6" t="n">
        <x:f>J7097*K7097</x:f>
        <x:v>0</x:v>
      </x:c>
    </x:row>
    <x:row r="7098">
      <x:c r="A7098" s="1" t="n">
        <x:v>56031</x:v>
      </x:c>
      <x:c r="B7098" s="5" t="d">
        <x:v>2017-03-28T00:00:00.000Z</x:v>
      </x:c>
      <x:c r="C7098" s="1" t="str">
        <x:v>Standard Class</x:v>
      </x:c>
      <x:c r="D7098" s="1" t="str">
        <x:v>LATAM</x:v>
      </x:c>
      <x:c r="E7098" s="1" t="str">
        <x:v>PENDING</x:v>
      </x:c>
      <x:c r="F7098" s="1" t="str">
        <x:v>Advance shipping</x:v>
      </x:c>
      <x:c r="G7098" s="6" t="n">
        <x:v>2</x:v>
      </x:c>
      <x:c r="H7098" s="6" t="n">
        <x:v>4</x:v>
      </x:c>
      <x:c r="I7098" s="6" t="n">
        <x:f>G7098-H7098</x:f>
        <x:v>-2</x:v>
      </x:c>
      <x:c r="J7098" s="6" t="n">
        <x:f>IF(OR(E7098="CANCELED",E7098="SUSPECTED_FRAUD",F7098="Shipping canceled"),0,1)</x:f>
        <x:v>1</x:v>
      </x:c>
      <x:c r="K7098" s="6" t="n">
        <x:f>IF(G7098&gt;H7098,1,0)</x:f>
        <x:v>0</x:v>
      </x:c>
      <x:c r="L7098" s="6" t="n">
        <x:f>J7098*K7098</x:f>
        <x:v>0</x:v>
      </x:c>
    </x:row>
    <x:row r="7099">
      <x:c r="A7099" s="1" t="n">
        <x:v>56037</x:v>
      </x:c>
      <x:c r="B7099" s="5" t="d">
        <x:v>2017-03-28T00:00:00.000Z</x:v>
      </x:c>
      <x:c r="C7099" s="1" t="str">
        <x:v>Second Class</x:v>
      </x:c>
      <x:c r="D7099" s="1" t="str">
        <x:v>LATAM</x:v>
      </x:c>
      <x:c r="E7099" s="1" t="str">
        <x:v>COMPLETE</x:v>
      </x:c>
      <x:c r="F7099" s="1" t="str">
        <x:v>Late delivery</x:v>
      </x:c>
      <x:c r="G7099" s="6" t="n">
        <x:v>3</x:v>
      </x:c>
      <x:c r="H7099" s="6" t="n">
        <x:v>2</x:v>
      </x:c>
      <x:c r="I7099" s="6" t="n">
        <x:f>G7099-H7099</x:f>
        <x:v>1</x:v>
      </x:c>
      <x:c r="J7099" s="6" t="n">
        <x:f>IF(OR(E7099="CANCELED",E7099="SUSPECTED_FRAUD",F7099="Shipping canceled"),0,1)</x:f>
        <x:v>1</x:v>
      </x:c>
      <x:c r="K7099" s="6" t="n">
        <x:f>IF(G7099&gt;H7099,1,0)</x:f>
        <x:v>1</x:v>
      </x:c>
      <x:c r="L7099" s="6" t="n">
        <x:f>J7099*K7099</x:f>
        <x:v>1</x:v>
      </x:c>
    </x:row>
    <x:row r="7100">
      <x:c r="A7100" s="1" t="n">
        <x:v>56048</x:v>
      </x:c>
      <x:c r="B7100" s="5" t="d">
        <x:v>2017-03-29T00:00:00.000Z</x:v>
      </x:c>
      <x:c r="C7100" s="1" t="str">
        <x:v>Second Class</x:v>
      </x:c>
      <x:c r="D7100" s="1" t="str">
        <x:v>LATAM</x:v>
      </x:c>
      <x:c r="E7100" s="1" t="str">
        <x:v>COMPLETE</x:v>
      </x:c>
      <x:c r="F7100" s="1" t="str">
        <x:v>Late delivery</x:v>
      </x:c>
      <x:c r="G7100" s="6" t="n">
        <x:v>4</x:v>
      </x:c>
      <x:c r="H7100" s="6" t="n">
        <x:v>2</x:v>
      </x:c>
      <x:c r="I7100" s="6" t="n">
        <x:f>G7100-H7100</x:f>
        <x:v>2</x:v>
      </x:c>
      <x:c r="J7100" s="6" t="n">
        <x:f>IF(OR(E7100="CANCELED",E7100="SUSPECTED_FRAUD",F7100="Shipping canceled"),0,1)</x:f>
        <x:v>1</x:v>
      </x:c>
      <x:c r="K7100" s="6" t="n">
        <x:f>IF(G7100&gt;H7100,1,0)</x:f>
        <x:v>1</x:v>
      </x:c>
      <x:c r="L7100" s="6" t="n">
        <x:f>J7100*K7100</x:f>
        <x:v>1</x:v>
      </x:c>
    </x:row>
    <x:row r="7101">
      <x:c r="A7101" s="1" t="n">
        <x:v>56056</x:v>
      </x:c>
      <x:c r="B7101" s="5" t="d">
        <x:v>2017-03-29T00:00:00.000Z</x:v>
      </x:c>
      <x:c r="C7101" s="1" t="str">
        <x:v>Standard Class</x:v>
      </x:c>
      <x:c r="D7101" s="1" t="str">
        <x:v>LATAM</x:v>
      </x:c>
      <x:c r="E7101" s="1" t="str">
        <x:v>PROCESSING</x:v>
      </x:c>
      <x:c r="F7101" s="1" t="str">
        <x:v>Advance shipping</x:v>
      </x:c>
      <x:c r="G7101" s="6" t="n">
        <x:v>2</x:v>
      </x:c>
      <x:c r="H7101" s="6" t="n">
        <x:v>4</x:v>
      </x:c>
      <x:c r="I7101" s="6" t="n">
        <x:f>G7101-H7101</x:f>
        <x:v>-2</x:v>
      </x:c>
      <x:c r="J7101" s="6" t="n">
        <x:f>IF(OR(E7101="CANCELED",E7101="SUSPECTED_FRAUD",F7101="Shipping canceled"),0,1)</x:f>
        <x:v>1</x:v>
      </x:c>
      <x:c r="K7101" s="6" t="n">
        <x:f>IF(G7101&gt;H7101,1,0)</x:f>
        <x:v>0</x:v>
      </x:c>
      <x:c r="L7101" s="6" t="n">
        <x:f>J7101*K7101</x:f>
        <x:v>0</x:v>
      </x:c>
    </x:row>
    <x:row r="7102">
      <x:c r="A7102" s="1" t="n">
        <x:v>56061</x:v>
      </x:c>
      <x:c r="B7102" s="5" t="d">
        <x:v>2017-03-29T00:00:00.000Z</x:v>
      </x:c>
      <x:c r="C7102" s="1" t="str">
        <x:v>Standard Class</x:v>
      </x:c>
      <x:c r="D7102" s="1" t="str">
        <x:v>LATAM</x:v>
      </x:c>
      <x:c r="E7102" s="1" t="str">
        <x:v>PENDING_PAYMENT</x:v>
      </x:c>
      <x:c r="F7102" s="1" t="str">
        <x:v>Advance shipping</x:v>
      </x:c>
      <x:c r="G7102" s="6" t="n">
        <x:v>2</x:v>
      </x:c>
      <x:c r="H7102" s="6" t="n">
        <x:v>4</x:v>
      </x:c>
      <x:c r="I7102" s="6" t="n">
        <x:f>G7102-H7102</x:f>
        <x:v>-2</x:v>
      </x:c>
      <x:c r="J7102" s="6" t="n">
        <x:f>IF(OR(E7102="CANCELED",E7102="SUSPECTED_FRAUD",F7102="Shipping canceled"),0,1)</x:f>
        <x:v>1</x:v>
      </x:c>
      <x:c r="K7102" s="6" t="n">
        <x:f>IF(G7102&gt;H7102,1,0)</x:f>
        <x:v>0</x:v>
      </x:c>
      <x:c r="L7102" s="6" t="n">
        <x:f>J7102*K7102</x:f>
        <x:v>0</x:v>
      </x:c>
    </x:row>
    <x:row r="7103">
      <x:c r="A7103" s="1" t="n">
        <x:v>56128</x:v>
      </x:c>
      <x:c r="B7103" s="5" t="d">
        <x:v>2017-03-30T00:00:00.000Z</x:v>
      </x:c>
      <x:c r="C7103" s="1" t="str">
        <x:v>Same Day</x:v>
      </x:c>
      <x:c r="D7103" s="1" t="str">
        <x:v>LATAM</x:v>
      </x:c>
      <x:c r="E7103" s="1" t="str">
        <x:v>PROCESSING</x:v>
      </x:c>
      <x:c r="F7103" s="1" t="str">
        <x:v>Shipping on time</x:v>
      </x:c>
      <x:c r="G7103" s="6" t="n">
        <x:v>0</x:v>
      </x:c>
      <x:c r="H7103" s="6" t="n">
        <x:v>0</x:v>
      </x:c>
      <x:c r="I7103" s="6" t="n">
        <x:f>G7103-H7103</x:f>
        <x:v>0</x:v>
      </x:c>
      <x:c r="J7103" s="6" t="n">
        <x:f>IF(OR(E7103="CANCELED",E7103="SUSPECTED_FRAUD",F7103="Shipping canceled"),0,1)</x:f>
        <x:v>1</x:v>
      </x:c>
      <x:c r="K7103" s="6" t="n">
        <x:f>IF(G7103&gt;H7103,1,0)</x:f>
        <x:v>0</x:v>
      </x:c>
      <x:c r="L7103" s="6" t="n">
        <x:f>J7103*K7103</x:f>
        <x:v>0</x:v>
      </x:c>
    </x:row>
    <x:row r="7104">
      <x:c r="A7104" s="1" t="n">
        <x:v>56130</x:v>
      </x:c>
      <x:c r="B7104" s="5" t="d">
        <x:v>2017-03-30T00:00:00.000Z</x:v>
      </x:c>
      <x:c r="C7104" s="1" t="str">
        <x:v>Standard Class</x:v>
      </x:c>
      <x:c r="D7104" s="1" t="str">
        <x:v>LATAM</x:v>
      </x:c>
      <x:c r="E7104" s="1" t="str">
        <x:v>CLOSED</x:v>
      </x:c>
      <x:c r="F7104" s="1" t="str">
        <x:v>Late delivery</x:v>
      </x:c>
      <x:c r="G7104" s="6" t="n">
        <x:v>6</x:v>
      </x:c>
      <x:c r="H7104" s="6" t="n">
        <x:v>4</x:v>
      </x:c>
      <x:c r="I7104" s="6" t="n">
        <x:f>G7104-H7104</x:f>
        <x:v>2</x:v>
      </x:c>
      <x:c r="J7104" s="6" t="n">
        <x:f>IF(OR(E7104="CANCELED",E7104="SUSPECTED_FRAUD",F7104="Shipping canceled"),0,1)</x:f>
        <x:v>1</x:v>
      </x:c>
      <x:c r="K7104" s="6" t="n">
        <x:f>IF(G7104&gt;H7104,1,0)</x:f>
        <x:v>1</x:v>
      </x:c>
      <x:c r="L7104" s="6" t="n">
        <x:f>J7104*K7104</x:f>
        <x:v>1</x:v>
      </x:c>
    </x:row>
    <x:row r="7105">
      <x:c r="A7105" s="1" t="n">
        <x:v>56131</x:v>
      </x:c>
      <x:c r="B7105" s="5" t="d">
        <x:v>2017-03-30T00:00:00.000Z</x:v>
      </x:c>
      <x:c r="C7105" s="1" t="str">
        <x:v>Standard Class</x:v>
      </x:c>
      <x:c r="D7105" s="1" t="str">
        <x:v>LATAM</x:v>
      </x:c>
      <x:c r="E7105" s="1" t="str">
        <x:v>COMPLETE</x:v>
      </x:c>
      <x:c r="F7105" s="1" t="str">
        <x:v>Advance shipping</x:v>
      </x:c>
      <x:c r="G7105" s="6" t="n">
        <x:v>2</x:v>
      </x:c>
      <x:c r="H7105" s="6" t="n">
        <x:v>4</x:v>
      </x:c>
      <x:c r="I7105" s="6" t="n">
        <x:f>G7105-H7105</x:f>
        <x:v>-2</x:v>
      </x:c>
      <x:c r="J7105" s="6" t="n">
        <x:f>IF(OR(E7105="CANCELED",E7105="SUSPECTED_FRAUD",F7105="Shipping canceled"),0,1)</x:f>
        <x:v>1</x:v>
      </x:c>
      <x:c r="K7105" s="6" t="n">
        <x:f>IF(G7105&gt;H7105,1,0)</x:f>
        <x:v>0</x:v>
      </x:c>
      <x:c r="L7105" s="6" t="n">
        <x:f>J7105*K7105</x:f>
        <x:v>0</x:v>
      </x:c>
    </x:row>
    <x:row r="7106">
      <x:c r="A7106" s="1" t="n">
        <x:v>56150</x:v>
      </x:c>
      <x:c r="B7106" s="5" t="d">
        <x:v>2017-03-30T00:00:00.000Z</x:v>
      </x:c>
      <x:c r="C7106" s="1" t="str">
        <x:v>First Class</x:v>
      </x:c>
      <x:c r="D7106" s="1" t="str">
        <x:v>LATAM</x:v>
      </x:c>
      <x:c r="E7106" s="1" t="str">
        <x:v>PROCESSING</x:v>
      </x:c>
      <x:c r="F7106" s="1" t="str">
        <x:v>Late delivery</x:v>
      </x:c>
      <x:c r="G7106" s="6" t="n">
        <x:v>2</x:v>
      </x:c>
      <x:c r="H7106" s="6" t="n">
        <x:v>1</x:v>
      </x:c>
      <x:c r="I7106" s="6" t="n">
        <x:f>G7106-H7106</x:f>
        <x:v>1</x:v>
      </x:c>
      <x:c r="J7106" s="6" t="n">
        <x:f>IF(OR(E7106="CANCELED",E7106="SUSPECTED_FRAUD",F7106="Shipping canceled"),0,1)</x:f>
        <x:v>1</x:v>
      </x:c>
      <x:c r="K7106" s="6" t="n">
        <x:f>IF(G7106&gt;H7106,1,0)</x:f>
        <x:v>1</x:v>
      </x:c>
      <x:c r="L7106" s="6" t="n">
        <x:f>J7106*K7106</x:f>
        <x:v>1</x:v>
      </x:c>
    </x:row>
    <x:row r="7107">
      <x:c r="A7107" s="1" t="n">
        <x:v>56156</x:v>
      </x:c>
      <x:c r="B7107" s="5" t="d">
        <x:v>2017-03-30T00:00:00.000Z</x:v>
      </x:c>
      <x:c r="C7107" s="1" t="str">
        <x:v>Standard Class</x:v>
      </x:c>
      <x:c r="D7107" s="1" t="str">
        <x:v>LATAM</x:v>
      </x:c>
      <x:c r="E7107" s="1" t="str">
        <x:v>PENDING</x:v>
      </x:c>
      <x:c r="F7107" s="1" t="str">
        <x:v>Advance shipping</x:v>
      </x:c>
      <x:c r="G7107" s="6" t="n">
        <x:v>2</x:v>
      </x:c>
      <x:c r="H7107" s="6" t="n">
        <x:v>4</x:v>
      </x:c>
      <x:c r="I7107" s="6" t="n">
        <x:f>G7107-H7107</x:f>
        <x:v>-2</x:v>
      </x:c>
      <x:c r="J7107" s="6" t="n">
        <x:f>IF(OR(E7107="CANCELED",E7107="SUSPECTED_FRAUD",F7107="Shipping canceled"),0,1)</x:f>
        <x:v>1</x:v>
      </x:c>
      <x:c r="K7107" s="6" t="n">
        <x:f>IF(G7107&gt;H7107,1,0)</x:f>
        <x:v>0</x:v>
      </x:c>
      <x:c r="L7107" s="6" t="n">
        <x:f>J7107*K7107</x:f>
        <x:v>0</x:v>
      </x:c>
    </x:row>
    <x:row r="7108">
      <x:c r="A7108" s="1" t="n">
        <x:v>56166</x:v>
      </x:c>
      <x:c r="B7108" s="5" t="d">
        <x:v>2017-03-30T00:00:00.000Z</x:v>
      </x:c>
      <x:c r="C7108" s="1" t="str">
        <x:v>Standard Class</x:v>
      </x:c>
      <x:c r="D7108" s="1" t="str">
        <x:v>LATAM</x:v>
      </x:c>
      <x:c r="E7108" s="1" t="str">
        <x:v>COMPLETE</x:v>
      </x:c>
      <x:c r="F7108" s="1" t="str">
        <x:v>Advance shipping</x:v>
      </x:c>
      <x:c r="G7108" s="6" t="n">
        <x:v>2</x:v>
      </x:c>
      <x:c r="H7108" s="6" t="n">
        <x:v>4</x:v>
      </x:c>
      <x:c r="I7108" s="6" t="n">
        <x:f>G7108-H7108</x:f>
        <x:v>-2</x:v>
      </x:c>
      <x:c r="J7108" s="6" t="n">
        <x:f>IF(OR(E7108="CANCELED",E7108="SUSPECTED_FRAUD",F7108="Shipping canceled"),0,1)</x:f>
        <x:v>1</x:v>
      </x:c>
      <x:c r="K7108" s="6" t="n">
        <x:f>IF(G7108&gt;H7108,1,0)</x:f>
        <x:v>0</x:v>
      </x:c>
      <x:c r="L7108" s="6" t="n">
        <x:f>J7108*K7108</x:f>
        <x:v>0</x:v>
      </x:c>
    </x:row>
    <x:row r="7109">
      <x:c r="A7109" s="1" t="n">
        <x:v>56172</x:v>
      </x:c>
      <x:c r="B7109" s="5" t="d">
        <x:v>2017-03-30T00:00:00.000Z</x:v>
      </x:c>
      <x:c r="C7109" s="1" t="str">
        <x:v>Standard Class</x:v>
      </x:c>
      <x:c r="D7109" s="1" t="str">
        <x:v>LATAM</x:v>
      </x:c>
      <x:c r="E7109" s="1" t="str">
        <x:v>PENDING</x:v>
      </x:c>
      <x:c r="F7109" s="1" t="str">
        <x:v>Advance shipping</x:v>
      </x:c>
      <x:c r="G7109" s="6" t="n">
        <x:v>3</x:v>
      </x:c>
      <x:c r="H7109" s="6" t="n">
        <x:v>4</x:v>
      </x:c>
      <x:c r="I7109" s="6" t="n">
        <x:f>G7109-H7109</x:f>
        <x:v>-1</x:v>
      </x:c>
      <x:c r="J7109" s="6" t="n">
        <x:f>IF(OR(E7109="CANCELED",E7109="SUSPECTED_FRAUD",F7109="Shipping canceled"),0,1)</x:f>
        <x:v>1</x:v>
      </x:c>
      <x:c r="K7109" s="6" t="n">
        <x:f>IF(G7109&gt;H7109,1,0)</x:f>
        <x:v>0</x:v>
      </x:c>
      <x:c r="L7109" s="6" t="n">
        <x:f>J7109*K7109</x:f>
        <x:v>0</x:v>
      </x:c>
    </x:row>
    <x:row r="7110">
      <x:c r="A7110" s="1" t="n">
        <x:v>56189</x:v>
      </x:c>
      <x:c r="B7110" s="5" t="d">
        <x:v>2017-03-31T00:00:00.000Z</x:v>
      </x:c>
      <x:c r="C7110" s="1" t="str">
        <x:v>Standard Class</x:v>
      </x:c>
      <x:c r="D7110" s="1" t="str">
        <x:v>LATAM</x:v>
      </x:c>
      <x:c r="E7110" s="1" t="str">
        <x:v>PENDING_PAYMENT</x:v>
      </x:c>
      <x:c r="F7110" s="1" t="str">
        <x:v>Late delivery</x:v>
      </x:c>
      <x:c r="G7110" s="6" t="n">
        <x:v>5</x:v>
      </x:c>
      <x:c r="H7110" s="6" t="n">
        <x:v>4</x:v>
      </x:c>
      <x:c r="I7110" s="6" t="n">
        <x:f>G7110-H7110</x:f>
        <x:v>1</x:v>
      </x:c>
      <x:c r="J7110" s="6" t="n">
        <x:f>IF(OR(E7110="CANCELED",E7110="SUSPECTED_FRAUD",F7110="Shipping canceled"),0,1)</x:f>
        <x:v>1</x:v>
      </x:c>
      <x:c r="K7110" s="6" t="n">
        <x:f>IF(G7110&gt;H7110,1,0)</x:f>
        <x:v>1</x:v>
      </x:c>
      <x:c r="L7110" s="6" t="n">
        <x:f>J7110*K7110</x:f>
        <x:v>1</x:v>
      </x:c>
    </x:row>
    <x:row r="7111">
      <x:c r="A7111" s="1" t="n">
        <x:v>56190</x:v>
      </x:c>
      <x:c r="B7111" s="5" t="d">
        <x:v>2017-03-31T00:00:00.000Z</x:v>
      </x:c>
      <x:c r="C7111" s="1" t="str">
        <x:v>Standard Class</x:v>
      </x:c>
      <x:c r="D7111" s="1" t="str">
        <x:v>LATAM</x:v>
      </x:c>
      <x:c r="E7111" s="1" t="str">
        <x:v>COMPLETE</x:v>
      </x:c>
      <x:c r="F7111" s="1" t="str">
        <x:v>Late delivery</x:v>
      </x:c>
      <x:c r="G7111" s="6" t="n">
        <x:v>6</x:v>
      </x:c>
      <x:c r="H7111" s="6" t="n">
        <x:v>4</x:v>
      </x:c>
      <x:c r="I7111" s="6" t="n">
        <x:f>G7111-H7111</x:f>
        <x:v>2</x:v>
      </x:c>
      <x:c r="J7111" s="6" t="n">
        <x:f>IF(OR(E7111="CANCELED",E7111="SUSPECTED_FRAUD",F7111="Shipping canceled"),0,1)</x:f>
        <x:v>1</x:v>
      </x:c>
      <x:c r="K7111" s="6" t="n">
        <x:f>IF(G7111&gt;H7111,1,0)</x:f>
        <x:v>1</x:v>
      </x:c>
      <x:c r="L7111" s="6" t="n">
        <x:f>J7111*K7111</x:f>
        <x:v>1</x:v>
      </x:c>
    </x:row>
    <x:row r="7112">
      <x:c r="A7112" s="1" t="n">
        <x:v>56194</x:v>
      </x:c>
      <x:c r="B7112" s="5" t="d">
        <x:v>2017-03-31T00:00:00.000Z</x:v>
      </x:c>
      <x:c r="C7112" s="1" t="str">
        <x:v>Standard Class</x:v>
      </x:c>
      <x:c r="D7112" s="1" t="str">
        <x:v>LATAM</x:v>
      </x:c>
      <x:c r="E7112" s="1" t="str">
        <x:v>COMPLETE</x:v>
      </x:c>
      <x:c r="F7112" s="1" t="str">
        <x:v>Late delivery</x:v>
      </x:c>
      <x:c r="G7112" s="6" t="n">
        <x:v>5</x:v>
      </x:c>
      <x:c r="H7112" s="6" t="n">
        <x:v>4</x:v>
      </x:c>
      <x:c r="I7112" s="6" t="n">
        <x:f>G7112-H7112</x:f>
        <x:v>1</x:v>
      </x:c>
      <x:c r="J7112" s="6" t="n">
        <x:f>IF(OR(E7112="CANCELED",E7112="SUSPECTED_FRAUD",F7112="Shipping canceled"),0,1)</x:f>
        <x:v>1</x:v>
      </x:c>
      <x:c r="K7112" s="6" t="n">
        <x:f>IF(G7112&gt;H7112,1,0)</x:f>
        <x:v>1</x:v>
      </x:c>
      <x:c r="L7112" s="6" t="n">
        <x:f>J7112*K7112</x:f>
        <x:v>1</x:v>
      </x:c>
    </x:row>
    <x:row r="7113">
      <x:c r="A7113" s="1" t="n">
        <x:v>56205</x:v>
      </x:c>
      <x:c r="B7113" s="5" t="d">
        <x:v>2017-03-31T00:00:00.000Z</x:v>
      </x:c>
      <x:c r="C7113" s="1" t="str">
        <x:v>Second Class</x:v>
      </x:c>
      <x:c r="D7113" s="1" t="str">
        <x:v>LATAM</x:v>
      </x:c>
      <x:c r="E7113" s="1" t="str">
        <x:v>PROCESSING</x:v>
      </x:c>
      <x:c r="F7113" s="1" t="str">
        <x:v>Late delivery</x:v>
      </x:c>
      <x:c r="G7113" s="6" t="n">
        <x:v>6</x:v>
      </x:c>
      <x:c r="H7113" s="6" t="n">
        <x:v>2</x:v>
      </x:c>
      <x:c r="I7113" s="6" t="n">
        <x:f>G7113-H7113</x:f>
        <x:v>4</x:v>
      </x:c>
      <x:c r="J7113" s="6" t="n">
        <x:f>IF(OR(E7113="CANCELED",E7113="SUSPECTED_FRAUD",F7113="Shipping canceled"),0,1)</x:f>
        <x:v>1</x:v>
      </x:c>
      <x:c r="K7113" s="6" t="n">
        <x:f>IF(G7113&gt;H7113,1,0)</x:f>
        <x:v>1</x:v>
      </x:c>
      <x:c r="L7113" s="6" t="n">
        <x:f>J7113*K7113</x:f>
        <x:v>1</x:v>
      </x:c>
    </x:row>
    <x:row r="7114">
      <x:c r="A7114" s="1" t="n">
        <x:v>56217</x:v>
      </x:c>
      <x:c r="B7114" s="5" t="d">
        <x:v>2017-03-31T00:00:00.000Z</x:v>
      </x:c>
      <x:c r="C7114" s="1" t="str">
        <x:v>Standard Class</x:v>
      </x:c>
      <x:c r="D7114" s="1" t="str">
        <x:v>LATAM</x:v>
      </x:c>
      <x:c r="E7114" s="1" t="str">
        <x:v>PROCESSING</x:v>
      </x:c>
      <x:c r="F7114" s="1" t="str">
        <x:v>Advance shipping</x:v>
      </x:c>
      <x:c r="G7114" s="6" t="n">
        <x:v>3</x:v>
      </x:c>
      <x:c r="H7114" s="6" t="n">
        <x:v>4</x:v>
      </x:c>
      <x:c r="I7114" s="6" t="n">
        <x:f>G7114-H7114</x:f>
        <x:v>-1</x:v>
      </x:c>
      <x:c r="J7114" s="6" t="n">
        <x:f>IF(OR(E7114="CANCELED",E7114="SUSPECTED_FRAUD",F7114="Shipping canceled"),0,1)</x:f>
        <x:v>1</x:v>
      </x:c>
      <x:c r="K7114" s="6" t="n">
        <x:f>IF(G7114&gt;H7114,1,0)</x:f>
        <x:v>0</x:v>
      </x:c>
      <x:c r="L7114" s="6" t="n">
        <x:f>J7114*K7114</x:f>
        <x:v>0</x:v>
      </x:c>
    </x:row>
    <x:row r="7115">
      <x:c r="A7115" s="1" t="n">
        <x:v>56220</x:v>
      </x:c>
      <x:c r="B7115" s="5" t="d">
        <x:v>2017-03-31T00:00:00.000Z</x:v>
      </x:c>
      <x:c r="C7115" s="1" t="str">
        <x:v>Standard Class</x:v>
      </x:c>
      <x:c r="D7115" s="1" t="str">
        <x:v>LATAM</x:v>
      </x:c>
      <x:c r="E7115" s="1" t="str">
        <x:v>PROCESSING</x:v>
      </x:c>
      <x:c r="F7115" s="1" t="str">
        <x:v>Late delivery</x:v>
      </x:c>
      <x:c r="G7115" s="6" t="n">
        <x:v>6</x:v>
      </x:c>
      <x:c r="H7115" s="6" t="n">
        <x:v>4</x:v>
      </x:c>
      <x:c r="I7115" s="6" t="n">
        <x:f>G7115-H7115</x:f>
        <x:v>2</x:v>
      </x:c>
      <x:c r="J7115" s="6" t="n">
        <x:f>IF(OR(E7115="CANCELED",E7115="SUSPECTED_FRAUD",F7115="Shipping canceled"),0,1)</x:f>
        <x:v>1</x:v>
      </x:c>
      <x:c r="K7115" s="6" t="n">
        <x:f>IF(G7115&gt;H7115,1,0)</x:f>
        <x:v>1</x:v>
      </x:c>
      <x:c r="L7115" s="6" t="n">
        <x:f>J7115*K7115</x:f>
        <x:v>1</x:v>
      </x:c>
    </x:row>
    <x:row r="7116">
      <x:c r="A7116" s="1" t="n">
        <x:v>56222</x:v>
      </x:c>
      <x:c r="B7116" s="5" t="d">
        <x:v>2017-03-31T00:00:00.000Z</x:v>
      </x:c>
      <x:c r="C7116" s="1" t="str">
        <x:v>Standard Class</x:v>
      </x:c>
      <x:c r="D7116" s="1" t="str">
        <x:v>LATAM</x:v>
      </x:c>
      <x:c r="E7116" s="1" t="str">
        <x:v>PROCESSING</x:v>
      </x:c>
      <x:c r="F7116" s="1" t="str">
        <x:v>Advance shipping</x:v>
      </x:c>
      <x:c r="G7116" s="6" t="n">
        <x:v>3</x:v>
      </x:c>
      <x:c r="H7116" s="6" t="n">
        <x:v>4</x:v>
      </x:c>
      <x:c r="I7116" s="6" t="n">
        <x:f>G7116-H7116</x:f>
        <x:v>-1</x:v>
      </x:c>
      <x:c r="J7116" s="6" t="n">
        <x:f>IF(OR(E7116="CANCELED",E7116="SUSPECTED_FRAUD",F7116="Shipping canceled"),0,1)</x:f>
        <x:v>1</x:v>
      </x:c>
      <x:c r="K7116" s="6" t="n">
        <x:f>IF(G7116&gt;H7116,1,0)</x:f>
        <x:v>0</x:v>
      </x:c>
      <x:c r="L7116" s="6" t="n">
        <x:f>J7116*K7116</x:f>
        <x:v>0</x:v>
      </x:c>
    </x:row>
    <x:row r="7117">
      <x:c r="A7117" s="1" t="n">
        <x:v>56234</x:v>
      </x:c>
      <x:c r="B7117" s="5" t="d">
        <x:v>2017-03-31T00:00:00.000Z</x:v>
      </x:c>
      <x:c r="C7117" s="1" t="str">
        <x:v>Second Class</x:v>
      </x:c>
      <x:c r="D7117" s="1" t="str">
        <x:v>LATAM</x:v>
      </x:c>
      <x:c r="E7117" s="1" t="str">
        <x:v>ON_HOLD</x:v>
      </x:c>
      <x:c r="F7117" s="1" t="str">
        <x:v>Late delivery</x:v>
      </x:c>
      <x:c r="G7117" s="6" t="n">
        <x:v>5</x:v>
      </x:c>
      <x:c r="H7117" s="6" t="n">
        <x:v>2</x:v>
      </x:c>
      <x:c r="I7117" s="6" t="n">
        <x:f>G7117-H7117</x:f>
        <x:v>3</x:v>
      </x:c>
      <x:c r="J7117" s="6" t="n">
        <x:f>IF(OR(E7117="CANCELED",E7117="SUSPECTED_FRAUD",F7117="Shipping canceled"),0,1)</x:f>
        <x:v>1</x:v>
      </x:c>
      <x:c r="K7117" s="6" t="n">
        <x:f>IF(G7117&gt;H7117,1,0)</x:f>
        <x:v>1</x:v>
      </x:c>
      <x:c r="L7117" s="6" t="n">
        <x:f>J7117*K7117</x:f>
        <x:v>1</x:v>
      </x:c>
    </x:row>
    <x:row r="7118">
      <x:c r="A7118" s="1" t="n">
        <x:v>56244</x:v>
      </x:c>
      <x:c r="B7118" s="5" t="d">
        <x:v>2017-04-01T00:00:00.000Z</x:v>
      </x:c>
      <x:c r="C7118" s="1" t="str">
        <x:v>Standard Class</x:v>
      </x:c>
      <x:c r="D7118" s="1" t="str">
        <x:v>LATAM</x:v>
      </x:c>
      <x:c r="E7118" s="1" t="str">
        <x:v>SUSPECTED_FRAUD</x:v>
      </x:c>
      <x:c r="F7118" s="1" t="str">
        <x:v>Shipping canceled</x:v>
      </x:c>
      <x:c r="G7118" s="6" t="n">
        <x:v>5</x:v>
      </x:c>
      <x:c r="H7118" s="6" t="n">
        <x:v>4</x:v>
      </x:c>
      <x:c r="I7118" s="6" t="n">
        <x:f>G7118-H7118</x:f>
        <x:v>1</x:v>
      </x:c>
      <x:c r="J7118" s="6" t="n">
        <x:f>IF(OR(E7118="CANCELED",E7118="SUSPECTED_FRAUD",F7118="Shipping canceled"),0,1)</x:f>
        <x:v>0</x:v>
      </x:c>
      <x:c r="K7118" s="6" t="n">
        <x:f>IF(G7118&gt;H7118,1,0)</x:f>
        <x:v>1</x:v>
      </x:c>
      <x:c r="L7118" s="6" t="n">
        <x:f>J7118*K7118</x:f>
        <x:v>0</x:v>
      </x:c>
    </x:row>
    <x:row r="7119">
      <x:c r="A7119" s="1" t="n">
        <x:v>56252</x:v>
      </x:c>
      <x:c r="B7119" s="5" t="d">
        <x:v>2017-04-01T00:00:00.000Z</x:v>
      </x:c>
      <x:c r="C7119" s="1" t="str">
        <x:v>Standard Class</x:v>
      </x:c>
      <x:c r="D7119" s="1" t="str">
        <x:v>LATAM</x:v>
      </x:c>
      <x:c r="E7119" s="1" t="str">
        <x:v>COMPLETE</x:v>
      </x:c>
      <x:c r="F7119" s="1" t="str">
        <x:v>Advance shipping</x:v>
      </x:c>
      <x:c r="G7119" s="6" t="n">
        <x:v>3</x:v>
      </x:c>
      <x:c r="H7119" s="6" t="n">
        <x:v>4</x:v>
      </x:c>
      <x:c r="I7119" s="6" t="n">
        <x:f>G7119-H7119</x:f>
        <x:v>-1</x:v>
      </x:c>
      <x:c r="J7119" s="6" t="n">
        <x:f>IF(OR(E7119="CANCELED",E7119="SUSPECTED_FRAUD",F7119="Shipping canceled"),0,1)</x:f>
        <x:v>1</x:v>
      </x:c>
      <x:c r="K7119" s="6" t="n">
        <x:f>IF(G7119&gt;H7119,1,0)</x:f>
        <x:v>0</x:v>
      </x:c>
      <x:c r="L7119" s="6" t="n">
        <x:f>J7119*K7119</x:f>
        <x:v>0</x:v>
      </x:c>
    </x:row>
    <x:row r="7120">
      <x:c r="A7120" s="1" t="n">
        <x:v>56253</x:v>
      </x:c>
      <x:c r="B7120" s="5" t="d">
        <x:v>2017-04-01T00:00:00.000Z</x:v>
      </x:c>
      <x:c r="C7120" s="1" t="str">
        <x:v>Standard Class</x:v>
      </x:c>
      <x:c r="D7120" s="1" t="str">
        <x:v>LATAM</x:v>
      </x:c>
      <x:c r="E7120" s="1" t="str">
        <x:v>PENDING</x:v>
      </x:c>
      <x:c r="F7120" s="1" t="str">
        <x:v>Shipping on time</x:v>
      </x:c>
      <x:c r="G7120" s="6" t="n">
        <x:v>4</x:v>
      </x:c>
      <x:c r="H7120" s="6" t="n">
        <x:v>4</x:v>
      </x:c>
      <x:c r="I7120" s="6" t="n">
        <x:f>G7120-H7120</x:f>
        <x:v>0</x:v>
      </x:c>
      <x:c r="J7120" s="6" t="n">
        <x:f>IF(OR(E7120="CANCELED",E7120="SUSPECTED_FRAUD",F7120="Shipping canceled"),0,1)</x:f>
        <x:v>1</x:v>
      </x:c>
      <x:c r="K7120" s="6" t="n">
        <x:f>IF(G7120&gt;H7120,1,0)</x:f>
        <x:v>0</x:v>
      </x:c>
      <x:c r="L7120" s="6" t="n">
        <x:f>J7120*K7120</x:f>
        <x:v>0</x:v>
      </x:c>
    </x:row>
    <x:row r="7121">
      <x:c r="A7121" s="1" t="n">
        <x:v>56254</x:v>
      </x:c>
      <x:c r="B7121" s="5" t="d">
        <x:v>2017-04-01T00:00:00.000Z</x:v>
      </x:c>
      <x:c r="C7121" s="1" t="str">
        <x:v>Standard Class</x:v>
      </x:c>
      <x:c r="D7121" s="1" t="str">
        <x:v>LATAM</x:v>
      </x:c>
      <x:c r="E7121" s="1" t="str">
        <x:v>COMPLETE</x:v>
      </x:c>
      <x:c r="F7121" s="1" t="str">
        <x:v>Late delivery</x:v>
      </x:c>
      <x:c r="G7121" s="6" t="n">
        <x:v>5</x:v>
      </x:c>
      <x:c r="H7121" s="6" t="n">
        <x:v>4</x:v>
      </x:c>
      <x:c r="I7121" s="6" t="n">
        <x:f>G7121-H7121</x:f>
        <x:v>1</x:v>
      </x:c>
      <x:c r="J7121" s="6" t="n">
        <x:f>IF(OR(E7121="CANCELED",E7121="SUSPECTED_FRAUD",F7121="Shipping canceled"),0,1)</x:f>
        <x:v>1</x:v>
      </x:c>
      <x:c r="K7121" s="6" t="n">
        <x:f>IF(G7121&gt;H7121,1,0)</x:f>
        <x:v>1</x:v>
      </x:c>
      <x:c r="L7121" s="6" t="n">
        <x:f>J7121*K7121</x:f>
        <x:v>1</x:v>
      </x:c>
    </x:row>
    <x:row r="7122">
      <x:c r="A7122" s="1" t="n">
        <x:v>56257</x:v>
      </x:c>
      <x:c r="B7122" s="5" t="d">
        <x:v>2017-04-01T00:00:00.000Z</x:v>
      </x:c>
      <x:c r="C7122" s="1" t="str">
        <x:v>Second Class</x:v>
      </x:c>
      <x:c r="D7122" s="1" t="str">
        <x:v>LATAM</x:v>
      </x:c>
      <x:c r="E7122" s="1" t="str">
        <x:v>COMPLETE</x:v>
      </x:c>
      <x:c r="F7122" s="1" t="str">
        <x:v>Late delivery</x:v>
      </x:c>
      <x:c r="G7122" s="6" t="n">
        <x:v>3</x:v>
      </x:c>
      <x:c r="H7122" s="6" t="n">
        <x:v>2</x:v>
      </x:c>
      <x:c r="I7122" s="6" t="n">
        <x:f>G7122-H7122</x:f>
        <x:v>1</x:v>
      </x:c>
      <x:c r="J7122" s="6" t="n">
        <x:f>IF(OR(E7122="CANCELED",E7122="SUSPECTED_FRAUD",F7122="Shipping canceled"),0,1)</x:f>
        <x:v>1</x:v>
      </x:c>
      <x:c r="K7122" s="6" t="n">
        <x:f>IF(G7122&gt;H7122,1,0)</x:f>
        <x:v>1</x:v>
      </x:c>
      <x:c r="L7122" s="6" t="n">
        <x:f>J7122*K7122</x:f>
        <x:v>1</x:v>
      </x:c>
    </x:row>
    <x:row r="7123">
      <x:c r="A7123" s="1" t="n">
        <x:v>56258</x:v>
      </x:c>
      <x:c r="B7123" s="5" t="d">
        <x:v>2017-04-01T00:00:00.000Z</x:v>
      </x:c>
      <x:c r="C7123" s="1" t="str">
        <x:v>Second Class</x:v>
      </x:c>
      <x:c r="D7123" s="1" t="str">
        <x:v>LATAM</x:v>
      </x:c>
      <x:c r="E7123" s="1" t="str">
        <x:v>COMPLETE</x:v>
      </x:c>
      <x:c r="F7123" s="1" t="str">
        <x:v>Late delivery</x:v>
      </x:c>
      <x:c r="G7123" s="6" t="n">
        <x:v>4</x:v>
      </x:c>
      <x:c r="H7123" s="6" t="n">
        <x:v>2</x:v>
      </x:c>
      <x:c r="I7123" s="6" t="n">
        <x:f>G7123-H7123</x:f>
        <x:v>2</x:v>
      </x:c>
      <x:c r="J7123" s="6" t="n">
        <x:f>IF(OR(E7123="CANCELED",E7123="SUSPECTED_FRAUD",F7123="Shipping canceled"),0,1)</x:f>
        <x:v>1</x:v>
      </x:c>
      <x:c r="K7123" s="6" t="n">
        <x:f>IF(G7123&gt;H7123,1,0)</x:f>
        <x:v>1</x:v>
      </x:c>
      <x:c r="L7123" s="6" t="n">
        <x:f>J7123*K7123</x:f>
        <x:v>1</x:v>
      </x:c>
    </x:row>
    <x:row r="7124">
      <x:c r="A7124" s="1" t="n">
        <x:v>56260</x:v>
      </x:c>
      <x:c r="B7124" s="5" t="d">
        <x:v>2017-04-01T00:00:00.000Z</x:v>
      </x:c>
      <x:c r="C7124" s="1" t="str">
        <x:v>Second Class</x:v>
      </x:c>
      <x:c r="D7124" s="1" t="str">
        <x:v>LATAM</x:v>
      </x:c>
      <x:c r="E7124" s="1" t="str">
        <x:v>PENDING_PAYMENT</x:v>
      </x:c>
      <x:c r="F7124" s="1" t="str">
        <x:v>Late delivery</x:v>
      </x:c>
      <x:c r="G7124" s="6" t="n">
        <x:v>6</x:v>
      </x:c>
      <x:c r="H7124" s="6" t="n">
        <x:v>2</x:v>
      </x:c>
      <x:c r="I7124" s="6" t="n">
        <x:f>G7124-H7124</x:f>
        <x:v>4</x:v>
      </x:c>
      <x:c r="J7124" s="6" t="n">
        <x:f>IF(OR(E7124="CANCELED",E7124="SUSPECTED_FRAUD",F7124="Shipping canceled"),0,1)</x:f>
        <x:v>1</x:v>
      </x:c>
      <x:c r="K7124" s="6" t="n">
        <x:f>IF(G7124&gt;H7124,1,0)</x:f>
        <x:v>1</x:v>
      </x:c>
      <x:c r="L7124" s="6" t="n">
        <x:f>J7124*K7124</x:f>
        <x:v>1</x:v>
      </x:c>
    </x:row>
    <x:row r="7125">
      <x:c r="A7125" s="1" t="n">
        <x:v>56262</x:v>
      </x:c>
      <x:c r="B7125" s="5" t="d">
        <x:v>2017-04-01T00:00:00.000Z</x:v>
      </x:c>
      <x:c r="C7125" s="1" t="str">
        <x:v>Second Class</x:v>
      </x:c>
      <x:c r="D7125" s="1" t="str">
        <x:v>LATAM</x:v>
      </x:c>
      <x:c r="E7125" s="1" t="str">
        <x:v>COMPLETE</x:v>
      </x:c>
      <x:c r="F7125" s="1" t="str">
        <x:v>Late delivery</x:v>
      </x:c>
      <x:c r="G7125" s="6" t="n">
        <x:v>3</x:v>
      </x:c>
      <x:c r="H7125" s="6" t="n">
        <x:v>2</x:v>
      </x:c>
      <x:c r="I7125" s="6" t="n">
        <x:f>G7125-H7125</x:f>
        <x:v>1</x:v>
      </x:c>
      <x:c r="J7125" s="6" t="n">
        <x:f>IF(OR(E7125="CANCELED",E7125="SUSPECTED_FRAUD",F7125="Shipping canceled"),0,1)</x:f>
        <x:v>1</x:v>
      </x:c>
      <x:c r="K7125" s="6" t="n">
        <x:f>IF(G7125&gt;H7125,1,0)</x:f>
        <x:v>1</x:v>
      </x:c>
      <x:c r="L7125" s="6" t="n">
        <x:f>J7125*K7125</x:f>
        <x:v>1</x:v>
      </x:c>
    </x:row>
    <x:row r="7126">
      <x:c r="A7126" s="1" t="n">
        <x:v>56266</x:v>
      </x:c>
      <x:c r="B7126" s="5" t="d">
        <x:v>2017-04-01T00:00:00.000Z</x:v>
      </x:c>
      <x:c r="C7126" s="1" t="str">
        <x:v>Standard Class</x:v>
      </x:c>
      <x:c r="D7126" s="1" t="str">
        <x:v>LATAM</x:v>
      </x:c>
      <x:c r="E7126" s="1" t="str">
        <x:v>PENDING_PAYMENT</x:v>
      </x:c>
      <x:c r="F7126" s="1" t="str">
        <x:v>Advance shipping</x:v>
      </x:c>
      <x:c r="G7126" s="6" t="n">
        <x:v>2</x:v>
      </x:c>
      <x:c r="H7126" s="6" t="n">
        <x:v>4</x:v>
      </x:c>
      <x:c r="I7126" s="6" t="n">
        <x:f>G7126-H7126</x:f>
        <x:v>-2</x:v>
      </x:c>
      <x:c r="J7126" s="6" t="n">
        <x:f>IF(OR(E7126="CANCELED",E7126="SUSPECTED_FRAUD",F7126="Shipping canceled"),0,1)</x:f>
        <x:v>1</x:v>
      </x:c>
      <x:c r="K7126" s="6" t="n">
        <x:f>IF(G7126&gt;H7126,1,0)</x:f>
        <x:v>0</x:v>
      </x:c>
      <x:c r="L7126" s="6" t="n">
        <x:f>J7126*K7126</x:f>
        <x:v>0</x:v>
      </x:c>
    </x:row>
    <x:row r="7127">
      <x:c r="A7127" s="1" t="n">
        <x:v>56281</x:v>
      </x:c>
      <x:c r="B7127" s="5" t="d">
        <x:v>2017-04-01T00:00:00.000Z</x:v>
      </x:c>
      <x:c r="C7127" s="1" t="str">
        <x:v>Second Class</x:v>
      </x:c>
      <x:c r="D7127" s="1" t="str">
        <x:v>LATAM</x:v>
      </x:c>
      <x:c r="E7127" s="1" t="str">
        <x:v>COMPLETE</x:v>
      </x:c>
      <x:c r="F7127" s="1" t="str">
        <x:v>Shipping on time</x:v>
      </x:c>
      <x:c r="G7127" s="6" t="n">
        <x:v>2</x:v>
      </x:c>
      <x:c r="H7127" s="6" t="n">
        <x:v>2</x:v>
      </x:c>
      <x:c r="I7127" s="6" t="n">
        <x:f>G7127-H7127</x:f>
        <x:v>0</x:v>
      </x:c>
      <x:c r="J7127" s="6" t="n">
        <x:f>IF(OR(E7127="CANCELED",E7127="SUSPECTED_FRAUD",F7127="Shipping canceled"),0,1)</x:f>
        <x:v>1</x:v>
      </x:c>
      <x:c r="K7127" s="6" t="n">
        <x:f>IF(G7127&gt;H7127,1,0)</x:f>
        <x:v>0</x:v>
      </x:c>
      <x:c r="L7127" s="6" t="n">
        <x:f>J7127*K7127</x:f>
        <x:v>0</x:v>
      </x:c>
    </x:row>
    <x:row r="7128">
      <x:c r="A7128" s="1" t="n">
        <x:v>56317</x:v>
      </x:c>
      <x:c r="B7128" s="5" t="d">
        <x:v>2017-04-02T00:00:00.000Z</x:v>
      </x:c>
      <x:c r="C7128" s="1" t="str">
        <x:v>Second Class</x:v>
      </x:c>
      <x:c r="D7128" s="1" t="str">
        <x:v>LATAM</x:v>
      </x:c>
      <x:c r="E7128" s="1" t="str">
        <x:v>COMPLETE</x:v>
      </x:c>
      <x:c r="F7128" s="1" t="str">
        <x:v>Late delivery</x:v>
      </x:c>
      <x:c r="G7128" s="6" t="n">
        <x:v>3</x:v>
      </x:c>
      <x:c r="H7128" s="6" t="n">
        <x:v>2</x:v>
      </x:c>
      <x:c r="I7128" s="6" t="n">
        <x:f>G7128-H7128</x:f>
        <x:v>1</x:v>
      </x:c>
      <x:c r="J7128" s="6" t="n">
        <x:f>IF(OR(E7128="CANCELED",E7128="SUSPECTED_FRAUD",F7128="Shipping canceled"),0,1)</x:f>
        <x:v>1</x:v>
      </x:c>
      <x:c r="K7128" s="6" t="n">
        <x:f>IF(G7128&gt;H7128,1,0)</x:f>
        <x:v>1</x:v>
      </x:c>
      <x:c r="L7128" s="6" t="n">
        <x:f>J7128*K7128</x:f>
        <x:v>1</x:v>
      </x:c>
    </x:row>
    <x:row r="7129">
      <x:c r="A7129" s="1" t="n">
        <x:v>56324</x:v>
      </x:c>
      <x:c r="B7129" s="5" t="d">
        <x:v>2017-04-02T00:00:00.000Z</x:v>
      </x:c>
      <x:c r="C7129" s="1" t="str">
        <x:v>First Class</x:v>
      </x:c>
      <x:c r="D7129" s="1" t="str">
        <x:v>LATAM</x:v>
      </x:c>
      <x:c r="E7129" s="1" t="str">
        <x:v>CLOSED</x:v>
      </x:c>
      <x:c r="F7129" s="1" t="str">
        <x:v>Late delivery</x:v>
      </x:c>
      <x:c r="G7129" s="6" t="n">
        <x:v>2</x:v>
      </x:c>
      <x:c r="H7129" s="6" t="n">
        <x:v>1</x:v>
      </x:c>
      <x:c r="I7129" s="6" t="n">
        <x:f>G7129-H7129</x:f>
        <x:v>1</x:v>
      </x:c>
      <x:c r="J7129" s="6" t="n">
        <x:f>IF(OR(E7129="CANCELED",E7129="SUSPECTED_FRAUD",F7129="Shipping canceled"),0,1)</x:f>
        <x:v>1</x:v>
      </x:c>
      <x:c r="K7129" s="6" t="n">
        <x:f>IF(G7129&gt;H7129,1,0)</x:f>
        <x:v>1</x:v>
      </x:c>
      <x:c r="L7129" s="6" t="n">
        <x:f>J7129*K7129</x:f>
        <x:v>1</x:v>
      </x:c>
    </x:row>
    <x:row r="7130">
      <x:c r="A7130" s="1" t="n">
        <x:v>56338</x:v>
      </x:c>
      <x:c r="B7130" s="5" t="d">
        <x:v>2017-04-02T00:00:00.000Z</x:v>
      </x:c>
      <x:c r="C7130" s="1" t="str">
        <x:v>Standard Class</x:v>
      </x:c>
      <x:c r="D7130" s="1" t="str">
        <x:v>LATAM</x:v>
      </x:c>
      <x:c r="E7130" s="1" t="str">
        <x:v>PENDING_PAYMENT</x:v>
      </x:c>
      <x:c r="F7130" s="1" t="str">
        <x:v>Shipping on time</x:v>
      </x:c>
      <x:c r="G7130" s="6" t="n">
        <x:v>4</x:v>
      </x:c>
      <x:c r="H7130" s="6" t="n">
        <x:v>4</x:v>
      </x:c>
      <x:c r="I7130" s="6" t="n">
        <x:f>G7130-H7130</x:f>
        <x:v>0</x:v>
      </x:c>
      <x:c r="J7130" s="6" t="n">
        <x:f>IF(OR(E7130="CANCELED",E7130="SUSPECTED_FRAUD",F7130="Shipping canceled"),0,1)</x:f>
        <x:v>1</x:v>
      </x:c>
      <x:c r="K7130" s="6" t="n">
        <x:f>IF(G7130&gt;H7130,1,0)</x:f>
        <x:v>0</x:v>
      </x:c>
      <x:c r="L7130" s="6" t="n">
        <x:f>J7130*K7130</x:f>
        <x:v>0</x:v>
      </x:c>
    </x:row>
    <x:row r="7131">
      <x:c r="A7131" s="1" t="n">
        <x:v>56351</x:v>
      </x:c>
      <x:c r="B7131" s="5" t="d">
        <x:v>2017-04-02T00:00:00.000Z</x:v>
      </x:c>
      <x:c r="C7131" s="1" t="str">
        <x:v>Standard Class</x:v>
      </x:c>
      <x:c r="D7131" s="1" t="str">
        <x:v>LATAM</x:v>
      </x:c>
      <x:c r="E7131" s="1" t="str">
        <x:v>PENDING</x:v>
      </x:c>
      <x:c r="F7131" s="1" t="str">
        <x:v>Advance shipping</x:v>
      </x:c>
      <x:c r="G7131" s="6" t="n">
        <x:v>2</x:v>
      </x:c>
      <x:c r="H7131" s="6" t="n">
        <x:v>4</x:v>
      </x:c>
      <x:c r="I7131" s="6" t="n">
        <x:f>G7131-H7131</x:f>
        <x:v>-2</x:v>
      </x:c>
      <x:c r="J7131" s="6" t="n">
        <x:f>IF(OR(E7131="CANCELED",E7131="SUSPECTED_FRAUD",F7131="Shipping canceled"),0,1)</x:f>
        <x:v>1</x:v>
      </x:c>
      <x:c r="K7131" s="6" t="n">
        <x:f>IF(G7131&gt;H7131,1,0)</x:f>
        <x:v>0</x:v>
      </x:c>
      <x:c r="L7131" s="6" t="n">
        <x:f>J7131*K7131</x:f>
        <x:v>0</x:v>
      </x:c>
    </x:row>
    <x:row r="7132">
      <x:c r="A7132" s="1" t="n">
        <x:v>56357</x:v>
      </x:c>
      <x:c r="B7132" s="5" t="d">
        <x:v>2017-04-02T00:00:00.000Z</x:v>
      </x:c>
      <x:c r="C7132" s="1" t="str">
        <x:v>Second Class</x:v>
      </x:c>
      <x:c r="D7132" s="1" t="str">
        <x:v>LATAM</x:v>
      </x:c>
      <x:c r="E7132" s="1" t="str">
        <x:v>PENDING_PAYMENT</x:v>
      </x:c>
      <x:c r="F7132" s="1" t="str">
        <x:v>Late delivery</x:v>
      </x:c>
      <x:c r="G7132" s="6" t="n">
        <x:v>3</x:v>
      </x:c>
      <x:c r="H7132" s="6" t="n">
        <x:v>2</x:v>
      </x:c>
      <x:c r="I7132" s="6" t="n">
        <x:f>G7132-H7132</x:f>
        <x:v>1</x:v>
      </x:c>
      <x:c r="J7132" s="6" t="n">
        <x:f>IF(OR(E7132="CANCELED",E7132="SUSPECTED_FRAUD",F7132="Shipping canceled"),0,1)</x:f>
        <x:v>1</x:v>
      </x:c>
      <x:c r="K7132" s="6" t="n">
        <x:f>IF(G7132&gt;H7132,1,0)</x:f>
        <x:v>1</x:v>
      </x:c>
      <x:c r="L7132" s="6" t="n">
        <x:f>J7132*K7132</x:f>
        <x:v>1</x:v>
      </x:c>
    </x:row>
    <x:row r="7133">
      <x:c r="A7133" s="1" t="n">
        <x:v>56358</x:v>
      </x:c>
      <x:c r="B7133" s="5" t="d">
        <x:v>2017-04-02T00:00:00.000Z</x:v>
      </x:c>
      <x:c r="C7133" s="1" t="str">
        <x:v>Second Class</x:v>
      </x:c>
      <x:c r="D7133" s="1" t="str">
        <x:v>LATAM</x:v>
      </x:c>
      <x:c r="E7133" s="1" t="str">
        <x:v>COMPLETE</x:v>
      </x:c>
      <x:c r="F7133" s="1" t="str">
        <x:v>Late delivery</x:v>
      </x:c>
      <x:c r="G7133" s="6" t="n">
        <x:v>4</x:v>
      </x:c>
      <x:c r="H7133" s="6" t="n">
        <x:v>2</x:v>
      </x:c>
      <x:c r="I7133" s="6" t="n">
        <x:f>G7133-H7133</x:f>
        <x:v>2</x:v>
      </x:c>
      <x:c r="J7133" s="6" t="n">
        <x:f>IF(OR(E7133="CANCELED",E7133="SUSPECTED_FRAUD",F7133="Shipping canceled"),0,1)</x:f>
        <x:v>1</x:v>
      </x:c>
      <x:c r="K7133" s="6" t="n">
        <x:f>IF(G7133&gt;H7133,1,0)</x:f>
        <x:v>1</x:v>
      </x:c>
      <x:c r="L7133" s="6" t="n">
        <x:f>J7133*K7133</x:f>
        <x:v>1</x:v>
      </x:c>
    </x:row>
    <x:row r="7134">
      <x:c r="A7134" s="1" t="n">
        <x:v>56359</x:v>
      </x:c>
      <x:c r="B7134" s="5" t="d">
        <x:v>2017-04-02T00:00:00.000Z</x:v>
      </x:c>
      <x:c r="C7134" s="1" t="str">
        <x:v>Second Class</x:v>
      </x:c>
      <x:c r="D7134" s="1" t="str">
        <x:v>LATAM</x:v>
      </x:c>
      <x:c r="E7134" s="1" t="str">
        <x:v>PENDING_PAYMENT</x:v>
      </x:c>
      <x:c r="F7134" s="1" t="str">
        <x:v>Late delivery</x:v>
      </x:c>
      <x:c r="G7134" s="6" t="n">
        <x:v>5</x:v>
      </x:c>
      <x:c r="H7134" s="6" t="n">
        <x:v>2</x:v>
      </x:c>
      <x:c r="I7134" s="6" t="n">
        <x:f>G7134-H7134</x:f>
        <x:v>3</x:v>
      </x:c>
      <x:c r="J7134" s="6" t="n">
        <x:f>IF(OR(E7134="CANCELED",E7134="SUSPECTED_FRAUD",F7134="Shipping canceled"),0,1)</x:f>
        <x:v>1</x:v>
      </x:c>
      <x:c r="K7134" s="6" t="n">
        <x:f>IF(G7134&gt;H7134,1,0)</x:f>
        <x:v>1</x:v>
      </x:c>
      <x:c r="L7134" s="6" t="n">
        <x:f>J7134*K7134</x:f>
        <x:v>1</x:v>
      </x:c>
    </x:row>
    <x:row r="7135">
      <x:c r="A7135" s="1" t="n">
        <x:v>56382</x:v>
      </x:c>
      <x:c r="B7135" s="5" t="d">
        <x:v>2017-04-03T00:00:00.000Z</x:v>
      </x:c>
      <x:c r="C7135" s="1" t="str">
        <x:v>Standard Class</x:v>
      </x:c>
      <x:c r="D7135" s="1" t="str">
        <x:v>LATAM</x:v>
      </x:c>
      <x:c r="E7135" s="1" t="str">
        <x:v>CLOSED</x:v>
      </x:c>
      <x:c r="F7135" s="1" t="str">
        <x:v>Advance shipping</x:v>
      </x:c>
      <x:c r="G7135" s="6" t="n">
        <x:v>3</x:v>
      </x:c>
      <x:c r="H7135" s="6" t="n">
        <x:v>4</x:v>
      </x:c>
      <x:c r="I7135" s="6" t="n">
        <x:f>G7135-H7135</x:f>
        <x:v>-1</x:v>
      </x:c>
      <x:c r="J7135" s="6" t="n">
        <x:f>IF(OR(E7135="CANCELED",E7135="SUSPECTED_FRAUD",F7135="Shipping canceled"),0,1)</x:f>
        <x:v>1</x:v>
      </x:c>
      <x:c r="K7135" s="6" t="n">
        <x:f>IF(G7135&gt;H7135,1,0)</x:f>
        <x:v>0</x:v>
      </x:c>
      <x:c r="L7135" s="6" t="n">
        <x:f>J7135*K7135</x:f>
        <x:v>0</x:v>
      </x:c>
    </x:row>
    <x:row r="7136">
      <x:c r="A7136" s="1" t="n">
        <x:v>56383</x:v>
      </x:c>
      <x:c r="B7136" s="5" t="d">
        <x:v>2017-04-03T00:00:00.000Z</x:v>
      </x:c>
      <x:c r="C7136" s="1" t="str">
        <x:v>Standard Class</x:v>
      </x:c>
      <x:c r="D7136" s="1" t="str">
        <x:v>LATAM</x:v>
      </x:c>
      <x:c r="E7136" s="1" t="str">
        <x:v>COMPLETE</x:v>
      </x:c>
      <x:c r="F7136" s="1" t="str">
        <x:v>Shipping on time</x:v>
      </x:c>
      <x:c r="G7136" s="6" t="n">
        <x:v>4</x:v>
      </x:c>
      <x:c r="H7136" s="6" t="n">
        <x:v>4</x:v>
      </x:c>
      <x:c r="I7136" s="6" t="n">
        <x:f>G7136-H7136</x:f>
        <x:v>0</x:v>
      </x:c>
      <x:c r="J7136" s="6" t="n">
        <x:f>IF(OR(E7136="CANCELED",E7136="SUSPECTED_FRAUD",F7136="Shipping canceled"),0,1)</x:f>
        <x:v>1</x:v>
      </x:c>
      <x:c r="K7136" s="6" t="n">
        <x:f>IF(G7136&gt;H7136,1,0)</x:f>
        <x:v>0</x:v>
      </x:c>
      <x:c r="L7136" s="6" t="n">
        <x:f>J7136*K7136</x:f>
        <x:v>0</x:v>
      </x:c>
    </x:row>
    <x:row r="7137">
      <x:c r="A7137" s="1" t="n">
        <x:v>56388</x:v>
      </x:c>
      <x:c r="B7137" s="5" t="d">
        <x:v>2017-04-03T00:00:00.000Z</x:v>
      </x:c>
      <x:c r="C7137" s="1" t="str">
        <x:v>Standard Class</x:v>
      </x:c>
      <x:c r="D7137" s="1" t="str">
        <x:v>LATAM</x:v>
      </x:c>
      <x:c r="E7137" s="1" t="str">
        <x:v>PROCESSING</x:v>
      </x:c>
      <x:c r="F7137" s="1" t="str">
        <x:v>Shipping on time</x:v>
      </x:c>
      <x:c r="G7137" s="6" t="n">
        <x:v>4</x:v>
      </x:c>
      <x:c r="H7137" s="6" t="n">
        <x:v>4</x:v>
      </x:c>
      <x:c r="I7137" s="6" t="n">
        <x:f>G7137-H7137</x:f>
        <x:v>0</x:v>
      </x:c>
      <x:c r="J7137" s="6" t="n">
        <x:f>IF(OR(E7137="CANCELED",E7137="SUSPECTED_FRAUD",F7137="Shipping canceled"),0,1)</x:f>
        <x:v>1</x:v>
      </x:c>
      <x:c r="K7137" s="6" t="n">
        <x:f>IF(G7137&gt;H7137,1,0)</x:f>
        <x:v>0</x:v>
      </x:c>
      <x:c r="L7137" s="6" t="n">
        <x:f>J7137*K7137</x:f>
        <x:v>0</x:v>
      </x:c>
    </x:row>
    <x:row r="7138">
      <x:c r="A7138" s="1" t="n">
        <x:v>56397</x:v>
      </x:c>
      <x:c r="B7138" s="5" t="d">
        <x:v>2017-04-03T00:00:00.000Z</x:v>
      </x:c>
      <x:c r="C7138" s="1" t="str">
        <x:v>Standard Class</x:v>
      </x:c>
      <x:c r="D7138" s="1" t="str">
        <x:v>LATAM</x:v>
      </x:c>
      <x:c r="E7138" s="1" t="str">
        <x:v>PENDING</x:v>
      </x:c>
      <x:c r="F7138" s="1" t="str">
        <x:v>Advance shipping</x:v>
      </x:c>
      <x:c r="G7138" s="6" t="n">
        <x:v>3</x:v>
      </x:c>
      <x:c r="H7138" s="6" t="n">
        <x:v>4</x:v>
      </x:c>
      <x:c r="I7138" s="6" t="n">
        <x:f>G7138-H7138</x:f>
        <x:v>-1</x:v>
      </x:c>
      <x:c r="J7138" s="6" t="n">
        <x:f>IF(OR(E7138="CANCELED",E7138="SUSPECTED_FRAUD",F7138="Shipping canceled"),0,1)</x:f>
        <x:v>1</x:v>
      </x:c>
      <x:c r="K7138" s="6" t="n">
        <x:f>IF(G7138&gt;H7138,1,0)</x:f>
        <x:v>0</x:v>
      </x:c>
      <x:c r="L7138" s="6" t="n">
        <x:f>J7138*K7138</x:f>
        <x:v>0</x:v>
      </x:c>
    </x:row>
    <x:row r="7139">
      <x:c r="A7139" s="1" t="n">
        <x:v>56400</x:v>
      </x:c>
      <x:c r="B7139" s="5" t="d">
        <x:v>2017-04-03T00:00:00.000Z</x:v>
      </x:c>
      <x:c r="C7139" s="1" t="str">
        <x:v>Standard Class</x:v>
      </x:c>
      <x:c r="D7139" s="1" t="str">
        <x:v>LATAM</x:v>
      </x:c>
      <x:c r="E7139" s="1" t="str">
        <x:v>ON_HOLD</x:v>
      </x:c>
      <x:c r="F7139" s="1" t="str">
        <x:v>Late delivery</x:v>
      </x:c>
      <x:c r="G7139" s="6" t="n">
        <x:v>6</x:v>
      </x:c>
      <x:c r="H7139" s="6" t="n">
        <x:v>4</x:v>
      </x:c>
      <x:c r="I7139" s="6" t="n">
        <x:f>G7139-H7139</x:f>
        <x:v>2</x:v>
      </x:c>
      <x:c r="J7139" s="6" t="n">
        <x:f>IF(OR(E7139="CANCELED",E7139="SUSPECTED_FRAUD",F7139="Shipping canceled"),0,1)</x:f>
        <x:v>1</x:v>
      </x:c>
      <x:c r="K7139" s="6" t="n">
        <x:f>IF(G7139&gt;H7139,1,0)</x:f>
        <x:v>1</x:v>
      </x:c>
      <x:c r="L7139" s="6" t="n">
        <x:f>J7139*K7139</x:f>
        <x:v>1</x:v>
      </x:c>
    </x:row>
    <x:row r="7140">
      <x:c r="A7140" s="1" t="n">
        <x:v>56433</x:v>
      </x:c>
      <x:c r="B7140" s="5" t="d">
        <x:v>2017-04-03T00:00:00.000Z</x:v>
      </x:c>
      <x:c r="C7140" s="1" t="str">
        <x:v>Standard Class</x:v>
      </x:c>
      <x:c r="D7140" s="1" t="str">
        <x:v>LATAM</x:v>
      </x:c>
      <x:c r="E7140" s="1" t="str">
        <x:v>PROCESSING</x:v>
      </x:c>
      <x:c r="F7140" s="1" t="str">
        <x:v>Shipping on time</x:v>
      </x:c>
      <x:c r="G7140" s="6" t="n">
        <x:v>4</x:v>
      </x:c>
      <x:c r="H7140" s="6" t="n">
        <x:v>4</x:v>
      </x:c>
      <x:c r="I7140" s="6" t="n">
        <x:f>G7140-H7140</x:f>
        <x:v>0</x:v>
      </x:c>
      <x:c r="J7140" s="6" t="n">
        <x:f>IF(OR(E7140="CANCELED",E7140="SUSPECTED_FRAUD",F7140="Shipping canceled"),0,1)</x:f>
        <x:v>1</x:v>
      </x:c>
      <x:c r="K7140" s="6" t="n">
        <x:f>IF(G7140&gt;H7140,1,0)</x:f>
        <x:v>0</x:v>
      </x:c>
      <x:c r="L7140" s="6" t="n">
        <x:f>J7140*K7140</x:f>
        <x:v>0</x:v>
      </x:c>
    </x:row>
    <x:row r="7141">
      <x:c r="A7141" s="1" t="n">
        <x:v>56439</x:v>
      </x:c>
      <x:c r="B7141" s="5" t="d">
        <x:v>2017-04-03T00:00:00.000Z</x:v>
      </x:c>
      <x:c r="C7141" s="1" t="str">
        <x:v>Standard Class</x:v>
      </x:c>
      <x:c r="D7141" s="1" t="str">
        <x:v>LATAM</x:v>
      </x:c>
      <x:c r="E7141" s="1" t="str">
        <x:v>PENDING</x:v>
      </x:c>
      <x:c r="F7141" s="1" t="str">
        <x:v>Late delivery</x:v>
      </x:c>
      <x:c r="G7141" s="6" t="n">
        <x:v>5</x:v>
      </x:c>
      <x:c r="H7141" s="6" t="n">
        <x:v>4</x:v>
      </x:c>
      <x:c r="I7141" s="6" t="n">
        <x:f>G7141-H7141</x:f>
        <x:v>1</x:v>
      </x:c>
      <x:c r="J7141" s="6" t="n">
        <x:f>IF(OR(E7141="CANCELED",E7141="SUSPECTED_FRAUD",F7141="Shipping canceled"),0,1)</x:f>
        <x:v>1</x:v>
      </x:c>
      <x:c r="K7141" s="6" t="n">
        <x:f>IF(G7141&gt;H7141,1,0)</x:f>
        <x:v>1</x:v>
      </x:c>
      <x:c r="L7141" s="6" t="n">
        <x:f>J7141*K7141</x:f>
        <x:v>1</x:v>
      </x:c>
    </x:row>
    <x:row r="7142">
      <x:c r="A7142" s="1" t="n">
        <x:v>56441</x:v>
      </x:c>
      <x:c r="B7142" s="5" t="d">
        <x:v>2017-04-03T00:00:00.000Z</x:v>
      </x:c>
      <x:c r="C7142" s="1" t="str">
        <x:v>Standard Class</x:v>
      </x:c>
      <x:c r="D7142" s="1" t="str">
        <x:v>LATAM</x:v>
      </x:c>
      <x:c r="E7142" s="1" t="str">
        <x:v>CLOSED</x:v>
      </x:c>
      <x:c r="F7142" s="1" t="str">
        <x:v>Advance shipping</x:v>
      </x:c>
      <x:c r="G7142" s="6" t="n">
        <x:v>2</x:v>
      </x:c>
      <x:c r="H7142" s="6" t="n">
        <x:v>4</x:v>
      </x:c>
      <x:c r="I7142" s="6" t="n">
        <x:f>G7142-H7142</x:f>
        <x:v>-2</x:v>
      </x:c>
      <x:c r="J7142" s="6" t="n">
        <x:f>IF(OR(E7142="CANCELED",E7142="SUSPECTED_FRAUD",F7142="Shipping canceled"),0,1)</x:f>
        <x:v>1</x:v>
      </x:c>
      <x:c r="K7142" s="6" t="n">
        <x:f>IF(G7142&gt;H7142,1,0)</x:f>
        <x:v>0</x:v>
      </x:c>
      <x:c r="L7142" s="6" t="n">
        <x:f>J7142*K7142</x:f>
        <x:v>0</x:v>
      </x:c>
    </x:row>
    <x:row r="7143">
      <x:c r="A7143" s="1" t="n">
        <x:v>56448</x:v>
      </x:c>
      <x:c r="B7143" s="5" t="d">
        <x:v>2017-04-03T00:00:00.000Z</x:v>
      </x:c>
      <x:c r="C7143" s="1" t="str">
        <x:v>Standard Class</x:v>
      </x:c>
      <x:c r="D7143" s="1" t="str">
        <x:v>LATAM</x:v>
      </x:c>
      <x:c r="E7143" s="1" t="str">
        <x:v>PENDING</x:v>
      </x:c>
      <x:c r="F7143" s="1" t="str">
        <x:v>Shipping on time</x:v>
      </x:c>
      <x:c r="G7143" s="6" t="n">
        <x:v>4</x:v>
      </x:c>
      <x:c r="H7143" s="6" t="n">
        <x:v>4</x:v>
      </x:c>
      <x:c r="I7143" s="6" t="n">
        <x:f>G7143-H7143</x:f>
        <x:v>0</x:v>
      </x:c>
      <x:c r="J7143" s="6" t="n">
        <x:f>IF(OR(E7143="CANCELED",E7143="SUSPECTED_FRAUD",F7143="Shipping canceled"),0,1)</x:f>
        <x:v>1</x:v>
      </x:c>
      <x:c r="K7143" s="6" t="n">
        <x:f>IF(G7143&gt;H7143,1,0)</x:f>
        <x:v>0</x:v>
      </x:c>
      <x:c r="L7143" s="6" t="n">
        <x:f>J7143*K7143</x:f>
        <x:v>0</x:v>
      </x:c>
    </x:row>
    <x:row r="7144">
      <x:c r="A7144" s="1" t="n">
        <x:v>56476</x:v>
      </x:c>
      <x:c r="B7144" s="5" t="d">
        <x:v>2017-04-04T00:00:00.000Z</x:v>
      </x:c>
      <x:c r="C7144" s="1" t="str">
        <x:v>Standard Class</x:v>
      </x:c>
      <x:c r="D7144" s="1" t="str">
        <x:v>LATAM</x:v>
      </x:c>
      <x:c r="E7144" s="1" t="str">
        <x:v>CANCELED</x:v>
      </x:c>
      <x:c r="F7144" s="1" t="str">
        <x:v>Shipping canceled</x:v>
      </x:c>
      <x:c r="G7144" s="6" t="n">
        <x:v>2</x:v>
      </x:c>
      <x:c r="H7144" s="6" t="n">
        <x:v>4</x:v>
      </x:c>
      <x:c r="I7144" s="6" t="n">
        <x:f>G7144-H7144</x:f>
        <x:v>-2</x:v>
      </x:c>
      <x:c r="J7144" s="6" t="n">
        <x:f>IF(OR(E7144="CANCELED",E7144="SUSPECTED_FRAUD",F7144="Shipping canceled"),0,1)</x:f>
        <x:v>0</x:v>
      </x:c>
      <x:c r="K7144" s="6" t="n">
        <x:f>IF(G7144&gt;H7144,1,0)</x:f>
        <x:v>0</x:v>
      </x:c>
      <x:c r="L7144" s="6" t="n">
        <x:f>J7144*K7144</x:f>
        <x:v>0</x:v>
      </x:c>
    </x:row>
    <x:row r="7145">
      <x:c r="A7145" s="1" t="n">
        <x:v>56479</x:v>
      </x:c>
      <x:c r="B7145" s="5" t="d">
        <x:v>2017-04-04T00:00:00.000Z</x:v>
      </x:c>
      <x:c r="C7145" s="1" t="str">
        <x:v>Standard Class</x:v>
      </x:c>
      <x:c r="D7145" s="1" t="str">
        <x:v>LATAM</x:v>
      </x:c>
      <x:c r="E7145" s="1" t="str">
        <x:v>PROCESSING</x:v>
      </x:c>
      <x:c r="F7145" s="1" t="str">
        <x:v>Late delivery</x:v>
      </x:c>
      <x:c r="G7145" s="6" t="n">
        <x:v>5</x:v>
      </x:c>
      <x:c r="H7145" s="6" t="n">
        <x:v>4</x:v>
      </x:c>
      <x:c r="I7145" s="6" t="n">
        <x:f>G7145-H7145</x:f>
        <x:v>1</x:v>
      </x:c>
      <x:c r="J7145" s="6" t="n">
        <x:f>IF(OR(E7145="CANCELED",E7145="SUSPECTED_FRAUD",F7145="Shipping canceled"),0,1)</x:f>
        <x:v>1</x:v>
      </x:c>
      <x:c r="K7145" s="6" t="n">
        <x:f>IF(G7145&gt;H7145,1,0)</x:f>
        <x:v>1</x:v>
      </x:c>
      <x:c r="L7145" s="6" t="n">
        <x:f>J7145*K7145</x:f>
        <x:v>1</x:v>
      </x:c>
    </x:row>
    <x:row r="7146">
      <x:c r="A7146" s="1" t="n">
        <x:v>56496</x:v>
      </x:c>
      <x:c r="B7146" s="5" t="d">
        <x:v>2017-04-04T00:00:00.000Z</x:v>
      </x:c>
      <x:c r="C7146" s="1" t="str">
        <x:v>Standard Class</x:v>
      </x:c>
      <x:c r="D7146" s="1" t="str">
        <x:v>LATAM</x:v>
      </x:c>
      <x:c r="E7146" s="1" t="str">
        <x:v>COMPLETE</x:v>
      </x:c>
      <x:c r="F7146" s="1" t="str">
        <x:v>Advance shipping</x:v>
      </x:c>
      <x:c r="G7146" s="6" t="n">
        <x:v>2</x:v>
      </x:c>
      <x:c r="H7146" s="6" t="n">
        <x:v>4</x:v>
      </x:c>
      <x:c r="I7146" s="6" t="n">
        <x:f>G7146-H7146</x:f>
        <x:v>-2</x:v>
      </x:c>
      <x:c r="J7146" s="6" t="n">
        <x:f>IF(OR(E7146="CANCELED",E7146="SUSPECTED_FRAUD",F7146="Shipping canceled"),0,1)</x:f>
        <x:v>1</x:v>
      </x:c>
      <x:c r="K7146" s="6" t="n">
        <x:f>IF(G7146&gt;H7146,1,0)</x:f>
        <x:v>0</x:v>
      </x:c>
      <x:c r="L7146" s="6" t="n">
        <x:f>J7146*K7146</x:f>
        <x:v>0</x:v>
      </x:c>
    </x:row>
    <x:row r="7147">
      <x:c r="A7147" s="1" t="n">
        <x:v>56508</x:v>
      </x:c>
      <x:c r="B7147" s="5" t="d">
        <x:v>2017-04-04T00:00:00.000Z</x:v>
      </x:c>
      <x:c r="C7147" s="1" t="str">
        <x:v>Second Class</x:v>
      </x:c>
      <x:c r="D7147" s="1" t="str">
        <x:v>LATAM</x:v>
      </x:c>
      <x:c r="E7147" s="1" t="str">
        <x:v>COMPLETE</x:v>
      </x:c>
      <x:c r="F7147" s="1" t="str">
        <x:v>Late delivery</x:v>
      </x:c>
      <x:c r="G7147" s="6" t="n">
        <x:v>4</x:v>
      </x:c>
      <x:c r="H7147" s="6" t="n">
        <x:v>2</x:v>
      </x:c>
      <x:c r="I7147" s="6" t="n">
        <x:f>G7147-H7147</x:f>
        <x:v>2</x:v>
      </x:c>
      <x:c r="J7147" s="6" t="n">
        <x:f>IF(OR(E7147="CANCELED",E7147="SUSPECTED_FRAUD",F7147="Shipping canceled"),0,1)</x:f>
        <x:v>1</x:v>
      </x:c>
      <x:c r="K7147" s="6" t="n">
        <x:f>IF(G7147&gt;H7147,1,0)</x:f>
        <x:v>1</x:v>
      </x:c>
      <x:c r="L7147" s="6" t="n">
        <x:f>J7147*K7147</x:f>
        <x:v>1</x:v>
      </x:c>
    </x:row>
    <x:row r="7148">
      <x:c r="A7148" s="1" t="n">
        <x:v>56529</x:v>
      </x:c>
      <x:c r="B7148" s="5" t="d">
        <x:v>2017-04-05T00:00:00.000Z</x:v>
      </x:c>
      <x:c r="C7148" s="1" t="str">
        <x:v>Second Class</x:v>
      </x:c>
      <x:c r="D7148" s="1" t="str">
        <x:v>LATAM</x:v>
      </x:c>
      <x:c r="E7148" s="1" t="str">
        <x:v>COMPLETE</x:v>
      </x:c>
      <x:c r="F7148" s="1" t="str">
        <x:v>Late delivery</x:v>
      </x:c>
      <x:c r="G7148" s="6" t="n">
        <x:v>5</x:v>
      </x:c>
      <x:c r="H7148" s="6" t="n">
        <x:v>2</x:v>
      </x:c>
      <x:c r="I7148" s="6" t="n">
        <x:f>G7148-H7148</x:f>
        <x:v>3</x:v>
      </x:c>
      <x:c r="J7148" s="6" t="n">
        <x:f>IF(OR(E7148="CANCELED",E7148="SUSPECTED_FRAUD",F7148="Shipping canceled"),0,1)</x:f>
        <x:v>1</x:v>
      </x:c>
      <x:c r="K7148" s="6" t="n">
        <x:f>IF(G7148&gt;H7148,1,0)</x:f>
        <x:v>1</x:v>
      </x:c>
      <x:c r="L7148" s="6" t="n">
        <x:f>J7148*K7148</x:f>
        <x:v>1</x:v>
      </x:c>
    </x:row>
    <x:row r="7149">
      <x:c r="A7149" s="1" t="n">
        <x:v>56530</x:v>
      </x:c>
      <x:c r="B7149" s="5" t="d">
        <x:v>2017-04-05T00:00:00.000Z</x:v>
      </x:c>
      <x:c r="C7149" s="1" t="str">
        <x:v>Second Class</x:v>
      </x:c>
      <x:c r="D7149" s="1" t="str">
        <x:v>LATAM</x:v>
      </x:c>
      <x:c r="E7149" s="1" t="str">
        <x:v>COMPLETE</x:v>
      </x:c>
      <x:c r="F7149" s="1" t="str">
        <x:v>Late delivery</x:v>
      </x:c>
      <x:c r="G7149" s="6" t="n">
        <x:v>6</x:v>
      </x:c>
      <x:c r="H7149" s="6" t="n">
        <x:v>2</x:v>
      </x:c>
      <x:c r="I7149" s="6" t="n">
        <x:f>G7149-H7149</x:f>
        <x:v>4</x:v>
      </x:c>
      <x:c r="J7149" s="6" t="n">
        <x:f>IF(OR(E7149="CANCELED",E7149="SUSPECTED_FRAUD",F7149="Shipping canceled"),0,1)</x:f>
        <x:v>1</x:v>
      </x:c>
      <x:c r="K7149" s="6" t="n">
        <x:f>IF(G7149&gt;H7149,1,0)</x:f>
        <x:v>1</x:v>
      </x:c>
      <x:c r="L7149" s="6" t="n">
        <x:f>J7149*K7149</x:f>
        <x:v>1</x:v>
      </x:c>
    </x:row>
    <x:row r="7150">
      <x:c r="A7150" s="1" t="n">
        <x:v>56531</x:v>
      </x:c>
      <x:c r="B7150" s="5" t="d">
        <x:v>2017-04-05T00:00:00.000Z</x:v>
      </x:c>
      <x:c r="C7150" s="1" t="str">
        <x:v>Second Class</x:v>
      </x:c>
      <x:c r="D7150" s="1" t="str">
        <x:v>LATAM</x:v>
      </x:c>
      <x:c r="E7150" s="1" t="str">
        <x:v>PENDING</x:v>
      </x:c>
      <x:c r="F7150" s="1" t="str">
        <x:v>Shipping on time</x:v>
      </x:c>
      <x:c r="G7150" s="6" t="n">
        <x:v>2</x:v>
      </x:c>
      <x:c r="H7150" s="6" t="n">
        <x:v>2</x:v>
      </x:c>
      <x:c r="I7150" s="6" t="n">
        <x:f>G7150-H7150</x:f>
        <x:v>0</x:v>
      </x:c>
      <x:c r="J7150" s="6" t="n">
        <x:f>IF(OR(E7150="CANCELED",E7150="SUSPECTED_FRAUD",F7150="Shipping canceled"),0,1)</x:f>
        <x:v>1</x:v>
      </x:c>
      <x:c r="K7150" s="6" t="n">
        <x:f>IF(G7150&gt;H7150,1,0)</x:f>
        <x:v>0</x:v>
      </x:c>
      <x:c r="L7150" s="6" t="n">
        <x:f>J7150*K7150</x:f>
        <x:v>0</x:v>
      </x:c>
    </x:row>
    <x:row r="7151">
      <x:c r="A7151" s="1" t="n">
        <x:v>56534</x:v>
      </x:c>
      <x:c r="B7151" s="5" t="d">
        <x:v>2017-04-05T00:00:00.000Z</x:v>
      </x:c>
      <x:c r="C7151" s="1" t="str">
        <x:v>Standard Class</x:v>
      </x:c>
      <x:c r="D7151" s="1" t="str">
        <x:v>LATAM</x:v>
      </x:c>
      <x:c r="E7151" s="1" t="str">
        <x:v>COMPLETE</x:v>
      </x:c>
      <x:c r="F7151" s="1" t="str">
        <x:v>Late delivery</x:v>
      </x:c>
      <x:c r="G7151" s="6" t="n">
        <x:v>5</x:v>
      </x:c>
      <x:c r="H7151" s="6" t="n">
        <x:v>4</x:v>
      </x:c>
      <x:c r="I7151" s="6" t="n">
        <x:f>G7151-H7151</x:f>
        <x:v>1</x:v>
      </x:c>
      <x:c r="J7151" s="6" t="n">
        <x:f>IF(OR(E7151="CANCELED",E7151="SUSPECTED_FRAUD",F7151="Shipping canceled"),0,1)</x:f>
        <x:v>1</x:v>
      </x:c>
      <x:c r="K7151" s="6" t="n">
        <x:f>IF(G7151&gt;H7151,1,0)</x:f>
        <x:v>1</x:v>
      </x:c>
      <x:c r="L7151" s="6" t="n">
        <x:f>J7151*K7151</x:f>
        <x:v>1</x:v>
      </x:c>
    </x:row>
    <x:row r="7152">
      <x:c r="A7152" s="1" t="n">
        <x:v>56535</x:v>
      </x:c>
      <x:c r="B7152" s="5" t="d">
        <x:v>2017-04-05T00:00:00.000Z</x:v>
      </x:c>
      <x:c r="C7152" s="1" t="str">
        <x:v>Standard Class</x:v>
      </x:c>
      <x:c r="D7152" s="1" t="str">
        <x:v>LATAM</x:v>
      </x:c>
      <x:c r="E7152" s="1" t="str">
        <x:v>COMPLETE</x:v>
      </x:c>
      <x:c r="F7152" s="1" t="str">
        <x:v>Late delivery</x:v>
      </x:c>
      <x:c r="G7152" s="6" t="n">
        <x:v>6</x:v>
      </x:c>
      <x:c r="H7152" s="6" t="n">
        <x:v>4</x:v>
      </x:c>
      <x:c r="I7152" s="6" t="n">
        <x:f>G7152-H7152</x:f>
        <x:v>2</x:v>
      </x:c>
      <x:c r="J7152" s="6" t="n">
        <x:f>IF(OR(E7152="CANCELED",E7152="SUSPECTED_FRAUD",F7152="Shipping canceled"),0,1)</x:f>
        <x:v>1</x:v>
      </x:c>
      <x:c r="K7152" s="6" t="n">
        <x:f>IF(G7152&gt;H7152,1,0)</x:f>
        <x:v>1</x:v>
      </x:c>
      <x:c r="L7152" s="6" t="n">
        <x:f>J7152*K7152</x:f>
        <x:v>1</x:v>
      </x:c>
    </x:row>
    <x:row r="7153">
      <x:c r="A7153" s="1" t="n">
        <x:v>56552</x:v>
      </x:c>
      <x:c r="B7153" s="5" t="d">
        <x:v>2017-04-05T00:00:00.000Z</x:v>
      </x:c>
      <x:c r="C7153" s="1" t="str">
        <x:v>Same Day</x:v>
      </x:c>
      <x:c r="D7153" s="1" t="str">
        <x:v>LATAM</x:v>
      </x:c>
      <x:c r="E7153" s="1" t="str">
        <x:v>PENDING</x:v>
      </x:c>
      <x:c r="F7153" s="1" t="str">
        <x:v>Late delivery</x:v>
      </x:c>
      <x:c r="G7153" s="6" t="n">
        <x:v>1</x:v>
      </x:c>
      <x:c r="H7153" s="6" t="n">
        <x:v>0</x:v>
      </x:c>
      <x:c r="I7153" s="6" t="n">
        <x:f>G7153-H7153</x:f>
        <x:v>1</x:v>
      </x:c>
      <x:c r="J7153" s="6" t="n">
        <x:f>IF(OR(E7153="CANCELED",E7153="SUSPECTED_FRAUD",F7153="Shipping canceled"),0,1)</x:f>
        <x:v>1</x:v>
      </x:c>
      <x:c r="K7153" s="6" t="n">
        <x:f>IF(G7153&gt;H7153,1,0)</x:f>
        <x:v>1</x:v>
      </x:c>
      <x:c r="L7153" s="6" t="n">
        <x:f>J7153*K7153</x:f>
        <x:v>1</x:v>
      </x:c>
    </x:row>
    <x:row r="7154">
      <x:c r="A7154" s="1" t="n">
        <x:v>56557</x:v>
      </x:c>
      <x:c r="B7154" s="5" t="d">
        <x:v>2017-04-05T00:00:00.000Z</x:v>
      </x:c>
      <x:c r="C7154" s="1" t="str">
        <x:v>Second Class</x:v>
      </x:c>
      <x:c r="D7154" s="1" t="str">
        <x:v>LATAM</x:v>
      </x:c>
      <x:c r="E7154" s="1" t="str">
        <x:v>ON_HOLD</x:v>
      </x:c>
      <x:c r="F7154" s="1" t="str">
        <x:v>Late delivery</x:v>
      </x:c>
      <x:c r="G7154" s="6" t="n">
        <x:v>3</x:v>
      </x:c>
      <x:c r="H7154" s="6" t="n">
        <x:v>2</x:v>
      </x:c>
      <x:c r="I7154" s="6" t="n">
        <x:f>G7154-H7154</x:f>
        <x:v>1</x:v>
      </x:c>
      <x:c r="J7154" s="6" t="n">
        <x:f>IF(OR(E7154="CANCELED",E7154="SUSPECTED_FRAUD",F7154="Shipping canceled"),0,1)</x:f>
        <x:v>1</x:v>
      </x:c>
      <x:c r="K7154" s="6" t="n">
        <x:f>IF(G7154&gt;H7154,1,0)</x:f>
        <x:v>1</x:v>
      </x:c>
      <x:c r="L7154" s="6" t="n">
        <x:f>J7154*K7154</x:f>
        <x:v>1</x:v>
      </x:c>
    </x:row>
    <x:row r="7155">
      <x:c r="A7155" s="1" t="n">
        <x:v>56559</x:v>
      </x:c>
      <x:c r="B7155" s="5" t="d">
        <x:v>2017-04-05T00:00:00.000Z</x:v>
      </x:c>
      <x:c r="C7155" s="1" t="str">
        <x:v>Standard Class</x:v>
      </x:c>
      <x:c r="D7155" s="1" t="str">
        <x:v>LATAM</x:v>
      </x:c>
      <x:c r="E7155" s="1" t="str">
        <x:v>COMPLETE</x:v>
      </x:c>
      <x:c r="F7155" s="1" t="str">
        <x:v>Late delivery</x:v>
      </x:c>
      <x:c r="G7155" s="6" t="n">
        <x:v>5</x:v>
      </x:c>
      <x:c r="H7155" s="6" t="n">
        <x:v>4</x:v>
      </x:c>
      <x:c r="I7155" s="6" t="n">
        <x:f>G7155-H7155</x:f>
        <x:v>1</x:v>
      </x:c>
      <x:c r="J7155" s="6" t="n">
        <x:f>IF(OR(E7155="CANCELED",E7155="SUSPECTED_FRAUD",F7155="Shipping canceled"),0,1)</x:f>
        <x:v>1</x:v>
      </x:c>
      <x:c r="K7155" s="6" t="n">
        <x:f>IF(G7155&gt;H7155,1,0)</x:f>
        <x:v>1</x:v>
      </x:c>
      <x:c r="L7155" s="6" t="n">
        <x:f>J7155*K7155</x:f>
        <x:v>1</x:v>
      </x:c>
    </x:row>
    <x:row r="7156">
      <x:c r="A7156" s="1" t="n">
        <x:v>56580</x:v>
      </x:c>
      <x:c r="B7156" s="5" t="d">
        <x:v>2017-04-05T00:00:00.000Z</x:v>
      </x:c>
      <x:c r="C7156" s="1" t="str">
        <x:v>Standard Class</x:v>
      </x:c>
      <x:c r="D7156" s="1" t="str">
        <x:v>LATAM</x:v>
      </x:c>
      <x:c r="E7156" s="1" t="str">
        <x:v>ON_HOLD</x:v>
      </x:c>
      <x:c r="F7156" s="1" t="str">
        <x:v>Late delivery</x:v>
      </x:c>
      <x:c r="G7156" s="6" t="n">
        <x:v>6</x:v>
      </x:c>
      <x:c r="H7156" s="6" t="n">
        <x:v>4</x:v>
      </x:c>
      <x:c r="I7156" s="6" t="n">
        <x:f>G7156-H7156</x:f>
        <x:v>2</x:v>
      </x:c>
      <x:c r="J7156" s="6" t="n">
        <x:f>IF(OR(E7156="CANCELED",E7156="SUSPECTED_FRAUD",F7156="Shipping canceled"),0,1)</x:f>
        <x:v>1</x:v>
      </x:c>
      <x:c r="K7156" s="6" t="n">
        <x:f>IF(G7156&gt;H7156,1,0)</x:f>
        <x:v>1</x:v>
      </x:c>
      <x:c r="L7156" s="6" t="n">
        <x:f>J7156*K7156</x:f>
        <x:v>1</x:v>
      </x:c>
    </x:row>
    <x:row r="7157">
      <x:c r="A7157" s="1" t="n">
        <x:v>56598</x:v>
      </x:c>
      <x:c r="B7157" s="5" t="d">
        <x:v>2017-04-06T00:00:00.000Z</x:v>
      </x:c>
      <x:c r="C7157" s="1" t="str">
        <x:v>Second Class</x:v>
      </x:c>
      <x:c r="D7157" s="1" t="str">
        <x:v>LATAM</x:v>
      </x:c>
      <x:c r="E7157" s="1" t="str">
        <x:v>PROCESSING</x:v>
      </x:c>
      <x:c r="F7157" s="1" t="str">
        <x:v>Late delivery</x:v>
      </x:c>
      <x:c r="G7157" s="6" t="n">
        <x:v>4</x:v>
      </x:c>
      <x:c r="H7157" s="6" t="n">
        <x:v>2</x:v>
      </x:c>
      <x:c r="I7157" s="6" t="n">
        <x:f>G7157-H7157</x:f>
        <x:v>2</x:v>
      </x:c>
      <x:c r="J7157" s="6" t="n">
        <x:f>IF(OR(E7157="CANCELED",E7157="SUSPECTED_FRAUD",F7157="Shipping canceled"),0,1)</x:f>
        <x:v>1</x:v>
      </x:c>
      <x:c r="K7157" s="6" t="n">
        <x:f>IF(G7157&gt;H7157,1,0)</x:f>
        <x:v>1</x:v>
      </x:c>
      <x:c r="L7157" s="6" t="n">
        <x:f>J7157*K7157</x:f>
        <x:v>1</x:v>
      </x:c>
    </x:row>
    <x:row r="7158">
      <x:c r="A7158" s="1" t="n">
        <x:v>56602</x:v>
      </x:c>
      <x:c r="B7158" s="5" t="d">
        <x:v>2017-04-06T00:00:00.000Z</x:v>
      </x:c>
      <x:c r="C7158" s="1" t="str">
        <x:v>Standard Class</x:v>
      </x:c>
      <x:c r="D7158" s="1" t="str">
        <x:v>LATAM</x:v>
      </x:c>
      <x:c r="E7158" s="1" t="str">
        <x:v>PENDING</x:v>
      </x:c>
      <x:c r="F7158" s="1" t="str">
        <x:v>Advance shipping</x:v>
      </x:c>
      <x:c r="G7158" s="6" t="n">
        <x:v>3</x:v>
      </x:c>
      <x:c r="H7158" s="6" t="n">
        <x:v>4</x:v>
      </x:c>
      <x:c r="I7158" s="6" t="n">
        <x:f>G7158-H7158</x:f>
        <x:v>-1</x:v>
      </x:c>
      <x:c r="J7158" s="6" t="n">
        <x:f>IF(OR(E7158="CANCELED",E7158="SUSPECTED_FRAUD",F7158="Shipping canceled"),0,1)</x:f>
        <x:v>1</x:v>
      </x:c>
      <x:c r="K7158" s="6" t="n">
        <x:f>IF(G7158&gt;H7158,1,0)</x:f>
        <x:v>0</x:v>
      </x:c>
      <x:c r="L7158" s="6" t="n">
        <x:f>J7158*K7158</x:f>
        <x:v>0</x:v>
      </x:c>
    </x:row>
    <x:row r="7159">
      <x:c r="A7159" s="1" t="n">
        <x:v>56609</x:v>
      </x:c>
      <x:c r="B7159" s="5" t="d">
        <x:v>2017-04-06T00:00:00.000Z</x:v>
      </x:c>
      <x:c r="C7159" s="1" t="str">
        <x:v>First Class</x:v>
      </x:c>
      <x:c r="D7159" s="1" t="str">
        <x:v>LATAM</x:v>
      </x:c>
      <x:c r="E7159" s="1" t="str">
        <x:v>PENDING</x:v>
      </x:c>
      <x:c r="F7159" s="1" t="str">
        <x:v>Late delivery</x:v>
      </x:c>
      <x:c r="G7159" s="6" t="n">
        <x:v>2</x:v>
      </x:c>
      <x:c r="H7159" s="6" t="n">
        <x:v>1</x:v>
      </x:c>
      <x:c r="I7159" s="6" t="n">
        <x:f>G7159-H7159</x:f>
        <x:v>1</x:v>
      </x:c>
      <x:c r="J7159" s="6" t="n">
        <x:f>IF(OR(E7159="CANCELED",E7159="SUSPECTED_FRAUD",F7159="Shipping canceled"),0,1)</x:f>
        <x:v>1</x:v>
      </x:c>
      <x:c r="K7159" s="6" t="n">
        <x:f>IF(G7159&gt;H7159,1,0)</x:f>
        <x:v>1</x:v>
      </x:c>
      <x:c r="L7159" s="6" t="n">
        <x:f>J7159*K7159</x:f>
        <x:v>1</x:v>
      </x:c>
    </x:row>
    <x:row r="7160">
      <x:c r="A7160" s="1" t="n">
        <x:v>56612</x:v>
      </x:c>
      <x:c r="B7160" s="5" t="d">
        <x:v>2017-04-06T00:00:00.000Z</x:v>
      </x:c>
      <x:c r="C7160" s="1" t="str">
        <x:v>First Class</x:v>
      </x:c>
      <x:c r="D7160" s="1" t="str">
        <x:v>LATAM</x:v>
      </x:c>
      <x:c r="E7160" s="1" t="str">
        <x:v>PROCESSING</x:v>
      </x:c>
      <x:c r="F7160" s="1" t="str">
        <x:v>Late delivery</x:v>
      </x:c>
      <x:c r="G7160" s="6" t="n">
        <x:v>2</x:v>
      </x:c>
      <x:c r="H7160" s="6" t="n">
        <x:v>1</x:v>
      </x:c>
      <x:c r="I7160" s="6" t="n">
        <x:f>G7160-H7160</x:f>
        <x:v>1</x:v>
      </x:c>
      <x:c r="J7160" s="6" t="n">
        <x:f>IF(OR(E7160="CANCELED",E7160="SUSPECTED_FRAUD",F7160="Shipping canceled"),0,1)</x:f>
        <x:v>1</x:v>
      </x:c>
      <x:c r="K7160" s="6" t="n">
        <x:f>IF(G7160&gt;H7160,1,0)</x:f>
        <x:v>1</x:v>
      </x:c>
      <x:c r="L7160" s="6" t="n">
        <x:f>J7160*K7160</x:f>
        <x:v>1</x:v>
      </x:c>
    </x:row>
    <x:row r="7161">
      <x:c r="A7161" s="1" t="n">
        <x:v>56618</x:v>
      </x:c>
      <x:c r="B7161" s="5" t="d">
        <x:v>2017-04-06T00:00:00.000Z</x:v>
      </x:c>
      <x:c r="C7161" s="1" t="str">
        <x:v>Standard Class</x:v>
      </x:c>
      <x:c r="D7161" s="1" t="str">
        <x:v>LATAM</x:v>
      </x:c>
      <x:c r="E7161" s="1" t="str">
        <x:v>PROCESSING</x:v>
      </x:c>
      <x:c r="F7161" s="1" t="str">
        <x:v>Shipping on time</x:v>
      </x:c>
      <x:c r="G7161" s="6" t="n">
        <x:v>4</x:v>
      </x:c>
      <x:c r="H7161" s="6" t="n">
        <x:v>4</x:v>
      </x:c>
      <x:c r="I7161" s="6" t="n">
        <x:f>G7161-H7161</x:f>
        <x:v>0</x:v>
      </x:c>
      <x:c r="J7161" s="6" t="n">
        <x:f>IF(OR(E7161="CANCELED",E7161="SUSPECTED_FRAUD",F7161="Shipping canceled"),0,1)</x:f>
        <x:v>1</x:v>
      </x:c>
      <x:c r="K7161" s="6" t="n">
        <x:f>IF(G7161&gt;H7161,1,0)</x:f>
        <x:v>0</x:v>
      </x:c>
      <x:c r="L7161" s="6" t="n">
        <x:f>J7161*K7161</x:f>
        <x:v>0</x:v>
      </x:c>
    </x:row>
    <x:row r="7162">
      <x:c r="A7162" s="1" t="n">
        <x:v>56634</x:v>
      </x:c>
      <x:c r="B7162" s="5" t="d">
        <x:v>2017-04-06T00:00:00.000Z</x:v>
      </x:c>
      <x:c r="C7162" s="1" t="str">
        <x:v>Second Class</x:v>
      </x:c>
      <x:c r="D7162" s="1" t="str">
        <x:v>LATAM</x:v>
      </x:c>
      <x:c r="E7162" s="1" t="str">
        <x:v>COMPLETE</x:v>
      </x:c>
      <x:c r="F7162" s="1" t="str">
        <x:v>Late delivery</x:v>
      </x:c>
      <x:c r="G7162" s="6" t="n">
        <x:v>5</x:v>
      </x:c>
      <x:c r="H7162" s="6" t="n">
        <x:v>2</x:v>
      </x:c>
      <x:c r="I7162" s="6" t="n">
        <x:f>G7162-H7162</x:f>
        <x:v>3</x:v>
      </x:c>
      <x:c r="J7162" s="6" t="n">
        <x:f>IF(OR(E7162="CANCELED",E7162="SUSPECTED_FRAUD",F7162="Shipping canceled"),0,1)</x:f>
        <x:v>1</x:v>
      </x:c>
      <x:c r="K7162" s="6" t="n">
        <x:f>IF(G7162&gt;H7162,1,0)</x:f>
        <x:v>1</x:v>
      </x:c>
      <x:c r="L7162" s="6" t="n">
        <x:f>J7162*K7162</x:f>
        <x:v>1</x:v>
      </x:c>
    </x:row>
    <x:row r="7163">
      <x:c r="A7163" s="1" t="n">
        <x:v>56641</x:v>
      </x:c>
      <x:c r="B7163" s="5" t="d">
        <x:v>2017-04-06T00:00:00.000Z</x:v>
      </x:c>
      <x:c r="C7163" s="1" t="str">
        <x:v>Standard Class</x:v>
      </x:c>
      <x:c r="D7163" s="1" t="str">
        <x:v>LATAM</x:v>
      </x:c>
      <x:c r="E7163" s="1" t="str">
        <x:v>COMPLETE</x:v>
      </x:c>
      <x:c r="F7163" s="1" t="str">
        <x:v>Advance shipping</x:v>
      </x:c>
      <x:c r="G7163" s="6" t="n">
        <x:v>2</x:v>
      </x:c>
      <x:c r="H7163" s="6" t="n">
        <x:v>4</x:v>
      </x:c>
      <x:c r="I7163" s="6" t="n">
        <x:f>G7163-H7163</x:f>
        <x:v>-2</x:v>
      </x:c>
      <x:c r="J7163" s="6" t="n">
        <x:f>IF(OR(E7163="CANCELED",E7163="SUSPECTED_FRAUD",F7163="Shipping canceled"),0,1)</x:f>
        <x:v>1</x:v>
      </x:c>
      <x:c r="K7163" s="6" t="n">
        <x:f>IF(G7163&gt;H7163,1,0)</x:f>
        <x:v>0</x:v>
      </x:c>
      <x:c r="L7163" s="6" t="n">
        <x:f>J7163*K7163</x:f>
        <x:v>0</x:v>
      </x:c>
    </x:row>
    <x:row r="7164">
      <x:c r="A7164" s="1" t="n">
        <x:v>56643</x:v>
      </x:c>
      <x:c r="B7164" s="5" t="d">
        <x:v>2017-04-06T00:00:00.000Z</x:v>
      </x:c>
      <x:c r="C7164" s="1" t="str">
        <x:v>Standard Class</x:v>
      </x:c>
      <x:c r="D7164" s="1" t="str">
        <x:v>LATAM</x:v>
      </x:c>
      <x:c r="E7164" s="1" t="str">
        <x:v>COMPLETE</x:v>
      </x:c>
      <x:c r="F7164" s="1" t="str">
        <x:v>Shipping on time</x:v>
      </x:c>
      <x:c r="G7164" s="6" t="n">
        <x:v>4</x:v>
      </x:c>
      <x:c r="H7164" s="6" t="n">
        <x:v>4</x:v>
      </x:c>
      <x:c r="I7164" s="6" t="n">
        <x:f>G7164-H7164</x:f>
        <x:v>0</x:v>
      </x:c>
      <x:c r="J7164" s="6" t="n">
        <x:f>IF(OR(E7164="CANCELED",E7164="SUSPECTED_FRAUD",F7164="Shipping canceled"),0,1)</x:f>
        <x:v>1</x:v>
      </x:c>
      <x:c r="K7164" s="6" t="n">
        <x:f>IF(G7164&gt;H7164,1,0)</x:f>
        <x:v>0</x:v>
      </x:c>
      <x:c r="L7164" s="6" t="n">
        <x:f>J7164*K7164</x:f>
        <x:v>0</x:v>
      </x:c>
    </x:row>
    <x:row r="7165">
      <x:c r="A7165" s="1" t="n">
        <x:v>56653</x:v>
      </x:c>
      <x:c r="B7165" s="5" t="d">
        <x:v>2017-04-06T00:00:00.000Z</x:v>
      </x:c>
      <x:c r="C7165" s="1" t="str">
        <x:v>Standard Class</x:v>
      </x:c>
      <x:c r="D7165" s="1" t="str">
        <x:v>LATAM</x:v>
      </x:c>
      <x:c r="E7165" s="1" t="str">
        <x:v>COMPLETE</x:v>
      </x:c>
      <x:c r="F7165" s="1" t="str">
        <x:v>Shipping on time</x:v>
      </x:c>
      <x:c r="G7165" s="6" t="n">
        <x:v>4</x:v>
      </x:c>
      <x:c r="H7165" s="6" t="n">
        <x:v>4</x:v>
      </x:c>
      <x:c r="I7165" s="6" t="n">
        <x:f>G7165-H7165</x:f>
        <x:v>0</x:v>
      </x:c>
      <x:c r="J7165" s="6" t="n">
        <x:f>IF(OR(E7165="CANCELED",E7165="SUSPECTED_FRAUD",F7165="Shipping canceled"),0,1)</x:f>
        <x:v>1</x:v>
      </x:c>
      <x:c r="K7165" s="6" t="n">
        <x:f>IF(G7165&gt;H7165,1,0)</x:f>
        <x:v>0</x:v>
      </x:c>
      <x:c r="L7165" s="6" t="n">
        <x:f>J7165*K7165</x:f>
        <x:v>0</x:v>
      </x:c>
    </x:row>
    <x:row r="7166">
      <x:c r="A7166" s="1" t="n">
        <x:v>56667</x:v>
      </x:c>
      <x:c r="B7166" s="5" t="d">
        <x:v>2017-04-07T00:00:00.000Z</x:v>
      </x:c>
      <x:c r="C7166" s="1" t="str">
        <x:v>Standard Class</x:v>
      </x:c>
      <x:c r="D7166" s="1" t="str">
        <x:v>LATAM</x:v>
      </x:c>
      <x:c r="E7166" s="1" t="str">
        <x:v>CANCELED</x:v>
      </x:c>
      <x:c r="F7166" s="1" t="str">
        <x:v>Shipping canceled</x:v>
      </x:c>
      <x:c r="G7166" s="6" t="n">
        <x:v>3</x:v>
      </x:c>
      <x:c r="H7166" s="6" t="n">
        <x:v>4</x:v>
      </x:c>
      <x:c r="I7166" s="6" t="n">
        <x:f>G7166-H7166</x:f>
        <x:v>-1</x:v>
      </x:c>
      <x:c r="J7166" s="6" t="n">
        <x:f>IF(OR(E7166="CANCELED",E7166="SUSPECTED_FRAUD",F7166="Shipping canceled"),0,1)</x:f>
        <x:v>0</x:v>
      </x:c>
      <x:c r="K7166" s="6" t="n">
        <x:f>IF(G7166&gt;H7166,1,0)</x:f>
        <x:v>0</x:v>
      </x:c>
      <x:c r="L7166" s="6" t="n">
        <x:f>J7166*K7166</x:f>
        <x:v>0</x:v>
      </x:c>
    </x:row>
    <x:row r="7167">
      <x:c r="A7167" s="1" t="n">
        <x:v>56670</x:v>
      </x:c>
      <x:c r="B7167" s="5" t="d">
        <x:v>2017-04-07T00:00:00.000Z</x:v>
      </x:c>
      <x:c r="C7167" s="1" t="str">
        <x:v>Standard Class</x:v>
      </x:c>
      <x:c r="D7167" s="1" t="str">
        <x:v>LATAM</x:v>
      </x:c>
      <x:c r="E7167" s="1" t="str">
        <x:v>CLOSED</x:v>
      </x:c>
      <x:c r="F7167" s="1" t="str">
        <x:v>Late delivery</x:v>
      </x:c>
      <x:c r="G7167" s="6" t="n">
        <x:v>6</x:v>
      </x:c>
      <x:c r="H7167" s="6" t="n">
        <x:v>4</x:v>
      </x:c>
      <x:c r="I7167" s="6" t="n">
        <x:f>G7167-H7167</x:f>
        <x:v>2</x:v>
      </x:c>
      <x:c r="J7167" s="6" t="n">
        <x:f>IF(OR(E7167="CANCELED",E7167="SUSPECTED_FRAUD",F7167="Shipping canceled"),0,1)</x:f>
        <x:v>1</x:v>
      </x:c>
      <x:c r="K7167" s="6" t="n">
        <x:f>IF(G7167&gt;H7167,1,0)</x:f>
        <x:v>1</x:v>
      </x:c>
      <x:c r="L7167" s="6" t="n">
        <x:f>J7167*K7167</x:f>
        <x:v>1</x:v>
      </x:c>
    </x:row>
    <x:row r="7168">
      <x:c r="A7168" s="1" t="n">
        <x:v>56671</x:v>
      </x:c>
      <x:c r="B7168" s="5" t="d">
        <x:v>2017-04-07T00:00:00.000Z</x:v>
      </x:c>
      <x:c r="C7168" s="1" t="str">
        <x:v>Standard Class</x:v>
      </x:c>
      <x:c r="D7168" s="1" t="str">
        <x:v>LATAM</x:v>
      </x:c>
      <x:c r="E7168" s="1" t="str">
        <x:v>COMPLETE</x:v>
      </x:c>
      <x:c r="F7168" s="1" t="str">
        <x:v>Advance shipping</x:v>
      </x:c>
      <x:c r="G7168" s="6" t="n">
        <x:v>2</x:v>
      </x:c>
      <x:c r="H7168" s="6" t="n">
        <x:v>4</x:v>
      </x:c>
      <x:c r="I7168" s="6" t="n">
        <x:f>G7168-H7168</x:f>
        <x:v>-2</x:v>
      </x:c>
      <x:c r="J7168" s="6" t="n">
        <x:f>IF(OR(E7168="CANCELED",E7168="SUSPECTED_FRAUD",F7168="Shipping canceled"),0,1)</x:f>
        <x:v>1</x:v>
      </x:c>
      <x:c r="K7168" s="6" t="n">
        <x:f>IF(G7168&gt;H7168,1,0)</x:f>
        <x:v>0</x:v>
      </x:c>
      <x:c r="L7168" s="6" t="n">
        <x:f>J7168*K7168</x:f>
        <x:v>0</x:v>
      </x:c>
    </x:row>
    <x:row r="7169">
      <x:c r="A7169" s="1" t="n">
        <x:v>56678</x:v>
      </x:c>
      <x:c r="B7169" s="5" t="d">
        <x:v>2017-04-07T00:00:00.000Z</x:v>
      </x:c>
      <x:c r="C7169" s="1" t="str">
        <x:v>Second Class</x:v>
      </x:c>
      <x:c r="D7169" s="1" t="str">
        <x:v>LATAM</x:v>
      </x:c>
      <x:c r="E7169" s="1" t="str">
        <x:v>PENDING_PAYMENT</x:v>
      </x:c>
      <x:c r="F7169" s="1" t="str">
        <x:v>Late delivery</x:v>
      </x:c>
      <x:c r="G7169" s="6" t="n">
        <x:v>4</x:v>
      </x:c>
      <x:c r="H7169" s="6" t="n">
        <x:v>2</x:v>
      </x:c>
      <x:c r="I7169" s="6" t="n">
        <x:f>G7169-H7169</x:f>
        <x:v>2</x:v>
      </x:c>
      <x:c r="J7169" s="6" t="n">
        <x:f>IF(OR(E7169="CANCELED",E7169="SUSPECTED_FRAUD",F7169="Shipping canceled"),0,1)</x:f>
        <x:v>1</x:v>
      </x:c>
      <x:c r="K7169" s="6" t="n">
        <x:f>IF(G7169&gt;H7169,1,0)</x:f>
        <x:v>1</x:v>
      </x:c>
      <x:c r="L7169" s="6" t="n">
        <x:f>J7169*K7169</x:f>
        <x:v>1</x:v>
      </x:c>
    </x:row>
    <x:row r="7170">
      <x:c r="A7170" s="1" t="n">
        <x:v>56680</x:v>
      </x:c>
      <x:c r="B7170" s="5" t="d">
        <x:v>2017-04-07T00:00:00.000Z</x:v>
      </x:c>
      <x:c r="C7170" s="1" t="str">
        <x:v>Second Class</x:v>
      </x:c>
      <x:c r="D7170" s="1" t="str">
        <x:v>LATAM</x:v>
      </x:c>
      <x:c r="E7170" s="1" t="str">
        <x:v>CLOSED</x:v>
      </x:c>
      <x:c r="F7170" s="1" t="str">
        <x:v>Late delivery</x:v>
      </x:c>
      <x:c r="G7170" s="6" t="n">
        <x:v>6</x:v>
      </x:c>
      <x:c r="H7170" s="6" t="n">
        <x:v>2</x:v>
      </x:c>
      <x:c r="I7170" s="6" t="n">
        <x:f>G7170-H7170</x:f>
        <x:v>4</x:v>
      </x:c>
      <x:c r="J7170" s="6" t="n">
        <x:f>IF(OR(E7170="CANCELED",E7170="SUSPECTED_FRAUD",F7170="Shipping canceled"),0,1)</x:f>
        <x:v>1</x:v>
      </x:c>
      <x:c r="K7170" s="6" t="n">
        <x:f>IF(G7170&gt;H7170,1,0)</x:f>
        <x:v>1</x:v>
      </x:c>
      <x:c r="L7170" s="6" t="n">
        <x:f>J7170*K7170</x:f>
        <x:v>1</x:v>
      </x:c>
    </x:row>
    <x:row r="7171">
      <x:c r="A7171" s="1" t="n">
        <x:v>56694</x:v>
      </x:c>
      <x:c r="B7171" s="5" t="d">
        <x:v>2017-04-07T00:00:00.000Z</x:v>
      </x:c>
      <x:c r="C7171" s="1" t="str">
        <x:v>Standard Class</x:v>
      </x:c>
      <x:c r="D7171" s="1" t="str">
        <x:v>LATAM</x:v>
      </x:c>
      <x:c r="E7171" s="1" t="str">
        <x:v>PENDING</x:v>
      </x:c>
      <x:c r="F7171" s="1" t="str">
        <x:v>Late delivery</x:v>
      </x:c>
      <x:c r="G7171" s="6" t="n">
        <x:v>5</x:v>
      </x:c>
      <x:c r="H7171" s="6" t="n">
        <x:v>4</x:v>
      </x:c>
      <x:c r="I7171" s="6" t="n">
        <x:f>G7171-H7171</x:f>
        <x:v>1</x:v>
      </x:c>
      <x:c r="J7171" s="6" t="n">
        <x:f>IF(OR(E7171="CANCELED",E7171="SUSPECTED_FRAUD",F7171="Shipping canceled"),0,1)</x:f>
        <x:v>1</x:v>
      </x:c>
      <x:c r="K7171" s="6" t="n">
        <x:f>IF(G7171&gt;H7171,1,0)</x:f>
        <x:v>1</x:v>
      </x:c>
      <x:c r="L7171" s="6" t="n">
        <x:f>J7171*K7171</x:f>
        <x:v>1</x:v>
      </x:c>
    </x:row>
    <x:row r="7172">
      <x:c r="A7172" s="1" t="n">
        <x:v>56698</x:v>
      </x:c>
      <x:c r="B7172" s="5" t="d">
        <x:v>2017-04-07T00:00:00.000Z</x:v>
      </x:c>
      <x:c r="C7172" s="1" t="str">
        <x:v>Standard Class</x:v>
      </x:c>
      <x:c r="D7172" s="1" t="str">
        <x:v>LATAM</x:v>
      </x:c>
      <x:c r="E7172" s="1" t="str">
        <x:v>COMPLETE</x:v>
      </x:c>
      <x:c r="F7172" s="1" t="str">
        <x:v>Shipping on time</x:v>
      </x:c>
      <x:c r="G7172" s="6" t="n">
        <x:v>4</x:v>
      </x:c>
      <x:c r="H7172" s="6" t="n">
        <x:v>4</x:v>
      </x:c>
      <x:c r="I7172" s="6" t="n">
        <x:f>G7172-H7172</x:f>
        <x:v>0</x:v>
      </x:c>
      <x:c r="J7172" s="6" t="n">
        <x:f>IF(OR(E7172="CANCELED",E7172="SUSPECTED_FRAUD",F7172="Shipping canceled"),0,1)</x:f>
        <x:v>1</x:v>
      </x:c>
      <x:c r="K7172" s="6" t="n">
        <x:f>IF(G7172&gt;H7172,1,0)</x:f>
        <x:v>0</x:v>
      </x:c>
      <x:c r="L7172" s="6" t="n">
        <x:f>J7172*K7172</x:f>
        <x:v>0</x:v>
      </x:c>
    </x:row>
    <x:row r="7173">
      <x:c r="A7173" s="1" t="n">
        <x:v>56721</x:v>
      </x:c>
      <x:c r="B7173" s="5" t="d">
        <x:v>2017-04-07T00:00:00.000Z</x:v>
      </x:c>
      <x:c r="C7173" s="1" t="str">
        <x:v>Standard Class</x:v>
      </x:c>
      <x:c r="D7173" s="1" t="str">
        <x:v>LATAM</x:v>
      </x:c>
      <x:c r="E7173" s="1" t="str">
        <x:v>COMPLETE</x:v>
      </x:c>
      <x:c r="F7173" s="1" t="str">
        <x:v>Advance shipping</x:v>
      </x:c>
      <x:c r="G7173" s="6" t="n">
        <x:v>2</x:v>
      </x:c>
      <x:c r="H7173" s="6" t="n">
        <x:v>4</x:v>
      </x:c>
      <x:c r="I7173" s="6" t="n">
        <x:f>G7173-H7173</x:f>
        <x:v>-2</x:v>
      </x:c>
      <x:c r="J7173" s="6" t="n">
        <x:f>IF(OR(E7173="CANCELED",E7173="SUSPECTED_FRAUD",F7173="Shipping canceled"),0,1)</x:f>
        <x:v>1</x:v>
      </x:c>
      <x:c r="K7173" s="6" t="n">
        <x:f>IF(G7173&gt;H7173,1,0)</x:f>
        <x:v>0</x:v>
      </x:c>
      <x:c r="L7173" s="6" t="n">
        <x:f>J7173*K7173</x:f>
        <x:v>0</x:v>
      </x:c>
    </x:row>
    <x:row r="7174">
      <x:c r="A7174" s="1" t="n">
        <x:v>56726</x:v>
      </x:c>
      <x:c r="B7174" s="5" t="d">
        <x:v>2017-04-08T00:00:00.000Z</x:v>
      </x:c>
      <x:c r="C7174" s="1" t="str">
        <x:v>Standard Class</x:v>
      </x:c>
      <x:c r="D7174" s="1" t="str">
        <x:v>LATAM</x:v>
      </x:c>
      <x:c r="E7174" s="1" t="str">
        <x:v>PENDING_PAYMENT</x:v>
      </x:c>
      <x:c r="F7174" s="1" t="str">
        <x:v>Advance shipping</x:v>
      </x:c>
      <x:c r="G7174" s="6" t="n">
        <x:v>2</x:v>
      </x:c>
      <x:c r="H7174" s="6" t="n">
        <x:v>4</x:v>
      </x:c>
      <x:c r="I7174" s="6" t="n">
        <x:f>G7174-H7174</x:f>
        <x:v>-2</x:v>
      </x:c>
      <x:c r="J7174" s="6" t="n">
        <x:f>IF(OR(E7174="CANCELED",E7174="SUSPECTED_FRAUD",F7174="Shipping canceled"),0,1)</x:f>
        <x:v>1</x:v>
      </x:c>
      <x:c r="K7174" s="6" t="n">
        <x:f>IF(G7174&gt;H7174,1,0)</x:f>
        <x:v>0</x:v>
      </x:c>
      <x:c r="L7174" s="6" t="n">
        <x:f>J7174*K7174</x:f>
        <x:v>0</x:v>
      </x:c>
    </x:row>
    <x:row r="7175">
      <x:c r="A7175" s="1" t="n">
        <x:v>56732</x:v>
      </x:c>
      <x:c r="B7175" s="5" t="d">
        <x:v>2017-04-08T00:00:00.000Z</x:v>
      </x:c>
      <x:c r="C7175" s="1" t="str">
        <x:v>Standard Class</x:v>
      </x:c>
      <x:c r="D7175" s="1" t="str">
        <x:v>LATAM</x:v>
      </x:c>
      <x:c r="E7175" s="1" t="str">
        <x:v>COMPLETE</x:v>
      </x:c>
      <x:c r="F7175" s="1" t="str">
        <x:v>Advance shipping</x:v>
      </x:c>
      <x:c r="G7175" s="6" t="n">
        <x:v>3</x:v>
      </x:c>
      <x:c r="H7175" s="6" t="n">
        <x:v>4</x:v>
      </x:c>
      <x:c r="I7175" s="6" t="n">
        <x:f>G7175-H7175</x:f>
        <x:v>-1</x:v>
      </x:c>
      <x:c r="J7175" s="6" t="n">
        <x:f>IF(OR(E7175="CANCELED",E7175="SUSPECTED_FRAUD",F7175="Shipping canceled"),0,1)</x:f>
        <x:v>1</x:v>
      </x:c>
      <x:c r="K7175" s="6" t="n">
        <x:f>IF(G7175&gt;H7175,1,0)</x:f>
        <x:v>0</x:v>
      </x:c>
      <x:c r="L7175" s="6" t="n">
        <x:f>J7175*K7175</x:f>
        <x:v>0</x:v>
      </x:c>
    </x:row>
    <x:row r="7176">
      <x:c r="A7176" s="1" t="n">
        <x:v>56735</x:v>
      </x:c>
      <x:c r="B7176" s="5" t="d">
        <x:v>2017-04-08T00:00:00.000Z</x:v>
      </x:c>
      <x:c r="C7176" s="1" t="str">
        <x:v>Standard Class</x:v>
      </x:c>
      <x:c r="D7176" s="1" t="str">
        <x:v>LATAM</x:v>
      </x:c>
      <x:c r="E7176" s="1" t="str">
        <x:v>COMPLETE</x:v>
      </x:c>
      <x:c r="F7176" s="1" t="str">
        <x:v>Late delivery</x:v>
      </x:c>
      <x:c r="G7176" s="6" t="n">
        <x:v>6</x:v>
      </x:c>
      <x:c r="H7176" s="6" t="n">
        <x:v>4</x:v>
      </x:c>
      <x:c r="I7176" s="6" t="n">
        <x:f>G7176-H7176</x:f>
        <x:v>2</x:v>
      </x:c>
      <x:c r="J7176" s="6" t="n">
        <x:f>IF(OR(E7176="CANCELED",E7176="SUSPECTED_FRAUD",F7176="Shipping canceled"),0,1)</x:f>
        <x:v>1</x:v>
      </x:c>
      <x:c r="K7176" s="6" t="n">
        <x:f>IF(G7176&gt;H7176,1,0)</x:f>
        <x:v>1</x:v>
      </x:c>
      <x:c r="L7176" s="6" t="n">
        <x:f>J7176*K7176</x:f>
        <x:v>1</x:v>
      </x:c>
    </x:row>
    <x:row r="7177">
      <x:c r="A7177" s="1" t="n">
        <x:v>56742</x:v>
      </x:c>
      <x:c r="B7177" s="5" t="d">
        <x:v>2017-04-08T00:00:00.000Z</x:v>
      </x:c>
      <x:c r="C7177" s="1" t="str">
        <x:v>Standard Class</x:v>
      </x:c>
      <x:c r="D7177" s="1" t="str">
        <x:v>LATAM</x:v>
      </x:c>
      <x:c r="E7177" s="1" t="str">
        <x:v>PENDING</x:v>
      </x:c>
      <x:c r="F7177" s="1" t="str">
        <x:v>Advance shipping</x:v>
      </x:c>
      <x:c r="G7177" s="6" t="n">
        <x:v>3</x:v>
      </x:c>
      <x:c r="H7177" s="6" t="n">
        <x:v>4</x:v>
      </x:c>
      <x:c r="I7177" s="6" t="n">
        <x:f>G7177-H7177</x:f>
        <x:v>-1</x:v>
      </x:c>
      <x:c r="J7177" s="6" t="n">
        <x:f>IF(OR(E7177="CANCELED",E7177="SUSPECTED_FRAUD",F7177="Shipping canceled"),0,1)</x:f>
        <x:v>1</x:v>
      </x:c>
      <x:c r="K7177" s="6" t="n">
        <x:f>IF(G7177&gt;H7177,1,0)</x:f>
        <x:v>0</x:v>
      </x:c>
      <x:c r="L7177" s="6" t="n">
        <x:f>J7177*K7177</x:f>
        <x:v>0</x:v>
      </x:c>
    </x:row>
    <x:row r="7178">
      <x:c r="A7178" s="1" t="n">
        <x:v>56745</x:v>
      </x:c>
      <x:c r="B7178" s="5" t="d">
        <x:v>2017-04-08T00:00:00.000Z</x:v>
      </x:c>
      <x:c r="C7178" s="1" t="str">
        <x:v>Standard Class</x:v>
      </x:c>
      <x:c r="D7178" s="1" t="str">
        <x:v>LATAM</x:v>
      </x:c>
      <x:c r="E7178" s="1" t="str">
        <x:v>PENDING_PAYMENT</x:v>
      </x:c>
      <x:c r="F7178" s="1" t="str">
        <x:v>Late delivery</x:v>
      </x:c>
      <x:c r="G7178" s="6" t="n">
        <x:v>6</x:v>
      </x:c>
      <x:c r="H7178" s="6" t="n">
        <x:v>4</x:v>
      </x:c>
      <x:c r="I7178" s="6" t="n">
        <x:f>G7178-H7178</x:f>
        <x:v>2</x:v>
      </x:c>
      <x:c r="J7178" s="6" t="n">
        <x:f>IF(OR(E7178="CANCELED",E7178="SUSPECTED_FRAUD",F7178="Shipping canceled"),0,1)</x:f>
        <x:v>1</x:v>
      </x:c>
      <x:c r="K7178" s="6" t="n">
        <x:f>IF(G7178&gt;H7178,1,0)</x:f>
        <x:v>1</x:v>
      </x:c>
      <x:c r="L7178" s="6" t="n">
        <x:f>J7178*K7178</x:f>
        <x:v>1</x:v>
      </x:c>
    </x:row>
    <x:row r="7179">
      <x:c r="A7179" s="1" t="n">
        <x:v>56756</x:v>
      </x:c>
      <x:c r="B7179" s="5" t="d">
        <x:v>2017-04-08T00:00:00.000Z</x:v>
      </x:c>
      <x:c r="C7179" s="1" t="str">
        <x:v>Second Class</x:v>
      </x:c>
      <x:c r="D7179" s="1" t="str">
        <x:v>LATAM</x:v>
      </x:c>
      <x:c r="E7179" s="1" t="str">
        <x:v>CLOSED</x:v>
      </x:c>
      <x:c r="F7179" s="1" t="str">
        <x:v>Shipping on time</x:v>
      </x:c>
      <x:c r="G7179" s="6" t="n">
        <x:v>2</x:v>
      </x:c>
      <x:c r="H7179" s="6" t="n">
        <x:v>2</x:v>
      </x:c>
      <x:c r="I7179" s="6" t="n">
        <x:f>G7179-H7179</x:f>
        <x:v>0</x:v>
      </x:c>
      <x:c r="J7179" s="6" t="n">
        <x:f>IF(OR(E7179="CANCELED",E7179="SUSPECTED_FRAUD",F7179="Shipping canceled"),0,1)</x:f>
        <x:v>1</x:v>
      </x:c>
      <x:c r="K7179" s="6" t="n">
        <x:f>IF(G7179&gt;H7179,1,0)</x:f>
        <x:v>0</x:v>
      </x:c>
      <x:c r="L7179" s="6" t="n">
        <x:f>J7179*K7179</x:f>
        <x:v>0</x:v>
      </x:c>
    </x:row>
    <x:row r="7180">
      <x:c r="A7180" s="1" t="n">
        <x:v>56770</x:v>
      </x:c>
      <x:c r="B7180" s="5" t="d">
        <x:v>2017-04-08T00:00:00.000Z</x:v>
      </x:c>
      <x:c r="C7180" s="1" t="str">
        <x:v>Standard Class</x:v>
      </x:c>
      <x:c r="D7180" s="1" t="str">
        <x:v>LATAM</x:v>
      </x:c>
      <x:c r="E7180" s="1" t="str">
        <x:v>PENDING</x:v>
      </x:c>
      <x:c r="F7180" s="1" t="str">
        <x:v>Late delivery</x:v>
      </x:c>
      <x:c r="G7180" s="6" t="n">
        <x:v>6</x:v>
      </x:c>
      <x:c r="H7180" s="6" t="n">
        <x:v>4</x:v>
      </x:c>
      <x:c r="I7180" s="6" t="n">
        <x:f>G7180-H7180</x:f>
        <x:v>2</x:v>
      </x:c>
      <x:c r="J7180" s="6" t="n">
        <x:f>IF(OR(E7180="CANCELED",E7180="SUSPECTED_FRAUD",F7180="Shipping canceled"),0,1)</x:f>
        <x:v>1</x:v>
      </x:c>
      <x:c r="K7180" s="6" t="n">
        <x:f>IF(G7180&gt;H7180,1,0)</x:f>
        <x:v>1</x:v>
      </x:c>
      <x:c r="L7180" s="6" t="n">
        <x:f>J7180*K7180</x:f>
        <x:v>1</x:v>
      </x:c>
    </x:row>
    <x:row r="7181">
      <x:c r="A7181" s="1" t="n">
        <x:v>56772</x:v>
      </x:c>
      <x:c r="B7181" s="5" t="d">
        <x:v>2017-04-08T00:00:00.000Z</x:v>
      </x:c>
      <x:c r="C7181" s="1" t="str">
        <x:v>Second Class</x:v>
      </x:c>
      <x:c r="D7181" s="1" t="str">
        <x:v>LATAM</x:v>
      </x:c>
      <x:c r="E7181" s="1" t="str">
        <x:v>COMPLETE</x:v>
      </x:c>
      <x:c r="F7181" s="1" t="str">
        <x:v>Late delivery</x:v>
      </x:c>
      <x:c r="G7181" s="6" t="n">
        <x:v>3</x:v>
      </x:c>
      <x:c r="H7181" s="6" t="n">
        <x:v>2</x:v>
      </x:c>
      <x:c r="I7181" s="6" t="n">
        <x:f>G7181-H7181</x:f>
        <x:v>1</x:v>
      </x:c>
      <x:c r="J7181" s="6" t="n">
        <x:f>IF(OR(E7181="CANCELED",E7181="SUSPECTED_FRAUD",F7181="Shipping canceled"),0,1)</x:f>
        <x:v>1</x:v>
      </x:c>
      <x:c r="K7181" s="6" t="n">
        <x:f>IF(G7181&gt;H7181,1,0)</x:f>
        <x:v>1</x:v>
      </x:c>
      <x:c r="L7181" s="6" t="n">
        <x:f>J7181*K7181</x:f>
        <x:v>1</x:v>
      </x:c>
    </x:row>
    <x:row r="7182">
      <x:c r="A7182" s="1" t="n">
        <x:v>56774</x:v>
      </x:c>
      <x:c r="B7182" s="5" t="d">
        <x:v>2017-04-08T00:00:00.000Z</x:v>
      </x:c>
      <x:c r="C7182" s="1" t="str">
        <x:v>Standard Class</x:v>
      </x:c>
      <x:c r="D7182" s="1" t="str">
        <x:v>LATAM</x:v>
      </x:c>
      <x:c r="E7182" s="1" t="str">
        <x:v>PROCESSING</x:v>
      </x:c>
      <x:c r="F7182" s="1" t="str">
        <x:v>Late delivery</x:v>
      </x:c>
      <x:c r="G7182" s="6" t="n">
        <x:v>5</x:v>
      </x:c>
      <x:c r="H7182" s="6" t="n">
        <x:v>4</x:v>
      </x:c>
      <x:c r="I7182" s="6" t="n">
        <x:f>G7182-H7182</x:f>
        <x:v>1</x:v>
      </x:c>
      <x:c r="J7182" s="6" t="n">
        <x:f>IF(OR(E7182="CANCELED",E7182="SUSPECTED_FRAUD",F7182="Shipping canceled"),0,1)</x:f>
        <x:v>1</x:v>
      </x:c>
      <x:c r="K7182" s="6" t="n">
        <x:f>IF(G7182&gt;H7182,1,0)</x:f>
        <x:v>1</x:v>
      </x:c>
      <x:c r="L7182" s="6" t="n">
        <x:f>J7182*K7182</x:f>
        <x:v>1</x:v>
      </x:c>
    </x:row>
    <x:row r="7183">
      <x:c r="A7183" s="1" t="n">
        <x:v>56775</x:v>
      </x:c>
      <x:c r="B7183" s="5" t="d">
        <x:v>2017-04-08T00:00:00.000Z</x:v>
      </x:c>
      <x:c r="C7183" s="1" t="str">
        <x:v>Standard Class</x:v>
      </x:c>
      <x:c r="D7183" s="1" t="str">
        <x:v>LATAM</x:v>
      </x:c>
      <x:c r="E7183" s="1" t="str">
        <x:v>PROCESSING</x:v>
      </x:c>
      <x:c r="F7183" s="1" t="str">
        <x:v>Late delivery</x:v>
      </x:c>
      <x:c r="G7183" s="6" t="n">
        <x:v>6</x:v>
      </x:c>
      <x:c r="H7183" s="6" t="n">
        <x:v>4</x:v>
      </x:c>
      <x:c r="I7183" s="6" t="n">
        <x:f>G7183-H7183</x:f>
        <x:v>2</x:v>
      </x:c>
      <x:c r="J7183" s="6" t="n">
        <x:f>IF(OR(E7183="CANCELED",E7183="SUSPECTED_FRAUD",F7183="Shipping canceled"),0,1)</x:f>
        <x:v>1</x:v>
      </x:c>
      <x:c r="K7183" s="6" t="n">
        <x:f>IF(G7183&gt;H7183,1,0)</x:f>
        <x:v>1</x:v>
      </x:c>
      <x:c r="L7183" s="6" t="n">
        <x:f>J7183*K7183</x:f>
        <x:v>1</x:v>
      </x:c>
    </x:row>
    <x:row r="7184">
      <x:c r="A7184" s="1" t="n">
        <x:v>56784</x:v>
      </x:c>
      <x:c r="B7184" s="5" t="d">
        <x:v>2017-04-08T00:00:00.000Z</x:v>
      </x:c>
      <x:c r="C7184" s="1" t="str">
        <x:v>Standard Class</x:v>
      </x:c>
      <x:c r="D7184" s="1" t="str">
        <x:v>LATAM</x:v>
      </x:c>
      <x:c r="E7184" s="1" t="str">
        <x:v>PENDING</x:v>
      </x:c>
      <x:c r="F7184" s="1" t="str">
        <x:v>Late delivery</x:v>
      </x:c>
      <x:c r="G7184" s="6" t="n">
        <x:v>5</x:v>
      </x:c>
      <x:c r="H7184" s="6" t="n">
        <x:v>4</x:v>
      </x:c>
      <x:c r="I7184" s="6" t="n">
        <x:f>G7184-H7184</x:f>
        <x:v>1</x:v>
      </x:c>
      <x:c r="J7184" s="6" t="n">
        <x:f>IF(OR(E7184="CANCELED",E7184="SUSPECTED_FRAUD",F7184="Shipping canceled"),0,1)</x:f>
        <x:v>1</x:v>
      </x:c>
      <x:c r="K7184" s="6" t="n">
        <x:f>IF(G7184&gt;H7184,1,0)</x:f>
        <x:v>1</x:v>
      </x:c>
      <x:c r="L7184" s="6" t="n">
        <x:f>J7184*K7184</x:f>
        <x:v>1</x:v>
      </x:c>
    </x:row>
    <x:row r="7185">
      <x:c r="A7185" s="1" t="n">
        <x:v>56785</x:v>
      </x:c>
      <x:c r="B7185" s="5" t="d">
        <x:v>2017-04-08T00:00:00.000Z</x:v>
      </x:c>
      <x:c r="C7185" s="1" t="str">
        <x:v>Standard Class</x:v>
      </x:c>
      <x:c r="D7185" s="1" t="str">
        <x:v>LATAM</x:v>
      </x:c>
      <x:c r="E7185" s="1" t="str">
        <x:v>COMPLETE</x:v>
      </x:c>
      <x:c r="F7185" s="1" t="str">
        <x:v>Late delivery</x:v>
      </x:c>
      <x:c r="G7185" s="6" t="n">
        <x:v>6</x:v>
      </x:c>
      <x:c r="H7185" s="6" t="n">
        <x:v>4</x:v>
      </x:c>
      <x:c r="I7185" s="6" t="n">
        <x:f>G7185-H7185</x:f>
        <x:v>2</x:v>
      </x:c>
      <x:c r="J7185" s="6" t="n">
        <x:f>IF(OR(E7185="CANCELED",E7185="SUSPECTED_FRAUD",F7185="Shipping canceled"),0,1)</x:f>
        <x:v>1</x:v>
      </x:c>
      <x:c r="K7185" s="6" t="n">
        <x:f>IF(G7185&gt;H7185,1,0)</x:f>
        <x:v>1</x:v>
      </x:c>
      <x:c r="L7185" s="6" t="n">
        <x:f>J7185*K7185</x:f>
        <x:v>1</x:v>
      </x:c>
    </x:row>
    <x:row r="7186">
      <x:c r="A7186" s="1" t="n">
        <x:v>56788</x:v>
      </x:c>
      <x:c r="B7186" s="5" t="d">
        <x:v>2017-04-08T00:00:00.000Z</x:v>
      </x:c>
      <x:c r="C7186" s="1" t="str">
        <x:v>Same Day</x:v>
      </x:c>
      <x:c r="D7186" s="1" t="str">
        <x:v>LATAM</x:v>
      </x:c>
      <x:c r="E7186" s="1" t="str">
        <x:v>PENDING</x:v>
      </x:c>
      <x:c r="F7186" s="1" t="str">
        <x:v>Late delivery</x:v>
      </x:c>
      <x:c r="G7186" s="6" t="n">
        <x:v>1</x:v>
      </x:c>
      <x:c r="H7186" s="6" t="n">
        <x:v>0</x:v>
      </x:c>
      <x:c r="I7186" s="6" t="n">
        <x:f>G7186-H7186</x:f>
        <x:v>1</x:v>
      </x:c>
      <x:c r="J7186" s="6" t="n">
        <x:f>IF(OR(E7186="CANCELED",E7186="SUSPECTED_FRAUD",F7186="Shipping canceled"),0,1)</x:f>
        <x:v>1</x:v>
      </x:c>
      <x:c r="K7186" s="6" t="n">
        <x:f>IF(G7186&gt;H7186,1,0)</x:f>
        <x:v>1</x:v>
      </x:c>
      <x:c r="L7186" s="6" t="n">
        <x:f>J7186*K7186</x:f>
        <x:v>1</x:v>
      </x:c>
    </x:row>
    <x:row r="7187">
      <x:c r="A7187" s="1" t="n">
        <x:v>56801</x:v>
      </x:c>
      <x:c r="B7187" s="5" t="d">
        <x:v>2017-04-09T00:00:00.000Z</x:v>
      </x:c>
      <x:c r="C7187" s="1" t="str">
        <x:v>Standard Class</x:v>
      </x:c>
      <x:c r="D7187" s="1" t="str">
        <x:v>LATAM</x:v>
      </x:c>
      <x:c r="E7187" s="1" t="str">
        <x:v>PENDING</x:v>
      </x:c>
      <x:c r="F7187" s="1" t="str">
        <x:v>Advance shipping</x:v>
      </x:c>
      <x:c r="G7187" s="6" t="n">
        <x:v>2</x:v>
      </x:c>
      <x:c r="H7187" s="6" t="n">
        <x:v>4</x:v>
      </x:c>
      <x:c r="I7187" s="6" t="n">
        <x:f>G7187-H7187</x:f>
        <x:v>-2</x:v>
      </x:c>
      <x:c r="J7187" s="6" t="n">
        <x:f>IF(OR(E7187="CANCELED",E7187="SUSPECTED_FRAUD",F7187="Shipping canceled"),0,1)</x:f>
        <x:v>1</x:v>
      </x:c>
      <x:c r="K7187" s="6" t="n">
        <x:f>IF(G7187&gt;H7187,1,0)</x:f>
        <x:v>0</x:v>
      </x:c>
      <x:c r="L7187" s="6" t="n">
        <x:f>J7187*K7187</x:f>
        <x:v>0</x:v>
      </x:c>
    </x:row>
    <x:row r="7188">
      <x:c r="A7188" s="1" t="n">
        <x:v>56802</x:v>
      </x:c>
      <x:c r="B7188" s="5" t="d">
        <x:v>2017-04-09T00:00:00.000Z</x:v>
      </x:c>
      <x:c r="C7188" s="1" t="str">
        <x:v>Standard Class</x:v>
      </x:c>
      <x:c r="D7188" s="1" t="str">
        <x:v>LATAM</x:v>
      </x:c>
      <x:c r="E7188" s="1" t="str">
        <x:v>PENDING</x:v>
      </x:c>
      <x:c r="F7188" s="1" t="str">
        <x:v>Advance shipping</x:v>
      </x:c>
      <x:c r="G7188" s="6" t="n">
        <x:v>3</x:v>
      </x:c>
      <x:c r="H7188" s="6" t="n">
        <x:v>4</x:v>
      </x:c>
      <x:c r="I7188" s="6" t="n">
        <x:f>G7188-H7188</x:f>
        <x:v>-1</x:v>
      </x:c>
      <x:c r="J7188" s="6" t="n">
        <x:f>IF(OR(E7188="CANCELED",E7188="SUSPECTED_FRAUD",F7188="Shipping canceled"),0,1)</x:f>
        <x:v>1</x:v>
      </x:c>
      <x:c r="K7188" s="6" t="n">
        <x:f>IF(G7188&gt;H7188,1,0)</x:f>
        <x:v>0</x:v>
      </x:c>
      <x:c r="L7188" s="6" t="n">
        <x:f>J7188*K7188</x:f>
        <x:v>0</x:v>
      </x:c>
    </x:row>
    <x:row r="7189">
      <x:c r="A7189" s="1" t="n">
        <x:v>56812</x:v>
      </x:c>
      <x:c r="B7189" s="5" t="d">
        <x:v>2017-04-09T00:00:00.000Z</x:v>
      </x:c>
      <x:c r="C7189" s="1" t="str">
        <x:v>First Class</x:v>
      </x:c>
      <x:c r="D7189" s="1" t="str">
        <x:v>LATAM</x:v>
      </x:c>
      <x:c r="E7189" s="1" t="str">
        <x:v>CANCELED</x:v>
      </x:c>
      <x:c r="F7189" s="1" t="str">
        <x:v>Shipping canceled</x:v>
      </x:c>
      <x:c r="G7189" s="6" t="n">
        <x:v>2</x:v>
      </x:c>
      <x:c r="H7189" s="6" t="n">
        <x:v>1</x:v>
      </x:c>
      <x:c r="I7189" s="6" t="n">
        <x:f>G7189-H7189</x:f>
        <x:v>1</x:v>
      </x:c>
      <x:c r="J7189" s="6" t="n">
        <x:f>IF(OR(E7189="CANCELED",E7189="SUSPECTED_FRAUD",F7189="Shipping canceled"),0,1)</x:f>
        <x:v>0</x:v>
      </x:c>
      <x:c r="K7189" s="6" t="n">
        <x:f>IF(G7189&gt;H7189,1,0)</x:f>
        <x:v>1</x:v>
      </x:c>
      <x:c r="L7189" s="6" t="n">
        <x:f>J7189*K7189</x:f>
        <x:v>0</x:v>
      </x:c>
    </x:row>
    <x:row r="7190">
      <x:c r="A7190" s="1" t="n">
        <x:v>56844</x:v>
      </x:c>
      <x:c r="B7190" s="5" t="d">
        <x:v>2017-04-09T00:00:00.000Z</x:v>
      </x:c>
      <x:c r="C7190" s="1" t="str">
        <x:v>Second Class</x:v>
      </x:c>
      <x:c r="D7190" s="1" t="str">
        <x:v>LATAM</x:v>
      </x:c>
      <x:c r="E7190" s="1" t="str">
        <x:v>CLOSED</x:v>
      </x:c>
      <x:c r="F7190" s="1" t="str">
        <x:v>Late delivery</x:v>
      </x:c>
      <x:c r="G7190" s="6" t="n">
        <x:v>5</x:v>
      </x:c>
      <x:c r="H7190" s="6" t="n">
        <x:v>2</x:v>
      </x:c>
      <x:c r="I7190" s="6" t="n">
        <x:f>G7190-H7190</x:f>
        <x:v>3</x:v>
      </x:c>
      <x:c r="J7190" s="6" t="n">
        <x:f>IF(OR(E7190="CANCELED",E7190="SUSPECTED_FRAUD",F7190="Shipping canceled"),0,1)</x:f>
        <x:v>1</x:v>
      </x:c>
      <x:c r="K7190" s="6" t="n">
        <x:f>IF(G7190&gt;H7190,1,0)</x:f>
        <x:v>1</x:v>
      </x:c>
      <x:c r="L7190" s="6" t="n">
        <x:f>J7190*K7190</x:f>
        <x:v>1</x:v>
      </x:c>
    </x:row>
    <x:row r="7191">
      <x:c r="A7191" s="1" t="n">
        <x:v>56852</x:v>
      </x:c>
      <x:c r="B7191" s="5" t="d">
        <x:v>2017-04-09T00:00:00.000Z</x:v>
      </x:c>
      <x:c r="C7191" s="1" t="str">
        <x:v>Standard Class</x:v>
      </x:c>
      <x:c r="D7191" s="1" t="str">
        <x:v>LATAM</x:v>
      </x:c>
      <x:c r="E7191" s="1" t="str">
        <x:v>PENDING</x:v>
      </x:c>
      <x:c r="F7191" s="1" t="str">
        <x:v>Advance shipping</x:v>
      </x:c>
      <x:c r="G7191" s="6" t="n">
        <x:v>3</x:v>
      </x:c>
      <x:c r="H7191" s="6" t="n">
        <x:v>4</x:v>
      </x:c>
      <x:c r="I7191" s="6" t="n">
        <x:f>G7191-H7191</x:f>
        <x:v>-1</x:v>
      </x:c>
      <x:c r="J7191" s="6" t="n">
        <x:f>IF(OR(E7191="CANCELED",E7191="SUSPECTED_FRAUD",F7191="Shipping canceled"),0,1)</x:f>
        <x:v>1</x:v>
      </x:c>
      <x:c r="K7191" s="6" t="n">
        <x:f>IF(G7191&gt;H7191,1,0)</x:f>
        <x:v>0</x:v>
      </x:c>
      <x:c r="L7191" s="6" t="n">
        <x:f>J7191*K7191</x:f>
        <x:v>0</x:v>
      </x:c>
    </x:row>
    <x:row r="7192">
      <x:c r="A7192" s="1" t="n">
        <x:v>56854</x:v>
      </x:c>
      <x:c r="B7192" s="5" t="d">
        <x:v>2017-04-09T00:00:00.000Z</x:v>
      </x:c>
      <x:c r="C7192" s="1" t="str">
        <x:v>Second Class</x:v>
      </x:c>
      <x:c r="D7192" s="1" t="str">
        <x:v>LATAM</x:v>
      </x:c>
      <x:c r="E7192" s="1" t="str">
        <x:v>COMPLETE</x:v>
      </x:c>
      <x:c r="F7192" s="1" t="str">
        <x:v>Late delivery</x:v>
      </x:c>
      <x:c r="G7192" s="6" t="n">
        <x:v>5</x:v>
      </x:c>
      <x:c r="H7192" s="6" t="n">
        <x:v>2</x:v>
      </x:c>
      <x:c r="I7192" s="6" t="n">
        <x:f>G7192-H7192</x:f>
        <x:v>3</x:v>
      </x:c>
      <x:c r="J7192" s="6" t="n">
        <x:f>IF(OR(E7192="CANCELED",E7192="SUSPECTED_FRAUD",F7192="Shipping canceled"),0,1)</x:f>
        <x:v>1</x:v>
      </x:c>
      <x:c r="K7192" s="6" t="n">
        <x:f>IF(G7192&gt;H7192,1,0)</x:f>
        <x:v>1</x:v>
      </x:c>
      <x:c r="L7192" s="6" t="n">
        <x:f>J7192*K7192</x:f>
        <x:v>1</x:v>
      </x:c>
    </x:row>
    <x:row r="7193">
      <x:c r="A7193" s="1" t="n">
        <x:v>56859</x:v>
      </x:c>
      <x:c r="B7193" s="5" t="d">
        <x:v>2017-04-09T00:00:00.000Z</x:v>
      </x:c>
      <x:c r="C7193" s="1" t="str">
        <x:v>Standard Class</x:v>
      </x:c>
      <x:c r="D7193" s="1" t="str">
        <x:v>LATAM</x:v>
      </x:c>
      <x:c r="E7193" s="1" t="str">
        <x:v>ON_HOLD</x:v>
      </x:c>
      <x:c r="F7193" s="1" t="str">
        <x:v>Late delivery</x:v>
      </x:c>
      <x:c r="G7193" s="6" t="n">
        <x:v>5</x:v>
      </x:c>
      <x:c r="H7193" s="6" t="n">
        <x:v>4</x:v>
      </x:c>
      <x:c r="I7193" s="6" t="n">
        <x:f>G7193-H7193</x:f>
        <x:v>1</x:v>
      </x:c>
      <x:c r="J7193" s="6" t="n">
        <x:f>IF(OR(E7193="CANCELED",E7193="SUSPECTED_FRAUD",F7193="Shipping canceled"),0,1)</x:f>
        <x:v>1</x:v>
      </x:c>
      <x:c r="K7193" s="6" t="n">
        <x:f>IF(G7193&gt;H7193,1,0)</x:f>
        <x:v>1</x:v>
      </x:c>
      <x:c r="L7193" s="6" t="n">
        <x:f>J7193*K7193</x:f>
        <x:v>1</x:v>
      </x:c>
    </x:row>
    <x:row r="7194">
      <x:c r="A7194" s="1" t="n">
        <x:v>56861</x:v>
      </x:c>
      <x:c r="B7194" s="5" t="d">
        <x:v>2017-04-10T00:00:00.000Z</x:v>
      </x:c>
      <x:c r="C7194" s="1" t="str">
        <x:v>Standard Class</x:v>
      </x:c>
      <x:c r="D7194" s="1" t="str">
        <x:v>LATAM</x:v>
      </x:c>
      <x:c r="E7194" s="1" t="str">
        <x:v>COMPLETE</x:v>
      </x:c>
      <x:c r="F7194" s="1" t="str">
        <x:v>Advance shipping</x:v>
      </x:c>
      <x:c r="G7194" s="6" t="n">
        <x:v>2</x:v>
      </x:c>
      <x:c r="H7194" s="6" t="n">
        <x:v>4</x:v>
      </x:c>
      <x:c r="I7194" s="6" t="n">
        <x:f>G7194-H7194</x:f>
        <x:v>-2</x:v>
      </x:c>
      <x:c r="J7194" s="6" t="n">
        <x:f>IF(OR(E7194="CANCELED",E7194="SUSPECTED_FRAUD",F7194="Shipping canceled"),0,1)</x:f>
        <x:v>1</x:v>
      </x:c>
      <x:c r="K7194" s="6" t="n">
        <x:f>IF(G7194&gt;H7194,1,0)</x:f>
        <x:v>0</x:v>
      </x:c>
      <x:c r="L7194" s="6" t="n">
        <x:f>J7194*K7194</x:f>
        <x:v>0</x:v>
      </x:c>
    </x:row>
    <x:row r="7195">
      <x:c r="A7195" s="1" t="n">
        <x:v>56879</x:v>
      </x:c>
      <x:c r="B7195" s="5" t="d">
        <x:v>2017-04-10T00:00:00.000Z</x:v>
      </x:c>
      <x:c r="C7195" s="1" t="str">
        <x:v>Standard Class</x:v>
      </x:c>
      <x:c r="D7195" s="1" t="str">
        <x:v>LATAM</x:v>
      </x:c>
      <x:c r="E7195" s="1" t="str">
        <x:v>PENDING_PAYMENT</x:v>
      </x:c>
      <x:c r="F7195" s="1" t="str">
        <x:v>Late delivery</x:v>
      </x:c>
      <x:c r="G7195" s="6" t="n">
        <x:v>5</x:v>
      </x:c>
      <x:c r="H7195" s="6" t="n">
        <x:v>4</x:v>
      </x:c>
      <x:c r="I7195" s="6" t="n">
        <x:f>G7195-H7195</x:f>
        <x:v>1</x:v>
      </x:c>
      <x:c r="J7195" s="6" t="n">
        <x:f>IF(OR(E7195="CANCELED",E7195="SUSPECTED_FRAUD",F7195="Shipping canceled"),0,1)</x:f>
        <x:v>1</x:v>
      </x:c>
      <x:c r="K7195" s="6" t="n">
        <x:f>IF(G7195&gt;H7195,1,0)</x:f>
        <x:v>1</x:v>
      </x:c>
      <x:c r="L7195" s="6" t="n">
        <x:f>J7195*K7195</x:f>
        <x:v>1</x:v>
      </x:c>
    </x:row>
    <x:row r="7196">
      <x:c r="A7196" s="1" t="n">
        <x:v>56927</x:v>
      </x:c>
      <x:c r="B7196" s="5" t="d">
        <x:v>2017-04-10T00:00:00.000Z</x:v>
      </x:c>
      <x:c r="C7196" s="1" t="str">
        <x:v>Second Class</x:v>
      </x:c>
      <x:c r="D7196" s="1" t="str">
        <x:v>LATAM</x:v>
      </x:c>
      <x:c r="E7196" s="1" t="str">
        <x:v>COMPLETE</x:v>
      </x:c>
      <x:c r="F7196" s="1" t="str">
        <x:v>Late delivery</x:v>
      </x:c>
      <x:c r="G7196" s="6" t="n">
        <x:v>3</x:v>
      </x:c>
      <x:c r="H7196" s="6" t="n">
        <x:v>2</x:v>
      </x:c>
      <x:c r="I7196" s="6" t="n">
        <x:f>G7196-H7196</x:f>
        <x:v>1</x:v>
      </x:c>
      <x:c r="J7196" s="6" t="n">
        <x:f>IF(OR(E7196="CANCELED",E7196="SUSPECTED_FRAUD",F7196="Shipping canceled"),0,1)</x:f>
        <x:v>1</x:v>
      </x:c>
      <x:c r="K7196" s="6" t="n">
        <x:f>IF(G7196&gt;H7196,1,0)</x:f>
        <x:v>1</x:v>
      </x:c>
      <x:c r="L7196" s="6" t="n">
        <x:f>J7196*K7196</x:f>
        <x:v>1</x:v>
      </x:c>
    </x:row>
    <x:row r="7197">
      <x:c r="A7197" s="1" t="n">
        <x:v>56938</x:v>
      </x:c>
      <x:c r="B7197" s="5" t="d">
        <x:v>2017-04-11T00:00:00.000Z</x:v>
      </x:c>
      <x:c r="C7197" s="1" t="str">
        <x:v>Second Class</x:v>
      </x:c>
      <x:c r="D7197" s="1" t="str">
        <x:v>LATAM</x:v>
      </x:c>
      <x:c r="E7197" s="1" t="str">
        <x:v>CANCELED</x:v>
      </x:c>
      <x:c r="F7197" s="1" t="str">
        <x:v>Shipping canceled</x:v>
      </x:c>
      <x:c r="G7197" s="6" t="n">
        <x:v>4</x:v>
      </x:c>
      <x:c r="H7197" s="6" t="n">
        <x:v>2</x:v>
      </x:c>
      <x:c r="I7197" s="6" t="n">
        <x:f>G7197-H7197</x:f>
        <x:v>2</x:v>
      </x:c>
      <x:c r="J7197" s="6" t="n">
        <x:f>IF(OR(E7197="CANCELED",E7197="SUSPECTED_FRAUD",F7197="Shipping canceled"),0,1)</x:f>
        <x:v>0</x:v>
      </x:c>
      <x:c r="K7197" s="6" t="n">
        <x:f>IF(G7197&gt;H7197,1,0)</x:f>
        <x:v>1</x:v>
      </x:c>
      <x:c r="L7197" s="6" t="n">
        <x:f>J7197*K7197</x:f>
        <x:v>0</x:v>
      </x:c>
    </x:row>
    <x:row r="7198">
      <x:c r="A7198" s="1" t="n">
        <x:v>56954</x:v>
      </x:c>
      <x:c r="B7198" s="5" t="d">
        <x:v>2017-04-11T00:00:00.000Z</x:v>
      </x:c>
      <x:c r="C7198" s="1" t="str">
        <x:v>First Class</x:v>
      </x:c>
      <x:c r="D7198" s="1" t="str">
        <x:v>LATAM</x:v>
      </x:c>
      <x:c r="E7198" s="1" t="str">
        <x:v>CLOSED</x:v>
      </x:c>
      <x:c r="F7198" s="1" t="str">
        <x:v>Late delivery</x:v>
      </x:c>
      <x:c r="G7198" s="6" t="n">
        <x:v>2</x:v>
      </x:c>
      <x:c r="H7198" s="6" t="n">
        <x:v>1</x:v>
      </x:c>
      <x:c r="I7198" s="6" t="n">
        <x:f>G7198-H7198</x:f>
        <x:v>1</x:v>
      </x:c>
      <x:c r="J7198" s="6" t="n">
        <x:f>IF(OR(E7198="CANCELED",E7198="SUSPECTED_FRAUD",F7198="Shipping canceled"),0,1)</x:f>
        <x:v>1</x:v>
      </x:c>
      <x:c r="K7198" s="6" t="n">
        <x:f>IF(G7198&gt;H7198,1,0)</x:f>
        <x:v>1</x:v>
      </x:c>
      <x:c r="L7198" s="6" t="n">
        <x:f>J7198*K7198</x:f>
        <x:v>1</x:v>
      </x:c>
    </x:row>
    <x:row r="7199">
      <x:c r="A7199" s="1" t="n">
        <x:v>56956</x:v>
      </x:c>
      <x:c r="B7199" s="5" t="d">
        <x:v>2017-04-11T00:00:00.000Z</x:v>
      </x:c>
      <x:c r="C7199" s="1" t="str">
        <x:v>Standard Class</x:v>
      </x:c>
      <x:c r="D7199" s="1" t="str">
        <x:v>LATAM</x:v>
      </x:c>
      <x:c r="E7199" s="1" t="str">
        <x:v>COMPLETE</x:v>
      </x:c>
      <x:c r="F7199" s="1" t="str">
        <x:v>Advance shipping</x:v>
      </x:c>
      <x:c r="G7199" s="6" t="n">
        <x:v>2</x:v>
      </x:c>
      <x:c r="H7199" s="6" t="n">
        <x:v>4</x:v>
      </x:c>
      <x:c r="I7199" s="6" t="n">
        <x:f>G7199-H7199</x:f>
        <x:v>-2</x:v>
      </x:c>
      <x:c r="J7199" s="6" t="n">
        <x:f>IF(OR(E7199="CANCELED",E7199="SUSPECTED_FRAUD",F7199="Shipping canceled"),0,1)</x:f>
        <x:v>1</x:v>
      </x:c>
      <x:c r="K7199" s="6" t="n">
        <x:f>IF(G7199&gt;H7199,1,0)</x:f>
        <x:v>0</x:v>
      </x:c>
      <x:c r="L7199" s="6" t="n">
        <x:f>J7199*K7199</x:f>
        <x:v>0</x:v>
      </x:c>
    </x:row>
    <x:row r="7200">
      <x:c r="A7200" s="1" t="n">
        <x:v>56965</x:v>
      </x:c>
      <x:c r="B7200" s="5" t="d">
        <x:v>2017-04-11T00:00:00.000Z</x:v>
      </x:c>
      <x:c r="C7200" s="1" t="str">
        <x:v>Standard Class</x:v>
      </x:c>
      <x:c r="D7200" s="1" t="str">
        <x:v>LATAM</x:v>
      </x:c>
      <x:c r="E7200" s="1" t="str">
        <x:v>PENDING</x:v>
      </x:c>
      <x:c r="F7200" s="1" t="str">
        <x:v>Late delivery</x:v>
      </x:c>
      <x:c r="G7200" s="6" t="n">
        <x:v>6</x:v>
      </x:c>
      <x:c r="H7200" s="6" t="n">
        <x:v>4</x:v>
      </x:c>
      <x:c r="I7200" s="6" t="n">
        <x:f>G7200-H7200</x:f>
        <x:v>2</x:v>
      </x:c>
      <x:c r="J7200" s="6" t="n">
        <x:f>IF(OR(E7200="CANCELED",E7200="SUSPECTED_FRAUD",F7200="Shipping canceled"),0,1)</x:f>
        <x:v>1</x:v>
      </x:c>
      <x:c r="K7200" s="6" t="n">
        <x:f>IF(G7200&gt;H7200,1,0)</x:f>
        <x:v>1</x:v>
      </x:c>
      <x:c r="L7200" s="6" t="n">
        <x:f>J7200*K7200</x:f>
        <x:v>1</x:v>
      </x:c>
    </x:row>
    <x:row r="7201">
      <x:c r="A7201" s="1" t="n">
        <x:v>56973</x:v>
      </x:c>
      <x:c r="B7201" s="5" t="d">
        <x:v>2017-04-11T00:00:00.000Z</x:v>
      </x:c>
      <x:c r="C7201" s="1" t="str">
        <x:v>Second Class</x:v>
      </x:c>
      <x:c r="D7201" s="1" t="str">
        <x:v>LATAM</x:v>
      </x:c>
      <x:c r="E7201" s="1" t="str">
        <x:v>PENDING_PAYMENT</x:v>
      </x:c>
      <x:c r="F7201" s="1" t="str">
        <x:v>Late delivery</x:v>
      </x:c>
      <x:c r="G7201" s="6" t="n">
        <x:v>4</x:v>
      </x:c>
      <x:c r="H7201" s="6" t="n">
        <x:v>2</x:v>
      </x:c>
      <x:c r="I7201" s="6" t="n">
        <x:f>G7201-H7201</x:f>
        <x:v>2</x:v>
      </x:c>
      <x:c r="J7201" s="6" t="n">
        <x:f>IF(OR(E7201="CANCELED",E7201="SUSPECTED_FRAUD",F7201="Shipping canceled"),0,1)</x:f>
        <x:v>1</x:v>
      </x:c>
      <x:c r="K7201" s="6" t="n">
        <x:f>IF(G7201&gt;H7201,1,0)</x:f>
        <x:v>1</x:v>
      </x:c>
      <x:c r="L7201" s="6" t="n">
        <x:f>J7201*K7201</x:f>
        <x:v>1</x:v>
      </x:c>
    </x:row>
    <x:row r="7202">
      <x:c r="A7202" s="1" t="n">
        <x:v>56980</x:v>
      </x:c>
      <x:c r="B7202" s="5" t="d">
        <x:v>2017-04-11T00:00:00.000Z</x:v>
      </x:c>
      <x:c r="C7202" s="1" t="str">
        <x:v>Standard Class</x:v>
      </x:c>
      <x:c r="D7202" s="1" t="str">
        <x:v>LATAM</x:v>
      </x:c>
      <x:c r="E7202" s="1" t="str">
        <x:v>COMPLETE</x:v>
      </x:c>
      <x:c r="F7202" s="1" t="str">
        <x:v>Late delivery</x:v>
      </x:c>
      <x:c r="G7202" s="6" t="n">
        <x:v>6</x:v>
      </x:c>
      <x:c r="H7202" s="6" t="n">
        <x:v>4</x:v>
      </x:c>
      <x:c r="I7202" s="6" t="n">
        <x:f>G7202-H7202</x:f>
        <x:v>2</x:v>
      </x:c>
      <x:c r="J7202" s="6" t="n">
        <x:f>IF(OR(E7202="CANCELED",E7202="SUSPECTED_FRAUD",F7202="Shipping canceled"),0,1)</x:f>
        <x:v>1</x:v>
      </x:c>
      <x:c r="K7202" s="6" t="n">
        <x:f>IF(G7202&gt;H7202,1,0)</x:f>
        <x:v>1</x:v>
      </x:c>
      <x:c r="L7202" s="6" t="n">
        <x:f>J7202*K7202</x:f>
        <x:v>1</x:v>
      </x:c>
    </x:row>
    <x:row r="7203">
      <x:c r="A7203" s="1" t="n">
        <x:v>56981</x:v>
      </x:c>
      <x:c r="B7203" s="5" t="d">
        <x:v>2017-04-11T00:00:00.000Z</x:v>
      </x:c>
      <x:c r="C7203" s="1" t="str">
        <x:v>Standard Class</x:v>
      </x:c>
      <x:c r="D7203" s="1" t="str">
        <x:v>LATAM</x:v>
      </x:c>
      <x:c r="E7203" s="1" t="str">
        <x:v>PENDING_PAYMENT</x:v>
      </x:c>
      <x:c r="F7203" s="1" t="str">
        <x:v>Advance shipping</x:v>
      </x:c>
      <x:c r="G7203" s="6" t="n">
        <x:v>2</x:v>
      </x:c>
      <x:c r="H7203" s="6" t="n">
        <x:v>4</x:v>
      </x:c>
      <x:c r="I7203" s="6" t="n">
        <x:f>G7203-H7203</x:f>
        <x:v>-2</x:v>
      </x:c>
      <x:c r="J7203" s="6" t="n">
        <x:f>IF(OR(E7203="CANCELED",E7203="SUSPECTED_FRAUD",F7203="Shipping canceled"),0,1)</x:f>
        <x:v>1</x:v>
      </x:c>
      <x:c r="K7203" s="6" t="n">
        <x:f>IF(G7203&gt;H7203,1,0)</x:f>
        <x:v>0</x:v>
      </x:c>
      <x:c r="L7203" s="6" t="n">
        <x:f>J7203*K7203</x:f>
        <x:v>0</x:v>
      </x:c>
    </x:row>
    <x:row r="7204">
      <x:c r="A7204" s="1" t="n">
        <x:v>57019</x:v>
      </x:c>
      <x:c r="B7204" s="5" t="d">
        <x:v>2017-04-12T00:00:00.000Z</x:v>
      </x:c>
      <x:c r="C7204" s="1" t="str">
        <x:v>First Class</x:v>
      </x:c>
      <x:c r="D7204" s="1" t="str">
        <x:v>LATAM</x:v>
      </x:c>
      <x:c r="E7204" s="1" t="str">
        <x:v>PENDING_PAYMENT</x:v>
      </x:c>
      <x:c r="F7204" s="1" t="str">
        <x:v>Late delivery</x:v>
      </x:c>
      <x:c r="G7204" s="6" t="n">
        <x:v>2</x:v>
      </x:c>
      <x:c r="H7204" s="6" t="n">
        <x:v>1</x:v>
      </x:c>
      <x:c r="I7204" s="6" t="n">
        <x:f>G7204-H7204</x:f>
        <x:v>1</x:v>
      </x:c>
      <x:c r="J7204" s="6" t="n">
        <x:f>IF(OR(E7204="CANCELED",E7204="SUSPECTED_FRAUD",F7204="Shipping canceled"),0,1)</x:f>
        <x:v>1</x:v>
      </x:c>
      <x:c r="K7204" s="6" t="n">
        <x:f>IF(G7204&gt;H7204,1,0)</x:f>
        <x:v>1</x:v>
      </x:c>
      <x:c r="L7204" s="6" t="n">
        <x:f>J7204*K7204</x:f>
        <x:v>1</x:v>
      </x:c>
    </x:row>
    <x:row r="7205">
      <x:c r="A7205" s="1" t="n">
        <x:v>57022</x:v>
      </x:c>
      <x:c r="B7205" s="5" t="d">
        <x:v>2017-04-12T00:00:00.000Z</x:v>
      </x:c>
      <x:c r="C7205" s="1" t="str">
        <x:v>Standard Class</x:v>
      </x:c>
      <x:c r="D7205" s="1" t="str">
        <x:v>LATAM</x:v>
      </x:c>
      <x:c r="E7205" s="1" t="str">
        <x:v>PENDING_PAYMENT</x:v>
      </x:c>
      <x:c r="F7205" s="1" t="str">
        <x:v>Advance shipping</x:v>
      </x:c>
      <x:c r="G7205" s="6" t="n">
        <x:v>3</x:v>
      </x:c>
      <x:c r="H7205" s="6" t="n">
        <x:v>4</x:v>
      </x:c>
      <x:c r="I7205" s="6" t="n">
        <x:f>G7205-H7205</x:f>
        <x:v>-1</x:v>
      </x:c>
      <x:c r="J7205" s="6" t="n">
        <x:f>IF(OR(E7205="CANCELED",E7205="SUSPECTED_FRAUD",F7205="Shipping canceled"),0,1)</x:f>
        <x:v>1</x:v>
      </x:c>
      <x:c r="K7205" s="6" t="n">
        <x:f>IF(G7205&gt;H7205,1,0)</x:f>
        <x:v>0</x:v>
      </x:c>
      <x:c r="L7205" s="6" t="n">
        <x:f>J7205*K7205</x:f>
        <x:v>0</x:v>
      </x:c>
    </x:row>
    <x:row r="7206">
      <x:c r="A7206" s="1" t="n">
        <x:v>57032</x:v>
      </x:c>
      <x:c r="B7206" s="5" t="d">
        <x:v>2017-04-12T00:00:00.000Z</x:v>
      </x:c>
      <x:c r="C7206" s="1" t="str">
        <x:v>Standard Class</x:v>
      </x:c>
      <x:c r="D7206" s="1" t="str">
        <x:v>LATAM</x:v>
      </x:c>
      <x:c r="E7206" s="1" t="str">
        <x:v>PROCESSING</x:v>
      </x:c>
      <x:c r="F7206" s="1" t="str">
        <x:v>Advance shipping</x:v>
      </x:c>
      <x:c r="G7206" s="6" t="n">
        <x:v>3</x:v>
      </x:c>
      <x:c r="H7206" s="6" t="n">
        <x:v>4</x:v>
      </x:c>
      <x:c r="I7206" s="6" t="n">
        <x:f>G7206-H7206</x:f>
        <x:v>-1</x:v>
      </x:c>
      <x:c r="J7206" s="6" t="n">
        <x:f>IF(OR(E7206="CANCELED",E7206="SUSPECTED_FRAUD",F7206="Shipping canceled"),0,1)</x:f>
        <x:v>1</x:v>
      </x:c>
      <x:c r="K7206" s="6" t="n">
        <x:f>IF(G7206&gt;H7206,1,0)</x:f>
        <x:v>0</x:v>
      </x:c>
      <x:c r="L7206" s="6" t="n">
        <x:f>J7206*K7206</x:f>
        <x:v>0</x:v>
      </x:c>
    </x:row>
    <x:row r="7207">
      <x:c r="A7207" s="1" t="n">
        <x:v>57039</x:v>
      </x:c>
      <x:c r="B7207" s="5" t="d">
        <x:v>2017-04-12T00:00:00.000Z</x:v>
      </x:c>
      <x:c r="C7207" s="1" t="str">
        <x:v>Standard Class</x:v>
      </x:c>
      <x:c r="D7207" s="1" t="str">
        <x:v>LATAM</x:v>
      </x:c>
      <x:c r="E7207" s="1" t="str">
        <x:v>PENDING</x:v>
      </x:c>
      <x:c r="F7207" s="1" t="str">
        <x:v>Late delivery</x:v>
      </x:c>
      <x:c r="G7207" s="6" t="n">
        <x:v>5</x:v>
      </x:c>
      <x:c r="H7207" s="6" t="n">
        <x:v>4</x:v>
      </x:c>
      <x:c r="I7207" s="6" t="n">
        <x:f>G7207-H7207</x:f>
        <x:v>1</x:v>
      </x:c>
      <x:c r="J7207" s="6" t="n">
        <x:f>IF(OR(E7207="CANCELED",E7207="SUSPECTED_FRAUD",F7207="Shipping canceled"),0,1)</x:f>
        <x:v>1</x:v>
      </x:c>
      <x:c r="K7207" s="6" t="n">
        <x:f>IF(G7207&gt;H7207,1,0)</x:f>
        <x:v>1</x:v>
      </x:c>
      <x:c r="L7207" s="6" t="n">
        <x:f>J7207*K7207</x:f>
        <x:v>1</x:v>
      </x:c>
    </x:row>
    <x:row r="7208">
      <x:c r="A7208" s="1" t="n">
        <x:v>57041</x:v>
      </x:c>
      <x:c r="B7208" s="5" t="d">
        <x:v>2017-04-12T00:00:00.000Z</x:v>
      </x:c>
      <x:c r="C7208" s="1" t="str">
        <x:v>Same Day</x:v>
      </x:c>
      <x:c r="D7208" s="1" t="str">
        <x:v>LATAM</x:v>
      </x:c>
      <x:c r="E7208" s="1" t="str">
        <x:v>PROCESSING</x:v>
      </x:c>
      <x:c r="F7208" s="1" t="str">
        <x:v>Late delivery</x:v>
      </x:c>
      <x:c r="G7208" s="6" t="n">
        <x:v>1</x:v>
      </x:c>
      <x:c r="H7208" s="6" t="n">
        <x:v>0</x:v>
      </x:c>
      <x:c r="I7208" s="6" t="n">
        <x:f>G7208-H7208</x:f>
        <x:v>1</x:v>
      </x:c>
      <x:c r="J7208" s="6" t="n">
        <x:f>IF(OR(E7208="CANCELED",E7208="SUSPECTED_FRAUD",F7208="Shipping canceled"),0,1)</x:f>
        <x:v>1</x:v>
      </x:c>
      <x:c r="K7208" s="6" t="n">
        <x:f>IF(G7208&gt;H7208,1,0)</x:f>
        <x:v>1</x:v>
      </x:c>
      <x:c r="L7208" s="6" t="n">
        <x:f>J7208*K7208</x:f>
        <x:v>1</x:v>
      </x:c>
    </x:row>
    <x:row r="7209">
      <x:c r="A7209" s="1" t="n">
        <x:v>57058</x:v>
      </x:c>
      <x:c r="B7209" s="5" t="d">
        <x:v>2017-04-12T00:00:00.000Z</x:v>
      </x:c>
      <x:c r="C7209" s="1" t="str">
        <x:v>Standard Class</x:v>
      </x:c>
      <x:c r="D7209" s="1" t="str">
        <x:v>LATAM</x:v>
      </x:c>
      <x:c r="E7209" s="1" t="str">
        <x:v>PROCESSING</x:v>
      </x:c>
      <x:c r="F7209" s="1" t="str">
        <x:v>Shipping on time</x:v>
      </x:c>
      <x:c r="G7209" s="6" t="n">
        <x:v>4</x:v>
      </x:c>
      <x:c r="H7209" s="6" t="n">
        <x:v>4</x:v>
      </x:c>
      <x:c r="I7209" s="6" t="n">
        <x:f>G7209-H7209</x:f>
        <x:v>0</x:v>
      </x:c>
      <x:c r="J7209" s="6" t="n">
        <x:f>IF(OR(E7209="CANCELED",E7209="SUSPECTED_FRAUD",F7209="Shipping canceled"),0,1)</x:f>
        <x:v>1</x:v>
      </x:c>
      <x:c r="K7209" s="6" t="n">
        <x:f>IF(G7209&gt;H7209,1,0)</x:f>
        <x:v>0</x:v>
      </x:c>
      <x:c r="L7209" s="6" t="n">
        <x:f>J7209*K7209</x:f>
        <x:v>0</x:v>
      </x:c>
    </x:row>
    <x:row r="7210">
      <x:c r="A7210" s="1" t="n">
        <x:v>57063</x:v>
      </x:c>
      <x:c r="B7210" s="5" t="d">
        <x:v>2017-04-12T00:00:00.000Z</x:v>
      </x:c>
      <x:c r="C7210" s="1" t="str">
        <x:v>Standard Class</x:v>
      </x:c>
      <x:c r="D7210" s="1" t="str">
        <x:v>LATAM</x:v>
      </x:c>
      <x:c r="E7210" s="1" t="str">
        <x:v>COMPLETE</x:v>
      </x:c>
      <x:c r="F7210" s="1" t="str">
        <x:v>Shipping on time</x:v>
      </x:c>
      <x:c r="G7210" s="6" t="n">
        <x:v>4</x:v>
      </x:c>
      <x:c r="H7210" s="6" t="n">
        <x:v>4</x:v>
      </x:c>
      <x:c r="I7210" s="6" t="n">
        <x:f>G7210-H7210</x:f>
        <x:v>0</x:v>
      </x:c>
      <x:c r="J7210" s="6" t="n">
        <x:f>IF(OR(E7210="CANCELED",E7210="SUSPECTED_FRAUD",F7210="Shipping canceled"),0,1)</x:f>
        <x:v>1</x:v>
      </x:c>
      <x:c r="K7210" s="6" t="n">
        <x:f>IF(G7210&gt;H7210,1,0)</x:f>
        <x:v>0</x:v>
      </x:c>
      <x:c r="L7210" s="6" t="n">
        <x:f>J7210*K7210</x:f>
        <x:v>0</x:v>
      </x:c>
    </x:row>
    <x:row r="7211">
      <x:c r="A7211" s="1" t="n">
        <x:v>57087</x:v>
      </x:c>
      <x:c r="B7211" s="5" t="d">
        <x:v>2017-04-13T00:00:00.000Z</x:v>
      </x:c>
      <x:c r="C7211" s="1" t="str">
        <x:v>Standard Class</x:v>
      </x:c>
      <x:c r="D7211" s="1" t="str">
        <x:v>LATAM</x:v>
      </x:c>
      <x:c r="E7211" s="1" t="str">
        <x:v>COMPLETE</x:v>
      </x:c>
      <x:c r="F7211" s="1" t="str">
        <x:v>Advance shipping</x:v>
      </x:c>
      <x:c r="G7211" s="6" t="n">
        <x:v>3</x:v>
      </x:c>
      <x:c r="H7211" s="6" t="n">
        <x:v>4</x:v>
      </x:c>
      <x:c r="I7211" s="6" t="n">
        <x:f>G7211-H7211</x:f>
        <x:v>-1</x:v>
      </x:c>
      <x:c r="J7211" s="6" t="n">
        <x:f>IF(OR(E7211="CANCELED",E7211="SUSPECTED_FRAUD",F7211="Shipping canceled"),0,1)</x:f>
        <x:v>1</x:v>
      </x:c>
      <x:c r="K7211" s="6" t="n">
        <x:f>IF(G7211&gt;H7211,1,0)</x:f>
        <x:v>0</x:v>
      </x:c>
      <x:c r="L7211" s="6" t="n">
        <x:f>J7211*K7211</x:f>
        <x:v>0</x:v>
      </x:c>
    </x:row>
    <x:row r="7212">
      <x:c r="A7212" s="1" t="n">
        <x:v>57101</x:v>
      </x:c>
      <x:c r="B7212" s="5" t="d">
        <x:v>2017-04-13T00:00:00.000Z</x:v>
      </x:c>
      <x:c r="C7212" s="1" t="str">
        <x:v>Standard Class</x:v>
      </x:c>
      <x:c r="D7212" s="1" t="str">
        <x:v>LATAM</x:v>
      </x:c>
      <x:c r="E7212" s="1" t="str">
        <x:v>PROCESSING</x:v>
      </x:c>
      <x:c r="F7212" s="1" t="str">
        <x:v>Advance shipping</x:v>
      </x:c>
      <x:c r="G7212" s="6" t="n">
        <x:v>2</x:v>
      </x:c>
      <x:c r="H7212" s="6" t="n">
        <x:v>4</x:v>
      </x:c>
      <x:c r="I7212" s="6" t="n">
        <x:f>G7212-H7212</x:f>
        <x:v>-2</x:v>
      </x:c>
      <x:c r="J7212" s="6" t="n">
        <x:f>IF(OR(E7212="CANCELED",E7212="SUSPECTED_FRAUD",F7212="Shipping canceled"),0,1)</x:f>
        <x:v>1</x:v>
      </x:c>
      <x:c r="K7212" s="6" t="n">
        <x:f>IF(G7212&gt;H7212,1,0)</x:f>
        <x:v>0</x:v>
      </x:c>
      <x:c r="L7212" s="6" t="n">
        <x:f>J7212*K7212</x:f>
        <x:v>0</x:v>
      </x:c>
    </x:row>
    <x:row r="7213">
      <x:c r="A7213" s="1" t="n">
        <x:v>57106</x:v>
      </x:c>
      <x:c r="B7213" s="5" t="d">
        <x:v>2017-04-13T00:00:00.000Z</x:v>
      </x:c>
      <x:c r="C7213" s="1" t="str">
        <x:v>Standard Class</x:v>
      </x:c>
      <x:c r="D7213" s="1" t="str">
        <x:v>LATAM</x:v>
      </x:c>
      <x:c r="E7213" s="1" t="str">
        <x:v>PENDING</x:v>
      </x:c>
      <x:c r="F7213" s="1" t="str">
        <x:v>Advance shipping</x:v>
      </x:c>
      <x:c r="G7213" s="6" t="n">
        <x:v>2</x:v>
      </x:c>
      <x:c r="H7213" s="6" t="n">
        <x:v>4</x:v>
      </x:c>
      <x:c r="I7213" s="6" t="n">
        <x:f>G7213-H7213</x:f>
        <x:v>-2</x:v>
      </x:c>
      <x:c r="J7213" s="6" t="n">
        <x:f>IF(OR(E7213="CANCELED",E7213="SUSPECTED_FRAUD",F7213="Shipping canceled"),0,1)</x:f>
        <x:v>1</x:v>
      </x:c>
      <x:c r="K7213" s="6" t="n">
        <x:f>IF(G7213&gt;H7213,1,0)</x:f>
        <x:v>0</x:v>
      </x:c>
      <x:c r="L7213" s="6" t="n">
        <x:f>J7213*K7213</x:f>
        <x:v>0</x:v>
      </x:c>
    </x:row>
    <x:row r="7214">
      <x:c r="A7214" s="1" t="n">
        <x:v>57128</x:v>
      </x:c>
      <x:c r="B7214" s="5" t="d">
        <x:v>2017-04-13T00:00:00.000Z</x:v>
      </x:c>
      <x:c r="C7214" s="1" t="str">
        <x:v>Standard Class</x:v>
      </x:c>
      <x:c r="D7214" s="1" t="str">
        <x:v>LATAM</x:v>
      </x:c>
      <x:c r="E7214" s="1" t="str">
        <x:v>PROCESSING</x:v>
      </x:c>
      <x:c r="F7214" s="1" t="str">
        <x:v>Shipping on time</x:v>
      </x:c>
      <x:c r="G7214" s="6" t="n">
        <x:v>4</x:v>
      </x:c>
      <x:c r="H7214" s="6" t="n">
        <x:v>4</x:v>
      </x:c>
      <x:c r="I7214" s="6" t="n">
        <x:f>G7214-H7214</x:f>
        <x:v>0</x:v>
      </x:c>
      <x:c r="J7214" s="6" t="n">
        <x:f>IF(OR(E7214="CANCELED",E7214="SUSPECTED_FRAUD",F7214="Shipping canceled"),0,1)</x:f>
        <x:v>1</x:v>
      </x:c>
      <x:c r="K7214" s="6" t="n">
        <x:f>IF(G7214&gt;H7214,1,0)</x:f>
        <x:v>0</x:v>
      </x:c>
      <x:c r="L7214" s="6" t="n">
        <x:f>J7214*K7214</x:f>
        <x:v>0</x:v>
      </x:c>
    </x:row>
    <x:row r="7215">
      <x:c r="A7215" s="1" t="n">
        <x:v>57129</x:v>
      </x:c>
      <x:c r="B7215" s="5" t="d">
        <x:v>2017-04-13T00:00:00.000Z</x:v>
      </x:c>
      <x:c r="C7215" s="1" t="str">
        <x:v>Standard Class</x:v>
      </x:c>
      <x:c r="D7215" s="1" t="str">
        <x:v>LATAM</x:v>
      </x:c>
      <x:c r="E7215" s="1" t="str">
        <x:v>PENDING_PAYMENT</x:v>
      </x:c>
      <x:c r="F7215" s="1" t="str">
        <x:v>Late delivery</x:v>
      </x:c>
      <x:c r="G7215" s="6" t="n">
        <x:v>5</x:v>
      </x:c>
      <x:c r="H7215" s="6" t="n">
        <x:v>4</x:v>
      </x:c>
      <x:c r="I7215" s="6" t="n">
        <x:f>G7215-H7215</x:f>
        <x:v>1</x:v>
      </x:c>
      <x:c r="J7215" s="6" t="n">
        <x:f>IF(OR(E7215="CANCELED",E7215="SUSPECTED_FRAUD",F7215="Shipping canceled"),0,1)</x:f>
        <x:v>1</x:v>
      </x:c>
      <x:c r="K7215" s="6" t="n">
        <x:f>IF(G7215&gt;H7215,1,0)</x:f>
        <x:v>1</x:v>
      </x:c>
      <x:c r="L7215" s="6" t="n">
        <x:f>J7215*K7215</x:f>
        <x:v>1</x:v>
      </x:c>
    </x:row>
    <x:row r="7216">
      <x:c r="A7216" s="1" t="n">
        <x:v>57135</x:v>
      </x:c>
      <x:c r="B7216" s="5" t="d">
        <x:v>2017-04-14T00:00:00.000Z</x:v>
      </x:c>
      <x:c r="C7216" s="1" t="str">
        <x:v>Standard Class</x:v>
      </x:c>
      <x:c r="D7216" s="1" t="str">
        <x:v>LATAM</x:v>
      </x:c>
      <x:c r="E7216" s="1" t="str">
        <x:v>COMPLETE</x:v>
      </x:c>
      <x:c r="F7216" s="1" t="str">
        <x:v>Late delivery</x:v>
      </x:c>
      <x:c r="G7216" s="6" t="n">
        <x:v>6</x:v>
      </x:c>
      <x:c r="H7216" s="6" t="n">
        <x:v>4</x:v>
      </x:c>
      <x:c r="I7216" s="6" t="n">
        <x:f>G7216-H7216</x:f>
        <x:v>2</x:v>
      </x:c>
      <x:c r="J7216" s="6" t="n">
        <x:f>IF(OR(E7216="CANCELED",E7216="SUSPECTED_FRAUD",F7216="Shipping canceled"),0,1)</x:f>
        <x:v>1</x:v>
      </x:c>
      <x:c r="K7216" s="6" t="n">
        <x:f>IF(G7216&gt;H7216,1,0)</x:f>
        <x:v>1</x:v>
      </x:c>
      <x:c r="L7216" s="6" t="n">
        <x:f>J7216*K7216</x:f>
        <x:v>1</x:v>
      </x:c>
    </x:row>
    <x:row r="7217">
      <x:c r="A7217" s="1" t="n">
        <x:v>57152</x:v>
      </x:c>
      <x:c r="B7217" s="5" t="d">
        <x:v>2017-04-14T00:00:00.000Z</x:v>
      </x:c>
      <x:c r="C7217" s="1" t="str">
        <x:v>Standard Class</x:v>
      </x:c>
      <x:c r="D7217" s="1" t="str">
        <x:v>LATAM</x:v>
      </x:c>
      <x:c r="E7217" s="1" t="str">
        <x:v>PROCESSING</x:v>
      </x:c>
      <x:c r="F7217" s="1" t="str">
        <x:v>Advance shipping</x:v>
      </x:c>
      <x:c r="G7217" s="6" t="n">
        <x:v>3</x:v>
      </x:c>
      <x:c r="H7217" s="6" t="n">
        <x:v>4</x:v>
      </x:c>
      <x:c r="I7217" s="6" t="n">
        <x:f>G7217-H7217</x:f>
        <x:v>-1</x:v>
      </x:c>
      <x:c r="J7217" s="6" t="n">
        <x:f>IF(OR(E7217="CANCELED",E7217="SUSPECTED_FRAUD",F7217="Shipping canceled"),0,1)</x:f>
        <x:v>1</x:v>
      </x:c>
      <x:c r="K7217" s="6" t="n">
        <x:f>IF(G7217&gt;H7217,1,0)</x:f>
        <x:v>0</x:v>
      </x:c>
      <x:c r="L7217" s="6" t="n">
        <x:f>J7217*K7217</x:f>
        <x:v>0</x:v>
      </x:c>
    </x:row>
    <x:row r="7218">
      <x:c r="A7218" s="1" t="n">
        <x:v>57156</x:v>
      </x:c>
      <x:c r="B7218" s="5" t="d">
        <x:v>2017-04-14T00:00:00.000Z</x:v>
      </x:c>
      <x:c r="C7218" s="1" t="str">
        <x:v>Standard Class</x:v>
      </x:c>
      <x:c r="D7218" s="1" t="str">
        <x:v>LATAM</x:v>
      </x:c>
      <x:c r="E7218" s="1" t="str">
        <x:v>ON_HOLD</x:v>
      </x:c>
      <x:c r="F7218" s="1" t="str">
        <x:v>Advance shipping</x:v>
      </x:c>
      <x:c r="G7218" s="6" t="n">
        <x:v>2</x:v>
      </x:c>
      <x:c r="H7218" s="6" t="n">
        <x:v>4</x:v>
      </x:c>
      <x:c r="I7218" s="6" t="n">
        <x:f>G7218-H7218</x:f>
        <x:v>-2</x:v>
      </x:c>
      <x:c r="J7218" s="6" t="n">
        <x:f>IF(OR(E7218="CANCELED",E7218="SUSPECTED_FRAUD",F7218="Shipping canceled"),0,1)</x:f>
        <x:v>1</x:v>
      </x:c>
      <x:c r="K7218" s="6" t="n">
        <x:f>IF(G7218&gt;H7218,1,0)</x:f>
        <x:v>0</x:v>
      </x:c>
      <x:c r="L7218" s="6" t="n">
        <x:f>J7218*K7218</x:f>
        <x:v>0</x:v>
      </x:c>
    </x:row>
    <x:row r="7219">
      <x:c r="A7219" s="1" t="n">
        <x:v>57168</x:v>
      </x:c>
      <x:c r="B7219" s="5" t="d">
        <x:v>2017-04-14T00:00:00.000Z</x:v>
      </x:c>
      <x:c r="C7219" s="1" t="str">
        <x:v>Second Class</x:v>
      </x:c>
      <x:c r="D7219" s="1" t="str">
        <x:v>LATAM</x:v>
      </x:c>
      <x:c r="E7219" s="1" t="str">
        <x:v>COMPLETE</x:v>
      </x:c>
      <x:c r="F7219" s="1" t="str">
        <x:v>Late delivery</x:v>
      </x:c>
      <x:c r="G7219" s="6" t="n">
        <x:v>4</x:v>
      </x:c>
      <x:c r="H7219" s="6" t="n">
        <x:v>2</x:v>
      </x:c>
      <x:c r="I7219" s="6" t="n">
        <x:f>G7219-H7219</x:f>
        <x:v>2</x:v>
      </x:c>
      <x:c r="J7219" s="6" t="n">
        <x:f>IF(OR(E7219="CANCELED",E7219="SUSPECTED_FRAUD",F7219="Shipping canceled"),0,1)</x:f>
        <x:v>1</x:v>
      </x:c>
      <x:c r="K7219" s="6" t="n">
        <x:f>IF(G7219&gt;H7219,1,0)</x:f>
        <x:v>1</x:v>
      </x:c>
      <x:c r="L7219" s="6" t="n">
        <x:f>J7219*K7219</x:f>
        <x:v>1</x:v>
      </x:c>
    </x:row>
    <x:row r="7220">
      <x:c r="A7220" s="1" t="n">
        <x:v>57169</x:v>
      </x:c>
      <x:c r="B7220" s="5" t="d">
        <x:v>2017-04-14T00:00:00.000Z</x:v>
      </x:c>
      <x:c r="C7220" s="1" t="str">
        <x:v>Standard Class</x:v>
      </x:c>
      <x:c r="D7220" s="1" t="str">
        <x:v>LATAM</x:v>
      </x:c>
      <x:c r="E7220" s="1" t="str">
        <x:v>COMPLETE</x:v>
      </x:c>
      <x:c r="F7220" s="1" t="str">
        <x:v>Late delivery</x:v>
      </x:c>
      <x:c r="G7220" s="6" t="n">
        <x:v>5</x:v>
      </x:c>
      <x:c r="H7220" s="6" t="n">
        <x:v>4</x:v>
      </x:c>
      <x:c r="I7220" s="6" t="n">
        <x:f>G7220-H7220</x:f>
        <x:v>1</x:v>
      </x:c>
      <x:c r="J7220" s="6" t="n">
        <x:f>IF(OR(E7220="CANCELED",E7220="SUSPECTED_FRAUD",F7220="Shipping canceled"),0,1)</x:f>
        <x:v>1</x:v>
      </x:c>
      <x:c r="K7220" s="6" t="n">
        <x:f>IF(G7220&gt;H7220,1,0)</x:f>
        <x:v>1</x:v>
      </x:c>
      <x:c r="L7220" s="6" t="n">
        <x:f>J7220*K7220</x:f>
        <x:v>1</x:v>
      </x:c>
    </x:row>
    <x:row r="7221">
      <x:c r="A7221" s="1" t="n">
        <x:v>57170</x:v>
      </x:c>
      <x:c r="B7221" s="5" t="d">
        <x:v>2017-04-14T00:00:00.000Z</x:v>
      </x:c>
      <x:c r="C7221" s="1" t="str">
        <x:v>Standard Class</x:v>
      </x:c>
      <x:c r="D7221" s="1" t="str">
        <x:v>LATAM</x:v>
      </x:c>
      <x:c r="E7221" s="1" t="str">
        <x:v>CLOSED</x:v>
      </x:c>
      <x:c r="F7221" s="1" t="str">
        <x:v>Late delivery</x:v>
      </x:c>
      <x:c r="G7221" s="6" t="n">
        <x:v>6</x:v>
      </x:c>
      <x:c r="H7221" s="6" t="n">
        <x:v>4</x:v>
      </x:c>
      <x:c r="I7221" s="6" t="n">
        <x:f>G7221-H7221</x:f>
        <x:v>2</x:v>
      </x:c>
      <x:c r="J7221" s="6" t="n">
        <x:f>IF(OR(E7221="CANCELED",E7221="SUSPECTED_FRAUD",F7221="Shipping canceled"),0,1)</x:f>
        <x:v>1</x:v>
      </x:c>
      <x:c r="K7221" s="6" t="n">
        <x:f>IF(G7221&gt;H7221,1,0)</x:f>
        <x:v>1</x:v>
      </x:c>
      <x:c r="L7221" s="6" t="n">
        <x:f>J7221*K7221</x:f>
        <x:v>1</x:v>
      </x:c>
    </x:row>
    <x:row r="7222">
      <x:c r="A7222" s="1" t="n">
        <x:v>57172</x:v>
      </x:c>
      <x:c r="B7222" s="5" t="d">
        <x:v>2017-04-14T00:00:00.000Z</x:v>
      </x:c>
      <x:c r="C7222" s="1" t="str">
        <x:v>Standard Class</x:v>
      </x:c>
      <x:c r="D7222" s="1" t="str">
        <x:v>LATAM</x:v>
      </x:c>
      <x:c r="E7222" s="1" t="str">
        <x:v>COMPLETE</x:v>
      </x:c>
      <x:c r="F7222" s="1" t="str">
        <x:v>Advance shipping</x:v>
      </x:c>
      <x:c r="G7222" s="6" t="n">
        <x:v>3</x:v>
      </x:c>
      <x:c r="H7222" s="6" t="n">
        <x:v>4</x:v>
      </x:c>
      <x:c r="I7222" s="6" t="n">
        <x:f>G7222-H7222</x:f>
        <x:v>-1</x:v>
      </x:c>
      <x:c r="J7222" s="6" t="n">
        <x:f>IF(OR(E7222="CANCELED",E7222="SUSPECTED_FRAUD",F7222="Shipping canceled"),0,1)</x:f>
        <x:v>1</x:v>
      </x:c>
      <x:c r="K7222" s="6" t="n">
        <x:f>IF(G7222&gt;H7222,1,0)</x:f>
        <x:v>0</x:v>
      </x:c>
      <x:c r="L7222" s="6" t="n">
        <x:f>J7222*K7222</x:f>
        <x:v>0</x:v>
      </x:c>
    </x:row>
    <x:row r="7223">
      <x:c r="A7223" s="1" t="n">
        <x:v>57176</x:v>
      </x:c>
      <x:c r="B7223" s="5" t="d">
        <x:v>2017-04-14T00:00:00.000Z</x:v>
      </x:c>
      <x:c r="C7223" s="1" t="str">
        <x:v>Second Class</x:v>
      </x:c>
      <x:c r="D7223" s="1" t="str">
        <x:v>LATAM</x:v>
      </x:c>
      <x:c r="E7223" s="1" t="str">
        <x:v>PROCESSING</x:v>
      </x:c>
      <x:c r="F7223" s="1" t="str">
        <x:v>Shipping on time</x:v>
      </x:c>
      <x:c r="G7223" s="6" t="n">
        <x:v>2</x:v>
      </x:c>
      <x:c r="H7223" s="6" t="n">
        <x:v>2</x:v>
      </x:c>
      <x:c r="I7223" s="6" t="n">
        <x:f>G7223-H7223</x:f>
        <x:v>0</x:v>
      </x:c>
      <x:c r="J7223" s="6" t="n">
        <x:f>IF(OR(E7223="CANCELED",E7223="SUSPECTED_FRAUD",F7223="Shipping canceled"),0,1)</x:f>
        <x:v>1</x:v>
      </x:c>
      <x:c r="K7223" s="6" t="n">
        <x:f>IF(G7223&gt;H7223,1,0)</x:f>
        <x:v>0</x:v>
      </x:c>
      <x:c r="L7223" s="6" t="n">
        <x:f>J7223*K7223</x:f>
        <x:v>0</x:v>
      </x:c>
    </x:row>
    <x:row r="7224">
      <x:c r="A7224" s="1" t="n">
        <x:v>57185</x:v>
      </x:c>
      <x:c r="B7224" s="5" t="d">
        <x:v>2017-04-14T00:00:00.000Z</x:v>
      </x:c>
      <x:c r="C7224" s="1" t="str">
        <x:v>Standard Class</x:v>
      </x:c>
      <x:c r="D7224" s="1" t="str">
        <x:v>LATAM</x:v>
      </x:c>
      <x:c r="E7224" s="1" t="str">
        <x:v>PROCESSING</x:v>
      </x:c>
      <x:c r="F7224" s="1" t="str">
        <x:v>Late delivery</x:v>
      </x:c>
      <x:c r="G7224" s="6" t="n">
        <x:v>6</x:v>
      </x:c>
      <x:c r="H7224" s="6" t="n">
        <x:v>4</x:v>
      </x:c>
      <x:c r="I7224" s="6" t="n">
        <x:f>G7224-H7224</x:f>
        <x:v>2</x:v>
      </x:c>
      <x:c r="J7224" s="6" t="n">
        <x:f>IF(OR(E7224="CANCELED",E7224="SUSPECTED_FRAUD",F7224="Shipping canceled"),0,1)</x:f>
        <x:v>1</x:v>
      </x:c>
      <x:c r="K7224" s="6" t="n">
        <x:f>IF(G7224&gt;H7224,1,0)</x:f>
        <x:v>1</x:v>
      </x:c>
      <x:c r="L7224" s="6" t="n">
        <x:f>J7224*K7224</x:f>
        <x:v>1</x:v>
      </x:c>
    </x:row>
    <x:row r="7225">
      <x:c r="A7225" s="1" t="n">
        <x:v>57187</x:v>
      </x:c>
      <x:c r="B7225" s="5" t="d">
        <x:v>2017-04-14T00:00:00.000Z</x:v>
      </x:c>
      <x:c r="C7225" s="1" t="str">
        <x:v>Standard Class</x:v>
      </x:c>
      <x:c r="D7225" s="1" t="str">
        <x:v>LATAM</x:v>
      </x:c>
      <x:c r="E7225" s="1" t="str">
        <x:v>COMPLETE</x:v>
      </x:c>
      <x:c r="F7225" s="1" t="str">
        <x:v>Advance shipping</x:v>
      </x:c>
      <x:c r="G7225" s="6" t="n">
        <x:v>3</x:v>
      </x:c>
      <x:c r="H7225" s="6" t="n">
        <x:v>4</x:v>
      </x:c>
      <x:c r="I7225" s="6" t="n">
        <x:f>G7225-H7225</x:f>
        <x:v>-1</x:v>
      </x:c>
      <x:c r="J7225" s="6" t="n">
        <x:f>IF(OR(E7225="CANCELED",E7225="SUSPECTED_FRAUD",F7225="Shipping canceled"),0,1)</x:f>
        <x:v>1</x:v>
      </x:c>
      <x:c r="K7225" s="6" t="n">
        <x:f>IF(G7225&gt;H7225,1,0)</x:f>
        <x:v>0</x:v>
      </x:c>
      <x:c r="L7225" s="6" t="n">
        <x:f>J7225*K7225</x:f>
        <x:v>0</x:v>
      </x:c>
    </x:row>
    <x:row r="7226">
      <x:c r="A7226" s="1" t="n">
        <x:v>57203</x:v>
      </x:c>
      <x:c r="B7226" s="5" t="d">
        <x:v>2017-04-15T00:00:00.000Z</x:v>
      </x:c>
      <x:c r="C7226" s="1" t="str">
        <x:v>Standard Class</x:v>
      </x:c>
      <x:c r="D7226" s="1" t="str">
        <x:v>LATAM</x:v>
      </x:c>
      <x:c r="E7226" s="1" t="str">
        <x:v>PENDING_PAYMENT</x:v>
      </x:c>
      <x:c r="F7226" s="1" t="str">
        <x:v>Shipping on time</x:v>
      </x:c>
      <x:c r="G7226" s="6" t="n">
        <x:v>4</x:v>
      </x:c>
      <x:c r="H7226" s="6" t="n">
        <x:v>4</x:v>
      </x:c>
      <x:c r="I7226" s="6" t="n">
        <x:f>G7226-H7226</x:f>
        <x:v>0</x:v>
      </x:c>
      <x:c r="J7226" s="6" t="n">
        <x:f>IF(OR(E7226="CANCELED",E7226="SUSPECTED_FRAUD",F7226="Shipping canceled"),0,1)</x:f>
        <x:v>1</x:v>
      </x:c>
      <x:c r="K7226" s="6" t="n">
        <x:f>IF(G7226&gt;H7226,1,0)</x:f>
        <x:v>0</x:v>
      </x:c>
      <x:c r="L7226" s="6" t="n">
        <x:f>J7226*K7226</x:f>
        <x:v>0</x:v>
      </x:c>
    </x:row>
    <x:row r="7227">
      <x:c r="A7227" s="1" t="n">
        <x:v>57225</x:v>
      </x:c>
      <x:c r="B7227" s="5" t="d">
        <x:v>2017-04-15T00:00:00.000Z</x:v>
      </x:c>
      <x:c r="C7227" s="1" t="str">
        <x:v>Standard Class</x:v>
      </x:c>
      <x:c r="D7227" s="1" t="str">
        <x:v>LATAM</x:v>
      </x:c>
      <x:c r="E7227" s="1" t="str">
        <x:v>SUSPECTED_FRAUD</x:v>
      </x:c>
      <x:c r="F7227" s="1" t="str">
        <x:v>Shipping canceled</x:v>
      </x:c>
      <x:c r="G7227" s="6" t="n">
        <x:v>6</x:v>
      </x:c>
      <x:c r="H7227" s="6" t="n">
        <x:v>4</x:v>
      </x:c>
      <x:c r="I7227" s="6" t="n">
        <x:f>G7227-H7227</x:f>
        <x:v>2</x:v>
      </x:c>
      <x:c r="J7227" s="6" t="n">
        <x:f>IF(OR(E7227="CANCELED",E7227="SUSPECTED_FRAUD",F7227="Shipping canceled"),0,1)</x:f>
        <x:v>0</x:v>
      </x:c>
      <x:c r="K7227" s="6" t="n">
        <x:f>IF(G7227&gt;H7227,1,0)</x:f>
        <x:v>1</x:v>
      </x:c>
      <x:c r="L7227" s="6" t="n">
        <x:f>J7227*K7227</x:f>
        <x:v>0</x:v>
      </x:c>
    </x:row>
    <x:row r="7228">
      <x:c r="A7228" s="1" t="n">
        <x:v>57231</x:v>
      </x:c>
      <x:c r="B7228" s="5" t="d">
        <x:v>2017-04-15T00:00:00.000Z</x:v>
      </x:c>
      <x:c r="C7228" s="1" t="str">
        <x:v>Standard Class</x:v>
      </x:c>
      <x:c r="D7228" s="1" t="str">
        <x:v>LATAM</x:v>
      </x:c>
      <x:c r="E7228" s="1" t="str">
        <x:v>PENDING</x:v>
      </x:c>
      <x:c r="F7228" s="1" t="str">
        <x:v>Advance shipping</x:v>
      </x:c>
      <x:c r="G7228" s="6" t="n">
        <x:v>2</x:v>
      </x:c>
      <x:c r="H7228" s="6" t="n">
        <x:v>4</x:v>
      </x:c>
      <x:c r="I7228" s="6" t="n">
        <x:f>G7228-H7228</x:f>
        <x:v>-2</x:v>
      </x:c>
      <x:c r="J7228" s="6" t="n">
        <x:f>IF(OR(E7228="CANCELED",E7228="SUSPECTED_FRAUD",F7228="Shipping canceled"),0,1)</x:f>
        <x:v>1</x:v>
      </x:c>
      <x:c r="K7228" s="6" t="n">
        <x:f>IF(G7228&gt;H7228,1,0)</x:f>
        <x:v>0</x:v>
      </x:c>
      <x:c r="L7228" s="6" t="n">
        <x:f>J7228*K7228</x:f>
        <x:v>0</x:v>
      </x:c>
    </x:row>
    <x:row r="7229">
      <x:c r="A7229" s="1" t="n">
        <x:v>57232</x:v>
      </x:c>
      <x:c r="B7229" s="5" t="d">
        <x:v>2017-04-15T00:00:00.000Z</x:v>
      </x:c>
      <x:c r="C7229" s="1" t="str">
        <x:v>Standard Class</x:v>
      </x:c>
      <x:c r="D7229" s="1" t="str">
        <x:v>LATAM</x:v>
      </x:c>
      <x:c r="E7229" s="1" t="str">
        <x:v>COMPLETE</x:v>
      </x:c>
      <x:c r="F7229" s="1" t="str">
        <x:v>Advance shipping</x:v>
      </x:c>
      <x:c r="G7229" s="6" t="n">
        <x:v>3</x:v>
      </x:c>
      <x:c r="H7229" s="6" t="n">
        <x:v>4</x:v>
      </x:c>
      <x:c r="I7229" s="6" t="n">
        <x:f>G7229-H7229</x:f>
        <x:v>-1</x:v>
      </x:c>
      <x:c r="J7229" s="6" t="n">
        <x:f>IF(OR(E7229="CANCELED",E7229="SUSPECTED_FRAUD",F7229="Shipping canceled"),0,1)</x:f>
        <x:v>1</x:v>
      </x:c>
      <x:c r="K7229" s="6" t="n">
        <x:f>IF(G7229&gt;H7229,1,0)</x:f>
        <x:v>0</x:v>
      </x:c>
      <x:c r="L7229" s="6" t="n">
        <x:f>J7229*K7229</x:f>
        <x:v>0</x:v>
      </x:c>
    </x:row>
    <x:row r="7230">
      <x:c r="A7230" s="1" t="n">
        <x:v>57242</x:v>
      </x:c>
      <x:c r="B7230" s="5" t="d">
        <x:v>2017-04-15T00:00:00.000Z</x:v>
      </x:c>
      <x:c r="C7230" s="1" t="str">
        <x:v>Standard Class</x:v>
      </x:c>
      <x:c r="D7230" s="1" t="str">
        <x:v>LATAM</x:v>
      </x:c>
      <x:c r="E7230" s="1" t="str">
        <x:v>PENDING</x:v>
      </x:c>
      <x:c r="F7230" s="1" t="str">
        <x:v>Advance shipping</x:v>
      </x:c>
      <x:c r="G7230" s="6" t="n">
        <x:v>3</x:v>
      </x:c>
      <x:c r="H7230" s="6" t="n">
        <x:v>4</x:v>
      </x:c>
      <x:c r="I7230" s="6" t="n">
        <x:f>G7230-H7230</x:f>
        <x:v>-1</x:v>
      </x:c>
      <x:c r="J7230" s="6" t="n">
        <x:f>IF(OR(E7230="CANCELED",E7230="SUSPECTED_FRAUD",F7230="Shipping canceled"),0,1)</x:f>
        <x:v>1</x:v>
      </x:c>
      <x:c r="K7230" s="6" t="n">
        <x:f>IF(G7230&gt;H7230,1,0)</x:f>
        <x:v>0</x:v>
      </x:c>
      <x:c r="L7230" s="6" t="n">
        <x:f>J7230*K7230</x:f>
        <x:v>0</x:v>
      </x:c>
    </x:row>
    <x:row r="7231">
      <x:c r="A7231" s="1" t="n">
        <x:v>57260</x:v>
      </x:c>
      <x:c r="B7231" s="5" t="d">
        <x:v>2017-04-15T00:00:00.000Z</x:v>
      </x:c>
      <x:c r="C7231" s="1" t="str">
        <x:v>Standard Class</x:v>
      </x:c>
      <x:c r="D7231" s="1" t="str">
        <x:v>LATAM</x:v>
      </x:c>
      <x:c r="E7231" s="1" t="str">
        <x:v>ON_HOLD</x:v>
      </x:c>
      <x:c r="F7231" s="1" t="str">
        <x:v>Late delivery</x:v>
      </x:c>
      <x:c r="G7231" s="6" t="n">
        <x:v>6</x:v>
      </x:c>
      <x:c r="H7231" s="6" t="n">
        <x:v>4</x:v>
      </x:c>
      <x:c r="I7231" s="6" t="n">
        <x:f>G7231-H7231</x:f>
        <x:v>2</x:v>
      </x:c>
      <x:c r="J7231" s="6" t="n">
        <x:f>IF(OR(E7231="CANCELED",E7231="SUSPECTED_FRAUD",F7231="Shipping canceled"),0,1)</x:f>
        <x:v>1</x:v>
      </x:c>
      <x:c r="K7231" s="6" t="n">
        <x:f>IF(G7231&gt;H7231,1,0)</x:f>
        <x:v>1</x:v>
      </x:c>
      <x:c r="L7231" s="6" t="n">
        <x:f>J7231*K7231</x:f>
        <x:v>1</x:v>
      </x:c>
    </x:row>
    <x:row r="7232">
      <x:c r="A7232" s="1" t="n">
        <x:v>57261</x:v>
      </x:c>
      <x:c r="B7232" s="5" t="d">
        <x:v>2017-04-15T00:00:00.000Z</x:v>
      </x:c>
      <x:c r="C7232" s="1" t="str">
        <x:v>Standard Class</x:v>
      </x:c>
      <x:c r="D7232" s="1" t="str">
        <x:v>LATAM</x:v>
      </x:c>
      <x:c r="E7232" s="1" t="str">
        <x:v>PENDING_PAYMENT</x:v>
      </x:c>
      <x:c r="F7232" s="1" t="str">
        <x:v>Advance shipping</x:v>
      </x:c>
      <x:c r="G7232" s="6" t="n">
        <x:v>2</x:v>
      </x:c>
      <x:c r="H7232" s="6" t="n">
        <x:v>4</x:v>
      </x:c>
      <x:c r="I7232" s="6" t="n">
        <x:f>G7232-H7232</x:f>
        <x:v>-2</x:v>
      </x:c>
      <x:c r="J7232" s="6" t="n">
        <x:f>IF(OR(E7232="CANCELED",E7232="SUSPECTED_FRAUD",F7232="Shipping canceled"),0,1)</x:f>
        <x:v>1</x:v>
      </x:c>
      <x:c r="K7232" s="6" t="n">
        <x:f>IF(G7232&gt;H7232,1,0)</x:f>
        <x:v>0</x:v>
      </x:c>
      <x:c r="L7232" s="6" t="n">
        <x:f>J7232*K7232</x:f>
        <x:v>0</x:v>
      </x:c>
    </x:row>
    <x:row r="7233">
      <x:c r="A7233" s="1" t="n">
        <x:v>57267</x:v>
      </x:c>
      <x:c r="B7233" s="5" t="d">
        <x:v>2017-04-15T00:00:00.000Z</x:v>
      </x:c>
      <x:c r="C7233" s="1" t="str">
        <x:v>Standard Class</x:v>
      </x:c>
      <x:c r="D7233" s="1" t="str">
        <x:v>LATAM</x:v>
      </x:c>
      <x:c r="E7233" s="1" t="str">
        <x:v>PROCESSING</x:v>
      </x:c>
      <x:c r="F7233" s="1" t="str">
        <x:v>Advance shipping</x:v>
      </x:c>
      <x:c r="G7233" s="6" t="n">
        <x:v>3</x:v>
      </x:c>
      <x:c r="H7233" s="6" t="n">
        <x:v>4</x:v>
      </x:c>
      <x:c r="I7233" s="6" t="n">
        <x:f>G7233-H7233</x:f>
        <x:v>-1</x:v>
      </x:c>
      <x:c r="J7233" s="6" t="n">
        <x:f>IF(OR(E7233="CANCELED",E7233="SUSPECTED_FRAUD",F7233="Shipping canceled"),0,1)</x:f>
        <x:v>1</x:v>
      </x:c>
      <x:c r="K7233" s="6" t="n">
        <x:f>IF(G7233&gt;H7233,1,0)</x:f>
        <x:v>0</x:v>
      </x:c>
      <x:c r="L7233" s="6" t="n">
        <x:f>J7233*K7233</x:f>
        <x:v>0</x:v>
      </x:c>
    </x:row>
    <x:row r="7234">
      <x:c r="A7234" s="1" t="n">
        <x:v>57291</x:v>
      </x:c>
      <x:c r="B7234" s="5" t="d">
        <x:v>2017-04-16T00:00:00.000Z</x:v>
      </x:c>
      <x:c r="C7234" s="1" t="str">
        <x:v>First Class</x:v>
      </x:c>
      <x:c r="D7234" s="1" t="str">
        <x:v>LATAM</x:v>
      </x:c>
      <x:c r="E7234" s="1" t="str">
        <x:v>CLOSED</x:v>
      </x:c>
      <x:c r="F7234" s="1" t="str">
        <x:v>Late delivery</x:v>
      </x:c>
      <x:c r="G7234" s="6" t="n">
        <x:v>2</x:v>
      </x:c>
      <x:c r="H7234" s="6" t="n">
        <x:v>1</x:v>
      </x:c>
      <x:c r="I7234" s="6" t="n">
        <x:f>G7234-H7234</x:f>
        <x:v>1</x:v>
      </x:c>
      <x:c r="J7234" s="6" t="n">
        <x:f>IF(OR(E7234="CANCELED",E7234="SUSPECTED_FRAUD",F7234="Shipping canceled"),0,1)</x:f>
        <x:v>1</x:v>
      </x:c>
      <x:c r="K7234" s="6" t="n">
        <x:f>IF(G7234&gt;H7234,1,0)</x:f>
        <x:v>1</x:v>
      </x:c>
      <x:c r="L7234" s="6" t="n">
        <x:f>J7234*K7234</x:f>
        <x:v>1</x:v>
      </x:c>
    </x:row>
    <x:row r="7235">
      <x:c r="A7235" s="1" t="n">
        <x:v>57298</x:v>
      </x:c>
      <x:c r="B7235" s="5" t="d">
        <x:v>2017-04-16T00:00:00.000Z</x:v>
      </x:c>
      <x:c r="C7235" s="1" t="str">
        <x:v>Standard Class</x:v>
      </x:c>
      <x:c r="D7235" s="1" t="str">
        <x:v>LATAM</x:v>
      </x:c>
      <x:c r="E7235" s="1" t="str">
        <x:v>ON_HOLD</x:v>
      </x:c>
      <x:c r="F7235" s="1" t="str">
        <x:v>Shipping on time</x:v>
      </x:c>
      <x:c r="G7235" s="6" t="n">
        <x:v>4</x:v>
      </x:c>
      <x:c r="H7235" s="6" t="n">
        <x:v>4</x:v>
      </x:c>
      <x:c r="I7235" s="6" t="n">
        <x:f>G7235-H7235</x:f>
        <x:v>0</x:v>
      </x:c>
      <x:c r="J7235" s="6" t="n">
        <x:f>IF(OR(E7235="CANCELED",E7235="SUSPECTED_FRAUD",F7235="Shipping canceled"),0,1)</x:f>
        <x:v>1</x:v>
      </x:c>
      <x:c r="K7235" s="6" t="n">
        <x:f>IF(G7235&gt;H7235,1,0)</x:f>
        <x:v>0</x:v>
      </x:c>
      <x:c r="L7235" s="6" t="n">
        <x:f>J7235*K7235</x:f>
        <x:v>0</x:v>
      </x:c>
    </x:row>
    <x:row r="7236">
      <x:c r="A7236" s="1" t="n">
        <x:v>57304</x:v>
      </x:c>
      <x:c r="B7236" s="5" t="d">
        <x:v>2017-04-16T00:00:00.000Z</x:v>
      </x:c>
      <x:c r="C7236" s="1" t="str">
        <x:v>Standard Class</x:v>
      </x:c>
      <x:c r="D7236" s="1" t="str">
        <x:v>LATAM</x:v>
      </x:c>
      <x:c r="E7236" s="1" t="str">
        <x:v>PENDING_PAYMENT</x:v>
      </x:c>
      <x:c r="F7236" s="1" t="str">
        <x:v>Late delivery</x:v>
      </x:c>
      <x:c r="G7236" s="6" t="n">
        <x:v>5</x:v>
      </x:c>
      <x:c r="H7236" s="6" t="n">
        <x:v>4</x:v>
      </x:c>
      <x:c r="I7236" s="6" t="n">
        <x:f>G7236-H7236</x:f>
        <x:v>1</x:v>
      </x:c>
      <x:c r="J7236" s="6" t="n">
        <x:f>IF(OR(E7236="CANCELED",E7236="SUSPECTED_FRAUD",F7236="Shipping canceled"),0,1)</x:f>
        <x:v>1</x:v>
      </x:c>
      <x:c r="K7236" s="6" t="n">
        <x:f>IF(G7236&gt;H7236,1,0)</x:f>
        <x:v>1</x:v>
      </x:c>
      <x:c r="L7236" s="6" t="n">
        <x:f>J7236*K7236</x:f>
        <x:v>1</x:v>
      </x:c>
    </x:row>
    <x:row r="7237">
      <x:c r="A7237" s="1" t="n">
        <x:v>57314</x:v>
      </x:c>
      <x:c r="B7237" s="5" t="d">
        <x:v>2017-04-16T00:00:00.000Z</x:v>
      </x:c>
      <x:c r="C7237" s="1" t="str">
        <x:v>Standard Class</x:v>
      </x:c>
      <x:c r="D7237" s="1" t="str">
        <x:v>LATAM</x:v>
      </x:c>
      <x:c r="E7237" s="1" t="str">
        <x:v>PENDING</x:v>
      </x:c>
      <x:c r="F7237" s="1" t="str">
        <x:v>Late delivery</x:v>
      </x:c>
      <x:c r="G7237" s="6" t="n">
        <x:v>5</x:v>
      </x:c>
      <x:c r="H7237" s="6" t="n">
        <x:v>4</x:v>
      </x:c>
      <x:c r="I7237" s="6" t="n">
        <x:f>G7237-H7237</x:f>
        <x:v>1</x:v>
      </x:c>
      <x:c r="J7237" s="6" t="n">
        <x:f>IF(OR(E7237="CANCELED",E7237="SUSPECTED_FRAUD",F7237="Shipping canceled"),0,1)</x:f>
        <x:v>1</x:v>
      </x:c>
      <x:c r="K7237" s="6" t="n">
        <x:f>IF(G7237&gt;H7237,1,0)</x:f>
        <x:v>1</x:v>
      </x:c>
      <x:c r="L7237" s="6" t="n">
        <x:f>J7237*K7237</x:f>
        <x:v>1</x:v>
      </x:c>
    </x:row>
    <x:row r="7238">
      <x:c r="A7238" s="1" t="n">
        <x:v>57353</x:v>
      </x:c>
      <x:c r="B7238" s="5" t="d">
        <x:v>2017-04-17T00:00:00.000Z</x:v>
      </x:c>
      <x:c r="C7238" s="1" t="str">
        <x:v>Same Day</x:v>
      </x:c>
      <x:c r="D7238" s="1" t="str">
        <x:v>LATAM</x:v>
      </x:c>
      <x:c r="E7238" s="1" t="str">
        <x:v>COMPLETE</x:v>
      </x:c>
      <x:c r="F7238" s="1" t="str">
        <x:v>Shipping on time</x:v>
      </x:c>
      <x:c r="G7238" s="6" t="n">
        <x:v>0</x:v>
      </x:c>
      <x:c r="H7238" s="6" t="n">
        <x:v>0</x:v>
      </x:c>
      <x:c r="I7238" s="6" t="n">
        <x:f>G7238-H7238</x:f>
        <x:v>0</x:v>
      </x:c>
      <x:c r="J7238" s="6" t="n">
        <x:f>IF(OR(E7238="CANCELED",E7238="SUSPECTED_FRAUD",F7238="Shipping canceled"),0,1)</x:f>
        <x:v>1</x:v>
      </x:c>
      <x:c r="K7238" s="6" t="n">
        <x:f>IF(G7238&gt;H7238,1,0)</x:f>
        <x:v>0</x:v>
      </x:c>
      <x:c r="L7238" s="6" t="n">
        <x:f>J7238*K7238</x:f>
        <x:v>0</x:v>
      </x:c>
    </x:row>
    <x:row r="7239">
      <x:c r="A7239" s="1" t="n">
        <x:v>57372</x:v>
      </x:c>
      <x:c r="B7239" s="5" t="d">
        <x:v>2017-04-17T00:00:00.000Z</x:v>
      </x:c>
      <x:c r="C7239" s="1" t="str">
        <x:v>Standard Class</x:v>
      </x:c>
      <x:c r="D7239" s="1" t="str">
        <x:v>LATAM</x:v>
      </x:c>
      <x:c r="E7239" s="1" t="str">
        <x:v>COMPLETE</x:v>
      </x:c>
      <x:c r="F7239" s="1" t="str">
        <x:v>Advance shipping</x:v>
      </x:c>
      <x:c r="G7239" s="6" t="n">
        <x:v>3</x:v>
      </x:c>
      <x:c r="H7239" s="6" t="n">
        <x:v>4</x:v>
      </x:c>
      <x:c r="I7239" s="6" t="n">
        <x:f>G7239-H7239</x:f>
        <x:v>-1</x:v>
      </x:c>
      <x:c r="J7239" s="6" t="n">
        <x:f>IF(OR(E7239="CANCELED",E7239="SUSPECTED_FRAUD",F7239="Shipping canceled"),0,1)</x:f>
        <x:v>1</x:v>
      </x:c>
      <x:c r="K7239" s="6" t="n">
        <x:f>IF(G7239&gt;H7239,1,0)</x:f>
        <x:v>0</x:v>
      </x:c>
      <x:c r="L7239" s="6" t="n">
        <x:f>J7239*K7239</x:f>
        <x:v>0</x:v>
      </x:c>
    </x:row>
    <x:row r="7240">
      <x:c r="A7240" s="1" t="n">
        <x:v>57375</x:v>
      </x:c>
      <x:c r="B7240" s="5" t="d">
        <x:v>2017-04-17T00:00:00.000Z</x:v>
      </x:c>
      <x:c r="C7240" s="1" t="str">
        <x:v>Standard Class</x:v>
      </x:c>
      <x:c r="D7240" s="1" t="str">
        <x:v>LATAM</x:v>
      </x:c>
      <x:c r="E7240" s="1" t="str">
        <x:v>COMPLETE</x:v>
      </x:c>
      <x:c r="F7240" s="1" t="str">
        <x:v>Late delivery</x:v>
      </x:c>
      <x:c r="G7240" s="6" t="n">
        <x:v>6</x:v>
      </x:c>
      <x:c r="H7240" s="6" t="n">
        <x:v>4</x:v>
      </x:c>
      <x:c r="I7240" s="6" t="n">
        <x:f>G7240-H7240</x:f>
        <x:v>2</x:v>
      </x:c>
      <x:c r="J7240" s="6" t="n">
        <x:f>IF(OR(E7240="CANCELED",E7240="SUSPECTED_FRAUD",F7240="Shipping canceled"),0,1)</x:f>
        <x:v>1</x:v>
      </x:c>
      <x:c r="K7240" s="6" t="n">
        <x:f>IF(G7240&gt;H7240,1,0)</x:f>
        <x:v>1</x:v>
      </x:c>
      <x:c r="L7240" s="6" t="n">
        <x:f>J7240*K7240</x:f>
        <x:v>1</x:v>
      </x:c>
    </x:row>
    <x:row r="7241">
      <x:c r="A7241" s="1" t="n">
        <x:v>57380</x:v>
      </x:c>
      <x:c r="B7241" s="5" t="d">
        <x:v>2017-04-17T00:00:00.000Z</x:v>
      </x:c>
      <x:c r="C7241" s="1" t="str">
        <x:v>First Class</x:v>
      </x:c>
      <x:c r="D7241" s="1" t="str">
        <x:v>LATAM</x:v>
      </x:c>
      <x:c r="E7241" s="1" t="str">
        <x:v>PENDING_PAYMENT</x:v>
      </x:c>
      <x:c r="F7241" s="1" t="str">
        <x:v>Late delivery</x:v>
      </x:c>
      <x:c r="G7241" s="6" t="n">
        <x:v>2</x:v>
      </x:c>
      <x:c r="H7241" s="6" t="n">
        <x:v>1</x:v>
      </x:c>
      <x:c r="I7241" s="6" t="n">
        <x:f>G7241-H7241</x:f>
        <x:v>1</x:v>
      </x:c>
      <x:c r="J7241" s="6" t="n">
        <x:f>IF(OR(E7241="CANCELED",E7241="SUSPECTED_FRAUD",F7241="Shipping canceled"),0,1)</x:f>
        <x:v>1</x:v>
      </x:c>
      <x:c r="K7241" s="6" t="n">
        <x:f>IF(G7241&gt;H7241,1,0)</x:f>
        <x:v>1</x:v>
      </x:c>
      <x:c r="L7241" s="6" t="n">
        <x:f>J7241*K7241</x:f>
        <x:v>1</x:v>
      </x:c>
    </x:row>
    <x:row r="7242">
      <x:c r="A7242" s="1" t="n">
        <x:v>57384</x:v>
      </x:c>
      <x:c r="B7242" s="5" t="d">
        <x:v>2017-04-17T00:00:00.000Z</x:v>
      </x:c>
      <x:c r="C7242" s="1" t="str">
        <x:v>Standard Class</x:v>
      </x:c>
      <x:c r="D7242" s="1" t="str">
        <x:v>LATAM</x:v>
      </x:c>
      <x:c r="E7242" s="1" t="str">
        <x:v>PENDING_PAYMENT</x:v>
      </x:c>
      <x:c r="F7242" s="1" t="str">
        <x:v>Late delivery</x:v>
      </x:c>
      <x:c r="G7242" s="6" t="n">
        <x:v>5</x:v>
      </x:c>
      <x:c r="H7242" s="6" t="n">
        <x:v>4</x:v>
      </x:c>
      <x:c r="I7242" s="6" t="n">
        <x:f>G7242-H7242</x:f>
        <x:v>1</x:v>
      </x:c>
      <x:c r="J7242" s="6" t="n">
        <x:f>IF(OR(E7242="CANCELED",E7242="SUSPECTED_FRAUD",F7242="Shipping canceled"),0,1)</x:f>
        <x:v>1</x:v>
      </x:c>
      <x:c r="K7242" s="6" t="n">
        <x:f>IF(G7242&gt;H7242,1,0)</x:f>
        <x:v>1</x:v>
      </x:c>
      <x:c r="L7242" s="6" t="n">
        <x:f>J7242*K7242</x:f>
        <x:v>1</x:v>
      </x:c>
    </x:row>
    <x:row r="7243">
      <x:c r="A7243" s="1" t="n">
        <x:v>57387</x:v>
      </x:c>
      <x:c r="B7243" s="5" t="d">
        <x:v>2017-04-17T00:00:00.000Z</x:v>
      </x:c>
      <x:c r="C7243" s="1" t="str">
        <x:v>Standard Class</x:v>
      </x:c>
      <x:c r="D7243" s="1" t="str">
        <x:v>LATAM</x:v>
      </x:c>
      <x:c r="E7243" s="1" t="str">
        <x:v>COMPLETE</x:v>
      </x:c>
      <x:c r="F7243" s="1" t="str">
        <x:v>Advance shipping</x:v>
      </x:c>
      <x:c r="G7243" s="6" t="n">
        <x:v>3</x:v>
      </x:c>
      <x:c r="H7243" s="6" t="n">
        <x:v>4</x:v>
      </x:c>
      <x:c r="I7243" s="6" t="n">
        <x:f>G7243-H7243</x:f>
        <x:v>-1</x:v>
      </x:c>
      <x:c r="J7243" s="6" t="n">
        <x:f>IF(OR(E7243="CANCELED",E7243="SUSPECTED_FRAUD",F7243="Shipping canceled"),0,1)</x:f>
        <x:v>1</x:v>
      </x:c>
      <x:c r="K7243" s="6" t="n">
        <x:f>IF(G7243&gt;H7243,1,0)</x:f>
        <x:v>0</x:v>
      </x:c>
      <x:c r="L7243" s="6" t="n">
        <x:f>J7243*K7243</x:f>
        <x:v>0</x:v>
      </x:c>
    </x:row>
    <x:row r="7244">
      <x:c r="A7244" s="1" t="n">
        <x:v>57388</x:v>
      </x:c>
      <x:c r="B7244" s="5" t="d">
        <x:v>2017-04-17T00:00:00.000Z</x:v>
      </x:c>
      <x:c r="C7244" s="1" t="str">
        <x:v>Standard Class</x:v>
      </x:c>
      <x:c r="D7244" s="1" t="str">
        <x:v>LATAM</x:v>
      </x:c>
      <x:c r="E7244" s="1" t="str">
        <x:v>CLOSED</x:v>
      </x:c>
      <x:c r="F7244" s="1" t="str">
        <x:v>Shipping on time</x:v>
      </x:c>
      <x:c r="G7244" s="6" t="n">
        <x:v>4</x:v>
      </x:c>
      <x:c r="H7244" s="6" t="n">
        <x:v>4</x:v>
      </x:c>
      <x:c r="I7244" s="6" t="n">
        <x:f>G7244-H7244</x:f>
        <x:v>0</x:v>
      </x:c>
      <x:c r="J7244" s="6" t="n">
        <x:f>IF(OR(E7244="CANCELED",E7244="SUSPECTED_FRAUD",F7244="Shipping canceled"),0,1)</x:f>
        <x:v>1</x:v>
      </x:c>
      <x:c r="K7244" s="6" t="n">
        <x:f>IF(G7244&gt;H7244,1,0)</x:f>
        <x:v>0</x:v>
      </x:c>
      <x:c r="L7244" s="6" t="n">
        <x:f>J7244*K7244</x:f>
        <x:v>0</x:v>
      </x:c>
    </x:row>
    <x:row r="7245">
      <x:c r="A7245" s="1" t="n">
        <x:v>57390</x:v>
      </x:c>
      <x:c r="B7245" s="5" t="d">
        <x:v>2017-04-17T00:00:00.000Z</x:v>
      </x:c>
      <x:c r="C7245" s="1" t="str">
        <x:v>Second Class</x:v>
      </x:c>
      <x:c r="D7245" s="1" t="str">
        <x:v>LATAM</x:v>
      </x:c>
      <x:c r="E7245" s="1" t="str">
        <x:v>COMPLETE</x:v>
      </x:c>
      <x:c r="F7245" s="1" t="str">
        <x:v>Late delivery</x:v>
      </x:c>
      <x:c r="G7245" s="6" t="n">
        <x:v>6</x:v>
      </x:c>
      <x:c r="H7245" s="6" t="n">
        <x:v>2</x:v>
      </x:c>
      <x:c r="I7245" s="6" t="n">
        <x:f>G7245-H7245</x:f>
        <x:v>4</x:v>
      </x:c>
      <x:c r="J7245" s="6" t="n">
        <x:f>IF(OR(E7245="CANCELED",E7245="SUSPECTED_FRAUD",F7245="Shipping canceled"),0,1)</x:f>
        <x:v>1</x:v>
      </x:c>
      <x:c r="K7245" s="6" t="n">
        <x:f>IF(G7245&gt;H7245,1,0)</x:f>
        <x:v>1</x:v>
      </x:c>
      <x:c r="L7245" s="6" t="n">
        <x:f>J7245*K7245</x:f>
        <x:v>1</x:v>
      </x:c>
    </x:row>
    <x:row r="7246">
      <x:c r="A7246" s="1" t="n">
        <x:v>57398</x:v>
      </x:c>
      <x:c r="B7246" s="5" t="d">
        <x:v>2017-04-17T00:00:00.000Z</x:v>
      </x:c>
      <x:c r="C7246" s="1" t="str">
        <x:v>First Class</x:v>
      </x:c>
      <x:c r="D7246" s="1" t="str">
        <x:v>LATAM</x:v>
      </x:c>
      <x:c r="E7246" s="1" t="str">
        <x:v>CLOSED</x:v>
      </x:c>
      <x:c r="F7246" s="1" t="str">
        <x:v>Late delivery</x:v>
      </x:c>
      <x:c r="G7246" s="6" t="n">
        <x:v>2</x:v>
      </x:c>
      <x:c r="H7246" s="6" t="n">
        <x:v>1</x:v>
      </x:c>
      <x:c r="I7246" s="6" t="n">
        <x:f>G7246-H7246</x:f>
        <x:v>1</x:v>
      </x:c>
      <x:c r="J7246" s="6" t="n">
        <x:f>IF(OR(E7246="CANCELED",E7246="SUSPECTED_FRAUD",F7246="Shipping canceled"),0,1)</x:f>
        <x:v>1</x:v>
      </x:c>
      <x:c r="K7246" s="6" t="n">
        <x:f>IF(G7246&gt;H7246,1,0)</x:f>
        <x:v>1</x:v>
      </x:c>
      <x:c r="L7246" s="6" t="n">
        <x:f>J7246*K7246</x:f>
        <x:v>1</x:v>
      </x:c>
    </x:row>
    <x:row r="7247">
      <x:c r="A7247" s="1" t="n">
        <x:v>57400</x:v>
      </x:c>
      <x:c r="B7247" s="5" t="d">
        <x:v>2017-04-17T00:00:00.000Z</x:v>
      </x:c>
      <x:c r="C7247" s="1" t="str">
        <x:v>Standard Class</x:v>
      </x:c>
      <x:c r="D7247" s="1" t="str">
        <x:v>LATAM</x:v>
      </x:c>
      <x:c r="E7247" s="1" t="str">
        <x:v>CLOSED</x:v>
      </x:c>
      <x:c r="F7247" s="1" t="str">
        <x:v>Late delivery</x:v>
      </x:c>
      <x:c r="G7247" s="6" t="n">
        <x:v>6</x:v>
      </x:c>
      <x:c r="H7247" s="6" t="n">
        <x:v>4</x:v>
      </x:c>
      <x:c r="I7247" s="6" t="n">
        <x:f>G7247-H7247</x:f>
        <x:v>2</x:v>
      </x:c>
      <x:c r="J7247" s="6" t="n">
        <x:f>IF(OR(E7247="CANCELED",E7247="SUSPECTED_FRAUD",F7247="Shipping canceled"),0,1)</x:f>
        <x:v>1</x:v>
      </x:c>
      <x:c r="K7247" s="6" t="n">
        <x:f>IF(G7247&gt;H7247,1,0)</x:f>
        <x:v>1</x:v>
      </x:c>
      <x:c r="L7247" s="6" t="n">
        <x:f>J7247*K7247</x:f>
        <x:v>1</x:v>
      </x:c>
    </x:row>
    <x:row r="7248">
      <x:c r="A7248" s="1" t="n">
        <x:v>57403</x:v>
      </x:c>
      <x:c r="B7248" s="5" t="d">
        <x:v>2017-04-17T00:00:00.000Z</x:v>
      </x:c>
      <x:c r="C7248" s="1" t="str">
        <x:v>Standard Class</x:v>
      </x:c>
      <x:c r="D7248" s="1" t="str">
        <x:v>LATAM</x:v>
      </x:c>
      <x:c r="E7248" s="1" t="str">
        <x:v>COMPLETE</x:v>
      </x:c>
      <x:c r="F7248" s="1" t="str">
        <x:v>Shipping on time</x:v>
      </x:c>
      <x:c r="G7248" s="6" t="n">
        <x:v>4</x:v>
      </x:c>
      <x:c r="H7248" s="6" t="n">
        <x:v>4</x:v>
      </x:c>
      <x:c r="I7248" s="6" t="n">
        <x:f>G7248-H7248</x:f>
        <x:v>0</x:v>
      </x:c>
      <x:c r="J7248" s="6" t="n">
        <x:f>IF(OR(E7248="CANCELED",E7248="SUSPECTED_FRAUD",F7248="Shipping canceled"),0,1)</x:f>
        <x:v>1</x:v>
      </x:c>
      <x:c r="K7248" s="6" t="n">
        <x:f>IF(G7248&gt;H7248,1,0)</x:f>
        <x:v>0</x:v>
      </x:c>
      <x:c r="L7248" s="6" t="n">
        <x:f>J7248*K7248</x:f>
        <x:v>0</x:v>
      </x:c>
    </x:row>
    <x:row r="7249">
      <x:c r="A7249" s="1" t="n">
        <x:v>57407</x:v>
      </x:c>
      <x:c r="B7249" s="5" t="d">
        <x:v>2017-04-17T00:00:00.000Z</x:v>
      </x:c>
      <x:c r="C7249" s="1" t="str">
        <x:v>Standard Class</x:v>
      </x:c>
      <x:c r="D7249" s="1" t="str">
        <x:v>LATAM</x:v>
      </x:c>
      <x:c r="E7249" s="1" t="str">
        <x:v>COMPLETE</x:v>
      </x:c>
      <x:c r="F7249" s="1" t="str">
        <x:v>Advance shipping</x:v>
      </x:c>
      <x:c r="G7249" s="6" t="n">
        <x:v>3</x:v>
      </x:c>
      <x:c r="H7249" s="6" t="n">
        <x:v>4</x:v>
      </x:c>
      <x:c r="I7249" s="6" t="n">
        <x:f>G7249-H7249</x:f>
        <x:v>-1</x:v>
      </x:c>
      <x:c r="J7249" s="6" t="n">
        <x:f>IF(OR(E7249="CANCELED",E7249="SUSPECTED_FRAUD",F7249="Shipping canceled"),0,1)</x:f>
        <x:v>1</x:v>
      </x:c>
      <x:c r="K7249" s="6" t="n">
        <x:f>IF(G7249&gt;H7249,1,0)</x:f>
        <x:v>0</x:v>
      </x:c>
      <x:c r="L7249" s="6" t="n">
        <x:f>J7249*K7249</x:f>
        <x:v>0</x:v>
      </x:c>
    </x:row>
    <x:row r="7250">
      <x:c r="A7250" s="1" t="n">
        <x:v>57417</x:v>
      </x:c>
      <x:c r="B7250" s="5" t="d">
        <x:v>2017-04-18T00:00:00.000Z</x:v>
      </x:c>
      <x:c r="C7250" s="1" t="str">
        <x:v>Standard Class</x:v>
      </x:c>
      <x:c r="D7250" s="1" t="str">
        <x:v>LATAM</x:v>
      </x:c>
      <x:c r="E7250" s="1" t="str">
        <x:v>COMPLETE</x:v>
      </x:c>
      <x:c r="F7250" s="1" t="str">
        <x:v>Advance shipping</x:v>
      </x:c>
      <x:c r="G7250" s="6" t="n">
        <x:v>3</x:v>
      </x:c>
      <x:c r="H7250" s="6" t="n">
        <x:v>4</x:v>
      </x:c>
      <x:c r="I7250" s="6" t="n">
        <x:f>G7250-H7250</x:f>
        <x:v>-1</x:v>
      </x:c>
      <x:c r="J7250" s="6" t="n">
        <x:f>IF(OR(E7250="CANCELED",E7250="SUSPECTED_FRAUD",F7250="Shipping canceled"),0,1)</x:f>
        <x:v>1</x:v>
      </x:c>
      <x:c r="K7250" s="6" t="n">
        <x:f>IF(G7250&gt;H7250,1,0)</x:f>
        <x:v>0</x:v>
      </x:c>
      <x:c r="L7250" s="6" t="n">
        <x:f>J7250*K7250</x:f>
        <x:v>0</x:v>
      </x:c>
    </x:row>
    <x:row r="7251">
      <x:c r="A7251" s="1" t="n">
        <x:v>57422</x:v>
      </x:c>
      <x:c r="B7251" s="5" t="d">
        <x:v>2017-04-18T00:00:00.000Z</x:v>
      </x:c>
      <x:c r="C7251" s="1" t="str">
        <x:v>Standard Class</x:v>
      </x:c>
      <x:c r="D7251" s="1" t="str">
        <x:v>LATAM</x:v>
      </x:c>
      <x:c r="E7251" s="1" t="str">
        <x:v>CANCELED</x:v>
      </x:c>
      <x:c r="F7251" s="1" t="str">
        <x:v>Shipping canceled</x:v>
      </x:c>
      <x:c r="G7251" s="6" t="n">
        <x:v>3</x:v>
      </x:c>
      <x:c r="H7251" s="6" t="n">
        <x:v>4</x:v>
      </x:c>
      <x:c r="I7251" s="6" t="n">
        <x:f>G7251-H7251</x:f>
        <x:v>-1</x:v>
      </x:c>
      <x:c r="J7251" s="6" t="n">
        <x:f>IF(OR(E7251="CANCELED",E7251="SUSPECTED_FRAUD",F7251="Shipping canceled"),0,1)</x:f>
        <x:v>0</x:v>
      </x:c>
      <x:c r="K7251" s="6" t="n">
        <x:f>IF(G7251&gt;H7251,1,0)</x:f>
        <x:v>0</x:v>
      </x:c>
      <x:c r="L7251" s="6" t="n">
        <x:f>J7251*K7251</x:f>
        <x:v>0</x:v>
      </x:c>
    </x:row>
    <x:row r="7252">
      <x:c r="A7252" s="1" t="n">
        <x:v>57425</x:v>
      </x:c>
      <x:c r="B7252" s="5" t="d">
        <x:v>2017-04-18T00:00:00.000Z</x:v>
      </x:c>
      <x:c r="C7252" s="1" t="str">
        <x:v>Standard Class</x:v>
      </x:c>
      <x:c r="D7252" s="1" t="str">
        <x:v>LATAM</x:v>
      </x:c>
      <x:c r="E7252" s="1" t="str">
        <x:v>COMPLETE</x:v>
      </x:c>
      <x:c r="F7252" s="1" t="str">
        <x:v>Late delivery</x:v>
      </x:c>
      <x:c r="G7252" s="6" t="n">
        <x:v>6</x:v>
      </x:c>
      <x:c r="H7252" s="6" t="n">
        <x:v>4</x:v>
      </x:c>
      <x:c r="I7252" s="6" t="n">
        <x:f>G7252-H7252</x:f>
        <x:v>2</x:v>
      </x:c>
      <x:c r="J7252" s="6" t="n">
        <x:f>IF(OR(E7252="CANCELED",E7252="SUSPECTED_FRAUD",F7252="Shipping canceled"),0,1)</x:f>
        <x:v>1</x:v>
      </x:c>
      <x:c r="K7252" s="6" t="n">
        <x:f>IF(G7252&gt;H7252,1,0)</x:f>
        <x:v>1</x:v>
      </x:c>
      <x:c r="L7252" s="6" t="n">
        <x:f>J7252*K7252</x:f>
        <x:v>1</x:v>
      </x:c>
    </x:row>
    <x:row r="7253">
      <x:c r="A7253" s="1" t="n">
        <x:v>57460</x:v>
      </x:c>
      <x:c r="B7253" s="5" t="d">
        <x:v>2017-04-18T00:00:00.000Z</x:v>
      </x:c>
      <x:c r="C7253" s="1" t="str">
        <x:v>Standard Class</x:v>
      </x:c>
      <x:c r="D7253" s="1" t="str">
        <x:v>LATAM</x:v>
      </x:c>
      <x:c r="E7253" s="1" t="str">
        <x:v>SUSPECTED_FRAUD</x:v>
      </x:c>
      <x:c r="F7253" s="1" t="str">
        <x:v>Shipping canceled</x:v>
      </x:c>
      <x:c r="G7253" s="6" t="n">
        <x:v>6</x:v>
      </x:c>
      <x:c r="H7253" s="6" t="n">
        <x:v>4</x:v>
      </x:c>
      <x:c r="I7253" s="6" t="n">
        <x:f>G7253-H7253</x:f>
        <x:v>2</x:v>
      </x:c>
      <x:c r="J7253" s="6" t="n">
        <x:f>IF(OR(E7253="CANCELED",E7253="SUSPECTED_FRAUD",F7253="Shipping canceled"),0,1)</x:f>
        <x:v>0</x:v>
      </x:c>
      <x:c r="K7253" s="6" t="n">
        <x:f>IF(G7253&gt;H7253,1,0)</x:f>
        <x:v>1</x:v>
      </x:c>
      <x:c r="L7253" s="6" t="n">
        <x:f>J7253*K7253</x:f>
        <x:v>0</x:v>
      </x:c>
    </x:row>
    <x:row r="7254">
      <x:c r="A7254" s="1" t="n">
        <x:v>57467</x:v>
      </x:c>
      <x:c r="B7254" s="5" t="d">
        <x:v>2017-04-18T00:00:00.000Z</x:v>
      </x:c>
      <x:c r="C7254" s="1" t="str">
        <x:v>First Class</x:v>
      </x:c>
      <x:c r="D7254" s="1" t="str">
        <x:v>LATAM</x:v>
      </x:c>
      <x:c r="E7254" s="1" t="str">
        <x:v>SUSPECTED_FRAUD</x:v>
      </x:c>
      <x:c r="F7254" s="1" t="str">
        <x:v>Shipping canceled</x:v>
      </x:c>
      <x:c r="G7254" s="6" t="n">
        <x:v>2</x:v>
      </x:c>
      <x:c r="H7254" s="6" t="n">
        <x:v>1</x:v>
      </x:c>
      <x:c r="I7254" s="6" t="n">
        <x:f>G7254-H7254</x:f>
        <x:v>1</x:v>
      </x:c>
      <x:c r="J7254" s="6" t="n">
        <x:f>IF(OR(E7254="CANCELED",E7254="SUSPECTED_FRAUD",F7254="Shipping canceled"),0,1)</x:f>
        <x:v>0</x:v>
      </x:c>
      <x:c r="K7254" s="6" t="n">
        <x:f>IF(G7254&gt;H7254,1,0)</x:f>
        <x:v>1</x:v>
      </x:c>
      <x:c r="L7254" s="6" t="n">
        <x:f>J7254*K7254</x:f>
        <x:v>0</x:v>
      </x:c>
    </x:row>
    <x:row r="7255">
      <x:c r="A7255" s="1" t="n">
        <x:v>57479</x:v>
      </x:c>
      <x:c r="B7255" s="5" t="d">
        <x:v>2017-04-19T00:00:00.000Z</x:v>
      </x:c>
      <x:c r="C7255" s="1" t="str">
        <x:v>Standard Class</x:v>
      </x:c>
      <x:c r="D7255" s="1" t="str">
        <x:v>LATAM</x:v>
      </x:c>
      <x:c r="E7255" s="1" t="str">
        <x:v>CANCELED</x:v>
      </x:c>
      <x:c r="F7255" s="1" t="str">
        <x:v>Shipping canceled</x:v>
      </x:c>
      <x:c r="G7255" s="6" t="n">
        <x:v>5</x:v>
      </x:c>
      <x:c r="H7255" s="6" t="n">
        <x:v>4</x:v>
      </x:c>
      <x:c r="I7255" s="6" t="n">
        <x:f>G7255-H7255</x:f>
        <x:v>1</x:v>
      </x:c>
      <x:c r="J7255" s="6" t="n">
        <x:f>IF(OR(E7255="CANCELED",E7255="SUSPECTED_FRAUD",F7255="Shipping canceled"),0,1)</x:f>
        <x:v>0</x:v>
      </x:c>
      <x:c r="K7255" s="6" t="n">
        <x:f>IF(G7255&gt;H7255,1,0)</x:f>
        <x:v>1</x:v>
      </x:c>
      <x:c r="L7255" s="6" t="n">
        <x:f>J7255*K7255</x:f>
        <x:v>0</x:v>
      </x:c>
    </x:row>
    <x:row r="7256">
      <x:c r="A7256" s="1" t="n">
        <x:v>57490</x:v>
      </x:c>
      <x:c r="B7256" s="5" t="d">
        <x:v>2017-04-19T00:00:00.000Z</x:v>
      </x:c>
      <x:c r="C7256" s="1" t="str">
        <x:v>First Class</x:v>
      </x:c>
      <x:c r="D7256" s="1" t="str">
        <x:v>LATAM</x:v>
      </x:c>
      <x:c r="E7256" s="1" t="str">
        <x:v>CLOSED</x:v>
      </x:c>
      <x:c r="F7256" s="1" t="str">
        <x:v>Late delivery</x:v>
      </x:c>
      <x:c r="G7256" s="6" t="n">
        <x:v>2</x:v>
      </x:c>
      <x:c r="H7256" s="6" t="n">
        <x:v>1</x:v>
      </x:c>
      <x:c r="I7256" s="6" t="n">
        <x:f>G7256-H7256</x:f>
        <x:v>1</x:v>
      </x:c>
      <x:c r="J7256" s="6" t="n">
        <x:f>IF(OR(E7256="CANCELED",E7256="SUSPECTED_FRAUD",F7256="Shipping canceled"),0,1)</x:f>
        <x:v>1</x:v>
      </x:c>
      <x:c r="K7256" s="6" t="n">
        <x:f>IF(G7256&gt;H7256,1,0)</x:f>
        <x:v>1</x:v>
      </x:c>
      <x:c r="L7256" s="6" t="n">
        <x:f>J7256*K7256</x:f>
        <x:v>1</x:v>
      </x:c>
    </x:row>
    <x:row r="7257">
      <x:c r="A7257" s="1" t="n">
        <x:v>57493</x:v>
      </x:c>
      <x:c r="B7257" s="5" t="d">
        <x:v>2017-04-19T00:00:00.000Z</x:v>
      </x:c>
      <x:c r="C7257" s="1" t="str">
        <x:v>Standard Class</x:v>
      </x:c>
      <x:c r="D7257" s="1" t="str">
        <x:v>LATAM</x:v>
      </x:c>
      <x:c r="E7257" s="1" t="str">
        <x:v>COMPLETE</x:v>
      </x:c>
      <x:c r="F7257" s="1" t="str">
        <x:v>Shipping on time</x:v>
      </x:c>
      <x:c r="G7257" s="6" t="n">
        <x:v>4</x:v>
      </x:c>
      <x:c r="H7257" s="6" t="n">
        <x:v>4</x:v>
      </x:c>
      <x:c r="I7257" s="6" t="n">
        <x:f>G7257-H7257</x:f>
        <x:v>0</x:v>
      </x:c>
      <x:c r="J7257" s="6" t="n">
        <x:f>IF(OR(E7257="CANCELED",E7257="SUSPECTED_FRAUD",F7257="Shipping canceled"),0,1)</x:f>
        <x:v>1</x:v>
      </x:c>
      <x:c r="K7257" s="6" t="n">
        <x:f>IF(G7257&gt;H7257,1,0)</x:f>
        <x:v>0</x:v>
      </x:c>
      <x:c r="L7257" s="6" t="n">
        <x:f>J7257*K7257</x:f>
        <x:v>0</x:v>
      </x:c>
    </x:row>
    <x:row r="7258">
      <x:c r="A7258" s="1" t="n">
        <x:v>57509</x:v>
      </x:c>
      <x:c r="B7258" s="5" t="d">
        <x:v>2017-04-19T00:00:00.000Z</x:v>
      </x:c>
      <x:c r="C7258" s="1" t="str">
        <x:v>Standard Class</x:v>
      </x:c>
      <x:c r="D7258" s="1" t="str">
        <x:v>LATAM</x:v>
      </x:c>
      <x:c r="E7258" s="1" t="str">
        <x:v>COMPLETE</x:v>
      </x:c>
      <x:c r="F7258" s="1" t="str">
        <x:v>Late delivery</x:v>
      </x:c>
      <x:c r="G7258" s="6" t="n">
        <x:v>5</x:v>
      </x:c>
      <x:c r="H7258" s="6" t="n">
        <x:v>4</x:v>
      </x:c>
      <x:c r="I7258" s="6" t="n">
        <x:f>G7258-H7258</x:f>
        <x:v>1</x:v>
      </x:c>
      <x:c r="J7258" s="6" t="n">
        <x:f>IF(OR(E7258="CANCELED",E7258="SUSPECTED_FRAUD",F7258="Shipping canceled"),0,1)</x:f>
        <x:v>1</x:v>
      </x:c>
      <x:c r="K7258" s="6" t="n">
        <x:f>IF(G7258&gt;H7258,1,0)</x:f>
        <x:v>1</x:v>
      </x:c>
      <x:c r="L7258" s="6" t="n">
        <x:f>J7258*K7258</x:f>
        <x:v>1</x:v>
      </x:c>
    </x:row>
    <x:row r="7259">
      <x:c r="A7259" s="1" t="n">
        <x:v>57516</x:v>
      </x:c>
      <x:c r="B7259" s="5" t="d">
        <x:v>2017-04-19T00:00:00.000Z</x:v>
      </x:c>
      <x:c r="C7259" s="1" t="str">
        <x:v>First Class</x:v>
      </x:c>
      <x:c r="D7259" s="1" t="str">
        <x:v>LATAM</x:v>
      </x:c>
      <x:c r="E7259" s="1" t="str">
        <x:v>CLOSED</x:v>
      </x:c>
      <x:c r="F7259" s="1" t="str">
        <x:v>Late delivery</x:v>
      </x:c>
      <x:c r="G7259" s="6" t="n">
        <x:v>2</x:v>
      </x:c>
      <x:c r="H7259" s="6" t="n">
        <x:v>1</x:v>
      </x:c>
      <x:c r="I7259" s="6" t="n">
        <x:f>G7259-H7259</x:f>
        <x:v>1</x:v>
      </x:c>
      <x:c r="J7259" s="6" t="n">
        <x:f>IF(OR(E7259="CANCELED",E7259="SUSPECTED_FRAUD",F7259="Shipping canceled"),0,1)</x:f>
        <x:v>1</x:v>
      </x:c>
      <x:c r="K7259" s="6" t="n">
        <x:f>IF(G7259&gt;H7259,1,0)</x:f>
        <x:v>1</x:v>
      </x:c>
      <x:c r="L7259" s="6" t="n">
        <x:f>J7259*K7259</x:f>
        <x:v>1</x:v>
      </x:c>
    </x:row>
    <x:row r="7260">
      <x:c r="A7260" s="1" t="n">
        <x:v>57520</x:v>
      </x:c>
      <x:c r="B7260" s="5" t="d">
        <x:v>2017-04-19T00:00:00.000Z</x:v>
      </x:c>
      <x:c r="C7260" s="1" t="str">
        <x:v>Standard Class</x:v>
      </x:c>
      <x:c r="D7260" s="1" t="str">
        <x:v>LATAM</x:v>
      </x:c>
      <x:c r="E7260" s="1" t="str">
        <x:v>PROCESSING</x:v>
      </x:c>
      <x:c r="F7260" s="1" t="str">
        <x:v>Late delivery</x:v>
      </x:c>
      <x:c r="G7260" s="6" t="n">
        <x:v>6</x:v>
      </x:c>
      <x:c r="H7260" s="6" t="n">
        <x:v>4</x:v>
      </x:c>
      <x:c r="I7260" s="6" t="n">
        <x:f>G7260-H7260</x:f>
        <x:v>2</x:v>
      </x:c>
      <x:c r="J7260" s="6" t="n">
        <x:f>IF(OR(E7260="CANCELED",E7260="SUSPECTED_FRAUD",F7260="Shipping canceled"),0,1)</x:f>
        <x:v>1</x:v>
      </x:c>
      <x:c r="K7260" s="6" t="n">
        <x:f>IF(G7260&gt;H7260,1,0)</x:f>
        <x:v>1</x:v>
      </x:c>
      <x:c r="L7260" s="6" t="n">
        <x:f>J7260*K7260</x:f>
        <x:v>1</x:v>
      </x:c>
    </x:row>
    <x:row r="7261">
      <x:c r="A7261" s="1" t="n">
        <x:v>57535</x:v>
      </x:c>
      <x:c r="B7261" s="5" t="d">
        <x:v>2017-04-19T00:00:00.000Z</x:v>
      </x:c>
      <x:c r="C7261" s="1" t="str">
        <x:v>Standard Class</x:v>
      </x:c>
      <x:c r="D7261" s="1" t="str">
        <x:v>LATAM</x:v>
      </x:c>
      <x:c r="E7261" s="1" t="str">
        <x:v>PROCESSING</x:v>
      </x:c>
      <x:c r="F7261" s="1" t="str">
        <x:v>Late delivery</x:v>
      </x:c>
      <x:c r="G7261" s="6" t="n">
        <x:v>6</x:v>
      </x:c>
      <x:c r="H7261" s="6" t="n">
        <x:v>4</x:v>
      </x:c>
      <x:c r="I7261" s="6" t="n">
        <x:f>G7261-H7261</x:f>
        <x:v>2</x:v>
      </x:c>
      <x:c r="J7261" s="6" t="n">
        <x:f>IF(OR(E7261="CANCELED",E7261="SUSPECTED_FRAUD",F7261="Shipping canceled"),0,1)</x:f>
        <x:v>1</x:v>
      </x:c>
      <x:c r="K7261" s="6" t="n">
        <x:f>IF(G7261&gt;H7261,1,0)</x:f>
        <x:v>1</x:v>
      </x:c>
      <x:c r="L7261" s="6" t="n">
        <x:f>J7261*K7261</x:f>
        <x:v>1</x:v>
      </x:c>
    </x:row>
    <x:row r="7262">
      <x:c r="A7262" s="1" t="n">
        <x:v>57538</x:v>
      </x:c>
      <x:c r="B7262" s="5" t="d">
        <x:v>2017-04-19T00:00:00.000Z</x:v>
      </x:c>
      <x:c r="C7262" s="1" t="str">
        <x:v>Standard Class</x:v>
      </x:c>
      <x:c r="D7262" s="1" t="str">
        <x:v>LATAM</x:v>
      </x:c>
      <x:c r="E7262" s="1" t="str">
        <x:v>PROCESSING</x:v>
      </x:c>
      <x:c r="F7262" s="1" t="str">
        <x:v>Shipping on time</x:v>
      </x:c>
      <x:c r="G7262" s="6" t="n">
        <x:v>4</x:v>
      </x:c>
      <x:c r="H7262" s="6" t="n">
        <x:v>4</x:v>
      </x:c>
      <x:c r="I7262" s="6" t="n">
        <x:f>G7262-H7262</x:f>
        <x:v>0</x:v>
      </x:c>
      <x:c r="J7262" s="6" t="n">
        <x:f>IF(OR(E7262="CANCELED",E7262="SUSPECTED_FRAUD",F7262="Shipping canceled"),0,1)</x:f>
        <x:v>1</x:v>
      </x:c>
      <x:c r="K7262" s="6" t="n">
        <x:f>IF(G7262&gt;H7262,1,0)</x:f>
        <x:v>0</x:v>
      </x:c>
      <x:c r="L7262" s="6" t="n">
        <x:f>J7262*K7262</x:f>
        <x:v>0</x:v>
      </x:c>
    </x:row>
    <x:row r="7263">
      <x:c r="A7263" s="1" t="n">
        <x:v>57553</x:v>
      </x:c>
      <x:c r="B7263" s="5" t="d">
        <x:v>2017-04-20T00:00:00.000Z</x:v>
      </x:c>
      <x:c r="C7263" s="1" t="str">
        <x:v>Standard Class</x:v>
      </x:c>
      <x:c r="D7263" s="1" t="str">
        <x:v>LATAM</x:v>
      </x:c>
      <x:c r="E7263" s="1" t="str">
        <x:v>PENDING_PAYMENT</x:v>
      </x:c>
      <x:c r="F7263" s="1" t="str">
        <x:v>Shipping on time</x:v>
      </x:c>
      <x:c r="G7263" s="6" t="n">
        <x:v>4</x:v>
      </x:c>
      <x:c r="H7263" s="6" t="n">
        <x:v>4</x:v>
      </x:c>
      <x:c r="I7263" s="6" t="n">
        <x:f>G7263-H7263</x:f>
        <x:v>0</x:v>
      </x:c>
      <x:c r="J7263" s="6" t="n">
        <x:f>IF(OR(E7263="CANCELED",E7263="SUSPECTED_FRAUD",F7263="Shipping canceled"),0,1)</x:f>
        <x:v>1</x:v>
      </x:c>
      <x:c r="K7263" s="6" t="n">
        <x:f>IF(G7263&gt;H7263,1,0)</x:f>
        <x:v>0</x:v>
      </x:c>
      <x:c r="L7263" s="6" t="n">
        <x:f>J7263*K7263</x:f>
        <x:v>0</x:v>
      </x:c>
    </x:row>
    <x:row r="7264">
      <x:c r="A7264" s="1" t="n">
        <x:v>57560</x:v>
      </x:c>
      <x:c r="B7264" s="5" t="d">
        <x:v>2017-04-20T00:00:00.000Z</x:v>
      </x:c>
      <x:c r="C7264" s="1" t="str">
        <x:v>First Class</x:v>
      </x:c>
      <x:c r="D7264" s="1" t="str">
        <x:v>LATAM</x:v>
      </x:c>
      <x:c r="E7264" s="1" t="str">
        <x:v>CANCELED</x:v>
      </x:c>
      <x:c r="F7264" s="1" t="str">
        <x:v>Shipping canceled</x:v>
      </x:c>
      <x:c r="G7264" s="6" t="n">
        <x:v>2</x:v>
      </x:c>
      <x:c r="H7264" s="6" t="n">
        <x:v>1</x:v>
      </x:c>
      <x:c r="I7264" s="6" t="n">
        <x:f>G7264-H7264</x:f>
        <x:v>1</x:v>
      </x:c>
      <x:c r="J7264" s="6" t="n">
        <x:f>IF(OR(E7264="CANCELED",E7264="SUSPECTED_FRAUD",F7264="Shipping canceled"),0,1)</x:f>
        <x:v>0</x:v>
      </x:c>
      <x:c r="K7264" s="6" t="n">
        <x:f>IF(G7264&gt;H7264,1,0)</x:f>
        <x:v>1</x:v>
      </x:c>
      <x:c r="L7264" s="6" t="n">
        <x:f>J7264*K7264</x:f>
        <x:v>0</x:v>
      </x:c>
    </x:row>
    <x:row r="7265">
      <x:c r="A7265" s="1" t="n">
        <x:v>57566</x:v>
      </x:c>
      <x:c r="B7265" s="5" t="d">
        <x:v>2017-04-20T00:00:00.000Z</x:v>
      </x:c>
      <x:c r="C7265" s="1" t="str">
        <x:v>Standard Class</x:v>
      </x:c>
      <x:c r="D7265" s="1" t="str">
        <x:v>LATAM</x:v>
      </x:c>
      <x:c r="E7265" s="1" t="str">
        <x:v>COMPLETE</x:v>
      </x:c>
      <x:c r="F7265" s="1" t="str">
        <x:v>Advance shipping</x:v>
      </x:c>
      <x:c r="G7265" s="6" t="n">
        <x:v>2</x:v>
      </x:c>
      <x:c r="H7265" s="6" t="n">
        <x:v>4</x:v>
      </x:c>
      <x:c r="I7265" s="6" t="n">
        <x:f>G7265-H7265</x:f>
        <x:v>-2</x:v>
      </x:c>
      <x:c r="J7265" s="6" t="n">
        <x:f>IF(OR(E7265="CANCELED",E7265="SUSPECTED_FRAUD",F7265="Shipping canceled"),0,1)</x:f>
        <x:v>1</x:v>
      </x:c>
      <x:c r="K7265" s="6" t="n">
        <x:f>IF(G7265&gt;H7265,1,0)</x:f>
        <x:v>0</x:v>
      </x:c>
      <x:c r="L7265" s="6" t="n">
        <x:f>J7265*K7265</x:f>
        <x:v>0</x:v>
      </x:c>
    </x:row>
    <x:row r="7266">
      <x:c r="A7266" s="1" t="n">
        <x:v>57570</x:v>
      </x:c>
      <x:c r="B7266" s="5" t="d">
        <x:v>2017-04-20T00:00:00.000Z</x:v>
      </x:c>
      <x:c r="C7266" s="1" t="str">
        <x:v>Standard Class</x:v>
      </x:c>
      <x:c r="D7266" s="1" t="str">
        <x:v>LATAM</x:v>
      </x:c>
      <x:c r="E7266" s="1" t="str">
        <x:v>PROCESSING</x:v>
      </x:c>
      <x:c r="F7266" s="1" t="str">
        <x:v>Late delivery</x:v>
      </x:c>
      <x:c r="G7266" s="6" t="n">
        <x:v>6</x:v>
      </x:c>
      <x:c r="H7266" s="6" t="n">
        <x:v>4</x:v>
      </x:c>
      <x:c r="I7266" s="6" t="n">
        <x:f>G7266-H7266</x:f>
        <x:v>2</x:v>
      </x:c>
      <x:c r="J7266" s="6" t="n">
        <x:f>IF(OR(E7266="CANCELED",E7266="SUSPECTED_FRAUD",F7266="Shipping canceled"),0,1)</x:f>
        <x:v>1</x:v>
      </x:c>
      <x:c r="K7266" s="6" t="n">
        <x:f>IF(G7266&gt;H7266,1,0)</x:f>
        <x:v>1</x:v>
      </x:c>
      <x:c r="L7266" s="6" t="n">
        <x:f>J7266*K7266</x:f>
        <x:v>1</x:v>
      </x:c>
    </x:row>
    <x:row r="7267">
      <x:c r="A7267" s="1" t="n">
        <x:v>57575</x:v>
      </x:c>
      <x:c r="B7267" s="5" t="d">
        <x:v>2017-04-20T00:00:00.000Z</x:v>
      </x:c>
      <x:c r="C7267" s="1" t="str">
        <x:v>Standard Class</x:v>
      </x:c>
      <x:c r="D7267" s="1" t="str">
        <x:v>LATAM</x:v>
      </x:c>
      <x:c r="E7267" s="1" t="str">
        <x:v>PROCESSING</x:v>
      </x:c>
      <x:c r="F7267" s="1" t="str">
        <x:v>Late delivery</x:v>
      </x:c>
      <x:c r="G7267" s="6" t="n">
        <x:v>6</x:v>
      </x:c>
      <x:c r="H7267" s="6" t="n">
        <x:v>4</x:v>
      </x:c>
      <x:c r="I7267" s="6" t="n">
        <x:f>G7267-H7267</x:f>
        <x:v>2</x:v>
      </x:c>
      <x:c r="J7267" s="6" t="n">
        <x:f>IF(OR(E7267="CANCELED",E7267="SUSPECTED_FRAUD",F7267="Shipping canceled"),0,1)</x:f>
        <x:v>1</x:v>
      </x:c>
      <x:c r="K7267" s="6" t="n">
        <x:f>IF(G7267&gt;H7267,1,0)</x:f>
        <x:v>1</x:v>
      </x:c>
      <x:c r="L7267" s="6" t="n">
        <x:f>J7267*K7267</x:f>
        <x:v>1</x:v>
      </x:c>
    </x:row>
    <x:row r="7268">
      <x:c r="A7268" s="1" t="n">
        <x:v>57591</x:v>
      </x:c>
      <x:c r="B7268" s="5" t="d">
        <x:v>2017-04-20T00:00:00.000Z</x:v>
      </x:c>
      <x:c r="C7268" s="1" t="str">
        <x:v>Standard Class</x:v>
      </x:c>
      <x:c r="D7268" s="1" t="str">
        <x:v>LATAM</x:v>
      </x:c>
      <x:c r="E7268" s="1" t="str">
        <x:v>COMPLETE</x:v>
      </x:c>
      <x:c r="F7268" s="1" t="str">
        <x:v>Advance shipping</x:v>
      </x:c>
      <x:c r="G7268" s="6" t="n">
        <x:v>2</x:v>
      </x:c>
      <x:c r="H7268" s="6" t="n">
        <x:v>4</x:v>
      </x:c>
      <x:c r="I7268" s="6" t="n">
        <x:f>G7268-H7268</x:f>
        <x:v>-2</x:v>
      </x:c>
      <x:c r="J7268" s="6" t="n">
        <x:f>IF(OR(E7268="CANCELED",E7268="SUSPECTED_FRAUD",F7268="Shipping canceled"),0,1)</x:f>
        <x:v>1</x:v>
      </x:c>
      <x:c r="K7268" s="6" t="n">
        <x:f>IF(G7268&gt;H7268,1,0)</x:f>
        <x:v>0</x:v>
      </x:c>
      <x:c r="L7268" s="6" t="n">
        <x:f>J7268*K7268</x:f>
        <x:v>0</x:v>
      </x:c>
    </x:row>
    <x:row r="7269">
      <x:c r="A7269" s="1" t="n">
        <x:v>57596</x:v>
      </x:c>
      <x:c r="B7269" s="5" t="d">
        <x:v>2017-04-20T00:00:00.000Z</x:v>
      </x:c>
      <x:c r="C7269" s="1" t="str">
        <x:v>Standard Class</x:v>
      </x:c>
      <x:c r="D7269" s="1" t="str">
        <x:v>LATAM</x:v>
      </x:c>
      <x:c r="E7269" s="1" t="str">
        <x:v>PENDING_PAYMENT</x:v>
      </x:c>
      <x:c r="F7269" s="1" t="str">
        <x:v>Advance shipping</x:v>
      </x:c>
      <x:c r="G7269" s="6" t="n">
        <x:v>2</x:v>
      </x:c>
      <x:c r="H7269" s="6" t="n">
        <x:v>4</x:v>
      </x:c>
      <x:c r="I7269" s="6" t="n">
        <x:f>G7269-H7269</x:f>
        <x:v>-2</x:v>
      </x:c>
      <x:c r="J7269" s="6" t="n">
        <x:f>IF(OR(E7269="CANCELED",E7269="SUSPECTED_FRAUD",F7269="Shipping canceled"),0,1)</x:f>
        <x:v>1</x:v>
      </x:c>
      <x:c r="K7269" s="6" t="n">
        <x:f>IF(G7269&gt;H7269,1,0)</x:f>
        <x:v>0</x:v>
      </x:c>
      <x:c r="L7269" s="6" t="n">
        <x:f>J7269*K7269</x:f>
        <x:v>0</x:v>
      </x:c>
    </x:row>
    <x:row r="7270">
      <x:c r="A7270" s="1" t="n">
        <x:v>57598</x:v>
      </x:c>
      <x:c r="B7270" s="5" t="d">
        <x:v>2017-04-20T00:00:00.000Z</x:v>
      </x:c>
      <x:c r="C7270" s="1" t="str">
        <x:v>Standard Class</x:v>
      </x:c>
      <x:c r="D7270" s="1" t="str">
        <x:v>LATAM</x:v>
      </x:c>
      <x:c r="E7270" s="1" t="str">
        <x:v>PENDING</x:v>
      </x:c>
      <x:c r="F7270" s="1" t="str">
        <x:v>Shipping on time</x:v>
      </x:c>
      <x:c r="G7270" s="6" t="n">
        <x:v>4</x:v>
      </x:c>
      <x:c r="H7270" s="6" t="n">
        <x:v>4</x:v>
      </x:c>
      <x:c r="I7270" s="6" t="n">
        <x:f>G7270-H7270</x:f>
        <x:v>0</x:v>
      </x:c>
      <x:c r="J7270" s="6" t="n">
        <x:f>IF(OR(E7270="CANCELED",E7270="SUSPECTED_FRAUD",F7270="Shipping canceled"),0,1)</x:f>
        <x:v>1</x:v>
      </x:c>
      <x:c r="K7270" s="6" t="n">
        <x:f>IF(G7270&gt;H7270,1,0)</x:f>
        <x:v>0</x:v>
      </x:c>
      <x:c r="L7270" s="6" t="n">
        <x:f>J7270*K7270</x:f>
        <x:v>0</x:v>
      </x:c>
    </x:row>
    <x:row r="7271">
      <x:c r="A7271" s="1" t="n">
        <x:v>57603</x:v>
      </x:c>
      <x:c r="B7271" s="5" t="d">
        <x:v>2017-04-20T00:00:00.000Z</x:v>
      </x:c>
      <x:c r="C7271" s="1" t="str">
        <x:v>Standard Class</x:v>
      </x:c>
      <x:c r="D7271" s="1" t="str">
        <x:v>LATAM</x:v>
      </x:c>
      <x:c r="E7271" s="1" t="str">
        <x:v>COMPLETE</x:v>
      </x:c>
      <x:c r="F7271" s="1" t="str">
        <x:v>Shipping on time</x:v>
      </x:c>
      <x:c r="G7271" s="6" t="n">
        <x:v>4</x:v>
      </x:c>
      <x:c r="H7271" s="6" t="n">
        <x:v>4</x:v>
      </x:c>
      <x:c r="I7271" s="6" t="n">
        <x:f>G7271-H7271</x:f>
        <x:v>0</x:v>
      </x:c>
      <x:c r="J7271" s="6" t="n">
        <x:f>IF(OR(E7271="CANCELED",E7271="SUSPECTED_FRAUD",F7271="Shipping canceled"),0,1)</x:f>
        <x:v>1</x:v>
      </x:c>
      <x:c r="K7271" s="6" t="n">
        <x:f>IF(G7271&gt;H7271,1,0)</x:f>
        <x:v>0</x:v>
      </x:c>
      <x:c r="L7271" s="6" t="n">
        <x:f>J7271*K7271</x:f>
        <x:v>0</x:v>
      </x:c>
    </x:row>
    <x:row r="7272">
      <x:c r="A7272" s="1" t="n">
        <x:v>57606</x:v>
      </x:c>
      <x:c r="B7272" s="5" t="d">
        <x:v>2017-04-20T00:00:00.000Z</x:v>
      </x:c>
      <x:c r="C7272" s="1" t="str">
        <x:v>Standard Class</x:v>
      </x:c>
      <x:c r="D7272" s="1" t="str">
        <x:v>LATAM</x:v>
      </x:c>
      <x:c r="E7272" s="1" t="str">
        <x:v>COMPLETE</x:v>
      </x:c>
      <x:c r="F7272" s="1" t="str">
        <x:v>Advance shipping</x:v>
      </x:c>
      <x:c r="G7272" s="6" t="n">
        <x:v>2</x:v>
      </x:c>
      <x:c r="H7272" s="6" t="n">
        <x:v>4</x:v>
      </x:c>
      <x:c r="I7272" s="6" t="n">
        <x:f>G7272-H7272</x:f>
        <x:v>-2</x:v>
      </x:c>
      <x:c r="J7272" s="6" t="n">
        <x:f>IF(OR(E7272="CANCELED",E7272="SUSPECTED_FRAUD",F7272="Shipping canceled"),0,1)</x:f>
        <x:v>1</x:v>
      </x:c>
      <x:c r="K7272" s="6" t="n">
        <x:f>IF(G7272&gt;H7272,1,0)</x:f>
        <x:v>0</x:v>
      </x:c>
      <x:c r="L7272" s="6" t="n">
        <x:f>J7272*K7272</x:f>
        <x:v>0</x:v>
      </x:c>
    </x:row>
    <x:row r="7273">
      <x:c r="A7273" s="1" t="n">
        <x:v>57608</x:v>
      </x:c>
      <x:c r="B7273" s="5" t="d">
        <x:v>2017-04-20T00:00:00.000Z</x:v>
      </x:c>
      <x:c r="C7273" s="1" t="str">
        <x:v>Standard Class</x:v>
      </x:c>
      <x:c r="D7273" s="1" t="str">
        <x:v>LATAM</x:v>
      </x:c>
      <x:c r="E7273" s="1" t="str">
        <x:v>PENDING_PAYMENT</x:v>
      </x:c>
      <x:c r="F7273" s="1" t="str">
        <x:v>Shipping on time</x:v>
      </x:c>
      <x:c r="G7273" s="6" t="n">
        <x:v>4</x:v>
      </x:c>
      <x:c r="H7273" s="6" t="n">
        <x:v>4</x:v>
      </x:c>
      <x:c r="I7273" s="6" t="n">
        <x:f>G7273-H7273</x:f>
        <x:v>0</x:v>
      </x:c>
      <x:c r="J7273" s="6" t="n">
        <x:f>IF(OR(E7273="CANCELED",E7273="SUSPECTED_FRAUD",F7273="Shipping canceled"),0,1)</x:f>
        <x:v>1</x:v>
      </x:c>
      <x:c r="K7273" s="6" t="n">
        <x:f>IF(G7273&gt;H7273,1,0)</x:f>
        <x:v>0</x:v>
      </x:c>
      <x:c r="L7273" s="6" t="n">
        <x:f>J7273*K7273</x:f>
        <x:v>0</x:v>
      </x:c>
    </x:row>
    <x:row r="7274">
      <x:c r="A7274" s="1" t="n">
        <x:v>57610</x:v>
      </x:c>
      <x:c r="B7274" s="5" t="d">
        <x:v>2017-04-20T00:00:00.000Z</x:v>
      </x:c>
      <x:c r="C7274" s="1" t="str">
        <x:v>Standard Class</x:v>
      </x:c>
      <x:c r="D7274" s="1" t="str">
        <x:v>LATAM</x:v>
      </x:c>
      <x:c r="E7274" s="1" t="str">
        <x:v>PENDING</x:v>
      </x:c>
      <x:c r="F7274" s="1" t="str">
        <x:v>Late delivery</x:v>
      </x:c>
      <x:c r="G7274" s="6" t="n">
        <x:v>6</x:v>
      </x:c>
      <x:c r="H7274" s="6" t="n">
        <x:v>4</x:v>
      </x:c>
      <x:c r="I7274" s="6" t="n">
        <x:f>G7274-H7274</x:f>
        <x:v>2</x:v>
      </x:c>
      <x:c r="J7274" s="6" t="n">
        <x:f>IF(OR(E7274="CANCELED",E7274="SUSPECTED_FRAUD",F7274="Shipping canceled"),0,1)</x:f>
        <x:v>1</x:v>
      </x:c>
      <x:c r="K7274" s="6" t="n">
        <x:f>IF(G7274&gt;H7274,1,0)</x:f>
        <x:v>1</x:v>
      </x:c>
      <x:c r="L7274" s="6" t="n">
        <x:f>J7274*K7274</x:f>
        <x:v>1</x:v>
      </x:c>
    </x:row>
    <x:row r="7275">
      <x:c r="A7275" s="1" t="n">
        <x:v>57611</x:v>
      </x:c>
      <x:c r="B7275" s="5" t="d">
        <x:v>2017-04-20T00:00:00.000Z</x:v>
      </x:c>
      <x:c r="C7275" s="1" t="str">
        <x:v>Standard Class</x:v>
      </x:c>
      <x:c r="D7275" s="1" t="str">
        <x:v>LATAM</x:v>
      </x:c>
      <x:c r="E7275" s="1" t="str">
        <x:v>ON_HOLD</x:v>
      </x:c>
      <x:c r="F7275" s="1" t="str">
        <x:v>Advance shipping</x:v>
      </x:c>
      <x:c r="G7275" s="6" t="n">
        <x:v>2</x:v>
      </x:c>
      <x:c r="H7275" s="6" t="n">
        <x:v>4</x:v>
      </x:c>
      <x:c r="I7275" s="6" t="n">
        <x:f>G7275-H7275</x:f>
        <x:v>-2</x:v>
      </x:c>
      <x:c r="J7275" s="6" t="n">
        <x:f>IF(OR(E7275="CANCELED",E7275="SUSPECTED_FRAUD",F7275="Shipping canceled"),0,1)</x:f>
        <x:v>1</x:v>
      </x:c>
      <x:c r="K7275" s="6" t="n">
        <x:f>IF(G7275&gt;H7275,1,0)</x:f>
        <x:v>0</x:v>
      </x:c>
      <x:c r="L7275" s="6" t="n">
        <x:f>J7275*K7275</x:f>
        <x:v>0</x:v>
      </x:c>
    </x:row>
    <x:row r="7276">
      <x:c r="A7276" s="1" t="n">
        <x:v>57613</x:v>
      </x:c>
      <x:c r="B7276" s="5" t="d">
        <x:v>2017-04-21T00:00:00.000Z</x:v>
      </x:c>
      <x:c r="C7276" s="1" t="str">
        <x:v>Same Day</x:v>
      </x:c>
      <x:c r="D7276" s="1" t="str">
        <x:v>LATAM</x:v>
      </x:c>
      <x:c r="E7276" s="1" t="str">
        <x:v>CLOSED</x:v>
      </x:c>
      <x:c r="F7276" s="1" t="str">
        <x:v>Shipping on time</x:v>
      </x:c>
      <x:c r="G7276" s="6" t="n">
        <x:v>0</x:v>
      </x:c>
      <x:c r="H7276" s="6" t="n">
        <x:v>0</x:v>
      </x:c>
      <x:c r="I7276" s="6" t="n">
        <x:f>G7276-H7276</x:f>
        <x:v>0</x:v>
      </x:c>
      <x:c r="J7276" s="6" t="n">
        <x:f>IF(OR(E7276="CANCELED",E7276="SUSPECTED_FRAUD",F7276="Shipping canceled"),0,1)</x:f>
        <x:v>1</x:v>
      </x:c>
      <x:c r="K7276" s="6" t="n">
        <x:f>IF(G7276&gt;H7276,1,0)</x:f>
        <x:v>0</x:v>
      </x:c>
      <x:c r="L7276" s="6" t="n">
        <x:f>J7276*K7276</x:f>
        <x:v>0</x:v>
      </x:c>
    </x:row>
    <x:row r="7277">
      <x:c r="A7277" s="1" t="n">
        <x:v>57614</x:v>
      </x:c>
      <x:c r="B7277" s="5" t="d">
        <x:v>2017-04-21T00:00:00.000Z</x:v>
      </x:c>
      <x:c r="C7277" s="1" t="str">
        <x:v>Same Day</x:v>
      </x:c>
      <x:c r="D7277" s="1" t="str">
        <x:v>LATAM</x:v>
      </x:c>
      <x:c r="E7277" s="1" t="str">
        <x:v>PROCESSING</x:v>
      </x:c>
      <x:c r="F7277" s="1" t="str">
        <x:v>Shipping on time</x:v>
      </x:c>
      <x:c r="G7277" s="6" t="n">
        <x:v>0</x:v>
      </x:c>
      <x:c r="H7277" s="6" t="n">
        <x:v>0</x:v>
      </x:c>
      <x:c r="I7277" s="6" t="n">
        <x:f>G7277-H7277</x:f>
        <x:v>0</x:v>
      </x:c>
      <x:c r="J7277" s="6" t="n">
        <x:f>IF(OR(E7277="CANCELED",E7277="SUSPECTED_FRAUD",F7277="Shipping canceled"),0,1)</x:f>
        <x:v>1</x:v>
      </x:c>
      <x:c r="K7277" s="6" t="n">
        <x:f>IF(G7277&gt;H7277,1,0)</x:f>
        <x:v>0</x:v>
      </x:c>
      <x:c r="L7277" s="6" t="n">
        <x:f>J7277*K7277</x:f>
        <x:v>0</x:v>
      </x:c>
    </x:row>
    <x:row r="7278">
      <x:c r="A7278" s="1" t="n">
        <x:v>57640</x:v>
      </x:c>
      <x:c r="B7278" s="5" t="d">
        <x:v>2017-04-21T00:00:00.000Z</x:v>
      </x:c>
      <x:c r="C7278" s="1" t="str">
        <x:v>Standard Class</x:v>
      </x:c>
      <x:c r="D7278" s="1" t="str">
        <x:v>LATAM</x:v>
      </x:c>
      <x:c r="E7278" s="1" t="str">
        <x:v>COMPLETE</x:v>
      </x:c>
      <x:c r="F7278" s="1" t="str">
        <x:v>Late delivery</x:v>
      </x:c>
      <x:c r="G7278" s="6" t="n">
        <x:v>6</x:v>
      </x:c>
      <x:c r="H7278" s="6" t="n">
        <x:v>4</x:v>
      </x:c>
      <x:c r="I7278" s="6" t="n">
        <x:f>G7278-H7278</x:f>
        <x:v>2</x:v>
      </x:c>
      <x:c r="J7278" s="6" t="n">
        <x:f>IF(OR(E7278="CANCELED",E7278="SUSPECTED_FRAUD",F7278="Shipping canceled"),0,1)</x:f>
        <x:v>1</x:v>
      </x:c>
      <x:c r="K7278" s="6" t="n">
        <x:f>IF(G7278&gt;H7278,1,0)</x:f>
        <x:v>1</x:v>
      </x:c>
      <x:c r="L7278" s="6" t="n">
        <x:f>J7278*K7278</x:f>
        <x:v>1</x:v>
      </x:c>
    </x:row>
    <x:row r="7279">
      <x:c r="A7279" s="1" t="n">
        <x:v>57664</x:v>
      </x:c>
      <x:c r="B7279" s="5" t="d">
        <x:v>2017-04-21T00:00:00.000Z</x:v>
      </x:c>
      <x:c r="C7279" s="1" t="str">
        <x:v>Standard Class</x:v>
      </x:c>
      <x:c r="D7279" s="1" t="str">
        <x:v>LATAM</x:v>
      </x:c>
      <x:c r="E7279" s="1" t="str">
        <x:v>PROCESSING</x:v>
      </x:c>
      <x:c r="F7279" s="1" t="str">
        <x:v>Late delivery</x:v>
      </x:c>
      <x:c r="G7279" s="6" t="n">
        <x:v>5</x:v>
      </x:c>
      <x:c r="H7279" s="6" t="n">
        <x:v>4</x:v>
      </x:c>
      <x:c r="I7279" s="6" t="n">
        <x:f>G7279-H7279</x:f>
        <x:v>1</x:v>
      </x:c>
      <x:c r="J7279" s="6" t="n">
        <x:f>IF(OR(E7279="CANCELED",E7279="SUSPECTED_FRAUD",F7279="Shipping canceled"),0,1)</x:f>
        <x:v>1</x:v>
      </x:c>
      <x:c r="K7279" s="6" t="n">
        <x:f>IF(G7279&gt;H7279,1,0)</x:f>
        <x:v>1</x:v>
      </x:c>
      <x:c r="L7279" s="6" t="n">
        <x:f>J7279*K7279</x:f>
        <x:v>1</x:v>
      </x:c>
    </x:row>
    <x:row r="7280">
      <x:c r="A7280" s="1" t="n">
        <x:v>57667</x:v>
      </x:c>
      <x:c r="B7280" s="5" t="d">
        <x:v>2017-04-21T00:00:00.000Z</x:v>
      </x:c>
      <x:c r="C7280" s="1" t="str">
        <x:v>First Class</x:v>
      </x:c>
      <x:c r="D7280" s="1" t="str">
        <x:v>LATAM</x:v>
      </x:c>
      <x:c r="E7280" s="1" t="str">
        <x:v>PENDING</x:v>
      </x:c>
      <x:c r="F7280" s="1" t="str">
        <x:v>Late delivery</x:v>
      </x:c>
      <x:c r="G7280" s="6" t="n">
        <x:v>2</x:v>
      </x:c>
      <x:c r="H7280" s="6" t="n">
        <x:v>1</x:v>
      </x:c>
      <x:c r="I7280" s="6" t="n">
        <x:f>G7280-H7280</x:f>
        <x:v>1</x:v>
      </x:c>
      <x:c r="J7280" s="6" t="n">
        <x:f>IF(OR(E7280="CANCELED",E7280="SUSPECTED_FRAUD",F7280="Shipping canceled"),0,1)</x:f>
        <x:v>1</x:v>
      </x:c>
      <x:c r="K7280" s="6" t="n">
        <x:f>IF(G7280&gt;H7280,1,0)</x:f>
        <x:v>1</x:v>
      </x:c>
      <x:c r="L7280" s="6" t="n">
        <x:f>J7280*K7280</x:f>
        <x:v>1</x:v>
      </x:c>
    </x:row>
    <x:row r="7281">
      <x:c r="A7281" s="1" t="n">
        <x:v>57673</x:v>
      </x:c>
      <x:c r="B7281" s="5" t="d">
        <x:v>2017-04-21T00:00:00.000Z</x:v>
      </x:c>
      <x:c r="C7281" s="1" t="str">
        <x:v>Standard Class</x:v>
      </x:c>
      <x:c r="D7281" s="1" t="str">
        <x:v>LATAM</x:v>
      </x:c>
      <x:c r="E7281" s="1" t="str">
        <x:v>ON_HOLD</x:v>
      </x:c>
      <x:c r="F7281" s="1" t="str">
        <x:v>Shipping on time</x:v>
      </x:c>
      <x:c r="G7281" s="6" t="n">
        <x:v>4</x:v>
      </x:c>
      <x:c r="H7281" s="6" t="n">
        <x:v>4</x:v>
      </x:c>
      <x:c r="I7281" s="6" t="n">
        <x:f>G7281-H7281</x:f>
        <x:v>0</x:v>
      </x:c>
      <x:c r="J7281" s="6" t="n">
        <x:f>IF(OR(E7281="CANCELED",E7281="SUSPECTED_FRAUD",F7281="Shipping canceled"),0,1)</x:f>
        <x:v>1</x:v>
      </x:c>
      <x:c r="K7281" s="6" t="n">
        <x:f>IF(G7281&gt;H7281,1,0)</x:f>
        <x:v>0</x:v>
      </x:c>
      <x:c r="L7281" s="6" t="n">
        <x:f>J7281*K7281</x:f>
        <x:v>0</x:v>
      </x:c>
    </x:row>
    <x:row r="7282">
      <x:c r="A7282" s="1" t="n">
        <x:v>57686</x:v>
      </x:c>
      <x:c r="B7282" s="5" t="d">
        <x:v>2017-04-22T00:00:00.000Z</x:v>
      </x:c>
      <x:c r="C7282" s="1" t="str">
        <x:v>First Class</x:v>
      </x:c>
      <x:c r="D7282" s="1" t="str">
        <x:v>LATAM</x:v>
      </x:c>
      <x:c r="E7282" s="1" t="str">
        <x:v>CLOSED</x:v>
      </x:c>
      <x:c r="F7282" s="1" t="str">
        <x:v>Late delivery</x:v>
      </x:c>
      <x:c r="G7282" s="6" t="n">
        <x:v>2</x:v>
      </x:c>
      <x:c r="H7282" s="6" t="n">
        <x:v>1</x:v>
      </x:c>
      <x:c r="I7282" s="6" t="n">
        <x:f>G7282-H7282</x:f>
        <x:v>1</x:v>
      </x:c>
      <x:c r="J7282" s="6" t="n">
        <x:f>IF(OR(E7282="CANCELED",E7282="SUSPECTED_FRAUD",F7282="Shipping canceled"),0,1)</x:f>
        <x:v>1</x:v>
      </x:c>
      <x:c r="K7282" s="6" t="n">
        <x:f>IF(G7282&gt;H7282,1,0)</x:f>
        <x:v>1</x:v>
      </x:c>
      <x:c r="L7282" s="6" t="n">
        <x:f>J7282*K7282</x:f>
        <x:v>1</x:v>
      </x:c>
    </x:row>
    <x:row r="7283">
      <x:c r="A7283" s="1" t="n">
        <x:v>57698</x:v>
      </x:c>
      <x:c r="B7283" s="5" t="d">
        <x:v>2017-04-22T00:00:00.000Z</x:v>
      </x:c>
      <x:c r="C7283" s="1" t="str">
        <x:v>Standard Class</x:v>
      </x:c>
      <x:c r="D7283" s="1" t="str">
        <x:v>LATAM</x:v>
      </x:c>
      <x:c r="E7283" s="1" t="str">
        <x:v>PENDING</x:v>
      </x:c>
      <x:c r="F7283" s="1" t="str">
        <x:v>Shipping on time</x:v>
      </x:c>
      <x:c r="G7283" s="6" t="n">
        <x:v>4</x:v>
      </x:c>
      <x:c r="H7283" s="6" t="n">
        <x:v>4</x:v>
      </x:c>
      <x:c r="I7283" s="6" t="n">
        <x:f>G7283-H7283</x:f>
        <x:v>0</x:v>
      </x:c>
      <x:c r="J7283" s="6" t="n">
        <x:f>IF(OR(E7283="CANCELED",E7283="SUSPECTED_FRAUD",F7283="Shipping canceled"),0,1)</x:f>
        <x:v>1</x:v>
      </x:c>
      <x:c r="K7283" s="6" t="n">
        <x:f>IF(G7283&gt;H7283,1,0)</x:f>
        <x:v>0</x:v>
      </x:c>
      <x:c r="L7283" s="6" t="n">
        <x:f>J7283*K7283</x:f>
        <x:v>0</x:v>
      </x:c>
    </x:row>
    <x:row r="7284">
      <x:c r="A7284" s="1" t="n">
        <x:v>57703</x:v>
      </x:c>
      <x:c r="B7284" s="5" t="d">
        <x:v>2017-04-22T00:00:00.000Z</x:v>
      </x:c>
      <x:c r="C7284" s="1" t="str">
        <x:v>Second Class</x:v>
      </x:c>
      <x:c r="D7284" s="1" t="str">
        <x:v>LATAM</x:v>
      </x:c>
      <x:c r="E7284" s="1" t="str">
        <x:v>COMPLETE</x:v>
      </x:c>
      <x:c r="F7284" s="1" t="str">
        <x:v>Late delivery</x:v>
      </x:c>
      <x:c r="G7284" s="6" t="n">
        <x:v>4</x:v>
      </x:c>
      <x:c r="H7284" s="6" t="n">
        <x:v>2</x:v>
      </x:c>
      <x:c r="I7284" s="6" t="n">
        <x:f>G7284-H7284</x:f>
        <x:v>2</x:v>
      </x:c>
      <x:c r="J7284" s="6" t="n">
        <x:f>IF(OR(E7284="CANCELED",E7284="SUSPECTED_FRAUD",F7284="Shipping canceled"),0,1)</x:f>
        <x:v>1</x:v>
      </x:c>
      <x:c r="K7284" s="6" t="n">
        <x:f>IF(G7284&gt;H7284,1,0)</x:f>
        <x:v>1</x:v>
      </x:c>
      <x:c r="L7284" s="6" t="n">
        <x:f>J7284*K7284</x:f>
        <x:v>1</x:v>
      </x:c>
    </x:row>
    <x:row r="7285">
      <x:c r="A7285" s="1" t="n">
        <x:v>57716</x:v>
      </x:c>
      <x:c r="B7285" s="5" t="d">
        <x:v>2017-04-22T00:00:00.000Z</x:v>
      </x:c>
      <x:c r="C7285" s="1" t="str">
        <x:v>Second Class</x:v>
      </x:c>
      <x:c r="D7285" s="1" t="str">
        <x:v>LATAM</x:v>
      </x:c>
      <x:c r="E7285" s="1" t="str">
        <x:v>COMPLETE</x:v>
      </x:c>
      <x:c r="F7285" s="1" t="str">
        <x:v>Shipping on time</x:v>
      </x:c>
      <x:c r="G7285" s="6" t="n">
        <x:v>2</x:v>
      </x:c>
      <x:c r="H7285" s="6" t="n">
        <x:v>2</x:v>
      </x:c>
      <x:c r="I7285" s="6" t="n">
        <x:f>G7285-H7285</x:f>
        <x:v>0</x:v>
      </x:c>
      <x:c r="J7285" s="6" t="n">
        <x:f>IF(OR(E7285="CANCELED",E7285="SUSPECTED_FRAUD",F7285="Shipping canceled"),0,1)</x:f>
        <x:v>1</x:v>
      </x:c>
      <x:c r="K7285" s="6" t="n">
        <x:f>IF(G7285&gt;H7285,1,0)</x:f>
        <x:v>0</x:v>
      </x:c>
      <x:c r="L7285" s="6" t="n">
        <x:f>J7285*K7285</x:f>
        <x:v>0</x:v>
      </x:c>
    </x:row>
    <x:row r="7286">
      <x:c r="A7286" s="1" t="n">
        <x:v>57737</x:v>
      </x:c>
      <x:c r="B7286" s="5" t="d">
        <x:v>2017-04-22T00:00:00.000Z</x:v>
      </x:c>
      <x:c r="C7286" s="1" t="str">
        <x:v>Standard Class</x:v>
      </x:c>
      <x:c r="D7286" s="1" t="str">
        <x:v>LATAM</x:v>
      </x:c>
      <x:c r="E7286" s="1" t="str">
        <x:v>COMPLETE</x:v>
      </x:c>
      <x:c r="F7286" s="1" t="str">
        <x:v>Advance shipping</x:v>
      </x:c>
      <x:c r="G7286" s="6" t="n">
        <x:v>3</x:v>
      </x:c>
      <x:c r="H7286" s="6" t="n">
        <x:v>4</x:v>
      </x:c>
      <x:c r="I7286" s="6" t="n">
        <x:f>G7286-H7286</x:f>
        <x:v>-1</x:v>
      </x:c>
      <x:c r="J7286" s="6" t="n">
        <x:f>IF(OR(E7286="CANCELED",E7286="SUSPECTED_FRAUD",F7286="Shipping canceled"),0,1)</x:f>
        <x:v>1</x:v>
      </x:c>
      <x:c r="K7286" s="6" t="n">
        <x:f>IF(G7286&gt;H7286,1,0)</x:f>
        <x:v>0</x:v>
      </x:c>
      <x:c r="L7286" s="6" t="n">
        <x:f>J7286*K7286</x:f>
        <x:v>0</x:v>
      </x:c>
    </x:row>
    <x:row r="7287">
      <x:c r="A7287" s="1" t="n">
        <x:v>57739</x:v>
      </x:c>
      <x:c r="B7287" s="5" t="d">
        <x:v>2017-04-22T00:00:00.000Z</x:v>
      </x:c>
      <x:c r="C7287" s="1" t="str">
        <x:v>Standard Class</x:v>
      </x:c>
      <x:c r="D7287" s="1" t="str">
        <x:v>LATAM</x:v>
      </x:c>
      <x:c r="E7287" s="1" t="str">
        <x:v>COMPLETE</x:v>
      </x:c>
      <x:c r="F7287" s="1" t="str">
        <x:v>Late delivery</x:v>
      </x:c>
      <x:c r="G7287" s="6" t="n">
        <x:v>5</x:v>
      </x:c>
      <x:c r="H7287" s="6" t="n">
        <x:v>4</x:v>
      </x:c>
      <x:c r="I7287" s="6" t="n">
        <x:f>G7287-H7287</x:f>
        <x:v>1</x:v>
      </x:c>
      <x:c r="J7287" s="6" t="n">
        <x:f>IF(OR(E7287="CANCELED",E7287="SUSPECTED_FRAUD",F7287="Shipping canceled"),0,1)</x:f>
        <x:v>1</x:v>
      </x:c>
      <x:c r="K7287" s="6" t="n">
        <x:f>IF(G7287&gt;H7287,1,0)</x:f>
        <x:v>1</x:v>
      </x:c>
      <x:c r="L7287" s="6" t="n">
        <x:f>J7287*K7287</x:f>
        <x:v>1</x:v>
      </x:c>
    </x:row>
    <x:row r="7288">
      <x:c r="A7288" s="1" t="n">
        <x:v>57742</x:v>
      </x:c>
      <x:c r="B7288" s="5" t="d">
        <x:v>2017-04-22T00:00:00.000Z</x:v>
      </x:c>
      <x:c r="C7288" s="1" t="str">
        <x:v>Standard Class</x:v>
      </x:c>
      <x:c r="D7288" s="1" t="str">
        <x:v>LATAM</x:v>
      </x:c>
      <x:c r="E7288" s="1" t="str">
        <x:v>COMPLETE</x:v>
      </x:c>
      <x:c r="F7288" s="1" t="str">
        <x:v>Advance shipping</x:v>
      </x:c>
      <x:c r="G7288" s="6" t="n">
        <x:v>3</x:v>
      </x:c>
      <x:c r="H7288" s="6" t="n">
        <x:v>4</x:v>
      </x:c>
      <x:c r="I7288" s="6" t="n">
        <x:f>G7288-H7288</x:f>
        <x:v>-1</x:v>
      </x:c>
      <x:c r="J7288" s="6" t="n">
        <x:f>IF(OR(E7288="CANCELED",E7288="SUSPECTED_FRAUD",F7288="Shipping canceled"),0,1)</x:f>
        <x:v>1</x:v>
      </x:c>
      <x:c r="K7288" s="6" t="n">
        <x:f>IF(G7288&gt;H7288,1,0)</x:f>
        <x:v>0</x:v>
      </x:c>
      <x:c r="L7288" s="6" t="n">
        <x:f>J7288*K7288</x:f>
        <x:v>0</x:v>
      </x:c>
    </x:row>
    <x:row r="7289">
      <x:c r="A7289" s="1" t="n">
        <x:v>57746</x:v>
      </x:c>
      <x:c r="B7289" s="5" t="d">
        <x:v>2017-04-22T00:00:00.000Z</x:v>
      </x:c>
      <x:c r="C7289" s="1" t="str">
        <x:v>Second Class</x:v>
      </x:c>
      <x:c r="D7289" s="1" t="str">
        <x:v>LATAM</x:v>
      </x:c>
      <x:c r="E7289" s="1" t="str">
        <x:v>PENDING_PAYMENT</x:v>
      </x:c>
      <x:c r="F7289" s="1" t="str">
        <x:v>Shipping on time</x:v>
      </x:c>
      <x:c r="G7289" s="6" t="n">
        <x:v>2</x:v>
      </x:c>
      <x:c r="H7289" s="6" t="n">
        <x:v>2</x:v>
      </x:c>
      <x:c r="I7289" s="6" t="n">
        <x:f>G7289-H7289</x:f>
        <x:v>0</x:v>
      </x:c>
      <x:c r="J7289" s="6" t="n">
        <x:f>IF(OR(E7289="CANCELED",E7289="SUSPECTED_FRAUD",F7289="Shipping canceled"),0,1)</x:f>
        <x:v>1</x:v>
      </x:c>
      <x:c r="K7289" s="6" t="n">
        <x:f>IF(G7289&gt;H7289,1,0)</x:f>
        <x:v>0</x:v>
      </x:c>
      <x:c r="L7289" s="6" t="n">
        <x:f>J7289*K7289</x:f>
        <x:v>0</x:v>
      </x:c>
    </x:row>
    <x:row r="7290">
      <x:c r="A7290" s="1" t="n">
        <x:v>57749</x:v>
      </x:c>
      <x:c r="B7290" s="5" t="d">
        <x:v>2017-04-22T00:00:00.000Z</x:v>
      </x:c>
      <x:c r="C7290" s="1" t="str">
        <x:v>First Class</x:v>
      </x:c>
      <x:c r="D7290" s="1" t="str">
        <x:v>LATAM</x:v>
      </x:c>
      <x:c r="E7290" s="1" t="str">
        <x:v>CLOSED</x:v>
      </x:c>
      <x:c r="F7290" s="1" t="str">
        <x:v>Late delivery</x:v>
      </x:c>
      <x:c r="G7290" s="6" t="n">
        <x:v>2</x:v>
      </x:c>
      <x:c r="H7290" s="6" t="n">
        <x:v>1</x:v>
      </x:c>
      <x:c r="I7290" s="6" t="n">
        <x:f>G7290-H7290</x:f>
        <x:v>1</x:v>
      </x:c>
      <x:c r="J7290" s="6" t="n">
        <x:f>IF(OR(E7290="CANCELED",E7290="SUSPECTED_FRAUD",F7290="Shipping canceled"),0,1)</x:f>
        <x:v>1</x:v>
      </x:c>
      <x:c r="K7290" s="6" t="n">
        <x:f>IF(G7290&gt;H7290,1,0)</x:f>
        <x:v>1</x:v>
      </x:c>
      <x:c r="L7290" s="6" t="n">
        <x:f>J7290*K7290</x:f>
        <x:v>1</x:v>
      </x:c>
    </x:row>
    <x:row r="7291">
      <x:c r="A7291" s="1" t="n">
        <x:v>57764</x:v>
      </x:c>
      <x:c r="B7291" s="5" t="d">
        <x:v>2017-04-23T00:00:00.000Z</x:v>
      </x:c>
      <x:c r="C7291" s="1" t="str">
        <x:v>Standard Class</x:v>
      </x:c>
      <x:c r="D7291" s="1" t="str">
        <x:v>LATAM</x:v>
      </x:c>
      <x:c r="E7291" s="1" t="str">
        <x:v>COMPLETE</x:v>
      </x:c>
      <x:c r="F7291" s="1" t="str">
        <x:v>Late delivery</x:v>
      </x:c>
      <x:c r="G7291" s="6" t="n">
        <x:v>5</x:v>
      </x:c>
      <x:c r="H7291" s="6" t="n">
        <x:v>4</x:v>
      </x:c>
      <x:c r="I7291" s="6" t="n">
        <x:f>G7291-H7291</x:f>
        <x:v>1</x:v>
      </x:c>
      <x:c r="J7291" s="6" t="n">
        <x:f>IF(OR(E7291="CANCELED",E7291="SUSPECTED_FRAUD",F7291="Shipping canceled"),0,1)</x:f>
        <x:v>1</x:v>
      </x:c>
      <x:c r="K7291" s="6" t="n">
        <x:f>IF(G7291&gt;H7291,1,0)</x:f>
        <x:v>1</x:v>
      </x:c>
      <x:c r="L7291" s="6" t="n">
        <x:f>J7291*K7291</x:f>
        <x:v>1</x:v>
      </x:c>
    </x:row>
    <x:row r="7292">
      <x:c r="A7292" s="1" t="n">
        <x:v>57793</x:v>
      </x:c>
      <x:c r="B7292" s="5" t="d">
        <x:v>2017-04-23T00:00:00.000Z</x:v>
      </x:c>
      <x:c r="C7292" s="1" t="str">
        <x:v>Second Class</x:v>
      </x:c>
      <x:c r="D7292" s="1" t="str">
        <x:v>LATAM</x:v>
      </x:c>
      <x:c r="E7292" s="1" t="str">
        <x:v>ON_HOLD</x:v>
      </x:c>
      <x:c r="F7292" s="1" t="str">
        <x:v>Late delivery</x:v>
      </x:c>
      <x:c r="G7292" s="6" t="n">
        <x:v>4</x:v>
      </x:c>
      <x:c r="H7292" s="6" t="n">
        <x:v>2</x:v>
      </x:c>
      <x:c r="I7292" s="6" t="n">
        <x:f>G7292-H7292</x:f>
        <x:v>2</x:v>
      </x:c>
      <x:c r="J7292" s="6" t="n">
        <x:f>IF(OR(E7292="CANCELED",E7292="SUSPECTED_FRAUD",F7292="Shipping canceled"),0,1)</x:f>
        <x:v>1</x:v>
      </x:c>
      <x:c r="K7292" s="6" t="n">
        <x:f>IF(G7292&gt;H7292,1,0)</x:f>
        <x:v>1</x:v>
      </x:c>
      <x:c r="L7292" s="6" t="n">
        <x:f>J7292*K7292</x:f>
        <x:v>1</x:v>
      </x:c>
    </x:row>
    <x:row r="7293">
      <x:c r="A7293" s="1" t="n">
        <x:v>57803</x:v>
      </x:c>
      <x:c r="B7293" s="5" t="d">
        <x:v>2017-04-23T00:00:00.000Z</x:v>
      </x:c>
      <x:c r="C7293" s="1" t="str">
        <x:v>Second Class</x:v>
      </x:c>
      <x:c r="D7293" s="1" t="str">
        <x:v>LATAM</x:v>
      </x:c>
      <x:c r="E7293" s="1" t="str">
        <x:v>ON_HOLD</x:v>
      </x:c>
      <x:c r="F7293" s="1" t="str">
        <x:v>Late delivery</x:v>
      </x:c>
      <x:c r="G7293" s="6" t="n">
        <x:v>4</x:v>
      </x:c>
      <x:c r="H7293" s="6" t="n">
        <x:v>2</x:v>
      </x:c>
      <x:c r="I7293" s="6" t="n">
        <x:f>G7293-H7293</x:f>
        <x:v>2</x:v>
      </x:c>
      <x:c r="J7293" s="6" t="n">
        <x:f>IF(OR(E7293="CANCELED",E7293="SUSPECTED_FRAUD",F7293="Shipping canceled"),0,1)</x:f>
        <x:v>1</x:v>
      </x:c>
      <x:c r="K7293" s="6" t="n">
        <x:f>IF(G7293&gt;H7293,1,0)</x:f>
        <x:v>1</x:v>
      </x:c>
      <x:c r="L7293" s="6" t="n">
        <x:f>J7293*K7293</x:f>
        <x:v>1</x:v>
      </x:c>
    </x:row>
    <x:row r="7294">
      <x:c r="A7294" s="1" t="n">
        <x:v>57807</x:v>
      </x:c>
      <x:c r="B7294" s="5" t="d">
        <x:v>2017-04-23T00:00:00.000Z</x:v>
      </x:c>
      <x:c r="C7294" s="1" t="str">
        <x:v>Standard Class</x:v>
      </x:c>
      <x:c r="D7294" s="1" t="str">
        <x:v>LATAM</x:v>
      </x:c>
      <x:c r="E7294" s="1" t="str">
        <x:v>ON_HOLD</x:v>
      </x:c>
      <x:c r="F7294" s="1" t="str">
        <x:v>Advance shipping</x:v>
      </x:c>
      <x:c r="G7294" s="6" t="n">
        <x:v>3</x:v>
      </x:c>
      <x:c r="H7294" s="6" t="n">
        <x:v>4</x:v>
      </x:c>
      <x:c r="I7294" s="6" t="n">
        <x:f>G7294-H7294</x:f>
        <x:v>-1</x:v>
      </x:c>
      <x:c r="J7294" s="6" t="n">
        <x:f>IF(OR(E7294="CANCELED",E7294="SUSPECTED_FRAUD",F7294="Shipping canceled"),0,1)</x:f>
        <x:v>1</x:v>
      </x:c>
      <x:c r="K7294" s="6" t="n">
        <x:f>IF(G7294&gt;H7294,1,0)</x:f>
        <x:v>0</x:v>
      </x:c>
      <x:c r="L7294" s="6" t="n">
        <x:f>J7294*K7294</x:f>
        <x:v>0</x:v>
      </x:c>
    </x:row>
    <x:row r="7295">
      <x:c r="A7295" s="1" t="n">
        <x:v>57810</x:v>
      </x:c>
      <x:c r="B7295" s="5" t="d">
        <x:v>2017-04-23T00:00:00.000Z</x:v>
      </x:c>
      <x:c r="C7295" s="1" t="str">
        <x:v>Standard Class</x:v>
      </x:c>
      <x:c r="D7295" s="1" t="str">
        <x:v>LATAM</x:v>
      </x:c>
      <x:c r="E7295" s="1" t="str">
        <x:v>PROCESSING</x:v>
      </x:c>
      <x:c r="F7295" s="1" t="str">
        <x:v>Late delivery</x:v>
      </x:c>
      <x:c r="G7295" s="6" t="n">
        <x:v>6</x:v>
      </x:c>
      <x:c r="H7295" s="6" t="n">
        <x:v>4</x:v>
      </x:c>
      <x:c r="I7295" s="6" t="n">
        <x:f>G7295-H7295</x:f>
        <x:v>2</x:v>
      </x:c>
      <x:c r="J7295" s="6" t="n">
        <x:f>IF(OR(E7295="CANCELED",E7295="SUSPECTED_FRAUD",F7295="Shipping canceled"),0,1)</x:f>
        <x:v>1</x:v>
      </x:c>
      <x:c r="K7295" s="6" t="n">
        <x:f>IF(G7295&gt;H7295,1,0)</x:f>
        <x:v>1</x:v>
      </x:c>
      <x:c r="L7295" s="6" t="n">
        <x:f>J7295*K7295</x:f>
        <x:v>1</x:v>
      </x:c>
    </x:row>
    <x:row r="7296">
      <x:c r="A7296" s="1" t="n">
        <x:v>57813</x:v>
      </x:c>
      <x:c r="B7296" s="5" t="d">
        <x:v>2017-04-23T00:00:00.000Z</x:v>
      </x:c>
      <x:c r="C7296" s="1" t="str">
        <x:v>Standard Class</x:v>
      </x:c>
      <x:c r="D7296" s="1" t="str">
        <x:v>LATAM</x:v>
      </x:c>
      <x:c r="E7296" s="1" t="str">
        <x:v>PENDING_PAYMENT</x:v>
      </x:c>
      <x:c r="F7296" s="1" t="str">
        <x:v>Shipping on time</x:v>
      </x:c>
      <x:c r="G7296" s="6" t="n">
        <x:v>4</x:v>
      </x:c>
      <x:c r="H7296" s="6" t="n">
        <x:v>4</x:v>
      </x:c>
      <x:c r="I7296" s="6" t="n">
        <x:f>G7296-H7296</x:f>
        <x:v>0</x:v>
      </x:c>
      <x:c r="J7296" s="6" t="n">
        <x:f>IF(OR(E7296="CANCELED",E7296="SUSPECTED_FRAUD",F7296="Shipping canceled"),0,1)</x:f>
        <x:v>1</x:v>
      </x:c>
      <x:c r="K7296" s="6" t="n">
        <x:f>IF(G7296&gt;H7296,1,0)</x:f>
        <x:v>0</x:v>
      </x:c>
      <x:c r="L7296" s="6" t="n">
        <x:f>J7296*K7296</x:f>
        <x:v>0</x:v>
      </x:c>
    </x:row>
    <x:row r="7297">
      <x:c r="A7297" s="1" t="n">
        <x:v>57829</x:v>
      </x:c>
      <x:c r="B7297" s="5" t="d">
        <x:v>2017-04-24T00:00:00.000Z</x:v>
      </x:c>
      <x:c r="C7297" s="1" t="str">
        <x:v>Standard Class</x:v>
      </x:c>
      <x:c r="D7297" s="1" t="str">
        <x:v>LATAM</x:v>
      </x:c>
      <x:c r="E7297" s="1" t="str">
        <x:v>PROCESSING</x:v>
      </x:c>
      <x:c r="F7297" s="1" t="str">
        <x:v>Late delivery</x:v>
      </x:c>
      <x:c r="G7297" s="6" t="n">
        <x:v>5</x:v>
      </x:c>
      <x:c r="H7297" s="6" t="n">
        <x:v>4</x:v>
      </x:c>
      <x:c r="I7297" s="6" t="n">
        <x:f>G7297-H7297</x:f>
        <x:v>1</x:v>
      </x:c>
      <x:c r="J7297" s="6" t="n">
        <x:f>IF(OR(E7297="CANCELED",E7297="SUSPECTED_FRAUD",F7297="Shipping canceled"),0,1)</x:f>
        <x:v>1</x:v>
      </x:c>
      <x:c r="K7297" s="6" t="n">
        <x:f>IF(G7297&gt;H7297,1,0)</x:f>
        <x:v>1</x:v>
      </x:c>
      <x:c r="L7297" s="6" t="n">
        <x:f>J7297*K7297</x:f>
        <x:v>1</x:v>
      </x:c>
    </x:row>
    <x:row r="7298">
      <x:c r="A7298" s="1" t="n">
        <x:v>57839</x:v>
      </x:c>
      <x:c r="B7298" s="5" t="d">
        <x:v>2017-04-24T00:00:00.000Z</x:v>
      </x:c>
      <x:c r="C7298" s="1" t="str">
        <x:v>Standard Class</x:v>
      </x:c>
      <x:c r="D7298" s="1" t="str">
        <x:v>LATAM</x:v>
      </x:c>
      <x:c r="E7298" s="1" t="str">
        <x:v>COMPLETE</x:v>
      </x:c>
      <x:c r="F7298" s="1" t="str">
        <x:v>Late delivery</x:v>
      </x:c>
      <x:c r="G7298" s="6" t="n">
        <x:v>5</x:v>
      </x:c>
      <x:c r="H7298" s="6" t="n">
        <x:v>4</x:v>
      </x:c>
      <x:c r="I7298" s="6" t="n">
        <x:f>G7298-H7298</x:f>
        <x:v>1</x:v>
      </x:c>
      <x:c r="J7298" s="6" t="n">
        <x:f>IF(OR(E7298="CANCELED",E7298="SUSPECTED_FRAUD",F7298="Shipping canceled"),0,1)</x:f>
        <x:v>1</x:v>
      </x:c>
      <x:c r="K7298" s="6" t="n">
        <x:f>IF(G7298&gt;H7298,1,0)</x:f>
        <x:v>1</x:v>
      </x:c>
      <x:c r="L7298" s="6" t="n">
        <x:f>J7298*K7298</x:f>
        <x:v>1</x:v>
      </x:c>
    </x:row>
    <x:row r="7299">
      <x:c r="A7299" s="1" t="n">
        <x:v>57840</x:v>
      </x:c>
      <x:c r="B7299" s="5" t="d">
        <x:v>2017-04-24T00:00:00.000Z</x:v>
      </x:c>
      <x:c r="C7299" s="1" t="str">
        <x:v>Standard Class</x:v>
      </x:c>
      <x:c r="D7299" s="1" t="str">
        <x:v>LATAM</x:v>
      </x:c>
      <x:c r="E7299" s="1" t="str">
        <x:v>COMPLETE</x:v>
      </x:c>
      <x:c r="F7299" s="1" t="str">
        <x:v>Late delivery</x:v>
      </x:c>
      <x:c r="G7299" s="6" t="n">
        <x:v>6</x:v>
      </x:c>
      <x:c r="H7299" s="6" t="n">
        <x:v>4</x:v>
      </x:c>
      <x:c r="I7299" s="6" t="n">
        <x:f>G7299-H7299</x:f>
        <x:v>2</x:v>
      </x:c>
      <x:c r="J7299" s="6" t="n">
        <x:f>IF(OR(E7299="CANCELED",E7299="SUSPECTED_FRAUD",F7299="Shipping canceled"),0,1)</x:f>
        <x:v>1</x:v>
      </x:c>
      <x:c r="K7299" s="6" t="n">
        <x:f>IF(G7299&gt;H7299,1,0)</x:f>
        <x:v>1</x:v>
      </x:c>
      <x:c r="L7299" s="6" t="n">
        <x:f>J7299*K7299</x:f>
        <x:v>1</x:v>
      </x:c>
    </x:row>
    <x:row r="7300">
      <x:c r="A7300" s="1" t="n">
        <x:v>57873</x:v>
      </x:c>
      <x:c r="B7300" s="5" t="d">
        <x:v>2017-04-24T00:00:00.000Z</x:v>
      </x:c>
      <x:c r="C7300" s="1" t="str">
        <x:v>Standard Class</x:v>
      </x:c>
      <x:c r="D7300" s="1" t="str">
        <x:v>LATAM</x:v>
      </x:c>
      <x:c r="E7300" s="1" t="str">
        <x:v>PENDING_PAYMENT</x:v>
      </x:c>
      <x:c r="F7300" s="1" t="str">
        <x:v>Shipping on time</x:v>
      </x:c>
      <x:c r="G7300" s="6" t="n">
        <x:v>4</x:v>
      </x:c>
      <x:c r="H7300" s="6" t="n">
        <x:v>4</x:v>
      </x:c>
      <x:c r="I7300" s="6" t="n">
        <x:f>G7300-H7300</x:f>
        <x:v>0</x:v>
      </x:c>
      <x:c r="J7300" s="6" t="n">
        <x:f>IF(OR(E7300="CANCELED",E7300="SUSPECTED_FRAUD",F7300="Shipping canceled"),0,1)</x:f>
        <x:v>1</x:v>
      </x:c>
      <x:c r="K7300" s="6" t="n">
        <x:f>IF(G7300&gt;H7300,1,0)</x:f>
        <x:v>0</x:v>
      </x:c>
      <x:c r="L7300" s="6" t="n">
        <x:f>J7300*K7300</x:f>
        <x:v>0</x:v>
      </x:c>
    </x:row>
    <x:row r="7301">
      <x:c r="A7301" s="1" t="n">
        <x:v>57888</x:v>
      </x:c>
      <x:c r="B7301" s="5" t="d">
        <x:v>2017-04-25T00:00:00.000Z</x:v>
      </x:c>
      <x:c r="C7301" s="1" t="str">
        <x:v>Standard Class</x:v>
      </x:c>
      <x:c r="D7301" s="1" t="str">
        <x:v>LATAM</x:v>
      </x:c>
      <x:c r="E7301" s="1" t="str">
        <x:v>PROCESSING</x:v>
      </x:c>
      <x:c r="F7301" s="1" t="str">
        <x:v>Shipping on time</x:v>
      </x:c>
      <x:c r="G7301" s="6" t="n">
        <x:v>4</x:v>
      </x:c>
      <x:c r="H7301" s="6" t="n">
        <x:v>4</x:v>
      </x:c>
      <x:c r="I7301" s="6" t="n">
        <x:f>G7301-H7301</x:f>
        <x:v>0</x:v>
      </x:c>
      <x:c r="J7301" s="6" t="n">
        <x:f>IF(OR(E7301="CANCELED",E7301="SUSPECTED_FRAUD",F7301="Shipping canceled"),0,1)</x:f>
        <x:v>1</x:v>
      </x:c>
      <x:c r="K7301" s="6" t="n">
        <x:f>IF(G7301&gt;H7301,1,0)</x:f>
        <x:v>0</x:v>
      </x:c>
      <x:c r="L7301" s="6" t="n">
        <x:f>J7301*K7301</x:f>
        <x:v>0</x:v>
      </x:c>
    </x:row>
    <x:row r="7302">
      <x:c r="A7302" s="1" t="n">
        <x:v>57896</x:v>
      </x:c>
      <x:c r="B7302" s="5" t="d">
        <x:v>2017-04-25T00:00:00.000Z</x:v>
      </x:c>
      <x:c r="C7302" s="1" t="str">
        <x:v>Standard Class</x:v>
      </x:c>
      <x:c r="D7302" s="1" t="str">
        <x:v>LATAM</x:v>
      </x:c>
      <x:c r="E7302" s="1" t="str">
        <x:v>COMPLETE</x:v>
      </x:c>
      <x:c r="F7302" s="1" t="str">
        <x:v>Advance shipping</x:v>
      </x:c>
      <x:c r="G7302" s="6" t="n">
        <x:v>2</x:v>
      </x:c>
      <x:c r="H7302" s="6" t="n">
        <x:v>4</x:v>
      </x:c>
      <x:c r="I7302" s="6" t="n">
        <x:f>G7302-H7302</x:f>
        <x:v>-2</x:v>
      </x:c>
      <x:c r="J7302" s="6" t="n">
        <x:f>IF(OR(E7302="CANCELED",E7302="SUSPECTED_FRAUD",F7302="Shipping canceled"),0,1)</x:f>
        <x:v>1</x:v>
      </x:c>
      <x:c r="K7302" s="6" t="n">
        <x:f>IF(G7302&gt;H7302,1,0)</x:f>
        <x:v>0</x:v>
      </x:c>
      <x:c r="L7302" s="6" t="n">
        <x:f>J7302*K7302</x:f>
        <x:v>0</x:v>
      </x:c>
    </x:row>
    <x:row r="7303">
      <x:c r="A7303" s="1" t="n">
        <x:v>57913</x:v>
      </x:c>
      <x:c r="B7303" s="5" t="d">
        <x:v>2017-04-25T00:00:00.000Z</x:v>
      </x:c>
      <x:c r="C7303" s="1" t="str">
        <x:v>Standard Class</x:v>
      </x:c>
      <x:c r="D7303" s="1" t="str">
        <x:v>LATAM</x:v>
      </x:c>
      <x:c r="E7303" s="1" t="str">
        <x:v>COMPLETE</x:v>
      </x:c>
      <x:c r="F7303" s="1" t="str">
        <x:v>Shipping on time</x:v>
      </x:c>
      <x:c r="G7303" s="6" t="n">
        <x:v>4</x:v>
      </x:c>
      <x:c r="H7303" s="6" t="n">
        <x:v>4</x:v>
      </x:c>
      <x:c r="I7303" s="6" t="n">
        <x:f>G7303-H7303</x:f>
        <x:v>0</x:v>
      </x:c>
      <x:c r="J7303" s="6" t="n">
        <x:f>IF(OR(E7303="CANCELED",E7303="SUSPECTED_FRAUD",F7303="Shipping canceled"),0,1)</x:f>
        <x:v>1</x:v>
      </x:c>
      <x:c r="K7303" s="6" t="n">
        <x:f>IF(G7303&gt;H7303,1,0)</x:f>
        <x:v>0</x:v>
      </x:c>
      <x:c r="L7303" s="6" t="n">
        <x:f>J7303*K7303</x:f>
        <x:v>0</x:v>
      </x:c>
    </x:row>
    <x:row r="7304">
      <x:c r="A7304" s="1" t="n">
        <x:v>57929</x:v>
      </x:c>
      <x:c r="B7304" s="5" t="d">
        <x:v>2017-04-25T00:00:00.000Z</x:v>
      </x:c>
      <x:c r="C7304" s="1" t="str">
        <x:v>Standard Class</x:v>
      </x:c>
      <x:c r="D7304" s="1" t="str">
        <x:v>LATAM</x:v>
      </x:c>
      <x:c r="E7304" s="1" t="str">
        <x:v>PROCESSING</x:v>
      </x:c>
      <x:c r="F7304" s="1" t="str">
        <x:v>Late delivery</x:v>
      </x:c>
      <x:c r="G7304" s="6" t="n">
        <x:v>5</x:v>
      </x:c>
      <x:c r="H7304" s="6" t="n">
        <x:v>4</x:v>
      </x:c>
      <x:c r="I7304" s="6" t="n">
        <x:f>G7304-H7304</x:f>
        <x:v>1</x:v>
      </x:c>
      <x:c r="J7304" s="6" t="n">
        <x:f>IF(OR(E7304="CANCELED",E7304="SUSPECTED_FRAUD",F7304="Shipping canceled"),0,1)</x:f>
        <x:v>1</x:v>
      </x:c>
      <x:c r="K7304" s="6" t="n">
        <x:f>IF(G7304&gt;H7304,1,0)</x:f>
        <x:v>1</x:v>
      </x:c>
      <x:c r="L7304" s="6" t="n">
        <x:f>J7304*K7304</x:f>
        <x:v>1</x:v>
      </x:c>
    </x:row>
    <x:row r="7305">
      <x:c r="A7305" s="1" t="n">
        <x:v>57935</x:v>
      </x:c>
      <x:c r="B7305" s="5" t="d">
        <x:v>2017-04-25T00:00:00.000Z</x:v>
      </x:c>
      <x:c r="C7305" s="1" t="str">
        <x:v>Standard Class</x:v>
      </x:c>
      <x:c r="D7305" s="1" t="str">
        <x:v>LATAM</x:v>
      </x:c>
      <x:c r="E7305" s="1" t="str">
        <x:v>COMPLETE</x:v>
      </x:c>
      <x:c r="F7305" s="1" t="str">
        <x:v>Late delivery</x:v>
      </x:c>
      <x:c r="G7305" s="6" t="n">
        <x:v>6</x:v>
      </x:c>
      <x:c r="H7305" s="6" t="n">
        <x:v>4</x:v>
      </x:c>
      <x:c r="I7305" s="6" t="n">
        <x:f>G7305-H7305</x:f>
        <x:v>2</x:v>
      </x:c>
      <x:c r="J7305" s="6" t="n">
        <x:f>IF(OR(E7305="CANCELED",E7305="SUSPECTED_FRAUD",F7305="Shipping canceled"),0,1)</x:f>
        <x:v>1</x:v>
      </x:c>
      <x:c r="K7305" s="6" t="n">
        <x:f>IF(G7305&gt;H7305,1,0)</x:f>
        <x:v>1</x:v>
      </x:c>
      <x:c r="L7305" s="6" t="n">
        <x:f>J7305*K7305</x:f>
        <x:v>1</x:v>
      </x:c>
    </x:row>
    <x:row r="7306">
      <x:c r="A7306" s="1" t="n">
        <x:v>57937</x:v>
      </x:c>
      <x:c r="B7306" s="5" t="d">
        <x:v>2017-04-25T00:00:00.000Z</x:v>
      </x:c>
      <x:c r="C7306" s="1" t="str">
        <x:v>Standard Class</x:v>
      </x:c>
      <x:c r="D7306" s="1" t="str">
        <x:v>LATAM</x:v>
      </x:c>
      <x:c r="E7306" s="1" t="str">
        <x:v>PENDING</x:v>
      </x:c>
      <x:c r="F7306" s="1" t="str">
        <x:v>Advance shipping</x:v>
      </x:c>
      <x:c r="G7306" s="6" t="n">
        <x:v>3</x:v>
      </x:c>
      <x:c r="H7306" s="6" t="n">
        <x:v>4</x:v>
      </x:c>
      <x:c r="I7306" s="6" t="n">
        <x:f>G7306-H7306</x:f>
        <x:v>-1</x:v>
      </x:c>
      <x:c r="J7306" s="6" t="n">
        <x:f>IF(OR(E7306="CANCELED",E7306="SUSPECTED_FRAUD",F7306="Shipping canceled"),0,1)</x:f>
        <x:v>1</x:v>
      </x:c>
      <x:c r="K7306" s="6" t="n">
        <x:f>IF(G7306&gt;H7306,1,0)</x:f>
        <x:v>0</x:v>
      </x:c>
      <x:c r="L7306" s="6" t="n">
        <x:f>J7306*K7306</x:f>
        <x:v>0</x:v>
      </x:c>
    </x:row>
    <x:row r="7307">
      <x:c r="A7307" s="1" t="n">
        <x:v>57956</x:v>
      </x:c>
      <x:c r="B7307" s="5" t="d">
        <x:v>2017-04-26T00:00:00.000Z</x:v>
      </x:c>
      <x:c r="C7307" s="1" t="str">
        <x:v>Standard Class</x:v>
      </x:c>
      <x:c r="D7307" s="1" t="str">
        <x:v>LATAM</x:v>
      </x:c>
      <x:c r="E7307" s="1" t="str">
        <x:v>PROCESSING</x:v>
      </x:c>
      <x:c r="F7307" s="1" t="str">
        <x:v>Advance shipping</x:v>
      </x:c>
      <x:c r="G7307" s="6" t="n">
        <x:v>2</x:v>
      </x:c>
      <x:c r="H7307" s="6" t="n">
        <x:v>4</x:v>
      </x:c>
      <x:c r="I7307" s="6" t="n">
        <x:f>G7307-H7307</x:f>
        <x:v>-2</x:v>
      </x:c>
      <x:c r="J7307" s="6" t="n">
        <x:f>IF(OR(E7307="CANCELED",E7307="SUSPECTED_FRAUD",F7307="Shipping canceled"),0,1)</x:f>
        <x:v>1</x:v>
      </x:c>
      <x:c r="K7307" s="6" t="n">
        <x:f>IF(G7307&gt;H7307,1,0)</x:f>
        <x:v>0</x:v>
      </x:c>
      <x:c r="L7307" s="6" t="n">
        <x:f>J7307*K7307</x:f>
        <x:v>0</x:v>
      </x:c>
    </x:row>
    <x:row r="7308">
      <x:c r="A7308" s="1" t="n">
        <x:v>57961</x:v>
      </x:c>
      <x:c r="B7308" s="5" t="d">
        <x:v>2017-04-26T00:00:00.000Z</x:v>
      </x:c>
      <x:c r="C7308" s="1" t="str">
        <x:v>Standard Class</x:v>
      </x:c>
      <x:c r="D7308" s="1" t="str">
        <x:v>LATAM</x:v>
      </x:c>
      <x:c r="E7308" s="1" t="str">
        <x:v>COMPLETE</x:v>
      </x:c>
      <x:c r="F7308" s="1" t="str">
        <x:v>Advance shipping</x:v>
      </x:c>
      <x:c r="G7308" s="6" t="n">
        <x:v>2</x:v>
      </x:c>
      <x:c r="H7308" s="6" t="n">
        <x:v>4</x:v>
      </x:c>
      <x:c r="I7308" s="6" t="n">
        <x:f>G7308-H7308</x:f>
        <x:v>-2</x:v>
      </x:c>
      <x:c r="J7308" s="6" t="n">
        <x:f>IF(OR(E7308="CANCELED",E7308="SUSPECTED_FRAUD",F7308="Shipping canceled"),0,1)</x:f>
        <x:v>1</x:v>
      </x:c>
      <x:c r="K7308" s="6" t="n">
        <x:f>IF(G7308&gt;H7308,1,0)</x:f>
        <x:v>0</x:v>
      </x:c>
      <x:c r="L7308" s="6" t="n">
        <x:f>J7308*K7308</x:f>
        <x:v>0</x:v>
      </x:c>
    </x:row>
    <x:row r="7309">
      <x:c r="A7309" s="1" t="n">
        <x:v>57963</x:v>
      </x:c>
      <x:c r="B7309" s="5" t="d">
        <x:v>2017-04-26T00:00:00.000Z</x:v>
      </x:c>
      <x:c r="C7309" s="1" t="str">
        <x:v>Standard Class</x:v>
      </x:c>
      <x:c r="D7309" s="1" t="str">
        <x:v>LATAM</x:v>
      </x:c>
      <x:c r="E7309" s="1" t="str">
        <x:v>ON_HOLD</x:v>
      </x:c>
      <x:c r="F7309" s="1" t="str">
        <x:v>Shipping on time</x:v>
      </x:c>
      <x:c r="G7309" s="6" t="n">
        <x:v>4</x:v>
      </x:c>
      <x:c r="H7309" s="6" t="n">
        <x:v>4</x:v>
      </x:c>
      <x:c r="I7309" s="6" t="n">
        <x:f>G7309-H7309</x:f>
        <x:v>0</x:v>
      </x:c>
      <x:c r="J7309" s="6" t="n">
        <x:f>IF(OR(E7309="CANCELED",E7309="SUSPECTED_FRAUD",F7309="Shipping canceled"),0,1)</x:f>
        <x:v>1</x:v>
      </x:c>
      <x:c r="K7309" s="6" t="n">
        <x:f>IF(G7309&gt;H7309,1,0)</x:f>
        <x:v>0</x:v>
      </x:c>
      <x:c r="L7309" s="6" t="n">
        <x:f>J7309*K7309</x:f>
        <x:v>0</x:v>
      </x:c>
    </x:row>
    <x:row r="7310">
      <x:c r="A7310" s="1" t="n">
        <x:v>57970</x:v>
      </x:c>
      <x:c r="B7310" s="5" t="d">
        <x:v>2017-04-26T00:00:00.000Z</x:v>
      </x:c>
      <x:c r="C7310" s="1" t="str">
        <x:v>Standard Class</x:v>
      </x:c>
      <x:c r="D7310" s="1" t="str">
        <x:v>LATAM</x:v>
      </x:c>
      <x:c r="E7310" s="1" t="str">
        <x:v>COMPLETE</x:v>
      </x:c>
      <x:c r="F7310" s="1" t="str">
        <x:v>Late delivery</x:v>
      </x:c>
      <x:c r="G7310" s="6" t="n">
        <x:v>6</x:v>
      </x:c>
      <x:c r="H7310" s="6" t="n">
        <x:v>4</x:v>
      </x:c>
      <x:c r="I7310" s="6" t="n">
        <x:f>G7310-H7310</x:f>
        <x:v>2</x:v>
      </x:c>
      <x:c r="J7310" s="6" t="n">
        <x:f>IF(OR(E7310="CANCELED",E7310="SUSPECTED_FRAUD",F7310="Shipping canceled"),0,1)</x:f>
        <x:v>1</x:v>
      </x:c>
      <x:c r="K7310" s="6" t="n">
        <x:f>IF(G7310&gt;H7310,1,0)</x:f>
        <x:v>1</x:v>
      </x:c>
      <x:c r="L7310" s="6" t="n">
        <x:f>J7310*K7310</x:f>
        <x:v>1</x:v>
      </x:c>
    </x:row>
    <x:row r="7311">
      <x:c r="A7311" s="1" t="n">
        <x:v>57997</x:v>
      </x:c>
      <x:c r="B7311" s="5" t="d">
        <x:v>2017-04-26T00:00:00.000Z</x:v>
      </x:c>
      <x:c r="C7311" s="1" t="str">
        <x:v>Standard Class</x:v>
      </x:c>
      <x:c r="D7311" s="1" t="str">
        <x:v>LATAM</x:v>
      </x:c>
      <x:c r="E7311" s="1" t="str">
        <x:v>PENDING_PAYMENT</x:v>
      </x:c>
      <x:c r="F7311" s="1" t="str">
        <x:v>Advance shipping</x:v>
      </x:c>
      <x:c r="G7311" s="6" t="n">
        <x:v>3</x:v>
      </x:c>
      <x:c r="H7311" s="6" t="n">
        <x:v>4</x:v>
      </x:c>
      <x:c r="I7311" s="6" t="n">
        <x:f>G7311-H7311</x:f>
        <x:v>-1</x:v>
      </x:c>
      <x:c r="J7311" s="6" t="n">
        <x:f>IF(OR(E7311="CANCELED",E7311="SUSPECTED_FRAUD",F7311="Shipping canceled"),0,1)</x:f>
        <x:v>1</x:v>
      </x:c>
      <x:c r="K7311" s="6" t="n">
        <x:f>IF(G7311&gt;H7311,1,0)</x:f>
        <x:v>0</x:v>
      </x:c>
      <x:c r="L7311" s="6" t="n">
        <x:f>J7311*K7311</x:f>
        <x:v>0</x:v>
      </x:c>
    </x:row>
    <x:row r="7312">
      <x:c r="A7312" s="1" t="n">
        <x:v>57999</x:v>
      </x:c>
      <x:c r="B7312" s="5" t="d">
        <x:v>2017-04-26T00:00:00.000Z</x:v>
      </x:c>
      <x:c r="C7312" s="1" t="str">
        <x:v>Standard Class</x:v>
      </x:c>
      <x:c r="D7312" s="1" t="str">
        <x:v>LATAM</x:v>
      </x:c>
      <x:c r="E7312" s="1" t="str">
        <x:v>PENDING</x:v>
      </x:c>
      <x:c r="F7312" s="1" t="str">
        <x:v>Late delivery</x:v>
      </x:c>
      <x:c r="G7312" s="6" t="n">
        <x:v>5</x:v>
      </x:c>
      <x:c r="H7312" s="6" t="n">
        <x:v>4</x:v>
      </x:c>
      <x:c r="I7312" s="6" t="n">
        <x:f>G7312-H7312</x:f>
        <x:v>1</x:v>
      </x:c>
      <x:c r="J7312" s="6" t="n">
        <x:f>IF(OR(E7312="CANCELED",E7312="SUSPECTED_FRAUD",F7312="Shipping canceled"),0,1)</x:f>
        <x:v>1</x:v>
      </x:c>
      <x:c r="K7312" s="6" t="n">
        <x:f>IF(G7312&gt;H7312,1,0)</x:f>
        <x:v>1</x:v>
      </x:c>
      <x:c r="L7312" s="6" t="n">
        <x:f>J7312*K7312</x:f>
        <x:v>1</x:v>
      </x:c>
    </x:row>
    <x:row r="7313">
      <x:c r="A7313" s="1" t="n">
        <x:v>58010</x:v>
      </x:c>
      <x:c r="B7313" s="5" t="d">
        <x:v>2017-04-26T00:00:00.000Z</x:v>
      </x:c>
      <x:c r="C7313" s="1" t="str">
        <x:v>Standard Class</x:v>
      </x:c>
      <x:c r="D7313" s="1" t="str">
        <x:v>LATAM</x:v>
      </x:c>
      <x:c r="E7313" s="1" t="str">
        <x:v>COMPLETE</x:v>
      </x:c>
      <x:c r="F7313" s="1" t="str">
        <x:v>Late delivery</x:v>
      </x:c>
      <x:c r="G7313" s="6" t="n">
        <x:v>6</x:v>
      </x:c>
      <x:c r="H7313" s="6" t="n">
        <x:v>4</x:v>
      </x:c>
      <x:c r="I7313" s="6" t="n">
        <x:f>G7313-H7313</x:f>
        <x:v>2</x:v>
      </x:c>
      <x:c r="J7313" s="6" t="n">
        <x:f>IF(OR(E7313="CANCELED",E7313="SUSPECTED_FRAUD",F7313="Shipping canceled"),0,1)</x:f>
        <x:v>1</x:v>
      </x:c>
      <x:c r="K7313" s="6" t="n">
        <x:f>IF(G7313&gt;H7313,1,0)</x:f>
        <x:v>1</x:v>
      </x:c>
      <x:c r="L7313" s="6" t="n">
        <x:f>J7313*K7313</x:f>
        <x:v>1</x:v>
      </x:c>
    </x:row>
    <x:row r="7314">
      <x:c r="A7314" s="1" t="n">
        <x:v>58024</x:v>
      </x:c>
      <x:c r="B7314" s="5" t="d">
        <x:v>2017-04-27T00:00:00.000Z</x:v>
      </x:c>
      <x:c r="C7314" s="1" t="str">
        <x:v>Second Class</x:v>
      </x:c>
      <x:c r="D7314" s="1" t="str">
        <x:v>LATAM</x:v>
      </x:c>
      <x:c r="E7314" s="1" t="str">
        <x:v>COMPLETE</x:v>
      </x:c>
      <x:c r="F7314" s="1" t="str">
        <x:v>Late delivery</x:v>
      </x:c>
      <x:c r="G7314" s="6" t="n">
        <x:v>5</x:v>
      </x:c>
      <x:c r="H7314" s="6" t="n">
        <x:v>2</x:v>
      </x:c>
      <x:c r="I7314" s="6" t="n">
        <x:f>G7314-H7314</x:f>
        <x:v>3</x:v>
      </x:c>
      <x:c r="J7314" s="6" t="n">
        <x:f>IF(OR(E7314="CANCELED",E7314="SUSPECTED_FRAUD",F7314="Shipping canceled"),0,1)</x:f>
        <x:v>1</x:v>
      </x:c>
      <x:c r="K7314" s="6" t="n">
        <x:f>IF(G7314&gt;H7314,1,0)</x:f>
        <x:v>1</x:v>
      </x:c>
      <x:c r="L7314" s="6" t="n">
        <x:f>J7314*K7314</x:f>
        <x:v>1</x:v>
      </x:c>
    </x:row>
    <x:row r="7315">
      <x:c r="A7315" s="1" t="n">
        <x:v>58034</x:v>
      </x:c>
      <x:c r="B7315" s="5" t="d">
        <x:v>2017-04-27T00:00:00.000Z</x:v>
      </x:c>
      <x:c r="C7315" s="1" t="str">
        <x:v>Standard Class</x:v>
      </x:c>
      <x:c r="D7315" s="1" t="str">
        <x:v>LATAM</x:v>
      </x:c>
      <x:c r="E7315" s="1" t="str">
        <x:v>PROCESSING</x:v>
      </x:c>
      <x:c r="F7315" s="1" t="str">
        <x:v>Late delivery</x:v>
      </x:c>
      <x:c r="G7315" s="6" t="n">
        <x:v>5</x:v>
      </x:c>
      <x:c r="H7315" s="6" t="n">
        <x:v>4</x:v>
      </x:c>
      <x:c r="I7315" s="6" t="n">
        <x:f>G7315-H7315</x:f>
        <x:v>1</x:v>
      </x:c>
      <x:c r="J7315" s="6" t="n">
        <x:f>IF(OR(E7315="CANCELED",E7315="SUSPECTED_FRAUD",F7315="Shipping canceled"),0,1)</x:f>
        <x:v>1</x:v>
      </x:c>
      <x:c r="K7315" s="6" t="n">
        <x:f>IF(G7315&gt;H7315,1,0)</x:f>
        <x:v>1</x:v>
      </x:c>
      <x:c r="L7315" s="6" t="n">
        <x:f>J7315*K7315</x:f>
        <x:v>1</x:v>
      </x:c>
    </x:row>
    <x:row r="7316">
      <x:c r="A7316" s="1" t="n">
        <x:v>58059</x:v>
      </x:c>
      <x:c r="B7316" s="5" t="d">
        <x:v>2017-04-27T00:00:00.000Z</x:v>
      </x:c>
      <x:c r="C7316" s="1" t="str">
        <x:v>First Class</x:v>
      </x:c>
      <x:c r="D7316" s="1" t="str">
        <x:v>LATAM</x:v>
      </x:c>
      <x:c r="E7316" s="1" t="str">
        <x:v>CLOSED</x:v>
      </x:c>
      <x:c r="F7316" s="1" t="str">
        <x:v>Late delivery</x:v>
      </x:c>
      <x:c r="G7316" s="6" t="n">
        <x:v>2</x:v>
      </x:c>
      <x:c r="H7316" s="6" t="n">
        <x:v>1</x:v>
      </x:c>
      <x:c r="I7316" s="6" t="n">
        <x:f>G7316-H7316</x:f>
        <x:v>1</x:v>
      </x:c>
      <x:c r="J7316" s="6" t="n">
        <x:f>IF(OR(E7316="CANCELED",E7316="SUSPECTED_FRAUD",F7316="Shipping canceled"),0,1)</x:f>
        <x:v>1</x:v>
      </x:c>
      <x:c r="K7316" s="6" t="n">
        <x:f>IF(G7316&gt;H7316,1,0)</x:f>
        <x:v>1</x:v>
      </x:c>
      <x:c r="L7316" s="6" t="n">
        <x:f>J7316*K7316</x:f>
        <x:v>1</x:v>
      </x:c>
    </x:row>
    <x:row r="7317">
      <x:c r="A7317" s="1" t="n">
        <x:v>58068</x:v>
      </x:c>
      <x:c r="B7317" s="5" t="d">
        <x:v>2017-04-27T00:00:00.000Z</x:v>
      </x:c>
      <x:c r="C7317" s="1" t="str">
        <x:v>Standard Class</x:v>
      </x:c>
      <x:c r="D7317" s="1" t="str">
        <x:v>LATAM</x:v>
      </x:c>
      <x:c r="E7317" s="1" t="str">
        <x:v>ON_HOLD</x:v>
      </x:c>
      <x:c r="F7317" s="1" t="str">
        <x:v>Shipping on time</x:v>
      </x:c>
      <x:c r="G7317" s="6" t="n">
        <x:v>4</x:v>
      </x:c>
      <x:c r="H7317" s="6" t="n">
        <x:v>4</x:v>
      </x:c>
      <x:c r="I7317" s="6" t="n">
        <x:f>G7317-H7317</x:f>
        <x:v>0</x:v>
      </x:c>
      <x:c r="J7317" s="6" t="n">
        <x:f>IF(OR(E7317="CANCELED",E7317="SUSPECTED_FRAUD",F7317="Shipping canceled"),0,1)</x:f>
        <x:v>1</x:v>
      </x:c>
      <x:c r="K7317" s="6" t="n">
        <x:f>IF(G7317&gt;H7317,1,0)</x:f>
        <x:v>0</x:v>
      </x:c>
      <x:c r="L7317" s="6" t="n">
        <x:f>J7317*K7317</x:f>
        <x:v>0</x:v>
      </x:c>
    </x:row>
    <x:row r="7318">
      <x:c r="A7318" s="1" t="n">
        <x:v>58082</x:v>
      </x:c>
      <x:c r="B7318" s="5" t="d">
        <x:v>2017-04-27T00:00:00.000Z</x:v>
      </x:c>
      <x:c r="C7318" s="1" t="str">
        <x:v>First Class</x:v>
      </x:c>
      <x:c r="D7318" s="1" t="str">
        <x:v>LATAM</x:v>
      </x:c>
      <x:c r="E7318" s="1" t="str">
        <x:v>PROCESSING</x:v>
      </x:c>
      <x:c r="F7318" s="1" t="str">
        <x:v>Late delivery</x:v>
      </x:c>
      <x:c r="G7318" s="6" t="n">
        <x:v>2</x:v>
      </x:c>
      <x:c r="H7318" s="6" t="n">
        <x:v>1</x:v>
      </x:c>
      <x:c r="I7318" s="6" t="n">
        <x:f>G7318-H7318</x:f>
        <x:v>1</x:v>
      </x:c>
      <x:c r="J7318" s="6" t="n">
        <x:f>IF(OR(E7318="CANCELED",E7318="SUSPECTED_FRAUD",F7318="Shipping canceled"),0,1)</x:f>
        <x:v>1</x:v>
      </x:c>
      <x:c r="K7318" s="6" t="n">
        <x:f>IF(G7318&gt;H7318,1,0)</x:f>
        <x:v>1</x:v>
      </x:c>
      <x:c r="L7318" s="6" t="n">
        <x:f>J7318*K7318</x:f>
        <x:v>1</x:v>
      </x:c>
    </x:row>
    <x:row r="7319">
      <x:c r="A7319" s="1" t="n">
        <x:v>58084</x:v>
      </x:c>
      <x:c r="B7319" s="5" t="d">
        <x:v>2017-04-27T00:00:00.000Z</x:v>
      </x:c>
      <x:c r="C7319" s="1" t="str">
        <x:v>Second Class</x:v>
      </x:c>
      <x:c r="D7319" s="1" t="str">
        <x:v>LATAM</x:v>
      </x:c>
      <x:c r="E7319" s="1" t="str">
        <x:v>COMPLETE</x:v>
      </x:c>
      <x:c r="F7319" s="1" t="str">
        <x:v>Late delivery</x:v>
      </x:c>
      <x:c r="G7319" s="6" t="n">
        <x:v>5</x:v>
      </x:c>
      <x:c r="H7319" s="6" t="n">
        <x:v>2</x:v>
      </x:c>
      <x:c r="I7319" s="6" t="n">
        <x:f>G7319-H7319</x:f>
        <x:v>3</x:v>
      </x:c>
      <x:c r="J7319" s="6" t="n">
        <x:f>IF(OR(E7319="CANCELED",E7319="SUSPECTED_FRAUD",F7319="Shipping canceled"),0,1)</x:f>
        <x:v>1</x:v>
      </x:c>
      <x:c r="K7319" s="6" t="n">
        <x:f>IF(G7319&gt;H7319,1,0)</x:f>
        <x:v>1</x:v>
      </x:c>
      <x:c r="L7319" s="6" t="n">
        <x:f>J7319*K7319</x:f>
        <x:v>1</x:v>
      </x:c>
    </x:row>
    <x:row r="7320">
      <x:c r="A7320" s="1" t="n">
        <x:v>58095</x:v>
      </x:c>
      <x:c r="B7320" s="5" t="d">
        <x:v>2017-04-28T00:00:00.000Z</x:v>
      </x:c>
      <x:c r="C7320" s="1" t="str">
        <x:v>Standard Class</x:v>
      </x:c>
      <x:c r="D7320" s="1" t="str">
        <x:v>LATAM</x:v>
      </x:c>
      <x:c r="E7320" s="1" t="str">
        <x:v>PROCESSING</x:v>
      </x:c>
      <x:c r="F7320" s="1" t="str">
        <x:v>Late delivery</x:v>
      </x:c>
      <x:c r="G7320" s="6" t="n">
        <x:v>6</x:v>
      </x:c>
      <x:c r="H7320" s="6" t="n">
        <x:v>4</x:v>
      </x:c>
      <x:c r="I7320" s="6" t="n">
        <x:f>G7320-H7320</x:f>
        <x:v>2</x:v>
      </x:c>
      <x:c r="J7320" s="6" t="n">
        <x:f>IF(OR(E7320="CANCELED",E7320="SUSPECTED_FRAUD",F7320="Shipping canceled"),0,1)</x:f>
        <x:v>1</x:v>
      </x:c>
      <x:c r="K7320" s="6" t="n">
        <x:f>IF(G7320&gt;H7320,1,0)</x:f>
        <x:v>1</x:v>
      </x:c>
      <x:c r="L7320" s="6" t="n">
        <x:f>J7320*K7320</x:f>
        <x:v>1</x:v>
      </x:c>
    </x:row>
    <x:row r="7321">
      <x:c r="A7321" s="1" t="n">
        <x:v>58097</x:v>
      </x:c>
      <x:c r="B7321" s="5" t="d">
        <x:v>2017-04-28T00:00:00.000Z</x:v>
      </x:c>
      <x:c r="C7321" s="1" t="str">
        <x:v>Standard Class</x:v>
      </x:c>
      <x:c r="D7321" s="1" t="str">
        <x:v>LATAM</x:v>
      </x:c>
      <x:c r="E7321" s="1" t="str">
        <x:v>COMPLETE</x:v>
      </x:c>
      <x:c r="F7321" s="1" t="str">
        <x:v>Advance shipping</x:v>
      </x:c>
      <x:c r="G7321" s="6" t="n">
        <x:v>3</x:v>
      </x:c>
      <x:c r="H7321" s="6" t="n">
        <x:v>4</x:v>
      </x:c>
      <x:c r="I7321" s="6" t="n">
        <x:f>G7321-H7321</x:f>
        <x:v>-1</x:v>
      </x:c>
      <x:c r="J7321" s="6" t="n">
        <x:f>IF(OR(E7321="CANCELED",E7321="SUSPECTED_FRAUD",F7321="Shipping canceled"),0,1)</x:f>
        <x:v>1</x:v>
      </x:c>
      <x:c r="K7321" s="6" t="n">
        <x:f>IF(G7321&gt;H7321,1,0)</x:f>
        <x:v>0</x:v>
      </x:c>
      <x:c r="L7321" s="6" t="n">
        <x:f>J7321*K7321</x:f>
        <x:v>0</x:v>
      </x:c>
    </x:row>
    <x:row r="7322">
      <x:c r="A7322" s="1" t="n">
        <x:v>58111</x:v>
      </x:c>
      <x:c r="B7322" s="5" t="d">
        <x:v>2017-04-28T00:00:00.000Z</x:v>
      </x:c>
      <x:c r="C7322" s="1" t="str">
        <x:v>Standard Class</x:v>
      </x:c>
      <x:c r="D7322" s="1" t="str">
        <x:v>LATAM</x:v>
      </x:c>
      <x:c r="E7322" s="1" t="str">
        <x:v>PENDING</x:v>
      </x:c>
      <x:c r="F7322" s="1" t="str">
        <x:v>Advance shipping</x:v>
      </x:c>
      <x:c r="G7322" s="6" t="n">
        <x:v>2</x:v>
      </x:c>
      <x:c r="H7322" s="6" t="n">
        <x:v>4</x:v>
      </x:c>
      <x:c r="I7322" s="6" t="n">
        <x:f>G7322-H7322</x:f>
        <x:v>-2</x:v>
      </x:c>
      <x:c r="J7322" s="6" t="n">
        <x:f>IF(OR(E7322="CANCELED",E7322="SUSPECTED_FRAUD",F7322="Shipping canceled"),0,1)</x:f>
        <x:v>1</x:v>
      </x:c>
      <x:c r="K7322" s="6" t="n">
        <x:f>IF(G7322&gt;H7322,1,0)</x:f>
        <x:v>0</x:v>
      </x:c>
      <x:c r="L7322" s="6" t="n">
        <x:f>J7322*K7322</x:f>
        <x:v>0</x:v>
      </x:c>
    </x:row>
    <x:row r="7323">
      <x:c r="A7323" s="1" t="n">
        <x:v>58116</x:v>
      </x:c>
      <x:c r="B7323" s="5" t="d">
        <x:v>2017-04-28T00:00:00.000Z</x:v>
      </x:c>
      <x:c r="C7323" s="1" t="str">
        <x:v>Standard Class</x:v>
      </x:c>
      <x:c r="D7323" s="1" t="str">
        <x:v>LATAM</x:v>
      </x:c>
      <x:c r="E7323" s="1" t="str">
        <x:v>PENDING</x:v>
      </x:c>
      <x:c r="F7323" s="1" t="str">
        <x:v>Advance shipping</x:v>
      </x:c>
      <x:c r="G7323" s="6" t="n">
        <x:v>2</x:v>
      </x:c>
      <x:c r="H7323" s="6" t="n">
        <x:v>4</x:v>
      </x:c>
      <x:c r="I7323" s="6" t="n">
        <x:f>G7323-H7323</x:f>
        <x:v>-2</x:v>
      </x:c>
      <x:c r="J7323" s="6" t="n">
        <x:f>IF(OR(E7323="CANCELED",E7323="SUSPECTED_FRAUD",F7323="Shipping canceled"),0,1)</x:f>
        <x:v>1</x:v>
      </x:c>
      <x:c r="K7323" s="6" t="n">
        <x:f>IF(G7323&gt;H7323,1,0)</x:f>
        <x:v>0</x:v>
      </x:c>
      <x:c r="L7323" s="6" t="n">
        <x:f>J7323*K7323</x:f>
        <x:v>0</x:v>
      </x:c>
    </x:row>
    <x:row r="7324">
      <x:c r="A7324" s="1" t="n">
        <x:v>58124</x:v>
      </x:c>
      <x:c r="B7324" s="5" t="d">
        <x:v>2017-04-28T00:00:00.000Z</x:v>
      </x:c>
      <x:c r="C7324" s="1" t="str">
        <x:v>Standard Class</x:v>
      </x:c>
      <x:c r="D7324" s="1" t="str">
        <x:v>LATAM</x:v>
      </x:c>
      <x:c r="E7324" s="1" t="str">
        <x:v>PROCESSING</x:v>
      </x:c>
      <x:c r="F7324" s="1" t="str">
        <x:v>Late delivery</x:v>
      </x:c>
      <x:c r="G7324" s="6" t="n">
        <x:v>5</x:v>
      </x:c>
      <x:c r="H7324" s="6" t="n">
        <x:v>4</x:v>
      </x:c>
      <x:c r="I7324" s="6" t="n">
        <x:f>G7324-H7324</x:f>
        <x:v>1</x:v>
      </x:c>
      <x:c r="J7324" s="6" t="n">
        <x:f>IF(OR(E7324="CANCELED",E7324="SUSPECTED_FRAUD",F7324="Shipping canceled"),0,1)</x:f>
        <x:v>1</x:v>
      </x:c>
      <x:c r="K7324" s="6" t="n">
        <x:f>IF(G7324&gt;H7324,1,0)</x:f>
        <x:v>1</x:v>
      </x:c>
      <x:c r="L7324" s="6" t="n">
        <x:f>J7324*K7324</x:f>
        <x:v>1</x:v>
      </x:c>
    </x:row>
    <x:row r="7325">
      <x:c r="A7325" s="1" t="n">
        <x:v>58130</x:v>
      </x:c>
      <x:c r="B7325" s="5" t="d">
        <x:v>2017-04-28T00:00:00.000Z</x:v>
      </x:c>
      <x:c r="C7325" s="1" t="str">
        <x:v>First Class</x:v>
      </x:c>
      <x:c r="D7325" s="1" t="str">
        <x:v>LATAM</x:v>
      </x:c>
      <x:c r="E7325" s="1" t="str">
        <x:v>CLOSED</x:v>
      </x:c>
      <x:c r="F7325" s="1" t="str">
        <x:v>Late delivery</x:v>
      </x:c>
      <x:c r="G7325" s="6" t="n">
        <x:v>2</x:v>
      </x:c>
      <x:c r="H7325" s="6" t="n">
        <x:v>1</x:v>
      </x:c>
      <x:c r="I7325" s="6" t="n">
        <x:f>G7325-H7325</x:f>
        <x:v>1</x:v>
      </x:c>
      <x:c r="J7325" s="6" t="n">
        <x:f>IF(OR(E7325="CANCELED",E7325="SUSPECTED_FRAUD",F7325="Shipping canceled"),0,1)</x:f>
        <x:v>1</x:v>
      </x:c>
      <x:c r="K7325" s="6" t="n">
        <x:f>IF(G7325&gt;H7325,1,0)</x:f>
        <x:v>1</x:v>
      </x:c>
      <x:c r="L7325" s="6" t="n">
        <x:f>J7325*K7325</x:f>
        <x:v>1</x:v>
      </x:c>
    </x:row>
    <x:row r="7326">
      <x:c r="A7326" s="1" t="n">
        <x:v>58159</x:v>
      </x:c>
      <x:c r="B7326" s="5" t="d">
        <x:v>2017-04-28T00:00:00.000Z</x:v>
      </x:c>
      <x:c r="C7326" s="1" t="str">
        <x:v>Second Class</x:v>
      </x:c>
      <x:c r="D7326" s="1" t="str">
        <x:v>LATAM</x:v>
      </x:c>
      <x:c r="E7326" s="1" t="str">
        <x:v>ON_HOLD</x:v>
      </x:c>
      <x:c r="F7326" s="1" t="str">
        <x:v>Late delivery</x:v>
      </x:c>
      <x:c r="G7326" s="6" t="n">
        <x:v>5</x:v>
      </x:c>
      <x:c r="H7326" s="6" t="n">
        <x:v>2</x:v>
      </x:c>
      <x:c r="I7326" s="6" t="n">
        <x:f>G7326-H7326</x:f>
        <x:v>3</x:v>
      </x:c>
      <x:c r="J7326" s="6" t="n">
        <x:f>IF(OR(E7326="CANCELED",E7326="SUSPECTED_FRAUD",F7326="Shipping canceled"),0,1)</x:f>
        <x:v>1</x:v>
      </x:c>
      <x:c r="K7326" s="6" t="n">
        <x:f>IF(G7326&gt;H7326,1,0)</x:f>
        <x:v>1</x:v>
      </x:c>
      <x:c r="L7326" s="6" t="n">
        <x:f>J7326*K7326</x:f>
        <x:v>1</x:v>
      </x:c>
    </x:row>
    <x:row r="7327">
      <x:c r="A7327" s="1" t="n">
        <x:v>58165</x:v>
      </x:c>
      <x:c r="B7327" s="5" t="d">
        <x:v>2017-04-29T00:00:00.000Z</x:v>
      </x:c>
      <x:c r="C7327" s="1" t="str">
        <x:v>Standard Class</x:v>
      </x:c>
      <x:c r="D7327" s="1" t="str">
        <x:v>LATAM</x:v>
      </x:c>
      <x:c r="E7327" s="1" t="str">
        <x:v>SUSPECTED_FRAUD</x:v>
      </x:c>
      <x:c r="F7327" s="1" t="str">
        <x:v>Shipping canceled</x:v>
      </x:c>
      <x:c r="G7327" s="6" t="n">
        <x:v>6</x:v>
      </x:c>
      <x:c r="H7327" s="6" t="n">
        <x:v>4</x:v>
      </x:c>
      <x:c r="I7327" s="6" t="n">
        <x:f>G7327-H7327</x:f>
        <x:v>2</x:v>
      </x:c>
      <x:c r="J7327" s="6" t="n">
        <x:f>IF(OR(E7327="CANCELED",E7327="SUSPECTED_FRAUD",F7327="Shipping canceled"),0,1)</x:f>
        <x:v>0</x:v>
      </x:c>
      <x:c r="K7327" s="6" t="n">
        <x:f>IF(G7327&gt;H7327,1,0)</x:f>
        <x:v>1</x:v>
      </x:c>
      <x:c r="L7327" s="6" t="n">
        <x:f>J7327*K7327</x:f>
        <x:v>0</x:v>
      </x:c>
    </x:row>
    <x:row r="7328">
      <x:c r="A7328" s="1" t="n">
        <x:v>58172</x:v>
      </x:c>
      <x:c r="B7328" s="5" t="d">
        <x:v>2017-04-29T00:00:00.000Z</x:v>
      </x:c>
      <x:c r="C7328" s="1" t="str">
        <x:v>Standard Class</x:v>
      </x:c>
      <x:c r="D7328" s="1" t="str">
        <x:v>LATAM</x:v>
      </x:c>
      <x:c r="E7328" s="1" t="str">
        <x:v>PENDING_PAYMENT</x:v>
      </x:c>
      <x:c r="F7328" s="1" t="str">
        <x:v>Advance shipping</x:v>
      </x:c>
      <x:c r="G7328" s="6" t="n">
        <x:v>3</x:v>
      </x:c>
      <x:c r="H7328" s="6" t="n">
        <x:v>4</x:v>
      </x:c>
      <x:c r="I7328" s="6" t="n">
        <x:f>G7328-H7328</x:f>
        <x:v>-1</x:v>
      </x:c>
      <x:c r="J7328" s="6" t="n">
        <x:f>IF(OR(E7328="CANCELED",E7328="SUSPECTED_FRAUD",F7328="Shipping canceled"),0,1)</x:f>
        <x:v>1</x:v>
      </x:c>
      <x:c r="K7328" s="6" t="n">
        <x:f>IF(G7328&gt;H7328,1,0)</x:f>
        <x:v>0</x:v>
      </x:c>
      <x:c r="L7328" s="6" t="n">
        <x:f>J7328*K7328</x:f>
        <x:v>0</x:v>
      </x:c>
    </x:row>
    <x:row r="7329">
      <x:c r="A7329" s="1" t="n">
        <x:v>58175</x:v>
      </x:c>
      <x:c r="B7329" s="5" t="d">
        <x:v>2017-04-29T00:00:00.000Z</x:v>
      </x:c>
      <x:c r="C7329" s="1" t="str">
        <x:v>Second Class</x:v>
      </x:c>
      <x:c r="D7329" s="1" t="str">
        <x:v>LATAM</x:v>
      </x:c>
      <x:c r="E7329" s="1" t="str">
        <x:v>COMPLETE</x:v>
      </x:c>
      <x:c r="F7329" s="1" t="str">
        <x:v>Late delivery</x:v>
      </x:c>
      <x:c r="G7329" s="6" t="n">
        <x:v>6</x:v>
      </x:c>
      <x:c r="H7329" s="6" t="n">
        <x:v>2</x:v>
      </x:c>
      <x:c r="I7329" s="6" t="n">
        <x:f>G7329-H7329</x:f>
        <x:v>4</x:v>
      </x:c>
      <x:c r="J7329" s="6" t="n">
        <x:f>IF(OR(E7329="CANCELED",E7329="SUSPECTED_FRAUD",F7329="Shipping canceled"),0,1)</x:f>
        <x:v>1</x:v>
      </x:c>
      <x:c r="K7329" s="6" t="n">
        <x:f>IF(G7329&gt;H7329,1,0)</x:f>
        <x:v>1</x:v>
      </x:c>
      <x:c r="L7329" s="6" t="n">
        <x:f>J7329*K7329</x:f>
        <x:v>1</x:v>
      </x:c>
    </x:row>
    <x:row r="7330">
      <x:c r="A7330" s="1" t="n">
        <x:v>58180</x:v>
      </x:c>
      <x:c r="B7330" s="5" t="d">
        <x:v>2017-04-29T00:00:00.000Z</x:v>
      </x:c>
      <x:c r="C7330" s="1" t="str">
        <x:v>Standard Class</x:v>
      </x:c>
      <x:c r="D7330" s="1" t="str">
        <x:v>LATAM</x:v>
      </x:c>
      <x:c r="E7330" s="1" t="str">
        <x:v>PENDING</x:v>
      </x:c>
      <x:c r="F7330" s="1" t="str">
        <x:v>Late delivery</x:v>
      </x:c>
      <x:c r="G7330" s="6" t="n">
        <x:v>6</x:v>
      </x:c>
      <x:c r="H7330" s="6" t="n">
        <x:v>4</x:v>
      </x:c>
      <x:c r="I7330" s="6" t="n">
        <x:f>G7330-H7330</x:f>
        <x:v>2</x:v>
      </x:c>
      <x:c r="J7330" s="6" t="n">
        <x:f>IF(OR(E7330="CANCELED",E7330="SUSPECTED_FRAUD",F7330="Shipping canceled"),0,1)</x:f>
        <x:v>1</x:v>
      </x:c>
      <x:c r="K7330" s="6" t="n">
        <x:f>IF(G7330&gt;H7330,1,0)</x:f>
        <x:v>1</x:v>
      </x:c>
      <x:c r="L7330" s="6" t="n">
        <x:f>J7330*K7330</x:f>
        <x:v>1</x:v>
      </x:c>
    </x:row>
    <x:row r="7331">
      <x:c r="A7331" s="1" t="n">
        <x:v>58190</x:v>
      </x:c>
      <x:c r="B7331" s="5" t="d">
        <x:v>2017-04-29T00:00:00.000Z</x:v>
      </x:c>
      <x:c r="C7331" s="1" t="str">
        <x:v>Standard Class</x:v>
      </x:c>
      <x:c r="D7331" s="1" t="str">
        <x:v>LATAM</x:v>
      </x:c>
      <x:c r="E7331" s="1" t="str">
        <x:v>ON_HOLD</x:v>
      </x:c>
      <x:c r="F7331" s="1" t="str">
        <x:v>Late delivery</x:v>
      </x:c>
      <x:c r="G7331" s="6" t="n">
        <x:v>6</x:v>
      </x:c>
      <x:c r="H7331" s="6" t="n">
        <x:v>4</x:v>
      </x:c>
      <x:c r="I7331" s="6" t="n">
        <x:f>G7331-H7331</x:f>
        <x:v>2</x:v>
      </x:c>
      <x:c r="J7331" s="6" t="n">
        <x:f>IF(OR(E7331="CANCELED",E7331="SUSPECTED_FRAUD",F7331="Shipping canceled"),0,1)</x:f>
        <x:v>1</x:v>
      </x:c>
      <x:c r="K7331" s="6" t="n">
        <x:f>IF(G7331&gt;H7331,1,0)</x:f>
        <x:v>1</x:v>
      </x:c>
      <x:c r="L7331" s="6" t="n">
        <x:f>J7331*K7331</x:f>
        <x:v>1</x:v>
      </x:c>
    </x:row>
    <x:row r="7332">
      <x:c r="A7332" s="1" t="n">
        <x:v>58195</x:v>
      </x:c>
      <x:c r="B7332" s="5" t="d">
        <x:v>2017-04-29T00:00:00.000Z</x:v>
      </x:c>
      <x:c r="C7332" s="1" t="str">
        <x:v>Standard Class</x:v>
      </x:c>
      <x:c r="D7332" s="1" t="str">
        <x:v>LATAM</x:v>
      </x:c>
      <x:c r="E7332" s="1" t="str">
        <x:v>COMPLETE</x:v>
      </x:c>
      <x:c r="F7332" s="1" t="str">
        <x:v>Late delivery</x:v>
      </x:c>
      <x:c r="G7332" s="6" t="n">
        <x:v>6</x:v>
      </x:c>
      <x:c r="H7332" s="6" t="n">
        <x:v>4</x:v>
      </x:c>
      <x:c r="I7332" s="6" t="n">
        <x:f>G7332-H7332</x:f>
        <x:v>2</x:v>
      </x:c>
      <x:c r="J7332" s="6" t="n">
        <x:f>IF(OR(E7332="CANCELED",E7332="SUSPECTED_FRAUD",F7332="Shipping canceled"),0,1)</x:f>
        <x:v>1</x:v>
      </x:c>
      <x:c r="K7332" s="6" t="n">
        <x:f>IF(G7332&gt;H7332,1,0)</x:f>
        <x:v>1</x:v>
      </x:c>
      <x:c r="L7332" s="6" t="n">
        <x:f>J7332*K7332</x:f>
        <x:v>1</x:v>
      </x:c>
    </x:row>
    <x:row r="7333">
      <x:c r="A7333" s="1" t="n">
        <x:v>58220</x:v>
      </x:c>
      <x:c r="B7333" s="5" t="d">
        <x:v>2017-04-29T00:00:00.000Z</x:v>
      </x:c>
      <x:c r="C7333" s="1" t="str">
        <x:v>Standard Class</x:v>
      </x:c>
      <x:c r="D7333" s="1" t="str">
        <x:v>LATAM</x:v>
      </x:c>
      <x:c r="E7333" s="1" t="str">
        <x:v>CLOSED</x:v>
      </x:c>
      <x:c r="F7333" s="1" t="str">
        <x:v>Late delivery</x:v>
      </x:c>
      <x:c r="G7333" s="6" t="n">
        <x:v>6</x:v>
      </x:c>
      <x:c r="H7333" s="6" t="n">
        <x:v>4</x:v>
      </x:c>
      <x:c r="I7333" s="6" t="n">
        <x:f>G7333-H7333</x:f>
        <x:v>2</x:v>
      </x:c>
      <x:c r="J7333" s="6" t="n">
        <x:f>IF(OR(E7333="CANCELED",E7333="SUSPECTED_FRAUD",F7333="Shipping canceled"),0,1)</x:f>
        <x:v>1</x:v>
      </x:c>
      <x:c r="K7333" s="6" t="n">
        <x:f>IF(G7333&gt;H7333,1,0)</x:f>
        <x:v>1</x:v>
      </x:c>
      <x:c r="L7333" s="6" t="n">
        <x:f>J7333*K7333</x:f>
        <x:v>1</x:v>
      </x:c>
    </x:row>
    <x:row r="7334">
      <x:c r="A7334" s="1" t="n">
        <x:v>58229</x:v>
      </x:c>
      <x:c r="B7334" s="5" t="d">
        <x:v>2017-04-29T00:00:00.000Z</x:v>
      </x:c>
      <x:c r="C7334" s="1" t="str">
        <x:v>Standard Class</x:v>
      </x:c>
      <x:c r="D7334" s="1" t="str">
        <x:v>LATAM</x:v>
      </x:c>
      <x:c r="E7334" s="1" t="str">
        <x:v>COMPLETE</x:v>
      </x:c>
      <x:c r="F7334" s="1" t="str">
        <x:v>Late delivery</x:v>
      </x:c>
      <x:c r="G7334" s="6" t="n">
        <x:v>5</x:v>
      </x:c>
      <x:c r="H7334" s="6" t="n">
        <x:v>4</x:v>
      </x:c>
      <x:c r="I7334" s="6" t="n">
        <x:f>G7334-H7334</x:f>
        <x:v>1</x:v>
      </x:c>
      <x:c r="J7334" s="6" t="n">
        <x:f>IF(OR(E7334="CANCELED",E7334="SUSPECTED_FRAUD",F7334="Shipping canceled"),0,1)</x:f>
        <x:v>1</x:v>
      </x:c>
      <x:c r="K7334" s="6" t="n">
        <x:f>IF(G7334&gt;H7334,1,0)</x:f>
        <x:v>1</x:v>
      </x:c>
      <x:c r="L7334" s="6" t="n">
        <x:f>J7334*K7334</x:f>
        <x:v>1</x:v>
      </x:c>
    </x:row>
    <x:row r="7335">
      <x:c r="A7335" s="1" t="n">
        <x:v>58239</x:v>
      </x:c>
      <x:c r="B7335" s="5" t="d">
        <x:v>2017-04-30T00:00:00.000Z</x:v>
      </x:c>
      <x:c r="C7335" s="1" t="str">
        <x:v>Second Class</x:v>
      </x:c>
      <x:c r="D7335" s="1" t="str">
        <x:v>LATAM</x:v>
      </x:c>
      <x:c r="E7335" s="1" t="str">
        <x:v>PENDING_PAYMENT</x:v>
      </x:c>
      <x:c r="F7335" s="1" t="str">
        <x:v>Late delivery</x:v>
      </x:c>
      <x:c r="G7335" s="6" t="n">
        <x:v>5</x:v>
      </x:c>
      <x:c r="H7335" s="6" t="n">
        <x:v>2</x:v>
      </x:c>
      <x:c r="I7335" s="6" t="n">
        <x:f>G7335-H7335</x:f>
        <x:v>3</x:v>
      </x:c>
      <x:c r="J7335" s="6" t="n">
        <x:f>IF(OR(E7335="CANCELED",E7335="SUSPECTED_FRAUD",F7335="Shipping canceled"),0,1)</x:f>
        <x:v>1</x:v>
      </x:c>
      <x:c r="K7335" s="6" t="n">
        <x:f>IF(G7335&gt;H7335,1,0)</x:f>
        <x:v>1</x:v>
      </x:c>
      <x:c r="L7335" s="6" t="n">
        <x:f>J7335*K7335</x:f>
        <x:v>1</x:v>
      </x:c>
    </x:row>
    <x:row r="7336">
      <x:c r="A7336" s="1" t="n">
        <x:v>58241</x:v>
      </x:c>
      <x:c r="B7336" s="5" t="d">
        <x:v>2017-04-30T00:00:00.000Z</x:v>
      </x:c>
      <x:c r="C7336" s="1" t="str">
        <x:v>Standard Class</x:v>
      </x:c>
      <x:c r="D7336" s="1" t="str">
        <x:v>LATAM</x:v>
      </x:c>
      <x:c r="E7336" s="1" t="str">
        <x:v>COMPLETE</x:v>
      </x:c>
      <x:c r="F7336" s="1" t="str">
        <x:v>Advance shipping</x:v>
      </x:c>
      <x:c r="G7336" s="6" t="n">
        <x:v>2</x:v>
      </x:c>
      <x:c r="H7336" s="6" t="n">
        <x:v>4</x:v>
      </x:c>
      <x:c r="I7336" s="6" t="n">
        <x:f>G7336-H7336</x:f>
        <x:v>-2</x:v>
      </x:c>
      <x:c r="J7336" s="6" t="n">
        <x:f>IF(OR(E7336="CANCELED",E7336="SUSPECTED_FRAUD",F7336="Shipping canceled"),0,1)</x:f>
        <x:v>1</x:v>
      </x:c>
      <x:c r="K7336" s="6" t="n">
        <x:f>IF(G7336&gt;H7336,1,0)</x:f>
        <x:v>0</x:v>
      </x:c>
      <x:c r="L7336" s="6" t="n">
        <x:f>J7336*K7336</x:f>
        <x:v>0</x:v>
      </x:c>
    </x:row>
    <x:row r="7337">
      <x:c r="A7337" s="1" t="n">
        <x:v>58247</x:v>
      </x:c>
      <x:c r="B7337" s="5" t="d">
        <x:v>2017-04-30T00:00:00.000Z</x:v>
      </x:c>
      <x:c r="C7337" s="1" t="str">
        <x:v>Standard Class</x:v>
      </x:c>
      <x:c r="D7337" s="1" t="str">
        <x:v>LATAM</x:v>
      </x:c>
      <x:c r="E7337" s="1" t="str">
        <x:v>PENDING</x:v>
      </x:c>
      <x:c r="F7337" s="1" t="str">
        <x:v>Advance shipping</x:v>
      </x:c>
      <x:c r="G7337" s="6" t="n">
        <x:v>3</x:v>
      </x:c>
      <x:c r="H7337" s="6" t="n">
        <x:v>4</x:v>
      </x:c>
      <x:c r="I7337" s="6" t="n">
        <x:f>G7337-H7337</x:f>
        <x:v>-1</x:v>
      </x:c>
      <x:c r="J7337" s="6" t="n">
        <x:f>IF(OR(E7337="CANCELED",E7337="SUSPECTED_FRAUD",F7337="Shipping canceled"),0,1)</x:f>
        <x:v>1</x:v>
      </x:c>
      <x:c r="K7337" s="6" t="n">
        <x:f>IF(G7337&gt;H7337,1,0)</x:f>
        <x:v>0</x:v>
      </x:c>
      <x:c r="L7337" s="6" t="n">
        <x:f>J7337*K7337</x:f>
        <x:v>0</x:v>
      </x:c>
    </x:row>
    <x:row r="7338">
      <x:c r="A7338" s="1" t="n">
        <x:v>58274</x:v>
      </x:c>
      <x:c r="B7338" s="5" t="d">
        <x:v>2017-04-30T00:00:00.000Z</x:v>
      </x:c>
      <x:c r="C7338" s="1" t="str">
        <x:v>Second Class</x:v>
      </x:c>
      <x:c r="D7338" s="1" t="str">
        <x:v>LATAM</x:v>
      </x:c>
      <x:c r="E7338" s="1" t="str">
        <x:v>COMPLETE</x:v>
      </x:c>
      <x:c r="F7338" s="1" t="str">
        <x:v>Late delivery</x:v>
      </x:c>
      <x:c r="G7338" s="6" t="n">
        <x:v>5</x:v>
      </x:c>
      <x:c r="H7338" s="6" t="n">
        <x:v>2</x:v>
      </x:c>
      <x:c r="I7338" s="6" t="n">
        <x:f>G7338-H7338</x:f>
        <x:v>3</x:v>
      </x:c>
      <x:c r="J7338" s="6" t="n">
        <x:f>IF(OR(E7338="CANCELED",E7338="SUSPECTED_FRAUD",F7338="Shipping canceled"),0,1)</x:f>
        <x:v>1</x:v>
      </x:c>
      <x:c r="K7338" s="6" t="n">
        <x:f>IF(G7338&gt;H7338,1,0)</x:f>
        <x:v>1</x:v>
      </x:c>
      <x:c r="L7338" s="6" t="n">
        <x:f>J7338*K7338</x:f>
        <x:v>1</x:v>
      </x:c>
    </x:row>
    <x:row r="7339">
      <x:c r="A7339" s="1" t="n">
        <x:v>58278</x:v>
      </x:c>
      <x:c r="B7339" s="5" t="d">
        <x:v>2017-04-30T00:00:00.000Z</x:v>
      </x:c>
      <x:c r="C7339" s="1" t="str">
        <x:v>Standard Class</x:v>
      </x:c>
      <x:c r="D7339" s="1" t="str">
        <x:v>LATAM</x:v>
      </x:c>
      <x:c r="E7339" s="1" t="str">
        <x:v>PENDING</x:v>
      </x:c>
      <x:c r="F7339" s="1" t="str">
        <x:v>Shipping on time</x:v>
      </x:c>
      <x:c r="G7339" s="6" t="n">
        <x:v>4</x:v>
      </x:c>
      <x:c r="H7339" s="6" t="n">
        <x:v>4</x:v>
      </x:c>
      <x:c r="I7339" s="6" t="n">
        <x:f>G7339-H7339</x:f>
        <x:v>0</x:v>
      </x:c>
      <x:c r="J7339" s="6" t="n">
        <x:f>IF(OR(E7339="CANCELED",E7339="SUSPECTED_FRAUD",F7339="Shipping canceled"),0,1)</x:f>
        <x:v>1</x:v>
      </x:c>
      <x:c r="K7339" s="6" t="n">
        <x:f>IF(G7339&gt;H7339,1,0)</x:f>
        <x:v>0</x:v>
      </x:c>
      <x:c r="L7339" s="6" t="n">
        <x:f>J7339*K7339</x:f>
        <x:v>0</x:v>
      </x:c>
    </x:row>
    <x:row r="7340">
      <x:c r="A7340" s="1" t="n">
        <x:v>58291</x:v>
      </x:c>
      <x:c r="B7340" s="5" t="d">
        <x:v>2017-04-30T00:00:00.000Z</x:v>
      </x:c>
      <x:c r="C7340" s="1" t="str">
        <x:v>Standard Class</x:v>
      </x:c>
      <x:c r="D7340" s="1" t="str">
        <x:v>LATAM</x:v>
      </x:c>
      <x:c r="E7340" s="1" t="str">
        <x:v>COMPLETE</x:v>
      </x:c>
      <x:c r="F7340" s="1" t="str">
        <x:v>Advance shipping</x:v>
      </x:c>
      <x:c r="G7340" s="6" t="n">
        <x:v>2</x:v>
      </x:c>
      <x:c r="H7340" s="6" t="n">
        <x:v>4</x:v>
      </x:c>
      <x:c r="I7340" s="6" t="n">
        <x:f>G7340-H7340</x:f>
        <x:v>-2</x:v>
      </x:c>
      <x:c r="J7340" s="6" t="n">
        <x:f>IF(OR(E7340="CANCELED",E7340="SUSPECTED_FRAUD",F7340="Shipping canceled"),0,1)</x:f>
        <x:v>1</x:v>
      </x:c>
      <x:c r="K7340" s="6" t="n">
        <x:f>IF(G7340&gt;H7340,1,0)</x:f>
        <x:v>0</x:v>
      </x:c>
      <x:c r="L7340" s="6" t="n">
        <x:f>J7340*K7340</x:f>
        <x:v>0</x:v>
      </x:c>
    </x:row>
    <x:row r="7341">
      <x:c r="A7341" s="1" t="n">
        <x:v>58298</x:v>
      </x:c>
      <x:c r="B7341" s="5" t="d">
        <x:v>2017-05-01T00:00:00.000Z</x:v>
      </x:c>
      <x:c r="C7341" s="1" t="str">
        <x:v>Standard Class</x:v>
      </x:c>
      <x:c r="D7341" s="1" t="str">
        <x:v>LATAM</x:v>
      </x:c>
      <x:c r="E7341" s="1" t="str">
        <x:v>SUSPECTED_FRAUD</x:v>
      </x:c>
      <x:c r="F7341" s="1" t="str">
        <x:v>Shipping canceled</x:v>
      </x:c>
      <x:c r="G7341" s="6" t="n">
        <x:v>4</x:v>
      </x:c>
      <x:c r="H7341" s="6" t="n">
        <x:v>4</x:v>
      </x:c>
      <x:c r="I7341" s="6" t="n">
        <x:f>G7341-H7341</x:f>
        <x:v>0</x:v>
      </x:c>
      <x:c r="J7341" s="6" t="n">
        <x:f>IF(OR(E7341="CANCELED",E7341="SUSPECTED_FRAUD",F7341="Shipping canceled"),0,1)</x:f>
        <x:v>0</x:v>
      </x:c>
      <x:c r="K7341" s="6" t="n">
        <x:f>IF(G7341&gt;H7341,1,0)</x:f>
        <x:v>0</x:v>
      </x:c>
      <x:c r="L7341" s="6" t="n">
        <x:f>J7341*K7341</x:f>
        <x:v>0</x:v>
      </x:c>
    </x:row>
    <x:row r="7342">
      <x:c r="A7342" s="1" t="n">
        <x:v>58307</x:v>
      </x:c>
      <x:c r="B7342" s="5" t="d">
        <x:v>2017-05-01T00:00:00.000Z</x:v>
      </x:c>
      <x:c r="C7342" s="1" t="str">
        <x:v>First Class</x:v>
      </x:c>
      <x:c r="D7342" s="1" t="str">
        <x:v>LATAM</x:v>
      </x:c>
      <x:c r="E7342" s="1" t="str">
        <x:v>CLOSED</x:v>
      </x:c>
      <x:c r="F7342" s="1" t="str">
        <x:v>Late delivery</x:v>
      </x:c>
      <x:c r="G7342" s="6" t="n">
        <x:v>2</x:v>
      </x:c>
      <x:c r="H7342" s="6" t="n">
        <x:v>1</x:v>
      </x:c>
      <x:c r="I7342" s="6" t="n">
        <x:f>G7342-H7342</x:f>
        <x:v>1</x:v>
      </x:c>
      <x:c r="J7342" s="6" t="n">
        <x:f>IF(OR(E7342="CANCELED",E7342="SUSPECTED_FRAUD",F7342="Shipping canceled"),0,1)</x:f>
        <x:v>1</x:v>
      </x:c>
      <x:c r="K7342" s="6" t="n">
        <x:f>IF(G7342&gt;H7342,1,0)</x:f>
        <x:v>1</x:v>
      </x:c>
      <x:c r="L7342" s="6" t="n">
        <x:f>J7342*K7342</x:f>
        <x:v>1</x:v>
      </x:c>
    </x:row>
    <x:row r="7343">
      <x:c r="A7343" s="1" t="n">
        <x:v>58309</x:v>
      </x:c>
      <x:c r="B7343" s="5" t="d">
        <x:v>2017-05-01T00:00:00.000Z</x:v>
      </x:c>
      <x:c r="C7343" s="1" t="str">
        <x:v>Standard Class</x:v>
      </x:c>
      <x:c r="D7343" s="1" t="str">
        <x:v>LATAM</x:v>
      </x:c>
      <x:c r="E7343" s="1" t="str">
        <x:v>COMPLETE</x:v>
      </x:c>
      <x:c r="F7343" s="1" t="str">
        <x:v>Late delivery</x:v>
      </x:c>
      <x:c r="G7343" s="6" t="n">
        <x:v>5</x:v>
      </x:c>
      <x:c r="H7343" s="6" t="n">
        <x:v>4</x:v>
      </x:c>
      <x:c r="I7343" s="6" t="n">
        <x:f>G7343-H7343</x:f>
        <x:v>1</x:v>
      </x:c>
      <x:c r="J7343" s="6" t="n">
        <x:f>IF(OR(E7343="CANCELED",E7343="SUSPECTED_FRAUD",F7343="Shipping canceled"),0,1)</x:f>
        <x:v>1</x:v>
      </x:c>
      <x:c r="K7343" s="6" t="n">
        <x:f>IF(G7343&gt;H7343,1,0)</x:f>
        <x:v>1</x:v>
      </x:c>
      <x:c r="L7343" s="6" t="n">
        <x:f>J7343*K7343</x:f>
        <x:v>1</x:v>
      </x:c>
    </x:row>
    <x:row r="7344">
      <x:c r="A7344" s="1" t="n">
        <x:v>58315</x:v>
      </x:c>
      <x:c r="B7344" s="5" t="d">
        <x:v>2017-05-01T00:00:00.000Z</x:v>
      </x:c>
      <x:c r="C7344" s="1" t="str">
        <x:v>Standard Class</x:v>
      </x:c>
      <x:c r="D7344" s="1" t="str">
        <x:v>LATAM</x:v>
      </x:c>
      <x:c r="E7344" s="1" t="str">
        <x:v>PROCESSING</x:v>
      </x:c>
      <x:c r="F7344" s="1" t="str">
        <x:v>Late delivery</x:v>
      </x:c>
      <x:c r="G7344" s="6" t="n">
        <x:v>6</x:v>
      </x:c>
      <x:c r="H7344" s="6" t="n">
        <x:v>4</x:v>
      </x:c>
      <x:c r="I7344" s="6" t="n">
        <x:f>G7344-H7344</x:f>
        <x:v>2</x:v>
      </x:c>
      <x:c r="J7344" s="6" t="n">
        <x:f>IF(OR(E7344="CANCELED",E7344="SUSPECTED_FRAUD",F7344="Shipping canceled"),0,1)</x:f>
        <x:v>1</x:v>
      </x:c>
      <x:c r="K7344" s="6" t="n">
        <x:f>IF(G7344&gt;H7344,1,0)</x:f>
        <x:v>1</x:v>
      </x:c>
      <x:c r="L7344" s="6" t="n">
        <x:f>J7344*K7344</x:f>
        <x:v>1</x:v>
      </x:c>
    </x:row>
    <x:row r="7345">
      <x:c r="A7345" s="1" t="n">
        <x:v>58328</x:v>
      </x:c>
      <x:c r="B7345" s="5" t="d">
        <x:v>2017-05-01T00:00:00.000Z</x:v>
      </x:c>
      <x:c r="C7345" s="1" t="str">
        <x:v>Standard Class</x:v>
      </x:c>
      <x:c r="D7345" s="1" t="str">
        <x:v>LATAM</x:v>
      </x:c>
      <x:c r="E7345" s="1" t="str">
        <x:v>COMPLETE</x:v>
      </x:c>
      <x:c r="F7345" s="1" t="str">
        <x:v>Shipping on time</x:v>
      </x:c>
      <x:c r="G7345" s="6" t="n">
        <x:v>4</x:v>
      </x:c>
      <x:c r="H7345" s="6" t="n">
        <x:v>4</x:v>
      </x:c>
      <x:c r="I7345" s="6" t="n">
        <x:f>G7345-H7345</x:f>
        <x:v>0</x:v>
      </x:c>
      <x:c r="J7345" s="6" t="n">
        <x:f>IF(OR(E7345="CANCELED",E7345="SUSPECTED_FRAUD",F7345="Shipping canceled"),0,1)</x:f>
        <x:v>1</x:v>
      </x:c>
      <x:c r="K7345" s="6" t="n">
        <x:f>IF(G7345&gt;H7345,1,0)</x:f>
        <x:v>0</x:v>
      </x:c>
      <x:c r="L7345" s="6" t="n">
        <x:f>J7345*K7345</x:f>
        <x:v>0</x:v>
      </x:c>
    </x:row>
    <x:row r="7346">
      <x:c r="A7346" s="1" t="n">
        <x:v>58336</x:v>
      </x:c>
      <x:c r="B7346" s="5" t="d">
        <x:v>2017-05-01T00:00:00.000Z</x:v>
      </x:c>
      <x:c r="C7346" s="1" t="str">
        <x:v>Standard Class</x:v>
      </x:c>
      <x:c r="D7346" s="1" t="str">
        <x:v>LATAM</x:v>
      </x:c>
      <x:c r="E7346" s="1" t="str">
        <x:v>COMPLETE</x:v>
      </x:c>
      <x:c r="F7346" s="1" t="str">
        <x:v>Advance shipping</x:v>
      </x:c>
      <x:c r="G7346" s="6" t="n">
        <x:v>2</x:v>
      </x:c>
      <x:c r="H7346" s="6" t="n">
        <x:v>4</x:v>
      </x:c>
      <x:c r="I7346" s="6" t="n">
        <x:f>G7346-H7346</x:f>
        <x:v>-2</x:v>
      </x:c>
      <x:c r="J7346" s="6" t="n">
        <x:f>IF(OR(E7346="CANCELED",E7346="SUSPECTED_FRAUD",F7346="Shipping canceled"),0,1)</x:f>
        <x:v>1</x:v>
      </x:c>
      <x:c r="K7346" s="6" t="n">
        <x:f>IF(G7346&gt;H7346,1,0)</x:f>
        <x:v>0</x:v>
      </x:c>
      <x:c r="L7346" s="6" t="n">
        <x:f>J7346*K7346</x:f>
        <x:v>0</x:v>
      </x:c>
    </x:row>
    <x:row r="7347">
      <x:c r="A7347" s="1" t="n">
        <x:v>58341</x:v>
      </x:c>
      <x:c r="B7347" s="5" t="d">
        <x:v>2017-05-01T00:00:00.000Z</x:v>
      </x:c>
      <x:c r="C7347" s="1" t="str">
        <x:v>Standard Class</x:v>
      </x:c>
      <x:c r="D7347" s="1" t="str">
        <x:v>LATAM</x:v>
      </x:c>
      <x:c r="E7347" s="1" t="str">
        <x:v>COMPLETE</x:v>
      </x:c>
      <x:c r="F7347" s="1" t="str">
        <x:v>Advance shipping</x:v>
      </x:c>
      <x:c r="G7347" s="6" t="n">
        <x:v>2</x:v>
      </x:c>
      <x:c r="H7347" s="6" t="n">
        <x:v>4</x:v>
      </x:c>
      <x:c r="I7347" s="6" t="n">
        <x:f>G7347-H7347</x:f>
        <x:v>-2</x:v>
      </x:c>
      <x:c r="J7347" s="6" t="n">
        <x:f>IF(OR(E7347="CANCELED",E7347="SUSPECTED_FRAUD",F7347="Shipping canceled"),0,1)</x:f>
        <x:v>1</x:v>
      </x:c>
      <x:c r="K7347" s="6" t="n">
        <x:f>IF(G7347&gt;H7347,1,0)</x:f>
        <x:v>0</x:v>
      </x:c>
      <x:c r="L7347" s="6" t="n">
        <x:f>J7347*K7347</x:f>
        <x:v>0</x:v>
      </x:c>
    </x:row>
    <x:row r="7348">
      <x:c r="A7348" s="1" t="n">
        <x:v>58375</x:v>
      </x:c>
      <x:c r="B7348" s="5" t="d">
        <x:v>2017-05-02T00:00:00.000Z</x:v>
      </x:c>
      <x:c r="C7348" s="1" t="str">
        <x:v>Standard Class</x:v>
      </x:c>
      <x:c r="D7348" s="1" t="str">
        <x:v>LATAM</x:v>
      </x:c>
      <x:c r="E7348" s="1" t="str">
        <x:v>PENDING</x:v>
      </x:c>
      <x:c r="F7348" s="1" t="str">
        <x:v>Late delivery</x:v>
      </x:c>
      <x:c r="G7348" s="6" t="n">
        <x:v>6</x:v>
      </x:c>
      <x:c r="H7348" s="6" t="n">
        <x:v>4</x:v>
      </x:c>
      <x:c r="I7348" s="6" t="n">
        <x:f>G7348-H7348</x:f>
        <x:v>2</x:v>
      </x:c>
      <x:c r="J7348" s="6" t="n">
        <x:f>IF(OR(E7348="CANCELED",E7348="SUSPECTED_FRAUD",F7348="Shipping canceled"),0,1)</x:f>
        <x:v>1</x:v>
      </x:c>
      <x:c r="K7348" s="6" t="n">
        <x:f>IF(G7348&gt;H7348,1,0)</x:f>
        <x:v>1</x:v>
      </x:c>
      <x:c r="L7348" s="6" t="n">
        <x:f>J7348*K7348</x:f>
        <x:v>1</x:v>
      </x:c>
    </x:row>
    <x:row r="7349">
      <x:c r="A7349" s="1" t="n">
        <x:v>58381</x:v>
      </x:c>
      <x:c r="B7349" s="5" t="d">
        <x:v>2017-05-02T00:00:00.000Z</x:v>
      </x:c>
      <x:c r="C7349" s="1" t="str">
        <x:v>Standard Class</x:v>
      </x:c>
      <x:c r="D7349" s="1" t="str">
        <x:v>LATAM</x:v>
      </x:c>
      <x:c r="E7349" s="1" t="str">
        <x:v>COMPLETE</x:v>
      </x:c>
      <x:c r="F7349" s="1" t="str">
        <x:v>Advance shipping</x:v>
      </x:c>
      <x:c r="G7349" s="6" t="n">
        <x:v>2</x:v>
      </x:c>
      <x:c r="H7349" s="6" t="n">
        <x:v>4</x:v>
      </x:c>
      <x:c r="I7349" s="6" t="n">
        <x:f>G7349-H7349</x:f>
        <x:v>-2</x:v>
      </x:c>
      <x:c r="J7349" s="6" t="n">
        <x:f>IF(OR(E7349="CANCELED",E7349="SUSPECTED_FRAUD",F7349="Shipping canceled"),0,1)</x:f>
        <x:v>1</x:v>
      </x:c>
      <x:c r="K7349" s="6" t="n">
        <x:f>IF(G7349&gt;H7349,1,0)</x:f>
        <x:v>0</x:v>
      </x:c>
      <x:c r="L7349" s="6" t="n">
        <x:f>J7349*K7349</x:f>
        <x:v>0</x:v>
      </x:c>
    </x:row>
    <x:row r="7350">
      <x:c r="A7350" s="1" t="n">
        <x:v>58400</x:v>
      </x:c>
      <x:c r="B7350" s="5" t="d">
        <x:v>2017-05-02T00:00:00.000Z</x:v>
      </x:c>
      <x:c r="C7350" s="1" t="str">
        <x:v>Standard Class</x:v>
      </x:c>
      <x:c r="D7350" s="1" t="str">
        <x:v>LATAM</x:v>
      </x:c>
      <x:c r="E7350" s="1" t="str">
        <x:v>ON_HOLD</x:v>
      </x:c>
      <x:c r="F7350" s="1" t="str">
        <x:v>Late delivery</x:v>
      </x:c>
      <x:c r="G7350" s="6" t="n">
        <x:v>6</x:v>
      </x:c>
      <x:c r="H7350" s="6" t="n">
        <x:v>4</x:v>
      </x:c>
      <x:c r="I7350" s="6" t="n">
        <x:f>G7350-H7350</x:f>
        <x:v>2</x:v>
      </x:c>
      <x:c r="J7350" s="6" t="n">
        <x:f>IF(OR(E7350="CANCELED",E7350="SUSPECTED_FRAUD",F7350="Shipping canceled"),0,1)</x:f>
        <x:v>1</x:v>
      </x:c>
      <x:c r="K7350" s="6" t="n">
        <x:f>IF(G7350&gt;H7350,1,0)</x:f>
        <x:v>1</x:v>
      </x:c>
      <x:c r="L7350" s="6" t="n">
        <x:f>J7350*K7350</x:f>
        <x:v>1</x:v>
      </x:c>
    </x:row>
    <x:row r="7351">
      <x:c r="A7351" s="1" t="n">
        <x:v>58401</x:v>
      </x:c>
      <x:c r="B7351" s="5" t="d">
        <x:v>2017-05-02T00:00:00.000Z</x:v>
      </x:c>
      <x:c r="C7351" s="1" t="str">
        <x:v>Standard Class</x:v>
      </x:c>
      <x:c r="D7351" s="1" t="str">
        <x:v>LATAM</x:v>
      </x:c>
      <x:c r="E7351" s="1" t="str">
        <x:v>COMPLETE</x:v>
      </x:c>
      <x:c r="F7351" s="1" t="str">
        <x:v>Advance shipping</x:v>
      </x:c>
      <x:c r="G7351" s="6" t="n">
        <x:v>2</x:v>
      </x:c>
      <x:c r="H7351" s="6" t="n">
        <x:v>4</x:v>
      </x:c>
      <x:c r="I7351" s="6" t="n">
        <x:f>G7351-H7351</x:f>
        <x:v>-2</x:v>
      </x:c>
      <x:c r="J7351" s="6" t="n">
        <x:f>IF(OR(E7351="CANCELED",E7351="SUSPECTED_FRAUD",F7351="Shipping canceled"),0,1)</x:f>
        <x:v>1</x:v>
      </x:c>
      <x:c r="K7351" s="6" t="n">
        <x:f>IF(G7351&gt;H7351,1,0)</x:f>
        <x:v>0</x:v>
      </x:c>
      <x:c r="L7351" s="6" t="n">
        <x:f>J7351*K7351</x:f>
        <x:v>0</x:v>
      </x:c>
    </x:row>
    <x:row r="7352">
      <x:c r="A7352" s="1" t="n">
        <x:v>58405</x:v>
      </x:c>
      <x:c r="B7352" s="5" t="d">
        <x:v>2017-05-02T00:00:00.000Z</x:v>
      </x:c>
      <x:c r="C7352" s="1" t="str">
        <x:v>First Class</x:v>
      </x:c>
      <x:c r="D7352" s="1" t="str">
        <x:v>LATAM</x:v>
      </x:c>
      <x:c r="E7352" s="1" t="str">
        <x:v>CLOSED</x:v>
      </x:c>
      <x:c r="F7352" s="1" t="str">
        <x:v>Late delivery</x:v>
      </x:c>
      <x:c r="G7352" s="6" t="n">
        <x:v>2</x:v>
      </x:c>
      <x:c r="H7352" s="6" t="n">
        <x:v>1</x:v>
      </x:c>
      <x:c r="I7352" s="6" t="n">
        <x:f>G7352-H7352</x:f>
        <x:v>1</x:v>
      </x:c>
      <x:c r="J7352" s="6" t="n">
        <x:f>IF(OR(E7352="CANCELED",E7352="SUSPECTED_FRAUD",F7352="Shipping canceled"),0,1)</x:f>
        <x:v>1</x:v>
      </x:c>
      <x:c r="K7352" s="6" t="n">
        <x:f>IF(G7352&gt;H7352,1,0)</x:f>
        <x:v>1</x:v>
      </x:c>
      <x:c r="L7352" s="6" t="n">
        <x:f>J7352*K7352</x:f>
        <x:v>1</x:v>
      </x:c>
    </x:row>
    <x:row r="7353">
      <x:c r="A7353" s="1" t="n">
        <x:v>58411</x:v>
      </x:c>
      <x:c r="B7353" s="5" t="d">
        <x:v>2017-05-02T00:00:00.000Z</x:v>
      </x:c>
      <x:c r="C7353" s="1" t="str">
        <x:v>Standard Class</x:v>
      </x:c>
      <x:c r="D7353" s="1" t="str">
        <x:v>LATAM</x:v>
      </x:c>
      <x:c r="E7353" s="1" t="str">
        <x:v>PENDING</x:v>
      </x:c>
      <x:c r="F7353" s="1" t="str">
        <x:v>Advance shipping</x:v>
      </x:c>
      <x:c r="G7353" s="6" t="n">
        <x:v>2</x:v>
      </x:c>
      <x:c r="H7353" s="6" t="n">
        <x:v>4</x:v>
      </x:c>
      <x:c r="I7353" s="6" t="n">
        <x:f>G7353-H7353</x:f>
        <x:v>-2</x:v>
      </x:c>
      <x:c r="J7353" s="6" t="n">
        <x:f>IF(OR(E7353="CANCELED",E7353="SUSPECTED_FRAUD",F7353="Shipping canceled"),0,1)</x:f>
        <x:v>1</x:v>
      </x:c>
      <x:c r="K7353" s="6" t="n">
        <x:f>IF(G7353&gt;H7353,1,0)</x:f>
        <x:v>0</x:v>
      </x:c>
      <x:c r="L7353" s="6" t="n">
        <x:f>J7353*K7353</x:f>
        <x:v>0</x:v>
      </x:c>
    </x:row>
    <x:row r="7354">
      <x:c r="A7354" s="1" t="n">
        <x:v>58435</x:v>
      </x:c>
      <x:c r="B7354" s="5" t="d">
        <x:v>2017-05-03T00:00:00.000Z</x:v>
      </x:c>
      <x:c r="C7354" s="1" t="str">
        <x:v>Standard Class</x:v>
      </x:c>
      <x:c r="D7354" s="1" t="str">
        <x:v>LATAM</x:v>
      </x:c>
      <x:c r="E7354" s="1" t="str">
        <x:v>PENDING</x:v>
      </x:c>
      <x:c r="F7354" s="1" t="str">
        <x:v>Late delivery</x:v>
      </x:c>
      <x:c r="G7354" s="6" t="n">
        <x:v>6</x:v>
      </x:c>
      <x:c r="H7354" s="6" t="n">
        <x:v>4</x:v>
      </x:c>
      <x:c r="I7354" s="6" t="n">
        <x:f>G7354-H7354</x:f>
        <x:v>2</x:v>
      </x:c>
      <x:c r="J7354" s="6" t="n">
        <x:f>IF(OR(E7354="CANCELED",E7354="SUSPECTED_FRAUD",F7354="Shipping canceled"),0,1)</x:f>
        <x:v>1</x:v>
      </x:c>
      <x:c r="K7354" s="6" t="n">
        <x:f>IF(G7354&gt;H7354,1,0)</x:f>
        <x:v>1</x:v>
      </x:c>
      <x:c r="L7354" s="6" t="n">
        <x:f>J7354*K7354</x:f>
        <x:v>1</x:v>
      </x:c>
    </x:row>
    <x:row r="7355">
      <x:c r="A7355" s="1" t="n">
        <x:v>58442</x:v>
      </x:c>
      <x:c r="B7355" s="5" t="d">
        <x:v>2017-05-03T00:00:00.000Z</x:v>
      </x:c>
      <x:c r="C7355" s="1" t="str">
        <x:v>Standard Class</x:v>
      </x:c>
      <x:c r="D7355" s="1" t="str">
        <x:v>LATAM</x:v>
      </x:c>
      <x:c r="E7355" s="1" t="str">
        <x:v>PROCESSING</x:v>
      </x:c>
      <x:c r="F7355" s="1" t="str">
        <x:v>Advance shipping</x:v>
      </x:c>
      <x:c r="G7355" s="6" t="n">
        <x:v>3</x:v>
      </x:c>
      <x:c r="H7355" s="6" t="n">
        <x:v>4</x:v>
      </x:c>
      <x:c r="I7355" s="6" t="n">
        <x:f>G7355-H7355</x:f>
        <x:v>-1</x:v>
      </x:c>
      <x:c r="J7355" s="6" t="n">
        <x:f>IF(OR(E7355="CANCELED",E7355="SUSPECTED_FRAUD",F7355="Shipping canceled"),0,1)</x:f>
        <x:v>1</x:v>
      </x:c>
      <x:c r="K7355" s="6" t="n">
        <x:f>IF(G7355&gt;H7355,1,0)</x:f>
        <x:v>0</x:v>
      </x:c>
      <x:c r="L7355" s="6" t="n">
        <x:f>J7355*K7355</x:f>
        <x:v>0</x:v>
      </x:c>
    </x:row>
    <x:row r="7356">
      <x:c r="A7356" s="1" t="n">
        <x:v>58444</x:v>
      </x:c>
      <x:c r="B7356" s="5" t="d">
        <x:v>2017-05-03T00:00:00.000Z</x:v>
      </x:c>
      <x:c r="C7356" s="1" t="str">
        <x:v>Standard Class</x:v>
      </x:c>
      <x:c r="D7356" s="1" t="str">
        <x:v>LATAM</x:v>
      </x:c>
      <x:c r="E7356" s="1" t="str">
        <x:v>PENDING</x:v>
      </x:c>
      <x:c r="F7356" s="1" t="str">
        <x:v>Late delivery</x:v>
      </x:c>
      <x:c r="G7356" s="6" t="n">
        <x:v>5</x:v>
      </x:c>
      <x:c r="H7356" s="6" t="n">
        <x:v>4</x:v>
      </x:c>
      <x:c r="I7356" s="6" t="n">
        <x:f>G7356-H7356</x:f>
        <x:v>1</x:v>
      </x:c>
      <x:c r="J7356" s="6" t="n">
        <x:f>IF(OR(E7356="CANCELED",E7356="SUSPECTED_FRAUD",F7356="Shipping canceled"),0,1)</x:f>
        <x:v>1</x:v>
      </x:c>
      <x:c r="K7356" s="6" t="n">
        <x:f>IF(G7356&gt;H7356,1,0)</x:f>
        <x:v>1</x:v>
      </x:c>
      <x:c r="L7356" s="6" t="n">
        <x:f>J7356*K7356</x:f>
        <x:v>1</x:v>
      </x:c>
    </x:row>
    <x:row r="7357">
      <x:c r="A7357" s="1" t="n">
        <x:v>58471</x:v>
      </x:c>
      <x:c r="B7357" s="5" t="d">
        <x:v>2017-05-03T00:00:00.000Z</x:v>
      </x:c>
      <x:c r="C7357" s="1" t="str">
        <x:v>Standard Class</x:v>
      </x:c>
      <x:c r="D7357" s="1" t="str">
        <x:v>LATAM</x:v>
      </x:c>
      <x:c r="E7357" s="1" t="str">
        <x:v>COMPLETE</x:v>
      </x:c>
      <x:c r="F7357" s="1" t="str">
        <x:v>Advance shipping</x:v>
      </x:c>
      <x:c r="G7357" s="6" t="n">
        <x:v>2</x:v>
      </x:c>
      <x:c r="H7357" s="6" t="n">
        <x:v>4</x:v>
      </x:c>
      <x:c r="I7357" s="6" t="n">
        <x:f>G7357-H7357</x:f>
        <x:v>-2</x:v>
      </x:c>
      <x:c r="J7357" s="6" t="n">
        <x:f>IF(OR(E7357="CANCELED",E7357="SUSPECTED_FRAUD",F7357="Shipping canceled"),0,1)</x:f>
        <x:v>1</x:v>
      </x:c>
      <x:c r="K7357" s="6" t="n">
        <x:f>IF(G7357&gt;H7357,1,0)</x:f>
        <x:v>0</x:v>
      </x:c>
      <x:c r="L7357" s="6" t="n">
        <x:f>J7357*K7357</x:f>
        <x:v>0</x:v>
      </x:c>
    </x:row>
    <x:row r="7358">
      <x:c r="A7358" s="1" t="n">
        <x:v>58479</x:v>
      </x:c>
      <x:c r="B7358" s="5" t="d">
        <x:v>2017-05-03T00:00:00.000Z</x:v>
      </x:c>
      <x:c r="C7358" s="1" t="str">
        <x:v>Second Class</x:v>
      </x:c>
      <x:c r="D7358" s="1" t="str">
        <x:v>LATAM</x:v>
      </x:c>
      <x:c r="E7358" s="1" t="str">
        <x:v>COMPLETE</x:v>
      </x:c>
      <x:c r="F7358" s="1" t="str">
        <x:v>Late delivery</x:v>
      </x:c>
      <x:c r="G7358" s="6" t="n">
        <x:v>5</x:v>
      </x:c>
      <x:c r="H7358" s="6" t="n">
        <x:v>2</x:v>
      </x:c>
      <x:c r="I7358" s="6" t="n">
        <x:f>G7358-H7358</x:f>
        <x:v>3</x:v>
      </x:c>
      <x:c r="J7358" s="6" t="n">
        <x:f>IF(OR(E7358="CANCELED",E7358="SUSPECTED_FRAUD",F7358="Shipping canceled"),0,1)</x:f>
        <x:v>1</x:v>
      </x:c>
      <x:c r="K7358" s="6" t="n">
        <x:f>IF(G7358&gt;H7358,1,0)</x:f>
        <x:v>1</x:v>
      </x:c>
      <x:c r="L7358" s="6" t="n">
        <x:f>J7358*K7358</x:f>
        <x:v>1</x:v>
      </x:c>
    </x:row>
    <x:row r="7359">
      <x:c r="A7359" s="1" t="n">
        <x:v>58482</x:v>
      </x:c>
      <x:c r="B7359" s="5" t="d">
        <x:v>2017-05-03T00:00:00.000Z</x:v>
      </x:c>
      <x:c r="C7359" s="1" t="str">
        <x:v>First Class</x:v>
      </x:c>
      <x:c r="D7359" s="1" t="str">
        <x:v>LATAM</x:v>
      </x:c>
      <x:c r="E7359" s="1" t="str">
        <x:v>CLOSED</x:v>
      </x:c>
      <x:c r="F7359" s="1" t="str">
        <x:v>Late delivery</x:v>
      </x:c>
      <x:c r="G7359" s="6" t="n">
        <x:v>2</x:v>
      </x:c>
      <x:c r="H7359" s="6" t="n">
        <x:v>1</x:v>
      </x:c>
      <x:c r="I7359" s="6" t="n">
        <x:f>G7359-H7359</x:f>
        <x:v>1</x:v>
      </x:c>
      <x:c r="J7359" s="6" t="n">
        <x:f>IF(OR(E7359="CANCELED",E7359="SUSPECTED_FRAUD",F7359="Shipping canceled"),0,1)</x:f>
        <x:v>1</x:v>
      </x:c>
      <x:c r="K7359" s="6" t="n">
        <x:f>IF(G7359&gt;H7359,1,0)</x:f>
        <x:v>1</x:v>
      </x:c>
      <x:c r="L7359" s="6" t="n">
        <x:f>J7359*K7359</x:f>
        <x:v>1</x:v>
      </x:c>
    </x:row>
    <x:row r="7360">
      <x:c r="A7360" s="1" t="n">
        <x:v>58495</x:v>
      </x:c>
      <x:c r="B7360" s="5" t="d">
        <x:v>2017-05-03T00:00:00.000Z</x:v>
      </x:c>
      <x:c r="C7360" s="1" t="str">
        <x:v>Same Day</x:v>
      </x:c>
      <x:c r="D7360" s="1" t="str">
        <x:v>LATAM</x:v>
      </x:c>
      <x:c r="E7360" s="1" t="str">
        <x:v>CLOSED</x:v>
      </x:c>
      <x:c r="F7360" s="1" t="str">
        <x:v>Late delivery</x:v>
      </x:c>
      <x:c r="G7360" s="6" t="n">
        <x:v>1</x:v>
      </x:c>
      <x:c r="H7360" s="6" t="n">
        <x:v>0</x:v>
      </x:c>
      <x:c r="I7360" s="6" t="n">
        <x:f>G7360-H7360</x:f>
        <x:v>1</x:v>
      </x:c>
      <x:c r="J7360" s="6" t="n">
        <x:f>IF(OR(E7360="CANCELED",E7360="SUSPECTED_FRAUD",F7360="Shipping canceled"),0,1)</x:f>
        <x:v>1</x:v>
      </x:c>
      <x:c r="K7360" s="6" t="n">
        <x:f>IF(G7360&gt;H7360,1,0)</x:f>
        <x:v>1</x:v>
      </x:c>
      <x:c r="L7360" s="6" t="n">
        <x:f>J7360*K7360</x:f>
        <x:v>1</x:v>
      </x:c>
    </x:row>
    <x:row r="7361">
      <x:c r="A7361" s="1" t="n">
        <x:v>58512</x:v>
      </x:c>
      <x:c r="B7361" s="5" t="d">
        <x:v>2017-05-04T00:00:00.000Z</x:v>
      </x:c>
      <x:c r="C7361" s="1" t="str">
        <x:v>Second Class</x:v>
      </x:c>
      <x:c r="D7361" s="1" t="str">
        <x:v>LATAM</x:v>
      </x:c>
      <x:c r="E7361" s="1" t="str">
        <x:v>SUSPECTED_FRAUD</x:v>
      </x:c>
      <x:c r="F7361" s="1" t="str">
        <x:v>Shipping canceled</x:v>
      </x:c>
      <x:c r="G7361" s="6" t="n">
        <x:v>3</x:v>
      </x:c>
      <x:c r="H7361" s="6" t="n">
        <x:v>2</x:v>
      </x:c>
      <x:c r="I7361" s="6" t="n">
        <x:f>G7361-H7361</x:f>
        <x:v>1</x:v>
      </x:c>
      <x:c r="J7361" s="6" t="n">
        <x:f>IF(OR(E7361="CANCELED",E7361="SUSPECTED_FRAUD",F7361="Shipping canceled"),0,1)</x:f>
        <x:v>0</x:v>
      </x:c>
      <x:c r="K7361" s="6" t="n">
        <x:f>IF(G7361&gt;H7361,1,0)</x:f>
        <x:v>1</x:v>
      </x:c>
      <x:c r="L7361" s="6" t="n">
        <x:f>J7361*K7361</x:f>
        <x:v>0</x:v>
      </x:c>
    </x:row>
    <x:row r="7362">
      <x:c r="A7362" s="1" t="n">
        <x:v>58513</x:v>
      </x:c>
      <x:c r="B7362" s="5" t="d">
        <x:v>2017-05-04T00:00:00.000Z</x:v>
      </x:c>
      <x:c r="C7362" s="1" t="str">
        <x:v>Second Class</x:v>
      </x:c>
      <x:c r="D7362" s="1" t="str">
        <x:v>LATAM</x:v>
      </x:c>
      <x:c r="E7362" s="1" t="str">
        <x:v>COMPLETE</x:v>
      </x:c>
      <x:c r="F7362" s="1" t="str">
        <x:v>Late delivery</x:v>
      </x:c>
      <x:c r="G7362" s="6" t="n">
        <x:v>4</x:v>
      </x:c>
      <x:c r="H7362" s="6" t="n">
        <x:v>2</x:v>
      </x:c>
      <x:c r="I7362" s="6" t="n">
        <x:f>G7362-H7362</x:f>
        <x:v>2</x:v>
      </x:c>
      <x:c r="J7362" s="6" t="n">
        <x:f>IF(OR(E7362="CANCELED",E7362="SUSPECTED_FRAUD",F7362="Shipping canceled"),0,1)</x:f>
        <x:v>1</x:v>
      </x:c>
      <x:c r="K7362" s="6" t="n">
        <x:f>IF(G7362&gt;H7362,1,0)</x:f>
        <x:v>1</x:v>
      </x:c>
      <x:c r="L7362" s="6" t="n">
        <x:f>J7362*K7362</x:f>
        <x:v>1</x:v>
      </x:c>
    </x:row>
    <x:row r="7363">
      <x:c r="A7363" s="1" t="n">
        <x:v>58515</x:v>
      </x:c>
      <x:c r="B7363" s="5" t="d">
        <x:v>2017-05-04T00:00:00.000Z</x:v>
      </x:c>
      <x:c r="C7363" s="1" t="str">
        <x:v>First Class</x:v>
      </x:c>
      <x:c r="D7363" s="1" t="str">
        <x:v>LATAM</x:v>
      </x:c>
      <x:c r="E7363" s="1" t="str">
        <x:v>PROCESSING</x:v>
      </x:c>
      <x:c r="F7363" s="1" t="str">
        <x:v>Late delivery</x:v>
      </x:c>
      <x:c r="G7363" s="6" t="n">
        <x:v>2</x:v>
      </x:c>
      <x:c r="H7363" s="6" t="n">
        <x:v>1</x:v>
      </x:c>
      <x:c r="I7363" s="6" t="n">
        <x:f>G7363-H7363</x:f>
        <x:v>1</x:v>
      </x:c>
      <x:c r="J7363" s="6" t="n">
        <x:f>IF(OR(E7363="CANCELED",E7363="SUSPECTED_FRAUD",F7363="Shipping canceled"),0,1)</x:f>
        <x:v>1</x:v>
      </x:c>
      <x:c r="K7363" s="6" t="n">
        <x:f>IF(G7363&gt;H7363,1,0)</x:f>
        <x:v>1</x:v>
      </x:c>
      <x:c r="L7363" s="6" t="n">
        <x:f>J7363*K7363</x:f>
        <x:v>1</x:v>
      </x:c>
    </x:row>
    <x:row r="7364">
      <x:c r="A7364" s="1" t="n">
        <x:v>58528</x:v>
      </x:c>
      <x:c r="B7364" s="5" t="d">
        <x:v>2017-05-04T00:00:00.000Z</x:v>
      </x:c>
      <x:c r="C7364" s="1" t="str">
        <x:v>Standard Class</x:v>
      </x:c>
      <x:c r="D7364" s="1" t="str">
        <x:v>LATAM</x:v>
      </x:c>
      <x:c r="E7364" s="1" t="str">
        <x:v>PENDING</x:v>
      </x:c>
      <x:c r="F7364" s="1" t="str">
        <x:v>Shipping on time</x:v>
      </x:c>
      <x:c r="G7364" s="6" t="n">
        <x:v>4</x:v>
      </x:c>
      <x:c r="H7364" s="6" t="n">
        <x:v>4</x:v>
      </x:c>
      <x:c r="I7364" s="6" t="n">
        <x:f>G7364-H7364</x:f>
        <x:v>0</x:v>
      </x:c>
      <x:c r="J7364" s="6" t="n">
        <x:f>IF(OR(E7364="CANCELED",E7364="SUSPECTED_FRAUD",F7364="Shipping canceled"),0,1)</x:f>
        <x:v>1</x:v>
      </x:c>
      <x:c r="K7364" s="6" t="n">
        <x:f>IF(G7364&gt;H7364,1,0)</x:f>
        <x:v>0</x:v>
      </x:c>
      <x:c r="L7364" s="6" t="n">
        <x:f>J7364*K7364</x:f>
        <x:v>0</x:v>
      </x:c>
    </x:row>
    <x:row r="7365">
      <x:c r="A7365" s="1" t="n">
        <x:v>58530</x:v>
      </x:c>
      <x:c r="B7365" s="5" t="d">
        <x:v>2017-05-04T00:00:00.000Z</x:v>
      </x:c>
      <x:c r="C7365" s="1" t="str">
        <x:v>Standard Class</x:v>
      </x:c>
      <x:c r="D7365" s="1" t="str">
        <x:v>LATAM</x:v>
      </x:c>
      <x:c r="E7365" s="1" t="str">
        <x:v>PROCESSING</x:v>
      </x:c>
      <x:c r="F7365" s="1" t="str">
        <x:v>Late delivery</x:v>
      </x:c>
      <x:c r="G7365" s="6" t="n">
        <x:v>6</x:v>
      </x:c>
      <x:c r="H7365" s="6" t="n">
        <x:v>4</x:v>
      </x:c>
      <x:c r="I7365" s="6" t="n">
        <x:f>G7365-H7365</x:f>
        <x:v>2</x:v>
      </x:c>
      <x:c r="J7365" s="6" t="n">
        <x:f>IF(OR(E7365="CANCELED",E7365="SUSPECTED_FRAUD",F7365="Shipping canceled"),0,1)</x:f>
        <x:v>1</x:v>
      </x:c>
      <x:c r="K7365" s="6" t="n">
        <x:f>IF(G7365&gt;H7365,1,0)</x:f>
        <x:v>1</x:v>
      </x:c>
      <x:c r="L7365" s="6" t="n">
        <x:f>J7365*K7365</x:f>
        <x:v>1</x:v>
      </x:c>
    </x:row>
    <x:row r="7366">
      <x:c r="A7366" s="1" t="n">
        <x:v>58542</x:v>
      </x:c>
      <x:c r="B7366" s="5" t="d">
        <x:v>2017-05-04T00:00:00.000Z</x:v>
      </x:c>
      <x:c r="C7366" s="1" t="str">
        <x:v>Standard Class</x:v>
      </x:c>
      <x:c r="D7366" s="1" t="str">
        <x:v>LATAM</x:v>
      </x:c>
      <x:c r="E7366" s="1" t="str">
        <x:v>COMPLETE</x:v>
      </x:c>
      <x:c r="F7366" s="1" t="str">
        <x:v>Advance shipping</x:v>
      </x:c>
      <x:c r="G7366" s="6" t="n">
        <x:v>3</x:v>
      </x:c>
      <x:c r="H7366" s="6" t="n">
        <x:v>4</x:v>
      </x:c>
      <x:c r="I7366" s="6" t="n">
        <x:f>G7366-H7366</x:f>
        <x:v>-1</x:v>
      </x:c>
      <x:c r="J7366" s="6" t="n">
        <x:f>IF(OR(E7366="CANCELED",E7366="SUSPECTED_FRAUD",F7366="Shipping canceled"),0,1)</x:f>
        <x:v>1</x:v>
      </x:c>
      <x:c r="K7366" s="6" t="n">
        <x:f>IF(G7366&gt;H7366,1,0)</x:f>
        <x:v>0</x:v>
      </x:c>
      <x:c r="L7366" s="6" t="n">
        <x:f>J7366*K7366</x:f>
        <x:v>0</x:v>
      </x:c>
    </x:row>
    <x:row r="7367">
      <x:c r="A7367" s="1" t="n">
        <x:v>58581</x:v>
      </x:c>
      <x:c r="B7367" s="5" t="d">
        <x:v>2017-05-05T00:00:00.000Z</x:v>
      </x:c>
      <x:c r="C7367" s="1" t="str">
        <x:v>Standard Class</x:v>
      </x:c>
      <x:c r="D7367" s="1" t="str">
        <x:v>LATAM</x:v>
      </x:c>
      <x:c r="E7367" s="1" t="str">
        <x:v>COMPLETE</x:v>
      </x:c>
      <x:c r="F7367" s="1" t="str">
        <x:v>Advance shipping</x:v>
      </x:c>
      <x:c r="G7367" s="6" t="n">
        <x:v>2</x:v>
      </x:c>
      <x:c r="H7367" s="6" t="n">
        <x:v>4</x:v>
      </x:c>
      <x:c r="I7367" s="6" t="n">
        <x:f>G7367-H7367</x:f>
        <x:v>-2</x:v>
      </x:c>
      <x:c r="J7367" s="6" t="n">
        <x:f>IF(OR(E7367="CANCELED",E7367="SUSPECTED_FRAUD",F7367="Shipping canceled"),0,1)</x:f>
        <x:v>1</x:v>
      </x:c>
      <x:c r="K7367" s="6" t="n">
        <x:f>IF(G7367&gt;H7367,1,0)</x:f>
        <x:v>0</x:v>
      </x:c>
      <x:c r="L7367" s="6" t="n">
        <x:f>J7367*K7367</x:f>
        <x:v>0</x:v>
      </x:c>
    </x:row>
    <x:row r="7368">
      <x:c r="A7368" s="1" t="n">
        <x:v>58582</x:v>
      </x:c>
      <x:c r="B7368" s="5" t="d">
        <x:v>2017-05-05T00:00:00.000Z</x:v>
      </x:c>
      <x:c r="C7368" s="1" t="str">
        <x:v>Standard Class</x:v>
      </x:c>
      <x:c r="D7368" s="1" t="str">
        <x:v>LATAM</x:v>
      </x:c>
      <x:c r="E7368" s="1" t="str">
        <x:v>PENDING</x:v>
      </x:c>
      <x:c r="F7368" s="1" t="str">
        <x:v>Advance shipping</x:v>
      </x:c>
      <x:c r="G7368" s="6" t="n">
        <x:v>3</x:v>
      </x:c>
      <x:c r="H7368" s="6" t="n">
        <x:v>4</x:v>
      </x:c>
      <x:c r="I7368" s="6" t="n">
        <x:f>G7368-H7368</x:f>
        <x:v>-1</x:v>
      </x:c>
      <x:c r="J7368" s="6" t="n">
        <x:f>IF(OR(E7368="CANCELED",E7368="SUSPECTED_FRAUD",F7368="Shipping canceled"),0,1)</x:f>
        <x:v>1</x:v>
      </x:c>
      <x:c r="K7368" s="6" t="n">
        <x:f>IF(G7368&gt;H7368,1,0)</x:f>
        <x:v>0</x:v>
      </x:c>
      <x:c r="L7368" s="6" t="n">
        <x:f>J7368*K7368</x:f>
        <x:v>0</x:v>
      </x:c>
    </x:row>
    <x:row r="7369">
      <x:c r="A7369" s="1" t="n">
        <x:v>58590</x:v>
      </x:c>
      <x:c r="B7369" s="5" t="d">
        <x:v>2017-05-05T00:00:00.000Z</x:v>
      </x:c>
      <x:c r="C7369" s="1" t="str">
        <x:v>Second Class</x:v>
      </x:c>
      <x:c r="D7369" s="1" t="str">
        <x:v>LATAM</x:v>
      </x:c>
      <x:c r="E7369" s="1" t="str">
        <x:v>COMPLETE</x:v>
      </x:c>
      <x:c r="F7369" s="1" t="str">
        <x:v>Late delivery</x:v>
      </x:c>
      <x:c r="G7369" s="6" t="n">
        <x:v>6</x:v>
      </x:c>
      <x:c r="H7369" s="6" t="n">
        <x:v>2</x:v>
      </x:c>
      <x:c r="I7369" s="6" t="n">
        <x:f>G7369-H7369</x:f>
        <x:v>4</x:v>
      </x:c>
      <x:c r="J7369" s="6" t="n">
        <x:f>IF(OR(E7369="CANCELED",E7369="SUSPECTED_FRAUD",F7369="Shipping canceled"),0,1)</x:f>
        <x:v>1</x:v>
      </x:c>
      <x:c r="K7369" s="6" t="n">
        <x:f>IF(G7369&gt;H7369,1,0)</x:f>
        <x:v>1</x:v>
      </x:c>
      <x:c r="L7369" s="6" t="n">
        <x:f>J7369*K7369</x:f>
        <x:v>1</x:v>
      </x:c>
    </x:row>
    <x:row r="7370">
      <x:c r="A7370" s="1" t="n">
        <x:v>58592</x:v>
      </x:c>
      <x:c r="B7370" s="5" t="d">
        <x:v>2017-05-05T00:00:00.000Z</x:v>
      </x:c>
      <x:c r="C7370" s="1" t="str">
        <x:v>Standard Class</x:v>
      </x:c>
      <x:c r="D7370" s="1" t="str">
        <x:v>LATAM</x:v>
      </x:c>
      <x:c r="E7370" s="1" t="str">
        <x:v>PENDING</x:v>
      </x:c>
      <x:c r="F7370" s="1" t="str">
        <x:v>Advance shipping</x:v>
      </x:c>
      <x:c r="G7370" s="6" t="n">
        <x:v>3</x:v>
      </x:c>
      <x:c r="H7370" s="6" t="n">
        <x:v>4</x:v>
      </x:c>
      <x:c r="I7370" s="6" t="n">
        <x:f>G7370-H7370</x:f>
        <x:v>-1</x:v>
      </x:c>
      <x:c r="J7370" s="6" t="n">
        <x:f>IF(OR(E7370="CANCELED",E7370="SUSPECTED_FRAUD",F7370="Shipping canceled"),0,1)</x:f>
        <x:v>1</x:v>
      </x:c>
      <x:c r="K7370" s="6" t="n">
        <x:f>IF(G7370&gt;H7370,1,0)</x:f>
        <x:v>0</x:v>
      </x:c>
      <x:c r="L7370" s="6" t="n">
        <x:f>J7370*K7370</x:f>
        <x:v>0</x:v>
      </x:c>
    </x:row>
    <x:row r="7371">
      <x:c r="A7371" s="1" t="n">
        <x:v>58604</x:v>
      </x:c>
      <x:c r="B7371" s="5" t="d">
        <x:v>2017-05-05T00:00:00.000Z</x:v>
      </x:c>
      <x:c r="C7371" s="1" t="str">
        <x:v>Standard Class</x:v>
      </x:c>
      <x:c r="D7371" s="1" t="str">
        <x:v>LATAM</x:v>
      </x:c>
      <x:c r="E7371" s="1" t="str">
        <x:v>COMPLETE</x:v>
      </x:c>
      <x:c r="F7371" s="1" t="str">
        <x:v>Late delivery</x:v>
      </x:c>
      <x:c r="G7371" s="6" t="n">
        <x:v>5</x:v>
      </x:c>
      <x:c r="H7371" s="6" t="n">
        <x:v>4</x:v>
      </x:c>
      <x:c r="I7371" s="6" t="n">
        <x:f>G7371-H7371</x:f>
        <x:v>1</x:v>
      </x:c>
      <x:c r="J7371" s="6" t="n">
        <x:f>IF(OR(E7371="CANCELED",E7371="SUSPECTED_FRAUD",F7371="Shipping canceled"),0,1)</x:f>
        <x:v>1</x:v>
      </x:c>
      <x:c r="K7371" s="6" t="n">
        <x:f>IF(G7371&gt;H7371,1,0)</x:f>
        <x:v>1</x:v>
      </x:c>
      <x:c r="L7371" s="6" t="n">
        <x:f>J7371*K7371</x:f>
        <x:v>1</x:v>
      </x:c>
    </x:row>
    <x:row r="7372">
      <x:c r="A7372" s="1" t="n">
        <x:v>58613</x:v>
      </x:c>
      <x:c r="B7372" s="5" t="d">
        <x:v>2017-05-05T00:00:00.000Z</x:v>
      </x:c>
      <x:c r="C7372" s="1" t="str">
        <x:v>Second Class</x:v>
      </x:c>
      <x:c r="D7372" s="1" t="str">
        <x:v>LATAM</x:v>
      </x:c>
      <x:c r="E7372" s="1" t="str">
        <x:v>PENDING_PAYMENT</x:v>
      </x:c>
      <x:c r="F7372" s="1" t="str">
        <x:v>Late delivery</x:v>
      </x:c>
      <x:c r="G7372" s="6" t="n">
        <x:v>4</x:v>
      </x:c>
      <x:c r="H7372" s="6" t="n">
        <x:v>2</x:v>
      </x:c>
      <x:c r="I7372" s="6" t="n">
        <x:f>G7372-H7372</x:f>
        <x:v>2</x:v>
      </x:c>
      <x:c r="J7372" s="6" t="n">
        <x:f>IF(OR(E7372="CANCELED",E7372="SUSPECTED_FRAUD",F7372="Shipping canceled"),0,1)</x:f>
        <x:v>1</x:v>
      </x:c>
      <x:c r="K7372" s="6" t="n">
        <x:f>IF(G7372&gt;H7372,1,0)</x:f>
        <x:v>1</x:v>
      </x:c>
      <x:c r="L7372" s="6" t="n">
        <x:f>J7372*K7372</x:f>
        <x:v>1</x:v>
      </x:c>
    </x:row>
    <x:row r="7373">
      <x:c r="A7373" s="1" t="n">
        <x:v>58615</x:v>
      </x:c>
      <x:c r="B7373" s="5" t="d">
        <x:v>2017-05-05T00:00:00.000Z</x:v>
      </x:c>
      <x:c r="C7373" s="1" t="str">
        <x:v>Standard Class</x:v>
      </x:c>
      <x:c r="D7373" s="1" t="str">
        <x:v>LATAM</x:v>
      </x:c>
      <x:c r="E7373" s="1" t="str">
        <x:v>COMPLETE</x:v>
      </x:c>
      <x:c r="F7373" s="1" t="str">
        <x:v>Late delivery</x:v>
      </x:c>
      <x:c r="G7373" s="6" t="n">
        <x:v>6</x:v>
      </x:c>
      <x:c r="H7373" s="6" t="n">
        <x:v>4</x:v>
      </x:c>
      <x:c r="I7373" s="6" t="n">
        <x:f>G7373-H7373</x:f>
        <x:v>2</x:v>
      </x:c>
      <x:c r="J7373" s="6" t="n">
        <x:f>IF(OR(E7373="CANCELED",E7373="SUSPECTED_FRAUD",F7373="Shipping canceled"),0,1)</x:f>
        <x:v>1</x:v>
      </x:c>
      <x:c r="K7373" s="6" t="n">
        <x:f>IF(G7373&gt;H7373,1,0)</x:f>
        <x:v>1</x:v>
      </x:c>
      <x:c r="L7373" s="6" t="n">
        <x:f>J7373*K7373</x:f>
        <x:v>1</x:v>
      </x:c>
    </x:row>
    <x:row r="7374">
      <x:c r="A7374" s="1" t="n">
        <x:v>58623</x:v>
      </x:c>
      <x:c r="B7374" s="5" t="d">
        <x:v>2017-05-05T00:00:00.000Z</x:v>
      </x:c>
      <x:c r="C7374" s="1" t="str">
        <x:v>Standard Class</x:v>
      </x:c>
      <x:c r="D7374" s="1" t="str">
        <x:v>LATAM</x:v>
      </x:c>
      <x:c r="E7374" s="1" t="str">
        <x:v>PROCESSING</x:v>
      </x:c>
      <x:c r="F7374" s="1" t="str">
        <x:v>Shipping on time</x:v>
      </x:c>
      <x:c r="G7374" s="6" t="n">
        <x:v>4</x:v>
      </x:c>
      <x:c r="H7374" s="6" t="n">
        <x:v>4</x:v>
      </x:c>
      <x:c r="I7374" s="6" t="n">
        <x:f>G7374-H7374</x:f>
        <x:v>0</x:v>
      </x:c>
      <x:c r="J7374" s="6" t="n">
        <x:f>IF(OR(E7374="CANCELED",E7374="SUSPECTED_FRAUD",F7374="Shipping canceled"),0,1)</x:f>
        <x:v>1</x:v>
      </x:c>
      <x:c r="K7374" s="6" t="n">
        <x:f>IF(G7374&gt;H7374,1,0)</x:f>
        <x:v>0</x:v>
      </x:c>
      <x:c r="L7374" s="6" t="n">
        <x:f>J7374*K7374</x:f>
        <x:v>0</x:v>
      </x:c>
    </x:row>
    <x:row r="7375">
      <x:c r="A7375" s="1" t="n">
        <x:v>58632</x:v>
      </x:c>
      <x:c r="B7375" s="5" t="d">
        <x:v>2017-05-05T00:00:00.000Z</x:v>
      </x:c>
      <x:c r="C7375" s="1" t="str">
        <x:v>Second Class</x:v>
      </x:c>
      <x:c r="D7375" s="1" t="str">
        <x:v>LATAM</x:v>
      </x:c>
      <x:c r="E7375" s="1" t="str">
        <x:v>COMPLETE</x:v>
      </x:c>
      <x:c r="F7375" s="1" t="str">
        <x:v>Late delivery</x:v>
      </x:c>
      <x:c r="G7375" s="6" t="n">
        <x:v>3</x:v>
      </x:c>
      <x:c r="H7375" s="6" t="n">
        <x:v>2</x:v>
      </x:c>
      <x:c r="I7375" s="6" t="n">
        <x:f>G7375-H7375</x:f>
        <x:v>1</x:v>
      </x:c>
      <x:c r="J7375" s="6" t="n">
        <x:f>IF(OR(E7375="CANCELED",E7375="SUSPECTED_FRAUD",F7375="Shipping canceled"),0,1)</x:f>
        <x:v>1</x:v>
      </x:c>
      <x:c r="K7375" s="6" t="n">
        <x:f>IF(G7375&gt;H7375,1,0)</x:f>
        <x:v>1</x:v>
      </x:c>
      <x:c r="L7375" s="6" t="n">
        <x:f>J7375*K7375</x:f>
        <x:v>1</x:v>
      </x:c>
    </x:row>
    <x:row r="7376">
      <x:c r="A7376" s="1" t="n">
        <x:v>58641</x:v>
      </x:c>
      <x:c r="B7376" s="5" t="d">
        <x:v>2017-05-06T00:00:00.000Z</x:v>
      </x:c>
      <x:c r="C7376" s="1" t="str">
        <x:v>Standard Class</x:v>
      </x:c>
      <x:c r="D7376" s="1" t="str">
        <x:v>LATAM</x:v>
      </x:c>
      <x:c r="E7376" s="1" t="str">
        <x:v>PENDING</x:v>
      </x:c>
      <x:c r="F7376" s="1" t="str">
        <x:v>Advance shipping</x:v>
      </x:c>
      <x:c r="G7376" s="6" t="n">
        <x:v>2</x:v>
      </x:c>
      <x:c r="H7376" s="6" t="n">
        <x:v>4</x:v>
      </x:c>
      <x:c r="I7376" s="6" t="n">
        <x:f>G7376-H7376</x:f>
        <x:v>-2</x:v>
      </x:c>
      <x:c r="J7376" s="6" t="n">
        <x:f>IF(OR(E7376="CANCELED",E7376="SUSPECTED_FRAUD",F7376="Shipping canceled"),0,1)</x:f>
        <x:v>1</x:v>
      </x:c>
      <x:c r="K7376" s="6" t="n">
        <x:f>IF(G7376&gt;H7376,1,0)</x:f>
        <x:v>0</x:v>
      </x:c>
      <x:c r="L7376" s="6" t="n">
        <x:f>J7376*K7376</x:f>
        <x:v>0</x:v>
      </x:c>
    </x:row>
    <x:row r="7377">
      <x:c r="A7377" s="1" t="n">
        <x:v>58661</x:v>
      </x:c>
      <x:c r="B7377" s="5" t="d">
        <x:v>2017-05-06T00:00:00.000Z</x:v>
      </x:c>
      <x:c r="C7377" s="1" t="str">
        <x:v>Standard Class</x:v>
      </x:c>
      <x:c r="D7377" s="1" t="str">
        <x:v>LATAM</x:v>
      </x:c>
      <x:c r="E7377" s="1" t="str">
        <x:v>COMPLETE</x:v>
      </x:c>
      <x:c r="F7377" s="1" t="str">
        <x:v>Advance shipping</x:v>
      </x:c>
      <x:c r="G7377" s="6" t="n">
        <x:v>2</x:v>
      </x:c>
      <x:c r="H7377" s="6" t="n">
        <x:v>4</x:v>
      </x:c>
      <x:c r="I7377" s="6" t="n">
        <x:f>G7377-H7377</x:f>
        <x:v>-2</x:v>
      </x:c>
      <x:c r="J7377" s="6" t="n">
        <x:f>IF(OR(E7377="CANCELED",E7377="SUSPECTED_FRAUD",F7377="Shipping canceled"),0,1)</x:f>
        <x:v>1</x:v>
      </x:c>
      <x:c r="K7377" s="6" t="n">
        <x:f>IF(G7377&gt;H7377,1,0)</x:f>
        <x:v>0</x:v>
      </x:c>
      <x:c r="L7377" s="6" t="n">
        <x:f>J7377*K7377</x:f>
        <x:v>0</x:v>
      </x:c>
    </x:row>
    <x:row r="7378">
      <x:c r="A7378" s="1" t="n">
        <x:v>58663</x:v>
      </x:c>
      <x:c r="B7378" s="5" t="d">
        <x:v>2017-05-06T00:00:00.000Z</x:v>
      </x:c>
      <x:c r="C7378" s="1" t="str">
        <x:v>Standard Class</x:v>
      </x:c>
      <x:c r="D7378" s="1" t="str">
        <x:v>LATAM</x:v>
      </x:c>
      <x:c r="E7378" s="1" t="str">
        <x:v>PENDING_PAYMENT</x:v>
      </x:c>
      <x:c r="F7378" s="1" t="str">
        <x:v>Shipping on time</x:v>
      </x:c>
      <x:c r="G7378" s="6" t="n">
        <x:v>4</x:v>
      </x:c>
      <x:c r="H7378" s="6" t="n">
        <x:v>4</x:v>
      </x:c>
      <x:c r="I7378" s="6" t="n">
        <x:f>G7378-H7378</x:f>
        <x:v>0</x:v>
      </x:c>
      <x:c r="J7378" s="6" t="n">
        <x:f>IF(OR(E7378="CANCELED",E7378="SUSPECTED_FRAUD",F7378="Shipping canceled"),0,1)</x:f>
        <x:v>1</x:v>
      </x:c>
      <x:c r="K7378" s="6" t="n">
        <x:f>IF(G7378&gt;H7378,1,0)</x:f>
        <x:v>0</x:v>
      </x:c>
      <x:c r="L7378" s="6" t="n">
        <x:f>J7378*K7378</x:f>
        <x:v>0</x:v>
      </x:c>
    </x:row>
    <x:row r="7379">
      <x:c r="A7379" s="1" t="n">
        <x:v>58678</x:v>
      </x:c>
      <x:c r="B7379" s="5" t="d">
        <x:v>2017-05-06T00:00:00.000Z</x:v>
      </x:c>
      <x:c r="C7379" s="1" t="str">
        <x:v>Standard Class</x:v>
      </x:c>
      <x:c r="D7379" s="1" t="str">
        <x:v>LATAM</x:v>
      </x:c>
      <x:c r="E7379" s="1" t="str">
        <x:v>PROCESSING</x:v>
      </x:c>
      <x:c r="F7379" s="1" t="str">
        <x:v>Shipping on time</x:v>
      </x:c>
      <x:c r="G7379" s="6" t="n">
        <x:v>4</x:v>
      </x:c>
      <x:c r="H7379" s="6" t="n">
        <x:v>4</x:v>
      </x:c>
      <x:c r="I7379" s="6" t="n">
        <x:f>G7379-H7379</x:f>
        <x:v>0</x:v>
      </x:c>
      <x:c r="J7379" s="6" t="n">
        <x:f>IF(OR(E7379="CANCELED",E7379="SUSPECTED_FRAUD",F7379="Shipping canceled"),0,1)</x:f>
        <x:v>1</x:v>
      </x:c>
      <x:c r="K7379" s="6" t="n">
        <x:f>IF(G7379&gt;H7379,1,0)</x:f>
        <x:v>0</x:v>
      </x:c>
      <x:c r="L7379" s="6" t="n">
        <x:f>J7379*K7379</x:f>
        <x:v>0</x:v>
      </x:c>
    </x:row>
    <x:row r="7380">
      <x:c r="A7380" s="1" t="n">
        <x:v>58684</x:v>
      </x:c>
      <x:c r="B7380" s="5" t="d">
        <x:v>2017-05-06T00:00:00.000Z</x:v>
      </x:c>
      <x:c r="C7380" s="1" t="str">
        <x:v>Standard Class</x:v>
      </x:c>
      <x:c r="D7380" s="1" t="str">
        <x:v>LATAM</x:v>
      </x:c>
      <x:c r="E7380" s="1" t="str">
        <x:v>PENDING_PAYMENT</x:v>
      </x:c>
      <x:c r="F7380" s="1" t="str">
        <x:v>Late delivery</x:v>
      </x:c>
      <x:c r="G7380" s="6" t="n">
        <x:v>5</x:v>
      </x:c>
      <x:c r="H7380" s="6" t="n">
        <x:v>4</x:v>
      </x:c>
      <x:c r="I7380" s="6" t="n">
        <x:f>G7380-H7380</x:f>
        <x:v>1</x:v>
      </x:c>
      <x:c r="J7380" s="6" t="n">
        <x:f>IF(OR(E7380="CANCELED",E7380="SUSPECTED_FRAUD",F7380="Shipping canceled"),0,1)</x:f>
        <x:v>1</x:v>
      </x:c>
      <x:c r="K7380" s="6" t="n">
        <x:f>IF(G7380&gt;H7380,1,0)</x:f>
        <x:v>1</x:v>
      </x:c>
      <x:c r="L7380" s="6" t="n">
        <x:f>J7380*K7380</x:f>
        <x:v>1</x:v>
      </x:c>
    </x:row>
    <x:row r="7381">
      <x:c r="A7381" s="1" t="n">
        <x:v>58696</x:v>
      </x:c>
      <x:c r="B7381" s="5" t="d">
        <x:v>2017-05-06T00:00:00.000Z</x:v>
      </x:c>
      <x:c r="C7381" s="1" t="str">
        <x:v>Standard Class</x:v>
      </x:c>
      <x:c r="D7381" s="1" t="str">
        <x:v>LATAM</x:v>
      </x:c>
      <x:c r="E7381" s="1" t="str">
        <x:v>PROCESSING</x:v>
      </x:c>
      <x:c r="F7381" s="1" t="str">
        <x:v>Advance shipping</x:v>
      </x:c>
      <x:c r="G7381" s="6" t="n">
        <x:v>2</x:v>
      </x:c>
      <x:c r="H7381" s="6" t="n">
        <x:v>4</x:v>
      </x:c>
      <x:c r="I7381" s="6" t="n">
        <x:f>G7381-H7381</x:f>
        <x:v>-2</x:v>
      </x:c>
      <x:c r="J7381" s="6" t="n">
        <x:f>IF(OR(E7381="CANCELED",E7381="SUSPECTED_FRAUD",F7381="Shipping canceled"),0,1)</x:f>
        <x:v>1</x:v>
      </x:c>
      <x:c r="K7381" s="6" t="n">
        <x:f>IF(G7381&gt;H7381,1,0)</x:f>
        <x:v>0</x:v>
      </x:c>
      <x:c r="L7381" s="6" t="n">
        <x:f>J7381*K7381</x:f>
        <x:v>0</x:v>
      </x:c>
    </x:row>
    <x:row r="7382">
      <x:c r="A7382" s="1" t="n">
        <x:v>58711</x:v>
      </x:c>
      <x:c r="B7382" s="5" t="d">
        <x:v>2017-05-07T00:00:00.000Z</x:v>
      </x:c>
      <x:c r="C7382" s="1" t="str">
        <x:v>Second Class</x:v>
      </x:c>
      <x:c r="D7382" s="1" t="str">
        <x:v>LATAM</x:v>
      </x:c>
      <x:c r="E7382" s="1" t="str">
        <x:v>CLOSED</x:v>
      </x:c>
      <x:c r="F7382" s="1" t="str">
        <x:v>Shipping on time</x:v>
      </x:c>
      <x:c r="G7382" s="6" t="n">
        <x:v>2</x:v>
      </x:c>
      <x:c r="H7382" s="6" t="n">
        <x:v>2</x:v>
      </x:c>
      <x:c r="I7382" s="6" t="n">
        <x:f>G7382-H7382</x:f>
        <x:v>0</x:v>
      </x:c>
      <x:c r="J7382" s="6" t="n">
        <x:f>IF(OR(E7382="CANCELED",E7382="SUSPECTED_FRAUD",F7382="Shipping canceled"),0,1)</x:f>
        <x:v>1</x:v>
      </x:c>
      <x:c r="K7382" s="6" t="n">
        <x:f>IF(G7382&gt;H7382,1,0)</x:f>
        <x:v>0</x:v>
      </x:c>
      <x:c r="L7382" s="6" t="n">
        <x:f>J7382*K7382</x:f>
        <x:v>0</x:v>
      </x:c>
    </x:row>
    <x:row r="7383">
      <x:c r="A7383" s="1" t="n">
        <x:v>58720</x:v>
      </x:c>
      <x:c r="B7383" s="5" t="d">
        <x:v>2017-05-07T00:00:00.000Z</x:v>
      </x:c>
      <x:c r="C7383" s="1" t="str">
        <x:v>Standard Class</x:v>
      </x:c>
      <x:c r="D7383" s="1" t="str">
        <x:v>LATAM</x:v>
      </x:c>
      <x:c r="E7383" s="1" t="str">
        <x:v>CLOSED</x:v>
      </x:c>
      <x:c r="F7383" s="1" t="str">
        <x:v>Late delivery</x:v>
      </x:c>
      <x:c r="G7383" s="6" t="n">
        <x:v>6</x:v>
      </x:c>
      <x:c r="H7383" s="6" t="n">
        <x:v>4</x:v>
      </x:c>
      <x:c r="I7383" s="6" t="n">
        <x:f>G7383-H7383</x:f>
        <x:v>2</x:v>
      </x:c>
      <x:c r="J7383" s="6" t="n">
        <x:f>IF(OR(E7383="CANCELED",E7383="SUSPECTED_FRAUD",F7383="Shipping canceled"),0,1)</x:f>
        <x:v>1</x:v>
      </x:c>
      <x:c r="K7383" s="6" t="n">
        <x:f>IF(G7383&gt;H7383,1,0)</x:f>
        <x:v>1</x:v>
      </x:c>
      <x:c r="L7383" s="6" t="n">
        <x:f>J7383*K7383</x:f>
        <x:v>1</x:v>
      </x:c>
    </x:row>
    <x:row r="7384">
      <x:c r="A7384" s="1" t="n">
        <x:v>58722</x:v>
      </x:c>
      <x:c r="B7384" s="5" t="d">
        <x:v>2017-05-07T00:00:00.000Z</x:v>
      </x:c>
      <x:c r="C7384" s="1" t="str">
        <x:v>Standard Class</x:v>
      </x:c>
      <x:c r="D7384" s="1" t="str">
        <x:v>LATAM</x:v>
      </x:c>
      <x:c r="E7384" s="1" t="str">
        <x:v>COMPLETE</x:v>
      </x:c>
      <x:c r="F7384" s="1" t="str">
        <x:v>Advance shipping</x:v>
      </x:c>
      <x:c r="G7384" s="6" t="n">
        <x:v>3</x:v>
      </x:c>
      <x:c r="H7384" s="6" t="n">
        <x:v>4</x:v>
      </x:c>
      <x:c r="I7384" s="6" t="n">
        <x:f>G7384-H7384</x:f>
        <x:v>-1</x:v>
      </x:c>
      <x:c r="J7384" s="6" t="n">
        <x:f>IF(OR(E7384="CANCELED",E7384="SUSPECTED_FRAUD",F7384="Shipping canceled"),0,1)</x:f>
        <x:v>1</x:v>
      </x:c>
      <x:c r="K7384" s="6" t="n">
        <x:f>IF(G7384&gt;H7384,1,0)</x:f>
        <x:v>0</x:v>
      </x:c>
      <x:c r="L7384" s="6" t="n">
        <x:f>J7384*K7384</x:f>
        <x:v>0</x:v>
      </x:c>
    </x:row>
    <x:row r="7385">
      <x:c r="A7385" s="1" t="n">
        <x:v>58726</x:v>
      </x:c>
      <x:c r="B7385" s="5" t="d">
        <x:v>2017-05-07T00:00:00.000Z</x:v>
      </x:c>
      <x:c r="C7385" s="1" t="str">
        <x:v>Second Class</x:v>
      </x:c>
      <x:c r="D7385" s="1" t="str">
        <x:v>LATAM</x:v>
      </x:c>
      <x:c r="E7385" s="1" t="str">
        <x:v>ON_HOLD</x:v>
      </x:c>
      <x:c r="F7385" s="1" t="str">
        <x:v>Shipping on time</x:v>
      </x:c>
      <x:c r="G7385" s="6" t="n">
        <x:v>2</x:v>
      </x:c>
      <x:c r="H7385" s="6" t="n">
        <x:v>2</x:v>
      </x:c>
      <x:c r="I7385" s="6" t="n">
        <x:f>G7385-H7385</x:f>
        <x:v>0</x:v>
      </x:c>
      <x:c r="J7385" s="6" t="n">
        <x:f>IF(OR(E7385="CANCELED",E7385="SUSPECTED_FRAUD",F7385="Shipping canceled"),0,1)</x:f>
        <x:v>1</x:v>
      </x:c>
      <x:c r="K7385" s="6" t="n">
        <x:f>IF(G7385&gt;H7385,1,0)</x:f>
        <x:v>0</x:v>
      </x:c>
      <x:c r="L7385" s="6" t="n">
        <x:f>J7385*K7385</x:f>
        <x:v>0</x:v>
      </x:c>
    </x:row>
    <x:row r="7386">
      <x:c r="A7386" s="1" t="n">
        <x:v>58728</x:v>
      </x:c>
      <x:c r="B7386" s="5" t="d">
        <x:v>2017-05-07T00:00:00.000Z</x:v>
      </x:c>
      <x:c r="C7386" s="1" t="str">
        <x:v>Standard Class</x:v>
      </x:c>
      <x:c r="D7386" s="1" t="str">
        <x:v>LATAM</x:v>
      </x:c>
      <x:c r="E7386" s="1" t="str">
        <x:v>PENDING</x:v>
      </x:c>
      <x:c r="F7386" s="1" t="str">
        <x:v>Shipping on time</x:v>
      </x:c>
      <x:c r="G7386" s="6" t="n">
        <x:v>4</x:v>
      </x:c>
      <x:c r="H7386" s="6" t="n">
        <x:v>4</x:v>
      </x:c>
      <x:c r="I7386" s="6" t="n">
        <x:f>G7386-H7386</x:f>
        <x:v>0</x:v>
      </x:c>
      <x:c r="J7386" s="6" t="n">
        <x:f>IF(OR(E7386="CANCELED",E7386="SUSPECTED_FRAUD",F7386="Shipping canceled"),0,1)</x:f>
        <x:v>1</x:v>
      </x:c>
      <x:c r="K7386" s="6" t="n">
        <x:f>IF(G7386&gt;H7386,1,0)</x:f>
        <x:v>0</x:v>
      </x:c>
      <x:c r="L7386" s="6" t="n">
        <x:f>J7386*K7386</x:f>
        <x:v>0</x:v>
      </x:c>
    </x:row>
    <x:row r="7387">
      <x:c r="A7387" s="1" t="n">
        <x:v>58734</x:v>
      </x:c>
      <x:c r="B7387" s="5" t="d">
        <x:v>2017-05-07T00:00:00.000Z</x:v>
      </x:c>
      <x:c r="C7387" s="1" t="str">
        <x:v>Second Class</x:v>
      </x:c>
      <x:c r="D7387" s="1" t="str">
        <x:v>LATAM</x:v>
      </x:c>
      <x:c r="E7387" s="1" t="str">
        <x:v>ON_HOLD</x:v>
      </x:c>
      <x:c r="F7387" s="1" t="str">
        <x:v>Late delivery</x:v>
      </x:c>
      <x:c r="G7387" s="6" t="n">
        <x:v>5</x:v>
      </x:c>
      <x:c r="H7387" s="6" t="n">
        <x:v>2</x:v>
      </x:c>
      <x:c r="I7387" s="6" t="n">
        <x:f>G7387-H7387</x:f>
        <x:v>3</x:v>
      </x:c>
      <x:c r="J7387" s="6" t="n">
        <x:f>IF(OR(E7387="CANCELED",E7387="SUSPECTED_FRAUD",F7387="Shipping canceled"),0,1)</x:f>
        <x:v>1</x:v>
      </x:c>
      <x:c r="K7387" s="6" t="n">
        <x:f>IF(G7387&gt;H7387,1,0)</x:f>
        <x:v>1</x:v>
      </x:c>
      <x:c r="L7387" s="6" t="n">
        <x:f>J7387*K7387</x:f>
        <x:v>1</x:v>
      </x:c>
    </x:row>
    <x:row r="7388">
      <x:c r="A7388" s="1" t="n">
        <x:v>58738</x:v>
      </x:c>
      <x:c r="B7388" s="5" t="d">
        <x:v>2017-05-07T00:00:00.000Z</x:v>
      </x:c>
      <x:c r="C7388" s="1" t="str">
        <x:v>Second Class</x:v>
      </x:c>
      <x:c r="D7388" s="1" t="str">
        <x:v>LATAM</x:v>
      </x:c>
      <x:c r="E7388" s="1" t="str">
        <x:v>PENDING_PAYMENT</x:v>
      </x:c>
      <x:c r="F7388" s="1" t="str">
        <x:v>Late delivery</x:v>
      </x:c>
      <x:c r="G7388" s="6" t="n">
        <x:v>4</x:v>
      </x:c>
      <x:c r="H7388" s="6" t="n">
        <x:v>2</x:v>
      </x:c>
      <x:c r="I7388" s="6" t="n">
        <x:f>G7388-H7388</x:f>
        <x:v>2</x:v>
      </x:c>
      <x:c r="J7388" s="6" t="n">
        <x:f>IF(OR(E7388="CANCELED",E7388="SUSPECTED_FRAUD",F7388="Shipping canceled"),0,1)</x:f>
        <x:v>1</x:v>
      </x:c>
      <x:c r="K7388" s="6" t="n">
        <x:f>IF(G7388&gt;H7388,1,0)</x:f>
        <x:v>1</x:v>
      </x:c>
      <x:c r="L7388" s="6" t="n">
        <x:f>J7388*K7388</x:f>
        <x:v>1</x:v>
      </x:c>
    </x:row>
    <x:row r="7389">
      <x:c r="A7389" s="1" t="n">
        <x:v>58744</x:v>
      </x:c>
      <x:c r="B7389" s="5" t="d">
        <x:v>2017-05-07T00:00:00.000Z</x:v>
      </x:c>
      <x:c r="C7389" s="1" t="str">
        <x:v>Standard Class</x:v>
      </x:c>
      <x:c r="D7389" s="1" t="str">
        <x:v>LATAM</x:v>
      </x:c>
      <x:c r="E7389" s="1" t="str">
        <x:v>SUSPECTED_FRAUD</x:v>
      </x:c>
      <x:c r="F7389" s="1" t="str">
        <x:v>Shipping canceled</x:v>
      </x:c>
      <x:c r="G7389" s="6" t="n">
        <x:v>5</x:v>
      </x:c>
      <x:c r="H7389" s="6" t="n">
        <x:v>4</x:v>
      </x:c>
      <x:c r="I7389" s="6" t="n">
        <x:f>G7389-H7389</x:f>
        <x:v>1</x:v>
      </x:c>
      <x:c r="J7389" s="6" t="n">
        <x:f>IF(OR(E7389="CANCELED",E7389="SUSPECTED_FRAUD",F7389="Shipping canceled"),0,1)</x:f>
        <x:v>0</x:v>
      </x:c>
      <x:c r="K7389" s="6" t="n">
        <x:f>IF(G7389&gt;H7389,1,0)</x:f>
        <x:v>1</x:v>
      </x:c>
      <x:c r="L7389" s="6" t="n">
        <x:f>J7389*K7389</x:f>
        <x:v>0</x:v>
      </x:c>
    </x:row>
    <x:row r="7390">
      <x:c r="A7390" s="1" t="n">
        <x:v>58745</x:v>
      </x:c>
      <x:c r="B7390" s="5" t="d">
        <x:v>2017-05-07T00:00:00.000Z</x:v>
      </x:c>
      <x:c r="C7390" s="1" t="str">
        <x:v>Standard Class</x:v>
      </x:c>
      <x:c r="D7390" s="1" t="str">
        <x:v>LATAM</x:v>
      </x:c>
      <x:c r="E7390" s="1" t="str">
        <x:v>COMPLETE</x:v>
      </x:c>
      <x:c r="F7390" s="1" t="str">
        <x:v>Late delivery</x:v>
      </x:c>
      <x:c r="G7390" s="6" t="n">
        <x:v>6</x:v>
      </x:c>
      <x:c r="H7390" s="6" t="n">
        <x:v>4</x:v>
      </x:c>
      <x:c r="I7390" s="6" t="n">
        <x:f>G7390-H7390</x:f>
        <x:v>2</x:v>
      </x:c>
      <x:c r="J7390" s="6" t="n">
        <x:f>IF(OR(E7390="CANCELED",E7390="SUSPECTED_FRAUD",F7390="Shipping canceled"),0,1)</x:f>
        <x:v>1</x:v>
      </x:c>
      <x:c r="K7390" s="6" t="n">
        <x:f>IF(G7390&gt;H7390,1,0)</x:f>
        <x:v>1</x:v>
      </x:c>
      <x:c r="L7390" s="6" t="n">
        <x:f>J7390*K7390</x:f>
        <x:v>1</x:v>
      </x:c>
    </x:row>
    <x:row r="7391">
      <x:c r="A7391" s="1" t="n">
        <x:v>58756</x:v>
      </x:c>
      <x:c r="B7391" s="5" t="d">
        <x:v>2017-05-07T00:00:00.000Z</x:v>
      </x:c>
      <x:c r="C7391" s="1" t="str">
        <x:v>Standard Class</x:v>
      </x:c>
      <x:c r="D7391" s="1" t="str">
        <x:v>LATAM</x:v>
      </x:c>
      <x:c r="E7391" s="1" t="str">
        <x:v>PENDING</x:v>
      </x:c>
      <x:c r="F7391" s="1" t="str">
        <x:v>Advance shipping</x:v>
      </x:c>
      <x:c r="G7391" s="6" t="n">
        <x:v>2</x:v>
      </x:c>
      <x:c r="H7391" s="6" t="n">
        <x:v>4</x:v>
      </x:c>
      <x:c r="I7391" s="6" t="n">
        <x:f>G7391-H7391</x:f>
        <x:v>-2</x:v>
      </x:c>
      <x:c r="J7391" s="6" t="n">
        <x:f>IF(OR(E7391="CANCELED",E7391="SUSPECTED_FRAUD",F7391="Shipping canceled"),0,1)</x:f>
        <x:v>1</x:v>
      </x:c>
      <x:c r="K7391" s="6" t="n">
        <x:f>IF(G7391&gt;H7391,1,0)</x:f>
        <x:v>0</x:v>
      </x:c>
      <x:c r="L7391" s="6" t="n">
        <x:f>J7391*K7391</x:f>
        <x:v>0</x:v>
      </x:c>
    </x:row>
    <x:row r="7392">
      <x:c r="A7392" s="1" t="n">
        <x:v>58759</x:v>
      </x:c>
      <x:c r="B7392" s="5" t="d">
        <x:v>2017-05-07T00:00:00.000Z</x:v>
      </x:c>
      <x:c r="C7392" s="1" t="str">
        <x:v>First Class</x:v>
      </x:c>
      <x:c r="D7392" s="1" t="str">
        <x:v>LATAM</x:v>
      </x:c>
      <x:c r="E7392" s="1" t="str">
        <x:v>CLOSED</x:v>
      </x:c>
      <x:c r="F7392" s="1" t="str">
        <x:v>Late delivery</x:v>
      </x:c>
      <x:c r="G7392" s="6" t="n">
        <x:v>2</x:v>
      </x:c>
      <x:c r="H7392" s="6" t="n">
        <x:v>1</x:v>
      </x:c>
      <x:c r="I7392" s="6" t="n">
        <x:f>G7392-H7392</x:f>
        <x:v>1</x:v>
      </x:c>
      <x:c r="J7392" s="6" t="n">
        <x:f>IF(OR(E7392="CANCELED",E7392="SUSPECTED_FRAUD",F7392="Shipping canceled"),0,1)</x:f>
        <x:v>1</x:v>
      </x:c>
      <x:c r="K7392" s="6" t="n">
        <x:f>IF(G7392&gt;H7392,1,0)</x:f>
        <x:v>1</x:v>
      </x:c>
      <x:c r="L7392" s="6" t="n">
        <x:f>J7392*K7392</x:f>
        <x:v>1</x:v>
      </x:c>
    </x:row>
    <x:row r="7393">
      <x:c r="A7393" s="1" t="n">
        <x:v>58776</x:v>
      </x:c>
      <x:c r="B7393" s="5" t="d">
        <x:v>2017-05-07T00:00:00.000Z</x:v>
      </x:c>
      <x:c r="C7393" s="1" t="str">
        <x:v>Second Class</x:v>
      </x:c>
      <x:c r="D7393" s="1" t="str">
        <x:v>LATAM</x:v>
      </x:c>
      <x:c r="E7393" s="1" t="str">
        <x:v>PROCESSING</x:v>
      </x:c>
      <x:c r="F7393" s="1" t="str">
        <x:v>Shipping on time</x:v>
      </x:c>
      <x:c r="G7393" s="6" t="n">
        <x:v>2</x:v>
      </x:c>
      <x:c r="H7393" s="6" t="n">
        <x:v>2</x:v>
      </x:c>
      <x:c r="I7393" s="6" t="n">
        <x:f>G7393-H7393</x:f>
        <x:v>0</x:v>
      </x:c>
      <x:c r="J7393" s="6" t="n">
        <x:f>IF(OR(E7393="CANCELED",E7393="SUSPECTED_FRAUD",F7393="Shipping canceled"),0,1)</x:f>
        <x:v>1</x:v>
      </x:c>
      <x:c r="K7393" s="6" t="n">
        <x:f>IF(G7393&gt;H7393,1,0)</x:f>
        <x:v>0</x:v>
      </x:c>
      <x:c r="L7393" s="6" t="n">
        <x:f>J7393*K7393</x:f>
        <x:v>0</x:v>
      </x:c>
    </x:row>
    <x:row r="7394">
      <x:c r="A7394" s="1" t="n">
        <x:v>58784</x:v>
      </x:c>
      <x:c r="B7394" s="5" t="d">
        <x:v>2017-05-08T00:00:00.000Z</x:v>
      </x:c>
      <x:c r="C7394" s="1" t="str">
        <x:v>Standard Class</x:v>
      </x:c>
      <x:c r="D7394" s="1" t="str">
        <x:v>LATAM</x:v>
      </x:c>
      <x:c r="E7394" s="1" t="str">
        <x:v>COMPLETE</x:v>
      </x:c>
      <x:c r="F7394" s="1" t="str">
        <x:v>Late delivery</x:v>
      </x:c>
      <x:c r="G7394" s="6" t="n">
        <x:v>5</x:v>
      </x:c>
      <x:c r="H7394" s="6" t="n">
        <x:v>4</x:v>
      </x:c>
      <x:c r="I7394" s="6" t="n">
        <x:f>G7394-H7394</x:f>
        <x:v>1</x:v>
      </x:c>
      <x:c r="J7394" s="6" t="n">
        <x:f>IF(OR(E7394="CANCELED",E7394="SUSPECTED_FRAUD",F7394="Shipping canceled"),0,1)</x:f>
        <x:v>1</x:v>
      </x:c>
      <x:c r="K7394" s="6" t="n">
        <x:f>IF(G7394&gt;H7394,1,0)</x:f>
        <x:v>1</x:v>
      </x:c>
      <x:c r="L7394" s="6" t="n">
        <x:f>J7394*K7394</x:f>
        <x:v>1</x:v>
      </x:c>
    </x:row>
    <x:row r="7395">
      <x:c r="A7395" s="1" t="n">
        <x:v>58800</x:v>
      </x:c>
      <x:c r="B7395" s="5" t="d">
        <x:v>2017-05-08T00:00:00.000Z</x:v>
      </x:c>
      <x:c r="C7395" s="1" t="str">
        <x:v>Second Class</x:v>
      </x:c>
      <x:c r="D7395" s="1" t="str">
        <x:v>LATAM</x:v>
      </x:c>
      <x:c r="E7395" s="1" t="str">
        <x:v>COMPLETE</x:v>
      </x:c>
      <x:c r="F7395" s="1" t="str">
        <x:v>Late delivery</x:v>
      </x:c>
      <x:c r="G7395" s="6" t="n">
        <x:v>6</x:v>
      </x:c>
      <x:c r="H7395" s="6" t="n">
        <x:v>2</x:v>
      </x:c>
      <x:c r="I7395" s="6" t="n">
        <x:f>G7395-H7395</x:f>
        <x:v>4</x:v>
      </x:c>
      <x:c r="J7395" s="6" t="n">
        <x:f>IF(OR(E7395="CANCELED",E7395="SUSPECTED_FRAUD",F7395="Shipping canceled"),0,1)</x:f>
        <x:v>1</x:v>
      </x:c>
      <x:c r="K7395" s="6" t="n">
        <x:f>IF(G7395&gt;H7395,1,0)</x:f>
        <x:v>1</x:v>
      </x:c>
      <x:c r="L7395" s="6" t="n">
        <x:f>J7395*K7395</x:f>
        <x:v>1</x:v>
      </x:c>
    </x:row>
    <x:row r="7396">
      <x:c r="A7396" s="1" t="n">
        <x:v>58827</x:v>
      </x:c>
      <x:c r="B7396" s="5" t="d">
        <x:v>2017-05-08T00:00:00.000Z</x:v>
      </x:c>
      <x:c r="C7396" s="1" t="str">
        <x:v>Second Class</x:v>
      </x:c>
      <x:c r="D7396" s="1" t="str">
        <x:v>LATAM</x:v>
      </x:c>
      <x:c r="E7396" s="1" t="str">
        <x:v>COMPLETE</x:v>
      </x:c>
      <x:c r="F7396" s="1" t="str">
        <x:v>Late delivery</x:v>
      </x:c>
      <x:c r="G7396" s="6" t="n">
        <x:v>3</x:v>
      </x:c>
      <x:c r="H7396" s="6" t="n">
        <x:v>2</x:v>
      </x:c>
      <x:c r="I7396" s="6" t="n">
        <x:f>G7396-H7396</x:f>
        <x:v>1</x:v>
      </x:c>
      <x:c r="J7396" s="6" t="n">
        <x:f>IF(OR(E7396="CANCELED",E7396="SUSPECTED_FRAUD",F7396="Shipping canceled"),0,1)</x:f>
        <x:v>1</x:v>
      </x:c>
      <x:c r="K7396" s="6" t="n">
        <x:f>IF(G7396&gt;H7396,1,0)</x:f>
        <x:v>1</x:v>
      </x:c>
      <x:c r="L7396" s="6" t="n">
        <x:f>J7396*K7396</x:f>
        <x:v>1</x:v>
      </x:c>
    </x:row>
    <x:row r="7397">
      <x:c r="A7397" s="1" t="n">
        <x:v>58831</x:v>
      </x:c>
      <x:c r="B7397" s="5" t="d">
        <x:v>2017-05-08T00:00:00.000Z</x:v>
      </x:c>
      <x:c r="C7397" s="1" t="str">
        <x:v>Second Class</x:v>
      </x:c>
      <x:c r="D7397" s="1" t="str">
        <x:v>LATAM</x:v>
      </x:c>
      <x:c r="E7397" s="1" t="str">
        <x:v>COMPLETE</x:v>
      </x:c>
      <x:c r="F7397" s="1" t="str">
        <x:v>Shipping on time</x:v>
      </x:c>
      <x:c r="G7397" s="6" t="n">
        <x:v>2</x:v>
      </x:c>
      <x:c r="H7397" s="6" t="n">
        <x:v>2</x:v>
      </x:c>
      <x:c r="I7397" s="6" t="n">
        <x:f>G7397-H7397</x:f>
        <x:v>0</x:v>
      </x:c>
      <x:c r="J7397" s="6" t="n">
        <x:f>IF(OR(E7397="CANCELED",E7397="SUSPECTED_FRAUD",F7397="Shipping canceled"),0,1)</x:f>
        <x:v>1</x:v>
      </x:c>
      <x:c r="K7397" s="6" t="n">
        <x:f>IF(G7397&gt;H7397,1,0)</x:f>
        <x:v>0</x:v>
      </x:c>
      <x:c r="L7397" s="6" t="n">
        <x:f>J7397*K7397</x:f>
        <x:v>0</x:v>
      </x:c>
    </x:row>
    <x:row r="7398">
      <x:c r="A7398" s="1" t="n">
        <x:v>58844</x:v>
      </x:c>
      <x:c r="B7398" s="5" t="d">
        <x:v>2017-05-08T00:00:00.000Z</x:v>
      </x:c>
      <x:c r="C7398" s="1" t="str">
        <x:v>Standard Class</x:v>
      </x:c>
      <x:c r="D7398" s="1" t="str">
        <x:v>LATAM</x:v>
      </x:c>
      <x:c r="E7398" s="1" t="str">
        <x:v>COMPLETE</x:v>
      </x:c>
      <x:c r="F7398" s="1" t="str">
        <x:v>Late delivery</x:v>
      </x:c>
      <x:c r="G7398" s="6" t="n">
        <x:v>5</x:v>
      </x:c>
      <x:c r="H7398" s="6" t="n">
        <x:v>4</x:v>
      </x:c>
      <x:c r="I7398" s="6" t="n">
        <x:f>G7398-H7398</x:f>
        <x:v>1</x:v>
      </x:c>
      <x:c r="J7398" s="6" t="n">
        <x:f>IF(OR(E7398="CANCELED",E7398="SUSPECTED_FRAUD",F7398="Shipping canceled"),0,1)</x:f>
        <x:v>1</x:v>
      </x:c>
      <x:c r="K7398" s="6" t="n">
        <x:f>IF(G7398&gt;H7398,1,0)</x:f>
        <x:v>1</x:v>
      </x:c>
      <x:c r="L7398" s="6" t="n">
        <x:f>J7398*K7398</x:f>
        <x:v>1</x:v>
      </x:c>
    </x:row>
    <x:row r="7399">
      <x:c r="A7399" s="1" t="n">
        <x:v>58845</x:v>
      </x:c>
      <x:c r="B7399" s="5" t="d">
        <x:v>2017-05-08T00:00:00.000Z</x:v>
      </x:c>
      <x:c r="C7399" s="1" t="str">
        <x:v>Standard Class</x:v>
      </x:c>
      <x:c r="D7399" s="1" t="str">
        <x:v>LATAM</x:v>
      </x:c>
      <x:c r="E7399" s="1" t="str">
        <x:v>COMPLETE</x:v>
      </x:c>
      <x:c r="F7399" s="1" t="str">
        <x:v>Late delivery</x:v>
      </x:c>
      <x:c r="G7399" s="6" t="n">
        <x:v>6</x:v>
      </x:c>
      <x:c r="H7399" s="6" t="n">
        <x:v>4</x:v>
      </x:c>
      <x:c r="I7399" s="6" t="n">
        <x:f>G7399-H7399</x:f>
        <x:v>2</x:v>
      </x:c>
      <x:c r="J7399" s="6" t="n">
        <x:f>IF(OR(E7399="CANCELED",E7399="SUSPECTED_FRAUD",F7399="Shipping canceled"),0,1)</x:f>
        <x:v>1</x:v>
      </x:c>
      <x:c r="K7399" s="6" t="n">
        <x:f>IF(G7399&gt;H7399,1,0)</x:f>
        <x:v>1</x:v>
      </x:c>
      <x:c r="L7399" s="6" t="n">
        <x:f>J7399*K7399</x:f>
        <x:v>1</x:v>
      </x:c>
    </x:row>
    <x:row r="7400">
      <x:c r="A7400" s="1" t="n">
        <x:v>58870</x:v>
      </x:c>
      <x:c r="B7400" s="5" t="d">
        <x:v>2017-05-09T00:00:00.000Z</x:v>
      </x:c>
      <x:c r="C7400" s="1" t="str">
        <x:v>Standard Class</x:v>
      </x:c>
      <x:c r="D7400" s="1" t="str">
        <x:v>LATAM</x:v>
      </x:c>
      <x:c r="E7400" s="1" t="str">
        <x:v>COMPLETE</x:v>
      </x:c>
      <x:c r="F7400" s="1" t="str">
        <x:v>Late delivery</x:v>
      </x:c>
      <x:c r="G7400" s="6" t="n">
        <x:v>6</x:v>
      </x:c>
      <x:c r="H7400" s="6" t="n">
        <x:v>4</x:v>
      </x:c>
      <x:c r="I7400" s="6" t="n">
        <x:f>G7400-H7400</x:f>
        <x:v>2</x:v>
      </x:c>
      <x:c r="J7400" s="6" t="n">
        <x:f>IF(OR(E7400="CANCELED",E7400="SUSPECTED_FRAUD",F7400="Shipping canceled"),0,1)</x:f>
        <x:v>1</x:v>
      </x:c>
      <x:c r="K7400" s="6" t="n">
        <x:f>IF(G7400&gt;H7400,1,0)</x:f>
        <x:v>1</x:v>
      </x:c>
      <x:c r="L7400" s="6" t="n">
        <x:f>J7400*K7400</x:f>
        <x:v>1</x:v>
      </x:c>
    </x:row>
    <x:row r="7401">
      <x:c r="A7401" s="1" t="n">
        <x:v>58872</x:v>
      </x:c>
      <x:c r="B7401" s="5" t="d">
        <x:v>2017-05-09T00:00:00.000Z</x:v>
      </x:c>
      <x:c r="C7401" s="1" t="str">
        <x:v>Standard Class</x:v>
      </x:c>
      <x:c r="D7401" s="1" t="str">
        <x:v>LATAM</x:v>
      </x:c>
      <x:c r="E7401" s="1" t="str">
        <x:v>CLOSED</x:v>
      </x:c>
      <x:c r="F7401" s="1" t="str">
        <x:v>Advance shipping</x:v>
      </x:c>
      <x:c r="G7401" s="6" t="n">
        <x:v>3</x:v>
      </x:c>
      <x:c r="H7401" s="6" t="n">
        <x:v>4</x:v>
      </x:c>
      <x:c r="I7401" s="6" t="n">
        <x:f>G7401-H7401</x:f>
        <x:v>-1</x:v>
      </x:c>
      <x:c r="J7401" s="6" t="n">
        <x:f>IF(OR(E7401="CANCELED",E7401="SUSPECTED_FRAUD",F7401="Shipping canceled"),0,1)</x:f>
        <x:v>1</x:v>
      </x:c>
      <x:c r="K7401" s="6" t="n">
        <x:f>IF(G7401&gt;H7401,1,0)</x:f>
        <x:v>0</x:v>
      </x:c>
      <x:c r="L7401" s="6" t="n">
        <x:f>J7401*K7401</x:f>
        <x:v>0</x:v>
      </x:c>
    </x:row>
    <x:row r="7402">
      <x:c r="A7402" s="1" t="n">
        <x:v>58882</x:v>
      </x:c>
      <x:c r="B7402" s="5" t="d">
        <x:v>2017-05-09T00:00:00.000Z</x:v>
      </x:c>
      <x:c r="C7402" s="1" t="str">
        <x:v>Standard Class</x:v>
      </x:c>
      <x:c r="D7402" s="1" t="str">
        <x:v>LATAM</x:v>
      </x:c>
      <x:c r="E7402" s="1" t="str">
        <x:v>COMPLETE</x:v>
      </x:c>
      <x:c r="F7402" s="1" t="str">
        <x:v>Advance shipping</x:v>
      </x:c>
      <x:c r="G7402" s="6" t="n">
        <x:v>3</x:v>
      </x:c>
      <x:c r="H7402" s="6" t="n">
        <x:v>4</x:v>
      </x:c>
      <x:c r="I7402" s="6" t="n">
        <x:f>G7402-H7402</x:f>
        <x:v>-1</x:v>
      </x:c>
      <x:c r="J7402" s="6" t="n">
        <x:f>IF(OR(E7402="CANCELED",E7402="SUSPECTED_FRAUD",F7402="Shipping canceled"),0,1)</x:f>
        <x:v>1</x:v>
      </x:c>
      <x:c r="K7402" s="6" t="n">
        <x:f>IF(G7402&gt;H7402,1,0)</x:f>
        <x:v>0</x:v>
      </x:c>
      <x:c r="L7402" s="6" t="n">
        <x:f>J7402*K7402</x:f>
        <x:v>0</x:v>
      </x:c>
    </x:row>
    <x:row r="7403">
      <x:c r="A7403" s="1" t="n">
        <x:v>58885</x:v>
      </x:c>
      <x:c r="B7403" s="5" t="d">
        <x:v>2017-05-09T00:00:00.000Z</x:v>
      </x:c>
      <x:c r="C7403" s="1" t="str">
        <x:v>Second Class</x:v>
      </x:c>
      <x:c r="D7403" s="1" t="str">
        <x:v>LATAM</x:v>
      </x:c>
      <x:c r="E7403" s="1" t="str">
        <x:v>COMPLETE</x:v>
      </x:c>
      <x:c r="F7403" s="1" t="str">
        <x:v>Late delivery</x:v>
      </x:c>
      <x:c r="G7403" s="6" t="n">
        <x:v>6</x:v>
      </x:c>
      <x:c r="H7403" s="6" t="n">
        <x:v>2</x:v>
      </x:c>
      <x:c r="I7403" s="6" t="n">
        <x:f>G7403-H7403</x:f>
        <x:v>4</x:v>
      </x:c>
      <x:c r="J7403" s="6" t="n">
        <x:f>IF(OR(E7403="CANCELED",E7403="SUSPECTED_FRAUD",F7403="Shipping canceled"),0,1)</x:f>
        <x:v>1</x:v>
      </x:c>
      <x:c r="K7403" s="6" t="n">
        <x:f>IF(G7403&gt;H7403,1,0)</x:f>
        <x:v>1</x:v>
      </x:c>
      <x:c r="L7403" s="6" t="n">
        <x:f>J7403*K7403</x:f>
        <x:v>1</x:v>
      </x:c>
    </x:row>
    <x:row r="7404">
      <x:c r="A7404" s="1" t="n">
        <x:v>58896</x:v>
      </x:c>
      <x:c r="B7404" s="5" t="d">
        <x:v>2017-05-09T00:00:00.000Z</x:v>
      </x:c>
      <x:c r="C7404" s="1" t="str">
        <x:v>Standard Class</x:v>
      </x:c>
      <x:c r="D7404" s="1" t="str">
        <x:v>LATAM</x:v>
      </x:c>
      <x:c r="E7404" s="1" t="str">
        <x:v>SUSPECTED_FRAUD</x:v>
      </x:c>
      <x:c r="F7404" s="1" t="str">
        <x:v>Shipping canceled</x:v>
      </x:c>
      <x:c r="G7404" s="6" t="n">
        <x:v>2</x:v>
      </x:c>
      <x:c r="H7404" s="6" t="n">
        <x:v>4</x:v>
      </x:c>
      <x:c r="I7404" s="6" t="n">
        <x:f>G7404-H7404</x:f>
        <x:v>-2</x:v>
      </x:c>
      <x:c r="J7404" s="6" t="n">
        <x:f>IF(OR(E7404="CANCELED",E7404="SUSPECTED_FRAUD",F7404="Shipping canceled"),0,1)</x:f>
        <x:v>0</x:v>
      </x:c>
      <x:c r="K7404" s="6" t="n">
        <x:f>IF(G7404&gt;H7404,1,0)</x:f>
        <x:v>0</x:v>
      </x:c>
      <x:c r="L7404" s="6" t="n">
        <x:f>J7404*K7404</x:f>
        <x:v>0</x:v>
      </x:c>
    </x:row>
    <x:row r="7405">
      <x:c r="A7405" s="1" t="n">
        <x:v>58966</x:v>
      </x:c>
      <x:c r="B7405" s="5" t="d">
        <x:v>2017-05-10T00:00:00.000Z</x:v>
      </x:c>
      <x:c r="C7405" s="1" t="str">
        <x:v>Standard Class</x:v>
      </x:c>
      <x:c r="D7405" s="1" t="str">
        <x:v>LATAM</x:v>
      </x:c>
      <x:c r="E7405" s="1" t="str">
        <x:v>CANCELED</x:v>
      </x:c>
      <x:c r="F7405" s="1" t="str">
        <x:v>Shipping canceled</x:v>
      </x:c>
      <x:c r="G7405" s="6" t="n">
        <x:v>2</x:v>
      </x:c>
      <x:c r="H7405" s="6" t="n">
        <x:v>4</x:v>
      </x:c>
      <x:c r="I7405" s="6" t="n">
        <x:f>G7405-H7405</x:f>
        <x:v>-2</x:v>
      </x:c>
      <x:c r="J7405" s="6" t="n">
        <x:f>IF(OR(E7405="CANCELED",E7405="SUSPECTED_FRAUD",F7405="Shipping canceled"),0,1)</x:f>
        <x:v>0</x:v>
      </x:c>
      <x:c r="K7405" s="6" t="n">
        <x:f>IF(G7405&gt;H7405,1,0)</x:f>
        <x:v>0</x:v>
      </x:c>
      <x:c r="L7405" s="6" t="n">
        <x:f>J7405*K7405</x:f>
        <x:v>0</x:v>
      </x:c>
    </x:row>
    <x:row r="7406">
      <x:c r="A7406" s="1" t="n">
        <x:v>58997</x:v>
      </x:c>
      <x:c r="B7406" s="5" t="d">
        <x:v>2017-05-11T00:00:00.000Z</x:v>
      </x:c>
      <x:c r="C7406" s="1" t="str">
        <x:v>Standard Class</x:v>
      </x:c>
      <x:c r="D7406" s="1" t="str">
        <x:v>LATAM</x:v>
      </x:c>
      <x:c r="E7406" s="1" t="str">
        <x:v>PROCESSING</x:v>
      </x:c>
      <x:c r="F7406" s="1" t="str">
        <x:v>Advance shipping</x:v>
      </x:c>
      <x:c r="G7406" s="6" t="n">
        <x:v>3</x:v>
      </x:c>
      <x:c r="H7406" s="6" t="n">
        <x:v>4</x:v>
      </x:c>
      <x:c r="I7406" s="6" t="n">
        <x:f>G7406-H7406</x:f>
        <x:v>-1</x:v>
      </x:c>
      <x:c r="J7406" s="6" t="n">
        <x:f>IF(OR(E7406="CANCELED",E7406="SUSPECTED_FRAUD",F7406="Shipping canceled"),0,1)</x:f>
        <x:v>1</x:v>
      </x:c>
      <x:c r="K7406" s="6" t="n">
        <x:f>IF(G7406&gt;H7406,1,0)</x:f>
        <x:v>0</x:v>
      </x:c>
      <x:c r="L7406" s="6" t="n">
        <x:f>J7406*K7406</x:f>
        <x:v>0</x:v>
      </x:c>
    </x:row>
    <x:row r="7407">
      <x:c r="A7407" s="1" t="n">
        <x:v>59012</x:v>
      </x:c>
      <x:c r="B7407" s="5" t="d">
        <x:v>2017-05-11T00:00:00.000Z</x:v>
      </x:c>
      <x:c r="C7407" s="1" t="str">
        <x:v>Standard Class</x:v>
      </x:c>
      <x:c r="D7407" s="1" t="str">
        <x:v>LATAM</x:v>
      </x:c>
      <x:c r="E7407" s="1" t="str">
        <x:v>PROCESSING</x:v>
      </x:c>
      <x:c r="F7407" s="1" t="str">
        <x:v>Advance shipping</x:v>
      </x:c>
      <x:c r="G7407" s="6" t="n">
        <x:v>3</x:v>
      </x:c>
      <x:c r="H7407" s="6" t="n">
        <x:v>4</x:v>
      </x:c>
      <x:c r="I7407" s="6" t="n">
        <x:f>G7407-H7407</x:f>
        <x:v>-1</x:v>
      </x:c>
      <x:c r="J7407" s="6" t="n">
        <x:f>IF(OR(E7407="CANCELED",E7407="SUSPECTED_FRAUD",F7407="Shipping canceled"),0,1)</x:f>
        <x:v>1</x:v>
      </x:c>
      <x:c r="K7407" s="6" t="n">
        <x:f>IF(G7407&gt;H7407,1,0)</x:f>
        <x:v>0</x:v>
      </x:c>
      <x:c r="L7407" s="6" t="n">
        <x:f>J7407*K7407</x:f>
        <x:v>0</x:v>
      </x:c>
    </x:row>
    <x:row r="7408">
      <x:c r="A7408" s="1" t="n">
        <x:v>59016</x:v>
      </x:c>
      <x:c r="B7408" s="5" t="d">
        <x:v>2017-05-11T00:00:00.000Z</x:v>
      </x:c>
      <x:c r="C7408" s="1" t="str">
        <x:v>Standard Class</x:v>
      </x:c>
      <x:c r="D7408" s="1" t="str">
        <x:v>LATAM</x:v>
      </x:c>
      <x:c r="E7408" s="1" t="str">
        <x:v>COMPLETE</x:v>
      </x:c>
      <x:c r="F7408" s="1" t="str">
        <x:v>Advance shipping</x:v>
      </x:c>
      <x:c r="G7408" s="6" t="n">
        <x:v>2</x:v>
      </x:c>
      <x:c r="H7408" s="6" t="n">
        <x:v>4</x:v>
      </x:c>
      <x:c r="I7408" s="6" t="n">
        <x:f>G7408-H7408</x:f>
        <x:v>-2</x:v>
      </x:c>
      <x:c r="J7408" s="6" t="n">
        <x:f>IF(OR(E7408="CANCELED",E7408="SUSPECTED_FRAUD",F7408="Shipping canceled"),0,1)</x:f>
        <x:v>1</x:v>
      </x:c>
      <x:c r="K7408" s="6" t="n">
        <x:f>IF(G7408&gt;H7408,1,0)</x:f>
        <x:v>0</x:v>
      </x:c>
      <x:c r="L7408" s="6" t="n">
        <x:f>J7408*K7408</x:f>
        <x:v>0</x:v>
      </x:c>
    </x:row>
    <x:row r="7409">
      <x:c r="A7409" s="1" t="n">
        <x:v>59027</x:v>
      </x:c>
      <x:c r="B7409" s="5" t="d">
        <x:v>2017-05-11T00:00:00.000Z</x:v>
      </x:c>
      <x:c r="C7409" s="1" t="str">
        <x:v>Standard Class</x:v>
      </x:c>
      <x:c r="D7409" s="1" t="str">
        <x:v>LATAM</x:v>
      </x:c>
      <x:c r="E7409" s="1" t="str">
        <x:v>CLOSED</x:v>
      </x:c>
      <x:c r="F7409" s="1" t="str">
        <x:v>Advance shipping</x:v>
      </x:c>
      <x:c r="G7409" s="6" t="n">
        <x:v>3</x:v>
      </x:c>
      <x:c r="H7409" s="6" t="n">
        <x:v>4</x:v>
      </x:c>
      <x:c r="I7409" s="6" t="n">
        <x:f>G7409-H7409</x:f>
        <x:v>-1</x:v>
      </x:c>
      <x:c r="J7409" s="6" t="n">
        <x:f>IF(OR(E7409="CANCELED",E7409="SUSPECTED_FRAUD",F7409="Shipping canceled"),0,1)</x:f>
        <x:v>1</x:v>
      </x:c>
      <x:c r="K7409" s="6" t="n">
        <x:f>IF(G7409&gt;H7409,1,0)</x:f>
        <x:v>0</x:v>
      </x:c>
      <x:c r="L7409" s="6" t="n">
        <x:f>J7409*K7409</x:f>
        <x:v>0</x:v>
      </x:c>
    </x:row>
    <x:row r="7410">
      <x:c r="A7410" s="1" t="n">
        <x:v>59029</x:v>
      </x:c>
      <x:c r="B7410" s="5" t="d">
        <x:v>2017-05-11T00:00:00.000Z</x:v>
      </x:c>
      <x:c r="C7410" s="1" t="str">
        <x:v>Standard Class</x:v>
      </x:c>
      <x:c r="D7410" s="1" t="str">
        <x:v>LATAM</x:v>
      </x:c>
      <x:c r="E7410" s="1" t="str">
        <x:v>PENDING</x:v>
      </x:c>
      <x:c r="F7410" s="1" t="str">
        <x:v>Late delivery</x:v>
      </x:c>
      <x:c r="G7410" s="6" t="n">
        <x:v>5</x:v>
      </x:c>
      <x:c r="H7410" s="6" t="n">
        <x:v>4</x:v>
      </x:c>
      <x:c r="I7410" s="6" t="n">
        <x:f>G7410-H7410</x:f>
        <x:v>1</x:v>
      </x:c>
      <x:c r="J7410" s="6" t="n">
        <x:f>IF(OR(E7410="CANCELED",E7410="SUSPECTED_FRAUD",F7410="Shipping canceled"),0,1)</x:f>
        <x:v>1</x:v>
      </x:c>
      <x:c r="K7410" s="6" t="n">
        <x:f>IF(G7410&gt;H7410,1,0)</x:f>
        <x:v>1</x:v>
      </x:c>
      <x:c r="L7410" s="6" t="n">
        <x:f>J7410*K7410</x:f>
        <x:v>1</x:v>
      </x:c>
    </x:row>
    <x:row r="7411">
      <x:c r="A7411" s="1" t="n">
        <x:v>59049</x:v>
      </x:c>
      <x:c r="B7411" s="5" t="d">
        <x:v>2017-05-11T00:00:00.000Z</x:v>
      </x:c>
      <x:c r="C7411" s="1" t="str">
        <x:v>Second Class</x:v>
      </x:c>
      <x:c r="D7411" s="1" t="str">
        <x:v>LATAM</x:v>
      </x:c>
      <x:c r="E7411" s="1" t="str">
        <x:v>COMPLETE</x:v>
      </x:c>
      <x:c r="F7411" s="1" t="str">
        <x:v>Late delivery</x:v>
      </x:c>
      <x:c r="G7411" s="6" t="n">
        <x:v>5</x:v>
      </x:c>
      <x:c r="H7411" s="6" t="n">
        <x:v>2</x:v>
      </x:c>
      <x:c r="I7411" s="6" t="n">
        <x:f>G7411-H7411</x:f>
        <x:v>3</x:v>
      </x:c>
      <x:c r="J7411" s="6" t="n">
        <x:f>IF(OR(E7411="CANCELED",E7411="SUSPECTED_FRAUD",F7411="Shipping canceled"),0,1)</x:f>
        <x:v>1</x:v>
      </x:c>
      <x:c r="K7411" s="6" t="n">
        <x:f>IF(G7411&gt;H7411,1,0)</x:f>
        <x:v>1</x:v>
      </x:c>
      <x:c r="L7411" s="6" t="n">
        <x:f>J7411*K7411</x:f>
        <x:v>1</x:v>
      </x:c>
    </x:row>
    <x:row r="7412">
      <x:c r="A7412" s="1" t="n">
        <x:v>59052</x:v>
      </x:c>
      <x:c r="B7412" s="5" t="d">
        <x:v>2017-05-12T00:00:00.000Z</x:v>
      </x:c>
      <x:c r="C7412" s="1" t="str">
        <x:v>Second Class</x:v>
      </x:c>
      <x:c r="D7412" s="1" t="str">
        <x:v>LATAM</x:v>
      </x:c>
      <x:c r="E7412" s="1" t="str">
        <x:v>COMPLETE</x:v>
      </x:c>
      <x:c r="F7412" s="1" t="str">
        <x:v>Late delivery</x:v>
      </x:c>
      <x:c r="G7412" s="6" t="n">
        <x:v>3</x:v>
      </x:c>
      <x:c r="H7412" s="6" t="n">
        <x:v>2</x:v>
      </x:c>
      <x:c r="I7412" s="6" t="n">
        <x:f>G7412-H7412</x:f>
        <x:v>1</x:v>
      </x:c>
      <x:c r="J7412" s="6" t="n">
        <x:f>IF(OR(E7412="CANCELED",E7412="SUSPECTED_FRAUD",F7412="Shipping canceled"),0,1)</x:f>
        <x:v>1</x:v>
      </x:c>
      <x:c r="K7412" s="6" t="n">
        <x:f>IF(G7412&gt;H7412,1,0)</x:f>
        <x:v>1</x:v>
      </x:c>
      <x:c r="L7412" s="6" t="n">
        <x:f>J7412*K7412</x:f>
        <x:v>1</x:v>
      </x:c>
    </x:row>
    <x:row r="7413">
      <x:c r="A7413" s="1" t="n">
        <x:v>59053</x:v>
      </x:c>
      <x:c r="B7413" s="5" t="d">
        <x:v>2017-05-12T00:00:00.000Z</x:v>
      </x:c>
      <x:c r="C7413" s="1" t="str">
        <x:v>Standard Class</x:v>
      </x:c>
      <x:c r="D7413" s="1" t="str">
        <x:v>LATAM</x:v>
      </x:c>
      <x:c r="E7413" s="1" t="str">
        <x:v>CLOSED</x:v>
      </x:c>
      <x:c r="F7413" s="1" t="str">
        <x:v>Shipping on time</x:v>
      </x:c>
      <x:c r="G7413" s="6" t="n">
        <x:v>4</x:v>
      </x:c>
      <x:c r="H7413" s="6" t="n">
        <x:v>4</x:v>
      </x:c>
      <x:c r="I7413" s="6" t="n">
        <x:f>G7413-H7413</x:f>
        <x:v>0</x:v>
      </x:c>
      <x:c r="J7413" s="6" t="n">
        <x:f>IF(OR(E7413="CANCELED",E7413="SUSPECTED_FRAUD",F7413="Shipping canceled"),0,1)</x:f>
        <x:v>1</x:v>
      </x:c>
      <x:c r="K7413" s="6" t="n">
        <x:f>IF(G7413&gt;H7413,1,0)</x:f>
        <x:v>0</x:v>
      </x:c>
      <x:c r="L7413" s="6" t="n">
        <x:f>J7413*K7413</x:f>
        <x:v>0</x:v>
      </x:c>
    </x:row>
    <x:row r="7414">
      <x:c r="A7414" s="1" t="n">
        <x:v>59072</x:v>
      </x:c>
      <x:c r="B7414" s="5" t="d">
        <x:v>2017-05-12T00:00:00.000Z</x:v>
      </x:c>
      <x:c r="C7414" s="1" t="str">
        <x:v>Standard Class</x:v>
      </x:c>
      <x:c r="D7414" s="1" t="str">
        <x:v>LATAM</x:v>
      </x:c>
      <x:c r="E7414" s="1" t="str">
        <x:v>CANCELED</x:v>
      </x:c>
      <x:c r="F7414" s="1" t="str">
        <x:v>Shipping canceled</x:v>
      </x:c>
      <x:c r="G7414" s="6" t="n">
        <x:v>3</x:v>
      </x:c>
      <x:c r="H7414" s="6" t="n">
        <x:v>4</x:v>
      </x:c>
      <x:c r="I7414" s="6" t="n">
        <x:f>G7414-H7414</x:f>
        <x:v>-1</x:v>
      </x:c>
      <x:c r="J7414" s="6" t="n">
        <x:f>IF(OR(E7414="CANCELED",E7414="SUSPECTED_FRAUD",F7414="Shipping canceled"),0,1)</x:f>
        <x:v>0</x:v>
      </x:c>
      <x:c r="K7414" s="6" t="n">
        <x:f>IF(G7414&gt;H7414,1,0)</x:f>
        <x:v>0</x:v>
      </x:c>
      <x:c r="L7414" s="6" t="n">
        <x:f>J7414*K7414</x:f>
        <x:v>0</x:v>
      </x:c>
    </x:row>
    <x:row r="7415">
      <x:c r="A7415" s="1" t="n">
        <x:v>59075</x:v>
      </x:c>
      <x:c r="B7415" s="5" t="d">
        <x:v>2017-05-12T00:00:00.000Z</x:v>
      </x:c>
      <x:c r="C7415" s="1" t="str">
        <x:v>Standard Class</x:v>
      </x:c>
      <x:c r="D7415" s="1" t="str">
        <x:v>LATAM</x:v>
      </x:c>
      <x:c r="E7415" s="1" t="str">
        <x:v>PROCESSING</x:v>
      </x:c>
      <x:c r="F7415" s="1" t="str">
        <x:v>Late delivery</x:v>
      </x:c>
      <x:c r="G7415" s="6" t="n">
        <x:v>6</x:v>
      </x:c>
      <x:c r="H7415" s="6" t="n">
        <x:v>4</x:v>
      </x:c>
      <x:c r="I7415" s="6" t="n">
        <x:f>G7415-H7415</x:f>
        <x:v>2</x:v>
      </x:c>
      <x:c r="J7415" s="6" t="n">
        <x:f>IF(OR(E7415="CANCELED",E7415="SUSPECTED_FRAUD",F7415="Shipping canceled"),0,1)</x:f>
        <x:v>1</x:v>
      </x:c>
      <x:c r="K7415" s="6" t="n">
        <x:f>IF(G7415&gt;H7415,1,0)</x:f>
        <x:v>1</x:v>
      </x:c>
      <x:c r="L7415" s="6" t="n">
        <x:f>J7415*K7415</x:f>
        <x:v>1</x:v>
      </x:c>
    </x:row>
    <x:row r="7416">
      <x:c r="A7416" s="1" t="n">
        <x:v>59086</x:v>
      </x:c>
      <x:c r="B7416" s="5" t="d">
        <x:v>2017-05-12T00:00:00.000Z</x:v>
      </x:c>
      <x:c r="C7416" s="1" t="str">
        <x:v>Standard Class</x:v>
      </x:c>
      <x:c r="D7416" s="1" t="str">
        <x:v>LATAM</x:v>
      </x:c>
      <x:c r="E7416" s="1" t="str">
        <x:v>CLOSED</x:v>
      </x:c>
      <x:c r="F7416" s="1" t="str">
        <x:v>Advance shipping</x:v>
      </x:c>
      <x:c r="G7416" s="6" t="n">
        <x:v>2</x:v>
      </x:c>
      <x:c r="H7416" s="6" t="n">
        <x:v>4</x:v>
      </x:c>
      <x:c r="I7416" s="6" t="n">
        <x:f>G7416-H7416</x:f>
        <x:v>-2</x:v>
      </x:c>
      <x:c r="J7416" s="6" t="n">
        <x:f>IF(OR(E7416="CANCELED",E7416="SUSPECTED_FRAUD",F7416="Shipping canceled"),0,1)</x:f>
        <x:v>1</x:v>
      </x:c>
      <x:c r="K7416" s="6" t="n">
        <x:f>IF(G7416&gt;H7416,1,0)</x:f>
        <x:v>0</x:v>
      </x:c>
      <x:c r="L7416" s="6" t="n">
        <x:f>J7416*K7416</x:f>
        <x:v>0</x:v>
      </x:c>
    </x:row>
    <x:row r="7417">
      <x:c r="A7417" s="1" t="n">
        <x:v>59120</x:v>
      </x:c>
      <x:c r="B7417" s="5" t="d">
        <x:v>2017-05-13T00:00:00.000Z</x:v>
      </x:c>
      <x:c r="C7417" s="1" t="str">
        <x:v>First Class</x:v>
      </x:c>
      <x:c r="D7417" s="1" t="str">
        <x:v>LATAM</x:v>
      </x:c>
      <x:c r="E7417" s="1" t="str">
        <x:v>PENDING</x:v>
      </x:c>
      <x:c r="F7417" s="1" t="str">
        <x:v>Late delivery</x:v>
      </x:c>
      <x:c r="G7417" s="6" t="n">
        <x:v>2</x:v>
      </x:c>
      <x:c r="H7417" s="6" t="n">
        <x:v>1</x:v>
      </x:c>
      <x:c r="I7417" s="6" t="n">
        <x:f>G7417-H7417</x:f>
        <x:v>1</x:v>
      </x:c>
      <x:c r="J7417" s="6" t="n">
        <x:f>IF(OR(E7417="CANCELED",E7417="SUSPECTED_FRAUD",F7417="Shipping canceled"),0,1)</x:f>
        <x:v>1</x:v>
      </x:c>
      <x:c r="K7417" s="6" t="n">
        <x:f>IF(G7417&gt;H7417,1,0)</x:f>
        <x:v>1</x:v>
      </x:c>
      <x:c r="L7417" s="6" t="n">
        <x:f>J7417*K7417</x:f>
        <x:v>1</x:v>
      </x:c>
    </x:row>
    <x:row r="7418">
      <x:c r="A7418" s="1" t="n">
        <x:v>59133</x:v>
      </x:c>
      <x:c r="B7418" s="5" t="d">
        <x:v>2017-05-13T00:00:00.000Z</x:v>
      </x:c>
      <x:c r="C7418" s="1" t="str">
        <x:v>Standard Class</x:v>
      </x:c>
      <x:c r="D7418" s="1" t="str">
        <x:v>LATAM</x:v>
      </x:c>
      <x:c r="E7418" s="1" t="str">
        <x:v>PROCESSING</x:v>
      </x:c>
      <x:c r="F7418" s="1" t="str">
        <x:v>Shipping on time</x:v>
      </x:c>
      <x:c r="G7418" s="6" t="n">
        <x:v>4</x:v>
      </x:c>
      <x:c r="H7418" s="6" t="n">
        <x:v>4</x:v>
      </x:c>
      <x:c r="I7418" s="6" t="n">
        <x:f>G7418-H7418</x:f>
        <x:v>0</x:v>
      </x:c>
      <x:c r="J7418" s="6" t="n">
        <x:f>IF(OR(E7418="CANCELED",E7418="SUSPECTED_FRAUD",F7418="Shipping canceled"),0,1)</x:f>
        <x:v>1</x:v>
      </x:c>
      <x:c r="K7418" s="6" t="n">
        <x:f>IF(G7418&gt;H7418,1,0)</x:f>
        <x:v>0</x:v>
      </x:c>
      <x:c r="L7418" s="6" t="n">
        <x:f>J7418*K7418</x:f>
        <x:v>0</x:v>
      </x:c>
    </x:row>
    <x:row r="7419">
      <x:c r="A7419" s="1" t="n">
        <x:v>59142</x:v>
      </x:c>
      <x:c r="B7419" s="5" t="d">
        <x:v>2017-05-13T00:00:00.000Z</x:v>
      </x:c>
      <x:c r="C7419" s="1" t="str">
        <x:v>Standard Class</x:v>
      </x:c>
      <x:c r="D7419" s="1" t="str">
        <x:v>LATAM</x:v>
      </x:c>
      <x:c r="E7419" s="1" t="str">
        <x:v>PENDING</x:v>
      </x:c>
      <x:c r="F7419" s="1" t="str">
        <x:v>Advance shipping</x:v>
      </x:c>
      <x:c r="G7419" s="6" t="n">
        <x:v>3</x:v>
      </x:c>
      <x:c r="H7419" s="6" t="n">
        <x:v>4</x:v>
      </x:c>
      <x:c r="I7419" s="6" t="n">
        <x:f>G7419-H7419</x:f>
        <x:v>-1</x:v>
      </x:c>
      <x:c r="J7419" s="6" t="n">
        <x:f>IF(OR(E7419="CANCELED",E7419="SUSPECTED_FRAUD",F7419="Shipping canceled"),0,1)</x:f>
        <x:v>1</x:v>
      </x:c>
      <x:c r="K7419" s="6" t="n">
        <x:f>IF(G7419&gt;H7419,1,0)</x:f>
        <x:v>0</x:v>
      </x:c>
      <x:c r="L7419" s="6" t="n">
        <x:f>J7419*K7419</x:f>
        <x:v>0</x:v>
      </x:c>
    </x:row>
    <x:row r="7420">
      <x:c r="A7420" s="1" t="n">
        <x:v>59151</x:v>
      </x:c>
      <x:c r="B7420" s="5" t="d">
        <x:v>2017-05-13T00:00:00.000Z</x:v>
      </x:c>
      <x:c r="C7420" s="1" t="str">
        <x:v>First Class</x:v>
      </x:c>
      <x:c r="D7420" s="1" t="str">
        <x:v>LATAM</x:v>
      </x:c>
      <x:c r="E7420" s="1" t="str">
        <x:v>CLOSED</x:v>
      </x:c>
      <x:c r="F7420" s="1" t="str">
        <x:v>Late delivery</x:v>
      </x:c>
      <x:c r="G7420" s="6" t="n">
        <x:v>2</x:v>
      </x:c>
      <x:c r="H7420" s="6" t="n">
        <x:v>1</x:v>
      </x:c>
      <x:c r="I7420" s="6" t="n">
        <x:f>G7420-H7420</x:f>
        <x:v>1</x:v>
      </x:c>
      <x:c r="J7420" s="6" t="n">
        <x:f>IF(OR(E7420="CANCELED",E7420="SUSPECTED_FRAUD",F7420="Shipping canceled"),0,1)</x:f>
        <x:v>1</x:v>
      </x:c>
      <x:c r="K7420" s="6" t="n">
        <x:f>IF(G7420&gt;H7420,1,0)</x:f>
        <x:v>1</x:v>
      </x:c>
      <x:c r="L7420" s="6" t="n">
        <x:f>J7420*K7420</x:f>
        <x:v>1</x:v>
      </x:c>
    </x:row>
    <x:row r="7421">
      <x:c r="A7421" s="1" t="n">
        <x:v>59181</x:v>
      </x:c>
      <x:c r="B7421" s="5" t="d">
        <x:v>2017-05-13T00:00:00.000Z</x:v>
      </x:c>
      <x:c r="C7421" s="1" t="str">
        <x:v>Standard Class</x:v>
      </x:c>
      <x:c r="D7421" s="1" t="str">
        <x:v>LATAM</x:v>
      </x:c>
      <x:c r="E7421" s="1" t="str">
        <x:v>COMPLETE</x:v>
      </x:c>
      <x:c r="F7421" s="1" t="str">
        <x:v>Advance shipping</x:v>
      </x:c>
      <x:c r="G7421" s="6" t="n">
        <x:v>2</x:v>
      </x:c>
      <x:c r="H7421" s="6" t="n">
        <x:v>4</x:v>
      </x:c>
      <x:c r="I7421" s="6" t="n">
        <x:f>G7421-H7421</x:f>
        <x:v>-2</x:v>
      </x:c>
      <x:c r="J7421" s="6" t="n">
        <x:f>IF(OR(E7421="CANCELED",E7421="SUSPECTED_FRAUD",F7421="Shipping canceled"),0,1)</x:f>
        <x:v>1</x:v>
      </x:c>
      <x:c r="K7421" s="6" t="n">
        <x:f>IF(G7421&gt;H7421,1,0)</x:f>
        <x:v>0</x:v>
      </x:c>
      <x:c r="L7421" s="6" t="n">
        <x:f>J7421*K7421</x:f>
        <x:v>0</x:v>
      </x:c>
    </x:row>
    <x:row r="7422">
      <x:c r="A7422" s="1" t="n">
        <x:v>59184</x:v>
      </x:c>
      <x:c r="B7422" s="5" t="d">
        <x:v>2017-05-13T00:00:00.000Z</x:v>
      </x:c>
      <x:c r="C7422" s="1" t="str">
        <x:v>Standard Class</x:v>
      </x:c>
      <x:c r="D7422" s="1" t="str">
        <x:v>LATAM</x:v>
      </x:c>
      <x:c r="E7422" s="1" t="str">
        <x:v>COMPLETE</x:v>
      </x:c>
      <x:c r="F7422" s="1" t="str">
        <x:v>Late delivery</x:v>
      </x:c>
      <x:c r="G7422" s="6" t="n">
        <x:v>5</x:v>
      </x:c>
      <x:c r="H7422" s="6" t="n">
        <x:v>4</x:v>
      </x:c>
      <x:c r="I7422" s="6" t="n">
        <x:f>G7422-H7422</x:f>
        <x:v>1</x:v>
      </x:c>
      <x:c r="J7422" s="6" t="n">
        <x:f>IF(OR(E7422="CANCELED",E7422="SUSPECTED_FRAUD",F7422="Shipping canceled"),0,1)</x:f>
        <x:v>1</x:v>
      </x:c>
      <x:c r="K7422" s="6" t="n">
        <x:f>IF(G7422&gt;H7422,1,0)</x:f>
        <x:v>1</x:v>
      </x:c>
      <x:c r="L7422" s="6" t="n">
        <x:f>J7422*K7422</x:f>
        <x:v>1</x:v>
      </x:c>
    </x:row>
    <x:row r="7423">
      <x:c r="A7423" s="1" t="n">
        <x:v>59186</x:v>
      </x:c>
      <x:c r="B7423" s="5" t="d">
        <x:v>2017-05-13T00:00:00.000Z</x:v>
      </x:c>
      <x:c r="C7423" s="1" t="str">
        <x:v>Standard Class</x:v>
      </x:c>
      <x:c r="D7423" s="1" t="str">
        <x:v>LATAM</x:v>
      </x:c>
      <x:c r="E7423" s="1" t="str">
        <x:v>PROCESSING</x:v>
      </x:c>
      <x:c r="F7423" s="1" t="str">
        <x:v>Advance shipping</x:v>
      </x:c>
      <x:c r="G7423" s="6" t="n">
        <x:v>2</x:v>
      </x:c>
      <x:c r="H7423" s="6" t="n">
        <x:v>4</x:v>
      </x:c>
      <x:c r="I7423" s="6" t="n">
        <x:f>G7423-H7423</x:f>
        <x:v>-2</x:v>
      </x:c>
      <x:c r="J7423" s="6" t="n">
        <x:f>IF(OR(E7423="CANCELED",E7423="SUSPECTED_FRAUD",F7423="Shipping canceled"),0,1)</x:f>
        <x:v>1</x:v>
      </x:c>
      <x:c r="K7423" s="6" t="n">
        <x:f>IF(G7423&gt;H7423,1,0)</x:f>
        <x:v>0</x:v>
      </x:c>
      <x:c r="L7423" s="6" t="n">
        <x:f>J7423*K7423</x:f>
        <x:v>0</x:v>
      </x:c>
    </x:row>
    <x:row r="7424">
      <x:c r="A7424" s="1" t="n">
        <x:v>59188</x:v>
      </x:c>
      <x:c r="B7424" s="5" t="d">
        <x:v>2017-05-13T00:00:00.000Z</x:v>
      </x:c>
      <x:c r="C7424" s="1" t="str">
        <x:v>Standard Class</x:v>
      </x:c>
      <x:c r="D7424" s="1" t="str">
        <x:v>LATAM</x:v>
      </x:c>
      <x:c r="E7424" s="1" t="str">
        <x:v>COMPLETE</x:v>
      </x:c>
      <x:c r="F7424" s="1" t="str">
        <x:v>Shipping on time</x:v>
      </x:c>
      <x:c r="G7424" s="6" t="n">
        <x:v>4</x:v>
      </x:c>
      <x:c r="H7424" s="6" t="n">
        <x:v>4</x:v>
      </x:c>
      <x:c r="I7424" s="6" t="n">
        <x:f>G7424-H7424</x:f>
        <x:v>0</x:v>
      </x:c>
      <x:c r="J7424" s="6" t="n">
        <x:f>IF(OR(E7424="CANCELED",E7424="SUSPECTED_FRAUD",F7424="Shipping canceled"),0,1)</x:f>
        <x:v>1</x:v>
      </x:c>
      <x:c r="K7424" s="6" t="n">
        <x:f>IF(G7424&gt;H7424,1,0)</x:f>
        <x:v>0</x:v>
      </x:c>
      <x:c r="L7424" s="6" t="n">
        <x:f>J7424*K7424</x:f>
        <x:v>0</x:v>
      </x:c>
    </x:row>
    <x:row r="7425">
      <x:c r="A7425" s="1" t="n">
        <x:v>59226</x:v>
      </x:c>
      <x:c r="B7425" s="5" t="d">
        <x:v>2017-05-14T00:00:00.000Z</x:v>
      </x:c>
      <x:c r="C7425" s="1" t="str">
        <x:v>Standard Class</x:v>
      </x:c>
      <x:c r="D7425" s="1" t="str">
        <x:v>LATAM</x:v>
      </x:c>
      <x:c r="E7425" s="1" t="str">
        <x:v>PROCESSING</x:v>
      </x:c>
      <x:c r="F7425" s="1" t="str">
        <x:v>Advance shipping</x:v>
      </x:c>
      <x:c r="G7425" s="6" t="n">
        <x:v>2</x:v>
      </x:c>
      <x:c r="H7425" s="6" t="n">
        <x:v>4</x:v>
      </x:c>
      <x:c r="I7425" s="6" t="n">
        <x:f>G7425-H7425</x:f>
        <x:v>-2</x:v>
      </x:c>
      <x:c r="J7425" s="6" t="n">
        <x:f>IF(OR(E7425="CANCELED",E7425="SUSPECTED_FRAUD",F7425="Shipping canceled"),0,1)</x:f>
        <x:v>1</x:v>
      </x:c>
      <x:c r="K7425" s="6" t="n">
        <x:f>IF(G7425&gt;H7425,1,0)</x:f>
        <x:v>0</x:v>
      </x:c>
      <x:c r="L7425" s="6" t="n">
        <x:f>J7425*K7425</x:f>
        <x:v>0</x:v>
      </x:c>
    </x:row>
    <x:row r="7426">
      <x:c r="A7426" s="1" t="n">
        <x:v>59227</x:v>
      </x:c>
      <x:c r="B7426" s="5" t="d">
        <x:v>2017-05-14T00:00:00.000Z</x:v>
      </x:c>
      <x:c r="C7426" s="1" t="str">
        <x:v>Standard Class</x:v>
      </x:c>
      <x:c r="D7426" s="1" t="str">
        <x:v>LATAM</x:v>
      </x:c>
      <x:c r="E7426" s="1" t="str">
        <x:v>PROCESSING</x:v>
      </x:c>
      <x:c r="F7426" s="1" t="str">
        <x:v>Advance shipping</x:v>
      </x:c>
      <x:c r="G7426" s="6" t="n">
        <x:v>3</x:v>
      </x:c>
      <x:c r="H7426" s="6" t="n">
        <x:v>4</x:v>
      </x:c>
      <x:c r="I7426" s="6" t="n">
        <x:f>G7426-H7426</x:f>
        <x:v>-1</x:v>
      </x:c>
      <x:c r="J7426" s="6" t="n">
        <x:f>IF(OR(E7426="CANCELED",E7426="SUSPECTED_FRAUD",F7426="Shipping canceled"),0,1)</x:f>
        <x:v>1</x:v>
      </x:c>
      <x:c r="K7426" s="6" t="n">
        <x:f>IF(G7426&gt;H7426,1,0)</x:f>
        <x:v>0</x:v>
      </x:c>
      <x:c r="L7426" s="6" t="n">
        <x:f>J7426*K7426</x:f>
        <x:v>0</x:v>
      </x:c>
    </x:row>
    <x:row r="7427">
      <x:c r="A7427" s="1" t="n">
        <x:v>59232</x:v>
      </x:c>
      <x:c r="B7427" s="5" t="d">
        <x:v>2017-05-14T00:00:00.000Z</x:v>
      </x:c>
      <x:c r="C7427" s="1" t="str">
        <x:v>Standard Class</x:v>
      </x:c>
      <x:c r="D7427" s="1" t="str">
        <x:v>LATAM</x:v>
      </x:c>
      <x:c r="E7427" s="1" t="str">
        <x:v>PENDING_PAYMENT</x:v>
      </x:c>
      <x:c r="F7427" s="1" t="str">
        <x:v>Advance shipping</x:v>
      </x:c>
      <x:c r="G7427" s="6" t="n">
        <x:v>3</x:v>
      </x:c>
      <x:c r="H7427" s="6" t="n">
        <x:v>4</x:v>
      </x:c>
      <x:c r="I7427" s="6" t="n">
        <x:f>G7427-H7427</x:f>
        <x:v>-1</x:v>
      </x:c>
      <x:c r="J7427" s="6" t="n">
        <x:f>IF(OR(E7427="CANCELED",E7427="SUSPECTED_FRAUD",F7427="Shipping canceled"),0,1)</x:f>
        <x:v>1</x:v>
      </x:c>
      <x:c r="K7427" s="6" t="n">
        <x:f>IF(G7427&gt;H7427,1,0)</x:f>
        <x:v>0</x:v>
      </x:c>
      <x:c r="L7427" s="6" t="n">
        <x:f>J7427*K7427</x:f>
        <x:v>0</x:v>
      </x:c>
    </x:row>
    <x:row r="7428">
      <x:c r="A7428" s="1" t="n">
        <x:v>59239</x:v>
      </x:c>
      <x:c r="B7428" s="5" t="d">
        <x:v>2017-05-14T00:00:00.000Z</x:v>
      </x:c>
      <x:c r="C7428" s="1" t="str">
        <x:v>Same Day</x:v>
      </x:c>
      <x:c r="D7428" s="1" t="str">
        <x:v>LATAM</x:v>
      </x:c>
      <x:c r="E7428" s="1" t="str">
        <x:v>PENDING</x:v>
      </x:c>
      <x:c r="F7428" s="1" t="str">
        <x:v>Late delivery</x:v>
      </x:c>
      <x:c r="G7428" s="6" t="n">
        <x:v>1</x:v>
      </x:c>
      <x:c r="H7428" s="6" t="n">
        <x:v>0</x:v>
      </x:c>
      <x:c r="I7428" s="6" t="n">
        <x:f>G7428-H7428</x:f>
        <x:v>1</x:v>
      </x:c>
      <x:c r="J7428" s="6" t="n">
        <x:f>IF(OR(E7428="CANCELED",E7428="SUSPECTED_FRAUD",F7428="Shipping canceled"),0,1)</x:f>
        <x:v>1</x:v>
      </x:c>
      <x:c r="K7428" s="6" t="n">
        <x:f>IF(G7428&gt;H7428,1,0)</x:f>
        <x:v>1</x:v>
      </x:c>
      <x:c r="L7428" s="6" t="n">
        <x:f>J7428*K7428</x:f>
        <x:v>1</x:v>
      </x:c>
    </x:row>
    <x:row r="7429">
      <x:c r="A7429" s="1" t="n">
        <x:v>59245</x:v>
      </x:c>
      <x:c r="B7429" s="5" t="d">
        <x:v>2017-05-14T00:00:00.000Z</x:v>
      </x:c>
      <x:c r="C7429" s="1" t="str">
        <x:v>First Class</x:v>
      </x:c>
      <x:c r="D7429" s="1" t="str">
        <x:v>LATAM</x:v>
      </x:c>
      <x:c r="E7429" s="1" t="str">
        <x:v>SUSPECTED_FRAUD</x:v>
      </x:c>
      <x:c r="F7429" s="1" t="str">
        <x:v>Shipping canceled</x:v>
      </x:c>
      <x:c r="G7429" s="6" t="n">
        <x:v>2</x:v>
      </x:c>
      <x:c r="H7429" s="6" t="n">
        <x:v>1</x:v>
      </x:c>
      <x:c r="I7429" s="6" t="n">
        <x:f>G7429-H7429</x:f>
        <x:v>1</x:v>
      </x:c>
      <x:c r="J7429" s="6" t="n">
        <x:f>IF(OR(E7429="CANCELED",E7429="SUSPECTED_FRAUD",F7429="Shipping canceled"),0,1)</x:f>
        <x:v>0</x:v>
      </x:c>
      <x:c r="K7429" s="6" t="n">
        <x:f>IF(G7429&gt;H7429,1,0)</x:f>
        <x:v>1</x:v>
      </x:c>
      <x:c r="L7429" s="6" t="n">
        <x:f>J7429*K7429</x:f>
        <x:v>0</x:v>
      </x:c>
    </x:row>
    <x:row r="7430">
      <x:c r="A7430" s="1" t="n">
        <x:v>59252</x:v>
      </x:c>
      <x:c r="B7430" s="5" t="d">
        <x:v>2017-05-14T00:00:00.000Z</x:v>
      </x:c>
      <x:c r="C7430" s="1" t="str">
        <x:v>Standard Class</x:v>
      </x:c>
      <x:c r="D7430" s="1" t="str">
        <x:v>LATAM</x:v>
      </x:c>
      <x:c r="E7430" s="1" t="str">
        <x:v>PENDING</x:v>
      </x:c>
      <x:c r="F7430" s="1" t="str">
        <x:v>Advance shipping</x:v>
      </x:c>
      <x:c r="G7430" s="6" t="n">
        <x:v>3</x:v>
      </x:c>
      <x:c r="H7430" s="6" t="n">
        <x:v>4</x:v>
      </x:c>
      <x:c r="I7430" s="6" t="n">
        <x:f>G7430-H7430</x:f>
        <x:v>-1</x:v>
      </x:c>
      <x:c r="J7430" s="6" t="n">
        <x:f>IF(OR(E7430="CANCELED",E7430="SUSPECTED_FRAUD",F7430="Shipping canceled"),0,1)</x:f>
        <x:v>1</x:v>
      </x:c>
      <x:c r="K7430" s="6" t="n">
        <x:f>IF(G7430&gt;H7430,1,0)</x:f>
        <x:v>0</x:v>
      </x:c>
      <x:c r="L7430" s="6" t="n">
        <x:f>J7430*K7430</x:f>
        <x:v>0</x:v>
      </x:c>
    </x:row>
    <x:row r="7431">
      <x:c r="A7431" s="1" t="n">
        <x:v>59253</x:v>
      </x:c>
      <x:c r="B7431" s="5" t="d">
        <x:v>2017-05-14T00:00:00.000Z</x:v>
      </x:c>
      <x:c r="C7431" s="1" t="str">
        <x:v>Standard Class</x:v>
      </x:c>
      <x:c r="D7431" s="1" t="str">
        <x:v>LATAM</x:v>
      </x:c>
      <x:c r="E7431" s="1" t="str">
        <x:v>PROCESSING</x:v>
      </x:c>
      <x:c r="F7431" s="1" t="str">
        <x:v>Shipping on time</x:v>
      </x:c>
      <x:c r="G7431" s="6" t="n">
        <x:v>4</x:v>
      </x:c>
      <x:c r="H7431" s="6" t="n">
        <x:v>4</x:v>
      </x:c>
      <x:c r="I7431" s="6" t="n">
        <x:f>G7431-H7431</x:f>
        <x:v>0</x:v>
      </x:c>
      <x:c r="J7431" s="6" t="n">
        <x:f>IF(OR(E7431="CANCELED",E7431="SUSPECTED_FRAUD",F7431="Shipping canceled"),0,1)</x:f>
        <x:v>1</x:v>
      </x:c>
      <x:c r="K7431" s="6" t="n">
        <x:f>IF(G7431&gt;H7431,1,0)</x:f>
        <x:v>0</x:v>
      </x:c>
      <x:c r="L7431" s="6" t="n">
        <x:f>J7431*K7431</x:f>
        <x:v>0</x:v>
      </x:c>
    </x:row>
    <x:row r="7432">
      <x:c r="A7432" s="1" t="n">
        <x:v>59259</x:v>
      </x:c>
      <x:c r="B7432" s="5" t="d">
        <x:v>2017-05-15T00:00:00.000Z</x:v>
      </x:c>
      <x:c r="C7432" s="1" t="str">
        <x:v>Standard Class</x:v>
      </x:c>
      <x:c r="D7432" s="1" t="str">
        <x:v>LATAM</x:v>
      </x:c>
      <x:c r="E7432" s="1" t="str">
        <x:v>PROCESSING</x:v>
      </x:c>
      <x:c r="F7432" s="1" t="str">
        <x:v>Late delivery</x:v>
      </x:c>
      <x:c r="G7432" s="6" t="n">
        <x:v>5</x:v>
      </x:c>
      <x:c r="H7432" s="6" t="n">
        <x:v>4</x:v>
      </x:c>
      <x:c r="I7432" s="6" t="n">
        <x:f>G7432-H7432</x:f>
        <x:v>1</x:v>
      </x:c>
      <x:c r="J7432" s="6" t="n">
        <x:f>IF(OR(E7432="CANCELED",E7432="SUSPECTED_FRAUD",F7432="Shipping canceled"),0,1)</x:f>
        <x:v>1</x:v>
      </x:c>
      <x:c r="K7432" s="6" t="n">
        <x:f>IF(G7432&gt;H7432,1,0)</x:f>
        <x:v>1</x:v>
      </x:c>
      <x:c r="L7432" s="6" t="n">
        <x:f>J7432*K7432</x:f>
        <x:v>1</x:v>
      </x:c>
    </x:row>
    <x:row r="7433">
      <x:c r="A7433" s="1" t="n">
        <x:v>59260</x:v>
      </x:c>
      <x:c r="B7433" s="5" t="d">
        <x:v>2017-05-15T00:00:00.000Z</x:v>
      </x:c>
      <x:c r="C7433" s="1" t="str">
        <x:v>Standard Class</x:v>
      </x:c>
      <x:c r="D7433" s="1" t="str">
        <x:v>LATAM</x:v>
      </x:c>
      <x:c r="E7433" s="1" t="str">
        <x:v>PENDING_PAYMENT</x:v>
      </x:c>
      <x:c r="F7433" s="1" t="str">
        <x:v>Late delivery</x:v>
      </x:c>
      <x:c r="G7433" s="6" t="n">
        <x:v>6</x:v>
      </x:c>
      <x:c r="H7433" s="6" t="n">
        <x:v>4</x:v>
      </x:c>
      <x:c r="I7433" s="6" t="n">
        <x:f>G7433-H7433</x:f>
        <x:v>2</x:v>
      </x:c>
      <x:c r="J7433" s="6" t="n">
        <x:f>IF(OR(E7433="CANCELED",E7433="SUSPECTED_FRAUD",F7433="Shipping canceled"),0,1)</x:f>
        <x:v>1</x:v>
      </x:c>
      <x:c r="K7433" s="6" t="n">
        <x:f>IF(G7433&gt;H7433,1,0)</x:f>
        <x:v>1</x:v>
      </x:c>
      <x:c r="L7433" s="6" t="n">
        <x:f>J7433*K7433</x:f>
        <x:v>1</x:v>
      </x:c>
    </x:row>
    <x:row r="7434">
      <x:c r="A7434" s="1" t="n">
        <x:v>59264</x:v>
      </x:c>
      <x:c r="B7434" s="5" t="d">
        <x:v>2017-05-15T00:00:00.000Z</x:v>
      </x:c>
      <x:c r="C7434" s="1" t="str">
        <x:v>Standard Class</x:v>
      </x:c>
      <x:c r="D7434" s="1" t="str">
        <x:v>LATAM</x:v>
      </x:c>
      <x:c r="E7434" s="1" t="str">
        <x:v>COMPLETE</x:v>
      </x:c>
      <x:c r="F7434" s="1" t="str">
        <x:v>Late delivery</x:v>
      </x:c>
      <x:c r="G7434" s="6" t="n">
        <x:v>5</x:v>
      </x:c>
      <x:c r="H7434" s="6" t="n">
        <x:v>4</x:v>
      </x:c>
      <x:c r="I7434" s="6" t="n">
        <x:f>G7434-H7434</x:f>
        <x:v>1</x:v>
      </x:c>
      <x:c r="J7434" s="6" t="n">
        <x:f>IF(OR(E7434="CANCELED",E7434="SUSPECTED_FRAUD",F7434="Shipping canceled"),0,1)</x:f>
        <x:v>1</x:v>
      </x:c>
      <x:c r="K7434" s="6" t="n">
        <x:f>IF(G7434&gt;H7434,1,0)</x:f>
        <x:v>1</x:v>
      </x:c>
      <x:c r="L7434" s="6" t="n">
        <x:f>J7434*K7434</x:f>
        <x:v>1</x:v>
      </x:c>
    </x:row>
    <x:row r="7435">
      <x:c r="A7435" s="1" t="n">
        <x:v>59280</x:v>
      </x:c>
      <x:c r="B7435" s="5" t="d">
        <x:v>2017-05-15T00:00:00.000Z</x:v>
      </x:c>
      <x:c r="C7435" s="1" t="str">
        <x:v>Standard Class</x:v>
      </x:c>
      <x:c r="D7435" s="1" t="str">
        <x:v>LATAM</x:v>
      </x:c>
      <x:c r="E7435" s="1" t="str">
        <x:v>PROCESSING</x:v>
      </x:c>
      <x:c r="F7435" s="1" t="str">
        <x:v>Late delivery</x:v>
      </x:c>
      <x:c r="G7435" s="6" t="n">
        <x:v>6</x:v>
      </x:c>
      <x:c r="H7435" s="6" t="n">
        <x:v>4</x:v>
      </x:c>
      <x:c r="I7435" s="6" t="n">
        <x:f>G7435-H7435</x:f>
        <x:v>2</x:v>
      </x:c>
      <x:c r="J7435" s="6" t="n">
        <x:f>IF(OR(E7435="CANCELED",E7435="SUSPECTED_FRAUD",F7435="Shipping canceled"),0,1)</x:f>
        <x:v>1</x:v>
      </x:c>
      <x:c r="K7435" s="6" t="n">
        <x:f>IF(G7435&gt;H7435,1,0)</x:f>
        <x:v>1</x:v>
      </x:c>
      <x:c r="L7435" s="6" t="n">
        <x:f>J7435*K7435</x:f>
        <x:v>1</x:v>
      </x:c>
    </x:row>
    <x:row r="7436">
      <x:c r="A7436" s="1" t="n">
        <x:v>59296</x:v>
      </x:c>
      <x:c r="B7436" s="5" t="d">
        <x:v>2017-05-15T00:00:00.000Z</x:v>
      </x:c>
      <x:c r="C7436" s="1" t="str">
        <x:v>Standard Class</x:v>
      </x:c>
      <x:c r="D7436" s="1" t="str">
        <x:v>LATAM</x:v>
      </x:c>
      <x:c r="E7436" s="1" t="str">
        <x:v>PROCESSING</x:v>
      </x:c>
      <x:c r="F7436" s="1" t="str">
        <x:v>Advance shipping</x:v>
      </x:c>
      <x:c r="G7436" s="6" t="n">
        <x:v>2</x:v>
      </x:c>
      <x:c r="H7436" s="6" t="n">
        <x:v>4</x:v>
      </x:c>
      <x:c r="I7436" s="6" t="n">
        <x:f>G7436-H7436</x:f>
        <x:v>-2</x:v>
      </x:c>
      <x:c r="J7436" s="6" t="n">
        <x:f>IF(OR(E7436="CANCELED",E7436="SUSPECTED_FRAUD",F7436="Shipping canceled"),0,1)</x:f>
        <x:v>1</x:v>
      </x:c>
      <x:c r="K7436" s="6" t="n">
        <x:f>IF(G7436&gt;H7436,1,0)</x:f>
        <x:v>0</x:v>
      </x:c>
      <x:c r="L7436" s="6" t="n">
        <x:f>J7436*K7436</x:f>
        <x:v>0</x:v>
      </x:c>
    </x:row>
    <x:row r="7437">
      <x:c r="A7437" s="1" t="n">
        <x:v>59301</x:v>
      </x:c>
      <x:c r="B7437" s="5" t="d">
        <x:v>2017-05-15T00:00:00.000Z</x:v>
      </x:c>
      <x:c r="C7437" s="1" t="str">
        <x:v>Standard Class</x:v>
      </x:c>
      <x:c r="D7437" s="1" t="str">
        <x:v>LATAM</x:v>
      </x:c>
      <x:c r="E7437" s="1" t="str">
        <x:v>PROCESSING</x:v>
      </x:c>
      <x:c r="F7437" s="1" t="str">
        <x:v>Advance shipping</x:v>
      </x:c>
      <x:c r="G7437" s="6" t="n">
        <x:v>2</x:v>
      </x:c>
      <x:c r="H7437" s="6" t="n">
        <x:v>4</x:v>
      </x:c>
      <x:c r="I7437" s="6" t="n">
        <x:f>G7437-H7437</x:f>
        <x:v>-2</x:v>
      </x:c>
      <x:c r="J7437" s="6" t="n">
        <x:f>IF(OR(E7437="CANCELED",E7437="SUSPECTED_FRAUD",F7437="Shipping canceled"),0,1)</x:f>
        <x:v>1</x:v>
      </x:c>
      <x:c r="K7437" s="6" t="n">
        <x:f>IF(G7437&gt;H7437,1,0)</x:f>
        <x:v>0</x:v>
      </x:c>
      <x:c r="L7437" s="6" t="n">
        <x:f>J7437*K7437</x:f>
        <x:v>0</x:v>
      </x:c>
    </x:row>
    <x:row r="7438">
      <x:c r="A7438" s="1" t="n">
        <x:v>59317</x:v>
      </x:c>
      <x:c r="B7438" s="5" t="d">
        <x:v>2017-05-15T00:00:00.000Z</x:v>
      </x:c>
      <x:c r="C7438" s="1" t="str">
        <x:v>Standard Class</x:v>
      </x:c>
      <x:c r="D7438" s="1" t="str">
        <x:v>LATAM</x:v>
      </x:c>
      <x:c r="E7438" s="1" t="str">
        <x:v>PENDING_PAYMENT</x:v>
      </x:c>
      <x:c r="F7438" s="1" t="str">
        <x:v>Advance shipping</x:v>
      </x:c>
      <x:c r="G7438" s="6" t="n">
        <x:v>3</x:v>
      </x:c>
      <x:c r="H7438" s="6" t="n">
        <x:v>4</x:v>
      </x:c>
      <x:c r="I7438" s="6" t="n">
        <x:f>G7438-H7438</x:f>
        <x:v>-1</x:v>
      </x:c>
      <x:c r="J7438" s="6" t="n">
        <x:f>IF(OR(E7438="CANCELED",E7438="SUSPECTED_FRAUD",F7438="Shipping canceled"),0,1)</x:f>
        <x:v>1</x:v>
      </x:c>
      <x:c r="K7438" s="6" t="n">
        <x:f>IF(G7438&gt;H7438,1,0)</x:f>
        <x:v>0</x:v>
      </x:c>
      <x:c r="L7438" s="6" t="n">
        <x:f>J7438*K7438</x:f>
        <x:v>0</x:v>
      </x:c>
    </x:row>
    <x:row r="7439">
      <x:c r="A7439" s="1" t="n">
        <x:v>59320</x:v>
      </x:c>
      <x:c r="B7439" s="5" t="d">
        <x:v>2017-05-15T00:00:00.000Z</x:v>
      </x:c>
      <x:c r="C7439" s="1" t="str">
        <x:v>Standard Class</x:v>
      </x:c>
      <x:c r="D7439" s="1" t="str">
        <x:v>LATAM</x:v>
      </x:c>
      <x:c r="E7439" s="1" t="str">
        <x:v>PROCESSING</x:v>
      </x:c>
      <x:c r="F7439" s="1" t="str">
        <x:v>Late delivery</x:v>
      </x:c>
      <x:c r="G7439" s="6" t="n">
        <x:v>6</x:v>
      </x:c>
      <x:c r="H7439" s="6" t="n">
        <x:v>4</x:v>
      </x:c>
      <x:c r="I7439" s="6" t="n">
        <x:f>G7439-H7439</x:f>
        <x:v>2</x:v>
      </x:c>
      <x:c r="J7439" s="6" t="n">
        <x:f>IF(OR(E7439="CANCELED",E7439="SUSPECTED_FRAUD",F7439="Shipping canceled"),0,1)</x:f>
        <x:v>1</x:v>
      </x:c>
      <x:c r="K7439" s="6" t="n">
        <x:f>IF(G7439&gt;H7439,1,0)</x:f>
        <x:v>1</x:v>
      </x:c>
      <x:c r="L7439" s="6" t="n">
        <x:f>J7439*K7439</x:f>
        <x:v>1</x:v>
      </x:c>
    </x:row>
    <x:row r="7440">
      <x:c r="A7440" s="1" t="n">
        <x:v>59327</x:v>
      </x:c>
      <x:c r="B7440" s="5" t="d">
        <x:v>2017-05-16T00:00:00.000Z</x:v>
      </x:c>
      <x:c r="C7440" s="1" t="str">
        <x:v>Standard Class</x:v>
      </x:c>
      <x:c r="D7440" s="1" t="str">
        <x:v>LATAM</x:v>
      </x:c>
      <x:c r="E7440" s="1" t="str">
        <x:v>PENDING</x:v>
      </x:c>
      <x:c r="F7440" s="1" t="str">
        <x:v>Advance shipping</x:v>
      </x:c>
      <x:c r="G7440" s="6" t="n">
        <x:v>3</x:v>
      </x:c>
      <x:c r="H7440" s="6" t="n">
        <x:v>4</x:v>
      </x:c>
      <x:c r="I7440" s="6" t="n">
        <x:f>G7440-H7440</x:f>
        <x:v>-1</x:v>
      </x:c>
      <x:c r="J7440" s="6" t="n">
        <x:f>IF(OR(E7440="CANCELED",E7440="SUSPECTED_FRAUD",F7440="Shipping canceled"),0,1)</x:f>
        <x:v>1</x:v>
      </x:c>
      <x:c r="K7440" s="6" t="n">
        <x:f>IF(G7440&gt;H7440,1,0)</x:f>
        <x:v>0</x:v>
      </x:c>
      <x:c r="L7440" s="6" t="n">
        <x:f>J7440*K7440</x:f>
        <x:v>0</x:v>
      </x:c>
    </x:row>
    <x:row r="7441">
      <x:c r="A7441" s="1" t="n">
        <x:v>59339</x:v>
      </x:c>
      <x:c r="B7441" s="5" t="d">
        <x:v>2017-05-16T00:00:00.000Z</x:v>
      </x:c>
      <x:c r="C7441" s="1" t="str">
        <x:v>Standard Class</x:v>
      </x:c>
      <x:c r="D7441" s="1" t="str">
        <x:v>LATAM</x:v>
      </x:c>
      <x:c r="E7441" s="1" t="str">
        <x:v>PENDING_PAYMENT</x:v>
      </x:c>
      <x:c r="F7441" s="1" t="str">
        <x:v>Late delivery</x:v>
      </x:c>
      <x:c r="G7441" s="6" t="n">
        <x:v>5</x:v>
      </x:c>
      <x:c r="H7441" s="6" t="n">
        <x:v>4</x:v>
      </x:c>
      <x:c r="I7441" s="6" t="n">
        <x:f>G7441-H7441</x:f>
        <x:v>1</x:v>
      </x:c>
      <x:c r="J7441" s="6" t="n">
        <x:f>IF(OR(E7441="CANCELED",E7441="SUSPECTED_FRAUD",F7441="Shipping canceled"),0,1)</x:f>
        <x:v>1</x:v>
      </x:c>
      <x:c r="K7441" s="6" t="n">
        <x:f>IF(G7441&gt;H7441,1,0)</x:f>
        <x:v>1</x:v>
      </x:c>
      <x:c r="L7441" s="6" t="n">
        <x:f>J7441*K7441</x:f>
        <x:v>1</x:v>
      </x:c>
    </x:row>
    <x:row r="7442">
      <x:c r="A7442" s="1" t="n">
        <x:v>59358</x:v>
      </x:c>
      <x:c r="B7442" s="5" t="d">
        <x:v>2017-05-16T00:00:00.000Z</x:v>
      </x:c>
      <x:c r="C7442" s="1" t="str">
        <x:v>Second Class</x:v>
      </x:c>
      <x:c r="D7442" s="1" t="str">
        <x:v>LATAM</x:v>
      </x:c>
      <x:c r="E7442" s="1" t="str">
        <x:v>COMPLETE</x:v>
      </x:c>
      <x:c r="F7442" s="1" t="str">
        <x:v>Late delivery</x:v>
      </x:c>
      <x:c r="G7442" s="6" t="n">
        <x:v>4</x:v>
      </x:c>
      <x:c r="H7442" s="6" t="n">
        <x:v>2</x:v>
      </x:c>
      <x:c r="I7442" s="6" t="n">
        <x:f>G7442-H7442</x:f>
        <x:v>2</x:v>
      </x:c>
      <x:c r="J7442" s="6" t="n">
        <x:f>IF(OR(E7442="CANCELED",E7442="SUSPECTED_FRAUD",F7442="Shipping canceled"),0,1)</x:f>
        <x:v>1</x:v>
      </x:c>
      <x:c r="K7442" s="6" t="n">
        <x:f>IF(G7442&gt;H7442,1,0)</x:f>
        <x:v>1</x:v>
      </x:c>
      <x:c r="L7442" s="6" t="n">
        <x:f>J7442*K7442</x:f>
        <x:v>1</x:v>
      </x:c>
    </x:row>
    <x:row r="7443">
      <x:c r="A7443" s="1" t="n">
        <x:v>59363</x:v>
      </x:c>
      <x:c r="B7443" s="5" t="d">
        <x:v>2017-05-16T00:00:00.000Z</x:v>
      </x:c>
      <x:c r="C7443" s="1" t="str">
        <x:v>Standard Class</x:v>
      </x:c>
      <x:c r="D7443" s="1" t="str">
        <x:v>LATAM</x:v>
      </x:c>
      <x:c r="E7443" s="1" t="str">
        <x:v>CANCELED</x:v>
      </x:c>
      <x:c r="F7443" s="1" t="str">
        <x:v>Shipping canceled</x:v>
      </x:c>
      <x:c r="G7443" s="6" t="n">
        <x:v>4</x:v>
      </x:c>
      <x:c r="H7443" s="6" t="n">
        <x:v>4</x:v>
      </x:c>
      <x:c r="I7443" s="6" t="n">
        <x:f>G7443-H7443</x:f>
        <x:v>0</x:v>
      </x:c>
      <x:c r="J7443" s="6" t="n">
        <x:f>IF(OR(E7443="CANCELED",E7443="SUSPECTED_FRAUD",F7443="Shipping canceled"),0,1)</x:f>
        <x:v>0</x:v>
      </x:c>
      <x:c r="K7443" s="6" t="n">
        <x:f>IF(G7443&gt;H7443,1,0)</x:f>
        <x:v>0</x:v>
      </x:c>
      <x:c r="L7443" s="6" t="n">
        <x:f>J7443*K7443</x:f>
        <x:v>0</x:v>
      </x:c>
    </x:row>
    <x:row r="7444">
      <x:c r="A7444" s="1" t="n">
        <x:v>59373</x:v>
      </x:c>
      <x:c r="B7444" s="5" t="d">
        <x:v>2017-05-16T00:00:00.000Z</x:v>
      </x:c>
      <x:c r="C7444" s="1" t="str">
        <x:v>First Class</x:v>
      </x:c>
      <x:c r="D7444" s="1" t="str">
        <x:v>LATAM</x:v>
      </x:c>
      <x:c r="E7444" s="1" t="str">
        <x:v>CLOSED</x:v>
      </x:c>
      <x:c r="F7444" s="1" t="str">
        <x:v>Late delivery</x:v>
      </x:c>
      <x:c r="G7444" s="6" t="n">
        <x:v>2</x:v>
      </x:c>
      <x:c r="H7444" s="6" t="n">
        <x:v>1</x:v>
      </x:c>
      <x:c r="I7444" s="6" t="n">
        <x:f>G7444-H7444</x:f>
        <x:v>1</x:v>
      </x:c>
      <x:c r="J7444" s="6" t="n">
        <x:f>IF(OR(E7444="CANCELED",E7444="SUSPECTED_FRAUD",F7444="Shipping canceled"),0,1)</x:f>
        <x:v>1</x:v>
      </x:c>
      <x:c r="K7444" s="6" t="n">
        <x:f>IF(G7444&gt;H7444,1,0)</x:f>
        <x:v>1</x:v>
      </x:c>
      <x:c r="L7444" s="6" t="n">
        <x:f>J7444*K7444</x:f>
        <x:v>1</x:v>
      </x:c>
    </x:row>
    <x:row r="7445">
      <x:c r="A7445" s="1" t="n">
        <x:v>59374</x:v>
      </x:c>
      <x:c r="B7445" s="5" t="d">
        <x:v>2017-05-16T00:00:00.000Z</x:v>
      </x:c>
      <x:c r="C7445" s="1" t="str">
        <x:v>First Class</x:v>
      </x:c>
      <x:c r="D7445" s="1" t="str">
        <x:v>LATAM</x:v>
      </x:c>
      <x:c r="E7445" s="1" t="str">
        <x:v>CLOSED</x:v>
      </x:c>
      <x:c r="F7445" s="1" t="str">
        <x:v>Late delivery</x:v>
      </x:c>
      <x:c r="G7445" s="6" t="n">
        <x:v>2</x:v>
      </x:c>
      <x:c r="H7445" s="6" t="n">
        <x:v>1</x:v>
      </x:c>
      <x:c r="I7445" s="6" t="n">
        <x:f>G7445-H7445</x:f>
        <x:v>1</x:v>
      </x:c>
      <x:c r="J7445" s="6" t="n">
        <x:f>IF(OR(E7445="CANCELED",E7445="SUSPECTED_FRAUD",F7445="Shipping canceled"),0,1)</x:f>
        <x:v>1</x:v>
      </x:c>
      <x:c r="K7445" s="6" t="n">
        <x:f>IF(G7445&gt;H7445,1,0)</x:f>
        <x:v>1</x:v>
      </x:c>
      <x:c r="L7445" s="6" t="n">
        <x:f>J7445*K7445</x:f>
        <x:v>1</x:v>
      </x:c>
    </x:row>
    <x:row r="7446">
      <x:c r="A7446" s="1" t="n">
        <x:v>59387</x:v>
      </x:c>
      <x:c r="B7446" s="5" t="d">
        <x:v>2017-05-16T00:00:00.000Z</x:v>
      </x:c>
      <x:c r="C7446" s="1" t="str">
        <x:v>Standard Class</x:v>
      </x:c>
      <x:c r="D7446" s="1" t="str">
        <x:v>LATAM</x:v>
      </x:c>
      <x:c r="E7446" s="1" t="str">
        <x:v>PENDING</x:v>
      </x:c>
      <x:c r="F7446" s="1" t="str">
        <x:v>Advance shipping</x:v>
      </x:c>
      <x:c r="G7446" s="6" t="n">
        <x:v>3</x:v>
      </x:c>
      <x:c r="H7446" s="6" t="n">
        <x:v>4</x:v>
      </x:c>
      <x:c r="I7446" s="6" t="n">
        <x:f>G7446-H7446</x:f>
        <x:v>-1</x:v>
      </x:c>
      <x:c r="J7446" s="6" t="n">
        <x:f>IF(OR(E7446="CANCELED",E7446="SUSPECTED_FRAUD",F7446="Shipping canceled"),0,1)</x:f>
        <x:v>1</x:v>
      </x:c>
      <x:c r="K7446" s="6" t="n">
        <x:f>IF(G7446&gt;H7446,1,0)</x:f>
        <x:v>0</x:v>
      </x:c>
      <x:c r="L7446" s="6" t="n">
        <x:f>J7446*K7446</x:f>
        <x:v>0</x:v>
      </x:c>
    </x:row>
    <x:row r="7447">
      <x:c r="A7447" s="1" t="n">
        <x:v>59392</x:v>
      </x:c>
      <x:c r="B7447" s="5" t="d">
        <x:v>2017-05-16T00:00:00.000Z</x:v>
      </x:c>
      <x:c r="C7447" s="1" t="str">
        <x:v>Standard Class</x:v>
      </x:c>
      <x:c r="D7447" s="1" t="str">
        <x:v>LATAM</x:v>
      </x:c>
      <x:c r="E7447" s="1" t="str">
        <x:v>CLOSED</x:v>
      </x:c>
      <x:c r="F7447" s="1" t="str">
        <x:v>Advance shipping</x:v>
      </x:c>
      <x:c r="G7447" s="6" t="n">
        <x:v>3</x:v>
      </x:c>
      <x:c r="H7447" s="6" t="n">
        <x:v>4</x:v>
      </x:c>
      <x:c r="I7447" s="6" t="n">
        <x:f>G7447-H7447</x:f>
        <x:v>-1</x:v>
      </x:c>
      <x:c r="J7447" s="6" t="n">
        <x:f>IF(OR(E7447="CANCELED",E7447="SUSPECTED_FRAUD",F7447="Shipping canceled"),0,1)</x:f>
        <x:v>1</x:v>
      </x:c>
      <x:c r="K7447" s="6" t="n">
        <x:f>IF(G7447&gt;H7447,1,0)</x:f>
        <x:v>0</x:v>
      </x:c>
      <x:c r="L7447" s="6" t="n">
        <x:f>J7447*K7447</x:f>
        <x:v>0</x:v>
      </x:c>
    </x:row>
    <x:row r="7448">
      <x:c r="A7448" s="1" t="n">
        <x:v>59395</x:v>
      </x:c>
      <x:c r="B7448" s="5" t="d">
        <x:v>2017-05-17T00:00:00.000Z</x:v>
      </x:c>
      <x:c r="C7448" s="1" t="str">
        <x:v>Standard Class</x:v>
      </x:c>
      <x:c r="D7448" s="1" t="str">
        <x:v>LATAM</x:v>
      </x:c>
      <x:c r="E7448" s="1" t="str">
        <x:v>PROCESSING</x:v>
      </x:c>
      <x:c r="F7448" s="1" t="str">
        <x:v>Late delivery</x:v>
      </x:c>
      <x:c r="G7448" s="6" t="n">
        <x:v>6</x:v>
      </x:c>
      <x:c r="H7448" s="6" t="n">
        <x:v>4</x:v>
      </x:c>
      <x:c r="I7448" s="6" t="n">
        <x:f>G7448-H7448</x:f>
        <x:v>2</x:v>
      </x:c>
      <x:c r="J7448" s="6" t="n">
        <x:f>IF(OR(E7448="CANCELED",E7448="SUSPECTED_FRAUD",F7448="Shipping canceled"),0,1)</x:f>
        <x:v>1</x:v>
      </x:c>
      <x:c r="K7448" s="6" t="n">
        <x:f>IF(G7448&gt;H7448,1,0)</x:f>
        <x:v>1</x:v>
      </x:c>
      <x:c r="L7448" s="6" t="n">
        <x:f>J7448*K7448</x:f>
        <x:v>1</x:v>
      </x:c>
    </x:row>
    <x:row r="7449">
      <x:c r="A7449" s="1" t="n">
        <x:v>59399</x:v>
      </x:c>
      <x:c r="B7449" s="5" t="d">
        <x:v>2017-05-17T00:00:00.000Z</x:v>
      </x:c>
      <x:c r="C7449" s="1" t="str">
        <x:v>Standard Class</x:v>
      </x:c>
      <x:c r="D7449" s="1" t="str">
        <x:v>LATAM</x:v>
      </x:c>
      <x:c r="E7449" s="1" t="str">
        <x:v>PROCESSING</x:v>
      </x:c>
      <x:c r="F7449" s="1" t="str">
        <x:v>Late delivery</x:v>
      </x:c>
      <x:c r="G7449" s="6" t="n">
        <x:v>5</x:v>
      </x:c>
      <x:c r="H7449" s="6" t="n">
        <x:v>4</x:v>
      </x:c>
      <x:c r="I7449" s="6" t="n">
        <x:f>G7449-H7449</x:f>
        <x:v>1</x:v>
      </x:c>
      <x:c r="J7449" s="6" t="n">
        <x:f>IF(OR(E7449="CANCELED",E7449="SUSPECTED_FRAUD",F7449="Shipping canceled"),0,1)</x:f>
        <x:v>1</x:v>
      </x:c>
      <x:c r="K7449" s="6" t="n">
        <x:f>IF(G7449&gt;H7449,1,0)</x:f>
        <x:v>1</x:v>
      </x:c>
      <x:c r="L7449" s="6" t="n">
        <x:f>J7449*K7449</x:f>
        <x:v>1</x:v>
      </x:c>
    </x:row>
    <x:row r="7450">
      <x:c r="A7450" s="1" t="n">
        <x:v>59400</x:v>
      </x:c>
      <x:c r="B7450" s="5" t="d">
        <x:v>2017-05-17T00:00:00.000Z</x:v>
      </x:c>
      <x:c r="C7450" s="1" t="str">
        <x:v>Standard Class</x:v>
      </x:c>
      <x:c r="D7450" s="1" t="str">
        <x:v>LATAM</x:v>
      </x:c>
      <x:c r="E7450" s="1" t="str">
        <x:v>PENDING_PAYMENT</x:v>
      </x:c>
      <x:c r="F7450" s="1" t="str">
        <x:v>Late delivery</x:v>
      </x:c>
      <x:c r="G7450" s="6" t="n">
        <x:v>6</x:v>
      </x:c>
      <x:c r="H7450" s="6" t="n">
        <x:v>4</x:v>
      </x:c>
      <x:c r="I7450" s="6" t="n">
        <x:f>G7450-H7450</x:f>
        <x:v>2</x:v>
      </x:c>
      <x:c r="J7450" s="6" t="n">
        <x:f>IF(OR(E7450="CANCELED",E7450="SUSPECTED_FRAUD",F7450="Shipping canceled"),0,1)</x:f>
        <x:v>1</x:v>
      </x:c>
      <x:c r="K7450" s="6" t="n">
        <x:f>IF(G7450&gt;H7450,1,0)</x:f>
        <x:v>1</x:v>
      </x:c>
      <x:c r="L7450" s="6" t="n">
        <x:f>J7450*K7450</x:f>
        <x:v>1</x:v>
      </x:c>
    </x:row>
    <x:row r="7451">
      <x:c r="A7451" s="1" t="n">
        <x:v>59426</x:v>
      </x:c>
      <x:c r="B7451" s="5" t="d">
        <x:v>2017-05-17T00:00:00.000Z</x:v>
      </x:c>
      <x:c r="C7451" s="1" t="str">
        <x:v>Standard Class</x:v>
      </x:c>
      <x:c r="D7451" s="1" t="str">
        <x:v>LATAM</x:v>
      </x:c>
      <x:c r="E7451" s="1" t="str">
        <x:v>PENDING</x:v>
      </x:c>
      <x:c r="F7451" s="1" t="str">
        <x:v>Advance shipping</x:v>
      </x:c>
      <x:c r="G7451" s="6" t="n">
        <x:v>2</x:v>
      </x:c>
      <x:c r="H7451" s="6" t="n">
        <x:v>4</x:v>
      </x:c>
      <x:c r="I7451" s="6" t="n">
        <x:f>G7451-H7451</x:f>
        <x:v>-2</x:v>
      </x:c>
      <x:c r="J7451" s="6" t="n">
        <x:f>IF(OR(E7451="CANCELED",E7451="SUSPECTED_FRAUD",F7451="Shipping canceled"),0,1)</x:f>
        <x:v>1</x:v>
      </x:c>
      <x:c r="K7451" s="6" t="n">
        <x:f>IF(G7451&gt;H7451,1,0)</x:f>
        <x:v>0</x:v>
      </x:c>
      <x:c r="L7451" s="6" t="n">
        <x:f>J7451*K7451</x:f>
        <x:v>0</x:v>
      </x:c>
    </x:row>
    <x:row r="7452">
      <x:c r="A7452" s="1" t="n">
        <x:v>59445</x:v>
      </x:c>
      <x:c r="B7452" s="5" t="d">
        <x:v>2017-05-17T00:00:00.000Z</x:v>
      </x:c>
      <x:c r="C7452" s="1" t="str">
        <x:v>First Class</x:v>
      </x:c>
      <x:c r="D7452" s="1" t="str">
        <x:v>LATAM</x:v>
      </x:c>
      <x:c r="E7452" s="1" t="str">
        <x:v>CLOSED</x:v>
      </x:c>
      <x:c r="F7452" s="1" t="str">
        <x:v>Late delivery</x:v>
      </x:c>
      <x:c r="G7452" s="6" t="n">
        <x:v>2</x:v>
      </x:c>
      <x:c r="H7452" s="6" t="n">
        <x:v>1</x:v>
      </x:c>
      <x:c r="I7452" s="6" t="n">
        <x:f>G7452-H7452</x:f>
        <x:v>1</x:v>
      </x:c>
      <x:c r="J7452" s="6" t="n">
        <x:f>IF(OR(E7452="CANCELED",E7452="SUSPECTED_FRAUD",F7452="Shipping canceled"),0,1)</x:f>
        <x:v>1</x:v>
      </x:c>
      <x:c r="K7452" s="6" t="n">
        <x:f>IF(G7452&gt;H7452,1,0)</x:f>
        <x:v>1</x:v>
      </x:c>
      <x:c r="L7452" s="6" t="n">
        <x:f>J7452*K7452</x:f>
        <x:v>1</x:v>
      </x:c>
    </x:row>
    <x:row r="7453">
      <x:c r="A7453" s="1" t="n">
        <x:v>59461</x:v>
      </x:c>
      <x:c r="B7453" s="5" t="d">
        <x:v>2017-05-17T00:00:00.000Z</x:v>
      </x:c>
      <x:c r="C7453" s="1" t="str">
        <x:v>Standard Class</x:v>
      </x:c>
      <x:c r="D7453" s="1" t="str">
        <x:v>LATAM</x:v>
      </x:c>
      <x:c r="E7453" s="1" t="str">
        <x:v>PROCESSING</x:v>
      </x:c>
      <x:c r="F7453" s="1" t="str">
        <x:v>Advance shipping</x:v>
      </x:c>
      <x:c r="G7453" s="6" t="n">
        <x:v>2</x:v>
      </x:c>
      <x:c r="H7453" s="6" t="n">
        <x:v>4</x:v>
      </x:c>
      <x:c r="I7453" s="6" t="n">
        <x:f>G7453-H7453</x:f>
        <x:v>-2</x:v>
      </x:c>
      <x:c r="J7453" s="6" t="n">
        <x:f>IF(OR(E7453="CANCELED",E7453="SUSPECTED_FRAUD",F7453="Shipping canceled"),0,1)</x:f>
        <x:v>1</x:v>
      </x:c>
      <x:c r="K7453" s="6" t="n">
        <x:f>IF(G7453&gt;H7453,1,0)</x:f>
        <x:v>0</x:v>
      </x:c>
      <x:c r="L7453" s="6" t="n">
        <x:f>J7453*K7453</x:f>
        <x:v>0</x:v>
      </x:c>
    </x:row>
    <x:row r="7454">
      <x:c r="A7454" s="1" t="n">
        <x:v>59467</x:v>
      </x:c>
      <x:c r="B7454" s="5" t="d">
        <x:v>2017-05-18T00:00:00.000Z</x:v>
      </x:c>
      <x:c r="C7454" s="1" t="str">
        <x:v>First Class</x:v>
      </x:c>
      <x:c r="D7454" s="1" t="str">
        <x:v>LATAM</x:v>
      </x:c>
      <x:c r="E7454" s="1" t="str">
        <x:v>CLOSED</x:v>
      </x:c>
      <x:c r="F7454" s="1" t="str">
        <x:v>Late delivery</x:v>
      </x:c>
      <x:c r="G7454" s="6" t="n">
        <x:v>2</x:v>
      </x:c>
      <x:c r="H7454" s="6" t="n">
        <x:v>1</x:v>
      </x:c>
      <x:c r="I7454" s="6" t="n">
        <x:f>G7454-H7454</x:f>
        <x:v>1</x:v>
      </x:c>
      <x:c r="J7454" s="6" t="n">
        <x:f>IF(OR(E7454="CANCELED",E7454="SUSPECTED_FRAUD",F7454="Shipping canceled"),0,1)</x:f>
        <x:v>1</x:v>
      </x:c>
      <x:c r="K7454" s="6" t="n">
        <x:f>IF(G7454&gt;H7454,1,0)</x:f>
        <x:v>1</x:v>
      </x:c>
      <x:c r="L7454" s="6" t="n">
        <x:f>J7454*K7454</x:f>
        <x:v>1</x:v>
      </x:c>
    </x:row>
    <x:row r="7455">
      <x:c r="A7455" s="1" t="n">
        <x:v>59477</x:v>
      </x:c>
      <x:c r="B7455" s="5" t="d">
        <x:v>2017-05-18T00:00:00.000Z</x:v>
      </x:c>
      <x:c r="C7455" s="1" t="str">
        <x:v>Second Class</x:v>
      </x:c>
      <x:c r="D7455" s="1" t="str">
        <x:v>LATAM</x:v>
      </x:c>
      <x:c r="E7455" s="1" t="str">
        <x:v>COMPLETE</x:v>
      </x:c>
      <x:c r="F7455" s="1" t="str">
        <x:v>Late delivery</x:v>
      </x:c>
      <x:c r="G7455" s="6" t="n">
        <x:v>3</x:v>
      </x:c>
      <x:c r="H7455" s="6" t="n">
        <x:v>2</x:v>
      </x:c>
      <x:c r="I7455" s="6" t="n">
        <x:f>G7455-H7455</x:f>
        <x:v>1</x:v>
      </x:c>
      <x:c r="J7455" s="6" t="n">
        <x:f>IF(OR(E7455="CANCELED",E7455="SUSPECTED_FRAUD",F7455="Shipping canceled"),0,1)</x:f>
        <x:v>1</x:v>
      </x:c>
      <x:c r="K7455" s="6" t="n">
        <x:f>IF(G7455&gt;H7455,1,0)</x:f>
        <x:v>1</x:v>
      </x:c>
      <x:c r="L7455" s="6" t="n">
        <x:f>J7455*K7455</x:f>
        <x:v>1</x:v>
      </x:c>
    </x:row>
    <x:row r="7456">
      <x:c r="A7456" s="1" t="n">
        <x:v>59480</x:v>
      </x:c>
      <x:c r="B7456" s="5" t="d">
        <x:v>2017-05-18T00:00:00.000Z</x:v>
      </x:c>
      <x:c r="C7456" s="1" t="str">
        <x:v>Standard Class</x:v>
      </x:c>
      <x:c r="D7456" s="1" t="str">
        <x:v>LATAM</x:v>
      </x:c>
      <x:c r="E7456" s="1" t="str">
        <x:v>PROCESSING</x:v>
      </x:c>
      <x:c r="F7456" s="1" t="str">
        <x:v>Late delivery</x:v>
      </x:c>
      <x:c r="G7456" s="6" t="n">
        <x:v>6</x:v>
      </x:c>
      <x:c r="H7456" s="6" t="n">
        <x:v>4</x:v>
      </x:c>
      <x:c r="I7456" s="6" t="n">
        <x:f>G7456-H7456</x:f>
        <x:v>2</x:v>
      </x:c>
      <x:c r="J7456" s="6" t="n">
        <x:f>IF(OR(E7456="CANCELED",E7456="SUSPECTED_FRAUD",F7456="Shipping canceled"),0,1)</x:f>
        <x:v>1</x:v>
      </x:c>
      <x:c r="K7456" s="6" t="n">
        <x:f>IF(G7456&gt;H7456,1,0)</x:f>
        <x:v>1</x:v>
      </x:c>
      <x:c r="L7456" s="6" t="n">
        <x:f>J7456*K7456</x:f>
        <x:v>1</x:v>
      </x:c>
    </x:row>
    <x:row r="7457">
      <x:c r="A7457" s="1" t="n">
        <x:v>59498</x:v>
      </x:c>
      <x:c r="B7457" s="5" t="d">
        <x:v>2017-05-18T00:00:00.000Z</x:v>
      </x:c>
      <x:c r="C7457" s="1" t="str">
        <x:v>Standard Class</x:v>
      </x:c>
      <x:c r="D7457" s="1" t="str">
        <x:v>LATAM</x:v>
      </x:c>
      <x:c r="E7457" s="1" t="str">
        <x:v>PROCESSING</x:v>
      </x:c>
      <x:c r="F7457" s="1" t="str">
        <x:v>Shipping on time</x:v>
      </x:c>
      <x:c r="G7457" s="6" t="n">
        <x:v>4</x:v>
      </x:c>
      <x:c r="H7457" s="6" t="n">
        <x:v>4</x:v>
      </x:c>
      <x:c r="I7457" s="6" t="n">
        <x:f>G7457-H7457</x:f>
        <x:v>0</x:v>
      </x:c>
      <x:c r="J7457" s="6" t="n">
        <x:f>IF(OR(E7457="CANCELED",E7457="SUSPECTED_FRAUD",F7457="Shipping canceled"),0,1)</x:f>
        <x:v>1</x:v>
      </x:c>
      <x:c r="K7457" s="6" t="n">
        <x:f>IF(G7457&gt;H7457,1,0)</x:f>
        <x:v>0</x:v>
      </x:c>
      <x:c r="L7457" s="6" t="n">
        <x:f>J7457*K7457</x:f>
        <x:v>0</x:v>
      </x:c>
    </x:row>
    <x:row r="7458">
      <x:c r="A7458" s="1" t="n">
        <x:v>59506</x:v>
      </x:c>
      <x:c r="B7458" s="5" t="d">
        <x:v>2017-05-18T00:00:00.000Z</x:v>
      </x:c>
      <x:c r="C7458" s="1" t="str">
        <x:v>Second Class</x:v>
      </x:c>
      <x:c r="D7458" s="1" t="str">
        <x:v>LATAM</x:v>
      </x:c>
      <x:c r="E7458" s="1" t="str">
        <x:v>COMPLETE</x:v>
      </x:c>
      <x:c r="F7458" s="1" t="str">
        <x:v>Shipping on time</x:v>
      </x:c>
      <x:c r="G7458" s="6" t="n">
        <x:v>2</x:v>
      </x:c>
      <x:c r="H7458" s="6" t="n">
        <x:v>2</x:v>
      </x:c>
      <x:c r="I7458" s="6" t="n">
        <x:f>G7458-H7458</x:f>
        <x:v>0</x:v>
      </x:c>
      <x:c r="J7458" s="6" t="n">
        <x:f>IF(OR(E7458="CANCELED",E7458="SUSPECTED_FRAUD",F7458="Shipping canceled"),0,1)</x:f>
        <x:v>1</x:v>
      </x:c>
      <x:c r="K7458" s="6" t="n">
        <x:f>IF(G7458&gt;H7458,1,0)</x:f>
        <x:v>0</x:v>
      </x:c>
      <x:c r="L7458" s="6" t="n">
        <x:f>J7458*K7458</x:f>
        <x:v>0</x:v>
      </x:c>
    </x:row>
    <x:row r="7459">
      <x:c r="A7459" s="1" t="n">
        <x:v>59517</x:v>
      </x:c>
      <x:c r="B7459" s="5" t="d">
        <x:v>2017-05-18T00:00:00.000Z</x:v>
      </x:c>
      <x:c r="C7459" s="1" t="str">
        <x:v>Standard Class</x:v>
      </x:c>
      <x:c r="D7459" s="1" t="str">
        <x:v>LATAM</x:v>
      </x:c>
      <x:c r="E7459" s="1" t="str">
        <x:v>PENDING</x:v>
      </x:c>
      <x:c r="F7459" s="1" t="str">
        <x:v>Advance shipping</x:v>
      </x:c>
      <x:c r="G7459" s="6" t="n">
        <x:v>3</x:v>
      </x:c>
      <x:c r="H7459" s="6" t="n">
        <x:v>4</x:v>
      </x:c>
      <x:c r="I7459" s="6" t="n">
        <x:f>G7459-H7459</x:f>
        <x:v>-1</x:v>
      </x:c>
      <x:c r="J7459" s="6" t="n">
        <x:f>IF(OR(E7459="CANCELED",E7459="SUSPECTED_FRAUD",F7459="Shipping canceled"),0,1)</x:f>
        <x:v>1</x:v>
      </x:c>
      <x:c r="K7459" s="6" t="n">
        <x:f>IF(G7459&gt;H7459,1,0)</x:f>
        <x:v>0</x:v>
      </x:c>
      <x:c r="L7459" s="6" t="n">
        <x:f>J7459*K7459</x:f>
        <x:v>0</x:v>
      </x:c>
    </x:row>
    <x:row r="7460">
      <x:c r="A7460" s="1" t="n">
        <x:v>59532</x:v>
      </x:c>
      <x:c r="B7460" s="5" t="d">
        <x:v>2017-05-19T00:00:00.000Z</x:v>
      </x:c>
      <x:c r="C7460" s="1" t="str">
        <x:v>Standard Class</x:v>
      </x:c>
      <x:c r="D7460" s="1" t="str">
        <x:v>LATAM</x:v>
      </x:c>
      <x:c r="E7460" s="1" t="str">
        <x:v>COMPLETE</x:v>
      </x:c>
      <x:c r="F7460" s="1" t="str">
        <x:v>Advance shipping</x:v>
      </x:c>
      <x:c r="G7460" s="6" t="n">
        <x:v>3</x:v>
      </x:c>
      <x:c r="H7460" s="6" t="n">
        <x:v>4</x:v>
      </x:c>
      <x:c r="I7460" s="6" t="n">
        <x:f>G7460-H7460</x:f>
        <x:v>-1</x:v>
      </x:c>
      <x:c r="J7460" s="6" t="n">
        <x:f>IF(OR(E7460="CANCELED",E7460="SUSPECTED_FRAUD",F7460="Shipping canceled"),0,1)</x:f>
        <x:v>1</x:v>
      </x:c>
      <x:c r="K7460" s="6" t="n">
        <x:f>IF(G7460&gt;H7460,1,0)</x:f>
        <x:v>0</x:v>
      </x:c>
      <x:c r="L7460" s="6" t="n">
        <x:f>J7460*K7460</x:f>
        <x:v>0</x:v>
      </x:c>
    </x:row>
    <x:row r="7461">
      <x:c r="A7461" s="1" t="n">
        <x:v>59541</x:v>
      </x:c>
      <x:c r="B7461" s="5" t="d">
        <x:v>2017-05-19T00:00:00.000Z</x:v>
      </x:c>
      <x:c r="C7461" s="1" t="str">
        <x:v>Standard Class</x:v>
      </x:c>
      <x:c r="D7461" s="1" t="str">
        <x:v>LATAM</x:v>
      </x:c>
      <x:c r="E7461" s="1" t="str">
        <x:v>COMPLETE</x:v>
      </x:c>
      <x:c r="F7461" s="1" t="str">
        <x:v>Advance shipping</x:v>
      </x:c>
      <x:c r="G7461" s="6" t="n">
        <x:v>2</x:v>
      </x:c>
      <x:c r="H7461" s="6" t="n">
        <x:v>4</x:v>
      </x:c>
      <x:c r="I7461" s="6" t="n">
        <x:f>G7461-H7461</x:f>
        <x:v>-2</x:v>
      </x:c>
      <x:c r="J7461" s="6" t="n">
        <x:f>IF(OR(E7461="CANCELED",E7461="SUSPECTED_FRAUD",F7461="Shipping canceled"),0,1)</x:f>
        <x:v>1</x:v>
      </x:c>
      <x:c r="K7461" s="6" t="n">
        <x:f>IF(G7461&gt;H7461,1,0)</x:f>
        <x:v>0</x:v>
      </x:c>
      <x:c r="L7461" s="6" t="n">
        <x:f>J7461*K7461</x:f>
        <x:v>0</x:v>
      </x:c>
    </x:row>
    <x:row r="7462">
      <x:c r="A7462" s="1" t="n">
        <x:v>59553</x:v>
      </x:c>
      <x:c r="B7462" s="5" t="d">
        <x:v>2017-05-19T00:00:00.000Z</x:v>
      </x:c>
      <x:c r="C7462" s="1" t="str">
        <x:v>Standard Class</x:v>
      </x:c>
      <x:c r="D7462" s="1" t="str">
        <x:v>LATAM</x:v>
      </x:c>
      <x:c r="E7462" s="1" t="str">
        <x:v>COMPLETE</x:v>
      </x:c>
      <x:c r="F7462" s="1" t="str">
        <x:v>Shipping on time</x:v>
      </x:c>
      <x:c r="G7462" s="6" t="n">
        <x:v>4</x:v>
      </x:c>
      <x:c r="H7462" s="6" t="n">
        <x:v>4</x:v>
      </x:c>
      <x:c r="I7462" s="6" t="n">
        <x:f>G7462-H7462</x:f>
        <x:v>0</x:v>
      </x:c>
      <x:c r="J7462" s="6" t="n">
        <x:f>IF(OR(E7462="CANCELED",E7462="SUSPECTED_FRAUD",F7462="Shipping canceled"),0,1)</x:f>
        <x:v>1</x:v>
      </x:c>
      <x:c r="K7462" s="6" t="n">
        <x:f>IF(G7462&gt;H7462,1,0)</x:f>
        <x:v>0</x:v>
      </x:c>
      <x:c r="L7462" s="6" t="n">
        <x:f>J7462*K7462</x:f>
        <x:v>0</x:v>
      </x:c>
    </x:row>
    <x:row r="7463">
      <x:c r="A7463" s="1" t="n">
        <x:v>59561</x:v>
      </x:c>
      <x:c r="B7463" s="5" t="d">
        <x:v>2017-05-19T00:00:00.000Z</x:v>
      </x:c>
      <x:c r="C7463" s="1" t="str">
        <x:v>Second Class</x:v>
      </x:c>
      <x:c r="D7463" s="1" t="str">
        <x:v>LATAM</x:v>
      </x:c>
      <x:c r="E7463" s="1" t="str">
        <x:v>COMPLETE</x:v>
      </x:c>
      <x:c r="F7463" s="1" t="str">
        <x:v>Shipping on time</x:v>
      </x:c>
      <x:c r="G7463" s="6" t="n">
        <x:v>2</x:v>
      </x:c>
      <x:c r="H7463" s="6" t="n">
        <x:v>2</x:v>
      </x:c>
      <x:c r="I7463" s="6" t="n">
        <x:f>G7463-H7463</x:f>
        <x:v>0</x:v>
      </x:c>
      <x:c r="J7463" s="6" t="n">
        <x:f>IF(OR(E7463="CANCELED",E7463="SUSPECTED_FRAUD",F7463="Shipping canceled"),0,1)</x:f>
        <x:v>1</x:v>
      </x:c>
      <x:c r="K7463" s="6" t="n">
        <x:f>IF(G7463&gt;H7463,1,0)</x:f>
        <x:v>0</x:v>
      </x:c>
      <x:c r="L7463" s="6" t="n">
        <x:f>J7463*K7463</x:f>
        <x:v>0</x:v>
      </x:c>
    </x:row>
    <x:row r="7464">
      <x:c r="A7464" s="1" t="n">
        <x:v>59578</x:v>
      </x:c>
      <x:c r="B7464" s="5" t="d">
        <x:v>2017-05-19T00:00:00.000Z</x:v>
      </x:c>
      <x:c r="C7464" s="1" t="str">
        <x:v>Standard Class</x:v>
      </x:c>
      <x:c r="D7464" s="1" t="str">
        <x:v>LATAM</x:v>
      </x:c>
      <x:c r="E7464" s="1" t="str">
        <x:v>COMPLETE</x:v>
      </x:c>
      <x:c r="F7464" s="1" t="str">
        <x:v>Shipping on time</x:v>
      </x:c>
      <x:c r="G7464" s="6" t="n">
        <x:v>4</x:v>
      </x:c>
      <x:c r="H7464" s="6" t="n">
        <x:v>4</x:v>
      </x:c>
      <x:c r="I7464" s="6" t="n">
        <x:f>G7464-H7464</x:f>
        <x:v>0</x:v>
      </x:c>
      <x:c r="J7464" s="6" t="n">
        <x:f>IF(OR(E7464="CANCELED",E7464="SUSPECTED_FRAUD",F7464="Shipping canceled"),0,1)</x:f>
        <x:v>1</x:v>
      </x:c>
      <x:c r="K7464" s="6" t="n">
        <x:f>IF(G7464&gt;H7464,1,0)</x:f>
        <x:v>0</x:v>
      </x:c>
      <x:c r="L7464" s="6" t="n">
        <x:f>J7464*K7464</x:f>
        <x:v>0</x:v>
      </x:c>
    </x:row>
    <x:row r="7465">
      <x:c r="A7465" s="1" t="n">
        <x:v>59594</x:v>
      </x:c>
      <x:c r="B7465" s="5" t="d">
        <x:v>2017-05-19T00:00:00.000Z</x:v>
      </x:c>
      <x:c r="C7465" s="1" t="str">
        <x:v>Standard Class</x:v>
      </x:c>
      <x:c r="D7465" s="1" t="str">
        <x:v>LATAM</x:v>
      </x:c>
      <x:c r="E7465" s="1" t="str">
        <x:v>PENDING</x:v>
      </x:c>
      <x:c r="F7465" s="1" t="str">
        <x:v>Late delivery</x:v>
      </x:c>
      <x:c r="G7465" s="6" t="n">
        <x:v>5</x:v>
      </x:c>
      <x:c r="H7465" s="6" t="n">
        <x:v>4</x:v>
      </x:c>
      <x:c r="I7465" s="6" t="n">
        <x:f>G7465-H7465</x:f>
        <x:v>1</x:v>
      </x:c>
      <x:c r="J7465" s="6" t="n">
        <x:f>IF(OR(E7465="CANCELED",E7465="SUSPECTED_FRAUD",F7465="Shipping canceled"),0,1)</x:f>
        <x:v>1</x:v>
      </x:c>
      <x:c r="K7465" s="6" t="n">
        <x:f>IF(G7465&gt;H7465,1,0)</x:f>
        <x:v>1</x:v>
      </x:c>
      <x:c r="L7465" s="6" t="n">
        <x:f>J7465*K7465</x:f>
        <x:v>1</x:v>
      </x:c>
    </x:row>
    <x:row r="7466">
      <x:c r="A7466" s="1" t="n">
        <x:v>59596</x:v>
      </x:c>
      <x:c r="B7466" s="5" t="d">
        <x:v>2017-05-19T00:00:00.000Z</x:v>
      </x:c>
      <x:c r="C7466" s="1" t="str">
        <x:v>Standard Class</x:v>
      </x:c>
      <x:c r="D7466" s="1" t="str">
        <x:v>LATAM</x:v>
      </x:c>
      <x:c r="E7466" s="1" t="str">
        <x:v>COMPLETE</x:v>
      </x:c>
      <x:c r="F7466" s="1" t="str">
        <x:v>Advance shipping</x:v>
      </x:c>
      <x:c r="G7466" s="6" t="n">
        <x:v>2</x:v>
      </x:c>
      <x:c r="H7466" s="6" t="n">
        <x:v>4</x:v>
      </x:c>
      <x:c r="I7466" s="6" t="n">
        <x:f>G7466-H7466</x:f>
        <x:v>-2</x:v>
      </x:c>
      <x:c r="J7466" s="6" t="n">
        <x:f>IF(OR(E7466="CANCELED",E7466="SUSPECTED_FRAUD",F7466="Shipping canceled"),0,1)</x:f>
        <x:v>1</x:v>
      </x:c>
      <x:c r="K7466" s="6" t="n">
        <x:f>IF(G7466&gt;H7466,1,0)</x:f>
        <x:v>0</x:v>
      </x:c>
      <x:c r="L7466" s="6" t="n">
        <x:f>J7466*K7466</x:f>
        <x:v>0</x:v>
      </x:c>
    </x:row>
    <x:row r="7467">
      <x:c r="A7467" s="1" t="n">
        <x:v>59598</x:v>
      </x:c>
      <x:c r="B7467" s="5" t="d">
        <x:v>2017-05-19T00:00:00.000Z</x:v>
      </x:c>
      <x:c r="C7467" s="1" t="str">
        <x:v>Standard Class</x:v>
      </x:c>
      <x:c r="D7467" s="1" t="str">
        <x:v>LATAM</x:v>
      </x:c>
      <x:c r="E7467" s="1" t="str">
        <x:v>PROCESSING</x:v>
      </x:c>
      <x:c r="F7467" s="1" t="str">
        <x:v>Shipping on time</x:v>
      </x:c>
      <x:c r="G7467" s="6" t="n">
        <x:v>4</x:v>
      </x:c>
      <x:c r="H7467" s="6" t="n">
        <x:v>4</x:v>
      </x:c>
      <x:c r="I7467" s="6" t="n">
        <x:f>G7467-H7467</x:f>
        <x:v>0</x:v>
      </x:c>
      <x:c r="J7467" s="6" t="n">
        <x:f>IF(OR(E7467="CANCELED",E7467="SUSPECTED_FRAUD",F7467="Shipping canceled"),0,1)</x:f>
        <x:v>1</x:v>
      </x:c>
      <x:c r="K7467" s="6" t="n">
        <x:f>IF(G7467&gt;H7467,1,0)</x:f>
        <x:v>0</x:v>
      </x:c>
      <x:c r="L7467" s="6" t="n">
        <x:f>J7467*K7467</x:f>
        <x:v>0</x:v>
      </x:c>
    </x:row>
    <x:row r="7468">
      <x:c r="A7468" s="1" t="n">
        <x:v>59602</x:v>
      </x:c>
      <x:c r="B7468" s="5" t="d">
        <x:v>2017-05-20T00:00:00.000Z</x:v>
      </x:c>
      <x:c r="C7468" s="1" t="str">
        <x:v>Standard Class</x:v>
      </x:c>
      <x:c r="D7468" s="1" t="str">
        <x:v>LATAM</x:v>
      </x:c>
      <x:c r="E7468" s="1" t="str">
        <x:v>COMPLETE</x:v>
      </x:c>
      <x:c r="F7468" s="1" t="str">
        <x:v>Advance shipping</x:v>
      </x:c>
      <x:c r="G7468" s="6" t="n">
        <x:v>3</x:v>
      </x:c>
      <x:c r="H7468" s="6" t="n">
        <x:v>4</x:v>
      </x:c>
      <x:c r="I7468" s="6" t="n">
        <x:f>G7468-H7468</x:f>
        <x:v>-1</x:v>
      </x:c>
      <x:c r="J7468" s="6" t="n">
        <x:f>IF(OR(E7468="CANCELED",E7468="SUSPECTED_FRAUD",F7468="Shipping canceled"),0,1)</x:f>
        <x:v>1</x:v>
      </x:c>
      <x:c r="K7468" s="6" t="n">
        <x:f>IF(G7468&gt;H7468,1,0)</x:f>
        <x:v>0</x:v>
      </x:c>
      <x:c r="L7468" s="6" t="n">
        <x:f>J7468*K7468</x:f>
        <x:v>0</x:v>
      </x:c>
    </x:row>
    <x:row r="7469">
      <x:c r="A7469" s="1" t="n">
        <x:v>59608</x:v>
      </x:c>
      <x:c r="B7469" s="5" t="d">
        <x:v>2017-05-20T00:00:00.000Z</x:v>
      </x:c>
      <x:c r="C7469" s="1" t="str">
        <x:v>Standard Class</x:v>
      </x:c>
      <x:c r="D7469" s="1" t="str">
        <x:v>LATAM</x:v>
      </x:c>
      <x:c r="E7469" s="1" t="str">
        <x:v>COMPLETE</x:v>
      </x:c>
      <x:c r="F7469" s="1" t="str">
        <x:v>Shipping on time</x:v>
      </x:c>
      <x:c r="G7469" s="6" t="n">
        <x:v>4</x:v>
      </x:c>
      <x:c r="H7469" s="6" t="n">
        <x:v>4</x:v>
      </x:c>
      <x:c r="I7469" s="6" t="n">
        <x:f>G7469-H7469</x:f>
        <x:v>0</x:v>
      </x:c>
      <x:c r="J7469" s="6" t="n">
        <x:f>IF(OR(E7469="CANCELED",E7469="SUSPECTED_FRAUD",F7469="Shipping canceled"),0,1)</x:f>
        <x:v>1</x:v>
      </x:c>
      <x:c r="K7469" s="6" t="n">
        <x:f>IF(G7469&gt;H7469,1,0)</x:f>
        <x:v>0</x:v>
      </x:c>
      <x:c r="L7469" s="6" t="n">
        <x:f>J7469*K7469</x:f>
        <x:v>0</x:v>
      </x:c>
    </x:row>
    <x:row r="7470">
      <x:c r="A7470" s="1" t="n">
        <x:v>59610</x:v>
      </x:c>
      <x:c r="B7470" s="5" t="d">
        <x:v>2017-05-20T00:00:00.000Z</x:v>
      </x:c>
      <x:c r="C7470" s="1" t="str">
        <x:v>Second Class</x:v>
      </x:c>
      <x:c r="D7470" s="1" t="str">
        <x:v>LATAM</x:v>
      </x:c>
      <x:c r="E7470" s="1" t="str">
        <x:v>PENDING</x:v>
      </x:c>
      <x:c r="F7470" s="1" t="str">
        <x:v>Late delivery</x:v>
      </x:c>
      <x:c r="G7470" s="6" t="n">
        <x:v>6</x:v>
      </x:c>
      <x:c r="H7470" s="6" t="n">
        <x:v>2</x:v>
      </x:c>
      <x:c r="I7470" s="6" t="n">
        <x:f>G7470-H7470</x:f>
        <x:v>4</x:v>
      </x:c>
      <x:c r="J7470" s="6" t="n">
        <x:f>IF(OR(E7470="CANCELED",E7470="SUSPECTED_FRAUD",F7470="Shipping canceled"),0,1)</x:f>
        <x:v>1</x:v>
      </x:c>
      <x:c r="K7470" s="6" t="n">
        <x:f>IF(G7470&gt;H7470,1,0)</x:f>
        <x:v>1</x:v>
      </x:c>
      <x:c r="L7470" s="6" t="n">
        <x:f>J7470*K7470</x:f>
        <x:v>1</x:v>
      </x:c>
    </x:row>
    <x:row r="7471">
      <x:c r="A7471" s="1" t="n">
        <x:v>59646</x:v>
      </x:c>
      <x:c r="B7471" s="5" t="d">
        <x:v>2017-05-20T00:00:00.000Z</x:v>
      </x:c>
      <x:c r="C7471" s="1" t="str">
        <x:v>Second Class</x:v>
      </x:c>
      <x:c r="D7471" s="1" t="str">
        <x:v>LATAM</x:v>
      </x:c>
      <x:c r="E7471" s="1" t="str">
        <x:v>COMPLETE</x:v>
      </x:c>
      <x:c r="F7471" s="1" t="str">
        <x:v>Shipping on time</x:v>
      </x:c>
      <x:c r="G7471" s="6" t="n">
        <x:v>2</x:v>
      </x:c>
      <x:c r="H7471" s="6" t="n">
        <x:v>2</x:v>
      </x:c>
      <x:c r="I7471" s="6" t="n">
        <x:f>G7471-H7471</x:f>
        <x:v>0</x:v>
      </x:c>
      <x:c r="J7471" s="6" t="n">
        <x:f>IF(OR(E7471="CANCELED",E7471="SUSPECTED_FRAUD",F7471="Shipping canceled"),0,1)</x:f>
        <x:v>1</x:v>
      </x:c>
      <x:c r="K7471" s="6" t="n">
        <x:f>IF(G7471&gt;H7471,1,0)</x:f>
        <x:v>0</x:v>
      </x:c>
      <x:c r="L7471" s="6" t="n">
        <x:f>J7471*K7471</x:f>
        <x:v>0</x:v>
      </x:c>
    </x:row>
    <x:row r="7472">
      <x:c r="A7472" s="1" t="n">
        <x:v>59653</x:v>
      </x:c>
      <x:c r="B7472" s="5" t="d">
        <x:v>2017-05-20T00:00:00.000Z</x:v>
      </x:c>
      <x:c r="C7472" s="1" t="str">
        <x:v>First Class</x:v>
      </x:c>
      <x:c r="D7472" s="1" t="str">
        <x:v>LATAM</x:v>
      </x:c>
      <x:c r="E7472" s="1" t="str">
        <x:v>CLOSED</x:v>
      </x:c>
      <x:c r="F7472" s="1" t="str">
        <x:v>Late delivery</x:v>
      </x:c>
      <x:c r="G7472" s="6" t="n">
        <x:v>2</x:v>
      </x:c>
      <x:c r="H7472" s="6" t="n">
        <x:v>1</x:v>
      </x:c>
      <x:c r="I7472" s="6" t="n">
        <x:f>G7472-H7472</x:f>
        <x:v>1</x:v>
      </x:c>
      <x:c r="J7472" s="6" t="n">
        <x:f>IF(OR(E7472="CANCELED",E7472="SUSPECTED_FRAUD",F7472="Shipping canceled"),0,1)</x:f>
        <x:v>1</x:v>
      </x:c>
      <x:c r="K7472" s="6" t="n">
        <x:f>IF(G7472&gt;H7472,1,0)</x:f>
        <x:v>1</x:v>
      </x:c>
      <x:c r="L7472" s="6" t="n">
        <x:f>J7472*K7472</x:f>
        <x:v>1</x:v>
      </x:c>
    </x:row>
    <x:row r="7473">
      <x:c r="A7473" s="1" t="n">
        <x:v>59662</x:v>
      </x:c>
      <x:c r="B7473" s="5" t="d">
        <x:v>2017-05-20T00:00:00.000Z</x:v>
      </x:c>
      <x:c r="C7473" s="1" t="str">
        <x:v>Standard Class</x:v>
      </x:c>
      <x:c r="D7473" s="1" t="str">
        <x:v>LATAM</x:v>
      </x:c>
      <x:c r="E7473" s="1" t="str">
        <x:v>ON_HOLD</x:v>
      </x:c>
      <x:c r="F7473" s="1" t="str">
        <x:v>Advance shipping</x:v>
      </x:c>
      <x:c r="G7473" s="6" t="n">
        <x:v>3</x:v>
      </x:c>
      <x:c r="H7473" s="6" t="n">
        <x:v>4</x:v>
      </x:c>
      <x:c r="I7473" s="6" t="n">
        <x:f>G7473-H7473</x:f>
        <x:v>-1</x:v>
      </x:c>
      <x:c r="J7473" s="6" t="n">
        <x:f>IF(OR(E7473="CANCELED",E7473="SUSPECTED_FRAUD",F7473="Shipping canceled"),0,1)</x:f>
        <x:v>1</x:v>
      </x:c>
      <x:c r="K7473" s="6" t="n">
        <x:f>IF(G7473&gt;H7473,1,0)</x:f>
        <x:v>0</x:v>
      </x:c>
      <x:c r="L7473" s="6" t="n">
        <x:f>J7473*K7473</x:f>
        <x:v>0</x:v>
      </x:c>
    </x:row>
    <x:row r="7474">
      <x:c r="A7474" s="1" t="n">
        <x:v>59664</x:v>
      </x:c>
      <x:c r="B7474" s="5" t="d">
        <x:v>2017-05-20T00:00:00.000Z</x:v>
      </x:c>
      <x:c r="C7474" s="1" t="str">
        <x:v>First Class</x:v>
      </x:c>
      <x:c r="D7474" s="1" t="str">
        <x:v>LATAM</x:v>
      </x:c>
      <x:c r="E7474" s="1" t="str">
        <x:v>CLOSED</x:v>
      </x:c>
      <x:c r="F7474" s="1" t="str">
        <x:v>Late delivery</x:v>
      </x:c>
      <x:c r="G7474" s="6" t="n">
        <x:v>2</x:v>
      </x:c>
      <x:c r="H7474" s="6" t="n">
        <x:v>1</x:v>
      </x:c>
      <x:c r="I7474" s="6" t="n">
        <x:f>G7474-H7474</x:f>
        <x:v>1</x:v>
      </x:c>
      <x:c r="J7474" s="6" t="n">
        <x:f>IF(OR(E7474="CANCELED",E7474="SUSPECTED_FRAUD",F7474="Shipping canceled"),0,1)</x:f>
        <x:v>1</x:v>
      </x:c>
      <x:c r="K7474" s="6" t="n">
        <x:f>IF(G7474&gt;H7474,1,0)</x:f>
        <x:v>1</x:v>
      </x:c>
      <x:c r="L7474" s="6" t="n">
        <x:f>J7474*K7474</x:f>
        <x:v>1</x:v>
      </x:c>
    </x:row>
    <x:row r="7475">
      <x:c r="A7475" s="1" t="n">
        <x:v>59667</x:v>
      </x:c>
      <x:c r="B7475" s="5" t="d">
        <x:v>2017-05-20T00:00:00.000Z</x:v>
      </x:c>
      <x:c r="C7475" s="1" t="str">
        <x:v>Standard Class</x:v>
      </x:c>
      <x:c r="D7475" s="1" t="str">
        <x:v>LATAM</x:v>
      </x:c>
      <x:c r="E7475" s="1" t="str">
        <x:v>COMPLETE</x:v>
      </x:c>
      <x:c r="F7475" s="1" t="str">
        <x:v>Advance shipping</x:v>
      </x:c>
      <x:c r="G7475" s="6" t="n">
        <x:v>3</x:v>
      </x:c>
      <x:c r="H7475" s="6" t="n">
        <x:v>4</x:v>
      </x:c>
      <x:c r="I7475" s="6" t="n">
        <x:f>G7475-H7475</x:f>
        <x:v>-1</x:v>
      </x:c>
      <x:c r="J7475" s="6" t="n">
        <x:f>IF(OR(E7475="CANCELED",E7475="SUSPECTED_FRAUD",F7475="Shipping canceled"),0,1)</x:f>
        <x:v>1</x:v>
      </x:c>
      <x:c r="K7475" s="6" t="n">
        <x:f>IF(G7475&gt;H7475,1,0)</x:f>
        <x:v>0</x:v>
      </x:c>
      <x:c r="L7475" s="6" t="n">
        <x:f>J7475*K7475</x:f>
        <x:v>0</x:v>
      </x:c>
    </x:row>
    <x:row r="7476">
      <x:c r="A7476" s="1" t="n">
        <x:v>59686</x:v>
      </x:c>
      <x:c r="B7476" s="5" t="d">
        <x:v>2017-05-21T00:00:00.000Z</x:v>
      </x:c>
      <x:c r="C7476" s="1" t="str">
        <x:v>Standard Class</x:v>
      </x:c>
      <x:c r="D7476" s="1" t="str">
        <x:v>LATAM</x:v>
      </x:c>
      <x:c r="E7476" s="1" t="str">
        <x:v>PROCESSING</x:v>
      </x:c>
      <x:c r="F7476" s="1" t="str">
        <x:v>Advance shipping</x:v>
      </x:c>
      <x:c r="G7476" s="6" t="n">
        <x:v>2</x:v>
      </x:c>
      <x:c r="H7476" s="6" t="n">
        <x:v>4</x:v>
      </x:c>
      <x:c r="I7476" s="6" t="n">
        <x:f>G7476-H7476</x:f>
        <x:v>-2</x:v>
      </x:c>
      <x:c r="J7476" s="6" t="n">
        <x:f>IF(OR(E7476="CANCELED",E7476="SUSPECTED_FRAUD",F7476="Shipping canceled"),0,1)</x:f>
        <x:v>1</x:v>
      </x:c>
      <x:c r="K7476" s="6" t="n">
        <x:f>IF(G7476&gt;H7476,1,0)</x:f>
        <x:v>0</x:v>
      </x:c>
      <x:c r="L7476" s="6" t="n">
        <x:f>J7476*K7476</x:f>
        <x:v>0</x:v>
      </x:c>
    </x:row>
    <x:row r="7477">
      <x:c r="A7477" s="1" t="n">
        <x:v>59693</x:v>
      </x:c>
      <x:c r="B7477" s="5" t="d">
        <x:v>2017-05-21T00:00:00.000Z</x:v>
      </x:c>
      <x:c r="C7477" s="1" t="str">
        <x:v>Standard Class</x:v>
      </x:c>
      <x:c r="D7477" s="1" t="str">
        <x:v>LATAM</x:v>
      </x:c>
      <x:c r="E7477" s="1" t="str">
        <x:v>PENDING</x:v>
      </x:c>
      <x:c r="F7477" s="1" t="str">
        <x:v>Shipping on time</x:v>
      </x:c>
      <x:c r="G7477" s="6" t="n">
        <x:v>4</x:v>
      </x:c>
      <x:c r="H7477" s="6" t="n">
        <x:v>4</x:v>
      </x:c>
      <x:c r="I7477" s="6" t="n">
        <x:f>G7477-H7477</x:f>
        <x:v>0</x:v>
      </x:c>
      <x:c r="J7477" s="6" t="n">
        <x:f>IF(OR(E7477="CANCELED",E7477="SUSPECTED_FRAUD",F7477="Shipping canceled"),0,1)</x:f>
        <x:v>1</x:v>
      </x:c>
      <x:c r="K7477" s="6" t="n">
        <x:f>IF(G7477&gt;H7477,1,0)</x:f>
        <x:v>0</x:v>
      </x:c>
      <x:c r="L7477" s="6" t="n">
        <x:f>J7477*K7477</x:f>
        <x:v>0</x:v>
      </x:c>
    </x:row>
    <x:row r="7478">
      <x:c r="A7478" s="1" t="n">
        <x:v>59722</x:v>
      </x:c>
      <x:c r="B7478" s="5" t="d">
        <x:v>2017-05-21T00:00:00.000Z</x:v>
      </x:c>
      <x:c r="C7478" s="1" t="str">
        <x:v>Standard Class</x:v>
      </x:c>
      <x:c r="D7478" s="1" t="str">
        <x:v>LATAM</x:v>
      </x:c>
      <x:c r="E7478" s="1" t="str">
        <x:v>PROCESSING</x:v>
      </x:c>
      <x:c r="F7478" s="1" t="str">
        <x:v>Advance shipping</x:v>
      </x:c>
      <x:c r="G7478" s="6" t="n">
        <x:v>3</x:v>
      </x:c>
      <x:c r="H7478" s="6" t="n">
        <x:v>4</x:v>
      </x:c>
      <x:c r="I7478" s="6" t="n">
        <x:f>G7478-H7478</x:f>
        <x:v>-1</x:v>
      </x:c>
      <x:c r="J7478" s="6" t="n">
        <x:f>IF(OR(E7478="CANCELED",E7478="SUSPECTED_FRAUD",F7478="Shipping canceled"),0,1)</x:f>
        <x:v>1</x:v>
      </x:c>
      <x:c r="K7478" s="6" t="n">
        <x:f>IF(G7478&gt;H7478,1,0)</x:f>
        <x:v>0</x:v>
      </x:c>
      <x:c r="L7478" s="6" t="n">
        <x:f>J7478*K7478</x:f>
        <x:v>0</x:v>
      </x:c>
    </x:row>
    <x:row r="7479">
      <x:c r="A7479" s="1" t="n">
        <x:v>59739</x:v>
      </x:c>
      <x:c r="B7479" s="5" t="d">
        <x:v>2017-05-22T00:00:00.000Z</x:v>
      </x:c>
      <x:c r="C7479" s="1" t="str">
        <x:v>Second Class</x:v>
      </x:c>
      <x:c r="D7479" s="1" t="str">
        <x:v>LATAM</x:v>
      </x:c>
      <x:c r="E7479" s="1" t="str">
        <x:v>COMPLETE</x:v>
      </x:c>
      <x:c r="F7479" s="1" t="str">
        <x:v>Late delivery</x:v>
      </x:c>
      <x:c r="G7479" s="6" t="n">
        <x:v>5</x:v>
      </x:c>
      <x:c r="H7479" s="6" t="n">
        <x:v>2</x:v>
      </x:c>
      <x:c r="I7479" s="6" t="n">
        <x:f>G7479-H7479</x:f>
        <x:v>3</x:v>
      </x:c>
      <x:c r="J7479" s="6" t="n">
        <x:f>IF(OR(E7479="CANCELED",E7479="SUSPECTED_FRAUD",F7479="Shipping canceled"),0,1)</x:f>
        <x:v>1</x:v>
      </x:c>
      <x:c r="K7479" s="6" t="n">
        <x:f>IF(G7479&gt;H7479,1,0)</x:f>
        <x:v>1</x:v>
      </x:c>
      <x:c r="L7479" s="6" t="n">
        <x:f>J7479*K7479</x:f>
        <x:v>1</x:v>
      </x:c>
    </x:row>
    <x:row r="7480">
      <x:c r="A7480" s="1" t="n">
        <x:v>59741</x:v>
      </x:c>
      <x:c r="B7480" s="5" t="d">
        <x:v>2017-05-22T00:00:00.000Z</x:v>
      </x:c>
      <x:c r="C7480" s="1" t="str">
        <x:v>Standard Class</x:v>
      </x:c>
      <x:c r="D7480" s="1" t="str">
        <x:v>LATAM</x:v>
      </x:c>
      <x:c r="E7480" s="1" t="str">
        <x:v>SUSPECTED_FRAUD</x:v>
      </x:c>
      <x:c r="F7480" s="1" t="str">
        <x:v>Shipping canceled</x:v>
      </x:c>
      <x:c r="G7480" s="6" t="n">
        <x:v>2</x:v>
      </x:c>
      <x:c r="H7480" s="6" t="n">
        <x:v>4</x:v>
      </x:c>
      <x:c r="I7480" s="6" t="n">
        <x:f>G7480-H7480</x:f>
        <x:v>-2</x:v>
      </x:c>
      <x:c r="J7480" s="6" t="n">
        <x:f>IF(OR(E7480="CANCELED",E7480="SUSPECTED_FRAUD",F7480="Shipping canceled"),0,1)</x:f>
        <x:v>0</x:v>
      </x:c>
      <x:c r="K7480" s="6" t="n">
        <x:f>IF(G7480&gt;H7480,1,0)</x:f>
        <x:v>0</x:v>
      </x:c>
      <x:c r="L7480" s="6" t="n">
        <x:f>J7480*K7480</x:f>
        <x:v>0</x:v>
      </x:c>
    </x:row>
    <x:row r="7481">
      <x:c r="A7481" s="1" t="n">
        <x:v>59742</x:v>
      </x:c>
      <x:c r="B7481" s="5" t="d">
        <x:v>2017-05-22T00:00:00.000Z</x:v>
      </x:c>
      <x:c r="C7481" s="1" t="str">
        <x:v>Standard Class</x:v>
      </x:c>
      <x:c r="D7481" s="1" t="str">
        <x:v>LATAM</x:v>
      </x:c>
      <x:c r="E7481" s="1" t="str">
        <x:v>PROCESSING</x:v>
      </x:c>
      <x:c r="F7481" s="1" t="str">
        <x:v>Advance shipping</x:v>
      </x:c>
      <x:c r="G7481" s="6" t="n">
        <x:v>3</x:v>
      </x:c>
      <x:c r="H7481" s="6" t="n">
        <x:v>4</x:v>
      </x:c>
      <x:c r="I7481" s="6" t="n">
        <x:f>G7481-H7481</x:f>
        <x:v>-1</x:v>
      </x:c>
      <x:c r="J7481" s="6" t="n">
        <x:f>IF(OR(E7481="CANCELED",E7481="SUSPECTED_FRAUD",F7481="Shipping canceled"),0,1)</x:f>
        <x:v>1</x:v>
      </x:c>
      <x:c r="K7481" s="6" t="n">
        <x:f>IF(G7481&gt;H7481,1,0)</x:f>
        <x:v>0</x:v>
      </x:c>
      <x:c r="L7481" s="6" t="n">
        <x:f>J7481*K7481</x:f>
        <x:v>0</x:v>
      </x:c>
    </x:row>
    <x:row r="7482">
      <x:c r="A7482" s="1" t="n">
        <x:v>59746</x:v>
      </x:c>
      <x:c r="B7482" s="5" t="d">
        <x:v>2017-05-22T00:00:00.000Z</x:v>
      </x:c>
      <x:c r="C7482" s="1" t="str">
        <x:v>Standard Class</x:v>
      </x:c>
      <x:c r="D7482" s="1" t="str">
        <x:v>LATAM</x:v>
      </x:c>
      <x:c r="E7482" s="1" t="str">
        <x:v>COMPLETE</x:v>
      </x:c>
      <x:c r="F7482" s="1" t="str">
        <x:v>Advance shipping</x:v>
      </x:c>
      <x:c r="G7482" s="6" t="n">
        <x:v>2</x:v>
      </x:c>
      <x:c r="H7482" s="6" t="n">
        <x:v>4</x:v>
      </x:c>
      <x:c r="I7482" s="6" t="n">
        <x:f>G7482-H7482</x:f>
        <x:v>-2</x:v>
      </x:c>
      <x:c r="J7482" s="6" t="n">
        <x:f>IF(OR(E7482="CANCELED",E7482="SUSPECTED_FRAUD",F7482="Shipping canceled"),0,1)</x:f>
        <x:v>1</x:v>
      </x:c>
      <x:c r="K7482" s="6" t="n">
        <x:f>IF(G7482&gt;H7482,1,0)</x:f>
        <x:v>0</x:v>
      </x:c>
      <x:c r="L7482" s="6" t="n">
        <x:f>J7482*K7482</x:f>
        <x:v>0</x:v>
      </x:c>
    </x:row>
    <x:row r="7483">
      <x:c r="A7483" s="1" t="n">
        <x:v>59753</x:v>
      </x:c>
      <x:c r="B7483" s="5" t="d">
        <x:v>2017-05-22T00:00:00.000Z</x:v>
      </x:c>
      <x:c r="C7483" s="1" t="str">
        <x:v>First Class</x:v>
      </x:c>
      <x:c r="D7483" s="1" t="str">
        <x:v>LATAM</x:v>
      </x:c>
      <x:c r="E7483" s="1" t="str">
        <x:v>CLOSED</x:v>
      </x:c>
      <x:c r="F7483" s="1" t="str">
        <x:v>Late delivery</x:v>
      </x:c>
      <x:c r="G7483" s="6" t="n">
        <x:v>2</x:v>
      </x:c>
      <x:c r="H7483" s="6" t="n">
        <x:v>1</x:v>
      </x:c>
      <x:c r="I7483" s="6" t="n">
        <x:f>G7483-H7483</x:f>
        <x:v>1</x:v>
      </x:c>
      <x:c r="J7483" s="6" t="n">
        <x:f>IF(OR(E7483="CANCELED",E7483="SUSPECTED_FRAUD",F7483="Shipping canceled"),0,1)</x:f>
        <x:v>1</x:v>
      </x:c>
      <x:c r="K7483" s="6" t="n">
        <x:f>IF(G7483&gt;H7483,1,0)</x:f>
        <x:v>1</x:v>
      </x:c>
      <x:c r="L7483" s="6" t="n">
        <x:f>J7483*K7483</x:f>
        <x:v>1</x:v>
      </x:c>
    </x:row>
    <x:row r="7484">
      <x:c r="A7484" s="1" t="n">
        <x:v>59754</x:v>
      </x:c>
      <x:c r="B7484" s="5" t="d">
        <x:v>2017-05-22T00:00:00.000Z</x:v>
      </x:c>
      <x:c r="C7484" s="1" t="str">
        <x:v>Standard Class</x:v>
      </x:c>
      <x:c r="D7484" s="1" t="str">
        <x:v>LATAM</x:v>
      </x:c>
      <x:c r="E7484" s="1" t="str">
        <x:v>PROCESSING</x:v>
      </x:c>
      <x:c r="F7484" s="1" t="str">
        <x:v>Late delivery</x:v>
      </x:c>
      <x:c r="G7484" s="6" t="n">
        <x:v>5</x:v>
      </x:c>
      <x:c r="H7484" s="6" t="n">
        <x:v>4</x:v>
      </x:c>
      <x:c r="I7484" s="6" t="n">
        <x:f>G7484-H7484</x:f>
        <x:v>1</x:v>
      </x:c>
      <x:c r="J7484" s="6" t="n">
        <x:f>IF(OR(E7484="CANCELED",E7484="SUSPECTED_FRAUD",F7484="Shipping canceled"),0,1)</x:f>
        <x:v>1</x:v>
      </x:c>
      <x:c r="K7484" s="6" t="n">
        <x:f>IF(G7484&gt;H7484,1,0)</x:f>
        <x:v>1</x:v>
      </x:c>
      <x:c r="L7484" s="6" t="n">
        <x:f>J7484*K7484</x:f>
        <x:v>1</x:v>
      </x:c>
    </x:row>
    <x:row r="7485">
      <x:c r="A7485" s="1" t="n">
        <x:v>59755</x:v>
      </x:c>
      <x:c r="B7485" s="5" t="d">
        <x:v>2017-05-22T00:00:00.000Z</x:v>
      </x:c>
      <x:c r="C7485" s="1" t="str">
        <x:v>Standard Class</x:v>
      </x:c>
      <x:c r="D7485" s="1" t="str">
        <x:v>LATAM</x:v>
      </x:c>
      <x:c r="E7485" s="1" t="str">
        <x:v>CLOSED</x:v>
      </x:c>
      <x:c r="F7485" s="1" t="str">
        <x:v>Late delivery</x:v>
      </x:c>
      <x:c r="G7485" s="6" t="n">
        <x:v>6</x:v>
      </x:c>
      <x:c r="H7485" s="6" t="n">
        <x:v>4</x:v>
      </x:c>
      <x:c r="I7485" s="6" t="n">
        <x:f>G7485-H7485</x:f>
        <x:v>2</x:v>
      </x:c>
      <x:c r="J7485" s="6" t="n">
        <x:f>IF(OR(E7485="CANCELED",E7485="SUSPECTED_FRAUD",F7485="Shipping canceled"),0,1)</x:f>
        <x:v>1</x:v>
      </x:c>
      <x:c r="K7485" s="6" t="n">
        <x:f>IF(G7485&gt;H7485,1,0)</x:f>
        <x:v>1</x:v>
      </x:c>
      <x:c r="L7485" s="6" t="n">
        <x:f>J7485*K7485</x:f>
        <x:v>1</x:v>
      </x:c>
    </x:row>
    <x:row r="7486">
      <x:c r="A7486" s="1" t="n">
        <x:v>59762</x:v>
      </x:c>
      <x:c r="B7486" s="5" t="d">
        <x:v>2017-05-22T00:00:00.000Z</x:v>
      </x:c>
      <x:c r="C7486" s="1" t="str">
        <x:v>Standard Class</x:v>
      </x:c>
      <x:c r="D7486" s="1" t="str">
        <x:v>LATAM</x:v>
      </x:c>
      <x:c r="E7486" s="1" t="str">
        <x:v>PROCESSING</x:v>
      </x:c>
      <x:c r="F7486" s="1" t="str">
        <x:v>Advance shipping</x:v>
      </x:c>
      <x:c r="G7486" s="6" t="n">
        <x:v>3</x:v>
      </x:c>
      <x:c r="H7486" s="6" t="n">
        <x:v>4</x:v>
      </x:c>
      <x:c r="I7486" s="6" t="n">
        <x:f>G7486-H7486</x:f>
        <x:v>-1</x:v>
      </x:c>
      <x:c r="J7486" s="6" t="n">
        <x:f>IF(OR(E7486="CANCELED",E7486="SUSPECTED_FRAUD",F7486="Shipping canceled"),0,1)</x:f>
        <x:v>1</x:v>
      </x:c>
      <x:c r="K7486" s="6" t="n">
        <x:f>IF(G7486&gt;H7486,1,0)</x:f>
        <x:v>0</x:v>
      </x:c>
      <x:c r="L7486" s="6" t="n">
        <x:f>J7486*K7486</x:f>
        <x:v>0</x:v>
      </x:c>
    </x:row>
    <x:row r="7487">
      <x:c r="A7487" s="1" t="n">
        <x:v>59775</x:v>
      </x:c>
      <x:c r="B7487" s="5" t="d">
        <x:v>2017-05-22T00:00:00.000Z</x:v>
      </x:c>
      <x:c r="C7487" s="1" t="str">
        <x:v>Standard Class</x:v>
      </x:c>
      <x:c r="D7487" s="1" t="str">
        <x:v>LATAM</x:v>
      </x:c>
      <x:c r="E7487" s="1" t="str">
        <x:v>COMPLETE</x:v>
      </x:c>
      <x:c r="F7487" s="1" t="str">
        <x:v>Late delivery</x:v>
      </x:c>
      <x:c r="G7487" s="6" t="n">
        <x:v>6</x:v>
      </x:c>
      <x:c r="H7487" s="6" t="n">
        <x:v>4</x:v>
      </x:c>
      <x:c r="I7487" s="6" t="n">
        <x:f>G7487-H7487</x:f>
        <x:v>2</x:v>
      </x:c>
      <x:c r="J7487" s="6" t="n">
        <x:f>IF(OR(E7487="CANCELED",E7487="SUSPECTED_FRAUD",F7487="Shipping canceled"),0,1)</x:f>
        <x:v>1</x:v>
      </x:c>
      <x:c r="K7487" s="6" t="n">
        <x:f>IF(G7487&gt;H7487,1,0)</x:f>
        <x:v>1</x:v>
      </x:c>
      <x:c r="L7487" s="6" t="n">
        <x:f>J7487*K7487</x:f>
        <x:v>1</x:v>
      </x:c>
    </x:row>
    <x:row r="7488">
      <x:c r="A7488" s="1" t="n">
        <x:v>59776</x:v>
      </x:c>
      <x:c r="B7488" s="5" t="d">
        <x:v>2017-05-22T00:00:00.000Z</x:v>
      </x:c>
      <x:c r="C7488" s="1" t="str">
        <x:v>Standard Class</x:v>
      </x:c>
      <x:c r="D7488" s="1" t="str">
        <x:v>LATAM</x:v>
      </x:c>
      <x:c r="E7488" s="1" t="str">
        <x:v>COMPLETE</x:v>
      </x:c>
      <x:c r="F7488" s="1" t="str">
        <x:v>Advance shipping</x:v>
      </x:c>
      <x:c r="G7488" s="6" t="n">
        <x:v>2</x:v>
      </x:c>
      <x:c r="H7488" s="6" t="n">
        <x:v>4</x:v>
      </x:c>
      <x:c r="I7488" s="6" t="n">
        <x:f>G7488-H7488</x:f>
        <x:v>-2</x:v>
      </x:c>
      <x:c r="J7488" s="6" t="n">
        <x:f>IF(OR(E7488="CANCELED",E7488="SUSPECTED_FRAUD",F7488="Shipping canceled"),0,1)</x:f>
        <x:v>1</x:v>
      </x:c>
      <x:c r="K7488" s="6" t="n">
        <x:f>IF(G7488&gt;H7488,1,0)</x:f>
        <x:v>0</x:v>
      </x:c>
      <x:c r="L7488" s="6" t="n">
        <x:f>J7488*K7488</x:f>
        <x:v>0</x:v>
      </x:c>
    </x:row>
    <x:row r="7489">
      <x:c r="A7489" s="1" t="n">
        <x:v>59777</x:v>
      </x:c>
      <x:c r="B7489" s="5" t="d">
        <x:v>2017-05-22T00:00:00.000Z</x:v>
      </x:c>
      <x:c r="C7489" s="1" t="str">
        <x:v>Standard Class</x:v>
      </x:c>
      <x:c r="D7489" s="1" t="str">
        <x:v>LATAM</x:v>
      </x:c>
      <x:c r="E7489" s="1" t="str">
        <x:v>COMPLETE</x:v>
      </x:c>
      <x:c r="F7489" s="1" t="str">
        <x:v>Advance shipping</x:v>
      </x:c>
      <x:c r="G7489" s="6" t="n">
        <x:v>3</x:v>
      </x:c>
      <x:c r="H7489" s="6" t="n">
        <x:v>4</x:v>
      </x:c>
      <x:c r="I7489" s="6" t="n">
        <x:f>G7489-H7489</x:f>
        <x:v>-1</x:v>
      </x:c>
      <x:c r="J7489" s="6" t="n">
        <x:f>IF(OR(E7489="CANCELED",E7489="SUSPECTED_FRAUD",F7489="Shipping canceled"),0,1)</x:f>
        <x:v>1</x:v>
      </x:c>
      <x:c r="K7489" s="6" t="n">
        <x:f>IF(G7489&gt;H7489,1,0)</x:f>
        <x:v>0</x:v>
      </x:c>
      <x:c r="L7489" s="6" t="n">
        <x:f>J7489*K7489</x:f>
        <x:v>0</x:v>
      </x:c>
    </x:row>
    <x:row r="7490">
      <x:c r="A7490" s="1" t="n">
        <x:v>59788</x:v>
      </x:c>
      <x:c r="B7490" s="5" t="d">
        <x:v>2017-05-22T00:00:00.000Z</x:v>
      </x:c>
      <x:c r="C7490" s="1" t="str">
        <x:v>Standard Class</x:v>
      </x:c>
      <x:c r="D7490" s="1" t="str">
        <x:v>LATAM</x:v>
      </x:c>
      <x:c r="E7490" s="1" t="str">
        <x:v>COMPLETE</x:v>
      </x:c>
      <x:c r="F7490" s="1" t="str">
        <x:v>Shipping on time</x:v>
      </x:c>
      <x:c r="G7490" s="6" t="n">
        <x:v>4</x:v>
      </x:c>
      <x:c r="H7490" s="6" t="n">
        <x:v>4</x:v>
      </x:c>
      <x:c r="I7490" s="6" t="n">
        <x:f>G7490-H7490</x:f>
        <x:v>0</x:v>
      </x:c>
      <x:c r="J7490" s="6" t="n">
        <x:f>IF(OR(E7490="CANCELED",E7490="SUSPECTED_FRAUD",F7490="Shipping canceled"),0,1)</x:f>
        <x:v>1</x:v>
      </x:c>
      <x:c r="K7490" s="6" t="n">
        <x:f>IF(G7490&gt;H7490,1,0)</x:f>
        <x:v>0</x:v>
      </x:c>
      <x:c r="L7490" s="6" t="n">
        <x:f>J7490*K7490</x:f>
        <x:v>0</x:v>
      </x:c>
    </x:row>
    <x:row r="7491">
      <x:c r="A7491" s="1" t="n">
        <x:v>59827</x:v>
      </x:c>
      <x:c r="B7491" s="5" t="d">
        <x:v>2017-05-23T00:00:00.000Z</x:v>
      </x:c>
      <x:c r="C7491" s="1" t="str">
        <x:v>First Class</x:v>
      </x:c>
      <x:c r="D7491" s="1" t="str">
        <x:v>LATAM</x:v>
      </x:c>
      <x:c r="E7491" s="1" t="str">
        <x:v>PROCESSING</x:v>
      </x:c>
      <x:c r="F7491" s="1" t="str">
        <x:v>Late delivery</x:v>
      </x:c>
      <x:c r="G7491" s="6" t="n">
        <x:v>2</x:v>
      </x:c>
      <x:c r="H7491" s="6" t="n">
        <x:v>1</x:v>
      </x:c>
      <x:c r="I7491" s="6" t="n">
        <x:f>G7491-H7491</x:f>
        <x:v>1</x:v>
      </x:c>
      <x:c r="J7491" s="6" t="n">
        <x:f>IF(OR(E7491="CANCELED",E7491="SUSPECTED_FRAUD",F7491="Shipping canceled"),0,1)</x:f>
        <x:v>1</x:v>
      </x:c>
      <x:c r="K7491" s="6" t="n">
        <x:f>IF(G7491&gt;H7491,1,0)</x:f>
        <x:v>1</x:v>
      </x:c>
      <x:c r="L7491" s="6" t="n">
        <x:f>J7491*K7491</x:f>
        <x:v>1</x:v>
      </x:c>
    </x:row>
    <x:row r="7492">
      <x:c r="A7492" s="1" t="n">
        <x:v>59839</x:v>
      </x:c>
      <x:c r="B7492" s="5" t="d">
        <x:v>2017-05-23T00:00:00.000Z</x:v>
      </x:c>
      <x:c r="C7492" s="1" t="str">
        <x:v>Standard Class</x:v>
      </x:c>
      <x:c r="D7492" s="1" t="str">
        <x:v>LATAM</x:v>
      </x:c>
      <x:c r="E7492" s="1" t="str">
        <x:v>PENDING</x:v>
      </x:c>
      <x:c r="F7492" s="1" t="str">
        <x:v>Late delivery</x:v>
      </x:c>
      <x:c r="G7492" s="6" t="n">
        <x:v>5</x:v>
      </x:c>
      <x:c r="H7492" s="6" t="n">
        <x:v>4</x:v>
      </x:c>
      <x:c r="I7492" s="6" t="n">
        <x:f>G7492-H7492</x:f>
        <x:v>1</x:v>
      </x:c>
      <x:c r="J7492" s="6" t="n">
        <x:f>IF(OR(E7492="CANCELED",E7492="SUSPECTED_FRAUD",F7492="Shipping canceled"),0,1)</x:f>
        <x:v>1</x:v>
      </x:c>
      <x:c r="K7492" s="6" t="n">
        <x:f>IF(G7492&gt;H7492,1,0)</x:f>
        <x:v>1</x:v>
      </x:c>
      <x:c r="L7492" s="6" t="n">
        <x:f>J7492*K7492</x:f>
        <x:v>1</x:v>
      </x:c>
    </x:row>
    <x:row r="7493">
      <x:c r="A7493" s="1" t="n">
        <x:v>59849</x:v>
      </x:c>
      <x:c r="B7493" s="5" t="d">
        <x:v>2017-05-23T00:00:00.000Z</x:v>
      </x:c>
      <x:c r="C7493" s="1" t="str">
        <x:v>Standard Class</x:v>
      </x:c>
      <x:c r="D7493" s="1" t="str">
        <x:v>LATAM</x:v>
      </x:c>
      <x:c r="E7493" s="1" t="str">
        <x:v>PENDING</x:v>
      </x:c>
      <x:c r="F7493" s="1" t="str">
        <x:v>Late delivery</x:v>
      </x:c>
      <x:c r="G7493" s="6" t="n">
        <x:v>5</x:v>
      </x:c>
      <x:c r="H7493" s="6" t="n">
        <x:v>4</x:v>
      </x:c>
      <x:c r="I7493" s="6" t="n">
        <x:f>G7493-H7493</x:f>
        <x:v>1</x:v>
      </x:c>
      <x:c r="J7493" s="6" t="n">
        <x:f>IF(OR(E7493="CANCELED",E7493="SUSPECTED_FRAUD",F7493="Shipping canceled"),0,1)</x:f>
        <x:v>1</x:v>
      </x:c>
      <x:c r="K7493" s="6" t="n">
        <x:f>IF(G7493&gt;H7493,1,0)</x:f>
        <x:v>1</x:v>
      </x:c>
      <x:c r="L7493" s="6" t="n">
        <x:f>J7493*K7493</x:f>
        <x:v>1</x:v>
      </x:c>
    </x:row>
    <x:row r="7494">
      <x:c r="A7494" s="1" t="n">
        <x:v>59858</x:v>
      </x:c>
      <x:c r="B7494" s="5" t="d">
        <x:v>2017-05-23T00:00:00.000Z</x:v>
      </x:c>
      <x:c r="C7494" s="1" t="str">
        <x:v>Standard Class</x:v>
      </x:c>
      <x:c r="D7494" s="1" t="str">
        <x:v>LATAM</x:v>
      </x:c>
      <x:c r="E7494" s="1" t="str">
        <x:v>ON_HOLD</x:v>
      </x:c>
      <x:c r="F7494" s="1" t="str">
        <x:v>Shipping on time</x:v>
      </x:c>
      <x:c r="G7494" s="6" t="n">
        <x:v>4</x:v>
      </x:c>
      <x:c r="H7494" s="6" t="n">
        <x:v>4</x:v>
      </x:c>
      <x:c r="I7494" s="6" t="n">
        <x:f>G7494-H7494</x:f>
        <x:v>0</x:v>
      </x:c>
      <x:c r="J7494" s="6" t="n">
        <x:f>IF(OR(E7494="CANCELED",E7494="SUSPECTED_FRAUD",F7494="Shipping canceled"),0,1)</x:f>
        <x:v>1</x:v>
      </x:c>
      <x:c r="K7494" s="6" t="n">
        <x:f>IF(G7494&gt;H7494,1,0)</x:f>
        <x:v>0</x:v>
      </x:c>
      <x:c r="L7494" s="6" t="n">
        <x:f>J7494*K7494</x:f>
        <x:v>0</x:v>
      </x:c>
    </x:row>
    <x:row r="7495">
      <x:c r="A7495" s="1" t="n">
        <x:v>59862</x:v>
      </x:c>
      <x:c r="B7495" s="5" t="d">
        <x:v>2017-05-23T00:00:00.000Z</x:v>
      </x:c>
      <x:c r="C7495" s="1" t="str">
        <x:v>Standard Class</x:v>
      </x:c>
      <x:c r="D7495" s="1" t="str">
        <x:v>LATAM</x:v>
      </x:c>
      <x:c r="E7495" s="1" t="str">
        <x:v>ON_HOLD</x:v>
      </x:c>
      <x:c r="F7495" s="1" t="str">
        <x:v>Advance shipping</x:v>
      </x:c>
      <x:c r="G7495" s="6" t="n">
        <x:v>3</x:v>
      </x:c>
      <x:c r="H7495" s="6" t="n">
        <x:v>4</x:v>
      </x:c>
      <x:c r="I7495" s="6" t="n">
        <x:f>G7495-H7495</x:f>
        <x:v>-1</x:v>
      </x:c>
      <x:c r="J7495" s="6" t="n">
        <x:f>IF(OR(E7495="CANCELED",E7495="SUSPECTED_FRAUD",F7495="Shipping canceled"),0,1)</x:f>
        <x:v>1</x:v>
      </x:c>
      <x:c r="K7495" s="6" t="n">
        <x:f>IF(G7495&gt;H7495,1,0)</x:f>
        <x:v>0</x:v>
      </x:c>
      <x:c r="L7495" s="6" t="n">
        <x:f>J7495*K7495</x:f>
        <x:v>0</x:v>
      </x:c>
    </x:row>
    <x:row r="7496">
      <x:c r="A7496" s="1" t="n">
        <x:v>59902</x:v>
      </x:c>
      <x:c r="B7496" s="5" t="d">
        <x:v>2017-05-24T00:00:00.000Z</x:v>
      </x:c>
      <x:c r="C7496" s="1" t="str">
        <x:v>Standard Class</x:v>
      </x:c>
      <x:c r="D7496" s="1" t="str">
        <x:v>LATAM</x:v>
      </x:c>
      <x:c r="E7496" s="1" t="str">
        <x:v>ON_HOLD</x:v>
      </x:c>
      <x:c r="F7496" s="1" t="str">
        <x:v>Advance shipping</x:v>
      </x:c>
      <x:c r="G7496" s="6" t="n">
        <x:v>3</x:v>
      </x:c>
      <x:c r="H7496" s="6" t="n">
        <x:v>4</x:v>
      </x:c>
      <x:c r="I7496" s="6" t="n">
        <x:f>G7496-H7496</x:f>
        <x:v>-1</x:v>
      </x:c>
      <x:c r="J7496" s="6" t="n">
        <x:f>IF(OR(E7496="CANCELED",E7496="SUSPECTED_FRAUD",F7496="Shipping canceled"),0,1)</x:f>
        <x:v>1</x:v>
      </x:c>
      <x:c r="K7496" s="6" t="n">
        <x:f>IF(G7496&gt;H7496,1,0)</x:f>
        <x:v>0</x:v>
      </x:c>
      <x:c r="L7496" s="6" t="n">
        <x:f>J7496*K7496</x:f>
        <x:v>0</x:v>
      </x:c>
    </x:row>
    <x:row r="7497">
      <x:c r="A7497" s="1" t="n">
        <x:v>59913</x:v>
      </x:c>
      <x:c r="B7497" s="5" t="d">
        <x:v>2017-05-24T00:00:00.000Z</x:v>
      </x:c>
      <x:c r="C7497" s="1" t="str">
        <x:v>Standard Class</x:v>
      </x:c>
      <x:c r="D7497" s="1" t="str">
        <x:v>LATAM</x:v>
      </x:c>
      <x:c r="E7497" s="1" t="str">
        <x:v>CANCELED</x:v>
      </x:c>
      <x:c r="F7497" s="1" t="str">
        <x:v>Shipping canceled</x:v>
      </x:c>
      <x:c r="G7497" s="6" t="n">
        <x:v>4</x:v>
      </x:c>
      <x:c r="H7497" s="6" t="n">
        <x:v>4</x:v>
      </x:c>
      <x:c r="I7497" s="6" t="n">
        <x:f>G7497-H7497</x:f>
        <x:v>0</x:v>
      </x:c>
      <x:c r="J7497" s="6" t="n">
        <x:f>IF(OR(E7497="CANCELED",E7497="SUSPECTED_FRAUD",F7497="Shipping canceled"),0,1)</x:f>
        <x:v>0</x:v>
      </x:c>
      <x:c r="K7497" s="6" t="n">
        <x:f>IF(G7497&gt;H7497,1,0)</x:f>
        <x:v>0</x:v>
      </x:c>
      <x:c r="L7497" s="6" t="n">
        <x:f>J7497*K7497</x:f>
        <x:v>0</x:v>
      </x:c>
    </x:row>
    <x:row r="7498">
      <x:c r="A7498" s="1" t="n">
        <x:v>59937</x:v>
      </x:c>
      <x:c r="B7498" s="5" t="d">
        <x:v>2017-05-24T00:00:00.000Z</x:v>
      </x:c>
      <x:c r="C7498" s="1" t="str">
        <x:v>Second Class</x:v>
      </x:c>
      <x:c r="D7498" s="1" t="str">
        <x:v>LATAM</x:v>
      </x:c>
      <x:c r="E7498" s="1" t="str">
        <x:v>CLOSED</x:v>
      </x:c>
      <x:c r="F7498" s="1" t="str">
        <x:v>Late delivery</x:v>
      </x:c>
      <x:c r="G7498" s="6" t="n">
        <x:v>3</x:v>
      </x:c>
      <x:c r="H7498" s="6" t="n">
        <x:v>2</x:v>
      </x:c>
      <x:c r="I7498" s="6" t="n">
        <x:f>G7498-H7498</x:f>
        <x:v>1</x:v>
      </x:c>
      <x:c r="J7498" s="6" t="n">
        <x:f>IF(OR(E7498="CANCELED",E7498="SUSPECTED_FRAUD",F7498="Shipping canceled"),0,1)</x:f>
        <x:v>1</x:v>
      </x:c>
      <x:c r="K7498" s="6" t="n">
        <x:f>IF(G7498&gt;H7498,1,0)</x:f>
        <x:v>1</x:v>
      </x:c>
      <x:c r="L7498" s="6" t="n">
        <x:f>J7498*K7498</x:f>
        <x:v>1</x:v>
      </x:c>
    </x:row>
    <x:row r="7499">
      <x:c r="A7499" s="1" t="n">
        <x:v>59946</x:v>
      </x:c>
      <x:c r="B7499" s="5" t="d">
        <x:v>2017-05-25T00:00:00.000Z</x:v>
      </x:c>
      <x:c r="C7499" s="1" t="str">
        <x:v>Standard Class</x:v>
      </x:c>
      <x:c r="D7499" s="1" t="str">
        <x:v>LATAM</x:v>
      </x:c>
      <x:c r="E7499" s="1" t="str">
        <x:v>CLOSED</x:v>
      </x:c>
      <x:c r="F7499" s="1" t="str">
        <x:v>Advance shipping</x:v>
      </x:c>
      <x:c r="G7499" s="6" t="n">
        <x:v>2</x:v>
      </x:c>
      <x:c r="H7499" s="6" t="n">
        <x:v>4</x:v>
      </x:c>
      <x:c r="I7499" s="6" t="n">
        <x:f>G7499-H7499</x:f>
        <x:v>-2</x:v>
      </x:c>
      <x:c r="J7499" s="6" t="n">
        <x:f>IF(OR(E7499="CANCELED",E7499="SUSPECTED_FRAUD",F7499="Shipping canceled"),0,1)</x:f>
        <x:v>1</x:v>
      </x:c>
      <x:c r="K7499" s="6" t="n">
        <x:f>IF(G7499&gt;H7499,1,0)</x:f>
        <x:v>0</x:v>
      </x:c>
      <x:c r="L7499" s="6" t="n">
        <x:f>J7499*K7499</x:f>
        <x:v>0</x:v>
      </x:c>
    </x:row>
    <x:row r="7500">
      <x:c r="A7500" s="1" t="n">
        <x:v>59951</x:v>
      </x:c>
      <x:c r="B7500" s="5" t="d">
        <x:v>2017-05-25T00:00:00.000Z</x:v>
      </x:c>
      <x:c r="C7500" s="1" t="str">
        <x:v>Standard Class</x:v>
      </x:c>
      <x:c r="D7500" s="1" t="str">
        <x:v>LATAM</x:v>
      </x:c>
      <x:c r="E7500" s="1" t="str">
        <x:v>COMPLETE</x:v>
      </x:c>
      <x:c r="F7500" s="1" t="str">
        <x:v>Advance shipping</x:v>
      </x:c>
      <x:c r="G7500" s="6" t="n">
        <x:v>2</x:v>
      </x:c>
      <x:c r="H7500" s="6" t="n">
        <x:v>4</x:v>
      </x:c>
      <x:c r="I7500" s="6" t="n">
        <x:f>G7500-H7500</x:f>
        <x:v>-2</x:v>
      </x:c>
      <x:c r="J7500" s="6" t="n">
        <x:f>IF(OR(E7500="CANCELED",E7500="SUSPECTED_FRAUD",F7500="Shipping canceled"),0,1)</x:f>
        <x:v>1</x:v>
      </x:c>
      <x:c r="K7500" s="6" t="n">
        <x:f>IF(G7500&gt;H7500,1,0)</x:f>
        <x:v>0</x:v>
      </x:c>
      <x:c r="L7500" s="6" t="n">
        <x:f>J7500*K7500</x:f>
        <x:v>0</x:v>
      </x:c>
    </x:row>
    <x:row r="7501">
      <x:c r="A7501" s="1" t="n">
        <x:v>59953</x:v>
      </x:c>
      <x:c r="B7501" s="5" t="d">
        <x:v>2017-05-25T00:00:00.000Z</x:v>
      </x:c>
      <x:c r="C7501" s="1" t="str">
        <x:v>Standard Class</x:v>
      </x:c>
      <x:c r="D7501" s="1" t="str">
        <x:v>LATAM</x:v>
      </x:c>
      <x:c r="E7501" s="1" t="str">
        <x:v>COMPLETE</x:v>
      </x:c>
      <x:c r="F7501" s="1" t="str">
        <x:v>Shipping on time</x:v>
      </x:c>
      <x:c r="G7501" s="6" t="n">
        <x:v>4</x:v>
      </x:c>
      <x:c r="H7501" s="6" t="n">
        <x:v>4</x:v>
      </x:c>
      <x:c r="I7501" s="6" t="n">
        <x:f>G7501-H7501</x:f>
        <x:v>0</x:v>
      </x:c>
      <x:c r="J7501" s="6" t="n">
        <x:f>IF(OR(E7501="CANCELED",E7501="SUSPECTED_FRAUD",F7501="Shipping canceled"),0,1)</x:f>
        <x:v>1</x:v>
      </x:c>
      <x:c r="K7501" s="6" t="n">
        <x:f>IF(G7501&gt;H7501,1,0)</x:f>
        <x:v>0</x:v>
      </x:c>
      <x:c r="L7501" s="6" t="n">
        <x:f>J7501*K7501</x:f>
        <x:v>0</x:v>
      </x:c>
    </x:row>
    <x:row r="7502">
      <x:c r="A7502" s="1" t="n">
        <x:v>59958</x:v>
      </x:c>
      <x:c r="B7502" s="5" t="d">
        <x:v>2017-05-25T00:00:00.000Z</x:v>
      </x:c>
      <x:c r="C7502" s="1" t="str">
        <x:v>First Class</x:v>
      </x:c>
      <x:c r="D7502" s="1" t="str">
        <x:v>LATAM</x:v>
      </x:c>
      <x:c r="E7502" s="1" t="str">
        <x:v>CLOSED</x:v>
      </x:c>
      <x:c r="F7502" s="1" t="str">
        <x:v>Late delivery</x:v>
      </x:c>
      <x:c r="G7502" s="6" t="n">
        <x:v>2</x:v>
      </x:c>
      <x:c r="H7502" s="6" t="n">
        <x:v>1</x:v>
      </x:c>
      <x:c r="I7502" s="6" t="n">
        <x:f>G7502-H7502</x:f>
        <x:v>1</x:v>
      </x:c>
      <x:c r="J7502" s="6" t="n">
        <x:f>IF(OR(E7502="CANCELED",E7502="SUSPECTED_FRAUD",F7502="Shipping canceled"),0,1)</x:f>
        <x:v>1</x:v>
      </x:c>
      <x:c r="K7502" s="6" t="n">
        <x:f>IF(G7502&gt;H7502,1,0)</x:f>
        <x:v>1</x:v>
      </x:c>
      <x:c r="L7502" s="6" t="n">
        <x:f>J7502*K7502</x:f>
        <x:v>1</x:v>
      </x:c>
    </x:row>
    <x:row r="7503">
      <x:c r="A7503" s="1" t="n">
        <x:v>59961</x:v>
      </x:c>
      <x:c r="B7503" s="5" t="d">
        <x:v>2017-05-25T00:00:00.000Z</x:v>
      </x:c>
      <x:c r="C7503" s="1" t="str">
        <x:v>First Class</x:v>
      </x:c>
      <x:c r="D7503" s="1" t="str">
        <x:v>LATAM</x:v>
      </x:c>
      <x:c r="E7503" s="1" t="str">
        <x:v>CLOSED</x:v>
      </x:c>
      <x:c r="F7503" s="1" t="str">
        <x:v>Late delivery</x:v>
      </x:c>
      <x:c r="G7503" s="6" t="n">
        <x:v>2</x:v>
      </x:c>
      <x:c r="H7503" s="6" t="n">
        <x:v>1</x:v>
      </x:c>
      <x:c r="I7503" s="6" t="n">
        <x:f>G7503-H7503</x:f>
        <x:v>1</x:v>
      </x:c>
      <x:c r="J7503" s="6" t="n">
        <x:f>IF(OR(E7503="CANCELED",E7503="SUSPECTED_FRAUD",F7503="Shipping canceled"),0,1)</x:f>
        <x:v>1</x:v>
      </x:c>
      <x:c r="K7503" s="6" t="n">
        <x:f>IF(G7503&gt;H7503,1,0)</x:f>
        <x:v>1</x:v>
      </x:c>
      <x:c r="L7503" s="6" t="n">
        <x:f>J7503*K7503</x:f>
        <x:v>1</x:v>
      </x:c>
    </x:row>
    <x:row r="7504">
      <x:c r="A7504" s="1" t="n">
        <x:v>59965</x:v>
      </x:c>
      <x:c r="B7504" s="5" t="d">
        <x:v>2017-05-25T00:00:00.000Z</x:v>
      </x:c>
      <x:c r="C7504" s="1" t="str">
        <x:v>Standard Class</x:v>
      </x:c>
      <x:c r="D7504" s="1" t="str">
        <x:v>LATAM</x:v>
      </x:c>
      <x:c r="E7504" s="1" t="str">
        <x:v>COMPLETE</x:v>
      </x:c>
      <x:c r="F7504" s="1" t="str">
        <x:v>Late delivery</x:v>
      </x:c>
      <x:c r="G7504" s="6" t="n">
        <x:v>6</x:v>
      </x:c>
      <x:c r="H7504" s="6" t="n">
        <x:v>4</x:v>
      </x:c>
      <x:c r="I7504" s="6" t="n">
        <x:f>G7504-H7504</x:f>
        <x:v>2</x:v>
      </x:c>
      <x:c r="J7504" s="6" t="n">
        <x:f>IF(OR(E7504="CANCELED",E7504="SUSPECTED_FRAUD",F7504="Shipping canceled"),0,1)</x:f>
        <x:v>1</x:v>
      </x:c>
      <x:c r="K7504" s="6" t="n">
        <x:f>IF(G7504&gt;H7504,1,0)</x:f>
        <x:v>1</x:v>
      </x:c>
      <x:c r="L7504" s="6" t="n">
        <x:f>J7504*K7504</x:f>
        <x:v>1</x:v>
      </x:c>
    </x:row>
    <x:row r="7505">
      <x:c r="A7505" s="1" t="n">
        <x:v>59969</x:v>
      </x:c>
      <x:c r="B7505" s="5" t="d">
        <x:v>2017-05-25T00:00:00.000Z</x:v>
      </x:c>
      <x:c r="C7505" s="1" t="str">
        <x:v>Standard Class</x:v>
      </x:c>
      <x:c r="D7505" s="1" t="str">
        <x:v>LATAM</x:v>
      </x:c>
      <x:c r="E7505" s="1" t="str">
        <x:v>PENDING</x:v>
      </x:c>
      <x:c r="F7505" s="1" t="str">
        <x:v>Late delivery</x:v>
      </x:c>
      <x:c r="G7505" s="6" t="n">
        <x:v>5</x:v>
      </x:c>
      <x:c r="H7505" s="6" t="n">
        <x:v>4</x:v>
      </x:c>
      <x:c r="I7505" s="6" t="n">
        <x:f>G7505-H7505</x:f>
        <x:v>1</x:v>
      </x:c>
      <x:c r="J7505" s="6" t="n">
        <x:f>IF(OR(E7505="CANCELED",E7505="SUSPECTED_FRAUD",F7505="Shipping canceled"),0,1)</x:f>
        <x:v>1</x:v>
      </x:c>
      <x:c r="K7505" s="6" t="n">
        <x:f>IF(G7505&gt;H7505,1,0)</x:f>
        <x:v>1</x:v>
      </x:c>
      <x:c r="L7505" s="6" t="n">
        <x:f>J7505*K7505</x:f>
        <x:v>1</x:v>
      </x:c>
    </x:row>
    <x:row r="7506">
      <x:c r="A7506" s="1" t="n">
        <x:v>59975</x:v>
      </x:c>
      <x:c r="B7506" s="5" t="d">
        <x:v>2017-05-25T00:00:00.000Z</x:v>
      </x:c>
      <x:c r="C7506" s="1" t="str">
        <x:v>Standard Class</x:v>
      </x:c>
      <x:c r="D7506" s="1" t="str">
        <x:v>LATAM</x:v>
      </x:c>
      <x:c r="E7506" s="1" t="str">
        <x:v>COMPLETE</x:v>
      </x:c>
      <x:c r="F7506" s="1" t="str">
        <x:v>Late delivery</x:v>
      </x:c>
      <x:c r="G7506" s="6" t="n">
        <x:v>6</x:v>
      </x:c>
      <x:c r="H7506" s="6" t="n">
        <x:v>4</x:v>
      </x:c>
      <x:c r="I7506" s="6" t="n">
        <x:f>G7506-H7506</x:f>
        <x:v>2</x:v>
      </x:c>
      <x:c r="J7506" s="6" t="n">
        <x:f>IF(OR(E7506="CANCELED",E7506="SUSPECTED_FRAUD",F7506="Shipping canceled"),0,1)</x:f>
        <x:v>1</x:v>
      </x:c>
      <x:c r="K7506" s="6" t="n">
        <x:f>IF(G7506&gt;H7506,1,0)</x:f>
        <x:v>1</x:v>
      </x:c>
      <x:c r="L7506" s="6" t="n">
        <x:f>J7506*K7506</x:f>
        <x:v>1</x:v>
      </x:c>
    </x:row>
    <x:row r="7507">
      <x:c r="A7507" s="1" t="n">
        <x:v>59977</x:v>
      </x:c>
      <x:c r="B7507" s="5" t="d">
        <x:v>2017-05-25T00:00:00.000Z</x:v>
      </x:c>
      <x:c r="C7507" s="1" t="str">
        <x:v>Standard Class</x:v>
      </x:c>
      <x:c r="D7507" s="1" t="str">
        <x:v>LATAM</x:v>
      </x:c>
      <x:c r="E7507" s="1" t="str">
        <x:v>COMPLETE</x:v>
      </x:c>
      <x:c r="F7507" s="1" t="str">
        <x:v>Advance shipping</x:v>
      </x:c>
      <x:c r="G7507" s="6" t="n">
        <x:v>3</x:v>
      </x:c>
      <x:c r="H7507" s="6" t="n">
        <x:v>4</x:v>
      </x:c>
      <x:c r="I7507" s="6" t="n">
        <x:f>G7507-H7507</x:f>
        <x:v>-1</x:v>
      </x:c>
      <x:c r="J7507" s="6" t="n">
        <x:f>IF(OR(E7507="CANCELED",E7507="SUSPECTED_FRAUD",F7507="Shipping canceled"),0,1)</x:f>
        <x:v>1</x:v>
      </x:c>
      <x:c r="K7507" s="6" t="n">
        <x:f>IF(G7507&gt;H7507,1,0)</x:f>
        <x:v>0</x:v>
      </x:c>
      <x:c r="L7507" s="6" t="n">
        <x:f>J7507*K7507</x:f>
        <x:v>0</x:v>
      </x:c>
    </x:row>
    <x:row r="7508">
      <x:c r="A7508" s="1" t="n">
        <x:v>59981</x:v>
      </x:c>
      <x:c r="B7508" s="5" t="d">
        <x:v>2017-05-25T00:00:00.000Z</x:v>
      </x:c>
      <x:c r="C7508" s="1" t="str">
        <x:v>Standard Class</x:v>
      </x:c>
      <x:c r="D7508" s="1" t="str">
        <x:v>LATAM</x:v>
      </x:c>
      <x:c r="E7508" s="1" t="str">
        <x:v>PENDING</x:v>
      </x:c>
      <x:c r="F7508" s="1" t="str">
        <x:v>Advance shipping</x:v>
      </x:c>
      <x:c r="G7508" s="6" t="n">
        <x:v>2</x:v>
      </x:c>
      <x:c r="H7508" s="6" t="n">
        <x:v>4</x:v>
      </x:c>
      <x:c r="I7508" s="6" t="n">
        <x:f>G7508-H7508</x:f>
        <x:v>-2</x:v>
      </x:c>
      <x:c r="J7508" s="6" t="n">
        <x:f>IF(OR(E7508="CANCELED",E7508="SUSPECTED_FRAUD",F7508="Shipping canceled"),0,1)</x:f>
        <x:v>1</x:v>
      </x:c>
      <x:c r="K7508" s="6" t="n">
        <x:f>IF(G7508&gt;H7508,1,0)</x:f>
        <x:v>0</x:v>
      </x:c>
      <x:c r="L7508" s="6" t="n">
        <x:f>J7508*K7508</x:f>
        <x:v>0</x:v>
      </x:c>
    </x:row>
    <x:row r="7509">
      <x:c r="A7509" s="1" t="n">
        <x:v>59989</x:v>
      </x:c>
      <x:c r="B7509" s="5" t="d">
        <x:v>2017-05-25T00:00:00.000Z</x:v>
      </x:c>
      <x:c r="C7509" s="1" t="str">
        <x:v>Second Class</x:v>
      </x:c>
      <x:c r="D7509" s="1" t="str">
        <x:v>LATAM</x:v>
      </x:c>
      <x:c r="E7509" s="1" t="str">
        <x:v>PENDING</x:v>
      </x:c>
      <x:c r="F7509" s="1" t="str">
        <x:v>Late delivery</x:v>
      </x:c>
      <x:c r="G7509" s="6" t="n">
        <x:v>5</x:v>
      </x:c>
      <x:c r="H7509" s="6" t="n">
        <x:v>2</x:v>
      </x:c>
      <x:c r="I7509" s="6" t="n">
        <x:f>G7509-H7509</x:f>
        <x:v>3</x:v>
      </x:c>
      <x:c r="J7509" s="6" t="n">
        <x:f>IF(OR(E7509="CANCELED",E7509="SUSPECTED_FRAUD",F7509="Shipping canceled"),0,1)</x:f>
        <x:v>1</x:v>
      </x:c>
      <x:c r="K7509" s="6" t="n">
        <x:f>IF(G7509&gt;H7509,1,0)</x:f>
        <x:v>1</x:v>
      </x:c>
      <x:c r="L7509" s="6" t="n">
        <x:f>J7509*K7509</x:f>
        <x:v>1</x:v>
      </x:c>
    </x:row>
    <x:row r="7510">
      <x:c r="A7510" s="1" t="n">
        <x:v>59995</x:v>
      </x:c>
      <x:c r="B7510" s="5" t="d">
        <x:v>2017-05-25T00:00:00.000Z</x:v>
      </x:c>
      <x:c r="C7510" s="1" t="str">
        <x:v>Standard Class</x:v>
      </x:c>
      <x:c r="D7510" s="1" t="str">
        <x:v>LATAM</x:v>
      </x:c>
      <x:c r="E7510" s="1" t="str">
        <x:v>ON_HOLD</x:v>
      </x:c>
      <x:c r="F7510" s="1" t="str">
        <x:v>Late delivery</x:v>
      </x:c>
      <x:c r="G7510" s="6" t="n">
        <x:v>6</x:v>
      </x:c>
      <x:c r="H7510" s="6" t="n">
        <x:v>4</x:v>
      </x:c>
      <x:c r="I7510" s="6" t="n">
        <x:f>G7510-H7510</x:f>
        <x:v>2</x:v>
      </x:c>
      <x:c r="J7510" s="6" t="n">
        <x:f>IF(OR(E7510="CANCELED",E7510="SUSPECTED_FRAUD",F7510="Shipping canceled"),0,1)</x:f>
        <x:v>1</x:v>
      </x:c>
      <x:c r="K7510" s="6" t="n">
        <x:f>IF(G7510&gt;H7510,1,0)</x:f>
        <x:v>1</x:v>
      </x:c>
      <x:c r="L7510" s="6" t="n">
        <x:f>J7510*K7510</x:f>
        <x:v>1</x:v>
      </x:c>
    </x:row>
    <x:row r="7511">
      <x:c r="A7511" s="1" t="n">
        <x:v>59996</x:v>
      </x:c>
      <x:c r="B7511" s="5" t="d">
        <x:v>2017-05-25T00:00:00.000Z</x:v>
      </x:c>
      <x:c r="C7511" s="1" t="str">
        <x:v>Standard Class</x:v>
      </x:c>
      <x:c r="D7511" s="1" t="str">
        <x:v>LATAM</x:v>
      </x:c>
      <x:c r="E7511" s="1" t="str">
        <x:v>CLOSED</x:v>
      </x:c>
      <x:c r="F7511" s="1" t="str">
        <x:v>Advance shipping</x:v>
      </x:c>
      <x:c r="G7511" s="6" t="n">
        <x:v>2</x:v>
      </x:c>
      <x:c r="H7511" s="6" t="n">
        <x:v>4</x:v>
      </x:c>
      <x:c r="I7511" s="6" t="n">
        <x:f>G7511-H7511</x:f>
        <x:v>-2</x:v>
      </x:c>
      <x:c r="J7511" s="6" t="n">
        <x:f>IF(OR(E7511="CANCELED",E7511="SUSPECTED_FRAUD",F7511="Shipping canceled"),0,1)</x:f>
        <x:v>1</x:v>
      </x:c>
      <x:c r="K7511" s="6" t="n">
        <x:f>IF(G7511&gt;H7511,1,0)</x:f>
        <x:v>0</x:v>
      </x:c>
      <x:c r="L7511" s="6" t="n">
        <x:f>J7511*K7511</x:f>
        <x:v>0</x:v>
      </x:c>
    </x:row>
    <x:row r="7512">
      <x:c r="A7512" s="1" t="n">
        <x:v>60010</x:v>
      </x:c>
      <x:c r="B7512" s="5" t="d">
        <x:v>2017-05-25T00:00:00.000Z</x:v>
      </x:c>
      <x:c r="C7512" s="1" t="str">
        <x:v>Standard Class</x:v>
      </x:c>
      <x:c r="D7512" s="1" t="str">
        <x:v>LATAM</x:v>
      </x:c>
      <x:c r="E7512" s="1" t="str">
        <x:v>COMPLETE</x:v>
      </x:c>
      <x:c r="F7512" s="1" t="str">
        <x:v>Late delivery</x:v>
      </x:c>
      <x:c r="G7512" s="6" t="n">
        <x:v>6</x:v>
      </x:c>
      <x:c r="H7512" s="6" t="n">
        <x:v>4</x:v>
      </x:c>
      <x:c r="I7512" s="6" t="n">
        <x:f>G7512-H7512</x:f>
        <x:v>2</x:v>
      </x:c>
      <x:c r="J7512" s="6" t="n">
        <x:f>IF(OR(E7512="CANCELED",E7512="SUSPECTED_FRAUD",F7512="Shipping canceled"),0,1)</x:f>
        <x:v>1</x:v>
      </x:c>
      <x:c r="K7512" s="6" t="n">
        <x:f>IF(G7512&gt;H7512,1,0)</x:f>
        <x:v>1</x:v>
      </x:c>
      <x:c r="L7512" s="6" t="n">
        <x:f>J7512*K7512</x:f>
        <x:v>1</x:v>
      </x:c>
    </x:row>
    <x:row r="7513">
      <x:c r="A7513" s="1" t="n">
        <x:v>60016</x:v>
      </x:c>
      <x:c r="B7513" s="5" t="d">
        <x:v>2017-05-26T00:00:00.000Z</x:v>
      </x:c>
      <x:c r="C7513" s="1" t="str">
        <x:v>Standard Class</x:v>
      </x:c>
      <x:c r="D7513" s="1" t="str">
        <x:v>LATAM</x:v>
      </x:c>
      <x:c r="E7513" s="1" t="str">
        <x:v>COMPLETE</x:v>
      </x:c>
      <x:c r="F7513" s="1" t="str">
        <x:v>Advance shipping</x:v>
      </x:c>
      <x:c r="G7513" s="6" t="n">
        <x:v>2</x:v>
      </x:c>
      <x:c r="H7513" s="6" t="n">
        <x:v>4</x:v>
      </x:c>
      <x:c r="I7513" s="6" t="n">
        <x:f>G7513-H7513</x:f>
        <x:v>-2</x:v>
      </x:c>
      <x:c r="J7513" s="6" t="n">
        <x:f>IF(OR(E7513="CANCELED",E7513="SUSPECTED_FRAUD",F7513="Shipping canceled"),0,1)</x:f>
        <x:v>1</x:v>
      </x:c>
      <x:c r="K7513" s="6" t="n">
        <x:f>IF(G7513&gt;H7513,1,0)</x:f>
        <x:v>0</x:v>
      </x:c>
      <x:c r="L7513" s="6" t="n">
        <x:f>J7513*K7513</x:f>
        <x:v>0</x:v>
      </x:c>
    </x:row>
    <x:row r="7514">
      <x:c r="A7514" s="1" t="n">
        <x:v>60017</x:v>
      </x:c>
      <x:c r="B7514" s="5" t="d">
        <x:v>2017-05-26T00:00:00.000Z</x:v>
      </x:c>
      <x:c r="C7514" s="1" t="str">
        <x:v>Standard Class</x:v>
      </x:c>
      <x:c r="D7514" s="1" t="str">
        <x:v>LATAM</x:v>
      </x:c>
      <x:c r="E7514" s="1" t="str">
        <x:v>CLOSED</x:v>
      </x:c>
      <x:c r="F7514" s="1" t="str">
        <x:v>Advance shipping</x:v>
      </x:c>
      <x:c r="G7514" s="6" t="n">
        <x:v>3</x:v>
      </x:c>
      <x:c r="H7514" s="6" t="n">
        <x:v>4</x:v>
      </x:c>
      <x:c r="I7514" s="6" t="n">
        <x:f>G7514-H7514</x:f>
        <x:v>-1</x:v>
      </x:c>
      <x:c r="J7514" s="6" t="n">
        <x:f>IF(OR(E7514="CANCELED",E7514="SUSPECTED_FRAUD",F7514="Shipping canceled"),0,1)</x:f>
        <x:v>1</x:v>
      </x:c>
      <x:c r="K7514" s="6" t="n">
        <x:f>IF(G7514&gt;H7514,1,0)</x:f>
        <x:v>0</x:v>
      </x:c>
      <x:c r="L7514" s="6" t="n">
        <x:f>J7514*K7514</x:f>
        <x:v>0</x:v>
      </x:c>
    </x:row>
    <x:row r="7515">
      <x:c r="A7515" s="1" t="n">
        <x:v>60018</x:v>
      </x:c>
      <x:c r="B7515" s="5" t="d">
        <x:v>2017-05-26T00:00:00.000Z</x:v>
      </x:c>
      <x:c r="C7515" s="1" t="str">
        <x:v>Standard Class</x:v>
      </x:c>
      <x:c r="D7515" s="1" t="str">
        <x:v>LATAM</x:v>
      </x:c>
      <x:c r="E7515" s="1" t="str">
        <x:v>SUSPECTED_FRAUD</x:v>
      </x:c>
      <x:c r="F7515" s="1" t="str">
        <x:v>Shipping canceled</x:v>
      </x:c>
      <x:c r="G7515" s="6" t="n">
        <x:v>4</x:v>
      </x:c>
      <x:c r="H7515" s="6" t="n">
        <x:v>4</x:v>
      </x:c>
      <x:c r="I7515" s="6" t="n">
        <x:f>G7515-H7515</x:f>
        <x:v>0</x:v>
      </x:c>
      <x:c r="J7515" s="6" t="n">
        <x:f>IF(OR(E7515="CANCELED",E7515="SUSPECTED_FRAUD",F7515="Shipping canceled"),0,1)</x:f>
        <x:v>0</x:v>
      </x:c>
      <x:c r="K7515" s="6" t="n">
        <x:f>IF(G7515&gt;H7515,1,0)</x:f>
        <x:v>0</x:v>
      </x:c>
      <x:c r="L7515" s="6" t="n">
        <x:f>J7515*K7515</x:f>
        <x:v>0</x:v>
      </x:c>
    </x:row>
    <x:row r="7516">
      <x:c r="A7516" s="1" t="n">
        <x:v>60019</x:v>
      </x:c>
      <x:c r="B7516" s="5" t="d">
        <x:v>2017-05-26T00:00:00.000Z</x:v>
      </x:c>
      <x:c r="C7516" s="1" t="str">
        <x:v>Standard Class</x:v>
      </x:c>
      <x:c r="D7516" s="1" t="str">
        <x:v>LATAM</x:v>
      </x:c>
      <x:c r="E7516" s="1" t="str">
        <x:v>COMPLETE</x:v>
      </x:c>
      <x:c r="F7516" s="1" t="str">
        <x:v>Late delivery</x:v>
      </x:c>
      <x:c r="G7516" s="6" t="n">
        <x:v>5</x:v>
      </x:c>
      <x:c r="H7516" s="6" t="n">
        <x:v>4</x:v>
      </x:c>
      <x:c r="I7516" s="6" t="n">
        <x:f>G7516-H7516</x:f>
        <x:v>1</x:v>
      </x:c>
      <x:c r="J7516" s="6" t="n">
        <x:f>IF(OR(E7516="CANCELED",E7516="SUSPECTED_FRAUD",F7516="Shipping canceled"),0,1)</x:f>
        <x:v>1</x:v>
      </x:c>
      <x:c r="K7516" s="6" t="n">
        <x:f>IF(G7516&gt;H7516,1,0)</x:f>
        <x:v>1</x:v>
      </x:c>
      <x:c r="L7516" s="6" t="n">
        <x:f>J7516*K7516</x:f>
        <x:v>1</x:v>
      </x:c>
    </x:row>
    <x:row r="7517">
      <x:c r="A7517" s="1" t="n">
        <x:v>60033</x:v>
      </x:c>
      <x:c r="B7517" s="5" t="d">
        <x:v>2017-05-26T00:00:00.000Z</x:v>
      </x:c>
      <x:c r="C7517" s="1" t="str">
        <x:v>Standard Class</x:v>
      </x:c>
      <x:c r="D7517" s="1" t="str">
        <x:v>LATAM</x:v>
      </x:c>
      <x:c r="E7517" s="1" t="str">
        <x:v>COMPLETE</x:v>
      </x:c>
      <x:c r="F7517" s="1" t="str">
        <x:v>Shipping on time</x:v>
      </x:c>
      <x:c r="G7517" s="6" t="n">
        <x:v>4</x:v>
      </x:c>
      <x:c r="H7517" s="6" t="n">
        <x:v>4</x:v>
      </x:c>
      <x:c r="I7517" s="6" t="n">
        <x:f>G7517-H7517</x:f>
        <x:v>0</x:v>
      </x:c>
      <x:c r="J7517" s="6" t="n">
        <x:f>IF(OR(E7517="CANCELED",E7517="SUSPECTED_FRAUD",F7517="Shipping canceled"),0,1)</x:f>
        <x:v>1</x:v>
      </x:c>
      <x:c r="K7517" s="6" t="n">
        <x:f>IF(G7517&gt;H7517,1,0)</x:f>
        <x:v>0</x:v>
      </x:c>
      <x:c r="L7517" s="6" t="n">
        <x:f>J7517*K7517</x:f>
        <x:v>0</x:v>
      </x:c>
    </x:row>
    <x:row r="7518">
      <x:c r="A7518" s="1" t="n">
        <x:v>60035</x:v>
      </x:c>
      <x:c r="B7518" s="5" t="d">
        <x:v>2017-05-26T00:00:00.000Z</x:v>
      </x:c>
      <x:c r="C7518" s="1" t="str">
        <x:v>Standard Class</x:v>
      </x:c>
      <x:c r="D7518" s="1" t="str">
        <x:v>LATAM</x:v>
      </x:c>
      <x:c r="E7518" s="1" t="str">
        <x:v>PENDING_PAYMENT</x:v>
      </x:c>
      <x:c r="F7518" s="1" t="str">
        <x:v>Late delivery</x:v>
      </x:c>
      <x:c r="G7518" s="6" t="n">
        <x:v>6</x:v>
      </x:c>
      <x:c r="H7518" s="6" t="n">
        <x:v>4</x:v>
      </x:c>
      <x:c r="I7518" s="6" t="n">
        <x:f>G7518-H7518</x:f>
        <x:v>2</x:v>
      </x:c>
      <x:c r="J7518" s="6" t="n">
        <x:f>IF(OR(E7518="CANCELED",E7518="SUSPECTED_FRAUD",F7518="Shipping canceled"),0,1)</x:f>
        <x:v>1</x:v>
      </x:c>
      <x:c r="K7518" s="6" t="n">
        <x:f>IF(G7518&gt;H7518,1,0)</x:f>
        <x:v>1</x:v>
      </x:c>
      <x:c r="L7518" s="6" t="n">
        <x:f>J7518*K7518</x:f>
        <x:v>1</x:v>
      </x:c>
    </x:row>
    <x:row r="7519">
      <x:c r="A7519" s="1" t="n">
        <x:v>60036</x:v>
      </x:c>
      <x:c r="B7519" s="5" t="d">
        <x:v>2017-05-26T00:00:00.000Z</x:v>
      </x:c>
      <x:c r="C7519" s="1" t="str">
        <x:v>Standard Class</x:v>
      </x:c>
      <x:c r="D7519" s="1" t="str">
        <x:v>LATAM</x:v>
      </x:c>
      <x:c r="E7519" s="1" t="str">
        <x:v>COMPLETE</x:v>
      </x:c>
      <x:c r="F7519" s="1" t="str">
        <x:v>Advance shipping</x:v>
      </x:c>
      <x:c r="G7519" s="6" t="n">
        <x:v>2</x:v>
      </x:c>
      <x:c r="H7519" s="6" t="n">
        <x:v>4</x:v>
      </x:c>
      <x:c r="I7519" s="6" t="n">
        <x:f>G7519-H7519</x:f>
        <x:v>-2</x:v>
      </x:c>
      <x:c r="J7519" s="6" t="n">
        <x:f>IF(OR(E7519="CANCELED",E7519="SUSPECTED_FRAUD",F7519="Shipping canceled"),0,1)</x:f>
        <x:v>1</x:v>
      </x:c>
      <x:c r="K7519" s="6" t="n">
        <x:f>IF(G7519&gt;H7519,1,0)</x:f>
        <x:v>0</x:v>
      </x:c>
      <x:c r="L7519" s="6" t="n">
        <x:f>J7519*K7519</x:f>
        <x:v>0</x:v>
      </x:c>
    </x:row>
    <x:row r="7520">
      <x:c r="A7520" s="1" t="n">
        <x:v>60052</x:v>
      </x:c>
      <x:c r="B7520" s="5" t="d">
        <x:v>2017-05-26T00:00:00.000Z</x:v>
      </x:c>
      <x:c r="C7520" s="1" t="str">
        <x:v>Standard Class</x:v>
      </x:c>
      <x:c r="D7520" s="1" t="str">
        <x:v>LATAM</x:v>
      </x:c>
      <x:c r="E7520" s="1" t="str">
        <x:v>CLOSED</x:v>
      </x:c>
      <x:c r="F7520" s="1" t="str">
        <x:v>Advance shipping</x:v>
      </x:c>
      <x:c r="G7520" s="6" t="n">
        <x:v>3</x:v>
      </x:c>
      <x:c r="H7520" s="6" t="n">
        <x:v>4</x:v>
      </x:c>
      <x:c r="I7520" s="6" t="n">
        <x:f>G7520-H7520</x:f>
        <x:v>-1</x:v>
      </x:c>
      <x:c r="J7520" s="6" t="n">
        <x:f>IF(OR(E7520="CANCELED",E7520="SUSPECTED_FRAUD",F7520="Shipping canceled"),0,1)</x:f>
        <x:v>1</x:v>
      </x:c>
      <x:c r="K7520" s="6" t="n">
        <x:f>IF(G7520&gt;H7520,1,0)</x:f>
        <x:v>0</x:v>
      </x:c>
      <x:c r="L7520" s="6" t="n">
        <x:f>J7520*K7520</x:f>
        <x:v>0</x:v>
      </x:c>
    </x:row>
    <x:row r="7521">
      <x:c r="A7521" s="1" t="n">
        <x:v>60058</x:v>
      </x:c>
      <x:c r="B7521" s="5" t="d">
        <x:v>2017-05-26T00:00:00.000Z</x:v>
      </x:c>
      <x:c r="C7521" s="1" t="str">
        <x:v>Standard Class</x:v>
      </x:c>
      <x:c r="D7521" s="1" t="str">
        <x:v>LATAM</x:v>
      </x:c>
      <x:c r="E7521" s="1" t="str">
        <x:v>COMPLETE</x:v>
      </x:c>
      <x:c r="F7521" s="1" t="str">
        <x:v>Shipping on time</x:v>
      </x:c>
      <x:c r="G7521" s="6" t="n">
        <x:v>4</x:v>
      </x:c>
      <x:c r="H7521" s="6" t="n">
        <x:v>4</x:v>
      </x:c>
      <x:c r="I7521" s="6" t="n">
        <x:f>G7521-H7521</x:f>
        <x:v>0</x:v>
      </x:c>
      <x:c r="J7521" s="6" t="n">
        <x:f>IF(OR(E7521="CANCELED",E7521="SUSPECTED_FRAUD",F7521="Shipping canceled"),0,1)</x:f>
        <x:v>1</x:v>
      </x:c>
      <x:c r="K7521" s="6" t="n">
        <x:f>IF(G7521&gt;H7521,1,0)</x:f>
        <x:v>0</x:v>
      </x:c>
      <x:c r="L7521" s="6" t="n">
        <x:f>J7521*K7521</x:f>
        <x:v>0</x:v>
      </x:c>
    </x:row>
    <x:row r="7522">
      <x:c r="A7522" s="1" t="n">
        <x:v>60059</x:v>
      </x:c>
      <x:c r="B7522" s="5" t="d">
        <x:v>2017-05-26T00:00:00.000Z</x:v>
      </x:c>
      <x:c r="C7522" s="1" t="str">
        <x:v>First Class</x:v>
      </x:c>
      <x:c r="D7522" s="1" t="str">
        <x:v>LATAM</x:v>
      </x:c>
      <x:c r="E7522" s="1" t="str">
        <x:v>CLOSED</x:v>
      </x:c>
      <x:c r="F7522" s="1" t="str">
        <x:v>Late delivery</x:v>
      </x:c>
      <x:c r="G7522" s="6" t="n">
        <x:v>2</x:v>
      </x:c>
      <x:c r="H7522" s="6" t="n">
        <x:v>1</x:v>
      </x:c>
      <x:c r="I7522" s="6" t="n">
        <x:f>G7522-H7522</x:f>
        <x:v>1</x:v>
      </x:c>
      <x:c r="J7522" s="6" t="n">
        <x:f>IF(OR(E7522="CANCELED",E7522="SUSPECTED_FRAUD",F7522="Shipping canceled"),0,1)</x:f>
        <x:v>1</x:v>
      </x:c>
      <x:c r="K7522" s="6" t="n">
        <x:f>IF(G7522&gt;H7522,1,0)</x:f>
        <x:v>1</x:v>
      </x:c>
      <x:c r="L7522" s="6" t="n">
        <x:f>J7522*K7522</x:f>
        <x:v>1</x:v>
      </x:c>
    </x:row>
    <x:row r="7523">
      <x:c r="A7523" s="1" t="n">
        <x:v>60075</x:v>
      </x:c>
      <x:c r="B7523" s="5" t="d">
        <x:v>2017-05-26T00:00:00.000Z</x:v>
      </x:c>
      <x:c r="C7523" s="1" t="str">
        <x:v>Standard Class</x:v>
      </x:c>
      <x:c r="D7523" s="1" t="str">
        <x:v>LATAM</x:v>
      </x:c>
      <x:c r="E7523" s="1" t="str">
        <x:v>PENDING</x:v>
      </x:c>
      <x:c r="F7523" s="1" t="str">
        <x:v>Late delivery</x:v>
      </x:c>
      <x:c r="G7523" s="6" t="n">
        <x:v>6</x:v>
      </x:c>
      <x:c r="H7523" s="6" t="n">
        <x:v>4</x:v>
      </x:c>
      <x:c r="I7523" s="6" t="n">
        <x:f>G7523-H7523</x:f>
        <x:v>2</x:v>
      </x:c>
      <x:c r="J7523" s="6" t="n">
        <x:f>IF(OR(E7523="CANCELED",E7523="SUSPECTED_FRAUD",F7523="Shipping canceled"),0,1)</x:f>
        <x:v>1</x:v>
      </x:c>
      <x:c r="K7523" s="6" t="n">
        <x:f>IF(G7523&gt;H7523,1,0)</x:f>
        <x:v>1</x:v>
      </x:c>
      <x:c r="L7523" s="6" t="n">
        <x:f>J7523*K7523</x:f>
        <x:v>1</x:v>
      </x:c>
    </x:row>
    <x:row r="7524">
      <x:c r="A7524" s="1" t="n">
        <x:v>60088</x:v>
      </x:c>
      <x:c r="B7524" s="5" t="d">
        <x:v>2017-05-27T00:00:00.000Z</x:v>
      </x:c>
      <x:c r="C7524" s="1" t="str">
        <x:v>Standard Class</x:v>
      </x:c>
      <x:c r="D7524" s="1" t="str">
        <x:v>LATAM</x:v>
      </x:c>
      <x:c r="E7524" s="1" t="str">
        <x:v>PENDING_PAYMENT</x:v>
      </x:c>
      <x:c r="F7524" s="1" t="str">
        <x:v>Shipping on time</x:v>
      </x:c>
      <x:c r="G7524" s="6" t="n">
        <x:v>4</x:v>
      </x:c>
      <x:c r="H7524" s="6" t="n">
        <x:v>4</x:v>
      </x:c>
      <x:c r="I7524" s="6" t="n">
        <x:f>G7524-H7524</x:f>
        <x:v>0</x:v>
      </x:c>
      <x:c r="J7524" s="6" t="n">
        <x:f>IF(OR(E7524="CANCELED",E7524="SUSPECTED_FRAUD",F7524="Shipping canceled"),0,1)</x:f>
        <x:v>1</x:v>
      </x:c>
      <x:c r="K7524" s="6" t="n">
        <x:f>IF(G7524&gt;H7524,1,0)</x:f>
        <x:v>0</x:v>
      </x:c>
      <x:c r="L7524" s="6" t="n">
        <x:f>J7524*K7524</x:f>
        <x:v>0</x:v>
      </x:c>
    </x:row>
    <x:row r="7525">
      <x:c r="A7525" s="1" t="n">
        <x:v>60095</x:v>
      </x:c>
      <x:c r="B7525" s="5" t="d">
        <x:v>2017-05-27T00:00:00.000Z</x:v>
      </x:c>
      <x:c r="C7525" s="1" t="str">
        <x:v>Standard Class</x:v>
      </x:c>
      <x:c r="D7525" s="1" t="str">
        <x:v>LATAM</x:v>
      </x:c>
      <x:c r="E7525" s="1" t="str">
        <x:v>PENDING</x:v>
      </x:c>
      <x:c r="F7525" s="1" t="str">
        <x:v>Late delivery</x:v>
      </x:c>
      <x:c r="G7525" s="6" t="n">
        <x:v>6</x:v>
      </x:c>
      <x:c r="H7525" s="6" t="n">
        <x:v>4</x:v>
      </x:c>
      <x:c r="I7525" s="6" t="n">
        <x:f>G7525-H7525</x:f>
        <x:v>2</x:v>
      </x:c>
      <x:c r="J7525" s="6" t="n">
        <x:f>IF(OR(E7525="CANCELED",E7525="SUSPECTED_FRAUD",F7525="Shipping canceled"),0,1)</x:f>
        <x:v>1</x:v>
      </x:c>
      <x:c r="K7525" s="6" t="n">
        <x:f>IF(G7525&gt;H7525,1,0)</x:f>
        <x:v>1</x:v>
      </x:c>
      <x:c r="L7525" s="6" t="n">
        <x:f>J7525*K7525</x:f>
        <x:v>1</x:v>
      </x:c>
    </x:row>
    <x:row r="7526">
      <x:c r="A7526" s="1" t="n">
        <x:v>60096</x:v>
      </x:c>
      <x:c r="B7526" s="5" t="d">
        <x:v>2017-05-27T00:00:00.000Z</x:v>
      </x:c>
      <x:c r="C7526" s="1" t="str">
        <x:v>Standard Class</x:v>
      </x:c>
      <x:c r="D7526" s="1" t="str">
        <x:v>LATAM</x:v>
      </x:c>
      <x:c r="E7526" s="1" t="str">
        <x:v>COMPLETE</x:v>
      </x:c>
      <x:c r="F7526" s="1" t="str">
        <x:v>Advance shipping</x:v>
      </x:c>
      <x:c r="G7526" s="6" t="n">
        <x:v>2</x:v>
      </x:c>
      <x:c r="H7526" s="6" t="n">
        <x:v>4</x:v>
      </x:c>
      <x:c r="I7526" s="6" t="n">
        <x:f>G7526-H7526</x:f>
        <x:v>-2</x:v>
      </x:c>
      <x:c r="J7526" s="6" t="n">
        <x:f>IF(OR(E7526="CANCELED",E7526="SUSPECTED_FRAUD",F7526="Shipping canceled"),0,1)</x:f>
        <x:v>1</x:v>
      </x:c>
      <x:c r="K7526" s="6" t="n">
        <x:f>IF(G7526&gt;H7526,1,0)</x:f>
        <x:v>0</x:v>
      </x:c>
      <x:c r="L7526" s="6" t="n">
        <x:f>J7526*K7526</x:f>
        <x:v>0</x:v>
      </x:c>
    </x:row>
    <x:row r="7527">
      <x:c r="A7527" s="1" t="n">
        <x:v>60118</x:v>
      </x:c>
      <x:c r="B7527" s="5" t="d">
        <x:v>2017-05-27T00:00:00.000Z</x:v>
      </x:c>
      <x:c r="C7527" s="1" t="str">
        <x:v>Second Class</x:v>
      </x:c>
      <x:c r="D7527" s="1" t="str">
        <x:v>LATAM</x:v>
      </x:c>
      <x:c r="E7527" s="1" t="str">
        <x:v>PENDING</x:v>
      </x:c>
      <x:c r="F7527" s="1" t="str">
        <x:v>Late delivery</x:v>
      </x:c>
      <x:c r="G7527" s="6" t="n">
        <x:v>4</x:v>
      </x:c>
      <x:c r="H7527" s="6" t="n">
        <x:v>2</x:v>
      </x:c>
      <x:c r="I7527" s="6" t="n">
        <x:f>G7527-H7527</x:f>
        <x:v>2</x:v>
      </x:c>
      <x:c r="J7527" s="6" t="n">
        <x:f>IF(OR(E7527="CANCELED",E7527="SUSPECTED_FRAUD",F7527="Shipping canceled"),0,1)</x:f>
        <x:v>1</x:v>
      </x:c>
      <x:c r="K7527" s="6" t="n">
        <x:f>IF(G7527&gt;H7527,1,0)</x:f>
        <x:v>1</x:v>
      </x:c>
      <x:c r="L7527" s="6" t="n">
        <x:f>J7527*K7527</x:f>
        <x:v>1</x:v>
      </x:c>
    </x:row>
    <x:row r="7528">
      <x:c r="A7528" s="1" t="n">
        <x:v>60122</x:v>
      </x:c>
      <x:c r="B7528" s="5" t="d">
        <x:v>2017-05-27T00:00:00.000Z</x:v>
      </x:c>
      <x:c r="C7528" s="1" t="str">
        <x:v>First Class</x:v>
      </x:c>
      <x:c r="D7528" s="1" t="str">
        <x:v>LATAM</x:v>
      </x:c>
      <x:c r="E7528" s="1" t="str">
        <x:v>PROCESSING</x:v>
      </x:c>
      <x:c r="F7528" s="1" t="str">
        <x:v>Late delivery</x:v>
      </x:c>
      <x:c r="G7528" s="6" t="n">
        <x:v>2</x:v>
      </x:c>
      <x:c r="H7528" s="6" t="n">
        <x:v>1</x:v>
      </x:c>
      <x:c r="I7528" s="6" t="n">
        <x:f>G7528-H7528</x:f>
        <x:v>1</x:v>
      </x:c>
      <x:c r="J7528" s="6" t="n">
        <x:f>IF(OR(E7528="CANCELED",E7528="SUSPECTED_FRAUD",F7528="Shipping canceled"),0,1)</x:f>
        <x:v>1</x:v>
      </x:c>
      <x:c r="K7528" s="6" t="n">
        <x:f>IF(G7528&gt;H7528,1,0)</x:f>
        <x:v>1</x:v>
      </x:c>
      <x:c r="L7528" s="6" t="n">
        <x:f>J7528*K7528</x:f>
        <x:v>1</x:v>
      </x:c>
    </x:row>
    <x:row r="7529">
      <x:c r="A7529" s="1" t="n">
        <x:v>60127</x:v>
      </x:c>
      <x:c r="B7529" s="5" t="d">
        <x:v>2017-05-27T00:00:00.000Z</x:v>
      </x:c>
      <x:c r="C7529" s="1" t="str">
        <x:v>Standard Class</x:v>
      </x:c>
      <x:c r="D7529" s="1" t="str">
        <x:v>LATAM</x:v>
      </x:c>
      <x:c r="E7529" s="1" t="str">
        <x:v>PENDING</x:v>
      </x:c>
      <x:c r="F7529" s="1" t="str">
        <x:v>Advance shipping</x:v>
      </x:c>
      <x:c r="G7529" s="6" t="n">
        <x:v>3</x:v>
      </x:c>
      <x:c r="H7529" s="6" t="n">
        <x:v>4</x:v>
      </x:c>
      <x:c r="I7529" s="6" t="n">
        <x:f>G7529-H7529</x:f>
        <x:v>-1</x:v>
      </x:c>
      <x:c r="J7529" s="6" t="n">
        <x:f>IF(OR(E7529="CANCELED",E7529="SUSPECTED_FRAUD",F7529="Shipping canceled"),0,1)</x:f>
        <x:v>1</x:v>
      </x:c>
      <x:c r="K7529" s="6" t="n">
        <x:f>IF(G7529&gt;H7529,1,0)</x:f>
        <x:v>0</x:v>
      </x:c>
      <x:c r="L7529" s="6" t="n">
        <x:f>J7529*K7529</x:f>
        <x:v>0</x:v>
      </x:c>
    </x:row>
    <x:row r="7530">
      <x:c r="A7530" s="1" t="n">
        <x:v>60141</x:v>
      </x:c>
      <x:c r="B7530" s="5" t="d">
        <x:v>2017-05-27T00:00:00.000Z</x:v>
      </x:c>
      <x:c r="C7530" s="1" t="str">
        <x:v>Standard Class</x:v>
      </x:c>
      <x:c r="D7530" s="1" t="str">
        <x:v>LATAM</x:v>
      </x:c>
      <x:c r="E7530" s="1" t="str">
        <x:v>PENDING_PAYMENT</x:v>
      </x:c>
      <x:c r="F7530" s="1" t="str">
        <x:v>Advance shipping</x:v>
      </x:c>
      <x:c r="G7530" s="6" t="n">
        <x:v>2</x:v>
      </x:c>
      <x:c r="H7530" s="6" t="n">
        <x:v>4</x:v>
      </x:c>
      <x:c r="I7530" s="6" t="n">
        <x:f>G7530-H7530</x:f>
        <x:v>-2</x:v>
      </x:c>
      <x:c r="J7530" s="6" t="n">
        <x:f>IF(OR(E7530="CANCELED",E7530="SUSPECTED_FRAUD",F7530="Shipping canceled"),0,1)</x:f>
        <x:v>1</x:v>
      </x:c>
      <x:c r="K7530" s="6" t="n">
        <x:f>IF(G7530&gt;H7530,1,0)</x:f>
        <x:v>0</x:v>
      </x:c>
      <x:c r="L7530" s="6" t="n">
        <x:f>J7530*K7530</x:f>
        <x:v>0</x:v>
      </x:c>
    </x:row>
    <x:row r="7531">
      <x:c r="A7531" s="1" t="n">
        <x:v>60142</x:v>
      </x:c>
      <x:c r="B7531" s="5" t="d">
        <x:v>2017-05-27T00:00:00.000Z</x:v>
      </x:c>
      <x:c r="C7531" s="1" t="str">
        <x:v>Standard Class</x:v>
      </x:c>
      <x:c r="D7531" s="1" t="str">
        <x:v>LATAM</x:v>
      </x:c>
      <x:c r="E7531" s="1" t="str">
        <x:v>COMPLETE</x:v>
      </x:c>
      <x:c r="F7531" s="1" t="str">
        <x:v>Advance shipping</x:v>
      </x:c>
      <x:c r="G7531" s="6" t="n">
        <x:v>3</x:v>
      </x:c>
      <x:c r="H7531" s="6" t="n">
        <x:v>4</x:v>
      </x:c>
      <x:c r="I7531" s="6" t="n">
        <x:f>G7531-H7531</x:f>
        <x:v>-1</x:v>
      </x:c>
      <x:c r="J7531" s="6" t="n">
        <x:f>IF(OR(E7531="CANCELED",E7531="SUSPECTED_FRAUD",F7531="Shipping canceled"),0,1)</x:f>
        <x:v>1</x:v>
      </x:c>
      <x:c r="K7531" s="6" t="n">
        <x:f>IF(G7531&gt;H7531,1,0)</x:f>
        <x:v>0</x:v>
      </x:c>
      <x:c r="L7531" s="6" t="n">
        <x:f>J7531*K7531</x:f>
        <x:v>0</x:v>
      </x:c>
    </x:row>
    <x:row r="7532">
      <x:c r="A7532" s="1" t="n">
        <x:v>60146</x:v>
      </x:c>
      <x:c r="B7532" s="5" t="d">
        <x:v>2017-05-27T00:00:00.000Z</x:v>
      </x:c>
      <x:c r="C7532" s="1" t="str">
        <x:v>Standard Class</x:v>
      </x:c>
      <x:c r="D7532" s="1" t="str">
        <x:v>LATAM</x:v>
      </x:c>
      <x:c r="E7532" s="1" t="str">
        <x:v>PROCESSING</x:v>
      </x:c>
      <x:c r="F7532" s="1" t="str">
        <x:v>Advance shipping</x:v>
      </x:c>
      <x:c r="G7532" s="6" t="n">
        <x:v>2</x:v>
      </x:c>
      <x:c r="H7532" s="6" t="n">
        <x:v>4</x:v>
      </x:c>
      <x:c r="I7532" s="6" t="n">
        <x:f>G7532-H7532</x:f>
        <x:v>-2</x:v>
      </x:c>
      <x:c r="J7532" s="6" t="n">
        <x:f>IF(OR(E7532="CANCELED",E7532="SUSPECTED_FRAUD",F7532="Shipping canceled"),0,1)</x:f>
        <x:v>1</x:v>
      </x:c>
      <x:c r="K7532" s="6" t="n">
        <x:f>IF(G7532&gt;H7532,1,0)</x:f>
        <x:v>0</x:v>
      </x:c>
      <x:c r="L7532" s="6" t="n">
        <x:f>J7532*K7532</x:f>
        <x:v>0</x:v>
      </x:c>
    </x:row>
    <x:row r="7533">
      <x:c r="A7533" s="1" t="n">
        <x:v>60158</x:v>
      </x:c>
      <x:c r="B7533" s="5" t="d">
        <x:v>2017-05-28T00:00:00.000Z</x:v>
      </x:c>
      <x:c r="C7533" s="1" t="str">
        <x:v>Same Day</x:v>
      </x:c>
      <x:c r="D7533" s="1" t="str">
        <x:v>LATAM</x:v>
      </x:c>
      <x:c r="E7533" s="1" t="str">
        <x:v>CLOSED</x:v>
      </x:c>
      <x:c r="F7533" s="1" t="str">
        <x:v>Shipping on time</x:v>
      </x:c>
      <x:c r="G7533" s="6" t="n">
        <x:v>0</x:v>
      </x:c>
      <x:c r="H7533" s="6" t="n">
        <x:v>0</x:v>
      </x:c>
      <x:c r="I7533" s="6" t="n">
        <x:f>G7533-H7533</x:f>
        <x:v>0</x:v>
      </x:c>
      <x:c r="J7533" s="6" t="n">
        <x:f>IF(OR(E7533="CANCELED",E7533="SUSPECTED_FRAUD",F7533="Shipping canceled"),0,1)</x:f>
        <x:v>1</x:v>
      </x:c>
      <x:c r="K7533" s="6" t="n">
        <x:f>IF(G7533&gt;H7533,1,0)</x:f>
        <x:v>0</x:v>
      </x:c>
      <x:c r="L7533" s="6" t="n">
        <x:f>J7533*K7533</x:f>
        <x:v>0</x:v>
      </x:c>
    </x:row>
    <x:row r="7534">
      <x:c r="A7534" s="1" t="n">
        <x:v>60168</x:v>
      </x:c>
      <x:c r="B7534" s="5" t="d">
        <x:v>2017-05-28T00:00:00.000Z</x:v>
      </x:c>
      <x:c r="C7534" s="1" t="str">
        <x:v>Standard Class</x:v>
      </x:c>
      <x:c r="D7534" s="1" t="str">
        <x:v>LATAM</x:v>
      </x:c>
      <x:c r="E7534" s="1" t="str">
        <x:v>PENDING_PAYMENT</x:v>
      </x:c>
      <x:c r="F7534" s="1" t="str">
        <x:v>Shipping on time</x:v>
      </x:c>
      <x:c r="G7534" s="6" t="n">
        <x:v>4</x:v>
      </x:c>
      <x:c r="H7534" s="6" t="n">
        <x:v>4</x:v>
      </x:c>
      <x:c r="I7534" s="6" t="n">
        <x:f>G7534-H7534</x:f>
        <x:v>0</x:v>
      </x:c>
      <x:c r="J7534" s="6" t="n">
        <x:f>IF(OR(E7534="CANCELED",E7534="SUSPECTED_FRAUD",F7534="Shipping canceled"),0,1)</x:f>
        <x:v>1</x:v>
      </x:c>
      <x:c r="K7534" s="6" t="n">
        <x:f>IF(G7534&gt;H7534,1,0)</x:f>
        <x:v>0</x:v>
      </x:c>
      <x:c r="L7534" s="6" t="n">
        <x:f>J7534*K7534</x:f>
        <x:v>0</x:v>
      </x:c>
    </x:row>
    <x:row r="7535">
      <x:c r="A7535" s="1" t="n">
        <x:v>60172</x:v>
      </x:c>
      <x:c r="B7535" s="5" t="d">
        <x:v>2017-05-28T00:00:00.000Z</x:v>
      </x:c>
      <x:c r="C7535" s="1" t="str">
        <x:v>Standard Class</x:v>
      </x:c>
      <x:c r="D7535" s="1" t="str">
        <x:v>LATAM</x:v>
      </x:c>
      <x:c r="E7535" s="1" t="str">
        <x:v>COMPLETE</x:v>
      </x:c>
      <x:c r="F7535" s="1" t="str">
        <x:v>Advance shipping</x:v>
      </x:c>
      <x:c r="G7535" s="6" t="n">
        <x:v>3</x:v>
      </x:c>
      <x:c r="H7535" s="6" t="n">
        <x:v>4</x:v>
      </x:c>
      <x:c r="I7535" s="6" t="n">
        <x:f>G7535-H7535</x:f>
        <x:v>-1</x:v>
      </x:c>
      <x:c r="J7535" s="6" t="n">
        <x:f>IF(OR(E7535="CANCELED",E7535="SUSPECTED_FRAUD",F7535="Shipping canceled"),0,1)</x:f>
        <x:v>1</x:v>
      </x:c>
      <x:c r="K7535" s="6" t="n">
        <x:f>IF(G7535&gt;H7535,1,0)</x:f>
        <x:v>0</x:v>
      </x:c>
      <x:c r="L7535" s="6" t="n">
        <x:f>J7535*K7535</x:f>
        <x:v>0</x:v>
      </x:c>
    </x:row>
    <x:row r="7536">
      <x:c r="A7536" s="1" t="n">
        <x:v>60178</x:v>
      </x:c>
      <x:c r="B7536" s="5" t="d">
        <x:v>2017-05-28T00:00:00.000Z</x:v>
      </x:c>
      <x:c r="C7536" s="1" t="str">
        <x:v>Standard Class</x:v>
      </x:c>
      <x:c r="D7536" s="1" t="str">
        <x:v>LATAM</x:v>
      </x:c>
      <x:c r="E7536" s="1" t="str">
        <x:v>COMPLETE</x:v>
      </x:c>
      <x:c r="F7536" s="1" t="str">
        <x:v>Shipping on time</x:v>
      </x:c>
      <x:c r="G7536" s="6" t="n">
        <x:v>4</x:v>
      </x:c>
      <x:c r="H7536" s="6" t="n">
        <x:v>4</x:v>
      </x:c>
      <x:c r="I7536" s="6" t="n">
        <x:f>G7536-H7536</x:f>
        <x:v>0</x:v>
      </x:c>
      <x:c r="J7536" s="6" t="n">
        <x:f>IF(OR(E7536="CANCELED",E7536="SUSPECTED_FRAUD",F7536="Shipping canceled"),0,1)</x:f>
        <x:v>1</x:v>
      </x:c>
      <x:c r="K7536" s="6" t="n">
        <x:f>IF(G7536&gt;H7536,1,0)</x:f>
        <x:v>0</x:v>
      </x:c>
      <x:c r="L7536" s="6" t="n">
        <x:f>J7536*K7536</x:f>
        <x:v>0</x:v>
      </x:c>
    </x:row>
    <x:row r="7537">
      <x:c r="A7537" s="1" t="n">
        <x:v>60179</x:v>
      </x:c>
      <x:c r="B7537" s="5" t="d">
        <x:v>2017-05-28T00:00:00.000Z</x:v>
      </x:c>
      <x:c r="C7537" s="1" t="str">
        <x:v>Standard Class</x:v>
      </x:c>
      <x:c r="D7537" s="1" t="str">
        <x:v>LATAM</x:v>
      </x:c>
      <x:c r="E7537" s="1" t="str">
        <x:v>SUSPECTED_FRAUD</x:v>
      </x:c>
      <x:c r="F7537" s="1" t="str">
        <x:v>Shipping canceled</x:v>
      </x:c>
      <x:c r="G7537" s="6" t="n">
        <x:v>5</x:v>
      </x:c>
      <x:c r="H7537" s="6" t="n">
        <x:v>4</x:v>
      </x:c>
      <x:c r="I7537" s="6" t="n">
        <x:f>G7537-H7537</x:f>
        <x:v>1</x:v>
      </x:c>
      <x:c r="J7537" s="6" t="n">
        <x:f>IF(OR(E7537="CANCELED",E7537="SUSPECTED_FRAUD",F7537="Shipping canceled"),0,1)</x:f>
        <x:v>0</x:v>
      </x:c>
      <x:c r="K7537" s="6" t="n">
        <x:f>IF(G7537&gt;H7537,1,0)</x:f>
        <x:v>1</x:v>
      </x:c>
      <x:c r="L7537" s="6" t="n">
        <x:f>J7537*K7537</x:f>
        <x:v>0</x:v>
      </x:c>
    </x:row>
    <x:row r="7538">
      <x:c r="A7538" s="1" t="n">
        <x:v>60215</x:v>
      </x:c>
      <x:c r="B7538" s="5" t="d">
        <x:v>2017-05-28T00:00:00.000Z</x:v>
      </x:c>
      <x:c r="C7538" s="1" t="str">
        <x:v>Standard Class</x:v>
      </x:c>
      <x:c r="D7538" s="1" t="str">
        <x:v>LATAM</x:v>
      </x:c>
      <x:c r="E7538" s="1" t="str">
        <x:v>COMPLETE</x:v>
      </x:c>
      <x:c r="F7538" s="1" t="str">
        <x:v>Late delivery</x:v>
      </x:c>
      <x:c r="G7538" s="6" t="n">
        <x:v>6</x:v>
      </x:c>
      <x:c r="H7538" s="6" t="n">
        <x:v>4</x:v>
      </x:c>
      <x:c r="I7538" s="6" t="n">
        <x:f>G7538-H7538</x:f>
        <x:v>2</x:v>
      </x:c>
      <x:c r="J7538" s="6" t="n">
        <x:f>IF(OR(E7538="CANCELED",E7538="SUSPECTED_FRAUD",F7538="Shipping canceled"),0,1)</x:f>
        <x:v>1</x:v>
      </x:c>
      <x:c r="K7538" s="6" t="n">
        <x:f>IF(G7538&gt;H7538,1,0)</x:f>
        <x:v>1</x:v>
      </x:c>
      <x:c r="L7538" s="6" t="n">
        <x:f>J7538*K7538</x:f>
        <x:v>1</x:v>
      </x:c>
    </x:row>
    <x:row r="7539">
      <x:c r="A7539" s="1" t="n">
        <x:v>60226</x:v>
      </x:c>
      <x:c r="B7539" s="5" t="d">
        <x:v>2017-05-29T00:00:00.000Z</x:v>
      </x:c>
      <x:c r="C7539" s="1" t="str">
        <x:v>Standard Class</x:v>
      </x:c>
      <x:c r="D7539" s="1" t="str">
        <x:v>LATAM</x:v>
      </x:c>
      <x:c r="E7539" s="1" t="str">
        <x:v>COMPLETE</x:v>
      </x:c>
      <x:c r="F7539" s="1" t="str">
        <x:v>Advance shipping</x:v>
      </x:c>
      <x:c r="G7539" s="6" t="n">
        <x:v>2</x:v>
      </x:c>
      <x:c r="H7539" s="6" t="n">
        <x:v>4</x:v>
      </x:c>
      <x:c r="I7539" s="6" t="n">
        <x:f>G7539-H7539</x:f>
        <x:v>-2</x:v>
      </x:c>
      <x:c r="J7539" s="6" t="n">
        <x:f>IF(OR(E7539="CANCELED",E7539="SUSPECTED_FRAUD",F7539="Shipping canceled"),0,1)</x:f>
        <x:v>1</x:v>
      </x:c>
      <x:c r="K7539" s="6" t="n">
        <x:f>IF(G7539&gt;H7539,1,0)</x:f>
        <x:v>0</x:v>
      </x:c>
      <x:c r="L7539" s="6" t="n">
        <x:f>J7539*K7539</x:f>
        <x:v>0</x:v>
      </x:c>
    </x:row>
    <x:row r="7540">
      <x:c r="A7540" s="1" t="n">
        <x:v>60242</x:v>
      </x:c>
      <x:c r="B7540" s="5" t="d">
        <x:v>2017-05-29T00:00:00.000Z</x:v>
      </x:c>
      <x:c r="C7540" s="1" t="str">
        <x:v>Standard Class</x:v>
      </x:c>
      <x:c r="D7540" s="1" t="str">
        <x:v>LATAM</x:v>
      </x:c>
      <x:c r="E7540" s="1" t="str">
        <x:v>PENDING</x:v>
      </x:c>
      <x:c r="F7540" s="1" t="str">
        <x:v>Advance shipping</x:v>
      </x:c>
      <x:c r="G7540" s="6" t="n">
        <x:v>3</x:v>
      </x:c>
      <x:c r="H7540" s="6" t="n">
        <x:v>4</x:v>
      </x:c>
      <x:c r="I7540" s="6" t="n">
        <x:f>G7540-H7540</x:f>
        <x:v>-1</x:v>
      </x:c>
      <x:c r="J7540" s="6" t="n">
        <x:f>IF(OR(E7540="CANCELED",E7540="SUSPECTED_FRAUD",F7540="Shipping canceled"),0,1)</x:f>
        <x:v>1</x:v>
      </x:c>
      <x:c r="K7540" s="6" t="n">
        <x:f>IF(G7540&gt;H7540,1,0)</x:f>
        <x:v>0</x:v>
      </x:c>
      <x:c r="L7540" s="6" t="n">
        <x:f>J7540*K7540</x:f>
        <x:v>0</x:v>
      </x:c>
    </x:row>
    <x:row r="7541">
      <x:c r="A7541" s="1" t="n">
        <x:v>60245</x:v>
      </x:c>
      <x:c r="B7541" s="5" t="d">
        <x:v>2017-05-29T00:00:00.000Z</x:v>
      </x:c>
      <x:c r="C7541" s="1" t="str">
        <x:v>Standard Class</x:v>
      </x:c>
      <x:c r="D7541" s="1" t="str">
        <x:v>LATAM</x:v>
      </x:c>
      <x:c r="E7541" s="1" t="str">
        <x:v>PROCESSING</x:v>
      </x:c>
      <x:c r="F7541" s="1" t="str">
        <x:v>Late delivery</x:v>
      </x:c>
      <x:c r="G7541" s="6" t="n">
        <x:v>6</x:v>
      </x:c>
      <x:c r="H7541" s="6" t="n">
        <x:v>4</x:v>
      </x:c>
      <x:c r="I7541" s="6" t="n">
        <x:f>G7541-H7541</x:f>
        <x:v>2</x:v>
      </x:c>
      <x:c r="J7541" s="6" t="n">
        <x:f>IF(OR(E7541="CANCELED",E7541="SUSPECTED_FRAUD",F7541="Shipping canceled"),0,1)</x:f>
        <x:v>1</x:v>
      </x:c>
      <x:c r="K7541" s="6" t="n">
        <x:f>IF(G7541&gt;H7541,1,0)</x:f>
        <x:v>1</x:v>
      </x:c>
      <x:c r="L7541" s="6" t="n">
        <x:f>J7541*K7541</x:f>
        <x:v>1</x:v>
      </x:c>
    </x:row>
    <x:row r="7542">
      <x:c r="A7542" s="1" t="n">
        <x:v>60253</x:v>
      </x:c>
      <x:c r="B7542" s="5" t="d">
        <x:v>2017-05-29T00:00:00.000Z</x:v>
      </x:c>
      <x:c r="C7542" s="1" t="str">
        <x:v>Standard Class</x:v>
      </x:c>
      <x:c r="D7542" s="1" t="str">
        <x:v>LATAM</x:v>
      </x:c>
      <x:c r="E7542" s="1" t="str">
        <x:v>COMPLETE</x:v>
      </x:c>
      <x:c r="F7542" s="1" t="str">
        <x:v>Shipping on time</x:v>
      </x:c>
      <x:c r="G7542" s="6" t="n">
        <x:v>4</x:v>
      </x:c>
      <x:c r="H7542" s="6" t="n">
        <x:v>4</x:v>
      </x:c>
      <x:c r="I7542" s="6" t="n">
        <x:f>G7542-H7542</x:f>
        <x:v>0</x:v>
      </x:c>
      <x:c r="J7542" s="6" t="n">
        <x:f>IF(OR(E7542="CANCELED",E7542="SUSPECTED_FRAUD",F7542="Shipping canceled"),0,1)</x:f>
        <x:v>1</x:v>
      </x:c>
      <x:c r="K7542" s="6" t="n">
        <x:f>IF(G7542&gt;H7542,1,0)</x:f>
        <x:v>0</x:v>
      </x:c>
      <x:c r="L7542" s="6" t="n">
        <x:f>J7542*K7542</x:f>
        <x:v>0</x:v>
      </x:c>
    </x:row>
    <x:row r="7543">
      <x:c r="A7543" s="1" t="n">
        <x:v>60259</x:v>
      </x:c>
      <x:c r="B7543" s="5" t="d">
        <x:v>2017-05-29T00:00:00.000Z</x:v>
      </x:c>
      <x:c r="C7543" s="1" t="str">
        <x:v>Standard Class</x:v>
      </x:c>
      <x:c r="D7543" s="1" t="str">
        <x:v>LATAM</x:v>
      </x:c>
      <x:c r="E7543" s="1" t="str">
        <x:v>PROCESSING</x:v>
      </x:c>
      <x:c r="F7543" s="1" t="str">
        <x:v>Late delivery</x:v>
      </x:c>
      <x:c r="G7543" s="6" t="n">
        <x:v>5</x:v>
      </x:c>
      <x:c r="H7543" s="6" t="n">
        <x:v>4</x:v>
      </x:c>
      <x:c r="I7543" s="6" t="n">
        <x:f>G7543-H7543</x:f>
        <x:v>1</x:v>
      </x:c>
      <x:c r="J7543" s="6" t="n">
        <x:f>IF(OR(E7543="CANCELED",E7543="SUSPECTED_FRAUD",F7543="Shipping canceled"),0,1)</x:f>
        <x:v>1</x:v>
      </x:c>
      <x:c r="K7543" s="6" t="n">
        <x:f>IF(G7543&gt;H7543,1,0)</x:f>
        <x:v>1</x:v>
      </x:c>
      <x:c r="L7543" s="6" t="n">
        <x:f>J7543*K7543</x:f>
        <x:v>1</x:v>
      </x:c>
    </x:row>
    <x:row r="7544">
      <x:c r="A7544" s="1" t="n">
        <x:v>60261</x:v>
      </x:c>
      <x:c r="B7544" s="5" t="d">
        <x:v>2017-05-29T00:00:00.000Z</x:v>
      </x:c>
      <x:c r="C7544" s="1" t="str">
        <x:v>Standard Class</x:v>
      </x:c>
      <x:c r="D7544" s="1" t="str">
        <x:v>LATAM</x:v>
      </x:c>
      <x:c r="E7544" s="1" t="str">
        <x:v>COMPLETE</x:v>
      </x:c>
      <x:c r="F7544" s="1" t="str">
        <x:v>Advance shipping</x:v>
      </x:c>
      <x:c r="G7544" s="6" t="n">
        <x:v>2</x:v>
      </x:c>
      <x:c r="H7544" s="6" t="n">
        <x:v>4</x:v>
      </x:c>
      <x:c r="I7544" s="6" t="n">
        <x:f>G7544-H7544</x:f>
        <x:v>-2</x:v>
      </x:c>
      <x:c r="J7544" s="6" t="n">
        <x:f>IF(OR(E7544="CANCELED",E7544="SUSPECTED_FRAUD",F7544="Shipping canceled"),0,1)</x:f>
        <x:v>1</x:v>
      </x:c>
      <x:c r="K7544" s="6" t="n">
        <x:f>IF(G7544&gt;H7544,1,0)</x:f>
        <x:v>0</x:v>
      </x:c>
      <x:c r="L7544" s="6" t="n">
        <x:f>J7544*K7544</x:f>
        <x:v>0</x:v>
      </x:c>
    </x:row>
    <x:row r="7545">
      <x:c r="A7545" s="1" t="n">
        <x:v>60262</x:v>
      </x:c>
      <x:c r="B7545" s="5" t="d">
        <x:v>2017-05-29T00:00:00.000Z</x:v>
      </x:c>
      <x:c r="C7545" s="1" t="str">
        <x:v>Standard Class</x:v>
      </x:c>
      <x:c r="D7545" s="1" t="str">
        <x:v>LATAM</x:v>
      </x:c>
      <x:c r="E7545" s="1" t="str">
        <x:v>CLOSED</x:v>
      </x:c>
      <x:c r="F7545" s="1" t="str">
        <x:v>Advance shipping</x:v>
      </x:c>
      <x:c r="G7545" s="6" t="n">
        <x:v>3</x:v>
      </x:c>
      <x:c r="H7545" s="6" t="n">
        <x:v>4</x:v>
      </x:c>
      <x:c r="I7545" s="6" t="n">
        <x:f>G7545-H7545</x:f>
        <x:v>-1</x:v>
      </x:c>
      <x:c r="J7545" s="6" t="n">
        <x:f>IF(OR(E7545="CANCELED",E7545="SUSPECTED_FRAUD",F7545="Shipping canceled"),0,1)</x:f>
        <x:v>1</x:v>
      </x:c>
      <x:c r="K7545" s="6" t="n">
        <x:f>IF(G7545&gt;H7545,1,0)</x:f>
        <x:v>0</x:v>
      </x:c>
      <x:c r="L7545" s="6" t="n">
        <x:f>J7545*K7545</x:f>
        <x:v>0</x:v>
      </x:c>
    </x:row>
    <x:row r="7546">
      <x:c r="A7546" s="1" t="n">
        <x:v>60264</x:v>
      </x:c>
      <x:c r="B7546" s="5" t="d">
        <x:v>2017-05-29T00:00:00.000Z</x:v>
      </x:c>
      <x:c r="C7546" s="1" t="str">
        <x:v>Standard Class</x:v>
      </x:c>
      <x:c r="D7546" s="1" t="str">
        <x:v>LATAM</x:v>
      </x:c>
      <x:c r="E7546" s="1" t="str">
        <x:v>COMPLETE</x:v>
      </x:c>
      <x:c r="F7546" s="1" t="str">
        <x:v>Late delivery</x:v>
      </x:c>
      <x:c r="G7546" s="6" t="n">
        <x:v>5</x:v>
      </x:c>
      <x:c r="H7546" s="6" t="n">
        <x:v>4</x:v>
      </x:c>
      <x:c r="I7546" s="6" t="n">
        <x:f>G7546-H7546</x:f>
        <x:v>1</x:v>
      </x:c>
      <x:c r="J7546" s="6" t="n">
        <x:f>IF(OR(E7546="CANCELED",E7546="SUSPECTED_FRAUD",F7546="Shipping canceled"),0,1)</x:f>
        <x:v>1</x:v>
      </x:c>
      <x:c r="K7546" s="6" t="n">
        <x:f>IF(G7546&gt;H7546,1,0)</x:f>
        <x:v>1</x:v>
      </x:c>
      <x:c r="L7546" s="6" t="n">
        <x:f>J7546*K7546</x:f>
        <x:v>1</x:v>
      </x:c>
    </x:row>
    <x:row r="7547">
      <x:c r="A7547" s="1" t="n">
        <x:v>60284</x:v>
      </x:c>
      <x:c r="B7547" s="5" t="d">
        <x:v>2017-05-29T00:00:00.000Z</x:v>
      </x:c>
      <x:c r="C7547" s="1" t="str">
        <x:v>Standard Class</x:v>
      </x:c>
      <x:c r="D7547" s="1" t="str">
        <x:v>LATAM</x:v>
      </x:c>
      <x:c r="E7547" s="1" t="str">
        <x:v>COMPLETE</x:v>
      </x:c>
      <x:c r="F7547" s="1" t="str">
        <x:v>Late delivery</x:v>
      </x:c>
      <x:c r="G7547" s="6" t="n">
        <x:v>5</x:v>
      </x:c>
      <x:c r="H7547" s="6" t="n">
        <x:v>4</x:v>
      </x:c>
      <x:c r="I7547" s="6" t="n">
        <x:f>G7547-H7547</x:f>
        <x:v>1</x:v>
      </x:c>
      <x:c r="J7547" s="6" t="n">
        <x:f>IF(OR(E7547="CANCELED",E7547="SUSPECTED_FRAUD",F7547="Shipping canceled"),0,1)</x:f>
        <x:v>1</x:v>
      </x:c>
      <x:c r="K7547" s="6" t="n">
        <x:f>IF(G7547&gt;H7547,1,0)</x:f>
        <x:v>1</x:v>
      </x:c>
      <x:c r="L7547" s="6" t="n">
        <x:f>J7547*K7547</x:f>
        <x:v>1</x:v>
      </x:c>
    </x:row>
    <x:row r="7548">
      <x:c r="A7548" s="1" t="n">
        <x:v>60289</x:v>
      </x:c>
      <x:c r="B7548" s="5" t="d">
        <x:v>2017-05-30T00:00:00.000Z</x:v>
      </x:c>
      <x:c r="C7548" s="1" t="str">
        <x:v>Standard Class</x:v>
      </x:c>
      <x:c r="D7548" s="1" t="str">
        <x:v>LATAM</x:v>
      </x:c>
      <x:c r="E7548" s="1" t="str">
        <x:v>PENDING</x:v>
      </x:c>
      <x:c r="F7548" s="1" t="str">
        <x:v>Late delivery</x:v>
      </x:c>
      <x:c r="G7548" s="6" t="n">
        <x:v>5</x:v>
      </x:c>
      <x:c r="H7548" s="6" t="n">
        <x:v>4</x:v>
      </x:c>
      <x:c r="I7548" s="6" t="n">
        <x:f>G7548-H7548</x:f>
        <x:v>1</x:v>
      </x:c>
      <x:c r="J7548" s="6" t="n">
        <x:f>IF(OR(E7548="CANCELED",E7548="SUSPECTED_FRAUD",F7548="Shipping canceled"),0,1)</x:f>
        <x:v>1</x:v>
      </x:c>
      <x:c r="K7548" s="6" t="n">
        <x:f>IF(G7548&gt;H7548,1,0)</x:f>
        <x:v>1</x:v>
      </x:c>
      <x:c r="L7548" s="6" t="n">
        <x:f>J7548*K7548</x:f>
        <x:v>1</x:v>
      </x:c>
    </x:row>
    <x:row r="7549">
      <x:c r="A7549" s="1" t="n">
        <x:v>60291</x:v>
      </x:c>
      <x:c r="B7549" s="5" t="d">
        <x:v>2017-05-30T00:00:00.000Z</x:v>
      </x:c>
      <x:c r="C7549" s="1" t="str">
        <x:v>Standard Class</x:v>
      </x:c>
      <x:c r="D7549" s="1" t="str">
        <x:v>LATAM</x:v>
      </x:c>
      <x:c r="E7549" s="1" t="str">
        <x:v>COMPLETE</x:v>
      </x:c>
      <x:c r="F7549" s="1" t="str">
        <x:v>Advance shipping</x:v>
      </x:c>
      <x:c r="G7549" s="6" t="n">
        <x:v>2</x:v>
      </x:c>
      <x:c r="H7549" s="6" t="n">
        <x:v>4</x:v>
      </x:c>
      <x:c r="I7549" s="6" t="n">
        <x:f>G7549-H7549</x:f>
        <x:v>-2</x:v>
      </x:c>
      <x:c r="J7549" s="6" t="n">
        <x:f>IF(OR(E7549="CANCELED",E7549="SUSPECTED_FRAUD",F7549="Shipping canceled"),0,1)</x:f>
        <x:v>1</x:v>
      </x:c>
      <x:c r="K7549" s="6" t="n">
        <x:f>IF(G7549&gt;H7549,1,0)</x:f>
        <x:v>0</x:v>
      </x:c>
      <x:c r="L7549" s="6" t="n">
        <x:f>J7549*K7549</x:f>
        <x:v>0</x:v>
      </x:c>
    </x:row>
    <x:row r="7550">
      <x:c r="A7550" s="1" t="n">
        <x:v>60294</x:v>
      </x:c>
      <x:c r="B7550" s="5" t="d">
        <x:v>2017-05-30T00:00:00.000Z</x:v>
      </x:c>
      <x:c r="C7550" s="1" t="str">
        <x:v>Same Day</x:v>
      </x:c>
      <x:c r="D7550" s="1" t="str">
        <x:v>LATAM</x:v>
      </x:c>
      <x:c r="E7550" s="1" t="str">
        <x:v>PROCESSING</x:v>
      </x:c>
      <x:c r="F7550" s="1" t="str">
        <x:v>Shipping on time</x:v>
      </x:c>
      <x:c r="G7550" s="6" t="n">
        <x:v>0</x:v>
      </x:c>
      <x:c r="H7550" s="6" t="n">
        <x:v>0</x:v>
      </x:c>
      <x:c r="I7550" s="6" t="n">
        <x:f>G7550-H7550</x:f>
        <x:v>0</x:v>
      </x:c>
      <x:c r="J7550" s="6" t="n">
        <x:f>IF(OR(E7550="CANCELED",E7550="SUSPECTED_FRAUD",F7550="Shipping canceled"),0,1)</x:f>
        <x:v>1</x:v>
      </x:c>
      <x:c r="K7550" s="6" t="n">
        <x:f>IF(G7550&gt;H7550,1,0)</x:f>
        <x:v>0</x:v>
      </x:c>
      <x:c r="L7550" s="6" t="n">
        <x:f>J7550*K7550</x:f>
        <x:v>0</x:v>
      </x:c>
    </x:row>
    <x:row r="7551">
      <x:c r="A7551" s="1" t="n">
        <x:v>60297</x:v>
      </x:c>
      <x:c r="B7551" s="5" t="d">
        <x:v>2017-05-30T00:00:00.000Z</x:v>
      </x:c>
      <x:c r="C7551" s="1" t="str">
        <x:v>Standard Class</x:v>
      </x:c>
      <x:c r="D7551" s="1" t="str">
        <x:v>LATAM</x:v>
      </x:c>
      <x:c r="E7551" s="1" t="str">
        <x:v>COMPLETE</x:v>
      </x:c>
      <x:c r="F7551" s="1" t="str">
        <x:v>Advance shipping</x:v>
      </x:c>
      <x:c r="G7551" s="6" t="n">
        <x:v>3</x:v>
      </x:c>
      <x:c r="H7551" s="6" t="n">
        <x:v>4</x:v>
      </x:c>
      <x:c r="I7551" s="6" t="n">
        <x:f>G7551-H7551</x:f>
        <x:v>-1</x:v>
      </x:c>
      <x:c r="J7551" s="6" t="n">
        <x:f>IF(OR(E7551="CANCELED",E7551="SUSPECTED_FRAUD",F7551="Shipping canceled"),0,1)</x:f>
        <x:v>1</x:v>
      </x:c>
      <x:c r="K7551" s="6" t="n">
        <x:f>IF(G7551&gt;H7551,1,0)</x:f>
        <x:v>0</x:v>
      </x:c>
      <x:c r="L7551" s="6" t="n">
        <x:f>J7551*K7551</x:f>
        <x:v>0</x:v>
      </x:c>
    </x:row>
    <x:row r="7552">
      <x:c r="A7552" s="1" t="n">
        <x:v>60299</x:v>
      </x:c>
      <x:c r="B7552" s="5" t="d">
        <x:v>2017-05-30T00:00:00.000Z</x:v>
      </x:c>
      <x:c r="C7552" s="1" t="str">
        <x:v>Standard Class</x:v>
      </x:c>
      <x:c r="D7552" s="1" t="str">
        <x:v>LATAM</x:v>
      </x:c>
      <x:c r="E7552" s="1" t="str">
        <x:v>PENDING</x:v>
      </x:c>
      <x:c r="F7552" s="1" t="str">
        <x:v>Late delivery</x:v>
      </x:c>
      <x:c r="G7552" s="6" t="n">
        <x:v>5</x:v>
      </x:c>
      <x:c r="H7552" s="6" t="n">
        <x:v>4</x:v>
      </x:c>
      <x:c r="I7552" s="6" t="n">
        <x:f>G7552-H7552</x:f>
        <x:v>1</x:v>
      </x:c>
      <x:c r="J7552" s="6" t="n">
        <x:f>IF(OR(E7552="CANCELED",E7552="SUSPECTED_FRAUD",F7552="Shipping canceled"),0,1)</x:f>
        <x:v>1</x:v>
      </x:c>
      <x:c r="K7552" s="6" t="n">
        <x:f>IF(G7552&gt;H7552,1,0)</x:f>
        <x:v>1</x:v>
      </x:c>
      <x:c r="L7552" s="6" t="n">
        <x:f>J7552*K7552</x:f>
        <x:v>1</x:v>
      </x:c>
    </x:row>
    <x:row r="7553">
      <x:c r="A7553" s="1" t="n">
        <x:v>60317</x:v>
      </x:c>
      <x:c r="B7553" s="5" t="d">
        <x:v>2017-05-30T00:00:00.000Z</x:v>
      </x:c>
      <x:c r="C7553" s="1" t="str">
        <x:v>Standard Class</x:v>
      </x:c>
      <x:c r="D7553" s="1" t="str">
        <x:v>LATAM</x:v>
      </x:c>
      <x:c r="E7553" s="1" t="str">
        <x:v>PROCESSING</x:v>
      </x:c>
      <x:c r="F7553" s="1" t="str">
        <x:v>Advance shipping</x:v>
      </x:c>
      <x:c r="G7553" s="6" t="n">
        <x:v>3</x:v>
      </x:c>
      <x:c r="H7553" s="6" t="n">
        <x:v>4</x:v>
      </x:c>
      <x:c r="I7553" s="6" t="n">
        <x:f>G7553-H7553</x:f>
        <x:v>-1</x:v>
      </x:c>
      <x:c r="J7553" s="6" t="n">
        <x:f>IF(OR(E7553="CANCELED",E7553="SUSPECTED_FRAUD",F7553="Shipping canceled"),0,1)</x:f>
        <x:v>1</x:v>
      </x:c>
      <x:c r="K7553" s="6" t="n">
        <x:f>IF(G7553&gt;H7553,1,0)</x:f>
        <x:v>0</x:v>
      </x:c>
      <x:c r="L7553" s="6" t="n">
        <x:f>J7553*K7553</x:f>
        <x:v>0</x:v>
      </x:c>
    </x:row>
    <x:row r="7554">
      <x:c r="A7554" s="1" t="n">
        <x:v>60320</x:v>
      </x:c>
      <x:c r="B7554" s="5" t="d">
        <x:v>2017-05-30T00:00:00.000Z</x:v>
      </x:c>
      <x:c r="C7554" s="1" t="str">
        <x:v>Standard Class</x:v>
      </x:c>
      <x:c r="D7554" s="1" t="str">
        <x:v>LATAM</x:v>
      </x:c>
      <x:c r="E7554" s="1" t="str">
        <x:v>PENDING</x:v>
      </x:c>
      <x:c r="F7554" s="1" t="str">
        <x:v>Late delivery</x:v>
      </x:c>
      <x:c r="G7554" s="6" t="n">
        <x:v>6</x:v>
      </x:c>
      <x:c r="H7554" s="6" t="n">
        <x:v>4</x:v>
      </x:c>
      <x:c r="I7554" s="6" t="n">
        <x:f>G7554-H7554</x:f>
        <x:v>2</x:v>
      </x:c>
      <x:c r="J7554" s="6" t="n">
        <x:f>IF(OR(E7554="CANCELED",E7554="SUSPECTED_FRAUD",F7554="Shipping canceled"),0,1)</x:f>
        <x:v>1</x:v>
      </x:c>
      <x:c r="K7554" s="6" t="n">
        <x:f>IF(G7554&gt;H7554,1,0)</x:f>
        <x:v>1</x:v>
      </x:c>
      <x:c r="L7554" s="6" t="n">
        <x:f>J7554*K7554</x:f>
        <x:v>1</x:v>
      </x:c>
    </x:row>
    <x:row r="7555">
      <x:c r="A7555" s="1" t="n">
        <x:v>60329</x:v>
      </x:c>
      <x:c r="B7555" s="5" t="d">
        <x:v>2017-05-30T00:00:00.000Z</x:v>
      </x:c>
      <x:c r="C7555" s="1" t="str">
        <x:v>Standard Class</x:v>
      </x:c>
      <x:c r="D7555" s="1" t="str">
        <x:v>LATAM</x:v>
      </x:c>
      <x:c r="E7555" s="1" t="str">
        <x:v>COMPLETE</x:v>
      </x:c>
      <x:c r="F7555" s="1" t="str">
        <x:v>Late delivery</x:v>
      </x:c>
      <x:c r="G7555" s="6" t="n">
        <x:v>5</x:v>
      </x:c>
      <x:c r="H7555" s="6" t="n">
        <x:v>4</x:v>
      </x:c>
      <x:c r="I7555" s="6" t="n">
        <x:f>G7555-H7555</x:f>
        <x:v>1</x:v>
      </x:c>
      <x:c r="J7555" s="6" t="n">
        <x:f>IF(OR(E7555="CANCELED",E7555="SUSPECTED_FRAUD",F7555="Shipping canceled"),0,1)</x:f>
        <x:v>1</x:v>
      </x:c>
      <x:c r="K7555" s="6" t="n">
        <x:f>IF(G7555&gt;H7555,1,0)</x:f>
        <x:v>1</x:v>
      </x:c>
      <x:c r="L7555" s="6" t="n">
        <x:f>J7555*K7555</x:f>
        <x:v>1</x:v>
      </x:c>
    </x:row>
    <x:row r="7556">
      <x:c r="A7556" s="1" t="n">
        <x:v>60333</x:v>
      </x:c>
      <x:c r="B7556" s="5" t="d">
        <x:v>2017-05-30T00:00:00.000Z</x:v>
      </x:c>
      <x:c r="C7556" s="1" t="str">
        <x:v>Standard Class</x:v>
      </x:c>
      <x:c r="D7556" s="1" t="str">
        <x:v>LATAM</x:v>
      </x:c>
      <x:c r="E7556" s="1" t="str">
        <x:v>COMPLETE</x:v>
      </x:c>
      <x:c r="F7556" s="1" t="str">
        <x:v>Shipping on time</x:v>
      </x:c>
      <x:c r="G7556" s="6" t="n">
        <x:v>4</x:v>
      </x:c>
      <x:c r="H7556" s="6" t="n">
        <x:v>4</x:v>
      </x:c>
      <x:c r="I7556" s="6" t="n">
        <x:f>G7556-H7556</x:f>
        <x:v>0</x:v>
      </x:c>
      <x:c r="J7556" s="6" t="n">
        <x:f>IF(OR(E7556="CANCELED",E7556="SUSPECTED_FRAUD",F7556="Shipping canceled"),0,1)</x:f>
        <x:v>1</x:v>
      </x:c>
      <x:c r="K7556" s="6" t="n">
        <x:f>IF(G7556&gt;H7556,1,0)</x:f>
        <x:v>0</x:v>
      </x:c>
      <x:c r="L7556" s="6" t="n">
        <x:f>J7556*K7556</x:f>
        <x:v>0</x:v>
      </x:c>
    </x:row>
    <x:row r="7557">
      <x:c r="A7557" s="1" t="n">
        <x:v>60343</x:v>
      </x:c>
      <x:c r="B7557" s="5" t="d">
        <x:v>2017-05-30T00:00:00.000Z</x:v>
      </x:c>
      <x:c r="C7557" s="1" t="str">
        <x:v>Standard Class</x:v>
      </x:c>
      <x:c r="D7557" s="1" t="str">
        <x:v>LATAM</x:v>
      </x:c>
      <x:c r="E7557" s="1" t="str">
        <x:v>COMPLETE</x:v>
      </x:c>
      <x:c r="F7557" s="1" t="str">
        <x:v>Shipping on time</x:v>
      </x:c>
      <x:c r="G7557" s="6" t="n">
        <x:v>4</x:v>
      </x:c>
      <x:c r="H7557" s="6" t="n">
        <x:v>4</x:v>
      </x:c>
      <x:c r="I7557" s="6" t="n">
        <x:f>G7557-H7557</x:f>
        <x:v>0</x:v>
      </x:c>
      <x:c r="J7557" s="6" t="n">
        <x:f>IF(OR(E7557="CANCELED",E7557="SUSPECTED_FRAUD",F7557="Shipping canceled"),0,1)</x:f>
        <x:v>1</x:v>
      </x:c>
      <x:c r="K7557" s="6" t="n">
        <x:f>IF(G7557&gt;H7557,1,0)</x:f>
        <x:v>0</x:v>
      </x:c>
      <x:c r="L7557" s="6" t="n">
        <x:f>J7557*K7557</x:f>
        <x:v>0</x:v>
      </x:c>
    </x:row>
    <x:row r="7558">
      <x:c r="A7558" s="1" t="n">
        <x:v>60350</x:v>
      </x:c>
      <x:c r="B7558" s="5" t="d">
        <x:v>2017-05-30T00:00:00.000Z</x:v>
      </x:c>
      <x:c r="C7558" s="1" t="str">
        <x:v>Standard Class</x:v>
      </x:c>
      <x:c r="D7558" s="1" t="str">
        <x:v>LATAM</x:v>
      </x:c>
      <x:c r="E7558" s="1" t="str">
        <x:v>COMPLETE</x:v>
      </x:c>
      <x:c r="F7558" s="1" t="str">
        <x:v>Late delivery</x:v>
      </x:c>
      <x:c r="G7558" s="6" t="n">
        <x:v>6</x:v>
      </x:c>
      <x:c r="H7558" s="6" t="n">
        <x:v>4</x:v>
      </x:c>
      <x:c r="I7558" s="6" t="n">
        <x:f>G7558-H7558</x:f>
        <x:v>2</x:v>
      </x:c>
      <x:c r="J7558" s="6" t="n">
        <x:f>IF(OR(E7558="CANCELED",E7558="SUSPECTED_FRAUD",F7558="Shipping canceled"),0,1)</x:f>
        <x:v>1</x:v>
      </x:c>
      <x:c r="K7558" s="6" t="n">
        <x:f>IF(G7558&gt;H7558,1,0)</x:f>
        <x:v>1</x:v>
      </x:c>
      <x:c r="L7558" s="6" t="n">
        <x:f>J7558*K7558</x:f>
        <x:v>1</x:v>
      </x:c>
    </x:row>
    <x:row r="7559">
      <x:c r="A7559" s="1" t="n">
        <x:v>60357</x:v>
      </x:c>
      <x:c r="B7559" s="5" t="d">
        <x:v>2017-05-31T00:00:00.000Z</x:v>
      </x:c>
      <x:c r="C7559" s="1" t="str">
        <x:v>Standard Class</x:v>
      </x:c>
      <x:c r="D7559" s="1" t="str">
        <x:v>LATAM</x:v>
      </x:c>
      <x:c r="E7559" s="1" t="str">
        <x:v>PENDING</x:v>
      </x:c>
      <x:c r="F7559" s="1" t="str">
        <x:v>Advance shipping</x:v>
      </x:c>
      <x:c r="G7559" s="6" t="n">
        <x:v>3</x:v>
      </x:c>
      <x:c r="H7559" s="6" t="n">
        <x:v>4</x:v>
      </x:c>
      <x:c r="I7559" s="6" t="n">
        <x:f>G7559-H7559</x:f>
        <x:v>-1</x:v>
      </x:c>
      <x:c r="J7559" s="6" t="n">
        <x:f>IF(OR(E7559="CANCELED",E7559="SUSPECTED_FRAUD",F7559="Shipping canceled"),0,1)</x:f>
        <x:v>1</x:v>
      </x:c>
      <x:c r="K7559" s="6" t="n">
        <x:f>IF(G7559&gt;H7559,1,0)</x:f>
        <x:v>0</x:v>
      </x:c>
      <x:c r="L7559" s="6" t="n">
        <x:f>J7559*K7559</x:f>
        <x:v>0</x:v>
      </x:c>
    </x:row>
    <x:row r="7560">
      <x:c r="A7560" s="1" t="n">
        <x:v>60361</x:v>
      </x:c>
      <x:c r="B7560" s="5" t="d">
        <x:v>2017-05-31T00:00:00.000Z</x:v>
      </x:c>
      <x:c r="C7560" s="1" t="str">
        <x:v>Standard Class</x:v>
      </x:c>
      <x:c r="D7560" s="1" t="str">
        <x:v>LATAM</x:v>
      </x:c>
      <x:c r="E7560" s="1" t="str">
        <x:v>PROCESSING</x:v>
      </x:c>
      <x:c r="F7560" s="1" t="str">
        <x:v>Advance shipping</x:v>
      </x:c>
      <x:c r="G7560" s="6" t="n">
        <x:v>2</x:v>
      </x:c>
      <x:c r="H7560" s="6" t="n">
        <x:v>4</x:v>
      </x:c>
      <x:c r="I7560" s="6" t="n">
        <x:f>G7560-H7560</x:f>
        <x:v>-2</x:v>
      </x:c>
      <x:c r="J7560" s="6" t="n">
        <x:f>IF(OR(E7560="CANCELED",E7560="SUSPECTED_FRAUD",F7560="Shipping canceled"),0,1)</x:f>
        <x:v>1</x:v>
      </x:c>
      <x:c r="K7560" s="6" t="n">
        <x:f>IF(G7560&gt;H7560,1,0)</x:f>
        <x:v>0</x:v>
      </x:c>
      <x:c r="L7560" s="6" t="n">
        <x:f>J7560*K7560</x:f>
        <x:v>0</x:v>
      </x:c>
    </x:row>
    <x:row r="7561">
      <x:c r="A7561" s="1" t="n">
        <x:v>60368</x:v>
      </x:c>
      <x:c r="B7561" s="5" t="d">
        <x:v>2017-05-31T00:00:00.000Z</x:v>
      </x:c>
      <x:c r="C7561" s="1" t="str">
        <x:v>Standard Class</x:v>
      </x:c>
      <x:c r="D7561" s="1" t="str">
        <x:v>LATAM</x:v>
      </x:c>
      <x:c r="E7561" s="1" t="str">
        <x:v>PROCESSING</x:v>
      </x:c>
      <x:c r="F7561" s="1" t="str">
        <x:v>Shipping on time</x:v>
      </x:c>
      <x:c r="G7561" s="6" t="n">
        <x:v>4</x:v>
      </x:c>
      <x:c r="H7561" s="6" t="n">
        <x:v>4</x:v>
      </x:c>
      <x:c r="I7561" s="6" t="n">
        <x:f>G7561-H7561</x:f>
        <x:v>0</x:v>
      </x:c>
      <x:c r="J7561" s="6" t="n">
        <x:f>IF(OR(E7561="CANCELED",E7561="SUSPECTED_FRAUD",F7561="Shipping canceled"),0,1)</x:f>
        <x:v>1</x:v>
      </x:c>
      <x:c r="K7561" s="6" t="n">
        <x:f>IF(G7561&gt;H7561,1,0)</x:f>
        <x:v>0</x:v>
      </x:c>
      <x:c r="L7561" s="6" t="n">
        <x:f>J7561*K7561</x:f>
        <x:v>0</x:v>
      </x:c>
    </x:row>
    <x:row r="7562">
      <x:c r="A7562" s="1" t="n">
        <x:v>60376</x:v>
      </x:c>
      <x:c r="B7562" s="5" t="d">
        <x:v>2017-05-31T00:00:00.000Z</x:v>
      </x:c>
      <x:c r="C7562" s="1" t="str">
        <x:v>Standard Class</x:v>
      </x:c>
      <x:c r="D7562" s="1" t="str">
        <x:v>LATAM</x:v>
      </x:c>
      <x:c r="E7562" s="1" t="str">
        <x:v>PROCESSING</x:v>
      </x:c>
      <x:c r="F7562" s="1" t="str">
        <x:v>Advance shipping</x:v>
      </x:c>
      <x:c r="G7562" s="6" t="n">
        <x:v>2</x:v>
      </x:c>
      <x:c r="H7562" s="6" t="n">
        <x:v>4</x:v>
      </x:c>
      <x:c r="I7562" s="6" t="n">
        <x:f>G7562-H7562</x:f>
        <x:v>-2</x:v>
      </x:c>
      <x:c r="J7562" s="6" t="n">
        <x:f>IF(OR(E7562="CANCELED",E7562="SUSPECTED_FRAUD",F7562="Shipping canceled"),0,1)</x:f>
        <x:v>1</x:v>
      </x:c>
      <x:c r="K7562" s="6" t="n">
        <x:f>IF(G7562&gt;H7562,1,0)</x:f>
        <x:v>0</x:v>
      </x:c>
      <x:c r="L7562" s="6" t="n">
        <x:f>J7562*K7562</x:f>
        <x:v>0</x:v>
      </x:c>
    </x:row>
    <x:row r="7563">
      <x:c r="A7563" s="1" t="n">
        <x:v>60386</x:v>
      </x:c>
      <x:c r="B7563" s="5" t="d">
        <x:v>2017-05-31T00:00:00.000Z</x:v>
      </x:c>
      <x:c r="C7563" s="1" t="str">
        <x:v>Standard Class</x:v>
      </x:c>
      <x:c r="D7563" s="1" t="str">
        <x:v>LATAM</x:v>
      </x:c>
      <x:c r="E7563" s="1" t="str">
        <x:v>PENDING</x:v>
      </x:c>
      <x:c r="F7563" s="1" t="str">
        <x:v>Advance shipping</x:v>
      </x:c>
      <x:c r="G7563" s="6" t="n">
        <x:v>2</x:v>
      </x:c>
      <x:c r="H7563" s="6" t="n">
        <x:v>4</x:v>
      </x:c>
      <x:c r="I7563" s="6" t="n">
        <x:f>G7563-H7563</x:f>
        <x:v>-2</x:v>
      </x:c>
      <x:c r="J7563" s="6" t="n">
        <x:f>IF(OR(E7563="CANCELED",E7563="SUSPECTED_FRAUD",F7563="Shipping canceled"),0,1)</x:f>
        <x:v>1</x:v>
      </x:c>
      <x:c r="K7563" s="6" t="n">
        <x:f>IF(G7563&gt;H7563,1,0)</x:f>
        <x:v>0</x:v>
      </x:c>
      <x:c r="L7563" s="6" t="n">
        <x:f>J7563*K7563</x:f>
        <x:v>0</x:v>
      </x:c>
    </x:row>
    <x:row r="7564">
      <x:c r="A7564" s="1" t="n">
        <x:v>60402</x:v>
      </x:c>
      <x:c r="B7564" s="5" t="d">
        <x:v>2017-05-31T00:00:00.000Z</x:v>
      </x:c>
      <x:c r="C7564" s="1" t="str">
        <x:v>Standard Class</x:v>
      </x:c>
      <x:c r="D7564" s="1" t="str">
        <x:v>LATAM</x:v>
      </x:c>
      <x:c r="E7564" s="1" t="str">
        <x:v>COMPLETE</x:v>
      </x:c>
      <x:c r="F7564" s="1" t="str">
        <x:v>Advance shipping</x:v>
      </x:c>
      <x:c r="G7564" s="6" t="n">
        <x:v>3</x:v>
      </x:c>
      <x:c r="H7564" s="6" t="n">
        <x:v>4</x:v>
      </x:c>
      <x:c r="I7564" s="6" t="n">
        <x:f>G7564-H7564</x:f>
        <x:v>-1</x:v>
      </x:c>
      <x:c r="J7564" s="6" t="n">
        <x:f>IF(OR(E7564="CANCELED",E7564="SUSPECTED_FRAUD",F7564="Shipping canceled"),0,1)</x:f>
        <x:v>1</x:v>
      </x:c>
      <x:c r="K7564" s="6" t="n">
        <x:f>IF(G7564&gt;H7564,1,0)</x:f>
        <x:v>0</x:v>
      </x:c>
      <x:c r="L7564" s="6" t="n">
        <x:f>J7564*K7564</x:f>
        <x:v>0</x:v>
      </x:c>
    </x:row>
    <x:row r="7565">
      <x:c r="A7565" s="1" t="n">
        <x:v>60416</x:v>
      </x:c>
      <x:c r="B7565" s="5" t="d">
        <x:v>2017-05-31T00:00:00.000Z</x:v>
      </x:c>
      <x:c r="C7565" s="1" t="str">
        <x:v>Standard Class</x:v>
      </x:c>
      <x:c r="D7565" s="1" t="str">
        <x:v>LATAM</x:v>
      </x:c>
      <x:c r="E7565" s="1" t="str">
        <x:v>COMPLETE</x:v>
      </x:c>
      <x:c r="F7565" s="1" t="str">
        <x:v>Advance shipping</x:v>
      </x:c>
      <x:c r="G7565" s="6" t="n">
        <x:v>2</x:v>
      </x:c>
      <x:c r="H7565" s="6" t="n">
        <x:v>4</x:v>
      </x:c>
      <x:c r="I7565" s="6" t="n">
        <x:f>G7565-H7565</x:f>
        <x:v>-2</x:v>
      </x:c>
      <x:c r="J7565" s="6" t="n">
        <x:f>IF(OR(E7565="CANCELED",E7565="SUSPECTED_FRAUD",F7565="Shipping canceled"),0,1)</x:f>
        <x:v>1</x:v>
      </x:c>
      <x:c r="K7565" s="6" t="n">
        <x:f>IF(G7565&gt;H7565,1,0)</x:f>
        <x:v>0</x:v>
      </x:c>
      <x:c r="L7565" s="6" t="n">
        <x:f>J7565*K7565</x:f>
        <x:v>0</x:v>
      </x:c>
    </x:row>
    <x:row r="7566">
      <x:c r="A7566" s="1" t="n">
        <x:v>60429</x:v>
      </x:c>
      <x:c r="B7566" s="5" t="d">
        <x:v>2017-06-01T00:00:00.000Z</x:v>
      </x:c>
      <x:c r="C7566" s="1" t="str">
        <x:v>Standard Class</x:v>
      </x:c>
      <x:c r="D7566" s="1" t="str">
        <x:v>LATAM</x:v>
      </x:c>
      <x:c r="E7566" s="1" t="str">
        <x:v>PENDING</x:v>
      </x:c>
      <x:c r="F7566" s="1" t="str">
        <x:v>Late delivery</x:v>
      </x:c>
      <x:c r="G7566" s="6" t="n">
        <x:v>5</x:v>
      </x:c>
      <x:c r="H7566" s="6" t="n">
        <x:v>4</x:v>
      </x:c>
      <x:c r="I7566" s="6" t="n">
        <x:f>G7566-H7566</x:f>
        <x:v>1</x:v>
      </x:c>
      <x:c r="J7566" s="6" t="n">
        <x:f>IF(OR(E7566="CANCELED",E7566="SUSPECTED_FRAUD",F7566="Shipping canceled"),0,1)</x:f>
        <x:v>1</x:v>
      </x:c>
      <x:c r="K7566" s="6" t="n">
        <x:f>IF(G7566&gt;H7566,1,0)</x:f>
        <x:v>1</x:v>
      </x:c>
      <x:c r="L7566" s="6" t="n">
        <x:f>J7566*K7566</x:f>
        <x:v>1</x:v>
      </x:c>
    </x:row>
    <x:row r="7567">
      <x:c r="A7567" s="1" t="n">
        <x:v>60445</x:v>
      </x:c>
      <x:c r="B7567" s="5" t="d">
        <x:v>2017-06-01T00:00:00.000Z</x:v>
      </x:c>
      <x:c r="C7567" s="1" t="str">
        <x:v>Standard Class</x:v>
      </x:c>
      <x:c r="D7567" s="1" t="str">
        <x:v>LATAM</x:v>
      </x:c>
      <x:c r="E7567" s="1" t="str">
        <x:v>PROCESSING</x:v>
      </x:c>
      <x:c r="F7567" s="1" t="str">
        <x:v>Late delivery</x:v>
      </x:c>
      <x:c r="G7567" s="6" t="n">
        <x:v>6</x:v>
      </x:c>
      <x:c r="H7567" s="6" t="n">
        <x:v>4</x:v>
      </x:c>
      <x:c r="I7567" s="6" t="n">
        <x:f>G7567-H7567</x:f>
        <x:v>2</x:v>
      </x:c>
      <x:c r="J7567" s="6" t="n">
        <x:f>IF(OR(E7567="CANCELED",E7567="SUSPECTED_FRAUD",F7567="Shipping canceled"),0,1)</x:f>
        <x:v>1</x:v>
      </x:c>
      <x:c r="K7567" s="6" t="n">
        <x:f>IF(G7567&gt;H7567,1,0)</x:f>
        <x:v>1</x:v>
      </x:c>
      <x:c r="L7567" s="6" t="n">
        <x:f>J7567*K7567</x:f>
        <x:v>1</x:v>
      </x:c>
    </x:row>
    <x:row r="7568">
      <x:c r="A7568" s="1" t="n">
        <x:v>60446</x:v>
      </x:c>
      <x:c r="B7568" s="5" t="d">
        <x:v>2017-06-01T00:00:00.000Z</x:v>
      </x:c>
      <x:c r="C7568" s="1" t="str">
        <x:v>First Class</x:v>
      </x:c>
      <x:c r="D7568" s="1" t="str">
        <x:v>LATAM</x:v>
      </x:c>
      <x:c r="E7568" s="1" t="str">
        <x:v>CLOSED</x:v>
      </x:c>
      <x:c r="F7568" s="1" t="str">
        <x:v>Late delivery</x:v>
      </x:c>
      <x:c r="G7568" s="6" t="n">
        <x:v>2</x:v>
      </x:c>
      <x:c r="H7568" s="6" t="n">
        <x:v>1</x:v>
      </x:c>
      <x:c r="I7568" s="6" t="n">
        <x:f>G7568-H7568</x:f>
        <x:v>1</x:v>
      </x:c>
      <x:c r="J7568" s="6" t="n">
        <x:f>IF(OR(E7568="CANCELED",E7568="SUSPECTED_FRAUD",F7568="Shipping canceled"),0,1)</x:f>
        <x:v>1</x:v>
      </x:c>
      <x:c r="K7568" s="6" t="n">
        <x:f>IF(G7568&gt;H7568,1,0)</x:f>
        <x:v>1</x:v>
      </x:c>
      <x:c r="L7568" s="6" t="n">
        <x:f>J7568*K7568</x:f>
        <x:v>1</x:v>
      </x:c>
    </x:row>
    <x:row r="7569">
      <x:c r="A7569" s="1" t="n">
        <x:v>60453</x:v>
      </x:c>
      <x:c r="B7569" s="5" t="d">
        <x:v>2017-06-01T00:00:00.000Z</x:v>
      </x:c>
      <x:c r="C7569" s="1" t="str">
        <x:v>Second Class</x:v>
      </x:c>
      <x:c r="D7569" s="1" t="str">
        <x:v>LATAM</x:v>
      </x:c>
      <x:c r="E7569" s="1" t="str">
        <x:v>COMPLETE</x:v>
      </x:c>
      <x:c r="F7569" s="1" t="str">
        <x:v>Late delivery</x:v>
      </x:c>
      <x:c r="G7569" s="6" t="n">
        <x:v>4</x:v>
      </x:c>
      <x:c r="H7569" s="6" t="n">
        <x:v>2</x:v>
      </x:c>
      <x:c r="I7569" s="6" t="n">
        <x:f>G7569-H7569</x:f>
        <x:v>2</x:v>
      </x:c>
      <x:c r="J7569" s="6" t="n">
        <x:f>IF(OR(E7569="CANCELED",E7569="SUSPECTED_FRAUD",F7569="Shipping canceled"),0,1)</x:f>
        <x:v>1</x:v>
      </x:c>
      <x:c r="K7569" s="6" t="n">
        <x:f>IF(G7569&gt;H7569,1,0)</x:f>
        <x:v>1</x:v>
      </x:c>
      <x:c r="L7569" s="6" t="n">
        <x:f>J7569*K7569</x:f>
        <x:v>1</x:v>
      </x:c>
    </x:row>
    <x:row r="7570">
      <x:c r="A7570" s="1" t="n">
        <x:v>60460</x:v>
      </x:c>
      <x:c r="B7570" s="5" t="d">
        <x:v>2017-06-01T00:00:00.000Z</x:v>
      </x:c>
      <x:c r="C7570" s="1" t="str">
        <x:v>Standard Class</x:v>
      </x:c>
      <x:c r="D7570" s="1" t="str">
        <x:v>LATAM</x:v>
      </x:c>
      <x:c r="E7570" s="1" t="str">
        <x:v>SUSPECTED_FRAUD</x:v>
      </x:c>
      <x:c r="F7570" s="1" t="str">
        <x:v>Shipping canceled</x:v>
      </x:c>
      <x:c r="G7570" s="6" t="n">
        <x:v>6</x:v>
      </x:c>
      <x:c r="H7570" s="6" t="n">
        <x:v>4</x:v>
      </x:c>
      <x:c r="I7570" s="6" t="n">
        <x:f>G7570-H7570</x:f>
        <x:v>2</x:v>
      </x:c>
      <x:c r="J7570" s="6" t="n">
        <x:f>IF(OR(E7570="CANCELED",E7570="SUSPECTED_FRAUD",F7570="Shipping canceled"),0,1)</x:f>
        <x:v>0</x:v>
      </x:c>
      <x:c r="K7570" s="6" t="n">
        <x:f>IF(G7570&gt;H7570,1,0)</x:f>
        <x:v>1</x:v>
      </x:c>
      <x:c r="L7570" s="6" t="n">
        <x:f>J7570*K7570</x:f>
        <x:v>0</x:v>
      </x:c>
    </x:row>
    <x:row r="7571">
      <x:c r="A7571" s="1" t="n">
        <x:v>60467</x:v>
      </x:c>
      <x:c r="B7571" s="5" t="d">
        <x:v>2017-06-01T00:00:00.000Z</x:v>
      </x:c>
      <x:c r="C7571" s="1" t="str">
        <x:v>Standard Class</x:v>
      </x:c>
      <x:c r="D7571" s="1" t="str">
        <x:v>LATAM</x:v>
      </x:c>
      <x:c r="E7571" s="1" t="str">
        <x:v>COMPLETE</x:v>
      </x:c>
      <x:c r="F7571" s="1" t="str">
        <x:v>Advance shipping</x:v>
      </x:c>
      <x:c r="G7571" s="6" t="n">
        <x:v>3</x:v>
      </x:c>
      <x:c r="H7571" s="6" t="n">
        <x:v>4</x:v>
      </x:c>
      <x:c r="I7571" s="6" t="n">
        <x:f>G7571-H7571</x:f>
        <x:v>-1</x:v>
      </x:c>
      <x:c r="J7571" s="6" t="n">
        <x:f>IF(OR(E7571="CANCELED",E7571="SUSPECTED_FRAUD",F7571="Shipping canceled"),0,1)</x:f>
        <x:v>1</x:v>
      </x:c>
      <x:c r="K7571" s="6" t="n">
        <x:f>IF(G7571&gt;H7571,1,0)</x:f>
        <x:v>0</x:v>
      </x:c>
      <x:c r="L7571" s="6" t="n">
        <x:f>J7571*K7571</x:f>
        <x:v>0</x:v>
      </x:c>
    </x:row>
    <x:row r="7572">
      <x:c r="A7572" s="1" t="n">
        <x:v>60468</x:v>
      </x:c>
      <x:c r="B7572" s="5" t="d">
        <x:v>2017-06-01T00:00:00.000Z</x:v>
      </x:c>
      <x:c r="C7572" s="1" t="str">
        <x:v>Standard Class</x:v>
      </x:c>
      <x:c r="D7572" s="1" t="str">
        <x:v>LATAM</x:v>
      </x:c>
      <x:c r="E7572" s="1" t="str">
        <x:v>PENDING_PAYMENT</x:v>
      </x:c>
      <x:c r="F7572" s="1" t="str">
        <x:v>Shipping on time</x:v>
      </x:c>
      <x:c r="G7572" s="6" t="n">
        <x:v>4</x:v>
      </x:c>
      <x:c r="H7572" s="6" t="n">
        <x:v>4</x:v>
      </x:c>
      <x:c r="I7572" s="6" t="n">
        <x:f>G7572-H7572</x:f>
        <x:v>0</x:v>
      </x:c>
      <x:c r="J7572" s="6" t="n">
        <x:f>IF(OR(E7572="CANCELED",E7572="SUSPECTED_FRAUD",F7572="Shipping canceled"),0,1)</x:f>
        <x:v>1</x:v>
      </x:c>
      <x:c r="K7572" s="6" t="n">
        <x:f>IF(G7572&gt;H7572,1,0)</x:f>
        <x:v>0</x:v>
      </x:c>
      <x:c r="L7572" s="6" t="n">
        <x:f>J7572*K7572</x:f>
        <x:v>0</x:v>
      </x:c>
    </x:row>
    <x:row r="7573">
      <x:c r="A7573" s="1" t="n">
        <x:v>60472</x:v>
      </x:c>
      <x:c r="B7573" s="5" t="d">
        <x:v>2017-06-01T00:00:00.000Z</x:v>
      </x:c>
      <x:c r="C7573" s="1" t="str">
        <x:v>Standard Class</x:v>
      </x:c>
      <x:c r="D7573" s="1" t="str">
        <x:v>LATAM</x:v>
      </x:c>
      <x:c r="E7573" s="1" t="str">
        <x:v>CLOSED</x:v>
      </x:c>
      <x:c r="F7573" s="1" t="str">
        <x:v>Advance shipping</x:v>
      </x:c>
      <x:c r="G7573" s="6" t="n">
        <x:v>3</x:v>
      </x:c>
      <x:c r="H7573" s="6" t="n">
        <x:v>4</x:v>
      </x:c>
      <x:c r="I7573" s="6" t="n">
        <x:f>G7573-H7573</x:f>
        <x:v>-1</x:v>
      </x:c>
      <x:c r="J7573" s="6" t="n">
        <x:f>IF(OR(E7573="CANCELED",E7573="SUSPECTED_FRAUD",F7573="Shipping canceled"),0,1)</x:f>
        <x:v>1</x:v>
      </x:c>
      <x:c r="K7573" s="6" t="n">
        <x:f>IF(G7573&gt;H7573,1,0)</x:f>
        <x:v>0</x:v>
      </x:c>
      <x:c r="L7573" s="6" t="n">
        <x:f>J7573*K7573</x:f>
        <x:v>0</x:v>
      </x:c>
    </x:row>
    <x:row r="7574">
      <x:c r="A7574" s="1" t="n">
        <x:v>60495</x:v>
      </x:c>
      <x:c r="B7574" s="5" t="d">
        <x:v>2017-06-02T00:00:00.000Z</x:v>
      </x:c>
      <x:c r="C7574" s="1" t="str">
        <x:v>First Class</x:v>
      </x:c>
      <x:c r="D7574" s="1" t="str">
        <x:v>LATAM</x:v>
      </x:c>
      <x:c r="E7574" s="1" t="str">
        <x:v>CLOSED</x:v>
      </x:c>
      <x:c r="F7574" s="1" t="str">
        <x:v>Late delivery</x:v>
      </x:c>
      <x:c r="G7574" s="6" t="n">
        <x:v>2</x:v>
      </x:c>
      <x:c r="H7574" s="6" t="n">
        <x:v>1</x:v>
      </x:c>
      <x:c r="I7574" s="6" t="n">
        <x:f>G7574-H7574</x:f>
        <x:v>1</x:v>
      </x:c>
      <x:c r="J7574" s="6" t="n">
        <x:f>IF(OR(E7574="CANCELED",E7574="SUSPECTED_FRAUD",F7574="Shipping canceled"),0,1)</x:f>
        <x:v>1</x:v>
      </x:c>
      <x:c r="K7574" s="6" t="n">
        <x:f>IF(G7574&gt;H7574,1,0)</x:f>
        <x:v>1</x:v>
      </x:c>
      <x:c r="L7574" s="6" t="n">
        <x:f>J7574*K7574</x:f>
        <x:v>1</x:v>
      </x:c>
    </x:row>
    <x:row r="7575">
      <x:c r="A7575" s="1" t="n">
        <x:v>60511</x:v>
      </x:c>
      <x:c r="B7575" s="5" t="d">
        <x:v>2017-06-02T00:00:00.000Z</x:v>
      </x:c>
      <x:c r="C7575" s="1" t="str">
        <x:v>Second Class</x:v>
      </x:c>
      <x:c r="D7575" s="1" t="str">
        <x:v>LATAM</x:v>
      </x:c>
      <x:c r="E7575" s="1" t="str">
        <x:v>COMPLETE</x:v>
      </x:c>
      <x:c r="F7575" s="1" t="str">
        <x:v>Shipping on time</x:v>
      </x:c>
      <x:c r="G7575" s="6" t="n">
        <x:v>2</x:v>
      </x:c>
      <x:c r="H7575" s="6" t="n">
        <x:v>2</x:v>
      </x:c>
      <x:c r="I7575" s="6" t="n">
        <x:f>G7575-H7575</x:f>
        <x:v>0</x:v>
      </x:c>
      <x:c r="J7575" s="6" t="n">
        <x:f>IF(OR(E7575="CANCELED",E7575="SUSPECTED_FRAUD",F7575="Shipping canceled"),0,1)</x:f>
        <x:v>1</x:v>
      </x:c>
      <x:c r="K7575" s="6" t="n">
        <x:f>IF(G7575&gt;H7575,1,0)</x:f>
        <x:v>0</x:v>
      </x:c>
      <x:c r="L7575" s="6" t="n">
        <x:f>J7575*K7575</x:f>
        <x:v>0</x:v>
      </x:c>
    </x:row>
    <x:row r="7576">
      <x:c r="A7576" s="1" t="n">
        <x:v>60514</x:v>
      </x:c>
      <x:c r="B7576" s="5" t="d">
        <x:v>2017-06-02T00:00:00.000Z</x:v>
      </x:c>
      <x:c r="C7576" s="1" t="str">
        <x:v>Standard Class</x:v>
      </x:c>
      <x:c r="D7576" s="1" t="str">
        <x:v>LATAM</x:v>
      </x:c>
      <x:c r="E7576" s="1" t="str">
        <x:v>SUSPECTED_FRAUD</x:v>
      </x:c>
      <x:c r="F7576" s="1" t="str">
        <x:v>Shipping canceled</x:v>
      </x:c>
      <x:c r="G7576" s="6" t="n">
        <x:v>5</x:v>
      </x:c>
      <x:c r="H7576" s="6" t="n">
        <x:v>4</x:v>
      </x:c>
      <x:c r="I7576" s="6" t="n">
        <x:f>G7576-H7576</x:f>
        <x:v>1</x:v>
      </x:c>
      <x:c r="J7576" s="6" t="n">
        <x:f>IF(OR(E7576="CANCELED",E7576="SUSPECTED_FRAUD",F7576="Shipping canceled"),0,1)</x:f>
        <x:v>0</x:v>
      </x:c>
      <x:c r="K7576" s="6" t="n">
        <x:f>IF(G7576&gt;H7576,1,0)</x:f>
        <x:v>1</x:v>
      </x:c>
      <x:c r="L7576" s="6" t="n">
        <x:f>J7576*K7576</x:f>
        <x:v>0</x:v>
      </x:c>
    </x:row>
    <x:row r="7577">
      <x:c r="A7577" s="1" t="n">
        <x:v>60520</x:v>
      </x:c>
      <x:c r="B7577" s="5" t="d">
        <x:v>2017-06-02T00:00:00.000Z</x:v>
      </x:c>
      <x:c r="C7577" s="1" t="str">
        <x:v>First Class</x:v>
      </x:c>
      <x:c r="D7577" s="1" t="str">
        <x:v>LATAM</x:v>
      </x:c>
      <x:c r="E7577" s="1" t="str">
        <x:v>CLOSED</x:v>
      </x:c>
      <x:c r="F7577" s="1" t="str">
        <x:v>Late delivery</x:v>
      </x:c>
      <x:c r="G7577" s="6" t="n">
        <x:v>2</x:v>
      </x:c>
      <x:c r="H7577" s="6" t="n">
        <x:v>1</x:v>
      </x:c>
      <x:c r="I7577" s="6" t="n">
        <x:f>G7577-H7577</x:f>
        <x:v>1</x:v>
      </x:c>
      <x:c r="J7577" s="6" t="n">
        <x:f>IF(OR(E7577="CANCELED",E7577="SUSPECTED_FRAUD",F7577="Shipping canceled"),0,1)</x:f>
        <x:v>1</x:v>
      </x:c>
      <x:c r="K7577" s="6" t="n">
        <x:f>IF(G7577&gt;H7577,1,0)</x:f>
        <x:v>1</x:v>
      </x:c>
      <x:c r="L7577" s="6" t="n">
        <x:f>J7577*K7577</x:f>
        <x:v>1</x:v>
      </x:c>
    </x:row>
    <x:row r="7578">
      <x:c r="A7578" s="1" t="n">
        <x:v>60524</x:v>
      </x:c>
      <x:c r="B7578" s="5" t="d">
        <x:v>2017-06-02T00:00:00.000Z</x:v>
      </x:c>
      <x:c r="C7578" s="1" t="str">
        <x:v>Second Class</x:v>
      </x:c>
      <x:c r="D7578" s="1" t="str">
        <x:v>LATAM</x:v>
      </x:c>
      <x:c r="E7578" s="1" t="str">
        <x:v>PENDING</x:v>
      </x:c>
      <x:c r="F7578" s="1" t="str">
        <x:v>Late delivery</x:v>
      </x:c>
      <x:c r="G7578" s="6" t="n">
        <x:v>5</x:v>
      </x:c>
      <x:c r="H7578" s="6" t="n">
        <x:v>2</x:v>
      </x:c>
      <x:c r="I7578" s="6" t="n">
        <x:f>G7578-H7578</x:f>
        <x:v>3</x:v>
      </x:c>
      <x:c r="J7578" s="6" t="n">
        <x:f>IF(OR(E7578="CANCELED",E7578="SUSPECTED_FRAUD",F7578="Shipping canceled"),0,1)</x:f>
        <x:v>1</x:v>
      </x:c>
      <x:c r="K7578" s="6" t="n">
        <x:f>IF(G7578&gt;H7578,1,0)</x:f>
        <x:v>1</x:v>
      </x:c>
      <x:c r="L7578" s="6" t="n">
        <x:f>J7578*K7578</x:f>
        <x:v>1</x:v>
      </x:c>
    </x:row>
    <x:row r="7579">
      <x:c r="A7579" s="1" t="n">
        <x:v>60526</x:v>
      </x:c>
      <x:c r="B7579" s="5" t="d">
        <x:v>2017-06-02T00:00:00.000Z</x:v>
      </x:c>
      <x:c r="C7579" s="1" t="str">
        <x:v>Standard Class</x:v>
      </x:c>
      <x:c r="D7579" s="1" t="str">
        <x:v>LATAM</x:v>
      </x:c>
      <x:c r="E7579" s="1" t="str">
        <x:v>PENDING_PAYMENT</x:v>
      </x:c>
      <x:c r="F7579" s="1" t="str">
        <x:v>Advance shipping</x:v>
      </x:c>
      <x:c r="G7579" s="6" t="n">
        <x:v>2</x:v>
      </x:c>
      <x:c r="H7579" s="6" t="n">
        <x:v>4</x:v>
      </x:c>
      <x:c r="I7579" s="6" t="n">
        <x:f>G7579-H7579</x:f>
        <x:v>-2</x:v>
      </x:c>
      <x:c r="J7579" s="6" t="n">
        <x:f>IF(OR(E7579="CANCELED",E7579="SUSPECTED_FRAUD",F7579="Shipping canceled"),0,1)</x:f>
        <x:v>1</x:v>
      </x:c>
      <x:c r="K7579" s="6" t="n">
        <x:f>IF(G7579&gt;H7579,1,0)</x:f>
        <x:v>0</x:v>
      </x:c>
      <x:c r="L7579" s="6" t="n">
        <x:f>J7579*K7579</x:f>
        <x:v>0</x:v>
      </x:c>
    </x:row>
    <x:row r="7580">
      <x:c r="A7580" s="1" t="n">
        <x:v>60542</x:v>
      </x:c>
      <x:c r="B7580" s="5" t="d">
        <x:v>2017-06-02T00:00:00.000Z</x:v>
      </x:c>
      <x:c r="C7580" s="1" t="str">
        <x:v>Standard Class</x:v>
      </x:c>
      <x:c r="D7580" s="1" t="str">
        <x:v>LATAM</x:v>
      </x:c>
      <x:c r="E7580" s="1" t="str">
        <x:v>PENDING</x:v>
      </x:c>
      <x:c r="F7580" s="1" t="str">
        <x:v>Advance shipping</x:v>
      </x:c>
      <x:c r="G7580" s="6" t="n">
        <x:v>3</x:v>
      </x:c>
      <x:c r="H7580" s="6" t="n">
        <x:v>4</x:v>
      </x:c>
      <x:c r="I7580" s="6" t="n">
        <x:f>G7580-H7580</x:f>
        <x:v>-1</x:v>
      </x:c>
      <x:c r="J7580" s="6" t="n">
        <x:f>IF(OR(E7580="CANCELED",E7580="SUSPECTED_FRAUD",F7580="Shipping canceled"),0,1)</x:f>
        <x:v>1</x:v>
      </x:c>
      <x:c r="K7580" s="6" t="n">
        <x:f>IF(G7580&gt;H7580,1,0)</x:f>
        <x:v>0</x:v>
      </x:c>
      <x:c r="L7580" s="6" t="n">
        <x:f>J7580*K7580</x:f>
        <x:v>0</x:v>
      </x:c>
    </x:row>
    <x:row r="7581">
      <x:c r="A7581" s="1" t="n">
        <x:v>60546</x:v>
      </x:c>
      <x:c r="B7581" s="5" t="d">
        <x:v>2017-06-02T00:00:00.000Z</x:v>
      </x:c>
      <x:c r="C7581" s="1" t="str">
        <x:v>Second Class</x:v>
      </x:c>
      <x:c r="D7581" s="1" t="str">
        <x:v>LATAM</x:v>
      </x:c>
      <x:c r="E7581" s="1" t="str">
        <x:v>COMPLETE</x:v>
      </x:c>
      <x:c r="F7581" s="1" t="str">
        <x:v>Shipping on time</x:v>
      </x:c>
      <x:c r="G7581" s="6" t="n">
        <x:v>2</x:v>
      </x:c>
      <x:c r="H7581" s="6" t="n">
        <x:v>2</x:v>
      </x:c>
      <x:c r="I7581" s="6" t="n">
        <x:f>G7581-H7581</x:f>
        <x:v>0</x:v>
      </x:c>
      <x:c r="J7581" s="6" t="n">
        <x:f>IF(OR(E7581="CANCELED",E7581="SUSPECTED_FRAUD",F7581="Shipping canceled"),0,1)</x:f>
        <x:v>1</x:v>
      </x:c>
      <x:c r="K7581" s="6" t="n">
        <x:f>IF(G7581&gt;H7581,1,0)</x:f>
        <x:v>0</x:v>
      </x:c>
      <x:c r="L7581" s="6" t="n">
        <x:f>J7581*K7581</x:f>
        <x:v>0</x:v>
      </x:c>
    </x:row>
    <x:row r="7582">
      <x:c r="A7582" s="1" t="n">
        <x:v>60567</x:v>
      </x:c>
      <x:c r="B7582" s="5" t="d">
        <x:v>2017-06-03T00:00:00.000Z</x:v>
      </x:c>
      <x:c r="C7582" s="1" t="str">
        <x:v>Standard Class</x:v>
      </x:c>
      <x:c r="D7582" s="1" t="str">
        <x:v>LATAM</x:v>
      </x:c>
      <x:c r="E7582" s="1" t="str">
        <x:v>PROCESSING</x:v>
      </x:c>
      <x:c r="F7582" s="1" t="str">
        <x:v>Advance shipping</x:v>
      </x:c>
      <x:c r="G7582" s="6" t="n">
        <x:v>3</x:v>
      </x:c>
      <x:c r="H7582" s="6" t="n">
        <x:v>4</x:v>
      </x:c>
      <x:c r="I7582" s="6" t="n">
        <x:f>G7582-H7582</x:f>
        <x:v>-1</x:v>
      </x:c>
      <x:c r="J7582" s="6" t="n">
        <x:f>IF(OR(E7582="CANCELED",E7582="SUSPECTED_FRAUD",F7582="Shipping canceled"),0,1)</x:f>
        <x:v>1</x:v>
      </x:c>
      <x:c r="K7582" s="6" t="n">
        <x:f>IF(G7582&gt;H7582,1,0)</x:f>
        <x:v>0</x:v>
      </x:c>
      <x:c r="L7582" s="6" t="n">
        <x:f>J7582*K7582</x:f>
        <x:v>0</x:v>
      </x:c>
    </x:row>
    <x:row r="7583">
      <x:c r="A7583" s="1" t="n">
        <x:v>60573</x:v>
      </x:c>
      <x:c r="B7583" s="5" t="d">
        <x:v>2017-06-03T00:00:00.000Z</x:v>
      </x:c>
      <x:c r="C7583" s="1" t="str">
        <x:v>Standard Class</x:v>
      </x:c>
      <x:c r="D7583" s="1" t="str">
        <x:v>LATAM</x:v>
      </x:c>
      <x:c r="E7583" s="1" t="str">
        <x:v>COMPLETE</x:v>
      </x:c>
      <x:c r="F7583" s="1" t="str">
        <x:v>Shipping on time</x:v>
      </x:c>
      <x:c r="G7583" s="6" t="n">
        <x:v>4</x:v>
      </x:c>
      <x:c r="H7583" s="6" t="n">
        <x:v>4</x:v>
      </x:c>
      <x:c r="I7583" s="6" t="n">
        <x:f>G7583-H7583</x:f>
        <x:v>0</x:v>
      </x:c>
      <x:c r="J7583" s="6" t="n">
        <x:f>IF(OR(E7583="CANCELED",E7583="SUSPECTED_FRAUD",F7583="Shipping canceled"),0,1)</x:f>
        <x:v>1</x:v>
      </x:c>
      <x:c r="K7583" s="6" t="n">
        <x:f>IF(G7583&gt;H7583,1,0)</x:f>
        <x:v>0</x:v>
      </x:c>
      <x:c r="L7583" s="6" t="n">
        <x:f>J7583*K7583</x:f>
        <x:v>0</x:v>
      </x:c>
    </x:row>
    <x:row r="7584">
      <x:c r="A7584" s="1" t="n">
        <x:v>60582</x:v>
      </x:c>
      <x:c r="B7584" s="5" t="d">
        <x:v>2017-06-03T00:00:00.000Z</x:v>
      </x:c>
      <x:c r="C7584" s="1" t="str">
        <x:v>Standard Class</x:v>
      </x:c>
      <x:c r="D7584" s="1" t="str">
        <x:v>LATAM</x:v>
      </x:c>
      <x:c r="E7584" s="1" t="str">
        <x:v>PROCESSING</x:v>
      </x:c>
      <x:c r="F7584" s="1" t="str">
        <x:v>Advance shipping</x:v>
      </x:c>
      <x:c r="G7584" s="6" t="n">
        <x:v>3</x:v>
      </x:c>
      <x:c r="H7584" s="6" t="n">
        <x:v>4</x:v>
      </x:c>
      <x:c r="I7584" s="6" t="n">
        <x:f>G7584-H7584</x:f>
        <x:v>-1</x:v>
      </x:c>
      <x:c r="J7584" s="6" t="n">
        <x:f>IF(OR(E7584="CANCELED",E7584="SUSPECTED_FRAUD",F7584="Shipping canceled"),0,1)</x:f>
        <x:v>1</x:v>
      </x:c>
      <x:c r="K7584" s="6" t="n">
        <x:f>IF(G7584&gt;H7584,1,0)</x:f>
        <x:v>0</x:v>
      </x:c>
      <x:c r="L7584" s="6" t="n">
        <x:f>J7584*K7584</x:f>
        <x:v>0</x:v>
      </x:c>
    </x:row>
    <x:row r="7585">
      <x:c r="A7585" s="1" t="n">
        <x:v>60598</x:v>
      </x:c>
      <x:c r="B7585" s="5" t="d">
        <x:v>2017-06-03T00:00:00.000Z</x:v>
      </x:c>
      <x:c r="C7585" s="1" t="str">
        <x:v>Standard Class</x:v>
      </x:c>
      <x:c r="D7585" s="1" t="str">
        <x:v>LATAM</x:v>
      </x:c>
      <x:c r="E7585" s="1" t="str">
        <x:v>CLOSED</x:v>
      </x:c>
      <x:c r="F7585" s="1" t="str">
        <x:v>Shipping on time</x:v>
      </x:c>
      <x:c r="G7585" s="6" t="n">
        <x:v>4</x:v>
      </x:c>
      <x:c r="H7585" s="6" t="n">
        <x:v>4</x:v>
      </x:c>
      <x:c r="I7585" s="6" t="n">
        <x:f>G7585-H7585</x:f>
        <x:v>0</x:v>
      </x:c>
      <x:c r="J7585" s="6" t="n">
        <x:f>IF(OR(E7585="CANCELED",E7585="SUSPECTED_FRAUD",F7585="Shipping canceled"),0,1)</x:f>
        <x:v>1</x:v>
      </x:c>
      <x:c r="K7585" s="6" t="n">
        <x:f>IF(G7585&gt;H7585,1,0)</x:f>
        <x:v>0</x:v>
      </x:c>
      <x:c r="L7585" s="6" t="n">
        <x:f>J7585*K7585</x:f>
        <x:v>0</x:v>
      </x:c>
    </x:row>
    <x:row r="7586">
      <x:c r="A7586" s="1" t="n">
        <x:v>60601</x:v>
      </x:c>
      <x:c r="B7586" s="5" t="d">
        <x:v>2017-06-03T00:00:00.000Z</x:v>
      </x:c>
      <x:c r="C7586" s="1" t="str">
        <x:v>Standard Class</x:v>
      </x:c>
      <x:c r="D7586" s="1" t="str">
        <x:v>LATAM</x:v>
      </x:c>
      <x:c r="E7586" s="1" t="str">
        <x:v>ON_HOLD</x:v>
      </x:c>
      <x:c r="F7586" s="1" t="str">
        <x:v>Advance shipping</x:v>
      </x:c>
      <x:c r="G7586" s="6" t="n">
        <x:v>2</x:v>
      </x:c>
      <x:c r="H7586" s="6" t="n">
        <x:v>4</x:v>
      </x:c>
      <x:c r="I7586" s="6" t="n">
        <x:f>G7586-H7586</x:f>
        <x:v>-2</x:v>
      </x:c>
      <x:c r="J7586" s="6" t="n">
        <x:f>IF(OR(E7586="CANCELED",E7586="SUSPECTED_FRAUD",F7586="Shipping canceled"),0,1)</x:f>
        <x:v>1</x:v>
      </x:c>
      <x:c r="K7586" s="6" t="n">
        <x:f>IF(G7586&gt;H7586,1,0)</x:f>
        <x:v>0</x:v>
      </x:c>
      <x:c r="L7586" s="6" t="n">
        <x:f>J7586*K7586</x:f>
        <x:v>0</x:v>
      </x:c>
    </x:row>
    <x:row r="7587">
      <x:c r="A7587" s="1" t="n">
        <x:v>60614</x:v>
      </x:c>
      <x:c r="B7587" s="5" t="d">
        <x:v>2017-06-03T00:00:00.000Z</x:v>
      </x:c>
      <x:c r="C7587" s="1" t="str">
        <x:v>Standard Class</x:v>
      </x:c>
      <x:c r="D7587" s="1" t="str">
        <x:v>LATAM</x:v>
      </x:c>
      <x:c r="E7587" s="1" t="str">
        <x:v>ON_HOLD</x:v>
      </x:c>
      <x:c r="F7587" s="1" t="str">
        <x:v>Late delivery</x:v>
      </x:c>
      <x:c r="G7587" s="6" t="n">
        <x:v>5</x:v>
      </x:c>
      <x:c r="H7587" s="6" t="n">
        <x:v>4</x:v>
      </x:c>
      <x:c r="I7587" s="6" t="n">
        <x:f>G7587-H7587</x:f>
        <x:v>1</x:v>
      </x:c>
      <x:c r="J7587" s="6" t="n">
        <x:f>IF(OR(E7587="CANCELED",E7587="SUSPECTED_FRAUD",F7587="Shipping canceled"),0,1)</x:f>
        <x:v>1</x:v>
      </x:c>
      <x:c r="K7587" s="6" t="n">
        <x:f>IF(G7587&gt;H7587,1,0)</x:f>
        <x:v>1</x:v>
      </x:c>
      <x:c r="L7587" s="6" t="n">
        <x:f>J7587*K7587</x:f>
        <x:v>1</x:v>
      </x:c>
    </x:row>
    <x:row r="7588">
      <x:c r="A7588" s="1" t="n">
        <x:v>60632</x:v>
      </x:c>
      <x:c r="B7588" s="5" t="d">
        <x:v>2017-06-04T00:00:00.000Z</x:v>
      </x:c>
      <x:c r="C7588" s="1" t="str">
        <x:v>First Class</x:v>
      </x:c>
      <x:c r="D7588" s="1" t="str">
        <x:v>LATAM</x:v>
      </x:c>
      <x:c r="E7588" s="1" t="str">
        <x:v>PENDING</x:v>
      </x:c>
      <x:c r="F7588" s="1" t="str">
        <x:v>Late delivery</x:v>
      </x:c>
      <x:c r="G7588" s="6" t="n">
        <x:v>2</x:v>
      </x:c>
      <x:c r="H7588" s="6" t="n">
        <x:v>1</x:v>
      </x:c>
      <x:c r="I7588" s="6" t="n">
        <x:f>G7588-H7588</x:f>
        <x:v>1</x:v>
      </x:c>
      <x:c r="J7588" s="6" t="n">
        <x:f>IF(OR(E7588="CANCELED",E7588="SUSPECTED_FRAUD",F7588="Shipping canceled"),0,1)</x:f>
        <x:v>1</x:v>
      </x:c>
      <x:c r="K7588" s="6" t="n">
        <x:f>IF(G7588&gt;H7588,1,0)</x:f>
        <x:v>1</x:v>
      </x:c>
      <x:c r="L7588" s="6" t="n">
        <x:f>J7588*K7588</x:f>
        <x:v>1</x:v>
      </x:c>
    </x:row>
    <x:row r="7589">
      <x:c r="A7589" s="1" t="n">
        <x:v>60639</x:v>
      </x:c>
      <x:c r="B7589" s="5" t="d">
        <x:v>2017-06-04T00:00:00.000Z</x:v>
      </x:c>
      <x:c r="C7589" s="1" t="str">
        <x:v>Standard Class</x:v>
      </x:c>
      <x:c r="D7589" s="1" t="str">
        <x:v>LATAM</x:v>
      </x:c>
      <x:c r="E7589" s="1" t="str">
        <x:v>ON_HOLD</x:v>
      </x:c>
      <x:c r="F7589" s="1" t="str">
        <x:v>Late delivery</x:v>
      </x:c>
      <x:c r="G7589" s="6" t="n">
        <x:v>5</x:v>
      </x:c>
      <x:c r="H7589" s="6" t="n">
        <x:v>4</x:v>
      </x:c>
      <x:c r="I7589" s="6" t="n">
        <x:f>G7589-H7589</x:f>
        <x:v>1</x:v>
      </x:c>
      <x:c r="J7589" s="6" t="n">
        <x:f>IF(OR(E7589="CANCELED",E7589="SUSPECTED_FRAUD",F7589="Shipping canceled"),0,1)</x:f>
        <x:v>1</x:v>
      </x:c>
      <x:c r="K7589" s="6" t="n">
        <x:f>IF(G7589&gt;H7589,1,0)</x:f>
        <x:v>1</x:v>
      </x:c>
      <x:c r="L7589" s="6" t="n">
        <x:f>J7589*K7589</x:f>
        <x:v>1</x:v>
      </x:c>
    </x:row>
    <x:row r="7590">
      <x:c r="A7590" s="1" t="n">
        <x:v>60640</x:v>
      </x:c>
      <x:c r="B7590" s="5" t="d">
        <x:v>2017-06-04T00:00:00.000Z</x:v>
      </x:c>
      <x:c r="C7590" s="1" t="str">
        <x:v>Standard Class</x:v>
      </x:c>
      <x:c r="D7590" s="1" t="str">
        <x:v>LATAM</x:v>
      </x:c>
      <x:c r="E7590" s="1" t="str">
        <x:v>COMPLETE</x:v>
      </x:c>
      <x:c r="F7590" s="1" t="str">
        <x:v>Late delivery</x:v>
      </x:c>
      <x:c r="G7590" s="6" t="n">
        <x:v>6</x:v>
      </x:c>
      <x:c r="H7590" s="6" t="n">
        <x:v>4</x:v>
      </x:c>
      <x:c r="I7590" s="6" t="n">
        <x:f>G7590-H7590</x:f>
        <x:v>2</x:v>
      </x:c>
      <x:c r="J7590" s="6" t="n">
        <x:f>IF(OR(E7590="CANCELED",E7590="SUSPECTED_FRAUD",F7590="Shipping canceled"),0,1)</x:f>
        <x:v>1</x:v>
      </x:c>
      <x:c r="K7590" s="6" t="n">
        <x:f>IF(G7590&gt;H7590,1,0)</x:f>
        <x:v>1</x:v>
      </x:c>
      <x:c r="L7590" s="6" t="n">
        <x:f>J7590*K7590</x:f>
        <x:v>1</x:v>
      </x:c>
    </x:row>
    <x:row r="7591">
      <x:c r="A7591" s="1" t="n">
        <x:v>60649</x:v>
      </x:c>
      <x:c r="B7591" s="5" t="d">
        <x:v>2017-06-04T00:00:00.000Z</x:v>
      </x:c>
      <x:c r="C7591" s="1" t="str">
        <x:v>Same Day</x:v>
      </x:c>
      <x:c r="D7591" s="1" t="str">
        <x:v>LATAM</x:v>
      </x:c>
      <x:c r="E7591" s="1" t="str">
        <x:v>PROCESSING</x:v>
      </x:c>
      <x:c r="F7591" s="1" t="str">
        <x:v>Shipping on time</x:v>
      </x:c>
      <x:c r="G7591" s="6" t="n">
        <x:v>0</x:v>
      </x:c>
      <x:c r="H7591" s="6" t="n">
        <x:v>0</x:v>
      </x:c>
      <x:c r="I7591" s="6" t="n">
        <x:f>G7591-H7591</x:f>
        <x:v>0</x:v>
      </x:c>
      <x:c r="J7591" s="6" t="n">
        <x:f>IF(OR(E7591="CANCELED",E7591="SUSPECTED_FRAUD",F7591="Shipping canceled"),0,1)</x:f>
        <x:v>1</x:v>
      </x:c>
      <x:c r="K7591" s="6" t="n">
        <x:f>IF(G7591&gt;H7591,1,0)</x:f>
        <x:v>0</x:v>
      </x:c>
      <x:c r="L7591" s="6" t="n">
        <x:f>J7591*K7591</x:f>
        <x:v>0</x:v>
      </x:c>
    </x:row>
    <x:row r="7592">
      <x:c r="A7592" s="1" t="n">
        <x:v>60658</x:v>
      </x:c>
      <x:c r="B7592" s="5" t="d">
        <x:v>2017-06-04T00:00:00.000Z</x:v>
      </x:c>
      <x:c r="C7592" s="1" t="str">
        <x:v>First Class</x:v>
      </x:c>
      <x:c r="D7592" s="1" t="str">
        <x:v>LATAM</x:v>
      </x:c>
      <x:c r="E7592" s="1" t="str">
        <x:v>PROCESSING</x:v>
      </x:c>
      <x:c r="F7592" s="1" t="str">
        <x:v>Late delivery</x:v>
      </x:c>
      <x:c r="G7592" s="6" t="n">
        <x:v>2</x:v>
      </x:c>
      <x:c r="H7592" s="6" t="n">
        <x:v>1</x:v>
      </x:c>
      <x:c r="I7592" s="6" t="n">
        <x:f>G7592-H7592</x:f>
        <x:v>1</x:v>
      </x:c>
      <x:c r="J7592" s="6" t="n">
        <x:f>IF(OR(E7592="CANCELED",E7592="SUSPECTED_FRAUD",F7592="Shipping canceled"),0,1)</x:f>
        <x:v>1</x:v>
      </x:c>
      <x:c r="K7592" s="6" t="n">
        <x:f>IF(G7592&gt;H7592,1,0)</x:f>
        <x:v>1</x:v>
      </x:c>
      <x:c r="L7592" s="6" t="n">
        <x:f>J7592*K7592</x:f>
        <x:v>1</x:v>
      </x:c>
    </x:row>
    <x:row r="7593">
      <x:c r="A7593" s="1" t="n">
        <x:v>60673</x:v>
      </x:c>
      <x:c r="B7593" s="5" t="d">
        <x:v>2017-06-04T00:00:00.000Z</x:v>
      </x:c>
      <x:c r="C7593" s="1" t="str">
        <x:v>Standard Class</x:v>
      </x:c>
      <x:c r="D7593" s="1" t="str">
        <x:v>LATAM</x:v>
      </x:c>
      <x:c r="E7593" s="1" t="str">
        <x:v>PENDING</x:v>
      </x:c>
      <x:c r="F7593" s="1" t="str">
        <x:v>Shipping on time</x:v>
      </x:c>
      <x:c r="G7593" s="6" t="n">
        <x:v>4</x:v>
      </x:c>
      <x:c r="H7593" s="6" t="n">
        <x:v>4</x:v>
      </x:c>
      <x:c r="I7593" s="6" t="n">
        <x:f>G7593-H7593</x:f>
        <x:v>0</x:v>
      </x:c>
      <x:c r="J7593" s="6" t="n">
        <x:f>IF(OR(E7593="CANCELED",E7593="SUSPECTED_FRAUD",F7593="Shipping canceled"),0,1)</x:f>
        <x:v>1</x:v>
      </x:c>
      <x:c r="K7593" s="6" t="n">
        <x:f>IF(G7593&gt;H7593,1,0)</x:f>
        <x:v>0</x:v>
      </x:c>
      <x:c r="L7593" s="6" t="n">
        <x:f>J7593*K7593</x:f>
        <x:v>0</x:v>
      </x:c>
    </x:row>
    <x:row r="7594">
      <x:c r="A7594" s="1" t="n">
        <x:v>60685</x:v>
      </x:c>
      <x:c r="B7594" s="5" t="d">
        <x:v>2017-06-04T00:00:00.000Z</x:v>
      </x:c>
      <x:c r="C7594" s="1" t="str">
        <x:v>Second Class</x:v>
      </x:c>
      <x:c r="D7594" s="1" t="str">
        <x:v>LATAM</x:v>
      </x:c>
      <x:c r="E7594" s="1" t="str">
        <x:v>COMPLETE</x:v>
      </x:c>
      <x:c r="F7594" s="1" t="str">
        <x:v>Late delivery</x:v>
      </x:c>
      <x:c r="G7594" s="6" t="n">
        <x:v>6</x:v>
      </x:c>
      <x:c r="H7594" s="6" t="n">
        <x:v>2</x:v>
      </x:c>
      <x:c r="I7594" s="6" t="n">
        <x:f>G7594-H7594</x:f>
        <x:v>4</x:v>
      </x:c>
      <x:c r="J7594" s="6" t="n">
        <x:f>IF(OR(E7594="CANCELED",E7594="SUSPECTED_FRAUD",F7594="Shipping canceled"),0,1)</x:f>
        <x:v>1</x:v>
      </x:c>
      <x:c r="K7594" s="6" t="n">
        <x:f>IF(G7594&gt;H7594,1,0)</x:f>
        <x:v>1</x:v>
      </x:c>
      <x:c r="L7594" s="6" t="n">
        <x:f>J7594*K7594</x:f>
        <x:v>1</x:v>
      </x:c>
    </x:row>
    <x:row r="7595">
      <x:c r="A7595" s="1" t="n">
        <x:v>60689</x:v>
      </x:c>
      <x:c r="B7595" s="5" t="d">
        <x:v>2017-06-04T00:00:00.000Z</x:v>
      </x:c>
      <x:c r="C7595" s="1" t="str">
        <x:v>Standard Class</x:v>
      </x:c>
      <x:c r="D7595" s="1" t="str">
        <x:v>LATAM</x:v>
      </x:c>
      <x:c r="E7595" s="1" t="str">
        <x:v>PENDING_PAYMENT</x:v>
      </x:c>
      <x:c r="F7595" s="1" t="str">
        <x:v>Late delivery</x:v>
      </x:c>
      <x:c r="G7595" s="6" t="n">
        <x:v>5</x:v>
      </x:c>
      <x:c r="H7595" s="6" t="n">
        <x:v>4</x:v>
      </x:c>
      <x:c r="I7595" s="6" t="n">
        <x:f>G7595-H7595</x:f>
        <x:v>1</x:v>
      </x:c>
      <x:c r="J7595" s="6" t="n">
        <x:f>IF(OR(E7595="CANCELED",E7595="SUSPECTED_FRAUD",F7595="Shipping canceled"),0,1)</x:f>
        <x:v>1</x:v>
      </x:c>
      <x:c r="K7595" s="6" t="n">
        <x:f>IF(G7595&gt;H7595,1,0)</x:f>
        <x:v>1</x:v>
      </x:c>
      <x:c r="L7595" s="6" t="n">
        <x:f>J7595*K7595</x:f>
        <x:v>1</x:v>
      </x:c>
    </x:row>
    <x:row r="7596">
      <x:c r="A7596" s="1" t="n">
        <x:v>60691</x:v>
      </x:c>
      <x:c r="B7596" s="5" t="d">
        <x:v>2017-06-04T00:00:00.000Z</x:v>
      </x:c>
      <x:c r="C7596" s="1" t="str">
        <x:v>Standard Class</x:v>
      </x:c>
      <x:c r="D7596" s="1" t="str">
        <x:v>LATAM</x:v>
      </x:c>
      <x:c r="E7596" s="1" t="str">
        <x:v>PENDING</x:v>
      </x:c>
      <x:c r="F7596" s="1" t="str">
        <x:v>Advance shipping</x:v>
      </x:c>
      <x:c r="G7596" s="6" t="n">
        <x:v>2</x:v>
      </x:c>
      <x:c r="H7596" s="6" t="n">
        <x:v>4</x:v>
      </x:c>
      <x:c r="I7596" s="6" t="n">
        <x:f>G7596-H7596</x:f>
        <x:v>-2</x:v>
      </x:c>
      <x:c r="J7596" s="6" t="n">
        <x:f>IF(OR(E7596="CANCELED",E7596="SUSPECTED_FRAUD",F7596="Shipping canceled"),0,1)</x:f>
        <x:v>1</x:v>
      </x:c>
      <x:c r="K7596" s="6" t="n">
        <x:f>IF(G7596&gt;H7596,1,0)</x:f>
        <x:v>0</x:v>
      </x:c>
      <x:c r="L7596" s="6" t="n">
        <x:f>J7596*K7596</x:f>
        <x:v>0</x:v>
      </x:c>
    </x:row>
    <x:row r="7597">
      <x:c r="A7597" s="1" t="n">
        <x:v>60693</x:v>
      </x:c>
      <x:c r="B7597" s="5" t="d">
        <x:v>2017-06-04T00:00:00.000Z</x:v>
      </x:c>
      <x:c r="C7597" s="1" t="str">
        <x:v>Standard Class</x:v>
      </x:c>
      <x:c r="D7597" s="1" t="str">
        <x:v>LATAM</x:v>
      </x:c>
      <x:c r="E7597" s="1" t="str">
        <x:v>PENDING_PAYMENT</x:v>
      </x:c>
      <x:c r="F7597" s="1" t="str">
        <x:v>Shipping on time</x:v>
      </x:c>
      <x:c r="G7597" s="6" t="n">
        <x:v>4</x:v>
      </x:c>
      <x:c r="H7597" s="6" t="n">
        <x:v>4</x:v>
      </x:c>
      <x:c r="I7597" s="6" t="n">
        <x:f>G7597-H7597</x:f>
        <x:v>0</x:v>
      </x:c>
      <x:c r="J7597" s="6" t="n">
        <x:f>IF(OR(E7597="CANCELED",E7597="SUSPECTED_FRAUD",F7597="Shipping canceled"),0,1)</x:f>
        <x:v>1</x:v>
      </x:c>
      <x:c r="K7597" s="6" t="n">
        <x:f>IF(G7597&gt;H7597,1,0)</x:f>
        <x:v>0</x:v>
      </x:c>
      <x:c r="L7597" s="6" t="n">
        <x:f>J7597*K7597</x:f>
        <x:v>0</x:v>
      </x:c>
    </x:row>
    <x:row r="7598">
      <x:c r="A7598" s="1" t="n">
        <x:v>60701</x:v>
      </x:c>
      <x:c r="B7598" s="5" t="d">
        <x:v>2017-06-05T00:00:00.000Z</x:v>
      </x:c>
      <x:c r="C7598" s="1" t="str">
        <x:v>Standard Class</x:v>
      </x:c>
      <x:c r="D7598" s="1" t="str">
        <x:v>LATAM</x:v>
      </x:c>
      <x:c r="E7598" s="1" t="str">
        <x:v>COMPLETE</x:v>
      </x:c>
      <x:c r="F7598" s="1" t="str">
        <x:v>Advance shipping</x:v>
      </x:c>
      <x:c r="G7598" s="6" t="n">
        <x:v>2</x:v>
      </x:c>
      <x:c r="H7598" s="6" t="n">
        <x:v>4</x:v>
      </x:c>
      <x:c r="I7598" s="6" t="n">
        <x:f>G7598-H7598</x:f>
        <x:v>-2</x:v>
      </x:c>
      <x:c r="J7598" s="6" t="n">
        <x:f>IF(OR(E7598="CANCELED",E7598="SUSPECTED_FRAUD",F7598="Shipping canceled"),0,1)</x:f>
        <x:v>1</x:v>
      </x:c>
      <x:c r="K7598" s="6" t="n">
        <x:f>IF(G7598&gt;H7598,1,0)</x:f>
        <x:v>0</x:v>
      </x:c>
      <x:c r="L7598" s="6" t="n">
        <x:f>J7598*K7598</x:f>
        <x:v>0</x:v>
      </x:c>
    </x:row>
    <x:row r="7599">
      <x:c r="A7599" s="1" t="n">
        <x:v>60702</x:v>
      </x:c>
      <x:c r="B7599" s="5" t="d">
        <x:v>2017-06-05T00:00:00.000Z</x:v>
      </x:c>
      <x:c r="C7599" s="1" t="str">
        <x:v>Standard Class</x:v>
      </x:c>
      <x:c r="D7599" s="1" t="str">
        <x:v>LATAM</x:v>
      </x:c>
      <x:c r="E7599" s="1" t="str">
        <x:v>PENDING_PAYMENT</x:v>
      </x:c>
      <x:c r="F7599" s="1" t="str">
        <x:v>Advance shipping</x:v>
      </x:c>
      <x:c r="G7599" s="6" t="n">
        <x:v>3</x:v>
      </x:c>
      <x:c r="H7599" s="6" t="n">
        <x:v>4</x:v>
      </x:c>
      <x:c r="I7599" s="6" t="n">
        <x:f>G7599-H7599</x:f>
        <x:v>-1</x:v>
      </x:c>
      <x:c r="J7599" s="6" t="n">
        <x:f>IF(OR(E7599="CANCELED",E7599="SUSPECTED_FRAUD",F7599="Shipping canceled"),0,1)</x:f>
        <x:v>1</x:v>
      </x:c>
      <x:c r="K7599" s="6" t="n">
        <x:f>IF(G7599&gt;H7599,1,0)</x:f>
        <x:v>0</x:v>
      </x:c>
      <x:c r="L7599" s="6" t="n">
        <x:f>J7599*K7599</x:f>
        <x:v>0</x:v>
      </x:c>
    </x:row>
    <x:row r="7600">
      <x:c r="A7600" s="1" t="n">
        <x:v>60732</x:v>
      </x:c>
      <x:c r="B7600" s="5" t="d">
        <x:v>2017-06-05T00:00:00.000Z</x:v>
      </x:c>
      <x:c r="C7600" s="1" t="str">
        <x:v>Standard Class</x:v>
      </x:c>
      <x:c r="D7600" s="1" t="str">
        <x:v>LATAM</x:v>
      </x:c>
      <x:c r="E7600" s="1" t="str">
        <x:v>PENDING</x:v>
      </x:c>
      <x:c r="F7600" s="1" t="str">
        <x:v>Advance shipping</x:v>
      </x:c>
      <x:c r="G7600" s="6" t="n">
        <x:v>3</x:v>
      </x:c>
      <x:c r="H7600" s="6" t="n">
        <x:v>4</x:v>
      </x:c>
      <x:c r="I7600" s="6" t="n">
        <x:f>G7600-H7600</x:f>
        <x:v>-1</x:v>
      </x:c>
      <x:c r="J7600" s="6" t="n">
        <x:f>IF(OR(E7600="CANCELED",E7600="SUSPECTED_FRAUD",F7600="Shipping canceled"),0,1)</x:f>
        <x:v>1</x:v>
      </x:c>
      <x:c r="K7600" s="6" t="n">
        <x:f>IF(G7600&gt;H7600,1,0)</x:f>
        <x:v>0</x:v>
      </x:c>
      <x:c r="L7600" s="6" t="n">
        <x:f>J7600*K7600</x:f>
        <x:v>0</x:v>
      </x:c>
    </x:row>
    <x:row r="7601">
      <x:c r="A7601" s="1" t="n">
        <x:v>60736</x:v>
      </x:c>
      <x:c r="B7601" s="5" t="d">
        <x:v>2017-06-05T00:00:00.000Z</x:v>
      </x:c>
      <x:c r="C7601" s="1" t="str">
        <x:v>Standard Class</x:v>
      </x:c>
      <x:c r="D7601" s="1" t="str">
        <x:v>LATAM</x:v>
      </x:c>
      <x:c r="E7601" s="1" t="str">
        <x:v>PROCESSING</x:v>
      </x:c>
      <x:c r="F7601" s="1" t="str">
        <x:v>Advance shipping</x:v>
      </x:c>
      <x:c r="G7601" s="6" t="n">
        <x:v>2</x:v>
      </x:c>
      <x:c r="H7601" s="6" t="n">
        <x:v>4</x:v>
      </x:c>
      <x:c r="I7601" s="6" t="n">
        <x:f>G7601-H7601</x:f>
        <x:v>-2</x:v>
      </x:c>
      <x:c r="J7601" s="6" t="n">
        <x:f>IF(OR(E7601="CANCELED",E7601="SUSPECTED_FRAUD",F7601="Shipping canceled"),0,1)</x:f>
        <x:v>1</x:v>
      </x:c>
      <x:c r="K7601" s="6" t="n">
        <x:f>IF(G7601&gt;H7601,1,0)</x:f>
        <x:v>0</x:v>
      </x:c>
      <x:c r="L7601" s="6" t="n">
        <x:f>J7601*K7601</x:f>
        <x:v>0</x:v>
      </x:c>
    </x:row>
    <x:row r="7602">
      <x:c r="A7602" s="1" t="n">
        <x:v>60737</x:v>
      </x:c>
      <x:c r="B7602" s="5" t="d">
        <x:v>2017-06-05T00:00:00.000Z</x:v>
      </x:c>
      <x:c r="C7602" s="1" t="str">
        <x:v>Standard Class</x:v>
      </x:c>
      <x:c r="D7602" s="1" t="str">
        <x:v>LATAM</x:v>
      </x:c>
      <x:c r="E7602" s="1" t="str">
        <x:v>PROCESSING</x:v>
      </x:c>
      <x:c r="F7602" s="1" t="str">
        <x:v>Advance shipping</x:v>
      </x:c>
      <x:c r="G7602" s="6" t="n">
        <x:v>3</x:v>
      </x:c>
      <x:c r="H7602" s="6" t="n">
        <x:v>4</x:v>
      </x:c>
      <x:c r="I7602" s="6" t="n">
        <x:f>G7602-H7602</x:f>
        <x:v>-1</x:v>
      </x:c>
      <x:c r="J7602" s="6" t="n">
        <x:f>IF(OR(E7602="CANCELED",E7602="SUSPECTED_FRAUD",F7602="Shipping canceled"),0,1)</x:f>
        <x:v>1</x:v>
      </x:c>
      <x:c r="K7602" s="6" t="n">
        <x:f>IF(G7602&gt;H7602,1,0)</x:f>
        <x:v>0</x:v>
      </x:c>
      <x:c r="L7602" s="6" t="n">
        <x:f>J7602*K7602</x:f>
        <x:v>0</x:v>
      </x:c>
    </x:row>
    <x:row r="7603">
      <x:c r="A7603" s="1" t="n">
        <x:v>60763</x:v>
      </x:c>
      <x:c r="B7603" s="5" t="d">
        <x:v>2017-06-05T00:00:00.000Z</x:v>
      </x:c>
      <x:c r="C7603" s="1" t="str">
        <x:v>Standard Class</x:v>
      </x:c>
      <x:c r="D7603" s="1" t="str">
        <x:v>LATAM</x:v>
      </x:c>
      <x:c r="E7603" s="1" t="str">
        <x:v>ON_HOLD</x:v>
      </x:c>
      <x:c r="F7603" s="1" t="str">
        <x:v>Shipping on time</x:v>
      </x:c>
      <x:c r="G7603" s="6" t="n">
        <x:v>4</x:v>
      </x:c>
      <x:c r="H7603" s="6" t="n">
        <x:v>4</x:v>
      </x:c>
      <x:c r="I7603" s="6" t="n">
        <x:f>G7603-H7603</x:f>
        <x:v>0</x:v>
      </x:c>
      <x:c r="J7603" s="6" t="n">
        <x:f>IF(OR(E7603="CANCELED",E7603="SUSPECTED_FRAUD",F7603="Shipping canceled"),0,1)</x:f>
        <x:v>1</x:v>
      </x:c>
      <x:c r="K7603" s="6" t="n">
        <x:f>IF(G7603&gt;H7603,1,0)</x:f>
        <x:v>0</x:v>
      </x:c>
      <x:c r="L7603" s="6" t="n">
        <x:f>J7603*K7603</x:f>
        <x:v>0</x:v>
      </x:c>
    </x:row>
    <x:row r="7604">
      <x:c r="A7604" s="1" t="n">
        <x:v>60781</x:v>
      </x:c>
      <x:c r="B7604" s="5" t="d">
        <x:v>2017-06-06T00:00:00.000Z</x:v>
      </x:c>
      <x:c r="C7604" s="1" t="str">
        <x:v>Standard Class</x:v>
      </x:c>
      <x:c r="D7604" s="1" t="str">
        <x:v>LATAM</x:v>
      </x:c>
      <x:c r="E7604" s="1" t="str">
        <x:v>COMPLETE</x:v>
      </x:c>
      <x:c r="F7604" s="1" t="str">
        <x:v>Advance shipping</x:v>
      </x:c>
      <x:c r="G7604" s="6" t="n">
        <x:v>2</x:v>
      </x:c>
      <x:c r="H7604" s="6" t="n">
        <x:v>4</x:v>
      </x:c>
      <x:c r="I7604" s="6" t="n">
        <x:f>G7604-H7604</x:f>
        <x:v>-2</x:v>
      </x:c>
      <x:c r="J7604" s="6" t="n">
        <x:f>IF(OR(E7604="CANCELED",E7604="SUSPECTED_FRAUD",F7604="Shipping canceled"),0,1)</x:f>
        <x:v>1</x:v>
      </x:c>
      <x:c r="K7604" s="6" t="n">
        <x:f>IF(G7604&gt;H7604,1,0)</x:f>
        <x:v>0</x:v>
      </x:c>
      <x:c r="L7604" s="6" t="n">
        <x:f>J7604*K7604</x:f>
        <x:v>0</x:v>
      </x:c>
    </x:row>
    <x:row r="7605">
      <x:c r="A7605" s="1" t="n">
        <x:v>60797</x:v>
      </x:c>
      <x:c r="B7605" s="5" t="d">
        <x:v>2017-06-06T00:00:00.000Z</x:v>
      </x:c>
      <x:c r="C7605" s="1" t="str">
        <x:v>Standard Class</x:v>
      </x:c>
      <x:c r="D7605" s="1" t="str">
        <x:v>LATAM</x:v>
      </x:c>
      <x:c r="E7605" s="1" t="str">
        <x:v>COMPLETE</x:v>
      </x:c>
      <x:c r="F7605" s="1" t="str">
        <x:v>Advance shipping</x:v>
      </x:c>
      <x:c r="G7605" s="6" t="n">
        <x:v>3</x:v>
      </x:c>
      <x:c r="H7605" s="6" t="n">
        <x:v>4</x:v>
      </x:c>
      <x:c r="I7605" s="6" t="n">
        <x:f>G7605-H7605</x:f>
        <x:v>-1</x:v>
      </x:c>
      <x:c r="J7605" s="6" t="n">
        <x:f>IF(OR(E7605="CANCELED",E7605="SUSPECTED_FRAUD",F7605="Shipping canceled"),0,1)</x:f>
        <x:v>1</x:v>
      </x:c>
      <x:c r="K7605" s="6" t="n">
        <x:f>IF(G7605&gt;H7605,1,0)</x:f>
        <x:v>0</x:v>
      </x:c>
      <x:c r="L7605" s="6" t="n">
        <x:f>J7605*K7605</x:f>
        <x:v>0</x:v>
      </x:c>
    </x:row>
    <x:row r="7606">
      <x:c r="A7606" s="1" t="n">
        <x:v>60805</x:v>
      </x:c>
      <x:c r="B7606" s="5" t="d">
        <x:v>2017-06-06T00:00:00.000Z</x:v>
      </x:c>
      <x:c r="C7606" s="1" t="str">
        <x:v>Second Class</x:v>
      </x:c>
      <x:c r="D7606" s="1" t="str">
        <x:v>LATAM</x:v>
      </x:c>
      <x:c r="E7606" s="1" t="str">
        <x:v>PROCESSING</x:v>
      </x:c>
      <x:c r="F7606" s="1" t="str">
        <x:v>Late delivery</x:v>
      </x:c>
      <x:c r="G7606" s="6" t="n">
        <x:v>6</x:v>
      </x:c>
      <x:c r="H7606" s="6" t="n">
        <x:v>2</x:v>
      </x:c>
      <x:c r="I7606" s="6" t="n">
        <x:f>G7606-H7606</x:f>
        <x:v>4</x:v>
      </x:c>
      <x:c r="J7606" s="6" t="n">
        <x:f>IF(OR(E7606="CANCELED",E7606="SUSPECTED_FRAUD",F7606="Shipping canceled"),0,1)</x:f>
        <x:v>1</x:v>
      </x:c>
      <x:c r="K7606" s="6" t="n">
        <x:f>IF(G7606&gt;H7606,1,0)</x:f>
        <x:v>1</x:v>
      </x:c>
      <x:c r="L7606" s="6" t="n">
        <x:f>J7606*K7606</x:f>
        <x:v>1</x:v>
      </x:c>
    </x:row>
    <x:row r="7607">
      <x:c r="A7607" s="1" t="n">
        <x:v>60807</x:v>
      </x:c>
      <x:c r="B7607" s="5" t="d">
        <x:v>2017-06-06T00:00:00.000Z</x:v>
      </x:c>
      <x:c r="C7607" s="1" t="str">
        <x:v>Second Class</x:v>
      </x:c>
      <x:c r="D7607" s="1" t="str">
        <x:v>LATAM</x:v>
      </x:c>
      <x:c r="E7607" s="1" t="str">
        <x:v>PENDING_PAYMENT</x:v>
      </x:c>
      <x:c r="F7607" s="1" t="str">
        <x:v>Late delivery</x:v>
      </x:c>
      <x:c r="G7607" s="6" t="n">
        <x:v>3</x:v>
      </x:c>
      <x:c r="H7607" s="6" t="n">
        <x:v>2</x:v>
      </x:c>
      <x:c r="I7607" s="6" t="n">
        <x:f>G7607-H7607</x:f>
        <x:v>1</x:v>
      </x:c>
      <x:c r="J7607" s="6" t="n">
        <x:f>IF(OR(E7607="CANCELED",E7607="SUSPECTED_FRAUD",F7607="Shipping canceled"),0,1)</x:f>
        <x:v>1</x:v>
      </x:c>
      <x:c r="K7607" s="6" t="n">
        <x:f>IF(G7607&gt;H7607,1,0)</x:f>
        <x:v>1</x:v>
      </x:c>
      <x:c r="L7607" s="6" t="n">
        <x:f>J7607*K7607</x:f>
        <x:v>1</x:v>
      </x:c>
    </x:row>
    <x:row r="7608">
      <x:c r="A7608" s="1" t="n">
        <x:v>60810</x:v>
      </x:c>
      <x:c r="B7608" s="5" t="d">
        <x:v>2017-06-06T00:00:00.000Z</x:v>
      </x:c>
      <x:c r="C7608" s="1" t="str">
        <x:v>Standard Class</x:v>
      </x:c>
      <x:c r="D7608" s="1" t="str">
        <x:v>LATAM</x:v>
      </x:c>
      <x:c r="E7608" s="1" t="str">
        <x:v>COMPLETE</x:v>
      </x:c>
      <x:c r="F7608" s="1" t="str">
        <x:v>Late delivery</x:v>
      </x:c>
      <x:c r="G7608" s="6" t="n">
        <x:v>6</x:v>
      </x:c>
      <x:c r="H7608" s="6" t="n">
        <x:v>4</x:v>
      </x:c>
      <x:c r="I7608" s="6" t="n">
        <x:f>G7608-H7608</x:f>
        <x:v>2</x:v>
      </x:c>
      <x:c r="J7608" s="6" t="n">
        <x:f>IF(OR(E7608="CANCELED",E7608="SUSPECTED_FRAUD",F7608="Shipping canceled"),0,1)</x:f>
        <x:v>1</x:v>
      </x:c>
      <x:c r="K7608" s="6" t="n">
        <x:f>IF(G7608&gt;H7608,1,0)</x:f>
        <x:v>1</x:v>
      </x:c>
      <x:c r="L7608" s="6" t="n">
        <x:f>J7608*K7608</x:f>
        <x:v>1</x:v>
      </x:c>
    </x:row>
    <x:row r="7609">
      <x:c r="A7609" s="1" t="n">
        <x:v>60827</x:v>
      </x:c>
      <x:c r="B7609" s="5" t="d">
        <x:v>2017-06-06T00:00:00.000Z</x:v>
      </x:c>
      <x:c r="C7609" s="1" t="str">
        <x:v>Standard Class</x:v>
      </x:c>
      <x:c r="D7609" s="1" t="str">
        <x:v>LATAM</x:v>
      </x:c>
      <x:c r="E7609" s="1" t="str">
        <x:v>COMPLETE</x:v>
      </x:c>
      <x:c r="F7609" s="1" t="str">
        <x:v>Advance shipping</x:v>
      </x:c>
      <x:c r="G7609" s="6" t="n">
        <x:v>3</x:v>
      </x:c>
      <x:c r="H7609" s="6" t="n">
        <x:v>4</x:v>
      </x:c>
      <x:c r="I7609" s="6" t="n">
        <x:f>G7609-H7609</x:f>
        <x:v>-1</x:v>
      </x:c>
      <x:c r="J7609" s="6" t="n">
        <x:f>IF(OR(E7609="CANCELED",E7609="SUSPECTED_FRAUD",F7609="Shipping canceled"),0,1)</x:f>
        <x:v>1</x:v>
      </x:c>
      <x:c r="K7609" s="6" t="n">
        <x:f>IF(G7609&gt;H7609,1,0)</x:f>
        <x:v>0</x:v>
      </x:c>
      <x:c r="L7609" s="6" t="n">
        <x:f>J7609*K7609</x:f>
        <x:v>0</x:v>
      </x:c>
    </x:row>
    <x:row r="7610">
      <x:c r="A7610" s="1" t="n">
        <x:v>60829</x:v>
      </x:c>
      <x:c r="B7610" s="5" t="d">
        <x:v>2017-06-06T00:00:00.000Z</x:v>
      </x:c>
      <x:c r="C7610" s="1" t="str">
        <x:v>Standard Class</x:v>
      </x:c>
      <x:c r="D7610" s="1" t="str">
        <x:v>LATAM</x:v>
      </x:c>
      <x:c r="E7610" s="1" t="str">
        <x:v>CLOSED</x:v>
      </x:c>
      <x:c r="F7610" s="1" t="str">
        <x:v>Late delivery</x:v>
      </x:c>
      <x:c r="G7610" s="6" t="n">
        <x:v>5</x:v>
      </x:c>
      <x:c r="H7610" s="6" t="n">
        <x:v>4</x:v>
      </x:c>
      <x:c r="I7610" s="6" t="n">
        <x:f>G7610-H7610</x:f>
        <x:v>1</x:v>
      </x:c>
      <x:c r="J7610" s="6" t="n">
        <x:f>IF(OR(E7610="CANCELED",E7610="SUSPECTED_FRAUD",F7610="Shipping canceled"),0,1)</x:f>
        <x:v>1</x:v>
      </x:c>
      <x:c r="K7610" s="6" t="n">
        <x:f>IF(G7610&gt;H7610,1,0)</x:f>
        <x:v>1</x:v>
      </x:c>
      <x:c r="L7610" s="6" t="n">
        <x:f>J7610*K7610</x:f>
        <x:v>1</x:v>
      </x:c>
    </x:row>
    <x:row r="7611">
      <x:c r="A7611" s="1" t="n">
        <x:v>60830</x:v>
      </x:c>
      <x:c r="B7611" s="5" t="d">
        <x:v>2017-06-06T00:00:00.000Z</x:v>
      </x:c>
      <x:c r="C7611" s="1" t="str">
        <x:v>Standard Class</x:v>
      </x:c>
      <x:c r="D7611" s="1" t="str">
        <x:v>LATAM</x:v>
      </x:c>
      <x:c r="E7611" s="1" t="str">
        <x:v>CLOSED</x:v>
      </x:c>
      <x:c r="F7611" s="1" t="str">
        <x:v>Late delivery</x:v>
      </x:c>
      <x:c r="G7611" s="6" t="n">
        <x:v>6</x:v>
      </x:c>
      <x:c r="H7611" s="6" t="n">
        <x:v>4</x:v>
      </x:c>
      <x:c r="I7611" s="6" t="n">
        <x:f>G7611-H7611</x:f>
        <x:v>2</x:v>
      </x:c>
      <x:c r="J7611" s="6" t="n">
        <x:f>IF(OR(E7611="CANCELED",E7611="SUSPECTED_FRAUD",F7611="Shipping canceled"),0,1)</x:f>
        <x:v>1</x:v>
      </x:c>
      <x:c r="K7611" s="6" t="n">
        <x:f>IF(G7611&gt;H7611,1,0)</x:f>
        <x:v>1</x:v>
      </x:c>
      <x:c r="L7611" s="6" t="n">
        <x:f>J7611*K7611</x:f>
        <x:v>1</x:v>
      </x:c>
    </x:row>
    <x:row r="7612">
      <x:c r="A7612" s="1" t="n">
        <x:v>60834</x:v>
      </x:c>
      <x:c r="B7612" s="5" t="d">
        <x:v>2017-06-07T00:00:00.000Z</x:v>
      </x:c>
      <x:c r="C7612" s="1" t="str">
        <x:v>Standard Class</x:v>
      </x:c>
      <x:c r="D7612" s="1" t="str">
        <x:v>LATAM</x:v>
      </x:c>
      <x:c r="E7612" s="1" t="str">
        <x:v>PENDING</x:v>
      </x:c>
      <x:c r="F7612" s="1" t="str">
        <x:v>Late delivery</x:v>
      </x:c>
      <x:c r="G7612" s="6" t="n">
        <x:v>5</x:v>
      </x:c>
      <x:c r="H7612" s="6" t="n">
        <x:v>4</x:v>
      </x:c>
      <x:c r="I7612" s="6" t="n">
        <x:f>G7612-H7612</x:f>
        <x:v>1</x:v>
      </x:c>
      <x:c r="J7612" s="6" t="n">
        <x:f>IF(OR(E7612="CANCELED",E7612="SUSPECTED_FRAUD",F7612="Shipping canceled"),0,1)</x:f>
        <x:v>1</x:v>
      </x:c>
      <x:c r="K7612" s="6" t="n">
        <x:f>IF(G7612&gt;H7612,1,0)</x:f>
        <x:v>1</x:v>
      </x:c>
      <x:c r="L7612" s="6" t="n">
        <x:f>J7612*K7612</x:f>
        <x:v>1</x:v>
      </x:c>
    </x:row>
    <x:row r="7613">
      <x:c r="A7613" s="1" t="n">
        <x:v>60837</x:v>
      </x:c>
      <x:c r="B7613" s="5" t="d">
        <x:v>2017-06-07T00:00:00.000Z</x:v>
      </x:c>
      <x:c r="C7613" s="1" t="str">
        <x:v>Standard Class</x:v>
      </x:c>
      <x:c r="D7613" s="1" t="str">
        <x:v>LATAM</x:v>
      </x:c>
      <x:c r="E7613" s="1" t="str">
        <x:v>ON_HOLD</x:v>
      </x:c>
      <x:c r="F7613" s="1" t="str">
        <x:v>Advance shipping</x:v>
      </x:c>
      <x:c r="G7613" s="6" t="n">
        <x:v>3</x:v>
      </x:c>
      <x:c r="H7613" s="6" t="n">
        <x:v>4</x:v>
      </x:c>
      <x:c r="I7613" s="6" t="n">
        <x:f>G7613-H7613</x:f>
        <x:v>-1</x:v>
      </x:c>
      <x:c r="J7613" s="6" t="n">
        <x:f>IF(OR(E7613="CANCELED",E7613="SUSPECTED_FRAUD",F7613="Shipping canceled"),0,1)</x:f>
        <x:v>1</x:v>
      </x:c>
      <x:c r="K7613" s="6" t="n">
        <x:f>IF(G7613&gt;H7613,1,0)</x:f>
        <x:v>0</x:v>
      </x:c>
      <x:c r="L7613" s="6" t="n">
        <x:f>J7613*K7613</x:f>
        <x:v>0</x:v>
      </x:c>
    </x:row>
    <x:row r="7614">
      <x:c r="A7614" s="1" t="n">
        <x:v>60840</x:v>
      </x:c>
      <x:c r="B7614" s="5" t="d">
        <x:v>2017-06-07T00:00:00.000Z</x:v>
      </x:c>
      <x:c r="C7614" s="1" t="str">
        <x:v>Standard Class</x:v>
      </x:c>
      <x:c r="D7614" s="1" t="str">
        <x:v>LATAM</x:v>
      </x:c>
      <x:c r="E7614" s="1" t="str">
        <x:v>PENDING_PAYMENT</x:v>
      </x:c>
      <x:c r="F7614" s="1" t="str">
        <x:v>Late delivery</x:v>
      </x:c>
      <x:c r="G7614" s="6" t="n">
        <x:v>6</x:v>
      </x:c>
      <x:c r="H7614" s="6" t="n">
        <x:v>4</x:v>
      </x:c>
      <x:c r="I7614" s="6" t="n">
        <x:f>G7614-H7614</x:f>
        <x:v>2</x:v>
      </x:c>
      <x:c r="J7614" s="6" t="n">
        <x:f>IF(OR(E7614="CANCELED",E7614="SUSPECTED_FRAUD",F7614="Shipping canceled"),0,1)</x:f>
        <x:v>1</x:v>
      </x:c>
      <x:c r="K7614" s="6" t="n">
        <x:f>IF(G7614&gt;H7614,1,0)</x:f>
        <x:v>1</x:v>
      </x:c>
      <x:c r="L7614" s="6" t="n">
        <x:f>J7614*K7614</x:f>
        <x:v>1</x:v>
      </x:c>
    </x:row>
    <x:row r="7615">
      <x:c r="A7615" s="1" t="n">
        <x:v>60850</x:v>
      </x:c>
      <x:c r="B7615" s="5" t="d">
        <x:v>2017-06-07T00:00:00.000Z</x:v>
      </x:c>
      <x:c r="C7615" s="1" t="str">
        <x:v>Standard Class</x:v>
      </x:c>
      <x:c r="D7615" s="1" t="str">
        <x:v>LATAM</x:v>
      </x:c>
      <x:c r="E7615" s="1" t="str">
        <x:v>PENDING</x:v>
      </x:c>
      <x:c r="F7615" s="1" t="str">
        <x:v>Late delivery</x:v>
      </x:c>
      <x:c r="G7615" s="6" t="n">
        <x:v>6</x:v>
      </x:c>
      <x:c r="H7615" s="6" t="n">
        <x:v>4</x:v>
      </x:c>
      <x:c r="I7615" s="6" t="n">
        <x:f>G7615-H7615</x:f>
        <x:v>2</x:v>
      </x:c>
      <x:c r="J7615" s="6" t="n">
        <x:f>IF(OR(E7615="CANCELED",E7615="SUSPECTED_FRAUD",F7615="Shipping canceled"),0,1)</x:f>
        <x:v>1</x:v>
      </x:c>
      <x:c r="K7615" s="6" t="n">
        <x:f>IF(G7615&gt;H7615,1,0)</x:f>
        <x:v>1</x:v>
      </x:c>
      <x:c r="L7615" s="6" t="n">
        <x:f>J7615*K7615</x:f>
        <x:v>1</x:v>
      </x:c>
    </x:row>
    <x:row r="7616">
      <x:c r="A7616" s="1" t="n">
        <x:v>60853</x:v>
      </x:c>
      <x:c r="B7616" s="5" t="d">
        <x:v>2017-06-07T00:00:00.000Z</x:v>
      </x:c>
      <x:c r="C7616" s="1" t="str">
        <x:v>Standard Class</x:v>
      </x:c>
      <x:c r="D7616" s="1" t="str">
        <x:v>LATAM</x:v>
      </x:c>
      <x:c r="E7616" s="1" t="str">
        <x:v>COMPLETE</x:v>
      </x:c>
      <x:c r="F7616" s="1" t="str">
        <x:v>Shipping on time</x:v>
      </x:c>
      <x:c r="G7616" s="6" t="n">
        <x:v>4</x:v>
      </x:c>
      <x:c r="H7616" s="6" t="n">
        <x:v>4</x:v>
      </x:c>
      <x:c r="I7616" s="6" t="n">
        <x:f>G7616-H7616</x:f>
        <x:v>0</x:v>
      </x:c>
      <x:c r="J7616" s="6" t="n">
        <x:f>IF(OR(E7616="CANCELED",E7616="SUSPECTED_FRAUD",F7616="Shipping canceled"),0,1)</x:f>
        <x:v>1</x:v>
      </x:c>
      <x:c r="K7616" s="6" t="n">
        <x:f>IF(G7616&gt;H7616,1,0)</x:f>
        <x:v>0</x:v>
      </x:c>
      <x:c r="L7616" s="6" t="n">
        <x:f>J7616*K7616</x:f>
        <x:v>0</x:v>
      </x:c>
    </x:row>
    <x:row r="7617">
      <x:c r="A7617" s="1" t="n">
        <x:v>60868</x:v>
      </x:c>
      <x:c r="B7617" s="5" t="d">
        <x:v>2017-06-07T00:00:00.000Z</x:v>
      </x:c>
      <x:c r="C7617" s="1" t="str">
        <x:v>Standard Class</x:v>
      </x:c>
      <x:c r="D7617" s="1" t="str">
        <x:v>LATAM</x:v>
      </x:c>
      <x:c r="E7617" s="1" t="str">
        <x:v>PROCESSING</x:v>
      </x:c>
      <x:c r="F7617" s="1" t="str">
        <x:v>Shipping on time</x:v>
      </x:c>
      <x:c r="G7617" s="6" t="n">
        <x:v>4</x:v>
      </x:c>
      <x:c r="H7617" s="6" t="n">
        <x:v>4</x:v>
      </x:c>
      <x:c r="I7617" s="6" t="n">
        <x:f>G7617-H7617</x:f>
        <x:v>0</x:v>
      </x:c>
      <x:c r="J7617" s="6" t="n">
        <x:f>IF(OR(E7617="CANCELED",E7617="SUSPECTED_FRAUD",F7617="Shipping canceled"),0,1)</x:f>
        <x:v>1</x:v>
      </x:c>
      <x:c r="K7617" s="6" t="n">
        <x:f>IF(G7617&gt;H7617,1,0)</x:f>
        <x:v>0</x:v>
      </x:c>
      <x:c r="L7617" s="6" t="n">
        <x:f>J7617*K7617</x:f>
        <x:v>0</x:v>
      </x:c>
    </x:row>
    <x:row r="7618">
      <x:c r="A7618" s="1" t="n">
        <x:v>60875</x:v>
      </x:c>
      <x:c r="B7618" s="5" t="d">
        <x:v>2017-06-07T00:00:00.000Z</x:v>
      </x:c>
      <x:c r="C7618" s="1" t="str">
        <x:v>Second Class</x:v>
      </x:c>
      <x:c r="D7618" s="1" t="str">
        <x:v>LATAM</x:v>
      </x:c>
      <x:c r="E7618" s="1" t="str">
        <x:v>COMPLETE</x:v>
      </x:c>
      <x:c r="F7618" s="1" t="str">
        <x:v>Late delivery</x:v>
      </x:c>
      <x:c r="G7618" s="6" t="n">
        <x:v>6</x:v>
      </x:c>
      <x:c r="H7618" s="6" t="n">
        <x:v>2</x:v>
      </x:c>
      <x:c r="I7618" s="6" t="n">
        <x:f>G7618-H7618</x:f>
        <x:v>4</x:v>
      </x:c>
      <x:c r="J7618" s="6" t="n">
        <x:f>IF(OR(E7618="CANCELED",E7618="SUSPECTED_FRAUD",F7618="Shipping canceled"),0,1)</x:f>
        <x:v>1</x:v>
      </x:c>
      <x:c r="K7618" s="6" t="n">
        <x:f>IF(G7618&gt;H7618,1,0)</x:f>
        <x:v>1</x:v>
      </x:c>
      <x:c r="L7618" s="6" t="n">
        <x:f>J7618*K7618</x:f>
        <x:v>1</x:v>
      </x:c>
    </x:row>
    <x:row r="7619">
      <x:c r="A7619" s="1" t="n">
        <x:v>60883</x:v>
      </x:c>
      <x:c r="B7619" s="5" t="d">
        <x:v>2017-06-07T00:00:00.000Z</x:v>
      </x:c>
      <x:c r="C7619" s="1" t="str">
        <x:v>Second Class</x:v>
      </x:c>
      <x:c r="D7619" s="1" t="str">
        <x:v>LATAM</x:v>
      </x:c>
      <x:c r="E7619" s="1" t="str">
        <x:v>COMPLETE</x:v>
      </x:c>
      <x:c r="F7619" s="1" t="str">
        <x:v>Late delivery</x:v>
      </x:c>
      <x:c r="G7619" s="6" t="n">
        <x:v>4</x:v>
      </x:c>
      <x:c r="H7619" s="6" t="n">
        <x:v>2</x:v>
      </x:c>
      <x:c r="I7619" s="6" t="n">
        <x:f>G7619-H7619</x:f>
        <x:v>2</x:v>
      </x:c>
      <x:c r="J7619" s="6" t="n">
        <x:f>IF(OR(E7619="CANCELED",E7619="SUSPECTED_FRAUD",F7619="Shipping canceled"),0,1)</x:f>
        <x:v>1</x:v>
      </x:c>
      <x:c r="K7619" s="6" t="n">
        <x:f>IF(G7619&gt;H7619,1,0)</x:f>
        <x:v>1</x:v>
      </x:c>
      <x:c r="L7619" s="6" t="n">
        <x:f>J7619*K7619</x:f>
        <x:v>1</x:v>
      </x:c>
    </x:row>
    <x:row r="7620">
      <x:c r="A7620" s="1" t="n">
        <x:v>60885</x:v>
      </x:c>
      <x:c r="B7620" s="5" t="d">
        <x:v>2017-06-07T00:00:00.000Z</x:v>
      </x:c>
      <x:c r="C7620" s="1" t="str">
        <x:v>Second Class</x:v>
      </x:c>
      <x:c r="D7620" s="1" t="str">
        <x:v>LATAM</x:v>
      </x:c>
      <x:c r="E7620" s="1" t="str">
        <x:v>CLOSED</x:v>
      </x:c>
      <x:c r="F7620" s="1" t="str">
        <x:v>Late delivery</x:v>
      </x:c>
      <x:c r="G7620" s="6" t="n">
        <x:v>6</x:v>
      </x:c>
      <x:c r="H7620" s="6" t="n">
        <x:v>2</x:v>
      </x:c>
      <x:c r="I7620" s="6" t="n">
        <x:f>G7620-H7620</x:f>
        <x:v>4</x:v>
      </x:c>
      <x:c r="J7620" s="6" t="n">
        <x:f>IF(OR(E7620="CANCELED",E7620="SUSPECTED_FRAUD",F7620="Shipping canceled"),0,1)</x:f>
        <x:v>1</x:v>
      </x:c>
      <x:c r="K7620" s="6" t="n">
        <x:f>IF(G7620&gt;H7620,1,0)</x:f>
        <x:v>1</x:v>
      </x:c>
      <x:c r="L7620" s="6" t="n">
        <x:f>J7620*K7620</x:f>
        <x:v>1</x:v>
      </x:c>
    </x:row>
    <x:row r="7621">
      <x:c r="A7621" s="1" t="n">
        <x:v>60926</x:v>
      </x:c>
      <x:c r="B7621" s="5" t="d">
        <x:v>2017-06-08T00:00:00.000Z</x:v>
      </x:c>
      <x:c r="C7621" s="1" t="str">
        <x:v>Second Class</x:v>
      </x:c>
      <x:c r="D7621" s="1" t="str">
        <x:v>LATAM</x:v>
      </x:c>
      <x:c r="E7621" s="1" t="str">
        <x:v>COMPLETE</x:v>
      </x:c>
      <x:c r="F7621" s="1" t="str">
        <x:v>Shipping on time</x:v>
      </x:c>
      <x:c r="G7621" s="6" t="n">
        <x:v>2</x:v>
      </x:c>
      <x:c r="H7621" s="6" t="n">
        <x:v>2</x:v>
      </x:c>
      <x:c r="I7621" s="6" t="n">
        <x:f>G7621-H7621</x:f>
        <x:v>0</x:v>
      </x:c>
      <x:c r="J7621" s="6" t="n">
        <x:f>IF(OR(E7621="CANCELED",E7621="SUSPECTED_FRAUD",F7621="Shipping canceled"),0,1)</x:f>
        <x:v>1</x:v>
      </x:c>
      <x:c r="K7621" s="6" t="n">
        <x:f>IF(G7621&gt;H7621,1,0)</x:f>
        <x:v>0</x:v>
      </x:c>
      <x:c r="L7621" s="6" t="n">
        <x:f>J7621*K7621</x:f>
        <x:v>0</x:v>
      </x:c>
    </x:row>
    <x:row r="7622">
      <x:c r="A7622" s="1" t="n">
        <x:v>60938</x:v>
      </x:c>
      <x:c r="B7622" s="5" t="d">
        <x:v>2017-06-08T00:00:00.000Z</x:v>
      </x:c>
      <x:c r="C7622" s="1" t="str">
        <x:v>Second Class</x:v>
      </x:c>
      <x:c r="D7622" s="1" t="str">
        <x:v>LATAM</x:v>
      </x:c>
      <x:c r="E7622" s="1" t="str">
        <x:v>COMPLETE</x:v>
      </x:c>
      <x:c r="F7622" s="1" t="str">
        <x:v>Late delivery</x:v>
      </x:c>
      <x:c r="G7622" s="6" t="n">
        <x:v>4</x:v>
      </x:c>
      <x:c r="H7622" s="6" t="n">
        <x:v>2</x:v>
      </x:c>
      <x:c r="I7622" s="6" t="n">
        <x:f>G7622-H7622</x:f>
        <x:v>2</x:v>
      </x:c>
      <x:c r="J7622" s="6" t="n">
        <x:f>IF(OR(E7622="CANCELED",E7622="SUSPECTED_FRAUD",F7622="Shipping canceled"),0,1)</x:f>
        <x:v>1</x:v>
      </x:c>
      <x:c r="K7622" s="6" t="n">
        <x:f>IF(G7622&gt;H7622,1,0)</x:f>
        <x:v>1</x:v>
      </x:c>
      <x:c r="L7622" s="6" t="n">
        <x:f>J7622*K7622</x:f>
        <x:v>1</x:v>
      </x:c>
    </x:row>
    <x:row r="7623">
      <x:c r="A7623" s="1" t="n">
        <x:v>60939</x:v>
      </x:c>
      <x:c r="B7623" s="5" t="d">
        <x:v>2017-06-08T00:00:00.000Z</x:v>
      </x:c>
      <x:c r="C7623" s="1" t="str">
        <x:v>Standard Class</x:v>
      </x:c>
      <x:c r="D7623" s="1" t="str">
        <x:v>LATAM</x:v>
      </x:c>
      <x:c r="E7623" s="1" t="str">
        <x:v>PENDING_PAYMENT</x:v>
      </x:c>
      <x:c r="F7623" s="1" t="str">
        <x:v>Late delivery</x:v>
      </x:c>
      <x:c r="G7623" s="6" t="n">
        <x:v>5</x:v>
      </x:c>
      <x:c r="H7623" s="6" t="n">
        <x:v>4</x:v>
      </x:c>
      <x:c r="I7623" s="6" t="n">
        <x:f>G7623-H7623</x:f>
        <x:v>1</x:v>
      </x:c>
      <x:c r="J7623" s="6" t="n">
        <x:f>IF(OR(E7623="CANCELED",E7623="SUSPECTED_FRAUD",F7623="Shipping canceled"),0,1)</x:f>
        <x:v>1</x:v>
      </x:c>
      <x:c r="K7623" s="6" t="n">
        <x:f>IF(G7623&gt;H7623,1,0)</x:f>
        <x:v>1</x:v>
      </x:c>
      <x:c r="L7623" s="6" t="n">
        <x:f>J7623*K7623</x:f>
        <x:v>1</x:v>
      </x:c>
    </x:row>
    <x:row r="7624">
      <x:c r="A7624" s="1" t="n">
        <x:v>60961</x:v>
      </x:c>
      <x:c r="B7624" s="5" t="d">
        <x:v>2017-06-08T00:00:00.000Z</x:v>
      </x:c>
      <x:c r="C7624" s="1" t="str">
        <x:v>Second Class</x:v>
      </x:c>
      <x:c r="D7624" s="1" t="str">
        <x:v>LATAM</x:v>
      </x:c>
      <x:c r="E7624" s="1" t="str">
        <x:v>COMPLETE</x:v>
      </x:c>
      <x:c r="F7624" s="1" t="str">
        <x:v>Shipping on time</x:v>
      </x:c>
      <x:c r="G7624" s="6" t="n">
        <x:v>2</x:v>
      </x:c>
      <x:c r="H7624" s="6" t="n">
        <x:v>2</x:v>
      </x:c>
      <x:c r="I7624" s="6" t="n">
        <x:f>G7624-H7624</x:f>
        <x:v>0</x:v>
      </x:c>
      <x:c r="J7624" s="6" t="n">
        <x:f>IF(OR(E7624="CANCELED",E7624="SUSPECTED_FRAUD",F7624="Shipping canceled"),0,1)</x:f>
        <x:v>1</x:v>
      </x:c>
      <x:c r="K7624" s="6" t="n">
        <x:f>IF(G7624&gt;H7624,1,0)</x:f>
        <x:v>0</x:v>
      </x:c>
      <x:c r="L7624" s="6" t="n">
        <x:f>J7624*K7624</x:f>
        <x:v>0</x:v>
      </x:c>
    </x:row>
    <x:row r="7625">
      <x:c r="A7625" s="1" t="n">
        <x:v>60962</x:v>
      </x:c>
      <x:c r="B7625" s="5" t="d">
        <x:v>2017-06-08T00:00:00.000Z</x:v>
      </x:c>
      <x:c r="C7625" s="1" t="str">
        <x:v>Second Class</x:v>
      </x:c>
      <x:c r="D7625" s="1" t="str">
        <x:v>LATAM</x:v>
      </x:c>
      <x:c r="E7625" s="1" t="str">
        <x:v>COMPLETE</x:v>
      </x:c>
      <x:c r="F7625" s="1" t="str">
        <x:v>Late delivery</x:v>
      </x:c>
      <x:c r="G7625" s="6" t="n">
        <x:v>3</x:v>
      </x:c>
      <x:c r="H7625" s="6" t="n">
        <x:v>2</x:v>
      </x:c>
      <x:c r="I7625" s="6" t="n">
        <x:f>G7625-H7625</x:f>
        <x:v>1</x:v>
      </x:c>
      <x:c r="J7625" s="6" t="n">
        <x:f>IF(OR(E7625="CANCELED",E7625="SUSPECTED_FRAUD",F7625="Shipping canceled"),0,1)</x:f>
        <x:v>1</x:v>
      </x:c>
      <x:c r="K7625" s="6" t="n">
        <x:f>IF(G7625&gt;H7625,1,0)</x:f>
        <x:v>1</x:v>
      </x:c>
      <x:c r="L7625" s="6" t="n">
        <x:f>J7625*K7625</x:f>
        <x:v>1</x:v>
      </x:c>
    </x:row>
    <x:row r="7626">
      <x:c r="A7626" s="1" t="n">
        <x:v>60963</x:v>
      </x:c>
      <x:c r="B7626" s="5" t="d">
        <x:v>2017-06-08T00:00:00.000Z</x:v>
      </x:c>
      <x:c r="C7626" s="1" t="str">
        <x:v>Second Class</x:v>
      </x:c>
      <x:c r="D7626" s="1" t="str">
        <x:v>LATAM</x:v>
      </x:c>
      <x:c r="E7626" s="1" t="str">
        <x:v>CLOSED</x:v>
      </x:c>
      <x:c r="F7626" s="1" t="str">
        <x:v>Late delivery</x:v>
      </x:c>
      <x:c r="G7626" s="6" t="n">
        <x:v>4</x:v>
      </x:c>
      <x:c r="H7626" s="6" t="n">
        <x:v>2</x:v>
      </x:c>
      <x:c r="I7626" s="6" t="n">
        <x:f>G7626-H7626</x:f>
        <x:v>2</x:v>
      </x:c>
      <x:c r="J7626" s="6" t="n">
        <x:f>IF(OR(E7626="CANCELED",E7626="SUSPECTED_FRAUD",F7626="Shipping canceled"),0,1)</x:f>
        <x:v>1</x:v>
      </x:c>
      <x:c r="K7626" s="6" t="n">
        <x:f>IF(G7626&gt;H7626,1,0)</x:f>
        <x:v>1</x:v>
      </x:c>
      <x:c r="L7626" s="6" t="n">
        <x:f>J7626*K7626</x:f>
        <x:v>1</x:v>
      </x:c>
    </x:row>
    <x:row r="7627">
      <x:c r="A7627" s="1" t="n">
        <x:v>60974</x:v>
      </x:c>
      <x:c r="B7627" s="5" t="d">
        <x:v>2017-06-09T00:00:00.000Z</x:v>
      </x:c>
      <x:c r="C7627" s="1" t="str">
        <x:v>Standard Class</x:v>
      </x:c>
      <x:c r="D7627" s="1" t="str">
        <x:v>LATAM</x:v>
      </x:c>
      <x:c r="E7627" s="1" t="str">
        <x:v>PENDING_PAYMENT</x:v>
      </x:c>
      <x:c r="F7627" s="1" t="str">
        <x:v>Late delivery</x:v>
      </x:c>
      <x:c r="G7627" s="6" t="n">
        <x:v>5</x:v>
      </x:c>
      <x:c r="H7627" s="6" t="n">
        <x:v>4</x:v>
      </x:c>
      <x:c r="I7627" s="6" t="n">
        <x:f>G7627-H7627</x:f>
        <x:v>1</x:v>
      </x:c>
      <x:c r="J7627" s="6" t="n">
        <x:f>IF(OR(E7627="CANCELED",E7627="SUSPECTED_FRAUD",F7627="Shipping canceled"),0,1)</x:f>
        <x:v>1</x:v>
      </x:c>
      <x:c r="K7627" s="6" t="n">
        <x:f>IF(G7627&gt;H7627,1,0)</x:f>
        <x:v>1</x:v>
      </x:c>
      <x:c r="L7627" s="6" t="n">
        <x:f>J7627*K7627</x:f>
        <x:v>1</x:v>
      </x:c>
    </x:row>
    <x:row r="7628">
      <x:c r="A7628" s="1" t="n">
        <x:v>60982</x:v>
      </x:c>
      <x:c r="B7628" s="5" t="d">
        <x:v>2017-06-09T00:00:00.000Z</x:v>
      </x:c>
      <x:c r="C7628" s="1" t="str">
        <x:v>Standard Class</x:v>
      </x:c>
      <x:c r="D7628" s="1" t="str">
        <x:v>LATAM</x:v>
      </x:c>
      <x:c r="E7628" s="1" t="str">
        <x:v>ON_HOLD</x:v>
      </x:c>
      <x:c r="F7628" s="1" t="str">
        <x:v>Advance shipping</x:v>
      </x:c>
      <x:c r="G7628" s="6" t="n">
        <x:v>3</x:v>
      </x:c>
      <x:c r="H7628" s="6" t="n">
        <x:v>4</x:v>
      </x:c>
      <x:c r="I7628" s="6" t="n">
        <x:f>G7628-H7628</x:f>
        <x:v>-1</x:v>
      </x:c>
      <x:c r="J7628" s="6" t="n">
        <x:f>IF(OR(E7628="CANCELED",E7628="SUSPECTED_FRAUD",F7628="Shipping canceled"),0,1)</x:f>
        <x:v>1</x:v>
      </x:c>
      <x:c r="K7628" s="6" t="n">
        <x:f>IF(G7628&gt;H7628,1,0)</x:f>
        <x:v>0</x:v>
      </x:c>
      <x:c r="L7628" s="6" t="n">
        <x:f>J7628*K7628</x:f>
        <x:v>0</x:v>
      </x:c>
    </x:row>
    <x:row r="7629">
      <x:c r="A7629" s="1" t="n">
        <x:v>60995</x:v>
      </x:c>
      <x:c r="B7629" s="5" t="d">
        <x:v>2017-06-09T00:00:00.000Z</x:v>
      </x:c>
      <x:c r="C7629" s="1" t="str">
        <x:v>Standard Class</x:v>
      </x:c>
      <x:c r="D7629" s="1" t="str">
        <x:v>LATAM</x:v>
      </x:c>
      <x:c r="E7629" s="1" t="str">
        <x:v>PENDING_PAYMENT</x:v>
      </x:c>
      <x:c r="F7629" s="1" t="str">
        <x:v>Late delivery</x:v>
      </x:c>
      <x:c r="G7629" s="6" t="n">
        <x:v>6</x:v>
      </x:c>
      <x:c r="H7629" s="6" t="n">
        <x:v>4</x:v>
      </x:c>
      <x:c r="I7629" s="6" t="n">
        <x:f>G7629-H7629</x:f>
        <x:v>2</x:v>
      </x:c>
      <x:c r="J7629" s="6" t="n">
        <x:f>IF(OR(E7629="CANCELED",E7629="SUSPECTED_FRAUD",F7629="Shipping canceled"),0,1)</x:f>
        <x:v>1</x:v>
      </x:c>
      <x:c r="K7629" s="6" t="n">
        <x:f>IF(G7629&gt;H7629,1,0)</x:f>
        <x:v>1</x:v>
      </x:c>
      <x:c r="L7629" s="6" t="n">
        <x:f>J7629*K7629</x:f>
        <x:v>1</x:v>
      </x:c>
    </x:row>
    <x:row r="7630">
      <x:c r="A7630" s="1" t="n">
        <x:v>61002</x:v>
      </x:c>
      <x:c r="B7630" s="5" t="d">
        <x:v>2017-06-09T00:00:00.000Z</x:v>
      </x:c>
      <x:c r="C7630" s="1" t="str">
        <x:v>Standard Class</x:v>
      </x:c>
      <x:c r="D7630" s="1" t="str">
        <x:v>LATAM</x:v>
      </x:c>
      <x:c r="E7630" s="1" t="str">
        <x:v>COMPLETE</x:v>
      </x:c>
      <x:c r="F7630" s="1" t="str">
        <x:v>Advance shipping</x:v>
      </x:c>
      <x:c r="G7630" s="6" t="n">
        <x:v>3</x:v>
      </x:c>
      <x:c r="H7630" s="6" t="n">
        <x:v>4</x:v>
      </x:c>
      <x:c r="I7630" s="6" t="n">
        <x:f>G7630-H7630</x:f>
        <x:v>-1</x:v>
      </x:c>
      <x:c r="J7630" s="6" t="n">
        <x:f>IF(OR(E7630="CANCELED",E7630="SUSPECTED_FRAUD",F7630="Shipping canceled"),0,1)</x:f>
        <x:v>1</x:v>
      </x:c>
      <x:c r="K7630" s="6" t="n">
        <x:f>IF(G7630&gt;H7630,1,0)</x:f>
        <x:v>0</x:v>
      </x:c>
      <x:c r="L7630" s="6" t="n">
        <x:f>J7630*K7630</x:f>
        <x:v>0</x:v>
      </x:c>
    </x:row>
    <x:row r="7631">
      <x:c r="A7631" s="1" t="n">
        <x:v>61007</x:v>
      </x:c>
      <x:c r="B7631" s="5" t="d">
        <x:v>2017-06-09T00:00:00.000Z</x:v>
      </x:c>
      <x:c r="C7631" s="1" t="str">
        <x:v>Second Class</x:v>
      </x:c>
      <x:c r="D7631" s="1" t="str">
        <x:v>LATAM</x:v>
      </x:c>
      <x:c r="E7631" s="1" t="str">
        <x:v>COMPLETE</x:v>
      </x:c>
      <x:c r="F7631" s="1" t="str">
        <x:v>Late delivery</x:v>
      </x:c>
      <x:c r="G7631" s="6" t="n">
        <x:v>3</x:v>
      </x:c>
      <x:c r="H7631" s="6" t="n">
        <x:v>2</x:v>
      </x:c>
      <x:c r="I7631" s="6" t="n">
        <x:f>G7631-H7631</x:f>
        <x:v>1</x:v>
      </x:c>
      <x:c r="J7631" s="6" t="n">
        <x:f>IF(OR(E7631="CANCELED",E7631="SUSPECTED_FRAUD",F7631="Shipping canceled"),0,1)</x:f>
        <x:v>1</x:v>
      </x:c>
      <x:c r="K7631" s="6" t="n">
        <x:f>IF(G7631&gt;H7631,1,0)</x:f>
        <x:v>1</x:v>
      </x:c>
      <x:c r="L7631" s="6" t="n">
        <x:f>J7631*K7631</x:f>
        <x:v>1</x:v>
      </x:c>
    </x:row>
    <x:row r="7632">
      <x:c r="A7632" s="1" t="n">
        <x:v>61024</x:v>
      </x:c>
      <x:c r="B7632" s="5" t="d">
        <x:v>2017-06-09T00:00:00.000Z</x:v>
      </x:c>
      <x:c r="C7632" s="1" t="str">
        <x:v>First Class</x:v>
      </x:c>
      <x:c r="D7632" s="1" t="str">
        <x:v>LATAM</x:v>
      </x:c>
      <x:c r="E7632" s="1" t="str">
        <x:v>CLOSED</x:v>
      </x:c>
      <x:c r="F7632" s="1" t="str">
        <x:v>Late delivery</x:v>
      </x:c>
      <x:c r="G7632" s="6" t="n">
        <x:v>2</x:v>
      </x:c>
      <x:c r="H7632" s="6" t="n">
        <x:v>1</x:v>
      </x:c>
      <x:c r="I7632" s="6" t="n">
        <x:f>G7632-H7632</x:f>
        <x:v>1</x:v>
      </x:c>
      <x:c r="J7632" s="6" t="n">
        <x:f>IF(OR(E7632="CANCELED",E7632="SUSPECTED_FRAUD",F7632="Shipping canceled"),0,1)</x:f>
        <x:v>1</x:v>
      </x:c>
      <x:c r="K7632" s="6" t="n">
        <x:f>IF(G7632&gt;H7632,1,0)</x:f>
        <x:v>1</x:v>
      </x:c>
      <x:c r="L7632" s="6" t="n">
        <x:f>J7632*K7632</x:f>
        <x:v>1</x:v>
      </x:c>
    </x:row>
    <x:row r="7633">
      <x:c r="A7633" s="1" t="n">
        <x:v>61046</x:v>
      </x:c>
      <x:c r="B7633" s="5" t="d">
        <x:v>2017-06-10T00:00:00.000Z</x:v>
      </x:c>
      <x:c r="C7633" s="1" t="str">
        <x:v>Second Class</x:v>
      </x:c>
      <x:c r="D7633" s="1" t="str">
        <x:v>LATAM</x:v>
      </x:c>
      <x:c r="E7633" s="1" t="str">
        <x:v>COMPLETE</x:v>
      </x:c>
      <x:c r="F7633" s="1" t="str">
        <x:v>Shipping on time</x:v>
      </x:c>
      <x:c r="G7633" s="6" t="n">
        <x:v>2</x:v>
      </x:c>
      <x:c r="H7633" s="6" t="n">
        <x:v>2</x:v>
      </x:c>
      <x:c r="I7633" s="6" t="n">
        <x:f>G7633-H7633</x:f>
        <x:v>0</x:v>
      </x:c>
      <x:c r="J7633" s="6" t="n">
        <x:f>IF(OR(E7633="CANCELED",E7633="SUSPECTED_FRAUD",F7633="Shipping canceled"),0,1)</x:f>
        <x:v>1</x:v>
      </x:c>
      <x:c r="K7633" s="6" t="n">
        <x:f>IF(G7633&gt;H7633,1,0)</x:f>
        <x:v>0</x:v>
      </x:c>
      <x:c r="L7633" s="6" t="n">
        <x:f>J7633*K7633</x:f>
        <x:v>0</x:v>
      </x:c>
    </x:row>
    <x:row r="7634">
      <x:c r="A7634" s="1" t="n">
        <x:v>61049</x:v>
      </x:c>
      <x:c r="B7634" s="5" t="d">
        <x:v>2017-06-10T00:00:00.000Z</x:v>
      </x:c>
      <x:c r="C7634" s="1" t="str">
        <x:v>Standard Class</x:v>
      </x:c>
      <x:c r="D7634" s="1" t="str">
        <x:v>LATAM</x:v>
      </x:c>
      <x:c r="E7634" s="1" t="str">
        <x:v>ON_HOLD</x:v>
      </x:c>
      <x:c r="F7634" s="1" t="str">
        <x:v>Late delivery</x:v>
      </x:c>
      <x:c r="G7634" s="6" t="n">
        <x:v>5</x:v>
      </x:c>
      <x:c r="H7634" s="6" t="n">
        <x:v>4</x:v>
      </x:c>
      <x:c r="I7634" s="6" t="n">
        <x:f>G7634-H7634</x:f>
        <x:v>1</x:v>
      </x:c>
      <x:c r="J7634" s="6" t="n">
        <x:f>IF(OR(E7634="CANCELED",E7634="SUSPECTED_FRAUD",F7634="Shipping canceled"),0,1)</x:f>
        <x:v>1</x:v>
      </x:c>
      <x:c r="K7634" s="6" t="n">
        <x:f>IF(G7634&gt;H7634,1,0)</x:f>
        <x:v>1</x:v>
      </x:c>
      <x:c r="L7634" s="6" t="n">
        <x:f>J7634*K7634</x:f>
        <x:v>1</x:v>
      </x:c>
    </x:row>
    <x:row r="7635">
      <x:c r="A7635" s="1" t="n">
        <x:v>61052</x:v>
      </x:c>
      <x:c r="B7635" s="5" t="d">
        <x:v>2017-06-10T00:00:00.000Z</x:v>
      </x:c>
      <x:c r="C7635" s="1" t="str">
        <x:v>Standard Class</x:v>
      </x:c>
      <x:c r="D7635" s="1" t="str">
        <x:v>LATAM</x:v>
      </x:c>
      <x:c r="E7635" s="1" t="str">
        <x:v>PENDING</x:v>
      </x:c>
      <x:c r="F7635" s="1" t="str">
        <x:v>Advance shipping</x:v>
      </x:c>
      <x:c r="G7635" s="6" t="n">
        <x:v>3</x:v>
      </x:c>
      <x:c r="H7635" s="6" t="n">
        <x:v>4</x:v>
      </x:c>
      <x:c r="I7635" s="6" t="n">
        <x:f>G7635-H7635</x:f>
        <x:v>-1</x:v>
      </x:c>
      <x:c r="J7635" s="6" t="n">
        <x:f>IF(OR(E7635="CANCELED",E7635="SUSPECTED_FRAUD",F7635="Shipping canceled"),0,1)</x:f>
        <x:v>1</x:v>
      </x:c>
      <x:c r="K7635" s="6" t="n">
        <x:f>IF(G7635&gt;H7635,1,0)</x:f>
        <x:v>0</x:v>
      </x:c>
      <x:c r="L7635" s="6" t="n">
        <x:f>J7635*K7635</x:f>
        <x:v>0</x:v>
      </x:c>
    </x:row>
    <x:row r="7636">
      <x:c r="A7636" s="1" t="n">
        <x:v>61074</x:v>
      </x:c>
      <x:c r="B7636" s="5" t="d">
        <x:v>2017-06-10T00:00:00.000Z</x:v>
      </x:c>
      <x:c r="C7636" s="1" t="str">
        <x:v>First Class</x:v>
      </x:c>
      <x:c r="D7636" s="1" t="str">
        <x:v>LATAM</x:v>
      </x:c>
      <x:c r="E7636" s="1" t="str">
        <x:v>CANCELED</x:v>
      </x:c>
      <x:c r="F7636" s="1" t="str">
        <x:v>Shipping canceled</x:v>
      </x:c>
      <x:c r="G7636" s="6" t="n">
        <x:v>2</x:v>
      </x:c>
      <x:c r="H7636" s="6" t="n">
        <x:v>1</x:v>
      </x:c>
      <x:c r="I7636" s="6" t="n">
        <x:f>G7636-H7636</x:f>
        <x:v>1</x:v>
      </x:c>
      <x:c r="J7636" s="6" t="n">
        <x:f>IF(OR(E7636="CANCELED",E7636="SUSPECTED_FRAUD",F7636="Shipping canceled"),0,1)</x:f>
        <x:v>0</x:v>
      </x:c>
      <x:c r="K7636" s="6" t="n">
        <x:f>IF(G7636&gt;H7636,1,0)</x:f>
        <x:v>1</x:v>
      </x:c>
      <x:c r="L7636" s="6" t="n">
        <x:f>J7636*K7636</x:f>
        <x:v>0</x:v>
      </x:c>
    </x:row>
    <x:row r="7637">
      <x:c r="A7637" s="1" t="n">
        <x:v>61075</x:v>
      </x:c>
      <x:c r="B7637" s="5" t="d">
        <x:v>2017-06-10T00:00:00.000Z</x:v>
      </x:c>
      <x:c r="C7637" s="1" t="str">
        <x:v>Second Class</x:v>
      </x:c>
      <x:c r="D7637" s="1" t="str">
        <x:v>LATAM</x:v>
      </x:c>
      <x:c r="E7637" s="1" t="str">
        <x:v>COMPLETE</x:v>
      </x:c>
      <x:c r="F7637" s="1" t="str">
        <x:v>Late delivery</x:v>
      </x:c>
      <x:c r="G7637" s="6" t="n">
        <x:v>6</x:v>
      </x:c>
      <x:c r="H7637" s="6" t="n">
        <x:v>2</x:v>
      </x:c>
      <x:c r="I7637" s="6" t="n">
        <x:f>G7637-H7637</x:f>
        <x:v>4</x:v>
      </x:c>
      <x:c r="J7637" s="6" t="n">
        <x:f>IF(OR(E7637="CANCELED",E7637="SUSPECTED_FRAUD",F7637="Shipping canceled"),0,1)</x:f>
        <x:v>1</x:v>
      </x:c>
      <x:c r="K7637" s="6" t="n">
        <x:f>IF(G7637&gt;H7637,1,0)</x:f>
        <x:v>1</x:v>
      </x:c>
      <x:c r="L7637" s="6" t="n">
        <x:f>J7637*K7637</x:f>
        <x:v>1</x:v>
      </x:c>
    </x:row>
    <x:row r="7638">
      <x:c r="A7638" s="1" t="n">
        <x:v>61085</x:v>
      </x:c>
      <x:c r="B7638" s="5" t="d">
        <x:v>2017-06-10T00:00:00.000Z</x:v>
      </x:c>
      <x:c r="C7638" s="1" t="str">
        <x:v>Second Class</x:v>
      </x:c>
      <x:c r="D7638" s="1" t="str">
        <x:v>LATAM</x:v>
      </x:c>
      <x:c r="E7638" s="1" t="str">
        <x:v>PROCESSING</x:v>
      </x:c>
      <x:c r="F7638" s="1" t="str">
        <x:v>Late delivery</x:v>
      </x:c>
      <x:c r="G7638" s="6" t="n">
        <x:v>6</x:v>
      </x:c>
      <x:c r="H7638" s="6" t="n">
        <x:v>2</x:v>
      </x:c>
      <x:c r="I7638" s="6" t="n">
        <x:f>G7638-H7638</x:f>
        <x:v>4</x:v>
      </x:c>
      <x:c r="J7638" s="6" t="n">
        <x:f>IF(OR(E7638="CANCELED",E7638="SUSPECTED_FRAUD",F7638="Shipping canceled"),0,1)</x:f>
        <x:v>1</x:v>
      </x:c>
      <x:c r="K7638" s="6" t="n">
        <x:f>IF(G7638&gt;H7638,1,0)</x:f>
        <x:v>1</x:v>
      </x:c>
      <x:c r="L7638" s="6" t="n">
        <x:f>J7638*K7638</x:f>
        <x:v>1</x:v>
      </x:c>
    </x:row>
    <x:row r="7639">
      <x:c r="A7639" s="1" t="n">
        <x:v>61090</x:v>
      </x:c>
      <x:c r="B7639" s="5" t="d">
        <x:v>2017-06-10T00:00:00.000Z</x:v>
      </x:c>
      <x:c r="C7639" s="1" t="str">
        <x:v>Standard Class</x:v>
      </x:c>
      <x:c r="D7639" s="1" t="str">
        <x:v>LATAM</x:v>
      </x:c>
      <x:c r="E7639" s="1" t="str">
        <x:v>PROCESSING</x:v>
      </x:c>
      <x:c r="F7639" s="1" t="str">
        <x:v>Late delivery</x:v>
      </x:c>
      <x:c r="G7639" s="6" t="n">
        <x:v>6</x:v>
      </x:c>
      <x:c r="H7639" s="6" t="n">
        <x:v>4</x:v>
      </x:c>
      <x:c r="I7639" s="6" t="n">
        <x:f>G7639-H7639</x:f>
        <x:v>2</x:v>
      </x:c>
      <x:c r="J7639" s="6" t="n">
        <x:f>IF(OR(E7639="CANCELED",E7639="SUSPECTED_FRAUD",F7639="Shipping canceled"),0,1)</x:f>
        <x:v>1</x:v>
      </x:c>
      <x:c r="K7639" s="6" t="n">
        <x:f>IF(G7639&gt;H7639,1,0)</x:f>
        <x:v>1</x:v>
      </x:c>
      <x:c r="L7639" s="6" t="n">
        <x:f>J7639*K7639</x:f>
        <x:v>1</x:v>
      </x:c>
    </x:row>
    <x:row r="7640">
      <x:c r="A7640" s="1" t="n">
        <x:v>61098</x:v>
      </x:c>
      <x:c r="B7640" s="5" t="d">
        <x:v>2017-06-10T00:00:00.000Z</x:v>
      </x:c>
      <x:c r="C7640" s="1" t="str">
        <x:v>Second Class</x:v>
      </x:c>
      <x:c r="D7640" s="1" t="str">
        <x:v>LATAM</x:v>
      </x:c>
      <x:c r="E7640" s="1" t="str">
        <x:v>SUSPECTED_FRAUD</x:v>
      </x:c>
      <x:c r="F7640" s="1" t="str">
        <x:v>Shipping canceled</x:v>
      </x:c>
      <x:c r="G7640" s="6" t="n">
        <x:v>4</x:v>
      </x:c>
      <x:c r="H7640" s="6" t="n">
        <x:v>2</x:v>
      </x:c>
      <x:c r="I7640" s="6" t="n">
        <x:f>G7640-H7640</x:f>
        <x:v>2</x:v>
      </x:c>
      <x:c r="J7640" s="6" t="n">
        <x:f>IF(OR(E7640="CANCELED",E7640="SUSPECTED_FRAUD",F7640="Shipping canceled"),0,1)</x:f>
        <x:v>0</x:v>
      </x:c>
      <x:c r="K7640" s="6" t="n">
        <x:f>IF(G7640&gt;H7640,1,0)</x:f>
        <x:v>1</x:v>
      </x:c>
      <x:c r="L7640" s="6" t="n">
        <x:f>J7640*K7640</x:f>
        <x:v>0</x:v>
      </x:c>
    </x:row>
    <x:row r="7641">
      <x:c r="A7641" s="1" t="n">
        <x:v>61105</x:v>
      </x:c>
      <x:c r="B7641" s="5" t="d">
        <x:v>2017-06-10T00:00:00.000Z</x:v>
      </x:c>
      <x:c r="C7641" s="1" t="str">
        <x:v>Standard Class</x:v>
      </x:c>
      <x:c r="D7641" s="1" t="str">
        <x:v>LATAM</x:v>
      </x:c>
      <x:c r="E7641" s="1" t="str">
        <x:v>PENDING</x:v>
      </x:c>
      <x:c r="F7641" s="1" t="str">
        <x:v>Late delivery</x:v>
      </x:c>
      <x:c r="G7641" s="6" t="n">
        <x:v>6</x:v>
      </x:c>
      <x:c r="H7641" s="6" t="n">
        <x:v>4</x:v>
      </x:c>
      <x:c r="I7641" s="6" t="n">
        <x:f>G7641-H7641</x:f>
        <x:v>2</x:v>
      </x:c>
      <x:c r="J7641" s="6" t="n">
        <x:f>IF(OR(E7641="CANCELED",E7641="SUSPECTED_FRAUD",F7641="Shipping canceled"),0,1)</x:f>
        <x:v>1</x:v>
      </x:c>
      <x:c r="K7641" s="6" t="n">
        <x:f>IF(G7641&gt;H7641,1,0)</x:f>
        <x:v>1</x:v>
      </x:c>
      <x:c r="L7641" s="6" t="n">
        <x:f>J7641*K7641</x:f>
        <x:v>1</x:v>
      </x:c>
    </x:row>
    <x:row r="7642">
      <x:c r="A7642" s="1" t="n">
        <x:v>61110</x:v>
      </x:c>
      <x:c r="B7642" s="5" t="d">
        <x:v>2017-06-11T00:00:00.000Z</x:v>
      </x:c>
      <x:c r="C7642" s="1" t="str">
        <x:v>Second Class</x:v>
      </x:c>
      <x:c r="D7642" s="1" t="str">
        <x:v>LATAM</x:v>
      </x:c>
      <x:c r="E7642" s="1" t="str">
        <x:v>COMPLETE</x:v>
      </x:c>
      <x:c r="F7642" s="1" t="str">
        <x:v>Late delivery</x:v>
      </x:c>
      <x:c r="G7642" s="6" t="n">
        <x:v>6</x:v>
      </x:c>
      <x:c r="H7642" s="6" t="n">
        <x:v>2</x:v>
      </x:c>
      <x:c r="I7642" s="6" t="n">
        <x:f>G7642-H7642</x:f>
        <x:v>4</x:v>
      </x:c>
      <x:c r="J7642" s="6" t="n">
        <x:f>IF(OR(E7642="CANCELED",E7642="SUSPECTED_FRAUD",F7642="Shipping canceled"),0,1)</x:f>
        <x:v>1</x:v>
      </x:c>
      <x:c r="K7642" s="6" t="n">
        <x:f>IF(G7642&gt;H7642,1,0)</x:f>
        <x:v>1</x:v>
      </x:c>
      <x:c r="L7642" s="6" t="n">
        <x:f>J7642*K7642</x:f>
        <x:v>1</x:v>
      </x:c>
    </x:row>
    <x:row r="7643">
      <x:c r="A7643" s="1" t="n">
        <x:v>61115</x:v>
      </x:c>
      <x:c r="B7643" s="5" t="d">
        <x:v>2017-06-11T00:00:00.000Z</x:v>
      </x:c>
      <x:c r="C7643" s="1" t="str">
        <x:v>Standard Class</x:v>
      </x:c>
      <x:c r="D7643" s="1" t="str">
        <x:v>LATAM</x:v>
      </x:c>
      <x:c r="E7643" s="1" t="str">
        <x:v>PENDING</x:v>
      </x:c>
      <x:c r="F7643" s="1" t="str">
        <x:v>Late delivery</x:v>
      </x:c>
      <x:c r="G7643" s="6" t="n">
        <x:v>6</x:v>
      </x:c>
      <x:c r="H7643" s="6" t="n">
        <x:v>4</x:v>
      </x:c>
      <x:c r="I7643" s="6" t="n">
        <x:f>G7643-H7643</x:f>
        <x:v>2</x:v>
      </x:c>
      <x:c r="J7643" s="6" t="n">
        <x:f>IF(OR(E7643="CANCELED",E7643="SUSPECTED_FRAUD",F7643="Shipping canceled"),0,1)</x:f>
        <x:v>1</x:v>
      </x:c>
      <x:c r="K7643" s="6" t="n">
        <x:f>IF(G7643&gt;H7643,1,0)</x:f>
        <x:v>1</x:v>
      </x:c>
      <x:c r="L7643" s="6" t="n">
        <x:f>J7643*K7643</x:f>
        <x:v>1</x:v>
      </x:c>
    </x:row>
    <x:row r="7644">
      <x:c r="A7644" s="1" t="n">
        <x:v>61127</x:v>
      </x:c>
      <x:c r="B7644" s="5" t="d">
        <x:v>2017-06-11T00:00:00.000Z</x:v>
      </x:c>
      <x:c r="C7644" s="1" t="str">
        <x:v>Standard Class</x:v>
      </x:c>
      <x:c r="D7644" s="1" t="str">
        <x:v>LATAM</x:v>
      </x:c>
      <x:c r="E7644" s="1" t="str">
        <x:v>COMPLETE</x:v>
      </x:c>
      <x:c r="F7644" s="1" t="str">
        <x:v>Advance shipping</x:v>
      </x:c>
      <x:c r="G7644" s="6" t="n">
        <x:v>3</x:v>
      </x:c>
      <x:c r="H7644" s="6" t="n">
        <x:v>4</x:v>
      </x:c>
      <x:c r="I7644" s="6" t="n">
        <x:f>G7644-H7644</x:f>
        <x:v>-1</x:v>
      </x:c>
      <x:c r="J7644" s="6" t="n">
        <x:f>IF(OR(E7644="CANCELED",E7644="SUSPECTED_FRAUD",F7644="Shipping canceled"),0,1)</x:f>
        <x:v>1</x:v>
      </x:c>
      <x:c r="K7644" s="6" t="n">
        <x:f>IF(G7644&gt;H7644,1,0)</x:f>
        <x:v>0</x:v>
      </x:c>
      <x:c r="L7644" s="6" t="n">
        <x:f>J7644*K7644</x:f>
        <x:v>0</x:v>
      </x:c>
    </x:row>
    <x:row r="7645">
      <x:c r="A7645" s="1" t="n">
        <x:v>61131</x:v>
      </x:c>
      <x:c r="B7645" s="5" t="d">
        <x:v>2017-06-11T00:00:00.000Z</x:v>
      </x:c>
      <x:c r="C7645" s="1" t="str">
        <x:v>Standard Class</x:v>
      </x:c>
      <x:c r="D7645" s="1" t="str">
        <x:v>LATAM</x:v>
      </x:c>
      <x:c r="E7645" s="1" t="str">
        <x:v>PENDING</x:v>
      </x:c>
      <x:c r="F7645" s="1" t="str">
        <x:v>Advance shipping</x:v>
      </x:c>
      <x:c r="G7645" s="6" t="n">
        <x:v>2</x:v>
      </x:c>
      <x:c r="H7645" s="6" t="n">
        <x:v>4</x:v>
      </x:c>
      <x:c r="I7645" s="6" t="n">
        <x:f>G7645-H7645</x:f>
        <x:v>-2</x:v>
      </x:c>
      <x:c r="J7645" s="6" t="n">
        <x:f>IF(OR(E7645="CANCELED",E7645="SUSPECTED_FRAUD",F7645="Shipping canceled"),0,1)</x:f>
        <x:v>1</x:v>
      </x:c>
      <x:c r="K7645" s="6" t="n">
        <x:f>IF(G7645&gt;H7645,1,0)</x:f>
        <x:v>0</x:v>
      </x:c>
      <x:c r="L7645" s="6" t="n">
        <x:f>J7645*K7645</x:f>
        <x:v>0</x:v>
      </x:c>
    </x:row>
    <x:row r="7646">
      <x:c r="A7646" s="1" t="n">
        <x:v>61156</x:v>
      </x:c>
      <x:c r="B7646" s="5" t="d">
        <x:v>2017-06-11T00:00:00.000Z</x:v>
      </x:c>
      <x:c r="C7646" s="1" t="str">
        <x:v>Standard Class</x:v>
      </x:c>
      <x:c r="D7646" s="1" t="str">
        <x:v>LATAM</x:v>
      </x:c>
      <x:c r="E7646" s="1" t="str">
        <x:v>COMPLETE</x:v>
      </x:c>
      <x:c r="F7646" s="1" t="str">
        <x:v>Advance shipping</x:v>
      </x:c>
      <x:c r="G7646" s="6" t="n">
        <x:v>2</x:v>
      </x:c>
      <x:c r="H7646" s="6" t="n">
        <x:v>4</x:v>
      </x:c>
      <x:c r="I7646" s="6" t="n">
        <x:f>G7646-H7646</x:f>
        <x:v>-2</x:v>
      </x:c>
      <x:c r="J7646" s="6" t="n">
        <x:f>IF(OR(E7646="CANCELED",E7646="SUSPECTED_FRAUD",F7646="Shipping canceled"),0,1)</x:f>
        <x:v>1</x:v>
      </x:c>
      <x:c r="K7646" s="6" t="n">
        <x:f>IF(G7646&gt;H7646,1,0)</x:f>
        <x:v>0</x:v>
      </x:c>
      <x:c r="L7646" s="6" t="n">
        <x:f>J7646*K7646</x:f>
        <x:v>0</x:v>
      </x:c>
    </x:row>
    <x:row r="7647">
      <x:c r="A7647" s="1" t="n">
        <x:v>61162</x:v>
      </x:c>
      <x:c r="B7647" s="5" t="d">
        <x:v>2017-06-11T00:00:00.000Z</x:v>
      </x:c>
      <x:c r="C7647" s="1" t="str">
        <x:v>Standard Class</x:v>
      </x:c>
      <x:c r="D7647" s="1" t="str">
        <x:v>LATAM</x:v>
      </x:c>
      <x:c r="E7647" s="1" t="str">
        <x:v>PROCESSING</x:v>
      </x:c>
      <x:c r="F7647" s="1" t="str">
        <x:v>Advance shipping</x:v>
      </x:c>
      <x:c r="G7647" s="6" t="n">
        <x:v>3</x:v>
      </x:c>
      <x:c r="H7647" s="6" t="n">
        <x:v>4</x:v>
      </x:c>
      <x:c r="I7647" s="6" t="n">
        <x:f>G7647-H7647</x:f>
        <x:v>-1</x:v>
      </x:c>
      <x:c r="J7647" s="6" t="n">
        <x:f>IF(OR(E7647="CANCELED",E7647="SUSPECTED_FRAUD",F7647="Shipping canceled"),0,1)</x:f>
        <x:v>1</x:v>
      </x:c>
      <x:c r="K7647" s="6" t="n">
        <x:f>IF(G7647&gt;H7647,1,0)</x:f>
        <x:v>0</x:v>
      </x:c>
      <x:c r="L7647" s="6" t="n">
        <x:f>J7647*K7647</x:f>
        <x:v>0</x:v>
      </x:c>
    </x:row>
    <x:row r="7648">
      <x:c r="A7648" s="1" t="n">
        <x:v>61164</x:v>
      </x:c>
      <x:c r="B7648" s="5" t="d">
        <x:v>2017-06-11T00:00:00.000Z</x:v>
      </x:c>
      <x:c r="C7648" s="1" t="str">
        <x:v>Standard Class</x:v>
      </x:c>
      <x:c r="D7648" s="1" t="str">
        <x:v>LATAM</x:v>
      </x:c>
      <x:c r="E7648" s="1" t="str">
        <x:v>PROCESSING</x:v>
      </x:c>
      <x:c r="F7648" s="1" t="str">
        <x:v>Late delivery</x:v>
      </x:c>
      <x:c r="G7648" s="6" t="n">
        <x:v>5</x:v>
      </x:c>
      <x:c r="H7648" s="6" t="n">
        <x:v>4</x:v>
      </x:c>
      <x:c r="I7648" s="6" t="n">
        <x:f>G7648-H7648</x:f>
        <x:v>1</x:v>
      </x:c>
      <x:c r="J7648" s="6" t="n">
        <x:f>IF(OR(E7648="CANCELED",E7648="SUSPECTED_FRAUD",F7648="Shipping canceled"),0,1)</x:f>
        <x:v>1</x:v>
      </x:c>
      <x:c r="K7648" s="6" t="n">
        <x:f>IF(G7648&gt;H7648,1,0)</x:f>
        <x:v>1</x:v>
      </x:c>
      <x:c r="L7648" s="6" t="n">
        <x:f>J7648*K7648</x:f>
        <x:v>1</x:v>
      </x:c>
    </x:row>
    <x:row r="7649">
      <x:c r="A7649" s="1" t="n">
        <x:v>61181</x:v>
      </x:c>
      <x:c r="B7649" s="5" t="d">
        <x:v>2017-06-12T00:00:00.000Z</x:v>
      </x:c>
      <x:c r="C7649" s="1" t="str">
        <x:v>Second Class</x:v>
      </x:c>
      <x:c r="D7649" s="1" t="str">
        <x:v>LATAM</x:v>
      </x:c>
      <x:c r="E7649" s="1" t="str">
        <x:v>ON_HOLD</x:v>
      </x:c>
      <x:c r="F7649" s="1" t="str">
        <x:v>Shipping on time</x:v>
      </x:c>
      <x:c r="G7649" s="6" t="n">
        <x:v>2</x:v>
      </x:c>
      <x:c r="H7649" s="6" t="n">
        <x:v>2</x:v>
      </x:c>
      <x:c r="I7649" s="6" t="n">
        <x:f>G7649-H7649</x:f>
        <x:v>0</x:v>
      </x:c>
      <x:c r="J7649" s="6" t="n">
        <x:f>IF(OR(E7649="CANCELED",E7649="SUSPECTED_FRAUD",F7649="Shipping canceled"),0,1)</x:f>
        <x:v>1</x:v>
      </x:c>
      <x:c r="K7649" s="6" t="n">
        <x:f>IF(G7649&gt;H7649,1,0)</x:f>
        <x:v>0</x:v>
      </x:c>
      <x:c r="L7649" s="6" t="n">
        <x:f>J7649*K7649</x:f>
        <x:v>0</x:v>
      </x:c>
    </x:row>
    <x:row r="7650">
      <x:c r="A7650" s="1" t="n">
        <x:v>61185</x:v>
      </x:c>
      <x:c r="B7650" s="5" t="d">
        <x:v>2017-06-12T00:00:00.000Z</x:v>
      </x:c>
      <x:c r="C7650" s="1" t="str">
        <x:v>Second Class</x:v>
      </x:c>
      <x:c r="D7650" s="1" t="str">
        <x:v>LATAM</x:v>
      </x:c>
      <x:c r="E7650" s="1" t="str">
        <x:v>COMPLETE</x:v>
      </x:c>
      <x:c r="F7650" s="1" t="str">
        <x:v>Late delivery</x:v>
      </x:c>
      <x:c r="G7650" s="6" t="n">
        <x:v>6</x:v>
      </x:c>
      <x:c r="H7650" s="6" t="n">
        <x:v>2</x:v>
      </x:c>
      <x:c r="I7650" s="6" t="n">
        <x:f>G7650-H7650</x:f>
        <x:v>4</x:v>
      </x:c>
      <x:c r="J7650" s="6" t="n">
        <x:f>IF(OR(E7650="CANCELED",E7650="SUSPECTED_FRAUD",F7650="Shipping canceled"),0,1)</x:f>
        <x:v>1</x:v>
      </x:c>
      <x:c r="K7650" s="6" t="n">
        <x:f>IF(G7650&gt;H7650,1,0)</x:f>
        <x:v>1</x:v>
      </x:c>
      <x:c r="L7650" s="6" t="n">
        <x:f>J7650*K7650</x:f>
        <x:v>1</x:v>
      </x:c>
    </x:row>
    <x:row r="7651">
      <x:c r="A7651" s="1" t="n">
        <x:v>61188</x:v>
      </x:c>
      <x:c r="B7651" s="5" t="d">
        <x:v>2017-06-12T00:00:00.000Z</x:v>
      </x:c>
      <x:c r="C7651" s="1" t="str">
        <x:v>Standard Class</x:v>
      </x:c>
      <x:c r="D7651" s="1" t="str">
        <x:v>LATAM</x:v>
      </x:c>
      <x:c r="E7651" s="1" t="str">
        <x:v>CLOSED</x:v>
      </x:c>
      <x:c r="F7651" s="1" t="str">
        <x:v>Shipping on time</x:v>
      </x:c>
      <x:c r="G7651" s="6" t="n">
        <x:v>4</x:v>
      </x:c>
      <x:c r="H7651" s="6" t="n">
        <x:v>4</x:v>
      </x:c>
      <x:c r="I7651" s="6" t="n">
        <x:f>G7651-H7651</x:f>
        <x:v>0</x:v>
      </x:c>
      <x:c r="J7651" s="6" t="n">
        <x:f>IF(OR(E7651="CANCELED",E7651="SUSPECTED_FRAUD",F7651="Shipping canceled"),0,1)</x:f>
        <x:v>1</x:v>
      </x:c>
      <x:c r="K7651" s="6" t="n">
        <x:f>IF(G7651&gt;H7651,1,0)</x:f>
        <x:v>0</x:v>
      </x:c>
      <x:c r="L7651" s="6" t="n">
        <x:f>J7651*K7651</x:f>
        <x:v>0</x:v>
      </x:c>
    </x:row>
    <x:row r="7652">
      <x:c r="A7652" s="1" t="n">
        <x:v>61191</x:v>
      </x:c>
      <x:c r="B7652" s="5" t="d">
        <x:v>2017-06-12T00:00:00.000Z</x:v>
      </x:c>
      <x:c r="C7652" s="1" t="str">
        <x:v>Standard Class</x:v>
      </x:c>
      <x:c r="D7652" s="1" t="str">
        <x:v>LATAM</x:v>
      </x:c>
      <x:c r="E7652" s="1" t="str">
        <x:v>COMPLETE</x:v>
      </x:c>
      <x:c r="F7652" s="1" t="str">
        <x:v>Advance shipping</x:v>
      </x:c>
      <x:c r="G7652" s="6" t="n">
        <x:v>2</x:v>
      </x:c>
      <x:c r="H7652" s="6" t="n">
        <x:v>4</x:v>
      </x:c>
      <x:c r="I7652" s="6" t="n">
        <x:f>G7652-H7652</x:f>
        <x:v>-2</x:v>
      </x:c>
      <x:c r="J7652" s="6" t="n">
        <x:f>IF(OR(E7652="CANCELED",E7652="SUSPECTED_FRAUD",F7652="Shipping canceled"),0,1)</x:f>
        <x:v>1</x:v>
      </x:c>
      <x:c r="K7652" s="6" t="n">
        <x:f>IF(G7652&gt;H7652,1,0)</x:f>
        <x:v>0</x:v>
      </x:c>
      <x:c r="L7652" s="6" t="n">
        <x:f>J7652*K7652</x:f>
        <x:v>0</x:v>
      </x:c>
    </x:row>
    <x:row r="7653">
      <x:c r="A7653" s="1" t="n">
        <x:v>61192</x:v>
      </x:c>
      <x:c r="B7653" s="5" t="d">
        <x:v>2017-06-12T00:00:00.000Z</x:v>
      </x:c>
      <x:c r="C7653" s="1" t="str">
        <x:v>Standard Class</x:v>
      </x:c>
      <x:c r="D7653" s="1" t="str">
        <x:v>LATAM</x:v>
      </x:c>
      <x:c r="E7653" s="1" t="str">
        <x:v>PROCESSING</x:v>
      </x:c>
      <x:c r="F7653" s="1" t="str">
        <x:v>Advance shipping</x:v>
      </x:c>
      <x:c r="G7653" s="6" t="n">
        <x:v>3</x:v>
      </x:c>
      <x:c r="H7653" s="6" t="n">
        <x:v>4</x:v>
      </x:c>
      <x:c r="I7653" s="6" t="n">
        <x:f>G7653-H7653</x:f>
        <x:v>-1</x:v>
      </x:c>
      <x:c r="J7653" s="6" t="n">
        <x:f>IF(OR(E7653="CANCELED",E7653="SUSPECTED_FRAUD",F7653="Shipping canceled"),0,1)</x:f>
        <x:v>1</x:v>
      </x:c>
      <x:c r="K7653" s="6" t="n">
        <x:f>IF(G7653&gt;H7653,1,0)</x:f>
        <x:v>0</x:v>
      </x:c>
      <x:c r="L7653" s="6" t="n">
        <x:f>J7653*K7653</x:f>
        <x:v>0</x:v>
      </x:c>
    </x:row>
    <x:row r="7654">
      <x:c r="A7654" s="1" t="n">
        <x:v>61193</x:v>
      </x:c>
      <x:c r="B7654" s="5" t="d">
        <x:v>2017-06-12T00:00:00.000Z</x:v>
      </x:c>
      <x:c r="C7654" s="1" t="str">
        <x:v>Standard Class</x:v>
      </x:c>
      <x:c r="D7654" s="1" t="str">
        <x:v>LATAM</x:v>
      </x:c>
      <x:c r="E7654" s="1" t="str">
        <x:v>CANCELED</x:v>
      </x:c>
      <x:c r="F7654" s="1" t="str">
        <x:v>Shipping canceled</x:v>
      </x:c>
      <x:c r="G7654" s="6" t="n">
        <x:v>4</x:v>
      </x:c>
      <x:c r="H7654" s="6" t="n">
        <x:v>4</x:v>
      </x:c>
      <x:c r="I7654" s="6" t="n">
        <x:f>G7654-H7654</x:f>
        <x:v>0</x:v>
      </x:c>
      <x:c r="J7654" s="6" t="n">
        <x:f>IF(OR(E7654="CANCELED",E7654="SUSPECTED_FRAUD",F7654="Shipping canceled"),0,1)</x:f>
        <x:v>0</x:v>
      </x:c>
      <x:c r="K7654" s="6" t="n">
        <x:f>IF(G7654&gt;H7654,1,0)</x:f>
        <x:v>0</x:v>
      </x:c>
      <x:c r="L7654" s="6" t="n">
        <x:f>J7654*K7654</x:f>
        <x:v>0</x:v>
      </x:c>
    </x:row>
    <x:row r="7655">
      <x:c r="A7655" s="1" t="n">
        <x:v>61244</x:v>
      </x:c>
      <x:c r="B7655" s="5" t="d">
        <x:v>2017-06-13T00:00:00.000Z</x:v>
      </x:c>
      <x:c r="C7655" s="1" t="str">
        <x:v>Standard Class</x:v>
      </x:c>
      <x:c r="D7655" s="1" t="str">
        <x:v>LATAM</x:v>
      </x:c>
      <x:c r="E7655" s="1" t="str">
        <x:v>PENDING</x:v>
      </x:c>
      <x:c r="F7655" s="1" t="str">
        <x:v>Late delivery</x:v>
      </x:c>
      <x:c r="G7655" s="6" t="n">
        <x:v>5</x:v>
      </x:c>
      <x:c r="H7655" s="6" t="n">
        <x:v>4</x:v>
      </x:c>
      <x:c r="I7655" s="6" t="n">
        <x:f>G7655-H7655</x:f>
        <x:v>1</x:v>
      </x:c>
      <x:c r="J7655" s="6" t="n">
        <x:f>IF(OR(E7655="CANCELED",E7655="SUSPECTED_FRAUD",F7655="Shipping canceled"),0,1)</x:f>
        <x:v>1</x:v>
      </x:c>
      <x:c r="K7655" s="6" t="n">
        <x:f>IF(G7655&gt;H7655,1,0)</x:f>
        <x:v>1</x:v>
      </x:c>
      <x:c r="L7655" s="6" t="n">
        <x:f>J7655*K7655</x:f>
        <x:v>1</x:v>
      </x:c>
    </x:row>
    <x:row r="7656">
      <x:c r="A7656" s="1" t="n">
        <x:v>61299</x:v>
      </x:c>
      <x:c r="B7656" s="5" t="d">
        <x:v>2017-06-13T00:00:00.000Z</x:v>
      </x:c>
      <x:c r="C7656" s="1" t="str">
        <x:v>First Class</x:v>
      </x:c>
      <x:c r="D7656" s="1" t="str">
        <x:v>LATAM</x:v>
      </x:c>
      <x:c r="E7656" s="1" t="str">
        <x:v>CLOSED</x:v>
      </x:c>
      <x:c r="F7656" s="1" t="str">
        <x:v>Late delivery</x:v>
      </x:c>
      <x:c r="G7656" s="6" t="n">
        <x:v>2</x:v>
      </x:c>
      <x:c r="H7656" s="6" t="n">
        <x:v>1</x:v>
      </x:c>
      <x:c r="I7656" s="6" t="n">
        <x:f>G7656-H7656</x:f>
        <x:v>1</x:v>
      </x:c>
      <x:c r="J7656" s="6" t="n">
        <x:f>IF(OR(E7656="CANCELED",E7656="SUSPECTED_FRAUD",F7656="Shipping canceled"),0,1)</x:f>
        <x:v>1</x:v>
      </x:c>
      <x:c r="K7656" s="6" t="n">
        <x:f>IF(G7656&gt;H7656,1,0)</x:f>
        <x:v>1</x:v>
      </x:c>
      <x:c r="L7656" s="6" t="n">
        <x:f>J7656*K7656</x:f>
        <x:v>1</x:v>
      </x:c>
    </x:row>
    <x:row r="7657">
      <x:c r="A7657" s="1" t="n">
        <x:v>61302</x:v>
      </x:c>
      <x:c r="B7657" s="5" t="d">
        <x:v>2017-06-13T00:00:00.000Z</x:v>
      </x:c>
      <x:c r="C7657" s="1" t="str">
        <x:v>Second Class</x:v>
      </x:c>
      <x:c r="D7657" s="1" t="str">
        <x:v>LATAM</x:v>
      </x:c>
      <x:c r="E7657" s="1" t="str">
        <x:v>PROCESSING</x:v>
      </x:c>
      <x:c r="F7657" s="1" t="str">
        <x:v>Late delivery</x:v>
      </x:c>
      <x:c r="G7657" s="6" t="n">
        <x:v>3</x:v>
      </x:c>
      <x:c r="H7657" s="6" t="n">
        <x:v>2</x:v>
      </x:c>
      <x:c r="I7657" s="6" t="n">
        <x:f>G7657-H7657</x:f>
        <x:v>1</x:v>
      </x:c>
      <x:c r="J7657" s="6" t="n">
        <x:f>IF(OR(E7657="CANCELED",E7657="SUSPECTED_FRAUD",F7657="Shipping canceled"),0,1)</x:f>
        <x:v>1</x:v>
      </x:c>
      <x:c r="K7657" s="6" t="n">
        <x:f>IF(G7657&gt;H7657,1,0)</x:f>
        <x:v>1</x:v>
      </x:c>
      <x:c r="L7657" s="6" t="n">
        <x:f>J7657*K7657</x:f>
        <x:v>1</x:v>
      </x:c>
    </x:row>
    <x:row r="7658">
      <x:c r="A7658" s="1" t="n">
        <x:v>61313</x:v>
      </x:c>
      <x:c r="B7658" s="5" t="d">
        <x:v>2017-06-14T00:00:00.000Z</x:v>
      </x:c>
      <x:c r="C7658" s="1" t="str">
        <x:v>First Class</x:v>
      </x:c>
      <x:c r="D7658" s="1" t="str">
        <x:v>LATAM</x:v>
      </x:c>
      <x:c r="E7658" s="1" t="str">
        <x:v>CLOSED</x:v>
      </x:c>
      <x:c r="F7658" s="1" t="str">
        <x:v>Late delivery</x:v>
      </x:c>
      <x:c r="G7658" s="6" t="n">
        <x:v>2</x:v>
      </x:c>
      <x:c r="H7658" s="6" t="n">
        <x:v>1</x:v>
      </x:c>
      <x:c r="I7658" s="6" t="n">
        <x:f>G7658-H7658</x:f>
        <x:v>1</x:v>
      </x:c>
      <x:c r="J7658" s="6" t="n">
        <x:f>IF(OR(E7658="CANCELED",E7658="SUSPECTED_FRAUD",F7658="Shipping canceled"),0,1)</x:f>
        <x:v>1</x:v>
      </x:c>
      <x:c r="K7658" s="6" t="n">
        <x:f>IF(G7658&gt;H7658,1,0)</x:f>
        <x:v>1</x:v>
      </x:c>
      <x:c r="L7658" s="6" t="n">
        <x:f>J7658*K7658</x:f>
        <x:v>1</x:v>
      </x:c>
    </x:row>
    <x:row r="7659">
      <x:c r="A7659" s="1" t="n">
        <x:v>61316</x:v>
      </x:c>
      <x:c r="B7659" s="5" t="d">
        <x:v>2017-06-14T00:00:00.000Z</x:v>
      </x:c>
      <x:c r="C7659" s="1" t="str">
        <x:v>Standard Class</x:v>
      </x:c>
      <x:c r="D7659" s="1" t="str">
        <x:v>LATAM</x:v>
      </x:c>
      <x:c r="E7659" s="1" t="str">
        <x:v>COMPLETE</x:v>
      </x:c>
      <x:c r="F7659" s="1" t="str">
        <x:v>Advance shipping</x:v>
      </x:c>
      <x:c r="G7659" s="6" t="n">
        <x:v>2</x:v>
      </x:c>
      <x:c r="H7659" s="6" t="n">
        <x:v>4</x:v>
      </x:c>
      <x:c r="I7659" s="6" t="n">
        <x:f>G7659-H7659</x:f>
        <x:v>-2</x:v>
      </x:c>
      <x:c r="J7659" s="6" t="n">
        <x:f>IF(OR(E7659="CANCELED",E7659="SUSPECTED_FRAUD",F7659="Shipping canceled"),0,1)</x:f>
        <x:v>1</x:v>
      </x:c>
      <x:c r="K7659" s="6" t="n">
        <x:f>IF(G7659&gt;H7659,1,0)</x:f>
        <x:v>0</x:v>
      </x:c>
      <x:c r="L7659" s="6" t="n">
        <x:f>J7659*K7659</x:f>
        <x:v>0</x:v>
      </x:c>
    </x:row>
    <x:row r="7660">
      <x:c r="A7660" s="1" t="n">
        <x:v>61319</x:v>
      </x:c>
      <x:c r="B7660" s="5" t="d">
        <x:v>2017-06-14T00:00:00.000Z</x:v>
      </x:c>
      <x:c r="C7660" s="1" t="str">
        <x:v>Standard Class</x:v>
      </x:c>
      <x:c r="D7660" s="1" t="str">
        <x:v>LATAM</x:v>
      </x:c>
      <x:c r="E7660" s="1" t="str">
        <x:v>CLOSED</x:v>
      </x:c>
      <x:c r="F7660" s="1" t="str">
        <x:v>Late delivery</x:v>
      </x:c>
      <x:c r="G7660" s="6" t="n">
        <x:v>5</x:v>
      </x:c>
      <x:c r="H7660" s="6" t="n">
        <x:v>4</x:v>
      </x:c>
      <x:c r="I7660" s="6" t="n">
        <x:f>G7660-H7660</x:f>
        <x:v>1</x:v>
      </x:c>
      <x:c r="J7660" s="6" t="n">
        <x:f>IF(OR(E7660="CANCELED",E7660="SUSPECTED_FRAUD",F7660="Shipping canceled"),0,1)</x:f>
        <x:v>1</x:v>
      </x:c>
      <x:c r="K7660" s="6" t="n">
        <x:f>IF(G7660&gt;H7660,1,0)</x:f>
        <x:v>1</x:v>
      </x:c>
      <x:c r="L7660" s="6" t="n">
        <x:f>J7660*K7660</x:f>
        <x:v>1</x:v>
      </x:c>
    </x:row>
    <x:row r="7661">
      <x:c r="A7661" s="1" t="n">
        <x:v>61332</x:v>
      </x:c>
      <x:c r="B7661" s="5" t="d">
        <x:v>2017-06-14T00:00:00.000Z</x:v>
      </x:c>
      <x:c r="C7661" s="1" t="str">
        <x:v>Standard Class</x:v>
      </x:c>
      <x:c r="D7661" s="1" t="str">
        <x:v>LATAM</x:v>
      </x:c>
      <x:c r="E7661" s="1" t="str">
        <x:v>PROCESSING</x:v>
      </x:c>
      <x:c r="F7661" s="1" t="str">
        <x:v>Advance shipping</x:v>
      </x:c>
      <x:c r="G7661" s="6" t="n">
        <x:v>3</x:v>
      </x:c>
      <x:c r="H7661" s="6" t="n">
        <x:v>4</x:v>
      </x:c>
      <x:c r="I7661" s="6" t="n">
        <x:f>G7661-H7661</x:f>
        <x:v>-1</x:v>
      </x:c>
      <x:c r="J7661" s="6" t="n">
        <x:f>IF(OR(E7661="CANCELED",E7661="SUSPECTED_FRAUD",F7661="Shipping canceled"),0,1)</x:f>
        <x:v>1</x:v>
      </x:c>
      <x:c r="K7661" s="6" t="n">
        <x:f>IF(G7661&gt;H7661,1,0)</x:f>
        <x:v>0</x:v>
      </x:c>
      <x:c r="L7661" s="6" t="n">
        <x:f>J7661*K7661</x:f>
        <x:v>0</x:v>
      </x:c>
    </x:row>
    <x:row r="7662">
      <x:c r="A7662" s="1" t="n">
        <x:v>61333</x:v>
      </x:c>
      <x:c r="B7662" s="5" t="d">
        <x:v>2017-06-14T00:00:00.000Z</x:v>
      </x:c>
      <x:c r="C7662" s="1" t="str">
        <x:v>Standard Class</x:v>
      </x:c>
      <x:c r="D7662" s="1" t="str">
        <x:v>LATAM</x:v>
      </x:c>
      <x:c r="E7662" s="1" t="str">
        <x:v>COMPLETE</x:v>
      </x:c>
      <x:c r="F7662" s="1" t="str">
        <x:v>Shipping on time</x:v>
      </x:c>
      <x:c r="G7662" s="6" t="n">
        <x:v>4</x:v>
      </x:c>
      <x:c r="H7662" s="6" t="n">
        <x:v>4</x:v>
      </x:c>
      <x:c r="I7662" s="6" t="n">
        <x:f>G7662-H7662</x:f>
        <x:v>0</x:v>
      </x:c>
      <x:c r="J7662" s="6" t="n">
        <x:f>IF(OR(E7662="CANCELED",E7662="SUSPECTED_FRAUD",F7662="Shipping canceled"),0,1)</x:f>
        <x:v>1</x:v>
      </x:c>
      <x:c r="K7662" s="6" t="n">
        <x:f>IF(G7662&gt;H7662,1,0)</x:f>
        <x:v>0</x:v>
      </x:c>
      <x:c r="L7662" s="6" t="n">
        <x:f>J7662*K7662</x:f>
        <x:v>0</x:v>
      </x:c>
    </x:row>
    <x:row r="7663">
      <x:c r="A7663" s="1" t="n">
        <x:v>61340</x:v>
      </x:c>
      <x:c r="B7663" s="5" t="d">
        <x:v>2017-06-14T00:00:00.000Z</x:v>
      </x:c>
      <x:c r="C7663" s="1" t="str">
        <x:v>First Class</x:v>
      </x:c>
      <x:c r="D7663" s="1" t="str">
        <x:v>LATAM</x:v>
      </x:c>
      <x:c r="E7663" s="1" t="str">
        <x:v>CLOSED</x:v>
      </x:c>
      <x:c r="F7663" s="1" t="str">
        <x:v>Late delivery</x:v>
      </x:c>
      <x:c r="G7663" s="6" t="n">
        <x:v>2</x:v>
      </x:c>
      <x:c r="H7663" s="6" t="n">
        <x:v>1</x:v>
      </x:c>
      <x:c r="I7663" s="6" t="n">
        <x:f>G7663-H7663</x:f>
        <x:v>1</x:v>
      </x:c>
      <x:c r="J7663" s="6" t="n">
        <x:f>IF(OR(E7663="CANCELED",E7663="SUSPECTED_FRAUD",F7663="Shipping canceled"),0,1)</x:f>
        <x:v>1</x:v>
      </x:c>
      <x:c r="K7663" s="6" t="n">
        <x:f>IF(G7663&gt;H7663,1,0)</x:f>
        <x:v>1</x:v>
      </x:c>
      <x:c r="L7663" s="6" t="n">
        <x:f>J7663*K7663</x:f>
        <x:v>1</x:v>
      </x:c>
    </x:row>
    <x:row r="7664">
      <x:c r="A7664" s="1" t="n">
        <x:v>61344</x:v>
      </x:c>
      <x:c r="B7664" s="5" t="d">
        <x:v>2017-06-14T00:00:00.000Z</x:v>
      </x:c>
      <x:c r="C7664" s="1" t="str">
        <x:v>Second Class</x:v>
      </x:c>
      <x:c r="D7664" s="1" t="str">
        <x:v>LATAM</x:v>
      </x:c>
      <x:c r="E7664" s="1" t="str">
        <x:v>ON_HOLD</x:v>
      </x:c>
      <x:c r="F7664" s="1" t="str">
        <x:v>Late delivery</x:v>
      </x:c>
      <x:c r="G7664" s="6" t="n">
        <x:v>5</x:v>
      </x:c>
      <x:c r="H7664" s="6" t="n">
        <x:v>2</x:v>
      </x:c>
      <x:c r="I7664" s="6" t="n">
        <x:f>G7664-H7664</x:f>
        <x:v>3</x:v>
      </x:c>
      <x:c r="J7664" s="6" t="n">
        <x:f>IF(OR(E7664="CANCELED",E7664="SUSPECTED_FRAUD",F7664="Shipping canceled"),0,1)</x:f>
        <x:v>1</x:v>
      </x:c>
      <x:c r="K7664" s="6" t="n">
        <x:f>IF(G7664&gt;H7664,1,0)</x:f>
        <x:v>1</x:v>
      </x:c>
      <x:c r="L7664" s="6" t="n">
        <x:f>J7664*K7664</x:f>
        <x:v>1</x:v>
      </x:c>
    </x:row>
    <x:row r="7665">
      <x:c r="A7665" s="1" t="n">
        <x:v>61346</x:v>
      </x:c>
      <x:c r="B7665" s="5" t="d">
        <x:v>2017-06-14T00:00:00.000Z</x:v>
      </x:c>
      <x:c r="C7665" s="1" t="str">
        <x:v>Standard Class</x:v>
      </x:c>
      <x:c r="D7665" s="1" t="str">
        <x:v>LATAM</x:v>
      </x:c>
      <x:c r="E7665" s="1" t="str">
        <x:v>PROCESSING</x:v>
      </x:c>
      <x:c r="F7665" s="1" t="str">
        <x:v>Advance shipping</x:v>
      </x:c>
      <x:c r="G7665" s="6" t="n">
        <x:v>2</x:v>
      </x:c>
      <x:c r="H7665" s="6" t="n">
        <x:v>4</x:v>
      </x:c>
      <x:c r="I7665" s="6" t="n">
        <x:f>G7665-H7665</x:f>
        <x:v>-2</x:v>
      </x:c>
      <x:c r="J7665" s="6" t="n">
        <x:f>IF(OR(E7665="CANCELED",E7665="SUSPECTED_FRAUD",F7665="Shipping canceled"),0,1)</x:f>
        <x:v>1</x:v>
      </x:c>
      <x:c r="K7665" s="6" t="n">
        <x:f>IF(G7665&gt;H7665,1,0)</x:f>
        <x:v>0</x:v>
      </x:c>
      <x:c r="L7665" s="6" t="n">
        <x:f>J7665*K7665</x:f>
        <x:v>0</x:v>
      </x:c>
    </x:row>
    <x:row r="7666">
      <x:c r="A7666" s="1" t="n">
        <x:v>61373</x:v>
      </x:c>
      <x:c r="B7666" s="5" t="d">
        <x:v>2017-06-14T00:00:00.000Z</x:v>
      </x:c>
      <x:c r="C7666" s="1" t="str">
        <x:v>First Class</x:v>
      </x:c>
      <x:c r="D7666" s="1" t="str">
        <x:v>LATAM</x:v>
      </x:c>
      <x:c r="E7666" s="1" t="str">
        <x:v>PENDING</x:v>
      </x:c>
      <x:c r="F7666" s="1" t="str">
        <x:v>Late delivery</x:v>
      </x:c>
      <x:c r="G7666" s="6" t="n">
        <x:v>2</x:v>
      </x:c>
      <x:c r="H7666" s="6" t="n">
        <x:v>1</x:v>
      </x:c>
      <x:c r="I7666" s="6" t="n">
        <x:f>G7666-H7666</x:f>
        <x:v>1</x:v>
      </x:c>
      <x:c r="J7666" s="6" t="n">
        <x:f>IF(OR(E7666="CANCELED",E7666="SUSPECTED_FRAUD",F7666="Shipping canceled"),0,1)</x:f>
        <x:v>1</x:v>
      </x:c>
      <x:c r="K7666" s="6" t="n">
        <x:f>IF(G7666&gt;H7666,1,0)</x:f>
        <x:v>1</x:v>
      </x:c>
      <x:c r="L7666" s="6" t="n">
        <x:f>J7666*K7666</x:f>
        <x:v>1</x:v>
      </x:c>
    </x:row>
    <x:row r="7667">
      <x:c r="A7667" s="1" t="n">
        <x:v>61381</x:v>
      </x:c>
      <x:c r="B7667" s="5" t="d">
        <x:v>2017-06-15T00:00:00.000Z</x:v>
      </x:c>
      <x:c r="C7667" s="1" t="str">
        <x:v>Standard Class</x:v>
      </x:c>
      <x:c r="D7667" s="1" t="str">
        <x:v>LATAM</x:v>
      </x:c>
      <x:c r="E7667" s="1" t="str">
        <x:v>COMPLETE</x:v>
      </x:c>
      <x:c r="F7667" s="1" t="str">
        <x:v>Advance shipping</x:v>
      </x:c>
      <x:c r="G7667" s="6" t="n">
        <x:v>2</x:v>
      </x:c>
      <x:c r="H7667" s="6" t="n">
        <x:v>4</x:v>
      </x:c>
      <x:c r="I7667" s="6" t="n">
        <x:f>G7667-H7667</x:f>
        <x:v>-2</x:v>
      </x:c>
      <x:c r="J7667" s="6" t="n">
        <x:f>IF(OR(E7667="CANCELED",E7667="SUSPECTED_FRAUD",F7667="Shipping canceled"),0,1)</x:f>
        <x:v>1</x:v>
      </x:c>
      <x:c r="K7667" s="6" t="n">
        <x:f>IF(G7667&gt;H7667,1,0)</x:f>
        <x:v>0</x:v>
      </x:c>
      <x:c r="L7667" s="6" t="n">
        <x:f>J7667*K7667</x:f>
        <x:v>0</x:v>
      </x:c>
    </x:row>
    <x:row r="7668">
      <x:c r="A7668" s="1" t="n">
        <x:v>61382</x:v>
      </x:c>
      <x:c r="B7668" s="5" t="d">
        <x:v>2017-06-15T00:00:00.000Z</x:v>
      </x:c>
      <x:c r="C7668" s="1" t="str">
        <x:v>Standard Class</x:v>
      </x:c>
      <x:c r="D7668" s="1" t="str">
        <x:v>LATAM</x:v>
      </x:c>
      <x:c r="E7668" s="1" t="str">
        <x:v>PENDING_PAYMENT</x:v>
      </x:c>
      <x:c r="F7668" s="1" t="str">
        <x:v>Advance shipping</x:v>
      </x:c>
      <x:c r="G7668" s="6" t="n">
        <x:v>3</x:v>
      </x:c>
      <x:c r="H7668" s="6" t="n">
        <x:v>4</x:v>
      </x:c>
      <x:c r="I7668" s="6" t="n">
        <x:f>G7668-H7668</x:f>
        <x:v>-1</x:v>
      </x:c>
      <x:c r="J7668" s="6" t="n">
        <x:f>IF(OR(E7668="CANCELED",E7668="SUSPECTED_FRAUD",F7668="Shipping canceled"),0,1)</x:f>
        <x:v>1</x:v>
      </x:c>
      <x:c r="K7668" s="6" t="n">
        <x:f>IF(G7668&gt;H7668,1,0)</x:f>
        <x:v>0</x:v>
      </x:c>
      <x:c r="L7668" s="6" t="n">
        <x:f>J7668*K7668</x:f>
        <x:v>0</x:v>
      </x:c>
    </x:row>
    <x:row r="7669">
      <x:c r="A7669" s="1" t="n">
        <x:v>61391</x:v>
      </x:c>
      <x:c r="B7669" s="5" t="d">
        <x:v>2017-06-15T00:00:00.000Z</x:v>
      </x:c>
      <x:c r="C7669" s="1" t="str">
        <x:v>Standard Class</x:v>
      </x:c>
      <x:c r="D7669" s="1" t="str">
        <x:v>LATAM</x:v>
      </x:c>
      <x:c r="E7669" s="1" t="str">
        <x:v>COMPLETE</x:v>
      </x:c>
      <x:c r="F7669" s="1" t="str">
        <x:v>Advance shipping</x:v>
      </x:c>
      <x:c r="G7669" s="6" t="n">
        <x:v>2</x:v>
      </x:c>
      <x:c r="H7669" s="6" t="n">
        <x:v>4</x:v>
      </x:c>
      <x:c r="I7669" s="6" t="n">
        <x:f>G7669-H7669</x:f>
        <x:v>-2</x:v>
      </x:c>
      <x:c r="J7669" s="6" t="n">
        <x:f>IF(OR(E7669="CANCELED",E7669="SUSPECTED_FRAUD",F7669="Shipping canceled"),0,1)</x:f>
        <x:v>1</x:v>
      </x:c>
      <x:c r="K7669" s="6" t="n">
        <x:f>IF(G7669&gt;H7669,1,0)</x:f>
        <x:v>0</x:v>
      </x:c>
      <x:c r="L7669" s="6" t="n">
        <x:f>J7669*K7669</x:f>
        <x:v>0</x:v>
      </x:c>
    </x:row>
    <x:row r="7670">
      <x:c r="A7670" s="1" t="n">
        <x:v>61401</x:v>
      </x:c>
      <x:c r="B7670" s="5" t="d">
        <x:v>2017-06-15T00:00:00.000Z</x:v>
      </x:c>
      <x:c r="C7670" s="1" t="str">
        <x:v>Standard Class</x:v>
      </x:c>
      <x:c r="D7670" s="1" t="str">
        <x:v>LATAM</x:v>
      </x:c>
      <x:c r="E7670" s="1" t="str">
        <x:v>PROCESSING</x:v>
      </x:c>
      <x:c r="F7670" s="1" t="str">
        <x:v>Advance shipping</x:v>
      </x:c>
      <x:c r="G7670" s="6" t="n">
        <x:v>2</x:v>
      </x:c>
      <x:c r="H7670" s="6" t="n">
        <x:v>4</x:v>
      </x:c>
      <x:c r="I7670" s="6" t="n">
        <x:f>G7670-H7670</x:f>
        <x:v>-2</x:v>
      </x:c>
      <x:c r="J7670" s="6" t="n">
        <x:f>IF(OR(E7670="CANCELED",E7670="SUSPECTED_FRAUD",F7670="Shipping canceled"),0,1)</x:f>
        <x:v>1</x:v>
      </x:c>
      <x:c r="K7670" s="6" t="n">
        <x:f>IF(G7670&gt;H7670,1,0)</x:f>
        <x:v>0</x:v>
      </x:c>
      <x:c r="L7670" s="6" t="n">
        <x:f>J7670*K7670</x:f>
        <x:v>0</x:v>
      </x:c>
    </x:row>
    <x:row r="7671">
      <x:c r="A7671" s="1" t="n">
        <x:v>61415</x:v>
      </x:c>
      <x:c r="B7671" s="5" t="d">
        <x:v>2017-06-15T00:00:00.000Z</x:v>
      </x:c>
      <x:c r="C7671" s="1" t="str">
        <x:v>First Class</x:v>
      </x:c>
      <x:c r="D7671" s="1" t="str">
        <x:v>LATAM</x:v>
      </x:c>
      <x:c r="E7671" s="1" t="str">
        <x:v>CLOSED</x:v>
      </x:c>
      <x:c r="F7671" s="1" t="str">
        <x:v>Late delivery</x:v>
      </x:c>
      <x:c r="G7671" s="6" t="n">
        <x:v>2</x:v>
      </x:c>
      <x:c r="H7671" s="6" t="n">
        <x:v>1</x:v>
      </x:c>
      <x:c r="I7671" s="6" t="n">
        <x:f>G7671-H7671</x:f>
        <x:v>1</x:v>
      </x:c>
      <x:c r="J7671" s="6" t="n">
        <x:f>IF(OR(E7671="CANCELED",E7671="SUSPECTED_FRAUD",F7671="Shipping canceled"),0,1)</x:f>
        <x:v>1</x:v>
      </x:c>
      <x:c r="K7671" s="6" t="n">
        <x:f>IF(G7671&gt;H7671,1,0)</x:f>
        <x:v>1</x:v>
      </x:c>
      <x:c r="L7671" s="6" t="n">
        <x:f>J7671*K7671</x:f>
        <x:v>1</x:v>
      </x:c>
    </x:row>
    <x:row r="7672">
      <x:c r="A7672" s="1" t="n">
        <x:v>61419</x:v>
      </x:c>
      <x:c r="B7672" s="5" t="d">
        <x:v>2017-06-15T00:00:00.000Z</x:v>
      </x:c>
      <x:c r="C7672" s="1" t="str">
        <x:v>Standard Class</x:v>
      </x:c>
      <x:c r="D7672" s="1" t="str">
        <x:v>LATAM</x:v>
      </x:c>
      <x:c r="E7672" s="1" t="str">
        <x:v>SUSPECTED_FRAUD</x:v>
      </x:c>
      <x:c r="F7672" s="1" t="str">
        <x:v>Shipping canceled</x:v>
      </x:c>
      <x:c r="G7672" s="6" t="n">
        <x:v>5</x:v>
      </x:c>
      <x:c r="H7672" s="6" t="n">
        <x:v>4</x:v>
      </x:c>
      <x:c r="I7672" s="6" t="n">
        <x:f>G7672-H7672</x:f>
        <x:v>1</x:v>
      </x:c>
      <x:c r="J7672" s="6" t="n">
        <x:f>IF(OR(E7672="CANCELED",E7672="SUSPECTED_FRAUD",F7672="Shipping canceled"),0,1)</x:f>
        <x:v>0</x:v>
      </x:c>
      <x:c r="K7672" s="6" t="n">
        <x:f>IF(G7672&gt;H7672,1,0)</x:f>
        <x:v>1</x:v>
      </x:c>
      <x:c r="L7672" s="6" t="n">
        <x:f>J7672*K7672</x:f>
        <x:v>0</x:v>
      </x:c>
    </x:row>
    <x:row r="7673">
      <x:c r="A7673" s="1" t="n">
        <x:v>61422</x:v>
      </x:c>
      <x:c r="B7673" s="5" t="d">
        <x:v>2017-06-15T00:00:00.000Z</x:v>
      </x:c>
      <x:c r="C7673" s="1" t="str">
        <x:v>Standard Class</x:v>
      </x:c>
      <x:c r="D7673" s="1" t="str">
        <x:v>LATAM</x:v>
      </x:c>
      <x:c r="E7673" s="1" t="str">
        <x:v>PROCESSING</x:v>
      </x:c>
      <x:c r="F7673" s="1" t="str">
        <x:v>Advance shipping</x:v>
      </x:c>
      <x:c r="G7673" s="6" t="n">
        <x:v>3</x:v>
      </x:c>
      <x:c r="H7673" s="6" t="n">
        <x:v>4</x:v>
      </x:c>
      <x:c r="I7673" s="6" t="n">
        <x:f>G7673-H7673</x:f>
        <x:v>-1</x:v>
      </x:c>
      <x:c r="J7673" s="6" t="n">
        <x:f>IF(OR(E7673="CANCELED",E7673="SUSPECTED_FRAUD",F7673="Shipping canceled"),0,1)</x:f>
        <x:v>1</x:v>
      </x:c>
      <x:c r="K7673" s="6" t="n">
        <x:f>IF(G7673&gt;H7673,1,0)</x:f>
        <x:v>0</x:v>
      </x:c>
      <x:c r="L7673" s="6" t="n">
        <x:f>J7673*K7673</x:f>
        <x:v>0</x:v>
      </x:c>
    </x:row>
    <x:row r="7674">
      <x:c r="A7674" s="1" t="n">
        <x:v>61432</x:v>
      </x:c>
      <x:c r="B7674" s="5" t="d">
        <x:v>2017-06-15T00:00:00.000Z</x:v>
      </x:c>
      <x:c r="C7674" s="1" t="str">
        <x:v>Standard Class</x:v>
      </x:c>
      <x:c r="D7674" s="1" t="str">
        <x:v>LATAM</x:v>
      </x:c>
      <x:c r="E7674" s="1" t="str">
        <x:v>CLOSED</x:v>
      </x:c>
      <x:c r="F7674" s="1" t="str">
        <x:v>Advance shipping</x:v>
      </x:c>
      <x:c r="G7674" s="6" t="n">
        <x:v>3</x:v>
      </x:c>
      <x:c r="H7674" s="6" t="n">
        <x:v>4</x:v>
      </x:c>
      <x:c r="I7674" s="6" t="n">
        <x:f>G7674-H7674</x:f>
        <x:v>-1</x:v>
      </x:c>
      <x:c r="J7674" s="6" t="n">
        <x:f>IF(OR(E7674="CANCELED",E7674="SUSPECTED_FRAUD",F7674="Shipping canceled"),0,1)</x:f>
        <x:v>1</x:v>
      </x:c>
      <x:c r="K7674" s="6" t="n">
        <x:f>IF(G7674&gt;H7674,1,0)</x:f>
        <x:v>0</x:v>
      </x:c>
      <x:c r="L7674" s="6" t="n">
        <x:f>J7674*K7674</x:f>
        <x:v>0</x:v>
      </x:c>
    </x:row>
    <x:row r="7675">
      <x:c r="A7675" s="1" t="n">
        <x:v>61433</x:v>
      </x:c>
      <x:c r="B7675" s="5" t="d">
        <x:v>2017-06-15T00:00:00.000Z</x:v>
      </x:c>
      <x:c r="C7675" s="1" t="str">
        <x:v>Second Class</x:v>
      </x:c>
      <x:c r="D7675" s="1" t="str">
        <x:v>LATAM</x:v>
      </x:c>
      <x:c r="E7675" s="1" t="str">
        <x:v>PROCESSING</x:v>
      </x:c>
      <x:c r="F7675" s="1" t="str">
        <x:v>Late delivery</x:v>
      </x:c>
      <x:c r="G7675" s="6" t="n">
        <x:v>4</x:v>
      </x:c>
      <x:c r="H7675" s="6" t="n">
        <x:v>2</x:v>
      </x:c>
      <x:c r="I7675" s="6" t="n">
        <x:f>G7675-H7675</x:f>
        <x:v>2</x:v>
      </x:c>
      <x:c r="J7675" s="6" t="n">
        <x:f>IF(OR(E7675="CANCELED",E7675="SUSPECTED_FRAUD",F7675="Shipping canceled"),0,1)</x:f>
        <x:v>1</x:v>
      </x:c>
      <x:c r="K7675" s="6" t="n">
        <x:f>IF(G7675&gt;H7675,1,0)</x:f>
        <x:v>1</x:v>
      </x:c>
      <x:c r="L7675" s="6" t="n">
        <x:f>J7675*K7675</x:f>
        <x:v>1</x:v>
      </x:c>
    </x:row>
    <x:row r="7676">
      <x:c r="A7676" s="1" t="n">
        <x:v>61443</x:v>
      </x:c>
      <x:c r="B7676" s="5" t="d">
        <x:v>2017-06-15T00:00:00.000Z</x:v>
      </x:c>
      <x:c r="C7676" s="1" t="str">
        <x:v>Standard Class</x:v>
      </x:c>
      <x:c r="D7676" s="1" t="str">
        <x:v>LATAM</x:v>
      </x:c>
      <x:c r="E7676" s="1" t="str">
        <x:v>PENDING</x:v>
      </x:c>
      <x:c r="F7676" s="1" t="str">
        <x:v>Shipping on time</x:v>
      </x:c>
      <x:c r="G7676" s="6" t="n">
        <x:v>4</x:v>
      </x:c>
      <x:c r="H7676" s="6" t="n">
        <x:v>4</x:v>
      </x:c>
      <x:c r="I7676" s="6" t="n">
        <x:f>G7676-H7676</x:f>
        <x:v>0</x:v>
      </x:c>
      <x:c r="J7676" s="6" t="n">
        <x:f>IF(OR(E7676="CANCELED",E7676="SUSPECTED_FRAUD",F7676="Shipping canceled"),0,1)</x:f>
        <x:v>1</x:v>
      </x:c>
      <x:c r="K7676" s="6" t="n">
        <x:f>IF(G7676&gt;H7676,1,0)</x:f>
        <x:v>0</x:v>
      </x:c>
      <x:c r="L7676" s="6" t="n">
        <x:f>J7676*K7676</x:f>
        <x:v>0</x:v>
      </x:c>
    </x:row>
    <x:row r="7677">
      <x:c r="A7677" s="1" t="n">
        <x:v>61447</x:v>
      </x:c>
      <x:c r="B7677" s="5" t="d">
        <x:v>2017-06-15T00:00:00.000Z</x:v>
      </x:c>
      <x:c r="C7677" s="1" t="str">
        <x:v>Second Class</x:v>
      </x:c>
      <x:c r="D7677" s="1" t="str">
        <x:v>LATAM</x:v>
      </x:c>
      <x:c r="E7677" s="1" t="str">
        <x:v>COMPLETE</x:v>
      </x:c>
      <x:c r="F7677" s="1" t="str">
        <x:v>Late delivery</x:v>
      </x:c>
      <x:c r="G7677" s="6" t="n">
        <x:v>3</x:v>
      </x:c>
      <x:c r="H7677" s="6" t="n">
        <x:v>2</x:v>
      </x:c>
      <x:c r="I7677" s="6" t="n">
        <x:f>G7677-H7677</x:f>
        <x:v>1</x:v>
      </x:c>
      <x:c r="J7677" s="6" t="n">
        <x:f>IF(OR(E7677="CANCELED",E7677="SUSPECTED_FRAUD",F7677="Shipping canceled"),0,1)</x:f>
        <x:v>1</x:v>
      </x:c>
      <x:c r="K7677" s="6" t="n">
        <x:f>IF(G7677&gt;H7677,1,0)</x:f>
        <x:v>1</x:v>
      </x:c>
      <x:c r="L7677" s="6" t="n">
        <x:f>J7677*K7677</x:f>
        <x:v>1</x:v>
      </x:c>
    </x:row>
    <x:row r="7678">
      <x:c r="A7678" s="1" t="n">
        <x:v>61464</x:v>
      </x:c>
      <x:c r="B7678" s="5" t="d">
        <x:v>2017-06-16T00:00:00.000Z</x:v>
      </x:c>
      <x:c r="C7678" s="1" t="str">
        <x:v>Standard Class</x:v>
      </x:c>
      <x:c r="D7678" s="1" t="str">
        <x:v>LATAM</x:v>
      </x:c>
      <x:c r="E7678" s="1" t="str">
        <x:v>PROCESSING</x:v>
      </x:c>
      <x:c r="F7678" s="1" t="str">
        <x:v>Late delivery</x:v>
      </x:c>
      <x:c r="G7678" s="6" t="n">
        <x:v>5</x:v>
      </x:c>
      <x:c r="H7678" s="6" t="n">
        <x:v>4</x:v>
      </x:c>
      <x:c r="I7678" s="6" t="n">
        <x:f>G7678-H7678</x:f>
        <x:v>1</x:v>
      </x:c>
      <x:c r="J7678" s="6" t="n">
        <x:f>IF(OR(E7678="CANCELED",E7678="SUSPECTED_FRAUD",F7678="Shipping canceled"),0,1)</x:f>
        <x:v>1</x:v>
      </x:c>
      <x:c r="K7678" s="6" t="n">
        <x:f>IF(G7678&gt;H7678,1,0)</x:f>
        <x:v>1</x:v>
      </x:c>
      <x:c r="L7678" s="6" t="n">
        <x:f>J7678*K7678</x:f>
        <x:v>1</x:v>
      </x:c>
    </x:row>
    <x:row r="7679">
      <x:c r="A7679" s="1" t="n">
        <x:v>61486</x:v>
      </x:c>
      <x:c r="B7679" s="5" t="d">
        <x:v>2017-06-16T00:00:00.000Z</x:v>
      </x:c>
      <x:c r="C7679" s="1" t="str">
        <x:v>Second Class</x:v>
      </x:c>
      <x:c r="D7679" s="1" t="str">
        <x:v>LATAM</x:v>
      </x:c>
      <x:c r="E7679" s="1" t="str">
        <x:v>PENDING</x:v>
      </x:c>
      <x:c r="F7679" s="1" t="str">
        <x:v>Shipping on time</x:v>
      </x:c>
      <x:c r="G7679" s="6" t="n">
        <x:v>2</x:v>
      </x:c>
      <x:c r="H7679" s="6" t="n">
        <x:v>2</x:v>
      </x:c>
      <x:c r="I7679" s="6" t="n">
        <x:f>G7679-H7679</x:f>
        <x:v>0</x:v>
      </x:c>
      <x:c r="J7679" s="6" t="n">
        <x:f>IF(OR(E7679="CANCELED",E7679="SUSPECTED_FRAUD",F7679="Shipping canceled"),0,1)</x:f>
        <x:v>1</x:v>
      </x:c>
      <x:c r="K7679" s="6" t="n">
        <x:f>IF(G7679&gt;H7679,1,0)</x:f>
        <x:v>0</x:v>
      </x:c>
      <x:c r="L7679" s="6" t="n">
        <x:f>J7679*K7679</x:f>
        <x:v>0</x:v>
      </x:c>
    </x:row>
    <x:row r="7680">
      <x:c r="A7680" s="1" t="n">
        <x:v>61487</x:v>
      </x:c>
      <x:c r="B7680" s="5" t="d">
        <x:v>2017-06-16T00:00:00.000Z</x:v>
      </x:c>
      <x:c r="C7680" s="1" t="str">
        <x:v>Second Class</x:v>
      </x:c>
      <x:c r="D7680" s="1" t="str">
        <x:v>LATAM</x:v>
      </x:c>
      <x:c r="E7680" s="1" t="str">
        <x:v>COMPLETE</x:v>
      </x:c>
      <x:c r="F7680" s="1" t="str">
        <x:v>Late delivery</x:v>
      </x:c>
      <x:c r="G7680" s="6" t="n">
        <x:v>3</x:v>
      </x:c>
      <x:c r="H7680" s="6" t="n">
        <x:v>2</x:v>
      </x:c>
      <x:c r="I7680" s="6" t="n">
        <x:f>G7680-H7680</x:f>
        <x:v>1</x:v>
      </x:c>
      <x:c r="J7680" s="6" t="n">
        <x:f>IF(OR(E7680="CANCELED",E7680="SUSPECTED_FRAUD",F7680="Shipping canceled"),0,1)</x:f>
        <x:v>1</x:v>
      </x:c>
      <x:c r="K7680" s="6" t="n">
        <x:f>IF(G7680&gt;H7680,1,0)</x:f>
        <x:v>1</x:v>
      </x:c>
      <x:c r="L7680" s="6" t="n">
        <x:f>J7680*K7680</x:f>
        <x:v>1</x:v>
      </x:c>
    </x:row>
    <x:row r="7681">
      <x:c r="A7681" s="1" t="n">
        <x:v>61513</x:v>
      </x:c>
      <x:c r="B7681" s="5" t="d">
        <x:v>2017-06-16T00:00:00.000Z</x:v>
      </x:c>
      <x:c r="C7681" s="1" t="str">
        <x:v>Standard Class</x:v>
      </x:c>
      <x:c r="D7681" s="1" t="str">
        <x:v>LATAM</x:v>
      </x:c>
      <x:c r="E7681" s="1" t="str">
        <x:v>COMPLETE</x:v>
      </x:c>
      <x:c r="F7681" s="1" t="str">
        <x:v>Shipping on time</x:v>
      </x:c>
      <x:c r="G7681" s="6" t="n">
        <x:v>4</x:v>
      </x:c>
      <x:c r="H7681" s="6" t="n">
        <x:v>4</x:v>
      </x:c>
      <x:c r="I7681" s="6" t="n">
        <x:f>G7681-H7681</x:f>
        <x:v>0</x:v>
      </x:c>
      <x:c r="J7681" s="6" t="n">
        <x:f>IF(OR(E7681="CANCELED",E7681="SUSPECTED_FRAUD",F7681="Shipping canceled"),0,1)</x:f>
        <x:v>1</x:v>
      </x:c>
      <x:c r="K7681" s="6" t="n">
        <x:f>IF(G7681&gt;H7681,1,0)</x:f>
        <x:v>0</x:v>
      </x:c>
      <x:c r="L7681" s="6" t="n">
        <x:f>J7681*K7681</x:f>
        <x:v>0</x:v>
      </x:c>
    </x:row>
    <x:row r="7682">
      <x:c r="A7682" s="1" t="n">
        <x:v>61515</x:v>
      </x:c>
      <x:c r="B7682" s="5" t="d">
        <x:v>2017-06-16T00:00:00.000Z</x:v>
      </x:c>
      <x:c r="C7682" s="1" t="str">
        <x:v>Standard Class</x:v>
      </x:c>
      <x:c r="D7682" s="1" t="str">
        <x:v>LATAM</x:v>
      </x:c>
      <x:c r="E7682" s="1" t="str">
        <x:v>PENDING_PAYMENT</x:v>
      </x:c>
      <x:c r="F7682" s="1" t="str">
        <x:v>Late delivery</x:v>
      </x:c>
      <x:c r="G7682" s="6" t="n">
        <x:v>6</x:v>
      </x:c>
      <x:c r="H7682" s="6" t="n">
        <x:v>4</x:v>
      </x:c>
      <x:c r="I7682" s="6" t="n">
        <x:f>G7682-H7682</x:f>
        <x:v>2</x:v>
      </x:c>
      <x:c r="J7682" s="6" t="n">
        <x:f>IF(OR(E7682="CANCELED",E7682="SUSPECTED_FRAUD",F7682="Shipping canceled"),0,1)</x:f>
        <x:v>1</x:v>
      </x:c>
      <x:c r="K7682" s="6" t="n">
        <x:f>IF(G7682&gt;H7682,1,0)</x:f>
        <x:v>1</x:v>
      </x:c>
      <x:c r="L7682" s="6" t="n">
        <x:f>J7682*K7682</x:f>
        <x:v>1</x:v>
      </x:c>
    </x:row>
    <x:row r="7683">
      <x:c r="A7683" s="1" t="n">
        <x:v>61530</x:v>
      </x:c>
      <x:c r="B7683" s="5" t="d">
        <x:v>2017-06-17T00:00:00.000Z</x:v>
      </x:c>
      <x:c r="C7683" s="1" t="str">
        <x:v>Standard Class</x:v>
      </x:c>
      <x:c r="D7683" s="1" t="str">
        <x:v>LATAM</x:v>
      </x:c>
      <x:c r="E7683" s="1" t="str">
        <x:v>ON_HOLD</x:v>
      </x:c>
      <x:c r="F7683" s="1" t="str">
        <x:v>Late delivery</x:v>
      </x:c>
      <x:c r="G7683" s="6" t="n">
        <x:v>6</x:v>
      </x:c>
      <x:c r="H7683" s="6" t="n">
        <x:v>4</x:v>
      </x:c>
      <x:c r="I7683" s="6" t="n">
        <x:f>G7683-H7683</x:f>
        <x:v>2</x:v>
      </x:c>
      <x:c r="J7683" s="6" t="n">
        <x:f>IF(OR(E7683="CANCELED",E7683="SUSPECTED_FRAUD",F7683="Shipping canceled"),0,1)</x:f>
        <x:v>1</x:v>
      </x:c>
      <x:c r="K7683" s="6" t="n">
        <x:f>IF(G7683&gt;H7683,1,0)</x:f>
        <x:v>1</x:v>
      </x:c>
      <x:c r="L7683" s="6" t="n">
        <x:f>J7683*K7683</x:f>
        <x:v>1</x:v>
      </x:c>
    </x:row>
    <x:row r="7684">
      <x:c r="A7684" s="1" t="n">
        <x:v>61544</x:v>
      </x:c>
      <x:c r="B7684" s="5" t="d">
        <x:v>2017-06-17T00:00:00.000Z</x:v>
      </x:c>
      <x:c r="C7684" s="1" t="str">
        <x:v>Standard Class</x:v>
      </x:c>
      <x:c r="D7684" s="1" t="str">
        <x:v>LATAM</x:v>
      </x:c>
      <x:c r="E7684" s="1" t="str">
        <x:v>CLOSED</x:v>
      </x:c>
      <x:c r="F7684" s="1" t="str">
        <x:v>Late delivery</x:v>
      </x:c>
      <x:c r="G7684" s="6" t="n">
        <x:v>5</x:v>
      </x:c>
      <x:c r="H7684" s="6" t="n">
        <x:v>4</x:v>
      </x:c>
      <x:c r="I7684" s="6" t="n">
        <x:f>G7684-H7684</x:f>
        <x:v>1</x:v>
      </x:c>
      <x:c r="J7684" s="6" t="n">
        <x:f>IF(OR(E7684="CANCELED",E7684="SUSPECTED_FRAUD",F7684="Shipping canceled"),0,1)</x:f>
        <x:v>1</x:v>
      </x:c>
      <x:c r="K7684" s="6" t="n">
        <x:f>IF(G7684&gt;H7684,1,0)</x:f>
        <x:v>1</x:v>
      </x:c>
      <x:c r="L7684" s="6" t="n">
        <x:f>J7684*K7684</x:f>
        <x:v>1</x:v>
      </x:c>
    </x:row>
    <x:row r="7685">
      <x:c r="A7685" s="1" t="n">
        <x:v>61546</x:v>
      </x:c>
      <x:c r="B7685" s="5" t="d">
        <x:v>2017-06-17T00:00:00.000Z</x:v>
      </x:c>
      <x:c r="C7685" s="1" t="str">
        <x:v>Standard Class</x:v>
      </x:c>
      <x:c r="D7685" s="1" t="str">
        <x:v>LATAM</x:v>
      </x:c>
      <x:c r="E7685" s="1" t="str">
        <x:v>COMPLETE</x:v>
      </x:c>
      <x:c r="F7685" s="1" t="str">
        <x:v>Advance shipping</x:v>
      </x:c>
      <x:c r="G7685" s="6" t="n">
        <x:v>2</x:v>
      </x:c>
      <x:c r="H7685" s="6" t="n">
        <x:v>4</x:v>
      </x:c>
      <x:c r="I7685" s="6" t="n">
        <x:f>G7685-H7685</x:f>
        <x:v>-2</x:v>
      </x:c>
      <x:c r="J7685" s="6" t="n">
        <x:f>IF(OR(E7685="CANCELED",E7685="SUSPECTED_FRAUD",F7685="Shipping canceled"),0,1)</x:f>
        <x:v>1</x:v>
      </x:c>
      <x:c r="K7685" s="6" t="n">
        <x:f>IF(G7685&gt;H7685,1,0)</x:f>
        <x:v>0</x:v>
      </x:c>
      <x:c r="L7685" s="6" t="n">
        <x:f>J7685*K7685</x:f>
        <x:v>0</x:v>
      </x:c>
    </x:row>
    <x:row r="7686">
      <x:c r="A7686" s="1" t="n">
        <x:v>61551</x:v>
      </x:c>
      <x:c r="B7686" s="5" t="d">
        <x:v>2017-06-17T00:00:00.000Z</x:v>
      </x:c>
      <x:c r="C7686" s="1" t="str">
        <x:v>Second Class</x:v>
      </x:c>
      <x:c r="D7686" s="1" t="str">
        <x:v>LATAM</x:v>
      </x:c>
      <x:c r="E7686" s="1" t="str">
        <x:v>COMPLETE</x:v>
      </x:c>
      <x:c r="F7686" s="1" t="str">
        <x:v>Shipping on time</x:v>
      </x:c>
      <x:c r="G7686" s="6" t="n">
        <x:v>2</x:v>
      </x:c>
      <x:c r="H7686" s="6" t="n">
        <x:v>2</x:v>
      </x:c>
      <x:c r="I7686" s="6" t="n">
        <x:f>G7686-H7686</x:f>
        <x:v>0</x:v>
      </x:c>
      <x:c r="J7686" s="6" t="n">
        <x:f>IF(OR(E7686="CANCELED",E7686="SUSPECTED_FRAUD",F7686="Shipping canceled"),0,1)</x:f>
        <x:v>1</x:v>
      </x:c>
      <x:c r="K7686" s="6" t="n">
        <x:f>IF(G7686&gt;H7686,1,0)</x:f>
        <x:v>0</x:v>
      </x:c>
      <x:c r="L7686" s="6" t="n">
        <x:f>J7686*K7686</x:f>
        <x:v>0</x:v>
      </x:c>
    </x:row>
    <x:row r="7687">
      <x:c r="A7687" s="1" t="n">
        <x:v>61565</x:v>
      </x:c>
      <x:c r="B7687" s="5" t="d">
        <x:v>2017-06-17T00:00:00.000Z</x:v>
      </x:c>
      <x:c r="C7687" s="1" t="str">
        <x:v>Standard Class</x:v>
      </x:c>
      <x:c r="D7687" s="1" t="str">
        <x:v>LATAM</x:v>
      </x:c>
      <x:c r="E7687" s="1" t="str">
        <x:v>COMPLETE</x:v>
      </x:c>
      <x:c r="F7687" s="1" t="str">
        <x:v>Late delivery</x:v>
      </x:c>
      <x:c r="G7687" s="6" t="n">
        <x:v>6</x:v>
      </x:c>
      <x:c r="H7687" s="6" t="n">
        <x:v>4</x:v>
      </x:c>
      <x:c r="I7687" s="6" t="n">
        <x:f>G7687-H7687</x:f>
        <x:v>2</x:v>
      </x:c>
      <x:c r="J7687" s="6" t="n">
        <x:f>IF(OR(E7687="CANCELED",E7687="SUSPECTED_FRAUD",F7687="Shipping canceled"),0,1)</x:f>
        <x:v>1</x:v>
      </x:c>
      <x:c r="K7687" s="6" t="n">
        <x:f>IF(G7687&gt;H7687,1,0)</x:f>
        <x:v>1</x:v>
      </x:c>
      <x:c r="L7687" s="6" t="n">
        <x:f>J7687*K7687</x:f>
        <x:v>1</x:v>
      </x:c>
    </x:row>
    <x:row r="7688">
      <x:c r="A7688" s="1" t="n">
        <x:v>61585</x:v>
      </x:c>
      <x:c r="B7688" s="5" t="d">
        <x:v>2017-06-17T00:00:00.000Z</x:v>
      </x:c>
      <x:c r="C7688" s="1" t="str">
        <x:v>Standard Class</x:v>
      </x:c>
      <x:c r="D7688" s="1" t="str">
        <x:v>Europe</x:v>
      </x:c>
      <x:c r="E7688" s="1" t="str">
        <x:v>COMPLETE</x:v>
      </x:c>
      <x:c r="F7688" s="1" t="str">
        <x:v>Late delivery</x:v>
      </x:c>
      <x:c r="G7688" s="6" t="n">
        <x:v>6</x:v>
      </x:c>
      <x:c r="H7688" s="6" t="n">
        <x:v>4</x:v>
      </x:c>
      <x:c r="I7688" s="6" t="n">
        <x:f>G7688-H7688</x:f>
        <x:v>2</x:v>
      </x:c>
      <x:c r="J7688" s="6" t="n">
        <x:f>IF(OR(E7688="CANCELED",E7688="SUSPECTED_FRAUD",F7688="Shipping canceled"),0,1)</x:f>
        <x:v>1</x:v>
      </x:c>
      <x:c r="K7688" s="6" t="n">
        <x:f>IF(G7688&gt;H7688,1,0)</x:f>
        <x:v>1</x:v>
      </x:c>
      <x:c r="L7688" s="6" t="n">
        <x:f>J7688*K7688</x:f>
        <x:v>1</x:v>
      </x:c>
    </x:row>
    <x:row r="7689">
      <x:c r="A7689" s="1" t="n">
        <x:v>61596</x:v>
      </x:c>
      <x:c r="B7689" s="5" t="d">
        <x:v>2017-06-18T00:00:00.000Z</x:v>
      </x:c>
      <x:c r="C7689" s="1" t="str">
        <x:v>Standard Class</x:v>
      </x:c>
      <x:c r="D7689" s="1" t="str">
        <x:v>Europe</x:v>
      </x:c>
      <x:c r="E7689" s="1" t="str">
        <x:v>COMPLETE</x:v>
      </x:c>
      <x:c r="F7689" s="1" t="str">
        <x:v>Advance shipping</x:v>
      </x:c>
      <x:c r="G7689" s="6" t="n">
        <x:v>2</x:v>
      </x:c>
      <x:c r="H7689" s="6" t="n">
        <x:v>4</x:v>
      </x:c>
      <x:c r="I7689" s="6" t="n">
        <x:f>G7689-H7689</x:f>
        <x:v>-2</x:v>
      </x:c>
      <x:c r="J7689" s="6" t="n">
        <x:f>IF(OR(E7689="CANCELED",E7689="SUSPECTED_FRAUD",F7689="Shipping canceled"),0,1)</x:f>
        <x:v>1</x:v>
      </x:c>
      <x:c r="K7689" s="6" t="n">
        <x:f>IF(G7689&gt;H7689,1,0)</x:f>
        <x:v>0</x:v>
      </x:c>
      <x:c r="L7689" s="6" t="n">
        <x:f>J7689*K7689</x:f>
        <x:v>0</x:v>
      </x:c>
    </x:row>
    <x:row r="7690">
      <x:c r="A7690" s="1" t="n">
        <x:v>61598</x:v>
      </x:c>
      <x:c r="B7690" s="5" t="d">
        <x:v>2017-06-18T00:00:00.000Z</x:v>
      </x:c>
      <x:c r="C7690" s="1" t="str">
        <x:v>Standard Class</x:v>
      </x:c>
      <x:c r="D7690" s="1" t="str">
        <x:v>Europe</x:v>
      </x:c>
      <x:c r="E7690" s="1" t="str">
        <x:v>ON_HOLD</x:v>
      </x:c>
      <x:c r="F7690" s="1" t="str">
        <x:v>Shipping on time</x:v>
      </x:c>
      <x:c r="G7690" s="6" t="n">
        <x:v>4</x:v>
      </x:c>
      <x:c r="H7690" s="6" t="n">
        <x:v>4</x:v>
      </x:c>
      <x:c r="I7690" s="6" t="n">
        <x:f>G7690-H7690</x:f>
        <x:v>0</x:v>
      </x:c>
      <x:c r="J7690" s="6" t="n">
        <x:f>IF(OR(E7690="CANCELED",E7690="SUSPECTED_FRAUD",F7690="Shipping canceled"),0,1)</x:f>
        <x:v>1</x:v>
      </x:c>
      <x:c r="K7690" s="6" t="n">
        <x:f>IF(G7690&gt;H7690,1,0)</x:f>
        <x:v>0</x:v>
      </x:c>
      <x:c r="L7690" s="6" t="n">
        <x:f>J7690*K7690</x:f>
        <x:v>0</x:v>
      </x:c>
    </x:row>
    <x:row r="7691">
      <x:c r="A7691" s="1" t="n">
        <x:v>61599</x:v>
      </x:c>
      <x:c r="B7691" s="5" t="d">
        <x:v>2017-06-18T00:00:00.000Z</x:v>
      </x:c>
      <x:c r="C7691" s="1" t="str">
        <x:v>Standard Class</x:v>
      </x:c>
      <x:c r="D7691" s="1" t="str">
        <x:v>Europe</x:v>
      </x:c>
      <x:c r="E7691" s="1" t="str">
        <x:v>COMPLETE</x:v>
      </x:c>
      <x:c r="F7691" s="1" t="str">
        <x:v>Late delivery</x:v>
      </x:c>
      <x:c r="G7691" s="6" t="n">
        <x:v>5</x:v>
      </x:c>
      <x:c r="H7691" s="6" t="n">
        <x:v>4</x:v>
      </x:c>
      <x:c r="I7691" s="6" t="n">
        <x:f>G7691-H7691</x:f>
        <x:v>1</x:v>
      </x:c>
      <x:c r="J7691" s="6" t="n">
        <x:f>IF(OR(E7691="CANCELED",E7691="SUSPECTED_FRAUD",F7691="Shipping canceled"),0,1)</x:f>
        <x:v>1</x:v>
      </x:c>
      <x:c r="K7691" s="6" t="n">
        <x:f>IF(G7691&gt;H7691,1,0)</x:f>
        <x:v>1</x:v>
      </x:c>
      <x:c r="L7691" s="6" t="n">
        <x:f>J7691*K7691</x:f>
        <x:v>1</x:v>
      </x:c>
    </x:row>
    <x:row r="7692">
      <x:c r="A7692" s="1" t="n">
        <x:v>61600</x:v>
      </x:c>
      <x:c r="B7692" s="5" t="d">
        <x:v>2017-06-18T00:00:00.000Z</x:v>
      </x:c>
      <x:c r="C7692" s="1" t="str">
        <x:v>Standard Class</x:v>
      </x:c>
      <x:c r="D7692" s="1" t="str">
        <x:v>Europe</x:v>
      </x:c>
      <x:c r="E7692" s="1" t="str">
        <x:v>COMPLETE</x:v>
      </x:c>
      <x:c r="F7692" s="1" t="str">
        <x:v>Late delivery</x:v>
      </x:c>
      <x:c r="G7692" s="6" t="n">
        <x:v>6</x:v>
      </x:c>
      <x:c r="H7692" s="6" t="n">
        <x:v>4</x:v>
      </x:c>
      <x:c r="I7692" s="6" t="n">
        <x:f>G7692-H7692</x:f>
        <x:v>2</x:v>
      </x:c>
      <x:c r="J7692" s="6" t="n">
        <x:f>IF(OR(E7692="CANCELED",E7692="SUSPECTED_FRAUD",F7692="Shipping canceled"),0,1)</x:f>
        <x:v>1</x:v>
      </x:c>
      <x:c r="K7692" s="6" t="n">
        <x:f>IF(G7692&gt;H7692,1,0)</x:f>
        <x:v>1</x:v>
      </x:c>
      <x:c r="L7692" s="6" t="n">
        <x:f>J7692*K7692</x:f>
        <x:v>1</x:v>
      </x:c>
    </x:row>
    <x:row r="7693">
      <x:c r="A7693" s="1" t="n">
        <x:v>61602</x:v>
      </x:c>
      <x:c r="B7693" s="5" t="d">
        <x:v>2017-06-18T00:00:00.000Z</x:v>
      </x:c>
      <x:c r="C7693" s="1" t="str">
        <x:v>Standard Class</x:v>
      </x:c>
      <x:c r="D7693" s="1" t="str">
        <x:v>Europe</x:v>
      </x:c>
      <x:c r="E7693" s="1" t="str">
        <x:v>COMPLETE</x:v>
      </x:c>
      <x:c r="F7693" s="1" t="str">
        <x:v>Advance shipping</x:v>
      </x:c>
      <x:c r="G7693" s="6" t="n">
        <x:v>3</x:v>
      </x:c>
      <x:c r="H7693" s="6" t="n">
        <x:v>4</x:v>
      </x:c>
      <x:c r="I7693" s="6" t="n">
        <x:f>G7693-H7693</x:f>
        <x:v>-1</x:v>
      </x:c>
      <x:c r="J7693" s="6" t="n">
        <x:f>IF(OR(E7693="CANCELED",E7693="SUSPECTED_FRAUD",F7693="Shipping canceled"),0,1)</x:f>
        <x:v>1</x:v>
      </x:c>
      <x:c r="K7693" s="6" t="n">
        <x:f>IF(G7693&gt;H7693,1,0)</x:f>
        <x:v>0</x:v>
      </x:c>
      <x:c r="L7693" s="6" t="n">
        <x:f>J7693*K7693</x:f>
        <x:v>0</x:v>
      </x:c>
    </x:row>
    <x:row r="7694">
      <x:c r="A7694" s="1" t="n">
        <x:v>61612</x:v>
      </x:c>
      <x:c r="B7694" s="5" t="d">
        <x:v>2017-06-18T00:00:00.000Z</x:v>
      </x:c>
      <x:c r="C7694" s="1" t="str">
        <x:v>Standard Class</x:v>
      </x:c>
      <x:c r="D7694" s="1" t="str">
        <x:v>Europe</x:v>
      </x:c>
      <x:c r="E7694" s="1" t="str">
        <x:v>PROCESSING</x:v>
      </x:c>
      <x:c r="F7694" s="1" t="str">
        <x:v>Advance shipping</x:v>
      </x:c>
      <x:c r="G7694" s="6" t="n">
        <x:v>3</x:v>
      </x:c>
      <x:c r="H7694" s="6" t="n">
        <x:v>4</x:v>
      </x:c>
      <x:c r="I7694" s="6" t="n">
        <x:f>G7694-H7694</x:f>
        <x:v>-1</x:v>
      </x:c>
      <x:c r="J7694" s="6" t="n">
        <x:f>IF(OR(E7694="CANCELED",E7694="SUSPECTED_FRAUD",F7694="Shipping canceled"),0,1)</x:f>
        <x:v>1</x:v>
      </x:c>
      <x:c r="K7694" s="6" t="n">
        <x:f>IF(G7694&gt;H7694,1,0)</x:f>
        <x:v>0</x:v>
      </x:c>
      <x:c r="L7694" s="6" t="n">
        <x:f>J7694*K7694</x:f>
        <x:v>0</x:v>
      </x:c>
    </x:row>
    <x:row r="7695">
      <x:c r="A7695" s="1" t="n">
        <x:v>61624</x:v>
      </x:c>
      <x:c r="B7695" s="5" t="d">
        <x:v>2017-06-18T00:00:00.000Z</x:v>
      </x:c>
      <x:c r="C7695" s="1" t="str">
        <x:v>Standard Class</x:v>
      </x:c>
      <x:c r="D7695" s="1" t="str">
        <x:v>Europe</x:v>
      </x:c>
      <x:c r="E7695" s="1" t="str">
        <x:v>COMPLETE</x:v>
      </x:c>
      <x:c r="F7695" s="1" t="str">
        <x:v>Late delivery</x:v>
      </x:c>
      <x:c r="G7695" s="6" t="n">
        <x:v>5</x:v>
      </x:c>
      <x:c r="H7695" s="6" t="n">
        <x:v>4</x:v>
      </x:c>
      <x:c r="I7695" s="6" t="n">
        <x:f>G7695-H7695</x:f>
        <x:v>1</x:v>
      </x:c>
      <x:c r="J7695" s="6" t="n">
        <x:f>IF(OR(E7695="CANCELED",E7695="SUSPECTED_FRAUD",F7695="Shipping canceled"),0,1)</x:f>
        <x:v>1</x:v>
      </x:c>
      <x:c r="K7695" s="6" t="n">
        <x:f>IF(G7695&gt;H7695,1,0)</x:f>
        <x:v>1</x:v>
      </x:c>
      <x:c r="L7695" s="6" t="n">
        <x:f>J7695*K7695</x:f>
        <x:v>1</x:v>
      </x:c>
    </x:row>
    <x:row r="7696">
      <x:c r="A7696" s="1" t="n">
        <x:v>61627</x:v>
      </x:c>
      <x:c r="B7696" s="5" t="d">
        <x:v>2017-06-18T00:00:00.000Z</x:v>
      </x:c>
      <x:c r="C7696" s="1" t="str">
        <x:v>Standard Class</x:v>
      </x:c>
      <x:c r="D7696" s="1" t="str">
        <x:v>Europe</x:v>
      </x:c>
      <x:c r="E7696" s="1" t="str">
        <x:v>COMPLETE</x:v>
      </x:c>
      <x:c r="F7696" s="1" t="str">
        <x:v>Advance shipping</x:v>
      </x:c>
      <x:c r="G7696" s="6" t="n">
        <x:v>3</x:v>
      </x:c>
      <x:c r="H7696" s="6" t="n">
        <x:v>4</x:v>
      </x:c>
      <x:c r="I7696" s="6" t="n">
        <x:f>G7696-H7696</x:f>
        <x:v>-1</x:v>
      </x:c>
      <x:c r="J7696" s="6" t="n">
        <x:f>IF(OR(E7696="CANCELED",E7696="SUSPECTED_FRAUD",F7696="Shipping canceled"),0,1)</x:f>
        <x:v>1</x:v>
      </x:c>
      <x:c r="K7696" s="6" t="n">
        <x:f>IF(G7696&gt;H7696,1,0)</x:f>
        <x:v>0</x:v>
      </x:c>
      <x:c r="L7696" s="6" t="n">
        <x:f>J7696*K7696</x:f>
        <x:v>0</x:v>
      </x:c>
    </x:row>
    <x:row r="7697">
      <x:c r="A7697" s="1" t="n">
        <x:v>61632</x:v>
      </x:c>
      <x:c r="B7697" s="5" t="d">
        <x:v>2017-06-18T00:00:00.000Z</x:v>
      </x:c>
      <x:c r="C7697" s="1" t="str">
        <x:v>Standard Class</x:v>
      </x:c>
      <x:c r="D7697" s="1" t="str">
        <x:v>Europe</x:v>
      </x:c>
      <x:c r="E7697" s="1" t="str">
        <x:v>PENDING</x:v>
      </x:c>
      <x:c r="F7697" s="1" t="str">
        <x:v>Advance shipping</x:v>
      </x:c>
      <x:c r="G7697" s="6" t="n">
        <x:v>3</x:v>
      </x:c>
      <x:c r="H7697" s="6" t="n">
        <x:v>4</x:v>
      </x:c>
      <x:c r="I7697" s="6" t="n">
        <x:f>G7697-H7697</x:f>
        <x:v>-1</x:v>
      </x:c>
      <x:c r="J7697" s="6" t="n">
        <x:f>IF(OR(E7697="CANCELED",E7697="SUSPECTED_FRAUD",F7697="Shipping canceled"),0,1)</x:f>
        <x:v>1</x:v>
      </x:c>
      <x:c r="K7697" s="6" t="n">
        <x:f>IF(G7697&gt;H7697,1,0)</x:f>
        <x:v>0</x:v>
      </x:c>
      <x:c r="L7697" s="6" t="n">
        <x:f>J7697*K7697</x:f>
        <x:v>0</x:v>
      </x:c>
    </x:row>
    <x:row r="7698">
      <x:c r="A7698" s="1" t="n">
        <x:v>61634</x:v>
      </x:c>
      <x:c r="B7698" s="5" t="d">
        <x:v>2017-06-18T00:00:00.000Z</x:v>
      </x:c>
      <x:c r="C7698" s="1" t="str">
        <x:v>Standard Class</x:v>
      </x:c>
      <x:c r="D7698" s="1" t="str">
        <x:v>Europe</x:v>
      </x:c>
      <x:c r="E7698" s="1" t="str">
        <x:v>ON_HOLD</x:v>
      </x:c>
      <x:c r="F7698" s="1" t="str">
        <x:v>Late delivery</x:v>
      </x:c>
      <x:c r="G7698" s="6" t="n">
        <x:v>5</x:v>
      </x:c>
      <x:c r="H7698" s="6" t="n">
        <x:v>4</x:v>
      </x:c>
      <x:c r="I7698" s="6" t="n">
        <x:f>G7698-H7698</x:f>
        <x:v>1</x:v>
      </x:c>
      <x:c r="J7698" s="6" t="n">
        <x:f>IF(OR(E7698="CANCELED",E7698="SUSPECTED_FRAUD",F7698="Shipping canceled"),0,1)</x:f>
        <x:v>1</x:v>
      </x:c>
      <x:c r="K7698" s="6" t="n">
        <x:f>IF(G7698&gt;H7698,1,0)</x:f>
        <x:v>1</x:v>
      </x:c>
      <x:c r="L7698" s="6" t="n">
        <x:f>J7698*K7698</x:f>
        <x:v>1</x:v>
      </x:c>
    </x:row>
    <x:row r="7699">
      <x:c r="A7699" s="1" t="n">
        <x:v>61647</x:v>
      </x:c>
      <x:c r="B7699" s="5" t="d">
        <x:v>2017-06-18T00:00:00.000Z</x:v>
      </x:c>
      <x:c r="C7699" s="1" t="str">
        <x:v>Second Class</x:v>
      </x:c>
      <x:c r="D7699" s="1" t="str">
        <x:v>Europe</x:v>
      </x:c>
      <x:c r="E7699" s="1" t="str">
        <x:v>ON_HOLD</x:v>
      </x:c>
      <x:c r="F7699" s="1" t="str">
        <x:v>Late delivery</x:v>
      </x:c>
      <x:c r="G7699" s="6" t="n">
        <x:v>3</x:v>
      </x:c>
      <x:c r="H7699" s="6" t="n">
        <x:v>2</x:v>
      </x:c>
      <x:c r="I7699" s="6" t="n">
        <x:f>G7699-H7699</x:f>
        <x:v>1</x:v>
      </x:c>
      <x:c r="J7699" s="6" t="n">
        <x:f>IF(OR(E7699="CANCELED",E7699="SUSPECTED_FRAUD",F7699="Shipping canceled"),0,1)</x:f>
        <x:v>1</x:v>
      </x:c>
      <x:c r="K7699" s="6" t="n">
        <x:f>IF(G7699&gt;H7699,1,0)</x:f>
        <x:v>1</x:v>
      </x:c>
      <x:c r="L7699" s="6" t="n">
        <x:f>J7699*K7699</x:f>
        <x:v>1</x:v>
      </x:c>
    </x:row>
    <x:row r="7700">
      <x:c r="A7700" s="1" t="n">
        <x:v>61649</x:v>
      </x:c>
      <x:c r="B7700" s="5" t="d">
        <x:v>2017-06-18T00:00:00.000Z</x:v>
      </x:c>
      <x:c r="C7700" s="1" t="str">
        <x:v>Standard Class</x:v>
      </x:c>
      <x:c r="D7700" s="1" t="str">
        <x:v>Europe</x:v>
      </x:c>
      <x:c r="E7700" s="1" t="str">
        <x:v>CLOSED</x:v>
      </x:c>
      <x:c r="F7700" s="1" t="str">
        <x:v>Late delivery</x:v>
      </x:c>
      <x:c r="G7700" s="6" t="n">
        <x:v>5</x:v>
      </x:c>
      <x:c r="H7700" s="6" t="n">
        <x:v>4</x:v>
      </x:c>
      <x:c r="I7700" s="6" t="n">
        <x:f>G7700-H7700</x:f>
        <x:v>1</x:v>
      </x:c>
      <x:c r="J7700" s="6" t="n">
        <x:f>IF(OR(E7700="CANCELED",E7700="SUSPECTED_FRAUD",F7700="Shipping canceled"),0,1)</x:f>
        <x:v>1</x:v>
      </x:c>
      <x:c r="K7700" s="6" t="n">
        <x:f>IF(G7700&gt;H7700,1,0)</x:f>
        <x:v>1</x:v>
      </x:c>
      <x:c r="L7700" s="6" t="n">
        <x:f>J7700*K7700</x:f>
        <x:v>1</x:v>
      </x:c>
    </x:row>
    <x:row r="7701">
      <x:c r="A7701" s="1" t="n">
        <x:v>61664</x:v>
      </x:c>
      <x:c r="B7701" s="5" t="d">
        <x:v>2017-06-19T00:00:00.000Z</x:v>
      </x:c>
      <x:c r="C7701" s="1" t="str">
        <x:v>Standard Class</x:v>
      </x:c>
      <x:c r="D7701" s="1" t="str">
        <x:v>Europe</x:v>
      </x:c>
      <x:c r="E7701" s="1" t="str">
        <x:v>COMPLETE</x:v>
      </x:c>
      <x:c r="F7701" s="1" t="str">
        <x:v>Late delivery</x:v>
      </x:c>
      <x:c r="G7701" s="6" t="n">
        <x:v>5</x:v>
      </x:c>
      <x:c r="H7701" s="6" t="n">
        <x:v>4</x:v>
      </x:c>
      <x:c r="I7701" s="6" t="n">
        <x:f>G7701-H7701</x:f>
        <x:v>1</x:v>
      </x:c>
      <x:c r="J7701" s="6" t="n">
        <x:f>IF(OR(E7701="CANCELED",E7701="SUSPECTED_FRAUD",F7701="Shipping canceled"),0,1)</x:f>
        <x:v>1</x:v>
      </x:c>
      <x:c r="K7701" s="6" t="n">
        <x:f>IF(G7701&gt;H7701,1,0)</x:f>
        <x:v>1</x:v>
      </x:c>
      <x:c r="L7701" s="6" t="n">
        <x:f>J7701*K7701</x:f>
        <x:v>1</x:v>
      </x:c>
    </x:row>
    <x:row r="7702">
      <x:c r="A7702" s="1" t="n">
        <x:v>61688</x:v>
      </x:c>
      <x:c r="B7702" s="5" t="d">
        <x:v>2017-06-19T00:00:00.000Z</x:v>
      </x:c>
      <x:c r="C7702" s="1" t="str">
        <x:v>Second Class</x:v>
      </x:c>
      <x:c r="D7702" s="1" t="str">
        <x:v>Europe</x:v>
      </x:c>
      <x:c r="E7702" s="1" t="str">
        <x:v>COMPLETE</x:v>
      </x:c>
      <x:c r="F7702" s="1" t="str">
        <x:v>Late delivery</x:v>
      </x:c>
      <x:c r="G7702" s="6" t="n">
        <x:v>4</x:v>
      </x:c>
      <x:c r="H7702" s="6" t="n">
        <x:v>2</x:v>
      </x:c>
      <x:c r="I7702" s="6" t="n">
        <x:f>G7702-H7702</x:f>
        <x:v>2</x:v>
      </x:c>
      <x:c r="J7702" s="6" t="n">
        <x:f>IF(OR(E7702="CANCELED",E7702="SUSPECTED_FRAUD",F7702="Shipping canceled"),0,1)</x:f>
        <x:v>1</x:v>
      </x:c>
      <x:c r="K7702" s="6" t="n">
        <x:f>IF(G7702&gt;H7702,1,0)</x:f>
        <x:v>1</x:v>
      </x:c>
      <x:c r="L7702" s="6" t="n">
        <x:f>J7702*K7702</x:f>
        <x:v>1</x:v>
      </x:c>
    </x:row>
    <x:row r="7703">
      <x:c r="A7703" s="1" t="n">
        <x:v>61711</x:v>
      </x:c>
      <x:c r="B7703" s="5" t="d">
        <x:v>2017-06-19T00:00:00.000Z</x:v>
      </x:c>
      <x:c r="C7703" s="1" t="str">
        <x:v>Standard Class</x:v>
      </x:c>
      <x:c r="D7703" s="1" t="str">
        <x:v>Europe</x:v>
      </x:c>
      <x:c r="E7703" s="1" t="str">
        <x:v>CANCELED</x:v>
      </x:c>
      <x:c r="F7703" s="1" t="str">
        <x:v>Shipping canceled</x:v>
      </x:c>
      <x:c r="G7703" s="6" t="n">
        <x:v>2</x:v>
      </x:c>
      <x:c r="H7703" s="6" t="n">
        <x:v>4</x:v>
      </x:c>
      <x:c r="I7703" s="6" t="n">
        <x:f>G7703-H7703</x:f>
        <x:v>-2</x:v>
      </x:c>
      <x:c r="J7703" s="6" t="n">
        <x:f>IF(OR(E7703="CANCELED",E7703="SUSPECTED_FRAUD",F7703="Shipping canceled"),0,1)</x:f>
        <x:v>0</x:v>
      </x:c>
      <x:c r="K7703" s="6" t="n">
        <x:f>IF(G7703&gt;H7703,1,0)</x:f>
        <x:v>0</x:v>
      </x:c>
      <x:c r="L7703" s="6" t="n">
        <x:f>J7703*K7703</x:f>
        <x:v>0</x:v>
      </x:c>
    </x:row>
    <x:row r="7704">
      <x:c r="A7704" s="1" t="n">
        <x:v>61716</x:v>
      </x:c>
      <x:c r="B7704" s="5" t="d">
        <x:v>2017-06-19T00:00:00.000Z</x:v>
      </x:c>
      <x:c r="C7704" s="1" t="str">
        <x:v>Standard Class</x:v>
      </x:c>
      <x:c r="D7704" s="1" t="str">
        <x:v>Europe</x:v>
      </x:c>
      <x:c r="E7704" s="1" t="str">
        <x:v>COMPLETE</x:v>
      </x:c>
      <x:c r="F7704" s="1" t="str">
        <x:v>Advance shipping</x:v>
      </x:c>
      <x:c r="G7704" s="6" t="n">
        <x:v>2</x:v>
      </x:c>
      <x:c r="H7704" s="6" t="n">
        <x:v>4</x:v>
      </x:c>
      <x:c r="I7704" s="6" t="n">
        <x:f>G7704-H7704</x:f>
        <x:v>-2</x:v>
      </x:c>
      <x:c r="J7704" s="6" t="n">
        <x:f>IF(OR(E7704="CANCELED",E7704="SUSPECTED_FRAUD",F7704="Shipping canceled"),0,1)</x:f>
        <x:v>1</x:v>
      </x:c>
      <x:c r="K7704" s="6" t="n">
        <x:f>IF(G7704&gt;H7704,1,0)</x:f>
        <x:v>0</x:v>
      </x:c>
      <x:c r="L7704" s="6" t="n">
        <x:f>J7704*K7704</x:f>
        <x:v>0</x:v>
      </x:c>
    </x:row>
    <x:row r="7705">
      <x:c r="A7705" s="1" t="n">
        <x:v>61756</x:v>
      </x:c>
      <x:c r="B7705" s="5" t="d">
        <x:v>2017-06-20T00:00:00.000Z</x:v>
      </x:c>
      <x:c r="C7705" s="1" t="str">
        <x:v>Same Day</x:v>
      </x:c>
      <x:c r="D7705" s="1" t="str">
        <x:v>Europe</x:v>
      </x:c>
      <x:c r="E7705" s="1" t="str">
        <x:v>PROCESSING</x:v>
      </x:c>
      <x:c r="F7705" s="1" t="str">
        <x:v>Shipping on time</x:v>
      </x:c>
      <x:c r="G7705" s="6" t="n">
        <x:v>0</x:v>
      </x:c>
      <x:c r="H7705" s="6" t="n">
        <x:v>0</x:v>
      </x:c>
      <x:c r="I7705" s="6" t="n">
        <x:f>G7705-H7705</x:f>
        <x:v>0</x:v>
      </x:c>
      <x:c r="J7705" s="6" t="n">
        <x:f>IF(OR(E7705="CANCELED",E7705="SUSPECTED_FRAUD",F7705="Shipping canceled"),0,1)</x:f>
        <x:v>1</x:v>
      </x:c>
      <x:c r="K7705" s="6" t="n">
        <x:f>IF(G7705&gt;H7705,1,0)</x:f>
        <x:v>0</x:v>
      </x:c>
      <x:c r="L7705" s="6" t="n">
        <x:f>J7705*K7705</x:f>
        <x:v>0</x:v>
      </x:c>
    </x:row>
    <x:row r="7706">
      <x:c r="A7706" s="1" t="n">
        <x:v>61758</x:v>
      </x:c>
      <x:c r="B7706" s="5" t="d">
        <x:v>2017-06-20T00:00:00.000Z</x:v>
      </x:c>
      <x:c r="C7706" s="1" t="str">
        <x:v>First Class</x:v>
      </x:c>
      <x:c r="D7706" s="1" t="str">
        <x:v>Europe</x:v>
      </x:c>
      <x:c r="E7706" s="1" t="str">
        <x:v>CLOSED</x:v>
      </x:c>
      <x:c r="F7706" s="1" t="str">
        <x:v>Late delivery</x:v>
      </x:c>
      <x:c r="G7706" s="6" t="n">
        <x:v>2</x:v>
      </x:c>
      <x:c r="H7706" s="6" t="n">
        <x:v>1</x:v>
      </x:c>
      <x:c r="I7706" s="6" t="n">
        <x:f>G7706-H7706</x:f>
        <x:v>1</x:v>
      </x:c>
      <x:c r="J7706" s="6" t="n">
        <x:f>IF(OR(E7706="CANCELED",E7706="SUSPECTED_FRAUD",F7706="Shipping canceled"),0,1)</x:f>
        <x:v>1</x:v>
      </x:c>
      <x:c r="K7706" s="6" t="n">
        <x:f>IF(G7706&gt;H7706,1,0)</x:f>
        <x:v>1</x:v>
      </x:c>
      <x:c r="L7706" s="6" t="n">
        <x:f>J7706*K7706</x:f>
        <x:v>1</x:v>
      </x:c>
    </x:row>
    <x:row r="7707">
      <x:c r="A7707" s="1" t="n">
        <x:v>61765</x:v>
      </x:c>
      <x:c r="B7707" s="5" t="d">
        <x:v>2017-06-20T00:00:00.000Z</x:v>
      </x:c>
      <x:c r="C7707" s="1" t="str">
        <x:v>Standard Class</x:v>
      </x:c>
      <x:c r="D7707" s="1" t="str">
        <x:v>Europe</x:v>
      </x:c>
      <x:c r="E7707" s="1" t="str">
        <x:v>COMPLETE</x:v>
      </x:c>
      <x:c r="F7707" s="1" t="str">
        <x:v>Late delivery</x:v>
      </x:c>
      <x:c r="G7707" s="6" t="n">
        <x:v>6</x:v>
      </x:c>
      <x:c r="H7707" s="6" t="n">
        <x:v>4</x:v>
      </x:c>
      <x:c r="I7707" s="6" t="n">
        <x:f>G7707-H7707</x:f>
        <x:v>2</x:v>
      </x:c>
      <x:c r="J7707" s="6" t="n">
        <x:f>IF(OR(E7707="CANCELED",E7707="SUSPECTED_FRAUD",F7707="Shipping canceled"),0,1)</x:f>
        <x:v>1</x:v>
      </x:c>
      <x:c r="K7707" s="6" t="n">
        <x:f>IF(G7707&gt;H7707,1,0)</x:f>
        <x:v>1</x:v>
      </x:c>
      <x:c r="L7707" s="6" t="n">
        <x:f>J7707*K7707</x:f>
        <x:v>1</x:v>
      </x:c>
    </x:row>
    <x:row r="7708">
      <x:c r="A7708" s="1" t="n">
        <x:v>61766</x:v>
      </x:c>
      <x:c r="B7708" s="5" t="d">
        <x:v>2017-06-20T00:00:00.000Z</x:v>
      </x:c>
      <x:c r="C7708" s="1" t="str">
        <x:v>Standard Class</x:v>
      </x:c>
      <x:c r="D7708" s="1" t="str">
        <x:v>Europe</x:v>
      </x:c>
      <x:c r="E7708" s="1" t="str">
        <x:v>COMPLETE</x:v>
      </x:c>
      <x:c r="F7708" s="1" t="str">
        <x:v>Advance shipping</x:v>
      </x:c>
      <x:c r="G7708" s="6" t="n">
        <x:v>2</x:v>
      </x:c>
      <x:c r="H7708" s="6" t="n">
        <x:v>4</x:v>
      </x:c>
      <x:c r="I7708" s="6" t="n">
        <x:f>G7708-H7708</x:f>
        <x:v>-2</x:v>
      </x:c>
      <x:c r="J7708" s="6" t="n">
        <x:f>IF(OR(E7708="CANCELED",E7708="SUSPECTED_FRAUD",F7708="Shipping canceled"),0,1)</x:f>
        <x:v>1</x:v>
      </x:c>
      <x:c r="K7708" s="6" t="n">
        <x:f>IF(G7708&gt;H7708,1,0)</x:f>
        <x:v>0</x:v>
      </x:c>
      <x:c r="L7708" s="6" t="n">
        <x:f>J7708*K7708</x:f>
        <x:v>0</x:v>
      </x:c>
    </x:row>
    <x:row r="7709">
      <x:c r="A7709" s="1" t="n">
        <x:v>61770</x:v>
      </x:c>
      <x:c r="B7709" s="5" t="d">
        <x:v>2017-06-20T00:00:00.000Z</x:v>
      </x:c>
      <x:c r="C7709" s="1" t="str">
        <x:v>Standard Class</x:v>
      </x:c>
      <x:c r="D7709" s="1" t="str">
        <x:v>Europe</x:v>
      </x:c>
      <x:c r="E7709" s="1" t="str">
        <x:v>CLOSED</x:v>
      </x:c>
      <x:c r="F7709" s="1" t="str">
        <x:v>Late delivery</x:v>
      </x:c>
      <x:c r="G7709" s="6" t="n">
        <x:v>6</x:v>
      </x:c>
      <x:c r="H7709" s="6" t="n">
        <x:v>4</x:v>
      </x:c>
      <x:c r="I7709" s="6" t="n">
        <x:f>G7709-H7709</x:f>
        <x:v>2</x:v>
      </x:c>
      <x:c r="J7709" s="6" t="n">
        <x:f>IF(OR(E7709="CANCELED",E7709="SUSPECTED_FRAUD",F7709="Shipping canceled"),0,1)</x:f>
        <x:v>1</x:v>
      </x:c>
      <x:c r="K7709" s="6" t="n">
        <x:f>IF(G7709&gt;H7709,1,0)</x:f>
        <x:v>1</x:v>
      </x:c>
      <x:c r="L7709" s="6" t="n">
        <x:f>J7709*K7709</x:f>
        <x:v>1</x:v>
      </x:c>
    </x:row>
    <x:row r="7710">
      <x:c r="A7710" s="1" t="n">
        <x:v>61773</x:v>
      </x:c>
      <x:c r="B7710" s="5" t="d">
        <x:v>2017-06-20T00:00:00.000Z</x:v>
      </x:c>
      <x:c r="C7710" s="1" t="str">
        <x:v>Standard Class</x:v>
      </x:c>
      <x:c r="D7710" s="1" t="str">
        <x:v>Europe</x:v>
      </x:c>
      <x:c r="E7710" s="1" t="str">
        <x:v>COMPLETE</x:v>
      </x:c>
      <x:c r="F7710" s="1" t="str">
        <x:v>Shipping on time</x:v>
      </x:c>
      <x:c r="G7710" s="6" t="n">
        <x:v>4</x:v>
      </x:c>
      <x:c r="H7710" s="6" t="n">
        <x:v>4</x:v>
      </x:c>
      <x:c r="I7710" s="6" t="n">
        <x:f>G7710-H7710</x:f>
        <x:v>0</x:v>
      </x:c>
      <x:c r="J7710" s="6" t="n">
        <x:f>IF(OR(E7710="CANCELED",E7710="SUSPECTED_FRAUD",F7710="Shipping canceled"),0,1)</x:f>
        <x:v>1</x:v>
      </x:c>
      <x:c r="K7710" s="6" t="n">
        <x:f>IF(G7710&gt;H7710,1,0)</x:f>
        <x:v>0</x:v>
      </x:c>
      <x:c r="L7710" s="6" t="n">
        <x:f>J7710*K7710</x:f>
        <x:v>0</x:v>
      </x:c>
    </x:row>
    <x:row r="7711">
      <x:c r="A7711" s="1" t="n">
        <x:v>61780</x:v>
      </x:c>
      <x:c r="B7711" s="5" t="d">
        <x:v>2017-06-20T00:00:00.000Z</x:v>
      </x:c>
      <x:c r="C7711" s="1" t="str">
        <x:v>Standard Class</x:v>
      </x:c>
      <x:c r="D7711" s="1" t="str">
        <x:v>Europe</x:v>
      </x:c>
      <x:c r="E7711" s="1" t="str">
        <x:v>ON_HOLD</x:v>
      </x:c>
      <x:c r="F7711" s="1" t="str">
        <x:v>Late delivery</x:v>
      </x:c>
      <x:c r="G7711" s="6" t="n">
        <x:v>6</x:v>
      </x:c>
      <x:c r="H7711" s="6" t="n">
        <x:v>4</x:v>
      </x:c>
      <x:c r="I7711" s="6" t="n">
        <x:f>G7711-H7711</x:f>
        <x:v>2</x:v>
      </x:c>
      <x:c r="J7711" s="6" t="n">
        <x:f>IF(OR(E7711="CANCELED",E7711="SUSPECTED_FRAUD",F7711="Shipping canceled"),0,1)</x:f>
        <x:v>1</x:v>
      </x:c>
      <x:c r="K7711" s="6" t="n">
        <x:f>IF(G7711&gt;H7711,1,0)</x:f>
        <x:v>1</x:v>
      </x:c>
      <x:c r="L7711" s="6" t="n">
        <x:f>J7711*K7711</x:f>
        <x:v>1</x:v>
      </x:c>
    </x:row>
    <x:row r="7712">
      <x:c r="A7712" s="1" t="n">
        <x:v>61782</x:v>
      </x:c>
      <x:c r="B7712" s="5" t="d">
        <x:v>2017-06-20T00:00:00.000Z</x:v>
      </x:c>
      <x:c r="C7712" s="1" t="str">
        <x:v>Standard Class</x:v>
      </x:c>
      <x:c r="D7712" s="1" t="str">
        <x:v>Europe</x:v>
      </x:c>
      <x:c r="E7712" s="1" t="str">
        <x:v>PENDING</x:v>
      </x:c>
      <x:c r="F7712" s="1" t="str">
        <x:v>Advance shipping</x:v>
      </x:c>
      <x:c r="G7712" s="6" t="n">
        <x:v>3</x:v>
      </x:c>
      <x:c r="H7712" s="6" t="n">
        <x:v>4</x:v>
      </x:c>
      <x:c r="I7712" s="6" t="n">
        <x:f>G7712-H7712</x:f>
        <x:v>-1</x:v>
      </x:c>
      <x:c r="J7712" s="6" t="n">
        <x:f>IF(OR(E7712="CANCELED",E7712="SUSPECTED_FRAUD",F7712="Shipping canceled"),0,1)</x:f>
        <x:v>1</x:v>
      </x:c>
      <x:c r="K7712" s="6" t="n">
        <x:f>IF(G7712&gt;H7712,1,0)</x:f>
        <x:v>0</x:v>
      </x:c>
      <x:c r="L7712" s="6" t="n">
        <x:f>J7712*K7712</x:f>
        <x:v>0</x:v>
      </x:c>
    </x:row>
    <x:row r="7713">
      <x:c r="A7713" s="1" t="n">
        <x:v>61793</x:v>
      </x:c>
      <x:c r="B7713" s="5" t="d">
        <x:v>2017-06-21T00:00:00.000Z</x:v>
      </x:c>
      <x:c r="C7713" s="1" t="str">
        <x:v>Standard Class</x:v>
      </x:c>
      <x:c r="D7713" s="1" t="str">
        <x:v>Europe</x:v>
      </x:c>
      <x:c r="E7713" s="1" t="str">
        <x:v>PENDING</x:v>
      </x:c>
      <x:c r="F7713" s="1" t="str">
        <x:v>Shipping on time</x:v>
      </x:c>
      <x:c r="G7713" s="6" t="n">
        <x:v>4</x:v>
      </x:c>
      <x:c r="H7713" s="6" t="n">
        <x:v>4</x:v>
      </x:c>
      <x:c r="I7713" s="6" t="n">
        <x:f>G7713-H7713</x:f>
        <x:v>0</x:v>
      </x:c>
      <x:c r="J7713" s="6" t="n">
        <x:f>IF(OR(E7713="CANCELED",E7713="SUSPECTED_FRAUD",F7713="Shipping canceled"),0,1)</x:f>
        <x:v>1</x:v>
      </x:c>
      <x:c r="K7713" s="6" t="n">
        <x:f>IF(G7713&gt;H7713,1,0)</x:f>
        <x:v>0</x:v>
      </x:c>
      <x:c r="L7713" s="6" t="n">
        <x:f>J7713*K7713</x:f>
        <x:v>0</x:v>
      </x:c>
    </x:row>
    <x:row r="7714">
      <x:c r="A7714" s="1" t="n">
        <x:v>61796</x:v>
      </x:c>
      <x:c r="B7714" s="5" t="d">
        <x:v>2017-06-21T00:00:00.000Z</x:v>
      </x:c>
      <x:c r="C7714" s="1" t="str">
        <x:v>Standard Class</x:v>
      </x:c>
      <x:c r="D7714" s="1" t="str">
        <x:v>Europe</x:v>
      </x:c>
      <x:c r="E7714" s="1" t="str">
        <x:v>COMPLETE</x:v>
      </x:c>
      <x:c r="F7714" s="1" t="str">
        <x:v>Advance shipping</x:v>
      </x:c>
      <x:c r="G7714" s="6" t="n">
        <x:v>2</x:v>
      </x:c>
      <x:c r="H7714" s="6" t="n">
        <x:v>4</x:v>
      </x:c>
      <x:c r="I7714" s="6" t="n">
        <x:f>G7714-H7714</x:f>
        <x:v>-2</x:v>
      </x:c>
      <x:c r="J7714" s="6" t="n">
        <x:f>IF(OR(E7714="CANCELED",E7714="SUSPECTED_FRAUD",F7714="Shipping canceled"),0,1)</x:f>
        <x:v>1</x:v>
      </x:c>
      <x:c r="K7714" s="6" t="n">
        <x:f>IF(G7714&gt;H7714,1,0)</x:f>
        <x:v>0</x:v>
      </x:c>
      <x:c r="L7714" s="6" t="n">
        <x:f>J7714*K7714</x:f>
        <x:v>0</x:v>
      </x:c>
    </x:row>
    <x:row r="7715">
      <x:c r="A7715" s="1" t="n">
        <x:v>61797</x:v>
      </x:c>
      <x:c r="B7715" s="5" t="d">
        <x:v>2017-06-21T00:00:00.000Z</x:v>
      </x:c>
      <x:c r="C7715" s="1" t="str">
        <x:v>Standard Class</x:v>
      </x:c>
      <x:c r="D7715" s="1" t="str">
        <x:v>Europe</x:v>
      </x:c>
      <x:c r="E7715" s="1" t="str">
        <x:v>COMPLETE</x:v>
      </x:c>
      <x:c r="F7715" s="1" t="str">
        <x:v>Advance shipping</x:v>
      </x:c>
      <x:c r="G7715" s="6" t="n">
        <x:v>3</x:v>
      </x:c>
      <x:c r="H7715" s="6" t="n">
        <x:v>4</x:v>
      </x:c>
      <x:c r="I7715" s="6" t="n">
        <x:f>G7715-H7715</x:f>
        <x:v>-1</x:v>
      </x:c>
      <x:c r="J7715" s="6" t="n">
        <x:f>IF(OR(E7715="CANCELED",E7715="SUSPECTED_FRAUD",F7715="Shipping canceled"),0,1)</x:f>
        <x:v>1</x:v>
      </x:c>
      <x:c r="K7715" s="6" t="n">
        <x:f>IF(G7715&gt;H7715,1,0)</x:f>
        <x:v>0</x:v>
      </x:c>
      <x:c r="L7715" s="6" t="n">
        <x:f>J7715*K7715</x:f>
        <x:v>0</x:v>
      </x:c>
    </x:row>
    <x:row r="7716">
      <x:c r="A7716" s="1" t="n">
        <x:v>61798</x:v>
      </x:c>
      <x:c r="B7716" s="5" t="d">
        <x:v>2017-06-21T00:00:00.000Z</x:v>
      </x:c>
      <x:c r="C7716" s="1" t="str">
        <x:v>Standard Class</x:v>
      </x:c>
      <x:c r="D7716" s="1" t="str">
        <x:v>Europe</x:v>
      </x:c>
      <x:c r="E7716" s="1" t="str">
        <x:v>COMPLETE</x:v>
      </x:c>
      <x:c r="F7716" s="1" t="str">
        <x:v>Shipping on time</x:v>
      </x:c>
      <x:c r="G7716" s="6" t="n">
        <x:v>4</x:v>
      </x:c>
      <x:c r="H7716" s="6" t="n">
        <x:v>4</x:v>
      </x:c>
      <x:c r="I7716" s="6" t="n">
        <x:f>G7716-H7716</x:f>
        <x:v>0</x:v>
      </x:c>
      <x:c r="J7716" s="6" t="n">
        <x:f>IF(OR(E7716="CANCELED",E7716="SUSPECTED_FRAUD",F7716="Shipping canceled"),0,1)</x:f>
        <x:v>1</x:v>
      </x:c>
      <x:c r="K7716" s="6" t="n">
        <x:f>IF(G7716&gt;H7716,1,0)</x:f>
        <x:v>0</x:v>
      </x:c>
      <x:c r="L7716" s="6" t="n">
        <x:f>J7716*K7716</x:f>
        <x:v>0</x:v>
      </x:c>
    </x:row>
    <x:row r="7717">
      <x:c r="A7717" s="1" t="n">
        <x:v>61825</x:v>
      </x:c>
      <x:c r="B7717" s="5" t="d">
        <x:v>2017-06-21T00:00:00.000Z</x:v>
      </x:c>
      <x:c r="C7717" s="1" t="str">
        <x:v>Standard Class</x:v>
      </x:c>
      <x:c r="D7717" s="1" t="str">
        <x:v>Europe</x:v>
      </x:c>
      <x:c r="E7717" s="1" t="str">
        <x:v>COMPLETE</x:v>
      </x:c>
      <x:c r="F7717" s="1" t="str">
        <x:v>Late delivery</x:v>
      </x:c>
      <x:c r="G7717" s="6" t="n">
        <x:v>6</x:v>
      </x:c>
      <x:c r="H7717" s="6" t="n">
        <x:v>4</x:v>
      </x:c>
      <x:c r="I7717" s="6" t="n">
        <x:f>G7717-H7717</x:f>
        <x:v>2</x:v>
      </x:c>
      <x:c r="J7717" s="6" t="n">
        <x:f>IF(OR(E7717="CANCELED",E7717="SUSPECTED_FRAUD",F7717="Shipping canceled"),0,1)</x:f>
        <x:v>1</x:v>
      </x:c>
      <x:c r="K7717" s="6" t="n">
        <x:f>IF(G7717&gt;H7717,1,0)</x:f>
        <x:v>1</x:v>
      </x:c>
      <x:c r="L7717" s="6" t="n">
        <x:f>J7717*K7717</x:f>
        <x:v>1</x:v>
      </x:c>
    </x:row>
    <x:row r="7718">
      <x:c r="A7718" s="1" t="n">
        <x:v>61826</x:v>
      </x:c>
      <x:c r="B7718" s="5" t="d">
        <x:v>2017-06-21T00:00:00.000Z</x:v>
      </x:c>
      <x:c r="C7718" s="1" t="str">
        <x:v>Standard Class</x:v>
      </x:c>
      <x:c r="D7718" s="1" t="str">
        <x:v>Europe</x:v>
      </x:c>
      <x:c r="E7718" s="1" t="str">
        <x:v>PROCESSING</x:v>
      </x:c>
      <x:c r="F7718" s="1" t="str">
        <x:v>Advance shipping</x:v>
      </x:c>
      <x:c r="G7718" s="6" t="n">
        <x:v>2</x:v>
      </x:c>
      <x:c r="H7718" s="6" t="n">
        <x:v>4</x:v>
      </x:c>
      <x:c r="I7718" s="6" t="n">
        <x:f>G7718-H7718</x:f>
        <x:v>-2</x:v>
      </x:c>
      <x:c r="J7718" s="6" t="n">
        <x:f>IF(OR(E7718="CANCELED",E7718="SUSPECTED_FRAUD",F7718="Shipping canceled"),0,1)</x:f>
        <x:v>1</x:v>
      </x:c>
      <x:c r="K7718" s="6" t="n">
        <x:f>IF(G7718&gt;H7718,1,0)</x:f>
        <x:v>0</x:v>
      </x:c>
      <x:c r="L7718" s="6" t="n">
        <x:f>J7718*K7718</x:f>
        <x:v>0</x:v>
      </x:c>
    </x:row>
    <x:row r="7719">
      <x:c r="A7719" s="1" t="n">
        <x:v>61831</x:v>
      </x:c>
      <x:c r="B7719" s="5" t="d">
        <x:v>2017-06-21T00:00:00.000Z</x:v>
      </x:c>
      <x:c r="C7719" s="1" t="str">
        <x:v>Standard Class</x:v>
      </x:c>
      <x:c r="D7719" s="1" t="str">
        <x:v>Europe</x:v>
      </x:c>
      <x:c r="E7719" s="1" t="str">
        <x:v>COMPLETE</x:v>
      </x:c>
      <x:c r="F7719" s="1" t="str">
        <x:v>Advance shipping</x:v>
      </x:c>
      <x:c r="G7719" s="6" t="n">
        <x:v>2</x:v>
      </x:c>
      <x:c r="H7719" s="6" t="n">
        <x:v>4</x:v>
      </x:c>
      <x:c r="I7719" s="6" t="n">
        <x:f>G7719-H7719</x:f>
        <x:v>-2</x:v>
      </x:c>
      <x:c r="J7719" s="6" t="n">
        <x:f>IF(OR(E7719="CANCELED",E7719="SUSPECTED_FRAUD",F7719="Shipping canceled"),0,1)</x:f>
        <x:v>1</x:v>
      </x:c>
      <x:c r="K7719" s="6" t="n">
        <x:f>IF(G7719&gt;H7719,1,0)</x:f>
        <x:v>0</x:v>
      </x:c>
      <x:c r="L7719" s="6" t="n">
        <x:f>J7719*K7719</x:f>
        <x:v>0</x:v>
      </x:c>
    </x:row>
    <x:row r="7720">
      <x:c r="A7720" s="1" t="n">
        <x:v>61837</x:v>
      </x:c>
      <x:c r="B7720" s="5" t="d">
        <x:v>2017-06-21T00:00:00.000Z</x:v>
      </x:c>
      <x:c r="C7720" s="1" t="str">
        <x:v>Standard Class</x:v>
      </x:c>
      <x:c r="D7720" s="1" t="str">
        <x:v>Europe</x:v>
      </x:c>
      <x:c r="E7720" s="1" t="str">
        <x:v>COMPLETE</x:v>
      </x:c>
      <x:c r="F7720" s="1" t="str">
        <x:v>Advance shipping</x:v>
      </x:c>
      <x:c r="G7720" s="6" t="n">
        <x:v>3</x:v>
      </x:c>
      <x:c r="H7720" s="6" t="n">
        <x:v>4</x:v>
      </x:c>
      <x:c r="I7720" s="6" t="n">
        <x:f>G7720-H7720</x:f>
        <x:v>-1</x:v>
      </x:c>
      <x:c r="J7720" s="6" t="n">
        <x:f>IF(OR(E7720="CANCELED",E7720="SUSPECTED_FRAUD",F7720="Shipping canceled"),0,1)</x:f>
        <x:v>1</x:v>
      </x:c>
      <x:c r="K7720" s="6" t="n">
        <x:f>IF(G7720&gt;H7720,1,0)</x:f>
        <x:v>0</x:v>
      </x:c>
      <x:c r="L7720" s="6" t="n">
        <x:f>J7720*K7720</x:f>
        <x:v>0</x:v>
      </x:c>
    </x:row>
    <x:row r="7721">
      <x:c r="A7721" s="1" t="n">
        <x:v>61842</x:v>
      </x:c>
      <x:c r="B7721" s="5" t="d">
        <x:v>2017-06-21T00:00:00.000Z</x:v>
      </x:c>
      <x:c r="C7721" s="1" t="str">
        <x:v>Standard Class</x:v>
      </x:c>
      <x:c r="D7721" s="1" t="str">
        <x:v>Europe</x:v>
      </x:c>
      <x:c r="E7721" s="1" t="str">
        <x:v>COMPLETE</x:v>
      </x:c>
      <x:c r="F7721" s="1" t="str">
        <x:v>Advance shipping</x:v>
      </x:c>
      <x:c r="G7721" s="6" t="n">
        <x:v>3</x:v>
      </x:c>
      <x:c r="H7721" s="6" t="n">
        <x:v>4</x:v>
      </x:c>
      <x:c r="I7721" s="6" t="n">
        <x:f>G7721-H7721</x:f>
        <x:v>-1</x:v>
      </x:c>
      <x:c r="J7721" s="6" t="n">
        <x:f>IF(OR(E7721="CANCELED",E7721="SUSPECTED_FRAUD",F7721="Shipping canceled"),0,1)</x:f>
        <x:v>1</x:v>
      </x:c>
      <x:c r="K7721" s="6" t="n">
        <x:f>IF(G7721&gt;H7721,1,0)</x:f>
        <x:v>0</x:v>
      </x:c>
      <x:c r="L7721" s="6" t="n">
        <x:f>J7721*K7721</x:f>
        <x:v>0</x:v>
      </x:c>
    </x:row>
    <x:row r="7722">
      <x:c r="A7722" s="1" t="n">
        <x:v>61843</x:v>
      </x:c>
      <x:c r="B7722" s="5" t="d">
        <x:v>2017-06-21T00:00:00.000Z</x:v>
      </x:c>
      <x:c r="C7722" s="1" t="str">
        <x:v>Standard Class</x:v>
      </x:c>
      <x:c r="D7722" s="1" t="str">
        <x:v>Europe</x:v>
      </x:c>
      <x:c r="E7722" s="1" t="str">
        <x:v>PENDING_PAYMENT</x:v>
      </x:c>
      <x:c r="F7722" s="1" t="str">
        <x:v>Shipping on time</x:v>
      </x:c>
      <x:c r="G7722" s="6" t="n">
        <x:v>4</x:v>
      </x:c>
      <x:c r="H7722" s="6" t="n">
        <x:v>4</x:v>
      </x:c>
      <x:c r="I7722" s="6" t="n">
        <x:f>G7722-H7722</x:f>
        <x:v>0</x:v>
      </x:c>
      <x:c r="J7722" s="6" t="n">
        <x:f>IF(OR(E7722="CANCELED",E7722="SUSPECTED_FRAUD",F7722="Shipping canceled"),0,1)</x:f>
        <x:v>1</x:v>
      </x:c>
      <x:c r="K7722" s="6" t="n">
        <x:f>IF(G7722&gt;H7722,1,0)</x:f>
        <x:v>0</x:v>
      </x:c>
      <x:c r="L7722" s="6" t="n">
        <x:f>J7722*K7722</x:f>
        <x:v>0</x:v>
      </x:c>
    </x:row>
    <x:row r="7723">
      <x:c r="A7723" s="1" t="n">
        <x:v>61848</x:v>
      </x:c>
      <x:c r="B7723" s="5" t="d">
        <x:v>2017-06-21T00:00:00.000Z</x:v>
      </x:c>
      <x:c r="C7723" s="1" t="str">
        <x:v>Standard Class</x:v>
      </x:c>
      <x:c r="D7723" s="1" t="str">
        <x:v>Europe</x:v>
      </x:c>
      <x:c r="E7723" s="1" t="str">
        <x:v>SUSPECTED_FRAUD</x:v>
      </x:c>
      <x:c r="F7723" s="1" t="str">
        <x:v>Shipping canceled</x:v>
      </x:c>
      <x:c r="G7723" s="6" t="n">
        <x:v>4</x:v>
      </x:c>
      <x:c r="H7723" s="6" t="n">
        <x:v>4</x:v>
      </x:c>
      <x:c r="I7723" s="6" t="n">
        <x:f>G7723-H7723</x:f>
        <x:v>0</x:v>
      </x:c>
      <x:c r="J7723" s="6" t="n">
        <x:f>IF(OR(E7723="CANCELED",E7723="SUSPECTED_FRAUD",F7723="Shipping canceled"),0,1)</x:f>
        <x:v>0</x:v>
      </x:c>
      <x:c r="K7723" s="6" t="n">
        <x:f>IF(G7723&gt;H7723,1,0)</x:f>
        <x:v>0</x:v>
      </x:c>
      <x:c r="L7723" s="6" t="n">
        <x:f>J7723*K7723</x:f>
        <x:v>0</x:v>
      </x:c>
    </x:row>
    <x:row r="7724">
      <x:c r="A7724" s="1" t="n">
        <x:v>61855</x:v>
      </x:c>
      <x:c r="B7724" s="5" t="d">
        <x:v>2017-06-21T00:00:00.000Z</x:v>
      </x:c>
      <x:c r="C7724" s="1" t="str">
        <x:v>Standard Class</x:v>
      </x:c>
      <x:c r="D7724" s="1" t="str">
        <x:v>Europe</x:v>
      </x:c>
      <x:c r="E7724" s="1" t="str">
        <x:v>COMPLETE</x:v>
      </x:c>
      <x:c r="F7724" s="1" t="str">
        <x:v>Late delivery</x:v>
      </x:c>
      <x:c r="G7724" s="6" t="n">
        <x:v>6</x:v>
      </x:c>
      <x:c r="H7724" s="6" t="n">
        <x:v>4</x:v>
      </x:c>
      <x:c r="I7724" s="6" t="n">
        <x:f>G7724-H7724</x:f>
        <x:v>2</x:v>
      </x:c>
      <x:c r="J7724" s="6" t="n">
        <x:f>IF(OR(E7724="CANCELED",E7724="SUSPECTED_FRAUD",F7724="Shipping canceled"),0,1)</x:f>
        <x:v>1</x:v>
      </x:c>
      <x:c r="K7724" s="6" t="n">
        <x:f>IF(G7724&gt;H7724,1,0)</x:f>
        <x:v>1</x:v>
      </x:c>
      <x:c r="L7724" s="6" t="n">
        <x:f>J7724*K7724</x:f>
        <x:v>1</x:v>
      </x:c>
    </x:row>
    <x:row r="7725">
      <x:c r="A7725" s="1" t="n">
        <x:v>61865</x:v>
      </x:c>
      <x:c r="B7725" s="5" t="d">
        <x:v>2017-06-22T00:00:00.000Z</x:v>
      </x:c>
      <x:c r="C7725" s="1" t="str">
        <x:v>Second Class</x:v>
      </x:c>
      <x:c r="D7725" s="1" t="str">
        <x:v>Europe</x:v>
      </x:c>
      <x:c r="E7725" s="1" t="str">
        <x:v>PROCESSING</x:v>
      </x:c>
      <x:c r="F7725" s="1" t="str">
        <x:v>Late delivery</x:v>
      </x:c>
      <x:c r="G7725" s="6" t="n">
        <x:v>6</x:v>
      </x:c>
      <x:c r="H7725" s="6" t="n">
        <x:v>2</x:v>
      </x:c>
      <x:c r="I7725" s="6" t="n">
        <x:f>G7725-H7725</x:f>
        <x:v>4</x:v>
      </x:c>
      <x:c r="J7725" s="6" t="n">
        <x:f>IF(OR(E7725="CANCELED",E7725="SUSPECTED_FRAUD",F7725="Shipping canceled"),0,1)</x:f>
        <x:v>1</x:v>
      </x:c>
      <x:c r="K7725" s="6" t="n">
        <x:f>IF(G7725&gt;H7725,1,0)</x:f>
        <x:v>1</x:v>
      </x:c>
      <x:c r="L7725" s="6" t="n">
        <x:f>J7725*K7725</x:f>
        <x:v>1</x:v>
      </x:c>
    </x:row>
    <x:row r="7726">
      <x:c r="A7726" s="1" t="n">
        <x:v>61872</x:v>
      </x:c>
      <x:c r="B7726" s="5" t="d">
        <x:v>2017-06-22T00:00:00.000Z</x:v>
      </x:c>
      <x:c r="C7726" s="1" t="str">
        <x:v>Standard Class</x:v>
      </x:c>
      <x:c r="D7726" s="1" t="str">
        <x:v>Europe</x:v>
      </x:c>
      <x:c r="E7726" s="1" t="str">
        <x:v>CANCELED</x:v>
      </x:c>
      <x:c r="F7726" s="1" t="str">
        <x:v>Shipping canceled</x:v>
      </x:c>
      <x:c r="G7726" s="6" t="n">
        <x:v>3</x:v>
      </x:c>
      <x:c r="H7726" s="6" t="n">
        <x:v>4</x:v>
      </x:c>
      <x:c r="I7726" s="6" t="n">
        <x:f>G7726-H7726</x:f>
        <x:v>-1</x:v>
      </x:c>
      <x:c r="J7726" s="6" t="n">
        <x:f>IF(OR(E7726="CANCELED",E7726="SUSPECTED_FRAUD",F7726="Shipping canceled"),0,1)</x:f>
        <x:v>0</x:v>
      </x:c>
      <x:c r="K7726" s="6" t="n">
        <x:f>IF(G7726&gt;H7726,1,0)</x:f>
        <x:v>0</x:v>
      </x:c>
      <x:c r="L7726" s="6" t="n">
        <x:f>J7726*K7726</x:f>
        <x:v>0</x:v>
      </x:c>
    </x:row>
    <x:row r="7727">
      <x:c r="A7727" s="1" t="n">
        <x:v>61883</x:v>
      </x:c>
      <x:c r="B7727" s="5" t="d">
        <x:v>2017-06-22T00:00:00.000Z</x:v>
      </x:c>
      <x:c r="C7727" s="1" t="str">
        <x:v>Standard Class</x:v>
      </x:c>
      <x:c r="D7727" s="1" t="str">
        <x:v>Europe</x:v>
      </x:c>
      <x:c r="E7727" s="1" t="str">
        <x:v>ON_HOLD</x:v>
      </x:c>
      <x:c r="F7727" s="1" t="str">
        <x:v>Shipping on time</x:v>
      </x:c>
      <x:c r="G7727" s="6" t="n">
        <x:v>4</x:v>
      </x:c>
      <x:c r="H7727" s="6" t="n">
        <x:v>4</x:v>
      </x:c>
      <x:c r="I7727" s="6" t="n">
        <x:f>G7727-H7727</x:f>
        <x:v>0</x:v>
      </x:c>
      <x:c r="J7727" s="6" t="n">
        <x:f>IF(OR(E7727="CANCELED",E7727="SUSPECTED_FRAUD",F7727="Shipping canceled"),0,1)</x:f>
        <x:v>1</x:v>
      </x:c>
      <x:c r="K7727" s="6" t="n">
        <x:f>IF(G7727&gt;H7727,1,0)</x:f>
        <x:v>0</x:v>
      </x:c>
      <x:c r="L7727" s="6" t="n">
        <x:f>J7727*K7727</x:f>
        <x:v>0</x:v>
      </x:c>
    </x:row>
    <x:row r="7728">
      <x:c r="A7728" s="1" t="n">
        <x:v>61888</x:v>
      </x:c>
      <x:c r="B7728" s="5" t="d">
        <x:v>2017-06-22T00:00:00.000Z</x:v>
      </x:c>
      <x:c r="C7728" s="1" t="str">
        <x:v>Standard Class</x:v>
      </x:c>
      <x:c r="D7728" s="1" t="str">
        <x:v>Europe</x:v>
      </x:c>
      <x:c r="E7728" s="1" t="str">
        <x:v>PENDING</x:v>
      </x:c>
      <x:c r="F7728" s="1" t="str">
        <x:v>Shipping on time</x:v>
      </x:c>
      <x:c r="G7728" s="6" t="n">
        <x:v>4</x:v>
      </x:c>
      <x:c r="H7728" s="6" t="n">
        <x:v>4</x:v>
      </x:c>
      <x:c r="I7728" s="6" t="n">
        <x:f>G7728-H7728</x:f>
        <x:v>0</x:v>
      </x:c>
      <x:c r="J7728" s="6" t="n">
        <x:f>IF(OR(E7728="CANCELED",E7728="SUSPECTED_FRAUD",F7728="Shipping canceled"),0,1)</x:f>
        <x:v>1</x:v>
      </x:c>
      <x:c r="K7728" s="6" t="n">
        <x:f>IF(G7728&gt;H7728,1,0)</x:f>
        <x:v>0</x:v>
      </x:c>
      <x:c r="L7728" s="6" t="n">
        <x:f>J7728*K7728</x:f>
        <x:v>0</x:v>
      </x:c>
    </x:row>
    <x:row r="7729">
      <x:c r="A7729" s="1" t="n">
        <x:v>61902</x:v>
      </x:c>
      <x:c r="B7729" s="5" t="d">
        <x:v>2017-06-22T00:00:00.000Z</x:v>
      </x:c>
      <x:c r="C7729" s="1" t="str">
        <x:v>Standard Class</x:v>
      </x:c>
      <x:c r="D7729" s="1" t="str">
        <x:v>Europe</x:v>
      </x:c>
      <x:c r="E7729" s="1" t="str">
        <x:v>PENDING</x:v>
      </x:c>
      <x:c r="F7729" s="1" t="str">
        <x:v>Advance shipping</x:v>
      </x:c>
      <x:c r="G7729" s="6" t="n">
        <x:v>3</x:v>
      </x:c>
      <x:c r="H7729" s="6" t="n">
        <x:v>4</x:v>
      </x:c>
      <x:c r="I7729" s="6" t="n">
        <x:f>G7729-H7729</x:f>
        <x:v>-1</x:v>
      </x:c>
      <x:c r="J7729" s="6" t="n">
        <x:f>IF(OR(E7729="CANCELED",E7729="SUSPECTED_FRAUD",F7729="Shipping canceled"),0,1)</x:f>
        <x:v>1</x:v>
      </x:c>
      <x:c r="K7729" s="6" t="n">
        <x:f>IF(G7729&gt;H7729,1,0)</x:f>
        <x:v>0</x:v>
      </x:c>
      <x:c r="L7729" s="6" t="n">
        <x:f>J7729*K7729</x:f>
        <x:v>0</x:v>
      </x:c>
    </x:row>
    <x:row r="7730">
      <x:c r="A7730" s="1" t="n">
        <x:v>61913</x:v>
      </x:c>
      <x:c r="B7730" s="5" t="d">
        <x:v>2017-06-22T00:00:00.000Z</x:v>
      </x:c>
      <x:c r="C7730" s="1" t="str">
        <x:v>Standard Class</x:v>
      </x:c>
      <x:c r="D7730" s="1" t="str">
        <x:v>Europe</x:v>
      </x:c>
      <x:c r="E7730" s="1" t="str">
        <x:v>COMPLETE</x:v>
      </x:c>
      <x:c r="F7730" s="1" t="str">
        <x:v>Shipping on time</x:v>
      </x:c>
      <x:c r="G7730" s="6" t="n">
        <x:v>4</x:v>
      </x:c>
      <x:c r="H7730" s="6" t="n">
        <x:v>4</x:v>
      </x:c>
      <x:c r="I7730" s="6" t="n">
        <x:f>G7730-H7730</x:f>
        <x:v>0</x:v>
      </x:c>
      <x:c r="J7730" s="6" t="n">
        <x:f>IF(OR(E7730="CANCELED",E7730="SUSPECTED_FRAUD",F7730="Shipping canceled"),0,1)</x:f>
        <x:v>1</x:v>
      </x:c>
      <x:c r="K7730" s="6" t="n">
        <x:f>IF(G7730&gt;H7730,1,0)</x:f>
        <x:v>0</x:v>
      </x:c>
      <x:c r="L7730" s="6" t="n">
        <x:f>J7730*K7730</x:f>
        <x:v>0</x:v>
      </x:c>
    </x:row>
    <x:row r="7731">
      <x:c r="A7731" s="1" t="n">
        <x:v>61940</x:v>
      </x:c>
      <x:c r="B7731" s="5" t="d">
        <x:v>2017-06-23T00:00:00.000Z</x:v>
      </x:c>
      <x:c r="C7731" s="1" t="str">
        <x:v>Standard Class</x:v>
      </x:c>
      <x:c r="D7731" s="1" t="str">
        <x:v>Europe</x:v>
      </x:c>
      <x:c r="E7731" s="1" t="str">
        <x:v>PENDING_PAYMENT</x:v>
      </x:c>
      <x:c r="F7731" s="1" t="str">
        <x:v>Late delivery</x:v>
      </x:c>
      <x:c r="G7731" s="6" t="n">
        <x:v>6</x:v>
      </x:c>
      <x:c r="H7731" s="6" t="n">
        <x:v>4</x:v>
      </x:c>
      <x:c r="I7731" s="6" t="n">
        <x:f>G7731-H7731</x:f>
        <x:v>2</x:v>
      </x:c>
      <x:c r="J7731" s="6" t="n">
        <x:f>IF(OR(E7731="CANCELED",E7731="SUSPECTED_FRAUD",F7731="Shipping canceled"),0,1)</x:f>
        <x:v>1</x:v>
      </x:c>
      <x:c r="K7731" s="6" t="n">
        <x:f>IF(G7731&gt;H7731,1,0)</x:f>
        <x:v>1</x:v>
      </x:c>
      <x:c r="L7731" s="6" t="n">
        <x:f>J7731*K7731</x:f>
        <x:v>1</x:v>
      </x:c>
    </x:row>
    <x:row r="7732">
      <x:c r="A7732" s="1" t="n">
        <x:v>61956</x:v>
      </x:c>
      <x:c r="B7732" s="5" t="d">
        <x:v>2017-06-23T00:00:00.000Z</x:v>
      </x:c>
      <x:c r="C7732" s="1" t="str">
        <x:v>First Class</x:v>
      </x:c>
      <x:c r="D7732" s="1" t="str">
        <x:v>Europe</x:v>
      </x:c>
      <x:c r="E7732" s="1" t="str">
        <x:v>PENDING</x:v>
      </x:c>
      <x:c r="F7732" s="1" t="str">
        <x:v>Late delivery</x:v>
      </x:c>
      <x:c r="G7732" s="6" t="n">
        <x:v>2</x:v>
      </x:c>
      <x:c r="H7732" s="6" t="n">
        <x:v>1</x:v>
      </x:c>
      <x:c r="I7732" s="6" t="n">
        <x:f>G7732-H7732</x:f>
        <x:v>1</x:v>
      </x:c>
      <x:c r="J7732" s="6" t="n">
        <x:f>IF(OR(E7732="CANCELED",E7732="SUSPECTED_FRAUD",F7732="Shipping canceled"),0,1)</x:f>
        <x:v>1</x:v>
      </x:c>
      <x:c r="K7732" s="6" t="n">
        <x:f>IF(G7732&gt;H7732,1,0)</x:f>
        <x:v>1</x:v>
      </x:c>
      <x:c r="L7732" s="6" t="n">
        <x:f>J7732*K7732</x:f>
        <x:v>1</x:v>
      </x:c>
    </x:row>
    <x:row r="7733">
      <x:c r="A7733" s="1" t="n">
        <x:v>61964</x:v>
      </x:c>
      <x:c r="B7733" s="5" t="d">
        <x:v>2017-06-23T00:00:00.000Z</x:v>
      </x:c>
      <x:c r="C7733" s="1" t="str">
        <x:v>Standard Class</x:v>
      </x:c>
      <x:c r="D7733" s="1" t="str">
        <x:v>Europe</x:v>
      </x:c>
      <x:c r="E7733" s="1" t="str">
        <x:v>PENDING</x:v>
      </x:c>
      <x:c r="F7733" s="1" t="str">
        <x:v>Late delivery</x:v>
      </x:c>
      <x:c r="G7733" s="6" t="n">
        <x:v>5</x:v>
      </x:c>
      <x:c r="H7733" s="6" t="n">
        <x:v>4</x:v>
      </x:c>
      <x:c r="I7733" s="6" t="n">
        <x:f>G7733-H7733</x:f>
        <x:v>1</x:v>
      </x:c>
      <x:c r="J7733" s="6" t="n">
        <x:f>IF(OR(E7733="CANCELED",E7733="SUSPECTED_FRAUD",F7733="Shipping canceled"),0,1)</x:f>
        <x:v>1</x:v>
      </x:c>
      <x:c r="K7733" s="6" t="n">
        <x:f>IF(G7733&gt;H7733,1,0)</x:f>
        <x:v>1</x:v>
      </x:c>
      <x:c r="L7733" s="6" t="n">
        <x:f>J7733*K7733</x:f>
        <x:v>1</x:v>
      </x:c>
    </x:row>
    <x:row r="7734">
      <x:c r="A7734" s="1" t="n">
        <x:v>61970</x:v>
      </x:c>
      <x:c r="B7734" s="5" t="d">
        <x:v>2017-06-23T00:00:00.000Z</x:v>
      </x:c>
      <x:c r="C7734" s="1" t="str">
        <x:v>Standard Class</x:v>
      </x:c>
      <x:c r="D7734" s="1" t="str">
        <x:v>Europe</x:v>
      </x:c>
      <x:c r="E7734" s="1" t="str">
        <x:v>PENDING</x:v>
      </x:c>
      <x:c r="F7734" s="1" t="str">
        <x:v>Late delivery</x:v>
      </x:c>
      <x:c r="G7734" s="6" t="n">
        <x:v>6</x:v>
      </x:c>
      <x:c r="H7734" s="6" t="n">
        <x:v>4</x:v>
      </x:c>
      <x:c r="I7734" s="6" t="n">
        <x:f>G7734-H7734</x:f>
        <x:v>2</x:v>
      </x:c>
      <x:c r="J7734" s="6" t="n">
        <x:f>IF(OR(E7734="CANCELED",E7734="SUSPECTED_FRAUD",F7734="Shipping canceled"),0,1)</x:f>
        <x:v>1</x:v>
      </x:c>
      <x:c r="K7734" s="6" t="n">
        <x:f>IF(G7734&gt;H7734,1,0)</x:f>
        <x:v>1</x:v>
      </x:c>
      <x:c r="L7734" s="6" t="n">
        <x:f>J7734*K7734</x:f>
        <x:v>1</x:v>
      </x:c>
    </x:row>
    <x:row r="7735">
      <x:c r="A7735" s="1" t="n">
        <x:v>61974</x:v>
      </x:c>
      <x:c r="B7735" s="5" t="d">
        <x:v>2017-06-23T00:00:00.000Z</x:v>
      </x:c>
      <x:c r="C7735" s="1" t="str">
        <x:v>Standard Class</x:v>
      </x:c>
      <x:c r="D7735" s="1" t="str">
        <x:v>Europe</x:v>
      </x:c>
      <x:c r="E7735" s="1" t="str">
        <x:v>PENDING_PAYMENT</x:v>
      </x:c>
      <x:c r="F7735" s="1" t="str">
        <x:v>Late delivery</x:v>
      </x:c>
      <x:c r="G7735" s="6" t="n">
        <x:v>5</x:v>
      </x:c>
      <x:c r="H7735" s="6" t="n">
        <x:v>4</x:v>
      </x:c>
      <x:c r="I7735" s="6" t="n">
        <x:f>G7735-H7735</x:f>
        <x:v>1</x:v>
      </x:c>
      <x:c r="J7735" s="6" t="n">
        <x:f>IF(OR(E7735="CANCELED",E7735="SUSPECTED_FRAUD",F7735="Shipping canceled"),0,1)</x:f>
        <x:v>1</x:v>
      </x:c>
      <x:c r="K7735" s="6" t="n">
        <x:f>IF(G7735&gt;H7735,1,0)</x:f>
        <x:v>1</x:v>
      </x:c>
      <x:c r="L7735" s="6" t="n">
        <x:f>J7735*K7735</x:f>
        <x:v>1</x:v>
      </x:c>
    </x:row>
    <x:row r="7736">
      <x:c r="A7736" s="1" t="n">
        <x:v>61976</x:v>
      </x:c>
      <x:c r="B7736" s="5" t="d">
        <x:v>2017-06-23T00:00:00.000Z</x:v>
      </x:c>
      <x:c r="C7736" s="1" t="str">
        <x:v>Standard Class</x:v>
      </x:c>
      <x:c r="D7736" s="1" t="str">
        <x:v>Europe</x:v>
      </x:c>
      <x:c r="E7736" s="1" t="str">
        <x:v>CLOSED</x:v>
      </x:c>
      <x:c r="F7736" s="1" t="str">
        <x:v>Advance shipping</x:v>
      </x:c>
      <x:c r="G7736" s="6" t="n">
        <x:v>2</x:v>
      </x:c>
      <x:c r="H7736" s="6" t="n">
        <x:v>4</x:v>
      </x:c>
      <x:c r="I7736" s="6" t="n">
        <x:f>G7736-H7736</x:f>
        <x:v>-2</x:v>
      </x:c>
      <x:c r="J7736" s="6" t="n">
        <x:f>IF(OR(E7736="CANCELED",E7736="SUSPECTED_FRAUD",F7736="Shipping canceled"),0,1)</x:f>
        <x:v>1</x:v>
      </x:c>
      <x:c r="K7736" s="6" t="n">
        <x:f>IF(G7736&gt;H7736,1,0)</x:f>
        <x:v>0</x:v>
      </x:c>
      <x:c r="L7736" s="6" t="n">
        <x:f>J7736*K7736</x:f>
        <x:v>0</x:v>
      </x:c>
    </x:row>
    <x:row r="7737">
      <x:c r="A7737" s="1" t="n">
        <x:v>61983</x:v>
      </x:c>
      <x:c r="B7737" s="5" t="d">
        <x:v>2017-06-23T00:00:00.000Z</x:v>
      </x:c>
      <x:c r="C7737" s="1" t="str">
        <x:v>Second Class</x:v>
      </x:c>
      <x:c r="D7737" s="1" t="str">
        <x:v>Europe</x:v>
      </x:c>
      <x:c r="E7737" s="1" t="str">
        <x:v>ON_HOLD</x:v>
      </x:c>
      <x:c r="F7737" s="1" t="str">
        <x:v>Late delivery</x:v>
      </x:c>
      <x:c r="G7737" s="6" t="n">
        <x:v>4</x:v>
      </x:c>
      <x:c r="H7737" s="6" t="n">
        <x:v>2</x:v>
      </x:c>
      <x:c r="I7737" s="6" t="n">
        <x:f>G7737-H7737</x:f>
        <x:v>2</x:v>
      </x:c>
      <x:c r="J7737" s="6" t="n">
        <x:f>IF(OR(E7737="CANCELED",E7737="SUSPECTED_FRAUD",F7737="Shipping canceled"),0,1)</x:f>
        <x:v>1</x:v>
      </x:c>
      <x:c r="K7737" s="6" t="n">
        <x:f>IF(G7737&gt;H7737,1,0)</x:f>
        <x:v>1</x:v>
      </x:c>
      <x:c r="L7737" s="6" t="n">
        <x:f>J7737*K7737</x:f>
        <x:v>1</x:v>
      </x:c>
    </x:row>
    <x:row r="7738">
      <x:c r="A7738" s="1" t="n">
        <x:v>61984</x:v>
      </x:c>
      <x:c r="B7738" s="5" t="d">
        <x:v>2017-06-23T00:00:00.000Z</x:v>
      </x:c>
      <x:c r="C7738" s="1" t="str">
        <x:v>Second Class</x:v>
      </x:c>
      <x:c r="D7738" s="1" t="str">
        <x:v>Europe</x:v>
      </x:c>
      <x:c r="E7738" s="1" t="str">
        <x:v>SUSPECTED_FRAUD</x:v>
      </x:c>
      <x:c r="F7738" s="1" t="str">
        <x:v>Shipping canceled</x:v>
      </x:c>
      <x:c r="G7738" s="6" t="n">
        <x:v>5</x:v>
      </x:c>
      <x:c r="H7738" s="6" t="n">
        <x:v>2</x:v>
      </x:c>
      <x:c r="I7738" s="6" t="n">
        <x:f>G7738-H7738</x:f>
        <x:v>3</x:v>
      </x:c>
      <x:c r="J7738" s="6" t="n">
        <x:f>IF(OR(E7738="CANCELED",E7738="SUSPECTED_FRAUD",F7738="Shipping canceled"),0,1)</x:f>
        <x:v>0</x:v>
      </x:c>
      <x:c r="K7738" s="6" t="n">
        <x:f>IF(G7738&gt;H7738,1,0)</x:f>
        <x:v>1</x:v>
      </x:c>
      <x:c r="L7738" s="6" t="n">
        <x:f>J7738*K7738</x:f>
        <x:v>0</x:v>
      </x:c>
    </x:row>
    <x:row r="7739">
      <x:c r="A7739" s="1" t="n">
        <x:v>61993</x:v>
      </x:c>
      <x:c r="B7739" s="5" t="d">
        <x:v>2017-06-23T00:00:00.000Z</x:v>
      </x:c>
      <x:c r="C7739" s="1" t="str">
        <x:v>Standard Class</x:v>
      </x:c>
      <x:c r="D7739" s="1" t="str">
        <x:v>Europe</x:v>
      </x:c>
      <x:c r="E7739" s="1" t="str">
        <x:v>PENDING</x:v>
      </x:c>
      <x:c r="F7739" s="1" t="str">
        <x:v>Shipping on time</x:v>
      </x:c>
      <x:c r="G7739" s="6" t="n">
        <x:v>4</x:v>
      </x:c>
      <x:c r="H7739" s="6" t="n">
        <x:v>4</x:v>
      </x:c>
      <x:c r="I7739" s="6" t="n">
        <x:f>G7739-H7739</x:f>
        <x:v>0</x:v>
      </x:c>
      <x:c r="J7739" s="6" t="n">
        <x:f>IF(OR(E7739="CANCELED",E7739="SUSPECTED_FRAUD",F7739="Shipping canceled"),0,1)</x:f>
        <x:v>1</x:v>
      </x:c>
      <x:c r="K7739" s="6" t="n">
        <x:f>IF(G7739&gt;H7739,1,0)</x:f>
        <x:v>0</x:v>
      </x:c>
      <x:c r="L7739" s="6" t="n">
        <x:f>J7739*K7739</x:f>
        <x:v>0</x:v>
      </x:c>
    </x:row>
    <x:row r="7740">
      <x:c r="A7740" s="1" t="n">
        <x:v>61997</x:v>
      </x:c>
      <x:c r="B7740" s="5" t="d">
        <x:v>2017-06-23T00:00:00.000Z</x:v>
      </x:c>
      <x:c r="C7740" s="1" t="str">
        <x:v>Standard Class</x:v>
      </x:c>
      <x:c r="D7740" s="1" t="str">
        <x:v>Europe</x:v>
      </x:c>
      <x:c r="E7740" s="1" t="str">
        <x:v>PROCESSING</x:v>
      </x:c>
      <x:c r="F7740" s="1" t="str">
        <x:v>Advance shipping</x:v>
      </x:c>
      <x:c r="G7740" s="6" t="n">
        <x:v>3</x:v>
      </x:c>
      <x:c r="H7740" s="6" t="n">
        <x:v>4</x:v>
      </x:c>
      <x:c r="I7740" s="6" t="n">
        <x:f>G7740-H7740</x:f>
        <x:v>-1</x:v>
      </x:c>
      <x:c r="J7740" s="6" t="n">
        <x:f>IF(OR(E7740="CANCELED",E7740="SUSPECTED_FRAUD",F7740="Shipping canceled"),0,1)</x:f>
        <x:v>1</x:v>
      </x:c>
      <x:c r="K7740" s="6" t="n">
        <x:f>IF(G7740&gt;H7740,1,0)</x:f>
        <x:v>0</x:v>
      </x:c>
      <x:c r="L7740" s="6" t="n">
        <x:f>J7740*K7740</x:f>
        <x:v>0</x:v>
      </x:c>
    </x:row>
    <x:row r="7741">
      <x:c r="A7741" s="1" t="n">
        <x:v>62003</x:v>
      </x:c>
      <x:c r="B7741" s="5" t="d">
        <x:v>2017-06-24T00:00:00.000Z</x:v>
      </x:c>
      <x:c r="C7741" s="1" t="str">
        <x:v>Second Class</x:v>
      </x:c>
      <x:c r="D7741" s="1" t="str">
        <x:v>Europe</x:v>
      </x:c>
      <x:c r="E7741" s="1" t="str">
        <x:v>ON_HOLD</x:v>
      </x:c>
      <x:c r="F7741" s="1" t="str">
        <x:v>Late delivery</x:v>
      </x:c>
      <x:c r="G7741" s="6" t="n">
        <x:v>4</x:v>
      </x:c>
      <x:c r="H7741" s="6" t="n">
        <x:v>2</x:v>
      </x:c>
      <x:c r="I7741" s="6" t="n">
        <x:f>G7741-H7741</x:f>
        <x:v>2</x:v>
      </x:c>
      <x:c r="J7741" s="6" t="n">
        <x:f>IF(OR(E7741="CANCELED",E7741="SUSPECTED_FRAUD",F7741="Shipping canceled"),0,1)</x:f>
        <x:v>1</x:v>
      </x:c>
      <x:c r="K7741" s="6" t="n">
        <x:f>IF(G7741&gt;H7741,1,0)</x:f>
        <x:v>1</x:v>
      </x:c>
      <x:c r="L7741" s="6" t="n">
        <x:f>J7741*K7741</x:f>
        <x:v>1</x:v>
      </x:c>
    </x:row>
    <x:row r="7742">
      <x:c r="A7742" s="1" t="n">
        <x:v>62011</x:v>
      </x:c>
      <x:c r="B7742" s="5" t="d">
        <x:v>2017-06-24T00:00:00.000Z</x:v>
      </x:c>
      <x:c r="C7742" s="1" t="str">
        <x:v>Standard Class</x:v>
      </x:c>
      <x:c r="D7742" s="1" t="str">
        <x:v>Europe</x:v>
      </x:c>
      <x:c r="E7742" s="1" t="str">
        <x:v>COMPLETE</x:v>
      </x:c>
      <x:c r="F7742" s="1" t="str">
        <x:v>Advance shipping</x:v>
      </x:c>
      <x:c r="G7742" s="6" t="n">
        <x:v>2</x:v>
      </x:c>
      <x:c r="H7742" s="6" t="n">
        <x:v>4</x:v>
      </x:c>
      <x:c r="I7742" s="6" t="n">
        <x:f>G7742-H7742</x:f>
        <x:v>-2</x:v>
      </x:c>
      <x:c r="J7742" s="6" t="n">
        <x:f>IF(OR(E7742="CANCELED",E7742="SUSPECTED_FRAUD",F7742="Shipping canceled"),0,1)</x:f>
        <x:v>1</x:v>
      </x:c>
      <x:c r="K7742" s="6" t="n">
        <x:f>IF(G7742&gt;H7742,1,0)</x:f>
        <x:v>0</x:v>
      </x:c>
      <x:c r="L7742" s="6" t="n">
        <x:f>J7742*K7742</x:f>
        <x:v>0</x:v>
      </x:c>
    </x:row>
    <x:row r="7743">
      <x:c r="A7743" s="1" t="n">
        <x:v>62026</x:v>
      </x:c>
      <x:c r="B7743" s="5" t="d">
        <x:v>2017-06-24T00:00:00.000Z</x:v>
      </x:c>
      <x:c r="C7743" s="1" t="str">
        <x:v>Standard Class</x:v>
      </x:c>
      <x:c r="D7743" s="1" t="str">
        <x:v>Europe</x:v>
      </x:c>
      <x:c r="E7743" s="1" t="str">
        <x:v>ON_HOLD</x:v>
      </x:c>
      <x:c r="F7743" s="1" t="str">
        <x:v>Advance shipping</x:v>
      </x:c>
      <x:c r="G7743" s="6" t="n">
        <x:v>2</x:v>
      </x:c>
      <x:c r="H7743" s="6" t="n">
        <x:v>4</x:v>
      </x:c>
      <x:c r="I7743" s="6" t="n">
        <x:f>G7743-H7743</x:f>
        <x:v>-2</x:v>
      </x:c>
      <x:c r="J7743" s="6" t="n">
        <x:f>IF(OR(E7743="CANCELED",E7743="SUSPECTED_FRAUD",F7743="Shipping canceled"),0,1)</x:f>
        <x:v>1</x:v>
      </x:c>
      <x:c r="K7743" s="6" t="n">
        <x:f>IF(G7743&gt;H7743,1,0)</x:f>
        <x:v>0</x:v>
      </x:c>
      <x:c r="L7743" s="6" t="n">
        <x:f>J7743*K7743</x:f>
        <x:v>0</x:v>
      </x:c>
    </x:row>
    <x:row r="7744">
      <x:c r="A7744" s="1" t="n">
        <x:v>62030</x:v>
      </x:c>
      <x:c r="B7744" s="5" t="d">
        <x:v>2017-06-24T00:00:00.000Z</x:v>
      </x:c>
      <x:c r="C7744" s="1" t="str">
        <x:v>Standard Class</x:v>
      </x:c>
      <x:c r="D7744" s="1" t="str">
        <x:v>Europe</x:v>
      </x:c>
      <x:c r="E7744" s="1" t="str">
        <x:v>PROCESSING</x:v>
      </x:c>
      <x:c r="F7744" s="1" t="str">
        <x:v>Late delivery</x:v>
      </x:c>
      <x:c r="G7744" s="6" t="n">
        <x:v>6</x:v>
      </x:c>
      <x:c r="H7744" s="6" t="n">
        <x:v>4</x:v>
      </x:c>
      <x:c r="I7744" s="6" t="n">
        <x:f>G7744-H7744</x:f>
        <x:v>2</x:v>
      </x:c>
      <x:c r="J7744" s="6" t="n">
        <x:f>IF(OR(E7744="CANCELED",E7744="SUSPECTED_FRAUD",F7744="Shipping canceled"),0,1)</x:f>
        <x:v>1</x:v>
      </x:c>
      <x:c r="K7744" s="6" t="n">
        <x:f>IF(G7744&gt;H7744,1,0)</x:f>
        <x:v>1</x:v>
      </x:c>
      <x:c r="L7744" s="6" t="n">
        <x:f>J7744*K7744</x:f>
        <x:v>1</x:v>
      </x:c>
    </x:row>
    <x:row r="7745">
      <x:c r="A7745" s="1" t="n">
        <x:v>62031</x:v>
      </x:c>
      <x:c r="B7745" s="5" t="d">
        <x:v>2017-06-24T00:00:00.000Z</x:v>
      </x:c>
      <x:c r="C7745" s="1" t="str">
        <x:v>First Class</x:v>
      </x:c>
      <x:c r="D7745" s="1" t="str">
        <x:v>Europe</x:v>
      </x:c>
      <x:c r="E7745" s="1" t="str">
        <x:v>PROCESSING</x:v>
      </x:c>
      <x:c r="F7745" s="1" t="str">
        <x:v>Late delivery</x:v>
      </x:c>
      <x:c r="G7745" s="6" t="n">
        <x:v>2</x:v>
      </x:c>
      <x:c r="H7745" s="6" t="n">
        <x:v>1</x:v>
      </x:c>
      <x:c r="I7745" s="6" t="n">
        <x:f>G7745-H7745</x:f>
        <x:v>1</x:v>
      </x:c>
      <x:c r="J7745" s="6" t="n">
        <x:f>IF(OR(E7745="CANCELED",E7745="SUSPECTED_FRAUD",F7745="Shipping canceled"),0,1)</x:f>
        <x:v>1</x:v>
      </x:c>
      <x:c r="K7745" s="6" t="n">
        <x:f>IF(G7745&gt;H7745,1,0)</x:f>
        <x:v>1</x:v>
      </x:c>
      <x:c r="L7745" s="6" t="n">
        <x:f>J7745*K7745</x:f>
        <x:v>1</x:v>
      </x:c>
    </x:row>
    <x:row r="7746">
      <x:c r="A7746" s="1" t="n">
        <x:v>62059</x:v>
      </x:c>
      <x:c r="B7746" s="5" t="d">
        <x:v>2017-06-24T00:00:00.000Z</x:v>
      </x:c>
      <x:c r="C7746" s="1" t="str">
        <x:v>Standard Class</x:v>
      </x:c>
      <x:c r="D7746" s="1" t="str">
        <x:v>Europe</x:v>
      </x:c>
      <x:c r="E7746" s="1" t="str">
        <x:v>PENDING</x:v>
      </x:c>
      <x:c r="F7746" s="1" t="str">
        <x:v>Late delivery</x:v>
      </x:c>
      <x:c r="G7746" s="6" t="n">
        <x:v>5</x:v>
      </x:c>
      <x:c r="H7746" s="6" t="n">
        <x:v>4</x:v>
      </x:c>
      <x:c r="I7746" s="6" t="n">
        <x:f>G7746-H7746</x:f>
        <x:v>1</x:v>
      </x:c>
      <x:c r="J7746" s="6" t="n">
        <x:f>IF(OR(E7746="CANCELED",E7746="SUSPECTED_FRAUD",F7746="Shipping canceled"),0,1)</x:f>
        <x:v>1</x:v>
      </x:c>
      <x:c r="K7746" s="6" t="n">
        <x:f>IF(G7746&gt;H7746,1,0)</x:f>
        <x:v>1</x:v>
      </x:c>
      <x:c r="L7746" s="6" t="n">
        <x:f>J7746*K7746</x:f>
        <x:v>1</x:v>
      </x:c>
    </x:row>
    <x:row r="7747">
      <x:c r="A7747" s="1" t="n">
        <x:v>62072</x:v>
      </x:c>
      <x:c r="B7747" s="5" t="d">
        <x:v>2017-06-25T00:00:00.000Z</x:v>
      </x:c>
      <x:c r="C7747" s="1" t="str">
        <x:v>Second Class</x:v>
      </x:c>
      <x:c r="D7747" s="1" t="str">
        <x:v>Europe</x:v>
      </x:c>
      <x:c r="E7747" s="1" t="str">
        <x:v>ON_HOLD</x:v>
      </x:c>
      <x:c r="F7747" s="1" t="str">
        <x:v>Late delivery</x:v>
      </x:c>
      <x:c r="G7747" s="6" t="n">
        <x:v>3</x:v>
      </x:c>
      <x:c r="H7747" s="6" t="n">
        <x:v>2</x:v>
      </x:c>
      <x:c r="I7747" s="6" t="n">
        <x:f>G7747-H7747</x:f>
        <x:v>1</x:v>
      </x:c>
      <x:c r="J7747" s="6" t="n">
        <x:f>IF(OR(E7747="CANCELED",E7747="SUSPECTED_FRAUD",F7747="Shipping canceled"),0,1)</x:f>
        <x:v>1</x:v>
      </x:c>
      <x:c r="K7747" s="6" t="n">
        <x:f>IF(G7747&gt;H7747,1,0)</x:f>
        <x:v>1</x:v>
      </x:c>
      <x:c r="L7747" s="6" t="n">
        <x:f>J7747*K7747</x:f>
        <x:v>1</x:v>
      </x:c>
    </x:row>
    <x:row r="7748">
      <x:c r="A7748" s="1" t="n">
        <x:v>62076</x:v>
      </x:c>
      <x:c r="B7748" s="5" t="d">
        <x:v>2017-06-25T00:00:00.000Z</x:v>
      </x:c>
      <x:c r="C7748" s="1" t="str">
        <x:v>Standard Class</x:v>
      </x:c>
      <x:c r="D7748" s="1" t="str">
        <x:v>Europe</x:v>
      </x:c>
      <x:c r="E7748" s="1" t="str">
        <x:v>ON_HOLD</x:v>
      </x:c>
      <x:c r="F7748" s="1" t="str">
        <x:v>Advance shipping</x:v>
      </x:c>
      <x:c r="G7748" s="6" t="n">
        <x:v>2</x:v>
      </x:c>
      <x:c r="H7748" s="6" t="n">
        <x:v>4</x:v>
      </x:c>
      <x:c r="I7748" s="6" t="n">
        <x:f>G7748-H7748</x:f>
        <x:v>-2</x:v>
      </x:c>
      <x:c r="J7748" s="6" t="n">
        <x:f>IF(OR(E7748="CANCELED",E7748="SUSPECTED_FRAUD",F7748="Shipping canceled"),0,1)</x:f>
        <x:v>1</x:v>
      </x:c>
      <x:c r="K7748" s="6" t="n">
        <x:f>IF(G7748&gt;H7748,1,0)</x:f>
        <x:v>0</x:v>
      </x:c>
      <x:c r="L7748" s="6" t="n">
        <x:f>J7748*K7748</x:f>
        <x:v>0</x:v>
      </x:c>
    </x:row>
    <x:row r="7749">
      <x:c r="A7749" s="1" t="n">
        <x:v>62080</x:v>
      </x:c>
      <x:c r="B7749" s="5" t="d">
        <x:v>2017-06-25T00:00:00.000Z</x:v>
      </x:c>
      <x:c r="C7749" s="1" t="str">
        <x:v>Standard Class</x:v>
      </x:c>
      <x:c r="D7749" s="1" t="str">
        <x:v>Europe</x:v>
      </x:c>
      <x:c r="E7749" s="1" t="str">
        <x:v>COMPLETE</x:v>
      </x:c>
      <x:c r="F7749" s="1" t="str">
        <x:v>Late delivery</x:v>
      </x:c>
      <x:c r="G7749" s="6" t="n">
        <x:v>6</x:v>
      </x:c>
      <x:c r="H7749" s="6" t="n">
        <x:v>4</x:v>
      </x:c>
      <x:c r="I7749" s="6" t="n">
        <x:f>G7749-H7749</x:f>
        <x:v>2</x:v>
      </x:c>
      <x:c r="J7749" s="6" t="n">
        <x:f>IF(OR(E7749="CANCELED",E7749="SUSPECTED_FRAUD",F7749="Shipping canceled"),0,1)</x:f>
        <x:v>1</x:v>
      </x:c>
      <x:c r="K7749" s="6" t="n">
        <x:f>IF(G7749&gt;H7749,1,0)</x:f>
        <x:v>1</x:v>
      </x:c>
      <x:c r="L7749" s="6" t="n">
        <x:f>J7749*K7749</x:f>
        <x:v>1</x:v>
      </x:c>
    </x:row>
    <x:row r="7750">
      <x:c r="A7750" s="1" t="n">
        <x:v>62086</x:v>
      </x:c>
      <x:c r="B7750" s="5" t="d">
        <x:v>2017-06-25T00:00:00.000Z</x:v>
      </x:c>
      <x:c r="C7750" s="1" t="str">
        <x:v>Standard Class</x:v>
      </x:c>
      <x:c r="D7750" s="1" t="str">
        <x:v>Europe</x:v>
      </x:c>
      <x:c r="E7750" s="1" t="str">
        <x:v>PENDING</x:v>
      </x:c>
      <x:c r="F7750" s="1" t="str">
        <x:v>Advance shipping</x:v>
      </x:c>
      <x:c r="G7750" s="6" t="n">
        <x:v>2</x:v>
      </x:c>
      <x:c r="H7750" s="6" t="n">
        <x:v>4</x:v>
      </x:c>
      <x:c r="I7750" s="6" t="n">
        <x:f>G7750-H7750</x:f>
        <x:v>-2</x:v>
      </x:c>
      <x:c r="J7750" s="6" t="n">
        <x:f>IF(OR(E7750="CANCELED",E7750="SUSPECTED_FRAUD",F7750="Shipping canceled"),0,1)</x:f>
        <x:v>1</x:v>
      </x:c>
      <x:c r="K7750" s="6" t="n">
        <x:f>IF(G7750&gt;H7750,1,0)</x:f>
        <x:v>0</x:v>
      </x:c>
      <x:c r="L7750" s="6" t="n">
        <x:f>J7750*K7750</x:f>
        <x:v>0</x:v>
      </x:c>
    </x:row>
    <x:row r="7751">
      <x:c r="A7751" s="1" t="n">
        <x:v>62103</x:v>
      </x:c>
      <x:c r="B7751" s="5" t="d">
        <x:v>2017-06-25T00:00:00.000Z</x:v>
      </x:c>
      <x:c r="C7751" s="1" t="str">
        <x:v>Standard Class</x:v>
      </x:c>
      <x:c r="D7751" s="1" t="str">
        <x:v>Europe</x:v>
      </x:c>
      <x:c r="E7751" s="1" t="str">
        <x:v>COMPLETE</x:v>
      </x:c>
      <x:c r="F7751" s="1" t="str">
        <x:v>Shipping on time</x:v>
      </x:c>
      <x:c r="G7751" s="6" t="n">
        <x:v>4</x:v>
      </x:c>
      <x:c r="H7751" s="6" t="n">
        <x:v>4</x:v>
      </x:c>
      <x:c r="I7751" s="6" t="n">
        <x:f>G7751-H7751</x:f>
        <x:v>0</x:v>
      </x:c>
      <x:c r="J7751" s="6" t="n">
        <x:f>IF(OR(E7751="CANCELED",E7751="SUSPECTED_FRAUD",F7751="Shipping canceled"),0,1)</x:f>
        <x:v>1</x:v>
      </x:c>
      <x:c r="K7751" s="6" t="n">
        <x:f>IF(G7751&gt;H7751,1,0)</x:f>
        <x:v>0</x:v>
      </x:c>
      <x:c r="L7751" s="6" t="n">
        <x:f>J7751*K7751</x:f>
        <x:v>0</x:v>
      </x:c>
    </x:row>
    <x:row r="7752">
      <x:c r="A7752" s="1" t="n">
        <x:v>62110</x:v>
      </x:c>
      <x:c r="B7752" s="5" t="d">
        <x:v>2017-06-25T00:00:00.000Z</x:v>
      </x:c>
      <x:c r="C7752" s="1" t="str">
        <x:v>Standard Class</x:v>
      </x:c>
      <x:c r="D7752" s="1" t="str">
        <x:v>Europe</x:v>
      </x:c>
      <x:c r="E7752" s="1" t="str">
        <x:v>COMPLETE</x:v>
      </x:c>
      <x:c r="F7752" s="1" t="str">
        <x:v>Late delivery</x:v>
      </x:c>
      <x:c r="G7752" s="6" t="n">
        <x:v>6</x:v>
      </x:c>
      <x:c r="H7752" s="6" t="n">
        <x:v>4</x:v>
      </x:c>
      <x:c r="I7752" s="6" t="n">
        <x:f>G7752-H7752</x:f>
        <x:v>2</x:v>
      </x:c>
      <x:c r="J7752" s="6" t="n">
        <x:f>IF(OR(E7752="CANCELED",E7752="SUSPECTED_FRAUD",F7752="Shipping canceled"),0,1)</x:f>
        <x:v>1</x:v>
      </x:c>
      <x:c r="K7752" s="6" t="n">
        <x:f>IF(G7752&gt;H7752,1,0)</x:f>
        <x:v>1</x:v>
      </x:c>
      <x:c r="L7752" s="6" t="n">
        <x:f>J7752*K7752</x:f>
        <x:v>1</x:v>
      </x:c>
    </x:row>
    <x:row r="7753">
      <x:c r="A7753" s="1" t="n">
        <x:v>62117</x:v>
      </x:c>
      <x:c r="B7753" s="5" t="d">
        <x:v>2017-06-25T00:00:00.000Z</x:v>
      </x:c>
      <x:c r="C7753" s="1" t="str">
        <x:v>Second Class</x:v>
      </x:c>
      <x:c r="D7753" s="1" t="str">
        <x:v>Europe</x:v>
      </x:c>
      <x:c r="E7753" s="1" t="str">
        <x:v>COMPLETE</x:v>
      </x:c>
      <x:c r="F7753" s="1" t="str">
        <x:v>Late delivery</x:v>
      </x:c>
      <x:c r="G7753" s="6" t="n">
        <x:v>3</x:v>
      </x:c>
      <x:c r="H7753" s="6" t="n">
        <x:v>2</x:v>
      </x:c>
      <x:c r="I7753" s="6" t="n">
        <x:f>G7753-H7753</x:f>
        <x:v>1</x:v>
      </x:c>
      <x:c r="J7753" s="6" t="n">
        <x:f>IF(OR(E7753="CANCELED",E7753="SUSPECTED_FRAUD",F7753="Shipping canceled"),0,1)</x:f>
        <x:v>1</x:v>
      </x:c>
      <x:c r="K7753" s="6" t="n">
        <x:f>IF(G7753&gt;H7753,1,0)</x:f>
        <x:v>1</x:v>
      </x:c>
      <x:c r="L7753" s="6" t="n">
        <x:f>J7753*K7753</x:f>
        <x:v>1</x:v>
      </x:c>
    </x:row>
    <x:row r="7754">
      <x:c r="A7754" s="1" t="n">
        <x:v>62125</x:v>
      </x:c>
      <x:c r="B7754" s="5" t="d">
        <x:v>2017-06-25T00:00:00.000Z</x:v>
      </x:c>
      <x:c r="C7754" s="1" t="str">
        <x:v>Standard Class</x:v>
      </x:c>
      <x:c r="D7754" s="1" t="str">
        <x:v>Europe</x:v>
      </x:c>
      <x:c r="E7754" s="1" t="str">
        <x:v>COMPLETE</x:v>
      </x:c>
      <x:c r="F7754" s="1" t="str">
        <x:v>Late delivery</x:v>
      </x:c>
      <x:c r="G7754" s="6" t="n">
        <x:v>6</x:v>
      </x:c>
      <x:c r="H7754" s="6" t="n">
        <x:v>4</x:v>
      </x:c>
      <x:c r="I7754" s="6" t="n">
        <x:f>G7754-H7754</x:f>
        <x:v>2</x:v>
      </x:c>
      <x:c r="J7754" s="6" t="n">
        <x:f>IF(OR(E7754="CANCELED",E7754="SUSPECTED_FRAUD",F7754="Shipping canceled"),0,1)</x:f>
        <x:v>1</x:v>
      </x:c>
      <x:c r="K7754" s="6" t="n">
        <x:f>IF(G7754&gt;H7754,1,0)</x:f>
        <x:v>1</x:v>
      </x:c>
      <x:c r="L7754" s="6" t="n">
        <x:f>J7754*K7754</x:f>
        <x:v>1</x:v>
      </x:c>
    </x:row>
    <x:row r="7755">
      <x:c r="A7755" s="1" t="n">
        <x:v>62127</x:v>
      </x:c>
      <x:c r="B7755" s="5" t="d">
        <x:v>2017-06-25T00:00:00.000Z</x:v>
      </x:c>
      <x:c r="C7755" s="1" t="str">
        <x:v>Standard Class</x:v>
      </x:c>
      <x:c r="D7755" s="1" t="str">
        <x:v>Europe</x:v>
      </x:c>
      <x:c r="E7755" s="1" t="str">
        <x:v>COMPLETE</x:v>
      </x:c>
      <x:c r="F7755" s="1" t="str">
        <x:v>Advance shipping</x:v>
      </x:c>
      <x:c r="G7755" s="6" t="n">
        <x:v>3</x:v>
      </x:c>
      <x:c r="H7755" s="6" t="n">
        <x:v>4</x:v>
      </x:c>
      <x:c r="I7755" s="6" t="n">
        <x:f>G7755-H7755</x:f>
        <x:v>-1</x:v>
      </x:c>
      <x:c r="J7755" s="6" t="n">
        <x:f>IF(OR(E7755="CANCELED",E7755="SUSPECTED_FRAUD",F7755="Shipping canceled"),0,1)</x:f>
        <x:v>1</x:v>
      </x:c>
      <x:c r="K7755" s="6" t="n">
        <x:f>IF(G7755&gt;H7755,1,0)</x:f>
        <x:v>0</x:v>
      </x:c>
      <x:c r="L7755" s="6" t="n">
        <x:f>J7755*K7755</x:f>
        <x:v>0</x:v>
      </x:c>
    </x:row>
    <x:row r="7756">
      <x:c r="A7756" s="1" t="n">
        <x:v>62130</x:v>
      </x:c>
      <x:c r="B7756" s="5" t="d">
        <x:v>2017-06-25T00:00:00.000Z</x:v>
      </x:c>
      <x:c r="C7756" s="1" t="str">
        <x:v>Standard Class</x:v>
      </x:c>
      <x:c r="D7756" s="1" t="str">
        <x:v>Europe</x:v>
      </x:c>
      <x:c r="E7756" s="1" t="str">
        <x:v>PROCESSING</x:v>
      </x:c>
      <x:c r="F7756" s="1" t="str">
        <x:v>Late delivery</x:v>
      </x:c>
      <x:c r="G7756" s="6" t="n">
        <x:v>6</x:v>
      </x:c>
      <x:c r="H7756" s="6" t="n">
        <x:v>4</x:v>
      </x:c>
      <x:c r="I7756" s="6" t="n">
        <x:f>G7756-H7756</x:f>
        <x:v>2</x:v>
      </x:c>
      <x:c r="J7756" s="6" t="n">
        <x:f>IF(OR(E7756="CANCELED",E7756="SUSPECTED_FRAUD",F7756="Shipping canceled"),0,1)</x:f>
        <x:v>1</x:v>
      </x:c>
      <x:c r="K7756" s="6" t="n">
        <x:f>IF(G7756&gt;H7756,1,0)</x:f>
        <x:v>1</x:v>
      </x:c>
      <x:c r="L7756" s="6" t="n">
        <x:f>J7756*K7756</x:f>
        <x:v>1</x:v>
      </x:c>
    </x:row>
    <x:row r="7757">
      <x:c r="A7757" s="1" t="n">
        <x:v>62135</x:v>
      </x:c>
      <x:c r="B7757" s="5" t="d">
        <x:v>2017-06-26T00:00:00.000Z</x:v>
      </x:c>
      <x:c r="C7757" s="1" t="str">
        <x:v>Standard Class</x:v>
      </x:c>
      <x:c r="D7757" s="1" t="str">
        <x:v>Europe</x:v>
      </x:c>
      <x:c r="E7757" s="1" t="str">
        <x:v>COMPLETE</x:v>
      </x:c>
      <x:c r="F7757" s="1" t="str">
        <x:v>Late delivery</x:v>
      </x:c>
      <x:c r="G7757" s="6" t="n">
        <x:v>6</x:v>
      </x:c>
      <x:c r="H7757" s="6" t="n">
        <x:v>4</x:v>
      </x:c>
      <x:c r="I7757" s="6" t="n">
        <x:f>G7757-H7757</x:f>
        <x:v>2</x:v>
      </x:c>
      <x:c r="J7757" s="6" t="n">
        <x:f>IF(OR(E7757="CANCELED",E7757="SUSPECTED_FRAUD",F7757="Shipping canceled"),0,1)</x:f>
        <x:v>1</x:v>
      </x:c>
      <x:c r="K7757" s="6" t="n">
        <x:f>IF(G7757&gt;H7757,1,0)</x:f>
        <x:v>1</x:v>
      </x:c>
      <x:c r="L7757" s="6" t="n">
        <x:f>J7757*K7757</x:f>
        <x:v>1</x:v>
      </x:c>
    </x:row>
    <x:row r="7758">
      <x:c r="A7758" s="1" t="n">
        <x:v>62136</x:v>
      </x:c>
      <x:c r="B7758" s="5" t="d">
        <x:v>2017-06-26T00:00:00.000Z</x:v>
      </x:c>
      <x:c r="C7758" s="1" t="str">
        <x:v>First Class</x:v>
      </x:c>
      <x:c r="D7758" s="1" t="str">
        <x:v>Europe</x:v>
      </x:c>
      <x:c r="E7758" s="1" t="str">
        <x:v>PENDING_PAYMENT</x:v>
      </x:c>
      <x:c r="F7758" s="1" t="str">
        <x:v>Late delivery</x:v>
      </x:c>
      <x:c r="G7758" s="6" t="n">
        <x:v>2</x:v>
      </x:c>
      <x:c r="H7758" s="6" t="n">
        <x:v>1</x:v>
      </x:c>
      <x:c r="I7758" s="6" t="n">
        <x:f>G7758-H7758</x:f>
        <x:v>1</x:v>
      </x:c>
      <x:c r="J7758" s="6" t="n">
        <x:f>IF(OR(E7758="CANCELED",E7758="SUSPECTED_FRAUD",F7758="Shipping canceled"),0,1)</x:f>
        <x:v>1</x:v>
      </x:c>
      <x:c r="K7758" s="6" t="n">
        <x:f>IF(G7758&gt;H7758,1,0)</x:f>
        <x:v>1</x:v>
      </x:c>
      <x:c r="L7758" s="6" t="n">
        <x:f>J7758*K7758</x:f>
        <x:v>1</x:v>
      </x:c>
    </x:row>
    <x:row r="7759">
      <x:c r="A7759" s="1" t="n">
        <x:v>62141</x:v>
      </x:c>
      <x:c r="B7759" s="5" t="d">
        <x:v>2017-06-26T00:00:00.000Z</x:v>
      </x:c>
      <x:c r="C7759" s="1" t="str">
        <x:v>Standard Class</x:v>
      </x:c>
      <x:c r="D7759" s="1" t="str">
        <x:v>Europe</x:v>
      </x:c>
      <x:c r="E7759" s="1" t="str">
        <x:v>COMPLETE</x:v>
      </x:c>
      <x:c r="F7759" s="1" t="str">
        <x:v>Advance shipping</x:v>
      </x:c>
      <x:c r="G7759" s="6" t="n">
        <x:v>2</x:v>
      </x:c>
      <x:c r="H7759" s="6" t="n">
        <x:v>4</x:v>
      </x:c>
      <x:c r="I7759" s="6" t="n">
        <x:f>G7759-H7759</x:f>
        <x:v>-2</x:v>
      </x:c>
      <x:c r="J7759" s="6" t="n">
        <x:f>IF(OR(E7759="CANCELED",E7759="SUSPECTED_FRAUD",F7759="Shipping canceled"),0,1)</x:f>
        <x:v>1</x:v>
      </x:c>
      <x:c r="K7759" s="6" t="n">
        <x:f>IF(G7759&gt;H7759,1,0)</x:f>
        <x:v>0</x:v>
      </x:c>
      <x:c r="L7759" s="6" t="n">
        <x:f>J7759*K7759</x:f>
        <x:v>0</x:v>
      </x:c>
    </x:row>
    <x:row r="7760">
      <x:c r="A7760" s="1" t="n">
        <x:v>62148</x:v>
      </x:c>
      <x:c r="B7760" s="5" t="d">
        <x:v>2017-06-26T00:00:00.000Z</x:v>
      </x:c>
      <x:c r="C7760" s="1" t="str">
        <x:v>Second Class</x:v>
      </x:c>
      <x:c r="D7760" s="1" t="str">
        <x:v>Europe</x:v>
      </x:c>
      <x:c r="E7760" s="1" t="str">
        <x:v>CANCELED</x:v>
      </x:c>
      <x:c r="F7760" s="1" t="str">
        <x:v>Shipping canceled</x:v>
      </x:c>
      <x:c r="G7760" s="6" t="n">
        <x:v>4</x:v>
      </x:c>
      <x:c r="H7760" s="6" t="n">
        <x:v>2</x:v>
      </x:c>
      <x:c r="I7760" s="6" t="n">
        <x:f>G7760-H7760</x:f>
        <x:v>2</x:v>
      </x:c>
      <x:c r="J7760" s="6" t="n">
        <x:f>IF(OR(E7760="CANCELED",E7760="SUSPECTED_FRAUD",F7760="Shipping canceled"),0,1)</x:f>
        <x:v>0</x:v>
      </x:c>
      <x:c r="K7760" s="6" t="n">
        <x:f>IF(G7760&gt;H7760,1,0)</x:f>
        <x:v>1</x:v>
      </x:c>
      <x:c r="L7760" s="6" t="n">
        <x:f>J7760*K7760</x:f>
        <x:v>0</x:v>
      </x:c>
    </x:row>
    <x:row r="7761">
      <x:c r="A7761" s="1" t="n">
        <x:v>62161</x:v>
      </x:c>
      <x:c r="B7761" s="5" t="d">
        <x:v>2017-06-26T00:00:00.000Z</x:v>
      </x:c>
      <x:c r="C7761" s="1" t="str">
        <x:v>Standard Class</x:v>
      </x:c>
      <x:c r="D7761" s="1" t="str">
        <x:v>Europe</x:v>
      </x:c>
      <x:c r="E7761" s="1" t="str">
        <x:v>COMPLETE</x:v>
      </x:c>
      <x:c r="F7761" s="1" t="str">
        <x:v>Advance shipping</x:v>
      </x:c>
      <x:c r="G7761" s="6" t="n">
        <x:v>2</x:v>
      </x:c>
      <x:c r="H7761" s="6" t="n">
        <x:v>4</x:v>
      </x:c>
      <x:c r="I7761" s="6" t="n">
        <x:f>G7761-H7761</x:f>
        <x:v>-2</x:v>
      </x:c>
      <x:c r="J7761" s="6" t="n">
        <x:f>IF(OR(E7761="CANCELED",E7761="SUSPECTED_FRAUD",F7761="Shipping canceled"),0,1)</x:f>
        <x:v>1</x:v>
      </x:c>
      <x:c r="K7761" s="6" t="n">
        <x:f>IF(G7761&gt;H7761,1,0)</x:f>
        <x:v>0</x:v>
      </x:c>
      <x:c r="L7761" s="6" t="n">
        <x:f>J7761*K7761</x:f>
        <x:v>0</x:v>
      </x:c>
    </x:row>
    <x:row r="7762">
      <x:c r="A7762" s="1" t="n">
        <x:v>62193</x:v>
      </x:c>
      <x:c r="B7762" s="5" t="d">
        <x:v>2017-06-26T00:00:00.000Z</x:v>
      </x:c>
      <x:c r="C7762" s="1" t="str">
        <x:v>Second Class</x:v>
      </x:c>
      <x:c r="D7762" s="1" t="str">
        <x:v>Europe</x:v>
      </x:c>
      <x:c r="E7762" s="1" t="str">
        <x:v>COMPLETE</x:v>
      </x:c>
      <x:c r="F7762" s="1" t="str">
        <x:v>Late delivery</x:v>
      </x:c>
      <x:c r="G7762" s="6" t="n">
        <x:v>4</x:v>
      </x:c>
      <x:c r="H7762" s="6" t="n">
        <x:v>2</x:v>
      </x:c>
      <x:c r="I7762" s="6" t="n">
        <x:f>G7762-H7762</x:f>
        <x:v>2</x:v>
      </x:c>
      <x:c r="J7762" s="6" t="n">
        <x:f>IF(OR(E7762="CANCELED",E7762="SUSPECTED_FRAUD",F7762="Shipping canceled"),0,1)</x:f>
        <x:v>1</x:v>
      </x:c>
      <x:c r="K7762" s="6" t="n">
        <x:f>IF(G7762&gt;H7762,1,0)</x:f>
        <x:v>1</x:v>
      </x:c>
      <x:c r="L7762" s="6" t="n">
        <x:f>J7762*K7762</x:f>
        <x:v>1</x:v>
      </x:c>
    </x:row>
    <x:row r="7763">
      <x:c r="A7763" s="1" t="n">
        <x:v>62197</x:v>
      </x:c>
      <x:c r="B7763" s="5" t="d">
        <x:v>2017-06-26T00:00:00.000Z</x:v>
      </x:c>
      <x:c r="C7763" s="1" t="str">
        <x:v>Standard Class</x:v>
      </x:c>
      <x:c r="D7763" s="1" t="str">
        <x:v>Europe</x:v>
      </x:c>
      <x:c r="E7763" s="1" t="str">
        <x:v>PROCESSING</x:v>
      </x:c>
      <x:c r="F7763" s="1" t="str">
        <x:v>Advance shipping</x:v>
      </x:c>
      <x:c r="G7763" s="6" t="n">
        <x:v>3</x:v>
      </x:c>
      <x:c r="H7763" s="6" t="n">
        <x:v>4</x:v>
      </x:c>
      <x:c r="I7763" s="6" t="n">
        <x:f>G7763-H7763</x:f>
        <x:v>-1</x:v>
      </x:c>
      <x:c r="J7763" s="6" t="n">
        <x:f>IF(OR(E7763="CANCELED",E7763="SUSPECTED_FRAUD",F7763="Shipping canceled"),0,1)</x:f>
        <x:v>1</x:v>
      </x:c>
      <x:c r="K7763" s="6" t="n">
        <x:f>IF(G7763&gt;H7763,1,0)</x:f>
        <x:v>0</x:v>
      </x:c>
      <x:c r="L7763" s="6" t="n">
        <x:f>J7763*K7763</x:f>
        <x:v>0</x:v>
      </x:c>
    </x:row>
    <x:row r="7764">
      <x:c r="A7764" s="1" t="n">
        <x:v>62211</x:v>
      </x:c>
      <x:c r="B7764" s="5" t="d">
        <x:v>2017-06-27T00:00:00.000Z</x:v>
      </x:c>
      <x:c r="C7764" s="1" t="str">
        <x:v>First Class</x:v>
      </x:c>
      <x:c r="D7764" s="1" t="str">
        <x:v>Europe</x:v>
      </x:c>
      <x:c r="E7764" s="1" t="str">
        <x:v>CLOSED</x:v>
      </x:c>
      <x:c r="F7764" s="1" t="str">
        <x:v>Late delivery</x:v>
      </x:c>
      <x:c r="G7764" s="6" t="n">
        <x:v>2</x:v>
      </x:c>
      <x:c r="H7764" s="6" t="n">
        <x:v>1</x:v>
      </x:c>
      <x:c r="I7764" s="6" t="n">
        <x:f>G7764-H7764</x:f>
        <x:v>1</x:v>
      </x:c>
      <x:c r="J7764" s="6" t="n">
        <x:f>IF(OR(E7764="CANCELED",E7764="SUSPECTED_FRAUD",F7764="Shipping canceled"),0,1)</x:f>
        <x:v>1</x:v>
      </x:c>
      <x:c r="K7764" s="6" t="n">
        <x:f>IF(G7764&gt;H7764,1,0)</x:f>
        <x:v>1</x:v>
      </x:c>
      <x:c r="L7764" s="6" t="n">
        <x:f>J7764*K7764</x:f>
        <x:v>1</x:v>
      </x:c>
    </x:row>
    <x:row r="7765">
      <x:c r="A7765" s="1" t="n">
        <x:v>62216</x:v>
      </x:c>
      <x:c r="B7765" s="5" t="d">
        <x:v>2017-06-27T00:00:00.000Z</x:v>
      </x:c>
      <x:c r="C7765" s="1" t="str">
        <x:v>Standard Class</x:v>
      </x:c>
      <x:c r="D7765" s="1" t="str">
        <x:v>Europe</x:v>
      </x:c>
      <x:c r="E7765" s="1" t="str">
        <x:v>PROCESSING</x:v>
      </x:c>
      <x:c r="F7765" s="1" t="str">
        <x:v>Advance shipping</x:v>
      </x:c>
      <x:c r="G7765" s="6" t="n">
        <x:v>2</x:v>
      </x:c>
      <x:c r="H7765" s="6" t="n">
        <x:v>4</x:v>
      </x:c>
      <x:c r="I7765" s="6" t="n">
        <x:f>G7765-H7765</x:f>
        <x:v>-2</x:v>
      </x:c>
      <x:c r="J7765" s="6" t="n">
        <x:f>IF(OR(E7765="CANCELED",E7765="SUSPECTED_FRAUD",F7765="Shipping canceled"),0,1)</x:f>
        <x:v>1</x:v>
      </x:c>
      <x:c r="K7765" s="6" t="n">
        <x:f>IF(G7765&gt;H7765,1,0)</x:f>
        <x:v>0</x:v>
      </x:c>
      <x:c r="L7765" s="6" t="n">
        <x:f>J7765*K7765</x:f>
        <x:v>0</x:v>
      </x:c>
    </x:row>
    <x:row r="7766">
      <x:c r="A7766" s="1" t="n">
        <x:v>62231</x:v>
      </x:c>
      <x:c r="B7766" s="5" t="d">
        <x:v>2017-06-27T00:00:00.000Z</x:v>
      </x:c>
      <x:c r="C7766" s="1" t="str">
        <x:v>First Class</x:v>
      </x:c>
      <x:c r="D7766" s="1" t="str">
        <x:v>Europe</x:v>
      </x:c>
      <x:c r="E7766" s="1" t="str">
        <x:v>CLOSED</x:v>
      </x:c>
      <x:c r="F7766" s="1" t="str">
        <x:v>Late delivery</x:v>
      </x:c>
      <x:c r="G7766" s="6" t="n">
        <x:v>2</x:v>
      </x:c>
      <x:c r="H7766" s="6" t="n">
        <x:v>1</x:v>
      </x:c>
      <x:c r="I7766" s="6" t="n">
        <x:f>G7766-H7766</x:f>
        <x:v>1</x:v>
      </x:c>
      <x:c r="J7766" s="6" t="n">
        <x:f>IF(OR(E7766="CANCELED",E7766="SUSPECTED_FRAUD",F7766="Shipping canceled"),0,1)</x:f>
        <x:v>1</x:v>
      </x:c>
      <x:c r="K7766" s="6" t="n">
        <x:f>IF(G7766&gt;H7766,1,0)</x:f>
        <x:v>1</x:v>
      </x:c>
      <x:c r="L7766" s="6" t="n">
        <x:f>J7766*K7766</x:f>
        <x:v>1</x:v>
      </x:c>
    </x:row>
    <x:row r="7767">
      <x:c r="A7767" s="1" t="n">
        <x:v>62237</x:v>
      </x:c>
      <x:c r="B7767" s="5" t="d">
        <x:v>2017-06-27T00:00:00.000Z</x:v>
      </x:c>
      <x:c r="C7767" s="1" t="str">
        <x:v>Standard Class</x:v>
      </x:c>
      <x:c r="D7767" s="1" t="str">
        <x:v>Europe</x:v>
      </x:c>
      <x:c r="E7767" s="1" t="str">
        <x:v>COMPLETE</x:v>
      </x:c>
      <x:c r="F7767" s="1" t="str">
        <x:v>Advance shipping</x:v>
      </x:c>
      <x:c r="G7767" s="6" t="n">
        <x:v>3</x:v>
      </x:c>
      <x:c r="H7767" s="6" t="n">
        <x:v>4</x:v>
      </x:c>
      <x:c r="I7767" s="6" t="n">
        <x:f>G7767-H7767</x:f>
        <x:v>-1</x:v>
      </x:c>
      <x:c r="J7767" s="6" t="n">
        <x:f>IF(OR(E7767="CANCELED",E7767="SUSPECTED_FRAUD",F7767="Shipping canceled"),0,1)</x:f>
        <x:v>1</x:v>
      </x:c>
      <x:c r="K7767" s="6" t="n">
        <x:f>IF(G7767&gt;H7767,1,0)</x:f>
        <x:v>0</x:v>
      </x:c>
      <x:c r="L7767" s="6" t="n">
        <x:f>J7767*K7767</x:f>
        <x:v>0</x:v>
      </x:c>
    </x:row>
    <x:row r="7768">
      <x:c r="A7768" s="1" t="n">
        <x:v>62255</x:v>
      </x:c>
      <x:c r="B7768" s="5" t="d">
        <x:v>2017-06-27T00:00:00.000Z</x:v>
      </x:c>
      <x:c r="C7768" s="1" t="str">
        <x:v>Standard Class</x:v>
      </x:c>
      <x:c r="D7768" s="1" t="str">
        <x:v>Europe</x:v>
      </x:c>
      <x:c r="E7768" s="1" t="str">
        <x:v>COMPLETE</x:v>
      </x:c>
      <x:c r="F7768" s="1" t="str">
        <x:v>Late delivery</x:v>
      </x:c>
      <x:c r="G7768" s="6" t="n">
        <x:v>6</x:v>
      </x:c>
      <x:c r="H7768" s="6" t="n">
        <x:v>4</x:v>
      </x:c>
      <x:c r="I7768" s="6" t="n">
        <x:f>G7768-H7768</x:f>
        <x:v>2</x:v>
      </x:c>
      <x:c r="J7768" s="6" t="n">
        <x:f>IF(OR(E7768="CANCELED",E7768="SUSPECTED_FRAUD",F7768="Shipping canceled"),0,1)</x:f>
        <x:v>1</x:v>
      </x:c>
      <x:c r="K7768" s="6" t="n">
        <x:f>IF(G7768&gt;H7768,1,0)</x:f>
        <x:v>1</x:v>
      </x:c>
      <x:c r="L7768" s="6" t="n">
        <x:f>J7768*K7768</x:f>
        <x:v>1</x:v>
      </x:c>
    </x:row>
    <x:row r="7769">
      <x:c r="A7769" s="1" t="n">
        <x:v>62259</x:v>
      </x:c>
      <x:c r="B7769" s="5" t="d">
        <x:v>2017-06-27T00:00:00.000Z</x:v>
      </x:c>
      <x:c r="C7769" s="1" t="str">
        <x:v>Standard Class</x:v>
      </x:c>
      <x:c r="D7769" s="1" t="str">
        <x:v>Europe</x:v>
      </x:c>
      <x:c r="E7769" s="1" t="str">
        <x:v>COMPLETE</x:v>
      </x:c>
      <x:c r="F7769" s="1" t="str">
        <x:v>Late delivery</x:v>
      </x:c>
      <x:c r="G7769" s="6" t="n">
        <x:v>5</x:v>
      </x:c>
      <x:c r="H7769" s="6" t="n">
        <x:v>4</x:v>
      </x:c>
      <x:c r="I7769" s="6" t="n">
        <x:f>G7769-H7769</x:f>
        <x:v>1</x:v>
      </x:c>
      <x:c r="J7769" s="6" t="n">
        <x:f>IF(OR(E7769="CANCELED",E7769="SUSPECTED_FRAUD",F7769="Shipping canceled"),0,1)</x:f>
        <x:v>1</x:v>
      </x:c>
      <x:c r="K7769" s="6" t="n">
        <x:f>IF(G7769&gt;H7769,1,0)</x:f>
        <x:v>1</x:v>
      </x:c>
      <x:c r="L7769" s="6" t="n">
        <x:f>J7769*K7769</x:f>
        <x:v>1</x:v>
      </x:c>
    </x:row>
    <x:row r="7770">
      <x:c r="A7770" s="1" t="n">
        <x:v>62260</x:v>
      </x:c>
      <x:c r="B7770" s="5" t="d">
        <x:v>2017-06-27T00:00:00.000Z</x:v>
      </x:c>
      <x:c r="C7770" s="1" t="str">
        <x:v>Standard Class</x:v>
      </x:c>
      <x:c r="D7770" s="1" t="str">
        <x:v>Europe</x:v>
      </x:c>
      <x:c r="E7770" s="1" t="str">
        <x:v>COMPLETE</x:v>
      </x:c>
      <x:c r="F7770" s="1" t="str">
        <x:v>Late delivery</x:v>
      </x:c>
      <x:c r="G7770" s="6" t="n">
        <x:v>6</x:v>
      </x:c>
      <x:c r="H7770" s="6" t="n">
        <x:v>4</x:v>
      </x:c>
      <x:c r="I7770" s="6" t="n">
        <x:f>G7770-H7770</x:f>
        <x:v>2</x:v>
      </x:c>
      <x:c r="J7770" s="6" t="n">
        <x:f>IF(OR(E7770="CANCELED",E7770="SUSPECTED_FRAUD",F7770="Shipping canceled"),0,1)</x:f>
        <x:v>1</x:v>
      </x:c>
      <x:c r="K7770" s="6" t="n">
        <x:f>IF(G7770&gt;H7770,1,0)</x:f>
        <x:v>1</x:v>
      </x:c>
      <x:c r="L7770" s="6" t="n">
        <x:f>J7770*K7770</x:f>
        <x:v>1</x:v>
      </x:c>
    </x:row>
    <x:row r="7771">
      <x:c r="A7771" s="1" t="n">
        <x:v>62279</x:v>
      </x:c>
      <x:c r="B7771" s="5" t="d">
        <x:v>2017-06-28T00:00:00.000Z</x:v>
      </x:c>
      <x:c r="C7771" s="1" t="str">
        <x:v>First Class</x:v>
      </x:c>
      <x:c r="D7771" s="1" t="str">
        <x:v>Europe</x:v>
      </x:c>
      <x:c r="E7771" s="1" t="str">
        <x:v>CLOSED</x:v>
      </x:c>
      <x:c r="F7771" s="1" t="str">
        <x:v>Late delivery</x:v>
      </x:c>
      <x:c r="G7771" s="6" t="n">
        <x:v>2</x:v>
      </x:c>
      <x:c r="H7771" s="6" t="n">
        <x:v>1</x:v>
      </x:c>
      <x:c r="I7771" s="6" t="n">
        <x:f>G7771-H7771</x:f>
        <x:v>1</x:v>
      </x:c>
      <x:c r="J7771" s="6" t="n">
        <x:f>IF(OR(E7771="CANCELED",E7771="SUSPECTED_FRAUD",F7771="Shipping canceled"),0,1)</x:f>
        <x:v>1</x:v>
      </x:c>
      <x:c r="K7771" s="6" t="n">
        <x:f>IF(G7771&gt;H7771,1,0)</x:f>
        <x:v>1</x:v>
      </x:c>
      <x:c r="L7771" s="6" t="n">
        <x:f>J7771*K7771</x:f>
        <x:v>1</x:v>
      </x:c>
    </x:row>
    <x:row r="7772">
      <x:c r="A7772" s="1" t="n">
        <x:v>62287</x:v>
      </x:c>
      <x:c r="B7772" s="5" t="d">
        <x:v>2017-06-28T00:00:00.000Z</x:v>
      </x:c>
      <x:c r="C7772" s="1" t="str">
        <x:v>Standard Class</x:v>
      </x:c>
      <x:c r="D7772" s="1" t="str">
        <x:v>Europe</x:v>
      </x:c>
      <x:c r="E7772" s="1" t="str">
        <x:v>COMPLETE</x:v>
      </x:c>
      <x:c r="F7772" s="1" t="str">
        <x:v>Advance shipping</x:v>
      </x:c>
      <x:c r="G7772" s="6" t="n">
        <x:v>3</x:v>
      </x:c>
      <x:c r="H7772" s="6" t="n">
        <x:v>4</x:v>
      </x:c>
      <x:c r="I7772" s="6" t="n">
        <x:f>G7772-H7772</x:f>
        <x:v>-1</x:v>
      </x:c>
      <x:c r="J7772" s="6" t="n">
        <x:f>IF(OR(E7772="CANCELED",E7772="SUSPECTED_FRAUD",F7772="Shipping canceled"),0,1)</x:f>
        <x:v>1</x:v>
      </x:c>
      <x:c r="K7772" s="6" t="n">
        <x:f>IF(G7772&gt;H7772,1,0)</x:f>
        <x:v>0</x:v>
      </x:c>
      <x:c r="L7772" s="6" t="n">
        <x:f>J7772*K7772</x:f>
        <x:v>0</x:v>
      </x:c>
    </x:row>
    <x:row r="7773">
      <x:c r="A7773" s="1" t="n">
        <x:v>62291</x:v>
      </x:c>
      <x:c r="B7773" s="5" t="d">
        <x:v>2017-06-28T00:00:00.000Z</x:v>
      </x:c>
      <x:c r="C7773" s="1" t="str">
        <x:v>Second Class</x:v>
      </x:c>
      <x:c r="D7773" s="1" t="str">
        <x:v>Europe</x:v>
      </x:c>
      <x:c r="E7773" s="1" t="str">
        <x:v>CLOSED</x:v>
      </x:c>
      <x:c r="F7773" s="1" t="str">
        <x:v>Shipping on time</x:v>
      </x:c>
      <x:c r="G7773" s="6" t="n">
        <x:v>2</x:v>
      </x:c>
      <x:c r="H7773" s="6" t="n">
        <x:v>2</x:v>
      </x:c>
      <x:c r="I7773" s="6" t="n">
        <x:f>G7773-H7773</x:f>
        <x:v>0</x:v>
      </x:c>
      <x:c r="J7773" s="6" t="n">
        <x:f>IF(OR(E7773="CANCELED",E7773="SUSPECTED_FRAUD",F7773="Shipping canceled"),0,1)</x:f>
        <x:v>1</x:v>
      </x:c>
      <x:c r="K7773" s="6" t="n">
        <x:f>IF(G7773&gt;H7773,1,0)</x:f>
        <x:v>0</x:v>
      </x:c>
      <x:c r="L7773" s="6" t="n">
        <x:f>J7773*K7773</x:f>
        <x:v>0</x:v>
      </x:c>
    </x:row>
    <x:row r="7774">
      <x:c r="A7774" s="1" t="n">
        <x:v>62294</x:v>
      </x:c>
      <x:c r="B7774" s="5" t="d">
        <x:v>2017-06-28T00:00:00.000Z</x:v>
      </x:c>
      <x:c r="C7774" s="1" t="str">
        <x:v>Standard Class</x:v>
      </x:c>
      <x:c r="D7774" s="1" t="str">
        <x:v>Europe</x:v>
      </x:c>
      <x:c r="E7774" s="1" t="str">
        <x:v>COMPLETE</x:v>
      </x:c>
      <x:c r="F7774" s="1" t="str">
        <x:v>Late delivery</x:v>
      </x:c>
      <x:c r="G7774" s="6" t="n">
        <x:v>5</x:v>
      </x:c>
      <x:c r="H7774" s="6" t="n">
        <x:v>4</x:v>
      </x:c>
      <x:c r="I7774" s="6" t="n">
        <x:f>G7774-H7774</x:f>
        <x:v>1</x:v>
      </x:c>
      <x:c r="J7774" s="6" t="n">
        <x:f>IF(OR(E7774="CANCELED",E7774="SUSPECTED_FRAUD",F7774="Shipping canceled"),0,1)</x:f>
        <x:v>1</x:v>
      </x:c>
      <x:c r="K7774" s="6" t="n">
        <x:f>IF(G7774&gt;H7774,1,0)</x:f>
        <x:v>1</x:v>
      </x:c>
      <x:c r="L7774" s="6" t="n">
        <x:f>J7774*K7774</x:f>
        <x:v>1</x:v>
      </x:c>
    </x:row>
    <x:row r="7775">
      <x:c r="A7775" s="1" t="n">
        <x:v>62306</x:v>
      </x:c>
      <x:c r="B7775" s="5" t="d">
        <x:v>2017-06-28T00:00:00.000Z</x:v>
      </x:c>
      <x:c r="C7775" s="1" t="str">
        <x:v>Standard Class</x:v>
      </x:c>
      <x:c r="D7775" s="1" t="str">
        <x:v>Europe</x:v>
      </x:c>
      <x:c r="E7775" s="1" t="str">
        <x:v>PENDING</x:v>
      </x:c>
      <x:c r="F7775" s="1" t="str">
        <x:v>Advance shipping</x:v>
      </x:c>
      <x:c r="G7775" s="6" t="n">
        <x:v>2</x:v>
      </x:c>
      <x:c r="H7775" s="6" t="n">
        <x:v>4</x:v>
      </x:c>
      <x:c r="I7775" s="6" t="n">
        <x:f>G7775-H7775</x:f>
        <x:v>-2</x:v>
      </x:c>
      <x:c r="J7775" s="6" t="n">
        <x:f>IF(OR(E7775="CANCELED",E7775="SUSPECTED_FRAUD",F7775="Shipping canceled"),0,1)</x:f>
        <x:v>1</x:v>
      </x:c>
      <x:c r="K7775" s="6" t="n">
        <x:f>IF(G7775&gt;H7775,1,0)</x:f>
        <x:v>0</x:v>
      </x:c>
      <x:c r="L7775" s="6" t="n">
        <x:f>J7775*K7775</x:f>
        <x:v>0</x:v>
      </x:c>
    </x:row>
    <x:row r="7776">
      <x:c r="A7776" s="1" t="n">
        <x:v>62310</x:v>
      </x:c>
      <x:c r="B7776" s="5" t="d">
        <x:v>2017-06-28T00:00:00.000Z</x:v>
      </x:c>
      <x:c r="C7776" s="1" t="str">
        <x:v>Standard Class</x:v>
      </x:c>
      <x:c r="D7776" s="1" t="str">
        <x:v>Europe</x:v>
      </x:c>
      <x:c r="E7776" s="1" t="str">
        <x:v>COMPLETE</x:v>
      </x:c>
      <x:c r="F7776" s="1" t="str">
        <x:v>Late delivery</x:v>
      </x:c>
      <x:c r="G7776" s="6" t="n">
        <x:v>6</x:v>
      </x:c>
      <x:c r="H7776" s="6" t="n">
        <x:v>4</x:v>
      </x:c>
      <x:c r="I7776" s="6" t="n">
        <x:f>G7776-H7776</x:f>
        <x:v>2</x:v>
      </x:c>
      <x:c r="J7776" s="6" t="n">
        <x:f>IF(OR(E7776="CANCELED",E7776="SUSPECTED_FRAUD",F7776="Shipping canceled"),0,1)</x:f>
        <x:v>1</x:v>
      </x:c>
      <x:c r="K7776" s="6" t="n">
        <x:f>IF(G7776&gt;H7776,1,0)</x:f>
        <x:v>1</x:v>
      </x:c>
      <x:c r="L7776" s="6" t="n">
        <x:f>J7776*K7776</x:f>
        <x:v>1</x:v>
      </x:c>
    </x:row>
    <x:row r="7777">
      <x:c r="A7777" s="1" t="n">
        <x:v>62314</x:v>
      </x:c>
      <x:c r="B7777" s="5" t="d">
        <x:v>2017-06-28T00:00:00.000Z</x:v>
      </x:c>
      <x:c r="C7777" s="1" t="str">
        <x:v>Standard Class</x:v>
      </x:c>
      <x:c r="D7777" s="1" t="str">
        <x:v>Europe</x:v>
      </x:c>
      <x:c r="E7777" s="1" t="str">
        <x:v>PENDING</x:v>
      </x:c>
      <x:c r="F7777" s="1" t="str">
        <x:v>Late delivery</x:v>
      </x:c>
      <x:c r="G7777" s="6" t="n">
        <x:v>5</x:v>
      </x:c>
      <x:c r="H7777" s="6" t="n">
        <x:v>4</x:v>
      </x:c>
      <x:c r="I7777" s="6" t="n">
        <x:f>G7777-H7777</x:f>
        <x:v>1</x:v>
      </x:c>
      <x:c r="J7777" s="6" t="n">
        <x:f>IF(OR(E7777="CANCELED",E7777="SUSPECTED_FRAUD",F7777="Shipping canceled"),0,1)</x:f>
        <x:v>1</x:v>
      </x:c>
      <x:c r="K7777" s="6" t="n">
        <x:f>IF(G7777&gt;H7777,1,0)</x:f>
        <x:v>1</x:v>
      </x:c>
      <x:c r="L7777" s="6" t="n">
        <x:f>J7777*K7777</x:f>
        <x:v>1</x:v>
      </x:c>
    </x:row>
    <x:row r="7778">
      <x:c r="A7778" s="1" t="n">
        <x:v>62323</x:v>
      </x:c>
      <x:c r="B7778" s="5" t="d">
        <x:v>2017-06-28T00:00:00.000Z</x:v>
      </x:c>
      <x:c r="C7778" s="1" t="str">
        <x:v>Standard Class</x:v>
      </x:c>
      <x:c r="D7778" s="1" t="str">
        <x:v>Europe</x:v>
      </x:c>
      <x:c r="E7778" s="1" t="str">
        <x:v>COMPLETE</x:v>
      </x:c>
      <x:c r="F7778" s="1" t="str">
        <x:v>Shipping on time</x:v>
      </x:c>
      <x:c r="G7778" s="6" t="n">
        <x:v>4</x:v>
      </x:c>
      <x:c r="H7778" s="6" t="n">
        <x:v>4</x:v>
      </x:c>
      <x:c r="I7778" s="6" t="n">
        <x:f>G7778-H7778</x:f>
        <x:v>0</x:v>
      </x:c>
      <x:c r="J7778" s="6" t="n">
        <x:f>IF(OR(E7778="CANCELED",E7778="SUSPECTED_FRAUD",F7778="Shipping canceled"),0,1)</x:f>
        <x:v>1</x:v>
      </x:c>
      <x:c r="K7778" s="6" t="n">
        <x:f>IF(G7778&gt;H7778,1,0)</x:f>
        <x:v>0</x:v>
      </x:c>
      <x:c r="L7778" s="6" t="n">
        <x:f>J7778*K7778</x:f>
        <x:v>0</x:v>
      </x:c>
    </x:row>
    <x:row r="7779">
      <x:c r="A7779" s="1" t="n">
        <x:v>62324</x:v>
      </x:c>
      <x:c r="B7779" s="5" t="d">
        <x:v>2017-06-28T00:00:00.000Z</x:v>
      </x:c>
      <x:c r="C7779" s="1" t="str">
        <x:v>Standard Class</x:v>
      </x:c>
      <x:c r="D7779" s="1" t="str">
        <x:v>Europe</x:v>
      </x:c>
      <x:c r="E7779" s="1" t="str">
        <x:v>ON_HOLD</x:v>
      </x:c>
      <x:c r="F7779" s="1" t="str">
        <x:v>Late delivery</x:v>
      </x:c>
      <x:c r="G7779" s="6" t="n">
        <x:v>5</x:v>
      </x:c>
      <x:c r="H7779" s="6" t="n">
        <x:v>4</x:v>
      </x:c>
      <x:c r="I7779" s="6" t="n">
        <x:f>G7779-H7779</x:f>
        <x:v>1</x:v>
      </x:c>
      <x:c r="J7779" s="6" t="n">
        <x:f>IF(OR(E7779="CANCELED",E7779="SUSPECTED_FRAUD",F7779="Shipping canceled"),0,1)</x:f>
        <x:v>1</x:v>
      </x:c>
      <x:c r="K7779" s="6" t="n">
        <x:f>IF(G7779&gt;H7779,1,0)</x:f>
        <x:v>1</x:v>
      </x:c>
      <x:c r="L7779" s="6" t="n">
        <x:f>J7779*K7779</x:f>
        <x:v>1</x:v>
      </x:c>
    </x:row>
    <x:row r="7780">
      <x:c r="A7780" s="1" t="n">
        <x:v>62325</x:v>
      </x:c>
      <x:c r="B7780" s="5" t="d">
        <x:v>2017-06-28T00:00:00.000Z</x:v>
      </x:c>
      <x:c r="C7780" s="1" t="str">
        <x:v>Standard Class</x:v>
      </x:c>
      <x:c r="D7780" s="1" t="str">
        <x:v>Europe</x:v>
      </x:c>
      <x:c r="E7780" s="1" t="str">
        <x:v>ON_HOLD</x:v>
      </x:c>
      <x:c r="F7780" s="1" t="str">
        <x:v>Late delivery</x:v>
      </x:c>
      <x:c r="G7780" s="6" t="n">
        <x:v>6</x:v>
      </x:c>
      <x:c r="H7780" s="6" t="n">
        <x:v>4</x:v>
      </x:c>
      <x:c r="I7780" s="6" t="n">
        <x:f>G7780-H7780</x:f>
        <x:v>2</x:v>
      </x:c>
      <x:c r="J7780" s="6" t="n">
        <x:f>IF(OR(E7780="CANCELED",E7780="SUSPECTED_FRAUD",F7780="Shipping canceled"),0,1)</x:f>
        <x:v>1</x:v>
      </x:c>
      <x:c r="K7780" s="6" t="n">
        <x:f>IF(G7780&gt;H7780,1,0)</x:f>
        <x:v>1</x:v>
      </x:c>
      <x:c r="L7780" s="6" t="n">
        <x:f>J7780*K7780</x:f>
        <x:v>1</x:v>
      </x:c>
    </x:row>
    <x:row r="7781">
      <x:c r="A7781" s="1" t="n">
        <x:v>62326</x:v>
      </x:c>
      <x:c r="B7781" s="5" t="d">
        <x:v>2017-06-28T00:00:00.000Z</x:v>
      </x:c>
      <x:c r="C7781" s="1" t="str">
        <x:v>Standard Class</x:v>
      </x:c>
      <x:c r="D7781" s="1" t="str">
        <x:v>Europe</x:v>
      </x:c>
      <x:c r="E7781" s="1" t="str">
        <x:v>PENDING</x:v>
      </x:c>
      <x:c r="F7781" s="1" t="str">
        <x:v>Advance shipping</x:v>
      </x:c>
      <x:c r="G7781" s="6" t="n">
        <x:v>2</x:v>
      </x:c>
      <x:c r="H7781" s="6" t="n">
        <x:v>4</x:v>
      </x:c>
      <x:c r="I7781" s="6" t="n">
        <x:f>G7781-H7781</x:f>
        <x:v>-2</x:v>
      </x:c>
      <x:c r="J7781" s="6" t="n">
        <x:f>IF(OR(E7781="CANCELED",E7781="SUSPECTED_FRAUD",F7781="Shipping canceled"),0,1)</x:f>
        <x:v>1</x:v>
      </x:c>
      <x:c r="K7781" s="6" t="n">
        <x:f>IF(G7781&gt;H7781,1,0)</x:f>
        <x:v>0</x:v>
      </x:c>
      <x:c r="L7781" s="6" t="n">
        <x:f>J7781*K7781</x:f>
        <x:v>0</x:v>
      </x:c>
    </x:row>
    <x:row r="7782">
      <x:c r="A7782" s="1" t="n">
        <x:v>62333</x:v>
      </x:c>
      <x:c r="B7782" s="5" t="d">
        <x:v>2017-06-28T00:00:00.000Z</x:v>
      </x:c>
      <x:c r="C7782" s="1" t="str">
        <x:v>Standard Class</x:v>
      </x:c>
      <x:c r="D7782" s="1" t="str">
        <x:v>Europe</x:v>
      </x:c>
      <x:c r="E7782" s="1" t="str">
        <x:v>ON_HOLD</x:v>
      </x:c>
      <x:c r="F7782" s="1" t="str">
        <x:v>Shipping on time</x:v>
      </x:c>
      <x:c r="G7782" s="6" t="n">
        <x:v>4</x:v>
      </x:c>
      <x:c r="H7782" s="6" t="n">
        <x:v>4</x:v>
      </x:c>
      <x:c r="I7782" s="6" t="n">
        <x:f>G7782-H7782</x:f>
        <x:v>0</x:v>
      </x:c>
      <x:c r="J7782" s="6" t="n">
        <x:f>IF(OR(E7782="CANCELED",E7782="SUSPECTED_FRAUD",F7782="Shipping canceled"),0,1)</x:f>
        <x:v>1</x:v>
      </x:c>
      <x:c r="K7782" s="6" t="n">
        <x:f>IF(G7782&gt;H7782,1,0)</x:f>
        <x:v>0</x:v>
      </x:c>
      <x:c r="L7782" s="6" t="n">
        <x:f>J7782*K7782</x:f>
        <x:v>0</x:v>
      </x:c>
    </x:row>
    <x:row r="7783">
      <x:c r="A7783" s="1" t="n">
        <x:v>62336</x:v>
      </x:c>
      <x:c r="B7783" s="5" t="d">
        <x:v>2017-06-28T00:00:00.000Z</x:v>
      </x:c>
      <x:c r="C7783" s="1" t="str">
        <x:v>Standard Class</x:v>
      </x:c>
      <x:c r="D7783" s="1" t="str">
        <x:v>Europe</x:v>
      </x:c>
      <x:c r="E7783" s="1" t="str">
        <x:v>COMPLETE</x:v>
      </x:c>
      <x:c r="F7783" s="1" t="str">
        <x:v>Advance shipping</x:v>
      </x:c>
      <x:c r="G7783" s="6" t="n">
        <x:v>2</x:v>
      </x:c>
      <x:c r="H7783" s="6" t="n">
        <x:v>4</x:v>
      </x:c>
      <x:c r="I7783" s="6" t="n">
        <x:f>G7783-H7783</x:f>
        <x:v>-2</x:v>
      </x:c>
      <x:c r="J7783" s="6" t="n">
        <x:f>IF(OR(E7783="CANCELED",E7783="SUSPECTED_FRAUD",F7783="Shipping canceled"),0,1)</x:f>
        <x:v>1</x:v>
      </x:c>
      <x:c r="K7783" s="6" t="n">
        <x:f>IF(G7783&gt;H7783,1,0)</x:f>
        <x:v>0</x:v>
      </x:c>
      <x:c r="L7783" s="6" t="n">
        <x:f>J7783*K7783</x:f>
        <x:v>0</x:v>
      </x:c>
    </x:row>
    <x:row r="7784">
      <x:c r="A7784" s="1" t="n">
        <x:v>62341</x:v>
      </x:c>
      <x:c r="B7784" s="5" t="d">
        <x:v>2017-06-29T00:00:00.000Z</x:v>
      </x:c>
      <x:c r="C7784" s="1" t="str">
        <x:v>Standard Class</x:v>
      </x:c>
      <x:c r="D7784" s="1" t="str">
        <x:v>Europe</x:v>
      </x:c>
      <x:c r="E7784" s="1" t="str">
        <x:v>COMPLETE</x:v>
      </x:c>
      <x:c r="F7784" s="1" t="str">
        <x:v>Advance shipping</x:v>
      </x:c>
      <x:c r="G7784" s="6" t="n">
        <x:v>2</x:v>
      </x:c>
      <x:c r="H7784" s="6" t="n">
        <x:v>4</x:v>
      </x:c>
      <x:c r="I7784" s="6" t="n">
        <x:f>G7784-H7784</x:f>
        <x:v>-2</x:v>
      </x:c>
      <x:c r="J7784" s="6" t="n">
        <x:f>IF(OR(E7784="CANCELED",E7784="SUSPECTED_FRAUD",F7784="Shipping canceled"),0,1)</x:f>
        <x:v>1</x:v>
      </x:c>
      <x:c r="K7784" s="6" t="n">
        <x:f>IF(G7784&gt;H7784,1,0)</x:f>
        <x:v>0</x:v>
      </x:c>
      <x:c r="L7784" s="6" t="n">
        <x:f>J7784*K7784</x:f>
        <x:v>0</x:v>
      </x:c>
    </x:row>
    <x:row r="7785">
      <x:c r="A7785" s="1" t="n">
        <x:v>62342</x:v>
      </x:c>
      <x:c r="B7785" s="5" t="d">
        <x:v>2017-06-29T00:00:00.000Z</x:v>
      </x:c>
      <x:c r="C7785" s="1" t="str">
        <x:v>Standard Class</x:v>
      </x:c>
      <x:c r="D7785" s="1" t="str">
        <x:v>Europe</x:v>
      </x:c>
      <x:c r="E7785" s="1" t="str">
        <x:v>PENDING_PAYMENT</x:v>
      </x:c>
      <x:c r="F7785" s="1" t="str">
        <x:v>Advance shipping</x:v>
      </x:c>
      <x:c r="G7785" s="6" t="n">
        <x:v>3</x:v>
      </x:c>
      <x:c r="H7785" s="6" t="n">
        <x:v>4</x:v>
      </x:c>
      <x:c r="I7785" s="6" t="n">
        <x:f>G7785-H7785</x:f>
        <x:v>-1</x:v>
      </x:c>
      <x:c r="J7785" s="6" t="n">
        <x:f>IF(OR(E7785="CANCELED",E7785="SUSPECTED_FRAUD",F7785="Shipping canceled"),0,1)</x:f>
        <x:v>1</x:v>
      </x:c>
      <x:c r="K7785" s="6" t="n">
        <x:f>IF(G7785&gt;H7785,1,0)</x:f>
        <x:v>0</x:v>
      </x:c>
      <x:c r="L7785" s="6" t="n">
        <x:f>J7785*K7785</x:f>
        <x:v>0</x:v>
      </x:c>
    </x:row>
    <x:row r="7786">
      <x:c r="A7786" s="1" t="n">
        <x:v>62346</x:v>
      </x:c>
      <x:c r="B7786" s="5" t="d">
        <x:v>2017-06-29T00:00:00.000Z</x:v>
      </x:c>
      <x:c r="C7786" s="1" t="str">
        <x:v>Standard Class</x:v>
      </x:c>
      <x:c r="D7786" s="1" t="str">
        <x:v>Europe</x:v>
      </x:c>
      <x:c r="E7786" s="1" t="str">
        <x:v>PROCESSING</x:v>
      </x:c>
      <x:c r="F7786" s="1" t="str">
        <x:v>Advance shipping</x:v>
      </x:c>
      <x:c r="G7786" s="6" t="n">
        <x:v>2</x:v>
      </x:c>
      <x:c r="H7786" s="6" t="n">
        <x:v>4</x:v>
      </x:c>
      <x:c r="I7786" s="6" t="n">
        <x:f>G7786-H7786</x:f>
        <x:v>-2</x:v>
      </x:c>
      <x:c r="J7786" s="6" t="n">
        <x:f>IF(OR(E7786="CANCELED",E7786="SUSPECTED_FRAUD",F7786="Shipping canceled"),0,1)</x:f>
        <x:v>1</x:v>
      </x:c>
      <x:c r="K7786" s="6" t="n">
        <x:f>IF(G7786&gt;H7786,1,0)</x:f>
        <x:v>0</x:v>
      </x:c>
      <x:c r="L7786" s="6" t="n">
        <x:f>J7786*K7786</x:f>
        <x:v>0</x:v>
      </x:c>
    </x:row>
    <x:row r="7787">
      <x:c r="A7787" s="1" t="n">
        <x:v>62351</x:v>
      </x:c>
      <x:c r="B7787" s="5" t="d">
        <x:v>2017-06-29T00:00:00.000Z</x:v>
      </x:c>
      <x:c r="C7787" s="1" t="str">
        <x:v>Standard Class</x:v>
      </x:c>
      <x:c r="D7787" s="1" t="str">
        <x:v>Europe</x:v>
      </x:c>
      <x:c r="E7787" s="1" t="str">
        <x:v>CLOSED</x:v>
      </x:c>
      <x:c r="F7787" s="1" t="str">
        <x:v>Advance shipping</x:v>
      </x:c>
      <x:c r="G7787" s="6" t="n">
        <x:v>2</x:v>
      </x:c>
      <x:c r="H7787" s="6" t="n">
        <x:v>4</x:v>
      </x:c>
      <x:c r="I7787" s="6" t="n">
        <x:f>G7787-H7787</x:f>
        <x:v>-2</x:v>
      </x:c>
      <x:c r="J7787" s="6" t="n">
        <x:f>IF(OR(E7787="CANCELED",E7787="SUSPECTED_FRAUD",F7787="Shipping canceled"),0,1)</x:f>
        <x:v>1</x:v>
      </x:c>
      <x:c r="K7787" s="6" t="n">
        <x:f>IF(G7787&gt;H7787,1,0)</x:f>
        <x:v>0</x:v>
      </x:c>
      <x:c r="L7787" s="6" t="n">
        <x:f>J7787*K7787</x:f>
        <x:v>0</x:v>
      </x:c>
    </x:row>
    <x:row r="7788">
      <x:c r="A7788" s="1" t="n">
        <x:v>62381</x:v>
      </x:c>
      <x:c r="B7788" s="5" t="d">
        <x:v>2017-06-29T00:00:00.000Z</x:v>
      </x:c>
      <x:c r="C7788" s="1" t="str">
        <x:v>Standard Class</x:v>
      </x:c>
      <x:c r="D7788" s="1" t="str">
        <x:v>Europe</x:v>
      </x:c>
      <x:c r="E7788" s="1" t="str">
        <x:v>PENDING</x:v>
      </x:c>
      <x:c r="F7788" s="1" t="str">
        <x:v>Advance shipping</x:v>
      </x:c>
      <x:c r="G7788" s="6" t="n">
        <x:v>2</x:v>
      </x:c>
      <x:c r="H7788" s="6" t="n">
        <x:v>4</x:v>
      </x:c>
      <x:c r="I7788" s="6" t="n">
        <x:f>G7788-H7788</x:f>
        <x:v>-2</x:v>
      </x:c>
      <x:c r="J7788" s="6" t="n">
        <x:f>IF(OR(E7788="CANCELED",E7788="SUSPECTED_FRAUD",F7788="Shipping canceled"),0,1)</x:f>
        <x:v>1</x:v>
      </x:c>
      <x:c r="K7788" s="6" t="n">
        <x:f>IF(G7788&gt;H7788,1,0)</x:f>
        <x:v>0</x:v>
      </x:c>
      <x:c r="L7788" s="6" t="n">
        <x:f>J7788*K7788</x:f>
        <x:v>0</x:v>
      </x:c>
    </x:row>
    <x:row r="7789">
      <x:c r="A7789" s="1" t="n">
        <x:v>62392</x:v>
      </x:c>
      <x:c r="B7789" s="5" t="d">
        <x:v>2017-06-29T00:00:00.000Z</x:v>
      </x:c>
      <x:c r="C7789" s="1" t="str">
        <x:v>Standard Class</x:v>
      </x:c>
      <x:c r="D7789" s="1" t="str">
        <x:v>Europe</x:v>
      </x:c>
      <x:c r="E7789" s="1" t="str">
        <x:v>COMPLETE</x:v>
      </x:c>
      <x:c r="F7789" s="1" t="str">
        <x:v>Advance shipping</x:v>
      </x:c>
      <x:c r="G7789" s="6" t="n">
        <x:v>3</x:v>
      </x:c>
      <x:c r="H7789" s="6" t="n">
        <x:v>4</x:v>
      </x:c>
      <x:c r="I7789" s="6" t="n">
        <x:f>G7789-H7789</x:f>
        <x:v>-1</x:v>
      </x:c>
      <x:c r="J7789" s="6" t="n">
        <x:f>IF(OR(E7789="CANCELED",E7789="SUSPECTED_FRAUD",F7789="Shipping canceled"),0,1)</x:f>
        <x:v>1</x:v>
      </x:c>
      <x:c r="K7789" s="6" t="n">
        <x:f>IF(G7789&gt;H7789,1,0)</x:f>
        <x:v>0</x:v>
      </x:c>
      <x:c r="L7789" s="6" t="n">
        <x:f>J7789*K7789</x:f>
        <x:v>0</x:v>
      </x:c>
    </x:row>
    <x:row r="7790">
      <x:c r="A7790" s="1" t="n">
        <x:v>62405</x:v>
      </x:c>
      <x:c r="B7790" s="5" t="d">
        <x:v>2017-06-29T00:00:00.000Z</x:v>
      </x:c>
      <x:c r="C7790" s="1" t="str">
        <x:v>Second Class</x:v>
      </x:c>
      <x:c r="D7790" s="1" t="str">
        <x:v>Europe</x:v>
      </x:c>
      <x:c r="E7790" s="1" t="str">
        <x:v>CLOSED</x:v>
      </x:c>
      <x:c r="F7790" s="1" t="str">
        <x:v>Late delivery</x:v>
      </x:c>
      <x:c r="G7790" s="6" t="n">
        <x:v>6</x:v>
      </x:c>
      <x:c r="H7790" s="6" t="n">
        <x:v>2</x:v>
      </x:c>
      <x:c r="I7790" s="6" t="n">
        <x:f>G7790-H7790</x:f>
        <x:v>4</x:v>
      </x:c>
      <x:c r="J7790" s="6" t="n">
        <x:f>IF(OR(E7790="CANCELED",E7790="SUSPECTED_FRAUD",F7790="Shipping canceled"),0,1)</x:f>
        <x:v>1</x:v>
      </x:c>
      <x:c r="K7790" s="6" t="n">
        <x:f>IF(G7790&gt;H7790,1,0)</x:f>
        <x:v>1</x:v>
      </x:c>
      <x:c r="L7790" s="6" t="n">
        <x:f>J7790*K7790</x:f>
        <x:v>1</x:v>
      </x:c>
    </x:row>
    <x:row r="7791">
      <x:c r="A7791" s="1" t="n">
        <x:v>62411</x:v>
      </x:c>
      <x:c r="B7791" s="5" t="d">
        <x:v>2017-06-30T00:00:00.000Z</x:v>
      </x:c>
      <x:c r="C7791" s="1" t="str">
        <x:v>Standard Class</x:v>
      </x:c>
      <x:c r="D7791" s="1" t="str">
        <x:v>Europe</x:v>
      </x:c>
      <x:c r="E7791" s="1" t="str">
        <x:v>COMPLETE</x:v>
      </x:c>
      <x:c r="F7791" s="1" t="str">
        <x:v>Advance shipping</x:v>
      </x:c>
      <x:c r="G7791" s="6" t="n">
        <x:v>2</x:v>
      </x:c>
      <x:c r="H7791" s="6" t="n">
        <x:v>4</x:v>
      </x:c>
      <x:c r="I7791" s="6" t="n">
        <x:f>G7791-H7791</x:f>
        <x:v>-2</x:v>
      </x:c>
      <x:c r="J7791" s="6" t="n">
        <x:f>IF(OR(E7791="CANCELED",E7791="SUSPECTED_FRAUD",F7791="Shipping canceled"),0,1)</x:f>
        <x:v>1</x:v>
      </x:c>
      <x:c r="K7791" s="6" t="n">
        <x:f>IF(G7791&gt;H7791,1,0)</x:f>
        <x:v>0</x:v>
      </x:c>
      <x:c r="L7791" s="6" t="n">
        <x:f>J7791*K7791</x:f>
        <x:v>0</x:v>
      </x:c>
    </x:row>
    <x:row r="7792">
      <x:c r="A7792" s="1" t="n">
        <x:v>62419</x:v>
      </x:c>
      <x:c r="B7792" s="5" t="d">
        <x:v>2017-06-30T00:00:00.000Z</x:v>
      </x:c>
      <x:c r="C7792" s="1" t="str">
        <x:v>Standard Class</x:v>
      </x:c>
      <x:c r="D7792" s="1" t="str">
        <x:v>Europe</x:v>
      </x:c>
      <x:c r="E7792" s="1" t="str">
        <x:v>SUSPECTED_FRAUD</x:v>
      </x:c>
      <x:c r="F7792" s="1" t="str">
        <x:v>Shipping canceled</x:v>
      </x:c>
      <x:c r="G7792" s="6" t="n">
        <x:v>5</x:v>
      </x:c>
      <x:c r="H7792" s="6" t="n">
        <x:v>4</x:v>
      </x:c>
      <x:c r="I7792" s="6" t="n">
        <x:f>G7792-H7792</x:f>
        <x:v>1</x:v>
      </x:c>
      <x:c r="J7792" s="6" t="n">
        <x:f>IF(OR(E7792="CANCELED",E7792="SUSPECTED_FRAUD",F7792="Shipping canceled"),0,1)</x:f>
        <x:v>0</x:v>
      </x:c>
      <x:c r="K7792" s="6" t="n">
        <x:f>IF(G7792&gt;H7792,1,0)</x:f>
        <x:v>1</x:v>
      </x:c>
      <x:c r="L7792" s="6" t="n">
        <x:f>J7792*K7792</x:f>
        <x:v>0</x:v>
      </x:c>
    </x:row>
    <x:row r="7793">
      <x:c r="A7793" s="1" t="n">
        <x:v>62439</x:v>
      </x:c>
      <x:c r="B7793" s="5" t="d">
        <x:v>2017-06-30T00:00:00.000Z</x:v>
      </x:c>
      <x:c r="C7793" s="1" t="str">
        <x:v>Standard Class</x:v>
      </x:c>
      <x:c r="D7793" s="1" t="str">
        <x:v>Europe</x:v>
      </x:c>
      <x:c r="E7793" s="1" t="str">
        <x:v>PROCESSING</x:v>
      </x:c>
      <x:c r="F7793" s="1" t="str">
        <x:v>Late delivery</x:v>
      </x:c>
      <x:c r="G7793" s="6" t="n">
        <x:v>5</x:v>
      </x:c>
      <x:c r="H7793" s="6" t="n">
        <x:v>4</x:v>
      </x:c>
      <x:c r="I7793" s="6" t="n">
        <x:f>G7793-H7793</x:f>
        <x:v>1</x:v>
      </x:c>
      <x:c r="J7793" s="6" t="n">
        <x:f>IF(OR(E7793="CANCELED",E7793="SUSPECTED_FRAUD",F7793="Shipping canceled"),0,1)</x:f>
        <x:v>1</x:v>
      </x:c>
      <x:c r="K7793" s="6" t="n">
        <x:f>IF(G7793&gt;H7793,1,0)</x:f>
        <x:v>1</x:v>
      </x:c>
      <x:c r="L7793" s="6" t="n">
        <x:f>J7793*K7793</x:f>
        <x:v>1</x:v>
      </x:c>
    </x:row>
    <x:row r="7794">
      <x:c r="A7794" s="1" t="n">
        <x:v>62440</x:v>
      </x:c>
      <x:c r="B7794" s="5" t="d">
        <x:v>2017-06-30T00:00:00.000Z</x:v>
      </x:c>
      <x:c r="C7794" s="1" t="str">
        <x:v>Standard Class</x:v>
      </x:c>
      <x:c r="D7794" s="1" t="str">
        <x:v>Europe</x:v>
      </x:c>
      <x:c r="E7794" s="1" t="str">
        <x:v>PROCESSING</x:v>
      </x:c>
      <x:c r="F7794" s="1" t="str">
        <x:v>Late delivery</x:v>
      </x:c>
      <x:c r="G7794" s="6" t="n">
        <x:v>6</x:v>
      </x:c>
      <x:c r="H7794" s="6" t="n">
        <x:v>4</x:v>
      </x:c>
      <x:c r="I7794" s="6" t="n">
        <x:f>G7794-H7794</x:f>
        <x:v>2</x:v>
      </x:c>
      <x:c r="J7794" s="6" t="n">
        <x:f>IF(OR(E7794="CANCELED",E7794="SUSPECTED_FRAUD",F7794="Shipping canceled"),0,1)</x:f>
        <x:v>1</x:v>
      </x:c>
      <x:c r="K7794" s="6" t="n">
        <x:f>IF(G7794&gt;H7794,1,0)</x:f>
        <x:v>1</x:v>
      </x:c>
      <x:c r="L7794" s="6" t="n">
        <x:f>J7794*K7794</x:f>
        <x:v>1</x:v>
      </x:c>
    </x:row>
    <x:row r="7795">
      <x:c r="A7795" s="1" t="n">
        <x:v>62456</x:v>
      </x:c>
      <x:c r="B7795" s="5" t="d">
        <x:v>2017-06-30T00:00:00.000Z</x:v>
      </x:c>
      <x:c r="C7795" s="1" t="str">
        <x:v>Standard Class</x:v>
      </x:c>
      <x:c r="D7795" s="1" t="str">
        <x:v>Europe</x:v>
      </x:c>
      <x:c r="E7795" s="1" t="str">
        <x:v>COMPLETE</x:v>
      </x:c>
      <x:c r="F7795" s="1" t="str">
        <x:v>Advance shipping</x:v>
      </x:c>
      <x:c r="G7795" s="6" t="n">
        <x:v>2</x:v>
      </x:c>
      <x:c r="H7795" s="6" t="n">
        <x:v>4</x:v>
      </x:c>
      <x:c r="I7795" s="6" t="n">
        <x:f>G7795-H7795</x:f>
        <x:v>-2</x:v>
      </x:c>
      <x:c r="J7795" s="6" t="n">
        <x:f>IF(OR(E7795="CANCELED",E7795="SUSPECTED_FRAUD",F7795="Shipping canceled"),0,1)</x:f>
        <x:v>1</x:v>
      </x:c>
      <x:c r="K7795" s="6" t="n">
        <x:f>IF(G7795&gt;H7795,1,0)</x:f>
        <x:v>0</x:v>
      </x:c>
      <x:c r="L7795" s="6" t="n">
        <x:f>J7795*K7795</x:f>
        <x:v>0</x:v>
      </x:c>
    </x:row>
    <x:row r="7796">
      <x:c r="A7796" s="1" t="n">
        <x:v>62459</x:v>
      </x:c>
      <x:c r="B7796" s="5" t="d">
        <x:v>2017-06-30T00:00:00.000Z</x:v>
      </x:c>
      <x:c r="C7796" s="1" t="str">
        <x:v>Standard Class</x:v>
      </x:c>
      <x:c r="D7796" s="1" t="str">
        <x:v>Europe</x:v>
      </x:c>
      <x:c r="E7796" s="1" t="str">
        <x:v>PROCESSING</x:v>
      </x:c>
      <x:c r="F7796" s="1" t="str">
        <x:v>Late delivery</x:v>
      </x:c>
      <x:c r="G7796" s="6" t="n">
        <x:v>5</x:v>
      </x:c>
      <x:c r="H7796" s="6" t="n">
        <x:v>4</x:v>
      </x:c>
      <x:c r="I7796" s="6" t="n">
        <x:f>G7796-H7796</x:f>
        <x:v>1</x:v>
      </x:c>
      <x:c r="J7796" s="6" t="n">
        <x:f>IF(OR(E7796="CANCELED",E7796="SUSPECTED_FRAUD",F7796="Shipping canceled"),0,1)</x:f>
        <x:v>1</x:v>
      </x:c>
      <x:c r="K7796" s="6" t="n">
        <x:f>IF(G7796&gt;H7796,1,0)</x:f>
        <x:v>1</x:v>
      </x:c>
      <x:c r="L7796" s="6" t="n">
        <x:f>J7796*K7796</x:f>
        <x:v>1</x:v>
      </x:c>
    </x:row>
    <x:row r="7797">
      <x:c r="A7797" s="1" t="n">
        <x:v>62463</x:v>
      </x:c>
      <x:c r="B7797" s="5" t="d">
        <x:v>2017-06-30T00:00:00.000Z</x:v>
      </x:c>
      <x:c r="C7797" s="1" t="str">
        <x:v>Standard Class</x:v>
      </x:c>
      <x:c r="D7797" s="1" t="str">
        <x:v>Europe</x:v>
      </x:c>
      <x:c r="E7797" s="1" t="str">
        <x:v>COMPLETE</x:v>
      </x:c>
      <x:c r="F7797" s="1" t="str">
        <x:v>Shipping on time</x:v>
      </x:c>
      <x:c r="G7797" s="6" t="n">
        <x:v>4</x:v>
      </x:c>
      <x:c r="H7797" s="6" t="n">
        <x:v>4</x:v>
      </x:c>
      <x:c r="I7797" s="6" t="n">
        <x:f>G7797-H7797</x:f>
        <x:v>0</x:v>
      </x:c>
      <x:c r="J7797" s="6" t="n">
        <x:f>IF(OR(E7797="CANCELED",E7797="SUSPECTED_FRAUD",F7797="Shipping canceled"),0,1)</x:f>
        <x:v>1</x:v>
      </x:c>
      <x:c r="K7797" s="6" t="n">
        <x:f>IF(G7797&gt;H7797,1,0)</x:f>
        <x:v>0</x:v>
      </x:c>
      <x:c r="L7797" s="6" t="n">
        <x:f>J7797*K7797</x:f>
        <x:v>0</x:v>
      </x:c>
    </x:row>
    <x:row r="7798">
      <x:c r="A7798" s="1" t="n">
        <x:v>62464</x:v>
      </x:c>
      <x:c r="B7798" s="5" t="d">
        <x:v>2017-06-30T00:00:00.000Z</x:v>
      </x:c>
      <x:c r="C7798" s="1" t="str">
        <x:v>Standard Class</x:v>
      </x:c>
      <x:c r="D7798" s="1" t="str">
        <x:v>Europe</x:v>
      </x:c>
      <x:c r="E7798" s="1" t="str">
        <x:v>CLOSED</x:v>
      </x:c>
      <x:c r="F7798" s="1" t="str">
        <x:v>Late delivery</x:v>
      </x:c>
      <x:c r="G7798" s="6" t="n">
        <x:v>5</x:v>
      </x:c>
      <x:c r="H7798" s="6" t="n">
        <x:v>4</x:v>
      </x:c>
      <x:c r="I7798" s="6" t="n">
        <x:f>G7798-H7798</x:f>
        <x:v>1</x:v>
      </x:c>
      <x:c r="J7798" s="6" t="n">
        <x:f>IF(OR(E7798="CANCELED",E7798="SUSPECTED_FRAUD",F7798="Shipping canceled"),0,1)</x:f>
        <x:v>1</x:v>
      </x:c>
      <x:c r="K7798" s="6" t="n">
        <x:f>IF(G7798&gt;H7798,1,0)</x:f>
        <x:v>1</x:v>
      </x:c>
      <x:c r="L7798" s="6" t="n">
        <x:f>J7798*K7798</x:f>
        <x:v>1</x:v>
      </x:c>
    </x:row>
    <x:row r="7799">
      <x:c r="A7799" s="1" t="n">
        <x:v>62469</x:v>
      </x:c>
      <x:c r="B7799" s="5" t="d">
        <x:v>2017-06-30T00:00:00.000Z</x:v>
      </x:c>
      <x:c r="C7799" s="1" t="str">
        <x:v>Standard Class</x:v>
      </x:c>
      <x:c r="D7799" s="1" t="str">
        <x:v>Europe</x:v>
      </x:c>
      <x:c r="E7799" s="1" t="str">
        <x:v>PENDING</x:v>
      </x:c>
      <x:c r="F7799" s="1" t="str">
        <x:v>Late delivery</x:v>
      </x:c>
      <x:c r="G7799" s="6" t="n">
        <x:v>5</x:v>
      </x:c>
      <x:c r="H7799" s="6" t="n">
        <x:v>4</x:v>
      </x:c>
      <x:c r="I7799" s="6" t="n">
        <x:f>G7799-H7799</x:f>
        <x:v>1</x:v>
      </x:c>
      <x:c r="J7799" s="6" t="n">
        <x:f>IF(OR(E7799="CANCELED",E7799="SUSPECTED_FRAUD",F7799="Shipping canceled"),0,1)</x:f>
        <x:v>1</x:v>
      </x:c>
      <x:c r="K7799" s="6" t="n">
        <x:f>IF(G7799&gt;H7799,1,0)</x:f>
        <x:v>1</x:v>
      </x:c>
      <x:c r="L7799" s="6" t="n">
        <x:f>J7799*K7799</x:f>
        <x:v>1</x:v>
      </x:c>
    </x:row>
    <x:row r="7800">
      <x:c r="A7800" s="1" t="n">
        <x:v>62470</x:v>
      </x:c>
      <x:c r="B7800" s="5" t="d">
        <x:v>2017-06-30T00:00:00.000Z</x:v>
      </x:c>
      <x:c r="C7800" s="1" t="str">
        <x:v>Standard Class</x:v>
      </x:c>
      <x:c r="D7800" s="1" t="str">
        <x:v>Europe</x:v>
      </x:c>
      <x:c r="E7800" s="1" t="str">
        <x:v>PROCESSING</x:v>
      </x:c>
      <x:c r="F7800" s="1" t="str">
        <x:v>Late delivery</x:v>
      </x:c>
      <x:c r="G7800" s="6" t="n">
        <x:v>6</x:v>
      </x:c>
      <x:c r="H7800" s="6" t="n">
        <x:v>4</x:v>
      </x:c>
      <x:c r="I7800" s="6" t="n">
        <x:f>G7800-H7800</x:f>
        <x:v>2</x:v>
      </x:c>
      <x:c r="J7800" s="6" t="n">
        <x:f>IF(OR(E7800="CANCELED",E7800="SUSPECTED_FRAUD",F7800="Shipping canceled"),0,1)</x:f>
        <x:v>1</x:v>
      </x:c>
      <x:c r="K7800" s="6" t="n">
        <x:f>IF(G7800&gt;H7800,1,0)</x:f>
        <x:v>1</x:v>
      </x:c>
      <x:c r="L7800" s="6" t="n">
        <x:f>J7800*K7800</x:f>
        <x:v>1</x:v>
      </x:c>
    </x:row>
    <x:row r="7801">
      <x:c r="A7801" s="1" t="n">
        <x:v>62482</x:v>
      </x:c>
      <x:c r="B7801" s="5" t="d">
        <x:v>2017-07-01T00:00:00.000Z</x:v>
      </x:c>
      <x:c r="C7801" s="1" t="str">
        <x:v>Standard Class</x:v>
      </x:c>
      <x:c r="D7801" s="1" t="str">
        <x:v>Europe</x:v>
      </x:c>
      <x:c r="E7801" s="1" t="str">
        <x:v>COMPLETE</x:v>
      </x:c>
      <x:c r="F7801" s="1" t="str">
        <x:v>Advance shipping</x:v>
      </x:c>
      <x:c r="G7801" s="6" t="n">
        <x:v>3</x:v>
      </x:c>
      <x:c r="H7801" s="6" t="n">
        <x:v>4</x:v>
      </x:c>
      <x:c r="I7801" s="6" t="n">
        <x:f>G7801-H7801</x:f>
        <x:v>-1</x:v>
      </x:c>
      <x:c r="J7801" s="6" t="n">
        <x:f>IF(OR(E7801="CANCELED",E7801="SUSPECTED_FRAUD",F7801="Shipping canceled"),0,1)</x:f>
        <x:v>1</x:v>
      </x:c>
      <x:c r="K7801" s="6" t="n">
        <x:f>IF(G7801&gt;H7801,1,0)</x:f>
        <x:v>0</x:v>
      </x:c>
      <x:c r="L7801" s="6" t="n">
        <x:f>J7801*K7801</x:f>
        <x:v>0</x:v>
      </x:c>
    </x:row>
    <x:row r="7802">
      <x:c r="A7802" s="1" t="n">
        <x:v>62497</x:v>
      </x:c>
      <x:c r="B7802" s="5" t="d">
        <x:v>2017-07-01T00:00:00.000Z</x:v>
      </x:c>
      <x:c r="C7802" s="1" t="str">
        <x:v>Second Class</x:v>
      </x:c>
      <x:c r="D7802" s="1" t="str">
        <x:v>Europe</x:v>
      </x:c>
      <x:c r="E7802" s="1" t="str">
        <x:v>COMPLETE</x:v>
      </x:c>
      <x:c r="F7802" s="1" t="str">
        <x:v>Late delivery</x:v>
      </x:c>
      <x:c r="G7802" s="6" t="n">
        <x:v>3</x:v>
      </x:c>
      <x:c r="H7802" s="6" t="n">
        <x:v>2</x:v>
      </x:c>
      <x:c r="I7802" s="6" t="n">
        <x:f>G7802-H7802</x:f>
        <x:v>1</x:v>
      </x:c>
      <x:c r="J7802" s="6" t="n">
        <x:f>IF(OR(E7802="CANCELED",E7802="SUSPECTED_FRAUD",F7802="Shipping canceled"),0,1)</x:f>
        <x:v>1</x:v>
      </x:c>
      <x:c r="K7802" s="6" t="n">
        <x:f>IF(G7802&gt;H7802,1,0)</x:f>
        <x:v>1</x:v>
      </x:c>
      <x:c r="L7802" s="6" t="n">
        <x:f>J7802*K7802</x:f>
        <x:v>1</x:v>
      </x:c>
    </x:row>
    <x:row r="7803">
      <x:c r="A7803" s="1" t="n">
        <x:v>62516</x:v>
      </x:c>
      <x:c r="B7803" s="5" t="d">
        <x:v>2017-07-01T00:00:00.000Z</x:v>
      </x:c>
      <x:c r="C7803" s="1" t="str">
        <x:v>Standard Class</x:v>
      </x:c>
      <x:c r="D7803" s="1" t="str">
        <x:v>Europe</x:v>
      </x:c>
      <x:c r="E7803" s="1" t="str">
        <x:v>PROCESSING</x:v>
      </x:c>
      <x:c r="F7803" s="1" t="str">
        <x:v>Advance shipping</x:v>
      </x:c>
      <x:c r="G7803" s="6" t="n">
        <x:v>2</x:v>
      </x:c>
      <x:c r="H7803" s="6" t="n">
        <x:v>4</x:v>
      </x:c>
      <x:c r="I7803" s="6" t="n">
        <x:f>G7803-H7803</x:f>
        <x:v>-2</x:v>
      </x:c>
      <x:c r="J7803" s="6" t="n">
        <x:f>IF(OR(E7803="CANCELED",E7803="SUSPECTED_FRAUD",F7803="Shipping canceled"),0,1)</x:f>
        <x:v>1</x:v>
      </x:c>
      <x:c r="K7803" s="6" t="n">
        <x:f>IF(G7803&gt;H7803,1,0)</x:f>
        <x:v>0</x:v>
      </x:c>
      <x:c r="L7803" s="6" t="n">
        <x:f>J7803*K7803</x:f>
        <x:v>0</x:v>
      </x:c>
    </x:row>
    <x:row r="7804">
      <x:c r="A7804" s="1" t="n">
        <x:v>62521</x:v>
      </x:c>
      <x:c r="B7804" s="5" t="d">
        <x:v>2017-07-01T00:00:00.000Z</x:v>
      </x:c>
      <x:c r="C7804" s="1" t="str">
        <x:v>Standard Class</x:v>
      </x:c>
      <x:c r="D7804" s="1" t="str">
        <x:v>Europe</x:v>
      </x:c>
      <x:c r="E7804" s="1" t="str">
        <x:v>COMPLETE</x:v>
      </x:c>
      <x:c r="F7804" s="1" t="str">
        <x:v>Advance shipping</x:v>
      </x:c>
      <x:c r="G7804" s="6" t="n">
        <x:v>2</x:v>
      </x:c>
      <x:c r="H7804" s="6" t="n">
        <x:v>4</x:v>
      </x:c>
      <x:c r="I7804" s="6" t="n">
        <x:f>G7804-H7804</x:f>
        <x:v>-2</x:v>
      </x:c>
      <x:c r="J7804" s="6" t="n">
        <x:f>IF(OR(E7804="CANCELED",E7804="SUSPECTED_FRAUD",F7804="Shipping canceled"),0,1)</x:f>
        <x:v>1</x:v>
      </x:c>
      <x:c r="K7804" s="6" t="n">
        <x:f>IF(G7804&gt;H7804,1,0)</x:f>
        <x:v>0</x:v>
      </x:c>
      <x:c r="L7804" s="6" t="n">
        <x:f>J7804*K7804</x:f>
        <x:v>0</x:v>
      </x:c>
    </x:row>
    <x:row r="7805">
      <x:c r="A7805" s="1" t="n">
        <x:v>62522</x:v>
      </x:c>
      <x:c r="B7805" s="5" t="d">
        <x:v>2017-07-01T00:00:00.000Z</x:v>
      </x:c>
      <x:c r="C7805" s="1" t="str">
        <x:v>Standard Class</x:v>
      </x:c>
      <x:c r="D7805" s="1" t="str">
        <x:v>Europe</x:v>
      </x:c>
      <x:c r="E7805" s="1" t="str">
        <x:v>PENDING</x:v>
      </x:c>
      <x:c r="F7805" s="1" t="str">
        <x:v>Advance shipping</x:v>
      </x:c>
      <x:c r="G7805" s="6" t="n">
        <x:v>3</x:v>
      </x:c>
      <x:c r="H7805" s="6" t="n">
        <x:v>4</x:v>
      </x:c>
      <x:c r="I7805" s="6" t="n">
        <x:f>G7805-H7805</x:f>
        <x:v>-1</x:v>
      </x:c>
      <x:c r="J7805" s="6" t="n">
        <x:f>IF(OR(E7805="CANCELED",E7805="SUSPECTED_FRAUD",F7805="Shipping canceled"),0,1)</x:f>
        <x:v>1</x:v>
      </x:c>
      <x:c r="K7805" s="6" t="n">
        <x:f>IF(G7805&gt;H7805,1,0)</x:f>
        <x:v>0</x:v>
      </x:c>
      <x:c r="L7805" s="6" t="n">
        <x:f>J7805*K7805</x:f>
        <x:v>0</x:v>
      </x:c>
    </x:row>
    <x:row r="7806">
      <x:c r="A7806" s="1" t="n">
        <x:v>62523</x:v>
      </x:c>
      <x:c r="B7806" s="5" t="d">
        <x:v>2017-07-01T00:00:00.000Z</x:v>
      </x:c>
      <x:c r="C7806" s="1" t="str">
        <x:v>Standard Class</x:v>
      </x:c>
      <x:c r="D7806" s="1" t="str">
        <x:v>Europe</x:v>
      </x:c>
      <x:c r="E7806" s="1" t="str">
        <x:v>PENDING</x:v>
      </x:c>
      <x:c r="F7806" s="1" t="str">
        <x:v>Shipping on time</x:v>
      </x:c>
      <x:c r="G7806" s="6" t="n">
        <x:v>4</x:v>
      </x:c>
      <x:c r="H7806" s="6" t="n">
        <x:v>4</x:v>
      </x:c>
      <x:c r="I7806" s="6" t="n">
        <x:f>G7806-H7806</x:f>
        <x:v>0</x:v>
      </x:c>
      <x:c r="J7806" s="6" t="n">
        <x:f>IF(OR(E7806="CANCELED",E7806="SUSPECTED_FRAUD",F7806="Shipping canceled"),0,1)</x:f>
        <x:v>1</x:v>
      </x:c>
      <x:c r="K7806" s="6" t="n">
        <x:f>IF(G7806&gt;H7806,1,0)</x:f>
        <x:v>0</x:v>
      </x:c>
      <x:c r="L7806" s="6" t="n">
        <x:f>J7806*K7806</x:f>
        <x:v>0</x:v>
      </x:c>
    </x:row>
    <x:row r="7807">
      <x:c r="A7807" s="1" t="n">
        <x:v>62527</x:v>
      </x:c>
      <x:c r="B7807" s="5" t="d">
        <x:v>2017-07-01T00:00:00.000Z</x:v>
      </x:c>
      <x:c r="C7807" s="1" t="str">
        <x:v>Standard Class</x:v>
      </x:c>
      <x:c r="D7807" s="1" t="str">
        <x:v>Europe</x:v>
      </x:c>
      <x:c r="E7807" s="1" t="str">
        <x:v>PROCESSING</x:v>
      </x:c>
      <x:c r="F7807" s="1" t="str">
        <x:v>Advance shipping</x:v>
      </x:c>
      <x:c r="G7807" s="6" t="n">
        <x:v>3</x:v>
      </x:c>
      <x:c r="H7807" s="6" t="n">
        <x:v>4</x:v>
      </x:c>
      <x:c r="I7807" s="6" t="n">
        <x:f>G7807-H7807</x:f>
        <x:v>-1</x:v>
      </x:c>
      <x:c r="J7807" s="6" t="n">
        <x:f>IF(OR(E7807="CANCELED",E7807="SUSPECTED_FRAUD",F7807="Shipping canceled"),0,1)</x:f>
        <x:v>1</x:v>
      </x:c>
      <x:c r="K7807" s="6" t="n">
        <x:f>IF(G7807&gt;H7807,1,0)</x:f>
        <x:v>0</x:v>
      </x:c>
      <x:c r="L7807" s="6" t="n">
        <x:f>J7807*K7807</x:f>
        <x:v>0</x:v>
      </x:c>
    </x:row>
    <x:row r="7808">
      <x:c r="A7808" s="1" t="n">
        <x:v>62529</x:v>
      </x:c>
      <x:c r="B7808" s="5" t="d">
        <x:v>2017-07-01T00:00:00.000Z</x:v>
      </x:c>
      <x:c r="C7808" s="1" t="str">
        <x:v>Standard Class</x:v>
      </x:c>
      <x:c r="D7808" s="1" t="str">
        <x:v>Europe</x:v>
      </x:c>
      <x:c r="E7808" s="1" t="str">
        <x:v>ON_HOLD</x:v>
      </x:c>
      <x:c r="F7808" s="1" t="str">
        <x:v>Late delivery</x:v>
      </x:c>
      <x:c r="G7808" s="6" t="n">
        <x:v>5</x:v>
      </x:c>
      <x:c r="H7808" s="6" t="n">
        <x:v>4</x:v>
      </x:c>
      <x:c r="I7808" s="6" t="n">
        <x:f>G7808-H7808</x:f>
        <x:v>1</x:v>
      </x:c>
      <x:c r="J7808" s="6" t="n">
        <x:f>IF(OR(E7808="CANCELED",E7808="SUSPECTED_FRAUD",F7808="Shipping canceled"),0,1)</x:f>
        <x:v>1</x:v>
      </x:c>
      <x:c r="K7808" s="6" t="n">
        <x:f>IF(G7808&gt;H7808,1,0)</x:f>
        <x:v>1</x:v>
      </x:c>
      <x:c r="L7808" s="6" t="n">
        <x:f>J7808*K7808</x:f>
        <x:v>1</x:v>
      </x:c>
    </x:row>
    <x:row r="7809">
      <x:c r="A7809" s="1" t="n">
        <x:v>62536</x:v>
      </x:c>
      <x:c r="B7809" s="5" t="d">
        <x:v>2017-07-01T00:00:00.000Z</x:v>
      </x:c>
      <x:c r="C7809" s="1" t="str">
        <x:v>Standard Class</x:v>
      </x:c>
      <x:c r="D7809" s="1" t="str">
        <x:v>Europe</x:v>
      </x:c>
      <x:c r="E7809" s="1" t="str">
        <x:v>COMPLETE</x:v>
      </x:c>
      <x:c r="F7809" s="1" t="str">
        <x:v>Advance shipping</x:v>
      </x:c>
      <x:c r="G7809" s="6" t="n">
        <x:v>2</x:v>
      </x:c>
      <x:c r="H7809" s="6" t="n">
        <x:v>4</x:v>
      </x:c>
      <x:c r="I7809" s="6" t="n">
        <x:f>G7809-H7809</x:f>
        <x:v>-2</x:v>
      </x:c>
      <x:c r="J7809" s="6" t="n">
        <x:f>IF(OR(E7809="CANCELED",E7809="SUSPECTED_FRAUD",F7809="Shipping canceled"),0,1)</x:f>
        <x:v>1</x:v>
      </x:c>
      <x:c r="K7809" s="6" t="n">
        <x:f>IF(G7809&gt;H7809,1,0)</x:f>
        <x:v>0</x:v>
      </x:c>
      <x:c r="L7809" s="6" t="n">
        <x:f>J7809*K7809</x:f>
        <x:v>0</x:v>
      </x:c>
    </x:row>
    <x:row r="7810">
      <x:c r="A7810" s="1" t="n">
        <x:v>62543</x:v>
      </x:c>
      <x:c r="B7810" s="5" t="d">
        <x:v>2017-07-01T00:00:00.000Z</x:v>
      </x:c>
      <x:c r="C7810" s="1" t="str">
        <x:v>Standard Class</x:v>
      </x:c>
      <x:c r="D7810" s="1" t="str">
        <x:v>Europe</x:v>
      </x:c>
      <x:c r="E7810" s="1" t="str">
        <x:v>COMPLETE</x:v>
      </x:c>
      <x:c r="F7810" s="1" t="str">
        <x:v>Shipping on time</x:v>
      </x:c>
      <x:c r="G7810" s="6" t="n">
        <x:v>4</x:v>
      </x:c>
      <x:c r="H7810" s="6" t="n">
        <x:v>4</x:v>
      </x:c>
      <x:c r="I7810" s="6" t="n">
        <x:f>G7810-H7810</x:f>
        <x:v>0</x:v>
      </x:c>
      <x:c r="J7810" s="6" t="n">
        <x:f>IF(OR(E7810="CANCELED",E7810="SUSPECTED_FRAUD",F7810="Shipping canceled"),0,1)</x:f>
        <x:v>1</x:v>
      </x:c>
      <x:c r="K7810" s="6" t="n">
        <x:f>IF(G7810&gt;H7810,1,0)</x:f>
        <x:v>0</x:v>
      </x:c>
      <x:c r="L7810" s="6" t="n">
        <x:f>J7810*K7810</x:f>
        <x:v>0</x:v>
      </x:c>
    </x:row>
    <x:row r="7811">
      <x:c r="A7811" s="1" t="n">
        <x:v>62544</x:v>
      </x:c>
      <x:c r="B7811" s="5" t="d">
        <x:v>2017-07-01T00:00:00.000Z</x:v>
      </x:c>
      <x:c r="C7811" s="1" t="str">
        <x:v>Standard Class</x:v>
      </x:c>
      <x:c r="D7811" s="1" t="str">
        <x:v>Europe</x:v>
      </x:c>
      <x:c r="E7811" s="1" t="str">
        <x:v>PENDING</x:v>
      </x:c>
      <x:c r="F7811" s="1" t="str">
        <x:v>Late delivery</x:v>
      </x:c>
      <x:c r="G7811" s="6" t="n">
        <x:v>5</x:v>
      </x:c>
      <x:c r="H7811" s="6" t="n">
        <x:v>4</x:v>
      </x:c>
      <x:c r="I7811" s="6" t="n">
        <x:f>G7811-H7811</x:f>
        <x:v>1</x:v>
      </x:c>
      <x:c r="J7811" s="6" t="n">
        <x:f>IF(OR(E7811="CANCELED",E7811="SUSPECTED_FRAUD",F7811="Shipping canceled"),0,1)</x:f>
        <x:v>1</x:v>
      </x:c>
      <x:c r="K7811" s="6" t="n">
        <x:f>IF(G7811&gt;H7811,1,0)</x:f>
        <x:v>1</x:v>
      </x:c>
      <x:c r="L7811" s="6" t="n">
        <x:f>J7811*K7811</x:f>
        <x:v>1</x:v>
      </x:c>
    </x:row>
    <x:row r="7812">
      <x:c r="A7812" s="1" t="n">
        <x:v>62545</x:v>
      </x:c>
      <x:c r="B7812" s="5" t="d">
        <x:v>2017-07-01T00:00:00.000Z</x:v>
      </x:c>
      <x:c r="C7812" s="1" t="str">
        <x:v>Standard Class</x:v>
      </x:c>
      <x:c r="D7812" s="1" t="str">
        <x:v>Europe</x:v>
      </x:c>
      <x:c r="E7812" s="1" t="str">
        <x:v>PENDING_PAYMENT</x:v>
      </x:c>
      <x:c r="F7812" s="1" t="str">
        <x:v>Late delivery</x:v>
      </x:c>
      <x:c r="G7812" s="6" t="n">
        <x:v>6</x:v>
      </x:c>
      <x:c r="H7812" s="6" t="n">
        <x:v>4</x:v>
      </x:c>
      <x:c r="I7812" s="6" t="n">
        <x:f>G7812-H7812</x:f>
        <x:v>2</x:v>
      </x:c>
      <x:c r="J7812" s="6" t="n">
        <x:f>IF(OR(E7812="CANCELED",E7812="SUSPECTED_FRAUD",F7812="Shipping canceled"),0,1)</x:f>
        <x:v>1</x:v>
      </x:c>
      <x:c r="K7812" s="6" t="n">
        <x:f>IF(G7812&gt;H7812,1,0)</x:f>
        <x:v>1</x:v>
      </x:c>
      <x:c r="L7812" s="6" t="n">
        <x:f>J7812*K7812</x:f>
        <x:v>1</x:v>
      </x:c>
    </x:row>
    <x:row r="7813">
      <x:c r="A7813" s="1" t="n">
        <x:v>62552</x:v>
      </x:c>
      <x:c r="B7813" s="5" t="d">
        <x:v>2017-07-02T00:00:00.000Z</x:v>
      </x:c>
      <x:c r="C7813" s="1" t="str">
        <x:v>Standard Class</x:v>
      </x:c>
      <x:c r="D7813" s="1" t="str">
        <x:v>Europe</x:v>
      </x:c>
      <x:c r="E7813" s="1" t="str">
        <x:v>PROCESSING</x:v>
      </x:c>
      <x:c r="F7813" s="1" t="str">
        <x:v>Advance shipping</x:v>
      </x:c>
      <x:c r="G7813" s="6" t="n">
        <x:v>3</x:v>
      </x:c>
      <x:c r="H7813" s="6" t="n">
        <x:v>4</x:v>
      </x:c>
      <x:c r="I7813" s="6" t="n">
        <x:f>G7813-H7813</x:f>
        <x:v>-1</x:v>
      </x:c>
      <x:c r="J7813" s="6" t="n">
        <x:f>IF(OR(E7813="CANCELED",E7813="SUSPECTED_FRAUD",F7813="Shipping canceled"),0,1)</x:f>
        <x:v>1</x:v>
      </x:c>
      <x:c r="K7813" s="6" t="n">
        <x:f>IF(G7813&gt;H7813,1,0)</x:f>
        <x:v>0</x:v>
      </x:c>
      <x:c r="L7813" s="6" t="n">
        <x:f>J7813*K7813</x:f>
        <x:v>0</x:v>
      </x:c>
    </x:row>
    <x:row r="7814">
      <x:c r="A7814" s="1" t="n">
        <x:v>62553</x:v>
      </x:c>
      <x:c r="B7814" s="5" t="d">
        <x:v>2017-07-02T00:00:00.000Z</x:v>
      </x:c>
      <x:c r="C7814" s="1" t="str">
        <x:v>Standard Class</x:v>
      </x:c>
      <x:c r="D7814" s="1" t="str">
        <x:v>Europe</x:v>
      </x:c>
      <x:c r="E7814" s="1" t="str">
        <x:v>COMPLETE</x:v>
      </x:c>
      <x:c r="F7814" s="1" t="str">
        <x:v>Shipping on time</x:v>
      </x:c>
      <x:c r="G7814" s="6" t="n">
        <x:v>4</x:v>
      </x:c>
      <x:c r="H7814" s="6" t="n">
        <x:v>4</x:v>
      </x:c>
      <x:c r="I7814" s="6" t="n">
        <x:f>G7814-H7814</x:f>
        <x:v>0</x:v>
      </x:c>
      <x:c r="J7814" s="6" t="n">
        <x:f>IF(OR(E7814="CANCELED",E7814="SUSPECTED_FRAUD",F7814="Shipping canceled"),0,1)</x:f>
        <x:v>1</x:v>
      </x:c>
      <x:c r="K7814" s="6" t="n">
        <x:f>IF(G7814&gt;H7814,1,0)</x:f>
        <x:v>0</x:v>
      </x:c>
      <x:c r="L7814" s="6" t="n">
        <x:f>J7814*K7814</x:f>
        <x:v>0</x:v>
      </x:c>
    </x:row>
    <x:row r="7815">
      <x:c r="A7815" s="1" t="n">
        <x:v>62554</x:v>
      </x:c>
      <x:c r="B7815" s="5" t="d">
        <x:v>2017-07-02T00:00:00.000Z</x:v>
      </x:c>
      <x:c r="C7815" s="1" t="str">
        <x:v>Standard Class</x:v>
      </x:c>
      <x:c r="D7815" s="1" t="str">
        <x:v>Europe</x:v>
      </x:c>
      <x:c r="E7815" s="1" t="str">
        <x:v>COMPLETE</x:v>
      </x:c>
      <x:c r="F7815" s="1" t="str">
        <x:v>Late delivery</x:v>
      </x:c>
      <x:c r="G7815" s="6" t="n">
        <x:v>5</x:v>
      </x:c>
      <x:c r="H7815" s="6" t="n">
        <x:v>4</x:v>
      </x:c>
      <x:c r="I7815" s="6" t="n">
        <x:f>G7815-H7815</x:f>
        <x:v>1</x:v>
      </x:c>
      <x:c r="J7815" s="6" t="n">
        <x:f>IF(OR(E7815="CANCELED",E7815="SUSPECTED_FRAUD",F7815="Shipping canceled"),0,1)</x:f>
        <x:v>1</x:v>
      </x:c>
      <x:c r="K7815" s="6" t="n">
        <x:f>IF(G7815&gt;H7815,1,0)</x:f>
        <x:v>1</x:v>
      </x:c>
      <x:c r="L7815" s="6" t="n">
        <x:f>J7815*K7815</x:f>
        <x:v>1</x:v>
      </x:c>
    </x:row>
    <x:row r="7816">
      <x:c r="A7816" s="1" t="n">
        <x:v>62563</x:v>
      </x:c>
      <x:c r="B7816" s="5" t="d">
        <x:v>2017-07-02T00:00:00.000Z</x:v>
      </x:c>
      <x:c r="C7816" s="1" t="str">
        <x:v>Standard Class</x:v>
      </x:c>
      <x:c r="D7816" s="1" t="str">
        <x:v>Europe</x:v>
      </x:c>
      <x:c r="E7816" s="1" t="str">
        <x:v>COMPLETE</x:v>
      </x:c>
      <x:c r="F7816" s="1" t="str">
        <x:v>Shipping on time</x:v>
      </x:c>
      <x:c r="G7816" s="6" t="n">
        <x:v>4</x:v>
      </x:c>
      <x:c r="H7816" s="6" t="n">
        <x:v>4</x:v>
      </x:c>
      <x:c r="I7816" s="6" t="n">
        <x:f>G7816-H7816</x:f>
        <x:v>0</x:v>
      </x:c>
      <x:c r="J7816" s="6" t="n">
        <x:f>IF(OR(E7816="CANCELED",E7816="SUSPECTED_FRAUD",F7816="Shipping canceled"),0,1)</x:f>
        <x:v>1</x:v>
      </x:c>
      <x:c r="K7816" s="6" t="n">
        <x:f>IF(G7816&gt;H7816,1,0)</x:f>
        <x:v>0</x:v>
      </x:c>
      <x:c r="L7816" s="6" t="n">
        <x:f>J7816*K7816</x:f>
        <x:v>0</x:v>
      </x:c>
    </x:row>
    <x:row r="7817">
      <x:c r="A7817" s="1" t="n">
        <x:v>62571</x:v>
      </x:c>
      <x:c r="B7817" s="5" t="d">
        <x:v>2017-07-02T00:00:00.000Z</x:v>
      </x:c>
      <x:c r="C7817" s="1" t="str">
        <x:v>Second Class</x:v>
      </x:c>
      <x:c r="D7817" s="1" t="str">
        <x:v>Europe</x:v>
      </x:c>
      <x:c r="E7817" s="1" t="str">
        <x:v>PENDING_PAYMENT</x:v>
      </x:c>
      <x:c r="F7817" s="1" t="str">
        <x:v>Shipping on time</x:v>
      </x:c>
      <x:c r="G7817" s="6" t="n">
        <x:v>2</x:v>
      </x:c>
      <x:c r="H7817" s="6" t="n">
        <x:v>2</x:v>
      </x:c>
      <x:c r="I7817" s="6" t="n">
        <x:f>G7817-H7817</x:f>
        <x:v>0</x:v>
      </x:c>
      <x:c r="J7817" s="6" t="n">
        <x:f>IF(OR(E7817="CANCELED",E7817="SUSPECTED_FRAUD",F7817="Shipping canceled"),0,1)</x:f>
        <x:v>1</x:v>
      </x:c>
      <x:c r="K7817" s="6" t="n">
        <x:f>IF(G7817&gt;H7817,1,0)</x:f>
        <x:v>0</x:v>
      </x:c>
      <x:c r="L7817" s="6" t="n">
        <x:f>J7817*K7817</x:f>
        <x:v>0</x:v>
      </x:c>
    </x:row>
    <x:row r="7818">
      <x:c r="A7818" s="1" t="n">
        <x:v>62576</x:v>
      </x:c>
      <x:c r="B7818" s="5" t="d">
        <x:v>2017-07-02T00:00:00.000Z</x:v>
      </x:c>
      <x:c r="C7818" s="1" t="str">
        <x:v>Standard Class</x:v>
      </x:c>
      <x:c r="D7818" s="1" t="str">
        <x:v>Europe</x:v>
      </x:c>
      <x:c r="E7818" s="1" t="str">
        <x:v>COMPLETE</x:v>
      </x:c>
      <x:c r="F7818" s="1" t="str">
        <x:v>Advance shipping</x:v>
      </x:c>
      <x:c r="G7818" s="6" t="n">
        <x:v>2</x:v>
      </x:c>
      <x:c r="H7818" s="6" t="n">
        <x:v>4</x:v>
      </x:c>
      <x:c r="I7818" s="6" t="n">
        <x:f>G7818-H7818</x:f>
        <x:v>-2</x:v>
      </x:c>
      <x:c r="J7818" s="6" t="n">
        <x:f>IF(OR(E7818="CANCELED",E7818="SUSPECTED_FRAUD",F7818="Shipping canceled"),0,1)</x:f>
        <x:v>1</x:v>
      </x:c>
      <x:c r="K7818" s="6" t="n">
        <x:f>IF(G7818&gt;H7818,1,0)</x:f>
        <x:v>0</x:v>
      </x:c>
      <x:c r="L7818" s="6" t="n">
        <x:f>J7818*K7818</x:f>
        <x:v>0</x:v>
      </x:c>
    </x:row>
    <x:row r="7819">
      <x:c r="A7819" s="1" t="n">
        <x:v>62594</x:v>
      </x:c>
      <x:c r="B7819" s="5" t="d">
        <x:v>2017-07-02T00:00:00.000Z</x:v>
      </x:c>
      <x:c r="C7819" s="1" t="str">
        <x:v>Standard Class</x:v>
      </x:c>
      <x:c r="D7819" s="1" t="str">
        <x:v>Europe</x:v>
      </x:c>
      <x:c r="E7819" s="1" t="str">
        <x:v>COMPLETE</x:v>
      </x:c>
      <x:c r="F7819" s="1" t="str">
        <x:v>Late delivery</x:v>
      </x:c>
      <x:c r="G7819" s="6" t="n">
        <x:v>5</x:v>
      </x:c>
      <x:c r="H7819" s="6" t="n">
        <x:v>4</x:v>
      </x:c>
      <x:c r="I7819" s="6" t="n">
        <x:f>G7819-H7819</x:f>
        <x:v>1</x:v>
      </x:c>
      <x:c r="J7819" s="6" t="n">
        <x:f>IF(OR(E7819="CANCELED",E7819="SUSPECTED_FRAUD",F7819="Shipping canceled"),0,1)</x:f>
        <x:v>1</x:v>
      </x:c>
      <x:c r="K7819" s="6" t="n">
        <x:f>IF(G7819&gt;H7819,1,0)</x:f>
        <x:v>1</x:v>
      </x:c>
      <x:c r="L7819" s="6" t="n">
        <x:f>J7819*K7819</x:f>
        <x:v>1</x:v>
      </x:c>
    </x:row>
    <x:row r="7820">
      <x:c r="A7820" s="1" t="n">
        <x:v>62595</x:v>
      </x:c>
      <x:c r="B7820" s="5" t="d">
        <x:v>2017-07-02T00:00:00.000Z</x:v>
      </x:c>
      <x:c r="C7820" s="1" t="str">
        <x:v>Standard Class</x:v>
      </x:c>
      <x:c r="D7820" s="1" t="str">
        <x:v>Europe</x:v>
      </x:c>
      <x:c r="E7820" s="1" t="str">
        <x:v>COMPLETE</x:v>
      </x:c>
      <x:c r="F7820" s="1" t="str">
        <x:v>Late delivery</x:v>
      </x:c>
      <x:c r="G7820" s="6" t="n">
        <x:v>6</x:v>
      </x:c>
      <x:c r="H7820" s="6" t="n">
        <x:v>4</x:v>
      </x:c>
      <x:c r="I7820" s="6" t="n">
        <x:f>G7820-H7820</x:f>
        <x:v>2</x:v>
      </x:c>
      <x:c r="J7820" s="6" t="n">
        <x:f>IF(OR(E7820="CANCELED",E7820="SUSPECTED_FRAUD",F7820="Shipping canceled"),0,1)</x:f>
        <x:v>1</x:v>
      </x:c>
      <x:c r="K7820" s="6" t="n">
        <x:f>IF(G7820&gt;H7820,1,0)</x:f>
        <x:v>1</x:v>
      </x:c>
      <x:c r="L7820" s="6" t="n">
        <x:f>J7820*K7820</x:f>
        <x:v>1</x:v>
      </x:c>
    </x:row>
    <x:row r="7821">
      <x:c r="A7821" s="1" t="n">
        <x:v>62596</x:v>
      </x:c>
      <x:c r="B7821" s="5" t="d">
        <x:v>2017-07-02T00:00:00.000Z</x:v>
      </x:c>
      <x:c r="C7821" s="1" t="str">
        <x:v>Standard Class</x:v>
      </x:c>
      <x:c r="D7821" s="1" t="str">
        <x:v>Europe</x:v>
      </x:c>
      <x:c r="E7821" s="1" t="str">
        <x:v>SUSPECTED_FRAUD</x:v>
      </x:c>
      <x:c r="F7821" s="1" t="str">
        <x:v>Shipping canceled</x:v>
      </x:c>
      <x:c r="G7821" s="6" t="n">
        <x:v>2</x:v>
      </x:c>
      <x:c r="H7821" s="6" t="n">
        <x:v>4</x:v>
      </x:c>
      <x:c r="I7821" s="6" t="n">
        <x:f>G7821-H7821</x:f>
        <x:v>-2</x:v>
      </x:c>
      <x:c r="J7821" s="6" t="n">
        <x:f>IF(OR(E7821="CANCELED",E7821="SUSPECTED_FRAUD",F7821="Shipping canceled"),0,1)</x:f>
        <x:v>0</x:v>
      </x:c>
      <x:c r="K7821" s="6" t="n">
        <x:f>IF(G7821&gt;H7821,1,0)</x:f>
        <x:v>0</x:v>
      </x:c>
      <x:c r="L7821" s="6" t="n">
        <x:f>J7821*K7821</x:f>
        <x:v>0</x:v>
      </x:c>
    </x:row>
    <x:row r="7822">
      <x:c r="A7822" s="1" t="n">
        <x:v>62598</x:v>
      </x:c>
      <x:c r="B7822" s="5" t="d">
        <x:v>2017-07-02T00:00:00.000Z</x:v>
      </x:c>
      <x:c r="C7822" s="1" t="str">
        <x:v>Standard Class</x:v>
      </x:c>
      <x:c r="D7822" s="1" t="str">
        <x:v>Europe</x:v>
      </x:c>
      <x:c r="E7822" s="1" t="str">
        <x:v>COMPLETE</x:v>
      </x:c>
      <x:c r="F7822" s="1" t="str">
        <x:v>Shipping on time</x:v>
      </x:c>
      <x:c r="G7822" s="6" t="n">
        <x:v>4</x:v>
      </x:c>
      <x:c r="H7822" s="6" t="n">
        <x:v>4</x:v>
      </x:c>
      <x:c r="I7822" s="6" t="n">
        <x:f>G7822-H7822</x:f>
        <x:v>0</x:v>
      </x:c>
      <x:c r="J7822" s="6" t="n">
        <x:f>IF(OR(E7822="CANCELED",E7822="SUSPECTED_FRAUD",F7822="Shipping canceled"),0,1)</x:f>
        <x:v>1</x:v>
      </x:c>
      <x:c r="K7822" s="6" t="n">
        <x:f>IF(G7822&gt;H7822,1,0)</x:f>
        <x:v>0</x:v>
      </x:c>
      <x:c r="L7822" s="6" t="n">
        <x:f>J7822*K7822</x:f>
        <x:v>0</x:v>
      </x:c>
    </x:row>
    <x:row r="7823">
      <x:c r="A7823" s="1" t="n">
        <x:v>62603</x:v>
      </x:c>
      <x:c r="B7823" s="5" t="d">
        <x:v>2017-07-02T00:00:00.000Z</x:v>
      </x:c>
      <x:c r="C7823" s="1" t="str">
        <x:v>Second Class</x:v>
      </x:c>
      <x:c r="D7823" s="1" t="str">
        <x:v>Europe</x:v>
      </x:c>
      <x:c r="E7823" s="1" t="str">
        <x:v>COMPLETE</x:v>
      </x:c>
      <x:c r="F7823" s="1" t="str">
        <x:v>Late delivery</x:v>
      </x:c>
      <x:c r="G7823" s="6" t="n">
        <x:v>4</x:v>
      </x:c>
      <x:c r="H7823" s="6" t="n">
        <x:v>2</x:v>
      </x:c>
      <x:c r="I7823" s="6" t="n">
        <x:f>G7823-H7823</x:f>
        <x:v>2</x:v>
      </x:c>
      <x:c r="J7823" s="6" t="n">
        <x:f>IF(OR(E7823="CANCELED",E7823="SUSPECTED_FRAUD",F7823="Shipping canceled"),0,1)</x:f>
        <x:v>1</x:v>
      </x:c>
      <x:c r="K7823" s="6" t="n">
        <x:f>IF(G7823&gt;H7823,1,0)</x:f>
        <x:v>1</x:v>
      </x:c>
      <x:c r="L7823" s="6" t="n">
        <x:f>J7823*K7823</x:f>
        <x:v>1</x:v>
      </x:c>
    </x:row>
    <x:row r="7824">
      <x:c r="A7824" s="1" t="n">
        <x:v>62606</x:v>
      </x:c>
      <x:c r="B7824" s="5" t="d">
        <x:v>2017-07-02T00:00:00.000Z</x:v>
      </x:c>
      <x:c r="C7824" s="1" t="str">
        <x:v>First Class</x:v>
      </x:c>
      <x:c r="D7824" s="1" t="str">
        <x:v>Europe</x:v>
      </x:c>
      <x:c r="E7824" s="1" t="str">
        <x:v>PENDING_PAYMENT</x:v>
      </x:c>
      <x:c r="F7824" s="1" t="str">
        <x:v>Late delivery</x:v>
      </x:c>
      <x:c r="G7824" s="6" t="n">
        <x:v>2</x:v>
      </x:c>
      <x:c r="H7824" s="6" t="n">
        <x:v>1</x:v>
      </x:c>
      <x:c r="I7824" s="6" t="n">
        <x:f>G7824-H7824</x:f>
        <x:v>1</x:v>
      </x:c>
      <x:c r="J7824" s="6" t="n">
        <x:f>IF(OR(E7824="CANCELED",E7824="SUSPECTED_FRAUD",F7824="Shipping canceled"),0,1)</x:f>
        <x:v>1</x:v>
      </x:c>
      <x:c r="K7824" s="6" t="n">
        <x:f>IF(G7824&gt;H7824,1,0)</x:f>
        <x:v>1</x:v>
      </x:c>
      <x:c r="L7824" s="6" t="n">
        <x:f>J7824*K7824</x:f>
        <x:v>1</x:v>
      </x:c>
    </x:row>
    <x:row r="7825">
      <x:c r="A7825" s="1" t="n">
        <x:v>62637</x:v>
      </x:c>
      <x:c r="B7825" s="5" t="d">
        <x:v>2017-07-03T00:00:00.000Z</x:v>
      </x:c>
      <x:c r="C7825" s="1" t="str">
        <x:v>Second Class</x:v>
      </x:c>
      <x:c r="D7825" s="1" t="str">
        <x:v>Europe</x:v>
      </x:c>
      <x:c r="E7825" s="1" t="str">
        <x:v>COMPLETE</x:v>
      </x:c>
      <x:c r="F7825" s="1" t="str">
        <x:v>Late delivery</x:v>
      </x:c>
      <x:c r="G7825" s="6" t="n">
        <x:v>3</x:v>
      </x:c>
      <x:c r="H7825" s="6" t="n">
        <x:v>2</x:v>
      </x:c>
      <x:c r="I7825" s="6" t="n">
        <x:f>G7825-H7825</x:f>
        <x:v>1</x:v>
      </x:c>
      <x:c r="J7825" s="6" t="n">
        <x:f>IF(OR(E7825="CANCELED",E7825="SUSPECTED_FRAUD",F7825="Shipping canceled"),0,1)</x:f>
        <x:v>1</x:v>
      </x:c>
      <x:c r="K7825" s="6" t="n">
        <x:f>IF(G7825&gt;H7825,1,0)</x:f>
        <x:v>1</x:v>
      </x:c>
      <x:c r="L7825" s="6" t="n">
        <x:f>J7825*K7825</x:f>
        <x:v>1</x:v>
      </x:c>
    </x:row>
    <x:row r="7826">
      <x:c r="A7826" s="1" t="n">
        <x:v>62657</x:v>
      </x:c>
      <x:c r="B7826" s="5" t="d">
        <x:v>2017-07-03T00:00:00.000Z</x:v>
      </x:c>
      <x:c r="C7826" s="1" t="str">
        <x:v>Standard Class</x:v>
      </x:c>
      <x:c r="D7826" s="1" t="str">
        <x:v>Europe</x:v>
      </x:c>
      <x:c r="E7826" s="1" t="str">
        <x:v>COMPLETE</x:v>
      </x:c>
      <x:c r="F7826" s="1" t="str">
        <x:v>Advance shipping</x:v>
      </x:c>
      <x:c r="G7826" s="6" t="n">
        <x:v>3</x:v>
      </x:c>
      <x:c r="H7826" s="6" t="n">
        <x:v>4</x:v>
      </x:c>
      <x:c r="I7826" s="6" t="n">
        <x:f>G7826-H7826</x:f>
        <x:v>-1</x:v>
      </x:c>
      <x:c r="J7826" s="6" t="n">
        <x:f>IF(OR(E7826="CANCELED",E7826="SUSPECTED_FRAUD",F7826="Shipping canceled"),0,1)</x:f>
        <x:v>1</x:v>
      </x:c>
      <x:c r="K7826" s="6" t="n">
        <x:f>IF(G7826&gt;H7826,1,0)</x:f>
        <x:v>0</x:v>
      </x:c>
      <x:c r="L7826" s="6" t="n">
        <x:f>J7826*K7826</x:f>
        <x:v>0</x:v>
      </x:c>
    </x:row>
    <x:row r="7827">
      <x:c r="A7827" s="1" t="n">
        <x:v>62666</x:v>
      </x:c>
      <x:c r="B7827" s="5" t="d">
        <x:v>2017-07-03T00:00:00.000Z</x:v>
      </x:c>
      <x:c r="C7827" s="1" t="str">
        <x:v>First Class</x:v>
      </x:c>
      <x:c r="D7827" s="1" t="str">
        <x:v>Europe</x:v>
      </x:c>
      <x:c r="E7827" s="1" t="str">
        <x:v>CLOSED</x:v>
      </x:c>
      <x:c r="F7827" s="1" t="str">
        <x:v>Late delivery</x:v>
      </x:c>
      <x:c r="G7827" s="6" t="n">
        <x:v>2</x:v>
      </x:c>
      <x:c r="H7827" s="6" t="n">
        <x:v>1</x:v>
      </x:c>
      <x:c r="I7827" s="6" t="n">
        <x:f>G7827-H7827</x:f>
        <x:v>1</x:v>
      </x:c>
      <x:c r="J7827" s="6" t="n">
        <x:f>IF(OR(E7827="CANCELED",E7827="SUSPECTED_FRAUD",F7827="Shipping canceled"),0,1)</x:f>
        <x:v>1</x:v>
      </x:c>
      <x:c r="K7827" s="6" t="n">
        <x:f>IF(G7827&gt;H7827,1,0)</x:f>
        <x:v>1</x:v>
      </x:c>
      <x:c r="L7827" s="6" t="n">
        <x:f>J7827*K7827</x:f>
        <x:v>1</x:v>
      </x:c>
    </x:row>
    <x:row r="7828">
      <x:c r="A7828" s="1" t="n">
        <x:v>62670</x:v>
      </x:c>
      <x:c r="B7828" s="5" t="d">
        <x:v>2017-07-03T00:00:00.000Z</x:v>
      </x:c>
      <x:c r="C7828" s="1" t="str">
        <x:v>Standard Class</x:v>
      </x:c>
      <x:c r="D7828" s="1" t="str">
        <x:v>Europe</x:v>
      </x:c>
      <x:c r="E7828" s="1" t="str">
        <x:v>ON_HOLD</x:v>
      </x:c>
      <x:c r="F7828" s="1" t="str">
        <x:v>Late delivery</x:v>
      </x:c>
      <x:c r="G7828" s="6" t="n">
        <x:v>6</x:v>
      </x:c>
      <x:c r="H7828" s="6" t="n">
        <x:v>4</x:v>
      </x:c>
      <x:c r="I7828" s="6" t="n">
        <x:f>G7828-H7828</x:f>
        <x:v>2</x:v>
      </x:c>
      <x:c r="J7828" s="6" t="n">
        <x:f>IF(OR(E7828="CANCELED",E7828="SUSPECTED_FRAUD",F7828="Shipping canceled"),0,1)</x:f>
        <x:v>1</x:v>
      </x:c>
      <x:c r="K7828" s="6" t="n">
        <x:f>IF(G7828&gt;H7828,1,0)</x:f>
        <x:v>1</x:v>
      </x:c>
      <x:c r="L7828" s="6" t="n">
        <x:f>J7828*K7828</x:f>
        <x:v>1</x:v>
      </x:c>
    </x:row>
    <x:row r="7829">
      <x:c r="A7829" s="1" t="n">
        <x:v>62682</x:v>
      </x:c>
      <x:c r="B7829" s="5" t="d">
        <x:v>2017-07-03T00:00:00.000Z</x:v>
      </x:c>
      <x:c r="C7829" s="1" t="str">
        <x:v>Standard Class</x:v>
      </x:c>
      <x:c r="D7829" s="1" t="str">
        <x:v>Europe</x:v>
      </x:c>
      <x:c r="E7829" s="1" t="str">
        <x:v>PENDING</x:v>
      </x:c>
      <x:c r="F7829" s="1" t="str">
        <x:v>Advance shipping</x:v>
      </x:c>
      <x:c r="G7829" s="6" t="n">
        <x:v>3</x:v>
      </x:c>
      <x:c r="H7829" s="6" t="n">
        <x:v>4</x:v>
      </x:c>
      <x:c r="I7829" s="6" t="n">
        <x:f>G7829-H7829</x:f>
        <x:v>-1</x:v>
      </x:c>
      <x:c r="J7829" s="6" t="n">
        <x:f>IF(OR(E7829="CANCELED",E7829="SUSPECTED_FRAUD",F7829="Shipping canceled"),0,1)</x:f>
        <x:v>1</x:v>
      </x:c>
      <x:c r="K7829" s="6" t="n">
        <x:f>IF(G7829&gt;H7829,1,0)</x:f>
        <x:v>0</x:v>
      </x:c>
      <x:c r="L7829" s="6" t="n">
        <x:f>J7829*K7829</x:f>
        <x:v>0</x:v>
      </x:c>
    </x:row>
    <x:row r="7830">
      <x:c r="A7830" s="1" t="n">
        <x:v>62692</x:v>
      </x:c>
      <x:c r="B7830" s="5" t="d">
        <x:v>2017-07-04T00:00:00.000Z</x:v>
      </x:c>
      <x:c r="C7830" s="1" t="str">
        <x:v>Standard Class</x:v>
      </x:c>
      <x:c r="D7830" s="1" t="str">
        <x:v>Europe</x:v>
      </x:c>
      <x:c r="E7830" s="1" t="str">
        <x:v>COMPLETE</x:v>
      </x:c>
      <x:c r="F7830" s="1" t="str">
        <x:v>Advance shipping</x:v>
      </x:c>
      <x:c r="G7830" s="6" t="n">
        <x:v>3</x:v>
      </x:c>
      <x:c r="H7830" s="6" t="n">
        <x:v>4</x:v>
      </x:c>
      <x:c r="I7830" s="6" t="n">
        <x:f>G7830-H7830</x:f>
        <x:v>-1</x:v>
      </x:c>
      <x:c r="J7830" s="6" t="n">
        <x:f>IF(OR(E7830="CANCELED",E7830="SUSPECTED_FRAUD",F7830="Shipping canceled"),0,1)</x:f>
        <x:v>1</x:v>
      </x:c>
      <x:c r="K7830" s="6" t="n">
        <x:f>IF(G7830&gt;H7830,1,0)</x:f>
        <x:v>0</x:v>
      </x:c>
      <x:c r="L7830" s="6" t="n">
        <x:f>J7830*K7830</x:f>
        <x:v>0</x:v>
      </x:c>
    </x:row>
    <x:row r="7831">
      <x:c r="A7831" s="1" t="n">
        <x:v>62698</x:v>
      </x:c>
      <x:c r="B7831" s="5" t="d">
        <x:v>2017-07-04T00:00:00.000Z</x:v>
      </x:c>
      <x:c r="C7831" s="1" t="str">
        <x:v>Standard Class</x:v>
      </x:c>
      <x:c r="D7831" s="1" t="str">
        <x:v>Europe</x:v>
      </x:c>
      <x:c r="E7831" s="1" t="str">
        <x:v>COMPLETE</x:v>
      </x:c>
      <x:c r="F7831" s="1" t="str">
        <x:v>Shipping on time</x:v>
      </x:c>
      <x:c r="G7831" s="6" t="n">
        <x:v>4</x:v>
      </x:c>
      <x:c r="H7831" s="6" t="n">
        <x:v>4</x:v>
      </x:c>
      <x:c r="I7831" s="6" t="n">
        <x:f>G7831-H7831</x:f>
        <x:v>0</x:v>
      </x:c>
      <x:c r="J7831" s="6" t="n">
        <x:f>IF(OR(E7831="CANCELED",E7831="SUSPECTED_FRAUD",F7831="Shipping canceled"),0,1)</x:f>
        <x:v>1</x:v>
      </x:c>
      <x:c r="K7831" s="6" t="n">
        <x:f>IF(G7831&gt;H7831,1,0)</x:f>
        <x:v>0</x:v>
      </x:c>
      <x:c r="L7831" s="6" t="n">
        <x:f>J7831*K7831</x:f>
        <x:v>0</x:v>
      </x:c>
    </x:row>
    <x:row r="7832">
      <x:c r="A7832" s="1" t="n">
        <x:v>62710</x:v>
      </x:c>
      <x:c r="B7832" s="5" t="d">
        <x:v>2017-07-04T00:00:00.000Z</x:v>
      </x:c>
      <x:c r="C7832" s="1" t="str">
        <x:v>Standard Class</x:v>
      </x:c>
      <x:c r="D7832" s="1" t="str">
        <x:v>Europe</x:v>
      </x:c>
      <x:c r="E7832" s="1" t="str">
        <x:v>COMPLETE</x:v>
      </x:c>
      <x:c r="F7832" s="1" t="str">
        <x:v>Late delivery</x:v>
      </x:c>
      <x:c r="G7832" s="6" t="n">
        <x:v>6</x:v>
      </x:c>
      <x:c r="H7832" s="6" t="n">
        <x:v>4</x:v>
      </x:c>
      <x:c r="I7832" s="6" t="n">
        <x:f>G7832-H7832</x:f>
        <x:v>2</x:v>
      </x:c>
      <x:c r="J7832" s="6" t="n">
        <x:f>IF(OR(E7832="CANCELED",E7832="SUSPECTED_FRAUD",F7832="Shipping canceled"),0,1)</x:f>
        <x:v>1</x:v>
      </x:c>
      <x:c r="K7832" s="6" t="n">
        <x:f>IF(G7832&gt;H7832,1,0)</x:f>
        <x:v>1</x:v>
      </x:c>
      <x:c r="L7832" s="6" t="n">
        <x:f>J7832*K7832</x:f>
        <x:v>1</x:v>
      </x:c>
    </x:row>
    <x:row r="7833">
      <x:c r="A7833" s="1" t="n">
        <x:v>62713</x:v>
      </x:c>
      <x:c r="B7833" s="5" t="d">
        <x:v>2017-07-04T00:00:00.000Z</x:v>
      </x:c>
      <x:c r="C7833" s="1" t="str">
        <x:v>Standard Class</x:v>
      </x:c>
      <x:c r="D7833" s="1" t="str">
        <x:v>Europe</x:v>
      </x:c>
      <x:c r="E7833" s="1" t="str">
        <x:v>COMPLETE</x:v>
      </x:c>
      <x:c r="F7833" s="1" t="str">
        <x:v>Shipping on time</x:v>
      </x:c>
      <x:c r="G7833" s="6" t="n">
        <x:v>4</x:v>
      </x:c>
      <x:c r="H7833" s="6" t="n">
        <x:v>4</x:v>
      </x:c>
      <x:c r="I7833" s="6" t="n">
        <x:f>G7833-H7833</x:f>
        <x:v>0</x:v>
      </x:c>
      <x:c r="J7833" s="6" t="n">
        <x:f>IF(OR(E7833="CANCELED",E7833="SUSPECTED_FRAUD",F7833="Shipping canceled"),0,1)</x:f>
        <x:v>1</x:v>
      </x:c>
      <x:c r="K7833" s="6" t="n">
        <x:f>IF(G7833&gt;H7833,1,0)</x:f>
        <x:v>0</x:v>
      </x:c>
      <x:c r="L7833" s="6" t="n">
        <x:f>J7833*K7833</x:f>
        <x:v>0</x:v>
      </x:c>
    </x:row>
    <x:row r="7834">
      <x:c r="A7834" s="1" t="n">
        <x:v>62739</x:v>
      </x:c>
      <x:c r="B7834" s="5" t="d">
        <x:v>2017-07-04T00:00:00.000Z</x:v>
      </x:c>
      <x:c r="C7834" s="1" t="str">
        <x:v>Standard Class</x:v>
      </x:c>
      <x:c r="D7834" s="1" t="str">
        <x:v>Europe</x:v>
      </x:c>
      <x:c r="E7834" s="1" t="str">
        <x:v>ON_HOLD</x:v>
      </x:c>
      <x:c r="F7834" s="1" t="str">
        <x:v>Late delivery</x:v>
      </x:c>
      <x:c r="G7834" s="6" t="n">
        <x:v>5</x:v>
      </x:c>
      <x:c r="H7834" s="6" t="n">
        <x:v>4</x:v>
      </x:c>
      <x:c r="I7834" s="6" t="n">
        <x:f>G7834-H7834</x:f>
        <x:v>1</x:v>
      </x:c>
      <x:c r="J7834" s="6" t="n">
        <x:f>IF(OR(E7834="CANCELED",E7834="SUSPECTED_FRAUD",F7834="Shipping canceled"),0,1)</x:f>
        <x:v>1</x:v>
      </x:c>
      <x:c r="K7834" s="6" t="n">
        <x:f>IF(G7834&gt;H7834,1,0)</x:f>
        <x:v>1</x:v>
      </x:c>
      <x:c r="L7834" s="6" t="n">
        <x:f>J7834*K7834</x:f>
        <x:v>1</x:v>
      </x:c>
    </x:row>
    <x:row r="7835">
      <x:c r="A7835" s="1" t="n">
        <x:v>62751</x:v>
      </x:c>
      <x:c r="B7835" s="5" t="d">
        <x:v>2017-07-05T00:00:00.000Z</x:v>
      </x:c>
      <x:c r="C7835" s="1" t="str">
        <x:v>First Class</x:v>
      </x:c>
      <x:c r="D7835" s="1" t="str">
        <x:v>Europe</x:v>
      </x:c>
      <x:c r="E7835" s="1" t="str">
        <x:v>PROCESSING</x:v>
      </x:c>
      <x:c r="F7835" s="1" t="str">
        <x:v>Late delivery</x:v>
      </x:c>
      <x:c r="G7835" s="6" t="n">
        <x:v>2</x:v>
      </x:c>
      <x:c r="H7835" s="6" t="n">
        <x:v>1</x:v>
      </x:c>
      <x:c r="I7835" s="6" t="n">
        <x:f>G7835-H7835</x:f>
        <x:v>1</x:v>
      </x:c>
      <x:c r="J7835" s="6" t="n">
        <x:f>IF(OR(E7835="CANCELED",E7835="SUSPECTED_FRAUD",F7835="Shipping canceled"),0,1)</x:f>
        <x:v>1</x:v>
      </x:c>
      <x:c r="K7835" s="6" t="n">
        <x:f>IF(G7835&gt;H7835,1,0)</x:f>
        <x:v>1</x:v>
      </x:c>
      <x:c r="L7835" s="6" t="n">
        <x:f>J7835*K7835</x:f>
        <x:v>1</x:v>
      </x:c>
    </x:row>
    <x:row r="7836">
      <x:c r="A7836" s="1" t="n">
        <x:v>62761</x:v>
      </x:c>
      <x:c r="B7836" s="5" t="d">
        <x:v>2017-07-05T00:00:00.000Z</x:v>
      </x:c>
      <x:c r="C7836" s="1" t="str">
        <x:v>Standard Class</x:v>
      </x:c>
      <x:c r="D7836" s="1" t="str">
        <x:v>Europe</x:v>
      </x:c>
      <x:c r="E7836" s="1" t="str">
        <x:v>COMPLETE</x:v>
      </x:c>
      <x:c r="F7836" s="1" t="str">
        <x:v>Advance shipping</x:v>
      </x:c>
      <x:c r="G7836" s="6" t="n">
        <x:v>2</x:v>
      </x:c>
      <x:c r="H7836" s="6" t="n">
        <x:v>4</x:v>
      </x:c>
      <x:c r="I7836" s="6" t="n">
        <x:f>G7836-H7836</x:f>
        <x:v>-2</x:v>
      </x:c>
      <x:c r="J7836" s="6" t="n">
        <x:f>IF(OR(E7836="CANCELED",E7836="SUSPECTED_FRAUD",F7836="Shipping canceled"),0,1)</x:f>
        <x:v>1</x:v>
      </x:c>
      <x:c r="K7836" s="6" t="n">
        <x:f>IF(G7836&gt;H7836,1,0)</x:f>
        <x:v>0</x:v>
      </x:c>
      <x:c r="L7836" s="6" t="n">
        <x:f>J7836*K7836</x:f>
        <x:v>0</x:v>
      </x:c>
    </x:row>
    <x:row r="7837">
      <x:c r="A7837" s="1" t="n">
        <x:v>62767</x:v>
      </x:c>
      <x:c r="B7837" s="5" t="d">
        <x:v>2017-07-05T00:00:00.000Z</x:v>
      </x:c>
      <x:c r="C7837" s="1" t="str">
        <x:v>Standard Class</x:v>
      </x:c>
      <x:c r="D7837" s="1" t="str">
        <x:v>Europe</x:v>
      </x:c>
      <x:c r="E7837" s="1" t="str">
        <x:v>COMPLETE</x:v>
      </x:c>
      <x:c r="F7837" s="1" t="str">
        <x:v>Advance shipping</x:v>
      </x:c>
      <x:c r="G7837" s="6" t="n">
        <x:v>3</x:v>
      </x:c>
      <x:c r="H7837" s="6" t="n">
        <x:v>4</x:v>
      </x:c>
      <x:c r="I7837" s="6" t="n">
        <x:f>G7837-H7837</x:f>
        <x:v>-1</x:v>
      </x:c>
      <x:c r="J7837" s="6" t="n">
        <x:f>IF(OR(E7837="CANCELED",E7837="SUSPECTED_FRAUD",F7837="Shipping canceled"),0,1)</x:f>
        <x:v>1</x:v>
      </x:c>
      <x:c r="K7837" s="6" t="n">
        <x:f>IF(G7837&gt;H7837,1,0)</x:f>
        <x:v>0</x:v>
      </x:c>
      <x:c r="L7837" s="6" t="n">
        <x:f>J7837*K7837</x:f>
        <x:v>0</x:v>
      </x:c>
    </x:row>
    <x:row r="7838">
      <x:c r="A7838" s="1" t="n">
        <x:v>62768</x:v>
      </x:c>
      <x:c r="B7838" s="5" t="d">
        <x:v>2017-07-05T00:00:00.000Z</x:v>
      </x:c>
      <x:c r="C7838" s="1" t="str">
        <x:v>Standard Class</x:v>
      </x:c>
      <x:c r="D7838" s="1" t="str">
        <x:v>Europe</x:v>
      </x:c>
      <x:c r="E7838" s="1" t="str">
        <x:v>PENDING_PAYMENT</x:v>
      </x:c>
      <x:c r="F7838" s="1" t="str">
        <x:v>Shipping on time</x:v>
      </x:c>
      <x:c r="G7838" s="6" t="n">
        <x:v>4</x:v>
      </x:c>
      <x:c r="H7838" s="6" t="n">
        <x:v>4</x:v>
      </x:c>
      <x:c r="I7838" s="6" t="n">
        <x:f>G7838-H7838</x:f>
        <x:v>0</x:v>
      </x:c>
      <x:c r="J7838" s="6" t="n">
        <x:f>IF(OR(E7838="CANCELED",E7838="SUSPECTED_FRAUD",F7838="Shipping canceled"),0,1)</x:f>
        <x:v>1</x:v>
      </x:c>
      <x:c r="K7838" s="6" t="n">
        <x:f>IF(G7838&gt;H7838,1,0)</x:f>
        <x:v>0</x:v>
      </x:c>
      <x:c r="L7838" s="6" t="n">
        <x:f>J7838*K7838</x:f>
        <x:v>0</x:v>
      </x:c>
    </x:row>
    <x:row r="7839">
      <x:c r="A7839" s="1" t="n">
        <x:v>62780</x:v>
      </x:c>
      <x:c r="B7839" s="5" t="d">
        <x:v>2017-07-05T00:00:00.000Z</x:v>
      </x:c>
      <x:c r="C7839" s="1" t="str">
        <x:v>Second Class</x:v>
      </x:c>
      <x:c r="D7839" s="1" t="str">
        <x:v>Europe</x:v>
      </x:c>
      <x:c r="E7839" s="1" t="str">
        <x:v>PROCESSING</x:v>
      </x:c>
      <x:c r="F7839" s="1" t="str">
        <x:v>Late delivery</x:v>
      </x:c>
      <x:c r="G7839" s="6" t="n">
        <x:v>6</x:v>
      </x:c>
      <x:c r="H7839" s="6" t="n">
        <x:v>2</x:v>
      </x:c>
      <x:c r="I7839" s="6" t="n">
        <x:f>G7839-H7839</x:f>
        <x:v>4</x:v>
      </x:c>
      <x:c r="J7839" s="6" t="n">
        <x:f>IF(OR(E7839="CANCELED",E7839="SUSPECTED_FRAUD",F7839="Shipping canceled"),0,1)</x:f>
        <x:v>1</x:v>
      </x:c>
      <x:c r="K7839" s="6" t="n">
        <x:f>IF(G7839&gt;H7839,1,0)</x:f>
        <x:v>1</x:v>
      </x:c>
      <x:c r="L7839" s="6" t="n">
        <x:f>J7839*K7839</x:f>
        <x:v>1</x:v>
      </x:c>
    </x:row>
    <x:row r="7840">
      <x:c r="A7840" s="1" t="n">
        <x:v>62782</x:v>
      </x:c>
      <x:c r="B7840" s="5" t="d">
        <x:v>2017-07-05T00:00:00.000Z</x:v>
      </x:c>
      <x:c r="C7840" s="1" t="str">
        <x:v>Standard Class</x:v>
      </x:c>
      <x:c r="D7840" s="1" t="str">
        <x:v>Europe</x:v>
      </x:c>
      <x:c r="E7840" s="1" t="str">
        <x:v>PROCESSING</x:v>
      </x:c>
      <x:c r="F7840" s="1" t="str">
        <x:v>Advance shipping</x:v>
      </x:c>
      <x:c r="G7840" s="6" t="n">
        <x:v>3</x:v>
      </x:c>
      <x:c r="H7840" s="6" t="n">
        <x:v>4</x:v>
      </x:c>
      <x:c r="I7840" s="6" t="n">
        <x:f>G7840-H7840</x:f>
        <x:v>-1</x:v>
      </x:c>
      <x:c r="J7840" s="6" t="n">
        <x:f>IF(OR(E7840="CANCELED",E7840="SUSPECTED_FRAUD",F7840="Shipping canceled"),0,1)</x:f>
        <x:v>1</x:v>
      </x:c>
      <x:c r="K7840" s="6" t="n">
        <x:f>IF(G7840&gt;H7840,1,0)</x:f>
        <x:v>0</x:v>
      </x:c>
      <x:c r="L7840" s="6" t="n">
        <x:f>J7840*K7840</x:f>
        <x:v>0</x:v>
      </x:c>
    </x:row>
    <x:row r="7841">
      <x:c r="A7841" s="1" t="n">
        <x:v>62786</x:v>
      </x:c>
      <x:c r="B7841" s="5" t="d">
        <x:v>2017-07-05T00:00:00.000Z</x:v>
      </x:c>
      <x:c r="C7841" s="1" t="str">
        <x:v>Standard Class</x:v>
      </x:c>
      <x:c r="D7841" s="1" t="str">
        <x:v>Europe</x:v>
      </x:c>
      <x:c r="E7841" s="1" t="str">
        <x:v>CANCELED</x:v>
      </x:c>
      <x:c r="F7841" s="1" t="str">
        <x:v>Shipping canceled</x:v>
      </x:c>
      <x:c r="G7841" s="6" t="n">
        <x:v>2</x:v>
      </x:c>
      <x:c r="H7841" s="6" t="n">
        <x:v>4</x:v>
      </x:c>
      <x:c r="I7841" s="6" t="n">
        <x:f>G7841-H7841</x:f>
        <x:v>-2</x:v>
      </x:c>
      <x:c r="J7841" s="6" t="n">
        <x:f>IF(OR(E7841="CANCELED",E7841="SUSPECTED_FRAUD",F7841="Shipping canceled"),0,1)</x:f>
        <x:v>0</x:v>
      </x:c>
      <x:c r="K7841" s="6" t="n">
        <x:f>IF(G7841&gt;H7841,1,0)</x:f>
        <x:v>0</x:v>
      </x:c>
      <x:c r="L7841" s="6" t="n">
        <x:f>J7841*K7841</x:f>
        <x:v>0</x:v>
      </x:c>
    </x:row>
    <x:row r="7842">
      <x:c r="A7842" s="1" t="n">
        <x:v>62789</x:v>
      </x:c>
      <x:c r="B7842" s="5" t="d">
        <x:v>2017-07-05T00:00:00.000Z</x:v>
      </x:c>
      <x:c r="C7842" s="1" t="str">
        <x:v>Standard Class</x:v>
      </x:c>
      <x:c r="D7842" s="1" t="str">
        <x:v>Europe</x:v>
      </x:c>
      <x:c r="E7842" s="1" t="str">
        <x:v>PENDING</x:v>
      </x:c>
      <x:c r="F7842" s="1" t="str">
        <x:v>Late delivery</x:v>
      </x:c>
      <x:c r="G7842" s="6" t="n">
        <x:v>5</x:v>
      </x:c>
      <x:c r="H7842" s="6" t="n">
        <x:v>4</x:v>
      </x:c>
      <x:c r="I7842" s="6" t="n">
        <x:f>G7842-H7842</x:f>
        <x:v>1</x:v>
      </x:c>
      <x:c r="J7842" s="6" t="n">
        <x:f>IF(OR(E7842="CANCELED",E7842="SUSPECTED_FRAUD",F7842="Shipping canceled"),0,1)</x:f>
        <x:v>1</x:v>
      </x:c>
      <x:c r="K7842" s="6" t="n">
        <x:f>IF(G7842&gt;H7842,1,0)</x:f>
        <x:v>1</x:v>
      </x:c>
      <x:c r="L7842" s="6" t="n">
        <x:f>J7842*K7842</x:f>
        <x:v>1</x:v>
      </x:c>
    </x:row>
    <x:row r="7843">
      <x:c r="A7843" s="1" t="n">
        <x:v>62791</x:v>
      </x:c>
      <x:c r="B7843" s="5" t="d">
        <x:v>2017-07-05T00:00:00.000Z</x:v>
      </x:c>
      <x:c r="C7843" s="1" t="str">
        <x:v>Same Day</x:v>
      </x:c>
      <x:c r="D7843" s="1" t="str">
        <x:v>Europe</x:v>
      </x:c>
      <x:c r="E7843" s="1" t="str">
        <x:v>PENDING</x:v>
      </x:c>
      <x:c r="F7843" s="1" t="str">
        <x:v>Late delivery</x:v>
      </x:c>
      <x:c r="G7843" s="6" t="n">
        <x:v>1</x:v>
      </x:c>
      <x:c r="H7843" s="6" t="n">
        <x:v>0</x:v>
      </x:c>
      <x:c r="I7843" s="6" t="n">
        <x:f>G7843-H7843</x:f>
        <x:v>1</x:v>
      </x:c>
      <x:c r="J7843" s="6" t="n">
        <x:f>IF(OR(E7843="CANCELED",E7843="SUSPECTED_FRAUD",F7843="Shipping canceled"),0,1)</x:f>
        <x:v>1</x:v>
      </x:c>
      <x:c r="K7843" s="6" t="n">
        <x:f>IF(G7843&gt;H7843,1,0)</x:f>
        <x:v>1</x:v>
      </x:c>
      <x:c r="L7843" s="6" t="n">
        <x:f>J7843*K7843</x:f>
        <x:v>1</x:v>
      </x:c>
    </x:row>
    <x:row r="7844">
      <x:c r="A7844" s="1" t="n">
        <x:v>62795</x:v>
      </x:c>
      <x:c r="B7844" s="5" t="d">
        <x:v>2017-07-05T00:00:00.000Z</x:v>
      </x:c>
      <x:c r="C7844" s="1" t="str">
        <x:v>Second Class</x:v>
      </x:c>
      <x:c r="D7844" s="1" t="str">
        <x:v>Europe</x:v>
      </x:c>
      <x:c r="E7844" s="1" t="str">
        <x:v>COMPLETE</x:v>
      </x:c>
      <x:c r="F7844" s="1" t="str">
        <x:v>Late delivery</x:v>
      </x:c>
      <x:c r="G7844" s="6" t="n">
        <x:v>6</x:v>
      </x:c>
      <x:c r="H7844" s="6" t="n">
        <x:v>2</x:v>
      </x:c>
      <x:c r="I7844" s="6" t="n">
        <x:f>G7844-H7844</x:f>
        <x:v>4</x:v>
      </x:c>
      <x:c r="J7844" s="6" t="n">
        <x:f>IF(OR(E7844="CANCELED",E7844="SUSPECTED_FRAUD",F7844="Shipping canceled"),0,1)</x:f>
        <x:v>1</x:v>
      </x:c>
      <x:c r="K7844" s="6" t="n">
        <x:f>IF(G7844&gt;H7844,1,0)</x:f>
        <x:v>1</x:v>
      </x:c>
      <x:c r="L7844" s="6" t="n">
        <x:f>J7844*K7844</x:f>
        <x:v>1</x:v>
      </x:c>
    </x:row>
    <x:row r="7845">
      <x:c r="A7845" s="1" t="n">
        <x:v>62817</x:v>
      </x:c>
      <x:c r="B7845" s="5" t="d">
        <x:v>2017-07-05T00:00:00.000Z</x:v>
      </x:c>
      <x:c r="C7845" s="1" t="str">
        <x:v>Standard Class</x:v>
      </x:c>
      <x:c r="D7845" s="1" t="str">
        <x:v>Europe</x:v>
      </x:c>
      <x:c r="E7845" s="1" t="str">
        <x:v>PENDING</x:v>
      </x:c>
      <x:c r="F7845" s="1" t="str">
        <x:v>Advance shipping</x:v>
      </x:c>
      <x:c r="G7845" s="6" t="n">
        <x:v>3</x:v>
      </x:c>
      <x:c r="H7845" s="6" t="n">
        <x:v>4</x:v>
      </x:c>
      <x:c r="I7845" s="6" t="n">
        <x:f>G7845-H7845</x:f>
        <x:v>-1</x:v>
      </x:c>
      <x:c r="J7845" s="6" t="n">
        <x:f>IF(OR(E7845="CANCELED",E7845="SUSPECTED_FRAUD",F7845="Shipping canceled"),0,1)</x:f>
        <x:v>1</x:v>
      </x:c>
      <x:c r="K7845" s="6" t="n">
        <x:f>IF(G7845&gt;H7845,1,0)</x:f>
        <x:v>0</x:v>
      </x:c>
      <x:c r="L7845" s="6" t="n">
        <x:f>J7845*K7845</x:f>
        <x:v>0</x:v>
      </x:c>
    </x:row>
    <x:row r="7846">
      <x:c r="A7846" s="1" t="n">
        <x:v>62827</x:v>
      </x:c>
      <x:c r="B7846" s="5" t="d">
        <x:v>2017-07-06T00:00:00.000Z</x:v>
      </x:c>
      <x:c r="C7846" s="1" t="str">
        <x:v>Standard Class</x:v>
      </x:c>
      <x:c r="D7846" s="1" t="str">
        <x:v>Europe</x:v>
      </x:c>
      <x:c r="E7846" s="1" t="str">
        <x:v>COMPLETE</x:v>
      </x:c>
      <x:c r="F7846" s="1" t="str">
        <x:v>Advance shipping</x:v>
      </x:c>
      <x:c r="G7846" s="6" t="n">
        <x:v>3</x:v>
      </x:c>
      <x:c r="H7846" s="6" t="n">
        <x:v>4</x:v>
      </x:c>
      <x:c r="I7846" s="6" t="n">
        <x:f>G7846-H7846</x:f>
        <x:v>-1</x:v>
      </x:c>
      <x:c r="J7846" s="6" t="n">
        <x:f>IF(OR(E7846="CANCELED",E7846="SUSPECTED_FRAUD",F7846="Shipping canceled"),0,1)</x:f>
        <x:v>1</x:v>
      </x:c>
      <x:c r="K7846" s="6" t="n">
        <x:f>IF(G7846&gt;H7846,1,0)</x:f>
        <x:v>0</x:v>
      </x:c>
      <x:c r="L7846" s="6" t="n">
        <x:f>J7846*K7846</x:f>
        <x:v>0</x:v>
      </x:c>
    </x:row>
    <x:row r="7847">
      <x:c r="A7847" s="1" t="n">
        <x:v>62840</x:v>
      </x:c>
      <x:c r="B7847" s="5" t="d">
        <x:v>2017-07-06T00:00:00.000Z</x:v>
      </x:c>
      <x:c r="C7847" s="1" t="str">
        <x:v>Standard Class</x:v>
      </x:c>
      <x:c r="D7847" s="1" t="str">
        <x:v>Europe</x:v>
      </x:c>
      <x:c r="E7847" s="1" t="str">
        <x:v>CANCELED</x:v>
      </x:c>
      <x:c r="F7847" s="1" t="str">
        <x:v>Shipping canceled</x:v>
      </x:c>
      <x:c r="G7847" s="6" t="n">
        <x:v>6</x:v>
      </x:c>
      <x:c r="H7847" s="6" t="n">
        <x:v>4</x:v>
      </x:c>
      <x:c r="I7847" s="6" t="n">
        <x:f>G7847-H7847</x:f>
        <x:v>2</x:v>
      </x:c>
      <x:c r="J7847" s="6" t="n">
        <x:f>IF(OR(E7847="CANCELED",E7847="SUSPECTED_FRAUD",F7847="Shipping canceled"),0,1)</x:f>
        <x:v>0</x:v>
      </x:c>
      <x:c r="K7847" s="6" t="n">
        <x:f>IF(G7847&gt;H7847,1,0)</x:f>
        <x:v>1</x:v>
      </x:c>
      <x:c r="L7847" s="6" t="n">
        <x:f>J7847*K7847</x:f>
        <x:v>0</x:v>
      </x:c>
    </x:row>
    <x:row r="7848">
      <x:c r="A7848" s="1" t="n">
        <x:v>62845</x:v>
      </x:c>
      <x:c r="B7848" s="5" t="d">
        <x:v>2017-07-06T00:00:00.000Z</x:v>
      </x:c>
      <x:c r="C7848" s="1" t="str">
        <x:v>Second Class</x:v>
      </x:c>
      <x:c r="D7848" s="1" t="str">
        <x:v>Europe</x:v>
      </x:c>
      <x:c r="E7848" s="1" t="str">
        <x:v>COMPLETE</x:v>
      </x:c>
      <x:c r="F7848" s="1" t="str">
        <x:v>Late delivery</x:v>
      </x:c>
      <x:c r="G7848" s="6" t="n">
        <x:v>6</x:v>
      </x:c>
      <x:c r="H7848" s="6" t="n">
        <x:v>2</x:v>
      </x:c>
      <x:c r="I7848" s="6" t="n">
        <x:f>G7848-H7848</x:f>
        <x:v>4</x:v>
      </x:c>
      <x:c r="J7848" s="6" t="n">
        <x:f>IF(OR(E7848="CANCELED",E7848="SUSPECTED_FRAUD",F7848="Shipping canceled"),0,1)</x:f>
        <x:v>1</x:v>
      </x:c>
      <x:c r="K7848" s="6" t="n">
        <x:f>IF(G7848&gt;H7848,1,0)</x:f>
        <x:v>1</x:v>
      </x:c>
      <x:c r="L7848" s="6" t="n">
        <x:f>J7848*K7848</x:f>
        <x:v>1</x:v>
      </x:c>
    </x:row>
    <x:row r="7849">
      <x:c r="A7849" s="1" t="n">
        <x:v>62850</x:v>
      </x:c>
      <x:c r="B7849" s="5" t="d">
        <x:v>2017-07-06T00:00:00.000Z</x:v>
      </x:c>
      <x:c r="C7849" s="1" t="str">
        <x:v>Standard Class</x:v>
      </x:c>
      <x:c r="D7849" s="1" t="str">
        <x:v>Europe</x:v>
      </x:c>
      <x:c r="E7849" s="1" t="str">
        <x:v>COMPLETE</x:v>
      </x:c>
      <x:c r="F7849" s="1" t="str">
        <x:v>Late delivery</x:v>
      </x:c>
      <x:c r="G7849" s="6" t="n">
        <x:v>6</x:v>
      </x:c>
      <x:c r="H7849" s="6" t="n">
        <x:v>4</x:v>
      </x:c>
      <x:c r="I7849" s="6" t="n">
        <x:f>G7849-H7849</x:f>
        <x:v>2</x:v>
      </x:c>
      <x:c r="J7849" s="6" t="n">
        <x:f>IF(OR(E7849="CANCELED",E7849="SUSPECTED_FRAUD",F7849="Shipping canceled"),0,1)</x:f>
        <x:v>1</x:v>
      </x:c>
      <x:c r="K7849" s="6" t="n">
        <x:f>IF(G7849&gt;H7849,1,0)</x:f>
        <x:v>1</x:v>
      </x:c>
      <x:c r="L7849" s="6" t="n">
        <x:f>J7849*K7849</x:f>
        <x:v>1</x:v>
      </x:c>
    </x:row>
    <x:row r="7850">
      <x:c r="A7850" s="1" t="n">
        <x:v>62854</x:v>
      </x:c>
      <x:c r="B7850" s="5" t="d">
        <x:v>2017-07-06T00:00:00.000Z</x:v>
      </x:c>
      <x:c r="C7850" s="1" t="str">
        <x:v>Standard Class</x:v>
      </x:c>
      <x:c r="D7850" s="1" t="str">
        <x:v>Europe</x:v>
      </x:c>
      <x:c r="E7850" s="1" t="str">
        <x:v>COMPLETE</x:v>
      </x:c>
      <x:c r="F7850" s="1" t="str">
        <x:v>Late delivery</x:v>
      </x:c>
      <x:c r="G7850" s="6" t="n">
        <x:v>5</x:v>
      </x:c>
      <x:c r="H7850" s="6" t="n">
        <x:v>4</x:v>
      </x:c>
      <x:c r="I7850" s="6" t="n">
        <x:f>G7850-H7850</x:f>
        <x:v>1</x:v>
      </x:c>
      <x:c r="J7850" s="6" t="n">
        <x:f>IF(OR(E7850="CANCELED",E7850="SUSPECTED_FRAUD",F7850="Shipping canceled"),0,1)</x:f>
        <x:v>1</x:v>
      </x:c>
      <x:c r="K7850" s="6" t="n">
        <x:f>IF(G7850&gt;H7850,1,0)</x:f>
        <x:v>1</x:v>
      </x:c>
      <x:c r="L7850" s="6" t="n">
        <x:f>J7850*K7850</x:f>
        <x:v>1</x:v>
      </x:c>
    </x:row>
    <x:row r="7851">
      <x:c r="A7851" s="1" t="n">
        <x:v>62855</x:v>
      </x:c>
      <x:c r="B7851" s="5" t="d">
        <x:v>2017-07-06T00:00:00.000Z</x:v>
      </x:c>
      <x:c r="C7851" s="1" t="str">
        <x:v>Standard Class</x:v>
      </x:c>
      <x:c r="D7851" s="1" t="str">
        <x:v>Europe</x:v>
      </x:c>
      <x:c r="E7851" s="1" t="str">
        <x:v>COMPLETE</x:v>
      </x:c>
      <x:c r="F7851" s="1" t="str">
        <x:v>Late delivery</x:v>
      </x:c>
      <x:c r="G7851" s="6" t="n">
        <x:v>6</x:v>
      </x:c>
      <x:c r="H7851" s="6" t="n">
        <x:v>4</x:v>
      </x:c>
      <x:c r="I7851" s="6" t="n">
        <x:f>G7851-H7851</x:f>
        <x:v>2</x:v>
      </x:c>
      <x:c r="J7851" s="6" t="n">
        <x:f>IF(OR(E7851="CANCELED",E7851="SUSPECTED_FRAUD",F7851="Shipping canceled"),0,1)</x:f>
        <x:v>1</x:v>
      </x:c>
      <x:c r="K7851" s="6" t="n">
        <x:f>IF(G7851&gt;H7851,1,0)</x:f>
        <x:v>1</x:v>
      </x:c>
      <x:c r="L7851" s="6" t="n">
        <x:f>J7851*K7851</x:f>
        <x:v>1</x:v>
      </x:c>
    </x:row>
    <x:row r="7852">
      <x:c r="A7852" s="1" t="n">
        <x:v>62856</x:v>
      </x:c>
      <x:c r="B7852" s="5" t="d">
        <x:v>2017-07-06T00:00:00.000Z</x:v>
      </x:c>
      <x:c r="C7852" s="1" t="str">
        <x:v>Standard Class</x:v>
      </x:c>
      <x:c r="D7852" s="1" t="str">
        <x:v>Europe</x:v>
      </x:c>
      <x:c r="E7852" s="1" t="str">
        <x:v>CLOSED</x:v>
      </x:c>
      <x:c r="F7852" s="1" t="str">
        <x:v>Advance shipping</x:v>
      </x:c>
      <x:c r="G7852" s="6" t="n">
        <x:v>2</x:v>
      </x:c>
      <x:c r="H7852" s="6" t="n">
        <x:v>4</x:v>
      </x:c>
      <x:c r="I7852" s="6" t="n">
        <x:f>G7852-H7852</x:f>
        <x:v>-2</x:v>
      </x:c>
      <x:c r="J7852" s="6" t="n">
        <x:f>IF(OR(E7852="CANCELED",E7852="SUSPECTED_FRAUD",F7852="Shipping canceled"),0,1)</x:f>
        <x:v>1</x:v>
      </x:c>
      <x:c r="K7852" s="6" t="n">
        <x:f>IF(G7852&gt;H7852,1,0)</x:f>
        <x:v>0</x:v>
      </x:c>
      <x:c r="L7852" s="6" t="n">
        <x:f>J7852*K7852</x:f>
        <x:v>0</x:v>
      </x:c>
    </x:row>
    <x:row r="7853">
      <x:c r="A7853" s="1" t="n">
        <x:v>62869</x:v>
      </x:c>
      <x:c r="B7853" s="5" t="d">
        <x:v>2017-07-06T00:00:00.000Z</x:v>
      </x:c>
      <x:c r="C7853" s="1" t="str">
        <x:v>Standard Class</x:v>
      </x:c>
      <x:c r="D7853" s="1" t="str">
        <x:v>Europe</x:v>
      </x:c>
      <x:c r="E7853" s="1" t="str">
        <x:v>COMPLETE</x:v>
      </x:c>
      <x:c r="F7853" s="1" t="str">
        <x:v>Late delivery</x:v>
      </x:c>
      <x:c r="G7853" s="6" t="n">
        <x:v>5</x:v>
      </x:c>
      <x:c r="H7853" s="6" t="n">
        <x:v>4</x:v>
      </x:c>
      <x:c r="I7853" s="6" t="n">
        <x:f>G7853-H7853</x:f>
        <x:v>1</x:v>
      </x:c>
      <x:c r="J7853" s="6" t="n">
        <x:f>IF(OR(E7853="CANCELED",E7853="SUSPECTED_FRAUD",F7853="Shipping canceled"),0,1)</x:f>
        <x:v>1</x:v>
      </x:c>
      <x:c r="K7853" s="6" t="n">
        <x:f>IF(G7853&gt;H7853,1,0)</x:f>
        <x:v>1</x:v>
      </x:c>
      <x:c r="L7853" s="6" t="n">
        <x:f>J7853*K7853</x:f>
        <x:v>1</x:v>
      </x:c>
    </x:row>
    <x:row r="7854">
      <x:c r="A7854" s="1" t="n">
        <x:v>62883</x:v>
      </x:c>
      <x:c r="B7854" s="5" t="d">
        <x:v>2017-07-06T00:00:00.000Z</x:v>
      </x:c>
      <x:c r="C7854" s="1" t="str">
        <x:v>Standard Class</x:v>
      </x:c>
      <x:c r="D7854" s="1" t="str">
        <x:v>Europe</x:v>
      </x:c>
      <x:c r="E7854" s="1" t="str">
        <x:v>PENDING</x:v>
      </x:c>
      <x:c r="F7854" s="1" t="str">
        <x:v>Shipping on time</x:v>
      </x:c>
      <x:c r="G7854" s="6" t="n">
        <x:v>4</x:v>
      </x:c>
      <x:c r="H7854" s="6" t="n">
        <x:v>4</x:v>
      </x:c>
      <x:c r="I7854" s="6" t="n">
        <x:f>G7854-H7854</x:f>
        <x:v>0</x:v>
      </x:c>
      <x:c r="J7854" s="6" t="n">
        <x:f>IF(OR(E7854="CANCELED",E7854="SUSPECTED_FRAUD",F7854="Shipping canceled"),0,1)</x:f>
        <x:v>1</x:v>
      </x:c>
      <x:c r="K7854" s="6" t="n">
        <x:f>IF(G7854&gt;H7854,1,0)</x:f>
        <x:v>0</x:v>
      </x:c>
      <x:c r="L7854" s="6" t="n">
        <x:f>J7854*K7854</x:f>
        <x:v>0</x:v>
      </x:c>
    </x:row>
    <x:row r="7855">
      <x:c r="A7855" s="1" t="n">
        <x:v>62884</x:v>
      </x:c>
      <x:c r="B7855" s="5" t="d">
        <x:v>2017-07-06T00:00:00.000Z</x:v>
      </x:c>
      <x:c r="C7855" s="1" t="str">
        <x:v>Standard Class</x:v>
      </x:c>
      <x:c r="D7855" s="1" t="str">
        <x:v>Europe</x:v>
      </x:c>
      <x:c r="E7855" s="1" t="str">
        <x:v>COMPLETE</x:v>
      </x:c>
      <x:c r="F7855" s="1" t="str">
        <x:v>Late delivery</x:v>
      </x:c>
      <x:c r="G7855" s="6" t="n">
        <x:v>5</x:v>
      </x:c>
      <x:c r="H7855" s="6" t="n">
        <x:v>4</x:v>
      </x:c>
      <x:c r="I7855" s="6" t="n">
        <x:f>G7855-H7855</x:f>
        <x:v>1</x:v>
      </x:c>
      <x:c r="J7855" s="6" t="n">
        <x:f>IF(OR(E7855="CANCELED",E7855="SUSPECTED_FRAUD",F7855="Shipping canceled"),0,1)</x:f>
        <x:v>1</x:v>
      </x:c>
      <x:c r="K7855" s="6" t="n">
        <x:f>IF(G7855&gt;H7855,1,0)</x:f>
        <x:v>1</x:v>
      </x:c>
      <x:c r="L7855" s="6" t="n">
        <x:f>J7855*K7855</x:f>
        <x:v>1</x:v>
      </x:c>
    </x:row>
    <x:row r="7856">
      <x:c r="A7856" s="1" t="n">
        <x:v>62885</x:v>
      </x:c>
      <x:c r="B7856" s="5" t="d">
        <x:v>2017-07-06T00:00:00.000Z</x:v>
      </x:c>
      <x:c r="C7856" s="1" t="str">
        <x:v>Standard Class</x:v>
      </x:c>
      <x:c r="D7856" s="1" t="str">
        <x:v>Europe</x:v>
      </x:c>
      <x:c r="E7856" s="1" t="str">
        <x:v>COMPLETE</x:v>
      </x:c>
      <x:c r="F7856" s="1" t="str">
        <x:v>Late delivery</x:v>
      </x:c>
      <x:c r="G7856" s="6" t="n">
        <x:v>6</x:v>
      </x:c>
      <x:c r="H7856" s="6" t="n">
        <x:v>4</x:v>
      </x:c>
      <x:c r="I7856" s="6" t="n">
        <x:f>G7856-H7856</x:f>
        <x:v>2</x:v>
      </x:c>
      <x:c r="J7856" s="6" t="n">
        <x:f>IF(OR(E7856="CANCELED",E7856="SUSPECTED_FRAUD",F7856="Shipping canceled"),0,1)</x:f>
        <x:v>1</x:v>
      </x:c>
      <x:c r="K7856" s="6" t="n">
        <x:f>IF(G7856&gt;H7856,1,0)</x:f>
        <x:v>1</x:v>
      </x:c>
      <x:c r="L7856" s="6" t="n">
        <x:f>J7856*K7856</x:f>
        <x:v>1</x:v>
      </x:c>
    </x:row>
    <x:row r="7857">
      <x:c r="A7857" s="1" t="n">
        <x:v>62919</x:v>
      </x:c>
      <x:c r="B7857" s="5" t="d">
        <x:v>2017-07-07T00:00:00.000Z</x:v>
      </x:c>
      <x:c r="C7857" s="1" t="str">
        <x:v>Standard Class</x:v>
      </x:c>
      <x:c r="D7857" s="1" t="str">
        <x:v>Europe</x:v>
      </x:c>
      <x:c r="E7857" s="1" t="str">
        <x:v>COMPLETE</x:v>
      </x:c>
      <x:c r="F7857" s="1" t="str">
        <x:v>Late delivery</x:v>
      </x:c>
      <x:c r="G7857" s="6" t="n">
        <x:v>5</x:v>
      </x:c>
      <x:c r="H7857" s="6" t="n">
        <x:v>4</x:v>
      </x:c>
      <x:c r="I7857" s="6" t="n">
        <x:f>G7857-H7857</x:f>
        <x:v>1</x:v>
      </x:c>
      <x:c r="J7857" s="6" t="n">
        <x:f>IF(OR(E7857="CANCELED",E7857="SUSPECTED_FRAUD",F7857="Shipping canceled"),0,1)</x:f>
        <x:v>1</x:v>
      </x:c>
      <x:c r="K7857" s="6" t="n">
        <x:f>IF(G7857&gt;H7857,1,0)</x:f>
        <x:v>1</x:v>
      </x:c>
      <x:c r="L7857" s="6" t="n">
        <x:f>J7857*K7857</x:f>
        <x:v>1</x:v>
      </x:c>
    </x:row>
    <x:row r="7858">
      <x:c r="A7858" s="1" t="n">
        <x:v>62921</x:v>
      </x:c>
      <x:c r="B7858" s="5" t="d">
        <x:v>2017-07-07T00:00:00.000Z</x:v>
      </x:c>
      <x:c r="C7858" s="1" t="str">
        <x:v>Standard Class</x:v>
      </x:c>
      <x:c r="D7858" s="1" t="str">
        <x:v>Europe</x:v>
      </x:c>
      <x:c r="E7858" s="1" t="str">
        <x:v>COMPLETE</x:v>
      </x:c>
      <x:c r="F7858" s="1" t="str">
        <x:v>Advance shipping</x:v>
      </x:c>
      <x:c r="G7858" s="6" t="n">
        <x:v>2</x:v>
      </x:c>
      <x:c r="H7858" s="6" t="n">
        <x:v>4</x:v>
      </x:c>
      <x:c r="I7858" s="6" t="n">
        <x:f>G7858-H7858</x:f>
        <x:v>-2</x:v>
      </x:c>
      <x:c r="J7858" s="6" t="n">
        <x:f>IF(OR(E7858="CANCELED",E7858="SUSPECTED_FRAUD",F7858="Shipping canceled"),0,1)</x:f>
        <x:v>1</x:v>
      </x:c>
      <x:c r="K7858" s="6" t="n">
        <x:f>IF(G7858&gt;H7858,1,0)</x:f>
        <x:v>0</x:v>
      </x:c>
      <x:c r="L7858" s="6" t="n">
        <x:f>J7858*K7858</x:f>
        <x:v>0</x:v>
      </x:c>
    </x:row>
    <x:row r="7859">
      <x:c r="A7859" s="1" t="n">
        <x:v>62949</x:v>
      </x:c>
      <x:c r="B7859" s="5" t="d">
        <x:v>2017-07-07T00:00:00.000Z</x:v>
      </x:c>
      <x:c r="C7859" s="1" t="str">
        <x:v>First Class</x:v>
      </x:c>
      <x:c r="D7859" s="1" t="str">
        <x:v>Europe</x:v>
      </x:c>
      <x:c r="E7859" s="1" t="str">
        <x:v>PROCESSING</x:v>
      </x:c>
      <x:c r="F7859" s="1" t="str">
        <x:v>Late delivery</x:v>
      </x:c>
      <x:c r="G7859" s="6" t="n">
        <x:v>2</x:v>
      </x:c>
      <x:c r="H7859" s="6" t="n">
        <x:v>1</x:v>
      </x:c>
      <x:c r="I7859" s="6" t="n">
        <x:f>G7859-H7859</x:f>
        <x:v>1</x:v>
      </x:c>
      <x:c r="J7859" s="6" t="n">
        <x:f>IF(OR(E7859="CANCELED",E7859="SUSPECTED_FRAUD",F7859="Shipping canceled"),0,1)</x:f>
        <x:v>1</x:v>
      </x:c>
      <x:c r="K7859" s="6" t="n">
        <x:f>IF(G7859&gt;H7859,1,0)</x:f>
        <x:v>1</x:v>
      </x:c>
      <x:c r="L7859" s="6" t="n">
        <x:f>J7859*K7859</x:f>
        <x:v>1</x:v>
      </x:c>
    </x:row>
    <x:row r="7860">
      <x:c r="A7860" s="1" t="n">
        <x:v>62951</x:v>
      </x:c>
      <x:c r="B7860" s="5" t="d">
        <x:v>2017-07-07T00:00:00.000Z</x:v>
      </x:c>
      <x:c r="C7860" s="1" t="str">
        <x:v>First Class</x:v>
      </x:c>
      <x:c r="D7860" s="1" t="str">
        <x:v>Europe</x:v>
      </x:c>
      <x:c r="E7860" s="1" t="str">
        <x:v>CLOSED</x:v>
      </x:c>
      <x:c r="F7860" s="1" t="str">
        <x:v>Late delivery</x:v>
      </x:c>
      <x:c r="G7860" s="6" t="n">
        <x:v>2</x:v>
      </x:c>
      <x:c r="H7860" s="6" t="n">
        <x:v>1</x:v>
      </x:c>
      <x:c r="I7860" s="6" t="n">
        <x:f>G7860-H7860</x:f>
        <x:v>1</x:v>
      </x:c>
      <x:c r="J7860" s="6" t="n">
        <x:f>IF(OR(E7860="CANCELED",E7860="SUSPECTED_FRAUD",F7860="Shipping canceled"),0,1)</x:f>
        <x:v>1</x:v>
      </x:c>
      <x:c r="K7860" s="6" t="n">
        <x:f>IF(G7860&gt;H7860,1,0)</x:f>
        <x:v>1</x:v>
      </x:c>
      <x:c r="L7860" s="6" t="n">
        <x:f>J7860*K7860</x:f>
        <x:v>1</x:v>
      </x:c>
    </x:row>
    <x:row r="7861">
      <x:c r="A7861" s="1" t="n">
        <x:v>62956</x:v>
      </x:c>
      <x:c r="B7861" s="5" t="d">
        <x:v>2017-07-07T00:00:00.000Z</x:v>
      </x:c>
      <x:c r="C7861" s="1" t="str">
        <x:v>Second Class</x:v>
      </x:c>
      <x:c r="D7861" s="1" t="str">
        <x:v>Europe</x:v>
      </x:c>
      <x:c r="E7861" s="1" t="str">
        <x:v>PENDING</x:v>
      </x:c>
      <x:c r="F7861" s="1" t="str">
        <x:v>Shipping on time</x:v>
      </x:c>
      <x:c r="G7861" s="6" t="n">
        <x:v>2</x:v>
      </x:c>
      <x:c r="H7861" s="6" t="n">
        <x:v>2</x:v>
      </x:c>
      <x:c r="I7861" s="6" t="n">
        <x:f>G7861-H7861</x:f>
        <x:v>0</x:v>
      </x:c>
      <x:c r="J7861" s="6" t="n">
        <x:f>IF(OR(E7861="CANCELED",E7861="SUSPECTED_FRAUD",F7861="Shipping canceled"),0,1)</x:f>
        <x:v>1</x:v>
      </x:c>
      <x:c r="K7861" s="6" t="n">
        <x:f>IF(G7861&gt;H7861,1,0)</x:f>
        <x:v>0</x:v>
      </x:c>
      <x:c r="L7861" s="6" t="n">
        <x:f>J7861*K7861</x:f>
        <x:v>0</x:v>
      </x:c>
    </x:row>
    <x:row r="7862">
      <x:c r="A7862" s="1" t="n">
        <x:v>62965</x:v>
      </x:c>
      <x:c r="B7862" s="5" t="d">
        <x:v>2017-07-08T00:00:00.000Z</x:v>
      </x:c>
      <x:c r="C7862" s="1" t="str">
        <x:v>Standard Class</x:v>
      </x:c>
      <x:c r="D7862" s="1" t="str">
        <x:v>Europe</x:v>
      </x:c>
      <x:c r="E7862" s="1" t="str">
        <x:v>COMPLETE</x:v>
      </x:c>
      <x:c r="F7862" s="1" t="str">
        <x:v>Late delivery</x:v>
      </x:c>
      <x:c r="G7862" s="6" t="n">
        <x:v>6</x:v>
      </x:c>
      <x:c r="H7862" s="6" t="n">
        <x:v>4</x:v>
      </x:c>
      <x:c r="I7862" s="6" t="n">
        <x:f>G7862-H7862</x:f>
        <x:v>2</x:v>
      </x:c>
      <x:c r="J7862" s="6" t="n">
        <x:f>IF(OR(E7862="CANCELED",E7862="SUSPECTED_FRAUD",F7862="Shipping canceled"),0,1)</x:f>
        <x:v>1</x:v>
      </x:c>
      <x:c r="K7862" s="6" t="n">
        <x:f>IF(G7862&gt;H7862,1,0)</x:f>
        <x:v>1</x:v>
      </x:c>
      <x:c r="L7862" s="6" t="n">
        <x:f>J7862*K7862</x:f>
        <x:v>1</x:v>
      </x:c>
    </x:row>
    <x:row r="7863">
      <x:c r="A7863" s="1" t="n">
        <x:v>62967</x:v>
      </x:c>
      <x:c r="B7863" s="5" t="d">
        <x:v>2017-07-08T00:00:00.000Z</x:v>
      </x:c>
      <x:c r="C7863" s="1" t="str">
        <x:v>Standard Class</x:v>
      </x:c>
      <x:c r="D7863" s="1" t="str">
        <x:v>Europe</x:v>
      </x:c>
      <x:c r="E7863" s="1" t="str">
        <x:v>ON_HOLD</x:v>
      </x:c>
      <x:c r="F7863" s="1" t="str">
        <x:v>Advance shipping</x:v>
      </x:c>
      <x:c r="G7863" s="6" t="n">
        <x:v>3</x:v>
      </x:c>
      <x:c r="H7863" s="6" t="n">
        <x:v>4</x:v>
      </x:c>
      <x:c r="I7863" s="6" t="n">
        <x:f>G7863-H7863</x:f>
        <x:v>-1</x:v>
      </x:c>
      <x:c r="J7863" s="6" t="n">
        <x:f>IF(OR(E7863="CANCELED",E7863="SUSPECTED_FRAUD",F7863="Shipping canceled"),0,1)</x:f>
        <x:v>1</x:v>
      </x:c>
      <x:c r="K7863" s="6" t="n">
        <x:f>IF(G7863&gt;H7863,1,0)</x:f>
        <x:v>0</x:v>
      </x:c>
      <x:c r="L7863" s="6" t="n">
        <x:f>J7863*K7863</x:f>
        <x:v>0</x:v>
      </x:c>
    </x:row>
    <x:row r="7864">
      <x:c r="A7864" s="1" t="n">
        <x:v>62971</x:v>
      </x:c>
      <x:c r="B7864" s="5" t="d">
        <x:v>2017-07-08T00:00:00.000Z</x:v>
      </x:c>
      <x:c r="C7864" s="1" t="str">
        <x:v>Standard Class</x:v>
      </x:c>
      <x:c r="D7864" s="1" t="str">
        <x:v>Europe</x:v>
      </x:c>
      <x:c r="E7864" s="1" t="str">
        <x:v>PENDING_PAYMENT</x:v>
      </x:c>
      <x:c r="F7864" s="1" t="str">
        <x:v>Advance shipping</x:v>
      </x:c>
      <x:c r="G7864" s="6" t="n">
        <x:v>2</x:v>
      </x:c>
      <x:c r="H7864" s="6" t="n">
        <x:v>4</x:v>
      </x:c>
      <x:c r="I7864" s="6" t="n">
        <x:f>G7864-H7864</x:f>
        <x:v>-2</x:v>
      </x:c>
      <x:c r="J7864" s="6" t="n">
        <x:f>IF(OR(E7864="CANCELED",E7864="SUSPECTED_FRAUD",F7864="Shipping canceled"),0,1)</x:f>
        <x:v>1</x:v>
      </x:c>
      <x:c r="K7864" s="6" t="n">
        <x:f>IF(G7864&gt;H7864,1,0)</x:f>
        <x:v>0</x:v>
      </x:c>
      <x:c r="L7864" s="6" t="n">
        <x:f>J7864*K7864</x:f>
        <x:v>0</x:v>
      </x:c>
    </x:row>
    <x:row r="7865">
      <x:c r="A7865" s="1" t="n">
        <x:v>63014</x:v>
      </x:c>
      <x:c r="B7865" s="5" t="d">
        <x:v>2017-07-08T00:00:00.000Z</x:v>
      </x:c>
      <x:c r="C7865" s="1" t="str">
        <x:v>First Class</x:v>
      </x:c>
      <x:c r="D7865" s="1" t="str">
        <x:v>Europe</x:v>
      </x:c>
      <x:c r="E7865" s="1" t="str">
        <x:v>PENDING</x:v>
      </x:c>
      <x:c r="F7865" s="1" t="str">
        <x:v>Late delivery</x:v>
      </x:c>
      <x:c r="G7865" s="6" t="n">
        <x:v>2</x:v>
      </x:c>
      <x:c r="H7865" s="6" t="n">
        <x:v>1</x:v>
      </x:c>
      <x:c r="I7865" s="6" t="n">
        <x:f>G7865-H7865</x:f>
        <x:v>1</x:v>
      </x:c>
      <x:c r="J7865" s="6" t="n">
        <x:f>IF(OR(E7865="CANCELED",E7865="SUSPECTED_FRAUD",F7865="Shipping canceled"),0,1)</x:f>
        <x:v>1</x:v>
      </x:c>
      <x:c r="K7865" s="6" t="n">
        <x:f>IF(G7865&gt;H7865,1,0)</x:f>
        <x:v>1</x:v>
      </x:c>
      <x:c r="L7865" s="6" t="n">
        <x:f>J7865*K7865</x:f>
        <x:v>1</x:v>
      </x:c>
    </x:row>
    <x:row r="7866">
      <x:c r="A7866" s="1" t="n">
        <x:v>63047</x:v>
      </x:c>
      <x:c r="B7866" s="5" t="d">
        <x:v>2017-07-09T00:00:00.000Z</x:v>
      </x:c>
      <x:c r="C7866" s="1" t="str">
        <x:v>First Class</x:v>
      </x:c>
      <x:c r="D7866" s="1" t="str">
        <x:v>Europe</x:v>
      </x:c>
      <x:c r="E7866" s="1" t="str">
        <x:v>CLOSED</x:v>
      </x:c>
      <x:c r="F7866" s="1" t="str">
        <x:v>Late delivery</x:v>
      </x:c>
      <x:c r="G7866" s="6" t="n">
        <x:v>2</x:v>
      </x:c>
      <x:c r="H7866" s="6" t="n">
        <x:v>1</x:v>
      </x:c>
      <x:c r="I7866" s="6" t="n">
        <x:f>G7866-H7866</x:f>
        <x:v>1</x:v>
      </x:c>
      <x:c r="J7866" s="6" t="n">
        <x:f>IF(OR(E7866="CANCELED",E7866="SUSPECTED_FRAUD",F7866="Shipping canceled"),0,1)</x:f>
        <x:v>1</x:v>
      </x:c>
      <x:c r="K7866" s="6" t="n">
        <x:f>IF(G7866&gt;H7866,1,0)</x:f>
        <x:v>1</x:v>
      </x:c>
      <x:c r="L7866" s="6" t="n">
        <x:f>J7866*K7866</x:f>
        <x:v>1</x:v>
      </x:c>
    </x:row>
    <x:row r="7867">
      <x:c r="A7867" s="1" t="n">
        <x:v>63053</x:v>
      </x:c>
      <x:c r="B7867" s="5" t="d">
        <x:v>2017-07-09T00:00:00.000Z</x:v>
      </x:c>
      <x:c r="C7867" s="1" t="str">
        <x:v>Second Class</x:v>
      </x:c>
      <x:c r="D7867" s="1" t="str">
        <x:v>Europe</x:v>
      </x:c>
      <x:c r="E7867" s="1" t="str">
        <x:v>COMPLETE</x:v>
      </x:c>
      <x:c r="F7867" s="1" t="str">
        <x:v>Late delivery</x:v>
      </x:c>
      <x:c r="G7867" s="6" t="n">
        <x:v>4</x:v>
      </x:c>
      <x:c r="H7867" s="6" t="n">
        <x:v>2</x:v>
      </x:c>
      <x:c r="I7867" s="6" t="n">
        <x:f>G7867-H7867</x:f>
        <x:v>2</x:v>
      </x:c>
      <x:c r="J7867" s="6" t="n">
        <x:f>IF(OR(E7867="CANCELED",E7867="SUSPECTED_FRAUD",F7867="Shipping canceled"),0,1)</x:f>
        <x:v>1</x:v>
      </x:c>
      <x:c r="K7867" s="6" t="n">
        <x:f>IF(G7867&gt;H7867,1,0)</x:f>
        <x:v>1</x:v>
      </x:c>
      <x:c r="L7867" s="6" t="n">
        <x:f>J7867*K7867</x:f>
        <x:v>1</x:v>
      </x:c>
    </x:row>
    <x:row r="7868">
      <x:c r="A7868" s="1" t="n">
        <x:v>63065</x:v>
      </x:c>
      <x:c r="B7868" s="5" t="d">
        <x:v>2017-07-09T00:00:00.000Z</x:v>
      </x:c>
      <x:c r="C7868" s="1" t="str">
        <x:v>Standard Class</x:v>
      </x:c>
      <x:c r="D7868" s="1" t="str">
        <x:v>Europe</x:v>
      </x:c>
      <x:c r="E7868" s="1" t="str">
        <x:v>CANCELED</x:v>
      </x:c>
      <x:c r="F7868" s="1" t="str">
        <x:v>Shipping canceled</x:v>
      </x:c>
      <x:c r="G7868" s="6" t="n">
        <x:v>6</x:v>
      </x:c>
      <x:c r="H7868" s="6" t="n">
        <x:v>4</x:v>
      </x:c>
      <x:c r="I7868" s="6" t="n">
        <x:f>G7868-H7868</x:f>
        <x:v>2</x:v>
      </x:c>
      <x:c r="J7868" s="6" t="n">
        <x:f>IF(OR(E7868="CANCELED",E7868="SUSPECTED_FRAUD",F7868="Shipping canceled"),0,1)</x:f>
        <x:v>0</x:v>
      </x:c>
      <x:c r="K7868" s="6" t="n">
        <x:f>IF(G7868&gt;H7868,1,0)</x:f>
        <x:v>1</x:v>
      </x:c>
      <x:c r="L7868" s="6" t="n">
        <x:f>J7868*K7868</x:f>
        <x:v>0</x:v>
      </x:c>
    </x:row>
    <x:row r="7869">
      <x:c r="A7869" s="1" t="n">
        <x:v>63078</x:v>
      </x:c>
      <x:c r="B7869" s="5" t="d">
        <x:v>2017-07-09T00:00:00.000Z</x:v>
      </x:c>
      <x:c r="C7869" s="1" t="str">
        <x:v>First Class</x:v>
      </x:c>
      <x:c r="D7869" s="1" t="str">
        <x:v>Europe</x:v>
      </x:c>
      <x:c r="E7869" s="1" t="str">
        <x:v>PENDING_PAYMENT</x:v>
      </x:c>
      <x:c r="F7869" s="1" t="str">
        <x:v>Late delivery</x:v>
      </x:c>
      <x:c r="G7869" s="6" t="n">
        <x:v>2</x:v>
      </x:c>
      <x:c r="H7869" s="6" t="n">
        <x:v>1</x:v>
      </x:c>
      <x:c r="I7869" s="6" t="n">
        <x:f>G7869-H7869</x:f>
        <x:v>1</x:v>
      </x:c>
      <x:c r="J7869" s="6" t="n">
        <x:f>IF(OR(E7869="CANCELED",E7869="SUSPECTED_FRAUD",F7869="Shipping canceled"),0,1)</x:f>
        <x:v>1</x:v>
      </x:c>
      <x:c r="K7869" s="6" t="n">
        <x:f>IF(G7869&gt;H7869,1,0)</x:f>
        <x:v>1</x:v>
      </x:c>
      <x:c r="L7869" s="6" t="n">
        <x:f>J7869*K7869</x:f>
        <x:v>1</x:v>
      </x:c>
    </x:row>
    <x:row r="7870">
      <x:c r="A7870" s="1" t="n">
        <x:v>63084</x:v>
      </x:c>
      <x:c r="B7870" s="5" t="d">
        <x:v>2017-07-09T00:00:00.000Z</x:v>
      </x:c>
      <x:c r="C7870" s="1" t="str">
        <x:v>Second Class</x:v>
      </x:c>
      <x:c r="D7870" s="1" t="str">
        <x:v>Europe</x:v>
      </x:c>
      <x:c r="E7870" s="1" t="str">
        <x:v>PROCESSING</x:v>
      </x:c>
      <x:c r="F7870" s="1" t="str">
        <x:v>Late delivery</x:v>
      </x:c>
      <x:c r="G7870" s="6" t="n">
        <x:v>5</x:v>
      </x:c>
      <x:c r="H7870" s="6" t="n">
        <x:v>2</x:v>
      </x:c>
      <x:c r="I7870" s="6" t="n">
        <x:f>G7870-H7870</x:f>
        <x:v>3</x:v>
      </x:c>
      <x:c r="J7870" s="6" t="n">
        <x:f>IF(OR(E7870="CANCELED",E7870="SUSPECTED_FRAUD",F7870="Shipping canceled"),0,1)</x:f>
        <x:v>1</x:v>
      </x:c>
      <x:c r="K7870" s="6" t="n">
        <x:f>IF(G7870&gt;H7870,1,0)</x:f>
        <x:v>1</x:v>
      </x:c>
      <x:c r="L7870" s="6" t="n">
        <x:f>J7870*K7870</x:f>
        <x:v>1</x:v>
      </x:c>
    </x:row>
    <x:row r="7871">
      <x:c r="A7871" s="1" t="n">
        <x:v>63094</x:v>
      </x:c>
      <x:c r="B7871" s="5" t="d">
        <x:v>2017-07-10T00:00:00.000Z</x:v>
      </x:c>
      <x:c r="C7871" s="1" t="str">
        <x:v>Second Class</x:v>
      </x:c>
      <x:c r="D7871" s="1" t="str">
        <x:v>Europe</x:v>
      </x:c>
      <x:c r="E7871" s="1" t="str">
        <x:v>COMPLETE</x:v>
      </x:c>
      <x:c r="F7871" s="1" t="str">
        <x:v>Late delivery</x:v>
      </x:c>
      <x:c r="G7871" s="6" t="n">
        <x:v>5</x:v>
      </x:c>
      <x:c r="H7871" s="6" t="n">
        <x:v>2</x:v>
      </x:c>
      <x:c r="I7871" s="6" t="n">
        <x:f>G7871-H7871</x:f>
        <x:v>3</x:v>
      </x:c>
      <x:c r="J7871" s="6" t="n">
        <x:f>IF(OR(E7871="CANCELED",E7871="SUSPECTED_FRAUD",F7871="Shipping canceled"),0,1)</x:f>
        <x:v>1</x:v>
      </x:c>
      <x:c r="K7871" s="6" t="n">
        <x:f>IF(G7871&gt;H7871,1,0)</x:f>
        <x:v>1</x:v>
      </x:c>
      <x:c r="L7871" s="6" t="n">
        <x:f>J7871*K7871</x:f>
        <x:v>1</x:v>
      </x:c>
    </x:row>
    <x:row r="7872">
      <x:c r="A7872" s="1" t="n">
        <x:v>63099</x:v>
      </x:c>
      <x:c r="B7872" s="5" t="d">
        <x:v>2017-07-10T00:00:00.000Z</x:v>
      </x:c>
      <x:c r="C7872" s="1" t="str">
        <x:v>Standard Class</x:v>
      </x:c>
      <x:c r="D7872" s="1" t="str">
        <x:v>Europe</x:v>
      </x:c>
      <x:c r="E7872" s="1" t="str">
        <x:v>PENDING</x:v>
      </x:c>
      <x:c r="F7872" s="1" t="str">
        <x:v>Late delivery</x:v>
      </x:c>
      <x:c r="G7872" s="6" t="n">
        <x:v>5</x:v>
      </x:c>
      <x:c r="H7872" s="6" t="n">
        <x:v>4</x:v>
      </x:c>
      <x:c r="I7872" s="6" t="n">
        <x:f>G7872-H7872</x:f>
        <x:v>1</x:v>
      </x:c>
      <x:c r="J7872" s="6" t="n">
        <x:f>IF(OR(E7872="CANCELED",E7872="SUSPECTED_FRAUD",F7872="Shipping canceled"),0,1)</x:f>
        <x:v>1</x:v>
      </x:c>
      <x:c r="K7872" s="6" t="n">
        <x:f>IF(G7872&gt;H7872,1,0)</x:f>
        <x:v>1</x:v>
      </x:c>
      <x:c r="L7872" s="6" t="n">
        <x:f>J7872*K7872</x:f>
        <x:v>1</x:v>
      </x:c>
    </x:row>
    <x:row r="7873">
      <x:c r="A7873" s="1" t="n">
        <x:v>63107</x:v>
      </x:c>
      <x:c r="B7873" s="5" t="d">
        <x:v>2017-07-10T00:00:00.000Z</x:v>
      </x:c>
      <x:c r="C7873" s="1" t="str">
        <x:v>Second Class</x:v>
      </x:c>
      <x:c r="D7873" s="1" t="str">
        <x:v>Europe</x:v>
      </x:c>
      <x:c r="E7873" s="1" t="str">
        <x:v>COMPLETE</x:v>
      </x:c>
      <x:c r="F7873" s="1" t="str">
        <x:v>Late delivery</x:v>
      </x:c>
      <x:c r="G7873" s="6" t="n">
        <x:v>3</x:v>
      </x:c>
      <x:c r="H7873" s="6" t="n">
        <x:v>2</x:v>
      </x:c>
      <x:c r="I7873" s="6" t="n">
        <x:f>G7873-H7873</x:f>
        <x:v>1</x:v>
      </x:c>
      <x:c r="J7873" s="6" t="n">
        <x:f>IF(OR(E7873="CANCELED",E7873="SUSPECTED_FRAUD",F7873="Shipping canceled"),0,1)</x:f>
        <x:v>1</x:v>
      </x:c>
      <x:c r="K7873" s="6" t="n">
        <x:f>IF(G7873&gt;H7873,1,0)</x:f>
        <x:v>1</x:v>
      </x:c>
      <x:c r="L7873" s="6" t="n">
        <x:f>J7873*K7873</x:f>
        <x:v>1</x:v>
      </x:c>
    </x:row>
    <x:row r="7874">
      <x:c r="A7874" s="1" t="n">
        <x:v>63115</x:v>
      </x:c>
      <x:c r="B7874" s="5" t="d">
        <x:v>2017-07-10T00:00:00.000Z</x:v>
      </x:c>
      <x:c r="C7874" s="1" t="str">
        <x:v>Standard Class</x:v>
      </x:c>
      <x:c r="D7874" s="1" t="str">
        <x:v>Europe</x:v>
      </x:c>
      <x:c r="E7874" s="1" t="str">
        <x:v>PENDING</x:v>
      </x:c>
      <x:c r="F7874" s="1" t="str">
        <x:v>Late delivery</x:v>
      </x:c>
      <x:c r="G7874" s="6" t="n">
        <x:v>6</x:v>
      </x:c>
      <x:c r="H7874" s="6" t="n">
        <x:v>4</x:v>
      </x:c>
      <x:c r="I7874" s="6" t="n">
        <x:f>G7874-H7874</x:f>
        <x:v>2</x:v>
      </x:c>
      <x:c r="J7874" s="6" t="n">
        <x:f>IF(OR(E7874="CANCELED",E7874="SUSPECTED_FRAUD",F7874="Shipping canceled"),0,1)</x:f>
        <x:v>1</x:v>
      </x:c>
      <x:c r="K7874" s="6" t="n">
        <x:f>IF(G7874&gt;H7874,1,0)</x:f>
        <x:v>1</x:v>
      </x:c>
      <x:c r="L7874" s="6" t="n">
        <x:f>J7874*K7874</x:f>
        <x:v>1</x:v>
      </x:c>
    </x:row>
    <x:row r="7875">
      <x:c r="A7875" s="1" t="n">
        <x:v>63120</x:v>
      </x:c>
      <x:c r="B7875" s="5" t="d">
        <x:v>2017-07-10T00:00:00.000Z</x:v>
      </x:c>
      <x:c r="C7875" s="1" t="str">
        <x:v>Standard Class</x:v>
      </x:c>
      <x:c r="D7875" s="1" t="str">
        <x:v>Europe</x:v>
      </x:c>
      <x:c r="E7875" s="1" t="str">
        <x:v>PENDING_PAYMENT</x:v>
      </x:c>
      <x:c r="F7875" s="1" t="str">
        <x:v>Late delivery</x:v>
      </x:c>
      <x:c r="G7875" s="6" t="n">
        <x:v>6</x:v>
      </x:c>
      <x:c r="H7875" s="6" t="n">
        <x:v>4</x:v>
      </x:c>
      <x:c r="I7875" s="6" t="n">
        <x:f>G7875-H7875</x:f>
        <x:v>2</x:v>
      </x:c>
      <x:c r="J7875" s="6" t="n">
        <x:f>IF(OR(E7875="CANCELED",E7875="SUSPECTED_FRAUD",F7875="Shipping canceled"),0,1)</x:f>
        <x:v>1</x:v>
      </x:c>
      <x:c r="K7875" s="6" t="n">
        <x:f>IF(G7875&gt;H7875,1,0)</x:f>
        <x:v>1</x:v>
      </x:c>
      <x:c r="L7875" s="6" t="n">
        <x:f>J7875*K7875</x:f>
        <x:v>1</x:v>
      </x:c>
    </x:row>
    <x:row r="7876">
      <x:c r="A7876" s="1" t="n">
        <x:v>63128</x:v>
      </x:c>
      <x:c r="B7876" s="5" t="d">
        <x:v>2017-07-10T00:00:00.000Z</x:v>
      </x:c>
      <x:c r="C7876" s="1" t="str">
        <x:v>Standard Class</x:v>
      </x:c>
      <x:c r="D7876" s="1" t="str">
        <x:v>Europe</x:v>
      </x:c>
      <x:c r="E7876" s="1" t="str">
        <x:v>ON_HOLD</x:v>
      </x:c>
      <x:c r="F7876" s="1" t="str">
        <x:v>Shipping on time</x:v>
      </x:c>
      <x:c r="G7876" s="6" t="n">
        <x:v>4</x:v>
      </x:c>
      <x:c r="H7876" s="6" t="n">
        <x:v>4</x:v>
      </x:c>
      <x:c r="I7876" s="6" t="n">
        <x:f>G7876-H7876</x:f>
        <x:v>0</x:v>
      </x:c>
      <x:c r="J7876" s="6" t="n">
        <x:f>IF(OR(E7876="CANCELED",E7876="SUSPECTED_FRAUD",F7876="Shipping canceled"),0,1)</x:f>
        <x:v>1</x:v>
      </x:c>
      <x:c r="K7876" s="6" t="n">
        <x:f>IF(G7876&gt;H7876,1,0)</x:f>
        <x:v>0</x:v>
      </x:c>
      <x:c r="L7876" s="6" t="n">
        <x:f>J7876*K7876</x:f>
        <x:v>0</x:v>
      </x:c>
    </x:row>
    <x:row r="7877">
      <x:c r="A7877" s="1" t="n">
        <x:v>63141</x:v>
      </x:c>
      <x:c r="B7877" s="5" t="d">
        <x:v>2017-07-10T00:00:00.000Z</x:v>
      </x:c>
      <x:c r="C7877" s="1" t="str">
        <x:v>Standard Class</x:v>
      </x:c>
      <x:c r="D7877" s="1" t="str">
        <x:v>Europe</x:v>
      </x:c>
      <x:c r="E7877" s="1" t="str">
        <x:v>COMPLETE</x:v>
      </x:c>
      <x:c r="F7877" s="1" t="str">
        <x:v>Advance shipping</x:v>
      </x:c>
      <x:c r="G7877" s="6" t="n">
        <x:v>2</x:v>
      </x:c>
      <x:c r="H7877" s="6" t="n">
        <x:v>4</x:v>
      </x:c>
      <x:c r="I7877" s="6" t="n">
        <x:f>G7877-H7877</x:f>
        <x:v>-2</x:v>
      </x:c>
      <x:c r="J7877" s="6" t="n">
        <x:f>IF(OR(E7877="CANCELED",E7877="SUSPECTED_FRAUD",F7877="Shipping canceled"),0,1)</x:f>
        <x:v>1</x:v>
      </x:c>
      <x:c r="K7877" s="6" t="n">
        <x:f>IF(G7877&gt;H7877,1,0)</x:f>
        <x:v>0</x:v>
      </x:c>
      <x:c r="L7877" s="6" t="n">
        <x:f>J7877*K7877</x:f>
        <x:v>0</x:v>
      </x:c>
    </x:row>
    <x:row r="7878">
      <x:c r="A7878" s="1" t="n">
        <x:v>63154</x:v>
      </x:c>
      <x:c r="B7878" s="5" t="d">
        <x:v>2017-07-10T00:00:00.000Z</x:v>
      </x:c>
      <x:c r="C7878" s="1" t="str">
        <x:v>Standard Class</x:v>
      </x:c>
      <x:c r="D7878" s="1" t="str">
        <x:v>Europe</x:v>
      </x:c>
      <x:c r="E7878" s="1" t="str">
        <x:v>COMPLETE</x:v>
      </x:c>
      <x:c r="F7878" s="1" t="str">
        <x:v>Late delivery</x:v>
      </x:c>
      <x:c r="G7878" s="6" t="n">
        <x:v>5</x:v>
      </x:c>
      <x:c r="H7878" s="6" t="n">
        <x:v>4</x:v>
      </x:c>
      <x:c r="I7878" s="6" t="n">
        <x:f>G7878-H7878</x:f>
        <x:v>1</x:v>
      </x:c>
      <x:c r="J7878" s="6" t="n">
        <x:f>IF(OR(E7878="CANCELED",E7878="SUSPECTED_FRAUD",F7878="Shipping canceled"),0,1)</x:f>
        <x:v>1</x:v>
      </x:c>
      <x:c r="K7878" s="6" t="n">
        <x:f>IF(G7878&gt;H7878,1,0)</x:f>
        <x:v>1</x:v>
      </x:c>
      <x:c r="L7878" s="6" t="n">
        <x:f>J7878*K7878</x:f>
        <x:v>1</x:v>
      </x:c>
    </x:row>
    <x:row r="7879">
      <x:c r="A7879" s="1" t="n">
        <x:v>63160</x:v>
      </x:c>
      <x:c r="B7879" s="5" t="d">
        <x:v>2017-07-10T00:00:00.000Z</x:v>
      </x:c>
      <x:c r="C7879" s="1" t="str">
        <x:v>Standard Class</x:v>
      </x:c>
      <x:c r="D7879" s="1" t="str">
        <x:v>Europe</x:v>
      </x:c>
      <x:c r="E7879" s="1" t="str">
        <x:v>ON_HOLD</x:v>
      </x:c>
      <x:c r="F7879" s="1" t="str">
        <x:v>Late delivery</x:v>
      </x:c>
      <x:c r="G7879" s="6" t="n">
        <x:v>6</x:v>
      </x:c>
      <x:c r="H7879" s="6" t="n">
        <x:v>4</x:v>
      </x:c>
      <x:c r="I7879" s="6" t="n">
        <x:f>G7879-H7879</x:f>
        <x:v>2</x:v>
      </x:c>
      <x:c r="J7879" s="6" t="n">
        <x:f>IF(OR(E7879="CANCELED",E7879="SUSPECTED_FRAUD",F7879="Shipping canceled"),0,1)</x:f>
        <x:v>1</x:v>
      </x:c>
      <x:c r="K7879" s="6" t="n">
        <x:f>IF(G7879&gt;H7879,1,0)</x:f>
        <x:v>1</x:v>
      </x:c>
      <x:c r="L7879" s="6" t="n">
        <x:f>J7879*K7879</x:f>
        <x:v>1</x:v>
      </x:c>
    </x:row>
    <x:row r="7880">
      <x:c r="A7880" s="1" t="n">
        <x:v>63163</x:v>
      </x:c>
      <x:c r="B7880" s="5" t="d">
        <x:v>2017-07-11T00:00:00.000Z</x:v>
      </x:c>
      <x:c r="C7880" s="1" t="str">
        <x:v>Standard Class</x:v>
      </x:c>
      <x:c r="D7880" s="1" t="str">
        <x:v>Europe</x:v>
      </x:c>
      <x:c r="E7880" s="1" t="str">
        <x:v>COMPLETE</x:v>
      </x:c>
      <x:c r="F7880" s="1" t="str">
        <x:v>Shipping on time</x:v>
      </x:c>
      <x:c r="G7880" s="6" t="n">
        <x:v>4</x:v>
      </x:c>
      <x:c r="H7880" s="6" t="n">
        <x:v>4</x:v>
      </x:c>
      <x:c r="I7880" s="6" t="n">
        <x:f>G7880-H7880</x:f>
        <x:v>0</x:v>
      </x:c>
      <x:c r="J7880" s="6" t="n">
        <x:f>IF(OR(E7880="CANCELED",E7880="SUSPECTED_FRAUD",F7880="Shipping canceled"),0,1)</x:f>
        <x:v>1</x:v>
      </x:c>
      <x:c r="K7880" s="6" t="n">
        <x:f>IF(G7880&gt;H7880,1,0)</x:f>
        <x:v>0</x:v>
      </x:c>
      <x:c r="L7880" s="6" t="n">
        <x:f>J7880*K7880</x:f>
        <x:v>0</x:v>
      </x:c>
    </x:row>
    <x:row r="7881">
      <x:c r="A7881" s="1" t="n">
        <x:v>63170</x:v>
      </x:c>
      <x:c r="B7881" s="5" t="d">
        <x:v>2017-07-11T00:00:00.000Z</x:v>
      </x:c>
      <x:c r="C7881" s="1" t="str">
        <x:v>Standard Class</x:v>
      </x:c>
      <x:c r="D7881" s="1" t="str">
        <x:v>Europe</x:v>
      </x:c>
      <x:c r="E7881" s="1" t="str">
        <x:v>PROCESSING</x:v>
      </x:c>
      <x:c r="F7881" s="1" t="str">
        <x:v>Late delivery</x:v>
      </x:c>
      <x:c r="G7881" s="6" t="n">
        <x:v>6</x:v>
      </x:c>
      <x:c r="H7881" s="6" t="n">
        <x:v>4</x:v>
      </x:c>
      <x:c r="I7881" s="6" t="n">
        <x:f>G7881-H7881</x:f>
        <x:v>2</x:v>
      </x:c>
      <x:c r="J7881" s="6" t="n">
        <x:f>IF(OR(E7881="CANCELED",E7881="SUSPECTED_FRAUD",F7881="Shipping canceled"),0,1)</x:f>
        <x:v>1</x:v>
      </x:c>
      <x:c r="K7881" s="6" t="n">
        <x:f>IF(G7881&gt;H7881,1,0)</x:f>
        <x:v>1</x:v>
      </x:c>
      <x:c r="L7881" s="6" t="n">
        <x:f>J7881*K7881</x:f>
        <x:v>1</x:v>
      </x:c>
    </x:row>
    <x:row r="7882">
      <x:c r="A7882" s="1" t="n">
        <x:v>63173</x:v>
      </x:c>
      <x:c r="B7882" s="5" t="d">
        <x:v>2017-07-11T00:00:00.000Z</x:v>
      </x:c>
      <x:c r="C7882" s="1" t="str">
        <x:v>Standard Class</x:v>
      </x:c>
      <x:c r="D7882" s="1" t="str">
        <x:v>Europe</x:v>
      </x:c>
      <x:c r="E7882" s="1" t="str">
        <x:v>COMPLETE</x:v>
      </x:c>
      <x:c r="F7882" s="1" t="str">
        <x:v>Shipping on time</x:v>
      </x:c>
      <x:c r="G7882" s="6" t="n">
        <x:v>4</x:v>
      </x:c>
      <x:c r="H7882" s="6" t="n">
        <x:v>4</x:v>
      </x:c>
      <x:c r="I7882" s="6" t="n">
        <x:f>G7882-H7882</x:f>
        <x:v>0</x:v>
      </x:c>
      <x:c r="J7882" s="6" t="n">
        <x:f>IF(OR(E7882="CANCELED",E7882="SUSPECTED_FRAUD",F7882="Shipping canceled"),0,1)</x:f>
        <x:v>1</x:v>
      </x:c>
      <x:c r="K7882" s="6" t="n">
        <x:f>IF(G7882&gt;H7882,1,0)</x:f>
        <x:v>0</x:v>
      </x:c>
      <x:c r="L7882" s="6" t="n">
        <x:f>J7882*K7882</x:f>
        <x:v>0</x:v>
      </x:c>
    </x:row>
    <x:row r="7883">
      <x:c r="A7883" s="1" t="n">
        <x:v>63181</x:v>
      </x:c>
      <x:c r="B7883" s="5" t="d">
        <x:v>2017-07-11T00:00:00.000Z</x:v>
      </x:c>
      <x:c r="C7883" s="1" t="str">
        <x:v>Standard Class</x:v>
      </x:c>
      <x:c r="D7883" s="1" t="str">
        <x:v>Europe</x:v>
      </x:c>
      <x:c r="E7883" s="1" t="str">
        <x:v>COMPLETE</x:v>
      </x:c>
      <x:c r="F7883" s="1" t="str">
        <x:v>Advance shipping</x:v>
      </x:c>
      <x:c r="G7883" s="6" t="n">
        <x:v>2</x:v>
      </x:c>
      <x:c r="H7883" s="6" t="n">
        <x:v>4</x:v>
      </x:c>
      <x:c r="I7883" s="6" t="n">
        <x:f>G7883-H7883</x:f>
        <x:v>-2</x:v>
      </x:c>
      <x:c r="J7883" s="6" t="n">
        <x:f>IF(OR(E7883="CANCELED",E7883="SUSPECTED_FRAUD",F7883="Shipping canceled"),0,1)</x:f>
        <x:v>1</x:v>
      </x:c>
      <x:c r="K7883" s="6" t="n">
        <x:f>IF(G7883&gt;H7883,1,0)</x:f>
        <x:v>0</x:v>
      </x:c>
      <x:c r="L7883" s="6" t="n">
        <x:f>J7883*K7883</x:f>
        <x:v>0</x:v>
      </x:c>
    </x:row>
    <x:row r="7884">
      <x:c r="A7884" s="1" t="n">
        <x:v>63182</x:v>
      </x:c>
      <x:c r="B7884" s="5" t="d">
        <x:v>2017-07-11T00:00:00.000Z</x:v>
      </x:c>
      <x:c r="C7884" s="1" t="str">
        <x:v>Standard Class</x:v>
      </x:c>
      <x:c r="D7884" s="1" t="str">
        <x:v>Europe</x:v>
      </x:c>
      <x:c r="E7884" s="1" t="str">
        <x:v>PROCESSING</x:v>
      </x:c>
      <x:c r="F7884" s="1" t="str">
        <x:v>Advance shipping</x:v>
      </x:c>
      <x:c r="G7884" s="6" t="n">
        <x:v>3</x:v>
      </x:c>
      <x:c r="H7884" s="6" t="n">
        <x:v>4</x:v>
      </x:c>
      <x:c r="I7884" s="6" t="n">
        <x:f>G7884-H7884</x:f>
        <x:v>-1</x:v>
      </x:c>
      <x:c r="J7884" s="6" t="n">
        <x:f>IF(OR(E7884="CANCELED",E7884="SUSPECTED_FRAUD",F7884="Shipping canceled"),0,1)</x:f>
        <x:v>1</x:v>
      </x:c>
      <x:c r="K7884" s="6" t="n">
        <x:f>IF(G7884&gt;H7884,1,0)</x:f>
        <x:v>0</x:v>
      </x:c>
      <x:c r="L7884" s="6" t="n">
        <x:f>J7884*K7884</x:f>
        <x:v>0</x:v>
      </x:c>
    </x:row>
    <x:row r="7885">
      <x:c r="A7885" s="1" t="n">
        <x:v>63190</x:v>
      </x:c>
      <x:c r="B7885" s="5" t="d">
        <x:v>2017-07-11T00:00:00.000Z</x:v>
      </x:c>
      <x:c r="C7885" s="1" t="str">
        <x:v>Standard Class</x:v>
      </x:c>
      <x:c r="D7885" s="1" t="str">
        <x:v>Europe</x:v>
      </x:c>
      <x:c r="E7885" s="1" t="str">
        <x:v>PENDING_PAYMENT</x:v>
      </x:c>
      <x:c r="F7885" s="1" t="str">
        <x:v>Late delivery</x:v>
      </x:c>
      <x:c r="G7885" s="6" t="n">
        <x:v>6</x:v>
      </x:c>
      <x:c r="H7885" s="6" t="n">
        <x:v>4</x:v>
      </x:c>
      <x:c r="I7885" s="6" t="n">
        <x:f>G7885-H7885</x:f>
        <x:v>2</x:v>
      </x:c>
      <x:c r="J7885" s="6" t="n">
        <x:f>IF(OR(E7885="CANCELED",E7885="SUSPECTED_FRAUD",F7885="Shipping canceled"),0,1)</x:f>
        <x:v>1</x:v>
      </x:c>
      <x:c r="K7885" s="6" t="n">
        <x:f>IF(G7885&gt;H7885,1,0)</x:f>
        <x:v>1</x:v>
      </x:c>
      <x:c r="L7885" s="6" t="n">
        <x:f>J7885*K7885</x:f>
        <x:v>1</x:v>
      </x:c>
    </x:row>
    <x:row r="7886">
      <x:c r="A7886" s="1" t="n">
        <x:v>63193</x:v>
      </x:c>
      <x:c r="B7886" s="5" t="d">
        <x:v>2017-07-11T00:00:00.000Z</x:v>
      </x:c>
      <x:c r="C7886" s="1" t="str">
        <x:v>Standard Class</x:v>
      </x:c>
      <x:c r="D7886" s="1" t="str">
        <x:v>Europe</x:v>
      </x:c>
      <x:c r="E7886" s="1" t="str">
        <x:v>COMPLETE</x:v>
      </x:c>
      <x:c r="F7886" s="1" t="str">
        <x:v>Shipping on time</x:v>
      </x:c>
      <x:c r="G7886" s="6" t="n">
        <x:v>4</x:v>
      </x:c>
      <x:c r="H7886" s="6" t="n">
        <x:v>4</x:v>
      </x:c>
      <x:c r="I7886" s="6" t="n">
        <x:f>G7886-H7886</x:f>
        <x:v>0</x:v>
      </x:c>
      <x:c r="J7886" s="6" t="n">
        <x:f>IF(OR(E7886="CANCELED",E7886="SUSPECTED_FRAUD",F7886="Shipping canceled"),0,1)</x:f>
        <x:v>1</x:v>
      </x:c>
      <x:c r="K7886" s="6" t="n">
        <x:f>IF(G7886&gt;H7886,1,0)</x:f>
        <x:v>0</x:v>
      </x:c>
      <x:c r="L7886" s="6" t="n">
        <x:f>J7886*K7886</x:f>
        <x:v>0</x:v>
      </x:c>
    </x:row>
    <x:row r="7887">
      <x:c r="A7887" s="1" t="n">
        <x:v>63196</x:v>
      </x:c>
      <x:c r="B7887" s="5" t="d">
        <x:v>2017-07-11T00:00:00.000Z</x:v>
      </x:c>
      <x:c r="C7887" s="1" t="str">
        <x:v>Second Class</x:v>
      </x:c>
      <x:c r="D7887" s="1" t="str">
        <x:v>Europe</x:v>
      </x:c>
      <x:c r="E7887" s="1" t="str">
        <x:v>PENDING</x:v>
      </x:c>
      <x:c r="F7887" s="1" t="str">
        <x:v>Shipping on time</x:v>
      </x:c>
      <x:c r="G7887" s="6" t="n">
        <x:v>2</x:v>
      </x:c>
      <x:c r="H7887" s="6" t="n">
        <x:v>2</x:v>
      </x:c>
      <x:c r="I7887" s="6" t="n">
        <x:f>G7887-H7887</x:f>
        <x:v>0</x:v>
      </x:c>
      <x:c r="J7887" s="6" t="n">
        <x:f>IF(OR(E7887="CANCELED",E7887="SUSPECTED_FRAUD",F7887="Shipping canceled"),0,1)</x:f>
        <x:v>1</x:v>
      </x:c>
      <x:c r="K7887" s="6" t="n">
        <x:f>IF(G7887&gt;H7887,1,0)</x:f>
        <x:v>0</x:v>
      </x:c>
      <x:c r="L7887" s="6" t="n">
        <x:f>J7887*K7887</x:f>
        <x:v>0</x:v>
      </x:c>
    </x:row>
    <x:row r="7888">
      <x:c r="A7888" s="1" t="n">
        <x:v>63220</x:v>
      </x:c>
      <x:c r="B7888" s="5" t="d">
        <x:v>2017-07-11T00:00:00.000Z</x:v>
      </x:c>
      <x:c r="C7888" s="1" t="str">
        <x:v>Standard Class</x:v>
      </x:c>
      <x:c r="D7888" s="1" t="str">
        <x:v>Europe</x:v>
      </x:c>
      <x:c r="E7888" s="1" t="str">
        <x:v>CANCELED</x:v>
      </x:c>
      <x:c r="F7888" s="1" t="str">
        <x:v>Shipping canceled</x:v>
      </x:c>
      <x:c r="G7888" s="6" t="n">
        <x:v>6</x:v>
      </x:c>
      <x:c r="H7888" s="6" t="n">
        <x:v>4</x:v>
      </x:c>
      <x:c r="I7888" s="6" t="n">
        <x:f>G7888-H7888</x:f>
        <x:v>2</x:v>
      </x:c>
      <x:c r="J7888" s="6" t="n">
        <x:f>IF(OR(E7888="CANCELED",E7888="SUSPECTED_FRAUD",F7888="Shipping canceled"),0,1)</x:f>
        <x:v>0</x:v>
      </x:c>
      <x:c r="K7888" s="6" t="n">
        <x:f>IF(G7888&gt;H7888,1,0)</x:f>
        <x:v>1</x:v>
      </x:c>
      <x:c r="L7888" s="6" t="n">
        <x:f>J7888*K7888</x:f>
        <x:v>0</x:v>
      </x:c>
    </x:row>
    <x:row r="7889">
      <x:c r="A7889" s="1" t="n">
        <x:v>63233</x:v>
      </x:c>
      <x:c r="B7889" s="5" t="d">
        <x:v>2017-07-12T00:00:00.000Z</x:v>
      </x:c>
      <x:c r="C7889" s="1" t="str">
        <x:v>Standard Class</x:v>
      </x:c>
      <x:c r="D7889" s="1" t="str">
        <x:v>Europe</x:v>
      </x:c>
      <x:c r="E7889" s="1" t="str">
        <x:v>PENDING</x:v>
      </x:c>
      <x:c r="F7889" s="1" t="str">
        <x:v>Shipping on time</x:v>
      </x:c>
      <x:c r="G7889" s="6" t="n">
        <x:v>4</x:v>
      </x:c>
      <x:c r="H7889" s="6" t="n">
        <x:v>4</x:v>
      </x:c>
      <x:c r="I7889" s="6" t="n">
        <x:f>G7889-H7889</x:f>
        <x:v>0</x:v>
      </x:c>
      <x:c r="J7889" s="6" t="n">
        <x:f>IF(OR(E7889="CANCELED",E7889="SUSPECTED_FRAUD",F7889="Shipping canceled"),0,1)</x:f>
        <x:v>1</x:v>
      </x:c>
      <x:c r="K7889" s="6" t="n">
        <x:f>IF(G7889&gt;H7889,1,0)</x:f>
        <x:v>0</x:v>
      </x:c>
      <x:c r="L7889" s="6" t="n">
        <x:f>J7889*K7889</x:f>
        <x:v>0</x:v>
      </x:c>
    </x:row>
    <x:row r="7890">
      <x:c r="A7890" s="1" t="n">
        <x:v>63242</x:v>
      </x:c>
      <x:c r="B7890" s="5" t="d">
        <x:v>2017-07-12T00:00:00.000Z</x:v>
      </x:c>
      <x:c r="C7890" s="1" t="str">
        <x:v>Standard Class</x:v>
      </x:c>
      <x:c r="D7890" s="1" t="str">
        <x:v>Europe</x:v>
      </x:c>
      <x:c r="E7890" s="1" t="str">
        <x:v>PENDING</x:v>
      </x:c>
      <x:c r="F7890" s="1" t="str">
        <x:v>Advance shipping</x:v>
      </x:c>
      <x:c r="G7890" s="6" t="n">
        <x:v>3</x:v>
      </x:c>
      <x:c r="H7890" s="6" t="n">
        <x:v>4</x:v>
      </x:c>
      <x:c r="I7890" s="6" t="n">
        <x:f>G7890-H7890</x:f>
        <x:v>-1</x:v>
      </x:c>
      <x:c r="J7890" s="6" t="n">
        <x:f>IF(OR(E7890="CANCELED",E7890="SUSPECTED_FRAUD",F7890="Shipping canceled"),0,1)</x:f>
        <x:v>1</x:v>
      </x:c>
      <x:c r="K7890" s="6" t="n">
        <x:f>IF(G7890&gt;H7890,1,0)</x:f>
        <x:v>0</x:v>
      </x:c>
      <x:c r="L7890" s="6" t="n">
        <x:f>J7890*K7890</x:f>
        <x:v>0</x:v>
      </x:c>
    </x:row>
    <x:row r="7891">
      <x:c r="A7891" s="1" t="n">
        <x:v>63249</x:v>
      </x:c>
      <x:c r="B7891" s="5" t="d">
        <x:v>2017-07-12T00:00:00.000Z</x:v>
      </x:c>
      <x:c r="C7891" s="1" t="str">
        <x:v>First Class</x:v>
      </x:c>
      <x:c r="D7891" s="1" t="str">
        <x:v>Europe</x:v>
      </x:c>
      <x:c r="E7891" s="1" t="str">
        <x:v>PENDING</x:v>
      </x:c>
      <x:c r="F7891" s="1" t="str">
        <x:v>Late delivery</x:v>
      </x:c>
      <x:c r="G7891" s="6" t="n">
        <x:v>2</x:v>
      </x:c>
      <x:c r="H7891" s="6" t="n">
        <x:v>1</x:v>
      </x:c>
      <x:c r="I7891" s="6" t="n">
        <x:f>G7891-H7891</x:f>
        <x:v>1</x:v>
      </x:c>
      <x:c r="J7891" s="6" t="n">
        <x:f>IF(OR(E7891="CANCELED",E7891="SUSPECTED_FRAUD",F7891="Shipping canceled"),0,1)</x:f>
        <x:v>1</x:v>
      </x:c>
      <x:c r="K7891" s="6" t="n">
        <x:f>IF(G7891&gt;H7891,1,0)</x:f>
        <x:v>1</x:v>
      </x:c>
      <x:c r="L7891" s="6" t="n">
        <x:f>J7891*K7891</x:f>
        <x:v>1</x:v>
      </x:c>
    </x:row>
    <x:row r="7892">
      <x:c r="A7892" s="1" t="n">
        <x:v>63280</x:v>
      </x:c>
      <x:c r="B7892" s="5" t="d">
        <x:v>2017-07-12T00:00:00.000Z</x:v>
      </x:c>
      <x:c r="C7892" s="1" t="str">
        <x:v>Standard Class</x:v>
      </x:c>
      <x:c r="D7892" s="1" t="str">
        <x:v>Europe</x:v>
      </x:c>
      <x:c r="E7892" s="1" t="str">
        <x:v>PENDING_PAYMENT</x:v>
      </x:c>
      <x:c r="F7892" s="1" t="str">
        <x:v>Late delivery</x:v>
      </x:c>
      <x:c r="G7892" s="6" t="n">
        <x:v>6</x:v>
      </x:c>
      <x:c r="H7892" s="6" t="n">
        <x:v>4</x:v>
      </x:c>
      <x:c r="I7892" s="6" t="n">
        <x:f>G7892-H7892</x:f>
        <x:v>2</x:v>
      </x:c>
      <x:c r="J7892" s="6" t="n">
        <x:f>IF(OR(E7892="CANCELED",E7892="SUSPECTED_FRAUD",F7892="Shipping canceled"),0,1)</x:f>
        <x:v>1</x:v>
      </x:c>
      <x:c r="K7892" s="6" t="n">
        <x:f>IF(G7892&gt;H7892,1,0)</x:f>
        <x:v>1</x:v>
      </x:c>
      <x:c r="L7892" s="6" t="n">
        <x:f>J7892*K7892</x:f>
        <x:v>1</x:v>
      </x:c>
    </x:row>
    <x:row r="7893">
      <x:c r="A7893" s="1" t="n">
        <x:v>63295</x:v>
      </x:c>
      <x:c r="B7893" s="5" t="d">
        <x:v>2017-07-12T00:00:00.000Z</x:v>
      </x:c>
      <x:c r="C7893" s="1" t="str">
        <x:v>First Class</x:v>
      </x:c>
      <x:c r="D7893" s="1" t="str">
        <x:v>Europe</x:v>
      </x:c>
      <x:c r="E7893" s="1" t="str">
        <x:v>PENDING_PAYMENT</x:v>
      </x:c>
      <x:c r="F7893" s="1" t="str">
        <x:v>Late delivery</x:v>
      </x:c>
      <x:c r="G7893" s="6" t="n">
        <x:v>2</x:v>
      </x:c>
      <x:c r="H7893" s="6" t="n">
        <x:v>1</x:v>
      </x:c>
      <x:c r="I7893" s="6" t="n">
        <x:f>G7893-H7893</x:f>
        <x:v>1</x:v>
      </x:c>
      <x:c r="J7893" s="6" t="n">
        <x:f>IF(OR(E7893="CANCELED",E7893="SUSPECTED_FRAUD",F7893="Shipping canceled"),0,1)</x:f>
        <x:v>1</x:v>
      </x:c>
      <x:c r="K7893" s="6" t="n">
        <x:f>IF(G7893&gt;H7893,1,0)</x:f>
        <x:v>1</x:v>
      </x:c>
      <x:c r="L7893" s="6" t="n">
        <x:f>J7893*K7893</x:f>
        <x:v>1</x:v>
      </x:c>
    </x:row>
    <x:row r="7894">
      <x:c r="A7894" s="1" t="n">
        <x:v>63301</x:v>
      </x:c>
      <x:c r="B7894" s="5" t="d">
        <x:v>2017-07-13T00:00:00.000Z</x:v>
      </x:c>
      <x:c r="C7894" s="1" t="str">
        <x:v>Second Class</x:v>
      </x:c>
      <x:c r="D7894" s="1" t="str">
        <x:v>Europe</x:v>
      </x:c>
      <x:c r="E7894" s="1" t="str">
        <x:v>COMPLETE</x:v>
      </x:c>
      <x:c r="F7894" s="1" t="str">
        <x:v>Shipping on time</x:v>
      </x:c>
      <x:c r="G7894" s="6" t="n">
        <x:v>2</x:v>
      </x:c>
      <x:c r="H7894" s="6" t="n">
        <x:v>2</x:v>
      </x:c>
      <x:c r="I7894" s="6" t="n">
        <x:f>G7894-H7894</x:f>
        <x:v>0</x:v>
      </x:c>
      <x:c r="J7894" s="6" t="n">
        <x:f>IF(OR(E7894="CANCELED",E7894="SUSPECTED_FRAUD",F7894="Shipping canceled"),0,1)</x:f>
        <x:v>1</x:v>
      </x:c>
      <x:c r="K7894" s="6" t="n">
        <x:f>IF(G7894&gt;H7894,1,0)</x:f>
        <x:v>0</x:v>
      </x:c>
      <x:c r="L7894" s="6" t="n">
        <x:f>J7894*K7894</x:f>
        <x:v>0</x:v>
      </x:c>
    </x:row>
    <x:row r="7895">
      <x:c r="A7895" s="1" t="n">
        <x:v>63303</x:v>
      </x:c>
      <x:c r="B7895" s="5" t="d">
        <x:v>2017-07-13T00:00:00.000Z</x:v>
      </x:c>
      <x:c r="C7895" s="1" t="str">
        <x:v>Second Class</x:v>
      </x:c>
      <x:c r="D7895" s="1" t="str">
        <x:v>Europe</x:v>
      </x:c>
      <x:c r="E7895" s="1" t="str">
        <x:v>COMPLETE</x:v>
      </x:c>
      <x:c r="F7895" s="1" t="str">
        <x:v>Late delivery</x:v>
      </x:c>
      <x:c r="G7895" s="6" t="n">
        <x:v>4</x:v>
      </x:c>
      <x:c r="H7895" s="6" t="n">
        <x:v>2</x:v>
      </x:c>
      <x:c r="I7895" s="6" t="n">
        <x:f>G7895-H7895</x:f>
        <x:v>2</x:v>
      </x:c>
      <x:c r="J7895" s="6" t="n">
        <x:f>IF(OR(E7895="CANCELED",E7895="SUSPECTED_FRAUD",F7895="Shipping canceled"),0,1)</x:f>
        <x:v>1</x:v>
      </x:c>
      <x:c r="K7895" s="6" t="n">
        <x:f>IF(G7895&gt;H7895,1,0)</x:f>
        <x:v>1</x:v>
      </x:c>
      <x:c r="L7895" s="6" t="n">
        <x:f>J7895*K7895</x:f>
        <x:v>1</x:v>
      </x:c>
    </x:row>
    <x:row r="7896">
      <x:c r="A7896" s="1" t="n">
        <x:v>63311</x:v>
      </x:c>
      <x:c r="B7896" s="5" t="d">
        <x:v>2017-07-13T00:00:00.000Z</x:v>
      </x:c>
      <x:c r="C7896" s="1" t="str">
        <x:v>First Class</x:v>
      </x:c>
      <x:c r="D7896" s="1" t="str">
        <x:v>Europe</x:v>
      </x:c>
      <x:c r="E7896" s="1" t="str">
        <x:v>CLOSED</x:v>
      </x:c>
      <x:c r="F7896" s="1" t="str">
        <x:v>Late delivery</x:v>
      </x:c>
      <x:c r="G7896" s="6" t="n">
        <x:v>2</x:v>
      </x:c>
      <x:c r="H7896" s="6" t="n">
        <x:v>1</x:v>
      </x:c>
      <x:c r="I7896" s="6" t="n">
        <x:f>G7896-H7896</x:f>
        <x:v>1</x:v>
      </x:c>
      <x:c r="J7896" s="6" t="n">
        <x:f>IF(OR(E7896="CANCELED",E7896="SUSPECTED_FRAUD",F7896="Shipping canceled"),0,1)</x:f>
        <x:v>1</x:v>
      </x:c>
      <x:c r="K7896" s="6" t="n">
        <x:f>IF(G7896&gt;H7896,1,0)</x:f>
        <x:v>1</x:v>
      </x:c>
      <x:c r="L7896" s="6" t="n">
        <x:f>J7896*K7896</x:f>
        <x:v>1</x:v>
      </x:c>
    </x:row>
    <x:row r="7897">
      <x:c r="A7897" s="1" t="n">
        <x:v>63320</x:v>
      </x:c>
      <x:c r="B7897" s="5" t="d">
        <x:v>2017-07-13T00:00:00.000Z</x:v>
      </x:c>
      <x:c r="C7897" s="1" t="str">
        <x:v>Standard Class</x:v>
      </x:c>
      <x:c r="D7897" s="1" t="str">
        <x:v>Europe</x:v>
      </x:c>
      <x:c r="E7897" s="1" t="str">
        <x:v>PENDING_PAYMENT</x:v>
      </x:c>
      <x:c r="F7897" s="1" t="str">
        <x:v>Late delivery</x:v>
      </x:c>
      <x:c r="G7897" s="6" t="n">
        <x:v>6</x:v>
      </x:c>
      <x:c r="H7897" s="6" t="n">
        <x:v>4</x:v>
      </x:c>
      <x:c r="I7897" s="6" t="n">
        <x:f>G7897-H7897</x:f>
        <x:v>2</x:v>
      </x:c>
      <x:c r="J7897" s="6" t="n">
        <x:f>IF(OR(E7897="CANCELED",E7897="SUSPECTED_FRAUD",F7897="Shipping canceled"),0,1)</x:f>
        <x:v>1</x:v>
      </x:c>
      <x:c r="K7897" s="6" t="n">
        <x:f>IF(G7897&gt;H7897,1,0)</x:f>
        <x:v>1</x:v>
      </x:c>
      <x:c r="L7897" s="6" t="n">
        <x:f>J7897*K7897</x:f>
        <x:v>1</x:v>
      </x:c>
    </x:row>
    <x:row r="7898">
      <x:c r="A7898" s="1" t="n">
        <x:v>63330</x:v>
      </x:c>
      <x:c r="B7898" s="5" t="d">
        <x:v>2017-07-13T00:00:00.000Z</x:v>
      </x:c>
      <x:c r="C7898" s="1" t="str">
        <x:v>First Class</x:v>
      </x:c>
      <x:c r="D7898" s="1" t="str">
        <x:v>Europe</x:v>
      </x:c>
      <x:c r="E7898" s="1" t="str">
        <x:v>PROCESSING</x:v>
      </x:c>
      <x:c r="F7898" s="1" t="str">
        <x:v>Late delivery</x:v>
      </x:c>
      <x:c r="G7898" s="6" t="n">
        <x:v>2</x:v>
      </x:c>
      <x:c r="H7898" s="6" t="n">
        <x:v>1</x:v>
      </x:c>
      <x:c r="I7898" s="6" t="n">
        <x:f>G7898-H7898</x:f>
        <x:v>1</x:v>
      </x:c>
      <x:c r="J7898" s="6" t="n">
        <x:f>IF(OR(E7898="CANCELED",E7898="SUSPECTED_FRAUD",F7898="Shipping canceled"),0,1)</x:f>
        <x:v>1</x:v>
      </x:c>
      <x:c r="K7898" s="6" t="n">
        <x:f>IF(G7898&gt;H7898,1,0)</x:f>
        <x:v>1</x:v>
      </x:c>
      <x:c r="L7898" s="6" t="n">
        <x:f>J7898*K7898</x:f>
        <x:v>1</x:v>
      </x:c>
    </x:row>
    <x:row r="7899">
      <x:c r="A7899" s="1" t="n">
        <x:v>63332</x:v>
      </x:c>
      <x:c r="B7899" s="5" t="d">
        <x:v>2017-07-13T00:00:00.000Z</x:v>
      </x:c>
      <x:c r="C7899" s="1" t="str">
        <x:v>First Class</x:v>
      </x:c>
      <x:c r="D7899" s="1" t="str">
        <x:v>Europe</x:v>
      </x:c>
      <x:c r="E7899" s="1" t="str">
        <x:v>PENDING_PAYMENT</x:v>
      </x:c>
      <x:c r="F7899" s="1" t="str">
        <x:v>Late delivery</x:v>
      </x:c>
      <x:c r="G7899" s="6" t="n">
        <x:v>2</x:v>
      </x:c>
      <x:c r="H7899" s="6" t="n">
        <x:v>1</x:v>
      </x:c>
      <x:c r="I7899" s="6" t="n">
        <x:f>G7899-H7899</x:f>
        <x:v>1</x:v>
      </x:c>
      <x:c r="J7899" s="6" t="n">
        <x:f>IF(OR(E7899="CANCELED",E7899="SUSPECTED_FRAUD",F7899="Shipping canceled"),0,1)</x:f>
        <x:v>1</x:v>
      </x:c>
      <x:c r="K7899" s="6" t="n">
        <x:f>IF(G7899&gt;H7899,1,0)</x:f>
        <x:v>1</x:v>
      </x:c>
      <x:c r="L7899" s="6" t="n">
        <x:f>J7899*K7899</x:f>
        <x:v>1</x:v>
      </x:c>
    </x:row>
    <x:row r="7900">
      <x:c r="A7900" s="1" t="n">
        <x:v>63341</x:v>
      </x:c>
      <x:c r="B7900" s="5" t="d">
        <x:v>2017-07-13T00:00:00.000Z</x:v>
      </x:c>
      <x:c r="C7900" s="1" t="str">
        <x:v>Standard Class</x:v>
      </x:c>
      <x:c r="D7900" s="1" t="str">
        <x:v>Europe</x:v>
      </x:c>
      <x:c r="E7900" s="1" t="str">
        <x:v>CLOSED</x:v>
      </x:c>
      <x:c r="F7900" s="1" t="str">
        <x:v>Advance shipping</x:v>
      </x:c>
      <x:c r="G7900" s="6" t="n">
        <x:v>2</x:v>
      </x:c>
      <x:c r="H7900" s="6" t="n">
        <x:v>4</x:v>
      </x:c>
      <x:c r="I7900" s="6" t="n">
        <x:f>G7900-H7900</x:f>
        <x:v>-2</x:v>
      </x:c>
      <x:c r="J7900" s="6" t="n">
        <x:f>IF(OR(E7900="CANCELED",E7900="SUSPECTED_FRAUD",F7900="Shipping canceled"),0,1)</x:f>
        <x:v>1</x:v>
      </x:c>
      <x:c r="K7900" s="6" t="n">
        <x:f>IF(G7900&gt;H7900,1,0)</x:f>
        <x:v>0</x:v>
      </x:c>
      <x:c r="L7900" s="6" t="n">
        <x:f>J7900*K7900</x:f>
        <x:v>0</x:v>
      </x:c>
    </x:row>
    <x:row r="7901">
      <x:c r="A7901" s="1" t="n">
        <x:v>63347</x:v>
      </x:c>
      <x:c r="B7901" s="5" t="d">
        <x:v>2017-07-13T00:00:00.000Z</x:v>
      </x:c>
      <x:c r="C7901" s="1" t="str">
        <x:v>Standard Class</x:v>
      </x:c>
      <x:c r="D7901" s="1" t="str">
        <x:v>Europe</x:v>
      </x:c>
      <x:c r="E7901" s="1" t="str">
        <x:v>COMPLETE</x:v>
      </x:c>
      <x:c r="F7901" s="1" t="str">
        <x:v>Advance shipping</x:v>
      </x:c>
      <x:c r="G7901" s="6" t="n">
        <x:v>3</x:v>
      </x:c>
      <x:c r="H7901" s="6" t="n">
        <x:v>4</x:v>
      </x:c>
      <x:c r="I7901" s="6" t="n">
        <x:f>G7901-H7901</x:f>
        <x:v>-1</x:v>
      </x:c>
      <x:c r="J7901" s="6" t="n">
        <x:f>IF(OR(E7901="CANCELED",E7901="SUSPECTED_FRAUD",F7901="Shipping canceled"),0,1)</x:f>
        <x:v>1</x:v>
      </x:c>
      <x:c r="K7901" s="6" t="n">
        <x:f>IF(G7901&gt;H7901,1,0)</x:f>
        <x:v>0</x:v>
      </x:c>
      <x:c r="L7901" s="6" t="n">
        <x:f>J7901*K7901</x:f>
        <x:v>0</x:v>
      </x:c>
    </x:row>
    <x:row r="7902">
      <x:c r="A7902" s="1" t="n">
        <x:v>63349</x:v>
      </x:c>
      <x:c r="B7902" s="5" t="d">
        <x:v>2017-07-13T00:00:00.000Z</x:v>
      </x:c>
      <x:c r="C7902" s="1" t="str">
        <x:v>Standard Class</x:v>
      </x:c>
      <x:c r="D7902" s="1" t="str">
        <x:v>Europe</x:v>
      </x:c>
      <x:c r="E7902" s="1" t="str">
        <x:v>COMPLETE</x:v>
      </x:c>
      <x:c r="F7902" s="1" t="str">
        <x:v>Late delivery</x:v>
      </x:c>
      <x:c r="G7902" s="6" t="n">
        <x:v>5</x:v>
      </x:c>
      <x:c r="H7902" s="6" t="n">
        <x:v>4</x:v>
      </x:c>
      <x:c r="I7902" s="6" t="n">
        <x:f>G7902-H7902</x:f>
        <x:v>1</x:v>
      </x:c>
      <x:c r="J7902" s="6" t="n">
        <x:f>IF(OR(E7902="CANCELED",E7902="SUSPECTED_FRAUD",F7902="Shipping canceled"),0,1)</x:f>
        <x:v>1</x:v>
      </x:c>
      <x:c r="K7902" s="6" t="n">
        <x:f>IF(G7902&gt;H7902,1,0)</x:f>
        <x:v>1</x:v>
      </x:c>
      <x:c r="L7902" s="6" t="n">
        <x:f>J7902*K7902</x:f>
        <x:v>1</x:v>
      </x:c>
    </x:row>
    <x:row r="7903">
      <x:c r="A7903" s="1" t="n">
        <x:v>63353</x:v>
      </x:c>
      <x:c r="B7903" s="5" t="d">
        <x:v>2017-07-13T00:00:00.000Z</x:v>
      </x:c>
      <x:c r="C7903" s="1" t="str">
        <x:v>Second Class</x:v>
      </x:c>
      <x:c r="D7903" s="1" t="str">
        <x:v>Europe</x:v>
      </x:c>
      <x:c r="E7903" s="1" t="str">
        <x:v>COMPLETE</x:v>
      </x:c>
      <x:c r="F7903" s="1" t="str">
        <x:v>Late delivery</x:v>
      </x:c>
      <x:c r="G7903" s="6" t="n">
        <x:v>4</x:v>
      </x:c>
      <x:c r="H7903" s="6" t="n">
        <x:v>2</x:v>
      </x:c>
      <x:c r="I7903" s="6" t="n">
        <x:f>G7903-H7903</x:f>
        <x:v>2</x:v>
      </x:c>
      <x:c r="J7903" s="6" t="n">
        <x:f>IF(OR(E7903="CANCELED",E7903="SUSPECTED_FRAUD",F7903="Shipping canceled"),0,1)</x:f>
        <x:v>1</x:v>
      </x:c>
      <x:c r="K7903" s="6" t="n">
        <x:f>IF(G7903&gt;H7903,1,0)</x:f>
        <x:v>1</x:v>
      </x:c>
      <x:c r="L7903" s="6" t="n">
        <x:f>J7903*K7903</x:f>
        <x:v>1</x:v>
      </x:c>
    </x:row>
    <x:row r="7904">
      <x:c r="A7904" s="1" t="n">
        <x:v>63377</x:v>
      </x:c>
      <x:c r="B7904" s="5" t="d">
        <x:v>2017-07-14T00:00:00.000Z</x:v>
      </x:c>
      <x:c r="C7904" s="1" t="str">
        <x:v>Standard Class</x:v>
      </x:c>
      <x:c r="D7904" s="1" t="str">
        <x:v>Europe</x:v>
      </x:c>
      <x:c r="E7904" s="1" t="str">
        <x:v>PROCESSING</x:v>
      </x:c>
      <x:c r="F7904" s="1" t="str">
        <x:v>Advance shipping</x:v>
      </x:c>
      <x:c r="G7904" s="6" t="n">
        <x:v>3</x:v>
      </x:c>
      <x:c r="H7904" s="6" t="n">
        <x:v>4</x:v>
      </x:c>
      <x:c r="I7904" s="6" t="n">
        <x:f>G7904-H7904</x:f>
        <x:v>-1</x:v>
      </x:c>
      <x:c r="J7904" s="6" t="n">
        <x:f>IF(OR(E7904="CANCELED",E7904="SUSPECTED_FRAUD",F7904="Shipping canceled"),0,1)</x:f>
        <x:v>1</x:v>
      </x:c>
      <x:c r="K7904" s="6" t="n">
        <x:f>IF(G7904&gt;H7904,1,0)</x:f>
        <x:v>0</x:v>
      </x:c>
      <x:c r="L7904" s="6" t="n">
        <x:f>J7904*K7904</x:f>
        <x:v>0</x:v>
      </x:c>
    </x:row>
    <x:row r="7905">
      <x:c r="A7905" s="1" t="n">
        <x:v>63384</x:v>
      </x:c>
      <x:c r="B7905" s="5" t="d">
        <x:v>2017-07-14T00:00:00.000Z</x:v>
      </x:c>
      <x:c r="C7905" s="1" t="str">
        <x:v>Standard Class</x:v>
      </x:c>
      <x:c r="D7905" s="1" t="str">
        <x:v>Europe</x:v>
      </x:c>
      <x:c r="E7905" s="1" t="str">
        <x:v>ON_HOLD</x:v>
      </x:c>
      <x:c r="F7905" s="1" t="str">
        <x:v>Late delivery</x:v>
      </x:c>
      <x:c r="G7905" s="6" t="n">
        <x:v>5</x:v>
      </x:c>
      <x:c r="H7905" s="6" t="n">
        <x:v>4</x:v>
      </x:c>
      <x:c r="I7905" s="6" t="n">
        <x:f>G7905-H7905</x:f>
        <x:v>1</x:v>
      </x:c>
      <x:c r="J7905" s="6" t="n">
        <x:f>IF(OR(E7905="CANCELED",E7905="SUSPECTED_FRAUD",F7905="Shipping canceled"),0,1)</x:f>
        <x:v>1</x:v>
      </x:c>
      <x:c r="K7905" s="6" t="n">
        <x:f>IF(G7905&gt;H7905,1,0)</x:f>
        <x:v>1</x:v>
      </x:c>
      <x:c r="L7905" s="6" t="n">
        <x:f>J7905*K7905</x:f>
        <x:v>1</x:v>
      </x:c>
    </x:row>
    <x:row r="7906">
      <x:c r="A7906" s="1" t="n">
        <x:v>63388</x:v>
      </x:c>
      <x:c r="B7906" s="5" t="d">
        <x:v>2017-07-14T00:00:00.000Z</x:v>
      </x:c>
      <x:c r="C7906" s="1" t="str">
        <x:v>Standard Class</x:v>
      </x:c>
      <x:c r="D7906" s="1" t="str">
        <x:v>Europe</x:v>
      </x:c>
      <x:c r="E7906" s="1" t="str">
        <x:v>PENDING_PAYMENT</x:v>
      </x:c>
      <x:c r="F7906" s="1" t="str">
        <x:v>Shipping on time</x:v>
      </x:c>
      <x:c r="G7906" s="6" t="n">
        <x:v>4</x:v>
      </x:c>
      <x:c r="H7906" s="6" t="n">
        <x:v>4</x:v>
      </x:c>
      <x:c r="I7906" s="6" t="n">
        <x:f>G7906-H7906</x:f>
        <x:v>0</x:v>
      </x:c>
      <x:c r="J7906" s="6" t="n">
        <x:f>IF(OR(E7906="CANCELED",E7906="SUSPECTED_FRAUD",F7906="Shipping canceled"),0,1)</x:f>
        <x:v>1</x:v>
      </x:c>
      <x:c r="K7906" s="6" t="n">
        <x:f>IF(G7906&gt;H7906,1,0)</x:f>
        <x:v>0</x:v>
      </x:c>
      <x:c r="L7906" s="6" t="n">
        <x:f>J7906*K7906</x:f>
        <x:v>0</x:v>
      </x:c>
    </x:row>
    <x:row r="7907">
      <x:c r="A7907" s="1" t="n">
        <x:v>63398</x:v>
      </x:c>
      <x:c r="B7907" s="5" t="d">
        <x:v>2017-07-14T00:00:00.000Z</x:v>
      </x:c>
      <x:c r="C7907" s="1" t="str">
        <x:v>Second Class</x:v>
      </x:c>
      <x:c r="D7907" s="1" t="str">
        <x:v>Europe</x:v>
      </x:c>
      <x:c r="E7907" s="1" t="str">
        <x:v>COMPLETE</x:v>
      </x:c>
      <x:c r="F7907" s="1" t="str">
        <x:v>Late delivery</x:v>
      </x:c>
      <x:c r="G7907" s="6" t="n">
        <x:v>4</x:v>
      </x:c>
      <x:c r="H7907" s="6" t="n">
        <x:v>2</x:v>
      </x:c>
      <x:c r="I7907" s="6" t="n">
        <x:f>G7907-H7907</x:f>
        <x:v>2</x:v>
      </x:c>
      <x:c r="J7907" s="6" t="n">
        <x:f>IF(OR(E7907="CANCELED",E7907="SUSPECTED_FRAUD",F7907="Shipping canceled"),0,1)</x:f>
        <x:v>1</x:v>
      </x:c>
      <x:c r="K7907" s="6" t="n">
        <x:f>IF(G7907&gt;H7907,1,0)</x:f>
        <x:v>1</x:v>
      </x:c>
      <x:c r="L7907" s="6" t="n">
        <x:f>J7907*K7907</x:f>
        <x:v>1</x:v>
      </x:c>
    </x:row>
    <x:row r="7908">
      <x:c r="A7908" s="1" t="n">
        <x:v>63420</x:v>
      </x:c>
      <x:c r="B7908" s="5" t="d">
        <x:v>2017-07-14T00:00:00.000Z</x:v>
      </x:c>
      <x:c r="C7908" s="1" t="str">
        <x:v>Standard Class</x:v>
      </x:c>
      <x:c r="D7908" s="1" t="str">
        <x:v>Europe</x:v>
      </x:c>
      <x:c r="E7908" s="1" t="str">
        <x:v>COMPLETE</x:v>
      </x:c>
      <x:c r="F7908" s="1" t="str">
        <x:v>Late delivery</x:v>
      </x:c>
      <x:c r="G7908" s="6" t="n">
        <x:v>6</x:v>
      </x:c>
      <x:c r="H7908" s="6" t="n">
        <x:v>4</x:v>
      </x:c>
      <x:c r="I7908" s="6" t="n">
        <x:f>G7908-H7908</x:f>
        <x:v>2</x:v>
      </x:c>
      <x:c r="J7908" s="6" t="n">
        <x:f>IF(OR(E7908="CANCELED",E7908="SUSPECTED_FRAUD",F7908="Shipping canceled"),0,1)</x:f>
        <x:v>1</x:v>
      </x:c>
      <x:c r="K7908" s="6" t="n">
        <x:f>IF(G7908&gt;H7908,1,0)</x:f>
        <x:v>1</x:v>
      </x:c>
      <x:c r="L7908" s="6" t="n">
        <x:f>J7908*K7908</x:f>
        <x:v>1</x:v>
      </x:c>
    </x:row>
    <x:row r="7909">
      <x:c r="A7909" s="1" t="n">
        <x:v>63425</x:v>
      </x:c>
      <x:c r="B7909" s="5" t="d">
        <x:v>2017-07-14T00:00:00.000Z</x:v>
      </x:c>
      <x:c r="C7909" s="1" t="str">
        <x:v>Standard Class</x:v>
      </x:c>
      <x:c r="D7909" s="1" t="str">
        <x:v>Europe</x:v>
      </x:c>
      <x:c r="E7909" s="1" t="str">
        <x:v>ON_HOLD</x:v>
      </x:c>
      <x:c r="F7909" s="1" t="str">
        <x:v>Late delivery</x:v>
      </x:c>
      <x:c r="G7909" s="6" t="n">
        <x:v>6</x:v>
      </x:c>
      <x:c r="H7909" s="6" t="n">
        <x:v>4</x:v>
      </x:c>
      <x:c r="I7909" s="6" t="n">
        <x:f>G7909-H7909</x:f>
        <x:v>2</x:v>
      </x:c>
      <x:c r="J7909" s="6" t="n">
        <x:f>IF(OR(E7909="CANCELED",E7909="SUSPECTED_FRAUD",F7909="Shipping canceled"),0,1)</x:f>
        <x:v>1</x:v>
      </x:c>
      <x:c r="K7909" s="6" t="n">
        <x:f>IF(G7909&gt;H7909,1,0)</x:f>
        <x:v>1</x:v>
      </x:c>
      <x:c r="L7909" s="6" t="n">
        <x:f>J7909*K7909</x:f>
        <x:v>1</x:v>
      </x:c>
    </x:row>
    <x:row r="7910">
      <x:c r="A7910" s="1" t="n">
        <x:v>63433</x:v>
      </x:c>
      <x:c r="B7910" s="5" t="d">
        <x:v>2017-07-14T00:00:00.000Z</x:v>
      </x:c>
      <x:c r="C7910" s="1" t="str">
        <x:v>Standard Class</x:v>
      </x:c>
      <x:c r="D7910" s="1" t="str">
        <x:v>Europe</x:v>
      </x:c>
      <x:c r="E7910" s="1" t="str">
        <x:v>PENDING_PAYMENT</x:v>
      </x:c>
      <x:c r="F7910" s="1" t="str">
        <x:v>Shipping on time</x:v>
      </x:c>
      <x:c r="G7910" s="6" t="n">
        <x:v>4</x:v>
      </x:c>
      <x:c r="H7910" s="6" t="n">
        <x:v>4</x:v>
      </x:c>
      <x:c r="I7910" s="6" t="n">
        <x:f>G7910-H7910</x:f>
        <x:v>0</x:v>
      </x:c>
      <x:c r="J7910" s="6" t="n">
        <x:f>IF(OR(E7910="CANCELED",E7910="SUSPECTED_FRAUD",F7910="Shipping canceled"),0,1)</x:f>
        <x:v>1</x:v>
      </x:c>
      <x:c r="K7910" s="6" t="n">
        <x:f>IF(G7910&gt;H7910,1,0)</x:f>
        <x:v>0</x:v>
      </x:c>
      <x:c r="L7910" s="6" t="n">
        <x:f>J7910*K7910</x:f>
        <x:v>0</x:v>
      </x:c>
    </x:row>
    <x:row r="7911">
      <x:c r="A7911" s="1" t="n">
        <x:v>63445</x:v>
      </x:c>
      <x:c r="B7911" s="5" t="d">
        <x:v>2017-07-15T00:00:00.000Z</x:v>
      </x:c>
      <x:c r="C7911" s="1" t="str">
        <x:v>Standard Class</x:v>
      </x:c>
      <x:c r="D7911" s="1" t="str">
        <x:v>Europe</x:v>
      </x:c>
      <x:c r="E7911" s="1" t="str">
        <x:v>COMPLETE</x:v>
      </x:c>
      <x:c r="F7911" s="1" t="str">
        <x:v>Late delivery</x:v>
      </x:c>
      <x:c r="G7911" s="6" t="n">
        <x:v>6</x:v>
      </x:c>
      <x:c r="H7911" s="6" t="n">
        <x:v>4</x:v>
      </x:c>
      <x:c r="I7911" s="6" t="n">
        <x:f>G7911-H7911</x:f>
        <x:v>2</x:v>
      </x:c>
      <x:c r="J7911" s="6" t="n">
        <x:f>IF(OR(E7911="CANCELED",E7911="SUSPECTED_FRAUD",F7911="Shipping canceled"),0,1)</x:f>
        <x:v>1</x:v>
      </x:c>
      <x:c r="K7911" s="6" t="n">
        <x:f>IF(G7911&gt;H7911,1,0)</x:f>
        <x:v>1</x:v>
      </x:c>
      <x:c r="L7911" s="6" t="n">
        <x:f>J7911*K7911</x:f>
        <x:v>1</x:v>
      </x:c>
    </x:row>
    <x:row r="7912">
      <x:c r="A7912" s="1" t="n">
        <x:v>63446</x:v>
      </x:c>
      <x:c r="B7912" s="5" t="d">
        <x:v>2017-07-15T00:00:00.000Z</x:v>
      </x:c>
      <x:c r="C7912" s="1" t="str">
        <x:v>Standard Class</x:v>
      </x:c>
      <x:c r="D7912" s="1" t="str">
        <x:v>Europe</x:v>
      </x:c>
      <x:c r="E7912" s="1" t="str">
        <x:v>PROCESSING</x:v>
      </x:c>
      <x:c r="F7912" s="1" t="str">
        <x:v>Advance shipping</x:v>
      </x:c>
      <x:c r="G7912" s="6" t="n">
        <x:v>2</x:v>
      </x:c>
      <x:c r="H7912" s="6" t="n">
        <x:v>4</x:v>
      </x:c>
      <x:c r="I7912" s="6" t="n">
        <x:f>G7912-H7912</x:f>
        <x:v>-2</x:v>
      </x:c>
      <x:c r="J7912" s="6" t="n">
        <x:f>IF(OR(E7912="CANCELED",E7912="SUSPECTED_FRAUD",F7912="Shipping canceled"),0,1)</x:f>
        <x:v>1</x:v>
      </x:c>
      <x:c r="K7912" s="6" t="n">
        <x:f>IF(G7912&gt;H7912,1,0)</x:f>
        <x:v>0</x:v>
      </x:c>
      <x:c r="L7912" s="6" t="n">
        <x:f>J7912*K7912</x:f>
        <x:v>0</x:v>
      </x:c>
    </x:row>
    <x:row r="7913">
      <x:c r="A7913" s="1" t="n">
        <x:v>63452</x:v>
      </x:c>
      <x:c r="B7913" s="5" t="d">
        <x:v>2017-07-15T00:00:00.000Z</x:v>
      </x:c>
      <x:c r="C7913" s="1" t="str">
        <x:v>Standard Class</x:v>
      </x:c>
      <x:c r="D7913" s="1" t="str">
        <x:v>Europe</x:v>
      </x:c>
      <x:c r="E7913" s="1" t="str">
        <x:v>ON_HOLD</x:v>
      </x:c>
      <x:c r="F7913" s="1" t="str">
        <x:v>Advance shipping</x:v>
      </x:c>
      <x:c r="G7913" s="6" t="n">
        <x:v>3</x:v>
      </x:c>
      <x:c r="H7913" s="6" t="n">
        <x:v>4</x:v>
      </x:c>
      <x:c r="I7913" s="6" t="n">
        <x:f>G7913-H7913</x:f>
        <x:v>-1</x:v>
      </x:c>
      <x:c r="J7913" s="6" t="n">
        <x:f>IF(OR(E7913="CANCELED",E7913="SUSPECTED_FRAUD",F7913="Shipping canceled"),0,1)</x:f>
        <x:v>1</x:v>
      </x:c>
      <x:c r="K7913" s="6" t="n">
        <x:f>IF(G7913&gt;H7913,1,0)</x:f>
        <x:v>0</x:v>
      </x:c>
      <x:c r="L7913" s="6" t="n">
        <x:f>J7913*K7913</x:f>
        <x:v>0</x:v>
      </x:c>
    </x:row>
    <x:row r="7914">
      <x:c r="A7914" s="1" t="n">
        <x:v>63457</x:v>
      </x:c>
      <x:c r="B7914" s="5" t="d">
        <x:v>2017-07-15T00:00:00.000Z</x:v>
      </x:c>
      <x:c r="C7914" s="1" t="str">
        <x:v>Standard Class</x:v>
      </x:c>
      <x:c r="D7914" s="1" t="str">
        <x:v>Europe</x:v>
      </x:c>
      <x:c r="E7914" s="1" t="str">
        <x:v>PENDING</x:v>
      </x:c>
      <x:c r="F7914" s="1" t="str">
        <x:v>Advance shipping</x:v>
      </x:c>
      <x:c r="G7914" s="6" t="n">
        <x:v>3</x:v>
      </x:c>
      <x:c r="H7914" s="6" t="n">
        <x:v>4</x:v>
      </x:c>
      <x:c r="I7914" s="6" t="n">
        <x:f>G7914-H7914</x:f>
        <x:v>-1</x:v>
      </x:c>
      <x:c r="J7914" s="6" t="n">
        <x:f>IF(OR(E7914="CANCELED",E7914="SUSPECTED_FRAUD",F7914="Shipping canceled"),0,1)</x:f>
        <x:v>1</x:v>
      </x:c>
      <x:c r="K7914" s="6" t="n">
        <x:f>IF(G7914&gt;H7914,1,0)</x:f>
        <x:v>0</x:v>
      </x:c>
      <x:c r="L7914" s="6" t="n">
        <x:f>J7914*K7914</x:f>
        <x:v>0</x:v>
      </x:c>
    </x:row>
    <x:row r="7915">
      <x:c r="A7915" s="1" t="n">
        <x:v>63460</x:v>
      </x:c>
      <x:c r="B7915" s="5" t="d">
        <x:v>2017-07-15T00:00:00.000Z</x:v>
      </x:c>
      <x:c r="C7915" s="1" t="str">
        <x:v>Standard Class</x:v>
      </x:c>
      <x:c r="D7915" s="1" t="str">
        <x:v>Europe</x:v>
      </x:c>
      <x:c r="E7915" s="1" t="str">
        <x:v>COMPLETE</x:v>
      </x:c>
      <x:c r="F7915" s="1" t="str">
        <x:v>Late delivery</x:v>
      </x:c>
      <x:c r="G7915" s="6" t="n">
        <x:v>6</x:v>
      </x:c>
      <x:c r="H7915" s="6" t="n">
        <x:v>4</x:v>
      </x:c>
      <x:c r="I7915" s="6" t="n">
        <x:f>G7915-H7915</x:f>
        <x:v>2</x:v>
      </x:c>
      <x:c r="J7915" s="6" t="n">
        <x:f>IF(OR(E7915="CANCELED",E7915="SUSPECTED_FRAUD",F7915="Shipping canceled"),0,1)</x:f>
        <x:v>1</x:v>
      </x:c>
      <x:c r="K7915" s="6" t="n">
        <x:f>IF(G7915&gt;H7915,1,0)</x:f>
        <x:v>1</x:v>
      </x:c>
      <x:c r="L7915" s="6" t="n">
        <x:f>J7915*K7915</x:f>
        <x:v>1</x:v>
      </x:c>
    </x:row>
    <x:row r="7916">
      <x:c r="A7916" s="1" t="n">
        <x:v>63468</x:v>
      </x:c>
      <x:c r="B7916" s="5" t="d">
        <x:v>2017-07-15T00:00:00.000Z</x:v>
      </x:c>
      <x:c r="C7916" s="1" t="str">
        <x:v>Standard Class</x:v>
      </x:c>
      <x:c r="D7916" s="1" t="str">
        <x:v>Europe</x:v>
      </x:c>
      <x:c r="E7916" s="1" t="str">
        <x:v>COMPLETE</x:v>
      </x:c>
      <x:c r="F7916" s="1" t="str">
        <x:v>Shipping on time</x:v>
      </x:c>
      <x:c r="G7916" s="6" t="n">
        <x:v>4</x:v>
      </x:c>
      <x:c r="H7916" s="6" t="n">
        <x:v>4</x:v>
      </x:c>
      <x:c r="I7916" s="6" t="n">
        <x:f>G7916-H7916</x:f>
        <x:v>0</x:v>
      </x:c>
      <x:c r="J7916" s="6" t="n">
        <x:f>IF(OR(E7916="CANCELED",E7916="SUSPECTED_FRAUD",F7916="Shipping canceled"),0,1)</x:f>
        <x:v>1</x:v>
      </x:c>
      <x:c r="K7916" s="6" t="n">
        <x:f>IF(G7916&gt;H7916,1,0)</x:f>
        <x:v>0</x:v>
      </x:c>
      <x:c r="L7916" s="6" t="n">
        <x:f>J7916*K7916</x:f>
        <x:v>0</x:v>
      </x:c>
    </x:row>
    <x:row r="7917">
      <x:c r="A7917" s="1" t="n">
        <x:v>63494</x:v>
      </x:c>
      <x:c r="B7917" s="5" t="d">
        <x:v>2017-07-15T00:00:00.000Z</x:v>
      </x:c>
      <x:c r="C7917" s="1" t="str">
        <x:v>First Class</x:v>
      </x:c>
      <x:c r="D7917" s="1" t="str">
        <x:v>Europe</x:v>
      </x:c>
      <x:c r="E7917" s="1" t="str">
        <x:v>PENDING_PAYMENT</x:v>
      </x:c>
      <x:c r="F7917" s="1" t="str">
        <x:v>Late delivery</x:v>
      </x:c>
      <x:c r="G7917" s="6" t="n">
        <x:v>2</x:v>
      </x:c>
      <x:c r="H7917" s="6" t="n">
        <x:v>1</x:v>
      </x:c>
      <x:c r="I7917" s="6" t="n">
        <x:f>G7917-H7917</x:f>
        <x:v>1</x:v>
      </x:c>
      <x:c r="J7917" s="6" t="n">
        <x:f>IF(OR(E7917="CANCELED",E7917="SUSPECTED_FRAUD",F7917="Shipping canceled"),0,1)</x:f>
        <x:v>1</x:v>
      </x:c>
      <x:c r="K7917" s="6" t="n">
        <x:f>IF(G7917&gt;H7917,1,0)</x:f>
        <x:v>1</x:v>
      </x:c>
      <x:c r="L7917" s="6" t="n">
        <x:f>J7917*K7917</x:f>
        <x:v>1</x:v>
      </x:c>
    </x:row>
    <x:row r="7918">
      <x:c r="A7918" s="1" t="n">
        <x:v>63501</x:v>
      </x:c>
      <x:c r="B7918" s="5" t="d">
        <x:v>2017-07-15T00:00:00.000Z</x:v>
      </x:c>
      <x:c r="C7918" s="1" t="str">
        <x:v>Standard Class</x:v>
      </x:c>
      <x:c r="D7918" s="1" t="str">
        <x:v>Europe</x:v>
      </x:c>
      <x:c r="E7918" s="1" t="str">
        <x:v>COMPLETE</x:v>
      </x:c>
      <x:c r="F7918" s="1" t="str">
        <x:v>Advance shipping</x:v>
      </x:c>
      <x:c r="G7918" s="6" t="n">
        <x:v>2</x:v>
      </x:c>
      <x:c r="H7918" s="6" t="n">
        <x:v>4</x:v>
      </x:c>
      <x:c r="I7918" s="6" t="n">
        <x:f>G7918-H7918</x:f>
        <x:v>-2</x:v>
      </x:c>
      <x:c r="J7918" s="6" t="n">
        <x:f>IF(OR(E7918="CANCELED",E7918="SUSPECTED_FRAUD",F7918="Shipping canceled"),0,1)</x:f>
        <x:v>1</x:v>
      </x:c>
      <x:c r="K7918" s="6" t="n">
        <x:f>IF(G7918&gt;H7918,1,0)</x:f>
        <x:v>0</x:v>
      </x:c>
      <x:c r="L7918" s="6" t="n">
        <x:f>J7918*K7918</x:f>
        <x:v>0</x:v>
      </x:c>
    </x:row>
    <x:row r="7919">
      <x:c r="A7919" s="1" t="n">
        <x:v>63504</x:v>
      </x:c>
      <x:c r="B7919" s="5" t="d">
        <x:v>2017-07-15T00:00:00.000Z</x:v>
      </x:c>
      <x:c r="C7919" s="1" t="str">
        <x:v>Standard Class</x:v>
      </x:c>
      <x:c r="D7919" s="1" t="str">
        <x:v>Europe</x:v>
      </x:c>
      <x:c r="E7919" s="1" t="str">
        <x:v>CLOSED</x:v>
      </x:c>
      <x:c r="F7919" s="1" t="str">
        <x:v>Late delivery</x:v>
      </x:c>
      <x:c r="G7919" s="6" t="n">
        <x:v>5</x:v>
      </x:c>
      <x:c r="H7919" s="6" t="n">
        <x:v>4</x:v>
      </x:c>
      <x:c r="I7919" s="6" t="n">
        <x:f>G7919-H7919</x:f>
        <x:v>1</x:v>
      </x:c>
      <x:c r="J7919" s="6" t="n">
        <x:f>IF(OR(E7919="CANCELED",E7919="SUSPECTED_FRAUD",F7919="Shipping canceled"),0,1)</x:f>
        <x:v>1</x:v>
      </x:c>
      <x:c r="K7919" s="6" t="n">
        <x:f>IF(G7919&gt;H7919,1,0)</x:f>
        <x:v>1</x:v>
      </x:c>
      <x:c r="L7919" s="6" t="n">
        <x:f>J7919*K7919</x:f>
        <x:v>1</x:v>
      </x:c>
    </x:row>
    <x:row r="7920">
      <x:c r="A7920" s="1" t="n">
        <x:v>63512</x:v>
      </x:c>
      <x:c r="B7920" s="5" t="d">
        <x:v>2017-07-16T00:00:00.000Z</x:v>
      </x:c>
      <x:c r="C7920" s="1" t="str">
        <x:v>Standard Class</x:v>
      </x:c>
      <x:c r="D7920" s="1" t="str">
        <x:v>Europe</x:v>
      </x:c>
      <x:c r="E7920" s="1" t="str">
        <x:v>COMPLETE</x:v>
      </x:c>
      <x:c r="F7920" s="1" t="str">
        <x:v>Advance shipping</x:v>
      </x:c>
      <x:c r="G7920" s="6" t="n">
        <x:v>3</x:v>
      </x:c>
      <x:c r="H7920" s="6" t="n">
        <x:v>4</x:v>
      </x:c>
      <x:c r="I7920" s="6" t="n">
        <x:f>G7920-H7920</x:f>
        <x:v>-1</x:v>
      </x:c>
      <x:c r="J7920" s="6" t="n">
        <x:f>IF(OR(E7920="CANCELED",E7920="SUSPECTED_FRAUD",F7920="Shipping canceled"),0,1)</x:f>
        <x:v>1</x:v>
      </x:c>
      <x:c r="K7920" s="6" t="n">
        <x:f>IF(G7920&gt;H7920,1,0)</x:f>
        <x:v>0</x:v>
      </x:c>
      <x:c r="L7920" s="6" t="n">
        <x:f>J7920*K7920</x:f>
        <x:v>0</x:v>
      </x:c>
    </x:row>
    <x:row r="7921">
      <x:c r="A7921" s="1" t="n">
        <x:v>63516</x:v>
      </x:c>
      <x:c r="B7921" s="5" t="d">
        <x:v>2017-07-16T00:00:00.000Z</x:v>
      </x:c>
      <x:c r="C7921" s="1" t="str">
        <x:v>Standard Class</x:v>
      </x:c>
      <x:c r="D7921" s="1" t="str">
        <x:v>Europe</x:v>
      </x:c>
      <x:c r="E7921" s="1" t="str">
        <x:v>PENDING</x:v>
      </x:c>
      <x:c r="F7921" s="1" t="str">
        <x:v>Advance shipping</x:v>
      </x:c>
      <x:c r="G7921" s="6" t="n">
        <x:v>2</x:v>
      </x:c>
      <x:c r="H7921" s="6" t="n">
        <x:v>4</x:v>
      </x:c>
      <x:c r="I7921" s="6" t="n">
        <x:f>G7921-H7921</x:f>
        <x:v>-2</x:v>
      </x:c>
      <x:c r="J7921" s="6" t="n">
        <x:f>IF(OR(E7921="CANCELED",E7921="SUSPECTED_FRAUD",F7921="Shipping canceled"),0,1)</x:f>
        <x:v>1</x:v>
      </x:c>
      <x:c r="K7921" s="6" t="n">
        <x:f>IF(G7921&gt;H7921,1,0)</x:f>
        <x:v>0</x:v>
      </x:c>
      <x:c r="L7921" s="6" t="n">
        <x:f>J7921*K7921</x:f>
        <x:v>0</x:v>
      </x:c>
    </x:row>
    <x:row r="7922">
      <x:c r="A7922" s="1" t="n">
        <x:v>63517</x:v>
      </x:c>
      <x:c r="B7922" s="5" t="d">
        <x:v>2017-07-16T00:00:00.000Z</x:v>
      </x:c>
      <x:c r="C7922" s="1" t="str">
        <x:v>Standard Class</x:v>
      </x:c>
      <x:c r="D7922" s="1" t="str">
        <x:v>Europe</x:v>
      </x:c>
      <x:c r="E7922" s="1" t="str">
        <x:v>COMPLETE</x:v>
      </x:c>
      <x:c r="F7922" s="1" t="str">
        <x:v>Advance shipping</x:v>
      </x:c>
      <x:c r="G7922" s="6" t="n">
        <x:v>3</x:v>
      </x:c>
      <x:c r="H7922" s="6" t="n">
        <x:v>4</x:v>
      </x:c>
      <x:c r="I7922" s="6" t="n">
        <x:f>G7922-H7922</x:f>
        <x:v>-1</x:v>
      </x:c>
      <x:c r="J7922" s="6" t="n">
        <x:f>IF(OR(E7922="CANCELED",E7922="SUSPECTED_FRAUD",F7922="Shipping canceled"),0,1)</x:f>
        <x:v>1</x:v>
      </x:c>
      <x:c r="K7922" s="6" t="n">
        <x:f>IF(G7922&gt;H7922,1,0)</x:f>
        <x:v>0</x:v>
      </x:c>
      <x:c r="L7922" s="6" t="n">
        <x:f>J7922*K7922</x:f>
        <x:v>0</x:v>
      </x:c>
    </x:row>
    <x:row r="7923">
      <x:c r="A7923" s="1" t="n">
        <x:v>63542</x:v>
      </x:c>
      <x:c r="B7923" s="5" t="d">
        <x:v>2017-07-16T00:00:00.000Z</x:v>
      </x:c>
      <x:c r="C7923" s="1" t="str">
        <x:v>First Class</x:v>
      </x:c>
      <x:c r="D7923" s="1" t="str">
        <x:v>Europe</x:v>
      </x:c>
      <x:c r="E7923" s="1" t="str">
        <x:v>PENDING_PAYMENT</x:v>
      </x:c>
      <x:c r="F7923" s="1" t="str">
        <x:v>Late delivery</x:v>
      </x:c>
      <x:c r="G7923" s="6" t="n">
        <x:v>2</x:v>
      </x:c>
      <x:c r="H7923" s="6" t="n">
        <x:v>1</x:v>
      </x:c>
      <x:c r="I7923" s="6" t="n">
        <x:f>G7923-H7923</x:f>
        <x:v>1</x:v>
      </x:c>
      <x:c r="J7923" s="6" t="n">
        <x:f>IF(OR(E7923="CANCELED",E7923="SUSPECTED_FRAUD",F7923="Shipping canceled"),0,1)</x:f>
        <x:v>1</x:v>
      </x:c>
      <x:c r="K7923" s="6" t="n">
        <x:f>IF(G7923&gt;H7923,1,0)</x:f>
        <x:v>1</x:v>
      </x:c>
      <x:c r="L7923" s="6" t="n">
        <x:f>J7923*K7923</x:f>
        <x:v>1</x:v>
      </x:c>
    </x:row>
    <x:row r="7924">
      <x:c r="A7924" s="1" t="n">
        <x:v>63543</x:v>
      </x:c>
      <x:c r="B7924" s="5" t="d">
        <x:v>2017-07-16T00:00:00.000Z</x:v>
      </x:c>
      <x:c r="C7924" s="1" t="str">
        <x:v>First Class</x:v>
      </x:c>
      <x:c r="D7924" s="1" t="str">
        <x:v>Europe</x:v>
      </x:c>
      <x:c r="E7924" s="1" t="str">
        <x:v>PENDING</x:v>
      </x:c>
      <x:c r="F7924" s="1" t="str">
        <x:v>Late delivery</x:v>
      </x:c>
      <x:c r="G7924" s="6" t="n">
        <x:v>2</x:v>
      </x:c>
      <x:c r="H7924" s="6" t="n">
        <x:v>1</x:v>
      </x:c>
      <x:c r="I7924" s="6" t="n">
        <x:f>G7924-H7924</x:f>
        <x:v>1</x:v>
      </x:c>
      <x:c r="J7924" s="6" t="n">
        <x:f>IF(OR(E7924="CANCELED",E7924="SUSPECTED_FRAUD",F7924="Shipping canceled"),0,1)</x:f>
        <x:v>1</x:v>
      </x:c>
      <x:c r="K7924" s="6" t="n">
        <x:f>IF(G7924&gt;H7924,1,0)</x:f>
        <x:v>1</x:v>
      </x:c>
      <x:c r="L7924" s="6" t="n">
        <x:f>J7924*K7924</x:f>
        <x:v>1</x:v>
      </x:c>
    </x:row>
    <x:row r="7925">
      <x:c r="A7925" s="1" t="n">
        <x:v>63546</x:v>
      </x:c>
      <x:c r="B7925" s="5" t="d">
        <x:v>2017-07-16T00:00:00.000Z</x:v>
      </x:c>
      <x:c r="C7925" s="1" t="str">
        <x:v>Standard Class</x:v>
      </x:c>
      <x:c r="D7925" s="1" t="str">
        <x:v>Europe</x:v>
      </x:c>
      <x:c r="E7925" s="1" t="str">
        <x:v>PROCESSING</x:v>
      </x:c>
      <x:c r="F7925" s="1" t="str">
        <x:v>Advance shipping</x:v>
      </x:c>
      <x:c r="G7925" s="6" t="n">
        <x:v>2</x:v>
      </x:c>
      <x:c r="H7925" s="6" t="n">
        <x:v>4</x:v>
      </x:c>
      <x:c r="I7925" s="6" t="n">
        <x:f>G7925-H7925</x:f>
        <x:v>-2</x:v>
      </x:c>
      <x:c r="J7925" s="6" t="n">
        <x:f>IF(OR(E7925="CANCELED",E7925="SUSPECTED_FRAUD",F7925="Shipping canceled"),0,1)</x:f>
        <x:v>1</x:v>
      </x:c>
      <x:c r="K7925" s="6" t="n">
        <x:f>IF(G7925&gt;H7925,1,0)</x:f>
        <x:v>0</x:v>
      </x:c>
      <x:c r="L7925" s="6" t="n">
        <x:f>J7925*K7925</x:f>
        <x:v>0</x:v>
      </x:c>
    </x:row>
    <x:row r="7926">
      <x:c r="A7926" s="1" t="n">
        <x:v>63551</x:v>
      </x:c>
      <x:c r="B7926" s="5" t="d">
        <x:v>2017-07-16T00:00:00.000Z</x:v>
      </x:c>
      <x:c r="C7926" s="1" t="str">
        <x:v>Standard Class</x:v>
      </x:c>
      <x:c r="D7926" s="1" t="str">
        <x:v>Europe</x:v>
      </x:c>
      <x:c r="E7926" s="1" t="str">
        <x:v>PROCESSING</x:v>
      </x:c>
      <x:c r="F7926" s="1" t="str">
        <x:v>Advance shipping</x:v>
      </x:c>
      <x:c r="G7926" s="6" t="n">
        <x:v>2</x:v>
      </x:c>
      <x:c r="H7926" s="6" t="n">
        <x:v>4</x:v>
      </x:c>
      <x:c r="I7926" s="6" t="n">
        <x:f>G7926-H7926</x:f>
        <x:v>-2</x:v>
      </x:c>
      <x:c r="J7926" s="6" t="n">
        <x:f>IF(OR(E7926="CANCELED",E7926="SUSPECTED_FRAUD",F7926="Shipping canceled"),0,1)</x:f>
        <x:v>1</x:v>
      </x:c>
      <x:c r="K7926" s="6" t="n">
        <x:f>IF(G7926&gt;H7926,1,0)</x:f>
        <x:v>0</x:v>
      </x:c>
      <x:c r="L7926" s="6" t="n">
        <x:f>J7926*K7926</x:f>
        <x:v>0</x:v>
      </x:c>
    </x:row>
    <x:row r="7927">
      <x:c r="A7927" s="1" t="n">
        <x:v>63557</x:v>
      </x:c>
      <x:c r="B7927" s="5" t="d">
        <x:v>2017-07-16T00:00:00.000Z</x:v>
      </x:c>
      <x:c r="C7927" s="1" t="str">
        <x:v>Standard Class</x:v>
      </x:c>
      <x:c r="D7927" s="1" t="str">
        <x:v>Europe</x:v>
      </x:c>
      <x:c r="E7927" s="1" t="str">
        <x:v>COMPLETE</x:v>
      </x:c>
      <x:c r="F7927" s="1" t="str">
        <x:v>Advance shipping</x:v>
      </x:c>
      <x:c r="G7927" s="6" t="n">
        <x:v>3</x:v>
      </x:c>
      <x:c r="H7927" s="6" t="n">
        <x:v>4</x:v>
      </x:c>
      <x:c r="I7927" s="6" t="n">
        <x:f>G7927-H7927</x:f>
        <x:v>-1</x:v>
      </x:c>
      <x:c r="J7927" s="6" t="n">
        <x:f>IF(OR(E7927="CANCELED",E7927="SUSPECTED_FRAUD",F7927="Shipping canceled"),0,1)</x:f>
        <x:v>1</x:v>
      </x:c>
      <x:c r="K7927" s="6" t="n">
        <x:f>IF(G7927&gt;H7927,1,0)</x:f>
        <x:v>0</x:v>
      </x:c>
      <x:c r="L7927" s="6" t="n">
        <x:f>J7927*K7927</x:f>
        <x:v>0</x:v>
      </x:c>
    </x:row>
    <x:row r="7928">
      <x:c r="A7928" s="1" t="n">
        <x:v>63561</x:v>
      </x:c>
      <x:c r="B7928" s="5" t="d">
        <x:v>2017-07-16T00:00:00.000Z</x:v>
      </x:c>
      <x:c r="C7928" s="1" t="str">
        <x:v>Standard Class</x:v>
      </x:c>
      <x:c r="D7928" s="1" t="str">
        <x:v>Europe</x:v>
      </x:c>
      <x:c r="E7928" s="1" t="str">
        <x:v>COMPLETE</x:v>
      </x:c>
      <x:c r="F7928" s="1" t="str">
        <x:v>Advance shipping</x:v>
      </x:c>
      <x:c r="G7928" s="6" t="n">
        <x:v>2</x:v>
      </x:c>
      <x:c r="H7928" s="6" t="n">
        <x:v>4</x:v>
      </x:c>
      <x:c r="I7928" s="6" t="n">
        <x:f>G7928-H7928</x:f>
        <x:v>-2</x:v>
      </x:c>
      <x:c r="J7928" s="6" t="n">
        <x:f>IF(OR(E7928="CANCELED",E7928="SUSPECTED_FRAUD",F7928="Shipping canceled"),0,1)</x:f>
        <x:v>1</x:v>
      </x:c>
      <x:c r="K7928" s="6" t="n">
        <x:f>IF(G7928&gt;H7928,1,0)</x:f>
        <x:v>0</x:v>
      </x:c>
      <x:c r="L7928" s="6" t="n">
        <x:f>J7928*K7928</x:f>
        <x:v>0</x:v>
      </x:c>
    </x:row>
    <x:row r="7929">
      <x:c r="A7929" s="1" t="n">
        <x:v>63564</x:v>
      </x:c>
      <x:c r="B7929" s="5" t="d">
        <x:v>2017-07-16T00:00:00.000Z</x:v>
      </x:c>
      <x:c r="C7929" s="1" t="str">
        <x:v>Standard Class</x:v>
      </x:c>
      <x:c r="D7929" s="1" t="str">
        <x:v>Europe</x:v>
      </x:c>
      <x:c r="E7929" s="1" t="str">
        <x:v>PENDING</x:v>
      </x:c>
      <x:c r="F7929" s="1" t="str">
        <x:v>Late delivery</x:v>
      </x:c>
      <x:c r="G7929" s="6" t="n">
        <x:v>5</x:v>
      </x:c>
      <x:c r="H7929" s="6" t="n">
        <x:v>4</x:v>
      </x:c>
      <x:c r="I7929" s="6" t="n">
        <x:f>G7929-H7929</x:f>
        <x:v>1</x:v>
      </x:c>
      <x:c r="J7929" s="6" t="n">
        <x:f>IF(OR(E7929="CANCELED",E7929="SUSPECTED_FRAUD",F7929="Shipping canceled"),0,1)</x:f>
        <x:v>1</x:v>
      </x:c>
      <x:c r="K7929" s="6" t="n">
        <x:f>IF(G7929&gt;H7929,1,0)</x:f>
        <x:v>1</x:v>
      </x:c>
      <x:c r="L7929" s="6" t="n">
        <x:f>J7929*K7929</x:f>
        <x:v>1</x:v>
      </x:c>
    </x:row>
    <x:row r="7930">
      <x:c r="A7930" s="1" t="n">
        <x:v>63567</x:v>
      </x:c>
      <x:c r="B7930" s="5" t="d">
        <x:v>2017-07-16T00:00:00.000Z</x:v>
      </x:c>
      <x:c r="C7930" s="1" t="str">
        <x:v>Standard Class</x:v>
      </x:c>
      <x:c r="D7930" s="1" t="str">
        <x:v>Europe</x:v>
      </x:c>
      <x:c r="E7930" s="1" t="str">
        <x:v>ON_HOLD</x:v>
      </x:c>
      <x:c r="F7930" s="1" t="str">
        <x:v>Advance shipping</x:v>
      </x:c>
      <x:c r="G7930" s="6" t="n">
        <x:v>3</x:v>
      </x:c>
      <x:c r="H7930" s="6" t="n">
        <x:v>4</x:v>
      </x:c>
      <x:c r="I7930" s="6" t="n">
        <x:f>G7930-H7930</x:f>
        <x:v>-1</x:v>
      </x:c>
      <x:c r="J7930" s="6" t="n">
        <x:f>IF(OR(E7930="CANCELED",E7930="SUSPECTED_FRAUD",F7930="Shipping canceled"),0,1)</x:f>
        <x:v>1</x:v>
      </x:c>
      <x:c r="K7930" s="6" t="n">
        <x:f>IF(G7930&gt;H7930,1,0)</x:f>
        <x:v>0</x:v>
      </x:c>
      <x:c r="L7930" s="6" t="n">
        <x:f>J7930*K7930</x:f>
        <x:v>0</x:v>
      </x:c>
    </x:row>
    <x:row r="7931">
      <x:c r="A7931" s="1" t="n">
        <x:v>63576</x:v>
      </x:c>
      <x:c r="B7931" s="5" t="d">
        <x:v>2017-07-17T00:00:00.000Z</x:v>
      </x:c>
      <x:c r="C7931" s="1" t="str">
        <x:v>Standard Class</x:v>
      </x:c>
      <x:c r="D7931" s="1" t="str">
        <x:v>Europe</x:v>
      </x:c>
      <x:c r="E7931" s="1" t="str">
        <x:v>COMPLETE</x:v>
      </x:c>
      <x:c r="F7931" s="1" t="str">
        <x:v>Advance shipping</x:v>
      </x:c>
      <x:c r="G7931" s="6" t="n">
        <x:v>2</x:v>
      </x:c>
      <x:c r="H7931" s="6" t="n">
        <x:v>4</x:v>
      </x:c>
      <x:c r="I7931" s="6" t="n">
        <x:f>G7931-H7931</x:f>
        <x:v>-2</x:v>
      </x:c>
      <x:c r="J7931" s="6" t="n">
        <x:f>IF(OR(E7931="CANCELED",E7931="SUSPECTED_FRAUD",F7931="Shipping canceled"),0,1)</x:f>
        <x:v>1</x:v>
      </x:c>
      <x:c r="K7931" s="6" t="n">
        <x:f>IF(G7931&gt;H7931,1,0)</x:f>
        <x:v>0</x:v>
      </x:c>
      <x:c r="L7931" s="6" t="n">
        <x:f>J7931*K7931</x:f>
        <x:v>0</x:v>
      </x:c>
    </x:row>
    <x:row r="7932">
      <x:c r="A7932" s="1" t="n">
        <x:v>63603</x:v>
      </x:c>
      <x:c r="B7932" s="5" t="d">
        <x:v>2017-07-17T00:00:00.000Z</x:v>
      </x:c>
      <x:c r="C7932" s="1" t="str">
        <x:v>Standard Class</x:v>
      </x:c>
      <x:c r="D7932" s="1" t="str">
        <x:v>Europe</x:v>
      </x:c>
      <x:c r="E7932" s="1" t="str">
        <x:v>PROCESSING</x:v>
      </x:c>
      <x:c r="F7932" s="1" t="str">
        <x:v>Shipping on time</x:v>
      </x:c>
      <x:c r="G7932" s="6" t="n">
        <x:v>4</x:v>
      </x:c>
      <x:c r="H7932" s="6" t="n">
        <x:v>4</x:v>
      </x:c>
      <x:c r="I7932" s="6" t="n">
        <x:f>G7932-H7932</x:f>
        <x:v>0</x:v>
      </x:c>
      <x:c r="J7932" s="6" t="n">
        <x:f>IF(OR(E7932="CANCELED",E7932="SUSPECTED_FRAUD",F7932="Shipping canceled"),0,1)</x:f>
        <x:v>1</x:v>
      </x:c>
      <x:c r="K7932" s="6" t="n">
        <x:f>IF(G7932&gt;H7932,1,0)</x:f>
        <x:v>0</x:v>
      </x:c>
      <x:c r="L7932" s="6" t="n">
        <x:f>J7932*K7932</x:f>
        <x:v>0</x:v>
      </x:c>
    </x:row>
    <x:row r="7933">
      <x:c r="A7933" s="1" t="n">
        <x:v>63605</x:v>
      </x:c>
      <x:c r="B7933" s="5" t="d">
        <x:v>2017-07-17T00:00:00.000Z</x:v>
      </x:c>
      <x:c r="C7933" s="1" t="str">
        <x:v>Standard Class</x:v>
      </x:c>
      <x:c r="D7933" s="1" t="str">
        <x:v>Europe</x:v>
      </x:c>
      <x:c r="E7933" s="1" t="str">
        <x:v>PENDING_PAYMENT</x:v>
      </x:c>
      <x:c r="F7933" s="1" t="str">
        <x:v>Late delivery</x:v>
      </x:c>
      <x:c r="G7933" s="6" t="n">
        <x:v>6</x:v>
      </x:c>
      <x:c r="H7933" s="6" t="n">
        <x:v>4</x:v>
      </x:c>
      <x:c r="I7933" s="6" t="n">
        <x:f>G7933-H7933</x:f>
        <x:v>2</x:v>
      </x:c>
      <x:c r="J7933" s="6" t="n">
        <x:f>IF(OR(E7933="CANCELED",E7933="SUSPECTED_FRAUD",F7933="Shipping canceled"),0,1)</x:f>
        <x:v>1</x:v>
      </x:c>
      <x:c r="K7933" s="6" t="n">
        <x:f>IF(G7933&gt;H7933,1,0)</x:f>
        <x:v>1</x:v>
      </x:c>
      <x:c r="L7933" s="6" t="n">
        <x:f>J7933*K7933</x:f>
        <x:v>1</x:v>
      </x:c>
    </x:row>
    <x:row r="7934">
      <x:c r="A7934" s="1" t="n">
        <x:v>63631</x:v>
      </x:c>
      <x:c r="B7934" s="5" t="d">
        <x:v>2017-07-17T00:00:00.000Z</x:v>
      </x:c>
      <x:c r="C7934" s="1" t="str">
        <x:v>First Class</x:v>
      </x:c>
      <x:c r="D7934" s="1" t="str">
        <x:v>Europe</x:v>
      </x:c>
      <x:c r="E7934" s="1" t="str">
        <x:v>CANCELED</x:v>
      </x:c>
      <x:c r="F7934" s="1" t="str">
        <x:v>Shipping canceled</x:v>
      </x:c>
      <x:c r="G7934" s="6" t="n">
        <x:v>2</x:v>
      </x:c>
      <x:c r="H7934" s="6" t="n">
        <x:v>1</x:v>
      </x:c>
      <x:c r="I7934" s="6" t="n">
        <x:f>G7934-H7934</x:f>
        <x:v>1</x:v>
      </x:c>
      <x:c r="J7934" s="6" t="n">
        <x:f>IF(OR(E7934="CANCELED",E7934="SUSPECTED_FRAUD",F7934="Shipping canceled"),0,1)</x:f>
        <x:v>0</x:v>
      </x:c>
      <x:c r="K7934" s="6" t="n">
        <x:f>IF(G7934&gt;H7934,1,0)</x:f>
        <x:v>1</x:v>
      </x:c>
      <x:c r="L7934" s="6" t="n">
        <x:f>J7934*K7934</x:f>
        <x:v>0</x:v>
      </x:c>
    </x:row>
    <x:row r="7935">
      <x:c r="A7935" s="1" t="n">
        <x:v>63645</x:v>
      </x:c>
      <x:c r="B7935" s="5" t="d">
        <x:v>2017-07-18T00:00:00.000Z</x:v>
      </x:c>
      <x:c r="C7935" s="1" t="str">
        <x:v>Standard Class</x:v>
      </x:c>
      <x:c r="D7935" s="1" t="str">
        <x:v>Europe</x:v>
      </x:c>
      <x:c r="E7935" s="1" t="str">
        <x:v>PENDING_PAYMENT</x:v>
      </x:c>
      <x:c r="F7935" s="1" t="str">
        <x:v>Late delivery</x:v>
      </x:c>
      <x:c r="G7935" s="6" t="n">
        <x:v>6</x:v>
      </x:c>
      <x:c r="H7935" s="6" t="n">
        <x:v>4</x:v>
      </x:c>
      <x:c r="I7935" s="6" t="n">
        <x:f>G7935-H7935</x:f>
        <x:v>2</x:v>
      </x:c>
      <x:c r="J7935" s="6" t="n">
        <x:f>IF(OR(E7935="CANCELED",E7935="SUSPECTED_FRAUD",F7935="Shipping canceled"),0,1)</x:f>
        <x:v>1</x:v>
      </x:c>
      <x:c r="K7935" s="6" t="n">
        <x:f>IF(G7935&gt;H7935,1,0)</x:f>
        <x:v>1</x:v>
      </x:c>
      <x:c r="L7935" s="6" t="n">
        <x:f>J7935*K7935</x:f>
        <x:v>1</x:v>
      </x:c>
    </x:row>
    <x:row r="7936">
      <x:c r="A7936" s="1" t="n">
        <x:v>63660</x:v>
      </x:c>
      <x:c r="B7936" s="5" t="d">
        <x:v>2017-07-18T00:00:00.000Z</x:v>
      </x:c>
      <x:c r="C7936" s="1" t="str">
        <x:v>Second Class</x:v>
      </x:c>
      <x:c r="D7936" s="1" t="str">
        <x:v>Europe</x:v>
      </x:c>
      <x:c r="E7936" s="1" t="str">
        <x:v>COMPLETE</x:v>
      </x:c>
      <x:c r="F7936" s="1" t="str">
        <x:v>Late delivery</x:v>
      </x:c>
      <x:c r="G7936" s="6" t="n">
        <x:v>6</x:v>
      </x:c>
      <x:c r="H7936" s="6" t="n">
        <x:v>2</x:v>
      </x:c>
      <x:c r="I7936" s="6" t="n">
        <x:f>G7936-H7936</x:f>
        <x:v>4</x:v>
      </x:c>
      <x:c r="J7936" s="6" t="n">
        <x:f>IF(OR(E7936="CANCELED",E7936="SUSPECTED_FRAUD",F7936="Shipping canceled"),0,1)</x:f>
        <x:v>1</x:v>
      </x:c>
      <x:c r="K7936" s="6" t="n">
        <x:f>IF(G7936&gt;H7936,1,0)</x:f>
        <x:v>1</x:v>
      </x:c>
      <x:c r="L7936" s="6" t="n">
        <x:f>J7936*K7936</x:f>
        <x:v>1</x:v>
      </x:c>
    </x:row>
    <x:row r="7937">
      <x:c r="A7937" s="1" t="n">
        <x:v>63664</x:v>
      </x:c>
      <x:c r="B7937" s="5" t="d">
        <x:v>2017-07-18T00:00:00.000Z</x:v>
      </x:c>
      <x:c r="C7937" s="1" t="str">
        <x:v>Standard Class</x:v>
      </x:c>
      <x:c r="D7937" s="1" t="str">
        <x:v>Europe</x:v>
      </x:c>
      <x:c r="E7937" s="1" t="str">
        <x:v>COMPLETE</x:v>
      </x:c>
      <x:c r="F7937" s="1" t="str">
        <x:v>Late delivery</x:v>
      </x:c>
      <x:c r="G7937" s="6" t="n">
        <x:v>5</x:v>
      </x:c>
      <x:c r="H7937" s="6" t="n">
        <x:v>4</x:v>
      </x:c>
      <x:c r="I7937" s="6" t="n">
        <x:f>G7937-H7937</x:f>
        <x:v>1</x:v>
      </x:c>
      <x:c r="J7937" s="6" t="n">
        <x:f>IF(OR(E7937="CANCELED",E7937="SUSPECTED_FRAUD",F7937="Shipping canceled"),0,1)</x:f>
        <x:v>1</x:v>
      </x:c>
      <x:c r="K7937" s="6" t="n">
        <x:f>IF(G7937&gt;H7937,1,0)</x:f>
        <x:v>1</x:v>
      </x:c>
      <x:c r="L7937" s="6" t="n">
        <x:f>J7937*K7937</x:f>
        <x:v>1</x:v>
      </x:c>
    </x:row>
    <x:row r="7938">
      <x:c r="A7938" s="1" t="n">
        <x:v>63672</x:v>
      </x:c>
      <x:c r="B7938" s="5" t="d">
        <x:v>2017-07-18T00:00:00.000Z</x:v>
      </x:c>
      <x:c r="C7938" s="1" t="str">
        <x:v>Standard Class</x:v>
      </x:c>
      <x:c r="D7938" s="1" t="str">
        <x:v>Europe</x:v>
      </x:c>
      <x:c r="E7938" s="1" t="str">
        <x:v>COMPLETE</x:v>
      </x:c>
      <x:c r="F7938" s="1" t="str">
        <x:v>Advance shipping</x:v>
      </x:c>
      <x:c r="G7938" s="6" t="n">
        <x:v>3</x:v>
      </x:c>
      <x:c r="H7938" s="6" t="n">
        <x:v>4</x:v>
      </x:c>
      <x:c r="I7938" s="6" t="n">
        <x:f>G7938-H7938</x:f>
        <x:v>-1</x:v>
      </x:c>
      <x:c r="J7938" s="6" t="n">
        <x:f>IF(OR(E7938="CANCELED",E7938="SUSPECTED_FRAUD",F7938="Shipping canceled"),0,1)</x:f>
        <x:v>1</x:v>
      </x:c>
      <x:c r="K7938" s="6" t="n">
        <x:f>IF(G7938&gt;H7938,1,0)</x:f>
        <x:v>0</x:v>
      </x:c>
      <x:c r="L7938" s="6" t="n">
        <x:f>J7938*K7938</x:f>
        <x:v>0</x:v>
      </x:c>
    </x:row>
    <x:row r="7939">
      <x:c r="A7939" s="1" t="n">
        <x:v>63673</x:v>
      </x:c>
      <x:c r="B7939" s="5" t="d">
        <x:v>2017-07-18T00:00:00.000Z</x:v>
      </x:c>
      <x:c r="C7939" s="1" t="str">
        <x:v>Standard Class</x:v>
      </x:c>
      <x:c r="D7939" s="1" t="str">
        <x:v>Europe</x:v>
      </x:c>
      <x:c r="E7939" s="1" t="str">
        <x:v>COMPLETE</x:v>
      </x:c>
      <x:c r="F7939" s="1" t="str">
        <x:v>Shipping on time</x:v>
      </x:c>
      <x:c r="G7939" s="6" t="n">
        <x:v>4</x:v>
      </x:c>
      <x:c r="H7939" s="6" t="n">
        <x:v>4</x:v>
      </x:c>
      <x:c r="I7939" s="6" t="n">
        <x:f>G7939-H7939</x:f>
        <x:v>0</x:v>
      </x:c>
      <x:c r="J7939" s="6" t="n">
        <x:f>IF(OR(E7939="CANCELED",E7939="SUSPECTED_FRAUD",F7939="Shipping canceled"),0,1)</x:f>
        <x:v>1</x:v>
      </x:c>
      <x:c r="K7939" s="6" t="n">
        <x:f>IF(G7939&gt;H7939,1,0)</x:f>
        <x:v>0</x:v>
      </x:c>
      <x:c r="L7939" s="6" t="n">
        <x:f>J7939*K7939</x:f>
        <x:v>0</x:v>
      </x:c>
    </x:row>
    <x:row r="7940">
      <x:c r="A7940" s="1" t="n">
        <x:v>63681</x:v>
      </x:c>
      <x:c r="B7940" s="5" t="d">
        <x:v>2017-07-18T00:00:00.000Z</x:v>
      </x:c>
      <x:c r="C7940" s="1" t="str">
        <x:v>Standard Class</x:v>
      </x:c>
      <x:c r="D7940" s="1" t="str">
        <x:v>Europe</x:v>
      </x:c>
      <x:c r="E7940" s="1" t="str">
        <x:v>ON_HOLD</x:v>
      </x:c>
      <x:c r="F7940" s="1" t="str">
        <x:v>Advance shipping</x:v>
      </x:c>
      <x:c r="G7940" s="6" t="n">
        <x:v>2</x:v>
      </x:c>
      <x:c r="H7940" s="6" t="n">
        <x:v>4</x:v>
      </x:c>
      <x:c r="I7940" s="6" t="n">
        <x:f>G7940-H7940</x:f>
        <x:v>-2</x:v>
      </x:c>
      <x:c r="J7940" s="6" t="n">
        <x:f>IF(OR(E7940="CANCELED",E7940="SUSPECTED_FRAUD",F7940="Shipping canceled"),0,1)</x:f>
        <x:v>1</x:v>
      </x:c>
      <x:c r="K7940" s="6" t="n">
        <x:f>IF(G7940&gt;H7940,1,0)</x:f>
        <x:v>0</x:v>
      </x:c>
      <x:c r="L7940" s="6" t="n">
        <x:f>J7940*K7940</x:f>
        <x:v>0</x:v>
      </x:c>
    </x:row>
    <x:row r="7941">
      <x:c r="A7941" s="1" t="n">
        <x:v>63686</x:v>
      </x:c>
      <x:c r="B7941" s="5" t="d">
        <x:v>2017-07-18T00:00:00.000Z</x:v>
      </x:c>
      <x:c r="C7941" s="1" t="str">
        <x:v>Standard Class</x:v>
      </x:c>
      <x:c r="D7941" s="1" t="str">
        <x:v>Europe</x:v>
      </x:c>
      <x:c r="E7941" s="1" t="str">
        <x:v>PAYMENT_REVIEW</x:v>
      </x:c>
      <x:c r="F7941" s="1" t="str">
        <x:v>Advance shipping</x:v>
      </x:c>
      <x:c r="G7941" s="6" t="n">
        <x:v>2</x:v>
      </x:c>
      <x:c r="H7941" s="6" t="n">
        <x:v>4</x:v>
      </x:c>
      <x:c r="I7941" s="6" t="n">
        <x:f>G7941-H7941</x:f>
        <x:v>-2</x:v>
      </x:c>
      <x:c r="J7941" s="6" t="n">
        <x:f>IF(OR(E7941="CANCELED",E7941="SUSPECTED_FRAUD",F7941="Shipping canceled"),0,1)</x:f>
        <x:v>1</x:v>
      </x:c>
      <x:c r="K7941" s="6" t="n">
        <x:f>IF(G7941&gt;H7941,1,0)</x:f>
        <x:v>0</x:v>
      </x:c>
      <x:c r="L7941" s="6" t="n">
        <x:f>J7941*K7941</x:f>
        <x:v>0</x:v>
      </x:c>
    </x:row>
    <x:row r="7942">
      <x:c r="A7942" s="1" t="n">
        <x:v>63687</x:v>
      </x:c>
      <x:c r="B7942" s="5" t="d">
        <x:v>2017-07-18T00:00:00.000Z</x:v>
      </x:c>
      <x:c r="C7942" s="1" t="str">
        <x:v>Standard Class</x:v>
      </x:c>
      <x:c r="D7942" s="1" t="str">
        <x:v>Europe</x:v>
      </x:c>
      <x:c r="E7942" s="1" t="str">
        <x:v>ON_HOLD</x:v>
      </x:c>
      <x:c r="F7942" s="1" t="str">
        <x:v>Advance shipping</x:v>
      </x:c>
      <x:c r="G7942" s="6" t="n">
        <x:v>3</x:v>
      </x:c>
      <x:c r="H7942" s="6" t="n">
        <x:v>4</x:v>
      </x:c>
      <x:c r="I7942" s="6" t="n">
        <x:f>G7942-H7942</x:f>
        <x:v>-1</x:v>
      </x:c>
      <x:c r="J7942" s="6" t="n">
        <x:f>IF(OR(E7942="CANCELED",E7942="SUSPECTED_FRAUD",F7942="Shipping canceled"),0,1)</x:f>
        <x:v>1</x:v>
      </x:c>
      <x:c r="K7942" s="6" t="n">
        <x:f>IF(G7942&gt;H7942,1,0)</x:f>
        <x:v>0</x:v>
      </x:c>
      <x:c r="L7942" s="6" t="n">
        <x:f>J7942*K7942</x:f>
        <x:v>0</x:v>
      </x:c>
    </x:row>
    <x:row r="7943">
      <x:c r="A7943" s="1" t="n">
        <x:v>63695</x:v>
      </x:c>
      <x:c r="B7943" s="5" t="d">
        <x:v>2017-07-18T00:00:00.000Z</x:v>
      </x:c>
      <x:c r="C7943" s="1" t="str">
        <x:v>Standard Class</x:v>
      </x:c>
      <x:c r="D7943" s="1" t="str">
        <x:v>Europe</x:v>
      </x:c>
      <x:c r="E7943" s="1" t="str">
        <x:v>PAYMENT_REVIEW</x:v>
      </x:c>
      <x:c r="F7943" s="1" t="str">
        <x:v>Late delivery</x:v>
      </x:c>
      <x:c r="G7943" s="6" t="n">
        <x:v>6</x:v>
      </x:c>
      <x:c r="H7943" s="6" t="n">
        <x:v>4</x:v>
      </x:c>
      <x:c r="I7943" s="6" t="n">
        <x:f>G7943-H7943</x:f>
        <x:v>2</x:v>
      </x:c>
      <x:c r="J7943" s="6" t="n">
        <x:f>IF(OR(E7943="CANCELED",E7943="SUSPECTED_FRAUD",F7943="Shipping canceled"),0,1)</x:f>
        <x:v>1</x:v>
      </x:c>
      <x:c r="K7943" s="6" t="n">
        <x:f>IF(G7943&gt;H7943,1,0)</x:f>
        <x:v>1</x:v>
      </x:c>
      <x:c r="L7943" s="6" t="n">
        <x:f>J7943*K7943</x:f>
        <x:v>1</x:v>
      </x:c>
    </x:row>
    <x:row r="7944">
      <x:c r="A7944" s="1" t="n">
        <x:v>63710</x:v>
      </x:c>
      <x:c r="B7944" s="5" t="d">
        <x:v>2017-07-19T00:00:00.000Z</x:v>
      </x:c>
      <x:c r="C7944" s="1" t="str">
        <x:v>Standard Class</x:v>
      </x:c>
      <x:c r="D7944" s="1" t="str">
        <x:v>Europe</x:v>
      </x:c>
      <x:c r="E7944" s="1" t="str">
        <x:v>COMPLETE</x:v>
      </x:c>
      <x:c r="F7944" s="1" t="str">
        <x:v>Late delivery</x:v>
      </x:c>
      <x:c r="G7944" s="6" t="n">
        <x:v>6</x:v>
      </x:c>
      <x:c r="H7944" s="6" t="n">
        <x:v>4</x:v>
      </x:c>
      <x:c r="I7944" s="6" t="n">
        <x:f>G7944-H7944</x:f>
        <x:v>2</x:v>
      </x:c>
      <x:c r="J7944" s="6" t="n">
        <x:f>IF(OR(E7944="CANCELED",E7944="SUSPECTED_FRAUD",F7944="Shipping canceled"),0,1)</x:f>
        <x:v>1</x:v>
      </x:c>
      <x:c r="K7944" s="6" t="n">
        <x:f>IF(G7944&gt;H7944,1,0)</x:f>
        <x:v>1</x:v>
      </x:c>
      <x:c r="L7944" s="6" t="n">
        <x:f>J7944*K7944</x:f>
        <x:v>1</x:v>
      </x:c>
    </x:row>
    <x:row r="7945">
      <x:c r="A7945" s="1" t="n">
        <x:v>63712</x:v>
      </x:c>
      <x:c r="B7945" s="5" t="d">
        <x:v>2017-07-19T00:00:00.000Z</x:v>
      </x:c>
      <x:c r="C7945" s="1" t="str">
        <x:v>Standard Class</x:v>
      </x:c>
      <x:c r="D7945" s="1" t="str">
        <x:v>Europe</x:v>
      </x:c>
      <x:c r="E7945" s="1" t="str">
        <x:v>COMPLETE</x:v>
      </x:c>
      <x:c r="F7945" s="1" t="str">
        <x:v>Advance shipping</x:v>
      </x:c>
      <x:c r="G7945" s="6" t="n">
        <x:v>3</x:v>
      </x:c>
      <x:c r="H7945" s="6" t="n">
        <x:v>4</x:v>
      </x:c>
      <x:c r="I7945" s="6" t="n">
        <x:f>G7945-H7945</x:f>
        <x:v>-1</x:v>
      </x:c>
      <x:c r="J7945" s="6" t="n">
        <x:f>IF(OR(E7945="CANCELED",E7945="SUSPECTED_FRAUD",F7945="Shipping canceled"),0,1)</x:f>
        <x:v>1</x:v>
      </x:c>
      <x:c r="K7945" s="6" t="n">
        <x:f>IF(G7945&gt;H7945,1,0)</x:f>
        <x:v>0</x:v>
      </x:c>
      <x:c r="L7945" s="6" t="n">
        <x:f>J7945*K7945</x:f>
        <x:v>0</x:v>
      </x:c>
    </x:row>
    <x:row r="7946">
      <x:c r="A7946" s="1" t="n">
        <x:v>63746</x:v>
      </x:c>
      <x:c r="B7946" s="5" t="d">
        <x:v>2017-07-19T00:00:00.000Z</x:v>
      </x:c>
      <x:c r="C7946" s="1" t="str">
        <x:v>Standard Class</x:v>
      </x:c>
      <x:c r="D7946" s="1" t="str">
        <x:v>Europe</x:v>
      </x:c>
      <x:c r="E7946" s="1" t="str">
        <x:v>ON_HOLD</x:v>
      </x:c>
      <x:c r="F7946" s="1" t="str">
        <x:v>Advance shipping</x:v>
      </x:c>
      <x:c r="G7946" s="6" t="n">
        <x:v>2</x:v>
      </x:c>
      <x:c r="H7946" s="6" t="n">
        <x:v>4</x:v>
      </x:c>
      <x:c r="I7946" s="6" t="n">
        <x:f>G7946-H7946</x:f>
        <x:v>-2</x:v>
      </x:c>
      <x:c r="J7946" s="6" t="n">
        <x:f>IF(OR(E7946="CANCELED",E7946="SUSPECTED_FRAUD",F7946="Shipping canceled"),0,1)</x:f>
        <x:v>1</x:v>
      </x:c>
      <x:c r="K7946" s="6" t="n">
        <x:f>IF(G7946&gt;H7946,1,0)</x:f>
        <x:v>0</x:v>
      </x:c>
      <x:c r="L7946" s="6" t="n">
        <x:f>J7946*K7946</x:f>
        <x:v>0</x:v>
      </x:c>
    </x:row>
    <x:row r="7947">
      <x:c r="A7947" s="1" t="n">
        <x:v>63758</x:v>
      </x:c>
      <x:c r="B7947" s="5" t="d">
        <x:v>2017-07-19T00:00:00.000Z</x:v>
      </x:c>
      <x:c r="C7947" s="1" t="str">
        <x:v>Standard Class</x:v>
      </x:c>
      <x:c r="D7947" s="1" t="str">
        <x:v>Europe</x:v>
      </x:c>
      <x:c r="E7947" s="1" t="str">
        <x:v>PENDING_PAYMENT</x:v>
      </x:c>
      <x:c r="F7947" s="1" t="str">
        <x:v>Shipping on time</x:v>
      </x:c>
      <x:c r="G7947" s="6" t="n">
        <x:v>4</x:v>
      </x:c>
      <x:c r="H7947" s="6" t="n">
        <x:v>4</x:v>
      </x:c>
      <x:c r="I7947" s="6" t="n">
        <x:f>G7947-H7947</x:f>
        <x:v>0</x:v>
      </x:c>
      <x:c r="J7947" s="6" t="n">
        <x:f>IF(OR(E7947="CANCELED",E7947="SUSPECTED_FRAUD",F7947="Shipping canceled"),0,1)</x:f>
        <x:v>1</x:v>
      </x:c>
      <x:c r="K7947" s="6" t="n">
        <x:f>IF(G7947&gt;H7947,1,0)</x:f>
        <x:v>0</x:v>
      </x:c>
      <x:c r="L7947" s="6" t="n">
        <x:f>J7947*K7947</x:f>
        <x:v>0</x:v>
      </x:c>
    </x:row>
    <x:row r="7948">
      <x:c r="A7948" s="1" t="n">
        <x:v>63779</x:v>
      </x:c>
      <x:c r="B7948" s="5" t="d">
        <x:v>2017-07-20T00:00:00.000Z</x:v>
      </x:c>
      <x:c r="C7948" s="1" t="str">
        <x:v>Standard Class</x:v>
      </x:c>
      <x:c r="D7948" s="1" t="str">
        <x:v>Europe</x:v>
      </x:c>
      <x:c r="E7948" s="1" t="str">
        <x:v>ON_HOLD</x:v>
      </x:c>
      <x:c r="F7948" s="1" t="str">
        <x:v>Late delivery</x:v>
      </x:c>
      <x:c r="G7948" s="6" t="n">
        <x:v>5</x:v>
      </x:c>
      <x:c r="H7948" s="6" t="n">
        <x:v>4</x:v>
      </x:c>
      <x:c r="I7948" s="6" t="n">
        <x:f>G7948-H7948</x:f>
        <x:v>1</x:v>
      </x:c>
      <x:c r="J7948" s="6" t="n">
        <x:f>IF(OR(E7948="CANCELED",E7948="SUSPECTED_FRAUD",F7948="Shipping canceled"),0,1)</x:f>
        <x:v>1</x:v>
      </x:c>
      <x:c r="K7948" s="6" t="n">
        <x:f>IF(G7948&gt;H7948,1,0)</x:f>
        <x:v>1</x:v>
      </x:c>
      <x:c r="L7948" s="6" t="n">
        <x:f>J7948*K7948</x:f>
        <x:v>1</x:v>
      </x:c>
    </x:row>
    <x:row r="7949">
      <x:c r="A7949" s="1" t="n">
        <x:v>63780</x:v>
      </x:c>
      <x:c r="B7949" s="5" t="d">
        <x:v>2017-07-20T00:00:00.000Z</x:v>
      </x:c>
      <x:c r="C7949" s="1" t="str">
        <x:v>Standard Class</x:v>
      </x:c>
      <x:c r="D7949" s="1" t="str">
        <x:v>Europe</x:v>
      </x:c>
      <x:c r="E7949" s="1" t="str">
        <x:v>COMPLETE</x:v>
      </x:c>
      <x:c r="F7949" s="1" t="str">
        <x:v>Late delivery</x:v>
      </x:c>
      <x:c r="G7949" s="6" t="n">
        <x:v>6</x:v>
      </x:c>
      <x:c r="H7949" s="6" t="n">
        <x:v>4</x:v>
      </x:c>
      <x:c r="I7949" s="6" t="n">
        <x:f>G7949-H7949</x:f>
        <x:v>2</x:v>
      </x:c>
      <x:c r="J7949" s="6" t="n">
        <x:f>IF(OR(E7949="CANCELED",E7949="SUSPECTED_FRAUD",F7949="Shipping canceled"),0,1)</x:f>
        <x:v>1</x:v>
      </x:c>
      <x:c r="K7949" s="6" t="n">
        <x:f>IF(G7949&gt;H7949,1,0)</x:f>
        <x:v>1</x:v>
      </x:c>
      <x:c r="L7949" s="6" t="n">
        <x:f>J7949*K7949</x:f>
        <x:v>1</x:v>
      </x:c>
    </x:row>
    <x:row r="7950">
      <x:c r="A7950" s="1" t="n">
        <x:v>63791</x:v>
      </x:c>
      <x:c r="B7950" s="5" t="d">
        <x:v>2017-07-20T00:00:00.000Z</x:v>
      </x:c>
      <x:c r="C7950" s="1" t="str">
        <x:v>Standard Class</x:v>
      </x:c>
      <x:c r="D7950" s="1" t="str">
        <x:v>Europe</x:v>
      </x:c>
      <x:c r="E7950" s="1" t="str">
        <x:v>ON_HOLD</x:v>
      </x:c>
      <x:c r="F7950" s="1" t="str">
        <x:v>Advance shipping</x:v>
      </x:c>
      <x:c r="G7950" s="6" t="n">
        <x:v>2</x:v>
      </x:c>
      <x:c r="H7950" s="6" t="n">
        <x:v>4</x:v>
      </x:c>
      <x:c r="I7950" s="6" t="n">
        <x:f>G7950-H7950</x:f>
        <x:v>-2</x:v>
      </x:c>
      <x:c r="J7950" s="6" t="n">
        <x:f>IF(OR(E7950="CANCELED",E7950="SUSPECTED_FRAUD",F7950="Shipping canceled"),0,1)</x:f>
        <x:v>1</x:v>
      </x:c>
      <x:c r="K7950" s="6" t="n">
        <x:f>IF(G7950&gt;H7950,1,0)</x:f>
        <x:v>0</x:v>
      </x:c>
      <x:c r="L7950" s="6" t="n">
        <x:f>J7950*K7950</x:f>
        <x:v>0</x:v>
      </x:c>
    </x:row>
    <x:row r="7951">
      <x:c r="A7951" s="1" t="n">
        <x:v>63792</x:v>
      </x:c>
      <x:c r="B7951" s="5" t="d">
        <x:v>2017-07-20T00:00:00.000Z</x:v>
      </x:c>
      <x:c r="C7951" s="1" t="str">
        <x:v>Standard Class</x:v>
      </x:c>
      <x:c r="D7951" s="1" t="str">
        <x:v>Europe</x:v>
      </x:c>
      <x:c r="E7951" s="1" t="str">
        <x:v>PROCESSING</x:v>
      </x:c>
      <x:c r="F7951" s="1" t="str">
        <x:v>Advance shipping</x:v>
      </x:c>
      <x:c r="G7951" s="6" t="n">
        <x:v>3</x:v>
      </x:c>
      <x:c r="H7951" s="6" t="n">
        <x:v>4</x:v>
      </x:c>
      <x:c r="I7951" s="6" t="n">
        <x:f>G7951-H7951</x:f>
        <x:v>-1</x:v>
      </x:c>
      <x:c r="J7951" s="6" t="n">
        <x:f>IF(OR(E7951="CANCELED",E7951="SUSPECTED_FRAUD",F7951="Shipping canceled"),0,1)</x:f>
        <x:v>1</x:v>
      </x:c>
      <x:c r="K7951" s="6" t="n">
        <x:f>IF(G7951&gt;H7951,1,0)</x:f>
        <x:v>0</x:v>
      </x:c>
      <x:c r="L7951" s="6" t="n">
        <x:f>J7951*K7951</x:f>
        <x:v>0</x:v>
      </x:c>
    </x:row>
    <x:row r="7952">
      <x:c r="A7952" s="1" t="n">
        <x:v>63803</x:v>
      </x:c>
      <x:c r="B7952" s="5" t="d">
        <x:v>2017-07-20T00:00:00.000Z</x:v>
      </x:c>
      <x:c r="C7952" s="1" t="str">
        <x:v>Standard Class</x:v>
      </x:c>
      <x:c r="D7952" s="1" t="str">
        <x:v>Europe</x:v>
      </x:c>
      <x:c r="E7952" s="1" t="str">
        <x:v>COMPLETE</x:v>
      </x:c>
      <x:c r="F7952" s="1" t="str">
        <x:v>Shipping on time</x:v>
      </x:c>
      <x:c r="G7952" s="6" t="n">
        <x:v>4</x:v>
      </x:c>
      <x:c r="H7952" s="6" t="n">
        <x:v>4</x:v>
      </x:c>
      <x:c r="I7952" s="6" t="n">
        <x:f>G7952-H7952</x:f>
        <x:v>0</x:v>
      </x:c>
      <x:c r="J7952" s="6" t="n">
        <x:f>IF(OR(E7952="CANCELED",E7952="SUSPECTED_FRAUD",F7952="Shipping canceled"),0,1)</x:f>
        <x:v>1</x:v>
      </x:c>
      <x:c r="K7952" s="6" t="n">
        <x:f>IF(G7952&gt;H7952,1,0)</x:f>
        <x:v>0</x:v>
      </x:c>
      <x:c r="L7952" s="6" t="n">
        <x:f>J7952*K7952</x:f>
        <x:v>0</x:v>
      </x:c>
    </x:row>
    <x:row r="7953">
      <x:c r="A7953" s="1" t="n">
        <x:v>63804</x:v>
      </x:c>
      <x:c r="B7953" s="5" t="d">
        <x:v>2017-07-20T00:00:00.000Z</x:v>
      </x:c>
      <x:c r="C7953" s="1" t="str">
        <x:v>Standard Class</x:v>
      </x:c>
      <x:c r="D7953" s="1" t="str">
        <x:v>Europe</x:v>
      </x:c>
      <x:c r="E7953" s="1" t="str">
        <x:v>PENDING_PAYMENT</x:v>
      </x:c>
      <x:c r="F7953" s="1" t="str">
        <x:v>Late delivery</x:v>
      </x:c>
      <x:c r="G7953" s="6" t="n">
        <x:v>5</x:v>
      </x:c>
      <x:c r="H7953" s="6" t="n">
        <x:v>4</x:v>
      </x:c>
      <x:c r="I7953" s="6" t="n">
        <x:f>G7953-H7953</x:f>
        <x:v>1</x:v>
      </x:c>
      <x:c r="J7953" s="6" t="n">
        <x:f>IF(OR(E7953="CANCELED",E7953="SUSPECTED_FRAUD",F7953="Shipping canceled"),0,1)</x:f>
        <x:v>1</x:v>
      </x:c>
      <x:c r="K7953" s="6" t="n">
        <x:f>IF(G7953&gt;H7953,1,0)</x:f>
        <x:v>1</x:v>
      </x:c>
      <x:c r="L7953" s="6" t="n">
        <x:f>J7953*K7953</x:f>
        <x:v>1</x:v>
      </x:c>
    </x:row>
    <x:row r="7954">
      <x:c r="A7954" s="1" t="n">
        <x:v>63806</x:v>
      </x:c>
      <x:c r="B7954" s="5" t="d">
        <x:v>2017-07-20T00:00:00.000Z</x:v>
      </x:c>
      <x:c r="C7954" s="1" t="str">
        <x:v>Standard Class</x:v>
      </x:c>
      <x:c r="D7954" s="1" t="str">
        <x:v>Europe</x:v>
      </x:c>
      <x:c r="E7954" s="1" t="str">
        <x:v>COMPLETE</x:v>
      </x:c>
      <x:c r="F7954" s="1" t="str">
        <x:v>Advance shipping</x:v>
      </x:c>
      <x:c r="G7954" s="6" t="n">
        <x:v>2</x:v>
      </x:c>
      <x:c r="H7954" s="6" t="n">
        <x:v>4</x:v>
      </x:c>
      <x:c r="I7954" s="6" t="n">
        <x:f>G7954-H7954</x:f>
        <x:v>-2</x:v>
      </x:c>
      <x:c r="J7954" s="6" t="n">
        <x:f>IF(OR(E7954="CANCELED",E7954="SUSPECTED_FRAUD",F7954="Shipping canceled"),0,1)</x:f>
        <x:v>1</x:v>
      </x:c>
      <x:c r="K7954" s="6" t="n">
        <x:f>IF(G7954&gt;H7954,1,0)</x:f>
        <x:v>0</x:v>
      </x:c>
      <x:c r="L7954" s="6" t="n">
        <x:f>J7954*K7954</x:f>
        <x:v>0</x:v>
      </x:c>
    </x:row>
    <x:row r="7955">
      <x:c r="A7955" s="1" t="n">
        <x:v>63824</x:v>
      </x:c>
      <x:c r="B7955" s="5" t="d">
        <x:v>2017-07-20T00:00:00.000Z</x:v>
      </x:c>
      <x:c r="C7955" s="1" t="str">
        <x:v>Standard Class</x:v>
      </x:c>
      <x:c r="D7955" s="1" t="str">
        <x:v>Europe</x:v>
      </x:c>
      <x:c r="E7955" s="1" t="str">
        <x:v>CANCELED</x:v>
      </x:c>
      <x:c r="F7955" s="1" t="str">
        <x:v>Shipping canceled</x:v>
      </x:c>
      <x:c r="G7955" s="6" t="n">
        <x:v>5</x:v>
      </x:c>
      <x:c r="H7955" s="6" t="n">
        <x:v>4</x:v>
      </x:c>
      <x:c r="I7955" s="6" t="n">
        <x:f>G7955-H7955</x:f>
        <x:v>1</x:v>
      </x:c>
      <x:c r="J7955" s="6" t="n">
        <x:f>IF(OR(E7955="CANCELED",E7955="SUSPECTED_FRAUD",F7955="Shipping canceled"),0,1)</x:f>
        <x:v>0</x:v>
      </x:c>
      <x:c r="K7955" s="6" t="n">
        <x:f>IF(G7955&gt;H7955,1,0)</x:f>
        <x:v>1</x:v>
      </x:c>
      <x:c r="L7955" s="6" t="n">
        <x:f>J7955*K7955</x:f>
        <x:v>0</x:v>
      </x:c>
    </x:row>
    <x:row r="7956">
      <x:c r="A7956" s="1" t="n">
        <x:v>63832</x:v>
      </x:c>
      <x:c r="B7956" s="5" t="d">
        <x:v>2017-07-20T00:00:00.000Z</x:v>
      </x:c>
      <x:c r="C7956" s="1" t="str">
        <x:v>Standard Class</x:v>
      </x:c>
      <x:c r="D7956" s="1" t="str">
        <x:v>Europe</x:v>
      </x:c>
      <x:c r="E7956" s="1" t="str">
        <x:v>COMPLETE</x:v>
      </x:c>
      <x:c r="F7956" s="1" t="str">
        <x:v>Advance shipping</x:v>
      </x:c>
      <x:c r="G7956" s="6" t="n">
        <x:v>3</x:v>
      </x:c>
      <x:c r="H7956" s="6" t="n">
        <x:v>4</x:v>
      </x:c>
      <x:c r="I7956" s="6" t="n">
        <x:f>G7956-H7956</x:f>
        <x:v>-1</x:v>
      </x:c>
      <x:c r="J7956" s="6" t="n">
        <x:f>IF(OR(E7956="CANCELED",E7956="SUSPECTED_FRAUD",F7956="Shipping canceled"),0,1)</x:f>
        <x:v>1</x:v>
      </x:c>
      <x:c r="K7956" s="6" t="n">
        <x:f>IF(G7956&gt;H7956,1,0)</x:f>
        <x:v>0</x:v>
      </x:c>
      <x:c r="L7956" s="6" t="n">
        <x:f>J7956*K7956</x:f>
        <x:v>0</x:v>
      </x:c>
    </x:row>
    <x:row r="7957">
      <x:c r="A7957" s="1" t="n">
        <x:v>63834</x:v>
      </x:c>
      <x:c r="B7957" s="5" t="d">
        <x:v>2017-07-20T00:00:00.000Z</x:v>
      </x:c>
      <x:c r="C7957" s="1" t="str">
        <x:v>First Class</x:v>
      </x:c>
      <x:c r="D7957" s="1" t="str">
        <x:v>Europe</x:v>
      </x:c>
      <x:c r="E7957" s="1" t="str">
        <x:v>CLOSED</x:v>
      </x:c>
      <x:c r="F7957" s="1" t="str">
        <x:v>Late delivery</x:v>
      </x:c>
      <x:c r="G7957" s="6" t="n">
        <x:v>2</x:v>
      </x:c>
      <x:c r="H7957" s="6" t="n">
        <x:v>1</x:v>
      </x:c>
      <x:c r="I7957" s="6" t="n">
        <x:f>G7957-H7957</x:f>
        <x:v>1</x:v>
      </x:c>
      <x:c r="J7957" s="6" t="n">
        <x:f>IF(OR(E7957="CANCELED",E7957="SUSPECTED_FRAUD",F7957="Shipping canceled"),0,1)</x:f>
        <x:v>1</x:v>
      </x:c>
      <x:c r="K7957" s="6" t="n">
        <x:f>IF(G7957&gt;H7957,1,0)</x:f>
        <x:v>1</x:v>
      </x:c>
      <x:c r="L7957" s="6" t="n">
        <x:f>J7957*K7957</x:f>
        <x:v>1</x:v>
      </x:c>
    </x:row>
    <x:row r="7958">
      <x:c r="A7958" s="1" t="n">
        <x:v>63843</x:v>
      </x:c>
      <x:c r="B7958" s="5" t="d">
        <x:v>2017-07-20T00:00:00.000Z</x:v>
      </x:c>
      <x:c r="C7958" s="1" t="str">
        <x:v>Standard Class</x:v>
      </x:c>
      <x:c r="D7958" s="1" t="str">
        <x:v>Europe</x:v>
      </x:c>
      <x:c r="E7958" s="1" t="str">
        <x:v>COMPLETE</x:v>
      </x:c>
      <x:c r="F7958" s="1" t="str">
        <x:v>Shipping on time</x:v>
      </x:c>
      <x:c r="G7958" s="6" t="n">
        <x:v>4</x:v>
      </x:c>
      <x:c r="H7958" s="6" t="n">
        <x:v>4</x:v>
      </x:c>
      <x:c r="I7958" s="6" t="n">
        <x:f>G7958-H7958</x:f>
        <x:v>0</x:v>
      </x:c>
      <x:c r="J7958" s="6" t="n">
        <x:f>IF(OR(E7958="CANCELED",E7958="SUSPECTED_FRAUD",F7958="Shipping canceled"),0,1)</x:f>
        <x:v>1</x:v>
      </x:c>
      <x:c r="K7958" s="6" t="n">
        <x:f>IF(G7958&gt;H7958,1,0)</x:f>
        <x:v>0</x:v>
      </x:c>
      <x:c r="L7958" s="6" t="n">
        <x:f>J7958*K7958</x:f>
        <x:v>0</x:v>
      </x:c>
    </x:row>
    <x:row r="7959">
      <x:c r="A7959" s="1" t="n">
        <x:v>63848</x:v>
      </x:c>
      <x:c r="B7959" s="5" t="d">
        <x:v>2017-07-21T00:00:00.000Z</x:v>
      </x:c>
      <x:c r="C7959" s="1" t="str">
        <x:v>Standard Class</x:v>
      </x:c>
      <x:c r="D7959" s="1" t="str">
        <x:v>Europe</x:v>
      </x:c>
      <x:c r="E7959" s="1" t="str">
        <x:v>CLOSED</x:v>
      </x:c>
      <x:c r="F7959" s="1" t="str">
        <x:v>Shipping on time</x:v>
      </x:c>
      <x:c r="G7959" s="6" t="n">
        <x:v>4</x:v>
      </x:c>
      <x:c r="H7959" s="6" t="n">
        <x:v>4</x:v>
      </x:c>
      <x:c r="I7959" s="6" t="n">
        <x:f>G7959-H7959</x:f>
        <x:v>0</x:v>
      </x:c>
      <x:c r="J7959" s="6" t="n">
        <x:f>IF(OR(E7959="CANCELED",E7959="SUSPECTED_FRAUD",F7959="Shipping canceled"),0,1)</x:f>
        <x:v>1</x:v>
      </x:c>
      <x:c r="K7959" s="6" t="n">
        <x:f>IF(G7959&gt;H7959,1,0)</x:f>
        <x:v>0</x:v>
      </x:c>
      <x:c r="L7959" s="6" t="n">
        <x:f>J7959*K7959</x:f>
        <x:v>0</x:v>
      </x:c>
    </x:row>
    <x:row r="7960">
      <x:c r="A7960" s="1" t="n">
        <x:v>63853</x:v>
      </x:c>
      <x:c r="B7960" s="5" t="d">
        <x:v>2017-07-21T00:00:00.000Z</x:v>
      </x:c>
      <x:c r="C7960" s="1" t="str">
        <x:v>Standard Class</x:v>
      </x:c>
      <x:c r="D7960" s="1" t="str">
        <x:v>Europe</x:v>
      </x:c>
      <x:c r="E7960" s="1" t="str">
        <x:v>COMPLETE</x:v>
      </x:c>
      <x:c r="F7960" s="1" t="str">
        <x:v>Shipping on time</x:v>
      </x:c>
      <x:c r="G7960" s="6" t="n">
        <x:v>4</x:v>
      </x:c>
      <x:c r="H7960" s="6" t="n">
        <x:v>4</x:v>
      </x:c>
      <x:c r="I7960" s="6" t="n">
        <x:f>G7960-H7960</x:f>
        <x:v>0</x:v>
      </x:c>
      <x:c r="J7960" s="6" t="n">
        <x:f>IF(OR(E7960="CANCELED",E7960="SUSPECTED_FRAUD",F7960="Shipping canceled"),0,1)</x:f>
        <x:v>1</x:v>
      </x:c>
      <x:c r="K7960" s="6" t="n">
        <x:f>IF(G7960&gt;H7960,1,0)</x:f>
        <x:v>0</x:v>
      </x:c>
      <x:c r="L7960" s="6" t="n">
        <x:f>J7960*K7960</x:f>
        <x:v>0</x:v>
      </x:c>
    </x:row>
    <x:row r="7961">
      <x:c r="A7961" s="1" t="n">
        <x:v>63861</x:v>
      </x:c>
      <x:c r="B7961" s="5" t="d">
        <x:v>2017-07-21T00:00:00.000Z</x:v>
      </x:c>
      <x:c r="C7961" s="1" t="str">
        <x:v>Standard Class</x:v>
      </x:c>
      <x:c r="D7961" s="1" t="str">
        <x:v>Europe</x:v>
      </x:c>
      <x:c r="E7961" s="1" t="str">
        <x:v>COMPLETE</x:v>
      </x:c>
      <x:c r="F7961" s="1" t="str">
        <x:v>Advance shipping</x:v>
      </x:c>
      <x:c r="G7961" s="6" t="n">
        <x:v>2</x:v>
      </x:c>
      <x:c r="H7961" s="6" t="n">
        <x:v>4</x:v>
      </x:c>
      <x:c r="I7961" s="6" t="n">
        <x:f>G7961-H7961</x:f>
        <x:v>-2</x:v>
      </x:c>
      <x:c r="J7961" s="6" t="n">
        <x:f>IF(OR(E7961="CANCELED",E7961="SUSPECTED_FRAUD",F7961="Shipping canceled"),0,1)</x:f>
        <x:v>1</x:v>
      </x:c>
      <x:c r="K7961" s="6" t="n">
        <x:f>IF(G7961&gt;H7961,1,0)</x:f>
        <x:v>0</x:v>
      </x:c>
      <x:c r="L7961" s="6" t="n">
        <x:f>J7961*K7961</x:f>
        <x:v>0</x:v>
      </x:c>
    </x:row>
    <x:row r="7962">
      <x:c r="A7962" s="1" t="n">
        <x:v>63862</x:v>
      </x:c>
      <x:c r="B7962" s="5" t="d">
        <x:v>2017-07-21T00:00:00.000Z</x:v>
      </x:c>
      <x:c r="C7962" s="1" t="str">
        <x:v>Standard Class</x:v>
      </x:c>
      <x:c r="D7962" s="1" t="str">
        <x:v>Europe</x:v>
      </x:c>
      <x:c r="E7962" s="1" t="str">
        <x:v>PROCESSING</x:v>
      </x:c>
      <x:c r="F7962" s="1" t="str">
        <x:v>Advance shipping</x:v>
      </x:c>
      <x:c r="G7962" s="6" t="n">
        <x:v>3</x:v>
      </x:c>
      <x:c r="H7962" s="6" t="n">
        <x:v>4</x:v>
      </x:c>
      <x:c r="I7962" s="6" t="n">
        <x:f>G7962-H7962</x:f>
        <x:v>-1</x:v>
      </x:c>
      <x:c r="J7962" s="6" t="n">
        <x:f>IF(OR(E7962="CANCELED",E7962="SUSPECTED_FRAUD",F7962="Shipping canceled"),0,1)</x:f>
        <x:v>1</x:v>
      </x:c>
      <x:c r="K7962" s="6" t="n">
        <x:f>IF(G7962&gt;H7962,1,0)</x:f>
        <x:v>0</x:v>
      </x:c>
      <x:c r="L7962" s="6" t="n">
        <x:f>J7962*K7962</x:f>
        <x:v>0</x:v>
      </x:c>
    </x:row>
    <x:row r="7963">
      <x:c r="A7963" s="1" t="n">
        <x:v>63863</x:v>
      </x:c>
      <x:c r="B7963" s="5" t="d">
        <x:v>2017-07-21T00:00:00.000Z</x:v>
      </x:c>
      <x:c r="C7963" s="1" t="str">
        <x:v>Standard Class</x:v>
      </x:c>
      <x:c r="D7963" s="1" t="str">
        <x:v>Europe</x:v>
      </x:c>
      <x:c r="E7963" s="1" t="str">
        <x:v>COMPLETE</x:v>
      </x:c>
      <x:c r="F7963" s="1" t="str">
        <x:v>Shipping on time</x:v>
      </x:c>
      <x:c r="G7963" s="6" t="n">
        <x:v>4</x:v>
      </x:c>
      <x:c r="H7963" s="6" t="n">
        <x:v>4</x:v>
      </x:c>
      <x:c r="I7963" s="6" t="n">
        <x:f>G7963-H7963</x:f>
        <x:v>0</x:v>
      </x:c>
      <x:c r="J7963" s="6" t="n">
        <x:f>IF(OR(E7963="CANCELED",E7963="SUSPECTED_FRAUD",F7963="Shipping canceled"),0,1)</x:f>
        <x:v>1</x:v>
      </x:c>
      <x:c r="K7963" s="6" t="n">
        <x:f>IF(G7963&gt;H7963,1,0)</x:f>
        <x:v>0</x:v>
      </x:c>
      <x:c r="L7963" s="6" t="n">
        <x:f>J7963*K7963</x:f>
        <x:v>0</x:v>
      </x:c>
    </x:row>
    <x:row r="7964">
      <x:c r="A7964" s="1" t="n">
        <x:v>63876</x:v>
      </x:c>
      <x:c r="B7964" s="5" t="d">
        <x:v>2017-07-21T00:00:00.000Z</x:v>
      </x:c>
      <x:c r="C7964" s="1" t="str">
        <x:v>Standard Class</x:v>
      </x:c>
      <x:c r="D7964" s="1" t="str">
        <x:v>Europe</x:v>
      </x:c>
      <x:c r="E7964" s="1" t="str">
        <x:v>CLOSED</x:v>
      </x:c>
      <x:c r="F7964" s="1" t="str">
        <x:v>Advance shipping</x:v>
      </x:c>
      <x:c r="G7964" s="6" t="n">
        <x:v>2</x:v>
      </x:c>
      <x:c r="H7964" s="6" t="n">
        <x:v>4</x:v>
      </x:c>
      <x:c r="I7964" s="6" t="n">
        <x:f>G7964-H7964</x:f>
        <x:v>-2</x:v>
      </x:c>
      <x:c r="J7964" s="6" t="n">
        <x:f>IF(OR(E7964="CANCELED",E7964="SUSPECTED_FRAUD",F7964="Shipping canceled"),0,1)</x:f>
        <x:v>1</x:v>
      </x:c>
      <x:c r="K7964" s="6" t="n">
        <x:f>IF(G7964&gt;H7964,1,0)</x:f>
        <x:v>0</x:v>
      </x:c>
      <x:c r="L7964" s="6" t="n">
        <x:f>J7964*K7964</x:f>
        <x:v>0</x:v>
      </x:c>
    </x:row>
    <x:row r="7965">
      <x:c r="A7965" s="1" t="n">
        <x:v>63907</x:v>
      </x:c>
      <x:c r="B7965" s="5" t="d">
        <x:v>2017-07-21T00:00:00.000Z</x:v>
      </x:c>
      <x:c r="C7965" s="1" t="str">
        <x:v>Standard Class</x:v>
      </x:c>
      <x:c r="D7965" s="1" t="str">
        <x:v>Europe</x:v>
      </x:c>
      <x:c r="E7965" s="1" t="str">
        <x:v>PENDING</x:v>
      </x:c>
      <x:c r="F7965" s="1" t="str">
        <x:v>Advance shipping</x:v>
      </x:c>
      <x:c r="G7965" s="6" t="n">
        <x:v>3</x:v>
      </x:c>
      <x:c r="H7965" s="6" t="n">
        <x:v>4</x:v>
      </x:c>
      <x:c r="I7965" s="6" t="n">
        <x:f>G7965-H7965</x:f>
        <x:v>-1</x:v>
      </x:c>
      <x:c r="J7965" s="6" t="n">
        <x:f>IF(OR(E7965="CANCELED",E7965="SUSPECTED_FRAUD",F7965="Shipping canceled"),0,1)</x:f>
        <x:v>1</x:v>
      </x:c>
      <x:c r="K7965" s="6" t="n">
        <x:f>IF(G7965&gt;H7965,1,0)</x:f>
        <x:v>0</x:v>
      </x:c>
      <x:c r="L7965" s="6" t="n">
        <x:f>J7965*K7965</x:f>
        <x:v>0</x:v>
      </x:c>
    </x:row>
    <x:row r="7966">
      <x:c r="A7966" s="1" t="n">
        <x:v>63909</x:v>
      </x:c>
      <x:c r="B7966" s="5" t="d">
        <x:v>2017-07-21T00:00:00.000Z</x:v>
      </x:c>
      <x:c r="C7966" s="1" t="str">
        <x:v>Standard Class</x:v>
      </x:c>
      <x:c r="D7966" s="1" t="str">
        <x:v>Europe</x:v>
      </x:c>
      <x:c r="E7966" s="1" t="str">
        <x:v>COMPLETE</x:v>
      </x:c>
      <x:c r="F7966" s="1" t="str">
        <x:v>Late delivery</x:v>
      </x:c>
      <x:c r="G7966" s="6" t="n">
        <x:v>5</x:v>
      </x:c>
      <x:c r="H7966" s="6" t="n">
        <x:v>4</x:v>
      </x:c>
      <x:c r="I7966" s="6" t="n">
        <x:f>G7966-H7966</x:f>
        <x:v>1</x:v>
      </x:c>
      <x:c r="J7966" s="6" t="n">
        <x:f>IF(OR(E7966="CANCELED",E7966="SUSPECTED_FRAUD",F7966="Shipping canceled"),0,1)</x:f>
        <x:v>1</x:v>
      </x:c>
      <x:c r="K7966" s="6" t="n">
        <x:f>IF(G7966&gt;H7966,1,0)</x:f>
        <x:v>1</x:v>
      </x:c>
      <x:c r="L7966" s="6" t="n">
        <x:f>J7966*K7966</x:f>
        <x:v>1</x:v>
      </x:c>
    </x:row>
    <x:row r="7967">
      <x:c r="A7967" s="1" t="n">
        <x:v>63913</x:v>
      </x:c>
      <x:c r="B7967" s="5" t="d">
        <x:v>2017-07-21T00:00:00.000Z</x:v>
      </x:c>
      <x:c r="C7967" s="1" t="str">
        <x:v>Standard Class</x:v>
      </x:c>
      <x:c r="D7967" s="1" t="str">
        <x:v>Europe</x:v>
      </x:c>
      <x:c r="E7967" s="1" t="str">
        <x:v>COMPLETE</x:v>
      </x:c>
      <x:c r="F7967" s="1" t="str">
        <x:v>Shipping on time</x:v>
      </x:c>
      <x:c r="G7967" s="6" t="n">
        <x:v>4</x:v>
      </x:c>
      <x:c r="H7967" s="6" t="n">
        <x:v>4</x:v>
      </x:c>
      <x:c r="I7967" s="6" t="n">
        <x:f>G7967-H7967</x:f>
        <x:v>0</x:v>
      </x:c>
      <x:c r="J7967" s="6" t="n">
        <x:f>IF(OR(E7967="CANCELED",E7967="SUSPECTED_FRAUD",F7967="Shipping canceled"),0,1)</x:f>
        <x:v>1</x:v>
      </x:c>
      <x:c r="K7967" s="6" t="n">
        <x:f>IF(G7967&gt;H7967,1,0)</x:f>
        <x:v>0</x:v>
      </x:c>
      <x:c r="L7967" s="6" t="n">
        <x:f>J7967*K7967</x:f>
        <x:v>0</x:v>
      </x:c>
    </x:row>
    <x:row r="7968">
      <x:c r="A7968" s="1" t="n">
        <x:v>63920</x:v>
      </x:c>
      <x:c r="B7968" s="5" t="d">
        <x:v>2017-07-22T00:00:00.000Z</x:v>
      </x:c>
      <x:c r="C7968" s="1" t="str">
        <x:v>Standard Class</x:v>
      </x:c>
      <x:c r="D7968" s="1" t="str">
        <x:v>Europe</x:v>
      </x:c>
      <x:c r="E7968" s="1" t="str">
        <x:v>PROCESSING</x:v>
      </x:c>
      <x:c r="F7968" s="1" t="str">
        <x:v>Late delivery</x:v>
      </x:c>
      <x:c r="G7968" s="6" t="n">
        <x:v>6</x:v>
      </x:c>
      <x:c r="H7968" s="6" t="n">
        <x:v>4</x:v>
      </x:c>
      <x:c r="I7968" s="6" t="n">
        <x:f>G7968-H7968</x:f>
        <x:v>2</x:v>
      </x:c>
      <x:c r="J7968" s="6" t="n">
        <x:f>IF(OR(E7968="CANCELED",E7968="SUSPECTED_FRAUD",F7968="Shipping canceled"),0,1)</x:f>
        <x:v>1</x:v>
      </x:c>
      <x:c r="K7968" s="6" t="n">
        <x:f>IF(G7968&gt;H7968,1,0)</x:f>
        <x:v>1</x:v>
      </x:c>
      <x:c r="L7968" s="6" t="n">
        <x:f>J7968*K7968</x:f>
        <x:v>1</x:v>
      </x:c>
    </x:row>
    <x:row r="7969">
      <x:c r="A7969" s="1" t="n">
        <x:v>63921</x:v>
      </x:c>
      <x:c r="B7969" s="5" t="d">
        <x:v>2017-07-22T00:00:00.000Z</x:v>
      </x:c>
      <x:c r="C7969" s="1" t="str">
        <x:v>Standard Class</x:v>
      </x:c>
      <x:c r="D7969" s="1" t="str">
        <x:v>Europe</x:v>
      </x:c>
      <x:c r="E7969" s="1" t="str">
        <x:v>COMPLETE</x:v>
      </x:c>
      <x:c r="F7969" s="1" t="str">
        <x:v>Advance shipping</x:v>
      </x:c>
      <x:c r="G7969" s="6" t="n">
        <x:v>2</x:v>
      </x:c>
      <x:c r="H7969" s="6" t="n">
        <x:v>4</x:v>
      </x:c>
      <x:c r="I7969" s="6" t="n">
        <x:f>G7969-H7969</x:f>
        <x:v>-2</x:v>
      </x:c>
      <x:c r="J7969" s="6" t="n">
        <x:f>IF(OR(E7969="CANCELED",E7969="SUSPECTED_FRAUD",F7969="Shipping canceled"),0,1)</x:f>
        <x:v>1</x:v>
      </x:c>
      <x:c r="K7969" s="6" t="n">
        <x:f>IF(G7969&gt;H7969,1,0)</x:f>
        <x:v>0</x:v>
      </x:c>
      <x:c r="L7969" s="6" t="n">
        <x:f>J7969*K7969</x:f>
        <x:v>0</x:v>
      </x:c>
    </x:row>
    <x:row r="7970">
      <x:c r="A7970" s="1" t="n">
        <x:v>63936</x:v>
      </x:c>
      <x:c r="B7970" s="5" t="d">
        <x:v>2017-07-22T00:00:00.000Z</x:v>
      </x:c>
      <x:c r="C7970" s="1" t="str">
        <x:v>Second Class</x:v>
      </x:c>
      <x:c r="D7970" s="1" t="str">
        <x:v>Europe</x:v>
      </x:c>
      <x:c r="E7970" s="1" t="str">
        <x:v>PENDING_PAYMENT</x:v>
      </x:c>
      <x:c r="F7970" s="1" t="str">
        <x:v>Shipping on time</x:v>
      </x:c>
      <x:c r="G7970" s="6" t="n">
        <x:v>2</x:v>
      </x:c>
      <x:c r="H7970" s="6" t="n">
        <x:v>2</x:v>
      </x:c>
      <x:c r="I7970" s="6" t="n">
        <x:f>G7970-H7970</x:f>
        <x:v>0</x:v>
      </x:c>
      <x:c r="J7970" s="6" t="n">
        <x:f>IF(OR(E7970="CANCELED",E7970="SUSPECTED_FRAUD",F7970="Shipping canceled"),0,1)</x:f>
        <x:v>1</x:v>
      </x:c>
      <x:c r="K7970" s="6" t="n">
        <x:f>IF(G7970&gt;H7970,1,0)</x:f>
        <x:v>0</x:v>
      </x:c>
      <x:c r="L7970" s="6" t="n">
        <x:f>J7970*K7970</x:f>
        <x:v>0</x:v>
      </x:c>
    </x:row>
    <x:row r="7971">
      <x:c r="A7971" s="1" t="n">
        <x:v>63944</x:v>
      </x:c>
      <x:c r="B7971" s="5" t="d">
        <x:v>2017-07-22T00:00:00.000Z</x:v>
      </x:c>
      <x:c r="C7971" s="1" t="str">
        <x:v>Standard Class</x:v>
      </x:c>
      <x:c r="D7971" s="1" t="str">
        <x:v>Europe</x:v>
      </x:c>
      <x:c r="E7971" s="1" t="str">
        <x:v>COMPLETE</x:v>
      </x:c>
      <x:c r="F7971" s="1" t="str">
        <x:v>Late delivery</x:v>
      </x:c>
      <x:c r="G7971" s="6" t="n">
        <x:v>5</x:v>
      </x:c>
      <x:c r="H7971" s="6" t="n">
        <x:v>4</x:v>
      </x:c>
      <x:c r="I7971" s="6" t="n">
        <x:f>G7971-H7971</x:f>
        <x:v>1</x:v>
      </x:c>
      <x:c r="J7971" s="6" t="n">
        <x:f>IF(OR(E7971="CANCELED",E7971="SUSPECTED_FRAUD",F7971="Shipping canceled"),0,1)</x:f>
        <x:v>1</x:v>
      </x:c>
      <x:c r="K7971" s="6" t="n">
        <x:f>IF(G7971&gt;H7971,1,0)</x:f>
        <x:v>1</x:v>
      </x:c>
      <x:c r="L7971" s="6" t="n">
        <x:f>J7971*K7971</x:f>
        <x:v>1</x:v>
      </x:c>
    </x:row>
    <x:row r="7972">
      <x:c r="A7972" s="1" t="n">
        <x:v>63947</x:v>
      </x:c>
      <x:c r="B7972" s="5" t="d">
        <x:v>2017-07-22T00:00:00.000Z</x:v>
      </x:c>
      <x:c r="C7972" s="1" t="str">
        <x:v>Standard Class</x:v>
      </x:c>
      <x:c r="D7972" s="1" t="str">
        <x:v>Europe</x:v>
      </x:c>
      <x:c r="E7972" s="1" t="str">
        <x:v>COMPLETE</x:v>
      </x:c>
      <x:c r="F7972" s="1" t="str">
        <x:v>Advance shipping</x:v>
      </x:c>
      <x:c r="G7972" s="6" t="n">
        <x:v>3</x:v>
      </x:c>
      <x:c r="H7972" s="6" t="n">
        <x:v>4</x:v>
      </x:c>
      <x:c r="I7972" s="6" t="n">
        <x:f>G7972-H7972</x:f>
        <x:v>-1</x:v>
      </x:c>
      <x:c r="J7972" s="6" t="n">
        <x:f>IF(OR(E7972="CANCELED",E7972="SUSPECTED_FRAUD",F7972="Shipping canceled"),0,1)</x:f>
        <x:v>1</x:v>
      </x:c>
      <x:c r="K7972" s="6" t="n">
        <x:f>IF(G7972&gt;H7972,1,0)</x:f>
        <x:v>0</x:v>
      </x:c>
      <x:c r="L7972" s="6" t="n">
        <x:f>J7972*K7972</x:f>
        <x:v>0</x:v>
      </x:c>
    </x:row>
    <x:row r="7973">
      <x:c r="A7973" s="1" t="n">
        <x:v>63956</x:v>
      </x:c>
      <x:c r="B7973" s="5" t="d">
        <x:v>2017-07-22T00:00:00.000Z</x:v>
      </x:c>
      <x:c r="C7973" s="1" t="str">
        <x:v>Standard Class</x:v>
      </x:c>
      <x:c r="D7973" s="1" t="str">
        <x:v>Europe</x:v>
      </x:c>
      <x:c r="E7973" s="1" t="str">
        <x:v>ON_HOLD</x:v>
      </x:c>
      <x:c r="F7973" s="1" t="str">
        <x:v>Advance shipping</x:v>
      </x:c>
      <x:c r="G7973" s="6" t="n">
        <x:v>2</x:v>
      </x:c>
      <x:c r="H7973" s="6" t="n">
        <x:v>4</x:v>
      </x:c>
      <x:c r="I7973" s="6" t="n">
        <x:f>G7973-H7973</x:f>
        <x:v>-2</x:v>
      </x:c>
      <x:c r="J7973" s="6" t="n">
        <x:f>IF(OR(E7973="CANCELED",E7973="SUSPECTED_FRAUD",F7973="Shipping canceled"),0,1)</x:f>
        <x:v>1</x:v>
      </x:c>
      <x:c r="K7973" s="6" t="n">
        <x:f>IF(G7973&gt;H7973,1,0)</x:f>
        <x:v>0</x:v>
      </x:c>
      <x:c r="L7973" s="6" t="n">
        <x:f>J7973*K7973</x:f>
        <x:v>0</x:v>
      </x:c>
    </x:row>
    <x:row r="7974">
      <x:c r="A7974" s="1" t="n">
        <x:v>63960</x:v>
      </x:c>
      <x:c r="B7974" s="5" t="d">
        <x:v>2017-07-22T00:00:00.000Z</x:v>
      </x:c>
      <x:c r="C7974" s="1" t="str">
        <x:v>Standard Class</x:v>
      </x:c>
      <x:c r="D7974" s="1" t="str">
        <x:v>Europe</x:v>
      </x:c>
      <x:c r="E7974" s="1" t="str">
        <x:v>ON_HOLD</x:v>
      </x:c>
      <x:c r="F7974" s="1" t="str">
        <x:v>Late delivery</x:v>
      </x:c>
      <x:c r="G7974" s="6" t="n">
        <x:v>6</x:v>
      </x:c>
      <x:c r="H7974" s="6" t="n">
        <x:v>4</x:v>
      </x:c>
      <x:c r="I7974" s="6" t="n">
        <x:f>G7974-H7974</x:f>
        <x:v>2</x:v>
      </x:c>
      <x:c r="J7974" s="6" t="n">
        <x:f>IF(OR(E7974="CANCELED",E7974="SUSPECTED_FRAUD",F7974="Shipping canceled"),0,1)</x:f>
        <x:v>1</x:v>
      </x:c>
      <x:c r="K7974" s="6" t="n">
        <x:f>IF(G7974&gt;H7974,1,0)</x:f>
        <x:v>1</x:v>
      </x:c>
      <x:c r="L7974" s="6" t="n">
        <x:f>J7974*K7974</x:f>
        <x:v>1</x:v>
      </x:c>
    </x:row>
    <x:row r="7975">
      <x:c r="A7975" s="1" t="n">
        <x:v>63969</x:v>
      </x:c>
      <x:c r="B7975" s="5" t="d">
        <x:v>2017-07-22T00:00:00.000Z</x:v>
      </x:c>
      <x:c r="C7975" s="1" t="str">
        <x:v>Standard Class</x:v>
      </x:c>
      <x:c r="D7975" s="1" t="str">
        <x:v>Europe</x:v>
      </x:c>
      <x:c r="E7975" s="1" t="str">
        <x:v>COMPLETE</x:v>
      </x:c>
      <x:c r="F7975" s="1" t="str">
        <x:v>Late delivery</x:v>
      </x:c>
      <x:c r="G7975" s="6" t="n">
        <x:v>5</x:v>
      </x:c>
      <x:c r="H7975" s="6" t="n">
        <x:v>4</x:v>
      </x:c>
      <x:c r="I7975" s="6" t="n">
        <x:f>G7975-H7975</x:f>
        <x:v>1</x:v>
      </x:c>
      <x:c r="J7975" s="6" t="n">
        <x:f>IF(OR(E7975="CANCELED",E7975="SUSPECTED_FRAUD",F7975="Shipping canceled"),0,1)</x:f>
        <x:v>1</x:v>
      </x:c>
      <x:c r="K7975" s="6" t="n">
        <x:f>IF(G7975&gt;H7975,1,0)</x:f>
        <x:v>1</x:v>
      </x:c>
      <x:c r="L7975" s="6" t="n">
        <x:f>J7975*K7975</x:f>
        <x:v>1</x:v>
      </x:c>
    </x:row>
    <x:row r="7976">
      <x:c r="A7976" s="1" t="n">
        <x:v>63972</x:v>
      </x:c>
      <x:c r="B7976" s="5" t="d">
        <x:v>2017-07-22T00:00:00.000Z</x:v>
      </x:c>
      <x:c r="C7976" s="1" t="str">
        <x:v>Second Class</x:v>
      </x:c>
      <x:c r="D7976" s="1" t="str">
        <x:v>Europe</x:v>
      </x:c>
      <x:c r="E7976" s="1" t="str">
        <x:v>COMPLETE</x:v>
      </x:c>
      <x:c r="F7976" s="1" t="str">
        <x:v>Late delivery</x:v>
      </x:c>
      <x:c r="G7976" s="6" t="n">
        <x:v>3</x:v>
      </x:c>
      <x:c r="H7976" s="6" t="n">
        <x:v>2</x:v>
      </x:c>
      <x:c r="I7976" s="6" t="n">
        <x:f>G7976-H7976</x:f>
        <x:v>1</x:v>
      </x:c>
      <x:c r="J7976" s="6" t="n">
        <x:f>IF(OR(E7976="CANCELED",E7976="SUSPECTED_FRAUD",F7976="Shipping canceled"),0,1)</x:f>
        <x:v>1</x:v>
      </x:c>
      <x:c r="K7976" s="6" t="n">
        <x:f>IF(G7976&gt;H7976,1,0)</x:f>
        <x:v>1</x:v>
      </x:c>
      <x:c r="L7976" s="6" t="n">
        <x:f>J7976*K7976</x:f>
        <x:v>1</x:v>
      </x:c>
    </x:row>
    <x:row r="7977">
      <x:c r="A7977" s="1" t="n">
        <x:v>63992</x:v>
      </x:c>
      <x:c r="B7977" s="5" t="d">
        <x:v>2017-07-23T00:00:00.000Z</x:v>
      </x:c>
      <x:c r="C7977" s="1" t="str">
        <x:v>Standard Class</x:v>
      </x:c>
      <x:c r="D7977" s="1" t="str">
        <x:v>Europe</x:v>
      </x:c>
      <x:c r="E7977" s="1" t="str">
        <x:v>COMPLETE</x:v>
      </x:c>
      <x:c r="F7977" s="1" t="str">
        <x:v>Advance shipping</x:v>
      </x:c>
      <x:c r="G7977" s="6" t="n">
        <x:v>3</x:v>
      </x:c>
      <x:c r="H7977" s="6" t="n">
        <x:v>4</x:v>
      </x:c>
      <x:c r="I7977" s="6" t="n">
        <x:f>G7977-H7977</x:f>
        <x:v>-1</x:v>
      </x:c>
      <x:c r="J7977" s="6" t="n">
        <x:f>IF(OR(E7977="CANCELED",E7977="SUSPECTED_FRAUD",F7977="Shipping canceled"),0,1)</x:f>
        <x:v>1</x:v>
      </x:c>
      <x:c r="K7977" s="6" t="n">
        <x:f>IF(G7977&gt;H7977,1,0)</x:f>
        <x:v>0</x:v>
      </x:c>
      <x:c r="L7977" s="6" t="n">
        <x:f>J7977*K7977</x:f>
        <x:v>0</x:v>
      </x:c>
    </x:row>
    <x:row r="7978">
      <x:c r="A7978" s="1" t="n">
        <x:v>63999</x:v>
      </x:c>
      <x:c r="B7978" s="5" t="d">
        <x:v>2017-07-23T00:00:00.000Z</x:v>
      </x:c>
      <x:c r="C7978" s="1" t="str">
        <x:v>Standard Class</x:v>
      </x:c>
      <x:c r="D7978" s="1" t="str">
        <x:v>Europe</x:v>
      </x:c>
      <x:c r="E7978" s="1" t="str">
        <x:v>PROCESSING</x:v>
      </x:c>
      <x:c r="F7978" s="1" t="str">
        <x:v>Late delivery</x:v>
      </x:c>
      <x:c r="G7978" s="6" t="n">
        <x:v>5</x:v>
      </x:c>
      <x:c r="H7978" s="6" t="n">
        <x:v>4</x:v>
      </x:c>
      <x:c r="I7978" s="6" t="n">
        <x:f>G7978-H7978</x:f>
        <x:v>1</x:v>
      </x:c>
      <x:c r="J7978" s="6" t="n">
        <x:f>IF(OR(E7978="CANCELED",E7978="SUSPECTED_FRAUD",F7978="Shipping canceled"),0,1)</x:f>
        <x:v>1</x:v>
      </x:c>
      <x:c r="K7978" s="6" t="n">
        <x:f>IF(G7978&gt;H7978,1,0)</x:f>
        <x:v>1</x:v>
      </x:c>
      <x:c r="L7978" s="6" t="n">
        <x:f>J7978*K7978</x:f>
        <x:v>1</x:v>
      </x:c>
    </x:row>
    <x:row r="7979">
      <x:c r="A7979" s="1" t="n">
        <x:v>64011</x:v>
      </x:c>
      <x:c r="B7979" s="5" t="d">
        <x:v>2017-07-23T00:00:00.000Z</x:v>
      </x:c>
      <x:c r="C7979" s="1" t="str">
        <x:v>Standard Class</x:v>
      </x:c>
      <x:c r="D7979" s="1" t="str">
        <x:v>Europe</x:v>
      </x:c>
      <x:c r="E7979" s="1" t="str">
        <x:v>COMPLETE</x:v>
      </x:c>
      <x:c r="F7979" s="1" t="str">
        <x:v>Advance shipping</x:v>
      </x:c>
      <x:c r="G7979" s="6" t="n">
        <x:v>2</x:v>
      </x:c>
      <x:c r="H7979" s="6" t="n">
        <x:v>4</x:v>
      </x:c>
      <x:c r="I7979" s="6" t="n">
        <x:f>G7979-H7979</x:f>
        <x:v>-2</x:v>
      </x:c>
      <x:c r="J7979" s="6" t="n">
        <x:f>IF(OR(E7979="CANCELED",E7979="SUSPECTED_FRAUD",F7979="Shipping canceled"),0,1)</x:f>
        <x:v>1</x:v>
      </x:c>
      <x:c r="K7979" s="6" t="n">
        <x:f>IF(G7979&gt;H7979,1,0)</x:f>
        <x:v>0</x:v>
      </x:c>
      <x:c r="L7979" s="6" t="n">
        <x:f>J7979*K7979</x:f>
        <x:v>0</x:v>
      </x:c>
    </x:row>
    <x:row r="7980">
      <x:c r="A7980" s="1" t="n">
        <x:v>64037</x:v>
      </x:c>
      <x:c r="B7980" s="5" t="d">
        <x:v>2017-07-23T00:00:00.000Z</x:v>
      </x:c>
      <x:c r="C7980" s="1" t="str">
        <x:v>Standard Class</x:v>
      </x:c>
      <x:c r="D7980" s="1" t="str">
        <x:v>Europe</x:v>
      </x:c>
      <x:c r="E7980" s="1" t="str">
        <x:v>COMPLETE</x:v>
      </x:c>
      <x:c r="F7980" s="1" t="str">
        <x:v>Advance shipping</x:v>
      </x:c>
      <x:c r="G7980" s="6" t="n">
        <x:v>3</x:v>
      </x:c>
      <x:c r="H7980" s="6" t="n">
        <x:v>4</x:v>
      </x:c>
      <x:c r="I7980" s="6" t="n">
        <x:f>G7980-H7980</x:f>
        <x:v>-1</x:v>
      </x:c>
      <x:c r="J7980" s="6" t="n">
        <x:f>IF(OR(E7980="CANCELED",E7980="SUSPECTED_FRAUD",F7980="Shipping canceled"),0,1)</x:f>
        <x:v>1</x:v>
      </x:c>
      <x:c r="K7980" s="6" t="n">
        <x:f>IF(G7980&gt;H7980,1,0)</x:f>
        <x:v>0</x:v>
      </x:c>
      <x:c r="L7980" s="6" t="n">
        <x:f>J7980*K7980</x:f>
        <x:v>0</x:v>
      </x:c>
    </x:row>
    <x:row r="7981">
      <x:c r="A7981" s="1" t="n">
        <x:v>64050</x:v>
      </x:c>
      <x:c r="B7981" s="5" t="d">
        <x:v>2017-07-23T00:00:00.000Z</x:v>
      </x:c>
      <x:c r="C7981" s="1" t="str">
        <x:v>Same Day</x:v>
      </x:c>
      <x:c r="D7981" s="1" t="str">
        <x:v>Europe</x:v>
      </x:c>
      <x:c r="E7981" s="1" t="str">
        <x:v>CLOSED</x:v>
      </x:c>
      <x:c r="F7981" s="1" t="str">
        <x:v>Late delivery</x:v>
      </x:c>
      <x:c r="G7981" s="6" t="n">
        <x:v>1</x:v>
      </x:c>
      <x:c r="H7981" s="6" t="n">
        <x:v>0</x:v>
      </x:c>
      <x:c r="I7981" s="6" t="n">
        <x:f>G7981-H7981</x:f>
        <x:v>1</x:v>
      </x:c>
      <x:c r="J7981" s="6" t="n">
        <x:f>IF(OR(E7981="CANCELED",E7981="SUSPECTED_FRAUD",F7981="Shipping canceled"),0,1)</x:f>
        <x:v>1</x:v>
      </x:c>
      <x:c r="K7981" s="6" t="n">
        <x:f>IF(G7981&gt;H7981,1,0)</x:f>
        <x:v>1</x:v>
      </x:c>
      <x:c r="L7981" s="6" t="n">
        <x:f>J7981*K7981</x:f>
        <x:v>1</x:v>
      </x:c>
    </x:row>
    <x:row r="7982">
      <x:c r="A7982" s="1" t="n">
        <x:v>64053</x:v>
      </x:c>
      <x:c r="B7982" s="5" t="d">
        <x:v>2017-07-24T00:00:00.000Z</x:v>
      </x:c>
      <x:c r="C7982" s="1" t="str">
        <x:v>Standard Class</x:v>
      </x:c>
      <x:c r="D7982" s="1" t="str">
        <x:v>Europe</x:v>
      </x:c>
      <x:c r="E7982" s="1" t="str">
        <x:v>PENDING_PAYMENT</x:v>
      </x:c>
      <x:c r="F7982" s="1" t="str">
        <x:v>Shipping on time</x:v>
      </x:c>
      <x:c r="G7982" s="6" t="n">
        <x:v>4</x:v>
      </x:c>
      <x:c r="H7982" s="6" t="n">
        <x:v>4</x:v>
      </x:c>
      <x:c r="I7982" s="6" t="n">
        <x:f>G7982-H7982</x:f>
        <x:v>0</x:v>
      </x:c>
      <x:c r="J7982" s="6" t="n">
        <x:f>IF(OR(E7982="CANCELED",E7982="SUSPECTED_FRAUD",F7982="Shipping canceled"),0,1)</x:f>
        <x:v>1</x:v>
      </x:c>
      <x:c r="K7982" s="6" t="n">
        <x:f>IF(G7982&gt;H7982,1,0)</x:f>
        <x:v>0</x:v>
      </x:c>
      <x:c r="L7982" s="6" t="n">
        <x:f>J7982*K7982</x:f>
        <x:v>0</x:v>
      </x:c>
    </x:row>
    <x:row r="7983">
      <x:c r="A7983" s="1" t="n">
        <x:v>64054</x:v>
      </x:c>
      <x:c r="B7983" s="5" t="d">
        <x:v>2017-07-24T00:00:00.000Z</x:v>
      </x:c>
      <x:c r="C7983" s="1" t="str">
        <x:v>Standard Class</x:v>
      </x:c>
      <x:c r="D7983" s="1" t="str">
        <x:v>Europe</x:v>
      </x:c>
      <x:c r="E7983" s="1" t="str">
        <x:v>PROCESSING</x:v>
      </x:c>
      <x:c r="F7983" s="1" t="str">
        <x:v>Late delivery</x:v>
      </x:c>
      <x:c r="G7983" s="6" t="n">
        <x:v>5</x:v>
      </x:c>
      <x:c r="H7983" s="6" t="n">
        <x:v>4</x:v>
      </x:c>
      <x:c r="I7983" s="6" t="n">
        <x:f>G7983-H7983</x:f>
        <x:v>1</x:v>
      </x:c>
      <x:c r="J7983" s="6" t="n">
        <x:f>IF(OR(E7983="CANCELED",E7983="SUSPECTED_FRAUD",F7983="Shipping canceled"),0,1)</x:f>
        <x:v>1</x:v>
      </x:c>
      <x:c r="K7983" s="6" t="n">
        <x:f>IF(G7983&gt;H7983,1,0)</x:f>
        <x:v>1</x:v>
      </x:c>
      <x:c r="L7983" s="6" t="n">
        <x:f>J7983*K7983</x:f>
        <x:v>1</x:v>
      </x:c>
    </x:row>
    <x:row r="7984">
      <x:c r="A7984" s="1" t="n">
        <x:v>64057</x:v>
      </x:c>
      <x:c r="B7984" s="5" t="d">
        <x:v>2017-07-24T00:00:00.000Z</x:v>
      </x:c>
      <x:c r="C7984" s="1" t="str">
        <x:v>Standard Class</x:v>
      </x:c>
      <x:c r="D7984" s="1" t="str">
        <x:v>Europe</x:v>
      </x:c>
      <x:c r="E7984" s="1" t="str">
        <x:v>PROCESSING</x:v>
      </x:c>
      <x:c r="F7984" s="1" t="str">
        <x:v>Advance shipping</x:v>
      </x:c>
      <x:c r="G7984" s="6" t="n">
        <x:v>3</x:v>
      </x:c>
      <x:c r="H7984" s="6" t="n">
        <x:v>4</x:v>
      </x:c>
      <x:c r="I7984" s="6" t="n">
        <x:f>G7984-H7984</x:f>
        <x:v>-1</x:v>
      </x:c>
      <x:c r="J7984" s="6" t="n">
        <x:f>IF(OR(E7984="CANCELED",E7984="SUSPECTED_FRAUD",F7984="Shipping canceled"),0,1)</x:f>
        <x:v>1</x:v>
      </x:c>
      <x:c r="K7984" s="6" t="n">
        <x:f>IF(G7984&gt;H7984,1,0)</x:f>
        <x:v>0</x:v>
      </x:c>
      <x:c r="L7984" s="6" t="n">
        <x:f>J7984*K7984</x:f>
        <x:v>0</x:v>
      </x:c>
    </x:row>
    <x:row r="7985">
      <x:c r="A7985" s="1" t="n">
        <x:v>64065</x:v>
      </x:c>
      <x:c r="B7985" s="5" t="d">
        <x:v>2017-07-24T00:00:00.000Z</x:v>
      </x:c>
      <x:c r="C7985" s="1" t="str">
        <x:v>Standard Class</x:v>
      </x:c>
      <x:c r="D7985" s="1" t="str">
        <x:v>Europe</x:v>
      </x:c>
      <x:c r="E7985" s="1" t="str">
        <x:v>PROCESSING</x:v>
      </x:c>
      <x:c r="F7985" s="1" t="str">
        <x:v>Late delivery</x:v>
      </x:c>
      <x:c r="G7985" s="6" t="n">
        <x:v>6</x:v>
      </x:c>
      <x:c r="H7985" s="6" t="n">
        <x:v>4</x:v>
      </x:c>
      <x:c r="I7985" s="6" t="n">
        <x:f>G7985-H7985</x:f>
        <x:v>2</x:v>
      </x:c>
      <x:c r="J7985" s="6" t="n">
        <x:f>IF(OR(E7985="CANCELED",E7985="SUSPECTED_FRAUD",F7985="Shipping canceled"),0,1)</x:f>
        <x:v>1</x:v>
      </x:c>
      <x:c r="K7985" s="6" t="n">
        <x:f>IF(G7985&gt;H7985,1,0)</x:f>
        <x:v>1</x:v>
      </x:c>
      <x:c r="L7985" s="6" t="n">
        <x:f>J7985*K7985</x:f>
        <x:v>1</x:v>
      </x:c>
    </x:row>
    <x:row r="7986">
      <x:c r="A7986" s="1" t="n">
        <x:v>64066</x:v>
      </x:c>
      <x:c r="B7986" s="5" t="d">
        <x:v>2017-07-24T00:00:00.000Z</x:v>
      </x:c>
      <x:c r="C7986" s="1" t="str">
        <x:v>Standard Class</x:v>
      </x:c>
      <x:c r="D7986" s="1" t="str">
        <x:v>Europe</x:v>
      </x:c>
      <x:c r="E7986" s="1" t="str">
        <x:v>COMPLETE</x:v>
      </x:c>
      <x:c r="F7986" s="1" t="str">
        <x:v>Advance shipping</x:v>
      </x:c>
      <x:c r="G7986" s="6" t="n">
        <x:v>2</x:v>
      </x:c>
      <x:c r="H7986" s="6" t="n">
        <x:v>4</x:v>
      </x:c>
      <x:c r="I7986" s="6" t="n">
        <x:f>G7986-H7986</x:f>
        <x:v>-2</x:v>
      </x:c>
      <x:c r="J7986" s="6" t="n">
        <x:f>IF(OR(E7986="CANCELED",E7986="SUSPECTED_FRAUD",F7986="Shipping canceled"),0,1)</x:f>
        <x:v>1</x:v>
      </x:c>
      <x:c r="K7986" s="6" t="n">
        <x:f>IF(G7986&gt;H7986,1,0)</x:f>
        <x:v>0</x:v>
      </x:c>
      <x:c r="L7986" s="6" t="n">
        <x:f>J7986*K7986</x:f>
        <x:v>0</x:v>
      </x:c>
    </x:row>
    <x:row r="7987">
      <x:c r="A7987" s="1" t="n">
        <x:v>64068</x:v>
      </x:c>
      <x:c r="B7987" s="5" t="d">
        <x:v>2017-07-24T00:00:00.000Z</x:v>
      </x:c>
      <x:c r="C7987" s="1" t="str">
        <x:v>Standard Class</x:v>
      </x:c>
      <x:c r="D7987" s="1" t="str">
        <x:v>Europe</x:v>
      </x:c>
      <x:c r="E7987" s="1" t="str">
        <x:v>COMPLETE</x:v>
      </x:c>
      <x:c r="F7987" s="1" t="str">
        <x:v>Shipping on time</x:v>
      </x:c>
      <x:c r="G7987" s="6" t="n">
        <x:v>4</x:v>
      </x:c>
      <x:c r="H7987" s="6" t="n">
        <x:v>4</x:v>
      </x:c>
      <x:c r="I7987" s="6" t="n">
        <x:f>G7987-H7987</x:f>
        <x:v>0</x:v>
      </x:c>
      <x:c r="J7987" s="6" t="n">
        <x:f>IF(OR(E7987="CANCELED",E7987="SUSPECTED_FRAUD",F7987="Shipping canceled"),0,1)</x:f>
        <x:v>1</x:v>
      </x:c>
      <x:c r="K7987" s="6" t="n">
        <x:f>IF(G7987&gt;H7987,1,0)</x:f>
        <x:v>0</x:v>
      </x:c>
      <x:c r="L7987" s="6" t="n">
        <x:f>J7987*K7987</x:f>
        <x:v>0</x:v>
      </x:c>
    </x:row>
    <x:row r="7988">
      <x:c r="A7988" s="1" t="n">
        <x:v>64076</x:v>
      </x:c>
      <x:c r="B7988" s="5" t="d">
        <x:v>2017-07-24T00:00:00.000Z</x:v>
      </x:c>
      <x:c r="C7988" s="1" t="str">
        <x:v>Standard Class</x:v>
      </x:c>
      <x:c r="D7988" s="1" t="str">
        <x:v>Europe</x:v>
      </x:c>
      <x:c r="E7988" s="1" t="str">
        <x:v>COMPLETE</x:v>
      </x:c>
      <x:c r="F7988" s="1" t="str">
        <x:v>Advance shipping</x:v>
      </x:c>
      <x:c r="G7988" s="6" t="n">
        <x:v>2</x:v>
      </x:c>
      <x:c r="H7988" s="6" t="n">
        <x:v>4</x:v>
      </x:c>
      <x:c r="I7988" s="6" t="n">
        <x:f>G7988-H7988</x:f>
        <x:v>-2</x:v>
      </x:c>
      <x:c r="J7988" s="6" t="n">
        <x:f>IF(OR(E7988="CANCELED",E7988="SUSPECTED_FRAUD",F7988="Shipping canceled"),0,1)</x:f>
        <x:v>1</x:v>
      </x:c>
      <x:c r="K7988" s="6" t="n">
        <x:f>IF(G7988&gt;H7988,1,0)</x:f>
        <x:v>0</x:v>
      </x:c>
      <x:c r="L7988" s="6" t="n">
        <x:f>J7988*K7988</x:f>
        <x:v>0</x:v>
      </x:c>
    </x:row>
    <x:row r="7989">
      <x:c r="A7989" s="1" t="n">
        <x:v>64091</x:v>
      </x:c>
      <x:c r="B7989" s="5" t="d">
        <x:v>2017-07-24T00:00:00.000Z</x:v>
      </x:c>
      <x:c r="C7989" s="1" t="str">
        <x:v>Standard Class</x:v>
      </x:c>
      <x:c r="D7989" s="1" t="str">
        <x:v>Europe</x:v>
      </x:c>
      <x:c r="E7989" s="1" t="str">
        <x:v>ON_HOLD</x:v>
      </x:c>
      <x:c r="F7989" s="1" t="str">
        <x:v>Advance shipping</x:v>
      </x:c>
      <x:c r="G7989" s="6" t="n">
        <x:v>2</x:v>
      </x:c>
      <x:c r="H7989" s="6" t="n">
        <x:v>4</x:v>
      </x:c>
      <x:c r="I7989" s="6" t="n">
        <x:f>G7989-H7989</x:f>
        <x:v>-2</x:v>
      </x:c>
      <x:c r="J7989" s="6" t="n">
        <x:f>IF(OR(E7989="CANCELED",E7989="SUSPECTED_FRAUD",F7989="Shipping canceled"),0,1)</x:f>
        <x:v>1</x:v>
      </x:c>
      <x:c r="K7989" s="6" t="n">
        <x:f>IF(G7989&gt;H7989,1,0)</x:f>
        <x:v>0</x:v>
      </x:c>
      <x:c r="L7989" s="6" t="n">
        <x:f>J7989*K7989</x:f>
        <x:v>0</x:v>
      </x:c>
    </x:row>
    <x:row r="7990">
      <x:c r="A7990" s="1" t="n">
        <x:v>64099</x:v>
      </x:c>
      <x:c r="B7990" s="5" t="d">
        <x:v>2017-07-24T00:00:00.000Z</x:v>
      </x:c>
      <x:c r="C7990" s="1" t="str">
        <x:v>Second Class</x:v>
      </x:c>
      <x:c r="D7990" s="1" t="str">
        <x:v>Europe</x:v>
      </x:c>
      <x:c r="E7990" s="1" t="str">
        <x:v>ON_HOLD</x:v>
      </x:c>
      <x:c r="F7990" s="1" t="str">
        <x:v>Late delivery</x:v>
      </x:c>
      <x:c r="G7990" s="6" t="n">
        <x:v>5</x:v>
      </x:c>
      <x:c r="H7990" s="6" t="n">
        <x:v>2</x:v>
      </x:c>
      <x:c r="I7990" s="6" t="n">
        <x:f>G7990-H7990</x:f>
        <x:v>3</x:v>
      </x:c>
      <x:c r="J7990" s="6" t="n">
        <x:f>IF(OR(E7990="CANCELED",E7990="SUSPECTED_FRAUD",F7990="Shipping canceled"),0,1)</x:f>
        <x:v>1</x:v>
      </x:c>
      <x:c r="K7990" s="6" t="n">
        <x:f>IF(G7990&gt;H7990,1,0)</x:f>
        <x:v>1</x:v>
      </x:c>
      <x:c r="L7990" s="6" t="n">
        <x:f>J7990*K7990</x:f>
        <x:v>1</x:v>
      </x:c>
    </x:row>
    <x:row r="7991">
      <x:c r="A7991" s="1" t="n">
        <x:v>64101</x:v>
      </x:c>
      <x:c r="B7991" s="5" t="d">
        <x:v>2017-07-24T00:00:00.000Z</x:v>
      </x:c>
      <x:c r="C7991" s="1" t="str">
        <x:v>Standard Class</x:v>
      </x:c>
      <x:c r="D7991" s="1" t="str">
        <x:v>Europe</x:v>
      </x:c>
      <x:c r="E7991" s="1" t="str">
        <x:v>COMPLETE</x:v>
      </x:c>
      <x:c r="F7991" s="1" t="str">
        <x:v>Advance shipping</x:v>
      </x:c>
      <x:c r="G7991" s="6" t="n">
        <x:v>2</x:v>
      </x:c>
      <x:c r="H7991" s="6" t="n">
        <x:v>4</x:v>
      </x:c>
      <x:c r="I7991" s="6" t="n">
        <x:f>G7991-H7991</x:f>
        <x:v>-2</x:v>
      </x:c>
      <x:c r="J7991" s="6" t="n">
        <x:f>IF(OR(E7991="CANCELED",E7991="SUSPECTED_FRAUD",F7991="Shipping canceled"),0,1)</x:f>
        <x:v>1</x:v>
      </x:c>
      <x:c r="K7991" s="6" t="n">
        <x:f>IF(G7991&gt;H7991,1,0)</x:f>
        <x:v>0</x:v>
      </x:c>
      <x:c r="L7991" s="6" t="n">
        <x:f>J7991*K7991</x:f>
        <x:v>0</x:v>
      </x:c>
    </x:row>
    <x:row r="7992">
      <x:c r="A7992" s="1" t="n">
        <x:v>64118</x:v>
      </x:c>
      <x:c r="B7992" s="5" t="d">
        <x:v>2017-07-24T00:00:00.000Z</x:v>
      </x:c>
      <x:c r="C7992" s="1" t="str">
        <x:v>First Class</x:v>
      </x:c>
      <x:c r="D7992" s="1" t="str">
        <x:v>Europe</x:v>
      </x:c>
      <x:c r="E7992" s="1" t="str">
        <x:v>PENDING_PAYMENT</x:v>
      </x:c>
      <x:c r="F7992" s="1" t="str">
        <x:v>Late delivery</x:v>
      </x:c>
      <x:c r="G7992" s="6" t="n">
        <x:v>2</x:v>
      </x:c>
      <x:c r="H7992" s="6" t="n">
        <x:v>1</x:v>
      </x:c>
      <x:c r="I7992" s="6" t="n">
        <x:f>G7992-H7992</x:f>
        <x:v>1</x:v>
      </x:c>
      <x:c r="J7992" s="6" t="n">
        <x:f>IF(OR(E7992="CANCELED",E7992="SUSPECTED_FRAUD",F7992="Shipping canceled"),0,1)</x:f>
        <x:v>1</x:v>
      </x:c>
      <x:c r="K7992" s="6" t="n">
        <x:f>IF(G7992&gt;H7992,1,0)</x:f>
        <x:v>1</x:v>
      </x:c>
      <x:c r="L7992" s="6" t="n">
        <x:f>J7992*K7992</x:f>
        <x:v>1</x:v>
      </x:c>
    </x:row>
    <x:row r="7993">
      <x:c r="A7993" s="1" t="n">
        <x:v>64126</x:v>
      </x:c>
      <x:c r="B7993" s="5" t="d">
        <x:v>2017-07-25T00:00:00.000Z</x:v>
      </x:c>
      <x:c r="C7993" s="1" t="str">
        <x:v>Same Day</x:v>
      </x:c>
      <x:c r="D7993" s="1" t="str">
        <x:v>Europe</x:v>
      </x:c>
      <x:c r="E7993" s="1" t="str">
        <x:v>PENDING</x:v>
      </x:c>
      <x:c r="F7993" s="1" t="str">
        <x:v>Shipping on time</x:v>
      </x:c>
      <x:c r="G7993" s="6" t="n">
        <x:v>0</x:v>
      </x:c>
      <x:c r="H7993" s="6" t="n">
        <x:v>0</x:v>
      </x:c>
      <x:c r="I7993" s="6" t="n">
        <x:f>G7993-H7993</x:f>
        <x:v>0</x:v>
      </x:c>
      <x:c r="J7993" s="6" t="n">
        <x:f>IF(OR(E7993="CANCELED",E7993="SUSPECTED_FRAUD",F7993="Shipping canceled"),0,1)</x:f>
        <x:v>1</x:v>
      </x:c>
      <x:c r="K7993" s="6" t="n">
        <x:f>IF(G7993&gt;H7993,1,0)</x:f>
        <x:v>0</x:v>
      </x:c>
      <x:c r="L7993" s="6" t="n">
        <x:f>J7993*K7993</x:f>
        <x:v>0</x:v>
      </x:c>
    </x:row>
    <x:row r="7994">
      <x:c r="A7994" s="1" t="n">
        <x:v>64136</x:v>
      </x:c>
      <x:c r="B7994" s="5" t="d">
        <x:v>2017-07-25T00:00:00.000Z</x:v>
      </x:c>
      <x:c r="C7994" s="1" t="str">
        <x:v>Second Class</x:v>
      </x:c>
      <x:c r="D7994" s="1" t="str">
        <x:v>Europe</x:v>
      </x:c>
      <x:c r="E7994" s="1" t="str">
        <x:v>COMPLETE</x:v>
      </x:c>
      <x:c r="F7994" s="1" t="str">
        <x:v>Shipping on time</x:v>
      </x:c>
      <x:c r="G7994" s="6" t="n">
        <x:v>2</x:v>
      </x:c>
      <x:c r="H7994" s="6" t="n">
        <x:v>2</x:v>
      </x:c>
      <x:c r="I7994" s="6" t="n">
        <x:f>G7994-H7994</x:f>
        <x:v>0</x:v>
      </x:c>
      <x:c r="J7994" s="6" t="n">
        <x:f>IF(OR(E7994="CANCELED",E7994="SUSPECTED_FRAUD",F7994="Shipping canceled"),0,1)</x:f>
        <x:v>1</x:v>
      </x:c>
      <x:c r="K7994" s="6" t="n">
        <x:f>IF(G7994&gt;H7994,1,0)</x:f>
        <x:v>0</x:v>
      </x:c>
      <x:c r="L7994" s="6" t="n">
        <x:f>J7994*K7994</x:f>
        <x:v>0</x:v>
      </x:c>
    </x:row>
    <x:row r="7995">
      <x:c r="A7995" s="1" t="n">
        <x:v>64145</x:v>
      </x:c>
      <x:c r="B7995" s="5" t="d">
        <x:v>2017-07-25T00:00:00.000Z</x:v>
      </x:c>
      <x:c r="C7995" s="1" t="str">
        <x:v>Standard Class</x:v>
      </x:c>
      <x:c r="D7995" s="1" t="str">
        <x:v>Europe</x:v>
      </x:c>
      <x:c r="E7995" s="1" t="str">
        <x:v>PROCESSING</x:v>
      </x:c>
      <x:c r="F7995" s="1" t="str">
        <x:v>Late delivery</x:v>
      </x:c>
      <x:c r="G7995" s="6" t="n">
        <x:v>6</x:v>
      </x:c>
      <x:c r="H7995" s="6" t="n">
        <x:v>4</x:v>
      </x:c>
      <x:c r="I7995" s="6" t="n">
        <x:f>G7995-H7995</x:f>
        <x:v>2</x:v>
      </x:c>
      <x:c r="J7995" s="6" t="n">
        <x:f>IF(OR(E7995="CANCELED",E7995="SUSPECTED_FRAUD",F7995="Shipping canceled"),0,1)</x:f>
        <x:v>1</x:v>
      </x:c>
      <x:c r="K7995" s="6" t="n">
        <x:f>IF(G7995&gt;H7995,1,0)</x:f>
        <x:v>1</x:v>
      </x:c>
      <x:c r="L7995" s="6" t="n">
        <x:f>J7995*K7995</x:f>
        <x:v>1</x:v>
      </x:c>
    </x:row>
    <x:row r="7996">
      <x:c r="A7996" s="1" t="n">
        <x:v>64150</x:v>
      </x:c>
      <x:c r="B7996" s="5" t="d">
        <x:v>2017-07-25T00:00:00.000Z</x:v>
      </x:c>
      <x:c r="C7996" s="1" t="str">
        <x:v>Standard Class</x:v>
      </x:c>
      <x:c r="D7996" s="1" t="str">
        <x:v>Europe</x:v>
      </x:c>
      <x:c r="E7996" s="1" t="str">
        <x:v>COMPLETE</x:v>
      </x:c>
      <x:c r="F7996" s="1" t="str">
        <x:v>Late delivery</x:v>
      </x:c>
      <x:c r="G7996" s="6" t="n">
        <x:v>6</x:v>
      </x:c>
      <x:c r="H7996" s="6" t="n">
        <x:v>4</x:v>
      </x:c>
      <x:c r="I7996" s="6" t="n">
        <x:f>G7996-H7996</x:f>
        <x:v>2</x:v>
      </x:c>
      <x:c r="J7996" s="6" t="n">
        <x:f>IF(OR(E7996="CANCELED",E7996="SUSPECTED_FRAUD",F7996="Shipping canceled"),0,1)</x:f>
        <x:v>1</x:v>
      </x:c>
      <x:c r="K7996" s="6" t="n">
        <x:f>IF(G7996&gt;H7996,1,0)</x:f>
        <x:v>1</x:v>
      </x:c>
      <x:c r="L7996" s="6" t="n">
        <x:f>J7996*K7996</x:f>
        <x:v>1</x:v>
      </x:c>
    </x:row>
    <x:row r="7997">
      <x:c r="A7997" s="1" t="n">
        <x:v>64163</x:v>
      </x:c>
      <x:c r="B7997" s="5" t="d">
        <x:v>2017-07-25T00:00:00.000Z</x:v>
      </x:c>
      <x:c r="C7997" s="1" t="str">
        <x:v>Second Class</x:v>
      </x:c>
      <x:c r="D7997" s="1" t="str">
        <x:v>Europe</x:v>
      </x:c>
      <x:c r="E7997" s="1" t="str">
        <x:v>ON_HOLD</x:v>
      </x:c>
      <x:c r="F7997" s="1" t="str">
        <x:v>Late delivery</x:v>
      </x:c>
      <x:c r="G7997" s="6" t="n">
        <x:v>4</x:v>
      </x:c>
      <x:c r="H7997" s="6" t="n">
        <x:v>2</x:v>
      </x:c>
      <x:c r="I7997" s="6" t="n">
        <x:f>G7997-H7997</x:f>
        <x:v>2</x:v>
      </x:c>
      <x:c r="J7997" s="6" t="n">
        <x:f>IF(OR(E7997="CANCELED",E7997="SUSPECTED_FRAUD",F7997="Shipping canceled"),0,1)</x:f>
        <x:v>1</x:v>
      </x:c>
      <x:c r="K7997" s="6" t="n">
        <x:f>IF(G7997&gt;H7997,1,0)</x:f>
        <x:v>1</x:v>
      </x:c>
      <x:c r="L7997" s="6" t="n">
        <x:f>J7997*K7997</x:f>
        <x:v>1</x:v>
      </x:c>
    </x:row>
    <x:row r="7998">
      <x:c r="A7998" s="1" t="n">
        <x:v>64172</x:v>
      </x:c>
      <x:c r="B7998" s="5" t="d">
        <x:v>2017-07-25T00:00:00.000Z</x:v>
      </x:c>
      <x:c r="C7998" s="1" t="str">
        <x:v>First Class</x:v>
      </x:c>
      <x:c r="D7998" s="1" t="str">
        <x:v>Europe</x:v>
      </x:c>
      <x:c r="E7998" s="1" t="str">
        <x:v>PROCESSING</x:v>
      </x:c>
      <x:c r="F7998" s="1" t="str">
        <x:v>Late delivery</x:v>
      </x:c>
      <x:c r="G7998" s="6" t="n">
        <x:v>2</x:v>
      </x:c>
      <x:c r="H7998" s="6" t="n">
        <x:v>1</x:v>
      </x:c>
      <x:c r="I7998" s="6" t="n">
        <x:f>G7998-H7998</x:f>
        <x:v>1</x:v>
      </x:c>
      <x:c r="J7998" s="6" t="n">
        <x:f>IF(OR(E7998="CANCELED",E7998="SUSPECTED_FRAUD",F7998="Shipping canceled"),0,1)</x:f>
        <x:v>1</x:v>
      </x:c>
      <x:c r="K7998" s="6" t="n">
        <x:f>IF(G7998&gt;H7998,1,0)</x:f>
        <x:v>1</x:v>
      </x:c>
      <x:c r="L7998" s="6" t="n">
        <x:f>J7998*K7998</x:f>
        <x:v>1</x:v>
      </x:c>
    </x:row>
    <x:row r="7999">
      <x:c r="A7999" s="1" t="n">
        <x:v>64182</x:v>
      </x:c>
      <x:c r="B7999" s="5" t="d">
        <x:v>2017-07-25T00:00:00.000Z</x:v>
      </x:c>
      <x:c r="C7999" s="1" t="str">
        <x:v>Standard Class</x:v>
      </x:c>
      <x:c r="D7999" s="1" t="str">
        <x:v>Europe</x:v>
      </x:c>
      <x:c r="E7999" s="1" t="str">
        <x:v>COMPLETE</x:v>
      </x:c>
      <x:c r="F7999" s="1" t="str">
        <x:v>Advance shipping</x:v>
      </x:c>
      <x:c r="G7999" s="6" t="n">
        <x:v>3</x:v>
      </x:c>
      <x:c r="H7999" s="6" t="n">
        <x:v>4</x:v>
      </x:c>
      <x:c r="I7999" s="6" t="n">
        <x:f>G7999-H7999</x:f>
        <x:v>-1</x:v>
      </x:c>
      <x:c r="J7999" s="6" t="n">
        <x:f>IF(OR(E7999="CANCELED",E7999="SUSPECTED_FRAUD",F7999="Shipping canceled"),0,1)</x:f>
        <x:v>1</x:v>
      </x:c>
      <x:c r="K7999" s="6" t="n">
        <x:f>IF(G7999&gt;H7999,1,0)</x:f>
        <x:v>0</x:v>
      </x:c>
      <x:c r="L7999" s="6" t="n">
        <x:f>J7999*K7999</x:f>
        <x:v>0</x:v>
      </x:c>
    </x:row>
    <x:row r="8000">
      <x:c r="A8000" s="1" t="n">
        <x:v>64188</x:v>
      </x:c>
      <x:c r="B8000" s="5" t="d">
        <x:v>2017-07-25T00:00:00.000Z</x:v>
      </x:c>
      <x:c r="C8000" s="1" t="str">
        <x:v>First Class</x:v>
      </x:c>
      <x:c r="D8000" s="1" t="str">
        <x:v>Europe</x:v>
      </x:c>
      <x:c r="E8000" s="1" t="str">
        <x:v>PENDING_PAYMENT</x:v>
      </x:c>
      <x:c r="F8000" s="1" t="str">
        <x:v>Late delivery</x:v>
      </x:c>
      <x:c r="G8000" s="6" t="n">
        <x:v>2</x:v>
      </x:c>
      <x:c r="H8000" s="6" t="n">
        <x:v>1</x:v>
      </x:c>
      <x:c r="I8000" s="6" t="n">
        <x:f>G8000-H8000</x:f>
        <x:v>1</x:v>
      </x:c>
      <x:c r="J8000" s="6" t="n">
        <x:f>IF(OR(E8000="CANCELED",E8000="SUSPECTED_FRAUD",F8000="Shipping canceled"),0,1)</x:f>
        <x:v>1</x:v>
      </x:c>
      <x:c r="K8000" s="6" t="n">
        <x:f>IF(G8000&gt;H8000,1,0)</x:f>
        <x:v>1</x:v>
      </x:c>
      <x:c r="L8000" s="6" t="n">
        <x:f>J8000*K8000</x:f>
        <x:v>1</x:v>
      </x:c>
    </x:row>
    <x:row r="8001">
      <x:c r="A8001" s="1" t="n">
        <x:v>64189</x:v>
      </x:c>
      <x:c r="B8001" s="5" t="d">
        <x:v>2017-07-25T00:00:00.000Z</x:v>
      </x:c>
      <x:c r="C8001" s="1" t="str">
        <x:v>First Class</x:v>
      </x:c>
      <x:c r="D8001" s="1" t="str">
        <x:v>Europe</x:v>
      </x:c>
      <x:c r="E8001" s="1" t="str">
        <x:v>CLOSED</x:v>
      </x:c>
      <x:c r="F8001" s="1" t="str">
        <x:v>Late delivery</x:v>
      </x:c>
      <x:c r="G8001" s="6" t="n">
        <x:v>2</x:v>
      </x:c>
      <x:c r="H8001" s="6" t="n">
        <x:v>1</x:v>
      </x:c>
      <x:c r="I8001" s="6" t="n">
        <x:f>G8001-H8001</x:f>
        <x:v>1</x:v>
      </x:c>
      <x:c r="J8001" s="6" t="n">
        <x:f>IF(OR(E8001="CANCELED",E8001="SUSPECTED_FRAUD",F8001="Shipping canceled"),0,1)</x:f>
        <x:v>1</x:v>
      </x:c>
      <x:c r="K8001" s="6" t="n">
        <x:f>IF(G8001&gt;H8001,1,0)</x:f>
        <x:v>1</x:v>
      </x:c>
      <x:c r="L8001" s="6" t="n">
        <x:f>J8001*K8001</x:f>
        <x:v>1</x:v>
      </x:c>
    </x:row>
    <x:row r="8002">
      <x:c r="A8002" s="1" t="n">
        <x:v>64204</x:v>
      </x:c>
      <x:c r="B8002" s="5" t="d">
        <x:v>2017-07-26T00:00:00.000Z</x:v>
      </x:c>
      <x:c r="C8002" s="1" t="str">
        <x:v>Second Class</x:v>
      </x:c>
      <x:c r="D8002" s="1" t="str">
        <x:v>Europe</x:v>
      </x:c>
      <x:c r="E8002" s="1" t="str">
        <x:v>CLOSED</x:v>
      </x:c>
      <x:c r="F8002" s="1" t="str">
        <x:v>Late delivery</x:v>
      </x:c>
      <x:c r="G8002" s="6" t="n">
        <x:v>5</x:v>
      </x:c>
      <x:c r="H8002" s="6" t="n">
        <x:v>2</x:v>
      </x:c>
      <x:c r="I8002" s="6" t="n">
        <x:f>G8002-H8002</x:f>
        <x:v>3</x:v>
      </x:c>
      <x:c r="J8002" s="6" t="n">
        <x:f>IF(OR(E8002="CANCELED",E8002="SUSPECTED_FRAUD",F8002="Shipping canceled"),0,1)</x:f>
        <x:v>1</x:v>
      </x:c>
      <x:c r="K8002" s="6" t="n">
        <x:f>IF(G8002&gt;H8002,1,0)</x:f>
        <x:v>1</x:v>
      </x:c>
      <x:c r="L8002" s="6" t="n">
        <x:f>J8002*K8002</x:f>
        <x:v>1</x:v>
      </x:c>
    </x:row>
    <x:row r="8003">
      <x:c r="A8003" s="1" t="n">
        <x:v>64205</x:v>
      </x:c>
      <x:c r="B8003" s="5" t="d">
        <x:v>2017-07-26T00:00:00.000Z</x:v>
      </x:c>
      <x:c r="C8003" s="1" t="str">
        <x:v>Standard Class</x:v>
      </x:c>
      <x:c r="D8003" s="1" t="str">
        <x:v>Europe</x:v>
      </x:c>
      <x:c r="E8003" s="1" t="str">
        <x:v>PENDING</x:v>
      </x:c>
      <x:c r="F8003" s="1" t="str">
        <x:v>Late delivery</x:v>
      </x:c>
      <x:c r="G8003" s="6" t="n">
        <x:v>6</x:v>
      </x:c>
      <x:c r="H8003" s="6" t="n">
        <x:v>4</x:v>
      </x:c>
      <x:c r="I8003" s="6" t="n">
        <x:f>G8003-H8003</x:f>
        <x:v>2</x:v>
      </x:c>
      <x:c r="J8003" s="6" t="n">
        <x:f>IF(OR(E8003="CANCELED",E8003="SUSPECTED_FRAUD",F8003="Shipping canceled"),0,1)</x:f>
        <x:v>1</x:v>
      </x:c>
      <x:c r="K8003" s="6" t="n">
        <x:f>IF(G8003&gt;H8003,1,0)</x:f>
        <x:v>1</x:v>
      </x:c>
      <x:c r="L8003" s="6" t="n">
        <x:f>J8003*K8003</x:f>
        <x:v>1</x:v>
      </x:c>
    </x:row>
    <x:row r="8004">
      <x:c r="A8004" s="1" t="n">
        <x:v>64211</x:v>
      </x:c>
      <x:c r="B8004" s="5" t="d">
        <x:v>2017-07-26T00:00:00.000Z</x:v>
      </x:c>
      <x:c r="C8004" s="1" t="str">
        <x:v>Standard Class</x:v>
      </x:c>
      <x:c r="D8004" s="1" t="str">
        <x:v>Europe</x:v>
      </x:c>
      <x:c r="E8004" s="1" t="str">
        <x:v>SUSPECTED_FRAUD</x:v>
      </x:c>
      <x:c r="F8004" s="1" t="str">
        <x:v>Shipping canceled</x:v>
      </x:c>
      <x:c r="G8004" s="6" t="n">
        <x:v>2</x:v>
      </x:c>
      <x:c r="H8004" s="6" t="n">
        <x:v>4</x:v>
      </x:c>
      <x:c r="I8004" s="6" t="n">
        <x:f>G8004-H8004</x:f>
        <x:v>-2</x:v>
      </x:c>
      <x:c r="J8004" s="6" t="n">
        <x:f>IF(OR(E8004="CANCELED",E8004="SUSPECTED_FRAUD",F8004="Shipping canceled"),0,1)</x:f>
        <x:v>0</x:v>
      </x:c>
      <x:c r="K8004" s="6" t="n">
        <x:f>IF(G8004&gt;H8004,1,0)</x:f>
        <x:v>0</x:v>
      </x:c>
      <x:c r="L8004" s="6" t="n">
        <x:f>J8004*K8004</x:f>
        <x:v>0</x:v>
      </x:c>
    </x:row>
    <x:row r="8005">
      <x:c r="A8005" s="1" t="n">
        <x:v>64219</x:v>
      </x:c>
      <x:c r="B8005" s="5" t="d">
        <x:v>2017-07-26T00:00:00.000Z</x:v>
      </x:c>
      <x:c r="C8005" s="1" t="str">
        <x:v>Standard Class</x:v>
      </x:c>
      <x:c r="D8005" s="1" t="str">
        <x:v>Europe</x:v>
      </x:c>
      <x:c r="E8005" s="1" t="str">
        <x:v>PROCESSING</x:v>
      </x:c>
      <x:c r="F8005" s="1" t="str">
        <x:v>Late delivery</x:v>
      </x:c>
      <x:c r="G8005" s="6" t="n">
        <x:v>5</x:v>
      </x:c>
      <x:c r="H8005" s="6" t="n">
        <x:v>4</x:v>
      </x:c>
      <x:c r="I8005" s="6" t="n">
        <x:f>G8005-H8005</x:f>
        <x:v>1</x:v>
      </x:c>
      <x:c r="J8005" s="6" t="n">
        <x:f>IF(OR(E8005="CANCELED",E8005="SUSPECTED_FRAUD",F8005="Shipping canceled"),0,1)</x:f>
        <x:v>1</x:v>
      </x:c>
      <x:c r="K8005" s="6" t="n">
        <x:f>IF(G8005&gt;H8005,1,0)</x:f>
        <x:v>1</x:v>
      </x:c>
      <x:c r="L8005" s="6" t="n">
        <x:f>J8005*K8005</x:f>
        <x:v>1</x:v>
      </x:c>
    </x:row>
    <x:row r="8006">
      <x:c r="A8006" s="1" t="n">
        <x:v>64222</x:v>
      </x:c>
      <x:c r="B8006" s="5" t="d">
        <x:v>2017-07-26T00:00:00.000Z</x:v>
      </x:c>
      <x:c r="C8006" s="1" t="str">
        <x:v>Standard Class</x:v>
      </x:c>
      <x:c r="D8006" s="1" t="str">
        <x:v>Europe</x:v>
      </x:c>
      <x:c r="E8006" s="1" t="str">
        <x:v>PENDING</x:v>
      </x:c>
      <x:c r="F8006" s="1" t="str">
        <x:v>Advance shipping</x:v>
      </x:c>
      <x:c r="G8006" s="6" t="n">
        <x:v>3</x:v>
      </x:c>
      <x:c r="H8006" s="6" t="n">
        <x:v>4</x:v>
      </x:c>
      <x:c r="I8006" s="6" t="n">
        <x:f>G8006-H8006</x:f>
        <x:v>-1</x:v>
      </x:c>
      <x:c r="J8006" s="6" t="n">
        <x:f>IF(OR(E8006="CANCELED",E8006="SUSPECTED_FRAUD",F8006="Shipping canceled"),0,1)</x:f>
        <x:v>1</x:v>
      </x:c>
      <x:c r="K8006" s="6" t="n">
        <x:f>IF(G8006&gt;H8006,1,0)</x:f>
        <x:v>0</x:v>
      </x:c>
      <x:c r="L8006" s="6" t="n">
        <x:f>J8006*K8006</x:f>
        <x:v>0</x:v>
      </x:c>
    </x:row>
    <x:row r="8007">
      <x:c r="A8007" s="1" t="n">
        <x:v>64226</x:v>
      </x:c>
      <x:c r="B8007" s="5" t="d">
        <x:v>2017-07-26T00:00:00.000Z</x:v>
      </x:c>
      <x:c r="C8007" s="1" t="str">
        <x:v>Standard Class</x:v>
      </x:c>
      <x:c r="D8007" s="1" t="str">
        <x:v>Europe</x:v>
      </x:c>
      <x:c r="E8007" s="1" t="str">
        <x:v>CLOSED</x:v>
      </x:c>
      <x:c r="F8007" s="1" t="str">
        <x:v>Advance shipping</x:v>
      </x:c>
      <x:c r="G8007" s="6" t="n">
        <x:v>2</x:v>
      </x:c>
      <x:c r="H8007" s="6" t="n">
        <x:v>4</x:v>
      </x:c>
      <x:c r="I8007" s="6" t="n">
        <x:f>G8007-H8007</x:f>
        <x:v>-2</x:v>
      </x:c>
      <x:c r="J8007" s="6" t="n">
        <x:f>IF(OR(E8007="CANCELED",E8007="SUSPECTED_FRAUD",F8007="Shipping canceled"),0,1)</x:f>
        <x:v>1</x:v>
      </x:c>
      <x:c r="K8007" s="6" t="n">
        <x:f>IF(G8007&gt;H8007,1,0)</x:f>
        <x:v>0</x:v>
      </x:c>
      <x:c r="L8007" s="6" t="n">
        <x:f>J8007*K8007</x:f>
        <x:v>0</x:v>
      </x:c>
    </x:row>
    <x:row r="8008">
      <x:c r="A8008" s="1" t="n">
        <x:v>64229</x:v>
      </x:c>
      <x:c r="B8008" s="5" t="d">
        <x:v>2017-07-26T00:00:00.000Z</x:v>
      </x:c>
      <x:c r="C8008" s="1" t="str">
        <x:v>Standard Class</x:v>
      </x:c>
      <x:c r="D8008" s="1" t="str">
        <x:v>Europe</x:v>
      </x:c>
      <x:c r="E8008" s="1" t="str">
        <x:v>COMPLETE</x:v>
      </x:c>
      <x:c r="F8008" s="1" t="str">
        <x:v>Late delivery</x:v>
      </x:c>
      <x:c r="G8008" s="6" t="n">
        <x:v>5</x:v>
      </x:c>
      <x:c r="H8008" s="6" t="n">
        <x:v>4</x:v>
      </x:c>
      <x:c r="I8008" s="6" t="n">
        <x:f>G8008-H8008</x:f>
        <x:v>1</x:v>
      </x:c>
      <x:c r="J8008" s="6" t="n">
        <x:f>IF(OR(E8008="CANCELED",E8008="SUSPECTED_FRAUD",F8008="Shipping canceled"),0,1)</x:f>
        <x:v>1</x:v>
      </x:c>
      <x:c r="K8008" s="6" t="n">
        <x:f>IF(G8008&gt;H8008,1,0)</x:f>
        <x:v>1</x:v>
      </x:c>
      <x:c r="L8008" s="6" t="n">
        <x:f>J8008*K8008</x:f>
        <x:v>1</x:v>
      </x:c>
    </x:row>
    <x:row r="8009">
      <x:c r="A8009" s="1" t="n">
        <x:v>64265</x:v>
      </x:c>
      <x:c r="B8009" s="5" t="d">
        <x:v>2017-07-27T00:00:00.000Z</x:v>
      </x:c>
      <x:c r="C8009" s="1" t="str">
        <x:v>Standard Class</x:v>
      </x:c>
      <x:c r="D8009" s="1" t="str">
        <x:v>Europe</x:v>
      </x:c>
      <x:c r="E8009" s="1" t="str">
        <x:v>COMPLETE</x:v>
      </x:c>
      <x:c r="F8009" s="1" t="str">
        <x:v>Late delivery</x:v>
      </x:c>
      <x:c r="G8009" s="6" t="n">
        <x:v>6</x:v>
      </x:c>
      <x:c r="H8009" s="6" t="n">
        <x:v>4</x:v>
      </x:c>
      <x:c r="I8009" s="6" t="n">
        <x:f>G8009-H8009</x:f>
        <x:v>2</x:v>
      </x:c>
      <x:c r="J8009" s="6" t="n">
        <x:f>IF(OR(E8009="CANCELED",E8009="SUSPECTED_FRAUD",F8009="Shipping canceled"),0,1)</x:f>
        <x:v>1</x:v>
      </x:c>
      <x:c r="K8009" s="6" t="n">
        <x:f>IF(G8009&gt;H8009,1,0)</x:f>
        <x:v>1</x:v>
      </x:c>
      <x:c r="L8009" s="6" t="n">
        <x:f>J8009*K8009</x:f>
        <x:v>1</x:v>
      </x:c>
    </x:row>
    <x:row r="8010">
      <x:c r="A8010" s="1" t="n">
        <x:v>64267</x:v>
      </x:c>
      <x:c r="B8010" s="5" t="d">
        <x:v>2017-07-27T00:00:00.000Z</x:v>
      </x:c>
      <x:c r="C8010" s="1" t="str">
        <x:v>Standard Class</x:v>
      </x:c>
      <x:c r="D8010" s="1" t="str">
        <x:v>Europe</x:v>
      </x:c>
      <x:c r="E8010" s="1" t="str">
        <x:v>COMPLETE</x:v>
      </x:c>
      <x:c r="F8010" s="1" t="str">
        <x:v>Advance shipping</x:v>
      </x:c>
      <x:c r="G8010" s="6" t="n">
        <x:v>3</x:v>
      </x:c>
      <x:c r="H8010" s="6" t="n">
        <x:v>4</x:v>
      </x:c>
      <x:c r="I8010" s="6" t="n">
        <x:f>G8010-H8010</x:f>
        <x:v>-1</x:v>
      </x:c>
      <x:c r="J8010" s="6" t="n">
        <x:f>IF(OR(E8010="CANCELED",E8010="SUSPECTED_FRAUD",F8010="Shipping canceled"),0,1)</x:f>
        <x:v>1</x:v>
      </x:c>
      <x:c r="K8010" s="6" t="n">
        <x:f>IF(G8010&gt;H8010,1,0)</x:f>
        <x:v>0</x:v>
      </x:c>
      <x:c r="L8010" s="6" t="n">
        <x:f>J8010*K8010</x:f>
        <x:v>0</x:v>
      </x:c>
    </x:row>
    <x:row r="8011">
      <x:c r="A8011" s="1" t="n">
        <x:v>64268</x:v>
      </x:c>
      <x:c r="B8011" s="5" t="d">
        <x:v>2017-07-27T00:00:00.000Z</x:v>
      </x:c>
      <x:c r="C8011" s="1" t="str">
        <x:v>Standard Class</x:v>
      </x:c>
      <x:c r="D8011" s="1" t="str">
        <x:v>Europe</x:v>
      </x:c>
      <x:c r="E8011" s="1" t="str">
        <x:v>COMPLETE</x:v>
      </x:c>
      <x:c r="F8011" s="1" t="str">
        <x:v>Shipping on time</x:v>
      </x:c>
      <x:c r="G8011" s="6" t="n">
        <x:v>4</x:v>
      </x:c>
      <x:c r="H8011" s="6" t="n">
        <x:v>4</x:v>
      </x:c>
      <x:c r="I8011" s="6" t="n">
        <x:f>G8011-H8011</x:f>
        <x:v>0</x:v>
      </x:c>
      <x:c r="J8011" s="6" t="n">
        <x:f>IF(OR(E8011="CANCELED",E8011="SUSPECTED_FRAUD",F8011="Shipping canceled"),0,1)</x:f>
        <x:v>1</x:v>
      </x:c>
      <x:c r="K8011" s="6" t="n">
        <x:f>IF(G8011&gt;H8011,1,0)</x:f>
        <x:v>0</x:v>
      </x:c>
      <x:c r="L8011" s="6" t="n">
        <x:f>J8011*K8011</x:f>
        <x:v>0</x:v>
      </x:c>
    </x:row>
    <x:row r="8012">
      <x:c r="A8012" s="1" t="n">
        <x:v>64274</x:v>
      </x:c>
      <x:c r="B8012" s="5" t="d">
        <x:v>2017-07-27T00:00:00.000Z</x:v>
      </x:c>
      <x:c r="C8012" s="1" t="str">
        <x:v>Standard Class</x:v>
      </x:c>
      <x:c r="D8012" s="1" t="str">
        <x:v>Europe</x:v>
      </x:c>
      <x:c r="E8012" s="1" t="str">
        <x:v>CANCELED</x:v>
      </x:c>
      <x:c r="F8012" s="1" t="str">
        <x:v>Shipping canceled</x:v>
      </x:c>
      <x:c r="G8012" s="6" t="n">
        <x:v>5</x:v>
      </x:c>
      <x:c r="H8012" s="6" t="n">
        <x:v>4</x:v>
      </x:c>
      <x:c r="I8012" s="6" t="n">
        <x:f>G8012-H8012</x:f>
        <x:v>1</x:v>
      </x:c>
      <x:c r="J8012" s="6" t="n">
        <x:f>IF(OR(E8012="CANCELED",E8012="SUSPECTED_FRAUD",F8012="Shipping canceled"),0,1)</x:f>
        <x:v>0</x:v>
      </x:c>
      <x:c r="K8012" s="6" t="n">
        <x:f>IF(G8012&gt;H8012,1,0)</x:f>
        <x:v>1</x:v>
      </x:c>
      <x:c r="L8012" s="6" t="n">
        <x:f>J8012*K8012</x:f>
        <x:v>0</x:v>
      </x:c>
    </x:row>
    <x:row r="8013">
      <x:c r="A8013" s="1" t="n">
        <x:v>64277</x:v>
      </x:c>
      <x:c r="B8013" s="5" t="d">
        <x:v>2017-07-27T00:00:00.000Z</x:v>
      </x:c>
      <x:c r="C8013" s="1" t="str">
        <x:v>First Class</x:v>
      </x:c>
      <x:c r="D8013" s="1" t="str">
        <x:v>Europe</x:v>
      </x:c>
      <x:c r="E8013" s="1" t="str">
        <x:v>PENDING_PAYMENT</x:v>
      </x:c>
      <x:c r="F8013" s="1" t="str">
        <x:v>Late delivery</x:v>
      </x:c>
      <x:c r="G8013" s="6" t="n">
        <x:v>2</x:v>
      </x:c>
      <x:c r="H8013" s="6" t="n">
        <x:v>1</x:v>
      </x:c>
      <x:c r="I8013" s="6" t="n">
        <x:f>G8013-H8013</x:f>
        <x:v>1</x:v>
      </x:c>
      <x:c r="J8013" s="6" t="n">
        <x:f>IF(OR(E8013="CANCELED",E8013="SUSPECTED_FRAUD",F8013="Shipping canceled"),0,1)</x:f>
        <x:v>1</x:v>
      </x:c>
      <x:c r="K8013" s="6" t="n">
        <x:f>IF(G8013&gt;H8013,1,0)</x:f>
        <x:v>1</x:v>
      </x:c>
      <x:c r="L8013" s="6" t="n">
        <x:f>J8013*K8013</x:f>
        <x:v>1</x:v>
      </x:c>
    </x:row>
    <x:row r="8014">
      <x:c r="A8014" s="1" t="n">
        <x:v>64284</x:v>
      </x:c>
      <x:c r="B8014" s="5" t="d">
        <x:v>2017-07-27T00:00:00.000Z</x:v>
      </x:c>
      <x:c r="C8014" s="1" t="str">
        <x:v>Same Day</x:v>
      </x:c>
      <x:c r="D8014" s="1" t="str">
        <x:v>Europe</x:v>
      </x:c>
      <x:c r="E8014" s="1" t="str">
        <x:v>PROCESSING</x:v>
      </x:c>
      <x:c r="F8014" s="1" t="str">
        <x:v>Shipping on time</x:v>
      </x:c>
      <x:c r="G8014" s="6" t="n">
        <x:v>0</x:v>
      </x:c>
      <x:c r="H8014" s="6" t="n">
        <x:v>0</x:v>
      </x:c>
      <x:c r="I8014" s="6" t="n">
        <x:f>G8014-H8014</x:f>
        <x:v>0</x:v>
      </x:c>
      <x:c r="J8014" s="6" t="n">
        <x:f>IF(OR(E8014="CANCELED",E8014="SUSPECTED_FRAUD",F8014="Shipping canceled"),0,1)</x:f>
        <x:v>1</x:v>
      </x:c>
      <x:c r="K8014" s="6" t="n">
        <x:f>IF(G8014&gt;H8014,1,0)</x:f>
        <x:v>0</x:v>
      </x:c>
      <x:c r="L8014" s="6" t="n">
        <x:f>J8014*K8014</x:f>
        <x:v>0</x:v>
      </x:c>
    </x:row>
    <x:row r="8015">
      <x:c r="A8015" s="1" t="n">
        <x:v>64286</x:v>
      </x:c>
      <x:c r="B8015" s="5" t="d">
        <x:v>2017-07-27T00:00:00.000Z</x:v>
      </x:c>
      <x:c r="C8015" s="1" t="str">
        <x:v>Standard Class</x:v>
      </x:c>
      <x:c r="D8015" s="1" t="str">
        <x:v>Europe</x:v>
      </x:c>
      <x:c r="E8015" s="1" t="str">
        <x:v>PROCESSING</x:v>
      </x:c>
      <x:c r="F8015" s="1" t="str">
        <x:v>Advance shipping</x:v>
      </x:c>
      <x:c r="G8015" s="6" t="n">
        <x:v>2</x:v>
      </x:c>
      <x:c r="H8015" s="6" t="n">
        <x:v>4</x:v>
      </x:c>
      <x:c r="I8015" s="6" t="n">
        <x:f>G8015-H8015</x:f>
        <x:v>-2</x:v>
      </x:c>
      <x:c r="J8015" s="6" t="n">
        <x:f>IF(OR(E8015="CANCELED",E8015="SUSPECTED_FRAUD",F8015="Shipping canceled"),0,1)</x:f>
        <x:v>1</x:v>
      </x:c>
      <x:c r="K8015" s="6" t="n">
        <x:f>IF(G8015&gt;H8015,1,0)</x:f>
        <x:v>0</x:v>
      </x:c>
      <x:c r="L8015" s="6" t="n">
        <x:f>J8015*K8015</x:f>
        <x:v>0</x:v>
      </x:c>
    </x:row>
    <x:row r="8016">
      <x:c r="A8016" s="1" t="n">
        <x:v>64292</x:v>
      </x:c>
      <x:c r="B8016" s="5" t="d">
        <x:v>2017-07-27T00:00:00.000Z</x:v>
      </x:c>
      <x:c r="C8016" s="1" t="str">
        <x:v>Second Class</x:v>
      </x:c>
      <x:c r="D8016" s="1" t="str">
        <x:v>Europe</x:v>
      </x:c>
      <x:c r="E8016" s="1" t="str">
        <x:v>COMPLETE</x:v>
      </x:c>
      <x:c r="F8016" s="1" t="str">
        <x:v>Late delivery</x:v>
      </x:c>
      <x:c r="G8016" s="6" t="n">
        <x:v>3</x:v>
      </x:c>
      <x:c r="H8016" s="6" t="n">
        <x:v>2</x:v>
      </x:c>
      <x:c r="I8016" s="6" t="n">
        <x:f>G8016-H8016</x:f>
        <x:v>1</x:v>
      </x:c>
      <x:c r="J8016" s="6" t="n">
        <x:f>IF(OR(E8016="CANCELED",E8016="SUSPECTED_FRAUD",F8016="Shipping canceled"),0,1)</x:f>
        <x:v>1</x:v>
      </x:c>
      <x:c r="K8016" s="6" t="n">
        <x:f>IF(G8016&gt;H8016,1,0)</x:f>
        <x:v>1</x:v>
      </x:c>
      <x:c r="L8016" s="6" t="n">
        <x:f>J8016*K8016</x:f>
        <x:v>1</x:v>
      </x:c>
    </x:row>
    <x:row r="8017">
      <x:c r="A8017" s="1" t="n">
        <x:v>64301</x:v>
      </x:c>
      <x:c r="B8017" s="5" t="d">
        <x:v>2017-07-27T00:00:00.000Z</x:v>
      </x:c>
      <x:c r="C8017" s="1" t="str">
        <x:v>Second Class</x:v>
      </x:c>
      <x:c r="D8017" s="1" t="str">
        <x:v>Europe</x:v>
      </x:c>
      <x:c r="E8017" s="1" t="str">
        <x:v>PENDING</x:v>
      </x:c>
      <x:c r="F8017" s="1" t="str">
        <x:v>Shipping on time</x:v>
      </x:c>
      <x:c r="G8017" s="6" t="n">
        <x:v>2</x:v>
      </x:c>
      <x:c r="H8017" s="6" t="n">
        <x:v>2</x:v>
      </x:c>
      <x:c r="I8017" s="6" t="n">
        <x:f>G8017-H8017</x:f>
        <x:v>0</x:v>
      </x:c>
      <x:c r="J8017" s="6" t="n">
        <x:f>IF(OR(E8017="CANCELED",E8017="SUSPECTED_FRAUD",F8017="Shipping canceled"),0,1)</x:f>
        <x:v>1</x:v>
      </x:c>
      <x:c r="K8017" s="6" t="n">
        <x:f>IF(G8017&gt;H8017,1,0)</x:f>
        <x:v>0</x:v>
      </x:c>
      <x:c r="L8017" s="6" t="n">
        <x:f>J8017*K8017</x:f>
        <x:v>0</x:v>
      </x:c>
    </x:row>
    <x:row r="8018">
      <x:c r="A8018" s="1" t="n">
        <x:v>64304</x:v>
      </x:c>
      <x:c r="B8018" s="5" t="d">
        <x:v>2017-07-27T00:00:00.000Z</x:v>
      </x:c>
      <x:c r="C8018" s="1" t="str">
        <x:v>Standard Class</x:v>
      </x:c>
      <x:c r="D8018" s="1" t="str">
        <x:v>Europe</x:v>
      </x:c>
      <x:c r="E8018" s="1" t="str">
        <x:v>COMPLETE</x:v>
      </x:c>
      <x:c r="F8018" s="1" t="str">
        <x:v>Late delivery</x:v>
      </x:c>
      <x:c r="G8018" s="6" t="n">
        <x:v>5</x:v>
      </x:c>
      <x:c r="H8018" s="6" t="n">
        <x:v>4</x:v>
      </x:c>
      <x:c r="I8018" s="6" t="n">
        <x:f>G8018-H8018</x:f>
        <x:v>1</x:v>
      </x:c>
      <x:c r="J8018" s="6" t="n">
        <x:f>IF(OR(E8018="CANCELED",E8018="SUSPECTED_FRAUD",F8018="Shipping canceled"),0,1)</x:f>
        <x:v>1</x:v>
      </x:c>
      <x:c r="K8018" s="6" t="n">
        <x:f>IF(G8018&gt;H8018,1,0)</x:f>
        <x:v>1</x:v>
      </x:c>
      <x:c r="L8018" s="6" t="n">
        <x:f>J8018*K8018</x:f>
        <x:v>1</x:v>
      </x:c>
    </x:row>
    <x:row r="8019">
      <x:c r="A8019" s="1" t="n">
        <x:v>64305</x:v>
      </x:c>
      <x:c r="B8019" s="5" t="d">
        <x:v>2017-07-27T00:00:00.000Z</x:v>
      </x:c>
      <x:c r="C8019" s="1" t="str">
        <x:v>Standard Class</x:v>
      </x:c>
      <x:c r="D8019" s="1" t="str">
        <x:v>Europe</x:v>
      </x:c>
      <x:c r="E8019" s="1" t="str">
        <x:v>COMPLETE</x:v>
      </x:c>
      <x:c r="F8019" s="1" t="str">
        <x:v>Late delivery</x:v>
      </x:c>
      <x:c r="G8019" s="6" t="n">
        <x:v>6</x:v>
      </x:c>
      <x:c r="H8019" s="6" t="n">
        <x:v>4</x:v>
      </x:c>
      <x:c r="I8019" s="6" t="n">
        <x:f>G8019-H8019</x:f>
        <x:v>2</x:v>
      </x:c>
      <x:c r="J8019" s="6" t="n">
        <x:f>IF(OR(E8019="CANCELED",E8019="SUSPECTED_FRAUD",F8019="Shipping canceled"),0,1)</x:f>
        <x:v>1</x:v>
      </x:c>
      <x:c r="K8019" s="6" t="n">
        <x:f>IF(G8019&gt;H8019,1,0)</x:f>
        <x:v>1</x:v>
      </x:c>
      <x:c r="L8019" s="6" t="n">
        <x:f>J8019*K8019</x:f>
        <x:v>1</x:v>
      </x:c>
    </x:row>
    <x:row r="8020">
      <x:c r="A8020" s="1" t="n">
        <x:v>64320</x:v>
      </x:c>
      <x:c r="B8020" s="5" t="d">
        <x:v>2017-07-27T00:00:00.000Z</x:v>
      </x:c>
      <x:c r="C8020" s="1" t="str">
        <x:v>Standard Class</x:v>
      </x:c>
      <x:c r="D8020" s="1" t="str">
        <x:v>Europe</x:v>
      </x:c>
      <x:c r="E8020" s="1" t="str">
        <x:v>ON_HOLD</x:v>
      </x:c>
      <x:c r="F8020" s="1" t="str">
        <x:v>Late delivery</x:v>
      </x:c>
      <x:c r="G8020" s="6" t="n">
        <x:v>6</x:v>
      </x:c>
      <x:c r="H8020" s="6" t="n">
        <x:v>4</x:v>
      </x:c>
      <x:c r="I8020" s="6" t="n">
        <x:f>G8020-H8020</x:f>
        <x:v>2</x:v>
      </x:c>
      <x:c r="J8020" s="6" t="n">
        <x:f>IF(OR(E8020="CANCELED",E8020="SUSPECTED_FRAUD",F8020="Shipping canceled"),0,1)</x:f>
        <x:v>1</x:v>
      </x:c>
      <x:c r="K8020" s="6" t="n">
        <x:f>IF(G8020&gt;H8020,1,0)</x:f>
        <x:v>1</x:v>
      </x:c>
      <x:c r="L8020" s="6" t="n">
        <x:f>J8020*K8020</x:f>
        <x:v>1</x:v>
      </x:c>
    </x:row>
    <x:row r="8021">
      <x:c r="A8021" s="1" t="n">
        <x:v>64329</x:v>
      </x:c>
      <x:c r="B8021" s="5" t="d">
        <x:v>2017-07-28T00:00:00.000Z</x:v>
      </x:c>
      <x:c r="C8021" s="1" t="str">
        <x:v>Standard Class</x:v>
      </x:c>
      <x:c r="D8021" s="1" t="str">
        <x:v>Europe</x:v>
      </x:c>
      <x:c r="E8021" s="1" t="str">
        <x:v>SUSPECTED_FRAUD</x:v>
      </x:c>
      <x:c r="F8021" s="1" t="str">
        <x:v>Shipping canceled</x:v>
      </x:c>
      <x:c r="G8021" s="6" t="n">
        <x:v>5</x:v>
      </x:c>
      <x:c r="H8021" s="6" t="n">
        <x:v>4</x:v>
      </x:c>
      <x:c r="I8021" s="6" t="n">
        <x:f>G8021-H8021</x:f>
        <x:v>1</x:v>
      </x:c>
      <x:c r="J8021" s="6" t="n">
        <x:f>IF(OR(E8021="CANCELED",E8021="SUSPECTED_FRAUD",F8021="Shipping canceled"),0,1)</x:f>
        <x:v>0</x:v>
      </x:c>
      <x:c r="K8021" s="6" t="n">
        <x:f>IF(G8021&gt;H8021,1,0)</x:f>
        <x:v>1</x:v>
      </x:c>
      <x:c r="L8021" s="6" t="n">
        <x:f>J8021*K8021</x:f>
        <x:v>0</x:v>
      </x:c>
    </x:row>
    <x:row r="8022">
      <x:c r="A8022" s="1" t="n">
        <x:v>64333</x:v>
      </x:c>
      <x:c r="B8022" s="5" t="d">
        <x:v>2017-07-28T00:00:00.000Z</x:v>
      </x:c>
      <x:c r="C8022" s="1" t="str">
        <x:v>Standard Class</x:v>
      </x:c>
      <x:c r="D8022" s="1" t="str">
        <x:v>Europe</x:v>
      </x:c>
      <x:c r="E8022" s="1" t="str">
        <x:v>COMPLETE</x:v>
      </x:c>
      <x:c r="F8022" s="1" t="str">
        <x:v>Shipping on time</x:v>
      </x:c>
      <x:c r="G8022" s="6" t="n">
        <x:v>4</x:v>
      </x:c>
      <x:c r="H8022" s="6" t="n">
        <x:v>4</x:v>
      </x:c>
      <x:c r="I8022" s="6" t="n">
        <x:f>G8022-H8022</x:f>
        <x:v>0</x:v>
      </x:c>
      <x:c r="J8022" s="6" t="n">
        <x:f>IF(OR(E8022="CANCELED",E8022="SUSPECTED_FRAUD",F8022="Shipping canceled"),0,1)</x:f>
        <x:v>1</x:v>
      </x:c>
      <x:c r="K8022" s="6" t="n">
        <x:f>IF(G8022&gt;H8022,1,0)</x:f>
        <x:v>0</x:v>
      </x:c>
      <x:c r="L8022" s="6" t="n">
        <x:f>J8022*K8022</x:f>
        <x:v>0</x:v>
      </x:c>
    </x:row>
    <x:row r="8023">
      <x:c r="A8023" s="1" t="n">
        <x:v>64335</x:v>
      </x:c>
      <x:c r="B8023" s="5" t="d">
        <x:v>2017-07-28T00:00:00.000Z</x:v>
      </x:c>
      <x:c r="C8023" s="1" t="str">
        <x:v>First Class</x:v>
      </x:c>
      <x:c r="D8023" s="1" t="str">
        <x:v>Europe</x:v>
      </x:c>
      <x:c r="E8023" s="1" t="str">
        <x:v>CLOSED</x:v>
      </x:c>
      <x:c r="F8023" s="1" t="str">
        <x:v>Late delivery</x:v>
      </x:c>
      <x:c r="G8023" s="6" t="n">
        <x:v>2</x:v>
      </x:c>
      <x:c r="H8023" s="6" t="n">
        <x:v>1</x:v>
      </x:c>
      <x:c r="I8023" s="6" t="n">
        <x:f>G8023-H8023</x:f>
        <x:v>1</x:v>
      </x:c>
      <x:c r="J8023" s="6" t="n">
        <x:f>IF(OR(E8023="CANCELED",E8023="SUSPECTED_FRAUD",F8023="Shipping canceled"),0,1)</x:f>
        <x:v>1</x:v>
      </x:c>
      <x:c r="K8023" s="6" t="n">
        <x:f>IF(G8023&gt;H8023,1,0)</x:f>
        <x:v>1</x:v>
      </x:c>
      <x:c r="L8023" s="6" t="n">
        <x:f>J8023*K8023</x:f>
        <x:v>1</x:v>
      </x:c>
    </x:row>
    <x:row r="8024">
      <x:c r="A8024" s="1" t="n">
        <x:v>64362</x:v>
      </x:c>
      <x:c r="B8024" s="5" t="d">
        <x:v>2017-07-28T00:00:00.000Z</x:v>
      </x:c>
      <x:c r="C8024" s="1" t="str">
        <x:v>Second Class</x:v>
      </x:c>
      <x:c r="D8024" s="1" t="str">
        <x:v>Europe</x:v>
      </x:c>
      <x:c r="E8024" s="1" t="str">
        <x:v>COMPLETE</x:v>
      </x:c>
      <x:c r="F8024" s="1" t="str">
        <x:v>Late delivery</x:v>
      </x:c>
      <x:c r="G8024" s="6" t="n">
        <x:v>3</x:v>
      </x:c>
      <x:c r="H8024" s="6" t="n">
        <x:v>2</x:v>
      </x:c>
      <x:c r="I8024" s="6" t="n">
        <x:f>G8024-H8024</x:f>
        <x:v>1</x:v>
      </x:c>
      <x:c r="J8024" s="6" t="n">
        <x:f>IF(OR(E8024="CANCELED",E8024="SUSPECTED_FRAUD",F8024="Shipping canceled"),0,1)</x:f>
        <x:v>1</x:v>
      </x:c>
      <x:c r="K8024" s="6" t="n">
        <x:f>IF(G8024&gt;H8024,1,0)</x:f>
        <x:v>1</x:v>
      </x:c>
      <x:c r="L8024" s="6" t="n">
        <x:f>J8024*K8024</x:f>
        <x:v>1</x:v>
      </x:c>
    </x:row>
    <x:row r="8025">
      <x:c r="A8025" s="1" t="n">
        <x:v>64369</x:v>
      </x:c>
      <x:c r="B8025" s="5" t="d">
        <x:v>2017-07-28T00:00:00.000Z</x:v>
      </x:c>
      <x:c r="C8025" s="1" t="str">
        <x:v>Standard Class</x:v>
      </x:c>
      <x:c r="D8025" s="1" t="str">
        <x:v>Europe</x:v>
      </x:c>
      <x:c r="E8025" s="1" t="str">
        <x:v>PROCESSING</x:v>
      </x:c>
      <x:c r="F8025" s="1" t="str">
        <x:v>Late delivery</x:v>
      </x:c>
      <x:c r="G8025" s="6" t="n">
        <x:v>5</x:v>
      </x:c>
      <x:c r="H8025" s="6" t="n">
        <x:v>4</x:v>
      </x:c>
      <x:c r="I8025" s="6" t="n">
        <x:f>G8025-H8025</x:f>
        <x:v>1</x:v>
      </x:c>
      <x:c r="J8025" s="6" t="n">
        <x:f>IF(OR(E8025="CANCELED",E8025="SUSPECTED_FRAUD",F8025="Shipping canceled"),0,1)</x:f>
        <x:v>1</x:v>
      </x:c>
      <x:c r="K8025" s="6" t="n">
        <x:f>IF(G8025&gt;H8025,1,0)</x:f>
        <x:v>1</x:v>
      </x:c>
      <x:c r="L8025" s="6" t="n">
        <x:f>J8025*K8025</x:f>
        <x:v>1</x:v>
      </x:c>
    </x:row>
    <x:row r="8026">
      <x:c r="A8026" s="1" t="n">
        <x:v>64392</x:v>
      </x:c>
      <x:c r="B8026" s="5" t="d">
        <x:v>2017-07-28T00:00:00.000Z</x:v>
      </x:c>
      <x:c r="C8026" s="1" t="str">
        <x:v>Standard Class</x:v>
      </x:c>
      <x:c r="D8026" s="1" t="str">
        <x:v>Europe</x:v>
      </x:c>
      <x:c r="E8026" s="1" t="str">
        <x:v>ON_HOLD</x:v>
      </x:c>
      <x:c r="F8026" s="1" t="str">
        <x:v>Advance shipping</x:v>
      </x:c>
      <x:c r="G8026" s="6" t="n">
        <x:v>3</x:v>
      </x:c>
      <x:c r="H8026" s="6" t="n">
        <x:v>4</x:v>
      </x:c>
      <x:c r="I8026" s="6" t="n">
        <x:f>G8026-H8026</x:f>
        <x:v>-1</x:v>
      </x:c>
      <x:c r="J8026" s="6" t="n">
        <x:f>IF(OR(E8026="CANCELED",E8026="SUSPECTED_FRAUD",F8026="Shipping canceled"),0,1)</x:f>
        <x:v>1</x:v>
      </x:c>
      <x:c r="K8026" s="6" t="n">
        <x:f>IF(G8026&gt;H8026,1,0)</x:f>
        <x:v>0</x:v>
      </x:c>
      <x:c r="L8026" s="6" t="n">
        <x:f>J8026*K8026</x:f>
        <x:v>0</x:v>
      </x:c>
    </x:row>
    <x:row r="8027">
      <x:c r="A8027" s="1" t="n">
        <x:v>64393</x:v>
      </x:c>
      <x:c r="B8027" s="5" t="d">
        <x:v>2017-07-28T00:00:00.000Z</x:v>
      </x:c>
      <x:c r="C8027" s="1" t="str">
        <x:v>Standard Class</x:v>
      </x:c>
      <x:c r="D8027" s="1" t="str">
        <x:v>Europe</x:v>
      </x:c>
      <x:c r="E8027" s="1" t="str">
        <x:v>COMPLETE</x:v>
      </x:c>
      <x:c r="F8027" s="1" t="str">
        <x:v>Shipping on time</x:v>
      </x:c>
      <x:c r="G8027" s="6" t="n">
        <x:v>4</x:v>
      </x:c>
      <x:c r="H8027" s="6" t="n">
        <x:v>4</x:v>
      </x:c>
      <x:c r="I8027" s="6" t="n">
        <x:f>G8027-H8027</x:f>
        <x:v>0</x:v>
      </x:c>
      <x:c r="J8027" s="6" t="n">
        <x:f>IF(OR(E8027="CANCELED",E8027="SUSPECTED_FRAUD",F8027="Shipping canceled"),0,1)</x:f>
        <x:v>1</x:v>
      </x:c>
      <x:c r="K8027" s="6" t="n">
        <x:f>IF(G8027&gt;H8027,1,0)</x:f>
        <x:v>0</x:v>
      </x:c>
      <x:c r="L8027" s="6" t="n">
        <x:f>J8027*K8027</x:f>
        <x:v>0</x:v>
      </x:c>
    </x:row>
    <x:row r="8028">
      <x:c r="A8028" s="1" t="n">
        <x:v>64402</x:v>
      </x:c>
      <x:c r="B8028" s="5" t="d">
        <x:v>2017-07-29T00:00:00.000Z</x:v>
      </x:c>
      <x:c r="C8028" s="1" t="str">
        <x:v>Second Class</x:v>
      </x:c>
      <x:c r="D8028" s="1" t="str">
        <x:v>Europe</x:v>
      </x:c>
      <x:c r="E8028" s="1" t="str">
        <x:v>CLOSED</x:v>
      </x:c>
      <x:c r="F8028" s="1" t="str">
        <x:v>Late delivery</x:v>
      </x:c>
      <x:c r="G8028" s="6" t="n">
        <x:v>3</x:v>
      </x:c>
      <x:c r="H8028" s="6" t="n">
        <x:v>2</x:v>
      </x:c>
      <x:c r="I8028" s="6" t="n">
        <x:f>G8028-H8028</x:f>
        <x:v>1</x:v>
      </x:c>
      <x:c r="J8028" s="6" t="n">
        <x:f>IF(OR(E8028="CANCELED",E8028="SUSPECTED_FRAUD",F8028="Shipping canceled"),0,1)</x:f>
        <x:v>1</x:v>
      </x:c>
      <x:c r="K8028" s="6" t="n">
        <x:f>IF(G8028&gt;H8028,1,0)</x:f>
        <x:v>1</x:v>
      </x:c>
      <x:c r="L8028" s="6" t="n">
        <x:f>J8028*K8028</x:f>
        <x:v>1</x:v>
      </x:c>
    </x:row>
    <x:row r="8029">
      <x:c r="A8029" s="1" t="n">
        <x:v>64403</x:v>
      </x:c>
      <x:c r="B8029" s="5" t="d">
        <x:v>2017-07-29T00:00:00.000Z</x:v>
      </x:c>
      <x:c r="C8029" s="1" t="str">
        <x:v>Second Class</x:v>
      </x:c>
      <x:c r="D8029" s="1" t="str">
        <x:v>Europe</x:v>
      </x:c>
      <x:c r="E8029" s="1" t="str">
        <x:v>PENDING</x:v>
      </x:c>
      <x:c r="F8029" s="1" t="str">
        <x:v>Late delivery</x:v>
      </x:c>
      <x:c r="G8029" s="6" t="n">
        <x:v>4</x:v>
      </x:c>
      <x:c r="H8029" s="6" t="n">
        <x:v>2</x:v>
      </x:c>
      <x:c r="I8029" s="6" t="n">
        <x:f>G8029-H8029</x:f>
        <x:v>2</x:v>
      </x:c>
      <x:c r="J8029" s="6" t="n">
        <x:f>IF(OR(E8029="CANCELED",E8029="SUSPECTED_FRAUD",F8029="Shipping canceled"),0,1)</x:f>
        <x:v>1</x:v>
      </x:c>
      <x:c r="K8029" s="6" t="n">
        <x:f>IF(G8029&gt;H8029,1,0)</x:f>
        <x:v>1</x:v>
      </x:c>
      <x:c r="L8029" s="6" t="n">
        <x:f>J8029*K8029</x:f>
        <x:v>1</x:v>
      </x:c>
    </x:row>
    <x:row r="8030">
      <x:c r="A8030" s="1" t="n">
        <x:v>64405</x:v>
      </x:c>
      <x:c r="B8030" s="5" t="d">
        <x:v>2017-07-29T00:00:00.000Z</x:v>
      </x:c>
      <x:c r="C8030" s="1" t="str">
        <x:v>Standard Class</x:v>
      </x:c>
      <x:c r="D8030" s="1" t="str">
        <x:v>Europe</x:v>
      </x:c>
      <x:c r="E8030" s="1" t="str">
        <x:v>COMPLETE</x:v>
      </x:c>
      <x:c r="F8030" s="1" t="str">
        <x:v>Late delivery</x:v>
      </x:c>
      <x:c r="G8030" s="6" t="n">
        <x:v>6</x:v>
      </x:c>
      <x:c r="H8030" s="6" t="n">
        <x:v>4</x:v>
      </x:c>
      <x:c r="I8030" s="6" t="n">
        <x:f>G8030-H8030</x:f>
        <x:v>2</x:v>
      </x:c>
      <x:c r="J8030" s="6" t="n">
        <x:f>IF(OR(E8030="CANCELED",E8030="SUSPECTED_FRAUD",F8030="Shipping canceled"),0,1)</x:f>
        <x:v>1</x:v>
      </x:c>
      <x:c r="K8030" s="6" t="n">
        <x:f>IF(G8030&gt;H8030,1,0)</x:f>
        <x:v>1</x:v>
      </x:c>
      <x:c r="L8030" s="6" t="n">
        <x:f>J8030*K8030</x:f>
        <x:v>1</x:v>
      </x:c>
    </x:row>
    <x:row r="8031">
      <x:c r="A8031" s="1" t="n">
        <x:v>64424</x:v>
      </x:c>
      <x:c r="B8031" s="5" t="d">
        <x:v>2017-07-29T00:00:00.000Z</x:v>
      </x:c>
      <x:c r="C8031" s="1" t="str">
        <x:v>Second Class</x:v>
      </x:c>
      <x:c r="D8031" s="1" t="str">
        <x:v>Europe</x:v>
      </x:c>
      <x:c r="E8031" s="1" t="str">
        <x:v>CLOSED</x:v>
      </x:c>
      <x:c r="F8031" s="1" t="str">
        <x:v>Late delivery</x:v>
      </x:c>
      <x:c r="G8031" s="6" t="n">
        <x:v>5</x:v>
      </x:c>
      <x:c r="H8031" s="6" t="n">
        <x:v>2</x:v>
      </x:c>
      <x:c r="I8031" s="6" t="n">
        <x:f>G8031-H8031</x:f>
        <x:v>3</x:v>
      </x:c>
      <x:c r="J8031" s="6" t="n">
        <x:f>IF(OR(E8031="CANCELED",E8031="SUSPECTED_FRAUD",F8031="Shipping canceled"),0,1)</x:f>
        <x:v>1</x:v>
      </x:c>
      <x:c r="K8031" s="6" t="n">
        <x:f>IF(G8031&gt;H8031,1,0)</x:f>
        <x:v>1</x:v>
      </x:c>
      <x:c r="L8031" s="6" t="n">
        <x:f>J8031*K8031</x:f>
        <x:v>1</x:v>
      </x:c>
    </x:row>
    <x:row r="8032">
      <x:c r="A8032" s="1" t="n">
        <x:v>64443</x:v>
      </x:c>
      <x:c r="B8032" s="5" t="d">
        <x:v>2017-07-29T00:00:00.000Z</x:v>
      </x:c>
      <x:c r="C8032" s="1" t="str">
        <x:v>Standard Class</x:v>
      </x:c>
      <x:c r="D8032" s="1" t="str">
        <x:v>Europe</x:v>
      </x:c>
      <x:c r="E8032" s="1" t="str">
        <x:v>COMPLETE</x:v>
      </x:c>
      <x:c r="F8032" s="1" t="str">
        <x:v>Shipping on time</x:v>
      </x:c>
      <x:c r="G8032" s="6" t="n">
        <x:v>4</x:v>
      </x:c>
      <x:c r="H8032" s="6" t="n">
        <x:v>4</x:v>
      </x:c>
      <x:c r="I8032" s="6" t="n">
        <x:f>G8032-H8032</x:f>
        <x:v>0</x:v>
      </x:c>
      <x:c r="J8032" s="6" t="n">
        <x:f>IF(OR(E8032="CANCELED",E8032="SUSPECTED_FRAUD",F8032="Shipping canceled"),0,1)</x:f>
        <x:v>1</x:v>
      </x:c>
      <x:c r="K8032" s="6" t="n">
        <x:f>IF(G8032&gt;H8032,1,0)</x:f>
        <x:v>0</x:v>
      </x:c>
      <x:c r="L8032" s="6" t="n">
        <x:f>J8032*K8032</x:f>
        <x:v>0</x:v>
      </x:c>
    </x:row>
    <x:row r="8033">
      <x:c r="A8033" s="1" t="n">
        <x:v>64446</x:v>
      </x:c>
      <x:c r="B8033" s="5" t="d">
        <x:v>2017-07-29T00:00:00.000Z</x:v>
      </x:c>
      <x:c r="C8033" s="1" t="str">
        <x:v>Standard Class</x:v>
      </x:c>
      <x:c r="D8033" s="1" t="str">
        <x:v>Europe</x:v>
      </x:c>
      <x:c r="E8033" s="1" t="str">
        <x:v>COMPLETE</x:v>
      </x:c>
      <x:c r="F8033" s="1" t="str">
        <x:v>Advance shipping</x:v>
      </x:c>
      <x:c r="G8033" s="6" t="n">
        <x:v>2</x:v>
      </x:c>
      <x:c r="H8033" s="6" t="n">
        <x:v>4</x:v>
      </x:c>
      <x:c r="I8033" s="6" t="n">
        <x:f>G8033-H8033</x:f>
        <x:v>-2</x:v>
      </x:c>
      <x:c r="J8033" s="6" t="n">
        <x:f>IF(OR(E8033="CANCELED",E8033="SUSPECTED_FRAUD",F8033="Shipping canceled"),0,1)</x:f>
        <x:v>1</x:v>
      </x:c>
      <x:c r="K8033" s="6" t="n">
        <x:f>IF(G8033&gt;H8033,1,0)</x:f>
        <x:v>0</x:v>
      </x:c>
      <x:c r="L8033" s="6" t="n">
        <x:f>J8033*K8033</x:f>
        <x:v>0</x:v>
      </x:c>
    </x:row>
    <x:row r="8034">
      <x:c r="A8034" s="1" t="n">
        <x:v>64451</x:v>
      </x:c>
      <x:c r="B8034" s="5" t="d">
        <x:v>2017-07-29T00:00:00.000Z</x:v>
      </x:c>
      <x:c r="C8034" s="1" t="str">
        <x:v>Standard Class</x:v>
      </x:c>
      <x:c r="D8034" s="1" t="str">
        <x:v>Europe</x:v>
      </x:c>
      <x:c r="E8034" s="1" t="str">
        <x:v>COMPLETE</x:v>
      </x:c>
      <x:c r="F8034" s="1" t="str">
        <x:v>Advance shipping</x:v>
      </x:c>
      <x:c r="G8034" s="6" t="n">
        <x:v>2</x:v>
      </x:c>
      <x:c r="H8034" s="6" t="n">
        <x:v>4</x:v>
      </x:c>
      <x:c r="I8034" s="6" t="n">
        <x:f>G8034-H8034</x:f>
        <x:v>-2</x:v>
      </x:c>
      <x:c r="J8034" s="6" t="n">
        <x:f>IF(OR(E8034="CANCELED",E8034="SUSPECTED_FRAUD",F8034="Shipping canceled"),0,1)</x:f>
        <x:v>1</x:v>
      </x:c>
      <x:c r="K8034" s="6" t="n">
        <x:f>IF(G8034&gt;H8034,1,0)</x:f>
        <x:v>0</x:v>
      </x:c>
      <x:c r="L8034" s="6" t="n">
        <x:f>J8034*K8034</x:f>
        <x:v>0</x:v>
      </x:c>
    </x:row>
    <x:row r="8035">
      <x:c r="A8035" s="1" t="n">
        <x:v>64456</x:v>
      </x:c>
      <x:c r="B8035" s="5" t="d">
        <x:v>2017-07-29T00:00:00.000Z</x:v>
      </x:c>
      <x:c r="C8035" s="1" t="str">
        <x:v>Standard Class</x:v>
      </x:c>
      <x:c r="D8035" s="1" t="str">
        <x:v>Europe</x:v>
      </x:c>
      <x:c r="E8035" s="1" t="str">
        <x:v>ON_HOLD</x:v>
      </x:c>
      <x:c r="F8035" s="1" t="str">
        <x:v>Advance shipping</x:v>
      </x:c>
      <x:c r="G8035" s="6" t="n">
        <x:v>2</x:v>
      </x:c>
      <x:c r="H8035" s="6" t="n">
        <x:v>4</x:v>
      </x:c>
      <x:c r="I8035" s="6" t="n">
        <x:f>G8035-H8035</x:f>
        <x:v>-2</x:v>
      </x:c>
      <x:c r="J8035" s="6" t="n">
        <x:f>IF(OR(E8035="CANCELED",E8035="SUSPECTED_FRAUD",F8035="Shipping canceled"),0,1)</x:f>
        <x:v>1</x:v>
      </x:c>
      <x:c r="K8035" s="6" t="n">
        <x:f>IF(G8035&gt;H8035,1,0)</x:f>
        <x:v>0</x:v>
      </x:c>
      <x:c r="L8035" s="6" t="n">
        <x:f>J8035*K8035</x:f>
        <x:v>0</x:v>
      </x:c>
    </x:row>
    <x:row r="8036">
      <x:c r="A8036" s="1" t="n">
        <x:v>64460</x:v>
      </x:c>
      <x:c r="B8036" s="5" t="d">
        <x:v>2017-07-29T00:00:00.000Z</x:v>
      </x:c>
      <x:c r="C8036" s="1" t="str">
        <x:v>Standard Class</x:v>
      </x:c>
      <x:c r="D8036" s="1" t="str">
        <x:v>Europe</x:v>
      </x:c>
      <x:c r="E8036" s="1" t="str">
        <x:v>COMPLETE</x:v>
      </x:c>
      <x:c r="F8036" s="1" t="str">
        <x:v>Late delivery</x:v>
      </x:c>
      <x:c r="G8036" s="6" t="n">
        <x:v>6</x:v>
      </x:c>
      <x:c r="H8036" s="6" t="n">
        <x:v>4</x:v>
      </x:c>
      <x:c r="I8036" s="6" t="n">
        <x:f>G8036-H8036</x:f>
        <x:v>2</x:v>
      </x:c>
      <x:c r="J8036" s="6" t="n">
        <x:f>IF(OR(E8036="CANCELED",E8036="SUSPECTED_FRAUD",F8036="Shipping canceled"),0,1)</x:f>
        <x:v>1</x:v>
      </x:c>
      <x:c r="K8036" s="6" t="n">
        <x:f>IF(G8036&gt;H8036,1,0)</x:f>
        <x:v>1</x:v>
      </x:c>
      <x:c r="L8036" s="6" t="n">
        <x:f>J8036*K8036</x:f>
        <x:v>1</x:v>
      </x:c>
    </x:row>
    <x:row r="8037">
      <x:c r="A8037" s="1" t="n">
        <x:v>64466</x:v>
      </x:c>
      <x:c r="B8037" s="5" t="d">
        <x:v>2017-07-30T00:00:00.000Z</x:v>
      </x:c>
      <x:c r="C8037" s="1" t="str">
        <x:v>Second Class</x:v>
      </x:c>
      <x:c r="D8037" s="1" t="str">
        <x:v>Europe</x:v>
      </x:c>
      <x:c r="E8037" s="1" t="str">
        <x:v>CLOSED</x:v>
      </x:c>
      <x:c r="F8037" s="1" t="str">
        <x:v>Shipping on time</x:v>
      </x:c>
      <x:c r="G8037" s="6" t="n">
        <x:v>2</x:v>
      </x:c>
      <x:c r="H8037" s="6" t="n">
        <x:v>2</x:v>
      </x:c>
      <x:c r="I8037" s="6" t="n">
        <x:f>G8037-H8037</x:f>
        <x:v>0</x:v>
      </x:c>
      <x:c r="J8037" s="6" t="n">
        <x:f>IF(OR(E8037="CANCELED",E8037="SUSPECTED_FRAUD",F8037="Shipping canceled"),0,1)</x:f>
        <x:v>1</x:v>
      </x:c>
      <x:c r="K8037" s="6" t="n">
        <x:f>IF(G8037&gt;H8037,1,0)</x:f>
        <x:v>0</x:v>
      </x:c>
      <x:c r="L8037" s="6" t="n">
        <x:f>J8037*K8037</x:f>
        <x:v>0</x:v>
      </x:c>
    </x:row>
    <x:row r="8038">
      <x:c r="A8038" s="1" t="n">
        <x:v>64472</x:v>
      </x:c>
      <x:c r="B8038" s="5" t="d">
        <x:v>2017-07-30T00:00:00.000Z</x:v>
      </x:c>
      <x:c r="C8038" s="1" t="str">
        <x:v>Standard Class</x:v>
      </x:c>
      <x:c r="D8038" s="1" t="str">
        <x:v>Europe</x:v>
      </x:c>
      <x:c r="E8038" s="1" t="str">
        <x:v>PENDING_PAYMENT</x:v>
      </x:c>
      <x:c r="F8038" s="1" t="str">
        <x:v>Advance shipping</x:v>
      </x:c>
      <x:c r="G8038" s="6" t="n">
        <x:v>3</x:v>
      </x:c>
      <x:c r="H8038" s="6" t="n">
        <x:v>4</x:v>
      </x:c>
      <x:c r="I8038" s="6" t="n">
        <x:f>G8038-H8038</x:f>
        <x:v>-1</x:v>
      </x:c>
      <x:c r="J8038" s="6" t="n">
        <x:f>IF(OR(E8038="CANCELED",E8038="SUSPECTED_FRAUD",F8038="Shipping canceled"),0,1)</x:f>
        <x:v>1</x:v>
      </x:c>
      <x:c r="K8038" s="6" t="n">
        <x:f>IF(G8038&gt;H8038,1,0)</x:f>
        <x:v>0</x:v>
      </x:c>
      <x:c r="L8038" s="6" t="n">
        <x:f>J8038*K8038</x:f>
        <x:v>0</x:v>
      </x:c>
    </x:row>
    <x:row r="8039">
      <x:c r="A8039" s="1" t="n">
        <x:v>64491</x:v>
      </x:c>
      <x:c r="B8039" s="5" t="d">
        <x:v>2017-07-30T00:00:00.000Z</x:v>
      </x:c>
      <x:c r="C8039" s="1" t="str">
        <x:v>Standard Class</x:v>
      </x:c>
      <x:c r="D8039" s="1" t="str">
        <x:v>Europe</x:v>
      </x:c>
      <x:c r="E8039" s="1" t="str">
        <x:v>COMPLETE</x:v>
      </x:c>
      <x:c r="F8039" s="1" t="str">
        <x:v>Advance shipping</x:v>
      </x:c>
      <x:c r="G8039" s="6" t="n">
        <x:v>2</x:v>
      </x:c>
      <x:c r="H8039" s="6" t="n">
        <x:v>4</x:v>
      </x:c>
      <x:c r="I8039" s="6" t="n">
        <x:f>G8039-H8039</x:f>
        <x:v>-2</x:v>
      </x:c>
      <x:c r="J8039" s="6" t="n">
        <x:f>IF(OR(E8039="CANCELED",E8039="SUSPECTED_FRAUD",F8039="Shipping canceled"),0,1)</x:f>
        <x:v>1</x:v>
      </x:c>
      <x:c r="K8039" s="6" t="n">
        <x:f>IF(G8039&gt;H8039,1,0)</x:f>
        <x:v>0</x:v>
      </x:c>
      <x:c r="L8039" s="6" t="n">
        <x:f>J8039*K8039</x:f>
        <x:v>0</x:v>
      </x:c>
    </x:row>
    <x:row r="8040">
      <x:c r="A8040" s="1" t="n">
        <x:v>64495</x:v>
      </x:c>
      <x:c r="B8040" s="5" t="d">
        <x:v>2017-07-30T00:00:00.000Z</x:v>
      </x:c>
      <x:c r="C8040" s="1" t="str">
        <x:v>Standard Class</x:v>
      </x:c>
      <x:c r="D8040" s="1" t="str">
        <x:v>Europe</x:v>
      </x:c>
      <x:c r="E8040" s="1" t="str">
        <x:v>COMPLETE</x:v>
      </x:c>
      <x:c r="F8040" s="1" t="str">
        <x:v>Late delivery</x:v>
      </x:c>
      <x:c r="G8040" s="6" t="n">
        <x:v>6</x:v>
      </x:c>
      <x:c r="H8040" s="6" t="n">
        <x:v>4</x:v>
      </x:c>
      <x:c r="I8040" s="6" t="n">
        <x:f>G8040-H8040</x:f>
        <x:v>2</x:v>
      </x:c>
      <x:c r="J8040" s="6" t="n">
        <x:f>IF(OR(E8040="CANCELED",E8040="SUSPECTED_FRAUD",F8040="Shipping canceled"),0,1)</x:f>
        <x:v>1</x:v>
      </x:c>
      <x:c r="K8040" s="6" t="n">
        <x:f>IF(G8040&gt;H8040,1,0)</x:f>
        <x:v>1</x:v>
      </x:c>
      <x:c r="L8040" s="6" t="n">
        <x:f>J8040*K8040</x:f>
        <x:v>1</x:v>
      </x:c>
    </x:row>
    <x:row r="8041">
      <x:c r="A8041" s="1" t="n">
        <x:v>64497</x:v>
      </x:c>
      <x:c r="B8041" s="5" t="d">
        <x:v>2017-07-30T00:00:00.000Z</x:v>
      </x:c>
      <x:c r="C8041" s="1" t="str">
        <x:v>Standard Class</x:v>
      </x:c>
      <x:c r="D8041" s="1" t="str">
        <x:v>Europe</x:v>
      </x:c>
      <x:c r="E8041" s="1" t="str">
        <x:v>ON_HOLD</x:v>
      </x:c>
      <x:c r="F8041" s="1" t="str">
        <x:v>Advance shipping</x:v>
      </x:c>
      <x:c r="G8041" s="6" t="n">
        <x:v>3</x:v>
      </x:c>
      <x:c r="H8041" s="6" t="n">
        <x:v>4</x:v>
      </x:c>
      <x:c r="I8041" s="6" t="n">
        <x:f>G8041-H8041</x:f>
        <x:v>-1</x:v>
      </x:c>
      <x:c r="J8041" s="6" t="n">
        <x:f>IF(OR(E8041="CANCELED",E8041="SUSPECTED_FRAUD",F8041="Shipping canceled"),0,1)</x:f>
        <x:v>1</x:v>
      </x:c>
      <x:c r="K8041" s="6" t="n">
        <x:f>IF(G8041&gt;H8041,1,0)</x:f>
        <x:v>0</x:v>
      </x:c>
      <x:c r="L8041" s="6" t="n">
        <x:f>J8041*K8041</x:f>
        <x:v>0</x:v>
      </x:c>
    </x:row>
    <x:row r="8042">
      <x:c r="A8042" s="1" t="n">
        <x:v>64500</x:v>
      </x:c>
      <x:c r="B8042" s="5" t="d">
        <x:v>2017-07-30T00:00:00.000Z</x:v>
      </x:c>
      <x:c r="C8042" s="1" t="str">
        <x:v>Standard Class</x:v>
      </x:c>
      <x:c r="D8042" s="1" t="str">
        <x:v>Europe</x:v>
      </x:c>
      <x:c r="E8042" s="1" t="str">
        <x:v>COMPLETE</x:v>
      </x:c>
      <x:c r="F8042" s="1" t="str">
        <x:v>Late delivery</x:v>
      </x:c>
      <x:c r="G8042" s="6" t="n">
        <x:v>6</x:v>
      </x:c>
      <x:c r="H8042" s="6" t="n">
        <x:v>4</x:v>
      </x:c>
      <x:c r="I8042" s="6" t="n">
        <x:f>G8042-H8042</x:f>
        <x:v>2</x:v>
      </x:c>
      <x:c r="J8042" s="6" t="n">
        <x:f>IF(OR(E8042="CANCELED",E8042="SUSPECTED_FRAUD",F8042="Shipping canceled"),0,1)</x:f>
        <x:v>1</x:v>
      </x:c>
      <x:c r="K8042" s="6" t="n">
        <x:f>IF(G8042&gt;H8042,1,0)</x:f>
        <x:v>1</x:v>
      </x:c>
      <x:c r="L8042" s="6" t="n">
        <x:f>J8042*K8042</x:f>
        <x:v>1</x:v>
      </x:c>
    </x:row>
    <x:row r="8043">
      <x:c r="A8043" s="1" t="n">
        <x:v>64509</x:v>
      </x:c>
      <x:c r="B8043" s="5" t="d">
        <x:v>2017-07-30T00:00:00.000Z</x:v>
      </x:c>
      <x:c r="C8043" s="1" t="str">
        <x:v>Standard Class</x:v>
      </x:c>
      <x:c r="D8043" s="1" t="str">
        <x:v>Europe</x:v>
      </x:c>
      <x:c r="E8043" s="1" t="str">
        <x:v>COMPLETE</x:v>
      </x:c>
      <x:c r="F8043" s="1" t="str">
        <x:v>Late delivery</x:v>
      </x:c>
      <x:c r="G8043" s="6" t="n">
        <x:v>5</x:v>
      </x:c>
      <x:c r="H8043" s="6" t="n">
        <x:v>4</x:v>
      </x:c>
      <x:c r="I8043" s="6" t="n">
        <x:f>G8043-H8043</x:f>
        <x:v>1</x:v>
      </x:c>
      <x:c r="J8043" s="6" t="n">
        <x:f>IF(OR(E8043="CANCELED",E8043="SUSPECTED_FRAUD",F8043="Shipping canceled"),0,1)</x:f>
        <x:v>1</x:v>
      </x:c>
      <x:c r="K8043" s="6" t="n">
        <x:f>IF(G8043&gt;H8043,1,0)</x:f>
        <x:v>1</x:v>
      </x:c>
      <x:c r="L8043" s="6" t="n">
        <x:f>J8043*K8043</x:f>
        <x:v>1</x:v>
      </x:c>
    </x:row>
    <x:row r="8044">
      <x:c r="A8044" s="1" t="n">
        <x:v>64514</x:v>
      </x:c>
      <x:c r="B8044" s="5" t="d">
        <x:v>2017-07-30T00:00:00.000Z</x:v>
      </x:c>
      <x:c r="C8044" s="1" t="str">
        <x:v>Standard Class</x:v>
      </x:c>
      <x:c r="D8044" s="1" t="str">
        <x:v>Europe</x:v>
      </x:c>
      <x:c r="E8044" s="1" t="str">
        <x:v>COMPLETE</x:v>
      </x:c>
      <x:c r="F8044" s="1" t="str">
        <x:v>Late delivery</x:v>
      </x:c>
      <x:c r="G8044" s="6" t="n">
        <x:v>5</x:v>
      </x:c>
      <x:c r="H8044" s="6" t="n">
        <x:v>4</x:v>
      </x:c>
      <x:c r="I8044" s="6" t="n">
        <x:f>G8044-H8044</x:f>
        <x:v>1</x:v>
      </x:c>
      <x:c r="J8044" s="6" t="n">
        <x:f>IF(OR(E8044="CANCELED",E8044="SUSPECTED_FRAUD",F8044="Shipping canceled"),0,1)</x:f>
        <x:v>1</x:v>
      </x:c>
      <x:c r="K8044" s="6" t="n">
        <x:f>IF(G8044&gt;H8044,1,0)</x:f>
        <x:v>1</x:v>
      </x:c>
      <x:c r="L8044" s="6" t="n">
        <x:f>J8044*K8044</x:f>
        <x:v>1</x:v>
      </x:c>
    </x:row>
    <x:row r="8045">
      <x:c r="A8045" s="1" t="n">
        <x:v>64517</x:v>
      </x:c>
      <x:c r="B8045" s="5" t="d">
        <x:v>2017-07-30T00:00:00.000Z</x:v>
      </x:c>
      <x:c r="C8045" s="1" t="str">
        <x:v>Standard Class</x:v>
      </x:c>
      <x:c r="D8045" s="1" t="str">
        <x:v>Europe</x:v>
      </x:c>
      <x:c r="E8045" s="1" t="str">
        <x:v>CANCELED</x:v>
      </x:c>
      <x:c r="F8045" s="1" t="str">
        <x:v>Shipping canceled</x:v>
      </x:c>
      <x:c r="G8045" s="6" t="n">
        <x:v>3</x:v>
      </x:c>
      <x:c r="H8045" s="6" t="n">
        <x:v>4</x:v>
      </x:c>
      <x:c r="I8045" s="6" t="n">
        <x:f>G8045-H8045</x:f>
        <x:v>-1</x:v>
      </x:c>
      <x:c r="J8045" s="6" t="n">
        <x:f>IF(OR(E8045="CANCELED",E8045="SUSPECTED_FRAUD",F8045="Shipping canceled"),0,1)</x:f>
        <x:v>0</x:v>
      </x:c>
      <x:c r="K8045" s="6" t="n">
        <x:f>IF(G8045&gt;H8045,1,0)</x:f>
        <x:v>0</x:v>
      </x:c>
      <x:c r="L8045" s="6" t="n">
        <x:f>J8045*K8045</x:f>
        <x:v>0</x:v>
      </x:c>
    </x:row>
    <x:row r="8046">
      <x:c r="A8046" s="1" t="n">
        <x:v>64531</x:v>
      </x:c>
      <x:c r="B8046" s="5" t="d">
        <x:v>2017-07-30T00:00:00.000Z</x:v>
      </x:c>
      <x:c r="C8046" s="1" t="str">
        <x:v>Standard Class</x:v>
      </x:c>
      <x:c r="D8046" s="1" t="str">
        <x:v>Europe</x:v>
      </x:c>
      <x:c r="E8046" s="1" t="str">
        <x:v>COMPLETE</x:v>
      </x:c>
      <x:c r="F8046" s="1" t="str">
        <x:v>Advance shipping</x:v>
      </x:c>
      <x:c r="G8046" s="6" t="n">
        <x:v>2</x:v>
      </x:c>
      <x:c r="H8046" s="6" t="n">
        <x:v>4</x:v>
      </x:c>
      <x:c r="I8046" s="6" t="n">
        <x:f>G8046-H8046</x:f>
        <x:v>-2</x:v>
      </x:c>
      <x:c r="J8046" s="6" t="n">
        <x:f>IF(OR(E8046="CANCELED",E8046="SUSPECTED_FRAUD",F8046="Shipping canceled"),0,1)</x:f>
        <x:v>1</x:v>
      </x:c>
      <x:c r="K8046" s="6" t="n">
        <x:f>IF(G8046&gt;H8046,1,0)</x:f>
        <x:v>0</x:v>
      </x:c>
      <x:c r="L8046" s="6" t="n">
        <x:f>J8046*K8046</x:f>
        <x:v>0</x:v>
      </x:c>
    </x:row>
    <x:row r="8047">
      <x:c r="A8047" s="1" t="n">
        <x:v>64533</x:v>
      </x:c>
      <x:c r="B8047" s="5" t="d">
        <x:v>2017-07-31T00:00:00.000Z</x:v>
      </x:c>
      <x:c r="C8047" s="1" t="str">
        <x:v>Standard Class</x:v>
      </x:c>
      <x:c r="D8047" s="1" t="str">
        <x:v>Europe</x:v>
      </x:c>
      <x:c r="E8047" s="1" t="str">
        <x:v>COMPLETE</x:v>
      </x:c>
      <x:c r="F8047" s="1" t="str">
        <x:v>Shipping on time</x:v>
      </x:c>
      <x:c r="G8047" s="6" t="n">
        <x:v>4</x:v>
      </x:c>
      <x:c r="H8047" s="6" t="n">
        <x:v>4</x:v>
      </x:c>
      <x:c r="I8047" s="6" t="n">
        <x:f>G8047-H8047</x:f>
        <x:v>0</x:v>
      </x:c>
      <x:c r="J8047" s="6" t="n">
        <x:f>IF(OR(E8047="CANCELED",E8047="SUSPECTED_FRAUD",F8047="Shipping canceled"),0,1)</x:f>
        <x:v>1</x:v>
      </x:c>
      <x:c r="K8047" s="6" t="n">
        <x:f>IF(G8047&gt;H8047,1,0)</x:f>
        <x:v>0</x:v>
      </x:c>
      <x:c r="L8047" s="6" t="n">
        <x:f>J8047*K8047</x:f>
        <x:v>0</x:v>
      </x:c>
    </x:row>
    <x:row r="8048">
      <x:c r="A8048" s="1" t="n">
        <x:v>64552</x:v>
      </x:c>
      <x:c r="B8048" s="5" t="d">
        <x:v>2017-07-31T00:00:00.000Z</x:v>
      </x:c>
      <x:c r="C8048" s="1" t="str">
        <x:v>Standard Class</x:v>
      </x:c>
      <x:c r="D8048" s="1" t="str">
        <x:v>Europe</x:v>
      </x:c>
      <x:c r="E8048" s="1" t="str">
        <x:v>ON_HOLD</x:v>
      </x:c>
      <x:c r="F8048" s="1" t="str">
        <x:v>Advance shipping</x:v>
      </x:c>
      <x:c r="G8048" s="6" t="n">
        <x:v>3</x:v>
      </x:c>
      <x:c r="H8048" s="6" t="n">
        <x:v>4</x:v>
      </x:c>
      <x:c r="I8048" s="6" t="n">
        <x:f>G8048-H8048</x:f>
        <x:v>-1</x:v>
      </x:c>
      <x:c r="J8048" s="6" t="n">
        <x:f>IF(OR(E8048="CANCELED",E8048="SUSPECTED_FRAUD",F8048="Shipping canceled"),0,1)</x:f>
        <x:v>1</x:v>
      </x:c>
      <x:c r="K8048" s="6" t="n">
        <x:f>IF(G8048&gt;H8048,1,0)</x:f>
        <x:v>0</x:v>
      </x:c>
      <x:c r="L8048" s="6" t="n">
        <x:f>J8048*K8048</x:f>
        <x:v>0</x:v>
      </x:c>
    </x:row>
    <x:row r="8049">
      <x:c r="A8049" s="1" t="n">
        <x:v>64555</x:v>
      </x:c>
      <x:c r="B8049" s="5" t="d">
        <x:v>2017-07-31T00:00:00.000Z</x:v>
      </x:c>
      <x:c r="C8049" s="1" t="str">
        <x:v>Standard Class</x:v>
      </x:c>
      <x:c r="D8049" s="1" t="str">
        <x:v>Europe</x:v>
      </x:c>
      <x:c r="E8049" s="1" t="str">
        <x:v>SUSPECTED_FRAUD</x:v>
      </x:c>
      <x:c r="F8049" s="1" t="str">
        <x:v>Shipping canceled</x:v>
      </x:c>
      <x:c r="G8049" s="6" t="n">
        <x:v>6</x:v>
      </x:c>
      <x:c r="H8049" s="6" t="n">
        <x:v>4</x:v>
      </x:c>
      <x:c r="I8049" s="6" t="n">
        <x:f>G8049-H8049</x:f>
        <x:v>2</x:v>
      </x:c>
      <x:c r="J8049" s="6" t="n">
        <x:f>IF(OR(E8049="CANCELED",E8049="SUSPECTED_FRAUD",F8049="Shipping canceled"),0,1)</x:f>
        <x:v>0</x:v>
      </x:c>
      <x:c r="K8049" s="6" t="n">
        <x:f>IF(G8049&gt;H8049,1,0)</x:f>
        <x:v>1</x:v>
      </x:c>
      <x:c r="L8049" s="6" t="n">
        <x:f>J8049*K8049</x:f>
        <x:v>0</x:v>
      </x:c>
    </x:row>
    <x:row r="8050">
      <x:c r="A8050" s="1" t="n">
        <x:v>64559</x:v>
      </x:c>
      <x:c r="B8050" s="5" t="d">
        <x:v>2017-07-31T00:00:00.000Z</x:v>
      </x:c>
      <x:c r="C8050" s="1" t="str">
        <x:v>Standard Class</x:v>
      </x:c>
      <x:c r="D8050" s="1" t="str">
        <x:v>Europe</x:v>
      </x:c>
      <x:c r="E8050" s="1" t="str">
        <x:v>PAYMENT_REVIEW</x:v>
      </x:c>
      <x:c r="F8050" s="1" t="str">
        <x:v>Late delivery</x:v>
      </x:c>
      <x:c r="G8050" s="6" t="n">
        <x:v>5</x:v>
      </x:c>
      <x:c r="H8050" s="6" t="n">
        <x:v>4</x:v>
      </x:c>
      <x:c r="I8050" s="6" t="n">
        <x:f>G8050-H8050</x:f>
        <x:v>1</x:v>
      </x:c>
      <x:c r="J8050" s="6" t="n">
        <x:f>IF(OR(E8050="CANCELED",E8050="SUSPECTED_FRAUD",F8050="Shipping canceled"),0,1)</x:f>
        <x:v>1</x:v>
      </x:c>
      <x:c r="K8050" s="6" t="n">
        <x:f>IF(G8050&gt;H8050,1,0)</x:f>
        <x:v>1</x:v>
      </x:c>
      <x:c r="L8050" s="6" t="n">
        <x:f>J8050*K8050</x:f>
        <x:v>1</x:v>
      </x:c>
    </x:row>
    <x:row r="8051">
      <x:c r="A8051" s="1" t="n">
        <x:v>64565</x:v>
      </x:c>
      <x:c r="B8051" s="5" t="d">
        <x:v>2017-07-31T00:00:00.000Z</x:v>
      </x:c>
      <x:c r="C8051" s="1" t="str">
        <x:v>Standard Class</x:v>
      </x:c>
      <x:c r="D8051" s="1" t="str">
        <x:v>Europe</x:v>
      </x:c>
      <x:c r="E8051" s="1" t="str">
        <x:v>ON_HOLD</x:v>
      </x:c>
      <x:c r="F8051" s="1" t="str">
        <x:v>Late delivery</x:v>
      </x:c>
      <x:c r="G8051" s="6" t="n">
        <x:v>6</x:v>
      </x:c>
      <x:c r="H8051" s="6" t="n">
        <x:v>4</x:v>
      </x:c>
      <x:c r="I8051" s="6" t="n">
        <x:f>G8051-H8051</x:f>
        <x:v>2</x:v>
      </x:c>
      <x:c r="J8051" s="6" t="n">
        <x:f>IF(OR(E8051="CANCELED",E8051="SUSPECTED_FRAUD",F8051="Shipping canceled"),0,1)</x:f>
        <x:v>1</x:v>
      </x:c>
      <x:c r="K8051" s="6" t="n">
        <x:f>IF(G8051&gt;H8051,1,0)</x:f>
        <x:v>1</x:v>
      </x:c>
      <x:c r="L8051" s="6" t="n">
        <x:f>J8051*K8051</x:f>
        <x:v>1</x:v>
      </x:c>
    </x:row>
    <x:row r="8052">
      <x:c r="A8052" s="1" t="n">
        <x:v>64567</x:v>
      </x:c>
      <x:c r="B8052" s="5" t="d">
        <x:v>2017-07-31T00:00:00.000Z</x:v>
      </x:c>
      <x:c r="C8052" s="1" t="str">
        <x:v>Standard Class</x:v>
      </x:c>
      <x:c r="D8052" s="1" t="str">
        <x:v>Europe</x:v>
      </x:c>
      <x:c r="E8052" s="1" t="str">
        <x:v>PROCESSING</x:v>
      </x:c>
      <x:c r="F8052" s="1" t="str">
        <x:v>Advance shipping</x:v>
      </x:c>
      <x:c r="G8052" s="6" t="n">
        <x:v>3</x:v>
      </x:c>
      <x:c r="H8052" s="6" t="n">
        <x:v>4</x:v>
      </x:c>
      <x:c r="I8052" s="6" t="n">
        <x:f>G8052-H8052</x:f>
        <x:v>-1</x:v>
      </x:c>
      <x:c r="J8052" s="6" t="n">
        <x:f>IF(OR(E8052="CANCELED",E8052="SUSPECTED_FRAUD",F8052="Shipping canceled"),0,1)</x:f>
        <x:v>1</x:v>
      </x:c>
      <x:c r="K8052" s="6" t="n">
        <x:f>IF(G8052&gt;H8052,1,0)</x:f>
        <x:v>0</x:v>
      </x:c>
      <x:c r="L8052" s="6" t="n">
        <x:f>J8052*K8052</x:f>
        <x:v>0</x:v>
      </x:c>
    </x:row>
    <x:row r="8053">
      <x:c r="A8053" s="1" t="n">
        <x:v>64570</x:v>
      </x:c>
      <x:c r="B8053" s="5" t="d">
        <x:v>2017-07-31T00:00:00.000Z</x:v>
      </x:c>
      <x:c r="C8053" s="1" t="str">
        <x:v>Standard Class</x:v>
      </x:c>
      <x:c r="D8053" s="1" t="str">
        <x:v>Europe</x:v>
      </x:c>
      <x:c r="E8053" s="1" t="str">
        <x:v>COMPLETE</x:v>
      </x:c>
      <x:c r="F8053" s="1" t="str">
        <x:v>Late delivery</x:v>
      </x:c>
      <x:c r="G8053" s="6" t="n">
        <x:v>6</x:v>
      </x:c>
      <x:c r="H8053" s="6" t="n">
        <x:v>4</x:v>
      </x:c>
      <x:c r="I8053" s="6" t="n">
        <x:f>G8053-H8053</x:f>
        <x:v>2</x:v>
      </x:c>
      <x:c r="J8053" s="6" t="n">
        <x:f>IF(OR(E8053="CANCELED",E8053="SUSPECTED_FRAUD",F8053="Shipping canceled"),0,1)</x:f>
        <x:v>1</x:v>
      </x:c>
      <x:c r="K8053" s="6" t="n">
        <x:f>IF(G8053&gt;H8053,1,0)</x:f>
        <x:v>1</x:v>
      </x:c>
      <x:c r="L8053" s="6" t="n">
        <x:f>J8053*K8053</x:f>
        <x:v>1</x:v>
      </x:c>
    </x:row>
    <x:row r="8054">
      <x:c r="A8054" s="1" t="n">
        <x:v>64589</x:v>
      </x:c>
      <x:c r="B8054" s="5" t="d">
        <x:v>2017-07-31T00:00:00.000Z</x:v>
      </x:c>
      <x:c r="C8054" s="1" t="str">
        <x:v>Standard Class</x:v>
      </x:c>
      <x:c r="D8054" s="1" t="str">
        <x:v>Europe</x:v>
      </x:c>
      <x:c r="E8054" s="1" t="str">
        <x:v>ON_HOLD</x:v>
      </x:c>
      <x:c r="F8054" s="1" t="str">
        <x:v>Late delivery</x:v>
      </x:c>
      <x:c r="G8054" s="6" t="n">
        <x:v>5</x:v>
      </x:c>
      <x:c r="H8054" s="6" t="n">
        <x:v>4</x:v>
      </x:c>
      <x:c r="I8054" s="6" t="n">
        <x:f>G8054-H8054</x:f>
        <x:v>1</x:v>
      </x:c>
      <x:c r="J8054" s="6" t="n">
        <x:f>IF(OR(E8054="CANCELED",E8054="SUSPECTED_FRAUD",F8054="Shipping canceled"),0,1)</x:f>
        <x:v>1</x:v>
      </x:c>
      <x:c r="K8054" s="6" t="n">
        <x:f>IF(G8054&gt;H8054,1,0)</x:f>
        <x:v>1</x:v>
      </x:c>
      <x:c r="L8054" s="6" t="n">
        <x:f>J8054*K8054</x:f>
        <x:v>1</x:v>
      </x:c>
    </x:row>
    <x:row r="8055">
      <x:c r="A8055" s="1" t="n">
        <x:v>64598</x:v>
      </x:c>
      <x:c r="B8055" s="5" t="d">
        <x:v>2017-07-31T00:00:00.000Z</x:v>
      </x:c>
      <x:c r="C8055" s="1" t="str">
        <x:v>Standard Class</x:v>
      </x:c>
      <x:c r="D8055" s="1" t="str">
        <x:v>Europe</x:v>
      </x:c>
      <x:c r="E8055" s="1" t="str">
        <x:v>PENDING_PAYMENT</x:v>
      </x:c>
      <x:c r="F8055" s="1" t="str">
        <x:v>Shipping on time</x:v>
      </x:c>
      <x:c r="G8055" s="6" t="n">
        <x:v>4</x:v>
      </x:c>
      <x:c r="H8055" s="6" t="n">
        <x:v>4</x:v>
      </x:c>
      <x:c r="I8055" s="6" t="n">
        <x:f>G8055-H8055</x:f>
        <x:v>0</x:v>
      </x:c>
      <x:c r="J8055" s="6" t="n">
        <x:f>IF(OR(E8055="CANCELED",E8055="SUSPECTED_FRAUD",F8055="Shipping canceled"),0,1)</x:f>
        <x:v>1</x:v>
      </x:c>
      <x:c r="K8055" s="6" t="n">
        <x:f>IF(G8055&gt;H8055,1,0)</x:f>
        <x:v>0</x:v>
      </x:c>
      <x:c r="L8055" s="6" t="n">
        <x:f>J8055*K8055</x:f>
        <x:v>0</x:v>
      </x:c>
    </x:row>
    <x:row r="8056">
      <x:c r="A8056" s="1" t="n">
        <x:v>64599</x:v>
      </x:c>
      <x:c r="B8056" s="5" t="d">
        <x:v>2017-07-31T00:00:00.000Z</x:v>
      </x:c>
      <x:c r="C8056" s="1" t="str">
        <x:v>Standard Class</x:v>
      </x:c>
      <x:c r="D8056" s="1" t="str">
        <x:v>Europe</x:v>
      </x:c>
      <x:c r="E8056" s="1" t="str">
        <x:v>PENDING</x:v>
      </x:c>
      <x:c r="F8056" s="1" t="str">
        <x:v>Late delivery</x:v>
      </x:c>
      <x:c r="G8056" s="6" t="n">
        <x:v>5</x:v>
      </x:c>
      <x:c r="H8056" s="6" t="n">
        <x:v>4</x:v>
      </x:c>
      <x:c r="I8056" s="6" t="n">
        <x:f>G8056-H8056</x:f>
        <x:v>1</x:v>
      </x:c>
      <x:c r="J8056" s="6" t="n">
        <x:f>IF(OR(E8056="CANCELED",E8056="SUSPECTED_FRAUD",F8056="Shipping canceled"),0,1)</x:f>
        <x:v>1</x:v>
      </x:c>
      <x:c r="K8056" s="6" t="n">
        <x:f>IF(G8056&gt;H8056,1,0)</x:f>
        <x:v>1</x:v>
      </x:c>
      <x:c r="L8056" s="6" t="n">
        <x:f>J8056*K8056</x:f>
        <x:v>1</x:v>
      </x:c>
    </x:row>
    <x:row r="8057">
      <x:c r="A8057" s="1" t="n">
        <x:v>64603</x:v>
      </x:c>
      <x:c r="B8057" s="5" t="d">
        <x:v>2017-08-01T00:00:00.000Z</x:v>
      </x:c>
      <x:c r="C8057" s="1" t="str">
        <x:v>Standard Class</x:v>
      </x:c>
      <x:c r="D8057" s="1" t="str">
        <x:v>Europe</x:v>
      </x:c>
      <x:c r="E8057" s="1" t="str">
        <x:v>PENDING</x:v>
      </x:c>
      <x:c r="F8057" s="1" t="str">
        <x:v>Shipping on time</x:v>
      </x:c>
      <x:c r="G8057" s="6" t="n">
        <x:v>4</x:v>
      </x:c>
      <x:c r="H8057" s="6" t="n">
        <x:v>4</x:v>
      </x:c>
      <x:c r="I8057" s="6" t="n">
        <x:f>G8057-H8057</x:f>
        <x:v>0</x:v>
      </x:c>
      <x:c r="J8057" s="6" t="n">
        <x:f>IF(OR(E8057="CANCELED",E8057="SUSPECTED_FRAUD",F8057="Shipping canceled"),0,1)</x:f>
        <x:v>1</x:v>
      </x:c>
      <x:c r="K8057" s="6" t="n">
        <x:f>IF(G8057&gt;H8057,1,0)</x:f>
        <x:v>0</x:v>
      </x:c>
      <x:c r="L8057" s="6" t="n">
        <x:f>J8057*K8057</x:f>
        <x:v>0</x:v>
      </x:c>
    </x:row>
    <x:row r="8058">
      <x:c r="A8058" s="1" t="n">
        <x:v>64612</x:v>
      </x:c>
      <x:c r="B8058" s="5" t="d">
        <x:v>2017-08-01T00:00:00.000Z</x:v>
      </x:c>
      <x:c r="C8058" s="1" t="str">
        <x:v>Standard Class</x:v>
      </x:c>
      <x:c r="D8058" s="1" t="str">
        <x:v>Europe</x:v>
      </x:c>
      <x:c r="E8058" s="1" t="str">
        <x:v>PROCESSING</x:v>
      </x:c>
      <x:c r="F8058" s="1" t="str">
        <x:v>Advance shipping</x:v>
      </x:c>
      <x:c r="G8058" s="6" t="n">
        <x:v>3</x:v>
      </x:c>
      <x:c r="H8058" s="6" t="n">
        <x:v>4</x:v>
      </x:c>
      <x:c r="I8058" s="6" t="n">
        <x:f>G8058-H8058</x:f>
        <x:v>-1</x:v>
      </x:c>
      <x:c r="J8058" s="6" t="n">
        <x:f>IF(OR(E8058="CANCELED",E8058="SUSPECTED_FRAUD",F8058="Shipping canceled"),0,1)</x:f>
        <x:v>1</x:v>
      </x:c>
      <x:c r="K8058" s="6" t="n">
        <x:f>IF(G8058&gt;H8058,1,0)</x:f>
        <x:v>0</x:v>
      </x:c>
      <x:c r="L8058" s="6" t="n">
        <x:f>J8058*K8058</x:f>
        <x:v>0</x:v>
      </x:c>
    </x:row>
    <x:row r="8059">
      <x:c r="A8059" s="1" t="n">
        <x:v>64634</x:v>
      </x:c>
      <x:c r="B8059" s="5" t="d">
        <x:v>2017-08-01T00:00:00.000Z</x:v>
      </x:c>
      <x:c r="C8059" s="1" t="str">
        <x:v>Second Class</x:v>
      </x:c>
      <x:c r="D8059" s="1" t="str">
        <x:v>Europe</x:v>
      </x:c>
      <x:c r="E8059" s="1" t="str">
        <x:v>CLOSED</x:v>
      </x:c>
      <x:c r="F8059" s="1" t="str">
        <x:v>Late delivery</x:v>
      </x:c>
      <x:c r="G8059" s="6" t="n">
        <x:v>5</x:v>
      </x:c>
      <x:c r="H8059" s="6" t="n">
        <x:v>2</x:v>
      </x:c>
      <x:c r="I8059" s="6" t="n">
        <x:f>G8059-H8059</x:f>
        <x:v>3</x:v>
      </x:c>
      <x:c r="J8059" s="6" t="n">
        <x:f>IF(OR(E8059="CANCELED",E8059="SUSPECTED_FRAUD",F8059="Shipping canceled"),0,1)</x:f>
        <x:v>1</x:v>
      </x:c>
      <x:c r="K8059" s="6" t="n">
        <x:f>IF(G8059&gt;H8059,1,0)</x:f>
        <x:v>1</x:v>
      </x:c>
      <x:c r="L8059" s="6" t="n">
        <x:f>J8059*K8059</x:f>
        <x:v>1</x:v>
      </x:c>
    </x:row>
    <x:row r="8060">
      <x:c r="A8060" s="1" t="n">
        <x:v>64637</x:v>
      </x:c>
      <x:c r="B8060" s="5" t="d">
        <x:v>2017-08-01T00:00:00.000Z</x:v>
      </x:c>
      <x:c r="C8060" s="1" t="str">
        <x:v>Second Class</x:v>
      </x:c>
      <x:c r="D8060" s="1" t="str">
        <x:v>Europe</x:v>
      </x:c>
      <x:c r="E8060" s="1" t="str">
        <x:v>COMPLETE</x:v>
      </x:c>
      <x:c r="F8060" s="1" t="str">
        <x:v>Late delivery</x:v>
      </x:c>
      <x:c r="G8060" s="6" t="n">
        <x:v>3</x:v>
      </x:c>
      <x:c r="H8060" s="6" t="n">
        <x:v>2</x:v>
      </x:c>
      <x:c r="I8060" s="6" t="n">
        <x:f>G8060-H8060</x:f>
        <x:v>1</x:v>
      </x:c>
      <x:c r="J8060" s="6" t="n">
        <x:f>IF(OR(E8060="CANCELED",E8060="SUSPECTED_FRAUD",F8060="Shipping canceled"),0,1)</x:f>
        <x:v>1</x:v>
      </x:c>
      <x:c r="K8060" s="6" t="n">
        <x:f>IF(G8060&gt;H8060,1,0)</x:f>
        <x:v>1</x:v>
      </x:c>
      <x:c r="L8060" s="6" t="n">
        <x:f>J8060*K8060</x:f>
        <x:v>1</x:v>
      </x:c>
    </x:row>
    <x:row r="8061">
      <x:c r="A8061" s="1" t="n">
        <x:v>64638</x:v>
      </x:c>
      <x:c r="B8061" s="5" t="d">
        <x:v>2017-08-01T00:00:00.000Z</x:v>
      </x:c>
      <x:c r="C8061" s="1" t="str">
        <x:v>Standard Class</x:v>
      </x:c>
      <x:c r="D8061" s="1" t="str">
        <x:v>Europe</x:v>
      </x:c>
      <x:c r="E8061" s="1" t="str">
        <x:v>PENDING_PAYMENT</x:v>
      </x:c>
      <x:c r="F8061" s="1" t="str">
        <x:v>Shipping on time</x:v>
      </x:c>
      <x:c r="G8061" s="6" t="n">
        <x:v>4</x:v>
      </x:c>
      <x:c r="H8061" s="6" t="n">
        <x:v>4</x:v>
      </x:c>
      <x:c r="I8061" s="6" t="n">
        <x:f>G8061-H8061</x:f>
        <x:v>0</x:v>
      </x:c>
      <x:c r="J8061" s="6" t="n">
        <x:f>IF(OR(E8061="CANCELED",E8061="SUSPECTED_FRAUD",F8061="Shipping canceled"),0,1)</x:f>
        <x:v>1</x:v>
      </x:c>
      <x:c r="K8061" s="6" t="n">
        <x:f>IF(G8061&gt;H8061,1,0)</x:f>
        <x:v>0</x:v>
      </x:c>
      <x:c r="L8061" s="6" t="n">
        <x:f>J8061*K8061</x:f>
        <x:v>0</x:v>
      </x:c>
    </x:row>
    <x:row r="8062">
      <x:c r="A8062" s="1" t="n">
        <x:v>64646</x:v>
      </x:c>
      <x:c r="B8062" s="5" t="d">
        <x:v>2017-08-01T00:00:00.000Z</x:v>
      </x:c>
      <x:c r="C8062" s="1" t="str">
        <x:v>Standard Class</x:v>
      </x:c>
      <x:c r="D8062" s="1" t="str">
        <x:v>Europe</x:v>
      </x:c>
      <x:c r="E8062" s="1" t="str">
        <x:v>COMPLETE</x:v>
      </x:c>
      <x:c r="F8062" s="1" t="str">
        <x:v>Advance shipping</x:v>
      </x:c>
      <x:c r="G8062" s="6" t="n">
        <x:v>2</x:v>
      </x:c>
      <x:c r="H8062" s="6" t="n">
        <x:v>4</x:v>
      </x:c>
      <x:c r="I8062" s="6" t="n">
        <x:f>G8062-H8062</x:f>
        <x:v>-2</x:v>
      </x:c>
      <x:c r="J8062" s="6" t="n">
        <x:f>IF(OR(E8062="CANCELED",E8062="SUSPECTED_FRAUD",F8062="Shipping canceled"),0,1)</x:f>
        <x:v>1</x:v>
      </x:c>
      <x:c r="K8062" s="6" t="n">
        <x:f>IF(G8062&gt;H8062,1,0)</x:f>
        <x:v>0</x:v>
      </x:c>
      <x:c r="L8062" s="6" t="n">
        <x:f>J8062*K8062</x:f>
        <x:v>0</x:v>
      </x:c>
    </x:row>
    <x:row r="8063">
      <x:c r="A8063" s="1" t="n">
        <x:v>64650</x:v>
      </x:c>
      <x:c r="B8063" s="5" t="d">
        <x:v>2017-08-01T00:00:00.000Z</x:v>
      </x:c>
      <x:c r="C8063" s="1" t="str">
        <x:v>Standard Class</x:v>
      </x:c>
      <x:c r="D8063" s="1" t="str">
        <x:v>Europe</x:v>
      </x:c>
      <x:c r="E8063" s="1" t="str">
        <x:v>COMPLETE</x:v>
      </x:c>
      <x:c r="F8063" s="1" t="str">
        <x:v>Late delivery</x:v>
      </x:c>
      <x:c r="G8063" s="6" t="n">
        <x:v>6</x:v>
      </x:c>
      <x:c r="H8063" s="6" t="n">
        <x:v>4</x:v>
      </x:c>
      <x:c r="I8063" s="6" t="n">
        <x:f>G8063-H8063</x:f>
        <x:v>2</x:v>
      </x:c>
      <x:c r="J8063" s="6" t="n">
        <x:f>IF(OR(E8063="CANCELED",E8063="SUSPECTED_FRAUD",F8063="Shipping canceled"),0,1)</x:f>
        <x:v>1</x:v>
      </x:c>
      <x:c r="K8063" s="6" t="n">
        <x:f>IF(G8063&gt;H8063,1,0)</x:f>
        <x:v>1</x:v>
      </x:c>
      <x:c r="L8063" s="6" t="n">
        <x:f>J8063*K8063</x:f>
        <x:v>1</x:v>
      </x:c>
    </x:row>
    <x:row r="8064">
      <x:c r="A8064" s="1" t="n">
        <x:v>64652</x:v>
      </x:c>
      <x:c r="B8064" s="5" t="d">
        <x:v>2017-08-01T00:00:00.000Z</x:v>
      </x:c>
      <x:c r="C8064" s="1" t="str">
        <x:v>Standard Class</x:v>
      </x:c>
      <x:c r="D8064" s="1" t="str">
        <x:v>Europe</x:v>
      </x:c>
      <x:c r="E8064" s="1" t="str">
        <x:v>COMPLETE</x:v>
      </x:c>
      <x:c r="F8064" s="1" t="str">
        <x:v>Advance shipping</x:v>
      </x:c>
      <x:c r="G8064" s="6" t="n">
        <x:v>3</x:v>
      </x:c>
      <x:c r="H8064" s="6" t="n">
        <x:v>4</x:v>
      </x:c>
      <x:c r="I8064" s="6" t="n">
        <x:f>G8064-H8064</x:f>
        <x:v>-1</x:v>
      </x:c>
      <x:c r="J8064" s="6" t="n">
        <x:f>IF(OR(E8064="CANCELED",E8064="SUSPECTED_FRAUD",F8064="Shipping canceled"),0,1)</x:f>
        <x:v>1</x:v>
      </x:c>
      <x:c r="K8064" s="6" t="n">
        <x:f>IF(G8064&gt;H8064,1,0)</x:f>
        <x:v>0</x:v>
      </x:c>
      <x:c r="L8064" s="6" t="n">
        <x:f>J8064*K8064</x:f>
        <x:v>0</x:v>
      </x:c>
    </x:row>
    <x:row r="8065">
      <x:c r="A8065" s="1" t="n">
        <x:v>64653</x:v>
      </x:c>
      <x:c r="B8065" s="5" t="d">
        <x:v>2017-08-01T00:00:00.000Z</x:v>
      </x:c>
      <x:c r="C8065" s="1" t="str">
        <x:v>Standard Class</x:v>
      </x:c>
      <x:c r="D8065" s="1" t="str">
        <x:v>Europe</x:v>
      </x:c>
      <x:c r="E8065" s="1" t="str">
        <x:v>COMPLETE</x:v>
      </x:c>
      <x:c r="F8065" s="1" t="str">
        <x:v>Shipping on time</x:v>
      </x:c>
      <x:c r="G8065" s="6" t="n">
        <x:v>4</x:v>
      </x:c>
      <x:c r="H8065" s="6" t="n">
        <x:v>4</x:v>
      </x:c>
      <x:c r="I8065" s="6" t="n">
        <x:f>G8065-H8065</x:f>
        <x:v>0</x:v>
      </x:c>
      <x:c r="J8065" s="6" t="n">
        <x:f>IF(OR(E8065="CANCELED",E8065="SUSPECTED_FRAUD",F8065="Shipping canceled"),0,1)</x:f>
        <x:v>1</x:v>
      </x:c>
      <x:c r="K8065" s="6" t="n">
        <x:f>IF(G8065&gt;H8065,1,0)</x:f>
        <x:v>0</x:v>
      </x:c>
      <x:c r="L8065" s="6" t="n">
        <x:f>J8065*K8065</x:f>
        <x:v>0</x:v>
      </x:c>
    </x:row>
    <x:row r="8066">
      <x:c r="A8066" s="1" t="n">
        <x:v>64658</x:v>
      </x:c>
      <x:c r="B8066" s="5" t="d">
        <x:v>2017-08-01T00:00:00.000Z</x:v>
      </x:c>
      <x:c r="C8066" s="1" t="str">
        <x:v>Standard Class</x:v>
      </x:c>
      <x:c r="D8066" s="1" t="str">
        <x:v>Europe</x:v>
      </x:c>
      <x:c r="E8066" s="1" t="str">
        <x:v>ON_HOLD</x:v>
      </x:c>
      <x:c r="F8066" s="1" t="str">
        <x:v>Shipping on time</x:v>
      </x:c>
      <x:c r="G8066" s="6" t="n">
        <x:v>4</x:v>
      </x:c>
      <x:c r="H8066" s="6" t="n">
        <x:v>4</x:v>
      </x:c>
      <x:c r="I8066" s="6" t="n">
        <x:f>G8066-H8066</x:f>
        <x:v>0</x:v>
      </x:c>
      <x:c r="J8066" s="6" t="n">
        <x:f>IF(OR(E8066="CANCELED",E8066="SUSPECTED_FRAUD",F8066="Shipping canceled"),0,1)</x:f>
        <x:v>1</x:v>
      </x:c>
      <x:c r="K8066" s="6" t="n">
        <x:f>IF(G8066&gt;H8066,1,0)</x:f>
        <x:v>0</x:v>
      </x:c>
      <x:c r="L8066" s="6" t="n">
        <x:f>J8066*K8066</x:f>
        <x:v>0</x:v>
      </x:c>
    </x:row>
    <x:row r="8067">
      <x:c r="A8067" s="1" t="n">
        <x:v>64664</x:v>
      </x:c>
      <x:c r="B8067" s="5" t="d">
        <x:v>2017-08-01T00:00:00.000Z</x:v>
      </x:c>
      <x:c r="C8067" s="1" t="str">
        <x:v>Standard Class</x:v>
      </x:c>
      <x:c r="D8067" s="1" t="str">
        <x:v>Europe</x:v>
      </x:c>
      <x:c r="E8067" s="1" t="str">
        <x:v>COMPLETE</x:v>
      </x:c>
      <x:c r="F8067" s="1" t="str">
        <x:v>Late delivery</x:v>
      </x:c>
      <x:c r="G8067" s="6" t="n">
        <x:v>5</x:v>
      </x:c>
      <x:c r="H8067" s="6" t="n">
        <x:v>4</x:v>
      </x:c>
      <x:c r="I8067" s="6" t="n">
        <x:f>G8067-H8067</x:f>
        <x:v>1</x:v>
      </x:c>
      <x:c r="J8067" s="6" t="n">
        <x:f>IF(OR(E8067="CANCELED",E8067="SUSPECTED_FRAUD",F8067="Shipping canceled"),0,1)</x:f>
        <x:v>1</x:v>
      </x:c>
      <x:c r="K8067" s="6" t="n">
        <x:f>IF(G8067&gt;H8067,1,0)</x:f>
        <x:v>1</x:v>
      </x:c>
      <x:c r="L8067" s="6" t="n">
        <x:f>J8067*K8067</x:f>
        <x:v>1</x:v>
      </x:c>
    </x:row>
    <x:row r="8068">
      <x:c r="A8068" s="1" t="n">
        <x:v>64677</x:v>
      </x:c>
      <x:c r="B8068" s="5" t="d">
        <x:v>2017-08-02T00:00:00.000Z</x:v>
      </x:c>
      <x:c r="C8068" s="1" t="str">
        <x:v>Standard Class</x:v>
      </x:c>
      <x:c r="D8068" s="1" t="str">
        <x:v>Europe</x:v>
      </x:c>
      <x:c r="E8068" s="1" t="str">
        <x:v>COMPLETE</x:v>
      </x:c>
      <x:c r="F8068" s="1" t="str">
        <x:v>Advance shipping</x:v>
      </x:c>
      <x:c r="G8068" s="6" t="n">
        <x:v>3</x:v>
      </x:c>
      <x:c r="H8068" s="6" t="n">
        <x:v>4</x:v>
      </x:c>
      <x:c r="I8068" s="6" t="n">
        <x:f>G8068-H8068</x:f>
        <x:v>-1</x:v>
      </x:c>
      <x:c r="J8068" s="6" t="n">
        <x:f>IF(OR(E8068="CANCELED",E8068="SUSPECTED_FRAUD",F8068="Shipping canceled"),0,1)</x:f>
        <x:v>1</x:v>
      </x:c>
      <x:c r="K8068" s="6" t="n">
        <x:f>IF(G8068&gt;H8068,1,0)</x:f>
        <x:v>0</x:v>
      </x:c>
      <x:c r="L8068" s="6" t="n">
        <x:f>J8068*K8068</x:f>
        <x:v>0</x:v>
      </x:c>
    </x:row>
    <x:row r="8069">
      <x:c r="A8069" s="1" t="n">
        <x:v>64685</x:v>
      </x:c>
      <x:c r="B8069" s="5" t="d">
        <x:v>2017-08-02T00:00:00.000Z</x:v>
      </x:c>
      <x:c r="C8069" s="1" t="str">
        <x:v>Standard Class</x:v>
      </x:c>
      <x:c r="D8069" s="1" t="str">
        <x:v>Europe</x:v>
      </x:c>
      <x:c r="E8069" s="1" t="str">
        <x:v>CLOSED</x:v>
      </x:c>
      <x:c r="F8069" s="1" t="str">
        <x:v>Late delivery</x:v>
      </x:c>
      <x:c r="G8069" s="6" t="n">
        <x:v>6</x:v>
      </x:c>
      <x:c r="H8069" s="6" t="n">
        <x:v>4</x:v>
      </x:c>
      <x:c r="I8069" s="6" t="n">
        <x:f>G8069-H8069</x:f>
        <x:v>2</x:v>
      </x:c>
      <x:c r="J8069" s="6" t="n">
        <x:f>IF(OR(E8069="CANCELED",E8069="SUSPECTED_FRAUD",F8069="Shipping canceled"),0,1)</x:f>
        <x:v>1</x:v>
      </x:c>
      <x:c r="K8069" s="6" t="n">
        <x:f>IF(G8069&gt;H8069,1,0)</x:f>
        <x:v>1</x:v>
      </x:c>
      <x:c r="L8069" s="6" t="n">
        <x:f>J8069*K8069</x:f>
        <x:v>1</x:v>
      </x:c>
    </x:row>
    <x:row r="8070">
      <x:c r="A8070" s="1" t="n">
        <x:v>64687</x:v>
      </x:c>
      <x:c r="B8070" s="5" t="d">
        <x:v>2017-08-02T00:00:00.000Z</x:v>
      </x:c>
      <x:c r="C8070" s="1" t="str">
        <x:v>Standard Class</x:v>
      </x:c>
      <x:c r="D8070" s="1" t="str">
        <x:v>Europe</x:v>
      </x:c>
      <x:c r="E8070" s="1" t="str">
        <x:v>PENDING</x:v>
      </x:c>
      <x:c r="F8070" s="1" t="str">
        <x:v>Advance shipping</x:v>
      </x:c>
      <x:c r="G8070" s="6" t="n">
        <x:v>3</x:v>
      </x:c>
      <x:c r="H8070" s="6" t="n">
        <x:v>4</x:v>
      </x:c>
      <x:c r="I8070" s="6" t="n">
        <x:f>G8070-H8070</x:f>
        <x:v>-1</x:v>
      </x:c>
      <x:c r="J8070" s="6" t="n">
        <x:f>IF(OR(E8070="CANCELED",E8070="SUSPECTED_FRAUD",F8070="Shipping canceled"),0,1)</x:f>
        <x:v>1</x:v>
      </x:c>
      <x:c r="K8070" s="6" t="n">
        <x:f>IF(G8070&gt;H8070,1,0)</x:f>
        <x:v>0</x:v>
      </x:c>
      <x:c r="L8070" s="6" t="n">
        <x:f>J8070*K8070</x:f>
        <x:v>0</x:v>
      </x:c>
    </x:row>
    <x:row r="8071">
      <x:c r="A8071" s="1" t="n">
        <x:v>64691</x:v>
      </x:c>
      <x:c r="B8071" s="5" t="d">
        <x:v>2017-08-02T00:00:00.000Z</x:v>
      </x:c>
      <x:c r="C8071" s="1" t="str">
        <x:v>Second Class</x:v>
      </x:c>
      <x:c r="D8071" s="1" t="str">
        <x:v>Europe</x:v>
      </x:c>
      <x:c r="E8071" s="1" t="str">
        <x:v>ON_HOLD</x:v>
      </x:c>
      <x:c r="F8071" s="1" t="str">
        <x:v>Shipping on time</x:v>
      </x:c>
      <x:c r="G8071" s="6" t="n">
        <x:v>2</x:v>
      </x:c>
      <x:c r="H8071" s="6" t="n">
        <x:v>2</x:v>
      </x:c>
      <x:c r="I8071" s="6" t="n">
        <x:f>G8071-H8071</x:f>
        <x:v>0</x:v>
      </x:c>
      <x:c r="J8071" s="6" t="n">
        <x:f>IF(OR(E8071="CANCELED",E8071="SUSPECTED_FRAUD",F8071="Shipping canceled"),0,1)</x:f>
        <x:v>1</x:v>
      </x:c>
      <x:c r="K8071" s="6" t="n">
        <x:f>IF(G8071&gt;H8071,1,0)</x:f>
        <x:v>0</x:v>
      </x:c>
      <x:c r="L8071" s="6" t="n">
        <x:f>J8071*K8071</x:f>
        <x:v>0</x:v>
      </x:c>
    </x:row>
    <x:row r="8072">
      <x:c r="A8072" s="1" t="n">
        <x:v>64692</x:v>
      </x:c>
      <x:c r="B8072" s="5" t="d">
        <x:v>2017-08-02T00:00:00.000Z</x:v>
      </x:c>
      <x:c r="C8072" s="1" t="str">
        <x:v>Standard Class</x:v>
      </x:c>
      <x:c r="D8072" s="1" t="str">
        <x:v>Europe</x:v>
      </x:c>
      <x:c r="E8072" s="1" t="str">
        <x:v>PENDING</x:v>
      </x:c>
      <x:c r="F8072" s="1" t="str">
        <x:v>Advance shipping</x:v>
      </x:c>
      <x:c r="G8072" s="6" t="n">
        <x:v>3</x:v>
      </x:c>
      <x:c r="H8072" s="6" t="n">
        <x:v>4</x:v>
      </x:c>
      <x:c r="I8072" s="6" t="n">
        <x:f>G8072-H8072</x:f>
        <x:v>-1</x:v>
      </x:c>
      <x:c r="J8072" s="6" t="n">
        <x:f>IF(OR(E8072="CANCELED",E8072="SUSPECTED_FRAUD",F8072="Shipping canceled"),0,1)</x:f>
        <x:v>1</x:v>
      </x:c>
      <x:c r="K8072" s="6" t="n">
        <x:f>IF(G8072&gt;H8072,1,0)</x:f>
        <x:v>0</x:v>
      </x:c>
      <x:c r="L8072" s="6" t="n">
        <x:f>J8072*K8072</x:f>
        <x:v>0</x:v>
      </x:c>
    </x:row>
    <x:row r="8073">
      <x:c r="A8073" s="1" t="n">
        <x:v>64695</x:v>
      </x:c>
      <x:c r="B8073" s="5" t="d">
        <x:v>2017-08-02T00:00:00.000Z</x:v>
      </x:c>
      <x:c r="C8073" s="1" t="str">
        <x:v>Standard Class</x:v>
      </x:c>
      <x:c r="D8073" s="1" t="str">
        <x:v>Europe</x:v>
      </x:c>
      <x:c r="E8073" s="1" t="str">
        <x:v>PROCESSING</x:v>
      </x:c>
      <x:c r="F8073" s="1" t="str">
        <x:v>Late delivery</x:v>
      </x:c>
      <x:c r="G8073" s="6" t="n">
        <x:v>6</x:v>
      </x:c>
      <x:c r="H8073" s="6" t="n">
        <x:v>4</x:v>
      </x:c>
      <x:c r="I8073" s="6" t="n">
        <x:f>G8073-H8073</x:f>
        <x:v>2</x:v>
      </x:c>
      <x:c r="J8073" s="6" t="n">
        <x:f>IF(OR(E8073="CANCELED",E8073="SUSPECTED_FRAUD",F8073="Shipping canceled"),0,1)</x:f>
        <x:v>1</x:v>
      </x:c>
      <x:c r="K8073" s="6" t="n">
        <x:f>IF(G8073&gt;H8073,1,0)</x:f>
        <x:v>1</x:v>
      </x:c>
      <x:c r="L8073" s="6" t="n">
        <x:f>J8073*K8073</x:f>
        <x:v>1</x:v>
      </x:c>
    </x:row>
    <x:row r="8074">
      <x:c r="A8074" s="1" t="n">
        <x:v>64705</x:v>
      </x:c>
      <x:c r="B8074" s="5" t="d">
        <x:v>2017-08-02T00:00:00.000Z</x:v>
      </x:c>
      <x:c r="C8074" s="1" t="str">
        <x:v>Second Class</x:v>
      </x:c>
      <x:c r="D8074" s="1" t="str">
        <x:v>Europe</x:v>
      </x:c>
      <x:c r="E8074" s="1" t="str">
        <x:v>COMPLETE</x:v>
      </x:c>
      <x:c r="F8074" s="1" t="str">
        <x:v>Late delivery</x:v>
      </x:c>
      <x:c r="G8074" s="6" t="n">
        <x:v>6</x:v>
      </x:c>
      <x:c r="H8074" s="6" t="n">
        <x:v>2</x:v>
      </x:c>
      <x:c r="I8074" s="6" t="n">
        <x:f>G8074-H8074</x:f>
        <x:v>4</x:v>
      </x:c>
      <x:c r="J8074" s="6" t="n">
        <x:f>IF(OR(E8074="CANCELED",E8074="SUSPECTED_FRAUD",F8074="Shipping canceled"),0,1)</x:f>
        <x:v>1</x:v>
      </x:c>
      <x:c r="K8074" s="6" t="n">
        <x:f>IF(G8074&gt;H8074,1,0)</x:f>
        <x:v>1</x:v>
      </x:c>
      <x:c r="L8074" s="6" t="n">
        <x:f>J8074*K8074</x:f>
        <x:v>1</x:v>
      </x:c>
    </x:row>
    <x:row r="8075">
      <x:c r="A8075" s="1" t="n">
        <x:v>64721</x:v>
      </x:c>
      <x:c r="B8075" s="5" t="d">
        <x:v>2017-08-02T00:00:00.000Z</x:v>
      </x:c>
      <x:c r="C8075" s="1" t="str">
        <x:v>Standard Class</x:v>
      </x:c>
      <x:c r="D8075" s="1" t="str">
        <x:v>Europe</x:v>
      </x:c>
      <x:c r="E8075" s="1" t="str">
        <x:v>COMPLETE</x:v>
      </x:c>
      <x:c r="F8075" s="1" t="str">
        <x:v>Advance shipping</x:v>
      </x:c>
      <x:c r="G8075" s="6" t="n">
        <x:v>2</x:v>
      </x:c>
      <x:c r="H8075" s="6" t="n">
        <x:v>4</x:v>
      </x:c>
      <x:c r="I8075" s="6" t="n">
        <x:f>G8075-H8075</x:f>
        <x:v>-2</x:v>
      </x:c>
      <x:c r="J8075" s="6" t="n">
        <x:f>IF(OR(E8075="CANCELED",E8075="SUSPECTED_FRAUD",F8075="Shipping canceled"),0,1)</x:f>
        <x:v>1</x:v>
      </x:c>
      <x:c r="K8075" s="6" t="n">
        <x:f>IF(G8075&gt;H8075,1,0)</x:f>
        <x:v>0</x:v>
      </x:c>
      <x:c r="L8075" s="6" t="n">
        <x:f>J8075*K8075</x:f>
        <x:v>0</x:v>
      </x:c>
    </x:row>
    <x:row r="8076">
      <x:c r="A8076" s="1" t="n">
        <x:v>64735</x:v>
      </x:c>
      <x:c r="B8076" s="5" t="d">
        <x:v>2017-08-02T00:00:00.000Z</x:v>
      </x:c>
      <x:c r="C8076" s="1" t="str">
        <x:v>First Class</x:v>
      </x:c>
      <x:c r="D8076" s="1" t="str">
        <x:v>Europe</x:v>
      </x:c>
      <x:c r="E8076" s="1" t="str">
        <x:v>PENDING</x:v>
      </x:c>
      <x:c r="F8076" s="1" t="str">
        <x:v>Late delivery</x:v>
      </x:c>
      <x:c r="G8076" s="6" t="n">
        <x:v>2</x:v>
      </x:c>
      <x:c r="H8076" s="6" t="n">
        <x:v>1</x:v>
      </x:c>
      <x:c r="I8076" s="6" t="n">
        <x:f>G8076-H8076</x:f>
        <x:v>1</x:v>
      </x:c>
      <x:c r="J8076" s="6" t="n">
        <x:f>IF(OR(E8076="CANCELED",E8076="SUSPECTED_FRAUD",F8076="Shipping canceled"),0,1)</x:f>
        <x:v>1</x:v>
      </x:c>
      <x:c r="K8076" s="6" t="n">
        <x:f>IF(G8076&gt;H8076,1,0)</x:f>
        <x:v>1</x:v>
      </x:c>
      <x:c r="L8076" s="6" t="n">
        <x:f>J8076*K8076</x:f>
        <x:v>1</x:v>
      </x:c>
    </x:row>
    <x:row r="8077">
      <x:c r="A8077" s="1" t="n">
        <x:v>64739</x:v>
      </x:c>
      <x:c r="B8077" s="5" t="d">
        <x:v>2017-08-03T00:00:00.000Z</x:v>
      </x:c>
      <x:c r="C8077" s="1" t="str">
        <x:v>First Class</x:v>
      </x:c>
      <x:c r="D8077" s="1" t="str">
        <x:v>Europe</x:v>
      </x:c>
      <x:c r="E8077" s="1" t="str">
        <x:v>PENDING_PAYMENT</x:v>
      </x:c>
      <x:c r="F8077" s="1" t="str">
        <x:v>Late delivery</x:v>
      </x:c>
      <x:c r="G8077" s="6" t="n">
        <x:v>2</x:v>
      </x:c>
      <x:c r="H8077" s="6" t="n">
        <x:v>1</x:v>
      </x:c>
      <x:c r="I8077" s="6" t="n">
        <x:f>G8077-H8077</x:f>
        <x:v>1</x:v>
      </x:c>
      <x:c r="J8077" s="6" t="n">
        <x:f>IF(OR(E8077="CANCELED",E8077="SUSPECTED_FRAUD",F8077="Shipping canceled"),0,1)</x:f>
        <x:v>1</x:v>
      </x:c>
      <x:c r="K8077" s="6" t="n">
        <x:f>IF(G8077&gt;H8077,1,0)</x:f>
        <x:v>1</x:v>
      </x:c>
      <x:c r="L8077" s="6" t="n">
        <x:f>J8077*K8077</x:f>
        <x:v>1</x:v>
      </x:c>
    </x:row>
    <x:row r="8078">
      <x:c r="A8078" s="1" t="n">
        <x:v>64747</x:v>
      </x:c>
      <x:c r="B8078" s="5" t="d">
        <x:v>2017-08-03T00:00:00.000Z</x:v>
      </x:c>
      <x:c r="C8078" s="1" t="str">
        <x:v>Standard Class</x:v>
      </x:c>
      <x:c r="D8078" s="1" t="str">
        <x:v>Europe</x:v>
      </x:c>
      <x:c r="E8078" s="1" t="str">
        <x:v>COMPLETE</x:v>
      </x:c>
      <x:c r="F8078" s="1" t="str">
        <x:v>Advance shipping</x:v>
      </x:c>
      <x:c r="G8078" s="6" t="n">
        <x:v>3</x:v>
      </x:c>
      <x:c r="H8078" s="6" t="n">
        <x:v>4</x:v>
      </x:c>
      <x:c r="I8078" s="6" t="n">
        <x:f>G8078-H8078</x:f>
        <x:v>-1</x:v>
      </x:c>
      <x:c r="J8078" s="6" t="n">
        <x:f>IF(OR(E8078="CANCELED",E8078="SUSPECTED_FRAUD",F8078="Shipping canceled"),0,1)</x:f>
        <x:v>1</x:v>
      </x:c>
      <x:c r="K8078" s="6" t="n">
        <x:f>IF(G8078&gt;H8078,1,0)</x:f>
        <x:v>0</x:v>
      </x:c>
      <x:c r="L8078" s="6" t="n">
        <x:f>J8078*K8078</x:f>
        <x:v>0</x:v>
      </x:c>
    </x:row>
    <x:row r="8079">
      <x:c r="A8079" s="1" t="n">
        <x:v>64755</x:v>
      </x:c>
      <x:c r="B8079" s="5" t="d">
        <x:v>2017-08-03T00:00:00.000Z</x:v>
      </x:c>
      <x:c r="C8079" s="1" t="str">
        <x:v>Second Class</x:v>
      </x:c>
      <x:c r="D8079" s="1" t="str">
        <x:v>Europe</x:v>
      </x:c>
      <x:c r="E8079" s="1" t="str">
        <x:v>CLOSED</x:v>
      </x:c>
      <x:c r="F8079" s="1" t="str">
        <x:v>Late delivery</x:v>
      </x:c>
      <x:c r="G8079" s="6" t="n">
        <x:v>6</x:v>
      </x:c>
      <x:c r="H8079" s="6" t="n">
        <x:v>2</x:v>
      </x:c>
      <x:c r="I8079" s="6" t="n">
        <x:f>G8079-H8079</x:f>
        <x:v>4</x:v>
      </x:c>
      <x:c r="J8079" s="6" t="n">
        <x:f>IF(OR(E8079="CANCELED",E8079="SUSPECTED_FRAUD",F8079="Shipping canceled"),0,1)</x:f>
        <x:v>1</x:v>
      </x:c>
      <x:c r="K8079" s="6" t="n">
        <x:f>IF(G8079&gt;H8079,1,0)</x:f>
        <x:v>1</x:v>
      </x:c>
      <x:c r="L8079" s="6" t="n">
        <x:f>J8079*K8079</x:f>
        <x:v>1</x:v>
      </x:c>
    </x:row>
    <x:row r="8080">
      <x:c r="A8080" s="1" t="n">
        <x:v>64765</x:v>
      </x:c>
      <x:c r="B8080" s="5" t="d">
        <x:v>2017-08-03T00:00:00.000Z</x:v>
      </x:c>
      <x:c r="C8080" s="1" t="str">
        <x:v>First Class</x:v>
      </x:c>
      <x:c r="D8080" s="1" t="str">
        <x:v>Europe</x:v>
      </x:c>
      <x:c r="E8080" s="1" t="str">
        <x:v>CLOSED</x:v>
      </x:c>
      <x:c r="F8080" s="1" t="str">
        <x:v>Late delivery</x:v>
      </x:c>
      <x:c r="G8080" s="6" t="n">
        <x:v>2</x:v>
      </x:c>
      <x:c r="H8080" s="6" t="n">
        <x:v>1</x:v>
      </x:c>
      <x:c r="I8080" s="6" t="n">
        <x:f>G8080-H8080</x:f>
        <x:v>1</x:v>
      </x:c>
      <x:c r="J8080" s="6" t="n">
        <x:f>IF(OR(E8080="CANCELED",E8080="SUSPECTED_FRAUD",F8080="Shipping canceled"),0,1)</x:f>
        <x:v>1</x:v>
      </x:c>
      <x:c r="K8080" s="6" t="n">
        <x:f>IF(G8080&gt;H8080,1,0)</x:f>
        <x:v>1</x:v>
      </x:c>
      <x:c r="L8080" s="6" t="n">
        <x:f>J8080*K8080</x:f>
        <x:v>1</x:v>
      </x:c>
    </x:row>
    <x:row r="8081">
      <x:c r="A8081" s="1" t="n">
        <x:v>64769</x:v>
      </x:c>
      <x:c r="B8081" s="5" t="d">
        <x:v>2017-08-03T00:00:00.000Z</x:v>
      </x:c>
      <x:c r="C8081" s="1" t="str">
        <x:v>Standard Class</x:v>
      </x:c>
      <x:c r="D8081" s="1" t="str">
        <x:v>Europe</x:v>
      </x:c>
      <x:c r="E8081" s="1" t="str">
        <x:v>COMPLETE</x:v>
      </x:c>
      <x:c r="F8081" s="1" t="str">
        <x:v>Late delivery</x:v>
      </x:c>
      <x:c r="G8081" s="6" t="n">
        <x:v>5</x:v>
      </x:c>
      <x:c r="H8081" s="6" t="n">
        <x:v>4</x:v>
      </x:c>
      <x:c r="I8081" s="6" t="n">
        <x:f>G8081-H8081</x:f>
        <x:v>1</x:v>
      </x:c>
      <x:c r="J8081" s="6" t="n">
        <x:f>IF(OR(E8081="CANCELED",E8081="SUSPECTED_FRAUD",F8081="Shipping canceled"),0,1)</x:f>
        <x:v>1</x:v>
      </x:c>
      <x:c r="K8081" s="6" t="n">
        <x:f>IF(G8081&gt;H8081,1,0)</x:f>
        <x:v>1</x:v>
      </x:c>
      <x:c r="L8081" s="6" t="n">
        <x:f>J8081*K8081</x:f>
        <x:v>1</x:v>
      </x:c>
    </x:row>
    <x:row r="8082">
      <x:c r="A8082" s="1" t="n">
        <x:v>64773</x:v>
      </x:c>
      <x:c r="B8082" s="5" t="d">
        <x:v>2017-08-03T00:00:00.000Z</x:v>
      </x:c>
      <x:c r="C8082" s="1" t="str">
        <x:v>Standard Class</x:v>
      </x:c>
      <x:c r="D8082" s="1" t="str">
        <x:v>Europe</x:v>
      </x:c>
      <x:c r="E8082" s="1" t="str">
        <x:v>COMPLETE</x:v>
      </x:c>
      <x:c r="F8082" s="1" t="str">
        <x:v>Shipping on time</x:v>
      </x:c>
      <x:c r="G8082" s="6" t="n">
        <x:v>4</x:v>
      </x:c>
      <x:c r="H8082" s="6" t="n">
        <x:v>4</x:v>
      </x:c>
      <x:c r="I8082" s="6" t="n">
        <x:f>G8082-H8082</x:f>
        <x:v>0</x:v>
      </x:c>
      <x:c r="J8082" s="6" t="n">
        <x:f>IF(OR(E8082="CANCELED",E8082="SUSPECTED_FRAUD",F8082="Shipping canceled"),0,1)</x:f>
        <x:v>1</x:v>
      </x:c>
      <x:c r="K8082" s="6" t="n">
        <x:f>IF(G8082&gt;H8082,1,0)</x:f>
        <x:v>0</x:v>
      </x:c>
      <x:c r="L8082" s="6" t="n">
        <x:f>J8082*K8082</x:f>
        <x:v>0</x:v>
      </x:c>
    </x:row>
    <x:row r="8083">
      <x:c r="A8083" s="1" t="n">
        <x:v>64775</x:v>
      </x:c>
      <x:c r="B8083" s="5" t="d">
        <x:v>2017-08-03T00:00:00.000Z</x:v>
      </x:c>
      <x:c r="C8083" s="1" t="str">
        <x:v>Standard Class</x:v>
      </x:c>
      <x:c r="D8083" s="1" t="str">
        <x:v>Europe</x:v>
      </x:c>
      <x:c r="E8083" s="1" t="str">
        <x:v>PAYMENT_REVIEW</x:v>
      </x:c>
      <x:c r="F8083" s="1" t="str">
        <x:v>Late delivery</x:v>
      </x:c>
      <x:c r="G8083" s="6" t="n">
        <x:v>6</x:v>
      </x:c>
      <x:c r="H8083" s="6" t="n">
        <x:v>4</x:v>
      </x:c>
      <x:c r="I8083" s="6" t="n">
        <x:f>G8083-H8083</x:f>
        <x:v>2</x:v>
      </x:c>
      <x:c r="J8083" s="6" t="n">
        <x:f>IF(OR(E8083="CANCELED",E8083="SUSPECTED_FRAUD",F8083="Shipping canceled"),0,1)</x:f>
        <x:v>1</x:v>
      </x:c>
      <x:c r="K8083" s="6" t="n">
        <x:f>IF(G8083&gt;H8083,1,0)</x:f>
        <x:v>1</x:v>
      </x:c>
      <x:c r="L8083" s="6" t="n">
        <x:f>J8083*K8083</x:f>
        <x:v>1</x:v>
      </x:c>
    </x:row>
    <x:row r="8084">
      <x:c r="A8084" s="1" t="n">
        <x:v>64781</x:v>
      </x:c>
      <x:c r="B8084" s="5" t="d">
        <x:v>2017-08-03T00:00:00.000Z</x:v>
      </x:c>
      <x:c r="C8084" s="1" t="str">
        <x:v>First Class</x:v>
      </x:c>
      <x:c r="D8084" s="1" t="str">
        <x:v>Europe</x:v>
      </x:c>
      <x:c r="E8084" s="1" t="str">
        <x:v>CANCELED</x:v>
      </x:c>
      <x:c r="F8084" s="1" t="str">
        <x:v>Shipping canceled</x:v>
      </x:c>
      <x:c r="G8084" s="6" t="n">
        <x:v>2</x:v>
      </x:c>
      <x:c r="H8084" s="6" t="n">
        <x:v>1</x:v>
      </x:c>
      <x:c r="I8084" s="6" t="n">
        <x:f>G8084-H8084</x:f>
        <x:v>1</x:v>
      </x:c>
      <x:c r="J8084" s="6" t="n">
        <x:f>IF(OR(E8084="CANCELED",E8084="SUSPECTED_FRAUD",F8084="Shipping canceled"),0,1)</x:f>
        <x:v>0</x:v>
      </x:c>
      <x:c r="K8084" s="6" t="n">
        <x:f>IF(G8084&gt;H8084,1,0)</x:f>
        <x:v>1</x:v>
      </x:c>
      <x:c r="L8084" s="6" t="n">
        <x:f>J8084*K8084</x:f>
        <x:v>0</x:v>
      </x:c>
    </x:row>
    <x:row r="8085">
      <x:c r="A8085" s="1" t="n">
        <x:v>64787</x:v>
      </x:c>
      <x:c r="B8085" s="5" t="d">
        <x:v>2017-08-03T00:00:00.000Z</x:v>
      </x:c>
      <x:c r="C8085" s="1" t="str">
        <x:v>Standard Class</x:v>
      </x:c>
      <x:c r="D8085" s="1" t="str">
        <x:v>Europe</x:v>
      </x:c>
      <x:c r="E8085" s="1" t="str">
        <x:v>COMPLETE</x:v>
      </x:c>
      <x:c r="F8085" s="1" t="str">
        <x:v>Advance shipping</x:v>
      </x:c>
      <x:c r="G8085" s="6" t="n">
        <x:v>3</x:v>
      </x:c>
      <x:c r="H8085" s="6" t="n">
        <x:v>4</x:v>
      </x:c>
      <x:c r="I8085" s="6" t="n">
        <x:f>G8085-H8085</x:f>
        <x:v>-1</x:v>
      </x:c>
      <x:c r="J8085" s="6" t="n">
        <x:f>IF(OR(E8085="CANCELED",E8085="SUSPECTED_FRAUD",F8085="Shipping canceled"),0,1)</x:f>
        <x:v>1</x:v>
      </x:c>
      <x:c r="K8085" s="6" t="n">
        <x:f>IF(G8085&gt;H8085,1,0)</x:f>
        <x:v>0</x:v>
      </x:c>
      <x:c r="L8085" s="6" t="n">
        <x:f>J8085*K8085</x:f>
        <x:v>0</x:v>
      </x:c>
    </x:row>
    <x:row r="8086">
      <x:c r="A8086" s="1" t="n">
        <x:v>64794</x:v>
      </x:c>
      <x:c r="B8086" s="5" t="d">
        <x:v>2017-08-03T00:00:00.000Z</x:v>
      </x:c>
      <x:c r="C8086" s="1" t="str">
        <x:v>Standard Class</x:v>
      </x:c>
      <x:c r="D8086" s="1" t="str">
        <x:v>Europe</x:v>
      </x:c>
      <x:c r="E8086" s="1" t="str">
        <x:v>COMPLETE</x:v>
      </x:c>
      <x:c r="F8086" s="1" t="str">
        <x:v>Late delivery</x:v>
      </x:c>
      <x:c r="G8086" s="6" t="n">
        <x:v>5</x:v>
      </x:c>
      <x:c r="H8086" s="6" t="n">
        <x:v>4</x:v>
      </x:c>
      <x:c r="I8086" s="6" t="n">
        <x:f>G8086-H8086</x:f>
        <x:v>1</x:v>
      </x:c>
      <x:c r="J8086" s="6" t="n">
        <x:f>IF(OR(E8086="CANCELED",E8086="SUSPECTED_FRAUD",F8086="Shipping canceled"),0,1)</x:f>
        <x:v>1</x:v>
      </x:c>
      <x:c r="K8086" s="6" t="n">
        <x:f>IF(G8086&gt;H8086,1,0)</x:f>
        <x:v>1</x:v>
      </x:c>
      <x:c r="L8086" s="6" t="n">
        <x:f>J8086*K8086</x:f>
        <x:v>1</x:v>
      </x:c>
    </x:row>
    <x:row r="8087">
      <x:c r="A8087" s="1" t="n">
        <x:v>64805</x:v>
      </x:c>
      <x:c r="B8087" s="5" t="d">
        <x:v>2017-08-03T00:00:00.000Z</x:v>
      </x:c>
      <x:c r="C8087" s="1" t="str">
        <x:v>Second Class</x:v>
      </x:c>
      <x:c r="D8087" s="1" t="str">
        <x:v>Europe</x:v>
      </x:c>
      <x:c r="E8087" s="1" t="str">
        <x:v>COMPLETE</x:v>
      </x:c>
      <x:c r="F8087" s="1" t="str">
        <x:v>Late delivery</x:v>
      </x:c>
      <x:c r="G8087" s="6" t="n">
        <x:v>6</x:v>
      </x:c>
      <x:c r="H8087" s="6" t="n">
        <x:v>2</x:v>
      </x:c>
      <x:c r="I8087" s="6" t="n">
        <x:f>G8087-H8087</x:f>
        <x:v>4</x:v>
      </x:c>
      <x:c r="J8087" s="6" t="n">
        <x:f>IF(OR(E8087="CANCELED",E8087="SUSPECTED_FRAUD",F8087="Shipping canceled"),0,1)</x:f>
        <x:v>1</x:v>
      </x:c>
      <x:c r="K8087" s="6" t="n">
        <x:f>IF(G8087&gt;H8087,1,0)</x:f>
        <x:v>1</x:v>
      </x:c>
      <x:c r="L8087" s="6" t="n">
        <x:f>J8087*K8087</x:f>
        <x:v>1</x:v>
      </x:c>
    </x:row>
    <x:row r="8088">
      <x:c r="A8088" s="1" t="n">
        <x:v>64813</x:v>
      </x:c>
      <x:c r="B8088" s="5" t="d">
        <x:v>2017-08-04T00:00:00.000Z</x:v>
      </x:c>
      <x:c r="C8088" s="1" t="str">
        <x:v>Second Class</x:v>
      </x:c>
      <x:c r="D8088" s="1" t="str">
        <x:v>Europe</x:v>
      </x:c>
      <x:c r="E8088" s="1" t="str">
        <x:v>PENDING_PAYMENT</x:v>
      </x:c>
      <x:c r="F8088" s="1" t="str">
        <x:v>Late delivery</x:v>
      </x:c>
      <x:c r="G8088" s="6" t="n">
        <x:v>4</x:v>
      </x:c>
      <x:c r="H8088" s="6" t="n">
        <x:v>2</x:v>
      </x:c>
      <x:c r="I8088" s="6" t="n">
        <x:f>G8088-H8088</x:f>
        <x:v>2</x:v>
      </x:c>
      <x:c r="J8088" s="6" t="n">
        <x:f>IF(OR(E8088="CANCELED",E8088="SUSPECTED_FRAUD",F8088="Shipping canceled"),0,1)</x:f>
        <x:v>1</x:v>
      </x:c>
      <x:c r="K8088" s="6" t="n">
        <x:f>IF(G8088&gt;H8088,1,0)</x:f>
        <x:v>1</x:v>
      </x:c>
      <x:c r="L8088" s="6" t="n">
        <x:f>J8088*K8088</x:f>
        <x:v>1</x:v>
      </x:c>
    </x:row>
    <x:row r="8089">
      <x:c r="A8089" s="1" t="n">
        <x:v>64836</x:v>
      </x:c>
      <x:c r="B8089" s="5" t="d">
        <x:v>2017-08-04T00:00:00.000Z</x:v>
      </x:c>
      <x:c r="C8089" s="1" t="str">
        <x:v>Standard Class</x:v>
      </x:c>
      <x:c r="D8089" s="1" t="str">
        <x:v>Europe</x:v>
      </x:c>
      <x:c r="E8089" s="1" t="str">
        <x:v>COMPLETE</x:v>
      </x:c>
      <x:c r="F8089" s="1" t="str">
        <x:v>Advance shipping</x:v>
      </x:c>
      <x:c r="G8089" s="6" t="n">
        <x:v>2</x:v>
      </x:c>
      <x:c r="H8089" s="6" t="n">
        <x:v>4</x:v>
      </x:c>
      <x:c r="I8089" s="6" t="n">
        <x:f>G8089-H8089</x:f>
        <x:v>-2</x:v>
      </x:c>
      <x:c r="J8089" s="6" t="n">
        <x:f>IF(OR(E8089="CANCELED",E8089="SUSPECTED_FRAUD",F8089="Shipping canceled"),0,1)</x:f>
        <x:v>1</x:v>
      </x:c>
      <x:c r="K8089" s="6" t="n">
        <x:f>IF(G8089&gt;H8089,1,0)</x:f>
        <x:v>0</x:v>
      </x:c>
      <x:c r="L8089" s="6" t="n">
        <x:f>J8089*K8089</x:f>
        <x:v>0</x:v>
      </x:c>
    </x:row>
    <x:row r="8090">
      <x:c r="A8090" s="1" t="n">
        <x:v>64850</x:v>
      </x:c>
      <x:c r="B8090" s="5" t="d">
        <x:v>2017-08-04T00:00:00.000Z</x:v>
      </x:c>
      <x:c r="C8090" s="1" t="str">
        <x:v>Standard Class</x:v>
      </x:c>
      <x:c r="D8090" s="1" t="str">
        <x:v>Europe</x:v>
      </x:c>
      <x:c r="E8090" s="1" t="str">
        <x:v>COMPLETE</x:v>
      </x:c>
      <x:c r="F8090" s="1" t="str">
        <x:v>Late delivery</x:v>
      </x:c>
      <x:c r="G8090" s="6" t="n">
        <x:v>6</x:v>
      </x:c>
      <x:c r="H8090" s="6" t="n">
        <x:v>4</x:v>
      </x:c>
      <x:c r="I8090" s="6" t="n">
        <x:f>G8090-H8090</x:f>
        <x:v>2</x:v>
      </x:c>
      <x:c r="J8090" s="6" t="n">
        <x:f>IF(OR(E8090="CANCELED",E8090="SUSPECTED_FRAUD",F8090="Shipping canceled"),0,1)</x:f>
        <x:v>1</x:v>
      </x:c>
      <x:c r="K8090" s="6" t="n">
        <x:f>IF(G8090&gt;H8090,1,0)</x:f>
        <x:v>1</x:v>
      </x:c>
      <x:c r="L8090" s="6" t="n">
        <x:f>J8090*K8090</x:f>
        <x:v>1</x:v>
      </x:c>
    </x:row>
    <x:row r="8091">
      <x:c r="A8091" s="1" t="n">
        <x:v>64851</x:v>
      </x:c>
      <x:c r="B8091" s="5" t="d">
        <x:v>2017-08-04T00:00:00.000Z</x:v>
      </x:c>
      <x:c r="C8091" s="1" t="str">
        <x:v>Standard Class</x:v>
      </x:c>
      <x:c r="D8091" s="1" t="str">
        <x:v>Europe</x:v>
      </x:c>
      <x:c r="E8091" s="1" t="str">
        <x:v>PENDING_PAYMENT</x:v>
      </x:c>
      <x:c r="F8091" s="1" t="str">
        <x:v>Advance shipping</x:v>
      </x:c>
      <x:c r="G8091" s="6" t="n">
        <x:v>2</x:v>
      </x:c>
      <x:c r="H8091" s="6" t="n">
        <x:v>4</x:v>
      </x:c>
      <x:c r="I8091" s="6" t="n">
        <x:f>G8091-H8091</x:f>
        <x:v>-2</x:v>
      </x:c>
      <x:c r="J8091" s="6" t="n">
        <x:f>IF(OR(E8091="CANCELED",E8091="SUSPECTED_FRAUD",F8091="Shipping canceled"),0,1)</x:f>
        <x:v>1</x:v>
      </x:c>
      <x:c r="K8091" s="6" t="n">
        <x:f>IF(G8091&gt;H8091,1,0)</x:f>
        <x:v>0</x:v>
      </x:c>
      <x:c r="L8091" s="6" t="n">
        <x:f>J8091*K8091</x:f>
        <x:v>0</x:v>
      </x:c>
    </x:row>
    <x:row r="8092">
      <x:c r="A8092" s="1" t="n">
        <x:v>64853</x:v>
      </x:c>
      <x:c r="B8092" s="5" t="d">
        <x:v>2017-08-04T00:00:00.000Z</x:v>
      </x:c>
      <x:c r="C8092" s="1" t="str">
        <x:v>First Class</x:v>
      </x:c>
      <x:c r="D8092" s="1" t="str">
        <x:v>Europe</x:v>
      </x:c>
      <x:c r="E8092" s="1" t="str">
        <x:v>PENDING_PAYMENT</x:v>
      </x:c>
      <x:c r="F8092" s="1" t="str">
        <x:v>Late delivery</x:v>
      </x:c>
      <x:c r="G8092" s="6" t="n">
        <x:v>2</x:v>
      </x:c>
      <x:c r="H8092" s="6" t="n">
        <x:v>1</x:v>
      </x:c>
      <x:c r="I8092" s="6" t="n">
        <x:f>G8092-H8092</x:f>
        <x:v>1</x:v>
      </x:c>
      <x:c r="J8092" s="6" t="n">
        <x:f>IF(OR(E8092="CANCELED",E8092="SUSPECTED_FRAUD",F8092="Shipping canceled"),0,1)</x:f>
        <x:v>1</x:v>
      </x:c>
      <x:c r="K8092" s="6" t="n">
        <x:f>IF(G8092&gt;H8092,1,0)</x:f>
        <x:v>1</x:v>
      </x:c>
      <x:c r="L8092" s="6" t="n">
        <x:f>J8092*K8092</x:f>
        <x:v>1</x:v>
      </x:c>
    </x:row>
    <x:row r="8093">
      <x:c r="A8093" s="1" t="n">
        <x:v>64857</x:v>
      </x:c>
      <x:c r="B8093" s="5" t="d">
        <x:v>2017-08-04T00:00:00.000Z</x:v>
      </x:c>
      <x:c r="C8093" s="1" t="str">
        <x:v>Standard Class</x:v>
      </x:c>
      <x:c r="D8093" s="1" t="str">
        <x:v>Europe</x:v>
      </x:c>
      <x:c r="E8093" s="1" t="str">
        <x:v>COMPLETE</x:v>
      </x:c>
      <x:c r="F8093" s="1" t="str">
        <x:v>Advance shipping</x:v>
      </x:c>
      <x:c r="G8093" s="6" t="n">
        <x:v>3</x:v>
      </x:c>
      <x:c r="H8093" s="6" t="n">
        <x:v>4</x:v>
      </x:c>
      <x:c r="I8093" s="6" t="n">
        <x:f>G8093-H8093</x:f>
        <x:v>-1</x:v>
      </x:c>
      <x:c r="J8093" s="6" t="n">
        <x:f>IF(OR(E8093="CANCELED",E8093="SUSPECTED_FRAUD",F8093="Shipping canceled"),0,1)</x:f>
        <x:v>1</x:v>
      </x:c>
      <x:c r="K8093" s="6" t="n">
        <x:f>IF(G8093&gt;H8093,1,0)</x:f>
        <x:v>0</x:v>
      </x:c>
      <x:c r="L8093" s="6" t="n">
        <x:f>J8093*K8093</x:f>
        <x:v>0</x:v>
      </x:c>
    </x:row>
    <x:row r="8094">
      <x:c r="A8094" s="1" t="n">
        <x:v>64881</x:v>
      </x:c>
      <x:c r="B8094" s="5" t="d">
        <x:v>2017-08-05T00:00:00.000Z</x:v>
      </x:c>
      <x:c r="C8094" s="1" t="str">
        <x:v>Standard Class</x:v>
      </x:c>
      <x:c r="D8094" s="1" t="str">
        <x:v>Europe</x:v>
      </x:c>
      <x:c r="E8094" s="1" t="str">
        <x:v>PENDING</x:v>
      </x:c>
      <x:c r="F8094" s="1" t="str">
        <x:v>Advance shipping</x:v>
      </x:c>
      <x:c r="G8094" s="6" t="n">
        <x:v>2</x:v>
      </x:c>
      <x:c r="H8094" s="6" t="n">
        <x:v>4</x:v>
      </x:c>
      <x:c r="I8094" s="6" t="n">
        <x:f>G8094-H8094</x:f>
        <x:v>-2</x:v>
      </x:c>
      <x:c r="J8094" s="6" t="n">
        <x:f>IF(OR(E8094="CANCELED",E8094="SUSPECTED_FRAUD",F8094="Shipping canceled"),0,1)</x:f>
        <x:v>1</x:v>
      </x:c>
      <x:c r="K8094" s="6" t="n">
        <x:f>IF(G8094&gt;H8094,1,0)</x:f>
        <x:v>0</x:v>
      </x:c>
      <x:c r="L8094" s="6" t="n">
        <x:f>J8094*K8094</x:f>
        <x:v>0</x:v>
      </x:c>
    </x:row>
    <x:row r="8095">
      <x:c r="A8095" s="1" t="n">
        <x:v>64885</x:v>
      </x:c>
      <x:c r="B8095" s="5" t="d">
        <x:v>2017-08-05T00:00:00.000Z</x:v>
      </x:c>
      <x:c r="C8095" s="1" t="str">
        <x:v>Second Class</x:v>
      </x:c>
      <x:c r="D8095" s="1" t="str">
        <x:v>Europe</x:v>
      </x:c>
      <x:c r="E8095" s="1" t="str">
        <x:v>PROCESSING</x:v>
      </x:c>
      <x:c r="F8095" s="1" t="str">
        <x:v>Late delivery</x:v>
      </x:c>
      <x:c r="G8095" s="6" t="n">
        <x:v>6</x:v>
      </x:c>
      <x:c r="H8095" s="6" t="n">
        <x:v>2</x:v>
      </x:c>
      <x:c r="I8095" s="6" t="n">
        <x:f>G8095-H8095</x:f>
        <x:v>4</x:v>
      </x:c>
      <x:c r="J8095" s="6" t="n">
        <x:f>IF(OR(E8095="CANCELED",E8095="SUSPECTED_FRAUD",F8095="Shipping canceled"),0,1)</x:f>
        <x:v>1</x:v>
      </x:c>
      <x:c r="K8095" s="6" t="n">
        <x:f>IF(G8095&gt;H8095,1,0)</x:f>
        <x:v>1</x:v>
      </x:c>
      <x:c r="L8095" s="6" t="n">
        <x:f>J8095*K8095</x:f>
        <x:v>1</x:v>
      </x:c>
    </x:row>
    <x:row r="8096">
      <x:c r="A8096" s="1" t="n">
        <x:v>64892</x:v>
      </x:c>
      <x:c r="B8096" s="5" t="d">
        <x:v>2017-08-05T00:00:00.000Z</x:v>
      </x:c>
      <x:c r="C8096" s="1" t="str">
        <x:v>Standard Class</x:v>
      </x:c>
      <x:c r="D8096" s="1" t="str">
        <x:v>Europe</x:v>
      </x:c>
      <x:c r="E8096" s="1" t="str">
        <x:v>PROCESSING</x:v>
      </x:c>
      <x:c r="F8096" s="1" t="str">
        <x:v>Advance shipping</x:v>
      </x:c>
      <x:c r="G8096" s="6" t="n">
        <x:v>3</x:v>
      </x:c>
      <x:c r="H8096" s="6" t="n">
        <x:v>4</x:v>
      </x:c>
      <x:c r="I8096" s="6" t="n">
        <x:f>G8096-H8096</x:f>
        <x:v>-1</x:v>
      </x:c>
      <x:c r="J8096" s="6" t="n">
        <x:f>IF(OR(E8096="CANCELED",E8096="SUSPECTED_FRAUD",F8096="Shipping canceled"),0,1)</x:f>
        <x:v>1</x:v>
      </x:c>
      <x:c r="K8096" s="6" t="n">
        <x:f>IF(G8096&gt;H8096,1,0)</x:f>
        <x:v>0</x:v>
      </x:c>
      <x:c r="L8096" s="6" t="n">
        <x:f>J8096*K8096</x:f>
        <x:v>0</x:v>
      </x:c>
    </x:row>
    <x:row r="8097">
      <x:c r="A8097" s="1" t="n">
        <x:v>64893</x:v>
      </x:c>
      <x:c r="B8097" s="5" t="d">
        <x:v>2017-08-05T00:00:00.000Z</x:v>
      </x:c>
      <x:c r="C8097" s="1" t="str">
        <x:v>Standard Class</x:v>
      </x:c>
      <x:c r="D8097" s="1" t="str">
        <x:v>Europe</x:v>
      </x:c>
      <x:c r="E8097" s="1" t="str">
        <x:v>PENDING</x:v>
      </x:c>
      <x:c r="F8097" s="1" t="str">
        <x:v>Shipping on time</x:v>
      </x:c>
      <x:c r="G8097" s="6" t="n">
        <x:v>4</x:v>
      </x:c>
      <x:c r="H8097" s="6" t="n">
        <x:v>4</x:v>
      </x:c>
      <x:c r="I8097" s="6" t="n">
        <x:f>G8097-H8097</x:f>
        <x:v>0</x:v>
      </x:c>
      <x:c r="J8097" s="6" t="n">
        <x:f>IF(OR(E8097="CANCELED",E8097="SUSPECTED_FRAUD",F8097="Shipping canceled"),0,1)</x:f>
        <x:v>1</x:v>
      </x:c>
      <x:c r="K8097" s="6" t="n">
        <x:f>IF(G8097&gt;H8097,1,0)</x:f>
        <x:v>0</x:v>
      </x:c>
      <x:c r="L8097" s="6" t="n">
        <x:f>J8097*K8097</x:f>
        <x:v>0</x:v>
      </x:c>
    </x:row>
    <x:row r="8098">
      <x:c r="A8098" s="1" t="n">
        <x:v>64894</x:v>
      </x:c>
      <x:c r="B8098" s="5" t="d">
        <x:v>2017-08-05T00:00:00.000Z</x:v>
      </x:c>
      <x:c r="C8098" s="1" t="str">
        <x:v>Standard Class</x:v>
      </x:c>
      <x:c r="D8098" s="1" t="str">
        <x:v>Europe</x:v>
      </x:c>
      <x:c r="E8098" s="1" t="str">
        <x:v>COMPLETE</x:v>
      </x:c>
      <x:c r="F8098" s="1" t="str">
        <x:v>Late delivery</x:v>
      </x:c>
      <x:c r="G8098" s="6" t="n">
        <x:v>5</x:v>
      </x:c>
      <x:c r="H8098" s="6" t="n">
        <x:v>4</x:v>
      </x:c>
      <x:c r="I8098" s="6" t="n">
        <x:f>G8098-H8098</x:f>
        <x:v>1</x:v>
      </x:c>
      <x:c r="J8098" s="6" t="n">
        <x:f>IF(OR(E8098="CANCELED",E8098="SUSPECTED_FRAUD",F8098="Shipping canceled"),0,1)</x:f>
        <x:v>1</x:v>
      </x:c>
      <x:c r="K8098" s="6" t="n">
        <x:f>IF(G8098&gt;H8098,1,0)</x:f>
        <x:v>1</x:v>
      </x:c>
      <x:c r="L8098" s="6" t="n">
        <x:f>J8098*K8098</x:f>
        <x:v>1</x:v>
      </x:c>
    </x:row>
    <x:row r="8099">
      <x:c r="A8099" s="1" t="n">
        <x:v>64895</x:v>
      </x:c>
      <x:c r="B8099" s="5" t="d">
        <x:v>2017-08-05T00:00:00.000Z</x:v>
      </x:c>
      <x:c r="C8099" s="1" t="str">
        <x:v>Standard Class</x:v>
      </x:c>
      <x:c r="D8099" s="1" t="str">
        <x:v>Europe</x:v>
      </x:c>
      <x:c r="E8099" s="1" t="str">
        <x:v>COMPLETE</x:v>
      </x:c>
      <x:c r="F8099" s="1" t="str">
        <x:v>Late delivery</x:v>
      </x:c>
      <x:c r="G8099" s="6" t="n">
        <x:v>6</x:v>
      </x:c>
      <x:c r="H8099" s="6" t="n">
        <x:v>4</x:v>
      </x:c>
      <x:c r="I8099" s="6" t="n">
        <x:f>G8099-H8099</x:f>
        <x:v>2</x:v>
      </x:c>
      <x:c r="J8099" s="6" t="n">
        <x:f>IF(OR(E8099="CANCELED",E8099="SUSPECTED_FRAUD",F8099="Shipping canceled"),0,1)</x:f>
        <x:v>1</x:v>
      </x:c>
      <x:c r="K8099" s="6" t="n">
        <x:f>IF(G8099&gt;H8099,1,0)</x:f>
        <x:v>1</x:v>
      </x:c>
      <x:c r="L8099" s="6" t="n">
        <x:f>J8099*K8099</x:f>
        <x:v>1</x:v>
      </x:c>
    </x:row>
    <x:row r="8100">
      <x:c r="A8100" s="1" t="n">
        <x:v>64915</x:v>
      </x:c>
      <x:c r="B8100" s="5" t="d">
        <x:v>2017-08-05T00:00:00.000Z</x:v>
      </x:c>
      <x:c r="C8100" s="1" t="str">
        <x:v>Standard Class</x:v>
      </x:c>
      <x:c r="D8100" s="1" t="str">
        <x:v>Europe</x:v>
      </x:c>
      <x:c r="E8100" s="1" t="str">
        <x:v>COMPLETE</x:v>
      </x:c>
      <x:c r="F8100" s="1" t="str">
        <x:v>Late delivery</x:v>
      </x:c>
      <x:c r="G8100" s="6" t="n">
        <x:v>6</x:v>
      </x:c>
      <x:c r="H8100" s="6" t="n">
        <x:v>4</x:v>
      </x:c>
      <x:c r="I8100" s="6" t="n">
        <x:f>G8100-H8100</x:f>
        <x:v>2</x:v>
      </x:c>
      <x:c r="J8100" s="6" t="n">
        <x:f>IF(OR(E8100="CANCELED",E8100="SUSPECTED_FRAUD",F8100="Shipping canceled"),0,1)</x:f>
        <x:v>1</x:v>
      </x:c>
      <x:c r="K8100" s="6" t="n">
        <x:f>IF(G8100&gt;H8100,1,0)</x:f>
        <x:v>1</x:v>
      </x:c>
      <x:c r="L8100" s="6" t="n">
        <x:f>J8100*K8100</x:f>
        <x:v>1</x:v>
      </x:c>
    </x:row>
    <x:row r="8101">
      <x:c r="A8101" s="1" t="n">
        <x:v>64919</x:v>
      </x:c>
      <x:c r="B8101" s="5" t="d">
        <x:v>2017-08-05T00:00:00.000Z</x:v>
      </x:c>
      <x:c r="C8101" s="1" t="str">
        <x:v>Standard Class</x:v>
      </x:c>
      <x:c r="D8101" s="1" t="str">
        <x:v>Europe</x:v>
      </x:c>
      <x:c r="E8101" s="1" t="str">
        <x:v>PENDING_PAYMENT</x:v>
      </x:c>
      <x:c r="F8101" s="1" t="str">
        <x:v>Late delivery</x:v>
      </x:c>
      <x:c r="G8101" s="6" t="n">
        <x:v>5</x:v>
      </x:c>
      <x:c r="H8101" s="6" t="n">
        <x:v>4</x:v>
      </x:c>
      <x:c r="I8101" s="6" t="n">
        <x:f>G8101-H8101</x:f>
        <x:v>1</x:v>
      </x:c>
      <x:c r="J8101" s="6" t="n">
        <x:f>IF(OR(E8101="CANCELED",E8101="SUSPECTED_FRAUD",F8101="Shipping canceled"),0,1)</x:f>
        <x:v>1</x:v>
      </x:c>
      <x:c r="K8101" s="6" t="n">
        <x:f>IF(G8101&gt;H8101,1,0)</x:f>
        <x:v>1</x:v>
      </x:c>
      <x:c r="L8101" s="6" t="n">
        <x:f>J8101*K8101</x:f>
        <x:v>1</x:v>
      </x:c>
    </x:row>
    <x:row r="8102">
      <x:c r="A8102" s="1" t="n">
        <x:v>64920</x:v>
      </x:c>
      <x:c r="B8102" s="5" t="d">
        <x:v>2017-08-05T00:00:00.000Z</x:v>
      </x:c>
      <x:c r="C8102" s="1" t="str">
        <x:v>Standard Class</x:v>
      </x:c>
      <x:c r="D8102" s="1" t="str">
        <x:v>Europe</x:v>
      </x:c>
      <x:c r="E8102" s="1" t="str">
        <x:v>COMPLETE</x:v>
      </x:c>
      <x:c r="F8102" s="1" t="str">
        <x:v>Late delivery</x:v>
      </x:c>
      <x:c r="G8102" s="6" t="n">
        <x:v>6</x:v>
      </x:c>
      <x:c r="H8102" s="6" t="n">
        <x:v>4</x:v>
      </x:c>
      <x:c r="I8102" s="6" t="n">
        <x:f>G8102-H8102</x:f>
        <x:v>2</x:v>
      </x:c>
      <x:c r="J8102" s="6" t="n">
        <x:f>IF(OR(E8102="CANCELED",E8102="SUSPECTED_FRAUD",F8102="Shipping canceled"),0,1)</x:f>
        <x:v>1</x:v>
      </x:c>
      <x:c r="K8102" s="6" t="n">
        <x:f>IF(G8102&gt;H8102,1,0)</x:f>
        <x:v>1</x:v>
      </x:c>
      <x:c r="L8102" s="6" t="n">
        <x:f>J8102*K8102</x:f>
        <x:v>1</x:v>
      </x:c>
    </x:row>
    <x:row r="8103">
      <x:c r="A8103" s="1" t="n">
        <x:v>64938</x:v>
      </x:c>
      <x:c r="B8103" s="5" t="d">
        <x:v>2017-08-05T00:00:00.000Z</x:v>
      </x:c>
      <x:c r="C8103" s="1" t="str">
        <x:v>Standard Class</x:v>
      </x:c>
      <x:c r="D8103" s="1" t="str">
        <x:v>Europe</x:v>
      </x:c>
      <x:c r="E8103" s="1" t="str">
        <x:v>COMPLETE</x:v>
      </x:c>
      <x:c r="F8103" s="1" t="str">
        <x:v>Shipping on time</x:v>
      </x:c>
      <x:c r="G8103" s="6" t="n">
        <x:v>4</x:v>
      </x:c>
      <x:c r="H8103" s="6" t="n">
        <x:v>4</x:v>
      </x:c>
      <x:c r="I8103" s="6" t="n">
        <x:f>G8103-H8103</x:f>
        <x:v>0</x:v>
      </x:c>
      <x:c r="J8103" s="6" t="n">
        <x:f>IF(OR(E8103="CANCELED",E8103="SUSPECTED_FRAUD",F8103="Shipping canceled"),0,1)</x:f>
        <x:v>1</x:v>
      </x:c>
      <x:c r="K8103" s="6" t="n">
        <x:f>IF(G8103&gt;H8103,1,0)</x:f>
        <x:v>0</x:v>
      </x:c>
      <x:c r="L8103" s="6" t="n">
        <x:f>J8103*K8103</x:f>
        <x:v>0</x:v>
      </x:c>
    </x:row>
    <x:row r="8104">
      <x:c r="A8104" s="1" t="n">
        <x:v>64948</x:v>
      </x:c>
      <x:c r="B8104" s="5" t="d">
        <x:v>2017-08-06T00:00:00.000Z</x:v>
      </x:c>
      <x:c r="C8104" s="1" t="str">
        <x:v>Standard Class</x:v>
      </x:c>
      <x:c r="D8104" s="1" t="str">
        <x:v>Europe</x:v>
      </x:c>
      <x:c r="E8104" s="1" t="str">
        <x:v>PENDING_PAYMENT</x:v>
      </x:c>
      <x:c r="F8104" s="1" t="str">
        <x:v>Shipping on time</x:v>
      </x:c>
      <x:c r="G8104" s="6" t="n">
        <x:v>4</x:v>
      </x:c>
      <x:c r="H8104" s="6" t="n">
        <x:v>4</x:v>
      </x:c>
      <x:c r="I8104" s="6" t="n">
        <x:f>G8104-H8104</x:f>
        <x:v>0</x:v>
      </x:c>
      <x:c r="J8104" s="6" t="n">
        <x:f>IF(OR(E8104="CANCELED",E8104="SUSPECTED_FRAUD",F8104="Shipping canceled"),0,1)</x:f>
        <x:v>1</x:v>
      </x:c>
      <x:c r="K8104" s="6" t="n">
        <x:f>IF(G8104&gt;H8104,1,0)</x:f>
        <x:v>0</x:v>
      </x:c>
      <x:c r="L8104" s="6" t="n">
        <x:f>J8104*K8104</x:f>
        <x:v>0</x:v>
      </x:c>
    </x:row>
    <x:row r="8105">
      <x:c r="A8105" s="1" t="n">
        <x:v>64951</x:v>
      </x:c>
      <x:c r="B8105" s="5" t="d">
        <x:v>2017-08-06T00:00:00.000Z</x:v>
      </x:c>
      <x:c r="C8105" s="1" t="str">
        <x:v>First Class</x:v>
      </x:c>
      <x:c r="D8105" s="1" t="str">
        <x:v>Europe</x:v>
      </x:c>
      <x:c r="E8105" s="1" t="str">
        <x:v>CLOSED</x:v>
      </x:c>
      <x:c r="F8105" s="1" t="str">
        <x:v>Late delivery</x:v>
      </x:c>
      <x:c r="G8105" s="6" t="n">
        <x:v>2</x:v>
      </x:c>
      <x:c r="H8105" s="6" t="n">
        <x:v>1</x:v>
      </x:c>
      <x:c r="I8105" s="6" t="n">
        <x:f>G8105-H8105</x:f>
        <x:v>1</x:v>
      </x:c>
      <x:c r="J8105" s="6" t="n">
        <x:f>IF(OR(E8105="CANCELED",E8105="SUSPECTED_FRAUD",F8105="Shipping canceled"),0,1)</x:f>
        <x:v>1</x:v>
      </x:c>
      <x:c r="K8105" s="6" t="n">
        <x:f>IF(G8105&gt;H8105,1,0)</x:f>
        <x:v>1</x:v>
      </x:c>
      <x:c r="L8105" s="6" t="n">
        <x:f>J8105*K8105</x:f>
        <x:v>1</x:v>
      </x:c>
    </x:row>
    <x:row r="8106">
      <x:c r="A8106" s="1" t="n">
        <x:v>64961</x:v>
      </x:c>
      <x:c r="B8106" s="5" t="d">
        <x:v>2017-08-06T00:00:00.000Z</x:v>
      </x:c>
      <x:c r="C8106" s="1" t="str">
        <x:v>Standard Class</x:v>
      </x:c>
      <x:c r="D8106" s="1" t="str">
        <x:v>Europe</x:v>
      </x:c>
      <x:c r="E8106" s="1" t="str">
        <x:v>COMPLETE</x:v>
      </x:c>
      <x:c r="F8106" s="1" t="str">
        <x:v>Advance shipping</x:v>
      </x:c>
      <x:c r="G8106" s="6" t="n">
        <x:v>2</x:v>
      </x:c>
      <x:c r="H8106" s="6" t="n">
        <x:v>4</x:v>
      </x:c>
      <x:c r="I8106" s="6" t="n">
        <x:f>G8106-H8106</x:f>
        <x:v>-2</x:v>
      </x:c>
      <x:c r="J8106" s="6" t="n">
        <x:f>IF(OR(E8106="CANCELED",E8106="SUSPECTED_FRAUD",F8106="Shipping canceled"),0,1)</x:f>
        <x:v>1</x:v>
      </x:c>
      <x:c r="K8106" s="6" t="n">
        <x:f>IF(G8106&gt;H8106,1,0)</x:f>
        <x:v>0</x:v>
      </x:c>
      <x:c r="L8106" s="6" t="n">
        <x:f>J8106*K8106</x:f>
        <x:v>0</x:v>
      </x:c>
    </x:row>
    <x:row r="8107">
      <x:c r="A8107" s="1" t="n">
        <x:v>64978</x:v>
      </x:c>
      <x:c r="B8107" s="5" t="d">
        <x:v>2017-08-06T00:00:00.000Z</x:v>
      </x:c>
      <x:c r="C8107" s="1" t="str">
        <x:v>Standard Class</x:v>
      </x:c>
      <x:c r="D8107" s="1" t="str">
        <x:v>Europe</x:v>
      </x:c>
      <x:c r="E8107" s="1" t="str">
        <x:v>COMPLETE</x:v>
      </x:c>
      <x:c r="F8107" s="1" t="str">
        <x:v>Shipping on time</x:v>
      </x:c>
      <x:c r="G8107" s="6" t="n">
        <x:v>4</x:v>
      </x:c>
      <x:c r="H8107" s="6" t="n">
        <x:v>4</x:v>
      </x:c>
      <x:c r="I8107" s="6" t="n">
        <x:f>G8107-H8107</x:f>
        <x:v>0</x:v>
      </x:c>
      <x:c r="J8107" s="6" t="n">
        <x:f>IF(OR(E8107="CANCELED",E8107="SUSPECTED_FRAUD",F8107="Shipping canceled"),0,1)</x:f>
        <x:v>1</x:v>
      </x:c>
      <x:c r="K8107" s="6" t="n">
        <x:f>IF(G8107&gt;H8107,1,0)</x:f>
        <x:v>0</x:v>
      </x:c>
      <x:c r="L8107" s="6" t="n">
        <x:f>J8107*K8107</x:f>
        <x:v>0</x:v>
      </x:c>
    </x:row>
    <x:row r="8108">
      <x:c r="A8108" s="1" t="n">
        <x:v>64984</x:v>
      </x:c>
      <x:c r="B8108" s="5" t="d">
        <x:v>2017-08-06T00:00:00.000Z</x:v>
      </x:c>
      <x:c r="C8108" s="1" t="str">
        <x:v>Standard Class</x:v>
      </x:c>
      <x:c r="D8108" s="1" t="str">
        <x:v>Europe</x:v>
      </x:c>
      <x:c r="E8108" s="1" t="str">
        <x:v>COMPLETE</x:v>
      </x:c>
      <x:c r="F8108" s="1" t="str">
        <x:v>Late delivery</x:v>
      </x:c>
      <x:c r="G8108" s="6" t="n">
        <x:v>5</x:v>
      </x:c>
      <x:c r="H8108" s="6" t="n">
        <x:v>4</x:v>
      </x:c>
      <x:c r="I8108" s="6" t="n">
        <x:f>G8108-H8108</x:f>
        <x:v>1</x:v>
      </x:c>
      <x:c r="J8108" s="6" t="n">
        <x:f>IF(OR(E8108="CANCELED",E8108="SUSPECTED_FRAUD",F8108="Shipping canceled"),0,1)</x:f>
        <x:v>1</x:v>
      </x:c>
      <x:c r="K8108" s="6" t="n">
        <x:f>IF(G8108&gt;H8108,1,0)</x:f>
        <x:v>1</x:v>
      </x:c>
      <x:c r="L8108" s="6" t="n">
        <x:f>J8108*K8108</x:f>
        <x:v>1</x:v>
      </x:c>
    </x:row>
    <x:row r="8109">
      <x:c r="A8109" s="1" t="n">
        <x:v>64986</x:v>
      </x:c>
      <x:c r="B8109" s="5" t="d">
        <x:v>2017-08-06T00:00:00.000Z</x:v>
      </x:c>
      <x:c r="C8109" s="1" t="str">
        <x:v>Standard Class</x:v>
      </x:c>
      <x:c r="D8109" s="1" t="str">
        <x:v>Europe</x:v>
      </x:c>
      <x:c r="E8109" s="1" t="str">
        <x:v>PENDING_PAYMENT</x:v>
      </x:c>
      <x:c r="F8109" s="1" t="str">
        <x:v>Advance shipping</x:v>
      </x:c>
      <x:c r="G8109" s="6" t="n">
        <x:v>2</x:v>
      </x:c>
      <x:c r="H8109" s="6" t="n">
        <x:v>4</x:v>
      </x:c>
      <x:c r="I8109" s="6" t="n">
        <x:f>G8109-H8109</x:f>
        <x:v>-2</x:v>
      </x:c>
      <x:c r="J8109" s="6" t="n">
        <x:f>IF(OR(E8109="CANCELED",E8109="SUSPECTED_FRAUD",F8109="Shipping canceled"),0,1)</x:f>
        <x:v>1</x:v>
      </x:c>
      <x:c r="K8109" s="6" t="n">
        <x:f>IF(G8109&gt;H8109,1,0)</x:f>
        <x:v>0</x:v>
      </x:c>
      <x:c r="L8109" s="6" t="n">
        <x:f>J8109*K8109</x:f>
        <x:v>0</x:v>
      </x:c>
    </x:row>
    <x:row r="8110">
      <x:c r="A8110" s="1" t="n">
        <x:v>64993</x:v>
      </x:c>
      <x:c r="B8110" s="5" t="d">
        <x:v>2017-08-06T00:00:00.000Z</x:v>
      </x:c>
      <x:c r="C8110" s="1" t="str">
        <x:v>Standard Class</x:v>
      </x:c>
      <x:c r="D8110" s="1" t="str">
        <x:v>Europe</x:v>
      </x:c>
      <x:c r="E8110" s="1" t="str">
        <x:v>COMPLETE</x:v>
      </x:c>
      <x:c r="F8110" s="1" t="str">
        <x:v>Shipping on time</x:v>
      </x:c>
      <x:c r="G8110" s="6" t="n">
        <x:v>4</x:v>
      </x:c>
      <x:c r="H8110" s="6" t="n">
        <x:v>4</x:v>
      </x:c>
      <x:c r="I8110" s="6" t="n">
        <x:f>G8110-H8110</x:f>
        <x:v>0</x:v>
      </x:c>
      <x:c r="J8110" s="6" t="n">
        <x:f>IF(OR(E8110="CANCELED",E8110="SUSPECTED_FRAUD",F8110="Shipping canceled"),0,1)</x:f>
        <x:v>1</x:v>
      </x:c>
      <x:c r="K8110" s="6" t="n">
        <x:f>IF(G8110&gt;H8110,1,0)</x:f>
        <x:v>0</x:v>
      </x:c>
      <x:c r="L8110" s="6" t="n">
        <x:f>J8110*K8110</x:f>
        <x:v>0</x:v>
      </x:c>
    </x:row>
    <x:row r="8111">
      <x:c r="A8111" s="1" t="n">
        <x:v>65005</x:v>
      </x:c>
      <x:c r="B8111" s="5" t="d">
        <x:v>2017-08-06T00:00:00.000Z</x:v>
      </x:c>
      <x:c r="C8111" s="1" t="str">
        <x:v>Second Class</x:v>
      </x:c>
      <x:c r="D8111" s="1" t="str">
        <x:v>Europe</x:v>
      </x:c>
      <x:c r="E8111" s="1" t="str">
        <x:v>COMPLETE</x:v>
      </x:c>
      <x:c r="F8111" s="1" t="str">
        <x:v>Late delivery</x:v>
      </x:c>
      <x:c r="G8111" s="6" t="n">
        <x:v>6</x:v>
      </x:c>
      <x:c r="H8111" s="6" t="n">
        <x:v>2</x:v>
      </x:c>
      <x:c r="I8111" s="6" t="n">
        <x:f>G8111-H8111</x:f>
        <x:v>4</x:v>
      </x:c>
      <x:c r="J8111" s="6" t="n">
        <x:f>IF(OR(E8111="CANCELED",E8111="SUSPECTED_FRAUD",F8111="Shipping canceled"),0,1)</x:f>
        <x:v>1</x:v>
      </x:c>
      <x:c r="K8111" s="6" t="n">
        <x:f>IF(G8111&gt;H8111,1,0)</x:f>
        <x:v>1</x:v>
      </x:c>
      <x:c r="L8111" s="6" t="n">
        <x:f>J8111*K8111</x:f>
        <x:v>1</x:v>
      </x:c>
    </x:row>
    <x:row r="8112">
      <x:c r="A8112" s="1" t="n">
        <x:v>65011</x:v>
      </x:c>
      <x:c r="B8112" s="5" t="d">
        <x:v>2017-08-06T00:00:00.000Z</x:v>
      </x:c>
      <x:c r="C8112" s="1" t="str">
        <x:v>Second Class</x:v>
      </x:c>
      <x:c r="D8112" s="1" t="str">
        <x:v>Europe</x:v>
      </x:c>
      <x:c r="E8112" s="1" t="str">
        <x:v>COMPLETE</x:v>
      </x:c>
      <x:c r="F8112" s="1" t="str">
        <x:v>Shipping on time</x:v>
      </x:c>
      <x:c r="G8112" s="6" t="n">
        <x:v>2</x:v>
      </x:c>
      <x:c r="H8112" s="6" t="n">
        <x:v>2</x:v>
      </x:c>
      <x:c r="I8112" s="6" t="n">
        <x:f>G8112-H8112</x:f>
        <x:v>0</x:v>
      </x:c>
      <x:c r="J8112" s="6" t="n">
        <x:f>IF(OR(E8112="CANCELED",E8112="SUSPECTED_FRAUD",F8112="Shipping canceled"),0,1)</x:f>
        <x:v>1</x:v>
      </x:c>
      <x:c r="K8112" s="6" t="n">
        <x:f>IF(G8112&gt;H8112,1,0)</x:f>
        <x:v>0</x:v>
      </x:c>
      <x:c r="L8112" s="6" t="n">
        <x:f>J8112*K8112</x:f>
        <x:v>0</x:v>
      </x:c>
    </x:row>
    <x:row r="8113">
      <x:c r="A8113" s="1" t="n">
        <x:v>65013</x:v>
      </x:c>
      <x:c r="B8113" s="5" t="d">
        <x:v>2017-08-07T00:00:00.000Z</x:v>
      </x:c>
      <x:c r="C8113" s="1" t="str">
        <x:v>Standard Class</x:v>
      </x:c>
      <x:c r="D8113" s="1" t="str">
        <x:v>Europe</x:v>
      </x:c>
      <x:c r="E8113" s="1" t="str">
        <x:v>COMPLETE</x:v>
      </x:c>
      <x:c r="F8113" s="1" t="str">
        <x:v>Shipping on time</x:v>
      </x:c>
      <x:c r="G8113" s="6" t="n">
        <x:v>4</x:v>
      </x:c>
      <x:c r="H8113" s="6" t="n">
        <x:v>4</x:v>
      </x:c>
      <x:c r="I8113" s="6" t="n">
        <x:f>G8113-H8113</x:f>
        <x:v>0</x:v>
      </x:c>
      <x:c r="J8113" s="6" t="n">
        <x:f>IF(OR(E8113="CANCELED",E8113="SUSPECTED_FRAUD",F8113="Shipping canceled"),0,1)</x:f>
        <x:v>1</x:v>
      </x:c>
      <x:c r="K8113" s="6" t="n">
        <x:f>IF(G8113&gt;H8113,1,0)</x:f>
        <x:v>0</x:v>
      </x:c>
      <x:c r="L8113" s="6" t="n">
        <x:f>J8113*K8113</x:f>
        <x:v>0</x:v>
      </x:c>
    </x:row>
    <x:row r="8114">
      <x:c r="A8114" s="1" t="n">
        <x:v>65015</x:v>
      </x:c>
      <x:c r="B8114" s="5" t="d">
        <x:v>2017-08-07T00:00:00.000Z</x:v>
      </x:c>
      <x:c r="C8114" s="1" t="str">
        <x:v>Standard Class</x:v>
      </x:c>
      <x:c r="D8114" s="1" t="str">
        <x:v>Europe</x:v>
      </x:c>
      <x:c r="E8114" s="1" t="str">
        <x:v>PROCESSING</x:v>
      </x:c>
      <x:c r="F8114" s="1" t="str">
        <x:v>Late delivery</x:v>
      </x:c>
      <x:c r="G8114" s="6" t="n">
        <x:v>6</x:v>
      </x:c>
      <x:c r="H8114" s="6" t="n">
        <x:v>4</x:v>
      </x:c>
      <x:c r="I8114" s="6" t="n">
        <x:f>G8114-H8114</x:f>
        <x:v>2</x:v>
      </x:c>
      <x:c r="J8114" s="6" t="n">
        <x:f>IF(OR(E8114="CANCELED",E8114="SUSPECTED_FRAUD",F8114="Shipping canceled"),0,1)</x:f>
        <x:v>1</x:v>
      </x:c>
      <x:c r="K8114" s="6" t="n">
        <x:f>IF(G8114&gt;H8114,1,0)</x:f>
        <x:v>1</x:v>
      </x:c>
      <x:c r="L8114" s="6" t="n">
        <x:f>J8114*K8114</x:f>
        <x:v>1</x:v>
      </x:c>
    </x:row>
    <x:row r="8115">
      <x:c r="A8115" s="1" t="n">
        <x:v>65022</x:v>
      </x:c>
      <x:c r="B8115" s="5" t="d">
        <x:v>2017-08-07T00:00:00.000Z</x:v>
      </x:c>
      <x:c r="C8115" s="1" t="str">
        <x:v>Standard Class</x:v>
      </x:c>
      <x:c r="D8115" s="1" t="str">
        <x:v>Europe</x:v>
      </x:c>
      <x:c r="E8115" s="1" t="str">
        <x:v>COMPLETE</x:v>
      </x:c>
      <x:c r="F8115" s="1" t="str">
        <x:v>Advance shipping</x:v>
      </x:c>
      <x:c r="G8115" s="6" t="n">
        <x:v>3</x:v>
      </x:c>
      <x:c r="H8115" s="6" t="n">
        <x:v>4</x:v>
      </x:c>
      <x:c r="I8115" s="6" t="n">
        <x:f>G8115-H8115</x:f>
        <x:v>-1</x:v>
      </x:c>
      <x:c r="J8115" s="6" t="n">
        <x:f>IF(OR(E8115="CANCELED",E8115="SUSPECTED_FRAUD",F8115="Shipping canceled"),0,1)</x:f>
        <x:v>1</x:v>
      </x:c>
      <x:c r="K8115" s="6" t="n">
        <x:f>IF(G8115&gt;H8115,1,0)</x:f>
        <x:v>0</x:v>
      </x:c>
      <x:c r="L8115" s="6" t="n">
        <x:f>J8115*K8115</x:f>
        <x:v>0</x:v>
      </x:c>
    </x:row>
    <x:row r="8116">
      <x:c r="A8116" s="1" t="n">
        <x:v>65030</x:v>
      </x:c>
      <x:c r="B8116" s="5" t="d">
        <x:v>2017-08-07T00:00:00.000Z</x:v>
      </x:c>
      <x:c r="C8116" s="1" t="str">
        <x:v>Second Class</x:v>
      </x:c>
      <x:c r="D8116" s="1" t="str">
        <x:v>Europe</x:v>
      </x:c>
      <x:c r="E8116" s="1" t="str">
        <x:v>PENDING_PAYMENT</x:v>
      </x:c>
      <x:c r="F8116" s="1" t="str">
        <x:v>Late delivery</x:v>
      </x:c>
      <x:c r="G8116" s="6" t="n">
        <x:v>6</x:v>
      </x:c>
      <x:c r="H8116" s="6" t="n">
        <x:v>2</x:v>
      </x:c>
      <x:c r="I8116" s="6" t="n">
        <x:f>G8116-H8116</x:f>
        <x:v>4</x:v>
      </x:c>
      <x:c r="J8116" s="6" t="n">
        <x:f>IF(OR(E8116="CANCELED",E8116="SUSPECTED_FRAUD",F8116="Shipping canceled"),0,1)</x:f>
        <x:v>1</x:v>
      </x:c>
      <x:c r="K8116" s="6" t="n">
        <x:f>IF(G8116&gt;H8116,1,0)</x:f>
        <x:v>1</x:v>
      </x:c>
      <x:c r="L8116" s="6" t="n">
        <x:f>J8116*K8116</x:f>
        <x:v>1</x:v>
      </x:c>
    </x:row>
    <x:row r="8117">
      <x:c r="A8117" s="1" t="n">
        <x:v>65048</x:v>
      </x:c>
      <x:c r="B8117" s="5" t="d">
        <x:v>2017-08-07T00:00:00.000Z</x:v>
      </x:c>
      <x:c r="C8117" s="1" t="str">
        <x:v>Standard Class</x:v>
      </x:c>
      <x:c r="D8117" s="1" t="str">
        <x:v>Europe</x:v>
      </x:c>
      <x:c r="E8117" s="1" t="str">
        <x:v>PENDING</x:v>
      </x:c>
      <x:c r="F8117" s="1" t="str">
        <x:v>Shipping on time</x:v>
      </x:c>
      <x:c r="G8117" s="6" t="n">
        <x:v>4</x:v>
      </x:c>
      <x:c r="H8117" s="6" t="n">
        <x:v>4</x:v>
      </x:c>
      <x:c r="I8117" s="6" t="n">
        <x:f>G8117-H8117</x:f>
        <x:v>0</x:v>
      </x:c>
      <x:c r="J8117" s="6" t="n">
        <x:f>IF(OR(E8117="CANCELED",E8117="SUSPECTED_FRAUD",F8117="Shipping canceled"),0,1)</x:f>
        <x:v>1</x:v>
      </x:c>
      <x:c r="K8117" s="6" t="n">
        <x:f>IF(G8117&gt;H8117,1,0)</x:f>
        <x:v>0</x:v>
      </x:c>
      <x:c r="L8117" s="6" t="n">
        <x:f>J8117*K8117</x:f>
        <x:v>0</x:v>
      </x:c>
    </x:row>
    <x:row r="8118">
      <x:c r="A8118" s="1" t="n">
        <x:v>65050</x:v>
      </x:c>
      <x:c r="B8118" s="5" t="d">
        <x:v>2017-08-07T00:00:00.000Z</x:v>
      </x:c>
      <x:c r="C8118" s="1" t="str">
        <x:v>Standard Class</x:v>
      </x:c>
      <x:c r="D8118" s="1" t="str">
        <x:v>Europe</x:v>
      </x:c>
      <x:c r="E8118" s="1" t="str">
        <x:v>PROCESSING</x:v>
      </x:c>
      <x:c r="F8118" s="1" t="str">
        <x:v>Late delivery</x:v>
      </x:c>
      <x:c r="G8118" s="6" t="n">
        <x:v>6</x:v>
      </x:c>
      <x:c r="H8118" s="6" t="n">
        <x:v>4</x:v>
      </x:c>
      <x:c r="I8118" s="6" t="n">
        <x:f>G8118-H8118</x:f>
        <x:v>2</x:v>
      </x:c>
      <x:c r="J8118" s="6" t="n">
        <x:f>IF(OR(E8118="CANCELED",E8118="SUSPECTED_FRAUD",F8118="Shipping canceled"),0,1)</x:f>
        <x:v>1</x:v>
      </x:c>
      <x:c r="K8118" s="6" t="n">
        <x:f>IF(G8118&gt;H8118,1,0)</x:f>
        <x:v>1</x:v>
      </x:c>
      <x:c r="L8118" s="6" t="n">
        <x:f>J8118*K8118</x:f>
        <x:v>1</x:v>
      </x:c>
    </x:row>
    <x:row r="8119">
      <x:c r="A8119" s="1" t="n">
        <x:v>65061</x:v>
      </x:c>
      <x:c r="B8119" s="5" t="d">
        <x:v>2017-08-07T00:00:00.000Z</x:v>
      </x:c>
      <x:c r="C8119" s="1" t="str">
        <x:v>Standard Class</x:v>
      </x:c>
      <x:c r="D8119" s="1" t="str">
        <x:v>Europe</x:v>
      </x:c>
      <x:c r="E8119" s="1" t="str">
        <x:v>COMPLETE</x:v>
      </x:c>
      <x:c r="F8119" s="1" t="str">
        <x:v>Advance shipping</x:v>
      </x:c>
      <x:c r="G8119" s="6" t="n">
        <x:v>2</x:v>
      </x:c>
      <x:c r="H8119" s="6" t="n">
        <x:v>4</x:v>
      </x:c>
      <x:c r="I8119" s="6" t="n">
        <x:f>G8119-H8119</x:f>
        <x:v>-2</x:v>
      </x:c>
      <x:c r="J8119" s="6" t="n">
        <x:f>IF(OR(E8119="CANCELED",E8119="SUSPECTED_FRAUD",F8119="Shipping canceled"),0,1)</x:f>
        <x:v>1</x:v>
      </x:c>
      <x:c r="K8119" s="6" t="n">
        <x:f>IF(G8119&gt;H8119,1,0)</x:f>
        <x:v>0</x:v>
      </x:c>
      <x:c r="L8119" s="6" t="n">
        <x:f>J8119*K8119</x:f>
        <x:v>0</x:v>
      </x:c>
    </x:row>
    <x:row r="8120">
      <x:c r="A8120" s="1" t="n">
        <x:v>65062</x:v>
      </x:c>
      <x:c r="B8120" s="5" t="d">
        <x:v>2017-08-07T00:00:00.000Z</x:v>
      </x:c>
      <x:c r="C8120" s="1" t="str">
        <x:v>Standard Class</x:v>
      </x:c>
      <x:c r="D8120" s="1" t="str">
        <x:v>Europe</x:v>
      </x:c>
      <x:c r="E8120" s="1" t="str">
        <x:v>COMPLETE</x:v>
      </x:c>
      <x:c r="F8120" s="1" t="str">
        <x:v>Advance shipping</x:v>
      </x:c>
      <x:c r="G8120" s="6" t="n">
        <x:v>3</x:v>
      </x:c>
      <x:c r="H8120" s="6" t="n">
        <x:v>4</x:v>
      </x:c>
      <x:c r="I8120" s="6" t="n">
        <x:f>G8120-H8120</x:f>
        <x:v>-1</x:v>
      </x:c>
      <x:c r="J8120" s="6" t="n">
        <x:f>IF(OR(E8120="CANCELED",E8120="SUSPECTED_FRAUD",F8120="Shipping canceled"),0,1)</x:f>
        <x:v>1</x:v>
      </x:c>
      <x:c r="K8120" s="6" t="n">
        <x:f>IF(G8120&gt;H8120,1,0)</x:f>
        <x:v>0</x:v>
      </x:c>
      <x:c r="L8120" s="6" t="n">
        <x:f>J8120*K8120</x:f>
        <x:v>0</x:v>
      </x:c>
    </x:row>
    <x:row r="8121">
      <x:c r="A8121" s="1" t="n">
        <x:v>65065</x:v>
      </x:c>
      <x:c r="B8121" s="5" t="d">
        <x:v>2017-08-07T00:00:00.000Z</x:v>
      </x:c>
      <x:c r="C8121" s="1" t="str">
        <x:v>Standard Class</x:v>
      </x:c>
      <x:c r="D8121" s="1" t="str">
        <x:v>Europe</x:v>
      </x:c>
      <x:c r="E8121" s="1" t="str">
        <x:v>COMPLETE</x:v>
      </x:c>
      <x:c r="F8121" s="1" t="str">
        <x:v>Late delivery</x:v>
      </x:c>
      <x:c r="G8121" s="6" t="n">
        <x:v>6</x:v>
      </x:c>
      <x:c r="H8121" s="6" t="n">
        <x:v>4</x:v>
      </x:c>
      <x:c r="I8121" s="6" t="n">
        <x:f>G8121-H8121</x:f>
        <x:v>2</x:v>
      </x:c>
      <x:c r="J8121" s="6" t="n">
        <x:f>IF(OR(E8121="CANCELED",E8121="SUSPECTED_FRAUD",F8121="Shipping canceled"),0,1)</x:f>
        <x:v>1</x:v>
      </x:c>
      <x:c r="K8121" s="6" t="n">
        <x:f>IF(G8121&gt;H8121,1,0)</x:f>
        <x:v>1</x:v>
      </x:c>
      <x:c r="L8121" s="6" t="n">
        <x:f>J8121*K8121</x:f>
        <x:v>1</x:v>
      </x:c>
    </x:row>
    <x:row r="8122">
      <x:c r="A8122" s="1" t="n">
        <x:v>65073</x:v>
      </x:c>
      <x:c r="B8122" s="5" t="d">
        <x:v>2017-08-07T00:00:00.000Z</x:v>
      </x:c>
      <x:c r="C8122" s="1" t="str">
        <x:v>Standard Class</x:v>
      </x:c>
      <x:c r="D8122" s="1" t="str">
        <x:v>Europe</x:v>
      </x:c>
      <x:c r="E8122" s="1" t="str">
        <x:v>COMPLETE</x:v>
      </x:c>
      <x:c r="F8122" s="1" t="str">
        <x:v>Shipping on time</x:v>
      </x:c>
      <x:c r="G8122" s="6" t="n">
        <x:v>4</x:v>
      </x:c>
      <x:c r="H8122" s="6" t="n">
        <x:v>4</x:v>
      </x:c>
      <x:c r="I8122" s="6" t="n">
        <x:f>G8122-H8122</x:f>
        <x:v>0</x:v>
      </x:c>
      <x:c r="J8122" s="6" t="n">
        <x:f>IF(OR(E8122="CANCELED",E8122="SUSPECTED_FRAUD",F8122="Shipping canceled"),0,1)</x:f>
        <x:v>1</x:v>
      </x:c>
      <x:c r="K8122" s="6" t="n">
        <x:f>IF(G8122&gt;H8122,1,0)</x:f>
        <x:v>0</x:v>
      </x:c>
      <x:c r="L8122" s="6" t="n">
        <x:f>J8122*K8122</x:f>
        <x:v>0</x:v>
      </x:c>
    </x:row>
    <x:row r="8123">
      <x:c r="A8123" s="1" t="n">
        <x:v>65092</x:v>
      </x:c>
      <x:c r="B8123" s="5" t="d">
        <x:v>2017-08-08T00:00:00.000Z</x:v>
      </x:c>
      <x:c r="C8123" s="1" t="str">
        <x:v>First Class</x:v>
      </x:c>
      <x:c r="D8123" s="1" t="str">
        <x:v>Europe</x:v>
      </x:c>
      <x:c r="E8123" s="1" t="str">
        <x:v>PENDING_PAYMENT</x:v>
      </x:c>
      <x:c r="F8123" s="1" t="str">
        <x:v>Late delivery</x:v>
      </x:c>
      <x:c r="G8123" s="6" t="n">
        <x:v>2</x:v>
      </x:c>
      <x:c r="H8123" s="6" t="n">
        <x:v>1</x:v>
      </x:c>
      <x:c r="I8123" s="6" t="n">
        <x:f>G8123-H8123</x:f>
        <x:v>1</x:v>
      </x:c>
      <x:c r="J8123" s="6" t="n">
        <x:f>IF(OR(E8123="CANCELED",E8123="SUSPECTED_FRAUD",F8123="Shipping canceled"),0,1)</x:f>
        <x:v>1</x:v>
      </x:c>
      <x:c r="K8123" s="6" t="n">
        <x:f>IF(G8123&gt;H8123,1,0)</x:f>
        <x:v>1</x:v>
      </x:c>
      <x:c r="L8123" s="6" t="n">
        <x:f>J8123*K8123</x:f>
        <x:v>1</x:v>
      </x:c>
    </x:row>
    <x:row r="8124">
      <x:c r="A8124" s="1" t="n">
        <x:v>65101</x:v>
      </x:c>
      <x:c r="B8124" s="5" t="d">
        <x:v>2017-08-08T00:00:00.000Z</x:v>
      </x:c>
      <x:c r="C8124" s="1" t="str">
        <x:v>Standard Class</x:v>
      </x:c>
      <x:c r="D8124" s="1" t="str">
        <x:v>Europe</x:v>
      </x:c>
      <x:c r="E8124" s="1" t="str">
        <x:v>COMPLETE</x:v>
      </x:c>
      <x:c r="F8124" s="1" t="str">
        <x:v>Advance shipping</x:v>
      </x:c>
      <x:c r="G8124" s="6" t="n">
        <x:v>2</x:v>
      </x:c>
      <x:c r="H8124" s="6" t="n">
        <x:v>4</x:v>
      </x:c>
      <x:c r="I8124" s="6" t="n">
        <x:f>G8124-H8124</x:f>
        <x:v>-2</x:v>
      </x:c>
      <x:c r="J8124" s="6" t="n">
        <x:f>IF(OR(E8124="CANCELED",E8124="SUSPECTED_FRAUD",F8124="Shipping canceled"),0,1)</x:f>
        <x:v>1</x:v>
      </x:c>
      <x:c r="K8124" s="6" t="n">
        <x:f>IF(G8124&gt;H8124,1,0)</x:f>
        <x:v>0</x:v>
      </x:c>
      <x:c r="L8124" s="6" t="n">
        <x:f>J8124*K8124</x:f>
        <x:v>0</x:v>
      </x:c>
    </x:row>
    <x:row r="8125">
      <x:c r="A8125" s="1" t="n">
        <x:v>65105</x:v>
      </x:c>
      <x:c r="B8125" s="5" t="d">
        <x:v>2017-08-08T00:00:00.000Z</x:v>
      </x:c>
      <x:c r="C8125" s="1" t="str">
        <x:v>Second Class</x:v>
      </x:c>
      <x:c r="D8125" s="1" t="str">
        <x:v>Europe</x:v>
      </x:c>
      <x:c r="E8125" s="1" t="str">
        <x:v>COMPLETE</x:v>
      </x:c>
      <x:c r="F8125" s="1" t="str">
        <x:v>Late delivery</x:v>
      </x:c>
      <x:c r="G8125" s="6" t="n">
        <x:v>6</x:v>
      </x:c>
      <x:c r="H8125" s="6" t="n">
        <x:v>2</x:v>
      </x:c>
      <x:c r="I8125" s="6" t="n">
        <x:f>G8125-H8125</x:f>
        <x:v>4</x:v>
      </x:c>
      <x:c r="J8125" s="6" t="n">
        <x:f>IF(OR(E8125="CANCELED",E8125="SUSPECTED_FRAUD",F8125="Shipping canceled"),0,1)</x:f>
        <x:v>1</x:v>
      </x:c>
      <x:c r="K8125" s="6" t="n">
        <x:f>IF(G8125&gt;H8125,1,0)</x:f>
        <x:v>1</x:v>
      </x:c>
      <x:c r="L8125" s="6" t="n">
        <x:f>J8125*K8125</x:f>
        <x:v>1</x:v>
      </x:c>
    </x:row>
    <x:row r="8126">
      <x:c r="A8126" s="1" t="n">
        <x:v>65109</x:v>
      </x:c>
      <x:c r="B8126" s="5" t="d">
        <x:v>2017-08-08T00:00:00.000Z</x:v>
      </x:c>
      <x:c r="C8126" s="1" t="str">
        <x:v>Second Class</x:v>
      </x:c>
      <x:c r="D8126" s="1" t="str">
        <x:v>Europe</x:v>
      </x:c>
      <x:c r="E8126" s="1" t="str">
        <x:v>COMPLETE</x:v>
      </x:c>
      <x:c r="F8126" s="1" t="str">
        <x:v>Late delivery</x:v>
      </x:c>
      <x:c r="G8126" s="6" t="n">
        <x:v>5</x:v>
      </x:c>
      <x:c r="H8126" s="6" t="n">
        <x:v>2</x:v>
      </x:c>
      <x:c r="I8126" s="6" t="n">
        <x:f>G8126-H8126</x:f>
        <x:v>3</x:v>
      </x:c>
      <x:c r="J8126" s="6" t="n">
        <x:f>IF(OR(E8126="CANCELED",E8126="SUSPECTED_FRAUD",F8126="Shipping canceled"),0,1)</x:f>
        <x:v>1</x:v>
      </x:c>
      <x:c r="K8126" s="6" t="n">
        <x:f>IF(G8126&gt;H8126,1,0)</x:f>
        <x:v>1</x:v>
      </x:c>
      <x:c r="L8126" s="6" t="n">
        <x:f>J8126*K8126</x:f>
        <x:v>1</x:v>
      </x:c>
    </x:row>
    <x:row r="8127">
      <x:c r="A8127" s="1" t="n">
        <x:v>65119</x:v>
      </x:c>
      <x:c r="B8127" s="5" t="d">
        <x:v>2017-08-08T00:00:00.000Z</x:v>
      </x:c>
      <x:c r="C8127" s="1" t="str">
        <x:v>Standard Class</x:v>
      </x:c>
      <x:c r="D8127" s="1" t="str">
        <x:v>Europe</x:v>
      </x:c>
      <x:c r="E8127" s="1" t="str">
        <x:v>PENDING</x:v>
      </x:c>
      <x:c r="F8127" s="1" t="str">
        <x:v>Late delivery</x:v>
      </x:c>
      <x:c r="G8127" s="6" t="n">
        <x:v>5</x:v>
      </x:c>
      <x:c r="H8127" s="6" t="n">
        <x:v>4</x:v>
      </x:c>
      <x:c r="I8127" s="6" t="n">
        <x:f>G8127-H8127</x:f>
        <x:v>1</x:v>
      </x:c>
      <x:c r="J8127" s="6" t="n">
        <x:f>IF(OR(E8127="CANCELED",E8127="SUSPECTED_FRAUD",F8127="Shipping canceled"),0,1)</x:f>
        <x:v>1</x:v>
      </x:c>
      <x:c r="K8127" s="6" t="n">
        <x:f>IF(G8127&gt;H8127,1,0)</x:f>
        <x:v>1</x:v>
      </x:c>
      <x:c r="L8127" s="6" t="n">
        <x:f>J8127*K8127</x:f>
        <x:v>1</x:v>
      </x:c>
    </x:row>
    <x:row r="8128">
      <x:c r="A8128" s="1" t="n">
        <x:v>65121</x:v>
      </x:c>
      <x:c r="B8128" s="5" t="d">
        <x:v>2017-08-08T00:00:00.000Z</x:v>
      </x:c>
      <x:c r="C8128" s="1" t="str">
        <x:v>Standard Class</x:v>
      </x:c>
      <x:c r="D8128" s="1" t="str">
        <x:v>Europe</x:v>
      </x:c>
      <x:c r="E8128" s="1" t="str">
        <x:v>COMPLETE</x:v>
      </x:c>
      <x:c r="F8128" s="1" t="str">
        <x:v>Advance shipping</x:v>
      </x:c>
      <x:c r="G8128" s="6" t="n">
        <x:v>2</x:v>
      </x:c>
      <x:c r="H8128" s="6" t="n">
        <x:v>4</x:v>
      </x:c>
      <x:c r="I8128" s="6" t="n">
        <x:f>G8128-H8128</x:f>
        <x:v>-2</x:v>
      </x:c>
      <x:c r="J8128" s="6" t="n">
        <x:f>IF(OR(E8128="CANCELED",E8128="SUSPECTED_FRAUD",F8128="Shipping canceled"),0,1)</x:f>
        <x:v>1</x:v>
      </x:c>
      <x:c r="K8128" s="6" t="n">
        <x:f>IF(G8128&gt;H8128,1,0)</x:f>
        <x:v>0</x:v>
      </x:c>
      <x:c r="L8128" s="6" t="n">
        <x:f>J8128*K8128</x:f>
        <x:v>0</x:v>
      </x:c>
    </x:row>
    <x:row r="8129">
      <x:c r="A8129" s="1" t="n">
        <x:v>65126</x:v>
      </x:c>
      <x:c r="B8129" s="5" t="d">
        <x:v>2017-08-08T00:00:00.000Z</x:v>
      </x:c>
      <x:c r="C8129" s="1" t="str">
        <x:v>Standard Class</x:v>
      </x:c>
      <x:c r="D8129" s="1" t="str">
        <x:v>Europe</x:v>
      </x:c>
      <x:c r="E8129" s="1" t="str">
        <x:v>PROCESSING</x:v>
      </x:c>
      <x:c r="F8129" s="1" t="str">
        <x:v>Advance shipping</x:v>
      </x:c>
      <x:c r="G8129" s="6" t="n">
        <x:v>2</x:v>
      </x:c>
      <x:c r="H8129" s="6" t="n">
        <x:v>4</x:v>
      </x:c>
      <x:c r="I8129" s="6" t="n">
        <x:f>G8129-H8129</x:f>
        <x:v>-2</x:v>
      </x:c>
      <x:c r="J8129" s="6" t="n">
        <x:f>IF(OR(E8129="CANCELED",E8129="SUSPECTED_FRAUD",F8129="Shipping canceled"),0,1)</x:f>
        <x:v>1</x:v>
      </x:c>
      <x:c r="K8129" s="6" t="n">
        <x:f>IF(G8129&gt;H8129,1,0)</x:f>
        <x:v>0</x:v>
      </x:c>
      <x:c r="L8129" s="6" t="n">
        <x:f>J8129*K8129</x:f>
        <x:v>0</x:v>
      </x:c>
    </x:row>
    <x:row r="8130">
      <x:c r="A8130" s="1" t="n">
        <x:v>65131</x:v>
      </x:c>
      <x:c r="B8130" s="5" t="d">
        <x:v>2017-08-08T00:00:00.000Z</x:v>
      </x:c>
      <x:c r="C8130" s="1" t="str">
        <x:v>First Class</x:v>
      </x:c>
      <x:c r="D8130" s="1" t="str">
        <x:v>Europe</x:v>
      </x:c>
      <x:c r="E8130" s="1" t="str">
        <x:v>PENDING_PAYMENT</x:v>
      </x:c>
      <x:c r="F8130" s="1" t="str">
        <x:v>Late delivery</x:v>
      </x:c>
      <x:c r="G8130" s="6" t="n">
        <x:v>2</x:v>
      </x:c>
      <x:c r="H8130" s="6" t="n">
        <x:v>1</x:v>
      </x:c>
      <x:c r="I8130" s="6" t="n">
        <x:f>G8130-H8130</x:f>
        <x:v>1</x:v>
      </x:c>
      <x:c r="J8130" s="6" t="n">
        <x:f>IF(OR(E8130="CANCELED",E8130="SUSPECTED_FRAUD",F8130="Shipping canceled"),0,1)</x:f>
        <x:v>1</x:v>
      </x:c>
      <x:c r="K8130" s="6" t="n">
        <x:f>IF(G8130&gt;H8130,1,0)</x:f>
        <x:v>1</x:v>
      </x:c>
      <x:c r="L8130" s="6" t="n">
        <x:f>J8130*K8130</x:f>
        <x:v>1</x:v>
      </x:c>
    </x:row>
    <x:row r="8131">
      <x:c r="A8131" s="1" t="n">
        <x:v>65141</x:v>
      </x:c>
      <x:c r="B8131" s="5" t="d">
        <x:v>2017-08-08T00:00:00.000Z</x:v>
      </x:c>
      <x:c r="C8131" s="1" t="str">
        <x:v>Standard Class</x:v>
      </x:c>
      <x:c r="D8131" s="1" t="str">
        <x:v>Europe</x:v>
      </x:c>
      <x:c r="E8131" s="1" t="str">
        <x:v>PENDING</x:v>
      </x:c>
      <x:c r="F8131" s="1" t="str">
        <x:v>Advance shipping</x:v>
      </x:c>
      <x:c r="G8131" s="6" t="n">
        <x:v>2</x:v>
      </x:c>
      <x:c r="H8131" s="6" t="n">
        <x:v>4</x:v>
      </x:c>
      <x:c r="I8131" s="6" t="n">
        <x:f>G8131-H8131</x:f>
        <x:v>-2</x:v>
      </x:c>
      <x:c r="J8131" s="6" t="n">
        <x:f>IF(OR(E8131="CANCELED",E8131="SUSPECTED_FRAUD",F8131="Shipping canceled"),0,1)</x:f>
        <x:v>1</x:v>
      </x:c>
      <x:c r="K8131" s="6" t="n">
        <x:f>IF(G8131&gt;H8131,1,0)</x:f>
        <x:v>0</x:v>
      </x:c>
      <x:c r="L8131" s="6" t="n">
        <x:f>J8131*K8131</x:f>
        <x:v>0</x:v>
      </x:c>
    </x:row>
    <x:row r="8132">
      <x:c r="A8132" s="1" t="n">
        <x:v>65162</x:v>
      </x:c>
      <x:c r="B8132" s="5" t="d">
        <x:v>2017-08-09T00:00:00.000Z</x:v>
      </x:c>
      <x:c r="C8132" s="1" t="str">
        <x:v>Standard Class</x:v>
      </x:c>
      <x:c r="D8132" s="1" t="str">
        <x:v>Europe</x:v>
      </x:c>
      <x:c r="E8132" s="1" t="str">
        <x:v>COMPLETE</x:v>
      </x:c>
      <x:c r="F8132" s="1" t="str">
        <x:v>Advance shipping</x:v>
      </x:c>
      <x:c r="G8132" s="6" t="n">
        <x:v>3</x:v>
      </x:c>
      <x:c r="H8132" s="6" t="n">
        <x:v>4</x:v>
      </x:c>
      <x:c r="I8132" s="6" t="n">
        <x:f>G8132-H8132</x:f>
        <x:v>-1</x:v>
      </x:c>
      <x:c r="J8132" s="6" t="n">
        <x:f>IF(OR(E8132="CANCELED",E8132="SUSPECTED_FRAUD",F8132="Shipping canceled"),0,1)</x:f>
        <x:v>1</x:v>
      </x:c>
      <x:c r="K8132" s="6" t="n">
        <x:f>IF(G8132&gt;H8132,1,0)</x:f>
        <x:v>0</x:v>
      </x:c>
      <x:c r="L8132" s="6" t="n">
        <x:f>J8132*K8132</x:f>
        <x:v>0</x:v>
      </x:c>
    </x:row>
    <x:row r="8133">
      <x:c r="A8133" s="1" t="n">
        <x:v>65164</x:v>
      </x:c>
      <x:c r="B8133" s="5" t="d">
        <x:v>2017-08-09T00:00:00.000Z</x:v>
      </x:c>
      <x:c r="C8133" s="1" t="str">
        <x:v>Standard Class</x:v>
      </x:c>
      <x:c r="D8133" s="1" t="str">
        <x:v>Europe</x:v>
      </x:c>
      <x:c r="E8133" s="1" t="str">
        <x:v>COMPLETE</x:v>
      </x:c>
      <x:c r="F8133" s="1" t="str">
        <x:v>Late delivery</x:v>
      </x:c>
      <x:c r="G8133" s="6" t="n">
        <x:v>5</x:v>
      </x:c>
      <x:c r="H8133" s="6" t="n">
        <x:v>4</x:v>
      </x:c>
      <x:c r="I8133" s="6" t="n">
        <x:f>G8133-H8133</x:f>
        <x:v>1</x:v>
      </x:c>
      <x:c r="J8133" s="6" t="n">
        <x:f>IF(OR(E8133="CANCELED",E8133="SUSPECTED_FRAUD",F8133="Shipping canceled"),0,1)</x:f>
        <x:v>1</x:v>
      </x:c>
      <x:c r="K8133" s="6" t="n">
        <x:f>IF(G8133&gt;H8133,1,0)</x:f>
        <x:v>1</x:v>
      </x:c>
      <x:c r="L8133" s="6" t="n">
        <x:f>J8133*K8133</x:f>
        <x:v>1</x:v>
      </x:c>
    </x:row>
    <x:row r="8134">
      <x:c r="A8134" s="1" t="n">
        <x:v>65167</x:v>
      </x:c>
      <x:c r="B8134" s="5" t="d">
        <x:v>2017-08-09T00:00:00.000Z</x:v>
      </x:c>
      <x:c r="C8134" s="1" t="str">
        <x:v>Standard Class</x:v>
      </x:c>
      <x:c r="D8134" s="1" t="str">
        <x:v>Europe</x:v>
      </x:c>
      <x:c r="E8134" s="1" t="str">
        <x:v>PENDING</x:v>
      </x:c>
      <x:c r="F8134" s="1" t="str">
        <x:v>Advance shipping</x:v>
      </x:c>
      <x:c r="G8134" s="6" t="n">
        <x:v>3</x:v>
      </x:c>
      <x:c r="H8134" s="6" t="n">
        <x:v>4</x:v>
      </x:c>
      <x:c r="I8134" s="6" t="n">
        <x:f>G8134-H8134</x:f>
        <x:v>-1</x:v>
      </x:c>
      <x:c r="J8134" s="6" t="n">
        <x:f>IF(OR(E8134="CANCELED",E8134="SUSPECTED_FRAUD",F8134="Shipping canceled"),0,1)</x:f>
        <x:v>1</x:v>
      </x:c>
      <x:c r="K8134" s="6" t="n">
        <x:f>IF(G8134&gt;H8134,1,0)</x:f>
        <x:v>0</x:v>
      </x:c>
      <x:c r="L8134" s="6" t="n">
        <x:f>J8134*K8134</x:f>
        <x:v>0</x:v>
      </x:c>
    </x:row>
    <x:row r="8135">
      <x:c r="A8135" s="1" t="n">
        <x:v>65169</x:v>
      </x:c>
      <x:c r="B8135" s="5" t="d">
        <x:v>2017-08-09T00:00:00.000Z</x:v>
      </x:c>
      <x:c r="C8135" s="1" t="str">
        <x:v>Standard Class</x:v>
      </x:c>
      <x:c r="D8135" s="1" t="str">
        <x:v>Europe</x:v>
      </x:c>
      <x:c r="E8135" s="1" t="str">
        <x:v>PROCESSING</x:v>
      </x:c>
      <x:c r="F8135" s="1" t="str">
        <x:v>Late delivery</x:v>
      </x:c>
      <x:c r="G8135" s="6" t="n">
        <x:v>5</x:v>
      </x:c>
      <x:c r="H8135" s="6" t="n">
        <x:v>4</x:v>
      </x:c>
      <x:c r="I8135" s="6" t="n">
        <x:f>G8135-H8135</x:f>
        <x:v>1</x:v>
      </x:c>
      <x:c r="J8135" s="6" t="n">
        <x:f>IF(OR(E8135="CANCELED",E8135="SUSPECTED_FRAUD",F8135="Shipping canceled"),0,1)</x:f>
        <x:v>1</x:v>
      </x:c>
      <x:c r="K8135" s="6" t="n">
        <x:f>IF(G8135&gt;H8135,1,0)</x:f>
        <x:v>1</x:v>
      </x:c>
      <x:c r="L8135" s="6" t="n">
        <x:f>J8135*K8135</x:f>
        <x:v>1</x:v>
      </x:c>
    </x:row>
    <x:row r="8136">
      <x:c r="A8136" s="1" t="n">
        <x:v>65170</x:v>
      </x:c>
      <x:c r="B8136" s="5" t="d">
        <x:v>2017-08-09T00:00:00.000Z</x:v>
      </x:c>
      <x:c r="C8136" s="1" t="str">
        <x:v>Standard Class</x:v>
      </x:c>
      <x:c r="D8136" s="1" t="str">
        <x:v>Europe</x:v>
      </x:c>
      <x:c r="E8136" s="1" t="str">
        <x:v>PROCESSING</x:v>
      </x:c>
      <x:c r="F8136" s="1" t="str">
        <x:v>Late delivery</x:v>
      </x:c>
      <x:c r="G8136" s="6" t="n">
        <x:v>6</x:v>
      </x:c>
      <x:c r="H8136" s="6" t="n">
        <x:v>4</x:v>
      </x:c>
      <x:c r="I8136" s="6" t="n">
        <x:f>G8136-H8136</x:f>
        <x:v>2</x:v>
      </x:c>
      <x:c r="J8136" s="6" t="n">
        <x:f>IF(OR(E8136="CANCELED",E8136="SUSPECTED_FRAUD",F8136="Shipping canceled"),0,1)</x:f>
        <x:v>1</x:v>
      </x:c>
      <x:c r="K8136" s="6" t="n">
        <x:f>IF(G8136&gt;H8136,1,0)</x:f>
        <x:v>1</x:v>
      </x:c>
      <x:c r="L8136" s="6" t="n">
        <x:f>J8136*K8136</x:f>
        <x:v>1</x:v>
      </x:c>
    </x:row>
    <x:row r="8137">
      <x:c r="A8137" s="1" t="n">
        <x:v>65174</x:v>
      </x:c>
      <x:c r="B8137" s="5" t="d">
        <x:v>2017-08-09T00:00:00.000Z</x:v>
      </x:c>
      <x:c r="C8137" s="1" t="str">
        <x:v>Standard Class</x:v>
      </x:c>
      <x:c r="D8137" s="1" t="str">
        <x:v>Europe</x:v>
      </x:c>
      <x:c r="E8137" s="1" t="str">
        <x:v>COMPLETE</x:v>
      </x:c>
      <x:c r="F8137" s="1" t="str">
        <x:v>Late delivery</x:v>
      </x:c>
      <x:c r="G8137" s="6" t="n">
        <x:v>5</x:v>
      </x:c>
      <x:c r="H8137" s="6" t="n">
        <x:v>4</x:v>
      </x:c>
      <x:c r="I8137" s="6" t="n">
        <x:f>G8137-H8137</x:f>
        <x:v>1</x:v>
      </x:c>
      <x:c r="J8137" s="6" t="n">
        <x:f>IF(OR(E8137="CANCELED",E8137="SUSPECTED_FRAUD",F8137="Shipping canceled"),0,1)</x:f>
        <x:v>1</x:v>
      </x:c>
      <x:c r="K8137" s="6" t="n">
        <x:f>IF(G8137&gt;H8137,1,0)</x:f>
        <x:v>1</x:v>
      </x:c>
      <x:c r="L8137" s="6" t="n">
        <x:f>J8137*K8137</x:f>
        <x:v>1</x:v>
      </x:c>
    </x:row>
    <x:row r="8138">
      <x:c r="A8138" s="1" t="n">
        <x:v>65178</x:v>
      </x:c>
      <x:c r="B8138" s="5" t="d">
        <x:v>2017-08-09T00:00:00.000Z</x:v>
      </x:c>
      <x:c r="C8138" s="1" t="str">
        <x:v>Standard Class</x:v>
      </x:c>
      <x:c r="D8138" s="1" t="str">
        <x:v>Europe</x:v>
      </x:c>
      <x:c r="E8138" s="1" t="str">
        <x:v>COMPLETE</x:v>
      </x:c>
      <x:c r="F8138" s="1" t="str">
        <x:v>Shipping on time</x:v>
      </x:c>
      <x:c r="G8138" s="6" t="n">
        <x:v>4</x:v>
      </x:c>
      <x:c r="H8138" s="6" t="n">
        <x:v>4</x:v>
      </x:c>
      <x:c r="I8138" s="6" t="n">
        <x:f>G8138-H8138</x:f>
        <x:v>0</x:v>
      </x:c>
      <x:c r="J8138" s="6" t="n">
        <x:f>IF(OR(E8138="CANCELED",E8138="SUSPECTED_FRAUD",F8138="Shipping canceled"),0,1)</x:f>
        <x:v>1</x:v>
      </x:c>
      <x:c r="K8138" s="6" t="n">
        <x:f>IF(G8138&gt;H8138,1,0)</x:f>
        <x:v>0</x:v>
      </x:c>
      <x:c r="L8138" s="6" t="n">
        <x:f>J8138*K8138</x:f>
        <x:v>0</x:v>
      </x:c>
    </x:row>
    <x:row r="8139">
      <x:c r="A8139" s="1" t="n">
        <x:v>65180</x:v>
      </x:c>
      <x:c r="B8139" s="5" t="d">
        <x:v>2017-08-09T00:00:00.000Z</x:v>
      </x:c>
      <x:c r="C8139" s="1" t="str">
        <x:v>Standard Class</x:v>
      </x:c>
      <x:c r="D8139" s="1" t="str">
        <x:v>Europe</x:v>
      </x:c>
      <x:c r="E8139" s="1" t="str">
        <x:v>PENDING</x:v>
      </x:c>
      <x:c r="F8139" s="1" t="str">
        <x:v>Late delivery</x:v>
      </x:c>
      <x:c r="G8139" s="6" t="n">
        <x:v>6</x:v>
      </x:c>
      <x:c r="H8139" s="6" t="n">
        <x:v>4</x:v>
      </x:c>
      <x:c r="I8139" s="6" t="n">
        <x:f>G8139-H8139</x:f>
        <x:v>2</x:v>
      </x:c>
      <x:c r="J8139" s="6" t="n">
        <x:f>IF(OR(E8139="CANCELED",E8139="SUSPECTED_FRAUD",F8139="Shipping canceled"),0,1)</x:f>
        <x:v>1</x:v>
      </x:c>
      <x:c r="K8139" s="6" t="n">
        <x:f>IF(G8139&gt;H8139,1,0)</x:f>
        <x:v>1</x:v>
      </x:c>
      <x:c r="L8139" s="6" t="n">
        <x:f>J8139*K8139</x:f>
        <x:v>1</x:v>
      </x:c>
    </x:row>
    <x:row r="8140">
      <x:c r="A8140" s="1" t="n">
        <x:v>65181</x:v>
      </x:c>
      <x:c r="B8140" s="5" t="d">
        <x:v>2017-08-09T00:00:00.000Z</x:v>
      </x:c>
      <x:c r="C8140" s="1" t="str">
        <x:v>Standard Class</x:v>
      </x:c>
      <x:c r="D8140" s="1" t="str">
        <x:v>Europe</x:v>
      </x:c>
      <x:c r="E8140" s="1" t="str">
        <x:v>COMPLETE</x:v>
      </x:c>
      <x:c r="F8140" s="1" t="str">
        <x:v>Advance shipping</x:v>
      </x:c>
      <x:c r="G8140" s="6" t="n">
        <x:v>2</x:v>
      </x:c>
      <x:c r="H8140" s="6" t="n">
        <x:v>4</x:v>
      </x:c>
      <x:c r="I8140" s="6" t="n">
        <x:f>G8140-H8140</x:f>
        <x:v>-2</x:v>
      </x:c>
      <x:c r="J8140" s="6" t="n">
        <x:f>IF(OR(E8140="CANCELED",E8140="SUSPECTED_FRAUD",F8140="Shipping canceled"),0,1)</x:f>
        <x:v>1</x:v>
      </x:c>
      <x:c r="K8140" s="6" t="n">
        <x:f>IF(G8140&gt;H8140,1,0)</x:f>
        <x:v>0</x:v>
      </x:c>
      <x:c r="L8140" s="6" t="n">
        <x:f>J8140*K8140</x:f>
        <x:v>0</x:v>
      </x:c>
    </x:row>
    <x:row r="8141">
      <x:c r="A8141" s="1" t="n">
        <x:v>65190</x:v>
      </x:c>
      <x:c r="B8141" s="5" t="d">
        <x:v>2017-08-09T00:00:00.000Z</x:v>
      </x:c>
      <x:c r="C8141" s="1" t="str">
        <x:v>Standard Class</x:v>
      </x:c>
      <x:c r="D8141" s="1" t="str">
        <x:v>Europe</x:v>
      </x:c>
      <x:c r="E8141" s="1" t="str">
        <x:v>COMPLETE</x:v>
      </x:c>
      <x:c r="F8141" s="1" t="str">
        <x:v>Late delivery</x:v>
      </x:c>
      <x:c r="G8141" s="6" t="n">
        <x:v>6</x:v>
      </x:c>
      <x:c r="H8141" s="6" t="n">
        <x:v>4</x:v>
      </x:c>
      <x:c r="I8141" s="6" t="n">
        <x:f>G8141-H8141</x:f>
        <x:v>2</x:v>
      </x:c>
      <x:c r="J8141" s="6" t="n">
        <x:f>IF(OR(E8141="CANCELED",E8141="SUSPECTED_FRAUD",F8141="Shipping canceled"),0,1)</x:f>
        <x:v>1</x:v>
      </x:c>
      <x:c r="K8141" s="6" t="n">
        <x:f>IF(G8141&gt;H8141,1,0)</x:f>
        <x:v>1</x:v>
      </x:c>
      <x:c r="L8141" s="6" t="n">
        <x:f>J8141*K8141</x:f>
        <x:v>1</x:v>
      </x:c>
    </x:row>
    <x:row r="8142">
      <x:c r="A8142" s="1" t="n">
        <x:v>65192</x:v>
      </x:c>
      <x:c r="B8142" s="5" t="d">
        <x:v>2017-08-09T00:00:00.000Z</x:v>
      </x:c>
      <x:c r="C8142" s="1" t="str">
        <x:v>Standard Class</x:v>
      </x:c>
      <x:c r="D8142" s="1" t="str">
        <x:v>Europe</x:v>
      </x:c>
      <x:c r="E8142" s="1" t="str">
        <x:v>ON_HOLD</x:v>
      </x:c>
      <x:c r="F8142" s="1" t="str">
        <x:v>Advance shipping</x:v>
      </x:c>
      <x:c r="G8142" s="6" t="n">
        <x:v>3</x:v>
      </x:c>
      <x:c r="H8142" s="6" t="n">
        <x:v>4</x:v>
      </x:c>
      <x:c r="I8142" s="6" t="n">
        <x:f>G8142-H8142</x:f>
        <x:v>-1</x:v>
      </x:c>
      <x:c r="J8142" s="6" t="n">
        <x:f>IF(OR(E8142="CANCELED",E8142="SUSPECTED_FRAUD",F8142="Shipping canceled"),0,1)</x:f>
        <x:v>1</x:v>
      </x:c>
      <x:c r="K8142" s="6" t="n">
        <x:f>IF(G8142&gt;H8142,1,0)</x:f>
        <x:v>0</x:v>
      </x:c>
      <x:c r="L8142" s="6" t="n">
        <x:f>J8142*K8142</x:f>
        <x:v>0</x:v>
      </x:c>
    </x:row>
    <x:row r="8143">
      <x:c r="A8143" s="1" t="n">
        <x:v>65213</x:v>
      </x:c>
      <x:c r="B8143" s="5" t="d">
        <x:v>2017-08-09T00:00:00.000Z</x:v>
      </x:c>
      <x:c r="C8143" s="1" t="str">
        <x:v>Standard Class</x:v>
      </x:c>
      <x:c r="D8143" s="1" t="str">
        <x:v>Europe</x:v>
      </x:c>
      <x:c r="E8143" s="1" t="str">
        <x:v>COMPLETE</x:v>
      </x:c>
      <x:c r="F8143" s="1" t="str">
        <x:v>Shipping on time</x:v>
      </x:c>
      <x:c r="G8143" s="6" t="n">
        <x:v>4</x:v>
      </x:c>
      <x:c r="H8143" s="6" t="n">
        <x:v>4</x:v>
      </x:c>
      <x:c r="I8143" s="6" t="n">
        <x:f>G8143-H8143</x:f>
        <x:v>0</x:v>
      </x:c>
      <x:c r="J8143" s="6" t="n">
        <x:f>IF(OR(E8143="CANCELED",E8143="SUSPECTED_FRAUD",F8143="Shipping canceled"),0,1)</x:f>
        <x:v>1</x:v>
      </x:c>
      <x:c r="K8143" s="6" t="n">
        <x:f>IF(G8143&gt;H8143,1,0)</x:f>
        <x:v>0</x:v>
      </x:c>
      <x:c r="L8143" s="6" t="n">
        <x:f>J8143*K8143</x:f>
        <x:v>0</x:v>
      </x:c>
    </x:row>
    <x:row r="8144">
      <x:c r="A8144" s="1" t="n">
        <x:v>65220</x:v>
      </x:c>
      <x:c r="B8144" s="5" t="d">
        <x:v>2017-08-10T00:00:00.000Z</x:v>
      </x:c>
      <x:c r="C8144" s="1" t="str">
        <x:v>Second Class</x:v>
      </x:c>
      <x:c r="D8144" s="1" t="str">
        <x:v>Europe</x:v>
      </x:c>
      <x:c r="E8144" s="1" t="str">
        <x:v>COMPLETE</x:v>
      </x:c>
      <x:c r="F8144" s="1" t="str">
        <x:v>Late delivery</x:v>
      </x:c>
      <x:c r="G8144" s="6" t="n">
        <x:v>6</x:v>
      </x:c>
      <x:c r="H8144" s="6" t="n">
        <x:v>2</x:v>
      </x:c>
      <x:c r="I8144" s="6" t="n">
        <x:f>G8144-H8144</x:f>
        <x:v>4</x:v>
      </x:c>
      <x:c r="J8144" s="6" t="n">
        <x:f>IF(OR(E8144="CANCELED",E8144="SUSPECTED_FRAUD",F8144="Shipping canceled"),0,1)</x:f>
        <x:v>1</x:v>
      </x:c>
      <x:c r="K8144" s="6" t="n">
        <x:f>IF(G8144&gt;H8144,1,0)</x:f>
        <x:v>1</x:v>
      </x:c>
      <x:c r="L8144" s="6" t="n">
        <x:f>J8144*K8144</x:f>
        <x:v>1</x:v>
      </x:c>
    </x:row>
    <x:row r="8145">
      <x:c r="A8145" s="1" t="n">
        <x:v>65233</x:v>
      </x:c>
      <x:c r="B8145" s="5" t="d">
        <x:v>2017-08-10T00:00:00.000Z</x:v>
      </x:c>
      <x:c r="C8145" s="1" t="str">
        <x:v>Standard Class</x:v>
      </x:c>
      <x:c r="D8145" s="1" t="str">
        <x:v>Europe</x:v>
      </x:c>
      <x:c r="E8145" s="1" t="str">
        <x:v>COMPLETE</x:v>
      </x:c>
      <x:c r="F8145" s="1" t="str">
        <x:v>Shipping on time</x:v>
      </x:c>
      <x:c r="G8145" s="6" t="n">
        <x:v>4</x:v>
      </x:c>
      <x:c r="H8145" s="6" t="n">
        <x:v>4</x:v>
      </x:c>
      <x:c r="I8145" s="6" t="n">
        <x:f>G8145-H8145</x:f>
        <x:v>0</x:v>
      </x:c>
      <x:c r="J8145" s="6" t="n">
        <x:f>IF(OR(E8145="CANCELED",E8145="SUSPECTED_FRAUD",F8145="Shipping canceled"),0,1)</x:f>
        <x:v>1</x:v>
      </x:c>
      <x:c r="K8145" s="6" t="n">
        <x:f>IF(G8145&gt;H8145,1,0)</x:f>
        <x:v>0</x:v>
      </x:c>
      <x:c r="L8145" s="6" t="n">
        <x:f>J8145*K8145</x:f>
        <x:v>0</x:v>
      </x:c>
    </x:row>
    <x:row r="8146">
      <x:c r="A8146" s="1" t="n">
        <x:v>65249</x:v>
      </x:c>
      <x:c r="B8146" s="5" t="d">
        <x:v>2017-08-10T00:00:00.000Z</x:v>
      </x:c>
      <x:c r="C8146" s="1" t="str">
        <x:v>Standard Class</x:v>
      </x:c>
      <x:c r="D8146" s="1" t="str">
        <x:v>Europe</x:v>
      </x:c>
      <x:c r="E8146" s="1" t="str">
        <x:v>COMPLETE</x:v>
      </x:c>
      <x:c r="F8146" s="1" t="str">
        <x:v>Late delivery</x:v>
      </x:c>
      <x:c r="G8146" s="6" t="n">
        <x:v>5</x:v>
      </x:c>
      <x:c r="H8146" s="6" t="n">
        <x:v>4</x:v>
      </x:c>
      <x:c r="I8146" s="6" t="n">
        <x:f>G8146-H8146</x:f>
        <x:v>1</x:v>
      </x:c>
      <x:c r="J8146" s="6" t="n">
        <x:f>IF(OR(E8146="CANCELED",E8146="SUSPECTED_FRAUD",F8146="Shipping canceled"),0,1)</x:f>
        <x:v>1</x:v>
      </x:c>
      <x:c r="K8146" s="6" t="n">
        <x:f>IF(G8146&gt;H8146,1,0)</x:f>
        <x:v>1</x:v>
      </x:c>
      <x:c r="L8146" s="6" t="n">
        <x:f>J8146*K8146</x:f>
        <x:v>1</x:v>
      </x:c>
    </x:row>
    <x:row r="8147">
      <x:c r="A8147" s="1" t="n">
        <x:v>65264</x:v>
      </x:c>
      <x:c r="B8147" s="5" t="d">
        <x:v>2017-08-10T00:00:00.000Z</x:v>
      </x:c>
      <x:c r="C8147" s="1" t="str">
        <x:v>Second Class</x:v>
      </x:c>
      <x:c r="D8147" s="1" t="str">
        <x:v>Europe</x:v>
      </x:c>
      <x:c r="E8147" s="1" t="str">
        <x:v>PENDING_PAYMENT</x:v>
      </x:c>
      <x:c r="F8147" s="1" t="str">
        <x:v>Late delivery</x:v>
      </x:c>
      <x:c r="G8147" s="6" t="n">
        <x:v>5</x:v>
      </x:c>
      <x:c r="H8147" s="6" t="n">
        <x:v>2</x:v>
      </x:c>
      <x:c r="I8147" s="6" t="n">
        <x:f>G8147-H8147</x:f>
        <x:v>3</x:v>
      </x:c>
      <x:c r="J8147" s="6" t="n">
        <x:f>IF(OR(E8147="CANCELED",E8147="SUSPECTED_FRAUD",F8147="Shipping canceled"),0,1)</x:f>
        <x:v>1</x:v>
      </x:c>
      <x:c r="K8147" s="6" t="n">
        <x:f>IF(G8147&gt;H8147,1,0)</x:f>
        <x:v>1</x:v>
      </x:c>
      <x:c r="L8147" s="6" t="n">
        <x:f>J8147*K8147</x:f>
        <x:v>1</x:v>
      </x:c>
    </x:row>
    <x:row r="8148">
      <x:c r="A8148" s="1" t="n">
        <x:v>65270</x:v>
      </x:c>
      <x:c r="B8148" s="5" t="d">
        <x:v>2017-08-10T00:00:00.000Z</x:v>
      </x:c>
      <x:c r="C8148" s="1" t="str">
        <x:v>Standard Class</x:v>
      </x:c>
      <x:c r="D8148" s="1" t="str">
        <x:v>Europe</x:v>
      </x:c>
      <x:c r="E8148" s="1" t="str">
        <x:v>ON_HOLD</x:v>
      </x:c>
      <x:c r="F8148" s="1" t="str">
        <x:v>Late delivery</x:v>
      </x:c>
      <x:c r="G8148" s="6" t="n">
        <x:v>6</x:v>
      </x:c>
      <x:c r="H8148" s="6" t="n">
        <x:v>4</x:v>
      </x:c>
      <x:c r="I8148" s="6" t="n">
        <x:f>G8148-H8148</x:f>
        <x:v>2</x:v>
      </x:c>
      <x:c r="J8148" s="6" t="n">
        <x:f>IF(OR(E8148="CANCELED",E8148="SUSPECTED_FRAUD",F8148="Shipping canceled"),0,1)</x:f>
        <x:v>1</x:v>
      </x:c>
      <x:c r="K8148" s="6" t="n">
        <x:f>IF(G8148&gt;H8148,1,0)</x:f>
        <x:v>1</x:v>
      </x:c>
      <x:c r="L8148" s="6" t="n">
        <x:f>J8148*K8148</x:f>
        <x:v>1</x:v>
      </x:c>
    </x:row>
    <x:row r="8149">
      <x:c r="A8149" s="1" t="n">
        <x:v>65271</x:v>
      </x:c>
      <x:c r="B8149" s="5" t="d">
        <x:v>2017-08-10T00:00:00.000Z</x:v>
      </x:c>
      <x:c r="C8149" s="1" t="str">
        <x:v>Standard Class</x:v>
      </x:c>
      <x:c r="D8149" s="1" t="str">
        <x:v>Europe</x:v>
      </x:c>
      <x:c r="E8149" s="1" t="str">
        <x:v>ON_HOLD</x:v>
      </x:c>
      <x:c r="F8149" s="1" t="str">
        <x:v>Advance shipping</x:v>
      </x:c>
      <x:c r="G8149" s="6" t="n">
        <x:v>2</x:v>
      </x:c>
      <x:c r="H8149" s="6" t="n">
        <x:v>4</x:v>
      </x:c>
      <x:c r="I8149" s="6" t="n">
        <x:f>G8149-H8149</x:f>
        <x:v>-2</x:v>
      </x:c>
      <x:c r="J8149" s="6" t="n">
        <x:f>IF(OR(E8149="CANCELED",E8149="SUSPECTED_FRAUD",F8149="Shipping canceled"),0,1)</x:f>
        <x:v>1</x:v>
      </x:c>
      <x:c r="K8149" s="6" t="n">
        <x:f>IF(G8149&gt;H8149,1,0)</x:f>
        <x:v>0</x:v>
      </x:c>
      <x:c r="L8149" s="6" t="n">
        <x:f>J8149*K8149</x:f>
        <x:v>0</x:v>
      </x:c>
    </x:row>
    <x:row r="8150">
      <x:c r="A8150" s="1" t="n">
        <x:v>65277</x:v>
      </x:c>
      <x:c r="B8150" s="5" t="d">
        <x:v>2017-08-10T00:00:00.000Z</x:v>
      </x:c>
      <x:c r="C8150" s="1" t="str">
        <x:v>Standard Class</x:v>
      </x:c>
      <x:c r="D8150" s="1" t="str">
        <x:v>Europe</x:v>
      </x:c>
      <x:c r="E8150" s="1" t="str">
        <x:v>COMPLETE</x:v>
      </x:c>
      <x:c r="F8150" s="1" t="str">
        <x:v>Advance shipping</x:v>
      </x:c>
      <x:c r="G8150" s="6" t="n">
        <x:v>3</x:v>
      </x:c>
      <x:c r="H8150" s="6" t="n">
        <x:v>4</x:v>
      </x:c>
      <x:c r="I8150" s="6" t="n">
        <x:f>G8150-H8150</x:f>
        <x:v>-1</x:v>
      </x:c>
      <x:c r="J8150" s="6" t="n">
        <x:f>IF(OR(E8150="CANCELED",E8150="SUSPECTED_FRAUD",F8150="Shipping canceled"),0,1)</x:f>
        <x:v>1</x:v>
      </x:c>
      <x:c r="K8150" s="6" t="n">
        <x:f>IF(G8150&gt;H8150,1,0)</x:f>
        <x:v>0</x:v>
      </x:c>
      <x:c r="L8150" s="6" t="n">
        <x:f>J8150*K8150</x:f>
        <x:v>0</x:v>
      </x:c>
    </x:row>
    <x:row r="8151">
      <x:c r="A8151" s="1" t="n">
        <x:v>65285</x:v>
      </x:c>
      <x:c r="B8151" s="5" t="d">
        <x:v>2017-08-10T00:00:00.000Z</x:v>
      </x:c>
      <x:c r="C8151" s="1" t="str">
        <x:v>First Class</x:v>
      </x:c>
      <x:c r="D8151" s="1" t="str">
        <x:v>Europe</x:v>
      </x:c>
      <x:c r="E8151" s="1" t="str">
        <x:v>CLOSED</x:v>
      </x:c>
      <x:c r="F8151" s="1" t="str">
        <x:v>Late delivery</x:v>
      </x:c>
      <x:c r="G8151" s="6" t="n">
        <x:v>2</x:v>
      </x:c>
      <x:c r="H8151" s="6" t="n">
        <x:v>1</x:v>
      </x:c>
      <x:c r="I8151" s="6" t="n">
        <x:f>G8151-H8151</x:f>
        <x:v>1</x:v>
      </x:c>
      <x:c r="J8151" s="6" t="n">
        <x:f>IF(OR(E8151="CANCELED",E8151="SUSPECTED_FRAUD",F8151="Shipping canceled"),0,1)</x:f>
        <x:v>1</x:v>
      </x:c>
      <x:c r="K8151" s="6" t="n">
        <x:f>IF(G8151&gt;H8151,1,0)</x:f>
        <x:v>1</x:v>
      </x:c>
      <x:c r="L8151" s="6" t="n">
        <x:f>J8151*K8151</x:f>
        <x:v>1</x:v>
      </x:c>
    </x:row>
    <x:row r="8152">
      <x:c r="A8152" s="1" t="n">
        <x:v>65291</x:v>
      </x:c>
      <x:c r="B8152" s="5" t="d">
        <x:v>2017-08-11T00:00:00.000Z</x:v>
      </x:c>
      <x:c r="C8152" s="1" t="str">
        <x:v>Standard Class</x:v>
      </x:c>
      <x:c r="D8152" s="1" t="str">
        <x:v>Europe</x:v>
      </x:c>
      <x:c r="E8152" s="1" t="str">
        <x:v>COMPLETE</x:v>
      </x:c>
      <x:c r="F8152" s="1" t="str">
        <x:v>Advance shipping</x:v>
      </x:c>
      <x:c r="G8152" s="6" t="n">
        <x:v>2</x:v>
      </x:c>
      <x:c r="H8152" s="6" t="n">
        <x:v>4</x:v>
      </x:c>
      <x:c r="I8152" s="6" t="n">
        <x:f>G8152-H8152</x:f>
        <x:v>-2</x:v>
      </x:c>
      <x:c r="J8152" s="6" t="n">
        <x:f>IF(OR(E8152="CANCELED",E8152="SUSPECTED_FRAUD",F8152="Shipping canceled"),0,1)</x:f>
        <x:v>1</x:v>
      </x:c>
      <x:c r="K8152" s="6" t="n">
        <x:f>IF(G8152&gt;H8152,1,0)</x:f>
        <x:v>0</x:v>
      </x:c>
      <x:c r="L8152" s="6" t="n">
        <x:f>J8152*K8152</x:f>
        <x:v>0</x:v>
      </x:c>
    </x:row>
    <x:row r="8153">
      <x:c r="A8153" s="1" t="n">
        <x:v>65293</x:v>
      </x:c>
      <x:c r="B8153" s="5" t="d">
        <x:v>2017-08-11T00:00:00.000Z</x:v>
      </x:c>
      <x:c r="C8153" s="1" t="str">
        <x:v>Standard Class</x:v>
      </x:c>
      <x:c r="D8153" s="1" t="str">
        <x:v>Europe</x:v>
      </x:c>
      <x:c r="E8153" s="1" t="str">
        <x:v>COMPLETE</x:v>
      </x:c>
      <x:c r="F8153" s="1" t="str">
        <x:v>Shipping on time</x:v>
      </x:c>
      <x:c r="G8153" s="6" t="n">
        <x:v>4</x:v>
      </x:c>
      <x:c r="H8153" s="6" t="n">
        <x:v>4</x:v>
      </x:c>
      <x:c r="I8153" s="6" t="n">
        <x:f>G8153-H8153</x:f>
        <x:v>0</x:v>
      </x:c>
      <x:c r="J8153" s="6" t="n">
        <x:f>IF(OR(E8153="CANCELED",E8153="SUSPECTED_FRAUD",F8153="Shipping canceled"),0,1)</x:f>
        <x:v>1</x:v>
      </x:c>
      <x:c r="K8153" s="6" t="n">
        <x:f>IF(G8153&gt;H8153,1,0)</x:f>
        <x:v>0</x:v>
      </x:c>
      <x:c r="L8153" s="6" t="n">
        <x:f>J8153*K8153</x:f>
        <x:v>0</x:v>
      </x:c>
    </x:row>
    <x:row r="8154">
      <x:c r="A8154" s="1" t="n">
        <x:v>65307</x:v>
      </x:c>
      <x:c r="B8154" s="5" t="d">
        <x:v>2017-08-11T00:00:00.000Z</x:v>
      </x:c>
      <x:c r="C8154" s="1" t="str">
        <x:v>First Class</x:v>
      </x:c>
      <x:c r="D8154" s="1" t="str">
        <x:v>Europe</x:v>
      </x:c>
      <x:c r="E8154" s="1" t="str">
        <x:v>PROCESSING</x:v>
      </x:c>
      <x:c r="F8154" s="1" t="str">
        <x:v>Late delivery</x:v>
      </x:c>
      <x:c r="G8154" s="6" t="n">
        <x:v>2</x:v>
      </x:c>
      <x:c r="H8154" s="6" t="n">
        <x:v>1</x:v>
      </x:c>
      <x:c r="I8154" s="6" t="n">
        <x:f>G8154-H8154</x:f>
        <x:v>1</x:v>
      </x:c>
      <x:c r="J8154" s="6" t="n">
        <x:f>IF(OR(E8154="CANCELED",E8154="SUSPECTED_FRAUD",F8154="Shipping canceled"),0,1)</x:f>
        <x:v>1</x:v>
      </x:c>
      <x:c r="K8154" s="6" t="n">
        <x:f>IF(G8154&gt;H8154,1,0)</x:f>
        <x:v>1</x:v>
      </x:c>
      <x:c r="L8154" s="6" t="n">
        <x:f>J8154*K8154</x:f>
        <x:v>1</x:v>
      </x:c>
    </x:row>
    <x:row r="8155">
      <x:c r="A8155" s="1" t="n">
        <x:v>65310</x:v>
      </x:c>
      <x:c r="B8155" s="5" t="d">
        <x:v>2017-08-11T00:00:00.000Z</x:v>
      </x:c>
      <x:c r="C8155" s="1" t="str">
        <x:v>Standard Class</x:v>
      </x:c>
      <x:c r="D8155" s="1" t="str">
        <x:v>Europe</x:v>
      </x:c>
      <x:c r="E8155" s="1" t="str">
        <x:v>COMPLETE</x:v>
      </x:c>
      <x:c r="F8155" s="1" t="str">
        <x:v>Late delivery</x:v>
      </x:c>
      <x:c r="G8155" s="6" t="n">
        <x:v>6</x:v>
      </x:c>
      <x:c r="H8155" s="6" t="n">
        <x:v>4</x:v>
      </x:c>
      <x:c r="I8155" s="6" t="n">
        <x:f>G8155-H8155</x:f>
        <x:v>2</x:v>
      </x:c>
      <x:c r="J8155" s="6" t="n">
        <x:f>IF(OR(E8155="CANCELED",E8155="SUSPECTED_FRAUD",F8155="Shipping canceled"),0,1)</x:f>
        <x:v>1</x:v>
      </x:c>
      <x:c r="K8155" s="6" t="n">
        <x:f>IF(G8155&gt;H8155,1,0)</x:f>
        <x:v>1</x:v>
      </x:c>
      <x:c r="L8155" s="6" t="n">
        <x:f>J8155*K8155</x:f>
        <x:v>1</x:v>
      </x:c>
    </x:row>
    <x:row r="8156">
      <x:c r="A8156" s="1" t="n">
        <x:v>65312</x:v>
      </x:c>
      <x:c r="B8156" s="5" t="d">
        <x:v>2017-08-11T00:00:00.000Z</x:v>
      </x:c>
      <x:c r="C8156" s="1" t="str">
        <x:v>Standard Class</x:v>
      </x:c>
      <x:c r="D8156" s="1" t="str">
        <x:v>Europe</x:v>
      </x:c>
      <x:c r="E8156" s="1" t="str">
        <x:v>PENDING</x:v>
      </x:c>
      <x:c r="F8156" s="1" t="str">
        <x:v>Advance shipping</x:v>
      </x:c>
      <x:c r="G8156" s="6" t="n">
        <x:v>3</x:v>
      </x:c>
      <x:c r="H8156" s="6" t="n">
        <x:v>4</x:v>
      </x:c>
      <x:c r="I8156" s="6" t="n">
        <x:f>G8156-H8156</x:f>
        <x:v>-1</x:v>
      </x:c>
      <x:c r="J8156" s="6" t="n">
        <x:f>IF(OR(E8156="CANCELED",E8156="SUSPECTED_FRAUD",F8156="Shipping canceled"),0,1)</x:f>
        <x:v>1</x:v>
      </x:c>
      <x:c r="K8156" s="6" t="n">
        <x:f>IF(G8156&gt;H8156,1,0)</x:f>
        <x:v>0</x:v>
      </x:c>
      <x:c r="L8156" s="6" t="n">
        <x:f>J8156*K8156</x:f>
        <x:v>0</x:v>
      </x:c>
    </x:row>
    <x:row r="8157">
      <x:c r="A8157" s="1" t="n">
        <x:v>65327</x:v>
      </x:c>
      <x:c r="B8157" s="5" t="d">
        <x:v>2017-08-11T00:00:00.000Z</x:v>
      </x:c>
      <x:c r="C8157" s="1" t="str">
        <x:v>Standard Class</x:v>
      </x:c>
      <x:c r="D8157" s="1" t="str">
        <x:v>Europe</x:v>
      </x:c>
      <x:c r="E8157" s="1" t="str">
        <x:v>COMPLETE</x:v>
      </x:c>
      <x:c r="F8157" s="1" t="str">
        <x:v>Advance shipping</x:v>
      </x:c>
      <x:c r="G8157" s="6" t="n">
        <x:v>3</x:v>
      </x:c>
      <x:c r="H8157" s="6" t="n">
        <x:v>4</x:v>
      </x:c>
      <x:c r="I8157" s="6" t="n">
        <x:f>G8157-H8157</x:f>
        <x:v>-1</x:v>
      </x:c>
      <x:c r="J8157" s="6" t="n">
        <x:f>IF(OR(E8157="CANCELED",E8157="SUSPECTED_FRAUD",F8157="Shipping canceled"),0,1)</x:f>
        <x:v>1</x:v>
      </x:c>
      <x:c r="K8157" s="6" t="n">
        <x:f>IF(G8157&gt;H8157,1,0)</x:f>
        <x:v>0</x:v>
      </x:c>
      <x:c r="L8157" s="6" t="n">
        <x:f>J8157*K8157</x:f>
        <x:v>0</x:v>
      </x:c>
    </x:row>
    <x:row r="8158">
      <x:c r="A8158" s="1" t="n">
        <x:v>65332</x:v>
      </x:c>
      <x:c r="B8158" s="5" t="d">
        <x:v>2017-08-11T00:00:00.000Z</x:v>
      </x:c>
      <x:c r="C8158" s="1" t="str">
        <x:v>Standard Class</x:v>
      </x:c>
      <x:c r="D8158" s="1" t="str">
        <x:v>Europe</x:v>
      </x:c>
      <x:c r="E8158" s="1" t="str">
        <x:v>COMPLETE</x:v>
      </x:c>
      <x:c r="F8158" s="1" t="str">
        <x:v>Advance shipping</x:v>
      </x:c>
      <x:c r="G8158" s="6" t="n">
        <x:v>3</x:v>
      </x:c>
      <x:c r="H8158" s="6" t="n">
        <x:v>4</x:v>
      </x:c>
      <x:c r="I8158" s="6" t="n">
        <x:f>G8158-H8158</x:f>
        <x:v>-1</x:v>
      </x:c>
      <x:c r="J8158" s="6" t="n">
        <x:f>IF(OR(E8158="CANCELED",E8158="SUSPECTED_FRAUD",F8158="Shipping canceled"),0,1)</x:f>
        <x:v>1</x:v>
      </x:c>
      <x:c r="K8158" s="6" t="n">
        <x:f>IF(G8158&gt;H8158,1,0)</x:f>
        <x:v>0</x:v>
      </x:c>
      <x:c r="L8158" s="6" t="n">
        <x:f>J8158*K8158</x:f>
        <x:v>0</x:v>
      </x:c>
    </x:row>
    <x:row r="8159">
      <x:c r="A8159" s="1" t="n">
        <x:v>65345</x:v>
      </x:c>
      <x:c r="B8159" s="5" t="d">
        <x:v>2017-08-11T00:00:00.000Z</x:v>
      </x:c>
      <x:c r="C8159" s="1" t="str">
        <x:v>First Class</x:v>
      </x:c>
      <x:c r="D8159" s="1" t="str">
        <x:v>Europe</x:v>
      </x:c>
      <x:c r="E8159" s="1" t="str">
        <x:v>PENDING_PAYMENT</x:v>
      </x:c>
      <x:c r="F8159" s="1" t="str">
        <x:v>Late delivery</x:v>
      </x:c>
      <x:c r="G8159" s="6" t="n">
        <x:v>2</x:v>
      </x:c>
      <x:c r="H8159" s="6" t="n">
        <x:v>1</x:v>
      </x:c>
      <x:c r="I8159" s="6" t="n">
        <x:f>G8159-H8159</x:f>
        <x:v>1</x:v>
      </x:c>
      <x:c r="J8159" s="6" t="n">
        <x:f>IF(OR(E8159="CANCELED",E8159="SUSPECTED_FRAUD",F8159="Shipping canceled"),0,1)</x:f>
        <x:v>1</x:v>
      </x:c>
      <x:c r="K8159" s="6" t="n">
        <x:f>IF(G8159&gt;H8159,1,0)</x:f>
        <x:v>1</x:v>
      </x:c>
      <x:c r="L8159" s="6" t="n">
        <x:f>J8159*K8159</x:f>
        <x:v>1</x:v>
      </x:c>
    </x:row>
    <x:row r="8160">
      <x:c r="A8160" s="1" t="n">
        <x:v>65359</x:v>
      </x:c>
      <x:c r="B8160" s="5" t="d">
        <x:v>2017-08-12T00:00:00.000Z</x:v>
      </x:c>
      <x:c r="C8160" s="1" t="str">
        <x:v>First Class</x:v>
      </x:c>
      <x:c r="D8160" s="1" t="str">
        <x:v>Europe</x:v>
      </x:c>
      <x:c r="E8160" s="1" t="str">
        <x:v>CLOSED</x:v>
      </x:c>
      <x:c r="F8160" s="1" t="str">
        <x:v>Late delivery</x:v>
      </x:c>
      <x:c r="G8160" s="6" t="n">
        <x:v>2</x:v>
      </x:c>
      <x:c r="H8160" s="6" t="n">
        <x:v>1</x:v>
      </x:c>
      <x:c r="I8160" s="6" t="n">
        <x:f>G8160-H8160</x:f>
        <x:v>1</x:v>
      </x:c>
      <x:c r="J8160" s="6" t="n">
        <x:f>IF(OR(E8160="CANCELED",E8160="SUSPECTED_FRAUD",F8160="Shipping canceled"),0,1)</x:f>
        <x:v>1</x:v>
      </x:c>
      <x:c r="K8160" s="6" t="n">
        <x:f>IF(G8160&gt;H8160,1,0)</x:f>
        <x:v>1</x:v>
      </x:c>
      <x:c r="L8160" s="6" t="n">
        <x:f>J8160*K8160</x:f>
        <x:v>1</x:v>
      </x:c>
    </x:row>
    <x:row r="8161">
      <x:c r="A8161" s="1" t="n">
        <x:v>65368</x:v>
      </x:c>
      <x:c r="B8161" s="5" t="d">
        <x:v>2017-08-12T00:00:00.000Z</x:v>
      </x:c>
      <x:c r="C8161" s="1" t="str">
        <x:v>Standard Class</x:v>
      </x:c>
      <x:c r="D8161" s="1" t="str">
        <x:v>Europe</x:v>
      </x:c>
      <x:c r="E8161" s="1" t="str">
        <x:v>PENDING</x:v>
      </x:c>
      <x:c r="F8161" s="1" t="str">
        <x:v>Shipping on time</x:v>
      </x:c>
      <x:c r="G8161" s="6" t="n">
        <x:v>4</x:v>
      </x:c>
      <x:c r="H8161" s="6" t="n">
        <x:v>4</x:v>
      </x:c>
      <x:c r="I8161" s="6" t="n">
        <x:f>G8161-H8161</x:f>
        <x:v>0</x:v>
      </x:c>
      <x:c r="J8161" s="6" t="n">
        <x:f>IF(OR(E8161="CANCELED",E8161="SUSPECTED_FRAUD",F8161="Shipping canceled"),0,1)</x:f>
        <x:v>1</x:v>
      </x:c>
      <x:c r="K8161" s="6" t="n">
        <x:f>IF(G8161&gt;H8161,1,0)</x:f>
        <x:v>0</x:v>
      </x:c>
      <x:c r="L8161" s="6" t="n">
        <x:f>J8161*K8161</x:f>
        <x:v>0</x:v>
      </x:c>
    </x:row>
    <x:row r="8162">
      <x:c r="A8162" s="1" t="n">
        <x:v>65370</x:v>
      </x:c>
      <x:c r="B8162" s="5" t="d">
        <x:v>2017-08-12T00:00:00.000Z</x:v>
      </x:c>
      <x:c r="C8162" s="1" t="str">
        <x:v>Standard Class</x:v>
      </x:c>
      <x:c r="D8162" s="1" t="str">
        <x:v>Europe</x:v>
      </x:c>
      <x:c r="E8162" s="1" t="str">
        <x:v>PENDING</x:v>
      </x:c>
      <x:c r="F8162" s="1" t="str">
        <x:v>Late delivery</x:v>
      </x:c>
      <x:c r="G8162" s="6" t="n">
        <x:v>6</x:v>
      </x:c>
      <x:c r="H8162" s="6" t="n">
        <x:v>4</x:v>
      </x:c>
      <x:c r="I8162" s="6" t="n">
        <x:f>G8162-H8162</x:f>
        <x:v>2</x:v>
      </x:c>
      <x:c r="J8162" s="6" t="n">
        <x:f>IF(OR(E8162="CANCELED",E8162="SUSPECTED_FRAUD",F8162="Shipping canceled"),0,1)</x:f>
        <x:v>1</x:v>
      </x:c>
      <x:c r="K8162" s="6" t="n">
        <x:f>IF(G8162&gt;H8162,1,0)</x:f>
        <x:v>1</x:v>
      </x:c>
      <x:c r="L8162" s="6" t="n">
        <x:f>J8162*K8162</x:f>
        <x:v>1</x:v>
      </x:c>
    </x:row>
    <x:row r="8163">
      <x:c r="A8163" s="1" t="n">
        <x:v>65373</x:v>
      </x:c>
      <x:c r="B8163" s="5" t="d">
        <x:v>2017-08-12T00:00:00.000Z</x:v>
      </x:c>
      <x:c r="C8163" s="1" t="str">
        <x:v>Standard Class</x:v>
      </x:c>
      <x:c r="D8163" s="1" t="str">
        <x:v>Europe</x:v>
      </x:c>
      <x:c r="E8163" s="1" t="str">
        <x:v>COMPLETE</x:v>
      </x:c>
      <x:c r="F8163" s="1" t="str">
        <x:v>Shipping on time</x:v>
      </x:c>
      <x:c r="G8163" s="6" t="n">
        <x:v>4</x:v>
      </x:c>
      <x:c r="H8163" s="6" t="n">
        <x:v>4</x:v>
      </x:c>
      <x:c r="I8163" s="6" t="n">
        <x:f>G8163-H8163</x:f>
        <x:v>0</x:v>
      </x:c>
      <x:c r="J8163" s="6" t="n">
        <x:f>IF(OR(E8163="CANCELED",E8163="SUSPECTED_FRAUD",F8163="Shipping canceled"),0,1)</x:f>
        <x:v>1</x:v>
      </x:c>
      <x:c r="K8163" s="6" t="n">
        <x:f>IF(G8163&gt;H8163,1,0)</x:f>
        <x:v>0</x:v>
      </x:c>
      <x:c r="L8163" s="6" t="n">
        <x:f>J8163*K8163</x:f>
        <x:v>0</x:v>
      </x:c>
    </x:row>
    <x:row r="8164">
      <x:c r="A8164" s="1" t="n">
        <x:v>65398</x:v>
      </x:c>
      <x:c r="B8164" s="5" t="d">
        <x:v>2017-08-12T00:00:00.000Z</x:v>
      </x:c>
      <x:c r="C8164" s="1" t="str">
        <x:v>Standard Class</x:v>
      </x:c>
      <x:c r="D8164" s="1" t="str">
        <x:v>Europe</x:v>
      </x:c>
      <x:c r="E8164" s="1" t="str">
        <x:v>COMPLETE</x:v>
      </x:c>
      <x:c r="F8164" s="1" t="str">
        <x:v>Shipping on time</x:v>
      </x:c>
      <x:c r="G8164" s="6" t="n">
        <x:v>4</x:v>
      </x:c>
      <x:c r="H8164" s="6" t="n">
        <x:v>4</x:v>
      </x:c>
      <x:c r="I8164" s="6" t="n">
        <x:f>G8164-H8164</x:f>
        <x:v>0</x:v>
      </x:c>
      <x:c r="J8164" s="6" t="n">
        <x:f>IF(OR(E8164="CANCELED",E8164="SUSPECTED_FRAUD",F8164="Shipping canceled"),0,1)</x:f>
        <x:v>1</x:v>
      </x:c>
      <x:c r="K8164" s="6" t="n">
        <x:f>IF(G8164&gt;H8164,1,0)</x:f>
        <x:v>0</x:v>
      </x:c>
      <x:c r="L8164" s="6" t="n">
        <x:f>J8164*K8164</x:f>
        <x:v>0</x:v>
      </x:c>
    </x:row>
    <x:row r="8165">
      <x:c r="A8165" s="1" t="n">
        <x:v>65402</x:v>
      </x:c>
      <x:c r="B8165" s="5" t="d">
        <x:v>2017-08-12T00:00:00.000Z</x:v>
      </x:c>
      <x:c r="C8165" s="1" t="str">
        <x:v>Standard Class</x:v>
      </x:c>
      <x:c r="D8165" s="1" t="str">
        <x:v>Europe</x:v>
      </x:c>
      <x:c r="E8165" s="1" t="str">
        <x:v>COMPLETE</x:v>
      </x:c>
      <x:c r="F8165" s="1" t="str">
        <x:v>Advance shipping</x:v>
      </x:c>
      <x:c r="G8165" s="6" t="n">
        <x:v>3</x:v>
      </x:c>
      <x:c r="H8165" s="6" t="n">
        <x:v>4</x:v>
      </x:c>
      <x:c r="I8165" s="6" t="n">
        <x:f>G8165-H8165</x:f>
        <x:v>-1</x:v>
      </x:c>
      <x:c r="J8165" s="6" t="n">
        <x:f>IF(OR(E8165="CANCELED",E8165="SUSPECTED_FRAUD",F8165="Shipping canceled"),0,1)</x:f>
        <x:v>1</x:v>
      </x:c>
      <x:c r="K8165" s="6" t="n">
        <x:f>IF(G8165&gt;H8165,1,0)</x:f>
        <x:v>0</x:v>
      </x:c>
      <x:c r="L8165" s="6" t="n">
        <x:f>J8165*K8165</x:f>
        <x:v>0</x:v>
      </x:c>
    </x:row>
    <x:row r="8166">
      <x:c r="A8166" s="1" t="n">
        <x:v>65422</x:v>
      </x:c>
      <x:c r="B8166" s="5" t="d">
        <x:v>2017-08-12T00:00:00.000Z</x:v>
      </x:c>
      <x:c r="C8166" s="1" t="str">
        <x:v>Standard Class</x:v>
      </x:c>
      <x:c r="D8166" s="1" t="str">
        <x:v>Europe</x:v>
      </x:c>
      <x:c r="E8166" s="1" t="str">
        <x:v>ON_HOLD</x:v>
      </x:c>
      <x:c r="F8166" s="1" t="str">
        <x:v>Advance shipping</x:v>
      </x:c>
      <x:c r="G8166" s="6" t="n">
        <x:v>3</x:v>
      </x:c>
      <x:c r="H8166" s="6" t="n">
        <x:v>4</x:v>
      </x:c>
      <x:c r="I8166" s="6" t="n">
        <x:f>G8166-H8166</x:f>
        <x:v>-1</x:v>
      </x:c>
      <x:c r="J8166" s="6" t="n">
        <x:f>IF(OR(E8166="CANCELED",E8166="SUSPECTED_FRAUD",F8166="Shipping canceled"),0,1)</x:f>
        <x:v>1</x:v>
      </x:c>
      <x:c r="K8166" s="6" t="n">
        <x:f>IF(G8166&gt;H8166,1,0)</x:f>
        <x:v>0</x:v>
      </x:c>
      <x:c r="L8166" s="6" t="n">
        <x:f>J8166*K8166</x:f>
        <x:v>0</x:v>
      </x:c>
    </x:row>
    <x:row r="8167">
      <x:c r="A8167" s="1" t="n">
        <x:v>65424</x:v>
      </x:c>
      <x:c r="B8167" s="5" t="d">
        <x:v>2017-08-13T00:00:00.000Z</x:v>
      </x:c>
      <x:c r="C8167" s="1" t="str">
        <x:v>Standard Class</x:v>
      </x:c>
      <x:c r="D8167" s="1" t="str">
        <x:v>Europe</x:v>
      </x:c>
      <x:c r="E8167" s="1" t="str">
        <x:v>COMPLETE</x:v>
      </x:c>
      <x:c r="F8167" s="1" t="str">
        <x:v>Late delivery</x:v>
      </x:c>
      <x:c r="G8167" s="6" t="n">
        <x:v>5</x:v>
      </x:c>
      <x:c r="H8167" s="6" t="n">
        <x:v>4</x:v>
      </x:c>
      <x:c r="I8167" s="6" t="n">
        <x:f>G8167-H8167</x:f>
        <x:v>1</x:v>
      </x:c>
      <x:c r="J8167" s="6" t="n">
        <x:f>IF(OR(E8167="CANCELED",E8167="SUSPECTED_FRAUD",F8167="Shipping canceled"),0,1)</x:f>
        <x:v>1</x:v>
      </x:c>
      <x:c r="K8167" s="6" t="n">
        <x:f>IF(G8167&gt;H8167,1,0)</x:f>
        <x:v>1</x:v>
      </x:c>
      <x:c r="L8167" s="6" t="n">
        <x:f>J8167*K8167</x:f>
        <x:v>1</x:v>
      </x:c>
    </x:row>
    <x:row r="8168">
      <x:c r="A8168" s="1" t="n">
        <x:v>65430</x:v>
      </x:c>
      <x:c r="B8168" s="5" t="d">
        <x:v>2017-08-13T00:00:00.000Z</x:v>
      </x:c>
      <x:c r="C8168" s="1" t="str">
        <x:v>Standard Class</x:v>
      </x:c>
      <x:c r="D8168" s="1" t="str">
        <x:v>Europe</x:v>
      </x:c>
      <x:c r="E8168" s="1" t="str">
        <x:v>PROCESSING</x:v>
      </x:c>
      <x:c r="F8168" s="1" t="str">
        <x:v>Late delivery</x:v>
      </x:c>
      <x:c r="G8168" s="6" t="n">
        <x:v>6</x:v>
      </x:c>
      <x:c r="H8168" s="6" t="n">
        <x:v>4</x:v>
      </x:c>
      <x:c r="I8168" s="6" t="n">
        <x:f>G8168-H8168</x:f>
        <x:v>2</x:v>
      </x:c>
      <x:c r="J8168" s="6" t="n">
        <x:f>IF(OR(E8168="CANCELED",E8168="SUSPECTED_FRAUD",F8168="Shipping canceled"),0,1)</x:f>
        <x:v>1</x:v>
      </x:c>
      <x:c r="K8168" s="6" t="n">
        <x:f>IF(G8168&gt;H8168,1,0)</x:f>
        <x:v>1</x:v>
      </x:c>
      <x:c r="L8168" s="6" t="n">
        <x:f>J8168*K8168</x:f>
        <x:v>1</x:v>
      </x:c>
    </x:row>
    <x:row r="8169">
      <x:c r="A8169" s="1" t="n">
        <x:v>65432</x:v>
      </x:c>
      <x:c r="B8169" s="5" t="d">
        <x:v>2017-08-13T00:00:00.000Z</x:v>
      </x:c>
      <x:c r="C8169" s="1" t="str">
        <x:v>Standard Class</x:v>
      </x:c>
      <x:c r="D8169" s="1" t="str">
        <x:v>Europe</x:v>
      </x:c>
      <x:c r="E8169" s="1" t="str">
        <x:v>ON_HOLD</x:v>
      </x:c>
      <x:c r="F8169" s="1" t="str">
        <x:v>Advance shipping</x:v>
      </x:c>
      <x:c r="G8169" s="6" t="n">
        <x:v>3</x:v>
      </x:c>
      <x:c r="H8169" s="6" t="n">
        <x:v>4</x:v>
      </x:c>
      <x:c r="I8169" s="6" t="n">
        <x:f>G8169-H8169</x:f>
        <x:v>-1</x:v>
      </x:c>
      <x:c r="J8169" s="6" t="n">
        <x:f>IF(OR(E8169="CANCELED",E8169="SUSPECTED_FRAUD",F8169="Shipping canceled"),0,1)</x:f>
        <x:v>1</x:v>
      </x:c>
      <x:c r="K8169" s="6" t="n">
        <x:f>IF(G8169&gt;H8169,1,0)</x:f>
        <x:v>0</x:v>
      </x:c>
      <x:c r="L8169" s="6" t="n">
        <x:f>J8169*K8169</x:f>
        <x:v>0</x:v>
      </x:c>
    </x:row>
    <x:row r="8170">
      <x:c r="A8170" s="1" t="n">
        <x:v>65433</x:v>
      </x:c>
      <x:c r="B8170" s="5" t="d">
        <x:v>2017-08-13T00:00:00.000Z</x:v>
      </x:c>
      <x:c r="C8170" s="1" t="str">
        <x:v>First Class</x:v>
      </x:c>
      <x:c r="D8170" s="1" t="str">
        <x:v>Europe</x:v>
      </x:c>
      <x:c r="E8170" s="1" t="str">
        <x:v>PENDING_PAYMENT</x:v>
      </x:c>
      <x:c r="F8170" s="1" t="str">
        <x:v>Late delivery</x:v>
      </x:c>
      <x:c r="G8170" s="6" t="n">
        <x:v>2</x:v>
      </x:c>
      <x:c r="H8170" s="6" t="n">
        <x:v>1</x:v>
      </x:c>
      <x:c r="I8170" s="6" t="n">
        <x:f>G8170-H8170</x:f>
        <x:v>1</x:v>
      </x:c>
      <x:c r="J8170" s="6" t="n">
        <x:f>IF(OR(E8170="CANCELED",E8170="SUSPECTED_FRAUD",F8170="Shipping canceled"),0,1)</x:f>
        <x:v>1</x:v>
      </x:c>
      <x:c r="K8170" s="6" t="n">
        <x:f>IF(G8170&gt;H8170,1,0)</x:f>
        <x:v>1</x:v>
      </x:c>
      <x:c r="L8170" s="6" t="n">
        <x:f>J8170*K8170</x:f>
        <x:v>1</x:v>
      </x:c>
    </x:row>
    <x:row r="8171">
      <x:c r="A8171" s="1" t="n">
        <x:v>65439</x:v>
      </x:c>
      <x:c r="B8171" s="5" t="d">
        <x:v>2017-08-13T00:00:00.000Z</x:v>
      </x:c>
      <x:c r="C8171" s="1" t="str">
        <x:v>Standard Class</x:v>
      </x:c>
      <x:c r="D8171" s="1" t="str">
        <x:v>Europe</x:v>
      </x:c>
      <x:c r="E8171" s="1" t="str">
        <x:v>CANCELED</x:v>
      </x:c>
      <x:c r="F8171" s="1" t="str">
        <x:v>Shipping canceled</x:v>
      </x:c>
      <x:c r="G8171" s="6" t="n">
        <x:v>5</x:v>
      </x:c>
      <x:c r="H8171" s="6" t="n">
        <x:v>4</x:v>
      </x:c>
      <x:c r="I8171" s="6" t="n">
        <x:f>G8171-H8171</x:f>
        <x:v>1</x:v>
      </x:c>
      <x:c r="J8171" s="6" t="n">
        <x:f>IF(OR(E8171="CANCELED",E8171="SUSPECTED_FRAUD",F8171="Shipping canceled"),0,1)</x:f>
        <x:v>0</x:v>
      </x:c>
      <x:c r="K8171" s="6" t="n">
        <x:f>IF(G8171&gt;H8171,1,0)</x:f>
        <x:v>1</x:v>
      </x:c>
      <x:c r="L8171" s="6" t="n">
        <x:f>J8171*K8171</x:f>
        <x:v>0</x:v>
      </x:c>
    </x:row>
    <x:row r="8172">
      <x:c r="A8172" s="1" t="n">
        <x:v>65453</x:v>
      </x:c>
      <x:c r="B8172" s="5" t="d">
        <x:v>2017-08-13T00:00:00.000Z</x:v>
      </x:c>
      <x:c r="C8172" s="1" t="str">
        <x:v>Standard Class</x:v>
      </x:c>
      <x:c r="D8172" s="1" t="str">
        <x:v>Europe</x:v>
      </x:c>
      <x:c r="E8172" s="1" t="str">
        <x:v>PENDING</x:v>
      </x:c>
      <x:c r="F8172" s="1" t="str">
        <x:v>Shipping on time</x:v>
      </x:c>
      <x:c r="G8172" s="6" t="n">
        <x:v>4</x:v>
      </x:c>
      <x:c r="H8172" s="6" t="n">
        <x:v>4</x:v>
      </x:c>
      <x:c r="I8172" s="6" t="n">
        <x:f>G8172-H8172</x:f>
        <x:v>0</x:v>
      </x:c>
      <x:c r="J8172" s="6" t="n">
        <x:f>IF(OR(E8172="CANCELED",E8172="SUSPECTED_FRAUD",F8172="Shipping canceled"),0,1)</x:f>
        <x:v>1</x:v>
      </x:c>
      <x:c r="K8172" s="6" t="n">
        <x:f>IF(G8172&gt;H8172,1,0)</x:f>
        <x:v>0</x:v>
      </x:c>
      <x:c r="L8172" s="6" t="n">
        <x:f>J8172*K8172</x:f>
        <x:v>0</x:v>
      </x:c>
    </x:row>
    <x:row r="8173">
      <x:c r="A8173" s="1" t="n">
        <x:v>65463</x:v>
      </x:c>
      <x:c r="B8173" s="5" t="d">
        <x:v>2017-08-13T00:00:00.000Z</x:v>
      </x:c>
      <x:c r="C8173" s="1" t="str">
        <x:v>First Class</x:v>
      </x:c>
      <x:c r="D8173" s="1" t="str">
        <x:v>Europe</x:v>
      </x:c>
      <x:c r="E8173" s="1" t="str">
        <x:v>PENDING_PAYMENT</x:v>
      </x:c>
      <x:c r="F8173" s="1" t="str">
        <x:v>Late delivery</x:v>
      </x:c>
      <x:c r="G8173" s="6" t="n">
        <x:v>2</x:v>
      </x:c>
      <x:c r="H8173" s="6" t="n">
        <x:v>1</x:v>
      </x:c>
      <x:c r="I8173" s="6" t="n">
        <x:f>G8173-H8173</x:f>
        <x:v>1</x:v>
      </x:c>
      <x:c r="J8173" s="6" t="n">
        <x:f>IF(OR(E8173="CANCELED",E8173="SUSPECTED_FRAUD",F8173="Shipping canceled"),0,1)</x:f>
        <x:v>1</x:v>
      </x:c>
      <x:c r="K8173" s="6" t="n">
        <x:f>IF(G8173&gt;H8173,1,0)</x:f>
        <x:v>1</x:v>
      </x:c>
      <x:c r="L8173" s="6" t="n">
        <x:f>J8173*K8173</x:f>
        <x:v>1</x:v>
      </x:c>
    </x:row>
    <x:row r="8174">
      <x:c r="A8174" s="1" t="n">
        <x:v>65471</x:v>
      </x:c>
      <x:c r="B8174" s="5" t="d">
        <x:v>2017-08-13T00:00:00.000Z</x:v>
      </x:c>
      <x:c r="C8174" s="1" t="str">
        <x:v>Standard Class</x:v>
      </x:c>
      <x:c r="D8174" s="1" t="str">
        <x:v>Europe</x:v>
      </x:c>
      <x:c r="E8174" s="1" t="str">
        <x:v>COMPLETE</x:v>
      </x:c>
      <x:c r="F8174" s="1" t="str">
        <x:v>Advance shipping</x:v>
      </x:c>
      <x:c r="G8174" s="6" t="n">
        <x:v>2</x:v>
      </x:c>
      <x:c r="H8174" s="6" t="n">
        <x:v>4</x:v>
      </x:c>
      <x:c r="I8174" s="6" t="n">
        <x:f>G8174-H8174</x:f>
        <x:v>-2</x:v>
      </x:c>
      <x:c r="J8174" s="6" t="n">
        <x:f>IF(OR(E8174="CANCELED",E8174="SUSPECTED_FRAUD",F8174="Shipping canceled"),0,1)</x:f>
        <x:v>1</x:v>
      </x:c>
      <x:c r="K8174" s="6" t="n">
        <x:f>IF(G8174&gt;H8174,1,0)</x:f>
        <x:v>0</x:v>
      </x:c>
      <x:c r="L8174" s="6" t="n">
        <x:f>J8174*K8174</x:f>
        <x:v>0</x:v>
      </x:c>
    </x:row>
    <x:row r="8175">
      <x:c r="A8175" s="1" t="n">
        <x:v>65486</x:v>
      </x:c>
      <x:c r="B8175" s="5" t="d">
        <x:v>2017-08-13T00:00:00.000Z</x:v>
      </x:c>
      <x:c r="C8175" s="1" t="str">
        <x:v>Standard Class</x:v>
      </x:c>
      <x:c r="D8175" s="1" t="str">
        <x:v>Europe</x:v>
      </x:c>
      <x:c r="E8175" s="1" t="str">
        <x:v>PENDING</x:v>
      </x:c>
      <x:c r="F8175" s="1" t="str">
        <x:v>Advance shipping</x:v>
      </x:c>
      <x:c r="G8175" s="6" t="n">
        <x:v>2</x:v>
      </x:c>
      <x:c r="H8175" s="6" t="n">
        <x:v>4</x:v>
      </x:c>
      <x:c r="I8175" s="6" t="n">
        <x:f>G8175-H8175</x:f>
        <x:v>-2</x:v>
      </x:c>
      <x:c r="J8175" s="6" t="n">
        <x:f>IF(OR(E8175="CANCELED",E8175="SUSPECTED_FRAUD",F8175="Shipping canceled"),0,1)</x:f>
        <x:v>1</x:v>
      </x:c>
      <x:c r="K8175" s="6" t="n">
        <x:f>IF(G8175&gt;H8175,1,0)</x:f>
        <x:v>0</x:v>
      </x:c>
      <x:c r="L8175" s="6" t="n">
        <x:f>J8175*K8175</x:f>
        <x:v>0</x:v>
      </x:c>
    </x:row>
    <x:row r="8176">
      <x:c r="A8176" s="1" t="n">
        <x:v>65487</x:v>
      </x:c>
      <x:c r="B8176" s="5" t="d">
        <x:v>2017-08-13T00:00:00.000Z</x:v>
      </x:c>
      <x:c r="C8176" s="1" t="str">
        <x:v>Second Class</x:v>
      </x:c>
      <x:c r="D8176" s="1" t="str">
        <x:v>Europe</x:v>
      </x:c>
      <x:c r="E8176" s="1" t="str">
        <x:v>COMPLETE</x:v>
      </x:c>
      <x:c r="F8176" s="1" t="str">
        <x:v>Late delivery</x:v>
      </x:c>
      <x:c r="G8176" s="6" t="n">
        <x:v>3</x:v>
      </x:c>
      <x:c r="H8176" s="6" t="n">
        <x:v>2</x:v>
      </x:c>
      <x:c r="I8176" s="6" t="n">
        <x:f>G8176-H8176</x:f>
        <x:v>1</x:v>
      </x:c>
      <x:c r="J8176" s="6" t="n">
        <x:f>IF(OR(E8176="CANCELED",E8176="SUSPECTED_FRAUD",F8176="Shipping canceled"),0,1)</x:f>
        <x:v>1</x:v>
      </x:c>
      <x:c r="K8176" s="6" t="n">
        <x:f>IF(G8176&gt;H8176,1,0)</x:f>
        <x:v>1</x:v>
      </x:c>
      <x:c r="L8176" s="6" t="n">
        <x:f>J8176*K8176</x:f>
        <x:v>1</x:v>
      </x:c>
    </x:row>
    <x:row r="8177">
      <x:c r="A8177" s="1" t="n">
        <x:v>65494</x:v>
      </x:c>
      <x:c r="B8177" s="5" t="d">
        <x:v>2017-08-14T00:00:00.000Z</x:v>
      </x:c>
      <x:c r="C8177" s="1" t="str">
        <x:v>Standard Class</x:v>
      </x:c>
      <x:c r="D8177" s="1" t="str">
        <x:v>Europe</x:v>
      </x:c>
      <x:c r="E8177" s="1" t="str">
        <x:v>COMPLETE</x:v>
      </x:c>
      <x:c r="F8177" s="1" t="str">
        <x:v>Late delivery</x:v>
      </x:c>
      <x:c r="G8177" s="6" t="n">
        <x:v>5</x:v>
      </x:c>
      <x:c r="H8177" s="6" t="n">
        <x:v>4</x:v>
      </x:c>
      <x:c r="I8177" s="6" t="n">
        <x:f>G8177-H8177</x:f>
        <x:v>1</x:v>
      </x:c>
      <x:c r="J8177" s="6" t="n">
        <x:f>IF(OR(E8177="CANCELED",E8177="SUSPECTED_FRAUD",F8177="Shipping canceled"),0,1)</x:f>
        <x:v>1</x:v>
      </x:c>
      <x:c r="K8177" s="6" t="n">
        <x:f>IF(G8177&gt;H8177,1,0)</x:f>
        <x:v>1</x:v>
      </x:c>
      <x:c r="L8177" s="6" t="n">
        <x:f>J8177*K8177</x:f>
        <x:v>1</x:v>
      </x:c>
    </x:row>
    <x:row r="8178">
      <x:c r="A8178" s="1" t="n">
        <x:v>65495</x:v>
      </x:c>
      <x:c r="B8178" s="5" t="d">
        <x:v>2017-08-14T00:00:00.000Z</x:v>
      </x:c>
      <x:c r="C8178" s="1" t="str">
        <x:v>Standard Class</x:v>
      </x:c>
      <x:c r="D8178" s="1" t="str">
        <x:v>Europe</x:v>
      </x:c>
      <x:c r="E8178" s="1" t="str">
        <x:v>PENDING</x:v>
      </x:c>
      <x:c r="F8178" s="1" t="str">
        <x:v>Late delivery</x:v>
      </x:c>
      <x:c r="G8178" s="6" t="n">
        <x:v>6</x:v>
      </x:c>
      <x:c r="H8178" s="6" t="n">
        <x:v>4</x:v>
      </x:c>
      <x:c r="I8178" s="6" t="n">
        <x:f>G8178-H8178</x:f>
        <x:v>2</x:v>
      </x:c>
      <x:c r="J8178" s="6" t="n">
        <x:f>IF(OR(E8178="CANCELED",E8178="SUSPECTED_FRAUD",F8178="Shipping canceled"),0,1)</x:f>
        <x:v>1</x:v>
      </x:c>
      <x:c r="K8178" s="6" t="n">
        <x:f>IF(G8178&gt;H8178,1,0)</x:f>
        <x:v>1</x:v>
      </x:c>
      <x:c r="L8178" s="6" t="n">
        <x:f>J8178*K8178</x:f>
        <x:v>1</x:v>
      </x:c>
    </x:row>
    <x:row r="8179">
      <x:c r="A8179" s="1" t="n">
        <x:v>65504</x:v>
      </x:c>
      <x:c r="B8179" s="5" t="d">
        <x:v>2017-08-14T00:00:00.000Z</x:v>
      </x:c>
      <x:c r="C8179" s="1" t="str">
        <x:v>Standard Class</x:v>
      </x:c>
      <x:c r="D8179" s="1" t="str">
        <x:v>Europe</x:v>
      </x:c>
      <x:c r="E8179" s="1" t="str">
        <x:v>PENDING</x:v>
      </x:c>
      <x:c r="F8179" s="1" t="str">
        <x:v>Late delivery</x:v>
      </x:c>
      <x:c r="G8179" s="6" t="n">
        <x:v>5</x:v>
      </x:c>
      <x:c r="H8179" s="6" t="n">
        <x:v>4</x:v>
      </x:c>
      <x:c r="I8179" s="6" t="n">
        <x:f>G8179-H8179</x:f>
        <x:v>1</x:v>
      </x:c>
      <x:c r="J8179" s="6" t="n">
        <x:f>IF(OR(E8179="CANCELED",E8179="SUSPECTED_FRAUD",F8179="Shipping canceled"),0,1)</x:f>
        <x:v>1</x:v>
      </x:c>
      <x:c r="K8179" s="6" t="n">
        <x:f>IF(G8179&gt;H8179,1,0)</x:f>
        <x:v>1</x:v>
      </x:c>
      <x:c r="L8179" s="6" t="n">
        <x:f>J8179*K8179</x:f>
        <x:v>1</x:v>
      </x:c>
    </x:row>
    <x:row r="8180">
      <x:c r="A8180" s="1" t="n">
        <x:v>65506</x:v>
      </x:c>
      <x:c r="B8180" s="5" t="d">
        <x:v>2017-08-14T00:00:00.000Z</x:v>
      </x:c>
      <x:c r="C8180" s="1" t="str">
        <x:v>Standard Class</x:v>
      </x:c>
      <x:c r="D8180" s="1" t="str">
        <x:v>Europe</x:v>
      </x:c>
      <x:c r="E8180" s="1" t="str">
        <x:v>COMPLETE</x:v>
      </x:c>
      <x:c r="F8180" s="1" t="str">
        <x:v>Advance shipping</x:v>
      </x:c>
      <x:c r="G8180" s="6" t="n">
        <x:v>2</x:v>
      </x:c>
      <x:c r="H8180" s="6" t="n">
        <x:v>4</x:v>
      </x:c>
      <x:c r="I8180" s="6" t="n">
        <x:f>G8180-H8180</x:f>
        <x:v>-2</x:v>
      </x:c>
      <x:c r="J8180" s="6" t="n">
        <x:f>IF(OR(E8180="CANCELED",E8180="SUSPECTED_FRAUD",F8180="Shipping canceled"),0,1)</x:f>
        <x:v>1</x:v>
      </x:c>
      <x:c r="K8180" s="6" t="n">
        <x:f>IF(G8180&gt;H8180,1,0)</x:f>
        <x:v>0</x:v>
      </x:c>
      <x:c r="L8180" s="6" t="n">
        <x:f>J8180*K8180</x:f>
        <x:v>0</x:v>
      </x:c>
    </x:row>
    <x:row r="8181">
      <x:c r="A8181" s="1" t="n">
        <x:v>65510</x:v>
      </x:c>
      <x:c r="B8181" s="5" t="d">
        <x:v>2017-08-14T00:00:00.000Z</x:v>
      </x:c>
      <x:c r="C8181" s="1" t="str">
        <x:v>Second Class</x:v>
      </x:c>
      <x:c r="D8181" s="1" t="str">
        <x:v>Europe</x:v>
      </x:c>
      <x:c r="E8181" s="1" t="str">
        <x:v>COMPLETE</x:v>
      </x:c>
      <x:c r="F8181" s="1" t="str">
        <x:v>Late delivery</x:v>
      </x:c>
      <x:c r="G8181" s="6" t="n">
        <x:v>6</x:v>
      </x:c>
      <x:c r="H8181" s="6" t="n">
        <x:v>2</x:v>
      </x:c>
      <x:c r="I8181" s="6" t="n">
        <x:f>G8181-H8181</x:f>
        <x:v>4</x:v>
      </x:c>
      <x:c r="J8181" s="6" t="n">
        <x:f>IF(OR(E8181="CANCELED",E8181="SUSPECTED_FRAUD",F8181="Shipping canceled"),0,1)</x:f>
        <x:v>1</x:v>
      </x:c>
      <x:c r="K8181" s="6" t="n">
        <x:f>IF(G8181&gt;H8181,1,0)</x:f>
        <x:v>1</x:v>
      </x:c>
      <x:c r="L8181" s="6" t="n">
        <x:f>J8181*K8181</x:f>
        <x:v>1</x:v>
      </x:c>
    </x:row>
    <x:row r="8182">
      <x:c r="A8182" s="1" t="n">
        <x:v>65514</x:v>
      </x:c>
      <x:c r="B8182" s="5" t="d">
        <x:v>2017-08-14T00:00:00.000Z</x:v>
      </x:c>
      <x:c r="C8182" s="1" t="str">
        <x:v>Standard Class</x:v>
      </x:c>
      <x:c r="D8182" s="1" t="str">
        <x:v>Europe</x:v>
      </x:c>
      <x:c r="E8182" s="1" t="str">
        <x:v>COMPLETE</x:v>
      </x:c>
      <x:c r="F8182" s="1" t="str">
        <x:v>Late delivery</x:v>
      </x:c>
      <x:c r="G8182" s="6" t="n">
        <x:v>5</x:v>
      </x:c>
      <x:c r="H8182" s="6" t="n">
        <x:v>4</x:v>
      </x:c>
      <x:c r="I8182" s="6" t="n">
        <x:f>G8182-H8182</x:f>
        <x:v>1</x:v>
      </x:c>
      <x:c r="J8182" s="6" t="n">
        <x:f>IF(OR(E8182="CANCELED",E8182="SUSPECTED_FRAUD",F8182="Shipping canceled"),0,1)</x:f>
        <x:v>1</x:v>
      </x:c>
      <x:c r="K8182" s="6" t="n">
        <x:f>IF(G8182&gt;H8182,1,0)</x:f>
        <x:v>1</x:v>
      </x:c>
      <x:c r="L8182" s="6" t="n">
        <x:f>J8182*K8182</x:f>
        <x:v>1</x:v>
      </x:c>
    </x:row>
    <x:row r="8183">
      <x:c r="A8183" s="1" t="n">
        <x:v>65531</x:v>
      </x:c>
      <x:c r="B8183" s="5" t="d">
        <x:v>2017-08-14T00:00:00.000Z</x:v>
      </x:c>
      <x:c r="C8183" s="1" t="str">
        <x:v>Standard Class</x:v>
      </x:c>
      <x:c r="D8183" s="1" t="str">
        <x:v>Europe</x:v>
      </x:c>
      <x:c r="E8183" s="1" t="str">
        <x:v>PENDING_PAYMENT</x:v>
      </x:c>
      <x:c r="F8183" s="1" t="str">
        <x:v>Advance shipping</x:v>
      </x:c>
      <x:c r="G8183" s="6" t="n">
        <x:v>2</x:v>
      </x:c>
      <x:c r="H8183" s="6" t="n">
        <x:v>4</x:v>
      </x:c>
      <x:c r="I8183" s="6" t="n">
        <x:f>G8183-H8183</x:f>
        <x:v>-2</x:v>
      </x:c>
      <x:c r="J8183" s="6" t="n">
        <x:f>IF(OR(E8183="CANCELED",E8183="SUSPECTED_FRAUD",F8183="Shipping canceled"),0,1)</x:f>
        <x:v>1</x:v>
      </x:c>
      <x:c r="K8183" s="6" t="n">
        <x:f>IF(G8183&gt;H8183,1,0)</x:f>
        <x:v>0</x:v>
      </x:c>
      <x:c r="L8183" s="6" t="n">
        <x:f>J8183*K8183</x:f>
        <x:v>0</x:v>
      </x:c>
    </x:row>
    <x:row r="8184">
      <x:c r="A8184" s="1" t="n">
        <x:v>65544</x:v>
      </x:c>
      <x:c r="B8184" s="5" t="d">
        <x:v>2017-08-14T00:00:00.000Z</x:v>
      </x:c>
      <x:c r="C8184" s="1" t="str">
        <x:v>Standard Class</x:v>
      </x:c>
      <x:c r="D8184" s="1" t="str">
        <x:v>Europe</x:v>
      </x:c>
      <x:c r="E8184" s="1" t="str">
        <x:v>PENDING_PAYMENT</x:v>
      </x:c>
      <x:c r="F8184" s="1" t="str">
        <x:v>Late delivery</x:v>
      </x:c>
      <x:c r="G8184" s="6" t="n">
        <x:v>5</x:v>
      </x:c>
      <x:c r="H8184" s="6" t="n">
        <x:v>4</x:v>
      </x:c>
      <x:c r="I8184" s="6" t="n">
        <x:f>G8184-H8184</x:f>
        <x:v>1</x:v>
      </x:c>
      <x:c r="J8184" s="6" t="n">
        <x:f>IF(OR(E8184="CANCELED",E8184="SUSPECTED_FRAUD",F8184="Shipping canceled"),0,1)</x:f>
        <x:v>1</x:v>
      </x:c>
      <x:c r="K8184" s="6" t="n">
        <x:f>IF(G8184&gt;H8184,1,0)</x:f>
        <x:v>1</x:v>
      </x:c>
      <x:c r="L8184" s="6" t="n">
        <x:f>J8184*K8184</x:f>
        <x:v>1</x:v>
      </x:c>
    </x:row>
    <x:row r="8185">
      <x:c r="A8185" s="1" t="n">
        <x:v>65545</x:v>
      </x:c>
      <x:c r="B8185" s="5" t="d">
        <x:v>2017-08-14T00:00:00.000Z</x:v>
      </x:c>
      <x:c r="C8185" s="1" t="str">
        <x:v>Standard Class</x:v>
      </x:c>
      <x:c r="D8185" s="1" t="str">
        <x:v>Europe</x:v>
      </x:c>
      <x:c r="E8185" s="1" t="str">
        <x:v>COMPLETE</x:v>
      </x:c>
      <x:c r="F8185" s="1" t="str">
        <x:v>Late delivery</x:v>
      </x:c>
      <x:c r="G8185" s="6" t="n">
        <x:v>6</x:v>
      </x:c>
      <x:c r="H8185" s="6" t="n">
        <x:v>4</x:v>
      </x:c>
      <x:c r="I8185" s="6" t="n">
        <x:f>G8185-H8185</x:f>
        <x:v>2</x:v>
      </x:c>
      <x:c r="J8185" s="6" t="n">
        <x:f>IF(OR(E8185="CANCELED",E8185="SUSPECTED_FRAUD",F8185="Shipping canceled"),0,1)</x:f>
        <x:v>1</x:v>
      </x:c>
      <x:c r="K8185" s="6" t="n">
        <x:f>IF(G8185&gt;H8185,1,0)</x:f>
        <x:v>1</x:v>
      </x:c>
      <x:c r="L8185" s="6" t="n">
        <x:f>J8185*K8185</x:f>
        <x:v>1</x:v>
      </x:c>
    </x:row>
    <x:row r="8186">
      <x:c r="A8186" s="1" t="n">
        <x:v>65549</x:v>
      </x:c>
      <x:c r="B8186" s="5" t="d">
        <x:v>2017-08-14T00:00:00.000Z</x:v>
      </x:c>
      <x:c r="C8186" s="1" t="str">
        <x:v>Standard Class</x:v>
      </x:c>
      <x:c r="D8186" s="1" t="str">
        <x:v>Europe</x:v>
      </x:c>
      <x:c r="E8186" s="1" t="str">
        <x:v>COMPLETE</x:v>
      </x:c>
      <x:c r="F8186" s="1" t="str">
        <x:v>Late delivery</x:v>
      </x:c>
      <x:c r="G8186" s="6" t="n">
        <x:v>5</x:v>
      </x:c>
      <x:c r="H8186" s="6" t="n">
        <x:v>4</x:v>
      </x:c>
      <x:c r="I8186" s="6" t="n">
        <x:f>G8186-H8186</x:f>
        <x:v>1</x:v>
      </x:c>
      <x:c r="J8186" s="6" t="n">
        <x:f>IF(OR(E8186="CANCELED",E8186="SUSPECTED_FRAUD",F8186="Shipping canceled"),0,1)</x:f>
        <x:v>1</x:v>
      </x:c>
      <x:c r="K8186" s="6" t="n">
        <x:f>IF(G8186&gt;H8186,1,0)</x:f>
        <x:v>1</x:v>
      </x:c>
      <x:c r="L8186" s="6" t="n">
        <x:f>J8186*K8186</x:f>
        <x:v>1</x:v>
      </x:c>
    </x:row>
    <x:row r="8187">
      <x:c r="A8187" s="1" t="n">
        <x:v>65559</x:v>
      </x:c>
      <x:c r="B8187" s="5" t="d">
        <x:v>2017-08-14T00:00:00.000Z</x:v>
      </x:c>
      <x:c r="C8187" s="1" t="str">
        <x:v>Standard Class</x:v>
      </x:c>
      <x:c r="D8187" s="1" t="str">
        <x:v>Europe</x:v>
      </x:c>
      <x:c r="E8187" s="1" t="str">
        <x:v>COMPLETE</x:v>
      </x:c>
      <x:c r="F8187" s="1" t="str">
        <x:v>Late delivery</x:v>
      </x:c>
      <x:c r="G8187" s="6" t="n">
        <x:v>5</x:v>
      </x:c>
      <x:c r="H8187" s="6" t="n">
        <x:v>4</x:v>
      </x:c>
      <x:c r="I8187" s="6" t="n">
        <x:f>G8187-H8187</x:f>
        <x:v>1</x:v>
      </x:c>
      <x:c r="J8187" s="6" t="n">
        <x:f>IF(OR(E8187="CANCELED",E8187="SUSPECTED_FRAUD",F8187="Shipping canceled"),0,1)</x:f>
        <x:v>1</x:v>
      </x:c>
      <x:c r="K8187" s="6" t="n">
        <x:f>IF(G8187&gt;H8187,1,0)</x:f>
        <x:v>1</x:v>
      </x:c>
      <x:c r="L8187" s="6" t="n">
        <x:f>J8187*K8187</x:f>
        <x:v>1</x:v>
      </x:c>
    </x:row>
    <x:row r="8188">
      <x:c r="A8188" s="1" t="n">
        <x:v>65561</x:v>
      </x:c>
      <x:c r="B8188" s="5" t="d">
        <x:v>2017-08-15T00:00:00.000Z</x:v>
      </x:c>
      <x:c r="C8188" s="1" t="str">
        <x:v>Standard Class</x:v>
      </x:c>
      <x:c r="D8188" s="1" t="str">
        <x:v>Europe</x:v>
      </x:c>
      <x:c r="E8188" s="1" t="str">
        <x:v>COMPLETE</x:v>
      </x:c>
      <x:c r="F8188" s="1" t="str">
        <x:v>Advance shipping</x:v>
      </x:c>
      <x:c r="G8188" s="6" t="n">
        <x:v>2</x:v>
      </x:c>
      <x:c r="H8188" s="6" t="n">
        <x:v>4</x:v>
      </x:c>
      <x:c r="I8188" s="6" t="n">
        <x:f>G8188-H8188</x:f>
        <x:v>-2</x:v>
      </x:c>
      <x:c r="J8188" s="6" t="n">
        <x:f>IF(OR(E8188="CANCELED",E8188="SUSPECTED_FRAUD",F8188="Shipping canceled"),0,1)</x:f>
        <x:v>1</x:v>
      </x:c>
      <x:c r="K8188" s="6" t="n">
        <x:f>IF(G8188&gt;H8188,1,0)</x:f>
        <x:v>0</x:v>
      </x:c>
      <x:c r="L8188" s="6" t="n">
        <x:f>J8188*K8188</x:f>
        <x:v>0</x:v>
      </x:c>
    </x:row>
    <x:row r="8189">
      <x:c r="A8189" s="1" t="n">
        <x:v>65565</x:v>
      </x:c>
      <x:c r="B8189" s="5" t="d">
        <x:v>2017-08-15T00:00:00.000Z</x:v>
      </x:c>
      <x:c r="C8189" s="1" t="str">
        <x:v>First Class</x:v>
      </x:c>
      <x:c r="D8189" s="1" t="str">
        <x:v>Europe</x:v>
      </x:c>
      <x:c r="E8189" s="1" t="str">
        <x:v>PENDING_PAYMENT</x:v>
      </x:c>
      <x:c r="F8189" s="1" t="str">
        <x:v>Late delivery</x:v>
      </x:c>
      <x:c r="G8189" s="6" t="n">
        <x:v>2</x:v>
      </x:c>
      <x:c r="H8189" s="6" t="n">
        <x:v>1</x:v>
      </x:c>
      <x:c r="I8189" s="6" t="n">
        <x:f>G8189-H8189</x:f>
        <x:v>1</x:v>
      </x:c>
      <x:c r="J8189" s="6" t="n">
        <x:f>IF(OR(E8189="CANCELED",E8189="SUSPECTED_FRAUD",F8189="Shipping canceled"),0,1)</x:f>
        <x:v>1</x:v>
      </x:c>
      <x:c r="K8189" s="6" t="n">
        <x:f>IF(G8189&gt;H8189,1,0)</x:f>
        <x:v>1</x:v>
      </x:c>
      <x:c r="L8189" s="6" t="n">
        <x:f>J8189*K8189</x:f>
        <x:v>1</x:v>
      </x:c>
    </x:row>
    <x:row r="8190">
      <x:c r="A8190" s="1" t="n">
        <x:v>65571</x:v>
      </x:c>
      <x:c r="B8190" s="5" t="d">
        <x:v>2017-08-15T00:00:00.000Z</x:v>
      </x:c>
      <x:c r="C8190" s="1" t="str">
        <x:v>Standard Class</x:v>
      </x:c>
      <x:c r="D8190" s="1" t="str">
        <x:v>Europe</x:v>
      </x:c>
      <x:c r="E8190" s="1" t="str">
        <x:v>COMPLETE</x:v>
      </x:c>
      <x:c r="F8190" s="1" t="str">
        <x:v>Advance shipping</x:v>
      </x:c>
      <x:c r="G8190" s="6" t="n">
        <x:v>2</x:v>
      </x:c>
      <x:c r="H8190" s="6" t="n">
        <x:v>4</x:v>
      </x:c>
      <x:c r="I8190" s="6" t="n">
        <x:f>G8190-H8190</x:f>
        <x:v>-2</x:v>
      </x:c>
      <x:c r="J8190" s="6" t="n">
        <x:f>IF(OR(E8190="CANCELED",E8190="SUSPECTED_FRAUD",F8190="Shipping canceled"),0,1)</x:f>
        <x:v>1</x:v>
      </x:c>
      <x:c r="K8190" s="6" t="n">
        <x:f>IF(G8190&gt;H8190,1,0)</x:f>
        <x:v>0</x:v>
      </x:c>
      <x:c r="L8190" s="6" t="n">
        <x:f>J8190*K8190</x:f>
        <x:v>0</x:v>
      </x:c>
    </x:row>
    <x:row r="8191">
      <x:c r="A8191" s="1" t="n">
        <x:v>65582</x:v>
      </x:c>
      <x:c r="B8191" s="5" t="d">
        <x:v>2017-08-15T00:00:00.000Z</x:v>
      </x:c>
      <x:c r="C8191" s="1" t="str">
        <x:v>Standard Class</x:v>
      </x:c>
      <x:c r="D8191" s="1" t="str">
        <x:v>Europe</x:v>
      </x:c>
      <x:c r="E8191" s="1" t="str">
        <x:v>PROCESSING</x:v>
      </x:c>
      <x:c r="F8191" s="1" t="str">
        <x:v>Advance shipping</x:v>
      </x:c>
      <x:c r="G8191" s="6" t="n">
        <x:v>3</x:v>
      </x:c>
      <x:c r="H8191" s="6" t="n">
        <x:v>4</x:v>
      </x:c>
      <x:c r="I8191" s="6" t="n">
        <x:f>G8191-H8191</x:f>
        <x:v>-1</x:v>
      </x:c>
      <x:c r="J8191" s="6" t="n">
        <x:f>IF(OR(E8191="CANCELED",E8191="SUSPECTED_FRAUD",F8191="Shipping canceled"),0,1)</x:f>
        <x:v>1</x:v>
      </x:c>
      <x:c r="K8191" s="6" t="n">
        <x:f>IF(G8191&gt;H8191,1,0)</x:f>
        <x:v>0</x:v>
      </x:c>
      <x:c r="L8191" s="6" t="n">
        <x:f>J8191*K8191</x:f>
        <x:v>0</x:v>
      </x:c>
    </x:row>
    <x:row r="8192">
      <x:c r="A8192" s="1" t="n">
        <x:v>65591</x:v>
      </x:c>
      <x:c r="B8192" s="5" t="d">
        <x:v>2017-08-15T00:00:00.000Z</x:v>
      </x:c>
      <x:c r="C8192" s="1" t="str">
        <x:v>Standard Class</x:v>
      </x:c>
      <x:c r="D8192" s="1" t="str">
        <x:v>Europe</x:v>
      </x:c>
      <x:c r="E8192" s="1" t="str">
        <x:v>COMPLETE</x:v>
      </x:c>
      <x:c r="F8192" s="1" t="str">
        <x:v>Advance shipping</x:v>
      </x:c>
      <x:c r="G8192" s="6" t="n">
        <x:v>2</x:v>
      </x:c>
      <x:c r="H8192" s="6" t="n">
        <x:v>4</x:v>
      </x:c>
      <x:c r="I8192" s="6" t="n">
        <x:f>G8192-H8192</x:f>
        <x:v>-2</x:v>
      </x:c>
      <x:c r="J8192" s="6" t="n">
        <x:f>IF(OR(E8192="CANCELED",E8192="SUSPECTED_FRAUD",F8192="Shipping canceled"),0,1)</x:f>
        <x:v>1</x:v>
      </x:c>
      <x:c r="K8192" s="6" t="n">
        <x:f>IF(G8192&gt;H8192,1,0)</x:f>
        <x:v>0</x:v>
      </x:c>
      <x:c r="L8192" s="6" t="n">
        <x:f>J8192*K8192</x:f>
        <x:v>0</x:v>
      </x:c>
    </x:row>
    <x:row r="8193">
      <x:c r="A8193" s="1" t="n">
        <x:v>65605</x:v>
      </x:c>
      <x:c r="B8193" s="5" t="d">
        <x:v>2017-08-15T00:00:00.000Z</x:v>
      </x:c>
      <x:c r="C8193" s="1" t="str">
        <x:v>Second Class</x:v>
      </x:c>
      <x:c r="D8193" s="1" t="str">
        <x:v>Europe</x:v>
      </x:c>
      <x:c r="E8193" s="1" t="str">
        <x:v>CLOSED</x:v>
      </x:c>
      <x:c r="F8193" s="1" t="str">
        <x:v>Late delivery</x:v>
      </x:c>
      <x:c r="G8193" s="6" t="n">
        <x:v>6</x:v>
      </x:c>
      <x:c r="H8193" s="6" t="n">
        <x:v>2</x:v>
      </x:c>
      <x:c r="I8193" s="6" t="n">
        <x:f>G8193-H8193</x:f>
        <x:v>4</x:v>
      </x:c>
      <x:c r="J8193" s="6" t="n">
        <x:f>IF(OR(E8193="CANCELED",E8193="SUSPECTED_FRAUD",F8193="Shipping canceled"),0,1)</x:f>
        <x:v>1</x:v>
      </x:c>
      <x:c r="K8193" s="6" t="n">
        <x:f>IF(G8193&gt;H8193,1,0)</x:f>
        <x:v>1</x:v>
      </x:c>
      <x:c r="L8193" s="6" t="n">
        <x:f>J8193*K8193</x:f>
        <x:v>1</x:v>
      </x:c>
    </x:row>
    <x:row r="8194">
      <x:c r="A8194" s="1" t="n">
        <x:v>65609</x:v>
      </x:c>
      <x:c r="B8194" s="5" t="d">
        <x:v>2017-08-15T00:00:00.000Z</x:v>
      </x:c>
      <x:c r="C8194" s="1" t="str">
        <x:v>Second Class</x:v>
      </x:c>
      <x:c r="D8194" s="1" t="str">
        <x:v>Europe</x:v>
      </x:c>
      <x:c r="E8194" s="1" t="str">
        <x:v>COMPLETE</x:v>
      </x:c>
      <x:c r="F8194" s="1" t="str">
        <x:v>Late delivery</x:v>
      </x:c>
      <x:c r="G8194" s="6" t="n">
        <x:v>5</x:v>
      </x:c>
      <x:c r="H8194" s="6" t="n">
        <x:v>2</x:v>
      </x:c>
      <x:c r="I8194" s="6" t="n">
        <x:f>G8194-H8194</x:f>
        <x:v>3</x:v>
      </x:c>
      <x:c r="J8194" s="6" t="n">
        <x:f>IF(OR(E8194="CANCELED",E8194="SUSPECTED_FRAUD",F8194="Shipping canceled"),0,1)</x:f>
        <x:v>1</x:v>
      </x:c>
      <x:c r="K8194" s="6" t="n">
        <x:f>IF(G8194&gt;H8194,1,0)</x:f>
        <x:v>1</x:v>
      </x:c>
      <x:c r="L8194" s="6" t="n">
        <x:f>J8194*K8194</x:f>
        <x:v>1</x:v>
      </x:c>
    </x:row>
    <x:row r="8195">
      <x:c r="A8195" s="1" t="n">
        <x:v>65618</x:v>
      </x:c>
      <x:c r="B8195" s="5" t="d">
        <x:v>2017-08-15T00:00:00.000Z</x:v>
      </x:c>
      <x:c r="C8195" s="1" t="str">
        <x:v>First Class</x:v>
      </x:c>
      <x:c r="D8195" s="1" t="str">
        <x:v>Europe</x:v>
      </x:c>
      <x:c r="E8195" s="1" t="str">
        <x:v>CLOSED</x:v>
      </x:c>
      <x:c r="F8195" s="1" t="str">
        <x:v>Late delivery</x:v>
      </x:c>
      <x:c r="G8195" s="6" t="n">
        <x:v>2</x:v>
      </x:c>
      <x:c r="H8195" s="6" t="n">
        <x:v>1</x:v>
      </x:c>
      <x:c r="I8195" s="6" t="n">
        <x:f>G8195-H8195</x:f>
        <x:v>1</x:v>
      </x:c>
      <x:c r="J8195" s="6" t="n">
        <x:f>IF(OR(E8195="CANCELED",E8195="SUSPECTED_FRAUD",F8195="Shipping canceled"),0,1)</x:f>
        <x:v>1</x:v>
      </x:c>
      <x:c r="K8195" s="6" t="n">
        <x:f>IF(G8195&gt;H8195,1,0)</x:f>
        <x:v>1</x:v>
      </x:c>
      <x:c r="L8195" s="6" t="n">
        <x:f>J8195*K8195</x:f>
        <x:v>1</x:v>
      </x:c>
    </x:row>
    <x:row r="8196">
      <x:c r="A8196" s="1" t="n">
        <x:v>65619</x:v>
      </x:c>
      <x:c r="B8196" s="5" t="d">
        <x:v>2017-08-15T00:00:00.000Z</x:v>
      </x:c>
      <x:c r="C8196" s="1" t="str">
        <x:v>First Class</x:v>
      </x:c>
      <x:c r="D8196" s="1" t="str">
        <x:v>Europe</x:v>
      </x:c>
      <x:c r="E8196" s="1" t="str">
        <x:v>PENDING_PAYMENT</x:v>
      </x:c>
      <x:c r="F8196" s="1" t="str">
        <x:v>Late delivery</x:v>
      </x:c>
      <x:c r="G8196" s="6" t="n">
        <x:v>2</x:v>
      </x:c>
      <x:c r="H8196" s="6" t="n">
        <x:v>1</x:v>
      </x:c>
      <x:c r="I8196" s="6" t="n">
        <x:f>G8196-H8196</x:f>
        <x:v>1</x:v>
      </x:c>
      <x:c r="J8196" s="6" t="n">
        <x:f>IF(OR(E8196="CANCELED",E8196="SUSPECTED_FRAUD",F8196="Shipping canceled"),0,1)</x:f>
        <x:v>1</x:v>
      </x:c>
      <x:c r="K8196" s="6" t="n">
        <x:f>IF(G8196&gt;H8196,1,0)</x:f>
        <x:v>1</x:v>
      </x:c>
      <x:c r="L8196" s="6" t="n">
        <x:f>J8196*K8196</x:f>
        <x:v>1</x:v>
      </x:c>
    </x:row>
    <x:row r="8197">
      <x:c r="A8197" s="1" t="n">
        <x:v>65627</x:v>
      </x:c>
      <x:c r="B8197" s="5" t="d">
        <x:v>2017-08-15T00:00:00.000Z</x:v>
      </x:c>
      <x:c r="C8197" s="1" t="str">
        <x:v>Standard Class</x:v>
      </x:c>
      <x:c r="D8197" s="1" t="str">
        <x:v>Europe</x:v>
      </x:c>
      <x:c r="E8197" s="1" t="str">
        <x:v>ON_HOLD</x:v>
      </x:c>
      <x:c r="F8197" s="1" t="str">
        <x:v>Advance shipping</x:v>
      </x:c>
      <x:c r="G8197" s="6" t="n">
        <x:v>3</x:v>
      </x:c>
      <x:c r="H8197" s="6" t="n">
        <x:v>4</x:v>
      </x:c>
      <x:c r="I8197" s="6" t="n">
        <x:f>G8197-H8197</x:f>
        <x:v>-1</x:v>
      </x:c>
      <x:c r="J8197" s="6" t="n">
        <x:f>IF(OR(E8197="CANCELED",E8197="SUSPECTED_FRAUD",F8197="Shipping canceled"),0,1)</x:f>
        <x:v>1</x:v>
      </x:c>
      <x:c r="K8197" s="6" t="n">
        <x:f>IF(G8197&gt;H8197,1,0)</x:f>
        <x:v>0</x:v>
      </x:c>
      <x:c r="L8197" s="6" t="n">
        <x:f>J8197*K8197</x:f>
        <x:v>0</x:v>
      </x:c>
    </x:row>
    <x:row r="8198">
      <x:c r="A8198" s="1" t="n">
        <x:v>65629</x:v>
      </x:c>
      <x:c r="B8198" s="5" t="d">
        <x:v>2017-08-16T00:00:00.000Z</x:v>
      </x:c>
      <x:c r="C8198" s="1" t="str">
        <x:v>Standard Class</x:v>
      </x:c>
      <x:c r="D8198" s="1" t="str">
        <x:v>Europe</x:v>
      </x:c>
      <x:c r="E8198" s="1" t="str">
        <x:v>COMPLETE</x:v>
      </x:c>
      <x:c r="F8198" s="1" t="str">
        <x:v>Late delivery</x:v>
      </x:c>
      <x:c r="G8198" s="6" t="n">
        <x:v>5</x:v>
      </x:c>
      <x:c r="H8198" s="6" t="n">
        <x:v>4</x:v>
      </x:c>
      <x:c r="I8198" s="6" t="n">
        <x:f>G8198-H8198</x:f>
        <x:v>1</x:v>
      </x:c>
      <x:c r="J8198" s="6" t="n">
        <x:f>IF(OR(E8198="CANCELED",E8198="SUSPECTED_FRAUD",F8198="Shipping canceled"),0,1)</x:f>
        <x:v>1</x:v>
      </x:c>
      <x:c r="K8198" s="6" t="n">
        <x:f>IF(G8198&gt;H8198,1,0)</x:f>
        <x:v>1</x:v>
      </x:c>
      <x:c r="L8198" s="6" t="n">
        <x:f>J8198*K8198</x:f>
        <x:v>1</x:v>
      </x:c>
    </x:row>
    <x:row r="8199">
      <x:c r="A8199" s="1" t="n">
        <x:v>65637</x:v>
      </x:c>
      <x:c r="B8199" s="5" t="d">
        <x:v>2017-08-16T00:00:00.000Z</x:v>
      </x:c>
      <x:c r="C8199" s="1" t="str">
        <x:v>Standard Class</x:v>
      </x:c>
      <x:c r="D8199" s="1" t="str">
        <x:v>Europe</x:v>
      </x:c>
      <x:c r="E8199" s="1" t="str">
        <x:v>PROCESSING</x:v>
      </x:c>
      <x:c r="F8199" s="1" t="str">
        <x:v>Advance shipping</x:v>
      </x:c>
      <x:c r="G8199" s="6" t="n">
        <x:v>3</x:v>
      </x:c>
      <x:c r="H8199" s="6" t="n">
        <x:v>4</x:v>
      </x:c>
      <x:c r="I8199" s="6" t="n">
        <x:f>G8199-H8199</x:f>
        <x:v>-1</x:v>
      </x:c>
      <x:c r="J8199" s="6" t="n">
        <x:f>IF(OR(E8199="CANCELED",E8199="SUSPECTED_FRAUD",F8199="Shipping canceled"),0,1)</x:f>
        <x:v>1</x:v>
      </x:c>
      <x:c r="K8199" s="6" t="n">
        <x:f>IF(G8199&gt;H8199,1,0)</x:f>
        <x:v>0</x:v>
      </x:c>
      <x:c r="L8199" s="6" t="n">
        <x:f>J8199*K8199</x:f>
        <x:v>0</x:v>
      </x:c>
    </x:row>
    <x:row r="8200">
      <x:c r="A8200" s="1" t="n">
        <x:v>65638</x:v>
      </x:c>
      <x:c r="B8200" s="5" t="d">
        <x:v>2017-08-16T00:00:00.000Z</x:v>
      </x:c>
      <x:c r="C8200" s="1" t="str">
        <x:v>Standard Class</x:v>
      </x:c>
      <x:c r="D8200" s="1" t="str">
        <x:v>Europe</x:v>
      </x:c>
      <x:c r="E8200" s="1" t="str">
        <x:v>ON_HOLD</x:v>
      </x:c>
      <x:c r="F8200" s="1" t="str">
        <x:v>Shipping on time</x:v>
      </x:c>
      <x:c r="G8200" s="6" t="n">
        <x:v>4</x:v>
      </x:c>
      <x:c r="H8200" s="6" t="n">
        <x:v>4</x:v>
      </x:c>
      <x:c r="I8200" s="6" t="n">
        <x:f>G8200-H8200</x:f>
        <x:v>0</x:v>
      </x:c>
      <x:c r="J8200" s="6" t="n">
        <x:f>IF(OR(E8200="CANCELED",E8200="SUSPECTED_FRAUD",F8200="Shipping canceled"),0,1)</x:f>
        <x:v>1</x:v>
      </x:c>
      <x:c r="K8200" s="6" t="n">
        <x:f>IF(G8200&gt;H8200,1,0)</x:f>
        <x:v>0</x:v>
      </x:c>
      <x:c r="L8200" s="6" t="n">
        <x:f>J8200*K8200</x:f>
        <x:v>0</x:v>
      </x:c>
    </x:row>
    <x:row r="8201">
      <x:c r="A8201" s="1" t="n">
        <x:v>65644</x:v>
      </x:c>
      <x:c r="B8201" s="5" t="d">
        <x:v>2017-08-16T00:00:00.000Z</x:v>
      </x:c>
      <x:c r="C8201" s="1" t="str">
        <x:v>Second Class</x:v>
      </x:c>
      <x:c r="D8201" s="1" t="str">
        <x:v>Europe</x:v>
      </x:c>
      <x:c r="E8201" s="1" t="str">
        <x:v>COMPLETE</x:v>
      </x:c>
      <x:c r="F8201" s="1" t="str">
        <x:v>Late delivery</x:v>
      </x:c>
      <x:c r="G8201" s="6" t="n">
        <x:v>5</x:v>
      </x:c>
      <x:c r="H8201" s="6" t="n">
        <x:v>2</x:v>
      </x:c>
      <x:c r="I8201" s="6" t="n">
        <x:f>G8201-H8201</x:f>
        <x:v>3</x:v>
      </x:c>
      <x:c r="J8201" s="6" t="n">
        <x:f>IF(OR(E8201="CANCELED",E8201="SUSPECTED_FRAUD",F8201="Shipping canceled"),0,1)</x:f>
        <x:v>1</x:v>
      </x:c>
      <x:c r="K8201" s="6" t="n">
        <x:f>IF(G8201&gt;H8201,1,0)</x:f>
        <x:v>1</x:v>
      </x:c>
      <x:c r="L8201" s="6" t="n">
        <x:f>J8201*K8201</x:f>
        <x:v>1</x:v>
      </x:c>
    </x:row>
    <x:row r="8202">
      <x:c r="A8202" s="1" t="n">
        <x:v>65647</x:v>
      </x:c>
      <x:c r="B8202" s="5" t="d">
        <x:v>2017-08-16T00:00:00.000Z</x:v>
      </x:c>
      <x:c r="C8202" s="1" t="str">
        <x:v>Second Class</x:v>
      </x:c>
      <x:c r="D8202" s="1" t="str">
        <x:v>Europe</x:v>
      </x:c>
      <x:c r="E8202" s="1" t="str">
        <x:v>PENDING</x:v>
      </x:c>
      <x:c r="F8202" s="1" t="str">
        <x:v>Late delivery</x:v>
      </x:c>
      <x:c r="G8202" s="6" t="n">
        <x:v>3</x:v>
      </x:c>
      <x:c r="H8202" s="6" t="n">
        <x:v>2</x:v>
      </x:c>
      <x:c r="I8202" s="6" t="n">
        <x:f>G8202-H8202</x:f>
        <x:v>1</x:v>
      </x:c>
      <x:c r="J8202" s="6" t="n">
        <x:f>IF(OR(E8202="CANCELED",E8202="SUSPECTED_FRAUD",F8202="Shipping canceled"),0,1)</x:f>
        <x:v>1</x:v>
      </x:c>
      <x:c r="K8202" s="6" t="n">
        <x:f>IF(G8202&gt;H8202,1,0)</x:f>
        <x:v>1</x:v>
      </x:c>
      <x:c r="L8202" s="6" t="n">
        <x:f>J8202*K8202</x:f>
        <x:v>1</x:v>
      </x:c>
    </x:row>
    <x:row r="8203">
      <x:c r="A8203" s="1" t="n">
        <x:v>65677</x:v>
      </x:c>
      <x:c r="B8203" s="5" t="d">
        <x:v>2017-08-16T00:00:00.000Z</x:v>
      </x:c>
      <x:c r="C8203" s="1" t="str">
        <x:v>Standard Class</x:v>
      </x:c>
      <x:c r="D8203" s="1" t="str">
        <x:v>Europe</x:v>
      </x:c>
      <x:c r="E8203" s="1" t="str">
        <x:v>ON_HOLD</x:v>
      </x:c>
      <x:c r="F8203" s="1" t="str">
        <x:v>Advance shipping</x:v>
      </x:c>
      <x:c r="G8203" s="6" t="n">
        <x:v>3</x:v>
      </x:c>
      <x:c r="H8203" s="6" t="n">
        <x:v>4</x:v>
      </x:c>
      <x:c r="I8203" s="6" t="n">
        <x:f>G8203-H8203</x:f>
        <x:v>-1</x:v>
      </x:c>
      <x:c r="J8203" s="6" t="n">
        <x:f>IF(OR(E8203="CANCELED",E8203="SUSPECTED_FRAUD",F8203="Shipping canceled"),0,1)</x:f>
        <x:v>1</x:v>
      </x:c>
      <x:c r="K8203" s="6" t="n">
        <x:f>IF(G8203&gt;H8203,1,0)</x:f>
        <x:v>0</x:v>
      </x:c>
      <x:c r="L8203" s="6" t="n">
        <x:f>J8203*K8203</x:f>
        <x:v>0</x:v>
      </x:c>
    </x:row>
    <x:row r="8204">
      <x:c r="A8204" s="1" t="n">
        <x:v>65693</x:v>
      </x:c>
      <x:c r="B8204" s="5" t="d">
        <x:v>2017-08-16T00:00:00.000Z</x:v>
      </x:c>
      <x:c r="C8204" s="1" t="str">
        <x:v>Same Day</x:v>
      </x:c>
      <x:c r="D8204" s="1" t="str">
        <x:v>Europe</x:v>
      </x:c>
      <x:c r="E8204" s="1" t="str">
        <x:v>PENDING</x:v>
      </x:c>
      <x:c r="F8204" s="1" t="str">
        <x:v>Late delivery</x:v>
      </x:c>
      <x:c r="G8204" s="6" t="n">
        <x:v>1</x:v>
      </x:c>
      <x:c r="H8204" s="6" t="n">
        <x:v>0</x:v>
      </x:c>
      <x:c r="I8204" s="6" t="n">
        <x:f>G8204-H8204</x:f>
        <x:v>1</x:v>
      </x:c>
      <x:c r="J8204" s="6" t="n">
        <x:f>IF(OR(E8204="CANCELED",E8204="SUSPECTED_FRAUD",F8204="Shipping canceled"),0,1)</x:f>
        <x:v>1</x:v>
      </x:c>
      <x:c r="K8204" s="6" t="n">
        <x:f>IF(G8204&gt;H8204,1,0)</x:f>
        <x:v>1</x:v>
      </x:c>
      <x:c r="L8204" s="6" t="n">
        <x:f>J8204*K8204</x:f>
        <x:v>1</x:v>
      </x:c>
    </x:row>
    <x:row r="8205">
      <x:c r="A8205" s="1" t="n">
        <x:v>65701</x:v>
      </x:c>
      <x:c r="B8205" s="5" t="d">
        <x:v>2017-08-17T00:00:00.000Z</x:v>
      </x:c>
      <x:c r="C8205" s="1" t="str">
        <x:v>Standard Class</x:v>
      </x:c>
      <x:c r="D8205" s="1" t="str">
        <x:v>Europe</x:v>
      </x:c>
      <x:c r="E8205" s="1" t="str">
        <x:v>PROCESSING</x:v>
      </x:c>
      <x:c r="F8205" s="1" t="str">
        <x:v>Advance shipping</x:v>
      </x:c>
      <x:c r="G8205" s="6" t="n">
        <x:v>2</x:v>
      </x:c>
      <x:c r="H8205" s="6" t="n">
        <x:v>4</x:v>
      </x:c>
      <x:c r="I8205" s="6" t="n">
        <x:f>G8205-H8205</x:f>
        <x:v>-2</x:v>
      </x:c>
      <x:c r="J8205" s="6" t="n">
        <x:f>IF(OR(E8205="CANCELED",E8205="SUSPECTED_FRAUD",F8205="Shipping canceled"),0,1)</x:f>
        <x:v>1</x:v>
      </x:c>
      <x:c r="K8205" s="6" t="n">
        <x:f>IF(G8205&gt;H8205,1,0)</x:f>
        <x:v>0</x:v>
      </x:c>
      <x:c r="L8205" s="6" t="n">
        <x:f>J8205*K8205</x:f>
        <x:v>0</x:v>
      </x:c>
    </x:row>
    <x:row r="8206">
      <x:c r="A8206" s="1" t="n">
        <x:v>65704</x:v>
      </x:c>
      <x:c r="B8206" s="5" t="d">
        <x:v>2017-08-17T00:00:00.000Z</x:v>
      </x:c>
      <x:c r="C8206" s="1" t="str">
        <x:v>Standard Class</x:v>
      </x:c>
      <x:c r="D8206" s="1" t="str">
        <x:v>Europe</x:v>
      </x:c>
      <x:c r="E8206" s="1" t="str">
        <x:v>PENDING_PAYMENT</x:v>
      </x:c>
      <x:c r="F8206" s="1" t="str">
        <x:v>Late delivery</x:v>
      </x:c>
      <x:c r="G8206" s="6" t="n">
        <x:v>5</x:v>
      </x:c>
      <x:c r="H8206" s="6" t="n">
        <x:v>4</x:v>
      </x:c>
      <x:c r="I8206" s="6" t="n">
        <x:f>G8206-H8206</x:f>
        <x:v>1</x:v>
      </x:c>
      <x:c r="J8206" s="6" t="n">
        <x:f>IF(OR(E8206="CANCELED",E8206="SUSPECTED_FRAUD",F8206="Shipping canceled"),0,1)</x:f>
        <x:v>1</x:v>
      </x:c>
      <x:c r="K8206" s="6" t="n">
        <x:f>IF(G8206&gt;H8206,1,0)</x:f>
        <x:v>1</x:v>
      </x:c>
      <x:c r="L8206" s="6" t="n">
        <x:f>J8206*K8206</x:f>
        <x:v>1</x:v>
      </x:c>
    </x:row>
    <x:row r="8207">
      <x:c r="A8207" s="1" t="n">
        <x:v>65705</x:v>
      </x:c>
      <x:c r="B8207" s="5" t="d">
        <x:v>2017-08-17T00:00:00.000Z</x:v>
      </x:c>
      <x:c r="C8207" s="1" t="str">
        <x:v>Standard Class</x:v>
      </x:c>
      <x:c r="D8207" s="1" t="str">
        <x:v>Europe</x:v>
      </x:c>
      <x:c r="E8207" s="1" t="str">
        <x:v>PENDING</x:v>
      </x:c>
      <x:c r="F8207" s="1" t="str">
        <x:v>Late delivery</x:v>
      </x:c>
      <x:c r="G8207" s="6" t="n">
        <x:v>6</x:v>
      </x:c>
      <x:c r="H8207" s="6" t="n">
        <x:v>4</x:v>
      </x:c>
      <x:c r="I8207" s="6" t="n">
        <x:f>G8207-H8207</x:f>
        <x:v>2</x:v>
      </x:c>
      <x:c r="J8207" s="6" t="n">
        <x:f>IF(OR(E8207="CANCELED",E8207="SUSPECTED_FRAUD",F8207="Shipping canceled"),0,1)</x:f>
        <x:v>1</x:v>
      </x:c>
      <x:c r="K8207" s="6" t="n">
        <x:f>IF(G8207&gt;H8207,1,0)</x:f>
        <x:v>1</x:v>
      </x:c>
      <x:c r="L8207" s="6" t="n">
        <x:f>J8207*K8207</x:f>
        <x:v>1</x:v>
      </x:c>
    </x:row>
    <x:row r="8208">
      <x:c r="A8208" s="1" t="n">
        <x:v>65723</x:v>
      </x:c>
      <x:c r="B8208" s="5" t="d">
        <x:v>2017-08-17T00:00:00.000Z</x:v>
      </x:c>
      <x:c r="C8208" s="1" t="str">
        <x:v>Second Class</x:v>
      </x:c>
      <x:c r="D8208" s="1" t="str">
        <x:v>Europe</x:v>
      </x:c>
      <x:c r="E8208" s="1" t="str">
        <x:v>COMPLETE</x:v>
      </x:c>
      <x:c r="F8208" s="1" t="str">
        <x:v>Late delivery</x:v>
      </x:c>
      <x:c r="G8208" s="6" t="n">
        <x:v>4</x:v>
      </x:c>
      <x:c r="H8208" s="6" t="n">
        <x:v>2</x:v>
      </x:c>
      <x:c r="I8208" s="6" t="n">
        <x:f>G8208-H8208</x:f>
        <x:v>2</x:v>
      </x:c>
      <x:c r="J8208" s="6" t="n">
        <x:f>IF(OR(E8208="CANCELED",E8208="SUSPECTED_FRAUD",F8208="Shipping canceled"),0,1)</x:f>
        <x:v>1</x:v>
      </x:c>
      <x:c r="K8208" s="6" t="n">
        <x:f>IF(G8208&gt;H8208,1,0)</x:f>
        <x:v>1</x:v>
      </x:c>
      <x:c r="L8208" s="6" t="n">
        <x:f>J8208*K8208</x:f>
        <x:v>1</x:v>
      </x:c>
    </x:row>
    <x:row r="8209">
      <x:c r="A8209" s="1" t="n">
        <x:v>65732</x:v>
      </x:c>
      <x:c r="B8209" s="5" t="d">
        <x:v>2017-08-17T00:00:00.000Z</x:v>
      </x:c>
      <x:c r="C8209" s="1" t="str">
        <x:v>Second Class</x:v>
      </x:c>
      <x:c r="D8209" s="1" t="str">
        <x:v>Europe</x:v>
      </x:c>
      <x:c r="E8209" s="1" t="str">
        <x:v>CLOSED</x:v>
      </x:c>
      <x:c r="F8209" s="1" t="str">
        <x:v>Late delivery</x:v>
      </x:c>
      <x:c r="G8209" s="6" t="n">
        <x:v>3</x:v>
      </x:c>
      <x:c r="H8209" s="6" t="n">
        <x:v>2</x:v>
      </x:c>
      <x:c r="I8209" s="6" t="n">
        <x:f>G8209-H8209</x:f>
        <x:v>1</x:v>
      </x:c>
      <x:c r="J8209" s="6" t="n">
        <x:f>IF(OR(E8209="CANCELED",E8209="SUSPECTED_FRAUD",F8209="Shipping canceled"),0,1)</x:f>
        <x:v>1</x:v>
      </x:c>
      <x:c r="K8209" s="6" t="n">
        <x:f>IF(G8209&gt;H8209,1,0)</x:f>
        <x:v>1</x:v>
      </x:c>
      <x:c r="L8209" s="6" t="n">
        <x:f>J8209*K8209</x:f>
        <x:v>1</x:v>
      </x:c>
    </x:row>
    <x:row r="8210">
      <x:c r="A8210" s="1" t="n">
        <x:v>65739</x:v>
      </x:c>
      <x:c r="B8210" s="5" t="d">
        <x:v>2017-08-17T00:00:00.000Z</x:v>
      </x:c>
      <x:c r="C8210" s="1" t="str">
        <x:v>Second Class</x:v>
      </x:c>
      <x:c r="D8210" s="1" t="str">
        <x:v>Europe</x:v>
      </x:c>
      <x:c r="E8210" s="1" t="str">
        <x:v>CLOSED</x:v>
      </x:c>
      <x:c r="F8210" s="1" t="str">
        <x:v>Late delivery</x:v>
      </x:c>
      <x:c r="G8210" s="6" t="n">
        <x:v>5</x:v>
      </x:c>
      <x:c r="H8210" s="6" t="n">
        <x:v>2</x:v>
      </x:c>
      <x:c r="I8210" s="6" t="n">
        <x:f>G8210-H8210</x:f>
        <x:v>3</x:v>
      </x:c>
      <x:c r="J8210" s="6" t="n">
        <x:f>IF(OR(E8210="CANCELED",E8210="SUSPECTED_FRAUD",F8210="Shipping canceled"),0,1)</x:f>
        <x:v>1</x:v>
      </x:c>
      <x:c r="K8210" s="6" t="n">
        <x:f>IF(G8210&gt;H8210,1,0)</x:f>
        <x:v>1</x:v>
      </x:c>
      <x:c r="L8210" s="6" t="n">
        <x:f>J8210*K8210</x:f>
        <x:v>1</x:v>
      </x:c>
    </x:row>
    <x:row r="8211">
      <x:c r="A8211" s="1" t="n">
        <x:v>65741</x:v>
      </x:c>
      <x:c r="B8211" s="5" t="d">
        <x:v>2017-08-17T00:00:00.000Z</x:v>
      </x:c>
      <x:c r="C8211" s="1" t="str">
        <x:v>Standard Class</x:v>
      </x:c>
      <x:c r="D8211" s="1" t="str">
        <x:v>Europe</x:v>
      </x:c>
      <x:c r="E8211" s="1" t="str">
        <x:v>PENDING</x:v>
      </x:c>
      <x:c r="F8211" s="1" t="str">
        <x:v>Advance shipping</x:v>
      </x:c>
      <x:c r="G8211" s="6" t="n">
        <x:v>2</x:v>
      </x:c>
      <x:c r="H8211" s="6" t="n">
        <x:v>4</x:v>
      </x:c>
      <x:c r="I8211" s="6" t="n">
        <x:f>G8211-H8211</x:f>
        <x:v>-2</x:v>
      </x:c>
      <x:c r="J8211" s="6" t="n">
        <x:f>IF(OR(E8211="CANCELED",E8211="SUSPECTED_FRAUD",F8211="Shipping canceled"),0,1)</x:f>
        <x:v>1</x:v>
      </x:c>
      <x:c r="K8211" s="6" t="n">
        <x:f>IF(G8211&gt;H8211,1,0)</x:f>
        <x:v>0</x:v>
      </x:c>
      <x:c r="L8211" s="6" t="n">
        <x:f>J8211*K8211</x:f>
        <x:v>0</x:v>
      </x:c>
    </x:row>
    <x:row r="8212">
      <x:c r="A8212" s="1" t="n">
        <x:v>65744</x:v>
      </x:c>
      <x:c r="B8212" s="5" t="d">
        <x:v>2017-08-17T00:00:00.000Z</x:v>
      </x:c>
      <x:c r="C8212" s="1" t="str">
        <x:v>Standard Class</x:v>
      </x:c>
      <x:c r="D8212" s="1" t="str">
        <x:v>Europe</x:v>
      </x:c>
      <x:c r="E8212" s="1" t="str">
        <x:v>PROCESSING</x:v>
      </x:c>
      <x:c r="F8212" s="1" t="str">
        <x:v>Late delivery</x:v>
      </x:c>
      <x:c r="G8212" s="6" t="n">
        <x:v>5</x:v>
      </x:c>
      <x:c r="H8212" s="6" t="n">
        <x:v>4</x:v>
      </x:c>
      <x:c r="I8212" s="6" t="n">
        <x:f>G8212-H8212</x:f>
        <x:v>1</x:v>
      </x:c>
      <x:c r="J8212" s="6" t="n">
        <x:f>IF(OR(E8212="CANCELED",E8212="SUSPECTED_FRAUD",F8212="Shipping canceled"),0,1)</x:f>
        <x:v>1</x:v>
      </x:c>
      <x:c r="K8212" s="6" t="n">
        <x:f>IF(G8212&gt;H8212,1,0)</x:f>
        <x:v>1</x:v>
      </x:c>
      <x:c r="L8212" s="6" t="n">
        <x:f>J8212*K8212</x:f>
        <x:v>1</x:v>
      </x:c>
    </x:row>
    <x:row r="8213">
      <x:c r="A8213" s="1" t="n">
        <x:v>65750</x:v>
      </x:c>
      <x:c r="B8213" s="5" t="d">
        <x:v>2017-08-17T00:00:00.000Z</x:v>
      </x:c>
      <x:c r="C8213" s="1" t="str">
        <x:v>Standard Class</x:v>
      </x:c>
      <x:c r="D8213" s="1" t="str">
        <x:v>Europe</x:v>
      </x:c>
      <x:c r="E8213" s="1" t="str">
        <x:v>PENDING</x:v>
      </x:c>
      <x:c r="F8213" s="1" t="str">
        <x:v>Late delivery</x:v>
      </x:c>
      <x:c r="G8213" s="6" t="n">
        <x:v>6</x:v>
      </x:c>
      <x:c r="H8213" s="6" t="n">
        <x:v>4</x:v>
      </x:c>
      <x:c r="I8213" s="6" t="n">
        <x:f>G8213-H8213</x:f>
        <x:v>2</x:v>
      </x:c>
      <x:c r="J8213" s="6" t="n">
        <x:f>IF(OR(E8213="CANCELED",E8213="SUSPECTED_FRAUD",F8213="Shipping canceled"),0,1)</x:f>
        <x:v>1</x:v>
      </x:c>
      <x:c r="K8213" s="6" t="n">
        <x:f>IF(G8213&gt;H8213,1,0)</x:f>
        <x:v>1</x:v>
      </x:c>
      <x:c r="L8213" s="6" t="n">
        <x:f>J8213*K8213</x:f>
        <x:v>1</x:v>
      </x:c>
    </x:row>
    <x:row r="8214">
      <x:c r="A8214" s="1" t="n">
        <x:v>65751</x:v>
      </x:c>
      <x:c r="B8214" s="5" t="d">
        <x:v>2017-08-17T00:00:00.000Z</x:v>
      </x:c>
      <x:c r="C8214" s="1" t="str">
        <x:v>Standard Class</x:v>
      </x:c>
      <x:c r="D8214" s="1" t="str">
        <x:v>Europe</x:v>
      </x:c>
      <x:c r="E8214" s="1" t="str">
        <x:v>COMPLETE</x:v>
      </x:c>
      <x:c r="F8214" s="1" t="str">
        <x:v>Advance shipping</x:v>
      </x:c>
      <x:c r="G8214" s="6" t="n">
        <x:v>2</x:v>
      </x:c>
      <x:c r="H8214" s="6" t="n">
        <x:v>4</x:v>
      </x:c>
      <x:c r="I8214" s="6" t="n">
        <x:f>G8214-H8214</x:f>
        <x:v>-2</x:v>
      </x:c>
      <x:c r="J8214" s="6" t="n">
        <x:f>IF(OR(E8214="CANCELED",E8214="SUSPECTED_FRAUD",F8214="Shipping canceled"),0,1)</x:f>
        <x:v>1</x:v>
      </x:c>
      <x:c r="K8214" s="6" t="n">
        <x:f>IF(G8214&gt;H8214,1,0)</x:f>
        <x:v>0</x:v>
      </x:c>
      <x:c r="L8214" s="6" t="n">
        <x:f>J8214*K8214</x:f>
        <x:v>0</x:v>
      </x:c>
    </x:row>
    <x:row r="8215">
      <x:c r="A8215" s="1" t="n">
        <x:v>65755</x:v>
      </x:c>
      <x:c r="B8215" s="5" t="d">
        <x:v>2017-08-17T00:00:00.000Z</x:v>
      </x:c>
      <x:c r="C8215" s="1" t="str">
        <x:v>Standard Class</x:v>
      </x:c>
      <x:c r="D8215" s="1" t="str">
        <x:v>Europe</x:v>
      </x:c>
      <x:c r="E8215" s="1" t="str">
        <x:v>ON_HOLD</x:v>
      </x:c>
      <x:c r="F8215" s="1" t="str">
        <x:v>Late delivery</x:v>
      </x:c>
      <x:c r="G8215" s="6" t="n">
        <x:v>6</x:v>
      </x:c>
      <x:c r="H8215" s="6" t="n">
        <x:v>4</x:v>
      </x:c>
      <x:c r="I8215" s="6" t="n">
        <x:f>G8215-H8215</x:f>
        <x:v>2</x:v>
      </x:c>
      <x:c r="J8215" s="6" t="n">
        <x:f>IF(OR(E8215="CANCELED",E8215="SUSPECTED_FRAUD",F8215="Shipping canceled"),0,1)</x:f>
        <x:v>1</x:v>
      </x:c>
      <x:c r="K8215" s="6" t="n">
        <x:f>IF(G8215&gt;H8215,1,0)</x:f>
        <x:v>1</x:v>
      </x:c>
      <x:c r="L8215" s="6" t="n">
        <x:f>J8215*K8215</x:f>
        <x:v>1</x:v>
      </x:c>
    </x:row>
    <x:row r="8216">
      <x:c r="A8216" s="1" t="n">
        <x:v>65765</x:v>
      </x:c>
      <x:c r="B8216" s="5" t="d">
        <x:v>2017-08-18T00:00:00.000Z</x:v>
      </x:c>
      <x:c r="C8216" s="1" t="str">
        <x:v>First Class</x:v>
      </x:c>
      <x:c r="D8216" s="1" t="str">
        <x:v>Europe</x:v>
      </x:c>
      <x:c r="E8216" s="1" t="str">
        <x:v>PENDING_PAYMENT</x:v>
      </x:c>
      <x:c r="F8216" s="1" t="str">
        <x:v>Late delivery</x:v>
      </x:c>
      <x:c r="G8216" s="6" t="n">
        <x:v>2</x:v>
      </x:c>
      <x:c r="H8216" s="6" t="n">
        <x:v>1</x:v>
      </x:c>
      <x:c r="I8216" s="6" t="n">
        <x:f>G8216-H8216</x:f>
        <x:v>1</x:v>
      </x:c>
      <x:c r="J8216" s="6" t="n">
        <x:f>IF(OR(E8216="CANCELED",E8216="SUSPECTED_FRAUD",F8216="Shipping canceled"),0,1)</x:f>
        <x:v>1</x:v>
      </x:c>
      <x:c r="K8216" s="6" t="n">
        <x:f>IF(G8216&gt;H8216,1,0)</x:f>
        <x:v>1</x:v>
      </x:c>
      <x:c r="L8216" s="6" t="n">
        <x:f>J8216*K8216</x:f>
        <x:v>1</x:v>
      </x:c>
    </x:row>
    <x:row r="8217">
      <x:c r="A8217" s="1" t="n">
        <x:v>65776</x:v>
      </x:c>
      <x:c r="B8217" s="5" t="d">
        <x:v>2017-08-18T00:00:00.000Z</x:v>
      </x:c>
      <x:c r="C8217" s="1" t="str">
        <x:v>Standard Class</x:v>
      </x:c>
      <x:c r="D8217" s="1" t="str">
        <x:v>Europe</x:v>
      </x:c>
      <x:c r="E8217" s="1" t="str">
        <x:v>PROCESSING</x:v>
      </x:c>
      <x:c r="F8217" s="1" t="str">
        <x:v>Advance shipping</x:v>
      </x:c>
      <x:c r="G8217" s="6" t="n">
        <x:v>2</x:v>
      </x:c>
      <x:c r="H8217" s="6" t="n">
        <x:v>4</x:v>
      </x:c>
      <x:c r="I8217" s="6" t="n">
        <x:f>G8217-H8217</x:f>
        <x:v>-2</x:v>
      </x:c>
      <x:c r="J8217" s="6" t="n">
        <x:f>IF(OR(E8217="CANCELED",E8217="SUSPECTED_FRAUD",F8217="Shipping canceled"),0,1)</x:f>
        <x:v>1</x:v>
      </x:c>
      <x:c r="K8217" s="6" t="n">
        <x:f>IF(G8217&gt;H8217,1,0)</x:f>
        <x:v>0</x:v>
      </x:c>
      <x:c r="L8217" s="6" t="n">
        <x:f>J8217*K8217</x:f>
        <x:v>0</x:v>
      </x:c>
    </x:row>
    <x:row r="8218">
      <x:c r="A8218" s="1" t="n">
        <x:v>65780</x:v>
      </x:c>
      <x:c r="B8218" s="5" t="d">
        <x:v>2017-08-18T00:00:00.000Z</x:v>
      </x:c>
      <x:c r="C8218" s="1" t="str">
        <x:v>First Class</x:v>
      </x:c>
      <x:c r="D8218" s="1" t="str">
        <x:v>Europe</x:v>
      </x:c>
      <x:c r="E8218" s="1" t="str">
        <x:v>CLOSED</x:v>
      </x:c>
      <x:c r="F8218" s="1" t="str">
        <x:v>Late delivery</x:v>
      </x:c>
      <x:c r="G8218" s="6" t="n">
        <x:v>2</x:v>
      </x:c>
      <x:c r="H8218" s="6" t="n">
        <x:v>1</x:v>
      </x:c>
      <x:c r="I8218" s="6" t="n">
        <x:f>G8218-H8218</x:f>
        <x:v>1</x:v>
      </x:c>
      <x:c r="J8218" s="6" t="n">
        <x:f>IF(OR(E8218="CANCELED",E8218="SUSPECTED_FRAUD",F8218="Shipping canceled"),0,1)</x:f>
        <x:v>1</x:v>
      </x:c>
      <x:c r="K8218" s="6" t="n">
        <x:f>IF(G8218&gt;H8218,1,0)</x:f>
        <x:v>1</x:v>
      </x:c>
      <x:c r="L8218" s="6" t="n">
        <x:f>J8218*K8218</x:f>
        <x:v>1</x:v>
      </x:c>
    </x:row>
    <x:row r="8219">
      <x:c r="A8219" s="1" t="n">
        <x:v>65788</x:v>
      </x:c>
      <x:c r="B8219" s="5" t="d">
        <x:v>2017-08-18T00:00:00.000Z</x:v>
      </x:c>
      <x:c r="C8219" s="1" t="str">
        <x:v>Standard Class</x:v>
      </x:c>
      <x:c r="D8219" s="1" t="str">
        <x:v>Europe</x:v>
      </x:c>
      <x:c r="E8219" s="1" t="str">
        <x:v>ON_HOLD</x:v>
      </x:c>
      <x:c r="F8219" s="1" t="str">
        <x:v>Shipping on time</x:v>
      </x:c>
      <x:c r="G8219" s="6" t="n">
        <x:v>4</x:v>
      </x:c>
      <x:c r="H8219" s="6" t="n">
        <x:v>4</x:v>
      </x:c>
      <x:c r="I8219" s="6" t="n">
        <x:f>G8219-H8219</x:f>
        <x:v>0</x:v>
      </x:c>
      <x:c r="J8219" s="6" t="n">
        <x:f>IF(OR(E8219="CANCELED",E8219="SUSPECTED_FRAUD",F8219="Shipping canceled"),0,1)</x:f>
        <x:v>1</x:v>
      </x:c>
      <x:c r="K8219" s="6" t="n">
        <x:f>IF(G8219&gt;H8219,1,0)</x:f>
        <x:v>0</x:v>
      </x:c>
      <x:c r="L8219" s="6" t="n">
        <x:f>J8219*K8219</x:f>
        <x:v>0</x:v>
      </x:c>
    </x:row>
    <x:row r="8220">
      <x:c r="A8220" s="1" t="n">
        <x:v>65825</x:v>
      </x:c>
      <x:c r="B8220" s="5" t="d">
        <x:v>2017-08-18T00:00:00.000Z</x:v>
      </x:c>
      <x:c r="C8220" s="1" t="str">
        <x:v>Standard Class</x:v>
      </x:c>
      <x:c r="D8220" s="1" t="str">
        <x:v>Europe</x:v>
      </x:c>
      <x:c r="E8220" s="1" t="str">
        <x:v>COMPLETE</x:v>
      </x:c>
      <x:c r="F8220" s="1" t="str">
        <x:v>Late delivery</x:v>
      </x:c>
      <x:c r="G8220" s="6" t="n">
        <x:v>6</x:v>
      </x:c>
      <x:c r="H8220" s="6" t="n">
        <x:v>4</x:v>
      </x:c>
      <x:c r="I8220" s="6" t="n">
        <x:f>G8220-H8220</x:f>
        <x:v>2</x:v>
      </x:c>
      <x:c r="J8220" s="6" t="n">
        <x:f>IF(OR(E8220="CANCELED",E8220="SUSPECTED_FRAUD",F8220="Shipping canceled"),0,1)</x:f>
        <x:v>1</x:v>
      </x:c>
      <x:c r="K8220" s="6" t="n">
        <x:f>IF(G8220&gt;H8220,1,0)</x:f>
        <x:v>1</x:v>
      </x:c>
      <x:c r="L8220" s="6" t="n">
        <x:f>J8220*K8220</x:f>
        <x:v>1</x:v>
      </x:c>
    </x:row>
    <x:row r="8221">
      <x:c r="A8221" s="1" t="n">
        <x:v>65827</x:v>
      </x:c>
      <x:c r="B8221" s="5" t="d">
        <x:v>2017-08-18T00:00:00.000Z</x:v>
      </x:c>
      <x:c r="C8221" s="1" t="str">
        <x:v>Standard Class</x:v>
      </x:c>
      <x:c r="D8221" s="1" t="str">
        <x:v>Europe</x:v>
      </x:c>
      <x:c r="E8221" s="1" t="str">
        <x:v>SUSPECTED_FRAUD</x:v>
      </x:c>
      <x:c r="F8221" s="1" t="str">
        <x:v>Shipping canceled</x:v>
      </x:c>
      <x:c r="G8221" s="6" t="n">
        <x:v>3</x:v>
      </x:c>
      <x:c r="H8221" s="6" t="n">
        <x:v>4</x:v>
      </x:c>
      <x:c r="I8221" s="6" t="n">
        <x:f>G8221-H8221</x:f>
        <x:v>-1</x:v>
      </x:c>
      <x:c r="J8221" s="6" t="n">
        <x:f>IF(OR(E8221="CANCELED",E8221="SUSPECTED_FRAUD",F8221="Shipping canceled"),0,1)</x:f>
        <x:v>0</x:v>
      </x:c>
      <x:c r="K8221" s="6" t="n">
        <x:f>IF(G8221&gt;H8221,1,0)</x:f>
        <x:v>0</x:v>
      </x:c>
      <x:c r="L8221" s="6" t="n">
        <x:f>J8221*K8221</x:f>
        <x:v>0</x:v>
      </x:c>
    </x:row>
    <x:row r="8222">
      <x:c r="A8222" s="1" t="n">
        <x:v>65829</x:v>
      </x:c>
      <x:c r="B8222" s="5" t="d">
        <x:v>2017-08-18T00:00:00.000Z</x:v>
      </x:c>
      <x:c r="C8222" s="1" t="str">
        <x:v>Standard Class</x:v>
      </x:c>
      <x:c r="D8222" s="1" t="str">
        <x:v>Europe</x:v>
      </x:c>
      <x:c r="E8222" s="1" t="str">
        <x:v>PROCESSING</x:v>
      </x:c>
      <x:c r="F8222" s="1" t="str">
        <x:v>Late delivery</x:v>
      </x:c>
      <x:c r="G8222" s="6" t="n">
        <x:v>5</x:v>
      </x:c>
      <x:c r="H8222" s="6" t="n">
        <x:v>4</x:v>
      </x:c>
      <x:c r="I8222" s="6" t="n">
        <x:f>G8222-H8222</x:f>
        <x:v>1</x:v>
      </x:c>
      <x:c r="J8222" s="6" t="n">
        <x:f>IF(OR(E8222="CANCELED",E8222="SUSPECTED_FRAUD",F8222="Shipping canceled"),0,1)</x:f>
        <x:v>1</x:v>
      </x:c>
      <x:c r="K8222" s="6" t="n">
        <x:f>IF(G8222&gt;H8222,1,0)</x:f>
        <x:v>1</x:v>
      </x:c>
      <x:c r="L8222" s="6" t="n">
        <x:f>J8222*K8222</x:f>
        <x:v>1</x:v>
      </x:c>
    </x:row>
    <x:row r="8223">
      <x:c r="A8223" s="1" t="n">
        <x:v>65855</x:v>
      </x:c>
      <x:c r="B8223" s="5" t="d">
        <x:v>2017-08-19T00:00:00.000Z</x:v>
      </x:c>
      <x:c r="C8223" s="1" t="str">
        <x:v>Standard Class</x:v>
      </x:c>
      <x:c r="D8223" s="1" t="str">
        <x:v>Europe</x:v>
      </x:c>
      <x:c r="E8223" s="1" t="str">
        <x:v>COMPLETE</x:v>
      </x:c>
      <x:c r="F8223" s="1" t="str">
        <x:v>Late delivery</x:v>
      </x:c>
      <x:c r="G8223" s="6" t="n">
        <x:v>6</x:v>
      </x:c>
      <x:c r="H8223" s="6" t="n">
        <x:v>4</x:v>
      </x:c>
      <x:c r="I8223" s="6" t="n">
        <x:f>G8223-H8223</x:f>
        <x:v>2</x:v>
      </x:c>
      <x:c r="J8223" s="6" t="n">
        <x:f>IF(OR(E8223="CANCELED",E8223="SUSPECTED_FRAUD",F8223="Shipping canceled"),0,1)</x:f>
        <x:v>1</x:v>
      </x:c>
      <x:c r="K8223" s="6" t="n">
        <x:f>IF(G8223&gt;H8223,1,0)</x:f>
        <x:v>1</x:v>
      </x:c>
      <x:c r="L8223" s="6" t="n">
        <x:f>J8223*K8223</x:f>
        <x:v>1</x:v>
      </x:c>
    </x:row>
    <x:row r="8224">
      <x:c r="A8224" s="1" t="n">
        <x:v>65866</x:v>
      </x:c>
      <x:c r="B8224" s="5" t="d">
        <x:v>2017-08-19T00:00:00.000Z</x:v>
      </x:c>
      <x:c r="C8224" s="1" t="str">
        <x:v>Standard Class</x:v>
      </x:c>
      <x:c r="D8224" s="1" t="str">
        <x:v>Europe</x:v>
      </x:c>
      <x:c r="E8224" s="1" t="str">
        <x:v>PENDING_PAYMENT</x:v>
      </x:c>
      <x:c r="F8224" s="1" t="str">
        <x:v>Advance shipping</x:v>
      </x:c>
      <x:c r="G8224" s="6" t="n">
        <x:v>2</x:v>
      </x:c>
      <x:c r="H8224" s="6" t="n">
        <x:v>4</x:v>
      </x:c>
      <x:c r="I8224" s="6" t="n">
        <x:f>G8224-H8224</x:f>
        <x:v>-2</x:v>
      </x:c>
      <x:c r="J8224" s="6" t="n">
        <x:f>IF(OR(E8224="CANCELED",E8224="SUSPECTED_FRAUD",F8224="Shipping canceled"),0,1)</x:f>
        <x:v>1</x:v>
      </x:c>
      <x:c r="K8224" s="6" t="n">
        <x:f>IF(G8224&gt;H8224,1,0)</x:f>
        <x:v>0</x:v>
      </x:c>
      <x:c r="L8224" s="6" t="n">
        <x:f>J8224*K8224</x:f>
        <x:v>0</x:v>
      </x:c>
    </x:row>
    <x:row r="8225">
      <x:c r="A8225" s="1" t="n">
        <x:v>65874</x:v>
      </x:c>
      <x:c r="B8225" s="5" t="d">
        <x:v>2017-08-19T00:00:00.000Z</x:v>
      </x:c>
      <x:c r="C8225" s="1" t="str">
        <x:v>First Class</x:v>
      </x:c>
      <x:c r="D8225" s="1" t="str">
        <x:v>Europe</x:v>
      </x:c>
      <x:c r="E8225" s="1" t="str">
        <x:v>CLOSED</x:v>
      </x:c>
      <x:c r="F8225" s="1" t="str">
        <x:v>Late delivery</x:v>
      </x:c>
      <x:c r="G8225" s="6" t="n">
        <x:v>2</x:v>
      </x:c>
      <x:c r="H8225" s="6" t="n">
        <x:v>1</x:v>
      </x:c>
      <x:c r="I8225" s="6" t="n">
        <x:f>G8225-H8225</x:f>
        <x:v>1</x:v>
      </x:c>
      <x:c r="J8225" s="6" t="n">
        <x:f>IF(OR(E8225="CANCELED",E8225="SUSPECTED_FRAUD",F8225="Shipping canceled"),0,1)</x:f>
        <x:v>1</x:v>
      </x:c>
      <x:c r="K8225" s="6" t="n">
        <x:f>IF(G8225&gt;H8225,1,0)</x:f>
        <x:v>1</x:v>
      </x:c>
      <x:c r="L8225" s="6" t="n">
        <x:f>J8225*K8225</x:f>
        <x:v>1</x:v>
      </x:c>
    </x:row>
    <x:row r="8226">
      <x:c r="A8226" s="1" t="n">
        <x:v>65876</x:v>
      </x:c>
      <x:c r="B8226" s="5" t="d">
        <x:v>2017-08-19T00:00:00.000Z</x:v>
      </x:c>
      <x:c r="C8226" s="1" t="str">
        <x:v>First Class</x:v>
      </x:c>
      <x:c r="D8226" s="1" t="str">
        <x:v>Europe</x:v>
      </x:c>
      <x:c r="E8226" s="1" t="str">
        <x:v>CLOSED</x:v>
      </x:c>
      <x:c r="F8226" s="1" t="str">
        <x:v>Late delivery</x:v>
      </x:c>
      <x:c r="G8226" s="6" t="n">
        <x:v>2</x:v>
      </x:c>
      <x:c r="H8226" s="6" t="n">
        <x:v>1</x:v>
      </x:c>
      <x:c r="I8226" s="6" t="n">
        <x:f>G8226-H8226</x:f>
        <x:v>1</x:v>
      </x:c>
      <x:c r="J8226" s="6" t="n">
        <x:f>IF(OR(E8226="CANCELED",E8226="SUSPECTED_FRAUD",F8226="Shipping canceled"),0,1)</x:f>
        <x:v>1</x:v>
      </x:c>
      <x:c r="K8226" s="6" t="n">
        <x:f>IF(G8226&gt;H8226,1,0)</x:f>
        <x:v>1</x:v>
      </x:c>
      <x:c r="L8226" s="6" t="n">
        <x:f>J8226*K8226</x:f>
        <x:v>1</x:v>
      </x:c>
    </x:row>
    <x:row r="8227">
      <x:c r="A8227" s="1" t="n">
        <x:v>65885</x:v>
      </x:c>
      <x:c r="B8227" s="5" t="d">
        <x:v>2017-08-19T00:00:00.000Z</x:v>
      </x:c>
      <x:c r="C8227" s="1" t="str">
        <x:v>Standard Class</x:v>
      </x:c>
      <x:c r="D8227" s="1" t="str">
        <x:v>Europe</x:v>
      </x:c>
      <x:c r="E8227" s="1" t="str">
        <x:v>CANCELED</x:v>
      </x:c>
      <x:c r="F8227" s="1" t="str">
        <x:v>Shipping canceled</x:v>
      </x:c>
      <x:c r="G8227" s="6" t="n">
        <x:v>6</x:v>
      </x:c>
      <x:c r="H8227" s="6" t="n">
        <x:v>4</x:v>
      </x:c>
      <x:c r="I8227" s="6" t="n">
        <x:f>G8227-H8227</x:f>
        <x:v>2</x:v>
      </x:c>
      <x:c r="J8227" s="6" t="n">
        <x:f>IF(OR(E8227="CANCELED",E8227="SUSPECTED_FRAUD",F8227="Shipping canceled"),0,1)</x:f>
        <x:v>0</x:v>
      </x:c>
      <x:c r="K8227" s="6" t="n">
        <x:f>IF(G8227&gt;H8227,1,0)</x:f>
        <x:v>1</x:v>
      </x:c>
      <x:c r="L8227" s="6" t="n">
        <x:f>J8227*K8227</x:f>
        <x:v>0</x:v>
      </x:c>
    </x:row>
    <x:row r="8228">
      <x:c r="A8228" s="1" t="n">
        <x:v>65887</x:v>
      </x:c>
      <x:c r="B8228" s="5" t="d">
        <x:v>2017-08-19T00:00:00.000Z</x:v>
      </x:c>
      <x:c r="C8228" s="1" t="str">
        <x:v>Standard Class</x:v>
      </x:c>
      <x:c r="D8228" s="1" t="str">
        <x:v>Europe</x:v>
      </x:c>
      <x:c r="E8228" s="1" t="str">
        <x:v>COMPLETE</x:v>
      </x:c>
      <x:c r="F8228" s="1" t="str">
        <x:v>Advance shipping</x:v>
      </x:c>
      <x:c r="G8228" s="6" t="n">
        <x:v>3</x:v>
      </x:c>
      <x:c r="H8228" s="6" t="n">
        <x:v>4</x:v>
      </x:c>
      <x:c r="I8228" s="6" t="n">
        <x:f>G8228-H8228</x:f>
        <x:v>-1</x:v>
      </x:c>
      <x:c r="J8228" s="6" t="n">
        <x:f>IF(OR(E8228="CANCELED",E8228="SUSPECTED_FRAUD",F8228="Shipping canceled"),0,1)</x:f>
        <x:v>1</x:v>
      </x:c>
      <x:c r="K8228" s="6" t="n">
        <x:f>IF(G8228&gt;H8228,1,0)</x:f>
        <x:v>0</x:v>
      </x:c>
      <x:c r="L8228" s="6" t="n">
        <x:f>J8228*K8228</x:f>
        <x:v>0</x:v>
      </x:c>
    </x:row>
    <x:row r="8229">
      <x:c r="A8229" s="1" t="n">
        <x:v>65898</x:v>
      </x:c>
      <x:c r="B8229" s="5" t="d">
        <x:v>2017-08-19T00:00:00.000Z</x:v>
      </x:c>
      <x:c r="C8229" s="1" t="str">
        <x:v>Standard Class</x:v>
      </x:c>
      <x:c r="D8229" s="1" t="str">
        <x:v>Europe</x:v>
      </x:c>
      <x:c r="E8229" s="1" t="str">
        <x:v>PENDING</x:v>
      </x:c>
      <x:c r="F8229" s="1" t="str">
        <x:v>Shipping on time</x:v>
      </x:c>
      <x:c r="G8229" s="6" t="n">
        <x:v>4</x:v>
      </x:c>
      <x:c r="H8229" s="6" t="n">
        <x:v>4</x:v>
      </x:c>
      <x:c r="I8229" s="6" t="n">
        <x:f>G8229-H8229</x:f>
        <x:v>0</x:v>
      </x:c>
      <x:c r="J8229" s="6" t="n">
        <x:f>IF(OR(E8229="CANCELED",E8229="SUSPECTED_FRAUD",F8229="Shipping canceled"),0,1)</x:f>
        <x:v>1</x:v>
      </x:c>
      <x:c r="K8229" s="6" t="n">
        <x:f>IF(G8229&gt;H8229,1,0)</x:f>
        <x:v>0</x:v>
      </x:c>
      <x:c r="L8229" s="6" t="n">
        <x:f>J8229*K8229</x:f>
        <x:v>0</x:v>
      </x:c>
    </x:row>
    <x:row r="8230">
      <x:c r="A8230" s="1" t="n">
        <x:v>65901</x:v>
      </x:c>
      <x:c r="B8230" s="5" t="d">
        <x:v>2017-08-19T00:00:00.000Z</x:v>
      </x:c>
      <x:c r="C8230" s="1" t="str">
        <x:v>Standard Class</x:v>
      </x:c>
      <x:c r="D8230" s="1" t="str">
        <x:v>Europe</x:v>
      </x:c>
      <x:c r="E8230" s="1" t="str">
        <x:v>PENDING</x:v>
      </x:c>
      <x:c r="F8230" s="1" t="str">
        <x:v>Advance shipping</x:v>
      </x:c>
      <x:c r="G8230" s="6" t="n">
        <x:v>2</x:v>
      </x:c>
      <x:c r="H8230" s="6" t="n">
        <x:v>4</x:v>
      </x:c>
      <x:c r="I8230" s="6" t="n">
        <x:f>G8230-H8230</x:f>
        <x:v>-2</x:v>
      </x:c>
      <x:c r="J8230" s="6" t="n">
        <x:f>IF(OR(E8230="CANCELED",E8230="SUSPECTED_FRAUD",F8230="Shipping canceled"),0,1)</x:f>
        <x:v>1</x:v>
      </x:c>
      <x:c r="K8230" s="6" t="n">
        <x:f>IF(G8230&gt;H8230,1,0)</x:f>
        <x:v>0</x:v>
      </x:c>
      <x:c r="L8230" s="6" t="n">
        <x:f>J8230*K8230</x:f>
        <x:v>0</x:v>
      </x:c>
    </x:row>
    <x:row r="8231">
      <x:c r="A8231" s="1" t="n">
        <x:v>65922</x:v>
      </x:c>
      <x:c r="B8231" s="5" t="d">
        <x:v>2017-08-20T00:00:00.000Z</x:v>
      </x:c>
      <x:c r="C8231" s="1" t="str">
        <x:v>Second Class</x:v>
      </x:c>
      <x:c r="D8231" s="1" t="str">
        <x:v>Europe</x:v>
      </x:c>
      <x:c r="E8231" s="1" t="str">
        <x:v>PENDING_PAYMENT</x:v>
      </x:c>
      <x:c r="F8231" s="1" t="str">
        <x:v>Late delivery</x:v>
      </x:c>
      <x:c r="G8231" s="6" t="n">
        <x:v>3</x:v>
      </x:c>
      <x:c r="H8231" s="6" t="n">
        <x:v>2</x:v>
      </x:c>
      <x:c r="I8231" s="6" t="n">
        <x:f>G8231-H8231</x:f>
        <x:v>1</x:v>
      </x:c>
      <x:c r="J8231" s="6" t="n">
        <x:f>IF(OR(E8231="CANCELED",E8231="SUSPECTED_FRAUD",F8231="Shipping canceled"),0,1)</x:f>
        <x:v>1</x:v>
      </x:c>
      <x:c r="K8231" s="6" t="n">
        <x:f>IF(G8231&gt;H8231,1,0)</x:f>
        <x:v>1</x:v>
      </x:c>
      <x:c r="L8231" s="6" t="n">
        <x:f>J8231*K8231</x:f>
        <x:v>1</x:v>
      </x:c>
    </x:row>
    <x:row r="8232">
      <x:c r="A8232" s="1" t="n">
        <x:v>65923</x:v>
      </x:c>
      <x:c r="B8232" s="5" t="d">
        <x:v>2017-08-20T00:00:00.000Z</x:v>
      </x:c>
      <x:c r="C8232" s="1" t="str">
        <x:v>Second Class</x:v>
      </x:c>
      <x:c r="D8232" s="1" t="str">
        <x:v>Europe</x:v>
      </x:c>
      <x:c r="E8232" s="1" t="str">
        <x:v>COMPLETE</x:v>
      </x:c>
      <x:c r="F8232" s="1" t="str">
        <x:v>Late delivery</x:v>
      </x:c>
      <x:c r="G8232" s="6" t="n">
        <x:v>4</x:v>
      </x:c>
      <x:c r="H8232" s="6" t="n">
        <x:v>2</x:v>
      </x:c>
      <x:c r="I8232" s="6" t="n">
        <x:f>G8232-H8232</x:f>
        <x:v>2</x:v>
      </x:c>
      <x:c r="J8232" s="6" t="n">
        <x:f>IF(OR(E8232="CANCELED",E8232="SUSPECTED_FRAUD",F8232="Shipping canceled"),0,1)</x:f>
        <x:v>1</x:v>
      </x:c>
      <x:c r="K8232" s="6" t="n">
        <x:f>IF(G8232&gt;H8232,1,0)</x:f>
        <x:v>1</x:v>
      </x:c>
      <x:c r="L8232" s="6" t="n">
        <x:f>J8232*K8232</x:f>
        <x:v>1</x:v>
      </x:c>
    </x:row>
    <x:row r="8233">
      <x:c r="A8233" s="1" t="n">
        <x:v>65929</x:v>
      </x:c>
      <x:c r="B8233" s="5" t="d">
        <x:v>2017-08-20T00:00:00.000Z</x:v>
      </x:c>
      <x:c r="C8233" s="1" t="str">
        <x:v>First Class</x:v>
      </x:c>
      <x:c r="D8233" s="1" t="str">
        <x:v>Europe</x:v>
      </x:c>
      <x:c r="E8233" s="1" t="str">
        <x:v>PAYMENT_REVIEW</x:v>
      </x:c>
      <x:c r="F8233" s="1" t="str">
        <x:v>Late delivery</x:v>
      </x:c>
      <x:c r="G8233" s="6" t="n">
        <x:v>2</x:v>
      </x:c>
      <x:c r="H8233" s="6" t="n">
        <x:v>1</x:v>
      </x:c>
      <x:c r="I8233" s="6" t="n">
        <x:f>G8233-H8233</x:f>
        <x:v>1</x:v>
      </x:c>
      <x:c r="J8233" s="6" t="n">
        <x:f>IF(OR(E8233="CANCELED",E8233="SUSPECTED_FRAUD",F8233="Shipping canceled"),0,1)</x:f>
        <x:v>1</x:v>
      </x:c>
      <x:c r="K8233" s="6" t="n">
        <x:f>IF(G8233&gt;H8233,1,0)</x:f>
        <x:v>1</x:v>
      </x:c>
      <x:c r="L8233" s="6" t="n">
        <x:f>J8233*K8233</x:f>
        <x:v>1</x:v>
      </x:c>
    </x:row>
    <x:row r="8234">
      <x:c r="A8234" s="1" t="n">
        <x:v>65949</x:v>
      </x:c>
      <x:c r="B8234" s="5" t="d">
        <x:v>2017-08-20T00:00:00.000Z</x:v>
      </x:c>
      <x:c r="C8234" s="1" t="str">
        <x:v>Standard Class</x:v>
      </x:c>
      <x:c r="D8234" s="1" t="str">
        <x:v>Europe</x:v>
      </x:c>
      <x:c r="E8234" s="1" t="str">
        <x:v>ON_HOLD</x:v>
      </x:c>
      <x:c r="F8234" s="1" t="str">
        <x:v>Late delivery</x:v>
      </x:c>
      <x:c r="G8234" s="6" t="n">
        <x:v>5</x:v>
      </x:c>
      <x:c r="H8234" s="6" t="n">
        <x:v>4</x:v>
      </x:c>
      <x:c r="I8234" s="6" t="n">
        <x:f>G8234-H8234</x:f>
        <x:v>1</x:v>
      </x:c>
      <x:c r="J8234" s="6" t="n">
        <x:f>IF(OR(E8234="CANCELED",E8234="SUSPECTED_FRAUD",F8234="Shipping canceled"),0,1)</x:f>
        <x:v>1</x:v>
      </x:c>
      <x:c r="K8234" s="6" t="n">
        <x:f>IF(G8234&gt;H8234,1,0)</x:f>
        <x:v>1</x:v>
      </x:c>
      <x:c r="L8234" s="6" t="n">
        <x:f>J8234*K8234</x:f>
        <x:v>1</x:v>
      </x:c>
    </x:row>
    <x:row r="8235">
      <x:c r="A8235" s="1" t="n">
        <x:v>65965</x:v>
      </x:c>
      <x:c r="B8235" s="5" t="d">
        <x:v>2017-08-20T00:00:00.000Z</x:v>
      </x:c>
      <x:c r="C8235" s="1" t="str">
        <x:v>Standard Class</x:v>
      </x:c>
      <x:c r="D8235" s="1" t="str">
        <x:v>Europe</x:v>
      </x:c>
      <x:c r="E8235" s="1" t="str">
        <x:v>PROCESSING</x:v>
      </x:c>
      <x:c r="F8235" s="1" t="str">
        <x:v>Late delivery</x:v>
      </x:c>
      <x:c r="G8235" s="6" t="n">
        <x:v>6</x:v>
      </x:c>
      <x:c r="H8235" s="6" t="n">
        <x:v>4</x:v>
      </x:c>
      <x:c r="I8235" s="6" t="n">
        <x:f>G8235-H8235</x:f>
        <x:v>2</x:v>
      </x:c>
      <x:c r="J8235" s="6" t="n">
        <x:f>IF(OR(E8235="CANCELED",E8235="SUSPECTED_FRAUD",F8235="Shipping canceled"),0,1)</x:f>
        <x:v>1</x:v>
      </x:c>
      <x:c r="K8235" s="6" t="n">
        <x:f>IF(G8235&gt;H8235,1,0)</x:f>
        <x:v>1</x:v>
      </x:c>
      <x:c r="L8235" s="6" t="n">
        <x:f>J8235*K8235</x:f>
        <x:v>1</x:v>
      </x:c>
    </x:row>
    <x:row r="8236">
      <x:c r="A8236" s="1" t="n">
        <x:v>65976</x:v>
      </x:c>
      <x:c r="B8236" s="5" t="d">
        <x:v>2017-08-21T00:00:00.000Z</x:v>
      </x:c>
      <x:c r="C8236" s="1" t="str">
        <x:v>Standard Class</x:v>
      </x:c>
      <x:c r="D8236" s="1" t="str">
        <x:v>Europe</x:v>
      </x:c>
      <x:c r="E8236" s="1" t="str">
        <x:v>COMPLETE</x:v>
      </x:c>
      <x:c r="F8236" s="1" t="str">
        <x:v>Advance shipping</x:v>
      </x:c>
      <x:c r="G8236" s="6" t="n">
        <x:v>2</x:v>
      </x:c>
      <x:c r="H8236" s="6" t="n">
        <x:v>4</x:v>
      </x:c>
      <x:c r="I8236" s="6" t="n">
        <x:f>G8236-H8236</x:f>
        <x:v>-2</x:v>
      </x:c>
      <x:c r="J8236" s="6" t="n">
        <x:f>IF(OR(E8236="CANCELED",E8236="SUSPECTED_FRAUD",F8236="Shipping canceled"),0,1)</x:f>
        <x:v>1</x:v>
      </x:c>
      <x:c r="K8236" s="6" t="n">
        <x:f>IF(G8236&gt;H8236,1,0)</x:f>
        <x:v>0</x:v>
      </x:c>
      <x:c r="L8236" s="6" t="n">
        <x:f>J8236*K8236</x:f>
        <x:v>0</x:v>
      </x:c>
    </x:row>
    <x:row r="8237">
      <x:c r="A8237" s="1" t="n">
        <x:v>65977</x:v>
      </x:c>
      <x:c r="B8237" s="5" t="d">
        <x:v>2017-08-21T00:00:00.000Z</x:v>
      </x:c>
      <x:c r="C8237" s="1" t="str">
        <x:v>Standard Class</x:v>
      </x:c>
      <x:c r="D8237" s="1" t="str">
        <x:v>Europe</x:v>
      </x:c>
      <x:c r="E8237" s="1" t="str">
        <x:v>COMPLETE</x:v>
      </x:c>
      <x:c r="F8237" s="1" t="str">
        <x:v>Advance shipping</x:v>
      </x:c>
      <x:c r="G8237" s="6" t="n">
        <x:v>3</x:v>
      </x:c>
      <x:c r="H8237" s="6" t="n">
        <x:v>4</x:v>
      </x:c>
      <x:c r="I8237" s="6" t="n">
        <x:f>G8237-H8237</x:f>
        <x:v>-1</x:v>
      </x:c>
      <x:c r="J8237" s="6" t="n">
        <x:f>IF(OR(E8237="CANCELED",E8237="SUSPECTED_FRAUD",F8237="Shipping canceled"),0,1)</x:f>
        <x:v>1</x:v>
      </x:c>
      <x:c r="K8237" s="6" t="n">
        <x:f>IF(G8237&gt;H8237,1,0)</x:f>
        <x:v>0</x:v>
      </x:c>
      <x:c r="L8237" s="6" t="n">
        <x:f>J8237*K8237</x:f>
        <x:v>0</x:v>
      </x:c>
    </x:row>
    <x:row r="8238">
      <x:c r="A8238" s="1" t="n">
        <x:v>65979</x:v>
      </x:c>
      <x:c r="B8238" s="5" t="d">
        <x:v>2017-08-21T00:00:00.000Z</x:v>
      </x:c>
      <x:c r="C8238" s="1" t="str">
        <x:v>Standard Class</x:v>
      </x:c>
      <x:c r="D8238" s="1" t="str">
        <x:v>Europe</x:v>
      </x:c>
      <x:c r="E8238" s="1" t="str">
        <x:v>COMPLETE</x:v>
      </x:c>
      <x:c r="F8238" s="1" t="str">
        <x:v>Late delivery</x:v>
      </x:c>
      <x:c r="G8238" s="6" t="n">
        <x:v>5</x:v>
      </x:c>
      <x:c r="H8238" s="6" t="n">
        <x:v>4</x:v>
      </x:c>
      <x:c r="I8238" s="6" t="n">
        <x:f>G8238-H8238</x:f>
        <x:v>1</x:v>
      </x:c>
      <x:c r="J8238" s="6" t="n">
        <x:f>IF(OR(E8238="CANCELED",E8238="SUSPECTED_FRAUD",F8238="Shipping canceled"),0,1)</x:f>
        <x:v>1</x:v>
      </x:c>
      <x:c r="K8238" s="6" t="n">
        <x:f>IF(G8238&gt;H8238,1,0)</x:f>
        <x:v>1</x:v>
      </x:c>
      <x:c r="L8238" s="6" t="n">
        <x:f>J8238*K8238</x:f>
        <x:v>1</x:v>
      </x:c>
    </x:row>
    <x:row r="8239">
      <x:c r="A8239" s="1" t="n">
        <x:v>65994</x:v>
      </x:c>
      <x:c r="B8239" s="5" t="d">
        <x:v>2017-08-21T00:00:00.000Z</x:v>
      </x:c>
      <x:c r="C8239" s="1" t="str">
        <x:v>Standard Class</x:v>
      </x:c>
      <x:c r="D8239" s="1" t="str">
        <x:v>Europe</x:v>
      </x:c>
      <x:c r="E8239" s="1" t="str">
        <x:v>PENDING_PAYMENT</x:v>
      </x:c>
      <x:c r="F8239" s="1" t="str">
        <x:v>Late delivery</x:v>
      </x:c>
      <x:c r="G8239" s="6" t="n">
        <x:v>5</x:v>
      </x:c>
      <x:c r="H8239" s="6" t="n">
        <x:v>4</x:v>
      </x:c>
      <x:c r="I8239" s="6" t="n">
        <x:f>G8239-H8239</x:f>
        <x:v>1</x:v>
      </x:c>
      <x:c r="J8239" s="6" t="n">
        <x:f>IF(OR(E8239="CANCELED",E8239="SUSPECTED_FRAUD",F8239="Shipping canceled"),0,1)</x:f>
        <x:v>1</x:v>
      </x:c>
      <x:c r="K8239" s="6" t="n">
        <x:f>IF(G8239&gt;H8239,1,0)</x:f>
        <x:v>1</x:v>
      </x:c>
      <x:c r="L8239" s="6" t="n">
        <x:f>J8239*K8239</x:f>
        <x:v>1</x:v>
      </x:c>
    </x:row>
    <x:row r="8240">
      <x:c r="A8240" s="1" t="n">
        <x:v>66001</x:v>
      </x:c>
      <x:c r="B8240" s="5" t="d">
        <x:v>2017-08-21T00:00:00.000Z</x:v>
      </x:c>
      <x:c r="C8240" s="1" t="str">
        <x:v>Standard Class</x:v>
      </x:c>
      <x:c r="D8240" s="1" t="str">
        <x:v>Europe</x:v>
      </x:c>
      <x:c r="E8240" s="1" t="str">
        <x:v>PROCESSING</x:v>
      </x:c>
      <x:c r="F8240" s="1" t="str">
        <x:v>Advance shipping</x:v>
      </x:c>
      <x:c r="G8240" s="6" t="n">
        <x:v>2</x:v>
      </x:c>
      <x:c r="H8240" s="6" t="n">
        <x:v>4</x:v>
      </x:c>
      <x:c r="I8240" s="6" t="n">
        <x:f>G8240-H8240</x:f>
        <x:v>-2</x:v>
      </x:c>
      <x:c r="J8240" s="6" t="n">
        <x:f>IF(OR(E8240="CANCELED",E8240="SUSPECTED_FRAUD",F8240="Shipping canceled"),0,1)</x:f>
        <x:v>1</x:v>
      </x:c>
      <x:c r="K8240" s="6" t="n">
        <x:f>IF(G8240&gt;H8240,1,0)</x:f>
        <x:v>0</x:v>
      </x:c>
      <x:c r="L8240" s="6" t="n">
        <x:f>J8240*K8240</x:f>
        <x:v>0</x:v>
      </x:c>
    </x:row>
    <x:row r="8241">
      <x:c r="A8241" s="1" t="n">
        <x:v>66007</x:v>
      </x:c>
      <x:c r="B8241" s="5" t="d">
        <x:v>2017-08-21T00:00:00.000Z</x:v>
      </x:c>
      <x:c r="C8241" s="1" t="str">
        <x:v>Second Class</x:v>
      </x:c>
      <x:c r="D8241" s="1" t="str">
        <x:v>Europe</x:v>
      </x:c>
      <x:c r="E8241" s="1" t="str">
        <x:v>PENDING</x:v>
      </x:c>
      <x:c r="F8241" s="1" t="str">
        <x:v>Late delivery</x:v>
      </x:c>
      <x:c r="G8241" s="6" t="n">
        <x:v>3</x:v>
      </x:c>
      <x:c r="H8241" s="6" t="n">
        <x:v>2</x:v>
      </x:c>
      <x:c r="I8241" s="6" t="n">
        <x:f>G8241-H8241</x:f>
        <x:v>1</x:v>
      </x:c>
      <x:c r="J8241" s="6" t="n">
        <x:f>IF(OR(E8241="CANCELED",E8241="SUSPECTED_FRAUD",F8241="Shipping canceled"),0,1)</x:f>
        <x:v>1</x:v>
      </x:c>
      <x:c r="K8241" s="6" t="n">
        <x:f>IF(G8241&gt;H8241,1,0)</x:f>
        <x:v>1</x:v>
      </x:c>
      <x:c r="L8241" s="6" t="n">
        <x:f>J8241*K8241</x:f>
        <x:v>1</x:v>
      </x:c>
    </x:row>
    <x:row r="8242">
      <x:c r="A8242" s="1" t="n">
        <x:v>66013</x:v>
      </x:c>
      <x:c r="B8242" s="5" t="d">
        <x:v>2017-08-21T00:00:00.000Z</x:v>
      </x:c>
      <x:c r="C8242" s="1" t="str">
        <x:v>Second Class</x:v>
      </x:c>
      <x:c r="D8242" s="1" t="str">
        <x:v>Europe</x:v>
      </x:c>
      <x:c r="E8242" s="1" t="str">
        <x:v>COMPLETE</x:v>
      </x:c>
      <x:c r="F8242" s="1" t="str">
        <x:v>Late delivery</x:v>
      </x:c>
      <x:c r="G8242" s="6" t="n">
        <x:v>4</x:v>
      </x:c>
      <x:c r="H8242" s="6" t="n">
        <x:v>2</x:v>
      </x:c>
      <x:c r="I8242" s="6" t="n">
        <x:f>G8242-H8242</x:f>
        <x:v>2</x:v>
      </x:c>
      <x:c r="J8242" s="6" t="n">
        <x:f>IF(OR(E8242="CANCELED",E8242="SUSPECTED_FRAUD",F8242="Shipping canceled"),0,1)</x:f>
        <x:v>1</x:v>
      </x:c>
      <x:c r="K8242" s="6" t="n">
        <x:f>IF(G8242&gt;H8242,1,0)</x:f>
        <x:v>1</x:v>
      </x:c>
      <x:c r="L8242" s="6" t="n">
        <x:f>J8242*K8242</x:f>
        <x:v>1</x:v>
      </x:c>
    </x:row>
    <x:row r="8243">
      <x:c r="A8243" s="1" t="n">
        <x:v>66020</x:v>
      </x:c>
      <x:c r="B8243" s="5" t="d">
        <x:v>2017-08-21T00:00:00.000Z</x:v>
      </x:c>
      <x:c r="C8243" s="1" t="str">
        <x:v>Standard Class</x:v>
      </x:c>
      <x:c r="D8243" s="1" t="str">
        <x:v>Europe</x:v>
      </x:c>
      <x:c r="E8243" s="1" t="str">
        <x:v>COMPLETE</x:v>
      </x:c>
      <x:c r="F8243" s="1" t="str">
        <x:v>Late delivery</x:v>
      </x:c>
      <x:c r="G8243" s="6" t="n">
        <x:v>6</x:v>
      </x:c>
      <x:c r="H8243" s="6" t="n">
        <x:v>4</x:v>
      </x:c>
      <x:c r="I8243" s="6" t="n">
        <x:f>G8243-H8243</x:f>
        <x:v>2</x:v>
      </x:c>
      <x:c r="J8243" s="6" t="n">
        <x:f>IF(OR(E8243="CANCELED",E8243="SUSPECTED_FRAUD",F8243="Shipping canceled"),0,1)</x:f>
        <x:v>1</x:v>
      </x:c>
      <x:c r="K8243" s="6" t="n">
        <x:f>IF(G8243&gt;H8243,1,0)</x:f>
        <x:v>1</x:v>
      </x:c>
      <x:c r="L8243" s="6" t="n">
        <x:f>J8243*K8243</x:f>
        <x:v>1</x:v>
      </x:c>
    </x:row>
    <x:row r="8244">
      <x:c r="A8244" s="1" t="n">
        <x:v>66021</x:v>
      </x:c>
      <x:c r="B8244" s="5" t="d">
        <x:v>2017-08-21T00:00:00.000Z</x:v>
      </x:c>
      <x:c r="C8244" s="1" t="str">
        <x:v>Standard Class</x:v>
      </x:c>
      <x:c r="D8244" s="1" t="str">
        <x:v>Europe</x:v>
      </x:c>
      <x:c r="E8244" s="1" t="str">
        <x:v>COMPLETE</x:v>
      </x:c>
      <x:c r="F8244" s="1" t="str">
        <x:v>Advance shipping</x:v>
      </x:c>
      <x:c r="G8244" s="6" t="n">
        <x:v>2</x:v>
      </x:c>
      <x:c r="H8244" s="6" t="n">
        <x:v>4</x:v>
      </x:c>
      <x:c r="I8244" s="6" t="n">
        <x:f>G8244-H8244</x:f>
        <x:v>-2</x:v>
      </x:c>
      <x:c r="J8244" s="6" t="n">
        <x:f>IF(OR(E8244="CANCELED",E8244="SUSPECTED_FRAUD",F8244="Shipping canceled"),0,1)</x:f>
        <x:v>1</x:v>
      </x:c>
      <x:c r="K8244" s="6" t="n">
        <x:f>IF(G8244&gt;H8244,1,0)</x:f>
        <x:v>0</x:v>
      </x:c>
      <x:c r="L8244" s="6" t="n">
        <x:f>J8244*K8244</x:f>
        <x:v>0</x:v>
      </x:c>
    </x:row>
    <x:row r="8245">
      <x:c r="A8245" s="1" t="n">
        <x:v>66025</x:v>
      </x:c>
      <x:c r="B8245" s="5" t="d">
        <x:v>2017-08-21T00:00:00.000Z</x:v>
      </x:c>
      <x:c r="C8245" s="1" t="str">
        <x:v>Standard Class</x:v>
      </x:c>
      <x:c r="D8245" s="1" t="str">
        <x:v>Europe</x:v>
      </x:c>
      <x:c r="E8245" s="1" t="str">
        <x:v>COMPLETE</x:v>
      </x:c>
      <x:c r="F8245" s="1" t="str">
        <x:v>Late delivery</x:v>
      </x:c>
      <x:c r="G8245" s="6" t="n">
        <x:v>6</x:v>
      </x:c>
      <x:c r="H8245" s="6" t="n">
        <x:v>4</x:v>
      </x:c>
      <x:c r="I8245" s="6" t="n">
        <x:f>G8245-H8245</x:f>
        <x:v>2</x:v>
      </x:c>
      <x:c r="J8245" s="6" t="n">
        <x:f>IF(OR(E8245="CANCELED",E8245="SUSPECTED_FRAUD",F8245="Shipping canceled"),0,1)</x:f>
        <x:v>1</x:v>
      </x:c>
      <x:c r="K8245" s="6" t="n">
        <x:f>IF(G8245&gt;H8245,1,0)</x:f>
        <x:v>1</x:v>
      </x:c>
      <x:c r="L8245" s="6" t="n">
        <x:f>J8245*K8245</x:f>
        <x:v>1</x:v>
      </x:c>
    </x:row>
    <x:row r="8246">
      <x:c r="A8246" s="1" t="n">
        <x:v>66035</x:v>
      </x:c>
      <x:c r="B8246" s="5" t="d">
        <x:v>2017-08-21T00:00:00.000Z</x:v>
      </x:c>
      <x:c r="C8246" s="1" t="str">
        <x:v>Second Class</x:v>
      </x:c>
      <x:c r="D8246" s="1" t="str">
        <x:v>Europe</x:v>
      </x:c>
      <x:c r="E8246" s="1" t="str">
        <x:v>COMPLETE</x:v>
      </x:c>
      <x:c r="F8246" s="1" t="str">
        <x:v>Late delivery</x:v>
      </x:c>
      <x:c r="G8246" s="6" t="n">
        <x:v>6</x:v>
      </x:c>
      <x:c r="H8246" s="6" t="n">
        <x:v>2</x:v>
      </x:c>
      <x:c r="I8246" s="6" t="n">
        <x:f>G8246-H8246</x:f>
        <x:v>4</x:v>
      </x:c>
      <x:c r="J8246" s="6" t="n">
        <x:f>IF(OR(E8246="CANCELED",E8246="SUSPECTED_FRAUD",F8246="Shipping canceled"),0,1)</x:f>
        <x:v>1</x:v>
      </x:c>
      <x:c r="K8246" s="6" t="n">
        <x:f>IF(G8246&gt;H8246,1,0)</x:f>
        <x:v>1</x:v>
      </x:c>
      <x:c r="L8246" s="6" t="n">
        <x:f>J8246*K8246</x:f>
        <x:v>1</x:v>
      </x:c>
    </x:row>
    <x:row r="8247">
      <x:c r="A8247" s="1" t="n">
        <x:v>66043</x:v>
      </x:c>
      <x:c r="B8247" s="5" t="d">
        <x:v>2017-08-22T00:00:00.000Z</x:v>
      </x:c>
      <x:c r="C8247" s="1" t="str">
        <x:v>First Class</x:v>
      </x:c>
      <x:c r="D8247" s="1" t="str">
        <x:v>Europe</x:v>
      </x:c>
      <x:c r="E8247" s="1" t="str">
        <x:v>SUSPECTED_FRAUD</x:v>
      </x:c>
      <x:c r="F8247" s="1" t="str">
        <x:v>Shipping canceled</x:v>
      </x:c>
      <x:c r="G8247" s="6" t="n">
        <x:v>2</x:v>
      </x:c>
      <x:c r="H8247" s="6" t="n">
        <x:v>1</x:v>
      </x:c>
      <x:c r="I8247" s="6" t="n">
        <x:f>G8247-H8247</x:f>
        <x:v>1</x:v>
      </x:c>
      <x:c r="J8247" s="6" t="n">
        <x:f>IF(OR(E8247="CANCELED",E8247="SUSPECTED_FRAUD",F8247="Shipping canceled"),0,1)</x:f>
        <x:v>0</x:v>
      </x:c>
      <x:c r="K8247" s="6" t="n">
        <x:f>IF(G8247&gt;H8247,1,0)</x:f>
        <x:v>1</x:v>
      </x:c>
      <x:c r="L8247" s="6" t="n">
        <x:f>J8247*K8247</x:f>
        <x:v>0</x:v>
      </x:c>
    </x:row>
    <x:row r="8248">
      <x:c r="A8248" s="1" t="n">
        <x:v>66060</x:v>
      </x:c>
      <x:c r="B8248" s="5" t="d">
        <x:v>2017-08-22T00:00:00.000Z</x:v>
      </x:c>
      <x:c r="C8248" s="1" t="str">
        <x:v>Standard Class</x:v>
      </x:c>
      <x:c r="D8248" s="1" t="str">
        <x:v>Europe</x:v>
      </x:c>
      <x:c r="E8248" s="1" t="str">
        <x:v>PENDING_PAYMENT</x:v>
      </x:c>
      <x:c r="F8248" s="1" t="str">
        <x:v>Late delivery</x:v>
      </x:c>
      <x:c r="G8248" s="6" t="n">
        <x:v>6</x:v>
      </x:c>
      <x:c r="H8248" s="6" t="n">
        <x:v>4</x:v>
      </x:c>
      <x:c r="I8248" s="6" t="n">
        <x:f>G8248-H8248</x:f>
        <x:v>2</x:v>
      </x:c>
      <x:c r="J8248" s="6" t="n">
        <x:f>IF(OR(E8248="CANCELED",E8248="SUSPECTED_FRAUD",F8248="Shipping canceled"),0,1)</x:f>
        <x:v>1</x:v>
      </x:c>
      <x:c r="K8248" s="6" t="n">
        <x:f>IF(G8248&gt;H8248,1,0)</x:f>
        <x:v>1</x:v>
      </x:c>
      <x:c r="L8248" s="6" t="n">
        <x:f>J8248*K8248</x:f>
        <x:v>1</x:v>
      </x:c>
    </x:row>
    <x:row r="8249">
      <x:c r="A8249" s="1" t="n">
        <x:v>66064</x:v>
      </x:c>
      <x:c r="B8249" s="5" t="d">
        <x:v>2017-08-22T00:00:00.000Z</x:v>
      </x:c>
      <x:c r="C8249" s="1" t="str">
        <x:v>Standard Class</x:v>
      </x:c>
      <x:c r="D8249" s="1" t="str">
        <x:v>Europe</x:v>
      </x:c>
      <x:c r="E8249" s="1" t="str">
        <x:v>COMPLETE</x:v>
      </x:c>
      <x:c r="F8249" s="1" t="str">
        <x:v>Late delivery</x:v>
      </x:c>
      <x:c r="G8249" s="6" t="n">
        <x:v>5</x:v>
      </x:c>
      <x:c r="H8249" s="6" t="n">
        <x:v>4</x:v>
      </x:c>
      <x:c r="I8249" s="6" t="n">
        <x:f>G8249-H8249</x:f>
        <x:v>1</x:v>
      </x:c>
      <x:c r="J8249" s="6" t="n">
        <x:f>IF(OR(E8249="CANCELED",E8249="SUSPECTED_FRAUD",F8249="Shipping canceled"),0,1)</x:f>
        <x:v>1</x:v>
      </x:c>
      <x:c r="K8249" s="6" t="n">
        <x:f>IF(G8249&gt;H8249,1,0)</x:f>
        <x:v>1</x:v>
      </x:c>
      <x:c r="L8249" s="6" t="n">
        <x:f>J8249*K8249</x:f>
        <x:v>1</x:v>
      </x:c>
    </x:row>
    <x:row r="8250">
      <x:c r="A8250" s="1" t="n">
        <x:v>66074</x:v>
      </x:c>
      <x:c r="B8250" s="5" t="d">
        <x:v>2017-08-22T00:00:00.000Z</x:v>
      </x:c>
      <x:c r="C8250" s="1" t="str">
        <x:v>Standard Class</x:v>
      </x:c>
      <x:c r="D8250" s="1" t="str">
        <x:v>Europe</x:v>
      </x:c>
      <x:c r="E8250" s="1" t="str">
        <x:v>COMPLETE</x:v>
      </x:c>
      <x:c r="F8250" s="1" t="str">
        <x:v>Late delivery</x:v>
      </x:c>
      <x:c r="G8250" s="6" t="n">
        <x:v>5</x:v>
      </x:c>
      <x:c r="H8250" s="6" t="n">
        <x:v>4</x:v>
      </x:c>
      <x:c r="I8250" s="6" t="n">
        <x:f>G8250-H8250</x:f>
        <x:v>1</x:v>
      </x:c>
      <x:c r="J8250" s="6" t="n">
        <x:f>IF(OR(E8250="CANCELED",E8250="SUSPECTED_FRAUD",F8250="Shipping canceled"),0,1)</x:f>
        <x:v>1</x:v>
      </x:c>
      <x:c r="K8250" s="6" t="n">
        <x:f>IF(G8250&gt;H8250,1,0)</x:f>
        <x:v>1</x:v>
      </x:c>
      <x:c r="L8250" s="6" t="n">
        <x:f>J8250*K8250</x:f>
        <x:v>1</x:v>
      </x:c>
    </x:row>
    <x:row r="8251">
      <x:c r="A8251" s="1" t="n">
        <x:v>66078</x:v>
      </x:c>
      <x:c r="B8251" s="5" t="d">
        <x:v>2017-08-22T00:00:00.000Z</x:v>
      </x:c>
      <x:c r="C8251" s="1" t="str">
        <x:v>Standard Class</x:v>
      </x:c>
      <x:c r="D8251" s="1" t="str">
        <x:v>Europe</x:v>
      </x:c>
      <x:c r="E8251" s="1" t="str">
        <x:v>COMPLETE</x:v>
      </x:c>
      <x:c r="F8251" s="1" t="str">
        <x:v>Shipping on time</x:v>
      </x:c>
      <x:c r="G8251" s="6" t="n">
        <x:v>4</x:v>
      </x:c>
      <x:c r="H8251" s="6" t="n">
        <x:v>4</x:v>
      </x:c>
      <x:c r="I8251" s="6" t="n">
        <x:f>G8251-H8251</x:f>
        <x:v>0</x:v>
      </x:c>
      <x:c r="J8251" s="6" t="n">
        <x:f>IF(OR(E8251="CANCELED",E8251="SUSPECTED_FRAUD",F8251="Shipping canceled"),0,1)</x:f>
        <x:v>1</x:v>
      </x:c>
      <x:c r="K8251" s="6" t="n">
        <x:f>IF(G8251&gt;H8251,1,0)</x:f>
        <x:v>0</x:v>
      </x:c>
      <x:c r="L8251" s="6" t="n">
        <x:f>J8251*K8251</x:f>
        <x:v>0</x:v>
      </x:c>
    </x:row>
    <x:row r="8252">
      <x:c r="A8252" s="1" t="n">
        <x:v>66080</x:v>
      </x:c>
      <x:c r="B8252" s="5" t="d">
        <x:v>2017-08-22T00:00:00.000Z</x:v>
      </x:c>
      <x:c r="C8252" s="1" t="str">
        <x:v>Standard Class</x:v>
      </x:c>
      <x:c r="D8252" s="1" t="str">
        <x:v>Europe</x:v>
      </x:c>
      <x:c r="E8252" s="1" t="str">
        <x:v>COMPLETE</x:v>
      </x:c>
      <x:c r="F8252" s="1" t="str">
        <x:v>Late delivery</x:v>
      </x:c>
      <x:c r="G8252" s="6" t="n">
        <x:v>6</x:v>
      </x:c>
      <x:c r="H8252" s="6" t="n">
        <x:v>4</x:v>
      </x:c>
      <x:c r="I8252" s="6" t="n">
        <x:f>G8252-H8252</x:f>
        <x:v>2</x:v>
      </x:c>
      <x:c r="J8252" s="6" t="n">
        <x:f>IF(OR(E8252="CANCELED",E8252="SUSPECTED_FRAUD",F8252="Shipping canceled"),0,1)</x:f>
        <x:v>1</x:v>
      </x:c>
      <x:c r="K8252" s="6" t="n">
        <x:f>IF(G8252&gt;H8252,1,0)</x:f>
        <x:v>1</x:v>
      </x:c>
      <x:c r="L8252" s="6" t="n">
        <x:f>J8252*K8252</x:f>
        <x:v>1</x:v>
      </x:c>
    </x:row>
    <x:row r="8253">
      <x:c r="A8253" s="1" t="n">
        <x:v>66082</x:v>
      </x:c>
      <x:c r="B8253" s="5" t="d">
        <x:v>2017-08-22T00:00:00.000Z</x:v>
      </x:c>
      <x:c r="C8253" s="1" t="str">
        <x:v>Standard Class</x:v>
      </x:c>
      <x:c r="D8253" s="1" t="str">
        <x:v>Europe</x:v>
      </x:c>
      <x:c r="E8253" s="1" t="str">
        <x:v>COMPLETE</x:v>
      </x:c>
      <x:c r="F8253" s="1" t="str">
        <x:v>Advance shipping</x:v>
      </x:c>
      <x:c r="G8253" s="6" t="n">
        <x:v>3</x:v>
      </x:c>
      <x:c r="H8253" s="6" t="n">
        <x:v>4</x:v>
      </x:c>
      <x:c r="I8253" s="6" t="n">
        <x:f>G8253-H8253</x:f>
        <x:v>-1</x:v>
      </x:c>
      <x:c r="J8253" s="6" t="n">
        <x:f>IF(OR(E8253="CANCELED",E8253="SUSPECTED_FRAUD",F8253="Shipping canceled"),0,1)</x:f>
        <x:v>1</x:v>
      </x:c>
      <x:c r="K8253" s="6" t="n">
        <x:f>IF(G8253&gt;H8253,1,0)</x:f>
        <x:v>0</x:v>
      </x:c>
      <x:c r="L8253" s="6" t="n">
        <x:f>J8253*K8253</x:f>
        <x:v>0</x:v>
      </x:c>
    </x:row>
    <x:row r="8254">
      <x:c r="A8254" s="1" t="n">
        <x:v>66087</x:v>
      </x:c>
      <x:c r="B8254" s="5" t="d">
        <x:v>2017-08-22T00:00:00.000Z</x:v>
      </x:c>
      <x:c r="C8254" s="1" t="str">
        <x:v>First Class</x:v>
      </x:c>
      <x:c r="D8254" s="1" t="str">
        <x:v>Europe</x:v>
      </x:c>
      <x:c r="E8254" s="1" t="str">
        <x:v>CLOSED</x:v>
      </x:c>
      <x:c r="F8254" s="1" t="str">
        <x:v>Late delivery</x:v>
      </x:c>
      <x:c r="G8254" s="6" t="n">
        <x:v>2</x:v>
      </x:c>
      <x:c r="H8254" s="6" t="n">
        <x:v>1</x:v>
      </x:c>
      <x:c r="I8254" s="6" t="n">
        <x:f>G8254-H8254</x:f>
        <x:v>1</x:v>
      </x:c>
      <x:c r="J8254" s="6" t="n">
        <x:f>IF(OR(E8254="CANCELED",E8254="SUSPECTED_FRAUD",F8254="Shipping canceled"),0,1)</x:f>
        <x:v>1</x:v>
      </x:c>
      <x:c r="K8254" s="6" t="n">
        <x:f>IF(G8254&gt;H8254,1,0)</x:f>
        <x:v>1</x:v>
      </x:c>
      <x:c r="L8254" s="6" t="n">
        <x:f>J8254*K8254</x:f>
        <x:v>1</x:v>
      </x:c>
    </x:row>
    <x:row r="8255">
      <x:c r="A8255" s="1" t="n">
        <x:v>66117</x:v>
      </x:c>
      <x:c r="B8255" s="5" t="d">
        <x:v>2017-08-23T00:00:00.000Z</x:v>
      </x:c>
      <x:c r="C8255" s="1" t="str">
        <x:v>Standard Class</x:v>
      </x:c>
      <x:c r="D8255" s="1" t="str">
        <x:v>Europe</x:v>
      </x:c>
      <x:c r="E8255" s="1" t="str">
        <x:v>COMPLETE</x:v>
      </x:c>
      <x:c r="F8255" s="1" t="str">
        <x:v>Advance shipping</x:v>
      </x:c>
      <x:c r="G8255" s="6" t="n">
        <x:v>3</x:v>
      </x:c>
      <x:c r="H8255" s="6" t="n">
        <x:v>4</x:v>
      </x:c>
      <x:c r="I8255" s="6" t="n">
        <x:f>G8255-H8255</x:f>
        <x:v>-1</x:v>
      </x:c>
      <x:c r="J8255" s="6" t="n">
        <x:f>IF(OR(E8255="CANCELED",E8255="SUSPECTED_FRAUD",F8255="Shipping canceled"),0,1)</x:f>
        <x:v>1</x:v>
      </x:c>
      <x:c r="K8255" s="6" t="n">
        <x:f>IF(G8255&gt;H8255,1,0)</x:f>
        <x:v>0</x:v>
      </x:c>
      <x:c r="L8255" s="6" t="n">
        <x:f>J8255*K8255</x:f>
        <x:v>0</x:v>
      </x:c>
    </x:row>
    <x:row r="8256">
      <x:c r="A8256" s="1" t="n">
        <x:v>66135</x:v>
      </x:c>
      <x:c r="B8256" s="5" t="d">
        <x:v>2017-08-23T00:00:00.000Z</x:v>
      </x:c>
      <x:c r="C8256" s="1" t="str">
        <x:v>Standard Class</x:v>
      </x:c>
      <x:c r="D8256" s="1" t="str">
        <x:v>Europe</x:v>
      </x:c>
      <x:c r="E8256" s="1" t="str">
        <x:v>PROCESSING</x:v>
      </x:c>
      <x:c r="F8256" s="1" t="str">
        <x:v>Late delivery</x:v>
      </x:c>
      <x:c r="G8256" s="6" t="n">
        <x:v>6</x:v>
      </x:c>
      <x:c r="H8256" s="6" t="n">
        <x:v>4</x:v>
      </x:c>
      <x:c r="I8256" s="6" t="n">
        <x:f>G8256-H8256</x:f>
        <x:v>2</x:v>
      </x:c>
      <x:c r="J8256" s="6" t="n">
        <x:f>IF(OR(E8256="CANCELED",E8256="SUSPECTED_FRAUD",F8256="Shipping canceled"),0,1)</x:f>
        <x:v>1</x:v>
      </x:c>
      <x:c r="K8256" s="6" t="n">
        <x:f>IF(G8256&gt;H8256,1,0)</x:f>
        <x:v>1</x:v>
      </x:c>
      <x:c r="L8256" s="6" t="n">
        <x:f>J8256*K8256</x:f>
        <x:v>1</x:v>
      </x:c>
    </x:row>
    <x:row r="8257">
      <x:c r="A8257" s="1" t="n">
        <x:v>66145</x:v>
      </x:c>
      <x:c r="B8257" s="5" t="d">
        <x:v>2017-08-23T00:00:00.000Z</x:v>
      </x:c>
      <x:c r="C8257" s="1" t="str">
        <x:v>Standard Class</x:v>
      </x:c>
      <x:c r="D8257" s="1" t="str">
        <x:v>Europe</x:v>
      </x:c>
      <x:c r="E8257" s="1" t="str">
        <x:v>COMPLETE</x:v>
      </x:c>
      <x:c r="F8257" s="1" t="str">
        <x:v>Late delivery</x:v>
      </x:c>
      <x:c r="G8257" s="6" t="n">
        <x:v>6</x:v>
      </x:c>
      <x:c r="H8257" s="6" t="n">
        <x:v>4</x:v>
      </x:c>
      <x:c r="I8257" s="6" t="n">
        <x:f>G8257-H8257</x:f>
        <x:v>2</x:v>
      </x:c>
      <x:c r="J8257" s="6" t="n">
        <x:f>IF(OR(E8257="CANCELED",E8257="SUSPECTED_FRAUD",F8257="Shipping canceled"),0,1)</x:f>
        <x:v>1</x:v>
      </x:c>
      <x:c r="K8257" s="6" t="n">
        <x:f>IF(G8257&gt;H8257,1,0)</x:f>
        <x:v>1</x:v>
      </x:c>
      <x:c r="L8257" s="6" t="n">
        <x:f>J8257*K8257</x:f>
        <x:v>1</x:v>
      </x:c>
    </x:row>
    <x:row r="8258">
      <x:c r="A8258" s="1" t="n">
        <x:v>66149</x:v>
      </x:c>
      <x:c r="B8258" s="5" t="d">
        <x:v>2017-08-23T00:00:00.000Z</x:v>
      </x:c>
      <x:c r="C8258" s="1" t="str">
        <x:v>Standard Class</x:v>
      </x:c>
      <x:c r="D8258" s="1" t="str">
        <x:v>Europe</x:v>
      </x:c>
      <x:c r="E8258" s="1" t="str">
        <x:v>COMPLETE</x:v>
      </x:c>
      <x:c r="F8258" s="1" t="str">
        <x:v>Late delivery</x:v>
      </x:c>
      <x:c r="G8258" s="6" t="n">
        <x:v>5</x:v>
      </x:c>
      <x:c r="H8258" s="6" t="n">
        <x:v>4</x:v>
      </x:c>
      <x:c r="I8258" s="6" t="n">
        <x:f>G8258-H8258</x:f>
        <x:v>1</x:v>
      </x:c>
      <x:c r="J8258" s="6" t="n">
        <x:f>IF(OR(E8258="CANCELED",E8258="SUSPECTED_FRAUD",F8258="Shipping canceled"),0,1)</x:f>
        <x:v>1</x:v>
      </x:c>
      <x:c r="K8258" s="6" t="n">
        <x:f>IF(G8258&gt;H8258,1,0)</x:f>
        <x:v>1</x:v>
      </x:c>
      <x:c r="L8258" s="6" t="n">
        <x:f>J8258*K8258</x:f>
        <x:v>1</x:v>
      </x:c>
    </x:row>
    <x:row r="8259">
      <x:c r="A8259" s="1" t="n">
        <x:v>66153</x:v>
      </x:c>
      <x:c r="B8259" s="5" t="d">
        <x:v>2017-08-23T00:00:00.000Z</x:v>
      </x:c>
      <x:c r="C8259" s="1" t="str">
        <x:v>Standard Class</x:v>
      </x:c>
      <x:c r="D8259" s="1" t="str">
        <x:v>Europe</x:v>
      </x:c>
      <x:c r="E8259" s="1" t="str">
        <x:v>COMPLETE</x:v>
      </x:c>
      <x:c r="F8259" s="1" t="str">
        <x:v>Shipping on time</x:v>
      </x:c>
      <x:c r="G8259" s="6" t="n">
        <x:v>4</x:v>
      </x:c>
      <x:c r="H8259" s="6" t="n">
        <x:v>4</x:v>
      </x:c>
      <x:c r="I8259" s="6" t="n">
        <x:f>G8259-H8259</x:f>
        <x:v>0</x:v>
      </x:c>
      <x:c r="J8259" s="6" t="n">
        <x:f>IF(OR(E8259="CANCELED",E8259="SUSPECTED_FRAUD",F8259="Shipping canceled"),0,1)</x:f>
        <x:v>1</x:v>
      </x:c>
      <x:c r="K8259" s="6" t="n">
        <x:f>IF(G8259&gt;H8259,1,0)</x:f>
        <x:v>0</x:v>
      </x:c>
      <x:c r="L8259" s="6" t="n">
        <x:f>J8259*K8259</x:f>
        <x:v>0</x:v>
      </x:c>
    </x:row>
    <x:row r="8260">
      <x:c r="A8260" s="1" t="n">
        <x:v>66160</x:v>
      </x:c>
      <x:c r="B8260" s="5" t="d">
        <x:v>2017-08-23T00:00:00.000Z</x:v>
      </x:c>
      <x:c r="C8260" s="1" t="str">
        <x:v>Standard Class</x:v>
      </x:c>
      <x:c r="D8260" s="1" t="str">
        <x:v>Europe</x:v>
      </x:c>
      <x:c r="E8260" s="1" t="str">
        <x:v>COMPLETE</x:v>
      </x:c>
      <x:c r="F8260" s="1" t="str">
        <x:v>Late delivery</x:v>
      </x:c>
      <x:c r="G8260" s="6" t="n">
        <x:v>6</x:v>
      </x:c>
      <x:c r="H8260" s="6" t="n">
        <x:v>4</x:v>
      </x:c>
      <x:c r="I8260" s="6" t="n">
        <x:f>G8260-H8260</x:f>
        <x:v>2</x:v>
      </x:c>
      <x:c r="J8260" s="6" t="n">
        <x:f>IF(OR(E8260="CANCELED",E8260="SUSPECTED_FRAUD",F8260="Shipping canceled"),0,1)</x:f>
        <x:v>1</x:v>
      </x:c>
      <x:c r="K8260" s="6" t="n">
        <x:f>IF(G8260&gt;H8260,1,0)</x:f>
        <x:v>1</x:v>
      </x:c>
      <x:c r="L8260" s="6" t="n">
        <x:f>J8260*K8260</x:f>
        <x:v>1</x:v>
      </x:c>
    </x:row>
    <x:row r="8261">
      <x:c r="A8261" s="1" t="n">
        <x:v>66166</x:v>
      </x:c>
      <x:c r="B8261" s="5" t="d">
        <x:v>2017-08-23T00:00:00.000Z</x:v>
      </x:c>
      <x:c r="C8261" s="1" t="str">
        <x:v>Standard Class</x:v>
      </x:c>
      <x:c r="D8261" s="1" t="str">
        <x:v>Europe</x:v>
      </x:c>
      <x:c r="E8261" s="1" t="str">
        <x:v>COMPLETE</x:v>
      </x:c>
      <x:c r="F8261" s="1" t="str">
        <x:v>Advance shipping</x:v>
      </x:c>
      <x:c r="G8261" s="6" t="n">
        <x:v>2</x:v>
      </x:c>
      <x:c r="H8261" s="6" t="n">
        <x:v>4</x:v>
      </x:c>
      <x:c r="I8261" s="6" t="n">
        <x:f>G8261-H8261</x:f>
        <x:v>-2</x:v>
      </x:c>
      <x:c r="J8261" s="6" t="n">
        <x:f>IF(OR(E8261="CANCELED",E8261="SUSPECTED_FRAUD",F8261="Shipping canceled"),0,1)</x:f>
        <x:v>1</x:v>
      </x:c>
      <x:c r="K8261" s="6" t="n">
        <x:f>IF(G8261&gt;H8261,1,0)</x:f>
        <x:v>0</x:v>
      </x:c>
      <x:c r="L8261" s="6" t="n">
        <x:f>J8261*K8261</x:f>
        <x:v>0</x:v>
      </x:c>
    </x:row>
    <x:row r="8262">
      <x:c r="A8262" s="1" t="n">
        <x:v>66173</x:v>
      </x:c>
      <x:c r="B8262" s="5" t="d">
        <x:v>2017-08-23T00:00:00.000Z</x:v>
      </x:c>
      <x:c r="C8262" s="1" t="str">
        <x:v>Standard Class</x:v>
      </x:c>
      <x:c r="D8262" s="1" t="str">
        <x:v>Europe</x:v>
      </x:c>
      <x:c r="E8262" s="1" t="str">
        <x:v>COMPLETE</x:v>
      </x:c>
      <x:c r="F8262" s="1" t="str">
        <x:v>Shipping on time</x:v>
      </x:c>
      <x:c r="G8262" s="6" t="n">
        <x:v>4</x:v>
      </x:c>
      <x:c r="H8262" s="6" t="n">
        <x:v>4</x:v>
      </x:c>
      <x:c r="I8262" s="6" t="n">
        <x:f>G8262-H8262</x:f>
        <x:v>0</x:v>
      </x:c>
      <x:c r="J8262" s="6" t="n">
        <x:f>IF(OR(E8262="CANCELED",E8262="SUSPECTED_FRAUD",F8262="Shipping canceled"),0,1)</x:f>
        <x:v>1</x:v>
      </x:c>
      <x:c r="K8262" s="6" t="n">
        <x:f>IF(G8262&gt;H8262,1,0)</x:f>
        <x:v>0</x:v>
      </x:c>
      <x:c r="L8262" s="6" t="n">
        <x:f>J8262*K8262</x:f>
        <x:v>0</x:v>
      </x:c>
    </x:row>
    <x:row r="8263">
      <x:c r="A8263" s="1" t="n">
        <x:v>66174</x:v>
      </x:c>
      <x:c r="B8263" s="5" t="d">
        <x:v>2017-08-23T00:00:00.000Z</x:v>
      </x:c>
      <x:c r="C8263" s="1" t="str">
        <x:v>Standard Class</x:v>
      </x:c>
      <x:c r="D8263" s="1" t="str">
        <x:v>Europe</x:v>
      </x:c>
      <x:c r="E8263" s="1" t="str">
        <x:v>COMPLETE</x:v>
      </x:c>
      <x:c r="F8263" s="1" t="str">
        <x:v>Late delivery</x:v>
      </x:c>
      <x:c r="G8263" s="6" t="n">
        <x:v>5</x:v>
      </x:c>
      <x:c r="H8263" s="6" t="n">
        <x:v>4</x:v>
      </x:c>
      <x:c r="I8263" s="6" t="n">
        <x:f>G8263-H8263</x:f>
        <x:v>1</x:v>
      </x:c>
      <x:c r="J8263" s="6" t="n">
        <x:f>IF(OR(E8263="CANCELED",E8263="SUSPECTED_FRAUD",F8263="Shipping canceled"),0,1)</x:f>
        <x:v>1</x:v>
      </x:c>
      <x:c r="K8263" s="6" t="n">
        <x:f>IF(G8263&gt;H8263,1,0)</x:f>
        <x:v>1</x:v>
      </x:c>
      <x:c r="L8263" s="6" t="n">
        <x:f>J8263*K8263</x:f>
        <x:v>1</x:v>
      </x:c>
    </x:row>
    <x:row r="8264">
      <x:c r="A8264" s="1" t="n">
        <x:v>66177</x:v>
      </x:c>
      <x:c r="B8264" s="5" t="d">
        <x:v>2017-08-24T00:00:00.000Z</x:v>
      </x:c>
      <x:c r="C8264" s="1" t="str">
        <x:v>First Class</x:v>
      </x:c>
      <x:c r="D8264" s="1" t="str">
        <x:v>Europe</x:v>
      </x:c>
      <x:c r="E8264" s="1" t="str">
        <x:v>PENDING_PAYMENT</x:v>
      </x:c>
      <x:c r="F8264" s="1" t="str">
        <x:v>Late delivery</x:v>
      </x:c>
      <x:c r="G8264" s="6" t="n">
        <x:v>2</x:v>
      </x:c>
      <x:c r="H8264" s="6" t="n">
        <x:v>1</x:v>
      </x:c>
      <x:c r="I8264" s="6" t="n">
        <x:f>G8264-H8264</x:f>
        <x:v>1</x:v>
      </x:c>
      <x:c r="J8264" s="6" t="n">
        <x:f>IF(OR(E8264="CANCELED",E8264="SUSPECTED_FRAUD",F8264="Shipping canceled"),0,1)</x:f>
        <x:v>1</x:v>
      </x:c>
      <x:c r="K8264" s="6" t="n">
        <x:f>IF(G8264&gt;H8264,1,0)</x:f>
        <x:v>1</x:v>
      </x:c>
      <x:c r="L8264" s="6" t="n">
        <x:f>J8264*K8264</x:f>
        <x:v>1</x:v>
      </x:c>
    </x:row>
    <x:row r="8265">
      <x:c r="A8265" s="1" t="n">
        <x:v>66185</x:v>
      </x:c>
      <x:c r="B8265" s="5" t="d">
        <x:v>2017-08-24T00:00:00.000Z</x:v>
      </x:c>
      <x:c r="C8265" s="1" t="str">
        <x:v>Standard Class</x:v>
      </x:c>
      <x:c r="D8265" s="1" t="str">
        <x:v>Europe</x:v>
      </x:c>
      <x:c r="E8265" s="1" t="str">
        <x:v>ON_HOLD</x:v>
      </x:c>
      <x:c r="F8265" s="1" t="str">
        <x:v>Late delivery</x:v>
      </x:c>
      <x:c r="G8265" s="6" t="n">
        <x:v>6</x:v>
      </x:c>
      <x:c r="H8265" s="6" t="n">
        <x:v>4</x:v>
      </x:c>
      <x:c r="I8265" s="6" t="n">
        <x:f>G8265-H8265</x:f>
        <x:v>2</x:v>
      </x:c>
      <x:c r="J8265" s="6" t="n">
        <x:f>IF(OR(E8265="CANCELED",E8265="SUSPECTED_FRAUD",F8265="Shipping canceled"),0,1)</x:f>
        <x:v>1</x:v>
      </x:c>
      <x:c r="K8265" s="6" t="n">
        <x:f>IF(G8265&gt;H8265,1,0)</x:f>
        <x:v>1</x:v>
      </x:c>
      <x:c r="L8265" s="6" t="n">
        <x:f>J8265*K8265</x:f>
        <x:v>1</x:v>
      </x:c>
    </x:row>
    <x:row r="8266">
      <x:c r="A8266" s="1" t="n">
        <x:v>66217</x:v>
      </x:c>
      <x:c r="B8266" s="5" t="d">
        <x:v>2017-08-24T00:00:00.000Z</x:v>
      </x:c>
      <x:c r="C8266" s="1" t="str">
        <x:v>Standard Class</x:v>
      </x:c>
      <x:c r="D8266" s="1" t="str">
        <x:v>Europe</x:v>
      </x:c>
      <x:c r="E8266" s="1" t="str">
        <x:v>COMPLETE</x:v>
      </x:c>
      <x:c r="F8266" s="1" t="str">
        <x:v>Advance shipping</x:v>
      </x:c>
      <x:c r="G8266" s="6" t="n">
        <x:v>3</x:v>
      </x:c>
      <x:c r="H8266" s="6" t="n">
        <x:v>4</x:v>
      </x:c>
      <x:c r="I8266" s="6" t="n">
        <x:f>G8266-H8266</x:f>
        <x:v>-1</x:v>
      </x:c>
      <x:c r="J8266" s="6" t="n">
        <x:f>IF(OR(E8266="CANCELED",E8266="SUSPECTED_FRAUD",F8266="Shipping canceled"),0,1)</x:f>
        <x:v>1</x:v>
      </x:c>
      <x:c r="K8266" s="6" t="n">
        <x:f>IF(G8266&gt;H8266,1,0)</x:f>
        <x:v>0</x:v>
      </x:c>
      <x:c r="L8266" s="6" t="n">
        <x:f>J8266*K8266</x:f>
        <x:v>0</x:v>
      </x:c>
    </x:row>
    <x:row r="8267">
      <x:c r="A8267" s="1" t="n">
        <x:v>66219</x:v>
      </x:c>
      <x:c r="B8267" s="5" t="d">
        <x:v>2017-08-24T00:00:00.000Z</x:v>
      </x:c>
      <x:c r="C8267" s="1" t="str">
        <x:v>Standard Class</x:v>
      </x:c>
      <x:c r="D8267" s="1" t="str">
        <x:v>Europe</x:v>
      </x:c>
      <x:c r="E8267" s="1" t="str">
        <x:v>COMPLETE</x:v>
      </x:c>
      <x:c r="F8267" s="1" t="str">
        <x:v>Late delivery</x:v>
      </x:c>
      <x:c r="G8267" s="6" t="n">
        <x:v>5</x:v>
      </x:c>
      <x:c r="H8267" s="6" t="n">
        <x:v>4</x:v>
      </x:c>
      <x:c r="I8267" s="6" t="n">
        <x:f>G8267-H8267</x:f>
        <x:v>1</x:v>
      </x:c>
      <x:c r="J8267" s="6" t="n">
        <x:f>IF(OR(E8267="CANCELED",E8267="SUSPECTED_FRAUD",F8267="Shipping canceled"),0,1)</x:f>
        <x:v>1</x:v>
      </x:c>
      <x:c r="K8267" s="6" t="n">
        <x:f>IF(G8267&gt;H8267,1,0)</x:f>
        <x:v>1</x:v>
      </x:c>
      <x:c r="L8267" s="6" t="n">
        <x:f>J8267*K8267</x:f>
        <x:v>1</x:v>
      </x:c>
    </x:row>
    <x:row r="8268">
      <x:c r="A8268" s="1" t="n">
        <x:v>66221</x:v>
      </x:c>
      <x:c r="B8268" s="5" t="d">
        <x:v>2017-08-24T00:00:00.000Z</x:v>
      </x:c>
      <x:c r="C8268" s="1" t="str">
        <x:v>Standard Class</x:v>
      </x:c>
      <x:c r="D8268" s="1" t="str">
        <x:v>Europe</x:v>
      </x:c>
      <x:c r="E8268" s="1" t="str">
        <x:v>COMPLETE</x:v>
      </x:c>
      <x:c r="F8268" s="1" t="str">
        <x:v>Advance shipping</x:v>
      </x:c>
      <x:c r="G8268" s="6" t="n">
        <x:v>2</x:v>
      </x:c>
      <x:c r="H8268" s="6" t="n">
        <x:v>4</x:v>
      </x:c>
      <x:c r="I8268" s="6" t="n">
        <x:f>G8268-H8268</x:f>
        <x:v>-2</x:v>
      </x:c>
      <x:c r="J8268" s="6" t="n">
        <x:f>IF(OR(E8268="CANCELED",E8268="SUSPECTED_FRAUD",F8268="Shipping canceled"),0,1)</x:f>
        <x:v>1</x:v>
      </x:c>
      <x:c r="K8268" s="6" t="n">
        <x:f>IF(G8268&gt;H8268,1,0)</x:f>
        <x:v>0</x:v>
      </x:c>
      <x:c r="L8268" s="6" t="n">
        <x:f>J8268*K8268</x:f>
        <x:v>0</x:v>
      </x:c>
    </x:row>
    <x:row r="8269">
      <x:c r="A8269" s="1" t="n">
        <x:v>66229</x:v>
      </x:c>
      <x:c r="B8269" s="5" t="d">
        <x:v>2017-08-24T00:00:00.000Z</x:v>
      </x:c>
      <x:c r="C8269" s="1" t="str">
        <x:v>Standard Class</x:v>
      </x:c>
      <x:c r="D8269" s="1" t="str">
        <x:v>Europe</x:v>
      </x:c>
      <x:c r="E8269" s="1" t="str">
        <x:v>PENDING</x:v>
      </x:c>
      <x:c r="F8269" s="1" t="str">
        <x:v>Late delivery</x:v>
      </x:c>
      <x:c r="G8269" s="6" t="n">
        <x:v>5</x:v>
      </x:c>
      <x:c r="H8269" s="6" t="n">
        <x:v>4</x:v>
      </x:c>
      <x:c r="I8269" s="6" t="n">
        <x:f>G8269-H8269</x:f>
        <x:v>1</x:v>
      </x:c>
      <x:c r="J8269" s="6" t="n">
        <x:f>IF(OR(E8269="CANCELED",E8269="SUSPECTED_FRAUD",F8269="Shipping canceled"),0,1)</x:f>
        <x:v>1</x:v>
      </x:c>
      <x:c r="K8269" s="6" t="n">
        <x:f>IF(G8269&gt;H8269,1,0)</x:f>
        <x:v>1</x:v>
      </x:c>
      <x:c r="L8269" s="6" t="n">
        <x:f>J8269*K8269</x:f>
        <x:v>1</x:v>
      </x:c>
    </x:row>
    <x:row r="8270">
      <x:c r="A8270" s="1" t="n">
        <x:v>66260</x:v>
      </x:c>
      <x:c r="B8270" s="5" t="d">
        <x:v>2017-08-25T00:00:00.000Z</x:v>
      </x:c>
      <x:c r="C8270" s="1" t="str">
        <x:v>Standard Class</x:v>
      </x:c>
      <x:c r="D8270" s="1" t="str">
        <x:v>Europe</x:v>
      </x:c>
      <x:c r="E8270" s="1" t="str">
        <x:v>COMPLETE</x:v>
      </x:c>
      <x:c r="F8270" s="1" t="str">
        <x:v>Late delivery</x:v>
      </x:c>
      <x:c r="G8270" s="6" t="n">
        <x:v>6</x:v>
      </x:c>
      <x:c r="H8270" s="6" t="n">
        <x:v>4</x:v>
      </x:c>
      <x:c r="I8270" s="6" t="n">
        <x:f>G8270-H8270</x:f>
        <x:v>2</x:v>
      </x:c>
      <x:c r="J8270" s="6" t="n">
        <x:f>IF(OR(E8270="CANCELED",E8270="SUSPECTED_FRAUD",F8270="Shipping canceled"),0,1)</x:f>
        <x:v>1</x:v>
      </x:c>
      <x:c r="K8270" s="6" t="n">
        <x:f>IF(G8270&gt;H8270,1,0)</x:f>
        <x:v>1</x:v>
      </x:c>
      <x:c r="L8270" s="6" t="n">
        <x:f>J8270*K8270</x:f>
        <x:v>1</x:v>
      </x:c>
    </x:row>
    <x:row r="8271">
      <x:c r="A8271" s="1" t="n">
        <x:v>66266</x:v>
      </x:c>
      <x:c r="B8271" s="5" t="d">
        <x:v>2017-08-25T00:00:00.000Z</x:v>
      </x:c>
      <x:c r="C8271" s="1" t="str">
        <x:v>Standard Class</x:v>
      </x:c>
      <x:c r="D8271" s="1" t="str">
        <x:v>Europe</x:v>
      </x:c>
      <x:c r="E8271" s="1" t="str">
        <x:v>CANCELED</x:v>
      </x:c>
      <x:c r="F8271" s="1" t="str">
        <x:v>Shipping canceled</x:v>
      </x:c>
      <x:c r="G8271" s="6" t="n">
        <x:v>2</x:v>
      </x:c>
      <x:c r="H8271" s="6" t="n">
        <x:v>4</x:v>
      </x:c>
      <x:c r="I8271" s="6" t="n">
        <x:f>G8271-H8271</x:f>
        <x:v>-2</x:v>
      </x:c>
      <x:c r="J8271" s="6" t="n">
        <x:f>IF(OR(E8271="CANCELED",E8271="SUSPECTED_FRAUD",F8271="Shipping canceled"),0,1)</x:f>
        <x:v>0</x:v>
      </x:c>
      <x:c r="K8271" s="6" t="n">
        <x:f>IF(G8271&gt;H8271,1,0)</x:f>
        <x:v>0</x:v>
      </x:c>
      <x:c r="L8271" s="6" t="n">
        <x:f>J8271*K8271</x:f>
        <x:v>0</x:v>
      </x:c>
    </x:row>
    <x:row r="8272">
      <x:c r="A8272" s="1" t="n">
        <x:v>66269</x:v>
      </x:c>
      <x:c r="B8272" s="5" t="d">
        <x:v>2017-08-25T00:00:00.000Z</x:v>
      </x:c>
      <x:c r="C8272" s="1" t="str">
        <x:v>Standard Class</x:v>
      </x:c>
      <x:c r="D8272" s="1" t="str">
        <x:v>Europe</x:v>
      </x:c>
      <x:c r="E8272" s="1" t="str">
        <x:v>CLOSED</x:v>
      </x:c>
      <x:c r="F8272" s="1" t="str">
        <x:v>Late delivery</x:v>
      </x:c>
      <x:c r="G8272" s="6" t="n">
        <x:v>5</x:v>
      </x:c>
      <x:c r="H8272" s="6" t="n">
        <x:v>4</x:v>
      </x:c>
      <x:c r="I8272" s="6" t="n">
        <x:f>G8272-H8272</x:f>
        <x:v>1</x:v>
      </x:c>
      <x:c r="J8272" s="6" t="n">
        <x:f>IF(OR(E8272="CANCELED",E8272="SUSPECTED_FRAUD",F8272="Shipping canceled"),0,1)</x:f>
        <x:v>1</x:v>
      </x:c>
      <x:c r="K8272" s="6" t="n">
        <x:f>IF(G8272&gt;H8272,1,0)</x:f>
        <x:v>1</x:v>
      </x:c>
      <x:c r="L8272" s="6" t="n">
        <x:f>J8272*K8272</x:f>
        <x:v>1</x:v>
      </x:c>
    </x:row>
    <x:row r="8273">
      <x:c r="A8273" s="1" t="n">
        <x:v>66275</x:v>
      </x:c>
      <x:c r="B8273" s="5" t="d">
        <x:v>2017-08-25T00:00:00.000Z</x:v>
      </x:c>
      <x:c r="C8273" s="1" t="str">
        <x:v>Second Class</x:v>
      </x:c>
      <x:c r="D8273" s="1" t="str">
        <x:v>Europe</x:v>
      </x:c>
      <x:c r="E8273" s="1" t="str">
        <x:v>PENDING_PAYMENT</x:v>
      </x:c>
      <x:c r="F8273" s="1" t="str">
        <x:v>Late delivery</x:v>
      </x:c>
      <x:c r="G8273" s="6" t="n">
        <x:v>6</x:v>
      </x:c>
      <x:c r="H8273" s="6" t="n">
        <x:v>2</x:v>
      </x:c>
      <x:c r="I8273" s="6" t="n">
        <x:f>G8273-H8273</x:f>
        <x:v>4</x:v>
      </x:c>
      <x:c r="J8273" s="6" t="n">
        <x:f>IF(OR(E8273="CANCELED",E8273="SUSPECTED_FRAUD",F8273="Shipping canceled"),0,1)</x:f>
        <x:v>1</x:v>
      </x:c>
      <x:c r="K8273" s="6" t="n">
        <x:f>IF(G8273&gt;H8273,1,0)</x:f>
        <x:v>1</x:v>
      </x:c>
      <x:c r="L8273" s="6" t="n">
        <x:f>J8273*K8273</x:f>
        <x:v>1</x:v>
      </x:c>
    </x:row>
    <x:row r="8274">
      <x:c r="A8274" s="1" t="n">
        <x:v>66289</x:v>
      </x:c>
      <x:c r="B8274" s="5" t="d">
        <x:v>2017-08-25T00:00:00.000Z</x:v>
      </x:c>
      <x:c r="C8274" s="1" t="str">
        <x:v>Second Class</x:v>
      </x:c>
      <x:c r="D8274" s="1" t="str">
        <x:v>Europe</x:v>
      </x:c>
      <x:c r="E8274" s="1" t="str">
        <x:v>COMPLETE</x:v>
      </x:c>
      <x:c r="F8274" s="1" t="str">
        <x:v>Late delivery</x:v>
      </x:c>
      <x:c r="G8274" s="6" t="n">
        <x:v>5</x:v>
      </x:c>
      <x:c r="H8274" s="6" t="n">
        <x:v>2</x:v>
      </x:c>
      <x:c r="I8274" s="6" t="n">
        <x:f>G8274-H8274</x:f>
        <x:v>3</x:v>
      </x:c>
      <x:c r="J8274" s="6" t="n">
        <x:f>IF(OR(E8274="CANCELED",E8274="SUSPECTED_FRAUD",F8274="Shipping canceled"),0,1)</x:f>
        <x:v>1</x:v>
      </x:c>
      <x:c r="K8274" s="6" t="n">
        <x:f>IF(G8274&gt;H8274,1,0)</x:f>
        <x:v>1</x:v>
      </x:c>
      <x:c r="L8274" s="6" t="n">
        <x:f>J8274*K8274</x:f>
        <x:v>1</x:v>
      </x:c>
    </x:row>
    <x:row r="8275">
      <x:c r="A8275" s="1" t="n">
        <x:v>66293</x:v>
      </x:c>
      <x:c r="B8275" s="5" t="d">
        <x:v>2017-08-25T00:00:00.000Z</x:v>
      </x:c>
      <x:c r="C8275" s="1" t="str">
        <x:v>Standard Class</x:v>
      </x:c>
      <x:c r="D8275" s="1" t="str">
        <x:v>Europe</x:v>
      </x:c>
      <x:c r="E8275" s="1" t="str">
        <x:v>COMPLETE</x:v>
      </x:c>
      <x:c r="F8275" s="1" t="str">
        <x:v>Shipping on time</x:v>
      </x:c>
      <x:c r="G8275" s="6" t="n">
        <x:v>4</x:v>
      </x:c>
      <x:c r="H8275" s="6" t="n">
        <x:v>4</x:v>
      </x:c>
      <x:c r="I8275" s="6" t="n">
        <x:f>G8275-H8275</x:f>
        <x:v>0</x:v>
      </x:c>
      <x:c r="J8275" s="6" t="n">
        <x:f>IF(OR(E8275="CANCELED",E8275="SUSPECTED_FRAUD",F8275="Shipping canceled"),0,1)</x:f>
        <x:v>1</x:v>
      </x:c>
      <x:c r="K8275" s="6" t="n">
        <x:f>IF(G8275&gt;H8275,1,0)</x:f>
        <x:v>0</x:v>
      </x:c>
      <x:c r="L8275" s="6" t="n">
        <x:f>J8275*K8275</x:f>
        <x:v>0</x:v>
      </x:c>
    </x:row>
    <x:row r="8276">
      <x:c r="A8276" s="1" t="n">
        <x:v>66302</x:v>
      </x:c>
      <x:c r="B8276" s="5" t="d">
        <x:v>2017-08-25T00:00:00.000Z</x:v>
      </x:c>
      <x:c r="C8276" s="1" t="str">
        <x:v>Standard Class</x:v>
      </x:c>
      <x:c r="D8276" s="1" t="str">
        <x:v>Europe</x:v>
      </x:c>
      <x:c r="E8276" s="1" t="str">
        <x:v>COMPLETE</x:v>
      </x:c>
      <x:c r="F8276" s="1" t="str">
        <x:v>Advance shipping</x:v>
      </x:c>
      <x:c r="G8276" s="6" t="n">
        <x:v>3</x:v>
      </x:c>
      <x:c r="H8276" s="6" t="n">
        <x:v>4</x:v>
      </x:c>
      <x:c r="I8276" s="6" t="n">
        <x:f>G8276-H8276</x:f>
        <x:v>-1</x:v>
      </x:c>
      <x:c r="J8276" s="6" t="n">
        <x:f>IF(OR(E8276="CANCELED",E8276="SUSPECTED_FRAUD",F8276="Shipping canceled"),0,1)</x:f>
        <x:v>1</x:v>
      </x:c>
      <x:c r="K8276" s="6" t="n">
        <x:f>IF(G8276&gt;H8276,1,0)</x:f>
        <x:v>0</x:v>
      </x:c>
      <x:c r="L8276" s="6" t="n">
        <x:f>J8276*K8276</x:f>
        <x:v>0</x:v>
      </x:c>
    </x:row>
    <x:row r="8277">
      <x:c r="A8277" s="1" t="n">
        <x:v>66315</x:v>
      </x:c>
      <x:c r="B8277" s="5" t="d">
        <x:v>2017-08-26T00:00:00.000Z</x:v>
      </x:c>
      <x:c r="C8277" s="1" t="str">
        <x:v>Second Class</x:v>
      </x:c>
      <x:c r="D8277" s="1" t="str">
        <x:v>Europe</x:v>
      </x:c>
      <x:c r="E8277" s="1" t="str">
        <x:v>COMPLETE</x:v>
      </x:c>
      <x:c r="F8277" s="1" t="str">
        <x:v>Late delivery</x:v>
      </x:c>
      <x:c r="G8277" s="6" t="n">
        <x:v>6</x:v>
      </x:c>
      <x:c r="H8277" s="6" t="n">
        <x:v>2</x:v>
      </x:c>
      <x:c r="I8277" s="6" t="n">
        <x:f>G8277-H8277</x:f>
        <x:v>4</x:v>
      </x:c>
      <x:c r="J8277" s="6" t="n">
        <x:f>IF(OR(E8277="CANCELED",E8277="SUSPECTED_FRAUD",F8277="Shipping canceled"),0,1)</x:f>
        <x:v>1</x:v>
      </x:c>
      <x:c r="K8277" s="6" t="n">
        <x:f>IF(G8277&gt;H8277,1,0)</x:f>
        <x:v>1</x:v>
      </x:c>
      <x:c r="L8277" s="6" t="n">
        <x:f>J8277*K8277</x:f>
        <x:v>1</x:v>
      </x:c>
    </x:row>
    <x:row r="8278">
      <x:c r="A8278" s="1" t="n">
        <x:v>66316</x:v>
      </x:c>
      <x:c r="B8278" s="5" t="d">
        <x:v>2017-08-26T00:00:00.000Z</x:v>
      </x:c>
      <x:c r="C8278" s="1" t="str">
        <x:v>Second Class</x:v>
      </x:c>
      <x:c r="D8278" s="1" t="str">
        <x:v>Europe</x:v>
      </x:c>
      <x:c r="E8278" s="1" t="str">
        <x:v>CLOSED</x:v>
      </x:c>
      <x:c r="F8278" s="1" t="str">
        <x:v>Shipping on time</x:v>
      </x:c>
      <x:c r="G8278" s="6" t="n">
        <x:v>2</x:v>
      </x:c>
      <x:c r="H8278" s="6" t="n">
        <x:v>2</x:v>
      </x:c>
      <x:c r="I8278" s="6" t="n">
        <x:f>G8278-H8278</x:f>
        <x:v>0</x:v>
      </x:c>
      <x:c r="J8278" s="6" t="n">
        <x:f>IF(OR(E8278="CANCELED",E8278="SUSPECTED_FRAUD",F8278="Shipping canceled"),0,1)</x:f>
        <x:v>1</x:v>
      </x:c>
      <x:c r="K8278" s="6" t="n">
        <x:f>IF(G8278&gt;H8278,1,0)</x:f>
        <x:v>0</x:v>
      </x:c>
      <x:c r="L8278" s="6" t="n">
        <x:f>J8278*K8278</x:f>
        <x:v>0</x:v>
      </x:c>
    </x:row>
    <x:row r="8279">
      <x:c r="A8279" s="1" t="n">
        <x:v>66325</x:v>
      </x:c>
      <x:c r="B8279" s="5" t="d">
        <x:v>2017-08-26T00:00:00.000Z</x:v>
      </x:c>
      <x:c r="C8279" s="1" t="str">
        <x:v>Standard Class</x:v>
      </x:c>
      <x:c r="D8279" s="1" t="str">
        <x:v>Europe</x:v>
      </x:c>
      <x:c r="E8279" s="1" t="str">
        <x:v>SUSPECTED_FRAUD</x:v>
      </x:c>
      <x:c r="F8279" s="1" t="str">
        <x:v>Shipping canceled</x:v>
      </x:c>
      <x:c r="G8279" s="6" t="n">
        <x:v>6</x:v>
      </x:c>
      <x:c r="H8279" s="6" t="n">
        <x:v>4</x:v>
      </x:c>
      <x:c r="I8279" s="6" t="n">
        <x:f>G8279-H8279</x:f>
        <x:v>2</x:v>
      </x:c>
      <x:c r="J8279" s="6" t="n">
        <x:f>IF(OR(E8279="CANCELED",E8279="SUSPECTED_FRAUD",F8279="Shipping canceled"),0,1)</x:f>
        <x:v>0</x:v>
      </x:c>
      <x:c r="K8279" s="6" t="n">
        <x:f>IF(G8279&gt;H8279,1,0)</x:f>
        <x:v>1</x:v>
      </x:c>
      <x:c r="L8279" s="6" t="n">
        <x:f>J8279*K8279</x:f>
        <x:v>0</x:v>
      </x:c>
    </x:row>
    <x:row r="8280">
      <x:c r="A8280" s="1" t="n">
        <x:v>66329</x:v>
      </x:c>
      <x:c r="B8280" s="5" t="d">
        <x:v>2017-08-26T00:00:00.000Z</x:v>
      </x:c>
      <x:c r="C8280" s="1" t="str">
        <x:v>Standard Class</x:v>
      </x:c>
      <x:c r="D8280" s="1" t="str">
        <x:v>Europe</x:v>
      </x:c>
      <x:c r="E8280" s="1" t="str">
        <x:v>COMPLETE</x:v>
      </x:c>
      <x:c r="F8280" s="1" t="str">
        <x:v>Late delivery</x:v>
      </x:c>
      <x:c r="G8280" s="6" t="n">
        <x:v>5</x:v>
      </x:c>
      <x:c r="H8280" s="6" t="n">
        <x:v>4</x:v>
      </x:c>
      <x:c r="I8280" s="6" t="n">
        <x:f>G8280-H8280</x:f>
        <x:v>1</x:v>
      </x:c>
      <x:c r="J8280" s="6" t="n">
        <x:f>IF(OR(E8280="CANCELED",E8280="SUSPECTED_FRAUD",F8280="Shipping canceled"),0,1)</x:f>
        <x:v>1</x:v>
      </x:c>
      <x:c r="K8280" s="6" t="n">
        <x:f>IF(G8280&gt;H8280,1,0)</x:f>
        <x:v>1</x:v>
      </x:c>
      <x:c r="L8280" s="6" t="n">
        <x:f>J8280*K8280</x:f>
        <x:v>1</x:v>
      </x:c>
    </x:row>
    <x:row r="8281">
      <x:c r="A8281" s="1" t="n">
        <x:v>66330</x:v>
      </x:c>
      <x:c r="B8281" s="5" t="d">
        <x:v>2017-08-26T00:00:00.000Z</x:v>
      </x:c>
      <x:c r="C8281" s="1" t="str">
        <x:v>Standard Class</x:v>
      </x:c>
      <x:c r="D8281" s="1" t="str">
        <x:v>Europe</x:v>
      </x:c>
      <x:c r="E8281" s="1" t="str">
        <x:v>PROCESSING</x:v>
      </x:c>
      <x:c r="F8281" s="1" t="str">
        <x:v>Late delivery</x:v>
      </x:c>
      <x:c r="G8281" s="6" t="n">
        <x:v>6</x:v>
      </x:c>
      <x:c r="H8281" s="6" t="n">
        <x:v>4</x:v>
      </x:c>
      <x:c r="I8281" s="6" t="n">
        <x:f>G8281-H8281</x:f>
        <x:v>2</x:v>
      </x:c>
      <x:c r="J8281" s="6" t="n">
        <x:f>IF(OR(E8281="CANCELED",E8281="SUSPECTED_FRAUD",F8281="Shipping canceled"),0,1)</x:f>
        <x:v>1</x:v>
      </x:c>
      <x:c r="K8281" s="6" t="n">
        <x:f>IF(G8281&gt;H8281,1,0)</x:f>
        <x:v>1</x:v>
      </x:c>
      <x:c r="L8281" s="6" t="n">
        <x:f>J8281*K8281</x:f>
        <x:v>1</x:v>
      </x:c>
    </x:row>
    <x:row r="8282">
      <x:c r="A8282" s="1" t="n">
        <x:v>66332</x:v>
      </x:c>
      <x:c r="B8282" s="5" t="d">
        <x:v>2017-08-26T00:00:00.000Z</x:v>
      </x:c>
      <x:c r="C8282" s="1" t="str">
        <x:v>Standard Class</x:v>
      </x:c>
      <x:c r="D8282" s="1" t="str">
        <x:v>Europe</x:v>
      </x:c>
      <x:c r="E8282" s="1" t="str">
        <x:v>PROCESSING</x:v>
      </x:c>
      <x:c r="F8282" s="1" t="str">
        <x:v>Advance shipping</x:v>
      </x:c>
      <x:c r="G8282" s="6" t="n">
        <x:v>3</x:v>
      </x:c>
      <x:c r="H8282" s="6" t="n">
        <x:v>4</x:v>
      </x:c>
      <x:c r="I8282" s="6" t="n">
        <x:f>G8282-H8282</x:f>
        <x:v>-1</x:v>
      </x:c>
      <x:c r="J8282" s="6" t="n">
        <x:f>IF(OR(E8282="CANCELED",E8282="SUSPECTED_FRAUD",F8282="Shipping canceled"),0,1)</x:f>
        <x:v>1</x:v>
      </x:c>
      <x:c r="K8282" s="6" t="n">
        <x:f>IF(G8282&gt;H8282,1,0)</x:f>
        <x:v>0</x:v>
      </x:c>
      <x:c r="L8282" s="6" t="n">
        <x:f>J8282*K8282</x:f>
        <x:v>0</x:v>
      </x:c>
    </x:row>
    <x:row r="8283">
      <x:c r="A8283" s="1" t="n">
        <x:v>66340</x:v>
      </x:c>
      <x:c r="B8283" s="5" t="d">
        <x:v>2017-08-26T00:00:00.000Z</x:v>
      </x:c>
      <x:c r="C8283" s="1" t="str">
        <x:v>Standard Class</x:v>
      </x:c>
      <x:c r="D8283" s="1" t="str">
        <x:v>Europe</x:v>
      </x:c>
      <x:c r="E8283" s="1" t="str">
        <x:v>COMPLETE</x:v>
      </x:c>
      <x:c r="F8283" s="1" t="str">
        <x:v>Late delivery</x:v>
      </x:c>
      <x:c r="G8283" s="6" t="n">
        <x:v>6</x:v>
      </x:c>
      <x:c r="H8283" s="6" t="n">
        <x:v>4</x:v>
      </x:c>
      <x:c r="I8283" s="6" t="n">
        <x:f>G8283-H8283</x:f>
        <x:v>2</x:v>
      </x:c>
      <x:c r="J8283" s="6" t="n">
        <x:f>IF(OR(E8283="CANCELED",E8283="SUSPECTED_FRAUD",F8283="Shipping canceled"),0,1)</x:f>
        <x:v>1</x:v>
      </x:c>
      <x:c r="K8283" s="6" t="n">
        <x:f>IF(G8283&gt;H8283,1,0)</x:f>
        <x:v>1</x:v>
      </x:c>
      <x:c r="L8283" s="6" t="n">
        <x:f>J8283*K8283</x:f>
        <x:v>1</x:v>
      </x:c>
    </x:row>
    <x:row r="8284">
      <x:c r="A8284" s="1" t="n">
        <x:v>66342</x:v>
      </x:c>
      <x:c r="B8284" s="5" t="d">
        <x:v>2017-08-26T00:00:00.000Z</x:v>
      </x:c>
      <x:c r="C8284" s="1" t="str">
        <x:v>First Class</x:v>
      </x:c>
      <x:c r="D8284" s="1" t="str">
        <x:v>Europe</x:v>
      </x:c>
      <x:c r="E8284" s="1" t="str">
        <x:v>PENDING_PAYMENT</x:v>
      </x:c>
      <x:c r="F8284" s="1" t="str">
        <x:v>Late delivery</x:v>
      </x:c>
      <x:c r="G8284" s="6" t="n">
        <x:v>2</x:v>
      </x:c>
      <x:c r="H8284" s="6" t="n">
        <x:v>1</x:v>
      </x:c>
      <x:c r="I8284" s="6" t="n">
        <x:f>G8284-H8284</x:f>
        <x:v>1</x:v>
      </x:c>
      <x:c r="J8284" s="6" t="n">
        <x:f>IF(OR(E8284="CANCELED",E8284="SUSPECTED_FRAUD",F8284="Shipping canceled"),0,1)</x:f>
        <x:v>1</x:v>
      </x:c>
      <x:c r="K8284" s="6" t="n">
        <x:f>IF(G8284&gt;H8284,1,0)</x:f>
        <x:v>1</x:v>
      </x:c>
      <x:c r="L8284" s="6" t="n">
        <x:f>J8284*K8284</x:f>
        <x:v>1</x:v>
      </x:c>
    </x:row>
    <x:row r="8285">
      <x:c r="A8285" s="1" t="n">
        <x:v>66351</x:v>
      </x:c>
      <x:c r="B8285" s="5" t="d">
        <x:v>2017-08-26T00:00:00.000Z</x:v>
      </x:c>
      <x:c r="C8285" s="1" t="str">
        <x:v>Second Class</x:v>
      </x:c>
      <x:c r="D8285" s="1" t="str">
        <x:v>Europe</x:v>
      </x:c>
      <x:c r="E8285" s="1" t="str">
        <x:v>COMPLETE</x:v>
      </x:c>
      <x:c r="F8285" s="1" t="str">
        <x:v>Shipping on time</x:v>
      </x:c>
      <x:c r="G8285" s="6" t="n">
        <x:v>2</x:v>
      </x:c>
      <x:c r="H8285" s="6" t="n">
        <x:v>2</x:v>
      </x:c>
      <x:c r="I8285" s="6" t="n">
        <x:f>G8285-H8285</x:f>
        <x:v>0</x:v>
      </x:c>
      <x:c r="J8285" s="6" t="n">
        <x:f>IF(OR(E8285="CANCELED",E8285="SUSPECTED_FRAUD",F8285="Shipping canceled"),0,1)</x:f>
        <x:v>1</x:v>
      </x:c>
      <x:c r="K8285" s="6" t="n">
        <x:f>IF(G8285&gt;H8285,1,0)</x:f>
        <x:v>0</x:v>
      </x:c>
      <x:c r="L8285" s="6" t="n">
        <x:f>J8285*K8285</x:f>
        <x:v>0</x:v>
      </x:c>
    </x:row>
    <x:row r="8286">
      <x:c r="A8286" s="1" t="n">
        <x:v>66353</x:v>
      </x:c>
      <x:c r="B8286" s="5" t="d">
        <x:v>2017-08-26T00:00:00.000Z</x:v>
      </x:c>
      <x:c r="C8286" s="1" t="str">
        <x:v>Second Class</x:v>
      </x:c>
      <x:c r="D8286" s="1" t="str">
        <x:v>Europe</x:v>
      </x:c>
      <x:c r="E8286" s="1" t="str">
        <x:v>COMPLETE</x:v>
      </x:c>
      <x:c r="F8286" s="1" t="str">
        <x:v>Late delivery</x:v>
      </x:c>
      <x:c r="G8286" s="6" t="n">
        <x:v>4</x:v>
      </x:c>
      <x:c r="H8286" s="6" t="n">
        <x:v>2</x:v>
      </x:c>
      <x:c r="I8286" s="6" t="n">
        <x:f>G8286-H8286</x:f>
        <x:v>2</x:v>
      </x:c>
      <x:c r="J8286" s="6" t="n">
        <x:f>IF(OR(E8286="CANCELED",E8286="SUSPECTED_FRAUD",F8286="Shipping canceled"),0,1)</x:f>
        <x:v>1</x:v>
      </x:c>
      <x:c r="K8286" s="6" t="n">
        <x:f>IF(G8286&gt;H8286,1,0)</x:f>
        <x:v>1</x:v>
      </x:c>
      <x:c r="L8286" s="6" t="n">
        <x:f>J8286*K8286</x:f>
        <x:v>1</x:v>
      </x:c>
    </x:row>
    <x:row r="8287">
      <x:c r="A8287" s="1" t="n">
        <x:v>66360</x:v>
      </x:c>
      <x:c r="B8287" s="5" t="d">
        <x:v>2017-08-26T00:00:00.000Z</x:v>
      </x:c>
      <x:c r="C8287" s="1" t="str">
        <x:v>Standard Class</x:v>
      </x:c>
      <x:c r="D8287" s="1" t="str">
        <x:v>Europe</x:v>
      </x:c>
      <x:c r="E8287" s="1" t="str">
        <x:v>COMPLETE</x:v>
      </x:c>
      <x:c r="F8287" s="1" t="str">
        <x:v>Late delivery</x:v>
      </x:c>
      <x:c r="G8287" s="6" t="n">
        <x:v>6</x:v>
      </x:c>
      <x:c r="H8287" s="6" t="n">
        <x:v>4</x:v>
      </x:c>
      <x:c r="I8287" s="6" t="n">
        <x:f>G8287-H8287</x:f>
        <x:v>2</x:v>
      </x:c>
      <x:c r="J8287" s="6" t="n">
        <x:f>IF(OR(E8287="CANCELED",E8287="SUSPECTED_FRAUD",F8287="Shipping canceled"),0,1)</x:f>
        <x:v>1</x:v>
      </x:c>
      <x:c r="K8287" s="6" t="n">
        <x:f>IF(G8287&gt;H8287,1,0)</x:f>
        <x:v>1</x:v>
      </x:c>
      <x:c r="L8287" s="6" t="n">
        <x:f>J8287*K8287</x:f>
        <x:v>1</x:v>
      </x:c>
    </x:row>
    <x:row r="8288">
      <x:c r="A8288" s="1" t="n">
        <x:v>66363</x:v>
      </x:c>
      <x:c r="B8288" s="5" t="d">
        <x:v>2017-08-26T00:00:00.000Z</x:v>
      </x:c>
      <x:c r="C8288" s="1" t="str">
        <x:v>Standard Class</x:v>
      </x:c>
      <x:c r="D8288" s="1" t="str">
        <x:v>Europe</x:v>
      </x:c>
      <x:c r="E8288" s="1" t="str">
        <x:v>COMPLETE</x:v>
      </x:c>
      <x:c r="F8288" s="1" t="str">
        <x:v>Shipping on time</x:v>
      </x:c>
      <x:c r="G8288" s="6" t="n">
        <x:v>4</x:v>
      </x:c>
      <x:c r="H8288" s="6" t="n">
        <x:v>4</x:v>
      </x:c>
      <x:c r="I8288" s="6" t="n">
        <x:f>G8288-H8288</x:f>
        <x:v>0</x:v>
      </x:c>
      <x:c r="J8288" s="6" t="n">
        <x:f>IF(OR(E8288="CANCELED",E8288="SUSPECTED_FRAUD",F8288="Shipping canceled"),0,1)</x:f>
        <x:v>1</x:v>
      </x:c>
      <x:c r="K8288" s="6" t="n">
        <x:f>IF(G8288&gt;H8288,1,0)</x:f>
        <x:v>0</x:v>
      </x:c>
      <x:c r="L8288" s="6" t="n">
        <x:f>J8288*K8288</x:f>
        <x:v>0</x:v>
      </x:c>
    </x:row>
    <x:row r="8289">
      <x:c r="A8289" s="1" t="n">
        <x:v>66364</x:v>
      </x:c>
      <x:c r="B8289" s="5" t="d">
        <x:v>2017-08-26T00:00:00.000Z</x:v>
      </x:c>
      <x:c r="C8289" s="1" t="str">
        <x:v>Standard Class</x:v>
      </x:c>
      <x:c r="D8289" s="1" t="str">
        <x:v>Europe</x:v>
      </x:c>
      <x:c r="E8289" s="1" t="str">
        <x:v>PROCESSING</x:v>
      </x:c>
      <x:c r="F8289" s="1" t="str">
        <x:v>Late delivery</x:v>
      </x:c>
      <x:c r="G8289" s="6" t="n">
        <x:v>5</x:v>
      </x:c>
      <x:c r="H8289" s="6" t="n">
        <x:v>4</x:v>
      </x:c>
      <x:c r="I8289" s="6" t="n">
        <x:f>G8289-H8289</x:f>
        <x:v>1</x:v>
      </x:c>
      <x:c r="J8289" s="6" t="n">
        <x:f>IF(OR(E8289="CANCELED",E8289="SUSPECTED_FRAUD",F8289="Shipping canceled"),0,1)</x:f>
        <x:v>1</x:v>
      </x:c>
      <x:c r="K8289" s="6" t="n">
        <x:f>IF(G8289&gt;H8289,1,0)</x:f>
        <x:v>1</x:v>
      </x:c>
      <x:c r="L8289" s="6" t="n">
        <x:f>J8289*K8289</x:f>
        <x:v>1</x:v>
      </x:c>
    </x:row>
    <x:row r="8290">
      <x:c r="A8290" s="1" t="n">
        <x:v>66386</x:v>
      </x:c>
      <x:c r="B8290" s="5" t="d">
        <x:v>2017-08-27T00:00:00.000Z</x:v>
      </x:c>
      <x:c r="C8290" s="1" t="str">
        <x:v>Standard Class</x:v>
      </x:c>
      <x:c r="D8290" s="1" t="str">
        <x:v>Europe</x:v>
      </x:c>
      <x:c r="E8290" s="1" t="str">
        <x:v>COMPLETE</x:v>
      </x:c>
      <x:c r="F8290" s="1" t="str">
        <x:v>Advance shipping</x:v>
      </x:c>
      <x:c r="G8290" s="6" t="n">
        <x:v>2</x:v>
      </x:c>
      <x:c r="H8290" s="6" t="n">
        <x:v>4</x:v>
      </x:c>
      <x:c r="I8290" s="6" t="n">
        <x:f>G8290-H8290</x:f>
        <x:v>-2</x:v>
      </x:c>
      <x:c r="J8290" s="6" t="n">
        <x:f>IF(OR(E8290="CANCELED",E8290="SUSPECTED_FRAUD",F8290="Shipping canceled"),0,1)</x:f>
        <x:v>1</x:v>
      </x:c>
      <x:c r="K8290" s="6" t="n">
        <x:f>IF(G8290&gt;H8290,1,0)</x:f>
        <x:v>0</x:v>
      </x:c>
      <x:c r="L8290" s="6" t="n">
        <x:f>J8290*K8290</x:f>
        <x:v>0</x:v>
      </x:c>
    </x:row>
    <x:row r="8291">
      <x:c r="A8291" s="1" t="n">
        <x:v>66387</x:v>
      </x:c>
      <x:c r="B8291" s="5" t="d">
        <x:v>2017-08-27T00:00:00.000Z</x:v>
      </x:c>
      <x:c r="C8291" s="1" t="str">
        <x:v>Standard Class</x:v>
      </x:c>
      <x:c r="D8291" s="1" t="str">
        <x:v>Europe</x:v>
      </x:c>
      <x:c r="E8291" s="1" t="str">
        <x:v>ON_HOLD</x:v>
      </x:c>
      <x:c r="F8291" s="1" t="str">
        <x:v>Advance shipping</x:v>
      </x:c>
      <x:c r="G8291" s="6" t="n">
        <x:v>3</x:v>
      </x:c>
      <x:c r="H8291" s="6" t="n">
        <x:v>4</x:v>
      </x:c>
      <x:c r="I8291" s="6" t="n">
        <x:f>G8291-H8291</x:f>
        <x:v>-1</x:v>
      </x:c>
      <x:c r="J8291" s="6" t="n">
        <x:f>IF(OR(E8291="CANCELED",E8291="SUSPECTED_FRAUD",F8291="Shipping canceled"),0,1)</x:f>
        <x:v>1</x:v>
      </x:c>
      <x:c r="K8291" s="6" t="n">
        <x:f>IF(G8291&gt;H8291,1,0)</x:f>
        <x:v>0</x:v>
      </x:c>
      <x:c r="L8291" s="6" t="n">
        <x:f>J8291*K8291</x:f>
        <x:v>0</x:v>
      </x:c>
    </x:row>
    <x:row r="8292">
      <x:c r="A8292" s="1" t="n">
        <x:v>66397</x:v>
      </x:c>
      <x:c r="B8292" s="5" t="d">
        <x:v>2017-08-27T00:00:00.000Z</x:v>
      </x:c>
      <x:c r="C8292" s="1" t="str">
        <x:v>Second Class</x:v>
      </x:c>
      <x:c r="D8292" s="1" t="str">
        <x:v>Europe</x:v>
      </x:c>
      <x:c r="E8292" s="1" t="str">
        <x:v>COMPLETE</x:v>
      </x:c>
      <x:c r="F8292" s="1" t="str">
        <x:v>Late delivery</x:v>
      </x:c>
      <x:c r="G8292" s="6" t="n">
        <x:v>3</x:v>
      </x:c>
      <x:c r="H8292" s="6" t="n">
        <x:v>2</x:v>
      </x:c>
      <x:c r="I8292" s="6" t="n">
        <x:f>G8292-H8292</x:f>
        <x:v>1</x:v>
      </x:c>
      <x:c r="J8292" s="6" t="n">
        <x:f>IF(OR(E8292="CANCELED",E8292="SUSPECTED_FRAUD",F8292="Shipping canceled"),0,1)</x:f>
        <x:v>1</x:v>
      </x:c>
      <x:c r="K8292" s="6" t="n">
        <x:f>IF(G8292&gt;H8292,1,0)</x:f>
        <x:v>1</x:v>
      </x:c>
      <x:c r="L8292" s="6" t="n">
        <x:f>J8292*K8292</x:f>
        <x:v>1</x:v>
      </x:c>
    </x:row>
    <x:row r="8293">
      <x:c r="A8293" s="1" t="n">
        <x:v>66400</x:v>
      </x:c>
      <x:c r="B8293" s="5" t="d">
        <x:v>2017-08-27T00:00:00.000Z</x:v>
      </x:c>
      <x:c r="C8293" s="1" t="str">
        <x:v>Standard Class</x:v>
      </x:c>
      <x:c r="D8293" s="1" t="str">
        <x:v>Europe</x:v>
      </x:c>
      <x:c r="E8293" s="1" t="str">
        <x:v>COMPLETE</x:v>
      </x:c>
      <x:c r="F8293" s="1" t="str">
        <x:v>Late delivery</x:v>
      </x:c>
      <x:c r="G8293" s="6" t="n">
        <x:v>6</x:v>
      </x:c>
      <x:c r="H8293" s="6" t="n">
        <x:v>4</x:v>
      </x:c>
      <x:c r="I8293" s="6" t="n">
        <x:f>G8293-H8293</x:f>
        <x:v>2</x:v>
      </x:c>
      <x:c r="J8293" s="6" t="n">
        <x:f>IF(OR(E8293="CANCELED",E8293="SUSPECTED_FRAUD",F8293="Shipping canceled"),0,1)</x:f>
        <x:v>1</x:v>
      </x:c>
      <x:c r="K8293" s="6" t="n">
        <x:f>IF(G8293&gt;H8293,1,0)</x:f>
        <x:v>1</x:v>
      </x:c>
      <x:c r="L8293" s="6" t="n">
        <x:f>J8293*K8293</x:f>
        <x:v>1</x:v>
      </x:c>
    </x:row>
    <x:row r="8294">
      <x:c r="A8294" s="1" t="n">
        <x:v>66411</x:v>
      </x:c>
      <x:c r="B8294" s="5" t="d">
        <x:v>2017-08-27T00:00:00.000Z</x:v>
      </x:c>
      <x:c r="C8294" s="1" t="str">
        <x:v>Second Class</x:v>
      </x:c>
      <x:c r="D8294" s="1" t="str">
        <x:v>Europe</x:v>
      </x:c>
      <x:c r="E8294" s="1" t="str">
        <x:v>COMPLETE</x:v>
      </x:c>
      <x:c r="F8294" s="1" t="str">
        <x:v>Shipping on time</x:v>
      </x:c>
      <x:c r="G8294" s="6" t="n">
        <x:v>2</x:v>
      </x:c>
      <x:c r="H8294" s="6" t="n">
        <x:v>2</x:v>
      </x:c>
      <x:c r="I8294" s="6" t="n">
        <x:f>G8294-H8294</x:f>
        <x:v>0</x:v>
      </x:c>
      <x:c r="J8294" s="6" t="n">
        <x:f>IF(OR(E8294="CANCELED",E8294="SUSPECTED_FRAUD",F8294="Shipping canceled"),0,1)</x:f>
        <x:v>1</x:v>
      </x:c>
      <x:c r="K8294" s="6" t="n">
        <x:f>IF(G8294&gt;H8294,1,0)</x:f>
        <x:v>0</x:v>
      </x:c>
      <x:c r="L8294" s="6" t="n">
        <x:f>J8294*K8294</x:f>
        <x:v>0</x:v>
      </x:c>
    </x:row>
    <x:row r="8295">
      <x:c r="A8295" s="1" t="n">
        <x:v>66415</x:v>
      </x:c>
      <x:c r="B8295" s="5" t="d">
        <x:v>2017-08-27T00:00:00.000Z</x:v>
      </x:c>
      <x:c r="C8295" s="1" t="str">
        <x:v>Second Class</x:v>
      </x:c>
      <x:c r="D8295" s="1" t="str">
        <x:v>Europe</x:v>
      </x:c>
      <x:c r="E8295" s="1" t="str">
        <x:v>PROCESSING</x:v>
      </x:c>
      <x:c r="F8295" s="1" t="str">
        <x:v>Late delivery</x:v>
      </x:c>
      <x:c r="G8295" s="6" t="n">
        <x:v>6</x:v>
      </x:c>
      <x:c r="H8295" s="6" t="n">
        <x:v>2</x:v>
      </x:c>
      <x:c r="I8295" s="6" t="n">
        <x:f>G8295-H8295</x:f>
        <x:v>4</x:v>
      </x:c>
      <x:c r="J8295" s="6" t="n">
        <x:f>IF(OR(E8295="CANCELED",E8295="SUSPECTED_FRAUD",F8295="Shipping canceled"),0,1)</x:f>
        <x:v>1</x:v>
      </x:c>
      <x:c r="K8295" s="6" t="n">
        <x:f>IF(G8295&gt;H8295,1,0)</x:f>
        <x:v>1</x:v>
      </x:c>
      <x:c r="L8295" s="6" t="n">
        <x:f>J8295*K8295</x:f>
        <x:v>1</x:v>
      </x:c>
    </x:row>
    <x:row r="8296">
      <x:c r="A8296" s="1" t="n">
        <x:v>66423</x:v>
      </x:c>
      <x:c r="B8296" s="5" t="d">
        <x:v>2017-08-27T00:00:00.000Z</x:v>
      </x:c>
      <x:c r="C8296" s="1" t="str">
        <x:v>First Class</x:v>
      </x:c>
      <x:c r="D8296" s="1" t="str">
        <x:v>Europe</x:v>
      </x:c>
      <x:c r="E8296" s="1" t="str">
        <x:v>CLOSED</x:v>
      </x:c>
      <x:c r="F8296" s="1" t="str">
        <x:v>Late delivery</x:v>
      </x:c>
      <x:c r="G8296" s="6" t="n">
        <x:v>2</x:v>
      </x:c>
      <x:c r="H8296" s="6" t="n">
        <x:v>1</x:v>
      </x:c>
      <x:c r="I8296" s="6" t="n">
        <x:f>G8296-H8296</x:f>
        <x:v>1</x:v>
      </x:c>
      <x:c r="J8296" s="6" t="n">
        <x:f>IF(OR(E8296="CANCELED",E8296="SUSPECTED_FRAUD",F8296="Shipping canceled"),0,1)</x:f>
        <x:v>1</x:v>
      </x:c>
      <x:c r="K8296" s="6" t="n">
        <x:f>IF(G8296&gt;H8296,1,0)</x:f>
        <x:v>1</x:v>
      </x:c>
      <x:c r="L8296" s="6" t="n">
        <x:f>J8296*K8296</x:f>
        <x:v>1</x:v>
      </x:c>
    </x:row>
    <x:row r="8297">
      <x:c r="A8297" s="1" t="n">
        <x:v>66437</x:v>
      </x:c>
      <x:c r="B8297" s="5" t="d">
        <x:v>2017-08-27T00:00:00.000Z</x:v>
      </x:c>
      <x:c r="C8297" s="1" t="str">
        <x:v>Standard Class</x:v>
      </x:c>
      <x:c r="D8297" s="1" t="str">
        <x:v>Europe</x:v>
      </x:c>
      <x:c r="E8297" s="1" t="str">
        <x:v>COMPLETE</x:v>
      </x:c>
      <x:c r="F8297" s="1" t="str">
        <x:v>Advance shipping</x:v>
      </x:c>
      <x:c r="G8297" s="6" t="n">
        <x:v>3</x:v>
      </x:c>
      <x:c r="H8297" s="6" t="n">
        <x:v>4</x:v>
      </x:c>
      <x:c r="I8297" s="6" t="n">
        <x:f>G8297-H8297</x:f>
        <x:v>-1</x:v>
      </x:c>
      <x:c r="J8297" s="6" t="n">
        <x:f>IF(OR(E8297="CANCELED",E8297="SUSPECTED_FRAUD",F8297="Shipping canceled"),0,1)</x:f>
        <x:v>1</x:v>
      </x:c>
      <x:c r="K8297" s="6" t="n">
        <x:f>IF(G8297&gt;H8297,1,0)</x:f>
        <x:v>0</x:v>
      </x:c>
      <x:c r="L8297" s="6" t="n">
        <x:f>J8297*K8297</x:f>
        <x:v>0</x:v>
      </x:c>
    </x:row>
    <x:row r="8298">
      <x:c r="A8298" s="1" t="n">
        <x:v>66448</x:v>
      </x:c>
      <x:c r="B8298" s="5" t="d">
        <x:v>2017-08-27T00:00:00.000Z</x:v>
      </x:c>
      <x:c r="C8298" s="1" t="str">
        <x:v>First Class</x:v>
      </x:c>
      <x:c r="D8298" s="1" t="str">
        <x:v>Europe</x:v>
      </x:c>
      <x:c r="E8298" s="1" t="str">
        <x:v>CLOSED</x:v>
      </x:c>
      <x:c r="F8298" s="1" t="str">
        <x:v>Late delivery</x:v>
      </x:c>
      <x:c r="G8298" s="6" t="n">
        <x:v>2</x:v>
      </x:c>
      <x:c r="H8298" s="6" t="n">
        <x:v>1</x:v>
      </x:c>
      <x:c r="I8298" s="6" t="n">
        <x:f>G8298-H8298</x:f>
        <x:v>1</x:v>
      </x:c>
      <x:c r="J8298" s="6" t="n">
        <x:f>IF(OR(E8298="CANCELED",E8298="SUSPECTED_FRAUD",F8298="Shipping canceled"),0,1)</x:f>
        <x:v>1</x:v>
      </x:c>
      <x:c r="K8298" s="6" t="n">
        <x:f>IF(G8298&gt;H8298,1,0)</x:f>
        <x:v>1</x:v>
      </x:c>
      <x:c r="L8298" s="6" t="n">
        <x:f>J8298*K8298</x:f>
        <x:v>1</x:v>
      </x:c>
    </x:row>
    <x:row r="8299">
      <x:c r="A8299" s="1" t="n">
        <x:v>66450</x:v>
      </x:c>
      <x:c r="B8299" s="5" t="d">
        <x:v>2017-08-28T00:00:00.000Z</x:v>
      </x:c>
      <x:c r="C8299" s="1" t="str">
        <x:v>Standard Class</x:v>
      </x:c>
      <x:c r="D8299" s="1" t="str">
        <x:v>Europe</x:v>
      </x:c>
      <x:c r="E8299" s="1" t="str">
        <x:v>SUSPECTED_FRAUD</x:v>
      </x:c>
      <x:c r="F8299" s="1" t="str">
        <x:v>Shipping canceled</x:v>
      </x:c>
      <x:c r="G8299" s="6" t="n">
        <x:v>6</x:v>
      </x:c>
      <x:c r="H8299" s="6" t="n">
        <x:v>4</x:v>
      </x:c>
      <x:c r="I8299" s="6" t="n">
        <x:f>G8299-H8299</x:f>
        <x:v>2</x:v>
      </x:c>
      <x:c r="J8299" s="6" t="n">
        <x:f>IF(OR(E8299="CANCELED",E8299="SUSPECTED_FRAUD",F8299="Shipping canceled"),0,1)</x:f>
        <x:v>0</x:v>
      </x:c>
      <x:c r="K8299" s="6" t="n">
        <x:f>IF(G8299&gt;H8299,1,0)</x:f>
        <x:v>1</x:v>
      </x:c>
      <x:c r="L8299" s="6" t="n">
        <x:f>J8299*K8299</x:f>
        <x:v>0</x:v>
      </x:c>
    </x:row>
    <x:row r="8300">
      <x:c r="A8300" s="1" t="n">
        <x:v>66456</x:v>
      </x:c>
      <x:c r="B8300" s="5" t="d">
        <x:v>2017-08-28T00:00:00.000Z</x:v>
      </x:c>
      <x:c r="C8300" s="1" t="str">
        <x:v>Standard Class</x:v>
      </x:c>
      <x:c r="D8300" s="1" t="str">
        <x:v>Europe</x:v>
      </x:c>
      <x:c r="E8300" s="1" t="str">
        <x:v>COMPLETE</x:v>
      </x:c>
      <x:c r="F8300" s="1" t="str">
        <x:v>Advance shipping</x:v>
      </x:c>
      <x:c r="G8300" s="6" t="n">
        <x:v>2</x:v>
      </x:c>
      <x:c r="H8300" s="6" t="n">
        <x:v>4</x:v>
      </x:c>
      <x:c r="I8300" s="6" t="n">
        <x:f>G8300-H8300</x:f>
        <x:v>-2</x:v>
      </x:c>
      <x:c r="J8300" s="6" t="n">
        <x:f>IF(OR(E8300="CANCELED",E8300="SUSPECTED_FRAUD",F8300="Shipping canceled"),0,1)</x:f>
        <x:v>1</x:v>
      </x:c>
      <x:c r="K8300" s="6" t="n">
        <x:f>IF(G8300&gt;H8300,1,0)</x:f>
        <x:v>0</x:v>
      </x:c>
      <x:c r="L8300" s="6" t="n">
        <x:f>J8300*K8300</x:f>
        <x:v>0</x:v>
      </x:c>
    </x:row>
    <x:row r="8301">
      <x:c r="A8301" s="1" t="n">
        <x:v>66458</x:v>
      </x:c>
      <x:c r="B8301" s="5" t="d">
        <x:v>2017-08-28T00:00:00.000Z</x:v>
      </x:c>
      <x:c r="C8301" s="1" t="str">
        <x:v>Standard Class</x:v>
      </x:c>
      <x:c r="D8301" s="1" t="str">
        <x:v>Europe</x:v>
      </x:c>
      <x:c r="E8301" s="1" t="str">
        <x:v>PROCESSING</x:v>
      </x:c>
      <x:c r="F8301" s="1" t="str">
        <x:v>Shipping on time</x:v>
      </x:c>
      <x:c r="G8301" s="6" t="n">
        <x:v>4</x:v>
      </x:c>
      <x:c r="H8301" s="6" t="n">
        <x:v>4</x:v>
      </x:c>
      <x:c r="I8301" s="6" t="n">
        <x:f>G8301-H8301</x:f>
        <x:v>0</x:v>
      </x:c>
      <x:c r="J8301" s="6" t="n">
        <x:f>IF(OR(E8301="CANCELED",E8301="SUSPECTED_FRAUD",F8301="Shipping canceled"),0,1)</x:f>
        <x:v>1</x:v>
      </x:c>
      <x:c r="K8301" s="6" t="n">
        <x:f>IF(G8301&gt;H8301,1,0)</x:f>
        <x:v>0</x:v>
      </x:c>
      <x:c r="L8301" s="6" t="n">
        <x:f>J8301*K8301</x:f>
        <x:v>0</x:v>
      </x:c>
    </x:row>
    <x:row r="8302">
      <x:c r="A8302" s="1" t="n">
        <x:v>66489</x:v>
      </x:c>
      <x:c r="B8302" s="5" t="d">
        <x:v>2017-08-28T00:00:00.000Z</x:v>
      </x:c>
      <x:c r="C8302" s="1" t="str">
        <x:v>Standard Class</x:v>
      </x:c>
      <x:c r="D8302" s="1" t="str">
        <x:v>Europe</x:v>
      </x:c>
      <x:c r="E8302" s="1" t="str">
        <x:v>PROCESSING</x:v>
      </x:c>
      <x:c r="F8302" s="1" t="str">
        <x:v>Late delivery</x:v>
      </x:c>
      <x:c r="G8302" s="6" t="n">
        <x:v>5</x:v>
      </x:c>
      <x:c r="H8302" s="6" t="n">
        <x:v>4</x:v>
      </x:c>
      <x:c r="I8302" s="6" t="n">
        <x:f>G8302-H8302</x:f>
        <x:v>1</x:v>
      </x:c>
      <x:c r="J8302" s="6" t="n">
        <x:f>IF(OR(E8302="CANCELED",E8302="SUSPECTED_FRAUD",F8302="Shipping canceled"),0,1)</x:f>
        <x:v>1</x:v>
      </x:c>
      <x:c r="K8302" s="6" t="n">
        <x:f>IF(G8302&gt;H8302,1,0)</x:f>
        <x:v>1</x:v>
      </x:c>
      <x:c r="L8302" s="6" t="n">
        <x:f>J8302*K8302</x:f>
        <x:v>1</x:v>
      </x:c>
    </x:row>
    <x:row r="8303">
      <x:c r="A8303" s="1" t="n">
        <x:v>66500</x:v>
      </x:c>
      <x:c r="B8303" s="5" t="d">
        <x:v>2017-08-28T00:00:00.000Z</x:v>
      </x:c>
      <x:c r="C8303" s="1" t="str">
        <x:v>First Class</x:v>
      </x:c>
      <x:c r="D8303" s="1" t="str">
        <x:v>Europe</x:v>
      </x:c>
      <x:c r="E8303" s="1" t="str">
        <x:v>PENDING</x:v>
      </x:c>
      <x:c r="F8303" s="1" t="str">
        <x:v>Late delivery</x:v>
      </x:c>
      <x:c r="G8303" s="6" t="n">
        <x:v>2</x:v>
      </x:c>
      <x:c r="H8303" s="6" t="n">
        <x:v>1</x:v>
      </x:c>
      <x:c r="I8303" s="6" t="n">
        <x:f>G8303-H8303</x:f>
        <x:v>1</x:v>
      </x:c>
      <x:c r="J8303" s="6" t="n">
        <x:f>IF(OR(E8303="CANCELED",E8303="SUSPECTED_FRAUD",F8303="Shipping canceled"),0,1)</x:f>
        <x:v>1</x:v>
      </x:c>
      <x:c r="K8303" s="6" t="n">
        <x:f>IF(G8303&gt;H8303,1,0)</x:f>
        <x:v>1</x:v>
      </x:c>
      <x:c r="L8303" s="6" t="n">
        <x:f>J8303*K8303</x:f>
        <x:v>1</x:v>
      </x:c>
    </x:row>
    <x:row r="8304">
      <x:c r="A8304" s="1" t="n">
        <x:v>66519</x:v>
      </x:c>
      <x:c r="B8304" s="5" t="d">
        <x:v>2017-08-29T00:00:00.000Z</x:v>
      </x:c>
      <x:c r="C8304" s="1" t="str">
        <x:v>Standard Class</x:v>
      </x:c>
      <x:c r="D8304" s="1" t="str">
        <x:v>Europe</x:v>
      </x:c>
      <x:c r="E8304" s="1" t="str">
        <x:v>PENDING</x:v>
      </x:c>
      <x:c r="F8304" s="1" t="str">
        <x:v>Late delivery</x:v>
      </x:c>
      <x:c r="G8304" s="6" t="n">
        <x:v>5</x:v>
      </x:c>
      <x:c r="H8304" s="6" t="n">
        <x:v>4</x:v>
      </x:c>
      <x:c r="I8304" s="6" t="n">
        <x:f>G8304-H8304</x:f>
        <x:v>1</x:v>
      </x:c>
      <x:c r="J8304" s="6" t="n">
        <x:f>IF(OR(E8304="CANCELED",E8304="SUSPECTED_FRAUD",F8304="Shipping canceled"),0,1)</x:f>
        <x:v>1</x:v>
      </x:c>
      <x:c r="K8304" s="6" t="n">
        <x:f>IF(G8304&gt;H8304,1,0)</x:f>
        <x:v>1</x:v>
      </x:c>
      <x:c r="L8304" s="6" t="n">
        <x:f>J8304*K8304</x:f>
        <x:v>1</x:v>
      </x:c>
    </x:row>
    <x:row r="8305">
      <x:c r="A8305" s="1" t="n">
        <x:v>66542</x:v>
      </x:c>
      <x:c r="B8305" s="5" t="d">
        <x:v>2017-08-29T00:00:00.000Z</x:v>
      </x:c>
      <x:c r="C8305" s="1" t="str">
        <x:v>First Class</x:v>
      </x:c>
      <x:c r="D8305" s="1" t="str">
        <x:v>Europe</x:v>
      </x:c>
      <x:c r="E8305" s="1" t="str">
        <x:v>PENDING_PAYMENT</x:v>
      </x:c>
      <x:c r="F8305" s="1" t="str">
        <x:v>Late delivery</x:v>
      </x:c>
      <x:c r="G8305" s="6" t="n">
        <x:v>2</x:v>
      </x:c>
      <x:c r="H8305" s="6" t="n">
        <x:v>1</x:v>
      </x:c>
      <x:c r="I8305" s="6" t="n">
        <x:f>G8305-H8305</x:f>
        <x:v>1</x:v>
      </x:c>
      <x:c r="J8305" s="6" t="n">
        <x:f>IF(OR(E8305="CANCELED",E8305="SUSPECTED_FRAUD",F8305="Shipping canceled"),0,1)</x:f>
        <x:v>1</x:v>
      </x:c>
      <x:c r="K8305" s="6" t="n">
        <x:f>IF(G8305&gt;H8305,1,0)</x:f>
        <x:v>1</x:v>
      </x:c>
      <x:c r="L8305" s="6" t="n">
        <x:f>J8305*K8305</x:f>
        <x:v>1</x:v>
      </x:c>
    </x:row>
    <x:row r="8306">
      <x:c r="A8306" s="1" t="n">
        <x:v>66553</x:v>
      </x:c>
      <x:c r="B8306" s="5" t="d">
        <x:v>2017-08-29T00:00:00.000Z</x:v>
      </x:c>
      <x:c r="C8306" s="1" t="str">
        <x:v>Standard Class</x:v>
      </x:c>
      <x:c r="D8306" s="1" t="str">
        <x:v>Europe</x:v>
      </x:c>
      <x:c r="E8306" s="1" t="str">
        <x:v>COMPLETE</x:v>
      </x:c>
      <x:c r="F8306" s="1" t="str">
        <x:v>Shipping on time</x:v>
      </x:c>
      <x:c r="G8306" s="6" t="n">
        <x:v>4</x:v>
      </x:c>
      <x:c r="H8306" s="6" t="n">
        <x:v>4</x:v>
      </x:c>
      <x:c r="I8306" s="6" t="n">
        <x:f>G8306-H8306</x:f>
        <x:v>0</x:v>
      </x:c>
      <x:c r="J8306" s="6" t="n">
        <x:f>IF(OR(E8306="CANCELED",E8306="SUSPECTED_FRAUD",F8306="Shipping canceled"),0,1)</x:f>
        <x:v>1</x:v>
      </x:c>
      <x:c r="K8306" s="6" t="n">
        <x:f>IF(G8306&gt;H8306,1,0)</x:f>
        <x:v>0</x:v>
      </x:c>
      <x:c r="L8306" s="6" t="n">
        <x:f>J8306*K8306</x:f>
        <x:v>0</x:v>
      </x:c>
    </x:row>
    <x:row r="8307">
      <x:c r="A8307" s="1" t="n">
        <x:v>66554</x:v>
      </x:c>
      <x:c r="B8307" s="5" t="d">
        <x:v>2017-08-29T00:00:00.000Z</x:v>
      </x:c>
      <x:c r="C8307" s="1" t="str">
        <x:v>Standard Class</x:v>
      </x:c>
      <x:c r="D8307" s="1" t="str">
        <x:v>Europe</x:v>
      </x:c>
      <x:c r="E8307" s="1" t="str">
        <x:v>COMPLETE</x:v>
      </x:c>
      <x:c r="F8307" s="1" t="str">
        <x:v>Late delivery</x:v>
      </x:c>
      <x:c r="G8307" s="6" t="n">
        <x:v>5</x:v>
      </x:c>
      <x:c r="H8307" s="6" t="n">
        <x:v>4</x:v>
      </x:c>
      <x:c r="I8307" s="6" t="n">
        <x:f>G8307-H8307</x:f>
        <x:v>1</x:v>
      </x:c>
      <x:c r="J8307" s="6" t="n">
        <x:f>IF(OR(E8307="CANCELED",E8307="SUSPECTED_FRAUD",F8307="Shipping canceled"),0,1)</x:f>
        <x:v>1</x:v>
      </x:c>
      <x:c r="K8307" s="6" t="n">
        <x:f>IF(G8307&gt;H8307,1,0)</x:f>
        <x:v>1</x:v>
      </x:c>
      <x:c r="L8307" s="6" t="n">
        <x:f>J8307*K8307</x:f>
        <x:v>1</x:v>
      </x:c>
    </x:row>
    <x:row r="8308">
      <x:c r="A8308" s="1" t="n">
        <x:v>66573</x:v>
      </x:c>
      <x:c r="B8308" s="5" t="d">
        <x:v>2017-08-29T00:00:00.000Z</x:v>
      </x:c>
      <x:c r="C8308" s="1" t="str">
        <x:v>Standard Class</x:v>
      </x:c>
      <x:c r="D8308" s="1" t="str">
        <x:v>Europe</x:v>
      </x:c>
      <x:c r="E8308" s="1" t="str">
        <x:v>COMPLETE</x:v>
      </x:c>
      <x:c r="F8308" s="1" t="str">
        <x:v>Shipping on time</x:v>
      </x:c>
      <x:c r="G8308" s="6" t="n">
        <x:v>4</x:v>
      </x:c>
      <x:c r="H8308" s="6" t="n">
        <x:v>4</x:v>
      </x:c>
      <x:c r="I8308" s="6" t="n">
        <x:f>G8308-H8308</x:f>
        <x:v>0</x:v>
      </x:c>
      <x:c r="J8308" s="6" t="n">
        <x:f>IF(OR(E8308="CANCELED",E8308="SUSPECTED_FRAUD",F8308="Shipping canceled"),0,1)</x:f>
        <x:v>1</x:v>
      </x:c>
      <x:c r="K8308" s="6" t="n">
        <x:f>IF(G8308&gt;H8308,1,0)</x:f>
        <x:v>0</x:v>
      </x:c>
      <x:c r="L8308" s="6" t="n">
        <x:f>J8308*K8308</x:f>
        <x:v>0</x:v>
      </x:c>
    </x:row>
    <x:row r="8309">
      <x:c r="A8309" s="1" t="n">
        <x:v>66580</x:v>
      </x:c>
      <x:c r="B8309" s="5" t="d">
        <x:v>2017-08-29T00:00:00.000Z</x:v>
      </x:c>
      <x:c r="C8309" s="1" t="str">
        <x:v>Standard Class</x:v>
      </x:c>
      <x:c r="D8309" s="1" t="str">
        <x:v>Europe</x:v>
      </x:c>
      <x:c r="E8309" s="1" t="str">
        <x:v>PENDING</x:v>
      </x:c>
      <x:c r="F8309" s="1" t="str">
        <x:v>Late delivery</x:v>
      </x:c>
      <x:c r="G8309" s="6" t="n">
        <x:v>6</x:v>
      </x:c>
      <x:c r="H8309" s="6" t="n">
        <x:v>4</x:v>
      </x:c>
      <x:c r="I8309" s="6" t="n">
        <x:f>G8309-H8309</x:f>
        <x:v>2</x:v>
      </x:c>
      <x:c r="J8309" s="6" t="n">
        <x:f>IF(OR(E8309="CANCELED",E8309="SUSPECTED_FRAUD",F8309="Shipping canceled"),0,1)</x:f>
        <x:v>1</x:v>
      </x:c>
      <x:c r="K8309" s="6" t="n">
        <x:f>IF(G8309&gt;H8309,1,0)</x:f>
        <x:v>1</x:v>
      </x:c>
      <x:c r="L8309" s="6" t="n">
        <x:f>J8309*K8309</x:f>
        <x:v>1</x:v>
      </x:c>
    </x:row>
    <x:row r="8310">
      <x:c r="A8310" s="1" t="n">
        <x:v>66587</x:v>
      </x:c>
      <x:c r="B8310" s="5" t="d">
        <x:v>2017-08-30T00:00:00.000Z</x:v>
      </x:c>
      <x:c r="C8310" s="1" t="str">
        <x:v>Second Class</x:v>
      </x:c>
      <x:c r="D8310" s="1" t="str">
        <x:v>Europe</x:v>
      </x:c>
      <x:c r="E8310" s="1" t="str">
        <x:v>COMPLETE</x:v>
      </x:c>
      <x:c r="F8310" s="1" t="str">
        <x:v>Late delivery</x:v>
      </x:c>
      <x:c r="G8310" s="6" t="n">
        <x:v>3</x:v>
      </x:c>
      <x:c r="H8310" s="6" t="n">
        <x:v>2</x:v>
      </x:c>
      <x:c r="I8310" s="6" t="n">
        <x:f>G8310-H8310</x:f>
        <x:v>1</x:v>
      </x:c>
      <x:c r="J8310" s="6" t="n">
        <x:f>IF(OR(E8310="CANCELED",E8310="SUSPECTED_FRAUD",F8310="Shipping canceled"),0,1)</x:f>
        <x:v>1</x:v>
      </x:c>
      <x:c r="K8310" s="6" t="n">
        <x:f>IF(G8310&gt;H8310,1,0)</x:f>
        <x:v>1</x:v>
      </x:c>
      <x:c r="L8310" s="6" t="n">
        <x:f>J8310*K8310</x:f>
        <x:v>1</x:v>
      </x:c>
    </x:row>
    <x:row r="8311">
      <x:c r="A8311" s="1" t="n">
        <x:v>66589</x:v>
      </x:c>
      <x:c r="B8311" s="5" t="d">
        <x:v>2017-08-30T00:00:00.000Z</x:v>
      </x:c>
      <x:c r="C8311" s="1" t="str">
        <x:v>First Class</x:v>
      </x:c>
      <x:c r="D8311" s="1" t="str">
        <x:v>Europe</x:v>
      </x:c>
      <x:c r="E8311" s="1" t="str">
        <x:v>PENDING_PAYMENT</x:v>
      </x:c>
      <x:c r="F8311" s="1" t="str">
        <x:v>Late delivery</x:v>
      </x:c>
      <x:c r="G8311" s="6" t="n">
        <x:v>2</x:v>
      </x:c>
      <x:c r="H8311" s="6" t="n">
        <x:v>1</x:v>
      </x:c>
      <x:c r="I8311" s="6" t="n">
        <x:f>G8311-H8311</x:f>
        <x:v>1</x:v>
      </x:c>
      <x:c r="J8311" s="6" t="n">
        <x:f>IF(OR(E8311="CANCELED",E8311="SUSPECTED_FRAUD",F8311="Shipping canceled"),0,1)</x:f>
        <x:v>1</x:v>
      </x:c>
      <x:c r="K8311" s="6" t="n">
        <x:f>IF(G8311&gt;H8311,1,0)</x:f>
        <x:v>1</x:v>
      </x:c>
      <x:c r="L8311" s="6" t="n">
        <x:f>J8311*K8311</x:f>
        <x:v>1</x:v>
      </x:c>
    </x:row>
    <x:row r="8312">
      <x:c r="A8312" s="1" t="n">
        <x:v>66605</x:v>
      </x:c>
      <x:c r="B8312" s="5" t="d">
        <x:v>2017-08-30T00:00:00.000Z</x:v>
      </x:c>
      <x:c r="C8312" s="1" t="str">
        <x:v>First Class</x:v>
      </x:c>
      <x:c r="D8312" s="1" t="str">
        <x:v>Europe</x:v>
      </x:c>
      <x:c r="E8312" s="1" t="str">
        <x:v>PENDING</x:v>
      </x:c>
      <x:c r="F8312" s="1" t="str">
        <x:v>Late delivery</x:v>
      </x:c>
      <x:c r="G8312" s="6" t="n">
        <x:v>2</x:v>
      </x:c>
      <x:c r="H8312" s="6" t="n">
        <x:v>1</x:v>
      </x:c>
      <x:c r="I8312" s="6" t="n">
        <x:f>G8312-H8312</x:f>
        <x:v>1</x:v>
      </x:c>
      <x:c r="J8312" s="6" t="n">
        <x:f>IF(OR(E8312="CANCELED",E8312="SUSPECTED_FRAUD",F8312="Shipping canceled"),0,1)</x:f>
        <x:v>1</x:v>
      </x:c>
      <x:c r="K8312" s="6" t="n">
        <x:f>IF(G8312&gt;H8312,1,0)</x:f>
        <x:v>1</x:v>
      </x:c>
      <x:c r="L8312" s="6" t="n">
        <x:f>J8312*K8312</x:f>
        <x:v>1</x:v>
      </x:c>
    </x:row>
    <x:row r="8313">
      <x:c r="A8313" s="1" t="n">
        <x:v>66611</x:v>
      </x:c>
      <x:c r="B8313" s="5" t="d">
        <x:v>2017-08-30T00:00:00.000Z</x:v>
      </x:c>
      <x:c r="C8313" s="1" t="str">
        <x:v>Standard Class</x:v>
      </x:c>
      <x:c r="D8313" s="1" t="str">
        <x:v>Europe</x:v>
      </x:c>
      <x:c r="E8313" s="1" t="str">
        <x:v>ON_HOLD</x:v>
      </x:c>
      <x:c r="F8313" s="1" t="str">
        <x:v>Advance shipping</x:v>
      </x:c>
      <x:c r="G8313" s="6" t="n">
        <x:v>2</x:v>
      </x:c>
      <x:c r="H8313" s="6" t="n">
        <x:v>4</x:v>
      </x:c>
      <x:c r="I8313" s="6" t="n">
        <x:f>G8313-H8313</x:f>
        <x:v>-2</x:v>
      </x:c>
      <x:c r="J8313" s="6" t="n">
        <x:f>IF(OR(E8313="CANCELED",E8313="SUSPECTED_FRAUD",F8313="Shipping canceled"),0,1)</x:f>
        <x:v>1</x:v>
      </x:c>
      <x:c r="K8313" s="6" t="n">
        <x:f>IF(G8313&gt;H8313,1,0)</x:f>
        <x:v>0</x:v>
      </x:c>
      <x:c r="L8313" s="6" t="n">
        <x:f>J8313*K8313</x:f>
        <x:v>0</x:v>
      </x:c>
    </x:row>
    <x:row r="8314">
      <x:c r="A8314" s="1" t="n">
        <x:v>66612</x:v>
      </x:c>
      <x:c r="B8314" s="5" t="d">
        <x:v>2017-08-30T00:00:00.000Z</x:v>
      </x:c>
      <x:c r="C8314" s="1" t="str">
        <x:v>Standard Class</x:v>
      </x:c>
      <x:c r="D8314" s="1" t="str">
        <x:v>Europe</x:v>
      </x:c>
      <x:c r="E8314" s="1" t="str">
        <x:v>COMPLETE</x:v>
      </x:c>
      <x:c r="F8314" s="1" t="str">
        <x:v>Advance shipping</x:v>
      </x:c>
      <x:c r="G8314" s="6" t="n">
        <x:v>3</x:v>
      </x:c>
      <x:c r="H8314" s="6" t="n">
        <x:v>4</x:v>
      </x:c>
      <x:c r="I8314" s="6" t="n">
        <x:f>G8314-H8314</x:f>
        <x:v>-1</x:v>
      </x:c>
      <x:c r="J8314" s="6" t="n">
        <x:f>IF(OR(E8314="CANCELED",E8314="SUSPECTED_FRAUD",F8314="Shipping canceled"),0,1)</x:f>
        <x:v>1</x:v>
      </x:c>
      <x:c r="K8314" s="6" t="n">
        <x:f>IF(G8314&gt;H8314,1,0)</x:f>
        <x:v>0</x:v>
      </x:c>
      <x:c r="L8314" s="6" t="n">
        <x:f>J8314*K8314</x:f>
        <x:v>0</x:v>
      </x:c>
    </x:row>
    <x:row r="8315">
      <x:c r="A8315" s="1" t="n">
        <x:v>66616</x:v>
      </x:c>
      <x:c r="B8315" s="5" t="d">
        <x:v>2017-08-30T00:00:00.000Z</x:v>
      </x:c>
      <x:c r="C8315" s="1" t="str">
        <x:v>Standard Class</x:v>
      </x:c>
      <x:c r="D8315" s="1" t="str">
        <x:v>Europe</x:v>
      </x:c>
      <x:c r="E8315" s="1" t="str">
        <x:v>PROCESSING</x:v>
      </x:c>
      <x:c r="F8315" s="1" t="str">
        <x:v>Advance shipping</x:v>
      </x:c>
      <x:c r="G8315" s="6" t="n">
        <x:v>2</x:v>
      </x:c>
      <x:c r="H8315" s="6" t="n">
        <x:v>4</x:v>
      </x:c>
      <x:c r="I8315" s="6" t="n">
        <x:f>G8315-H8315</x:f>
        <x:v>-2</x:v>
      </x:c>
      <x:c r="J8315" s="6" t="n">
        <x:f>IF(OR(E8315="CANCELED",E8315="SUSPECTED_FRAUD",F8315="Shipping canceled"),0,1)</x:f>
        <x:v>1</x:v>
      </x:c>
      <x:c r="K8315" s="6" t="n">
        <x:f>IF(G8315&gt;H8315,1,0)</x:f>
        <x:v>0</x:v>
      </x:c>
      <x:c r="L8315" s="6" t="n">
        <x:f>J8315*K8315</x:f>
        <x:v>0</x:v>
      </x:c>
    </x:row>
    <x:row r="8316">
      <x:c r="A8316" s="1" t="n">
        <x:v>66631</x:v>
      </x:c>
      <x:c r="B8316" s="5" t="d">
        <x:v>2017-08-30T00:00:00.000Z</x:v>
      </x:c>
      <x:c r="C8316" s="1" t="str">
        <x:v>Standard Class</x:v>
      </x:c>
      <x:c r="D8316" s="1" t="str">
        <x:v>Europe</x:v>
      </x:c>
      <x:c r="E8316" s="1" t="str">
        <x:v>COMPLETE</x:v>
      </x:c>
      <x:c r="F8316" s="1" t="str">
        <x:v>Advance shipping</x:v>
      </x:c>
      <x:c r="G8316" s="6" t="n">
        <x:v>2</x:v>
      </x:c>
      <x:c r="H8316" s="6" t="n">
        <x:v>4</x:v>
      </x:c>
      <x:c r="I8316" s="6" t="n">
        <x:f>G8316-H8316</x:f>
        <x:v>-2</x:v>
      </x:c>
      <x:c r="J8316" s="6" t="n">
        <x:f>IF(OR(E8316="CANCELED",E8316="SUSPECTED_FRAUD",F8316="Shipping canceled"),0,1)</x:f>
        <x:v>1</x:v>
      </x:c>
      <x:c r="K8316" s="6" t="n">
        <x:f>IF(G8316&gt;H8316,1,0)</x:f>
        <x:v>0</x:v>
      </x:c>
      <x:c r="L8316" s="6" t="n">
        <x:f>J8316*K8316</x:f>
        <x:v>0</x:v>
      </x:c>
    </x:row>
    <x:row r="8317">
      <x:c r="A8317" s="1" t="n">
        <x:v>66634</x:v>
      </x:c>
      <x:c r="B8317" s="5" t="d">
        <x:v>2017-08-30T00:00:00.000Z</x:v>
      </x:c>
      <x:c r="C8317" s="1" t="str">
        <x:v>Standard Class</x:v>
      </x:c>
      <x:c r="D8317" s="1" t="str">
        <x:v>Europe</x:v>
      </x:c>
      <x:c r="E8317" s="1" t="str">
        <x:v>PENDING_PAYMENT</x:v>
      </x:c>
      <x:c r="F8317" s="1" t="str">
        <x:v>Late delivery</x:v>
      </x:c>
      <x:c r="G8317" s="6" t="n">
        <x:v>5</x:v>
      </x:c>
      <x:c r="H8317" s="6" t="n">
        <x:v>4</x:v>
      </x:c>
      <x:c r="I8317" s="6" t="n">
        <x:f>G8317-H8317</x:f>
        <x:v>1</x:v>
      </x:c>
      <x:c r="J8317" s="6" t="n">
        <x:f>IF(OR(E8317="CANCELED",E8317="SUSPECTED_FRAUD",F8317="Shipping canceled"),0,1)</x:f>
        <x:v>1</x:v>
      </x:c>
      <x:c r="K8317" s="6" t="n">
        <x:f>IF(G8317&gt;H8317,1,0)</x:f>
        <x:v>1</x:v>
      </x:c>
      <x:c r="L8317" s="6" t="n">
        <x:f>J8317*K8317</x:f>
        <x:v>1</x:v>
      </x:c>
    </x:row>
    <x:row r="8318">
      <x:c r="A8318" s="1" t="n">
        <x:v>66636</x:v>
      </x:c>
      <x:c r="B8318" s="5" t="d">
        <x:v>2017-08-30T00:00:00.000Z</x:v>
      </x:c>
      <x:c r="C8318" s="1" t="str">
        <x:v>Standard Class</x:v>
      </x:c>
      <x:c r="D8318" s="1" t="str">
        <x:v>Europe</x:v>
      </x:c>
      <x:c r="E8318" s="1" t="str">
        <x:v>SUSPECTED_FRAUD</x:v>
      </x:c>
      <x:c r="F8318" s="1" t="str">
        <x:v>Shipping canceled</x:v>
      </x:c>
      <x:c r="G8318" s="6" t="n">
        <x:v>2</x:v>
      </x:c>
      <x:c r="H8318" s="6" t="n">
        <x:v>4</x:v>
      </x:c>
      <x:c r="I8318" s="6" t="n">
        <x:f>G8318-H8318</x:f>
        <x:v>-2</x:v>
      </x:c>
      <x:c r="J8318" s="6" t="n">
        <x:f>IF(OR(E8318="CANCELED",E8318="SUSPECTED_FRAUD",F8318="Shipping canceled"),0,1)</x:f>
        <x:v>0</x:v>
      </x:c>
      <x:c r="K8318" s="6" t="n">
        <x:f>IF(G8318&gt;H8318,1,0)</x:f>
        <x:v>0</x:v>
      </x:c>
      <x:c r="L8318" s="6" t="n">
        <x:f>J8318*K8318</x:f>
        <x:v>0</x:v>
      </x:c>
    </x:row>
    <x:row r="8319">
      <x:c r="A8319" s="1" t="n">
        <x:v>66639</x:v>
      </x:c>
      <x:c r="B8319" s="5" t="d">
        <x:v>2017-08-30T00:00:00.000Z</x:v>
      </x:c>
      <x:c r="C8319" s="1" t="str">
        <x:v>Standard Class</x:v>
      </x:c>
      <x:c r="D8319" s="1" t="str">
        <x:v>Europe</x:v>
      </x:c>
      <x:c r="E8319" s="1" t="str">
        <x:v>COMPLETE</x:v>
      </x:c>
      <x:c r="F8319" s="1" t="str">
        <x:v>Late delivery</x:v>
      </x:c>
      <x:c r="G8319" s="6" t="n">
        <x:v>5</x:v>
      </x:c>
      <x:c r="H8319" s="6" t="n">
        <x:v>4</x:v>
      </x:c>
      <x:c r="I8319" s="6" t="n">
        <x:f>G8319-H8319</x:f>
        <x:v>1</x:v>
      </x:c>
      <x:c r="J8319" s="6" t="n">
        <x:f>IF(OR(E8319="CANCELED",E8319="SUSPECTED_FRAUD",F8319="Shipping canceled"),0,1)</x:f>
        <x:v>1</x:v>
      </x:c>
      <x:c r="K8319" s="6" t="n">
        <x:f>IF(G8319&gt;H8319,1,0)</x:f>
        <x:v>1</x:v>
      </x:c>
      <x:c r="L8319" s="6" t="n">
        <x:f>J8319*K8319</x:f>
        <x:v>1</x:v>
      </x:c>
    </x:row>
    <x:row r="8320">
      <x:c r="A8320" s="1" t="n">
        <x:v>66661</x:v>
      </x:c>
      <x:c r="B8320" s="5" t="d">
        <x:v>2017-08-31T00:00:00.000Z</x:v>
      </x:c>
      <x:c r="C8320" s="1" t="str">
        <x:v>Standard Class</x:v>
      </x:c>
      <x:c r="D8320" s="1" t="str">
        <x:v>Europe</x:v>
      </x:c>
      <x:c r="E8320" s="1" t="str">
        <x:v>PROCESSING</x:v>
      </x:c>
      <x:c r="F8320" s="1" t="str">
        <x:v>Advance shipping</x:v>
      </x:c>
      <x:c r="G8320" s="6" t="n">
        <x:v>2</x:v>
      </x:c>
      <x:c r="H8320" s="6" t="n">
        <x:v>4</x:v>
      </x:c>
      <x:c r="I8320" s="6" t="n">
        <x:f>G8320-H8320</x:f>
        <x:v>-2</x:v>
      </x:c>
      <x:c r="J8320" s="6" t="n">
        <x:f>IF(OR(E8320="CANCELED",E8320="SUSPECTED_FRAUD",F8320="Shipping canceled"),0,1)</x:f>
        <x:v>1</x:v>
      </x:c>
      <x:c r="K8320" s="6" t="n">
        <x:f>IF(G8320&gt;H8320,1,0)</x:f>
        <x:v>0</x:v>
      </x:c>
      <x:c r="L8320" s="6" t="n">
        <x:f>J8320*K8320</x:f>
        <x:v>0</x:v>
      </x:c>
    </x:row>
    <x:row r="8321">
      <x:c r="A8321" s="1" t="n">
        <x:v>66665</x:v>
      </x:c>
      <x:c r="B8321" s="5" t="d">
        <x:v>2017-08-31T00:00:00.000Z</x:v>
      </x:c>
      <x:c r="C8321" s="1" t="str">
        <x:v>Standard Class</x:v>
      </x:c>
      <x:c r="D8321" s="1" t="str">
        <x:v>Europe</x:v>
      </x:c>
      <x:c r="E8321" s="1" t="str">
        <x:v>COMPLETE</x:v>
      </x:c>
      <x:c r="F8321" s="1" t="str">
        <x:v>Late delivery</x:v>
      </x:c>
      <x:c r="G8321" s="6" t="n">
        <x:v>6</x:v>
      </x:c>
      <x:c r="H8321" s="6" t="n">
        <x:v>4</x:v>
      </x:c>
      <x:c r="I8321" s="6" t="n">
        <x:f>G8321-H8321</x:f>
        <x:v>2</x:v>
      </x:c>
      <x:c r="J8321" s="6" t="n">
        <x:f>IF(OR(E8321="CANCELED",E8321="SUSPECTED_FRAUD",F8321="Shipping canceled"),0,1)</x:f>
        <x:v>1</x:v>
      </x:c>
      <x:c r="K8321" s="6" t="n">
        <x:f>IF(G8321&gt;H8321,1,0)</x:f>
        <x:v>1</x:v>
      </x:c>
      <x:c r="L8321" s="6" t="n">
        <x:f>J8321*K8321</x:f>
        <x:v>1</x:v>
      </x:c>
    </x:row>
    <x:row r="8322">
      <x:c r="A8322" s="1" t="n">
        <x:v>66669</x:v>
      </x:c>
      <x:c r="B8322" s="5" t="d">
        <x:v>2017-08-31T00:00:00.000Z</x:v>
      </x:c>
      <x:c r="C8322" s="1" t="str">
        <x:v>Standard Class</x:v>
      </x:c>
      <x:c r="D8322" s="1" t="str">
        <x:v>Europe</x:v>
      </x:c>
      <x:c r="E8322" s="1" t="str">
        <x:v>PROCESSING</x:v>
      </x:c>
      <x:c r="F8322" s="1" t="str">
        <x:v>Late delivery</x:v>
      </x:c>
      <x:c r="G8322" s="6" t="n">
        <x:v>5</x:v>
      </x:c>
      <x:c r="H8322" s="6" t="n">
        <x:v>4</x:v>
      </x:c>
      <x:c r="I8322" s="6" t="n">
        <x:f>G8322-H8322</x:f>
        <x:v>1</x:v>
      </x:c>
      <x:c r="J8322" s="6" t="n">
        <x:f>IF(OR(E8322="CANCELED",E8322="SUSPECTED_FRAUD",F8322="Shipping canceled"),0,1)</x:f>
        <x:v>1</x:v>
      </x:c>
      <x:c r="K8322" s="6" t="n">
        <x:f>IF(G8322&gt;H8322,1,0)</x:f>
        <x:v>1</x:v>
      </x:c>
      <x:c r="L8322" s="6" t="n">
        <x:f>J8322*K8322</x:f>
        <x:v>1</x:v>
      </x:c>
    </x:row>
    <x:row r="8323">
      <x:c r="A8323" s="1" t="n">
        <x:v>66677</x:v>
      </x:c>
      <x:c r="B8323" s="5" t="d">
        <x:v>2017-08-31T00:00:00.000Z</x:v>
      </x:c>
      <x:c r="C8323" s="1" t="str">
        <x:v>Standard Class</x:v>
      </x:c>
      <x:c r="D8323" s="1" t="str">
        <x:v>Europe</x:v>
      </x:c>
      <x:c r="E8323" s="1" t="str">
        <x:v>CLOSED</x:v>
      </x:c>
      <x:c r="F8323" s="1" t="str">
        <x:v>Advance shipping</x:v>
      </x:c>
      <x:c r="G8323" s="6" t="n">
        <x:v>3</x:v>
      </x:c>
      <x:c r="H8323" s="6" t="n">
        <x:v>4</x:v>
      </x:c>
      <x:c r="I8323" s="6" t="n">
        <x:f>G8323-H8323</x:f>
        <x:v>-1</x:v>
      </x:c>
      <x:c r="J8323" s="6" t="n">
        <x:f>IF(OR(E8323="CANCELED",E8323="SUSPECTED_FRAUD",F8323="Shipping canceled"),0,1)</x:f>
        <x:v>1</x:v>
      </x:c>
      <x:c r="K8323" s="6" t="n">
        <x:f>IF(G8323&gt;H8323,1,0)</x:f>
        <x:v>0</x:v>
      </x:c>
      <x:c r="L8323" s="6" t="n">
        <x:f>J8323*K8323</x:f>
        <x:v>0</x:v>
      </x:c>
    </x:row>
    <x:row r="8324">
      <x:c r="A8324" s="1" t="n">
        <x:v>66688</x:v>
      </x:c>
      <x:c r="B8324" s="5" t="d">
        <x:v>2017-08-31T00:00:00.000Z</x:v>
      </x:c>
      <x:c r="C8324" s="1" t="str">
        <x:v>Standard Class</x:v>
      </x:c>
      <x:c r="D8324" s="1" t="str">
        <x:v>Europe</x:v>
      </x:c>
      <x:c r="E8324" s="1" t="str">
        <x:v>ON_HOLD</x:v>
      </x:c>
      <x:c r="F8324" s="1" t="str">
        <x:v>Shipping on time</x:v>
      </x:c>
      <x:c r="G8324" s="6" t="n">
        <x:v>4</x:v>
      </x:c>
      <x:c r="H8324" s="6" t="n">
        <x:v>4</x:v>
      </x:c>
      <x:c r="I8324" s="6" t="n">
        <x:f>G8324-H8324</x:f>
        <x:v>0</x:v>
      </x:c>
      <x:c r="J8324" s="6" t="n">
        <x:f>IF(OR(E8324="CANCELED",E8324="SUSPECTED_FRAUD",F8324="Shipping canceled"),0,1)</x:f>
        <x:v>1</x:v>
      </x:c>
      <x:c r="K8324" s="6" t="n">
        <x:f>IF(G8324&gt;H8324,1,0)</x:f>
        <x:v>0</x:v>
      </x:c>
      <x:c r="L8324" s="6" t="n">
        <x:f>J8324*K8324</x:f>
        <x:v>0</x:v>
      </x:c>
    </x:row>
    <x:row r="8325">
      <x:c r="A8325" s="1" t="n">
        <x:v>66702</x:v>
      </x:c>
      <x:c r="B8325" s="5" t="d">
        <x:v>2017-08-31T00:00:00.000Z</x:v>
      </x:c>
      <x:c r="C8325" s="1" t="str">
        <x:v>Standard Class</x:v>
      </x:c>
      <x:c r="D8325" s="1" t="str">
        <x:v>Europe</x:v>
      </x:c>
      <x:c r="E8325" s="1" t="str">
        <x:v>COMPLETE</x:v>
      </x:c>
      <x:c r="F8325" s="1" t="str">
        <x:v>Advance shipping</x:v>
      </x:c>
      <x:c r="G8325" s="6" t="n">
        <x:v>3</x:v>
      </x:c>
      <x:c r="H8325" s="6" t="n">
        <x:v>4</x:v>
      </x:c>
      <x:c r="I8325" s="6" t="n">
        <x:f>G8325-H8325</x:f>
        <x:v>-1</x:v>
      </x:c>
      <x:c r="J8325" s="6" t="n">
        <x:f>IF(OR(E8325="CANCELED",E8325="SUSPECTED_FRAUD",F8325="Shipping canceled"),0,1)</x:f>
        <x:v>1</x:v>
      </x:c>
      <x:c r="K8325" s="6" t="n">
        <x:f>IF(G8325&gt;H8325,1,0)</x:f>
        <x:v>0</x:v>
      </x:c>
      <x:c r="L8325" s="6" t="n">
        <x:f>J8325*K8325</x:f>
        <x:v>0</x:v>
      </x:c>
    </x:row>
    <x:row r="8326">
      <x:c r="A8326" s="1" t="n">
        <x:v>66704</x:v>
      </x:c>
      <x:c r="B8326" s="5" t="d">
        <x:v>2017-08-31T00:00:00.000Z</x:v>
      </x:c>
      <x:c r="C8326" s="1" t="str">
        <x:v>Second Class</x:v>
      </x:c>
      <x:c r="D8326" s="1" t="str">
        <x:v>Europe</x:v>
      </x:c>
      <x:c r="E8326" s="1" t="str">
        <x:v>PROCESSING</x:v>
      </x:c>
      <x:c r="F8326" s="1" t="str">
        <x:v>Late delivery</x:v>
      </x:c>
      <x:c r="G8326" s="6" t="n">
        <x:v>5</x:v>
      </x:c>
      <x:c r="H8326" s="6" t="n">
        <x:v>2</x:v>
      </x:c>
      <x:c r="I8326" s="6" t="n">
        <x:f>G8326-H8326</x:f>
        <x:v>3</x:v>
      </x:c>
      <x:c r="J8326" s="6" t="n">
        <x:f>IF(OR(E8326="CANCELED",E8326="SUSPECTED_FRAUD",F8326="Shipping canceled"),0,1)</x:f>
        <x:v>1</x:v>
      </x:c>
      <x:c r="K8326" s="6" t="n">
        <x:f>IF(G8326&gt;H8326,1,0)</x:f>
        <x:v>1</x:v>
      </x:c>
      <x:c r="L8326" s="6" t="n">
        <x:f>J8326*K8326</x:f>
        <x:v>1</x:v>
      </x:c>
    </x:row>
    <x:row r="8327">
      <x:c r="A8327" s="1" t="n">
        <x:v>66705</x:v>
      </x:c>
      <x:c r="B8327" s="5" t="d">
        <x:v>2017-08-31T00:00:00.000Z</x:v>
      </x:c>
      <x:c r="C8327" s="1" t="str">
        <x:v>Standard Class</x:v>
      </x:c>
      <x:c r="D8327" s="1" t="str">
        <x:v>Europe</x:v>
      </x:c>
      <x:c r="E8327" s="1" t="str">
        <x:v>PENDING</x:v>
      </x:c>
      <x:c r="F8327" s="1" t="str">
        <x:v>Late delivery</x:v>
      </x:c>
      <x:c r="G8327" s="6" t="n">
        <x:v>6</x:v>
      </x:c>
      <x:c r="H8327" s="6" t="n">
        <x:v>4</x:v>
      </x:c>
      <x:c r="I8327" s="6" t="n">
        <x:f>G8327-H8327</x:f>
        <x:v>2</x:v>
      </x:c>
      <x:c r="J8327" s="6" t="n">
        <x:f>IF(OR(E8327="CANCELED",E8327="SUSPECTED_FRAUD",F8327="Shipping canceled"),0,1)</x:f>
        <x:v>1</x:v>
      </x:c>
      <x:c r="K8327" s="6" t="n">
        <x:f>IF(G8327&gt;H8327,1,0)</x:f>
        <x:v>1</x:v>
      </x:c>
      <x:c r="L8327" s="6" t="n">
        <x:f>J8327*K8327</x:f>
        <x:v>1</x:v>
      </x:c>
    </x:row>
    <x:row r="8328">
      <x:c r="A8328" s="1" t="n">
        <x:v>66713</x:v>
      </x:c>
      <x:c r="B8328" s="5" t="d">
        <x:v>2017-08-31T00:00:00.000Z</x:v>
      </x:c>
      <x:c r="C8328" s="1" t="str">
        <x:v>Standard Class</x:v>
      </x:c>
      <x:c r="D8328" s="1" t="str">
        <x:v>Europe</x:v>
      </x:c>
      <x:c r="E8328" s="1" t="str">
        <x:v>COMPLETE</x:v>
      </x:c>
      <x:c r="F8328" s="1" t="str">
        <x:v>Shipping on time</x:v>
      </x:c>
      <x:c r="G8328" s="6" t="n">
        <x:v>4</x:v>
      </x:c>
      <x:c r="H8328" s="6" t="n">
        <x:v>4</x:v>
      </x:c>
      <x:c r="I8328" s="6" t="n">
        <x:f>G8328-H8328</x:f>
        <x:v>0</x:v>
      </x:c>
      <x:c r="J8328" s="6" t="n">
        <x:f>IF(OR(E8328="CANCELED",E8328="SUSPECTED_FRAUD",F8328="Shipping canceled"),0,1)</x:f>
        <x:v>1</x:v>
      </x:c>
      <x:c r="K8328" s="6" t="n">
        <x:f>IF(G8328&gt;H8328,1,0)</x:f>
        <x:v>0</x:v>
      </x:c>
      <x:c r="L8328" s="6" t="n">
        <x:f>J8328*K8328</x:f>
        <x:v>0</x:v>
      </x:c>
    </x:row>
    <x:row r="8329">
      <x:c r="A8329" s="1" t="n">
        <x:v>66723</x:v>
      </x:c>
      <x:c r="B8329" s="5" t="d">
        <x:v>2017-08-31T00:00:00.000Z</x:v>
      </x:c>
      <x:c r="C8329" s="1" t="str">
        <x:v>Standard Class</x:v>
      </x:c>
      <x:c r="D8329" s="1" t="str">
        <x:v>Europe</x:v>
      </x:c>
      <x:c r="E8329" s="1" t="str">
        <x:v>PROCESSING</x:v>
      </x:c>
      <x:c r="F8329" s="1" t="str">
        <x:v>Shipping on time</x:v>
      </x:c>
      <x:c r="G8329" s="6" t="n">
        <x:v>4</x:v>
      </x:c>
      <x:c r="H8329" s="6" t="n">
        <x:v>4</x:v>
      </x:c>
      <x:c r="I8329" s="6" t="n">
        <x:f>G8329-H8329</x:f>
        <x:v>0</x:v>
      </x:c>
      <x:c r="J8329" s="6" t="n">
        <x:f>IF(OR(E8329="CANCELED",E8329="SUSPECTED_FRAUD",F8329="Shipping canceled"),0,1)</x:f>
        <x:v>1</x:v>
      </x:c>
      <x:c r="K8329" s="6" t="n">
        <x:f>IF(G8329&gt;H8329,1,0)</x:f>
        <x:v>0</x:v>
      </x:c>
      <x:c r="L8329" s="6" t="n">
        <x:f>J8329*K8329</x:f>
        <x:v>0</x:v>
      </x:c>
    </x:row>
    <x:row r="8330">
      <x:c r="A8330" s="1" t="n">
        <x:v>66727</x:v>
      </x:c>
      <x:c r="B8330" s="5" t="d">
        <x:v>2017-09-01T00:00:00.000Z</x:v>
      </x:c>
      <x:c r="C8330" s="1" t="str">
        <x:v>Standard Class</x:v>
      </x:c>
      <x:c r="D8330" s="1" t="str">
        <x:v>Europe</x:v>
      </x:c>
      <x:c r="E8330" s="1" t="str">
        <x:v>SUSPECTED_FRAUD</x:v>
      </x:c>
      <x:c r="F8330" s="1" t="str">
        <x:v>Shipping canceled</x:v>
      </x:c>
      <x:c r="G8330" s="6" t="n">
        <x:v>3</x:v>
      </x:c>
      <x:c r="H8330" s="6" t="n">
        <x:v>4</x:v>
      </x:c>
      <x:c r="I8330" s="6" t="n">
        <x:f>G8330-H8330</x:f>
        <x:v>-1</x:v>
      </x:c>
      <x:c r="J8330" s="6" t="n">
        <x:f>IF(OR(E8330="CANCELED",E8330="SUSPECTED_FRAUD",F8330="Shipping canceled"),0,1)</x:f>
        <x:v>0</x:v>
      </x:c>
      <x:c r="K8330" s="6" t="n">
        <x:f>IF(G8330&gt;H8330,1,0)</x:f>
        <x:v>0</x:v>
      </x:c>
      <x:c r="L8330" s="6" t="n">
        <x:f>J8330*K8330</x:f>
        <x:v>0</x:v>
      </x:c>
    </x:row>
    <x:row r="8331">
      <x:c r="A8331" s="1" t="n">
        <x:v>66728</x:v>
      </x:c>
      <x:c r="B8331" s="5" t="d">
        <x:v>2017-09-01T00:00:00.000Z</x:v>
      </x:c>
      <x:c r="C8331" s="1" t="str">
        <x:v>Standard Class</x:v>
      </x:c>
      <x:c r="D8331" s="1" t="str">
        <x:v>Europe</x:v>
      </x:c>
      <x:c r="E8331" s="1" t="str">
        <x:v>COMPLETE</x:v>
      </x:c>
      <x:c r="F8331" s="1" t="str">
        <x:v>Shipping on time</x:v>
      </x:c>
      <x:c r="G8331" s="6" t="n">
        <x:v>4</x:v>
      </x:c>
      <x:c r="H8331" s="6" t="n">
        <x:v>4</x:v>
      </x:c>
      <x:c r="I8331" s="6" t="n">
        <x:f>G8331-H8331</x:f>
        <x:v>0</x:v>
      </x:c>
      <x:c r="J8331" s="6" t="n">
        <x:f>IF(OR(E8331="CANCELED",E8331="SUSPECTED_FRAUD",F8331="Shipping canceled"),0,1)</x:f>
        <x:v>1</x:v>
      </x:c>
      <x:c r="K8331" s="6" t="n">
        <x:f>IF(G8331&gt;H8331,1,0)</x:f>
        <x:v>0</x:v>
      </x:c>
      <x:c r="L8331" s="6" t="n">
        <x:f>J8331*K8331</x:f>
        <x:v>0</x:v>
      </x:c>
    </x:row>
    <x:row r="8332">
      <x:c r="A8332" s="1" t="n">
        <x:v>66730</x:v>
      </x:c>
      <x:c r="B8332" s="5" t="d">
        <x:v>2017-09-01T00:00:00.000Z</x:v>
      </x:c>
      <x:c r="C8332" s="1" t="str">
        <x:v>Second Class</x:v>
      </x:c>
      <x:c r="D8332" s="1" t="str">
        <x:v>Europe</x:v>
      </x:c>
      <x:c r="E8332" s="1" t="str">
        <x:v>COMPLETE</x:v>
      </x:c>
      <x:c r="F8332" s="1" t="str">
        <x:v>Late delivery</x:v>
      </x:c>
      <x:c r="G8332" s="6" t="n">
        <x:v>6</x:v>
      </x:c>
      <x:c r="H8332" s="6" t="n">
        <x:v>2</x:v>
      </x:c>
      <x:c r="I8332" s="6" t="n">
        <x:f>G8332-H8332</x:f>
        <x:v>4</x:v>
      </x:c>
      <x:c r="J8332" s="6" t="n">
        <x:f>IF(OR(E8332="CANCELED",E8332="SUSPECTED_FRAUD",F8332="Shipping canceled"),0,1)</x:f>
        <x:v>1</x:v>
      </x:c>
      <x:c r="K8332" s="6" t="n">
        <x:f>IF(G8332&gt;H8332,1,0)</x:f>
        <x:v>1</x:v>
      </x:c>
      <x:c r="L8332" s="6" t="n">
        <x:f>J8332*K8332</x:f>
        <x:v>1</x:v>
      </x:c>
    </x:row>
    <x:row r="8333">
      <x:c r="A8333" s="1" t="n">
        <x:v>66734</x:v>
      </x:c>
      <x:c r="B8333" s="5" t="d">
        <x:v>2017-09-01T00:00:00.000Z</x:v>
      </x:c>
      <x:c r="C8333" s="1" t="str">
        <x:v>Standard Class</x:v>
      </x:c>
      <x:c r="D8333" s="1" t="str">
        <x:v>Europe</x:v>
      </x:c>
      <x:c r="E8333" s="1" t="str">
        <x:v>COMPLETE</x:v>
      </x:c>
      <x:c r="F8333" s="1" t="str">
        <x:v>Late delivery</x:v>
      </x:c>
      <x:c r="G8333" s="6" t="n">
        <x:v>5</x:v>
      </x:c>
      <x:c r="H8333" s="6" t="n">
        <x:v>4</x:v>
      </x:c>
      <x:c r="I8333" s="6" t="n">
        <x:f>G8333-H8333</x:f>
        <x:v>1</x:v>
      </x:c>
      <x:c r="J8333" s="6" t="n">
        <x:f>IF(OR(E8333="CANCELED",E8333="SUSPECTED_FRAUD",F8333="Shipping canceled"),0,1)</x:f>
        <x:v>1</x:v>
      </x:c>
      <x:c r="K8333" s="6" t="n">
        <x:f>IF(G8333&gt;H8333,1,0)</x:f>
        <x:v>1</x:v>
      </x:c>
      <x:c r="L8333" s="6" t="n">
        <x:f>J8333*K8333</x:f>
        <x:v>1</x:v>
      </x:c>
    </x:row>
    <x:row r="8334">
      <x:c r="A8334" s="1" t="n">
        <x:v>66746</x:v>
      </x:c>
      <x:c r="B8334" s="5" t="d">
        <x:v>2017-09-01T00:00:00.000Z</x:v>
      </x:c>
      <x:c r="C8334" s="1" t="str">
        <x:v>Standard Class</x:v>
      </x:c>
      <x:c r="D8334" s="1" t="str">
        <x:v>Europe</x:v>
      </x:c>
      <x:c r="E8334" s="1" t="str">
        <x:v>COMPLETE</x:v>
      </x:c>
      <x:c r="F8334" s="1" t="str">
        <x:v>Advance shipping</x:v>
      </x:c>
      <x:c r="G8334" s="6" t="n">
        <x:v>2</x:v>
      </x:c>
      <x:c r="H8334" s="6" t="n">
        <x:v>4</x:v>
      </x:c>
      <x:c r="I8334" s="6" t="n">
        <x:f>G8334-H8334</x:f>
        <x:v>-2</x:v>
      </x:c>
      <x:c r="J8334" s="6" t="n">
        <x:f>IF(OR(E8334="CANCELED",E8334="SUSPECTED_FRAUD",F8334="Shipping canceled"),0,1)</x:f>
        <x:v>1</x:v>
      </x:c>
      <x:c r="K8334" s="6" t="n">
        <x:f>IF(G8334&gt;H8334,1,0)</x:f>
        <x:v>0</x:v>
      </x:c>
      <x:c r="L8334" s="6" t="n">
        <x:f>J8334*K8334</x:f>
        <x:v>0</x:v>
      </x:c>
    </x:row>
    <x:row r="8335">
      <x:c r="A8335" s="1" t="n">
        <x:v>66752</x:v>
      </x:c>
      <x:c r="B8335" s="5" t="d">
        <x:v>2017-09-01T00:00:00.000Z</x:v>
      </x:c>
      <x:c r="C8335" s="1" t="str">
        <x:v>Second Class</x:v>
      </x:c>
      <x:c r="D8335" s="1" t="str">
        <x:v>Europe</x:v>
      </x:c>
      <x:c r="E8335" s="1" t="str">
        <x:v>CLOSED</x:v>
      </x:c>
      <x:c r="F8335" s="1" t="str">
        <x:v>Late delivery</x:v>
      </x:c>
      <x:c r="G8335" s="6" t="n">
        <x:v>3</x:v>
      </x:c>
      <x:c r="H8335" s="6" t="n">
        <x:v>2</x:v>
      </x:c>
      <x:c r="I8335" s="6" t="n">
        <x:f>G8335-H8335</x:f>
        <x:v>1</x:v>
      </x:c>
      <x:c r="J8335" s="6" t="n">
        <x:f>IF(OR(E8335="CANCELED",E8335="SUSPECTED_FRAUD",F8335="Shipping canceled"),0,1)</x:f>
        <x:v>1</x:v>
      </x:c>
      <x:c r="K8335" s="6" t="n">
        <x:f>IF(G8335&gt;H8335,1,0)</x:f>
        <x:v>1</x:v>
      </x:c>
      <x:c r="L8335" s="6" t="n">
        <x:f>J8335*K8335</x:f>
        <x:v>1</x:v>
      </x:c>
    </x:row>
    <x:row r="8336">
      <x:c r="A8336" s="1" t="n">
        <x:v>66758</x:v>
      </x:c>
      <x:c r="B8336" s="5" t="d">
        <x:v>2017-09-01T00:00:00.000Z</x:v>
      </x:c>
      <x:c r="C8336" s="1" t="str">
        <x:v>Second Class</x:v>
      </x:c>
      <x:c r="D8336" s="1" t="str">
        <x:v>Europe</x:v>
      </x:c>
      <x:c r="E8336" s="1" t="str">
        <x:v>COMPLETE</x:v>
      </x:c>
      <x:c r="F8336" s="1" t="str">
        <x:v>Late delivery</x:v>
      </x:c>
      <x:c r="G8336" s="6" t="n">
        <x:v>4</x:v>
      </x:c>
      <x:c r="H8336" s="6" t="n">
        <x:v>2</x:v>
      </x:c>
      <x:c r="I8336" s="6" t="n">
        <x:f>G8336-H8336</x:f>
        <x:v>2</x:v>
      </x:c>
      <x:c r="J8336" s="6" t="n">
        <x:f>IF(OR(E8336="CANCELED",E8336="SUSPECTED_FRAUD",F8336="Shipping canceled"),0,1)</x:f>
        <x:v>1</x:v>
      </x:c>
      <x:c r="K8336" s="6" t="n">
        <x:f>IF(G8336&gt;H8336,1,0)</x:f>
        <x:v>1</x:v>
      </x:c>
      <x:c r="L8336" s="6" t="n">
        <x:f>J8336*K8336</x:f>
        <x:v>1</x:v>
      </x:c>
    </x:row>
    <x:row r="8337">
      <x:c r="A8337" s="1" t="n">
        <x:v>66760</x:v>
      </x:c>
      <x:c r="B8337" s="5" t="d">
        <x:v>2017-09-01T00:00:00.000Z</x:v>
      </x:c>
      <x:c r="C8337" s="1" t="str">
        <x:v>Standard Class</x:v>
      </x:c>
      <x:c r="D8337" s="1" t="str">
        <x:v>Europe</x:v>
      </x:c>
      <x:c r="E8337" s="1" t="str">
        <x:v>PROCESSING</x:v>
      </x:c>
      <x:c r="F8337" s="1" t="str">
        <x:v>Late delivery</x:v>
      </x:c>
      <x:c r="G8337" s="6" t="n">
        <x:v>6</x:v>
      </x:c>
      <x:c r="H8337" s="6" t="n">
        <x:v>4</x:v>
      </x:c>
      <x:c r="I8337" s="6" t="n">
        <x:f>G8337-H8337</x:f>
        <x:v>2</x:v>
      </x:c>
      <x:c r="J8337" s="6" t="n">
        <x:f>IF(OR(E8337="CANCELED",E8337="SUSPECTED_FRAUD",F8337="Shipping canceled"),0,1)</x:f>
        <x:v>1</x:v>
      </x:c>
      <x:c r="K8337" s="6" t="n">
        <x:f>IF(G8337&gt;H8337,1,0)</x:f>
        <x:v>1</x:v>
      </x:c>
      <x:c r="L8337" s="6" t="n">
        <x:f>J8337*K8337</x:f>
        <x:v>1</x:v>
      </x:c>
    </x:row>
    <x:row r="8338">
      <x:c r="A8338" s="1" t="n">
        <x:v>66764</x:v>
      </x:c>
      <x:c r="B8338" s="5" t="d">
        <x:v>2017-09-01T00:00:00.000Z</x:v>
      </x:c>
      <x:c r="C8338" s="1" t="str">
        <x:v>Standard Class</x:v>
      </x:c>
      <x:c r="D8338" s="1" t="str">
        <x:v>Europe</x:v>
      </x:c>
      <x:c r="E8338" s="1" t="str">
        <x:v>CANCELED</x:v>
      </x:c>
      <x:c r="F8338" s="1" t="str">
        <x:v>Shipping canceled</x:v>
      </x:c>
      <x:c r="G8338" s="6" t="n">
        <x:v>5</x:v>
      </x:c>
      <x:c r="H8338" s="6" t="n">
        <x:v>4</x:v>
      </x:c>
      <x:c r="I8338" s="6" t="n">
        <x:f>G8338-H8338</x:f>
        <x:v>1</x:v>
      </x:c>
      <x:c r="J8338" s="6" t="n">
        <x:f>IF(OR(E8338="CANCELED",E8338="SUSPECTED_FRAUD",F8338="Shipping canceled"),0,1)</x:f>
        <x:v>0</x:v>
      </x:c>
      <x:c r="K8338" s="6" t="n">
        <x:f>IF(G8338&gt;H8338,1,0)</x:f>
        <x:v>1</x:v>
      </x:c>
      <x:c r="L8338" s="6" t="n">
        <x:f>J8338*K8338</x:f>
        <x:v>0</x:v>
      </x:c>
    </x:row>
    <x:row r="8339">
      <x:c r="A8339" s="1" t="n">
        <x:v>66766</x:v>
      </x:c>
      <x:c r="B8339" s="5" t="d">
        <x:v>2017-09-01T00:00:00.000Z</x:v>
      </x:c>
      <x:c r="C8339" s="1" t="str">
        <x:v>Second Class</x:v>
      </x:c>
      <x:c r="D8339" s="1" t="str">
        <x:v>Europe</x:v>
      </x:c>
      <x:c r="E8339" s="1" t="str">
        <x:v>COMPLETE</x:v>
      </x:c>
      <x:c r="F8339" s="1" t="str">
        <x:v>Shipping on time</x:v>
      </x:c>
      <x:c r="G8339" s="6" t="n">
        <x:v>2</x:v>
      </x:c>
      <x:c r="H8339" s="6" t="n">
        <x:v>2</x:v>
      </x:c>
      <x:c r="I8339" s="6" t="n">
        <x:f>G8339-H8339</x:f>
        <x:v>0</x:v>
      </x:c>
      <x:c r="J8339" s="6" t="n">
        <x:f>IF(OR(E8339="CANCELED",E8339="SUSPECTED_FRAUD",F8339="Shipping canceled"),0,1)</x:f>
        <x:v>1</x:v>
      </x:c>
      <x:c r="K8339" s="6" t="n">
        <x:f>IF(G8339&gt;H8339,1,0)</x:f>
        <x:v>0</x:v>
      </x:c>
      <x:c r="L8339" s="6" t="n">
        <x:f>J8339*K8339</x:f>
        <x:v>0</x:v>
      </x:c>
    </x:row>
    <x:row r="8340">
      <x:c r="A8340" s="1" t="n">
        <x:v>66768</x:v>
      </x:c>
      <x:c r="B8340" s="5" t="d">
        <x:v>2017-09-01T00:00:00.000Z</x:v>
      </x:c>
      <x:c r="C8340" s="1" t="str">
        <x:v>Standard Class</x:v>
      </x:c>
      <x:c r="D8340" s="1" t="str">
        <x:v>Europe</x:v>
      </x:c>
      <x:c r="E8340" s="1" t="str">
        <x:v>PENDING</x:v>
      </x:c>
      <x:c r="F8340" s="1" t="str">
        <x:v>Shipping on time</x:v>
      </x:c>
      <x:c r="G8340" s="6" t="n">
        <x:v>4</x:v>
      </x:c>
      <x:c r="H8340" s="6" t="n">
        <x:v>4</x:v>
      </x:c>
      <x:c r="I8340" s="6" t="n">
        <x:f>G8340-H8340</x:f>
        <x:v>0</x:v>
      </x:c>
      <x:c r="J8340" s="6" t="n">
        <x:f>IF(OR(E8340="CANCELED",E8340="SUSPECTED_FRAUD",F8340="Shipping canceled"),0,1)</x:f>
        <x:v>1</x:v>
      </x:c>
      <x:c r="K8340" s="6" t="n">
        <x:f>IF(G8340&gt;H8340,1,0)</x:f>
        <x:v>0</x:v>
      </x:c>
      <x:c r="L8340" s="6" t="n">
        <x:f>J8340*K8340</x:f>
        <x:v>0</x:v>
      </x:c>
    </x:row>
    <x:row r="8341">
      <x:c r="A8341" s="1" t="n">
        <x:v>66790</x:v>
      </x:c>
      <x:c r="B8341" s="5" t="d">
        <x:v>2017-09-01T00:00:00.000Z</x:v>
      </x:c>
      <x:c r="C8341" s="1" t="str">
        <x:v>Same Day</x:v>
      </x:c>
      <x:c r="D8341" s="1" t="str">
        <x:v>Europe</x:v>
      </x:c>
      <x:c r="E8341" s="1" t="str">
        <x:v>PROCESSING</x:v>
      </x:c>
      <x:c r="F8341" s="1" t="str">
        <x:v>Late delivery</x:v>
      </x:c>
      <x:c r="G8341" s="6" t="n">
        <x:v>1</x:v>
      </x:c>
      <x:c r="H8341" s="6" t="n">
        <x:v>0</x:v>
      </x:c>
      <x:c r="I8341" s="6" t="n">
        <x:f>G8341-H8341</x:f>
        <x:v>1</x:v>
      </x:c>
      <x:c r="J8341" s="6" t="n">
        <x:f>IF(OR(E8341="CANCELED",E8341="SUSPECTED_FRAUD",F8341="Shipping canceled"),0,1)</x:f>
        <x:v>1</x:v>
      </x:c>
      <x:c r="K8341" s="6" t="n">
        <x:f>IF(G8341&gt;H8341,1,0)</x:f>
        <x:v>1</x:v>
      </x:c>
      <x:c r="L8341" s="6" t="n">
        <x:f>J8341*K8341</x:f>
        <x:v>1</x:v>
      </x:c>
    </x:row>
    <x:row r="8342">
      <x:c r="A8342" s="1" t="n">
        <x:v>66793</x:v>
      </x:c>
      <x:c r="B8342" s="5" t="d">
        <x:v>2017-09-02T00:00:00.000Z</x:v>
      </x:c>
      <x:c r="C8342" s="1" t="str">
        <x:v>Standard Class</x:v>
      </x:c>
      <x:c r="D8342" s="1" t="str">
        <x:v>Europe</x:v>
      </x:c>
      <x:c r="E8342" s="1" t="str">
        <x:v>CANCELED</x:v>
      </x:c>
      <x:c r="F8342" s="1" t="str">
        <x:v>Shipping canceled</x:v>
      </x:c>
      <x:c r="G8342" s="6" t="n">
        <x:v>4</x:v>
      </x:c>
      <x:c r="H8342" s="6" t="n">
        <x:v>4</x:v>
      </x:c>
      <x:c r="I8342" s="6" t="n">
        <x:f>G8342-H8342</x:f>
        <x:v>0</x:v>
      </x:c>
      <x:c r="J8342" s="6" t="n">
        <x:f>IF(OR(E8342="CANCELED",E8342="SUSPECTED_FRAUD",F8342="Shipping canceled"),0,1)</x:f>
        <x:v>0</x:v>
      </x:c>
      <x:c r="K8342" s="6" t="n">
        <x:f>IF(G8342&gt;H8342,1,0)</x:f>
        <x:v>0</x:v>
      </x:c>
      <x:c r="L8342" s="6" t="n">
        <x:f>J8342*K8342</x:f>
        <x:v>0</x:v>
      </x:c>
    </x:row>
    <x:row r="8343">
      <x:c r="A8343" s="1" t="n">
        <x:v>66794</x:v>
      </x:c>
      <x:c r="B8343" s="5" t="d">
        <x:v>2017-09-02T00:00:00.000Z</x:v>
      </x:c>
      <x:c r="C8343" s="1" t="str">
        <x:v>Standard Class</x:v>
      </x:c>
      <x:c r="D8343" s="1" t="str">
        <x:v>Europe</x:v>
      </x:c>
      <x:c r="E8343" s="1" t="str">
        <x:v>COMPLETE</x:v>
      </x:c>
      <x:c r="F8343" s="1" t="str">
        <x:v>Late delivery</x:v>
      </x:c>
      <x:c r="G8343" s="6" t="n">
        <x:v>5</x:v>
      </x:c>
      <x:c r="H8343" s="6" t="n">
        <x:v>4</x:v>
      </x:c>
      <x:c r="I8343" s="6" t="n">
        <x:f>G8343-H8343</x:f>
        <x:v>1</x:v>
      </x:c>
      <x:c r="J8343" s="6" t="n">
        <x:f>IF(OR(E8343="CANCELED",E8343="SUSPECTED_FRAUD",F8343="Shipping canceled"),0,1)</x:f>
        <x:v>1</x:v>
      </x:c>
      <x:c r="K8343" s="6" t="n">
        <x:f>IF(G8343&gt;H8343,1,0)</x:f>
        <x:v>1</x:v>
      </x:c>
      <x:c r="L8343" s="6" t="n">
        <x:f>J8343*K8343</x:f>
        <x:v>1</x:v>
      </x:c>
    </x:row>
    <x:row r="8344">
      <x:c r="A8344" s="1" t="n">
        <x:v>66796</x:v>
      </x:c>
      <x:c r="B8344" s="5" t="d">
        <x:v>2017-09-02T00:00:00.000Z</x:v>
      </x:c>
      <x:c r="C8344" s="1" t="str">
        <x:v>Standard Class</x:v>
      </x:c>
      <x:c r="D8344" s="1" t="str">
        <x:v>Europe</x:v>
      </x:c>
      <x:c r="E8344" s="1" t="str">
        <x:v>PENDING</x:v>
      </x:c>
      <x:c r="F8344" s="1" t="str">
        <x:v>Advance shipping</x:v>
      </x:c>
      <x:c r="G8344" s="6" t="n">
        <x:v>2</x:v>
      </x:c>
      <x:c r="H8344" s="6" t="n">
        <x:v>4</x:v>
      </x:c>
      <x:c r="I8344" s="6" t="n">
        <x:f>G8344-H8344</x:f>
        <x:v>-2</x:v>
      </x:c>
      <x:c r="J8344" s="6" t="n">
        <x:f>IF(OR(E8344="CANCELED",E8344="SUSPECTED_FRAUD",F8344="Shipping canceled"),0,1)</x:f>
        <x:v>1</x:v>
      </x:c>
      <x:c r="K8344" s="6" t="n">
        <x:f>IF(G8344&gt;H8344,1,0)</x:f>
        <x:v>0</x:v>
      </x:c>
      <x:c r="L8344" s="6" t="n">
        <x:f>J8344*K8344</x:f>
        <x:v>0</x:v>
      </x:c>
    </x:row>
    <x:row r="8345">
      <x:c r="A8345" s="1" t="n">
        <x:v>66797</x:v>
      </x:c>
      <x:c r="B8345" s="5" t="d">
        <x:v>2017-09-02T00:00:00.000Z</x:v>
      </x:c>
      <x:c r="C8345" s="1" t="str">
        <x:v>Standard Class</x:v>
      </x:c>
      <x:c r="D8345" s="1" t="str">
        <x:v>Europe</x:v>
      </x:c>
      <x:c r="E8345" s="1" t="str">
        <x:v>PROCESSING</x:v>
      </x:c>
      <x:c r="F8345" s="1" t="str">
        <x:v>Advance shipping</x:v>
      </x:c>
      <x:c r="G8345" s="6" t="n">
        <x:v>3</x:v>
      </x:c>
      <x:c r="H8345" s="6" t="n">
        <x:v>4</x:v>
      </x:c>
      <x:c r="I8345" s="6" t="n">
        <x:f>G8345-H8345</x:f>
        <x:v>-1</x:v>
      </x:c>
      <x:c r="J8345" s="6" t="n">
        <x:f>IF(OR(E8345="CANCELED",E8345="SUSPECTED_FRAUD",F8345="Shipping canceled"),0,1)</x:f>
        <x:v>1</x:v>
      </x:c>
      <x:c r="K8345" s="6" t="n">
        <x:f>IF(G8345&gt;H8345,1,0)</x:f>
        <x:v>0</x:v>
      </x:c>
      <x:c r="L8345" s="6" t="n">
        <x:f>J8345*K8345</x:f>
        <x:v>0</x:v>
      </x:c>
    </x:row>
    <x:row r="8346">
      <x:c r="A8346" s="1" t="n">
        <x:v>66816</x:v>
      </x:c>
      <x:c r="B8346" s="5" t="d">
        <x:v>2017-09-02T00:00:00.000Z</x:v>
      </x:c>
      <x:c r="C8346" s="1" t="str">
        <x:v>Standard Class</x:v>
      </x:c>
      <x:c r="D8346" s="1" t="str">
        <x:v>Europe</x:v>
      </x:c>
      <x:c r="E8346" s="1" t="str">
        <x:v>COMPLETE</x:v>
      </x:c>
      <x:c r="F8346" s="1" t="str">
        <x:v>Advance shipping</x:v>
      </x:c>
      <x:c r="G8346" s="6" t="n">
        <x:v>2</x:v>
      </x:c>
      <x:c r="H8346" s="6" t="n">
        <x:v>4</x:v>
      </x:c>
      <x:c r="I8346" s="6" t="n">
        <x:f>G8346-H8346</x:f>
        <x:v>-2</x:v>
      </x:c>
      <x:c r="J8346" s="6" t="n">
        <x:f>IF(OR(E8346="CANCELED",E8346="SUSPECTED_FRAUD",F8346="Shipping canceled"),0,1)</x:f>
        <x:v>1</x:v>
      </x:c>
      <x:c r="K8346" s="6" t="n">
        <x:f>IF(G8346&gt;H8346,1,0)</x:f>
        <x:v>0</x:v>
      </x:c>
      <x:c r="L8346" s="6" t="n">
        <x:f>J8346*K8346</x:f>
        <x:v>0</x:v>
      </x:c>
    </x:row>
    <x:row r="8347">
      <x:c r="A8347" s="1" t="n">
        <x:v>66823</x:v>
      </x:c>
      <x:c r="B8347" s="5" t="d">
        <x:v>2017-09-02T00:00:00.000Z</x:v>
      </x:c>
      <x:c r="C8347" s="1" t="str">
        <x:v>Standard Class</x:v>
      </x:c>
      <x:c r="D8347" s="1" t="str">
        <x:v>Europe</x:v>
      </x:c>
      <x:c r="E8347" s="1" t="str">
        <x:v>PENDING</x:v>
      </x:c>
      <x:c r="F8347" s="1" t="str">
        <x:v>Shipping on time</x:v>
      </x:c>
      <x:c r="G8347" s="6" t="n">
        <x:v>4</x:v>
      </x:c>
      <x:c r="H8347" s="6" t="n">
        <x:v>4</x:v>
      </x:c>
      <x:c r="I8347" s="6" t="n">
        <x:f>G8347-H8347</x:f>
        <x:v>0</x:v>
      </x:c>
      <x:c r="J8347" s="6" t="n">
        <x:f>IF(OR(E8347="CANCELED",E8347="SUSPECTED_FRAUD",F8347="Shipping canceled"),0,1)</x:f>
        <x:v>1</x:v>
      </x:c>
      <x:c r="K8347" s="6" t="n">
        <x:f>IF(G8347&gt;H8347,1,0)</x:f>
        <x:v>0</x:v>
      </x:c>
      <x:c r="L8347" s="6" t="n">
        <x:f>J8347*K8347</x:f>
        <x:v>0</x:v>
      </x:c>
    </x:row>
    <x:row r="8348">
      <x:c r="A8348" s="1" t="n">
        <x:v>66834</x:v>
      </x:c>
      <x:c r="B8348" s="5" t="d">
        <x:v>2017-09-02T00:00:00.000Z</x:v>
      </x:c>
      <x:c r="C8348" s="1" t="str">
        <x:v>Standard Class</x:v>
      </x:c>
      <x:c r="D8348" s="1" t="str">
        <x:v>Europe</x:v>
      </x:c>
      <x:c r="E8348" s="1" t="str">
        <x:v>PENDING_PAYMENT</x:v>
      </x:c>
      <x:c r="F8348" s="1" t="str">
        <x:v>Late delivery</x:v>
      </x:c>
      <x:c r="G8348" s="6" t="n">
        <x:v>5</x:v>
      </x:c>
      <x:c r="H8348" s="6" t="n">
        <x:v>4</x:v>
      </x:c>
      <x:c r="I8348" s="6" t="n">
        <x:f>G8348-H8348</x:f>
        <x:v>1</x:v>
      </x:c>
      <x:c r="J8348" s="6" t="n">
        <x:f>IF(OR(E8348="CANCELED",E8348="SUSPECTED_FRAUD",F8348="Shipping canceled"),0,1)</x:f>
        <x:v>1</x:v>
      </x:c>
      <x:c r="K8348" s="6" t="n">
        <x:f>IF(G8348&gt;H8348,1,0)</x:f>
        <x:v>1</x:v>
      </x:c>
      <x:c r="L8348" s="6" t="n">
        <x:f>J8348*K8348</x:f>
        <x:v>1</x:v>
      </x:c>
    </x:row>
    <x:row r="8349">
      <x:c r="A8349" s="1" t="n">
        <x:v>66841</x:v>
      </x:c>
      <x:c r="B8349" s="5" t="d">
        <x:v>2017-09-02T00:00:00.000Z</x:v>
      </x:c>
      <x:c r="C8349" s="1" t="str">
        <x:v>Standard Class</x:v>
      </x:c>
      <x:c r="D8349" s="1" t="str">
        <x:v>Europe</x:v>
      </x:c>
      <x:c r="E8349" s="1" t="str">
        <x:v>SUSPECTED_FRAUD</x:v>
      </x:c>
      <x:c r="F8349" s="1" t="str">
        <x:v>Shipping canceled</x:v>
      </x:c>
      <x:c r="G8349" s="6" t="n">
        <x:v>2</x:v>
      </x:c>
      <x:c r="H8349" s="6" t="n">
        <x:v>4</x:v>
      </x:c>
      <x:c r="I8349" s="6" t="n">
        <x:f>G8349-H8349</x:f>
        <x:v>-2</x:v>
      </x:c>
      <x:c r="J8349" s="6" t="n">
        <x:f>IF(OR(E8349="CANCELED",E8349="SUSPECTED_FRAUD",F8349="Shipping canceled"),0,1)</x:f>
        <x:v>0</x:v>
      </x:c>
      <x:c r="K8349" s="6" t="n">
        <x:f>IF(G8349&gt;H8349,1,0)</x:f>
        <x:v>0</x:v>
      </x:c>
      <x:c r="L8349" s="6" t="n">
        <x:f>J8349*K8349</x:f>
        <x:v>0</x:v>
      </x:c>
    </x:row>
    <x:row r="8350">
      <x:c r="A8350" s="1" t="n">
        <x:v>66846</x:v>
      </x:c>
      <x:c r="B8350" s="5" t="d">
        <x:v>2017-09-02T00:00:00.000Z</x:v>
      </x:c>
      <x:c r="C8350" s="1" t="str">
        <x:v>Standard Class</x:v>
      </x:c>
      <x:c r="D8350" s="1" t="str">
        <x:v>Europe</x:v>
      </x:c>
      <x:c r="E8350" s="1" t="str">
        <x:v>PENDING</x:v>
      </x:c>
      <x:c r="F8350" s="1" t="str">
        <x:v>Advance shipping</x:v>
      </x:c>
      <x:c r="G8350" s="6" t="n">
        <x:v>2</x:v>
      </x:c>
      <x:c r="H8350" s="6" t="n">
        <x:v>4</x:v>
      </x:c>
      <x:c r="I8350" s="6" t="n">
        <x:f>G8350-H8350</x:f>
        <x:v>-2</x:v>
      </x:c>
      <x:c r="J8350" s="6" t="n">
        <x:f>IF(OR(E8350="CANCELED",E8350="SUSPECTED_FRAUD",F8350="Shipping canceled"),0,1)</x:f>
        <x:v>1</x:v>
      </x:c>
      <x:c r="K8350" s="6" t="n">
        <x:f>IF(G8350&gt;H8350,1,0)</x:f>
        <x:v>0</x:v>
      </x:c>
      <x:c r="L8350" s="6" t="n">
        <x:f>J8350*K8350</x:f>
        <x:v>0</x:v>
      </x:c>
    </x:row>
    <x:row r="8351">
      <x:c r="A8351" s="1" t="n">
        <x:v>66853</x:v>
      </x:c>
      <x:c r="B8351" s="5" t="d">
        <x:v>2017-09-02T00:00:00.000Z</x:v>
      </x:c>
      <x:c r="C8351" s="1" t="str">
        <x:v>Standard Class</x:v>
      </x:c>
      <x:c r="D8351" s="1" t="str">
        <x:v>Europe</x:v>
      </x:c>
      <x:c r="E8351" s="1" t="str">
        <x:v>COMPLETE</x:v>
      </x:c>
      <x:c r="F8351" s="1" t="str">
        <x:v>Shipping on time</x:v>
      </x:c>
      <x:c r="G8351" s="6" t="n">
        <x:v>4</x:v>
      </x:c>
      <x:c r="H8351" s="6" t="n">
        <x:v>4</x:v>
      </x:c>
      <x:c r="I8351" s="6" t="n">
        <x:f>G8351-H8351</x:f>
        <x:v>0</x:v>
      </x:c>
      <x:c r="J8351" s="6" t="n">
        <x:f>IF(OR(E8351="CANCELED",E8351="SUSPECTED_FRAUD",F8351="Shipping canceled"),0,1)</x:f>
        <x:v>1</x:v>
      </x:c>
      <x:c r="K8351" s="6" t="n">
        <x:f>IF(G8351&gt;H8351,1,0)</x:f>
        <x:v>0</x:v>
      </x:c>
      <x:c r="L8351" s="6" t="n">
        <x:f>J8351*K8351</x:f>
        <x:v>0</x:v>
      </x:c>
    </x:row>
    <x:row r="8352">
      <x:c r="A8352" s="1" t="n">
        <x:v>66854</x:v>
      </x:c>
      <x:c r="B8352" s="5" t="d">
        <x:v>2017-09-02T00:00:00.000Z</x:v>
      </x:c>
      <x:c r="C8352" s="1" t="str">
        <x:v>Standard Class</x:v>
      </x:c>
      <x:c r="D8352" s="1" t="str">
        <x:v>Europe</x:v>
      </x:c>
      <x:c r="E8352" s="1" t="str">
        <x:v>COMPLETE</x:v>
      </x:c>
      <x:c r="F8352" s="1" t="str">
        <x:v>Late delivery</x:v>
      </x:c>
      <x:c r="G8352" s="6" t="n">
        <x:v>5</x:v>
      </x:c>
      <x:c r="H8352" s="6" t="n">
        <x:v>4</x:v>
      </x:c>
      <x:c r="I8352" s="6" t="n">
        <x:f>G8352-H8352</x:f>
        <x:v>1</x:v>
      </x:c>
      <x:c r="J8352" s="6" t="n">
        <x:f>IF(OR(E8352="CANCELED",E8352="SUSPECTED_FRAUD",F8352="Shipping canceled"),0,1)</x:f>
        <x:v>1</x:v>
      </x:c>
      <x:c r="K8352" s="6" t="n">
        <x:f>IF(G8352&gt;H8352,1,0)</x:f>
        <x:v>1</x:v>
      </x:c>
      <x:c r="L8352" s="6" t="n">
        <x:f>J8352*K8352</x:f>
        <x:v>1</x:v>
      </x:c>
    </x:row>
    <x:row r="8353">
      <x:c r="A8353" s="1" t="n">
        <x:v>66855</x:v>
      </x:c>
      <x:c r="B8353" s="5" t="d">
        <x:v>2017-09-02T00:00:00.000Z</x:v>
      </x:c>
      <x:c r="C8353" s="1" t="str">
        <x:v>Standard Class</x:v>
      </x:c>
      <x:c r="D8353" s="1" t="str">
        <x:v>Europe</x:v>
      </x:c>
      <x:c r="E8353" s="1" t="str">
        <x:v>COMPLETE</x:v>
      </x:c>
      <x:c r="F8353" s="1" t="str">
        <x:v>Late delivery</x:v>
      </x:c>
      <x:c r="G8353" s="6" t="n">
        <x:v>6</x:v>
      </x:c>
      <x:c r="H8353" s="6" t="n">
        <x:v>4</x:v>
      </x:c>
      <x:c r="I8353" s="6" t="n">
        <x:f>G8353-H8353</x:f>
        <x:v>2</x:v>
      </x:c>
      <x:c r="J8353" s="6" t="n">
        <x:f>IF(OR(E8353="CANCELED",E8353="SUSPECTED_FRAUD",F8353="Shipping canceled"),0,1)</x:f>
        <x:v>1</x:v>
      </x:c>
      <x:c r="K8353" s="6" t="n">
        <x:f>IF(G8353&gt;H8353,1,0)</x:f>
        <x:v>1</x:v>
      </x:c>
      <x:c r="L8353" s="6" t="n">
        <x:f>J8353*K8353</x:f>
        <x:v>1</x:v>
      </x:c>
    </x:row>
    <x:row r="8354">
      <x:c r="A8354" s="1" t="n">
        <x:v>66865</x:v>
      </x:c>
      <x:c r="B8354" s="5" t="d">
        <x:v>2017-09-03T00:00:00.000Z</x:v>
      </x:c>
      <x:c r="C8354" s="1" t="str">
        <x:v>Standard Class</x:v>
      </x:c>
      <x:c r="D8354" s="1" t="str">
        <x:v>Europe</x:v>
      </x:c>
      <x:c r="E8354" s="1" t="str">
        <x:v>COMPLETE</x:v>
      </x:c>
      <x:c r="F8354" s="1" t="str">
        <x:v>Late delivery</x:v>
      </x:c>
      <x:c r="G8354" s="6" t="n">
        <x:v>6</x:v>
      </x:c>
      <x:c r="H8354" s="6" t="n">
        <x:v>4</x:v>
      </x:c>
      <x:c r="I8354" s="6" t="n">
        <x:f>G8354-H8354</x:f>
        <x:v>2</x:v>
      </x:c>
      <x:c r="J8354" s="6" t="n">
        <x:f>IF(OR(E8354="CANCELED",E8354="SUSPECTED_FRAUD",F8354="Shipping canceled"),0,1)</x:f>
        <x:v>1</x:v>
      </x:c>
      <x:c r="K8354" s="6" t="n">
        <x:f>IF(G8354&gt;H8354,1,0)</x:f>
        <x:v>1</x:v>
      </x:c>
      <x:c r="L8354" s="6" t="n">
        <x:f>J8354*K8354</x:f>
        <x:v>1</x:v>
      </x:c>
    </x:row>
    <x:row r="8355">
      <x:c r="A8355" s="1" t="n">
        <x:v>66868</x:v>
      </x:c>
      <x:c r="B8355" s="5" t="d">
        <x:v>2017-09-03T00:00:00.000Z</x:v>
      </x:c>
      <x:c r="C8355" s="1" t="str">
        <x:v>Standard Class</x:v>
      </x:c>
      <x:c r="D8355" s="1" t="str">
        <x:v>Europe</x:v>
      </x:c>
      <x:c r="E8355" s="1" t="str">
        <x:v>PENDING</x:v>
      </x:c>
      <x:c r="F8355" s="1" t="str">
        <x:v>Shipping on time</x:v>
      </x:c>
      <x:c r="G8355" s="6" t="n">
        <x:v>4</x:v>
      </x:c>
      <x:c r="H8355" s="6" t="n">
        <x:v>4</x:v>
      </x:c>
      <x:c r="I8355" s="6" t="n">
        <x:f>G8355-H8355</x:f>
        <x:v>0</x:v>
      </x:c>
      <x:c r="J8355" s="6" t="n">
        <x:f>IF(OR(E8355="CANCELED",E8355="SUSPECTED_FRAUD",F8355="Shipping canceled"),0,1)</x:f>
        <x:v>1</x:v>
      </x:c>
      <x:c r="K8355" s="6" t="n">
        <x:f>IF(G8355&gt;H8355,1,0)</x:f>
        <x:v>0</x:v>
      </x:c>
      <x:c r="L8355" s="6" t="n">
        <x:f>J8355*K8355</x:f>
        <x:v>0</x:v>
      </x:c>
    </x:row>
    <x:row r="8356">
      <x:c r="A8356" s="1" t="n">
        <x:v>66877</x:v>
      </x:c>
      <x:c r="B8356" s="5" t="d">
        <x:v>2017-09-03T00:00:00.000Z</x:v>
      </x:c>
      <x:c r="C8356" s="1" t="str">
        <x:v>Standard Class</x:v>
      </x:c>
      <x:c r="D8356" s="1" t="str">
        <x:v>Europe</x:v>
      </x:c>
      <x:c r="E8356" s="1" t="str">
        <x:v>PENDING_PAYMENT</x:v>
      </x:c>
      <x:c r="F8356" s="1" t="str">
        <x:v>Advance shipping</x:v>
      </x:c>
      <x:c r="G8356" s="6" t="n">
        <x:v>3</x:v>
      </x:c>
      <x:c r="H8356" s="6" t="n">
        <x:v>4</x:v>
      </x:c>
      <x:c r="I8356" s="6" t="n">
        <x:f>G8356-H8356</x:f>
        <x:v>-1</x:v>
      </x:c>
      <x:c r="J8356" s="6" t="n">
        <x:f>IF(OR(E8356="CANCELED",E8356="SUSPECTED_FRAUD",F8356="Shipping canceled"),0,1)</x:f>
        <x:v>1</x:v>
      </x:c>
      <x:c r="K8356" s="6" t="n">
        <x:f>IF(G8356&gt;H8356,1,0)</x:f>
        <x:v>0</x:v>
      </x:c>
      <x:c r="L8356" s="6" t="n">
        <x:f>J8356*K8356</x:f>
        <x:v>0</x:v>
      </x:c>
    </x:row>
    <x:row r="8357">
      <x:c r="A8357" s="1" t="n">
        <x:v>66887</x:v>
      </x:c>
      <x:c r="B8357" s="5" t="d">
        <x:v>2017-09-03T00:00:00.000Z</x:v>
      </x:c>
      <x:c r="C8357" s="1" t="str">
        <x:v>Standard Class</x:v>
      </x:c>
      <x:c r="D8357" s="1" t="str">
        <x:v>Europe</x:v>
      </x:c>
      <x:c r="E8357" s="1" t="str">
        <x:v>PROCESSING</x:v>
      </x:c>
      <x:c r="F8357" s="1" t="str">
        <x:v>Advance shipping</x:v>
      </x:c>
      <x:c r="G8357" s="6" t="n">
        <x:v>3</x:v>
      </x:c>
      <x:c r="H8357" s="6" t="n">
        <x:v>4</x:v>
      </x:c>
      <x:c r="I8357" s="6" t="n">
        <x:f>G8357-H8357</x:f>
        <x:v>-1</x:v>
      </x:c>
      <x:c r="J8357" s="6" t="n">
        <x:f>IF(OR(E8357="CANCELED",E8357="SUSPECTED_FRAUD",F8357="Shipping canceled"),0,1)</x:f>
        <x:v>1</x:v>
      </x:c>
      <x:c r="K8357" s="6" t="n">
        <x:f>IF(G8357&gt;H8357,1,0)</x:f>
        <x:v>0</x:v>
      </x:c>
      <x:c r="L8357" s="6" t="n">
        <x:f>J8357*K8357</x:f>
        <x:v>0</x:v>
      </x:c>
    </x:row>
    <x:row r="8358">
      <x:c r="A8358" s="1" t="n">
        <x:v>66890</x:v>
      </x:c>
      <x:c r="B8358" s="5" t="d">
        <x:v>2017-09-03T00:00:00.000Z</x:v>
      </x:c>
      <x:c r="C8358" s="1" t="str">
        <x:v>Standard Class</x:v>
      </x:c>
      <x:c r="D8358" s="1" t="str">
        <x:v>Europe</x:v>
      </x:c>
      <x:c r="E8358" s="1" t="str">
        <x:v>COMPLETE</x:v>
      </x:c>
      <x:c r="F8358" s="1" t="str">
        <x:v>Late delivery</x:v>
      </x:c>
      <x:c r="G8358" s="6" t="n">
        <x:v>6</x:v>
      </x:c>
      <x:c r="H8358" s="6" t="n">
        <x:v>4</x:v>
      </x:c>
      <x:c r="I8358" s="6" t="n">
        <x:f>G8358-H8358</x:f>
        <x:v>2</x:v>
      </x:c>
      <x:c r="J8358" s="6" t="n">
        <x:f>IF(OR(E8358="CANCELED",E8358="SUSPECTED_FRAUD",F8358="Shipping canceled"),0,1)</x:f>
        <x:v>1</x:v>
      </x:c>
      <x:c r="K8358" s="6" t="n">
        <x:f>IF(G8358&gt;H8358,1,0)</x:f>
        <x:v>1</x:v>
      </x:c>
      <x:c r="L8358" s="6" t="n">
        <x:f>J8358*K8358</x:f>
        <x:v>1</x:v>
      </x:c>
    </x:row>
    <x:row r="8359">
      <x:c r="A8359" s="1" t="n">
        <x:v>66891</x:v>
      </x:c>
      <x:c r="B8359" s="5" t="d">
        <x:v>2017-09-03T00:00:00.000Z</x:v>
      </x:c>
      <x:c r="C8359" s="1" t="str">
        <x:v>Standard Class</x:v>
      </x:c>
      <x:c r="D8359" s="1" t="str">
        <x:v>Europe</x:v>
      </x:c>
      <x:c r="E8359" s="1" t="str">
        <x:v>COMPLETE</x:v>
      </x:c>
      <x:c r="F8359" s="1" t="str">
        <x:v>Advance shipping</x:v>
      </x:c>
      <x:c r="G8359" s="6" t="n">
        <x:v>2</x:v>
      </x:c>
      <x:c r="H8359" s="6" t="n">
        <x:v>4</x:v>
      </x:c>
      <x:c r="I8359" s="6" t="n">
        <x:f>G8359-H8359</x:f>
        <x:v>-2</x:v>
      </x:c>
      <x:c r="J8359" s="6" t="n">
        <x:f>IF(OR(E8359="CANCELED",E8359="SUSPECTED_FRAUD",F8359="Shipping canceled"),0,1)</x:f>
        <x:v>1</x:v>
      </x:c>
      <x:c r="K8359" s="6" t="n">
        <x:f>IF(G8359&gt;H8359,1,0)</x:f>
        <x:v>0</x:v>
      </x:c>
      <x:c r="L8359" s="6" t="n">
        <x:f>J8359*K8359</x:f>
        <x:v>0</x:v>
      </x:c>
    </x:row>
    <x:row r="8360">
      <x:c r="A8360" s="1" t="n">
        <x:v>66894</x:v>
      </x:c>
      <x:c r="B8360" s="5" t="d">
        <x:v>2017-09-03T00:00:00.000Z</x:v>
      </x:c>
      <x:c r="C8360" s="1" t="str">
        <x:v>Standard Class</x:v>
      </x:c>
      <x:c r="D8360" s="1" t="str">
        <x:v>Europe</x:v>
      </x:c>
      <x:c r="E8360" s="1" t="str">
        <x:v>COMPLETE</x:v>
      </x:c>
      <x:c r="F8360" s="1" t="str">
        <x:v>Late delivery</x:v>
      </x:c>
      <x:c r="G8360" s="6" t="n">
        <x:v>5</x:v>
      </x:c>
      <x:c r="H8360" s="6" t="n">
        <x:v>4</x:v>
      </x:c>
      <x:c r="I8360" s="6" t="n">
        <x:f>G8360-H8360</x:f>
        <x:v>1</x:v>
      </x:c>
      <x:c r="J8360" s="6" t="n">
        <x:f>IF(OR(E8360="CANCELED",E8360="SUSPECTED_FRAUD",F8360="Shipping canceled"),0,1)</x:f>
        <x:v>1</x:v>
      </x:c>
      <x:c r="K8360" s="6" t="n">
        <x:f>IF(G8360&gt;H8360,1,0)</x:f>
        <x:v>1</x:v>
      </x:c>
      <x:c r="L8360" s="6" t="n">
        <x:f>J8360*K8360</x:f>
        <x:v>1</x:v>
      </x:c>
    </x:row>
    <x:row r="8361">
      <x:c r="A8361" s="1" t="n">
        <x:v>66910</x:v>
      </x:c>
      <x:c r="B8361" s="5" t="d">
        <x:v>2017-09-03T00:00:00.000Z</x:v>
      </x:c>
      <x:c r="C8361" s="1" t="str">
        <x:v>Second Class</x:v>
      </x:c>
      <x:c r="D8361" s="1" t="str">
        <x:v>Europe</x:v>
      </x:c>
      <x:c r="E8361" s="1" t="str">
        <x:v>PENDING</x:v>
      </x:c>
      <x:c r="F8361" s="1" t="str">
        <x:v>Late delivery</x:v>
      </x:c>
      <x:c r="G8361" s="6" t="n">
        <x:v>6</x:v>
      </x:c>
      <x:c r="H8361" s="6" t="n">
        <x:v>2</x:v>
      </x:c>
      <x:c r="I8361" s="6" t="n">
        <x:f>G8361-H8361</x:f>
        <x:v>4</x:v>
      </x:c>
      <x:c r="J8361" s="6" t="n">
        <x:f>IF(OR(E8361="CANCELED",E8361="SUSPECTED_FRAUD",F8361="Shipping canceled"),0,1)</x:f>
        <x:v>1</x:v>
      </x:c>
      <x:c r="K8361" s="6" t="n">
        <x:f>IF(G8361&gt;H8361,1,0)</x:f>
        <x:v>1</x:v>
      </x:c>
      <x:c r="L8361" s="6" t="n">
        <x:f>J8361*K8361</x:f>
        <x:v>1</x:v>
      </x:c>
    </x:row>
    <x:row r="8362">
      <x:c r="A8362" s="1" t="n">
        <x:v>66936</x:v>
      </x:c>
      <x:c r="B8362" s="5" t="d">
        <x:v>2017-09-04T00:00:00.000Z</x:v>
      </x:c>
      <x:c r="C8362" s="1" t="str">
        <x:v>Second Class</x:v>
      </x:c>
      <x:c r="D8362" s="1" t="str">
        <x:v>Europe</x:v>
      </x:c>
      <x:c r="E8362" s="1" t="str">
        <x:v>PROCESSING</x:v>
      </x:c>
      <x:c r="F8362" s="1" t="str">
        <x:v>Shipping on time</x:v>
      </x:c>
      <x:c r="G8362" s="6" t="n">
        <x:v>2</x:v>
      </x:c>
      <x:c r="H8362" s="6" t="n">
        <x:v>2</x:v>
      </x:c>
      <x:c r="I8362" s="6" t="n">
        <x:f>G8362-H8362</x:f>
        <x:v>0</x:v>
      </x:c>
      <x:c r="J8362" s="6" t="n">
        <x:f>IF(OR(E8362="CANCELED",E8362="SUSPECTED_FRAUD",F8362="Shipping canceled"),0,1)</x:f>
        <x:v>1</x:v>
      </x:c>
      <x:c r="K8362" s="6" t="n">
        <x:f>IF(G8362&gt;H8362,1,0)</x:f>
        <x:v>0</x:v>
      </x:c>
      <x:c r="L8362" s="6" t="n">
        <x:f>J8362*K8362</x:f>
        <x:v>0</x:v>
      </x:c>
    </x:row>
    <x:row r="8363">
      <x:c r="A8363" s="1" t="n">
        <x:v>66945</x:v>
      </x:c>
      <x:c r="B8363" s="5" t="d">
        <x:v>2017-09-04T00:00:00.000Z</x:v>
      </x:c>
      <x:c r="C8363" s="1" t="str">
        <x:v>Standard Class</x:v>
      </x:c>
      <x:c r="D8363" s="1" t="str">
        <x:v>Europe</x:v>
      </x:c>
      <x:c r="E8363" s="1" t="str">
        <x:v>COMPLETE</x:v>
      </x:c>
      <x:c r="F8363" s="1" t="str">
        <x:v>Late delivery</x:v>
      </x:c>
      <x:c r="G8363" s="6" t="n">
        <x:v>6</x:v>
      </x:c>
      <x:c r="H8363" s="6" t="n">
        <x:v>4</x:v>
      </x:c>
      <x:c r="I8363" s="6" t="n">
        <x:f>G8363-H8363</x:f>
        <x:v>2</x:v>
      </x:c>
      <x:c r="J8363" s="6" t="n">
        <x:f>IF(OR(E8363="CANCELED",E8363="SUSPECTED_FRAUD",F8363="Shipping canceled"),0,1)</x:f>
        <x:v>1</x:v>
      </x:c>
      <x:c r="K8363" s="6" t="n">
        <x:f>IF(G8363&gt;H8363,1,0)</x:f>
        <x:v>1</x:v>
      </x:c>
      <x:c r="L8363" s="6" t="n">
        <x:f>J8363*K8363</x:f>
        <x:v>1</x:v>
      </x:c>
    </x:row>
    <x:row r="8364">
      <x:c r="A8364" s="1" t="n">
        <x:v>66951</x:v>
      </x:c>
      <x:c r="B8364" s="5" t="d">
        <x:v>2017-09-04T00:00:00.000Z</x:v>
      </x:c>
      <x:c r="C8364" s="1" t="str">
        <x:v>Standard Class</x:v>
      </x:c>
      <x:c r="D8364" s="1" t="str">
        <x:v>Europe</x:v>
      </x:c>
      <x:c r="E8364" s="1" t="str">
        <x:v>PENDING_PAYMENT</x:v>
      </x:c>
      <x:c r="F8364" s="1" t="str">
        <x:v>Advance shipping</x:v>
      </x:c>
      <x:c r="G8364" s="6" t="n">
        <x:v>2</x:v>
      </x:c>
      <x:c r="H8364" s="6" t="n">
        <x:v>4</x:v>
      </x:c>
      <x:c r="I8364" s="6" t="n">
        <x:f>G8364-H8364</x:f>
        <x:v>-2</x:v>
      </x:c>
      <x:c r="J8364" s="6" t="n">
        <x:f>IF(OR(E8364="CANCELED",E8364="SUSPECTED_FRAUD",F8364="Shipping canceled"),0,1)</x:f>
        <x:v>1</x:v>
      </x:c>
      <x:c r="K8364" s="6" t="n">
        <x:f>IF(G8364&gt;H8364,1,0)</x:f>
        <x:v>0</x:v>
      </x:c>
      <x:c r="L8364" s="6" t="n">
        <x:f>J8364*K8364</x:f>
        <x:v>0</x:v>
      </x:c>
    </x:row>
    <x:row r="8365">
      <x:c r="A8365" s="1" t="n">
        <x:v>66956</x:v>
      </x:c>
      <x:c r="B8365" s="5" t="d">
        <x:v>2017-09-04T00:00:00.000Z</x:v>
      </x:c>
      <x:c r="C8365" s="1" t="str">
        <x:v>Standard Class</x:v>
      </x:c>
      <x:c r="D8365" s="1" t="str">
        <x:v>Europe</x:v>
      </x:c>
      <x:c r="E8365" s="1" t="str">
        <x:v>PENDING_PAYMENT</x:v>
      </x:c>
      <x:c r="F8365" s="1" t="str">
        <x:v>Advance shipping</x:v>
      </x:c>
      <x:c r="G8365" s="6" t="n">
        <x:v>2</x:v>
      </x:c>
      <x:c r="H8365" s="6" t="n">
        <x:v>4</x:v>
      </x:c>
      <x:c r="I8365" s="6" t="n">
        <x:f>G8365-H8365</x:f>
        <x:v>-2</x:v>
      </x:c>
      <x:c r="J8365" s="6" t="n">
        <x:f>IF(OR(E8365="CANCELED",E8365="SUSPECTED_FRAUD",F8365="Shipping canceled"),0,1)</x:f>
        <x:v>1</x:v>
      </x:c>
      <x:c r="K8365" s="6" t="n">
        <x:f>IF(G8365&gt;H8365,1,0)</x:f>
        <x:v>0</x:v>
      </x:c>
      <x:c r="L8365" s="6" t="n">
        <x:f>J8365*K8365</x:f>
        <x:v>0</x:v>
      </x:c>
    </x:row>
    <x:row r="8366">
      <x:c r="A8366" s="1" t="n">
        <x:v>66958</x:v>
      </x:c>
      <x:c r="B8366" s="5" t="d">
        <x:v>2017-09-04T00:00:00.000Z</x:v>
      </x:c>
      <x:c r="C8366" s="1" t="str">
        <x:v>Standard Class</x:v>
      </x:c>
      <x:c r="D8366" s="1" t="str">
        <x:v>Europe</x:v>
      </x:c>
      <x:c r="E8366" s="1" t="str">
        <x:v>CANCELED</x:v>
      </x:c>
      <x:c r="F8366" s="1" t="str">
        <x:v>Shipping canceled</x:v>
      </x:c>
      <x:c r="G8366" s="6" t="n">
        <x:v>4</x:v>
      </x:c>
      <x:c r="H8366" s="6" t="n">
        <x:v>4</x:v>
      </x:c>
      <x:c r="I8366" s="6" t="n">
        <x:f>G8366-H8366</x:f>
        <x:v>0</x:v>
      </x:c>
      <x:c r="J8366" s="6" t="n">
        <x:f>IF(OR(E8366="CANCELED",E8366="SUSPECTED_FRAUD",F8366="Shipping canceled"),0,1)</x:f>
        <x:v>0</x:v>
      </x:c>
      <x:c r="K8366" s="6" t="n">
        <x:f>IF(G8366&gt;H8366,1,0)</x:f>
        <x:v>0</x:v>
      </x:c>
      <x:c r="L8366" s="6" t="n">
        <x:f>J8366*K8366</x:f>
        <x:v>0</x:v>
      </x:c>
    </x:row>
    <x:row r="8367">
      <x:c r="A8367" s="1" t="n">
        <x:v>66959</x:v>
      </x:c>
      <x:c r="B8367" s="5" t="d">
        <x:v>2017-09-04T00:00:00.000Z</x:v>
      </x:c>
      <x:c r="C8367" s="1" t="str">
        <x:v>Standard Class</x:v>
      </x:c>
      <x:c r="D8367" s="1" t="str">
        <x:v>Europe</x:v>
      </x:c>
      <x:c r="E8367" s="1" t="str">
        <x:v>CANCELED</x:v>
      </x:c>
      <x:c r="F8367" s="1" t="str">
        <x:v>Shipping canceled</x:v>
      </x:c>
      <x:c r="G8367" s="6" t="n">
        <x:v>5</x:v>
      </x:c>
      <x:c r="H8367" s="6" t="n">
        <x:v>4</x:v>
      </x:c>
      <x:c r="I8367" s="6" t="n">
        <x:f>G8367-H8367</x:f>
        <x:v>1</x:v>
      </x:c>
      <x:c r="J8367" s="6" t="n">
        <x:f>IF(OR(E8367="CANCELED",E8367="SUSPECTED_FRAUD",F8367="Shipping canceled"),0,1)</x:f>
        <x:v>0</x:v>
      </x:c>
      <x:c r="K8367" s="6" t="n">
        <x:f>IF(G8367&gt;H8367,1,0)</x:f>
        <x:v>1</x:v>
      </x:c>
      <x:c r="L8367" s="6" t="n">
        <x:f>J8367*K8367</x:f>
        <x:v>0</x:v>
      </x:c>
    </x:row>
    <x:row r="8368">
      <x:c r="A8368" s="1" t="n">
        <x:v>66969</x:v>
      </x:c>
      <x:c r="B8368" s="5" t="d">
        <x:v>2017-09-04T00:00:00.000Z</x:v>
      </x:c>
      <x:c r="C8368" s="1" t="str">
        <x:v>Second Class</x:v>
      </x:c>
      <x:c r="D8368" s="1" t="str">
        <x:v>Europe</x:v>
      </x:c>
      <x:c r="E8368" s="1" t="str">
        <x:v>COMPLETE</x:v>
      </x:c>
      <x:c r="F8368" s="1" t="str">
        <x:v>Late delivery</x:v>
      </x:c>
      <x:c r="G8368" s="6" t="n">
        <x:v>5</x:v>
      </x:c>
      <x:c r="H8368" s="6" t="n">
        <x:v>2</x:v>
      </x:c>
      <x:c r="I8368" s="6" t="n">
        <x:f>G8368-H8368</x:f>
        <x:v>3</x:v>
      </x:c>
      <x:c r="J8368" s="6" t="n">
        <x:f>IF(OR(E8368="CANCELED",E8368="SUSPECTED_FRAUD",F8368="Shipping canceled"),0,1)</x:f>
        <x:v>1</x:v>
      </x:c>
      <x:c r="K8368" s="6" t="n">
        <x:f>IF(G8368&gt;H8368,1,0)</x:f>
        <x:v>1</x:v>
      </x:c>
      <x:c r="L8368" s="6" t="n">
        <x:f>J8368*K8368</x:f>
        <x:v>1</x:v>
      </x:c>
    </x:row>
    <x:row r="8369">
      <x:c r="A8369" s="1" t="n">
        <x:v>66972</x:v>
      </x:c>
      <x:c r="B8369" s="5" t="d">
        <x:v>2017-09-04T00:00:00.000Z</x:v>
      </x:c>
      <x:c r="C8369" s="1" t="str">
        <x:v>Standard Class</x:v>
      </x:c>
      <x:c r="D8369" s="1" t="str">
        <x:v>Europe</x:v>
      </x:c>
      <x:c r="E8369" s="1" t="str">
        <x:v>COMPLETE</x:v>
      </x:c>
      <x:c r="F8369" s="1" t="str">
        <x:v>Advance shipping</x:v>
      </x:c>
      <x:c r="G8369" s="6" t="n">
        <x:v>3</x:v>
      </x:c>
      <x:c r="H8369" s="6" t="n">
        <x:v>4</x:v>
      </x:c>
      <x:c r="I8369" s="6" t="n">
        <x:f>G8369-H8369</x:f>
        <x:v>-1</x:v>
      </x:c>
      <x:c r="J8369" s="6" t="n">
        <x:f>IF(OR(E8369="CANCELED",E8369="SUSPECTED_FRAUD",F8369="Shipping canceled"),0,1)</x:f>
        <x:v>1</x:v>
      </x:c>
      <x:c r="K8369" s="6" t="n">
        <x:f>IF(G8369&gt;H8369,1,0)</x:f>
        <x:v>0</x:v>
      </x:c>
      <x:c r="L8369" s="6" t="n">
        <x:f>J8369*K8369</x:f>
        <x:v>0</x:v>
      </x:c>
    </x:row>
    <x:row r="8370">
      <x:c r="A8370" s="1" t="n">
        <x:v>66998</x:v>
      </x:c>
      <x:c r="B8370" s="5" t="d">
        <x:v>2017-09-05T00:00:00.000Z</x:v>
      </x:c>
      <x:c r="C8370" s="1" t="str">
        <x:v>Standard Class</x:v>
      </x:c>
      <x:c r="D8370" s="1" t="str">
        <x:v>Europe</x:v>
      </x:c>
      <x:c r="E8370" s="1" t="str">
        <x:v>COMPLETE</x:v>
      </x:c>
      <x:c r="F8370" s="1" t="str">
        <x:v>Shipping on time</x:v>
      </x:c>
      <x:c r="G8370" s="6" t="n">
        <x:v>4</x:v>
      </x:c>
      <x:c r="H8370" s="6" t="n">
        <x:v>4</x:v>
      </x:c>
      <x:c r="I8370" s="6" t="n">
        <x:f>G8370-H8370</x:f>
        <x:v>0</x:v>
      </x:c>
      <x:c r="J8370" s="6" t="n">
        <x:f>IF(OR(E8370="CANCELED",E8370="SUSPECTED_FRAUD",F8370="Shipping canceled"),0,1)</x:f>
        <x:v>1</x:v>
      </x:c>
      <x:c r="K8370" s="6" t="n">
        <x:f>IF(G8370&gt;H8370,1,0)</x:f>
        <x:v>0</x:v>
      </x:c>
      <x:c r="L8370" s="6" t="n">
        <x:f>J8370*K8370</x:f>
        <x:v>0</x:v>
      </x:c>
    </x:row>
    <x:row r="8371">
      <x:c r="A8371" s="1" t="n">
        <x:v>67005</x:v>
      </x:c>
      <x:c r="B8371" s="5" t="d">
        <x:v>2017-09-05T00:00:00.000Z</x:v>
      </x:c>
      <x:c r="C8371" s="1" t="str">
        <x:v>Standard Class</x:v>
      </x:c>
      <x:c r="D8371" s="1" t="str">
        <x:v>Europe</x:v>
      </x:c>
      <x:c r="E8371" s="1" t="str">
        <x:v>COMPLETE</x:v>
      </x:c>
      <x:c r="F8371" s="1" t="str">
        <x:v>Late delivery</x:v>
      </x:c>
      <x:c r="G8371" s="6" t="n">
        <x:v>6</x:v>
      </x:c>
      <x:c r="H8371" s="6" t="n">
        <x:v>4</x:v>
      </x:c>
      <x:c r="I8371" s="6" t="n">
        <x:f>G8371-H8371</x:f>
        <x:v>2</x:v>
      </x:c>
      <x:c r="J8371" s="6" t="n">
        <x:f>IF(OR(E8371="CANCELED",E8371="SUSPECTED_FRAUD",F8371="Shipping canceled"),0,1)</x:f>
        <x:v>1</x:v>
      </x:c>
      <x:c r="K8371" s="6" t="n">
        <x:f>IF(G8371&gt;H8371,1,0)</x:f>
        <x:v>1</x:v>
      </x:c>
      <x:c r="L8371" s="6" t="n">
        <x:f>J8371*K8371</x:f>
        <x:v>1</x:v>
      </x:c>
    </x:row>
    <x:row r="8372">
      <x:c r="A8372" s="1" t="n">
        <x:v>67027</x:v>
      </x:c>
      <x:c r="B8372" s="5" t="d">
        <x:v>2017-09-05T00:00:00.000Z</x:v>
      </x:c>
      <x:c r="C8372" s="1" t="str">
        <x:v>Standard Class</x:v>
      </x:c>
      <x:c r="D8372" s="1" t="str">
        <x:v>Europe</x:v>
      </x:c>
      <x:c r="E8372" s="1" t="str">
        <x:v>COMPLETE</x:v>
      </x:c>
      <x:c r="F8372" s="1" t="str">
        <x:v>Advance shipping</x:v>
      </x:c>
      <x:c r="G8372" s="6" t="n">
        <x:v>3</x:v>
      </x:c>
      <x:c r="H8372" s="6" t="n">
        <x:v>4</x:v>
      </x:c>
      <x:c r="I8372" s="6" t="n">
        <x:f>G8372-H8372</x:f>
        <x:v>-1</x:v>
      </x:c>
      <x:c r="J8372" s="6" t="n">
        <x:f>IF(OR(E8372="CANCELED",E8372="SUSPECTED_FRAUD",F8372="Shipping canceled"),0,1)</x:f>
        <x:v>1</x:v>
      </x:c>
      <x:c r="K8372" s="6" t="n">
        <x:f>IF(G8372&gt;H8372,1,0)</x:f>
        <x:v>0</x:v>
      </x:c>
      <x:c r="L8372" s="6" t="n">
        <x:f>J8372*K8372</x:f>
        <x:v>0</x:v>
      </x:c>
    </x:row>
    <x:row r="8373">
      <x:c r="A8373" s="1" t="n">
        <x:v>67028</x:v>
      </x:c>
      <x:c r="B8373" s="5" t="d">
        <x:v>2017-09-05T00:00:00.000Z</x:v>
      </x:c>
      <x:c r="C8373" s="1" t="str">
        <x:v>Standard Class</x:v>
      </x:c>
      <x:c r="D8373" s="1" t="str">
        <x:v>Europe</x:v>
      </x:c>
      <x:c r="E8373" s="1" t="str">
        <x:v>COMPLETE</x:v>
      </x:c>
      <x:c r="F8373" s="1" t="str">
        <x:v>Shipping on time</x:v>
      </x:c>
      <x:c r="G8373" s="6" t="n">
        <x:v>4</x:v>
      </x:c>
      <x:c r="H8373" s="6" t="n">
        <x:v>4</x:v>
      </x:c>
      <x:c r="I8373" s="6" t="n">
        <x:f>G8373-H8373</x:f>
        <x:v>0</x:v>
      </x:c>
      <x:c r="J8373" s="6" t="n">
        <x:f>IF(OR(E8373="CANCELED",E8373="SUSPECTED_FRAUD",F8373="Shipping canceled"),0,1)</x:f>
        <x:v>1</x:v>
      </x:c>
      <x:c r="K8373" s="6" t="n">
        <x:f>IF(G8373&gt;H8373,1,0)</x:f>
        <x:v>0</x:v>
      </x:c>
      <x:c r="L8373" s="6" t="n">
        <x:f>J8373*K8373</x:f>
        <x:v>0</x:v>
      </x:c>
    </x:row>
    <x:row r="8374">
      <x:c r="A8374" s="1" t="n">
        <x:v>67034</x:v>
      </x:c>
      <x:c r="B8374" s="5" t="d">
        <x:v>2017-09-05T00:00:00.000Z</x:v>
      </x:c>
      <x:c r="C8374" s="1" t="str">
        <x:v>Second Class</x:v>
      </x:c>
      <x:c r="D8374" s="1" t="str">
        <x:v>Europe</x:v>
      </x:c>
      <x:c r="E8374" s="1" t="str">
        <x:v>COMPLETE</x:v>
      </x:c>
      <x:c r="F8374" s="1" t="str">
        <x:v>Late delivery</x:v>
      </x:c>
      <x:c r="G8374" s="6" t="n">
        <x:v>5</x:v>
      </x:c>
      <x:c r="H8374" s="6" t="n">
        <x:v>2</x:v>
      </x:c>
      <x:c r="I8374" s="6" t="n">
        <x:f>G8374-H8374</x:f>
        <x:v>3</x:v>
      </x:c>
      <x:c r="J8374" s="6" t="n">
        <x:f>IF(OR(E8374="CANCELED",E8374="SUSPECTED_FRAUD",F8374="Shipping canceled"),0,1)</x:f>
        <x:v>1</x:v>
      </x:c>
      <x:c r="K8374" s="6" t="n">
        <x:f>IF(G8374&gt;H8374,1,0)</x:f>
        <x:v>1</x:v>
      </x:c>
      <x:c r="L8374" s="6" t="n">
        <x:f>J8374*K8374</x:f>
        <x:v>1</x:v>
      </x:c>
    </x:row>
    <x:row r="8375">
      <x:c r="A8375" s="1" t="n">
        <x:v>67037</x:v>
      </x:c>
      <x:c r="B8375" s="5" t="d">
        <x:v>2017-09-05T00:00:00.000Z</x:v>
      </x:c>
      <x:c r="C8375" s="1" t="str">
        <x:v>Standard Class</x:v>
      </x:c>
      <x:c r="D8375" s="1" t="str">
        <x:v>Europe</x:v>
      </x:c>
      <x:c r="E8375" s="1" t="str">
        <x:v>COMPLETE</x:v>
      </x:c>
      <x:c r="F8375" s="1" t="str">
        <x:v>Advance shipping</x:v>
      </x:c>
      <x:c r="G8375" s="6" t="n">
        <x:v>3</x:v>
      </x:c>
      <x:c r="H8375" s="6" t="n">
        <x:v>4</x:v>
      </x:c>
      <x:c r="I8375" s="6" t="n">
        <x:f>G8375-H8375</x:f>
        <x:v>-1</x:v>
      </x:c>
      <x:c r="J8375" s="6" t="n">
        <x:f>IF(OR(E8375="CANCELED",E8375="SUSPECTED_FRAUD",F8375="Shipping canceled"),0,1)</x:f>
        <x:v>1</x:v>
      </x:c>
      <x:c r="K8375" s="6" t="n">
        <x:f>IF(G8375&gt;H8375,1,0)</x:f>
        <x:v>0</x:v>
      </x:c>
      <x:c r="L8375" s="6" t="n">
        <x:f>J8375*K8375</x:f>
        <x:v>0</x:v>
      </x:c>
    </x:row>
    <x:row r="8376">
      <x:c r="A8376" s="1" t="n">
        <x:v>67046</x:v>
      </x:c>
      <x:c r="B8376" s="5" t="d">
        <x:v>2017-09-05T00:00:00.000Z</x:v>
      </x:c>
      <x:c r="C8376" s="1" t="str">
        <x:v>Standard Class</x:v>
      </x:c>
      <x:c r="D8376" s="1" t="str">
        <x:v>Europe</x:v>
      </x:c>
      <x:c r="E8376" s="1" t="str">
        <x:v>PENDING</x:v>
      </x:c>
      <x:c r="F8376" s="1" t="str">
        <x:v>Advance shipping</x:v>
      </x:c>
      <x:c r="G8376" s="6" t="n">
        <x:v>2</x:v>
      </x:c>
      <x:c r="H8376" s="6" t="n">
        <x:v>4</x:v>
      </x:c>
      <x:c r="I8376" s="6" t="n">
        <x:f>G8376-H8376</x:f>
        <x:v>-2</x:v>
      </x:c>
      <x:c r="J8376" s="6" t="n">
        <x:f>IF(OR(E8376="CANCELED",E8376="SUSPECTED_FRAUD",F8376="Shipping canceled"),0,1)</x:f>
        <x:v>1</x:v>
      </x:c>
      <x:c r="K8376" s="6" t="n">
        <x:f>IF(G8376&gt;H8376,1,0)</x:f>
        <x:v>0</x:v>
      </x:c>
      <x:c r="L8376" s="6" t="n">
        <x:f>J8376*K8376</x:f>
        <x:v>0</x:v>
      </x:c>
    </x:row>
    <x:row r="8377">
      <x:c r="A8377" s="1" t="n">
        <x:v>67047</x:v>
      </x:c>
      <x:c r="B8377" s="5" t="d">
        <x:v>2017-09-05T00:00:00.000Z</x:v>
      </x:c>
      <x:c r="C8377" s="1" t="str">
        <x:v>Second Class</x:v>
      </x:c>
      <x:c r="D8377" s="1" t="str">
        <x:v>Europe</x:v>
      </x:c>
      <x:c r="E8377" s="1" t="str">
        <x:v>PENDING</x:v>
      </x:c>
      <x:c r="F8377" s="1" t="str">
        <x:v>Late delivery</x:v>
      </x:c>
      <x:c r="G8377" s="6" t="n">
        <x:v>3</x:v>
      </x:c>
      <x:c r="H8377" s="6" t="n">
        <x:v>2</x:v>
      </x:c>
      <x:c r="I8377" s="6" t="n">
        <x:f>G8377-H8377</x:f>
        <x:v>1</x:v>
      </x:c>
      <x:c r="J8377" s="6" t="n">
        <x:f>IF(OR(E8377="CANCELED",E8377="SUSPECTED_FRAUD",F8377="Shipping canceled"),0,1)</x:f>
        <x:v>1</x:v>
      </x:c>
      <x:c r="K8377" s="6" t="n">
        <x:f>IF(G8377&gt;H8377,1,0)</x:f>
        <x:v>1</x:v>
      </x:c>
      <x:c r="L8377" s="6" t="n">
        <x:f>J8377*K8377</x:f>
        <x:v>1</x:v>
      </x:c>
    </x:row>
    <x:row r="8378">
      <x:c r="A8378" s="1" t="n">
        <x:v>67065</x:v>
      </x:c>
      <x:c r="B8378" s="5" t="d">
        <x:v>2017-09-05T00:00:00.000Z</x:v>
      </x:c>
      <x:c r="C8378" s="1" t="str">
        <x:v>Standard Class</x:v>
      </x:c>
      <x:c r="D8378" s="1" t="str">
        <x:v>Europe</x:v>
      </x:c>
      <x:c r="E8378" s="1" t="str">
        <x:v>COMPLETE</x:v>
      </x:c>
      <x:c r="F8378" s="1" t="str">
        <x:v>Late delivery</x:v>
      </x:c>
      <x:c r="G8378" s="6" t="n">
        <x:v>6</x:v>
      </x:c>
      <x:c r="H8378" s="6" t="n">
        <x:v>4</x:v>
      </x:c>
      <x:c r="I8378" s="6" t="n">
        <x:f>G8378-H8378</x:f>
        <x:v>2</x:v>
      </x:c>
      <x:c r="J8378" s="6" t="n">
        <x:f>IF(OR(E8378="CANCELED",E8378="SUSPECTED_FRAUD",F8378="Shipping canceled"),0,1)</x:f>
        <x:v>1</x:v>
      </x:c>
      <x:c r="K8378" s="6" t="n">
        <x:f>IF(G8378&gt;H8378,1,0)</x:f>
        <x:v>1</x:v>
      </x:c>
      <x:c r="L8378" s="6" t="n">
        <x:f>J8378*K8378</x:f>
        <x:v>1</x:v>
      </x:c>
    </x:row>
    <x:row r="8379">
      <x:c r="A8379" s="1" t="n">
        <x:v>67066</x:v>
      </x:c>
      <x:c r="B8379" s="5" t="d">
        <x:v>2017-09-05T00:00:00.000Z</x:v>
      </x:c>
      <x:c r="C8379" s="1" t="str">
        <x:v>Standard Class</x:v>
      </x:c>
      <x:c r="D8379" s="1" t="str">
        <x:v>Europe</x:v>
      </x:c>
      <x:c r="E8379" s="1" t="str">
        <x:v>PROCESSING</x:v>
      </x:c>
      <x:c r="F8379" s="1" t="str">
        <x:v>Advance shipping</x:v>
      </x:c>
      <x:c r="G8379" s="6" t="n">
        <x:v>2</x:v>
      </x:c>
      <x:c r="H8379" s="6" t="n">
        <x:v>4</x:v>
      </x:c>
      <x:c r="I8379" s="6" t="n">
        <x:f>G8379-H8379</x:f>
        <x:v>-2</x:v>
      </x:c>
      <x:c r="J8379" s="6" t="n">
        <x:f>IF(OR(E8379="CANCELED",E8379="SUSPECTED_FRAUD",F8379="Shipping canceled"),0,1)</x:f>
        <x:v>1</x:v>
      </x:c>
      <x:c r="K8379" s="6" t="n">
        <x:f>IF(G8379&gt;H8379,1,0)</x:f>
        <x:v>0</x:v>
      </x:c>
      <x:c r="L8379" s="6" t="n">
        <x:f>J8379*K8379</x:f>
        <x:v>0</x:v>
      </x:c>
    </x:row>
    <x:row r="8380">
      <x:c r="A8380" s="1" t="n">
        <x:v>67078</x:v>
      </x:c>
      <x:c r="B8380" s="5" t="d">
        <x:v>2017-09-06T00:00:00.000Z</x:v>
      </x:c>
      <x:c r="C8380" s="1" t="str">
        <x:v>Standard Class</x:v>
      </x:c>
      <x:c r="D8380" s="1" t="str">
        <x:v>Europe</x:v>
      </x:c>
      <x:c r="E8380" s="1" t="str">
        <x:v>COMPLETE</x:v>
      </x:c>
      <x:c r="F8380" s="1" t="str">
        <x:v>Shipping on time</x:v>
      </x:c>
      <x:c r="G8380" s="6" t="n">
        <x:v>4</x:v>
      </x:c>
      <x:c r="H8380" s="6" t="n">
        <x:v>4</x:v>
      </x:c>
      <x:c r="I8380" s="6" t="n">
        <x:f>G8380-H8380</x:f>
        <x:v>0</x:v>
      </x:c>
      <x:c r="J8380" s="6" t="n">
        <x:f>IF(OR(E8380="CANCELED",E8380="SUSPECTED_FRAUD",F8380="Shipping canceled"),0,1)</x:f>
        <x:v>1</x:v>
      </x:c>
      <x:c r="K8380" s="6" t="n">
        <x:f>IF(G8380&gt;H8380,1,0)</x:f>
        <x:v>0</x:v>
      </x:c>
      <x:c r="L8380" s="6" t="n">
        <x:f>J8380*K8380</x:f>
        <x:v>0</x:v>
      </x:c>
    </x:row>
    <x:row r="8381">
      <x:c r="A8381" s="1" t="n">
        <x:v>67079</x:v>
      </x:c>
      <x:c r="B8381" s="5" t="d">
        <x:v>2017-09-06T00:00:00.000Z</x:v>
      </x:c>
      <x:c r="C8381" s="1" t="str">
        <x:v>Standard Class</x:v>
      </x:c>
      <x:c r="D8381" s="1" t="str">
        <x:v>Europe</x:v>
      </x:c>
      <x:c r="E8381" s="1" t="str">
        <x:v>PENDING</x:v>
      </x:c>
      <x:c r="F8381" s="1" t="str">
        <x:v>Late delivery</x:v>
      </x:c>
      <x:c r="G8381" s="6" t="n">
        <x:v>5</x:v>
      </x:c>
      <x:c r="H8381" s="6" t="n">
        <x:v>4</x:v>
      </x:c>
      <x:c r="I8381" s="6" t="n">
        <x:f>G8381-H8381</x:f>
        <x:v>1</x:v>
      </x:c>
      <x:c r="J8381" s="6" t="n">
        <x:f>IF(OR(E8381="CANCELED",E8381="SUSPECTED_FRAUD",F8381="Shipping canceled"),0,1)</x:f>
        <x:v>1</x:v>
      </x:c>
      <x:c r="K8381" s="6" t="n">
        <x:f>IF(G8381&gt;H8381,1,0)</x:f>
        <x:v>1</x:v>
      </x:c>
      <x:c r="L8381" s="6" t="n">
        <x:f>J8381*K8381</x:f>
        <x:v>1</x:v>
      </x:c>
    </x:row>
    <x:row r="8382">
      <x:c r="A8382" s="1" t="n">
        <x:v>67080</x:v>
      </x:c>
      <x:c r="B8382" s="5" t="d">
        <x:v>2017-09-06T00:00:00.000Z</x:v>
      </x:c>
      <x:c r="C8382" s="1" t="str">
        <x:v>Standard Class</x:v>
      </x:c>
      <x:c r="D8382" s="1" t="str">
        <x:v>Europe</x:v>
      </x:c>
      <x:c r="E8382" s="1" t="str">
        <x:v>PROCESSING</x:v>
      </x:c>
      <x:c r="F8382" s="1" t="str">
        <x:v>Late delivery</x:v>
      </x:c>
      <x:c r="G8382" s="6" t="n">
        <x:v>6</x:v>
      </x:c>
      <x:c r="H8382" s="6" t="n">
        <x:v>4</x:v>
      </x:c>
      <x:c r="I8382" s="6" t="n">
        <x:f>G8382-H8382</x:f>
        <x:v>2</x:v>
      </x:c>
      <x:c r="J8382" s="6" t="n">
        <x:f>IF(OR(E8382="CANCELED",E8382="SUSPECTED_FRAUD",F8382="Shipping canceled"),0,1)</x:f>
        <x:v>1</x:v>
      </x:c>
      <x:c r="K8382" s="6" t="n">
        <x:f>IF(G8382&gt;H8382,1,0)</x:f>
        <x:v>1</x:v>
      </x:c>
      <x:c r="L8382" s="6" t="n">
        <x:f>J8382*K8382</x:f>
        <x:v>1</x:v>
      </x:c>
    </x:row>
    <x:row r="8383">
      <x:c r="A8383" s="1" t="n">
        <x:v>67082</x:v>
      </x:c>
      <x:c r="B8383" s="5" t="d">
        <x:v>2017-09-06T00:00:00.000Z</x:v>
      </x:c>
      <x:c r="C8383" s="1" t="str">
        <x:v>Standard Class</x:v>
      </x:c>
      <x:c r="D8383" s="1" t="str">
        <x:v>Europe</x:v>
      </x:c>
      <x:c r="E8383" s="1" t="str">
        <x:v>PENDING_PAYMENT</x:v>
      </x:c>
      <x:c r="F8383" s="1" t="str">
        <x:v>Advance shipping</x:v>
      </x:c>
      <x:c r="G8383" s="6" t="n">
        <x:v>3</x:v>
      </x:c>
      <x:c r="H8383" s="6" t="n">
        <x:v>4</x:v>
      </x:c>
      <x:c r="I8383" s="6" t="n">
        <x:f>G8383-H8383</x:f>
        <x:v>-1</x:v>
      </x:c>
      <x:c r="J8383" s="6" t="n">
        <x:f>IF(OR(E8383="CANCELED",E8383="SUSPECTED_FRAUD",F8383="Shipping canceled"),0,1)</x:f>
        <x:v>1</x:v>
      </x:c>
      <x:c r="K8383" s="6" t="n">
        <x:f>IF(G8383&gt;H8383,1,0)</x:f>
        <x:v>0</x:v>
      </x:c>
      <x:c r="L8383" s="6" t="n">
        <x:f>J8383*K8383</x:f>
        <x:v>0</x:v>
      </x:c>
    </x:row>
    <x:row r="8384">
      <x:c r="A8384" s="1" t="n">
        <x:v>67091</x:v>
      </x:c>
      <x:c r="B8384" s="5" t="d">
        <x:v>2017-09-06T00:00:00.000Z</x:v>
      </x:c>
      <x:c r="C8384" s="1" t="str">
        <x:v>Standard Class</x:v>
      </x:c>
      <x:c r="D8384" s="1" t="str">
        <x:v>Europe</x:v>
      </x:c>
      <x:c r="E8384" s="1" t="str">
        <x:v>PENDING_PAYMENT</x:v>
      </x:c>
      <x:c r="F8384" s="1" t="str">
        <x:v>Advance shipping</x:v>
      </x:c>
      <x:c r="G8384" s="6" t="n">
        <x:v>2</x:v>
      </x:c>
      <x:c r="H8384" s="6" t="n">
        <x:v>4</x:v>
      </x:c>
      <x:c r="I8384" s="6" t="n">
        <x:f>G8384-H8384</x:f>
        <x:v>-2</x:v>
      </x:c>
      <x:c r="J8384" s="6" t="n">
        <x:f>IF(OR(E8384="CANCELED",E8384="SUSPECTED_FRAUD",F8384="Shipping canceled"),0,1)</x:f>
        <x:v>1</x:v>
      </x:c>
      <x:c r="K8384" s="6" t="n">
        <x:f>IF(G8384&gt;H8384,1,0)</x:f>
        <x:v>0</x:v>
      </x:c>
      <x:c r="L8384" s="6" t="n">
        <x:f>J8384*K8384</x:f>
        <x:v>0</x:v>
      </x:c>
    </x:row>
    <x:row r="8385">
      <x:c r="A8385" s="1" t="n">
        <x:v>67102</x:v>
      </x:c>
      <x:c r="B8385" s="5" t="d">
        <x:v>2017-09-06T00:00:00.000Z</x:v>
      </x:c>
      <x:c r="C8385" s="1" t="str">
        <x:v>Second Class</x:v>
      </x:c>
      <x:c r="D8385" s="1" t="str">
        <x:v>Europe</x:v>
      </x:c>
      <x:c r="E8385" s="1" t="str">
        <x:v>PENDING</x:v>
      </x:c>
      <x:c r="F8385" s="1" t="str">
        <x:v>Late delivery</x:v>
      </x:c>
      <x:c r="G8385" s="6" t="n">
        <x:v>3</x:v>
      </x:c>
      <x:c r="H8385" s="6" t="n">
        <x:v>2</x:v>
      </x:c>
      <x:c r="I8385" s="6" t="n">
        <x:f>G8385-H8385</x:f>
        <x:v>1</x:v>
      </x:c>
      <x:c r="J8385" s="6" t="n">
        <x:f>IF(OR(E8385="CANCELED",E8385="SUSPECTED_FRAUD",F8385="Shipping canceled"),0,1)</x:f>
        <x:v>1</x:v>
      </x:c>
      <x:c r="K8385" s="6" t="n">
        <x:f>IF(G8385&gt;H8385,1,0)</x:f>
        <x:v>1</x:v>
      </x:c>
      <x:c r="L8385" s="6" t="n">
        <x:f>J8385*K8385</x:f>
        <x:v>1</x:v>
      </x:c>
    </x:row>
    <x:row r="8386">
      <x:c r="A8386" s="1" t="n">
        <x:v>67105</x:v>
      </x:c>
      <x:c r="B8386" s="5" t="d">
        <x:v>2017-09-06T00:00:00.000Z</x:v>
      </x:c>
      <x:c r="C8386" s="1" t="str">
        <x:v>Standard Class</x:v>
      </x:c>
      <x:c r="D8386" s="1" t="str">
        <x:v>Europe</x:v>
      </x:c>
      <x:c r="E8386" s="1" t="str">
        <x:v>COMPLETE</x:v>
      </x:c>
      <x:c r="F8386" s="1" t="str">
        <x:v>Late delivery</x:v>
      </x:c>
      <x:c r="G8386" s="6" t="n">
        <x:v>6</x:v>
      </x:c>
      <x:c r="H8386" s="6" t="n">
        <x:v>4</x:v>
      </x:c>
      <x:c r="I8386" s="6" t="n">
        <x:f>G8386-H8386</x:f>
        <x:v>2</x:v>
      </x:c>
      <x:c r="J8386" s="6" t="n">
        <x:f>IF(OR(E8386="CANCELED",E8386="SUSPECTED_FRAUD",F8386="Shipping canceled"),0,1)</x:f>
        <x:v>1</x:v>
      </x:c>
      <x:c r="K8386" s="6" t="n">
        <x:f>IF(G8386&gt;H8386,1,0)</x:f>
        <x:v>1</x:v>
      </x:c>
      <x:c r="L8386" s="6" t="n">
        <x:f>J8386*K8386</x:f>
        <x:v>1</x:v>
      </x:c>
    </x:row>
    <x:row r="8387">
      <x:c r="A8387" s="1" t="n">
        <x:v>67114</x:v>
      </x:c>
      <x:c r="B8387" s="5" t="d">
        <x:v>2017-09-06T00:00:00.000Z</x:v>
      </x:c>
      <x:c r="C8387" s="1" t="str">
        <x:v>Standard Class</x:v>
      </x:c>
      <x:c r="D8387" s="1" t="str">
        <x:v>Europe</x:v>
      </x:c>
      <x:c r="E8387" s="1" t="str">
        <x:v>COMPLETE</x:v>
      </x:c>
      <x:c r="F8387" s="1" t="str">
        <x:v>Late delivery</x:v>
      </x:c>
      <x:c r="G8387" s="6" t="n">
        <x:v>5</x:v>
      </x:c>
      <x:c r="H8387" s="6" t="n">
        <x:v>4</x:v>
      </x:c>
      <x:c r="I8387" s="6" t="n">
        <x:f>G8387-H8387</x:f>
        <x:v>1</x:v>
      </x:c>
      <x:c r="J8387" s="6" t="n">
        <x:f>IF(OR(E8387="CANCELED",E8387="SUSPECTED_FRAUD",F8387="Shipping canceled"),0,1)</x:f>
        <x:v>1</x:v>
      </x:c>
      <x:c r="K8387" s="6" t="n">
        <x:f>IF(G8387&gt;H8387,1,0)</x:f>
        <x:v>1</x:v>
      </x:c>
      <x:c r="L8387" s="6" t="n">
        <x:f>J8387*K8387</x:f>
        <x:v>1</x:v>
      </x:c>
    </x:row>
    <x:row r="8388">
      <x:c r="A8388" s="1" t="n">
        <x:v>67124</x:v>
      </x:c>
      <x:c r="B8388" s="5" t="d">
        <x:v>2017-09-06T00:00:00.000Z</x:v>
      </x:c>
      <x:c r="C8388" s="1" t="str">
        <x:v>Standard Class</x:v>
      </x:c>
      <x:c r="D8388" s="1" t="str">
        <x:v>Europe</x:v>
      </x:c>
      <x:c r="E8388" s="1" t="str">
        <x:v>COMPLETE</x:v>
      </x:c>
      <x:c r="F8388" s="1" t="str">
        <x:v>Late delivery</x:v>
      </x:c>
      <x:c r="G8388" s="6" t="n">
        <x:v>5</x:v>
      </x:c>
      <x:c r="H8388" s="6" t="n">
        <x:v>4</x:v>
      </x:c>
      <x:c r="I8388" s="6" t="n">
        <x:f>G8388-H8388</x:f>
        <x:v>1</x:v>
      </x:c>
      <x:c r="J8388" s="6" t="n">
        <x:f>IF(OR(E8388="CANCELED",E8388="SUSPECTED_FRAUD",F8388="Shipping canceled"),0,1)</x:f>
        <x:v>1</x:v>
      </x:c>
      <x:c r="K8388" s="6" t="n">
        <x:f>IF(G8388&gt;H8388,1,0)</x:f>
        <x:v>1</x:v>
      </x:c>
      <x:c r="L8388" s="6" t="n">
        <x:f>J8388*K8388</x:f>
        <x:v>1</x:v>
      </x:c>
    </x:row>
    <x:row r="8389">
      <x:c r="A8389" s="1" t="n">
        <x:v>67147</x:v>
      </x:c>
      <x:c r="B8389" s="5" t="d">
        <x:v>2017-09-07T00:00:00.000Z</x:v>
      </x:c>
      <x:c r="C8389" s="1" t="str">
        <x:v>Standard Class</x:v>
      </x:c>
      <x:c r="D8389" s="1" t="str">
        <x:v>Europe</x:v>
      </x:c>
      <x:c r="E8389" s="1" t="str">
        <x:v>PAYMENT_REVIEW</x:v>
      </x:c>
      <x:c r="F8389" s="1" t="str">
        <x:v>Advance shipping</x:v>
      </x:c>
      <x:c r="G8389" s="6" t="n">
        <x:v>3</x:v>
      </x:c>
      <x:c r="H8389" s="6" t="n">
        <x:v>4</x:v>
      </x:c>
      <x:c r="I8389" s="6" t="n">
        <x:f>G8389-H8389</x:f>
        <x:v>-1</x:v>
      </x:c>
      <x:c r="J8389" s="6" t="n">
        <x:f>IF(OR(E8389="CANCELED",E8389="SUSPECTED_FRAUD",F8389="Shipping canceled"),0,1)</x:f>
        <x:v>1</x:v>
      </x:c>
      <x:c r="K8389" s="6" t="n">
        <x:f>IF(G8389&gt;H8389,1,0)</x:f>
        <x:v>0</x:v>
      </x:c>
      <x:c r="L8389" s="6" t="n">
        <x:f>J8389*K8389</x:f>
        <x:v>0</x:v>
      </x:c>
    </x:row>
    <x:row r="8390">
      <x:c r="A8390" s="1" t="n">
        <x:v>67153</x:v>
      </x:c>
      <x:c r="B8390" s="5" t="d">
        <x:v>2017-09-07T00:00:00.000Z</x:v>
      </x:c>
      <x:c r="C8390" s="1" t="str">
        <x:v>First Class</x:v>
      </x:c>
      <x:c r="D8390" s="1" t="str">
        <x:v>Europe</x:v>
      </x:c>
      <x:c r="E8390" s="1" t="str">
        <x:v>SUSPECTED_FRAUD</x:v>
      </x:c>
      <x:c r="F8390" s="1" t="str">
        <x:v>Shipping canceled</x:v>
      </x:c>
      <x:c r="G8390" s="6" t="n">
        <x:v>2</x:v>
      </x:c>
      <x:c r="H8390" s="6" t="n">
        <x:v>1</x:v>
      </x:c>
      <x:c r="I8390" s="6" t="n">
        <x:f>G8390-H8390</x:f>
        <x:v>1</x:v>
      </x:c>
      <x:c r="J8390" s="6" t="n">
        <x:f>IF(OR(E8390="CANCELED",E8390="SUSPECTED_FRAUD",F8390="Shipping canceled"),0,1)</x:f>
        <x:v>0</x:v>
      </x:c>
      <x:c r="K8390" s="6" t="n">
        <x:f>IF(G8390&gt;H8390,1,0)</x:f>
        <x:v>1</x:v>
      </x:c>
      <x:c r="L8390" s="6" t="n">
        <x:f>J8390*K8390</x:f>
        <x:v>0</x:v>
      </x:c>
    </x:row>
    <x:row r="8391">
      <x:c r="A8391" s="1" t="n">
        <x:v>67158</x:v>
      </x:c>
      <x:c r="B8391" s="5" t="d">
        <x:v>2017-09-07T00:00:00.000Z</x:v>
      </x:c>
      <x:c r="C8391" s="1" t="str">
        <x:v>Second Class</x:v>
      </x:c>
      <x:c r="D8391" s="1" t="str">
        <x:v>Europe</x:v>
      </x:c>
      <x:c r="E8391" s="1" t="str">
        <x:v>COMPLETE</x:v>
      </x:c>
      <x:c r="F8391" s="1" t="str">
        <x:v>Late delivery</x:v>
      </x:c>
      <x:c r="G8391" s="6" t="n">
        <x:v>4</x:v>
      </x:c>
      <x:c r="H8391" s="6" t="n">
        <x:v>2</x:v>
      </x:c>
      <x:c r="I8391" s="6" t="n">
        <x:f>G8391-H8391</x:f>
        <x:v>2</x:v>
      </x:c>
      <x:c r="J8391" s="6" t="n">
        <x:f>IF(OR(E8391="CANCELED",E8391="SUSPECTED_FRAUD",F8391="Shipping canceled"),0,1)</x:f>
        <x:v>1</x:v>
      </x:c>
      <x:c r="K8391" s="6" t="n">
        <x:f>IF(G8391&gt;H8391,1,0)</x:f>
        <x:v>1</x:v>
      </x:c>
      <x:c r="L8391" s="6" t="n">
        <x:f>J8391*K8391</x:f>
        <x:v>1</x:v>
      </x:c>
    </x:row>
    <x:row r="8392">
      <x:c r="A8392" s="1" t="n">
        <x:v>67163</x:v>
      </x:c>
      <x:c r="B8392" s="5" t="d">
        <x:v>2017-09-07T00:00:00.000Z</x:v>
      </x:c>
      <x:c r="C8392" s="1" t="str">
        <x:v>Standard Class</x:v>
      </x:c>
      <x:c r="D8392" s="1" t="str">
        <x:v>Europe</x:v>
      </x:c>
      <x:c r="E8392" s="1" t="str">
        <x:v>COMPLETE</x:v>
      </x:c>
      <x:c r="F8392" s="1" t="str">
        <x:v>Shipping on time</x:v>
      </x:c>
      <x:c r="G8392" s="6" t="n">
        <x:v>4</x:v>
      </x:c>
      <x:c r="H8392" s="6" t="n">
        <x:v>4</x:v>
      </x:c>
      <x:c r="I8392" s="6" t="n">
        <x:f>G8392-H8392</x:f>
        <x:v>0</x:v>
      </x:c>
      <x:c r="J8392" s="6" t="n">
        <x:f>IF(OR(E8392="CANCELED",E8392="SUSPECTED_FRAUD",F8392="Shipping canceled"),0,1)</x:f>
        <x:v>1</x:v>
      </x:c>
      <x:c r="K8392" s="6" t="n">
        <x:f>IF(G8392&gt;H8392,1,0)</x:f>
        <x:v>0</x:v>
      </x:c>
      <x:c r="L8392" s="6" t="n">
        <x:f>J8392*K8392</x:f>
        <x:v>0</x:v>
      </x:c>
    </x:row>
    <x:row r="8393">
      <x:c r="A8393" s="1" t="n">
        <x:v>67168</x:v>
      </x:c>
      <x:c r="B8393" s="5" t="d">
        <x:v>2017-09-07T00:00:00.000Z</x:v>
      </x:c>
      <x:c r="C8393" s="1" t="str">
        <x:v>Standard Class</x:v>
      </x:c>
      <x:c r="D8393" s="1" t="str">
        <x:v>Europe</x:v>
      </x:c>
      <x:c r="E8393" s="1" t="str">
        <x:v>COMPLETE</x:v>
      </x:c>
      <x:c r="F8393" s="1" t="str">
        <x:v>Shipping on time</x:v>
      </x:c>
      <x:c r="G8393" s="6" t="n">
        <x:v>4</x:v>
      </x:c>
      <x:c r="H8393" s="6" t="n">
        <x:v>4</x:v>
      </x:c>
      <x:c r="I8393" s="6" t="n">
        <x:f>G8393-H8393</x:f>
        <x:v>0</x:v>
      </x:c>
      <x:c r="J8393" s="6" t="n">
        <x:f>IF(OR(E8393="CANCELED",E8393="SUSPECTED_FRAUD",F8393="Shipping canceled"),0,1)</x:f>
        <x:v>1</x:v>
      </x:c>
      <x:c r="K8393" s="6" t="n">
        <x:f>IF(G8393&gt;H8393,1,0)</x:f>
        <x:v>0</x:v>
      </x:c>
      <x:c r="L8393" s="6" t="n">
        <x:f>J8393*K8393</x:f>
        <x:v>0</x:v>
      </x:c>
    </x:row>
    <x:row r="8394">
      <x:c r="A8394" s="1" t="n">
        <x:v>67176</x:v>
      </x:c>
      <x:c r="B8394" s="5" t="d">
        <x:v>2017-09-07T00:00:00.000Z</x:v>
      </x:c>
      <x:c r="C8394" s="1" t="str">
        <x:v>Standard Class</x:v>
      </x:c>
      <x:c r="D8394" s="1" t="str">
        <x:v>Europe</x:v>
      </x:c>
      <x:c r="E8394" s="1" t="str">
        <x:v>COMPLETE</x:v>
      </x:c>
      <x:c r="F8394" s="1" t="str">
        <x:v>Advance shipping</x:v>
      </x:c>
      <x:c r="G8394" s="6" t="n">
        <x:v>2</x:v>
      </x:c>
      <x:c r="H8394" s="6" t="n">
        <x:v>4</x:v>
      </x:c>
      <x:c r="I8394" s="6" t="n">
        <x:f>G8394-H8394</x:f>
        <x:v>-2</x:v>
      </x:c>
      <x:c r="J8394" s="6" t="n">
        <x:f>IF(OR(E8394="CANCELED",E8394="SUSPECTED_FRAUD",F8394="Shipping canceled"),0,1)</x:f>
        <x:v>1</x:v>
      </x:c>
      <x:c r="K8394" s="6" t="n">
        <x:f>IF(G8394&gt;H8394,1,0)</x:f>
        <x:v>0</x:v>
      </x:c>
      <x:c r="L8394" s="6" t="n">
        <x:f>J8394*K8394</x:f>
        <x:v>0</x:v>
      </x:c>
    </x:row>
    <x:row r="8395">
      <x:c r="A8395" s="1" t="n">
        <x:v>67214</x:v>
      </x:c>
      <x:c r="B8395" s="5" t="d">
        <x:v>2017-09-08T00:00:00.000Z</x:v>
      </x:c>
      <x:c r="C8395" s="1" t="str">
        <x:v>Second Class</x:v>
      </x:c>
      <x:c r="D8395" s="1" t="str">
        <x:v>Europe</x:v>
      </x:c>
      <x:c r="E8395" s="1" t="str">
        <x:v>COMPLETE</x:v>
      </x:c>
      <x:c r="F8395" s="1" t="str">
        <x:v>Late delivery</x:v>
      </x:c>
      <x:c r="G8395" s="6" t="n">
        <x:v>5</x:v>
      </x:c>
      <x:c r="H8395" s="6" t="n">
        <x:v>2</x:v>
      </x:c>
      <x:c r="I8395" s="6" t="n">
        <x:f>G8395-H8395</x:f>
        <x:v>3</x:v>
      </x:c>
      <x:c r="J8395" s="6" t="n">
        <x:f>IF(OR(E8395="CANCELED",E8395="SUSPECTED_FRAUD",F8395="Shipping canceled"),0,1)</x:f>
        <x:v>1</x:v>
      </x:c>
      <x:c r="K8395" s="6" t="n">
        <x:f>IF(G8395&gt;H8395,1,0)</x:f>
        <x:v>1</x:v>
      </x:c>
      <x:c r="L8395" s="6" t="n">
        <x:f>J8395*K8395</x:f>
        <x:v>1</x:v>
      </x:c>
    </x:row>
    <x:row r="8396">
      <x:c r="A8396" s="1" t="n">
        <x:v>67236</x:v>
      </x:c>
      <x:c r="B8396" s="5" t="d">
        <x:v>2017-09-08T00:00:00.000Z</x:v>
      </x:c>
      <x:c r="C8396" s="1" t="str">
        <x:v>Standard Class</x:v>
      </x:c>
      <x:c r="D8396" s="1" t="str">
        <x:v>Europe</x:v>
      </x:c>
      <x:c r="E8396" s="1" t="str">
        <x:v>COMPLETE</x:v>
      </x:c>
      <x:c r="F8396" s="1" t="str">
        <x:v>Advance shipping</x:v>
      </x:c>
      <x:c r="G8396" s="6" t="n">
        <x:v>2</x:v>
      </x:c>
      <x:c r="H8396" s="6" t="n">
        <x:v>4</x:v>
      </x:c>
      <x:c r="I8396" s="6" t="n">
        <x:f>G8396-H8396</x:f>
        <x:v>-2</x:v>
      </x:c>
      <x:c r="J8396" s="6" t="n">
        <x:f>IF(OR(E8396="CANCELED",E8396="SUSPECTED_FRAUD",F8396="Shipping canceled"),0,1)</x:f>
        <x:v>1</x:v>
      </x:c>
      <x:c r="K8396" s="6" t="n">
        <x:f>IF(G8396&gt;H8396,1,0)</x:f>
        <x:v>0</x:v>
      </x:c>
      <x:c r="L8396" s="6" t="n">
        <x:f>J8396*K8396</x:f>
        <x:v>0</x:v>
      </x:c>
    </x:row>
    <x:row r="8397">
      <x:c r="A8397" s="1" t="n">
        <x:v>67238</x:v>
      </x:c>
      <x:c r="B8397" s="5" t="d">
        <x:v>2017-09-08T00:00:00.000Z</x:v>
      </x:c>
      <x:c r="C8397" s="1" t="str">
        <x:v>Standard Class</x:v>
      </x:c>
      <x:c r="D8397" s="1" t="str">
        <x:v>Europe</x:v>
      </x:c>
      <x:c r="E8397" s="1" t="str">
        <x:v>PROCESSING</x:v>
      </x:c>
      <x:c r="F8397" s="1" t="str">
        <x:v>Shipping on time</x:v>
      </x:c>
      <x:c r="G8397" s="6" t="n">
        <x:v>4</x:v>
      </x:c>
      <x:c r="H8397" s="6" t="n">
        <x:v>4</x:v>
      </x:c>
      <x:c r="I8397" s="6" t="n">
        <x:f>G8397-H8397</x:f>
        <x:v>0</x:v>
      </x:c>
      <x:c r="J8397" s="6" t="n">
        <x:f>IF(OR(E8397="CANCELED",E8397="SUSPECTED_FRAUD",F8397="Shipping canceled"),0,1)</x:f>
        <x:v>1</x:v>
      </x:c>
      <x:c r="K8397" s="6" t="n">
        <x:f>IF(G8397&gt;H8397,1,0)</x:f>
        <x:v>0</x:v>
      </x:c>
      <x:c r="L8397" s="6" t="n">
        <x:f>J8397*K8397</x:f>
        <x:v>0</x:v>
      </x:c>
    </x:row>
    <x:row r="8398">
      <x:c r="A8398" s="1" t="n">
        <x:v>67242</x:v>
      </x:c>
      <x:c r="B8398" s="5" t="d">
        <x:v>2017-09-08T00:00:00.000Z</x:v>
      </x:c>
      <x:c r="C8398" s="1" t="str">
        <x:v>First Class</x:v>
      </x:c>
      <x:c r="D8398" s="1" t="str">
        <x:v>Europe</x:v>
      </x:c>
      <x:c r="E8398" s="1" t="str">
        <x:v>PENDING</x:v>
      </x:c>
      <x:c r="F8398" s="1" t="str">
        <x:v>Late delivery</x:v>
      </x:c>
      <x:c r="G8398" s="6" t="n">
        <x:v>2</x:v>
      </x:c>
      <x:c r="H8398" s="6" t="n">
        <x:v>1</x:v>
      </x:c>
      <x:c r="I8398" s="6" t="n">
        <x:f>G8398-H8398</x:f>
        <x:v>1</x:v>
      </x:c>
      <x:c r="J8398" s="6" t="n">
        <x:f>IF(OR(E8398="CANCELED",E8398="SUSPECTED_FRAUD",F8398="Shipping canceled"),0,1)</x:f>
        <x:v>1</x:v>
      </x:c>
      <x:c r="K8398" s="6" t="n">
        <x:f>IF(G8398&gt;H8398,1,0)</x:f>
        <x:v>1</x:v>
      </x:c>
      <x:c r="L8398" s="6" t="n">
        <x:f>J8398*K8398</x:f>
        <x:v>1</x:v>
      </x:c>
    </x:row>
    <x:row r="8399">
      <x:c r="A8399" s="1" t="n">
        <x:v>67246</x:v>
      </x:c>
      <x:c r="B8399" s="5" t="d">
        <x:v>2017-09-08T00:00:00.000Z</x:v>
      </x:c>
      <x:c r="C8399" s="1" t="str">
        <x:v>Standard Class</x:v>
      </x:c>
      <x:c r="D8399" s="1" t="str">
        <x:v>Europe</x:v>
      </x:c>
      <x:c r="E8399" s="1" t="str">
        <x:v>PROCESSING</x:v>
      </x:c>
      <x:c r="F8399" s="1" t="str">
        <x:v>Advance shipping</x:v>
      </x:c>
      <x:c r="G8399" s="6" t="n">
        <x:v>2</x:v>
      </x:c>
      <x:c r="H8399" s="6" t="n">
        <x:v>4</x:v>
      </x:c>
      <x:c r="I8399" s="6" t="n">
        <x:f>G8399-H8399</x:f>
        <x:v>-2</x:v>
      </x:c>
      <x:c r="J8399" s="6" t="n">
        <x:f>IF(OR(E8399="CANCELED",E8399="SUSPECTED_FRAUD",F8399="Shipping canceled"),0,1)</x:f>
        <x:v>1</x:v>
      </x:c>
      <x:c r="K8399" s="6" t="n">
        <x:f>IF(G8399&gt;H8399,1,0)</x:f>
        <x:v>0</x:v>
      </x:c>
      <x:c r="L8399" s="6" t="n">
        <x:f>J8399*K8399</x:f>
        <x:v>0</x:v>
      </x:c>
    </x:row>
    <x:row r="8400">
      <x:c r="A8400" s="1" t="n">
        <x:v>67257</x:v>
      </x:c>
      <x:c r="B8400" s="5" t="d">
        <x:v>2017-09-08T00:00:00.000Z</x:v>
      </x:c>
      <x:c r="C8400" s="1" t="str">
        <x:v>Second Class</x:v>
      </x:c>
      <x:c r="D8400" s="1" t="str">
        <x:v>Europe</x:v>
      </x:c>
      <x:c r="E8400" s="1" t="str">
        <x:v>COMPLETE</x:v>
      </x:c>
      <x:c r="F8400" s="1" t="str">
        <x:v>Late delivery</x:v>
      </x:c>
      <x:c r="G8400" s="6" t="n">
        <x:v>3</x:v>
      </x:c>
      <x:c r="H8400" s="6" t="n">
        <x:v>2</x:v>
      </x:c>
      <x:c r="I8400" s="6" t="n">
        <x:f>G8400-H8400</x:f>
        <x:v>1</x:v>
      </x:c>
      <x:c r="J8400" s="6" t="n">
        <x:f>IF(OR(E8400="CANCELED",E8400="SUSPECTED_FRAUD",F8400="Shipping canceled"),0,1)</x:f>
        <x:v>1</x:v>
      </x:c>
      <x:c r="K8400" s="6" t="n">
        <x:f>IF(G8400&gt;H8400,1,0)</x:f>
        <x:v>1</x:v>
      </x:c>
      <x:c r="L8400" s="6" t="n">
        <x:f>J8400*K8400</x:f>
        <x:v>1</x:v>
      </x:c>
    </x:row>
    <x:row r="8401">
      <x:c r="A8401" s="1" t="n">
        <x:v>67264</x:v>
      </x:c>
      <x:c r="B8401" s="5" t="d">
        <x:v>2017-09-08T00:00:00.000Z</x:v>
      </x:c>
      <x:c r="C8401" s="1" t="str">
        <x:v>Standard Class</x:v>
      </x:c>
      <x:c r="D8401" s="1" t="str">
        <x:v>Europe</x:v>
      </x:c>
      <x:c r="E8401" s="1" t="str">
        <x:v>COMPLETE</x:v>
      </x:c>
      <x:c r="F8401" s="1" t="str">
        <x:v>Late delivery</x:v>
      </x:c>
      <x:c r="G8401" s="6" t="n">
        <x:v>5</x:v>
      </x:c>
      <x:c r="H8401" s="6" t="n">
        <x:v>4</x:v>
      </x:c>
      <x:c r="I8401" s="6" t="n">
        <x:f>G8401-H8401</x:f>
        <x:v>1</x:v>
      </x:c>
      <x:c r="J8401" s="6" t="n">
        <x:f>IF(OR(E8401="CANCELED",E8401="SUSPECTED_FRAUD",F8401="Shipping canceled"),0,1)</x:f>
        <x:v>1</x:v>
      </x:c>
      <x:c r="K8401" s="6" t="n">
        <x:f>IF(G8401&gt;H8401,1,0)</x:f>
        <x:v>1</x:v>
      </x:c>
      <x:c r="L8401" s="6" t="n">
        <x:f>J8401*K8401</x:f>
        <x:v>1</x:v>
      </x:c>
    </x:row>
    <x:row r="8402">
      <x:c r="A8402" s="1" t="n">
        <x:v>67275</x:v>
      </x:c>
      <x:c r="B8402" s="5" t="d">
        <x:v>2017-09-09T00:00:00.000Z</x:v>
      </x:c>
      <x:c r="C8402" s="1" t="str">
        <x:v>Standard Class</x:v>
      </x:c>
      <x:c r="D8402" s="1" t="str">
        <x:v>Europe</x:v>
      </x:c>
      <x:c r="E8402" s="1" t="str">
        <x:v>PENDING</x:v>
      </x:c>
      <x:c r="F8402" s="1" t="str">
        <x:v>Late delivery</x:v>
      </x:c>
      <x:c r="G8402" s="6" t="n">
        <x:v>6</x:v>
      </x:c>
      <x:c r="H8402" s="6" t="n">
        <x:v>4</x:v>
      </x:c>
      <x:c r="I8402" s="6" t="n">
        <x:f>G8402-H8402</x:f>
        <x:v>2</x:v>
      </x:c>
      <x:c r="J8402" s="6" t="n">
        <x:f>IF(OR(E8402="CANCELED",E8402="SUSPECTED_FRAUD",F8402="Shipping canceled"),0,1)</x:f>
        <x:v>1</x:v>
      </x:c>
      <x:c r="K8402" s="6" t="n">
        <x:f>IF(G8402&gt;H8402,1,0)</x:f>
        <x:v>1</x:v>
      </x:c>
      <x:c r="L8402" s="6" t="n">
        <x:f>J8402*K8402</x:f>
        <x:v>1</x:v>
      </x:c>
    </x:row>
    <x:row r="8403">
      <x:c r="A8403" s="1" t="n">
        <x:v>67276</x:v>
      </x:c>
      <x:c r="B8403" s="5" t="d">
        <x:v>2017-09-09T00:00:00.000Z</x:v>
      </x:c>
      <x:c r="C8403" s="1" t="str">
        <x:v>Standard Class</x:v>
      </x:c>
      <x:c r="D8403" s="1" t="str">
        <x:v>Europe</x:v>
      </x:c>
      <x:c r="E8403" s="1" t="str">
        <x:v>CLOSED</x:v>
      </x:c>
      <x:c r="F8403" s="1" t="str">
        <x:v>Advance shipping</x:v>
      </x:c>
      <x:c r="G8403" s="6" t="n">
        <x:v>2</x:v>
      </x:c>
      <x:c r="H8403" s="6" t="n">
        <x:v>4</x:v>
      </x:c>
      <x:c r="I8403" s="6" t="n">
        <x:f>G8403-H8403</x:f>
        <x:v>-2</x:v>
      </x:c>
      <x:c r="J8403" s="6" t="n">
        <x:f>IF(OR(E8403="CANCELED",E8403="SUSPECTED_FRAUD",F8403="Shipping canceled"),0,1)</x:f>
        <x:v>1</x:v>
      </x:c>
      <x:c r="K8403" s="6" t="n">
        <x:f>IF(G8403&gt;H8403,1,0)</x:f>
        <x:v>0</x:v>
      </x:c>
      <x:c r="L8403" s="6" t="n">
        <x:f>J8403*K8403</x:f>
        <x:v>0</x:v>
      </x:c>
    </x:row>
    <x:row r="8404">
      <x:c r="A8404" s="1" t="n">
        <x:v>67292</x:v>
      </x:c>
      <x:c r="B8404" s="5" t="d">
        <x:v>2017-09-09T00:00:00.000Z</x:v>
      </x:c>
      <x:c r="C8404" s="1" t="str">
        <x:v>Standard Class</x:v>
      </x:c>
      <x:c r="D8404" s="1" t="str">
        <x:v>Europe</x:v>
      </x:c>
      <x:c r="E8404" s="1" t="str">
        <x:v>COMPLETE</x:v>
      </x:c>
      <x:c r="F8404" s="1" t="str">
        <x:v>Advance shipping</x:v>
      </x:c>
      <x:c r="G8404" s="6" t="n">
        <x:v>3</x:v>
      </x:c>
      <x:c r="H8404" s="6" t="n">
        <x:v>4</x:v>
      </x:c>
      <x:c r="I8404" s="6" t="n">
        <x:f>G8404-H8404</x:f>
        <x:v>-1</x:v>
      </x:c>
      <x:c r="J8404" s="6" t="n">
        <x:f>IF(OR(E8404="CANCELED",E8404="SUSPECTED_FRAUD",F8404="Shipping canceled"),0,1)</x:f>
        <x:v>1</x:v>
      </x:c>
      <x:c r="K8404" s="6" t="n">
        <x:f>IF(G8404&gt;H8404,1,0)</x:f>
        <x:v>0</x:v>
      </x:c>
      <x:c r="L8404" s="6" t="n">
        <x:f>J8404*K8404</x:f>
        <x:v>0</x:v>
      </x:c>
    </x:row>
    <x:row r="8405">
      <x:c r="A8405" s="1" t="n">
        <x:v>67298</x:v>
      </x:c>
      <x:c r="B8405" s="5" t="d">
        <x:v>2017-09-09T00:00:00.000Z</x:v>
      </x:c>
      <x:c r="C8405" s="1" t="str">
        <x:v>Standard Class</x:v>
      </x:c>
      <x:c r="D8405" s="1" t="str">
        <x:v>Europe</x:v>
      </x:c>
      <x:c r="E8405" s="1" t="str">
        <x:v>PROCESSING</x:v>
      </x:c>
      <x:c r="F8405" s="1" t="str">
        <x:v>Shipping on time</x:v>
      </x:c>
      <x:c r="G8405" s="6" t="n">
        <x:v>4</x:v>
      </x:c>
      <x:c r="H8405" s="6" t="n">
        <x:v>4</x:v>
      </x:c>
      <x:c r="I8405" s="6" t="n">
        <x:f>G8405-H8405</x:f>
        <x:v>0</x:v>
      </x:c>
      <x:c r="J8405" s="6" t="n">
        <x:f>IF(OR(E8405="CANCELED",E8405="SUSPECTED_FRAUD",F8405="Shipping canceled"),0,1)</x:f>
        <x:v>1</x:v>
      </x:c>
      <x:c r="K8405" s="6" t="n">
        <x:f>IF(G8405&gt;H8405,1,0)</x:f>
        <x:v>0</x:v>
      </x:c>
      <x:c r="L8405" s="6" t="n">
        <x:f>J8405*K8405</x:f>
        <x:v>0</x:v>
      </x:c>
    </x:row>
    <x:row r="8406">
      <x:c r="A8406" s="1" t="n">
        <x:v>67300</x:v>
      </x:c>
      <x:c r="B8406" s="5" t="d">
        <x:v>2017-09-09T00:00:00.000Z</x:v>
      </x:c>
      <x:c r="C8406" s="1" t="str">
        <x:v>Standard Class</x:v>
      </x:c>
      <x:c r="D8406" s="1" t="str">
        <x:v>Europe</x:v>
      </x:c>
      <x:c r="E8406" s="1" t="str">
        <x:v>PROCESSING</x:v>
      </x:c>
      <x:c r="F8406" s="1" t="str">
        <x:v>Late delivery</x:v>
      </x:c>
      <x:c r="G8406" s="6" t="n">
        <x:v>6</x:v>
      </x:c>
      <x:c r="H8406" s="6" t="n">
        <x:v>4</x:v>
      </x:c>
      <x:c r="I8406" s="6" t="n">
        <x:f>G8406-H8406</x:f>
        <x:v>2</x:v>
      </x:c>
      <x:c r="J8406" s="6" t="n">
        <x:f>IF(OR(E8406="CANCELED",E8406="SUSPECTED_FRAUD",F8406="Shipping canceled"),0,1)</x:f>
        <x:v>1</x:v>
      </x:c>
      <x:c r="K8406" s="6" t="n">
        <x:f>IF(G8406&gt;H8406,1,0)</x:f>
        <x:v>1</x:v>
      </x:c>
      <x:c r="L8406" s="6" t="n">
        <x:f>J8406*K8406</x:f>
        <x:v>1</x:v>
      </x:c>
    </x:row>
    <x:row r="8407">
      <x:c r="A8407" s="1" t="n">
        <x:v>67301</x:v>
      </x:c>
      <x:c r="B8407" s="5" t="d">
        <x:v>2017-09-09T00:00:00.000Z</x:v>
      </x:c>
      <x:c r="C8407" s="1" t="str">
        <x:v>Standard Class</x:v>
      </x:c>
      <x:c r="D8407" s="1" t="str">
        <x:v>Europe</x:v>
      </x:c>
      <x:c r="E8407" s="1" t="str">
        <x:v>COMPLETE</x:v>
      </x:c>
      <x:c r="F8407" s="1" t="str">
        <x:v>Advance shipping</x:v>
      </x:c>
      <x:c r="G8407" s="6" t="n">
        <x:v>2</x:v>
      </x:c>
      <x:c r="H8407" s="6" t="n">
        <x:v>4</x:v>
      </x:c>
      <x:c r="I8407" s="6" t="n">
        <x:f>G8407-H8407</x:f>
        <x:v>-2</x:v>
      </x:c>
      <x:c r="J8407" s="6" t="n">
        <x:f>IF(OR(E8407="CANCELED",E8407="SUSPECTED_FRAUD",F8407="Shipping canceled"),0,1)</x:f>
        <x:v>1</x:v>
      </x:c>
      <x:c r="K8407" s="6" t="n">
        <x:f>IF(G8407&gt;H8407,1,0)</x:f>
        <x:v>0</x:v>
      </x:c>
      <x:c r="L8407" s="6" t="n">
        <x:f>J8407*K8407</x:f>
        <x:v>0</x:v>
      </x:c>
    </x:row>
    <x:row r="8408">
      <x:c r="A8408" s="1" t="n">
        <x:v>67302</x:v>
      </x:c>
      <x:c r="B8408" s="5" t="d">
        <x:v>2017-09-09T00:00:00.000Z</x:v>
      </x:c>
      <x:c r="C8408" s="1" t="str">
        <x:v>Standard Class</x:v>
      </x:c>
      <x:c r="D8408" s="1" t="str">
        <x:v>Europe</x:v>
      </x:c>
      <x:c r="E8408" s="1" t="str">
        <x:v>COMPLETE</x:v>
      </x:c>
      <x:c r="F8408" s="1" t="str">
        <x:v>Advance shipping</x:v>
      </x:c>
      <x:c r="G8408" s="6" t="n">
        <x:v>3</x:v>
      </x:c>
      <x:c r="H8408" s="6" t="n">
        <x:v>4</x:v>
      </x:c>
      <x:c r="I8408" s="6" t="n">
        <x:f>G8408-H8408</x:f>
        <x:v>-1</x:v>
      </x:c>
      <x:c r="J8408" s="6" t="n">
        <x:f>IF(OR(E8408="CANCELED",E8408="SUSPECTED_FRAUD",F8408="Shipping canceled"),0,1)</x:f>
        <x:v>1</x:v>
      </x:c>
      <x:c r="K8408" s="6" t="n">
        <x:f>IF(G8408&gt;H8408,1,0)</x:f>
        <x:v>0</x:v>
      </x:c>
      <x:c r="L8408" s="6" t="n">
        <x:f>J8408*K8408</x:f>
        <x:v>0</x:v>
      </x:c>
    </x:row>
    <x:row r="8409">
      <x:c r="A8409" s="1" t="n">
        <x:v>67308</x:v>
      </x:c>
      <x:c r="B8409" s="5" t="d">
        <x:v>2017-09-09T00:00:00.000Z</x:v>
      </x:c>
      <x:c r="C8409" s="1" t="str">
        <x:v>Standard Class</x:v>
      </x:c>
      <x:c r="D8409" s="1" t="str">
        <x:v>Europe</x:v>
      </x:c>
      <x:c r="E8409" s="1" t="str">
        <x:v>COMPLETE</x:v>
      </x:c>
      <x:c r="F8409" s="1" t="str">
        <x:v>Shipping on time</x:v>
      </x:c>
      <x:c r="G8409" s="6" t="n">
        <x:v>4</x:v>
      </x:c>
      <x:c r="H8409" s="6" t="n">
        <x:v>4</x:v>
      </x:c>
      <x:c r="I8409" s="6" t="n">
        <x:f>G8409-H8409</x:f>
        <x:v>0</x:v>
      </x:c>
      <x:c r="J8409" s="6" t="n">
        <x:f>IF(OR(E8409="CANCELED",E8409="SUSPECTED_FRAUD",F8409="Shipping canceled"),0,1)</x:f>
        <x:v>1</x:v>
      </x:c>
      <x:c r="K8409" s="6" t="n">
        <x:f>IF(G8409&gt;H8409,1,0)</x:f>
        <x:v>0</x:v>
      </x:c>
      <x:c r="L8409" s="6" t="n">
        <x:f>J8409*K8409</x:f>
        <x:v>0</x:v>
      </x:c>
    </x:row>
    <x:row r="8410">
      <x:c r="A8410" s="1" t="n">
        <x:v>67318</x:v>
      </x:c>
      <x:c r="B8410" s="5" t="d">
        <x:v>2017-09-09T00:00:00.000Z</x:v>
      </x:c>
      <x:c r="C8410" s="1" t="str">
        <x:v>Standard Class</x:v>
      </x:c>
      <x:c r="D8410" s="1" t="str">
        <x:v>Europe</x:v>
      </x:c>
      <x:c r="E8410" s="1" t="str">
        <x:v>PROCESSING</x:v>
      </x:c>
      <x:c r="F8410" s="1" t="str">
        <x:v>Shipping on time</x:v>
      </x:c>
      <x:c r="G8410" s="6" t="n">
        <x:v>4</x:v>
      </x:c>
      <x:c r="H8410" s="6" t="n">
        <x:v>4</x:v>
      </x:c>
      <x:c r="I8410" s="6" t="n">
        <x:f>G8410-H8410</x:f>
        <x:v>0</x:v>
      </x:c>
      <x:c r="J8410" s="6" t="n">
        <x:f>IF(OR(E8410="CANCELED",E8410="SUSPECTED_FRAUD",F8410="Shipping canceled"),0,1)</x:f>
        <x:v>1</x:v>
      </x:c>
      <x:c r="K8410" s="6" t="n">
        <x:f>IF(G8410&gt;H8410,1,0)</x:f>
        <x:v>0</x:v>
      </x:c>
      <x:c r="L8410" s="6" t="n">
        <x:f>J8410*K8410</x:f>
        <x:v>0</x:v>
      </x:c>
    </x:row>
    <x:row r="8411">
      <x:c r="A8411" s="1" t="n">
        <x:v>67322</x:v>
      </x:c>
      <x:c r="B8411" s="5" t="d">
        <x:v>2017-09-09T00:00:00.000Z</x:v>
      </x:c>
      <x:c r="C8411" s="1" t="str">
        <x:v>Standard Class</x:v>
      </x:c>
      <x:c r="D8411" s="1" t="str">
        <x:v>Europe</x:v>
      </x:c>
      <x:c r="E8411" s="1" t="str">
        <x:v>PENDING_PAYMENT</x:v>
      </x:c>
      <x:c r="F8411" s="1" t="str">
        <x:v>Advance shipping</x:v>
      </x:c>
      <x:c r="G8411" s="6" t="n">
        <x:v>3</x:v>
      </x:c>
      <x:c r="H8411" s="6" t="n">
        <x:v>4</x:v>
      </x:c>
      <x:c r="I8411" s="6" t="n">
        <x:f>G8411-H8411</x:f>
        <x:v>-1</x:v>
      </x:c>
      <x:c r="J8411" s="6" t="n">
        <x:f>IF(OR(E8411="CANCELED",E8411="SUSPECTED_FRAUD",F8411="Shipping canceled"),0,1)</x:f>
        <x:v>1</x:v>
      </x:c>
      <x:c r="K8411" s="6" t="n">
        <x:f>IF(G8411&gt;H8411,1,0)</x:f>
        <x:v>0</x:v>
      </x:c>
      <x:c r="L8411" s="6" t="n">
        <x:f>J8411*K8411</x:f>
        <x:v>0</x:v>
      </x:c>
    </x:row>
    <x:row r="8412">
      <x:c r="A8412" s="1" t="n">
        <x:v>67331</x:v>
      </x:c>
      <x:c r="B8412" s="5" t="d">
        <x:v>2017-09-09T00:00:00.000Z</x:v>
      </x:c>
      <x:c r="C8412" s="1" t="str">
        <x:v>Standard Class</x:v>
      </x:c>
      <x:c r="D8412" s="1" t="str">
        <x:v>Europe</x:v>
      </x:c>
      <x:c r="E8412" s="1" t="str">
        <x:v>COMPLETE</x:v>
      </x:c>
      <x:c r="F8412" s="1" t="str">
        <x:v>Advance shipping</x:v>
      </x:c>
      <x:c r="G8412" s="6" t="n">
        <x:v>2</x:v>
      </x:c>
      <x:c r="H8412" s="6" t="n">
        <x:v>4</x:v>
      </x:c>
      <x:c r="I8412" s="6" t="n">
        <x:f>G8412-H8412</x:f>
        <x:v>-2</x:v>
      </x:c>
      <x:c r="J8412" s="6" t="n">
        <x:f>IF(OR(E8412="CANCELED",E8412="SUSPECTED_FRAUD",F8412="Shipping canceled"),0,1)</x:f>
        <x:v>1</x:v>
      </x:c>
      <x:c r="K8412" s="6" t="n">
        <x:f>IF(G8412&gt;H8412,1,0)</x:f>
        <x:v>0</x:v>
      </x:c>
      <x:c r="L8412" s="6" t="n">
        <x:f>J8412*K8412</x:f>
        <x:v>0</x:v>
      </x:c>
    </x:row>
    <x:row r="8413">
      <x:c r="A8413" s="1" t="n">
        <x:v>67341</x:v>
      </x:c>
      <x:c r="B8413" s="5" t="d">
        <x:v>2017-09-10T00:00:00.000Z</x:v>
      </x:c>
      <x:c r="C8413" s="1" t="str">
        <x:v>Standard Class</x:v>
      </x:c>
      <x:c r="D8413" s="1" t="str">
        <x:v>Europe</x:v>
      </x:c>
      <x:c r="E8413" s="1" t="str">
        <x:v>COMPLETE</x:v>
      </x:c>
      <x:c r="F8413" s="1" t="str">
        <x:v>Advance shipping</x:v>
      </x:c>
      <x:c r="G8413" s="6" t="n">
        <x:v>2</x:v>
      </x:c>
      <x:c r="H8413" s="6" t="n">
        <x:v>4</x:v>
      </x:c>
      <x:c r="I8413" s="6" t="n">
        <x:f>G8413-H8413</x:f>
        <x:v>-2</x:v>
      </x:c>
      <x:c r="J8413" s="6" t="n">
        <x:f>IF(OR(E8413="CANCELED",E8413="SUSPECTED_FRAUD",F8413="Shipping canceled"),0,1)</x:f>
        <x:v>1</x:v>
      </x:c>
      <x:c r="K8413" s="6" t="n">
        <x:f>IF(G8413&gt;H8413,1,0)</x:f>
        <x:v>0</x:v>
      </x:c>
      <x:c r="L8413" s="6" t="n">
        <x:f>J8413*K8413</x:f>
        <x:v>0</x:v>
      </x:c>
    </x:row>
    <x:row r="8414">
      <x:c r="A8414" s="1" t="n">
        <x:v>67350</x:v>
      </x:c>
      <x:c r="B8414" s="5" t="d">
        <x:v>2017-09-10T00:00:00.000Z</x:v>
      </x:c>
      <x:c r="C8414" s="1" t="str">
        <x:v>Standard Class</x:v>
      </x:c>
      <x:c r="D8414" s="1" t="str">
        <x:v>Europe</x:v>
      </x:c>
      <x:c r="E8414" s="1" t="str">
        <x:v>PROCESSING</x:v>
      </x:c>
      <x:c r="F8414" s="1" t="str">
        <x:v>Late delivery</x:v>
      </x:c>
      <x:c r="G8414" s="6" t="n">
        <x:v>6</x:v>
      </x:c>
      <x:c r="H8414" s="6" t="n">
        <x:v>4</x:v>
      </x:c>
      <x:c r="I8414" s="6" t="n">
        <x:f>G8414-H8414</x:f>
        <x:v>2</x:v>
      </x:c>
      <x:c r="J8414" s="6" t="n">
        <x:f>IF(OR(E8414="CANCELED",E8414="SUSPECTED_FRAUD",F8414="Shipping canceled"),0,1)</x:f>
        <x:v>1</x:v>
      </x:c>
      <x:c r="K8414" s="6" t="n">
        <x:f>IF(G8414&gt;H8414,1,0)</x:f>
        <x:v>1</x:v>
      </x:c>
      <x:c r="L8414" s="6" t="n">
        <x:f>J8414*K8414</x:f>
        <x:v>1</x:v>
      </x:c>
    </x:row>
    <x:row r="8415">
      <x:c r="A8415" s="1" t="n">
        <x:v>67358</x:v>
      </x:c>
      <x:c r="B8415" s="5" t="d">
        <x:v>2017-09-10T00:00:00.000Z</x:v>
      </x:c>
      <x:c r="C8415" s="1" t="str">
        <x:v>Standard Class</x:v>
      </x:c>
      <x:c r="D8415" s="1" t="str">
        <x:v>Europe</x:v>
      </x:c>
      <x:c r="E8415" s="1" t="str">
        <x:v>CLOSED</x:v>
      </x:c>
      <x:c r="F8415" s="1" t="str">
        <x:v>Shipping on time</x:v>
      </x:c>
      <x:c r="G8415" s="6" t="n">
        <x:v>4</x:v>
      </x:c>
      <x:c r="H8415" s="6" t="n">
        <x:v>4</x:v>
      </x:c>
      <x:c r="I8415" s="6" t="n">
        <x:f>G8415-H8415</x:f>
        <x:v>0</x:v>
      </x:c>
      <x:c r="J8415" s="6" t="n">
        <x:f>IF(OR(E8415="CANCELED",E8415="SUSPECTED_FRAUD",F8415="Shipping canceled"),0,1)</x:f>
        <x:v>1</x:v>
      </x:c>
      <x:c r="K8415" s="6" t="n">
        <x:f>IF(G8415&gt;H8415,1,0)</x:f>
        <x:v>0</x:v>
      </x:c>
      <x:c r="L8415" s="6" t="n">
        <x:f>J8415*K8415</x:f>
        <x:v>0</x:v>
      </x:c>
    </x:row>
    <x:row r="8416">
      <x:c r="A8416" s="1" t="n">
        <x:v>67367</x:v>
      </x:c>
      <x:c r="B8416" s="5" t="d">
        <x:v>2017-09-10T00:00:00.000Z</x:v>
      </x:c>
      <x:c r="C8416" s="1" t="str">
        <x:v>Standard Class</x:v>
      </x:c>
      <x:c r="D8416" s="1" t="str">
        <x:v>Europe</x:v>
      </x:c>
      <x:c r="E8416" s="1" t="str">
        <x:v>COMPLETE</x:v>
      </x:c>
      <x:c r="F8416" s="1" t="str">
        <x:v>Advance shipping</x:v>
      </x:c>
      <x:c r="G8416" s="6" t="n">
        <x:v>3</x:v>
      </x:c>
      <x:c r="H8416" s="6" t="n">
        <x:v>4</x:v>
      </x:c>
      <x:c r="I8416" s="6" t="n">
        <x:f>G8416-H8416</x:f>
        <x:v>-1</x:v>
      </x:c>
      <x:c r="J8416" s="6" t="n">
        <x:f>IF(OR(E8416="CANCELED",E8416="SUSPECTED_FRAUD",F8416="Shipping canceled"),0,1)</x:f>
        <x:v>1</x:v>
      </x:c>
      <x:c r="K8416" s="6" t="n">
        <x:f>IF(G8416&gt;H8416,1,0)</x:f>
        <x:v>0</x:v>
      </x:c>
      <x:c r="L8416" s="6" t="n">
        <x:f>J8416*K8416</x:f>
        <x:v>0</x:v>
      </x:c>
    </x:row>
    <x:row r="8417">
      <x:c r="A8417" s="1" t="n">
        <x:v>67368</x:v>
      </x:c>
      <x:c r="B8417" s="5" t="d">
        <x:v>2017-09-10T00:00:00.000Z</x:v>
      </x:c>
      <x:c r="C8417" s="1" t="str">
        <x:v>Standard Class</x:v>
      </x:c>
      <x:c r="D8417" s="1" t="str">
        <x:v>Europe</x:v>
      </x:c>
      <x:c r="E8417" s="1" t="str">
        <x:v>ON_HOLD</x:v>
      </x:c>
      <x:c r="F8417" s="1" t="str">
        <x:v>Shipping on time</x:v>
      </x:c>
      <x:c r="G8417" s="6" t="n">
        <x:v>4</x:v>
      </x:c>
      <x:c r="H8417" s="6" t="n">
        <x:v>4</x:v>
      </x:c>
      <x:c r="I8417" s="6" t="n">
        <x:f>G8417-H8417</x:f>
        <x:v>0</x:v>
      </x:c>
      <x:c r="J8417" s="6" t="n">
        <x:f>IF(OR(E8417="CANCELED",E8417="SUSPECTED_FRAUD",F8417="Shipping canceled"),0,1)</x:f>
        <x:v>1</x:v>
      </x:c>
      <x:c r="K8417" s="6" t="n">
        <x:f>IF(G8417&gt;H8417,1,0)</x:f>
        <x:v>0</x:v>
      </x:c>
      <x:c r="L8417" s="6" t="n">
        <x:f>J8417*K8417</x:f>
        <x:v>0</x:v>
      </x:c>
    </x:row>
    <x:row r="8418">
      <x:c r="A8418" s="1" t="n">
        <x:v>67380</x:v>
      </x:c>
      <x:c r="B8418" s="5" t="d">
        <x:v>2017-09-10T00:00:00.000Z</x:v>
      </x:c>
      <x:c r="C8418" s="1" t="str">
        <x:v>Standard Class</x:v>
      </x:c>
      <x:c r="D8418" s="1" t="str">
        <x:v>Europe</x:v>
      </x:c>
      <x:c r="E8418" s="1" t="str">
        <x:v>CANCELED</x:v>
      </x:c>
      <x:c r="F8418" s="1" t="str">
        <x:v>Shipping canceled</x:v>
      </x:c>
      <x:c r="G8418" s="6" t="n">
        <x:v>6</x:v>
      </x:c>
      <x:c r="H8418" s="6" t="n">
        <x:v>4</x:v>
      </x:c>
      <x:c r="I8418" s="6" t="n">
        <x:f>G8418-H8418</x:f>
        <x:v>2</x:v>
      </x:c>
      <x:c r="J8418" s="6" t="n">
        <x:f>IF(OR(E8418="CANCELED",E8418="SUSPECTED_FRAUD",F8418="Shipping canceled"),0,1)</x:f>
        <x:v>0</x:v>
      </x:c>
      <x:c r="K8418" s="6" t="n">
        <x:f>IF(G8418&gt;H8418,1,0)</x:f>
        <x:v>1</x:v>
      </x:c>
      <x:c r="L8418" s="6" t="n">
        <x:f>J8418*K8418</x:f>
        <x:v>0</x:v>
      </x:c>
    </x:row>
    <x:row r="8419">
      <x:c r="A8419" s="1" t="n">
        <x:v>67385</x:v>
      </x:c>
      <x:c r="B8419" s="5" t="d">
        <x:v>2017-09-10T00:00:00.000Z</x:v>
      </x:c>
      <x:c r="C8419" s="1" t="str">
        <x:v>Standard Class</x:v>
      </x:c>
      <x:c r="D8419" s="1" t="str">
        <x:v>Europe</x:v>
      </x:c>
      <x:c r="E8419" s="1" t="str">
        <x:v>PROCESSING</x:v>
      </x:c>
      <x:c r="F8419" s="1" t="str">
        <x:v>Late delivery</x:v>
      </x:c>
      <x:c r="G8419" s="6" t="n">
        <x:v>6</x:v>
      </x:c>
      <x:c r="H8419" s="6" t="n">
        <x:v>4</x:v>
      </x:c>
      <x:c r="I8419" s="6" t="n">
        <x:f>G8419-H8419</x:f>
        <x:v>2</x:v>
      </x:c>
      <x:c r="J8419" s="6" t="n">
        <x:f>IF(OR(E8419="CANCELED",E8419="SUSPECTED_FRAUD",F8419="Shipping canceled"),0,1)</x:f>
        <x:v>1</x:v>
      </x:c>
      <x:c r="K8419" s="6" t="n">
        <x:f>IF(G8419&gt;H8419,1,0)</x:f>
        <x:v>1</x:v>
      </x:c>
      <x:c r="L8419" s="6" t="n">
        <x:f>J8419*K8419</x:f>
        <x:v>1</x:v>
      </x:c>
    </x:row>
    <x:row r="8420">
      <x:c r="A8420" s="1" t="n">
        <x:v>67387</x:v>
      </x:c>
      <x:c r="B8420" s="5" t="d">
        <x:v>2017-09-10T00:00:00.000Z</x:v>
      </x:c>
      <x:c r="C8420" s="1" t="str">
        <x:v>Standard Class</x:v>
      </x:c>
      <x:c r="D8420" s="1" t="str">
        <x:v>Europe</x:v>
      </x:c>
      <x:c r="E8420" s="1" t="str">
        <x:v>COMPLETE</x:v>
      </x:c>
      <x:c r="F8420" s="1" t="str">
        <x:v>Advance shipping</x:v>
      </x:c>
      <x:c r="G8420" s="6" t="n">
        <x:v>3</x:v>
      </x:c>
      <x:c r="H8420" s="6" t="n">
        <x:v>4</x:v>
      </x:c>
      <x:c r="I8420" s="6" t="n">
        <x:f>G8420-H8420</x:f>
        <x:v>-1</x:v>
      </x:c>
      <x:c r="J8420" s="6" t="n">
        <x:f>IF(OR(E8420="CANCELED",E8420="SUSPECTED_FRAUD",F8420="Shipping canceled"),0,1)</x:f>
        <x:v>1</x:v>
      </x:c>
      <x:c r="K8420" s="6" t="n">
        <x:f>IF(G8420&gt;H8420,1,0)</x:f>
        <x:v>0</x:v>
      </x:c>
      <x:c r="L8420" s="6" t="n">
        <x:f>J8420*K8420</x:f>
        <x:v>0</x:v>
      </x:c>
    </x:row>
    <x:row r="8421">
      <x:c r="A8421" s="1" t="n">
        <x:v>67389</x:v>
      </x:c>
      <x:c r="B8421" s="5" t="d">
        <x:v>2017-09-10T00:00:00.000Z</x:v>
      </x:c>
      <x:c r="C8421" s="1" t="str">
        <x:v>Standard Class</x:v>
      </x:c>
      <x:c r="D8421" s="1" t="str">
        <x:v>Europe</x:v>
      </x:c>
      <x:c r="E8421" s="1" t="str">
        <x:v>COMPLETE</x:v>
      </x:c>
      <x:c r="F8421" s="1" t="str">
        <x:v>Late delivery</x:v>
      </x:c>
      <x:c r="G8421" s="6" t="n">
        <x:v>5</x:v>
      </x:c>
      <x:c r="H8421" s="6" t="n">
        <x:v>4</x:v>
      </x:c>
      <x:c r="I8421" s="6" t="n">
        <x:f>G8421-H8421</x:f>
        <x:v>1</x:v>
      </x:c>
      <x:c r="J8421" s="6" t="n">
        <x:f>IF(OR(E8421="CANCELED",E8421="SUSPECTED_FRAUD",F8421="Shipping canceled"),0,1)</x:f>
        <x:v>1</x:v>
      </x:c>
      <x:c r="K8421" s="6" t="n">
        <x:f>IF(G8421&gt;H8421,1,0)</x:f>
        <x:v>1</x:v>
      </x:c>
      <x:c r="L8421" s="6" t="n">
        <x:f>J8421*K8421</x:f>
        <x:v>1</x:v>
      </x:c>
    </x:row>
    <x:row r="8422">
      <x:c r="A8422" s="1" t="n">
        <x:v>67395</x:v>
      </x:c>
      <x:c r="B8422" s="5" t="d">
        <x:v>2017-09-10T00:00:00.000Z</x:v>
      </x:c>
      <x:c r="C8422" s="1" t="str">
        <x:v>Standard Class</x:v>
      </x:c>
      <x:c r="D8422" s="1" t="str">
        <x:v>Europe</x:v>
      </x:c>
      <x:c r="E8422" s="1" t="str">
        <x:v>PENDING_PAYMENT</x:v>
      </x:c>
      <x:c r="F8422" s="1" t="str">
        <x:v>Late delivery</x:v>
      </x:c>
      <x:c r="G8422" s="6" t="n">
        <x:v>6</x:v>
      </x:c>
      <x:c r="H8422" s="6" t="n">
        <x:v>4</x:v>
      </x:c>
      <x:c r="I8422" s="6" t="n">
        <x:f>G8422-H8422</x:f>
        <x:v>2</x:v>
      </x:c>
      <x:c r="J8422" s="6" t="n">
        <x:f>IF(OR(E8422="CANCELED",E8422="SUSPECTED_FRAUD",F8422="Shipping canceled"),0,1)</x:f>
        <x:v>1</x:v>
      </x:c>
      <x:c r="K8422" s="6" t="n">
        <x:f>IF(G8422&gt;H8422,1,0)</x:f>
        <x:v>1</x:v>
      </x:c>
      <x:c r="L8422" s="6" t="n">
        <x:f>J8422*K8422</x:f>
        <x:v>1</x:v>
      </x:c>
    </x:row>
    <x:row r="8423">
      <x:c r="A8423" s="1" t="n">
        <x:v>67406</x:v>
      </x:c>
      <x:c r="B8423" s="5" t="d">
        <x:v>2017-09-10T00:00:00.000Z</x:v>
      </x:c>
      <x:c r="C8423" s="1" t="str">
        <x:v>Standard Class</x:v>
      </x:c>
      <x:c r="D8423" s="1" t="str">
        <x:v>Europe</x:v>
      </x:c>
      <x:c r="E8423" s="1" t="str">
        <x:v>COMPLETE</x:v>
      </x:c>
      <x:c r="F8423" s="1" t="str">
        <x:v>Advance shipping</x:v>
      </x:c>
      <x:c r="G8423" s="6" t="n">
        <x:v>2</x:v>
      </x:c>
      <x:c r="H8423" s="6" t="n">
        <x:v>4</x:v>
      </x:c>
      <x:c r="I8423" s="6" t="n">
        <x:f>G8423-H8423</x:f>
        <x:v>-2</x:v>
      </x:c>
      <x:c r="J8423" s="6" t="n">
        <x:f>IF(OR(E8423="CANCELED",E8423="SUSPECTED_FRAUD",F8423="Shipping canceled"),0,1)</x:f>
        <x:v>1</x:v>
      </x:c>
      <x:c r="K8423" s="6" t="n">
        <x:f>IF(G8423&gt;H8423,1,0)</x:f>
        <x:v>0</x:v>
      </x:c>
      <x:c r="L8423" s="6" t="n">
        <x:f>J8423*K8423</x:f>
        <x:v>0</x:v>
      </x:c>
    </x:row>
    <x:row r="8424">
      <x:c r="A8424" s="1" t="n">
        <x:v>67407</x:v>
      </x:c>
      <x:c r="B8424" s="5" t="d">
        <x:v>2017-09-10T00:00:00.000Z</x:v>
      </x:c>
      <x:c r="C8424" s="1" t="str">
        <x:v>First Class</x:v>
      </x:c>
      <x:c r="D8424" s="1" t="str">
        <x:v>Europe</x:v>
      </x:c>
      <x:c r="E8424" s="1" t="str">
        <x:v>CLOSED</x:v>
      </x:c>
      <x:c r="F8424" s="1" t="str">
        <x:v>Late delivery</x:v>
      </x:c>
      <x:c r="G8424" s="6" t="n">
        <x:v>2</x:v>
      </x:c>
      <x:c r="H8424" s="6" t="n">
        <x:v>1</x:v>
      </x:c>
      <x:c r="I8424" s="6" t="n">
        <x:f>G8424-H8424</x:f>
        <x:v>1</x:v>
      </x:c>
      <x:c r="J8424" s="6" t="n">
        <x:f>IF(OR(E8424="CANCELED",E8424="SUSPECTED_FRAUD",F8424="Shipping canceled"),0,1)</x:f>
        <x:v>1</x:v>
      </x:c>
      <x:c r="K8424" s="6" t="n">
        <x:f>IF(G8424&gt;H8424,1,0)</x:f>
        <x:v>1</x:v>
      </x:c>
      <x:c r="L8424" s="6" t="n">
        <x:f>J8424*K8424</x:f>
        <x:v>1</x:v>
      </x:c>
    </x:row>
    <x:row r="8425">
      <x:c r="A8425" s="1" t="n">
        <x:v>67413</x:v>
      </x:c>
      <x:c r="B8425" s="5" t="d">
        <x:v>2017-09-11T00:00:00.000Z</x:v>
      </x:c>
      <x:c r="C8425" s="1" t="str">
        <x:v>Standard Class</x:v>
      </x:c>
      <x:c r="D8425" s="1" t="str">
        <x:v>Europe</x:v>
      </x:c>
      <x:c r="E8425" s="1" t="str">
        <x:v>COMPLETE</x:v>
      </x:c>
      <x:c r="F8425" s="1" t="str">
        <x:v>Shipping on time</x:v>
      </x:c>
      <x:c r="G8425" s="6" t="n">
        <x:v>4</x:v>
      </x:c>
      <x:c r="H8425" s="6" t="n">
        <x:v>4</x:v>
      </x:c>
      <x:c r="I8425" s="6" t="n">
        <x:f>G8425-H8425</x:f>
        <x:v>0</x:v>
      </x:c>
      <x:c r="J8425" s="6" t="n">
        <x:f>IF(OR(E8425="CANCELED",E8425="SUSPECTED_FRAUD",F8425="Shipping canceled"),0,1)</x:f>
        <x:v>1</x:v>
      </x:c>
      <x:c r="K8425" s="6" t="n">
        <x:f>IF(G8425&gt;H8425,1,0)</x:f>
        <x:v>0</x:v>
      </x:c>
      <x:c r="L8425" s="6" t="n">
        <x:f>J8425*K8425</x:f>
        <x:v>0</x:v>
      </x:c>
    </x:row>
    <x:row r="8426">
      <x:c r="A8426" s="1" t="n">
        <x:v>67415</x:v>
      </x:c>
      <x:c r="B8426" s="5" t="d">
        <x:v>2017-09-11T00:00:00.000Z</x:v>
      </x:c>
      <x:c r="C8426" s="1" t="str">
        <x:v>Standard Class</x:v>
      </x:c>
      <x:c r="D8426" s="1" t="str">
        <x:v>Europe</x:v>
      </x:c>
      <x:c r="E8426" s="1" t="str">
        <x:v>COMPLETE</x:v>
      </x:c>
      <x:c r="F8426" s="1" t="str">
        <x:v>Late delivery</x:v>
      </x:c>
      <x:c r="G8426" s="6" t="n">
        <x:v>6</x:v>
      </x:c>
      <x:c r="H8426" s="6" t="n">
        <x:v>4</x:v>
      </x:c>
      <x:c r="I8426" s="6" t="n">
        <x:f>G8426-H8426</x:f>
        <x:v>2</x:v>
      </x:c>
      <x:c r="J8426" s="6" t="n">
        <x:f>IF(OR(E8426="CANCELED",E8426="SUSPECTED_FRAUD",F8426="Shipping canceled"),0,1)</x:f>
        <x:v>1</x:v>
      </x:c>
      <x:c r="K8426" s="6" t="n">
        <x:f>IF(G8426&gt;H8426,1,0)</x:f>
        <x:v>1</x:v>
      </x:c>
      <x:c r="L8426" s="6" t="n">
        <x:f>J8426*K8426</x:f>
        <x:v>1</x:v>
      </x:c>
    </x:row>
    <x:row r="8427">
      <x:c r="A8427" s="1" t="n">
        <x:v>67426</x:v>
      </x:c>
      <x:c r="B8427" s="5" t="d">
        <x:v>2017-09-11T00:00:00.000Z</x:v>
      </x:c>
      <x:c r="C8427" s="1" t="str">
        <x:v>Standard Class</x:v>
      </x:c>
      <x:c r="D8427" s="1" t="str">
        <x:v>Europe</x:v>
      </x:c>
      <x:c r="E8427" s="1" t="str">
        <x:v>PENDING</x:v>
      </x:c>
      <x:c r="F8427" s="1" t="str">
        <x:v>Advance shipping</x:v>
      </x:c>
      <x:c r="G8427" s="6" t="n">
        <x:v>2</x:v>
      </x:c>
      <x:c r="H8427" s="6" t="n">
        <x:v>4</x:v>
      </x:c>
      <x:c r="I8427" s="6" t="n">
        <x:f>G8427-H8427</x:f>
        <x:v>-2</x:v>
      </x:c>
      <x:c r="J8427" s="6" t="n">
        <x:f>IF(OR(E8427="CANCELED",E8427="SUSPECTED_FRAUD",F8427="Shipping canceled"),0,1)</x:f>
        <x:v>1</x:v>
      </x:c>
      <x:c r="K8427" s="6" t="n">
        <x:f>IF(G8427&gt;H8427,1,0)</x:f>
        <x:v>0</x:v>
      </x:c>
      <x:c r="L8427" s="6" t="n">
        <x:f>J8427*K8427</x:f>
        <x:v>0</x:v>
      </x:c>
    </x:row>
    <x:row r="8428">
      <x:c r="A8428" s="1" t="n">
        <x:v>67428</x:v>
      </x:c>
      <x:c r="B8428" s="5" t="d">
        <x:v>2017-09-11T00:00:00.000Z</x:v>
      </x:c>
      <x:c r="C8428" s="1" t="str">
        <x:v>Standard Class</x:v>
      </x:c>
      <x:c r="D8428" s="1" t="str">
        <x:v>Europe</x:v>
      </x:c>
      <x:c r="E8428" s="1" t="str">
        <x:v>ON_HOLD</x:v>
      </x:c>
      <x:c r="F8428" s="1" t="str">
        <x:v>Shipping on time</x:v>
      </x:c>
      <x:c r="G8428" s="6" t="n">
        <x:v>4</x:v>
      </x:c>
      <x:c r="H8428" s="6" t="n">
        <x:v>4</x:v>
      </x:c>
      <x:c r="I8428" s="6" t="n">
        <x:f>G8428-H8428</x:f>
        <x:v>0</x:v>
      </x:c>
      <x:c r="J8428" s="6" t="n">
        <x:f>IF(OR(E8428="CANCELED",E8428="SUSPECTED_FRAUD",F8428="Shipping canceled"),0,1)</x:f>
        <x:v>1</x:v>
      </x:c>
      <x:c r="K8428" s="6" t="n">
        <x:f>IF(G8428&gt;H8428,1,0)</x:f>
        <x:v>0</x:v>
      </x:c>
      <x:c r="L8428" s="6" t="n">
        <x:f>J8428*K8428</x:f>
        <x:v>0</x:v>
      </x:c>
    </x:row>
    <x:row r="8429">
      <x:c r="A8429" s="1" t="n">
        <x:v>67449</x:v>
      </x:c>
      <x:c r="B8429" s="5" t="d">
        <x:v>2017-09-11T00:00:00.000Z</x:v>
      </x:c>
      <x:c r="C8429" s="1" t="str">
        <x:v>Standard Class</x:v>
      </x:c>
      <x:c r="D8429" s="1" t="str">
        <x:v>Europe</x:v>
      </x:c>
      <x:c r="E8429" s="1" t="str">
        <x:v>PENDING_PAYMENT</x:v>
      </x:c>
      <x:c r="F8429" s="1" t="str">
        <x:v>Late delivery</x:v>
      </x:c>
      <x:c r="G8429" s="6" t="n">
        <x:v>5</x:v>
      </x:c>
      <x:c r="H8429" s="6" t="n">
        <x:v>4</x:v>
      </x:c>
      <x:c r="I8429" s="6" t="n">
        <x:f>G8429-H8429</x:f>
        <x:v>1</x:v>
      </x:c>
      <x:c r="J8429" s="6" t="n">
        <x:f>IF(OR(E8429="CANCELED",E8429="SUSPECTED_FRAUD",F8429="Shipping canceled"),0,1)</x:f>
        <x:v>1</x:v>
      </x:c>
      <x:c r="K8429" s="6" t="n">
        <x:f>IF(G8429&gt;H8429,1,0)</x:f>
        <x:v>1</x:v>
      </x:c>
      <x:c r="L8429" s="6" t="n">
        <x:f>J8429*K8429</x:f>
        <x:v>1</x:v>
      </x:c>
    </x:row>
    <x:row r="8430">
      <x:c r="A8430" s="1" t="n">
        <x:v>67458</x:v>
      </x:c>
      <x:c r="B8430" s="5" t="d">
        <x:v>2017-09-11T00:00:00.000Z</x:v>
      </x:c>
      <x:c r="C8430" s="1" t="str">
        <x:v>Standard Class</x:v>
      </x:c>
      <x:c r="D8430" s="1" t="str">
        <x:v>Europe</x:v>
      </x:c>
      <x:c r="E8430" s="1" t="str">
        <x:v>COMPLETE</x:v>
      </x:c>
      <x:c r="F8430" s="1" t="str">
        <x:v>Shipping on time</x:v>
      </x:c>
      <x:c r="G8430" s="6" t="n">
        <x:v>4</x:v>
      </x:c>
      <x:c r="H8430" s="6" t="n">
        <x:v>4</x:v>
      </x:c>
      <x:c r="I8430" s="6" t="n">
        <x:f>G8430-H8430</x:f>
        <x:v>0</x:v>
      </x:c>
      <x:c r="J8430" s="6" t="n">
        <x:f>IF(OR(E8430="CANCELED",E8430="SUSPECTED_FRAUD",F8430="Shipping canceled"),0,1)</x:f>
        <x:v>1</x:v>
      </x:c>
      <x:c r="K8430" s="6" t="n">
        <x:f>IF(G8430&gt;H8430,1,0)</x:f>
        <x:v>0</x:v>
      </x:c>
      <x:c r="L8430" s="6" t="n">
        <x:f>J8430*K8430</x:f>
        <x:v>0</x:v>
      </x:c>
    </x:row>
    <x:row r="8431">
      <x:c r="A8431" s="1" t="n">
        <x:v>67466</x:v>
      </x:c>
      <x:c r="B8431" s="5" t="d">
        <x:v>2017-09-11T00:00:00.000Z</x:v>
      </x:c>
      <x:c r="C8431" s="1" t="str">
        <x:v>Standard Class</x:v>
      </x:c>
      <x:c r="D8431" s="1" t="str">
        <x:v>Europe</x:v>
      </x:c>
      <x:c r="E8431" s="1" t="str">
        <x:v>ON_HOLD</x:v>
      </x:c>
      <x:c r="F8431" s="1" t="str">
        <x:v>Advance shipping</x:v>
      </x:c>
      <x:c r="G8431" s="6" t="n">
        <x:v>2</x:v>
      </x:c>
      <x:c r="H8431" s="6" t="n">
        <x:v>4</x:v>
      </x:c>
      <x:c r="I8431" s="6" t="n">
        <x:f>G8431-H8431</x:f>
        <x:v>-2</x:v>
      </x:c>
      <x:c r="J8431" s="6" t="n">
        <x:f>IF(OR(E8431="CANCELED",E8431="SUSPECTED_FRAUD",F8431="Shipping canceled"),0,1)</x:f>
        <x:v>1</x:v>
      </x:c>
      <x:c r="K8431" s="6" t="n">
        <x:f>IF(G8431&gt;H8431,1,0)</x:f>
        <x:v>0</x:v>
      </x:c>
      <x:c r="L8431" s="6" t="n">
        <x:f>J8431*K8431</x:f>
        <x:v>0</x:v>
      </x:c>
    </x:row>
    <x:row r="8432">
      <x:c r="A8432" s="1" t="n">
        <x:v>67471</x:v>
      </x:c>
      <x:c r="B8432" s="5" t="d">
        <x:v>2017-09-11T00:00:00.000Z</x:v>
      </x:c>
      <x:c r="C8432" s="1" t="str">
        <x:v>Standard Class</x:v>
      </x:c>
      <x:c r="D8432" s="1" t="str">
        <x:v>Europe</x:v>
      </x:c>
      <x:c r="E8432" s="1" t="str">
        <x:v>COMPLETE</x:v>
      </x:c>
      <x:c r="F8432" s="1" t="str">
        <x:v>Advance shipping</x:v>
      </x:c>
      <x:c r="G8432" s="6" t="n">
        <x:v>2</x:v>
      </x:c>
      <x:c r="H8432" s="6" t="n">
        <x:v>4</x:v>
      </x:c>
      <x:c r="I8432" s="6" t="n">
        <x:f>G8432-H8432</x:f>
        <x:v>-2</x:v>
      </x:c>
      <x:c r="J8432" s="6" t="n">
        <x:f>IF(OR(E8432="CANCELED",E8432="SUSPECTED_FRAUD",F8432="Shipping canceled"),0,1)</x:f>
        <x:v>1</x:v>
      </x:c>
      <x:c r="K8432" s="6" t="n">
        <x:f>IF(G8432&gt;H8432,1,0)</x:f>
        <x:v>0</x:v>
      </x:c>
      <x:c r="L8432" s="6" t="n">
        <x:f>J8432*K8432</x:f>
        <x:v>0</x:v>
      </x:c>
    </x:row>
    <x:row r="8433">
      <x:c r="A8433" s="1" t="n">
        <x:v>67489</x:v>
      </x:c>
      <x:c r="B8433" s="5" t="d">
        <x:v>2017-09-12T00:00:00.000Z</x:v>
      </x:c>
      <x:c r="C8433" s="1" t="str">
        <x:v>Second Class</x:v>
      </x:c>
      <x:c r="D8433" s="1" t="str">
        <x:v>Europe</x:v>
      </x:c>
      <x:c r="E8433" s="1" t="str">
        <x:v>PENDING</x:v>
      </x:c>
      <x:c r="F8433" s="1" t="str">
        <x:v>Late delivery</x:v>
      </x:c>
      <x:c r="G8433" s="6" t="n">
        <x:v>5</x:v>
      </x:c>
      <x:c r="H8433" s="6" t="n">
        <x:v>2</x:v>
      </x:c>
      <x:c r="I8433" s="6" t="n">
        <x:f>G8433-H8433</x:f>
        <x:v>3</x:v>
      </x:c>
      <x:c r="J8433" s="6" t="n">
        <x:f>IF(OR(E8433="CANCELED",E8433="SUSPECTED_FRAUD",F8433="Shipping canceled"),0,1)</x:f>
        <x:v>1</x:v>
      </x:c>
      <x:c r="K8433" s="6" t="n">
        <x:f>IF(G8433&gt;H8433,1,0)</x:f>
        <x:v>1</x:v>
      </x:c>
      <x:c r="L8433" s="6" t="n">
        <x:f>J8433*K8433</x:f>
        <x:v>1</x:v>
      </x:c>
    </x:row>
    <x:row r="8434">
      <x:c r="A8434" s="1" t="n">
        <x:v>67491</x:v>
      </x:c>
      <x:c r="B8434" s="5" t="d">
        <x:v>2017-09-12T00:00:00.000Z</x:v>
      </x:c>
      <x:c r="C8434" s="1" t="str">
        <x:v>Standard Class</x:v>
      </x:c>
      <x:c r="D8434" s="1" t="str">
        <x:v>Europe</x:v>
      </x:c>
      <x:c r="E8434" s="1" t="str">
        <x:v>PROCESSING</x:v>
      </x:c>
      <x:c r="F8434" s="1" t="str">
        <x:v>Advance shipping</x:v>
      </x:c>
      <x:c r="G8434" s="6" t="n">
        <x:v>2</x:v>
      </x:c>
      <x:c r="H8434" s="6" t="n">
        <x:v>4</x:v>
      </x:c>
      <x:c r="I8434" s="6" t="n">
        <x:f>G8434-H8434</x:f>
        <x:v>-2</x:v>
      </x:c>
      <x:c r="J8434" s="6" t="n">
        <x:f>IF(OR(E8434="CANCELED",E8434="SUSPECTED_FRAUD",F8434="Shipping canceled"),0,1)</x:f>
        <x:v>1</x:v>
      </x:c>
      <x:c r="K8434" s="6" t="n">
        <x:f>IF(G8434&gt;H8434,1,0)</x:f>
        <x:v>0</x:v>
      </x:c>
      <x:c r="L8434" s="6" t="n">
        <x:f>J8434*K8434</x:f>
        <x:v>0</x:v>
      </x:c>
    </x:row>
    <x:row r="8435">
      <x:c r="A8435" s="1" t="n">
        <x:v>67492</x:v>
      </x:c>
      <x:c r="B8435" s="5" t="d">
        <x:v>2017-09-12T00:00:00.000Z</x:v>
      </x:c>
      <x:c r="C8435" s="1" t="str">
        <x:v>Standard Class</x:v>
      </x:c>
      <x:c r="D8435" s="1" t="str">
        <x:v>Europe</x:v>
      </x:c>
      <x:c r="E8435" s="1" t="str">
        <x:v>PROCESSING</x:v>
      </x:c>
      <x:c r="F8435" s="1" t="str">
        <x:v>Advance shipping</x:v>
      </x:c>
      <x:c r="G8435" s="6" t="n">
        <x:v>3</x:v>
      </x:c>
      <x:c r="H8435" s="6" t="n">
        <x:v>4</x:v>
      </x:c>
      <x:c r="I8435" s="6" t="n">
        <x:f>G8435-H8435</x:f>
        <x:v>-1</x:v>
      </x:c>
      <x:c r="J8435" s="6" t="n">
        <x:f>IF(OR(E8435="CANCELED",E8435="SUSPECTED_FRAUD",F8435="Shipping canceled"),0,1)</x:f>
        <x:v>1</x:v>
      </x:c>
      <x:c r="K8435" s="6" t="n">
        <x:f>IF(G8435&gt;H8435,1,0)</x:f>
        <x:v>0</x:v>
      </x:c>
      <x:c r="L8435" s="6" t="n">
        <x:f>J8435*K8435</x:f>
        <x:v>0</x:v>
      </x:c>
    </x:row>
    <x:row r="8436">
      <x:c r="A8436" s="1" t="n">
        <x:v>67506</x:v>
      </x:c>
      <x:c r="B8436" s="5" t="d">
        <x:v>2017-09-12T00:00:00.000Z</x:v>
      </x:c>
      <x:c r="C8436" s="1" t="str">
        <x:v>Standard Class</x:v>
      </x:c>
      <x:c r="D8436" s="1" t="str">
        <x:v>Europe</x:v>
      </x:c>
      <x:c r="E8436" s="1" t="str">
        <x:v>COMPLETE</x:v>
      </x:c>
      <x:c r="F8436" s="1" t="str">
        <x:v>Advance shipping</x:v>
      </x:c>
      <x:c r="G8436" s="6" t="n">
        <x:v>2</x:v>
      </x:c>
      <x:c r="H8436" s="6" t="n">
        <x:v>4</x:v>
      </x:c>
      <x:c r="I8436" s="6" t="n">
        <x:f>G8436-H8436</x:f>
        <x:v>-2</x:v>
      </x:c>
      <x:c r="J8436" s="6" t="n">
        <x:f>IF(OR(E8436="CANCELED",E8436="SUSPECTED_FRAUD",F8436="Shipping canceled"),0,1)</x:f>
        <x:v>1</x:v>
      </x:c>
      <x:c r="K8436" s="6" t="n">
        <x:f>IF(G8436&gt;H8436,1,0)</x:f>
        <x:v>0</x:v>
      </x:c>
      <x:c r="L8436" s="6" t="n">
        <x:f>J8436*K8436</x:f>
        <x:v>0</x:v>
      </x:c>
    </x:row>
    <x:row r="8437">
      <x:c r="A8437" s="1" t="n">
        <x:v>67511</x:v>
      </x:c>
      <x:c r="B8437" s="5" t="d">
        <x:v>2017-09-12T00:00:00.000Z</x:v>
      </x:c>
      <x:c r="C8437" s="1" t="str">
        <x:v>First Class</x:v>
      </x:c>
      <x:c r="D8437" s="1" t="str">
        <x:v>Europe</x:v>
      </x:c>
      <x:c r="E8437" s="1" t="str">
        <x:v>PENDING_PAYMENT</x:v>
      </x:c>
      <x:c r="F8437" s="1" t="str">
        <x:v>Late delivery</x:v>
      </x:c>
      <x:c r="G8437" s="6" t="n">
        <x:v>2</x:v>
      </x:c>
      <x:c r="H8437" s="6" t="n">
        <x:v>1</x:v>
      </x:c>
      <x:c r="I8437" s="6" t="n">
        <x:f>G8437-H8437</x:f>
        <x:v>1</x:v>
      </x:c>
      <x:c r="J8437" s="6" t="n">
        <x:f>IF(OR(E8437="CANCELED",E8437="SUSPECTED_FRAUD",F8437="Shipping canceled"),0,1)</x:f>
        <x:v>1</x:v>
      </x:c>
      <x:c r="K8437" s="6" t="n">
        <x:f>IF(G8437&gt;H8437,1,0)</x:f>
        <x:v>1</x:v>
      </x:c>
      <x:c r="L8437" s="6" t="n">
        <x:f>J8437*K8437</x:f>
        <x:v>1</x:v>
      </x:c>
    </x:row>
    <x:row r="8438">
      <x:c r="A8438" s="1" t="n">
        <x:v>67515</x:v>
      </x:c>
      <x:c r="B8438" s="5" t="d">
        <x:v>2017-09-12T00:00:00.000Z</x:v>
      </x:c>
      <x:c r="C8438" s="1" t="str">
        <x:v>Standard Class</x:v>
      </x:c>
      <x:c r="D8438" s="1" t="str">
        <x:v>Europe</x:v>
      </x:c>
      <x:c r="E8438" s="1" t="str">
        <x:v>PENDING_PAYMENT</x:v>
      </x:c>
      <x:c r="F8438" s="1" t="str">
        <x:v>Late delivery</x:v>
      </x:c>
      <x:c r="G8438" s="6" t="n">
        <x:v>6</x:v>
      </x:c>
      <x:c r="H8438" s="6" t="n">
        <x:v>4</x:v>
      </x:c>
      <x:c r="I8438" s="6" t="n">
        <x:f>G8438-H8438</x:f>
        <x:v>2</x:v>
      </x:c>
      <x:c r="J8438" s="6" t="n">
        <x:f>IF(OR(E8438="CANCELED",E8438="SUSPECTED_FRAUD",F8438="Shipping canceled"),0,1)</x:f>
        <x:v>1</x:v>
      </x:c>
      <x:c r="K8438" s="6" t="n">
        <x:f>IF(G8438&gt;H8438,1,0)</x:f>
        <x:v>1</x:v>
      </x:c>
      <x:c r="L8438" s="6" t="n">
        <x:f>J8438*K8438</x:f>
        <x:v>1</x:v>
      </x:c>
    </x:row>
    <x:row r="8439">
      <x:c r="A8439" s="1" t="n">
        <x:v>67520</x:v>
      </x:c>
      <x:c r="B8439" s="5" t="d">
        <x:v>2017-09-12T00:00:00.000Z</x:v>
      </x:c>
      <x:c r="C8439" s="1" t="str">
        <x:v>First Class</x:v>
      </x:c>
      <x:c r="D8439" s="1" t="str">
        <x:v>Europe</x:v>
      </x:c>
      <x:c r="E8439" s="1" t="str">
        <x:v>CLOSED</x:v>
      </x:c>
      <x:c r="F8439" s="1" t="str">
        <x:v>Late delivery</x:v>
      </x:c>
      <x:c r="G8439" s="6" t="n">
        <x:v>2</x:v>
      </x:c>
      <x:c r="H8439" s="6" t="n">
        <x:v>1</x:v>
      </x:c>
      <x:c r="I8439" s="6" t="n">
        <x:f>G8439-H8439</x:f>
        <x:v>1</x:v>
      </x:c>
      <x:c r="J8439" s="6" t="n">
        <x:f>IF(OR(E8439="CANCELED",E8439="SUSPECTED_FRAUD",F8439="Shipping canceled"),0,1)</x:f>
        <x:v>1</x:v>
      </x:c>
      <x:c r="K8439" s="6" t="n">
        <x:f>IF(G8439&gt;H8439,1,0)</x:f>
        <x:v>1</x:v>
      </x:c>
      <x:c r="L8439" s="6" t="n">
        <x:f>J8439*K8439</x:f>
        <x:v>1</x:v>
      </x:c>
    </x:row>
    <x:row r="8440">
      <x:c r="A8440" s="1" t="n">
        <x:v>67522</x:v>
      </x:c>
      <x:c r="B8440" s="5" t="d">
        <x:v>2017-09-12T00:00:00.000Z</x:v>
      </x:c>
      <x:c r="C8440" s="1" t="str">
        <x:v>Second Class</x:v>
      </x:c>
      <x:c r="D8440" s="1" t="str">
        <x:v>Europe</x:v>
      </x:c>
      <x:c r="E8440" s="1" t="str">
        <x:v>COMPLETE</x:v>
      </x:c>
      <x:c r="F8440" s="1" t="str">
        <x:v>Late delivery</x:v>
      </x:c>
      <x:c r="G8440" s="6" t="n">
        <x:v>3</x:v>
      </x:c>
      <x:c r="H8440" s="6" t="n">
        <x:v>2</x:v>
      </x:c>
      <x:c r="I8440" s="6" t="n">
        <x:f>G8440-H8440</x:f>
        <x:v>1</x:v>
      </x:c>
      <x:c r="J8440" s="6" t="n">
        <x:f>IF(OR(E8440="CANCELED",E8440="SUSPECTED_FRAUD",F8440="Shipping canceled"),0,1)</x:f>
        <x:v>1</x:v>
      </x:c>
      <x:c r="K8440" s="6" t="n">
        <x:f>IF(G8440&gt;H8440,1,0)</x:f>
        <x:v>1</x:v>
      </x:c>
      <x:c r="L8440" s="6" t="n">
        <x:f>J8440*K8440</x:f>
        <x:v>1</x:v>
      </x:c>
    </x:row>
    <x:row r="8441">
      <x:c r="A8441" s="1" t="n">
        <x:v>67525</x:v>
      </x:c>
      <x:c r="B8441" s="5" t="d">
        <x:v>2017-09-12T00:00:00.000Z</x:v>
      </x:c>
      <x:c r="C8441" s="1" t="str">
        <x:v>Standard Class</x:v>
      </x:c>
      <x:c r="D8441" s="1" t="str">
        <x:v>Europe</x:v>
      </x:c>
      <x:c r="E8441" s="1" t="str">
        <x:v>COMPLETE</x:v>
      </x:c>
      <x:c r="F8441" s="1" t="str">
        <x:v>Late delivery</x:v>
      </x:c>
      <x:c r="G8441" s="6" t="n">
        <x:v>6</x:v>
      </x:c>
      <x:c r="H8441" s="6" t="n">
        <x:v>4</x:v>
      </x:c>
      <x:c r="I8441" s="6" t="n">
        <x:f>G8441-H8441</x:f>
        <x:v>2</x:v>
      </x:c>
      <x:c r="J8441" s="6" t="n">
        <x:f>IF(OR(E8441="CANCELED",E8441="SUSPECTED_FRAUD",F8441="Shipping canceled"),0,1)</x:f>
        <x:v>1</x:v>
      </x:c>
      <x:c r="K8441" s="6" t="n">
        <x:f>IF(G8441&gt;H8441,1,0)</x:f>
        <x:v>1</x:v>
      </x:c>
      <x:c r="L8441" s="6" t="n">
        <x:f>J8441*K8441</x:f>
        <x:v>1</x:v>
      </x:c>
    </x:row>
    <x:row r="8442">
      <x:c r="A8442" s="1" t="n">
        <x:v>67526</x:v>
      </x:c>
      <x:c r="B8442" s="5" t="d">
        <x:v>2017-09-12T00:00:00.000Z</x:v>
      </x:c>
      <x:c r="C8442" s="1" t="str">
        <x:v>Standard Class</x:v>
      </x:c>
      <x:c r="D8442" s="1" t="str">
        <x:v>Europe</x:v>
      </x:c>
      <x:c r="E8442" s="1" t="str">
        <x:v>PENDING</x:v>
      </x:c>
      <x:c r="F8442" s="1" t="str">
        <x:v>Advance shipping</x:v>
      </x:c>
      <x:c r="G8442" s="6" t="n">
        <x:v>2</x:v>
      </x:c>
      <x:c r="H8442" s="6" t="n">
        <x:v>4</x:v>
      </x:c>
      <x:c r="I8442" s="6" t="n">
        <x:f>G8442-H8442</x:f>
        <x:v>-2</x:v>
      </x:c>
      <x:c r="J8442" s="6" t="n">
        <x:f>IF(OR(E8442="CANCELED",E8442="SUSPECTED_FRAUD",F8442="Shipping canceled"),0,1)</x:f>
        <x:v>1</x:v>
      </x:c>
      <x:c r="K8442" s="6" t="n">
        <x:f>IF(G8442&gt;H8442,1,0)</x:f>
        <x:v>0</x:v>
      </x:c>
      <x:c r="L8442" s="6" t="n">
        <x:f>J8442*K8442</x:f>
        <x:v>0</x:v>
      </x:c>
    </x:row>
    <x:row r="8443">
      <x:c r="A8443" s="1" t="n">
        <x:v>67531</x:v>
      </x:c>
      <x:c r="B8443" s="5" t="d">
        <x:v>2017-09-12T00:00:00.000Z</x:v>
      </x:c>
      <x:c r="C8443" s="1" t="str">
        <x:v>Standard Class</x:v>
      </x:c>
      <x:c r="D8443" s="1" t="str">
        <x:v>Europe</x:v>
      </x:c>
      <x:c r="E8443" s="1" t="str">
        <x:v>ON_HOLD</x:v>
      </x:c>
      <x:c r="F8443" s="1" t="str">
        <x:v>Advance shipping</x:v>
      </x:c>
      <x:c r="G8443" s="6" t="n">
        <x:v>2</x:v>
      </x:c>
      <x:c r="H8443" s="6" t="n">
        <x:v>4</x:v>
      </x:c>
      <x:c r="I8443" s="6" t="n">
        <x:f>G8443-H8443</x:f>
        <x:v>-2</x:v>
      </x:c>
      <x:c r="J8443" s="6" t="n">
        <x:f>IF(OR(E8443="CANCELED",E8443="SUSPECTED_FRAUD",F8443="Shipping canceled"),0,1)</x:f>
        <x:v>1</x:v>
      </x:c>
      <x:c r="K8443" s="6" t="n">
        <x:f>IF(G8443&gt;H8443,1,0)</x:f>
        <x:v>0</x:v>
      </x:c>
      <x:c r="L8443" s="6" t="n">
        <x:f>J8443*K8443</x:f>
        <x:v>0</x:v>
      </x:c>
    </x:row>
    <x:row r="8444">
      <x:c r="A8444" s="1" t="n">
        <x:v>67549</x:v>
      </x:c>
      <x:c r="B8444" s="5" t="d">
        <x:v>2017-09-13T00:00:00.000Z</x:v>
      </x:c>
      <x:c r="C8444" s="1" t="str">
        <x:v>Standard Class</x:v>
      </x:c>
      <x:c r="D8444" s="1" t="str">
        <x:v>Europe</x:v>
      </x:c>
      <x:c r="E8444" s="1" t="str">
        <x:v>PENDING</x:v>
      </x:c>
      <x:c r="F8444" s="1" t="str">
        <x:v>Late delivery</x:v>
      </x:c>
      <x:c r="G8444" s="6" t="n">
        <x:v>5</x:v>
      </x:c>
      <x:c r="H8444" s="6" t="n">
        <x:v>4</x:v>
      </x:c>
      <x:c r="I8444" s="6" t="n">
        <x:f>G8444-H8444</x:f>
        <x:v>1</x:v>
      </x:c>
      <x:c r="J8444" s="6" t="n">
        <x:f>IF(OR(E8444="CANCELED",E8444="SUSPECTED_FRAUD",F8444="Shipping canceled"),0,1)</x:f>
        <x:v>1</x:v>
      </x:c>
      <x:c r="K8444" s="6" t="n">
        <x:f>IF(G8444&gt;H8444,1,0)</x:f>
        <x:v>1</x:v>
      </x:c>
      <x:c r="L8444" s="6" t="n">
        <x:f>J8444*K8444</x:f>
        <x:v>1</x:v>
      </x:c>
    </x:row>
    <x:row r="8445">
      <x:c r="A8445" s="1" t="n">
        <x:v>67562</x:v>
      </x:c>
      <x:c r="B8445" s="5" t="d">
        <x:v>2017-09-13T00:00:00.000Z</x:v>
      </x:c>
      <x:c r="C8445" s="1" t="str">
        <x:v>Standard Class</x:v>
      </x:c>
      <x:c r="D8445" s="1" t="str">
        <x:v>Europe</x:v>
      </x:c>
      <x:c r="E8445" s="1" t="str">
        <x:v>COMPLETE</x:v>
      </x:c>
      <x:c r="F8445" s="1" t="str">
        <x:v>Advance shipping</x:v>
      </x:c>
      <x:c r="G8445" s="6" t="n">
        <x:v>3</x:v>
      </x:c>
      <x:c r="H8445" s="6" t="n">
        <x:v>4</x:v>
      </x:c>
      <x:c r="I8445" s="6" t="n">
        <x:f>G8445-H8445</x:f>
        <x:v>-1</x:v>
      </x:c>
      <x:c r="J8445" s="6" t="n">
        <x:f>IF(OR(E8445="CANCELED",E8445="SUSPECTED_FRAUD",F8445="Shipping canceled"),0,1)</x:f>
        <x:v>1</x:v>
      </x:c>
      <x:c r="K8445" s="6" t="n">
        <x:f>IF(G8445&gt;H8445,1,0)</x:f>
        <x:v>0</x:v>
      </x:c>
      <x:c r="L8445" s="6" t="n">
        <x:f>J8445*K8445</x:f>
        <x:v>0</x:v>
      </x:c>
    </x:row>
    <x:row r="8446">
      <x:c r="A8446" s="1" t="n">
        <x:v>67564</x:v>
      </x:c>
      <x:c r="B8446" s="5" t="d">
        <x:v>2017-09-13T00:00:00.000Z</x:v>
      </x:c>
      <x:c r="C8446" s="1" t="str">
        <x:v>Standard Class</x:v>
      </x:c>
      <x:c r="D8446" s="1" t="str">
        <x:v>Europe</x:v>
      </x:c>
      <x:c r="E8446" s="1" t="str">
        <x:v>CLOSED</x:v>
      </x:c>
      <x:c r="F8446" s="1" t="str">
        <x:v>Late delivery</x:v>
      </x:c>
      <x:c r="G8446" s="6" t="n">
        <x:v>5</x:v>
      </x:c>
      <x:c r="H8446" s="6" t="n">
        <x:v>4</x:v>
      </x:c>
      <x:c r="I8446" s="6" t="n">
        <x:f>G8446-H8446</x:f>
        <x:v>1</x:v>
      </x:c>
      <x:c r="J8446" s="6" t="n">
        <x:f>IF(OR(E8446="CANCELED",E8446="SUSPECTED_FRAUD",F8446="Shipping canceled"),0,1)</x:f>
        <x:v>1</x:v>
      </x:c>
      <x:c r="K8446" s="6" t="n">
        <x:f>IF(G8446&gt;H8446,1,0)</x:f>
        <x:v>1</x:v>
      </x:c>
      <x:c r="L8446" s="6" t="n">
        <x:f>J8446*K8446</x:f>
        <x:v>1</x:v>
      </x:c>
    </x:row>
    <x:row r="8447">
      <x:c r="A8447" s="1" t="n">
        <x:v>67566</x:v>
      </x:c>
      <x:c r="B8447" s="5" t="d">
        <x:v>2017-09-13T00:00:00.000Z</x:v>
      </x:c>
      <x:c r="C8447" s="1" t="str">
        <x:v>Standard Class</x:v>
      </x:c>
      <x:c r="D8447" s="1" t="str">
        <x:v>Europe</x:v>
      </x:c>
      <x:c r="E8447" s="1" t="str">
        <x:v>COMPLETE</x:v>
      </x:c>
      <x:c r="F8447" s="1" t="str">
        <x:v>Advance shipping</x:v>
      </x:c>
      <x:c r="G8447" s="6" t="n">
        <x:v>2</x:v>
      </x:c>
      <x:c r="H8447" s="6" t="n">
        <x:v>4</x:v>
      </x:c>
      <x:c r="I8447" s="6" t="n">
        <x:f>G8447-H8447</x:f>
        <x:v>-2</x:v>
      </x:c>
      <x:c r="J8447" s="6" t="n">
        <x:f>IF(OR(E8447="CANCELED",E8447="SUSPECTED_FRAUD",F8447="Shipping canceled"),0,1)</x:f>
        <x:v>1</x:v>
      </x:c>
      <x:c r="K8447" s="6" t="n">
        <x:f>IF(G8447&gt;H8447,1,0)</x:f>
        <x:v>0</x:v>
      </x:c>
      <x:c r="L8447" s="6" t="n">
        <x:f>J8447*K8447</x:f>
        <x:v>0</x:v>
      </x:c>
    </x:row>
    <x:row r="8448">
      <x:c r="A8448" s="1" t="n">
        <x:v>67587</x:v>
      </x:c>
      <x:c r="B8448" s="5" t="d">
        <x:v>2017-09-13T00:00:00.000Z</x:v>
      </x:c>
      <x:c r="C8448" s="1" t="str">
        <x:v>Standard Class</x:v>
      </x:c>
      <x:c r="D8448" s="1" t="str">
        <x:v>Europe</x:v>
      </x:c>
      <x:c r="E8448" s="1" t="str">
        <x:v>ON_HOLD</x:v>
      </x:c>
      <x:c r="F8448" s="1" t="str">
        <x:v>Advance shipping</x:v>
      </x:c>
      <x:c r="G8448" s="6" t="n">
        <x:v>3</x:v>
      </x:c>
      <x:c r="H8448" s="6" t="n">
        <x:v>4</x:v>
      </x:c>
      <x:c r="I8448" s="6" t="n">
        <x:f>G8448-H8448</x:f>
        <x:v>-1</x:v>
      </x:c>
      <x:c r="J8448" s="6" t="n">
        <x:f>IF(OR(E8448="CANCELED",E8448="SUSPECTED_FRAUD",F8448="Shipping canceled"),0,1)</x:f>
        <x:v>1</x:v>
      </x:c>
      <x:c r="K8448" s="6" t="n">
        <x:f>IF(G8448&gt;H8448,1,0)</x:f>
        <x:v>0</x:v>
      </x:c>
      <x:c r="L8448" s="6" t="n">
        <x:f>J8448*K8448</x:f>
        <x:v>0</x:v>
      </x:c>
    </x:row>
    <x:row r="8449">
      <x:c r="A8449" s="1" t="n">
        <x:v>67598</x:v>
      </x:c>
      <x:c r="B8449" s="5" t="d">
        <x:v>2017-09-13T00:00:00.000Z</x:v>
      </x:c>
      <x:c r="C8449" s="1" t="str">
        <x:v>Standard Class</x:v>
      </x:c>
      <x:c r="D8449" s="1" t="str">
        <x:v>Europe</x:v>
      </x:c>
      <x:c r="E8449" s="1" t="str">
        <x:v>COMPLETE</x:v>
      </x:c>
      <x:c r="F8449" s="1" t="str">
        <x:v>Shipping on time</x:v>
      </x:c>
      <x:c r="G8449" s="6" t="n">
        <x:v>4</x:v>
      </x:c>
      <x:c r="H8449" s="6" t="n">
        <x:v>4</x:v>
      </x:c>
      <x:c r="I8449" s="6" t="n">
        <x:f>G8449-H8449</x:f>
        <x:v>0</x:v>
      </x:c>
      <x:c r="J8449" s="6" t="n">
        <x:f>IF(OR(E8449="CANCELED",E8449="SUSPECTED_FRAUD",F8449="Shipping canceled"),0,1)</x:f>
        <x:v>1</x:v>
      </x:c>
      <x:c r="K8449" s="6" t="n">
        <x:f>IF(G8449&gt;H8449,1,0)</x:f>
        <x:v>0</x:v>
      </x:c>
      <x:c r="L8449" s="6" t="n">
        <x:f>J8449*K8449</x:f>
        <x:v>0</x:v>
      </x:c>
    </x:row>
    <x:row r="8450">
      <x:c r="A8450" s="1" t="n">
        <x:v>67601</x:v>
      </x:c>
      <x:c r="B8450" s="5" t="d">
        <x:v>2017-09-13T00:00:00.000Z</x:v>
      </x:c>
      <x:c r="C8450" s="1" t="str">
        <x:v>Standard Class</x:v>
      </x:c>
      <x:c r="D8450" s="1" t="str">
        <x:v>Europe</x:v>
      </x:c>
      <x:c r="E8450" s="1" t="str">
        <x:v>PENDING</x:v>
      </x:c>
      <x:c r="F8450" s="1" t="str">
        <x:v>Advance shipping</x:v>
      </x:c>
      <x:c r="G8450" s="6" t="n">
        <x:v>2</x:v>
      </x:c>
      <x:c r="H8450" s="6" t="n">
        <x:v>4</x:v>
      </x:c>
      <x:c r="I8450" s="6" t="n">
        <x:f>G8450-H8450</x:f>
        <x:v>-2</x:v>
      </x:c>
      <x:c r="J8450" s="6" t="n">
        <x:f>IF(OR(E8450="CANCELED",E8450="SUSPECTED_FRAUD",F8450="Shipping canceled"),0,1)</x:f>
        <x:v>1</x:v>
      </x:c>
      <x:c r="K8450" s="6" t="n">
        <x:f>IF(G8450&gt;H8450,1,0)</x:f>
        <x:v>0</x:v>
      </x:c>
      <x:c r="L8450" s="6" t="n">
        <x:f>J8450*K8450</x:f>
        <x:v>0</x:v>
      </x:c>
    </x:row>
    <x:row r="8451">
      <x:c r="A8451" s="1" t="n">
        <x:v>67604</x:v>
      </x:c>
      <x:c r="B8451" s="5" t="d">
        <x:v>2017-09-13T00:00:00.000Z</x:v>
      </x:c>
      <x:c r="C8451" s="1" t="str">
        <x:v>Standard Class</x:v>
      </x:c>
      <x:c r="D8451" s="1" t="str">
        <x:v>Europe</x:v>
      </x:c>
      <x:c r="E8451" s="1" t="str">
        <x:v>PENDING</x:v>
      </x:c>
      <x:c r="F8451" s="1" t="str">
        <x:v>Late delivery</x:v>
      </x:c>
      <x:c r="G8451" s="6" t="n">
        <x:v>5</x:v>
      </x:c>
      <x:c r="H8451" s="6" t="n">
        <x:v>4</x:v>
      </x:c>
      <x:c r="I8451" s="6" t="n">
        <x:f>G8451-H8451</x:f>
        <x:v>1</x:v>
      </x:c>
      <x:c r="J8451" s="6" t="n">
        <x:f>IF(OR(E8451="CANCELED",E8451="SUSPECTED_FRAUD",F8451="Shipping canceled"),0,1)</x:f>
        <x:v>1</x:v>
      </x:c>
      <x:c r="K8451" s="6" t="n">
        <x:f>IF(G8451&gt;H8451,1,0)</x:f>
        <x:v>1</x:v>
      </x:c>
      <x:c r="L8451" s="6" t="n">
        <x:f>J8451*K8451</x:f>
        <x:v>1</x:v>
      </x:c>
    </x:row>
    <x:row r="8452">
      <x:c r="A8452" s="1" t="n">
        <x:v>67628</x:v>
      </x:c>
      <x:c r="B8452" s="5" t="d">
        <x:v>2017-09-14T00:00:00.000Z</x:v>
      </x:c>
      <x:c r="C8452" s="1" t="str">
        <x:v>Standard Class</x:v>
      </x:c>
      <x:c r="D8452" s="1" t="str">
        <x:v>Europe</x:v>
      </x:c>
      <x:c r="E8452" s="1" t="str">
        <x:v>PENDING_PAYMENT</x:v>
      </x:c>
      <x:c r="F8452" s="1" t="str">
        <x:v>Shipping on time</x:v>
      </x:c>
      <x:c r="G8452" s="6" t="n">
        <x:v>4</x:v>
      </x:c>
      <x:c r="H8452" s="6" t="n">
        <x:v>4</x:v>
      </x:c>
      <x:c r="I8452" s="6" t="n">
        <x:f>G8452-H8452</x:f>
        <x:v>0</x:v>
      </x:c>
      <x:c r="J8452" s="6" t="n">
        <x:f>IF(OR(E8452="CANCELED",E8452="SUSPECTED_FRAUD",F8452="Shipping canceled"),0,1)</x:f>
        <x:v>1</x:v>
      </x:c>
      <x:c r="K8452" s="6" t="n">
        <x:f>IF(G8452&gt;H8452,1,0)</x:f>
        <x:v>0</x:v>
      </x:c>
      <x:c r="L8452" s="6" t="n">
        <x:f>J8452*K8452</x:f>
        <x:v>0</x:v>
      </x:c>
    </x:row>
    <x:row r="8453">
      <x:c r="A8453" s="1" t="n">
        <x:v>67630</x:v>
      </x:c>
      <x:c r="B8453" s="5" t="d">
        <x:v>2017-09-14T00:00:00.000Z</x:v>
      </x:c>
      <x:c r="C8453" s="1" t="str">
        <x:v>Standard Class</x:v>
      </x:c>
      <x:c r="D8453" s="1" t="str">
        <x:v>Europe</x:v>
      </x:c>
      <x:c r="E8453" s="1" t="str">
        <x:v>PENDING_PAYMENT</x:v>
      </x:c>
      <x:c r="F8453" s="1" t="str">
        <x:v>Late delivery</x:v>
      </x:c>
      <x:c r="G8453" s="6" t="n">
        <x:v>6</x:v>
      </x:c>
      <x:c r="H8453" s="6" t="n">
        <x:v>4</x:v>
      </x:c>
      <x:c r="I8453" s="6" t="n">
        <x:f>G8453-H8453</x:f>
        <x:v>2</x:v>
      </x:c>
      <x:c r="J8453" s="6" t="n">
        <x:f>IF(OR(E8453="CANCELED",E8453="SUSPECTED_FRAUD",F8453="Shipping canceled"),0,1)</x:f>
        <x:v>1</x:v>
      </x:c>
      <x:c r="K8453" s="6" t="n">
        <x:f>IF(G8453&gt;H8453,1,0)</x:f>
        <x:v>1</x:v>
      </x:c>
      <x:c r="L8453" s="6" t="n">
        <x:f>J8453*K8453</x:f>
        <x:v>1</x:v>
      </x:c>
    </x:row>
    <x:row r="8454">
      <x:c r="A8454" s="1" t="n">
        <x:v>67638</x:v>
      </x:c>
      <x:c r="B8454" s="5" t="d">
        <x:v>2017-09-14T00:00:00.000Z</x:v>
      </x:c>
      <x:c r="C8454" s="1" t="str">
        <x:v>Standard Class</x:v>
      </x:c>
      <x:c r="D8454" s="1" t="str">
        <x:v>Europe</x:v>
      </x:c>
      <x:c r="E8454" s="1" t="str">
        <x:v>PAYMENT_REVIEW</x:v>
      </x:c>
      <x:c r="F8454" s="1" t="str">
        <x:v>Shipping on time</x:v>
      </x:c>
      <x:c r="G8454" s="6" t="n">
        <x:v>4</x:v>
      </x:c>
      <x:c r="H8454" s="6" t="n">
        <x:v>4</x:v>
      </x:c>
      <x:c r="I8454" s="6" t="n">
        <x:f>G8454-H8454</x:f>
        <x:v>0</x:v>
      </x:c>
      <x:c r="J8454" s="6" t="n">
        <x:f>IF(OR(E8454="CANCELED",E8454="SUSPECTED_FRAUD",F8454="Shipping canceled"),0,1)</x:f>
        <x:v>1</x:v>
      </x:c>
      <x:c r="K8454" s="6" t="n">
        <x:f>IF(G8454&gt;H8454,1,0)</x:f>
        <x:v>0</x:v>
      </x:c>
      <x:c r="L8454" s="6" t="n">
        <x:f>J8454*K8454</x:f>
        <x:v>0</x:v>
      </x:c>
    </x:row>
    <x:row r="8455">
      <x:c r="A8455" s="1" t="n">
        <x:v>67662</x:v>
      </x:c>
      <x:c r="B8455" s="5" t="d">
        <x:v>2017-09-14T00:00:00.000Z</x:v>
      </x:c>
      <x:c r="C8455" s="1" t="str">
        <x:v>First Class</x:v>
      </x:c>
      <x:c r="D8455" s="1" t="str">
        <x:v>Europe</x:v>
      </x:c>
      <x:c r="E8455" s="1" t="str">
        <x:v>PENDING_PAYMENT</x:v>
      </x:c>
      <x:c r="F8455" s="1" t="str">
        <x:v>Late delivery</x:v>
      </x:c>
      <x:c r="G8455" s="6" t="n">
        <x:v>2</x:v>
      </x:c>
      <x:c r="H8455" s="6" t="n">
        <x:v>1</x:v>
      </x:c>
      <x:c r="I8455" s="6" t="n">
        <x:f>G8455-H8455</x:f>
        <x:v>1</x:v>
      </x:c>
      <x:c r="J8455" s="6" t="n">
        <x:f>IF(OR(E8455="CANCELED",E8455="SUSPECTED_FRAUD",F8455="Shipping canceled"),0,1)</x:f>
        <x:v>1</x:v>
      </x:c>
      <x:c r="K8455" s="6" t="n">
        <x:f>IF(G8455&gt;H8455,1,0)</x:f>
        <x:v>1</x:v>
      </x:c>
      <x:c r="L8455" s="6" t="n">
        <x:f>J8455*K8455</x:f>
        <x:v>1</x:v>
      </x:c>
    </x:row>
    <x:row r="8456">
      <x:c r="A8456" s="1" t="n">
        <x:v>67665</x:v>
      </x:c>
      <x:c r="B8456" s="5" t="d">
        <x:v>2017-09-14T00:00:00.000Z</x:v>
      </x:c>
      <x:c r="C8456" s="1" t="str">
        <x:v>Standard Class</x:v>
      </x:c>
      <x:c r="D8456" s="1" t="str">
        <x:v>Europe</x:v>
      </x:c>
      <x:c r="E8456" s="1" t="str">
        <x:v>COMPLETE</x:v>
      </x:c>
      <x:c r="F8456" s="1" t="str">
        <x:v>Late delivery</x:v>
      </x:c>
      <x:c r="G8456" s="6" t="n">
        <x:v>6</x:v>
      </x:c>
      <x:c r="H8456" s="6" t="n">
        <x:v>4</x:v>
      </x:c>
      <x:c r="I8456" s="6" t="n">
        <x:f>G8456-H8456</x:f>
        <x:v>2</x:v>
      </x:c>
      <x:c r="J8456" s="6" t="n">
        <x:f>IF(OR(E8456="CANCELED",E8456="SUSPECTED_FRAUD",F8456="Shipping canceled"),0,1)</x:f>
        <x:v>1</x:v>
      </x:c>
      <x:c r="K8456" s="6" t="n">
        <x:f>IF(G8456&gt;H8456,1,0)</x:f>
        <x:v>1</x:v>
      </x:c>
      <x:c r="L8456" s="6" t="n">
        <x:f>J8456*K8456</x:f>
        <x:v>1</x:v>
      </x:c>
    </x:row>
    <x:row r="8457">
      <x:c r="A8457" s="1" t="n">
        <x:v>67673</x:v>
      </x:c>
      <x:c r="B8457" s="5" t="d">
        <x:v>2017-09-14T00:00:00.000Z</x:v>
      </x:c>
      <x:c r="C8457" s="1" t="str">
        <x:v>Standard Class</x:v>
      </x:c>
      <x:c r="D8457" s="1" t="str">
        <x:v>Europe</x:v>
      </x:c>
      <x:c r="E8457" s="1" t="str">
        <x:v>CLOSED</x:v>
      </x:c>
      <x:c r="F8457" s="1" t="str">
        <x:v>Shipping on time</x:v>
      </x:c>
      <x:c r="G8457" s="6" t="n">
        <x:v>4</x:v>
      </x:c>
      <x:c r="H8457" s="6" t="n">
        <x:v>4</x:v>
      </x:c>
      <x:c r="I8457" s="6" t="n">
        <x:f>G8457-H8457</x:f>
        <x:v>0</x:v>
      </x:c>
      <x:c r="J8457" s="6" t="n">
        <x:f>IF(OR(E8457="CANCELED",E8457="SUSPECTED_FRAUD",F8457="Shipping canceled"),0,1)</x:f>
        <x:v>1</x:v>
      </x:c>
      <x:c r="K8457" s="6" t="n">
        <x:f>IF(G8457&gt;H8457,1,0)</x:f>
        <x:v>0</x:v>
      </x:c>
      <x:c r="L8457" s="6" t="n">
        <x:f>J8457*K8457</x:f>
        <x:v>0</x:v>
      </x:c>
    </x:row>
    <x:row r="8458">
      <x:c r="A8458" s="1" t="n">
        <x:v>67686</x:v>
      </x:c>
      <x:c r="B8458" s="5" t="d">
        <x:v>2017-09-15T00:00:00.000Z</x:v>
      </x:c>
      <x:c r="C8458" s="1" t="str">
        <x:v>First Class</x:v>
      </x:c>
      <x:c r="D8458" s="1" t="str">
        <x:v>Europe</x:v>
      </x:c>
      <x:c r="E8458" s="1" t="str">
        <x:v>PENDING_PAYMENT</x:v>
      </x:c>
      <x:c r="F8458" s="1" t="str">
        <x:v>Late delivery</x:v>
      </x:c>
      <x:c r="G8458" s="6" t="n">
        <x:v>2</x:v>
      </x:c>
      <x:c r="H8458" s="6" t="n">
        <x:v>1</x:v>
      </x:c>
      <x:c r="I8458" s="6" t="n">
        <x:f>G8458-H8458</x:f>
        <x:v>1</x:v>
      </x:c>
      <x:c r="J8458" s="6" t="n">
        <x:f>IF(OR(E8458="CANCELED",E8458="SUSPECTED_FRAUD",F8458="Shipping canceled"),0,1)</x:f>
        <x:v>1</x:v>
      </x:c>
      <x:c r="K8458" s="6" t="n">
        <x:f>IF(G8458&gt;H8458,1,0)</x:f>
        <x:v>1</x:v>
      </x:c>
      <x:c r="L8458" s="6" t="n">
        <x:f>J8458*K8458</x:f>
        <x:v>1</x:v>
      </x:c>
    </x:row>
    <x:row r="8459">
      <x:c r="A8459" s="1" t="n">
        <x:v>67689</x:v>
      </x:c>
      <x:c r="B8459" s="5" t="d">
        <x:v>2017-09-15T00:00:00.000Z</x:v>
      </x:c>
      <x:c r="C8459" s="1" t="str">
        <x:v>Second Class</x:v>
      </x:c>
      <x:c r="D8459" s="1" t="str">
        <x:v>Europe</x:v>
      </x:c>
      <x:c r="E8459" s="1" t="str">
        <x:v>PENDING_PAYMENT</x:v>
      </x:c>
      <x:c r="F8459" s="1" t="str">
        <x:v>Late delivery</x:v>
      </x:c>
      <x:c r="G8459" s="6" t="n">
        <x:v>5</x:v>
      </x:c>
      <x:c r="H8459" s="6" t="n">
        <x:v>2</x:v>
      </x:c>
      <x:c r="I8459" s="6" t="n">
        <x:f>G8459-H8459</x:f>
        <x:v>3</x:v>
      </x:c>
      <x:c r="J8459" s="6" t="n">
        <x:f>IF(OR(E8459="CANCELED",E8459="SUSPECTED_FRAUD",F8459="Shipping canceled"),0,1)</x:f>
        <x:v>1</x:v>
      </x:c>
      <x:c r="K8459" s="6" t="n">
        <x:f>IF(G8459&gt;H8459,1,0)</x:f>
        <x:v>1</x:v>
      </x:c>
      <x:c r="L8459" s="6" t="n">
        <x:f>J8459*K8459</x:f>
        <x:v>1</x:v>
      </x:c>
    </x:row>
    <x:row r="8460">
      <x:c r="A8460" s="1" t="n">
        <x:v>67690</x:v>
      </x:c>
      <x:c r="B8460" s="5" t="d">
        <x:v>2017-09-15T00:00:00.000Z</x:v>
      </x:c>
      <x:c r="C8460" s="1" t="str">
        <x:v>First Class</x:v>
      </x:c>
      <x:c r="D8460" s="1" t="str">
        <x:v>Europe</x:v>
      </x:c>
      <x:c r="E8460" s="1" t="str">
        <x:v>CLOSED</x:v>
      </x:c>
      <x:c r="F8460" s="1" t="str">
        <x:v>Late delivery</x:v>
      </x:c>
      <x:c r="G8460" s="6" t="n">
        <x:v>2</x:v>
      </x:c>
      <x:c r="H8460" s="6" t="n">
        <x:v>1</x:v>
      </x:c>
      <x:c r="I8460" s="6" t="n">
        <x:f>G8460-H8460</x:f>
        <x:v>1</x:v>
      </x:c>
      <x:c r="J8460" s="6" t="n">
        <x:f>IF(OR(E8460="CANCELED",E8460="SUSPECTED_FRAUD",F8460="Shipping canceled"),0,1)</x:f>
        <x:v>1</x:v>
      </x:c>
      <x:c r="K8460" s="6" t="n">
        <x:f>IF(G8460&gt;H8460,1,0)</x:f>
        <x:v>1</x:v>
      </x:c>
      <x:c r="L8460" s="6" t="n">
        <x:f>J8460*K8460</x:f>
        <x:v>1</x:v>
      </x:c>
    </x:row>
    <x:row r="8461">
      <x:c r="A8461" s="1" t="n">
        <x:v>67691</x:v>
      </x:c>
      <x:c r="B8461" s="5" t="d">
        <x:v>2017-09-15T00:00:00.000Z</x:v>
      </x:c>
      <x:c r="C8461" s="1" t="str">
        <x:v>Standard Class</x:v>
      </x:c>
      <x:c r="D8461" s="1" t="str">
        <x:v>Europe</x:v>
      </x:c>
      <x:c r="E8461" s="1" t="str">
        <x:v>PENDING</x:v>
      </x:c>
      <x:c r="F8461" s="1" t="str">
        <x:v>Advance shipping</x:v>
      </x:c>
      <x:c r="G8461" s="6" t="n">
        <x:v>2</x:v>
      </x:c>
      <x:c r="H8461" s="6" t="n">
        <x:v>4</x:v>
      </x:c>
      <x:c r="I8461" s="6" t="n">
        <x:f>G8461-H8461</x:f>
        <x:v>-2</x:v>
      </x:c>
      <x:c r="J8461" s="6" t="n">
        <x:f>IF(OR(E8461="CANCELED",E8461="SUSPECTED_FRAUD",F8461="Shipping canceled"),0,1)</x:f>
        <x:v>1</x:v>
      </x:c>
      <x:c r="K8461" s="6" t="n">
        <x:f>IF(G8461&gt;H8461,1,0)</x:f>
        <x:v>0</x:v>
      </x:c>
      <x:c r="L8461" s="6" t="n">
        <x:f>J8461*K8461</x:f>
        <x:v>0</x:v>
      </x:c>
    </x:row>
    <x:row r="8462">
      <x:c r="A8462" s="1" t="n">
        <x:v>67692</x:v>
      </x:c>
      <x:c r="B8462" s="5" t="d">
        <x:v>2017-09-15T00:00:00.000Z</x:v>
      </x:c>
      <x:c r="C8462" s="1" t="str">
        <x:v>Standard Class</x:v>
      </x:c>
      <x:c r="D8462" s="1" t="str">
        <x:v>Europe</x:v>
      </x:c>
      <x:c r="E8462" s="1" t="str">
        <x:v>CLOSED</x:v>
      </x:c>
      <x:c r="F8462" s="1" t="str">
        <x:v>Advance shipping</x:v>
      </x:c>
      <x:c r="G8462" s="6" t="n">
        <x:v>3</x:v>
      </x:c>
      <x:c r="H8462" s="6" t="n">
        <x:v>4</x:v>
      </x:c>
      <x:c r="I8462" s="6" t="n">
        <x:f>G8462-H8462</x:f>
        <x:v>-1</x:v>
      </x:c>
      <x:c r="J8462" s="6" t="n">
        <x:f>IF(OR(E8462="CANCELED",E8462="SUSPECTED_FRAUD",F8462="Shipping canceled"),0,1)</x:f>
        <x:v>1</x:v>
      </x:c>
      <x:c r="K8462" s="6" t="n">
        <x:f>IF(G8462&gt;H8462,1,0)</x:f>
        <x:v>0</x:v>
      </x:c>
      <x:c r="L8462" s="6" t="n">
        <x:f>J8462*K8462</x:f>
        <x:v>0</x:v>
      </x:c>
    </x:row>
    <x:row r="8463">
      <x:c r="A8463" s="1" t="n">
        <x:v>67695</x:v>
      </x:c>
      <x:c r="B8463" s="5" t="d">
        <x:v>2017-09-15T00:00:00.000Z</x:v>
      </x:c>
      <x:c r="C8463" s="1" t="str">
        <x:v>Standard Class</x:v>
      </x:c>
      <x:c r="D8463" s="1" t="str">
        <x:v>Europe</x:v>
      </x:c>
      <x:c r="E8463" s="1" t="str">
        <x:v>ON_HOLD</x:v>
      </x:c>
      <x:c r="F8463" s="1" t="str">
        <x:v>Late delivery</x:v>
      </x:c>
      <x:c r="G8463" s="6" t="n">
        <x:v>6</x:v>
      </x:c>
      <x:c r="H8463" s="6" t="n">
        <x:v>4</x:v>
      </x:c>
      <x:c r="I8463" s="6" t="n">
        <x:f>G8463-H8463</x:f>
        <x:v>2</x:v>
      </x:c>
      <x:c r="J8463" s="6" t="n">
        <x:f>IF(OR(E8463="CANCELED",E8463="SUSPECTED_FRAUD",F8463="Shipping canceled"),0,1)</x:f>
        <x:v>1</x:v>
      </x:c>
      <x:c r="K8463" s="6" t="n">
        <x:f>IF(G8463&gt;H8463,1,0)</x:f>
        <x:v>1</x:v>
      </x:c>
      <x:c r="L8463" s="6" t="n">
        <x:f>J8463*K8463</x:f>
        <x:v>1</x:v>
      </x:c>
    </x:row>
    <x:row r="8464">
      <x:c r="A8464" s="1" t="n">
        <x:v>67698</x:v>
      </x:c>
      <x:c r="B8464" s="5" t="d">
        <x:v>2017-09-15T00:00:00.000Z</x:v>
      </x:c>
      <x:c r="C8464" s="1" t="str">
        <x:v>First Class</x:v>
      </x:c>
      <x:c r="D8464" s="1" t="str">
        <x:v>Europe</x:v>
      </x:c>
      <x:c r="E8464" s="1" t="str">
        <x:v>PENDING_PAYMENT</x:v>
      </x:c>
      <x:c r="F8464" s="1" t="str">
        <x:v>Late delivery</x:v>
      </x:c>
      <x:c r="G8464" s="6" t="n">
        <x:v>2</x:v>
      </x:c>
      <x:c r="H8464" s="6" t="n">
        <x:v>1</x:v>
      </x:c>
      <x:c r="I8464" s="6" t="n">
        <x:f>G8464-H8464</x:f>
        <x:v>1</x:v>
      </x:c>
      <x:c r="J8464" s="6" t="n">
        <x:f>IF(OR(E8464="CANCELED",E8464="SUSPECTED_FRAUD",F8464="Shipping canceled"),0,1)</x:f>
        <x:v>1</x:v>
      </x:c>
      <x:c r="K8464" s="6" t="n">
        <x:f>IF(G8464&gt;H8464,1,0)</x:f>
        <x:v>1</x:v>
      </x:c>
      <x:c r="L8464" s="6" t="n">
        <x:f>J8464*K8464</x:f>
        <x:v>1</x:v>
      </x:c>
    </x:row>
    <x:row r="8465">
      <x:c r="A8465" s="1" t="n">
        <x:v>67702</x:v>
      </x:c>
      <x:c r="B8465" s="5" t="d">
        <x:v>2017-09-15T00:00:00.000Z</x:v>
      </x:c>
      <x:c r="C8465" s="1" t="str">
        <x:v>Standard Class</x:v>
      </x:c>
      <x:c r="D8465" s="1" t="str">
        <x:v>Europe</x:v>
      </x:c>
      <x:c r="E8465" s="1" t="str">
        <x:v>COMPLETE</x:v>
      </x:c>
      <x:c r="F8465" s="1" t="str">
        <x:v>Advance shipping</x:v>
      </x:c>
      <x:c r="G8465" s="6" t="n">
        <x:v>3</x:v>
      </x:c>
      <x:c r="H8465" s="6" t="n">
        <x:v>4</x:v>
      </x:c>
      <x:c r="I8465" s="6" t="n">
        <x:f>G8465-H8465</x:f>
        <x:v>-1</x:v>
      </x:c>
      <x:c r="J8465" s="6" t="n">
        <x:f>IF(OR(E8465="CANCELED",E8465="SUSPECTED_FRAUD",F8465="Shipping canceled"),0,1)</x:f>
        <x:v>1</x:v>
      </x:c>
      <x:c r="K8465" s="6" t="n">
        <x:f>IF(G8465&gt;H8465,1,0)</x:f>
        <x:v>0</x:v>
      </x:c>
      <x:c r="L8465" s="6" t="n">
        <x:f>J8465*K8465</x:f>
        <x:v>0</x:v>
      </x:c>
    </x:row>
    <x:row r="8466">
      <x:c r="A8466" s="1" t="n">
        <x:v>67708</x:v>
      </x:c>
      <x:c r="B8466" s="5" t="d">
        <x:v>2017-09-15T00:00:00.000Z</x:v>
      </x:c>
      <x:c r="C8466" s="1" t="str">
        <x:v>First Class</x:v>
      </x:c>
      <x:c r="D8466" s="1" t="str">
        <x:v>Europe</x:v>
      </x:c>
      <x:c r="E8466" s="1" t="str">
        <x:v>CLOSED</x:v>
      </x:c>
      <x:c r="F8466" s="1" t="str">
        <x:v>Late delivery</x:v>
      </x:c>
      <x:c r="G8466" s="6" t="n">
        <x:v>2</x:v>
      </x:c>
      <x:c r="H8466" s="6" t="n">
        <x:v>1</x:v>
      </x:c>
      <x:c r="I8466" s="6" t="n">
        <x:f>G8466-H8466</x:f>
        <x:v>1</x:v>
      </x:c>
      <x:c r="J8466" s="6" t="n">
        <x:f>IF(OR(E8466="CANCELED",E8466="SUSPECTED_FRAUD",F8466="Shipping canceled"),0,1)</x:f>
        <x:v>1</x:v>
      </x:c>
      <x:c r="K8466" s="6" t="n">
        <x:f>IF(G8466&gt;H8466,1,0)</x:f>
        <x:v>1</x:v>
      </x:c>
      <x:c r="L8466" s="6" t="n">
        <x:f>J8466*K8466</x:f>
        <x:v>1</x:v>
      </x:c>
    </x:row>
    <x:row r="8467">
      <x:c r="A8467" s="1" t="n">
        <x:v>67709</x:v>
      </x:c>
      <x:c r="B8467" s="5" t="d">
        <x:v>2017-09-15T00:00:00.000Z</x:v>
      </x:c>
      <x:c r="C8467" s="1" t="str">
        <x:v>First Class</x:v>
      </x:c>
      <x:c r="D8467" s="1" t="str">
        <x:v>Europe</x:v>
      </x:c>
      <x:c r="E8467" s="1" t="str">
        <x:v>PENDING_PAYMENT</x:v>
      </x:c>
      <x:c r="F8467" s="1" t="str">
        <x:v>Late delivery</x:v>
      </x:c>
      <x:c r="G8467" s="6" t="n">
        <x:v>2</x:v>
      </x:c>
      <x:c r="H8467" s="6" t="n">
        <x:v>1</x:v>
      </x:c>
      <x:c r="I8467" s="6" t="n">
        <x:f>G8467-H8467</x:f>
        <x:v>1</x:v>
      </x:c>
      <x:c r="J8467" s="6" t="n">
        <x:f>IF(OR(E8467="CANCELED",E8467="SUSPECTED_FRAUD",F8467="Shipping canceled"),0,1)</x:f>
        <x:v>1</x:v>
      </x:c>
      <x:c r="K8467" s="6" t="n">
        <x:f>IF(G8467&gt;H8467,1,0)</x:f>
        <x:v>1</x:v>
      </x:c>
      <x:c r="L8467" s="6" t="n">
        <x:f>J8467*K8467</x:f>
        <x:v>1</x:v>
      </x:c>
    </x:row>
    <x:row r="8468">
      <x:c r="A8468" s="1" t="n">
        <x:v>67712</x:v>
      </x:c>
      <x:c r="B8468" s="5" t="d">
        <x:v>2017-09-15T00:00:00.000Z</x:v>
      </x:c>
      <x:c r="C8468" s="1" t="str">
        <x:v>Second Class</x:v>
      </x:c>
      <x:c r="D8468" s="1" t="str">
        <x:v>Europe</x:v>
      </x:c>
      <x:c r="E8468" s="1" t="str">
        <x:v>COMPLETE</x:v>
      </x:c>
      <x:c r="F8468" s="1" t="str">
        <x:v>Late delivery</x:v>
      </x:c>
      <x:c r="G8468" s="6" t="n">
        <x:v>3</x:v>
      </x:c>
      <x:c r="H8468" s="6" t="n">
        <x:v>2</x:v>
      </x:c>
      <x:c r="I8468" s="6" t="n">
        <x:f>G8468-H8468</x:f>
        <x:v>1</x:v>
      </x:c>
      <x:c r="J8468" s="6" t="n">
        <x:f>IF(OR(E8468="CANCELED",E8468="SUSPECTED_FRAUD",F8468="Shipping canceled"),0,1)</x:f>
        <x:v>1</x:v>
      </x:c>
      <x:c r="K8468" s="6" t="n">
        <x:f>IF(G8468&gt;H8468,1,0)</x:f>
        <x:v>1</x:v>
      </x:c>
      <x:c r="L8468" s="6" t="n">
        <x:f>J8468*K8468</x:f>
        <x:v>1</x:v>
      </x:c>
    </x:row>
    <x:row r="8469">
      <x:c r="A8469" s="1" t="n">
        <x:v>67715</x:v>
      </x:c>
      <x:c r="B8469" s="5" t="d">
        <x:v>2017-09-15T00:00:00.000Z</x:v>
      </x:c>
      <x:c r="C8469" s="1" t="str">
        <x:v>First Class</x:v>
      </x:c>
      <x:c r="D8469" s="1" t="str">
        <x:v>Europe</x:v>
      </x:c>
      <x:c r="E8469" s="1" t="str">
        <x:v>PENDING_PAYMENT</x:v>
      </x:c>
      <x:c r="F8469" s="1" t="str">
        <x:v>Late delivery</x:v>
      </x:c>
      <x:c r="G8469" s="6" t="n">
        <x:v>2</x:v>
      </x:c>
      <x:c r="H8469" s="6" t="n">
        <x:v>1</x:v>
      </x:c>
      <x:c r="I8469" s="6" t="n">
        <x:f>G8469-H8469</x:f>
        <x:v>1</x:v>
      </x:c>
      <x:c r="J8469" s="6" t="n">
        <x:f>IF(OR(E8469="CANCELED",E8469="SUSPECTED_FRAUD",F8469="Shipping canceled"),0,1)</x:f>
        <x:v>1</x:v>
      </x:c>
      <x:c r="K8469" s="6" t="n">
        <x:f>IF(G8469&gt;H8469,1,0)</x:f>
        <x:v>1</x:v>
      </x:c>
      <x:c r="L8469" s="6" t="n">
        <x:f>J8469*K8469</x:f>
        <x:v>1</x:v>
      </x:c>
    </x:row>
    <x:row r="8470">
      <x:c r="A8470" s="1" t="n">
        <x:v>67717</x:v>
      </x:c>
      <x:c r="B8470" s="5" t="d">
        <x:v>2017-09-15T00:00:00.000Z</x:v>
      </x:c>
      <x:c r="C8470" s="1" t="str">
        <x:v>Standard Class</x:v>
      </x:c>
      <x:c r="D8470" s="1" t="str">
        <x:v>Europe</x:v>
      </x:c>
      <x:c r="E8470" s="1" t="str">
        <x:v>PROCESSING</x:v>
      </x:c>
      <x:c r="F8470" s="1" t="str">
        <x:v>Advance shipping</x:v>
      </x:c>
      <x:c r="G8470" s="6" t="n">
        <x:v>3</x:v>
      </x:c>
      <x:c r="H8470" s="6" t="n">
        <x:v>4</x:v>
      </x:c>
      <x:c r="I8470" s="6" t="n">
        <x:f>G8470-H8470</x:f>
        <x:v>-1</x:v>
      </x:c>
      <x:c r="J8470" s="6" t="n">
        <x:f>IF(OR(E8470="CANCELED",E8470="SUSPECTED_FRAUD",F8470="Shipping canceled"),0,1)</x:f>
        <x:v>1</x:v>
      </x:c>
      <x:c r="K8470" s="6" t="n">
        <x:f>IF(G8470&gt;H8470,1,0)</x:f>
        <x:v>0</x:v>
      </x:c>
      <x:c r="L8470" s="6" t="n">
        <x:f>J8470*K8470</x:f>
        <x:v>0</x:v>
      </x:c>
    </x:row>
    <x:row r="8471">
      <x:c r="A8471" s="1" t="n">
        <x:v>67718</x:v>
      </x:c>
      <x:c r="B8471" s="5" t="d">
        <x:v>2017-09-15T00:00:00.000Z</x:v>
      </x:c>
      <x:c r="C8471" s="1" t="str">
        <x:v>Standard Class</x:v>
      </x:c>
      <x:c r="D8471" s="1" t="str">
        <x:v>Europe</x:v>
      </x:c>
      <x:c r="E8471" s="1" t="str">
        <x:v>PENDING_PAYMENT</x:v>
      </x:c>
      <x:c r="F8471" s="1" t="str">
        <x:v>Shipping on time</x:v>
      </x:c>
      <x:c r="G8471" s="6" t="n">
        <x:v>4</x:v>
      </x:c>
      <x:c r="H8471" s="6" t="n">
        <x:v>4</x:v>
      </x:c>
      <x:c r="I8471" s="6" t="n">
        <x:f>G8471-H8471</x:f>
        <x:v>0</x:v>
      </x:c>
      <x:c r="J8471" s="6" t="n">
        <x:f>IF(OR(E8471="CANCELED",E8471="SUSPECTED_FRAUD",F8471="Shipping canceled"),0,1)</x:f>
        <x:v>1</x:v>
      </x:c>
      <x:c r="K8471" s="6" t="n">
        <x:f>IF(G8471&gt;H8471,1,0)</x:f>
        <x:v>0</x:v>
      </x:c>
      <x:c r="L8471" s="6" t="n">
        <x:f>J8471*K8471</x:f>
        <x:v>0</x:v>
      </x:c>
    </x:row>
    <x:row r="8472">
      <x:c r="A8472" s="1" t="n">
        <x:v>67725</x:v>
      </x:c>
      <x:c r="B8472" s="5" t="d">
        <x:v>2017-09-15T00:00:00.000Z</x:v>
      </x:c>
      <x:c r="C8472" s="1" t="str">
        <x:v>Standard Class</x:v>
      </x:c>
      <x:c r="D8472" s="1" t="str">
        <x:v>Europe</x:v>
      </x:c>
      <x:c r="E8472" s="1" t="str">
        <x:v>COMPLETE</x:v>
      </x:c>
      <x:c r="F8472" s="1" t="str">
        <x:v>Late delivery</x:v>
      </x:c>
      <x:c r="G8472" s="6" t="n">
        <x:v>6</x:v>
      </x:c>
      <x:c r="H8472" s="6" t="n">
        <x:v>4</x:v>
      </x:c>
      <x:c r="I8472" s="6" t="n">
        <x:f>G8472-H8472</x:f>
        <x:v>2</x:v>
      </x:c>
      <x:c r="J8472" s="6" t="n">
        <x:f>IF(OR(E8472="CANCELED",E8472="SUSPECTED_FRAUD",F8472="Shipping canceled"),0,1)</x:f>
        <x:v>1</x:v>
      </x:c>
      <x:c r="K8472" s="6" t="n">
        <x:f>IF(G8472&gt;H8472,1,0)</x:f>
        <x:v>1</x:v>
      </x:c>
      <x:c r="L8472" s="6" t="n">
        <x:f>J8472*K8472</x:f>
        <x:v>1</x:v>
      </x:c>
    </x:row>
    <x:row r="8473">
      <x:c r="A8473" s="1" t="n">
        <x:v>67736</x:v>
      </x:c>
      <x:c r="B8473" s="5" t="d">
        <x:v>2017-09-15T00:00:00.000Z</x:v>
      </x:c>
      <x:c r="C8473" s="1" t="str">
        <x:v>Standard Class</x:v>
      </x:c>
      <x:c r="D8473" s="1" t="str">
        <x:v>Europe</x:v>
      </x:c>
      <x:c r="E8473" s="1" t="str">
        <x:v>PROCESSING</x:v>
      </x:c>
      <x:c r="F8473" s="1" t="str">
        <x:v>Advance shipping</x:v>
      </x:c>
      <x:c r="G8473" s="6" t="n">
        <x:v>2</x:v>
      </x:c>
      <x:c r="H8473" s="6" t="n">
        <x:v>4</x:v>
      </x:c>
      <x:c r="I8473" s="6" t="n">
        <x:f>G8473-H8473</x:f>
        <x:v>-2</x:v>
      </x:c>
      <x:c r="J8473" s="6" t="n">
        <x:f>IF(OR(E8473="CANCELED",E8473="SUSPECTED_FRAUD",F8473="Shipping canceled"),0,1)</x:f>
        <x:v>1</x:v>
      </x:c>
      <x:c r="K8473" s="6" t="n">
        <x:f>IF(G8473&gt;H8473,1,0)</x:f>
        <x:v>0</x:v>
      </x:c>
      <x:c r="L8473" s="6" t="n">
        <x:f>J8473*K8473</x:f>
        <x:v>0</x:v>
      </x:c>
    </x:row>
    <x:row r="8474">
      <x:c r="A8474" s="1" t="n">
        <x:v>67740</x:v>
      </x:c>
      <x:c r="B8474" s="5" t="d">
        <x:v>2017-09-15T00:00:00.000Z</x:v>
      </x:c>
      <x:c r="C8474" s="1" t="str">
        <x:v>Second Class</x:v>
      </x:c>
      <x:c r="D8474" s="1" t="str">
        <x:v>Europe</x:v>
      </x:c>
      <x:c r="E8474" s="1" t="str">
        <x:v>CANCELED</x:v>
      </x:c>
      <x:c r="F8474" s="1" t="str">
        <x:v>Shipping canceled</x:v>
      </x:c>
      <x:c r="G8474" s="6" t="n">
        <x:v>6</x:v>
      </x:c>
      <x:c r="H8474" s="6" t="n">
        <x:v>2</x:v>
      </x:c>
      <x:c r="I8474" s="6" t="n">
        <x:f>G8474-H8474</x:f>
        <x:v>4</x:v>
      </x:c>
      <x:c r="J8474" s="6" t="n">
        <x:f>IF(OR(E8474="CANCELED",E8474="SUSPECTED_FRAUD",F8474="Shipping canceled"),0,1)</x:f>
        <x:v>0</x:v>
      </x:c>
      <x:c r="K8474" s="6" t="n">
        <x:f>IF(G8474&gt;H8474,1,0)</x:f>
        <x:v>1</x:v>
      </x:c>
      <x:c r="L8474" s="6" t="n">
        <x:f>J8474*K8474</x:f>
        <x:v>0</x:v>
      </x:c>
    </x:row>
    <x:row r="8475">
      <x:c r="A8475" s="1" t="n">
        <x:v>67749</x:v>
      </x:c>
      <x:c r="B8475" s="5" t="d">
        <x:v>2017-09-15T00:00:00.000Z</x:v>
      </x:c>
      <x:c r="C8475" s="1" t="str">
        <x:v>Second Class</x:v>
      </x:c>
      <x:c r="D8475" s="1" t="str">
        <x:v>Europe</x:v>
      </x:c>
      <x:c r="E8475" s="1" t="str">
        <x:v>COMPLETE</x:v>
      </x:c>
      <x:c r="F8475" s="1" t="str">
        <x:v>Late delivery</x:v>
      </x:c>
      <x:c r="G8475" s="6" t="n">
        <x:v>5</x:v>
      </x:c>
      <x:c r="H8475" s="6" t="n">
        <x:v>2</x:v>
      </x:c>
      <x:c r="I8475" s="6" t="n">
        <x:f>G8475-H8475</x:f>
        <x:v>3</x:v>
      </x:c>
      <x:c r="J8475" s="6" t="n">
        <x:f>IF(OR(E8475="CANCELED",E8475="SUSPECTED_FRAUD",F8475="Shipping canceled"),0,1)</x:f>
        <x:v>1</x:v>
      </x:c>
      <x:c r="K8475" s="6" t="n">
        <x:f>IF(G8475&gt;H8475,1,0)</x:f>
        <x:v>1</x:v>
      </x:c>
      <x:c r="L8475" s="6" t="n">
        <x:f>J8475*K8475</x:f>
        <x:v>1</x:v>
      </x:c>
    </x:row>
    <x:row r="8476">
      <x:c r="A8476" s="1" t="n">
        <x:v>67750</x:v>
      </x:c>
      <x:c r="B8476" s="5" t="d">
        <x:v>2017-09-15T00:00:00.000Z</x:v>
      </x:c>
      <x:c r="C8476" s="1" t="str">
        <x:v>Second Class</x:v>
      </x:c>
      <x:c r="D8476" s="1" t="str">
        <x:v>Europe</x:v>
      </x:c>
      <x:c r="E8476" s="1" t="str">
        <x:v>COMPLETE</x:v>
      </x:c>
      <x:c r="F8476" s="1" t="str">
        <x:v>Late delivery</x:v>
      </x:c>
      <x:c r="G8476" s="6" t="n">
        <x:v>6</x:v>
      </x:c>
      <x:c r="H8476" s="6" t="n">
        <x:v>2</x:v>
      </x:c>
      <x:c r="I8476" s="6" t="n">
        <x:f>G8476-H8476</x:f>
        <x:v>4</x:v>
      </x:c>
      <x:c r="J8476" s="6" t="n">
        <x:f>IF(OR(E8476="CANCELED",E8476="SUSPECTED_FRAUD",F8476="Shipping canceled"),0,1)</x:f>
        <x:v>1</x:v>
      </x:c>
      <x:c r="K8476" s="6" t="n">
        <x:f>IF(G8476&gt;H8476,1,0)</x:f>
        <x:v>1</x:v>
      </x:c>
      <x:c r="L8476" s="6" t="n">
        <x:f>J8476*K8476</x:f>
        <x:v>1</x:v>
      </x:c>
    </x:row>
    <x:row r="8477">
      <x:c r="A8477" s="1" t="n">
        <x:v>67753</x:v>
      </x:c>
      <x:c r="B8477" s="5" t="d">
        <x:v>2017-09-16T00:00:00.000Z</x:v>
      </x:c>
      <x:c r="C8477" s="1" t="str">
        <x:v>Second Class</x:v>
      </x:c>
      <x:c r="D8477" s="1" t="str">
        <x:v>Europe</x:v>
      </x:c>
      <x:c r="E8477" s="1" t="str">
        <x:v>COMPLETE</x:v>
      </x:c>
      <x:c r="F8477" s="1" t="str">
        <x:v>Late delivery</x:v>
      </x:c>
      <x:c r="G8477" s="6" t="n">
        <x:v>4</x:v>
      </x:c>
      <x:c r="H8477" s="6" t="n">
        <x:v>2</x:v>
      </x:c>
      <x:c r="I8477" s="6" t="n">
        <x:f>G8477-H8477</x:f>
        <x:v>2</x:v>
      </x:c>
      <x:c r="J8477" s="6" t="n">
        <x:f>IF(OR(E8477="CANCELED",E8477="SUSPECTED_FRAUD",F8477="Shipping canceled"),0,1)</x:f>
        <x:v>1</x:v>
      </x:c>
      <x:c r="K8477" s="6" t="n">
        <x:f>IF(G8477&gt;H8477,1,0)</x:f>
        <x:v>1</x:v>
      </x:c>
      <x:c r="L8477" s="6" t="n">
        <x:f>J8477*K8477</x:f>
        <x:v>1</x:v>
      </x:c>
    </x:row>
    <x:row r="8478">
      <x:c r="A8478" s="1" t="n">
        <x:v>67754</x:v>
      </x:c>
      <x:c r="B8478" s="5" t="d">
        <x:v>2017-09-16T00:00:00.000Z</x:v>
      </x:c>
      <x:c r="C8478" s="1" t="str">
        <x:v>Standard Class</x:v>
      </x:c>
      <x:c r="D8478" s="1" t="str">
        <x:v>Europe</x:v>
      </x:c>
      <x:c r="E8478" s="1" t="str">
        <x:v>COMPLETE</x:v>
      </x:c>
      <x:c r="F8478" s="1" t="str">
        <x:v>Late delivery</x:v>
      </x:c>
      <x:c r="G8478" s="6" t="n">
        <x:v>5</x:v>
      </x:c>
      <x:c r="H8478" s="6" t="n">
        <x:v>4</x:v>
      </x:c>
      <x:c r="I8478" s="6" t="n">
        <x:f>G8478-H8478</x:f>
        <x:v>1</x:v>
      </x:c>
      <x:c r="J8478" s="6" t="n">
        <x:f>IF(OR(E8478="CANCELED",E8478="SUSPECTED_FRAUD",F8478="Shipping canceled"),0,1)</x:f>
        <x:v>1</x:v>
      </x:c>
      <x:c r="K8478" s="6" t="n">
        <x:f>IF(G8478&gt;H8478,1,0)</x:f>
        <x:v>1</x:v>
      </x:c>
      <x:c r="L8478" s="6" t="n">
        <x:f>J8478*K8478</x:f>
        <x:v>1</x:v>
      </x:c>
    </x:row>
    <x:row r="8479">
      <x:c r="A8479" s="1" t="n">
        <x:v>67786</x:v>
      </x:c>
      <x:c r="B8479" s="5" t="d">
        <x:v>2017-09-16T00:00:00.000Z</x:v>
      </x:c>
      <x:c r="C8479" s="1" t="str">
        <x:v>Second Class</x:v>
      </x:c>
      <x:c r="D8479" s="1" t="str">
        <x:v>Europe</x:v>
      </x:c>
      <x:c r="E8479" s="1" t="str">
        <x:v>COMPLETE</x:v>
      </x:c>
      <x:c r="F8479" s="1" t="str">
        <x:v>Shipping on time</x:v>
      </x:c>
      <x:c r="G8479" s="6" t="n">
        <x:v>2</x:v>
      </x:c>
      <x:c r="H8479" s="6" t="n">
        <x:v>2</x:v>
      </x:c>
      <x:c r="I8479" s="6" t="n">
        <x:f>G8479-H8479</x:f>
        <x:v>0</x:v>
      </x:c>
      <x:c r="J8479" s="6" t="n">
        <x:f>IF(OR(E8479="CANCELED",E8479="SUSPECTED_FRAUD",F8479="Shipping canceled"),0,1)</x:f>
        <x:v>1</x:v>
      </x:c>
      <x:c r="K8479" s="6" t="n">
        <x:f>IF(G8479&gt;H8479,1,0)</x:f>
        <x:v>0</x:v>
      </x:c>
      <x:c r="L8479" s="6" t="n">
        <x:f>J8479*K8479</x:f>
        <x:v>0</x:v>
      </x:c>
    </x:row>
    <x:row r="8480">
      <x:c r="A8480" s="1" t="n">
        <x:v>67794</x:v>
      </x:c>
      <x:c r="B8480" s="5" t="d">
        <x:v>2017-09-16T00:00:00.000Z</x:v>
      </x:c>
      <x:c r="C8480" s="1" t="str">
        <x:v>First Class</x:v>
      </x:c>
      <x:c r="D8480" s="1" t="str">
        <x:v>Europe</x:v>
      </x:c>
      <x:c r="E8480" s="1" t="str">
        <x:v>PENDING</x:v>
      </x:c>
      <x:c r="F8480" s="1" t="str">
        <x:v>Late delivery</x:v>
      </x:c>
      <x:c r="G8480" s="6" t="n">
        <x:v>2</x:v>
      </x:c>
      <x:c r="H8480" s="6" t="n">
        <x:v>1</x:v>
      </x:c>
      <x:c r="I8480" s="6" t="n">
        <x:f>G8480-H8480</x:f>
        <x:v>1</x:v>
      </x:c>
      <x:c r="J8480" s="6" t="n">
        <x:f>IF(OR(E8480="CANCELED",E8480="SUSPECTED_FRAUD",F8480="Shipping canceled"),0,1)</x:f>
        <x:v>1</x:v>
      </x:c>
      <x:c r="K8480" s="6" t="n">
        <x:f>IF(G8480&gt;H8480,1,0)</x:f>
        <x:v>1</x:v>
      </x:c>
      <x:c r="L8480" s="6" t="n">
        <x:f>J8480*K8480</x:f>
        <x:v>1</x:v>
      </x:c>
    </x:row>
    <x:row r="8481">
      <x:c r="A8481" s="1" t="n">
        <x:v>67801</x:v>
      </x:c>
      <x:c r="B8481" s="5" t="d">
        <x:v>2017-09-16T00:00:00.000Z</x:v>
      </x:c>
      <x:c r="C8481" s="1" t="str">
        <x:v>Standard Class</x:v>
      </x:c>
      <x:c r="D8481" s="1" t="str">
        <x:v>Europe</x:v>
      </x:c>
      <x:c r="E8481" s="1" t="str">
        <x:v>COMPLETE</x:v>
      </x:c>
      <x:c r="F8481" s="1" t="str">
        <x:v>Advance shipping</x:v>
      </x:c>
      <x:c r="G8481" s="6" t="n">
        <x:v>2</x:v>
      </x:c>
      <x:c r="H8481" s="6" t="n">
        <x:v>4</x:v>
      </x:c>
      <x:c r="I8481" s="6" t="n">
        <x:f>G8481-H8481</x:f>
        <x:v>-2</x:v>
      </x:c>
      <x:c r="J8481" s="6" t="n">
        <x:f>IF(OR(E8481="CANCELED",E8481="SUSPECTED_FRAUD",F8481="Shipping canceled"),0,1)</x:f>
        <x:v>1</x:v>
      </x:c>
      <x:c r="K8481" s="6" t="n">
        <x:f>IF(G8481&gt;H8481,1,0)</x:f>
        <x:v>0</x:v>
      </x:c>
      <x:c r="L8481" s="6" t="n">
        <x:f>J8481*K8481</x:f>
        <x:v>0</x:v>
      </x:c>
    </x:row>
    <x:row r="8482">
      <x:c r="A8482" s="1" t="n">
        <x:v>67804</x:v>
      </x:c>
      <x:c r="B8482" s="5" t="d">
        <x:v>2017-09-16T00:00:00.000Z</x:v>
      </x:c>
      <x:c r="C8482" s="1" t="str">
        <x:v>Standard Class</x:v>
      </x:c>
      <x:c r="D8482" s="1" t="str">
        <x:v>Europe</x:v>
      </x:c>
      <x:c r="E8482" s="1" t="str">
        <x:v>COMPLETE</x:v>
      </x:c>
      <x:c r="F8482" s="1" t="str">
        <x:v>Late delivery</x:v>
      </x:c>
      <x:c r="G8482" s="6" t="n">
        <x:v>5</x:v>
      </x:c>
      <x:c r="H8482" s="6" t="n">
        <x:v>4</x:v>
      </x:c>
      <x:c r="I8482" s="6" t="n">
        <x:f>G8482-H8482</x:f>
        <x:v>1</x:v>
      </x:c>
      <x:c r="J8482" s="6" t="n">
        <x:f>IF(OR(E8482="CANCELED",E8482="SUSPECTED_FRAUD",F8482="Shipping canceled"),0,1)</x:f>
        <x:v>1</x:v>
      </x:c>
      <x:c r="K8482" s="6" t="n">
        <x:f>IF(G8482&gt;H8482,1,0)</x:f>
        <x:v>1</x:v>
      </x:c>
      <x:c r="L8482" s="6" t="n">
        <x:f>J8482*K8482</x:f>
        <x:v>1</x:v>
      </x:c>
    </x:row>
    <x:row r="8483">
      <x:c r="A8483" s="1" t="n">
        <x:v>67806</x:v>
      </x:c>
      <x:c r="B8483" s="5" t="d">
        <x:v>2017-09-16T00:00:00.000Z</x:v>
      </x:c>
      <x:c r="C8483" s="1" t="str">
        <x:v>Standard Class</x:v>
      </x:c>
      <x:c r="D8483" s="1" t="str">
        <x:v>Europe</x:v>
      </x:c>
      <x:c r="E8483" s="1" t="str">
        <x:v>PROCESSING</x:v>
      </x:c>
      <x:c r="F8483" s="1" t="str">
        <x:v>Advance shipping</x:v>
      </x:c>
      <x:c r="G8483" s="6" t="n">
        <x:v>2</x:v>
      </x:c>
      <x:c r="H8483" s="6" t="n">
        <x:v>4</x:v>
      </x:c>
      <x:c r="I8483" s="6" t="n">
        <x:f>G8483-H8483</x:f>
        <x:v>-2</x:v>
      </x:c>
      <x:c r="J8483" s="6" t="n">
        <x:f>IF(OR(E8483="CANCELED",E8483="SUSPECTED_FRAUD",F8483="Shipping canceled"),0,1)</x:f>
        <x:v>1</x:v>
      </x:c>
      <x:c r="K8483" s="6" t="n">
        <x:f>IF(G8483&gt;H8483,1,0)</x:f>
        <x:v>0</x:v>
      </x:c>
      <x:c r="L8483" s="6" t="n">
        <x:f>J8483*K8483</x:f>
        <x:v>0</x:v>
      </x:c>
    </x:row>
    <x:row r="8484">
      <x:c r="A8484" s="1" t="n">
        <x:v>67808</x:v>
      </x:c>
      <x:c r="B8484" s="5" t="d">
        <x:v>2017-09-16T00:00:00.000Z</x:v>
      </x:c>
      <x:c r="C8484" s="1" t="str">
        <x:v>Standard Class</x:v>
      </x:c>
      <x:c r="D8484" s="1" t="str">
        <x:v>Europe</x:v>
      </x:c>
      <x:c r="E8484" s="1" t="str">
        <x:v>PENDING</x:v>
      </x:c>
      <x:c r="F8484" s="1" t="str">
        <x:v>Shipping on time</x:v>
      </x:c>
      <x:c r="G8484" s="6" t="n">
        <x:v>4</x:v>
      </x:c>
      <x:c r="H8484" s="6" t="n">
        <x:v>4</x:v>
      </x:c>
      <x:c r="I8484" s="6" t="n">
        <x:f>G8484-H8484</x:f>
        <x:v>0</x:v>
      </x:c>
      <x:c r="J8484" s="6" t="n">
        <x:f>IF(OR(E8484="CANCELED",E8484="SUSPECTED_FRAUD",F8484="Shipping canceled"),0,1)</x:f>
        <x:v>1</x:v>
      </x:c>
      <x:c r="K8484" s="6" t="n">
        <x:f>IF(G8484&gt;H8484,1,0)</x:f>
        <x:v>0</x:v>
      </x:c>
      <x:c r="L8484" s="6" t="n">
        <x:f>J8484*K8484</x:f>
        <x:v>0</x:v>
      </x:c>
    </x:row>
    <x:row r="8485">
      <x:c r="A8485" s="1" t="n">
        <x:v>67816</x:v>
      </x:c>
      <x:c r="B8485" s="5" t="d">
        <x:v>2017-09-16T00:00:00.000Z</x:v>
      </x:c>
      <x:c r="C8485" s="1" t="str">
        <x:v>Standard Class</x:v>
      </x:c>
      <x:c r="D8485" s="1" t="str">
        <x:v>Europe</x:v>
      </x:c>
      <x:c r="E8485" s="1" t="str">
        <x:v>COMPLETE</x:v>
      </x:c>
      <x:c r="F8485" s="1" t="str">
        <x:v>Advance shipping</x:v>
      </x:c>
      <x:c r="G8485" s="6" t="n">
        <x:v>2</x:v>
      </x:c>
      <x:c r="H8485" s="6" t="n">
        <x:v>4</x:v>
      </x:c>
      <x:c r="I8485" s="6" t="n">
        <x:f>G8485-H8485</x:f>
        <x:v>-2</x:v>
      </x:c>
      <x:c r="J8485" s="6" t="n">
        <x:f>IF(OR(E8485="CANCELED",E8485="SUSPECTED_FRAUD",F8485="Shipping canceled"),0,1)</x:f>
        <x:v>1</x:v>
      </x:c>
      <x:c r="K8485" s="6" t="n">
        <x:f>IF(G8485&gt;H8485,1,0)</x:f>
        <x:v>0</x:v>
      </x:c>
      <x:c r="L8485" s="6" t="n">
        <x:f>J8485*K8485</x:f>
        <x:v>0</x:v>
      </x:c>
    </x:row>
    <x:row r="8486">
      <x:c r="A8486" s="1" t="n">
        <x:v>67817</x:v>
      </x:c>
      <x:c r="B8486" s="5" t="d">
        <x:v>2017-09-16T00:00:00.000Z</x:v>
      </x:c>
      <x:c r="C8486" s="1" t="str">
        <x:v>Standard Class</x:v>
      </x:c>
      <x:c r="D8486" s="1" t="str">
        <x:v>Europe</x:v>
      </x:c>
      <x:c r="E8486" s="1" t="str">
        <x:v>PROCESSING</x:v>
      </x:c>
      <x:c r="F8486" s="1" t="str">
        <x:v>Advance shipping</x:v>
      </x:c>
      <x:c r="G8486" s="6" t="n">
        <x:v>3</x:v>
      </x:c>
      <x:c r="H8486" s="6" t="n">
        <x:v>4</x:v>
      </x:c>
      <x:c r="I8486" s="6" t="n">
        <x:f>G8486-H8486</x:f>
        <x:v>-1</x:v>
      </x:c>
      <x:c r="J8486" s="6" t="n">
        <x:f>IF(OR(E8486="CANCELED",E8486="SUSPECTED_FRAUD",F8486="Shipping canceled"),0,1)</x:f>
        <x:v>1</x:v>
      </x:c>
      <x:c r="K8486" s="6" t="n">
        <x:f>IF(G8486&gt;H8486,1,0)</x:f>
        <x:v>0</x:v>
      </x:c>
      <x:c r="L8486" s="6" t="n">
        <x:f>J8486*K8486</x:f>
        <x:v>0</x:v>
      </x:c>
    </x:row>
    <x:row r="8487">
      <x:c r="A8487" s="1" t="n">
        <x:v>67818</x:v>
      </x:c>
      <x:c r="B8487" s="5" t="d">
        <x:v>2017-09-16T00:00:00.000Z</x:v>
      </x:c>
      <x:c r="C8487" s="1" t="str">
        <x:v>Standard Class</x:v>
      </x:c>
      <x:c r="D8487" s="1" t="str">
        <x:v>Europe</x:v>
      </x:c>
      <x:c r="E8487" s="1" t="str">
        <x:v>COMPLETE</x:v>
      </x:c>
      <x:c r="F8487" s="1" t="str">
        <x:v>Shipping on time</x:v>
      </x:c>
      <x:c r="G8487" s="6" t="n">
        <x:v>4</x:v>
      </x:c>
      <x:c r="H8487" s="6" t="n">
        <x:v>4</x:v>
      </x:c>
      <x:c r="I8487" s="6" t="n">
        <x:f>G8487-H8487</x:f>
        <x:v>0</x:v>
      </x:c>
      <x:c r="J8487" s="6" t="n">
        <x:f>IF(OR(E8487="CANCELED",E8487="SUSPECTED_FRAUD",F8487="Shipping canceled"),0,1)</x:f>
        <x:v>1</x:v>
      </x:c>
      <x:c r="K8487" s="6" t="n">
        <x:f>IF(G8487&gt;H8487,1,0)</x:f>
        <x:v>0</x:v>
      </x:c>
      <x:c r="L8487" s="6" t="n">
        <x:f>J8487*K8487</x:f>
        <x:v>0</x:v>
      </x:c>
    </x:row>
    <x:row r="8488">
      <x:c r="A8488" s="1" t="n">
        <x:v>67830</x:v>
      </x:c>
      <x:c r="B8488" s="5" t="d">
        <x:v>2017-09-17T00:00:00.000Z</x:v>
      </x:c>
      <x:c r="C8488" s="1" t="str">
        <x:v>Standard Class</x:v>
      </x:c>
      <x:c r="D8488" s="1" t="str">
        <x:v>Europe</x:v>
      </x:c>
      <x:c r="E8488" s="1" t="str">
        <x:v>SUSPECTED_FRAUD</x:v>
      </x:c>
      <x:c r="F8488" s="1" t="str">
        <x:v>Shipping canceled</x:v>
      </x:c>
      <x:c r="G8488" s="6" t="n">
        <x:v>6</x:v>
      </x:c>
      <x:c r="H8488" s="6" t="n">
        <x:v>4</x:v>
      </x:c>
      <x:c r="I8488" s="6" t="n">
        <x:f>G8488-H8488</x:f>
        <x:v>2</x:v>
      </x:c>
      <x:c r="J8488" s="6" t="n">
        <x:f>IF(OR(E8488="CANCELED",E8488="SUSPECTED_FRAUD",F8488="Shipping canceled"),0,1)</x:f>
        <x:v>0</x:v>
      </x:c>
      <x:c r="K8488" s="6" t="n">
        <x:f>IF(G8488&gt;H8488,1,0)</x:f>
        <x:v>1</x:v>
      </x:c>
      <x:c r="L8488" s="6" t="n">
        <x:f>J8488*K8488</x:f>
        <x:v>0</x:v>
      </x:c>
    </x:row>
    <x:row r="8489">
      <x:c r="A8489" s="1" t="n">
        <x:v>67845</x:v>
      </x:c>
      <x:c r="B8489" s="5" t="d">
        <x:v>2017-09-17T00:00:00.000Z</x:v>
      </x:c>
      <x:c r="C8489" s="1" t="str">
        <x:v>Second Class</x:v>
      </x:c>
      <x:c r="D8489" s="1" t="str">
        <x:v>Europe</x:v>
      </x:c>
      <x:c r="E8489" s="1" t="str">
        <x:v>COMPLETE</x:v>
      </x:c>
      <x:c r="F8489" s="1" t="str">
        <x:v>Late delivery</x:v>
      </x:c>
      <x:c r="G8489" s="6" t="n">
        <x:v>6</x:v>
      </x:c>
      <x:c r="H8489" s="6" t="n">
        <x:v>2</x:v>
      </x:c>
      <x:c r="I8489" s="6" t="n">
        <x:f>G8489-H8489</x:f>
        <x:v>4</x:v>
      </x:c>
      <x:c r="J8489" s="6" t="n">
        <x:f>IF(OR(E8489="CANCELED",E8489="SUSPECTED_FRAUD",F8489="Shipping canceled"),0,1)</x:f>
        <x:v>1</x:v>
      </x:c>
      <x:c r="K8489" s="6" t="n">
        <x:f>IF(G8489&gt;H8489,1,0)</x:f>
        <x:v>1</x:v>
      </x:c>
      <x:c r="L8489" s="6" t="n">
        <x:f>J8489*K8489</x:f>
        <x:v>1</x:v>
      </x:c>
    </x:row>
    <x:row r="8490">
      <x:c r="A8490" s="1" t="n">
        <x:v>67866</x:v>
      </x:c>
      <x:c r="B8490" s="5" t="d">
        <x:v>2017-09-17T00:00:00.000Z</x:v>
      </x:c>
      <x:c r="C8490" s="1" t="str">
        <x:v>Standard Class</x:v>
      </x:c>
      <x:c r="D8490" s="1" t="str">
        <x:v>Europe</x:v>
      </x:c>
      <x:c r="E8490" s="1" t="str">
        <x:v>PENDING</x:v>
      </x:c>
      <x:c r="F8490" s="1" t="str">
        <x:v>Advance shipping</x:v>
      </x:c>
      <x:c r="G8490" s="6" t="n">
        <x:v>2</x:v>
      </x:c>
      <x:c r="H8490" s="6" t="n">
        <x:v>4</x:v>
      </x:c>
      <x:c r="I8490" s="6" t="n">
        <x:f>G8490-H8490</x:f>
        <x:v>-2</x:v>
      </x:c>
      <x:c r="J8490" s="6" t="n">
        <x:f>IF(OR(E8490="CANCELED",E8490="SUSPECTED_FRAUD",F8490="Shipping canceled"),0,1)</x:f>
        <x:v>1</x:v>
      </x:c>
      <x:c r="K8490" s="6" t="n">
        <x:f>IF(G8490&gt;H8490,1,0)</x:f>
        <x:v>0</x:v>
      </x:c>
      <x:c r="L8490" s="6" t="n">
        <x:f>J8490*K8490</x:f>
        <x:v>0</x:v>
      </x:c>
    </x:row>
    <x:row r="8491">
      <x:c r="A8491" s="1" t="n">
        <x:v>67878</x:v>
      </x:c>
      <x:c r="B8491" s="5" t="d">
        <x:v>2017-09-17T00:00:00.000Z</x:v>
      </x:c>
      <x:c r="C8491" s="1" t="str">
        <x:v>Standard Class</x:v>
      </x:c>
      <x:c r="D8491" s="1" t="str">
        <x:v>Europe</x:v>
      </x:c>
      <x:c r="E8491" s="1" t="str">
        <x:v>CLOSED</x:v>
      </x:c>
      <x:c r="F8491" s="1" t="str">
        <x:v>Shipping on time</x:v>
      </x:c>
      <x:c r="G8491" s="6" t="n">
        <x:v>4</x:v>
      </x:c>
      <x:c r="H8491" s="6" t="n">
        <x:v>4</x:v>
      </x:c>
      <x:c r="I8491" s="6" t="n">
        <x:f>G8491-H8491</x:f>
        <x:v>0</x:v>
      </x:c>
      <x:c r="J8491" s="6" t="n">
        <x:f>IF(OR(E8491="CANCELED",E8491="SUSPECTED_FRAUD",F8491="Shipping canceled"),0,1)</x:f>
        <x:v>1</x:v>
      </x:c>
      <x:c r="K8491" s="6" t="n">
        <x:f>IF(G8491&gt;H8491,1,0)</x:f>
        <x:v>0</x:v>
      </x:c>
      <x:c r="L8491" s="6" t="n">
        <x:f>J8491*K8491</x:f>
        <x:v>0</x:v>
      </x:c>
    </x:row>
    <x:row r="8492">
      <x:c r="A8492" s="1" t="n">
        <x:v>67881</x:v>
      </x:c>
      <x:c r="B8492" s="5" t="d">
        <x:v>2017-09-17T00:00:00.000Z</x:v>
      </x:c>
      <x:c r="C8492" s="1" t="str">
        <x:v>Standard Class</x:v>
      </x:c>
      <x:c r="D8492" s="1" t="str">
        <x:v>Europe</x:v>
      </x:c>
      <x:c r="E8492" s="1" t="str">
        <x:v>COMPLETE</x:v>
      </x:c>
      <x:c r="F8492" s="1" t="str">
        <x:v>Advance shipping</x:v>
      </x:c>
      <x:c r="G8492" s="6" t="n">
        <x:v>2</x:v>
      </x:c>
      <x:c r="H8492" s="6" t="n">
        <x:v>4</x:v>
      </x:c>
      <x:c r="I8492" s="6" t="n">
        <x:f>G8492-H8492</x:f>
        <x:v>-2</x:v>
      </x:c>
      <x:c r="J8492" s="6" t="n">
        <x:f>IF(OR(E8492="CANCELED",E8492="SUSPECTED_FRAUD",F8492="Shipping canceled"),0,1)</x:f>
        <x:v>1</x:v>
      </x:c>
      <x:c r="K8492" s="6" t="n">
        <x:f>IF(G8492&gt;H8492,1,0)</x:f>
        <x:v>0</x:v>
      </x:c>
      <x:c r="L8492" s="6" t="n">
        <x:f>J8492*K8492</x:f>
        <x:v>0</x:v>
      </x:c>
    </x:row>
    <x:row r="8493">
      <x:c r="A8493" s="1" t="n">
        <x:v>67889</x:v>
      </x:c>
      <x:c r="B8493" s="5" t="d">
        <x:v>2017-09-18T00:00:00.000Z</x:v>
      </x:c>
      <x:c r="C8493" s="1" t="str">
        <x:v>Standard Class</x:v>
      </x:c>
      <x:c r="D8493" s="1" t="str">
        <x:v>Europe</x:v>
      </x:c>
      <x:c r="E8493" s="1" t="str">
        <x:v>PENDING_PAYMENT</x:v>
      </x:c>
      <x:c r="F8493" s="1" t="str">
        <x:v>Late delivery</x:v>
      </x:c>
      <x:c r="G8493" s="6" t="n">
        <x:v>5</x:v>
      </x:c>
      <x:c r="H8493" s="6" t="n">
        <x:v>4</x:v>
      </x:c>
      <x:c r="I8493" s="6" t="n">
        <x:f>G8493-H8493</x:f>
        <x:v>1</x:v>
      </x:c>
      <x:c r="J8493" s="6" t="n">
        <x:f>IF(OR(E8493="CANCELED",E8493="SUSPECTED_FRAUD",F8493="Shipping canceled"),0,1)</x:f>
        <x:v>1</x:v>
      </x:c>
      <x:c r="K8493" s="6" t="n">
        <x:f>IF(G8493&gt;H8493,1,0)</x:f>
        <x:v>1</x:v>
      </x:c>
      <x:c r="L8493" s="6" t="n">
        <x:f>J8493*K8493</x:f>
        <x:v>1</x:v>
      </x:c>
    </x:row>
    <x:row r="8494">
      <x:c r="A8494" s="1" t="n">
        <x:v>67892</x:v>
      </x:c>
      <x:c r="B8494" s="5" t="d">
        <x:v>2017-09-18T00:00:00.000Z</x:v>
      </x:c>
      <x:c r="C8494" s="1" t="str">
        <x:v>Second Class</x:v>
      </x:c>
      <x:c r="D8494" s="1" t="str">
        <x:v>Europe</x:v>
      </x:c>
      <x:c r="E8494" s="1" t="str">
        <x:v>PENDING_PAYMENT</x:v>
      </x:c>
      <x:c r="F8494" s="1" t="str">
        <x:v>Late delivery</x:v>
      </x:c>
      <x:c r="G8494" s="6" t="n">
        <x:v>3</x:v>
      </x:c>
      <x:c r="H8494" s="6" t="n">
        <x:v>2</x:v>
      </x:c>
      <x:c r="I8494" s="6" t="n">
        <x:f>G8494-H8494</x:f>
        <x:v>1</x:v>
      </x:c>
      <x:c r="J8494" s="6" t="n">
        <x:f>IF(OR(E8494="CANCELED",E8494="SUSPECTED_FRAUD",F8494="Shipping canceled"),0,1)</x:f>
        <x:v>1</x:v>
      </x:c>
      <x:c r="K8494" s="6" t="n">
        <x:f>IF(G8494&gt;H8494,1,0)</x:f>
        <x:v>1</x:v>
      </x:c>
      <x:c r="L8494" s="6" t="n">
        <x:f>J8494*K8494</x:f>
        <x:v>1</x:v>
      </x:c>
    </x:row>
    <x:row r="8495">
      <x:c r="A8495" s="1" t="n">
        <x:v>67894</x:v>
      </x:c>
      <x:c r="B8495" s="5" t="d">
        <x:v>2017-09-18T00:00:00.000Z</x:v>
      </x:c>
      <x:c r="C8495" s="1" t="str">
        <x:v>Standard Class</x:v>
      </x:c>
      <x:c r="D8495" s="1" t="str">
        <x:v>Europe</x:v>
      </x:c>
      <x:c r="E8495" s="1" t="str">
        <x:v>COMPLETE</x:v>
      </x:c>
      <x:c r="F8495" s="1" t="str">
        <x:v>Late delivery</x:v>
      </x:c>
      <x:c r="G8495" s="6" t="n">
        <x:v>5</x:v>
      </x:c>
      <x:c r="H8495" s="6" t="n">
        <x:v>4</x:v>
      </x:c>
      <x:c r="I8495" s="6" t="n">
        <x:f>G8495-H8495</x:f>
        <x:v>1</x:v>
      </x:c>
      <x:c r="J8495" s="6" t="n">
        <x:f>IF(OR(E8495="CANCELED",E8495="SUSPECTED_FRAUD",F8495="Shipping canceled"),0,1)</x:f>
        <x:v>1</x:v>
      </x:c>
      <x:c r="K8495" s="6" t="n">
        <x:f>IF(G8495&gt;H8495,1,0)</x:f>
        <x:v>1</x:v>
      </x:c>
      <x:c r="L8495" s="6" t="n">
        <x:f>J8495*K8495</x:f>
        <x:v>1</x:v>
      </x:c>
    </x:row>
    <x:row r="8496">
      <x:c r="A8496" s="1" t="n">
        <x:v>67905</x:v>
      </x:c>
      <x:c r="B8496" s="5" t="d">
        <x:v>2017-09-18T00:00:00.000Z</x:v>
      </x:c>
      <x:c r="C8496" s="1" t="str">
        <x:v>Standard Class</x:v>
      </x:c>
      <x:c r="D8496" s="1" t="str">
        <x:v>Europe</x:v>
      </x:c>
      <x:c r="E8496" s="1" t="str">
        <x:v>COMPLETE</x:v>
      </x:c>
      <x:c r="F8496" s="1" t="str">
        <x:v>Late delivery</x:v>
      </x:c>
      <x:c r="G8496" s="6" t="n">
        <x:v>6</x:v>
      </x:c>
      <x:c r="H8496" s="6" t="n">
        <x:v>4</x:v>
      </x:c>
      <x:c r="I8496" s="6" t="n">
        <x:f>G8496-H8496</x:f>
        <x:v>2</x:v>
      </x:c>
      <x:c r="J8496" s="6" t="n">
        <x:f>IF(OR(E8496="CANCELED",E8496="SUSPECTED_FRAUD",F8496="Shipping canceled"),0,1)</x:f>
        <x:v>1</x:v>
      </x:c>
      <x:c r="K8496" s="6" t="n">
        <x:f>IF(G8496&gt;H8496,1,0)</x:f>
        <x:v>1</x:v>
      </x:c>
      <x:c r="L8496" s="6" t="n">
        <x:f>J8496*K8496</x:f>
        <x:v>1</x:v>
      </x:c>
    </x:row>
    <x:row r="8497">
      <x:c r="A8497" s="1" t="n">
        <x:v>67913</x:v>
      </x:c>
      <x:c r="B8497" s="5" t="d">
        <x:v>2017-09-18T00:00:00.000Z</x:v>
      </x:c>
      <x:c r="C8497" s="1" t="str">
        <x:v>First Class</x:v>
      </x:c>
      <x:c r="D8497" s="1" t="str">
        <x:v>Europe</x:v>
      </x:c>
      <x:c r="E8497" s="1" t="str">
        <x:v>PROCESSING</x:v>
      </x:c>
      <x:c r="F8497" s="1" t="str">
        <x:v>Late delivery</x:v>
      </x:c>
      <x:c r="G8497" s="6" t="n">
        <x:v>2</x:v>
      </x:c>
      <x:c r="H8497" s="6" t="n">
        <x:v>1</x:v>
      </x:c>
      <x:c r="I8497" s="6" t="n">
        <x:f>G8497-H8497</x:f>
        <x:v>1</x:v>
      </x:c>
      <x:c r="J8497" s="6" t="n">
        <x:f>IF(OR(E8497="CANCELED",E8497="SUSPECTED_FRAUD",F8497="Shipping canceled"),0,1)</x:f>
        <x:v>1</x:v>
      </x:c>
      <x:c r="K8497" s="6" t="n">
        <x:f>IF(G8497&gt;H8497,1,0)</x:f>
        <x:v>1</x:v>
      </x:c>
      <x:c r="L8497" s="6" t="n">
        <x:f>J8497*K8497</x:f>
        <x:v>1</x:v>
      </x:c>
    </x:row>
    <x:row r="8498">
      <x:c r="A8498" s="1" t="n">
        <x:v>67919</x:v>
      </x:c>
      <x:c r="B8498" s="5" t="d">
        <x:v>2017-09-18T00:00:00.000Z</x:v>
      </x:c>
      <x:c r="C8498" s="1" t="str">
        <x:v>Standard Class</x:v>
      </x:c>
      <x:c r="D8498" s="1" t="str">
        <x:v>Europe</x:v>
      </x:c>
      <x:c r="E8498" s="1" t="str">
        <x:v>COMPLETE</x:v>
      </x:c>
      <x:c r="F8498" s="1" t="str">
        <x:v>Late delivery</x:v>
      </x:c>
      <x:c r="G8498" s="6" t="n">
        <x:v>5</x:v>
      </x:c>
      <x:c r="H8498" s="6" t="n">
        <x:v>4</x:v>
      </x:c>
      <x:c r="I8498" s="6" t="n">
        <x:f>G8498-H8498</x:f>
        <x:v>1</x:v>
      </x:c>
      <x:c r="J8498" s="6" t="n">
        <x:f>IF(OR(E8498="CANCELED",E8498="SUSPECTED_FRAUD",F8498="Shipping canceled"),0,1)</x:f>
        <x:v>1</x:v>
      </x:c>
      <x:c r="K8498" s="6" t="n">
        <x:f>IF(G8498&gt;H8498,1,0)</x:f>
        <x:v>1</x:v>
      </x:c>
      <x:c r="L8498" s="6" t="n">
        <x:f>J8498*K8498</x:f>
        <x:v>1</x:v>
      </x:c>
    </x:row>
    <x:row r="8499">
      <x:c r="A8499" s="1" t="n">
        <x:v>67935</x:v>
      </x:c>
      <x:c r="B8499" s="5" t="d">
        <x:v>2017-09-18T00:00:00.000Z</x:v>
      </x:c>
      <x:c r="C8499" s="1" t="str">
        <x:v>Standard Class</x:v>
      </x:c>
      <x:c r="D8499" s="1" t="str">
        <x:v>Europe</x:v>
      </x:c>
      <x:c r="E8499" s="1" t="str">
        <x:v>PENDING</x:v>
      </x:c>
      <x:c r="F8499" s="1" t="str">
        <x:v>Late delivery</x:v>
      </x:c>
      <x:c r="G8499" s="6" t="n">
        <x:v>6</x:v>
      </x:c>
      <x:c r="H8499" s="6" t="n">
        <x:v>4</x:v>
      </x:c>
      <x:c r="I8499" s="6" t="n">
        <x:f>G8499-H8499</x:f>
        <x:v>2</x:v>
      </x:c>
      <x:c r="J8499" s="6" t="n">
        <x:f>IF(OR(E8499="CANCELED",E8499="SUSPECTED_FRAUD",F8499="Shipping canceled"),0,1)</x:f>
        <x:v>1</x:v>
      </x:c>
      <x:c r="K8499" s="6" t="n">
        <x:f>IF(G8499&gt;H8499,1,0)</x:f>
        <x:v>1</x:v>
      </x:c>
      <x:c r="L8499" s="6" t="n">
        <x:f>J8499*K8499</x:f>
        <x:v>1</x:v>
      </x:c>
    </x:row>
    <x:row r="8500">
      <x:c r="A8500" s="1" t="n">
        <x:v>67949</x:v>
      </x:c>
      <x:c r="B8500" s="5" t="d">
        <x:v>2017-09-18T00:00:00.000Z</x:v>
      </x:c>
      <x:c r="C8500" s="1" t="str">
        <x:v>Second Class</x:v>
      </x:c>
      <x:c r="D8500" s="1" t="str">
        <x:v>Europe</x:v>
      </x:c>
      <x:c r="E8500" s="1" t="str">
        <x:v>ON_HOLD</x:v>
      </x:c>
      <x:c r="F8500" s="1" t="str">
        <x:v>Late delivery</x:v>
      </x:c>
      <x:c r="G8500" s="6" t="n">
        <x:v>5</x:v>
      </x:c>
      <x:c r="H8500" s="6" t="n">
        <x:v>2</x:v>
      </x:c>
      <x:c r="I8500" s="6" t="n">
        <x:f>G8500-H8500</x:f>
        <x:v>3</x:v>
      </x:c>
      <x:c r="J8500" s="6" t="n">
        <x:f>IF(OR(E8500="CANCELED",E8500="SUSPECTED_FRAUD",F8500="Shipping canceled"),0,1)</x:f>
        <x:v>1</x:v>
      </x:c>
      <x:c r="K8500" s="6" t="n">
        <x:f>IF(G8500&gt;H8500,1,0)</x:f>
        <x:v>1</x:v>
      </x:c>
      <x:c r="L8500" s="6" t="n">
        <x:f>J8500*K8500</x:f>
        <x:v>1</x:v>
      </x:c>
    </x:row>
    <x:row r="8501">
      <x:c r="A8501" s="1" t="n">
        <x:v>67968</x:v>
      </x:c>
      <x:c r="B8501" s="5" t="d">
        <x:v>2017-09-19T00:00:00.000Z</x:v>
      </x:c>
      <x:c r="C8501" s="1" t="str">
        <x:v>Second Class</x:v>
      </x:c>
      <x:c r="D8501" s="1" t="str">
        <x:v>Europe</x:v>
      </x:c>
      <x:c r="E8501" s="1" t="str">
        <x:v>COMPLETE</x:v>
      </x:c>
      <x:c r="F8501" s="1" t="str">
        <x:v>Late delivery</x:v>
      </x:c>
      <x:c r="G8501" s="6" t="n">
        <x:v>4</x:v>
      </x:c>
      <x:c r="H8501" s="6" t="n">
        <x:v>2</x:v>
      </x:c>
      <x:c r="I8501" s="6" t="n">
        <x:f>G8501-H8501</x:f>
        <x:v>2</x:v>
      </x:c>
      <x:c r="J8501" s="6" t="n">
        <x:f>IF(OR(E8501="CANCELED",E8501="SUSPECTED_FRAUD",F8501="Shipping canceled"),0,1)</x:f>
        <x:v>1</x:v>
      </x:c>
      <x:c r="K8501" s="6" t="n">
        <x:f>IF(G8501&gt;H8501,1,0)</x:f>
        <x:v>1</x:v>
      </x:c>
      <x:c r="L8501" s="6" t="n">
        <x:f>J8501*K8501</x:f>
        <x:v>1</x:v>
      </x:c>
    </x:row>
    <x:row r="8502">
      <x:c r="A8502" s="1" t="n">
        <x:v>67970</x:v>
      </x:c>
      <x:c r="B8502" s="5" t="d">
        <x:v>2017-09-19T00:00:00.000Z</x:v>
      </x:c>
      <x:c r="C8502" s="1" t="str">
        <x:v>First Class</x:v>
      </x:c>
      <x:c r="D8502" s="1" t="str">
        <x:v>Europe</x:v>
      </x:c>
      <x:c r="E8502" s="1" t="str">
        <x:v>PENDING_PAYMENT</x:v>
      </x:c>
      <x:c r="F8502" s="1" t="str">
        <x:v>Late delivery</x:v>
      </x:c>
      <x:c r="G8502" s="6" t="n">
        <x:v>2</x:v>
      </x:c>
      <x:c r="H8502" s="6" t="n">
        <x:v>1</x:v>
      </x:c>
      <x:c r="I8502" s="6" t="n">
        <x:f>G8502-H8502</x:f>
        <x:v>1</x:v>
      </x:c>
      <x:c r="J8502" s="6" t="n">
        <x:f>IF(OR(E8502="CANCELED",E8502="SUSPECTED_FRAUD",F8502="Shipping canceled"),0,1)</x:f>
        <x:v>1</x:v>
      </x:c>
      <x:c r="K8502" s="6" t="n">
        <x:f>IF(G8502&gt;H8502,1,0)</x:f>
        <x:v>1</x:v>
      </x:c>
      <x:c r="L8502" s="6" t="n">
        <x:f>J8502*K8502</x:f>
        <x:v>1</x:v>
      </x:c>
    </x:row>
    <x:row r="8503">
      <x:c r="A8503" s="1" t="n">
        <x:v>67979</x:v>
      </x:c>
      <x:c r="B8503" s="5" t="d">
        <x:v>2017-09-19T00:00:00.000Z</x:v>
      </x:c>
      <x:c r="C8503" s="1" t="str">
        <x:v>Second Class</x:v>
      </x:c>
      <x:c r="D8503" s="1" t="str">
        <x:v>Europe</x:v>
      </x:c>
      <x:c r="E8503" s="1" t="str">
        <x:v>PENDING_PAYMENT</x:v>
      </x:c>
      <x:c r="F8503" s="1" t="str">
        <x:v>Late delivery</x:v>
      </x:c>
      <x:c r="G8503" s="6" t="n">
        <x:v>5</x:v>
      </x:c>
      <x:c r="H8503" s="6" t="n">
        <x:v>2</x:v>
      </x:c>
      <x:c r="I8503" s="6" t="n">
        <x:f>G8503-H8503</x:f>
        <x:v>3</x:v>
      </x:c>
      <x:c r="J8503" s="6" t="n">
        <x:f>IF(OR(E8503="CANCELED",E8503="SUSPECTED_FRAUD",F8503="Shipping canceled"),0,1)</x:f>
        <x:v>1</x:v>
      </x:c>
      <x:c r="K8503" s="6" t="n">
        <x:f>IF(G8503&gt;H8503,1,0)</x:f>
        <x:v>1</x:v>
      </x:c>
      <x:c r="L8503" s="6" t="n">
        <x:f>J8503*K8503</x:f>
        <x:v>1</x:v>
      </x:c>
    </x:row>
    <x:row r="8504">
      <x:c r="A8504" s="1" t="n">
        <x:v>67980</x:v>
      </x:c>
      <x:c r="B8504" s="5" t="d">
        <x:v>2017-09-19T00:00:00.000Z</x:v>
      </x:c>
      <x:c r="C8504" s="1" t="str">
        <x:v>Standard Class</x:v>
      </x:c>
      <x:c r="D8504" s="1" t="str">
        <x:v>Europe</x:v>
      </x:c>
      <x:c r="E8504" s="1" t="str">
        <x:v>COMPLETE</x:v>
      </x:c>
      <x:c r="F8504" s="1" t="str">
        <x:v>Late delivery</x:v>
      </x:c>
      <x:c r="G8504" s="6" t="n">
        <x:v>6</x:v>
      </x:c>
      <x:c r="H8504" s="6" t="n">
        <x:v>4</x:v>
      </x:c>
      <x:c r="I8504" s="6" t="n">
        <x:f>G8504-H8504</x:f>
        <x:v>2</x:v>
      </x:c>
      <x:c r="J8504" s="6" t="n">
        <x:f>IF(OR(E8504="CANCELED",E8504="SUSPECTED_FRAUD",F8504="Shipping canceled"),0,1)</x:f>
        <x:v>1</x:v>
      </x:c>
      <x:c r="K8504" s="6" t="n">
        <x:f>IF(G8504&gt;H8504,1,0)</x:f>
        <x:v>1</x:v>
      </x:c>
      <x:c r="L8504" s="6" t="n">
        <x:f>J8504*K8504</x:f>
        <x:v>1</x:v>
      </x:c>
    </x:row>
    <x:row r="8505">
      <x:c r="A8505" s="1" t="n">
        <x:v>67982</x:v>
      </x:c>
      <x:c r="B8505" s="5" t="d">
        <x:v>2017-09-19T00:00:00.000Z</x:v>
      </x:c>
      <x:c r="C8505" s="1" t="str">
        <x:v>Standard Class</x:v>
      </x:c>
      <x:c r="D8505" s="1" t="str">
        <x:v>Europe</x:v>
      </x:c>
      <x:c r="E8505" s="1" t="str">
        <x:v>COMPLETE</x:v>
      </x:c>
      <x:c r="F8505" s="1" t="str">
        <x:v>Advance shipping</x:v>
      </x:c>
      <x:c r="G8505" s="6" t="n">
        <x:v>3</x:v>
      </x:c>
      <x:c r="H8505" s="6" t="n">
        <x:v>4</x:v>
      </x:c>
      <x:c r="I8505" s="6" t="n">
        <x:f>G8505-H8505</x:f>
        <x:v>-1</x:v>
      </x:c>
      <x:c r="J8505" s="6" t="n">
        <x:f>IF(OR(E8505="CANCELED",E8505="SUSPECTED_FRAUD",F8505="Shipping canceled"),0,1)</x:f>
        <x:v>1</x:v>
      </x:c>
      <x:c r="K8505" s="6" t="n">
        <x:f>IF(G8505&gt;H8505,1,0)</x:f>
        <x:v>0</x:v>
      </x:c>
      <x:c r="L8505" s="6" t="n">
        <x:f>J8505*K8505</x:f>
        <x:v>0</x:v>
      </x:c>
    </x:row>
    <x:row r="8506">
      <x:c r="A8506" s="1" t="n">
        <x:v>67988</x:v>
      </x:c>
      <x:c r="B8506" s="5" t="d">
        <x:v>2017-09-19T00:00:00.000Z</x:v>
      </x:c>
      <x:c r="C8506" s="1" t="str">
        <x:v>Standard Class</x:v>
      </x:c>
      <x:c r="D8506" s="1" t="str">
        <x:v>Europe</x:v>
      </x:c>
      <x:c r="E8506" s="1" t="str">
        <x:v>PROCESSING</x:v>
      </x:c>
      <x:c r="F8506" s="1" t="str">
        <x:v>Shipping on time</x:v>
      </x:c>
      <x:c r="G8506" s="6" t="n">
        <x:v>4</x:v>
      </x:c>
      <x:c r="H8506" s="6" t="n">
        <x:v>4</x:v>
      </x:c>
      <x:c r="I8506" s="6" t="n">
        <x:f>G8506-H8506</x:f>
        <x:v>0</x:v>
      </x:c>
      <x:c r="J8506" s="6" t="n">
        <x:f>IF(OR(E8506="CANCELED",E8506="SUSPECTED_FRAUD",F8506="Shipping canceled"),0,1)</x:f>
        <x:v>1</x:v>
      </x:c>
      <x:c r="K8506" s="6" t="n">
        <x:f>IF(G8506&gt;H8506,1,0)</x:f>
        <x:v>0</x:v>
      </x:c>
      <x:c r="L8506" s="6" t="n">
        <x:f>J8506*K8506</x:f>
        <x:v>0</x:v>
      </x:c>
    </x:row>
    <x:row r="8507">
      <x:c r="A8507" s="1" t="n">
        <x:v>67989</x:v>
      </x:c>
      <x:c r="B8507" s="5" t="d">
        <x:v>2017-09-19T00:00:00.000Z</x:v>
      </x:c>
      <x:c r="C8507" s="1" t="str">
        <x:v>Standard Class</x:v>
      </x:c>
      <x:c r="D8507" s="1" t="str">
        <x:v>Europe</x:v>
      </x:c>
      <x:c r="E8507" s="1" t="str">
        <x:v>ON_HOLD</x:v>
      </x:c>
      <x:c r="F8507" s="1" t="str">
        <x:v>Late delivery</x:v>
      </x:c>
      <x:c r="G8507" s="6" t="n">
        <x:v>5</x:v>
      </x:c>
      <x:c r="H8507" s="6" t="n">
        <x:v>4</x:v>
      </x:c>
      <x:c r="I8507" s="6" t="n">
        <x:f>G8507-H8507</x:f>
        <x:v>1</x:v>
      </x:c>
      <x:c r="J8507" s="6" t="n">
        <x:f>IF(OR(E8507="CANCELED",E8507="SUSPECTED_FRAUD",F8507="Shipping canceled"),0,1)</x:f>
        <x:v>1</x:v>
      </x:c>
      <x:c r="K8507" s="6" t="n">
        <x:f>IF(G8507&gt;H8507,1,0)</x:f>
        <x:v>1</x:v>
      </x:c>
      <x:c r="L8507" s="6" t="n">
        <x:f>J8507*K8507</x:f>
        <x:v>1</x:v>
      </x:c>
    </x:row>
    <x:row r="8508">
      <x:c r="A8508" s="1" t="n">
        <x:v>67991</x:v>
      </x:c>
      <x:c r="B8508" s="5" t="d">
        <x:v>2017-09-19T00:00:00.000Z</x:v>
      </x:c>
      <x:c r="C8508" s="1" t="str">
        <x:v>Standard Class</x:v>
      </x:c>
      <x:c r="D8508" s="1" t="str">
        <x:v>Europe</x:v>
      </x:c>
      <x:c r="E8508" s="1" t="str">
        <x:v>COMPLETE</x:v>
      </x:c>
      <x:c r="F8508" s="1" t="str">
        <x:v>Advance shipping</x:v>
      </x:c>
      <x:c r="G8508" s="6" t="n">
        <x:v>2</x:v>
      </x:c>
      <x:c r="H8508" s="6" t="n">
        <x:v>4</x:v>
      </x:c>
      <x:c r="I8508" s="6" t="n">
        <x:f>G8508-H8508</x:f>
        <x:v>-2</x:v>
      </x:c>
      <x:c r="J8508" s="6" t="n">
        <x:f>IF(OR(E8508="CANCELED",E8508="SUSPECTED_FRAUD",F8508="Shipping canceled"),0,1)</x:f>
        <x:v>1</x:v>
      </x:c>
      <x:c r="K8508" s="6" t="n">
        <x:f>IF(G8508&gt;H8508,1,0)</x:f>
        <x:v>0</x:v>
      </x:c>
      <x:c r="L8508" s="6" t="n">
        <x:f>J8508*K8508</x:f>
        <x:v>0</x:v>
      </x:c>
    </x:row>
    <x:row r="8509">
      <x:c r="A8509" s="1" t="n">
        <x:v>68012</x:v>
      </x:c>
      <x:c r="B8509" s="5" t="d">
        <x:v>2017-09-19T00:00:00.000Z</x:v>
      </x:c>
      <x:c r="C8509" s="1" t="str">
        <x:v>Standard Class</x:v>
      </x:c>
      <x:c r="D8509" s="1" t="str">
        <x:v>Europe</x:v>
      </x:c>
      <x:c r="E8509" s="1" t="str">
        <x:v>COMPLETE</x:v>
      </x:c>
      <x:c r="F8509" s="1" t="str">
        <x:v>Advance shipping</x:v>
      </x:c>
      <x:c r="G8509" s="6" t="n">
        <x:v>3</x:v>
      </x:c>
      <x:c r="H8509" s="6" t="n">
        <x:v>4</x:v>
      </x:c>
      <x:c r="I8509" s="6" t="n">
        <x:f>G8509-H8509</x:f>
        <x:v>-1</x:v>
      </x:c>
      <x:c r="J8509" s="6" t="n">
        <x:f>IF(OR(E8509="CANCELED",E8509="SUSPECTED_FRAUD",F8509="Shipping canceled"),0,1)</x:f>
        <x:v>1</x:v>
      </x:c>
      <x:c r="K8509" s="6" t="n">
        <x:f>IF(G8509&gt;H8509,1,0)</x:f>
        <x:v>0</x:v>
      </x:c>
      <x:c r="L8509" s="6" t="n">
        <x:f>J8509*K8509</x:f>
        <x:v>0</x:v>
      </x:c>
    </x:row>
    <x:row r="8510">
      <x:c r="A8510" s="1" t="n">
        <x:v>68025</x:v>
      </x:c>
      <x:c r="B8510" s="5" t="d">
        <x:v>2017-09-19T00:00:00.000Z</x:v>
      </x:c>
      <x:c r="C8510" s="1" t="str">
        <x:v>Standard Class</x:v>
      </x:c>
      <x:c r="D8510" s="1" t="str">
        <x:v>Europe</x:v>
      </x:c>
      <x:c r="E8510" s="1" t="str">
        <x:v>COMPLETE</x:v>
      </x:c>
      <x:c r="F8510" s="1" t="str">
        <x:v>Late delivery</x:v>
      </x:c>
      <x:c r="G8510" s="6" t="n">
        <x:v>6</x:v>
      </x:c>
      <x:c r="H8510" s="6" t="n">
        <x:v>4</x:v>
      </x:c>
      <x:c r="I8510" s="6" t="n">
        <x:f>G8510-H8510</x:f>
        <x:v>2</x:v>
      </x:c>
      <x:c r="J8510" s="6" t="n">
        <x:f>IF(OR(E8510="CANCELED",E8510="SUSPECTED_FRAUD",F8510="Shipping canceled"),0,1)</x:f>
        <x:v>1</x:v>
      </x:c>
      <x:c r="K8510" s="6" t="n">
        <x:f>IF(G8510&gt;H8510,1,0)</x:f>
        <x:v>1</x:v>
      </x:c>
      <x:c r="L8510" s="6" t="n">
        <x:f>J8510*K8510</x:f>
        <x:v>1</x:v>
      </x:c>
    </x:row>
    <x:row r="8511">
      <x:c r="A8511" s="1" t="n">
        <x:v>68033</x:v>
      </x:c>
      <x:c r="B8511" s="5" t="d">
        <x:v>2017-09-20T00:00:00.000Z</x:v>
      </x:c>
      <x:c r="C8511" s="1" t="str">
        <x:v>Standard Class</x:v>
      </x:c>
      <x:c r="D8511" s="1" t="str">
        <x:v>Europe</x:v>
      </x:c>
      <x:c r="E8511" s="1" t="str">
        <x:v>COMPLETE</x:v>
      </x:c>
      <x:c r="F8511" s="1" t="str">
        <x:v>Shipping on time</x:v>
      </x:c>
      <x:c r="G8511" s="6" t="n">
        <x:v>4</x:v>
      </x:c>
      <x:c r="H8511" s="6" t="n">
        <x:v>4</x:v>
      </x:c>
      <x:c r="I8511" s="6" t="n">
        <x:f>G8511-H8511</x:f>
        <x:v>0</x:v>
      </x:c>
      <x:c r="J8511" s="6" t="n">
        <x:f>IF(OR(E8511="CANCELED",E8511="SUSPECTED_FRAUD",F8511="Shipping canceled"),0,1)</x:f>
        <x:v>1</x:v>
      </x:c>
      <x:c r="K8511" s="6" t="n">
        <x:f>IF(G8511&gt;H8511,1,0)</x:f>
        <x:v>0</x:v>
      </x:c>
      <x:c r="L8511" s="6" t="n">
        <x:f>J8511*K8511</x:f>
        <x:v>0</x:v>
      </x:c>
    </x:row>
    <x:row r="8512">
      <x:c r="A8512" s="1" t="n">
        <x:v>68060</x:v>
      </x:c>
      <x:c r="B8512" s="5" t="d">
        <x:v>2017-09-20T00:00:00.000Z</x:v>
      </x:c>
      <x:c r="C8512" s="1" t="str">
        <x:v>Standard Class</x:v>
      </x:c>
      <x:c r="D8512" s="1" t="str">
        <x:v>Europe</x:v>
      </x:c>
      <x:c r="E8512" s="1" t="str">
        <x:v>COMPLETE</x:v>
      </x:c>
      <x:c r="F8512" s="1" t="str">
        <x:v>Late delivery</x:v>
      </x:c>
      <x:c r="G8512" s="6" t="n">
        <x:v>6</x:v>
      </x:c>
      <x:c r="H8512" s="6" t="n">
        <x:v>4</x:v>
      </x:c>
      <x:c r="I8512" s="6" t="n">
        <x:f>G8512-H8512</x:f>
        <x:v>2</x:v>
      </x:c>
      <x:c r="J8512" s="6" t="n">
        <x:f>IF(OR(E8512="CANCELED",E8512="SUSPECTED_FRAUD",F8512="Shipping canceled"),0,1)</x:f>
        <x:v>1</x:v>
      </x:c>
      <x:c r="K8512" s="6" t="n">
        <x:f>IF(G8512&gt;H8512,1,0)</x:f>
        <x:v>1</x:v>
      </x:c>
      <x:c r="L8512" s="6" t="n">
        <x:f>J8512*K8512</x:f>
        <x:v>1</x:v>
      </x:c>
    </x:row>
    <x:row r="8513">
      <x:c r="A8513" s="1" t="n">
        <x:v>68065</x:v>
      </x:c>
      <x:c r="B8513" s="5" t="d">
        <x:v>2017-09-20T00:00:00.000Z</x:v>
      </x:c>
      <x:c r="C8513" s="1" t="str">
        <x:v>Standard Class</x:v>
      </x:c>
      <x:c r="D8513" s="1" t="str">
        <x:v>Europe</x:v>
      </x:c>
      <x:c r="E8513" s="1" t="str">
        <x:v>COMPLETE</x:v>
      </x:c>
      <x:c r="F8513" s="1" t="str">
        <x:v>Late delivery</x:v>
      </x:c>
      <x:c r="G8513" s="6" t="n">
        <x:v>6</x:v>
      </x:c>
      <x:c r="H8513" s="6" t="n">
        <x:v>4</x:v>
      </x:c>
      <x:c r="I8513" s="6" t="n">
        <x:f>G8513-H8513</x:f>
        <x:v>2</x:v>
      </x:c>
      <x:c r="J8513" s="6" t="n">
        <x:f>IF(OR(E8513="CANCELED",E8513="SUSPECTED_FRAUD",F8513="Shipping canceled"),0,1)</x:f>
        <x:v>1</x:v>
      </x:c>
      <x:c r="K8513" s="6" t="n">
        <x:f>IF(G8513&gt;H8513,1,0)</x:f>
        <x:v>1</x:v>
      </x:c>
      <x:c r="L8513" s="6" t="n">
        <x:f>J8513*K8513</x:f>
        <x:v>1</x:v>
      </x:c>
    </x:row>
    <x:row r="8514">
      <x:c r="A8514" s="1" t="n">
        <x:v>68084</x:v>
      </x:c>
      <x:c r="B8514" s="5" t="d">
        <x:v>2017-09-20T00:00:00.000Z</x:v>
      </x:c>
      <x:c r="C8514" s="1" t="str">
        <x:v>Second Class</x:v>
      </x:c>
      <x:c r="D8514" s="1" t="str">
        <x:v>Europe</x:v>
      </x:c>
      <x:c r="E8514" s="1" t="str">
        <x:v>ON_HOLD</x:v>
      </x:c>
      <x:c r="F8514" s="1" t="str">
        <x:v>Late delivery</x:v>
      </x:c>
      <x:c r="G8514" s="6" t="n">
        <x:v>5</x:v>
      </x:c>
      <x:c r="H8514" s="6" t="n">
        <x:v>2</x:v>
      </x:c>
      <x:c r="I8514" s="6" t="n">
        <x:f>G8514-H8514</x:f>
        <x:v>3</x:v>
      </x:c>
      <x:c r="J8514" s="6" t="n">
        <x:f>IF(OR(E8514="CANCELED",E8514="SUSPECTED_FRAUD",F8514="Shipping canceled"),0,1)</x:f>
        <x:v>1</x:v>
      </x:c>
      <x:c r="K8514" s="6" t="n">
        <x:f>IF(G8514&gt;H8514,1,0)</x:f>
        <x:v>1</x:v>
      </x:c>
      <x:c r="L8514" s="6" t="n">
        <x:f>J8514*K8514</x:f>
        <x:v>1</x:v>
      </x:c>
    </x:row>
    <x:row r="8515">
      <x:c r="A8515" s="1" t="n">
        <x:v>68090</x:v>
      </x:c>
      <x:c r="B8515" s="5" t="d">
        <x:v>2017-09-20T00:00:00.000Z</x:v>
      </x:c>
      <x:c r="C8515" s="1" t="str">
        <x:v>Standard Class</x:v>
      </x:c>
      <x:c r="D8515" s="1" t="str">
        <x:v>Europe</x:v>
      </x:c>
      <x:c r="E8515" s="1" t="str">
        <x:v>COMPLETE</x:v>
      </x:c>
      <x:c r="F8515" s="1" t="str">
        <x:v>Late delivery</x:v>
      </x:c>
      <x:c r="G8515" s="6" t="n">
        <x:v>6</x:v>
      </x:c>
      <x:c r="H8515" s="6" t="n">
        <x:v>4</x:v>
      </x:c>
      <x:c r="I8515" s="6" t="n">
        <x:f>G8515-H8515</x:f>
        <x:v>2</x:v>
      </x:c>
      <x:c r="J8515" s="6" t="n">
        <x:f>IF(OR(E8515="CANCELED",E8515="SUSPECTED_FRAUD",F8515="Shipping canceled"),0,1)</x:f>
        <x:v>1</x:v>
      </x:c>
      <x:c r="K8515" s="6" t="n">
        <x:f>IF(G8515&gt;H8515,1,0)</x:f>
        <x:v>1</x:v>
      </x:c>
      <x:c r="L8515" s="6" t="n">
        <x:f>J8515*K8515</x:f>
        <x:v>1</x:v>
      </x:c>
    </x:row>
    <x:row r="8516">
      <x:c r="A8516" s="1" t="n">
        <x:v>68093</x:v>
      </x:c>
      <x:c r="B8516" s="5" t="d">
        <x:v>2017-09-20T00:00:00.000Z</x:v>
      </x:c>
      <x:c r="C8516" s="1" t="str">
        <x:v>Standard Class</x:v>
      </x:c>
      <x:c r="D8516" s="1" t="str">
        <x:v>Europe</x:v>
      </x:c>
      <x:c r="E8516" s="1" t="str">
        <x:v>COMPLETE</x:v>
      </x:c>
      <x:c r="F8516" s="1" t="str">
        <x:v>Shipping on time</x:v>
      </x:c>
      <x:c r="G8516" s="6" t="n">
        <x:v>4</x:v>
      </x:c>
      <x:c r="H8516" s="6" t="n">
        <x:v>4</x:v>
      </x:c>
      <x:c r="I8516" s="6" t="n">
        <x:f>G8516-H8516</x:f>
        <x:v>0</x:v>
      </x:c>
      <x:c r="J8516" s="6" t="n">
        <x:f>IF(OR(E8516="CANCELED",E8516="SUSPECTED_FRAUD",F8516="Shipping canceled"),0,1)</x:f>
        <x:v>1</x:v>
      </x:c>
      <x:c r="K8516" s="6" t="n">
        <x:f>IF(G8516&gt;H8516,1,0)</x:f>
        <x:v>0</x:v>
      </x:c>
      <x:c r="L8516" s="6" t="n">
        <x:f>J8516*K8516</x:f>
        <x:v>0</x:v>
      </x:c>
    </x:row>
    <x:row r="8517">
      <x:c r="A8517" s="1" t="n">
        <x:v>68094</x:v>
      </x:c>
      <x:c r="B8517" s="5" t="d">
        <x:v>2017-09-21T00:00:00.000Z</x:v>
      </x:c>
      <x:c r="C8517" s="1" t="str">
        <x:v>Standard Class</x:v>
      </x:c>
      <x:c r="D8517" s="1" t="str">
        <x:v>Europe</x:v>
      </x:c>
      <x:c r="E8517" s="1" t="str">
        <x:v>PENDING</x:v>
      </x:c>
      <x:c r="F8517" s="1" t="str">
        <x:v>Late delivery</x:v>
      </x:c>
      <x:c r="G8517" s="6" t="n">
        <x:v>5</x:v>
      </x:c>
      <x:c r="H8517" s="6" t="n">
        <x:v>4</x:v>
      </x:c>
      <x:c r="I8517" s="6" t="n">
        <x:f>G8517-H8517</x:f>
        <x:v>1</x:v>
      </x:c>
      <x:c r="J8517" s="6" t="n">
        <x:f>IF(OR(E8517="CANCELED",E8517="SUSPECTED_FRAUD",F8517="Shipping canceled"),0,1)</x:f>
        <x:v>1</x:v>
      </x:c>
      <x:c r="K8517" s="6" t="n">
        <x:f>IF(G8517&gt;H8517,1,0)</x:f>
        <x:v>1</x:v>
      </x:c>
      <x:c r="L8517" s="6" t="n">
        <x:f>J8517*K8517</x:f>
        <x:v>1</x:v>
      </x:c>
    </x:row>
    <x:row r="8518">
      <x:c r="A8518" s="1" t="n">
        <x:v>68098</x:v>
      </x:c>
      <x:c r="B8518" s="5" t="d">
        <x:v>2017-09-21T00:00:00.000Z</x:v>
      </x:c>
      <x:c r="C8518" s="1" t="str">
        <x:v>Standard Class</x:v>
      </x:c>
      <x:c r="D8518" s="1" t="str">
        <x:v>Europe</x:v>
      </x:c>
      <x:c r="E8518" s="1" t="str">
        <x:v>PENDING_PAYMENT</x:v>
      </x:c>
      <x:c r="F8518" s="1" t="str">
        <x:v>Shipping on time</x:v>
      </x:c>
      <x:c r="G8518" s="6" t="n">
        <x:v>4</x:v>
      </x:c>
      <x:c r="H8518" s="6" t="n">
        <x:v>4</x:v>
      </x:c>
      <x:c r="I8518" s="6" t="n">
        <x:f>G8518-H8518</x:f>
        <x:v>0</x:v>
      </x:c>
      <x:c r="J8518" s="6" t="n">
        <x:f>IF(OR(E8518="CANCELED",E8518="SUSPECTED_FRAUD",F8518="Shipping canceled"),0,1)</x:f>
        <x:v>1</x:v>
      </x:c>
      <x:c r="K8518" s="6" t="n">
        <x:f>IF(G8518&gt;H8518,1,0)</x:f>
        <x:v>0</x:v>
      </x:c>
      <x:c r="L8518" s="6" t="n">
        <x:f>J8518*K8518</x:f>
        <x:v>0</x:v>
      </x:c>
    </x:row>
    <x:row r="8519">
      <x:c r="A8519" s="1" t="n">
        <x:v>68102</x:v>
      </x:c>
      <x:c r="B8519" s="5" t="d">
        <x:v>2017-09-21T00:00:00.000Z</x:v>
      </x:c>
      <x:c r="C8519" s="1" t="str">
        <x:v>Standard Class</x:v>
      </x:c>
      <x:c r="D8519" s="1" t="str">
        <x:v>Europe</x:v>
      </x:c>
      <x:c r="E8519" s="1" t="str">
        <x:v>COMPLETE</x:v>
      </x:c>
      <x:c r="F8519" s="1" t="str">
        <x:v>Advance shipping</x:v>
      </x:c>
      <x:c r="G8519" s="6" t="n">
        <x:v>3</x:v>
      </x:c>
      <x:c r="H8519" s="6" t="n">
        <x:v>4</x:v>
      </x:c>
      <x:c r="I8519" s="6" t="n">
        <x:f>G8519-H8519</x:f>
        <x:v>-1</x:v>
      </x:c>
      <x:c r="J8519" s="6" t="n">
        <x:f>IF(OR(E8519="CANCELED",E8519="SUSPECTED_FRAUD",F8519="Shipping canceled"),0,1)</x:f>
        <x:v>1</x:v>
      </x:c>
      <x:c r="K8519" s="6" t="n">
        <x:f>IF(G8519&gt;H8519,1,0)</x:f>
        <x:v>0</x:v>
      </x:c>
      <x:c r="L8519" s="6" t="n">
        <x:f>J8519*K8519</x:f>
        <x:v>0</x:v>
      </x:c>
    </x:row>
    <x:row r="8520">
      <x:c r="A8520" s="1" t="n">
        <x:v>68107</x:v>
      </x:c>
      <x:c r="B8520" s="5" t="d">
        <x:v>2017-09-21T00:00:00.000Z</x:v>
      </x:c>
      <x:c r="C8520" s="1" t="str">
        <x:v>Second Class</x:v>
      </x:c>
      <x:c r="D8520" s="1" t="str">
        <x:v>Europe</x:v>
      </x:c>
      <x:c r="E8520" s="1" t="str">
        <x:v>COMPLETE</x:v>
      </x:c>
      <x:c r="F8520" s="1" t="str">
        <x:v>Late delivery</x:v>
      </x:c>
      <x:c r="G8520" s="6" t="n">
        <x:v>3</x:v>
      </x:c>
      <x:c r="H8520" s="6" t="n">
        <x:v>2</x:v>
      </x:c>
      <x:c r="I8520" s="6" t="n">
        <x:f>G8520-H8520</x:f>
        <x:v>1</x:v>
      </x:c>
      <x:c r="J8520" s="6" t="n">
        <x:f>IF(OR(E8520="CANCELED",E8520="SUSPECTED_FRAUD",F8520="Shipping canceled"),0,1)</x:f>
        <x:v>1</x:v>
      </x:c>
      <x:c r="K8520" s="6" t="n">
        <x:f>IF(G8520&gt;H8520,1,0)</x:f>
        <x:v>1</x:v>
      </x:c>
      <x:c r="L8520" s="6" t="n">
        <x:f>J8520*K8520</x:f>
        <x:v>1</x:v>
      </x:c>
    </x:row>
    <x:row r="8521">
      <x:c r="A8521" s="1" t="n">
        <x:v>68110</x:v>
      </x:c>
      <x:c r="B8521" s="5" t="d">
        <x:v>2017-09-21T00:00:00.000Z</x:v>
      </x:c>
      <x:c r="C8521" s="1" t="str">
        <x:v>Standard Class</x:v>
      </x:c>
      <x:c r="D8521" s="1" t="str">
        <x:v>Europe</x:v>
      </x:c>
      <x:c r="E8521" s="1" t="str">
        <x:v>COMPLETE</x:v>
      </x:c>
      <x:c r="F8521" s="1" t="str">
        <x:v>Late delivery</x:v>
      </x:c>
      <x:c r="G8521" s="6" t="n">
        <x:v>6</x:v>
      </x:c>
      <x:c r="H8521" s="6" t="n">
        <x:v>4</x:v>
      </x:c>
      <x:c r="I8521" s="6" t="n">
        <x:f>G8521-H8521</x:f>
        <x:v>2</x:v>
      </x:c>
      <x:c r="J8521" s="6" t="n">
        <x:f>IF(OR(E8521="CANCELED",E8521="SUSPECTED_FRAUD",F8521="Shipping canceled"),0,1)</x:f>
        <x:v>1</x:v>
      </x:c>
      <x:c r="K8521" s="6" t="n">
        <x:f>IF(G8521&gt;H8521,1,0)</x:f>
        <x:v>1</x:v>
      </x:c>
      <x:c r="L8521" s="6" t="n">
        <x:f>J8521*K8521</x:f>
        <x:v>1</x:v>
      </x:c>
    </x:row>
    <x:row r="8522">
      <x:c r="A8522" s="1" t="n">
        <x:v>68111</x:v>
      </x:c>
      <x:c r="B8522" s="5" t="d">
        <x:v>2017-09-21T00:00:00.000Z</x:v>
      </x:c>
      <x:c r="C8522" s="1" t="str">
        <x:v>Standard Class</x:v>
      </x:c>
      <x:c r="D8522" s="1" t="str">
        <x:v>Europe</x:v>
      </x:c>
      <x:c r="E8522" s="1" t="str">
        <x:v>SUSPECTED_FRAUD</x:v>
      </x:c>
      <x:c r="F8522" s="1" t="str">
        <x:v>Shipping canceled</x:v>
      </x:c>
      <x:c r="G8522" s="6" t="n">
        <x:v>2</x:v>
      </x:c>
      <x:c r="H8522" s="6" t="n">
        <x:v>4</x:v>
      </x:c>
      <x:c r="I8522" s="6" t="n">
        <x:f>G8522-H8522</x:f>
        <x:v>-2</x:v>
      </x:c>
      <x:c r="J8522" s="6" t="n">
        <x:f>IF(OR(E8522="CANCELED",E8522="SUSPECTED_FRAUD",F8522="Shipping canceled"),0,1)</x:f>
        <x:v>0</x:v>
      </x:c>
      <x:c r="K8522" s="6" t="n">
        <x:f>IF(G8522&gt;H8522,1,0)</x:f>
        <x:v>0</x:v>
      </x:c>
      <x:c r="L8522" s="6" t="n">
        <x:f>J8522*K8522</x:f>
        <x:v>0</x:v>
      </x:c>
    </x:row>
    <x:row r="8523">
      <x:c r="A8523" s="1" t="n">
        <x:v>68143</x:v>
      </x:c>
      <x:c r="B8523" s="5" t="d">
        <x:v>2017-09-21T00:00:00.000Z</x:v>
      </x:c>
      <x:c r="C8523" s="1" t="str">
        <x:v>Standard Class</x:v>
      </x:c>
      <x:c r="D8523" s="1" t="str">
        <x:v>Europe</x:v>
      </x:c>
      <x:c r="E8523" s="1" t="str">
        <x:v>COMPLETE</x:v>
      </x:c>
      <x:c r="F8523" s="1" t="str">
        <x:v>Shipping on time</x:v>
      </x:c>
      <x:c r="G8523" s="6" t="n">
        <x:v>4</x:v>
      </x:c>
      <x:c r="H8523" s="6" t="n">
        <x:v>4</x:v>
      </x:c>
      <x:c r="I8523" s="6" t="n">
        <x:f>G8523-H8523</x:f>
        <x:v>0</x:v>
      </x:c>
      <x:c r="J8523" s="6" t="n">
        <x:f>IF(OR(E8523="CANCELED",E8523="SUSPECTED_FRAUD",F8523="Shipping canceled"),0,1)</x:f>
        <x:v>1</x:v>
      </x:c>
      <x:c r="K8523" s="6" t="n">
        <x:f>IF(G8523&gt;H8523,1,0)</x:f>
        <x:v>0</x:v>
      </x:c>
      <x:c r="L8523" s="6" t="n">
        <x:f>J8523*K8523</x:f>
        <x:v>0</x:v>
      </x:c>
    </x:row>
    <x:row r="8524">
      <x:c r="A8524" s="1" t="n">
        <x:v>68146</x:v>
      </x:c>
      <x:c r="B8524" s="5" t="d">
        <x:v>2017-09-21T00:00:00.000Z</x:v>
      </x:c>
      <x:c r="C8524" s="1" t="str">
        <x:v>Standard Class</x:v>
      </x:c>
      <x:c r="D8524" s="1" t="str">
        <x:v>Europe</x:v>
      </x:c>
      <x:c r="E8524" s="1" t="str">
        <x:v>PENDING</x:v>
      </x:c>
      <x:c r="F8524" s="1" t="str">
        <x:v>Advance shipping</x:v>
      </x:c>
      <x:c r="G8524" s="6" t="n">
        <x:v>2</x:v>
      </x:c>
      <x:c r="H8524" s="6" t="n">
        <x:v>4</x:v>
      </x:c>
      <x:c r="I8524" s="6" t="n">
        <x:f>G8524-H8524</x:f>
        <x:v>-2</x:v>
      </x:c>
      <x:c r="J8524" s="6" t="n">
        <x:f>IF(OR(E8524="CANCELED",E8524="SUSPECTED_FRAUD",F8524="Shipping canceled"),0,1)</x:f>
        <x:v>1</x:v>
      </x:c>
      <x:c r="K8524" s="6" t="n">
        <x:f>IF(G8524&gt;H8524,1,0)</x:f>
        <x:v>0</x:v>
      </x:c>
      <x:c r="L8524" s="6" t="n">
        <x:f>J8524*K8524</x:f>
        <x:v>0</x:v>
      </x:c>
    </x:row>
    <x:row r="8525">
      <x:c r="A8525" s="1" t="n">
        <x:v>68152</x:v>
      </x:c>
      <x:c r="B8525" s="5" t="d">
        <x:v>2017-09-21T00:00:00.000Z</x:v>
      </x:c>
      <x:c r="C8525" s="1" t="str">
        <x:v>First Class</x:v>
      </x:c>
      <x:c r="D8525" s="1" t="str">
        <x:v>Europe</x:v>
      </x:c>
      <x:c r="E8525" s="1" t="str">
        <x:v>CLOSED</x:v>
      </x:c>
      <x:c r="F8525" s="1" t="str">
        <x:v>Late delivery</x:v>
      </x:c>
      <x:c r="G8525" s="6" t="n">
        <x:v>2</x:v>
      </x:c>
      <x:c r="H8525" s="6" t="n">
        <x:v>1</x:v>
      </x:c>
      <x:c r="I8525" s="6" t="n">
        <x:f>G8525-H8525</x:f>
        <x:v>1</x:v>
      </x:c>
      <x:c r="J8525" s="6" t="n">
        <x:f>IF(OR(E8525="CANCELED",E8525="SUSPECTED_FRAUD",F8525="Shipping canceled"),0,1)</x:f>
        <x:v>1</x:v>
      </x:c>
      <x:c r="K8525" s="6" t="n">
        <x:f>IF(G8525&gt;H8525,1,0)</x:f>
        <x:v>1</x:v>
      </x:c>
      <x:c r="L8525" s="6" t="n">
        <x:f>J8525*K8525</x:f>
        <x:v>1</x:v>
      </x:c>
    </x:row>
    <x:row r="8526">
      <x:c r="A8526" s="1" t="n">
        <x:v>68186</x:v>
      </x:c>
      <x:c r="B8526" s="5" t="d">
        <x:v>2017-09-22T00:00:00.000Z</x:v>
      </x:c>
      <x:c r="C8526" s="1" t="str">
        <x:v>Standard Class</x:v>
      </x:c>
      <x:c r="D8526" s="1" t="str">
        <x:v>Europe</x:v>
      </x:c>
      <x:c r="E8526" s="1" t="str">
        <x:v>COMPLETE</x:v>
      </x:c>
      <x:c r="F8526" s="1" t="str">
        <x:v>Advance shipping</x:v>
      </x:c>
      <x:c r="G8526" s="6" t="n">
        <x:v>2</x:v>
      </x:c>
      <x:c r="H8526" s="6" t="n">
        <x:v>4</x:v>
      </x:c>
      <x:c r="I8526" s="6" t="n">
        <x:f>G8526-H8526</x:f>
        <x:v>-2</x:v>
      </x:c>
      <x:c r="J8526" s="6" t="n">
        <x:f>IF(OR(E8526="CANCELED",E8526="SUSPECTED_FRAUD",F8526="Shipping canceled"),0,1)</x:f>
        <x:v>1</x:v>
      </x:c>
      <x:c r="K8526" s="6" t="n">
        <x:f>IF(G8526&gt;H8526,1,0)</x:f>
        <x:v>0</x:v>
      </x:c>
      <x:c r="L8526" s="6" t="n">
        <x:f>J8526*K8526</x:f>
        <x:v>0</x:v>
      </x:c>
    </x:row>
    <x:row r="8527">
      <x:c r="A8527" s="1" t="n">
        <x:v>68195</x:v>
      </x:c>
      <x:c r="B8527" s="5" t="d">
        <x:v>2017-09-22T00:00:00.000Z</x:v>
      </x:c>
      <x:c r="C8527" s="1" t="str">
        <x:v>Standard Class</x:v>
      </x:c>
      <x:c r="D8527" s="1" t="str">
        <x:v>Europe</x:v>
      </x:c>
      <x:c r="E8527" s="1" t="str">
        <x:v>COMPLETE</x:v>
      </x:c>
      <x:c r="F8527" s="1" t="str">
        <x:v>Late delivery</x:v>
      </x:c>
      <x:c r="G8527" s="6" t="n">
        <x:v>6</x:v>
      </x:c>
      <x:c r="H8527" s="6" t="n">
        <x:v>4</x:v>
      </x:c>
      <x:c r="I8527" s="6" t="n">
        <x:f>G8527-H8527</x:f>
        <x:v>2</x:v>
      </x:c>
      <x:c r="J8527" s="6" t="n">
        <x:f>IF(OR(E8527="CANCELED",E8527="SUSPECTED_FRAUD",F8527="Shipping canceled"),0,1)</x:f>
        <x:v>1</x:v>
      </x:c>
      <x:c r="K8527" s="6" t="n">
        <x:f>IF(G8527&gt;H8527,1,0)</x:f>
        <x:v>1</x:v>
      </x:c>
      <x:c r="L8527" s="6" t="n">
        <x:f>J8527*K8527</x:f>
        <x:v>1</x:v>
      </x:c>
    </x:row>
    <x:row r="8528">
      <x:c r="A8528" s="1" t="n">
        <x:v>68199</x:v>
      </x:c>
      <x:c r="B8528" s="5" t="d">
        <x:v>2017-09-22T00:00:00.000Z</x:v>
      </x:c>
      <x:c r="C8528" s="1" t="str">
        <x:v>Standard Class</x:v>
      </x:c>
      <x:c r="D8528" s="1" t="str">
        <x:v>Europe</x:v>
      </x:c>
      <x:c r="E8528" s="1" t="str">
        <x:v>PROCESSING</x:v>
      </x:c>
      <x:c r="F8528" s="1" t="str">
        <x:v>Late delivery</x:v>
      </x:c>
      <x:c r="G8528" s="6" t="n">
        <x:v>5</x:v>
      </x:c>
      <x:c r="H8528" s="6" t="n">
        <x:v>4</x:v>
      </x:c>
      <x:c r="I8528" s="6" t="n">
        <x:f>G8528-H8528</x:f>
        <x:v>1</x:v>
      </x:c>
      <x:c r="J8528" s="6" t="n">
        <x:f>IF(OR(E8528="CANCELED",E8528="SUSPECTED_FRAUD",F8528="Shipping canceled"),0,1)</x:f>
        <x:v>1</x:v>
      </x:c>
      <x:c r="K8528" s="6" t="n">
        <x:f>IF(G8528&gt;H8528,1,0)</x:f>
        <x:v>1</x:v>
      </x:c>
      <x:c r="L8528" s="6" t="n">
        <x:f>J8528*K8528</x:f>
        <x:v>1</x:v>
      </x:c>
    </x:row>
    <x:row r="8529">
      <x:c r="A8529" s="1" t="n">
        <x:v>68201</x:v>
      </x:c>
      <x:c r="B8529" s="5" t="d">
        <x:v>2017-09-22T00:00:00.000Z</x:v>
      </x:c>
      <x:c r="C8529" s="1" t="str">
        <x:v>Standard Class</x:v>
      </x:c>
      <x:c r="D8529" s="1" t="str">
        <x:v>Europe</x:v>
      </x:c>
      <x:c r="E8529" s="1" t="str">
        <x:v>COMPLETE</x:v>
      </x:c>
      <x:c r="F8529" s="1" t="str">
        <x:v>Advance shipping</x:v>
      </x:c>
      <x:c r="G8529" s="6" t="n">
        <x:v>2</x:v>
      </x:c>
      <x:c r="H8529" s="6" t="n">
        <x:v>4</x:v>
      </x:c>
      <x:c r="I8529" s="6" t="n">
        <x:f>G8529-H8529</x:f>
        <x:v>-2</x:v>
      </x:c>
      <x:c r="J8529" s="6" t="n">
        <x:f>IF(OR(E8529="CANCELED",E8529="SUSPECTED_FRAUD",F8529="Shipping canceled"),0,1)</x:f>
        <x:v>1</x:v>
      </x:c>
      <x:c r="K8529" s="6" t="n">
        <x:f>IF(G8529&gt;H8529,1,0)</x:f>
        <x:v>0</x:v>
      </x:c>
      <x:c r="L8529" s="6" t="n">
        <x:f>J8529*K8529</x:f>
        <x:v>0</x:v>
      </x:c>
    </x:row>
    <x:row r="8530">
      <x:c r="A8530" s="1" t="n">
        <x:v>68203</x:v>
      </x:c>
      <x:c r="B8530" s="5" t="d">
        <x:v>2017-09-22T00:00:00.000Z</x:v>
      </x:c>
      <x:c r="C8530" s="1" t="str">
        <x:v>Standard Class</x:v>
      </x:c>
      <x:c r="D8530" s="1" t="str">
        <x:v>Europe</x:v>
      </x:c>
      <x:c r="E8530" s="1" t="str">
        <x:v>PENDING_PAYMENT</x:v>
      </x:c>
      <x:c r="F8530" s="1" t="str">
        <x:v>Shipping on time</x:v>
      </x:c>
      <x:c r="G8530" s="6" t="n">
        <x:v>4</x:v>
      </x:c>
      <x:c r="H8530" s="6" t="n">
        <x:v>4</x:v>
      </x:c>
      <x:c r="I8530" s="6" t="n">
        <x:f>G8530-H8530</x:f>
        <x:v>0</x:v>
      </x:c>
      <x:c r="J8530" s="6" t="n">
        <x:f>IF(OR(E8530="CANCELED",E8530="SUSPECTED_FRAUD",F8530="Shipping canceled"),0,1)</x:f>
        <x:v>1</x:v>
      </x:c>
      <x:c r="K8530" s="6" t="n">
        <x:f>IF(G8530&gt;H8530,1,0)</x:f>
        <x:v>0</x:v>
      </x:c>
      <x:c r="L8530" s="6" t="n">
        <x:f>J8530*K8530</x:f>
        <x:v>0</x:v>
      </x:c>
    </x:row>
    <x:row r="8531">
      <x:c r="A8531" s="1" t="n">
        <x:v>68205</x:v>
      </x:c>
      <x:c r="B8531" s="5" t="d">
        <x:v>2017-09-22T00:00:00.000Z</x:v>
      </x:c>
      <x:c r="C8531" s="1" t="str">
        <x:v>Standard Class</x:v>
      </x:c>
      <x:c r="D8531" s="1" t="str">
        <x:v>Europe</x:v>
      </x:c>
      <x:c r="E8531" s="1" t="str">
        <x:v>COMPLETE</x:v>
      </x:c>
      <x:c r="F8531" s="1" t="str">
        <x:v>Late delivery</x:v>
      </x:c>
      <x:c r="G8531" s="6" t="n">
        <x:v>6</x:v>
      </x:c>
      <x:c r="H8531" s="6" t="n">
        <x:v>4</x:v>
      </x:c>
      <x:c r="I8531" s="6" t="n">
        <x:f>G8531-H8531</x:f>
        <x:v>2</x:v>
      </x:c>
      <x:c r="J8531" s="6" t="n">
        <x:f>IF(OR(E8531="CANCELED",E8531="SUSPECTED_FRAUD",F8531="Shipping canceled"),0,1)</x:f>
        <x:v>1</x:v>
      </x:c>
      <x:c r="K8531" s="6" t="n">
        <x:f>IF(G8531&gt;H8531,1,0)</x:f>
        <x:v>1</x:v>
      </x:c>
      <x:c r="L8531" s="6" t="n">
        <x:f>J8531*K8531</x:f>
        <x:v>1</x:v>
      </x:c>
    </x:row>
    <x:row r="8532">
      <x:c r="A8532" s="1" t="n">
        <x:v>68220</x:v>
      </x:c>
      <x:c r="B8532" s="5" t="d">
        <x:v>2017-09-22T00:00:00.000Z</x:v>
      </x:c>
      <x:c r="C8532" s="1" t="str">
        <x:v>Second Class</x:v>
      </x:c>
      <x:c r="D8532" s="1" t="str">
        <x:v>Europe</x:v>
      </x:c>
      <x:c r="E8532" s="1" t="str">
        <x:v>COMPLETE</x:v>
      </x:c>
      <x:c r="F8532" s="1" t="str">
        <x:v>Late delivery</x:v>
      </x:c>
      <x:c r="G8532" s="6" t="n">
        <x:v>6</x:v>
      </x:c>
      <x:c r="H8532" s="6" t="n">
        <x:v>2</x:v>
      </x:c>
      <x:c r="I8532" s="6" t="n">
        <x:f>G8532-H8532</x:f>
        <x:v>4</x:v>
      </x:c>
      <x:c r="J8532" s="6" t="n">
        <x:f>IF(OR(E8532="CANCELED",E8532="SUSPECTED_FRAUD",F8532="Shipping canceled"),0,1)</x:f>
        <x:v>1</x:v>
      </x:c>
      <x:c r="K8532" s="6" t="n">
        <x:f>IF(G8532&gt;H8532,1,0)</x:f>
        <x:v>1</x:v>
      </x:c>
      <x:c r="L8532" s="6" t="n">
        <x:f>J8532*K8532</x:f>
        <x:v>1</x:v>
      </x:c>
    </x:row>
    <x:row r="8533">
      <x:c r="A8533" s="1" t="n">
        <x:v>68225</x:v>
      </x:c>
      <x:c r="B8533" s="5" t="d">
        <x:v>2017-09-22T00:00:00.000Z</x:v>
      </x:c>
      <x:c r="C8533" s="1" t="str">
        <x:v>Standard Class</x:v>
      </x:c>
      <x:c r="D8533" s="1" t="str">
        <x:v>Europe</x:v>
      </x:c>
      <x:c r="E8533" s="1" t="str">
        <x:v>PENDING</x:v>
      </x:c>
      <x:c r="F8533" s="1" t="str">
        <x:v>Late delivery</x:v>
      </x:c>
      <x:c r="G8533" s="6" t="n">
        <x:v>6</x:v>
      </x:c>
      <x:c r="H8533" s="6" t="n">
        <x:v>4</x:v>
      </x:c>
      <x:c r="I8533" s="6" t="n">
        <x:f>G8533-H8533</x:f>
        <x:v>2</x:v>
      </x:c>
      <x:c r="J8533" s="6" t="n">
        <x:f>IF(OR(E8533="CANCELED",E8533="SUSPECTED_FRAUD",F8533="Shipping canceled"),0,1)</x:f>
        <x:v>1</x:v>
      </x:c>
      <x:c r="K8533" s="6" t="n">
        <x:f>IF(G8533&gt;H8533,1,0)</x:f>
        <x:v>1</x:v>
      </x:c>
      <x:c r="L8533" s="6" t="n">
        <x:f>J8533*K8533</x:f>
        <x:v>1</x:v>
      </x:c>
    </x:row>
    <x:row r="8534">
      <x:c r="A8534" s="1" t="n">
        <x:v>68233</x:v>
      </x:c>
      <x:c r="B8534" s="5" t="d">
        <x:v>2017-09-23T00:00:00.000Z</x:v>
      </x:c>
      <x:c r="C8534" s="1" t="str">
        <x:v>Second Class</x:v>
      </x:c>
      <x:c r="D8534" s="1" t="str">
        <x:v>Europe</x:v>
      </x:c>
      <x:c r="E8534" s="1" t="str">
        <x:v>COMPLETE</x:v>
      </x:c>
      <x:c r="F8534" s="1" t="str">
        <x:v>Late delivery</x:v>
      </x:c>
      <x:c r="G8534" s="6" t="n">
        <x:v>4</x:v>
      </x:c>
      <x:c r="H8534" s="6" t="n">
        <x:v>2</x:v>
      </x:c>
      <x:c r="I8534" s="6" t="n">
        <x:f>G8534-H8534</x:f>
        <x:v>2</x:v>
      </x:c>
      <x:c r="J8534" s="6" t="n">
        <x:f>IF(OR(E8534="CANCELED",E8534="SUSPECTED_FRAUD",F8534="Shipping canceled"),0,1)</x:f>
        <x:v>1</x:v>
      </x:c>
      <x:c r="K8534" s="6" t="n">
        <x:f>IF(G8534&gt;H8534,1,0)</x:f>
        <x:v>1</x:v>
      </x:c>
      <x:c r="L8534" s="6" t="n">
        <x:f>J8534*K8534</x:f>
        <x:v>1</x:v>
      </x:c>
    </x:row>
    <x:row r="8535">
      <x:c r="A8535" s="1" t="n">
        <x:v>68235</x:v>
      </x:c>
      <x:c r="B8535" s="5" t="d">
        <x:v>2017-09-23T00:00:00.000Z</x:v>
      </x:c>
      <x:c r="C8535" s="1" t="str">
        <x:v>Standard Class</x:v>
      </x:c>
      <x:c r="D8535" s="1" t="str">
        <x:v>Europe</x:v>
      </x:c>
      <x:c r="E8535" s="1" t="str">
        <x:v>PROCESSING</x:v>
      </x:c>
      <x:c r="F8535" s="1" t="str">
        <x:v>Late delivery</x:v>
      </x:c>
      <x:c r="G8535" s="6" t="n">
        <x:v>6</x:v>
      </x:c>
      <x:c r="H8535" s="6" t="n">
        <x:v>4</x:v>
      </x:c>
      <x:c r="I8535" s="6" t="n">
        <x:f>G8535-H8535</x:f>
        <x:v>2</x:v>
      </x:c>
      <x:c r="J8535" s="6" t="n">
        <x:f>IF(OR(E8535="CANCELED",E8535="SUSPECTED_FRAUD",F8535="Shipping canceled"),0,1)</x:f>
        <x:v>1</x:v>
      </x:c>
      <x:c r="K8535" s="6" t="n">
        <x:f>IF(G8535&gt;H8535,1,0)</x:f>
        <x:v>1</x:v>
      </x:c>
      <x:c r="L8535" s="6" t="n">
        <x:f>J8535*K8535</x:f>
        <x:v>1</x:v>
      </x:c>
    </x:row>
    <x:row r="8536">
      <x:c r="A8536" s="1" t="n">
        <x:v>68250</x:v>
      </x:c>
      <x:c r="B8536" s="5" t="d">
        <x:v>2017-09-23T00:00:00.000Z</x:v>
      </x:c>
      <x:c r="C8536" s="1" t="str">
        <x:v>Standard Class</x:v>
      </x:c>
      <x:c r="D8536" s="1" t="str">
        <x:v>Europe</x:v>
      </x:c>
      <x:c r="E8536" s="1" t="str">
        <x:v>PENDING</x:v>
      </x:c>
      <x:c r="F8536" s="1" t="str">
        <x:v>Late delivery</x:v>
      </x:c>
      <x:c r="G8536" s="6" t="n">
        <x:v>6</x:v>
      </x:c>
      <x:c r="H8536" s="6" t="n">
        <x:v>4</x:v>
      </x:c>
      <x:c r="I8536" s="6" t="n">
        <x:f>G8536-H8536</x:f>
        <x:v>2</x:v>
      </x:c>
      <x:c r="J8536" s="6" t="n">
        <x:f>IF(OR(E8536="CANCELED",E8536="SUSPECTED_FRAUD",F8536="Shipping canceled"),0,1)</x:f>
        <x:v>1</x:v>
      </x:c>
      <x:c r="K8536" s="6" t="n">
        <x:f>IF(G8536&gt;H8536,1,0)</x:f>
        <x:v>1</x:v>
      </x:c>
      <x:c r="L8536" s="6" t="n">
        <x:f>J8536*K8536</x:f>
        <x:v>1</x:v>
      </x:c>
    </x:row>
    <x:row r="8537">
      <x:c r="A8537" s="1" t="n">
        <x:v>68278</x:v>
      </x:c>
      <x:c r="B8537" s="5" t="d">
        <x:v>2017-09-23T00:00:00.000Z</x:v>
      </x:c>
      <x:c r="C8537" s="1" t="str">
        <x:v>Standard Class</x:v>
      </x:c>
      <x:c r="D8537" s="1" t="str">
        <x:v>Europe</x:v>
      </x:c>
      <x:c r="E8537" s="1" t="str">
        <x:v>COMPLETE</x:v>
      </x:c>
      <x:c r="F8537" s="1" t="str">
        <x:v>Shipping on time</x:v>
      </x:c>
      <x:c r="G8537" s="6" t="n">
        <x:v>4</x:v>
      </x:c>
      <x:c r="H8537" s="6" t="n">
        <x:v>4</x:v>
      </x:c>
      <x:c r="I8537" s="6" t="n">
        <x:f>G8537-H8537</x:f>
        <x:v>0</x:v>
      </x:c>
      <x:c r="J8537" s="6" t="n">
        <x:f>IF(OR(E8537="CANCELED",E8537="SUSPECTED_FRAUD",F8537="Shipping canceled"),0,1)</x:f>
        <x:v>1</x:v>
      </x:c>
      <x:c r="K8537" s="6" t="n">
        <x:f>IF(G8537&gt;H8537,1,0)</x:f>
        <x:v>0</x:v>
      </x:c>
      <x:c r="L8537" s="6" t="n">
        <x:f>J8537*K8537</x:f>
        <x:v>0</x:v>
      </x:c>
    </x:row>
    <x:row r="8538">
      <x:c r="A8538" s="1" t="n">
        <x:v>68284</x:v>
      </x:c>
      <x:c r="B8538" s="5" t="d">
        <x:v>2017-09-23T00:00:00.000Z</x:v>
      </x:c>
      <x:c r="C8538" s="1" t="str">
        <x:v>Standard Class</x:v>
      </x:c>
      <x:c r="D8538" s="1" t="str">
        <x:v>Europe</x:v>
      </x:c>
      <x:c r="E8538" s="1" t="str">
        <x:v>COMPLETE</x:v>
      </x:c>
      <x:c r="F8538" s="1" t="str">
        <x:v>Late delivery</x:v>
      </x:c>
      <x:c r="G8538" s="6" t="n">
        <x:v>5</x:v>
      </x:c>
      <x:c r="H8538" s="6" t="n">
        <x:v>4</x:v>
      </x:c>
      <x:c r="I8538" s="6" t="n">
        <x:f>G8538-H8538</x:f>
        <x:v>1</x:v>
      </x:c>
      <x:c r="J8538" s="6" t="n">
        <x:f>IF(OR(E8538="CANCELED",E8538="SUSPECTED_FRAUD",F8538="Shipping canceled"),0,1)</x:f>
        <x:v>1</x:v>
      </x:c>
      <x:c r="K8538" s="6" t="n">
        <x:f>IF(G8538&gt;H8538,1,0)</x:f>
        <x:v>1</x:v>
      </x:c>
      <x:c r="L8538" s="6" t="n">
        <x:f>J8538*K8538</x:f>
        <x:v>1</x:v>
      </x:c>
    </x:row>
    <x:row r="8539">
      <x:c r="A8539" s="1" t="n">
        <x:v>68289</x:v>
      </x:c>
      <x:c r="B8539" s="5" t="d">
        <x:v>2017-09-23T00:00:00.000Z</x:v>
      </x:c>
      <x:c r="C8539" s="1" t="str">
        <x:v>Standard Class</x:v>
      </x:c>
      <x:c r="D8539" s="1" t="str">
        <x:v>Europe</x:v>
      </x:c>
      <x:c r="E8539" s="1" t="str">
        <x:v>COMPLETE</x:v>
      </x:c>
      <x:c r="F8539" s="1" t="str">
        <x:v>Late delivery</x:v>
      </x:c>
      <x:c r="G8539" s="6" t="n">
        <x:v>5</x:v>
      </x:c>
      <x:c r="H8539" s="6" t="n">
        <x:v>4</x:v>
      </x:c>
      <x:c r="I8539" s="6" t="n">
        <x:f>G8539-H8539</x:f>
        <x:v>1</x:v>
      </x:c>
      <x:c r="J8539" s="6" t="n">
        <x:f>IF(OR(E8539="CANCELED",E8539="SUSPECTED_FRAUD",F8539="Shipping canceled"),0,1)</x:f>
        <x:v>1</x:v>
      </x:c>
      <x:c r="K8539" s="6" t="n">
        <x:f>IF(G8539&gt;H8539,1,0)</x:f>
        <x:v>1</x:v>
      </x:c>
      <x:c r="L8539" s="6" t="n">
        <x:f>J8539*K8539</x:f>
        <x:v>1</x:v>
      </x:c>
    </x:row>
    <x:row r="8540">
      <x:c r="A8540" s="1" t="n">
        <x:v>68302</x:v>
      </x:c>
      <x:c r="B8540" s="5" t="d">
        <x:v>2017-09-24T00:00:00.000Z</x:v>
      </x:c>
      <x:c r="C8540" s="1" t="str">
        <x:v>First Class</x:v>
      </x:c>
      <x:c r="D8540" s="1" t="str">
        <x:v>Europe</x:v>
      </x:c>
      <x:c r="E8540" s="1" t="str">
        <x:v>PENDING</x:v>
      </x:c>
      <x:c r="F8540" s="1" t="str">
        <x:v>Late delivery</x:v>
      </x:c>
      <x:c r="G8540" s="6" t="n">
        <x:v>2</x:v>
      </x:c>
      <x:c r="H8540" s="6" t="n">
        <x:v>1</x:v>
      </x:c>
      <x:c r="I8540" s="6" t="n">
        <x:f>G8540-H8540</x:f>
        <x:v>1</x:v>
      </x:c>
      <x:c r="J8540" s="6" t="n">
        <x:f>IF(OR(E8540="CANCELED",E8540="SUSPECTED_FRAUD",F8540="Shipping canceled"),0,1)</x:f>
        <x:v>1</x:v>
      </x:c>
      <x:c r="K8540" s="6" t="n">
        <x:f>IF(G8540&gt;H8540,1,0)</x:f>
        <x:v>1</x:v>
      </x:c>
      <x:c r="L8540" s="6" t="n">
        <x:f>J8540*K8540</x:f>
        <x:v>1</x:v>
      </x:c>
    </x:row>
    <x:row r="8541">
      <x:c r="A8541" s="1" t="n">
        <x:v>68307</x:v>
      </x:c>
      <x:c r="B8541" s="5" t="d">
        <x:v>2017-09-24T00:00:00.000Z</x:v>
      </x:c>
      <x:c r="C8541" s="1" t="str">
        <x:v>Standard Class</x:v>
      </x:c>
      <x:c r="D8541" s="1" t="str">
        <x:v>Europe</x:v>
      </x:c>
      <x:c r="E8541" s="1" t="str">
        <x:v>COMPLETE</x:v>
      </x:c>
      <x:c r="F8541" s="1" t="str">
        <x:v>Advance shipping</x:v>
      </x:c>
      <x:c r="G8541" s="6" t="n">
        <x:v>3</x:v>
      </x:c>
      <x:c r="H8541" s="6" t="n">
        <x:v>4</x:v>
      </x:c>
      <x:c r="I8541" s="6" t="n">
        <x:f>G8541-H8541</x:f>
        <x:v>-1</x:v>
      </x:c>
      <x:c r="J8541" s="6" t="n">
        <x:f>IF(OR(E8541="CANCELED",E8541="SUSPECTED_FRAUD",F8541="Shipping canceled"),0,1)</x:f>
        <x:v>1</x:v>
      </x:c>
      <x:c r="K8541" s="6" t="n">
        <x:f>IF(G8541&gt;H8541,1,0)</x:f>
        <x:v>0</x:v>
      </x:c>
      <x:c r="L8541" s="6" t="n">
        <x:f>J8541*K8541</x:f>
        <x:v>0</x:v>
      </x:c>
    </x:row>
    <x:row r="8542">
      <x:c r="A8542" s="1" t="n">
        <x:v>68319</x:v>
      </x:c>
      <x:c r="B8542" s="5" t="d">
        <x:v>2017-09-24T00:00:00.000Z</x:v>
      </x:c>
      <x:c r="C8542" s="1" t="str">
        <x:v>First Class</x:v>
      </x:c>
      <x:c r="D8542" s="1" t="str">
        <x:v>Europe</x:v>
      </x:c>
      <x:c r="E8542" s="1" t="str">
        <x:v>PENDING_PAYMENT</x:v>
      </x:c>
      <x:c r="F8542" s="1" t="str">
        <x:v>Late delivery</x:v>
      </x:c>
      <x:c r="G8542" s="6" t="n">
        <x:v>2</x:v>
      </x:c>
      <x:c r="H8542" s="6" t="n">
        <x:v>1</x:v>
      </x:c>
      <x:c r="I8542" s="6" t="n">
        <x:f>G8542-H8542</x:f>
        <x:v>1</x:v>
      </x:c>
      <x:c r="J8542" s="6" t="n">
        <x:f>IF(OR(E8542="CANCELED",E8542="SUSPECTED_FRAUD",F8542="Shipping canceled"),0,1)</x:f>
        <x:v>1</x:v>
      </x:c>
      <x:c r="K8542" s="6" t="n">
        <x:f>IF(G8542&gt;H8542,1,0)</x:f>
        <x:v>1</x:v>
      </x:c>
      <x:c r="L8542" s="6" t="n">
        <x:f>J8542*K8542</x:f>
        <x:v>1</x:v>
      </x:c>
    </x:row>
    <x:row r="8543">
      <x:c r="A8543" s="1" t="n">
        <x:v>68323</x:v>
      </x:c>
      <x:c r="B8543" s="5" t="d">
        <x:v>2017-09-24T00:00:00.000Z</x:v>
      </x:c>
      <x:c r="C8543" s="1" t="str">
        <x:v>Standard Class</x:v>
      </x:c>
      <x:c r="D8543" s="1" t="str">
        <x:v>Europe</x:v>
      </x:c>
      <x:c r="E8543" s="1" t="str">
        <x:v>PENDING_PAYMENT</x:v>
      </x:c>
      <x:c r="F8543" s="1" t="str">
        <x:v>Shipping on time</x:v>
      </x:c>
      <x:c r="G8543" s="6" t="n">
        <x:v>4</x:v>
      </x:c>
      <x:c r="H8543" s="6" t="n">
        <x:v>4</x:v>
      </x:c>
      <x:c r="I8543" s="6" t="n">
        <x:f>G8543-H8543</x:f>
        <x:v>0</x:v>
      </x:c>
      <x:c r="J8543" s="6" t="n">
        <x:f>IF(OR(E8543="CANCELED",E8543="SUSPECTED_FRAUD",F8543="Shipping canceled"),0,1)</x:f>
        <x:v>1</x:v>
      </x:c>
      <x:c r="K8543" s="6" t="n">
        <x:f>IF(G8543&gt;H8543,1,0)</x:f>
        <x:v>0</x:v>
      </x:c>
      <x:c r="L8543" s="6" t="n">
        <x:f>J8543*K8543</x:f>
        <x:v>0</x:v>
      </x:c>
    </x:row>
    <x:row r="8544">
      <x:c r="A8544" s="1" t="n">
        <x:v>68324</x:v>
      </x:c>
      <x:c r="B8544" s="5" t="d">
        <x:v>2017-09-24T00:00:00.000Z</x:v>
      </x:c>
      <x:c r="C8544" s="1" t="str">
        <x:v>Standard Class</x:v>
      </x:c>
      <x:c r="D8544" s="1" t="str">
        <x:v>Europe</x:v>
      </x:c>
      <x:c r="E8544" s="1" t="str">
        <x:v>COMPLETE</x:v>
      </x:c>
      <x:c r="F8544" s="1" t="str">
        <x:v>Late delivery</x:v>
      </x:c>
      <x:c r="G8544" s="6" t="n">
        <x:v>5</x:v>
      </x:c>
      <x:c r="H8544" s="6" t="n">
        <x:v>4</x:v>
      </x:c>
      <x:c r="I8544" s="6" t="n">
        <x:f>G8544-H8544</x:f>
        <x:v>1</x:v>
      </x:c>
      <x:c r="J8544" s="6" t="n">
        <x:f>IF(OR(E8544="CANCELED",E8544="SUSPECTED_FRAUD",F8544="Shipping canceled"),0,1)</x:f>
        <x:v>1</x:v>
      </x:c>
      <x:c r="K8544" s="6" t="n">
        <x:f>IF(G8544&gt;H8544,1,0)</x:f>
        <x:v>1</x:v>
      </x:c>
      <x:c r="L8544" s="6" t="n">
        <x:f>J8544*K8544</x:f>
        <x:v>1</x:v>
      </x:c>
    </x:row>
    <x:row r="8545">
      <x:c r="A8545" s="1" t="n">
        <x:v>68325</x:v>
      </x:c>
      <x:c r="B8545" s="5" t="d">
        <x:v>2017-09-24T00:00:00.000Z</x:v>
      </x:c>
      <x:c r="C8545" s="1" t="str">
        <x:v>Second Class</x:v>
      </x:c>
      <x:c r="D8545" s="1" t="str">
        <x:v>Europe</x:v>
      </x:c>
      <x:c r="E8545" s="1" t="str">
        <x:v>PENDING</x:v>
      </x:c>
      <x:c r="F8545" s="1" t="str">
        <x:v>Late delivery</x:v>
      </x:c>
      <x:c r="G8545" s="6" t="n">
        <x:v>6</x:v>
      </x:c>
      <x:c r="H8545" s="6" t="n">
        <x:v>2</x:v>
      </x:c>
      <x:c r="I8545" s="6" t="n">
        <x:f>G8545-H8545</x:f>
        <x:v>4</x:v>
      </x:c>
      <x:c r="J8545" s="6" t="n">
        <x:f>IF(OR(E8545="CANCELED",E8545="SUSPECTED_FRAUD",F8545="Shipping canceled"),0,1)</x:f>
        <x:v>1</x:v>
      </x:c>
      <x:c r="K8545" s="6" t="n">
        <x:f>IF(G8545&gt;H8545,1,0)</x:f>
        <x:v>1</x:v>
      </x:c>
      <x:c r="L8545" s="6" t="n">
        <x:f>J8545*K8545</x:f>
        <x:v>1</x:v>
      </x:c>
    </x:row>
    <x:row r="8546">
      <x:c r="A8546" s="1" t="n">
        <x:v>68330</x:v>
      </x:c>
      <x:c r="B8546" s="5" t="d">
        <x:v>2017-09-24T00:00:00.000Z</x:v>
      </x:c>
      <x:c r="C8546" s="1" t="str">
        <x:v>Standard Class</x:v>
      </x:c>
      <x:c r="D8546" s="1" t="str">
        <x:v>Europe</x:v>
      </x:c>
      <x:c r="E8546" s="1" t="str">
        <x:v>PENDING</x:v>
      </x:c>
      <x:c r="F8546" s="1" t="str">
        <x:v>Late delivery</x:v>
      </x:c>
      <x:c r="G8546" s="6" t="n">
        <x:v>6</x:v>
      </x:c>
      <x:c r="H8546" s="6" t="n">
        <x:v>4</x:v>
      </x:c>
      <x:c r="I8546" s="6" t="n">
        <x:f>G8546-H8546</x:f>
        <x:v>2</x:v>
      </x:c>
      <x:c r="J8546" s="6" t="n">
        <x:f>IF(OR(E8546="CANCELED",E8546="SUSPECTED_FRAUD",F8546="Shipping canceled"),0,1)</x:f>
        <x:v>1</x:v>
      </x:c>
      <x:c r="K8546" s="6" t="n">
        <x:f>IF(G8546&gt;H8546,1,0)</x:f>
        <x:v>1</x:v>
      </x:c>
      <x:c r="L8546" s="6" t="n">
        <x:f>J8546*K8546</x:f>
        <x:v>1</x:v>
      </x:c>
    </x:row>
    <x:row r="8547">
      <x:c r="A8547" s="1" t="n">
        <x:v>68337</x:v>
      </x:c>
      <x:c r="B8547" s="5" t="d">
        <x:v>2017-09-24T00:00:00.000Z</x:v>
      </x:c>
      <x:c r="C8547" s="1" t="str">
        <x:v>Second Class</x:v>
      </x:c>
      <x:c r="D8547" s="1" t="str">
        <x:v>Europe</x:v>
      </x:c>
      <x:c r="E8547" s="1" t="str">
        <x:v>PENDING_PAYMENT</x:v>
      </x:c>
      <x:c r="F8547" s="1" t="str">
        <x:v>Late delivery</x:v>
      </x:c>
      <x:c r="G8547" s="6" t="n">
        <x:v>3</x:v>
      </x:c>
      <x:c r="H8547" s="6" t="n">
        <x:v>2</x:v>
      </x:c>
      <x:c r="I8547" s="6" t="n">
        <x:f>G8547-H8547</x:f>
        <x:v>1</x:v>
      </x:c>
      <x:c r="J8547" s="6" t="n">
        <x:f>IF(OR(E8547="CANCELED",E8547="SUSPECTED_FRAUD",F8547="Shipping canceled"),0,1)</x:f>
        <x:v>1</x:v>
      </x:c>
      <x:c r="K8547" s="6" t="n">
        <x:f>IF(G8547&gt;H8547,1,0)</x:f>
        <x:v>1</x:v>
      </x:c>
      <x:c r="L8547" s="6" t="n">
        <x:f>J8547*K8547</x:f>
        <x:v>1</x:v>
      </x:c>
    </x:row>
    <x:row r="8548">
      <x:c r="A8548" s="1" t="n">
        <x:v>68341</x:v>
      </x:c>
      <x:c r="B8548" s="5" t="d">
        <x:v>2017-09-24T00:00:00.000Z</x:v>
      </x:c>
      <x:c r="C8548" s="1" t="str">
        <x:v>Standard Class</x:v>
      </x:c>
      <x:c r="D8548" s="1" t="str">
        <x:v>Europe</x:v>
      </x:c>
      <x:c r="E8548" s="1" t="str">
        <x:v>COMPLETE</x:v>
      </x:c>
      <x:c r="F8548" s="1" t="str">
        <x:v>Advance shipping</x:v>
      </x:c>
      <x:c r="G8548" s="6" t="n">
        <x:v>2</x:v>
      </x:c>
      <x:c r="H8548" s="6" t="n">
        <x:v>4</x:v>
      </x:c>
      <x:c r="I8548" s="6" t="n">
        <x:f>G8548-H8548</x:f>
        <x:v>-2</x:v>
      </x:c>
      <x:c r="J8548" s="6" t="n">
        <x:f>IF(OR(E8548="CANCELED",E8548="SUSPECTED_FRAUD",F8548="Shipping canceled"),0,1)</x:f>
        <x:v>1</x:v>
      </x:c>
      <x:c r="K8548" s="6" t="n">
        <x:f>IF(G8548&gt;H8548,1,0)</x:f>
        <x:v>0</x:v>
      </x:c>
      <x:c r="L8548" s="6" t="n">
        <x:f>J8548*K8548</x:f>
        <x:v>0</x:v>
      </x:c>
    </x:row>
    <x:row r="8549">
      <x:c r="A8549" s="1" t="n">
        <x:v>68357</x:v>
      </x:c>
      <x:c r="B8549" s="5" t="d">
        <x:v>2017-09-24T00:00:00.000Z</x:v>
      </x:c>
      <x:c r="C8549" s="1" t="str">
        <x:v>Second Class</x:v>
      </x:c>
      <x:c r="D8549" s="1" t="str">
        <x:v>Europe</x:v>
      </x:c>
      <x:c r="E8549" s="1" t="str">
        <x:v>COMPLETE</x:v>
      </x:c>
      <x:c r="F8549" s="1" t="str">
        <x:v>Late delivery</x:v>
      </x:c>
      <x:c r="G8549" s="6" t="n">
        <x:v>3</x:v>
      </x:c>
      <x:c r="H8549" s="6" t="n">
        <x:v>2</x:v>
      </x:c>
      <x:c r="I8549" s="6" t="n">
        <x:f>G8549-H8549</x:f>
        <x:v>1</x:v>
      </x:c>
      <x:c r="J8549" s="6" t="n">
        <x:f>IF(OR(E8549="CANCELED",E8549="SUSPECTED_FRAUD",F8549="Shipping canceled"),0,1)</x:f>
        <x:v>1</x:v>
      </x:c>
      <x:c r="K8549" s="6" t="n">
        <x:f>IF(G8549&gt;H8549,1,0)</x:f>
        <x:v>1</x:v>
      </x:c>
      <x:c r="L8549" s="6" t="n">
        <x:f>J8549*K8549</x:f>
        <x:v>1</x:v>
      </x:c>
    </x:row>
    <x:row r="8550">
      <x:c r="A8550" s="1" t="n">
        <x:v>68358</x:v>
      </x:c>
      <x:c r="B8550" s="5" t="d">
        <x:v>2017-09-24T00:00:00.000Z</x:v>
      </x:c>
      <x:c r="C8550" s="1" t="str">
        <x:v>Standard Class</x:v>
      </x:c>
      <x:c r="D8550" s="1" t="str">
        <x:v>Europe</x:v>
      </x:c>
      <x:c r="E8550" s="1" t="str">
        <x:v>COMPLETE</x:v>
      </x:c>
      <x:c r="F8550" s="1" t="str">
        <x:v>Shipping on time</x:v>
      </x:c>
      <x:c r="G8550" s="6" t="n">
        <x:v>4</x:v>
      </x:c>
      <x:c r="H8550" s="6" t="n">
        <x:v>4</x:v>
      </x:c>
      <x:c r="I8550" s="6" t="n">
        <x:f>G8550-H8550</x:f>
        <x:v>0</x:v>
      </x:c>
      <x:c r="J8550" s="6" t="n">
        <x:f>IF(OR(E8550="CANCELED",E8550="SUSPECTED_FRAUD",F8550="Shipping canceled"),0,1)</x:f>
        <x:v>1</x:v>
      </x:c>
      <x:c r="K8550" s="6" t="n">
        <x:f>IF(G8550&gt;H8550,1,0)</x:f>
        <x:v>0</x:v>
      </x:c>
      <x:c r="L8550" s="6" t="n">
        <x:f>J8550*K8550</x:f>
        <x:v>0</x:v>
      </x:c>
    </x:row>
    <x:row r="8551">
      <x:c r="A8551" s="1" t="n">
        <x:v>68363</x:v>
      </x:c>
      <x:c r="B8551" s="5" t="d">
        <x:v>2017-09-24T00:00:00.000Z</x:v>
      </x:c>
      <x:c r="C8551" s="1" t="str">
        <x:v>Standard Class</x:v>
      </x:c>
      <x:c r="D8551" s="1" t="str">
        <x:v>Europe</x:v>
      </x:c>
      <x:c r="E8551" s="1" t="str">
        <x:v>PENDING_PAYMENT</x:v>
      </x:c>
      <x:c r="F8551" s="1" t="str">
        <x:v>Shipping on time</x:v>
      </x:c>
      <x:c r="G8551" s="6" t="n">
        <x:v>4</x:v>
      </x:c>
      <x:c r="H8551" s="6" t="n">
        <x:v>4</x:v>
      </x:c>
      <x:c r="I8551" s="6" t="n">
        <x:f>G8551-H8551</x:f>
        <x:v>0</x:v>
      </x:c>
      <x:c r="J8551" s="6" t="n">
        <x:f>IF(OR(E8551="CANCELED",E8551="SUSPECTED_FRAUD",F8551="Shipping canceled"),0,1)</x:f>
        <x:v>1</x:v>
      </x:c>
      <x:c r="K8551" s="6" t="n">
        <x:f>IF(G8551&gt;H8551,1,0)</x:f>
        <x:v>0</x:v>
      </x:c>
      <x:c r="L8551" s="6" t="n">
        <x:f>J8551*K8551</x:f>
        <x:v>0</x:v>
      </x:c>
    </x:row>
    <x:row r="8552">
      <x:c r="A8552" s="1" t="n">
        <x:v>68364</x:v>
      </x:c>
      <x:c r="B8552" s="5" t="d">
        <x:v>2017-09-24T00:00:00.000Z</x:v>
      </x:c>
      <x:c r="C8552" s="1" t="str">
        <x:v>Second Class</x:v>
      </x:c>
      <x:c r="D8552" s="1" t="str">
        <x:v>Europe</x:v>
      </x:c>
      <x:c r="E8552" s="1" t="str">
        <x:v>COMPLETE</x:v>
      </x:c>
      <x:c r="F8552" s="1" t="str">
        <x:v>Late delivery</x:v>
      </x:c>
      <x:c r="G8552" s="6" t="n">
        <x:v>5</x:v>
      </x:c>
      <x:c r="H8552" s="6" t="n">
        <x:v>2</x:v>
      </x:c>
      <x:c r="I8552" s="6" t="n">
        <x:f>G8552-H8552</x:f>
        <x:v>3</x:v>
      </x:c>
      <x:c r="J8552" s="6" t="n">
        <x:f>IF(OR(E8552="CANCELED",E8552="SUSPECTED_FRAUD",F8552="Shipping canceled"),0,1)</x:f>
        <x:v>1</x:v>
      </x:c>
      <x:c r="K8552" s="6" t="n">
        <x:f>IF(G8552&gt;H8552,1,0)</x:f>
        <x:v>1</x:v>
      </x:c>
      <x:c r="L8552" s="6" t="n">
        <x:f>J8552*K8552</x:f>
        <x:v>1</x:v>
      </x:c>
    </x:row>
    <x:row r="8553">
      <x:c r="A8553" s="1" t="n">
        <x:v>68369</x:v>
      </x:c>
      <x:c r="B8553" s="5" t="d">
        <x:v>2017-09-25T00:00:00.000Z</x:v>
      </x:c>
      <x:c r="C8553" s="1" t="str">
        <x:v>Standard Class</x:v>
      </x:c>
      <x:c r="D8553" s="1" t="str">
        <x:v>Europe</x:v>
      </x:c>
      <x:c r="E8553" s="1" t="str">
        <x:v>COMPLETE</x:v>
      </x:c>
      <x:c r="F8553" s="1" t="str">
        <x:v>Late delivery</x:v>
      </x:c>
      <x:c r="G8553" s="6" t="n">
        <x:v>5</x:v>
      </x:c>
      <x:c r="H8553" s="6" t="n">
        <x:v>4</x:v>
      </x:c>
      <x:c r="I8553" s="6" t="n">
        <x:f>G8553-H8553</x:f>
        <x:v>1</x:v>
      </x:c>
      <x:c r="J8553" s="6" t="n">
        <x:f>IF(OR(E8553="CANCELED",E8553="SUSPECTED_FRAUD",F8553="Shipping canceled"),0,1)</x:f>
        <x:v>1</x:v>
      </x:c>
      <x:c r="K8553" s="6" t="n">
        <x:f>IF(G8553&gt;H8553,1,0)</x:f>
        <x:v>1</x:v>
      </x:c>
      <x:c r="L8553" s="6" t="n">
        <x:f>J8553*K8553</x:f>
        <x:v>1</x:v>
      </x:c>
    </x:row>
    <x:row r="8554">
      <x:c r="A8554" s="1" t="n">
        <x:v>68372</x:v>
      </x:c>
      <x:c r="B8554" s="5" t="d">
        <x:v>2017-09-25T00:00:00.000Z</x:v>
      </x:c>
      <x:c r="C8554" s="1" t="str">
        <x:v>Standard Class</x:v>
      </x:c>
      <x:c r="D8554" s="1" t="str">
        <x:v>Europe</x:v>
      </x:c>
      <x:c r="E8554" s="1" t="str">
        <x:v>PROCESSING</x:v>
      </x:c>
      <x:c r="F8554" s="1" t="str">
        <x:v>Advance shipping</x:v>
      </x:c>
      <x:c r="G8554" s="6" t="n">
        <x:v>3</x:v>
      </x:c>
      <x:c r="H8554" s="6" t="n">
        <x:v>4</x:v>
      </x:c>
      <x:c r="I8554" s="6" t="n">
        <x:f>G8554-H8554</x:f>
        <x:v>-1</x:v>
      </x:c>
      <x:c r="J8554" s="6" t="n">
        <x:f>IF(OR(E8554="CANCELED",E8554="SUSPECTED_FRAUD",F8554="Shipping canceled"),0,1)</x:f>
        <x:v>1</x:v>
      </x:c>
      <x:c r="K8554" s="6" t="n">
        <x:f>IF(G8554&gt;H8554,1,0)</x:f>
        <x:v>0</x:v>
      </x:c>
      <x:c r="L8554" s="6" t="n">
        <x:f>J8554*K8554</x:f>
        <x:v>0</x:v>
      </x:c>
    </x:row>
    <x:row r="8555">
      <x:c r="A8555" s="1" t="n">
        <x:v>68374</x:v>
      </x:c>
      <x:c r="B8555" s="5" t="d">
        <x:v>2017-09-25T00:00:00.000Z</x:v>
      </x:c>
      <x:c r="C8555" s="1" t="str">
        <x:v>Standard Class</x:v>
      </x:c>
      <x:c r="D8555" s="1" t="str">
        <x:v>Europe</x:v>
      </x:c>
      <x:c r="E8555" s="1" t="str">
        <x:v>COMPLETE</x:v>
      </x:c>
      <x:c r="F8555" s="1" t="str">
        <x:v>Late delivery</x:v>
      </x:c>
      <x:c r="G8555" s="6" t="n">
        <x:v>5</x:v>
      </x:c>
      <x:c r="H8555" s="6" t="n">
        <x:v>4</x:v>
      </x:c>
      <x:c r="I8555" s="6" t="n">
        <x:f>G8555-H8555</x:f>
        <x:v>1</x:v>
      </x:c>
      <x:c r="J8555" s="6" t="n">
        <x:f>IF(OR(E8555="CANCELED",E8555="SUSPECTED_FRAUD",F8555="Shipping canceled"),0,1)</x:f>
        <x:v>1</x:v>
      </x:c>
      <x:c r="K8555" s="6" t="n">
        <x:f>IF(G8555&gt;H8555,1,0)</x:f>
        <x:v>1</x:v>
      </x:c>
      <x:c r="L8555" s="6" t="n">
        <x:f>J8555*K8555</x:f>
        <x:v>1</x:v>
      </x:c>
    </x:row>
    <x:row r="8556">
      <x:c r="A8556" s="1" t="n">
        <x:v>68377</x:v>
      </x:c>
      <x:c r="B8556" s="5" t="d">
        <x:v>2017-09-25T00:00:00.000Z</x:v>
      </x:c>
      <x:c r="C8556" s="1" t="str">
        <x:v>Standard Class</x:v>
      </x:c>
      <x:c r="D8556" s="1" t="str">
        <x:v>Europe</x:v>
      </x:c>
      <x:c r="E8556" s="1" t="str">
        <x:v>PROCESSING</x:v>
      </x:c>
      <x:c r="F8556" s="1" t="str">
        <x:v>Advance shipping</x:v>
      </x:c>
      <x:c r="G8556" s="6" t="n">
        <x:v>3</x:v>
      </x:c>
      <x:c r="H8556" s="6" t="n">
        <x:v>4</x:v>
      </x:c>
      <x:c r="I8556" s="6" t="n">
        <x:f>G8556-H8556</x:f>
        <x:v>-1</x:v>
      </x:c>
      <x:c r="J8556" s="6" t="n">
        <x:f>IF(OR(E8556="CANCELED",E8556="SUSPECTED_FRAUD",F8556="Shipping canceled"),0,1)</x:f>
        <x:v>1</x:v>
      </x:c>
      <x:c r="K8556" s="6" t="n">
        <x:f>IF(G8556&gt;H8556,1,0)</x:f>
        <x:v>0</x:v>
      </x:c>
      <x:c r="L8556" s="6" t="n">
        <x:f>J8556*K8556</x:f>
        <x:v>0</x:v>
      </x:c>
    </x:row>
    <x:row r="8557">
      <x:c r="A8557" s="1" t="n">
        <x:v>68388</x:v>
      </x:c>
      <x:c r="B8557" s="5" t="d">
        <x:v>2017-09-25T00:00:00.000Z</x:v>
      </x:c>
      <x:c r="C8557" s="1" t="str">
        <x:v>First Class</x:v>
      </x:c>
      <x:c r="D8557" s="1" t="str">
        <x:v>Europe</x:v>
      </x:c>
      <x:c r="E8557" s="1" t="str">
        <x:v>PENDING_PAYMENT</x:v>
      </x:c>
      <x:c r="F8557" s="1" t="str">
        <x:v>Late delivery</x:v>
      </x:c>
      <x:c r="G8557" s="6" t="n">
        <x:v>2</x:v>
      </x:c>
      <x:c r="H8557" s="6" t="n">
        <x:v>1</x:v>
      </x:c>
      <x:c r="I8557" s="6" t="n">
        <x:f>G8557-H8557</x:f>
        <x:v>1</x:v>
      </x:c>
      <x:c r="J8557" s="6" t="n">
        <x:f>IF(OR(E8557="CANCELED",E8557="SUSPECTED_FRAUD",F8557="Shipping canceled"),0,1)</x:f>
        <x:v>1</x:v>
      </x:c>
      <x:c r="K8557" s="6" t="n">
        <x:f>IF(G8557&gt;H8557,1,0)</x:f>
        <x:v>1</x:v>
      </x:c>
      <x:c r="L8557" s="6" t="n">
        <x:f>J8557*K8557</x:f>
        <x:v>1</x:v>
      </x:c>
    </x:row>
    <x:row r="8558">
      <x:c r="A8558" s="1" t="n">
        <x:v>68396</x:v>
      </x:c>
      <x:c r="B8558" s="5" t="d">
        <x:v>2017-09-25T00:00:00.000Z</x:v>
      </x:c>
      <x:c r="C8558" s="1" t="str">
        <x:v>Standard Class</x:v>
      </x:c>
      <x:c r="D8558" s="1" t="str">
        <x:v>Europe</x:v>
      </x:c>
      <x:c r="E8558" s="1" t="str">
        <x:v>COMPLETE</x:v>
      </x:c>
      <x:c r="F8558" s="1" t="str">
        <x:v>Advance shipping</x:v>
      </x:c>
      <x:c r="G8558" s="6" t="n">
        <x:v>2</x:v>
      </x:c>
      <x:c r="H8558" s="6" t="n">
        <x:v>4</x:v>
      </x:c>
      <x:c r="I8558" s="6" t="n">
        <x:f>G8558-H8558</x:f>
        <x:v>-2</x:v>
      </x:c>
      <x:c r="J8558" s="6" t="n">
        <x:f>IF(OR(E8558="CANCELED",E8558="SUSPECTED_FRAUD",F8558="Shipping canceled"),0,1)</x:f>
        <x:v>1</x:v>
      </x:c>
      <x:c r="K8558" s="6" t="n">
        <x:f>IF(G8558&gt;H8558,1,0)</x:f>
        <x:v>0</x:v>
      </x:c>
      <x:c r="L8558" s="6" t="n">
        <x:f>J8558*K8558</x:f>
        <x:v>0</x:v>
      </x:c>
    </x:row>
    <x:row r="8559">
      <x:c r="A8559" s="1" t="n">
        <x:v>68397</x:v>
      </x:c>
      <x:c r="B8559" s="5" t="d">
        <x:v>2017-09-25T00:00:00.000Z</x:v>
      </x:c>
      <x:c r="C8559" s="1" t="str">
        <x:v>Standard Class</x:v>
      </x:c>
      <x:c r="D8559" s="1" t="str">
        <x:v>Europe</x:v>
      </x:c>
      <x:c r="E8559" s="1" t="str">
        <x:v>PENDING</x:v>
      </x:c>
      <x:c r="F8559" s="1" t="str">
        <x:v>Advance shipping</x:v>
      </x:c>
      <x:c r="G8559" s="6" t="n">
        <x:v>3</x:v>
      </x:c>
      <x:c r="H8559" s="6" t="n">
        <x:v>4</x:v>
      </x:c>
      <x:c r="I8559" s="6" t="n">
        <x:f>G8559-H8559</x:f>
        <x:v>-1</x:v>
      </x:c>
      <x:c r="J8559" s="6" t="n">
        <x:f>IF(OR(E8559="CANCELED",E8559="SUSPECTED_FRAUD",F8559="Shipping canceled"),0,1)</x:f>
        <x:v>1</x:v>
      </x:c>
      <x:c r="K8559" s="6" t="n">
        <x:f>IF(G8559&gt;H8559,1,0)</x:f>
        <x:v>0</x:v>
      </x:c>
      <x:c r="L8559" s="6" t="n">
        <x:f>J8559*K8559</x:f>
        <x:v>0</x:v>
      </x:c>
    </x:row>
    <x:row r="8560">
      <x:c r="A8560" s="1" t="n">
        <x:v>68398</x:v>
      </x:c>
      <x:c r="B8560" s="5" t="d">
        <x:v>2017-09-25T00:00:00.000Z</x:v>
      </x:c>
      <x:c r="C8560" s="1" t="str">
        <x:v>Standard Class</x:v>
      </x:c>
      <x:c r="D8560" s="1" t="str">
        <x:v>Europe</x:v>
      </x:c>
      <x:c r="E8560" s="1" t="str">
        <x:v>COMPLETE</x:v>
      </x:c>
      <x:c r="F8560" s="1" t="str">
        <x:v>Shipping on time</x:v>
      </x:c>
      <x:c r="G8560" s="6" t="n">
        <x:v>4</x:v>
      </x:c>
      <x:c r="H8560" s="6" t="n">
        <x:v>4</x:v>
      </x:c>
      <x:c r="I8560" s="6" t="n">
        <x:f>G8560-H8560</x:f>
        <x:v>0</x:v>
      </x:c>
      <x:c r="J8560" s="6" t="n">
        <x:f>IF(OR(E8560="CANCELED",E8560="SUSPECTED_FRAUD",F8560="Shipping canceled"),0,1)</x:f>
        <x:v>1</x:v>
      </x:c>
      <x:c r="K8560" s="6" t="n">
        <x:f>IF(G8560&gt;H8560,1,0)</x:f>
        <x:v>0</x:v>
      </x:c>
      <x:c r="L8560" s="6" t="n">
        <x:f>J8560*K8560</x:f>
        <x:v>0</x:v>
      </x:c>
    </x:row>
    <x:row r="8561">
      <x:c r="A8561" s="1" t="n">
        <x:v>68399</x:v>
      </x:c>
      <x:c r="B8561" s="5" t="d">
        <x:v>2017-09-25T00:00:00.000Z</x:v>
      </x:c>
      <x:c r="C8561" s="1" t="str">
        <x:v>First Class</x:v>
      </x:c>
      <x:c r="D8561" s="1" t="str">
        <x:v>Europe</x:v>
      </x:c>
      <x:c r="E8561" s="1" t="str">
        <x:v>CLOSED</x:v>
      </x:c>
      <x:c r="F8561" s="1" t="str">
        <x:v>Late delivery</x:v>
      </x:c>
      <x:c r="G8561" s="6" t="n">
        <x:v>2</x:v>
      </x:c>
      <x:c r="H8561" s="6" t="n">
        <x:v>1</x:v>
      </x:c>
      <x:c r="I8561" s="6" t="n">
        <x:f>G8561-H8561</x:f>
        <x:v>1</x:v>
      </x:c>
      <x:c r="J8561" s="6" t="n">
        <x:f>IF(OR(E8561="CANCELED",E8561="SUSPECTED_FRAUD",F8561="Shipping canceled"),0,1)</x:f>
        <x:v>1</x:v>
      </x:c>
      <x:c r="K8561" s="6" t="n">
        <x:f>IF(G8561&gt;H8561,1,0)</x:f>
        <x:v>1</x:v>
      </x:c>
      <x:c r="L8561" s="6" t="n">
        <x:f>J8561*K8561</x:f>
        <x:v>1</x:v>
      </x:c>
    </x:row>
    <x:row r="8562">
      <x:c r="A8562" s="1" t="n">
        <x:v>68405</x:v>
      </x:c>
      <x:c r="B8562" s="5" t="d">
        <x:v>2017-09-25T00:00:00.000Z</x:v>
      </x:c>
      <x:c r="C8562" s="1" t="str">
        <x:v>Standard Class</x:v>
      </x:c>
      <x:c r="D8562" s="1" t="str">
        <x:v>Europe</x:v>
      </x:c>
      <x:c r="E8562" s="1" t="str">
        <x:v>PENDING_PAYMENT</x:v>
      </x:c>
      <x:c r="F8562" s="1" t="str">
        <x:v>Late delivery</x:v>
      </x:c>
      <x:c r="G8562" s="6" t="n">
        <x:v>6</x:v>
      </x:c>
      <x:c r="H8562" s="6" t="n">
        <x:v>4</x:v>
      </x:c>
      <x:c r="I8562" s="6" t="n">
        <x:f>G8562-H8562</x:f>
        <x:v>2</x:v>
      </x:c>
      <x:c r="J8562" s="6" t="n">
        <x:f>IF(OR(E8562="CANCELED",E8562="SUSPECTED_FRAUD",F8562="Shipping canceled"),0,1)</x:f>
        <x:v>1</x:v>
      </x:c>
      <x:c r="K8562" s="6" t="n">
        <x:f>IF(G8562&gt;H8562,1,0)</x:f>
        <x:v>1</x:v>
      </x:c>
      <x:c r="L8562" s="6" t="n">
        <x:f>J8562*K8562</x:f>
        <x:v>1</x:v>
      </x:c>
    </x:row>
    <x:row r="8563">
      <x:c r="A8563" s="1" t="n">
        <x:v>68407</x:v>
      </x:c>
      <x:c r="B8563" s="5" t="d">
        <x:v>2017-09-25T00:00:00.000Z</x:v>
      </x:c>
      <x:c r="C8563" s="1" t="str">
        <x:v>Standard Class</x:v>
      </x:c>
      <x:c r="D8563" s="1" t="str">
        <x:v>Europe</x:v>
      </x:c>
      <x:c r="E8563" s="1" t="str">
        <x:v>COMPLETE</x:v>
      </x:c>
      <x:c r="F8563" s="1" t="str">
        <x:v>Advance shipping</x:v>
      </x:c>
      <x:c r="G8563" s="6" t="n">
        <x:v>3</x:v>
      </x:c>
      <x:c r="H8563" s="6" t="n">
        <x:v>4</x:v>
      </x:c>
      <x:c r="I8563" s="6" t="n">
        <x:f>G8563-H8563</x:f>
        <x:v>-1</x:v>
      </x:c>
      <x:c r="J8563" s="6" t="n">
        <x:f>IF(OR(E8563="CANCELED",E8563="SUSPECTED_FRAUD",F8563="Shipping canceled"),0,1)</x:f>
        <x:v>1</x:v>
      </x:c>
      <x:c r="K8563" s="6" t="n">
        <x:f>IF(G8563&gt;H8563,1,0)</x:f>
        <x:v>0</x:v>
      </x:c>
      <x:c r="L8563" s="6" t="n">
        <x:f>J8563*K8563</x:f>
        <x:v>0</x:v>
      </x:c>
    </x:row>
    <x:row r="8564">
      <x:c r="A8564" s="1" t="n">
        <x:v>68409</x:v>
      </x:c>
      <x:c r="B8564" s="5" t="d">
        <x:v>2017-09-25T00:00:00.000Z</x:v>
      </x:c>
      <x:c r="C8564" s="1" t="str">
        <x:v>First Class</x:v>
      </x:c>
      <x:c r="D8564" s="1" t="str">
        <x:v>Europe</x:v>
      </x:c>
      <x:c r="E8564" s="1" t="str">
        <x:v>PENDING_PAYMENT</x:v>
      </x:c>
      <x:c r="F8564" s="1" t="str">
        <x:v>Late delivery</x:v>
      </x:c>
      <x:c r="G8564" s="6" t="n">
        <x:v>2</x:v>
      </x:c>
      <x:c r="H8564" s="6" t="n">
        <x:v>1</x:v>
      </x:c>
      <x:c r="I8564" s="6" t="n">
        <x:f>G8564-H8564</x:f>
        <x:v>1</x:v>
      </x:c>
      <x:c r="J8564" s="6" t="n">
        <x:f>IF(OR(E8564="CANCELED",E8564="SUSPECTED_FRAUD",F8564="Shipping canceled"),0,1)</x:f>
        <x:v>1</x:v>
      </x:c>
      <x:c r="K8564" s="6" t="n">
        <x:f>IF(G8564&gt;H8564,1,0)</x:f>
        <x:v>1</x:v>
      </x:c>
      <x:c r="L8564" s="6" t="n">
        <x:f>J8564*K8564</x:f>
        <x:v>1</x:v>
      </x:c>
    </x:row>
    <x:row r="8565">
      <x:c r="A8565" s="1" t="n">
        <x:v>68428</x:v>
      </x:c>
      <x:c r="B8565" s="5" t="d">
        <x:v>2017-09-25T00:00:00.000Z</x:v>
      </x:c>
      <x:c r="C8565" s="1" t="str">
        <x:v>Standard Class</x:v>
      </x:c>
      <x:c r="D8565" s="1" t="str">
        <x:v>Europe</x:v>
      </x:c>
      <x:c r="E8565" s="1" t="str">
        <x:v>PROCESSING</x:v>
      </x:c>
      <x:c r="F8565" s="1" t="str">
        <x:v>Shipping on time</x:v>
      </x:c>
      <x:c r="G8565" s="6" t="n">
        <x:v>4</x:v>
      </x:c>
      <x:c r="H8565" s="6" t="n">
        <x:v>4</x:v>
      </x:c>
      <x:c r="I8565" s="6" t="n">
        <x:f>G8565-H8565</x:f>
        <x:v>0</x:v>
      </x:c>
      <x:c r="J8565" s="6" t="n">
        <x:f>IF(OR(E8565="CANCELED",E8565="SUSPECTED_FRAUD",F8565="Shipping canceled"),0,1)</x:f>
        <x:v>1</x:v>
      </x:c>
      <x:c r="K8565" s="6" t="n">
        <x:f>IF(G8565&gt;H8565,1,0)</x:f>
        <x:v>0</x:v>
      </x:c>
      <x:c r="L8565" s="6" t="n">
        <x:f>J8565*K8565</x:f>
        <x:v>0</x:v>
      </x:c>
    </x:row>
    <x:row r="8566">
      <x:c r="A8566" s="1" t="n">
        <x:v>68429</x:v>
      </x:c>
      <x:c r="B8566" s="5" t="d">
        <x:v>2017-09-25T00:00:00.000Z</x:v>
      </x:c>
      <x:c r="C8566" s="1" t="str">
        <x:v>Standard Class</x:v>
      </x:c>
      <x:c r="D8566" s="1" t="str">
        <x:v>Europe</x:v>
      </x:c>
      <x:c r="E8566" s="1" t="str">
        <x:v>COMPLETE</x:v>
      </x:c>
      <x:c r="F8566" s="1" t="str">
        <x:v>Late delivery</x:v>
      </x:c>
      <x:c r="G8566" s="6" t="n">
        <x:v>5</x:v>
      </x:c>
      <x:c r="H8566" s="6" t="n">
        <x:v>4</x:v>
      </x:c>
      <x:c r="I8566" s="6" t="n">
        <x:f>G8566-H8566</x:f>
        <x:v>1</x:v>
      </x:c>
      <x:c r="J8566" s="6" t="n">
        <x:f>IF(OR(E8566="CANCELED",E8566="SUSPECTED_FRAUD",F8566="Shipping canceled"),0,1)</x:f>
        <x:v>1</x:v>
      </x:c>
      <x:c r="K8566" s="6" t="n">
        <x:f>IF(G8566&gt;H8566,1,0)</x:f>
        <x:v>1</x:v>
      </x:c>
      <x:c r="L8566" s="6" t="n">
        <x:f>J8566*K8566</x:f>
        <x:v>1</x:v>
      </x:c>
    </x:row>
    <x:row r="8567">
      <x:c r="A8567" s="1" t="n">
        <x:v>68441</x:v>
      </x:c>
      <x:c r="B8567" s="5" t="d">
        <x:v>2017-09-26T00:00:00.000Z</x:v>
      </x:c>
      <x:c r="C8567" s="1" t="str">
        <x:v>Standard Class</x:v>
      </x:c>
      <x:c r="D8567" s="1" t="str">
        <x:v>Europe</x:v>
      </x:c>
      <x:c r="E8567" s="1" t="str">
        <x:v>COMPLETE</x:v>
      </x:c>
      <x:c r="F8567" s="1" t="str">
        <x:v>Advance shipping</x:v>
      </x:c>
      <x:c r="G8567" s="6" t="n">
        <x:v>2</x:v>
      </x:c>
      <x:c r="H8567" s="6" t="n">
        <x:v>4</x:v>
      </x:c>
      <x:c r="I8567" s="6" t="n">
        <x:f>G8567-H8567</x:f>
        <x:v>-2</x:v>
      </x:c>
      <x:c r="J8567" s="6" t="n">
        <x:f>IF(OR(E8567="CANCELED",E8567="SUSPECTED_FRAUD",F8567="Shipping canceled"),0,1)</x:f>
        <x:v>1</x:v>
      </x:c>
      <x:c r="K8567" s="6" t="n">
        <x:f>IF(G8567&gt;H8567,1,0)</x:f>
        <x:v>0</x:v>
      </x:c>
      <x:c r="L8567" s="6" t="n">
        <x:f>J8567*K8567</x:f>
        <x:v>0</x:v>
      </x:c>
    </x:row>
    <x:row r="8568">
      <x:c r="A8568" s="1" t="n">
        <x:v>68456</x:v>
      </x:c>
      <x:c r="B8568" s="5" t="d">
        <x:v>2017-09-26T00:00:00.000Z</x:v>
      </x:c>
      <x:c r="C8568" s="1" t="str">
        <x:v>Standard Class</x:v>
      </x:c>
      <x:c r="D8568" s="1" t="str">
        <x:v>Europe</x:v>
      </x:c>
      <x:c r="E8568" s="1" t="str">
        <x:v>COMPLETE</x:v>
      </x:c>
      <x:c r="F8568" s="1" t="str">
        <x:v>Advance shipping</x:v>
      </x:c>
      <x:c r="G8568" s="6" t="n">
        <x:v>2</x:v>
      </x:c>
      <x:c r="H8568" s="6" t="n">
        <x:v>4</x:v>
      </x:c>
      <x:c r="I8568" s="6" t="n">
        <x:f>G8568-H8568</x:f>
        <x:v>-2</x:v>
      </x:c>
      <x:c r="J8568" s="6" t="n">
        <x:f>IF(OR(E8568="CANCELED",E8568="SUSPECTED_FRAUD",F8568="Shipping canceled"),0,1)</x:f>
        <x:v>1</x:v>
      </x:c>
      <x:c r="K8568" s="6" t="n">
        <x:f>IF(G8568&gt;H8568,1,0)</x:f>
        <x:v>0</x:v>
      </x:c>
      <x:c r="L8568" s="6" t="n">
        <x:f>J8568*K8568</x:f>
        <x:v>0</x:v>
      </x:c>
    </x:row>
    <x:row r="8569">
      <x:c r="A8569" s="1" t="n">
        <x:v>68467</x:v>
      </x:c>
      <x:c r="B8569" s="5" t="d">
        <x:v>2017-09-26T00:00:00.000Z</x:v>
      </x:c>
      <x:c r="C8569" s="1" t="str">
        <x:v>Standard Class</x:v>
      </x:c>
      <x:c r="D8569" s="1" t="str">
        <x:v>Europe</x:v>
      </x:c>
      <x:c r="E8569" s="1" t="str">
        <x:v>CANCELED</x:v>
      </x:c>
      <x:c r="F8569" s="1" t="str">
        <x:v>Shipping canceled</x:v>
      </x:c>
      <x:c r="G8569" s="6" t="n">
        <x:v>3</x:v>
      </x:c>
      <x:c r="H8569" s="6" t="n">
        <x:v>4</x:v>
      </x:c>
      <x:c r="I8569" s="6" t="n">
        <x:f>G8569-H8569</x:f>
        <x:v>-1</x:v>
      </x:c>
      <x:c r="J8569" s="6" t="n">
        <x:f>IF(OR(E8569="CANCELED",E8569="SUSPECTED_FRAUD",F8569="Shipping canceled"),0,1)</x:f>
        <x:v>0</x:v>
      </x:c>
      <x:c r="K8569" s="6" t="n">
        <x:f>IF(G8569&gt;H8569,1,0)</x:f>
        <x:v>0</x:v>
      </x:c>
      <x:c r="L8569" s="6" t="n">
        <x:f>J8569*K8569</x:f>
        <x:v>0</x:v>
      </x:c>
    </x:row>
    <x:row r="8570">
      <x:c r="A8570" s="1" t="n">
        <x:v>68471</x:v>
      </x:c>
      <x:c r="B8570" s="5" t="d">
        <x:v>2017-09-26T00:00:00.000Z</x:v>
      </x:c>
      <x:c r="C8570" s="1" t="str">
        <x:v>Second Class</x:v>
      </x:c>
      <x:c r="D8570" s="1" t="str">
        <x:v>Europe</x:v>
      </x:c>
      <x:c r="E8570" s="1" t="str">
        <x:v>CLOSED</x:v>
      </x:c>
      <x:c r="F8570" s="1" t="str">
        <x:v>Shipping on time</x:v>
      </x:c>
      <x:c r="G8570" s="6" t="n">
        <x:v>2</x:v>
      </x:c>
      <x:c r="H8570" s="6" t="n">
        <x:v>2</x:v>
      </x:c>
      <x:c r="I8570" s="6" t="n">
        <x:f>G8570-H8570</x:f>
        <x:v>0</x:v>
      </x:c>
      <x:c r="J8570" s="6" t="n">
        <x:f>IF(OR(E8570="CANCELED",E8570="SUSPECTED_FRAUD",F8570="Shipping canceled"),0,1)</x:f>
        <x:v>1</x:v>
      </x:c>
      <x:c r="K8570" s="6" t="n">
        <x:f>IF(G8570&gt;H8570,1,0)</x:f>
        <x:v>0</x:v>
      </x:c>
      <x:c r="L8570" s="6" t="n">
        <x:f>J8570*K8570</x:f>
        <x:v>0</x:v>
      </x:c>
    </x:row>
    <x:row r="8571">
      <x:c r="A8571" s="1" t="n">
        <x:v>68475</x:v>
      </x:c>
      <x:c r="B8571" s="5" t="d">
        <x:v>2017-09-26T00:00:00.000Z</x:v>
      </x:c>
      <x:c r="C8571" s="1" t="str">
        <x:v>First Class</x:v>
      </x:c>
      <x:c r="D8571" s="1" t="str">
        <x:v>Europe</x:v>
      </x:c>
      <x:c r="E8571" s="1" t="str">
        <x:v>PENDING_PAYMENT</x:v>
      </x:c>
      <x:c r="F8571" s="1" t="str">
        <x:v>Late delivery</x:v>
      </x:c>
      <x:c r="G8571" s="6" t="n">
        <x:v>2</x:v>
      </x:c>
      <x:c r="H8571" s="6" t="n">
        <x:v>1</x:v>
      </x:c>
      <x:c r="I8571" s="6" t="n">
        <x:f>G8571-H8571</x:f>
        <x:v>1</x:v>
      </x:c>
      <x:c r="J8571" s="6" t="n">
        <x:f>IF(OR(E8571="CANCELED",E8571="SUSPECTED_FRAUD",F8571="Shipping canceled"),0,1)</x:f>
        <x:v>1</x:v>
      </x:c>
      <x:c r="K8571" s="6" t="n">
        <x:f>IF(G8571&gt;H8571,1,0)</x:f>
        <x:v>1</x:v>
      </x:c>
      <x:c r="L8571" s="6" t="n">
        <x:f>J8571*K8571</x:f>
        <x:v>1</x:v>
      </x:c>
    </x:row>
    <x:row r="8572">
      <x:c r="A8572" s="1" t="n">
        <x:v>68478</x:v>
      </x:c>
      <x:c r="B8572" s="5" t="d">
        <x:v>2017-09-26T00:00:00.000Z</x:v>
      </x:c>
      <x:c r="C8572" s="1" t="str">
        <x:v>Standard Class</x:v>
      </x:c>
      <x:c r="D8572" s="1" t="str">
        <x:v>Europe</x:v>
      </x:c>
      <x:c r="E8572" s="1" t="str">
        <x:v>ON_HOLD</x:v>
      </x:c>
      <x:c r="F8572" s="1" t="str">
        <x:v>Shipping on time</x:v>
      </x:c>
      <x:c r="G8572" s="6" t="n">
        <x:v>4</x:v>
      </x:c>
      <x:c r="H8572" s="6" t="n">
        <x:v>4</x:v>
      </x:c>
      <x:c r="I8572" s="6" t="n">
        <x:f>G8572-H8572</x:f>
        <x:v>0</x:v>
      </x:c>
      <x:c r="J8572" s="6" t="n">
        <x:f>IF(OR(E8572="CANCELED",E8572="SUSPECTED_FRAUD",F8572="Shipping canceled"),0,1)</x:f>
        <x:v>1</x:v>
      </x:c>
      <x:c r="K8572" s="6" t="n">
        <x:f>IF(G8572&gt;H8572,1,0)</x:f>
        <x:v>0</x:v>
      </x:c>
      <x:c r="L8572" s="6" t="n">
        <x:f>J8572*K8572</x:f>
        <x:v>0</x:v>
      </x:c>
    </x:row>
    <x:row r="8573">
      <x:c r="A8573" s="1" t="n">
        <x:v>68481</x:v>
      </x:c>
      <x:c r="B8573" s="5" t="d">
        <x:v>2017-09-26T00:00:00.000Z</x:v>
      </x:c>
      <x:c r="C8573" s="1" t="str">
        <x:v>Standard Class</x:v>
      </x:c>
      <x:c r="D8573" s="1" t="str">
        <x:v>Europe</x:v>
      </x:c>
      <x:c r="E8573" s="1" t="str">
        <x:v>PENDING_PAYMENT</x:v>
      </x:c>
      <x:c r="F8573" s="1" t="str">
        <x:v>Advance shipping</x:v>
      </x:c>
      <x:c r="G8573" s="6" t="n">
        <x:v>2</x:v>
      </x:c>
      <x:c r="H8573" s="6" t="n">
        <x:v>4</x:v>
      </x:c>
      <x:c r="I8573" s="6" t="n">
        <x:f>G8573-H8573</x:f>
        <x:v>-2</x:v>
      </x:c>
      <x:c r="J8573" s="6" t="n">
        <x:f>IF(OR(E8573="CANCELED",E8573="SUSPECTED_FRAUD",F8573="Shipping canceled"),0,1)</x:f>
        <x:v>1</x:v>
      </x:c>
      <x:c r="K8573" s="6" t="n">
        <x:f>IF(G8573&gt;H8573,1,0)</x:f>
        <x:v>0</x:v>
      </x:c>
      <x:c r="L8573" s="6" t="n">
        <x:f>J8573*K8573</x:f>
        <x:v>0</x:v>
      </x:c>
    </x:row>
    <x:row r="8574">
      <x:c r="A8574" s="1" t="n">
        <x:v>68502</x:v>
      </x:c>
      <x:c r="B8574" s="5" t="d">
        <x:v>2017-09-26T00:00:00.000Z</x:v>
      </x:c>
      <x:c r="C8574" s="1" t="str">
        <x:v>Same Day</x:v>
      </x:c>
      <x:c r="D8574" s="1" t="str">
        <x:v>Europe</x:v>
      </x:c>
      <x:c r="E8574" s="1" t="str">
        <x:v>PROCESSING</x:v>
      </x:c>
      <x:c r="F8574" s="1" t="str">
        <x:v>Late delivery</x:v>
      </x:c>
      <x:c r="G8574" s="6" t="n">
        <x:v>1</x:v>
      </x:c>
      <x:c r="H8574" s="6" t="n">
        <x:v>0</x:v>
      </x:c>
      <x:c r="I8574" s="6" t="n">
        <x:f>G8574-H8574</x:f>
        <x:v>1</x:v>
      </x:c>
      <x:c r="J8574" s="6" t="n">
        <x:f>IF(OR(E8574="CANCELED",E8574="SUSPECTED_FRAUD",F8574="Shipping canceled"),0,1)</x:f>
        <x:v>1</x:v>
      </x:c>
      <x:c r="K8574" s="6" t="n">
        <x:f>IF(G8574&gt;H8574,1,0)</x:f>
        <x:v>1</x:v>
      </x:c>
      <x:c r="L8574" s="6" t="n">
        <x:f>J8574*K8574</x:f>
        <x:v>1</x:v>
      </x:c>
    </x:row>
    <x:row r="8575">
      <x:c r="A8575" s="1" t="n">
        <x:v>68519</x:v>
      </x:c>
      <x:c r="B8575" s="5" t="d">
        <x:v>2017-09-27T00:00:00.000Z</x:v>
      </x:c>
      <x:c r="C8575" s="1" t="str">
        <x:v>Standard Class</x:v>
      </x:c>
      <x:c r="D8575" s="1" t="str">
        <x:v>Europe</x:v>
      </x:c>
      <x:c r="E8575" s="1" t="str">
        <x:v>COMPLETE</x:v>
      </x:c>
      <x:c r="F8575" s="1" t="str">
        <x:v>Late delivery</x:v>
      </x:c>
      <x:c r="G8575" s="6" t="n">
        <x:v>5</x:v>
      </x:c>
      <x:c r="H8575" s="6" t="n">
        <x:v>4</x:v>
      </x:c>
      <x:c r="I8575" s="6" t="n">
        <x:f>G8575-H8575</x:f>
        <x:v>1</x:v>
      </x:c>
      <x:c r="J8575" s="6" t="n">
        <x:f>IF(OR(E8575="CANCELED",E8575="SUSPECTED_FRAUD",F8575="Shipping canceled"),0,1)</x:f>
        <x:v>1</x:v>
      </x:c>
      <x:c r="K8575" s="6" t="n">
        <x:f>IF(G8575&gt;H8575,1,0)</x:f>
        <x:v>1</x:v>
      </x:c>
      <x:c r="L8575" s="6" t="n">
        <x:f>J8575*K8575</x:f>
        <x:v>1</x:v>
      </x:c>
    </x:row>
    <x:row r="8576">
      <x:c r="A8576" s="1" t="n">
        <x:v>68520</x:v>
      </x:c>
      <x:c r="B8576" s="5" t="d">
        <x:v>2017-09-27T00:00:00.000Z</x:v>
      </x:c>
      <x:c r="C8576" s="1" t="str">
        <x:v>Standard Class</x:v>
      </x:c>
      <x:c r="D8576" s="1" t="str">
        <x:v>Europe</x:v>
      </x:c>
      <x:c r="E8576" s="1" t="str">
        <x:v>ON_HOLD</x:v>
      </x:c>
      <x:c r="F8576" s="1" t="str">
        <x:v>Late delivery</x:v>
      </x:c>
      <x:c r="G8576" s="6" t="n">
        <x:v>6</x:v>
      </x:c>
      <x:c r="H8576" s="6" t="n">
        <x:v>4</x:v>
      </x:c>
      <x:c r="I8576" s="6" t="n">
        <x:f>G8576-H8576</x:f>
        <x:v>2</x:v>
      </x:c>
      <x:c r="J8576" s="6" t="n">
        <x:f>IF(OR(E8576="CANCELED",E8576="SUSPECTED_FRAUD",F8576="Shipping canceled"),0,1)</x:f>
        <x:v>1</x:v>
      </x:c>
      <x:c r="K8576" s="6" t="n">
        <x:f>IF(G8576&gt;H8576,1,0)</x:f>
        <x:v>1</x:v>
      </x:c>
      <x:c r="L8576" s="6" t="n">
        <x:f>J8576*K8576</x:f>
        <x:v>1</x:v>
      </x:c>
    </x:row>
    <x:row r="8577">
      <x:c r="A8577" s="1" t="n">
        <x:v>68522</x:v>
      </x:c>
      <x:c r="B8577" s="5" t="d">
        <x:v>2017-09-27T00:00:00.000Z</x:v>
      </x:c>
      <x:c r="C8577" s="1" t="str">
        <x:v>Standard Class</x:v>
      </x:c>
      <x:c r="D8577" s="1" t="str">
        <x:v>Europe</x:v>
      </x:c>
      <x:c r="E8577" s="1" t="str">
        <x:v>SUSPECTED_FRAUD</x:v>
      </x:c>
      <x:c r="F8577" s="1" t="str">
        <x:v>Shipping canceled</x:v>
      </x:c>
      <x:c r="G8577" s="6" t="n">
        <x:v>3</x:v>
      </x:c>
      <x:c r="H8577" s="6" t="n">
        <x:v>4</x:v>
      </x:c>
      <x:c r="I8577" s="6" t="n">
        <x:f>G8577-H8577</x:f>
        <x:v>-1</x:v>
      </x:c>
      <x:c r="J8577" s="6" t="n">
        <x:f>IF(OR(E8577="CANCELED",E8577="SUSPECTED_FRAUD",F8577="Shipping canceled"),0,1)</x:f>
        <x:v>0</x:v>
      </x:c>
      <x:c r="K8577" s="6" t="n">
        <x:f>IF(G8577&gt;H8577,1,0)</x:f>
        <x:v>0</x:v>
      </x:c>
      <x:c r="L8577" s="6" t="n">
        <x:f>J8577*K8577</x:f>
        <x:v>0</x:v>
      </x:c>
    </x:row>
    <x:row r="8578">
      <x:c r="A8578" s="1" t="n">
        <x:v>68523</x:v>
      </x:c>
      <x:c r="B8578" s="5" t="d">
        <x:v>2017-09-27T00:00:00.000Z</x:v>
      </x:c>
      <x:c r="C8578" s="1" t="str">
        <x:v>Standard Class</x:v>
      </x:c>
      <x:c r="D8578" s="1" t="str">
        <x:v>Europe</x:v>
      </x:c>
      <x:c r="E8578" s="1" t="str">
        <x:v>PENDING_PAYMENT</x:v>
      </x:c>
      <x:c r="F8578" s="1" t="str">
        <x:v>Shipping on time</x:v>
      </x:c>
      <x:c r="G8578" s="6" t="n">
        <x:v>4</x:v>
      </x:c>
      <x:c r="H8578" s="6" t="n">
        <x:v>4</x:v>
      </x:c>
      <x:c r="I8578" s="6" t="n">
        <x:f>G8578-H8578</x:f>
        <x:v>0</x:v>
      </x:c>
      <x:c r="J8578" s="6" t="n">
        <x:f>IF(OR(E8578="CANCELED",E8578="SUSPECTED_FRAUD",F8578="Shipping canceled"),0,1)</x:f>
        <x:v>1</x:v>
      </x:c>
      <x:c r="K8578" s="6" t="n">
        <x:f>IF(G8578&gt;H8578,1,0)</x:f>
        <x:v>0</x:v>
      </x:c>
      <x:c r="L8578" s="6" t="n">
        <x:f>J8578*K8578</x:f>
        <x:v>0</x:v>
      </x:c>
    </x:row>
    <x:row r="8579">
      <x:c r="A8579" s="1" t="n">
        <x:v>68525</x:v>
      </x:c>
      <x:c r="B8579" s="5" t="d">
        <x:v>2017-09-27T00:00:00.000Z</x:v>
      </x:c>
      <x:c r="C8579" s="1" t="str">
        <x:v>Standard Class</x:v>
      </x:c>
      <x:c r="D8579" s="1" t="str">
        <x:v>Europe</x:v>
      </x:c>
      <x:c r="E8579" s="1" t="str">
        <x:v>COMPLETE</x:v>
      </x:c>
      <x:c r="F8579" s="1" t="str">
        <x:v>Late delivery</x:v>
      </x:c>
      <x:c r="G8579" s="6" t="n">
        <x:v>6</x:v>
      </x:c>
      <x:c r="H8579" s="6" t="n">
        <x:v>4</x:v>
      </x:c>
      <x:c r="I8579" s="6" t="n">
        <x:f>G8579-H8579</x:f>
        <x:v>2</x:v>
      </x:c>
      <x:c r="J8579" s="6" t="n">
        <x:f>IF(OR(E8579="CANCELED",E8579="SUSPECTED_FRAUD",F8579="Shipping canceled"),0,1)</x:f>
        <x:v>1</x:v>
      </x:c>
      <x:c r="K8579" s="6" t="n">
        <x:f>IF(G8579&gt;H8579,1,0)</x:f>
        <x:v>1</x:v>
      </x:c>
      <x:c r="L8579" s="6" t="n">
        <x:f>J8579*K8579</x:f>
        <x:v>1</x:v>
      </x:c>
    </x:row>
    <x:row r="8580">
      <x:c r="A8580" s="1" t="n">
        <x:v>68533</x:v>
      </x:c>
      <x:c r="B8580" s="5" t="d">
        <x:v>2017-09-27T00:00:00.000Z</x:v>
      </x:c>
      <x:c r="C8580" s="1" t="str">
        <x:v>First Class</x:v>
      </x:c>
      <x:c r="D8580" s="1" t="str">
        <x:v>Europe</x:v>
      </x:c>
      <x:c r="E8580" s="1" t="str">
        <x:v>PENDING_PAYMENT</x:v>
      </x:c>
      <x:c r="F8580" s="1" t="str">
        <x:v>Late delivery</x:v>
      </x:c>
      <x:c r="G8580" s="6" t="n">
        <x:v>2</x:v>
      </x:c>
      <x:c r="H8580" s="6" t="n">
        <x:v>1</x:v>
      </x:c>
      <x:c r="I8580" s="6" t="n">
        <x:f>G8580-H8580</x:f>
        <x:v>1</x:v>
      </x:c>
      <x:c r="J8580" s="6" t="n">
        <x:f>IF(OR(E8580="CANCELED",E8580="SUSPECTED_FRAUD",F8580="Shipping canceled"),0,1)</x:f>
        <x:v>1</x:v>
      </x:c>
      <x:c r="K8580" s="6" t="n">
        <x:f>IF(G8580&gt;H8580,1,0)</x:f>
        <x:v>1</x:v>
      </x:c>
      <x:c r="L8580" s="6" t="n">
        <x:f>J8580*K8580</x:f>
        <x:v>1</x:v>
      </x:c>
    </x:row>
    <x:row r="8581">
      <x:c r="A8581" s="1" t="n">
        <x:v>68536</x:v>
      </x:c>
      <x:c r="B8581" s="5" t="d">
        <x:v>2017-09-27T00:00:00.000Z</x:v>
      </x:c>
      <x:c r="C8581" s="1" t="str">
        <x:v>Standard Class</x:v>
      </x:c>
      <x:c r="D8581" s="1" t="str">
        <x:v>Europe</x:v>
      </x:c>
      <x:c r="E8581" s="1" t="str">
        <x:v>COMPLETE</x:v>
      </x:c>
      <x:c r="F8581" s="1" t="str">
        <x:v>Advance shipping</x:v>
      </x:c>
      <x:c r="G8581" s="6" t="n">
        <x:v>2</x:v>
      </x:c>
      <x:c r="H8581" s="6" t="n">
        <x:v>4</x:v>
      </x:c>
      <x:c r="I8581" s="6" t="n">
        <x:f>G8581-H8581</x:f>
        <x:v>-2</x:v>
      </x:c>
      <x:c r="J8581" s="6" t="n">
        <x:f>IF(OR(E8581="CANCELED",E8581="SUSPECTED_FRAUD",F8581="Shipping canceled"),0,1)</x:f>
        <x:v>1</x:v>
      </x:c>
      <x:c r="K8581" s="6" t="n">
        <x:f>IF(G8581&gt;H8581,1,0)</x:f>
        <x:v>0</x:v>
      </x:c>
      <x:c r="L8581" s="6" t="n">
        <x:f>J8581*K8581</x:f>
        <x:v>0</x:v>
      </x:c>
    </x:row>
    <x:row r="8582">
      <x:c r="A8582" s="1" t="n">
        <x:v>68546</x:v>
      </x:c>
      <x:c r="B8582" s="5" t="d">
        <x:v>2017-09-27T00:00:00.000Z</x:v>
      </x:c>
      <x:c r="C8582" s="1" t="str">
        <x:v>Standard Class</x:v>
      </x:c>
      <x:c r="D8582" s="1" t="str">
        <x:v>Europe</x:v>
      </x:c>
      <x:c r="E8582" s="1" t="str">
        <x:v>PENDING_PAYMENT</x:v>
      </x:c>
      <x:c r="F8582" s="1" t="str">
        <x:v>Advance shipping</x:v>
      </x:c>
      <x:c r="G8582" s="6" t="n">
        <x:v>2</x:v>
      </x:c>
      <x:c r="H8582" s="6" t="n">
        <x:v>4</x:v>
      </x:c>
      <x:c r="I8582" s="6" t="n">
        <x:f>G8582-H8582</x:f>
        <x:v>-2</x:v>
      </x:c>
      <x:c r="J8582" s="6" t="n">
        <x:f>IF(OR(E8582="CANCELED",E8582="SUSPECTED_FRAUD",F8582="Shipping canceled"),0,1)</x:f>
        <x:v>1</x:v>
      </x:c>
      <x:c r="K8582" s="6" t="n">
        <x:f>IF(G8582&gt;H8582,1,0)</x:f>
        <x:v>0</x:v>
      </x:c>
      <x:c r="L8582" s="6" t="n">
        <x:f>J8582*K8582</x:f>
        <x:v>0</x:v>
      </x:c>
    </x:row>
    <x:row r="8583">
      <x:c r="A8583" s="1" t="n">
        <x:v>68557</x:v>
      </x:c>
      <x:c r="B8583" s="5" t="d">
        <x:v>2017-09-27T00:00:00.000Z</x:v>
      </x:c>
      <x:c r="C8583" s="1" t="str">
        <x:v>Standard Class</x:v>
      </x:c>
      <x:c r="D8583" s="1" t="str">
        <x:v>Europe</x:v>
      </x:c>
      <x:c r="E8583" s="1" t="str">
        <x:v>CANCELED</x:v>
      </x:c>
      <x:c r="F8583" s="1" t="str">
        <x:v>Shipping canceled</x:v>
      </x:c>
      <x:c r="G8583" s="6" t="n">
        <x:v>3</x:v>
      </x:c>
      <x:c r="H8583" s="6" t="n">
        <x:v>4</x:v>
      </x:c>
      <x:c r="I8583" s="6" t="n">
        <x:f>G8583-H8583</x:f>
        <x:v>-1</x:v>
      </x:c>
      <x:c r="J8583" s="6" t="n">
        <x:f>IF(OR(E8583="CANCELED",E8583="SUSPECTED_FRAUD",F8583="Shipping canceled"),0,1)</x:f>
        <x:v>0</x:v>
      </x:c>
      <x:c r="K8583" s="6" t="n">
        <x:f>IF(G8583&gt;H8583,1,0)</x:f>
        <x:v>0</x:v>
      </x:c>
      <x:c r="L8583" s="6" t="n">
        <x:f>J8583*K8583</x:f>
        <x:v>0</x:v>
      </x:c>
    </x:row>
    <x:row r="8584">
      <x:c r="A8584" s="1" t="n">
        <x:v>68558</x:v>
      </x:c>
      <x:c r="B8584" s="5" t="d">
        <x:v>2017-09-27T00:00:00.000Z</x:v>
      </x:c>
      <x:c r="C8584" s="1" t="str">
        <x:v>Standard Class</x:v>
      </x:c>
      <x:c r="D8584" s="1" t="str">
        <x:v>Europe</x:v>
      </x:c>
      <x:c r="E8584" s="1" t="str">
        <x:v>COMPLETE</x:v>
      </x:c>
      <x:c r="F8584" s="1" t="str">
        <x:v>Shipping on time</x:v>
      </x:c>
      <x:c r="G8584" s="6" t="n">
        <x:v>4</x:v>
      </x:c>
      <x:c r="H8584" s="6" t="n">
        <x:v>4</x:v>
      </x:c>
      <x:c r="I8584" s="6" t="n">
        <x:f>G8584-H8584</x:f>
        <x:v>0</x:v>
      </x:c>
      <x:c r="J8584" s="6" t="n">
        <x:f>IF(OR(E8584="CANCELED",E8584="SUSPECTED_FRAUD",F8584="Shipping canceled"),0,1)</x:f>
        <x:v>1</x:v>
      </x:c>
      <x:c r="K8584" s="6" t="n">
        <x:f>IF(G8584&gt;H8584,1,0)</x:f>
        <x:v>0</x:v>
      </x:c>
      <x:c r="L8584" s="6" t="n">
        <x:f>J8584*K8584</x:f>
        <x:v>0</x:v>
      </x:c>
    </x:row>
    <x:row r="8585">
      <x:c r="A8585" s="1" t="n">
        <x:v>68574</x:v>
      </x:c>
      <x:c r="B8585" s="5" t="d">
        <x:v>2017-09-28T00:00:00.000Z</x:v>
      </x:c>
      <x:c r="C8585" s="1" t="str">
        <x:v>Standard Class</x:v>
      </x:c>
      <x:c r="D8585" s="1" t="str">
        <x:v>Europe</x:v>
      </x:c>
      <x:c r="E8585" s="1" t="str">
        <x:v>PENDING</x:v>
      </x:c>
      <x:c r="F8585" s="1" t="str">
        <x:v>Late delivery</x:v>
      </x:c>
      <x:c r="G8585" s="6" t="n">
        <x:v>5</x:v>
      </x:c>
      <x:c r="H8585" s="6" t="n">
        <x:v>4</x:v>
      </x:c>
      <x:c r="I8585" s="6" t="n">
        <x:f>G8585-H8585</x:f>
        <x:v>1</x:v>
      </x:c>
      <x:c r="J8585" s="6" t="n">
        <x:f>IF(OR(E8585="CANCELED",E8585="SUSPECTED_FRAUD",F8585="Shipping canceled"),0,1)</x:f>
        <x:v>1</x:v>
      </x:c>
      <x:c r="K8585" s="6" t="n">
        <x:f>IF(G8585&gt;H8585,1,0)</x:f>
        <x:v>1</x:v>
      </x:c>
      <x:c r="L8585" s="6" t="n">
        <x:f>J8585*K8585</x:f>
        <x:v>1</x:v>
      </x:c>
    </x:row>
    <x:row r="8586">
      <x:c r="A8586" s="1" t="n">
        <x:v>68579</x:v>
      </x:c>
      <x:c r="B8586" s="5" t="d">
        <x:v>2017-09-28T00:00:00.000Z</x:v>
      </x:c>
      <x:c r="C8586" s="1" t="str">
        <x:v>Standard Class</x:v>
      </x:c>
      <x:c r="D8586" s="1" t="str">
        <x:v>Europe</x:v>
      </x:c>
      <x:c r="E8586" s="1" t="str">
        <x:v>PENDING</x:v>
      </x:c>
      <x:c r="F8586" s="1" t="str">
        <x:v>Late delivery</x:v>
      </x:c>
      <x:c r="G8586" s="6" t="n">
        <x:v>5</x:v>
      </x:c>
      <x:c r="H8586" s="6" t="n">
        <x:v>4</x:v>
      </x:c>
      <x:c r="I8586" s="6" t="n">
        <x:f>G8586-H8586</x:f>
        <x:v>1</x:v>
      </x:c>
      <x:c r="J8586" s="6" t="n">
        <x:f>IF(OR(E8586="CANCELED",E8586="SUSPECTED_FRAUD",F8586="Shipping canceled"),0,1)</x:f>
        <x:v>1</x:v>
      </x:c>
      <x:c r="K8586" s="6" t="n">
        <x:f>IF(G8586&gt;H8586,1,0)</x:f>
        <x:v>1</x:v>
      </x:c>
      <x:c r="L8586" s="6" t="n">
        <x:f>J8586*K8586</x:f>
        <x:v>1</x:v>
      </x:c>
    </x:row>
    <x:row r="8587">
      <x:c r="A8587" s="1" t="n">
        <x:v>68592</x:v>
      </x:c>
      <x:c r="B8587" s="5" t="d">
        <x:v>2017-09-28T00:00:00.000Z</x:v>
      </x:c>
      <x:c r="C8587" s="1" t="str">
        <x:v>Standard Class</x:v>
      </x:c>
      <x:c r="D8587" s="1" t="str">
        <x:v>Europe</x:v>
      </x:c>
      <x:c r="E8587" s="1" t="str">
        <x:v>COMPLETE</x:v>
      </x:c>
      <x:c r="F8587" s="1" t="str">
        <x:v>Advance shipping</x:v>
      </x:c>
      <x:c r="G8587" s="6" t="n">
        <x:v>3</x:v>
      </x:c>
      <x:c r="H8587" s="6" t="n">
        <x:v>4</x:v>
      </x:c>
      <x:c r="I8587" s="6" t="n">
        <x:f>G8587-H8587</x:f>
        <x:v>-1</x:v>
      </x:c>
      <x:c r="J8587" s="6" t="n">
        <x:f>IF(OR(E8587="CANCELED",E8587="SUSPECTED_FRAUD",F8587="Shipping canceled"),0,1)</x:f>
        <x:v>1</x:v>
      </x:c>
      <x:c r="K8587" s="6" t="n">
        <x:f>IF(G8587&gt;H8587,1,0)</x:f>
        <x:v>0</x:v>
      </x:c>
      <x:c r="L8587" s="6" t="n">
        <x:f>J8587*K8587</x:f>
        <x:v>0</x:v>
      </x:c>
    </x:row>
    <x:row r="8588">
      <x:c r="A8588" s="1" t="n">
        <x:v>68594</x:v>
      </x:c>
      <x:c r="B8588" s="5" t="d">
        <x:v>2017-09-28T00:00:00.000Z</x:v>
      </x:c>
      <x:c r="C8588" s="1" t="str">
        <x:v>Second Class</x:v>
      </x:c>
      <x:c r="D8588" s="1" t="str">
        <x:v>Europe</x:v>
      </x:c>
      <x:c r="E8588" s="1" t="str">
        <x:v>COMPLETE</x:v>
      </x:c>
      <x:c r="F8588" s="1" t="str">
        <x:v>Late delivery</x:v>
      </x:c>
      <x:c r="G8588" s="6" t="n">
        <x:v>5</x:v>
      </x:c>
      <x:c r="H8588" s="6" t="n">
        <x:v>2</x:v>
      </x:c>
      <x:c r="I8588" s="6" t="n">
        <x:f>G8588-H8588</x:f>
        <x:v>3</x:v>
      </x:c>
      <x:c r="J8588" s="6" t="n">
        <x:f>IF(OR(E8588="CANCELED",E8588="SUSPECTED_FRAUD",F8588="Shipping canceled"),0,1)</x:f>
        <x:v>1</x:v>
      </x:c>
      <x:c r="K8588" s="6" t="n">
        <x:f>IF(G8588&gt;H8588,1,0)</x:f>
        <x:v>1</x:v>
      </x:c>
      <x:c r="L8588" s="6" t="n">
        <x:f>J8588*K8588</x:f>
        <x:v>1</x:v>
      </x:c>
    </x:row>
    <x:row r="8589">
      <x:c r="A8589" s="1" t="n">
        <x:v>68596</x:v>
      </x:c>
      <x:c r="B8589" s="5" t="d">
        <x:v>2017-09-28T00:00:00.000Z</x:v>
      </x:c>
      <x:c r="C8589" s="1" t="str">
        <x:v>Standard Class</x:v>
      </x:c>
      <x:c r="D8589" s="1" t="str">
        <x:v>Europe</x:v>
      </x:c>
      <x:c r="E8589" s="1" t="str">
        <x:v>ON_HOLD</x:v>
      </x:c>
      <x:c r="F8589" s="1" t="str">
        <x:v>Advance shipping</x:v>
      </x:c>
      <x:c r="G8589" s="6" t="n">
        <x:v>2</x:v>
      </x:c>
      <x:c r="H8589" s="6" t="n">
        <x:v>4</x:v>
      </x:c>
      <x:c r="I8589" s="6" t="n">
        <x:f>G8589-H8589</x:f>
        <x:v>-2</x:v>
      </x:c>
      <x:c r="J8589" s="6" t="n">
        <x:f>IF(OR(E8589="CANCELED",E8589="SUSPECTED_FRAUD",F8589="Shipping canceled"),0,1)</x:f>
        <x:v>1</x:v>
      </x:c>
      <x:c r="K8589" s="6" t="n">
        <x:f>IF(G8589&gt;H8589,1,0)</x:f>
        <x:v>0</x:v>
      </x:c>
      <x:c r="L8589" s="6" t="n">
        <x:f>J8589*K8589</x:f>
        <x:v>0</x:v>
      </x:c>
    </x:row>
    <x:row r="8590">
      <x:c r="A8590" s="1" t="n">
        <x:v>68610</x:v>
      </x:c>
      <x:c r="B8590" s="5" t="d">
        <x:v>2017-09-28T00:00:00.000Z</x:v>
      </x:c>
      <x:c r="C8590" s="1" t="str">
        <x:v>Standard Class</x:v>
      </x:c>
      <x:c r="D8590" s="1" t="str">
        <x:v>Europe</x:v>
      </x:c>
      <x:c r="E8590" s="1" t="str">
        <x:v>ON_HOLD</x:v>
      </x:c>
      <x:c r="F8590" s="1" t="str">
        <x:v>Late delivery</x:v>
      </x:c>
      <x:c r="G8590" s="6" t="n">
        <x:v>6</x:v>
      </x:c>
      <x:c r="H8590" s="6" t="n">
        <x:v>4</x:v>
      </x:c>
      <x:c r="I8590" s="6" t="n">
        <x:f>G8590-H8590</x:f>
        <x:v>2</x:v>
      </x:c>
      <x:c r="J8590" s="6" t="n">
        <x:f>IF(OR(E8590="CANCELED",E8590="SUSPECTED_FRAUD",F8590="Shipping canceled"),0,1)</x:f>
        <x:v>1</x:v>
      </x:c>
      <x:c r="K8590" s="6" t="n">
        <x:f>IF(G8590&gt;H8590,1,0)</x:f>
        <x:v>1</x:v>
      </x:c>
      <x:c r="L8590" s="6" t="n">
        <x:f>J8590*K8590</x:f>
        <x:v>1</x:v>
      </x:c>
    </x:row>
    <x:row r="8591">
      <x:c r="A8591" s="1" t="n">
        <x:v>68612</x:v>
      </x:c>
      <x:c r="B8591" s="5" t="d">
        <x:v>2017-09-28T00:00:00.000Z</x:v>
      </x:c>
      <x:c r="C8591" s="1" t="str">
        <x:v>Standard Class</x:v>
      </x:c>
      <x:c r="D8591" s="1" t="str">
        <x:v>Europe</x:v>
      </x:c>
      <x:c r="E8591" s="1" t="str">
        <x:v>COMPLETE</x:v>
      </x:c>
      <x:c r="F8591" s="1" t="str">
        <x:v>Advance shipping</x:v>
      </x:c>
      <x:c r="G8591" s="6" t="n">
        <x:v>3</x:v>
      </x:c>
      <x:c r="H8591" s="6" t="n">
        <x:v>4</x:v>
      </x:c>
      <x:c r="I8591" s="6" t="n">
        <x:f>G8591-H8591</x:f>
        <x:v>-1</x:v>
      </x:c>
      <x:c r="J8591" s="6" t="n">
        <x:f>IF(OR(E8591="CANCELED",E8591="SUSPECTED_FRAUD",F8591="Shipping canceled"),0,1)</x:f>
        <x:v>1</x:v>
      </x:c>
      <x:c r="K8591" s="6" t="n">
        <x:f>IF(G8591&gt;H8591,1,0)</x:f>
        <x:v>0</x:v>
      </x:c>
      <x:c r="L8591" s="6" t="n">
        <x:f>J8591*K8591</x:f>
        <x:v>0</x:v>
      </x:c>
    </x:row>
    <x:row r="8592">
      <x:c r="A8592" s="1" t="n">
        <x:v>68613</x:v>
      </x:c>
      <x:c r="B8592" s="5" t="d">
        <x:v>2017-09-28T00:00:00.000Z</x:v>
      </x:c>
      <x:c r="C8592" s="1" t="str">
        <x:v>Standard Class</x:v>
      </x:c>
      <x:c r="D8592" s="1" t="str">
        <x:v>Europe</x:v>
      </x:c>
      <x:c r="E8592" s="1" t="str">
        <x:v>PROCESSING</x:v>
      </x:c>
      <x:c r="F8592" s="1" t="str">
        <x:v>Shipping on time</x:v>
      </x:c>
      <x:c r="G8592" s="6" t="n">
        <x:v>4</x:v>
      </x:c>
      <x:c r="H8592" s="6" t="n">
        <x:v>4</x:v>
      </x:c>
      <x:c r="I8592" s="6" t="n">
        <x:f>G8592-H8592</x:f>
        <x:v>0</x:v>
      </x:c>
      <x:c r="J8592" s="6" t="n">
        <x:f>IF(OR(E8592="CANCELED",E8592="SUSPECTED_FRAUD",F8592="Shipping canceled"),0,1)</x:f>
        <x:v>1</x:v>
      </x:c>
      <x:c r="K8592" s="6" t="n">
        <x:f>IF(G8592&gt;H8592,1,0)</x:f>
        <x:v>0</x:v>
      </x:c>
      <x:c r="L8592" s="6" t="n">
        <x:f>J8592*K8592</x:f>
        <x:v>0</x:v>
      </x:c>
    </x:row>
    <x:row r="8593">
      <x:c r="A8593" s="1" t="n">
        <x:v>68623</x:v>
      </x:c>
      <x:c r="B8593" s="5" t="d">
        <x:v>2017-09-28T00:00:00.000Z</x:v>
      </x:c>
      <x:c r="C8593" s="1" t="str">
        <x:v>Standard Class</x:v>
      </x:c>
      <x:c r="D8593" s="1" t="str">
        <x:v>Europe</x:v>
      </x:c>
      <x:c r="E8593" s="1" t="str">
        <x:v>COMPLETE</x:v>
      </x:c>
      <x:c r="F8593" s="1" t="str">
        <x:v>Shipping on time</x:v>
      </x:c>
      <x:c r="G8593" s="6" t="n">
        <x:v>4</x:v>
      </x:c>
      <x:c r="H8593" s="6" t="n">
        <x:v>4</x:v>
      </x:c>
      <x:c r="I8593" s="6" t="n">
        <x:f>G8593-H8593</x:f>
        <x:v>0</x:v>
      </x:c>
      <x:c r="J8593" s="6" t="n">
        <x:f>IF(OR(E8593="CANCELED",E8593="SUSPECTED_FRAUD",F8593="Shipping canceled"),0,1)</x:f>
        <x:v>1</x:v>
      </x:c>
      <x:c r="K8593" s="6" t="n">
        <x:f>IF(G8593&gt;H8593,1,0)</x:f>
        <x:v>0</x:v>
      </x:c>
      <x:c r="L8593" s="6" t="n">
        <x:f>J8593*K8593</x:f>
        <x:v>0</x:v>
      </x:c>
    </x:row>
    <x:row r="8594">
      <x:c r="A8594" s="1" t="n">
        <x:v>68628</x:v>
      </x:c>
      <x:c r="B8594" s="5" t="d">
        <x:v>2017-09-28T00:00:00.000Z</x:v>
      </x:c>
      <x:c r="C8594" s="1" t="str">
        <x:v>Standard Class</x:v>
      </x:c>
      <x:c r="D8594" s="1" t="str">
        <x:v>Europe</x:v>
      </x:c>
      <x:c r="E8594" s="1" t="str">
        <x:v>PENDING</x:v>
      </x:c>
      <x:c r="F8594" s="1" t="str">
        <x:v>Shipping on time</x:v>
      </x:c>
      <x:c r="G8594" s="6" t="n">
        <x:v>4</x:v>
      </x:c>
      <x:c r="H8594" s="6" t="n">
        <x:v>4</x:v>
      </x:c>
      <x:c r="I8594" s="6" t="n">
        <x:f>G8594-H8594</x:f>
        <x:v>0</x:v>
      </x:c>
      <x:c r="J8594" s="6" t="n">
        <x:f>IF(OR(E8594="CANCELED",E8594="SUSPECTED_FRAUD",F8594="Shipping canceled"),0,1)</x:f>
        <x:v>1</x:v>
      </x:c>
      <x:c r="K8594" s="6" t="n">
        <x:f>IF(G8594&gt;H8594,1,0)</x:f>
        <x:v>0</x:v>
      </x:c>
      <x:c r="L8594" s="6" t="n">
        <x:f>J8594*K8594</x:f>
        <x:v>0</x:v>
      </x:c>
    </x:row>
    <x:row r="8595">
      <x:c r="A8595" s="1" t="n">
        <x:v>68632</x:v>
      </x:c>
      <x:c r="B8595" s="5" t="d">
        <x:v>2017-09-28T00:00:00.000Z</x:v>
      </x:c>
      <x:c r="C8595" s="1" t="str">
        <x:v>First Class</x:v>
      </x:c>
      <x:c r="D8595" s="1" t="str">
        <x:v>Europe</x:v>
      </x:c>
      <x:c r="E8595" s="1" t="str">
        <x:v>CLOSED</x:v>
      </x:c>
      <x:c r="F8595" s="1" t="str">
        <x:v>Late delivery</x:v>
      </x:c>
      <x:c r="G8595" s="6" t="n">
        <x:v>2</x:v>
      </x:c>
      <x:c r="H8595" s="6" t="n">
        <x:v>1</x:v>
      </x:c>
      <x:c r="I8595" s="6" t="n">
        <x:f>G8595-H8595</x:f>
        <x:v>1</x:v>
      </x:c>
      <x:c r="J8595" s="6" t="n">
        <x:f>IF(OR(E8595="CANCELED",E8595="SUSPECTED_FRAUD",F8595="Shipping canceled"),0,1)</x:f>
        <x:v>1</x:v>
      </x:c>
      <x:c r="K8595" s="6" t="n">
        <x:f>IF(G8595&gt;H8595,1,0)</x:f>
        <x:v>1</x:v>
      </x:c>
      <x:c r="L8595" s="6" t="n">
        <x:f>J8595*K8595</x:f>
        <x:v>1</x:v>
      </x:c>
    </x:row>
    <x:row r="8596">
      <x:c r="A8596" s="1" t="n">
        <x:v>68638</x:v>
      </x:c>
      <x:c r="B8596" s="5" t="d">
        <x:v>2017-09-28T00:00:00.000Z</x:v>
      </x:c>
      <x:c r="C8596" s="1" t="str">
        <x:v>Standard Class</x:v>
      </x:c>
      <x:c r="D8596" s="1" t="str">
        <x:v>Europe</x:v>
      </x:c>
      <x:c r="E8596" s="1" t="str">
        <x:v>COMPLETE</x:v>
      </x:c>
      <x:c r="F8596" s="1" t="str">
        <x:v>Shipping on time</x:v>
      </x:c>
      <x:c r="G8596" s="6" t="n">
        <x:v>4</x:v>
      </x:c>
      <x:c r="H8596" s="6" t="n">
        <x:v>4</x:v>
      </x:c>
      <x:c r="I8596" s="6" t="n">
        <x:f>G8596-H8596</x:f>
        <x:v>0</x:v>
      </x:c>
      <x:c r="J8596" s="6" t="n">
        <x:f>IF(OR(E8596="CANCELED",E8596="SUSPECTED_FRAUD",F8596="Shipping canceled"),0,1)</x:f>
        <x:v>1</x:v>
      </x:c>
      <x:c r="K8596" s="6" t="n">
        <x:f>IF(G8596&gt;H8596,1,0)</x:f>
        <x:v>0</x:v>
      </x:c>
      <x:c r="L8596" s="6" t="n">
        <x:f>J8596*K8596</x:f>
        <x:v>0</x:v>
      </x:c>
    </x:row>
    <x:row r="8597">
      <x:c r="A8597" s="1" t="n">
        <x:v>68639</x:v>
      </x:c>
      <x:c r="B8597" s="5" t="d">
        <x:v>2017-09-28T00:00:00.000Z</x:v>
      </x:c>
      <x:c r="C8597" s="1" t="str">
        <x:v>Standard Class</x:v>
      </x:c>
      <x:c r="D8597" s="1" t="str">
        <x:v>Europe</x:v>
      </x:c>
      <x:c r="E8597" s="1" t="str">
        <x:v>COMPLETE</x:v>
      </x:c>
      <x:c r="F8597" s="1" t="str">
        <x:v>Late delivery</x:v>
      </x:c>
      <x:c r="G8597" s="6" t="n">
        <x:v>5</x:v>
      </x:c>
      <x:c r="H8597" s="6" t="n">
        <x:v>4</x:v>
      </x:c>
      <x:c r="I8597" s="6" t="n">
        <x:f>G8597-H8597</x:f>
        <x:v>1</x:v>
      </x:c>
      <x:c r="J8597" s="6" t="n">
        <x:f>IF(OR(E8597="CANCELED",E8597="SUSPECTED_FRAUD",F8597="Shipping canceled"),0,1)</x:f>
        <x:v>1</x:v>
      </x:c>
      <x:c r="K8597" s="6" t="n">
        <x:f>IF(G8597&gt;H8597,1,0)</x:f>
        <x:v>1</x:v>
      </x:c>
      <x:c r="L8597" s="6" t="n">
        <x:f>J8597*K8597</x:f>
        <x:v>1</x:v>
      </x:c>
    </x:row>
    <x:row r="8598">
      <x:c r="A8598" s="1" t="n">
        <x:v>68643</x:v>
      </x:c>
      <x:c r="B8598" s="5" t="d">
        <x:v>2017-09-29T00:00:00.000Z</x:v>
      </x:c>
      <x:c r="C8598" s="1" t="str">
        <x:v>Standard Class</x:v>
      </x:c>
      <x:c r="D8598" s="1" t="str">
        <x:v>Europe</x:v>
      </x:c>
      <x:c r="E8598" s="1" t="str">
        <x:v>COMPLETE</x:v>
      </x:c>
      <x:c r="F8598" s="1" t="str">
        <x:v>Shipping on time</x:v>
      </x:c>
      <x:c r="G8598" s="6" t="n">
        <x:v>4</x:v>
      </x:c>
      <x:c r="H8598" s="6" t="n">
        <x:v>4</x:v>
      </x:c>
      <x:c r="I8598" s="6" t="n">
        <x:f>G8598-H8598</x:f>
        <x:v>0</x:v>
      </x:c>
      <x:c r="J8598" s="6" t="n">
        <x:f>IF(OR(E8598="CANCELED",E8598="SUSPECTED_FRAUD",F8598="Shipping canceled"),0,1)</x:f>
        <x:v>1</x:v>
      </x:c>
      <x:c r="K8598" s="6" t="n">
        <x:f>IF(G8598&gt;H8598,1,0)</x:f>
        <x:v>0</x:v>
      </x:c>
      <x:c r="L8598" s="6" t="n">
        <x:f>J8598*K8598</x:f>
        <x:v>0</x:v>
      </x:c>
    </x:row>
    <x:row r="8599">
      <x:c r="A8599" s="1" t="n">
        <x:v>68645</x:v>
      </x:c>
      <x:c r="B8599" s="5" t="d">
        <x:v>2017-09-29T00:00:00.000Z</x:v>
      </x:c>
      <x:c r="C8599" s="1" t="str">
        <x:v>Standard Class</x:v>
      </x:c>
      <x:c r="D8599" s="1" t="str">
        <x:v>Europe</x:v>
      </x:c>
      <x:c r="E8599" s="1" t="str">
        <x:v>PENDING_PAYMENT</x:v>
      </x:c>
      <x:c r="F8599" s="1" t="str">
        <x:v>Late delivery</x:v>
      </x:c>
      <x:c r="G8599" s="6" t="n">
        <x:v>6</x:v>
      </x:c>
      <x:c r="H8599" s="6" t="n">
        <x:v>4</x:v>
      </x:c>
      <x:c r="I8599" s="6" t="n">
        <x:f>G8599-H8599</x:f>
        <x:v>2</x:v>
      </x:c>
      <x:c r="J8599" s="6" t="n">
        <x:f>IF(OR(E8599="CANCELED",E8599="SUSPECTED_FRAUD",F8599="Shipping canceled"),0,1)</x:f>
        <x:v>1</x:v>
      </x:c>
      <x:c r="K8599" s="6" t="n">
        <x:f>IF(G8599&gt;H8599,1,0)</x:f>
        <x:v>1</x:v>
      </x:c>
      <x:c r="L8599" s="6" t="n">
        <x:f>J8599*K8599</x:f>
        <x:v>1</x:v>
      </x:c>
    </x:row>
    <x:row r="8600">
      <x:c r="A8600" s="1" t="n">
        <x:v>68647</x:v>
      </x:c>
      <x:c r="B8600" s="5" t="d">
        <x:v>2017-09-29T00:00:00.000Z</x:v>
      </x:c>
      <x:c r="C8600" s="1" t="str">
        <x:v>Standard Class</x:v>
      </x:c>
      <x:c r="D8600" s="1" t="str">
        <x:v>Europe</x:v>
      </x:c>
      <x:c r="E8600" s="1" t="str">
        <x:v>COMPLETE</x:v>
      </x:c>
      <x:c r="F8600" s="1" t="str">
        <x:v>Advance shipping</x:v>
      </x:c>
      <x:c r="G8600" s="6" t="n">
        <x:v>3</x:v>
      </x:c>
      <x:c r="H8600" s="6" t="n">
        <x:v>4</x:v>
      </x:c>
      <x:c r="I8600" s="6" t="n">
        <x:f>G8600-H8600</x:f>
        <x:v>-1</x:v>
      </x:c>
      <x:c r="J8600" s="6" t="n">
        <x:f>IF(OR(E8600="CANCELED",E8600="SUSPECTED_FRAUD",F8600="Shipping canceled"),0,1)</x:f>
        <x:v>1</x:v>
      </x:c>
      <x:c r="K8600" s="6" t="n">
        <x:f>IF(G8600&gt;H8600,1,0)</x:f>
        <x:v>0</x:v>
      </x:c>
      <x:c r="L8600" s="6" t="n">
        <x:f>J8600*K8600</x:f>
        <x:v>0</x:v>
      </x:c>
    </x:row>
    <x:row r="8601">
      <x:c r="A8601" s="1" t="n">
        <x:v>68651</x:v>
      </x:c>
      <x:c r="B8601" s="5" t="d">
        <x:v>2017-09-29T00:00:00.000Z</x:v>
      </x:c>
      <x:c r="C8601" s="1" t="str">
        <x:v>Standard Class</x:v>
      </x:c>
      <x:c r="D8601" s="1" t="str">
        <x:v>Europe</x:v>
      </x:c>
      <x:c r="E8601" s="1" t="str">
        <x:v>PENDING</x:v>
      </x:c>
      <x:c r="F8601" s="1" t="str">
        <x:v>Advance shipping</x:v>
      </x:c>
      <x:c r="G8601" s="6" t="n">
        <x:v>2</x:v>
      </x:c>
      <x:c r="H8601" s="6" t="n">
        <x:v>4</x:v>
      </x:c>
      <x:c r="I8601" s="6" t="n">
        <x:f>G8601-H8601</x:f>
        <x:v>-2</x:v>
      </x:c>
      <x:c r="J8601" s="6" t="n">
        <x:f>IF(OR(E8601="CANCELED",E8601="SUSPECTED_FRAUD",F8601="Shipping canceled"),0,1)</x:f>
        <x:v>1</x:v>
      </x:c>
      <x:c r="K8601" s="6" t="n">
        <x:f>IF(G8601&gt;H8601,1,0)</x:f>
        <x:v>0</x:v>
      </x:c>
      <x:c r="L8601" s="6" t="n">
        <x:f>J8601*K8601</x:f>
        <x:v>0</x:v>
      </x:c>
    </x:row>
    <x:row r="8602">
      <x:c r="A8602" s="1" t="n">
        <x:v>68652</x:v>
      </x:c>
      <x:c r="B8602" s="5" t="d">
        <x:v>2017-09-29T00:00:00.000Z</x:v>
      </x:c>
      <x:c r="C8602" s="1" t="str">
        <x:v>Standard Class</x:v>
      </x:c>
      <x:c r="D8602" s="1" t="str">
        <x:v>Europe</x:v>
      </x:c>
      <x:c r="E8602" s="1" t="str">
        <x:v>COMPLETE</x:v>
      </x:c>
      <x:c r="F8602" s="1" t="str">
        <x:v>Advance shipping</x:v>
      </x:c>
      <x:c r="G8602" s="6" t="n">
        <x:v>3</x:v>
      </x:c>
      <x:c r="H8602" s="6" t="n">
        <x:v>4</x:v>
      </x:c>
      <x:c r="I8602" s="6" t="n">
        <x:f>G8602-H8602</x:f>
        <x:v>-1</x:v>
      </x:c>
      <x:c r="J8602" s="6" t="n">
        <x:f>IF(OR(E8602="CANCELED",E8602="SUSPECTED_FRAUD",F8602="Shipping canceled"),0,1)</x:f>
        <x:v>1</x:v>
      </x:c>
      <x:c r="K8602" s="6" t="n">
        <x:f>IF(G8602&gt;H8602,1,0)</x:f>
        <x:v>0</x:v>
      </x:c>
      <x:c r="L8602" s="6" t="n">
        <x:f>J8602*K8602</x:f>
        <x:v>0</x:v>
      </x:c>
    </x:row>
    <x:row r="8603">
      <x:c r="A8603" s="1" t="n">
        <x:v>68675</x:v>
      </x:c>
      <x:c r="B8603" s="5" t="d">
        <x:v>2017-09-29T00:00:00.000Z</x:v>
      </x:c>
      <x:c r="C8603" s="1" t="str">
        <x:v>Standard Class</x:v>
      </x:c>
      <x:c r="D8603" s="1" t="str">
        <x:v>Europe</x:v>
      </x:c>
      <x:c r="E8603" s="1" t="str">
        <x:v>CLOSED</x:v>
      </x:c>
      <x:c r="F8603" s="1" t="str">
        <x:v>Late delivery</x:v>
      </x:c>
      <x:c r="G8603" s="6" t="n">
        <x:v>6</x:v>
      </x:c>
      <x:c r="H8603" s="6" t="n">
        <x:v>4</x:v>
      </x:c>
      <x:c r="I8603" s="6" t="n">
        <x:f>G8603-H8603</x:f>
        <x:v>2</x:v>
      </x:c>
      <x:c r="J8603" s="6" t="n">
        <x:f>IF(OR(E8603="CANCELED",E8603="SUSPECTED_FRAUD",F8603="Shipping canceled"),0,1)</x:f>
        <x:v>1</x:v>
      </x:c>
      <x:c r="K8603" s="6" t="n">
        <x:f>IF(G8603&gt;H8603,1,0)</x:f>
        <x:v>1</x:v>
      </x:c>
      <x:c r="L8603" s="6" t="n">
        <x:f>J8603*K8603</x:f>
        <x:v>1</x:v>
      </x:c>
    </x:row>
    <x:row r="8604">
      <x:c r="A8604" s="1" t="n">
        <x:v>68677</x:v>
      </x:c>
      <x:c r="B8604" s="5" t="d">
        <x:v>2017-09-29T00:00:00.000Z</x:v>
      </x:c>
      <x:c r="C8604" s="1" t="str">
        <x:v>Standard Class</x:v>
      </x:c>
      <x:c r="D8604" s="1" t="str">
        <x:v>Europe</x:v>
      </x:c>
      <x:c r="E8604" s="1" t="str">
        <x:v>COMPLETE</x:v>
      </x:c>
      <x:c r="F8604" s="1" t="str">
        <x:v>Advance shipping</x:v>
      </x:c>
      <x:c r="G8604" s="6" t="n">
        <x:v>3</x:v>
      </x:c>
      <x:c r="H8604" s="6" t="n">
        <x:v>4</x:v>
      </x:c>
      <x:c r="I8604" s="6" t="n">
        <x:f>G8604-H8604</x:f>
        <x:v>-1</x:v>
      </x:c>
      <x:c r="J8604" s="6" t="n">
        <x:f>IF(OR(E8604="CANCELED",E8604="SUSPECTED_FRAUD",F8604="Shipping canceled"),0,1)</x:f>
        <x:v>1</x:v>
      </x:c>
      <x:c r="K8604" s="6" t="n">
        <x:f>IF(G8604&gt;H8604,1,0)</x:f>
        <x:v>0</x:v>
      </x:c>
      <x:c r="L8604" s="6" t="n">
        <x:f>J8604*K8604</x:f>
        <x:v>0</x:v>
      </x:c>
    </x:row>
    <x:row r="8605">
      <x:c r="A8605" s="1" t="n">
        <x:v>68700</x:v>
      </x:c>
      <x:c r="B8605" s="5" t="d">
        <x:v>2017-09-29T00:00:00.000Z</x:v>
      </x:c>
      <x:c r="C8605" s="1" t="str">
        <x:v>Standard Class</x:v>
      </x:c>
      <x:c r="D8605" s="1" t="str">
        <x:v>Europe</x:v>
      </x:c>
      <x:c r="E8605" s="1" t="str">
        <x:v>PROCESSING</x:v>
      </x:c>
      <x:c r="F8605" s="1" t="str">
        <x:v>Late delivery</x:v>
      </x:c>
      <x:c r="G8605" s="6" t="n">
        <x:v>6</x:v>
      </x:c>
      <x:c r="H8605" s="6" t="n">
        <x:v>4</x:v>
      </x:c>
      <x:c r="I8605" s="6" t="n">
        <x:f>G8605-H8605</x:f>
        <x:v>2</x:v>
      </x:c>
      <x:c r="J8605" s="6" t="n">
        <x:f>IF(OR(E8605="CANCELED",E8605="SUSPECTED_FRAUD",F8605="Shipping canceled"),0,1)</x:f>
        <x:v>1</x:v>
      </x:c>
      <x:c r="K8605" s="6" t="n">
        <x:f>IF(G8605&gt;H8605,1,0)</x:f>
        <x:v>1</x:v>
      </x:c>
      <x:c r="L8605" s="6" t="n">
        <x:f>J8605*K8605</x:f>
        <x:v>1</x:v>
      </x:c>
    </x:row>
    <x:row r="8606">
      <x:c r="A8606" s="1" t="n">
        <x:v>68703</x:v>
      </x:c>
      <x:c r="B8606" s="5" t="d">
        <x:v>2017-09-29T00:00:00.000Z</x:v>
      </x:c>
      <x:c r="C8606" s="1" t="str">
        <x:v>Standard Class</x:v>
      </x:c>
      <x:c r="D8606" s="1" t="str">
        <x:v>Europe</x:v>
      </x:c>
      <x:c r="E8606" s="1" t="str">
        <x:v>COMPLETE</x:v>
      </x:c>
      <x:c r="F8606" s="1" t="str">
        <x:v>Shipping on time</x:v>
      </x:c>
      <x:c r="G8606" s="6" t="n">
        <x:v>4</x:v>
      </x:c>
      <x:c r="H8606" s="6" t="n">
        <x:v>4</x:v>
      </x:c>
      <x:c r="I8606" s="6" t="n">
        <x:f>G8606-H8606</x:f>
        <x:v>0</x:v>
      </x:c>
      <x:c r="J8606" s="6" t="n">
        <x:f>IF(OR(E8606="CANCELED",E8606="SUSPECTED_FRAUD",F8606="Shipping canceled"),0,1)</x:f>
        <x:v>1</x:v>
      </x:c>
      <x:c r="K8606" s="6" t="n">
        <x:f>IF(G8606&gt;H8606,1,0)</x:f>
        <x:v>0</x:v>
      </x:c>
      <x:c r="L8606" s="6" t="n">
        <x:f>J8606*K8606</x:f>
        <x:v>0</x:v>
      </x:c>
    </x:row>
    <x:row r="8607">
      <x:c r="A8607" s="1" t="n">
        <x:v>68722</x:v>
      </x:c>
      <x:c r="B8607" s="5" t="d">
        <x:v>2017-09-30T00:00:00.000Z</x:v>
      </x:c>
      <x:c r="C8607" s="1" t="str">
        <x:v>Standard Class</x:v>
      </x:c>
      <x:c r="D8607" s="1" t="str">
        <x:v>Europe</x:v>
      </x:c>
      <x:c r="E8607" s="1" t="str">
        <x:v>ON_HOLD</x:v>
      </x:c>
      <x:c r="F8607" s="1" t="str">
        <x:v>Advance shipping</x:v>
      </x:c>
      <x:c r="G8607" s="6" t="n">
        <x:v>3</x:v>
      </x:c>
      <x:c r="H8607" s="6" t="n">
        <x:v>4</x:v>
      </x:c>
      <x:c r="I8607" s="6" t="n">
        <x:f>G8607-H8607</x:f>
        <x:v>-1</x:v>
      </x:c>
      <x:c r="J8607" s="6" t="n">
        <x:f>IF(OR(E8607="CANCELED",E8607="SUSPECTED_FRAUD",F8607="Shipping canceled"),0,1)</x:f>
        <x:v>1</x:v>
      </x:c>
      <x:c r="K8607" s="6" t="n">
        <x:f>IF(G8607&gt;H8607,1,0)</x:f>
        <x:v>0</x:v>
      </x:c>
      <x:c r="L8607" s="6" t="n">
        <x:f>J8607*K8607</x:f>
        <x:v>0</x:v>
      </x:c>
    </x:row>
    <x:row r="8608">
      <x:c r="A8608" s="1" t="n">
        <x:v>68725</x:v>
      </x:c>
      <x:c r="B8608" s="5" t="d">
        <x:v>2017-09-30T00:00:00.000Z</x:v>
      </x:c>
      <x:c r="C8608" s="1" t="str">
        <x:v>Standard Class</x:v>
      </x:c>
      <x:c r="D8608" s="1" t="str">
        <x:v>Europe</x:v>
      </x:c>
      <x:c r="E8608" s="1" t="str">
        <x:v>PROCESSING</x:v>
      </x:c>
      <x:c r="F8608" s="1" t="str">
        <x:v>Late delivery</x:v>
      </x:c>
      <x:c r="G8608" s="6" t="n">
        <x:v>6</x:v>
      </x:c>
      <x:c r="H8608" s="6" t="n">
        <x:v>4</x:v>
      </x:c>
      <x:c r="I8608" s="6" t="n">
        <x:f>G8608-H8608</x:f>
        <x:v>2</x:v>
      </x:c>
      <x:c r="J8608" s="6" t="n">
        <x:f>IF(OR(E8608="CANCELED",E8608="SUSPECTED_FRAUD",F8608="Shipping canceled"),0,1)</x:f>
        <x:v>1</x:v>
      </x:c>
      <x:c r="K8608" s="6" t="n">
        <x:f>IF(G8608&gt;H8608,1,0)</x:f>
        <x:v>1</x:v>
      </x:c>
      <x:c r="L8608" s="6" t="n">
        <x:f>J8608*K8608</x:f>
        <x:v>1</x:v>
      </x:c>
    </x:row>
    <x:row r="8609">
      <x:c r="A8609" s="1" t="n">
        <x:v>68738</x:v>
      </x:c>
      <x:c r="B8609" s="5" t="d">
        <x:v>2017-09-30T00:00:00.000Z</x:v>
      </x:c>
      <x:c r="C8609" s="1" t="str">
        <x:v>Standard Class</x:v>
      </x:c>
      <x:c r="D8609" s="1" t="str">
        <x:v>Europe</x:v>
      </x:c>
      <x:c r="E8609" s="1" t="str">
        <x:v>COMPLETE</x:v>
      </x:c>
      <x:c r="F8609" s="1" t="str">
        <x:v>Shipping on time</x:v>
      </x:c>
      <x:c r="G8609" s="6" t="n">
        <x:v>4</x:v>
      </x:c>
      <x:c r="H8609" s="6" t="n">
        <x:v>4</x:v>
      </x:c>
      <x:c r="I8609" s="6" t="n">
        <x:f>G8609-H8609</x:f>
        <x:v>0</x:v>
      </x:c>
      <x:c r="J8609" s="6" t="n">
        <x:f>IF(OR(E8609="CANCELED",E8609="SUSPECTED_FRAUD",F8609="Shipping canceled"),0,1)</x:f>
        <x:v>1</x:v>
      </x:c>
      <x:c r="K8609" s="6" t="n">
        <x:f>IF(G8609&gt;H8609,1,0)</x:f>
        <x:v>0</x:v>
      </x:c>
      <x:c r="L8609" s="6" t="n">
        <x:f>J8609*K8609</x:f>
        <x:v>0</x:v>
      </x:c>
    </x:row>
    <x:row r="8610">
      <x:c r="A8610" s="1" t="n">
        <x:v>68742</x:v>
      </x:c>
      <x:c r="B8610" s="5" t="d">
        <x:v>2017-09-30T00:00:00.000Z</x:v>
      </x:c>
      <x:c r="C8610" s="1" t="str">
        <x:v>Standard Class</x:v>
      </x:c>
      <x:c r="D8610" s="1" t="str">
        <x:v>Europe</x:v>
      </x:c>
      <x:c r="E8610" s="1" t="str">
        <x:v>COMPLETE</x:v>
      </x:c>
      <x:c r="F8610" s="1" t="str">
        <x:v>Advance shipping</x:v>
      </x:c>
      <x:c r="G8610" s="6" t="n">
        <x:v>3</x:v>
      </x:c>
      <x:c r="H8610" s="6" t="n">
        <x:v>4</x:v>
      </x:c>
      <x:c r="I8610" s="6" t="n">
        <x:f>G8610-H8610</x:f>
        <x:v>-1</x:v>
      </x:c>
      <x:c r="J8610" s="6" t="n">
        <x:f>IF(OR(E8610="CANCELED",E8610="SUSPECTED_FRAUD",F8610="Shipping canceled"),0,1)</x:f>
        <x:v>1</x:v>
      </x:c>
      <x:c r="K8610" s="6" t="n">
        <x:f>IF(G8610&gt;H8610,1,0)</x:f>
        <x:v>0</x:v>
      </x:c>
      <x:c r="L8610" s="6" t="n">
        <x:f>J8610*K8610</x:f>
        <x:v>0</x:v>
      </x:c>
    </x:row>
    <x:row r="8611">
      <x:c r="A8611" s="1" t="n">
        <x:v>68744</x:v>
      </x:c>
      <x:c r="B8611" s="5" t="d">
        <x:v>2017-09-30T00:00:00.000Z</x:v>
      </x:c>
      <x:c r="C8611" s="1" t="str">
        <x:v>Standard Class</x:v>
      </x:c>
      <x:c r="D8611" s="1" t="str">
        <x:v>Europe</x:v>
      </x:c>
      <x:c r="E8611" s="1" t="str">
        <x:v>PROCESSING</x:v>
      </x:c>
      <x:c r="F8611" s="1" t="str">
        <x:v>Late delivery</x:v>
      </x:c>
      <x:c r="G8611" s="6" t="n">
        <x:v>5</x:v>
      </x:c>
      <x:c r="H8611" s="6" t="n">
        <x:v>4</x:v>
      </x:c>
      <x:c r="I8611" s="6" t="n">
        <x:f>G8611-H8611</x:f>
        <x:v>1</x:v>
      </x:c>
      <x:c r="J8611" s="6" t="n">
        <x:f>IF(OR(E8611="CANCELED",E8611="SUSPECTED_FRAUD",F8611="Shipping canceled"),0,1)</x:f>
        <x:v>1</x:v>
      </x:c>
      <x:c r="K8611" s="6" t="n">
        <x:f>IF(G8611&gt;H8611,1,0)</x:f>
        <x:v>1</x:v>
      </x:c>
      <x:c r="L8611" s="6" t="n">
        <x:f>J8611*K8611</x:f>
        <x:v>1</x:v>
      </x:c>
    </x:row>
    <x:row r="8612">
      <x:c r="A8612" s="1" t="n">
        <x:v>68749</x:v>
      </x:c>
      <x:c r="B8612" s="5" t="d">
        <x:v>2017-09-30T00:00:00.000Z</x:v>
      </x:c>
      <x:c r="C8612" s="1" t="str">
        <x:v>Standard Class</x:v>
      </x:c>
      <x:c r="D8612" s="1" t="str">
        <x:v>Europe</x:v>
      </x:c>
      <x:c r="E8612" s="1" t="str">
        <x:v>PENDING_PAYMENT</x:v>
      </x:c>
      <x:c r="F8612" s="1" t="str">
        <x:v>Late delivery</x:v>
      </x:c>
      <x:c r="G8612" s="6" t="n">
        <x:v>5</x:v>
      </x:c>
      <x:c r="H8612" s="6" t="n">
        <x:v>4</x:v>
      </x:c>
      <x:c r="I8612" s="6" t="n">
        <x:f>G8612-H8612</x:f>
        <x:v>1</x:v>
      </x:c>
      <x:c r="J8612" s="6" t="n">
        <x:f>IF(OR(E8612="CANCELED",E8612="SUSPECTED_FRAUD",F8612="Shipping canceled"),0,1)</x:f>
        <x:v>1</x:v>
      </x:c>
      <x:c r="K8612" s="6" t="n">
        <x:f>IF(G8612&gt;H8612,1,0)</x:f>
        <x:v>1</x:v>
      </x:c>
      <x:c r="L8612" s="6" t="n">
        <x:f>J8612*K8612</x:f>
        <x:v>1</x:v>
      </x:c>
    </x:row>
    <x:row r="8613">
      <x:c r="A8613" s="1" t="n">
        <x:v>68752</x:v>
      </x:c>
      <x:c r="B8613" s="5" t="d">
        <x:v>2017-09-30T00:00:00.000Z</x:v>
      </x:c>
      <x:c r="C8613" s="1" t="str">
        <x:v>First Class</x:v>
      </x:c>
      <x:c r="D8613" s="1" t="str">
        <x:v>Europe</x:v>
      </x:c>
      <x:c r="E8613" s="1" t="str">
        <x:v>PENDING_PAYMENT</x:v>
      </x:c>
      <x:c r="F8613" s="1" t="str">
        <x:v>Late delivery</x:v>
      </x:c>
      <x:c r="G8613" s="6" t="n">
        <x:v>2</x:v>
      </x:c>
      <x:c r="H8613" s="6" t="n">
        <x:v>1</x:v>
      </x:c>
      <x:c r="I8613" s="6" t="n">
        <x:f>G8613-H8613</x:f>
        <x:v>1</x:v>
      </x:c>
      <x:c r="J8613" s="6" t="n">
        <x:f>IF(OR(E8613="CANCELED",E8613="SUSPECTED_FRAUD",F8613="Shipping canceled"),0,1)</x:f>
        <x:v>1</x:v>
      </x:c>
      <x:c r="K8613" s="6" t="n">
        <x:f>IF(G8613&gt;H8613,1,0)</x:f>
        <x:v>1</x:v>
      </x:c>
      <x:c r="L8613" s="6" t="n">
        <x:f>J8613*K8613</x:f>
        <x:v>1</x:v>
      </x:c>
    </x:row>
    <x:row r="8614">
      <x:c r="A8614" s="1" t="n">
        <x:v>68773</x:v>
      </x:c>
      <x:c r="B8614" s="5" t="d">
        <x:v>2017-09-30T00:00:00.000Z</x:v>
      </x:c>
      <x:c r="C8614" s="1" t="str">
        <x:v>First Class</x:v>
      </x:c>
      <x:c r="D8614" s="1" t="str">
        <x:v>Europe</x:v>
      </x:c>
      <x:c r="E8614" s="1" t="str">
        <x:v>CLOSED</x:v>
      </x:c>
      <x:c r="F8614" s="1" t="str">
        <x:v>Late delivery</x:v>
      </x:c>
      <x:c r="G8614" s="6" t="n">
        <x:v>2</x:v>
      </x:c>
      <x:c r="H8614" s="6" t="n">
        <x:v>1</x:v>
      </x:c>
      <x:c r="I8614" s="6" t="n">
        <x:f>G8614-H8614</x:f>
        <x:v>1</x:v>
      </x:c>
      <x:c r="J8614" s="6" t="n">
        <x:f>IF(OR(E8614="CANCELED",E8614="SUSPECTED_FRAUD",F8614="Shipping canceled"),0,1)</x:f>
        <x:v>1</x:v>
      </x:c>
      <x:c r="K8614" s="6" t="n">
        <x:f>IF(G8614&gt;H8614,1,0)</x:f>
        <x:v>1</x:v>
      </x:c>
      <x:c r="L8614" s="6" t="n">
        <x:f>J8614*K8614</x:f>
        <x:v>1</x:v>
      </x:c>
    </x:row>
    <x:row r="8615">
      <x:c r="A8615" s="1" t="n">
        <x:v>68786</x:v>
      </x:c>
      <x:c r="B8615" s="5" t="d">
        <x:v>2017-10-01T00:00:00.000Z</x:v>
      </x:c>
      <x:c r="C8615" s="1" t="str">
        <x:v>Standard Class</x:v>
      </x:c>
      <x:c r="D8615" s="1" t="str">
        <x:v>Europe</x:v>
      </x:c>
      <x:c r="E8615" s="1" t="str">
        <x:v>COMPLETE</x:v>
      </x:c>
      <x:c r="F8615" s="1" t="str">
        <x:v>Advance shipping</x:v>
      </x:c>
      <x:c r="G8615" s="6" t="n">
        <x:v>2</x:v>
      </x:c>
      <x:c r="H8615" s="6" t="n">
        <x:v>4</x:v>
      </x:c>
      <x:c r="I8615" s="6" t="n">
        <x:f>G8615-H8615</x:f>
        <x:v>-2</x:v>
      </x:c>
      <x:c r="J8615" s="6" t="n">
        <x:f>IF(OR(E8615="CANCELED",E8615="SUSPECTED_FRAUD",F8615="Shipping canceled"),0,1)</x:f>
        <x:v>1</x:v>
      </x:c>
      <x:c r="K8615" s="6" t="n">
        <x:f>IF(G8615&gt;H8615,1,0)</x:f>
        <x:v>0</x:v>
      </x:c>
      <x:c r="L8615" s="6" t="n">
        <x:f>J8615*K8615</x:f>
        <x:v>0</x:v>
      </x:c>
    </x:row>
    <x:row r="8616">
      <x:c r="A8616" s="1" t="n">
        <x:v>68791</x:v>
      </x:c>
      <x:c r="B8616" s="5" t="d">
        <x:v>2017-10-01T00:00:00.000Z</x:v>
      </x:c>
      <x:c r="C8616" s="1" t="str">
        <x:v>Standard Class</x:v>
      </x:c>
      <x:c r="D8616" s="1" t="str">
        <x:v>Europe</x:v>
      </x:c>
      <x:c r="E8616" s="1" t="str">
        <x:v>COMPLETE</x:v>
      </x:c>
      <x:c r="F8616" s="1" t="str">
        <x:v>Advance shipping</x:v>
      </x:c>
      <x:c r="G8616" s="6" t="n">
        <x:v>2</x:v>
      </x:c>
      <x:c r="H8616" s="6" t="n">
        <x:v>4</x:v>
      </x:c>
      <x:c r="I8616" s="6" t="n">
        <x:f>G8616-H8616</x:f>
        <x:v>-2</x:v>
      </x:c>
      <x:c r="J8616" s="6" t="n">
        <x:f>IF(OR(E8616="CANCELED",E8616="SUSPECTED_FRAUD",F8616="Shipping canceled"),0,1)</x:f>
        <x:v>1</x:v>
      </x:c>
      <x:c r="K8616" s="6" t="n">
        <x:f>IF(G8616&gt;H8616,1,0)</x:f>
        <x:v>0</x:v>
      </x:c>
      <x:c r="L8616" s="6" t="n">
        <x:f>J8616*K8616</x:f>
        <x:v>0</x:v>
      </x:c>
    </x:row>
    <x:row r="8617">
      <x:c r="A8617" s="1" t="n">
        <x:v>68800</x:v>
      </x:c>
      <x:c r="B8617" s="5" t="d">
        <x:v>2017-10-01T00:00:00.000Z</x:v>
      </x:c>
      <x:c r="C8617" s="1" t="str">
        <x:v>Standard Class</x:v>
      </x:c>
      <x:c r="D8617" s="1" t="str">
        <x:v>Europe</x:v>
      </x:c>
      <x:c r="E8617" s="1" t="str">
        <x:v>PROCESSING</x:v>
      </x:c>
      <x:c r="F8617" s="1" t="str">
        <x:v>Late delivery</x:v>
      </x:c>
      <x:c r="G8617" s="6" t="n">
        <x:v>6</x:v>
      </x:c>
      <x:c r="H8617" s="6" t="n">
        <x:v>4</x:v>
      </x:c>
      <x:c r="I8617" s="6" t="n">
        <x:f>G8617-H8617</x:f>
        <x:v>2</x:v>
      </x:c>
      <x:c r="J8617" s="6" t="n">
        <x:f>IF(OR(E8617="CANCELED",E8617="SUSPECTED_FRAUD",F8617="Shipping canceled"),0,1)</x:f>
        <x:v>1</x:v>
      </x:c>
      <x:c r="K8617" s="6" t="n">
        <x:f>IF(G8617&gt;H8617,1,0)</x:f>
        <x:v>1</x:v>
      </x:c>
      <x:c r="L8617" s="6" t="n">
        <x:f>J8617*K8617</x:f>
        <x:v>1</x:v>
      </x:c>
    </x:row>
    <x:row r="8618">
      <x:c r="A8618" s="1" t="n">
        <x:v>68802</x:v>
      </x:c>
      <x:c r="B8618" s="5" t="d">
        <x:v>2017-10-01T00:00:00.000Z</x:v>
      </x:c>
      <x:c r="C8618" s="1" t="str">
        <x:v>Standard Class</x:v>
      </x:c>
      <x:c r="D8618" s="1" t="str">
        <x:v>Europe</x:v>
      </x:c>
      <x:c r="E8618" s="1" t="str">
        <x:v>COMPLETE</x:v>
      </x:c>
      <x:c r="F8618" s="1" t="str">
        <x:v>Advance shipping</x:v>
      </x:c>
      <x:c r="G8618" s="6" t="n">
        <x:v>3</x:v>
      </x:c>
      <x:c r="H8618" s="6" t="n">
        <x:v>4</x:v>
      </x:c>
      <x:c r="I8618" s="6" t="n">
        <x:f>G8618-H8618</x:f>
        <x:v>-1</x:v>
      </x:c>
      <x:c r="J8618" s="6" t="n">
        <x:f>IF(OR(E8618="CANCELED",E8618="SUSPECTED_FRAUD",F8618="Shipping canceled"),0,1)</x:f>
        <x:v>1</x:v>
      </x:c>
      <x:c r="K8618" s="6" t="n">
        <x:f>IF(G8618&gt;H8618,1,0)</x:f>
        <x:v>0</x:v>
      </x:c>
      <x:c r="L8618" s="6" t="n">
        <x:f>J8618*K8618</x:f>
        <x:v>0</x:v>
      </x:c>
    </x:row>
    <x:row r="8619">
      <x:c r="A8619" s="1" t="n">
        <x:v>68804</x:v>
      </x:c>
      <x:c r="B8619" s="5" t="d">
        <x:v>2017-10-01T00:00:00.000Z</x:v>
      </x:c>
      <x:c r="C8619" s="1" t="str">
        <x:v>Standard Class</x:v>
      </x:c>
      <x:c r="D8619" s="1" t="str">
        <x:v>Europe</x:v>
      </x:c>
      <x:c r="E8619" s="1" t="str">
        <x:v>PROCESSING</x:v>
      </x:c>
      <x:c r="F8619" s="1" t="str">
        <x:v>Late delivery</x:v>
      </x:c>
      <x:c r="G8619" s="6" t="n">
        <x:v>5</x:v>
      </x:c>
      <x:c r="H8619" s="6" t="n">
        <x:v>4</x:v>
      </x:c>
      <x:c r="I8619" s="6" t="n">
        <x:f>G8619-H8619</x:f>
        <x:v>1</x:v>
      </x:c>
      <x:c r="J8619" s="6" t="n">
        <x:f>IF(OR(E8619="CANCELED",E8619="SUSPECTED_FRAUD",F8619="Shipping canceled"),0,1)</x:f>
        <x:v>1</x:v>
      </x:c>
      <x:c r="K8619" s="6" t="n">
        <x:f>IF(G8619&gt;H8619,1,0)</x:f>
        <x:v>1</x:v>
      </x:c>
      <x:c r="L8619" s="6" t="n">
        <x:f>J8619*K8619</x:f>
        <x:v>1</x:v>
      </x:c>
    </x:row>
    <x:row r="8620">
      <x:c r="A8620" s="1" t="n">
        <x:v>68809</x:v>
      </x:c>
      <x:c r="B8620" s="5" t="d">
        <x:v>2017-10-01T00:00:00.000Z</x:v>
      </x:c>
      <x:c r="C8620" s="1" t="str">
        <x:v>Standard Class</x:v>
      </x:c>
      <x:c r="D8620" s="1" t="str">
        <x:v>Europe</x:v>
      </x:c>
      <x:c r="E8620" s="1" t="str">
        <x:v>ON_HOLD</x:v>
      </x:c>
      <x:c r="F8620" s="1" t="str">
        <x:v>Late delivery</x:v>
      </x:c>
      <x:c r="G8620" s="6" t="n">
        <x:v>5</x:v>
      </x:c>
      <x:c r="H8620" s="6" t="n">
        <x:v>4</x:v>
      </x:c>
      <x:c r="I8620" s="6" t="n">
        <x:f>G8620-H8620</x:f>
        <x:v>1</x:v>
      </x:c>
      <x:c r="J8620" s="6" t="n">
        <x:f>IF(OR(E8620="CANCELED",E8620="SUSPECTED_FRAUD",F8620="Shipping canceled"),0,1)</x:f>
        <x:v>1</x:v>
      </x:c>
      <x:c r="K8620" s="6" t="n">
        <x:f>IF(G8620&gt;H8620,1,0)</x:f>
        <x:v>1</x:v>
      </x:c>
      <x:c r="L8620" s="6" t="n">
        <x:f>J8620*K8620</x:f>
        <x:v>1</x:v>
      </x:c>
    </x:row>
    <x:row r="8621">
      <x:c r="A8621" s="1" t="n">
        <x:v>68812</x:v>
      </x:c>
      <x:c r="B8621" s="5" t="d">
        <x:v>2017-10-01T00:00:00.000Z</x:v>
      </x:c>
      <x:c r="C8621" s="1" t="str">
        <x:v>Standard Class</x:v>
      </x:c>
      <x:c r="D8621" s="1" t="str">
        <x:v>Europe</x:v>
      </x:c>
      <x:c r="E8621" s="1" t="str">
        <x:v>PROCESSING</x:v>
      </x:c>
      <x:c r="F8621" s="1" t="str">
        <x:v>Advance shipping</x:v>
      </x:c>
      <x:c r="G8621" s="6" t="n">
        <x:v>3</x:v>
      </x:c>
      <x:c r="H8621" s="6" t="n">
        <x:v>4</x:v>
      </x:c>
      <x:c r="I8621" s="6" t="n">
        <x:f>G8621-H8621</x:f>
        <x:v>-1</x:v>
      </x:c>
      <x:c r="J8621" s="6" t="n">
        <x:f>IF(OR(E8621="CANCELED",E8621="SUSPECTED_FRAUD",F8621="Shipping canceled"),0,1)</x:f>
        <x:v>1</x:v>
      </x:c>
      <x:c r="K8621" s="6" t="n">
        <x:f>IF(G8621&gt;H8621,1,0)</x:f>
        <x:v>0</x:v>
      </x:c>
      <x:c r="L8621" s="6" t="n">
        <x:f>J8621*K8621</x:f>
        <x:v>0</x:v>
      </x:c>
    </x:row>
    <x:row r="8622">
      <x:c r="A8622" s="1" t="n">
        <x:v>68838</x:v>
      </x:c>
      <x:c r="B8622" s="5" t="d">
        <x:v>2017-10-01T00:00:00.000Z</x:v>
      </x:c>
      <x:c r="C8622" s="1" t="str">
        <x:v>Standard Class</x:v>
      </x:c>
      <x:c r="D8622" s="1" t="str">
        <x:v>Europe</x:v>
      </x:c>
      <x:c r="E8622" s="1" t="str">
        <x:v>PENDING</x:v>
      </x:c>
      <x:c r="F8622" s="1" t="str">
        <x:v>Shipping on time</x:v>
      </x:c>
      <x:c r="G8622" s="6" t="n">
        <x:v>4</x:v>
      </x:c>
      <x:c r="H8622" s="6" t="n">
        <x:v>4</x:v>
      </x:c>
      <x:c r="I8622" s="6" t="n">
        <x:f>G8622-H8622</x:f>
        <x:v>0</x:v>
      </x:c>
      <x:c r="J8622" s="6" t="n">
        <x:f>IF(OR(E8622="CANCELED",E8622="SUSPECTED_FRAUD",F8622="Shipping canceled"),0,1)</x:f>
        <x:v>1</x:v>
      </x:c>
      <x:c r="K8622" s="6" t="n">
        <x:f>IF(G8622&gt;H8622,1,0)</x:f>
        <x:v>0</x:v>
      </x:c>
      <x:c r="L8622" s="6" t="n">
        <x:f>J8622*K8622</x:f>
        <x:v>0</x:v>
      </x:c>
    </x:row>
    <x:row r="8623">
      <x:c r="A8623" s="1" t="n">
        <x:v>68845</x:v>
      </x:c>
      <x:c r="B8623" s="5" t="d">
        <x:v>2017-10-01T00:00:00.000Z</x:v>
      </x:c>
      <x:c r="C8623" s="1" t="str">
        <x:v>Standard Class</x:v>
      </x:c>
      <x:c r="D8623" s="1" t="str">
        <x:v>Europe</x:v>
      </x:c>
      <x:c r="E8623" s="1" t="str">
        <x:v>COMPLETE</x:v>
      </x:c>
      <x:c r="F8623" s="1" t="str">
        <x:v>Late delivery</x:v>
      </x:c>
      <x:c r="G8623" s="6" t="n">
        <x:v>6</x:v>
      </x:c>
      <x:c r="H8623" s="6" t="n">
        <x:v>4</x:v>
      </x:c>
      <x:c r="I8623" s="6" t="n">
        <x:f>G8623-H8623</x:f>
        <x:v>2</x:v>
      </x:c>
      <x:c r="J8623" s="6" t="n">
        <x:f>IF(OR(E8623="CANCELED",E8623="SUSPECTED_FRAUD",F8623="Shipping canceled"),0,1)</x:f>
        <x:v>1</x:v>
      </x:c>
      <x:c r="K8623" s="6" t="n">
        <x:f>IF(G8623&gt;H8623,1,0)</x:f>
        <x:v>1</x:v>
      </x:c>
      <x:c r="L8623" s="6" t="n">
        <x:f>J8623*K8623</x:f>
        <x:v>1</x:v>
      </x:c>
    </x:row>
    <x:row r="8624">
      <x:c r="A8624" s="1" t="n">
        <x:v>68871</x:v>
      </x:c>
      <x:c r="B8624" s="5" t="d">
        <x:v>2017-10-02T00:00:00.000Z</x:v>
      </x:c>
      <x:c r="C8624" s="1" t="str">
        <x:v>Standard Class</x:v>
      </x:c>
      <x:c r="D8624" s="1" t="str">
        <x:v>Europe</x:v>
      </x:c>
      <x:c r="E8624" s="1" t="str">
        <x:v>PENDING</x:v>
      </x:c>
      <x:c r="F8624" s="1" t="str">
        <x:v>Advance shipping</x:v>
      </x:c>
      <x:c r="G8624" s="6" t="n">
        <x:v>2</x:v>
      </x:c>
      <x:c r="H8624" s="6" t="n">
        <x:v>4</x:v>
      </x:c>
      <x:c r="I8624" s="6" t="n">
        <x:f>G8624-H8624</x:f>
        <x:v>-2</x:v>
      </x:c>
      <x:c r="J8624" s="6" t="n">
        <x:f>IF(OR(E8624="CANCELED",E8624="SUSPECTED_FRAUD",F8624="Shipping canceled"),0,1)</x:f>
        <x:v>1</x:v>
      </x:c>
      <x:c r="K8624" s="6" t="n">
        <x:f>IF(G8624&gt;H8624,1,0)</x:f>
        <x:v>0</x:v>
      </x:c>
      <x:c r="L8624" s="6" t="n">
        <x:f>J8624*K8624</x:f>
        <x:v>0</x:v>
      </x:c>
    </x:row>
    <x:row r="8625">
      <x:c r="A8625" s="1" t="n">
        <x:v>68879</x:v>
      </x:c>
      <x:c r="B8625" s="5" t="d">
        <x:v>2017-10-02T00:00:00.000Z</x:v>
      </x:c>
      <x:c r="C8625" s="1" t="str">
        <x:v>Second Class</x:v>
      </x:c>
      <x:c r="D8625" s="1" t="str">
        <x:v>Europe</x:v>
      </x:c>
      <x:c r="E8625" s="1" t="str">
        <x:v>COMPLETE</x:v>
      </x:c>
      <x:c r="F8625" s="1" t="str">
        <x:v>Late delivery</x:v>
      </x:c>
      <x:c r="G8625" s="6" t="n">
        <x:v>5</x:v>
      </x:c>
      <x:c r="H8625" s="6" t="n">
        <x:v>2</x:v>
      </x:c>
      <x:c r="I8625" s="6" t="n">
        <x:f>G8625-H8625</x:f>
        <x:v>3</x:v>
      </x:c>
      <x:c r="J8625" s="6" t="n">
        <x:f>IF(OR(E8625="CANCELED",E8625="SUSPECTED_FRAUD",F8625="Shipping canceled"),0,1)</x:f>
        <x:v>1</x:v>
      </x:c>
      <x:c r="K8625" s="6" t="n">
        <x:f>IF(G8625&gt;H8625,1,0)</x:f>
        <x:v>1</x:v>
      </x:c>
      <x:c r="L8625" s="6" t="n">
        <x:f>J8625*K8625</x:f>
        <x:v>1</x:v>
      </x:c>
    </x:row>
    <x:row r="8626">
      <x:c r="A8626" s="1" t="n">
        <x:v>68882</x:v>
      </x:c>
      <x:c r="B8626" s="5" t="d">
        <x:v>2017-10-02T00:00:00.000Z</x:v>
      </x:c>
      <x:c r="C8626" s="1" t="str">
        <x:v>Standard Class</x:v>
      </x:c>
      <x:c r="D8626" s="1" t="str">
        <x:v>Europe</x:v>
      </x:c>
      <x:c r="E8626" s="1" t="str">
        <x:v>ON_HOLD</x:v>
      </x:c>
      <x:c r="F8626" s="1" t="str">
        <x:v>Advance shipping</x:v>
      </x:c>
      <x:c r="G8626" s="6" t="n">
        <x:v>3</x:v>
      </x:c>
      <x:c r="H8626" s="6" t="n">
        <x:v>4</x:v>
      </x:c>
      <x:c r="I8626" s="6" t="n">
        <x:f>G8626-H8626</x:f>
        <x:v>-1</x:v>
      </x:c>
      <x:c r="J8626" s="6" t="n">
        <x:f>IF(OR(E8626="CANCELED",E8626="SUSPECTED_FRAUD",F8626="Shipping canceled"),0,1)</x:f>
        <x:v>1</x:v>
      </x:c>
      <x:c r="K8626" s="6" t="n">
        <x:f>IF(G8626&gt;H8626,1,0)</x:f>
        <x:v>0</x:v>
      </x:c>
      <x:c r="L8626" s="6" t="n">
        <x:f>J8626*K8626</x:f>
        <x:v>0</x:v>
      </x:c>
    </x:row>
    <x:row r="8627">
      <x:c r="A8627" s="1" t="n">
        <x:v>68892</x:v>
      </x:c>
      <x:c r="B8627" s="5" t="d">
        <x:v>2017-10-02T00:00:00.000Z</x:v>
      </x:c>
      <x:c r="C8627" s="1" t="str">
        <x:v>Standard Class</x:v>
      </x:c>
      <x:c r="D8627" s="1" t="str">
        <x:v>Europe</x:v>
      </x:c>
      <x:c r="E8627" s="1" t="str">
        <x:v>PENDING_PAYMENT</x:v>
      </x:c>
      <x:c r="F8627" s="1" t="str">
        <x:v>Advance shipping</x:v>
      </x:c>
      <x:c r="G8627" s="6" t="n">
        <x:v>3</x:v>
      </x:c>
      <x:c r="H8627" s="6" t="n">
        <x:v>4</x:v>
      </x:c>
      <x:c r="I8627" s="6" t="n">
        <x:f>G8627-H8627</x:f>
        <x:v>-1</x:v>
      </x:c>
      <x:c r="J8627" s="6" t="n">
        <x:f>IF(OR(E8627="CANCELED",E8627="SUSPECTED_FRAUD",F8627="Shipping canceled"),0,1)</x:f>
        <x:v>1</x:v>
      </x:c>
      <x:c r="K8627" s="6" t="n">
        <x:f>IF(G8627&gt;H8627,1,0)</x:f>
        <x:v>0</x:v>
      </x:c>
      <x:c r="L8627" s="6" t="n">
        <x:f>J8627*K8627</x:f>
        <x:v>0</x:v>
      </x:c>
    </x:row>
    <x:row r="8628">
      <x:c r="A8628" s="1" t="n">
        <x:v>68904</x:v>
      </x:c>
      <x:c r="B8628" s="5" t="d">
        <x:v>2017-10-02T00:00:00.000Z</x:v>
      </x:c>
      <x:c r="C8628" s="1" t="str">
        <x:v>Standard Class</x:v>
      </x:c>
      <x:c r="D8628" s="1" t="str">
        <x:v>Europe</x:v>
      </x:c>
      <x:c r="E8628" s="1" t="str">
        <x:v>COMPLETE</x:v>
      </x:c>
      <x:c r="F8628" s="1" t="str">
        <x:v>Late delivery</x:v>
      </x:c>
      <x:c r="G8628" s="6" t="n">
        <x:v>5</x:v>
      </x:c>
      <x:c r="H8628" s="6" t="n">
        <x:v>4</x:v>
      </x:c>
      <x:c r="I8628" s="6" t="n">
        <x:f>G8628-H8628</x:f>
        <x:v>1</x:v>
      </x:c>
      <x:c r="J8628" s="6" t="n">
        <x:f>IF(OR(E8628="CANCELED",E8628="SUSPECTED_FRAUD",F8628="Shipping canceled"),0,1)</x:f>
        <x:v>1</x:v>
      </x:c>
      <x:c r="K8628" s="6" t="n">
        <x:f>IF(G8628&gt;H8628,1,0)</x:f>
        <x:v>1</x:v>
      </x:c>
      <x:c r="L8628" s="6" t="n">
        <x:f>J8628*K8628</x:f>
        <x:v>1</x:v>
      </x:c>
    </x:row>
    <x:row r="8629">
      <x:c r="A8629" s="1" t="n">
        <x:v>68915</x:v>
      </x:c>
      <x:c r="B8629" s="5" t="d">
        <x:v>2017-10-02T00:00:00.000Z</x:v>
      </x:c>
      <x:c r="C8629" s="1" t="str">
        <x:v>Standard Class</x:v>
      </x:c>
      <x:c r="D8629" s="1" t="str">
        <x:v>Europe</x:v>
      </x:c>
      <x:c r="E8629" s="1" t="str">
        <x:v>PENDING_PAYMENT</x:v>
      </x:c>
      <x:c r="F8629" s="1" t="str">
        <x:v>Late delivery</x:v>
      </x:c>
      <x:c r="G8629" s="6" t="n">
        <x:v>6</x:v>
      </x:c>
      <x:c r="H8629" s="6" t="n">
        <x:v>4</x:v>
      </x:c>
      <x:c r="I8629" s="6" t="n">
        <x:f>G8629-H8629</x:f>
        <x:v>2</x:v>
      </x:c>
      <x:c r="J8629" s="6" t="n">
        <x:f>IF(OR(E8629="CANCELED",E8629="SUSPECTED_FRAUD",F8629="Shipping canceled"),0,1)</x:f>
        <x:v>1</x:v>
      </x:c>
      <x:c r="K8629" s="6" t="n">
        <x:f>IF(G8629&gt;H8629,1,0)</x:f>
        <x:v>1</x:v>
      </x:c>
      <x:c r="L8629" s="6" t="n">
        <x:f>J8629*K8629</x:f>
        <x:v>1</x:v>
      </x:c>
    </x:row>
    <x:row r="8630">
      <x:c r="A8630" s="1" t="n">
        <x:v>68917</x:v>
      </x:c>
      <x:c r="B8630" s="5" t="d">
        <x:v>2017-10-03T00:00:00.000Z</x:v>
      </x:c>
      <x:c r="C8630" s="1" t="str">
        <x:v>Standard Class</x:v>
      </x:c>
      <x:c r="D8630" s="1" t="str">
        <x:v>Europe</x:v>
      </x:c>
      <x:c r="E8630" s="1" t="str">
        <x:v>COMPLETE</x:v>
      </x:c>
      <x:c r="F8630" s="1" t="str">
        <x:v>Advance shipping</x:v>
      </x:c>
      <x:c r="G8630" s="6" t="n">
        <x:v>3</x:v>
      </x:c>
      <x:c r="H8630" s="6" t="n">
        <x:v>4</x:v>
      </x:c>
      <x:c r="I8630" s="6" t="n">
        <x:f>G8630-H8630</x:f>
        <x:v>-1</x:v>
      </x:c>
      <x:c r="J8630" s="6" t="n">
        <x:f>IF(OR(E8630="CANCELED",E8630="SUSPECTED_FRAUD",F8630="Shipping canceled"),0,1)</x:f>
        <x:v>1</x:v>
      </x:c>
      <x:c r="K8630" s="6" t="n">
        <x:f>IF(G8630&gt;H8630,1,0)</x:f>
        <x:v>0</x:v>
      </x:c>
      <x:c r="L8630" s="6" t="n">
        <x:f>J8630*K8630</x:f>
        <x:v>0</x:v>
      </x:c>
    </x:row>
    <x:row r="8631">
      <x:c r="A8631" s="1" t="n">
        <x:v>68919</x:v>
      </x:c>
      <x:c r="B8631" s="5" t="d">
        <x:v>2017-10-03T00:00:00.000Z</x:v>
      </x:c>
      <x:c r="C8631" s="1" t="str">
        <x:v>Second Class</x:v>
      </x:c>
      <x:c r="D8631" s="1" t="str">
        <x:v>Europe</x:v>
      </x:c>
      <x:c r="E8631" s="1" t="str">
        <x:v>CLOSED</x:v>
      </x:c>
      <x:c r="F8631" s="1" t="str">
        <x:v>Late delivery</x:v>
      </x:c>
      <x:c r="G8631" s="6" t="n">
        <x:v>5</x:v>
      </x:c>
      <x:c r="H8631" s="6" t="n">
        <x:v>2</x:v>
      </x:c>
      <x:c r="I8631" s="6" t="n">
        <x:f>G8631-H8631</x:f>
        <x:v>3</x:v>
      </x:c>
      <x:c r="J8631" s="6" t="n">
        <x:f>IF(OR(E8631="CANCELED",E8631="SUSPECTED_FRAUD",F8631="Shipping canceled"),0,1)</x:f>
        <x:v>1</x:v>
      </x:c>
      <x:c r="K8631" s="6" t="n">
        <x:f>IF(G8631&gt;H8631,1,0)</x:f>
        <x:v>1</x:v>
      </x:c>
      <x:c r="L8631" s="6" t="n">
        <x:f>J8631*K8631</x:f>
        <x:v>1</x:v>
      </x:c>
    </x:row>
    <x:row r="8632">
      <x:c r="A8632" s="1" t="n">
        <x:v>68941</x:v>
      </x:c>
      <x:c r="B8632" s="5" t="d">
        <x:v>2017-10-03T00:00:00.000Z</x:v>
      </x:c>
      <x:c r="C8632" s="1" t="str">
        <x:v>Standard Class</x:v>
      </x:c>
      <x:c r="D8632" s="1" t="str">
        <x:v>Europe</x:v>
      </x:c>
      <x:c r="E8632" s="1" t="str">
        <x:v>PENDING_PAYMENT</x:v>
      </x:c>
      <x:c r="F8632" s="1" t="str">
        <x:v>Advance shipping</x:v>
      </x:c>
      <x:c r="G8632" s="6" t="n">
        <x:v>2</x:v>
      </x:c>
      <x:c r="H8632" s="6" t="n">
        <x:v>4</x:v>
      </x:c>
      <x:c r="I8632" s="6" t="n">
        <x:f>G8632-H8632</x:f>
        <x:v>-2</x:v>
      </x:c>
      <x:c r="J8632" s="6" t="n">
        <x:f>IF(OR(E8632="CANCELED",E8632="SUSPECTED_FRAUD",F8632="Shipping canceled"),0,1)</x:f>
        <x:v>1</x:v>
      </x:c>
      <x:c r="K8632" s="6" t="n">
        <x:f>IF(G8632&gt;H8632,1,0)</x:f>
        <x:v>0</x:v>
      </x:c>
      <x:c r="L8632" s="6" t="n">
        <x:f>J8632*K8632</x:f>
        <x:v>0</x:v>
      </x:c>
    </x:row>
    <x:row r="8633">
      <x:c r="A8633" s="1" t="n">
        <x:v>68970</x:v>
      </x:c>
      <x:c r="B8633" s="5" t="d">
        <x:v>2017-10-03T00:00:00.000Z</x:v>
      </x:c>
      <x:c r="C8633" s="1" t="str">
        <x:v>Standard Class</x:v>
      </x:c>
      <x:c r="D8633" s="1" t="str">
        <x:v>Europe</x:v>
      </x:c>
      <x:c r="E8633" s="1" t="str">
        <x:v>COMPLETE</x:v>
      </x:c>
      <x:c r="F8633" s="1" t="str">
        <x:v>Late delivery</x:v>
      </x:c>
      <x:c r="G8633" s="6" t="n">
        <x:v>6</x:v>
      </x:c>
      <x:c r="H8633" s="6" t="n">
        <x:v>4</x:v>
      </x:c>
      <x:c r="I8633" s="6" t="n">
        <x:f>G8633-H8633</x:f>
        <x:v>2</x:v>
      </x:c>
      <x:c r="J8633" s="6" t="n">
        <x:f>IF(OR(E8633="CANCELED",E8633="SUSPECTED_FRAUD",F8633="Shipping canceled"),0,1)</x:f>
        <x:v>1</x:v>
      </x:c>
      <x:c r="K8633" s="6" t="n">
        <x:f>IF(G8633&gt;H8633,1,0)</x:f>
        <x:v>1</x:v>
      </x:c>
      <x:c r="L8633" s="6" t="n">
        <x:f>J8633*K8633</x:f>
        <x:v>1</x:v>
      </x:c>
    </x:row>
    <x:row r="8634">
      <x:c r="A8634" s="1" t="n">
        <x:v>68977</x:v>
      </x:c>
      <x:c r="B8634" s="5" t="d">
        <x:v>2017-10-03T00:00:00.000Z</x:v>
      </x:c>
      <x:c r="C8634" s="1" t="str">
        <x:v>Second Class</x:v>
      </x:c>
      <x:c r="D8634" s="1" t="str">
        <x:v>Europe</x:v>
      </x:c>
      <x:c r="E8634" s="1" t="str">
        <x:v>COMPLETE</x:v>
      </x:c>
      <x:c r="F8634" s="1" t="str">
        <x:v>Late delivery</x:v>
      </x:c>
      <x:c r="G8634" s="6" t="n">
        <x:v>3</x:v>
      </x:c>
      <x:c r="H8634" s="6" t="n">
        <x:v>2</x:v>
      </x:c>
      <x:c r="I8634" s="6" t="n">
        <x:f>G8634-H8634</x:f>
        <x:v>1</x:v>
      </x:c>
      <x:c r="J8634" s="6" t="n">
        <x:f>IF(OR(E8634="CANCELED",E8634="SUSPECTED_FRAUD",F8634="Shipping canceled"),0,1)</x:f>
        <x:v>1</x:v>
      </x:c>
      <x:c r="K8634" s="6" t="n">
        <x:f>IF(G8634&gt;H8634,1,0)</x:f>
        <x:v>1</x:v>
      </x:c>
      <x:c r="L8634" s="6" t="n">
        <x:f>J8634*K8634</x:f>
        <x:v>1</x:v>
      </x:c>
    </x:row>
    <x:row r="8635">
      <x:c r="A8635" s="1" t="n">
        <x:v>68983</x:v>
      </x:c>
      <x:c r="B8635" s="5" t="d">
        <x:v>2017-10-03T00:00:00.000Z</x:v>
      </x:c>
      <x:c r="C8635" s="1" t="str">
        <x:v>Same Day</x:v>
      </x:c>
      <x:c r="D8635" s="1" t="str">
        <x:v>Europe</x:v>
      </x:c>
      <x:c r="E8635" s="1" t="str">
        <x:v>CLOSED</x:v>
      </x:c>
      <x:c r="F8635" s="1" t="str">
        <x:v>Late delivery</x:v>
      </x:c>
      <x:c r="G8635" s="6" t="n">
        <x:v>1</x:v>
      </x:c>
      <x:c r="H8635" s="6" t="n">
        <x:v>0</x:v>
      </x:c>
      <x:c r="I8635" s="6" t="n">
        <x:f>G8635-H8635</x:f>
        <x:v>1</x:v>
      </x:c>
      <x:c r="J8635" s="6" t="n">
        <x:f>IF(OR(E8635="CANCELED",E8635="SUSPECTED_FRAUD",F8635="Shipping canceled"),0,1)</x:f>
        <x:v>1</x:v>
      </x:c>
      <x:c r="K8635" s="6" t="n">
        <x:f>IF(G8635&gt;H8635,1,0)</x:f>
        <x:v>1</x:v>
      </x:c>
      <x:c r="L8635" s="6" t="n">
        <x:f>J8635*K8635</x:f>
        <x:v>1</x:v>
      </x:c>
    </x:row>
    <x:row r="8636">
      <x:c r="A8636" s="1" t="n">
        <x:v>68992</x:v>
      </x:c>
      <x:c r="B8636" s="5" t="d">
        <x:v>2017-10-04T00:00:00.000Z</x:v>
      </x:c>
      <x:c r="C8636" s="1" t="str">
        <x:v>Standard Class</x:v>
      </x:c>
      <x:c r="D8636" s="1" t="str">
        <x:v>Europe</x:v>
      </x:c>
      <x:c r="E8636" s="1" t="str">
        <x:v>COMPLETE</x:v>
      </x:c>
      <x:c r="F8636" s="1" t="str">
        <x:v>Advance shipping</x:v>
      </x:c>
      <x:c r="G8636" s="6" t="n">
        <x:v>3</x:v>
      </x:c>
      <x:c r="H8636" s="6" t="n">
        <x:v>4</x:v>
      </x:c>
      <x:c r="I8636" s="6" t="n">
        <x:f>G8636-H8636</x:f>
        <x:v>-1</x:v>
      </x:c>
      <x:c r="J8636" s="6" t="n">
        <x:f>IF(OR(E8636="CANCELED",E8636="SUSPECTED_FRAUD",F8636="Shipping canceled"),0,1)</x:f>
        <x:v>1</x:v>
      </x:c>
      <x:c r="K8636" s="6" t="n">
        <x:f>IF(G8636&gt;H8636,1,0)</x:f>
        <x:v>0</x:v>
      </x:c>
      <x:c r="L8636" s="6" t="n">
        <x:f>J8636*K8636</x:f>
        <x:v>0</x:v>
      </x:c>
    </x:row>
    <x:row r="8637">
      <x:c r="A8637" s="1" t="n">
        <x:v>68996</x:v>
      </x:c>
      <x:c r="B8637" s="5" t="d">
        <x:v>2017-10-04T00:00:00.000Z</x:v>
      </x:c>
      <x:c r="C8637" s="1" t="str">
        <x:v>Second Class</x:v>
      </x:c>
      <x:c r="D8637" s="1" t="str">
        <x:v>Europe</x:v>
      </x:c>
      <x:c r="E8637" s="1" t="str">
        <x:v>COMPLETE</x:v>
      </x:c>
      <x:c r="F8637" s="1" t="str">
        <x:v>Shipping on time</x:v>
      </x:c>
      <x:c r="G8637" s="6" t="n">
        <x:v>2</x:v>
      </x:c>
      <x:c r="H8637" s="6" t="n">
        <x:v>2</x:v>
      </x:c>
      <x:c r="I8637" s="6" t="n">
        <x:f>G8637-H8637</x:f>
        <x:v>0</x:v>
      </x:c>
      <x:c r="J8637" s="6" t="n">
        <x:f>IF(OR(E8637="CANCELED",E8637="SUSPECTED_FRAUD",F8637="Shipping canceled"),0,1)</x:f>
        <x:v>1</x:v>
      </x:c>
      <x:c r="K8637" s="6" t="n">
        <x:f>IF(G8637&gt;H8637,1,0)</x:f>
        <x:v>0</x:v>
      </x:c>
      <x:c r="L8637" s="6" t="n">
        <x:f>J8637*K8637</x:f>
        <x:v>0</x:v>
      </x:c>
    </x:row>
    <x:row r="8638">
      <x:c r="A8638" s="1" t="n">
        <x:v>69002</x:v>
      </x:c>
      <x:c r="B8638" s="5" t="d">
        <x:v>2017-10-04T00:00:00.000Z</x:v>
      </x:c>
      <x:c r="C8638" s="1" t="str">
        <x:v>Standard Class</x:v>
      </x:c>
      <x:c r="D8638" s="1" t="str">
        <x:v>Europe</x:v>
      </x:c>
      <x:c r="E8638" s="1" t="str">
        <x:v>PENDING_PAYMENT</x:v>
      </x:c>
      <x:c r="F8638" s="1" t="str">
        <x:v>Advance shipping</x:v>
      </x:c>
      <x:c r="G8638" s="6" t="n">
        <x:v>3</x:v>
      </x:c>
      <x:c r="H8638" s="6" t="n">
        <x:v>4</x:v>
      </x:c>
      <x:c r="I8638" s="6" t="n">
        <x:f>G8638-H8638</x:f>
        <x:v>-1</x:v>
      </x:c>
      <x:c r="J8638" s="6" t="n">
        <x:f>IF(OR(E8638="CANCELED",E8638="SUSPECTED_FRAUD",F8638="Shipping canceled"),0,1)</x:f>
        <x:v>1</x:v>
      </x:c>
      <x:c r="K8638" s="6" t="n">
        <x:f>IF(G8638&gt;H8638,1,0)</x:f>
        <x:v>0</x:v>
      </x:c>
      <x:c r="L8638" s="6" t="n">
        <x:f>J8638*K8638</x:f>
        <x:v>0</x:v>
      </x:c>
    </x:row>
    <x:row r="8639">
      <x:c r="A8639" s="1" t="n">
        <x:v>69004</x:v>
      </x:c>
      <x:c r="B8639" s="5" t="d">
        <x:v>2017-10-04T00:00:00.000Z</x:v>
      </x:c>
      <x:c r="C8639" s="1" t="str">
        <x:v>First Class</x:v>
      </x:c>
      <x:c r="D8639" s="1" t="str">
        <x:v>Europe</x:v>
      </x:c>
      <x:c r="E8639" s="1" t="str">
        <x:v>PROCESSING</x:v>
      </x:c>
      <x:c r="F8639" s="1" t="str">
        <x:v>Late delivery</x:v>
      </x:c>
      <x:c r="G8639" s="6" t="n">
        <x:v>2</x:v>
      </x:c>
      <x:c r="H8639" s="6" t="n">
        <x:v>1</x:v>
      </x:c>
      <x:c r="I8639" s="6" t="n">
        <x:f>G8639-H8639</x:f>
        <x:v>1</x:v>
      </x:c>
      <x:c r="J8639" s="6" t="n">
        <x:f>IF(OR(E8639="CANCELED",E8639="SUSPECTED_FRAUD",F8639="Shipping canceled"),0,1)</x:f>
        <x:v>1</x:v>
      </x:c>
      <x:c r="K8639" s="6" t="n">
        <x:f>IF(G8639&gt;H8639,1,0)</x:f>
        <x:v>1</x:v>
      </x:c>
      <x:c r="L8639" s="6" t="n">
        <x:f>J8639*K8639</x:f>
        <x:v>1</x:v>
      </x:c>
    </x:row>
    <x:row r="8640">
      <x:c r="A8640" s="1" t="n">
        <x:v>69010</x:v>
      </x:c>
      <x:c r="B8640" s="5" t="d">
        <x:v>2017-10-04T00:00:00.000Z</x:v>
      </x:c>
      <x:c r="C8640" s="1" t="str">
        <x:v>Standard Class</x:v>
      </x:c>
      <x:c r="D8640" s="1" t="str">
        <x:v>Europe</x:v>
      </x:c>
      <x:c r="E8640" s="1" t="str">
        <x:v>PENDING_PAYMENT</x:v>
      </x:c>
      <x:c r="F8640" s="1" t="str">
        <x:v>Late delivery</x:v>
      </x:c>
      <x:c r="G8640" s="6" t="n">
        <x:v>6</x:v>
      </x:c>
      <x:c r="H8640" s="6" t="n">
        <x:v>4</x:v>
      </x:c>
      <x:c r="I8640" s="6" t="n">
        <x:f>G8640-H8640</x:f>
        <x:v>2</x:v>
      </x:c>
      <x:c r="J8640" s="6" t="n">
        <x:f>IF(OR(E8640="CANCELED",E8640="SUSPECTED_FRAUD",F8640="Shipping canceled"),0,1)</x:f>
        <x:v>1</x:v>
      </x:c>
      <x:c r="K8640" s="6" t="n">
        <x:f>IF(G8640&gt;H8640,1,0)</x:f>
        <x:v>1</x:v>
      </x:c>
      <x:c r="L8640" s="6" t="n">
        <x:f>J8640*K8640</x:f>
        <x:v>1</x:v>
      </x:c>
    </x:row>
    <x:row r="8641">
      <x:c r="A8641" s="1" t="n">
        <x:v>69021</x:v>
      </x:c>
      <x:c r="B8641" s="5" t="d">
        <x:v>2017-10-04T00:00:00.000Z</x:v>
      </x:c>
      <x:c r="C8641" s="1" t="str">
        <x:v>Standard Class</x:v>
      </x:c>
      <x:c r="D8641" s="1" t="str">
        <x:v>Europe</x:v>
      </x:c>
      <x:c r="E8641" s="1" t="str">
        <x:v>COMPLETE</x:v>
      </x:c>
      <x:c r="F8641" s="1" t="str">
        <x:v>Advance shipping</x:v>
      </x:c>
      <x:c r="G8641" s="6" t="n">
        <x:v>2</x:v>
      </x:c>
      <x:c r="H8641" s="6" t="n">
        <x:v>4</x:v>
      </x:c>
      <x:c r="I8641" s="6" t="n">
        <x:f>G8641-H8641</x:f>
        <x:v>-2</x:v>
      </x:c>
      <x:c r="J8641" s="6" t="n">
        <x:f>IF(OR(E8641="CANCELED",E8641="SUSPECTED_FRAUD",F8641="Shipping canceled"),0,1)</x:f>
        <x:v>1</x:v>
      </x:c>
      <x:c r="K8641" s="6" t="n">
        <x:f>IF(G8641&gt;H8641,1,0)</x:f>
        <x:v>0</x:v>
      </x:c>
      <x:c r="L8641" s="6" t="n">
        <x:f>J8641*K8641</x:f>
        <x:v>0</x:v>
      </x:c>
    </x:row>
    <x:row r="8642">
      <x:c r="A8642" s="1" t="n">
        <x:v>69023</x:v>
      </x:c>
      <x:c r="B8642" s="5" t="d">
        <x:v>2017-10-04T00:00:00.000Z</x:v>
      </x:c>
      <x:c r="C8642" s="1" t="str">
        <x:v>Standard Class</x:v>
      </x:c>
      <x:c r="D8642" s="1" t="str">
        <x:v>Europe</x:v>
      </x:c>
      <x:c r="E8642" s="1" t="str">
        <x:v>COMPLETE</x:v>
      </x:c>
      <x:c r="F8642" s="1" t="str">
        <x:v>Shipping on time</x:v>
      </x:c>
      <x:c r="G8642" s="6" t="n">
        <x:v>4</x:v>
      </x:c>
      <x:c r="H8642" s="6" t="n">
        <x:v>4</x:v>
      </x:c>
      <x:c r="I8642" s="6" t="n">
        <x:f>G8642-H8642</x:f>
        <x:v>0</x:v>
      </x:c>
      <x:c r="J8642" s="6" t="n">
        <x:f>IF(OR(E8642="CANCELED",E8642="SUSPECTED_FRAUD",F8642="Shipping canceled"),0,1)</x:f>
        <x:v>1</x:v>
      </x:c>
      <x:c r="K8642" s="6" t="n">
        <x:f>IF(G8642&gt;H8642,1,0)</x:f>
        <x:v>0</x:v>
      </x:c>
      <x:c r="L8642" s="6" t="n">
        <x:f>J8642*K8642</x:f>
        <x:v>0</x:v>
      </x:c>
    </x:row>
    <x:row r="8643">
      <x:c r="A8643" s="1" t="n">
        <x:v>69047</x:v>
      </x:c>
      <x:c r="B8643" s="5" t="d">
        <x:v>2017-10-04T00:00:00.000Z</x:v>
      </x:c>
      <x:c r="C8643" s="1" t="str">
        <x:v>Standard Class</x:v>
      </x:c>
      <x:c r="D8643" s="1" t="str">
        <x:v>Europe</x:v>
      </x:c>
      <x:c r="E8643" s="1" t="str">
        <x:v>PENDING_PAYMENT</x:v>
      </x:c>
      <x:c r="F8643" s="1" t="str">
        <x:v>Advance shipping</x:v>
      </x:c>
      <x:c r="G8643" s="6" t="n">
        <x:v>3</x:v>
      </x:c>
      <x:c r="H8643" s="6" t="n">
        <x:v>4</x:v>
      </x:c>
      <x:c r="I8643" s="6" t="n">
        <x:f>G8643-H8643</x:f>
        <x:v>-1</x:v>
      </x:c>
      <x:c r="J8643" s="6" t="n">
        <x:f>IF(OR(E8643="CANCELED",E8643="SUSPECTED_FRAUD",F8643="Shipping canceled"),0,1)</x:f>
        <x:v>1</x:v>
      </x:c>
      <x:c r="K8643" s="6" t="n">
        <x:f>IF(G8643&gt;H8643,1,0)</x:f>
        <x:v>0</x:v>
      </x:c>
      <x:c r="L8643" s="6" t="n">
        <x:f>J8643*K8643</x:f>
        <x:v>0</x:v>
      </x:c>
    </x:row>
    <x:row r="8644">
      <x:c r="A8644" s="1" t="n">
        <x:v>69057</x:v>
      </x:c>
      <x:c r="B8644" s="5" t="d">
        <x:v>2017-10-05T00:00:00.000Z</x:v>
      </x:c>
      <x:c r="C8644" s="1" t="str">
        <x:v>Second Class</x:v>
      </x:c>
      <x:c r="D8644" s="1" t="str">
        <x:v>Europe</x:v>
      </x:c>
      <x:c r="E8644" s="1" t="str">
        <x:v>COMPLETE</x:v>
      </x:c>
      <x:c r="F8644" s="1" t="str">
        <x:v>Late delivery</x:v>
      </x:c>
      <x:c r="G8644" s="6" t="n">
        <x:v>3</x:v>
      </x:c>
      <x:c r="H8644" s="6" t="n">
        <x:v>2</x:v>
      </x:c>
      <x:c r="I8644" s="6" t="n">
        <x:f>G8644-H8644</x:f>
        <x:v>1</x:v>
      </x:c>
      <x:c r="J8644" s="6" t="n">
        <x:f>IF(OR(E8644="CANCELED",E8644="SUSPECTED_FRAUD",F8644="Shipping canceled"),0,1)</x:f>
        <x:v>1</x:v>
      </x:c>
      <x:c r="K8644" s="6" t="n">
        <x:f>IF(G8644&gt;H8644,1,0)</x:f>
        <x:v>1</x:v>
      </x:c>
      <x:c r="L8644" s="6" t="n">
        <x:f>J8644*K8644</x:f>
        <x:v>1</x:v>
      </x:c>
    </x:row>
    <x:row r="8645">
      <x:c r="A8645" s="1" t="n">
        <x:v>69065</x:v>
      </x:c>
      <x:c r="B8645" s="5" t="d">
        <x:v>2017-10-05T00:00:00.000Z</x:v>
      </x:c>
      <x:c r="C8645" s="1" t="str">
        <x:v>Standard Class</x:v>
      </x:c>
      <x:c r="D8645" s="1" t="str">
        <x:v>Europe</x:v>
      </x:c>
      <x:c r="E8645" s="1" t="str">
        <x:v>COMPLETE</x:v>
      </x:c>
      <x:c r="F8645" s="1" t="str">
        <x:v>Late delivery</x:v>
      </x:c>
      <x:c r="G8645" s="6" t="n">
        <x:v>6</x:v>
      </x:c>
      <x:c r="H8645" s="6" t="n">
        <x:v>4</x:v>
      </x:c>
      <x:c r="I8645" s="6" t="n">
        <x:f>G8645-H8645</x:f>
        <x:v>2</x:v>
      </x:c>
      <x:c r="J8645" s="6" t="n">
        <x:f>IF(OR(E8645="CANCELED",E8645="SUSPECTED_FRAUD",F8645="Shipping canceled"),0,1)</x:f>
        <x:v>1</x:v>
      </x:c>
      <x:c r="K8645" s="6" t="n">
        <x:f>IF(G8645&gt;H8645,1,0)</x:f>
        <x:v>1</x:v>
      </x:c>
      <x:c r="L8645" s="6" t="n">
        <x:f>J8645*K8645</x:f>
        <x:v>1</x:v>
      </x:c>
    </x:row>
    <x:row r="8646">
      <x:c r="A8646" s="1" t="n">
        <x:v>69073</x:v>
      </x:c>
      <x:c r="B8646" s="5" t="d">
        <x:v>2017-10-05T00:00:00.000Z</x:v>
      </x:c>
      <x:c r="C8646" s="1" t="str">
        <x:v>First Class</x:v>
      </x:c>
      <x:c r="D8646" s="1" t="str">
        <x:v>Europe</x:v>
      </x:c>
      <x:c r="E8646" s="1" t="str">
        <x:v>CLOSED</x:v>
      </x:c>
      <x:c r="F8646" s="1" t="str">
        <x:v>Late delivery</x:v>
      </x:c>
      <x:c r="G8646" s="6" t="n">
        <x:v>2</x:v>
      </x:c>
      <x:c r="H8646" s="6" t="n">
        <x:v>1</x:v>
      </x:c>
      <x:c r="I8646" s="6" t="n">
        <x:f>G8646-H8646</x:f>
        <x:v>1</x:v>
      </x:c>
      <x:c r="J8646" s="6" t="n">
        <x:f>IF(OR(E8646="CANCELED",E8646="SUSPECTED_FRAUD",F8646="Shipping canceled"),0,1)</x:f>
        <x:v>1</x:v>
      </x:c>
      <x:c r="K8646" s="6" t="n">
        <x:f>IF(G8646&gt;H8646,1,0)</x:f>
        <x:v>1</x:v>
      </x:c>
      <x:c r="L8646" s="6" t="n">
        <x:f>J8646*K8646</x:f>
        <x:v>1</x:v>
      </x:c>
    </x:row>
    <x:row r="8647">
      <x:c r="A8647" s="1" t="n">
        <x:v>69095</x:v>
      </x:c>
      <x:c r="B8647" s="5" t="d">
        <x:v>2017-10-05T00:00:00.000Z</x:v>
      </x:c>
      <x:c r="C8647" s="1" t="str">
        <x:v>First Class</x:v>
      </x:c>
      <x:c r="D8647" s="1" t="str">
        <x:v>Europe</x:v>
      </x:c>
      <x:c r="E8647" s="1" t="str">
        <x:v>CLOSED</x:v>
      </x:c>
      <x:c r="F8647" s="1" t="str">
        <x:v>Late delivery</x:v>
      </x:c>
      <x:c r="G8647" s="6" t="n">
        <x:v>2</x:v>
      </x:c>
      <x:c r="H8647" s="6" t="n">
        <x:v>1</x:v>
      </x:c>
      <x:c r="I8647" s="6" t="n">
        <x:f>G8647-H8647</x:f>
        <x:v>1</x:v>
      </x:c>
      <x:c r="J8647" s="6" t="n">
        <x:f>IF(OR(E8647="CANCELED",E8647="SUSPECTED_FRAUD",F8647="Shipping canceled"),0,1)</x:f>
        <x:v>1</x:v>
      </x:c>
      <x:c r="K8647" s="6" t="n">
        <x:f>IF(G8647&gt;H8647,1,0)</x:f>
        <x:v>1</x:v>
      </x:c>
      <x:c r="L8647" s="6" t="n">
        <x:f>J8647*K8647</x:f>
        <x:v>1</x:v>
      </x:c>
    </x:row>
    <x:row r="8648">
      <x:c r="A8648" s="1" t="n">
        <x:v>69106</x:v>
      </x:c>
      <x:c r="B8648" s="5" t="d">
        <x:v>2017-10-05T00:00:00.000Z</x:v>
      </x:c>
      <x:c r="C8648" s="1" t="str">
        <x:v>First Class</x:v>
      </x:c>
      <x:c r="D8648" s="1" t="str">
        <x:v>Europe</x:v>
      </x:c>
      <x:c r="E8648" s="1" t="str">
        <x:v>CLOSED</x:v>
      </x:c>
      <x:c r="F8648" s="1" t="str">
        <x:v>Late delivery</x:v>
      </x:c>
      <x:c r="G8648" s="6" t="n">
        <x:v>2</x:v>
      </x:c>
      <x:c r="H8648" s="6" t="n">
        <x:v>1</x:v>
      </x:c>
      <x:c r="I8648" s="6" t="n">
        <x:f>G8648-H8648</x:f>
        <x:v>1</x:v>
      </x:c>
      <x:c r="J8648" s="6" t="n">
        <x:f>IF(OR(E8648="CANCELED",E8648="SUSPECTED_FRAUD",F8648="Shipping canceled"),0,1)</x:f>
        <x:v>1</x:v>
      </x:c>
      <x:c r="K8648" s="6" t="n">
        <x:f>IF(G8648&gt;H8648,1,0)</x:f>
        <x:v>1</x:v>
      </x:c>
      <x:c r="L8648" s="6" t="n">
        <x:f>J8648*K8648</x:f>
        <x:v>1</x:v>
      </x:c>
    </x:row>
    <x:row r="8649">
      <x:c r="A8649" s="1" t="n">
        <x:v>69126</x:v>
      </x:c>
      <x:c r="B8649" s="5" t="d">
        <x:v>2017-10-06T00:00:00.000Z</x:v>
      </x:c>
      <x:c r="C8649" s="1" t="str">
        <x:v>Standard Class</x:v>
      </x:c>
      <x:c r="D8649" s="1" t="str">
        <x:v>Europe</x:v>
      </x:c>
      <x:c r="E8649" s="1" t="str">
        <x:v>PENDING_PAYMENT</x:v>
      </x:c>
      <x:c r="F8649" s="1" t="str">
        <x:v>Advance shipping</x:v>
      </x:c>
      <x:c r="G8649" s="6" t="n">
        <x:v>2</x:v>
      </x:c>
      <x:c r="H8649" s="6" t="n">
        <x:v>4</x:v>
      </x:c>
      <x:c r="I8649" s="6" t="n">
        <x:f>G8649-H8649</x:f>
        <x:v>-2</x:v>
      </x:c>
      <x:c r="J8649" s="6" t="n">
        <x:f>IF(OR(E8649="CANCELED",E8649="SUSPECTED_FRAUD",F8649="Shipping canceled"),0,1)</x:f>
        <x:v>1</x:v>
      </x:c>
      <x:c r="K8649" s="6" t="n">
        <x:f>IF(G8649&gt;H8649,1,0)</x:f>
        <x:v>0</x:v>
      </x:c>
      <x:c r="L8649" s="6" t="n">
        <x:f>J8649*K8649</x:f>
        <x:v>0</x:v>
      </x:c>
    </x:row>
    <x:row r="8650">
      <x:c r="A8650" s="1" t="n">
        <x:v>69133</x:v>
      </x:c>
      <x:c r="B8650" s="5" t="d">
        <x:v>2017-10-06T00:00:00.000Z</x:v>
      </x:c>
      <x:c r="C8650" s="1" t="str">
        <x:v>First Class</x:v>
      </x:c>
      <x:c r="D8650" s="1" t="str">
        <x:v>Europe</x:v>
      </x:c>
      <x:c r="E8650" s="1" t="str">
        <x:v>PENDING</x:v>
      </x:c>
      <x:c r="F8650" s="1" t="str">
        <x:v>Late delivery</x:v>
      </x:c>
      <x:c r="G8650" s="6" t="n">
        <x:v>2</x:v>
      </x:c>
      <x:c r="H8650" s="6" t="n">
        <x:v>1</x:v>
      </x:c>
      <x:c r="I8650" s="6" t="n">
        <x:f>G8650-H8650</x:f>
        <x:v>1</x:v>
      </x:c>
      <x:c r="J8650" s="6" t="n">
        <x:f>IF(OR(E8650="CANCELED",E8650="SUSPECTED_FRAUD",F8650="Shipping canceled"),0,1)</x:f>
        <x:v>1</x:v>
      </x:c>
      <x:c r="K8650" s="6" t="n">
        <x:f>IF(G8650&gt;H8650,1,0)</x:f>
        <x:v>1</x:v>
      </x:c>
      <x:c r="L8650" s="6" t="n">
        <x:f>J8650*K8650</x:f>
        <x:v>1</x:v>
      </x:c>
    </x:row>
    <x:row r="8651">
      <x:c r="A8651" s="1" t="n">
        <x:v>69144</x:v>
      </x:c>
      <x:c r="B8651" s="5" t="d">
        <x:v>2017-10-06T00:00:00.000Z</x:v>
      </x:c>
      <x:c r="C8651" s="1" t="str">
        <x:v>First Class</x:v>
      </x:c>
      <x:c r="D8651" s="1" t="str">
        <x:v>Europe</x:v>
      </x:c>
      <x:c r="E8651" s="1" t="str">
        <x:v>CLOSED</x:v>
      </x:c>
      <x:c r="F8651" s="1" t="str">
        <x:v>Late delivery</x:v>
      </x:c>
      <x:c r="G8651" s="6" t="n">
        <x:v>2</x:v>
      </x:c>
      <x:c r="H8651" s="6" t="n">
        <x:v>1</x:v>
      </x:c>
      <x:c r="I8651" s="6" t="n">
        <x:f>G8651-H8651</x:f>
        <x:v>1</x:v>
      </x:c>
      <x:c r="J8651" s="6" t="n">
        <x:f>IF(OR(E8651="CANCELED",E8651="SUSPECTED_FRAUD",F8651="Shipping canceled"),0,1)</x:f>
        <x:v>1</x:v>
      </x:c>
      <x:c r="K8651" s="6" t="n">
        <x:f>IF(G8651&gt;H8651,1,0)</x:f>
        <x:v>1</x:v>
      </x:c>
      <x:c r="L8651" s="6" t="n">
        <x:f>J8651*K8651</x:f>
        <x:v>1</x:v>
      </x:c>
    </x:row>
    <x:row r="8652">
      <x:c r="A8652" s="1" t="n">
        <x:v>69149</x:v>
      </x:c>
      <x:c r="B8652" s="5" t="d">
        <x:v>2017-10-06T00:00:00.000Z</x:v>
      </x:c>
      <x:c r="C8652" s="1" t="str">
        <x:v>Standard Class</x:v>
      </x:c>
      <x:c r="D8652" s="1" t="str">
        <x:v>Europe</x:v>
      </x:c>
      <x:c r="E8652" s="1" t="str">
        <x:v>CLOSED</x:v>
      </x:c>
      <x:c r="F8652" s="1" t="str">
        <x:v>Late delivery</x:v>
      </x:c>
      <x:c r="G8652" s="6" t="n">
        <x:v>5</x:v>
      </x:c>
      <x:c r="H8652" s="6" t="n">
        <x:v>4</x:v>
      </x:c>
      <x:c r="I8652" s="6" t="n">
        <x:f>G8652-H8652</x:f>
        <x:v>1</x:v>
      </x:c>
      <x:c r="J8652" s="6" t="n">
        <x:f>IF(OR(E8652="CANCELED",E8652="SUSPECTED_FRAUD",F8652="Shipping canceled"),0,1)</x:f>
        <x:v>1</x:v>
      </x:c>
      <x:c r="K8652" s="6" t="n">
        <x:f>IF(G8652&gt;H8652,1,0)</x:f>
        <x:v>1</x:v>
      </x:c>
      <x:c r="L8652" s="6" t="n">
        <x:f>J8652*K8652</x:f>
        <x:v>1</x:v>
      </x:c>
    </x:row>
    <x:row r="8653">
      <x:c r="A8653" s="1" t="n">
        <x:v>69153</x:v>
      </x:c>
      <x:c r="B8653" s="5" t="d">
        <x:v>2017-10-06T00:00:00.000Z</x:v>
      </x:c>
      <x:c r="C8653" s="1" t="str">
        <x:v>Standard Class</x:v>
      </x:c>
      <x:c r="D8653" s="1" t="str">
        <x:v>Europe</x:v>
      </x:c>
      <x:c r="E8653" s="1" t="str">
        <x:v>COMPLETE</x:v>
      </x:c>
      <x:c r="F8653" s="1" t="str">
        <x:v>Shipping on time</x:v>
      </x:c>
      <x:c r="G8653" s="6" t="n">
        <x:v>4</x:v>
      </x:c>
      <x:c r="H8653" s="6" t="n">
        <x:v>4</x:v>
      </x:c>
      <x:c r="I8653" s="6" t="n">
        <x:f>G8653-H8653</x:f>
        <x:v>0</x:v>
      </x:c>
      <x:c r="J8653" s="6" t="n">
        <x:f>IF(OR(E8653="CANCELED",E8653="SUSPECTED_FRAUD",F8653="Shipping canceled"),0,1)</x:f>
        <x:v>1</x:v>
      </x:c>
      <x:c r="K8653" s="6" t="n">
        <x:f>IF(G8653&gt;H8653,1,0)</x:f>
        <x:v>0</x:v>
      </x:c>
      <x:c r="L8653" s="6" t="n">
        <x:f>J8653*K8653</x:f>
        <x:v>0</x:v>
      </x:c>
    </x:row>
    <x:row r="8654">
      <x:c r="A8654" s="1" t="n">
        <x:v>69155</x:v>
      </x:c>
      <x:c r="B8654" s="5" t="d">
        <x:v>2017-10-06T00:00:00.000Z</x:v>
      </x:c>
      <x:c r="C8654" s="1" t="str">
        <x:v>Standard Class</x:v>
      </x:c>
      <x:c r="D8654" s="1" t="str">
        <x:v>Europe</x:v>
      </x:c>
      <x:c r="E8654" s="1" t="str">
        <x:v>PENDING_PAYMENT</x:v>
      </x:c>
      <x:c r="F8654" s="1" t="str">
        <x:v>Late delivery</x:v>
      </x:c>
      <x:c r="G8654" s="6" t="n">
        <x:v>6</x:v>
      </x:c>
      <x:c r="H8654" s="6" t="n">
        <x:v>4</x:v>
      </x:c>
      <x:c r="I8654" s="6" t="n">
        <x:f>G8654-H8654</x:f>
        <x:v>2</x:v>
      </x:c>
      <x:c r="J8654" s="6" t="n">
        <x:f>IF(OR(E8654="CANCELED",E8654="SUSPECTED_FRAUD",F8654="Shipping canceled"),0,1)</x:f>
        <x:v>1</x:v>
      </x:c>
      <x:c r="K8654" s="6" t="n">
        <x:f>IF(G8654&gt;H8654,1,0)</x:f>
        <x:v>1</x:v>
      </x:c>
      <x:c r="L8654" s="6" t="n">
        <x:f>J8654*K8654</x:f>
        <x:v>1</x:v>
      </x:c>
    </x:row>
    <x:row r="8655">
      <x:c r="A8655" s="1" t="n">
        <x:v>69158</x:v>
      </x:c>
      <x:c r="B8655" s="5" t="d">
        <x:v>2017-10-06T00:00:00.000Z</x:v>
      </x:c>
      <x:c r="C8655" s="1" t="str">
        <x:v>Standard Class</x:v>
      </x:c>
      <x:c r="D8655" s="1" t="str">
        <x:v>Europe</x:v>
      </x:c>
      <x:c r="E8655" s="1" t="str">
        <x:v>PENDING_PAYMENT</x:v>
      </x:c>
      <x:c r="F8655" s="1" t="str">
        <x:v>Shipping on time</x:v>
      </x:c>
      <x:c r="G8655" s="6" t="n">
        <x:v>4</x:v>
      </x:c>
      <x:c r="H8655" s="6" t="n">
        <x:v>4</x:v>
      </x:c>
      <x:c r="I8655" s="6" t="n">
        <x:f>G8655-H8655</x:f>
        <x:v>0</x:v>
      </x:c>
      <x:c r="J8655" s="6" t="n">
        <x:f>IF(OR(E8655="CANCELED",E8655="SUSPECTED_FRAUD",F8655="Shipping canceled"),0,1)</x:f>
        <x:v>1</x:v>
      </x:c>
      <x:c r="K8655" s="6" t="n">
        <x:f>IF(G8655&gt;H8655,1,0)</x:f>
        <x:v>0</x:v>
      </x:c>
      <x:c r="L8655" s="6" t="n">
        <x:f>J8655*K8655</x:f>
        <x:v>0</x:v>
      </x:c>
    </x:row>
    <x:row r="8656">
      <x:c r="A8656" s="1" t="n">
        <x:v>69160</x:v>
      </x:c>
      <x:c r="B8656" s="5" t="d">
        <x:v>2017-10-06T00:00:00.000Z</x:v>
      </x:c>
      <x:c r="C8656" s="1" t="str">
        <x:v>Standard Class</x:v>
      </x:c>
      <x:c r="D8656" s="1" t="str">
        <x:v>Europe</x:v>
      </x:c>
      <x:c r="E8656" s="1" t="str">
        <x:v>PAYMENT_REVIEW</x:v>
      </x:c>
      <x:c r="F8656" s="1" t="str">
        <x:v>Late delivery</x:v>
      </x:c>
      <x:c r="G8656" s="6" t="n">
        <x:v>6</x:v>
      </x:c>
      <x:c r="H8656" s="6" t="n">
        <x:v>4</x:v>
      </x:c>
      <x:c r="I8656" s="6" t="n">
        <x:f>G8656-H8656</x:f>
        <x:v>2</x:v>
      </x:c>
      <x:c r="J8656" s="6" t="n">
        <x:f>IF(OR(E8656="CANCELED",E8656="SUSPECTED_FRAUD",F8656="Shipping canceled"),0,1)</x:f>
        <x:v>1</x:v>
      </x:c>
      <x:c r="K8656" s="6" t="n">
        <x:f>IF(G8656&gt;H8656,1,0)</x:f>
        <x:v>1</x:v>
      </x:c>
      <x:c r="L8656" s="6" t="n">
        <x:f>J8656*K8656</x:f>
        <x:v>1</x:v>
      </x:c>
    </x:row>
    <x:row r="8657">
      <x:c r="A8657" s="1" t="n">
        <x:v>69170</x:v>
      </x:c>
      <x:c r="B8657" s="5" t="d">
        <x:v>2017-10-06T00:00:00.000Z</x:v>
      </x:c>
      <x:c r="C8657" s="1" t="str">
        <x:v>Second Class</x:v>
      </x:c>
      <x:c r="D8657" s="1" t="str">
        <x:v>Europe</x:v>
      </x:c>
      <x:c r="E8657" s="1" t="str">
        <x:v>COMPLETE</x:v>
      </x:c>
      <x:c r="F8657" s="1" t="str">
        <x:v>Late delivery</x:v>
      </x:c>
      <x:c r="G8657" s="6" t="n">
        <x:v>6</x:v>
      </x:c>
      <x:c r="H8657" s="6" t="n">
        <x:v>2</x:v>
      </x:c>
      <x:c r="I8657" s="6" t="n">
        <x:f>G8657-H8657</x:f>
        <x:v>4</x:v>
      </x:c>
      <x:c r="J8657" s="6" t="n">
        <x:f>IF(OR(E8657="CANCELED",E8657="SUSPECTED_FRAUD",F8657="Shipping canceled"),0,1)</x:f>
        <x:v>1</x:v>
      </x:c>
      <x:c r="K8657" s="6" t="n">
        <x:f>IF(G8657&gt;H8657,1,0)</x:f>
        <x:v>1</x:v>
      </x:c>
      <x:c r="L8657" s="6" t="n">
        <x:f>J8657*K8657</x:f>
        <x:v>1</x:v>
      </x:c>
    </x:row>
    <x:row r="8658">
      <x:c r="A8658" s="1" t="n">
        <x:v>69184</x:v>
      </x:c>
      <x:c r="B8658" s="5" t="d">
        <x:v>2017-10-06T00:00:00.000Z</x:v>
      </x:c>
      <x:c r="C8658" s="1" t="str">
        <x:v>Standard Class</x:v>
      </x:c>
      <x:c r="D8658" s="1" t="str">
        <x:v>Europe</x:v>
      </x:c>
      <x:c r="E8658" s="1" t="str">
        <x:v>COMPLETE</x:v>
      </x:c>
      <x:c r="F8658" s="1" t="str">
        <x:v>Late delivery</x:v>
      </x:c>
      <x:c r="G8658" s="6" t="n">
        <x:v>5</x:v>
      </x:c>
      <x:c r="H8658" s="6" t="n">
        <x:v>4</x:v>
      </x:c>
      <x:c r="I8658" s="6" t="n">
        <x:f>G8658-H8658</x:f>
        <x:v>1</x:v>
      </x:c>
      <x:c r="J8658" s="6" t="n">
        <x:f>IF(OR(E8658="CANCELED",E8658="SUSPECTED_FRAUD",F8658="Shipping canceled"),0,1)</x:f>
        <x:v>1</x:v>
      </x:c>
      <x:c r="K8658" s="6" t="n">
        <x:f>IF(G8658&gt;H8658,1,0)</x:f>
        <x:v>1</x:v>
      </x:c>
      <x:c r="L8658" s="6" t="n">
        <x:f>J8658*K8658</x:f>
        <x:v>1</x:v>
      </x:c>
    </x:row>
    <x:row r="8659">
      <x:c r="A8659" s="1" t="n">
        <x:v>69188</x:v>
      </x:c>
      <x:c r="B8659" s="5" t="d">
        <x:v>2017-10-06T00:00:00.000Z</x:v>
      </x:c>
      <x:c r="C8659" s="1" t="str">
        <x:v>Standard Class</x:v>
      </x:c>
      <x:c r="D8659" s="1" t="str">
        <x:v>Europe</x:v>
      </x:c>
      <x:c r="E8659" s="1" t="str">
        <x:v>COMPLETE</x:v>
      </x:c>
      <x:c r="F8659" s="1" t="str">
        <x:v>Shipping on time</x:v>
      </x:c>
      <x:c r="G8659" s="6" t="n">
        <x:v>4</x:v>
      </x:c>
      <x:c r="H8659" s="6" t="n">
        <x:v>4</x:v>
      </x:c>
      <x:c r="I8659" s="6" t="n">
        <x:f>G8659-H8659</x:f>
        <x:v>0</x:v>
      </x:c>
      <x:c r="J8659" s="6" t="n">
        <x:f>IF(OR(E8659="CANCELED",E8659="SUSPECTED_FRAUD",F8659="Shipping canceled"),0,1)</x:f>
        <x:v>1</x:v>
      </x:c>
      <x:c r="K8659" s="6" t="n">
        <x:f>IF(G8659&gt;H8659,1,0)</x:f>
        <x:v>0</x:v>
      </x:c>
      <x:c r="L8659" s="6" t="n">
        <x:f>J8659*K8659</x:f>
        <x:v>0</x:v>
      </x:c>
    </x:row>
    <x:row r="8660">
      <x:c r="A8660" s="1" t="n">
        <x:v>69192</x:v>
      </x:c>
      <x:c r="B8660" s="5" t="d">
        <x:v>2017-10-07T00:00:00.000Z</x:v>
      </x:c>
      <x:c r="C8660" s="1" t="str">
        <x:v>Standard Class</x:v>
      </x:c>
      <x:c r="D8660" s="1" t="str">
        <x:v>Europe</x:v>
      </x:c>
      <x:c r="E8660" s="1" t="str">
        <x:v>COMPLETE</x:v>
      </x:c>
      <x:c r="F8660" s="1" t="str">
        <x:v>Advance shipping</x:v>
      </x:c>
      <x:c r="G8660" s="6" t="n">
        <x:v>3</x:v>
      </x:c>
      <x:c r="H8660" s="6" t="n">
        <x:v>4</x:v>
      </x:c>
      <x:c r="I8660" s="6" t="n">
        <x:f>G8660-H8660</x:f>
        <x:v>-1</x:v>
      </x:c>
      <x:c r="J8660" s="6" t="n">
        <x:f>IF(OR(E8660="CANCELED",E8660="SUSPECTED_FRAUD",F8660="Shipping canceled"),0,1)</x:f>
        <x:v>1</x:v>
      </x:c>
      <x:c r="K8660" s="6" t="n">
        <x:f>IF(G8660&gt;H8660,1,0)</x:f>
        <x:v>0</x:v>
      </x:c>
      <x:c r="L8660" s="6" t="n">
        <x:f>J8660*K8660</x:f>
        <x:v>0</x:v>
      </x:c>
    </x:row>
    <x:row r="8661">
      <x:c r="A8661" s="1" t="n">
        <x:v>69199</x:v>
      </x:c>
      <x:c r="B8661" s="5" t="d">
        <x:v>2017-10-07T00:00:00.000Z</x:v>
      </x:c>
      <x:c r="C8661" s="1" t="str">
        <x:v>Standard Class</x:v>
      </x:c>
      <x:c r="D8661" s="1" t="str">
        <x:v>Europe</x:v>
      </x:c>
      <x:c r="E8661" s="1" t="str">
        <x:v>COMPLETE</x:v>
      </x:c>
      <x:c r="F8661" s="1" t="str">
        <x:v>Late delivery</x:v>
      </x:c>
      <x:c r="G8661" s="6" t="n">
        <x:v>5</x:v>
      </x:c>
      <x:c r="H8661" s="6" t="n">
        <x:v>4</x:v>
      </x:c>
      <x:c r="I8661" s="6" t="n">
        <x:f>G8661-H8661</x:f>
        <x:v>1</x:v>
      </x:c>
      <x:c r="J8661" s="6" t="n">
        <x:f>IF(OR(E8661="CANCELED",E8661="SUSPECTED_FRAUD",F8661="Shipping canceled"),0,1)</x:f>
        <x:v>1</x:v>
      </x:c>
      <x:c r="K8661" s="6" t="n">
        <x:f>IF(G8661&gt;H8661,1,0)</x:f>
        <x:v>1</x:v>
      </x:c>
      <x:c r="L8661" s="6" t="n">
        <x:f>J8661*K8661</x:f>
        <x:v>1</x:v>
      </x:c>
    </x:row>
    <x:row r="8662">
      <x:c r="A8662" s="1" t="n">
        <x:v>69201</x:v>
      </x:c>
      <x:c r="B8662" s="5" t="d">
        <x:v>2017-10-07T00:00:00.000Z</x:v>
      </x:c>
      <x:c r="C8662" s="1" t="str">
        <x:v>Standard Class</x:v>
      </x:c>
      <x:c r="D8662" s="1" t="str">
        <x:v>Europe</x:v>
      </x:c>
      <x:c r="E8662" s="1" t="str">
        <x:v>COMPLETE</x:v>
      </x:c>
      <x:c r="F8662" s="1" t="str">
        <x:v>Advance shipping</x:v>
      </x:c>
      <x:c r="G8662" s="6" t="n">
        <x:v>2</x:v>
      </x:c>
      <x:c r="H8662" s="6" t="n">
        <x:v>4</x:v>
      </x:c>
      <x:c r="I8662" s="6" t="n">
        <x:f>G8662-H8662</x:f>
        <x:v>-2</x:v>
      </x:c>
      <x:c r="J8662" s="6" t="n">
        <x:f>IF(OR(E8662="CANCELED",E8662="SUSPECTED_FRAUD",F8662="Shipping canceled"),0,1)</x:f>
        <x:v>1</x:v>
      </x:c>
      <x:c r="K8662" s="6" t="n">
        <x:f>IF(G8662&gt;H8662,1,0)</x:f>
        <x:v>0</x:v>
      </x:c>
      <x:c r="L8662" s="6" t="n">
        <x:f>J8662*K8662</x:f>
        <x:v>0</x:v>
      </x:c>
    </x:row>
    <x:row r="8663">
      <x:c r="A8663" s="1" t="n">
        <x:v>69215</x:v>
      </x:c>
      <x:c r="B8663" s="5" t="d">
        <x:v>2017-10-07T00:00:00.000Z</x:v>
      </x:c>
      <x:c r="C8663" s="1" t="str">
        <x:v>First Class</x:v>
      </x:c>
      <x:c r="D8663" s="1" t="str">
        <x:v>Europe</x:v>
      </x:c>
      <x:c r="E8663" s="1" t="str">
        <x:v>PENDING_PAYMENT</x:v>
      </x:c>
      <x:c r="F8663" s="1" t="str">
        <x:v>Late delivery</x:v>
      </x:c>
      <x:c r="G8663" s="6" t="n">
        <x:v>2</x:v>
      </x:c>
      <x:c r="H8663" s="6" t="n">
        <x:v>1</x:v>
      </x:c>
      <x:c r="I8663" s="6" t="n">
        <x:f>G8663-H8663</x:f>
        <x:v>1</x:v>
      </x:c>
      <x:c r="J8663" s="6" t="n">
        <x:f>IF(OR(E8663="CANCELED",E8663="SUSPECTED_FRAUD",F8663="Shipping canceled"),0,1)</x:f>
        <x:v>1</x:v>
      </x:c>
      <x:c r="K8663" s="6" t="n">
        <x:f>IF(G8663&gt;H8663,1,0)</x:f>
        <x:v>1</x:v>
      </x:c>
      <x:c r="L8663" s="6" t="n">
        <x:f>J8663*K8663</x:f>
        <x:v>1</x:v>
      </x:c>
    </x:row>
    <x:row r="8664">
      <x:c r="A8664" s="1" t="n">
        <x:v>69227</x:v>
      </x:c>
      <x:c r="B8664" s="5" t="d">
        <x:v>2017-10-07T00:00:00.000Z</x:v>
      </x:c>
      <x:c r="C8664" s="1" t="str">
        <x:v>Standard Class</x:v>
      </x:c>
      <x:c r="D8664" s="1" t="str">
        <x:v>Europe</x:v>
      </x:c>
      <x:c r="E8664" s="1" t="str">
        <x:v>PROCESSING</x:v>
      </x:c>
      <x:c r="F8664" s="1" t="str">
        <x:v>Advance shipping</x:v>
      </x:c>
      <x:c r="G8664" s="6" t="n">
        <x:v>3</x:v>
      </x:c>
      <x:c r="H8664" s="6" t="n">
        <x:v>4</x:v>
      </x:c>
      <x:c r="I8664" s="6" t="n">
        <x:f>G8664-H8664</x:f>
        <x:v>-1</x:v>
      </x:c>
      <x:c r="J8664" s="6" t="n">
        <x:f>IF(OR(E8664="CANCELED",E8664="SUSPECTED_FRAUD",F8664="Shipping canceled"),0,1)</x:f>
        <x:v>1</x:v>
      </x:c>
      <x:c r="K8664" s="6" t="n">
        <x:f>IF(G8664&gt;H8664,1,0)</x:f>
        <x:v>0</x:v>
      </x:c>
      <x:c r="L8664" s="6" t="n">
        <x:f>J8664*K8664</x:f>
        <x:v>0</x:v>
      </x:c>
    </x:row>
    <x:row r="8665">
      <x:c r="A8665" s="1" t="n">
        <x:v>69229</x:v>
      </x:c>
      <x:c r="B8665" s="5" t="d">
        <x:v>2017-10-07T00:00:00.000Z</x:v>
      </x:c>
      <x:c r="C8665" s="1" t="str">
        <x:v>Standard Class</x:v>
      </x:c>
      <x:c r="D8665" s="1" t="str">
        <x:v>Europe</x:v>
      </x:c>
      <x:c r="E8665" s="1" t="str">
        <x:v>COMPLETE</x:v>
      </x:c>
      <x:c r="F8665" s="1" t="str">
        <x:v>Late delivery</x:v>
      </x:c>
      <x:c r="G8665" s="6" t="n">
        <x:v>5</x:v>
      </x:c>
      <x:c r="H8665" s="6" t="n">
        <x:v>4</x:v>
      </x:c>
      <x:c r="I8665" s="6" t="n">
        <x:f>G8665-H8665</x:f>
        <x:v>1</x:v>
      </x:c>
      <x:c r="J8665" s="6" t="n">
        <x:f>IF(OR(E8665="CANCELED",E8665="SUSPECTED_FRAUD",F8665="Shipping canceled"),0,1)</x:f>
        <x:v>1</x:v>
      </x:c>
      <x:c r="K8665" s="6" t="n">
        <x:f>IF(G8665&gt;H8665,1,0)</x:f>
        <x:v>1</x:v>
      </x:c>
      <x:c r="L8665" s="6" t="n">
        <x:f>J8665*K8665</x:f>
        <x:v>1</x:v>
      </x:c>
    </x:row>
    <x:row r="8666">
      <x:c r="A8666" s="1" t="n">
        <x:v>69231</x:v>
      </x:c>
      <x:c r="B8666" s="5" t="d">
        <x:v>2017-10-07T00:00:00.000Z</x:v>
      </x:c>
      <x:c r="C8666" s="1" t="str">
        <x:v>Standard Class</x:v>
      </x:c>
      <x:c r="D8666" s="1" t="str">
        <x:v>Europe</x:v>
      </x:c>
      <x:c r="E8666" s="1" t="str">
        <x:v>COMPLETE</x:v>
      </x:c>
      <x:c r="F8666" s="1" t="str">
        <x:v>Advance shipping</x:v>
      </x:c>
      <x:c r="G8666" s="6" t="n">
        <x:v>2</x:v>
      </x:c>
      <x:c r="H8666" s="6" t="n">
        <x:v>4</x:v>
      </x:c>
      <x:c r="I8666" s="6" t="n">
        <x:f>G8666-H8666</x:f>
        <x:v>-2</x:v>
      </x:c>
      <x:c r="J8666" s="6" t="n">
        <x:f>IF(OR(E8666="CANCELED",E8666="SUSPECTED_FRAUD",F8666="Shipping canceled"),0,1)</x:f>
        <x:v>1</x:v>
      </x:c>
      <x:c r="K8666" s="6" t="n">
        <x:f>IF(G8666&gt;H8666,1,0)</x:f>
        <x:v>0</x:v>
      </x:c>
      <x:c r="L8666" s="6" t="n">
        <x:f>J8666*K8666</x:f>
        <x:v>0</x:v>
      </x:c>
    </x:row>
    <x:row r="8667">
      <x:c r="A8667" s="1" t="n">
        <x:v>69234</x:v>
      </x:c>
      <x:c r="B8667" s="5" t="d">
        <x:v>2017-10-07T00:00:00.000Z</x:v>
      </x:c>
      <x:c r="C8667" s="1" t="str">
        <x:v>First Class</x:v>
      </x:c>
      <x:c r="D8667" s="1" t="str">
        <x:v>Europe</x:v>
      </x:c>
      <x:c r="E8667" s="1" t="str">
        <x:v>PENDING_PAYMENT</x:v>
      </x:c>
      <x:c r="F8667" s="1" t="str">
        <x:v>Late delivery</x:v>
      </x:c>
      <x:c r="G8667" s="6" t="n">
        <x:v>2</x:v>
      </x:c>
      <x:c r="H8667" s="6" t="n">
        <x:v>1</x:v>
      </x:c>
      <x:c r="I8667" s="6" t="n">
        <x:f>G8667-H8667</x:f>
        <x:v>1</x:v>
      </x:c>
      <x:c r="J8667" s="6" t="n">
        <x:f>IF(OR(E8667="CANCELED",E8667="SUSPECTED_FRAUD",F8667="Shipping canceled"),0,1)</x:f>
        <x:v>1</x:v>
      </x:c>
      <x:c r="K8667" s="6" t="n">
        <x:f>IF(G8667&gt;H8667,1,0)</x:f>
        <x:v>1</x:v>
      </x:c>
      <x:c r="L8667" s="6" t="n">
        <x:f>J8667*K8667</x:f>
        <x:v>1</x:v>
      </x:c>
    </x:row>
    <x:row r="8668">
      <x:c r="A8668" s="1" t="n">
        <x:v>69235</x:v>
      </x:c>
      <x:c r="B8668" s="5" t="d">
        <x:v>2017-10-07T00:00:00.000Z</x:v>
      </x:c>
      <x:c r="C8668" s="1" t="str">
        <x:v>Standard Class</x:v>
      </x:c>
      <x:c r="D8668" s="1" t="str">
        <x:v>Europe</x:v>
      </x:c>
      <x:c r="E8668" s="1" t="str">
        <x:v>PROCESSING</x:v>
      </x:c>
      <x:c r="F8668" s="1" t="str">
        <x:v>Late delivery</x:v>
      </x:c>
      <x:c r="G8668" s="6" t="n">
        <x:v>6</x:v>
      </x:c>
      <x:c r="H8668" s="6" t="n">
        <x:v>4</x:v>
      </x:c>
      <x:c r="I8668" s="6" t="n">
        <x:f>G8668-H8668</x:f>
        <x:v>2</x:v>
      </x:c>
      <x:c r="J8668" s="6" t="n">
        <x:f>IF(OR(E8668="CANCELED",E8668="SUSPECTED_FRAUD",F8668="Shipping canceled"),0,1)</x:f>
        <x:v>1</x:v>
      </x:c>
      <x:c r="K8668" s="6" t="n">
        <x:f>IF(G8668&gt;H8668,1,0)</x:f>
        <x:v>1</x:v>
      </x:c>
      <x:c r="L8668" s="6" t="n">
        <x:f>J8668*K8668</x:f>
        <x:v>1</x:v>
      </x:c>
    </x:row>
    <x:row r="8669">
      <x:c r="A8669" s="1" t="n">
        <x:v>69237</x:v>
      </x:c>
      <x:c r="B8669" s="5" t="d">
        <x:v>2017-10-07T00:00:00.000Z</x:v>
      </x:c>
      <x:c r="C8669" s="1" t="str">
        <x:v>Standard Class</x:v>
      </x:c>
      <x:c r="D8669" s="1" t="str">
        <x:v>Europe</x:v>
      </x:c>
      <x:c r="E8669" s="1" t="str">
        <x:v>PROCESSING</x:v>
      </x:c>
      <x:c r="F8669" s="1" t="str">
        <x:v>Advance shipping</x:v>
      </x:c>
      <x:c r="G8669" s="6" t="n">
        <x:v>3</x:v>
      </x:c>
      <x:c r="H8669" s="6" t="n">
        <x:v>4</x:v>
      </x:c>
      <x:c r="I8669" s="6" t="n">
        <x:f>G8669-H8669</x:f>
        <x:v>-1</x:v>
      </x:c>
      <x:c r="J8669" s="6" t="n">
        <x:f>IF(OR(E8669="CANCELED",E8669="SUSPECTED_FRAUD",F8669="Shipping canceled"),0,1)</x:f>
        <x:v>1</x:v>
      </x:c>
      <x:c r="K8669" s="6" t="n">
        <x:f>IF(G8669&gt;H8669,1,0)</x:f>
        <x:v>0</x:v>
      </x:c>
      <x:c r="L8669" s="6" t="n">
        <x:f>J8669*K8669</x:f>
        <x:v>0</x:v>
      </x:c>
    </x:row>
    <x:row r="8670">
      <x:c r="A8670" s="1" t="n">
        <x:v>69242</x:v>
      </x:c>
      <x:c r="B8670" s="5" t="d">
        <x:v>2017-10-07T00:00:00.000Z</x:v>
      </x:c>
      <x:c r="C8670" s="1" t="str">
        <x:v>Standard Class</x:v>
      </x:c>
      <x:c r="D8670" s="1" t="str">
        <x:v>Europe</x:v>
      </x:c>
      <x:c r="E8670" s="1" t="str">
        <x:v>COMPLETE</x:v>
      </x:c>
      <x:c r="F8670" s="1" t="str">
        <x:v>Advance shipping</x:v>
      </x:c>
      <x:c r="G8670" s="6" t="n">
        <x:v>3</x:v>
      </x:c>
      <x:c r="H8670" s="6" t="n">
        <x:v>4</x:v>
      </x:c>
      <x:c r="I8670" s="6" t="n">
        <x:f>G8670-H8670</x:f>
        <x:v>-1</x:v>
      </x:c>
      <x:c r="J8670" s="6" t="n">
        <x:f>IF(OR(E8670="CANCELED",E8670="SUSPECTED_FRAUD",F8670="Shipping canceled"),0,1)</x:f>
        <x:v>1</x:v>
      </x:c>
      <x:c r="K8670" s="6" t="n">
        <x:f>IF(G8670&gt;H8670,1,0)</x:f>
        <x:v>0</x:v>
      </x:c>
      <x:c r="L8670" s="6" t="n">
        <x:f>J8670*K8670</x:f>
        <x:v>0</x:v>
      </x:c>
    </x:row>
    <x:row r="8671">
      <x:c r="A8671" s="1" t="n">
        <x:v>69251</x:v>
      </x:c>
      <x:c r="B8671" s="5" t="d">
        <x:v>2017-10-07T00:00:00.000Z</x:v>
      </x:c>
      <x:c r="C8671" s="1" t="str">
        <x:v>Standard Class</x:v>
      </x:c>
      <x:c r="D8671" s="1" t="str">
        <x:v>Europe</x:v>
      </x:c>
      <x:c r="E8671" s="1" t="str">
        <x:v>COMPLETE</x:v>
      </x:c>
      <x:c r="F8671" s="1" t="str">
        <x:v>Advance shipping</x:v>
      </x:c>
      <x:c r="G8671" s="6" t="n">
        <x:v>2</x:v>
      </x:c>
      <x:c r="H8671" s="6" t="n">
        <x:v>4</x:v>
      </x:c>
      <x:c r="I8671" s="6" t="n">
        <x:f>G8671-H8671</x:f>
        <x:v>-2</x:v>
      </x:c>
      <x:c r="J8671" s="6" t="n">
        <x:f>IF(OR(E8671="CANCELED",E8671="SUSPECTED_FRAUD",F8671="Shipping canceled"),0,1)</x:f>
        <x:v>1</x:v>
      </x:c>
      <x:c r="K8671" s="6" t="n">
        <x:f>IF(G8671&gt;H8671,1,0)</x:f>
        <x:v>0</x:v>
      </x:c>
      <x:c r="L8671" s="6" t="n">
        <x:f>J8671*K8671</x:f>
        <x:v>0</x:v>
      </x:c>
    </x:row>
    <x:row r="8672">
      <x:c r="A8672" s="1" t="n">
        <x:v>69268</x:v>
      </x:c>
      <x:c r="B8672" s="5" t="d">
        <x:v>2017-10-08T00:00:00.000Z</x:v>
      </x:c>
      <x:c r="C8672" s="1" t="str">
        <x:v>Same Day</x:v>
      </x:c>
      <x:c r="D8672" s="1" t="str">
        <x:v>Europe</x:v>
      </x:c>
      <x:c r="E8672" s="1" t="str">
        <x:v>PENDING</x:v>
      </x:c>
      <x:c r="F8672" s="1" t="str">
        <x:v>Shipping on time</x:v>
      </x:c>
      <x:c r="G8672" s="6" t="n">
        <x:v>0</x:v>
      </x:c>
      <x:c r="H8672" s="6" t="n">
        <x:v>0</x:v>
      </x:c>
      <x:c r="I8672" s="6" t="n">
        <x:f>G8672-H8672</x:f>
        <x:v>0</x:v>
      </x:c>
      <x:c r="J8672" s="6" t="n">
        <x:f>IF(OR(E8672="CANCELED",E8672="SUSPECTED_FRAUD",F8672="Shipping canceled"),0,1)</x:f>
        <x:v>1</x:v>
      </x:c>
      <x:c r="K8672" s="6" t="n">
        <x:f>IF(G8672&gt;H8672,1,0)</x:f>
        <x:v>0</x:v>
      </x:c>
      <x:c r="L8672" s="6" t="n">
        <x:f>J8672*K8672</x:f>
        <x:v>0</x:v>
      </x:c>
    </x:row>
    <x:row r="8673">
      <x:c r="A8673" s="1" t="n">
        <x:v>69285</x:v>
      </x:c>
      <x:c r="B8673" s="5" t="d">
        <x:v>2017-10-08T00:00:00.000Z</x:v>
      </x:c>
      <x:c r="C8673" s="1" t="str">
        <x:v>Second Class</x:v>
      </x:c>
      <x:c r="D8673" s="1" t="str">
        <x:v>Europe</x:v>
      </x:c>
      <x:c r="E8673" s="1" t="str">
        <x:v>COMPLETE</x:v>
      </x:c>
      <x:c r="F8673" s="1" t="str">
        <x:v>Late delivery</x:v>
      </x:c>
      <x:c r="G8673" s="6" t="n">
        <x:v>6</x:v>
      </x:c>
      <x:c r="H8673" s="6" t="n">
        <x:v>2</x:v>
      </x:c>
      <x:c r="I8673" s="6" t="n">
        <x:f>G8673-H8673</x:f>
        <x:v>4</x:v>
      </x:c>
      <x:c r="J8673" s="6" t="n">
        <x:f>IF(OR(E8673="CANCELED",E8673="SUSPECTED_FRAUD",F8673="Shipping canceled"),0,1)</x:f>
        <x:v>1</x:v>
      </x:c>
      <x:c r="K8673" s="6" t="n">
        <x:f>IF(G8673&gt;H8673,1,0)</x:f>
        <x:v>1</x:v>
      </x:c>
      <x:c r="L8673" s="6" t="n">
        <x:f>J8673*K8673</x:f>
        <x:v>1</x:v>
      </x:c>
    </x:row>
    <x:row r="8674">
      <x:c r="A8674" s="1" t="n">
        <x:v>69302</x:v>
      </x:c>
      <x:c r="B8674" s="5" t="d">
        <x:v>2017-10-08T00:00:00.000Z</x:v>
      </x:c>
      <x:c r="C8674" s="1" t="str">
        <x:v>Second Class</x:v>
      </x:c>
      <x:c r="D8674" s="1" t="str">
        <x:v>Europe</x:v>
      </x:c>
      <x:c r="E8674" s="1" t="str">
        <x:v>COMPLETE</x:v>
      </x:c>
      <x:c r="F8674" s="1" t="str">
        <x:v>Late delivery</x:v>
      </x:c>
      <x:c r="G8674" s="6" t="n">
        <x:v>3</x:v>
      </x:c>
      <x:c r="H8674" s="6" t="n">
        <x:v>2</x:v>
      </x:c>
      <x:c r="I8674" s="6" t="n">
        <x:f>G8674-H8674</x:f>
        <x:v>1</x:v>
      </x:c>
      <x:c r="J8674" s="6" t="n">
        <x:f>IF(OR(E8674="CANCELED",E8674="SUSPECTED_FRAUD",F8674="Shipping canceled"),0,1)</x:f>
        <x:v>1</x:v>
      </x:c>
      <x:c r="K8674" s="6" t="n">
        <x:f>IF(G8674&gt;H8674,1,0)</x:f>
        <x:v>1</x:v>
      </x:c>
      <x:c r="L8674" s="6" t="n">
        <x:f>J8674*K8674</x:f>
        <x:v>1</x:v>
      </x:c>
    </x:row>
    <x:row r="8675">
      <x:c r="A8675" s="1" t="n">
        <x:v>69310</x:v>
      </x:c>
      <x:c r="B8675" s="5" t="d">
        <x:v>2017-10-08T00:00:00.000Z</x:v>
      </x:c>
      <x:c r="C8675" s="1" t="str">
        <x:v>Standard Class</x:v>
      </x:c>
      <x:c r="D8675" s="1" t="str">
        <x:v>Europe</x:v>
      </x:c>
      <x:c r="E8675" s="1" t="str">
        <x:v>COMPLETE</x:v>
      </x:c>
      <x:c r="F8675" s="1" t="str">
        <x:v>Late delivery</x:v>
      </x:c>
      <x:c r="G8675" s="6" t="n">
        <x:v>6</x:v>
      </x:c>
      <x:c r="H8675" s="6" t="n">
        <x:v>4</x:v>
      </x:c>
      <x:c r="I8675" s="6" t="n">
        <x:f>G8675-H8675</x:f>
        <x:v>2</x:v>
      </x:c>
      <x:c r="J8675" s="6" t="n">
        <x:f>IF(OR(E8675="CANCELED",E8675="SUSPECTED_FRAUD",F8675="Shipping canceled"),0,1)</x:f>
        <x:v>1</x:v>
      </x:c>
      <x:c r="K8675" s="6" t="n">
        <x:f>IF(G8675&gt;H8675,1,0)</x:f>
        <x:v>1</x:v>
      </x:c>
      <x:c r="L8675" s="6" t="n">
        <x:f>J8675*K8675</x:f>
        <x:v>1</x:v>
      </x:c>
    </x:row>
    <x:row r="8676">
      <x:c r="A8676" s="1" t="n">
        <x:v>69322</x:v>
      </x:c>
      <x:c r="B8676" s="5" t="d">
        <x:v>2017-10-08T00:00:00.000Z</x:v>
      </x:c>
      <x:c r="C8676" s="1" t="str">
        <x:v>Standard Class</x:v>
      </x:c>
      <x:c r="D8676" s="1" t="str">
        <x:v>Europe</x:v>
      </x:c>
      <x:c r="E8676" s="1" t="str">
        <x:v>COMPLETE</x:v>
      </x:c>
      <x:c r="F8676" s="1" t="str">
        <x:v>Advance shipping</x:v>
      </x:c>
      <x:c r="G8676" s="6" t="n">
        <x:v>3</x:v>
      </x:c>
      <x:c r="H8676" s="6" t="n">
        <x:v>4</x:v>
      </x:c>
      <x:c r="I8676" s="6" t="n">
        <x:f>G8676-H8676</x:f>
        <x:v>-1</x:v>
      </x:c>
      <x:c r="J8676" s="6" t="n">
        <x:f>IF(OR(E8676="CANCELED",E8676="SUSPECTED_FRAUD",F8676="Shipping canceled"),0,1)</x:f>
        <x:v>1</x:v>
      </x:c>
      <x:c r="K8676" s="6" t="n">
        <x:f>IF(G8676&gt;H8676,1,0)</x:f>
        <x:v>0</x:v>
      </x:c>
      <x:c r="L8676" s="6" t="n">
        <x:f>J8676*K8676</x:f>
        <x:v>0</x:v>
      </x:c>
    </x:row>
    <x:row r="8677">
      <x:c r="A8677" s="1" t="n">
        <x:v>69354</x:v>
      </x:c>
      <x:c r="B8677" s="5" t="d">
        <x:v>2017-10-09T00:00:00.000Z</x:v>
      </x:c>
      <x:c r="C8677" s="1" t="str">
        <x:v>First Class</x:v>
      </x:c>
      <x:c r="D8677" s="1" t="str">
        <x:v>Europe</x:v>
      </x:c>
      <x:c r="E8677" s="1" t="str">
        <x:v>CLOSED</x:v>
      </x:c>
      <x:c r="F8677" s="1" t="str">
        <x:v>Late delivery</x:v>
      </x:c>
      <x:c r="G8677" s="6" t="n">
        <x:v>2</x:v>
      </x:c>
      <x:c r="H8677" s="6" t="n">
        <x:v>1</x:v>
      </x:c>
      <x:c r="I8677" s="6" t="n">
        <x:f>G8677-H8677</x:f>
        <x:v>1</x:v>
      </x:c>
      <x:c r="J8677" s="6" t="n">
        <x:f>IF(OR(E8677="CANCELED",E8677="SUSPECTED_FRAUD",F8677="Shipping canceled"),0,1)</x:f>
        <x:v>1</x:v>
      </x:c>
      <x:c r="K8677" s="6" t="n">
        <x:f>IF(G8677&gt;H8677,1,0)</x:f>
        <x:v>1</x:v>
      </x:c>
      <x:c r="L8677" s="6" t="n">
        <x:f>J8677*K8677</x:f>
        <x:v>1</x:v>
      </x:c>
    </x:row>
    <x:row r="8678">
      <x:c r="A8678" s="1" t="n">
        <x:v>69360</x:v>
      </x:c>
      <x:c r="B8678" s="5" t="d">
        <x:v>2017-10-09T00:00:00.000Z</x:v>
      </x:c>
      <x:c r="C8678" s="1" t="str">
        <x:v>Standard Class</x:v>
      </x:c>
      <x:c r="D8678" s="1" t="str">
        <x:v>Europe</x:v>
      </x:c>
      <x:c r="E8678" s="1" t="str">
        <x:v>COMPLETE</x:v>
      </x:c>
      <x:c r="F8678" s="1" t="str">
        <x:v>Late delivery</x:v>
      </x:c>
      <x:c r="G8678" s="6" t="n">
        <x:v>6</x:v>
      </x:c>
      <x:c r="H8678" s="6" t="n">
        <x:v>4</x:v>
      </x:c>
      <x:c r="I8678" s="6" t="n">
        <x:f>G8678-H8678</x:f>
        <x:v>2</x:v>
      </x:c>
      <x:c r="J8678" s="6" t="n">
        <x:f>IF(OR(E8678="CANCELED",E8678="SUSPECTED_FRAUD",F8678="Shipping canceled"),0,1)</x:f>
        <x:v>1</x:v>
      </x:c>
      <x:c r="K8678" s="6" t="n">
        <x:f>IF(G8678&gt;H8678,1,0)</x:f>
        <x:v>1</x:v>
      </x:c>
      <x:c r="L8678" s="6" t="n">
        <x:f>J8678*K8678</x:f>
        <x:v>1</x:v>
      </x:c>
    </x:row>
    <x:row r="8679">
      <x:c r="A8679" s="1" t="n">
        <x:v>69362</x:v>
      </x:c>
      <x:c r="B8679" s="5" t="d">
        <x:v>2017-10-09T00:00:00.000Z</x:v>
      </x:c>
      <x:c r="C8679" s="1" t="str">
        <x:v>First Class</x:v>
      </x:c>
      <x:c r="D8679" s="1" t="str">
        <x:v>Europe</x:v>
      </x:c>
      <x:c r="E8679" s="1" t="str">
        <x:v>PROCESSING</x:v>
      </x:c>
      <x:c r="F8679" s="1" t="str">
        <x:v>Late delivery</x:v>
      </x:c>
      <x:c r="G8679" s="6" t="n">
        <x:v>2</x:v>
      </x:c>
      <x:c r="H8679" s="6" t="n">
        <x:v>1</x:v>
      </x:c>
      <x:c r="I8679" s="6" t="n">
        <x:f>G8679-H8679</x:f>
        <x:v>1</x:v>
      </x:c>
      <x:c r="J8679" s="6" t="n">
        <x:f>IF(OR(E8679="CANCELED",E8679="SUSPECTED_FRAUD",F8679="Shipping canceled"),0,1)</x:f>
        <x:v>1</x:v>
      </x:c>
      <x:c r="K8679" s="6" t="n">
        <x:f>IF(G8679&gt;H8679,1,0)</x:f>
        <x:v>1</x:v>
      </x:c>
      <x:c r="L8679" s="6" t="n">
        <x:f>J8679*K8679</x:f>
        <x:v>1</x:v>
      </x:c>
    </x:row>
    <x:row r="8680">
      <x:c r="A8680" s="1" t="n">
        <x:v>69378</x:v>
      </x:c>
      <x:c r="B8680" s="5" t="d">
        <x:v>2017-10-09T00:00:00.000Z</x:v>
      </x:c>
      <x:c r="C8680" s="1" t="str">
        <x:v>Standard Class</x:v>
      </x:c>
      <x:c r="D8680" s="1" t="str">
        <x:v>Europe</x:v>
      </x:c>
      <x:c r="E8680" s="1" t="str">
        <x:v>COMPLETE</x:v>
      </x:c>
      <x:c r="F8680" s="1" t="str">
        <x:v>Shipping on time</x:v>
      </x:c>
      <x:c r="G8680" s="6" t="n">
        <x:v>4</x:v>
      </x:c>
      <x:c r="H8680" s="6" t="n">
        <x:v>4</x:v>
      </x:c>
      <x:c r="I8680" s="6" t="n">
        <x:f>G8680-H8680</x:f>
        <x:v>0</x:v>
      </x:c>
      <x:c r="J8680" s="6" t="n">
        <x:f>IF(OR(E8680="CANCELED",E8680="SUSPECTED_FRAUD",F8680="Shipping canceled"),0,1)</x:f>
        <x:v>1</x:v>
      </x:c>
      <x:c r="K8680" s="6" t="n">
        <x:f>IF(G8680&gt;H8680,1,0)</x:f>
        <x:v>0</x:v>
      </x:c>
      <x:c r="L8680" s="6" t="n">
        <x:f>J8680*K8680</x:f>
        <x:v>0</x:v>
      </x:c>
    </x:row>
    <x:row r="8681">
      <x:c r="A8681" s="1" t="n">
        <x:v>69386</x:v>
      </x:c>
      <x:c r="B8681" s="5" t="d">
        <x:v>2017-10-09T00:00:00.000Z</x:v>
      </x:c>
      <x:c r="C8681" s="1" t="str">
        <x:v>Standard Class</x:v>
      </x:c>
      <x:c r="D8681" s="1" t="str">
        <x:v>Europe</x:v>
      </x:c>
      <x:c r="E8681" s="1" t="str">
        <x:v>COMPLETE</x:v>
      </x:c>
      <x:c r="F8681" s="1" t="str">
        <x:v>Advance shipping</x:v>
      </x:c>
      <x:c r="G8681" s="6" t="n">
        <x:v>2</x:v>
      </x:c>
      <x:c r="H8681" s="6" t="n">
        <x:v>4</x:v>
      </x:c>
      <x:c r="I8681" s="6" t="n">
        <x:f>G8681-H8681</x:f>
        <x:v>-2</x:v>
      </x:c>
      <x:c r="J8681" s="6" t="n">
        <x:f>IF(OR(E8681="CANCELED",E8681="SUSPECTED_FRAUD",F8681="Shipping canceled"),0,1)</x:f>
        <x:v>1</x:v>
      </x:c>
      <x:c r="K8681" s="6" t="n">
        <x:f>IF(G8681&gt;H8681,1,0)</x:f>
        <x:v>0</x:v>
      </x:c>
      <x:c r="L8681" s="6" t="n">
        <x:f>J8681*K8681</x:f>
        <x:v>0</x:v>
      </x:c>
    </x:row>
    <x:row r="8682">
      <x:c r="A8682" s="1" t="n">
        <x:v>69408</x:v>
      </x:c>
      <x:c r="B8682" s="5" t="d">
        <x:v>2017-10-10T00:00:00.000Z</x:v>
      </x:c>
      <x:c r="C8682" s="1" t="str">
        <x:v>Second Class</x:v>
      </x:c>
      <x:c r="D8682" s="1" t="str">
        <x:v>Europe</x:v>
      </x:c>
      <x:c r="E8682" s="1" t="str">
        <x:v>COMPLETE</x:v>
      </x:c>
      <x:c r="F8682" s="1" t="str">
        <x:v>Late delivery</x:v>
      </x:c>
      <x:c r="G8682" s="6" t="n">
        <x:v>4</x:v>
      </x:c>
      <x:c r="H8682" s="6" t="n">
        <x:v>2</x:v>
      </x:c>
      <x:c r="I8682" s="6" t="n">
        <x:f>G8682-H8682</x:f>
        <x:v>2</x:v>
      </x:c>
      <x:c r="J8682" s="6" t="n">
        <x:f>IF(OR(E8682="CANCELED",E8682="SUSPECTED_FRAUD",F8682="Shipping canceled"),0,1)</x:f>
        <x:v>1</x:v>
      </x:c>
      <x:c r="K8682" s="6" t="n">
        <x:f>IF(G8682&gt;H8682,1,0)</x:f>
        <x:v>1</x:v>
      </x:c>
      <x:c r="L8682" s="6" t="n">
        <x:f>J8682*K8682</x:f>
        <x:v>1</x:v>
      </x:c>
    </x:row>
    <x:row r="8683">
      <x:c r="A8683" s="1" t="n">
        <x:v>69411</x:v>
      </x:c>
      <x:c r="B8683" s="5" t="d">
        <x:v>2017-10-10T00:00:00.000Z</x:v>
      </x:c>
      <x:c r="C8683" s="1" t="str">
        <x:v>Standard Class</x:v>
      </x:c>
      <x:c r="D8683" s="1" t="str">
        <x:v>Europe</x:v>
      </x:c>
      <x:c r="E8683" s="1" t="str">
        <x:v>ON_HOLD</x:v>
      </x:c>
      <x:c r="F8683" s="1" t="str">
        <x:v>Advance shipping</x:v>
      </x:c>
      <x:c r="G8683" s="6" t="n">
        <x:v>2</x:v>
      </x:c>
      <x:c r="H8683" s="6" t="n">
        <x:v>4</x:v>
      </x:c>
      <x:c r="I8683" s="6" t="n">
        <x:f>G8683-H8683</x:f>
        <x:v>-2</x:v>
      </x:c>
      <x:c r="J8683" s="6" t="n">
        <x:f>IF(OR(E8683="CANCELED",E8683="SUSPECTED_FRAUD",F8683="Shipping canceled"),0,1)</x:f>
        <x:v>1</x:v>
      </x:c>
      <x:c r="K8683" s="6" t="n">
        <x:f>IF(G8683&gt;H8683,1,0)</x:f>
        <x:v>0</x:v>
      </x:c>
      <x:c r="L8683" s="6" t="n">
        <x:f>J8683*K8683</x:f>
        <x:v>0</x:v>
      </x:c>
    </x:row>
    <x:row r="8684">
      <x:c r="A8684" s="1" t="n">
        <x:v>69419</x:v>
      </x:c>
      <x:c r="B8684" s="5" t="d">
        <x:v>2017-10-10T00:00:00.000Z</x:v>
      </x:c>
      <x:c r="C8684" s="1" t="str">
        <x:v>Standard Class</x:v>
      </x:c>
      <x:c r="D8684" s="1" t="str">
        <x:v>Europe</x:v>
      </x:c>
      <x:c r="E8684" s="1" t="str">
        <x:v>COMPLETE</x:v>
      </x:c>
      <x:c r="F8684" s="1" t="str">
        <x:v>Late delivery</x:v>
      </x:c>
      <x:c r="G8684" s="6" t="n">
        <x:v>5</x:v>
      </x:c>
      <x:c r="H8684" s="6" t="n">
        <x:v>4</x:v>
      </x:c>
      <x:c r="I8684" s="6" t="n">
        <x:f>G8684-H8684</x:f>
        <x:v>1</x:v>
      </x:c>
      <x:c r="J8684" s="6" t="n">
        <x:f>IF(OR(E8684="CANCELED",E8684="SUSPECTED_FRAUD",F8684="Shipping canceled"),0,1)</x:f>
        <x:v>1</x:v>
      </x:c>
      <x:c r="K8684" s="6" t="n">
        <x:f>IF(G8684&gt;H8684,1,0)</x:f>
        <x:v>1</x:v>
      </x:c>
      <x:c r="L8684" s="6" t="n">
        <x:f>J8684*K8684</x:f>
        <x:v>1</x:v>
      </x:c>
    </x:row>
    <x:row r="8685">
      <x:c r="A8685" s="1" t="n">
        <x:v>69423</x:v>
      </x:c>
      <x:c r="B8685" s="5" t="d">
        <x:v>2017-10-10T00:00:00.000Z</x:v>
      </x:c>
      <x:c r="C8685" s="1" t="str">
        <x:v>Standard Class</x:v>
      </x:c>
      <x:c r="D8685" s="1" t="str">
        <x:v>Europe</x:v>
      </x:c>
      <x:c r="E8685" s="1" t="str">
        <x:v>COMPLETE</x:v>
      </x:c>
      <x:c r="F8685" s="1" t="str">
        <x:v>Shipping on time</x:v>
      </x:c>
      <x:c r="G8685" s="6" t="n">
        <x:v>4</x:v>
      </x:c>
      <x:c r="H8685" s="6" t="n">
        <x:v>4</x:v>
      </x:c>
      <x:c r="I8685" s="6" t="n">
        <x:f>G8685-H8685</x:f>
        <x:v>0</x:v>
      </x:c>
      <x:c r="J8685" s="6" t="n">
        <x:f>IF(OR(E8685="CANCELED",E8685="SUSPECTED_FRAUD",F8685="Shipping canceled"),0,1)</x:f>
        <x:v>1</x:v>
      </x:c>
      <x:c r="K8685" s="6" t="n">
        <x:f>IF(G8685&gt;H8685,1,0)</x:f>
        <x:v>0</x:v>
      </x:c>
      <x:c r="L8685" s="6" t="n">
        <x:f>J8685*K8685</x:f>
        <x:v>0</x:v>
      </x:c>
    </x:row>
    <x:row r="8686">
      <x:c r="A8686" s="1" t="n">
        <x:v>69445</x:v>
      </x:c>
      <x:c r="B8686" s="5" t="d">
        <x:v>2017-10-10T00:00:00.000Z</x:v>
      </x:c>
      <x:c r="C8686" s="1" t="str">
        <x:v>First Class</x:v>
      </x:c>
      <x:c r="D8686" s="1" t="str">
        <x:v>Europe</x:v>
      </x:c>
      <x:c r="E8686" s="1" t="str">
        <x:v>CLOSED</x:v>
      </x:c>
      <x:c r="F8686" s="1" t="str">
        <x:v>Late delivery</x:v>
      </x:c>
      <x:c r="G8686" s="6" t="n">
        <x:v>2</x:v>
      </x:c>
      <x:c r="H8686" s="6" t="n">
        <x:v>1</x:v>
      </x:c>
      <x:c r="I8686" s="6" t="n">
        <x:f>G8686-H8686</x:f>
        <x:v>1</x:v>
      </x:c>
      <x:c r="J8686" s="6" t="n">
        <x:f>IF(OR(E8686="CANCELED",E8686="SUSPECTED_FRAUD",F8686="Shipping canceled"),0,1)</x:f>
        <x:v>1</x:v>
      </x:c>
      <x:c r="K8686" s="6" t="n">
        <x:f>IF(G8686&gt;H8686,1,0)</x:f>
        <x:v>1</x:v>
      </x:c>
      <x:c r="L8686" s="6" t="n">
        <x:f>J8686*K8686</x:f>
        <x:v>1</x:v>
      </x:c>
    </x:row>
    <x:row r="8687">
      <x:c r="A8687" s="1" t="n">
        <x:v>69448</x:v>
      </x:c>
      <x:c r="B8687" s="5" t="d">
        <x:v>2017-10-10T00:00:00.000Z</x:v>
      </x:c>
      <x:c r="C8687" s="1" t="str">
        <x:v>First Class</x:v>
      </x:c>
      <x:c r="D8687" s="1" t="str">
        <x:v>Europe</x:v>
      </x:c>
      <x:c r="E8687" s="1" t="str">
        <x:v>CLOSED</x:v>
      </x:c>
      <x:c r="F8687" s="1" t="str">
        <x:v>Late delivery</x:v>
      </x:c>
      <x:c r="G8687" s="6" t="n">
        <x:v>2</x:v>
      </x:c>
      <x:c r="H8687" s="6" t="n">
        <x:v>1</x:v>
      </x:c>
      <x:c r="I8687" s="6" t="n">
        <x:f>G8687-H8687</x:f>
        <x:v>1</x:v>
      </x:c>
      <x:c r="J8687" s="6" t="n">
        <x:f>IF(OR(E8687="CANCELED",E8687="SUSPECTED_FRAUD",F8687="Shipping canceled"),0,1)</x:f>
        <x:v>1</x:v>
      </x:c>
      <x:c r="K8687" s="6" t="n">
        <x:f>IF(G8687&gt;H8687,1,0)</x:f>
        <x:v>1</x:v>
      </x:c>
      <x:c r="L8687" s="6" t="n">
        <x:f>J8687*K8687</x:f>
        <x:v>1</x:v>
      </x:c>
    </x:row>
    <x:row r="8688">
      <x:c r="A8688" s="1" t="n">
        <x:v>69449</x:v>
      </x:c>
      <x:c r="B8688" s="5" t="d">
        <x:v>2017-10-10T00:00:00.000Z</x:v>
      </x:c>
      <x:c r="C8688" s="1" t="str">
        <x:v>First Class</x:v>
      </x:c>
      <x:c r="D8688" s="1" t="str">
        <x:v>Europe</x:v>
      </x:c>
      <x:c r="E8688" s="1" t="str">
        <x:v>CLOSED</x:v>
      </x:c>
      <x:c r="F8688" s="1" t="str">
        <x:v>Late delivery</x:v>
      </x:c>
      <x:c r="G8688" s="6" t="n">
        <x:v>2</x:v>
      </x:c>
      <x:c r="H8688" s="6" t="n">
        <x:v>1</x:v>
      </x:c>
      <x:c r="I8688" s="6" t="n">
        <x:f>G8688-H8688</x:f>
        <x:v>1</x:v>
      </x:c>
      <x:c r="J8688" s="6" t="n">
        <x:f>IF(OR(E8688="CANCELED",E8688="SUSPECTED_FRAUD",F8688="Shipping canceled"),0,1)</x:f>
        <x:v>1</x:v>
      </x:c>
      <x:c r="K8688" s="6" t="n">
        <x:f>IF(G8688&gt;H8688,1,0)</x:f>
        <x:v>1</x:v>
      </x:c>
      <x:c r="L8688" s="6" t="n">
        <x:f>J8688*K8688</x:f>
        <x:v>1</x:v>
      </x:c>
    </x:row>
    <x:row r="8689">
      <x:c r="A8689" s="1" t="n">
        <x:v>69463</x:v>
      </x:c>
      <x:c r="B8689" s="5" t="d">
        <x:v>2017-10-10T00:00:00.000Z</x:v>
      </x:c>
      <x:c r="C8689" s="1" t="str">
        <x:v>First Class</x:v>
      </x:c>
      <x:c r="D8689" s="1" t="str">
        <x:v>Europe</x:v>
      </x:c>
      <x:c r="E8689" s="1" t="str">
        <x:v>PROCESSING</x:v>
      </x:c>
      <x:c r="F8689" s="1" t="str">
        <x:v>Late delivery</x:v>
      </x:c>
      <x:c r="G8689" s="6" t="n">
        <x:v>2</x:v>
      </x:c>
      <x:c r="H8689" s="6" t="n">
        <x:v>1</x:v>
      </x:c>
      <x:c r="I8689" s="6" t="n">
        <x:f>G8689-H8689</x:f>
        <x:v>1</x:v>
      </x:c>
      <x:c r="J8689" s="6" t="n">
        <x:f>IF(OR(E8689="CANCELED",E8689="SUSPECTED_FRAUD",F8689="Shipping canceled"),0,1)</x:f>
        <x:v>1</x:v>
      </x:c>
      <x:c r="K8689" s="6" t="n">
        <x:f>IF(G8689&gt;H8689,1,0)</x:f>
        <x:v>1</x:v>
      </x:c>
      <x:c r="L8689" s="6" t="n">
        <x:f>J8689*K8689</x:f>
        <x:v>1</x:v>
      </x:c>
    </x:row>
    <x:row r="8690">
      <x:c r="A8690" s="1" t="n">
        <x:v>69471</x:v>
      </x:c>
      <x:c r="B8690" s="5" t="d">
        <x:v>2017-10-11T00:00:00.000Z</x:v>
      </x:c>
      <x:c r="C8690" s="1" t="str">
        <x:v>Second Class</x:v>
      </x:c>
      <x:c r="D8690" s="1" t="str">
        <x:v>Europe</x:v>
      </x:c>
      <x:c r="E8690" s="1" t="str">
        <x:v>COMPLETE</x:v>
      </x:c>
      <x:c r="F8690" s="1" t="str">
        <x:v>Shipping on time</x:v>
      </x:c>
      <x:c r="G8690" s="6" t="n">
        <x:v>2</x:v>
      </x:c>
      <x:c r="H8690" s="6" t="n">
        <x:v>2</x:v>
      </x:c>
      <x:c r="I8690" s="6" t="n">
        <x:f>G8690-H8690</x:f>
        <x:v>0</x:v>
      </x:c>
      <x:c r="J8690" s="6" t="n">
        <x:f>IF(OR(E8690="CANCELED",E8690="SUSPECTED_FRAUD",F8690="Shipping canceled"),0,1)</x:f>
        <x:v>1</x:v>
      </x:c>
      <x:c r="K8690" s="6" t="n">
        <x:f>IF(G8690&gt;H8690,1,0)</x:f>
        <x:v>0</x:v>
      </x:c>
      <x:c r="L8690" s="6" t="n">
        <x:f>J8690*K8690</x:f>
        <x:v>0</x:v>
      </x:c>
    </x:row>
    <x:row r="8691">
      <x:c r="A8691" s="1" t="n">
        <x:v>69476</x:v>
      </x:c>
      <x:c r="B8691" s="5" t="d">
        <x:v>2017-10-11T00:00:00.000Z</x:v>
      </x:c>
      <x:c r="C8691" s="1" t="str">
        <x:v>Standard Class</x:v>
      </x:c>
      <x:c r="D8691" s="1" t="str">
        <x:v>Europe</x:v>
      </x:c>
      <x:c r="E8691" s="1" t="str">
        <x:v>PENDING_PAYMENT</x:v>
      </x:c>
      <x:c r="F8691" s="1" t="str">
        <x:v>Advance shipping</x:v>
      </x:c>
      <x:c r="G8691" s="6" t="n">
        <x:v>2</x:v>
      </x:c>
      <x:c r="H8691" s="6" t="n">
        <x:v>4</x:v>
      </x:c>
      <x:c r="I8691" s="6" t="n">
        <x:f>G8691-H8691</x:f>
        <x:v>-2</x:v>
      </x:c>
      <x:c r="J8691" s="6" t="n">
        <x:f>IF(OR(E8691="CANCELED",E8691="SUSPECTED_FRAUD",F8691="Shipping canceled"),0,1)</x:f>
        <x:v>1</x:v>
      </x:c>
      <x:c r="K8691" s="6" t="n">
        <x:f>IF(G8691&gt;H8691,1,0)</x:f>
        <x:v>0</x:v>
      </x:c>
      <x:c r="L8691" s="6" t="n">
        <x:f>J8691*K8691</x:f>
        <x:v>0</x:v>
      </x:c>
    </x:row>
    <x:row r="8692">
      <x:c r="A8692" s="1" t="n">
        <x:v>69478</x:v>
      </x:c>
      <x:c r="B8692" s="5" t="d">
        <x:v>2017-10-11T00:00:00.000Z</x:v>
      </x:c>
      <x:c r="C8692" s="1" t="str">
        <x:v>Standard Class</x:v>
      </x:c>
      <x:c r="D8692" s="1" t="str">
        <x:v>Europe</x:v>
      </x:c>
      <x:c r="E8692" s="1" t="str">
        <x:v>PENDING_PAYMENT</x:v>
      </x:c>
      <x:c r="F8692" s="1" t="str">
        <x:v>Shipping on time</x:v>
      </x:c>
      <x:c r="G8692" s="6" t="n">
        <x:v>4</x:v>
      </x:c>
      <x:c r="H8692" s="6" t="n">
        <x:v>4</x:v>
      </x:c>
      <x:c r="I8692" s="6" t="n">
        <x:f>G8692-H8692</x:f>
        <x:v>0</x:v>
      </x:c>
      <x:c r="J8692" s="6" t="n">
        <x:f>IF(OR(E8692="CANCELED",E8692="SUSPECTED_FRAUD",F8692="Shipping canceled"),0,1)</x:f>
        <x:v>1</x:v>
      </x:c>
      <x:c r="K8692" s="6" t="n">
        <x:f>IF(G8692&gt;H8692,1,0)</x:f>
        <x:v>0</x:v>
      </x:c>
      <x:c r="L8692" s="6" t="n">
        <x:f>J8692*K8692</x:f>
        <x:v>0</x:v>
      </x:c>
    </x:row>
    <x:row r="8693">
      <x:c r="A8693" s="1" t="n">
        <x:v>69482</x:v>
      </x:c>
      <x:c r="B8693" s="5" t="d">
        <x:v>2017-10-11T00:00:00.000Z</x:v>
      </x:c>
      <x:c r="C8693" s="1" t="str">
        <x:v>Second Class</x:v>
      </x:c>
      <x:c r="D8693" s="1" t="str">
        <x:v>Europe</x:v>
      </x:c>
      <x:c r="E8693" s="1" t="str">
        <x:v>COMPLETE</x:v>
      </x:c>
      <x:c r="F8693" s="1" t="str">
        <x:v>Late delivery</x:v>
      </x:c>
      <x:c r="G8693" s="6" t="n">
        <x:v>3</x:v>
      </x:c>
      <x:c r="H8693" s="6" t="n">
        <x:v>2</x:v>
      </x:c>
      <x:c r="I8693" s="6" t="n">
        <x:f>G8693-H8693</x:f>
        <x:v>1</x:v>
      </x:c>
      <x:c r="J8693" s="6" t="n">
        <x:f>IF(OR(E8693="CANCELED",E8693="SUSPECTED_FRAUD",F8693="Shipping canceled"),0,1)</x:f>
        <x:v>1</x:v>
      </x:c>
      <x:c r="K8693" s="6" t="n">
        <x:f>IF(G8693&gt;H8693,1,0)</x:f>
        <x:v>1</x:v>
      </x:c>
      <x:c r="L8693" s="6" t="n">
        <x:f>J8693*K8693</x:f>
        <x:v>1</x:v>
      </x:c>
    </x:row>
    <x:row r="8694">
      <x:c r="A8694" s="1" t="n">
        <x:v>69490</x:v>
      </x:c>
      <x:c r="B8694" s="5" t="d">
        <x:v>2017-10-11T00:00:00.000Z</x:v>
      </x:c>
      <x:c r="C8694" s="1" t="str">
        <x:v>Standard Class</x:v>
      </x:c>
      <x:c r="D8694" s="1" t="str">
        <x:v>Europe</x:v>
      </x:c>
      <x:c r="E8694" s="1" t="str">
        <x:v>COMPLETE</x:v>
      </x:c>
      <x:c r="F8694" s="1" t="str">
        <x:v>Late delivery</x:v>
      </x:c>
      <x:c r="G8694" s="6" t="n">
        <x:v>6</x:v>
      </x:c>
      <x:c r="H8694" s="6" t="n">
        <x:v>4</x:v>
      </x:c>
      <x:c r="I8694" s="6" t="n">
        <x:f>G8694-H8694</x:f>
        <x:v>2</x:v>
      </x:c>
      <x:c r="J8694" s="6" t="n">
        <x:f>IF(OR(E8694="CANCELED",E8694="SUSPECTED_FRAUD",F8694="Shipping canceled"),0,1)</x:f>
        <x:v>1</x:v>
      </x:c>
      <x:c r="K8694" s="6" t="n">
        <x:f>IF(G8694&gt;H8694,1,0)</x:f>
        <x:v>1</x:v>
      </x:c>
      <x:c r="L8694" s="6" t="n">
        <x:f>J8694*K8694</x:f>
        <x:v>1</x:v>
      </x:c>
    </x:row>
    <x:row r="8695">
      <x:c r="A8695" s="1" t="n">
        <x:v>69503</x:v>
      </x:c>
      <x:c r="B8695" s="5" t="d">
        <x:v>2017-10-11T00:00:00.000Z</x:v>
      </x:c>
      <x:c r="C8695" s="1" t="str">
        <x:v>Standard Class</x:v>
      </x:c>
      <x:c r="D8695" s="1" t="str">
        <x:v>Europe</x:v>
      </x:c>
      <x:c r="E8695" s="1" t="str">
        <x:v>COMPLETE</x:v>
      </x:c>
      <x:c r="F8695" s="1" t="str">
        <x:v>Shipping on time</x:v>
      </x:c>
      <x:c r="G8695" s="6" t="n">
        <x:v>4</x:v>
      </x:c>
      <x:c r="H8695" s="6" t="n">
        <x:v>4</x:v>
      </x:c>
      <x:c r="I8695" s="6" t="n">
        <x:f>G8695-H8695</x:f>
        <x:v>0</x:v>
      </x:c>
      <x:c r="J8695" s="6" t="n">
        <x:f>IF(OR(E8695="CANCELED",E8695="SUSPECTED_FRAUD",F8695="Shipping canceled"),0,1)</x:f>
        <x:v>1</x:v>
      </x:c>
      <x:c r="K8695" s="6" t="n">
        <x:f>IF(G8695&gt;H8695,1,0)</x:f>
        <x:v>0</x:v>
      </x:c>
      <x:c r="L8695" s="6" t="n">
        <x:f>J8695*K8695</x:f>
        <x:v>0</x:v>
      </x:c>
    </x:row>
    <x:row r="8696">
      <x:c r="A8696" s="1" t="n">
        <x:v>69511</x:v>
      </x:c>
      <x:c r="B8696" s="5" t="d">
        <x:v>2017-10-11T00:00:00.000Z</x:v>
      </x:c>
      <x:c r="C8696" s="1" t="str">
        <x:v>Standard Class</x:v>
      </x:c>
      <x:c r="D8696" s="1" t="str">
        <x:v>Europe</x:v>
      </x:c>
      <x:c r="E8696" s="1" t="str">
        <x:v>COMPLETE</x:v>
      </x:c>
      <x:c r="F8696" s="1" t="str">
        <x:v>Advance shipping</x:v>
      </x:c>
      <x:c r="G8696" s="6" t="n">
        <x:v>2</x:v>
      </x:c>
      <x:c r="H8696" s="6" t="n">
        <x:v>4</x:v>
      </x:c>
      <x:c r="I8696" s="6" t="n">
        <x:f>G8696-H8696</x:f>
        <x:v>-2</x:v>
      </x:c>
      <x:c r="J8696" s="6" t="n">
        <x:f>IF(OR(E8696="CANCELED",E8696="SUSPECTED_FRAUD",F8696="Shipping canceled"),0,1)</x:f>
        <x:v>1</x:v>
      </x:c>
      <x:c r="K8696" s="6" t="n">
        <x:f>IF(G8696&gt;H8696,1,0)</x:f>
        <x:v>0</x:v>
      </x:c>
      <x:c r="L8696" s="6" t="n">
        <x:f>J8696*K8696</x:f>
        <x:v>0</x:v>
      </x:c>
    </x:row>
    <x:row r="8697">
      <x:c r="A8697" s="1" t="n">
        <x:v>69520</x:v>
      </x:c>
      <x:c r="B8697" s="5" t="d">
        <x:v>2017-10-11T00:00:00.000Z</x:v>
      </x:c>
      <x:c r="C8697" s="1" t="str">
        <x:v>Second Class</x:v>
      </x:c>
      <x:c r="D8697" s="1" t="str">
        <x:v>Europe</x:v>
      </x:c>
      <x:c r="E8697" s="1" t="str">
        <x:v>PENDING</x:v>
      </x:c>
      <x:c r="F8697" s="1" t="str">
        <x:v>Late delivery</x:v>
      </x:c>
      <x:c r="G8697" s="6" t="n">
        <x:v>6</x:v>
      </x:c>
      <x:c r="H8697" s="6" t="n">
        <x:v>2</x:v>
      </x:c>
      <x:c r="I8697" s="6" t="n">
        <x:f>G8697-H8697</x:f>
        <x:v>4</x:v>
      </x:c>
      <x:c r="J8697" s="6" t="n">
        <x:f>IF(OR(E8697="CANCELED",E8697="SUSPECTED_FRAUD",F8697="Shipping canceled"),0,1)</x:f>
        <x:v>1</x:v>
      </x:c>
      <x:c r="K8697" s="6" t="n">
        <x:f>IF(G8697&gt;H8697,1,0)</x:f>
        <x:v>1</x:v>
      </x:c>
      <x:c r="L8697" s="6" t="n">
        <x:f>J8697*K8697</x:f>
        <x:v>1</x:v>
      </x:c>
    </x:row>
    <x:row r="8698">
      <x:c r="A8698" s="1" t="n">
        <x:v>69522</x:v>
      </x:c>
      <x:c r="B8698" s="5" t="d">
        <x:v>2017-10-11T00:00:00.000Z</x:v>
      </x:c>
      <x:c r="C8698" s="1" t="str">
        <x:v>Second Class</x:v>
      </x:c>
      <x:c r="D8698" s="1" t="str">
        <x:v>Europe</x:v>
      </x:c>
      <x:c r="E8698" s="1" t="str">
        <x:v>PROCESSING</x:v>
      </x:c>
      <x:c r="F8698" s="1" t="str">
        <x:v>Late delivery</x:v>
      </x:c>
      <x:c r="G8698" s="6" t="n">
        <x:v>3</x:v>
      </x:c>
      <x:c r="H8698" s="6" t="n">
        <x:v>2</x:v>
      </x:c>
      <x:c r="I8698" s="6" t="n">
        <x:f>G8698-H8698</x:f>
        <x:v>1</x:v>
      </x:c>
      <x:c r="J8698" s="6" t="n">
        <x:f>IF(OR(E8698="CANCELED",E8698="SUSPECTED_FRAUD",F8698="Shipping canceled"),0,1)</x:f>
        <x:v>1</x:v>
      </x:c>
      <x:c r="K8698" s="6" t="n">
        <x:f>IF(G8698&gt;H8698,1,0)</x:f>
        <x:v>1</x:v>
      </x:c>
      <x:c r="L8698" s="6" t="n">
        <x:f>J8698*K8698</x:f>
        <x:v>1</x:v>
      </x:c>
    </x:row>
    <x:row r="8699">
      <x:c r="A8699" s="1" t="n">
        <x:v>69527</x:v>
      </x:c>
      <x:c r="B8699" s="5" t="d">
        <x:v>2017-10-11T00:00:00.000Z</x:v>
      </x:c>
      <x:c r="C8699" s="1" t="str">
        <x:v>Second Class</x:v>
      </x:c>
      <x:c r="D8699" s="1" t="str">
        <x:v>Europe</x:v>
      </x:c>
      <x:c r="E8699" s="1" t="str">
        <x:v>COMPLETE</x:v>
      </x:c>
      <x:c r="F8699" s="1" t="str">
        <x:v>Late delivery</x:v>
      </x:c>
      <x:c r="G8699" s="6" t="n">
        <x:v>3</x:v>
      </x:c>
      <x:c r="H8699" s="6" t="n">
        <x:v>2</x:v>
      </x:c>
      <x:c r="I8699" s="6" t="n">
        <x:f>G8699-H8699</x:f>
        <x:v>1</x:v>
      </x:c>
      <x:c r="J8699" s="6" t="n">
        <x:f>IF(OR(E8699="CANCELED",E8699="SUSPECTED_FRAUD",F8699="Shipping canceled"),0,1)</x:f>
        <x:v>1</x:v>
      </x:c>
      <x:c r="K8699" s="6" t="n">
        <x:f>IF(G8699&gt;H8699,1,0)</x:f>
        <x:v>1</x:v>
      </x:c>
      <x:c r="L8699" s="6" t="n">
        <x:f>J8699*K8699</x:f>
        <x:v>1</x:v>
      </x:c>
    </x:row>
    <x:row r="8700">
      <x:c r="A8700" s="1" t="n">
        <x:v>69533</x:v>
      </x:c>
      <x:c r="B8700" s="5" t="d">
        <x:v>2017-10-12T00:00:00.000Z</x:v>
      </x:c>
      <x:c r="C8700" s="1" t="str">
        <x:v>Standard Class</x:v>
      </x:c>
      <x:c r="D8700" s="1" t="str">
        <x:v>Europe</x:v>
      </x:c>
      <x:c r="E8700" s="1" t="str">
        <x:v>CLOSED</x:v>
      </x:c>
      <x:c r="F8700" s="1" t="str">
        <x:v>Shipping on time</x:v>
      </x:c>
      <x:c r="G8700" s="6" t="n">
        <x:v>4</x:v>
      </x:c>
      <x:c r="H8700" s="6" t="n">
        <x:v>4</x:v>
      </x:c>
      <x:c r="I8700" s="6" t="n">
        <x:f>G8700-H8700</x:f>
        <x:v>0</x:v>
      </x:c>
      <x:c r="J8700" s="6" t="n">
        <x:f>IF(OR(E8700="CANCELED",E8700="SUSPECTED_FRAUD",F8700="Shipping canceled"),0,1)</x:f>
        <x:v>1</x:v>
      </x:c>
      <x:c r="K8700" s="6" t="n">
        <x:f>IF(G8700&gt;H8700,1,0)</x:f>
        <x:v>0</x:v>
      </x:c>
      <x:c r="L8700" s="6" t="n">
        <x:f>J8700*K8700</x:f>
        <x:v>0</x:v>
      </x:c>
    </x:row>
    <x:row r="8701">
      <x:c r="A8701" s="1" t="n">
        <x:v>69559</x:v>
      </x:c>
      <x:c r="B8701" s="5" t="d">
        <x:v>2017-10-12T00:00:00.000Z</x:v>
      </x:c>
      <x:c r="C8701" s="1" t="str">
        <x:v>Standard Class</x:v>
      </x:c>
      <x:c r="D8701" s="1" t="str">
        <x:v>Europe</x:v>
      </x:c>
      <x:c r="E8701" s="1" t="str">
        <x:v>PENDING_PAYMENT</x:v>
      </x:c>
      <x:c r="F8701" s="1" t="str">
        <x:v>Late delivery</x:v>
      </x:c>
      <x:c r="G8701" s="6" t="n">
        <x:v>5</x:v>
      </x:c>
      <x:c r="H8701" s="6" t="n">
        <x:v>4</x:v>
      </x:c>
      <x:c r="I8701" s="6" t="n">
        <x:f>G8701-H8701</x:f>
        <x:v>1</x:v>
      </x:c>
      <x:c r="J8701" s="6" t="n">
        <x:f>IF(OR(E8701="CANCELED",E8701="SUSPECTED_FRAUD",F8701="Shipping canceled"),0,1)</x:f>
        <x:v>1</x:v>
      </x:c>
      <x:c r="K8701" s="6" t="n">
        <x:f>IF(G8701&gt;H8701,1,0)</x:f>
        <x:v>1</x:v>
      </x:c>
      <x:c r="L8701" s="6" t="n">
        <x:f>J8701*K8701</x:f>
        <x:v>1</x:v>
      </x:c>
    </x:row>
    <x:row r="8702">
      <x:c r="A8702" s="1" t="n">
        <x:v>69562</x:v>
      </x:c>
      <x:c r="B8702" s="5" t="d">
        <x:v>2017-10-12T00:00:00.000Z</x:v>
      </x:c>
      <x:c r="C8702" s="1" t="str">
        <x:v>Standard Class</x:v>
      </x:c>
      <x:c r="D8702" s="1" t="str">
        <x:v>Europe</x:v>
      </x:c>
      <x:c r="E8702" s="1" t="str">
        <x:v>ON_HOLD</x:v>
      </x:c>
      <x:c r="F8702" s="1" t="str">
        <x:v>Advance shipping</x:v>
      </x:c>
      <x:c r="G8702" s="6" t="n">
        <x:v>3</x:v>
      </x:c>
      <x:c r="H8702" s="6" t="n">
        <x:v>4</x:v>
      </x:c>
      <x:c r="I8702" s="6" t="n">
        <x:f>G8702-H8702</x:f>
        <x:v>-1</x:v>
      </x:c>
      <x:c r="J8702" s="6" t="n">
        <x:f>IF(OR(E8702="CANCELED",E8702="SUSPECTED_FRAUD",F8702="Shipping canceled"),0,1)</x:f>
        <x:v>1</x:v>
      </x:c>
      <x:c r="K8702" s="6" t="n">
        <x:f>IF(G8702&gt;H8702,1,0)</x:f>
        <x:v>0</x:v>
      </x:c>
      <x:c r="L8702" s="6" t="n">
        <x:f>J8702*K8702</x:f>
        <x:v>0</x:v>
      </x:c>
    </x:row>
    <x:row r="8703">
      <x:c r="A8703" s="1" t="n">
        <x:v>69570</x:v>
      </x:c>
      <x:c r="B8703" s="5" t="d">
        <x:v>2017-10-12T00:00:00.000Z</x:v>
      </x:c>
      <x:c r="C8703" s="1" t="str">
        <x:v>First Class</x:v>
      </x:c>
      <x:c r="D8703" s="1" t="str">
        <x:v>Europe</x:v>
      </x:c>
      <x:c r="E8703" s="1" t="str">
        <x:v>PENDING_PAYMENT</x:v>
      </x:c>
      <x:c r="F8703" s="1" t="str">
        <x:v>Late delivery</x:v>
      </x:c>
      <x:c r="G8703" s="6" t="n">
        <x:v>2</x:v>
      </x:c>
      <x:c r="H8703" s="6" t="n">
        <x:v>1</x:v>
      </x:c>
      <x:c r="I8703" s="6" t="n">
        <x:f>G8703-H8703</x:f>
        <x:v>1</x:v>
      </x:c>
      <x:c r="J8703" s="6" t="n">
        <x:f>IF(OR(E8703="CANCELED",E8703="SUSPECTED_FRAUD",F8703="Shipping canceled"),0,1)</x:f>
        <x:v>1</x:v>
      </x:c>
      <x:c r="K8703" s="6" t="n">
        <x:f>IF(G8703&gt;H8703,1,0)</x:f>
        <x:v>1</x:v>
      </x:c>
      <x:c r="L8703" s="6" t="n">
        <x:f>J8703*K8703</x:f>
        <x:v>1</x:v>
      </x:c>
    </x:row>
    <x:row r="8704">
      <x:c r="A8704" s="1" t="n">
        <x:v>69576</x:v>
      </x:c>
      <x:c r="B8704" s="5" t="d">
        <x:v>2017-10-12T00:00:00.000Z</x:v>
      </x:c>
      <x:c r="C8704" s="1" t="str">
        <x:v>First Class</x:v>
      </x:c>
      <x:c r="D8704" s="1" t="str">
        <x:v>Europe</x:v>
      </x:c>
      <x:c r="E8704" s="1" t="str">
        <x:v>PROCESSING</x:v>
      </x:c>
      <x:c r="F8704" s="1" t="str">
        <x:v>Late delivery</x:v>
      </x:c>
      <x:c r="G8704" s="6" t="n">
        <x:v>2</x:v>
      </x:c>
      <x:c r="H8704" s="6" t="n">
        <x:v>1</x:v>
      </x:c>
      <x:c r="I8704" s="6" t="n">
        <x:f>G8704-H8704</x:f>
        <x:v>1</x:v>
      </x:c>
      <x:c r="J8704" s="6" t="n">
        <x:f>IF(OR(E8704="CANCELED",E8704="SUSPECTED_FRAUD",F8704="Shipping canceled"),0,1)</x:f>
        <x:v>1</x:v>
      </x:c>
      <x:c r="K8704" s="6" t="n">
        <x:f>IF(G8704&gt;H8704,1,0)</x:f>
        <x:v>1</x:v>
      </x:c>
      <x:c r="L8704" s="6" t="n">
        <x:f>J8704*K8704</x:f>
        <x:v>1</x:v>
      </x:c>
    </x:row>
    <x:row r="8705">
      <x:c r="A8705" s="1" t="n">
        <x:v>69583</x:v>
      </x:c>
      <x:c r="B8705" s="5" t="d">
        <x:v>2017-10-12T00:00:00.000Z</x:v>
      </x:c>
      <x:c r="C8705" s="1" t="str">
        <x:v>First Class</x:v>
      </x:c>
      <x:c r="D8705" s="1" t="str">
        <x:v>Europe</x:v>
      </x:c>
      <x:c r="E8705" s="1" t="str">
        <x:v>PENDING_PAYMENT</x:v>
      </x:c>
      <x:c r="F8705" s="1" t="str">
        <x:v>Late delivery</x:v>
      </x:c>
      <x:c r="G8705" s="6" t="n">
        <x:v>2</x:v>
      </x:c>
      <x:c r="H8705" s="6" t="n">
        <x:v>1</x:v>
      </x:c>
      <x:c r="I8705" s="6" t="n">
        <x:f>G8705-H8705</x:f>
        <x:v>1</x:v>
      </x:c>
      <x:c r="J8705" s="6" t="n">
        <x:f>IF(OR(E8705="CANCELED",E8705="SUSPECTED_FRAUD",F8705="Shipping canceled"),0,1)</x:f>
        <x:v>1</x:v>
      </x:c>
      <x:c r="K8705" s="6" t="n">
        <x:f>IF(G8705&gt;H8705,1,0)</x:f>
        <x:v>1</x:v>
      </x:c>
      <x:c r="L8705" s="6" t="n">
        <x:f>J8705*K8705</x:f>
        <x:v>1</x:v>
      </x:c>
    </x:row>
    <x:row r="8706">
      <x:c r="A8706" s="1" t="n">
        <x:v>69585</x:v>
      </x:c>
      <x:c r="B8706" s="5" t="d">
        <x:v>2017-10-12T00:00:00.000Z</x:v>
      </x:c>
      <x:c r="C8706" s="1" t="str">
        <x:v>First Class</x:v>
      </x:c>
      <x:c r="D8706" s="1" t="str">
        <x:v>Europe</x:v>
      </x:c>
      <x:c r="E8706" s="1" t="str">
        <x:v>PENDING_PAYMENT</x:v>
      </x:c>
      <x:c r="F8706" s="1" t="str">
        <x:v>Late delivery</x:v>
      </x:c>
      <x:c r="G8706" s="6" t="n">
        <x:v>2</x:v>
      </x:c>
      <x:c r="H8706" s="6" t="n">
        <x:v>1</x:v>
      </x:c>
      <x:c r="I8706" s="6" t="n">
        <x:f>G8706-H8706</x:f>
        <x:v>1</x:v>
      </x:c>
      <x:c r="J8706" s="6" t="n">
        <x:f>IF(OR(E8706="CANCELED",E8706="SUSPECTED_FRAUD",F8706="Shipping canceled"),0,1)</x:f>
        <x:v>1</x:v>
      </x:c>
      <x:c r="K8706" s="6" t="n">
        <x:f>IF(G8706&gt;H8706,1,0)</x:f>
        <x:v>1</x:v>
      </x:c>
      <x:c r="L8706" s="6" t="n">
        <x:f>J8706*K8706</x:f>
        <x:v>1</x:v>
      </x:c>
    </x:row>
    <x:row r="8707">
      <x:c r="A8707" s="1" t="n">
        <x:v>69597</x:v>
      </x:c>
      <x:c r="B8707" s="5" t="d">
        <x:v>2017-10-12T00:00:00.000Z</x:v>
      </x:c>
      <x:c r="C8707" s="1" t="str">
        <x:v>Standard Class</x:v>
      </x:c>
      <x:c r="D8707" s="1" t="str">
        <x:v>Europe</x:v>
      </x:c>
      <x:c r="E8707" s="1" t="str">
        <x:v>PENDING</x:v>
      </x:c>
      <x:c r="F8707" s="1" t="str">
        <x:v>Advance shipping</x:v>
      </x:c>
      <x:c r="G8707" s="6" t="n">
        <x:v>3</x:v>
      </x:c>
      <x:c r="H8707" s="6" t="n">
        <x:v>4</x:v>
      </x:c>
      <x:c r="I8707" s="6" t="n">
        <x:f>G8707-H8707</x:f>
        <x:v>-1</x:v>
      </x:c>
      <x:c r="J8707" s="6" t="n">
        <x:f>IF(OR(E8707="CANCELED",E8707="SUSPECTED_FRAUD",F8707="Shipping canceled"),0,1)</x:f>
        <x:v>1</x:v>
      </x:c>
      <x:c r="K8707" s="6" t="n">
        <x:f>IF(G8707&gt;H8707,1,0)</x:f>
        <x:v>0</x:v>
      </x:c>
      <x:c r="L8707" s="6" t="n">
        <x:f>J8707*K8707</x:f>
        <x:v>0</x:v>
      </x:c>
    </x:row>
    <x:row r="8708">
      <x:c r="A8708" s="1" t="n">
        <x:v>69610</x:v>
      </x:c>
      <x:c r="B8708" s="5" t="d">
        <x:v>2017-10-13T00:00:00.000Z</x:v>
      </x:c>
      <x:c r="C8708" s="1" t="str">
        <x:v>Second Class</x:v>
      </x:c>
      <x:c r="D8708" s="1" t="str">
        <x:v>Europe</x:v>
      </x:c>
      <x:c r="E8708" s="1" t="str">
        <x:v>COMPLETE</x:v>
      </x:c>
      <x:c r="F8708" s="1" t="str">
        <x:v>Late delivery</x:v>
      </x:c>
      <x:c r="G8708" s="6" t="n">
        <x:v>6</x:v>
      </x:c>
      <x:c r="H8708" s="6" t="n">
        <x:v>2</x:v>
      </x:c>
      <x:c r="I8708" s="6" t="n">
        <x:f>G8708-H8708</x:f>
        <x:v>4</x:v>
      </x:c>
      <x:c r="J8708" s="6" t="n">
        <x:f>IF(OR(E8708="CANCELED",E8708="SUSPECTED_FRAUD",F8708="Shipping canceled"),0,1)</x:f>
        <x:v>1</x:v>
      </x:c>
      <x:c r="K8708" s="6" t="n">
        <x:f>IF(G8708&gt;H8708,1,0)</x:f>
        <x:v>1</x:v>
      </x:c>
      <x:c r="L8708" s="6" t="n">
        <x:f>J8708*K8708</x:f>
        <x:v>1</x:v>
      </x:c>
    </x:row>
    <x:row r="8709">
      <x:c r="A8709" s="1" t="n">
        <x:v>69612</x:v>
      </x:c>
      <x:c r="B8709" s="5" t="d">
        <x:v>2017-10-13T00:00:00.000Z</x:v>
      </x:c>
      <x:c r="C8709" s="1" t="str">
        <x:v>Standard Class</x:v>
      </x:c>
      <x:c r="D8709" s="1" t="str">
        <x:v>Europe</x:v>
      </x:c>
      <x:c r="E8709" s="1" t="str">
        <x:v>COMPLETE</x:v>
      </x:c>
      <x:c r="F8709" s="1" t="str">
        <x:v>Advance shipping</x:v>
      </x:c>
      <x:c r="G8709" s="6" t="n">
        <x:v>3</x:v>
      </x:c>
      <x:c r="H8709" s="6" t="n">
        <x:v>4</x:v>
      </x:c>
      <x:c r="I8709" s="6" t="n">
        <x:f>G8709-H8709</x:f>
        <x:v>-1</x:v>
      </x:c>
      <x:c r="J8709" s="6" t="n">
        <x:f>IF(OR(E8709="CANCELED",E8709="SUSPECTED_FRAUD",F8709="Shipping canceled"),0,1)</x:f>
        <x:v>1</x:v>
      </x:c>
      <x:c r="K8709" s="6" t="n">
        <x:f>IF(G8709&gt;H8709,1,0)</x:f>
        <x:v>0</x:v>
      </x:c>
      <x:c r="L8709" s="6" t="n">
        <x:f>J8709*K8709</x:f>
        <x:v>0</x:v>
      </x:c>
    </x:row>
    <x:row r="8710">
      <x:c r="A8710" s="1" t="n">
        <x:v>69615</x:v>
      </x:c>
      <x:c r="B8710" s="5" t="d">
        <x:v>2017-10-13T00:00:00.000Z</x:v>
      </x:c>
      <x:c r="C8710" s="1" t="str">
        <x:v>Standard Class</x:v>
      </x:c>
      <x:c r="D8710" s="1" t="str">
        <x:v>Europe</x:v>
      </x:c>
      <x:c r="E8710" s="1" t="str">
        <x:v>PENDING</x:v>
      </x:c>
      <x:c r="F8710" s="1" t="str">
        <x:v>Late delivery</x:v>
      </x:c>
      <x:c r="G8710" s="6" t="n">
        <x:v>6</x:v>
      </x:c>
      <x:c r="H8710" s="6" t="n">
        <x:v>4</x:v>
      </x:c>
      <x:c r="I8710" s="6" t="n">
        <x:f>G8710-H8710</x:f>
        <x:v>2</x:v>
      </x:c>
      <x:c r="J8710" s="6" t="n">
        <x:f>IF(OR(E8710="CANCELED",E8710="SUSPECTED_FRAUD",F8710="Shipping canceled"),0,1)</x:f>
        <x:v>1</x:v>
      </x:c>
      <x:c r="K8710" s="6" t="n">
        <x:f>IF(G8710&gt;H8710,1,0)</x:f>
        <x:v>1</x:v>
      </x:c>
      <x:c r="L8710" s="6" t="n">
        <x:f>J8710*K8710</x:f>
        <x:v>1</x:v>
      </x:c>
    </x:row>
    <x:row r="8711">
      <x:c r="A8711" s="1" t="n">
        <x:v>69619</x:v>
      </x:c>
      <x:c r="B8711" s="5" t="d">
        <x:v>2017-10-13T00:00:00.000Z</x:v>
      </x:c>
      <x:c r="C8711" s="1" t="str">
        <x:v>First Class</x:v>
      </x:c>
      <x:c r="D8711" s="1" t="str">
        <x:v>Europe</x:v>
      </x:c>
      <x:c r="E8711" s="1" t="str">
        <x:v>PAYMENT_REVIEW</x:v>
      </x:c>
      <x:c r="F8711" s="1" t="str">
        <x:v>Late delivery</x:v>
      </x:c>
      <x:c r="G8711" s="6" t="n">
        <x:v>2</x:v>
      </x:c>
      <x:c r="H8711" s="6" t="n">
        <x:v>1</x:v>
      </x:c>
      <x:c r="I8711" s="6" t="n">
        <x:f>G8711-H8711</x:f>
        <x:v>1</x:v>
      </x:c>
      <x:c r="J8711" s="6" t="n">
        <x:f>IF(OR(E8711="CANCELED",E8711="SUSPECTED_FRAUD",F8711="Shipping canceled"),0,1)</x:f>
        <x:v>1</x:v>
      </x:c>
      <x:c r="K8711" s="6" t="n">
        <x:f>IF(G8711&gt;H8711,1,0)</x:f>
        <x:v>1</x:v>
      </x:c>
      <x:c r="L8711" s="6" t="n">
        <x:f>J8711*K8711</x:f>
        <x:v>1</x:v>
      </x:c>
    </x:row>
    <x:row r="8712">
      <x:c r="A8712" s="1" t="n">
        <x:v>69626</x:v>
      </x:c>
      <x:c r="B8712" s="5" t="d">
        <x:v>2017-10-13T00:00:00.000Z</x:v>
      </x:c>
      <x:c r="C8712" s="1" t="str">
        <x:v>Second Class</x:v>
      </x:c>
      <x:c r="D8712" s="1" t="str">
        <x:v>Europe</x:v>
      </x:c>
      <x:c r="E8712" s="1" t="str">
        <x:v>COMPLETE</x:v>
      </x:c>
      <x:c r="F8712" s="1" t="str">
        <x:v>Shipping on time</x:v>
      </x:c>
      <x:c r="G8712" s="6" t="n">
        <x:v>2</x:v>
      </x:c>
      <x:c r="H8712" s="6" t="n">
        <x:v>2</x:v>
      </x:c>
      <x:c r="I8712" s="6" t="n">
        <x:f>G8712-H8712</x:f>
        <x:v>0</x:v>
      </x:c>
      <x:c r="J8712" s="6" t="n">
        <x:f>IF(OR(E8712="CANCELED",E8712="SUSPECTED_FRAUD",F8712="Shipping canceled"),0,1)</x:f>
        <x:v>1</x:v>
      </x:c>
      <x:c r="K8712" s="6" t="n">
        <x:f>IF(G8712&gt;H8712,1,0)</x:f>
        <x:v>0</x:v>
      </x:c>
      <x:c r="L8712" s="6" t="n">
        <x:f>J8712*K8712</x:f>
        <x:v>0</x:v>
      </x:c>
    </x:row>
    <x:row r="8713">
      <x:c r="A8713" s="1" t="n">
        <x:v>69629</x:v>
      </x:c>
      <x:c r="B8713" s="5" t="d">
        <x:v>2017-10-13T00:00:00.000Z</x:v>
      </x:c>
      <x:c r="C8713" s="1" t="str">
        <x:v>First Class</x:v>
      </x:c>
      <x:c r="D8713" s="1" t="str">
        <x:v>Europe</x:v>
      </x:c>
      <x:c r="E8713" s="1" t="str">
        <x:v>PENDING_PAYMENT</x:v>
      </x:c>
      <x:c r="F8713" s="1" t="str">
        <x:v>Late delivery</x:v>
      </x:c>
      <x:c r="G8713" s="6" t="n">
        <x:v>2</x:v>
      </x:c>
      <x:c r="H8713" s="6" t="n">
        <x:v>1</x:v>
      </x:c>
      <x:c r="I8713" s="6" t="n">
        <x:f>G8713-H8713</x:f>
        <x:v>1</x:v>
      </x:c>
      <x:c r="J8713" s="6" t="n">
        <x:f>IF(OR(E8713="CANCELED",E8713="SUSPECTED_FRAUD",F8713="Shipping canceled"),0,1)</x:f>
        <x:v>1</x:v>
      </x:c>
      <x:c r="K8713" s="6" t="n">
        <x:f>IF(G8713&gt;H8713,1,0)</x:f>
        <x:v>1</x:v>
      </x:c>
      <x:c r="L8713" s="6" t="n">
        <x:f>J8713*K8713</x:f>
        <x:v>1</x:v>
      </x:c>
    </x:row>
    <x:row r="8714">
      <x:c r="A8714" s="1" t="n">
        <x:v>69637</x:v>
      </x:c>
      <x:c r="B8714" s="5" t="d">
        <x:v>2017-10-13T00:00:00.000Z</x:v>
      </x:c>
      <x:c r="C8714" s="1" t="str">
        <x:v>Second Class</x:v>
      </x:c>
      <x:c r="D8714" s="1" t="str">
        <x:v>Europe</x:v>
      </x:c>
      <x:c r="E8714" s="1" t="str">
        <x:v>COMPLETE</x:v>
      </x:c>
      <x:c r="F8714" s="1" t="str">
        <x:v>Late delivery</x:v>
      </x:c>
      <x:c r="G8714" s="6" t="n">
        <x:v>3</x:v>
      </x:c>
      <x:c r="H8714" s="6" t="n">
        <x:v>2</x:v>
      </x:c>
      <x:c r="I8714" s="6" t="n">
        <x:f>G8714-H8714</x:f>
        <x:v>1</x:v>
      </x:c>
      <x:c r="J8714" s="6" t="n">
        <x:f>IF(OR(E8714="CANCELED",E8714="SUSPECTED_FRAUD",F8714="Shipping canceled"),0,1)</x:f>
        <x:v>1</x:v>
      </x:c>
      <x:c r="K8714" s="6" t="n">
        <x:f>IF(G8714&gt;H8714,1,0)</x:f>
        <x:v>1</x:v>
      </x:c>
      <x:c r="L8714" s="6" t="n">
        <x:f>J8714*K8714</x:f>
        <x:v>1</x:v>
      </x:c>
    </x:row>
    <x:row r="8715">
      <x:c r="A8715" s="1" t="n">
        <x:v>69641</x:v>
      </x:c>
      <x:c r="B8715" s="5" t="d">
        <x:v>2017-10-13T00:00:00.000Z</x:v>
      </x:c>
      <x:c r="C8715" s="1" t="str">
        <x:v>Second Class</x:v>
      </x:c>
      <x:c r="D8715" s="1" t="str">
        <x:v>Europe</x:v>
      </x:c>
      <x:c r="E8715" s="1" t="str">
        <x:v>COMPLETE</x:v>
      </x:c>
      <x:c r="F8715" s="1" t="str">
        <x:v>Shipping on time</x:v>
      </x:c>
      <x:c r="G8715" s="6" t="n">
        <x:v>2</x:v>
      </x:c>
      <x:c r="H8715" s="6" t="n">
        <x:v>2</x:v>
      </x:c>
      <x:c r="I8715" s="6" t="n">
        <x:f>G8715-H8715</x:f>
        <x:v>0</x:v>
      </x:c>
      <x:c r="J8715" s="6" t="n">
        <x:f>IF(OR(E8715="CANCELED",E8715="SUSPECTED_FRAUD",F8715="Shipping canceled"),0,1)</x:f>
        <x:v>1</x:v>
      </x:c>
      <x:c r="K8715" s="6" t="n">
        <x:f>IF(G8715&gt;H8715,1,0)</x:f>
        <x:v>0</x:v>
      </x:c>
      <x:c r="L8715" s="6" t="n">
        <x:f>J8715*K8715</x:f>
        <x:v>0</x:v>
      </x:c>
    </x:row>
    <x:row r="8716">
      <x:c r="A8716" s="1" t="n">
        <x:v>69643</x:v>
      </x:c>
      <x:c r="B8716" s="5" t="d">
        <x:v>2017-10-13T00:00:00.000Z</x:v>
      </x:c>
      <x:c r="C8716" s="1" t="str">
        <x:v>Second Class</x:v>
      </x:c>
      <x:c r="D8716" s="1" t="str">
        <x:v>Europe</x:v>
      </x:c>
      <x:c r="E8716" s="1" t="str">
        <x:v>COMPLETE</x:v>
      </x:c>
      <x:c r="F8716" s="1" t="str">
        <x:v>Late delivery</x:v>
      </x:c>
      <x:c r="G8716" s="6" t="n">
        <x:v>4</x:v>
      </x:c>
      <x:c r="H8716" s="6" t="n">
        <x:v>2</x:v>
      </x:c>
      <x:c r="I8716" s="6" t="n">
        <x:f>G8716-H8716</x:f>
        <x:v>2</x:v>
      </x:c>
      <x:c r="J8716" s="6" t="n">
        <x:f>IF(OR(E8716="CANCELED",E8716="SUSPECTED_FRAUD",F8716="Shipping canceled"),0,1)</x:f>
        <x:v>1</x:v>
      </x:c>
      <x:c r="K8716" s="6" t="n">
        <x:f>IF(G8716&gt;H8716,1,0)</x:f>
        <x:v>1</x:v>
      </x:c>
      <x:c r="L8716" s="6" t="n">
        <x:f>J8716*K8716</x:f>
        <x:v>1</x:v>
      </x:c>
    </x:row>
    <x:row r="8717">
      <x:c r="A8717" s="1" t="n">
        <x:v>69653</x:v>
      </x:c>
      <x:c r="B8717" s="5" t="d">
        <x:v>2017-10-13T00:00:00.000Z</x:v>
      </x:c>
      <x:c r="C8717" s="1" t="str">
        <x:v>Second Class</x:v>
      </x:c>
      <x:c r="D8717" s="1" t="str">
        <x:v>Europe</x:v>
      </x:c>
      <x:c r="E8717" s="1" t="str">
        <x:v>COMPLETE</x:v>
      </x:c>
      <x:c r="F8717" s="1" t="str">
        <x:v>Late delivery</x:v>
      </x:c>
      <x:c r="G8717" s="6" t="n">
        <x:v>4</x:v>
      </x:c>
      <x:c r="H8717" s="6" t="n">
        <x:v>2</x:v>
      </x:c>
      <x:c r="I8717" s="6" t="n">
        <x:f>G8717-H8717</x:f>
        <x:v>2</x:v>
      </x:c>
      <x:c r="J8717" s="6" t="n">
        <x:f>IF(OR(E8717="CANCELED",E8717="SUSPECTED_FRAUD",F8717="Shipping canceled"),0,1)</x:f>
        <x:v>1</x:v>
      </x:c>
      <x:c r="K8717" s="6" t="n">
        <x:f>IF(G8717&gt;H8717,1,0)</x:f>
        <x:v>1</x:v>
      </x:c>
      <x:c r="L8717" s="6" t="n">
        <x:f>J8717*K8717</x:f>
        <x:v>1</x:v>
      </x:c>
    </x:row>
    <x:row r="8718">
      <x:c r="A8718" s="1" t="n">
        <x:v>69655</x:v>
      </x:c>
      <x:c r="B8718" s="5" t="d">
        <x:v>2017-10-13T00:00:00.000Z</x:v>
      </x:c>
      <x:c r="C8718" s="1" t="str">
        <x:v>Standard Class</x:v>
      </x:c>
      <x:c r="D8718" s="1" t="str">
        <x:v>Europe</x:v>
      </x:c>
      <x:c r="E8718" s="1" t="str">
        <x:v>PENDING_PAYMENT</x:v>
      </x:c>
      <x:c r="F8718" s="1" t="str">
        <x:v>Late delivery</x:v>
      </x:c>
      <x:c r="G8718" s="6" t="n">
        <x:v>6</x:v>
      </x:c>
      <x:c r="H8718" s="6" t="n">
        <x:v>4</x:v>
      </x:c>
      <x:c r="I8718" s="6" t="n">
        <x:f>G8718-H8718</x:f>
        <x:v>2</x:v>
      </x:c>
      <x:c r="J8718" s="6" t="n">
        <x:f>IF(OR(E8718="CANCELED",E8718="SUSPECTED_FRAUD",F8718="Shipping canceled"),0,1)</x:f>
        <x:v>1</x:v>
      </x:c>
      <x:c r="K8718" s="6" t="n">
        <x:f>IF(G8718&gt;H8718,1,0)</x:f>
        <x:v>1</x:v>
      </x:c>
      <x:c r="L8718" s="6" t="n">
        <x:f>J8718*K8718</x:f>
        <x:v>1</x:v>
      </x:c>
    </x:row>
    <x:row r="8719">
      <x:c r="A8719" s="1" t="n">
        <x:v>69663</x:v>
      </x:c>
      <x:c r="B8719" s="5" t="d">
        <x:v>2017-10-13T00:00:00.000Z</x:v>
      </x:c>
      <x:c r="C8719" s="1" t="str">
        <x:v>First Class</x:v>
      </x:c>
      <x:c r="D8719" s="1" t="str">
        <x:v>Europe</x:v>
      </x:c>
      <x:c r="E8719" s="1" t="str">
        <x:v>PENDING</x:v>
      </x:c>
      <x:c r="F8719" s="1" t="str">
        <x:v>Late delivery</x:v>
      </x:c>
      <x:c r="G8719" s="6" t="n">
        <x:v>2</x:v>
      </x:c>
      <x:c r="H8719" s="6" t="n">
        <x:v>1</x:v>
      </x:c>
      <x:c r="I8719" s="6" t="n">
        <x:f>G8719-H8719</x:f>
        <x:v>1</x:v>
      </x:c>
      <x:c r="J8719" s="6" t="n">
        <x:f>IF(OR(E8719="CANCELED",E8719="SUSPECTED_FRAUD",F8719="Shipping canceled"),0,1)</x:f>
        <x:v>1</x:v>
      </x:c>
      <x:c r="K8719" s="6" t="n">
        <x:f>IF(G8719&gt;H8719,1,0)</x:f>
        <x:v>1</x:v>
      </x:c>
      <x:c r="L8719" s="6" t="n">
        <x:f>J8719*K8719</x:f>
        <x:v>1</x:v>
      </x:c>
    </x:row>
    <x:row r="8720">
      <x:c r="A8720" s="1" t="n">
        <x:v>69680</x:v>
      </x:c>
      <x:c r="B8720" s="5" t="d">
        <x:v>2017-10-14T00:00:00.000Z</x:v>
      </x:c>
      <x:c r="C8720" s="1" t="str">
        <x:v>Standard Class</x:v>
      </x:c>
      <x:c r="D8720" s="1" t="str">
        <x:v>Europe</x:v>
      </x:c>
      <x:c r="E8720" s="1" t="str">
        <x:v>COMPLETE</x:v>
      </x:c>
      <x:c r="F8720" s="1" t="str">
        <x:v>Late delivery</x:v>
      </x:c>
      <x:c r="G8720" s="6" t="n">
        <x:v>6</x:v>
      </x:c>
      <x:c r="H8720" s="6" t="n">
        <x:v>4</x:v>
      </x:c>
      <x:c r="I8720" s="6" t="n">
        <x:f>G8720-H8720</x:f>
        <x:v>2</x:v>
      </x:c>
      <x:c r="J8720" s="6" t="n">
        <x:f>IF(OR(E8720="CANCELED",E8720="SUSPECTED_FRAUD",F8720="Shipping canceled"),0,1)</x:f>
        <x:v>1</x:v>
      </x:c>
      <x:c r="K8720" s="6" t="n">
        <x:f>IF(G8720&gt;H8720,1,0)</x:f>
        <x:v>1</x:v>
      </x:c>
      <x:c r="L8720" s="6" t="n">
        <x:f>J8720*K8720</x:f>
        <x:v>1</x:v>
      </x:c>
    </x:row>
    <x:row r="8721">
      <x:c r="A8721" s="1" t="n">
        <x:v>69683</x:v>
      </x:c>
      <x:c r="B8721" s="5" t="d">
        <x:v>2017-10-14T00:00:00.000Z</x:v>
      </x:c>
      <x:c r="C8721" s="1" t="str">
        <x:v>Standard Class</x:v>
      </x:c>
      <x:c r="D8721" s="1" t="str">
        <x:v>Europe</x:v>
      </x:c>
      <x:c r="E8721" s="1" t="str">
        <x:v>PENDING_PAYMENT</x:v>
      </x:c>
      <x:c r="F8721" s="1" t="str">
        <x:v>Shipping on time</x:v>
      </x:c>
      <x:c r="G8721" s="6" t="n">
        <x:v>4</x:v>
      </x:c>
      <x:c r="H8721" s="6" t="n">
        <x:v>4</x:v>
      </x:c>
      <x:c r="I8721" s="6" t="n">
        <x:f>G8721-H8721</x:f>
        <x:v>0</x:v>
      </x:c>
      <x:c r="J8721" s="6" t="n">
        <x:f>IF(OR(E8721="CANCELED",E8721="SUSPECTED_FRAUD",F8721="Shipping canceled"),0,1)</x:f>
        <x:v>1</x:v>
      </x:c>
      <x:c r="K8721" s="6" t="n">
        <x:f>IF(G8721&gt;H8721,1,0)</x:f>
        <x:v>0</x:v>
      </x:c>
      <x:c r="L8721" s="6" t="n">
        <x:f>J8721*K8721</x:f>
        <x:v>0</x:v>
      </x:c>
    </x:row>
    <x:row r="8722">
      <x:c r="A8722" s="1" t="n">
        <x:v>69685</x:v>
      </x:c>
      <x:c r="B8722" s="5" t="d">
        <x:v>2017-10-14T00:00:00.000Z</x:v>
      </x:c>
      <x:c r="C8722" s="1" t="str">
        <x:v>Standard Class</x:v>
      </x:c>
      <x:c r="D8722" s="1" t="str">
        <x:v>Europe</x:v>
      </x:c>
      <x:c r="E8722" s="1" t="str">
        <x:v>PENDING_PAYMENT</x:v>
      </x:c>
      <x:c r="F8722" s="1" t="str">
        <x:v>Late delivery</x:v>
      </x:c>
      <x:c r="G8722" s="6" t="n">
        <x:v>6</x:v>
      </x:c>
      <x:c r="H8722" s="6" t="n">
        <x:v>4</x:v>
      </x:c>
      <x:c r="I8722" s="6" t="n">
        <x:f>G8722-H8722</x:f>
        <x:v>2</x:v>
      </x:c>
      <x:c r="J8722" s="6" t="n">
        <x:f>IF(OR(E8722="CANCELED",E8722="SUSPECTED_FRAUD",F8722="Shipping canceled"),0,1)</x:f>
        <x:v>1</x:v>
      </x:c>
      <x:c r="K8722" s="6" t="n">
        <x:f>IF(G8722&gt;H8722,1,0)</x:f>
        <x:v>1</x:v>
      </x:c>
      <x:c r="L8722" s="6" t="n">
        <x:f>J8722*K8722</x:f>
        <x:v>1</x:v>
      </x:c>
    </x:row>
    <x:row r="8723">
      <x:c r="A8723" s="1" t="n">
        <x:v>69695</x:v>
      </x:c>
      <x:c r="B8723" s="5" t="d">
        <x:v>2017-10-14T00:00:00.000Z</x:v>
      </x:c>
      <x:c r="C8723" s="1" t="str">
        <x:v>First Class</x:v>
      </x:c>
      <x:c r="D8723" s="1" t="str">
        <x:v>Europe</x:v>
      </x:c>
      <x:c r="E8723" s="1" t="str">
        <x:v>PENDING_PAYMENT</x:v>
      </x:c>
      <x:c r="F8723" s="1" t="str">
        <x:v>Late delivery</x:v>
      </x:c>
      <x:c r="G8723" s="6" t="n">
        <x:v>2</x:v>
      </x:c>
      <x:c r="H8723" s="6" t="n">
        <x:v>1</x:v>
      </x:c>
      <x:c r="I8723" s="6" t="n">
        <x:f>G8723-H8723</x:f>
        <x:v>1</x:v>
      </x:c>
      <x:c r="J8723" s="6" t="n">
        <x:f>IF(OR(E8723="CANCELED",E8723="SUSPECTED_FRAUD",F8723="Shipping canceled"),0,1)</x:f>
        <x:v>1</x:v>
      </x:c>
      <x:c r="K8723" s="6" t="n">
        <x:f>IF(G8723&gt;H8723,1,0)</x:f>
        <x:v>1</x:v>
      </x:c>
      <x:c r="L8723" s="6" t="n">
        <x:f>J8723*K8723</x:f>
        <x:v>1</x:v>
      </x:c>
    </x:row>
    <x:row r="8724">
      <x:c r="A8724" s="1" t="n">
        <x:v>69703</x:v>
      </x:c>
      <x:c r="B8724" s="5" t="d">
        <x:v>2017-10-14T00:00:00.000Z</x:v>
      </x:c>
      <x:c r="C8724" s="1" t="str">
        <x:v>Second Class</x:v>
      </x:c>
      <x:c r="D8724" s="1" t="str">
        <x:v>Europe</x:v>
      </x:c>
      <x:c r="E8724" s="1" t="str">
        <x:v>COMPLETE</x:v>
      </x:c>
      <x:c r="F8724" s="1" t="str">
        <x:v>Late delivery</x:v>
      </x:c>
      <x:c r="G8724" s="6" t="n">
        <x:v>4</x:v>
      </x:c>
      <x:c r="H8724" s="6" t="n">
        <x:v>2</x:v>
      </x:c>
      <x:c r="I8724" s="6" t="n">
        <x:f>G8724-H8724</x:f>
        <x:v>2</x:v>
      </x:c>
      <x:c r="J8724" s="6" t="n">
        <x:f>IF(OR(E8724="CANCELED",E8724="SUSPECTED_FRAUD",F8724="Shipping canceled"),0,1)</x:f>
        <x:v>1</x:v>
      </x:c>
      <x:c r="K8724" s="6" t="n">
        <x:f>IF(G8724&gt;H8724,1,0)</x:f>
        <x:v>1</x:v>
      </x:c>
      <x:c r="L8724" s="6" t="n">
        <x:f>J8724*K8724</x:f>
        <x:v>1</x:v>
      </x:c>
    </x:row>
    <x:row r="8725">
      <x:c r="A8725" s="1" t="n">
        <x:v>69711</x:v>
      </x:c>
      <x:c r="B8725" s="5" t="d">
        <x:v>2017-10-14T00:00:00.000Z</x:v>
      </x:c>
      <x:c r="C8725" s="1" t="str">
        <x:v>Standard Class</x:v>
      </x:c>
      <x:c r="D8725" s="1" t="str">
        <x:v>Europe</x:v>
      </x:c>
      <x:c r="E8725" s="1" t="str">
        <x:v>PENDING_PAYMENT</x:v>
      </x:c>
      <x:c r="F8725" s="1" t="str">
        <x:v>Advance shipping</x:v>
      </x:c>
      <x:c r="G8725" s="6" t="n">
        <x:v>2</x:v>
      </x:c>
      <x:c r="H8725" s="6" t="n">
        <x:v>4</x:v>
      </x:c>
      <x:c r="I8725" s="6" t="n">
        <x:f>G8725-H8725</x:f>
        <x:v>-2</x:v>
      </x:c>
      <x:c r="J8725" s="6" t="n">
        <x:f>IF(OR(E8725="CANCELED",E8725="SUSPECTED_FRAUD",F8725="Shipping canceled"),0,1)</x:f>
        <x:v>1</x:v>
      </x:c>
      <x:c r="K8725" s="6" t="n">
        <x:f>IF(G8725&gt;H8725,1,0)</x:f>
        <x:v>0</x:v>
      </x:c>
      <x:c r="L8725" s="6" t="n">
        <x:f>J8725*K8725</x:f>
        <x:v>0</x:v>
      </x:c>
    </x:row>
    <x:row r="8726">
      <x:c r="A8726" s="1" t="n">
        <x:v>69713</x:v>
      </x:c>
      <x:c r="B8726" s="5" t="d">
        <x:v>2017-10-14T00:00:00.000Z</x:v>
      </x:c>
      <x:c r="C8726" s="1" t="str">
        <x:v>Standard Class</x:v>
      </x:c>
      <x:c r="D8726" s="1" t="str">
        <x:v>Europe</x:v>
      </x:c>
      <x:c r="E8726" s="1" t="str">
        <x:v>COMPLETE</x:v>
      </x:c>
      <x:c r="F8726" s="1" t="str">
        <x:v>Shipping on time</x:v>
      </x:c>
      <x:c r="G8726" s="6" t="n">
        <x:v>4</x:v>
      </x:c>
      <x:c r="H8726" s="6" t="n">
        <x:v>4</x:v>
      </x:c>
      <x:c r="I8726" s="6" t="n">
        <x:f>G8726-H8726</x:f>
        <x:v>0</x:v>
      </x:c>
      <x:c r="J8726" s="6" t="n">
        <x:f>IF(OR(E8726="CANCELED",E8726="SUSPECTED_FRAUD",F8726="Shipping canceled"),0,1)</x:f>
        <x:v>1</x:v>
      </x:c>
      <x:c r="K8726" s="6" t="n">
        <x:f>IF(G8726&gt;H8726,1,0)</x:f>
        <x:v>0</x:v>
      </x:c>
      <x:c r="L8726" s="6" t="n">
        <x:f>J8726*K8726</x:f>
        <x:v>0</x:v>
      </x:c>
    </x:row>
    <x:row r="8727">
      <x:c r="A8727" s="1" t="n">
        <x:v>69720</x:v>
      </x:c>
      <x:c r="B8727" s="5" t="d">
        <x:v>2017-10-14T00:00:00.000Z</x:v>
      </x:c>
      <x:c r="C8727" s="1" t="str">
        <x:v>First Class</x:v>
      </x:c>
      <x:c r="D8727" s="1" t="str">
        <x:v>Europe</x:v>
      </x:c>
      <x:c r="E8727" s="1" t="str">
        <x:v>PENDING</x:v>
      </x:c>
      <x:c r="F8727" s="1" t="str">
        <x:v>Late delivery</x:v>
      </x:c>
      <x:c r="G8727" s="6" t="n">
        <x:v>2</x:v>
      </x:c>
      <x:c r="H8727" s="6" t="n">
        <x:v>1</x:v>
      </x:c>
      <x:c r="I8727" s="6" t="n">
        <x:f>G8727-H8727</x:f>
        <x:v>1</x:v>
      </x:c>
      <x:c r="J8727" s="6" t="n">
        <x:f>IF(OR(E8727="CANCELED",E8727="SUSPECTED_FRAUD",F8727="Shipping canceled"),0,1)</x:f>
        <x:v>1</x:v>
      </x:c>
      <x:c r="K8727" s="6" t="n">
        <x:f>IF(G8727&gt;H8727,1,0)</x:f>
        <x:v>1</x:v>
      </x:c>
      <x:c r="L8727" s="6" t="n">
        <x:f>J8727*K8727</x:f>
        <x:v>1</x:v>
      </x:c>
    </x:row>
    <x:row r="8728">
      <x:c r="A8728" s="1" t="n">
        <x:v>69722</x:v>
      </x:c>
      <x:c r="B8728" s="5" t="d">
        <x:v>2017-10-14T00:00:00.000Z</x:v>
      </x:c>
      <x:c r="C8728" s="1" t="str">
        <x:v>Standard Class</x:v>
      </x:c>
      <x:c r="D8728" s="1" t="str">
        <x:v>Europe</x:v>
      </x:c>
      <x:c r="E8728" s="1" t="str">
        <x:v>COMPLETE</x:v>
      </x:c>
      <x:c r="F8728" s="1" t="str">
        <x:v>Advance shipping</x:v>
      </x:c>
      <x:c r="G8728" s="6" t="n">
        <x:v>3</x:v>
      </x:c>
      <x:c r="H8728" s="6" t="n">
        <x:v>4</x:v>
      </x:c>
      <x:c r="I8728" s="6" t="n">
        <x:f>G8728-H8728</x:f>
        <x:v>-1</x:v>
      </x:c>
      <x:c r="J8728" s="6" t="n">
        <x:f>IF(OR(E8728="CANCELED",E8728="SUSPECTED_FRAUD",F8728="Shipping canceled"),0,1)</x:f>
        <x:v>1</x:v>
      </x:c>
      <x:c r="K8728" s="6" t="n">
        <x:f>IF(G8728&gt;H8728,1,0)</x:f>
        <x:v>0</x:v>
      </x:c>
      <x:c r="L8728" s="6" t="n">
        <x:f>J8728*K8728</x:f>
        <x:v>0</x:v>
      </x:c>
    </x:row>
    <x:row r="8729">
      <x:c r="A8729" s="1" t="n">
        <x:v>69723</x:v>
      </x:c>
      <x:c r="B8729" s="5" t="d">
        <x:v>2017-10-14T00:00:00.000Z</x:v>
      </x:c>
      <x:c r="C8729" s="1" t="str">
        <x:v>First Class</x:v>
      </x:c>
      <x:c r="D8729" s="1" t="str">
        <x:v>Europe</x:v>
      </x:c>
      <x:c r="E8729" s="1" t="str">
        <x:v>PENDING_PAYMENT</x:v>
      </x:c>
      <x:c r="F8729" s="1" t="str">
        <x:v>Late delivery</x:v>
      </x:c>
      <x:c r="G8729" s="6" t="n">
        <x:v>2</x:v>
      </x:c>
      <x:c r="H8729" s="6" t="n">
        <x:v>1</x:v>
      </x:c>
      <x:c r="I8729" s="6" t="n">
        <x:f>G8729-H8729</x:f>
        <x:v>1</x:v>
      </x:c>
      <x:c r="J8729" s="6" t="n">
        <x:f>IF(OR(E8729="CANCELED",E8729="SUSPECTED_FRAUD",F8729="Shipping canceled"),0,1)</x:f>
        <x:v>1</x:v>
      </x:c>
      <x:c r="K8729" s="6" t="n">
        <x:f>IF(G8729&gt;H8729,1,0)</x:f>
        <x:v>1</x:v>
      </x:c>
      <x:c r="L8729" s="6" t="n">
        <x:f>J8729*K8729</x:f>
        <x:v>1</x:v>
      </x:c>
    </x:row>
    <x:row r="8730">
      <x:c r="A8730" s="1" t="n">
        <x:v>69724</x:v>
      </x:c>
      <x:c r="B8730" s="5" t="d">
        <x:v>2017-10-14T00:00:00.000Z</x:v>
      </x:c>
      <x:c r="C8730" s="1" t="str">
        <x:v>First Class</x:v>
      </x:c>
      <x:c r="D8730" s="1" t="str">
        <x:v>Europe</x:v>
      </x:c>
      <x:c r="E8730" s="1" t="str">
        <x:v>PENDING_PAYMENT</x:v>
      </x:c>
      <x:c r="F8730" s="1" t="str">
        <x:v>Late delivery</x:v>
      </x:c>
      <x:c r="G8730" s="6" t="n">
        <x:v>2</x:v>
      </x:c>
      <x:c r="H8730" s="6" t="n">
        <x:v>1</x:v>
      </x:c>
      <x:c r="I8730" s="6" t="n">
        <x:f>G8730-H8730</x:f>
        <x:v>1</x:v>
      </x:c>
      <x:c r="J8730" s="6" t="n">
        <x:f>IF(OR(E8730="CANCELED",E8730="SUSPECTED_FRAUD",F8730="Shipping canceled"),0,1)</x:f>
        <x:v>1</x:v>
      </x:c>
      <x:c r="K8730" s="6" t="n">
        <x:f>IF(G8730&gt;H8730,1,0)</x:f>
        <x:v>1</x:v>
      </x:c>
      <x:c r="L8730" s="6" t="n">
        <x:f>J8730*K8730</x:f>
        <x:v>1</x:v>
      </x:c>
    </x:row>
    <x:row r="8731">
      <x:c r="A8731" s="1" t="n">
        <x:v>69734</x:v>
      </x:c>
      <x:c r="B8731" s="5" t="d">
        <x:v>2017-10-14T00:00:00.000Z</x:v>
      </x:c>
      <x:c r="C8731" s="1" t="str">
        <x:v>First Class</x:v>
      </x:c>
      <x:c r="D8731" s="1" t="str">
        <x:v>Europe</x:v>
      </x:c>
      <x:c r="E8731" s="1" t="str">
        <x:v>PENDING_PAYMENT</x:v>
      </x:c>
      <x:c r="F8731" s="1" t="str">
        <x:v>Late delivery</x:v>
      </x:c>
      <x:c r="G8731" s="6" t="n">
        <x:v>2</x:v>
      </x:c>
      <x:c r="H8731" s="6" t="n">
        <x:v>1</x:v>
      </x:c>
      <x:c r="I8731" s="6" t="n">
        <x:f>G8731-H8731</x:f>
        <x:v>1</x:v>
      </x:c>
      <x:c r="J8731" s="6" t="n">
        <x:f>IF(OR(E8731="CANCELED",E8731="SUSPECTED_FRAUD",F8731="Shipping canceled"),0,1)</x:f>
        <x:v>1</x:v>
      </x:c>
      <x:c r="K8731" s="6" t="n">
        <x:f>IF(G8731&gt;H8731,1,0)</x:f>
        <x:v>1</x:v>
      </x:c>
      <x:c r="L8731" s="6" t="n">
        <x:f>J8731*K8731</x:f>
        <x:v>1</x:v>
      </x:c>
    </x:row>
    <x:row r="8732">
      <x:c r="A8732" s="1" t="n">
        <x:v>69746</x:v>
      </x:c>
      <x:c r="B8732" s="5" t="d">
        <x:v>2017-10-15T00:00:00.000Z</x:v>
      </x:c>
      <x:c r="C8732" s="1" t="str">
        <x:v>Standard Class</x:v>
      </x:c>
      <x:c r="D8732" s="1" t="str">
        <x:v>Europe</x:v>
      </x:c>
      <x:c r="E8732" s="1" t="str">
        <x:v>COMPLETE</x:v>
      </x:c>
      <x:c r="F8732" s="1" t="str">
        <x:v>Advance shipping</x:v>
      </x:c>
      <x:c r="G8732" s="6" t="n">
        <x:v>2</x:v>
      </x:c>
      <x:c r="H8732" s="6" t="n">
        <x:v>4</x:v>
      </x:c>
      <x:c r="I8732" s="6" t="n">
        <x:f>G8732-H8732</x:f>
        <x:v>-2</x:v>
      </x:c>
      <x:c r="J8732" s="6" t="n">
        <x:f>IF(OR(E8732="CANCELED",E8732="SUSPECTED_FRAUD",F8732="Shipping canceled"),0,1)</x:f>
        <x:v>1</x:v>
      </x:c>
      <x:c r="K8732" s="6" t="n">
        <x:f>IF(G8732&gt;H8732,1,0)</x:f>
        <x:v>0</x:v>
      </x:c>
      <x:c r="L8732" s="6" t="n">
        <x:f>J8732*K8732</x:f>
        <x:v>0</x:v>
      </x:c>
    </x:row>
    <x:row r="8733">
      <x:c r="A8733" s="1" t="n">
        <x:v>69753</x:v>
      </x:c>
      <x:c r="B8733" s="5" t="d">
        <x:v>2017-10-15T00:00:00.000Z</x:v>
      </x:c>
      <x:c r="C8733" s="1" t="str">
        <x:v>Standard Class</x:v>
      </x:c>
      <x:c r="D8733" s="1" t="str">
        <x:v>Europe</x:v>
      </x:c>
      <x:c r="E8733" s="1" t="str">
        <x:v>COMPLETE</x:v>
      </x:c>
      <x:c r="F8733" s="1" t="str">
        <x:v>Shipping on time</x:v>
      </x:c>
      <x:c r="G8733" s="6" t="n">
        <x:v>4</x:v>
      </x:c>
      <x:c r="H8733" s="6" t="n">
        <x:v>4</x:v>
      </x:c>
      <x:c r="I8733" s="6" t="n">
        <x:f>G8733-H8733</x:f>
        <x:v>0</x:v>
      </x:c>
      <x:c r="J8733" s="6" t="n">
        <x:f>IF(OR(E8733="CANCELED",E8733="SUSPECTED_FRAUD",F8733="Shipping canceled"),0,1)</x:f>
        <x:v>1</x:v>
      </x:c>
      <x:c r="K8733" s="6" t="n">
        <x:f>IF(G8733&gt;H8733,1,0)</x:f>
        <x:v>0</x:v>
      </x:c>
      <x:c r="L8733" s="6" t="n">
        <x:f>J8733*K8733</x:f>
        <x:v>0</x:v>
      </x:c>
    </x:row>
    <x:row r="8734">
      <x:c r="A8734" s="1" t="n">
        <x:v>69779</x:v>
      </x:c>
      <x:c r="B8734" s="5" t="d">
        <x:v>2017-10-15T00:00:00.000Z</x:v>
      </x:c>
      <x:c r="C8734" s="1" t="str">
        <x:v>Standard Class</x:v>
      </x:c>
      <x:c r="D8734" s="1" t="str">
        <x:v>Europe</x:v>
      </x:c>
      <x:c r="E8734" s="1" t="str">
        <x:v>CLOSED</x:v>
      </x:c>
      <x:c r="F8734" s="1" t="str">
        <x:v>Late delivery</x:v>
      </x:c>
      <x:c r="G8734" s="6" t="n">
        <x:v>5</x:v>
      </x:c>
      <x:c r="H8734" s="6" t="n">
        <x:v>4</x:v>
      </x:c>
      <x:c r="I8734" s="6" t="n">
        <x:f>G8734-H8734</x:f>
        <x:v>1</x:v>
      </x:c>
      <x:c r="J8734" s="6" t="n">
        <x:f>IF(OR(E8734="CANCELED",E8734="SUSPECTED_FRAUD",F8734="Shipping canceled"),0,1)</x:f>
        <x:v>1</x:v>
      </x:c>
      <x:c r="K8734" s="6" t="n">
        <x:f>IF(G8734&gt;H8734,1,0)</x:f>
        <x:v>1</x:v>
      </x:c>
      <x:c r="L8734" s="6" t="n">
        <x:f>J8734*K8734</x:f>
        <x:v>1</x:v>
      </x:c>
    </x:row>
    <x:row r="8735">
      <x:c r="A8735" s="1" t="n">
        <x:v>69784</x:v>
      </x:c>
      <x:c r="B8735" s="5" t="d">
        <x:v>2017-10-15T00:00:00.000Z</x:v>
      </x:c>
      <x:c r="C8735" s="1" t="str">
        <x:v>Second Class</x:v>
      </x:c>
      <x:c r="D8735" s="1" t="str">
        <x:v>Europe</x:v>
      </x:c>
      <x:c r="E8735" s="1" t="str">
        <x:v>PROCESSING</x:v>
      </x:c>
      <x:c r="F8735" s="1" t="str">
        <x:v>Late delivery</x:v>
      </x:c>
      <x:c r="G8735" s="6" t="n">
        <x:v>5</x:v>
      </x:c>
      <x:c r="H8735" s="6" t="n">
        <x:v>2</x:v>
      </x:c>
      <x:c r="I8735" s="6" t="n">
        <x:f>G8735-H8735</x:f>
        <x:v>3</x:v>
      </x:c>
      <x:c r="J8735" s="6" t="n">
        <x:f>IF(OR(E8735="CANCELED",E8735="SUSPECTED_FRAUD",F8735="Shipping canceled"),0,1)</x:f>
        <x:v>1</x:v>
      </x:c>
      <x:c r="K8735" s="6" t="n">
        <x:f>IF(G8735&gt;H8735,1,0)</x:f>
        <x:v>1</x:v>
      </x:c>
      <x:c r="L8735" s="6" t="n">
        <x:f>J8735*K8735</x:f>
        <x:v>1</x:v>
      </x:c>
    </x:row>
    <x:row r="8736">
      <x:c r="A8736" s="1" t="n">
        <x:v>69786</x:v>
      </x:c>
      <x:c r="B8736" s="5" t="d">
        <x:v>2017-10-15T00:00:00.000Z</x:v>
      </x:c>
      <x:c r="C8736" s="1" t="str">
        <x:v>First Class</x:v>
      </x:c>
      <x:c r="D8736" s="1" t="str">
        <x:v>Europe</x:v>
      </x:c>
      <x:c r="E8736" s="1" t="str">
        <x:v>CLOSED</x:v>
      </x:c>
      <x:c r="F8736" s="1" t="str">
        <x:v>Late delivery</x:v>
      </x:c>
      <x:c r="G8736" s="6" t="n">
        <x:v>2</x:v>
      </x:c>
      <x:c r="H8736" s="6" t="n">
        <x:v>1</x:v>
      </x:c>
      <x:c r="I8736" s="6" t="n">
        <x:f>G8736-H8736</x:f>
        <x:v>1</x:v>
      </x:c>
      <x:c r="J8736" s="6" t="n">
        <x:f>IF(OR(E8736="CANCELED",E8736="SUSPECTED_FRAUD",F8736="Shipping canceled"),0,1)</x:f>
        <x:v>1</x:v>
      </x:c>
      <x:c r="K8736" s="6" t="n">
        <x:f>IF(G8736&gt;H8736,1,0)</x:f>
        <x:v>1</x:v>
      </x:c>
      <x:c r="L8736" s="6" t="n">
        <x:f>J8736*K8736</x:f>
        <x:v>1</x:v>
      </x:c>
    </x:row>
    <x:row r="8737">
      <x:c r="A8737" s="1" t="n">
        <x:v>69803</x:v>
      </x:c>
      <x:c r="B8737" s="5" t="d">
        <x:v>2017-10-15T00:00:00.000Z</x:v>
      </x:c>
      <x:c r="C8737" s="1" t="str">
        <x:v>First Class</x:v>
      </x:c>
      <x:c r="D8737" s="1" t="str">
        <x:v>Europe</x:v>
      </x:c>
      <x:c r="E8737" s="1" t="str">
        <x:v>PENDING_PAYMENT</x:v>
      </x:c>
      <x:c r="F8737" s="1" t="str">
        <x:v>Late delivery</x:v>
      </x:c>
      <x:c r="G8737" s="6" t="n">
        <x:v>2</x:v>
      </x:c>
      <x:c r="H8737" s="6" t="n">
        <x:v>1</x:v>
      </x:c>
      <x:c r="I8737" s="6" t="n">
        <x:f>G8737-H8737</x:f>
        <x:v>1</x:v>
      </x:c>
      <x:c r="J8737" s="6" t="n">
        <x:f>IF(OR(E8737="CANCELED",E8737="SUSPECTED_FRAUD",F8737="Shipping canceled"),0,1)</x:f>
        <x:v>1</x:v>
      </x:c>
      <x:c r="K8737" s="6" t="n">
        <x:f>IF(G8737&gt;H8737,1,0)</x:f>
        <x:v>1</x:v>
      </x:c>
      <x:c r="L8737" s="6" t="n">
        <x:f>J8737*K8737</x:f>
        <x:v>1</x:v>
      </x:c>
    </x:row>
    <x:row r="8738">
      <x:c r="A8738" s="1" t="n">
        <x:v>69810</x:v>
      </x:c>
      <x:c r="B8738" s="5" t="d">
        <x:v>2017-10-16T00:00:00.000Z</x:v>
      </x:c>
      <x:c r="C8738" s="1" t="str">
        <x:v>Second Class</x:v>
      </x:c>
      <x:c r="D8738" s="1" t="str">
        <x:v>Europe</x:v>
      </x:c>
      <x:c r="E8738" s="1" t="str">
        <x:v>COMPLETE</x:v>
      </x:c>
      <x:c r="F8738" s="1" t="str">
        <x:v>Late delivery</x:v>
      </x:c>
      <x:c r="G8738" s="6" t="n">
        <x:v>6</x:v>
      </x:c>
      <x:c r="H8738" s="6" t="n">
        <x:v>2</x:v>
      </x:c>
      <x:c r="I8738" s="6" t="n">
        <x:f>G8738-H8738</x:f>
        <x:v>4</x:v>
      </x:c>
      <x:c r="J8738" s="6" t="n">
        <x:f>IF(OR(E8738="CANCELED",E8738="SUSPECTED_FRAUD",F8738="Shipping canceled"),0,1)</x:f>
        <x:v>1</x:v>
      </x:c>
      <x:c r="K8738" s="6" t="n">
        <x:f>IF(G8738&gt;H8738,1,0)</x:f>
        <x:v>1</x:v>
      </x:c>
      <x:c r="L8738" s="6" t="n">
        <x:f>J8738*K8738</x:f>
        <x:v>1</x:v>
      </x:c>
    </x:row>
    <x:row r="8739">
      <x:c r="A8739" s="1" t="n">
        <x:v>69817</x:v>
      </x:c>
      <x:c r="B8739" s="5" t="d">
        <x:v>2017-10-16T00:00:00.000Z</x:v>
      </x:c>
      <x:c r="C8739" s="1" t="str">
        <x:v>Standard Class</x:v>
      </x:c>
      <x:c r="D8739" s="1" t="str">
        <x:v>Europe</x:v>
      </x:c>
      <x:c r="E8739" s="1" t="str">
        <x:v>PENDING_PAYMENT</x:v>
      </x:c>
      <x:c r="F8739" s="1" t="str">
        <x:v>Advance shipping</x:v>
      </x:c>
      <x:c r="G8739" s="6" t="n">
        <x:v>3</x:v>
      </x:c>
      <x:c r="H8739" s="6" t="n">
        <x:v>4</x:v>
      </x:c>
      <x:c r="I8739" s="6" t="n">
        <x:f>G8739-H8739</x:f>
        <x:v>-1</x:v>
      </x:c>
      <x:c r="J8739" s="6" t="n">
        <x:f>IF(OR(E8739="CANCELED",E8739="SUSPECTED_FRAUD",F8739="Shipping canceled"),0,1)</x:f>
        <x:v>1</x:v>
      </x:c>
      <x:c r="K8739" s="6" t="n">
        <x:f>IF(G8739&gt;H8739,1,0)</x:f>
        <x:v>0</x:v>
      </x:c>
      <x:c r="L8739" s="6" t="n">
        <x:f>J8739*K8739</x:f>
        <x:v>0</x:v>
      </x:c>
    </x:row>
    <x:row r="8740">
      <x:c r="A8740" s="1" t="n">
        <x:v>69821</x:v>
      </x:c>
      <x:c r="B8740" s="5" t="d">
        <x:v>2017-10-16T00:00:00.000Z</x:v>
      </x:c>
      <x:c r="C8740" s="1" t="str">
        <x:v>First Class</x:v>
      </x:c>
      <x:c r="D8740" s="1" t="str">
        <x:v>Europe</x:v>
      </x:c>
      <x:c r="E8740" s="1" t="str">
        <x:v>CLOSED</x:v>
      </x:c>
      <x:c r="F8740" s="1" t="str">
        <x:v>Late delivery</x:v>
      </x:c>
      <x:c r="G8740" s="6" t="n">
        <x:v>2</x:v>
      </x:c>
      <x:c r="H8740" s="6" t="n">
        <x:v>1</x:v>
      </x:c>
      <x:c r="I8740" s="6" t="n">
        <x:f>G8740-H8740</x:f>
        <x:v>1</x:v>
      </x:c>
      <x:c r="J8740" s="6" t="n">
        <x:f>IF(OR(E8740="CANCELED",E8740="SUSPECTED_FRAUD",F8740="Shipping canceled"),0,1)</x:f>
        <x:v>1</x:v>
      </x:c>
      <x:c r="K8740" s="6" t="n">
        <x:f>IF(G8740&gt;H8740,1,0)</x:f>
        <x:v>1</x:v>
      </x:c>
      <x:c r="L8740" s="6" t="n">
        <x:f>J8740*K8740</x:f>
        <x:v>1</x:v>
      </x:c>
    </x:row>
    <x:row r="8741">
      <x:c r="A8741" s="1" t="n">
        <x:v>69825</x:v>
      </x:c>
      <x:c r="B8741" s="5" t="d">
        <x:v>2017-10-16T00:00:00.000Z</x:v>
      </x:c>
      <x:c r="C8741" s="1" t="str">
        <x:v>Standard Class</x:v>
      </x:c>
      <x:c r="D8741" s="1" t="str">
        <x:v>Europe</x:v>
      </x:c>
      <x:c r="E8741" s="1" t="str">
        <x:v>COMPLETE</x:v>
      </x:c>
      <x:c r="F8741" s="1" t="str">
        <x:v>Late delivery</x:v>
      </x:c>
      <x:c r="G8741" s="6" t="n">
        <x:v>6</x:v>
      </x:c>
      <x:c r="H8741" s="6" t="n">
        <x:v>4</x:v>
      </x:c>
      <x:c r="I8741" s="6" t="n">
        <x:f>G8741-H8741</x:f>
        <x:v>2</x:v>
      </x:c>
      <x:c r="J8741" s="6" t="n">
        <x:f>IF(OR(E8741="CANCELED",E8741="SUSPECTED_FRAUD",F8741="Shipping canceled"),0,1)</x:f>
        <x:v>1</x:v>
      </x:c>
      <x:c r="K8741" s="6" t="n">
        <x:f>IF(G8741&gt;H8741,1,0)</x:f>
        <x:v>1</x:v>
      </x:c>
      <x:c r="L8741" s="6" t="n">
        <x:f>J8741*K8741</x:f>
        <x:v>1</x:v>
      </x:c>
    </x:row>
    <x:row r="8742">
      <x:c r="A8742" s="1" t="n">
        <x:v>69830</x:v>
      </x:c>
      <x:c r="B8742" s="5" t="d">
        <x:v>2017-10-16T00:00:00.000Z</x:v>
      </x:c>
      <x:c r="C8742" s="1" t="str">
        <x:v>Standard Class</x:v>
      </x:c>
      <x:c r="D8742" s="1" t="str">
        <x:v>Europe</x:v>
      </x:c>
      <x:c r="E8742" s="1" t="str">
        <x:v>PENDING_PAYMENT</x:v>
      </x:c>
      <x:c r="F8742" s="1" t="str">
        <x:v>Late delivery</x:v>
      </x:c>
      <x:c r="G8742" s="6" t="n">
        <x:v>6</x:v>
      </x:c>
      <x:c r="H8742" s="6" t="n">
        <x:v>4</x:v>
      </x:c>
      <x:c r="I8742" s="6" t="n">
        <x:f>G8742-H8742</x:f>
        <x:v>2</x:v>
      </x:c>
      <x:c r="J8742" s="6" t="n">
        <x:f>IF(OR(E8742="CANCELED",E8742="SUSPECTED_FRAUD",F8742="Shipping canceled"),0,1)</x:f>
        <x:v>1</x:v>
      </x:c>
      <x:c r="K8742" s="6" t="n">
        <x:f>IF(G8742&gt;H8742,1,0)</x:f>
        <x:v>1</x:v>
      </x:c>
      <x:c r="L8742" s="6" t="n">
        <x:f>J8742*K8742</x:f>
        <x:v>1</x:v>
      </x:c>
    </x:row>
    <x:row r="8743">
      <x:c r="A8743" s="1" t="n">
        <x:v>69831</x:v>
      </x:c>
      <x:c r="B8743" s="5" t="d">
        <x:v>2017-10-16T00:00:00.000Z</x:v>
      </x:c>
      <x:c r="C8743" s="1" t="str">
        <x:v>First Class</x:v>
      </x:c>
      <x:c r="D8743" s="1" t="str">
        <x:v>Europe</x:v>
      </x:c>
      <x:c r="E8743" s="1" t="str">
        <x:v>CLOSED</x:v>
      </x:c>
      <x:c r="F8743" s="1" t="str">
        <x:v>Late delivery</x:v>
      </x:c>
      <x:c r="G8743" s="6" t="n">
        <x:v>2</x:v>
      </x:c>
      <x:c r="H8743" s="6" t="n">
        <x:v>1</x:v>
      </x:c>
      <x:c r="I8743" s="6" t="n">
        <x:f>G8743-H8743</x:f>
        <x:v>1</x:v>
      </x:c>
      <x:c r="J8743" s="6" t="n">
        <x:f>IF(OR(E8743="CANCELED",E8743="SUSPECTED_FRAUD",F8743="Shipping canceled"),0,1)</x:f>
        <x:v>1</x:v>
      </x:c>
      <x:c r="K8743" s="6" t="n">
        <x:f>IF(G8743&gt;H8743,1,0)</x:f>
        <x:v>1</x:v>
      </x:c>
      <x:c r="L8743" s="6" t="n">
        <x:f>J8743*K8743</x:f>
        <x:v>1</x:v>
      </x:c>
    </x:row>
    <x:row r="8744">
      <x:c r="A8744" s="1" t="n">
        <x:v>69834</x:v>
      </x:c>
      <x:c r="B8744" s="5" t="d">
        <x:v>2017-10-16T00:00:00.000Z</x:v>
      </x:c>
      <x:c r="C8744" s="1" t="str">
        <x:v>Standard Class</x:v>
      </x:c>
      <x:c r="D8744" s="1" t="str">
        <x:v>Europe</x:v>
      </x:c>
      <x:c r="E8744" s="1" t="str">
        <x:v>COMPLETE</x:v>
      </x:c>
      <x:c r="F8744" s="1" t="str">
        <x:v>Late delivery</x:v>
      </x:c>
      <x:c r="G8744" s="6" t="n">
        <x:v>5</x:v>
      </x:c>
      <x:c r="H8744" s="6" t="n">
        <x:v>4</x:v>
      </x:c>
      <x:c r="I8744" s="6" t="n">
        <x:f>G8744-H8744</x:f>
        <x:v>1</x:v>
      </x:c>
      <x:c r="J8744" s="6" t="n">
        <x:f>IF(OR(E8744="CANCELED",E8744="SUSPECTED_FRAUD",F8744="Shipping canceled"),0,1)</x:f>
        <x:v>1</x:v>
      </x:c>
      <x:c r="K8744" s="6" t="n">
        <x:f>IF(G8744&gt;H8744,1,0)</x:f>
        <x:v>1</x:v>
      </x:c>
      <x:c r="L8744" s="6" t="n">
        <x:f>J8744*K8744</x:f>
        <x:v>1</x:v>
      </x:c>
    </x:row>
    <x:row r="8745">
      <x:c r="A8745" s="1" t="n">
        <x:v>69841</x:v>
      </x:c>
      <x:c r="B8745" s="5" t="d">
        <x:v>2017-10-16T00:00:00.000Z</x:v>
      </x:c>
      <x:c r="C8745" s="1" t="str">
        <x:v>Standard Class</x:v>
      </x:c>
      <x:c r="D8745" s="1" t="str">
        <x:v>Europe</x:v>
      </x:c>
      <x:c r="E8745" s="1" t="str">
        <x:v>PENDING_PAYMENT</x:v>
      </x:c>
      <x:c r="F8745" s="1" t="str">
        <x:v>Advance shipping</x:v>
      </x:c>
      <x:c r="G8745" s="6" t="n">
        <x:v>2</x:v>
      </x:c>
      <x:c r="H8745" s="6" t="n">
        <x:v>4</x:v>
      </x:c>
      <x:c r="I8745" s="6" t="n">
        <x:f>G8745-H8745</x:f>
        <x:v>-2</x:v>
      </x:c>
      <x:c r="J8745" s="6" t="n">
        <x:f>IF(OR(E8745="CANCELED",E8745="SUSPECTED_FRAUD",F8745="Shipping canceled"),0,1)</x:f>
        <x:v>1</x:v>
      </x:c>
      <x:c r="K8745" s="6" t="n">
        <x:f>IF(G8745&gt;H8745,1,0)</x:f>
        <x:v>0</x:v>
      </x:c>
      <x:c r="L8745" s="6" t="n">
        <x:f>J8745*K8745</x:f>
        <x:v>0</x:v>
      </x:c>
    </x:row>
    <x:row r="8746">
      <x:c r="A8746" s="1" t="n">
        <x:v>69866</x:v>
      </x:c>
      <x:c r="B8746" s="5" t="d">
        <x:v>2017-10-16T00:00:00.000Z</x:v>
      </x:c>
      <x:c r="C8746" s="1" t="str">
        <x:v>Standard Class</x:v>
      </x:c>
      <x:c r="D8746" s="1" t="str">
        <x:v>Europe</x:v>
      </x:c>
      <x:c r="E8746" s="1" t="str">
        <x:v>ON_HOLD</x:v>
      </x:c>
      <x:c r="F8746" s="1" t="str">
        <x:v>Advance shipping</x:v>
      </x:c>
      <x:c r="G8746" s="6" t="n">
        <x:v>2</x:v>
      </x:c>
      <x:c r="H8746" s="6" t="n">
        <x:v>4</x:v>
      </x:c>
      <x:c r="I8746" s="6" t="n">
        <x:f>G8746-H8746</x:f>
        <x:v>-2</x:v>
      </x:c>
      <x:c r="J8746" s="6" t="n">
        <x:f>IF(OR(E8746="CANCELED",E8746="SUSPECTED_FRAUD",F8746="Shipping canceled"),0,1)</x:f>
        <x:v>1</x:v>
      </x:c>
      <x:c r="K8746" s="6" t="n">
        <x:f>IF(G8746&gt;H8746,1,0)</x:f>
        <x:v>0</x:v>
      </x:c>
      <x:c r="L8746" s="6" t="n">
        <x:f>J8746*K8746</x:f>
        <x:v>0</x:v>
      </x:c>
    </x:row>
    <x:row r="8747">
      <x:c r="A8747" s="1" t="n">
        <x:v>69869</x:v>
      </x:c>
      <x:c r="B8747" s="5" t="d">
        <x:v>2017-10-16T00:00:00.000Z</x:v>
      </x:c>
      <x:c r="C8747" s="1" t="str">
        <x:v>Standard Class</x:v>
      </x:c>
      <x:c r="D8747" s="1" t="str">
        <x:v>Europe</x:v>
      </x:c>
      <x:c r="E8747" s="1" t="str">
        <x:v>COMPLETE</x:v>
      </x:c>
      <x:c r="F8747" s="1" t="str">
        <x:v>Late delivery</x:v>
      </x:c>
      <x:c r="G8747" s="6" t="n">
        <x:v>5</x:v>
      </x:c>
      <x:c r="H8747" s="6" t="n">
        <x:v>4</x:v>
      </x:c>
      <x:c r="I8747" s="6" t="n">
        <x:f>G8747-H8747</x:f>
        <x:v>1</x:v>
      </x:c>
      <x:c r="J8747" s="6" t="n">
        <x:f>IF(OR(E8747="CANCELED",E8747="SUSPECTED_FRAUD",F8747="Shipping canceled"),0,1)</x:f>
        <x:v>1</x:v>
      </x:c>
      <x:c r="K8747" s="6" t="n">
        <x:f>IF(G8747&gt;H8747,1,0)</x:f>
        <x:v>1</x:v>
      </x:c>
      <x:c r="L8747" s="6" t="n">
        <x:f>J8747*K8747</x:f>
        <x:v>1</x:v>
      </x:c>
    </x:row>
    <x:row r="8748">
      <x:c r="A8748" s="1" t="n">
        <x:v>69872</x:v>
      </x:c>
      <x:c r="B8748" s="5" t="d">
        <x:v>2017-10-16T00:00:00.000Z</x:v>
      </x:c>
      <x:c r="C8748" s="1" t="str">
        <x:v>Standard Class</x:v>
      </x:c>
      <x:c r="D8748" s="1" t="str">
        <x:v>Europe</x:v>
      </x:c>
      <x:c r="E8748" s="1" t="str">
        <x:v>COMPLETE</x:v>
      </x:c>
      <x:c r="F8748" s="1" t="str">
        <x:v>Advance shipping</x:v>
      </x:c>
      <x:c r="G8748" s="6" t="n">
        <x:v>3</x:v>
      </x:c>
      <x:c r="H8748" s="6" t="n">
        <x:v>4</x:v>
      </x:c>
      <x:c r="I8748" s="6" t="n">
        <x:f>G8748-H8748</x:f>
        <x:v>-1</x:v>
      </x:c>
      <x:c r="J8748" s="6" t="n">
        <x:f>IF(OR(E8748="CANCELED",E8748="SUSPECTED_FRAUD",F8748="Shipping canceled"),0,1)</x:f>
        <x:v>1</x:v>
      </x:c>
      <x:c r="K8748" s="6" t="n">
        <x:f>IF(G8748&gt;H8748,1,0)</x:f>
        <x:v>0</x:v>
      </x:c>
      <x:c r="L8748" s="6" t="n">
        <x:f>J8748*K8748</x:f>
        <x:v>0</x:v>
      </x:c>
    </x:row>
    <x:row r="8749">
      <x:c r="A8749" s="1" t="n">
        <x:v>69877</x:v>
      </x:c>
      <x:c r="B8749" s="5" t="d">
        <x:v>2017-10-17T00:00:00.000Z</x:v>
      </x:c>
      <x:c r="C8749" s="1" t="str">
        <x:v>Standard Class</x:v>
      </x:c>
      <x:c r="D8749" s="1" t="str">
        <x:v>Europe</x:v>
      </x:c>
      <x:c r="E8749" s="1" t="str">
        <x:v>COMPLETE</x:v>
      </x:c>
      <x:c r="F8749" s="1" t="str">
        <x:v>Advance shipping</x:v>
      </x:c>
      <x:c r="G8749" s="6" t="n">
        <x:v>3</x:v>
      </x:c>
      <x:c r="H8749" s="6" t="n">
        <x:v>4</x:v>
      </x:c>
      <x:c r="I8749" s="6" t="n">
        <x:f>G8749-H8749</x:f>
        <x:v>-1</x:v>
      </x:c>
      <x:c r="J8749" s="6" t="n">
        <x:f>IF(OR(E8749="CANCELED",E8749="SUSPECTED_FRAUD",F8749="Shipping canceled"),0,1)</x:f>
        <x:v>1</x:v>
      </x:c>
      <x:c r="K8749" s="6" t="n">
        <x:f>IF(G8749&gt;H8749,1,0)</x:f>
        <x:v>0</x:v>
      </x:c>
      <x:c r="L8749" s="6" t="n">
        <x:f>J8749*K8749</x:f>
        <x:v>0</x:v>
      </x:c>
    </x:row>
    <x:row r="8750">
      <x:c r="A8750" s="1" t="n">
        <x:v>69889</x:v>
      </x:c>
      <x:c r="B8750" s="5" t="d">
        <x:v>2017-10-17T00:00:00.000Z</x:v>
      </x:c>
      <x:c r="C8750" s="1" t="str">
        <x:v>First Class</x:v>
      </x:c>
      <x:c r="D8750" s="1" t="str">
        <x:v>Europe</x:v>
      </x:c>
      <x:c r="E8750" s="1" t="str">
        <x:v>PENDING_PAYMENT</x:v>
      </x:c>
      <x:c r="F8750" s="1" t="str">
        <x:v>Late delivery</x:v>
      </x:c>
      <x:c r="G8750" s="6" t="n">
        <x:v>2</x:v>
      </x:c>
      <x:c r="H8750" s="6" t="n">
        <x:v>1</x:v>
      </x:c>
      <x:c r="I8750" s="6" t="n">
        <x:f>G8750-H8750</x:f>
        <x:v>1</x:v>
      </x:c>
      <x:c r="J8750" s="6" t="n">
        <x:f>IF(OR(E8750="CANCELED",E8750="SUSPECTED_FRAUD",F8750="Shipping canceled"),0,1)</x:f>
        <x:v>1</x:v>
      </x:c>
      <x:c r="K8750" s="6" t="n">
        <x:f>IF(G8750&gt;H8750,1,0)</x:f>
        <x:v>1</x:v>
      </x:c>
      <x:c r="L8750" s="6" t="n">
        <x:f>J8750*K8750</x:f>
        <x:v>1</x:v>
      </x:c>
    </x:row>
    <x:row r="8751">
      <x:c r="A8751" s="1" t="n">
        <x:v>69890</x:v>
      </x:c>
      <x:c r="B8751" s="5" t="d">
        <x:v>2017-10-17T00:00:00.000Z</x:v>
      </x:c>
      <x:c r="C8751" s="1" t="str">
        <x:v>First Class</x:v>
      </x:c>
      <x:c r="D8751" s="1" t="str">
        <x:v>Europe</x:v>
      </x:c>
      <x:c r="E8751" s="1" t="str">
        <x:v>CLOSED</x:v>
      </x:c>
      <x:c r="F8751" s="1" t="str">
        <x:v>Late delivery</x:v>
      </x:c>
      <x:c r="G8751" s="6" t="n">
        <x:v>2</x:v>
      </x:c>
      <x:c r="H8751" s="6" t="n">
        <x:v>1</x:v>
      </x:c>
      <x:c r="I8751" s="6" t="n">
        <x:f>G8751-H8751</x:f>
        <x:v>1</x:v>
      </x:c>
      <x:c r="J8751" s="6" t="n">
        <x:f>IF(OR(E8751="CANCELED",E8751="SUSPECTED_FRAUD",F8751="Shipping canceled"),0,1)</x:f>
        <x:v>1</x:v>
      </x:c>
      <x:c r="K8751" s="6" t="n">
        <x:f>IF(G8751&gt;H8751,1,0)</x:f>
        <x:v>1</x:v>
      </x:c>
      <x:c r="L8751" s="6" t="n">
        <x:f>J8751*K8751</x:f>
        <x:v>1</x:v>
      </x:c>
    </x:row>
    <x:row r="8752">
      <x:c r="A8752" s="1" t="n">
        <x:v>69894</x:v>
      </x:c>
      <x:c r="B8752" s="5" t="d">
        <x:v>2017-10-17T00:00:00.000Z</x:v>
      </x:c>
      <x:c r="C8752" s="1" t="str">
        <x:v>Standard Class</x:v>
      </x:c>
      <x:c r="D8752" s="1" t="str">
        <x:v>Europe</x:v>
      </x:c>
      <x:c r="E8752" s="1" t="str">
        <x:v>CLOSED</x:v>
      </x:c>
      <x:c r="F8752" s="1" t="str">
        <x:v>Late delivery</x:v>
      </x:c>
      <x:c r="G8752" s="6" t="n">
        <x:v>5</x:v>
      </x:c>
      <x:c r="H8752" s="6" t="n">
        <x:v>4</x:v>
      </x:c>
      <x:c r="I8752" s="6" t="n">
        <x:f>G8752-H8752</x:f>
        <x:v>1</x:v>
      </x:c>
      <x:c r="J8752" s="6" t="n">
        <x:f>IF(OR(E8752="CANCELED",E8752="SUSPECTED_FRAUD",F8752="Shipping canceled"),0,1)</x:f>
        <x:v>1</x:v>
      </x:c>
      <x:c r="K8752" s="6" t="n">
        <x:f>IF(G8752&gt;H8752,1,0)</x:f>
        <x:v>1</x:v>
      </x:c>
      <x:c r="L8752" s="6" t="n">
        <x:f>J8752*K8752</x:f>
        <x:v>1</x:v>
      </x:c>
    </x:row>
    <x:row r="8753">
      <x:c r="A8753" s="1" t="n">
        <x:v>69908</x:v>
      </x:c>
      <x:c r="B8753" s="5" t="d">
        <x:v>2017-10-17T00:00:00.000Z</x:v>
      </x:c>
      <x:c r="C8753" s="1" t="str">
        <x:v>Second Class</x:v>
      </x:c>
      <x:c r="D8753" s="1" t="str">
        <x:v>Europe</x:v>
      </x:c>
      <x:c r="E8753" s="1" t="str">
        <x:v>COMPLETE</x:v>
      </x:c>
      <x:c r="F8753" s="1" t="str">
        <x:v>Late delivery</x:v>
      </x:c>
      <x:c r="G8753" s="6" t="n">
        <x:v>4</x:v>
      </x:c>
      <x:c r="H8753" s="6" t="n">
        <x:v>2</x:v>
      </x:c>
      <x:c r="I8753" s="6" t="n">
        <x:f>G8753-H8753</x:f>
        <x:v>2</x:v>
      </x:c>
      <x:c r="J8753" s="6" t="n">
        <x:f>IF(OR(E8753="CANCELED",E8753="SUSPECTED_FRAUD",F8753="Shipping canceled"),0,1)</x:f>
        <x:v>1</x:v>
      </x:c>
      <x:c r="K8753" s="6" t="n">
        <x:f>IF(G8753&gt;H8753,1,0)</x:f>
        <x:v>1</x:v>
      </x:c>
      <x:c r="L8753" s="6" t="n">
        <x:f>J8753*K8753</x:f>
        <x:v>1</x:v>
      </x:c>
    </x:row>
    <x:row r="8754">
      <x:c r="A8754" s="1" t="n">
        <x:v>69911</x:v>
      </x:c>
      <x:c r="B8754" s="5" t="d">
        <x:v>2017-10-17T00:00:00.000Z</x:v>
      </x:c>
      <x:c r="C8754" s="1" t="str">
        <x:v>First Class</x:v>
      </x:c>
      <x:c r="D8754" s="1" t="str">
        <x:v>Europe</x:v>
      </x:c>
      <x:c r="E8754" s="1" t="str">
        <x:v>PENDING_PAYMENT</x:v>
      </x:c>
      <x:c r="F8754" s="1" t="str">
        <x:v>Late delivery</x:v>
      </x:c>
      <x:c r="G8754" s="6" t="n">
        <x:v>2</x:v>
      </x:c>
      <x:c r="H8754" s="6" t="n">
        <x:v>1</x:v>
      </x:c>
      <x:c r="I8754" s="6" t="n">
        <x:f>G8754-H8754</x:f>
        <x:v>1</x:v>
      </x:c>
      <x:c r="J8754" s="6" t="n">
        <x:f>IF(OR(E8754="CANCELED",E8754="SUSPECTED_FRAUD",F8754="Shipping canceled"),0,1)</x:f>
        <x:v>1</x:v>
      </x:c>
      <x:c r="K8754" s="6" t="n">
        <x:f>IF(G8754&gt;H8754,1,0)</x:f>
        <x:v>1</x:v>
      </x:c>
      <x:c r="L8754" s="6" t="n">
        <x:f>J8754*K8754</x:f>
        <x:v>1</x:v>
      </x:c>
    </x:row>
    <x:row r="8755">
      <x:c r="A8755" s="1" t="n">
        <x:v>69922</x:v>
      </x:c>
      <x:c r="B8755" s="5" t="d">
        <x:v>2017-10-17T00:00:00.000Z</x:v>
      </x:c>
      <x:c r="C8755" s="1" t="str">
        <x:v>Standard Class</x:v>
      </x:c>
      <x:c r="D8755" s="1" t="str">
        <x:v>Europe</x:v>
      </x:c>
      <x:c r="E8755" s="1" t="str">
        <x:v>COMPLETE</x:v>
      </x:c>
      <x:c r="F8755" s="1" t="str">
        <x:v>Advance shipping</x:v>
      </x:c>
      <x:c r="G8755" s="6" t="n">
        <x:v>3</x:v>
      </x:c>
      <x:c r="H8755" s="6" t="n">
        <x:v>4</x:v>
      </x:c>
      <x:c r="I8755" s="6" t="n">
        <x:f>G8755-H8755</x:f>
        <x:v>-1</x:v>
      </x:c>
      <x:c r="J8755" s="6" t="n">
        <x:f>IF(OR(E8755="CANCELED",E8755="SUSPECTED_FRAUD",F8755="Shipping canceled"),0,1)</x:f>
        <x:v>1</x:v>
      </x:c>
      <x:c r="K8755" s="6" t="n">
        <x:f>IF(G8755&gt;H8755,1,0)</x:f>
        <x:v>0</x:v>
      </x:c>
      <x:c r="L8755" s="6" t="n">
        <x:f>J8755*K8755</x:f>
        <x:v>0</x:v>
      </x:c>
    </x:row>
    <x:row r="8756">
      <x:c r="A8756" s="1" t="n">
        <x:v>69941</x:v>
      </x:c>
      <x:c r="B8756" s="5" t="d">
        <x:v>2017-10-17T00:00:00.000Z</x:v>
      </x:c>
      <x:c r="C8756" s="1" t="str">
        <x:v>Standard Class</x:v>
      </x:c>
      <x:c r="D8756" s="1" t="str">
        <x:v>Europe</x:v>
      </x:c>
      <x:c r="E8756" s="1" t="str">
        <x:v>PROCESSING</x:v>
      </x:c>
      <x:c r="F8756" s="1" t="str">
        <x:v>Advance shipping</x:v>
      </x:c>
      <x:c r="G8756" s="6" t="n">
        <x:v>2</x:v>
      </x:c>
      <x:c r="H8756" s="6" t="n">
        <x:v>4</x:v>
      </x:c>
      <x:c r="I8756" s="6" t="n">
        <x:f>G8756-H8756</x:f>
        <x:v>-2</x:v>
      </x:c>
      <x:c r="J8756" s="6" t="n">
        <x:f>IF(OR(E8756="CANCELED",E8756="SUSPECTED_FRAUD",F8756="Shipping canceled"),0,1)</x:f>
        <x:v>1</x:v>
      </x:c>
      <x:c r="K8756" s="6" t="n">
        <x:f>IF(G8756&gt;H8756,1,0)</x:f>
        <x:v>0</x:v>
      </x:c>
      <x:c r="L8756" s="6" t="n">
        <x:f>J8756*K8756</x:f>
        <x:v>0</x:v>
      </x:c>
    </x:row>
    <x:row r="8757">
      <x:c r="A8757" s="1" t="n">
        <x:v>69943</x:v>
      </x:c>
      <x:c r="B8757" s="5" t="d">
        <x:v>2017-10-17T00:00:00.000Z</x:v>
      </x:c>
      <x:c r="C8757" s="1" t="str">
        <x:v>Standard Class</x:v>
      </x:c>
      <x:c r="D8757" s="1" t="str">
        <x:v>Europe</x:v>
      </x:c>
      <x:c r="E8757" s="1" t="str">
        <x:v>PENDING_PAYMENT</x:v>
      </x:c>
      <x:c r="F8757" s="1" t="str">
        <x:v>Shipping on time</x:v>
      </x:c>
      <x:c r="G8757" s="6" t="n">
        <x:v>4</x:v>
      </x:c>
      <x:c r="H8757" s="6" t="n">
        <x:v>4</x:v>
      </x:c>
      <x:c r="I8757" s="6" t="n">
        <x:f>G8757-H8757</x:f>
        <x:v>0</x:v>
      </x:c>
      <x:c r="J8757" s="6" t="n">
        <x:f>IF(OR(E8757="CANCELED",E8757="SUSPECTED_FRAUD",F8757="Shipping canceled"),0,1)</x:f>
        <x:v>1</x:v>
      </x:c>
      <x:c r="K8757" s="6" t="n">
        <x:f>IF(G8757&gt;H8757,1,0)</x:f>
        <x:v>0</x:v>
      </x:c>
      <x:c r="L8757" s="6" t="n">
        <x:f>J8757*K8757</x:f>
        <x:v>0</x:v>
      </x:c>
    </x:row>
    <x:row r="8758">
      <x:c r="A8758" s="1" t="n">
        <x:v>69963</x:v>
      </x:c>
      <x:c r="B8758" s="5" t="d">
        <x:v>2017-10-18T00:00:00.000Z</x:v>
      </x:c>
      <x:c r="C8758" s="1" t="str">
        <x:v>Standard Class</x:v>
      </x:c>
      <x:c r="D8758" s="1" t="str">
        <x:v>Europe</x:v>
      </x:c>
      <x:c r="E8758" s="1" t="str">
        <x:v>COMPLETE</x:v>
      </x:c>
      <x:c r="F8758" s="1" t="str">
        <x:v>Shipping on time</x:v>
      </x:c>
      <x:c r="G8758" s="6" t="n">
        <x:v>4</x:v>
      </x:c>
      <x:c r="H8758" s="6" t="n">
        <x:v>4</x:v>
      </x:c>
      <x:c r="I8758" s="6" t="n">
        <x:f>G8758-H8758</x:f>
        <x:v>0</x:v>
      </x:c>
      <x:c r="J8758" s="6" t="n">
        <x:f>IF(OR(E8758="CANCELED",E8758="SUSPECTED_FRAUD",F8758="Shipping canceled"),0,1)</x:f>
        <x:v>1</x:v>
      </x:c>
      <x:c r="K8758" s="6" t="n">
        <x:f>IF(G8758&gt;H8758,1,0)</x:f>
        <x:v>0</x:v>
      </x:c>
      <x:c r="L8758" s="6" t="n">
        <x:f>J8758*K8758</x:f>
        <x:v>0</x:v>
      </x:c>
    </x:row>
    <x:row r="8759">
      <x:c r="A8759" s="1" t="n">
        <x:v>69964</x:v>
      </x:c>
      <x:c r="B8759" s="5" t="d">
        <x:v>2017-10-18T00:00:00.000Z</x:v>
      </x:c>
      <x:c r="C8759" s="1" t="str">
        <x:v>First Class</x:v>
      </x:c>
      <x:c r="D8759" s="1" t="str">
        <x:v>Europe</x:v>
      </x:c>
      <x:c r="E8759" s="1" t="str">
        <x:v>PENDING_PAYMENT</x:v>
      </x:c>
      <x:c r="F8759" s="1" t="str">
        <x:v>Late delivery</x:v>
      </x:c>
      <x:c r="G8759" s="6" t="n">
        <x:v>2</x:v>
      </x:c>
      <x:c r="H8759" s="6" t="n">
        <x:v>1</x:v>
      </x:c>
      <x:c r="I8759" s="6" t="n">
        <x:f>G8759-H8759</x:f>
        <x:v>1</x:v>
      </x:c>
      <x:c r="J8759" s="6" t="n">
        <x:f>IF(OR(E8759="CANCELED",E8759="SUSPECTED_FRAUD",F8759="Shipping canceled"),0,1)</x:f>
        <x:v>1</x:v>
      </x:c>
      <x:c r="K8759" s="6" t="n">
        <x:f>IF(G8759&gt;H8759,1,0)</x:f>
        <x:v>1</x:v>
      </x:c>
      <x:c r="L8759" s="6" t="n">
        <x:f>J8759*K8759</x:f>
        <x:v>1</x:v>
      </x:c>
    </x:row>
    <x:row r="8760">
      <x:c r="A8760" s="1" t="n">
        <x:v>70008</x:v>
      </x:c>
      <x:c r="B8760" s="5" t="d">
        <x:v>2017-10-18T00:00:00.000Z</x:v>
      </x:c>
      <x:c r="C8760" s="1" t="str">
        <x:v>Standard Class</x:v>
      </x:c>
      <x:c r="D8760" s="1" t="str">
        <x:v>Europe</x:v>
      </x:c>
      <x:c r="E8760" s="1" t="str">
        <x:v>COMPLETE</x:v>
      </x:c>
      <x:c r="F8760" s="1" t="str">
        <x:v>Shipping on time</x:v>
      </x:c>
      <x:c r="G8760" s="6" t="n">
        <x:v>4</x:v>
      </x:c>
      <x:c r="H8760" s="6" t="n">
        <x:v>4</x:v>
      </x:c>
      <x:c r="I8760" s="6" t="n">
        <x:f>G8760-H8760</x:f>
        <x:v>0</x:v>
      </x:c>
      <x:c r="J8760" s="6" t="n">
        <x:f>IF(OR(E8760="CANCELED",E8760="SUSPECTED_FRAUD",F8760="Shipping canceled"),0,1)</x:f>
        <x:v>1</x:v>
      </x:c>
      <x:c r="K8760" s="6" t="n">
        <x:f>IF(G8760&gt;H8760,1,0)</x:f>
        <x:v>0</x:v>
      </x:c>
      <x:c r="L8760" s="6" t="n">
        <x:f>J8760*K8760</x:f>
        <x:v>0</x:v>
      </x:c>
    </x:row>
    <x:row r="8761">
      <x:c r="A8761" s="1" t="n">
        <x:v>70018</x:v>
      </x:c>
      <x:c r="B8761" s="5" t="d">
        <x:v>2017-10-19T00:00:00.000Z</x:v>
      </x:c>
      <x:c r="C8761" s="1" t="str">
        <x:v>Standard Class</x:v>
      </x:c>
      <x:c r="D8761" s="1" t="str">
        <x:v>Europe</x:v>
      </x:c>
      <x:c r="E8761" s="1" t="str">
        <x:v>CLOSED</x:v>
      </x:c>
      <x:c r="F8761" s="1" t="str">
        <x:v>Shipping on time</x:v>
      </x:c>
      <x:c r="G8761" s="6" t="n">
        <x:v>4</x:v>
      </x:c>
      <x:c r="H8761" s="6" t="n">
        <x:v>4</x:v>
      </x:c>
      <x:c r="I8761" s="6" t="n">
        <x:f>G8761-H8761</x:f>
        <x:v>0</x:v>
      </x:c>
      <x:c r="J8761" s="6" t="n">
        <x:f>IF(OR(E8761="CANCELED",E8761="SUSPECTED_FRAUD",F8761="Shipping canceled"),0,1)</x:f>
        <x:v>1</x:v>
      </x:c>
      <x:c r="K8761" s="6" t="n">
        <x:f>IF(G8761&gt;H8761,1,0)</x:f>
        <x:v>0</x:v>
      </x:c>
      <x:c r="L8761" s="6" t="n">
        <x:f>J8761*K8761</x:f>
        <x:v>0</x:v>
      </x:c>
    </x:row>
    <x:row r="8762">
      <x:c r="A8762" s="1" t="n">
        <x:v>70022</x:v>
      </x:c>
      <x:c r="B8762" s="5" t="d">
        <x:v>2017-10-19T00:00:00.000Z</x:v>
      </x:c>
      <x:c r="C8762" s="1" t="str">
        <x:v>First Class</x:v>
      </x:c>
      <x:c r="D8762" s="1" t="str">
        <x:v>Europe</x:v>
      </x:c>
      <x:c r="E8762" s="1" t="str">
        <x:v>CLOSED</x:v>
      </x:c>
      <x:c r="F8762" s="1" t="str">
        <x:v>Late delivery</x:v>
      </x:c>
      <x:c r="G8762" s="6" t="n">
        <x:v>2</x:v>
      </x:c>
      <x:c r="H8762" s="6" t="n">
        <x:v>1</x:v>
      </x:c>
      <x:c r="I8762" s="6" t="n">
        <x:f>G8762-H8762</x:f>
        <x:v>1</x:v>
      </x:c>
      <x:c r="J8762" s="6" t="n">
        <x:f>IF(OR(E8762="CANCELED",E8762="SUSPECTED_FRAUD",F8762="Shipping canceled"),0,1)</x:f>
        <x:v>1</x:v>
      </x:c>
      <x:c r="K8762" s="6" t="n">
        <x:f>IF(G8762&gt;H8762,1,0)</x:f>
        <x:v>1</x:v>
      </x:c>
      <x:c r="L8762" s="6" t="n">
        <x:f>J8762*K8762</x:f>
        <x:v>1</x:v>
      </x:c>
    </x:row>
    <x:row r="8763">
      <x:c r="A8763" s="1" t="n">
        <x:v>70023</x:v>
      </x:c>
      <x:c r="B8763" s="5" t="d">
        <x:v>2017-10-19T00:00:00.000Z</x:v>
      </x:c>
      <x:c r="C8763" s="1" t="str">
        <x:v>First Class</x:v>
      </x:c>
      <x:c r="D8763" s="1" t="str">
        <x:v>Europe</x:v>
      </x:c>
      <x:c r="E8763" s="1" t="str">
        <x:v>CLOSED</x:v>
      </x:c>
      <x:c r="F8763" s="1" t="str">
        <x:v>Late delivery</x:v>
      </x:c>
      <x:c r="G8763" s="6" t="n">
        <x:v>2</x:v>
      </x:c>
      <x:c r="H8763" s="6" t="n">
        <x:v>1</x:v>
      </x:c>
      <x:c r="I8763" s="6" t="n">
        <x:f>G8763-H8763</x:f>
        <x:v>1</x:v>
      </x:c>
      <x:c r="J8763" s="6" t="n">
        <x:f>IF(OR(E8763="CANCELED",E8763="SUSPECTED_FRAUD",F8763="Shipping canceled"),0,1)</x:f>
        <x:v>1</x:v>
      </x:c>
      <x:c r="K8763" s="6" t="n">
        <x:f>IF(G8763&gt;H8763,1,0)</x:f>
        <x:v>1</x:v>
      </x:c>
      <x:c r="L8763" s="6" t="n">
        <x:f>J8763*K8763</x:f>
        <x:v>1</x:v>
      </x:c>
    </x:row>
    <x:row r="8764">
      <x:c r="A8764" s="1" t="n">
        <x:v>70039</x:v>
      </x:c>
      <x:c r="B8764" s="5" t="d">
        <x:v>2017-10-19T00:00:00.000Z</x:v>
      </x:c>
      <x:c r="C8764" s="1" t="str">
        <x:v>Standard Class</x:v>
      </x:c>
      <x:c r="D8764" s="1" t="str">
        <x:v>Europe</x:v>
      </x:c>
      <x:c r="E8764" s="1" t="str">
        <x:v>PENDING_PAYMENT</x:v>
      </x:c>
      <x:c r="F8764" s="1" t="str">
        <x:v>Late delivery</x:v>
      </x:c>
      <x:c r="G8764" s="6" t="n">
        <x:v>5</x:v>
      </x:c>
      <x:c r="H8764" s="6" t="n">
        <x:v>4</x:v>
      </x:c>
      <x:c r="I8764" s="6" t="n">
        <x:f>G8764-H8764</x:f>
        <x:v>1</x:v>
      </x:c>
      <x:c r="J8764" s="6" t="n">
        <x:f>IF(OR(E8764="CANCELED",E8764="SUSPECTED_FRAUD",F8764="Shipping canceled"),0,1)</x:f>
        <x:v>1</x:v>
      </x:c>
      <x:c r="K8764" s="6" t="n">
        <x:f>IF(G8764&gt;H8764,1,0)</x:f>
        <x:v>1</x:v>
      </x:c>
      <x:c r="L8764" s="6" t="n">
        <x:f>J8764*K8764</x:f>
        <x:v>1</x:v>
      </x:c>
    </x:row>
    <x:row r="8765">
      <x:c r="A8765" s="1" t="n">
        <x:v>70041</x:v>
      </x:c>
      <x:c r="B8765" s="5" t="d">
        <x:v>2017-10-19T00:00:00.000Z</x:v>
      </x:c>
      <x:c r="C8765" s="1" t="str">
        <x:v>Standard Class</x:v>
      </x:c>
      <x:c r="D8765" s="1" t="str">
        <x:v>Europe</x:v>
      </x:c>
      <x:c r="E8765" s="1" t="str">
        <x:v>ON_HOLD</x:v>
      </x:c>
      <x:c r="F8765" s="1" t="str">
        <x:v>Advance shipping</x:v>
      </x:c>
      <x:c r="G8765" s="6" t="n">
        <x:v>2</x:v>
      </x:c>
      <x:c r="H8765" s="6" t="n">
        <x:v>4</x:v>
      </x:c>
      <x:c r="I8765" s="6" t="n">
        <x:f>G8765-H8765</x:f>
        <x:v>-2</x:v>
      </x:c>
      <x:c r="J8765" s="6" t="n">
        <x:f>IF(OR(E8765="CANCELED",E8765="SUSPECTED_FRAUD",F8765="Shipping canceled"),0,1)</x:f>
        <x:v>1</x:v>
      </x:c>
      <x:c r="K8765" s="6" t="n">
        <x:f>IF(G8765&gt;H8765,1,0)</x:f>
        <x:v>0</x:v>
      </x:c>
      <x:c r="L8765" s="6" t="n">
        <x:f>J8765*K8765</x:f>
        <x:v>0</x:v>
      </x:c>
    </x:row>
    <x:row r="8766">
      <x:c r="A8766" s="1" t="n">
        <x:v>70044</x:v>
      </x:c>
      <x:c r="B8766" s="5" t="d">
        <x:v>2017-10-19T00:00:00.000Z</x:v>
      </x:c>
      <x:c r="C8766" s="1" t="str">
        <x:v>Second Class</x:v>
      </x:c>
      <x:c r="D8766" s="1" t="str">
        <x:v>Europe</x:v>
      </x:c>
      <x:c r="E8766" s="1" t="str">
        <x:v>COMPLETE</x:v>
      </x:c>
      <x:c r="F8766" s="1" t="str">
        <x:v>Late delivery</x:v>
      </x:c>
      <x:c r="G8766" s="6" t="n">
        <x:v>5</x:v>
      </x:c>
      <x:c r="H8766" s="6" t="n">
        <x:v>2</x:v>
      </x:c>
      <x:c r="I8766" s="6" t="n">
        <x:f>G8766-H8766</x:f>
        <x:v>3</x:v>
      </x:c>
      <x:c r="J8766" s="6" t="n">
        <x:f>IF(OR(E8766="CANCELED",E8766="SUSPECTED_FRAUD",F8766="Shipping canceled"),0,1)</x:f>
        <x:v>1</x:v>
      </x:c>
      <x:c r="K8766" s="6" t="n">
        <x:f>IF(G8766&gt;H8766,1,0)</x:f>
        <x:v>1</x:v>
      </x:c>
      <x:c r="L8766" s="6" t="n">
        <x:f>J8766*K8766</x:f>
        <x:v>1</x:v>
      </x:c>
    </x:row>
    <x:row r="8767">
      <x:c r="A8767" s="1" t="n">
        <x:v>70048</x:v>
      </x:c>
      <x:c r="B8767" s="5" t="d">
        <x:v>2017-10-19T00:00:00.000Z</x:v>
      </x:c>
      <x:c r="C8767" s="1" t="str">
        <x:v>First Class</x:v>
      </x:c>
      <x:c r="D8767" s="1" t="str">
        <x:v>Europe</x:v>
      </x:c>
      <x:c r="E8767" s="1" t="str">
        <x:v>CLOSED</x:v>
      </x:c>
      <x:c r="F8767" s="1" t="str">
        <x:v>Late delivery</x:v>
      </x:c>
      <x:c r="G8767" s="6" t="n">
        <x:v>2</x:v>
      </x:c>
      <x:c r="H8767" s="6" t="n">
        <x:v>1</x:v>
      </x:c>
      <x:c r="I8767" s="6" t="n">
        <x:f>G8767-H8767</x:f>
        <x:v>1</x:v>
      </x:c>
      <x:c r="J8767" s="6" t="n">
        <x:f>IF(OR(E8767="CANCELED",E8767="SUSPECTED_FRAUD",F8767="Shipping canceled"),0,1)</x:f>
        <x:v>1</x:v>
      </x:c>
      <x:c r="K8767" s="6" t="n">
        <x:f>IF(G8767&gt;H8767,1,0)</x:f>
        <x:v>1</x:v>
      </x:c>
      <x:c r="L8767" s="6" t="n">
        <x:f>J8767*K8767</x:f>
        <x:v>1</x:v>
      </x:c>
    </x:row>
    <x:row r="8768">
      <x:c r="A8768" s="1" t="n">
        <x:v>70053</x:v>
      </x:c>
      <x:c r="B8768" s="5" t="d">
        <x:v>2017-10-19T00:00:00.000Z</x:v>
      </x:c>
      <x:c r="C8768" s="1" t="str">
        <x:v>First Class</x:v>
      </x:c>
      <x:c r="D8768" s="1" t="str">
        <x:v>Europe</x:v>
      </x:c>
      <x:c r="E8768" s="1" t="str">
        <x:v>PENDING_PAYMENT</x:v>
      </x:c>
      <x:c r="F8768" s="1" t="str">
        <x:v>Late delivery</x:v>
      </x:c>
      <x:c r="G8768" s="6" t="n">
        <x:v>2</x:v>
      </x:c>
      <x:c r="H8768" s="6" t="n">
        <x:v>1</x:v>
      </x:c>
      <x:c r="I8768" s="6" t="n">
        <x:f>G8768-H8768</x:f>
        <x:v>1</x:v>
      </x:c>
      <x:c r="J8768" s="6" t="n">
        <x:f>IF(OR(E8768="CANCELED",E8768="SUSPECTED_FRAUD",F8768="Shipping canceled"),0,1)</x:f>
        <x:v>1</x:v>
      </x:c>
      <x:c r="K8768" s="6" t="n">
        <x:f>IF(G8768&gt;H8768,1,0)</x:f>
        <x:v>1</x:v>
      </x:c>
      <x:c r="L8768" s="6" t="n">
        <x:f>J8768*K8768</x:f>
        <x:v>1</x:v>
      </x:c>
    </x:row>
    <x:row r="8769">
      <x:c r="A8769" s="1" t="n">
        <x:v>70056</x:v>
      </x:c>
      <x:c r="B8769" s="5" t="d">
        <x:v>2017-10-19T00:00:00.000Z</x:v>
      </x:c>
      <x:c r="C8769" s="1" t="str">
        <x:v>Standard Class</x:v>
      </x:c>
      <x:c r="D8769" s="1" t="str">
        <x:v>Europe</x:v>
      </x:c>
      <x:c r="E8769" s="1" t="str">
        <x:v>COMPLETE</x:v>
      </x:c>
      <x:c r="F8769" s="1" t="str">
        <x:v>Advance shipping</x:v>
      </x:c>
      <x:c r="G8769" s="6" t="n">
        <x:v>2</x:v>
      </x:c>
      <x:c r="H8769" s="6" t="n">
        <x:v>4</x:v>
      </x:c>
      <x:c r="I8769" s="6" t="n">
        <x:f>G8769-H8769</x:f>
        <x:v>-2</x:v>
      </x:c>
      <x:c r="J8769" s="6" t="n">
        <x:f>IF(OR(E8769="CANCELED",E8769="SUSPECTED_FRAUD",F8769="Shipping canceled"),0,1)</x:f>
        <x:v>1</x:v>
      </x:c>
      <x:c r="K8769" s="6" t="n">
        <x:f>IF(G8769&gt;H8769,1,0)</x:f>
        <x:v>0</x:v>
      </x:c>
      <x:c r="L8769" s="6" t="n">
        <x:f>J8769*K8769</x:f>
        <x:v>0</x:v>
      </x:c>
    </x:row>
    <x:row r="8770">
      <x:c r="A8770" s="1" t="n">
        <x:v>70058</x:v>
      </x:c>
      <x:c r="B8770" s="5" t="d">
        <x:v>2017-10-19T00:00:00.000Z</x:v>
      </x:c>
      <x:c r="C8770" s="1" t="str">
        <x:v>Second Class</x:v>
      </x:c>
      <x:c r="D8770" s="1" t="str">
        <x:v>Europe</x:v>
      </x:c>
      <x:c r="E8770" s="1" t="str">
        <x:v>COMPLETE</x:v>
      </x:c>
      <x:c r="F8770" s="1" t="str">
        <x:v>Late delivery</x:v>
      </x:c>
      <x:c r="G8770" s="6" t="n">
        <x:v>4</x:v>
      </x:c>
      <x:c r="H8770" s="6" t="n">
        <x:v>2</x:v>
      </x:c>
      <x:c r="I8770" s="6" t="n">
        <x:f>G8770-H8770</x:f>
        <x:v>2</x:v>
      </x:c>
      <x:c r="J8770" s="6" t="n">
        <x:f>IF(OR(E8770="CANCELED",E8770="SUSPECTED_FRAUD",F8770="Shipping canceled"),0,1)</x:f>
        <x:v>1</x:v>
      </x:c>
      <x:c r="K8770" s="6" t="n">
        <x:f>IF(G8770&gt;H8770,1,0)</x:f>
        <x:v>1</x:v>
      </x:c>
      <x:c r="L8770" s="6" t="n">
        <x:f>J8770*K8770</x:f>
        <x:v>1</x:v>
      </x:c>
    </x:row>
    <x:row r="8771">
      <x:c r="A8771" s="1" t="n">
        <x:v>70067</x:v>
      </x:c>
      <x:c r="B8771" s="5" t="d">
        <x:v>2017-10-19T00:00:00.000Z</x:v>
      </x:c>
      <x:c r="C8771" s="1" t="str">
        <x:v>Second Class</x:v>
      </x:c>
      <x:c r="D8771" s="1" t="str">
        <x:v>Europe</x:v>
      </x:c>
      <x:c r="E8771" s="1" t="str">
        <x:v>CLOSED</x:v>
      </x:c>
      <x:c r="F8771" s="1" t="str">
        <x:v>Late delivery</x:v>
      </x:c>
      <x:c r="G8771" s="6" t="n">
        <x:v>3</x:v>
      </x:c>
      <x:c r="H8771" s="6" t="n">
        <x:v>2</x:v>
      </x:c>
      <x:c r="I8771" s="6" t="n">
        <x:f>G8771-H8771</x:f>
        <x:v>1</x:v>
      </x:c>
      <x:c r="J8771" s="6" t="n">
        <x:f>IF(OR(E8771="CANCELED",E8771="SUSPECTED_FRAUD",F8771="Shipping canceled"),0,1)</x:f>
        <x:v>1</x:v>
      </x:c>
      <x:c r="K8771" s="6" t="n">
        <x:f>IF(G8771&gt;H8771,1,0)</x:f>
        <x:v>1</x:v>
      </x:c>
      <x:c r="L8771" s="6" t="n">
        <x:f>J8771*K8771</x:f>
        <x:v>1</x:v>
      </x:c>
    </x:row>
    <x:row r="8772">
      <x:c r="A8772" s="1" t="n">
        <x:v>70086</x:v>
      </x:c>
      <x:c r="B8772" s="5" t="d">
        <x:v>2017-10-20T00:00:00.000Z</x:v>
      </x:c>
      <x:c r="C8772" s="1" t="str">
        <x:v>Standard Class</x:v>
      </x:c>
      <x:c r="D8772" s="1" t="str">
        <x:v>Europe</x:v>
      </x:c>
      <x:c r="E8772" s="1" t="str">
        <x:v>PENDING_PAYMENT</x:v>
      </x:c>
      <x:c r="F8772" s="1" t="str">
        <x:v>Advance shipping</x:v>
      </x:c>
      <x:c r="G8772" s="6" t="n">
        <x:v>2</x:v>
      </x:c>
      <x:c r="H8772" s="6" t="n">
        <x:v>4</x:v>
      </x:c>
      <x:c r="I8772" s="6" t="n">
        <x:f>G8772-H8772</x:f>
        <x:v>-2</x:v>
      </x:c>
      <x:c r="J8772" s="6" t="n">
        <x:f>IF(OR(E8772="CANCELED",E8772="SUSPECTED_FRAUD",F8772="Shipping canceled"),0,1)</x:f>
        <x:v>1</x:v>
      </x:c>
      <x:c r="K8772" s="6" t="n">
        <x:f>IF(G8772&gt;H8772,1,0)</x:f>
        <x:v>0</x:v>
      </x:c>
      <x:c r="L8772" s="6" t="n">
        <x:f>J8772*K8772</x:f>
        <x:v>0</x:v>
      </x:c>
    </x:row>
    <x:row r="8773">
      <x:c r="A8773" s="1" t="n">
        <x:v>70095</x:v>
      </x:c>
      <x:c r="B8773" s="5" t="d">
        <x:v>2017-10-20T00:00:00.000Z</x:v>
      </x:c>
      <x:c r="C8773" s="1" t="str">
        <x:v>Standard Class</x:v>
      </x:c>
      <x:c r="D8773" s="1" t="str">
        <x:v>Europe</x:v>
      </x:c>
      <x:c r="E8773" s="1" t="str">
        <x:v>CLOSED</x:v>
      </x:c>
      <x:c r="F8773" s="1" t="str">
        <x:v>Late delivery</x:v>
      </x:c>
      <x:c r="G8773" s="6" t="n">
        <x:v>6</x:v>
      </x:c>
      <x:c r="H8773" s="6" t="n">
        <x:v>4</x:v>
      </x:c>
      <x:c r="I8773" s="6" t="n">
        <x:f>G8773-H8773</x:f>
        <x:v>2</x:v>
      </x:c>
      <x:c r="J8773" s="6" t="n">
        <x:f>IF(OR(E8773="CANCELED",E8773="SUSPECTED_FRAUD",F8773="Shipping canceled"),0,1)</x:f>
        <x:v>1</x:v>
      </x:c>
      <x:c r="K8773" s="6" t="n">
        <x:f>IF(G8773&gt;H8773,1,0)</x:f>
        <x:v>1</x:v>
      </x:c>
      <x:c r="L8773" s="6" t="n">
        <x:f>J8773*K8773</x:f>
        <x:v>1</x:v>
      </x:c>
    </x:row>
    <x:row r="8774">
      <x:c r="A8774" s="1" t="n">
        <x:v>70112</x:v>
      </x:c>
      <x:c r="B8774" s="5" t="d">
        <x:v>2017-10-20T00:00:00.000Z</x:v>
      </x:c>
      <x:c r="C8774" s="1" t="str">
        <x:v>Second Class</x:v>
      </x:c>
      <x:c r="D8774" s="1" t="str">
        <x:v>Europe</x:v>
      </x:c>
      <x:c r="E8774" s="1" t="str">
        <x:v>COMPLETE</x:v>
      </x:c>
      <x:c r="F8774" s="1" t="str">
        <x:v>Late delivery</x:v>
      </x:c>
      <x:c r="G8774" s="6" t="n">
        <x:v>3</x:v>
      </x:c>
      <x:c r="H8774" s="6" t="n">
        <x:v>2</x:v>
      </x:c>
      <x:c r="I8774" s="6" t="n">
        <x:f>G8774-H8774</x:f>
        <x:v>1</x:v>
      </x:c>
      <x:c r="J8774" s="6" t="n">
        <x:f>IF(OR(E8774="CANCELED",E8774="SUSPECTED_FRAUD",F8774="Shipping canceled"),0,1)</x:f>
        <x:v>1</x:v>
      </x:c>
      <x:c r="K8774" s="6" t="n">
        <x:f>IF(G8774&gt;H8774,1,0)</x:f>
        <x:v>1</x:v>
      </x:c>
      <x:c r="L8774" s="6" t="n">
        <x:f>J8774*K8774</x:f>
        <x:v>1</x:v>
      </x:c>
    </x:row>
    <x:row r="8775">
      <x:c r="A8775" s="1" t="n">
        <x:v>70114</x:v>
      </x:c>
      <x:c r="B8775" s="5" t="d">
        <x:v>2017-10-20T00:00:00.000Z</x:v>
      </x:c>
      <x:c r="C8775" s="1" t="str">
        <x:v>First Class</x:v>
      </x:c>
      <x:c r="D8775" s="1" t="str">
        <x:v>Europe</x:v>
      </x:c>
      <x:c r="E8775" s="1" t="str">
        <x:v>PENDING</x:v>
      </x:c>
      <x:c r="F8775" s="1" t="str">
        <x:v>Late delivery</x:v>
      </x:c>
      <x:c r="G8775" s="6" t="n">
        <x:v>2</x:v>
      </x:c>
      <x:c r="H8775" s="6" t="n">
        <x:v>1</x:v>
      </x:c>
      <x:c r="I8775" s="6" t="n">
        <x:f>G8775-H8775</x:f>
        <x:v>1</x:v>
      </x:c>
      <x:c r="J8775" s="6" t="n">
        <x:f>IF(OR(E8775="CANCELED",E8775="SUSPECTED_FRAUD",F8775="Shipping canceled"),0,1)</x:f>
        <x:v>1</x:v>
      </x:c>
      <x:c r="K8775" s="6" t="n">
        <x:f>IF(G8775&gt;H8775,1,0)</x:f>
        <x:v>1</x:v>
      </x:c>
      <x:c r="L8775" s="6" t="n">
        <x:f>J8775*K8775</x:f>
        <x:v>1</x:v>
      </x:c>
    </x:row>
    <x:row r="8776">
      <x:c r="A8776" s="1" t="n">
        <x:v>70117</x:v>
      </x:c>
      <x:c r="B8776" s="5" t="d">
        <x:v>2017-10-20T00:00:00.000Z</x:v>
      </x:c>
      <x:c r="C8776" s="1" t="str">
        <x:v>Second Class</x:v>
      </x:c>
      <x:c r="D8776" s="1" t="str">
        <x:v>Europe</x:v>
      </x:c>
      <x:c r="E8776" s="1" t="str">
        <x:v>PENDING</x:v>
      </x:c>
      <x:c r="F8776" s="1" t="str">
        <x:v>Late delivery</x:v>
      </x:c>
      <x:c r="G8776" s="6" t="n">
        <x:v>3</x:v>
      </x:c>
      <x:c r="H8776" s="6" t="n">
        <x:v>2</x:v>
      </x:c>
      <x:c r="I8776" s="6" t="n">
        <x:f>G8776-H8776</x:f>
        <x:v>1</x:v>
      </x:c>
      <x:c r="J8776" s="6" t="n">
        <x:f>IF(OR(E8776="CANCELED",E8776="SUSPECTED_FRAUD",F8776="Shipping canceled"),0,1)</x:f>
        <x:v>1</x:v>
      </x:c>
      <x:c r="K8776" s="6" t="n">
        <x:f>IF(G8776&gt;H8776,1,0)</x:f>
        <x:v>1</x:v>
      </x:c>
      <x:c r="L8776" s="6" t="n">
        <x:f>J8776*K8776</x:f>
        <x:v>1</x:v>
      </x:c>
    </x:row>
    <x:row r="8777">
      <x:c r="A8777" s="1" t="n">
        <x:v>70137</x:v>
      </x:c>
      <x:c r="B8777" s="5" t="d">
        <x:v>2017-10-20T00:00:00.000Z</x:v>
      </x:c>
      <x:c r="C8777" s="1" t="str">
        <x:v>Standard Class</x:v>
      </x:c>
      <x:c r="D8777" s="1" t="str">
        <x:v>Europe</x:v>
      </x:c>
      <x:c r="E8777" s="1" t="str">
        <x:v>COMPLETE</x:v>
      </x:c>
      <x:c r="F8777" s="1" t="str">
        <x:v>Advance shipping</x:v>
      </x:c>
      <x:c r="G8777" s="6" t="n">
        <x:v>3</x:v>
      </x:c>
      <x:c r="H8777" s="6" t="n">
        <x:v>4</x:v>
      </x:c>
      <x:c r="I8777" s="6" t="n">
        <x:f>G8777-H8777</x:f>
        <x:v>-1</x:v>
      </x:c>
      <x:c r="J8777" s="6" t="n">
        <x:f>IF(OR(E8777="CANCELED",E8777="SUSPECTED_FRAUD",F8777="Shipping canceled"),0,1)</x:f>
        <x:v>1</x:v>
      </x:c>
      <x:c r="K8777" s="6" t="n">
        <x:f>IF(G8777&gt;H8777,1,0)</x:f>
        <x:v>0</x:v>
      </x:c>
      <x:c r="L8777" s="6" t="n">
        <x:f>J8777*K8777</x:f>
        <x:v>0</x:v>
      </x:c>
    </x:row>
    <x:row r="8778">
      <x:c r="A8778" s="1" t="n">
        <x:v>70149</x:v>
      </x:c>
      <x:c r="B8778" s="5" t="d">
        <x:v>2017-10-20T00:00:00.000Z</x:v>
      </x:c>
      <x:c r="C8778" s="1" t="str">
        <x:v>Second Class</x:v>
      </x:c>
      <x:c r="D8778" s="1" t="str">
        <x:v>Europe</x:v>
      </x:c>
      <x:c r="E8778" s="1" t="str">
        <x:v>COMPLETE</x:v>
      </x:c>
      <x:c r="F8778" s="1" t="str">
        <x:v>Late delivery</x:v>
      </x:c>
      <x:c r="G8778" s="6" t="n">
        <x:v>5</x:v>
      </x:c>
      <x:c r="H8778" s="6" t="n">
        <x:v>2</x:v>
      </x:c>
      <x:c r="I8778" s="6" t="n">
        <x:f>G8778-H8778</x:f>
        <x:v>3</x:v>
      </x:c>
      <x:c r="J8778" s="6" t="n">
        <x:f>IF(OR(E8778="CANCELED",E8778="SUSPECTED_FRAUD",F8778="Shipping canceled"),0,1)</x:f>
        <x:v>1</x:v>
      </x:c>
      <x:c r="K8778" s="6" t="n">
        <x:f>IF(G8778&gt;H8778,1,0)</x:f>
        <x:v>1</x:v>
      </x:c>
      <x:c r="L8778" s="6" t="n">
        <x:f>J8778*K8778</x:f>
        <x:v>1</x:v>
      </x:c>
    </x:row>
    <x:row r="8779">
      <x:c r="A8779" s="1" t="n">
        <x:v>70153</x:v>
      </x:c>
      <x:c r="B8779" s="5" t="d">
        <x:v>2017-10-21T00:00:00.000Z</x:v>
      </x:c>
      <x:c r="C8779" s="1" t="str">
        <x:v>Second Class</x:v>
      </x:c>
      <x:c r="D8779" s="1" t="str">
        <x:v>Europe</x:v>
      </x:c>
      <x:c r="E8779" s="1" t="str">
        <x:v>PROCESSING</x:v>
      </x:c>
      <x:c r="F8779" s="1" t="str">
        <x:v>Late delivery</x:v>
      </x:c>
      <x:c r="G8779" s="6" t="n">
        <x:v>4</x:v>
      </x:c>
      <x:c r="H8779" s="6" t="n">
        <x:v>2</x:v>
      </x:c>
      <x:c r="I8779" s="6" t="n">
        <x:f>G8779-H8779</x:f>
        <x:v>2</x:v>
      </x:c>
      <x:c r="J8779" s="6" t="n">
        <x:f>IF(OR(E8779="CANCELED",E8779="SUSPECTED_FRAUD",F8779="Shipping canceled"),0,1)</x:f>
        <x:v>1</x:v>
      </x:c>
      <x:c r="K8779" s="6" t="n">
        <x:f>IF(G8779&gt;H8779,1,0)</x:f>
        <x:v>1</x:v>
      </x:c>
      <x:c r="L8779" s="6" t="n">
        <x:f>J8779*K8779</x:f>
        <x:v>1</x:v>
      </x:c>
    </x:row>
    <x:row r="8780">
      <x:c r="A8780" s="1" t="n">
        <x:v>70179</x:v>
      </x:c>
      <x:c r="B8780" s="5" t="d">
        <x:v>2017-10-21T00:00:00.000Z</x:v>
      </x:c>
      <x:c r="C8780" s="1" t="str">
        <x:v>Standard Class</x:v>
      </x:c>
      <x:c r="D8780" s="1" t="str">
        <x:v>Europe</x:v>
      </x:c>
      <x:c r="E8780" s="1" t="str">
        <x:v>COMPLETE</x:v>
      </x:c>
      <x:c r="F8780" s="1" t="str">
        <x:v>Late delivery</x:v>
      </x:c>
      <x:c r="G8780" s="6" t="n">
        <x:v>5</x:v>
      </x:c>
      <x:c r="H8780" s="6" t="n">
        <x:v>4</x:v>
      </x:c>
      <x:c r="I8780" s="6" t="n">
        <x:f>G8780-H8780</x:f>
        <x:v>1</x:v>
      </x:c>
      <x:c r="J8780" s="6" t="n">
        <x:f>IF(OR(E8780="CANCELED",E8780="SUSPECTED_FRAUD",F8780="Shipping canceled"),0,1)</x:f>
        <x:v>1</x:v>
      </x:c>
      <x:c r="K8780" s="6" t="n">
        <x:f>IF(G8780&gt;H8780,1,0)</x:f>
        <x:v>1</x:v>
      </x:c>
      <x:c r="L8780" s="6" t="n">
        <x:f>J8780*K8780</x:f>
        <x:v>1</x:v>
      </x:c>
    </x:row>
    <x:row r="8781">
      <x:c r="A8781" s="1" t="n">
        <x:v>70180</x:v>
      </x:c>
      <x:c r="B8781" s="5" t="d">
        <x:v>2017-10-21T00:00:00.000Z</x:v>
      </x:c>
      <x:c r="C8781" s="1" t="str">
        <x:v>First Class</x:v>
      </x:c>
      <x:c r="D8781" s="1" t="str">
        <x:v>Europe</x:v>
      </x:c>
      <x:c r="E8781" s="1" t="str">
        <x:v>CLOSED</x:v>
      </x:c>
      <x:c r="F8781" s="1" t="str">
        <x:v>Late delivery</x:v>
      </x:c>
      <x:c r="G8781" s="6" t="n">
        <x:v>2</x:v>
      </x:c>
      <x:c r="H8781" s="6" t="n">
        <x:v>1</x:v>
      </x:c>
      <x:c r="I8781" s="6" t="n">
        <x:f>G8781-H8781</x:f>
        <x:v>1</x:v>
      </x:c>
      <x:c r="J8781" s="6" t="n">
        <x:f>IF(OR(E8781="CANCELED",E8781="SUSPECTED_FRAUD",F8781="Shipping canceled"),0,1)</x:f>
        <x:v>1</x:v>
      </x:c>
      <x:c r="K8781" s="6" t="n">
        <x:f>IF(G8781&gt;H8781,1,0)</x:f>
        <x:v>1</x:v>
      </x:c>
      <x:c r="L8781" s="6" t="n">
        <x:f>J8781*K8781</x:f>
        <x:v>1</x:v>
      </x:c>
    </x:row>
    <x:row r="8782">
      <x:c r="A8782" s="1" t="n">
        <x:v>70183</x:v>
      </x:c>
      <x:c r="B8782" s="5" t="d">
        <x:v>2017-10-21T00:00:00.000Z</x:v>
      </x:c>
      <x:c r="C8782" s="1" t="str">
        <x:v>First Class</x:v>
      </x:c>
      <x:c r="D8782" s="1" t="str">
        <x:v>Europe</x:v>
      </x:c>
      <x:c r="E8782" s="1" t="str">
        <x:v>PENDING_PAYMENT</x:v>
      </x:c>
      <x:c r="F8782" s="1" t="str">
        <x:v>Late delivery</x:v>
      </x:c>
      <x:c r="G8782" s="6" t="n">
        <x:v>2</x:v>
      </x:c>
      <x:c r="H8782" s="6" t="n">
        <x:v>1</x:v>
      </x:c>
      <x:c r="I8782" s="6" t="n">
        <x:f>G8782-H8782</x:f>
        <x:v>1</x:v>
      </x:c>
      <x:c r="J8782" s="6" t="n">
        <x:f>IF(OR(E8782="CANCELED",E8782="SUSPECTED_FRAUD",F8782="Shipping canceled"),0,1)</x:f>
        <x:v>1</x:v>
      </x:c>
      <x:c r="K8782" s="6" t="n">
        <x:f>IF(G8782&gt;H8782,1,0)</x:f>
        <x:v>1</x:v>
      </x:c>
      <x:c r="L8782" s="6" t="n">
        <x:f>J8782*K8782</x:f>
        <x:v>1</x:v>
      </x:c>
    </x:row>
    <x:row r="8783">
      <x:c r="A8783" s="1" t="n">
        <x:v>70187</x:v>
      </x:c>
      <x:c r="B8783" s="5" t="d">
        <x:v>2017-10-21T00:00:00.000Z</x:v>
      </x:c>
      <x:c r="C8783" s="1" t="str">
        <x:v>Standard Class</x:v>
      </x:c>
      <x:c r="D8783" s="1" t="str">
        <x:v>Europe</x:v>
      </x:c>
      <x:c r="E8783" s="1" t="str">
        <x:v>COMPLETE</x:v>
      </x:c>
      <x:c r="F8783" s="1" t="str">
        <x:v>Advance shipping</x:v>
      </x:c>
      <x:c r="G8783" s="6" t="n">
        <x:v>3</x:v>
      </x:c>
      <x:c r="H8783" s="6" t="n">
        <x:v>4</x:v>
      </x:c>
      <x:c r="I8783" s="6" t="n">
        <x:f>G8783-H8783</x:f>
        <x:v>-1</x:v>
      </x:c>
      <x:c r="J8783" s="6" t="n">
        <x:f>IF(OR(E8783="CANCELED",E8783="SUSPECTED_FRAUD",F8783="Shipping canceled"),0,1)</x:f>
        <x:v>1</x:v>
      </x:c>
      <x:c r="K8783" s="6" t="n">
        <x:f>IF(G8783&gt;H8783,1,0)</x:f>
        <x:v>0</x:v>
      </x:c>
      <x:c r="L8783" s="6" t="n">
        <x:f>J8783*K8783</x:f>
        <x:v>0</x:v>
      </x:c>
    </x:row>
    <x:row r="8784">
      <x:c r="A8784" s="1" t="n">
        <x:v>70195</x:v>
      </x:c>
      <x:c r="B8784" s="5" t="d">
        <x:v>2017-10-21T00:00:00.000Z</x:v>
      </x:c>
      <x:c r="C8784" s="1" t="str">
        <x:v>Standard Class</x:v>
      </x:c>
      <x:c r="D8784" s="1" t="str">
        <x:v>Europe</x:v>
      </x:c>
      <x:c r="E8784" s="1" t="str">
        <x:v>CANCELED</x:v>
      </x:c>
      <x:c r="F8784" s="1" t="str">
        <x:v>Shipping canceled</x:v>
      </x:c>
      <x:c r="G8784" s="6" t="n">
        <x:v>6</x:v>
      </x:c>
      <x:c r="H8784" s="6" t="n">
        <x:v>4</x:v>
      </x:c>
      <x:c r="I8784" s="6" t="n">
        <x:f>G8784-H8784</x:f>
        <x:v>2</x:v>
      </x:c>
      <x:c r="J8784" s="6" t="n">
        <x:f>IF(OR(E8784="CANCELED",E8784="SUSPECTED_FRAUD",F8784="Shipping canceled"),0,1)</x:f>
        <x:v>0</x:v>
      </x:c>
      <x:c r="K8784" s="6" t="n">
        <x:f>IF(G8784&gt;H8784,1,0)</x:f>
        <x:v>1</x:v>
      </x:c>
      <x:c r="L8784" s="6" t="n">
        <x:f>J8784*K8784</x:f>
        <x:v>0</x:v>
      </x:c>
    </x:row>
    <x:row r="8785">
      <x:c r="A8785" s="1" t="n">
        <x:v>70206</x:v>
      </x:c>
      <x:c r="B8785" s="5" t="d">
        <x:v>2017-10-21T00:00:00.000Z</x:v>
      </x:c>
      <x:c r="C8785" s="1" t="str">
        <x:v>Standard Class</x:v>
      </x:c>
      <x:c r="D8785" s="1" t="str">
        <x:v>Europe</x:v>
      </x:c>
      <x:c r="E8785" s="1" t="str">
        <x:v>COMPLETE</x:v>
      </x:c>
      <x:c r="F8785" s="1" t="str">
        <x:v>Advance shipping</x:v>
      </x:c>
      <x:c r="G8785" s="6" t="n">
        <x:v>2</x:v>
      </x:c>
      <x:c r="H8785" s="6" t="n">
        <x:v>4</x:v>
      </x:c>
      <x:c r="I8785" s="6" t="n">
        <x:f>G8785-H8785</x:f>
        <x:v>-2</x:v>
      </x:c>
      <x:c r="J8785" s="6" t="n">
        <x:f>IF(OR(E8785="CANCELED",E8785="SUSPECTED_FRAUD",F8785="Shipping canceled"),0,1)</x:f>
        <x:v>1</x:v>
      </x:c>
      <x:c r="K8785" s="6" t="n">
        <x:f>IF(G8785&gt;H8785,1,0)</x:f>
        <x:v>0</x:v>
      </x:c>
      <x:c r="L8785" s="6" t="n">
        <x:f>J8785*K8785</x:f>
        <x:v>0</x:v>
      </x:c>
    </x:row>
    <x:row r="8786">
      <x:c r="A8786" s="1" t="n">
        <x:v>70209</x:v>
      </x:c>
      <x:c r="B8786" s="5" t="d">
        <x:v>2017-10-21T00:00:00.000Z</x:v>
      </x:c>
      <x:c r="C8786" s="1" t="str">
        <x:v>Standard Class</x:v>
      </x:c>
      <x:c r="D8786" s="1" t="str">
        <x:v>Europe</x:v>
      </x:c>
      <x:c r="E8786" s="1" t="str">
        <x:v>COMPLETE</x:v>
      </x:c>
      <x:c r="F8786" s="1" t="str">
        <x:v>Late delivery</x:v>
      </x:c>
      <x:c r="G8786" s="6" t="n">
        <x:v>5</x:v>
      </x:c>
      <x:c r="H8786" s="6" t="n">
        <x:v>4</x:v>
      </x:c>
      <x:c r="I8786" s="6" t="n">
        <x:f>G8786-H8786</x:f>
        <x:v>1</x:v>
      </x:c>
      <x:c r="J8786" s="6" t="n">
        <x:f>IF(OR(E8786="CANCELED",E8786="SUSPECTED_FRAUD",F8786="Shipping canceled"),0,1)</x:f>
        <x:v>1</x:v>
      </x:c>
      <x:c r="K8786" s="6" t="n">
        <x:f>IF(G8786&gt;H8786,1,0)</x:f>
        <x:v>1</x:v>
      </x:c>
      <x:c r="L8786" s="6" t="n">
        <x:f>J8786*K8786</x:f>
        <x:v>1</x:v>
      </x:c>
    </x:row>
    <x:row r="8787">
      <x:c r="A8787" s="1" t="n">
        <x:v>70239</x:v>
      </x:c>
      <x:c r="B8787" s="5" t="d">
        <x:v>2017-10-22T00:00:00.000Z</x:v>
      </x:c>
      <x:c r="C8787" s="1" t="str">
        <x:v>Standard Class</x:v>
      </x:c>
      <x:c r="D8787" s="1" t="str">
        <x:v>Europe</x:v>
      </x:c>
      <x:c r="E8787" s="1" t="str">
        <x:v>COMPLETE</x:v>
      </x:c>
      <x:c r="F8787" s="1" t="str">
        <x:v>Late delivery</x:v>
      </x:c>
      <x:c r="G8787" s="6" t="n">
        <x:v>5</x:v>
      </x:c>
      <x:c r="H8787" s="6" t="n">
        <x:v>4</x:v>
      </x:c>
      <x:c r="I8787" s="6" t="n">
        <x:f>G8787-H8787</x:f>
        <x:v>1</x:v>
      </x:c>
      <x:c r="J8787" s="6" t="n">
        <x:f>IF(OR(E8787="CANCELED",E8787="SUSPECTED_FRAUD",F8787="Shipping canceled"),0,1)</x:f>
        <x:v>1</x:v>
      </x:c>
      <x:c r="K8787" s="6" t="n">
        <x:f>IF(G8787&gt;H8787,1,0)</x:f>
        <x:v>1</x:v>
      </x:c>
      <x:c r="L8787" s="6" t="n">
        <x:f>J8787*K8787</x:f>
        <x:v>1</x:v>
      </x:c>
    </x:row>
    <x:row r="8788">
      <x:c r="A8788" s="1" t="n">
        <x:v>70241</x:v>
      </x:c>
      <x:c r="B8788" s="5" t="d">
        <x:v>2017-10-22T00:00:00.000Z</x:v>
      </x:c>
      <x:c r="C8788" s="1" t="str">
        <x:v>Second Class</x:v>
      </x:c>
      <x:c r="D8788" s="1" t="str">
        <x:v>Europe</x:v>
      </x:c>
      <x:c r="E8788" s="1" t="str">
        <x:v>CLOSED</x:v>
      </x:c>
      <x:c r="F8788" s="1" t="str">
        <x:v>Shipping on time</x:v>
      </x:c>
      <x:c r="G8788" s="6" t="n">
        <x:v>2</x:v>
      </x:c>
      <x:c r="H8788" s="6" t="n">
        <x:v>2</x:v>
      </x:c>
      <x:c r="I8788" s="6" t="n">
        <x:f>G8788-H8788</x:f>
        <x:v>0</x:v>
      </x:c>
      <x:c r="J8788" s="6" t="n">
        <x:f>IF(OR(E8788="CANCELED",E8788="SUSPECTED_FRAUD",F8788="Shipping canceled"),0,1)</x:f>
        <x:v>1</x:v>
      </x:c>
      <x:c r="K8788" s="6" t="n">
        <x:f>IF(G8788&gt;H8788,1,0)</x:f>
        <x:v>0</x:v>
      </x:c>
      <x:c r="L8788" s="6" t="n">
        <x:f>J8788*K8788</x:f>
        <x:v>0</x:v>
      </x:c>
    </x:row>
    <x:row r="8789">
      <x:c r="A8789" s="1" t="n">
        <x:v>70252</x:v>
      </x:c>
      <x:c r="B8789" s="5" t="d">
        <x:v>2017-10-22T00:00:00.000Z</x:v>
      </x:c>
      <x:c r="C8789" s="1" t="str">
        <x:v>Standard Class</x:v>
      </x:c>
      <x:c r="D8789" s="1" t="str">
        <x:v>Europe</x:v>
      </x:c>
      <x:c r="E8789" s="1" t="str">
        <x:v>COMPLETE</x:v>
      </x:c>
      <x:c r="F8789" s="1" t="str">
        <x:v>Advance shipping</x:v>
      </x:c>
      <x:c r="G8789" s="6" t="n">
        <x:v>3</x:v>
      </x:c>
      <x:c r="H8789" s="6" t="n">
        <x:v>4</x:v>
      </x:c>
      <x:c r="I8789" s="6" t="n">
        <x:f>G8789-H8789</x:f>
        <x:v>-1</x:v>
      </x:c>
      <x:c r="J8789" s="6" t="n">
        <x:f>IF(OR(E8789="CANCELED",E8789="SUSPECTED_FRAUD",F8789="Shipping canceled"),0,1)</x:f>
        <x:v>1</x:v>
      </x:c>
      <x:c r="K8789" s="6" t="n">
        <x:f>IF(G8789&gt;H8789,1,0)</x:f>
        <x:v>0</x:v>
      </x:c>
      <x:c r="L8789" s="6" t="n">
        <x:f>J8789*K8789</x:f>
        <x:v>0</x:v>
      </x:c>
    </x:row>
    <x:row r="8790">
      <x:c r="A8790" s="1" t="n">
        <x:v>70279</x:v>
      </x:c>
      <x:c r="B8790" s="5" t="d">
        <x:v>2017-10-22T00:00:00.000Z</x:v>
      </x:c>
      <x:c r="C8790" s="1" t="str">
        <x:v>Second Class</x:v>
      </x:c>
      <x:c r="D8790" s="1" t="str">
        <x:v>Europe</x:v>
      </x:c>
      <x:c r="E8790" s="1" t="str">
        <x:v>ON_HOLD</x:v>
      </x:c>
      <x:c r="F8790" s="1" t="str">
        <x:v>Late delivery</x:v>
      </x:c>
      <x:c r="G8790" s="6" t="n">
        <x:v>5</x:v>
      </x:c>
      <x:c r="H8790" s="6" t="n">
        <x:v>2</x:v>
      </x:c>
      <x:c r="I8790" s="6" t="n">
        <x:f>G8790-H8790</x:f>
        <x:v>3</x:v>
      </x:c>
      <x:c r="J8790" s="6" t="n">
        <x:f>IF(OR(E8790="CANCELED",E8790="SUSPECTED_FRAUD",F8790="Shipping canceled"),0,1)</x:f>
        <x:v>1</x:v>
      </x:c>
      <x:c r="K8790" s="6" t="n">
        <x:f>IF(G8790&gt;H8790,1,0)</x:f>
        <x:v>1</x:v>
      </x:c>
      <x:c r="L8790" s="6" t="n">
        <x:f>J8790*K8790</x:f>
        <x:v>1</x:v>
      </x:c>
    </x:row>
    <x:row r="8791">
      <x:c r="A8791" s="1" t="n">
        <x:v>70282</x:v>
      </x:c>
      <x:c r="B8791" s="5" t="d">
        <x:v>2017-10-22T00:00:00.000Z</x:v>
      </x:c>
      <x:c r="C8791" s="1" t="str">
        <x:v>Standard Class</x:v>
      </x:c>
      <x:c r="D8791" s="1" t="str">
        <x:v>Europe</x:v>
      </x:c>
      <x:c r="E8791" s="1" t="str">
        <x:v>COMPLETE</x:v>
      </x:c>
      <x:c r="F8791" s="1" t="str">
        <x:v>Advance shipping</x:v>
      </x:c>
      <x:c r="G8791" s="6" t="n">
        <x:v>3</x:v>
      </x:c>
      <x:c r="H8791" s="6" t="n">
        <x:v>4</x:v>
      </x:c>
      <x:c r="I8791" s="6" t="n">
        <x:f>G8791-H8791</x:f>
        <x:v>-1</x:v>
      </x:c>
      <x:c r="J8791" s="6" t="n">
        <x:f>IF(OR(E8791="CANCELED",E8791="SUSPECTED_FRAUD",F8791="Shipping canceled"),0,1)</x:f>
        <x:v>1</x:v>
      </x:c>
      <x:c r="K8791" s="6" t="n">
        <x:f>IF(G8791&gt;H8791,1,0)</x:f>
        <x:v>0</x:v>
      </x:c>
      <x:c r="L8791" s="6" t="n">
        <x:f>J8791*K8791</x:f>
        <x:v>0</x:v>
      </x:c>
    </x:row>
    <x:row r="8792">
      <x:c r="A8792" s="1" t="n">
        <x:v>70287</x:v>
      </x:c>
      <x:c r="B8792" s="5" t="d">
        <x:v>2017-10-23T00:00:00.000Z</x:v>
      </x:c>
      <x:c r="C8792" s="1" t="str">
        <x:v>Standard Class</x:v>
      </x:c>
      <x:c r="D8792" s="1" t="str">
        <x:v>Europe</x:v>
      </x:c>
      <x:c r="E8792" s="1" t="str">
        <x:v>COMPLETE</x:v>
      </x:c>
      <x:c r="F8792" s="1" t="str">
        <x:v>Advance shipping</x:v>
      </x:c>
      <x:c r="G8792" s="6" t="n">
        <x:v>3</x:v>
      </x:c>
      <x:c r="H8792" s="6" t="n">
        <x:v>4</x:v>
      </x:c>
      <x:c r="I8792" s="6" t="n">
        <x:f>G8792-H8792</x:f>
        <x:v>-1</x:v>
      </x:c>
      <x:c r="J8792" s="6" t="n">
        <x:f>IF(OR(E8792="CANCELED",E8792="SUSPECTED_FRAUD",F8792="Shipping canceled"),0,1)</x:f>
        <x:v>1</x:v>
      </x:c>
      <x:c r="K8792" s="6" t="n">
        <x:f>IF(G8792&gt;H8792,1,0)</x:f>
        <x:v>0</x:v>
      </x:c>
      <x:c r="L8792" s="6" t="n">
        <x:f>J8792*K8792</x:f>
        <x:v>0</x:v>
      </x:c>
    </x:row>
    <x:row r="8793">
      <x:c r="A8793" s="1" t="n">
        <x:v>70292</x:v>
      </x:c>
      <x:c r="B8793" s="5" t="d">
        <x:v>2017-10-23T00:00:00.000Z</x:v>
      </x:c>
      <x:c r="C8793" s="1" t="str">
        <x:v>Standard Class</x:v>
      </x:c>
      <x:c r="D8793" s="1" t="str">
        <x:v>Europe</x:v>
      </x:c>
      <x:c r="E8793" s="1" t="str">
        <x:v>COMPLETE</x:v>
      </x:c>
      <x:c r="F8793" s="1" t="str">
        <x:v>Advance shipping</x:v>
      </x:c>
      <x:c r="G8793" s="6" t="n">
        <x:v>3</x:v>
      </x:c>
      <x:c r="H8793" s="6" t="n">
        <x:v>4</x:v>
      </x:c>
      <x:c r="I8793" s="6" t="n">
        <x:f>G8793-H8793</x:f>
        <x:v>-1</x:v>
      </x:c>
      <x:c r="J8793" s="6" t="n">
        <x:f>IF(OR(E8793="CANCELED",E8793="SUSPECTED_FRAUD",F8793="Shipping canceled"),0,1)</x:f>
        <x:v>1</x:v>
      </x:c>
      <x:c r="K8793" s="6" t="n">
        <x:f>IF(G8793&gt;H8793,1,0)</x:f>
        <x:v>0</x:v>
      </x:c>
      <x:c r="L8793" s="6" t="n">
        <x:f>J8793*K8793</x:f>
        <x:v>0</x:v>
      </x:c>
    </x:row>
    <x:row r="8794">
      <x:c r="A8794" s="1" t="n">
        <x:v>70304</x:v>
      </x:c>
      <x:c r="B8794" s="5" t="d">
        <x:v>2017-10-23T00:00:00.000Z</x:v>
      </x:c>
      <x:c r="C8794" s="1" t="str">
        <x:v>Standard Class</x:v>
      </x:c>
      <x:c r="D8794" s="1" t="str">
        <x:v>Europe</x:v>
      </x:c>
      <x:c r="E8794" s="1" t="str">
        <x:v>COMPLETE</x:v>
      </x:c>
      <x:c r="F8794" s="1" t="str">
        <x:v>Late delivery</x:v>
      </x:c>
      <x:c r="G8794" s="6" t="n">
        <x:v>5</x:v>
      </x:c>
      <x:c r="H8794" s="6" t="n">
        <x:v>4</x:v>
      </x:c>
      <x:c r="I8794" s="6" t="n">
        <x:f>G8794-H8794</x:f>
        <x:v>1</x:v>
      </x:c>
      <x:c r="J8794" s="6" t="n">
        <x:f>IF(OR(E8794="CANCELED",E8794="SUSPECTED_FRAUD",F8794="Shipping canceled"),0,1)</x:f>
        <x:v>1</x:v>
      </x:c>
      <x:c r="K8794" s="6" t="n">
        <x:f>IF(G8794&gt;H8794,1,0)</x:f>
        <x:v>1</x:v>
      </x:c>
      <x:c r="L8794" s="6" t="n">
        <x:f>J8794*K8794</x:f>
        <x:v>1</x:v>
      </x:c>
    </x:row>
    <x:row r="8795">
      <x:c r="A8795" s="1" t="n">
        <x:v>70314</x:v>
      </x:c>
      <x:c r="B8795" s="5" t="d">
        <x:v>2017-10-23T00:00:00.000Z</x:v>
      </x:c>
      <x:c r="C8795" s="1" t="str">
        <x:v>Standard Class</x:v>
      </x:c>
      <x:c r="D8795" s="1" t="str">
        <x:v>Europe</x:v>
      </x:c>
      <x:c r="E8795" s="1" t="str">
        <x:v>COMPLETE</x:v>
      </x:c>
      <x:c r="F8795" s="1" t="str">
        <x:v>Late delivery</x:v>
      </x:c>
      <x:c r="G8795" s="6" t="n">
        <x:v>5</x:v>
      </x:c>
      <x:c r="H8795" s="6" t="n">
        <x:v>4</x:v>
      </x:c>
      <x:c r="I8795" s="6" t="n">
        <x:f>G8795-H8795</x:f>
        <x:v>1</x:v>
      </x:c>
      <x:c r="J8795" s="6" t="n">
        <x:f>IF(OR(E8795="CANCELED",E8795="SUSPECTED_FRAUD",F8795="Shipping canceled"),0,1)</x:f>
        <x:v>1</x:v>
      </x:c>
      <x:c r="K8795" s="6" t="n">
        <x:f>IF(G8795&gt;H8795,1,0)</x:f>
        <x:v>1</x:v>
      </x:c>
      <x:c r="L8795" s="6" t="n">
        <x:f>J8795*K8795</x:f>
        <x:v>1</x:v>
      </x:c>
    </x:row>
    <x:row r="8796">
      <x:c r="A8796" s="1" t="n">
        <x:v>70327</x:v>
      </x:c>
      <x:c r="B8796" s="5" t="d">
        <x:v>2017-10-23T00:00:00.000Z</x:v>
      </x:c>
      <x:c r="C8796" s="1" t="str">
        <x:v>Standard Class</x:v>
      </x:c>
      <x:c r="D8796" s="1" t="str">
        <x:v>Europe</x:v>
      </x:c>
      <x:c r="E8796" s="1" t="str">
        <x:v>COMPLETE</x:v>
      </x:c>
      <x:c r="F8796" s="1" t="str">
        <x:v>Advance shipping</x:v>
      </x:c>
      <x:c r="G8796" s="6" t="n">
        <x:v>3</x:v>
      </x:c>
      <x:c r="H8796" s="6" t="n">
        <x:v>4</x:v>
      </x:c>
      <x:c r="I8796" s="6" t="n">
        <x:f>G8796-H8796</x:f>
        <x:v>-1</x:v>
      </x:c>
      <x:c r="J8796" s="6" t="n">
        <x:f>IF(OR(E8796="CANCELED",E8796="SUSPECTED_FRAUD",F8796="Shipping canceled"),0,1)</x:f>
        <x:v>1</x:v>
      </x:c>
      <x:c r="K8796" s="6" t="n">
        <x:f>IF(G8796&gt;H8796,1,0)</x:f>
        <x:v>0</x:v>
      </x:c>
      <x:c r="L8796" s="6" t="n">
        <x:f>J8796*K8796</x:f>
        <x:v>0</x:v>
      </x:c>
    </x:row>
    <x:row r="8797">
      <x:c r="A8797" s="1" t="n">
        <x:v>70353</x:v>
      </x:c>
      <x:c r="B8797" s="5" t="d">
        <x:v>2017-10-23T00:00:00.000Z</x:v>
      </x:c>
      <x:c r="C8797" s="1" t="str">
        <x:v>Standard Class</x:v>
      </x:c>
      <x:c r="D8797" s="1" t="str">
        <x:v>Europe</x:v>
      </x:c>
      <x:c r="E8797" s="1" t="str">
        <x:v>PENDING</x:v>
      </x:c>
      <x:c r="F8797" s="1" t="str">
        <x:v>Shipping on time</x:v>
      </x:c>
      <x:c r="G8797" s="6" t="n">
        <x:v>4</x:v>
      </x:c>
      <x:c r="H8797" s="6" t="n">
        <x:v>4</x:v>
      </x:c>
      <x:c r="I8797" s="6" t="n">
        <x:f>G8797-H8797</x:f>
        <x:v>0</x:v>
      </x:c>
      <x:c r="J8797" s="6" t="n">
        <x:f>IF(OR(E8797="CANCELED",E8797="SUSPECTED_FRAUD",F8797="Shipping canceled"),0,1)</x:f>
        <x:v>1</x:v>
      </x:c>
      <x:c r="K8797" s="6" t="n">
        <x:f>IF(G8797&gt;H8797,1,0)</x:f>
        <x:v>0</x:v>
      </x:c>
      <x:c r="L8797" s="6" t="n">
        <x:f>J8797*K8797</x:f>
        <x:v>0</x:v>
      </x:c>
    </x:row>
    <x:row r="8798">
      <x:c r="A8798" s="1" t="n">
        <x:v>70371</x:v>
      </x:c>
      <x:c r="B8798" s="5" t="d">
        <x:v>2017-10-24T00:00:00.000Z</x:v>
      </x:c>
      <x:c r="C8798" s="1" t="str">
        <x:v>Standard Class</x:v>
      </x:c>
      <x:c r="D8798" s="1" t="str">
        <x:v>Europe</x:v>
      </x:c>
      <x:c r="E8798" s="1" t="str">
        <x:v>COMPLETE</x:v>
      </x:c>
      <x:c r="F8798" s="1" t="str">
        <x:v>Advance shipping</x:v>
      </x:c>
      <x:c r="G8798" s="6" t="n">
        <x:v>2</x:v>
      </x:c>
      <x:c r="H8798" s="6" t="n">
        <x:v>4</x:v>
      </x:c>
      <x:c r="I8798" s="6" t="n">
        <x:f>G8798-H8798</x:f>
        <x:v>-2</x:v>
      </x:c>
      <x:c r="J8798" s="6" t="n">
        <x:f>IF(OR(E8798="CANCELED",E8798="SUSPECTED_FRAUD",F8798="Shipping canceled"),0,1)</x:f>
        <x:v>1</x:v>
      </x:c>
      <x:c r="K8798" s="6" t="n">
        <x:f>IF(G8798&gt;H8798,1,0)</x:f>
        <x:v>0</x:v>
      </x:c>
      <x:c r="L8798" s="6" t="n">
        <x:f>J8798*K8798</x:f>
        <x:v>0</x:v>
      </x:c>
    </x:row>
    <x:row r="8799">
      <x:c r="A8799" s="1" t="n">
        <x:v>70380</x:v>
      </x:c>
      <x:c r="B8799" s="5" t="d">
        <x:v>2017-10-24T00:00:00.000Z</x:v>
      </x:c>
      <x:c r="C8799" s="1" t="str">
        <x:v>Standard Class</x:v>
      </x:c>
      <x:c r="D8799" s="1" t="str">
        <x:v>Europe</x:v>
      </x:c>
      <x:c r="E8799" s="1" t="str">
        <x:v>PENDING_PAYMENT</x:v>
      </x:c>
      <x:c r="F8799" s="1" t="str">
        <x:v>Late delivery</x:v>
      </x:c>
      <x:c r="G8799" s="6" t="n">
        <x:v>6</x:v>
      </x:c>
      <x:c r="H8799" s="6" t="n">
        <x:v>4</x:v>
      </x:c>
      <x:c r="I8799" s="6" t="n">
        <x:f>G8799-H8799</x:f>
        <x:v>2</x:v>
      </x:c>
      <x:c r="J8799" s="6" t="n">
        <x:f>IF(OR(E8799="CANCELED",E8799="SUSPECTED_FRAUD",F8799="Shipping canceled"),0,1)</x:f>
        <x:v>1</x:v>
      </x:c>
      <x:c r="K8799" s="6" t="n">
        <x:f>IF(G8799&gt;H8799,1,0)</x:f>
        <x:v>1</x:v>
      </x:c>
      <x:c r="L8799" s="6" t="n">
        <x:f>J8799*K8799</x:f>
        <x:v>1</x:v>
      </x:c>
    </x:row>
    <x:row r="8800">
      <x:c r="A8800" s="1" t="n">
        <x:v>70382</x:v>
      </x:c>
      <x:c r="B8800" s="5" t="d">
        <x:v>2017-10-24T00:00:00.000Z</x:v>
      </x:c>
      <x:c r="C8800" s="1" t="str">
        <x:v>First Class</x:v>
      </x:c>
      <x:c r="D8800" s="1" t="str">
        <x:v>Europe</x:v>
      </x:c>
      <x:c r="E8800" s="1" t="str">
        <x:v>CLOSED</x:v>
      </x:c>
      <x:c r="F8800" s="1" t="str">
        <x:v>Late delivery</x:v>
      </x:c>
      <x:c r="G8800" s="6" t="n">
        <x:v>2</x:v>
      </x:c>
      <x:c r="H8800" s="6" t="n">
        <x:v>1</x:v>
      </x:c>
      <x:c r="I8800" s="6" t="n">
        <x:f>G8800-H8800</x:f>
        <x:v>1</x:v>
      </x:c>
      <x:c r="J8800" s="6" t="n">
        <x:f>IF(OR(E8800="CANCELED",E8800="SUSPECTED_FRAUD",F8800="Shipping canceled"),0,1)</x:f>
        <x:v>1</x:v>
      </x:c>
      <x:c r="K8800" s="6" t="n">
        <x:f>IF(G8800&gt;H8800,1,0)</x:f>
        <x:v>1</x:v>
      </x:c>
      <x:c r="L8800" s="6" t="n">
        <x:f>J8800*K8800</x:f>
        <x:v>1</x:v>
      </x:c>
    </x:row>
    <x:row r="8801">
      <x:c r="A8801" s="1" t="n">
        <x:v>70414</x:v>
      </x:c>
      <x:c r="B8801" s="5" t="d">
        <x:v>2017-10-24T00:00:00.000Z</x:v>
      </x:c>
      <x:c r="C8801" s="1" t="str">
        <x:v>Standard Class</x:v>
      </x:c>
      <x:c r="D8801" s="1" t="str">
        <x:v>Europe</x:v>
      </x:c>
      <x:c r="E8801" s="1" t="str">
        <x:v>COMPLETE</x:v>
      </x:c>
      <x:c r="F8801" s="1" t="str">
        <x:v>Late delivery</x:v>
      </x:c>
      <x:c r="G8801" s="6" t="n">
        <x:v>5</x:v>
      </x:c>
      <x:c r="H8801" s="6" t="n">
        <x:v>4</x:v>
      </x:c>
      <x:c r="I8801" s="6" t="n">
        <x:f>G8801-H8801</x:f>
        <x:v>1</x:v>
      </x:c>
      <x:c r="J8801" s="6" t="n">
        <x:f>IF(OR(E8801="CANCELED",E8801="SUSPECTED_FRAUD",F8801="Shipping canceled"),0,1)</x:f>
        <x:v>1</x:v>
      </x:c>
      <x:c r="K8801" s="6" t="n">
        <x:f>IF(G8801&gt;H8801,1,0)</x:f>
        <x:v>1</x:v>
      </x:c>
      <x:c r="L8801" s="6" t="n">
        <x:f>J8801*K8801</x:f>
        <x:v>1</x:v>
      </x:c>
    </x:row>
    <x:row r="8802">
      <x:c r="A8802" s="1" t="n">
        <x:v>70433</x:v>
      </x:c>
      <x:c r="B8802" s="5" t="d">
        <x:v>2017-10-25T00:00:00.000Z</x:v>
      </x:c>
      <x:c r="C8802" s="1" t="str">
        <x:v>Standard Class</x:v>
      </x:c>
      <x:c r="D8802" s="1" t="str">
        <x:v>Europe</x:v>
      </x:c>
      <x:c r="E8802" s="1" t="str">
        <x:v>PENDING_PAYMENT</x:v>
      </x:c>
      <x:c r="F8802" s="1" t="str">
        <x:v>Shipping on time</x:v>
      </x:c>
      <x:c r="G8802" s="6" t="n">
        <x:v>4</x:v>
      </x:c>
      <x:c r="H8802" s="6" t="n">
        <x:v>4</x:v>
      </x:c>
      <x:c r="I8802" s="6" t="n">
        <x:f>G8802-H8802</x:f>
        <x:v>0</x:v>
      </x:c>
      <x:c r="J8802" s="6" t="n">
        <x:f>IF(OR(E8802="CANCELED",E8802="SUSPECTED_FRAUD",F8802="Shipping canceled"),0,1)</x:f>
        <x:v>1</x:v>
      </x:c>
      <x:c r="K8802" s="6" t="n">
        <x:f>IF(G8802&gt;H8802,1,0)</x:f>
        <x:v>0</x:v>
      </x:c>
      <x:c r="L8802" s="6" t="n">
        <x:f>J8802*K8802</x:f>
        <x:v>0</x:v>
      </x:c>
    </x:row>
    <x:row r="8803">
      <x:c r="A8803" s="1" t="n">
        <x:v>70437</x:v>
      </x:c>
      <x:c r="B8803" s="5" t="d">
        <x:v>2017-10-25T00:00:00.000Z</x:v>
      </x:c>
      <x:c r="C8803" s="1" t="str">
        <x:v>Second Class</x:v>
      </x:c>
      <x:c r="D8803" s="1" t="str">
        <x:v>Europe</x:v>
      </x:c>
      <x:c r="E8803" s="1" t="str">
        <x:v>COMPLETE</x:v>
      </x:c>
      <x:c r="F8803" s="1" t="str">
        <x:v>Late delivery</x:v>
      </x:c>
      <x:c r="G8803" s="6" t="n">
        <x:v>3</x:v>
      </x:c>
      <x:c r="H8803" s="6" t="n">
        <x:v>2</x:v>
      </x:c>
      <x:c r="I8803" s="6" t="n">
        <x:f>G8803-H8803</x:f>
        <x:v>1</x:v>
      </x:c>
      <x:c r="J8803" s="6" t="n">
        <x:f>IF(OR(E8803="CANCELED",E8803="SUSPECTED_FRAUD",F8803="Shipping canceled"),0,1)</x:f>
        <x:v>1</x:v>
      </x:c>
      <x:c r="K8803" s="6" t="n">
        <x:f>IF(G8803&gt;H8803,1,0)</x:f>
        <x:v>1</x:v>
      </x:c>
      <x:c r="L8803" s="6" t="n">
        <x:f>J8803*K8803</x:f>
        <x:v>1</x:v>
      </x:c>
    </x:row>
    <x:row r="8804">
      <x:c r="A8804" s="1" t="n">
        <x:v>70441</x:v>
      </x:c>
      <x:c r="B8804" s="5" t="d">
        <x:v>2017-10-25T00:00:00.000Z</x:v>
      </x:c>
      <x:c r="C8804" s="1" t="str">
        <x:v>Standard Class</x:v>
      </x:c>
      <x:c r="D8804" s="1" t="str">
        <x:v>Europe</x:v>
      </x:c>
      <x:c r="E8804" s="1" t="str">
        <x:v>COMPLETE</x:v>
      </x:c>
      <x:c r="F8804" s="1" t="str">
        <x:v>Advance shipping</x:v>
      </x:c>
      <x:c r="G8804" s="6" t="n">
        <x:v>2</x:v>
      </x:c>
      <x:c r="H8804" s="6" t="n">
        <x:v>4</x:v>
      </x:c>
      <x:c r="I8804" s="6" t="n">
        <x:f>G8804-H8804</x:f>
        <x:v>-2</x:v>
      </x:c>
      <x:c r="J8804" s="6" t="n">
        <x:f>IF(OR(E8804="CANCELED",E8804="SUSPECTED_FRAUD",F8804="Shipping canceled"),0,1)</x:f>
        <x:v>1</x:v>
      </x:c>
      <x:c r="K8804" s="6" t="n">
        <x:f>IF(G8804&gt;H8804,1,0)</x:f>
        <x:v>0</x:v>
      </x:c>
      <x:c r="L8804" s="6" t="n">
        <x:f>J8804*K8804</x:f>
        <x:v>0</x:v>
      </x:c>
    </x:row>
    <x:row r="8805">
      <x:c r="A8805" s="1" t="n">
        <x:v>70460</x:v>
      </x:c>
      <x:c r="B8805" s="5" t="d">
        <x:v>2017-10-25T00:00:00.000Z</x:v>
      </x:c>
      <x:c r="C8805" s="1" t="str">
        <x:v>Standard Class</x:v>
      </x:c>
      <x:c r="D8805" s="1" t="str">
        <x:v>Europe</x:v>
      </x:c>
      <x:c r="E8805" s="1" t="str">
        <x:v>COMPLETE</x:v>
      </x:c>
      <x:c r="F8805" s="1" t="str">
        <x:v>Late delivery</x:v>
      </x:c>
      <x:c r="G8805" s="6" t="n">
        <x:v>6</x:v>
      </x:c>
      <x:c r="H8805" s="6" t="n">
        <x:v>4</x:v>
      </x:c>
      <x:c r="I8805" s="6" t="n">
        <x:f>G8805-H8805</x:f>
        <x:v>2</x:v>
      </x:c>
      <x:c r="J8805" s="6" t="n">
        <x:f>IF(OR(E8805="CANCELED",E8805="SUSPECTED_FRAUD",F8805="Shipping canceled"),0,1)</x:f>
        <x:v>1</x:v>
      </x:c>
      <x:c r="K8805" s="6" t="n">
        <x:f>IF(G8805&gt;H8805,1,0)</x:f>
        <x:v>1</x:v>
      </x:c>
      <x:c r="L8805" s="6" t="n">
        <x:f>J8805*K8805</x:f>
        <x:v>1</x:v>
      </x:c>
    </x:row>
    <x:row r="8806">
      <x:c r="A8806" s="1" t="n">
        <x:v>70471</x:v>
      </x:c>
      <x:c r="B8806" s="5" t="d">
        <x:v>2017-10-25T00:00:00.000Z</x:v>
      </x:c>
      <x:c r="C8806" s="1" t="str">
        <x:v>Standard Class</x:v>
      </x:c>
      <x:c r="D8806" s="1" t="str">
        <x:v>Europe</x:v>
      </x:c>
      <x:c r="E8806" s="1" t="str">
        <x:v>COMPLETE</x:v>
      </x:c>
      <x:c r="F8806" s="1" t="str">
        <x:v>Advance shipping</x:v>
      </x:c>
      <x:c r="G8806" s="6" t="n">
        <x:v>2</x:v>
      </x:c>
      <x:c r="H8806" s="6" t="n">
        <x:v>4</x:v>
      </x:c>
      <x:c r="I8806" s="6" t="n">
        <x:f>G8806-H8806</x:f>
        <x:v>-2</x:v>
      </x:c>
      <x:c r="J8806" s="6" t="n">
        <x:f>IF(OR(E8806="CANCELED",E8806="SUSPECTED_FRAUD",F8806="Shipping canceled"),0,1)</x:f>
        <x:v>1</x:v>
      </x:c>
      <x:c r="K8806" s="6" t="n">
        <x:f>IF(G8806&gt;H8806,1,0)</x:f>
        <x:v>0</x:v>
      </x:c>
      <x:c r="L8806" s="6" t="n">
        <x:f>J8806*K8806</x:f>
        <x:v>0</x:v>
      </x:c>
    </x:row>
    <x:row r="8807">
      <x:c r="A8807" s="1" t="n">
        <x:v>70487</x:v>
      </x:c>
      <x:c r="B8807" s="5" t="d">
        <x:v>2017-10-25T00:00:00.000Z</x:v>
      </x:c>
      <x:c r="C8807" s="1" t="str">
        <x:v>Standard Class</x:v>
      </x:c>
      <x:c r="D8807" s="1" t="str">
        <x:v>Europe</x:v>
      </x:c>
      <x:c r="E8807" s="1" t="str">
        <x:v>COMPLETE</x:v>
      </x:c>
      <x:c r="F8807" s="1" t="str">
        <x:v>Advance shipping</x:v>
      </x:c>
      <x:c r="G8807" s="6" t="n">
        <x:v>3</x:v>
      </x:c>
      <x:c r="H8807" s="6" t="n">
        <x:v>4</x:v>
      </x:c>
      <x:c r="I8807" s="6" t="n">
        <x:f>G8807-H8807</x:f>
        <x:v>-1</x:v>
      </x:c>
      <x:c r="J8807" s="6" t="n">
        <x:f>IF(OR(E8807="CANCELED",E8807="SUSPECTED_FRAUD",F8807="Shipping canceled"),0,1)</x:f>
        <x:v>1</x:v>
      </x:c>
      <x:c r="K8807" s="6" t="n">
        <x:f>IF(G8807&gt;H8807,1,0)</x:f>
        <x:v>0</x:v>
      </x:c>
      <x:c r="L8807" s="6" t="n">
        <x:f>J8807*K8807</x:f>
        <x:v>0</x:v>
      </x:c>
    </x:row>
    <x:row r="8808">
      <x:c r="A8808" s="1" t="n">
        <x:v>70488</x:v>
      </x:c>
      <x:c r="B8808" s="5" t="d">
        <x:v>2017-10-25T00:00:00.000Z</x:v>
      </x:c>
      <x:c r="C8808" s="1" t="str">
        <x:v>First Class</x:v>
      </x:c>
      <x:c r="D8808" s="1" t="str">
        <x:v>Europe</x:v>
      </x:c>
      <x:c r="E8808" s="1" t="str">
        <x:v>CLOSED</x:v>
      </x:c>
      <x:c r="F8808" s="1" t="str">
        <x:v>Late delivery</x:v>
      </x:c>
      <x:c r="G8808" s="6" t="n">
        <x:v>2</x:v>
      </x:c>
      <x:c r="H8808" s="6" t="n">
        <x:v>1</x:v>
      </x:c>
      <x:c r="I8808" s="6" t="n">
        <x:f>G8808-H8808</x:f>
        <x:v>1</x:v>
      </x:c>
      <x:c r="J8808" s="6" t="n">
        <x:f>IF(OR(E8808="CANCELED",E8808="SUSPECTED_FRAUD",F8808="Shipping canceled"),0,1)</x:f>
        <x:v>1</x:v>
      </x:c>
      <x:c r="K8808" s="6" t="n">
        <x:f>IF(G8808&gt;H8808,1,0)</x:f>
        <x:v>1</x:v>
      </x:c>
      <x:c r="L8808" s="6" t="n">
        <x:f>J8808*K8808</x:f>
        <x:v>1</x:v>
      </x:c>
    </x:row>
    <x:row r="8809">
      <x:c r="A8809" s="1" t="n">
        <x:v>70522</x:v>
      </x:c>
      <x:c r="B8809" s="5" t="d">
        <x:v>2017-10-26T00:00:00.000Z</x:v>
      </x:c>
      <x:c r="C8809" s="1" t="str">
        <x:v>Standard Class</x:v>
      </x:c>
      <x:c r="D8809" s="1" t="str">
        <x:v>Europe</x:v>
      </x:c>
      <x:c r="E8809" s="1" t="str">
        <x:v>CLOSED</x:v>
      </x:c>
      <x:c r="F8809" s="1" t="str">
        <x:v>Advance shipping</x:v>
      </x:c>
      <x:c r="G8809" s="6" t="n">
        <x:v>3</x:v>
      </x:c>
      <x:c r="H8809" s="6" t="n">
        <x:v>4</x:v>
      </x:c>
      <x:c r="I8809" s="6" t="n">
        <x:f>G8809-H8809</x:f>
        <x:v>-1</x:v>
      </x:c>
      <x:c r="J8809" s="6" t="n">
        <x:f>IF(OR(E8809="CANCELED",E8809="SUSPECTED_FRAUD",F8809="Shipping canceled"),0,1)</x:f>
        <x:v>1</x:v>
      </x:c>
      <x:c r="K8809" s="6" t="n">
        <x:f>IF(G8809&gt;H8809,1,0)</x:f>
        <x:v>0</x:v>
      </x:c>
      <x:c r="L8809" s="6" t="n">
        <x:f>J8809*K8809</x:f>
        <x:v>0</x:v>
      </x:c>
    </x:row>
    <x:row r="8810">
      <x:c r="A8810" s="1" t="n">
        <x:v>70527</x:v>
      </x:c>
      <x:c r="B8810" s="5" t="d">
        <x:v>2017-10-26T00:00:00.000Z</x:v>
      </x:c>
      <x:c r="C8810" s="1" t="str">
        <x:v>Standard Class</x:v>
      </x:c>
      <x:c r="D8810" s="1" t="str">
        <x:v>Europe</x:v>
      </x:c>
      <x:c r="E8810" s="1" t="str">
        <x:v>PENDING</x:v>
      </x:c>
      <x:c r="F8810" s="1" t="str">
        <x:v>Advance shipping</x:v>
      </x:c>
      <x:c r="G8810" s="6" t="n">
        <x:v>3</x:v>
      </x:c>
      <x:c r="H8810" s="6" t="n">
        <x:v>4</x:v>
      </x:c>
      <x:c r="I8810" s="6" t="n">
        <x:f>G8810-H8810</x:f>
        <x:v>-1</x:v>
      </x:c>
      <x:c r="J8810" s="6" t="n">
        <x:f>IF(OR(E8810="CANCELED",E8810="SUSPECTED_FRAUD",F8810="Shipping canceled"),0,1)</x:f>
        <x:v>1</x:v>
      </x:c>
      <x:c r="K8810" s="6" t="n">
        <x:f>IF(G8810&gt;H8810,1,0)</x:f>
        <x:v>0</x:v>
      </x:c>
      <x:c r="L8810" s="6" t="n">
        <x:f>J8810*K8810</x:f>
        <x:v>0</x:v>
      </x:c>
    </x:row>
    <x:row r="8811">
      <x:c r="A8811" s="1" t="n">
        <x:v>70534</x:v>
      </x:c>
      <x:c r="B8811" s="5" t="d">
        <x:v>2017-10-26T00:00:00.000Z</x:v>
      </x:c>
      <x:c r="C8811" s="1" t="str">
        <x:v>Second Class</x:v>
      </x:c>
      <x:c r="D8811" s="1" t="str">
        <x:v>Europe</x:v>
      </x:c>
      <x:c r="E8811" s="1" t="str">
        <x:v>COMPLETE</x:v>
      </x:c>
      <x:c r="F8811" s="1" t="str">
        <x:v>Late delivery</x:v>
      </x:c>
      <x:c r="G8811" s="6" t="n">
        <x:v>5</x:v>
      </x:c>
      <x:c r="H8811" s="6" t="n">
        <x:v>2</x:v>
      </x:c>
      <x:c r="I8811" s="6" t="n">
        <x:f>G8811-H8811</x:f>
        <x:v>3</x:v>
      </x:c>
      <x:c r="J8811" s="6" t="n">
        <x:f>IF(OR(E8811="CANCELED",E8811="SUSPECTED_FRAUD",F8811="Shipping canceled"),0,1)</x:f>
        <x:v>1</x:v>
      </x:c>
      <x:c r="K8811" s="6" t="n">
        <x:f>IF(G8811&gt;H8811,1,0)</x:f>
        <x:v>1</x:v>
      </x:c>
      <x:c r="L8811" s="6" t="n">
        <x:f>J8811*K8811</x:f>
        <x:v>1</x:v>
      </x:c>
    </x:row>
    <x:row r="8812">
      <x:c r="A8812" s="1" t="n">
        <x:v>70544</x:v>
      </x:c>
      <x:c r="B8812" s="5" t="d">
        <x:v>2017-10-26T00:00:00.000Z</x:v>
      </x:c>
      <x:c r="C8812" s="1" t="str">
        <x:v>Second Class</x:v>
      </x:c>
      <x:c r="D8812" s="1" t="str">
        <x:v>Europe</x:v>
      </x:c>
      <x:c r="E8812" s="1" t="str">
        <x:v>COMPLETE</x:v>
      </x:c>
      <x:c r="F8812" s="1" t="str">
        <x:v>Late delivery</x:v>
      </x:c>
      <x:c r="G8812" s="6" t="n">
        <x:v>5</x:v>
      </x:c>
      <x:c r="H8812" s="6" t="n">
        <x:v>2</x:v>
      </x:c>
      <x:c r="I8812" s="6" t="n">
        <x:f>G8812-H8812</x:f>
        <x:v>3</x:v>
      </x:c>
      <x:c r="J8812" s="6" t="n">
        <x:f>IF(OR(E8812="CANCELED",E8812="SUSPECTED_FRAUD",F8812="Shipping canceled"),0,1)</x:f>
        <x:v>1</x:v>
      </x:c>
      <x:c r="K8812" s="6" t="n">
        <x:f>IF(G8812&gt;H8812,1,0)</x:f>
        <x:v>1</x:v>
      </x:c>
      <x:c r="L8812" s="6" t="n">
        <x:f>J8812*K8812</x:f>
        <x:v>1</x:v>
      </x:c>
    </x:row>
    <x:row r="8813">
      <x:c r="A8813" s="1" t="n">
        <x:v>70554</x:v>
      </x:c>
      <x:c r="B8813" s="5" t="d">
        <x:v>2017-10-26T00:00:00.000Z</x:v>
      </x:c>
      <x:c r="C8813" s="1" t="str">
        <x:v>Standard Class</x:v>
      </x:c>
      <x:c r="D8813" s="1" t="str">
        <x:v>Europe</x:v>
      </x:c>
      <x:c r="E8813" s="1" t="str">
        <x:v>COMPLETE</x:v>
      </x:c>
      <x:c r="F8813" s="1" t="str">
        <x:v>Late delivery</x:v>
      </x:c>
      <x:c r="G8813" s="6" t="n">
        <x:v>5</x:v>
      </x:c>
      <x:c r="H8813" s="6" t="n">
        <x:v>4</x:v>
      </x:c>
      <x:c r="I8813" s="6" t="n">
        <x:f>G8813-H8813</x:f>
        <x:v>1</x:v>
      </x:c>
      <x:c r="J8813" s="6" t="n">
        <x:f>IF(OR(E8813="CANCELED",E8813="SUSPECTED_FRAUD",F8813="Shipping canceled"),0,1)</x:f>
        <x:v>1</x:v>
      </x:c>
      <x:c r="K8813" s="6" t="n">
        <x:f>IF(G8813&gt;H8813,1,0)</x:f>
        <x:v>1</x:v>
      </x:c>
      <x:c r="L8813" s="6" t="n">
        <x:f>J8813*K8813</x:f>
        <x:v>1</x:v>
      </x:c>
    </x:row>
    <x:row r="8814">
      <x:c r="A8814" s="1" t="n">
        <x:v>70556</x:v>
      </x:c>
      <x:c r="B8814" s="5" t="d">
        <x:v>2017-10-26T00:00:00.000Z</x:v>
      </x:c>
      <x:c r="C8814" s="1" t="str">
        <x:v>Standard Class</x:v>
      </x:c>
      <x:c r="D8814" s="1" t="str">
        <x:v>Europe</x:v>
      </x:c>
      <x:c r="E8814" s="1" t="str">
        <x:v>COMPLETE</x:v>
      </x:c>
      <x:c r="F8814" s="1" t="str">
        <x:v>Advance shipping</x:v>
      </x:c>
      <x:c r="G8814" s="6" t="n">
        <x:v>2</x:v>
      </x:c>
      <x:c r="H8814" s="6" t="n">
        <x:v>4</x:v>
      </x:c>
      <x:c r="I8814" s="6" t="n">
        <x:f>G8814-H8814</x:f>
        <x:v>-2</x:v>
      </x:c>
      <x:c r="J8814" s="6" t="n">
        <x:f>IF(OR(E8814="CANCELED",E8814="SUSPECTED_FRAUD",F8814="Shipping canceled"),0,1)</x:f>
        <x:v>1</x:v>
      </x:c>
      <x:c r="K8814" s="6" t="n">
        <x:f>IF(G8814&gt;H8814,1,0)</x:f>
        <x:v>0</x:v>
      </x:c>
      <x:c r="L8814" s="6" t="n">
        <x:f>J8814*K8814</x:f>
        <x:v>0</x:v>
      </x:c>
    </x:row>
    <x:row r="8815">
      <x:c r="A8815" s="1" t="n">
        <x:v>70560</x:v>
      </x:c>
      <x:c r="B8815" s="5" t="d">
        <x:v>2017-10-26T00:00:00.000Z</x:v>
      </x:c>
      <x:c r="C8815" s="1" t="str">
        <x:v>Standard Class</x:v>
      </x:c>
      <x:c r="D8815" s="1" t="str">
        <x:v>Europe</x:v>
      </x:c>
      <x:c r="E8815" s="1" t="str">
        <x:v>COMPLETE</x:v>
      </x:c>
      <x:c r="F8815" s="1" t="str">
        <x:v>Late delivery</x:v>
      </x:c>
      <x:c r="G8815" s="6" t="n">
        <x:v>6</x:v>
      </x:c>
      <x:c r="H8815" s="6" t="n">
        <x:v>4</x:v>
      </x:c>
      <x:c r="I8815" s="6" t="n">
        <x:f>G8815-H8815</x:f>
        <x:v>2</x:v>
      </x:c>
      <x:c r="J8815" s="6" t="n">
        <x:f>IF(OR(E8815="CANCELED",E8815="SUSPECTED_FRAUD",F8815="Shipping canceled"),0,1)</x:f>
        <x:v>1</x:v>
      </x:c>
      <x:c r="K8815" s="6" t="n">
        <x:f>IF(G8815&gt;H8815,1,0)</x:f>
        <x:v>1</x:v>
      </x:c>
      <x:c r="L8815" s="6" t="n">
        <x:f>J8815*K8815</x:f>
        <x:v>1</x:v>
      </x:c>
    </x:row>
    <x:row r="8816">
      <x:c r="A8816" s="1" t="n">
        <x:v>70564</x:v>
      </x:c>
      <x:c r="B8816" s="5" t="d">
        <x:v>2017-10-27T00:00:00.000Z</x:v>
      </x:c>
      <x:c r="C8816" s="1" t="str">
        <x:v>Standard Class</x:v>
      </x:c>
      <x:c r="D8816" s="1" t="str">
        <x:v>Europe</x:v>
      </x:c>
      <x:c r="E8816" s="1" t="str">
        <x:v>COMPLETE</x:v>
      </x:c>
      <x:c r="F8816" s="1" t="str">
        <x:v>Late delivery</x:v>
      </x:c>
      <x:c r="G8816" s="6" t="n">
        <x:v>5</x:v>
      </x:c>
      <x:c r="H8816" s="6" t="n">
        <x:v>4</x:v>
      </x:c>
      <x:c r="I8816" s="6" t="n">
        <x:f>G8816-H8816</x:f>
        <x:v>1</x:v>
      </x:c>
      <x:c r="J8816" s="6" t="n">
        <x:f>IF(OR(E8816="CANCELED",E8816="SUSPECTED_FRAUD",F8816="Shipping canceled"),0,1)</x:f>
        <x:v>1</x:v>
      </x:c>
      <x:c r="K8816" s="6" t="n">
        <x:f>IF(G8816&gt;H8816,1,0)</x:f>
        <x:v>1</x:v>
      </x:c>
      <x:c r="L8816" s="6" t="n">
        <x:f>J8816*K8816</x:f>
        <x:v>1</x:v>
      </x:c>
    </x:row>
    <x:row r="8817">
      <x:c r="A8817" s="1" t="n">
        <x:v>70575</x:v>
      </x:c>
      <x:c r="B8817" s="5" t="d">
        <x:v>2017-10-27T00:00:00.000Z</x:v>
      </x:c>
      <x:c r="C8817" s="1" t="str">
        <x:v>Standard Class</x:v>
      </x:c>
      <x:c r="D8817" s="1" t="str">
        <x:v>Europe</x:v>
      </x:c>
      <x:c r="E8817" s="1" t="str">
        <x:v>ON_HOLD</x:v>
      </x:c>
      <x:c r="F8817" s="1" t="str">
        <x:v>Late delivery</x:v>
      </x:c>
      <x:c r="G8817" s="6" t="n">
        <x:v>6</x:v>
      </x:c>
      <x:c r="H8817" s="6" t="n">
        <x:v>4</x:v>
      </x:c>
      <x:c r="I8817" s="6" t="n">
        <x:f>G8817-H8817</x:f>
        <x:v>2</x:v>
      </x:c>
      <x:c r="J8817" s="6" t="n">
        <x:f>IF(OR(E8817="CANCELED",E8817="SUSPECTED_FRAUD",F8817="Shipping canceled"),0,1)</x:f>
        <x:v>1</x:v>
      </x:c>
      <x:c r="K8817" s="6" t="n">
        <x:f>IF(G8817&gt;H8817,1,0)</x:f>
        <x:v>1</x:v>
      </x:c>
      <x:c r="L8817" s="6" t="n">
        <x:f>J8817*K8817</x:f>
        <x:v>1</x:v>
      </x:c>
    </x:row>
    <x:row r="8818">
      <x:c r="A8818" s="1" t="n">
        <x:v>70580</x:v>
      </x:c>
      <x:c r="B8818" s="5" t="d">
        <x:v>2017-10-27T00:00:00.000Z</x:v>
      </x:c>
      <x:c r="C8818" s="1" t="str">
        <x:v>Standard Class</x:v>
      </x:c>
      <x:c r="D8818" s="1" t="str">
        <x:v>Europe</x:v>
      </x:c>
      <x:c r="E8818" s="1" t="str">
        <x:v>COMPLETE</x:v>
      </x:c>
      <x:c r="F8818" s="1" t="str">
        <x:v>Late delivery</x:v>
      </x:c>
      <x:c r="G8818" s="6" t="n">
        <x:v>6</x:v>
      </x:c>
      <x:c r="H8818" s="6" t="n">
        <x:v>4</x:v>
      </x:c>
      <x:c r="I8818" s="6" t="n">
        <x:f>G8818-H8818</x:f>
        <x:v>2</x:v>
      </x:c>
      <x:c r="J8818" s="6" t="n">
        <x:f>IF(OR(E8818="CANCELED",E8818="SUSPECTED_FRAUD",F8818="Shipping canceled"),0,1)</x:f>
        <x:v>1</x:v>
      </x:c>
      <x:c r="K8818" s="6" t="n">
        <x:f>IF(G8818&gt;H8818,1,0)</x:f>
        <x:v>1</x:v>
      </x:c>
      <x:c r="L8818" s="6" t="n">
        <x:f>J8818*K8818</x:f>
        <x:v>1</x:v>
      </x:c>
    </x:row>
    <x:row r="8819">
      <x:c r="A8819" s="1" t="n">
        <x:v>70600</x:v>
      </x:c>
      <x:c r="B8819" s="5" t="d">
        <x:v>2017-10-27T00:00:00.000Z</x:v>
      </x:c>
      <x:c r="C8819" s="1" t="str">
        <x:v>First Class</x:v>
      </x:c>
      <x:c r="D8819" s="1" t="str">
        <x:v>Europe</x:v>
      </x:c>
      <x:c r="E8819" s="1" t="str">
        <x:v>PENDING_PAYMENT</x:v>
      </x:c>
      <x:c r="F8819" s="1" t="str">
        <x:v>Late delivery</x:v>
      </x:c>
      <x:c r="G8819" s="6" t="n">
        <x:v>2</x:v>
      </x:c>
      <x:c r="H8819" s="6" t="n">
        <x:v>1</x:v>
      </x:c>
      <x:c r="I8819" s="6" t="n">
        <x:f>G8819-H8819</x:f>
        <x:v>1</x:v>
      </x:c>
      <x:c r="J8819" s="6" t="n">
        <x:f>IF(OR(E8819="CANCELED",E8819="SUSPECTED_FRAUD",F8819="Shipping canceled"),0,1)</x:f>
        <x:v>1</x:v>
      </x:c>
      <x:c r="K8819" s="6" t="n">
        <x:f>IF(G8819&gt;H8819,1,0)</x:f>
        <x:v>1</x:v>
      </x:c>
      <x:c r="L8819" s="6" t="n">
        <x:f>J8819*K8819</x:f>
        <x:v>1</x:v>
      </x:c>
    </x:row>
    <x:row r="8820">
      <x:c r="A8820" s="1" t="n">
        <x:v>70606</x:v>
      </x:c>
      <x:c r="B8820" s="5" t="d">
        <x:v>2017-10-27T00:00:00.000Z</x:v>
      </x:c>
      <x:c r="C8820" s="1" t="str">
        <x:v>First Class</x:v>
      </x:c>
      <x:c r="D8820" s="1" t="str">
        <x:v>Europe</x:v>
      </x:c>
      <x:c r="E8820" s="1" t="str">
        <x:v>PENDING_PAYMENT</x:v>
      </x:c>
      <x:c r="F8820" s="1" t="str">
        <x:v>Late delivery</x:v>
      </x:c>
      <x:c r="G8820" s="6" t="n">
        <x:v>2</x:v>
      </x:c>
      <x:c r="H8820" s="6" t="n">
        <x:v>1</x:v>
      </x:c>
      <x:c r="I8820" s="6" t="n">
        <x:f>G8820-H8820</x:f>
        <x:v>1</x:v>
      </x:c>
      <x:c r="J8820" s="6" t="n">
        <x:f>IF(OR(E8820="CANCELED",E8820="SUSPECTED_FRAUD",F8820="Shipping canceled"),0,1)</x:f>
        <x:v>1</x:v>
      </x:c>
      <x:c r="K8820" s="6" t="n">
        <x:f>IF(G8820&gt;H8820,1,0)</x:f>
        <x:v>1</x:v>
      </x:c>
      <x:c r="L8820" s="6" t="n">
        <x:f>J8820*K8820</x:f>
        <x:v>1</x:v>
      </x:c>
    </x:row>
    <x:row r="8821">
      <x:c r="A8821" s="1" t="n">
        <x:v>70609</x:v>
      </x:c>
      <x:c r="B8821" s="5" t="d">
        <x:v>2017-10-27T00:00:00.000Z</x:v>
      </x:c>
      <x:c r="C8821" s="1" t="str">
        <x:v>Standard Class</x:v>
      </x:c>
      <x:c r="D8821" s="1" t="str">
        <x:v>Europe</x:v>
      </x:c>
      <x:c r="E8821" s="1" t="str">
        <x:v>COMPLETE</x:v>
      </x:c>
      <x:c r="F8821" s="1" t="str">
        <x:v>Late delivery</x:v>
      </x:c>
      <x:c r="G8821" s="6" t="n">
        <x:v>5</x:v>
      </x:c>
      <x:c r="H8821" s="6" t="n">
        <x:v>4</x:v>
      </x:c>
      <x:c r="I8821" s="6" t="n">
        <x:f>G8821-H8821</x:f>
        <x:v>1</x:v>
      </x:c>
      <x:c r="J8821" s="6" t="n">
        <x:f>IF(OR(E8821="CANCELED",E8821="SUSPECTED_FRAUD",F8821="Shipping canceled"),0,1)</x:f>
        <x:v>1</x:v>
      </x:c>
      <x:c r="K8821" s="6" t="n">
        <x:f>IF(G8821&gt;H8821,1,0)</x:f>
        <x:v>1</x:v>
      </x:c>
      <x:c r="L8821" s="6" t="n">
        <x:f>J8821*K8821</x:f>
        <x:v>1</x:v>
      </x:c>
    </x:row>
    <x:row r="8822">
      <x:c r="A8822" s="1" t="n">
        <x:v>70615</x:v>
      </x:c>
      <x:c r="B8822" s="5" t="d">
        <x:v>2017-10-27T00:00:00.000Z</x:v>
      </x:c>
      <x:c r="C8822" s="1" t="str">
        <x:v>Standard Class</x:v>
      </x:c>
      <x:c r="D8822" s="1" t="str">
        <x:v>Europe</x:v>
      </x:c>
      <x:c r="E8822" s="1" t="str">
        <x:v>COMPLETE</x:v>
      </x:c>
      <x:c r="F8822" s="1" t="str">
        <x:v>Late delivery</x:v>
      </x:c>
      <x:c r="G8822" s="6" t="n">
        <x:v>6</x:v>
      </x:c>
      <x:c r="H8822" s="6" t="n">
        <x:v>4</x:v>
      </x:c>
      <x:c r="I8822" s="6" t="n">
        <x:f>G8822-H8822</x:f>
        <x:v>2</x:v>
      </x:c>
      <x:c r="J8822" s="6" t="n">
        <x:f>IF(OR(E8822="CANCELED",E8822="SUSPECTED_FRAUD",F8822="Shipping canceled"),0,1)</x:f>
        <x:v>1</x:v>
      </x:c>
      <x:c r="K8822" s="6" t="n">
        <x:f>IF(G8822&gt;H8822,1,0)</x:f>
        <x:v>1</x:v>
      </x:c>
      <x:c r="L8822" s="6" t="n">
        <x:f>J8822*K8822</x:f>
        <x:v>1</x:v>
      </x:c>
    </x:row>
    <x:row r="8823">
      <x:c r="A8823" s="1" t="n">
        <x:v>70617</x:v>
      </x:c>
      <x:c r="B8823" s="5" t="d">
        <x:v>2017-10-27T00:00:00.000Z</x:v>
      </x:c>
      <x:c r="C8823" s="1" t="str">
        <x:v>Standard Class</x:v>
      </x:c>
      <x:c r="D8823" s="1" t="str">
        <x:v>Europe</x:v>
      </x:c>
      <x:c r="E8823" s="1" t="str">
        <x:v>PAYMENT_REVIEW</x:v>
      </x:c>
      <x:c r="F8823" s="1" t="str">
        <x:v>Advance shipping</x:v>
      </x:c>
      <x:c r="G8823" s="6" t="n">
        <x:v>3</x:v>
      </x:c>
      <x:c r="H8823" s="6" t="n">
        <x:v>4</x:v>
      </x:c>
      <x:c r="I8823" s="6" t="n">
        <x:f>G8823-H8823</x:f>
        <x:v>-1</x:v>
      </x:c>
      <x:c r="J8823" s="6" t="n">
        <x:f>IF(OR(E8823="CANCELED",E8823="SUSPECTED_FRAUD",F8823="Shipping canceled"),0,1)</x:f>
        <x:v>1</x:v>
      </x:c>
      <x:c r="K8823" s="6" t="n">
        <x:f>IF(G8823&gt;H8823,1,0)</x:f>
        <x:v>0</x:v>
      </x:c>
      <x:c r="L8823" s="6" t="n">
        <x:f>J8823*K8823</x:f>
        <x:v>0</x:v>
      </x:c>
    </x:row>
    <x:row r="8824">
      <x:c r="A8824" s="1" t="n">
        <x:v>70631</x:v>
      </x:c>
      <x:c r="B8824" s="5" t="d">
        <x:v>2017-10-28T00:00:00.000Z</x:v>
      </x:c>
      <x:c r="C8824" s="1" t="str">
        <x:v>Standard Class</x:v>
      </x:c>
      <x:c r="D8824" s="1" t="str">
        <x:v>Europe</x:v>
      </x:c>
      <x:c r="E8824" s="1" t="str">
        <x:v>COMPLETE</x:v>
      </x:c>
      <x:c r="F8824" s="1" t="str">
        <x:v>Advance shipping</x:v>
      </x:c>
      <x:c r="G8824" s="6" t="n">
        <x:v>2</x:v>
      </x:c>
      <x:c r="H8824" s="6" t="n">
        <x:v>4</x:v>
      </x:c>
      <x:c r="I8824" s="6" t="n">
        <x:f>G8824-H8824</x:f>
        <x:v>-2</x:v>
      </x:c>
      <x:c r="J8824" s="6" t="n">
        <x:f>IF(OR(E8824="CANCELED",E8824="SUSPECTED_FRAUD",F8824="Shipping canceled"),0,1)</x:f>
        <x:v>1</x:v>
      </x:c>
      <x:c r="K8824" s="6" t="n">
        <x:f>IF(G8824&gt;H8824,1,0)</x:f>
        <x:v>0</x:v>
      </x:c>
      <x:c r="L8824" s="6" t="n">
        <x:f>J8824*K8824</x:f>
        <x:v>0</x:v>
      </x:c>
    </x:row>
    <x:row r="8825">
      <x:c r="A8825" s="1" t="n">
        <x:v>70637</x:v>
      </x:c>
      <x:c r="B8825" s="5" t="d">
        <x:v>2017-10-28T00:00:00.000Z</x:v>
      </x:c>
      <x:c r="C8825" s="1" t="str">
        <x:v>Standard Class</x:v>
      </x:c>
      <x:c r="D8825" s="1" t="str">
        <x:v>Europe</x:v>
      </x:c>
      <x:c r="E8825" s="1" t="str">
        <x:v>COMPLETE</x:v>
      </x:c>
      <x:c r="F8825" s="1" t="str">
        <x:v>Advance shipping</x:v>
      </x:c>
      <x:c r="G8825" s="6" t="n">
        <x:v>3</x:v>
      </x:c>
      <x:c r="H8825" s="6" t="n">
        <x:v>4</x:v>
      </x:c>
      <x:c r="I8825" s="6" t="n">
        <x:f>G8825-H8825</x:f>
        <x:v>-1</x:v>
      </x:c>
      <x:c r="J8825" s="6" t="n">
        <x:f>IF(OR(E8825="CANCELED",E8825="SUSPECTED_FRAUD",F8825="Shipping canceled"),0,1)</x:f>
        <x:v>1</x:v>
      </x:c>
      <x:c r="K8825" s="6" t="n">
        <x:f>IF(G8825&gt;H8825,1,0)</x:f>
        <x:v>0</x:v>
      </x:c>
      <x:c r="L8825" s="6" t="n">
        <x:f>J8825*K8825</x:f>
        <x:v>0</x:v>
      </x:c>
    </x:row>
    <x:row r="8826">
      <x:c r="A8826" s="1" t="n">
        <x:v>70639</x:v>
      </x:c>
      <x:c r="B8826" s="5" t="d">
        <x:v>2017-10-28T00:00:00.000Z</x:v>
      </x:c>
      <x:c r="C8826" s="1" t="str">
        <x:v>First Class</x:v>
      </x:c>
      <x:c r="D8826" s="1" t="str">
        <x:v>Europe</x:v>
      </x:c>
      <x:c r="E8826" s="1" t="str">
        <x:v>CLOSED</x:v>
      </x:c>
      <x:c r="F8826" s="1" t="str">
        <x:v>Late delivery</x:v>
      </x:c>
      <x:c r="G8826" s="6" t="n">
        <x:v>2</x:v>
      </x:c>
      <x:c r="H8826" s="6" t="n">
        <x:v>1</x:v>
      </x:c>
      <x:c r="I8826" s="6" t="n">
        <x:f>G8826-H8826</x:f>
        <x:v>1</x:v>
      </x:c>
      <x:c r="J8826" s="6" t="n">
        <x:f>IF(OR(E8826="CANCELED",E8826="SUSPECTED_FRAUD",F8826="Shipping canceled"),0,1)</x:f>
        <x:v>1</x:v>
      </x:c>
      <x:c r="K8826" s="6" t="n">
        <x:f>IF(G8826&gt;H8826,1,0)</x:f>
        <x:v>1</x:v>
      </x:c>
      <x:c r="L8826" s="6" t="n">
        <x:f>J8826*K8826</x:f>
        <x:v>1</x:v>
      </x:c>
    </x:row>
    <x:row r="8827">
      <x:c r="A8827" s="1" t="n">
        <x:v>70655</x:v>
      </x:c>
      <x:c r="B8827" s="5" t="d">
        <x:v>2017-10-28T00:00:00.000Z</x:v>
      </x:c>
      <x:c r="C8827" s="1" t="str">
        <x:v>Standard Class</x:v>
      </x:c>
      <x:c r="D8827" s="1" t="str">
        <x:v>Europe</x:v>
      </x:c>
      <x:c r="E8827" s="1" t="str">
        <x:v>COMPLETE</x:v>
      </x:c>
      <x:c r="F8827" s="1" t="str">
        <x:v>Late delivery</x:v>
      </x:c>
      <x:c r="G8827" s="6" t="n">
        <x:v>6</x:v>
      </x:c>
      <x:c r="H8827" s="6" t="n">
        <x:v>4</x:v>
      </x:c>
      <x:c r="I8827" s="6" t="n">
        <x:f>G8827-H8827</x:f>
        <x:v>2</x:v>
      </x:c>
      <x:c r="J8827" s="6" t="n">
        <x:f>IF(OR(E8827="CANCELED",E8827="SUSPECTED_FRAUD",F8827="Shipping canceled"),0,1)</x:f>
        <x:v>1</x:v>
      </x:c>
      <x:c r="K8827" s="6" t="n">
        <x:f>IF(G8827&gt;H8827,1,0)</x:f>
        <x:v>1</x:v>
      </x:c>
      <x:c r="L8827" s="6" t="n">
        <x:f>J8827*K8827</x:f>
        <x:v>1</x:v>
      </x:c>
    </x:row>
    <x:row r="8828">
      <x:c r="A8828" s="1" t="n">
        <x:v>70657</x:v>
      </x:c>
      <x:c r="B8828" s="5" t="d">
        <x:v>2017-10-28T00:00:00.000Z</x:v>
      </x:c>
      <x:c r="C8828" s="1" t="str">
        <x:v>Standard Class</x:v>
      </x:c>
      <x:c r="D8828" s="1" t="str">
        <x:v>Europe</x:v>
      </x:c>
      <x:c r="E8828" s="1" t="str">
        <x:v>COMPLETE</x:v>
      </x:c>
      <x:c r="F8828" s="1" t="str">
        <x:v>Advance shipping</x:v>
      </x:c>
      <x:c r="G8828" s="6" t="n">
        <x:v>3</x:v>
      </x:c>
      <x:c r="H8828" s="6" t="n">
        <x:v>4</x:v>
      </x:c>
      <x:c r="I8828" s="6" t="n">
        <x:f>G8828-H8828</x:f>
        <x:v>-1</x:v>
      </x:c>
      <x:c r="J8828" s="6" t="n">
        <x:f>IF(OR(E8828="CANCELED",E8828="SUSPECTED_FRAUD",F8828="Shipping canceled"),0,1)</x:f>
        <x:v>1</x:v>
      </x:c>
      <x:c r="K8828" s="6" t="n">
        <x:f>IF(G8828&gt;H8828,1,0)</x:f>
        <x:v>0</x:v>
      </x:c>
      <x:c r="L8828" s="6" t="n">
        <x:f>J8828*K8828</x:f>
        <x:v>0</x:v>
      </x:c>
    </x:row>
    <x:row r="8829">
      <x:c r="A8829" s="1" t="n">
        <x:v>70677</x:v>
      </x:c>
      <x:c r="B8829" s="5" t="d">
        <x:v>2017-10-28T00:00:00.000Z</x:v>
      </x:c>
      <x:c r="C8829" s="1" t="str">
        <x:v>Standard Class</x:v>
      </x:c>
      <x:c r="D8829" s="1" t="str">
        <x:v>Europe</x:v>
      </x:c>
      <x:c r="E8829" s="1" t="str">
        <x:v>COMPLETE</x:v>
      </x:c>
      <x:c r="F8829" s="1" t="str">
        <x:v>Advance shipping</x:v>
      </x:c>
      <x:c r="G8829" s="6" t="n">
        <x:v>3</x:v>
      </x:c>
      <x:c r="H8829" s="6" t="n">
        <x:v>4</x:v>
      </x:c>
      <x:c r="I8829" s="6" t="n">
        <x:f>G8829-H8829</x:f>
        <x:v>-1</x:v>
      </x:c>
      <x:c r="J8829" s="6" t="n">
        <x:f>IF(OR(E8829="CANCELED",E8829="SUSPECTED_FRAUD",F8829="Shipping canceled"),0,1)</x:f>
        <x:v>1</x:v>
      </x:c>
      <x:c r="K8829" s="6" t="n">
        <x:f>IF(G8829&gt;H8829,1,0)</x:f>
        <x:v>0</x:v>
      </x:c>
      <x:c r="L8829" s="6" t="n">
        <x:f>J8829*K8829</x:f>
        <x:v>0</x:v>
      </x:c>
    </x:row>
    <x:row r="8830">
      <x:c r="A8830" s="1" t="n">
        <x:v>70681</x:v>
      </x:c>
      <x:c r="B8830" s="5" t="d">
        <x:v>2017-10-28T00:00:00.000Z</x:v>
      </x:c>
      <x:c r="C8830" s="1" t="str">
        <x:v>Standard Class</x:v>
      </x:c>
      <x:c r="D8830" s="1" t="str">
        <x:v>Europe</x:v>
      </x:c>
      <x:c r="E8830" s="1" t="str">
        <x:v>COMPLETE</x:v>
      </x:c>
      <x:c r="F8830" s="1" t="str">
        <x:v>Advance shipping</x:v>
      </x:c>
      <x:c r="G8830" s="6" t="n">
        <x:v>2</x:v>
      </x:c>
      <x:c r="H8830" s="6" t="n">
        <x:v>4</x:v>
      </x:c>
      <x:c r="I8830" s="6" t="n">
        <x:f>G8830-H8830</x:f>
        <x:v>-2</x:v>
      </x:c>
      <x:c r="J8830" s="6" t="n">
        <x:f>IF(OR(E8830="CANCELED",E8830="SUSPECTED_FRAUD",F8830="Shipping canceled"),0,1)</x:f>
        <x:v>1</x:v>
      </x:c>
      <x:c r="K8830" s="6" t="n">
        <x:f>IF(G8830&gt;H8830,1,0)</x:f>
        <x:v>0</x:v>
      </x:c>
      <x:c r="L8830" s="6" t="n">
        <x:f>J8830*K8830</x:f>
        <x:v>0</x:v>
      </x:c>
    </x:row>
    <x:row r="8831">
      <x:c r="A8831" s="1" t="n">
        <x:v>70690</x:v>
      </x:c>
      <x:c r="B8831" s="5" t="d">
        <x:v>2017-10-28T00:00:00.000Z</x:v>
      </x:c>
      <x:c r="C8831" s="1" t="str">
        <x:v>Standard Class</x:v>
      </x:c>
      <x:c r="D8831" s="1" t="str">
        <x:v>Europe</x:v>
      </x:c>
      <x:c r="E8831" s="1" t="str">
        <x:v>COMPLETE</x:v>
      </x:c>
      <x:c r="F8831" s="1" t="str">
        <x:v>Late delivery</x:v>
      </x:c>
      <x:c r="G8831" s="6" t="n">
        <x:v>6</x:v>
      </x:c>
      <x:c r="H8831" s="6" t="n">
        <x:v>4</x:v>
      </x:c>
      <x:c r="I8831" s="6" t="n">
        <x:f>G8831-H8831</x:f>
        <x:v>2</x:v>
      </x:c>
      <x:c r="J8831" s="6" t="n">
        <x:f>IF(OR(E8831="CANCELED",E8831="SUSPECTED_FRAUD",F8831="Shipping canceled"),0,1)</x:f>
        <x:v>1</x:v>
      </x:c>
      <x:c r="K8831" s="6" t="n">
        <x:f>IF(G8831&gt;H8831,1,0)</x:f>
        <x:v>1</x:v>
      </x:c>
      <x:c r="L8831" s="6" t="n">
        <x:f>J8831*K8831</x:f>
        <x:v>1</x:v>
      </x:c>
    </x:row>
    <x:row r="8832">
      <x:c r="A8832" s="1" t="n">
        <x:v>70692</x:v>
      </x:c>
      <x:c r="B8832" s="5" t="d">
        <x:v>2017-10-28T00:00:00.000Z</x:v>
      </x:c>
      <x:c r="C8832" s="1" t="str">
        <x:v>Standard Class</x:v>
      </x:c>
      <x:c r="D8832" s="1" t="str">
        <x:v>Europe</x:v>
      </x:c>
      <x:c r="E8832" s="1" t="str">
        <x:v>PROCESSING</x:v>
      </x:c>
      <x:c r="F8832" s="1" t="str">
        <x:v>Advance shipping</x:v>
      </x:c>
      <x:c r="G8832" s="6" t="n">
        <x:v>3</x:v>
      </x:c>
      <x:c r="H8832" s="6" t="n">
        <x:v>4</x:v>
      </x:c>
      <x:c r="I8832" s="6" t="n">
        <x:f>G8832-H8832</x:f>
        <x:v>-1</x:v>
      </x:c>
      <x:c r="J8832" s="6" t="n">
        <x:f>IF(OR(E8832="CANCELED",E8832="SUSPECTED_FRAUD",F8832="Shipping canceled"),0,1)</x:f>
        <x:v>1</x:v>
      </x:c>
      <x:c r="K8832" s="6" t="n">
        <x:f>IF(G8832&gt;H8832,1,0)</x:f>
        <x:v>0</x:v>
      </x:c>
      <x:c r="L8832" s="6" t="n">
        <x:f>J8832*K8832</x:f>
        <x:v>0</x:v>
      </x:c>
    </x:row>
    <x:row r="8833">
      <x:c r="A8833" s="1" t="n">
        <x:v>70703</x:v>
      </x:c>
      <x:c r="B8833" s="5" t="d">
        <x:v>2017-10-29T00:00:00.000Z</x:v>
      </x:c>
      <x:c r="C8833" s="1" t="str">
        <x:v>Standard Class</x:v>
      </x:c>
      <x:c r="D8833" s="1" t="str">
        <x:v>Europe</x:v>
      </x:c>
      <x:c r="E8833" s="1" t="str">
        <x:v>PROCESSING</x:v>
      </x:c>
      <x:c r="F8833" s="1" t="str">
        <x:v>Shipping on time</x:v>
      </x:c>
      <x:c r="G8833" s="6" t="n">
        <x:v>4</x:v>
      </x:c>
      <x:c r="H8833" s="6" t="n">
        <x:v>4</x:v>
      </x:c>
      <x:c r="I8833" s="6" t="n">
        <x:f>G8833-H8833</x:f>
        <x:v>0</x:v>
      </x:c>
      <x:c r="J8833" s="6" t="n">
        <x:f>IF(OR(E8833="CANCELED",E8833="SUSPECTED_FRAUD",F8833="Shipping canceled"),0,1)</x:f>
        <x:v>1</x:v>
      </x:c>
      <x:c r="K8833" s="6" t="n">
        <x:f>IF(G8833&gt;H8833,1,0)</x:f>
        <x:v>0</x:v>
      </x:c>
      <x:c r="L8833" s="6" t="n">
        <x:f>J8833*K8833</x:f>
        <x:v>0</x:v>
      </x:c>
    </x:row>
    <x:row r="8834">
      <x:c r="A8834" s="1" t="n">
        <x:v>70734</x:v>
      </x:c>
      <x:c r="B8834" s="5" t="d">
        <x:v>2017-10-29T00:00:00.000Z</x:v>
      </x:c>
      <x:c r="C8834" s="1" t="str">
        <x:v>Second Class</x:v>
      </x:c>
      <x:c r="D8834" s="1" t="str">
        <x:v>Europe</x:v>
      </x:c>
      <x:c r="E8834" s="1" t="str">
        <x:v>COMPLETE</x:v>
      </x:c>
      <x:c r="F8834" s="1" t="str">
        <x:v>Late delivery</x:v>
      </x:c>
      <x:c r="G8834" s="6" t="n">
        <x:v>5</x:v>
      </x:c>
      <x:c r="H8834" s="6" t="n">
        <x:v>2</x:v>
      </x:c>
      <x:c r="I8834" s="6" t="n">
        <x:f>G8834-H8834</x:f>
        <x:v>3</x:v>
      </x:c>
      <x:c r="J8834" s="6" t="n">
        <x:f>IF(OR(E8834="CANCELED",E8834="SUSPECTED_FRAUD",F8834="Shipping canceled"),0,1)</x:f>
        <x:v>1</x:v>
      </x:c>
      <x:c r="K8834" s="6" t="n">
        <x:f>IF(G8834&gt;H8834,1,0)</x:f>
        <x:v>1</x:v>
      </x:c>
      <x:c r="L8834" s="6" t="n">
        <x:f>J8834*K8834</x:f>
        <x:v>1</x:v>
      </x:c>
    </x:row>
    <x:row r="8835">
      <x:c r="A8835" s="1" t="n">
        <x:v>70736</x:v>
      </x:c>
      <x:c r="B8835" s="5" t="d">
        <x:v>2017-10-29T00:00:00.000Z</x:v>
      </x:c>
      <x:c r="C8835" s="1" t="str">
        <x:v>Second Class</x:v>
      </x:c>
      <x:c r="D8835" s="1" t="str">
        <x:v>Europe</x:v>
      </x:c>
      <x:c r="E8835" s="1" t="str">
        <x:v>PENDING</x:v>
      </x:c>
      <x:c r="F8835" s="1" t="str">
        <x:v>Shipping on time</x:v>
      </x:c>
      <x:c r="G8835" s="6" t="n">
        <x:v>2</x:v>
      </x:c>
      <x:c r="H8835" s="6" t="n">
        <x:v>2</x:v>
      </x:c>
      <x:c r="I8835" s="6" t="n">
        <x:f>G8835-H8835</x:f>
        <x:v>0</x:v>
      </x:c>
      <x:c r="J8835" s="6" t="n">
        <x:f>IF(OR(E8835="CANCELED",E8835="SUSPECTED_FRAUD",F8835="Shipping canceled"),0,1)</x:f>
        <x:v>1</x:v>
      </x:c>
      <x:c r="K8835" s="6" t="n">
        <x:f>IF(G8835&gt;H8835,1,0)</x:f>
        <x:v>0</x:v>
      </x:c>
      <x:c r="L8835" s="6" t="n">
        <x:f>J8835*K8835</x:f>
        <x:v>0</x:v>
      </x:c>
    </x:row>
    <x:row r="8836">
      <x:c r="A8836" s="1" t="n">
        <x:v>70739</x:v>
      </x:c>
      <x:c r="B8836" s="5" t="d">
        <x:v>2017-10-29T00:00:00.000Z</x:v>
      </x:c>
      <x:c r="C8836" s="1" t="str">
        <x:v>Standard Class</x:v>
      </x:c>
      <x:c r="D8836" s="1" t="str">
        <x:v>Europe</x:v>
      </x:c>
      <x:c r="E8836" s="1" t="str">
        <x:v>PENDING</x:v>
      </x:c>
      <x:c r="F8836" s="1" t="str">
        <x:v>Late delivery</x:v>
      </x:c>
      <x:c r="G8836" s="6" t="n">
        <x:v>5</x:v>
      </x:c>
      <x:c r="H8836" s="6" t="n">
        <x:v>4</x:v>
      </x:c>
      <x:c r="I8836" s="6" t="n">
        <x:f>G8836-H8836</x:f>
        <x:v>1</x:v>
      </x:c>
      <x:c r="J8836" s="6" t="n">
        <x:f>IF(OR(E8836="CANCELED",E8836="SUSPECTED_FRAUD",F8836="Shipping canceled"),0,1)</x:f>
        <x:v>1</x:v>
      </x:c>
      <x:c r="K8836" s="6" t="n">
        <x:f>IF(G8836&gt;H8836,1,0)</x:f>
        <x:v>1</x:v>
      </x:c>
      <x:c r="L8836" s="6" t="n">
        <x:f>J8836*K8836</x:f>
        <x:v>1</x:v>
      </x:c>
    </x:row>
    <x:row r="8837">
      <x:c r="A8837" s="1" t="n">
        <x:v>70744</x:v>
      </x:c>
      <x:c r="B8837" s="5" t="d">
        <x:v>2017-10-29T00:00:00.000Z</x:v>
      </x:c>
      <x:c r="C8837" s="1" t="str">
        <x:v>Standard Class</x:v>
      </x:c>
      <x:c r="D8837" s="1" t="str">
        <x:v>Europe</x:v>
      </x:c>
      <x:c r="E8837" s="1" t="str">
        <x:v>PENDING_PAYMENT</x:v>
      </x:c>
      <x:c r="F8837" s="1" t="str">
        <x:v>Late delivery</x:v>
      </x:c>
      <x:c r="G8837" s="6" t="n">
        <x:v>5</x:v>
      </x:c>
      <x:c r="H8837" s="6" t="n">
        <x:v>4</x:v>
      </x:c>
      <x:c r="I8837" s="6" t="n">
        <x:f>G8837-H8837</x:f>
        <x:v>1</x:v>
      </x:c>
      <x:c r="J8837" s="6" t="n">
        <x:f>IF(OR(E8837="CANCELED",E8837="SUSPECTED_FRAUD",F8837="Shipping canceled"),0,1)</x:f>
        <x:v>1</x:v>
      </x:c>
      <x:c r="K8837" s="6" t="n">
        <x:f>IF(G8837&gt;H8837,1,0)</x:f>
        <x:v>1</x:v>
      </x:c>
      <x:c r="L8837" s="6" t="n">
        <x:f>J8837*K8837</x:f>
        <x:v>1</x:v>
      </x:c>
    </x:row>
    <x:row r="8838">
      <x:c r="A8838" s="1" t="n">
        <x:v>70746</x:v>
      </x:c>
      <x:c r="B8838" s="5" t="d">
        <x:v>2017-10-29T00:00:00.000Z</x:v>
      </x:c>
      <x:c r="C8838" s="1" t="str">
        <x:v>Standard Class</x:v>
      </x:c>
      <x:c r="D8838" s="1" t="str">
        <x:v>Europe</x:v>
      </x:c>
      <x:c r="E8838" s="1" t="str">
        <x:v>PENDING_PAYMENT</x:v>
      </x:c>
      <x:c r="F8838" s="1" t="str">
        <x:v>Advance shipping</x:v>
      </x:c>
      <x:c r="G8838" s="6" t="n">
        <x:v>2</x:v>
      </x:c>
      <x:c r="H8838" s="6" t="n">
        <x:v>4</x:v>
      </x:c>
      <x:c r="I8838" s="6" t="n">
        <x:f>G8838-H8838</x:f>
        <x:v>-2</x:v>
      </x:c>
      <x:c r="J8838" s="6" t="n">
        <x:f>IF(OR(E8838="CANCELED",E8838="SUSPECTED_FRAUD",F8838="Shipping canceled"),0,1)</x:f>
        <x:v>1</x:v>
      </x:c>
      <x:c r="K8838" s="6" t="n">
        <x:f>IF(G8838&gt;H8838,1,0)</x:f>
        <x:v>0</x:v>
      </x:c>
      <x:c r="L8838" s="6" t="n">
        <x:f>J8838*K8838</x:f>
        <x:v>0</x:v>
      </x:c>
    </x:row>
    <x:row r="8839">
      <x:c r="A8839" s="1" t="n">
        <x:v>70750</x:v>
      </x:c>
      <x:c r="B8839" s="5" t="d">
        <x:v>2017-10-29T00:00:00.000Z</x:v>
      </x:c>
      <x:c r="C8839" s="1" t="str">
        <x:v>Second Class</x:v>
      </x:c>
      <x:c r="D8839" s="1" t="str">
        <x:v>Europe</x:v>
      </x:c>
      <x:c r="E8839" s="1" t="str">
        <x:v>CLOSED</x:v>
      </x:c>
      <x:c r="F8839" s="1" t="str">
        <x:v>Late delivery</x:v>
      </x:c>
      <x:c r="G8839" s="6" t="n">
        <x:v>6</x:v>
      </x:c>
      <x:c r="H8839" s="6" t="n">
        <x:v>2</x:v>
      </x:c>
      <x:c r="I8839" s="6" t="n">
        <x:f>G8839-H8839</x:f>
        <x:v>4</x:v>
      </x:c>
      <x:c r="J8839" s="6" t="n">
        <x:f>IF(OR(E8839="CANCELED",E8839="SUSPECTED_FRAUD",F8839="Shipping canceled"),0,1)</x:f>
        <x:v>1</x:v>
      </x:c>
      <x:c r="K8839" s="6" t="n">
        <x:f>IF(G8839&gt;H8839,1,0)</x:f>
        <x:v>1</x:v>
      </x:c>
      <x:c r="L8839" s="6" t="n">
        <x:f>J8839*K8839</x:f>
        <x:v>1</x:v>
      </x:c>
    </x:row>
    <x:row r="8840">
      <x:c r="A8840" s="1" t="n">
        <x:v>70756</x:v>
      </x:c>
      <x:c r="B8840" s="5" t="d">
        <x:v>2017-10-29T00:00:00.000Z</x:v>
      </x:c>
      <x:c r="C8840" s="1" t="str">
        <x:v>Standard Class</x:v>
      </x:c>
      <x:c r="D8840" s="1" t="str">
        <x:v>Europe</x:v>
      </x:c>
      <x:c r="E8840" s="1" t="str">
        <x:v>COMPLETE</x:v>
      </x:c>
      <x:c r="F8840" s="1" t="str">
        <x:v>Advance shipping</x:v>
      </x:c>
      <x:c r="G8840" s="6" t="n">
        <x:v>2</x:v>
      </x:c>
      <x:c r="H8840" s="6" t="n">
        <x:v>4</x:v>
      </x:c>
      <x:c r="I8840" s="6" t="n">
        <x:f>G8840-H8840</x:f>
        <x:v>-2</x:v>
      </x:c>
      <x:c r="J8840" s="6" t="n">
        <x:f>IF(OR(E8840="CANCELED",E8840="SUSPECTED_FRAUD",F8840="Shipping canceled"),0,1)</x:f>
        <x:v>1</x:v>
      </x:c>
      <x:c r="K8840" s="6" t="n">
        <x:f>IF(G8840&gt;H8840,1,0)</x:f>
        <x:v>0</x:v>
      </x:c>
      <x:c r="L8840" s="6" t="n">
        <x:f>J8840*K8840</x:f>
        <x:v>0</x:v>
      </x:c>
    </x:row>
    <x:row r="8841">
      <x:c r="A8841" s="1" t="n">
        <x:v>70762</x:v>
      </x:c>
      <x:c r="B8841" s="5" t="d">
        <x:v>2017-10-29T00:00:00.000Z</x:v>
      </x:c>
      <x:c r="C8841" s="1" t="str">
        <x:v>Standard Class</x:v>
      </x:c>
      <x:c r="D8841" s="1" t="str">
        <x:v>Europe</x:v>
      </x:c>
      <x:c r="E8841" s="1" t="str">
        <x:v>COMPLETE</x:v>
      </x:c>
      <x:c r="F8841" s="1" t="str">
        <x:v>Advance shipping</x:v>
      </x:c>
      <x:c r="G8841" s="6" t="n">
        <x:v>3</x:v>
      </x:c>
      <x:c r="H8841" s="6" t="n">
        <x:v>4</x:v>
      </x:c>
      <x:c r="I8841" s="6" t="n">
        <x:f>G8841-H8841</x:f>
        <x:v>-1</x:v>
      </x:c>
      <x:c r="J8841" s="6" t="n">
        <x:f>IF(OR(E8841="CANCELED",E8841="SUSPECTED_FRAUD",F8841="Shipping canceled"),0,1)</x:f>
        <x:v>1</x:v>
      </x:c>
      <x:c r="K8841" s="6" t="n">
        <x:f>IF(G8841&gt;H8841,1,0)</x:f>
        <x:v>0</x:v>
      </x:c>
      <x:c r="L8841" s="6" t="n">
        <x:f>J8841*K8841</x:f>
        <x:v>0</x:v>
      </x:c>
    </x:row>
    <x:row r="8842">
      <x:c r="A8842" s="1" t="n">
        <x:v>70766</x:v>
      </x:c>
      <x:c r="B8842" s="5" t="d">
        <x:v>2017-10-30T00:00:00.000Z</x:v>
      </x:c>
      <x:c r="C8842" s="1" t="str">
        <x:v>Standard Class</x:v>
      </x:c>
      <x:c r="D8842" s="1" t="str">
        <x:v>Europe</x:v>
      </x:c>
      <x:c r="E8842" s="1" t="str">
        <x:v>COMPLETE</x:v>
      </x:c>
      <x:c r="F8842" s="1" t="str">
        <x:v>Advance shipping</x:v>
      </x:c>
      <x:c r="G8842" s="6" t="n">
        <x:v>2</x:v>
      </x:c>
      <x:c r="H8842" s="6" t="n">
        <x:v>4</x:v>
      </x:c>
      <x:c r="I8842" s="6" t="n">
        <x:f>G8842-H8842</x:f>
        <x:v>-2</x:v>
      </x:c>
      <x:c r="J8842" s="6" t="n">
        <x:f>IF(OR(E8842="CANCELED",E8842="SUSPECTED_FRAUD",F8842="Shipping canceled"),0,1)</x:f>
        <x:v>1</x:v>
      </x:c>
      <x:c r="K8842" s="6" t="n">
        <x:f>IF(G8842&gt;H8842,1,0)</x:f>
        <x:v>0</x:v>
      </x:c>
      <x:c r="L8842" s="6" t="n">
        <x:f>J8842*K8842</x:f>
        <x:v>0</x:v>
      </x:c>
    </x:row>
    <x:row r="8843">
      <x:c r="A8843" s="1" t="n">
        <x:v>70769</x:v>
      </x:c>
      <x:c r="B8843" s="5" t="d">
        <x:v>2017-10-30T00:00:00.000Z</x:v>
      </x:c>
      <x:c r="C8843" s="1" t="str">
        <x:v>Second Class</x:v>
      </x:c>
      <x:c r="D8843" s="1" t="str">
        <x:v>Europe</x:v>
      </x:c>
      <x:c r="E8843" s="1" t="str">
        <x:v>COMPLETE</x:v>
      </x:c>
      <x:c r="F8843" s="1" t="str">
        <x:v>Late delivery</x:v>
      </x:c>
      <x:c r="G8843" s="6" t="n">
        <x:v>5</x:v>
      </x:c>
      <x:c r="H8843" s="6" t="n">
        <x:v>2</x:v>
      </x:c>
      <x:c r="I8843" s="6" t="n">
        <x:f>G8843-H8843</x:f>
        <x:v>3</x:v>
      </x:c>
      <x:c r="J8843" s="6" t="n">
        <x:f>IF(OR(E8843="CANCELED",E8843="SUSPECTED_FRAUD",F8843="Shipping canceled"),0,1)</x:f>
        <x:v>1</x:v>
      </x:c>
      <x:c r="K8843" s="6" t="n">
        <x:f>IF(G8843&gt;H8843,1,0)</x:f>
        <x:v>1</x:v>
      </x:c>
      <x:c r="L8843" s="6" t="n">
        <x:f>J8843*K8843</x:f>
        <x:v>1</x:v>
      </x:c>
    </x:row>
    <x:row r="8844">
      <x:c r="A8844" s="1" t="n">
        <x:v>70778</x:v>
      </x:c>
      <x:c r="B8844" s="5" t="d">
        <x:v>2017-10-30T00:00:00.000Z</x:v>
      </x:c>
      <x:c r="C8844" s="1" t="str">
        <x:v>Standard Class</x:v>
      </x:c>
      <x:c r="D8844" s="1" t="str">
        <x:v>Europe</x:v>
      </x:c>
      <x:c r="E8844" s="1" t="str">
        <x:v>CLOSED</x:v>
      </x:c>
      <x:c r="F8844" s="1" t="str">
        <x:v>Shipping on time</x:v>
      </x:c>
      <x:c r="G8844" s="6" t="n">
        <x:v>4</x:v>
      </x:c>
      <x:c r="H8844" s="6" t="n">
        <x:v>4</x:v>
      </x:c>
      <x:c r="I8844" s="6" t="n">
        <x:f>G8844-H8844</x:f>
        <x:v>0</x:v>
      </x:c>
      <x:c r="J8844" s="6" t="n">
        <x:f>IF(OR(E8844="CANCELED",E8844="SUSPECTED_FRAUD",F8844="Shipping canceled"),0,1)</x:f>
        <x:v>1</x:v>
      </x:c>
      <x:c r="K8844" s="6" t="n">
        <x:f>IF(G8844&gt;H8844,1,0)</x:f>
        <x:v>0</x:v>
      </x:c>
      <x:c r="L8844" s="6" t="n">
        <x:f>J8844*K8844</x:f>
        <x:v>0</x:v>
      </x:c>
    </x:row>
    <x:row r="8845">
      <x:c r="A8845" s="1" t="n">
        <x:v>70780</x:v>
      </x:c>
      <x:c r="B8845" s="5" t="d">
        <x:v>2017-10-30T00:00:00.000Z</x:v>
      </x:c>
      <x:c r="C8845" s="1" t="str">
        <x:v>Standard Class</x:v>
      </x:c>
      <x:c r="D8845" s="1" t="str">
        <x:v>Europe</x:v>
      </x:c>
      <x:c r="E8845" s="1" t="str">
        <x:v>COMPLETE</x:v>
      </x:c>
      <x:c r="F8845" s="1" t="str">
        <x:v>Late delivery</x:v>
      </x:c>
      <x:c r="G8845" s="6" t="n">
        <x:v>6</x:v>
      </x:c>
      <x:c r="H8845" s="6" t="n">
        <x:v>4</x:v>
      </x:c>
      <x:c r="I8845" s="6" t="n">
        <x:f>G8845-H8845</x:f>
        <x:v>2</x:v>
      </x:c>
      <x:c r="J8845" s="6" t="n">
        <x:f>IF(OR(E8845="CANCELED",E8845="SUSPECTED_FRAUD",F8845="Shipping canceled"),0,1)</x:f>
        <x:v>1</x:v>
      </x:c>
      <x:c r="K8845" s="6" t="n">
        <x:f>IF(G8845&gt;H8845,1,0)</x:f>
        <x:v>1</x:v>
      </x:c>
      <x:c r="L8845" s="6" t="n">
        <x:f>J8845*K8845</x:f>
        <x:v>1</x:v>
      </x:c>
    </x:row>
    <x:row r="8846">
      <x:c r="A8846" s="1" t="n">
        <x:v>70786</x:v>
      </x:c>
      <x:c r="B8846" s="5" t="d">
        <x:v>2017-10-30T00:00:00.000Z</x:v>
      </x:c>
      <x:c r="C8846" s="1" t="str">
        <x:v>First Class</x:v>
      </x:c>
      <x:c r="D8846" s="1" t="str">
        <x:v>Europe</x:v>
      </x:c>
      <x:c r="E8846" s="1" t="str">
        <x:v>PENDING_PAYMENT</x:v>
      </x:c>
      <x:c r="F8846" s="1" t="str">
        <x:v>Late delivery</x:v>
      </x:c>
      <x:c r="G8846" s="6" t="n">
        <x:v>2</x:v>
      </x:c>
      <x:c r="H8846" s="6" t="n">
        <x:v>1</x:v>
      </x:c>
      <x:c r="I8846" s="6" t="n">
        <x:f>G8846-H8846</x:f>
        <x:v>1</x:v>
      </x:c>
      <x:c r="J8846" s="6" t="n">
        <x:f>IF(OR(E8846="CANCELED",E8846="SUSPECTED_FRAUD",F8846="Shipping canceled"),0,1)</x:f>
        <x:v>1</x:v>
      </x:c>
      <x:c r="K8846" s="6" t="n">
        <x:f>IF(G8846&gt;H8846,1,0)</x:f>
        <x:v>1</x:v>
      </x:c>
      <x:c r="L8846" s="6" t="n">
        <x:f>J8846*K8846</x:f>
        <x:v>1</x:v>
      </x:c>
    </x:row>
    <x:row r="8847">
      <x:c r="A8847" s="1" t="n">
        <x:v>70795</x:v>
      </x:c>
      <x:c r="B8847" s="5" t="d">
        <x:v>2017-10-30T00:00:00.000Z</x:v>
      </x:c>
      <x:c r="C8847" s="1" t="str">
        <x:v>Second Class</x:v>
      </x:c>
      <x:c r="D8847" s="1" t="str">
        <x:v>Europe</x:v>
      </x:c>
      <x:c r="E8847" s="1" t="str">
        <x:v>ON_HOLD</x:v>
      </x:c>
      <x:c r="F8847" s="1" t="str">
        <x:v>Late delivery</x:v>
      </x:c>
      <x:c r="G8847" s="6" t="n">
        <x:v>6</x:v>
      </x:c>
      <x:c r="H8847" s="6" t="n">
        <x:v>2</x:v>
      </x:c>
      <x:c r="I8847" s="6" t="n">
        <x:f>G8847-H8847</x:f>
        <x:v>4</x:v>
      </x:c>
      <x:c r="J8847" s="6" t="n">
        <x:f>IF(OR(E8847="CANCELED",E8847="SUSPECTED_FRAUD",F8847="Shipping canceled"),0,1)</x:f>
        <x:v>1</x:v>
      </x:c>
      <x:c r="K8847" s="6" t="n">
        <x:f>IF(G8847&gt;H8847,1,0)</x:f>
        <x:v>1</x:v>
      </x:c>
      <x:c r="L8847" s="6" t="n">
        <x:f>J8847*K8847</x:f>
        <x:v>1</x:v>
      </x:c>
    </x:row>
    <x:row r="8848">
      <x:c r="A8848" s="1" t="n">
        <x:v>70811</x:v>
      </x:c>
      <x:c r="B8848" s="5" t="d">
        <x:v>2017-10-30T00:00:00.000Z</x:v>
      </x:c>
      <x:c r="C8848" s="1" t="str">
        <x:v>Standard Class</x:v>
      </x:c>
      <x:c r="D8848" s="1" t="str">
        <x:v>Europe</x:v>
      </x:c>
      <x:c r="E8848" s="1" t="str">
        <x:v>PROCESSING</x:v>
      </x:c>
      <x:c r="F8848" s="1" t="str">
        <x:v>Advance shipping</x:v>
      </x:c>
      <x:c r="G8848" s="6" t="n">
        <x:v>2</x:v>
      </x:c>
      <x:c r="H8848" s="6" t="n">
        <x:v>4</x:v>
      </x:c>
      <x:c r="I8848" s="6" t="n">
        <x:f>G8848-H8848</x:f>
        <x:v>-2</x:v>
      </x:c>
      <x:c r="J8848" s="6" t="n">
        <x:f>IF(OR(E8848="CANCELED",E8848="SUSPECTED_FRAUD",F8848="Shipping canceled"),0,1)</x:f>
        <x:v>1</x:v>
      </x:c>
      <x:c r="K8848" s="6" t="n">
        <x:f>IF(G8848&gt;H8848,1,0)</x:f>
        <x:v>0</x:v>
      </x:c>
      <x:c r="L8848" s="6" t="n">
        <x:f>J8848*K8848</x:f>
        <x:v>0</x:v>
      </x:c>
    </x:row>
    <x:row r="8849">
      <x:c r="A8849" s="1" t="n">
        <x:v>70817</x:v>
      </x:c>
      <x:c r="B8849" s="5" t="d">
        <x:v>2017-10-30T00:00:00.000Z</x:v>
      </x:c>
      <x:c r="C8849" s="1" t="str">
        <x:v>Standard Class</x:v>
      </x:c>
      <x:c r="D8849" s="1" t="str">
        <x:v>Europe</x:v>
      </x:c>
      <x:c r="E8849" s="1" t="str">
        <x:v>COMPLETE</x:v>
      </x:c>
      <x:c r="F8849" s="1" t="str">
        <x:v>Advance shipping</x:v>
      </x:c>
      <x:c r="G8849" s="6" t="n">
        <x:v>3</x:v>
      </x:c>
      <x:c r="H8849" s="6" t="n">
        <x:v>4</x:v>
      </x:c>
      <x:c r="I8849" s="6" t="n">
        <x:f>G8849-H8849</x:f>
        <x:v>-1</x:v>
      </x:c>
      <x:c r="J8849" s="6" t="n">
        <x:f>IF(OR(E8849="CANCELED",E8849="SUSPECTED_FRAUD",F8849="Shipping canceled"),0,1)</x:f>
        <x:v>1</x:v>
      </x:c>
      <x:c r="K8849" s="6" t="n">
        <x:f>IF(G8849&gt;H8849,1,0)</x:f>
        <x:v>0</x:v>
      </x:c>
      <x:c r="L8849" s="6" t="n">
        <x:f>J8849*K8849</x:f>
        <x:v>0</x:v>
      </x:c>
    </x:row>
    <x:row r="8850">
      <x:c r="A8850" s="1" t="n">
        <x:v>70831</x:v>
      </x:c>
      <x:c r="B8850" s="5" t="d">
        <x:v>2017-10-30T00:00:00.000Z</x:v>
      </x:c>
      <x:c r="C8850" s="1" t="str">
        <x:v>Standard Class</x:v>
      </x:c>
      <x:c r="D8850" s="1" t="str">
        <x:v>Europe</x:v>
      </x:c>
      <x:c r="E8850" s="1" t="str">
        <x:v>COMPLETE</x:v>
      </x:c>
      <x:c r="F8850" s="1" t="str">
        <x:v>Advance shipping</x:v>
      </x:c>
      <x:c r="G8850" s="6" t="n">
        <x:v>2</x:v>
      </x:c>
      <x:c r="H8850" s="6" t="n">
        <x:v>4</x:v>
      </x:c>
      <x:c r="I8850" s="6" t="n">
        <x:f>G8850-H8850</x:f>
        <x:v>-2</x:v>
      </x:c>
      <x:c r="J8850" s="6" t="n">
        <x:f>IF(OR(E8850="CANCELED",E8850="SUSPECTED_FRAUD",F8850="Shipping canceled"),0,1)</x:f>
        <x:v>1</x:v>
      </x:c>
      <x:c r="K8850" s="6" t="n">
        <x:f>IF(G8850&gt;H8850,1,0)</x:f>
        <x:v>0</x:v>
      </x:c>
      <x:c r="L8850" s="6" t="n">
        <x:f>J8850*K8850</x:f>
        <x:v>0</x:v>
      </x:c>
    </x:row>
    <x:row r="8851">
      <x:c r="A8851" s="1" t="n">
        <x:v>70834</x:v>
      </x:c>
      <x:c r="B8851" s="5" t="d">
        <x:v>2017-10-30T00:00:00.000Z</x:v>
      </x:c>
      <x:c r="C8851" s="1" t="str">
        <x:v>Standard Class</x:v>
      </x:c>
      <x:c r="D8851" s="1" t="str">
        <x:v>Europe</x:v>
      </x:c>
      <x:c r="E8851" s="1" t="str">
        <x:v>COMPLETE</x:v>
      </x:c>
      <x:c r="F8851" s="1" t="str">
        <x:v>Late delivery</x:v>
      </x:c>
      <x:c r="G8851" s="6" t="n">
        <x:v>5</x:v>
      </x:c>
      <x:c r="H8851" s="6" t="n">
        <x:v>4</x:v>
      </x:c>
      <x:c r="I8851" s="6" t="n">
        <x:f>G8851-H8851</x:f>
        <x:v>1</x:v>
      </x:c>
      <x:c r="J8851" s="6" t="n">
        <x:f>IF(OR(E8851="CANCELED",E8851="SUSPECTED_FRAUD",F8851="Shipping canceled"),0,1)</x:f>
        <x:v>1</x:v>
      </x:c>
      <x:c r="K8851" s="6" t="n">
        <x:f>IF(G8851&gt;H8851,1,0)</x:f>
        <x:v>1</x:v>
      </x:c>
      <x:c r="L8851" s="6" t="n">
        <x:f>J8851*K8851</x:f>
        <x:v>1</x:v>
      </x:c>
    </x:row>
    <x:row r="8852">
      <x:c r="A8852" s="1" t="n">
        <x:v>70842</x:v>
      </x:c>
      <x:c r="B8852" s="5" t="d">
        <x:v>2017-10-31T00:00:00.000Z</x:v>
      </x:c>
      <x:c r="C8852" s="1" t="str">
        <x:v>Standard Class</x:v>
      </x:c>
      <x:c r="D8852" s="1" t="str">
        <x:v>Europe</x:v>
      </x:c>
      <x:c r="E8852" s="1" t="str">
        <x:v>PENDING</x:v>
      </x:c>
      <x:c r="F8852" s="1" t="str">
        <x:v>Advance shipping</x:v>
      </x:c>
      <x:c r="G8852" s="6" t="n">
        <x:v>3</x:v>
      </x:c>
      <x:c r="H8852" s="6" t="n">
        <x:v>4</x:v>
      </x:c>
      <x:c r="I8852" s="6" t="n">
        <x:f>G8852-H8852</x:f>
        <x:v>-1</x:v>
      </x:c>
      <x:c r="J8852" s="6" t="n">
        <x:f>IF(OR(E8852="CANCELED",E8852="SUSPECTED_FRAUD",F8852="Shipping canceled"),0,1)</x:f>
        <x:v>1</x:v>
      </x:c>
      <x:c r="K8852" s="6" t="n">
        <x:f>IF(G8852&gt;H8852,1,0)</x:f>
        <x:v>0</x:v>
      </x:c>
      <x:c r="L8852" s="6" t="n">
        <x:f>J8852*K8852</x:f>
        <x:v>0</x:v>
      </x:c>
    </x:row>
    <x:row r="8853">
      <x:c r="A8853" s="1" t="n">
        <x:v>70845</x:v>
      </x:c>
      <x:c r="B8853" s="5" t="d">
        <x:v>2017-10-31T00:00:00.000Z</x:v>
      </x:c>
      <x:c r="C8853" s="1" t="str">
        <x:v>Standard Class</x:v>
      </x:c>
      <x:c r="D8853" s="1" t="str">
        <x:v>Europe</x:v>
      </x:c>
      <x:c r="E8853" s="1" t="str">
        <x:v>PROCESSING</x:v>
      </x:c>
      <x:c r="F8853" s="1" t="str">
        <x:v>Late delivery</x:v>
      </x:c>
      <x:c r="G8853" s="6" t="n">
        <x:v>6</x:v>
      </x:c>
      <x:c r="H8853" s="6" t="n">
        <x:v>4</x:v>
      </x:c>
      <x:c r="I8853" s="6" t="n">
        <x:f>G8853-H8853</x:f>
        <x:v>2</x:v>
      </x:c>
      <x:c r="J8853" s="6" t="n">
        <x:f>IF(OR(E8853="CANCELED",E8853="SUSPECTED_FRAUD",F8853="Shipping canceled"),0,1)</x:f>
        <x:v>1</x:v>
      </x:c>
      <x:c r="K8853" s="6" t="n">
        <x:f>IF(G8853&gt;H8853,1,0)</x:f>
        <x:v>1</x:v>
      </x:c>
      <x:c r="L8853" s="6" t="n">
        <x:f>J8853*K8853</x:f>
        <x:v>1</x:v>
      </x:c>
    </x:row>
    <x:row r="8854">
      <x:c r="A8854" s="1" t="n">
        <x:v>70850</x:v>
      </x:c>
      <x:c r="B8854" s="5" t="d">
        <x:v>2017-10-31T00:00:00.000Z</x:v>
      </x:c>
      <x:c r="C8854" s="1" t="str">
        <x:v>Standard Class</x:v>
      </x:c>
      <x:c r="D8854" s="1" t="str">
        <x:v>Europe</x:v>
      </x:c>
      <x:c r="E8854" s="1" t="str">
        <x:v>CLOSED</x:v>
      </x:c>
      <x:c r="F8854" s="1" t="str">
        <x:v>Late delivery</x:v>
      </x:c>
      <x:c r="G8854" s="6" t="n">
        <x:v>6</x:v>
      </x:c>
      <x:c r="H8854" s="6" t="n">
        <x:v>4</x:v>
      </x:c>
      <x:c r="I8854" s="6" t="n">
        <x:f>G8854-H8854</x:f>
        <x:v>2</x:v>
      </x:c>
      <x:c r="J8854" s="6" t="n">
        <x:f>IF(OR(E8854="CANCELED",E8854="SUSPECTED_FRAUD",F8854="Shipping canceled"),0,1)</x:f>
        <x:v>1</x:v>
      </x:c>
      <x:c r="K8854" s="6" t="n">
        <x:f>IF(G8854&gt;H8854,1,0)</x:f>
        <x:v>1</x:v>
      </x:c>
      <x:c r="L8854" s="6" t="n">
        <x:f>J8854*K8854</x:f>
        <x:v>1</x:v>
      </x:c>
    </x:row>
    <x:row r="8855">
      <x:c r="A8855" s="1" t="n">
        <x:v>70871</x:v>
      </x:c>
      <x:c r="B8855" s="5" t="d">
        <x:v>2017-10-31T00:00:00.000Z</x:v>
      </x:c>
      <x:c r="C8855" s="1" t="str">
        <x:v>Standard Class</x:v>
      </x:c>
      <x:c r="D8855" s="1" t="str">
        <x:v>Europe</x:v>
      </x:c>
      <x:c r="E8855" s="1" t="str">
        <x:v>CLOSED</x:v>
      </x:c>
      <x:c r="F8855" s="1" t="str">
        <x:v>Advance shipping</x:v>
      </x:c>
      <x:c r="G8855" s="6" t="n">
        <x:v>2</x:v>
      </x:c>
      <x:c r="H8855" s="6" t="n">
        <x:v>4</x:v>
      </x:c>
      <x:c r="I8855" s="6" t="n">
        <x:f>G8855-H8855</x:f>
        <x:v>-2</x:v>
      </x:c>
      <x:c r="J8855" s="6" t="n">
        <x:f>IF(OR(E8855="CANCELED",E8855="SUSPECTED_FRAUD",F8855="Shipping canceled"),0,1)</x:f>
        <x:v>1</x:v>
      </x:c>
      <x:c r="K8855" s="6" t="n">
        <x:f>IF(G8855&gt;H8855,1,0)</x:f>
        <x:v>0</x:v>
      </x:c>
      <x:c r="L8855" s="6" t="n">
        <x:f>J8855*K8855</x:f>
        <x:v>0</x:v>
      </x:c>
    </x:row>
    <x:row r="8856">
      <x:c r="A8856" s="1" t="n">
        <x:v>70913</x:v>
      </x:c>
      <x:c r="B8856" s="5" t="d">
        <x:v>2017-11-01T00:00:00.000Z</x:v>
      </x:c>
      <x:c r="C8856" s="1" t="str">
        <x:v>Standard Class</x:v>
      </x:c>
      <x:c r="D8856" s="1" t="str">
        <x:v>Europe</x:v>
      </x:c>
      <x:c r="E8856" s="1" t="str">
        <x:v>COMPLETE</x:v>
      </x:c>
      <x:c r="F8856" s="1" t="str">
        <x:v>Shipping on time</x:v>
      </x:c>
      <x:c r="G8856" s="6" t="n">
        <x:v>4</x:v>
      </x:c>
      <x:c r="H8856" s="6" t="n">
        <x:v>4</x:v>
      </x:c>
      <x:c r="I8856" s="6" t="n">
        <x:f>G8856-H8856</x:f>
        <x:v>0</x:v>
      </x:c>
      <x:c r="J8856" s="6" t="n">
        <x:f>IF(OR(E8856="CANCELED",E8856="SUSPECTED_FRAUD",F8856="Shipping canceled"),0,1)</x:f>
        <x:v>1</x:v>
      </x:c>
      <x:c r="K8856" s="6" t="n">
        <x:f>IF(G8856&gt;H8856,1,0)</x:f>
        <x:v>0</x:v>
      </x:c>
      <x:c r="L8856" s="6" t="n">
        <x:f>J8856*K8856</x:f>
        <x:v>0</x:v>
      </x:c>
    </x:row>
    <x:row r="8857">
      <x:c r="A8857" s="1" t="n">
        <x:v>70914</x:v>
      </x:c>
      <x:c r="B8857" s="5" t="d">
        <x:v>2017-11-01T00:00:00.000Z</x:v>
      </x:c>
      <x:c r="C8857" s="1" t="str">
        <x:v>First Class</x:v>
      </x:c>
      <x:c r="D8857" s="1" t="str">
        <x:v>Europe</x:v>
      </x:c>
      <x:c r="E8857" s="1" t="str">
        <x:v>PENDING_PAYMENT</x:v>
      </x:c>
      <x:c r="F8857" s="1" t="str">
        <x:v>Late delivery</x:v>
      </x:c>
      <x:c r="G8857" s="6" t="n">
        <x:v>2</x:v>
      </x:c>
      <x:c r="H8857" s="6" t="n">
        <x:v>1</x:v>
      </x:c>
      <x:c r="I8857" s="6" t="n">
        <x:f>G8857-H8857</x:f>
        <x:v>1</x:v>
      </x:c>
      <x:c r="J8857" s="6" t="n">
        <x:f>IF(OR(E8857="CANCELED",E8857="SUSPECTED_FRAUD",F8857="Shipping canceled"),0,1)</x:f>
        <x:v>1</x:v>
      </x:c>
      <x:c r="K8857" s="6" t="n">
        <x:f>IF(G8857&gt;H8857,1,0)</x:f>
        <x:v>1</x:v>
      </x:c>
      <x:c r="L8857" s="6" t="n">
        <x:f>J8857*K8857</x:f>
        <x:v>1</x:v>
      </x:c>
    </x:row>
    <x:row r="8858">
      <x:c r="A8858" s="1" t="n">
        <x:v>70919</x:v>
      </x:c>
      <x:c r="B8858" s="5" t="d">
        <x:v>2017-11-01T00:00:00.000Z</x:v>
      </x:c>
      <x:c r="C8858" s="1" t="str">
        <x:v>Second Class</x:v>
      </x:c>
      <x:c r="D8858" s="1" t="str">
        <x:v>Europe</x:v>
      </x:c>
      <x:c r="E8858" s="1" t="str">
        <x:v>COMPLETE</x:v>
      </x:c>
      <x:c r="F8858" s="1" t="str">
        <x:v>Late delivery</x:v>
      </x:c>
      <x:c r="G8858" s="6" t="n">
        <x:v>5</x:v>
      </x:c>
      <x:c r="H8858" s="6" t="n">
        <x:v>2</x:v>
      </x:c>
      <x:c r="I8858" s="6" t="n">
        <x:f>G8858-H8858</x:f>
        <x:v>3</x:v>
      </x:c>
      <x:c r="J8858" s="6" t="n">
        <x:f>IF(OR(E8858="CANCELED",E8858="SUSPECTED_FRAUD",F8858="Shipping canceled"),0,1)</x:f>
        <x:v>1</x:v>
      </x:c>
      <x:c r="K8858" s="6" t="n">
        <x:f>IF(G8858&gt;H8858,1,0)</x:f>
        <x:v>1</x:v>
      </x:c>
      <x:c r="L8858" s="6" t="n">
        <x:f>J8858*K8858</x:f>
        <x:v>1</x:v>
      </x:c>
    </x:row>
    <x:row r="8859">
      <x:c r="A8859" s="1" t="n">
        <x:v>70927</x:v>
      </x:c>
      <x:c r="B8859" s="5" t="d">
        <x:v>2017-11-01T00:00:00.000Z</x:v>
      </x:c>
      <x:c r="C8859" s="1" t="str">
        <x:v>Standard Class</x:v>
      </x:c>
      <x:c r="D8859" s="1" t="str">
        <x:v>Europe</x:v>
      </x:c>
      <x:c r="E8859" s="1" t="str">
        <x:v>CLOSED</x:v>
      </x:c>
      <x:c r="F8859" s="1" t="str">
        <x:v>Advance shipping</x:v>
      </x:c>
      <x:c r="G8859" s="6" t="n">
        <x:v>3</x:v>
      </x:c>
      <x:c r="H8859" s="6" t="n">
        <x:v>4</x:v>
      </x:c>
      <x:c r="I8859" s="6" t="n">
        <x:f>G8859-H8859</x:f>
        <x:v>-1</x:v>
      </x:c>
      <x:c r="J8859" s="6" t="n">
        <x:f>IF(OR(E8859="CANCELED",E8859="SUSPECTED_FRAUD",F8859="Shipping canceled"),0,1)</x:f>
        <x:v>1</x:v>
      </x:c>
      <x:c r="K8859" s="6" t="n">
        <x:f>IF(G8859&gt;H8859,1,0)</x:f>
        <x:v>0</x:v>
      </x:c>
      <x:c r="L8859" s="6" t="n">
        <x:f>J8859*K8859</x:f>
        <x:v>0</x:v>
      </x:c>
    </x:row>
    <x:row r="8860">
      <x:c r="A8860" s="1" t="n">
        <x:v>70941</x:v>
      </x:c>
      <x:c r="B8860" s="5" t="d">
        <x:v>2017-11-01T00:00:00.000Z</x:v>
      </x:c>
      <x:c r="C8860" s="1" t="str">
        <x:v>Standard Class</x:v>
      </x:c>
      <x:c r="D8860" s="1" t="str">
        <x:v>Europe</x:v>
      </x:c>
      <x:c r="E8860" s="1" t="str">
        <x:v>COMPLETE</x:v>
      </x:c>
      <x:c r="F8860" s="1" t="str">
        <x:v>Advance shipping</x:v>
      </x:c>
      <x:c r="G8860" s="6" t="n">
        <x:v>2</x:v>
      </x:c>
      <x:c r="H8860" s="6" t="n">
        <x:v>4</x:v>
      </x:c>
      <x:c r="I8860" s="6" t="n">
        <x:f>G8860-H8860</x:f>
        <x:v>-2</x:v>
      </x:c>
      <x:c r="J8860" s="6" t="n">
        <x:f>IF(OR(E8860="CANCELED",E8860="SUSPECTED_FRAUD",F8860="Shipping canceled"),0,1)</x:f>
        <x:v>1</x:v>
      </x:c>
      <x:c r="K8860" s="6" t="n">
        <x:f>IF(G8860&gt;H8860,1,0)</x:f>
        <x:v>0</x:v>
      </x:c>
      <x:c r="L8860" s="6" t="n">
        <x:f>J8860*K8860</x:f>
        <x:v>0</x:v>
      </x:c>
    </x:row>
    <x:row r="8861">
      <x:c r="A8861" s="1" t="n">
        <x:v>70943</x:v>
      </x:c>
      <x:c r="B8861" s="5" t="d">
        <x:v>2017-11-01T00:00:00.000Z</x:v>
      </x:c>
      <x:c r="C8861" s="1" t="str">
        <x:v>Same Day</x:v>
      </x:c>
      <x:c r="D8861" s="1" t="str">
        <x:v>Europe</x:v>
      </x:c>
      <x:c r="E8861" s="1" t="str">
        <x:v>CLOSED</x:v>
      </x:c>
      <x:c r="F8861" s="1" t="str">
        <x:v>Late delivery</x:v>
      </x:c>
      <x:c r="G8861" s="6" t="n">
        <x:v>1</x:v>
      </x:c>
      <x:c r="H8861" s="6" t="n">
        <x:v>0</x:v>
      </x:c>
      <x:c r="I8861" s="6" t="n">
        <x:f>G8861-H8861</x:f>
        <x:v>1</x:v>
      </x:c>
      <x:c r="J8861" s="6" t="n">
        <x:f>IF(OR(E8861="CANCELED",E8861="SUSPECTED_FRAUD",F8861="Shipping canceled"),0,1)</x:f>
        <x:v>1</x:v>
      </x:c>
      <x:c r="K8861" s="6" t="n">
        <x:f>IF(G8861&gt;H8861,1,0)</x:f>
        <x:v>1</x:v>
      </x:c>
      <x:c r="L8861" s="6" t="n">
        <x:f>J8861*K8861</x:f>
        <x:v>1</x:v>
      </x:c>
    </x:row>
    <x:row r="8862">
      <x:c r="A8862" s="1" t="n">
        <x:v>70951</x:v>
      </x:c>
      <x:c r="B8862" s="5" t="d">
        <x:v>2017-11-01T00:00:00.000Z</x:v>
      </x:c>
      <x:c r="C8862" s="1" t="str">
        <x:v>First Class</x:v>
      </x:c>
      <x:c r="D8862" s="1" t="str">
        <x:v>Europe</x:v>
      </x:c>
      <x:c r="E8862" s="1" t="str">
        <x:v>CLOSED</x:v>
      </x:c>
      <x:c r="F8862" s="1" t="str">
        <x:v>Late delivery</x:v>
      </x:c>
      <x:c r="G8862" s="6" t="n">
        <x:v>2</x:v>
      </x:c>
      <x:c r="H8862" s="6" t="n">
        <x:v>1</x:v>
      </x:c>
      <x:c r="I8862" s="6" t="n">
        <x:f>G8862-H8862</x:f>
        <x:v>1</x:v>
      </x:c>
      <x:c r="J8862" s="6" t="n">
        <x:f>IF(OR(E8862="CANCELED",E8862="SUSPECTED_FRAUD",F8862="Shipping canceled"),0,1)</x:f>
        <x:v>1</x:v>
      </x:c>
      <x:c r="K8862" s="6" t="n">
        <x:f>IF(G8862&gt;H8862,1,0)</x:f>
        <x:v>1</x:v>
      </x:c>
      <x:c r="L8862" s="6" t="n">
        <x:f>J8862*K8862</x:f>
        <x:v>1</x:v>
      </x:c>
    </x:row>
    <x:row r="8863">
      <x:c r="A8863" s="1" t="n">
        <x:v>70955</x:v>
      </x:c>
      <x:c r="B8863" s="5" t="d">
        <x:v>2017-11-01T00:00:00.000Z</x:v>
      </x:c>
      <x:c r="C8863" s="1" t="str">
        <x:v>Second Class</x:v>
      </x:c>
      <x:c r="D8863" s="1" t="str">
        <x:v>Europe</x:v>
      </x:c>
      <x:c r="E8863" s="1" t="str">
        <x:v>COMPLETE</x:v>
      </x:c>
      <x:c r="F8863" s="1" t="str">
        <x:v>Late delivery</x:v>
      </x:c>
      <x:c r="G8863" s="6" t="n">
        <x:v>6</x:v>
      </x:c>
      <x:c r="H8863" s="6" t="n">
        <x:v>2</x:v>
      </x:c>
      <x:c r="I8863" s="6" t="n">
        <x:f>G8863-H8863</x:f>
        <x:v>4</x:v>
      </x:c>
      <x:c r="J8863" s="6" t="n">
        <x:f>IF(OR(E8863="CANCELED",E8863="SUSPECTED_FRAUD",F8863="Shipping canceled"),0,1)</x:f>
        <x:v>1</x:v>
      </x:c>
      <x:c r="K8863" s="6" t="n">
        <x:f>IF(G8863&gt;H8863,1,0)</x:f>
        <x:v>1</x:v>
      </x:c>
      <x:c r="L8863" s="6" t="n">
        <x:f>J8863*K8863</x:f>
        <x:v>1</x:v>
      </x:c>
    </x:row>
    <x:row r="8864">
      <x:c r="A8864" s="1" t="n">
        <x:v>70957</x:v>
      </x:c>
      <x:c r="B8864" s="5" t="d">
        <x:v>2017-11-01T00:00:00.000Z</x:v>
      </x:c>
      <x:c r="C8864" s="1" t="str">
        <x:v>Second Class</x:v>
      </x:c>
      <x:c r="D8864" s="1" t="str">
        <x:v>Europe</x:v>
      </x:c>
      <x:c r="E8864" s="1" t="str">
        <x:v>COMPLETE</x:v>
      </x:c>
      <x:c r="F8864" s="1" t="str">
        <x:v>Late delivery</x:v>
      </x:c>
      <x:c r="G8864" s="6" t="n">
        <x:v>3</x:v>
      </x:c>
      <x:c r="H8864" s="6" t="n">
        <x:v>2</x:v>
      </x:c>
      <x:c r="I8864" s="6" t="n">
        <x:f>G8864-H8864</x:f>
        <x:v>1</x:v>
      </x:c>
      <x:c r="J8864" s="6" t="n">
        <x:f>IF(OR(E8864="CANCELED",E8864="SUSPECTED_FRAUD",F8864="Shipping canceled"),0,1)</x:f>
        <x:v>1</x:v>
      </x:c>
      <x:c r="K8864" s="6" t="n">
        <x:f>IF(G8864&gt;H8864,1,0)</x:f>
        <x:v>1</x:v>
      </x:c>
      <x:c r="L8864" s="6" t="n">
        <x:f>J8864*K8864</x:f>
        <x:v>1</x:v>
      </x:c>
    </x:row>
    <x:row r="8865">
      <x:c r="A8865" s="1" t="n">
        <x:v>70960</x:v>
      </x:c>
      <x:c r="B8865" s="5" t="d">
        <x:v>2017-11-01T00:00:00.000Z</x:v>
      </x:c>
      <x:c r="C8865" s="1" t="str">
        <x:v>Second Class</x:v>
      </x:c>
      <x:c r="D8865" s="1" t="str">
        <x:v>Europe</x:v>
      </x:c>
      <x:c r="E8865" s="1" t="str">
        <x:v>COMPLETE</x:v>
      </x:c>
      <x:c r="F8865" s="1" t="str">
        <x:v>Late delivery</x:v>
      </x:c>
      <x:c r="G8865" s="6" t="n">
        <x:v>6</x:v>
      </x:c>
      <x:c r="H8865" s="6" t="n">
        <x:v>2</x:v>
      </x:c>
      <x:c r="I8865" s="6" t="n">
        <x:f>G8865-H8865</x:f>
        <x:v>4</x:v>
      </x:c>
      <x:c r="J8865" s="6" t="n">
        <x:f>IF(OR(E8865="CANCELED",E8865="SUSPECTED_FRAUD",F8865="Shipping canceled"),0,1)</x:f>
        <x:v>1</x:v>
      </x:c>
      <x:c r="K8865" s="6" t="n">
        <x:f>IF(G8865&gt;H8865,1,0)</x:f>
        <x:v>1</x:v>
      </x:c>
      <x:c r="L8865" s="6" t="n">
        <x:f>J8865*K8865</x:f>
        <x:v>1</x:v>
      </x:c>
    </x:row>
    <x:row r="8866">
      <x:c r="A8866" s="1" t="n">
        <x:v>70963</x:v>
      </x:c>
      <x:c r="B8866" s="5" t="d">
        <x:v>2017-11-01T00:00:00.000Z</x:v>
      </x:c>
      <x:c r="C8866" s="1" t="str">
        <x:v>Standard Class</x:v>
      </x:c>
      <x:c r="D8866" s="1" t="str">
        <x:v>Europe</x:v>
      </x:c>
      <x:c r="E8866" s="1" t="str">
        <x:v>COMPLETE</x:v>
      </x:c>
      <x:c r="F8866" s="1" t="str">
        <x:v>Shipping on time</x:v>
      </x:c>
      <x:c r="G8866" s="6" t="n">
        <x:v>4</x:v>
      </x:c>
      <x:c r="H8866" s="6" t="n">
        <x:v>4</x:v>
      </x:c>
      <x:c r="I8866" s="6" t="n">
        <x:f>G8866-H8866</x:f>
        <x:v>0</x:v>
      </x:c>
      <x:c r="J8866" s="6" t="n">
        <x:f>IF(OR(E8866="CANCELED",E8866="SUSPECTED_FRAUD",F8866="Shipping canceled"),0,1)</x:f>
        <x:v>1</x:v>
      </x:c>
      <x:c r="K8866" s="6" t="n">
        <x:f>IF(G8866&gt;H8866,1,0)</x:f>
        <x:v>0</x:v>
      </x:c>
      <x:c r="L8866" s="6" t="n">
        <x:f>J8866*K8866</x:f>
        <x:v>0</x:v>
      </x:c>
    </x:row>
    <x:row r="8867">
      <x:c r="A8867" s="1" t="n">
        <x:v>70978</x:v>
      </x:c>
      <x:c r="B8867" s="5" t="d">
        <x:v>2017-11-02T00:00:00.000Z</x:v>
      </x:c>
      <x:c r="C8867" s="1" t="str">
        <x:v>Standard Class</x:v>
      </x:c>
      <x:c r="D8867" s="1" t="str">
        <x:v>Europe</x:v>
      </x:c>
      <x:c r="E8867" s="1" t="str">
        <x:v>PENDING_PAYMENT</x:v>
      </x:c>
      <x:c r="F8867" s="1" t="str">
        <x:v>Shipping on time</x:v>
      </x:c>
      <x:c r="G8867" s="6" t="n">
        <x:v>4</x:v>
      </x:c>
      <x:c r="H8867" s="6" t="n">
        <x:v>4</x:v>
      </x:c>
      <x:c r="I8867" s="6" t="n">
        <x:f>G8867-H8867</x:f>
        <x:v>0</x:v>
      </x:c>
      <x:c r="J8867" s="6" t="n">
        <x:f>IF(OR(E8867="CANCELED",E8867="SUSPECTED_FRAUD",F8867="Shipping canceled"),0,1)</x:f>
        <x:v>1</x:v>
      </x:c>
      <x:c r="K8867" s="6" t="n">
        <x:f>IF(G8867&gt;H8867,1,0)</x:f>
        <x:v>0</x:v>
      </x:c>
      <x:c r="L8867" s="6" t="n">
        <x:f>J8867*K8867</x:f>
        <x:v>0</x:v>
      </x:c>
    </x:row>
    <x:row r="8868">
      <x:c r="A8868" s="1" t="n">
        <x:v>71000</x:v>
      </x:c>
      <x:c r="B8868" s="5" t="d">
        <x:v>2017-11-02T00:00:00.000Z</x:v>
      </x:c>
      <x:c r="C8868" s="1" t="str">
        <x:v>Second Class</x:v>
      </x:c>
      <x:c r="D8868" s="1" t="str">
        <x:v>Europe</x:v>
      </x:c>
      <x:c r="E8868" s="1" t="str">
        <x:v>COMPLETE</x:v>
      </x:c>
      <x:c r="F8868" s="1" t="str">
        <x:v>Late delivery</x:v>
      </x:c>
      <x:c r="G8868" s="6" t="n">
        <x:v>6</x:v>
      </x:c>
      <x:c r="H8868" s="6" t="n">
        <x:v>2</x:v>
      </x:c>
      <x:c r="I8868" s="6" t="n">
        <x:f>G8868-H8868</x:f>
        <x:v>4</x:v>
      </x:c>
      <x:c r="J8868" s="6" t="n">
        <x:f>IF(OR(E8868="CANCELED",E8868="SUSPECTED_FRAUD",F8868="Shipping canceled"),0,1)</x:f>
        <x:v>1</x:v>
      </x:c>
      <x:c r="K8868" s="6" t="n">
        <x:f>IF(G8868&gt;H8868,1,0)</x:f>
        <x:v>1</x:v>
      </x:c>
      <x:c r="L8868" s="6" t="n">
        <x:f>J8868*K8868</x:f>
        <x:v>1</x:v>
      </x:c>
    </x:row>
    <x:row r="8869">
      <x:c r="A8869" s="1" t="n">
        <x:v>71009</x:v>
      </x:c>
      <x:c r="B8869" s="5" t="d">
        <x:v>2017-11-02T00:00:00.000Z</x:v>
      </x:c>
      <x:c r="C8869" s="1" t="str">
        <x:v>Second Class</x:v>
      </x:c>
      <x:c r="D8869" s="1" t="str">
        <x:v>Europe</x:v>
      </x:c>
      <x:c r="E8869" s="1" t="str">
        <x:v>COMPLETE</x:v>
      </x:c>
      <x:c r="F8869" s="1" t="str">
        <x:v>Late delivery</x:v>
      </x:c>
      <x:c r="G8869" s="6" t="n">
        <x:v>5</x:v>
      </x:c>
      <x:c r="H8869" s="6" t="n">
        <x:v>2</x:v>
      </x:c>
      <x:c r="I8869" s="6" t="n">
        <x:f>G8869-H8869</x:f>
        <x:v>3</x:v>
      </x:c>
      <x:c r="J8869" s="6" t="n">
        <x:f>IF(OR(E8869="CANCELED",E8869="SUSPECTED_FRAUD",F8869="Shipping canceled"),0,1)</x:f>
        <x:v>1</x:v>
      </x:c>
      <x:c r="K8869" s="6" t="n">
        <x:f>IF(G8869&gt;H8869,1,0)</x:f>
        <x:v>1</x:v>
      </x:c>
      <x:c r="L8869" s="6" t="n">
        <x:f>J8869*K8869</x:f>
        <x:v>1</x:v>
      </x:c>
    </x:row>
    <x:row r="8870">
      <x:c r="A8870" s="1" t="n">
        <x:v>71017</x:v>
      </x:c>
      <x:c r="B8870" s="5" t="d">
        <x:v>2017-11-02T00:00:00.000Z</x:v>
      </x:c>
      <x:c r="C8870" s="1" t="str">
        <x:v>First Class</x:v>
      </x:c>
      <x:c r="D8870" s="1" t="str">
        <x:v>Europe</x:v>
      </x:c>
      <x:c r="E8870" s="1" t="str">
        <x:v>PENDING</x:v>
      </x:c>
      <x:c r="F8870" s="1" t="str">
        <x:v>Late delivery</x:v>
      </x:c>
      <x:c r="G8870" s="6" t="n">
        <x:v>2</x:v>
      </x:c>
      <x:c r="H8870" s="6" t="n">
        <x:v>1</x:v>
      </x:c>
      <x:c r="I8870" s="6" t="n">
        <x:f>G8870-H8870</x:f>
        <x:v>1</x:v>
      </x:c>
      <x:c r="J8870" s="6" t="n">
        <x:f>IF(OR(E8870="CANCELED",E8870="SUSPECTED_FRAUD",F8870="Shipping canceled"),0,1)</x:f>
        <x:v>1</x:v>
      </x:c>
      <x:c r="K8870" s="6" t="n">
        <x:f>IF(G8870&gt;H8870,1,0)</x:f>
        <x:v>1</x:v>
      </x:c>
      <x:c r="L8870" s="6" t="n">
        <x:f>J8870*K8870</x:f>
        <x:v>1</x:v>
      </x:c>
    </x:row>
    <x:row r="8871">
      <x:c r="A8871" s="1" t="n">
        <x:v>71031</x:v>
      </x:c>
      <x:c r="B8871" s="5" t="d">
        <x:v>2017-11-02T00:00:00.000Z</x:v>
      </x:c>
      <x:c r="C8871" s="1" t="str">
        <x:v>First Class</x:v>
      </x:c>
      <x:c r="D8871" s="1" t="str">
        <x:v>Europe</x:v>
      </x:c>
      <x:c r="E8871" s="1" t="str">
        <x:v>PROCESSING</x:v>
      </x:c>
      <x:c r="F8871" s="1" t="str">
        <x:v>Late delivery</x:v>
      </x:c>
      <x:c r="G8871" s="6" t="n">
        <x:v>2</x:v>
      </x:c>
      <x:c r="H8871" s="6" t="n">
        <x:v>1</x:v>
      </x:c>
      <x:c r="I8871" s="6" t="n">
        <x:f>G8871-H8871</x:f>
        <x:v>1</x:v>
      </x:c>
      <x:c r="J8871" s="6" t="n">
        <x:f>IF(OR(E8871="CANCELED",E8871="SUSPECTED_FRAUD",F8871="Shipping canceled"),0,1)</x:f>
        <x:v>1</x:v>
      </x:c>
      <x:c r="K8871" s="6" t="n">
        <x:f>IF(G8871&gt;H8871,1,0)</x:f>
        <x:v>1</x:v>
      </x:c>
      <x:c r="L8871" s="6" t="n">
        <x:f>J8871*K8871</x:f>
        <x:v>1</x:v>
      </x:c>
    </x:row>
    <x:row r="8872">
      <x:c r="A8872" s="1" t="n">
        <x:v>71038</x:v>
      </x:c>
      <x:c r="B8872" s="5" t="d">
        <x:v>2017-11-02T00:00:00.000Z</x:v>
      </x:c>
      <x:c r="C8872" s="1" t="str">
        <x:v>Second Class</x:v>
      </x:c>
      <x:c r="D8872" s="1" t="str">
        <x:v>Europe</x:v>
      </x:c>
      <x:c r="E8872" s="1" t="str">
        <x:v>ON_HOLD</x:v>
      </x:c>
      <x:c r="F8872" s="1" t="str">
        <x:v>Late delivery</x:v>
      </x:c>
      <x:c r="G8872" s="6" t="n">
        <x:v>4</x:v>
      </x:c>
      <x:c r="H8872" s="6" t="n">
        <x:v>2</x:v>
      </x:c>
      <x:c r="I8872" s="6" t="n">
        <x:f>G8872-H8872</x:f>
        <x:v>2</x:v>
      </x:c>
      <x:c r="J8872" s="6" t="n">
        <x:f>IF(OR(E8872="CANCELED",E8872="SUSPECTED_FRAUD",F8872="Shipping canceled"),0,1)</x:f>
        <x:v>1</x:v>
      </x:c>
      <x:c r="K8872" s="6" t="n">
        <x:f>IF(G8872&gt;H8872,1,0)</x:f>
        <x:v>1</x:v>
      </x:c>
      <x:c r="L8872" s="6" t="n">
        <x:f>J8872*K8872</x:f>
        <x:v>1</x:v>
      </x:c>
    </x:row>
    <x:row r="8873">
      <x:c r="A8873" s="1" t="n">
        <x:v>71051</x:v>
      </x:c>
      <x:c r="B8873" s="5" t="d">
        <x:v>2017-11-03T00:00:00.000Z</x:v>
      </x:c>
      <x:c r="C8873" s="1" t="str">
        <x:v>Second Class</x:v>
      </x:c>
      <x:c r="D8873" s="1" t="str">
        <x:v>Europe</x:v>
      </x:c>
      <x:c r="E8873" s="1" t="str">
        <x:v>COMPLETE</x:v>
      </x:c>
      <x:c r="F8873" s="1" t="str">
        <x:v>Shipping on time</x:v>
      </x:c>
      <x:c r="G8873" s="6" t="n">
        <x:v>2</x:v>
      </x:c>
      <x:c r="H8873" s="6" t="n">
        <x:v>2</x:v>
      </x:c>
      <x:c r="I8873" s="6" t="n">
        <x:f>G8873-H8873</x:f>
        <x:v>0</x:v>
      </x:c>
      <x:c r="J8873" s="6" t="n">
        <x:f>IF(OR(E8873="CANCELED",E8873="SUSPECTED_FRAUD",F8873="Shipping canceled"),0,1)</x:f>
        <x:v>1</x:v>
      </x:c>
      <x:c r="K8873" s="6" t="n">
        <x:f>IF(G8873&gt;H8873,1,0)</x:f>
        <x:v>0</x:v>
      </x:c>
      <x:c r="L8873" s="6" t="n">
        <x:f>J8873*K8873</x:f>
        <x:v>0</x:v>
      </x:c>
    </x:row>
    <x:row r="8874">
      <x:c r="A8874" s="1" t="n">
        <x:v>71056</x:v>
      </x:c>
      <x:c r="B8874" s="5" t="d">
        <x:v>2017-11-03T00:00:00.000Z</x:v>
      </x:c>
      <x:c r="C8874" s="1" t="str">
        <x:v>Standard Class</x:v>
      </x:c>
      <x:c r="D8874" s="1" t="str">
        <x:v>Europe</x:v>
      </x:c>
      <x:c r="E8874" s="1" t="str">
        <x:v>CLOSED</x:v>
      </x:c>
      <x:c r="F8874" s="1" t="str">
        <x:v>Advance shipping</x:v>
      </x:c>
      <x:c r="G8874" s="6" t="n">
        <x:v>2</x:v>
      </x:c>
      <x:c r="H8874" s="6" t="n">
        <x:v>4</x:v>
      </x:c>
      <x:c r="I8874" s="6" t="n">
        <x:f>G8874-H8874</x:f>
        <x:v>-2</x:v>
      </x:c>
      <x:c r="J8874" s="6" t="n">
        <x:f>IF(OR(E8874="CANCELED",E8874="SUSPECTED_FRAUD",F8874="Shipping canceled"),0,1)</x:f>
        <x:v>1</x:v>
      </x:c>
      <x:c r="K8874" s="6" t="n">
        <x:f>IF(G8874&gt;H8874,1,0)</x:f>
        <x:v>0</x:v>
      </x:c>
      <x:c r="L8874" s="6" t="n">
        <x:f>J8874*K8874</x:f>
        <x:v>0</x:v>
      </x:c>
    </x:row>
    <x:row r="8875">
      <x:c r="A8875" s="1" t="n">
        <x:v>71075</x:v>
      </x:c>
      <x:c r="B8875" s="5" t="d">
        <x:v>2017-11-03T00:00:00.000Z</x:v>
      </x:c>
      <x:c r="C8875" s="1" t="str">
        <x:v>Standard Class</x:v>
      </x:c>
      <x:c r="D8875" s="1" t="str">
        <x:v>Europe</x:v>
      </x:c>
      <x:c r="E8875" s="1" t="str">
        <x:v>COMPLETE</x:v>
      </x:c>
      <x:c r="F8875" s="1" t="str">
        <x:v>Late delivery</x:v>
      </x:c>
      <x:c r="G8875" s="6" t="n">
        <x:v>6</x:v>
      </x:c>
      <x:c r="H8875" s="6" t="n">
        <x:v>4</x:v>
      </x:c>
      <x:c r="I8875" s="6" t="n">
        <x:f>G8875-H8875</x:f>
        <x:v>2</x:v>
      </x:c>
      <x:c r="J8875" s="6" t="n">
        <x:f>IF(OR(E8875="CANCELED",E8875="SUSPECTED_FRAUD",F8875="Shipping canceled"),0,1)</x:f>
        <x:v>1</x:v>
      </x:c>
      <x:c r="K8875" s="6" t="n">
        <x:f>IF(G8875&gt;H8875,1,0)</x:f>
        <x:v>1</x:v>
      </x:c>
      <x:c r="L8875" s="6" t="n">
        <x:f>J8875*K8875</x:f>
        <x:v>1</x:v>
      </x:c>
    </x:row>
    <x:row r="8876">
      <x:c r="A8876" s="1" t="n">
        <x:v>71077</x:v>
      </x:c>
      <x:c r="B8876" s="5" t="d">
        <x:v>2017-11-03T00:00:00.000Z</x:v>
      </x:c>
      <x:c r="C8876" s="1" t="str">
        <x:v>Second Class</x:v>
      </x:c>
      <x:c r="D8876" s="1" t="str">
        <x:v>Europe</x:v>
      </x:c>
      <x:c r="E8876" s="1" t="str">
        <x:v>COMPLETE</x:v>
      </x:c>
      <x:c r="F8876" s="1" t="str">
        <x:v>Late delivery</x:v>
      </x:c>
      <x:c r="G8876" s="6" t="n">
        <x:v>3</x:v>
      </x:c>
      <x:c r="H8876" s="6" t="n">
        <x:v>2</x:v>
      </x:c>
      <x:c r="I8876" s="6" t="n">
        <x:f>G8876-H8876</x:f>
        <x:v>1</x:v>
      </x:c>
      <x:c r="J8876" s="6" t="n">
        <x:f>IF(OR(E8876="CANCELED",E8876="SUSPECTED_FRAUD",F8876="Shipping canceled"),0,1)</x:f>
        <x:v>1</x:v>
      </x:c>
      <x:c r="K8876" s="6" t="n">
        <x:f>IF(G8876&gt;H8876,1,0)</x:f>
        <x:v>1</x:v>
      </x:c>
      <x:c r="L8876" s="6" t="n">
        <x:f>J8876*K8876</x:f>
        <x:v>1</x:v>
      </x:c>
    </x:row>
    <x:row r="8877">
      <x:c r="A8877" s="1" t="n">
        <x:v>71080</x:v>
      </x:c>
      <x:c r="B8877" s="5" t="d">
        <x:v>2017-11-03T00:00:00.000Z</x:v>
      </x:c>
      <x:c r="C8877" s="1" t="str">
        <x:v>Second Class</x:v>
      </x:c>
      <x:c r="D8877" s="1" t="str">
        <x:v>Europe</x:v>
      </x:c>
      <x:c r="E8877" s="1" t="str">
        <x:v>COMPLETE</x:v>
      </x:c>
      <x:c r="F8877" s="1" t="str">
        <x:v>Late delivery</x:v>
      </x:c>
      <x:c r="G8877" s="6" t="n">
        <x:v>6</x:v>
      </x:c>
      <x:c r="H8877" s="6" t="n">
        <x:v>2</x:v>
      </x:c>
      <x:c r="I8877" s="6" t="n">
        <x:f>G8877-H8877</x:f>
        <x:v>4</x:v>
      </x:c>
      <x:c r="J8877" s="6" t="n">
        <x:f>IF(OR(E8877="CANCELED",E8877="SUSPECTED_FRAUD",F8877="Shipping canceled"),0,1)</x:f>
        <x:v>1</x:v>
      </x:c>
      <x:c r="K8877" s="6" t="n">
        <x:f>IF(G8877&gt;H8877,1,0)</x:f>
        <x:v>1</x:v>
      </x:c>
      <x:c r="L8877" s="6" t="n">
        <x:f>J8877*K8877</x:f>
        <x:v>1</x:v>
      </x:c>
    </x:row>
    <x:row r="8878">
      <x:c r="A8878" s="1" t="n">
        <x:v>71082</x:v>
      </x:c>
      <x:c r="B8878" s="5" t="d">
        <x:v>2017-11-03T00:00:00.000Z</x:v>
      </x:c>
      <x:c r="C8878" s="1" t="str">
        <x:v>Standard Class</x:v>
      </x:c>
      <x:c r="D8878" s="1" t="str">
        <x:v>Europe</x:v>
      </x:c>
      <x:c r="E8878" s="1" t="str">
        <x:v>CLOSED</x:v>
      </x:c>
      <x:c r="F8878" s="1" t="str">
        <x:v>Advance shipping</x:v>
      </x:c>
      <x:c r="G8878" s="6" t="n">
        <x:v>3</x:v>
      </x:c>
      <x:c r="H8878" s="6" t="n">
        <x:v>4</x:v>
      </x:c>
      <x:c r="I8878" s="6" t="n">
        <x:f>G8878-H8878</x:f>
        <x:v>-1</x:v>
      </x:c>
      <x:c r="J8878" s="6" t="n">
        <x:f>IF(OR(E8878="CANCELED",E8878="SUSPECTED_FRAUD",F8878="Shipping canceled"),0,1)</x:f>
        <x:v>1</x:v>
      </x:c>
      <x:c r="K8878" s="6" t="n">
        <x:f>IF(G8878&gt;H8878,1,0)</x:f>
        <x:v>0</x:v>
      </x:c>
      <x:c r="L8878" s="6" t="n">
        <x:f>J8878*K8878</x:f>
        <x:v>0</x:v>
      </x:c>
    </x:row>
    <x:row r="8879">
      <x:c r="A8879" s="1" t="n">
        <x:v>71092</x:v>
      </x:c>
      <x:c r="B8879" s="5" t="d">
        <x:v>2017-11-03T00:00:00.000Z</x:v>
      </x:c>
      <x:c r="C8879" s="1" t="str">
        <x:v>Second Class</x:v>
      </x:c>
      <x:c r="D8879" s="1" t="str">
        <x:v>Europe</x:v>
      </x:c>
      <x:c r="E8879" s="1" t="str">
        <x:v>COMPLETE</x:v>
      </x:c>
      <x:c r="F8879" s="1" t="str">
        <x:v>Late delivery</x:v>
      </x:c>
      <x:c r="G8879" s="6" t="n">
        <x:v>3</x:v>
      </x:c>
      <x:c r="H8879" s="6" t="n">
        <x:v>2</x:v>
      </x:c>
      <x:c r="I8879" s="6" t="n">
        <x:f>G8879-H8879</x:f>
        <x:v>1</x:v>
      </x:c>
      <x:c r="J8879" s="6" t="n">
        <x:f>IF(OR(E8879="CANCELED",E8879="SUSPECTED_FRAUD",F8879="Shipping canceled"),0,1)</x:f>
        <x:v>1</x:v>
      </x:c>
      <x:c r="K8879" s="6" t="n">
        <x:f>IF(G8879&gt;H8879,1,0)</x:f>
        <x:v>1</x:v>
      </x:c>
      <x:c r="L8879" s="6" t="n">
        <x:f>J8879*K8879</x:f>
        <x:v>1</x:v>
      </x:c>
    </x:row>
    <x:row r="8880">
      <x:c r="A8880" s="1" t="n">
        <x:v>71100</x:v>
      </x:c>
      <x:c r="B8880" s="5" t="d">
        <x:v>2017-11-03T00:00:00.000Z</x:v>
      </x:c>
      <x:c r="C8880" s="1" t="str">
        <x:v>Standard Class</x:v>
      </x:c>
      <x:c r="D8880" s="1" t="str">
        <x:v>Europe</x:v>
      </x:c>
      <x:c r="E8880" s="1" t="str">
        <x:v>CLOSED</x:v>
      </x:c>
      <x:c r="F8880" s="1" t="str">
        <x:v>Late delivery</x:v>
      </x:c>
      <x:c r="G8880" s="6" t="n">
        <x:v>6</x:v>
      </x:c>
      <x:c r="H8880" s="6" t="n">
        <x:v>4</x:v>
      </x:c>
      <x:c r="I8880" s="6" t="n">
        <x:f>G8880-H8880</x:f>
        <x:v>2</x:v>
      </x:c>
      <x:c r="J8880" s="6" t="n">
        <x:f>IF(OR(E8880="CANCELED",E8880="SUSPECTED_FRAUD",F8880="Shipping canceled"),0,1)</x:f>
        <x:v>1</x:v>
      </x:c>
      <x:c r="K8880" s="6" t="n">
        <x:f>IF(G8880&gt;H8880,1,0)</x:f>
        <x:v>1</x:v>
      </x:c>
      <x:c r="L8880" s="6" t="n">
        <x:f>J8880*K8880</x:f>
        <x:v>1</x:v>
      </x:c>
    </x:row>
    <x:row r="8881">
      <x:c r="A8881" s="1" t="n">
        <x:v>71110</x:v>
      </x:c>
      <x:c r="B8881" s="5" t="d">
        <x:v>2017-11-04T00:00:00.000Z</x:v>
      </x:c>
      <x:c r="C8881" s="1" t="str">
        <x:v>Standard Class</x:v>
      </x:c>
      <x:c r="D8881" s="1" t="str">
        <x:v>Europe</x:v>
      </x:c>
      <x:c r="E8881" s="1" t="str">
        <x:v>COMPLETE</x:v>
      </x:c>
      <x:c r="F8881" s="1" t="str">
        <x:v>Late delivery</x:v>
      </x:c>
      <x:c r="G8881" s="6" t="n">
        <x:v>6</x:v>
      </x:c>
      <x:c r="H8881" s="6" t="n">
        <x:v>4</x:v>
      </x:c>
      <x:c r="I8881" s="6" t="n">
        <x:f>G8881-H8881</x:f>
        <x:v>2</x:v>
      </x:c>
      <x:c r="J8881" s="6" t="n">
        <x:f>IF(OR(E8881="CANCELED",E8881="SUSPECTED_FRAUD",F8881="Shipping canceled"),0,1)</x:f>
        <x:v>1</x:v>
      </x:c>
      <x:c r="K8881" s="6" t="n">
        <x:f>IF(G8881&gt;H8881,1,0)</x:f>
        <x:v>1</x:v>
      </x:c>
      <x:c r="L8881" s="6" t="n">
        <x:f>J8881*K8881</x:f>
        <x:v>1</x:v>
      </x:c>
    </x:row>
    <x:row r="8882">
      <x:c r="A8882" s="1" t="n">
        <x:v>71112</x:v>
      </x:c>
      <x:c r="B8882" s="5" t="d">
        <x:v>2017-11-04T00:00:00.000Z</x:v>
      </x:c>
      <x:c r="C8882" s="1" t="str">
        <x:v>Second Class</x:v>
      </x:c>
      <x:c r="D8882" s="1" t="str">
        <x:v>Europe</x:v>
      </x:c>
      <x:c r="E8882" s="1" t="str">
        <x:v>COMPLETE</x:v>
      </x:c>
      <x:c r="F8882" s="1" t="str">
        <x:v>Late delivery</x:v>
      </x:c>
      <x:c r="G8882" s="6" t="n">
        <x:v>3</x:v>
      </x:c>
      <x:c r="H8882" s="6" t="n">
        <x:v>2</x:v>
      </x:c>
      <x:c r="I8882" s="6" t="n">
        <x:f>G8882-H8882</x:f>
        <x:v>1</x:v>
      </x:c>
      <x:c r="J8882" s="6" t="n">
        <x:f>IF(OR(E8882="CANCELED",E8882="SUSPECTED_FRAUD",F8882="Shipping canceled"),0,1)</x:f>
        <x:v>1</x:v>
      </x:c>
      <x:c r="K8882" s="6" t="n">
        <x:f>IF(G8882&gt;H8882,1,0)</x:f>
        <x:v>1</x:v>
      </x:c>
      <x:c r="L8882" s="6" t="n">
        <x:f>J8882*K8882</x:f>
        <x:v>1</x:v>
      </x:c>
    </x:row>
    <x:row r="8883">
      <x:c r="A8883" s="1" t="n">
        <x:v>71123</x:v>
      </x:c>
      <x:c r="B8883" s="5" t="d">
        <x:v>2017-11-04T00:00:00.000Z</x:v>
      </x:c>
      <x:c r="C8883" s="1" t="str">
        <x:v>Second Class</x:v>
      </x:c>
      <x:c r="D8883" s="1" t="str">
        <x:v>Europe</x:v>
      </x:c>
      <x:c r="E8883" s="1" t="str">
        <x:v>COMPLETE</x:v>
      </x:c>
      <x:c r="F8883" s="1" t="str">
        <x:v>Late delivery</x:v>
      </x:c>
      <x:c r="G8883" s="6" t="n">
        <x:v>4</x:v>
      </x:c>
      <x:c r="H8883" s="6" t="n">
        <x:v>2</x:v>
      </x:c>
      <x:c r="I8883" s="6" t="n">
        <x:f>G8883-H8883</x:f>
        <x:v>2</x:v>
      </x:c>
      <x:c r="J8883" s="6" t="n">
        <x:f>IF(OR(E8883="CANCELED",E8883="SUSPECTED_FRAUD",F8883="Shipping canceled"),0,1)</x:f>
        <x:v>1</x:v>
      </x:c>
      <x:c r="K8883" s="6" t="n">
        <x:f>IF(G8883&gt;H8883,1,0)</x:f>
        <x:v>1</x:v>
      </x:c>
      <x:c r="L8883" s="6" t="n">
        <x:f>J8883*K8883</x:f>
        <x:v>1</x:v>
      </x:c>
    </x:row>
    <x:row r="8884">
      <x:c r="A8884" s="1" t="n">
        <x:v>71125</x:v>
      </x:c>
      <x:c r="B8884" s="5" t="d">
        <x:v>2017-11-04T00:00:00.000Z</x:v>
      </x:c>
      <x:c r="C8884" s="1" t="str">
        <x:v>Standard Class</x:v>
      </x:c>
      <x:c r="D8884" s="1" t="str">
        <x:v>Europe</x:v>
      </x:c>
      <x:c r="E8884" s="1" t="str">
        <x:v>COMPLETE</x:v>
      </x:c>
      <x:c r="F8884" s="1" t="str">
        <x:v>Late delivery</x:v>
      </x:c>
      <x:c r="G8884" s="6" t="n">
        <x:v>6</x:v>
      </x:c>
      <x:c r="H8884" s="6" t="n">
        <x:v>4</x:v>
      </x:c>
      <x:c r="I8884" s="6" t="n">
        <x:f>G8884-H8884</x:f>
        <x:v>2</x:v>
      </x:c>
      <x:c r="J8884" s="6" t="n">
        <x:f>IF(OR(E8884="CANCELED",E8884="SUSPECTED_FRAUD",F8884="Shipping canceled"),0,1)</x:f>
        <x:v>1</x:v>
      </x:c>
      <x:c r="K8884" s="6" t="n">
        <x:f>IF(G8884&gt;H8884,1,0)</x:f>
        <x:v>1</x:v>
      </x:c>
      <x:c r="L8884" s="6" t="n">
        <x:f>J8884*K8884</x:f>
        <x:v>1</x:v>
      </x:c>
    </x:row>
    <x:row r="8885">
      <x:c r="A8885" s="1" t="n">
        <x:v>71131</x:v>
      </x:c>
      <x:c r="B8885" s="5" t="d">
        <x:v>2017-11-04T00:00:00.000Z</x:v>
      </x:c>
      <x:c r="C8885" s="1" t="str">
        <x:v>Standard Class</x:v>
      </x:c>
      <x:c r="D8885" s="1" t="str">
        <x:v>Europe</x:v>
      </x:c>
      <x:c r="E8885" s="1" t="str">
        <x:v>PENDING_PAYMENT</x:v>
      </x:c>
      <x:c r="F8885" s="1" t="str">
        <x:v>Advance shipping</x:v>
      </x:c>
      <x:c r="G8885" s="6" t="n">
        <x:v>2</x:v>
      </x:c>
      <x:c r="H8885" s="6" t="n">
        <x:v>4</x:v>
      </x:c>
      <x:c r="I8885" s="6" t="n">
        <x:f>G8885-H8885</x:f>
        <x:v>-2</x:v>
      </x:c>
      <x:c r="J8885" s="6" t="n">
        <x:f>IF(OR(E8885="CANCELED",E8885="SUSPECTED_FRAUD",F8885="Shipping canceled"),0,1)</x:f>
        <x:v>1</x:v>
      </x:c>
      <x:c r="K8885" s="6" t="n">
        <x:f>IF(G8885&gt;H8885,1,0)</x:f>
        <x:v>0</x:v>
      </x:c>
      <x:c r="L8885" s="6" t="n">
        <x:f>J8885*K8885</x:f>
        <x:v>0</x:v>
      </x:c>
    </x:row>
    <x:row r="8886">
      <x:c r="A8886" s="1" t="n">
        <x:v>71160</x:v>
      </x:c>
      <x:c r="B8886" s="5" t="d">
        <x:v>2017-11-04T00:00:00.000Z</x:v>
      </x:c>
      <x:c r="C8886" s="1" t="str">
        <x:v>Standard Class</x:v>
      </x:c>
      <x:c r="D8886" s="1" t="str">
        <x:v>Europe</x:v>
      </x:c>
      <x:c r="E8886" s="1" t="str">
        <x:v>COMPLETE</x:v>
      </x:c>
      <x:c r="F8886" s="1" t="str">
        <x:v>Late delivery</x:v>
      </x:c>
      <x:c r="G8886" s="6" t="n">
        <x:v>6</x:v>
      </x:c>
      <x:c r="H8886" s="6" t="n">
        <x:v>4</x:v>
      </x:c>
      <x:c r="I8886" s="6" t="n">
        <x:f>G8886-H8886</x:f>
        <x:v>2</x:v>
      </x:c>
      <x:c r="J8886" s="6" t="n">
        <x:f>IF(OR(E8886="CANCELED",E8886="SUSPECTED_FRAUD",F8886="Shipping canceled"),0,1)</x:f>
        <x:v>1</x:v>
      </x:c>
      <x:c r="K8886" s="6" t="n">
        <x:f>IF(G8886&gt;H8886,1,0)</x:f>
        <x:v>1</x:v>
      </x:c>
      <x:c r="L8886" s="6" t="n">
        <x:f>J8886*K8886</x:f>
        <x:v>1</x:v>
      </x:c>
    </x:row>
    <x:row r="8887">
      <x:c r="A8887" s="1" t="n">
        <x:v>71164</x:v>
      </x:c>
      <x:c r="B8887" s="5" t="d">
        <x:v>2017-11-04T00:00:00.000Z</x:v>
      </x:c>
      <x:c r="C8887" s="1" t="str">
        <x:v>Standard Class</x:v>
      </x:c>
      <x:c r="D8887" s="1" t="str">
        <x:v>Europe</x:v>
      </x:c>
      <x:c r="E8887" s="1" t="str">
        <x:v>PENDING_PAYMENT</x:v>
      </x:c>
      <x:c r="F8887" s="1" t="str">
        <x:v>Late delivery</x:v>
      </x:c>
      <x:c r="G8887" s="6" t="n">
        <x:v>5</x:v>
      </x:c>
      <x:c r="H8887" s="6" t="n">
        <x:v>4</x:v>
      </x:c>
      <x:c r="I8887" s="6" t="n">
        <x:f>G8887-H8887</x:f>
        <x:v>1</x:v>
      </x:c>
      <x:c r="J8887" s="6" t="n">
        <x:f>IF(OR(E8887="CANCELED",E8887="SUSPECTED_FRAUD",F8887="Shipping canceled"),0,1)</x:f>
        <x:v>1</x:v>
      </x:c>
      <x:c r="K8887" s="6" t="n">
        <x:f>IF(G8887&gt;H8887,1,0)</x:f>
        <x:v>1</x:v>
      </x:c>
      <x:c r="L8887" s="6" t="n">
        <x:f>J8887*K8887</x:f>
        <x:v>1</x:v>
      </x:c>
    </x:row>
    <x:row r="8888">
      <x:c r="A8888" s="1" t="n">
        <x:v>71166</x:v>
      </x:c>
      <x:c r="B8888" s="5" t="d">
        <x:v>2017-11-04T00:00:00.000Z</x:v>
      </x:c>
      <x:c r="C8888" s="1" t="str">
        <x:v>Standard Class</x:v>
      </x:c>
      <x:c r="D8888" s="1" t="str">
        <x:v>Europe</x:v>
      </x:c>
      <x:c r="E8888" s="1" t="str">
        <x:v>PENDING</x:v>
      </x:c>
      <x:c r="F8888" s="1" t="str">
        <x:v>Advance shipping</x:v>
      </x:c>
      <x:c r="G8888" s="6" t="n">
        <x:v>2</x:v>
      </x:c>
      <x:c r="H8888" s="6" t="n">
        <x:v>4</x:v>
      </x:c>
      <x:c r="I8888" s="6" t="n">
        <x:f>G8888-H8888</x:f>
        <x:v>-2</x:v>
      </x:c>
      <x:c r="J8888" s="6" t="n">
        <x:f>IF(OR(E8888="CANCELED",E8888="SUSPECTED_FRAUD",F8888="Shipping canceled"),0,1)</x:f>
        <x:v>1</x:v>
      </x:c>
      <x:c r="K8888" s="6" t="n">
        <x:f>IF(G8888&gt;H8888,1,0)</x:f>
        <x:v>0</x:v>
      </x:c>
      <x:c r="L8888" s="6" t="n">
        <x:f>J8888*K8888</x:f>
        <x:v>0</x:v>
      </x:c>
    </x:row>
    <x:row r="8889">
      <x:c r="A8889" s="1" t="n">
        <x:v>71168</x:v>
      </x:c>
      <x:c r="B8889" s="5" t="d">
        <x:v>2017-11-04T00:00:00.000Z</x:v>
      </x:c>
      <x:c r="C8889" s="1" t="str">
        <x:v>Standard Class</x:v>
      </x:c>
      <x:c r="D8889" s="1" t="str">
        <x:v>Europe</x:v>
      </x:c>
      <x:c r="E8889" s="1" t="str">
        <x:v>COMPLETE</x:v>
      </x:c>
      <x:c r="F8889" s="1" t="str">
        <x:v>Shipping on time</x:v>
      </x:c>
      <x:c r="G8889" s="6" t="n">
        <x:v>4</x:v>
      </x:c>
      <x:c r="H8889" s="6" t="n">
        <x:v>4</x:v>
      </x:c>
      <x:c r="I8889" s="6" t="n">
        <x:f>G8889-H8889</x:f>
        <x:v>0</x:v>
      </x:c>
      <x:c r="J8889" s="6" t="n">
        <x:f>IF(OR(E8889="CANCELED",E8889="SUSPECTED_FRAUD",F8889="Shipping canceled"),0,1)</x:f>
        <x:v>1</x:v>
      </x:c>
      <x:c r="K8889" s="6" t="n">
        <x:f>IF(G8889&gt;H8889,1,0)</x:f>
        <x:v>0</x:v>
      </x:c>
      <x:c r="L8889" s="6" t="n">
        <x:f>J8889*K8889</x:f>
        <x:v>0</x:v>
      </x:c>
    </x:row>
    <x:row r="8890">
      <x:c r="A8890" s="1" t="n">
        <x:v>71183</x:v>
      </x:c>
      <x:c r="B8890" s="5" t="d">
        <x:v>2017-11-05T00:00:00.000Z</x:v>
      </x:c>
      <x:c r="C8890" s="1" t="str">
        <x:v>Standard Class</x:v>
      </x:c>
      <x:c r="D8890" s="1" t="str">
        <x:v>Europe</x:v>
      </x:c>
      <x:c r="E8890" s="1" t="str">
        <x:v>CLOSED</x:v>
      </x:c>
      <x:c r="F8890" s="1" t="str">
        <x:v>Shipping on time</x:v>
      </x:c>
      <x:c r="G8890" s="6" t="n">
        <x:v>4</x:v>
      </x:c>
      <x:c r="H8890" s="6" t="n">
        <x:v>4</x:v>
      </x:c>
      <x:c r="I8890" s="6" t="n">
        <x:f>G8890-H8890</x:f>
        <x:v>0</x:v>
      </x:c>
      <x:c r="J8890" s="6" t="n">
        <x:f>IF(OR(E8890="CANCELED",E8890="SUSPECTED_FRAUD",F8890="Shipping canceled"),0,1)</x:f>
        <x:v>1</x:v>
      </x:c>
      <x:c r="K8890" s="6" t="n">
        <x:f>IF(G8890&gt;H8890,1,0)</x:f>
        <x:v>0</x:v>
      </x:c>
      <x:c r="L8890" s="6" t="n">
        <x:f>J8890*K8890</x:f>
        <x:v>0</x:v>
      </x:c>
    </x:row>
    <x:row r="8891">
      <x:c r="A8891" s="1" t="n">
        <x:v>71189</x:v>
      </x:c>
      <x:c r="B8891" s="5" t="d">
        <x:v>2017-11-05T00:00:00.000Z</x:v>
      </x:c>
      <x:c r="C8891" s="1" t="str">
        <x:v>Standard Class</x:v>
      </x:c>
      <x:c r="D8891" s="1" t="str">
        <x:v>Europe</x:v>
      </x:c>
      <x:c r="E8891" s="1" t="str">
        <x:v>PENDING_PAYMENT</x:v>
      </x:c>
      <x:c r="F8891" s="1" t="str">
        <x:v>Late delivery</x:v>
      </x:c>
      <x:c r="G8891" s="6" t="n">
        <x:v>5</x:v>
      </x:c>
      <x:c r="H8891" s="6" t="n">
        <x:v>4</x:v>
      </x:c>
      <x:c r="I8891" s="6" t="n">
        <x:f>G8891-H8891</x:f>
        <x:v>1</x:v>
      </x:c>
      <x:c r="J8891" s="6" t="n">
        <x:f>IF(OR(E8891="CANCELED",E8891="SUSPECTED_FRAUD",F8891="Shipping canceled"),0,1)</x:f>
        <x:v>1</x:v>
      </x:c>
      <x:c r="K8891" s="6" t="n">
        <x:f>IF(G8891&gt;H8891,1,0)</x:f>
        <x:v>1</x:v>
      </x:c>
      <x:c r="L8891" s="6" t="n">
        <x:f>J8891*K8891</x:f>
        <x:v>1</x:v>
      </x:c>
    </x:row>
    <x:row r="8892">
      <x:c r="A8892" s="1" t="n">
        <x:v>71192</x:v>
      </x:c>
      <x:c r="B8892" s="5" t="d">
        <x:v>2017-11-05T00:00:00.000Z</x:v>
      </x:c>
      <x:c r="C8892" s="1" t="str">
        <x:v>First Class</x:v>
      </x:c>
      <x:c r="D8892" s="1" t="str">
        <x:v>Europe</x:v>
      </x:c>
      <x:c r="E8892" s="1" t="str">
        <x:v>CLOSED</x:v>
      </x:c>
      <x:c r="F8892" s="1" t="str">
        <x:v>Late delivery</x:v>
      </x:c>
      <x:c r="G8892" s="6" t="n">
        <x:v>2</x:v>
      </x:c>
      <x:c r="H8892" s="6" t="n">
        <x:v>1</x:v>
      </x:c>
      <x:c r="I8892" s="6" t="n">
        <x:f>G8892-H8892</x:f>
        <x:v>1</x:v>
      </x:c>
      <x:c r="J8892" s="6" t="n">
        <x:f>IF(OR(E8892="CANCELED",E8892="SUSPECTED_FRAUD",F8892="Shipping canceled"),0,1)</x:f>
        <x:v>1</x:v>
      </x:c>
      <x:c r="K8892" s="6" t="n">
        <x:f>IF(G8892&gt;H8892,1,0)</x:f>
        <x:v>1</x:v>
      </x:c>
      <x:c r="L8892" s="6" t="n">
        <x:f>J8892*K8892</x:f>
        <x:v>1</x:v>
      </x:c>
    </x:row>
    <x:row r="8893">
      <x:c r="A8893" s="1" t="n">
        <x:v>71193</x:v>
      </x:c>
      <x:c r="B8893" s="5" t="d">
        <x:v>2017-11-05T00:00:00.000Z</x:v>
      </x:c>
      <x:c r="C8893" s="1" t="str">
        <x:v>Standard Class</x:v>
      </x:c>
      <x:c r="D8893" s="1" t="str">
        <x:v>Europe</x:v>
      </x:c>
      <x:c r="E8893" s="1" t="str">
        <x:v>PROCESSING</x:v>
      </x:c>
      <x:c r="F8893" s="1" t="str">
        <x:v>Shipping on time</x:v>
      </x:c>
      <x:c r="G8893" s="6" t="n">
        <x:v>4</x:v>
      </x:c>
      <x:c r="H8893" s="6" t="n">
        <x:v>4</x:v>
      </x:c>
      <x:c r="I8893" s="6" t="n">
        <x:f>G8893-H8893</x:f>
        <x:v>0</x:v>
      </x:c>
      <x:c r="J8893" s="6" t="n">
        <x:f>IF(OR(E8893="CANCELED",E8893="SUSPECTED_FRAUD",F8893="Shipping canceled"),0,1)</x:f>
        <x:v>1</x:v>
      </x:c>
      <x:c r="K8893" s="6" t="n">
        <x:f>IF(G8893&gt;H8893,1,0)</x:f>
        <x:v>0</x:v>
      </x:c>
      <x:c r="L8893" s="6" t="n">
        <x:f>J8893*K8893</x:f>
        <x:v>0</x:v>
      </x:c>
    </x:row>
    <x:row r="8894">
      <x:c r="A8894" s="1" t="n">
        <x:v>71195</x:v>
      </x:c>
      <x:c r="B8894" s="5" t="d">
        <x:v>2017-11-05T00:00:00.000Z</x:v>
      </x:c>
      <x:c r="C8894" s="1" t="str">
        <x:v>Standard Class</x:v>
      </x:c>
      <x:c r="D8894" s="1" t="str">
        <x:v>Europe</x:v>
      </x:c>
      <x:c r="E8894" s="1" t="str">
        <x:v>PENDING_PAYMENT</x:v>
      </x:c>
      <x:c r="F8894" s="1" t="str">
        <x:v>Late delivery</x:v>
      </x:c>
      <x:c r="G8894" s="6" t="n">
        <x:v>6</x:v>
      </x:c>
      <x:c r="H8894" s="6" t="n">
        <x:v>4</x:v>
      </x:c>
      <x:c r="I8894" s="6" t="n">
        <x:f>G8894-H8894</x:f>
        <x:v>2</x:v>
      </x:c>
      <x:c r="J8894" s="6" t="n">
        <x:f>IF(OR(E8894="CANCELED",E8894="SUSPECTED_FRAUD",F8894="Shipping canceled"),0,1)</x:f>
        <x:v>1</x:v>
      </x:c>
      <x:c r="K8894" s="6" t="n">
        <x:f>IF(G8894&gt;H8894,1,0)</x:f>
        <x:v>1</x:v>
      </x:c>
      <x:c r="L8894" s="6" t="n">
        <x:f>J8894*K8894</x:f>
        <x:v>1</x:v>
      </x:c>
    </x:row>
    <x:row r="8895">
      <x:c r="A8895" s="1" t="n">
        <x:v>71215</x:v>
      </x:c>
      <x:c r="B8895" s="5" t="d">
        <x:v>2017-11-05T00:00:00.000Z</x:v>
      </x:c>
      <x:c r="C8895" s="1" t="str">
        <x:v>Second Class</x:v>
      </x:c>
      <x:c r="D8895" s="1" t="str">
        <x:v>Europe</x:v>
      </x:c>
      <x:c r="E8895" s="1" t="str">
        <x:v>ON_HOLD</x:v>
      </x:c>
      <x:c r="F8895" s="1" t="str">
        <x:v>Late delivery</x:v>
      </x:c>
      <x:c r="G8895" s="6" t="n">
        <x:v>6</x:v>
      </x:c>
      <x:c r="H8895" s="6" t="n">
        <x:v>2</x:v>
      </x:c>
      <x:c r="I8895" s="6" t="n">
        <x:f>G8895-H8895</x:f>
        <x:v>4</x:v>
      </x:c>
      <x:c r="J8895" s="6" t="n">
        <x:f>IF(OR(E8895="CANCELED",E8895="SUSPECTED_FRAUD",F8895="Shipping canceled"),0,1)</x:f>
        <x:v>1</x:v>
      </x:c>
      <x:c r="K8895" s="6" t="n">
        <x:f>IF(G8895&gt;H8895,1,0)</x:f>
        <x:v>1</x:v>
      </x:c>
      <x:c r="L8895" s="6" t="n">
        <x:f>J8895*K8895</x:f>
        <x:v>1</x:v>
      </x:c>
    </x:row>
    <x:row r="8896">
      <x:c r="A8896" s="1" t="n">
        <x:v>71217</x:v>
      </x:c>
      <x:c r="B8896" s="5" t="d">
        <x:v>2017-11-05T00:00:00.000Z</x:v>
      </x:c>
      <x:c r="C8896" s="1" t="str">
        <x:v>Second Class</x:v>
      </x:c>
      <x:c r="D8896" s="1" t="str">
        <x:v>Europe</x:v>
      </x:c>
      <x:c r="E8896" s="1" t="str">
        <x:v>COMPLETE</x:v>
      </x:c>
      <x:c r="F8896" s="1" t="str">
        <x:v>Late delivery</x:v>
      </x:c>
      <x:c r="G8896" s="6" t="n">
        <x:v>3</x:v>
      </x:c>
      <x:c r="H8896" s="6" t="n">
        <x:v>2</x:v>
      </x:c>
      <x:c r="I8896" s="6" t="n">
        <x:f>G8896-H8896</x:f>
        <x:v>1</x:v>
      </x:c>
      <x:c r="J8896" s="6" t="n">
        <x:f>IF(OR(E8896="CANCELED",E8896="SUSPECTED_FRAUD",F8896="Shipping canceled"),0,1)</x:f>
        <x:v>1</x:v>
      </x:c>
      <x:c r="K8896" s="6" t="n">
        <x:f>IF(G8896&gt;H8896,1,0)</x:f>
        <x:v>1</x:v>
      </x:c>
      <x:c r="L8896" s="6" t="n">
        <x:f>J8896*K8896</x:f>
        <x:v>1</x:v>
      </x:c>
    </x:row>
    <x:row r="8897">
      <x:c r="A8897" s="1" t="n">
        <x:v>71224</x:v>
      </x:c>
      <x:c r="B8897" s="5" t="d">
        <x:v>2017-11-05T00:00:00.000Z</x:v>
      </x:c>
      <x:c r="C8897" s="1" t="str">
        <x:v>Standard Class</x:v>
      </x:c>
      <x:c r="D8897" s="1" t="str">
        <x:v>Europe</x:v>
      </x:c>
      <x:c r="E8897" s="1" t="str">
        <x:v>COMPLETE</x:v>
      </x:c>
      <x:c r="F8897" s="1" t="str">
        <x:v>Late delivery</x:v>
      </x:c>
      <x:c r="G8897" s="6" t="n">
        <x:v>5</x:v>
      </x:c>
      <x:c r="H8897" s="6" t="n">
        <x:v>4</x:v>
      </x:c>
      <x:c r="I8897" s="6" t="n">
        <x:f>G8897-H8897</x:f>
        <x:v>1</x:v>
      </x:c>
      <x:c r="J8897" s="6" t="n">
        <x:f>IF(OR(E8897="CANCELED",E8897="SUSPECTED_FRAUD",F8897="Shipping canceled"),0,1)</x:f>
        <x:v>1</x:v>
      </x:c>
      <x:c r="K8897" s="6" t="n">
        <x:f>IF(G8897&gt;H8897,1,0)</x:f>
        <x:v>1</x:v>
      </x:c>
      <x:c r="L8897" s="6" t="n">
        <x:f>J8897*K8897</x:f>
        <x:v>1</x:v>
      </x:c>
    </x:row>
    <x:row r="8898">
      <x:c r="A8898" s="1" t="n">
        <x:v>71227</x:v>
      </x:c>
      <x:c r="B8898" s="5" t="d">
        <x:v>2017-11-05T00:00:00.000Z</x:v>
      </x:c>
      <x:c r="C8898" s="1" t="str">
        <x:v>Standard Class</x:v>
      </x:c>
      <x:c r="D8898" s="1" t="str">
        <x:v>Europe</x:v>
      </x:c>
      <x:c r="E8898" s="1" t="str">
        <x:v>COMPLETE</x:v>
      </x:c>
      <x:c r="F8898" s="1" t="str">
        <x:v>Advance shipping</x:v>
      </x:c>
      <x:c r="G8898" s="6" t="n">
        <x:v>3</x:v>
      </x:c>
      <x:c r="H8898" s="6" t="n">
        <x:v>4</x:v>
      </x:c>
      <x:c r="I8898" s="6" t="n">
        <x:f>G8898-H8898</x:f>
        <x:v>-1</x:v>
      </x:c>
      <x:c r="J8898" s="6" t="n">
        <x:f>IF(OR(E8898="CANCELED",E8898="SUSPECTED_FRAUD",F8898="Shipping canceled"),0,1)</x:f>
        <x:v>1</x:v>
      </x:c>
      <x:c r="K8898" s="6" t="n">
        <x:f>IF(G8898&gt;H8898,1,0)</x:f>
        <x:v>0</x:v>
      </x:c>
      <x:c r="L8898" s="6" t="n">
        <x:f>J8898*K8898</x:f>
        <x:v>0</x:v>
      </x:c>
    </x:row>
    <x:row r="8899">
      <x:c r="A8899" s="1" t="n">
        <x:v>71237</x:v>
      </x:c>
      <x:c r="B8899" s="5" t="d">
        <x:v>2017-11-05T00:00:00.000Z</x:v>
      </x:c>
      <x:c r="C8899" s="1" t="str">
        <x:v>Standard Class</x:v>
      </x:c>
      <x:c r="D8899" s="1" t="str">
        <x:v>Europe</x:v>
      </x:c>
      <x:c r="E8899" s="1" t="str">
        <x:v>COMPLETE</x:v>
      </x:c>
      <x:c r="F8899" s="1" t="str">
        <x:v>Advance shipping</x:v>
      </x:c>
      <x:c r="G8899" s="6" t="n">
        <x:v>3</x:v>
      </x:c>
      <x:c r="H8899" s="6" t="n">
        <x:v>4</x:v>
      </x:c>
      <x:c r="I8899" s="6" t="n">
        <x:f>G8899-H8899</x:f>
        <x:v>-1</x:v>
      </x:c>
      <x:c r="J8899" s="6" t="n">
        <x:f>IF(OR(E8899="CANCELED",E8899="SUSPECTED_FRAUD",F8899="Shipping canceled"),0,1)</x:f>
        <x:v>1</x:v>
      </x:c>
      <x:c r="K8899" s="6" t="n">
        <x:f>IF(G8899&gt;H8899,1,0)</x:f>
        <x:v>0</x:v>
      </x:c>
      <x:c r="L8899" s="6" t="n">
        <x:f>J8899*K8899</x:f>
        <x:v>0</x:v>
      </x:c>
    </x:row>
    <x:row r="8900">
      <x:c r="A8900" s="1" t="n">
        <x:v>71258</x:v>
      </x:c>
      <x:c r="B8900" s="5" t="d">
        <x:v>2017-11-06T00:00:00.000Z</x:v>
      </x:c>
      <x:c r="C8900" s="1" t="str">
        <x:v>First Class</x:v>
      </x:c>
      <x:c r="D8900" s="1" t="str">
        <x:v>Europe</x:v>
      </x:c>
      <x:c r="E8900" s="1" t="str">
        <x:v>PENDING_PAYMENT</x:v>
      </x:c>
      <x:c r="F8900" s="1" t="str">
        <x:v>Late delivery</x:v>
      </x:c>
      <x:c r="G8900" s="6" t="n">
        <x:v>2</x:v>
      </x:c>
      <x:c r="H8900" s="6" t="n">
        <x:v>1</x:v>
      </x:c>
      <x:c r="I8900" s="6" t="n">
        <x:f>G8900-H8900</x:f>
        <x:v>1</x:v>
      </x:c>
      <x:c r="J8900" s="6" t="n">
        <x:f>IF(OR(E8900="CANCELED",E8900="SUSPECTED_FRAUD",F8900="Shipping canceled"),0,1)</x:f>
        <x:v>1</x:v>
      </x:c>
      <x:c r="K8900" s="6" t="n">
        <x:f>IF(G8900&gt;H8900,1,0)</x:f>
        <x:v>1</x:v>
      </x:c>
      <x:c r="L8900" s="6" t="n">
        <x:f>J8900*K8900</x:f>
        <x:v>1</x:v>
      </x:c>
    </x:row>
    <x:row r="8901">
      <x:c r="A8901" s="1" t="n">
        <x:v>71262</x:v>
      </x:c>
      <x:c r="B8901" s="5" t="d">
        <x:v>2017-11-06T00:00:00.000Z</x:v>
      </x:c>
      <x:c r="C8901" s="1" t="str">
        <x:v>Second Class</x:v>
      </x:c>
      <x:c r="D8901" s="1" t="str">
        <x:v>Europe</x:v>
      </x:c>
      <x:c r="E8901" s="1" t="str">
        <x:v>CLOSED</x:v>
      </x:c>
      <x:c r="F8901" s="1" t="str">
        <x:v>Late delivery</x:v>
      </x:c>
      <x:c r="G8901" s="6" t="n">
        <x:v>3</x:v>
      </x:c>
      <x:c r="H8901" s="6" t="n">
        <x:v>2</x:v>
      </x:c>
      <x:c r="I8901" s="6" t="n">
        <x:f>G8901-H8901</x:f>
        <x:v>1</x:v>
      </x:c>
      <x:c r="J8901" s="6" t="n">
        <x:f>IF(OR(E8901="CANCELED",E8901="SUSPECTED_FRAUD",F8901="Shipping canceled"),0,1)</x:f>
        <x:v>1</x:v>
      </x:c>
      <x:c r="K8901" s="6" t="n">
        <x:f>IF(G8901&gt;H8901,1,0)</x:f>
        <x:v>1</x:v>
      </x:c>
      <x:c r="L8901" s="6" t="n">
        <x:f>J8901*K8901</x:f>
        <x:v>1</x:v>
      </x:c>
    </x:row>
    <x:row r="8902">
      <x:c r="A8902" s="1" t="n">
        <x:v>71264</x:v>
      </x:c>
      <x:c r="B8902" s="5" t="d">
        <x:v>2017-11-06T00:00:00.000Z</x:v>
      </x:c>
      <x:c r="C8902" s="1" t="str">
        <x:v>Standard Class</x:v>
      </x:c>
      <x:c r="D8902" s="1" t="str">
        <x:v>Europe</x:v>
      </x:c>
      <x:c r="E8902" s="1" t="str">
        <x:v>CLOSED</x:v>
      </x:c>
      <x:c r="F8902" s="1" t="str">
        <x:v>Late delivery</x:v>
      </x:c>
      <x:c r="G8902" s="6" t="n">
        <x:v>5</x:v>
      </x:c>
      <x:c r="H8902" s="6" t="n">
        <x:v>4</x:v>
      </x:c>
      <x:c r="I8902" s="6" t="n">
        <x:f>G8902-H8902</x:f>
        <x:v>1</x:v>
      </x:c>
      <x:c r="J8902" s="6" t="n">
        <x:f>IF(OR(E8902="CANCELED",E8902="SUSPECTED_FRAUD",F8902="Shipping canceled"),0,1)</x:f>
        <x:v>1</x:v>
      </x:c>
      <x:c r="K8902" s="6" t="n">
        <x:f>IF(G8902&gt;H8902,1,0)</x:f>
        <x:v>1</x:v>
      </x:c>
      <x:c r="L8902" s="6" t="n">
        <x:f>J8902*K8902</x:f>
        <x:v>1</x:v>
      </x:c>
    </x:row>
    <x:row r="8903">
      <x:c r="A8903" s="1" t="n">
        <x:v>71267</x:v>
      </x:c>
      <x:c r="B8903" s="5" t="d">
        <x:v>2017-11-06T00:00:00.000Z</x:v>
      </x:c>
      <x:c r="C8903" s="1" t="str">
        <x:v>Standard Class</x:v>
      </x:c>
      <x:c r="D8903" s="1" t="str">
        <x:v>Europe</x:v>
      </x:c>
      <x:c r="E8903" s="1" t="str">
        <x:v>COMPLETE</x:v>
      </x:c>
      <x:c r="F8903" s="1" t="str">
        <x:v>Advance shipping</x:v>
      </x:c>
      <x:c r="G8903" s="6" t="n">
        <x:v>3</x:v>
      </x:c>
      <x:c r="H8903" s="6" t="n">
        <x:v>4</x:v>
      </x:c>
      <x:c r="I8903" s="6" t="n">
        <x:f>G8903-H8903</x:f>
        <x:v>-1</x:v>
      </x:c>
      <x:c r="J8903" s="6" t="n">
        <x:f>IF(OR(E8903="CANCELED",E8903="SUSPECTED_FRAUD",F8903="Shipping canceled"),0,1)</x:f>
        <x:v>1</x:v>
      </x:c>
      <x:c r="K8903" s="6" t="n">
        <x:f>IF(G8903&gt;H8903,1,0)</x:f>
        <x:v>0</x:v>
      </x:c>
      <x:c r="L8903" s="6" t="n">
        <x:f>J8903*K8903</x:f>
        <x:v>0</x:v>
      </x:c>
    </x:row>
    <x:row r="8904">
      <x:c r="A8904" s="1" t="n">
        <x:v>71271</x:v>
      </x:c>
      <x:c r="B8904" s="5" t="d">
        <x:v>2017-11-06T00:00:00.000Z</x:v>
      </x:c>
      <x:c r="C8904" s="1" t="str">
        <x:v>Second Class</x:v>
      </x:c>
      <x:c r="D8904" s="1" t="str">
        <x:v>Europe</x:v>
      </x:c>
      <x:c r="E8904" s="1" t="str">
        <x:v>COMPLETE</x:v>
      </x:c>
      <x:c r="F8904" s="1" t="str">
        <x:v>Shipping on time</x:v>
      </x:c>
      <x:c r="G8904" s="6" t="n">
        <x:v>2</x:v>
      </x:c>
      <x:c r="H8904" s="6" t="n">
        <x:v>2</x:v>
      </x:c>
      <x:c r="I8904" s="6" t="n">
        <x:f>G8904-H8904</x:f>
        <x:v>0</x:v>
      </x:c>
      <x:c r="J8904" s="6" t="n">
        <x:f>IF(OR(E8904="CANCELED",E8904="SUSPECTED_FRAUD",F8904="Shipping canceled"),0,1)</x:f>
        <x:v>1</x:v>
      </x:c>
      <x:c r="K8904" s="6" t="n">
        <x:f>IF(G8904&gt;H8904,1,0)</x:f>
        <x:v>0</x:v>
      </x:c>
      <x:c r="L8904" s="6" t="n">
        <x:f>J8904*K8904</x:f>
        <x:v>0</x:v>
      </x:c>
    </x:row>
    <x:row r="8905">
      <x:c r="A8905" s="1" t="n">
        <x:v>71280</x:v>
      </x:c>
      <x:c r="B8905" s="5" t="d">
        <x:v>2017-11-06T00:00:00.000Z</x:v>
      </x:c>
      <x:c r="C8905" s="1" t="str">
        <x:v>Standard Class</x:v>
      </x:c>
      <x:c r="D8905" s="1" t="str">
        <x:v>Europe</x:v>
      </x:c>
      <x:c r="E8905" s="1" t="str">
        <x:v>PENDING</x:v>
      </x:c>
      <x:c r="F8905" s="1" t="str">
        <x:v>Late delivery</x:v>
      </x:c>
      <x:c r="G8905" s="6" t="n">
        <x:v>6</x:v>
      </x:c>
      <x:c r="H8905" s="6" t="n">
        <x:v>4</x:v>
      </x:c>
      <x:c r="I8905" s="6" t="n">
        <x:f>G8905-H8905</x:f>
        <x:v>2</x:v>
      </x:c>
      <x:c r="J8905" s="6" t="n">
        <x:f>IF(OR(E8905="CANCELED",E8905="SUSPECTED_FRAUD",F8905="Shipping canceled"),0,1)</x:f>
        <x:v>1</x:v>
      </x:c>
      <x:c r="K8905" s="6" t="n">
        <x:f>IF(G8905&gt;H8905,1,0)</x:f>
        <x:v>1</x:v>
      </x:c>
      <x:c r="L8905" s="6" t="n">
        <x:f>J8905*K8905</x:f>
        <x:v>1</x:v>
      </x:c>
    </x:row>
    <x:row r="8906">
      <x:c r="A8906" s="1" t="n">
        <x:v>71283</x:v>
      </x:c>
      <x:c r="B8906" s="5" t="d">
        <x:v>2017-11-06T00:00:00.000Z</x:v>
      </x:c>
      <x:c r="C8906" s="1" t="str">
        <x:v>Standard Class</x:v>
      </x:c>
      <x:c r="D8906" s="1" t="str">
        <x:v>Europe</x:v>
      </x:c>
      <x:c r="E8906" s="1" t="str">
        <x:v>COMPLETE</x:v>
      </x:c>
      <x:c r="F8906" s="1" t="str">
        <x:v>Shipping on time</x:v>
      </x:c>
      <x:c r="G8906" s="6" t="n">
        <x:v>4</x:v>
      </x:c>
      <x:c r="H8906" s="6" t="n">
        <x:v>4</x:v>
      </x:c>
      <x:c r="I8906" s="6" t="n">
        <x:f>G8906-H8906</x:f>
        <x:v>0</x:v>
      </x:c>
      <x:c r="J8906" s="6" t="n">
        <x:f>IF(OR(E8906="CANCELED",E8906="SUSPECTED_FRAUD",F8906="Shipping canceled"),0,1)</x:f>
        <x:v>1</x:v>
      </x:c>
      <x:c r="K8906" s="6" t="n">
        <x:f>IF(G8906&gt;H8906,1,0)</x:f>
        <x:v>0</x:v>
      </x:c>
      <x:c r="L8906" s="6" t="n">
        <x:f>J8906*K8906</x:f>
        <x:v>0</x:v>
      </x:c>
    </x:row>
    <x:row r="8907">
      <x:c r="A8907" s="1" t="n">
        <x:v>71291</x:v>
      </x:c>
      <x:c r="B8907" s="5" t="d">
        <x:v>2017-11-06T00:00:00.000Z</x:v>
      </x:c>
      <x:c r="C8907" s="1" t="str">
        <x:v>First Class</x:v>
      </x:c>
      <x:c r="D8907" s="1" t="str">
        <x:v>Europe</x:v>
      </x:c>
      <x:c r="E8907" s="1" t="str">
        <x:v>PROCESSING</x:v>
      </x:c>
      <x:c r="F8907" s="1" t="str">
        <x:v>Late delivery</x:v>
      </x:c>
      <x:c r="G8907" s="6" t="n">
        <x:v>2</x:v>
      </x:c>
      <x:c r="H8907" s="6" t="n">
        <x:v>1</x:v>
      </x:c>
      <x:c r="I8907" s="6" t="n">
        <x:f>G8907-H8907</x:f>
        <x:v>1</x:v>
      </x:c>
      <x:c r="J8907" s="6" t="n">
        <x:f>IF(OR(E8907="CANCELED",E8907="SUSPECTED_FRAUD",F8907="Shipping canceled"),0,1)</x:f>
        <x:v>1</x:v>
      </x:c>
      <x:c r="K8907" s="6" t="n">
        <x:f>IF(G8907&gt;H8907,1,0)</x:f>
        <x:v>1</x:v>
      </x:c>
      <x:c r="L8907" s="6" t="n">
        <x:f>J8907*K8907</x:f>
        <x:v>1</x:v>
      </x:c>
    </x:row>
    <x:row r="8908">
      <x:c r="A8908" s="1" t="n">
        <x:v>71293</x:v>
      </x:c>
      <x:c r="B8908" s="5" t="d">
        <x:v>2017-11-06T00:00:00.000Z</x:v>
      </x:c>
      <x:c r="C8908" s="1" t="str">
        <x:v>First Class</x:v>
      </x:c>
      <x:c r="D8908" s="1" t="str">
        <x:v>Europe</x:v>
      </x:c>
      <x:c r="E8908" s="1" t="str">
        <x:v>CANCELED</x:v>
      </x:c>
      <x:c r="F8908" s="1" t="str">
        <x:v>Shipping canceled</x:v>
      </x:c>
      <x:c r="G8908" s="6" t="n">
        <x:v>2</x:v>
      </x:c>
      <x:c r="H8908" s="6" t="n">
        <x:v>1</x:v>
      </x:c>
      <x:c r="I8908" s="6" t="n">
        <x:f>G8908-H8908</x:f>
        <x:v>1</x:v>
      </x:c>
      <x:c r="J8908" s="6" t="n">
        <x:f>IF(OR(E8908="CANCELED",E8908="SUSPECTED_FRAUD",F8908="Shipping canceled"),0,1)</x:f>
        <x:v>0</x:v>
      </x:c>
      <x:c r="K8908" s="6" t="n">
        <x:f>IF(G8908&gt;H8908,1,0)</x:f>
        <x:v>1</x:v>
      </x:c>
      <x:c r="L8908" s="6" t="n">
        <x:f>J8908*K8908</x:f>
        <x:v>0</x:v>
      </x:c>
    </x:row>
    <x:row r="8909">
      <x:c r="A8909" s="1" t="n">
        <x:v>71295</x:v>
      </x:c>
      <x:c r="B8909" s="5" t="d">
        <x:v>2017-11-06T00:00:00.000Z</x:v>
      </x:c>
      <x:c r="C8909" s="1" t="str">
        <x:v>Second Class</x:v>
      </x:c>
      <x:c r="D8909" s="1" t="str">
        <x:v>Europe</x:v>
      </x:c>
      <x:c r="E8909" s="1" t="str">
        <x:v>COMPLETE</x:v>
      </x:c>
      <x:c r="F8909" s="1" t="str">
        <x:v>Late delivery</x:v>
      </x:c>
      <x:c r="G8909" s="6" t="n">
        <x:v>6</x:v>
      </x:c>
      <x:c r="H8909" s="6" t="n">
        <x:v>2</x:v>
      </x:c>
      <x:c r="I8909" s="6" t="n">
        <x:f>G8909-H8909</x:f>
        <x:v>4</x:v>
      </x:c>
      <x:c r="J8909" s="6" t="n">
        <x:f>IF(OR(E8909="CANCELED",E8909="SUSPECTED_FRAUD",F8909="Shipping canceled"),0,1)</x:f>
        <x:v>1</x:v>
      </x:c>
      <x:c r="K8909" s="6" t="n">
        <x:f>IF(G8909&gt;H8909,1,0)</x:f>
        <x:v>1</x:v>
      </x:c>
      <x:c r="L8909" s="6" t="n">
        <x:f>J8909*K8909</x:f>
        <x:v>1</x:v>
      </x:c>
    </x:row>
    <x:row r="8910">
      <x:c r="A8910" s="1" t="n">
        <x:v>71302</x:v>
      </x:c>
      <x:c r="B8910" s="5" t="d">
        <x:v>2017-11-06T00:00:00.000Z</x:v>
      </x:c>
      <x:c r="C8910" s="1" t="str">
        <x:v>Standard Class</x:v>
      </x:c>
      <x:c r="D8910" s="1" t="str">
        <x:v>Europe</x:v>
      </x:c>
      <x:c r="E8910" s="1" t="str">
        <x:v>CLOSED</x:v>
      </x:c>
      <x:c r="F8910" s="1" t="str">
        <x:v>Advance shipping</x:v>
      </x:c>
      <x:c r="G8910" s="6" t="n">
        <x:v>3</x:v>
      </x:c>
      <x:c r="H8910" s="6" t="n">
        <x:v>4</x:v>
      </x:c>
      <x:c r="I8910" s="6" t="n">
        <x:f>G8910-H8910</x:f>
        <x:v>-1</x:v>
      </x:c>
      <x:c r="J8910" s="6" t="n">
        <x:f>IF(OR(E8910="CANCELED",E8910="SUSPECTED_FRAUD",F8910="Shipping canceled"),0,1)</x:f>
        <x:v>1</x:v>
      </x:c>
      <x:c r="K8910" s="6" t="n">
        <x:f>IF(G8910&gt;H8910,1,0)</x:f>
        <x:v>0</x:v>
      </x:c>
      <x:c r="L8910" s="6" t="n">
        <x:f>J8910*K8910</x:f>
        <x:v>0</x:v>
      </x:c>
    </x:row>
    <x:row r="8911">
      <x:c r="A8911" s="1" t="n">
        <x:v>71309</x:v>
      </x:c>
      <x:c r="B8911" s="5" t="d">
        <x:v>2017-11-06T00:00:00.000Z</x:v>
      </x:c>
      <x:c r="C8911" s="1" t="str">
        <x:v>Standard Class</x:v>
      </x:c>
      <x:c r="D8911" s="1" t="str">
        <x:v>Europe</x:v>
      </x:c>
      <x:c r="E8911" s="1" t="str">
        <x:v>CLOSED</x:v>
      </x:c>
      <x:c r="F8911" s="1" t="str">
        <x:v>Late delivery</x:v>
      </x:c>
      <x:c r="G8911" s="6" t="n">
        <x:v>5</x:v>
      </x:c>
      <x:c r="H8911" s="6" t="n">
        <x:v>4</x:v>
      </x:c>
      <x:c r="I8911" s="6" t="n">
        <x:f>G8911-H8911</x:f>
        <x:v>1</x:v>
      </x:c>
      <x:c r="J8911" s="6" t="n">
        <x:f>IF(OR(E8911="CANCELED",E8911="SUSPECTED_FRAUD",F8911="Shipping canceled"),0,1)</x:f>
        <x:v>1</x:v>
      </x:c>
      <x:c r="K8911" s="6" t="n">
        <x:f>IF(G8911&gt;H8911,1,0)</x:f>
        <x:v>1</x:v>
      </x:c>
      <x:c r="L8911" s="6" t="n">
        <x:f>J8911*K8911</x:f>
        <x:v>1</x:v>
      </x:c>
    </x:row>
    <x:row r="8912">
      <x:c r="A8912" s="1" t="n">
        <x:v>71333</x:v>
      </x:c>
      <x:c r="B8912" s="5" t="d">
        <x:v>2017-11-07T00:00:00.000Z</x:v>
      </x:c>
      <x:c r="C8912" s="1" t="str">
        <x:v>First Class</x:v>
      </x:c>
      <x:c r="D8912" s="1" t="str">
        <x:v>Europe</x:v>
      </x:c>
      <x:c r="E8912" s="1" t="str">
        <x:v>PENDING_PAYMENT</x:v>
      </x:c>
      <x:c r="F8912" s="1" t="str">
        <x:v>Late delivery</x:v>
      </x:c>
      <x:c r="G8912" s="6" t="n">
        <x:v>2</x:v>
      </x:c>
      <x:c r="H8912" s="6" t="n">
        <x:v>1</x:v>
      </x:c>
      <x:c r="I8912" s="6" t="n">
        <x:f>G8912-H8912</x:f>
        <x:v>1</x:v>
      </x:c>
      <x:c r="J8912" s="6" t="n">
        <x:f>IF(OR(E8912="CANCELED",E8912="SUSPECTED_FRAUD",F8912="Shipping canceled"),0,1)</x:f>
        <x:v>1</x:v>
      </x:c>
      <x:c r="K8912" s="6" t="n">
        <x:f>IF(G8912&gt;H8912,1,0)</x:f>
        <x:v>1</x:v>
      </x:c>
      <x:c r="L8912" s="6" t="n">
        <x:f>J8912*K8912</x:f>
        <x:v>1</x:v>
      </x:c>
    </x:row>
    <x:row r="8913">
      <x:c r="A8913" s="1" t="n">
        <x:v>71352</x:v>
      </x:c>
      <x:c r="B8913" s="5" t="d">
        <x:v>2017-11-07T00:00:00.000Z</x:v>
      </x:c>
      <x:c r="C8913" s="1" t="str">
        <x:v>Second Class</x:v>
      </x:c>
      <x:c r="D8913" s="1" t="str">
        <x:v>Europe</x:v>
      </x:c>
      <x:c r="E8913" s="1" t="str">
        <x:v>PROCESSING</x:v>
      </x:c>
      <x:c r="F8913" s="1" t="str">
        <x:v>Late delivery</x:v>
      </x:c>
      <x:c r="G8913" s="6" t="n">
        <x:v>3</x:v>
      </x:c>
      <x:c r="H8913" s="6" t="n">
        <x:v>2</x:v>
      </x:c>
      <x:c r="I8913" s="6" t="n">
        <x:f>G8913-H8913</x:f>
        <x:v>1</x:v>
      </x:c>
      <x:c r="J8913" s="6" t="n">
        <x:f>IF(OR(E8913="CANCELED",E8913="SUSPECTED_FRAUD",F8913="Shipping canceled"),0,1)</x:f>
        <x:v>1</x:v>
      </x:c>
      <x:c r="K8913" s="6" t="n">
        <x:f>IF(G8913&gt;H8913,1,0)</x:f>
        <x:v>1</x:v>
      </x:c>
      <x:c r="L8913" s="6" t="n">
        <x:f>J8913*K8913</x:f>
        <x:v>1</x:v>
      </x:c>
    </x:row>
    <x:row r="8914">
      <x:c r="A8914" s="1" t="n">
        <x:v>71362</x:v>
      </x:c>
      <x:c r="B8914" s="5" t="d">
        <x:v>2017-11-07T00:00:00.000Z</x:v>
      </x:c>
      <x:c r="C8914" s="1" t="str">
        <x:v>Second Class</x:v>
      </x:c>
      <x:c r="D8914" s="1" t="str">
        <x:v>Europe</x:v>
      </x:c>
      <x:c r="E8914" s="1" t="str">
        <x:v>COMPLETE</x:v>
      </x:c>
      <x:c r="F8914" s="1" t="str">
        <x:v>Late delivery</x:v>
      </x:c>
      <x:c r="G8914" s="6" t="n">
        <x:v>3</x:v>
      </x:c>
      <x:c r="H8914" s="6" t="n">
        <x:v>2</x:v>
      </x:c>
      <x:c r="I8914" s="6" t="n">
        <x:f>G8914-H8914</x:f>
        <x:v>1</x:v>
      </x:c>
      <x:c r="J8914" s="6" t="n">
        <x:f>IF(OR(E8914="CANCELED",E8914="SUSPECTED_FRAUD",F8914="Shipping canceled"),0,1)</x:f>
        <x:v>1</x:v>
      </x:c>
      <x:c r="K8914" s="6" t="n">
        <x:f>IF(G8914&gt;H8914,1,0)</x:f>
        <x:v>1</x:v>
      </x:c>
      <x:c r="L8914" s="6" t="n">
        <x:f>J8914*K8914</x:f>
        <x:v>1</x:v>
      </x:c>
    </x:row>
    <x:row r="8915">
      <x:c r="A8915" s="1" t="n">
        <x:v>71373</x:v>
      </x:c>
      <x:c r="B8915" s="5" t="d">
        <x:v>2017-11-07T00:00:00.000Z</x:v>
      </x:c>
      <x:c r="C8915" s="1" t="str">
        <x:v>Standard Class</x:v>
      </x:c>
      <x:c r="D8915" s="1" t="str">
        <x:v>Europe</x:v>
      </x:c>
      <x:c r="E8915" s="1" t="str">
        <x:v>COMPLETE</x:v>
      </x:c>
      <x:c r="F8915" s="1" t="str">
        <x:v>Shipping on time</x:v>
      </x:c>
      <x:c r="G8915" s="6" t="n">
        <x:v>4</x:v>
      </x:c>
      <x:c r="H8915" s="6" t="n">
        <x:v>4</x:v>
      </x:c>
      <x:c r="I8915" s="6" t="n">
        <x:f>G8915-H8915</x:f>
        <x:v>0</x:v>
      </x:c>
      <x:c r="J8915" s="6" t="n">
        <x:f>IF(OR(E8915="CANCELED",E8915="SUSPECTED_FRAUD",F8915="Shipping canceled"),0,1)</x:f>
        <x:v>1</x:v>
      </x:c>
      <x:c r="K8915" s="6" t="n">
        <x:f>IF(G8915&gt;H8915,1,0)</x:f>
        <x:v>0</x:v>
      </x:c>
      <x:c r="L8915" s="6" t="n">
        <x:f>J8915*K8915</x:f>
        <x:v>0</x:v>
      </x:c>
    </x:row>
    <x:row r="8916">
      <x:c r="A8916" s="1" t="n">
        <x:v>71376</x:v>
      </x:c>
      <x:c r="B8916" s="5" t="d">
        <x:v>2017-11-07T00:00:00.000Z</x:v>
      </x:c>
      <x:c r="C8916" s="1" t="str">
        <x:v>Standard Class</x:v>
      </x:c>
      <x:c r="D8916" s="1" t="str">
        <x:v>Europe</x:v>
      </x:c>
      <x:c r="E8916" s="1" t="str">
        <x:v>CLOSED</x:v>
      </x:c>
      <x:c r="F8916" s="1" t="str">
        <x:v>Advance shipping</x:v>
      </x:c>
      <x:c r="G8916" s="6" t="n">
        <x:v>2</x:v>
      </x:c>
      <x:c r="H8916" s="6" t="n">
        <x:v>4</x:v>
      </x:c>
      <x:c r="I8916" s="6" t="n">
        <x:f>G8916-H8916</x:f>
        <x:v>-2</x:v>
      </x:c>
      <x:c r="J8916" s="6" t="n">
        <x:f>IF(OR(E8916="CANCELED",E8916="SUSPECTED_FRAUD",F8916="Shipping canceled"),0,1)</x:f>
        <x:v>1</x:v>
      </x:c>
      <x:c r="K8916" s="6" t="n">
        <x:f>IF(G8916&gt;H8916,1,0)</x:f>
        <x:v>0</x:v>
      </x:c>
      <x:c r="L8916" s="6" t="n">
        <x:f>J8916*K8916</x:f>
        <x:v>0</x:v>
      </x:c>
    </x:row>
    <x:row r="8917">
      <x:c r="A8917" s="1" t="n">
        <x:v>71397</x:v>
      </x:c>
      <x:c r="B8917" s="5" t="d">
        <x:v>2017-11-08T00:00:00.000Z</x:v>
      </x:c>
      <x:c r="C8917" s="1" t="str">
        <x:v>Standard Class</x:v>
      </x:c>
      <x:c r="D8917" s="1" t="str">
        <x:v>Europe</x:v>
      </x:c>
      <x:c r="E8917" s="1" t="str">
        <x:v>COMPLETE</x:v>
      </x:c>
      <x:c r="F8917" s="1" t="str">
        <x:v>Advance shipping</x:v>
      </x:c>
      <x:c r="G8917" s="6" t="n">
        <x:v>3</x:v>
      </x:c>
      <x:c r="H8917" s="6" t="n">
        <x:v>4</x:v>
      </x:c>
      <x:c r="I8917" s="6" t="n">
        <x:f>G8917-H8917</x:f>
        <x:v>-1</x:v>
      </x:c>
      <x:c r="J8917" s="6" t="n">
        <x:f>IF(OR(E8917="CANCELED",E8917="SUSPECTED_FRAUD",F8917="Shipping canceled"),0,1)</x:f>
        <x:v>1</x:v>
      </x:c>
      <x:c r="K8917" s="6" t="n">
        <x:f>IF(G8917&gt;H8917,1,0)</x:f>
        <x:v>0</x:v>
      </x:c>
      <x:c r="L8917" s="6" t="n">
        <x:f>J8917*K8917</x:f>
        <x:v>0</x:v>
      </x:c>
    </x:row>
    <x:row r="8918">
      <x:c r="A8918" s="1" t="n">
        <x:v>71404</x:v>
      </x:c>
      <x:c r="B8918" s="5" t="d">
        <x:v>2017-11-08T00:00:00.000Z</x:v>
      </x:c>
      <x:c r="C8918" s="1" t="str">
        <x:v>Standard Class</x:v>
      </x:c>
      <x:c r="D8918" s="1" t="str">
        <x:v>Europe</x:v>
      </x:c>
      <x:c r="E8918" s="1" t="str">
        <x:v>COMPLETE</x:v>
      </x:c>
      <x:c r="F8918" s="1" t="str">
        <x:v>Late delivery</x:v>
      </x:c>
      <x:c r="G8918" s="6" t="n">
        <x:v>5</x:v>
      </x:c>
      <x:c r="H8918" s="6" t="n">
        <x:v>4</x:v>
      </x:c>
      <x:c r="I8918" s="6" t="n">
        <x:f>G8918-H8918</x:f>
        <x:v>1</x:v>
      </x:c>
      <x:c r="J8918" s="6" t="n">
        <x:f>IF(OR(E8918="CANCELED",E8918="SUSPECTED_FRAUD",F8918="Shipping canceled"),0,1)</x:f>
        <x:v>1</x:v>
      </x:c>
      <x:c r="K8918" s="6" t="n">
        <x:f>IF(G8918&gt;H8918,1,0)</x:f>
        <x:v>1</x:v>
      </x:c>
      <x:c r="L8918" s="6" t="n">
        <x:f>J8918*K8918</x:f>
        <x:v>1</x:v>
      </x:c>
    </x:row>
    <x:row r="8919">
      <x:c r="A8919" s="1" t="n">
        <x:v>71433</x:v>
      </x:c>
      <x:c r="B8919" s="5" t="d">
        <x:v>2017-11-08T00:00:00.000Z</x:v>
      </x:c>
      <x:c r="C8919" s="1" t="str">
        <x:v>First Class</x:v>
      </x:c>
      <x:c r="D8919" s="1" t="str">
        <x:v>Europe</x:v>
      </x:c>
      <x:c r="E8919" s="1" t="str">
        <x:v>CLOSED</x:v>
      </x:c>
      <x:c r="F8919" s="1" t="str">
        <x:v>Late delivery</x:v>
      </x:c>
      <x:c r="G8919" s="6" t="n">
        <x:v>2</x:v>
      </x:c>
      <x:c r="H8919" s="6" t="n">
        <x:v>1</x:v>
      </x:c>
      <x:c r="I8919" s="6" t="n">
        <x:f>G8919-H8919</x:f>
        <x:v>1</x:v>
      </x:c>
      <x:c r="J8919" s="6" t="n">
        <x:f>IF(OR(E8919="CANCELED",E8919="SUSPECTED_FRAUD",F8919="Shipping canceled"),0,1)</x:f>
        <x:v>1</x:v>
      </x:c>
      <x:c r="K8919" s="6" t="n">
        <x:f>IF(G8919&gt;H8919,1,0)</x:f>
        <x:v>1</x:v>
      </x:c>
      <x:c r="L8919" s="6" t="n">
        <x:f>J8919*K8919</x:f>
        <x:v>1</x:v>
      </x:c>
    </x:row>
    <x:row r="8920">
      <x:c r="A8920" s="1" t="n">
        <x:v>71443</x:v>
      </x:c>
      <x:c r="B8920" s="5" t="d">
        <x:v>2017-11-08T00:00:00.000Z</x:v>
      </x:c>
      <x:c r="C8920" s="1" t="str">
        <x:v>Standard Class</x:v>
      </x:c>
      <x:c r="D8920" s="1" t="str">
        <x:v>Europe</x:v>
      </x:c>
      <x:c r="E8920" s="1" t="str">
        <x:v>COMPLETE</x:v>
      </x:c>
      <x:c r="F8920" s="1" t="str">
        <x:v>Shipping on time</x:v>
      </x:c>
      <x:c r="G8920" s="6" t="n">
        <x:v>4</x:v>
      </x:c>
      <x:c r="H8920" s="6" t="n">
        <x:v>4</x:v>
      </x:c>
      <x:c r="I8920" s="6" t="n">
        <x:f>G8920-H8920</x:f>
        <x:v>0</x:v>
      </x:c>
      <x:c r="J8920" s="6" t="n">
        <x:f>IF(OR(E8920="CANCELED",E8920="SUSPECTED_FRAUD",F8920="Shipping canceled"),0,1)</x:f>
        <x:v>1</x:v>
      </x:c>
      <x:c r="K8920" s="6" t="n">
        <x:f>IF(G8920&gt;H8920,1,0)</x:f>
        <x:v>0</x:v>
      </x:c>
      <x:c r="L8920" s="6" t="n">
        <x:f>J8920*K8920</x:f>
        <x:v>0</x:v>
      </x:c>
    </x:row>
    <x:row r="8921">
      <x:c r="A8921" s="1" t="n">
        <x:v>71450</x:v>
      </x:c>
      <x:c r="B8921" s="5" t="d">
        <x:v>2017-11-08T00:00:00.000Z</x:v>
      </x:c>
      <x:c r="C8921" s="1" t="str">
        <x:v>Second Class</x:v>
      </x:c>
      <x:c r="D8921" s="1" t="str">
        <x:v>Europe</x:v>
      </x:c>
      <x:c r="E8921" s="1" t="str">
        <x:v>COMPLETE</x:v>
      </x:c>
      <x:c r="F8921" s="1" t="str">
        <x:v>Late delivery</x:v>
      </x:c>
      <x:c r="G8921" s="6" t="n">
        <x:v>6</x:v>
      </x:c>
      <x:c r="H8921" s="6" t="n">
        <x:v>2</x:v>
      </x:c>
      <x:c r="I8921" s="6" t="n">
        <x:f>G8921-H8921</x:f>
        <x:v>4</x:v>
      </x:c>
      <x:c r="J8921" s="6" t="n">
        <x:f>IF(OR(E8921="CANCELED",E8921="SUSPECTED_FRAUD",F8921="Shipping canceled"),0,1)</x:f>
        <x:v>1</x:v>
      </x:c>
      <x:c r="K8921" s="6" t="n">
        <x:f>IF(G8921&gt;H8921,1,0)</x:f>
        <x:v>1</x:v>
      </x:c>
      <x:c r="L8921" s="6" t="n">
        <x:f>J8921*K8921</x:f>
        <x:v>1</x:v>
      </x:c>
    </x:row>
    <x:row r="8922">
      <x:c r="A8922" s="1" t="n">
        <x:v>71452</x:v>
      </x:c>
      <x:c r="B8922" s="5" t="d">
        <x:v>2017-11-09T00:00:00.000Z</x:v>
      </x:c>
      <x:c r="C8922" s="1" t="str">
        <x:v>Standard Class</x:v>
      </x:c>
      <x:c r="D8922" s="1" t="str">
        <x:v>Europe</x:v>
      </x:c>
      <x:c r="E8922" s="1" t="str">
        <x:v>COMPLETE</x:v>
      </x:c>
      <x:c r="F8922" s="1" t="str">
        <x:v>Advance shipping</x:v>
      </x:c>
      <x:c r="G8922" s="6" t="n">
        <x:v>3</x:v>
      </x:c>
      <x:c r="H8922" s="6" t="n">
        <x:v>4</x:v>
      </x:c>
      <x:c r="I8922" s="6" t="n">
        <x:f>G8922-H8922</x:f>
        <x:v>-1</x:v>
      </x:c>
      <x:c r="J8922" s="6" t="n">
        <x:f>IF(OR(E8922="CANCELED",E8922="SUSPECTED_FRAUD",F8922="Shipping canceled"),0,1)</x:f>
        <x:v>1</x:v>
      </x:c>
      <x:c r="K8922" s="6" t="n">
        <x:f>IF(G8922&gt;H8922,1,0)</x:f>
        <x:v>0</x:v>
      </x:c>
      <x:c r="L8922" s="6" t="n">
        <x:f>J8922*K8922</x:f>
        <x:v>0</x:v>
      </x:c>
    </x:row>
    <x:row r="8923">
      <x:c r="A8923" s="1" t="n">
        <x:v>71459</x:v>
      </x:c>
      <x:c r="B8923" s="5" t="d">
        <x:v>2017-11-09T00:00:00.000Z</x:v>
      </x:c>
      <x:c r="C8923" s="1" t="str">
        <x:v>Standard Class</x:v>
      </x:c>
      <x:c r="D8923" s="1" t="str">
        <x:v>Europe</x:v>
      </x:c>
      <x:c r="E8923" s="1" t="str">
        <x:v>PENDING</x:v>
      </x:c>
      <x:c r="F8923" s="1" t="str">
        <x:v>Late delivery</x:v>
      </x:c>
      <x:c r="G8923" s="6" t="n">
        <x:v>5</x:v>
      </x:c>
      <x:c r="H8923" s="6" t="n">
        <x:v>4</x:v>
      </x:c>
      <x:c r="I8923" s="6" t="n">
        <x:f>G8923-H8923</x:f>
        <x:v>1</x:v>
      </x:c>
      <x:c r="J8923" s="6" t="n">
        <x:f>IF(OR(E8923="CANCELED",E8923="SUSPECTED_FRAUD",F8923="Shipping canceled"),0,1)</x:f>
        <x:v>1</x:v>
      </x:c>
      <x:c r="K8923" s="6" t="n">
        <x:f>IF(G8923&gt;H8923,1,0)</x:f>
        <x:v>1</x:v>
      </x:c>
      <x:c r="L8923" s="6" t="n">
        <x:f>J8923*K8923</x:f>
        <x:v>1</x:v>
      </x:c>
    </x:row>
    <x:row r="8924">
      <x:c r="A8924" s="1" t="n">
        <x:v>71466</x:v>
      </x:c>
      <x:c r="B8924" s="5" t="d">
        <x:v>2017-11-09T00:00:00.000Z</x:v>
      </x:c>
      <x:c r="C8924" s="1" t="str">
        <x:v>First Class</x:v>
      </x:c>
      <x:c r="D8924" s="1" t="str">
        <x:v>Europe</x:v>
      </x:c>
      <x:c r="E8924" s="1" t="str">
        <x:v>CLOSED</x:v>
      </x:c>
      <x:c r="F8924" s="1" t="str">
        <x:v>Late delivery</x:v>
      </x:c>
      <x:c r="G8924" s="6" t="n">
        <x:v>2</x:v>
      </x:c>
      <x:c r="H8924" s="6" t="n">
        <x:v>1</x:v>
      </x:c>
      <x:c r="I8924" s="6" t="n">
        <x:f>G8924-H8924</x:f>
        <x:v>1</x:v>
      </x:c>
      <x:c r="J8924" s="6" t="n">
        <x:f>IF(OR(E8924="CANCELED",E8924="SUSPECTED_FRAUD",F8924="Shipping canceled"),0,1)</x:f>
        <x:v>1</x:v>
      </x:c>
      <x:c r="K8924" s="6" t="n">
        <x:f>IF(G8924&gt;H8924,1,0)</x:f>
        <x:v>1</x:v>
      </x:c>
      <x:c r="L8924" s="6" t="n">
        <x:f>J8924*K8924</x:f>
        <x:v>1</x:v>
      </x:c>
    </x:row>
    <x:row r="8925">
      <x:c r="A8925" s="1" t="n">
        <x:v>71469</x:v>
      </x:c>
      <x:c r="B8925" s="5" t="d">
        <x:v>2017-11-09T00:00:00.000Z</x:v>
      </x:c>
      <x:c r="C8925" s="1" t="str">
        <x:v>Second Class</x:v>
      </x:c>
      <x:c r="D8925" s="1" t="str">
        <x:v>Europe</x:v>
      </x:c>
      <x:c r="E8925" s="1" t="str">
        <x:v>CANCELED</x:v>
      </x:c>
      <x:c r="F8925" s="1" t="str">
        <x:v>Shipping canceled</x:v>
      </x:c>
      <x:c r="G8925" s="6" t="n">
        <x:v>5</x:v>
      </x:c>
      <x:c r="H8925" s="6" t="n">
        <x:v>2</x:v>
      </x:c>
      <x:c r="I8925" s="6" t="n">
        <x:f>G8925-H8925</x:f>
        <x:v>3</x:v>
      </x:c>
      <x:c r="J8925" s="6" t="n">
        <x:f>IF(OR(E8925="CANCELED",E8925="SUSPECTED_FRAUD",F8925="Shipping canceled"),0,1)</x:f>
        <x:v>0</x:v>
      </x:c>
      <x:c r="K8925" s="6" t="n">
        <x:f>IF(G8925&gt;H8925,1,0)</x:f>
        <x:v>1</x:v>
      </x:c>
      <x:c r="L8925" s="6" t="n">
        <x:f>J8925*K8925</x:f>
        <x:v>0</x:v>
      </x:c>
    </x:row>
    <x:row r="8926">
      <x:c r="A8926" s="1" t="n">
        <x:v>71471</x:v>
      </x:c>
      <x:c r="B8926" s="5" t="d">
        <x:v>2017-11-09T00:00:00.000Z</x:v>
      </x:c>
      <x:c r="C8926" s="1" t="str">
        <x:v>Second Class</x:v>
      </x:c>
      <x:c r="D8926" s="1" t="str">
        <x:v>Europe</x:v>
      </x:c>
      <x:c r="E8926" s="1" t="str">
        <x:v>COMPLETE</x:v>
      </x:c>
      <x:c r="F8926" s="1" t="str">
        <x:v>Shipping on time</x:v>
      </x:c>
      <x:c r="G8926" s="6" t="n">
        <x:v>2</x:v>
      </x:c>
      <x:c r="H8926" s="6" t="n">
        <x:v>2</x:v>
      </x:c>
      <x:c r="I8926" s="6" t="n">
        <x:f>G8926-H8926</x:f>
        <x:v>0</x:v>
      </x:c>
      <x:c r="J8926" s="6" t="n">
        <x:f>IF(OR(E8926="CANCELED",E8926="SUSPECTED_FRAUD",F8926="Shipping canceled"),0,1)</x:f>
        <x:v>1</x:v>
      </x:c>
      <x:c r="K8926" s="6" t="n">
        <x:f>IF(G8926&gt;H8926,1,0)</x:f>
        <x:v>0</x:v>
      </x:c>
      <x:c r="L8926" s="6" t="n">
        <x:f>J8926*K8926</x:f>
        <x:v>0</x:v>
      </x:c>
    </x:row>
    <x:row r="8927">
      <x:c r="A8927" s="1" t="n">
        <x:v>71473</x:v>
      </x:c>
      <x:c r="B8927" s="5" t="d">
        <x:v>2017-11-09T00:00:00.000Z</x:v>
      </x:c>
      <x:c r="C8927" s="1" t="str">
        <x:v>Second Class</x:v>
      </x:c>
      <x:c r="D8927" s="1" t="str">
        <x:v>Europe</x:v>
      </x:c>
      <x:c r="E8927" s="1" t="str">
        <x:v>COMPLETE</x:v>
      </x:c>
      <x:c r="F8927" s="1" t="str">
        <x:v>Late delivery</x:v>
      </x:c>
      <x:c r="G8927" s="6" t="n">
        <x:v>4</x:v>
      </x:c>
      <x:c r="H8927" s="6" t="n">
        <x:v>2</x:v>
      </x:c>
      <x:c r="I8927" s="6" t="n">
        <x:f>G8927-H8927</x:f>
        <x:v>2</x:v>
      </x:c>
      <x:c r="J8927" s="6" t="n">
        <x:f>IF(OR(E8927="CANCELED",E8927="SUSPECTED_FRAUD",F8927="Shipping canceled"),0,1)</x:f>
        <x:v>1</x:v>
      </x:c>
      <x:c r="K8927" s="6" t="n">
        <x:f>IF(G8927&gt;H8927,1,0)</x:f>
        <x:v>1</x:v>
      </x:c>
      <x:c r="L8927" s="6" t="n">
        <x:f>J8927*K8927</x:f>
        <x:v>1</x:v>
      </x:c>
    </x:row>
    <x:row r="8928">
      <x:c r="A8928" s="1" t="n">
        <x:v>71492</x:v>
      </x:c>
      <x:c r="B8928" s="5" t="d">
        <x:v>2017-11-09T00:00:00.000Z</x:v>
      </x:c>
      <x:c r="C8928" s="1" t="str">
        <x:v>Standard Class</x:v>
      </x:c>
      <x:c r="D8928" s="1" t="str">
        <x:v>Europe</x:v>
      </x:c>
      <x:c r="E8928" s="1" t="str">
        <x:v>COMPLETE</x:v>
      </x:c>
      <x:c r="F8928" s="1" t="str">
        <x:v>Advance shipping</x:v>
      </x:c>
      <x:c r="G8928" s="6" t="n">
        <x:v>3</x:v>
      </x:c>
      <x:c r="H8928" s="6" t="n">
        <x:v>4</x:v>
      </x:c>
      <x:c r="I8928" s="6" t="n">
        <x:f>G8928-H8928</x:f>
        <x:v>-1</x:v>
      </x:c>
      <x:c r="J8928" s="6" t="n">
        <x:f>IF(OR(E8928="CANCELED",E8928="SUSPECTED_FRAUD",F8928="Shipping canceled"),0,1)</x:f>
        <x:v>1</x:v>
      </x:c>
      <x:c r="K8928" s="6" t="n">
        <x:f>IF(G8928&gt;H8928,1,0)</x:f>
        <x:v>0</x:v>
      </x:c>
      <x:c r="L8928" s="6" t="n">
        <x:f>J8928*K8928</x:f>
        <x:v>0</x:v>
      </x:c>
    </x:row>
    <x:row r="8929">
      <x:c r="A8929" s="1" t="n">
        <x:v>71499</x:v>
      </x:c>
      <x:c r="B8929" s="5" t="d">
        <x:v>2017-11-09T00:00:00.000Z</x:v>
      </x:c>
      <x:c r="C8929" s="1" t="str">
        <x:v>Standard Class</x:v>
      </x:c>
      <x:c r="D8929" s="1" t="str">
        <x:v>Europe</x:v>
      </x:c>
      <x:c r="E8929" s="1" t="str">
        <x:v>PENDING_PAYMENT</x:v>
      </x:c>
      <x:c r="F8929" s="1" t="str">
        <x:v>Late delivery</x:v>
      </x:c>
      <x:c r="G8929" s="6" t="n">
        <x:v>5</x:v>
      </x:c>
      <x:c r="H8929" s="6" t="n">
        <x:v>4</x:v>
      </x:c>
      <x:c r="I8929" s="6" t="n">
        <x:f>G8929-H8929</x:f>
        <x:v>1</x:v>
      </x:c>
      <x:c r="J8929" s="6" t="n">
        <x:f>IF(OR(E8929="CANCELED",E8929="SUSPECTED_FRAUD",F8929="Shipping canceled"),0,1)</x:f>
        <x:v>1</x:v>
      </x:c>
      <x:c r="K8929" s="6" t="n">
        <x:f>IF(G8929&gt;H8929,1,0)</x:f>
        <x:v>1</x:v>
      </x:c>
      <x:c r="L8929" s="6" t="n">
        <x:f>J8929*K8929</x:f>
        <x:v>1</x:v>
      </x:c>
    </x:row>
    <x:row r="8930">
      <x:c r="A8930" s="1" t="n">
        <x:v>71510</x:v>
      </x:c>
      <x:c r="B8930" s="5" t="d">
        <x:v>2017-11-09T00:00:00.000Z</x:v>
      </x:c>
      <x:c r="C8930" s="1" t="str">
        <x:v>Same Day</x:v>
      </x:c>
      <x:c r="D8930" s="1" t="str">
        <x:v>Europe</x:v>
      </x:c>
      <x:c r="E8930" s="1" t="str">
        <x:v>SUSPECTED_FRAUD</x:v>
      </x:c>
      <x:c r="F8930" s="1" t="str">
        <x:v>Shipping canceled</x:v>
      </x:c>
      <x:c r="G8930" s="6" t="n">
        <x:v>1</x:v>
      </x:c>
      <x:c r="H8930" s="6" t="n">
        <x:v>0</x:v>
      </x:c>
      <x:c r="I8930" s="6" t="n">
        <x:f>G8930-H8930</x:f>
        <x:v>1</x:v>
      </x:c>
      <x:c r="J8930" s="6" t="n">
        <x:f>IF(OR(E8930="CANCELED",E8930="SUSPECTED_FRAUD",F8930="Shipping canceled"),0,1)</x:f>
        <x:v>0</x:v>
      </x:c>
      <x:c r="K8930" s="6" t="n">
        <x:f>IF(G8930&gt;H8930,1,0)</x:f>
        <x:v>1</x:v>
      </x:c>
      <x:c r="L8930" s="6" t="n">
        <x:f>J8930*K8930</x:f>
        <x:v>0</x:v>
      </x:c>
    </x:row>
    <x:row r="8931">
      <x:c r="A8931" s="1" t="n">
        <x:v>71515</x:v>
      </x:c>
      <x:c r="B8931" s="5" t="d">
        <x:v>2017-11-09T00:00:00.000Z</x:v>
      </x:c>
      <x:c r="C8931" s="1" t="str">
        <x:v>Second Class</x:v>
      </x:c>
      <x:c r="D8931" s="1" t="str">
        <x:v>Europe</x:v>
      </x:c>
      <x:c r="E8931" s="1" t="str">
        <x:v>COMPLETE</x:v>
      </x:c>
      <x:c r="F8931" s="1" t="str">
        <x:v>Late delivery</x:v>
      </x:c>
      <x:c r="G8931" s="6" t="n">
        <x:v>6</x:v>
      </x:c>
      <x:c r="H8931" s="6" t="n">
        <x:v>2</x:v>
      </x:c>
      <x:c r="I8931" s="6" t="n">
        <x:f>G8931-H8931</x:f>
        <x:v>4</x:v>
      </x:c>
      <x:c r="J8931" s="6" t="n">
        <x:f>IF(OR(E8931="CANCELED",E8931="SUSPECTED_FRAUD",F8931="Shipping canceled"),0,1)</x:f>
        <x:v>1</x:v>
      </x:c>
      <x:c r="K8931" s="6" t="n">
        <x:f>IF(G8931&gt;H8931,1,0)</x:f>
        <x:v>1</x:v>
      </x:c>
      <x:c r="L8931" s="6" t="n">
        <x:f>J8931*K8931</x:f>
        <x:v>1</x:v>
      </x:c>
    </x:row>
    <x:row r="8932">
      <x:c r="A8932" s="1" t="n">
        <x:v>71517</x:v>
      </x:c>
      <x:c r="B8932" s="5" t="d">
        <x:v>2017-11-09T00:00:00.000Z</x:v>
      </x:c>
      <x:c r="C8932" s="1" t="str">
        <x:v>Second Class</x:v>
      </x:c>
      <x:c r="D8932" s="1" t="str">
        <x:v>Europe</x:v>
      </x:c>
      <x:c r="E8932" s="1" t="str">
        <x:v>COMPLETE</x:v>
      </x:c>
      <x:c r="F8932" s="1" t="str">
        <x:v>Late delivery</x:v>
      </x:c>
      <x:c r="G8932" s="6" t="n">
        <x:v>3</x:v>
      </x:c>
      <x:c r="H8932" s="6" t="n">
        <x:v>2</x:v>
      </x:c>
      <x:c r="I8932" s="6" t="n">
        <x:f>G8932-H8932</x:f>
        <x:v>1</x:v>
      </x:c>
      <x:c r="J8932" s="6" t="n">
        <x:f>IF(OR(E8932="CANCELED",E8932="SUSPECTED_FRAUD",F8932="Shipping canceled"),0,1)</x:f>
        <x:v>1</x:v>
      </x:c>
      <x:c r="K8932" s="6" t="n">
        <x:f>IF(G8932&gt;H8932,1,0)</x:f>
        <x:v>1</x:v>
      </x:c>
      <x:c r="L8932" s="6" t="n">
        <x:f>J8932*K8932</x:f>
        <x:v>1</x:v>
      </x:c>
    </x:row>
    <x:row r="8933">
      <x:c r="A8933" s="1" t="n">
        <x:v>71521</x:v>
      </x:c>
      <x:c r="B8933" s="5" t="d">
        <x:v>2017-11-10T00:00:00.000Z</x:v>
      </x:c>
      <x:c r="C8933" s="1" t="str">
        <x:v>Standard Class</x:v>
      </x:c>
      <x:c r="D8933" s="1" t="str">
        <x:v>Europe</x:v>
      </x:c>
      <x:c r="E8933" s="1" t="str">
        <x:v>CLOSED</x:v>
      </x:c>
      <x:c r="F8933" s="1" t="str">
        <x:v>Advance shipping</x:v>
      </x:c>
      <x:c r="G8933" s="6" t="n">
        <x:v>2</x:v>
      </x:c>
      <x:c r="H8933" s="6" t="n">
        <x:v>4</x:v>
      </x:c>
      <x:c r="I8933" s="6" t="n">
        <x:f>G8933-H8933</x:f>
        <x:v>-2</x:v>
      </x:c>
      <x:c r="J8933" s="6" t="n">
        <x:f>IF(OR(E8933="CANCELED",E8933="SUSPECTED_FRAUD",F8933="Shipping canceled"),0,1)</x:f>
        <x:v>1</x:v>
      </x:c>
      <x:c r="K8933" s="6" t="n">
        <x:f>IF(G8933&gt;H8933,1,0)</x:f>
        <x:v>0</x:v>
      </x:c>
      <x:c r="L8933" s="6" t="n">
        <x:f>J8933*K8933</x:f>
        <x:v>0</x:v>
      </x:c>
    </x:row>
    <x:row r="8934">
      <x:c r="A8934" s="1" t="n">
        <x:v>71523</x:v>
      </x:c>
      <x:c r="B8934" s="5" t="d">
        <x:v>2017-11-10T00:00:00.000Z</x:v>
      </x:c>
      <x:c r="C8934" s="1" t="str">
        <x:v>Standard Class</x:v>
      </x:c>
      <x:c r="D8934" s="1" t="str">
        <x:v>Europe</x:v>
      </x:c>
      <x:c r="E8934" s="1" t="str">
        <x:v>PENDING</x:v>
      </x:c>
      <x:c r="F8934" s="1" t="str">
        <x:v>Shipping on time</x:v>
      </x:c>
      <x:c r="G8934" s="6" t="n">
        <x:v>4</x:v>
      </x:c>
      <x:c r="H8934" s="6" t="n">
        <x:v>4</x:v>
      </x:c>
      <x:c r="I8934" s="6" t="n">
        <x:f>G8934-H8934</x:f>
        <x:v>0</x:v>
      </x:c>
      <x:c r="J8934" s="6" t="n">
        <x:f>IF(OR(E8934="CANCELED",E8934="SUSPECTED_FRAUD",F8934="Shipping canceled"),0,1)</x:f>
        <x:v>1</x:v>
      </x:c>
      <x:c r="K8934" s="6" t="n">
        <x:f>IF(G8934&gt;H8934,1,0)</x:f>
        <x:v>0</x:v>
      </x:c>
      <x:c r="L8934" s="6" t="n">
        <x:f>J8934*K8934</x:f>
        <x:v>0</x:v>
      </x:c>
    </x:row>
    <x:row r="8935">
      <x:c r="A8935" s="1" t="n">
        <x:v>71528</x:v>
      </x:c>
      <x:c r="B8935" s="5" t="d">
        <x:v>2017-11-10T00:00:00.000Z</x:v>
      </x:c>
      <x:c r="C8935" s="1" t="str">
        <x:v>Standard Class</x:v>
      </x:c>
      <x:c r="D8935" s="1" t="str">
        <x:v>Europe</x:v>
      </x:c>
      <x:c r="E8935" s="1" t="str">
        <x:v>CLOSED</x:v>
      </x:c>
      <x:c r="F8935" s="1" t="str">
        <x:v>Shipping on time</x:v>
      </x:c>
      <x:c r="G8935" s="6" t="n">
        <x:v>4</x:v>
      </x:c>
      <x:c r="H8935" s="6" t="n">
        <x:v>4</x:v>
      </x:c>
      <x:c r="I8935" s="6" t="n">
        <x:f>G8935-H8935</x:f>
        <x:v>0</x:v>
      </x:c>
      <x:c r="J8935" s="6" t="n">
        <x:f>IF(OR(E8935="CANCELED",E8935="SUSPECTED_FRAUD",F8935="Shipping canceled"),0,1)</x:f>
        <x:v>1</x:v>
      </x:c>
      <x:c r="K8935" s="6" t="n">
        <x:f>IF(G8935&gt;H8935,1,0)</x:f>
        <x:v>0</x:v>
      </x:c>
      <x:c r="L8935" s="6" t="n">
        <x:f>J8935*K8935</x:f>
        <x:v>0</x:v>
      </x:c>
    </x:row>
    <x:row r="8936">
      <x:c r="A8936" s="1" t="n">
        <x:v>71533</x:v>
      </x:c>
      <x:c r="B8936" s="5" t="d">
        <x:v>2017-11-10T00:00:00.000Z</x:v>
      </x:c>
      <x:c r="C8936" s="1" t="str">
        <x:v>Second Class</x:v>
      </x:c>
      <x:c r="D8936" s="1" t="str">
        <x:v>Europe</x:v>
      </x:c>
      <x:c r="E8936" s="1" t="str">
        <x:v>COMPLETE</x:v>
      </x:c>
      <x:c r="F8936" s="1" t="str">
        <x:v>Late delivery</x:v>
      </x:c>
      <x:c r="G8936" s="6" t="n">
        <x:v>4</x:v>
      </x:c>
      <x:c r="H8936" s="6" t="n">
        <x:v>2</x:v>
      </x:c>
      <x:c r="I8936" s="6" t="n">
        <x:f>G8936-H8936</x:f>
        <x:v>2</x:v>
      </x:c>
      <x:c r="J8936" s="6" t="n">
        <x:f>IF(OR(E8936="CANCELED",E8936="SUSPECTED_FRAUD",F8936="Shipping canceled"),0,1)</x:f>
        <x:v>1</x:v>
      </x:c>
      <x:c r="K8936" s="6" t="n">
        <x:f>IF(G8936&gt;H8936,1,0)</x:f>
        <x:v>1</x:v>
      </x:c>
      <x:c r="L8936" s="6" t="n">
        <x:f>J8936*K8936</x:f>
        <x:v>1</x:v>
      </x:c>
    </x:row>
    <x:row r="8937">
      <x:c r="A8937" s="1" t="n">
        <x:v>71537</x:v>
      </x:c>
      <x:c r="B8937" s="5" t="d">
        <x:v>2017-11-10T00:00:00.000Z</x:v>
      </x:c>
      <x:c r="C8937" s="1" t="str">
        <x:v>Standard Class</x:v>
      </x:c>
      <x:c r="D8937" s="1" t="str">
        <x:v>Europe</x:v>
      </x:c>
      <x:c r="E8937" s="1" t="str">
        <x:v>CLOSED</x:v>
      </x:c>
      <x:c r="F8937" s="1" t="str">
        <x:v>Advance shipping</x:v>
      </x:c>
      <x:c r="G8937" s="6" t="n">
        <x:v>3</x:v>
      </x:c>
      <x:c r="H8937" s="6" t="n">
        <x:v>4</x:v>
      </x:c>
      <x:c r="I8937" s="6" t="n">
        <x:f>G8937-H8937</x:f>
        <x:v>-1</x:v>
      </x:c>
      <x:c r="J8937" s="6" t="n">
        <x:f>IF(OR(E8937="CANCELED",E8937="SUSPECTED_FRAUD",F8937="Shipping canceled"),0,1)</x:f>
        <x:v>1</x:v>
      </x:c>
      <x:c r="K8937" s="6" t="n">
        <x:f>IF(G8937&gt;H8937,1,0)</x:f>
        <x:v>0</x:v>
      </x:c>
      <x:c r="L8937" s="6" t="n">
        <x:f>J8937*K8937</x:f>
        <x:v>0</x:v>
      </x:c>
    </x:row>
    <x:row r="8938">
      <x:c r="A8938" s="1" t="n">
        <x:v>71539</x:v>
      </x:c>
      <x:c r="B8938" s="5" t="d">
        <x:v>2017-11-10T00:00:00.000Z</x:v>
      </x:c>
      <x:c r="C8938" s="1" t="str">
        <x:v>Standard Class</x:v>
      </x:c>
      <x:c r="D8938" s="1" t="str">
        <x:v>Europe</x:v>
      </x:c>
      <x:c r="E8938" s="1" t="str">
        <x:v>COMPLETE</x:v>
      </x:c>
      <x:c r="F8938" s="1" t="str">
        <x:v>Late delivery</x:v>
      </x:c>
      <x:c r="G8938" s="6" t="n">
        <x:v>5</x:v>
      </x:c>
      <x:c r="H8938" s="6" t="n">
        <x:v>4</x:v>
      </x:c>
      <x:c r="I8938" s="6" t="n">
        <x:f>G8938-H8938</x:f>
        <x:v>1</x:v>
      </x:c>
      <x:c r="J8938" s="6" t="n">
        <x:f>IF(OR(E8938="CANCELED",E8938="SUSPECTED_FRAUD",F8938="Shipping canceled"),0,1)</x:f>
        <x:v>1</x:v>
      </x:c>
      <x:c r="K8938" s="6" t="n">
        <x:f>IF(G8938&gt;H8938,1,0)</x:f>
        <x:v>1</x:v>
      </x:c>
      <x:c r="L8938" s="6" t="n">
        <x:f>J8938*K8938</x:f>
        <x:v>1</x:v>
      </x:c>
    </x:row>
    <x:row r="8939">
      <x:c r="A8939" s="1" t="n">
        <x:v>71548</x:v>
      </x:c>
      <x:c r="B8939" s="5" t="d">
        <x:v>2017-11-10T00:00:00.000Z</x:v>
      </x:c>
      <x:c r="C8939" s="1" t="str">
        <x:v>First Class</x:v>
      </x:c>
      <x:c r="D8939" s="1" t="str">
        <x:v>Europe</x:v>
      </x:c>
      <x:c r="E8939" s="1" t="str">
        <x:v>PROCESSING</x:v>
      </x:c>
      <x:c r="F8939" s="1" t="str">
        <x:v>Late delivery</x:v>
      </x:c>
      <x:c r="G8939" s="6" t="n">
        <x:v>2</x:v>
      </x:c>
      <x:c r="H8939" s="6" t="n">
        <x:v>1</x:v>
      </x:c>
      <x:c r="I8939" s="6" t="n">
        <x:f>G8939-H8939</x:f>
        <x:v>1</x:v>
      </x:c>
      <x:c r="J8939" s="6" t="n">
        <x:f>IF(OR(E8939="CANCELED",E8939="SUSPECTED_FRAUD",F8939="Shipping canceled"),0,1)</x:f>
        <x:v>1</x:v>
      </x:c>
      <x:c r="K8939" s="6" t="n">
        <x:f>IF(G8939&gt;H8939,1,0)</x:f>
        <x:v>1</x:v>
      </x:c>
      <x:c r="L8939" s="6" t="n">
        <x:f>J8939*K8939</x:f>
        <x:v>1</x:v>
      </x:c>
    </x:row>
    <x:row r="8940">
      <x:c r="A8940" s="1" t="n">
        <x:v>71557</x:v>
      </x:c>
      <x:c r="B8940" s="5" t="d">
        <x:v>2017-11-10T00:00:00.000Z</x:v>
      </x:c>
      <x:c r="C8940" s="1" t="str">
        <x:v>Standard Class</x:v>
      </x:c>
      <x:c r="D8940" s="1" t="str">
        <x:v>Europe</x:v>
      </x:c>
      <x:c r="E8940" s="1" t="str">
        <x:v>COMPLETE</x:v>
      </x:c>
      <x:c r="F8940" s="1" t="str">
        <x:v>Advance shipping</x:v>
      </x:c>
      <x:c r="G8940" s="6" t="n">
        <x:v>3</x:v>
      </x:c>
      <x:c r="H8940" s="6" t="n">
        <x:v>4</x:v>
      </x:c>
      <x:c r="I8940" s="6" t="n">
        <x:f>G8940-H8940</x:f>
        <x:v>-1</x:v>
      </x:c>
      <x:c r="J8940" s="6" t="n">
        <x:f>IF(OR(E8940="CANCELED",E8940="SUSPECTED_FRAUD",F8940="Shipping canceled"),0,1)</x:f>
        <x:v>1</x:v>
      </x:c>
      <x:c r="K8940" s="6" t="n">
        <x:f>IF(G8940&gt;H8940,1,0)</x:f>
        <x:v>0</x:v>
      </x:c>
      <x:c r="L8940" s="6" t="n">
        <x:f>J8940*K8940</x:f>
        <x:v>0</x:v>
      </x:c>
    </x:row>
    <x:row r="8941">
      <x:c r="A8941" s="1" t="n">
        <x:v>71560</x:v>
      </x:c>
      <x:c r="B8941" s="5" t="d">
        <x:v>2017-11-10T00:00:00.000Z</x:v>
      </x:c>
      <x:c r="C8941" s="1" t="str">
        <x:v>Standard Class</x:v>
      </x:c>
      <x:c r="D8941" s="1" t="str">
        <x:v>Europe</x:v>
      </x:c>
      <x:c r="E8941" s="1" t="str">
        <x:v>COMPLETE</x:v>
      </x:c>
      <x:c r="F8941" s="1" t="str">
        <x:v>Late delivery</x:v>
      </x:c>
      <x:c r="G8941" s="6" t="n">
        <x:v>6</x:v>
      </x:c>
      <x:c r="H8941" s="6" t="n">
        <x:v>4</x:v>
      </x:c>
      <x:c r="I8941" s="6" t="n">
        <x:f>G8941-H8941</x:f>
        <x:v>2</x:v>
      </x:c>
      <x:c r="J8941" s="6" t="n">
        <x:f>IF(OR(E8941="CANCELED",E8941="SUSPECTED_FRAUD",F8941="Shipping canceled"),0,1)</x:f>
        <x:v>1</x:v>
      </x:c>
      <x:c r="K8941" s="6" t="n">
        <x:f>IF(G8941&gt;H8941,1,0)</x:f>
        <x:v>1</x:v>
      </x:c>
      <x:c r="L8941" s="6" t="n">
        <x:f>J8941*K8941</x:f>
        <x:v>1</x:v>
      </x:c>
    </x:row>
    <x:row r="8942">
      <x:c r="A8942" s="1" t="n">
        <x:v>71572</x:v>
      </x:c>
      <x:c r="B8942" s="5" t="d">
        <x:v>2017-11-10T00:00:00.000Z</x:v>
      </x:c>
      <x:c r="C8942" s="1" t="str">
        <x:v>Standard Class</x:v>
      </x:c>
      <x:c r="D8942" s="1" t="str">
        <x:v>Europe</x:v>
      </x:c>
      <x:c r="E8942" s="1" t="str">
        <x:v>COMPLETE</x:v>
      </x:c>
      <x:c r="F8942" s="1" t="str">
        <x:v>Advance shipping</x:v>
      </x:c>
      <x:c r="G8942" s="6" t="n">
        <x:v>3</x:v>
      </x:c>
      <x:c r="H8942" s="6" t="n">
        <x:v>4</x:v>
      </x:c>
      <x:c r="I8942" s="6" t="n">
        <x:f>G8942-H8942</x:f>
        <x:v>-1</x:v>
      </x:c>
      <x:c r="J8942" s="6" t="n">
        <x:f>IF(OR(E8942="CANCELED",E8942="SUSPECTED_FRAUD",F8942="Shipping canceled"),0,1)</x:f>
        <x:v>1</x:v>
      </x:c>
      <x:c r="K8942" s="6" t="n">
        <x:f>IF(G8942&gt;H8942,1,0)</x:f>
        <x:v>0</x:v>
      </x:c>
      <x:c r="L8942" s="6" t="n">
        <x:f>J8942*K8942</x:f>
        <x:v>0</x:v>
      </x:c>
    </x:row>
    <x:row r="8943">
      <x:c r="A8943" s="1" t="n">
        <x:v>71592</x:v>
      </x:c>
      <x:c r="B8943" s="5" t="d">
        <x:v>2017-11-11T00:00:00.000Z</x:v>
      </x:c>
      <x:c r="C8943" s="1" t="str">
        <x:v>Standard Class</x:v>
      </x:c>
      <x:c r="D8943" s="1" t="str">
        <x:v>Pacific Asia</x:v>
      </x:c>
      <x:c r="E8943" s="1" t="str">
        <x:v>COMPLETE</x:v>
      </x:c>
      <x:c r="F8943" s="1" t="str">
        <x:v>Advance shipping</x:v>
      </x:c>
      <x:c r="G8943" s="6" t="n">
        <x:v>3</x:v>
      </x:c>
      <x:c r="H8943" s="6" t="n">
        <x:v>4</x:v>
      </x:c>
      <x:c r="I8943" s="6" t="n">
        <x:f>G8943-H8943</x:f>
        <x:v>-1</x:v>
      </x:c>
      <x:c r="J8943" s="6" t="n">
        <x:f>IF(OR(E8943="CANCELED",E8943="SUSPECTED_FRAUD",F8943="Shipping canceled"),0,1)</x:f>
        <x:v>1</x:v>
      </x:c>
      <x:c r="K8943" s="6" t="n">
        <x:f>IF(G8943&gt;H8943,1,0)</x:f>
        <x:v>0</x:v>
      </x:c>
      <x:c r="L8943" s="6" t="n">
        <x:f>J8943*K8943</x:f>
        <x:v>0</x:v>
      </x:c>
    </x:row>
    <x:row r="8944">
      <x:c r="A8944" s="1" t="n">
        <x:v>71594</x:v>
      </x:c>
      <x:c r="B8944" s="5" t="d">
        <x:v>2017-11-11T00:00:00.000Z</x:v>
      </x:c>
      <x:c r="C8944" s="1" t="str">
        <x:v>Standard Class</x:v>
      </x:c>
      <x:c r="D8944" s="1" t="str">
        <x:v>Pacific Asia</x:v>
      </x:c>
      <x:c r="E8944" s="1" t="str">
        <x:v>COMPLETE</x:v>
      </x:c>
      <x:c r="F8944" s="1" t="str">
        <x:v>Late delivery</x:v>
      </x:c>
      <x:c r="G8944" s="6" t="n">
        <x:v>5</x:v>
      </x:c>
      <x:c r="H8944" s="6" t="n">
        <x:v>4</x:v>
      </x:c>
      <x:c r="I8944" s="6" t="n">
        <x:f>G8944-H8944</x:f>
        <x:v>1</x:v>
      </x:c>
      <x:c r="J8944" s="6" t="n">
        <x:f>IF(OR(E8944="CANCELED",E8944="SUSPECTED_FRAUD",F8944="Shipping canceled"),0,1)</x:f>
        <x:v>1</x:v>
      </x:c>
      <x:c r="K8944" s="6" t="n">
        <x:f>IF(G8944&gt;H8944,1,0)</x:f>
        <x:v>1</x:v>
      </x:c>
      <x:c r="L8944" s="6" t="n">
        <x:f>J8944*K8944</x:f>
        <x:v>1</x:v>
      </x:c>
    </x:row>
    <x:row r="8945">
      <x:c r="A8945" s="1" t="n">
        <x:v>71602</x:v>
      </x:c>
      <x:c r="B8945" s="5" t="d">
        <x:v>2017-11-11T00:00:00.000Z</x:v>
      </x:c>
      <x:c r="C8945" s="1" t="str">
        <x:v>Standard Class</x:v>
      </x:c>
      <x:c r="D8945" s="1" t="str">
        <x:v>Pacific Asia</x:v>
      </x:c>
      <x:c r="E8945" s="1" t="str">
        <x:v>COMPLETE</x:v>
      </x:c>
      <x:c r="F8945" s="1" t="str">
        <x:v>Advance shipping</x:v>
      </x:c>
      <x:c r="G8945" s="6" t="n">
        <x:v>3</x:v>
      </x:c>
      <x:c r="H8945" s="6" t="n">
        <x:v>4</x:v>
      </x:c>
      <x:c r="I8945" s="6" t="n">
        <x:f>G8945-H8945</x:f>
        <x:v>-1</x:v>
      </x:c>
      <x:c r="J8945" s="6" t="n">
        <x:f>IF(OR(E8945="CANCELED",E8945="SUSPECTED_FRAUD",F8945="Shipping canceled"),0,1)</x:f>
        <x:v>1</x:v>
      </x:c>
      <x:c r="K8945" s="6" t="n">
        <x:f>IF(G8945&gt;H8945,1,0)</x:f>
        <x:v>0</x:v>
      </x:c>
      <x:c r="L8945" s="6" t="n">
        <x:f>J8945*K8945</x:f>
        <x:v>0</x:v>
      </x:c>
    </x:row>
    <x:row r="8946">
      <x:c r="A8946" s="1" t="n">
        <x:v>71639</x:v>
      </x:c>
      <x:c r="B8946" s="5" t="d">
        <x:v>2017-11-11T00:00:00.000Z</x:v>
      </x:c>
      <x:c r="C8946" s="1" t="str">
        <x:v>Standard Class</x:v>
      </x:c>
      <x:c r="D8946" s="1" t="str">
        <x:v>Pacific Asia</x:v>
      </x:c>
      <x:c r="E8946" s="1" t="str">
        <x:v>ON_HOLD</x:v>
      </x:c>
      <x:c r="F8946" s="1" t="str">
        <x:v>Late delivery</x:v>
      </x:c>
      <x:c r="G8946" s="6" t="n">
        <x:v>5</x:v>
      </x:c>
      <x:c r="H8946" s="6" t="n">
        <x:v>4</x:v>
      </x:c>
      <x:c r="I8946" s="6" t="n">
        <x:f>G8946-H8946</x:f>
        <x:v>1</x:v>
      </x:c>
      <x:c r="J8946" s="6" t="n">
        <x:f>IF(OR(E8946="CANCELED",E8946="SUSPECTED_FRAUD",F8946="Shipping canceled"),0,1)</x:f>
        <x:v>1</x:v>
      </x:c>
      <x:c r="K8946" s="6" t="n">
        <x:f>IF(G8946&gt;H8946,1,0)</x:f>
        <x:v>1</x:v>
      </x:c>
      <x:c r="L8946" s="6" t="n">
        <x:f>J8946*K8946</x:f>
        <x:v>1</x:v>
      </x:c>
    </x:row>
    <x:row r="8947">
      <x:c r="A8947" s="1" t="n">
        <x:v>71648</x:v>
      </x:c>
      <x:c r="B8947" s="5" t="d">
        <x:v>2017-11-11T00:00:00.000Z</x:v>
      </x:c>
      <x:c r="C8947" s="1" t="str">
        <x:v>Standard Class</x:v>
      </x:c>
      <x:c r="D8947" s="1" t="str">
        <x:v>Pacific Asia</x:v>
      </x:c>
      <x:c r="E8947" s="1" t="str">
        <x:v>COMPLETE</x:v>
      </x:c>
      <x:c r="F8947" s="1" t="str">
        <x:v>Shipping on time</x:v>
      </x:c>
      <x:c r="G8947" s="6" t="n">
        <x:v>4</x:v>
      </x:c>
      <x:c r="H8947" s="6" t="n">
        <x:v>4</x:v>
      </x:c>
      <x:c r="I8947" s="6" t="n">
        <x:f>G8947-H8947</x:f>
        <x:v>0</x:v>
      </x:c>
      <x:c r="J8947" s="6" t="n">
        <x:f>IF(OR(E8947="CANCELED",E8947="SUSPECTED_FRAUD",F8947="Shipping canceled"),0,1)</x:f>
        <x:v>1</x:v>
      </x:c>
      <x:c r="K8947" s="6" t="n">
        <x:f>IF(G8947&gt;H8947,1,0)</x:f>
        <x:v>0</x:v>
      </x:c>
      <x:c r="L8947" s="6" t="n">
        <x:f>J8947*K8947</x:f>
        <x:v>0</x:v>
      </x:c>
    </x:row>
    <x:row r="8948">
      <x:c r="A8948" s="1" t="n">
        <x:v>71650</x:v>
      </x:c>
      <x:c r="B8948" s="5" t="d">
        <x:v>2017-11-11T00:00:00.000Z</x:v>
      </x:c>
      <x:c r="C8948" s="1" t="str">
        <x:v>Standard Class</x:v>
      </x:c>
      <x:c r="D8948" s="1" t="str">
        <x:v>Pacific Asia</x:v>
      </x:c>
      <x:c r="E8948" s="1" t="str">
        <x:v>ON_HOLD</x:v>
      </x:c>
      <x:c r="F8948" s="1" t="str">
        <x:v>Late delivery</x:v>
      </x:c>
      <x:c r="G8948" s="6" t="n">
        <x:v>6</x:v>
      </x:c>
      <x:c r="H8948" s="6" t="n">
        <x:v>4</x:v>
      </x:c>
      <x:c r="I8948" s="6" t="n">
        <x:f>G8948-H8948</x:f>
        <x:v>2</x:v>
      </x:c>
      <x:c r="J8948" s="6" t="n">
        <x:f>IF(OR(E8948="CANCELED",E8948="SUSPECTED_FRAUD",F8948="Shipping canceled"),0,1)</x:f>
        <x:v>1</x:v>
      </x:c>
      <x:c r="K8948" s="6" t="n">
        <x:f>IF(G8948&gt;H8948,1,0)</x:f>
        <x:v>1</x:v>
      </x:c>
      <x:c r="L8948" s="6" t="n">
        <x:f>J8948*K8948</x:f>
        <x:v>1</x:v>
      </x:c>
    </x:row>
    <x:row r="8949">
      <x:c r="A8949" s="1" t="n">
        <x:v>71656</x:v>
      </x:c>
      <x:c r="B8949" s="5" t="d">
        <x:v>2017-11-11T00:00:00.000Z</x:v>
      </x:c>
      <x:c r="C8949" s="1" t="str">
        <x:v>Second Class</x:v>
      </x:c>
      <x:c r="D8949" s="1" t="str">
        <x:v>Pacific Asia</x:v>
      </x:c>
      <x:c r="E8949" s="1" t="str">
        <x:v>PENDING</x:v>
      </x:c>
      <x:c r="F8949" s="1" t="str">
        <x:v>Shipping on time</x:v>
      </x:c>
      <x:c r="G8949" s="6" t="n">
        <x:v>2</x:v>
      </x:c>
      <x:c r="H8949" s="6" t="n">
        <x:v>2</x:v>
      </x:c>
      <x:c r="I8949" s="6" t="n">
        <x:f>G8949-H8949</x:f>
        <x:v>0</x:v>
      </x:c>
      <x:c r="J8949" s="6" t="n">
        <x:f>IF(OR(E8949="CANCELED",E8949="SUSPECTED_FRAUD",F8949="Shipping canceled"),0,1)</x:f>
        <x:v>1</x:v>
      </x:c>
      <x:c r="K8949" s="6" t="n">
        <x:f>IF(G8949&gt;H8949,1,0)</x:f>
        <x:v>0</x:v>
      </x:c>
      <x:c r="L8949" s="6" t="n">
        <x:f>J8949*K8949</x:f>
        <x:v>0</x:v>
      </x:c>
    </x:row>
    <x:row r="8950">
      <x:c r="A8950" s="1" t="n">
        <x:v>71659</x:v>
      </x:c>
      <x:c r="B8950" s="5" t="d">
        <x:v>2017-11-12T00:00:00.000Z</x:v>
      </x:c>
      <x:c r="C8950" s="1" t="str">
        <x:v>Standard Class</x:v>
      </x:c>
      <x:c r="D8950" s="1" t="str">
        <x:v>Pacific Asia</x:v>
      </x:c>
      <x:c r="E8950" s="1" t="str">
        <x:v>COMPLETE</x:v>
      </x:c>
      <x:c r="F8950" s="1" t="str">
        <x:v>Late delivery</x:v>
      </x:c>
      <x:c r="G8950" s="6" t="n">
        <x:v>5</x:v>
      </x:c>
      <x:c r="H8950" s="6" t="n">
        <x:v>4</x:v>
      </x:c>
      <x:c r="I8950" s="6" t="n">
        <x:f>G8950-H8950</x:f>
        <x:v>1</x:v>
      </x:c>
      <x:c r="J8950" s="6" t="n">
        <x:f>IF(OR(E8950="CANCELED",E8950="SUSPECTED_FRAUD",F8950="Shipping canceled"),0,1)</x:f>
        <x:v>1</x:v>
      </x:c>
      <x:c r="K8950" s="6" t="n">
        <x:f>IF(G8950&gt;H8950,1,0)</x:f>
        <x:v>1</x:v>
      </x:c>
      <x:c r="L8950" s="6" t="n">
        <x:f>J8950*K8950</x:f>
        <x:v>1</x:v>
      </x:c>
    </x:row>
    <x:row r="8951">
      <x:c r="A8951" s="1" t="n">
        <x:v>71663</x:v>
      </x:c>
      <x:c r="B8951" s="5" t="d">
        <x:v>2017-11-12T00:00:00.000Z</x:v>
      </x:c>
      <x:c r="C8951" s="1" t="str">
        <x:v>Standard Class</x:v>
      </x:c>
      <x:c r="D8951" s="1" t="str">
        <x:v>Pacific Asia</x:v>
      </x:c>
      <x:c r="E8951" s="1" t="str">
        <x:v>ON_HOLD</x:v>
      </x:c>
      <x:c r="F8951" s="1" t="str">
        <x:v>Shipping on time</x:v>
      </x:c>
      <x:c r="G8951" s="6" t="n">
        <x:v>4</x:v>
      </x:c>
      <x:c r="H8951" s="6" t="n">
        <x:v>4</x:v>
      </x:c>
      <x:c r="I8951" s="6" t="n">
        <x:f>G8951-H8951</x:f>
        <x:v>0</x:v>
      </x:c>
      <x:c r="J8951" s="6" t="n">
        <x:f>IF(OR(E8951="CANCELED",E8951="SUSPECTED_FRAUD",F8951="Shipping canceled"),0,1)</x:f>
        <x:v>1</x:v>
      </x:c>
      <x:c r="K8951" s="6" t="n">
        <x:f>IF(G8951&gt;H8951,1,0)</x:f>
        <x:v>0</x:v>
      </x:c>
      <x:c r="L8951" s="6" t="n">
        <x:f>J8951*K8951</x:f>
        <x:v>0</x:v>
      </x:c>
    </x:row>
    <x:row r="8952">
      <x:c r="A8952" s="1" t="n">
        <x:v>71665</x:v>
      </x:c>
      <x:c r="B8952" s="5" t="d">
        <x:v>2017-11-12T00:00:00.000Z</x:v>
      </x:c>
      <x:c r="C8952" s="1" t="str">
        <x:v>Standard Class</x:v>
      </x:c>
      <x:c r="D8952" s="1" t="str">
        <x:v>Pacific Asia</x:v>
      </x:c>
      <x:c r="E8952" s="1" t="str">
        <x:v>COMPLETE</x:v>
      </x:c>
      <x:c r="F8952" s="1" t="str">
        <x:v>Late delivery</x:v>
      </x:c>
      <x:c r="G8952" s="6" t="n">
        <x:v>6</x:v>
      </x:c>
      <x:c r="H8952" s="6" t="n">
        <x:v>4</x:v>
      </x:c>
      <x:c r="I8952" s="6" t="n">
        <x:f>G8952-H8952</x:f>
        <x:v>2</x:v>
      </x:c>
      <x:c r="J8952" s="6" t="n">
        <x:f>IF(OR(E8952="CANCELED",E8952="SUSPECTED_FRAUD",F8952="Shipping canceled"),0,1)</x:f>
        <x:v>1</x:v>
      </x:c>
      <x:c r="K8952" s="6" t="n">
        <x:f>IF(G8952&gt;H8952,1,0)</x:f>
        <x:v>1</x:v>
      </x:c>
      <x:c r="L8952" s="6" t="n">
        <x:f>J8952*K8952</x:f>
        <x:v>1</x:v>
      </x:c>
    </x:row>
    <x:row r="8953">
      <x:c r="A8953" s="1" t="n">
        <x:v>71667</x:v>
      </x:c>
      <x:c r="B8953" s="5" t="d">
        <x:v>2017-11-12T00:00:00.000Z</x:v>
      </x:c>
      <x:c r="C8953" s="1" t="str">
        <x:v>Standard Class</x:v>
      </x:c>
      <x:c r="D8953" s="1" t="str">
        <x:v>Pacific Asia</x:v>
      </x:c>
      <x:c r="E8953" s="1" t="str">
        <x:v>COMPLETE</x:v>
      </x:c>
      <x:c r="F8953" s="1" t="str">
        <x:v>Advance shipping</x:v>
      </x:c>
      <x:c r="G8953" s="6" t="n">
        <x:v>3</x:v>
      </x:c>
      <x:c r="H8953" s="6" t="n">
        <x:v>4</x:v>
      </x:c>
      <x:c r="I8953" s="6" t="n">
        <x:f>G8953-H8953</x:f>
        <x:v>-1</x:v>
      </x:c>
      <x:c r="J8953" s="6" t="n">
        <x:f>IF(OR(E8953="CANCELED",E8953="SUSPECTED_FRAUD",F8953="Shipping canceled"),0,1)</x:f>
        <x:v>1</x:v>
      </x:c>
      <x:c r="K8953" s="6" t="n">
        <x:f>IF(G8953&gt;H8953,1,0)</x:f>
        <x:v>0</x:v>
      </x:c>
      <x:c r="L8953" s="6" t="n">
        <x:f>J8953*K8953</x:f>
        <x:v>0</x:v>
      </x:c>
    </x:row>
    <x:row r="8954">
      <x:c r="A8954" s="1" t="n">
        <x:v>71668</x:v>
      </x:c>
      <x:c r="B8954" s="5" t="d">
        <x:v>2017-11-12T00:00:00.000Z</x:v>
      </x:c>
      <x:c r="C8954" s="1" t="str">
        <x:v>Standard Class</x:v>
      </x:c>
      <x:c r="D8954" s="1" t="str">
        <x:v>Pacific Asia</x:v>
      </x:c>
      <x:c r="E8954" s="1" t="str">
        <x:v>PENDING_PAYMENT</x:v>
      </x:c>
      <x:c r="F8954" s="1" t="str">
        <x:v>Shipping on time</x:v>
      </x:c>
      <x:c r="G8954" s="6" t="n">
        <x:v>4</x:v>
      </x:c>
      <x:c r="H8954" s="6" t="n">
        <x:v>4</x:v>
      </x:c>
      <x:c r="I8954" s="6" t="n">
        <x:f>G8954-H8954</x:f>
        <x:v>0</x:v>
      </x:c>
      <x:c r="J8954" s="6" t="n">
        <x:f>IF(OR(E8954="CANCELED",E8954="SUSPECTED_FRAUD",F8954="Shipping canceled"),0,1)</x:f>
        <x:v>1</x:v>
      </x:c>
      <x:c r="K8954" s="6" t="n">
        <x:f>IF(G8954&gt;H8954,1,0)</x:f>
        <x:v>0</x:v>
      </x:c>
      <x:c r="L8954" s="6" t="n">
        <x:f>J8954*K8954</x:f>
        <x:v>0</x:v>
      </x:c>
    </x:row>
    <x:row r="8955">
      <x:c r="A8955" s="1" t="n">
        <x:v>71674</x:v>
      </x:c>
      <x:c r="B8955" s="5" t="d">
        <x:v>2017-11-12T00:00:00.000Z</x:v>
      </x:c>
      <x:c r="C8955" s="1" t="str">
        <x:v>Second Class</x:v>
      </x:c>
      <x:c r="D8955" s="1" t="str">
        <x:v>Pacific Asia</x:v>
      </x:c>
      <x:c r="E8955" s="1" t="str">
        <x:v>COMPLETE</x:v>
      </x:c>
      <x:c r="F8955" s="1" t="str">
        <x:v>Late delivery</x:v>
      </x:c>
      <x:c r="G8955" s="6" t="n">
        <x:v>5</x:v>
      </x:c>
      <x:c r="H8955" s="6" t="n">
        <x:v>2</x:v>
      </x:c>
      <x:c r="I8955" s="6" t="n">
        <x:f>G8955-H8955</x:f>
        <x:v>3</x:v>
      </x:c>
      <x:c r="J8955" s="6" t="n">
        <x:f>IF(OR(E8955="CANCELED",E8955="SUSPECTED_FRAUD",F8955="Shipping canceled"),0,1)</x:f>
        <x:v>1</x:v>
      </x:c>
      <x:c r="K8955" s="6" t="n">
        <x:f>IF(G8955&gt;H8955,1,0)</x:f>
        <x:v>1</x:v>
      </x:c>
      <x:c r="L8955" s="6" t="n">
        <x:f>J8955*K8955</x:f>
        <x:v>1</x:v>
      </x:c>
    </x:row>
    <x:row r="8956">
      <x:c r="A8956" s="1" t="n">
        <x:v>71692</x:v>
      </x:c>
      <x:c r="B8956" s="5" t="d">
        <x:v>2017-11-12T00:00:00.000Z</x:v>
      </x:c>
      <x:c r="C8956" s="1" t="str">
        <x:v>Standard Class</x:v>
      </x:c>
      <x:c r="D8956" s="1" t="str">
        <x:v>Pacific Asia</x:v>
      </x:c>
      <x:c r="E8956" s="1" t="str">
        <x:v>COMPLETE</x:v>
      </x:c>
      <x:c r="F8956" s="1" t="str">
        <x:v>Advance shipping</x:v>
      </x:c>
      <x:c r="G8956" s="6" t="n">
        <x:v>3</x:v>
      </x:c>
      <x:c r="H8956" s="6" t="n">
        <x:v>4</x:v>
      </x:c>
      <x:c r="I8956" s="6" t="n">
        <x:f>G8956-H8956</x:f>
        <x:v>-1</x:v>
      </x:c>
      <x:c r="J8956" s="6" t="n">
        <x:f>IF(OR(E8956="CANCELED",E8956="SUSPECTED_FRAUD",F8956="Shipping canceled"),0,1)</x:f>
        <x:v>1</x:v>
      </x:c>
      <x:c r="K8956" s="6" t="n">
        <x:f>IF(G8956&gt;H8956,1,0)</x:f>
        <x:v>0</x:v>
      </x:c>
      <x:c r="L8956" s="6" t="n">
        <x:f>J8956*K8956</x:f>
        <x:v>0</x:v>
      </x:c>
    </x:row>
    <x:row r="8957">
      <x:c r="A8957" s="1" t="n">
        <x:v>71696</x:v>
      </x:c>
      <x:c r="B8957" s="5" t="d">
        <x:v>2017-11-12T00:00:00.000Z</x:v>
      </x:c>
      <x:c r="C8957" s="1" t="str">
        <x:v>Standard Class</x:v>
      </x:c>
      <x:c r="D8957" s="1" t="str">
        <x:v>Pacific Asia</x:v>
      </x:c>
      <x:c r="E8957" s="1" t="str">
        <x:v>PENDING_PAYMENT</x:v>
      </x:c>
      <x:c r="F8957" s="1" t="str">
        <x:v>Advance shipping</x:v>
      </x:c>
      <x:c r="G8957" s="6" t="n">
        <x:v>2</x:v>
      </x:c>
      <x:c r="H8957" s="6" t="n">
        <x:v>4</x:v>
      </x:c>
      <x:c r="I8957" s="6" t="n">
        <x:f>G8957-H8957</x:f>
        <x:v>-2</x:v>
      </x:c>
      <x:c r="J8957" s="6" t="n">
        <x:f>IF(OR(E8957="CANCELED",E8957="SUSPECTED_FRAUD",F8957="Shipping canceled"),0,1)</x:f>
        <x:v>1</x:v>
      </x:c>
      <x:c r="K8957" s="6" t="n">
        <x:f>IF(G8957&gt;H8957,1,0)</x:f>
        <x:v>0</x:v>
      </x:c>
      <x:c r="L8957" s="6" t="n">
        <x:f>J8957*K8957</x:f>
        <x:v>0</x:v>
      </x:c>
    </x:row>
    <x:row r="8958">
      <x:c r="A8958" s="1" t="n">
        <x:v>71700</x:v>
      </x:c>
      <x:c r="B8958" s="5" t="d">
        <x:v>2017-11-12T00:00:00.000Z</x:v>
      </x:c>
      <x:c r="C8958" s="1" t="str">
        <x:v>Standard Class</x:v>
      </x:c>
      <x:c r="D8958" s="1" t="str">
        <x:v>Pacific Asia</x:v>
      </x:c>
      <x:c r="E8958" s="1" t="str">
        <x:v>COMPLETE</x:v>
      </x:c>
      <x:c r="F8958" s="1" t="str">
        <x:v>Late delivery</x:v>
      </x:c>
      <x:c r="G8958" s="6" t="n">
        <x:v>6</x:v>
      </x:c>
      <x:c r="H8958" s="6" t="n">
        <x:v>4</x:v>
      </x:c>
      <x:c r="I8958" s="6" t="n">
        <x:f>G8958-H8958</x:f>
        <x:v>2</x:v>
      </x:c>
      <x:c r="J8958" s="6" t="n">
        <x:f>IF(OR(E8958="CANCELED",E8958="SUSPECTED_FRAUD",F8958="Shipping canceled"),0,1)</x:f>
        <x:v>1</x:v>
      </x:c>
      <x:c r="K8958" s="6" t="n">
        <x:f>IF(G8958&gt;H8958,1,0)</x:f>
        <x:v>1</x:v>
      </x:c>
      <x:c r="L8958" s="6" t="n">
        <x:f>J8958*K8958</x:f>
        <x:v>1</x:v>
      </x:c>
    </x:row>
    <x:row r="8959">
      <x:c r="A8959" s="1" t="n">
        <x:v>71704</x:v>
      </x:c>
      <x:c r="B8959" s="5" t="d">
        <x:v>2017-11-12T00:00:00.000Z</x:v>
      </x:c>
      <x:c r="C8959" s="1" t="str">
        <x:v>Standard Class</x:v>
      </x:c>
      <x:c r="D8959" s="1" t="str">
        <x:v>Pacific Asia</x:v>
      </x:c>
      <x:c r="E8959" s="1" t="str">
        <x:v>ON_HOLD</x:v>
      </x:c>
      <x:c r="F8959" s="1" t="str">
        <x:v>Late delivery</x:v>
      </x:c>
      <x:c r="G8959" s="6" t="n">
        <x:v>5</x:v>
      </x:c>
      <x:c r="H8959" s="6" t="n">
        <x:v>4</x:v>
      </x:c>
      <x:c r="I8959" s="6" t="n">
        <x:f>G8959-H8959</x:f>
        <x:v>1</x:v>
      </x:c>
      <x:c r="J8959" s="6" t="n">
        <x:f>IF(OR(E8959="CANCELED",E8959="SUSPECTED_FRAUD",F8959="Shipping canceled"),0,1)</x:f>
        <x:v>1</x:v>
      </x:c>
      <x:c r="K8959" s="6" t="n">
        <x:f>IF(G8959&gt;H8959,1,0)</x:f>
        <x:v>1</x:v>
      </x:c>
      <x:c r="L8959" s="6" t="n">
        <x:f>J8959*K8959</x:f>
        <x:v>1</x:v>
      </x:c>
    </x:row>
    <x:row r="8960">
      <x:c r="A8960" s="1" t="n">
        <x:v>71708</x:v>
      </x:c>
      <x:c r="B8960" s="5" t="d">
        <x:v>2017-11-12T00:00:00.000Z</x:v>
      </x:c>
      <x:c r="C8960" s="1" t="str">
        <x:v>Standard Class</x:v>
      </x:c>
      <x:c r="D8960" s="1" t="str">
        <x:v>Pacific Asia</x:v>
      </x:c>
      <x:c r="E8960" s="1" t="str">
        <x:v>COMPLETE</x:v>
      </x:c>
      <x:c r="F8960" s="1" t="str">
        <x:v>Shipping on time</x:v>
      </x:c>
      <x:c r="G8960" s="6" t="n">
        <x:v>4</x:v>
      </x:c>
      <x:c r="H8960" s="6" t="n">
        <x:v>4</x:v>
      </x:c>
      <x:c r="I8960" s="6" t="n">
        <x:f>G8960-H8960</x:f>
        <x:v>0</x:v>
      </x:c>
      <x:c r="J8960" s="6" t="n">
        <x:f>IF(OR(E8960="CANCELED",E8960="SUSPECTED_FRAUD",F8960="Shipping canceled"),0,1)</x:f>
        <x:v>1</x:v>
      </x:c>
      <x:c r="K8960" s="6" t="n">
        <x:f>IF(G8960&gt;H8960,1,0)</x:f>
        <x:v>0</x:v>
      </x:c>
      <x:c r="L8960" s="6" t="n">
        <x:f>J8960*K8960</x:f>
        <x:v>0</x:v>
      </x:c>
    </x:row>
    <x:row r="8961">
      <x:c r="A8961" s="1" t="n">
        <x:v>71709</x:v>
      </x:c>
      <x:c r="B8961" s="5" t="d">
        <x:v>2017-11-12T00:00:00.000Z</x:v>
      </x:c>
      <x:c r="C8961" s="1" t="str">
        <x:v>Standard Class</x:v>
      </x:c>
      <x:c r="D8961" s="1" t="str">
        <x:v>Pacific Asia</x:v>
      </x:c>
      <x:c r="E8961" s="1" t="str">
        <x:v>COMPLETE</x:v>
      </x:c>
      <x:c r="F8961" s="1" t="str">
        <x:v>Late delivery</x:v>
      </x:c>
      <x:c r="G8961" s="6" t="n">
        <x:v>5</x:v>
      </x:c>
      <x:c r="H8961" s="6" t="n">
        <x:v>4</x:v>
      </x:c>
      <x:c r="I8961" s="6" t="n">
        <x:f>G8961-H8961</x:f>
        <x:v>1</x:v>
      </x:c>
      <x:c r="J8961" s="6" t="n">
        <x:f>IF(OR(E8961="CANCELED",E8961="SUSPECTED_FRAUD",F8961="Shipping canceled"),0,1)</x:f>
        <x:v>1</x:v>
      </x:c>
      <x:c r="K8961" s="6" t="n">
        <x:f>IF(G8961&gt;H8961,1,0)</x:f>
        <x:v>1</x:v>
      </x:c>
      <x:c r="L8961" s="6" t="n">
        <x:f>J8961*K8961</x:f>
        <x:v>1</x:v>
      </x:c>
    </x:row>
    <x:row r="8962">
      <x:c r="A8962" s="1" t="n">
        <x:v>71738</x:v>
      </x:c>
      <x:c r="B8962" s="5" t="d">
        <x:v>2017-11-13T00:00:00.000Z</x:v>
      </x:c>
      <x:c r="C8962" s="1" t="str">
        <x:v>First Class</x:v>
      </x:c>
      <x:c r="D8962" s="1" t="str">
        <x:v>Pacific Asia</x:v>
      </x:c>
      <x:c r="E8962" s="1" t="str">
        <x:v>PROCESSING</x:v>
      </x:c>
      <x:c r="F8962" s="1" t="str">
        <x:v>Late delivery</x:v>
      </x:c>
      <x:c r="G8962" s="6" t="n">
        <x:v>2</x:v>
      </x:c>
      <x:c r="H8962" s="6" t="n">
        <x:v>1</x:v>
      </x:c>
      <x:c r="I8962" s="6" t="n">
        <x:f>G8962-H8962</x:f>
        <x:v>1</x:v>
      </x:c>
      <x:c r="J8962" s="6" t="n">
        <x:f>IF(OR(E8962="CANCELED",E8962="SUSPECTED_FRAUD",F8962="Shipping canceled"),0,1)</x:f>
        <x:v>1</x:v>
      </x:c>
      <x:c r="K8962" s="6" t="n">
        <x:f>IF(G8962&gt;H8962,1,0)</x:f>
        <x:v>1</x:v>
      </x:c>
      <x:c r="L8962" s="6" t="n">
        <x:f>J8962*K8962</x:f>
        <x:v>1</x:v>
      </x:c>
    </x:row>
    <x:row r="8963">
      <x:c r="A8963" s="1" t="n">
        <x:v>71747</x:v>
      </x:c>
      <x:c r="B8963" s="5" t="d">
        <x:v>2017-11-13T00:00:00.000Z</x:v>
      </x:c>
      <x:c r="C8963" s="1" t="str">
        <x:v>Standard Class</x:v>
      </x:c>
      <x:c r="D8963" s="1" t="str">
        <x:v>Pacific Asia</x:v>
      </x:c>
      <x:c r="E8963" s="1" t="str">
        <x:v>CLOSED</x:v>
      </x:c>
      <x:c r="F8963" s="1" t="str">
        <x:v>Advance shipping</x:v>
      </x:c>
      <x:c r="G8963" s="6" t="n">
        <x:v>3</x:v>
      </x:c>
      <x:c r="H8963" s="6" t="n">
        <x:v>4</x:v>
      </x:c>
      <x:c r="I8963" s="6" t="n">
        <x:f>G8963-H8963</x:f>
        <x:v>-1</x:v>
      </x:c>
      <x:c r="J8963" s="6" t="n">
        <x:f>IF(OR(E8963="CANCELED",E8963="SUSPECTED_FRAUD",F8963="Shipping canceled"),0,1)</x:f>
        <x:v>1</x:v>
      </x:c>
      <x:c r="K8963" s="6" t="n">
        <x:f>IF(G8963&gt;H8963,1,0)</x:f>
        <x:v>0</x:v>
      </x:c>
      <x:c r="L8963" s="6" t="n">
        <x:f>J8963*K8963</x:f>
        <x:v>0</x:v>
      </x:c>
    </x:row>
    <x:row r="8964">
      <x:c r="A8964" s="1" t="n">
        <x:v>71779</x:v>
      </x:c>
      <x:c r="B8964" s="5" t="d">
        <x:v>2017-11-13T00:00:00.000Z</x:v>
      </x:c>
      <x:c r="C8964" s="1" t="str">
        <x:v>Same Day</x:v>
      </x:c>
      <x:c r="D8964" s="1" t="str">
        <x:v>Pacific Asia</x:v>
      </x:c>
      <x:c r="E8964" s="1" t="str">
        <x:v>CLOSED</x:v>
      </x:c>
      <x:c r="F8964" s="1" t="str">
        <x:v>Late delivery</x:v>
      </x:c>
      <x:c r="G8964" s="6" t="n">
        <x:v>1</x:v>
      </x:c>
      <x:c r="H8964" s="6" t="n">
        <x:v>0</x:v>
      </x:c>
      <x:c r="I8964" s="6" t="n">
        <x:f>G8964-H8964</x:f>
        <x:v>1</x:v>
      </x:c>
      <x:c r="J8964" s="6" t="n">
        <x:f>IF(OR(E8964="CANCELED",E8964="SUSPECTED_FRAUD",F8964="Shipping canceled"),0,1)</x:f>
        <x:v>1</x:v>
      </x:c>
      <x:c r="K8964" s="6" t="n">
        <x:f>IF(G8964&gt;H8964,1,0)</x:f>
        <x:v>1</x:v>
      </x:c>
      <x:c r="L8964" s="6" t="n">
        <x:f>J8964*K8964</x:f>
        <x:v>1</x:v>
      </x:c>
    </x:row>
    <x:row r="8965">
      <x:c r="A8965" s="1" t="n">
        <x:v>71794</x:v>
      </x:c>
      <x:c r="B8965" s="5" t="d">
        <x:v>2017-11-14T00:00:00.000Z</x:v>
      </x:c>
      <x:c r="C8965" s="1" t="str">
        <x:v>Second Class</x:v>
      </x:c>
      <x:c r="D8965" s="1" t="str">
        <x:v>Pacific Asia</x:v>
      </x:c>
      <x:c r="E8965" s="1" t="str">
        <x:v>ON_HOLD</x:v>
      </x:c>
      <x:c r="F8965" s="1" t="str">
        <x:v>Late delivery</x:v>
      </x:c>
      <x:c r="G8965" s="6" t="n">
        <x:v>5</x:v>
      </x:c>
      <x:c r="H8965" s="6" t="n">
        <x:v>2</x:v>
      </x:c>
      <x:c r="I8965" s="6" t="n">
        <x:f>G8965-H8965</x:f>
        <x:v>3</x:v>
      </x:c>
      <x:c r="J8965" s="6" t="n">
        <x:f>IF(OR(E8965="CANCELED",E8965="SUSPECTED_FRAUD",F8965="Shipping canceled"),0,1)</x:f>
        <x:v>1</x:v>
      </x:c>
      <x:c r="K8965" s="6" t="n">
        <x:f>IF(G8965&gt;H8965,1,0)</x:f>
        <x:v>1</x:v>
      </x:c>
      <x:c r="L8965" s="6" t="n">
        <x:f>J8965*K8965</x:f>
        <x:v>1</x:v>
      </x:c>
    </x:row>
    <x:row r="8966">
      <x:c r="A8966" s="1" t="n">
        <x:v>71800</x:v>
      </x:c>
      <x:c r="B8966" s="5" t="d">
        <x:v>2017-11-14T00:00:00.000Z</x:v>
      </x:c>
      <x:c r="C8966" s="1" t="str">
        <x:v>First Class</x:v>
      </x:c>
      <x:c r="D8966" s="1" t="str">
        <x:v>Pacific Asia</x:v>
      </x:c>
      <x:c r="E8966" s="1" t="str">
        <x:v>CLOSED</x:v>
      </x:c>
      <x:c r="F8966" s="1" t="str">
        <x:v>Late delivery</x:v>
      </x:c>
      <x:c r="G8966" s="6" t="n">
        <x:v>2</x:v>
      </x:c>
      <x:c r="H8966" s="6" t="n">
        <x:v>1</x:v>
      </x:c>
      <x:c r="I8966" s="6" t="n">
        <x:f>G8966-H8966</x:f>
        <x:v>1</x:v>
      </x:c>
      <x:c r="J8966" s="6" t="n">
        <x:f>IF(OR(E8966="CANCELED",E8966="SUSPECTED_FRAUD",F8966="Shipping canceled"),0,1)</x:f>
        <x:v>1</x:v>
      </x:c>
      <x:c r="K8966" s="6" t="n">
        <x:f>IF(G8966&gt;H8966,1,0)</x:f>
        <x:v>1</x:v>
      </x:c>
      <x:c r="L8966" s="6" t="n">
        <x:f>J8966*K8966</x:f>
        <x:v>1</x:v>
      </x:c>
    </x:row>
    <x:row r="8967">
      <x:c r="A8967" s="1" t="n">
        <x:v>71811</x:v>
      </x:c>
      <x:c r="B8967" s="5" t="d">
        <x:v>2017-11-14T00:00:00.000Z</x:v>
      </x:c>
      <x:c r="C8967" s="1" t="str">
        <x:v>Standard Class</x:v>
      </x:c>
      <x:c r="D8967" s="1" t="str">
        <x:v>Pacific Asia</x:v>
      </x:c>
      <x:c r="E8967" s="1" t="str">
        <x:v>COMPLETE</x:v>
      </x:c>
      <x:c r="F8967" s="1" t="str">
        <x:v>Advance shipping</x:v>
      </x:c>
      <x:c r="G8967" s="6" t="n">
        <x:v>2</x:v>
      </x:c>
      <x:c r="H8967" s="6" t="n">
        <x:v>4</x:v>
      </x:c>
      <x:c r="I8967" s="6" t="n">
        <x:f>G8967-H8967</x:f>
        <x:v>-2</x:v>
      </x:c>
      <x:c r="J8967" s="6" t="n">
        <x:f>IF(OR(E8967="CANCELED",E8967="SUSPECTED_FRAUD",F8967="Shipping canceled"),0,1)</x:f>
        <x:v>1</x:v>
      </x:c>
      <x:c r="K8967" s="6" t="n">
        <x:f>IF(G8967&gt;H8967,1,0)</x:f>
        <x:v>0</x:v>
      </x:c>
      <x:c r="L8967" s="6" t="n">
        <x:f>J8967*K8967</x:f>
        <x:v>0</x:v>
      </x:c>
    </x:row>
    <x:row r="8968">
      <x:c r="A8968" s="1" t="n">
        <x:v>71814</x:v>
      </x:c>
      <x:c r="B8968" s="5" t="d">
        <x:v>2017-11-14T00:00:00.000Z</x:v>
      </x:c>
      <x:c r="C8968" s="1" t="str">
        <x:v>Standard Class</x:v>
      </x:c>
      <x:c r="D8968" s="1" t="str">
        <x:v>Pacific Asia</x:v>
      </x:c>
      <x:c r="E8968" s="1" t="str">
        <x:v>COMPLETE</x:v>
      </x:c>
      <x:c r="F8968" s="1" t="str">
        <x:v>Late delivery</x:v>
      </x:c>
      <x:c r="G8968" s="6" t="n">
        <x:v>5</x:v>
      </x:c>
      <x:c r="H8968" s="6" t="n">
        <x:v>4</x:v>
      </x:c>
      <x:c r="I8968" s="6" t="n">
        <x:f>G8968-H8968</x:f>
        <x:v>1</x:v>
      </x:c>
      <x:c r="J8968" s="6" t="n">
        <x:f>IF(OR(E8968="CANCELED",E8968="SUSPECTED_FRAUD",F8968="Shipping canceled"),0,1)</x:f>
        <x:v>1</x:v>
      </x:c>
      <x:c r="K8968" s="6" t="n">
        <x:f>IF(G8968&gt;H8968,1,0)</x:f>
        <x:v>1</x:v>
      </x:c>
      <x:c r="L8968" s="6" t="n">
        <x:f>J8968*K8968</x:f>
        <x:v>1</x:v>
      </x:c>
    </x:row>
    <x:row r="8969">
      <x:c r="A8969" s="1" t="n">
        <x:v>71815</x:v>
      </x:c>
      <x:c r="B8969" s="5" t="d">
        <x:v>2017-11-14T00:00:00.000Z</x:v>
      </x:c>
      <x:c r="C8969" s="1" t="str">
        <x:v>Standard Class</x:v>
      </x:c>
      <x:c r="D8969" s="1" t="str">
        <x:v>Pacific Asia</x:v>
      </x:c>
      <x:c r="E8969" s="1" t="str">
        <x:v>PENDING_PAYMENT</x:v>
      </x:c>
      <x:c r="F8969" s="1" t="str">
        <x:v>Late delivery</x:v>
      </x:c>
      <x:c r="G8969" s="6" t="n">
        <x:v>6</x:v>
      </x:c>
      <x:c r="H8969" s="6" t="n">
        <x:v>4</x:v>
      </x:c>
      <x:c r="I8969" s="6" t="n">
        <x:f>G8969-H8969</x:f>
        <x:v>2</x:v>
      </x:c>
      <x:c r="J8969" s="6" t="n">
        <x:f>IF(OR(E8969="CANCELED",E8969="SUSPECTED_FRAUD",F8969="Shipping canceled"),0,1)</x:f>
        <x:v>1</x:v>
      </x:c>
      <x:c r="K8969" s="6" t="n">
        <x:f>IF(G8969&gt;H8969,1,0)</x:f>
        <x:v>1</x:v>
      </x:c>
      <x:c r="L8969" s="6" t="n">
        <x:f>J8969*K8969</x:f>
        <x:v>1</x:v>
      </x:c>
    </x:row>
    <x:row r="8970">
      <x:c r="A8970" s="1" t="n">
        <x:v>71821</x:v>
      </x:c>
      <x:c r="B8970" s="5" t="d">
        <x:v>2017-11-14T00:00:00.000Z</x:v>
      </x:c>
      <x:c r="C8970" s="1" t="str">
        <x:v>Standard Class</x:v>
      </x:c>
      <x:c r="D8970" s="1" t="str">
        <x:v>Pacific Asia</x:v>
      </x:c>
      <x:c r="E8970" s="1" t="str">
        <x:v>COMPLETE</x:v>
      </x:c>
      <x:c r="F8970" s="1" t="str">
        <x:v>Advance shipping</x:v>
      </x:c>
      <x:c r="G8970" s="6" t="n">
        <x:v>2</x:v>
      </x:c>
      <x:c r="H8970" s="6" t="n">
        <x:v>4</x:v>
      </x:c>
      <x:c r="I8970" s="6" t="n">
        <x:f>G8970-H8970</x:f>
        <x:v>-2</x:v>
      </x:c>
      <x:c r="J8970" s="6" t="n">
        <x:f>IF(OR(E8970="CANCELED",E8970="SUSPECTED_FRAUD",F8970="Shipping canceled"),0,1)</x:f>
        <x:v>1</x:v>
      </x:c>
      <x:c r="K8970" s="6" t="n">
        <x:f>IF(G8970&gt;H8970,1,0)</x:f>
        <x:v>0</x:v>
      </x:c>
      <x:c r="L8970" s="6" t="n">
        <x:f>J8970*K8970</x:f>
        <x:v>0</x:v>
      </x:c>
    </x:row>
    <x:row r="8971">
      <x:c r="A8971" s="1" t="n">
        <x:v>71841</x:v>
      </x:c>
      <x:c r="B8971" s="5" t="d">
        <x:v>2017-11-14T00:00:00.000Z</x:v>
      </x:c>
      <x:c r="C8971" s="1" t="str">
        <x:v>Standard Class</x:v>
      </x:c>
      <x:c r="D8971" s="1" t="str">
        <x:v>Pacific Asia</x:v>
      </x:c>
      <x:c r="E8971" s="1" t="str">
        <x:v>CLOSED</x:v>
      </x:c>
      <x:c r="F8971" s="1" t="str">
        <x:v>Advance shipping</x:v>
      </x:c>
      <x:c r="G8971" s="6" t="n">
        <x:v>2</x:v>
      </x:c>
      <x:c r="H8971" s="6" t="n">
        <x:v>4</x:v>
      </x:c>
      <x:c r="I8971" s="6" t="n">
        <x:f>G8971-H8971</x:f>
        <x:v>-2</x:v>
      </x:c>
      <x:c r="J8971" s="6" t="n">
        <x:f>IF(OR(E8971="CANCELED",E8971="SUSPECTED_FRAUD",F8971="Shipping canceled"),0,1)</x:f>
        <x:v>1</x:v>
      </x:c>
      <x:c r="K8971" s="6" t="n">
        <x:f>IF(G8971&gt;H8971,1,0)</x:f>
        <x:v>0</x:v>
      </x:c>
      <x:c r="L8971" s="6" t="n">
        <x:f>J8971*K8971</x:f>
        <x:v>0</x:v>
      </x:c>
    </x:row>
    <x:row r="8972">
      <x:c r="A8972" s="1" t="n">
        <x:v>71843</x:v>
      </x:c>
      <x:c r="B8972" s="5" t="d">
        <x:v>2017-11-14T00:00:00.000Z</x:v>
      </x:c>
      <x:c r="C8972" s="1" t="str">
        <x:v>Standard Class</x:v>
      </x:c>
      <x:c r="D8972" s="1" t="str">
        <x:v>Pacific Asia</x:v>
      </x:c>
      <x:c r="E8972" s="1" t="str">
        <x:v>ON_HOLD</x:v>
      </x:c>
      <x:c r="F8972" s="1" t="str">
        <x:v>Shipping on time</x:v>
      </x:c>
      <x:c r="G8972" s="6" t="n">
        <x:v>4</x:v>
      </x:c>
      <x:c r="H8972" s="6" t="n">
        <x:v>4</x:v>
      </x:c>
      <x:c r="I8972" s="6" t="n">
        <x:f>G8972-H8972</x:f>
        <x:v>0</x:v>
      </x:c>
      <x:c r="J8972" s="6" t="n">
        <x:f>IF(OR(E8972="CANCELED",E8972="SUSPECTED_FRAUD",F8972="Shipping canceled"),0,1)</x:f>
        <x:v>1</x:v>
      </x:c>
      <x:c r="K8972" s="6" t="n">
        <x:f>IF(G8972&gt;H8972,1,0)</x:f>
        <x:v>0</x:v>
      </x:c>
      <x:c r="L8972" s="6" t="n">
        <x:f>J8972*K8972</x:f>
        <x:v>0</x:v>
      </x:c>
    </x:row>
    <x:row r="8973">
      <x:c r="A8973" s="1" t="n">
        <x:v>71867</x:v>
      </x:c>
      <x:c r="B8973" s="5" t="d">
        <x:v>2017-11-15T00:00:00.000Z</x:v>
      </x:c>
      <x:c r="C8973" s="1" t="str">
        <x:v>Same Day</x:v>
      </x:c>
      <x:c r="D8973" s="1" t="str">
        <x:v>Pacific Asia</x:v>
      </x:c>
      <x:c r="E8973" s="1" t="str">
        <x:v>SUSPECTED_FRAUD</x:v>
      </x:c>
      <x:c r="F8973" s="1" t="str">
        <x:v>Shipping canceled</x:v>
      </x:c>
      <x:c r="G8973" s="6" t="n">
        <x:v>0</x:v>
      </x:c>
      <x:c r="H8973" s="6" t="n">
        <x:v>0</x:v>
      </x:c>
      <x:c r="I8973" s="6" t="n">
        <x:f>G8973-H8973</x:f>
        <x:v>0</x:v>
      </x:c>
      <x:c r="J8973" s="6" t="n">
        <x:f>IF(OR(E8973="CANCELED",E8973="SUSPECTED_FRAUD",F8973="Shipping canceled"),0,1)</x:f>
        <x:v>0</x:v>
      </x:c>
      <x:c r="K8973" s="6" t="n">
        <x:f>IF(G8973&gt;H8973,1,0)</x:f>
        <x:v>0</x:v>
      </x:c>
      <x:c r="L8973" s="6" t="n">
        <x:f>J8973*K8973</x:f>
        <x:v>0</x:v>
      </x:c>
    </x:row>
    <x:row r="8974">
      <x:c r="A8974" s="1" t="n">
        <x:v>71870</x:v>
      </x:c>
      <x:c r="B8974" s="5" t="d">
        <x:v>2017-11-15T00:00:00.000Z</x:v>
      </x:c>
      <x:c r="C8974" s="1" t="str">
        <x:v>Same Day</x:v>
      </x:c>
      <x:c r="D8974" s="1" t="str">
        <x:v>Pacific Asia</x:v>
      </x:c>
      <x:c r="E8974" s="1" t="str">
        <x:v>PROCESSING</x:v>
      </x:c>
      <x:c r="F8974" s="1" t="str">
        <x:v>Shipping on time</x:v>
      </x:c>
      <x:c r="G8974" s="6" t="n">
        <x:v>0</x:v>
      </x:c>
      <x:c r="H8974" s="6" t="n">
        <x:v>0</x:v>
      </x:c>
      <x:c r="I8974" s="6" t="n">
        <x:f>G8974-H8974</x:f>
        <x:v>0</x:v>
      </x:c>
      <x:c r="J8974" s="6" t="n">
        <x:f>IF(OR(E8974="CANCELED",E8974="SUSPECTED_FRAUD",F8974="Shipping canceled"),0,1)</x:f>
        <x:v>1</x:v>
      </x:c>
      <x:c r="K8974" s="6" t="n">
        <x:f>IF(G8974&gt;H8974,1,0)</x:f>
        <x:v>0</x:v>
      </x:c>
      <x:c r="L8974" s="6" t="n">
        <x:f>J8974*K8974</x:f>
        <x:v>0</x:v>
      </x:c>
    </x:row>
    <x:row r="8975">
      <x:c r="A8975" s="1" t="n">
        <x:v>71873</x:v>
      </x:c>
      <x:c r="B8975" s="5" t="d">
        <x:v>2017-11-15T00:00:00.000Z</x:v>
      </x:c>
      <x:c r="C8975" s="1" t="str">
        <x:v>Standard Class</x:v>
      </x:c>
      <x:c r="D8975" s="1" t="str">
        <x:v>Pacific Asia</x:v>
      </x:c>
      <x:c r="E8975" s="1" t="str">
        <x:v>COMPLETE</x:v>
      </x:c>
      <x:c r="F8975" s="1" t="str">
        <x:v>Shipping on time</x:v>
      </x:c>
      <x:c r="G8975" s="6" t="n">
        <x:v>4</x:v>
      </x:c>
      <x:c r="H8975" s="6" t="n">
        <x:v>4</x:v>
      </x:c>
      <x:c r="I8975" s="6" t="n">
        <x:f>G8975-H8975</x:f>
        <x:v>0</x:v>
      </x:c>
      <x:c r="J8975" s="6" t="n">
        <x:f>IF(OR(E8975="CANCELED",E8975="SUSPECTED_FRAUD",F8975="Shipping canceled"),0,1)</x:f>
        <x:v>1</x:v>
      </x:c>
      <x:c r="K8975" s="6" t="n">
        <x:f>IF(G8975&gt;H8975,1,0)</x:f>
        <x:v>0</x:v>
      </x:c>
      <x:c r="L8975" s="6" t="n">
        <x:f>J8975*K8975</x:f>
        <x:v>0</x:v>
      </x:c>
    </x:row>
    <x:row r="8976">
      <x:c r="A8976" s="1" t="n">
        <x:v>71879</x:v>
      </x:c>
      <x:c r="B8976" s="5" t="d">
        <x:v>2017-11-15T00:00:00.000Z</x:v>
      </x:c>
      <x:c r="C8976" s="1" t="str">
        <x:v>Second Class</x:v>
      </x:c>
      <x:c r="D8976" s="1" t="str">
        <x:v>Pacific Asia</x:v>
      </x:c>
      <x:c r="E8976" s="1" t="str">
        <x:v>CLOSED</x:v>
      </x:c>
      <x:c r="F8976" s="1" t="str">
        <x:v>Late delivery</x:v>
      </x:c>
      <x:c r="G8976" s="6" t="n">
        <x:v>5</x:v>
      </x:c>
      <x:c r="H8976" s="6" t="n">
        <x:v>2</x:v>
      </x:c>
      <x:c r="I8976" s="6" t="n">
        <x:f>G8976-H8976</x:f>
        <x:v>3</x:v>
      </x:c>
      <x:c r="J8976" s="6" t="n">
        <x:f>IF(OR(E8976="CANCELED",E8976="SUSPECTED_FRAUD",F8976="Shipping canceled"),0,1)</x:f>
        <x:v>1</x:v>
      </x:c>
      <x:c r="K8976" s="6" t="n">
        <x:f>IF(G8976&gt;H8976,1,0)</x:f>
        <x:v>1</x:v>
      </x:c>
      <x:c r="L8976" s="6" t="n">
        <x:f>J8976*K8976</x:f>
        <x:v>1</x:v>
      </x:c>
    </x:row>
    <x:row r="8977">
      <x:c r="A8977" s="1" t="n">
        <x:v>71883</x:v>
      </x:c>
      <x:c r="B8977" s="5" t="d">
        <x:v>2017-11-15T00:00:00.000Z</x:v>
      </x:c>
      <x:c r="C8977" s="1" t="str">
        <x:v>Standard Class</x:v>
      </x:c>
      <x:c r="D8977" s="1" t="str">
        <x:v>Pacific Asia</x:v>
      </x:c>
      <x:c r="E8977" s="1" t="str">
        <x:v>PENDING_PAYMENT</x:v>
      </x:c>
      <x:c r="F8977" s="1" t="str">
        <x:v>Shipping on time</x:v>
      </x:c>
      <x:c r="G8977" s="6" t="n">
        <x:v>4</x:v>
      </x:c>
      <x:c r="H8977" s="6" t="n">
        <x:v>4</x:v>
      </x:c>
      <x:c r="I8977" s="6" t="n">
        <x:f>G8977-H8977</x:f>
        <x:v>0</x:v>
      </x:c>
      <x:c r="J8977" s="6" t="n">
        <x:f>IF(OR(E8977="CANCELED",E8977="SUSPECTED_FRAUD",F8977="Shipping canceled"),0,1)</x:f>
        <x:v>1</x:v>
      </x:c>
      <x:c r="K8977" s="6" t="n">
        <x:f>IF(G8977&gt;H8977,1,0)</x:f>
        <x:v>0</x:v>
      </x:c>
      <x:c r="L8977" s="6" t="n">
        <x:f>J8977*K8977</x:f>
        <x:v>0</x:v>
      </x:c>
    </x:row>
    <x:row r="8978">
      <x:c r="A8978" s="1" t="n">
        <x:v>71894</x:v>
      </x:c>
      <x:c r="B8978" s="5" t="d">
        <x:v>2017-11-15T00:00:00.000Z</x:v>
      </x:c>
      <x:c r="C8978" s="1" t="str">
        <x:v>Standard Class</x:v>
      </x:c>
      <x:c r="D8978" s="1" t="str">
        <x:v>Pacific Asia</x:v>
      </x:c>
      <x:c r="E8978" s="1" t="str">
        <x:v>COMPLETE</x:v>
      </x:c>
      <x:c r="F8978" s="1" t="str">
        <x:v>Late delivery</x:v>
      </x:c>
      <x:c r="G8978" s="6" t="n">
        <x:v>5</x:v>
      </x:c>
      <x:c r="H8978" s="6" t="n">
        <x:v>4</x:v>
      </x:c>
      <x:c r="I8978" s="6" t="n">
        <x:f>G8978-H8978</x:f>
        <x:v>1</x:v>
      </x:c>
      <x:c r="J8978" s="6" t="n">
        <x:f>IF(OR(E8978="CANCELED",E8978="SUSPECTED_FRAUD",F8978="Shipping canceled"),0,1)</x:f>
        <x:v>1</x:v>
      </x:c>
      <x:c r="K8978" s="6" t="n">
        <x:f>IF(G8978&gt;H8978,1,0)</x:f>
        <x:v>1</x:v>
      </x:c>
      <x:c r="L8978" s="6" t="n">
        <x:f>J8978*K8978</x:f>
        <x:v>1</x:v>
      </x:c>
    </x:row>
    <x:row r="8979">
      <x:c r="A8979" s="1" t="n">
        <x:v>71904</x:v>
      </x:c>
      <x:c r="B8979" s="5" t="d">
        <x:v>2017-11-15T00:00:00.000Z</x:v>
      </x:c>
      <x:c r="C8979" s="1" t="str">
        <x:v>Standard Class</x:v>
      </x:c>
      <x:c r="D8979" s="1" t="str">
        <x:v>Pacific Asia</x:v>
      </x:c>
      <x:c r="E8979" s="1" t="str">
        <x:v>COMPLETE</x:v>
      </x:c>
      <x:c r="F8979" s="1" t="str">
        <x:v>Late delivery</x:v>
      </x:c>
      <x:c r="G8979" s="6" t="n">
        <x:v>5</x:v>
      </x:c>
      <x:c r="H8979" s="6" t="n">
        <x:v>4</x:v>
      </x:c>
      <x:c r="I8979" s="6" t="n">
        <x:f>G8979-H8979</x:f>
        <x:v>1</x:v>
      </x:c>
      <x:c r="J8979" s="6" t="n">
        <x:f>IF(OR(E8979="CANCELED",E8979="SUSPECTED_FRAUD",F8979="Shipping canceled"),0,1)</x:f>
        <x:v>1</x:v>
      </x:c>
      <x:c r="K8979" s="6" t="n">
        <x:f>IF(G8979&gt;H8979,1,0)</x:f>
        <x:v>1</x:v>
      </x:c>
      <x:c r="L8979" s="6" t="n">
        <x:f>J8979*K8979</x:f>
        <x:v>1</x:v>
      </x:c>
    </x:row>
    <x:row r="8980">
      <x:c r="A8980" s="1" t="n">
        <x:v>71905</x:v>
      </x:c>
      <x:c r="B8980" s="5" t="d">
        <x:v>2017-11-15T00:00:00.000Z</x:v>
      </x:c>
      <x:c r="C8980" s="1" t="str">
        <x:v>Standard Class</x:v>
      </x:c>
      <x:c r="D8980" s="1" t="str">
        <x:v>Pacific Asia</x:v>
      </x:c>
      <x:c r="E8980" s="1" t="str">
        <x:v>COMPLETE</x:v>
      </x:c>
      <x:c r="F8980" s="1" t="str">
        <x:v>Late delivery</x:v>
      </x:c>
      <x:c r="G8980" s="6" t="n">
        <x:v>6</x:v>
      </x:c>
      <x:c r="H8980" s="6" t="n">
        <x:v>4</x:v>
      </x:c>
      <x:c r="I8980" s="6" t="n">
        <x:f>G8980-H8980</x:f>
        <x:v>2</x:v>
      </x:c>
      <x:c r="J8980" s="6" t="n">
        <x:f>IF(OR(E8980="CANCELED",E8980="SUSPECTED_FRAUD",F8980="Shipping canceled"),0,1)</x:f>
        <x:v>1</x:v>
      </x:c>
      <x:c r="K8980" s="6" t="n">
        <x:f>IF(G8980&gt;H8980,1,0)</x:f>
        <x:v>1</x:v>
      </x:c>
      <x:c r="L8980" s="6" t="n">
        <x:f>J8980*K8980</x:f>
        <x:v>1</x:v>
      </x:c>
    </x:row>
    <x:row r="8981">
      <x:c r="A8981" s="1" t="n">
        <x:v>71922</x:v>
      </x:c>
      <x:c r="B8981" s="5" t="d">
        <x:v>2017-11-15T00:00:00.000Z</x:v>
      </x:c>
      <x:c r="C8981" s="1" t="str">
        <x:v>Standard Class</x:v>
      </x:c>
      <x:c r="D8981" s="1" t="str">
        <x:v>Pacific Asia</x:v>
      </x:c>
      <x:c r="E8981" s="1" t="str">
        <x:v>COMPLETE</x:v>
      </x:c>
      <x:c r="F8981" s="1" t="str">
        <x:v>Advance shipping</x:v>
      </x:c>
      <x:c r="G8981" s="6" t="n">
        <x:v>3</x:v>
      </x:c>
      <x:c r="H8981" s="6" t="n">
        <x:v>4</x:v>
      </x:c>
      <x:c r="I8981" s="6" t="n">
        <x:f>G8981-H8981</x:f>
        <x:v>-1</x:v>
      </x:c>
      <x:c r="J8981" s="6" t="n">
        <x:f>IF(OR(E8981="CANCELED",E8981="SUSPECTED_FRAUD",F8981="Shipping canceled"),0,1)</x:f>
        <x:v>1</x:v>
      </x:c>
      <x:c r="K8981" s="6" t="n">
        <x:f>IF(G8981&gt;H8981,1,0)</x:f>
        <x:v>0</x:v>
      </x:c>
      <x:c r="L8981" s="6" t="n">
        <x:f>J8981*K8981</x:f>
        <x:v>0</x:v>
      </x:c>
    </x:row>
    <x:row r="8982">
      <x:c r="A8982" s="1" t="n">
        <x:v>71936</x:v>
      </x:c>
      <x:c r="B8982" s="5" t="d">
        <x:v>2017-11-16T00:00:00.000Z</x:v>
      </x:c>
      <x:c r="C8982" s="1" t="str">
        <x:v>Standard Class</x:v>
      </x:c>
      <x:c r="D8982" s="1" t="str">
        <x:v>Pacific Asia</x:v>
      </x:c>
      <x:c r="E8982" s="1" t="str">
        <x:v>COMPLETE</x:v>
      </x:c>
      <x:c r="F8982" s="1" t="str">
        <x:v>Advance shipping</x:v>
      </x:c>
      <x:c r="G8982" s="6" t="n">
        <x:v>2</x:v>
      </x:c>
      <x:c r="H8982" s="6" t="n">
        <x:v>4</x:v>
      </x:c>
      <x:c r="I8982" s="6" t="n">
        <x:f>G8982-H8982</x:f>
        <x:v>-2</x:v>
      </x:c>
      <x:c r="J8982" s="6" t="n">
        <x:f>IF(OR(E8982="CANCELED",E8982="SUSPECTED_FRAUD",F8982="Shipping canceled"),0,1)</x:f>
        <x:v>1</x:v>
      </x:c>
      <x:c r="K8982" s="6" t="n">
        <x:f>IF(G8982&gt;H8982,1,0)</x:f>
        <x:v>0</x:v>
      </x:c>
      <x:c r="L8982" s="6" t="n">
        <x:f>J8982*K8982</x:f>
        <x:v>0</x:v>
      </x:c>
    </x:row>
    <x:row r="8983">
      <x:c r="A8983" s="1" t="n">
        <x:v>71937</x:v>
      </x:c>
      <x:c r="B8983" s="5" t="d">
        <x:v>2017-11-16T00:00:00.000Z</x:v>
      </x:c>
      <x:c r="C8983" s="1" t="str">
        <x:v>Standard Class</x:v>
      </x:c>
      <x:c r="D8983" s="1" t="str">
        <x:v>Pacific Asia</x:v>
      </x:c>
      <x:c r="E8983" s="1" t="str">
        <x:v>COMPLETE</x:v>
      </x:c>
      <x:c r="F8983" s="1" t="str">
        <x:v>Advance shipping</x:v>
      </x:c>
      <x:c r="G8983" s="6" t="n">
        <x:v>3</x:v>
      </x:c>
      <x:c r="H8983" s="6" t="n">
        <x:v>4</x:v>
      </x:c>
      <x:c r="I8983" s="6" t="n">
        <x:f>G8983-H8983</x:f>
        <x:v>-1</x:v>
      </x:c>
      <x:c r="J8983" s="6" t="n">
        <x:f>IF(OR(E8983="CANCELED",E8983="SUSPECTED_FRAUD",F8983="Shipping canceled"),0,1)</x:f>
        <x:v>1</x:v>
      </x:c>
      <x:c r="K8983" s="6" t="n">
        <x:f>IF(G8983&gt;H8983,1,0)</x:f>
        <x:v>0</x:v>
      </x:c>
      <x:c r="L8983" s="6" t="n">
        <x:f>J8983*K8983</x:f>
        <x:v>0</x:v>
      </x:c>
    </x:row>
    <x:row r="8984">
      <x:c r="A8984" s="1" t="n">
        <x:v>71938</x:v>
      </x:c>
      <x:c r="B8984" s="5" t="d">
        <x:v>2017-11-16T00:00:00.000Z</x:v>
      </x:c>
      <x:c r="C8984" s="1" t="str">
        <x:v>Second Class</x:v>
      </x:c>
      <x:c r="D8984" s="1" t="str">
        <x:v>Pacific Asia</x:v>
      </x:c>
      <x:c r="E8984" s="1" t="str">
        <x:v>CLOSED</x:v>
      </x:c>
      <x:c r="F8984" s="1" t="str">
        <x:v>Late delivery</x:v>
      </x:c>
      <x:c r="G8984" s="6" t="n">
        <x:v>4</x:v>
      </x:c>
      <x:c r="H8984" s="6" t="n">
        <x:v>2</x:v>
      </x:c>
      <x:c r="I8984" s="6" t="n">
        <x:f>G8984-H8984</x:f>
        <x:v>2</x:v>
      </x:c>
      <x:c r="J8984" s="6" t="n">
        <x:f>IF(OR(E8984="CANCELED",E8984="SUSPECTED_FRAUD",F8984="Shipping canceled"),0,1)</x:f>
        <x:v>1</x:v>
      </x:c>
      <x:c r="K8984" s="6" t="n">
        <x:f>IF(G8984&gt;H8984,1,0)</x:f>
        <x:v>1</x:v>
      </x:c>
      <x:c r="L8984" s="6" t="n">
        <x:f>J8984*K8984</x:f>
        <x:v>1</x:v>
      </x:c>
    </x:row>
    <x:row r="8985">
      <x:c r="A8985" s="1" t="n">
        <x:v>71944</x:v>
      </x:c>
      <x:c r="B8985" s="5" t="d">
        <x:v>2017-11-16T00:00:00.000Z</x:v>
      </x:c>
      <x:c r="C8985" s="1" t="str">
        <x:v>Standard Class</x:v>
      </x:c>
      <x:c r="D8985" s="1" t="str">
        <x:v>Pacific Asia</x:v>
      </x:c>
      <x:c r="E8985" s="1" t="str">
        <x:v>COMPLETE</x:v>
      </x:c>
      <x:c r="F8985" s="1" t="str">
        <x:v>Late delivery</x:v>
      </x:c>
      <x:c r="G8985" s="6" t="n">
        <x:v>5</x:v>
      </x:c>
      <x:c r="H8985" s="6" t="n">
        <x:v>4</x:v>
      </x:c>
      <x:c r="I8985" s="6" t="n">
        <x:f>G8985-H8985</x:f>
        <x:v>1</x:v>
      </x:c>
      <x:c r="J8985" s="6" t="n">
        <x:f>IF(OR(E8985="CANCELED",E8985="SUSPECTED_FRAUD",F8985="Shipping canceled"),0,1)</x:f>
        <x:v>1</x:v>
      </x:c>
      <x:c r="K8985" s="6" t="n">
        <x:f>IF(G8985&gt;H8985,1,0)</x:f>
        <x:v>1</x:v>
      </x:c>
      <x:c r="L8985" s="6" t="n">
        <x:f>J8985*K8985</x:f>
        <x:v>1</x:v>
      </x:c>
    </x:row>
    <x:row r="8986">
      <x:c r="A8986" s="1" t="n">
        <x:v>71945</x:v>
      </x:c>
      <x:c r="B8986" s="5" t="d">
        <x:v>2017-11-16T00:00:00.000Z</x:v>
      </x:c>
      <x:c r="C8986" s="1" t="str">
        <x:v>Standard Class</x:v>
      </x:c>
      <x:c r="D8986" s="1" t="str">
        <x:v>Pacific Asia</x:v>
      </x:c>
      <x:c r="E8986" s="1" t="str">
        <x:v>COMPLETE</x:v>
      </x:c>
      <x:c r="F8986" s="1" t="str">
        <x:v>Late delivery</x:v>
      </x:c>
      <x:c r="G8986" s="6" t="n">
        <x:v>6</x:v>
      </x:c>
      <x:c r="H8986" s="6" t="n">
        <x:v>4</x:v>
      </x:c>
      <x:c r="I8986" s="6" t="n">
        <x:f>G8986-H8986</x:f>
        <x:v>2</x:v>
      </x:c>
      <x:c r="J8986" s="6" t="n">
        <x:f>IF(OR(E8986="CANCELED",E8986="SUSPECTED_FRAUD",F8986="Shipping canceled"),0,1)</x:f>
        <x:v>1</x:v>
      </x:c>
      <x:c r="K8986" s="6" t="n">
        <x:f>IF(G8986&gt;H8986,1,0)</x:f>
        <x:v>1</x:v>
      </x:c>
      <x:c r="L8986" s="6" t="n">
        <x:f>J8986*K8986</x:f>
        <x:v>1</x:v>
      </x:c>
    </x:row>
    <x:row r="8987">
      <x:c r="A8987" s="1" t="n">
        <x:v>71947</x:v>
      </x:c>
      <x:c r="B8987" s="5" t="d">
        <x:v>2017-11-16T00:00:00.000Z</x:v>
      </x:c>
      <x:c r="C8987" s="1" t="str">
        <x:v>Standard Class</x:v>
      </x:c>
      <x:c r="D8987" s="1" t="str">
        <x:v>Pacific Asia</x:v>
      </x:c>
      <x:c r="E8987" s="1" t="str">
        <x:v>COMPLETE</x:v>
      </x:c>
      <x:c r="F8987" s="1" t="str">
        <x:v>Advance shipping</x:v>
      </x:c>
      <x:c r="G8987" s="6" t="n">
        <x:v>3</x:v>
      </x:c>
      <x:c r="H8987" s="6" t="n">
        <x:v>4</x:v>
      </x:c>
      <x:c r="I8987" s="6" t="n">
        <x:f>G8987-H8987</x:f>
        <x:v>-1</x:v>
      </x:c>
      <x:c r="J8987" s="6" t="n">
        <x:f>IF(OR(E8987="CANCELED",E8987="SUSPECTED_FRAUD",F8987="Shipping canceled"),0,1)</x:f>
        <x:v>1</x:v>
      </x:c>
      <x:c r="K8987" s="6" t="n">
        <x:f>IF(G8987&gt;H8987,1,0)</x:f>
        <x:v>0</x:v>
      </x:c>
      <x:c r="L8987" s="6" t="n">
        <x:f>J8987*K8987</x:f>
        <x:v>0</x:v>
      </x:c>
    </x:row>
    <x:row r="8988">
      <x:c r="A8988" s="1" t="n">
        <x:v>71973</x:v>
      </x:c>
      <x:c r="B8988" s="5" t="d">
        <x:v>2017-11-16T00:00:00.000Z</x:v>
      </x:c>
      <x:c r="C8988" s="1" t="str">
        <x:v>Standard Class</x:v>
      </x:c>
      <x:c r="D8988" s="1" t="str">
        <x:v>Pacific Asia</x:v>
      </x:c>
      <x:c r="E8988" s="1" t="str">
        <x:v>ON_HOLD</x:v>
      </x:c>
      <x:c r="F8988" s="1" t="str">
        <x:v>Shipping on time</x:v>
      </x:c>
      <x:c r="G8988" s="6" t="n">
        <x:v>4</x:v>
      </x:c>
      <x:c r="H8988" s="6" t="n">
        <x:v>4</x:v>
      </x:c>
      <x:c r="I8988" s="6" t="n">
        <x:f>G8988-H8988</x:f>
        <x:v>0</x:v>
      </x:c>
      <x:c r="J8988" s="6" t="n">
        <x:f>IF(OR(E8988="CANCELED",E8988="SUSPECTED_FRAUD",F8988="Shipping canceled"),0,1)</x:f>
        <x:v>1</x:v>
      </x:c>
      <x:c r="K8988" s="6" t="n">
        <x:f>IF(G8988&gt;H8988,1,0)</x:f>
        <x:v>0</x:v>
      </x:c>
      <x:c r="L8988" s="6" t="n">
        <x:f>J8988*K8988</x:f>
        <x:v>0</x:v>
      </x:c>
    </x:row>
    <x:row r="8989">
      <x:c r="A8989" s="1" t="n">
        <x:v>71986</x:v>
      </x:c>
      <x:c r="B8989" s="5" t="d">
        <x:v>2017-11-16T00:00:00.000Z</x:v>
      </x:c>
      <x:c r="C8989" s="1" t="str">
        <x:v>Standard Class</x:v>
      </x:c>
      <x:c r="D8989" s="1" t="str">
        <x:v>Pacific Asia</x:v>
      </x:c>
      <x:c r="E8989" s="1" t="str">
        <x:v>COMPLETE</x:v>
      </x:c>
      <x:c r="F8989" s="1" t="str">
        <x:v>Advance shipping</x:v>
      </x:c>
      <x:c r="G8989" s="6" t="n">
        <x:v>2</x:v>
      </x:c>
      <x:c r="H8989" s="6" t="n">
        <x:v>4</x:v>
      </x:c>
      <x:c r="I8989" s="6" t="n">
        <x:f>G8989-H8989</x:f>
        <x:v>-2</x:v>
      </x:c>
      <x:c r="J8989" s="6" t="n">
        <x:f>IF(OR(E8989="CANCELED",E8989="SUSPECTED_FRAUD",F8989="Shipping canceled"),0,1)</x:f>
        <x:v>1</x:v>
      </x:c>
      <x:c r="K8989" s="6" t="n">
        <x:f>IF(G8989&gt;H8989,1,0)</x:f>
        <x:v>0</x:v>
      </x:c>
      <x:c r="L8989" s="6" t="n">
        <x:f>J8989*K8989</x:f>
        <x:v>0</x:v>
      </x:c>
    </x:row>
    <x:row r="8990">
      <x:c r="A8990" s="1" t="n">
        <x:v>72016</x:v>
      </x:c>
      <x:c r="B8990" s="5" t="d">
        <x:v>2017-11-17T00:00:00.000Z</x:v>
      </x:c>
      <x:c r="C8990" s="1" t="str">
        <x:v>Standard Class</x:v>
      </x:c>
      <x:c r="D8990" s="1" t="str">
        <x:v>Pacific Asia</x:v>
      </x:c>
      <x:c r="E8990" s="1" t="str">
        <x:v>COMPLETE</x:v>
      </x:c>
      <x:c r="F8990" s="1" t="str">
        <x:v>Advance shipping</x:v>
      </x:c>
      <x:c r="G8990" s="6" t="n">
        <x:v>2</x:v>
      </x:c>
      <x:c r="H8990" s="6" t="n">
        <x:v>4</x:v>
      </x:c>
      <x:c r="I8990" s="6" t="n">
        <x:f>G8990-H8990</x:f>
        <x:v>-2</x:v>
      </x:c>
      <x:c r="J8990" s="6" t="n">
        <x:f>IF(OR(E8990="CANCELED",E8990="SUSPECTED_FRAUD",F8990="Shipping canceled"),0,1)</x:f>
        <x:v>1</x:v>
      </x:c>
      <x:c r="K8990" s="6" t="n">
        <x:f>IF(G8990&gt;H8990,1,0)</x:f>
        <x:v>0</x:v>
      </x:c>
      <x:c r="L8990" s="6" t="n">
        <x:f>J8990*K8990</x:f>
        <x:v>0</x:v>
      </x:c>
    </x:row>
    <x:row r="8991">
      <x:c r="A8991" s="1" t="n">
        <x:v>72029</x:v>
      </x:c>
      <x:c r="B8991" s="5" t="d">
        <x:v>2017-11-17T00:00:00.000Z</x:v>
      </x:c>
      <x:c r="C8991" s="1" t="str">
        <x:v>First Class</x:v>
      </x:c>
      <x:c r="D8991" s="1" t="str">
        <x:v>Pacific Asia</x:v>
      </x:c>
      <x:c r="E8991" s="1" t="str">
        <x:v>CLOSED</x:v>
      </x:c>
      <x:c r="F8991" s="1" t="str">
        <x:v>Late delivery</x:v>
      </x:c>
      <x:c r="G8991" s="6" t="n">
        <x:v>2</x:v>
      </x:c>
      <x:c r="H8991" s="6" t="n">
        <x:v>1</x:v>
      </x:c>
      <x:c r="I8991" s="6" t="n">
        <x:f>G8991-H8991</x:f>
        <x:v>1</x:v>
      </x:c>
      <x:c r="J8991" s="6" t="n">
        <x:f>IF(OR(E8991="CANCELED",E8991="SUSPECTED_FRAUD",F8991="Shipping canceled"),0,1)</x:f>
        <x:v>1</x:v>
      </x:c>
      <x:c r="K8991" s="6" t="n">
        <x:f>IF(G8991&gt;H8991,1,0)</x:f>
        <x:v>1</x:v>
      </x:c>
      <x:c r="L8991" s="6" t="n">
        <x:f>J8991*K8991</x:f>
        <x:v>1</x:v>
      </x:c>
    </x:row>
    <x:row r="8992">
      <x:c r="A8992" s="1" t="n">
        <x:v>72049</x:v>
      </x:c>
      <x:c r="B8992" s="5" t="d">
        <x:v>2017-11-17T00:00:00.000Z</x:v>
      </x:c>
      <x:c r="C8992" s="1" t="str">
        <x:v>Standard Class</x:v>
      </x:c>
      <x:c r="D8992" s="1" t="str">
        <x:v>Pacific Asia</x:v>
      </x:c>
      <x:c r="E8992" s="1" t="str">
        <x:v>ON_HOLD</x:v>
      </x:c>
      <x:c r="F8992" s="1" t="str">
        <x:v>Late delivery</x:v>
      </x:c>
      <x:c r="G8992" s="6" t="n">
        <x:v>5</x:v>
      </x:c>
      <x:c r="H8992" s="6" t="n">
        <x:v>4</x:v>
      </x:c>
      <x:c r="I8992" s="6" t="n">
        <x:f>G8992-H8992</x:f>
        <x:v>1</x:v>
      </x:c>
      <x:c r="J8992" s="6" t="n">
        <x:f>IF(OR(E8992="CANCELED",E8992="SUSPECTED_FRAUD",F8992="Shipping canceled"),0,1)</x:f>
        <x:v>1</x:v>
      </x:c>
      <x:c r="K8992" s="6" t="n">
        <x:f>IF(G8992&gt;H8992,1,0)</x:f>
        <x:v>1</x:v>
      </x:c>
      <x:c r="L8992" s="6" t="n">
        <x:f>J8992*K8992</x:f>
        <x:v>1</x:v>
      </x:c>
    </x:row>
    <x:row r="8993">
      <x:c r="A8993" s="1" t="n">
        <x:v>72053</x:v>
      </x:c>
      <x:c r="B8993" s="5" t="d">
        <x:v>2017-11-17T00:00:00.000Z</x:v>
      </x:c>
      <x:c r="C8993" s="1" t="str">
        <x:v>Standard Class</x:v>
      </x:c>
      <x:c r="D8993" s="1" t="str">
        <x:v>Pacific Asia</x:v>
      </x:c>
      <x:c r="E8993" s="1" t="str">
        <x:v>COMPLETE</x:v>
      </x:c>
      <x:c r="F8993" s="1" t="str">
        <x:v>Shipping on time</x:v>
      </x:c>
      <x:c r="G8993" s="6" t="n">
        <x:v>4</x:v>
      </x:c>
      <x:c r="H8993" s="6" t="n">
        <x:v>4</x:v>
      </x:c>
      <x:c r="I8993" s="6" t="n">
        <x:f>G8993-H8993</x:f>
        <x:v>0</x:v>
      </x:c>
      <x:c r="J8993" s="6" t="n">
        <x:f>IF(OR(E8993="CANCELED",E8993="SUSPECTED_FRAUD",F8993="Shipping canceled"),0,1)</x:f>
        <x:v>1</x:v>
      </x:c>
      <x:c r="K8993" s="6" t="n">
        <x:f>IF(G8993&gt;H8993,1,0)</x:f>
        <x:v>0</x:v>
      </x:c>
      <x:c r="L8993" s="6" t="n">
        <x:f>J8993*K8993</x:f>
        <x:v>0</x:v>
      </x:c>
    </x:row>
    <x:row r="8994">
      <x:c r="A8994" s="1" t="n">
        <x:v>72071</x:v>
      </x:c>
      <x:c r="B8994" s="5" t="d">
        <x:v>2017-11-18T00:00:00.000Z</x:v>
      </x:c>
      <x:c r="C8994" s="1" t="str">
        <x:v>Standard Class</x:v>
      </x:c>
      <x:c r="D8994" s="1" t="str">
        <x:v>Pacific Asia</x:v>
      </x:c>
      <x:c r="E8994" s="1" t="str">
        <x:v>CLOSED</x:v>
      </x:c>
      <x:c r="F8994" s="1" t="str">
        <x:v>Advance shipping</x:v>
      </x:c>
      <x:c r="G8994" s="6" t="n">
        <x:v>2</x:v>
      </x:c>
      <x:c r="H8994" s="6" t="n">
        <x:v>4</x:v>
      </x:c>
      <x:c r="I8994" s="6" t="n">
        <x:f>G8994-H8994</x:f>
        <x:v>-2</x:v>
      </x:c>
      <x:c r="J8994" s="6" t="n">
        <x:f>IF(OR(E8994="CANCELED",E8994="SUSPECTED_FRAUD",F8994="Shipping canceled"),0,1)</x:f>
        <x:v>1</x:v>
      </x:c>
      <x:c r="K8994" s="6" t="n">
        <x:f>IF(G8994&gt;H8994,1,0)</x:f>
        <x:v>0</x:v>
      </x:c>
      <x:c r="L8994" s="6" t="n">
        <x:f>J8994*K8994</x:f>
        <x:v>0</x:v>
      </x:c>
    </x:row>
    <x:row r="8995">
      <x:c r="A8995" s="1" t="n">
        <x:v>72107</x:v>
      </x:c>
      <x:c r="B8995" s="5" t="d">
        <x:v>2017-11-18T00:00:00.000Z</x:v>
      </x:c>
      <x:c r="C8995" s="1" t="str">
        <x:v>Standard Class</x:v>
      </x:c>
      <x:c r="D8995" s="1" t="str">
        <x:v>Pacific Asia</x:v>
      </x:c>
      <x:c r="E8995" s="1" t="str">
        <x:v>COMPLETE</x:v>
      </x:c>
      <x:c r="F8995" s="1" t="str">
        <x:v>Advance shipping</x:v>
      </x:c>
      <x:c r="G8995" s="6" t="n">
        <x:v>3</x:v>
      </x:c>
      <x:c r="H8995" s="6" t="n">
        <x:v>4</x:v>
      </x:c>
      <x:c r="I8995" s="6" t="n">
        <x:f>G8995-H8995</x:f>
        <x:v>-1</x:v>
      </x:c>
      <x:c r="J8995" s="6" t="n">
        <x:f>IF(OR(E8995="CANCELED",E8995="SUSPECTED_FRAUD",F8995="Shipping canceled"),0,1)</x:f>
        <x:v>1</x:v>
      </x:c>
      <x:c r="K8995" s="6" t="n">
        <x:f>IF(G8995&gt;H8995,1,0)</x:f>
        <x:v>0</x:v>
      </x:c>
      <x:c r="L8995" s="6" t="n">
        <x:f>J8995*K8995</x:f>
        <x:v>0</x:v>
      </x:c>
    </x:row>
    <x:row r="8996">
      <x:c r="A8996" s="1" t="n">
        <x:v>72122</x:v>
      </x:c>
      <x:c r="B8996" s="5" t="d">
        <x:v>2017-11-18T00:00:00.000Z</x:v>
      </x:c>
      <x:c r="C8996" s="1" t="str">
        <x:v>Standard Class</x:v>
      </x:c>
      <x:c r="D8996" s="1" t="str">
        <x:v>Pacific Asia</x:v>
      </x:c>
      <x:c r="E8996" s="1" t="str">
        <x:v>COMPLETE</x:v>
      </x:c>
      <x:c r="F8996" s="1" t="str">
        <x:v>Advance shipping</x:v>
      </x:c>
      <x:c r="G8996" s="6" t="n">
        <x:v>3</x:v>
      </x:c>
      <x:c r="H8996" s="6" t="n">
        <x:v>4</x:v>
      </x:c>
      <x:c r="I8996" s="6" t="n">
        <x:f>G8996-H8996</x:f>
        <x:v>-1</x:v>
      </x:c>
      <x:c r="J8996" s="6" t="n">
        <x:f>IF(OR(E8996="CANCELED",E8996="SUSPECTED_FRAUD",F8996="Shipping canceled"),0,1)</x:f>
        <x:v>1</x:v>
      </x:c>
      <x:c r="K8996" s="6" t="n">
        <x:f>IF(G8996&gt;H8996,1,0)</x:f>
        <x:v>0</x:v>
      </x:c>
      <x:c r="L8996" s="6" t="n">
        <x:f>J8996*K8996</x:f>
        <x:v>0</x:v>
      </x:c>
    </x:row>
    <x:row r="8997">
      <x:c r="A8997" s="1" t="n">
        <x:v>72143</x:v>
      </x:c>
      <x:c r="B8997" s="5" t="d">
        <x:v>2017-11-19T00:00:00.000Z</x:v>
      </x:c>
      <x:c r="C8997" s="1" t="str">
        <x:v>Second Class</x:v>
      </x:c>
      <x:c r="D8997" s="1" t="str">
        <x:v>Pacific Asia</x:v>
      </x:c>
      <x:c r="E8997" s="1" t="str">
        <x:v>PENDING</x:v>
      </x:c>
      <x:c r="F8997" s="1" t="str">
        <x:v>Late delivery</x:v>
      </x:c>
      <x:c r="G8997" s="6" t="n">
        <x:v>4</x:v>
      </x:c>
      <x:c r="H8997" s="6" t="n">
        <x:v>2</x:v>
      </x:c>
      <x:c r="I8997" s="6" t="n">
        <x:f>G8997-H8997</x:f>
        <x:v>2</x:v>
      </x:c>
      <x:c r="J8997" s="6" t="n">
        <x:f>IF(OR(E8997="CANCELED",E8997="SUSPECTED_FRAUD",F8997="Shipping canceled"),0,1)</x:f>
        <x:v>1</x:v>
      </x:c>
      <x:c r="K8997" s="6" t="n">
        <x:f>IF(G8997&gt;H8997,1,0)</x:f>
        <x:v>1</x:v>
      </x:c>
      <x:c r="L8997" s="6" t="n">
        <x:f>J8997*K8997</x:f>
        <x:v>1</x:v>
      </x:c>
    </x:row>
    <x:row r="8998">
      <x:c r="A8998" s="1" t="n">
        <x:v>72146</x:v>
      </x:c>
      <x:c r="B8998" s="5" t="d">
        <x:v>2017-11-19T00:00:00.000Z</x:v>
      </x:c>
      <x:c r="C8998" s="1" t="str">
        <x:v>Second Class</x:v>
      </x:c>
      <x:c r="D8998" s="1" t="str">
        <x:v>Pacific Asia</x:v>
      </x:c>
      <x:c r="E8998" s="1" t="str">
        <x:v>COMPLETE</x:v>
      </x:c>
      <x:c r="F8998" s="1" t="str">
        <x:v>Shipping on time</x:v>
      </x:c>
      <x:c r="G8998" s="6" t="n">
        <x:v>2</x:v>
      </x:c>
      <x:c r="H8998" s="6" t="n">
        <x:v>2</x:v>
      </x:c>
      <x:c r="I8998" s="6" t="n">
        <x:f>G8998-H8998</x:f>
        <x:v>0</x:v>
      </x:c>
      <x:c r="J8998" s="6" t="n">
        <x:f>IF(OR(E8998="CANCELED",E8998="SUSPECTED_FRAUD",F8998="Shipping canceled"),0,1)</x:f>
        <x:v>1</x:v>
      </x:c>
      <x:c r="K8998" s="6" t="n">
        <x:f>IF(G8998&gt;H8998,1,0)</x:f>
        <x:v>0</x:v>
      </x:c>
      <x:c r="L8998" s="6" t="n">
        <x:f>J8998*K8998</x:f>
        <x:v>0</x:v>
      </x:c>
    </x:row>
    <x:row r="8999">
      <x:c r="A8999" s="1" t="n">
        <x:v>72188</x:v>
      </x:c>
      <x:c r="B8999" s="5" t="d">
        <x:v>2017-11-19T00:00:00.000Z</x:v>
      </x:c>
      <x:c r="C8999" s="1" t="str">
        <x:v>Second Class</x:v>
      </x:c>
      <x:c r="D8999" s="1" t="str">
        <x:v>Pacific Asia</x:v>
      </x:c>
      <x:c r="E8999" s="1" t="str">
        <x:v>COMPLETE</x:v>
      </x:c>
      <x:c r="F8999" s="1" t="str">
        <x:v>Late delivery</x:v>
      </x:c>
      <x:c r="G8999" s="6" t="n">
        <x:v>4</x:v>
      </x:c>
      <x:c r="H8999" s="6" t="n">
        <x:v>2</x:v>
      </x:c>
      <x:c r="I8999" s="6" t="n">
        <x:f>G8999-H8999</x:f>
        <x:v>2</x:v>
      </x:c>
      <x:c r="J8999" s="6" t="n">
        <x:f>IF(OR(E8999="CANCELED",E8999="SUSPECTED_FRAUD",F8999="Shipping canceled"),0,1)</x:f>
        <x:v>1</x:v>
      </x:c>
      <x:c r="K8999" s="6" t="n">
        <x:f>IF(G8999&gt;H8999,1,0)</x:f>
        <x:v>1</x:v>
      </x:c>
      <x:c r="L8999" s="6" t="n">
        <x:f>J8999*K8999</x:f>
        <x:v>1</x:v>
      </x:c>
    </x:row>
    <x:row r="9000">
      <x:c r="A9000" s="1" t="n">
        <x:v>72199</x:v>
      </x:c>
      <x:c r="B9000" s="5" t="d">
        <x:v>2017-11-19T00:00:00.000Z</x:v>
      </x:c>
      <x:c r="C9000" s="1" t="str">
        <x:v>Standard Class</x:v>
      </x:c>
      <x:c r="D9000" s="1" t="str">
        <x:v>Pacific Asia</x:v>
      </x:c>
      <x:c r="E9000" s="1" t="str">
        <x:v>PENDING_PAYMENT</x:v>
      </x:c>
      <x:c r="F9000" s="1" t="str">
        <x:v>Late delivery</x:v>
      </x:c>
      <x:c r="G9000" s="6" t="n">
        <x:v>5</x:v>
      </x:c>
      <x:c r="H9000" s="6" t="n">
        <x:v>4</x:v>
      </x:c>
      <x:c r="I9000" s="6" t="n">
        <x:f>G9000-H9000</x:f>
        <x:v>1</x:v>
      </x:c>
      <x:c r="J9000" s="6" t="n">
        <x:f>IF(OR(E9000="CANCELED",E9000="SUSPECTED_FRAUD",F9000="Shipping canceled"),0,1)</x:f>
        <x:v>1</x:v>
      </x:c>
      <x:c r="K9000" s="6" t="n">
        <x:f>IF(G9000&gt;H9000,1,0)</x:f>
        <x:v>1</x:v>
      </x:c>
      <x:c r="L9000" s="6" t="n">
        <x:f>J9000*K9000</x:f>
        <x:v>1</x:v>
      </x:c>
    </x:row>
    <x:row r="9001">
      <x:c r="A9001" s="1" t="n">
        <x:v>72222</x:v>
      </x:c>
      <x:c r="B9001" s="5" t="d">
        <x:v>2017-11-20T00:00:00.000Z</x:v>
      </x:c>
      <x:c r="C9001" s="1" t="str">
        <x:v>Second Class</x:v>
      </x:c>
      <x:c r="D9001" s="1" t="str">
        <x:v>Pacific Asia</x:v>
      </x:c>
      <x:c r="E9001" s="1" t="str">
        <x:v>PROCESSING</x:v>
      </x:c>
      <x:c r="F9001" s="1" t="str">
        <x:v>Late delivery</x:v>
      </x:c>
      <x:c r="G9001" s="6" t="n">
        <x:v>3</x:v>
      </x:c>
      <x:c r="H9001" s="6" t="n">
        <x:v>2</x:v>
      </x:c>
      <x:c r="I9001" s="6" t="n">
        <x:f>G9001-H9001</x:f>
        <x:v>1</x:v>
      </x:c>
      <x:c r="J9001" s="6" t="n">
        <x:f>IF(OR(E9001="CANCELED",E9001="SUSPECTED_FRAUD",F9001="Shipping canceled"),0,1)</x:f>
        <x:v>1</x:v>
      </x:c>
      <x:c r="K9001" s="6" t="n">
        <x:f>IF(G9001&gt;H9001,1,0)</x:f>
        <x:v>1</x:v>
      </x:c>
      <x:c r="L9001" s="6" t="n">
        <x:f>J9001*K9001</x:f>
        <x:v>1</x:v>
      </x:c>
    </x:row>
    <x:row r="9002">
      <x:c r="A9002" s="1" t="n">
        <x:v>72225</x:v>
      </x:c>
      <x:c r="B9002" s="5" t="d">
        <x:v>2017-11-20T00:00:00.000Z</x:v>
      </x:c>
      <x:c r="C9002" s="1" t="str">
        <x:v>First Class</x:v>
      </x:c>
      <x:c r="D9002" s="1" t="str">
        <x:v>Pacific Asia</x:v>
      </x:c>
      <x:c r="E9002" s="1" t="str">
        <x:v>CLOSED</x:v>
      </x:c>
      <x:c r="F9002" s="1" t="str">
        <x:v>Late delivery</x:v>
      </x:c>
      <x:c r="G9002" s="6" t="n">
        <x:v>2</x:v>
      </x:c>
      <x:c r="H9002" s="6" t="n">
        <x:v>1</x:v>
      </x:c>
      <x:c r="I9002" s="6" t="n">
        <x:f>G9002-H9002</x:f>
        <x:v>1</x:v>
      </x:c>
      <x:c r="J9002" s="6" t="n">
        <x:f>IF(OR(E9002="CANCELED",E9002="SUSPECTED_FRAUD",F9002="Shipping canceled"),0,1)</x:f>
        <x:v>1</x:v>
      </x:c>
      <x:c r="K9002" s="6" t="n">
        <x:f>IF(G9002&gt;H9002,1,0)</x:f>
        <x:v>1</x:v>
      </x:c>
      <x:c r="L9002" s="6" t="n">
        <x:f>J9002*K9002</x:f>
        <x:v>1</x:v>
      </x:c>
    </x:row>
    <x:row r="9003">
      <x:c r="A9003" s="1" t="n">
        <x:v>72226</x:v>
      </x:c>
      <x:c r="B9003" s="5" t="d">
        <x:v>2017-11-20T00:00:00.000Z</x:v>
      </x:c>
      <x:c r="C9003" s="1" t="str">
        <x:v>Standard Class</x:v>
      </x:c>
      <x:c r="D9003" s="1" t="str">
        <x:v>Pacific Asia</x:v>
      </x:c>
      <x:c r="E9003" s="1" t="str">
        <x:v>PENDING_PAYMENT</x:v>
      </x:c>
      <x:c r="F9003" s="1" t="str">
        <x:v>Advance shipping</x:v>
      </x:c>
      <x:c r="G9003" s="6" t="n">
        <x:v>2</x:v>
      </x:c>
      <x:c r="H9003" s="6" t="n">
        <x:v>4</x:v>
      </x:c>
      <x:c r="I9003" s="6" t="n">
        <x:f>G9003-H9003</x:f>
        <x:v>-2</x:v>
      </x:c>
      <x:c r="J9003" s="6" t="n">
        <x:f>IF(OR(E9003="CANCELED",E9003="SUSPECTED_FRAUD",F9003="Shipping canceled"),0,1)</x:f>
        <x:v>1</x:v>
      </x:c>
      <x:c r="K9003" s="6" t="n">
        <x:f>IF(G9003&gt;H9003,1,0)</x:f>
        <x:v>0</x:v>
      </x:c>
      <x:c r="L9003" s="6" t="n">
        <x:f>J9003*K9003</x:f>
        <x:v>0</x:v>
      </x:c>
    </x:row>
    <x:row r="9004">
      <x:c r="A9004" s="1" t="n">
        <x:v>72246</x:v>
      </x:c>
      <x:c r="B9004" s="5" t="d">
        <x:v>2017-11-20T00:00:00.000Z</x:v>
      </x:c>
      <x:c r="C9004" s="1" t="str">
        <x:v>First Class</x:v>
      </x:c>
      <x:c r="D9004" s="1" t="str">
        <x:v>Pacific Asia</x:v>
      </x:c>
      <x:c r="E9004" s="1" t="str">
        <x:v>SUSPECTED_FRAUD</x:v>
      </x:c>
      <x:c r="F9004" s="1" t="str">
        <x:v>Shipping canceled</x:v>
      </x:c>
      <x:c r="G9004" s="6" t="n">
        <x:v>2</x:v>
      </x:c>
      <x:c r="H9004" s="6" t="n">
        <x:v>1</x:v>
      </x:c>
      <x:c r="I9004" s="6" t="n">
        <x:f>G9004-H9004</x:f>
        <x:v>1</x:v>
      </x:c>
      <x:c r="J9004" s="6" t="n">
        <x:f>IF(OR(E9004="CANCELED",E9004="SUSPECTED_FRAUD",F9004="Shipping canceled"),0,1)</x:f>
        <x:v>0</x:v>
      </x:c>
      <x:c r="K9004" s="6" t="n">
        <x:f>IF(G9004&gt;H9004,1,0)</x:f>
        <x:v>1</x:v>
      </x:c>
      <x:c r="L9004" s="6" t="n">
        <x:f>J9004*K9004</x:f>
        <x:v>0</x:v>
      </x:c>
    </x:row>
    <x:row r="9005">
      <x:c r="A9005" s="1" t="n">
        <x:v>72256</x:v>
      </x:c>
      <x:c r="B9005" s="5" t="d">
        <x:v>2017-11-20T00:00:00.000Z</x:v>
      </x:c>
      <x:c r="C9005" s="1" t="str">
        <x:v>Standard Class</x:v>
      </x:c>
      <x:c r="D9005" s="1" t="str">
        <x:v>Pacific Asia</x:v>
      </x:c>
      <x:c r="E9005" s="1" t="str">
        <x:v>CLOSED</x:v>
      </x:c>
      <x:c r="F9005" s="1" t="str">
        <x:v>Advance shipping</x:v>
      </x:c>
      <x:c r="G9005" s="6" t="n">
        <x:v>2</x:v>
      </x:c>
      <x:c r="H9005" s="6" t="n">
        <x:v>4</x:v>
      </x:c>
      <x:c r="I9005" s="6" t="n">
        <x:f>G9005-H9005</x:f>
        <x:v>-2</x:v>
      </x:c>
      <x:c r="J9005" s="6" t="n">
        <x:f>IF(OR(E9005="CANCELED",E9005="SUSPECTED_FRAUD",F9005="Shipping canceled"),0,1)</x:f>
        <x:v>1</x:v>
      </x:c>
      <x:c r="K9005" s="6" t="n">
        <x:f>IF(G9005&gt;H9005,1,0)</x:f>
        <x:v>0</x:v>
      </x:c>
      <x:c r="L9005" s="6" t="n">
        <x:f>J9005*K9005</x:f>
        <x:v>0</x:v>
      </x:c>
    </x:row>
    <x:row r="9006">
      <x:c r="A9006" s="1" t="n">
        <x:v>72274</x:v>
      </x:c>
      <x:c r="B9006" s="5" t="d">
        <x:v>2017-11-21T00:00:00.000Z</x:v>
      </x:c>
      <x:c r="C9006" s="1" t="str">
        <x:v>First Class</x:v>
      </x:c>
      <x:c r="D9006" s="1" t="str">
        <x:v>Pacific Asia</x:v>
      </x:c>
      <x:c r="E9006" s="1" t="str">
        <x:v>CLOSED</x:v>
      </x:c>
      <x:c r="F9006" s="1" t="str">
        <x:v>Late delivery</x:v>
      </x:c>
      <x:c r="G9006" s="6" t="n">
        <x:v>2</x:v>
      </x:c>
      <x:c r="H9006" s="6" t="n">
        <x:v>1</x:v>
      </x:c>
      <x:c r="I9006" s="6" t="n">
        <x:f>G9006-H9006</x:f>
        <x:v>1</x:v>
      </x:c>
      <x:c r="J9006" s="6" t="n">
        <x:f>IF(OR(E9006="CANCELED",E9006="SUSPECTED_FRAUD",F9006="Shipping canceled"),0,1)</x:f>
        <x:v>1</x:v>
      </x:c>
      <x:c r="K9006" s="6" t="n">
        <x:f>IF(G9006&gt;H9006,1,0)</x:f>
        <x:v>1</x:v>
      </x:c>
      <x:c r="L9006" s="6" t="n">
        <x:f>J9006*K9006</x:f>
        <x:v>1</x:v>
      </x:c>
    </x:row>
    <x:row r="9007">
      <x:c r="A9007" s="1" t="n">
        <x:v>72364</x:v>
      </x:c>
      <x:c r="B9007" s="5" t="d">
        <x:v>2017-11-22T00:00:00.000Z</x:v>
      </x:c>
      <x:c r="C9007" s="1" t="str">
        <x:v>First Class</x:v>
      </x:c>
      <x:c r="D9007" s="1" t="str">
        <x:v>Pacific Asia</x:v>
      </x:c>
      <x:c r="E9007" s="1" t="str">
        <x:v>CLOSED</x:v>
      </x:c>
      <x:c r="F9007" s="1" t="str">
        <x:v>Late delivery</x:v>
      </x:c>
      <x:c r="G9007" s="6" t="n">
        <x:v>2</x:v>
      </x:c>
      <x:c r="H9007" s="6" t="n">
        <x:v>1</x:v>
      </x:c>
      <x:c r="I9007" s="6" t="n">
        <x:f>G9007-H9007</x:f>
        <x:v>1</x:v>
      </x:c>
      <x:c r="J9007" s="6" t="n">
        <x:f>IF(OR(E9007="CANCELED",E9007="SUSPECTED_FRAUD",F9007="Shipping canceled"),0,1)</x:f>
        <x:v>1</x:v>
      </x:c>
      <x:c r="K9007" s="6" t="n">
        <x:f>IF(G9007&gt;H9007,1,0)</x:f>
        <x:v>1</x:v>
      </x:c>
      <x:c r="L9007" s="6" t="n">
        <x:f>J9007*K9007</x:f>
        <x:v>1</x:v>
      </x:c>
    </x:row>
    <x:row r="9008">
      <x:c r="A9008" s="1" t="n">
        <x:v>72399</x:v>
      </x:c>
      <x:c r="B9008" s="5" t="d">
        <x:v>2017-11-22T00:00:00.000Z</x:v>
      </x:c>
      <x:c r="C9008" s="1" t="str">
        <x:v>Second Class</x:v>
      </x:c>
      <x:c r="D9008" s="1" t="str">
        <x:v>Pacific Asia</x:v>
      </x:c>
      <x:c r="E9008" s="1" t="str">
        <x:v>PROCESSING</x:v>
      </x:c>
      <x:c r="F9008" s="1" t="str">
        <x:v>Late delivery</x:v>
      </x:c>
      <x:c r="G9008" s="6" t="n">
        <x:v>5</x:v>
      </x:c>
      <x:c r="H9008" s="6" t="n">
        <x:v>2</x:v>
      </x:c>
      <x:c r="I9008" s="6" t="n">
        <x:f>G9008-H9008</x:f>
        <x:v>3</x:v>
      </x:c>
      <x:c r="J9008" s="6" t="n">
        <x:f>IF(OR(E9008="CANCELED",E9008="SUSPECTED_FRAUD",F9008="Shipping canceled"),0,1)</x:f>
        <x:v>1</x:v>
      </x:c>
      <x:c r="K9008" s="6" t="n">
        <x:f>IF(G9008&gt;H9008,1,0)</x:f>
        <x:v>1</x:v>
      </x:c>
      <x:c r="L9008" s="6" t="n">
        <x:f>J9008*K9008</x:f>
        <x:v>1</x:v>
      </x:c>
    </x:row>
    <x:row r="9009">
      <x:c r="A9009" s="1" t="n">
        <x:v>72402</x:v>
      </x:c>
      <x:c r="B9009" s="5" t="d">
        <x:v>2017-11-22T00:00:00.000Z</x:v>
      </x:c>
      <x:c r="C9009" s="1" t="str">
        <x:v>Standard Class</x:v>
      </x:c>
      <x:c r="D9009" s="1" t="str">
        <x:v>Pacific Asia</x:v>
      </x:c>
      <x:c r="E9009" s="1" t="str">
        <x:v>COMPLETE</x:v>
      </x:c>
      <x:c r="F9009" s="1" t="str">
        <x:v>Advance shipping</x:v>
      </x:c>
      <x:c r="G9009" s="6" t="n">
        <x:v>3</x:v>
      </x:c>
      <x:c r="H9009" s="6" t="n">
        <x:v>4</x:v>
      </x:c>
      <x:c r="I9009" s="6" t="n">
        <x:f>G9009-H9009</x:f>
        <x:v>-1</x:v>
      </x:c>
      <x:c r="J9009" s="6" t="n">
        <x:f>IF(OR(E9009="CANCELED",E9009="SUSPECTED_FRAUD",F9009="Shipping canceled"),0,1)</x:f>
        <x:v>1</x:v>
      </x:c>
      <x:c r="K9009" s="6" t="n">
        <x:f>IF(G9009&gt;H9009,1,0)</x:f>
        <x:v>0</x:v>
      </x:c>
      <x:c r="L9009" s="6" t="n">
        <x:f>J9009*K9009</x:f>
        <x:v>0</x:v>
      </x:c>
    </x:row>
    <x:row r="9010">
      <x:c r="A9010" s="1" t="n">
        <x:v>72418</x:v>
      </x:c>
      <x:c r="B9010" s="5" t="d">
        <x:v>2017-11-23T00:00:00.000Z</x:v>
      </x:c>
      <x:c r="C9010" s="1" t="str">
        <x:v>Standard Class</x:v>
      </x:c>
      <x:c r="D9010" s="1" t="str">
        <x:v>Pacific Asia</x:v>
      </x:c>
      <x:c r="E9010" s="1" t="str">
        <x:v>COMPLETE</x:v>
      </x:c>
      <x:c r="F9010" s="1" t="str">
        <x:v>Shipping on time</x:v>
      </x:c>
      <x:c r="G9010" s="6" t="n">
        <x:v>4</x:v>
      </x:c>
      <x:c r="H9010" s="6" t="n">
        <x:v>4</x:v>
      </x:c>
      <x:c r="I9010" s="6" t="n">
        <x:f>G9010-H9010</x:f>
        <x:v>0</x:v>
      </x:c>
      <x:c r="J9010" s="6" t="n">
        <x:f>IF(OR(E9010="CANCELED",E9010="SUSPECTED_FRAUD",F9010="Shipping canceled"),0,1)</x:f>
        <x:v>1</x:v>
      </x:c>
      <x:c r="K9010" s="6" t="n">
        <x:f>IF(G9010&gt;H9010,1,0)</x:f>
        <x:v>0</x:v>
      </x:c>
      <x:c r="L9010" s="6" t="n">
        <x:f>J9010*K9010</x:f>
        <x:v>0</x:v>
      </x:c>
    </x:row>
    <x:row r="9011">
      <x:c r="A9011" s="1" t="n">
        <x:v>72438</x:v>
      </x:c>
      <x:c r="B9011" s="5" t="d">
        <x:v>2017-11-23T00:00:00.000Z</x:v>
      </x:c>
      <x:c r="C9011" s="1" t="str">
        <x:v>Standard Class</x:v>
      </x:c>
      <x:c r="D9011" s="1" t="str">
        <x:v>Pacific Asia</x:v>
      </x:c>
      <x:c r="E9011" s="1" t="str">
        <x:v>ON_HOLD</x:v>
      </x:c>
      <x:c r="F9011" s="1" t="str">
        <x:v>Shipping on time</x:v>
      </x:c>
      <x:c r="G9011" s="6" t="n">
        <x:v>4</x:v>
      </x:c>
      <x:c r="H9011" s="6" t="n">
        <x:v>4</x:v>
      </x:c>
      <x:c r="I9011" s="6" t="n">
        <x:f>G9011-H9011</x:f>
        <x:v>0</x:v>
      </x:c>
      <x:c r="J9011" s="6" t="n">
        <x:f>IF(OR(E9011="CANCELED",E9011="SUSPECTED_FRAUD",F9011="Shipping canceled"),0,1)</x:f>
        <x:v>1</x:v>
      </x:c>
      <x:c r="K9011" s="6" t="n">
        <x:f>IF(G9011&gt;H9011,1,0)</x:f>
        <x:v>0</x:v>
      </x:c>
      <x:c r="L9011" s="6" t="n">
        <x:f>J9011*K9011</x:f>
        <x:v>0</x:v>
      </x:c>
    </x:row>
    <x:row r="9012">
      <x:c r="A9012" s="1" t="n">
        <x:v>72442</x:v>
      </x:c>
      <x:c r="B9012" s="5" t="d">
        <x:v>2017-11-23T00:00:00.000Z</x:v>
      </x:c>
      <x:c r="C9012" s="1" t="str">
        <x:v>Standard Class</x:v>
      </x:c>
      <x:c r="D9012" s="1" t="str">
        <x:v>Pacific Asia</x:v>
      </x:c>
      <x:c r="E9012" s="1" t="str">
        <x:v>COMPLETE</x:v>
      </x:c>
      <x:c r="F9012" s="1" t="str">
        <x:v>Advance shipping</x:v>
      </x:c>
      <x:c r="G9012" s="6" t="n">
        <x:v>3</x:v>
      </x:c>
      <x:c r="H9012" s="6" t="n">
        <x:v>4</x:v>
      </x:c>
      <x:c r="I9012" s="6" t="n">
        <x:f>G9012-H9012</x:f>
        <x:v>-1</x:v>
      </x:c>
      <x:c r="J9012" s="6" t="n">
        <x:f>IF(OR(E9012="CANCELED",E9012="SUSPECTED_FRAUD",F9012="Shipping canceled"),0,1)</x:f>
        <x:v>1</x:v>
      </x:c>
      <x:c r="K9012" s="6" t="n">
        <x:f>IF(G9012&gt;H9012,1,0)</x:f>
        <x:v>0</x:v>
      </x:c>
      <x:c r="L9012" s="6" t="n">
        <x:f>J9012*K9012</x:f>
        <x:v>0</x:v>
      </x:c>
    </x:row>
    <x:row r="9013">
      <x:c r="A9013" s="1" t="n">
        <x:v>72453</x:v>
      </x:c>
      <x:c r="B9013" s="5" t="d">
        <x:v>2017-11-23T00:00:00.000Z</x:v>
      </x:c>
      <x:c r="C9013" s="1" t="str">
        <x:v>Standard Class</x:v>
      </x:c>
      <x:c r="D9013" s="1" t="str">
        <x:v>Pacific Asia</x:v>
      </x:c>
      <x:c r="E9013" s="1" t="str">
        <x:v>CLOSED</x:v>
      </x:c>
      <x:c r="F9013" s="1" t="str">
        <x:v>Shipping on time</x:v>
      </x:c>
      <x:c r="G9013" s="6" t="n">
        <x:v>4</x:v>
      </x:c>
      <x:c r="H9013" s="6" t="n">
        <x:v>4</x:v>
      </x:c>
      <x:c r="I9013" s="6" t="n">
        <x:f>G9013-H9013</x:f>
        <x:v>0</x:v>
      </x:c>
      <x:c r="J9013" s="6" t="n">
        <x:f>IF(OR(E9013="CANCELED",E9013="SUSPECTED_FRAUD",F9013="Shipping canceled"),0,1)</x:f>
        <x:v>1</x:v>
      </x:c>
      <x:c r="K9013" s="6" t="n">
        <x:f>IF(G9013&gt;H9013,1,0)</x:f>
        <x:v>0</x:v>
      </x:c>
      <x:c r="L9013" s="6" t="n">
        <x:f>J9013*K9013</x:f>
        <x:v>0</x:v>
      </x:c>
    </x:row>
    <x:row r="9014">
      <x:c r="A9014" s="1" t="n">
        <x:v>72458</x:v>
      </x:c>
      <x:c r="B9014" s="5" t="d">
        <x:v>2017-11-23T00:00:00.000Z</x:v>
      </x:c>
      <x:c r="C9014" s="1" t="str">
        <x:v>Standard Class</x:v>
      </x:c>
      <x:c r="D9014" s="1" t="str">
        <x:v>Pacific Asia</x:v>
      </x:c>
      <x:c r="E9014" s="1" t="str">
        <x:v>COMPLETE</x:v>
      </x:c>
      <x:c r="F9014" s="1" t="str">
        <x:v>Shipping on time</x:v>
      </x:c>
      <x:c r="G9014" s="6" t="n">
        <x:v>4</x:v>
      </x:c>
      <x:c r="H9014" s="6" t="n">
        <x:v>4</x:v>
      </x:c>
      <x:c r="I9014" s="6" t="n">
        <x:f>G9014-H9014</x:f>
        <x:v>0</x:v>
      </x:c>
      <x:c r="J9014" s="6" t="n">
        <x:f>IF(OR(E9014="CANCELED",E9014="SUSPECTED_FRAUD",F9014="Shipping canceled"),0,1)</x:f>
        <x:v>1</x:v>
      </x:c>
      <x:c r="K9014" s="6" t="n">
        <x:f>IF(G9014&gt;H9014,1,0)</x:f>
        <x:v>0</x:v>
      </x:c>
      <x:c r="L9014" s="6" t="n">
        <x:f>J9014*K9014</x:f>
        <x:v>0</x:v>
      </x:c>
    </x:row>
    <x:row r="9015">
      <x:c r="A9015" s="1" t="n">
        <x:v>72460</x:v>
      </x:c>
      <x:c r="B9015" s="5" t="d">
        <x:v>2017-11-23T00:00:00.000Z</x:v>
      </x:c>
      <x:c r="C9015" s="1" t="str">
        <x:v>Standard Class</x:v>
      </x:c>
      <x:c r="D9015" s="1" t="str">
        <x:v>Pacific Asia</x:v>
      </x:c>
      <x:c r="E9015" s="1" t="str">
        <x:v>COMPLETE</x:v>
      </x:c>
      <x:c r="F9015" s="1" t="str">
        <x:v>Late delivery</x:v>
      </x:c>
      <x:c r="G9015" s="6" t="n">
        <x:v>6</x:v>
      </x:c>
      <x:c r="H9015" s="6" t="n">
        <x:v>4</x:v>
      </x:c>
      <x:c r="I9015" s="6" t="n">
        <x:f>G9015-H9015</x:f>
        <x:v>2</x:v>
      </x:c>
      <x:c r="J9015" s="6" t="n">
        <x:f>IF(OR(E9015="CANCELED",E9015="SUSPECTED_FRAUD",F9015="Shipping canceled"),0,1)</x:f>
        <x:v>1</x:v>
      </x:c>
      <x:c r="K9015" s="6" t="n">
        <x:f>IF(G9015&gt;H9015,1,0)</x:f>
        <x:v>1</x:v>
      </x:c>
      <x:c r="L9015" s="6" t="n">
        <x:f>J9015*K9015</x:f>
        <x:v>1</x:v>
      </x:c>
    </x:row>
    <x:row r="9016">
      <x:c r="A9016" s="1" t="n">
        <x:v>72467</x:v>
      </x:c>
      <x:c r="B9016" s="5" t="d">
        <x:v>2017-11-23T00:00:00.000Z</x:v>
      </x:c>
      <x:c r="C9016" s="1" t="str">
        <x:v>Second Class</x:v>
      </x:c>
      <x:c r="D9016" s="1" t="str">
        <x:v>Pacific Asia</x:v>
      </x:c>
      <x:c r="E9016" s="1" t="str">
        <x:v>COMPLETE</x:v>
      </x:c>
      <x:c r="F9016" s="1" t="str">
        <x:v>Late delivery</x:v>
      </x:c>
      <x:c r="G9016" s="6" t="n">
        <x:v>3</x:v>
      </x:c>
      <x:c r="H9016" s="6" t="n">
        <x:v>2</x:v>
      </x:c>
      <x:c r="I9016" s="6" t="n">
        <x:f>G9016-H9016</x:f>
        <x:v>1</x:v>
      </x:c>
      <x:c r="J9016" s="6" t="n">
        <x:f>IF(OR(E9016="CANCELED",E9016="SUSPECTED_FRAUD",F9016="Shipping canceled"),0,1)</x:f>
        <x:v>1</x:v>
      </x:c>
      <x:c r="K9016" s="6" t="n">
        <x:f>IF(G9016&gt;H9016,1,0)</x:f>
        <x:v>1</x:v>
      </x:c>
      <x:c r="L9016" s="6" t="n">
        <x:f>J9016*K9016</x:f>
        <x:v>1</x:v>
      </x:c>
    </x:row>
    <x:row r="9017">
      <x:c r="A9017" s="1" t="n">
        <x:v>72470</x:v>
      </x:c>
      <x:c r="B9017" s="5" t="d">
        <x:v>2017-11-23T00:00:00.000Z</x:v>
      </x:c>
      <x:c r="C9017" s="1" t="str">
        <x:v>Second Class</x:v>
      </x:c>
      <x:c r="D9017" s="1" t="str">
        <x:v>Pacific Asia</x:v>
      </x:c>
      <x:c r="E9017" s="1" t="str">
        <x:v>COMPLETE</x:v>
      </x:c>
      <x:c r="F9017" s="1" t="str">
        <x:v>Late delivery</x:v>
      </x:c>
      <x:c r="G9017" s="6" t="n">
        <x:v>6</x:v>
      </x:c>
      <x:c r="H9017" s="6" t="n">
        <x:v>2</x:v>
      </x:c>
      <x:c r="I9017" s="6" t="n">
        <x:f>G9017-H9017</x:f>
        <x:v>4</x:v>
      </x:c>
      <x:c r="J9017" s="6" t="n">
        <x:f>IF(OR(E9017="CANCELED",E9017="SUSPECTED_FRAUD",F9017="Shipping canceled"),0,1)</x:f>
        <x:v>1</x:v>
      </x:c>
      <x:c r="K9017" s="6" t="n">
        <x:f>IF(G9017&gt;H9017,1,0)</x:f>
        <x:v>1</x:v>
      </x:c>
      <x:c r="L9017" s="6" t="n">
        <x:f>J9017*K9017</x:f>
        <x:v>1</x:v>
      </x:c>
    </x:row>
    <x:row r="9018">
      <x:c r="A9018" s="1" t="n">
        <x:v>72488</x:v>
      </x:c>
      <x:c r="B9018" s="5" t="d">
        <x:v>2017-11-24T00:00:00.000Z</x:v>
      </x:c>
      <x:c r="C9018" s="1" t="str">
        <x:v>Second Class</x:v>
      </x:c>
      <x:c r="D9018" s="1" t="str">
        <x:v>Pacific Asia</x:v>
      </x:c>
      <x:c r="E9018" s="1" t="str">
        <x:v>COMPLETE</x:v>
      </x:c>
      <x:c r="F9018" s="1" t="str">
        <x:v>Late delivery</x:v>
      </x:c>
      <x:c r="G9018" s="6" t="n">
        <x:v>4</x:v>
      </x:c>
      <x:c r="H9018" s="6" t="n">
        <x:v>2</x:v>
      </x:c>
      <x:c r="I9018" s="6" t="n">
        <x:f>G9018-H9018</x:f>
        <x:v>2</x:v>
      </x:c>
      <x:c r="J9018" s="6" t="n">
        <x:f>IF(OR(E9018="CANCELED",E9018="SUSPECTED_FRAUD",F9018="Shipping canceled"),0,1)</x:f>
        <x:v>1</x:v>
      </x:c>
      <x:c r="K9018" s="6" t="n">
        <x:f>IF(G9018&gt;H9018,1,0)</x:f>
        <x:v>1</x:v>
      </x:c>
      <x:c r="L9018" s="6" t="n">
        <x:f>J9018*K9018</x:f>
        <x:v>1</x:v>
      </x:c>
    </x:row>
    <x:row r="9019">
      <x:c r="A9019" s="1" t="n">
        <x:v>72494</x:v>
      </x:c>
      <x:c r="B9019" s="5" t="d">
        <x:v>2017-11-24T00:00:00.000Z</x:v>
      </x:c>
      <x:c r="C9019" s="1" t="str">
        <x:v>Second Class</x:v>
      </x:c>
      <x:c r="D9019" s="1" t="str">
        <x:v>Pacific Asia</x:v>
      </x:c>
      <x:c r="E9019" s="1" t="str">
        <x:v>ON_HOLD</x:v>
      </x:c>
      <x:c r="F9019" s="1" t="str">
        <x:v>Late delivery</x:v>
      </x:c>
      <x:c r="G9019" s="6" t="n">
        <x:v>5</x:v>
      </x:c>
      <x:c r="H9019" s="6" t="n">
        <x:v>2</x:v>
      </x:c>
      <x:c r="I9019" s="6" t="n">
        <x:f>G9019-H9019</x:f>
        <x:v>3</x:v>
      </x:c>
      <x:c r="J9019" s="6" t="n">
        <x:f>IF(OR(E9019="CANCELED",E9019="SUSPECTED_FRAUD",F9019="Shipping canceled"),0,1)</x:f>
        <x:v>1</x:v>
      </x:c>
      <x:c r="K9019" s="6" t="n">
        <x:f>IF(G9019&gt;H9019,1,0)</x:f>
        <x:v>1</x:v>
      </x:c>
      <x:c r="L9019" s="6" t="n">
        <x:f>J9019*K9019</x:f>
        <x:v>1</x:v>
      </x:c>
    </x:row>
    <x:row r="9020">
      <x:c r="A9020" s="1" t="n">
        <x:v>72497</x:v>
      </x:c>
      <x:c r="B9020" s="5" t="d">
        <x:v>2017-11-24T00:00:00.000Z</x:v>
      </x:c>
      <x:c r="C9020" s="1" t="str">
        <x:v>Second Class</x:v>
      </x:c>
      <x:c r="D9020" s="1" t="str">
        <x:v>Pacific Asia</x:v>
      </x:c>
      <x:c r="E9020" s="1" t="str">
        <x:v>COMPLETE</x:v>
      </x:c>
      <x:c r="F9020" s="1" t="str">
        <x:v>Late delivery</x:v>
      </x:c>
      <x:c r="G9020" s="6" t="n">
        <x:v>3</x:v>
      </x:c>
      <x:c r="H9020" s="6" t="n">
        <x:v>2</x:v>
      </x:c>
      <x:c r="I9020" s="6" t="n">
        <x:f>G9020-H9020</x:f>
        <x:v>1</x:v>
      </x:c>
      <x:c r="J9020" s="6" t="n">
        <x:f>IF(OR(E9020="CANCELED",E9020="SUSPECTED_FRAUD",F9020="Shipping canceled"),0,1)</x:f>
        <x:v>1</x:v>
      </x:c>
      <x:c r="K9020" s="6" t="n">
        <x:f>IF(G9020&gt;H9020,1,0)</x:f>
        <x:v>1</x:v>
      </x:c>
      <x:c r="L9020" s="6" t="n">
        <x:f>J9020*K9020</x:f>
        <x:v>1</x:v>
      </x:c>
    </x:row>
    <x:row r="9021">
      <x:c r="A9021" s="1" t="n">
        <x:v>72510</x:v>
      </x:c>
      <x:c r="B9021" s="5" t="d">
        <x:v>2017-11-24T00:00:00.000Z</x:v>
      </x:c>
      <x:c r="C9021" s="1" t="str">
        <x:v>Standard Class</x:v>
      </x:c>
      <x:c r="D9021" s="1" t="str">
        <x:v>Pacific Asia</x:v>
      </x:c>
      <x:c r="E9021" s="1" t="str">
        <x:v>CLOSED</x:v>
      </x:c>
      <x:c r="F9021" s="1" t="str">
        <x:v>Late delivery</x:v>
      </x:c>
      <x:c r="G9021" s="6" t="n">
        <x:v>6</x:v>
      </x:c>
      <x:c r="H9021" s="6" t="n">
        <x:v>4</x:v>
      </x:c>
      <x:c r="I9021" s="6" t="n">
        <x:f>G9021-H9021</x:f>
        <x:v>2</x:v>
      </x:c>
      <x:c r="J9021" s="6" t="n">
        <x:f>IF(OR(E9021="CANCELED",E9021="SUSPECTED_FRAUD",F9021="Shipping canceled"),0,1)</x:f>
        <x:v>1</x:v>
      </x:c>
      <x:c r="K9021" s="6" t="n">
        <x:f>IF(G9021&gt;H9021,1,0)</x:f>
        <x:v>1</x:v>
      </x:c>
      <x:c r="L9021" s="6" t="n">
        <x:f>J9021*K9021</x:f>
        <x:v>1</x:v>
      </x:c>
    </x:row>
    <x:row r="9022">
      <x:c r="A9022" s="1" t="n">
        <x:v>72533</x:v>
      </x:c>
      <x:c r="B9022" s="5" t="d">
        <x:v>2017-11-24T00:00:00.000Z</x:v>
      </x:c>
      <x:c r="C9022" s="1" t="str">
        <x:v>Standard Class</x:v>
      </x:c>
      <x:c r="D9022" s="1" t="str">
        <x:v>Pacific Asia</x:v>
      </x:c>
      <x:c r="E9022" s="1" t="str">
        <x:v>COMPLETE</x:v>
      </x:c>
      <x:c r="F9022" s="1" t="str">
        <x:v>Shipping on time</x:v>
      </x:c>
      <x:c r="G9022" s="6" t="n">
        <x:v>4</x:v>
      </x:c>
      <x:c r="H9022" s="6" t="n">
        <x:v>4</x:v>
      </x:c>
      <x:c r="I9022" s="6" t="n">
        <x:f>G9022-H9022</x:f>
        <x:v>0</x:v>
      </x:c>
      <x:c r="J9022" s="6" t="n">
        <x:f>IF(OR(E9022="CANCELED",E9022="SUSPECTED_FRAUD",F9022="Shipping canceled"),0,1)</x:f>
        <x:v>1</x:v>
      </x:c>
      <x:c r="K9022" s="6" t="n">
        <x:f>IF(G9022&gt;H9022,1,0)</x:f>
        <x:v>0</x:v>
      </x:c>
      <x:c r="L9022" s="6" t="n">
        <x:f>J9022*K9022</x:f>
        <x:v>0</x:v>
      </x:c>
    </x:row>
    <x:row r="9023">
      <x:c r="A9023" s="1" t="n">
        <x:v>72544</x:v>
      </x:c>
      <x:c r="B9023" s="5" t="d">
        <x:v>2017-11-24T00:00:00.000Z</x:v>
      </x:c>
      <x:c r="C9023" s="1" t="str">
        <x:v>Standard Class</x:v>
      </x:c>
      <x:c r="D9023" s="1" t="str">
        <x:v>Pacific Asia</x:v>
      </x:c>
      <x:c r="E9023" s="1" t="str">
        <x:v>PENDING_PAYMENT</x:v>
      </x:c>
      <x:c r="F9023" s="1" t="str">
        <x:v>Late delivery</x:v>
      </x:c>
      <x:c r="G9023" s="6" t="n">
        <x:v>5</x:v>
      </x:c>
      <x:c r="H9023" s="6" t="n">
        <x:v>4</x:v>
      </x:c>
      <x:c r="I9023" s="6" t="n">
        <x:f>G9023-H9023</x:f>
        <x:v>1</x:v>
      </x:c>
      <x:c r="J9023" s="6" t="n">
        <x:f>IF(OR(E9023="CANCELED",E9023="SUSPECTED_FRAUD",F9023="Shipping canceled"),0,1)</x:f>
        <x:v>1</x:v>
      </x:c>
      <x:c r="K9023" s="6" t="n">
        <x:f>IF(G9023&gt;H9023,1,0)</x:f>
        <x:v>1</x:v>
      </x:c>
      <x:c r="L9023" s="6" t="n">
        <x:f>J9023*K9023</x:f>
        <x:v>1</x:v>
      </x:c>
    </x:row>
    <x:row r="9024">
      <x:c r="A9024" s="1" t="n">
        <x:v>72555</x:v>
      </x:c>
      <x:c r="B9024" s="5" t="d">
        <x:v>2017-11-25T00:00:00.000Z</x:v>
      </x:c>
      <x:c r="C9024" s="1" t="str">
        <x:v>First Class</x:v>
      </x:c>
      <x:c r="D9024" s="1" t="str">
        <x:v>Pacific Asia</x:v>
      </x:c>
      <x:c r="E9024" s="1" t="str">
        <x:v>CANCELED</x:v>
      </x:c>
      <x:c r="F9024" s="1" t="str">
        <x:v>Shipping canceled</x:v>
      </x:c>
      <x:c r="G9024" s="6" t="n">
        <x:v>2</x:v>
      </x:c>
      <x:c r="H9024" s="6" t="n">
        <x:v>1</x:v>
      </x:c>
      <x:c r="I9024" s="6" t="n">
        <x:f>G9024-H9024</x:f>
        <x:v>1</x:v>
      </x:c>
      <x:c r="J9024" s="6" t="n">
        <x:f>IF(OR(E9024="CANCELED",E9024="SUSPECTED_FRAUD",F9024="Shipping canceled"),0,1)</x:f>
        <x:v>0</x:v>
      </x:c>
      <x:c r="K9024" s="6" t="n">
        <x:f>IF(G9024&gt;H9024,1,0)</x:f>
        <x:v>1</x:v>
      </x:c>
      <x:c r="L9024" s="6" t="n">
        <x:f>J9024*K9024</x:f>
        <x:v>0</x:v>
      </x:c>
    </x:row>
    <x:row r="9025">
      <x:c r="A9025" s="1" t="n">
        <x:v>72559</x:v>
      </x:c>
      <x:c r="B9025" s="5" t="d">
        <x:v>2017-11-25T00:00:00.000Z</x:v>
      </x:c>
      <x:c r="C9025" s="1" t="str">
        <x:v>Standard Class</x:v>
      </x:c>
      <x:c r="D9025" s="1" t="str">
        <x:v>Pacific Asia</x:v>
      </x:c>
      <x:c r="E9025" s="1" t="str">
        <x:v>COMPLETE</x:v>
      </x:c>
      <x:c r="F9025" s="1" t="str">
        <x:v>Late delivery</x:v>
      </x:c>
      <x:c r="G9025" s="6" t="n">
        <x:v>5</x:v>
      </x:c>
      <x:c r="H9025" s="6" t="n">
        <x:v>4</x:v>
      </x:c>
      <x:c r="I9025" s="6" t="n">
        <x:f>G9025-H9025</x:f>
        <x:v>1</x:v>
      </x:c>
      <x:c r="J9025" s="6" t="n">
        <x:f>IF(OR(E9025="CANCELED",E9025="SUSPECTED_FRAUD",F9025="Shipping canceled"),0,1)</x:f>
        <x:v>1</x:v>
      </x:c>
      <x:c r="K9025" s="6" t="n">
        <x:f>IF(G9025&gt;H9025,1,0)</x:f>
        <x:v>1</x:v>
      </x:c>
      <x:c r="L9025" s="6" t="n">
        <x:f>J9025*K9025</x:f>
        <x:v>1</x:v>
      </x:c>
    </x:row>
    <x:row r="9026">
      <x:c r="A9026" s="1" t="n">
        <x:v>72566</x:v>
      </x:c>
      <x:c r="B9026" s="5" t="d">
        <x:v>2017-11-25T00:00:00.000Z</x:v>
      </x:c>
      <x:c r="C9026" s="1" t="str">
        <x:v>Second Class</x:v>
      </x:c>
      <x:c r="D9026" s="1" t="str">
        <x:v>Pacific Asia</x:v>
      </x:c>
      <x:c r="E9026" s="1" t="str">
        <x:v>COMPLETE</x:v>
      </x:c>
      <x:c r="F9026" s="1" t="str">
        <x:v>Shipping on time</x:v>
      </x:c>
      <x:c r="G9026" s="6" t="n">
        <x:v>2</x:v>
      </x:c>
      <x:c r="H9026" s="6" t="n">
        <x:v>2</x:v>
      </x:c>
      <x:c r="I9026" s="6" t="n">
        <x:f>G9026-H9026</x:f>
        <x:v>0</x:v>
      </x:c>
      <x:c r="J9026" s="6" t="n">
        <x:f>IF(OR(E9026="CANCELED",E9026="SUSPECTED_FRAUD",F9026="Shipping canceled"),0,1)</x:f>
        <x:v>1</x:v>
      </x:c>
      <x:c r="K9026" s="6" t="n">
        <x:f>IF(G9026&gt;H9026,1,0)</x:f>
        <x:v>0</x:v>
      </x:c>
      <x:c r="L9026" s="6" t="n">
        <x:f>J9026*K9026</x:f>
        <x:v>0</x:v>
      </x:c>
    </x:row>
    <x:row r="9027">
      <x:c r="A9027" s="1" t="n">
        <x:v>72570</x:v>
      </x:c>
      <x:c r="B9027" s="5" t="d">
        <x:v>2017-11-25T00:00:00.000Z</x:v>
      </x:c>
      <x:c r="C9027" s="1" t="str">
        <x:v>Standard Class</x:v>
      </x:c>
      <x:c r="D9027" s="1" t="str">
        <x:v>Pacific Asia</x:v>
      </x:c>
      <x:c r="E9027" s="1" t="str">
        <x:v>COMPLETE</x:v>
      </x:c>
      <x:c r="F9027" s="1" t="str">
        <x:v>Late delivery</x:v>
      </x:c>
      <x:c r="G9027" s="6" t="n">
        <x:v>6</x:v>
      </x:c>
      <x:c r="H9027" s="6" t="n">
        <x:v>4</x:v>
      </x:c>
      <x:c r="I9027" s="6" t="n">
        <x:f>G9027-H9027</x:f>
        <x:v>2</x:v>
      </x:c>
      <x:c r="J9027" s="6" t="n">
        <x:f>IF(OR(E9027="CANCELED",E9027="SUSPECTED_FRAUD",F9027="Shipping canceled"),0,1)</x:f>
        <x:v>1</x:v>
      </x:c>
      <x:c r="K9027" s="6" t="n">
        <x:f>IF(G9027&gt;H9027,1,0)</x:f>
        <x:v>1</x:v>
      </x:c>
      <x:c r="L9027" s="6" t="n">
        <x:f>J9027*K9027</x:f>
        <x:v>1</x:v>
      </x:c>
    </x:row>
    <x:row r="9028">
      <x:c r="A9028" s="1" t="n">
        <x:v>72581</x:v>
      </x:c>
      <x:c r="B9028" s="5" t="d">
        <x:v>2017-11-25T00:00:00.000Z</x:v>
      </x:c>
      <x:c r="C9028" s="1" t="str">
        <x:v>Standard Class</x:v>
      </x:c>
      <x:c r="D9028" s="1" t="str">
        <x:v>Pacific Asia</x:v>
      </x:c>
      <x:c r="E9028" s="1" t="str">
        <x:v>PENDING_PAYMENT</x:v>
      </x:c>
      <x:c r="F9028" s="1" t="str">
        <x:v>Advance shipping</x:v>
      </x:c>
      <x:c r="G9028" s="6" t="n">
        <x:v>2</x:v>
      </x:c>
      <x:c r="H9028" s="6" t="n">
        <x:v>4</x:v>
      </x:c>
      <x:c r="I9028" s="6" t="n">
        <x:f>G9028-H9028</x:f>
        <x:v>-2</x:v>
      </x:c>
      <x:c r="J9028" s="6" t="n">
        <x:f>IF(OR(E9028="CANCELED",E9028="SUSPECTED_FRAUD",F9028="Shipping canceled"),0,1)</x:f>
        <x:v>1</x:v>
      </x:c>
      <x:c r="K9028" s="6" t="n">
        <x:f>IF(G9028&gt;H9028,1,0)</x:f>
        <x:v>0</x:v>
      </x:c>
      <x:c r="L9028" s="6" t="n">
        <x:f>J9028*K9028</x:f>
        <x:v>0</x:v>
      </x:c>
    </x:row>
    <x:row r="9029">
      <x:c r="A9029" s="1" t="n">
        <x:v>72588</x:v>
      </x:c>
      <x:c r="B9029" s="5" t="d">
        <x:v>2017-11-25T00:00:00.000Z</x:v>
      </x:c>
      <x:c r="C9029" s="1" t="str">
        <x:v>Standard Class</x:v>
      </x:c>
      <x:c r="D9029" s="1" t="str">
        <x:v>Pacific Asia</x:v>
      </x:c>
      <x:c r="E9029" s="1" t="str">
        <x:v>PENDING_PAYMENT</x:v>
      </x:c>
      <x:c r="F9029" s="1" t="str">
        <x:v>Shipping on time</x:v>
      </x:c>
      <x:c r="G9029" s="6" t="n">
        <x:v>4</x:v>
      </x:c>
      <x:c r="H9029" s="6" t="n">
        <x:v>4</x:v>
      </x:c>
      <x:c r="I9029" s="6" t="n">
        <x:f>G9029-H9029</x:f>
        <x:v>0</x:v>
      </x:c>
      <x:c r="J9029" s="6" t="n">
        <x:f>IF(OR(E9029="CANCELED",E9029="SUSPECTED_FRAUD",F9029="Shipping canceled"),0,1)</x:f>
        <x:v>1</x:v>
      </x:c>
      <x:c r="K9029" s="6" t="n">
        <x:f>IF(G9029&gt;H9029,1,0)</x:f>
        <x:v>0</x:v>
      </x:c>
      <x:c r="L9029" s="6" t="n">
        <x:f>J9029*K9029</x:f>
        <x:v>0</x:v>
      </x:c>
    </x:row>
    <x:row r="9030">
      <x:c r="A9030" s="1" t="n">
        <x:v>72593</x:v>
      </x:c>
      <x:c r="B9030" s="5" t="d">
        <x:v>2017-11-25T00:00:00.000Z</x:v>
      </x:c>
      <x:c r="C9030" s="1" t="str">
        <x:v>Standard Class</x:v>
      </x:c>
      <x:c r="D9030" s="1" t="str">
        <x:v>Pacific Asia</x:v>
      </x:c>
      <x:c r="E9030" s="1" t="str">
        <x:v>COMPLETE</x:v>
      </x:c>
      <x:c r="F9030" s="1" t="str">
        <x:v>Shipping on time</x:v>
      </x:c>
      <x:c r="G9030" s="6" t="n">
        <x:v>4</x:v>
      </x:c>
      <x:c r="H9030" s="6" t="n">
        <x:v>4</x:v>
      </x:c>
      <x:c r="I9030" s="6" t="n">
        <x:f>G9030-H9030</x:f>
        <x:v>0</x:v>
      </x:c>
      <x:c r="J9030" s="6" t="n">
        <x:f>IF(OR(E9030="CANCELED",E9030="SUSPECTED_FRAUD",F9030="Shipping canceled"),0,1)</x:f>
        <x:v>1</x:v>
      </x:c>
      <x:c r="K9030" s="6" t="n">
        <x:f>IF(G9030&gt;H9030,1,0)</x:f>
        <x:v>0</x:v>
      </x:c>
      <x:c r="L9030" s="6" t="n">
        <x:f>J9030*K9030</x:f>
        <x:v>0</x:v>
      </x:c>
    </x:row>
    <x:row r="9031">
      <x:c r="A9031" s="1" t="n">
        <x:v>72623</x:v>
      </x:c>
      <x:c r="B9031" s="5" t="d">
        <x:v>2017-11-26T00:00:00.000Z</x:v>
      </x:c>
      <x:c r="C9031" s="1" t="str">
        <x:v>First Class</x:v>
      </x:c>
      <x:c r="D9031" s="1" t="str">
        <x:v>Pacific Asia</x:v>
      </x:c>
      <x:c r="E9031" s="1" t="str">
        <x:v>CLOSED</x:v>
      </x:c>
      <x:c r="F9031" s="1" t="str">
        <x:v>Late delivery</x:v>
      </x:c>
      <x:c r="G9031" s="6" t="n">
        <x:v>2</x:v>
      </x:c>
      <x:c r="H9031" s="6" t="n">
        <x:v>1</x:v>
      </x:c>
      <x:c r="I9031" s="6" t="n">
        <x:f>G9031-H9031</x:f>
        <x:v>1</x:v>
      </x:c>
      <x:c r="J9031" s="6" t="n">
        <x:f>IF(OR(E9031="CANCELED",E9031="SUSPECTED_FRAUD",F9031="Shipping canceled"),0,1)</x:f>
        <x:v>1</x:v>
      </x:c>
      <x:c r="K9031" s="6" t="n">
        <x:f>IF(G9031&gt;H9031,1,0)</x:f>
        <x:v>1</x:v>
      </x:c>
      <x:c r="L9031" s="6" t="n">
        <x:f>J9031*K9031</x:f>
        <x:v>1</x:v>
      </x:c>
    </x:row>
    <x:row r="9032">
      <x:c r="A9032" s="1" t="n">
        <x:v>72650</x:v>
      </x:c>
      <x:c r="B9032" s="5" t="d">
        <x:v>2017-11-26T00:00:00.000Z</x:v>
      </x:c>
      <x:c r="C9032" s="1" t="str">
        <x:v>Standard Class</x:v>
      </x:c>
      <x:c r="D9032" s="1" t="str">
        <x:v>Pacific Asia</x:v>
      </x:c>
      <x:c r="E9032" s="1" t="str">
        <x:v>PENDING_PAYMENT</x:v>
      </x:c>
      <x:c r="F9032" s="1" t="str">
        <x:v>Late delivery</x:v>
      </x:c>
      <x:c r="G9032" s="6" t="n">
        <x:v>6</x:v>
      </x:c>
      <x:c r="H9032" s="6" t="n">
        <x:v>4</x:v>
      </x:c>
      <x:c r="I9032" s="6" t="n">
        <x:f>G9032-H9032</x:f>
        <x:v>2</x:v>
      </x:c>
      <x:c r="J9032" s="6" t="n">
        <x:f>IF(OR(E9032="CANCELED",E9032="SUSPECTED_FRAUD",F9032="Shipping canceled"),0,1)</x:f>
        <x:v>1</x:v>
      </x:c>
      <x:c r="K9032" s="6" t="n">
        <x:f>IF(G9032&gt;H9032,1,0)</x:f>
        <x:v>1</x:v>
      </x:c>
      <x:c r="L9032" s="6" t="n">
        <x:f>J9032*K9032</x:f>
        <x:v>1</x:v>
      </x:c>
    </x:row>
    <x:row r="9033">
      <x:c r="A9033" s="1" t="n">
        <x:v>72661</x:v>
      </x:c>
      <x:c r="B9033" s="5" t="d">
        <x:v>2017-11-26T00:00:00.000Z</x:v>
      </x:c>
      <x:c r="C9033" s="1" t="str">
        <x:v>First Class</x:v>
      </x:c>
      <x:c r="D9033" s="1" t="str">
        <x:v>Pacific Asia</x:v>
      </x:c>
      <x:c r="E9033" s="1" t="str">
        <x:v>PROCESSING</x:v>
      </x:c>
      <x:c r="F9033" s="1" t="str">
        <x:v>Late delivery</x:v>
      </x:c>
      <x:c r="G9033" s="6" t="n">
        <x:v>2</x:v>
      </x:c>
      <x:c r="H9033" s="6" t="n">
        <x:v>1</x:v>
      </x:c>
      <x:c r="I9033" s="6" t="n">
        <x:f>G9033-H9033</x:f>
        <x:v>1</x:v>
      </x:c>
      <x:c r="J9033" s="6" t="n">
        <x:f>IF(OR(E9033="CANCELED",E9033="SUSPECTED_FRAUD",F9033="Shipping canceled"),0,1)</x:f>
        <x:v>1</x:v>
      </x:c>
      <x:c r="K9033" s="6" t="n">
        <x:f>IF(G9033&gt;H9033,1,0)</x:f>
        <x:v>1</x:v>
      </x:c>
      <x:c r="L9033" s="6" t="n">
        <x:f>J9033*K9033</x:f>
        <x:v>1</x:v>
      </x:c>
    </x:row>
    <x:row r="9034">
      <x:c r="A9034" s="1" t="n">
        <x:v>72663</x:v>
      </x:c>
      <x:c r="B9034" s="5" t="d">
        <x:v>2017-11-26T00:00:00.000Z</x:v>
      </x:c>
      <x:c r="C9034" s="1" t="str">
        <x:v>First Class</x:v>
      </x:c>
      <x:c r="D9034" s="1" t="str">
        <x:v>Pacific Asia</x:v>
      </x:c>
      <x:c r="E9034" s="1" t="str">
        <x:v>PENDING</x:v>
      </x:c>
      <x:c r="F9034" s="1" t="str">
        <x:v>Late delivery</x:v>
      </x:c>
      <x:c r="G9034" s="6" t="n">
        <x:v>2</x:v>
      </x:c>
      <x:c r="H9034" s="6" t="n">
        <x:v>1</x:v>
      </x:c>
      <x:c r="I9034" s="6" t="n">
        <x:f>G9034-H9034</x:f>
        <x:v>1</x:v>
      </x:c>
      <x:c r="J9034" s="6" t="n">
        <x:f>IF(OR(E9034="CANCELED",E9034="SUSPECTED_FRAUD",F9034="Shipping canceled"),0,1)</x:f>
        <x:v>1</x:v>
      </x:c>
      <x:c r="K9034" s="6" t="n">
        <x:f>IF(G9034&gt;H9034,1,0)</x:f>
        <x:v>1</x:v>
      </x:c>
      <x:c r="L9034" s="6" t="n">
        <x:f>J9034*K9034</x:f>
        <x:v>1</x:v>
      </x:c>
    </x:row>
    <x:row r="9035">
      <x:c r="A9035" s="1" t="n">
        <x:v>72665</x:v>
      </x:c>
      <x:c r="B9035" s="5" t="d">
        <x:v>2017-11-26T00:00:00.000Z</x:v>
      </x:c>
      <x:c r="C9035" s="1" t="str">
        <x:v>Same Day</x:v>
      </x:c>
      <x:c r="D9035" s="1" t="str">
        <x:v>Pacific Asia</x:v>
      </x:c>
      <x:c r="E9035" s="1" t="str">
        <x:v>CLOSED</x:v>
      </x:c>
      <x:c r="F9035" s="1" t="str">
        <x:v>Late delivery</x:v>
      </x:c>
      <x:c r="G9035" s="6" t="n">
        <x:v>1</x:v>
      </x:c>
      <x:c r="H9035" s="6" t="n">
        <x:v>0</x:v>
      </x:c>
      <x:c r="I9035" s="6" t="n">
        <x:f>G9035-H9035</x:f>
        <x:v>1</x:v>
      </x:c>
      <x:c r="J9035" s="6" t="n">
        <x:f>IF(OR(E9035="CANCELED",E9035="SUSPECTED_FRAUD",F9035="Shipping canceled"),0,1)</x:f>
        <x:v>1</x:v>
      </x:c>
      <x:c r="K9035" s="6" t="n">
        <x:f>IF(G9035&gt;H9035,1,0)</x:f>
        <x:v>1</x:v>
      </x:c>
      <x:c r="L9035" s="6" t="n">
        <x:f>J9035*K9035</x:f>
        <x:v>1</x:v>
      </x:c>
    </x:row>
    <x:row r="9036">
      <x:c r="A9036" s="1" t="n">
        <x:v>72670</x:v>
      </x:c>
      <x:c r="B9036" s="5" t="d">
        <x:v>2017-11-26T00:00:00.000Z</x:v>
      </x:c>
      <x:c r="C9036" s="1" t="str">
        <x:v>Standard Class</x:v>
      </x:c>
      <x:c r="D9036" s="1" t="str">
        <x:v>Pacific Asia</x:v>
      </x:c>
      <x:c r="E9036" s="1" t="str">
        <x:v>COMPLETE</x:v>
      </x:c>
      <x:c r="F9036" s="1" t="str">
        <x:v>Late delivery</x:v>
      </x:c>
      <x:c r="G9036" s="6" t="n">
        <x:v>6</x:v>
      </x:c>
      <x:c r="H9036" s="6" t="n">
        <x:v>4</x:v>
      </x:c>
      <x:c r="I9036" s="6" t="n">
        <x:f>G9036-H9036</x:f>
        <x:v>2</x:v>
      </x:c>
      <x:c r="J9036" s="6" t="n">
        <x:f>IF(OR(E9036="CANCELED",E9036="SUSPECTED_FRAUD",F9036="Shipping canceled"),0,1)</x:f>
        <x:v>1</x:v>
      </x:c>
      <x:c r="K9036" s="6" t="n">
        <x:f>IF(G9036&gt;H9036,1,0)</x:f>
        <x:v>1</x:v>
      </x:c>
      <x:c r="L9036" s="6" t="n">
        <x:f>J9036*K9036</x:f>
        <x:v>1</x:v>
      </x:c>
    </x:row>
    <x:row r="9037">
      <x:c r="A9037" s="1" t="n">
        <x:v>72671</x:v>
      </x:c>
      <x:c r="B9037" s="5" t="d">
        <x:v>2017-11-26T00:00:00.000Z</x:v>
      </x:c>
      <x:c r="C9037" s="1" t="str">
        <x:v>Standard Class</x:v>
      </x:c>
      <x:c r="D9037" s="1" t="str">
        <x:v>Pacific Asia</x:v>
      </x:c>
      <x:c r="E9037" s="1" t="str">
        <x:v>COMPLETE</x:v>
      </x:c>
      <x:c r="F9037" s="1" t="str">
        <x:v>Advance shipping</x:v>
      </x:c>
      <x:c r="G9037" s="6" t="n">
        <x:v>2</x:v>
      </x:c>
      <x:c r="H9037" s="6" t="n">
        <x:v>4</x:v>
      </x:c>
      <x:c r="I9037" s="6" t="n">
        <x:f>G9037-H9037</x:f>
        <x:v>-2</x:v>
      </x:c>
      <x:c r="J9037" s="6" t="n">
        <x:f>IF(OR(E9037="CANCELED",E9037="SUSPECTED_FRAUD",F9037="Shipping canceled"),0,1)</x:f>
        <x:v>1</x:v>
      </x:c>
      <x:c r="K9037" s="6" t="n">
        <x:f>IF(G9037&gt;H9037,1,0)</x:f>
        <x:v>0</x:v>
      </x:c>
      <x:c r="L9037" s="6" t="n">
        <x:f>J9037*K9037</x:f>
        <x:v>0</x:v>
      </x:c>
    </x:row>
    <x:row r="9038">
      <x:c r="A9038" s="1" t="n">
        <x:v>72703</x:v>
      </x:c>
      <x:c r="B9038" s="5" t="d">
        <x:v>2017-11-27T00:00:00.000Z</x:v>
      </x:c>
      <x:c r="C9038" s="1" t="str">
        <x:v>Standard Class</x:v>
      </x:c>
      <x:c r="D9038" s="1" t="str">
        <x:v>Pacific Asia</x:v>
      </x:c>
      <x:c r="E9038" s="1" t="str">
        <x:v>COMPLETE</x:v>
      </x:c>
      <x:c r="F9038" s="1" t="str">
        <x:v>Shipping on time</x:v>
      </x:c>
      <x:c r="G9038" s="6" t="n">
        <x:v>4</x:v>
      </x:c>
      <x:c r="H9038" s="6" t="n">
        <x:v>4</x:v>
      </x:c>
      <x:c r="I9038" s="6" t="n">
        <x:f>G9038-H9038</x:f>
        <x:v>0</x:v>
      </x:c>
      <x:c r="J9038" s="6" t="n">
        <x:f>IF(OR(E9038="CANCELED",E9038="SUSPECTED_FRAUD",F9038="Shipping canceled"),0,1)</x:f>
        <x:v>1</x:v>
      </x:c>
      <x:c r="K9038" s="6" t="n">
        <x:f>IF(G9038&gt;H9038,1,0)</x:f>
        <x:v>0</x:v>
      </x:c>
      <x:c r="L9038" s="6" t="n">
        <x:f>J9038*K9038</x:f>
        <x:v>0</x:v>
      </x:c>
    </x:row>
    <x:row r="9039">
      <x:c r="A9039" s="1" t="n">
        <x:v>72705</x:v>
      </x:c>
      <x:c r="B9039" s="5" t="d">
        <x:v>2017-11-27T00:00:00.000Z</x:v>
      </x:c>
      <x:c r="C9039" s="1" t="str">
        <x:v>Standard Class</x:v>
      </x:c>
      <x:c r="D9039" s="1" t="str">
        <x:v>Pacific Asia</x:v>
      </x:c>
      <x:c r="E9039" s="1" t="str">
        <x:v>COMPLETE</x:v>
      </x:c>
      <x:c r="F9039" s="1" t="str">
        <x:v>Late delivery</x:v>
      </x:c>
      <x:c r="G9039" s="6" t="n">
        <x:v>6</x:v>
      </x:c>
      <x:c r="H9039" s="6" t="n">
        <x:v>4</x:v>
      </x:c>
      <x:c r="I9039" s="6" t="n">
        <x:f>G9039-H9039</x:f>
        <x:v>2</x:v>
      </x:c>
      <x:c r="J9039" s="6" t="n">
        <x:f>IF(OR(E9039="CANCELED",E9039="SUSPECTED_FRAUD",F9039="Shipping canceled"),0,1)</x:f>
        <x:v>1</x:v>
      </x:c>
      <x:c r="K9039" s="6" t="n">
        <x:f>IF(G9039&gt;H9039,1,0)</x:f>
        <x:v>1</x:v>
      </x:c>
      <x:c r="L9039" s="6" t="n">
        <x:f>J9039*K9039</x:f>
        <x:v>1</x:v>
      </x:c>
    </x:row>
    <x:row r="9040">
      <x:c r="A9040" s="1" t="n">
        <x:v>72708</x:v>
      </x:c>
      <x:c r="B9040" s="5" t="d">
        <x:v>2017-11-27T00:00:00.000Z</x:v>
      </x:c>
      <x:c r="C9040" s="1" t="str">
        <x:v>Standard Class</x:v>
      </x:c>
      <x:c r="D9040" s="1" t="str">
        <x:v>Pacific Asia</x:v>
      </x:c>
      <x:c r="E9040" s="1" t="str">
        <x:v>COMPLETE</x:v>
      </x:c>
      <x:c r="F9040" s="1" t="str">
        <x:v>Shipping on time</x:v>
      </x:c>
      <x:c r="G9040" s="6" t="n">
        <x:v>4</x:v>
      </x:c>
      <x:c r="H9040" s="6" t="n">
        <x:v>4</x:v>
      </x:c>
      <x:c r="I9040" s="6" t="n">
        <x:f>G9040-H9040</x:f>
        <x:v>0</x:v>
      </x:c>
      <x:c r="J9040" s="6" t="n">
        <x:f>IF(OR(E9040="CANCELED",E9040="SUSPECTED_FRAUD",F9040="Shipping canceled"),0,1)</x:f>
        <x:v>1</x:v>
      </x:c>
      <x:c r="K9040" s="6" t="n">
        <x:f>IF(G9040&gt;H9040,1,0)</x:f>
        <x:v>0</x:v>
      </x:c>
      <x:c r="L9040" s="6" t="n">
        <x:f>J9040*K9040</x:f>
        <x:v>0</x:v>
      </x:c>
    </x:row>
    <x:row r="9041">
      <x:c r="A9041" s="1" t="n">
        <x:v>72728</x:v>
      </x:c>
      <x:c r="B9041" s="5" t="d">
        <x:v>2017-11-27T00:00:00.000Z</x:v>
      </x:c>
      <x:c r="C9041" s="1" t="str">
        <x:v>Standard Class</x:v>
      </x:c>
      <x:c r="D9041" s="1" t="str">
        <x:v>Pacific Asia</x:v>
      </x:c>
      <x:c r="E9041" s="1" t="str">
        <x:v>PENDING_PAYMENT</x:v>
      </x:c>
      <x:c r="F9041" s="1" t="str">
        <x:v>Shipping on time</x:v>
      </x:c>
      <x:c r="G9041" s="6" t="n">
        <x:v>4</x:v>
      </x:c>
      <x:c r="H9041" s="6" t="n">
        <x:v>4</x:v>
      </x:c>
      <x:c r="I9041" s="6" t="n">
        <x:f>G9041-H9041</x:f>
        <x:v>0</x:v>
      </x:c>
      <x:c r="J9041" s="6" t="n">
        <x:f>IF(OR(E9041="CANCELED",E9041="SUSPECTED_FRAUD",F9041="Shipping canceled"),0,1)</x:f>
        <x:v>1</x:v>
      </x:c>
      <x:c r="K9041" s="6" t="n">
        <x:f>IF(G9041&gt;H9041,1,0)</x:f>
        <x:v>0</x:v>
      </x:c>
      <x:c r="L9041" s="6" t="n">
        <x:f>J9041*K9041</x:f>
        <x:v>0</x:v>
      </x:c>
    </x:row>
    <x:row r="9042">
      <x:c r="A9042" s="1" t="n">
        <x:v>72732</x:v>
      </x:c>
      <x:c r="B9042" s="5" t="d">
        <x:v>2017-11-27T00:00:00.000Z</x:v>
      </x:c>
      <x:c r="C9042" s="1" t="str">
        <x:v>Standard Class</x:v>
      </x:c>
      <x:c r="D9042" s="1" t="str">
        <x:v>Pacific Asia</x:v>
      </x:c>
      <x:c r="E9042" s="1" t="str">
        <x:v>PENDING_PAYMENT</x:v>
      </x:c>
      <x:c r="F9042" s="1" t="str">
        <x:v>Advance shipping</x:v>
      </x:c>
      <x:c r="G9042" s="6" t="n">
        <x:v>3</x:v>
      </x:c>
      <x:c r="H9042" s="6" t="n">
        <x:v>4</x:v>
      </x:c>
      <x:c r="I9042" s="6" t="n">
        <x:f>G9042-H9042</x:f>
        <x:v>-1</x:v>
      </x:c>
      <x:c r="J9042" s="6" t="n">
        <x:f>IF(OR(E9042="CANCELED",E9042="SUSPECTED_FRAUD",F9042="Shipping canceled"),0,1)</x:f>
        <x:v>1</x:v>
      </x:c>
      <x:c r="K9042" s="6" t="n">
        <x:f>IF(G9042&gt;H9042,1,0)</x:f>
        <x:v>0</x:v>
      </x:c>
      <x:c r="L9042" s="6" t="n">
        <x:f>J9042*K9042</x:f>
        <x:v>0</x:v>
      </x:c>
    </x:row>
    <x:row r="9043">
      <x:c r="A9043" s="1" t="n">
        <x:v>72735</x:v>
      </x:c>
      <x:c r="B9043" s="5" t="d">
        <x:v>2017-11-27T00:00:00.000Z</x:v>
      </x:c>
      <x:c r="C9043" s="1" t="str">
        <x:v>Standard Class</x:v>
      </x:c>
      <x:c r="D9043" s="1" t="str">
        <x:v>Pacific Asia</x:v>
      </x:c>
      <x:c r="E9043" s="1" t="str">
        <x:v>COMPLETE</x:v>
      </x:c>
      <x:c r="F9043" s="1" t="str">
        <x:v>Late delivery</x:v>
      </x:c>
      <x:c r="G9043" s="6" t="n">
        <x:v>6</x:v>
      </x:c>
      <x:c r="H9043" s="6" t="n">
        <x:v>4</x:v>
      </x:c>
      <x:c r="I9043" s="6" t="n">
        <x:f>G9043-H9043</x:f>
        <x:v>2</x:v>
      </x:c>
      <x:c r="J9043" s="6" t="n">
        <x:f>IF(OR(E9043="CANCELED",E9043="SUSPECTED_FRAUD",F9043="Shipping canceled"),0,1)</x:f>
        <x:v>1</x:v>
      </x:c>
      <x:c r="K9043" s="6" t="n">
        <x:f>IF(G9043&gt;H9043,1,0)</x:f>
        <x:v>1</x:v>
      </x:c>
      <x:c r="L9043" s="6" t="n">
        <x:f>J9043*K9043</x:f>
        <x:v>1</x:v>
      </x:c>
    </x:row>
    <x:row r="9044">
      <x:c r="A9044" s="1" t="n">
        <x:v>72753</x:v>
      </x:c>
      <x:c r="B9044" s="5" t="d">
        <x:v>2017-11-28T00:00:00.000Z</x:v>
      </x:c>
      <x:c r="C9044" s="1" t="str">
        <x:v>Second Class</x:v>
      </x:c>
      <x:c r="D9044" s="1" t="str">
        <x:v>Pacific Asia</x:v>
      </x:c>
      <x:c r="E9044" s="1" t="str">
        <x:v>PROCESSING</x:v>
      </x:c>
      <x:c r="F9044" s="1" t="str">
        <x:v>Late delivery</x:v>
      </x:c>
      <x:c r="G9044" s="6" t="n">
        <x:v>4</x:v>
      </x:c>
      <x:c r="H9044" s="6" t="n">
        <x:v>2</x:v>
      </x:c>
      <x:c r="I9044" s="6" t="n">
        <x:f>G9044-H9044</x:f>
        <x:v>2</x:v>
      </x:c>
      <x:c r="J9044" s="6" t="n">
        <x:f>IF(OR(E9044="CANCELED",E9044="SUSPECTED_FRAUD",F9044="Shipping canceled"),0,1)</x:f>
        <x:v>1</x:v>
      </x:c>
      <x:c r="K9044" s="6" t="n">
        <x:f>IF(G9044&gt;H9044,1,0)</x:f>
        <x:v>1</x:v>
      </x:c>
      <x:c r="L9044" s="6" t="n">
        <x:f>J9044*K9044</x:f>
        <x:v>1</x:v>
      </x:c>
    </x:row>
    <x:row r="9045">
      <x:c r="A9045" s="1" t="n">
        <x:v>72772</x:v>
      </x:c>
      <x:c r="B9045" s="5" t="d">
        <x:v>2017-11-28T00:00:00.000Z</x:v>
      </x:c>
      <x:c r="C9045" s="1" t="str">
        <x:v>Second Class</x:v>
      </x:c>
      <x:c r="D9045" s="1" t="str">
        <x:v>Pacific Asia</x:v>
      </x:c>
      <x:c r="E9045" s="1" t="str">
        <x:v>CLOSED</x:v>
      </x:c>
      <x:c r="F9045" s="1" t="str">
        <x:v>Late delivery</x:v>
      </x:c>
      <x:c r="G9045" s="6" t="n">
        <x:v>3</x:v>
      </x:c>
      <x:c r="H9045" s="6" t="n">
        <x:v>2</x:v>
      </x:c>
      <x:c r="I9045" s="6" t="n">
        <x:f>G9045-H9045</x:f>
        <x:v>1</x:v>
      </x:c>
      <x:c r="J9045" s="6" t="n">
        <x:f>IF(OR(E9045="CANCELED",E9045="SUSPECTED_FRAUD",F9045="Shipping canceled"),0,1)</x:f>
        <x:v>1</x:v>
      </x:c>
      <x:c r="K9045" s="6" t="n">
        <x:f>IF(G9045&gt;H9045,1,0)</x:f>
        <x:v>1</x:v>
      </x:c>
      <x:c r="L9045" s="6" t="n">
        <x:f>J9045*K9045</x:f>
        <x:v>1</x:v>
      </x:c>
    </x:row>
    <x:row r="9046">
      <x:c r="A9046" s="1" t="n">
        <x:v>72775</x:v>
      </x:c>
      <x:c r="B9046" s="5" t="d">
        <x:v>2017-11-28T00:00:00.000Z</x:v>
      </x:c>
      <x:c r="C9046" s="1" t="str">
        <x:v>Standard Class</x:v>
      </x:c>
      <x:c r="D9046" s="1" t="str">
        <x:v>Pacific Asia</x:v>
      </x:c>
      <x:c r="E9046" s="1" t="str">
        <x:v>COMPLETE</x:v>
      </x:c>
      <x:c r="F9046" s="1" t="str">
        <x:v>Late delivery</x:v>
      </x:c>
      <x:c r="G9046" s="6" t="n">
        <x:v>6</x:v>
      </x:c>
      <x:c r="H9046" s="6" t="n">
        <x:v>4</x:v>
      </x:c>
      <x:c r="I9046" s="6" t="n">
        <x:f>G9046-H9046</x:f>
        <x:v>2</x:v>
      </x:c>
      <x:c r="J9046" s="6" t="n">
        <x:f>IF(OR(E9046="CANCELED",E9046="SUSPECTED_FRAUD",F9046="Shipping canceled"),0,1)</x:f>
        <x:v>1</x:v>
      </x:c>
      <x:c r="K9046" s="6" t="n">
        <x:f>IF(G9046&gt;H9046,1,0)</x:f>
        <x:v>1</x:v>
      </x:c>
      <x:c r="L9046" s="6" t="n">
        <x:f>J9046*K9046</x:f>
        <x:v>1</x:v>
      </x:c>
    </x:row>
    <x:row r="9047">
      <x:c r="A9047" s="1" t="n">
        <x:v>72796</x:v>
      </x:c>
      <x:c r="B9047" s="5" t="d">
        <x:v>2017-11-28T00:00:00.000Z</x:v>
      </x:c>
      <x:c r="C9047" s="1" t="str">
        <x:v>Second Class</x:v>
      </x:c>
      <x:c r="D9047" s="1" t="str">
        <x:v>Pacific Asia</x:v>
      </x:c>
      <x:c r="E9047" s="1" t="str">
        <x:v>CLOSED</x:v>
      </x:c>
      <x:c r="F9047" s="1" t="str">
        <x:v>Shipping on time</x:v>
      </x:c>
      <x:c r="G9047" s="6" t="n">
        <x:v>2</x:v>
      </x:c>
      <x:c r="H9047" s="6" t="n">
        <x:v>2</x:v>
      </x:c>
      <x:c r="I9047" s="6" t="n">
        <x:f>G9047-H9047</x:f>
        <x:v>0</x:v>
      </x:c>
      <x:c r="J9047" s="6" t="n">
        <x:f>IF(OR(E9047="CANCELED",E9047="SUSPECTED_FRAUD",F9047="Shipping canceled"),0,1)</x:f>
        <x:v>1</x:v>
      </x:c>
      <x:c r="K9047" s="6" t="n">
        <x:f>IF(G9047&gt;H9047,1,0)</x:f>
        <x:v>0</x:v>
      </x:c>
      <x:c r="L9047" s="6" t="n">
        <x:f>J9047*K9047</x:f>
        <x:v>0</x:v>
      </x:c>
    </x:row>
    <x:row r="9048">
      <x:c r="A9048" s="1" t="n">
        <x:v>72801</x:v>
      </x:c>
      <x:c r="B9048" s="5" t="d">
        <x:v>2017-11-28T00:00:00.000Z</x:v>
      </x:c>
      <x:c r="C9048" s="1" t="str">
        <x:v>Standard Class</x:v>
      </x:c>
      <x:c r="D9048" s="1" t="str">
        <x:v>Pacific Asia</x:v>
      </x:c>
      <x:c r="E9048" s="1" t="str">
        <x:v>PENDING_PAYMENT</x:v>
      </x:c>
      <x:c r="F9048" s="1" t="str">
        <x:v>Advance shipping</x:v>
      </x:c>
      <x:c r="G9048" s="6" t="n">
        <x:v>2</x:v>
      </x:c>
      <x:c r="H9048" s="6" t="n">
        <x:v>4</x:v>
      </x:c>
      <x:c r="I9048" s="6" t="n">
        <x:f>G9048-H9048</x:f>
        <x:v>-2</x:v>
      </x:c>
      <x:c r="J9048" s="6" t="n">
        <x:f>IF(OR(E9048="CANCELED",E9048="SUSPECTED_FRAUD",F9048="Shipping canceled"),0,1)</x:f>
        <x:v>1</x:v>
      </x:c>
      <x:c r="K9048" s="6" t="n">
        <x:f>IF(G9048&gt;H9048,1,0)</x:f>
        <x:v>0</x:v>
      </x:c>
      <x:c r="L9048" s="6" t="n">
        <x:f>J9048*K9048</x:f>
        <x:v>0</x:v>
      </x:c>
    </x:row>
    <x:row r="9049">
      <x:c r="A9049" s="1" t="n">
        <x:v>72809</x:v>
      </x:c>
      <x:c r="B9049" s="5" t="d">
        <x:v>2017-11-28T00:00:00.000Z</x:v>
      </x:c>
      <x:c r="C9049" s="1" t="str">
        <x:v>Standard Class</x:v>
      </x:c>
      <x:c r="D9049" s="1" t="str">
        <x:v>Pacific Asia</x:v>
      </x:c>
      <x:c r="E9049" s="1" t="str">
        <x:v>COMPLETE</x:v>
      </x:c>
      <x:c r="F9049" s="1" t="str">
        <x:v>Late delivery</x:v>
      </x:c>
      <x:c r="G9049" s="6" t="n">
        <x:v>5</x:v>
      </x:c>
      <x:c r="H9049" s="6" t="n">
        <x:v>4</x:v>
      </x:c>
      <x:c r="I9049" s="6" t="n">
        <x:f>G9049-H9049</x:f>
        <x:v>1</x:v>
      </x:c>
      <x:c r="J9049" s="6" t="n">
        <x:f>IF(OR(E9049="CANCELED",E9049="SUSPECTED_FRAUD",F9049="Shipping canceled"),0,1)</x:f>
        <x:v>1</x:v>
      </x:c>
      <x:c r="K9049" s="6" t="n">
        <x:f>IF(G9049&gt;H9049,1,0)</x:f>
        <x:v>1</x:v>
      </x:c>
      <x:c r="L9049" s="6" t="n">
        <x:f>J9049*K9049</x:f>
        <x:v>1</x:v>
      </x:c>
    </x:row>
    <x:row r="9050">
      <x:c r="A9050" s="1" t="n">
        <x:v>72856</x:v>
      </x:c>
      <x:c r="B9050" s="5" t="d">
        <x:v>2017-11-29T00:00:00.000Z</x:v>
      </x:c>
      <x:c r="C9050" s="1" t="str">
        <x:v>Standard Class</x:v>
      </x:c>
      <x:c r="D9050" s="1" t="str">
        <x:v>Pacific Asia</x:v>
      </x:c>
      <x:c r="E9050" s="1" t="str">
        <x:v>ON_HOLD</x:v>
      </x:c>
      <x:c r="F9050" s="1" t="str">
        <x:v>Advance shipping</x:v>
      </x:c>
      <x:c r="G9050" s="6" t="n">
        <x:v>2</x:v>
      </x:c>
      <x:c r="H9050" s="6" t="n">
        <x:v>4</x:v>
      </x:c>
      <x:c r="I9050" s="6" t="n">
        <x:f>G9050-H9050</x:f>
        <x:v>-2</x:v>
      </x:c>
      <x:c r="J9050" s="6" t="n">
        <x:f>IF(OR(E9050="CANCELED",E9050="SUSPECTED_FRAUD",F9050="Shipping canceled"),0,1)</x:f>
        <x:v>1</x:v>
      </x:c>
      <x:c r="K9050" s="6" t="n">
        <x:f>IF(G9050&gt;H9050,1,0)</x:f>
        <x:v>0</x:v>
      </x:c>
      <x:c r="L9050" s="6" t="n">
        <x:f>J9050*K9050</x:f>
        <x:v>0</x:v>
      </x:c>
    </x:row>
    <x:row r="9051">
      <x:c r="A9051" s="1" t="n">
        <x:v>72894</x:v>
      </x:c>
      <x:c r="B9051" s="5" t="d">
        <x:v>2017-11-30T00:00:00.000Z</x:v>
      </x:c>
      <x:c r="C9051" s="1" t="str">
        <x:v>Second Class</x:v>
      </x:c>
      <x:c r="D9051" s="1" t="str">
        <x:v>Pacific Asia</x:v>
      </x:c>
      <x:c r="E9051" s="1" t="str">
        <x:v>COMPLETE</x:v>
      </x:c>
      <x:c r="F9051" s="1" t="str">
        <x:v>Late delivery</x:v>
      </x:c>
      <x:c r="G9051" s="6" t="n">
        <x:v>5</x:v>
      </x:c>
      <x:c r="H9051" s="6" t="n">
        <x:v>2</x:v>
      </x:c>
      <x:c r="I9051" s="6" t="n">
        <x:f>G9051-H9051</x:f>
        <x:v>3</x:v>
      </x:c>
      <x:c r="J9051" s="6" t="n">
        <x:f>IF(OR(E9051="CANCELED",E9051="SUSPECTED_FRAUD",F9051="Shipping canceled"),0,1)</x:f>
        <x:v>1</x:v>
      </x:c>
      <x:c r="K9051" s="6" t="n">
        <x:f>IF(G9051&gt;H9051,1,0)</x:f>
        <x:v>1</x:v>
      </x:c>
      <x:c r="L9051" s="6" t="n">
        <x:f>J9051*K9051</x:f>
        <x:v>1</x:v>
      </x:c>
    </x:row>
    <x:row r="9052">
      <x:c r="A9052" s="1" t="n">
        <x:v>72897</x:v>
      </x:c>
      <x:c r="B9052" s="5" t="d">
        <x:v>2017-11-30T00:00:00.000Z</x:v>
      </x:c>
      <x:c r="C9052" s="1" t="str">
        <x:v>Standard Class</x:v>
      </x:c>
      <x:c r="D9052" s="1" t="str">
        <x:v>Pacific Asia</x:v>
      </x:c>
      <x:c r="E9052" s="1" t="str">
        <x:v>ON_HOLD</x:v>
      </x:c>
      <x:c r="F9052" s="1" t="str">
        <x:v>Advance shipping</x:v>
      </x:c>
      <x:c r="G9052" s="6" t="n">
        <x:v>3</x:v>
      </x:c>
      <x:c r="H9052" s="6" t="n">
        <x:v>4</x:v>
      </x:c>
      <x:c r="I9052" s="6" t="n">
        <x:f>G9052-H9052</x:f>
        <x:v>-1</x:v>
      </x:c>
      <x:c r="J9052" s="6" t="n">
        <x:f>IF(OR(E9052="CANCELED",E9052="SUSPECTED_FRAUD",F9052="Shipping canceled"),0,1)</x:f>
        <x:v>1</x:v>
      </x:c>
      <x:c r="K9052" s="6" t="n">
        <x:f>IF(G9052&gt;H9052,1,0)</x:f>
        <x:v>0</x:v>
      </x:c>
      <x:c r="L9052" s="6" t="n">
        <x:f>J9052*K9052</x:f>
        <x:v>0</x:v>
      </x:c>
    </x:row>
    <x:row r="9053">
      <x:c r="A9053" s="1" t="n">
        <x:v>72907</x:v>
      </x:c>
      <x:c r="B9053" s="5" t="d">
        <x:v>2017-11-30T00:00:00.000Z</x:v>
      </x:c>
      <x:c r="C9053" s="1" t="str">
        <x:v>Second Class</x:v>
      </x:c>
      <x:c r="D9053" s="1" t="str">
        <x:v>Pacific Asia</x:v>
      </x:c>
      <x:c r="E9053" s="1" t="str">
        <x:v>COMPLETE</x:v>
      </x:c>
      <x:c r="F9053" s="1" t="str">
        <x:v>Late delivery</x:v>
      </x:c>
      <x:c r="G9053" s="6" t="n">
        <x:v>3</x:v>
      </x:c>
      <x:c r="H9053" s="6" t="n">
        <x:v>2</x:v>
      </x:c>
      <x:c r="I9053" s="6" t="n">
        <x:f>G9053-H9053</x:f>
        <x:v>1</x:v>
      </x:c>
      <x:c r="J9053" s="6" t="n">
        <x:f>IF(OR(E9053="CANCELED",E9053="SUSPECTED_FRAUD",F9053="Shipping canceled"),0,1)</x:f>
        <x:v>1</x:v>
      </x:c>
      <x:c r="K9053" s="6" t="n">
        <x:f>IF(G9053&gt;H9053,1,0)</x:f>
        <x:v>1</x:v>
      </x:c>
      <x:c r="L9053" s="6" t="n">
        <x:f>J9053*K9053</x:f>
        <x:v>1</x:v>
      </x:c>
    </x:row>
    <x:row r="9054">
      <x:c r="A9054" s="1" t="n">
        <x:v>72909</x:v>
      </x:c>
      <x:c r="B9054" s="5" t="d">
        <x:v>2017-11-30T00:00:00.000Z</x:v>
      </x:c>
      <x:c r="C9054" s="1" t="str">
        <x:v>Second Class</x:v>
      </x:c>
      <x:c r="D9054" s="1" t="str">
        <x:v>Pacific Asia</x:v>
      </x:c>
      <x:c r="E9054" s="1" t="str">
        <x:v>PENDING</x:v>
      </x:c>
      <x:c r="F9054" s="1" t="str">
        <x:v>Late delivery</x:v>
      </x:c>
      <x:c r="G9054" s="6" t="n">
        <x:v>5</x:v>
      </x:c>
      <x:c r="H9054" s="6" t="n">
        <x:v>2</x:v>
      </x:c>
      <x:c r="I9054" s="6" t="n">
        <x:f>G9054-H9054</x:f>
        <x:v>3</x:v>
      </x:c>
      <x:c r="J9054" s="6" t="n">
        <x:f>IF(OR(E9054="CANCELED",E9054="SUSPECTED_FRAUD",F9054="Shipping canceled"),0,1)</x:f>
        <x:v>1</x:v>
      </x:c>
      <x:c r="K9054" s="6" t="n">
        <x:f>IF(G9054&gt;H9054,1,0)</x:f>
        <x:v>1</x:v>
      </x:c>
      <x:c r="L9054" s="6" t="n">
        <x:f>J9054*K9054</x:f>
        <x:v>1</x:v>
      </x:c>
    </x:row>
    <x:row r="9055">
      <x:c r="A9055" s="1" t="n">
        <x:v>72916</x:v>
      </x:c>
      <x:c r="B9055" s="5" t="d">
        <x:v>2017-11-30T00:00:00.000Z</x:v>
      </x:c>
      <x:c r="C9055" s="1" t="str">
        <x:v>Standard Class</x:v>
      </x:c>
      <x:c r="D9055" s="1" t="str">
        <x:v>Pacific Asia</x:v>
      </x:c>
      <x:c r="E9055" s="1" t="str">
        <x:v>PENDING_PAYMENT</x:v>
      </x:c>
      <x:c r="F9055" s="1" t="str">
        <x:v>Advance shipping</x:v>
      </x:c>
      <x:c r="G9055" s="6" t="n">
        <x:v>2</x:v>
      </x:c>
      <x:c r="H9055" s="6" t="n">
        <x:v>4</x:v>
      </x:c>
      <x:c r="I9055" s="6" t="n">
        <x:f>G9055-H9055</x:f>
        <x:v>-2</x:v>
      </x:c>
      <x:c r="J9055" s="6" t="n">
        <x:f>IF(OR(E9055="CANCELED",E9055="SUSPECTED_FRAUD",F9055="Shipping canceled"),0,1)</x:f>
        <x:v>1</x:v>
      </x:c>
      <x:c r="K9055" s="6" t="n">
        <x:f>IF(G9055&gt;H9055,1,0)</x:f>
        <x:v>0</x:v>
      </x:c>
      <x:c r="L9055" s="6" t="n">
        <x:f>J9055*K9055</x:f>
        <x:v>0</x:v>
      </x:c>
    </x:row>
    <x:row r="9056">
      <x:c r="A9056" s="1" t="n">
        <x:v>72978</x:v>
      </x:c>
      <x:c r="B9056" s="5" t="d">
        <x:v>2017-12-01T00:00:00.000Z</x:v>
      </x:c>
      <x:c r="C9056" s="1" t="str">
        <x:v>Standard Class</x:v>
      </x:c>
      <x:c r="D9056" s="1" t="str">
        <x:v>Pacific Asia</x:v>
      </x:c>
      <x:c r="E9056" s="1" t="str">
        <x:v>CLOSED</x:v>
      </x:c>
      <x:c r="F9056" s="1" t="str">
        <x:v>Shipping on time</x:v>
      </x:c>
      <x:c r="G9056" s="6" t="n">
        <x:v>4</x:v>
      </x:c>
      <x:c r="H9056" s="6" t="n">
        <x:v>4</x:v>
      </x:c>
      <x:c r="I9056" s="6" t="n">
        <x:f>G9056-H9056</x:f>
        <x:v>0</x:v>
      </x:c>
      <x:c r="J9056" s="6" t="n">
        <x:f>IF(OR(E9056="CANCELED",E9056="SUSPECTED_FRAUD",F9056="Shipping canceled"),0,1)</x:f>
        <x:v>1</x:v>
      </x:c>
      <x:c r="K9056" s="6" t="n">
        <x:f>IF(G9056&gt;H9056,1,0)</x:f>
        <x:v>0</x:v>
      </x:c>
      <x:c r="L9056" s="6" t="n">
        <x:f>J9056*K9056</x:f>
        <x:v>0</x:v>
      </x:c>
    </x:row>
    <x:row r="9057">
      <x:c r="A9057" s="1" t="n">
        <x:v>72987</x:v>
      </x:c>
      <x:c r="B9057" s="5" t="d">
        <x:v>2017-12-01T00:00:00.000Z</x:v>
      </x:c>
      <x:c r="C9057" s="1" t="str">
        <x:v>First Class</x:v>
      </x:c>
      <x:c r="D9057" s="1" t="str">
        <x:v>Pacific Asia</x:v>
      </x:c>
      <x:c r="E9057" s="1" t="str">
        <x:v>CLOSED</x:v>
      </x:c>
      <x:c r="F9057" s="1" t="str">
        <x:v>Late delivery</x:v>
      </x:c>
      <x:c r="G9057" s="6" t="n">
        <x:v>2</x:v>
      </x:c>
      <x:c r="H9057" s="6" t="n">
        <x:v>1</x:v>
      </x:c>
      <x:c r="I9057" s="6" t="n">
        <x:f>G9057-H9057</x:f>
        <x:v>1</x:v>
      </x:c>
      <x:c r="J9057" s="6" t="n">
        <x:f>IF(OR(E9057="CANCELED",E9057="SUSPECTED_FRAUD",F9057="Shipping canceled"),0,1)</x:f>
        <x:v>1</x:v>
      </x:c>
      <x:c r="K9057" s="6" t="n">
        <x:f>IF(G9057&gt;H9057,1,0)</x:f>
        <x:v>1</x:v>
      </x:c>
      <x:c r="L9057" s="6" t="n">
        <x:f>J9057*K9057</x:f>
        <x:v>1</x:v>
      </x:c>
    </x:row>
    <x:row r="9058">
      <x:c r="A9058" s="1" t="n">
        <x:v>73011</x:v>
      </x:c>
      <x:c r="B9058" s="5" t="d">
        <x:v>2017-12-01T00:00:00.000Z</x:v>
      </x:c>
      <x:c r="C9058" s="1" t="str">
        <x:v>Same Day</x:v>
      </x:c>
      <x:c r="D9058" s="1" t="str">
        <x:v>Pacific Asia</x:v>
      </x:c>
      <x:c r="E9058" s="1" t="str">
        <x:v>CLOSED</x:v>
      </x:c>
      <x:c r="F9058" s="1" t="str">
        <x:v>Late delivery</x:v>
      </x:c>
      <x:c r="G9058" s="6" t="n">
        <x:v>1</x:v>
      </x:c>
      <x:c r="H9058" s="6" t="n">
        <x:v>0</x:v>
      </x:c>
      <x:c r="I9058" s="6" t="n">
        <x:f>G9058-H9058</x:f>
        <x:v>1</x:v>
      </x:c>
      <x:c r="J9058" s="6" t="n">
        <x:f>IF(OR(E9058="CANCELED",E9058="SUSPECTED_FRAUD",F9058="Shipping canceled"),0,1)</x:f>
        <x:v>1</x:v>
      </x:c>
      <x:c r="K9058" s="6" t="n">
        <x:f>IF(G9058&gt;H9058,1,0)</x:f>
        <x:v>1</x:v>
      </x:c>
      <x:c r="L9058" s="6" t="n">
        <x:f>J9058*K9058</x:f>
        <x:v>1</x:v>
      </x:c>
    </x:row>
    <x:row r="9059">
      <x:c r="A9059" s="1" t="n">
        <x:v>73015</x:v>
      </x:c>
      <x:c r="B9059" s="5" t="d">
        <x:v>2017-12-01T00:00:00.000Z</x:v>
      </x:c>
      <x:c r="C9059" s="1" t="str">
        <x:v>Second Class</x:v>
      </x:c>
      <x:c r="D9059" s="1" t="str">
        <x:v>Pacific Asia</x:v>
      </x:c>
      <x:c r="E9059" s="1" t="str">
        <x:v>COMPLETE</x:v>
      </x:c>
      <x:c r="F9059" s="1" t="str">
        <x:v>Late delivery</x:v>
      </x:c>
      <x:c r="G9059" s="6" t="n">
        <x:v>6</x:v>
      </x:c>
      <x:c r="H9059" s="6" t="n">
        <x:v>2</x:v>
      </x:c>
      <x:c r="I9059" s="6" t="n">
        <x:f>G9059-H9059</x:f>
        <x:v>4</x:v>
      </x:c>
      <x:c r="J9059" s="6" t="n">
        <x:f>IF(OR(E9059="CANCELED",E9059="SUSPECTED_FRAUD",F9059="Shipping canceled"),0,1)</x:f>
        <x:v>1</x:v>
      </x:c>
      <x:c r="K9059" s="6" t="n">
        <x:f>IF(G9059&gt;H9059,1,0)</x:f>
        <x:v>1</x:v>
      </x:c>
      <x:c r="L9059" s="6" t="n">
        <x:f>J9059*K9059</x:f>
        <x:v>1</x:v>
      </x:c>
    </x:row>
    <x:row r="9060">
      <x:c r="A9060" s="1" t="n">
        <x:v>73029</x:v>
      </x:c>
      <x:c r="B9060" s="5" t="d">
        <x:v>2017-12-02T00:00:00.000Z</x:v>
      </x:c>
      <x:c r="C9060" s="1" t="str">
        <x:v>Second Class</x:v>
      </x:c>
      <x:c r="D9060" s="1" t="str">
        <x:v>Pacific Asia</x:v>
      </x:c>
      <x:c r="E9060" s="1" t="str">
        <x:v>COMPLETE</x:v>
      </x:c>
      <x:c r="F9060" s="1" t="str">
        <x:v>Late delivery</x:v>
      </x:c>
      <x:c r="G9060" s="6" t="n">
        <x:v>5</x:v>
      </x:c>
      <x:c r="H9060" s="6" t="n">
        <x:v>2</x:v>
      </x:c>
      <x:c r="I9060" s="6" t="n">
        <x:f>G9060-H9060</x:f>
        <x:v>3</x:v>
      </x:c>
      <x:c r="J9060" s="6" t="n">
        <x:f>IF(OR(E9060="CANCELED",E9060="SUSPECTED_FRAUD",F9060="Shipping canceled"),0,1)</x:f>
        <x:v>1</x:v>
      </x:c>
      <x:c r="K9060" s="6" t="n">
        <x:f>IF(G9060&gt;H9060,1,0)</x:f>
        <x:v>1</x:v>
      </x:c>
      <x:c r="L9060" s="6" t="n">
        <x:f>J9060*K9060</x:f>
        <x:v>1</x:v>
      </x:c>
    </x:row>
    <x:row r="9061">
      <x:c r="A9061" s="1" t="n">
        <x:v>73046</x:v>
      </x:c>
      <x:c r="B9061" s="5" t="d">
        <x:v>2017-12-02T00:00:00.000Z</x:v>
      </x:c>
      <x:c r="C9061" s="1" t="str">
        <x:v>Second Class</x:v>
      </x:c>
      <x:c r="D9061" s="1" t="str">
        <x:v>Pacific Asia</x:v>
      </x:c>
      <x:c r="E9061" s="1" t="str">
        <x:v>PROCESSING</x:v>
      </x:c>
      <x:c r="F9061" s="1" t="str">
        <x:v>Shipping on time</x:v>
      </x:c>
      <x:c r="G9061" s="6" t="n">
        <x:v>2</x:v>
      </x:c>
      <x:c r="H9061" s="6" t="n">
        <x:v>2</x:v>
      </x:c>
      <x:c r="I9061" s="6" t="n">
        <x:f>G9061-H9061</x:f>
        <x:v>0</x:v>
      </x:c>
      <x:c r="J9061" s="6" t="n">
        <x:f>IF(OR(E9061="CANCELED",E9061="SUSPECTED_FRAUD",F9061="Shipping canceled"),0,1)</x:f>
        <x:v>1</x:v>
      </x:c>
      <x:c r="K9061" s="6" t="n">
        <x:f>IF(G9061&gt;H9061,1,0)</x:f>
        <x:v>0</x:v>
      </x:c>
      <x:c r="L9061" s="6" t="n">
        <x:f>J9061*K9061</x:f>
        <x:v>0</x:v>
      </x:c>
    </x:row>
    <x:row r="9062">
      <x:c r="A9062" s="1" t="n">
        <x:v>73072</x:v>
      </x:c>
      <x:c r="B9062" s="5" t="d">
        <x:v>2017-12-02T00:00:00.000Z</x:v>
      </x:c>
      <x:c r="C9062" s="1" t="str">
        <x:v>First Class</x:v>
      </x:c>
      <x:c r="D9062" s="1" t="str">
        <x:v>Pacific Asia</x:v>
      </x:c>
      <x:c r="E9062" s="1" t="str">
        <x:v>CLOSED</x:v>
      </x:c>
      <x:c r="F9062" s="1" t="str">
        <x:v>Late delivery</x:v>
      </x:c>
      <x:c r="G9062" s="6" t="n">
        <x:v>2</x:v>
      </x:c>
      <x:c r="H9062" s="6" t="n">
        <x:v>1</x:v>
      </x:c>
      <x:c r="I9062" s="6" t="n">
        <x:f>G9062-H9062</x:f>
        <x:v>1</x:v>
      </x:c>
      <x:c r="J9062" s="6" t="n">
        <x:f>IF(OR(E9062="CANCELED",E9062="SUSPECTED_FRAUD",F9062="Shipping canceled"),0,1)</x:f>
        <x:v>1</x:v>
      </x:c>
      <x:c r="K9062" s="6" t="n">
        <x:f>IF(G9062&gt;H9062,1,0)</x:f>
        <x:v>1</x:v>
      </x:c>
      <x:c r="L9062" s="6" t="n">
        <x:f>J9062*K9062</x:f>
        <x:v>1</x:v>
      </x:c>
    </x:row>
    <x:row r="9063">
      <x:c r="A9063" s="1" t="n">
        <x:v>73077</x:v>
      </x:c>
      <x:c r="B9063" s="5" t="d">
        <x:v>2017-12-02T00:00:00.000Z</x:v>
      </x:c>
      <x:c r="C9063" s="1" t="str">
        <x:v>Second Class</x:v>
      </x:c>
      <x:c r="D9063" s="1" t="str">
        <x:v>Pacific Asia</x:v>
      </x:c>
      <x:c r="E9063" s="1" t="str">
        <x:v>PENDING</x:v>
      </x:c>
      <x:c r="F9063" s="1" t="str">
        <x:v>Late delivery</x:v>
      </x:c>
      <x:c r="G9063" s="6" t="n">
        <x:v>3</x:v>
      </x:c>
      <x:c r="H9063" s="6" t="n">
        <x:v>2</x:v>
      </x:c>
      <x:c r="I9063" s="6" t="n">
        <x:f>G9063-H9063</x:f>
        <x:v>1</x:v>
      </x:c>
      <x:c r="J9063" s="6" t="n">
        <x:f>IF(OR(E9063="CANCELED",E9063="SUSPECTED_FRAUD",F9063="Shipping canceled"),0,1)</x:f>
        <x:v>1</x:v>
      </x:c>
      <x:c r="K9063" s="6" t="n">
        <x:f>IF(G9063&gt;H9063,1,0)</x:f>
        <x:v>1</x:v>
      </x:c>
      <x:c r="L9063" s="6" t="n">
        <x:f>J9063*K9063</x:f>
        <x:v>1</x:v>
      </x:c>
    </x:row>
    <x:row r="9064">
      <x:c r="A9064" s="1" t="n">
        <x:v>73078</x:v>
      </x:c>
      <x:c r="B9064" s="5" t="d">
        <x:v>2017-12-02T00:00:00.000Z</x:v>
      </x:c>
      <x:c r="C9064" s="1" t="str">
        <x:v>Second Class</x:v>
      </x:c>
      <x:c r="D9064" s="1" t="str">
        <x:v>Pacific Asia</x:v>
      </x:c>
      <x:c r="E9064" s="1" t="str">
        <x:v>CLOSED</x:v>
      </x:c>
      <x:c r="F9064" s="1" t="str">
        <x:v>Late delivery</x:v>
      </x:c>
      <x:c r="G9064" s="6" t="n">
        <x:v>4</x:v>
      </x:c>
      <x:c r="H9064" s="6" t="n">
        <x:v>2</x:v>
      </x:c>
      <x:c r="I9064" s="6" t="n">
        <x:f>G9064-H9064</x:f>
        <x:v>2</x:v>
      </x:c>
      <x:c r="J9064" s="6" t="n">
        <x:f>IF(OR(E9064="CANCELED",E9064="SUSPECTED_FRAUD",F9064="Shipping canceled"),0,1)</x:f>
        <x:v>1</x:v>
      </x:c>
      <x:c r="K9064" s="6" t="n">
        <x:f>IF(G9064&gt;H9064,1,0)</x:f>
        <x:v>1</x:v>
      </x:c>
      <x:c r="L9064" s="6" t="n">
        <x:f>J9064*K9064</x:f>
        <x:v>1</x:v>
      </x:c>
    </x:row>
    <x:row r="9065">
      <x:c r="A9065" s="1" t="n">
        <x:v>73079</x:v>
      </x:c>
      <x:c r="B9065" s="5" t="d">
        <x:v>2017-12-02T00:00:00.000Z</x:v>
      </x:c>
      <x:c r="C9065" s="1" t="str">
        <x:v>First Class</x:v>
      </x:c>
      <x:c r="D9065" s="1" t="str">
        <x:v>Pacific Asia</x:v>
      </x:c>
      <x:c r="E9065" s="1" t="str">
        <x:v>ON_HOLD</x:v>
      </x:c>
      <x:c r="F9065" s="1" t="str">
        <x:v>Late delivery</x:v>
      </x:c>
      <x:c r="G9065" s="6" t="n">
        <x:v>2</x:v>
      </x:c>
      <x:c r="H9065" s="6" t="n">
        <x:v>1</x:v>
      </x:c>
      <x:c r="I9065" s="6" t="n">
        <x:f>G9065-H9065</x:f>
        <x:v>1</x:v>
      </x:c>
      <x:c r="J9065" s="6" t="n">
        <x:f>IF(OR(E9065="CANCELED",E9065="SUSPECTED_FRAUD",F9065="Shipping canceled"),0,1)</x:f>
        <x:v>1</x:v>
      </x:c>
      <x:c r="K9065" s="6" t="n">
        <x:f>IF(G9065&gt;H9065,1,0)</x:f>
        <x:v>1</x:v>
      </x:c>
      <x:c r="L9065" s="6" t="n">
        <x:f>J9065*K9065</x:f>
        <x:v>1</x:v>
      </x:c>
    </x:row>
    <x:row r="9066">
      <x:c r="A9066" s="1" t="n">
        <x:v>73080</x:v>
      </x:c>
      <x:c r="B9066" s="5" t="d">
        <x:v>2017-12-02T00:00:00.000Z</x:v>
      </x:c>
      <x:c r="C9066" s="1" t="str">
        <x:v>First Class</x:v>
      </x:c>
      <x:c r="D9066" s="1" t="str">
        <x:v>Pacific Asia</x:v>
      </x:c>
      <x:c r="E9066" s="1" t="str">
        <x:v>PENDING</x:v>
      </x:c>
      <x:c r="F9066" s="1" t="str">
        <x:v>Late delivery</x:v>
      </x:c>
      <x:c r="G9066" s="6" t="n">
        <x:v>2</x:v>
      </x:c>
      <x:c r="H9066" s="6" t="n">
        <x:v>1</x:v>
      </x:c>
      <x:c r="I9066" s="6" t="n">
        <x:f>G9066-H9066</x:f>
        <x:v>1</x:v>
      </x:c>
      <x:c r="J9066" s="6" t="n">
        <x:f>IF(OR(E9066="CANCELED",E9066="SUSPECTED_FRAUD",F9066="Shipping canceled"),0,1)</x:f>
        <x:v>1</x:v>
      </x:c>
      <x:c r="K9066" s="6" t="n">
        <x:f>IF(G9066&gt;H9066,1,0)</x:f>
        <x:v>1</x:v>
      </x:c>
      <x:c r="L9066" s="6" t="n">
        <x:f>J9066*K9066</x:f>
        <x:v>1</x:v>
      </x:c>
    </x:row>
    <x:row r="9067">
      <x:c r="A9067" s="1" t="n">
        <x:v>73081</x:v>
      </x:c>
      <x:c r="B9067" s="5" t="d">
        <x:v>2017-12-02T00:00:00.000Z</x:v>
      </x:c>
      <x:c r="C9067" s="1" t="str">
        <x:v>First Class</x:v>
      </x:c>
      <x:c r="D9067" s="1" t="str">
        <x:v>Pacific Asia</x:v>
      </x:c>
      <x:c r="E9067" s="1" t="str">
        <x:v>PENDING_PAYMENT</x:v>
      </x:c>
      <x:c r="F9067" s="1" t="str">
        <x:v>Late delivery</x:v>
      </x:c>
      <x:c r="G9067" s="6" t="n">
        <x:v>2</x:v>
      </x:c>
      <x:c r="H9067" s="6" t="n">
        <x:v>1</x:v>
      </x:c>
      <x:c r="I9067" s="6" t="n">
        <x:f>G9067-H9067</x:f>
        <x:v>1</x:v>
      </x:c>
      <x:c r="J9067" s="6" t="n">
        <x:f>IF(OR(E9067="CANCELED",E9067="SUSPECTED_FRAUD",F9067="Shipping canceled"),0,1)</x:f>
        <x:v>1</x:v>
      </x:c>
      <x:c r="K9067" s="6" t="n">
        <x:f>IF(G9067&gt;H9067,1,0)</x:f>
        <x:v>1</x:v>
      </x:c>
      <x:c r="L9067" s="6" t="n">
        <x:f>J9067*K9067</x:f>
        <x:v>1</x:v>
      </x:c>
    </x:row>
    <x:row r="9068">
      <x:c r="A9068" s="1" t="n">
        <x:v>73082</x:v>
      </x:c>
      <x:c r="B9068" s="5" t="d">
        <x:v>2017-12-02T00:00:00.000Z</x:v>
      </x:c>
      <x:c r="C9068" s="1" t="str">
        <x:v>Second Class</x:v>
      </x:c>
      <x:c r="D9068" s="1" t="str">
        <x:v>Pacific Asia</x:v>
      </x:c>
      <x:c r="E9068" s="1" t="str">
        <x:v>COMPLETE</x:v>
      </x:c>
      <x:c r="F9068" s="1" t="str">
        <x:v>Late delivery</x:v>
      </x:c>
      <x:c r="G9068" s="6" t="n">
        <x:v>3</x:v>
      </x:c>
      <x:c r="H9068" s="6" t="n">
        <x:v>2</x:v>
      </x:c>
      <x:c r="I9068" s="6" t="n">
        <x:f>G9068-H9068</x:f>
        <x:v>1</x:v>
      </x:c>
      <x:c r="J9068" s="6" t="n">
        <x:f>IF(OR(E9068="CANCELED",E9068="SUSPECTED_FRAUD",F9068="Shipping canceled"),0,1)</x:f>
        <x:v>1</x:v>
      </x:c>
      <x:c r="K9068" s="6" t="n">
        <x:f>IF(G9068&gt;H9068,1,0)</x:f>
        <x:v>1</x:v>
      </x:c>
      <x:c r="L9068" s="6" t="n">
        <x:f>J9068*K9068</x:f>
        <x:v>1</x:v>
      </x:c>
    </x:row>
    <x:row r="9069">
      <x:c r="A9069" s="1" t="n">
        <x:v>73083</x:v>
      </x:c>
      <x:c r="B9069" s="5" t="d">
        <x:v>2017-12-02T00:00:00.000Z</x:v>
      </x:c>
      <x:c r="C9069" s="1" t="str">
        <x:v>Standard Class</x:v>
      </x:c>
      <x:c r="D9069" s="1" t="str">
        <x:v>Pacific Asia</x:v>
      </x:c>
      <x:c r="E9069" s="1" t="str">
        <x:v>CLOSED</x:v>
      </x:c>
      <x:c r="F9069" s="1" t="str">
        <x:v>Shipping on time</x:v>
      </x:c>
      <x:c r="G9069" s="6" t="n">
        <x:v>4</x:v>
      </x:c>
      <x:c r="H9069" s="6" t="n">
        <x:v>4</x:v>
      </x:c>
      <x:c r="I9069" s="6" t="n">
        <x:f>G9069-H9069</x:f>
        <x:v>0</x:v>
      </x:c>
      <x:c r="J9069" s="6" t="n">
        <x:f>IF(OR(E9069="CANCELED",E9069="SUSPECTED_FRAUD",F9069="Shipping canceled"),0,1)</x:f>
        <x:v>1</x:v>
      </x:c>
      <x:c r="K9069" s="6" t="n">
        <x:f>IF(G9069&gt;H9069,1,0)</x:f>
        <x:v>0</x:v>
      </x:c>
      <x:c r="L9069" s="6" t="n">
        <x:f>J9069*K9069</x:f>
        <x:v>0</x:v>
      </x:c>
    </x:row>
    <x:row r="9070">
      <x:c r="A9070" s="1" t="n">
        <x:v>73084</x:v>
      </x:c>
      <x:c r="B9070" s="5" t="d">
        <x:v>2017-12-02T00:00:00.000Z</x:v>
      </x:c>
      <x:c r="C9070" s="1" t="str">
        <x:v>Standard Class</x:v>
      </x:c>
      <x:c r="D9070" s="1" t="str">
        <x:v>Pacific Asia</x:v>
      </x:c>
      <x:c r="E9070" s="1" t="str">
        <x:v>PENDING</x:v>
      </x:c>
      <x:c r="F9070" s="1" t="str">
        <x:v>Late delivery</x:v>
      </x:c>
      <x:c r="G9070" s="6" t="n">
        <x:v>5</x:v>
      </x:c>
      <x:c r="H9070" s="6" t="n">
        <x:v>4</x:v>
      </x:c>
      <x:c r="I9070" s="6" t="n">
        <x:f>G9070-H9070</x:f>
        <x:v>1</x:v>
      </x:c>
      <x:c r="J9070" s="6" t="n">
        <x:f>IF(OR(E9070="CANCELED",E9070="SUSPECTED_FRAUD",F9070="Shipping canceled"),0,1)</x:f>
        <x:v>1</x:v>
      </x:c>
      <x:c r="K9070" s="6" t="n">
        <x:f>IF(G9070&gt;H9070,1,0)</x:f>
        <x:v>1</x:v>
      </x:c>
      <x:c r="L9070" s="6" t="n">
        <x:f>J9070*K9070</x:f>
        <x:v>1</x:v>
      </x:c>
    </x:row>
    <x:row r="9071">
      <x:c r="A9071" s="1" t="n">
        <x:v>73085</x:v>
      </x:c>
      <x:c r="B9071" s="5" t="d">
        <x:v>2017-12-02T00:00:00.000Z</x:v>
      </x:c>
      <x:c r="C9071" s="1" t="str">
        <x:v>Standard Class</x:v>
      </x:c>
      <x:c r="D9071" s="1" t="str">
        <x:v>Pacific Asia</x:v>
      </x:c>
      <x:c r="E9071" s="1" t="str">
        <x:v>COMPLETE</x:v>
      </x:c>
      <x:c r="F9071" s="1" t="str">
        <x:v>Late delivery</x:v>
      </x:c>
      <x:c r="G9071" s="6" t="n">
        <x:v>6</x:v>
      </x:c>
      <x:c r="H9071" s="6" t="n">
        <x:v>4</x:v>
      </x:c>
      <x:c r="I9071" s="6" t="n">
        <x:f>G9071-H9071</x:f>
        <x:v>2</x:v>
      </x:c>
      <x:c r="J9071" s="6" t="n">
        <x:f>IF(OR(E9071="CANCELED",E9071="SUSPECTED_FRAUD",F9071="Shipping canceled"),0,1)</x:f>
        <x:v>1</x:v>
      </x:c>
      <x:c r="K9071" s="6" t="n">
        <x:f>IF(G9071&gt;H9071,1,0)</x:f>
        <x:v>1</x:v>
      </x:c>
      <x:c r="L9071" s="6" t="n">
        <x:f>J9071*K9071</x:f>
        <x:v>1</x:v>
      </x:c>
    </x:row>
    <x:row r="9072">
      <x:c r="A9072" s="1" t="n">
        <x:v>73086</x:v>
      </x:c>
      <x:c r="B9072" s="5" t="d">
        <x:v>2017-12-02T00:00:00.000Z</x:v>
      </x:c>
      <x:c r="C9072" s="1" t="str">
        <x:v>Standard Class</x:v>
      </x:c>
      <x:c r="D9072" s="1" t="str">
        <x:v>Pacific Asia</x:v>
      </x:c>
      <x:c r="E9072" s="1" t="str">
        <x:v>PENDING_PAYMENT</x:v>
      </x:c>
      <x:c r="F9072" s="1" t="str">
        <x:v>Advance shipping</x:v>
      </x:c>
      <x:c r="G9072" s="6" t="n">
        <x:v>2</x:v>
      </x:c>
      <x:c r="H9072" s="6" t="n">
        <x:v>4</x:v>
      </x:c>
      <x:c r="I9072" s="6" t="n">
        <x:f>G9072-H9072</x:f>
        <x:v>-2</x:v>
      </x:c>
      <x:c r="J9072" s="6" t="n">
        <x:f>IF(OR(E9072="CANCELED",E9072="SUSPECTED_FRAUD",F9072="Shipping canceled"),0,1)</x:f>
        <x:v>1</x:v>
      </x:c>
      <x:c r="K9072" s="6" t="n">
        <x:f>IF(G9072&gt;H9072,1,0)</x:f>
        <x:v>0</x:v>
      </x:c>
      <x:c r="L9072" s="6" t="n">
        <x:f>J9072*K9072</x:f>
        <x:v>0</x:v>
      </x:c>
    </x:row>
    <x:row r="9073">
      <x:c r="A9073" s="1" t="n">
        <x:v>73087</x:v>
      </x:c>
      <x:c r="B9073" s="5" t="d">
        <x:v>2017-12-02T00:00:00.000Z</x:v>
      </x:c>
      <x:c r="C9073" s="1" t="str">
        <x:v>Second Class</x:v>
      </x:c>
      <x:c r="D9073" s="1" t="str">
        <x:v>Pacific Asia</x:v>
      </x:c>
      <x:c r="E9073" s="1" t="str">
        <x:v>CANCELED</x:v>
      </x:c>
      <x:c r="F9073" s="1" t="str">
        <x:v>Shipping canceled</x:v>
      </x:c>
      <x:c r="G9073" s="6" t="n">
        <x:v>3</x:v>
      </x:c>
      <x:c r="H9073" s="6" t="n">
        <x:v>2</x:v>
      </x:c>
      <x:c r="I9073" s="6" t="n">
        <x:f>G9073-H9073</x:f>
        <x:v>1</x:v>
      </x:c>
      <x:c r="J9073" s="6" t="n">
        <x:f>IF(OR(E9073="CANCELED",E9073="SUSPECTED_FRAUD",F9073="Shipping canceled"),0,1)</x:f>
        <x:v>0</x:v>
      </x:c>
      <x:c r="K9073" s="6" t="n">
        <x:f>IF(G9073&gt;H9073,1,0)</x:f>
        <x:v>1</x:v>
      </x:c>
      <x:c r="L9073" s="6" t="n">
        <x:f>J9073*K9073</x:f>
        <x:v>0</x:v>
      </x:c>
    </x:row>
    <x:row r="9074">
      <x:c r="A9074" s="1" t="n">
        <x:v>73088</x:v>
      </x:c>
      <x:c r="B9074" s="5" t="d">
        <x:v>2017-12-02T00:00:00.000Z</x:v>
      </x:c>
      <x:c r="C9074" s="1" t="str">
        <x:v>Second Class</x:v>
      </x:c>
      <x:c r="D9074" s="1" t="str">
        <x:v>Pacific Asia</x:v>
      </x:c>
      <x:c r="E9074" s="1" t="str">
        <x:v>PROCESSING</x:v>
      </x:c>
      <x:c r="F9074" s="1" t="str">
        <x:v>Late delivery</x:v>
      </x:c>
      <x:c r="G9074" s="6" t="n">
        <x:v>4</x:v>
      </x:c>
      <x:c r="H9074" s="6" t="n">
        <x:v>2</x:v>
      </x:c>
      <x:c r="I9074" s="6" t="n">
        <x:f>G9074-H9074</x:f>
        <x:v>2</x:v>
      </x:c>
      <x:c r="J9074" s="6" t="n">
        <x:f>IF(OR(E9074="CANCELED",E9074="SUSPECTED_FRAUD",F9074="Shipping canceled"),0,1)</x:f>
        <x:v>1</x:v>
      </x:c>
      <x:c r="K9074" s="6" t="n">
        <x:f>IF(G9074&gt;H9074,1,0)</x:f>
        <x:v>1</x:v>
      </x:c>
      <x:c r="L9074" s="6" t="n">
        <x:f>J9074*K9074</x:f>
        <x:v>1</x:v>
      </x:c>
    </x:row>
    <x:row r="9075">
      <x:c r="A9075" s="1" t="n">
        <x:v>73089</x:v>
      </x:c>
      <x:c r="B9075" s="5" t="d">
        <x:v>2017-12-02T00:00:00.000Z</x:v>
      </x:c>
      <x:c r="C9075" s="1" t="str">
        <x:v>Second Class</x:v>
      </x:c>
      <x:c r="D9075" s="1" t="str">
        <x:v>Pacific Asia</x:v>
      </x:c>
      <x:c r="E9075" s="1" t="str">
        <x:v>COMPLETE</x:v>
      </x:c>
      <x:c r="F9075" s="1" t="str">
        <x:v>Late delivery</x:v>
      </x:c>
      <x:c r="G9075" s="6" t="n">
        <x:v>5</x:v>
      </x:c>
      <x:c r="H9075" s="6" t="n">
        <x:v>2</x:v>
      </x:c>
      <x:c r="I9075" s="6" t="n">
        <x:f>G9075-H9075</x:f>
        <x:v>3</x:v>
      </x:c>
      <x:c r="J9075" s="6" t="n">
        <x:f>IF(OR(E9075="CANCELED",E9075="SUSPECTED_FRAUD",F9075="Shipping canceled"),0,1)</x:f>
        <x:v>1</x:v>
      </x:c>
      <x:c r="K9075" s="6" t="n">
        <x:f>IF(G9075&gt;H9075,1,0)</x:f>
        <x:v>1</x:v>
      </x:c>
      <x:c r="L9075" s="6" t="n">
        <x:f>J9075*K9075</x:f>
        <x:v>1</x:v>
      </x:c>
    </x:row>
    <x:row r="9076">
      <x:c r="A9076" s="1" t="n">
        <x:v>73090</x:v>
      </x:c>
      <x:c r="B9076" s="5" t="d">
        <x:v>2017-12-02T00:00:00.000Z</x:v>
      </x:c>
      <x:c r="C9076" s="1" t="str">
        <x:v>Second Class</x:v>
      </x:c>
      <x:c r="D9076" s="1" t="str">
        <x:v>Pacific Asia</x:v>
      </x:c>
      <x:c r="E9076" s="1" t="str">
        <x:v>PENDING</x:v>
      </x:c>
      <x:c r="F9076" s="1" t="str">
        <x:v>Late delivery</x:v>
      </x:c>
      <x:c r="G9076" s="6" t="n">
        <x:v>6</x:v>
      </x:c>
      <x:c r="H9076" s="6" t="n">
        <x:v>2</x:v>
      </x:c>
      <x:c r="I9076" s="6" t="n">
        <x:f>G9076-H9076</x:f>
        <x:v>4</x:v>
      </x:c>
      <x:c r="J9076" s="6" t="n">
        <x:f>IF(OR(E9076="CANCELED",E9076="SUSPECTED_FRAUD",F9076="Shipping canceled"),0,1)</x:f>
        <x:v>1</x:v>
      </x:c>
      <x:c r="K9076" s="6" t="n">
        <x:f>IF(G9076&gt;H9076,1,0)</x:f>
        <x:v>1</x:v>
      </x:c>
      <x:c r="L9076" s="6" t="n">
        <x:f>J9076*K9076</x:f>
        <x:v>1</x:v>
      </x:c>
    </x:row>
    <x:row r="9077">
      <x:c r="A9077" s="1" t="n">
        <x:v>73091</x:v>
      </x:c>
      <x:c r="B9077" s="5" t="d">
        <x:v>2017-12-02T00:00:00.000Z</x:v>
      </x:c>
      <x:c r="C9077" s="1" t="str">
        <x:v>Standard Class</x:v>
      </x:c>
      <x:c r="D9077" s="1" t="str">
        <x:v>Pacific Asia</x:v>
      </x:c>
      <x:c r="E9077" s="1" t="str">
        <x:v>PENDING_PAYMENT</x:v>
      </x:c>
      <x:c r="F9077" s="1" t="str">
        <x:v>Advance shipping</x:v>
      </x:c>
      <x:c r="G9077" s="6" t="n">
        <x:v>2</x:v>
      </x:c>
      <x:c r="H9077" s="6" t="n">
        <x:v>4</x:v>
      </x:c>
      <x:c r="I9077" s="6" t="n">
        <x:f>G9077-H9077</x:f>
        <x:v>-2</x:v>
      </x:c>
      <x:c r="J9077" s="6" t="n">
        <x:f>IF(OR(E9077="CANCELED",E9077="SUSPECTED_FRAUD",F9077="Shipping canceled"),0,1)</x:f>
        <x:v>1</x:v>
      </x:c>
      <x:c r="K9077" s="6" t="n">
        <x:f>IF(G9077&gt;H9077,1,0)</x:f>
        <x:v>0</x:v>
      </x:c>
      <x:c r="L9077" s="6" t="n">
        <x:f>J9077*K9077</x:f>
        <x:v>0</x:v>
      </x:c>
    </x:row>
    <x:row r="9078">
      <x:c r="A9078" s="1" t="n">
        <x:v>73092</x:v>
      </x:c>
      <x:c r="B9078" s="5" t="d">
        <x:v>2017-12-02T00:00:00.000Z</x:v>
      </x:c>
      <x:c r="C9078" s="1" t="str">
        <x:v>Standard Class</x:v>
      </x:c>
      <x:c r="D9078" s="1" t="str">
        <x:v>Pacific Asia</x:v>
      </x:c>
      <x:c r="E9078" s="1" t="str">
        <x:v>PROCESSING</x:v>
      </x:c>
      <x:c r="F9078" s="1" t="str">
        <x:v>Advance shipping</x:v>
      </x:c>
      <x:c r="G9078" s="6" t="n">
        <x:v>3</x:v>
      </x:c>
      <x:c r="H9078" s="6" t="n">
        <x:v>4</x:v>
      </x:c>
      <x:c r="I9078" s="6" t="n">
        <x:f>G9078-H9078</x:f>
        <x:v>-1</x:v>
      </x:c>
      <x:c r="J9078" s="6" t="n">
        <x:f>IF(OR(E9078="CANCELED",E9078="SUSPECTED_FRAUD",F9078="Shipping canceled"),0,1)</x:f>
        <x:v>1</x:v>
      </x:c>
      <x:c r="K9078" s="6" t="n">
        <x:f>IF(G9078&gt;H9078,1,0)</x:f>
        <x:v>0</x:v>
      </x:c>
      <x:c r="L9078" s="6" t="n">
        <x:f>J9078*K9078</x:f>
        <x:v>0</x:v>
      </x:c>
    </x:row>
    <x:row r="9079">
      <x:c r="A9079" s="1" t="n">
        <x:v>73093</x:v>
      </x:c>
      <x:c r="B9079" s="5" t="d">
        <x:v>2017-12-02T00:00:00.000Z</x:v>
      </x:c>
      <x:c r="C9079" s="1" t="str">
        <x:v>Standard Class</x:v>
      </x:c>
      <x:c r="D9079" s="1" t="str">
        <x:v>Pacific Asia</x:v>
      </x:c>
      <x:c r="E9079" s="1" t="str">
        <x:v>COMPLETE</x:v>
      </x:c>
      <x:c r="F9079" s="1" t="str">
        <x:v>Shipping on time</x:v>
      </x:c>
      <x:c r="G9079" s="6" t="n">
        <x:v>4</x:v>
      </x:c>
      <x:c r="H9079" s="6" t="n">
        <x:v>4</x:v>
      </x:c>
      <x:c r="I9079" s="6" t="n">
        <x:f>G9079-H9079</x:f>
        <x:v>0</x:v>
      </x:c>
      <x:c r="J9079" s="6" t="n">
        <x:f>IF(OR(E9079="CANCELED",E9079="SUSPECTED_FRAUD",F9079="Shipping canceled"),0,1)</x:f>
        <x:v>1</x:v>
      </x:c>
      <x:c r="K9079" s="6" t="n">
        <x:f>IF(G9079&gt;H9079,1,0)</x:f>
        <x:v>0</x:v>
      </x:c>
      <x:c r="L9079" s="6" t="n">
        <x:f>J9079*K9079</x:f>
        <x:v>0</x:v>
      </x:c>
    </x:row>
    <x:row r="9080">
      <x:c r="A9080" s="1" t="n">
        <x:v>73094</x:v>
      </x:c>
      <x:c r="B9080" s="5" t="d">
        <x:v>2017-12-02T00:00:00.000Z</x:v>
      </x:c>
      <x:c r="C9080" s="1" t="str">
        <x:v>Standard Class</x:v>
      </x:c>
      <x:c r="D9080" s="1" t="str">
        <x:v>Pacific Asia</x:v>
      </x:c>
      <x:c r="E9080" s="1" t="str">
        <x:v>PENDING_PAYMENT</x:v>
      </x:c>
      <x:c r="F9080" s="1" t="str">
        <x:v>Late delivery</x:v>
      </x:c>
      <x:c r="G9080" s="6" t="n">
        <x:v>5</x:v>
      </x:c>
      <x:c r="H9080" s="6" t="n">
        <x:v>4</x:v>
      </x:c>
      <x:c r="I9080" s="6" t="n">
        <x:f>G9080-H9080</x:f>
        <x:v>1</x:v>
      </x:c>
      <x:c r="J9080" s="6" t="n">
        <x:f>IF(OR(E9080="CANCELED",E9080="SUSPECTED_FRAUD",F9080="Shipping canceled"),0,1)</x:f>
        <x:v>1</x:v>
      </x:c>
      <x:c r="K9080" s="6" t="n">
        <x:f>IF(G9080&gt;H9080,1,0)</x:f>
        <x:v>1</x:v>
      </x:c>
      <x:c r="L9080" s="6" t="n">
        <x:f>J9080*K9080</x:f>
        <x:v>1</x:v>
      </x:c>
    </x:row>
    <x:row r="9081">
      <x:c r="A9081" s="1" t="n">
        <x:v>73095</x:v>
      </x:c>
      <x:c r="B9081" s="5" t="d">
        <x:v>2017-12-03T00:00:00.000Z</x:v>
      </x:c>
      <x:c r="C9081" s="1" t="str">
        <x:v>Standard Class</x:v>
      </x:c>
      <x:c r="D9081" s="1" t="str">
        <x:v>Pacific Asia</x:v>
      </x:c>
      <x:c r="E9081" s="1" t="str">
        <x:v>PENDING_PAYMENT</x:v>
      </x:c>
      <x:c r="F9081" s="1" t="str">
        <x:v>Late delivery</x:v>
      </x:c>
      <x:c r="G9081" s="6" t="n">
        <x:v>6</x:v>
      </x:c>
      <x:c r="H9081" s="6" t="n">
        <x:v>4</x:v>
      </x:c>
      <x:c r="I9081" s="6" t="n">
        <x:f>G9081-H9081</x:f>
        <x:v>2</x:v>
      </x:c>
      <x:c r="J9081" s="6" t="n">
        <x:f>IF(OR(E9081="CANCELED",E9081="SUSPECTED_FRAUD",F9081="Shipping canceled"),0,1)</x:f>
        <x:v>1</x:v>
      </x:c>
      <x:c r="K9081" s="6" t="n">
        <x:f>IF(G9081&gt;H9081,1,0)</x:f>
        <x:v>1</x:v>
      </x:c>
      <x:c r="L9081" s="6" t="n">
        <x:f>J9081*K9081</x:f>
        <x:v>1</x:v>
      </x:c>
    </x:row>
    <x:row r="9082">
      <x:c r="A9082" s="1" t="n">
        <x:v>73096</x:v>
      </x:c>
      <x:c r="B9082" s="5" t="d">
        <x:v>2017-12-03T00:00:00.000Z</x:v>
      </x:c>
      <x:c r="C9082" s="1" t="str">
        <x:v>Standard Class</x:v>
      </x:c>
      <x:c r="D9082" s="1" t="str">
        <x:v>Pacific Asia</x:v>
      </x:c>
      <x:c r="E9082" s="1" t="str">
        <x:v>CLOSED</x:v>
      </x:c>
      <x:c r="F9082" s="1" t="str">
        <x:v>Advance shipping</x:v>
      </x:c>
      <x:c r="G9082" s="6" t="n">
        <x:v>2</x:v>
      </x:c>
      <x:c r="H9082" s="6" t="n">
        <x:v>4</x:v>
      </x:c>
      <x:c r="I9082" s="6" t="n">
        <x:f>G9082-H9082</x:f>
        <x:v>-2</x:v>
      </x:c>
      <x:c r="J9082" s="6" t="n">
        <x:f>IF(OR(E9082="CANCELED",E9082="SUSPECTED_FRAUD",F9082="Shipping canceled"),0,1)</x:f>
        <x:v>1</x:v>
      </x:c>
      <x:c r="K9082" s="6" t="n">
        <x:f>IF(G9082&gt;H9082,1,0)</x:f>
        <x:v>0</x:v>
      </x:c>
      <x:c r="L9082" s="6" t="n">
        <x:f>J9082*K9082</x:f>
        <x:v>0</x:v>
      </x:c>
    </x:row>
    <x:row r="9083">
      <x:c r="A9083" s="1" t="n">
        <x:v>73097</x:v>
      </x:c>
      <x:c r="B9083" s="5" t="d">
        <x:v>2017-12-03T00:00:00.000Z</x:v>
      </x:c>
      <x:c r="C9083" s="1" t="str">
        <x:v>Standard Class</x:v>
      </x:c>
      <x:c r="D9083" s="1" t="str">
        <x:v>Pacific Asia</x:v>
      </x:c>
      <x:c r="E9083" s="1" t="str">
        <x:v>PENDING</x:v>
      </x:c>
      <x:c r="F9083" s="1" t="str">
        <x:v>Advance shipping</x:v>
      </x:c>
      <x:c r="G9083" s="6" t="n">
        <x:v>3</x:v>
      </x:c>
      <x:c r="H9083" s="6" t="n">
        <x:v>4</x:v>
      </x:c>
      <x:c r="I9083" s="6" t="n">
        <x:f>G9083-H9083</x:f>
        <x:v>-1</x:v>
      </x:c>
      <x:c r="J9083" s="6" t="n">
        <x:f>IF(OR(E9083="CANCELED",E9083="SUSPECTED_FRAUD",F9083="Shipping canceled"),0,1)</x:f>
        <x:v>1</x:v>
      </x:c>
      <x:c r="K9083" s="6" t="n">
        <x:f>IF(G9083&gt;H9083,1,0)</x:f>
        <x:v>0</x:v>
      </x:c>
      <x:c r="L9083" s="6" t="n">
        <x:f>J9083*K9083</x:f>
        <x:v>0</x:v>
      </x:c>
    </x:row>
    <x:row r="9084">
      <x:c r="A9084" s="1" t="n">
        <x:v>73098</x:v>
      </x:c>
      <x:c r="B9084" s="5" t="d">
        <x:v>2017-12-03T00:00:00.000Z</x:v>
      </x:c>
      <x:c r="C9084" s="1" t="str">
        <x:v>Standard Class</x:v>
      </x:c>
      <x:c r="D9084" s="1" t="str">
        <x:v>Pacific Asia</x:v>
      </x:c>
      <x:c r="E9084" s="1" t="str">
        <x:v>COMPLETE</x:v>
      </x:c>
      <x:c r="F9084" s="1" t="str">
        <x:v>Shipping on time</x:v>
      </x:c>
      <x:c r="G9084" s="6" t="n">
        <x:v>4</x:v>
      </x:c>
      <x:c r="H9084" s="6" t="n">
        <x:v>4</x:v>
      </x:c>
      <x:c r="I9084" s="6" t="n">
        <x:f>G9084-H9084</x:f>
        <x:v>0</x:v>
      </x:c>
      <x:c r="J9084" s="6" t="n">
        <x:f>IF(OR(E9084="CANCELED",E9084="SUSPECTED_FRAUD",F9084="Shipping canceled"),0,1)</x:f>
        <x:v>1</x:v>
      </x:c>
      <x:c r="K9084" s="6" t="n">
        <x:f>IF(G9084&gt;H9084,1,0)</x:f>
        <x:v>0</x:v>
      </x:c>
      <x:c r="L9084" s="6" t="n">
        <x:f>J9084*K9084</x:f>
        <x:v>0</x:v>
      </x:c>
    </x:row>
    <x:row r="9085">
      <x:c r="A9085" s="1" t="n">
        <x:v>73099</x:v>
      </x:c>
      <x:c r="B9085" s="5" t="d">
        <x:v>2017-12-03T00:00:00.000Z</x:v>
      </x:c>
      <x:c r="C9085" s="1" t="str">
        <x:v>Same Day</x:v>
      </x:c>
      <x:c r="D9085" s="1" t="str">
        <x:v>Pacific Asia</x:v>
      </x:c>
      <x:c r="E9085" s="1" t="str">
        <x:v>PENDING</x:v>
      </x:c>
      <x:c r="F9085" s="1" t="str">
        <x:v>Shipping on time</x:v>
      </x:c>
      <x:c r="G9085" s="6" t="n">
        <x:v>0</x:v>
      </x:c>
      <x:c r="H9085" s="6" t="n">
        <x:v>0</x:v>
      </x:c>
      <x:c r="I9085" s="6" t="n">
        <x:f>G9085-H9085</x:f>
        <x:v>0</x:v>
      </x:c>
      <x:c r="J9085" s="6" t="n">
        <x:f>IF(OR(E9085="CANCELED",E9085="SUSPECTED_FRAUD",F9085="Shipping canceled"),0,1)</x:f>
        <x:v>1</x:v>
      </x:c>
      <x:c r="K9085" s="6" t="n">
        <x:f>IF(G9085&gt;H9085,1,0)</x:f>
        <x:v>0</x:v>
      </x:c>
      <x:c r="L9085" s="6" t="n">
        <x:f>J9085*K9085</x:f>
        <x:v>0</x:v>
      </x:c>
    </x:row>
    <x:row r="9086">
      <x:c r="A9086" s="1" t="n">
        <x:v>73100</x:v>
      </x:c>
      <x:c r="B9086" s="5" t="d">
        <x:v>2017-12-03T00:00:00.000Z</x:v>
      </x:c>
      <x:c r="C9086" s="1" t="str">
        <x:v>Same Day</x:v>
      </x:c>
      <x:c r="D9086" s="1" t="str">
        <x:v>Pacific Asia</x:v>
      </x:c>
      <x:c r="E9086" s="1" t="str">
        <x:v>PENDING</x:v>
      </x:c>
      <x:c r="F9086" s="1" t="str">
        <x:v>Shipping on time</x:v>
      </x:c>
      <x:c r="G9086" s="6" t="n">
        <x:v>0</x:v>
      </x:c>
      <x:c r="H9086" s="6" t="n">
        <x:v>0</x:v>
      </x:c>
      <x:c r="I9086" s="6" t="n">
        <x:f>G9086-H9086</x:f>
        <x:v>0</x:v>
      </x:c>
      <x:c r="J9086" s="6" t="n">
        <x:f>IF(OR(E9086="CANCELED",E9086="SUSPECTED_FRAUD",F9086="Shipping canceled"),0,1)</x:f>
        <x:v>1</x:v>
      </x:c>
      <x:c r="K9086" s="6" t="n">
        <x:f>IF(G9086&gt;H9086,1,0)</x:f>
        <x:v>0</x:v>
      </x:c>
      <x:c r="L9086" s="6" t="n">
        <x:f>J9086*K9086</x:f>
        <x:v>0</x:v>
      </x:c>
    </x:row>
    <x:row r="9087">
      <x:c r="A9087" s="1" t="n">
        <x:v>73101</x:v>
      </x:c>
      <x:c r="B9087" s="5" t="d">
        <x:v>2017-12-03T00:00:00.000Z</x:v>
      </x:c>
      <x:c r="C9087" s="1" t="str">
        <x:v>Second Class</x:v>
      </x:c>
      <x:c r="D9087" s="1" t="str">
        <x:v>Pacific Asia</x:v>
      </x:c>
      <x:c r="E9087" s="1" t="str">
        <x:v>PROCESSING</x:v>
      </x:c>
      <x:c r="F9087" s="1" t="str">
        <x:v>Shipping on time</x:v>
      </x:c>
      <x:c r="G9087" s="6" t="n">
        <x:v>2</x:v>
      </x:c>
      <x:c r="H9087" s="6" t="n">
        <x:v>2</x:v>
      </x:c>
      <x:c r="I9087" s="6" t="n">
        <x:f>G9087-H9087</x:f>
        <x:v>0</x:v>
      </x:c>
      <x:c r="J9087" s="6" t="n">
        <x:f>IF(OR(E9087="CANCELED",E9087="SUSPECTED_FRAUD",F9087="Shipping canceled"),0,1)</x:f>
        <x:v>1</x:v>
      </x:c>
      <x:c r="K9087" s="6" t="n">
        <x:f>IF(G9087&gt;H9087,1,0)</x:f>
        <x:v>0</x:v>
      </x:c>
      <x:c r="L9087" s="6" t="n">
        <x:f>J9087*K9087</x:f>
        <x:v>0</x:v>
      </x:c>
    </x:row>
    <x:row r="9088">
      <x:c r="A9088" s="1" t="n">
        <x:v>73102</x:v>
      </x:c>
      <x:c r="B9088" s="5" t="d">
        <x:v>2017-12-03T00:00:00.000Z</x:v>
      </x:c>
      <x:c r="C9088" s="1" t="str">
        <x:v>Second Class</x:v>
      </x:c>
      <x:c r="D9088" s="1" t="str">
        <x:v>Pacific Asia</x:v>
      </x:c>
      <x:c r="E9088" s="1" t="str">
        <x:v>COMPLETE</x:v>
      </x:c>
      <x:c r="F9088" s="1" t="str">
        <x:v>Late delivery</x:v>
      </x:c>
      <x:c r="G9088" s="6" t="n">
        <x:v>3</x:v>
      </x:c>
      <x:c r="H9088" s="6" t="n">
        <x:v>2</x:v>
      </x:c>
      <x:c r="I9088" s="6" t="n">
        <x:f>G9088-H9088</x:f>
        <x:v>1</x:v>
      </x:c>
      <x:c r="J9088" s="6" t="n">
        <x:f>IF(OR(E9088="CANCELED",E9088="SUSPECTED_FRAUD",F9088="Shipping canceled"),0,1)</x:f>
        <x:v>1</x:v>
      </x:c>
      <x:c r="K9088" s="6" t="n">
        <x:f>IF(G9088&gt;H9088,1,0)</x:f>
        <x:v>1</x:v>
      </x:c>
      <x:c r="L9088" s="6" t="n">
        <x:f>J9088*K9088</x:f>
        <x:v>1</x:v>
      </x:c>
    </x:row>
    <x:row r="9089">
      <x:c r="A9089" s="1" t="n">
        <x:v>73103</x:v>
      </x:c>
      <x:c r="B9089" s="5" t="d">
        <x:v>2017-12-03T00:00:00.000Z</x:v>
      </x:c>
      <x:c r="C9089" s="1" t="str">
        <x:v>Second Class</x:v>
      </x:c>
      <x:c r="D9089" s="1" t="str">
        <x:v>Pacific Asia</x:v>
      </x:c>
      <x:c r="E9089" s="1" t="str">
        <x:v>COMPLETE</x:v>
      </x:c>
      <x:c r="F9089" s="1" t="str">
        <x:v>Late delivery</x:v>
      </x:c>
      <x:c r="G9089" s="6" t="n">
        <x:v>4</x:v>
      </x:c>
      <x:c r="H9089" s="6" t="n">
        <x:v>2</x:v>
      </x:c>
      <x:c r="I9089" s="6" t="n">
        <x:f>G9089-H9089</x:f>
        <x:v>2</x:v>
      </x:c>
      <x:c r="J9089" s="6" t="n">
        <x:f>IF(OR(E9089="CANCELED",E9089="SUSPECTED_FRAUD",F9089="Shipping canceled"),0,1)</x:f>
        <x:v>1</x:v>
      </x:c>
      <x:c r="K9089" s="6" t="n">
        <x:f>IF(G9089&gt;H9089,1,0)</x:f>
        <x:v>1</x:v>
      </x:c>
      <x:c r="L9089" s="6" t="n">
        <x:f>J9089*K9089</x:f>
        <x:v>1</x:v>
      </x:c>
    </x:row>
    <x:row r="9090">
      <x:c r="A9090" s="1" t="n">
        <x:v>73104</x:v>
      </x:c>
      <x:c r="B9090" s="5" t="d">
        <x:v>2017-12-03T00:00:00.000Z</x:v>
      </x:c>
      <x:c r="C9090" s="1" t="str">
        <x:v>Second Class</x:v>
      </x:c>
      <x:c r="D9090" s="1" t="str">
        <x:v>Pacific Asia</x:v>
      </x:c>
      <x:c r="E9090" s="1" t="str">
        <x:v>PAYMENT_REVIEW</x:v>
      </x:c>
      <x:c r="F9090" s="1" t="str">
        <x:v>Late delivery</x:v>
      </x:c>
      <x:c r="G9090" s="6" t="n">
        <x:v>5</x:v>
      </x:c>
      <x:c r="H9090" s="6" t="n">
        <x:v>2</x:v>
      </x:c>
      <x:c r="I9090" s="6" t="n">
        <x:f>G9090-H9090</x:f>
        <x:v>3</x:v>
      </x:c>
      <x:c r="J9090" s="6" t="n">
        <x:f>IF(OR(E9090="CANCELED",E9090="SUSPECTED_FRAUD",F9090="Shipping canceled"),0,1)</x:f>
        <x:v>1</x:v>
      </x:c>
      <x:c r="K9090" s="6" t="n">
        <x:f>IF(G9090&gt;H9090,1,0)</x:f>
        <x:v>1</x:v>
      </x:c>
      <x:c r="L9090" s="6" t="n">
        <x:f>J9090*K9090</x:f>
        <x:v>1</x:v>
      </x:c>
    </x:row>
    <x:row r="9091">
      <x:c r="A9091" s="1" t="n">
        <x:v>73105</x:v>
      </x:c>
      <x:c r="B9091" s="5" t="d">
        <x:v>2017-12-03T00:00:00.000Z</x:v>
      </x:c>
      <x:c r="C9091" s="1" t="str">
        <x:v>Standard Class</x:v>
      </x:c>
      <x:c r="D9091" s="1" t="str">
        <x:v>Pacific Asia</x:v>
      </x:c>
      <x:c r="E9091" s="1" t="str">
        <x:v>CANCELED</x:v>
      </x:c>
      <x:c r="F9091" s="1" t="str">
        <x:v>Shipping canceled</x:v>
      </x:c>
      <x:c r="G9091" s="6" t="n">
        <x:v>6</x:v>
      </x:c>
      <x:c r="H9091" s="6" t="n">
        <x:v>4</x:v>
      </x:c>
      <x:c r="I9091" s="6" t="n">
        <x:f>G9091-H9091</x:f>
        <x:v>2</x:v>
      </x:c>
      <x:c r="J9091" s="6" t="n">
        <x:f>IF(OR(E9091="CANCELED",E9091="SUSPECTED_FRAUD",F9091="Shipping canceled"),0,1)</x:f>
        <x:v>0</x:v>
      </x:c>
      <x:c r="K9091" s="6" t="n">
        <x:f>IF(G9091&gt;H9091,1,0)</x:f>
        <x:v>1</x:v>
      </x:c>
      <x:c r="L9091" s="6" t="n">
        <x:f>J9091*K9091</x:f>
        <x:v>0</x:v>
      </x:c>
    </x:row>
    <x:row r="9092">
      <x:c r="A9092" s="1" t="n">
        <x:v>73106</x:v>
      </x:c>
      <x:c r="B9092" s="5" t="d">
        <x:v>2017-12-03T00:00:00.000Z</x:v>
      </x:c>
      <x:c r="C9092" s="1" t="str">
        <x:v>Standard Class</x:v>
      </x:c>
      <x:c r="D9092" s="1" t="str">
        <x:v>Pacific Asia</x:v>
      </x:c>
      <x:c r="E9092" s="1" t="str">
        <x:v>ON_HOLD</x:v>
      </x:c>
      <x:c r="F9092" s="1" t="str">
        <x:v>Advance shipping</x:v>
      </x:c>
      <x:c r="G9092" s="6" t="n">
        <x:v>2</x:v>
      </x:c>
      <x:c r="H9092" s="6" t="n">
        <x:v>4</x:v>
      </x:c>
      <x:c r="I9092" s="6" t="n">
        <x:f>G9092-H9092</x:f>
        <x:v>-2</x:v>
      </x:c>
      <x:c r="J9092" s="6" t="n">
        <x:f>IF(OR(E9092="CANCELED",E9092="SUSPECTED_FRAUD",F9092="Shipping canceled"),0,1)</x:f>
        <x:v>1</x:v>
      </x:c>
      <x:c r="K9092" s="6" t="n">
        <x:f>IF(G9092&gt;H9092,1,0)</x:f>
        <x:v>0</x:v>
      </x:c>
      <x:c r="L9092" s="6" t="n">
        <x:f>J9092*K9092</x:f>
        <x:v>0</x:v>
      </x:c>
    </x:row>
    <x:row r="9093">
      <x:c r="A9093" s="1" t="n">
        <x:v>73107</x:v>
      </x:c>
      <x:c r="B9093" s="5" t="d">
        <x:v>2017-12-03T00:00:00.000Z</x:v>
      </x:c>
      <x:c r="C9093" s="1" t="str">
        <x:v>Second Class</x:v>
      </x:c>
      <x:c r="D9093" s="1" t="str">
        <x:v>Pacific Asia</x:v>
      </x:c>
      <x:c r="E9093" s="1" t="str">
        <x:v>PENDING_PAYMENT</x:v>
      </x:c>
      <x:c r="F9093" s="1" t="str">
        <x:v>Late delivery</x:v>
      </x:c>
      <x:c r="G9093" s="6" t="n">
        <x:v>3</x:v>
      </x:c>
      <x:c r="H9093" s="6" t="n">
        <x:v>2</x:v>
      </x:c>
      <x:c r="I9093" s="6" t="n">
        <x:f>G9093-H9093</x:f>
        <x:v>1</x:v>
      </x:c>
      <x:c r="J9093" s="6" t="n">
        <x:f>IF(OR(E9093="CANCELED",E9093="SUSPECTED_FRAUD",F9093="Shipping canceled"),0,1)</x:f>
        <x:v>1</x:v>
      </x:c>
      <x:c r="K9093" s="6" t="n">
        <x:f>IF(G9093&gt;H9093,1,0)</x:f>
        <x:v>1</x:v>
      </x:c>
      <x:c r="L9093" s="6" t="n">
        <x:f>J9093*K9093</x:f>
        <x:v>1</x:v>
      </x:c>
    </x:row>
    <x:row r="9094">
      <x:c r="A9094" s="1" t="n">
        <x:v>73108</x:v>
      </x:c>
      <x:c r="B9094" s="5" t="d">
        <x:v>2017-12-03T00:00:00.000Z</x:v>
      </x:c>
      <x:c r="C9094" s="1" t="str">
        <x:v>Standard Class</x:v>
      </x:c>
      <x:c r="D9094" s="1" t="str">
        <x:v>Pacific Asia</x:v>
      </x:c>
      <x:c r="E9094" s="1" t="str">
        <x:v>PENDING_PAYMENT</x:v>
      </x:c>
      <x:c r="F9094" s="1" t="str">
        <x:v>Shipping on time</x:v>
      </x:c>
      <x:c r="G9094" s="6" t="n">
        <x:v>4</x:v>
      </x:c>
      <x:c r="H9094" s="6" t="n">
        <x:v>4</x:v>
      </x:c>
      <x:c r="I9094" s="6" t="n">
        <x:f>G9094-H9094</x:f>
        <x:v>0</x:v>
      </x:c>
      <x:c r="J9094" s="6" t="n">
        <x:f>IF(OR(E9094="CANCELED",E9094="SUSPECTED_FRAUD",F9094="Shipping canceled"),0,1)</x:f>
        <x:v>1</x:v>
      </x:c>
      <x:c r="K9094" s="6" t="n">
        <x:f>IF(G9094&gt;H9094,1,0)</x:f>
        <x:v>0</x:v>
      </x:c>
      <x:c r="L9094" s="6" t="n">
        <x:f>J9094*K9094</x:f>
        <x:v>0</x:v>
      </x:c>
    </x:row>
    <x:row r="9095">
      <x:c r="A9095" s="1" t="n">
        <x:v>73109</x:v>
      </x:c>
      <x:c r="B9095" s="5" t="d">
        <x:v>2017-12-03T00:00:00.000Z</x:v>
      </x:c>
      <x:c r="C9095" s="1" t="str">
        <x:v>Standard Class</x:v>
      </x:c>
      <x:c r="D9095" s="1" t="str">
        <x:v>Pacific Asia</x:v>
      </x:c>
      <x:c r="E9095" s="1" t="str">
        <x:v>PROCESSING</x:v>
      </x:c>
      <x:c r="F9095" s="1" t="str">
        <x:v>Late delivery</x:v>
      </x:c>
      <x:c r="G9095" s="6" t="n">
        <x:v>5</x:v>
      </x:c>
      <x:c r="H9095" s="6" t="n">
        <x:v>4</x:v>
      </x:c>
      <x:c r="I9095" s="6" t="n">
        <x:f>G9095-H9095</x:f>
        <x:v>1</x:v>
      </x:c>
      <x:c r="J9095" s="6" t="n">
        <x:f>IF(OR(E9095="CANCELED",E9095="SUSPECTED_FRAUD",F9095="Shipping canceled"),0,1)</x:f>
        <x:v>1</x:v>
      </x:c>
      <x:c r="K9095" s="6" t="n">
        <x:f>IF(G9095&gt;H9095,1,0)</x:f>
        <x:v>1</x:v>
      </x:c>
      <x:c r="L9095" s="6" t="n">
        <x:f>J9095*K9095</x:f>
        <x:v>1</x:v>
      </x:c>
    </x:row>
    <x:row r="9096">
      <x:c r="A9096" s="1" t="n">
        <x:v>73110</x:v>
      </x:c>
      <x:c r="B9096" s="5" t="d">
        <x:v>2017-12-03T00:00:00.000Z</x:v>
      </x:c>
      <x:c r="C9096" s="1" t="str">
        <x:v>Standard Class</x:v>
      </x:c>
      <x:c r="D9096" s="1" t="str">
        <x:v>Pacific Asia</x:v>
      </x:c>
      <x:c r="E9096" s="1" t="str">
        <x:v>COMPLETE</x:v>
      </x:c>
      <x:c r="F9096" s="1" t="str">
        <x:v>Late delivery</x:v>
      </x:c>
      <x:c r="G9096" s="6" t="n">
        <x:v>6</x:v>
      </x:c>
      <x:c r="H9096" s="6" t="n">
        <x:v>4</x:v>
      </x:c>
      <x:c r="I9096" s="6" t="n">
        <x:f>G9096-H9096</x:f>
        <x:v>2</x:v>
      </x:c>
      <x:c r="J9096" s="6" t="n">
        <x:f>IF(OR(E9096="CANCELED",E9096="SUSPECTED_FRAUD",F9096="Shipping canceled"),0,1)</x:f>
        <x:v>1</x:v>
      </x:c>
      <x:c r="K9096" s="6" t="n">
        <x:f>IF(G9096&gt;H9096,1,0)</x:f>
        <x:v>1</x:v>
      </x:c>
      <x:c r="L9096" s="6" t="n">
        <x:f>J9096*K9096</x:f>
        <x:v>1</x:v>
      </x:c>
    </x:row>
    <x:row r="9097">
      <x:c r="A9097" s="1" t="n">
        <x:v>73111</x:v>
      </x:c>
      <x:c r="B9097" s="5" t="d">
        <x:v>2017-12-03T00:00:00.000Z</x:v>
      </x:c>
      <x:c r="C9097" s="1" t="str">
        <x:v>Standard Class</x:v>
      </x:c>
      <x:c r="D9097" s="1" t="str">
        <x:v>Pacific Asia</x:v>
      </x:c>
      <x:c r="E9097" s="1" t="str">
        <x:v>COMPLETE</x:v>
      </x:c>
      <x:c r="F9097" s="1" t="str">
        <x:v>Advance shipping</x:v>
      </x:c>
      <x:c r="G9097" s="6" t="n">
        <x:v>2</x:v>
      </x:c>
      <x:c r="H9097" s="6" t="n">
        <x:v>4</x:v>
      </x:c>
      <x:c r="I9097" s="6" t="n">
        <x:f>G9097-H9097</x:f>
        <x:v>-2</x:v>
      </x:c>
      <x:c r="J9097" s="6" t="n">
        <x:f>IF(OR(E9097="CANCELED",E9097="SUSPECTED_FRAUD",F9097="Shipping canceled"),0,1)</x:f>
        <x:v>1</x:v>
      </x:c>
      <x:c r="K9097" s="6" t="n">
        <x:f>IF(G9097&gt;H9097,1,0)</x:f>
        <x:v>0</x:v>
      </x:c>
      <x:c r="L9097" s="6" t="n">
        <x:f>J9097*K9097</x:f>
        <x:v>0</x:v>
      </x:c>
    </x:row>
    <x:row r="9098">
      <x:c r="A9098" s="1" t="n">
        <x:v>73112</x:v>
      </x:c>
      <x:c r="B9098" s="5" t="d">
        <x:v>2017-12-03T00:00:00.000Z</x:v>
      </x:c>
      <x:c r="C9098" s="1" t="str">
        <x:v>Standard Class</x:v>
      </x:c>
      <x:c r="D9098" s="1" t="str">
        <x:v>Pacific Asia</x:v>
      </x:c>
      <x:c r="E9098" s="1" t="str">
        <x:v>PENDING_PAYMENT</x:v>
      </x:c>
      <x:c r="F9098" s="1" t="str">
        <x:v>Advance shipping</x:v>
      </x:c>
      <x:c r="G9098" s="6" t="n">
        <x:v>3</x:v>
      </x:c>
      <x:c r="H9098" s="6" t="n">
        <x:v>4</x:v>
      </x:c>
      <x:c r="I9098" s="6" t="n">
        <x:f>G9098-H9098</x:f>
        <x:v>-1</x:v>
      </x:c>
      <x:c r="J9098" s="6" t="n">
        <x:f>IF(OR(E9098="CANCELED",E9098="SUSPECTED_FRAUD",F9098="Shipping canceled"),0,1)</x:f>
        <x:v>1</x:v>
      </x:c>
      <x:c r="K9098" s="6" t="n">
        <x:f>IF(G9098&gt;H9098,1,0)</x:f>
        <x:v>0</x:v>
      </x:c>
      <x:c r="L9098" s="6" t="n">
        <x:f>J9098*K9098</x:f>
        <x:v>0</x:v>
      </x:c>
    </x:row>
    <x:row r="9099">
      <x:c r="A9099" s="1" t="n">
        <x:v>73113</x:v>
      </x:c>
      <x:c r="B9099" s="5" t="d">
        <x:v>2017-12-03T00:00:00.000Z</x:v>
      </x:c>
      <x:c r="C9099" s="1" t="str">
        <x:v>Standard Class</x:v>
      </x:c>
      <x:c r="D9099" s="1" t="str">
        <x:v>Pacific Asia</x:v>
      </x:c>
      <x:c r="E9099" s="1" t="str">
        <x:v>COMPLETE</x:v>
      </x:c>
      <x:c r="F9099" s="1" t="str">
        <x:v>Shipping on time</x:v>
      </x:c>
      <x:c r="G9099" s="6" t="n">
        <x:v>4</x:v>
      </x:c>
      <x:c r="H9099" s="6" t="n">
        <x:v>4</x:v>
      </x:c>
      <x:c r="I9099" s="6" t="n">
        <x:f>G9099-H9099</x:f>
        <x:v>0</x:v>
      </x:c>
      <x:c r="J9099" s="6" t="n">
        <x:f>IF(OR(E9099="CANCELED",E9099="SUSPECTED_FRAUD",F9099="Shipping canceled"),0,1)</x:f>
        <x:v>1</x:v>
      </x:c>
      <x:c r="K9099" s="6" t="n">
        <x:f>IF(G9099&gt;H9099,1,0)</x:f>
        <x:v>0</x:v>
      </x:c>
      <x:c r="L9099" s="6" t="n">
        <x:f>J9099*K9099</x:f>
        <x:v>0</x:v>
      </x:c>
    </x:row>
    <x:row r="9100">
      <x:c r="A9100" s="1" t="n">
        <x:v>73114</x:v>
      </x:c>
      <x:c r="B9100" s="5" t="d">
        <x:v>2017-12-03T00:00:00.000Z</x:v>
      </x:c>
      <x:c r="C9100" s="1" t="str">
        <x:v>Standard Class</x:v>
      </x:c>
      <x:c r="D9100" s="1" t="str">
        <x:v>Pacific Asia</x:v>
      </x:c>
      <x:c r="E9100" s="1" t="str">
        <x:v>ON_HOLD</x:v>
      </x:c>
      <x:c r="F9100" s="1" t="str">
        <x:v>Late delivery</x:v>
      </x:c>
      <x:c r="G9100" s="6" t="n">
        <x:v>5</x:v>
      </x:c>
      <x:c r="H9100" s="6" t="n">
        <x:v>4</x:v>
      </x:c>
      <x:c r="I9100" s="6" t="n">
        <x:f>G9100-H9100</x:f>
        <x:v>1</x:v>
      </x:c>
      <x:c r="J9100" s="6" t="n">
        <x:f>IF(OR(E9100="CANCELED",E9100="SUSPECTED_FRAUD",F9100="Shipping canceled"),0,1)</x:f>
        <x:v>1</x:v>
      </x:c>
      <x:c r="K9100" s="6" t="n">
        <x:f>IF(G9100&gt;H9100,1,0)</x:f>
        <x:v>1</x:v>
      </x:c>
      <x:c r="L9100" s="6" t="n">
        <x:f>J9100*K9100</x:f>
        <x:v>1</x:v>
      </x:c>
    </x:row>
    <x:row r="9101">
      <x:c r="A9101" s="1" t="n">
        <x:v>73115</x:v>
      </x:c>
      <x:c r="B9101" s="5" t="d">
        <x:v>2017-12-03T00:00:00.000Z</x:v>
      </x:c>
      <x:c r="C9101" s="1" t="str">
        <x:v>Standard Class</x:v>
      </x:c>
      <x:c r="D9101" s="1" t="str">
        <x:v>Pacific Asia</x:v>
      </x:c>
      <x:c r="E9101" s="1" t="str">
        <x:v>COMPLETE</x:v>
      </x:c>
      <x:c r="F9101" s="1" t="str">
        <x:v>Late delivery</x:v>
      </x:c>
      <x:c r="G9101" s="6" t="n">
        <x:v>6</x:v>
      </x:c>
      <x:c r="H9101" s="6" t="n">
        <x:v>4</x:v>
      </x:c>
      <x:c r="I9101" s="6" t="n">
        <x:f>G9101-H9101</x:f>
        <x:v>2</x:v>
      </x:c>
      <x:c r="J9101" s="6" t="n">
        <x:f>IF(OR(E9101="CANCELED",E9101="SUSPECTED_FRAUD",F9101="Shipping canceled"),0,1)</x:f>
        <x:v>1</x:v>
      </x:c>
      <x:c r="K9101" s="6" t="n">
        <x:f>IF(G9101&gt;H9101,1,0)</x:f>
        <x:v>1</x:v>
      </x:c>
      <x:c r="L9101" s="6" t="n">
        <x:f>J9101*K9101</x:f>
        <x:v>1</x:v>
      </x:c>
    </x:row>
    <x:row r="9102">
      <x:c r="A9102" s="1" t="n">
        <x:v>73116</x:v>
      </x:c>
      <x:c r="B9102" s="5" t="d">
        <x:v>2017-12-03T00:00:00.000Z</x:v>
      </x:c>
      <x:c r="C9102" s="1" t="str">
        <x:v>Standard Class</x:v>
      </x:c>
      <x:c r="D9102" s="1" t="str">
        <x:v>Pacific Asia</x:v>
      </x:c>
      <x:c r="E9102" s="1" t="str">
        <x:v>COMPLETE</x:v>
      </x:c>
      <x:c r="F9102" s="1" t="str">
        <x:v>Advance shipping</x:v>
      </x:c>
      <x:c r="G9102" s="6" t="n">
        <x:v>2</x:v>
      </x:c>
      <x:c r="H9102" s="6" t="n">
        <x:v>4</x:v>
      </x:c>
      <x:c r="I9102" s="6" t="n">
        <x:f>G9102-H9102</x:f>
        <x:v>-2</x:v>
      </x:c>
      <x:c r="J9102" s="6" t="n">
        <x:f>IF(OR(E9102="CANCELED",E9102="SUSPECTED_FRAUD",F9102="Shipping canceled"),0,1)</x:f>
        <x:v>1</x:v>
      </x:c>
      <x:c r="K9102" s="6" t="n">
        <x:f>IF(G9102&gt;H9102,1,0)</x:f>
        <x:v>0</x:v>
      </x:c>
      <x:c r="L9102" s="6" t="n">
        <x:f>J9102*K9102</x:f>
        <x:v>0</x:v>
      </x:c>
    </x:row>
    <x:row r="9103">
      <x:c r="A9103" s="1" t="n">
        <x:v>73117</x:v>
      </x:c>
      <x:c r="B9103" s="5" t="d">
        <x:v>2017-12-03T00:00:00.000Z</x:v>
      </x:c>
      <x:c r="C9103" s="1" t="str">
        <x:v>Standard Class</x:v>
      </x:c>
      <x:c r="D9103" s="1" t="str">
        <x:v>Pacific Asia</x:v>
      </x:c>
      <x:c r="E9103" s="1" t="str">
        <x:v>COMPLETE</x:v>
      </x:c>
      <x:c r="F9103" s="1" t="str">
        <x:v>Advance shipping</x:v>
      </x:c>
      <x:c r="G9103" s="6" t="n">
        <x:v>3</x:v>
      </x:c>
      <x:c r="H9103" s="6" t="n">
        <x:v>4</x:v>
      </x:c>
      <x:c r="I9103" s="6" t="n">
        <x:f>G9103-H9103</x:f>
        <x:v>-1</x:v>
      </x:c>
      <x:c r="J9103" s="6" t="n">
        <x:f>IF(OR(E9103="CANCELED",E9103="SUSPECTED_FRAUD",F9103="Shipping canceled"),0,1)</x:f>
        <x:v>1</x:v>
      </x:c>
      <x:c r="K9103" s="6" t="n">
        <x:f>IF(G9103&gt;H9103,1,0)</x:f>
        <x:v>0</x:v>
      </x:c>
      <x:c r="L9103" s="6" t="n">
        <x:f>J9103*K9103</x:f>
        <x:v>0</x:v>
      </x:c>
    </x:row>
    <x:row r="9104">
      <x:c r="A9104" s="1" t="n">
        <x:v>73118</x:v>
      </x:c>
      <x:c r="B9104" s="5" t="d">
        <x:v>2017-12-03T00:00:00.000Z</x:v>
      </x:c>
      <x:c r="C9104" s="1" t="str">
        <x:v>Standard Class</x:v>
      </x:c>
      <x:c r="D9104" s="1" t="str">
        <x:v>Pacific Asia</x:v>
      </x:c>
      <x:c r="E9104" s="1" t="str">
        <x:v>PENDING</x:v>
      </x:c>
      <x:c r="F9104" s="1" t="str">
        <x:v>Shipping on time</x:v>
      </x:c>
      <x:c r="G9104" s="6" t="n">
        <x:v>4</x:v>
      </x:c>
      <x:c r="H9104" s="6" t="n">
        <x:v>4</x:v>
      </x:c>
      <x:c r="I9104" s="6" t="n">
        <x:f>G9104-H9104</x:f>
        <x:v>0</x:v>
      </x:c>
      <x:c r="J9104" s="6" t="n">
        <x:f>IF(OR(E9104="CANCELED",E9104="SUSPECTED_FRAUD",F9104="Shipping canceled"),0,1)</x:f>
        <x:v>1</x:v>
      </x:c>
      <x:c r="K9104" s="6" t="n">
        <x:f>IF(G9104&gt;H9104,1,0)</x:f>
        <x:v>0</x:v>
      </x:c>
      <x:c r="L9104" s="6" t="n">
        <x:f>J9104*K9104</x:f>
        <x:v>0</x:v>
      </x:c>
    </x:row>
    <x:row r="9105">
      <x:c r="A9105" s="1" t="n">
        <x:v>73119</x:v>
      </x:c>
      <x:c r="B9105" s="5" t="d">
        <x:v>2017-12-03T00:00:00.000Z</x:v>
      </x:c>
      <x:c r="C9105" s="1" t="str">
        <x:v>Standard Class</x:v>
      </x:c>
      <x:c r="D9105" s="1" t="str">
        <x:v>Pacific Asia</x:v>
      </x:c>
      <x:c r="E9105" s="1" t="str">
        <x:v>PENDING_PAYMENT</x:v>
      </x:c>
      <x:c r="F9105" s="1" t="str">
        <x:v>Late delivery</x:v>
      </x:c>
      <x:c r="G9105" s="6" t="n">
        <x:v>5</x:v>
      </x:c>
      <x:c r="H9105" s="6" t="n">
        <x:v>4</x:v>
      </x:c>
      <x:c r="I9105" s="6" t="n">
        <x:f>G9105-H9105</x:f>
        <x:v>1</x:v>
      </x:c>
      <x:c r="J9105" s="6" t="n">
        <x:f>IF(OR(E9105="CANCELED",E9105="SUSPECTED_FRAUD",F9105="Shipping canceled"),0,1)</x:f>
        <x:v>1</x:v>
      </x:c>
      <x:c r="K9105" s="6" t="n">
        <x:f>IF(G9105&gt;H9105,1,0)</x:f>
        <x:v>1</x:v>
      </x:c>
      <x:c r="L9105" s="6" t="n">
        <x:f>J9105*K9105</x:f>
        <x:v>1</x:v>
      </x:c>
    </x:row>
    <x:row r="9106">
      <x:c r="A9106" s="1" t="n">
        <x:v>73120</x:v>
      </x:c>
      <x:c r="B9106" s="5" t="d">
        <x:v>2017-12-03T00:00:00.000Z</x:v>
      </x:c>
      <x:c r="C9106" s="1" t="str">
        <x:v>Second Class</x:v>
      </x:c>
      <x:c r="D9106" s="1" t="str">
        <x:v>Pacific Asia</x:v>
      </x:c>
      <x:c r="E9106" s="1" t="str">
        <x:v>ON_HOLD</x:v>
      </x:c>
      <x:c r="F9106" s="1" t="str">
        <x:v>Late delivery</x:v>
      </x:c>
      <x:c r="G9106" s="6" t="n">
        <x:v>6</x:v>
      </x:c>
      <x:c r="H9106" s="6" t="n">
        <x:v>2</x:v>
      </x:c>
      <x:c r="I9106" s="6" t="n">
        <x:f>G9106-H9106</x:f>
        <x:v>4</x:v>
      </x:c>
      <x:c r="J9106" s="6" t="n">
        <x:f>IF(OR(E9106="CANCELED",E9106="SUSPECTED_FRAUD",F9106="Shipping canceled"),0,1)</x:f>
        <x:v>1</x:v>
      </x:c>
      <x:c r="K9106" s="6" t="n">
        <x:f>IF(G9106&gt;H9106,1,0)</x:f>
        <x:v>1</x:v>
      </x:c>
      <x:c r="L9106" s="6" t="n">
        <x:f>J9106*K9106</x:f>
        <x:v>1</x:v>
      </x:c>
    </x:row>
    <x:row r="9107">
      <x:c r="A9107" s="1" t="n">
        <x:v>73121</x:v>
      </x:c>
      <x:c r="B9107" s="5" t="d">
        <x:v>2017-12-03T00:00:00.000Z</x:v>
      </x:c>
      <x:c r="C9107" s="1" t="str">
        <x:v>Second Class</x:v>
      </x:c>
      <x:c r="D9107" s="1" t="str">
        <x:v>Pacific Asia</x:v>
      </x:c>
      <x:c r="E9107" s="1" t="str">
        <x:v>CLOSED</x:v>
      </x:c>
      <x:c r="F9107" s="1" t="str">
        <x:v>Shipping on time</x:v>
      </x:c>
      <x:c r="G9107" s="6" t="n">
        <x:v>2</x:v>
      </x:c>
      <x:c r="H9107" s="6" t="n">
        <x:v>2</x:v>
      </x:c>
      <x:c r="I9107" s="6" t="n">
        <x:f>G9107-H9107</x:f>
        <x:v>0</x:v>
      </x:c>
      <x:c r="J9107" s="6" t="n">
        <x:f>IF(OR(E9107="CANCELED",E9107="SUSPECTED_FRAUD",F9107="Shipping canceled"),0,1)</x:f>
        <x:v>1</x:v>
      </x:c>
      <x:c r="K9107" s="6" t="n">
        <x:f>IF(G9107&gt;H9107,1,0)</x:f>
        <x:v>0</x:v>
      </x:c>
      <x:c r="L9107" s="6" t="n">
        <x:f>J9107*K9107</x:f>
        <x:v>0</x:v>
      </x:c>
    </x:row>
    <x:row r="9108">
      <x:c r="A9108" s="1" t="n">
        <x:v>73122</x:v>
      </x:c>
      <x:c r="B9108" s="5" t="d">
        <x:v>2017-12-03T00:00:00.000Z</x:v>
      </x:c>
      <x:c r="C9108" s="1" t="str">
        <x:v>Standard Class</x:v>
      </x:c>
      <x:c r="D9108" s="1" t="str">
        <x:v>Pacific Asia</x:v>
      </x:c>
      <x:c r="E9108" s="1" t="str">
        <x:v>COMPLETE</x:v>
      </x:c>
      <x:c r="F9108" s="1" t="str">
        <x:v>Advance shipping</x:v>
      </x:c>
      <x:c r="G9108" s="6" t="n">
        <x:v>3</x:v>
      </x:c>
      <x:c r="H9108" s="6" t="n">
        <x:v>4</x:v>
      </x:c>
      <x:c r="I9108" s="6" t="n">
        <x:f>G9108-H9108</x:f>
        <x:v>-1</x:v>
      </x:c>
      <x:c r="J9108" s="6" t="n">
        <x:f>IF(OR(E9108="CANCELED",E9108="SUSPECTED_FRAUD",F9108="Shipping canceled"),0,1)</x:f>
        <x:v>1</x:v>
      </x:c>
      <x:c r="K9108" s="6" t="n">
        <x:f>IF(G9108&gt;H9108,1,0)</x:f>
        <x:v>0</x:v>
      </x:c>
      <x:c r="L9108" s="6" t="n">
        <x:f>J9108*K9108</x:f>
        <x:v>0</x:v>
      </x:c>
    </x:row>
    <x:row r="9109">
      <x:c r="A9109" s="1" t="n">
        <x:v>73123</x:v>
      </x:c>
      <x:c r="B9109" s="5" t="d">
        <x:v>2017-12-03T00:00:00.000Z</x:v>
      </x:c>
      <x:c r="C9109" s="1" t="str">
        <x:v>Standard Class</x:v>
      </x:c>
      <x:c r="D9109" s="1" t="str">
        <x:v>Pacific Asia</x:v>
      </x:c>
      <x:c r="E9109" s="1" t="str">
        <x:v>PENDING_PAYMENT</x:v>
      </x:c>
      <x:c r="F9109" s="1" t="str">
        <x:v>Shipping on time</x:v>
      </x:c>
      <x:c r="G9109" s="6" t="n">
        <x:v>4</x:v>
      </x:c>
      <x:c r="H9109" s="6" t="n">
        <x:v>4</x:v>
      </x:c>
      <x:c r="I9109" s="6" t="n">
        <x:f>G9109-H9109</x:f>
        <x:v>0</x:v>
      </x:c>
      <x:c r="J9109" s="6" t="n">
        <x:f>IF(OR(E9109="CANCELED",E9109="SUSPECTED_FRAUD",F9109="Shipping canceled"),0,1)</x:f>
        <x:v>1</x:v>
      </x:c>
      <x:c r="K9109" s="6" t="n">
        <x:f>IF(G9109&gt;H9109,1,0)</x:f>
        <x:v>0</x:v>
      </x:c>
      <x:c r="L9109" s="6" t="n">
        <x:f>J9109*K9109</x:f>
        <x:v>0</x:v>
      </x:c>
    </x:row>
    <x:row r="9110">
      <x:c r="A9110" s="1" t="n">
        <x:v>73124</x:v>
      </x:c>
      <x:c r="B9110" s="5" t="d">
        <x:v>2017-12-03T00:00:00.000Z</x:v>
      </x:c>
      <x:c r="C9110" s="1" t="str">
        <x:v>Standard Class</x:v>
      </x:c>
      <x:c r="D9110" s="1" t="str">
        <x:v>Pacific Asia</x:v>
      </x:c>
      <x:c r="E9110" s="1" t="str">
        <x:v>COMPLETE</x:v>
      </x:c>
      <x:c r="F9110" s="1" t="str">
        <x:v>Late delivery</x:v>
      </x:c>
      <x:c r="G9110" s="6" t="n">
        <x:v>5</x:v>
      </x:c>
      <x:c r="H9110" s="6" t="n">
        <x:v>4</x:v>
      </x:c>
      <x:c r="I9110" s="6" t="n">
        <x:f>G9110-H9110</x:f>
        <x:v>1</x:v>
      </x:c>
      <x:c r="J9110" s="6" t="n">
        <x:f>IF(OR(E9110="CANCELED",E9110="SUSPECTED_FRAUD",F9110="Shipping canceled"),0,1)</x:f>
        <x:v>1</x:v>
      </x:c>
      <x:c r="K9110" s="6" t="n">
        <x:f>IF(G9110&gt;H9110,1,0)</x:f>
        <x:v>1</x:v>
      </x:c>
      <x:c r="L9110" s="6" t="n">
        <x:f>J9110*K9110</x:f>
        <x:v>1</x:v>
      </x:c>
    </x:row>
    <x:row r="9111">
      <x:c r="A9111" s="1" t="n">
        <x:v>73125</x:v>
      </x:c>
      <x:c r="B9111" s="5" t="d">
        <x:v>2017-12-03T00:00:00.000Z</x:v>
      </x:c>
      <x:c r="C9111" s="1" t="str">
        <x:v>Standard Class</x:v>
      </x:c>
      <x:c r="D9111" s="1" t="str">
        <x:v>Pacific Asia</x:v>
      </x:c>
      <x:c r="E9111" s="1" t="str">
        <x:v>ON_HOLD</x:v>
      </x:c>
      <x:c r="F9111" s="1" t="str">
        <x:v>Late delivery</x:v>
      </x:c>
      <x:c r="G9111" s="6" t="n">
        <x:v>6</x:v>
      </x:c>
      <x:c r="H9111" s="6" t="n">
        <x:v>4</x:v>
      </x:c>
      <x:c r="I9111" s="6" t="n">
        <x:f>G9111-H9111</x:f>
        <x:v>2</x:v>
      </x:c>
      <x:c r="J9111" s="6" t="n">
        <x:f>IF(OR(E9111="CANCELED",E9111="SUSPECTED_FRAUD",F9111="Shipping canceled"),0,1)</x:f>
        <x:v>1</x:v>
      </x:c>
      <x:c r="K9111" s="6" t="n">
        <x:f>IF(G9111&gt;H9111,1,0)</x:f>
        <x:v>1</x:v>
      </x:c>
      <x:c r="L9111" s="6" t="n">
        <x:f>J9111*K9111</x:f>
        <x:v>1</x:v>
      </x:c>
    </x:row>
    <x:row r="9112">
      <x:c r="A9112" s="1" t="n">
        <x:v>73126</x:v>
      </x:c>
      <x:c r="B9112" s="5" t="d">
        <x:v>2017-12-03T00:00:00.000Z</x:v>
      </x:c>
      <x:c r="C9112" s="1" t="str">
        <x:v>Standard Class</x:v>
      </x:c>
      <x:c r="D9112" s="1" t="str">
        <x:v>Pacific Asia</x:v>
      </x:c>
      <x:c r="E9112" s="1" t="str">
        <x:v>COMPLETE</x:v>
      </x:c>
      <x:c r="F9112" s="1" t="str">
        <x:v>Advance shipping</x:v>
      </x:c>
      <x:c r="G9112" s="6" t="n">
        <x:v>2</x:v>
      </x:c>
      <x:c r="H9112" s="6" t="n">
        <x:v>4</x:v>
      </x:c>
      <x:c r="I9112" s="6" t="n">
        <x:f>G9112-H9112</x:f>
        <x:v>-2</x:v>
      </x:c>
      <x:c r="J9112" s="6" t="n">
        <x:f>IF(OR(E9112="CANCELED",E9112="SUSPECTED_FRAUD",F9112="Shipping canceled"),0,1)</x:f>
        <x:v>1</x:v>
      </x:c>
      <x:c r="K9112" s="6" t="n">
        <x:f>IF(G9112&gt;H9112,1,0)</x:f>
        <x:v>0</x:v>
      </x:c>
      <x:c r="L9112" s="6" t="n">
        <x:f>J9112*K9112</x:f>
        <x:v>0</x:v>
      </x:c>
    </x:row>
    <x:row r="9113">
      <x:c r="A9113" s="1" t="n">
        <x:v>73127</x:v>
      </x:c>
      <x:c r="B9113" s="5" t="d">
        <x:v>2017-12-03T00:00:00.000Z</x:v>
      </x:c>
      <x:c r="C9113" s="1" t="str">
        <x:v>First Class</x:v>
      </x:c>
      <x:c r="D9113" s="1" t="str">
        <x:v>Pacific Asia</x:v>
      </x:c>
      <x:c r="E9113" s="1" t="str">
        <x:v>COMPLETE</x:v>
      </x:c>
      <x:c r="F9113" s="1" t="str">
        <x:v>Late delivery</x:v>
      </x:c>
      <x:c r="G9113" s="6" t="n">
        <x:v>2</x:v>
      </x:c>
      <x:c r="H9113" s="6" t="n">
        <x:v>1</x:v>
      </x:c>
      <x:c r="I9113" s="6" t="n">
        <x:f>G9113-H9113</x:f>
        <x:v>1</x:v>
      </x:c>
      <x:c r="J9113" s="6" t="n">
        <x:f>IF(OR(E9113="CANCELED",E9113="SUSPECTED_FRAUD",F9113="Shipping canceled"),0,1)</x:f>
        <x:v>1</x:v>
      </x:c>
      <x:c r="K9113" s="6" t="n">
        <x:f>IF(G9113&gt;H9113,1,0)</x:f>
        <x:v>1</x:v>
      </x:c>
      <x:c r="L9113" s="6" t="n">
        <x:f>J9113*K9113</x:f>
        <x:v>1</x:v>
      </x:c>
    </x:row>
    <x:row r="9114">
      <x:c r="A9114" s="1" t="n">
        <x:v>73128</x:v>
      </x:c>
      <x:c r="B9114" s="5" t="d">
        <x:v>2017-12-03T00:00:00.000Z</x:v>
      </x:c>
      <x:c r="C9114" s="1" t="str">
        <x:v>First Class</x:v>
      </x:c>
      <x:c r="D9114" s="1" t="str">
        <x:v>Pacific Asia</x:v>
      </x:c>
      <x:c r="E9114" s="1" t="str">
        <x:v>PENDING</x:v>
      </x:c>
      <x:c r="F9114" s="1" t="str">
        <x:v>Late delivery</x:v>
      </x:c>
      <x:c r="G9114" s="6" t="n">
        <x:v>2</x:v>
      </x:c>
      <x:c r="H9114" s="6" t="n">
        <x:v>1</x:v>
      </x:c>
      <x:c r="I9114" s="6" t="n">
        <x:f>G9114-H9114</x:f>
        <x:v>1</x:v>
      </x:c>
      <x:c r="J9114" s="6" t="n">
        <x:f>IF(OR(E9114="CANCELED",E9114="SUSPECTED_FRAUD",F9114="Shipping canceled"),0,1)</x:f>
        <x:v>1</x:v>
      </x:c>
      <x:c r="K9114" s="6" t="n">
        <x:f>IF(G9114&gt;H9114,1,0)</x:f>
        <x:v>1</x:v>
      </x:c>
      <x:c r="L9114" s="6" t="n">
        <x:f>J9114*K9114</x:f>
        <x:v>1</x:v>
      </x:c>
    </x:row>
    <x:row r="9115">
      <x:c r="A9115" s="1" t="n">
        <x:v>73129</x:v>
      </x:c>
      <x:c r="B9115" s="5" t="d">
        <x:v>2017-12-03T00:00:00.000Z</x:v>
      </x:c>
      <x:c r="C9115" s="1" t="str">
        <x:v>First Class</x:v>
      </x:c>
      <x:c r="D9115" s="1" t="str">
        <x:v>Pacific Asia</x:v>
      </x:c>
      <x:c r="E9115" s="1" t="str">
        <x:v>PROCESSING</x:v>
      </x:c>
      <x:c r="F9115" s="1" t="str">
        <x:v>Late delivery</x:v>
      </x:c>
      <x:c r="G9115" s="6" t="n">
        <x:v>2</x:v>
      </x:c>
      <x:c r="H9115" s="6" t="n">
        <x:v>1</x:v>
      </x:c>
      <x:c r="I9115" s="6" t="n">
        <x:f>G9115-H9115</x:f>
        <x:v>1</x:v>
      </x:c>
      <x:c r="J9115" s="6" t="n">
        <x:f>IF(OR(E9115="CANCELED",E9115="SUSPECTED_FRAUD",F9115="Shipping canceled"),0,1)</x:f>
        <x:v>1</x:v>
      </x:c>
      <x:c r="K9115" s="6" t="n">
        <x:f>IF(G9115&gt;H9115,1,0)</x:f>
        <x:v>1</x:v>
      </x:c>
      <x:c r="L9115" s="6" t="n">
        <x:f>J9115*K9115</x:f>
        <x:v>1</x:v>
      </x:c>
    </x:row>
    <x:row r="9116">
      <x:c r="A9116" s="1" t="n">
        <x:v>73130</x:v>
      </x:c>
      <x:c r="B9116" s="5" t="d">
        <x:v>2017-12-03T00:00:00.000Z</x:v>
      </x:c>
      <x:c r="C9116" s="1" t="str">
        <x:v>First Class</x:v>
      </x:c>
      <x:c r="D9116" s="1" t="str">
        <x:v>Pacific Asia</x:v>
      </x:c>
      <x:c r="E9116" s="1" t="str">
        <x:v>COMPLETE</x:v>
      </x:c>
      <x:c r="F9116" s="1" t="str">
        <x:v>Late delivery</x:v>
      </x:c>
      <x:c r="G9116" s="6" t="n">
        <x:v>2</x:v>
      </x:c>
      <x:c r="H9116" s="6" t="n">
        <x:v>1</x:v>
      </x:c>
      <x:c r="I9116" s="6" t="n">
        <x:f>G9116-H9116</x:f>
        <x:v>1</x:v>
      </x:c>
      <x:c r="J9116" s="6" t="n">
        <x:f>IF(OR(E9116="CANCELED",E9116="SUSPECTED_FRAUD",F9116="Shipping canceled"),0,1)</x:f>
        <x:v>1</x:v>
      </x:c>
      <x:c r="K9116" s="6" t="n">
        <x:f>IF(G9116&gt;H9116,1,0)</x:f>
        <x:v>1</x:v>
      </x:c>
      <x:c r="L9116" s="6" t="n">
        <x:f>J9116*K9116</x:f>
        <x:v>1</x:v>
      </x:c>
    </x:row>
    <x:row r="9117">
      <x:c r="A9117" s="1" t="n">
        <x:v>73131</x:v>
      </x:c>
      <x:c r="B9117" s="5" t="d">
        <x:v>2017-12-03T00:00:00.000Z</x:v>
      </x:c>
      <x:c r="C9117" s="1" t="str">
        <x:v>First Class</x:v>
      </x:c>
      <x:c r="D9117" s="1" t="str">
        <x:v>Pacific Asia</x:v>
      </x:c>
      <x:c r="E9117" s="1" t="str">
        <x:v>PENDING_PAYMENT</x:v>
      </x:c>
      <x:c r="F9117" s="1" t="str">
        <x:v>Late delivery</x:v>
      </x:c>
      <x:c r="G9117" s="6" t="n">
        <x:v>2</x:v>
      </x:c>
      <x:c r="H9117" s="6" t="n">
        <x:v>1</x:v>
      </x:c>
      <x:c r="I9117" s="6" t="n">
        <x:f>G9117-H9117</x:f>
        <x:v>1</x:v>
      </x:c>
      <x:c r="J9117" s="6" t="n">
        <x:f>IF(OR(E9117="CANCELED",E9117="SUSPECTED_FRAUD",F9117="Shipping canceled"),0,1)</x:f>
        <x:v>1</x:v>
      </x:c>
      <x:c r="K9117" s="6" t="n">
        <x:f>IF(G9117&gt;H9117,1,0)</x:f>
        <x:v>1</x:v>
      </x:c>
      <x:c r="L9117" s="6" t="n">
        <x:f>J9117*K9117</x:f>
        <x:v>1</x:v>
      </x:c>
    </x:row>
    <x:row r="9118">
      <x:c r="A9118" s="1" t="n">
        <x:v>73132</x:v>
      </x:c>
      <x:c r="B9118" s="5" t="d">
        <x:v>2017-12-03T00:00:00.000Z</x:v>
      </x:c>
      <x:c r="C9118" s="1" t="str">
        <x:v>First Class</x:v>
      </x:c>
      <x:c r="D9118" s="1" t="str">
        <x:v>Pacific Asia</x:v>
      </x:c>
      <x:c r="E9118" s="1" t="str">
        <x:v>SUSPECTED_FRAUD</x:v>
      </x:c>
      <x:c r="F9118" s="1" t="str">
        <x:v>Shipping canceled</x:v>
      </x:c>
      <x:c r="G9118" s="6" t="n">
        <x:v>2</x:v>
      </x:c>
      <x:c r="H9118" s="6" t="n">
        <x:v>1</x:v>
      </x:c>
      <x:c r="I9118" s="6" t="n">
        <x:f>G9118-H9118</x:f>
        <x:v>1</x:v>
      </x:c>
      <x:c r="J9118" s="6" t="n">
        <x:f>IF(OR(E9118="CANCELED",E9118="SUSPECTED_FRAUD",F9118="Shipping canceled"),0,1)</x:f>
        <x:v>0</x:v>
      </x:c>
      <x:c r="K9118" s="6" t="n">
        <x:f>IF(G9118&gt;H9118,1,0)</x:f>
        <x:v>1</x:v>
      </x:c>
      <x:c r="L9118" s="6" t="n">
        <x:f>J9118*K9118</x:f>
        <x:v>0</x:v>
      </x:c>
    </x:row>
    <x:row r="9119">
      <x:c r="A9119" s="1" t="n">
        <x:v>73133</x:v>
      </x:c>
      <x:c r="B9119" s="5" t="d">
        <x:v>2017-12-03T00:00:00.000Z</x:v>
      </x:c>
      <x:c r="C9119" s="1" t="str">
        <x:v>First Class</x:v>
      </x:c>
      <x:c r="D9119" s="1" t="str">
        <x:v>Pacific Asia</x:v>
      </x:c>
      <x:c r="E9119" s="1" t="str">
        <x:v>COMPLETE</x:v>
      </x:c>
      <x:c r="F9119" s="1" t="str">
        <x:v>Late delivery</x:v>
      </x:c>
      <x:c r="G9119" s="6" t="n">
        <x:v>2</x:v>
      </x:c>
      <x:c r="H9119" s="6" t="n">
        <x:v>1</x:v>
      </x:c>
      <x:c r="I9119" s="6" t="n">
        <x:f>G9119-H9119</x:f>
        <x:v>1</x:v>
      </x:c>
      <x:c r="J9119" s="6" t="n">
        <x:f>IF(OR(E9119="CANCELED",E9119="SUSPECTED_FRAUD",F9119="Shipping canceled"),0,1)</x:f>
        <x:v>1</x:v>
      </x:c>
      <x:c r="K9119" s="6" t="n">
        <x:f>IF(G9119&gt;H9119,1,0)</x:f>
        <x:v>1</x:v>
      </x:c>
      <x:c r="L9119" s="6" t="n">
        <x:f>J9119*K9119</x:f>
        <x:v>1</x:v>
      </x:c>
    </x:row>
    <x:row r="9120">
      <x:c r="A9120" s="1" t="n">
        <x:v>73134</x:v>
      </x:c>
      <x:c r="B9120" s="5" t="d">
        <x:v>2017-12-03T00:00:00.000Z</x:v>
      </x:c>
      <x:c r="C9120" s="1" t="str">
        <x:v>First Class</x:v>
      </x:c>
      <x:c r="D9120" s="1" t="str">
        <x:v>Pacific Asia</x:v>
      </x:c>
      <x:c r="E9120" s="1" t="str">
        <x:v>PENDING</x:v>
      </x:c>
      <x:c r="F9120" s="1" t="str">
        <x:v>Late delivery</x:v>
      </x:c>
      <x:c r="G9120" s="6" t="n">
        <x:v>2</x:v>
      </x:c>
      <x:c r="H9120" s="6" t="n">
        <x:v>1</x:v>
      </x:c>
      <x:c r="I9120" s="6" t="n">
        <x:f>G9120-H9120</x:f>
        <x:v>1</x:v>
      </x:c>
      <x:c r="J9120" s="6" t="n">
        <x:f>IF(OR(E9120="CANCELED",E9120="SUSPECTED_FRAUD",F9120="Shipping canceled"),0,1)</x:f>
        <x:v>1</x:v>
      </x:c>
      <x:c r="K9120" s="6" t="n">
        <x:f>IF(G9120&gt;H9120,1,0)</x:f>
        <x:v>1</x:v>
      </x:c>
      <x:c r="L9120" s="6" t="n">
        <x:f>J9120*K9120</x:f>
        <x:v>1</x:v>
      </x:c>
    </x:row>
    <x:row r="9121">
      <x:c r="A9121" s="1" t="n">
        <x:v>73135</x:v>
      </x:c>
      <x:c r="B9121" s="5" t="d">
        <x:v>2017-12-03T00:00:00.000Z</x:v>
      </x:c>
      <x:c r="C9121" s="1" t="str">
        <x:v>Standard Class</x:v>
      </x:c>
      <x:c r="D9121" s="1" t="str">
        <x:v>Pacific Asia</x:v>
      </x:c>
      <x:c r="E9121" s="1" t="str">
        <x:v>SUSPECTED_FRAUD</x:v>
      </x:c>
      <x:c r="F9121" s="1" t="str">
        <x:v>Shipping canceled</x:v>
      </x:c>
      <x:c r="G9121" s="6" t="n">
        <x:v>6</x:v>
      </x:c>
      <x:c r="H9121" s="6" t="n">
        <x:v>4</x:v>
      </x:c>
      <x:c r="I9121" s="6" t="n">
        <x:f>G9121-H9121</x:f>
        <x:v>2</x:v>
      </x:c>
      <x:c r="J9121" s="6" t="n">
        <x:f>IF(OR(E9121="CANCELED",E9121="SUSPECTED_FRAUD",F9121="Shipping canceled"),0,1)</x:f>
        <x:v>0</x:v>
      </x:c>
      <x:c r="K9121" s="6" t="n">
        <x:f>IF(G9121&gt;H9121,1,0)</x:f>
        <x:v>1</x:v>
      </x:c>
      <x:c r="L9121" s="6" t="n">
        <x:f>J9121*K9121</x:f>
        <x:v>0</x:v>
      </x:c>
    </x:row>
    <x:row r="9122">
      <x:c r="A9122" s="1" t="n">
        <x:v>73136</x:v>
      </x:c>
      <x:c r="B9122" s="5" t="d">
        <x:v>2017-12-03T00:00:00.000Z</x:v>
      </x:c>
      <x:c r="C9122" s="1" t="str">
        <x:v>Standard Class</x:v>
      </x:c>
      <x:c r="D9122" s="1" t="str">
        <x:v>Pacific Asia</x:v>
      </x:c>
      <x:c r="E9122" s="1" t="str">
        <x:v>PENDING_PAYMENT</x:v>
      </x:c>
      <x:c r="F9122" s="1" t="str">
        <x:v>Advance shipping</x:v>
      </x:c>
      <x:c r="G9122" s="6" t="n">
        <x:v>2</x:v>
      </x:c>
      <x:c r="H9122" s="6" t="n">
        <x:v>4</x:v>
      </x:c>
      <x:c r="I9122" s="6" t="n">
        <x:f>G9122-H9122</x:f>
        <x:v>-2</x:v>
      </x:c>
      <x:c r="J9122" s="6" t="n">
        <x:f>IF(OR(E9122="CANCELED",E9122="SUSPECTED_FRAUD",F9122="Shipping canceled"),0,1)</x:f>
        <x:v>1</x:v>
      </x:c>
      <x:c r="K9122" s="6" t="n">
        <x:f>IF(G9122&gt;H9122,1,0)</x:f>
        <x:v>0</x:v>
      </x:c>
      <x:c r="L9122" s="6" t="n">
        <x:f>J9122*K9122</x:f>
        <x:v>0</x:v>
      </x:c>
    </x:row>
    <x:row r="9123">
      <x:c r="A9123" s="1" t="n">
        <x:v>73137</x:v>
      </x:c>
      <x:c r="B9123" s="5" t="d">
        <x:v>2017-12-03T00:00:00.000Z</x:v>
      </x:c>
      <x:c r="C9123" s="1" t="str">
        <x:v>Standard Class</x:v>
      </x:c>
      <x:c r="D9123" s="1" t="str">
        <x:v>Pacific Asia</x:v>
      </x:c>
      <x:c r="E9123" s="1" t="str">
        <x:v>SUSPECTED_FRAUD</x:v>
      </x:c>
      <x:c r="F9123" s="1" t="str">
        <x:v>Shipping canceled</x:v>
      </x:c>
      <x:c r="G9123" s="6" t="n">
        <x:v>3</x:v>
      </x:c>
      <x:c r="H9123" s="6" t="n">
        <x:v>4</x:v>
      </x:c>
      <x:c r="I9123" s="6" t="n">
        <x:f>G9123-H9123</x:f>
        <x:v>-1</x:v>
      </x:c>
      <x:c r="J9123" s="6" t="n">
        <x:f>IF(OR(E9123="CANCELED",E9123="SUSPECTED_FRAUD",F9123="Shipping canceled"),0,1)</x:f>
        <x:v>0</x:v>
      </x:c>
      <x:c r="K9123" s="6" t="n">
        <x:f>IF(G9123&gt;H9123,1,0)</x:f>
        <x:v>0</x:v>
      </x:c>
      <x:c r="L9123" s="6" t="n">
        <x:f>J9123*K9123</x:f>
        <x:v>0</x:v>
      </x:c>
    </x:row>
    <x:row r="9124">
      <x:c r="A9124" s="1" t="n">
        <x:v>73138</x:v>
      </x:c>
      <x:c r="B9124" s="5" t="d">
        <x:v>2017-12-03T00:00:00.000Z</x:v>
      </x:c>
      <x:c r="C9124" s="1" t="str">
        <x:v>Standard Class</x:v>
      </x:c>
      <x:c r="D9124" s="1" t="str">
        <x:v>Pacific Asia</x:v>
      </x:c>
      <x:c r="E9124" s="1" t="str">
        <x:v>COMPLETE</x:v>
      </x:c>
      <x:c r="F9124" s="1" t="str">
        <x:v>Shipping on time</x:v>
      </x:c>
      <x:c r="G9124" s="6" t="n">
        <x:v>4</x:v>
      </x:c>
      <x:c r="H9124" s="6" t="n">
        <x:v>4</x:v>
      </x:c>
      <x:c r="I9124" s="6" t="n">
        <x:f>G9124-H9124</x:f>
        <x:v>0</x:v>
      </x:c>
      <x:c r="J9124" s="6" t="n">
        <x:f>IF(OR(E9124="CANCELED",E9124="SUSPECTED_FRAUD",F9124="Shipping canceled"),0,1)</x:f>
        <x:v>1</x:v>
      </x:c>
      <x:c r="K9124" s="6" t="n">
        <x:f>IF(G9124&gt;H9124,1,0)</x:f>
        <x:v>0</x:v>
      </x:c>
      <x:c r="L9124" s="6" t="n">
        <x:f>J9124*K9124</x:f>
        <x:v>0</x:v>
      </x:c>
    </x:row>
    <x:row r="9125">
      <x:c r="A9125" s="1" t="n">
        <x:v>73139</x:v>
      </x:c>
      <x:c r="B9125" s="5" t="d">
        <x:v>2017-12-03T00:00:00.000Z</x:v>
      </x:c>
      <x:c r="C9125" s="1" t="str">
        <x:v>Standard Class</x:v>
      </x:c>
      <x:c r="D9125" s="1" t="str">
        <x:v>Pacific Asia</x:v>
      </x:c>
      <x:c r="E9125" s="1" t="str">
        <x:v>CLOSED</x:v>
      </x:c>
      <x:c r="F9125" s="1" t="str">
        <x:v>Late delivery</x:v>
      </x:c>
      <x:c r="G9125" s="6" t="n">
        <x:v>5</x:v>
      </x:c>
      <x:c r="H9125" s="6" t="n">
        <x:v>4</x:v>
      </x:c>
      <x:c r="I9125" s="6" t="n">
        <x:f>G9125-H9125</x:f>
        <x:v>1</x:v>
      </x:c>
      <x:c r="J9125" s="6" t="n">
        <x:f>IF(OR(E9125="CANCELED",E9125="SUSPECTED_FRAUD",F9125="Shipping canceled"),0,1)</x:f>
        <x:v>1</x:v>
      </x:c>
      <x:c r="K9125" s="6" t="n">
        <x:f>IF(G9125&gt;H9125,1,0)</x:f>
        <x:v>1</x:v>
      </x:c>
      <x:c r="L9125" s="6" t="n">
        <x:f>J9125*K9125</x:f>
        <x:v>1</x:v>
      </x:c>
    </x:row>
    <x:row r="9126">
      <x:c r="A9126" s="1" t="n">
        <x:v>73140</x:v>
      </x:c>
      <x:c r="B9126" s="5" t="d">
        <x:v>2017-12-03T00:00:00.000Z</x:v>
      </x:c>
      <x:c r="C9126" s="1" t="str">
        <x:v>Standard Class</x:v>
      </x:c>
      <x:c r="D9126" s="1" t="str">
        <x:v>Pacific Asia</x:v>
      </x:c>
      <x:c r="E9126" s="1" t="str">
        <x:v>COMPLETE</x:v>
      </x:c>
      <x:c r="F9126" s="1" t="str">
        <x:v>Late delivery</x:v>
      </x:c>
      <x:c r="G9126" s="6" t="n">
        <x:v>6</x:v>
      </x:c>
      <x:c r="H9126" s="6" t="n">
        <x:v>4</x:v>
      </x:c>
      <x:c r="I9126" s="6" t="n">
        <x:f>G9126-H9126</x:f>
        <x:v>2</x:v>
      </x:c>
      <x:c r="J9126" s="6" t="n">
        <x:f>IF(OR(E9126="CANCELED",E9126="SUSPECTED_FRAUD",F9126="Shipping canceled"),0,1)</x:f>
        <x:v>1</x:v>
      </x:c>
      <x:c r="K9126" s="6" t="n">
        <x:f>IF(G9126&gt;H9126,1,0)</x:f>
        <x:v>1</x:v>
      </x:c>
      <x:c r="L9126" s="6" t="n">
        <x:f>J9126*K9126</x:f>
        <x:v>1</x:v>
      </x:c>
    </x:row>
    <x:row r="9127">
      <x:c r="A9127" s="1" t="n">
        <x:v>73141</x:v>
      </x:c>
      <x:c r="B9127" s="5" t="d">
        <x:v>2017-12-03T00:00:00.000Z</x:v>
      </x:c>
      <x:c r="C9127" s="1" t="str">
        <x:v>Standard Class</x:v>
      </x:c>
      <x:c r="D9127" s="1" t="str">
        <x:v>Pacific Asia</x:v>
      </x:c>
      <x:c r="E9127" s="1" t="str">
        <x:v>PENDING_PAYMENT</x:v>
      </x:c>
      <x:c r="F9127" s="1" t="str">
        <x:v>Advance shipping</x:v>
      </x:c>
      <x:c r="G9127" s="6" t="n">
        <x:v>2</x:v>
      </x:c>
      <x:c r="H9127" s="6" t="n">
        <x:v>4</x:v>
      </x:c>
      <x:c r="I9127" s="6" t="n">
        <x:f>G9127-H9127</x:f>
        <x:v>-2</x:v>
      </x:c>
      <x:c r="J9127" s="6" t="n">
        <x:f>IF(OR(E9127="CANCELED",E9127="SUSPECTED_FRAUD",F9127="Shipping canceled"),0,1)</x:f>
        <x:v>1</x:v>
      </x:c>
      <x:c r="K9127" s="6" t="n">
        <x:f>IF(G9127&gt;H9127,1,0)</x:f>
        <x:v>0</x:v>
      </x:c>
      <x:c r="L9127" s="6" t="n">
        <x:f>J9127*K9127</x:f>
        <x:v>0</x:v>
      </x:c>
    </x:row>
    <x:row r="9128">
      <x:c r="A9128" s="1" t="n">
        <x:v>73142</x:v>
      </x:c>
      <x:c r="B9128" s="5" t="d">
        <x:v>2017-12-03T00:00:00.000Z</x:v>
      </x:c>
      <x:c r="C9128" s="1" t="str">
        <x:v>Standard Class</x:v>
      </x:c>
      <x:c r="D9128" s="1" t="str">
        <x:v>Pacific Asia</x:v>
      </x:c>
      <x:c r="E9128" s="1" t="str">
        <x:v>COMPLETE</x:v>
      </x:c>
      <x:c r="F9128" s="1" t="str">
        <x:v>Advance shipping</x:v>
      </x:c>
      <x:c r="G9128" s="6" t="n">
        <x:v>3</x:v>
      </x:c>
      <x:c r="H9128" s="6" t="n">
        <x:v>4</x:v>
      </x:c>
      <x:c r="I9128" s="6" t="n">
        <x:f>G9128-H9128</x:f>
        <x:v>-1</x:v>
      </x:c>
      <x:c r="J9128" s="6" t="n">
        <x:f>IF(OR(E9128="CANCELED",E9128="SUSPECTED_FRAUD",F9128="Shipping canceled"),0,1)</x:f>
        <x:v>1</x:v>
      </x:c>
      <x:c r="K9128" s="6" t="n">
        <x:f>IF(G9128&gt;H9128,1,0)</x:f>
        <x:v>0</x:v>
      </x:c>
      <x:c r="L9128" s="6" t="n">
        <x:f>J9128*K9128</x:f>
        <x:v>0</x:v>
      </x:c>
    </x:row>
    <x:row r="9129">
      <x:c r="A9129" s="1" t="n">
        <x:v>73143</x:v>
      </x:c>
      <x:c r="B9129" s="5" t="d">
        <x:v>2017-12-03T00:00:00.000Z</x:v>
      </x:c>
      <x:c r="C9129" s="1" t="str">
        <x:v>Standard Class</x:v>
      </x:c>
      <x:c r="D9129" s="1" t="str">
        <x:v>Pacific Asia</x:v>
      </x:c>
      <x:c r="E9129" s="1" t="str">
        <x:v>PENDING</x:v>
      </x:c>
      <x:c r="F9129" s="1" t="str">
        <x:v>Shipping on time</x:v>
      </x:c>
      <x:c r="G9129" s="6" t="n">
        <x:v>4</x:v>
      </x:c>
      <x:c r="H9129" s="6" t="n">
        <x:v>4</x:v>
      </x:c>
      <x:c r="I9129" s="6" t="n">
        <x:f>G9129-H9129</x:f>
        <x:v>0</x:v>
      </x:c>
      <x:c r="J9129" s="6" t="n">
        <x:f>IF(OR(E9129="CANCELED",E9129="SUSPECTED_FRAUD",F9129="Shipping canceled"),0,1)</x:f>
        <x:v>1</x:v>
      </x:c>
      <x:c r="K9129" s="6" t="n">
        <x:f>IF(G9129&gt;H9129,1,0)</x:f>
        <x:v>0</x:v>
      </x:c>
      <x:c r="L9129" s="6" t="n">
        <x:f>J9129*K9129</x:f>
        <x:v>0</x:v>
      </x:c>
    </x:row>
    <x:row r="9130">
      <x:c r="A9130" s="1" t="n">
        <x:v>73144</x:v>
      </x:c>
      <x:c r="B9130" s="5" t="d">
        <x:v>2017-12-03T00:00:00.000Z</x:v>
      </x:c>
      <x:c r="C9130" s="1" t="str">
        <x:v>Standard Class</x:v>
      </x:c>
      <x:c r="D9130" s="1" t="str">
        <x:v>Pacific Asia</x:v>
      </x:c>
      <x:c r="E9130" s="1" t="str">
        <x:v>ON_HOLD</x:v>
      </x:c>
      <x:c r="F9130" s="1" t="str">
        <x:v>Late delivery</x:v>
      </x:c>
      <x:c r="G9130" s="6" t="n">
        <x:v>5</x:v>
      </x:c>
      <x:c r="H9130" s="6" t="n">
        <x:v>4</x:v>
      </x:c>
      <x:c r="I9130" s="6" t="n">
        <x:f>G9130-H9130</x:f>
        <x:v>1</x:v>
      </x:c>
      <x:c r="J9130" s="6" t="n">
        <x:f>IF(OR(E9130="CANCELED",E9130="SUSPECTED_FRAUD",F9130="Shipping canceled"),0,1)</x:f>
        <x:v>1</x:v>
      </x:c>
      <x:c r="K9130" s="6" t="n">
        <x:f>IF(G9130&gt;H9130,1,0)</x:f>
        <x:v>1</x:v>
      </x:c>
      <x:c r="L9130" s="6" t="n">
        <x:f>J9130*K9130</x:f>
        <x:v>1</x:v>
      </x:c>
    </x:row>
    <x:row r="9131">
      <x:c r="A9131" s="1" t="n">
        <x:v>73145</x:v>
      </x:c>
      <x:c r="B9131" s="5" t="d">
        <x:v>2017-12-03T00:00:00.000Z</x:v>
      </x:c>
      <x:c r="C9131" s="1" t="str">
        <x:v>First Class</x:v>
      </x:c>
      <x:c r="D9131" s="1" t="str">
        <x:v>Pacific Asia</x:v>
      </x:c>
      <x:c r="E9131" s="1" t="str">
        <x:v>PROCESSING</x:v>
      </x:c>
      <x:c r="F9131" s="1" t="str">
        <x:v>Late delivery</x:v>
      </x:c>
      <x:c r="G9131" s="6" t="n">
        <x:v>2</x:v>
      </x:c>
      <x:c r="H9131" s="6" t="n">
        <x:v>1</x:v>
      </x:c>
      <x:c r="I9131" s="6" t="n">
        <x:f>G9131-H9131</x:f>
        <x:v>1</x:v>
      </x:c>
      <x:c r="J9131" s="6" t="n">
        <x:f>IF(OR(E9131="CANCELED",E9131="SUSPECTED_FRAUD",F9131="Shipping canceled"),0,1)</x:f>
        <x:v>1</x:v>
      </x:c>
      <x:c r="K9131" s="6" t="n">
        <x:f>IF(G9131&gt;H9131,1,0)</x:f>
        <x:v>1</x:v>
      </x:c>
      <x:c r="L9131" s="6" t="n">
        <x:f>J9131*K9131</x:f>
        <x:v>1</x:v>
      </x:c>
    </x:row>
    <x:row r="9132">
      <x:c r="A9132" s="1" t="n">
        <x:v>73146</x:v>
      </x:c>
      <x:c r="B9132" s="5" t="d">
        <x:v>2017-12-03T00:00:00.000Z</x:v>
      </x:c>
      <x:c r="C9132" s="1" t="str">
        <x:v>Second Class</x:v>
      </x:c>
      <x:c r="D9132" s="1" t="str">
        <x:v>Pacific Asia</x:v>
      </x:c>
      <x:c r="E9132" s="1" t="str">
        <x:v>PROCESSING</x:v>
      </x:c>
      <x:c r="F9132" s="1" t="str">
        <x:v>Shipping on time</x:v>
      </x:c>
      <x:c r="G9132" s="6" t="n">
        <x:v>2</x:v>
      </x:c>
      <x:c r="H9132" s="6" t="n">
        <x:v>2</x:v>
      </x:c>
      <x:c r="I9132" s="6" t="n">
        <x:f>G9132-H9132</x:f>
        <x:v>0</x:v>
      </x:c>
      <x:c r="J9132" s="6" t="n">
        <x:f>IF(OR(E9132="CANCELED",E9132="SUSPECTED_FRAUD",F9132="Shipping canceled"),0,1)</x:f>
        <x:v>1</x:v>
      </x:c>
      <x:c r="K9132" s="6" t="n">
        <x:f>IF(G9132&gt;H9132,1,0)</x:f>
        <x:v>0</x:v>
      </x:c>
      <x:c r="L9132" s="6" t="n">
        <x:f>J9132*K9132</x:f>
        <x:v>0</x:v>
      </x:c>
    </x:row>
    <x:row r="9133">
      <x:c r="A9133" s="1" t="n">
        <x:v>73147</x:v>
      </x:c>
      <x:c r="B9133" s="5" t="d">
        <x:v>2017-12-03T00:00:00.000Z</x:v>
      </x:c>
      <x:c r="C9133" s="1" t="str">
        <x:v>Standard Class</x:v>
      </x:c>
      <x:c r="D9133" s="1" t="str">
        <x:v>Pacific Asia</x:v>
      </x:c>
      <x:c r="E9133" s="1" t="str">
        <x:v>PENDING_PAYMENT</x:v>
      </x:c>
      <x:c r="F9133" s="1" t="str">
        <x:v>Advance shipping</x:v>
      </x:c>
      <x:c r="G9133" s="6" t="n">
        <x:v>3</x:v>
      </x:c>
      <x:c r="H9133" s="6" t="n">
        <x:v>4</x:v>
      </x:c>
      <x:c r="I9133" s="6" t="n">
        <x:f>G9133-H9133</x:f>
        <x:v>-1</x:v>
      </x:c>
      <x:c r="J9133" s="6" t="n">
        <x:f>IF(OR(E9133="CANCELED",E9133="SUSPECTED_FRAUD",F9133="Shipping canceled"),0,1)</x:f>
        <x:v>1</x:v>
      </x:c>
      <x:c r="K9133" s="6" t="n">
        <x:f>IF(G9133&gt;H9133,1,0)</x:f>
        <x:v>0</x:v>
      </x:c>
      <x:c r="L9133" s="6" t="n">
        <x:f>J9133*K9133</x:f>
        <x:v>0</x:v>
      </x:c>
    </x:row>
    <x:row r="9134">
      <x:c r="A9134" s="1" t="n">
        <x:v>73148</x:v>
      </x:c>
      <x:c r="B9134" s="5" t="d">
        <x:v>2017-12-03T00:00:00.000Z</x:v>
      </x:c>
      <x:c r="C9134" s="1" t="str">
        <x:v>Standard Class</x:v>
      </x:c>
      <x:c r="D9134" s="1" t="str">
        <x:v>Pacific Asia</x:v>
      </x:c>
      <x:c r="E9134" s="1" t="str">
        <x:v>COMPLETE</x:v>
      </x:c>
      <x:c r="F9134" s="1" t="str">
        <x:v>Shipping on time</x:v>
      </x:c>
      <x:c r="G9134" s="6" t="n">
        <x:v>4</x:v>
      </x:c>
      <x:c r="H9134" s="6" t="n">
        <x:v>4</x:v>
      </x:c>
      <x:c r="I9134" s="6" t="n">
        <x:f>G9134-H9134</x:f>
        <x:v>0</x:v>
      </x:c>
      <x:c r="J9134" s="6" t="n">
        <x:f>IF(OR(E9134="CANCELED",E9134="SUSPECTED_FRAUD",F9134="Shipping canceled"),0,1)</x:f>
        <x:v>1</x:v>
      </x:c>
      <x:c r="K9134" s="6" t="n">
        <x:f>IF(G9134&gt;H9134,1,0)</x:f>
        <x:v>0</x:v>
      </x:c>
      <x:c r="L9134" s="6" t="n">
        <x:f>J9134*K9134</x:f>
        <x:v>0</x:v>
      </x:c>
    </x:row>
    <x:row r="9135">
      <x:c r="A9135" s="1" t="n">
        <x:v>73149</x:v>
      </x:c>
      <x:c r="B9135" s="5" t="d">
        <x:v>2017-12-03T00:00:00.000Z</x:v>
      </x:c>
      <x:c r="C9135" s="1" t="str">
        <x:v>Standard Class</x:v>
      </x:c>
      <x:c r="D9135" s="1" t="str">
        <x:v>Pacific Asia</x:v>
      </x:c>
      <x:c r="E9135" s="1" t="str">
        <x:v>PENDING_PAYMENT</x:v>
      </x:c>
      <x:c r="F9135" s="1" t="str">
        <x:v>Late delivery</x:v>
      </x:c>
      <x:c r="G9135" s="6" t="n">
        <x:v>5</x:v>
      </x:c>
      <x:c r="H9135" s="6" t="n">
        <x:v>4</x:v>
      </x:c>
      <x:c r="I9135" s="6" t="n">
        <x:f>G9135-H9135</x:f>
        <x:v>1</x:v>
      </x:c>
      <x:c r="J9135" s="6" t="n">
        <x:f>IF(OR(E9135="CANCELED",E9135="SUSPECTED_FRAUD",F9135="Shipping canceled"),0,1)</x:f>
        <x:v>1</x:v>
      </x:c>
      <x:c r="K9135" s="6" t="n">
        <x:f>IF(G9135&gt;H9135,1,0)</x:f>
        <x:v>1</x:v>
      </x:c>
      <x:c r="L9135" s="6" t="n">
        <x:f>J9135*K9135</x:f>
        <x:v>1</x:v>
      </x:c>
    </x:row>
    <x:row r="9136">
      <x:c r="A9136" s="1" t="n">
        <x:v>73150</x:v>
      </x:c>
      <x:c r="B9136" s="5" t="d">
        <x:v>2017-12-03T00:00:00.000Z</x:v>
      </x:c>
      <x:c r="C9136" s="1" t="str">
        <x:v>Standard Class</x:v>
      </x:c>
      <x:c r="D9136" s="1" t="str">
        <x:v>Pacific Asia</x:v>
      </x:c>
      <x:c r="E9136" s="1" t="str">
        <x:v>CLOSED</x:v>
      </x:c>
      <x:c r="F9136" s="1" t="str">
        <x:v>Late delivery</x:v>
      </x:c>
      <x:c r="G9136" s="6" t="n">
        <x:v>6</x:v>
      </x:c>
      <x:c r="H9136" s="6" t="n">
        <x:v>4</x:v>
      </x:c>
      <x:c r="I9136" s="6" t="n">
        <x:f>G9136-H9136</x:f>
        <x:v>2</x:v>
      </x:c>
      <x:c r="J9136" s="6" t="n">
        <x:f>IF(OR(E9136="CANCELED",E9136="SUSPECTED_FRAUD",F9136="Shipping canceled"),0,1)</x:f>
        <x:v>1</x:v>
      </x:c>
      <x:c r="K9136" s="6" t="n">
        <x:f>IF(G9136&gt;H9136,1,0)</x:f>
        <x:v>1</x:v>
      </x:c>
      <x:c r="L9136" s="6" t="n">
        <x:f>J9136*K9136</x:f>
        <x:v>1</x:v>
      </x:c>
    </x:row>
    <x:row r="9137">
      <x:c r="A9137" s="1" t="n">
        <x:v>73151</x:v>
      </x:c>
      <x:c r="B9137" s="5" t="d">
        <x:v>2017-12-03T00:00:00.000Z</x:v>
      </x:c>
      <x:c r="C9137" s="1" t="str">
        <x:v>Standard Class</x:v>
      </x:c>
      <x:c r="D9137" s="1" t="str">
        <x:v>Pacific Asia</x:v>
      </x:c>
      <x:c r="E9137" s="1" t="str">
        <x:v>PROCESSING</x:v>
      </x:c>
      <x:c r="F9137" s="1" t="str">
        <x:v>Advance shipping</x:v>
      </x:c>
      <x:c r="G9137" s="6" t="n">
        <x:v>2</x:v>
      </x:c>
      <x:c r="H9137" s="6" t="n">
        <x:v>4</x:v>
      </x:c>
      <x:c r="I9137" s="6" t="n">
        <x:f>G9137-H9137</x:f>
        <x:v>-2</x:v>
      </x:c>
      <x:c r="J9137" s="6" t="n">
        <x:f>IF(OR(E9137="CANCELED",E9137="SUSPECTED_FRAUD",F9137="Shipping canceled"),0,1)</x:f>
        <x:v>1</x:v>
      </x:c>
      <x:c r="K9137" s="6" t="n">
        <x:f>IF(G9137&gt;H9137,1,0)</x:f>
        <x:v>0</x:v>
      </x:c>
      <x:c r="L9137" s="6" t="n">
        <x:f>J9137*K9137</x:f>
        <x:v>0</x:v>
      </x:c>
    </x:row>
    <x:row r="9138">
      <x:c r="A9138" s="1" t="n">
        <x:v>73152</x:v>
      </x:c>
      <x:c r="B9138" s="5" t="d">
        <x:v>2017-12-03T00:00:00.000Z</x:v>
      </x:c>
      <x:c r="C9138" s="1" t="str">
        <x:v>Standard Class</x:v>
      </x:c>
      <x:c r="D9138" s="1" t="str">
        <x:v>Pacific Asia</x:v>
      </x:c>
      <x:c r="E9138" s="1" t="str">
        <x:v>COMPLETE</x:v>
      </x:c>
      <x:c r="F9138" s="1" t="str">
        <x:v>Advance shipping</x:v>
      </x:c>
      <x:c r="G9138" s="6" t="n">
        <x:v>3</x:v>
      </x:c>
      <x:c r="H9138" s="6" t="n">
        <x:v>4</x:v>
      </x:c>
      <x:c r="I9138" s="6" t="n">
        <x:f>G9138-H9138</x:f>
        <x:v>-1</x:v>
      </x:c>
      <x:c r="J9138" s="6" t="n">
        <x:f>IF(OR(E9138="CANCELED",E9138="SUSPECTED_FRAUD",F9138="Shipping canceled"),0,1)</x:f>
        <x:v>1</x:v>
      </x:c>
      <x:c r="K9138" s="6" t="n">
        <x:f>IF(G9138&gt;H9138,1,0)</x:f>
        <x:v>0</x:v>
      </x:c>
      <x:c r="L9138" s="6" t="n">
        <x:f>J9138*K9138</x:f>
        <x:v>0</x:v>
      </x:c>
    </x:row>
    <x:row r="9139">
      <x:c r="A9139" s="1" t="n">
        <x:v>73153</x:v>
      </x:c>
      <x:c r="B9139" s="5" t="d">
        <x:v>2017-12-03T00:00:00.000Z</x:v>
      </x:c>
      <x:c r="C9139" s="1" t="str">
        <x:v>Standard Class</x:v>
      </x:c>
      <x:c r="D9139" s="1" t="str">
        <x:v>Pacific Asia</x:v>
      </x:c>
      <x:c r="E9139" s="1" t="str">
        <x:v>ON_HOLD</x:v>
      </x:c>
      <x:c r="F9139" s="1" t="str">
        <x:v>Shipping on time</x:v>
      </x:c>
      <x:c r="G9139" s="6" t="n">
        <x:v>4</x:v>
      </x:c>
      <x:c r="H9139" s="6" t="n">
        <x:v>4</x:v>
      </x:c>
      <x:c r="I9139" s="6" t="n">
        <x:f>G9139-H9139</x:f>
        <x:v>0</x:v>
      </x:c>
      <x:c r="J9139" s="6" t="n">
        <x:f>IF(OR(E9139="CANCELED",E9139="SUSPECTED_FRAUD",F9139="Shipping canceled"),0,1)</x:f>
        <x:v>1</x:v>
      </x:c>
      <x:c r="K9139" s="6" t="n">
        <x:f>IF(G9139&gt;H9139,1,0)</x:f>
        <x:v>0</x:v>
      </x:c>
      <x:c r="L9139" s="6" t="n">
        <x:f>J9139*K9139</x:f>
        <x:v>0</x:v>
      </x:c>
    </x:row>
    <x:row r="9140">
      <x:c r="A9140" s="1" t="n">
        <x:v>73154</x:v>
      </x:c>
      <x:c r="B9140" s="5" t="d">
        <x:v>2017-12-03T00:00:00.000Z</x:v>
      </x:c>
      <x:c r="C9140" s="1" t="str">
        <x:v>Standard Class</x:v>
      </x:c>
      <x:c r="D9140" s="1" t="str">
        <x:v>Pacific Asia</x:v>
      </x:c>
      <x:c r="E9140" s="1" t="str">
        <x:v>ON_HOLD</x:v>
      </x:c>
      <x:c r="F9140" s="1" t="str">
        <x:v>Late delivery</x:v>
      </x:c>
      <x:c r="G9140" s="6" t="n">
        <x:v>5</x:v>
      </x:c>
      <x:c r="H9140" s="6" t="n">
        <x:v>4</x:v>
      </x:c>
      <x:c r="I9140" s="6" t="n">
        <x:f>G9140-H9140</x:f>
        <x:v>1</x:v>
      </x:c>
      <x:c r="J9140" s="6" t="n">
        <x:f>IF(OR(E9140="CANCELED",E9140="SUSPECTED_FRAUD",F9140="Shipping canceled"),0,1)</x:f>
        <x:v>1</x:v>
      </x:c>
      <x:c r="K9140" s="6" t="n">
        <x:f>IF(G9140&gt;H9140,1,0)</x:f>
        <x:v>1</x:v>
      </x:c>
      <x:c r="L9140" s="6" t="n">
        <x:f>J9140*K9140</x:f>
        <x:v>1</x:v>
      </x:c>
    </x:row>
    <x:row r="9141">
      <x:c r="A9141" s="1" t="n">
        <x:v>73155</x:v>
      </x:c>
      <x:c r="B9141" s="5" t="d">
        <x:v>2017-12-03T00:00:00.000Z</x:v>
      </x:c>
      <x:c r="C9141" s="1" t="str">
        <x:v>Standard Class</x:v>
      </x:c>
      <x:c r="D9141" s="1" t="str">
        <x:v>Pacific Asia</x:v>
      </x:c>
      <x:c r="E9141" s="1" t="str">
        <x:v>COMPLETE</x:v>
      </x:c>
      <x:c r="F9141" s="1" t="str">
        <x:v>Late delivery</x:v>
      </x:c>
      <x:c r="G9141" s="6" t="n">
        <x:v>6</x:v>
      </x:c>
      <x:c r="H9141" s="6" t="n">
        <x:v>4</x:v>
      </x:c>
      <x:c r="I9141" s="6" t="n">
        <x:f>G9141-H9141</x:f>
        <x:v>2</x:v>
      </x:c>
      <x:c r="J9141" s="6" t="n">
        <x:f>IF(OR(E9141="CANCELED",E9141="SUSPECTED_FRAUD",F9141="Shipping canceled"),0,1)</x:f>
        <x:v>1</x:v>
      </x:c>
      <x:c r="K9141" s="6" t="n">
        <x:f>IF(G9141&gt;H9141,1,0)</x:f>
        <x:v>1</x:v>
      </x:c>
      <x:c r="L9141" s="6" t="n">
        <x:f>J9141*K9141</x:f>
        <x:v>1</x:v>
      </x:c>
    </x:row>
    <x:row r="9142">
      <x:c r="A9142" s="1" t="n">
        <x:v>73156</x:v>
      </x:c>
      <x:c r="B9142" s="5" t="d">
        <x:v>2017-12-03T00:00:00.000Z</x:v>
      </x:c>
      <x:c r="C9142" s="1" t="str">
        <x:v>First Class</x:v>
      </x:c>
      <x:c r="D9142" s="1" t="str">
        <x:v>Pacific Asia</x:v>
      </x:c>
      <x:c r="E9142" s="1" t="str">
        <x:v>PENDING</x:v>
      </x:c>
      <x:c r="F9142" s="1" t="str">
        <x:v>Late delivery</x:v>
      </x:c>
      <x:c r="G9142" s="6" t="n">
        <x:v>2</x:v>
      </x:c>
      <x:c r="H9142" s="6" t="n">
        <x:v>1</x:v>
      </x:c>
      <x:c r="I9142" s="6" t="n">
        <x:f>G9142-H9142</x:f>
        <x:v>1</x:v>
      </x:c>
      <x:c r="J9142" s="6" t="n">
        <x:f>IF(OR(E9142="CANCELED",E9142="SUSPECTED_FRAUD",F9142="Shipping canceled"),0,1)</x:f>
        <x:v>1</x:v>
      </x:c>
      <x:c r="K9142" s="6" t="n">
        <x:f>IF(G9142&gt;H9142,1,0)</x:f>
        <x:v>1</x:v>
      </x:c>
      <x:c r="L9142" s="6" t="n">
        <x:f>J9142*K9142</x:f>
        <x:v>1</x:v>
      </x:c>
    </x:row>
    <x:row r="9143">
      <x:c r="A9143" s="1" t="n">
        <x:v>73157</x:v>
      </x:c>
      <x:c r="B9143" s="5" t="d">
        <x:v>2017-12-03T00:00:00.000Z</x:v>
      </x:c>
      <x:c r="C9143" s="1" t="str">
        <x:v>Standard Class</x:v>
      </x:c>
      <x:c r="D9143" s="1" t="str">
        <x:v>Pacific Asia</x:v>
      </x:c>
      <x:c r="E9143" s="1" t="str">
        <x:v>PROCESSING</x:v>
      </x:c>
      <x:c r="F9143" s="1" t="str">
        <x:v>Advance shipping</x:v>
      </x:c>
      <x:c r="G9143" s="6" t="n">
        <x:v>3</x:v>
      </x:c>
      <x:c r="H9143" s="6" t="n">
        <x:v>4</x:v>
      </x:c>
      <x:c r="I9143" s="6" t="n">
        <x:f>G9143-H9143</x:f>
        <x:v>-1</x:v>
      </x:c>
      <x:c r="J9143" s="6" t="n">
        <x:f>IF(OR(E9143="CANCELED",E9143="SUSPECTED_FRAUD",F9143="Shipping canceled"),0,1)</x:f>
        <x:v>1</x:v>
      </x:c>
      <x:c r="K9143" s="6" t="n">
        <x:f>IF(G9143&gt;H9143,1,0)</x:f>
        <x:v>0</x:v>
      </x:c>
      <x:c r="L9143" s="6" t="n">
        <x:f>J9143*K9143</x:f>
        <x:v>0</x:v>
      </x:c>
    </x:row>
    <x:row r="9144">
      <x:c r="A9144" s="1" t="n">
        <x:v>73158</x:v>
      </x:c>
      <x:c r="B9144" s="5" t="d">
        <x:v>2017-12-03T00:00:00.000Z</x:v>
      </x:c>
      <x:c r="C9144" s="1" t="str">
        <x:v>Standard Class</x:v>
      </x:c>
      <x:c r="D9144" s="1" t="str">
        <x:v>Pacific Asia</x:v>
      </x:c>
      <x:c r="E9144" s="1" t="str">
        <x:v>COMPLETE</x:v>
      </x:c>
      <x:c r="F9144" s="1" t="str">
        <x:v>Shipping on time</x:v>
      </x:c>
      <x:c r="G9144" s="6" t="n">
        <x:v>4</x:v>
      </x:c>
      <x:c r="H9144" s="6" t="n">
        <x:v>4</x:v>
      </x:c>
      <x:c r="I9144" s="6" t="n">
        <x:f>G9144-H9144</x:f>
        <x:v>0</x:v>
      </x:c>
      <x:c r="J9144" s="6" t="n">
        <x:f>IF(OR(E9144="CANCELED",E9144="SUSPECTED_FRAUD",F9144="Shipping canceled"),0,1)</x:f>
        <x:v>1</x:v>
      </x:c>
      <x:c r="K9144" s="6" t="n">
        <x:f>IF(G9144&gt;H9144,1,0)</x:f>
        <x:v>0</x:v>
      </x:c>
      <x:c r="L9144" s="6" t="n">
        <x:f>J9144*K9144</x:f>
        <x:v>0</x:v>
      </x:c>
    </x:row>
    <x:row r="9145">
      <x:c r="A9145" s="1" t="n">
        <x:v>73159</x:v>
      </x:c>
      <x:c r="B9145" s="5" t="d">
        <x:v>2017-12-03T00:00:00.000Z</x:v>
      </x:c>
      <x:c r="C9145" s="1" t="str">
        <x:v>Standard Class</x:v>
      </x:c>
      <x:c r="D9145" s="1" t="str">
        <x:v>Pacific Asia</x:v>
      </x:c>
      <x:c r="E9145" s="1" t="str">
        <x:v>COMPLETE</x:v>
      </x:c>
      <x:c r="F9145" s="1" t="str">
        <x:v>Late delivery</x:v>
      </x:c>
      <x:c r="G9145" s="6" t="n">
        <x:v>5</x:v>
      </x:c>
      <x:c r="H9145" s="6" t="n">
        <x:v>4</x:v>
      </x:c>
      <x:c r="I9145" s="6" t="n">
        <x:f>G9145-H9145</x:f>
        <x:v>1</x:v>
      </x:c>
      <x:c r="J9145" s="6" t="n">
        <x:f>IF(OR(E9145="CANCELED",E9145="SUSPECTED_FRAUD",F9145="Shipping canceled"),0,1)</x:f>
        <x:v>1</x:v>
      </x:c>
      <x:c r="K9145" s="6" t="n">
        <x:f>IF(G9145&gt;H9145,1,0)</x:f>
        <x:v>1</x:v>
      </x:c>
      <x:c r="L9145" s="6" t="n">
        <x:f>J9145*K9145</x:f>
        <x:v>1</x:v>
      </x:c>
    </x:row>
    <x:row r="9146">
      <x:c r="A9146" s="1" t="n">
        <x:v>73160</x:v>
      </x:c>
      <x:c r="B9146" s="5" t="d">
        <x:v>2017-12-03T00:00:00.000Z</x:v>
      </x:c>
      <x:c r="C9146" s="1" t="str">
        <x:v>Standard Class</x:v>
      </x:c>
      <x:c r="D9146" s="1" t="str">
        <x:v>Pacific Asia</x:v>
      </x:c>
      <x:c r="E9146" s="1" t="str">
        <x:v>CLOSED</x:v>
      </x:c>
      <x:c r="F9146" s="1" t="str">
        <x:v>Late delivery</x:v>
      </x:c>
      <x:c r="G9146" s="6" t="n">
        <x:v>6</x:v>
      </x:c>
      <x:c r="H9146" s="6" t="n">
        <x:v>4</x:v>
      </x:c>
      <x:c r="I9146" s="6" t="n">
        <x:f>G9146-H9146</x:f>
        <x:v>2</x:v>
      </x:c>
      <x:c r="J9146" s="6" t="n">
        <x:f>IF(OR(E9146="CANCELED",E9146="SUSPECTED_FRAUD",F9146="Shipping canceled"),0,1)</x:f>
        <x:v>1</x:v>
      </x:c>
      <x:c r="K9146" s="6" t="n">
        <x:f>IF(G9146&gt;H9146,1,0)</x:f>
        <x:v>1</x:v>
      </x:c>
      <x:c r="L9146" s="6" t="n">
        <x:f>J9146*K9146</x:f>
        <x:v>1</x:v>
      </x:c>
    </x:row>
    <x:row r="9147">
      <x:c r="A9147" s="1" t="n">
        <x:v>73161</x:v>
      </x:c>
      <x:c r="B9147" s="5" t="d">
        <x:v>2017-12-03T00:00:00.000Z</x:v>
      </x:c>
      <x:c r="C9147" s="1" t="str">
        <x:v>Standard Class</x:v>
      </x:c>
      <x:c r="D9147" s="1" t="str">
        <x:v>Pacific Asia</x:v>
      </x:c>
      <x:c r="E9147" s="1" t="str">
        <x:v>PENDING</x:v>
      </x:c>
      <x:c r="F9147" s="1" t="str">
        <x:v>Advance shipping</x:v>
      </x:c>
      <x:c r="G9147" s="6" t="n">
        <x:v>2</x:v>
      </x:c>
      <x:c r="H9147" s="6" t="n">
        <x:v>4</x:v>
      </x:c>
      <x:c r="I9147" s="6" t="n">
        <x:f>G9147-H9147</x:f>
        <x:v>-2</x:v>
      </x:c>
      <x:c r="J9147" s="6" t="n">
        <x:f>IF(OR(E9147="CANCELED",E9147="SUSPECTED_FRAUD",F9147="Shipping canceled"),0,1)</x:f>
        <x:v>1</x:v>
      </x:c>
      <x:c r="K9147" s="6" t="n">
        <x:f>IF(G9147&gt;H9147,1,0)</x:f>
        <x:v>0</x:v>
      </x:c>
      <x:c r="L9147" s="6" t="n">
        <x:f>J9147*K9147</x:f>
        <x:v>0</x:v>
      </x:c>
    </x:row>
    <x:row r="9148">
      <x:c r="A9148" s="1" t="n">
        <x:v>73162</x:v>
      </x:c>
      <x:c r="B9148" s="5" t="d">
        <x:v>2017-12-03T00:00:00.000Z</x:v>
      </x:c>
      <x:c r="C9148" s="1" t="str">
        <x:v>First Class</x:v>
      </x:c>
      <x:c r="D9148" s="1" t="str">
        <x:v>Pacific Asia</x:v>
      </x:c>
      <x:c r="E9148" s="1" t="str">
        <x:v>COMPLETE</x:v>
      </x:c>
      <x:c r="F9148" s="1" t="str">
        <x:v>Late delivery</x:v>
      </x:c>
      <x:c r="G9148" s="6" t="n">
        <x:v>2</x:v>
      </x:c>
      <x:c r="H9148" s="6" t="n">
        <x:v>1</x:v>
      </x:c>
      <x:c r="I9148" s="6" t="n">
        <x:f>G9148-H9148</x:f>
        <x:v>1</x:v>
      </x:c>
      <x:c r="J9148" s="6" t="n">
        <x:f>IF(OR(E9148="CANCELED",E9148="SUSPECTED_FRAUD",F9148="Shipping canceled"),0,1)</x:f>
        <x:v>1</x:v>
      </x:c>
      <x:c r="K9148" s="6" t="n">
        <x:f>IF(G9148&gt;H9148,1,0)</x:f>
        <x:v>1</x:v>
      </x:c>
      <x:c r="L9148" s="6" t="n">
        <x:f>J9148*K9148</x:f>
        <x:v>1</x:v>
      </x:c>
    </x:row>
    <x:row r="9149">
      <x:c r="A9149" s="1" t="n">
        <x:v>73163</x:v>
      </x:c>
      <x:c r="B9149" s="5" t="d">
        <x:v>2017-12-03T00:00:00.000Z</x:v>
      </x:c>
      <x:c r="C9149" s="1" t="str">
        <x:v>First Class</x:v>
      </x:c>
      <x:c r="D9149" s="1" t="str">
        <x:v>Pacific Asia</x:v>
      </x:c>
      <x:c r="E9149" s="1" t="str">
        <x:v>CLOSED</x:v>
      </x:c>
      <x:c r="F9149" s="1" t="str">
        <x:v>Late delivery</x:v>
      </x:c>
      <x:c r="G9149" s="6" t="n">
        <x:v>2</x:v>
      </x:c>
      <x:c r="H9149" s="6" t="n">
        <x:v>1</x:v>
      </x:c>
      <x:c r="I9149" s="6" t="n">
        <x:f>G9149-H9149</x:f>
        <x:v>1</x:v>
      </x:c>
      <x:c r="J9149" s="6" t="n">
        <x:f>IF(OR(E9149="CANCELED",E9149="SUSPECTED_FRAUD",F9149="Shipping canceled"),0,1)</x:f>
        <x:v>1</x:v>
      </x:c>
      <x:c r="K9149" s="6" t="n">
        <x:f>IF(G9149&gt;H9149,1,0)</x:f>
        <x:v>1</x:v>
      </x:c>
      <x:c r="L9149" s="6" t="n">
        <x:f>J9149*K9149</x:f>
        <x:v>1</x:v>
      </x:c>
    </x:row>
    <x:row r="9150">
      <x:c r="A9150" s="1" t="n">
        <x:v>73164</x:v>
      </x:c>
      <x:c r="B9150" s="5" t="d">
        <x:v>2017-12-04T00:00:00.000Z</x:v>
      </x:c>
      <x:c r="C9150" s="1" t="str">
        <x:v>Standard Class</x:v>
      </x:c>
      <x:c r="D9150" s="1" t="str">
        <x:v>Pacific Asia</x:v>
      </x:c>
      <x:c r="E9150" s="1" t="str">
        <x:v>COMPLETE</x:v>
      </x:c>
      <x:c r="F9150" s="1" t="str">
        <x:v>Late delivery</x:v>
      </x:c>
      <x:c r="G9150" s="6" t="n">
        <x:v>5</x:v>
      </x:c>
      <x:c r="H9150" s="6" t="n">
        <x:v>4</x:v>
      </x:c>
      <x:c r="I9150" s="6" t="n">
        <x:f>G9150-H9150</x:f>
        <x:v>1</x:v>
      </x:c>
      <x:c r="J9150" s="6" t="n">
        <x:f>IF(OR(E9150="CANCELED",E9150="SUSPECTED_FRAUD",F9150="Shipping canceled"),0,1)</x:f>
        <x:v>1</x:v>
      </x:c>
      <x:c r="K9150" s="6" t="n">
        <x:f>IF(G9150&gt;H9150,1,0)</x:f>
        <x:v>1</x:v>
      </x:c>
      <x:c r="L9150" s="6" t="n">
        <x:f>J9150*K9150</x:f>
        <x:v>1</x:v>
      </x:c>
    </x:row>
    <x:row r="9151">
      <x:c r="A9151" s="1" t="n">
        <x:v>73165</x:v>
      </x:c>
      <x:c r="B9151" s="5" t="d">
        <x:v>2017-12-04T00:00:00.000Z</x:v>
      </x:c>
      <x:c r="C9151" s="1" t="str">
        <x:v>Standard Class</x:v>
      </x:c>
      <x:c r="D9151" s="1" t="str">
        <x:v>Pacific Asia</x:v>
      </x:c>
      <x:c r="E9151" s="1" t="str">
        <x:v>PROCESSING</x:v>
      </x:c>
      <x:c r="F9151" s="1" t="str">
        <x:v>Late delivery</x:v>
      </x:c>
      <x:c r="G9151" s="6" t="n">
        <x:v>6</x:v>
      </x:c>
      <x:c r="H9151" s="6" t="n">
        <x:v>4</x:v>
      </x:c>
      <x:c r="I9151" s="6" t="n">
        <x:f>G9151-H9151</x:f>
        <x:v>2</x:v>
      </x:c>
      <x:c r="J9151" s="6" t="n">
        <x:f>IF(OR(E9151="CANCELED",E9151="SUSPECTED_FRAUD",F9151="Shipping canceled"),0,1)</x:f>
        <x:v>1</x:v>
      </x:c>
      <x:c r="K9151" s="6" t="n">
        <x:f>IF(G9151&gt;H9151,1,0)</x:f>
        <x:v>1</x:v>
      </x:c>
      <x:c r="L9151" s="6" t="n">
        <x:f>J9151*K9151</x:f>
        <x:v>1</x:v>
      </x:c>
    </x:row>
    <x:row r="9152">
      <x:c r="A9152" s="1" t="n">
        <x:v>73166</x:v>
      </x:c>
      <x:c r="B9152" s="5" t="d">
        <x:v>2017-12-04T00:00:00.000Z</x:v>
      </x:c>
      <x:c r="C9152" s="1" t="str">
        <x:v>Standard Class</x:v>
      </x:c>
      <x:c r="D9152" s="1" t="str">
        <x:v>Pacific Asia</x:v>
      </x:c>
      <x:c r="E9152" s="1" t="str">
        <x:v>CLOSED</x:v>
      </x:c>
      <x:c r="F9152" s="1" t="str">
        <x:v>Advance shipping</x:v>
      </x:c>
      <x:c r="G9152" s="6" t="n">
        <x:v>2</x:v>
      </x:c>
      <x:c r="H9152" s="6" t="n">
        <x:v>4</x:v>
      </x:c>
      <x:c r="I9152" s="6" t="n">
        <x:f>G9152-H9152</x:f>
        <x:v>-2</x:v>
      </x:c>
      <x:c r="J9152" s="6" t="n">
        <x:f>IF(OR(E9152="CANCELED",E9152="SUSPECTED_FRAUD",F9152="Shipping canceled"),0,1)</x:f>
        <x:v>1</x:v>
      </x:c>
      <x:c r="K9152" s="6" t="n">
        <x:f>IF(G9152&gt;H9152,1,0)</x:f>
        <x:v>0</x:v>
      </x:c>
      <x:c r="L9152" s="6" t="n">
        <x:f>J9152*K9152</x:f>
        <x:v>0</x:v>
      </x:c>
    </x:row>
    <x:row r="9153">
      <x:c r="A9153" s="1" t="n">
        <x:v>73167</x:v>
      </x:c>
      <x:c r="B9153" s="5" t="d">
        <x:v>2017-12-04T00:00:00.000Z</x:v>
      </x:c>
      <x:c r="C9153" s="1" t="str">
        <x:v>Standard Class</x:v>
      </x:c>
      <x:c r="D9153" s="1" t="str">
        <x:v>Pacific Asia</x:v>
      </x:c>
      <x:c r="E9153" s="1" t="str">
        <x:v>COMPLETE</x:v>
      </x:c>
      <x:c r="F9153" s="1" t="str">
        <x:v>Advance shipping</x:v>
      </x:c>
      <x:c r="G9153" s="6" t="n">
        <x:v>3</x:v>
      </x:c>
      <x:c r="H9153" s="6" t="n">
        <x:v>4</x:v>
      </x:c>
      <x:c r="I9153" s="6" t="n">
        <x:f>G9153-H9153</x:f>
        <x:v>-1</x:v>
      </x:c>
      <x:c r="J9153" s="6" t="n">
        <x:f>IF(OR(E9153="CANCELED",E9153="SUSPECTED_FRAUD",F9153="Shipping canceled"),0,1)</x:f>
        <x:v>1</x:v>
      </x:c>
      <x:c r="K9153" s="6" t="n">
        <x:f>IF(G9153&gt;H9153,1,0)</x:f>
        <x:v>0</x:v>
      </x:c>
      <x:c r="L9153" s="6" t="n">
        <x:f>J9153*K9153</x:f>
        <x:v>0</x:v>
      </x:c>
    </x:row>
    <x:row r="9154">
      <x:c r="A9154" s="1" t="n">
        <x:v>73168</x:v>
      </x:c>
      <x:c r="B9154" s="5" t="d">
        <x:v>2017-12-04T00:00:00.000Z</x:v>
      </x:c>
      <x:c r="C9154" s="1" t="str">
        <x:v>First Class</x:v>
      </x:c>
      <x:c r="D9154" s="1" t="str">
        <x:v>Pacific Asia</x:v>
      </x:c>
      <x:c r="E9154" s="1" t="str">
        <x:v>CANCELED</x:v>
      </x:c>
      <x:c r="F9154" s="1" t="str">
        <x:v>Shipping canceled</x:v>
      </x:c>
      <x:c r="G9154" s="6" t="n">
        <x:v>2</x:v>
      </x:c>
      <x:c r="H9154" s="6" t="n">
        <x:v>1</x:v>
      </x:c>
      <x:c r="I9154" s="6" t="n">
        <x:f>G9154-H9154</x:f>
        <x:v>1</x:v>
      </x:c>
      <x:c r="J9154" s="6" t="n">
        <x:f>IF(OR(E9154="CANCELED",E9154="SUSPECTED_FRAUD",F9154="Shipping canceled"),0,1)</x:f>
        <x:v>0</x:v>
      </x:c>
      <x:c r="K9154" s="6" t="n">
        <x:f>IF(G9154&gt;H9154,1,0)</x:f>
        <x:v>1</x:v>
      </x:c>
      <x:c r="L9154" s="6" t="n">
        <x:f>J9154*K9154</x:f>
        <x:v>0</x:v>
      </x:c>
    </x:row>
    <x:row r="9155">
      <x:c r="A9155" s="1" t="n">
        <x:v>73169</x:v>
      </x:c>
      <x:c r="B9155" s="5" t="d">
        <x:v>2017-12-04T00:00:00.000Z</x:v>
      </x:c>
      <x:c r="C9155" s="1" t="str">
        <x:v>First Class</x:v>
      </x:c>
      <x:c r="D9155" s="1" t="str">
        <x:v>Pacific Asia</x:v>
      </x:c>
      <x:c r="E9155" s="1" t="str">
        <x:v>PENDING_PAYMENT</x:v>
      </x:c>
      <x:c r="F9155" s="1" t="str">
        <x:v>Late delivery</x:v>
      </x:c>
      <x:c r="G9155" s="6" t="n">
        <x:v>2</x:v>
      </x:c>
      <x:c r="H9155" s="6" t="n">
        <x:v>1</x:v>
      </x:c>
      <x:c r="I9155" s="6" t="n">
        <x:f>G9155-H9155</x:f>
        <x:v>1</x:v>
      </x:c>
      <x:c r="J9155" s="6" t="n">
        <x:f>IF(OR(E9155="CANCELED",E9155="SUSPECTED_FRAUD",F9155="Shipping canceled"),0,1)</x:f>
        <x:v>1</x:v>
      </x:c>
      <x:c r="K9155" s="6" t="n">
        <x:f>IF(G9155&gt;H9155,1,0)</x:f>
        <x:v>1</x:v>
      </x:c>
      <x:c r="L9155" s="6" t="n">
        <x:f>J9155*K9155</x:f>
        <x:v>1</x:v>
      </x:c>
    </x:row>
    <x:row r="9156">
      <x:c r="A9156" s="1" t="n">
        <x:v>73170</x:v>
      </x:c>
      <x:c r="B9156" s="5" t="d">
        <x:v>2017-12-04T00:00:00.000Z</x:v>
      </x:c>
      <x:c r="C9156" s="1" t="str">
        <x:v>First Class</x:v>
      </x:c>
      <x:c r="D9156" s="1" t="str">
        <x:v>Pacific Asia</x:v>
      </x:c>
      <x:c r="E9156" s="1" t="str">
        <x:v>PENDING_PAYMENT</x:v>
      </x:c>
      <x:c r="F9156" s="1" t="str">
        <x:v>Late delivery</x:v>
      </x:c>
      <x:c r="G9156" s="6" t="n">
        <x:v>2</x:v>
      </x:c>
      <x:c r="H9156" s="6" t="n">
        <x:v>1</x:v>
      </x:c>
      <x:c r="I9156" s="6" t="n">
        <x:f>G9156-H9156</x:f>
        <x:v>1</x:v>
      </x:c>
      <x:c r="J9156" s="6" t="n">
        <x:f>IF(OR(E9156="CANCELED",E9156="SUSPECTED_FRAUD",F9156="Shipping canceled"),0,1)</x:f>
        <x:v>1</x:v>
      </x:c>
      <x:c r="K9156" s="6" t="n">
        <x:f>IF(G9156&gt;H9156,1,0)</x:f>
        <x:v>1</x:v>
      </x:c>
      <x:c r="L9156" s="6" t="n">
        <x:f>J9156*K9156</x:f>
        <x:v>1</x:v>
      </x:c>
    </x:row>
    <x:row r="9157">
      <x:c r="A9157" s="1" t="n">
        <x:v>73171</x:v>
      </x:c>
      <x:c r="B9157" s="5" t="d">
        <x:v>2017-12-04T00:00:00.000Z</x:v>
      </x:c>
      <x:c r="C9157" s="1" t="str">
        <x:v>Standard Class</x:v>
      </x:c>
      <x:c r="D9157" s="1" t="str">
        <x:v>Pacific Asia</x:v>
      </x:c>
      <x:c r="E9157" s="1" t="str">
        <x:v>COMPLETE</x:v>
      </x:c>
      <x:c r="F9157" s="1" t="str">
        <x:v>Advance shipping</x:v>
      </x:c>
      <x:c r="G9157" s="6" t="n">
        <x:v>2</x:v>
      </x:c>
      <x:c r="H9157" s="6" t="n">
        <x:v>4</x:v>
      </x:c>
      <x:c r="I9157" s="6" t="n">
        <x:f>G9157-H9157</x:f>
        <x:v>-2</x:v>
      </x:c>
      <x:c r="J9157" s="6" t="n">
        <x:f>IF(OR(E9157="CANCELED",E9157="SUSPECTED_FRAUD",F9157="Shipping canceled"),0,1)</x:f>
        <x:v>1</x:v>
      </x:c>
      <x:c r="K9157" s="6" t="n">
        <x:f>IF(G9157&gt;H9157,1,0)</x:f>
        <x:v>0</x:v>
      </x:c>
      <x:c r="L9157" s="6" t="n">
        <x:f>J9157*K9157</x:f>
        <x:v>0</x:v>
      </x:c>
    </x:row>
    <x:row r="9158">
      <x:c r="A9158" s="1" t="n">
        <x:v>73172</x:v>
      </x:c>
      <x:c r="B9158" s="5" t="d">
        <x:v>2017-12-04T00:00:00.000Z</x:v>
      </x:c>
      <x:c r="C9158" s="1" t="str">
        <x:v>Standard Class</x:v>
      </x:c>
      <x:c r="D9158" s="1" t="str">
        <x:v>Pacific Asia</x:v>
      </x:c>
      <x:c r="E9158" s="1" t="str">
        <x:v>CLOSED</x:v>
      </x:c>
      <x:c r="F9158" s="1" t="str">
        <x:v>Advance shipping</x:v>
      </x:c>
      <x:c r="G9158" s="6" t="n">
        <x:v>3</x:v>
      </x:c>
      <x:c r="H9158" s="6" t="n">
        <x:v>4</x:v>
      </x:c>
      <x:c r="I9158" s="6" t="n">
        <x:f>G9158-H9158</x:f>
        <x:v>-1</x:v>
      </x:c>
      <x:c r="J9158" s="6" t="n">
        <x:f>IF(OR(E9158="CANCELED",E9158="SUSPECTED_FRAUD",F9158="Shipping canceled"),0,1)</x:f>
        <x:v>1</x:v>
      </x:c>
      <x:c r="K9158" s="6" t="n">
        <x:f>IF(G9158&gt;H9158,1,0)</x:f>
        <x:v>0</x:v>
      </x:c>
      <x:c r="L9158" s="6" t="n">
        <x:f>J9158*K9158</x:f>
        <x:v>0</x:v>
      </x:c>
    </x:row>
    <x:row r="9159">
      <x:c r="A9159" s="1" t="n">
        <x:v>73173</x:v>
      </x:c>
      <x:c r="B9159" s="5" t="d">
        <x:v>2017-12-04T00:00:00.000Z</x:v>
      </x:c>
      <x:c r="C9159" s="1" t="str">
        <x:v>Standard Class</x:v>
      </x:c>
      <x:c r="D9159" s="1" t="str">
        <x:v>Pacific Asia</x:v>
      </x:c>
      <x:c r="E9159" s="1" t="str">
        <x:v>ON_HOLD</x:v>
      </x:c>
      <x:c r="F9159" s="1" t="str">
        <x:v>Shipping on time</x:v>
      </x:c>
      <x:c r="G9159" s="6" t="n">
        <x:v>4</x:v>
      </x:c>
      <x:c r="H9159" s="6" t="n">
        <x:v>4</x:v>
      </x:c>
      <x:c r="I9159" s="6" t="n">
        <x:f>G9159-H9159</x:f>
        <x:v>0</x:v>
      </x:c>
      <x:c r="J9159" s="6" t="n">
        <x:f>IF(OR(E9159="CANCELED",E9159="SUSPECTED_FRAUD",F9159="Shipping canceled"),0,1)</x:f>
        <x:v>1</x:v>
      </x:c>
      <x:c r="K9159" s="6" t="n">
        <x:f>IF(G9159&gt;H9159,1,0)</x:f>
        <x:v>0</x:v>
      </x:c>
      <x:c r="L9159" s="6" t="n">
        <x:f>J9159*K9159</x:f>
        <x:v>0</x:v>
      </x:c>
    </x:row>
    <x:row r="9160">
      <x:c r="A9160" s="1" t="n">
        <x:v>73174</x:v>
      </x:c>
      <x:c r="B9160" s="5" t="d">
        <x:v>2017-12-04T00:00:00.000Z</x:v>
      </x:c>
      <x:c r="C9160" s="1" t="str">
        <x:v>Standard Class</x:v>
      </x:c>
      <x:c r="D9160" s="1" t="str">
        <x:v>Pacific Asia</x:v>
      </x:c>
      <x:c r="E9160" s="1" t="str">
        <x:v>SUSPECTED_FRAUD</x:v>
      </x:c>
      <x:c r="F9160" s="1" t="str">
        <x:v>Shipping canceled</x:v>
      </x:c>
      <x:c r="G9160" s="6" t="n">
        <x:v>5</x:v>
      </x:c>
      <x:c r="H9160" s="6" t="n">
        <x:v>4</x:v>
      </x:c>
      <x:c r="I9160" s="6" t="n">
        <x:f>G9160-H9160</x:f>
        <x:v>1</x:v>
      </x:c>
      <x:c r="J9160" s="6" t="n">
        <x:f>IF(OR(E9160="CANCELED",E9160="SUSPECTED_FRAUD",F9160="Shipping canceled"),0,1)</x:f>
        <x:v>0</x:v>
      </x:c>
      <x:c r="K9160" s="6" t="n">
        <x:f>IF(G9160&gt;H9160,1,0)</x:f>
        <x:v>1</x:v>
      </x:c>
      <x:c r="L9160" s="6" t="n">
        <x:f>J9160*K9160</x:f>
        <x:v>0</x:v>
      </x:c>
    </x:row>
    <x:row r="9161">
      <x:c r="A9161" s="1" t="n">
        <x:v>73175</x:v>
      </x:c>
      <x:c r="B9161" s="5" t="d">
        <x:v>2017-12-04T00:00:00.000Z</x:v>
      </x:c>
      <x:c r="C9161" s="1" t="str">
        <x:v>Standard Class</x:v>
      </x:c>
      <x:c r="D9161" s="1" t="str">
        <x:v>Pacific Asia</x:v>
      </x:c>
      <x:c r="E9161" s="1" t="str">
        <x:v>PROCESSING</x:v>
      </x:c>
      <x:c r="F9161" s="1" t="str">
        <x:v>Late delivery</x:v>
      </x:c>
      <x:c r="G9161" s="6" t="n">
        <x:v>6</x:v>
      </x:c>
      <x:c r="H9161" s="6" t="n">
        <x:v>4</x:v>
      </x:c>
      <x:c r="I9161" s="6" t="n">
        <x:f>G9161-H9161</x:f>
        <x:v>2</x:v>
      </x:c>
      <x:c r="J9161" s="6" t="n">
        <x:f>IF(OR(E9161="CANCELED",E9161="SUSPECTED_FRAUD",F9161="Shipping canceled"),0,1)</x:f>
        <x:v>1</x:v>
      </x:c>
      <x:c r="K9161" s="6" t="n">
        <x:f>IF(G9161&gt;H9161,1,0)</x:f>
        <x:v>1</x:v>
      </x:c>
      <x:c r="L9161" s="6" t="n">
        <x:f>J9161*K9161</x:f>
        <x:v>1</x:v>
      </x:c>
    </x:row>
    <x:row r="9162">
      <x:c r="A9162" s="1" t="n">
        <x:v>73176</x:v>
      </x:c>
      <x:c r="B9162" s="5" t="d">
        <x:v>2017-12-04T00:00:00.000Z</x:v>
      </x:c>
      <x:c r="C9162" s="1" t="str">
        <x:v>Standard Class</x:v>
      </x:c>
      <x:c r="D9162" s="1" t="str">
        <x:v>Pacific Asia</x:v>
      </x:c>
      <x:c r="E9162" s="1" t="str">
        <x:v>PAYMENT_REVIEW</x:v>
      </x:c>
      <x:c r="F9162" s="1" t="str">
        <x:v>Advance shipping</x:v>
      </x:c>
      <x:c r="G9162" s="6" t="n">
        <x:v>2</x:v>
      </x:c>
      <x:c r="H9162" s="6" t="n">
        <x:v>4</x:v>
      </x:c>
      <x:c r="I9162" s="6" t="n">
        <x:f>G9162-H9162</x:f>
        <x:v>-2</x:v>
      </x:c>
      <x:c r="J9162" s="6" t="n">
        <x:f>IF(OR(E9162="CANCELED",E9162="SUSPECTED_FRAUD",F9162="Shipping canceled"),0,1)</x:f>
        <x:v>1</x:v>
      </x:c>
      <x:c r="K9162" s="6" t="n">
        <x:f>IF(G9162&gt;H9162,1,0)</x:f>
        <x:v>0</x:v>
      </x:c>
      <x:c r="L9162" s="6" t="n">
        <x:f>J9162*K9162</x:f>
        <x:v>0</x:v>
      </x:c>
    </x:row>
    <x:row r="9163">
      <x:c r="A9163" s="1" t="n">
        <x:v>73177</x:v>
      </x:c>
      <x:c r="B9163" s="5" t="d">
        <x:v>2017-12-04T00:00:00.000Z</x:v>
      </x:c>
      <x:c r="C9163" s="1" t="str">
        <x:v>Standard Class</x:v>
      </x:c>
      <x:c r="D9163" s="1" t="str">
        <x:v>Pacific Asia</x:v>
      </x:c>
      <x:c r="E9163" s="1" t="str">
        <x:v>CLOSED</x:v>
      </x:c>
      <x:c r="F9163" s="1" t="str">
        <x:v>Advance shipping</x:v>
      </x:c>
      <x:c r="G9163" s="6" t="n">
        <x:v>3</x:v>
      </x:c>
      <x:c r="H9163" s="6" t="n">
        <x:v>4</x:v>
      </x:c>
      <x:c r="I9163" s="6" t="n">
        <x:f>G9163-H9163</x:f>
        <x:v>-1</x:v>
      </x:c>
      <x:c r="J9163" s="6" t="n">
        <x:f>IF(OR(E9163="CANCELED",E9163="SUSPECTED_FRAUD",F9163="Shipping canceled"),0,1)</x:f>
        <x:v>1</x:v>
      </x:c>
      <x:c r="K9163" s="6" t="n">
        <x:f>IF(G9163&gt;H9163,1,0)</x:f>
        <x:v>0</x:v>
      </x:c>
      <x:c r="L9163" s="6" t="n">
        <x:f>J9163*K9163</x:f>
        <x:v>0</x:v>
      </x:c>
    </x:row>
    <x:row r="9164">
      <x:c r="A9164" s="1" t="n">
        <x:v>73178</x:v>
      </x:c>
      <x:c r="B9164" s="5" t="d">
        <x:v>2017-12-04T00:00:00.000Z</x:v>
      </x:c>
      <x:c r="C9164" s="1" t="str">
        <x:v>Standard Class</x:v>
      </x:c>
      <x:c r="D9164" s="1" t="str">
        <x:v>Pacific Asia</x:v>
      </x:c>
      <x:c r="E9164" s="1" t="str">
        <x:v>COMPLETE</x:v>
      </x:c>
      <x:c r="F9164" s="1" t="str">
        <x:v>Shipping on time</x:v>
      </x:c>
      <x:c r="G9164" s="6" t="n">
        <x:v>4</x:v>
      </x:c>
      <x:c r="H9164" s="6" t="n">
        <x:v>4</x:v>
      </x:c>
      <x:c r="I9164" s="6" t="n">
        <x:f>G9164-H9164</x:f>
        <x:v>0</x:v>
      </x:c>
      <x:c r="J9164" s="6" t="n">
        <x:f>IF(OR(E9164="CANCELED",E9164="SUSPECTED_FRAUD",F9164="Shipping canceled"),0,1)</x:f>
        <x:v>1</x:v>
      </x:c>
      <x:c r="K9164" s="6" t="n">
        <x:f>IF(G9164&gt;H9164,1,0)</x:f>
        <x:v>0</x:v>
      </x:c>
      <x:c r="L9164" s="6" t="n">
        <x:f>J9164*K9164</x:f>
        <x:v>0</x:v>
      </x:c>
    </x:row>
    <x:row r="9165">
      <x:c r="A9165" s="1" t="n">
        <x:v>73179</x:v>
      </x:c>
      <x:c r="B9165" s="5" t="d">
        <x:v>2017-12-04T00:00:00.000Z</x:v>
      </x:c>
      <x:c r="C9165" s="1" t="str">
        <x:v>Standard Class</x:v>
      </x:c>
      <x:c r="D9165" s="1" t="str">
        <x:v>Pacific Asia</x:v>
      </x:c>
      <x:c r="E9165" s="1" t="str">
        <x:v>PROCESSING</x:v>
      </x:c>
      <x:c r="F9165" s="1" t="str">
        <x:v>Late delivery</x:v>
      </x:c>
      <x:c r="G9165" s="6" t="n">
        <x:v>5</x:v>
      </x:c>
      <x:c r="H9165" s="6" t="n">
        <x:v>4</x:v>
      </x:c>
      <x:c r="I9165" s="6" t="n">
        <x:f>G9165-H9165</x:f>
        <x:v>1</x:v>
      </x:c>
      <x:c r="J9165" s="6" t="n">
        <x:f>IF(OR(E9165="CANCELED",E9165="SUSPECTED_FRAUD",F9165="Shipping canceled"),0,1)</x:f>
        <x:v>1</x:v>
      </x:c>
      <x:c r="K9165" s="6" t="n">
        <x:f>IF(G9165&gt;H9165,1,0)</x:f>
        <x:v>1</x:v>
      </x:c>
      <x:c r="L9165" s="6" t="n">
        <x:f>J9165*K9165</x:f>
        <x:v>1</x:v>
      </x:c>
    </x:row>
    <x:row r="9166">
      <x:c r="A9166" s="1" t="n">
        <x:v>73180</x:v>
      </x:c>
      <x:c r="B9166" s="5" t="d">
        <x:v>2017-12-04T00:00:00.000Z</x:v>
      </x:c>
      <x:c r="C9166" s="1" t="str">
        <x:v>Standard Class</x:v>
      </x:c>
      <x:c r="D9166" s="1" t="str">
        <x:v>Pacific Asia</x:v>
      </x:c>
      <x:c r="E9166" s="1" t="str">
        <x:v>COMPLETE</x:v>
      </x:c>
      <x:c r="F9166" s="1" t="str">
        <x:v>Late delivery</x:v>
      </x:c>
      <x:c r="G9166" s="6" t="n">
        <x:v>6</x:v>
      </x:c>
      <x:c r="H9166" s="6" t="n">
        <x:v>4</x:v>
      </x:c>
      <x:c r="I9166" s="6" t="n">
        <x:f>G9166-H9166</x:f>
        <x:v>2</x:v>
      </x:c>
      <x:c r="J9166" s="6" t="n">
        <x:f>IF(OR(E9166="CANCELED",E9166="SUSPECTED_FRAUD",F9166="Shipping canceled"),0,1)</x:f>
        <x:v>1</x:v>
      </x:c>
      <x:c r="K9166" s="6" t="n">
        <x:f>IF(G9166&gt;H9166,1,0)</x:f>
        <x:v>1</x:v>
      </x:c>
      <x:c r="L9166" s="6" t="n">
        <x:f>J9166*K9166</x:f>
        <x:v>1</x:v>
      </x:c>
    </x:row>
    <x:row r="9167">
      <x:c r="A9167" s="1" t="n">
        <x:v>73181</x:v>
      </x:c>
      <x:c r="B9167" s="5" t="d">
        <x:v>2017-12-04T00:00:00.000Z</x:v>
      </x:c>
      <x:c r="C9167" s="1" t="str">
        <x:v>Standard Class</x:v>
      </x:c>
      <x:c r="D9167" s="1" t="str">
        <x:v>Pacific Asia</x:v>
      </x:c>
      <x:c r="E9167" s="1" t="str">
        <x:v>CLOSED</x:v>
      </x:c>
      <x:c r="F9167" s="1" t="str">
        <x:v>Advance shipping</x:v>
      </x:c>
      <x:c r="G9167" s="6" t="n">
        <x:v>2</x:v>
      </x:c>
      <x:c r="H9167" s="6" t="n">
        <x:v>4</x:v>
      </x:c>
      <x:c r="I9167" s="6" t="n">
        <x:f>G9167-H9167</x:f>
        <x:v>-2</x:v>
      </x:c>
      <x:c r="J9167" s="6" t="n">
        <x:f>IF(OR(E9167="CANCELED",E9167="SUSPECTED_FRAUD",F9167="Shipping canceled"),0,1)</x:f>
        <x:v>1</x:v>
      </x:c>
      <x:c r="K9167" s="6" t="n">
        <x:f>IF(G9167&gt;H9167,1,0)</x:f>
        <x:v>0</x:v>
      </x:c>
      <x:c r="L9167" s="6" t="n">
        <x:f>J9167*K9167</x:f>
        <x:v>0</x:v>
      </x:c>
    </x:row>
    <x:row r="9168">
      <x:c r="A9168" s="1" t="n">
        <x:v>73182</x:v>
      </x:c>
      <x:c r="B9168" s="5" t="d">
        <x:v>2017-12-04T00:00:00.000Z</x:v>
      </x:c>
      <x:c r="C9168" s="1" t="str">
        <x:v>Same Day</x:v>
      </x:c>
      <x:c r="D9168" s="1" t="str">
        <x:v>Pacific Asia</x:v>
      </x:c>
      <x:c r="E9168" s="1" t="str">
        <x:v>COMPLETE</x:v>
      </x:c>
      <x:c r="F9168" s="1" t="str">
        <x:v>Shipping on time</x:v>
      </x:c>
      <x:c r="G9168" s="6" t="n">
        <x:v>0</x:v>
      </x:c>
      <x:c r="H9168" s="6" t="n">
        <x:v>0</x:v>
      </x:c>
      <x:c r="I9168" s="6" t="n">
        <x:f>G9168-H9168</x:f>
        <x:v>0</x:v>
      </x:c>
      <x:c r="J9168" s="6" t="n">
        <x:f>IF(OR(E9168="CANCELED",E9168="SUSPECTED_FRAUD",F9168="Shipping canceled"),0,1)</x:f>
        <x:v>1</x:v>
      </x:c>
      <x:c r="K9168" s="6" t="n">
        <x:f>IF(G9168&gt;H9168,1,0)</x:f>
        <x:v>0</x:v>
      </x:c>
      <x:c r="L9168" s="6" t="n">
        <x:f>J9168*K9168</x:f>
        <x:v>0</x:v>
      </x:c>
    </x:row>
    <x:row r="9169">
      <x:c r="A9169" s="1" t="n">
        <x:v>73183</x:v>
      </x:c>
      <x:c r="B9169" s="5" t="d">
        <x:v>2017-12-04T00:00:00.000Z</x:v>
      </x:c>
      <x:c r="C9169" s="1" t="str">
        <x:v>Standard Class</x:v>
      </x:c>
      <x:c r="D9169" s="1" t="str">
        <x:v>Pacific Asia</x:v>
      </x:c>
      <x:c r="E9169" s="1" t="str">
        <x:v>PENDING_PAYMENT</x:v>
      </x:c>
      <x:c r="F9169" s="1" t="str">
        <x:v>Shipping on time</x:v>
      </x:c>
      <x:c r="G9169" s="6" t="n">
        <x:v>4</x:v>
      </x:c>
      <x:c r="H9169" s="6" t="n">
        <x:v>4</x:v>
      </x:c>
      <x:c r="I9169" s="6" t="n">
        <x:f>G9169-H9169</x:f>
        <x:v>0</x:v>
      </x:c>
      <x:c r="J9169" s="6" t="n">
        <x:f>IF(OR(E9169="CANCELED",E9169="SUSPECTED_FRAUD",F9169="Shipping canceled"),0,1)</x:f>
        <x:v>1</x:v>
      </x:c>
      <x:c r="K9169" s="6" t="n">
        <x:f>IF(G9169&gt;H9169,1,0)</x:f>
        <x:v>0</x:v>
      </x:c>
      <x:c r="L9169" s="6" t="n">
        <x:f>J9169*K9169</x:f>
        <x:v>0</x:v>
      </x:c>
    </x:row>
    <x:row r="9170">
      <x:c r="A9170" s="1" t="n">
        <x:v>73184</x:v>
      </x:c>
      <x:c r="B9170" s="5" t="d">
        <x:v>2017-12-04T00:00:00.000Z</x:v>
      </x:c>
      <x:c r="C9170" s="1" t="str">
        <x:v>Standard Class</x:v>
      </x:c>
      <x:c r="D9170" s="1" t="str">
        <x:v>Pacific Asia</x:v>
      </x:c>
      <x:c r="E9170" s="1" t="str">
        <x:v>COMPLETE</x:v>
      </x:c>
      <x:c r="F9170" s="1" t="str">
        <x:v>Late delivery</x:v>
      </x:c>
      <x:c r="G9170" s="6" t="n">
        <x:v>5</x:v>
      </x:c>
      <x:c r="H9170" s="6" t="n">
        <x:v>4</x:v>
      </x:c>
      <x:c r="I9170" s="6" t="n">
        <x:f>G9170-H9170</x:f>
        <x:v>1</x:v>
      </x:c>
      <x:c r="J9170" s="6" t="n">
        <x:f>IF(OR(E9170="CANCELED",E9170="SUSPECTED_FRAUD",F9170="Shipping canceled"),0,1)</x:f>
        <x:v>1</x:v>
      </x:c>
      <x:c r="K9170" s="6" t="n">
        <x:f>IF(G9170&gt;H9170,1,0)</x:f>
        <x:v>1</x:v>
      </x:c>
      <x:c r="L9170" s="6" t="n">
        <x:f>J9170*K9170</x:f>
        <x:v>1</x:v>
      </x:c>
    </x:row>
    <x:row r="9171">
      <x:c r="A9171" s="1" t="n">
        <x:v>73185</x:v>
      </x:c>
      <x:c r="B9171" s="5" t="d">
        <x:v>2017-12-04T00:00:00.000Z</x:v>
      </x:c>
      <x:c r="C9171" s="1" t="str">
        <x:v>Standard Class</x:v>
      </x:c>
      <x:c r="D9171" s="1" t="str">
        <x:v>Pacific Asia</x:v>
      </x:c>
      <x:c r="E9171" s="1" t="str">
        <x:v>PROCESSING</x:v>
      </x:c>
      <x:c r="F9171" s="1" t="str">
        <x:v>Late delivery</x:v>
      </x:c>
      <x:c r="G9171" s="6" t="n">
        <x:v>6</x:v>
      </x:c>
      <x:c r="H9171" s="6" t="n">
        <x:v>4</x:v>
      </x:c>
      <x:c r="I9171" s="6" t="n">
        <x:f>G9171-H9171</x:f>
        <x:v>2</x:v>
      </x:c>
      <x:c r="J9171" s="6" t="n">
        <x:f>IF(OR(E9171="CANCELED",E9171="SUSPECTED_FRAUD",F9171="Shipping canceled"),0,1)</x:f>
        <x:v>1</x:v>
      </x:c>
      <x:c r="K9171" s="6" t="n">
        <x:f>IF(G9171&gt;H9171,1,0)</x:f>
        <x:v>1</x:v>
      </x:c>
      <x:c r="L9171" s="6" t="n">
        <x:f>J9171*K9171</x:f>
        <x:v>1</x:v>
      </x:c>
    </x:row>
    <x:row r="9172">
      <x:c r="A9172" s="1" t="n">
        <x:v>73186</x:v>
      </x:c>
      <x:c r="B9172" s="5" t="d">
        <x:v>2017-12-04T00:00:00.000Z</x:v>
      </x:c>
      <x:c r="C9172" s="1" t="str">
        <x:v>Standard Class</x:v>
      </x:c>
      <x:c r="D9172" s="1" t="str">
        <x:v>Pacific Asia</x:v>
      </x:c>
      <x:c r="E9172" s="1" t="str">
        <x:v>SUSPECTED_FRAUD</x:v>
      </x:c>
      <x:c r="F9172" s="1" t="str">
        <x:v>Shipping canceled</x:v>
      </x:c>
      <x:c r="G9172" s="6" t="n">
        <x:v>2</x:v>
      </x:c>
      <x:c r="H9172" s="6" t="n">
        <x:v>4</x:v>
      </x:c>
      <x:c r="I9172" s="6" t="n">
        <x:f>G9172-H9172</x:f>
        <x:v>-2</x:v>
      </x:c>
      <x:c r="J9172" s="6" t="n">
        <x:f>IF(OR(E9172="CANCELED",E9172="SUSPECTED_FRAUD",F9172="Shipping canceled"),0,1)</x:f>
        <x:v>0</x:v>
      </x:c>
      <x:c r="K9172" s="6" t="n">
        <x:f>IF(G9172&gt;H9172,1,0)</x:f>
        <x:v>0</x:v>
      </x:c>
      <x:c r="L9172" s="6" t="n">
        <x:f>J9172*K9172</x:f>
        <x:v>0</x:v>
      </x:c>
    </x:row>
    <x:row r="9173">
      <x:c r="A9173" s="1" t="n">
        <x:v>73187</x:v>
      </x:c>
      <x:c r="B9173" s="5" t="d">
        <x:v>2017-12-04T00:00:00.000Z</x:v>
      </x:c>
      <x:c r="C9173" s="1" t="str">
        <x:v>Standard Class</x:v>
      </x:c>
      <x:c r="D9173" s="1" t="str">
        <x:v>Pacific Asia</x:v>
      </x:c>
      <x:c r="E9173" s="1" t="str">
        <x:v>COMPLETE</x:v>
      </x:c>
      <x:c r="F9173" s="1" t="str">
        <x:v>Advance shipping</x:v>
      </x:c>
      <x:c r="G9173" s="6" t="n">
        <x:v>3</x:v>
      </x:c>
      <x:c r="H9173" s="6" t="n">
        <x:v>4</x:v>
      </x:c>
      <x:c r="I9173" s="6" t="n">
        <x:f>G9173-H9173</x:f>
        <x:v>-1</x:v>
      </x:c>
      <x:c r="J9173" s="6" t="n">
        <x:f>IF(OR(E9173="CANCELED",E9173="SUSPECTED_FRAUD",F9173="Shipping canceled"),0,1)</x:f>
        <x:v>1</x:v>
      </x:c>
      <x:c r="K9173" s="6" t="n">
        <x:f>IF(G9173&gt;H9173,1,0)</x:f>
        <x:v>0</x:v>
      </x:c>
      <x:c r="L9173" s="6" t="n">
        <x:f>J9173*K9173</x:f>
        <x:v>0</x:v>
      </x:c>
    </x:row>
    <x:row r="9174">
      <x:c r="A9174" s="1" t="n">
        <x:v>73188</x:v>
      </x:c>
      <x:c r="B9174" s="5" t="d">
        <x:v>2017-12-04T00:00:00.000Z</x:v>
      </x:c>
      <x:c r="C9174" s="1" t="str">
        <x:v>First Class</x:v>
      </x:c>
      <x:c r="D9174" s="1" t="str">
        <x:v>Pacific Asia</x:v>
      </x:c>
      <x:c r="E9174" s="1" t="str">
        <x:v>CLOSED</x:v>
      </x:c>
      <x:c r="F9174" s="1" t="str">
        <x:v>Late delivery</x:v>
      </x:c>
      <x:c r="G9174" s="6" t="n">
        <x:v>2</x:v>
      </x:c>
      <x:c r="H9174" s="6" t="n">
        <x:v>1</x:v>
      </x:c>
      <x:c r="I9174" s="6" t="n">
        <x:f>G9174-H9174</x:f>
        <x:v>1</x:v>
      </x:c>
      <x:c r="J9174" s="6" t="n">
        <x:f>IF(OR(E9174="CANCELED",E9174="SUSPECTED_FRAUD",F9174="Shipping canceled"),0,1)</x:f>
        <x:v>1</x:v>
      </x:c>
      <x:c r="K9174" s="6" t="n">
        <x:f>IF(G9174&gt;H9174,1,0)</x:f>
        <x:v>1</x:v>
      </x:c>
      <x:c r="L9174" s="6" t="n">
        <x:f>J9174*K9174</x:f>
        <x:v>1</x:v>
      </x:c>
    </x:row>
    <x:row r="9175">
      <x:c r="A9175" s="1" t="n">
        <x:v>73189</x:v>
      </x:c>
      <x:c r="B9175" s="5" t="d">
        <x:v>2017-12-04T00:00:00.000Z</x:v>
      </x:c>
      <x:c r="C9175" s="1" t="str">
        <x:v>Second Class</x:v>
      </x:c>
      <x:c r="D9175" s="1" t="str">
        <x:v>Pacific Asia</x:v>
      </x:c>
      <x:c r="E9175" s="1" t="str">
        <x:v>PROCESSING</x:v>
      </x:c>
      <x:c r="F9175" s="1" t="str">
        <x:v>Late delivery</x:v>
      </x:c>
      <x:c r="G9175" s="6" t="n">
        <x:v>5</x:v>
      </x:c>
      <x:c r="H9175" s="6" t="n">
        <x:v>2</x:v>
      </x:c>
      <x:c r="I9175" s="6" t="n">
        <x:f>G9175-H9175</x:f>
        <x:v>3</x:v>
      </x:c>
      <x:c r="J9175" s="6" t="n">
        <x:f>IF(OR(E9175="CANCELED",E9175="SUSPECTED_FRAUD",F9175="Shipping canceled"),0,1)</x:f>
        <x:v>1</x:v>
      </x:c>
      <x:c r="K9175" s="6" t="n">
        <x:f>IF(G9175&gt;H9175,1,0)</x:f>
        <x:v>1</x:v>
      </x:c>
      <x:c r="L9175" s="6" t="n">
        <x:f>J9175*K9175</x:f>
        <x:v>1</x:v>
      </x:c>
    </x:row>
    <x:row r="9176">
      <x:c r="A9176" s="1" t="n">
        <x:v>73190</x:v>
      </x:c>
      <x:c r="B9176" s="5" t="d">
        <x:v>2017-12-04T00:00:00.000Z</x:v>
      </x:c>
      <x:c r="C9176" s="1" t="str">
        <x:v>Second Class</x:v>
      </x:c>
      <x:c r="D9176" s="1" t="str">
        <x:v>Pacific Asia</x:v>
      </x:c>
      <x:c r="E9176" s="1" t="str">
        <x:v>COMPLETE</x:v>
      </x:c>
      <x:c r="F9176" s="1" t="str">
        <x:v>Late delivery</x:v>
      </x:c>
      <x:c r="G9176" s="6" t="n">
        <x:v>6</x:v>
      </x:c>
      <x:c r="H9176" s="6" t="n">
        <x:v>2</x:v>
      </x:c>
      <x:c r="I9176" s="6" t="n">
        <x:f>G9176-H9176</x:f>
        <x:v>4</x:v>
      </x:c>
      <x:c r="J9176" s="6" t="n">
        <x:f>IF(OR(E9176="CANCELED",E9176="SUSPECTED_FRAUD",F9176="Shipping canceled"),0,1)</x:f>
        <x:v>1</x:v>
      </x:c>
      <x:c r="K9176" s="6" t="n">
        <x:f>IF(G9176&gt;H9176,1,0)</x:f>
        <x:v>1</x:v>
      </x:c>
      <x:c r="L9176" s="6" t="n">
        <x:f>J9176*K9176</x:f>
        <x:v>1</x:v>
      </x:c>
    </x:row>
    <x:row r="9177">
      <x:c r="A9177" s="1" t="n">
        <x:v>73191</x:v>
      </x:c>
      <x:c r="B9177" s="5" t="d">
        <x:v>2017-12-04T00:00:00.000Z</x:v>
      </x:c>
      <x:c r="C9177" s="1" t="str">
        <x:v>Second Class</x:v>
      </x:c>
      <x:c r="D9177" s="1" t="str">
        <x:v>Pacific Asia</x:v>
      </x:c>
      <x:c r="E9177" s="1" t="str">
        <x:v>CLOSED</x:v>
      </x:c>
      <x:c r="F9177" s="1" t="str">
        <x:v>Shipping on time</x:v>
      </x:c>
      <x:c r="G9177" s="6" t="n">
        <x:v>2</x:v>
      </x:c>
      <x:c r="H9177" s="6" t="n">
        <x:v>2</x:v>
      </x:c>
      <x:c r="I9177" s="6" t="n">
        <x:f>G9177-H9177</x:f>
        <x:v>0</x:v>
      </x:c>
      <x:c r="J9177" s="6" t="n">
        <x:f>IF(OR(E9177="CANCELED",E9177="SUSPECTED_FRAUD",F9177="Shipping canceled"),0,1)</x:f>
        <x:v>1</x:v>
      </x:c>
      <x:c r="K9177" s="6" t="n">
        <x:f>IF(G9177&gt;H9177,1,0)</x:f>
        <x:v>0</x:v>
      </x:c>
      <x:c r="L9177" s="6" t="n">
        <x:f>J9177*K9177</x:f>
        <x:v>0</x:v>
      </x:c>
    </x:row>
    <x:row r="9178">
      <x:c r="A9178" s="1" t="n">
        <x:v>73192</x:v>
      </x:c>
      <x:c r="B9178" s="5" t="d">
        <x:v>2017-12-04T00:00:00.000Z</x:v>
      </x:c>
      <x:c r="C9178" s="1" t="str">
        <x:v>Standard Class</x:v>
      </x:c>
      <x:c r="D9178" s="1" t="str">
        <x:v>Pacific Asia</x:v>
      </x:c>
      <x:c r="E9178" s="1" t="str">
        <x:v>COMPLETE</x:v>
      </x:c>
      <x:c r="F9178" s="1" t="str">
        <x:v>Advance shipping</x:v>
      </x:c>
      <x:c r="G9178" s="6" t="n">
        <x:v>3</x:v>
      </x:c>
      <x:c r="H9178" s="6" t="n">
        <x:v>4</x:v>
      </x:c>
      <x:c r="I9178" s="6" t="n">
        <x:f>G9178-H9178</x:f>
        <x:v>-1</x:v>
      </x:c>
      <x:c r="J9178" s="6" t="n">
        <x:f>IF(OR(E9178="CANCELED",E9178="SUSPECTED_FRAUD",F9178="Shipping canceled"),0,1)</x:f>
        <x:v>1</x:v>
      </x:c>
      <x:c r="K9178" s="6" t="n">
        <x:f>IF(G9178&gt;H9178,1,0)</x:f>
        <x:v>0</x:v>
      </x:c>
      <x:c r="L9178" s="6" t="n">
        <x:f>J9178*K9178</x:f>
        <x:v>0</x:v>
      </x:c>
    </x:row>
    <x:row r="9179">
      <x:c r="A9179" s="1" t="n">
        <x:v>73193</x:v>
      </x:c>
      <x:c r="B9179" s="5" t="d">
        <x:v>2017-12-04T00:00:00.000Z</x:v>
      </x:c>
      <x:c r="C9179" s="1" t="str">
        <x:v>First Class</x:v>
      </x:c>
      <x:c r="D9179" s="1" t="str">
        <x:v>Pacific Asia</x:v>
      </x:c>
      <x:c r="E9179" s="1" t="str">
        <x:v>PENDING_PAYMENT</x:v>
      </x:c>
      <x:c r="F9179" s="1" t="str">
        <x:v>Late delivery</x:v>
      </x:c>
      <x:c r="G9179" s="6" t="n">
        <x:v>2</x:v>
      </x:c>
      <x:c r="H9179" s="6" t="n">
        <x:v>1</x:v>
      </x:c>
      <x:c r="I9179" s="6" t="n">
        <x:f>G9179-H9179</x:f>
        <x:v>1</x:v>
      </x:c>
      <x:c r="J9179" s="6" t="n">
        <x:f>IF(OR(E9179="CANCELED",E9179="SUSPECTED_FRAUD",F9179="Shipping canceled"),0,1)</x:f>
        <x:v>1</x:v>
      </x:c>
      <x:c r="K9179" s="6" t="n">
        <x:f>IF(G9179&gt;H9179,1,0)</x:f>
        <x:v>1</x:v>
      </x:c>
      <x:c r="L9179" s="6" t="n">
        <x:f>J9179*K9179</x:f>
        <x:v>1</x:v>
      </x:c>
    </x:row>
    <x:row r="9180">
      <x:c r="A9180" s="1" t="n">
        <x:v>73194</x:v>
      </x:c>
      <x:c r="B9180" s="5" t="d">
        <x:v>2017-12-04T00:00:00.000Z</x:v>
      </x:c>
      <x:c r="C9180" s="1" t="str">
        <x:v>Second Class</x:v>
      </x:c>
      <x:c r="D9180" s="1" t="str">
        <x:v>Pacific Asia</x:v>
      </x:c>
      <x:c r="E9180" s="1" t="str">
        <x:v>COMPLETE</x:v>
      </x:c>
      <x:c r="F9180" s="1" t="str">
        <x:v>Late delivery</x:v>
      </x:c>
      <x:c r="G9180" s="6" t="n">
        <x:v>5</x:v>
      </x:c>
      <x:c r="H9180" s="6" t="n">
        <x:v>2</x:v>
      </x:c>
      <x:c r="I9180" s="6" t="n">
        <x:f>G9180-H9180</x:f>
        <x:v>3</x:v>
      </x:c>
      <x:c r="J9180" s="6" t="n">
        <x:f>IF(OR(E9180="CANCELED",E9180="SUSPECTED_FRAUD",F9180="Shipping canceled"),0,1)</x:f>
        <x:v>1</x:v>
      </x:c>
      <x:c r="K9180" s="6" t="n">
        <x:f>IF(G9180&gt;H9180,1,0)</x:f>
        <x:v>1</x:v>
      </x:c>
      <x:c r="L9180" s="6" t="n">
        <x:f>J9180*K9180</x:f>
        <x:v>1</x:v>
      </x:c>
    </x:row>
    <x:row r="9181">
      <x:c r="A9181" s="1" t="n">
        <x:v>73195</x:v>
      </x:c>
      <x:c r="B9181" s="5" t="d">
        <x:v>2017-12-04T00:00:00.000Z</x:v>
      </x:c>
      <x:c r="C9181" s="1" t="str">
        <x:v>Standard Class</x:v>
      </x:c>
      <x:c r="D9181" s="1" t="str">
        <x:v>Pacific Asia</x:v>
      </x:c>
      <x:c r="E9181" s="1" t="str">
        <x:v>PENDING_PAYMENT</x:v>
      </x:c>
      <x:c r="F9181" s="1" t="str">
        <x:v>Late delivery</x:v>
      </x:c>
      <x:c r="G9181" s="6" t="n">
        <x:v>6</x:v>
      </x:c>
      <x:c r="H9181" s="6" t="n">
        <x:v>4</x:v>
      </x:c>
      <x:c r="I9181" s="6" t="n">
        <x:f>G9181-H9181</x:f>
        <x:v>2</x:v>
      </x:c>
      <x:c r="J9181" s="6" t="n">
        <x:f>IF(OR(E9181="CANCELED",E9181="SUSPECTED_FRAUD",F9181="Shipping canceled"),0,1)</x:f>
        <x:v>1</x:v>
      </x:c>
      <x:c r="K9181" s="6" t="n">
        <x:f>IF(G9181&gt;H9181,1,0)</x:f>
        <x:v>1</x:v>
      </x:c>
      <x:c r="L9181" s="6" t="n">
        <x:f>J9181*K9181</x:f>
        <x:v>1</x:v>
      </x:c>
    </x:row>
    <x:row r="9182">
      <x:c r="A9182" s="1" t="n">
        <x:v>73196</x:v>
      </x:c>
      <x:c r="B9182" s="5" t="d">
        <x:v>2017-12-04T00:00:00.000Z</x:v>
      </x:c>
      <x:c r="C9182" s="1" t="str">
        <x:v>Second Class</x:v>
      </x:c>
      <x:c r="D9182" s="1" t="str">
        <x:v>Pacific Asia</x:v>
      </x:c>
      <x:c r="E9182" s="1" t="str">
        <x:v>COMPLETE</x:v>
      </x:c>
      <x:c r="F9182" s="1" t="str">
        <x:v>Shipping on time</x:v>
      </x:c>
      <x:c r="G9182" s="6" t="n">
        <x:v>2</x:v>
      </x:c>
      <x:c r="H9182" s="6" t="n">
        <x:v>2</x:v>
      </x:c>
      <x:c r="I9182" s="6" t="n">
        <x:f>G9182-H9182</x:f>
        <x:v>0</x:v>
      </x:c>
      <x:c r="J9182" s="6" t="n">
        <x:f>IF(OR(E9182="CANCELED",E9182="SUSPECTED_FRAUD",F9182="Shipping canceled"),0,1)</x:f>
        <x:v>1</x:v>
      </x:c>
      <x:c r="K9182" s="6" t="n">
        <x:f>IF(G9182&gt;H9182,1,0)</x:f>
        <x:v>0</x:v>
      </x:c>
      <x:c r="L9182" s="6" t="n">
        <x:f>J9182*K9182</x:f>
        <x:v>0</x:v>
      </x:c>
    </x:row>
    <x:row r="9183">
      <x:c r="A9183" s="1" t="n">
        <x:v>73197</x:v>
      </x:c>
      <x:c r="B9183" s="5" t="d">
        <x:v>2017-12-04T00:00:00.000Z</x:v>
      </x:c>
      <x:c r="C9183" s="1" t="str">
        <x:v>Standard Class</x:v>
      </x:c>
      <x:c r="D9183" s="1" t="str">
        <x:v>Pacific Asia</x:v>
      </x:c>
      <x:c r="E9183" s="1" t="str">
        <x:v>PENDING_PAYMENT</x:v>
      </x:c>
      <x:c r="F9183" s="1" t="str">
        <x:v>Advance shipping</x:v>
      </x:c>
      <x:c r="G9183" s="6" t="n">
        <x:v>3</x:v>
      </x:c>
      <x:c r="H9183" s="6" t="n">
        <x:v>4</x:v>
      </x:c>
      <x:c r="I9183" s="6" t="n">
        <x:f>G9183-H9183</x:f>
        <x:v>-1</x:v>
      </x:c>
      <x:c r="J9183" s="6" t="n">
        <x:f>IF(OR(E9183="CANCELED",E9183="SUSPECTED_FRAUD",F9183="Shipping canceled"),0,1)</x:f>
        <x:v>1</x:v>
      </x:c>
      <x:c r="K9183" s="6" t="n">
        <x:f>IF(G9183&gt;H9183,1,0)</x:f>
        <x:v>0</x:v>
      </x:c>
      <x:c r="L9183" s="6" t="n">
        <x:f>J9183*K9183</x:f>
        <x:v>0</x:v>
      </x:c>
    </x:row>
    <x:row r="9184">
      <x:c r="A9184" s="1" t="n">
        <x:v>73198</x:v>
      </x:c>
      <x:c r="B9184" s="5" t="d">
        <x:v>2017-12-04T00:00:00.000Z</x:v>
      </x:c>
      <x:c r="C9184" s="1" t="str">
        <x:v>Standard Class</x:v>
      </x:c>
      <x:c r="D9184" s="1" t="str">
        <x:v>Pacific Asia</x:v>
      </x:c>
      <x:c r="E9184" s="1" t="str">
        <x:v>PENDING</x:v>
      </x:c>
      <x:c r="F9184" s="1" t="str">
        <x:v>Shipping on time</x:v>
      </x:c>
      <x:c r="G9184" s="6" t="n">
        <x:v>4</x:v>
      </x:c>
      <x:c r="H9184" s="6" t="n">
        <x:v>4</x:v>
      </x:c>
      <x:c r="I9184" s="6" t="n">
        <x:f>G9184-H9184</x:f>
        <x:v>0</x:v>
      </x:c>
      <x:c r="J9184" s="6" t="n">
        <x:f>IF(OR(E9184="CANCELED",E9184="SUSPECTED_FRAUD",F9184="Shipping canceled"),0,1)</x:f>
        <x:v>1</x:v>
      </x:c>
      <x:c r="K9184" s="6" t="n">
        <x:f>IF(G9184&gt;H9184,1,0)</x:f>
        <x:v>0</x:v>
      </x:c>
      <x:c r="L9184" s="6" t="n">
        <x:f>J9184*K9184</x:f>
        <x:v>0</x:v>
      </x:c>
    </x:row>
    <x:row r="9185">
      <x:c r="A9185" s="1" t="n">
        <x:v>73199</x:v>
      </x:c>
      <x:c r="B9185" s="5" t="d">
        <x:v>2017-12-04T00:00:00.000Z</x:v>
      </x:c>
      <x:c r="C9185" s="1" t="str">
        <x:v>Standard Class</x:v>
      </x:c>
      <x:c r="D9185" s="1" t="str">
        <x:v>Pacific Asia</x:v>
      </x:c>
      <x:c r="E9185" s="1" t="str">
        <x:v>PENDING</x:v>
      </x:c>
      <x:c r="F9185" s="1" t="str">
        <x:v>Late delivery</x:v>
      </x:c>
      <x:c r="G9185" s="6" t="n">
        <x:v>5</x:v>
      </x:c>
      <x:c r="H9185" s="6" t="n">
        <x:v>4</x:v>
      </x:c>
      <x:c r="I9185" s="6" t="n">
        <x:f>G9185-H9185</x:f>
        <x:v>1</x:v>
      </x:c>
      <x:c r="J9185" s="6" t="n">
        <x:f>IF(OR(E9185="CANCELED",E9185="SUSPECTED_FRAUD",F9185="Shipping canceled"),0,1)</x:f>
        <x:v>1</x:v>
      </x:c>
      <x:c r="K9185" s="6" t="n">
        <x:f>IF(G9185&gt;H9185,1,0)</x:f>
        <x:v>1</x:v>
      </x:c>
      <x:c r="L9185" s="6" t="n">
        <x:f>J9185*K9185</x:f>
        <x:v>1</x:v>
      </x:c>
    </x:row>
    <x:row r="9186">
      <x:c r="A9186" s="1" t="n">
        <x:v>73200</x:v>
      </x:c>
      <x:c r="B9186" s="5" t="d">
        <x:v>2017-12-04T00:00:00.000Z</x:v>
      </x:c>
      <x:c r="C9186" s="1" t="str">
        <x:v>Standard Class</x:v>
      </x:c>
      <x:c r="D9186" s="1" t="str">
        <x:v>Pacific Asia</x:v>
      </x:c>
      <x:c r="E9186" s="1" t="str">
        <x:v>COMPLETE</x:v>
      </x:c>
      <x:c r="F9186" s="1" t="str">
        <x:v>Late delivery</x:v>
      </x:c>
      <x:c r="G9186" s="6" t="n">
        <x:v>6</x:v>
      </x:c>
      <x:c r="H9186" s="6" t="n">
        <x:v>4</x:v>
      </x:c>
      <x:c r="I9186" s="6" t="n">
        <x:f>G9186-H9186</x:f>
        <x:v>2</x:v>
      </x:c>
      <x:c r="J9186" s="6" t="n">
        <x:f>IF(OR(E9186="CANCELED",E9186="SUSPECTED_FRAUD",F9186="Shipping canceled"),0,1)</x:f>
        <x:v>1</x:v>
      </x:c>
      <x:c r="K9186" s="6" t="n">
        <x:f>IF(G9186&gt;H9186,1,0)</x:f>
        <x:v>1</x:v>
      </x:c>
      <x:c r="L9186" s="6" t="n">
        <x:f>J9186*K9186</x:f>
        <x:v>1</x:v>
      </x:c>
    </x:row>
    <x:row r="9187">
      <x:c r="A9187" s="1" t="n">
        <x:v>73201</x:v>
      </x:c>
      <x:c r="B9187" s="5" t="d">
        <x:v>2017-12-04T00:00:00.000Z</x:v>
      </x:c>
      <x:c r="C9187" s="1" t="str">
        <x:v>Standard Class</x:v>
      </x:c>
      <x:c r="D9187" s="1" t="str">
        <x:v>Pacific Asia</x:v>
      </x:c>
      <x:c r="E9187" s="1" t="str">
        <x:v>COMPLETE</x:v>
      </x:c>
      <x:c r="F9187" s="1" t="str">
        <x:v>Advance shipping</x:v>
      </x:c>
      <x:c r="G9187" s="6" t="n">
        <x:v>2</x:v>
      </x:c>
      <x:c r="H9187" s="6" t="n">
        <x:v>4</x:v>
      </x:c>
      <x:c r="I9187" s="6" t="n">
        <x:f>G9187-H9187</x:f>
        <x:v>-2</x:v>
      </x:c>
      <x:c r="J9187" s="6" t="n">
        <x:f>IF(OR(E9187="CANCELED",E9187="SUSPECTED_FRAUD",F9187="Shipping canceled"),0,1)</x:f>
        <x:v>1</x:v>
      </x:c>
      <x:c r="K9187" s="6" t="n">
        <x:f>IF(G9187&gt;H9187,1,0)</x:f>
        <x:v>0</x:v>
      </x:c>
      <x:c r="L9187" s="6" t="n">
        <x:f>J9187*K9187</x:f>
        <x:v>0</x:v>
      </x:c>
    </x:row>
    <x:row r="9188">
      <x:c r="A9188" s="1" t="n">
        <x:v>73202</x:v>
      </x:c>
      <x:c r="B9188" s="5" t="d">
        <x:v>2017-12-04T00:00:00.000Z</x:v>
      </x:c>
      <x:c r="C9188" s="1" t="str">
        <x:v>Standard Class</x:v>
      </x:c>
      <x:c r="D9188" s="1" t="str">
        <x:v>Pacific Asia</x:v>
      </x:c>
      <x:c r="E9188" s="1" t="str">
        <x:v>CLOSED</x:v>
      </x:c>
      <x:c r="F9188" s="1" t="str">
        <x:v>Advance shipping</x:v>
      </x:c>
      <x:c r="G9188" s="6" t="n">
        <x:v>3</x:v>
      </x:c>
      <x:c r="H9188" s="6" t="n">
        <x:v>4</x:v>
      </x:c>
      <x:c r="I9188" s="6" t="n">
        <x:f>G9188-H9188</x:f>
        <x:v>-1</x:v>
      </x:c>
      <x:c r="J9188" s="6" t="n">
        <x:f>IF(OR(E9188="CANCELED",E9188="SUSPECTED_FRAUD",F9188="Shipping canceled"),0,1)</x:f>
        <x:v>1</x:v>
      </x:c>
      <x:c r="K9188" s="6" t="n">
        <x:f>IF(G9188&gt;H9188,1,0)</x:f>
        <x:v>0</x:v>
      </x:c>
      <x:c r="L9188" s="6" t="n">
        <x:f>J9188*K9188</x:f>
        <x:v>0</x:v>
      </x:c>
    </x:row>
    <x:row r="9189">
      <x:c r="A9189" s="1" t="n">
        <x:v>73203</x:v>
      </x:c>
      <x:c r="B9189" s="5" t="d">
        <x:v>2017-12-04T00:00:00.000Z</x:v>
      </x:c>
      <x:c r="C9189" s="1" t="str">
        <x:v>First Class</x:v>
      </x:c>
      <x:c r="D9189" s="1" t="str">
        <x:v>Pacific Asia</x:v>
      </x:c>
      <x:c r="E9189" s="1" t="str">
        <x:v>COMPLETE</x:v>
      </x:c>
      <x:c r="F9189" s="1" t="str">
        <x:v>Late delivery</x:v>
      </x:c>
      <x:c r="G9189" s="6" t="n">
        <x:v>2</x:v>
      </x:c>
      <x:c r="H9189" s="6" t="n">
        <x:v>1</x:v>
      </x:c>
      <x:c r="I9189" s="6" t="n">
        <x:f>G9189-H9189</x:f>
        <x:v>1</x:v>
      </x:c>
      <x:c r="J9189" s="6" t="n">
        <x:f>IF(OR(E9189="CANCELED",E9189="SUSPECTED_FRAUD",F9189="Shipping canceled"),0,1)</x:f>
        <x:v>1</x:v>
      </x:c>
      <x:c r="K9189" s="6" t="n">
        <x:f>IF(G9189&gt;H9189,1,0)</x:f>
        <x:v>1</x:v>
      </x:c>
      <x:c r="L9189" s="6" t="n">
        <x:f>J9189*K9189</x:f>
        <x:v>1</x:v>
      </x:c>
    </x:row>
    <x:row r="9190">
      <x:c r="A9190" s="1" t="n">
        <x:v>73204</x:v>
      </x:c>
      <x:c r="B9190" s="5" t="d">
        <x:v>2017-12-04T00:00:00.000Z</x:v>
      </x:c>
      <x:c r="C9190" s="1" t="str">
        <x:v>First Class</x:v>
      </x:c>
      <x:c r="D9190" s="1" t="str">
        <x:v>Pacific Asia</x:v>
      </x:c>
      <x:c r="E9190" s="1" t="str">
        <x:v>COMPLETE</x:v>
      </x:c>
      <x:c r="F9190" s="1" t="str">
        <x:v>Late delivery</x:v>
      </x:c>
      <x:c r="G9190" s="6" t="n">
        <x:v>2</x:v>
      </x:c>
      <x:c r="H9190" s="6" t="n">
        <x:v>1</x:v>
      </x:c>
      <x:c r="I9190" s="6" t="n">
        <x:f>G9190-H9190</x:f>
        <x:v>1</x:v>
      </x:c>
      <x:c r="J9190" s="6" t="n">
        <x:f>IF(OR(E9190="CANCELED",E9190="SUSPECTED_FRAUD",F9190="Shipping canceled"),0,1)</x:f>
        <x:v>1</x:v>
      </x:c>
      <x:c r="K9190" s="6" t="n">
        <x:f>IF(G9190&gt;H9190,1,0)</x:f>
        <x:v>1</x:v>
      </x:c>
      <x:c r="L9190" s="6" t="n">
        <x:f>J9190*K9190</x:f>
        <x:v>1</x:v>
      </x:c>
    </x:row>
    <x:row r="9191">
      <x:c r="A9191" s="1" t="n">
        <x:v>73205</x:v>
      </x:c>
      <x:c r="B9191" s="5" t="d">
        <x:v>2017-12-04T00:00:00.000Z</x:v>
      </x:c>
      <x:c r="C9191" s="1" t="str">
        <x:v>First Class</x:v>
      </x:c>
      <x:c r="D9191" s="1" t="str">
        <x:v>Pacific Asia</x:v>
      </x:c>
      <x:c r="E9191" s="1" t="str">
        <x:v>CLOSED</x:v>
      </x:c>
      <x:c r="F9191" s="1" t="str">
        <x:v>Late delivery</x:v>
      </x:c>
      <x:c r="G9191" s="6" t="n">
        <x:v>2</x:v>
      </x:c>
      <x:c r="H9191" s="6" t="n">
        <x:v>1</x:v>
      </x:c>
      <x:c r="I9191" s="6" t="n">
        <x:f>G9191-H9191</x:f>
        <x:v>1</x:v>
      </x:c>
      <x:c r="J9191" s="6" t="n">
        <x:f>IF(OR(E9191="CANCELED",E9191="SUSPECTED_FRAUD",F9191="Shipping canceled"),0,1)</x:f>
        <x:v>1</x:v>
      </x:c>
      <x:c r="K9191" s="6" t="n">
        <x:f>IF(G9191&gt;H9191,1,0)</x:f>
        <x:v>1</x:v>
      </x:c>
      <x:c r="L9191" s="6" t="n">
        <x:f>J9191*K9191</x:f>
        <x:v>1</x:v>
      </x:c>
    </x:row>
    <x:row r="9192">
      <x:c r="A9192" s="1" t="n">
        <x:v>73206</x:v>
      </x:c>
      <x:c r="B9192" s="5" t="d">
        <x:v>2017-12-04T00:00:00.000Z</x:v>
      </x:c>
      <x:c r="C9192" s="1" t="str">
        <x:v>First Class</x:v>
      </x:c>
      <x:c r="D9192" s="1" t="str">
        <x:v>Pacific Asia</x:v>
      </x:c>
      <x:c r="E9192" s="1" t="str">
        <x:v>COMPLETE</x:v>
      </x:c>
      <x:c r="F9192" s="1" t="str">
        <x:v>Late delivery</x:v>
      </x:c>
      <x:c r="G9192" s="6" t="n">
        <x:v>2</x:v>
      </x:c>
      <x:c r="H9192" s="6" t="n">
        <x:v>1</x:v>
      </x:c>
      <x:c r="I9192" s="6" t="n">
        <x:f>G9192-H9192</x:f>
        <x:v>1</x:v>
      </x:c>
      <x:c r="J9192" s="6" t="n">
        <x:f>IF(OR(E9192="CANCELED",E9192="SUSPECTED_FRAUD",F9192="Shipping canceled"),0,1)</x:f>
        <x:v>1</x:v>
      </x:c>
      <x:c r="K9192" s="6" t="n">
        <x:f>IF(G9192&gt;H9192,1,0)</x:f>
        <x:v>1</x:v>
      </x:c>
      <x:c r="L9192" s="6" t="n">
        <x:f>J9192*K9192</x:f>
        <x:v>1</x:v>
      </x:c>
    </x:row>
    <x:row r="9193">
      <x:c r="A9193" s="1" t="n">
        <x:v>73207</x:v>
      </x:c>
      <x:c r="B9193" s="5" t="d">
        <x:v>2017-12-04T00:00:00.000Z</x:v>
      </x:c>
      <x:c r="C9193" s="1" t="str">
        <x:v>Standard Class</x:v>
      </x:c>
      <x:c r="D9193" s="1" t="str">
        <x:v>Pacific Asia</x:v>
      </x:c>
      <x:c r="E9193" s="1" t="str">
        <x:v>PAYMENT_REVIEW</x:v>
      </x:c>
      <x:c r="F9193" s="1" t="str">
        <x:v>Advance shipping</x:v>
      </x:c>
      <x:c r="G9193" s="6" t="n">
        <x:v>3</x:v>
      </x:c>
      <x:c r="H9193" s="6" t="n">
        <x:v>4</x:v>
      </x:c>
      <x:c r="I9193" s="6" t="n">
        <x:f>G9193-H9193</x:f>
        <x:v>-1</x:v>
      </x:c>
      <x:c r="J9193" s="6" t="n">
        <x:f>IF(OR(E9193="CANCELED",E9193="SUSPECTED_FRAUD",F9193="Shipping canceled"),0,1)</x:f>
        <x:v>1</x:v>
      </x:c>
      <x:c r="K9193" s="6" t="n">
        <x:f>IF(G9193&gt;H9193,1,0)</x:f>
        <x:v>0</x:v>
      </x:c>
      <x:c r="L9193" s="6" t="n">
        <x:f>J9193*K9193</x:f>
        <x:v>0</x:v>
      </x:c>
    </x:row>
    <x:row r="9194">
      <x:c r="A9194" s="1" t="n">
        <x:v>73208</x:v>
      </x:c>
      <x:c r="B9194" s="5" t="d">
        <x:v>2017-12-04T00:00:00.000Z</x:v>
      </x:c>
      <x:c r="C9194" s="1" t="str">
        <x:v>Standard Class</x:v>
      </x:c>
      <x:c r="D9194" s="1" t="str">
        <x:v>Pacific Asia</x:v>
      </x:c>
      <x:c r="E9194" s="1" t="str">
        <x:v>PENDING_PAYMENT</x:v>
      </x:c>
      <x:c r="F9194" s="1" t="str">
        <x:v>Shipping on time</x:v>
      </x:c>
      <x:c r="G9194" s="6" t="n">
        <x:v>4</x:v>
      </x:c>
      <x:c r="H9194" s="6" t="n">
        <x:v>4</x:v>
      </x:c>
      <x:c r="I9194" s="6" t="n">
        <x:f>G9194-H9194</x:f>
        <x:v>0</x:v>
      </x:c>
      <x:c r="J9194" s="6" t="n">
        <x:f>IF(OR(E9194="CANCELED",E9194="SUSPECTED_FRAUD",F9194="Shipping canceled"),0,1)</x:f>
        <x:v>1</x:v>
      </x:c>
      <x:c r="K9194" s="6" t="n">
        <x:f>IF(G9194&gt;H9194,1,0)</x:f>
        <x:v>0</x:v>
      </x:c>
      <x:c r="L9194" s="6" t="n">
        <x:f>J9194*K9194</x:f>
        <x:v>0</x:v>
      </x:c>
    </x:row>
    <x:row r="9195">
      <x:c r="A9195" s="1" t="n">
        <x:v>73209</x:v>
      </x:c>
      <x:c r="B9195" s="5" t="d">
        <x:v>2017-12-04T00:00:00.000Z</x:v>
      </x:c>
      <x:c r="C9195" s="1" t="str">
        <x:v>Standard Class</x:v>
      </x:c>
      <x:c r="D9195" s="1" t="str">
        <x:v>Pacific Asia</x:v>
      </x:c>
      <x:c r="E9195" s="1" t="str">
        <x:v>COMPLETE</x:v>
      </x:c>
      <x:c r="F9195" s="1" t="str">
        <x:v>Late delivery</x:v>
      </x:c>
      <x:c r="G9195" s="6" t="n">
        <x:v>5</x:v>
      </x:c>
      <x:c r="H9195" s="6" t="n">
        <x:v>4</x:v>
      </x:c>
      <x:c r="I9195" s="6" t="n">
        <x:f>G9195-H9195</x:f>
        <x:v>1</x:v>
      </x:c>
      <x:c r="J9195" s="6" t="n">
        <x:f>IF(OR(E9195="CANCELED",E9195="SUSPECTED_FRAUD",F9195="Shipping canceled"),0,1)</x:f>
        <x:v>1</x:v>
      </x:c>
      <x:c r="K9195" s="6" t="n">
        <x:f>IF(G9195&gt;H9195,1,0)</x:f>
        <x:v>1</x:v>
      </x:c>
      <x:c r="L9195" s="6" t="n">
        <x:f>J9195*K9195</x:f>
        <x:v>1</x:v>
      </x:c>
    </x:row>
    <x:row r="9196">
      <x:c r="A9196" s="1" t="n">
        <x:v>73210</x:v>
      </x:c>
      <x:c r="B9196" s="5" t="d">
        <x:v>2017-12-04T00:00:00.000Z</x:v>
      </x:c>
      <x:c r="C9196" s="1" t="str">
        <x:v>Standard Class</x:v>
      </x:c>
      <x:c r="D9196" s="1" t="str">
        <x:v>Pacific Asia</x:v>
      </x:c>
      <x:c r="E9196" s="1" t="str">
        <x:v>PROCESSING</x:v>
      </x:c>
      <x:c r="F9196" s="1" t="str">
        <x:v>Late delivery</x:v>
      </x:c>
      <x:c r="G9196" s="6" t="n">
        <x:v>6</x:v>
      </x:c>
      <x:c r="H9196" s="6" t="n">
        <x:v>4</x:v>
      </x:c>
      <x:c r="I9196" s="6" t="n">
        <x:f>G9196-H9196</x:f>
        <x:v>2</x:v>
      </x:c>
      <x:c r="J9196" s="6" t="n">
        <x:f>IF(OR(E9196="CANCELED",E9196="SUSPECTED_FRAUD",F9196="Shipping canceled"),0,1)</x:f>
        <x:v>1</x:v>
      </x:c>
      <x:c r="K9196" s="6" t="n">
        <x:f>IF(G9196&gt;H9196,1,0)</x:f>
        <x:v>1</x:v>
      </x:c>
      <x:c r="L9196" s="6" t="n">
        <x:f>J9196*K9196</x:f>
        <x:v>1</x:v>
      </x:c>
    </x:row>
    <x:row r="9197">
      <x:c r="A9197" s="1" t="n">
        <x:v>73211</x:v>
      </x:c>
      <x:c r="B9197" s="5" t="d">
        <x:v>2017-12-04T00:00:00.000Z</x:v>
      </x:c>
      <x:c r="C9197" s="1" t="str">
        <x:v>Standard Class</x:v>
      </x:c>
      <x:c r="D9197" s="1" t="str">
        <x:v>Pacific Asia</x:v>
      </x:c>
      <x:c r="E9197" s="1" t="str">
        <x:v>COMPLETE</x:v>
      </x:c>
      <x:c r="F9197" s="1" t="str">
        <x:v>Advance shipping</x:v>
      </x:c>
      <x:c r="G9197" s="6" t="n">
        <x:v>2</x:v>
      </x:c>
      <x:c r="H9197" s="6" t="n">
        <x:v>4</x:v>
      </x:c>
      <x:c r="I9197" s="6" t="n">
        <x:f>G9197-H9197</x:f>
        <x:v>-2</x:v>
      </x:c>
      <x:c r="J9197" s="6" t="n">
        <x:f>IF(OR(E9197="CANCELED",E9197="SUSPECTED_FRAUD",F9197="Shipping canceled"),0,1)</x:f>
        <x:v>1</x:v>
      </x:c>
      <x:c r="K9197" s="6" t="n">
        <x:f>IF(G9197&gt;H9197,1,0)</x:f>
        <x:v>0</x:v>
      </x:c>
      <x:c r="L9197" s="6" t="n">
        <x:f>J9197*K9197</x:f>
        <x:v>0</x:v>
      </x:c>
    </x:row>
    <x:row r="9198">
      <x:c r="A9198" s="1" t="n">
        <x:v>73212</x:v>
      </x:c>
      <x:c r="B9198" s="5" t="d">
        <x:v>2017-12-04T00:00:00.000Z</x:v>
      </x:c>
      <x:c r="C9198" s="1" t="str">
        <x:v>Standard Class</x:v>
      </x:c>
      <x:c r="D9198" s="1" t="str">
        <x:v>Pacific Asia</x:v>
      </x:c>
      <x:c r="E9198" s="1" t="str">
        <x:v>PENDING</x:v>
      </x:c>
      <x:c r="F9198" s="1" t="str">
        <x:v>Advance shipping</x:v>
      </x:c>
      <x:c r="G9198" s="6" t="n">
        <x:v>3</x:v>
      </x:c>
      <x:c r="H9198" s="6" t="n">
        <x:v>4</x:v>
      </x:c>
      <x:c r="I9198" s="6" t="n">
        <x:f>G9198-H9198</x:f>
        <x:v>-1</x:v>
      </x:c>
      <x:c r="J9198" s="6" t="n">
        <x:f>IF(OR(E9198="CANCELED",E9198="SUSPECTED_FRAUD",F9198="Shipping canceled"),0,1)</x:f>
        <x:v>1</x:v>
      </x:c>
      <x:c r="K9198" s="6" t="n">
        <x:f>IF(G9198&gt;H9198,1,0)</x:f>
        <x:v>0</x:v>
      </x:c>
      <x:c r="L9198" s="6" t="n">
        <x:f>J9198*K9198</x:f>
        <x:v>0</x:v>
      </x:c>
    </x:row>
    <x:row r="9199">
      <x:c r="A9199" s="1" t="n">
        <x:v>73213</x:v>
      </x:c>
      <x:c r="B9199" s="5" t="d">
        <x:v>2017-12-04T00:00:00.000Z</x:v>
      </x:c>
      <x:c r="C9199" s="1" t="str">
        <x:v>Second Class</x:v>
      </x:c>
      <x:c r="D9199" s="1" t="str">
        <x:v>Pacific Asia</x:v>
      </x:c>
      <x:c r="E9199" s="1" t="str">
        <x:v>ON_HOLD</x:v>
      </x:c>
      <x:c r="F9199" s="1" t="str">
        <x:v>Late delivery</x:v>
      </x:c>
      <x:c r="G9199" s="6" t="n">
        <x:v>4</x:v>
      </x:c>
      <x:c r="H9199" s="6" t="n">
        <x:v>2</x:v>
      </x:c>
      <x:c r="I9199" s="6" t="n">
        <x:f>G9199-H9199</x:f>
        <x:v>2</x:v>
      </x:c>
      <x:c r="J9199" s="6" t="n">
        <x:f>IF(OR(E9199="CANCELED",E9199="SUSPECTED_FRAUD",F9199="Shipping canceled"),0,1)</x:f>
        <x:v>1</x:v>
      </x:c>
      <x:c r="K9199" s="6" t="n">
        <x:f>IF(G9199&gt;H9199,1,0)</x:f>
        <x:v>1</x:v>
      </x:c>
      <x:c r="L9199" s="6" t="n">
        <x:f>J9199*K9199</x:f>
        <x:v>1</x:v>
      </x:c>
    </x:row>
    <x:row r="9200">
      <x:c r="A9200" s="1" t="n">
        <x:v>73214</x:v>
      </x:c>
      <x:c r="B9200" s="5" t="d">
        <x:v>2017-12-04T00:00:00.000Z</x:v>
      </x:c>
      <x:c r="C9200" s="1" t="str">
        <x:v>Standard Class</x:v>
      </x:c>
      <x:c r="D9200" s="1" t="str">
        <x:v>Pacific Asia</x:v>
      </x:c>
      <x:c r="E9200" s="1" t="str">
        <x:v>PROCESSING</x:v>
      </x:c>
      <x:c r="F9200" s="1" t="str">
        <x:v>Late delivery</x:v>
      </x:c>
      <x:c r="G9200" s="6" t="n">
        <x:v>5</x:v>
      </x:c>
      <x:c r="H9200" s="6" t="n">
        <x:v>4</x:v>
      </x:c>
      <x:c r="I9200" s="6" t="n">
        <x:f>G9200-H9200</x:f>
        <x:v>1</x:v>
      </x:c>
      <x:c r="J9200" s="6" t="n">
        <x:f>IF(OR(E9200="CANCELED",E9200="SUSPECTED_FRAUD",F9200="Shipping canceled"),0,1)</x:f>
        <x:v>1</x:v>
      </x:c>
      <x:c r="K9200" s="6" t="n">
        <x:f>IF(G9200&gt;H9200,1,0)</x:f>
        <x:v>1</x:v>
      </x:c>
      <x:c r="L9200" s="6" t="n">
        <x:f>J9200*K9200</x:f>
        <x:v>1</x:v>
      </x:c>
    </x:row>
    <x:row r="9201">
      <x:c r="A9201" s="1" t="n">
        <x:v>73215</x:v>
      </x:c>
      <x:c r="B9201" s="5" t="d">
        <x:v>2017-12-04T00:00:00.000Z</x:v>
      </x:c>
      <x:c r="C9201" s="1" t="str">
        <x:v>Standard Class</x:v>
      </x:c>
      <x:c r="D9201" s="1" t="str">
        <x:v>Pacific Asia</x:v>
      </x:c>
      <x:c r="E9201" s="1" t="str">
        <x:v>PENDING_PAYMENT</x:v>
      </x:c>
      <x:c r="F9201" s="1" t="str">
        <x:v>Late delivery</x:v>
      </x:c>
      <x:c r="G9201" s="6" t="n">
        <x:v>6</x:v>
      </x:c>
      <x:c r="H9201" s="6" t="n">
        <x:v>4</x:v>
      </x:c>
      <x:c r="I9201" s="6" t="n">
        <x:f>G9201-H9201</x:f>
        <x:v>2</x:v>
      </x:c>
      <x:c r="J9201" s="6" t="n">
        <x:f>IF(OR(E9201="CANCELED",E9201="SUSPECTED_FRAUD",F9201="Shipping canceled"),0,1)</x:f>
        <x:v>1</x:v>
      </x:c>
      <x:c r="K9201" s="6" t="n">
        <x:f>IF(G9201&gt;H9201,1,0)</x:f>
        <x:v>1</x:v>
      </x:c>
      <x:c r="L9201" s="6" t="n">
        <x:f>J9201*K9201</x:f>
        <x:v>1</x:v>
      </x:c>
    </x:row>
    <x:row r="9202">
      <x:c r="A9202" s="1" t="n">
        <x:v>73216</x:v>
      </x:c>
      <x:c r="B9202" s="5" t="d">
        <x:v>2017-12-04T00:00:00.000Z</x:v>
      </x:c>
      <x:c r="C9202" s="1" t="str">
        <x:v>Standard Class</x:v>
      </x:c>
      <x:c r="D9202" s="1" t="str">
        <x:v>Pacific Asia</x:v>
      </x:c>
      <x:c r="E9202" s="1" t="str">
        <x:v>PENDING</x:v>
      </x:c>
      <x:c r="F9202" s="1" t="str">
        <x:v>Advance shipping</x:v>
      </x:c>
      <x:c r="G9202" s="6" t="n">
        <x:v>2</x:v>
      </x:c>
      <x:c r="H9202" s="6" t="n">
        <x:v>4</x:v>
      </x:c>
      <x:c r="I9202" s="6" t="n">
        <x:f>G9202-H9202</x:f>
        <x:v>-2</x:v>
      </x:c>
      <x:c r="J9202" s="6" t="n">
        <x:f>IF(OR(E9202="CANCELED",E9202="SUSPECTED_FRAUD",F9202="Shipping canceled"),0,1)</x:f>
        <x:v>1</x:v>
      </x:c>
      <x:c r="K9202" s="6" t="n">
        <x:f>IF(G9202&gt;H9202,1,0)</x:f>
        <x:v>0</x:v>
      </x:c>
      <x:c r="L9202" s="6" t="n">
        <x:f>J9202*K9202</x:f>
        <x:v>0</x:v>
      </x:c>
    </x:row>
    <x:row r="9203">
      <x:c r="A9203" s="1" t="n">
        <x:v>73217</x:v>
      </x:c>
      <x:c r="B9203" s="5" t="d">
        <x:v>2017-12-04T00:00:00.000Z</x:v>
      </x:c>
      <x:c r="C9203" s="1" t="str">
        <x:v>Standard Class</x:v>
      </x:c>
      <x:c r="D9203" s="1" t="str">
        <x:v>Pacific Asia</x:v>
      </x:c>
      <x:c r="E9203" s="1" t="str">
        <x:v>PENDING_PAYMENT</x:v>
      </x:c>
      <x:c r="F9203" s="1" t="str">
        <x:v>Advance shipping</x:v>
      </x:c>
      <x:c r="G9203" s="6" t="n">
        <x:v>3</x:v>
      </x:c>
      <x:c r="H9203" s="6" t="n">
        <x:v>4</x:v>
      </x:c>
      <x:c r="I9203" s="6" t="n">
        <x:f>G9203-H9203</x:f>
        <x:v>-1</x:v>
      </x:c>
      <x:c r="J9203" s="6" t="n">
        <x:f>IF(OR(E9203="CANCELED",E9203="SUSPECTED_FRAUD",F9203="Shipping canceled"),0,1)</x:f>
        <x:v>1</x:v>
      </x:c>
      <x:c r="K9203" s="6" t="n">
        <x:f>IF(G9203&gt;H9203,1,0)</x:f>
        <x:v>0</x:v>
      </x:c>
      <x:c r="L9203" s="6" t="n">
        <x:f>J9203*K9203</x:f>
        <x:v>0</x:v>
      </x:c>
    </x:row>
    <x:row r="9204">
      <x:c r="A9204" s="1" t="n">
        <x:v>73218</x:v>
      </x:c>
      <x:c r="B9204" s="5" t="d">
        <x:v>2017-12-04T00:00:00.000Z</x:v>
      </x:c>
      <x:c r="C9204" s="1" t="str">
        <x:v>Standard Class</x:v>
      </x:c>
      <x:c r="D9204" s="1" t="str">
        <x:v>Pacific Asia</x:v>
      </x:c>
      <x:c r="E9204" s="1" t="str">
        <x:v>PENDING</x:v>
      </x:c>
      <x:c r="F9204" s="1" t="str">
        <x:v>Shipping on time</x:v>
      </x:c>
      <x:c r="G9204" s="6" t="n">
        <x:v>4</x:v>
      </x:c>
      <x:c r="H9204" s="6" t="n">
        <x:v>4</x:v>
      </x:c>
      <x:c r="I9204" s="6" t="n">
        <x:f>G9204-H9204</x:f>
        <x:v>0</x:v>
      </x:c>
      <x:c r="J9204" s="6" t="n">
        <x:f>IF(OR(E9204="CANCELED",E9204="SUSPECTED_FRAUD",F9204="Shipping canceled"),0,1)</x:f>
        <x:v>1</x:v>
      </x:c>
      <x:c r="K9204" s="6" t="n">
        <x:f>IF(G9204&gt;H9204,1,0)</x:f>
        <x:v>0</x:v>
      </x:c>
      <x:c r="L9204" s="6" t="n">
        <x:f>J9204*K9204</x:f>
        <x:v>0</x:v>
      </x:c>
    </x:row>
    <x:row r="9205">
      <x:c r="A9205" s="1" t="n">
        <x:v>73219</x:v>
      </x:c>
      <x:c r="B9205" s="5" t="d">
        <x:v>2017-12-04T00:00:00.000Z</x:v>
      </x:c>
      <x:c r="C9205" s="1" t="str">
        <x:v>Standard Class</x:v>
      </x:c>
      <x:c r="D9205" s="1" t="str">
        <x:v>Pacific Asia</x:v>
      </x:c>
      <x:c r="E9205" s="1" t="str">
        <x:v>COMPLETE</x:v>
      </x:c>
      <x:c r="F9205" s="1" t="str">
        <x:v>Late delivery</x:v>
      </x:c>
      <x:c r="G9205" s="6" t="n">
        <x:v>5</x:v>
      </x:c>
      <x:c r="H9205" s="6" t="n">
        <x:v>4</x:v>
      </x:c>
      <x:c r="I9205" s="6" t="n">
        <x:f>G9205-H9205</x:f>
        <x:v>1</x:v>
      </x:c>
      <x:c r="J9205" s="6" t="n">
        <x:f>IF(OR(E9205="CANCELED",E9205="SUSPECTED_FRAUD",F9205="Shipping canceled"),0,1)</x:f>
        <x:v>1</x:v>
      </x:c>
      <x:c r="K9205" s="6" t="n">
        <x:f>IF(G9205&gt;H9205,1,0)</x:f>
        <x:v>1</x:v>
      </x:c>
      <x:c r="L9205" s="6" t="n">
        <x:f>J9205*K9205</x:f>
        <x:v>1</x:v>
      </x:c>
    </x:row>
    <x:row r="9206">
      <x:c r="A9206" s="1" t="n">
        <x:v>73220</x:v>
      </x:c>
      <x:c r="B9206" s="5" t="d">
        <x:v>2017-12-04T00:00:00.000Z</x:v>
      </x:c>
      <x:c r="C9206" s="1" t="str">
        <x:v>Standard Class</x:v>
      </x:c>
      <x:c r="D9206" s="1" t="str">
        <x:v>Pacific Asia</x:v>
      </x:c>
      <x:c r="E9206" s="1" t="str">
        <x:v>PROCESSING</x:v>
      </x:c>
      <x:c r="F9206" s="1" t="str">
        <x:v>Late delivery</x:v>
      </x:c>
      <x:c r="G9206" s="6" t="n">
        <x:v>6</x:v>
      </x:c>
      <x:c r="H9206" s="6" t="n">
        <x:v>4</x:v>
      </x:c>
      <x:c r="I9206" s="6" t="n">
        <x:f>G9206-H9206</x:f>
        <x:v>2</x:v>
      </x:c>
      <x:c r="J9206" s="6" t="n">
        <x:f>IF(OR(E9206="CANCELED",E9206="SUSPECTED_FRAUD",F9206="Shipping canceled"),0,1)</x:f>
        <x:v>1</x:v>
      </x:c>
      <x:c r="K9206" s="6" t="n">
        <x:f>IF(G9206&gt;H9206,1,0)</x:f>
        <x:v>1</x:v>
      </x:c>
      <x:c r="L9206" s="6" t="n">
        <x:f>J9206*K9206</x:f>
        <x:v>1</x:v>
      </x:c>
    </x:row>
    <x:row r="9207">
      <x:c r="A9207" s="1" t="n">
        <x:v>73221</x:v>
      </x:c>
      <x:c r="B9207" s="5" t="d">
        <x:v>2017-12-04T00:00:00.000Z</x:v>
      </x:c>
      <x:c r="C9207" s="1" t="str">
        <x:v>Standard Class</x:v>
      </x:c>
      <x:c r="D9207" s="1" t="str">
        <x:v>Pacific Asia</x:v>
      </x:c>
      <x:c r="E9207" s="1" t="str">
        <x:v>PENDING_PAYMENT</x:v>
      </x:c>
      <x:c r="F9207" s="1" t="str">
        <x:v>Advance shipping</x:v>
      </x:c>
      <x:c r="G9207" s="6" t="n">
        <x:v>2</x:v>
      </x:c>
      <x:c r="H9207" s="6" t="n">
        <x:v>4</x:v>
      </x:c>
      <x:c r="I9207" s="6" t="n">
        <x:f>G9207-H9207</x:f>
        <x:v>-2</x:v>
      </x:c>
      <x:c r="J9207" s="6" t="n">
        <x:f>IF(OR(E9207="CANCELED",E9207="SUSPECTED_FRAUD",F9207="Shipping canceled"),0,1)</x:f>
        <x:v>1</x:v>
      </x:c>
      <x:c r="K9207" s="6" t="n">
        <x:f>IF(G9207&gt;H9207,1,0)</x:f>
        <x:v>0</x:v>
      </x:c>
      <x:c r="L9207" s="6" t="n">
        <x:f>J9207*K9207</x:f>
        <x:v>0</x:v>
      </x:c>
    </x:row>
    <x:row r="9208">
      <x:c r="A9208" s="1" t="n">
        <x:v>73496</x:v>
      </x:c>
      <x:c r="B9208" s="5" t="d">
        <x:v>2017-12-08T00:00:00.000Z</x:v>
      </x:c>
      <x:c r="C9208" s="1" t="str">
        <x:v>Standard Class</x:v>
      </x:c>
      <x:c r="D9208" s="1" t="str">
        <x:v>Pacific Asia</x:v>
      </x:c>
      <x:c r="E9208" s="1" t="str">
        <x:v>COMPLETE</x:v>
      </x:c>
      <x:c r="F9208" s="1" t="str">
        <x:v>Advance shipping</x:v>
      </x:c>
      <x:c r="G9208" s="6" t="n">
        <x:v>2</x:v>
      </x:c>
      <x:c r="H9208" s="6" t="n">
        <x:v>4</x:v>
      </x:c>
      <x:c r="I9208" s="6" t="n">
        <x:f>G9208-H9208</x:f>
        <x:v>-2</x:v>
      </x:c>
      <x:c r="J9208" s="6" t="n">
        <x:f>IF(OR(E9208="CANCELED",E9208="SUSPECTED_FRAUD",F9208="Shipping canceled"),0,1)</x:f>
        <x:v>1</x:v>
      </x:c>
      <x:c r="K9208" s="6" t="n">
        <x:f>IF(G9208&gt;H9208,1,0)</x:f>
        <x:v>0</x:v>
      </x:c>
      <x:c r="L9208" s="6" t="n">
        <x:f>J9208*K9208</x:f>
        <x:v>0</x:v>
      </x:c>
    </x:row>
    <x:row r="9209">
      <x:c r="A9209" s="1" t="n">
        <x:v>73508</x:v>
      </x:c>
      <x:c r="B9209" s="5" t="d">
        <x:v>2017-12-09T00:00:00.000Z</x:v>
      </x:c>
      <x:c r="C9209" s="1" t="str">
        <x:v>Standard Class</x:v>
      </x:c>
      <x:c r="D9209" s="1" t="str">
        <x:v>Pacific Asia</x:v>
      </x:c>
      <x:c r="E9209" s="1" t="str">
        <x:v>COMPLETE</x:v>
      </x:c>
      <x:c r="F9209" s="1" t="str">
        <x:v>Shipping on time</x:v>
      </x:c>
      <x:c r="G9209" s="6" t="n">
        <x:v>4</x:v>
      </x:c>
      <x:c r="H9209" s="6" t="n">
        <x:v>4</x:v>
      </x:c>
      <x:c r="I9209" s="6" t="n">
        <x:f>G9209-H9209</x:f>
        <x:v>0</x:v>
      </x:c>
      <x:c r="J9209" s="6" t="n">
        <x:f>IF(OR(E9209="CANCELED",E9209="SUSPECTED_FRAUD",F9209="Shipping canceled"),0,1)</x:f>
        <x:v>1</x:v>
      </x:c>
      <x:c r="K9209" s="6" t="n">
        <x:f>IF(G9209&gt;H9209,1,0)</x:f>
        <x:v>0</x:v>
      </x:c>
      <x:c r="L9209" s="6" t="n">
        <x:f>J9209*K9209</x:f>
        <x:v>0</x:v>
      </x:c>
    </x:row>
    <x:row r="9210">
      <x:c r="A9210" s="1" t="n">
        <x:v>73524</x:v>
      </x:c>
      <x:c r="B9210" s="5" t="d">
        <x:v>2017-12-09T00:00:00.000Z</x:v>
      </x:c>
      <x:c r="C9210" s="1" t="str">
        <x:v>First Class</x:v>
      </x:c>
      <x:c r="D9210" s="1" t="str">
        <x:v>Pacific Asia</x:v>
      </x:c>
      <x:c r="E9210" s="1" t="str">
        <x:v>CLOSED</x:v>
      </x:c>
      <x:c r="F9210" s="1" t="str">
        <x:v>Late delivery</x:v>
      </x:c>
      <x:c r="G9210" s="6" t="n">
        <x:v>2</x:v>
      </x:c>
      <x:c r="H9210" s="6" t="n">
        <x:v>1</x:v>
      </x:c>
      <x:c r="I9210" s="6" t="n">
        <x:f>G9210-H9210</x:f>
        <x:v>1</x:v>
      </x:c>
      <x:c r="J9210" s="6" t="n">
        <x:f>IF(OR(E9210="CANCELED",E9210="SUSPECTED_FRAUD",F9210="Shipping canceled"),0,1)</x:f>
        <x:v>1</x:v>
      </x:c>
      <x:c r="K9210" s="6" t="n">
        <x:f>IF(G9210&gt;H9210,1,0)</x:f>
        <x:v>1</x:v>
      </x:c>
      <x:c r="L9210" s="6" t="n">
        <x:f>J9210*K9210</x:f>
        <x:v>1</x:v>
      </x:c>
    </x:row>
    <x:row r="9211">
      <x:c r="A9211" s="1" t="n">
        <x:v>73564</x:v>
      </x:c>
      <x:c r="B9211" s="5" t="d">
        <x:v>2017-12-09T00:00:00.000Z</x:v>
      </x:c>
      <x:c r="C9211" s="1" t="str">
        <x:v>Standard Class</x:v>
      </x:c>
      <x:c r="D9211" s="1" t="str">
        <x:v>Pacific Asia</x:v>
      </x:c>
      <x:c r="E9211" s="1" t="str">
        <x:v>COMPLETE</x:v>
      </x:c>
      <x:c r="F9211" s="1" t="str">
        <x:v>Late delivery</x:v>
      </x:c>
      <x:c r="G9211" s="6" t="n">
        <x:v>5</x:v>
      </x:c>
      <x:c r="H9211" s="6" t="n">
        <x:v>4</x:v>
      </x:c>
      <x:c r="I9211" s="6" t="n">
        <x:f>G9211-H9211</x:f>
        <x:v>1</x:v>
      </x:c>
      <x:c r="J9211" s="6" t="n">
        <x:f>IF(OR(E9211="CANCELED",E9211="SUSPECTED_FRAUD",F9211="Shipping canceled"),0,1)</x:f>
        <x:v>1</x:v>
      </x:c>
      <x:c r="K9211" s="6" t="n">
        <x:f>IF(G9211&gt;H9211,1,0)</x:f>
        <x:v>1</x:v>
      </x:c>
      <x:c r="L9211" s="6" t="n">
        <x:f>J9211*K9211</x:f>
        <x:v>1</x:v>
      </x:c>
    </x:row>
    <x:row r="9212">
      <x:c r="A9212" s="1" t="n">
        <x:v>73583</x:v>
      </x:c>
      <x:c r="B9212" s="5" t="d">
        <x:v>2017-12-10T00:00:00.000Z</x:v>
      </x:c>
      <x:c r="C9212" s="1" t="str">
        <x:v>Standard Class</x:v>
      </x:c>
      <x:c r="D9212" s="1" t="str">
        <x:v>Pacific Asia</x:v>
      </x:c>
      <x:c r="E9212" s="1" t="str">
        <x:v>ON_HOLD</x:v>
      </x:c>
      <x:c r="F9212" s="1" t="str">
        <x:v>Shipping on time</x:v>
      </x:c>
      <x:c r="G9212" s="6" t="n">
        <x:v>4</x:v>
      </x:c>
      <x:c r="H9212" s="6" t="n">
        <x:v>4</x:v>
      </x:c>
      <x:c r="I9212" s="6" t="n">
        <x:f>G9212-H9212</x:f>
        <x:v>0</x:v>
      </x:c>
      <x:c r="J9212" s="6" t="n">
        <x:f>IF(OR(E9212="CANCELED",E9212="SUSPECTED_FRAUD",F9212="Shipping canceled"),0,1)</x:f>
        <x:v>1</x:v>
      </x:c>
      <x:c r="K9212" s="6" t="n">
        <x:f>IF(G9212&gt;H9212,1,0)</x:f>
        <x:v>0</x:v>
      </x:c>
      <x:c r="L9212" s="6" t="n">
        <x:f>J9212*K9212</x:f>
        <x:v>0</x:v>
      </x:c>
    </x:row>
    <x:row r="9213">
      <x:c r="A9213" s="1" t="n">
        <x:v>73602</x:v>
      </x:c>
      <x:c r="B9213" s="5" t="d">
        <x:v>2017-12-10T00:00:00.000Z</x:v>
      </x:c>
      <x:c r="C9213" s="1" t="str">
        <x:v>First Class</x:v>
      </x:c>
      <x:c r="D9213" s="1" t="str">
        <x:v>Pacific Asia</x:v>
      </x:c>
      <x:c r="E9213" s="1" t="str">
        <x:v>CLOSED</x:v>
      </x:c>
      <x:c r="F9213" s="1" t="str">
        <x:v>Late delivery</x:v>
      </x:c>
      <x:c r="G9213" s="6" t="n">
        <x:v>2</x:v>
      </x:c>
      <x:c r="H9213" s="6" t="n">
        <x:v>1</x:v>
      </x:c>
      <x:c r="I9213" s="6" t="n">
        <x:f>G9213-H9213</x:f>
        <x:v>1</x:v>
      </x:c>
      <x:c r="J9213" s="6" t="n">
        <x:f>IF(OR(E9213="CANCELED",E9213="SUSPECTED_FRAUD",F9213="Shipping canceled"),0,1)</x:f>
        <x:v>1</x:v>
      </x:c>
      <x:c r="K9213" s="6" t="n">
        <x:f>IF(G9213&gt;H9213,1,0)</x:f>
        <x:v>1</x:v>
      </x:c>
      <x:c r="L9213" s="6" t="n">
        <x:f>J9213*K9213</x:f>
        <x:v>1</x:v>
      </x:c>
    </x:row>
    <x:row r="9214">
      <x:c r="A9214" s="1" t="n">
        <x:v>73603</x:v>
      </x:c>
      <x:c r="B9214" s="5" t="d">
        <x:v>2017-12-10T00:00:00.000Z</x:v>
      </x:c>
      <x:c r="C9214" s="1" t="str">
        <x:v>Second Class</x:v>
      </x:c>
      <x:c r="D9214" s="1" t="str">
        <x:v>Pacific Asia</x:v>
      </x:c>
      <x:c r="E9214" s="1" t="str">
        <x:v>COMPLETE</x:v>
      </x:c>
      <x:c r="F9214" s="1" t="str">
        <x:v>Late delivery</x:v>
      </x:c>
      <x:c r="G9214" s="6" t="n">
        <x:v>4</x:v>
      </x:c>
      <x:c r="H9214" s="6" t="n">
        <x:v>2</x:v>
      </x:c>
      <x:c r="I9214" s="6" t="n">
        <x:f>G9214-H9214</x:f>
        <x:v>2</x:v>
      </x:c>
      <x:c r="J9214" s="6" t="n">
        <x:f>IF(OR(E9214="CANCELED",E9214="SUSPECTED_FRAUD",F9214="Shipping canceled"),0,1)</x:f>
        <x:v>1</x:v>
      </x:c>
      <x:c r="K9214" s="6" t="n">
        <x:f>IF(G9214&gt;H9214,1,0)</x:f>
        <x:v>1</x:v>
      </x:c>
      <x:c r="L9214" s="6" t="n">
        <x:f>J9214*K9214</x:f>
        <x:v>1</x:v>
      </x:c>
    </x:row>
    <x:row r="9215">
      <x:c r="A9215" s="1" t="n">
        <x:v>73619</x:v>
      </x:c>
      <x:c r="B9215" s="5" t="d">
        <x:v>2017-12-10T00:00:00.000Z</x:v>
      </x:c>
      <x:c r="C9215" s="1" t="str">
        <x:v>Standard Class</x:v>
      </x:c>
      <x:c r="D9215" s="1" t="str">
        <x:v>Pacific Asia</x:v>
      </x:c>
      <x:c r="E9215" s="1" t="str">
        <x:v>ON_HOLD</x:v>
      </x:c>
      <x:c r="F9215" s="1" t="str">
        <x:v>Late delivery</x:v>
      </x:c>
      <x:c r="G9215" s="6" t="n">
        <x:v>5</x:v>
      </x:c>
      <x:c r="H9215" s="6" t="n">
        <x:v>4</x:v>
      </x:c>
      <x:c r="I9215" s="6" t="n">
        <x:f>G9215-H9215</x:f>
        <x:v>1</x:v>
      </x:c>
      <x:c r="J9215" s="6" t="n">
        <x:f>IF(OR(E9215="CANCELED",E9215="SUSPECTED_FRAUD",F9215="Shipping canceled"),0,1)</x:f>
        <x:v>1</x:v>
      </x:c>
      <x:c r="K9215" s="6" t="n">
        <x:f>IF(G9215&gt;H9215,1,0)</x:f>
        <x:v>1</x:v>
      </x:c>
      <x:c r="L9215" s="6" t="n">
        <x:f>J9215*K9215</x:f>
        <x:v>1</x:v>
      </x:c>
    </x:row>
    <x:row r="9216">
      <x:c r="A9216" s="1" t="n">
        <x:v>73621</x:v>
      </x:c>
      <x:c r="B9216" s="5" t="d">
        <x:v>2017-12-10T00:00:00.000Z</x:v>
      </x:c>
      <x:c r="C9216" s="1" t="str">
        <x:v>Standard Class</x:v>
      </x:c>
      <x:c r="D9216" s="1" t="str">
        <x:v>Pacific Asia</x:v>
      </x:c>
      <x:c r="E9216" s="1" t="str">
        <x:v>COMPLETE</x:v>
      </x:c>
      <x:c r="F9216" s="1" t="str">
        <x:v>Advance shipping</x:v>
      </x:c>
      <x:c r="G9216" s="6" t="n">
        <x:v>2</x:v>
      </x:c>
      <x:c r="H9216" s="6" t="n">
        <x:v>4</x:v>
      </x:c>
      <x:c r="I9216" s="6" t="n">
        <x:f>G9216-H9216</x:f>
        <x:v>-2</x:v>
      </x:c>
      <x:c r="J9216" s="6" t="n">
        <x:f>IF(OR(E9216="CANCELED",E9216="SUSPECTED_FRAUD",F9216="Shipping canceled"),0,1)</x:f>
        <x:v>1</x:v>
      </x:c>
      <x:c r="K9216" s="6" t="n">
        <x:f>IF(G9216&gt;H9216,1,0)</x:f>
        <x:v>0</x:v>
      </x:c>
      <x:c r="L9216" s="6" t="n">
        <x:f>J9216*K9216</x:f>
        <x:v>0</x:v>
      </x:c>
    </x:row>
    <x:row r="9217">
      <x:c r="A9217" s="1" t="n">
        <x:v>73622</x:v>
      </x:c>
      <x:c r="B9217" s="5" t="d">
        <x:v>2017-12-10T00:00:00.000Z</x:v>
      </x:c>
      <x:c r="C9217" s="1" t="str">
        <x:v>Standard Class</x:v>
      </x:c>
      <x:c r="D9217" s="1" t="str">
        <x:v>Pacific Asia</x:v>
      </x:c>
      <x:c r="E9217" s="1" t="str">
        <x:v>COMPLETE</x:v>
      </x:c>
      <x:c r="F9217" s="1" t="str">
        <x:v>Advance shipping</x:v>
      </x:c>
      <x:c r="G9217" s="6" t="n">
        <x:v>3</x:v>
      </x:c>
      <x:c r="H9217" s="6" t="n">
        <x:v>4</x:v>
      </x:c>
      <x:c r="I9217" s="6" t="n">
        <x:f>G9217-H9217</x:f>
        <x:v>-1</x:v>
      </x:c>
      <x:c r="J9217" s="6" t="n">
        <x:f>IF(OR(E9217="CANCELED",E9217="SUSPECTED_FRAUD",F9217="Shipping canceled"),0,1)</x:f>
        <x:v>1</x:v>
      </x:c>
      <x:c r="K9217" s="6" t="n">
        <x:f>IF(G9217&gt;H9217,1,0)</x:f>
        <x:v>0</x:v>
      </x:c>
      <x:c r="L9217" s="6" t="n">
        <x:f>J9217*K9217</x:f>
        <x:v>0</x:v>
      </x:c>
    </x:row>
    <x:row r="9218">
      <x:c r="A9218" s="1" t="n">
        <x:v>73628</x:v>
      </x:c>
      <x:c r="B9218" s="5" t="d">
        <x:v>2017-12-10T00:00:00.000Z</x:v>
      </x:c>
      <x:c r="C9218" s="1" t="str">
        <x:v>First Class</x:v>
      </x:c>
      <x:c r="D9218" s="1" t="str">
        <x:v>Pacific Asia</x:v>
      </x:c>
      <x:c r="E9218" s="1" t="str">
        <x:v>CLOSED</x:v>
      </x:c>
      <x:c r="F9218" s="1" t="str">
        <x:v>Late delivery</x:v>
      </x:c>
      <x:c r="G9218" s="6" t="n">
        <x:v>2</x:v>
      </x:c>
      <x:c r="H9218" s="6" t="n">
        <x:v>1</x:v>
      </x:c>
      <x:c r="I9218" s="6" t="n">
        <x:f>G9218-H9218</x:f>
        <x:v>1</x:v>
      </x:c>
      <x:c r="J9218" s="6" t="n">
        <x:f>IF(OR(E9218="CANCELED",E9218="SUSPECTED_FRAUD",F9218="Shipping canceled"),0,1)</x:f>
        <x:v>1</x:v>
      </x:c>
      <x:c r="K9218" s="6" t="n">
        <x:f>IF(G9218&gt;H9218,1,0)</x:f>
        <x:v>1</x:v>
      </x:c>
      <x:c r="L9218" s="6" t="n">
        <x:f>J9218*K9218</x:f>
        <x:v>1</x:v>
      </x:c>
    </x:row>
    <x:row r="9219">
      <x:c r="A9219" s="1" t="n">
        <x:v>73641</x:v>
      </x:c>
      <x:c r="B9219" s="5" t="d">
        <x:v>2017-12-10T00:00:00.000Z</x:v>
      </x:c>
      <x:c r="C9219" s="1" t="str">
        <x:v>Standard Class</x:v>
      </x:c>
      <x:c r="D9219" s="1" t="str">
        <x:v>Pacific Asia</x:v>
      </x:c>
      <x:c r="E9219" s="1" t="str">
        <x:v>PENDING_PAYMENT</x:v>
      </x:c>
      <x:c r="F9219" s="1" t="str">
        <x:v>Advance shipping</x:v>
      </x:c>
      <x:c r="G9219" s="6" t="n">
        <x:v>2</x:v>
      </x:c>
      <x:c r="H9219" s="6" t="n">
        <x:v>4</x:v>
      </x:c>
      <x:c r="I9219" s="6" t="n">
        <x:f>G9219-H9219</x:f>
        <x:v>-2</x:v>
      </x:c>
      <x:c r="J9219" s="6" t="n">
        <x:f>IF(OR(E9219="CANCELED",E9219="SUSPECTED_FRAUD",F9219="Shipping canceled"),0,1)</x:f>
        <x:v>1</x:v>
      </x:c>
      <x:c r="K9219" s="6" t="n">
        <x:f>IF(G9219&gt;H9219,1,0)</x:f>
        <x:v>0</x:v>
      </x:c>
      <x:c r="L9219" s="6" t="n">
        <x:f>J9219*K9219</x:f>
        <x:v>0</x:v>
      </x:c>
    </x:row>
    <x:row r="9220">
      <x:c r="A9220" s="1" t="n">
        <x:v>73648</x:v>
      </x:c>
      <x:c r="B9220" s="5" t="d">
        <x:v>2017-12-11T00:00:00.000Z</x:v>
      </x:c>
      <x:c r="C9220" s="1" t="str">
        <x:v>Same Day</x:v>
      </x:c>
      <x:c r="D9220" s="1" t="str">
        <x:v>Pacific Asia</x:v>
      </x:c>
      <x:c r="E9220" s="1" t="str">
        <x:v>PROCESSING</x:v>
      </x:c>
      <x:c r="F9220" s="1" t="str">
        <x:v>Shipping on time</x:v>
      </x:c>
      <x:c r="G9220" s="6" t="n">
        <x:v>0</x:v>
      </x:c>
      <x:c r="H9220" s="6" t="n">
        <x:v>0</x:v>
      </x:c>
      <x:c r="I9220" s="6" t="n">
        <x:f>G9220-H9220</x:f>
        <x:v>0</x:v>
      </x:c>
      <x:c r="J9220" s="6" t="n">
        <x:f>IF(OR(E9220="CANCELED",E9220="SUSPECTED_FRAUD",F9220="Shipping canceled"),0,1)</x:f>
        <x:v>1</x:v>
      </x:c>
      <x:c r="K9220" s="6" t="n">
        <x:f>IF(G9220&gt;H9220,1,0)</x:f>
        <x:v>0</x:v>
      </x:c>
      <x:c r="L9220" s="6" t="n">
        <x:f>J9220*K9220</x:f>
        <x:v>0</x:v>
      </x:c>
    </x:row>
    <x:row r="9221">
      <x:c r="A9221" s="1" t="n">
        <x:v>73659</x:v>
      </x:c>
      <x:c r="B9221" s="5" t="d">
        <x:v>2017-12-11T00:00:00.000Z</x:v>
      </x:c>
      <x:c r="C9221" s="1" t="str">
        <x:v>Standard Class</x:v>
      </x:c>
      <x:c r="D9221" s="1" t="str">
        <x:v>Pacific Asia</x:v>
      </x:c>
      <x:c r="E9221" s="1" t="str">
        <x:v>COMPLETE</x:v>
      </x:c>
      <x:c r="F9221" s="1" t="str">
        <x:v>Late delivery</x:v>
      </x:c>
      <x:c r="G9221" s="6" t="n">
        <x:v>5</x:v>
      </x:c>
      <x:c r="H9221" s="6" t="n">
        <x:v>4</x:v>
      </x:c>
      <x:c r="I9221" s="6" t="n">
        <x:f>G9221-H9221</x:f>
        <x:v>1</x:v>
      </x:c>
      <x:c r="J9221" s="6" t="n">
        <x:f>IF(OR(E9221="CANCELED",E9221="SUSPECTED_FRAUD",F9221="Shipping canceled"),0,1)</x:f>
        <x:v>1</x:v>
      </x:c>
      <x:c r="K9221" s="6" t="n">
        <x:f>IF(G9221&gt;H9221,1,0)</x:f>
        <x:v>1</x:v>
      </x:c>
      <x:c r="L9221" s="6" t="n">
        <x:f>J9221*K9221</x:f>
        <x:v>1</x:v>
      </x:c>
    </x:row>
    <x:row r="9222">
      <x:c r="A9222" s="1" t="n">
        <x:v>73684</x:v>
      </x:c>
      <x:c r="B9222" s="5" t="d">
        <x:v>2017-12-11T00:00:00.000Z</x:v>
      </x:c>
      <x:c r="C9222" s="1" t="str">
        <x:v>Second Class</x:v>
      </x:c>
      <x:c r="D9222" s="1" t="str">
        <x:v>Pacific Asia</x:v>
      </x:c>
      <x:c r="E9222" s="1" t="str">
        <x:v>COMPLETE</x:v>
      </x:c>
      <x:c r="F9222" s="1" t="str">
        <x:v>Late delivery</x:v>
      </x:c>
      <x:c r="G9222" s="6" t="n">
        <x:v>5</x:v>
      </x:c>
      <x:c r="H9222" s="6" t="n">
        <x:v>2</x:v>
      </x:c>
      <x:c r="I9222" s="6" t="n">
        <x:f>G9222-H9222</x:f>
        <x:v>3</x:v>
      </x:c>
      <x:c r="J9222" s="6" t="n">
        <x:f>IF(OR(E9222="CANCELED",E9222="SUSPECTED_FRAUD",F9222="Shipping canceled"),0,1)</x:f>
        <x:v>1</x:v>
      </x:c>
      <x:c r="K9222" s="6" t="n">
        <x:f>IF(G9222&gt;H9222,1,0)</x:f>
        <x:v>1</x:v>
      </x:c>
      <x:c r="L9222" s="6" t="n">
        <x:f>J9222*K9222</x:f>
        <x:v>1</x:v>
      </x:c>
    </x:row>
    <x:row r="9223">
      <x:c r="A9223" s="1" t="n">
        <x:v>73686</x:v>
      </x:c>
      <x:c r="B9223" s="5" t="d">
        <x:v>2017-12-11T00:00:00.000Z</x:v>
      </x:c>
      <x:c r="C9223" s="1" t="str">
        <x:v>Second Class</x:v>
      </x:c>
      <x:c r="D9223" s="1" t="str">
        <x:v>Pacific Asia</x:v>
      </x:c>
      <x:c r="E9223" s="1" t="str">
        <x:v>COMPLETE</x:v>
      </x:c>
      <x:c r="F9223" s="1" t="str">
        <x:v>Shipping on time</x:v>
      </x:c>
      <x:c r="G9223" s="6" t="n">
        <x:v>2</x:v>
      </x:c>
      <x:c r="H9223" s="6" t="n">
        <x:v>2</x:v>
      </x:c>
      <x:c r="I9223" s="6" t="n">
        <x:f>G9223-H9223</x:f>
        <x:v>0</x:v>
      </x:c>
      <x:c r="J9223" s="6" t="n">
        <x:f>IF(OR(E9223="CANCELED",E9223="SUSPECTED_FRAUD",F9223="Shipping canceled"),0,1)</x:f>
        <x:v>1</x:v>
      </x:c>
      <x:c r="K9223" s="6" t="n">
        <x:f>IF(G9223&gt;H9223,1,0)</x:f>
        <x:v>0</x:v>
      </x:c>
      <x:c r="L9223" s="6" t="n">
        <x:f>J9223*K9223</x:f>
        <x:v>0</x:v>
      </x:c>
    </x:row>
    <x:row r="9224">
      <x:c r="A9224" s="1" t="n">
        <x:v>73690</x:v>
      </x:c>
      <x:c r="B9224" s="5" t="d">
        <x:v>2017-12-11T00:00:00.000Z</x:v>
      </x:c>
      <x:c r="C9224" s="1" t="str">
        <x:v>Standard Class</x:v>
      </x:c>
      <x:c r="D9224" s="1" t="str">
        <x:v>Pacific Asia</x:v>
      </x:c>
      <x:c r="E9224" s="1" t="str">
        <x:v>COMPLETE</x:v>
      </x:c>
      <x:c r="F9224" s="1" t="str">
        <x:v>Late delivery</x:v>
      </x:c>
      <x:c r="G9224" s="6" t="n">
        <x:v>6</x:v>
      </x:c>
      <x:c r="H9224" s="6" t="n">
        <x:v>4</x:v>
      </x:c>
      <x:c r="I9224" s="6" t="n">
        <x:f>G9224-H9224</x:f>
        <x:v>2</x:v>
      </x:c>
      <x:c r="J9224" s="6" t="n">
        <x:f>IF(OR(E9224="CANCELED",E9224="SUSPECTED_FRAUD",F9224="Shipping canceled"),0,1)</x:f>
        <x:v>1</x:v>
      </x:c>
      <x:c r="K9224" s="6" t="n">
        <x:f>IF(G9224&gt;H9224,1,0)</x:f>
        <x:v>1</x:v>
      </x:c>
      <x:c r="L9224" s="6" t="n">
        <x:f>J9224*K9224</x:f>
        <x:v>1</x:v>
      </x:c>
    </x:row>
    <x:row r="9225">
      <x:c r="A9225" s="1" t="n">
        <x:v>73756</x:v>
      </x:c>
      <x:c r="B9225" s="5" t="d">
        <x:v>2017-12-12T00:00:00.000Z</x:v>
      </x:c>
      <x:c r="C9225" s="1" t="str">
        <x:v>Second Class</x:v>
      </x:c>
      <x:c r="D9225" s="1" t="str">
        <x:v>Pacific Asia</x:v>
      </x:c>
      <x:c r="E9225" s="1" t="str">
        <x:v>ON_HOLD</x:v>
      </x:c>
      <x:c r="F9225" s="1" t="str">
        <x:v>Shipping on time</x:v>
      </x:c>
      <x:c r="G9225" s="6" t="n">
        <x:v>2</x:v>
      </x:c>
      <x:c r="H9225" s="6" t="n">
        <x:v>2</x:v>
      </x:c>
      <x:c r="I9225" s="6" t="n">
        <x:f>G9225-H9225</x:f>
        <x:v>0</x:v>
      </x:c>
      <x:c r="J9225" s="6" t="n">
        <x:f>IF(OR(E9225="CANCELED",E9225="SUSPECTED_FRAUD",F9225="Shipping canceled"),0,1)</x:f>
        <x:v>1</x:v>
      </x:c>
      <x:c r="K9225" s="6" t="n">
        <x:f>IF(G9225&gt;H9225,1,0)</x:f>
        <x:v>0</x:v>
      </x:c>
      <x:c r="L9225" s="6" t="n">
        <x:f>J9225*K9225</x:f>
        <x:v>0</x:v>
      </x:c>
    </x:row>
    <x:row r="9226">
      <x:c r="A9226" s="1" t="n">
        <x:v>73758</x:v>
      </x:c>
      <x:c r="B9226" s="5" t="d">
        <x:v>2017-12-12T00:00:00.000Z</x:v>
      </x:c>
      <x:c r="C9226" s="1" t="str">
        <x:v>Second Class</x:v>
      </x:c>
      <x:c r="D9226" s="1" t="str">
        <x:v>Pacific Asia</x:v>
      </x:c>
      <x:c r="E9226" s="1" t="str">
        <x:v>ON_HOLD</x:v>
      </x:c>
      <x:c r="F9226" s="1" t="str">
        <x:v>Late delivery</x:v>
      </x:c>
      <x:c r="G9226" s="6" t="n">
        <x:v>4</x:v>
      </x:c>
      <x:c r="H9226" s="6" t="n">
        <x:v>2</x:v>
      </x:c>
      <x:c r="I9226" s="6" t="n">
        <x:f>G9226-H9226</x:f>
        <x:v>2</x:v>
      </x:c>
      <x:c r="J9226" s="6" t="n">
        <x:f>IF(OR(E9226="CANCELED",E9226="SUSPECTED_FRAUD",F9226="Shipping canceled"),0,1)</x:f>
        <x:v>1</x:v>
      </x:c>
      <x:c r="K9226" s="6" t="n">
        <x:f>IF(G9226&gt;H9226,1,0)</x:f>
        <x:v>1</x:v>
      </x:c>
      <x:c r="L9226" s="6" t="n">
        <x:f>J9226*K9226</x:f>
        <x:v>1</x:v>
      </x:c>
    </x:row>
    <x:row r="9227">
      <x:c r="A9227" s="1" t="n">
        <x:v>73763</x:v>
      </x:c>
      <x:c r="B9227" s="5" t="d">
        <x:v>2017-12-12T00:00:00.000Z</x:v>
      </x:c>
      <x:c r="C9227" s="1" t="str">
        <x:v>First Class</x:v>
      </x:c>
      <x:c r="D9227" s="1" t="str">
        <x:v>Pacific Asia</x:v>
      </x:c>
      <x:c r="E9227" s="1" t="str">
        <x:v>CLOSED</x:v>
      </x:c>
      <x:c r="F9227" s="1" t="str">
        <x:v>Late delivery</x:v>
      </x:c>
      <x:c r="G9227" s="6" t="n">
        <x:v>2</x:v>
      </x:c>
      <x:c r="H9227" s="6" t="n">
        <x:v>1</x:v>
      </x:c>
      <x:c r="I9227" s="6" t="n">
        <x:f>G9227-H9227</x:f>
        <x:v>1</x:v>
      </x:c>
      <x:c r="J9227" s="6" t="n">
        <x:f>IF(OR(E9227="CANCELED",E9227="SUSPECTED_FRAUD",F9227="Shipping canceled"),0,1)</x:f>
        <x:v>1</x:v>
      </x:c>
      <x:c r="K9227" s="6" t="n">
        <x:f>IF(G9227&gt;H9227,1,0)</x:f>
        <x:v>1</x:v>
      </x:c>
      <x:c r="L9227" s="6" t="n">
        <x:f>J9227*K9227</x:f>
        <x:v>1</x:v>
      </x:c>
    </x:row>
    <x:row r="9228">
      <x:c r="A9228" s="1" t="n">
        <x:v>73764</x:v>
      </x:c>
      <x:c r="B9228" s="5" t="d">
        <x:v>2017-12-12T00:00:00.000Z</x:v>
      </x:c>
      <x:c r="C9228" s="1" t="str">
        <x:v>Second Class</x:v>
      </x:c>
      <x:c r="D9228" s="1" t="str">
        <x:v>Pacific Asia</x:v>
      </x:c>
      <x:c r="E9228" s="1" t="str">
        <x:v>COMPLETE</x:v>
      </x:c>
      <x:c r="F9228" s="1" t="str">
        <x:v>Late delivery</x:v>
      </x:c>
      <x:c r="G9228" s="6" t="n">
        <x:v>5</x:v>
      </x:c>
      <x:c r="H9228" s="6" t="n">
        <x:v>2</x:v>
      </x:c>
      <x:c r="I9228" s="6" t="n">
        <x:f>G9228-H9228</x:f>
        <x:v>3</x:v>
      </x:c>
      <x:c r="J9228" s="6" t="n">
        <x:f>IF(OR(E9228="CANCELED",E9228="SUSPECTED_FRAUD",F9228="Shipping canceled"),0,1)</x:f>
        <x:v>1</x:v>
      </x:c>
      <x:c r="K9228" s="6" t="n">
        <x:f>IF(G9228&gt;H9228,1,0)</x:f>
        <x:v>1</x:v>
      </x:c>
      <x:c r="L9228" s="6" t="n">
        <x:f>J9228*K9228</x:f>
        <x:v>1</x:v>
      </x:c>
    </x:row>
    <x:row r="9229">
      <x:c r="A9229" s="1" t="n">
        <x:v>73781</x:v>
      </x:c>
      <x:c r="B9229" s="5" t="d">
        <x:v>2017-12-13T00:00:00.000Z</x:v>
      </x:c>
      <x:c r="C9229" s="1" t="str">
        <x:v>Second Class</x:v>
      </x:c>
      <x:c r="D9229" s="1" t="str">
        <x:v>Pacific Asia</x:v>
      </x:c>
      <x:c r="E9229" s="1" t="str">
        <x:v>COMPLETE</x:v>
      </x:c>
      <x:c r="F9229" s="1" t="str">
        <x:v>Shipping on time</x:v>
      </x:c>
      <x:c r="G9229" s="6" t="n">
        <x:v>2</x:v>
      </x:c>
      <x:c r="H9229" s="6" t="n">
        <x:v>2</x:v>
      </x:c>
      <x:c r="I9229" s="6" t="n">
        <x:f>G9229-H9229</x:f>
        <x:v>0</x:v>
      </x:c>
      <x:c r="J9229" s="6" t="n">
        <x:f>IF(OR(E9229="CANCELED",E9229="SUSPECTED_FRAUD",F9229="Shipping canceled"),0,1)</x:f>
        <x:v>1</x:v>
      </x:c>
      <x:c r="K9229" s="6" t="n">
        <x:f>IF(G9229&gt;H9229,1,0)</x:f>
        <x:v>0</x:v>
      </x:c>
      <x:c r="L9229" s="6" t="n">
        <x:f>J9229*K9229</x:f>
        <x:v>0</x:v>
      </x:c>
    </x:row>
    <x:row r="9230">
      <x:c r="A9230" s="1" t="n">
        <x:v>73783</x:v>
      </x:c>
      <x:c r="B9230" s="5" t="d">
        <x:v>2017-12-13T00:00:00.000Z</x:v>
      </x:c>
      <x:c r="C9230" s="1" t="str">
        <x:v>Second Class</x:v>
      </x:c>
      <x:c r="D9230" s="1" t="str">
        <x:v>Pacific Asia</x:v>
      </x:c>
      <x:c r="E9230" s="1" t="str">
        <x:v>COMPLETE</x:v>
      </x:c>
      <x:c r="F9230" s="1" t="str">
        <x:v>Late delivery</x:v>
      </x:c>
      <x:c r="G9230" s="6" t="n">
        <x:v>4</x:v>
      </x:c>
      <x:c r="H9230" s="6" t="n">
        <x:v>2</x:v>
      </x:c>
      <x:c r="I9230" s="6" t="n">
        <x:f>G9230-H9230</x:f>
        <x:v>2</x:v>
      </x:c>
      <x:c r="J9230" s="6" t="n">
        <x:f>IF(OR(E9230="CANCELED",E9230="SUSPECTED_FRAUD",F9230="Shipping canceled"),0,1)</x:f>
        <x:v>1</x:v>
      </x:c>
      <x:c r="K9230" s="6" t="n">
        <x:f>IF(G9230&gt;H9230,1,0)</x:f>
        <x:v>1</x:v>
      </x:c>
      <x:c r="L9230" s="6" t="n">
        <x:f>J9230*K9230</x:f>
        <x:v>1</x:v>
      </x:c>
    </x:row>
    <x:row r="9231">
      <x:c r="A9231" s="1" t="n">
        <x:v>73794</x:v>
      </x:c>
      <x:c r="B9231" s="5" t="d">
        <x:v>2017-12-13T00:00:00.000Z</x:v>
      </x:c>
      <x:c r="C9231" s="1" t="str">
        <x:v>Standard Class</x:v>
      </x:c>
      <x:c r="D9231" s="1" t="str">
        <x:v>Pacific Asia</x:v>
      </x:c>
      <x:c r="E9231" s="1" t="str">
        <x:v>COMPLETE</x:v>
      </x:c>
      <x:c r="F9231" s="1" t="str">
        <x:v>Late delivery</x:v>
      </x:c>
      <x:c r="G9231" s="6" t="n">
        <x:v>5</x:v>
      </x:c>
      <x:c r="H9231" s="6" t="n">
        <x:v>4</x:v>
      </x:c>
      <x:c r="I9231" s="6" t="n">
        <x:f>G9231-H9231</x:f>
        <x:v>1</x:v>
      </x:c>
      <x:c r="J9231" s="6" t="n">
        <x:f>IF(OR(E9231="CANCELED",E9231="SUSPECTED_FRAUD",F9231="Shipping canceled"),0,1)</x:f>
        <x:v>1</x:v>
      </x:c>
      <x:c r="K9231" s="6" t="n">
        <x:f>IF(G9231&gt;H9231,1,0)</x:f>
        <x:v>1</x:v>
      </x:c>
      <x:c r="L9231" s="6" t="n">
        <x:f>J9231*K9231</x:f>
        <x:v>1</x:v>
      </x:c>
    </x:row>
    <x:row r="9232">
      <x:c r="A9232" s="1" t="n">
        <x:v>73796</x:v>
      </x:c>
      <x:c r="B9232" s="5" t="d">
        <x:v>2017-12-13T00:00:00.000Z</x:v>
      </x:c>
      <x:c r="C9232" s="1" t="str">
        <x:v>Standard Class</x:v>
      </x:c>
      <x:c r="D9232" s="1" t="str">
        <x:v>Pacific Asia</x:v>
      </x:c>
      <x:c r="E9232" s="1" t="str">
        <x:v>COMPLETE</x:v>
      </x:c>
      <x:c r="F9232" s="1" t="str">
        <x:v>Advance shipping</x:v>
      </x:c>
      <x:c r="G9232" s="6" t="n">
        <x:v>2</x:v>
      </x:c>
      <x:c r="H9232" s="6" t="n">
        <x:v>4</x:v>
      </x:c>
      <x:c r="I9232" s="6" t="n">
        <x:f>G9232-H9232</x:f>
        <x:v>-2</x:v>
      </x:c>
      <x:c r="J9232" s="6" t="n">
        <x:f>IF(OR(E9232="CANCELED",E9232="SUSPECTED_FRAUD",F9232="Shipping canceled"),0,1)</x:f>
        <x:v>1</x:v>
      </x:c>
      <x:c r="K9232" s="6" t="n">
        <x:f>IF(G9232&gt;H9232,1,0)</x:f>
        <x:v>0</x:v>
      </x:c>
      <x:c r="L9232" s="6" t="n">
        <x:f>J9232*K9232</x:f>
        <x:v>0</x:v>
      </x:c>
    </x:row>
    <x:row r="9233">
      <x:c r="A9233" s="1" t="n">
        <x:v>73813</x:v>
      </x:c>
      <x:c r="B9233" s="5" t="d">
        <x:v>2017-12-13T00:00:00.000Z</x:v>
      </x:c>
      <x:c r="C9233" s="1" t="str">
        <x:v>Second Class</x:v>
      </x:c>
      <x:c r="D9233" s="1" t="str">
        <x:v>Pacific Asia</x:v>
      </x:c>
      <x:c r="E9233" s="1" t="str">
        <x:v>ON_HOLD</x:v>
      </x:c>
      <x:c r="F9233" s="1" t="str">
        <x:v>Late delivery</x:v>
      </x:c>
      <x:c r="G9233" s="6" t="n">
        <x:v>4</x:v>
      </x:c>
      <x:c r="H9233" s="6" t="n">
        <x:v>2</x:v>
      </x:c>
      <x:c r="I9233" s="6" t="n">
        <x:f>G9233-H9233</x:f>
        <x:v>2</x:v>
      </x:c>
      <x:c r="J9233" s="6" t="n">
        <x:f>IF(OR(E9233="CANCELED",E9233="SUSPECTED_FRAUD",F9233="Shipping canceled"),0,1)</x:f>
        <x:v>1</x:v>
      </x:c>
      <x:c r="K9233" s="6" t="n">
        <x:f>IF(G9233&gt;H9233,1,0)</x:f>
        <x:v>1</x:v>
      </x:c>
      <x:c r="L9233" s="6" t="n">
        <x:f>J9233*K9233</x:f>
        <x:v>1</x:v>
      </x:c>
    </x:row>
    <x:row r="9234">
      <x:c r="A9234" s="1" t="n">
        <x:v>73839</x:v>
      </x:c>
      <x:c r="B9234" s="5" t="d">
        <x:v>2017-12-13T00:00:00.000Z</x:v>
      </x:c>
      <x:c r="C9234" s="1" t="str">
        <x:v>Standard Class</x:v>
      </x:c>
      <x:c r="D9234" s="1" t="str">
        <x:v>Pacific Asia</x:v>
      </x:c>
      <x:c r="E9234" s="1" t="str">
        <x:v>COMPLETE</x:v>
      </x:c>
      <x:c r="F9234" s="1" t="str">
        <x:v>Late delivery</x:v>
      </x:c>
      <x:c r="G9234" s="6" t="n">
        <x:v>5</x:v>
      </x:c>
      <x:c r="H9234" s="6" t="n">
        <x:v>4</x:v>
      </x:c>
      <x:c r="I9234" s="6" t="n">
        <x:f>G9234-H9234</x:f>
        <x:v>1</x:v>
      </x:c>
      <x:c r="J9234" s="6" t="n">
        <x:f>IF(OR(E9234="CANCELED",E9234="SUSPECTED_FRAUD",F9234="Shipping canceled"),0,1)</x:f>
        <x:v>1</x:v>
      </x:c>
      <x:c r="K9234" s="6" t="n">
        <x:f>IF(G9234&gt;H9234,1,0)</x:f>
        <x:v>1</x:v>
      </x:c>
      <x:c r="L9234" s="6" t="n">
        <x:f>J9234*K9234</x:f>
        <x:v>1</x:v>
      </x:c>
    </x:row>
    <x:row r="9235">
      <x:c r="A9235" s="1" t="n">
        <x:v>73840</x:v>
      </x:c>
      <x:c r="B9235" s="5" t="d">
        <x:v>2017-12-13T00:00:00.000Z</x:v>
      </x:c>
      <x:c r="C9235" s="1" t="str">
        <x:v>Standard Class</x:v>
      </x:c>
      <x:c r="D9235" s="1" t="str">
        <x:v>Pacific Asia</x:v>
      </x:c>
      <x:c r="E9235" s="1" t="str">
        <x:v>CLOSED</x:v>
      </x:c>
      <x:c r="F9235" s="1" t="str">
        <x:v>Late delivery</x:v>
      </x:c>
      <x:c r="G9235" s="6" t="n">
        <x:v>6</x:v>
      </x:c>
      <x:c r="H9235" s="6" t="n">
        <x:v>4</x:v>
      </x:c>
      <x:c r="I9235" s="6" t="n">
        <x:f>G9235-H9235</x:f>
        <x:v>2</x:v>
      </x:c>
      <x:c r="J9235" s="6" t="n">
        <x:f>IF(OR(E9235="CANCELED",E9235="SUSPECTED_FRAUD",F9235="Shipping canceled"),0,1)</x:f>
        <x:v>1</x:v>
      </x:c>
      <x:c r="K9235" s="6" t="n">
        <x:f>IF(G9235&gt;H9235,1,0)</x:f>
        <x:v>1</x:v>
      </x:c>
      <x:c r="L9235" s="6" t="n">
        <x:f>J9235*K9235</x:f>
        <x:v>1</x:v>
      </x:c>
    </x:row>
    <x:row r="9236">
      <x:c r="A9236" s="1" t="n">
        <x:v>73869</x:v>
      </x:c>
      <x:c r="B9236" s="5" t="d">
        <x:v>2017-12-14T00:00:00.000Z</x:v>
      </x:c>
      <x:c r="C9236" s="1" t="str">
        <x:v>Second Class</x:v>
      </x:c>
      <x:c r="D9236" s="1" t="str">
        <x:v>Pacific Asia</x:v>
      </x:c>
      <x:c r="E9236" s="1" t="str">
        <x:v>COMPLETE</x:v>
      </x:c>
      <x:c r="F9236" s="1" t="str">
        <x:v>Late delivery</x:v>
      </x:c>
      <x:c r="G9236" s="6" t="n">
        <x:v>5</x:v>
      </x:c>
      <x:c r="H9236" s="6" t="n">
        <x:v>2</x:v>
      </x:c>
      <x:c r="I9236" s="6" t="n">
        <x:f>G9236-H9236</x:f>
        <x:v>3</x:v>
      </x:c>
      <x:c r="J9236" s="6" t="n">
        <x:f>IF(OR(E9236="CANCELED",E9236="SUSPECTED_FRAUD",F9236="Shipping canceled"),0,1)</x:f>
        <x:v>1</x:v>
      </x:c>
      <x:c r="K9236" s="6" t="n">
        <x:f>IF(G9236&gt;H9236,1,0)</x:f>
        <x:v>1</x:v>
      </x:c>
      <x:c r="L9236" s="6" t="n">
        <x:f>J9236*K9236</x:f>
        <x:v>1</x:v>
      </x:c>
    </x:row>
    <x:row r="9237">
      <x:c r="A9237" s="1" t="n">
        <x:v>73886</x:v>
      </x:c>
      <x:c r="B9237" s="5" t="d">
        <x:v>2017-12-14T00:00:00.000Z</x:v>
      </x:c>
      <x:c r="C9237" s="1" t="str">
        <x:v>First Class</x:v>
      </x:c>
      <x:c r="D9237" s="1" t="str">
        <x:v>Pacific Asia</x:v>
      </x:c>
      <x:c r="E9237" s="1" t="str">
        <x:v>CLOSED</x:v>
      </x:c>
      <x:c r="F9237" s="1" t="str">
        <x:v>Late delivery</x:v>
      </x:c>
      <x:c r="G9237" s="6" t="n">
        <x:v>2</x:v>
      </x:c>
      <x:c r="H9237" s="6" t="n">
        <x:v>1</x:v>
      </x:c>
      <x:c r="I9237" s="6" t="n">
        <x:f>G9237-H9237</x:f>
        <x:v>1</x:v>
      </x:c>
      <x:c r="J9237" s="6" t="n">
        <x:f>IF(OR(E9237="CANCELED",E9237="SUSPECTED_FRAUD",F9237="Shipping canceled"),0,1)</x:f>
        <x:v>1</x:v>
      </x:c>
      <x:c r="K9237" s="6" t="n">
        <x:f>IF(G9237&gt;H9237,1,0)</x:f>
        <x:v>1</x:v>
      </x:c>
      <x:c r="L9237" s="6" t="n">
        <x:f>J9237*K9237</x:f>
        <x:v>1</x:v>
      </x:c>
    </x:row>
    <x:row r="9238">
      <x:c r="A9238" s="1" t="n">
        <x:v>73889</x:v>
      </x:c>
      <x:c r="B9238" s="5" t="d">
        <x:v>2017-12-14T00:00:00.000Z</x:v>
      </x:c>
      <x:c r="C9238" s="1" t="str">
        <x:v>Second Class</x:v>
      </x:c>
      <x:c r="D9238" s="1" t="str">
        <x:v>Pacific Asia</x:v>
      </x:c>
      <x:c r="E9238" s="1" t="str">
        <x:v>COMPLETE</x:v>
      </x:c>
      <x:c r="F9238" s="1" t="str">
        <x:v>Late delivery</x:v>
      </x:c>
      <x:c r="G9238" s="6" t="n">
        <x:v>5</x:v>
      </x:c>
      <x:c r="H9238" s="6" t="n">
        <x:v>2</x:v>
      </x:c>
      <x:c r="I9238" s="6" t="n">
        <x:f>G9238-H9238</x:f>
        <x:v>3</x:v>
      </x:c>
      <x:c r="J9238" s="6" t="n">
        <x:f>IF(OR(E9238="CANCELED",E9238="SUSPECTED_FRAUD",F9238="Shipping canceled"),0,1)</x:f>
        <x:v>1</x:v>
      </x:c>
      <x:c r="K9238" s="6" t="n">
        <x:f>IF(G9238&gt;H9238,1,0)</x:f>
        <x:v>1</x:v>
      </x:c>
      <x:c r="L9238" s="6" t="n">
        <x:f>J9238*K9238</x:f>
        <x:v>1</x:v>
      </x:c>
    </x:row>
    <x:row r="9239">
      <x:c r="A9239" s="1" t="n">
        <x:v>73893</x:v>
      </x:c>
      <x:c r="B9239" s="5" t="d">
        <x:v>2017-12-14T00:00:00.000Z</x:v>
      </x:c>
      <x:c r="C9239" s="1" t="str">
        <x:v>Standard Class</x:v>
      </x:c>
      <x:c r="D9239" s="1" t="str">
        <x:v>Pacific Asia</x:v>
      </x:c>
      <x:c r="E9239" s="1" t="str">
        <x:v>COMPLETE</x:v>
      </x:c>
      <x:c r="F9239" s="1" t="str">
        <x:v>Shipping on time</x:v>
      </x:c>
      <x:c r="G9239" s="6" t="n">
        <x:v>4</x:v>
      </x:c>
      <x:c r="H9239" s="6" t="n">
        <x:v>4</x:v>
      </x:c>
      <x:c r="I9239" s="6" t="n">
        <x:f>G9239-H9239</x:f>
        <x:v>0</x:v>
      </x:c>
      <x:c r="J9239" s="6" t="n">
        <x:f>IF(OR(E9239="CANCELED",E9239="SUSPECTED_FRAUD",F9239="Shipping canceled"),0,1)</x:f>
        <x:v>1</x:v>
      </x:c>
      <x:c r="K9239" s="6" t="n">
        <x:f>IF(G9239&gt;H9239,1,0)</x:f>
        <x:v>0</x:v>
      </x:c>
      <x:c r="L9239" s="6" t="n">
        <x:f>J9239*K9239</x:f>
        <x:v>0</x:v>
      </x:c>
    </x:row>
    <x:row r="9240">
      <x:c r="A9240" s="1" t="n">
        <x:v>73906</x:v>
      </x:c>
      <x:c r="B9240" s="5" t="d">
        <x:v>2017-12-14T00:00:00.000Z</x:v>
      </x:c>
      <x:c r="C9240" s="1" t="str">
        <x:v>Standard Class</x:v>
      </x:c>
      <x:c r="D9240" s="1" t="str">
        <x:v>Pacific Asia</x:v>
      </x:c>
      <x:c r="E9240" s="1" t="str">
        <x:v>COMPLETE</x:v>
      </x:c>
      <x:c r="F9240" s="1" t="str">
        <x:v>Advance shipping</x:v>
      </x:c>
      <x:c r="G9240" s="6" t="n">
        <x:v>2</x:v>
      </x:c>
      <x:c r="H9240" s="6" t="n">
        <x:v>4</x:v>
      </x:c>
      <x:c r="I9240" s="6" t="n">
        <x:f>G9240-H9240</x:f>
        <x:v>-2</x:v>
      </x:c>
      <x:c r="J9240" s="6" t="n">
        <x:f>IF(OR(E9240="CANCELED",E9240="SUSPECTED_FRAUD",F9240="Shipping canceled"),0,1)</x:f>
        <x:v>1</x:v>
      </x:c>
      <x:c r="K9240" s="6" t="n">
        <x:f>IF(G9240&gt;H9240,1,0)</x:f>
        <x:v>0</x:v>
      </x:c>
      <x:c r="L9240" s="6" t="n">
        <x:f>J9240*K9240</x:f>
        <x:v>0</x:v>
      </x:c>
    </x:row>
    <x:row r="9241">
      <x:c r="A9241" s="1" t="n">
        <x:v>73951</x:v>
      </x:c>
      <x:c r="B9241" s="5" t="d">
        <x:v>2017-12-15T00:00:00.000Z</x:v>
      </x:c>
      <x:c r="C9241" s="1" t="str">
        <x:v>Second Class</x:v>
      </x:c>
      <x:c r="D9241" s="1" t="str">
        <x:v>Pacific Asia</x:v>
      </x:c>
      <x:c r="E9241" s="1" t="str">
        <x:v>ON_HOLD</x:v>
      </x:c>
      <x:c r="F9241" s="1" t="str">
        <x:v>Shipping on time</x:v>
      </x:c>
      <x:c r="G9241" s="6" t="n">
        <x:v>2</x:v>
      </x:c>
      <x:c r="H9241" s="6" t="n">
        <x:v>2</x:v>
      </x:c>
      <x:c r="I9241" s="6" t="n">
        <x:f>G9241-H9241</x:f>
        <x:v>0</x:v>
      </x:c>
      <x:c r="J9241" s="6" t="n">
        <x:f>IF(OR(E9241="CANCELED",E9241="SUSPECTED_FRAUD",F9241="Shipping canceled"),0,1)</x:f>
        <x:v>1</x:v>
      </x:c>
      <x:c r="K9241" s="6" t="n">
        <x:f>IF(G9241&gt;H9241,1,0)</x:f>
        <x:v>0</x:v>
      </x:c>
      <x:c r="L9241" s="6" t="n">
        <x:f>J9241*K9241</x:f>
        <x:v>0</x:v>
      </x:c>
    </x:row>
    <x:row r="9242">
      <x:c r="A9242" s="1" t="n">
        <x:v>73970</x:v>
      </x:c>
      <x:c r="B9242" s="5" t="d">
        <x:v>2017-12-15T00:00:00.000Z</x:v>
      </x:c>
      <x:c r="C9242" s="1" t="str">
        <x:v>Second Class</x:v>
      </x:c>
      <x:c r="D9242" s="1" t="str">
        <x:v>Pacific Asia</x:v>
      </x:c>
      <x:c r="E9242" s="1" t="str">
        <x:v>COMPLETE</x:v>
      </x:c>
      <x:c r="F9242" s="1" t="str">
        <x:v>Late delivery</x:v>
      </x:c>
      <x:c r="G9242" s="6" t="n">
        <x:v>6</x:v>
      </x:c>
      <x:c r="H9242" s="6" t="n">
        <x:v>2</x:v>
      </x:c>
      <x:c r="I9242" s="6" t="n">
        <x:f>G9242-H9242</x:f>
        <x:v>4</x:v>
      </x:c>
      <x:c r="J9242" s="6" t="n">
        <x:f>IF(OR(E9242="CANCELED",E9242="SUSPECTED_FRAUD",F9242="Shipping canceled"),0,1)</x:f>
        <x:v>1</x:v>
      </x:c>
      <x:c r="K9242" s="6" t="n">
        <x:f>IF(G9242&gt;H9242,1,0)</x:f>
        <x:v>1</x:v>
      </x:c>
      <x:c r="L9242" s="6" t="n">
        <x:f>J9242*K9242</x:f>
        <x:v>1</x:v>
      </x:c>
    </x:row>
    <x:row r="9243">
      <x:c r="A9243" s="1" t="n">
        <x:v>74001</x:v>
      </x:c>
      <x:c r="B9243" s="5" t="d">
        <x:v>2017-12-16T00:00:00.000Z</x:v>
      </x:c>
      <x:c r="C9243" s="1" t="str">
        <x:v>First Class</x:v>
      </x:c>
      <x:c r="D9243" s="1" t="str">
        <x:v>Pacific Asia</x:v>
      </x:c>
      <x:c r="E9243" s="1" t="str">
        <x:v>PENDING</x:v>
      </x:c>
      <x:c r="F9243" s="1" t="str">
        <x:v>Late delivery</x:v>
      </x:c>
      <x:c r="G9243" s="6" t="n">
        <x:v>2</x:v>
      </x:c>
      <x:c r="H9243" s="6" t="n">
        <x:v>1</x:v>
      </x:c>
      <x:c r="I9243" s="6" t="n">
        <x:f>G9243-H9243</x:f>
        <x:v>1</x:v>
      </x:c>
      <x:c r="J9243" s="6" t="n">
        <x:f>IF(OR(E9243="CANCELED",E9243="SUSPECTED_FRAUD",F9243="Shipping canceled"),0,1)</x:f>
        <x:v>1</x:v>
      </x:c>
      <x:c r="K9243" s="6" t="n">
        <x:f>IF(G9243&gt;H9243,1,0)</x:f>
        <x:v>1</x:v>
      </x:c>
      <x:c r="L9243" s="6" t="n">
        <x:f>J9243*K9243</x:f>
        <x:v>1</x:v>
      </x:c>
    </x:row>
    <x:row r="9244">
      <x:c r="A9244" s="1" t="n">
        <x:v>74019</x:v>
      </x:c>
      <x:c r="B9244" s="5" t="d">
        <x:v>2017-12-16T00:00:00.000Z</x:v>
      </x:c>
      <x:c r="C9244" s="1" t="str">
        <x:v>First Class</x:v>
      </x:c>
      <x:c r="D9244" s="1" t="str">
        <x:v>Pacific Asia</x:v>
      </x:c>
      <x:c r="E9244" s="1" t="str">
        <x:v>CLOSED</x:v>
      </x:c>
      <x:c r="F9244" s="1" t="str">
        <x:v>Late delivery</x:v>
      </x:c>
      <x:c r="G9244" s="6" t="n">
        <x:v>2</x:v>
      </x:c>
      <x:c r="H9244" s="6" t="n">
        <x:v>1</x:v>
      </x:c>
      <x:c r="I9244" s="6" t="n">
        <x:f>G9244-H9244</x:f>
        <x:v>1</x:v>
      </x:c>
      <x:c r="J9244" s="6" t="n">
        <x:f>IF(OR(E9244="CANCELED",E9244="SUSPECTED_FRAUD",F9244="Shipping canceled"),0,1)</x:f>
        <x:v>1</x:v>
      </x:c>
      <x:c r="K9244" s="6" t="n">
        <x:f>IF(G9244&gt;H9244,1,0)</x:f>
        <x:v>1</x:v>
      </x:c>
      <x:c r="L9244" s="6" t="n">
        <x:f>J9244*K9244</x:f>
        <x:v>1</x:v>
      </x:c>
    </x:row>
    <x:row r="9245">
      <x:c r="A9245" s="1" t="n">
        <x:v>74020</x:v>
      </x:c>
      <x:c r="B9245" s="5" t="d">
        <x:v>2017-12-16T00:00:00.000Z</x:v>
      </x:c>
      <x:c r="C9245" s="1" t="str">
        <x:v>Standard Class</x:v>
      </x:c>
      <x:c r="D9245" s="1" t="str">
        <x:v>Pacific Asia</x:v>
      </x:c>
      <x:c r="E9245" s="1" t="str">
        <x:v>COMPLETE</x:v>
      </x:c>
      <x:c r="F9245" s="1" t="str">
        <x:v>Late delivery</x:v>
      </x:c>
      <x:c r="G9245" s="6" t="n">
        <x:v>6</x:v>
      </x:c>
      <x:c r="H9245" s="6" t="n">
        <x:v>4</x:v>
      </x:c>
      <x:c r="I9245" s="6" t="n">
        <x:f>G9245-H9245</x:f>
        <x:v>2</x:v>
      </x:c>
      <x:c r="J9245" s="6" t="n">
        <x:f>IF(OR(E9245="CANCELED",E9245="SUSPECTED_FRAUD",F9245="Shipping canceled"),0,1)</x:f>
        <x:v>1</x:v>
      </x:c>
      <x:c r="K9245" s="6" t="n">
        <x:f>IF(G9245&gt;H9245,1,0)</x:f>
        <x:v>1</x:v>
      </x:c>
      <x:c r="L9245" s="6" t="n">
        <x:f>J9245*K9245</x:f>
        <x:v>1</x:v>
      </x:c>
    </x:row>
    <x:row r="9246">
      <x:c r="A9246" s="1" t="n">
        <x:v>74022</x:v>
      </x:c>
      <x:c r="B9246" s="5" t="d">
        <x:v>2017-12-16T00:00:00.000Z</x:v>
      </x:c>
      <x:c r="C9246" s="1" t="str">
        <x:v>Standard Class</x:v>
      </x:c>
      <x:c r="D9246" s="1" t="str">
        <x:v>Pacific Asia</x:v>
      </x:c>
      <x:c r="E9246" s="1" t="str">
        <x:v>COMPLETE</x:v>
      </x:c>
      <x:c r="F9246" s="1" t="str">
        <x:v>Advance shipping</x:v>
      </x:c>
      <x:c r="G9246" s="6" t="n">
        <x:v>3</x:v>
      </x:c>
      <x:c r="H9246" s="6" t="n">
        <x:v>4</x:v>
      </x:c>
      <x:c r="I9246" s="6" t="n">
        <x:f>G9246-H9246</x:f>
        <x:v>-1</x:v>
      </x:c>
      <x:c r="J9246" s="6" t="n">
        <x:f>IF(OR(E9246="CANCELED",E9246="SUSPECTED_FRAUD",F9246="Shipping canceled"),0,1)</x:f>
        <x:v>1</x:v>
      </x:c>
      <x:c r="K9246" s="6" t="n">
        <x:f>IF(G9246&gt;H9246,1,0)</x:f>
        <x:v>0</x:v>
      </x:c>
      <x:c r="L9246" s="6" t="n">
        <x:f>J9246*K9246</x:f>
        <x:v>0</x:v>
      </x:c>
    </x:row>
    <x:row r="9247">
      <x:c r="A9247" s="1" t="n">
        <x:v>74042</x:v>
      </x:c>
      <x:c r="B9247" s="5" t="d">
        <x:v>2017-12-16T00:00:00.000Z</x:v>
      </x:c>
      <x:c r="C9247" s="1" t="str">
        <x:v>Same Day</x:v>
      </x:c>
      <x:c r="D9247" s="1" t="str">
        <x:v>Pacific Asia</x:v>
      </x:c>
      <x:c r="E9247" s="1" t="str">
        <x:v>SUSPECTED_FRAUD</x:v>
      </x:c>
      <x:c r="F9247" s="1" t="str">
        <x:v>Shipping canceled</x:v>
      </x:c>
      <x:c r="G9247" s="6" t="n">
        <x:v>1</x:v>
      </x:c>
      <x:c r="H9247" s="6" t="n">
        <x:v>0</x:v>
      </x:c>
      <x:c r="I9247" s="6" t="n">
        <x:f>G9247-H9247</x:f>
        <x:v>1</x:v>
      </x:c>
      <x:c r="J9247" s="6" t="n">
        <x:f>IF(OR(E9247="CANCELED",E9247="SUSPECTED_FRAUD",F9247="Shipping canceled"),0,1)</x:f>
        <x:v>0</x:v>
      </x:c>
      <x:c r="K9247" s="6" t="n">
        <x:f>IF(G9247&gt;H9247,1,0)</x:f>
        <x:v>1</x:v>
      </x:c>
      <x:c r="L9247" s="6" t="n">
        <x:f>J9247*K9247</x:f>
        <x:v>0</x:v>
      </x:c>
    </x:row>
    <x:row r="9248">
      <x:c r="A9248" s="1" t="n">
        <x:v>74044</x:v>
      </x:c>
      <x:c r="B9248" s="5" t="d">
        <x:v>2017-12-16T00:00:00.000Z</x:v>
      </x:c>
      <x:c r="C9248" s="1" t="str">
        <x:v>Same Day</x:v>
      </x:c>
      <x:c r="D9248" s="1" t="str">
        <x:v>Pacific Asia</x:v>
      </x:c>
      <x:c r="E9248" s="1" t="str">
        <x:v>CLOSED</x:v>
      </x:c>
      <x:c r="F9248" s="1" t="str">
        <x:v>Late delivery</x:v>
      </x:c>
      <x:c r="G9248" s="6" t="n">
        <x:v>1</x:v>
      </x:c>
      <x:c r="H9248" s="6" t="n">
        <x:v>0</x:v>
      </x:c>
      <x:c r="I9248" s="6" t="n">
        <x:f>G9248-H9248</x:f>
        <x:v>1</x:v>
      </x:c>
      <x:c r="J9248" s="6" t="n">
        <x:f>IF(OR(E9248="CANCELED",E9248="SUSPECTED_FRAUD",F9248="Shipping canceled"),0,1)</x:f>
        <x:v>1</x:v>
      </x:c>
      <x:c r="K9248" s="6" t="n">
        <x:f>IF(G9248&gt;H9248,1,0)</x:f>
        <x:v>1</x:v>
      </x:c>
      <x:c r="L9248" s="6" t="n">
        <x:f>J9248*K9248</x:f>
        <x:v>1</x:v>
      </x:c>
    </x:row>
    <x:row r="9249">
      <x:c r="A9249" s="1" t="n">
        <x:v>74057</x:v>
      </x:c>
      <x:c r="B9249" s="5" t="d">
        <x:v>2017-12-17T00:00:00.000Z</x:v>
      </x:c>
      <x:c r="C9249" s="1" t="str">
        <x:v>Standard Class</x:v>
      </x:c>
      <x:c r="D9249" s="1" t="str">
        <x:v>Pacific Asia</x:v>
      </x:c>
      <x:c r="E9249" s="1" t="str">
        <x:v>PENDING_PAYMENT</x:v>
      </x:c>
      <x:c r="F9249" s="1" t="str">
        <x:v>Advance shipping</x:v>
      </x:c>
      <x:c r="G9249" s="6" t="n">
        <x:v>3</x:v>
      </x:c>
      <x:c r="H9249" s="6" t="n">
        <x:v>4</x:v>
      </x:c>
      <x:c r="I9249" s="6" t="n">
        <x:f>G9249-H9249</x:f>
        <x:v>-1</x:v>
      </x:c>
      <x:c r="J9249" s="6" t="n">
        <x:f>IF(OR(E9249="CANCELED",E9249="SUSPECTED_FRAUD",F9249="Shipping canceled"),0,1)</x:f>
        <x:v>1</x:v>
      </x:c>
      <x:c r="K9249" s="6" t="n">
        <x:f>IF(G9249&gt;H9249,1,0)</x:f>
        <x:v>0</x:v>
      </x:c>
      <x:c r="L9249" s="6" t="n">
        <x:f>J9249*K9249</x:f>
        <x:v>0</x:v>
      </x:c>
    </x:row>
    <x:row r="9250">
      <x:c r="A9250" s="1" t="n">
        <x:v>74061</x:v>
      </x:c>
      <x:c r="B9250" s="5" t="d">
        <x:v>2017-12-17T00:00:00.000Z</x:v>
      </x:c>
      <x:c r="C9250" s="1" t="str">
        <x:v>Standard Class</x:v>
      </x:c>
      <x:c r="D9250" s="1" t="str">
        <x:v>Pacific Asia</x:v>
      </x:c>
      <x:c r="E9250" s="1" t="str">
        <x:v>PENDING_PAYMENT</x:v>
      </x:c>
      <x:c r="F9250" s="1" t="str">
        <x:v>Advance shipping</x:v>
      </x:c>
      <x:c r="G9250" s="6" t="n">
        <x:v>2</x:v>
      </x:c>
      <x:c r="H9250" s="6" t="n">
        <x:v>4</x:v>
      </x:c>
      <x:c r="I9250" s="6" t="n">
        <x:f>G9250-H9250</x:f>
        <x:v>-2</x:v>
      </x:c>
      <x:c r="J9250" s="6" t="n">
        <x:f>IF(OR(E9250="CANCELED",E9250="SUSPECTED_FRAUD",F9250="Shipping canceled"),0,1)</x:f>
        <x:v>1</x:v>
      </x:c>
      <x:c r="K9250" s="6" t="n">
        <x:f>IF(G9250&gt;H9250,1,0)</x:f>
        <x:v>0</x:v>
      </x:c>
      <x:c r="L9250" s="6" t="n">
        <x:f>J9250*K9250</x:f>
        <x:v>0</x:v>
      </x:c>
    </x:row>
    <x:row r="9251">
      <x:c r="A9251" s="1" t="n">
        <x:v>74063</x:v>
      </x:c>
      <x:c r="B9251" s="5" t="d">
        <x:v>2017-12-17T00:00:00.000Z</x:v>
      </x:c>
      <x:c r="C9251" s="1" t="str">
        <x:v>Standard Class</x:v>
      </x:c>
      <x:c r="D9251" s="1" t="str">
        <x:v>Pacific Asia</x:v>
      </x:c>
      <x:c r="E9251" s="1" t="str">
        <x:v>PENDING_PAYMENT</x:v>
      </x:c>
      <x:c r="F9251" s="1" t="str">
        <x:v>Shipping on time</x:v>
      </x:c>
      <x:c r="G9251" s="6" t="n">
        <x:v>4</x:v>
      </x:c>
      <x:c r="H9251" s="6" t="n">
        <x:v>4</x:v>
      </x:c>
      <x:c r="I9251" s="6" t="n">
        <x:f>G9251-H9251</x:f>
        <x:v>0</x:v>
      </x:c>
      <x:c r="J9251" s="6" t="n">
        <x:f>IF(OR(E9251="CANCELED",E9251="SUSPECTED_FRAUD",F9251="Shipping canceled"),0,1)</x:f>
        <x:v>1</x:v>
      </x:c>
      <x:c r="K9251" s="6" t="n">
        <x:f>IF(G9251&gt;H9251,1,0)</x:f>
        <x:v>0</x:v>
      </x:c>
      <x:c r="L9251" s="6" t="n">
        <x:f>J9251*K9251</x:f>
        <x:v>0</x:v>
      </x:c>
    </x:row>
    <x:row r="9252">
      <x:c r="A9252" s="1" t="n">
        <x:v>74070</x:v>
      </x:c>
      <x:c r="B9252" s="5" t="d">
        <x:v>2017-12-17T00:00:00.000Z</x:v>
      </x:c>
      <x:c r="C9252" s="1" t="str">
        <x:v>Standard Class</x:v>
      </x:c>
      <x:c r="D9252" s="1" t="str">
        <x:v>Pacific Asia</x:v>
      </x:c>
      <x:c r="E9252" s="1" t="str">
        <x:v>COMPLETE</x:v>
      </x:c>
      <x:c r="F9252" s="1" t="str">
        <x:v>Late delivery</x:v>
      </x:c>
      <x:c r="G9252" s="6" t="n">
        <x:v>6</x:v>
      </x:c>
      <x:c r="H9252" s="6" t="n">
        <x:v>4</x:v>
      </x:c>
      <x:c r="I9252" s="6" t="n">
        <x:f>G9252-H9252</x:f>
        <x:v>2</x:v>
      </x:c>
      <x:c r="J9252" s="6" t="n">
        <x:f>IF(OR(E9252="CANCELED",E9252="SUSPECTED_FRAUD",F9252="Shipping canceled"),0,1)</x:f>
        <x:v>1</x:v>
      </x:c>
      <x:c r="K9252" s="6" t="n">
        <x:f>IF(G9252&gt;H9252,1,0)</x:f>
        <x:v>1</x:v>
      </x:c>
      <x:c r="L9252" s="6" t="n">
        <x:f>J9252*K9252</x:f>
        <x:v>1</x:v>
      </x:c>
    </x:row>
    <x:row r="9253">
      <x:c r="A9253" s="1" t="n">
        <x:v>74075</x:v>
      </x:c>
      <x:c r="B9253" s="5" t="d">
        <x:v>2017-12-17T00:00:00.000Z</x:v>
      </x:c>
      <x:c r="C9253" s="1" t="str">
        <x:v>Second Class</x:v>
      </x:c>
      <x:c r="D9253" s="1" t="str">
        <x:v>Pacific Asia</x:v>
      </x:c>
      <x:c r="E9253" s="1" t="str">
        <x:v>SUSPECTED_FRAUD</x:v>
      </x:c>
      <x:c r="F9253" s="1" t="str">
        <x:v>Shipping canceled</x:v>
      </x:c>
      <x:c r="G9253" s="6" t="n">
        <x:v>6</x:v>
      </x:c>
      <x:c r="H9253" s="6" t="n">
        <x:v>2</x:v>
      </x:c>
      <x:c r="I9253" s="6" t="n">
        <x:f>G9253-H9253</x:f>
        <x:v>4</x:v>
      </x:c>
      <x:c r="J9253" s="6" t="n">
        <x:f>IF(OR(E9253="CANCELED",E9253="SUSPECTED_FRAUD",F9253="Shipping canceled"),0,1)</x:f>
        <x:v>0</x:v>
      </x:c>
      <x:c r="K9253" s="6" t="n">
        <x:f>IF(G9253&gt;H9253,1,0)</x:f>
        <x:v>1</x:v>
      </x:c>
      <x:c r="L9253" s="6" t="n">
        <x:f>J9253*K9253</x:f>
        <x:v>0</x:v>
      </x:c>
    </x:row>
    <x:row r="9254">
      <x:c r="A9254" s="1" t="n">
        <x:v>74127</x:v>
      </x:c>
      <x:c r="B9254" s="5" t="d">
        <x:v>2017-12-18T00:00:00.000Z</x:v>
      </x:c>
      <x:c r="C9254" s="1" t="str">
        <x:v>Second Class</x:v>
      </x:c>
      <x:c r="D9254" s="1" t="str">
        <x:v>Pacific Asia</x:v>
      </x:c>
      <x:c r="E9254" s="1" t="str">
        <x:v>COMPLETE</x:v>
      </x:c>
      <x:c r="F9254" s="1" t="str">
        <x:v>Late delivery</x:v>
      </x:c>
      <x:c r="G9254" s="6" t="n">
        <x:v>3</x:v>
      </x:c>
      <x:c r="H9254" s="6" t="n">
        <x:v>2</x:v>
      </x:c>
      <x:c r="I9254" s="6" t="n">
        <x:f>G9254-H9254</x:f>
        <x:v>1</x:v>
      </x:c>
      <x:c r="J9254" s="6" t="n">
        <x:f>IF(OR(E9254="CANCELED",E9254="SUSPECTED_FRAUD",F9254="Shipping canceled"),0,1)</x:f>
        <x:v>1</x:v>
      </x:c>
      <x:c r="K9254" s="6" t="n">
        <x:f>IF(G9254&gt;H9254,1,0)</x:f>
        <x:v>1</x:v>
      </x:c>
      <x:c r="L9254" s="6" t="n">
        <x:f>J9254*K9254</x:f>
        <x:v>1</x:v>
      </x:c>
    </x:row>
    <x:row r="9255">
      <x:c r="A9255" s="1" t="n">
        <x:v>74129</x:v>
      </x:c>
      <x:c r="B9255" s="5" t="d">
        <x:v>2017-12-18T00:00:00.000Z</x:v>
      </x:c>
      <x:c r="C9255" s="1" t="str">
        <x:v>Second Class</x:v>
      </x:c>
      <x:c r="D9255" s="1" t="str">
        <x:v>Pacific Asia</x:v>
      </x:c>
      <x:c r="E9255" s="1" t="str">
        <x:v>COMPLETE</x:v>
      </x:c>
      <x:c r="F9255" s="1" t="str">
        <x:v>Late delivery</x:v>
      </x:c>
      <x:c r="G9255" s="6" t="n">
        <x:v>5</x:v>
      </x:c>
      <x:c r="H9255" s="6" t="n">
        <x:v>2</x:v>
      </x:c>
      <x:c r="I9255" s="6" t="n">
        <x:f>G9255-H9255</x:f>
        <x:v>3</x:v>
      </x:c>
      <x:c r="J9255" s="6" t="n">
        <x:f>IF(OR(E9255="CANCELED",E9255="SUSPECTED_FRAUD",F9255="Shipping canceled"),0,1)</x:f>
        <x:v>1</x:v>
      </x:c>
      <x:c r="K9255" s="6" t="n">
        <x:f>IF(G9255&gt;H9255,1,0)</x:f>
        <x:v>1</x:v>
      </x:c>
      <x:c r="L9255" s="6" t="n">
        <x:f>J9255*K9255</x:f>
        <x:v>1</x:v>
      </x:c>
    </x:row>
    <x:row r="9256">
      <x:c r="A9256" s="1" t="n">
        <x:v>74134</x:v>
      </x:c>
      <x:c r="B9256" s="5" t="d">
        <x:v>2017-12-18T00:00:00.000Z</x:v>
      </x:c>
      <x:c r="C9256" s="1" t="str">
        <x:v>Standard Class</x:v>
      </x:c>
      <x:c r="D9256" s="1" t="str">
        <x:v>Pacific Asia</x:v>
      </x:c>
      <x:c r="E9256" s="1" t="str">
        <x:v>COMPLETE</x:v>
      </x:c>
      <x:c r="F9256" s="1" t="str">
        <x:v>Late delivery</x:v>
      </x:c>
      <x:c r="G9256" s="6" t="n">
        <x:v>5</x:v>
      </x:c>
      <x:c r="H9256" s="6" t="n">
        <x:v>4</x:v>
      </x:c>
      <x:c r="I9256" s="6" t="n">
        <x:f>G9256-H9256</x:f>
        <x:v>1</x:v>
      </x:c>
      <x:c r="J9256" s="6" t="n">
        <x:f>IF(OR(E9256="CANCELED",E9256="SUSPECTED_FRAUD",F9256="Shipping canceled"),0,1)</x:f>
        <x:v>1</x:v>
      </x:c>
      <x:c r="K9256" s="6" t="n">
        <x:f>IF(G9256&gt;H9256,1,0)</x:f>
        <x:v>1</x:v>
      </x:c>
      <x:c r="L9256" s="6" t="n">
        <x:f>J9256*K9256</x:f>
        <x:v>1</x:v>
      </x:c>
    </x:row>
    <x:row r="9257">
      <x:c r="A9257" s="1" t="n">
        <x:v>74157</x:v>
      </x:c>
      <x:c r="B9257" s="5" t="d">
        <x:v>2017-12-18T00:00:00.000Z</x:v>
      </x:c>
      <x:c r="C9257" s="1" t="str">
        <x:v>Second Class</x:v>
      </x:c>
      <x:c r="D9257" s="1" t="str">
        <x:v>Pacific Asia</x:v>
      </x:c>
      <x:c r="E9257" s="1" t="str">
        <x:v>COMPLETE</x:v>
      </x:c>
      <x:c r="F9257" s="1" t="str">
        <x:v>Late delivery</x:v>
      </x:c>
      <x:c r="G9257" s="6" t="n">
        <x:v>3</x:v>
      </x:c>
      <x:c r="H9257" s="6" t="n">
        <x:v>2</x:v>
      </x:c>
      <x:c r="I9257" s="6" t="n">
        <x:f>G9257-H9257</x:f>
        <x:v>1</x:v>
      </x:c>
      <x:c r="J9257" s="6" t="n">
        <x:f>IF(OR(E9257="CANCELED",E9257="SUSPECTED_FRAUD",F9257="Shipping canceled"),0,1)</x:f>
        <x:v>1</x:v>
      </x:c>
      <x:c r="K9257" s="6" t="n">
        <x:f>IF(G9257&gt;H9257,1,0)</x:f>
        <x:v>1</x:v>
      </x:c>
      <x:c r="L9257" s="6" t="n">
        <x:f>J9257*K9257</x:f>
        <x:v>1</x:v>
      </x:c>
    </x:row>
    <x:row r="9258">
      <x:c r="A9258" s="1" t="n">
        <x:v>74164</x:v>
      </x:c>
      <x:c r="B9258" s="5" t="d">
        <x:v>2017-12-18T00:00:00.000Z</x:v>
      </x:c>
      <x:c r="C9258" s="1" t="str">
        <x:v>First Class</x:v>
      </x:c>
      <x:c r="D9258" s="1" t="str">
        <x:v>Pacific Asia</x:v>
      </x:c>
      <x:c r="E9258" s="1" t="str">
        <x:v>CLOSED</x:v>
      </x:c>
      <x:c r="F9258" s="1" t="str">
        <x:v>Late delivery</x:v>
      </x:c>
      <x:c r="G9258" s="6" t="n">
        <x:v>2</x:v>
      </x:c>
      <x:c r="H9258" s="6" t="n">
        <x:v>1</x:v>
      </x:c>
      <x:c r="I9258" s="6" t="n">
        <x:f>G9258-H9258</x:f>
        <x:v>1</x:v>
      </x:c>
      <x:c r="J9258" s="6" t="n">
        <x:f>IF(OR(E9258="CANCELED",E9258="SUSPECTED_FRAUD",F9258="Shipping canceled"),0,1)</x:f>
        <x:v>1</x:v>
      </x:c>
      <x:c r="K9258" s="6" t="n">
        <x:f>IF(G9258&gt;H9258,1,0)</x:f>
        <x:v>1</x:v>
      </x:c>
      <x:c r="L9258" s="6" t="n">
        <x:f>J9258*K9258</x:f>
        <x:v>1</x:v>
      </x:c>
    </x:row>
    <x:row r="9259">
      <x:c r="A9259" s="1" t="n">
        <x:v>74172</x:v>
      </x:c>
      <x:c r="B9259" s="5" t="d">
        <x:v>2017-12-18T00:00:00.000Z</x:v>
      </x:c>
      <x:c r="C9259" s="1" t="str">
        <x:v>Standard Class</x:v>
      </x:c>
      <x:c r="D9259" s="1" t="str">
        <x:v>Pacific Asia</x:v>
      </x:c>
      <x:c r="E9259" s="1" t="str">
        <x:v>CLOSED</x:v>
      </x:c>
      <x:c r="F9259" s="1" t="str">
        <x:v>Advance shipping</x:v>
      </x:c>
      <x:c r="G9259" s="6" t="n">
        <x:v>3</x:v>
      </x:c>
      <x:c r="H9259" s="6" t="n">
        <x:v>4</x:v>
      </x:c>
      <x:c r="I9259" s="6" t="n">
        <x:f>G9259-H9259</x:f>
        <x:v>-1</x:v>
      </x:c>
      <x:c r="J9259" s="6" t="n">
        <x:f>IF(OR(E9259="CANCELED",E9259="SUSPECTED_FRAUD",F9259="Shipping canceled"),0,1)</x:f>
        <x:v>1</x:v>
      </x:c>
      <x:c r="K9259" s="6" t="n">
        <x:f>IF(G9259&gt;H9259,1,0)</x:f>
        <x:v>0</x:v>
      </x:c>
      <x:c r="L9259" s="6" t="n">
        <x:f>J9259*K9259</x:f>
        <x:v>0</x:v>
      </x:c>
    </x:row>
    <x:row r="9260">
      <x:c r="A9260" s="1" t="n">
        <x:v>74193</x:v>
      </x:c>
      <x:c r="B9260" s="5" t="d">
        <x:v>2017-12-19T00:00:00.000Z</x:v>
      </x:c>
      <x:c r="C9260" s="1" t="str">
        <x:v>Standard Class</x:v>
      </x:c>
      <x:c r="D9260" s="1" t="str">
        <x:v>Pacific Asia</x:v>
      </x:c>
      <x:c r="E9260" s="1" t="str">
        <x:v>COMPLETE</x:v>
      </x:c>
      <x:c r="F9260" s="1" t="str">
        <x:v>Shipping on time</x:v>
      </x:c>
      <x:c r="G9260" s="6" t="n">
        <x:v>4</x:v>
      </x:c>
      <x:c r="H9260" s="6" t="n">
        <x:v>4</x:v>
      </x:c>
      <x:c r="I9260" s="6" t="n">
        <x:f>G9260-H9260</x:f>
        <x:v>0</x:v>
      </x:c>
      <x:c r="J9260" s="6" t="n">
        <x:f>IF(OR(E9260="CANCELED",E9260="SUSPECTED_FRAUD",F9260="Shipping canceled"),0,1)</x:f>
        <x:v>1</x:v>
      </x:c>
      <x:c r="K9260" s="6" t="n">
        <x:f>IF(G9260&gt;H9260,1,0)</x:f>
        <x:v>0</x:v>
      </x:c>
      <x:c r="L9260" s="6" t="n">
        <x:f>J9260*K9260</x:f>
        <x:v>0</x:v>
      </x:c>
    </x:row>
    <x:row r="9261">
      <x:c r="A9261" s="1" t="n">
        <x:v>74194</x:v>
      </x:c>
      <x:c r="B9261" s="5" t="d">
        <x:v>2017-12-19T00:00:00.000Z</x:v>
      </x:c>
      <x:c r="C9261" s="1" t="str">
        <x:v>Standard Class</x:v>
      </x:c>
      <x:c r="D9261" s="1" t="str">
        <x:v>Pacific Asia</x:v>
      </x:c>
      <x:c r="E9261" s="1" t="str">
        <x:v>COMPLETE</x:v>
      </x:c>
      <x:c r="F9261" s="1" t="str">
        <x:v>Late delivery</x:v>
      </x:c>
      <x:c r="G9261" s="6" t="n">
        <x:v>5</x:v>
      </x:c>
      <x:c r="H9261" s="6" t="n">
        <x:v>4</x:v>
      </x:c>
      <x:c r="I9261" s="6" t="n">
        <x:f>G9261-H9261</x:f>
        <x:v>1</x:v>
      </x:c>
      <x:c r="J9261" s="6" t="n">
        <x:f>IF(OR(E9261="CANCELED",E9261="SUSPECTED_FRAUD",F9261="Shipping canceled"),0,1)</x:f>
        <x:v>1</x:v>
      </x:c>
      <x:c r="K9261" s="6" t="n">
        <x:f>IF(G9261&gt;H9261,1,0)</x:f>
        <x:v>1</x:v>
      </x:c>
      <x:c r="L9261" s="6" t="n">
        <x:f>J9261*K9261</x:f>
        <x:v>1</x:v>
      </x:c>
    </x:row>
    <x:row r="9262">
      <x:c r="A9262" s="1" t="n">
        <x:v>74199</x:v>
      </x:c>
      <x:c r="B9262" s="5" t="d">
        <x:v>2017-12-19T00:00:00.000Z</x:v>
      </x:c>
      <x:c r="C9262" s="1" t="str">
        <x:v>Standard Class</x:v>
      </x:c>
      <x:c r="D9262" s="1" t="str">
        <x:v>Pacific Asia</x:v>
      </x:c>
      <x:c r="E9262" s="1" t="str">
        <x:v>COMPLETE</x:v>
      </x:c>
      <x:c r="F9262" s="1" t="str">
        <x:v>Late delivery</x:v>
      </x:c>
      <x:c r="G9262" s="6" t="n">
        <x:v>5</x:v>
      </x:c>
      <x:c r="H9262" s="6" t="n">
        <x:v>4</x:v>
      </x:c>
      <x:c r="I9262" s="6" t="n">
        <x:f>G9262-H9262</x:f>
        <x:v>1</x:v>
      </x:c>
      <x:c r="J9262" s="6" t="n">
        <x:f>IF(OR(E9262="CANCELED",E9262="SUSPECTED_FRAUD",F9262="Shipping canceled"),0,1)</x:f>
        <x:v>1</x:v>
      </x:c>
      <x:c r="K9262" s="6" t="n">
        <x:f>IF(G9262&gt;H9262,1,0)</x:f>
        <x:v>1</x:v>
      </x:c>
      <x:c r="L9262" s="6" t="n">
        <x:f>J9262*K9262</x:f>
        <x:v>1</x:v>
      </x:c>
    </x:row>
    <x:row r="9263">
      <x:c r="A9263" s="1" t="n">
        <x:v>74201</x:v>
      </x:c>
      <x:c r="B9263" s="5" t="d">
        <x:v>2017-12-19T00:00:00.000Z</x:v>
      </x:c>
      <x:c r="C9263" s="1" t="str">
        <x:v>Standard Class</x:v>
      </x:c>
      <x:c r="D9263" s="1" t="str">
        <x:v>Pacific Asia</x:v>
      </x:c>
      <x:c r="E9263" s="1" t="str">
        <x:v>ON_HOLD</x:v>
      </x:c>
      <x:c r="F9263" s="1" t="str">
        <x:v>Advance shipping</x:v>
      </x:c>
      <x:c r="G9263" s="6" t="n">
        <x:v>2</x:v>
      </x:c>
      <x:c r="H9263" s="6" t="n">
        <x:v>4</x:v>
      </x:c>
      <x:c r="I9263" s="6" t="n">
        <x:f>G9263-H9263</x:f>
        <x:v>-2</x:v>
      </x:c>
      <x:c r="J9263" s="6" t="n">
        <x:f>IF(OR(E9263="CANCELED",E9263="SUSPECTED_FRAUD",F9263="Shipping canceled"),0,1)</x:f>
        <x:v>1</x:v>
      </x:c>
      <x:c r="K9263" s="6" t="n">
        <x:f>IF(G9263&gt;H9263,1,0)</x:f>
        <x:v>0</x:v>
      </x:c>
      <x:c r="L9263" s="6" t="n">
        <x:f>J9263*K9263</x:f>
        <x:v>0</x:v>
      </x:c>
    </x:row>
    <x:row r="9264">
      <x:c r="A9264" s="1" t="n">
        <x:v>74219</x:v>
      </x:c>
      <x:c r="B9264" s="5" t="d">
        <x:v>2017-12-19T00:00:00.000Z</x:v>
      </x:c>
      <x:c r="C9264" s="1" t="str">
        <x:v>Standard Class</x:v>
      </x:c>
      <x:c r="D9264" s="1" t="str">
        <x:v>Pacific Asia</x:v>
      </x:c>
      <x:c r="E9264" s="1" t="str">
        <x:v>COMPLETE</x:v>
      </x:c>
      <x:c r="F9264" s="1" t="str">
        <x:v>Late delivery</x:v>
      </x:c>
      <x:c r="G9264" s="6" t="n">
        <x:v>5</x:v>
      </x:c>
      <x:c r="H9264" s="6" t="n">
        <x:v>4</x:v>
      </x:c>
      <x:c r="I9264" s="6" t="n">
        <x:f>G9264-H9264</x:f>
        <x:v>1</x:v>
      </x:c>
      <x:c r="J9264" s="6" t="n">
        <x:f>IF(OR(E9264="CANCELED",E9264="SUSPECTED_FRAUD",F9264="Shipping canceled"),0,1)</x:f>
        <x:v>1</x:v>
      </x:c>
      <x:c r="K9264" s="6" t="n">
        <x:f>IF(G9264&gt;H9264,1,0)</x:f>
        <x:v>1</x:v>
      </x:c>
      <x:c r="L9264" s="6" t="n">
        <x:f>J9264*K9264</x:f>
        <x:v>1</x:v>
      </x:c>
    </x:row>
    <x:row r="9265">
      <x:c r="A9265" s="1" t="n">
        <x:v>74234</x:v>
      </x:c>
      <x:c r="B9265" s="5" t="d">
        <x:v>2017-12-19T00:00:00.000Z</x:v>
      </x:c>
      <x:c r="C9265" s="1" t="str">
        <x:v>Second Class</x:v>
      </x:c>
      <x:c r="D9265" s="1" t="str">
        <x:v>Pacific Asia</x:v>
      </x:c>
      <x:c r="E9265" s="1" t="str">
        <x:v>COMPLETE</x:v>
      </x:c>
      <x:c r="F9265" s="1" t="str">
        <x:v>Late delivery</x:v>
      </x:c>
      <x:c r="G9265" s="6" t="n">
        <x:v>5</x:v>
      </x:c>
      <x:c r="H9265" s="6" t="n">
        <x:v>2</x:v>
      </x:c>
      <x:c r="I9265" s="6" t="n">
        <x:f>G9265-H9265</x:f>
        <x:v>3</x:v>
      </x:c>
      <x:c r="J9265" s="6" t="n">
        <x:f>IF(OR(E9265="CANCELED",E9265="SUSPECTED_FRAUD",F9265="Shipping canceled"),0,1)</x:f>
        <x:v>1</x:v>
      </x:c>
      <x:c r="K9265" s="6" t="n">
        <x:f>IF(G9265&gt;H9265,1,0)</x:f>
        <x:v>1</x:v>
      </x:c>
      <x:c r="L9265" s="6" t="n">
        <x:f>J9265*K9265</x:f>
        <x:v>1</x:v>
      </x:c>
    </x:row>
    <x:row r="9266">
      <x:c r="A9266" s="1" t="n">
        <x:v>74250</x:v>
      </x:c>
      <x:c r="B9266" s="5" t="d">
        <x:v>2017-12-19T00:00:00.000Z</x:v>
      </x:c>
      <x:c r="C9266" s="1" t="str">
        <x:v>Second Class</x:v>
      </x:c>
      <x:c r="D9266" s="1" t="str">
        <x:v>Pacific Asia</x:v>
      </x:c>
      <x:c r="E9266" s="1" t="str">
        <x:v>COMPLETE</x:v>
      </x:c>
      <x:c r="F9266" s="1" t="str">
        <x:v>Late delivery</x:v>
      </x:c>
      <x:c r="G9266" s="6" t="n">
        <x:v>6</x:v>
      </x:c>
      <x:c r="H9266" s="6" t="n">
        <x:v>2</x:v>
      </x:c>
      <x:c r="I9266" s="6" t="n">
        <x:f>G9266-H9266</x:f>
        <x:v>4</x:v>
      </x:c>
      <x:c r="J9266" s="6" t="n">
        <x:f>IF(OR(E9266="CANCELED",E9266="SUSPECTED_FRAUD",F9266="Shipping canceled"),0,1)</x:f>
        <x:v>1</x:v>
      </x:c>
      <x:c r="K9266" s="6" t="n">
        <x:f>IF(G9266&gt;H9266,1,0)</x:f>
        <x:v>1</x:v>
      </x:c>
      <x:c r="L9266" s="6" t="n">
        <x:f>J9266*K9266</x:f>
        <x:v>1</x:v>
      </x:c>
    </x:row>
    <x:row r="9267">
      <x:c r="A9267" s="1" t="n">
        <x:v>74252</x:v>
      </x:c>
      <x:c r="B9267" s="5" t="d">
        <x:v>2017-12-19T00:00:00.000Z</x:v>
      </x:c>
      <x:c r="C9267" s="1" t="str">
        <x:v>Second Class</x:v>
      </x:c>
      <x:c r="D9267" s="1" t="str">
        <x:v>Pacific Asia</x:v>
      </x:c>
      <x:c r="E9267" s="1" t="str">
        <x:v>CLOSED</x:v>
      </x:c>
      <x:c r="F9267" s="1" t="str">
        <x:v>Late delivery</x:v>
      </x:c>
      <x:c r="G9267" s="6" t="n">
        <x:v>3</x:v>
      </x:c>
      <x:c r="H9267" s="6" t="n">
        <x:v>2</x:v>
      </x:c>
      <x:c r="I9267" s="6" t="n">
        <x:f>G9267-H9267</x:f>
        <x:v>1</x:v>
      </x:c>
      <x:c r="J9267" s="6" t="n">
        <x:f>IF(OR(E9267="CANCELED",E9267="SUSPECTED_FRAUD",F9267="Shipping canceled"),0,1)</x:f>
        <x:v>1</x:v>
      </x:c>
      <x:c r="K9267" s="6" t="n">
        <x:f>IF(G9267&gt;H9267,1,0)</x:f>
        <x:v>1</x:v>
      </x:c>
      <x:c r="L9267" s="6" t="n">
        <x:f>J9267*K9267</x:f>
        <x:v>1</x:v>
      </x:c>
    </x:row>
    <x:row r="9268">
      <x:c r="A9268" s="1" t="n">
        <x:v>74253</x:v>
      </x:c>
      <x:c r="B9268" s="5" t="d">
        <x:v>2017-12-19T00:00:00.000Z</x:v>
      </x:c>
      <x:c r="C9268" s="1" t="str">
        <x:v>Standard Class</x:v>
      </x:c>
      <x:c r="D9268" s="1" t="str">
        <x:v>Pacific Asia</x:v>
      </x:c>
      <x:c r="E9268" s="1" t="str">
        <x:v>COMPLETE</x:v>
      </x:c>
      <x:c r="F9268" s="1" t="str">
        <x:v>Shipping on time</x:v>
      </x:c>
      <x:c r="G9268" s="6" t="n">
        <x:v>4</x:v>
      </x:c>
      <x:c r="H9268" s="6" t="n">
        <x:v>4</x:v>
      </x:c>
      <x:c r="I9268" s="6" t="n">
        <x:f>G9268-H9268</x:f>
        <x:v>0</x:v>
      </x:c>
      <x:c r="J9268" s="6" t="n">
        <x:f>IF(OR(E9268="CANCELED",E9268="SUSPECTED_FRAUD",F9268="Shipping canceled"),0,1)</x:f>
        <x:v>1</x:v>
      </x:c>
      <x:c r="K9268" s="6" t="n">
        <x:f>IF(G9268&gt;H9268,1,0)</x:f>
        <x:v>0</x:v>
      </x:c>
      <x:c r="L9268" s="6" t="n">
        <x:f>J9268*K9268</x:f>
        <x:v>0</x:v>
      </x:c>
    </x:row>
    <x:row r="9269">
      <x:c r="A9269" s="1" t="n">
        <x:v>74259</x:v>
      </x:c>
      <x:c r="B9269" s="5" t="d">
        <x:v>2017-12-19T00:00:00.000Z</x:v>
      </x:c>
      <x:c r="C9269" s="1" t="str">
        <x:v>Standard Class</x:v>
      </x:c>
      <x:c r="D9269" s="1" t="str">
        <x:v>Pacific Asia</x:v>
      </x:c>
      <x:c r="E9269" s="1" t="str">
        <x:v>COMPLETE</x:v>
      </x:c>
      <x:c r="F9269" s="1" t="str">
        <x:v>Late delivery</x:v>
      </x:c>
      <x:c r="G9269" s="6" t="n">
        <x:v>5</x:v>
      </x:c>
      <x:c r="H9269" s="6" t="n">
        <x:v>4</x:v>
      </x:c>
      <x:c r="I9269" s="6" t="n">
        <x:f>G9269-H9269</x:f>
        <x:v>1</x:v>
      </x:c>
      <x:c r="J9269" s="6" t="n">
        <x:f>IF(OR(E9269="CANCELED",E9269="SUSPECTED_FRAUD",F9269="Shipping canceled"),0,1)</x:f>
        <x:v>1</x:v>
      </x:c>
      <x:c r="K9269" s="6" t="n">
        <x:f>IF(G9269&gt;H9269,1,0)</x:f>
        <x:v>1</x:v>
      </x:c>
      <x:c r="L9269" s="6" t="n">
        <x:f>J9269*K9269</x:f>
        <x:v>1</x:v>
      </x:c>
    </x:row>
    <x:row r="9270">
      <x:c r="A9270" s="1" t="n">
        <x:v>74265</x:v>
      </x:c>
      <x:c r="B9270" s="5" t="d">
        <x:v>2017-12-20T00:00:00.000Z</x:v>
      </x:c>
      <x:c r="C9270" s="1" t="str">
        <x:v>Standard Class</x:v>
      </x:c>
      <x:c r="D9270" s="1" t="str">
        <x:v>Pacific Asia</x:v>
      </x:c>
      <x:c r="E9270" s="1" t="str">
        <x:v>COMPLETE</x:v>
      </x:c>
      <x:c r="F9270" s="1" t="str">
        <x:v>Late delivery</x:v>
      </x:c>
      <x:c r="G9270" s="6" t="n">
        <x:v>6</x:v>
      </x:c>
      <x:c r="H9270" s="6" t="n">
        <x:v>4</x:v>
      </x:c>
      <x:c r="I9270" s="6" t="n">
        <x:f>G9270-H9270</x:f>
        <x:v>2</x:v>
      </x:c>
      <x:c r="J9270" s="6" t="n">
        <x:f>IF(OR(E9270="CANCELED",E9270="SUSPECTED_FRAUD",F9270="Shipping canceled"),0,1)</x:f>
        <x:v>1</x:v>
      </x:c>
      <x:c r="K9270" s="6" t="n">
        <x:f>IF(G9270&gt;H9270,1,0)</x:f>
        <x:v>1</x:v>
      </x:c>
      <x:c r="L9270" s="6" t="n">
        <x:f>J9270*K9270</x:f>
        <x:v>1</x:v>
      </x:c>
    </x:row>
    <x:row r="9271">
      <x:c r="A9271" s="1" t="n">
        <x:v>74276</x:v>
      </x:c>
      <x:c r="B9271" s="5" t="d">
        <x:v>2017-12-20T00:00:00.000Z</x:v>
      </x:c>
      <x:c r="C9271" s="1" t="str">
        <x:v>First Class</x:v>
      </x:c>
      <x:c r="D9271" s="1" t="str">
        <x:v>Pacific Asia</x:v>
      </x:c>
      <x:c r="E9271" s="1" t="str">
        <x:v>CLOSED</x:v>
      </x:c>
      <x:c r="F9271" s="1" t="str">
        <x:v>Late delivery</x:v>
      </x:c>
      <x:c r="G9271" s="6" t="n">
        <x:v>2</x:v>
      </x:c>
      <x:c r="H9271" s="6" t="n">
        <x:v>1</x:v>
      </x:c>
      <x:c r="I9271" s="6" t="n">
        <x:f>G9271-H9271</x:f>
        <x:v>1</x:v>
      </x:c>
      <x:c r="J9271" s="6" t="n">
        <x:f>IF(OR(E9271="CANCELED",E9271="SUSPECTED_FRAUD",F9271="Shipping canceled"),0,1)</x:f>
        <x:v>1</x:v>
      </x:c>
      <x:c r="K9271" s="6" t="n">
        <x:f>IF(G9271&gt;H9271,1,0)</x:f>
        <x:v>1</x:v>
      </x:c>
      <x:c r="L9271" s="6" t="n">
        <x:f>J9271*K9271</x:f>
        <x:v>1</x:v>
      </x:c>
    </x:row>
    <x:row r="9272">
      <x:c r="A9272" s="1" t="n">
        <x:v>74283</x:v>
      </x:c>
      <x:c r="B9272" s="5" t="d">
        <x:v>2017-12-20T00:00:00.000Z</x:v>
      </x:c>
      <x:c r="C9272" s="1" t="str">
        <x:v>Standard Class</x:v>
      </x:c>
      <x:c r="D9272" s="1" t="str">
        <x:v>Pacific Asia</x:v>
      </x:c>
      <x:c r="E9272" s="1" t="str">
        <x:v>PENDING_PAYMENT</x:v>
      </x:c>
      <x:c r="F9272" s="1" t="str">
        <x:v>Shipping on time</x:v>
      </x:c>
      <x:c r="G9272" s="6" t="n">
        <x:v>4</x:v>
      </x:c>
      <x:c r="H9272" s="6" t="n">
        <x:v>4</x:v>
      </x:c>
      <x:c r="I9272" s="6" t="n">
        <x:f>G9272-H9272</x:f>
        <x:v>0</x:v>
      </x:c>
      <x:c r="J9272" s="6" t="n">
        <x:f>IF(OR(E9272="CANCELED",E9272="SUSPECTED_FRAUD",F9272="Shipping canceled"),0,1)</x:f>
        <x:v>1</x:v>
      </x:c>
      <x:c r="K9272" s="6" t="n">
        <x:f>IF(G9272&gt;H9272,1,0)</x:f>
        <x:v>0</x:v>
      </x:c>
      <x:c r="L9272" s="6" t="n">
        <x:f>J9272*K9272</x:f>
        <x:v>0</x:v>
      </x:c>
    </x:row>
    <x:row r="9273">
      <x:c r="A9273" s="1" t="n">
        <x:v>74336</x:v>
      </x:c>
      <x:c r="B9273" s="5" t="d">
        <x:v>2017-12-21T00:00:00.000Z</x:v>
      </x:c>
      <x:c r="C9273" s="1" t="str">
        <x:v>First Class</x:v>
      </x:c>
      <x:c r="D9273" s="1" t="str">
        <x:v>Pacific Asia</x:v>
      </x:c>
      <x:c r="E9273" s="1" t="str">
        <x:v>CLOSED</x:v>
      </x:c>
      <x:c r="F9273" s="1" t="str">
        <x:v>Late delivery</x:v>
      </x:c>
      <x:c r="G9273" s="6" t="n">
        <x:v>2</x:v>
      </x:c>
      <x:c r="H9273" s="6" t="n">
        <x:v>1</x:v>
      </x:c>
      <x:c r="I9273" s="6" t="n">
        <x:f>G9273-H9273</x:f>
        <x:v>1</x:v>
      </x:c>
      <x:c r="J9273" s="6" t="n">
        <x:f>IF(OR(E9273="CANCELED",E9273="SUSPECTED_FRAUD",F9273="Shipping canceled"),0,1)</x:f>
        <x:v>1</x:v>
      </x:c>
      <x:c r="K9273" s="6" t="n">
        <x:f>IF(G9273&gt;H9273,1,0)</x:f>
        <x:v>1</x:v>
      </x:c>
      <x:c r="L9273" s="6" t="n">
        <x:f>J9273*K9273</x:f>
        <x:v>1</x:v>
      </x:c>
    </x:row>
    <x:row r="9274">
      <x:c r="A9274" s="1" t="n">
        <x:v>74343</x:v>
      </x:c>
      <x:c r="B9274" s="5" t="d">
        <x:v>2017-12-21T00:00:00.000Z</x:v>
      </x:c>
      <x:c r="C9274" s="1" t="str">
        <x:v>First Class</x:v>
      </x:c>
      <x:c r="D9274" s="1" t="str">
        <x:v>Pacific Asia</x:v>
      </x:c>
      <x:c r="E9274" s="1" t="str">
        <x:v>PROCESSING</x:v>
      </x:c>
      <x:c r="F9274" s="1" t="str">
        <x:v>Late delivery</x:v>
      </x:c>
      <x:c r="G9274" s="6" t="n">
        <x:v>2</x:v>
      </x:c>
      <x:c r="H9274" s="6" t="n">
        <x:v>1</x:v>
      </x:c>
      <x:c r="I9274" s="6" t="n">
        <x:f>G9274-H9274</x:f>
        <x:v>1</x:v>
      </x:c>
      <x:c r="J9274" s="6" t="n">
        <x:f>IF(OR(E9274="CANCELED",E9274="SUSPECTED_FRAUD",F9274="Shipping canceled"),0,1)</x:f>
        <x:v>1</x:v>
      </x:c>
      <x:c r="K9274" s="6" t="n">
        <x:f>IF(G9274&gt;H9274,1,0)</x:f>
        <x:v>1</x:v>
      </x:c>
      <x:c r="L9274" s="6" t="n">
        <x:f>J9274*K9274</x:f>
        <x:v>1</x:v>
      </x:c>
    </x:row>
    <x:row r="9275">
      <x:c r="A9275" s="1" t="n">
        <x:v>74356</x:v>
      </x:c>
      <x:c r="B9275" s="5" t="d">
        <x:v>2017-12-21T00:00:00.000Z</x:v>
      </x:c>
      <x:c r="C9275" s="1" t="str">
        <x:v>Second Class</x:v>
      </x:c>
      <x:c r="D9275" s="1" t="str">
        <x:v>Pacific Asia</x:v>
      </x:c>
      <x:c r="E9275" s="1" t="str">
        <x:v>COMPLETE</x:v>
      </x:c>
      <x:c r="F9275" s="1" t="str">
        <x:v>Shipping on time</x:v>
      </x:c>
      <x:c r="G9275" s="6" t="n">
        <x:v>2</x:v>
      </x:c>
      <x:c r="H9275" s="6" t="n">
        <x:v>2</x:v>
      </x:c>
      <x:c r="I9275" s="6" t="n">
        <x:f>G9275-H9275</x:f>
        <x:v>0</x:v>
      </x:c>
      <x:c r="J9275" s="6" t="n">
        <x:f>IF(OR(E9275="CANCELED",E9275="SUSPECTED_FRAUD",F9275="Shipping canceled"),0,1)</x:f>
        <x:v>1</x:v>
      </x:c>
      <x:c r="K9275" s="6" t="n">
        <x:f>IF(G9275&gt;H9275,1,0)</x:f>
        <x:v>0</x:v>
      </x:c>
      <x:c r="L9275" s="6" t="n">
        <x:f>J9275*K9275</x:f>
        <x:v>0</x:v>
      </x:c>
    </x:row>
    <x:row r="9276">
      <x:c r="A9276" s="1" t="n">
        <x:v>74358</x:v>
      </x:c>
      <x:c r="B9276" s="5" t="d">
        <x:v>2017-12-21T00:00:00.000Z</x:v>
      </x:c>
      <x:c r="C9276" s="1" t="str">
        <x:v>Second Class</x:v>
      </x:c>
      <x:c r="D9276" s="1" t="str">
        <x:v>Pacific Asia</x:v>
      </x:c>
      <x:c r="E9276" s="1" t="str">
        <x:v>COMPLETE</x:v>
      </x:c>
      <x:c r="F9276" s="1" t="str">
        <x:v>Late delivery</x:v>
      </x:c>
      <x:c r="G9276" s="6" t="n">
        <x:v>4</x:v>
      </x:c>
      <x:c r="H9276" s="6" t="n">
        <x:v>2</x:v>
      </x:c>
      <x:c r="I9276" s="6" t="n">
        <x:f>G9276-H9276</x:f>
        <x:v>2</x:v>
      </x:c>
      <x:c r="J9276" s="6" t="n">
        <x:f>IF(OR(E9276="CANCELED",E9276="SUSPECTED_FRAUD",F9276="Shipping canceled"),0,1)</x:f>
        <x:v>1</x:v>
      </x:c>
      <x:c r="K9276" s="6" t="n">
        <x:f>IF(G9276&gt;H9276,1,0)</x:f>
        <x:v>1</x:v>
      </x:c>
      <x:c r="L9276" s="6" t="n">
        <x:f>J9276*K9276</x:f>
        <x:v>1</x:v>
      </x:c>
    </x:row>
    <x:row r="9277">
      <x:c r="A9277" s="1" t="n">
        <x:v>74380</x:v>
      </x:c>
      <x:c r="B9277" s="5" t="d">
        <x:v>2017-12-21T00:00:00.000Z</x:v>
      </x:c>
      <x:c r="C9277" s="1" t="str">
        <x:v>First Class</x:v>
      </x:c>
      <x:c r="D9277" s="1" t="str">
        <x:v>Pacific Asia</x:v>
      </x:c>
      <x:c r="E9277" s="1" t="str">
        <x:v>PENDING</x:v>
      </x:c>
      <x:c r="F9277" s="1" t="str">
        <x:v>Late delivery</x:v>
      </x:c>
      <x:c r="G9277" s="6" t="n">
        <x:v>2</x:v>
      </x:c>
      <x:c r="H9277" s="6" t="n">
        <x:v>1</x:v>
      </x:c>
      <x:c r="I9277" s="6" t="n">
        <x:f>G9277-H9277</x:f>
        <x:v>1</x:v>
      </x:c>
      <x:c r="J9277" s="6" t="n">
        <x:f>IF(OR(E9277="CANCELED",E9277="SUSPECTED_FRAUD",F9277="Shipping canceled"),0,1)</x:f>
        <x:v>1</x:v>
      </x:c>
      <x:c r="K9277" s="6" t="n">
        <x:f>IF(G9277&gt;H9277,1,0)</x:f>
        <x:v>1</x:v>
      </x:c>
      <x:c r="L9277" s="6" t="n">
        <x:f>J9277*K9277</x:f>
        <x:v>1</x:v>
      </x:c>
    </x:row>
    <x:row r="9278">
      <x:c r="A9278" s="1" t="n">
        <x:v>74386</x:v>
      </x:c>
      <x:c r="B9278" s="5" t="d">
        <x:v>2017-12-21T00:00:00.000Z</x:v>
      </x:c>
      <x:c r="C9278" s="1" t="str">
        <x:v>Standard Class</x:v>
      </x:c>
      <x:c r="D9278" s="1" t="str">
        <x:v>Pacific Asia</x:v>
      </x:c>
      <x:c r="E9278" s="1" t="str">
        <x:v>CLOSED</x:v>
      </x:c>
      <x:c r="F9278" s="1" t="str">
        <x:v>Advance shipping</x:v>
      </x:c>
      <x:c r="G9278" s="6" t="n">
        <x:v>2</x:v>
      </x:c>
      <x:c r="H9278" s="6" t="n">
        <x:v>4</x:v>
      </x:c>
      <x:c r="I9278" s="6" t="n">
        <x:f>G9278-H9278</x:f>
        <x:v>-2</x:v>
      </x:c>
      <x:c r="J9278" s="6" t="n">
        <x:f>IF(OR(E9278="CANCELED",E9278="SUSPECTED_FRAUD",F9278="Shipping canceled"),0,1)</x:f>
        <x:v>1</x:v>
      </x:c>
      <x:c r="K9278" s="6" t="n">
        <x:f>IF(G9278&gt;H9278,1,0)</x:f>
        <x:v>0</x:v>
      </x:c>
      <x:c r="L9278" s="6" t="n">
        <x:f>J9278*K9278</x:f>
        <x:v>0</x:v>
      </x:c>
    </x:row>
    <x:row r="9279">
      <x:c r="A9279" s="1" t="n">
        <x:v>74391</x:v>
      </x:c>
      <x:c r="B9279" s="5" t="d">
        <x:v>2017-12-21T00:00:00.000Z</x:v>
      </x:c>
      <x:c r="C9279" s="1" t="str">
        <x:v>Standard Class</x:v>
      </x:c>
      <x:c r="D9279" s="1" t="str">
        <x:v>Pacific Asia</x:v>
      </x:c>
      <x:c r="E9279" s="1" t="str">
        <x:v>PENDING_PAYMENT</x:v>
      </x:c>
      <x:c r="F9279" s="1" t="str">
        <x:v>Advance shipping</x:v>
      </x:c>
      <x:c r="G9279" s="6" t="n">
        <x:v>2</x:v>
      </x:c>
      <x:c r="H9279" s="6" t="n">
        <x:v>4</x:v>
      </x:c>
      <x:c r="I9279" s="6" t="n">
        <x:f>G9279-H9279</x:f>
        <x:v>-2</x:v>
      </x:c>
      <x:c r="J9279" s="6" t="n">
        <x:f>IF(OR(E9279="CANCELED",E9279="SUSPECTED_FRAUD",F9279="Shipping canceled"),0,1)</x:f>
        <x:v>1</x:v>
      </x:c>
      <x:c r="K9279" s="6" t="n">
        <x:f>IF(G9279&gt;H9279,1,0)</x:f>
        <x:v>0</x:v>
      </x:c>
      <x:c r="L9279" s="6" t="n">
        <x:f>J9279*K9279</x:f>
        <x:v>0</x:v>
      </x:c>
    </x:row>
    <x:row r="9280">
      <x:c r="A9280" s="1" t="n">
        <x:v>74393</x:v>
      </x:c>
      <x:c r="B9280" s="5" t="d">
        <x:v>2017-12-21T00:00:00.000Z</x:v>
      </x:c>
      <x:c r="C9280" s="1" t="str">
        <x:v>First Class</x:v>
      </x:c>
      <x:c r="D9280" s="1" t="str">
        <x:v>Pacific Asia</x:v>
      </x:c>
      <x:c r="E9280" s="1" t="str">
        <x:v>PROCESSING</x:v>
      </x:c>
      <x:c r="F9280" s="1" t="str">
        <x:v>Late delivery</x:v>
      </x:c>
      <x:c r="G9280" s="6" t="n">
        <x:v>2</x:v>
      </x:c>
      <x:c r="H9280" s="6" t="n">
        <x:v>1</x:v>
      </x:c>
      <x:c r="I9280" s="6" t="n">
        <x:f>G9280-H9280</x:f>
        <x:v>1</x:v>
      </x:c>
      <x:c r="J9280" s="6" t="n">
        <x:f>IF(OR(E9280="CANCELED",E9280="SUSPECTED_FRAUD",F9280="Shipping canceled"),0,1)</x:f>
        <x:v>1</x:v>
      </x:c>
      <x:c r="K9280" s="6" t="n">
        <x:f>IF(G9280&gt;H9280,1,0)</x:f>
        <x:v>1</x:v>
      </x:c>
      <x:c r="L9280" s="6" t="n">
        <x:f>J9280*K9280</x:f>
        <x:v>1</x:v>
      </x:c>
    </x:row>
    <x:row r="9281">
      <x:c r="A9281" s="1" t="n">
        <x:v>74394</x:v>
      </x:c>
      <x:c r="B9281" s="5" t="d">
        <x:v>2017-12-21T00:00:00.000Z</x:v>
      </x:c>
      <x:c r="C9281" s="1" t="str">
        <x:v>Standard Class</x:v>
      </x:c>
      <x:c r="D9281" s="1" t="str">
        <x:v>Pacific Asia</x:v>
      </x:c>
      <x:c r="E9281" s="1" t="str">
        <x:v>COMPLETE</x:v>
      </x:c>
      <x:c r="F9281" s="1" t="str">
        <x:v>Late delivery</x:v>
      </x:c>
      <x:c r="G9281" s="6" t="n">
        <x:v>5</x:v>
      </x:c>
      <x:c r="H9281" s="6" t="n">
        <x:v>4</x:v>
      </x:c>
      <x:c r="I9281" s="6" t="n">
        <x:f>G9281-H9281</x:f>
        <x:v>1</x:v>
      </x:c>
      <x:c r="J9281" s="6" t="n">
        <x:f>IF(OR(E9281="CANCELED",E9281="SUSPECTED_FRAUD",F9281="Shipping canceled"),0,1)</x:f>
        <x:v>1</x:v>
      </x:c>
      <x:c r="K9281" s="6" t="n">
        <x:f>IF(G9281&gt;H9281,1,0)</x:f>
        <x:v>1</x:v>
      </x:c>
      <x:c r="L9281" s="6" t="n">
        <x:f>J9281*K9281</x:f>
        <x:v>1</x:v>
      </x:c>
    </x:row>
    <x:row r="9282">
      <x:c r="A9282" s="1" t="n">
        <x:v>74397</x:v>
      </x:c>
      <x:c r="B9282" s="5" t="d">
        <x:v>2017-12-22T00:00:00.000Z</x:v>
      </x:c>
      <x:c r="C9282" s="1" t="str">
        <x:v>Second Class</x:v>
      </x:c>
      <x:c r="D9282" s="1" t="str">
        <x:v>Pacific Asia</x:v>
      </x:c>
      <x:c r="E9282" s="1" t="str">
        <x:v>CLOSED</x:v>
      </x:c>
      <x:c r="F9282" s="1" t="str">
        <x:v>Late delivery</x:v>
      </x:c>
      <x:c r="G9282" s="6" t="n">
        <x:v>3</x:v>
      </x:c>
      <x:c r="H9282" s="6" t="n">
        <x:v>2</x:v>
      </x:c>
      <x:c r="I9282" s="6" t="n">
        <x:f>G9282-H9282</x:f>
        <x:v>1</x:v>
      </x:c>
      <x:c r="J9282" s="6" t="n">
        <x:f>IF(OR(E9282="CANCELED",E9282="SUSPECTED_FRAUD",F9282="Shipping canceled"),0,1)</x:f>
        <x:v>1</x:v>
      </x:c>
      <x:c r="K9282" s="6" t="n">
        <x:f>IF(G9282&gt;H9282,1,0)</x:f>
        <x:v>1</x:v>
      </x:c>
      <x:c r="L9282" s="6" t="n">
        <x:f>J9282*K9282</x:f>
        <x:v>1</x:v>
      </x:c>
    </x:row>
    <x:row r="9283">
      <x:c r="A9283" s="1" t="n">
        <x:v>74425</x:v>
      </x:c>
      <x:c r="B9283" s="5" t="d">
        <x:v>2017-12-22T00:00:00.000Z</x:v>
      </x:c>
      <x:c r="C9283" s="1" t="str">
        <x:v>Standard Class</x:v>
      </x:c>
      <x:c r="D9283" s="1" t="str">
        <x:v>Pacific Asia</x:v>
      </x:c>
      <x:c r="E9283" s="1" t="str">
        <x:v>ON_HOLD</x:v>
      </x:c>
      <x:c r="F9283" s="1" t="str">
        <x:v>Late delivery</x:v>
      </x:c>
      <x:c r="G9283" s="6" t="n">
        <x:v>6</x:v>
      </x:c>
      <x:c r="H9283" s="6" t="n">
        <x:v>4</x:v>
      </x:c>
      <x:c r="I9283" s="6" t="n">
        <x:f>G9283-H9283</x:f>
        <x:v>2</x:v>
      </x:c>
      <x:c r="J9283" s="6" t="n">
        <x:f>IF(OR(E9283="CANCELED",E9283="SUSPECTED_FRAUD",F9283="Shipping canceled"),0,1)</x:f>
        <x:v>1</x:v>
      </x:c>
      <x:c r="K9283" s="6" t="n">
        <x:f>IF(G9283&gt;H9283,1,0)</x:f>
        <x:v>1</x:v>
      </x:c>
      <x:c r="L9283" s="6" t="n">
        <x:f>J9283*K9283</x:f>
        <x:v>1</x:v>
      </x:c>
    </x:row>
    <x:row r="9284">
      <x:c r="A9284" s="1" t="n">
        <x:v>74449</x:v>
      </x:c>
      <x:c r="B9284" s="5" t="d">
        <x:v>2017-12-22T00:00:00.000Z</x:v>
      </x:c>
      <x:c r="C9284" s="1" t="str">
        <x:v>Standard Class</x:v>
      </x:c>
      <x:c r="D9284" s="1" t="str">
        <x:v>Pacific Asia</x:v>
      </x:c>
      <x:c r="E9284" s="1" t="str">
        <x:v>COMPLETE</x:v>
      </x:c>
      <x:c r="F9284" s="1" t="str">
        <x:v>Late delivery</x:v>
      </x:c>
      <x:c r="G9284" s="6" t="n">
        <x:v>5</x:v>
      </x:c>
      <x:c r="H9284" s="6" t="n">
        <x:v>4</x:v>
      </x:c>
      <x:c r="I9284" s="6" t="n">
        <x:f>G9284-H9284</x:f>
        <x:v>1</x:v>
      </x:c>
      <x:c r="J9284" s="6" t="n">
        <x:f>IF(OR(E9284="CANCELED",E9284="SUSPECTED_FRAUD",F9284="Shipping canceled"),0,1)</x:f>
        <x:v>1</x:v>
      </x:c>
      <x:c r="K9284" s="6" t="n">
        <x:f>IF(G9284&gt;H9284,1,0)</x:f>
        <x:v>1</x:v>
      </x:c>
      <x:c r="L9284" s="6" t="n">
        <x:f>J9284*K9284</x:f>
        <x:v>1</x:v>
      </x:c>
    </x:row>
    <x:row r="9285">
      <x:c r="A9285" s="1" t="n">
        <x:v>74451</x:v>
      </x:c>
      <x:c r="B9285" s="5" t="d">
        <x:v>2017-12-22T00:00:00.000Z</x:v>
      </x:c>
      <x:c r="C9285" s="1" t="str">
        <x:v>Standard Class</x:v>
      </x:c>
      <x:c r="D9285" s="1" t="str">
        <x:v>Pacific Asia</x:v>
      </x:c>
      <x:c r="E9285" s="1" t="str">
        <x:v>COMPLETE</x:v>
      </x:c>
      <x:c r="F9285" s="1" t="str">
        <x:v>Advance shipping</x:v>
      </x:c>
      <x:c r="G9285" s="6" t="n">
        <x:v>2</x:v>
      </x:c>
      <x:c r="H9285" s="6" t="n">
        <x:v>4</x:v>
      </x:c>
      <x:c r="I9285" s="6" t="n">
        <x:f>G9285-H9285</x:f>
        <x:v>-2</x:v>
      </x:c>
      <x:c r="J9285" s="6" t="n">
        <x:f>IF(OR(E9285="CANCELED",E9285="SUSPECTED_FRAUD",F9285="Shipping canceled"),0,1)</x:f>
        <x:v>1</x:v>
      </x:c>
      <x:c r="K9285" s="6" t="n">
        <x:f>IF(G9285&gt;H9285,1,0)</x:f>
        <x:v>0</x:v>
      </x:c>
      <x:c r="L9285" s="6" t="n">
        <x:f>J9285*K9285</x:f>
        <x:v>0</x:v>
      </x:c>
    </x:row>
    <x:row r="9286">
      <x:c r="A9286" s="1" t="n">
        <x:v>74454</x:v>
      </x:c>
      <x:c r="B9286" s="5" t="d">
        <x:v>2017-12-22T00:00:00.000Z</x:v>
      </x:c>
      <x:c r="C9286" s="1" t="str">
        <x:v>Standard Class</x:v>
      </x:c>
      <x:c r="D9286" s="1" t="str">
        <x:v>Pacific Asia</x:v>
      </x:c>
      <x:c r="E9286" s="1" t="str">
        <x:v>COMPLETE</x:v>
      </x:c>
      <x:c r="F9286" s="1" t="str">
        <x:v>Late delivery</x:v>
      </x:c>
      <x:c r="G9286" s="6" t="n">
        <x:v>5</x:v>
      </x:c>
      <x:c r="H9286" s="6" t="n">
        <x:v>4</x:v>
      </x:c>
      <x:c r="I9286" s="6" t="n">
        <x:f>G9286-H9286</x:f>
        <x:v>1</x:v>
      </x:c>
      <x:c r="J9286" s="6" t="n">
        <x:f>IF(OR(E9286="CANCELED",E9286="SUSPECTED_FRAUD",F9286="Shipping canceled"),0,1)</x:f>
        <x:v>1</x:v>
      </x:c>
      <x:c r="K9286" s="6" t="n">
        <x:f>IF(G9286&gt;H9286,1,0)</x:f>
        <x:v>1</x:v>
      </x:c>
      <x:c r="L9286" s="6" t="n">
        <x:f>J9286*K9286</x:f>
        <x:v>1</x:v>
      </x:c>
    </x:row>
    <x:row r="9287">
      <x:c r="A9287" s="1" t="n">
        <x:v>74466</x:v>
      </x:c>
      <x:c r="B9287" s="5" t="d">
        <x:v>2017-12-23T00:00:00.000Z</x:v>
      </x:c>
      <x:c r="C9287" s="1" t="str">
        <x:v>Standard Class</x:v>
      </x:c>
      <x:c r="D9287" s="1" t="str">
        <x:v>Pacific Asia</x:v>
      </x:c>
      <x:c r="E9287" s="1" t="str">
        <x:v>CLOSED</x:v>
      </x:c>
      <x:c r="F9287" s="1" t="str">
        <x:v>Advance shipping</x:v>
      </x:c>
      <x:c r="G9287" s="6" t="n">
        <x:v>2</x:v>
      </x:c>
      <x:c r="H9287" s="6" t="n">
        <x:v>4</x:v>
      </x:c>
      <x:c r="I9287" s="6" t="n">
        <x:f>G9287-H9287</x:f>
        <x:v>-2</x:v>
      </x:c>
      <x:c r="J9287" s="6" t="n">
        <x:f>IF(OR(E9287="CANCELED",E9287="SUSPECTED_FRAUD",F9287="Shipping canceled"),0,1)</x:f>
        <x:v>1</x:v>
      </x:c>
      <x:c r="K9287" s="6" t="n">
        <x:f>IF(G9287&gt;H9287,1,0)</x:f>
        <x:v>0</x:v>
      </x:c>
      <x:c r="L9287" s="6" t="n">
        <x:f>J9287*K9287</x:f>
        <x:v>0</x:v>
      </x:c>
    </x:row>
    <x:row r="9288">
      <x:c r="A9288" s="1" t="n">
        <x:v>74467</x:v>
      </x:c>
      <x:c r="B9288" s="5" t="d">
        <x:v>2017-12-23T00:00:00.000Z</x:v>
      </x:c>
      <x:c r="C9288" s="1" t="str">
        <x:v>Standard Class</x:v>
      </x:c>
      <x:c r="D9288" s="1" t="str">
        <x:v>Pacific Asia</x:v>
      </x:c>
      <x:c r="E9288" s="1" t="str">
        <x:v>COMPLETE</x:v>
      </x:c>
      <x:c r="F9288" s="1" t="str">
        <x:v>Advance shipping</x:v>
      </x:c>
      <x:c r="G9288" s="6" t="n">
        <x:v>3</x:v>
      </x:c>
      <x:c r="H9288" s="6" t="n">
        <x:v>4</x:v>
      </x:c>
      <x:c r="I9288" s="6" t="n">
        <x:f>G9288-H9288</x:f>
        <x:v>-1</x:v>
      </x:c>
      <x:c r="J9288" s="6" t="n">
        <x:f>IF(OR(E9288="CANCELED",E9288="SUSPECTED_FRAUD",F9288="Shipping canceled"),0,1)</x:f>
        <x:v>1</x:v>
      </x:c>
      <x:c r="K9288" s="6" t="n">
        <x:f>IF(G9288&gt;H9288,1,0)</x:f>
        <x:v>0</x:v>
      </x:c>
      <x:c r="L9288" s="6" t="n">
        <x:f>J9288*K9288</x:f>
        <x:v>0</x:v>
      </x:c>
    </x:row>
    <x:row r="9289">
      <x:c r="A9289" s="1" t="n">
        <x:v>74524</x:v>
      </x:c>
      <x:c r="B9289" s="5" t="d">
        <x:v>2017-12-23T00:00:00.000Z</x:v>
      </x:c>
      <x:c r="C9289" s="1" t="str">
        <x:v>Standard Class</x:v>
      </x:c>
      <x:c r="D9289" s="1" t="str">
        <x:v>Pacific Asia</x:v>
      </x:c>
      <x:c r="E9289" s="1" t="str">
        <x:v>PENDING_PAYMENT</x:v>
      </x:c>
      <x:c r="F9289" s="1" t="str">
        <x:v>Late delivery</x:v>
      </x:c>
      <x:c r="G9289" s="6" t="n">
        <x:v>5</x:v>
      </x:c>
      <x:c r="H9289" s="6" t="n">
        <x:v>4</x:v>
      </x:c>
      <x:c r="I9289" s="6" t="n">
        <x:f>G9289-H9289</x:f>
        <x:v>1</x:v>
      </x:c>
      <x:c r="J9289" s="6" t="n">
        <x:f>IF(OR(E9289="CANCELED",E9289="SUSPECTED_FRAUD",F9289="Shipping canceled"),0,1)</x:f>
        <x:v>1</x:v>
      </x:c>
      <x:c r="K9289" s="6" t="n">
        <x:f>IF(G9289&gt;H9289,1,0)</x:f>
        <x:v>1</x:v>
      </x:c>
      <x:c r="L9289" s="6" t="n">
        <x:f>J9289*K9289</x:f>
        <x:v>1</x:v>
      </x:c>
    </x:row>
    <x:row r="9290">
      <x:c r="A9290" s="1" t="n">
        <x:v>74532</x:v>
      </x:c>
      <x:c r="B9290" s="5" t="d">
        <x:v>2017-12-23T00:00:00.000Z</x:v>
      </x:c>
      <x:c r="C9290" s="1" t="str">
        <x:v>First Class</x:v>
      </x:c>
      <x:c r="D9290" s="1" t="str">
        <x:v>Pacific Asia</x:v>
      </x:c>
      <x:c r="E9290" s="1" t="str">
        <x:v>PROCESSING</x:v>
      </x:c>
      <x:c r="F9290" s="1" t="str">
        <x:v>Late delivery</x:v>
      </x:c>
      <x:c r="G9290" s="6" t="n">
        <x:v>2</x:v>
      </x:c>
      <x:c r="H9290" s="6" t="n">
        <x:v>1</x:v>
      </x:c>
      <x:c r="I9290" s="6" t="n">
        <x:f>G9290-H9290</x:f>
        <x:v>1</x:v>
      </x:c>
      <x:c r="J9290" s="6" t="n">
        <x:f>IF(OR(E9290="CANCELED",E9290="SUSPECTED_FRAUD",F9290="Shipping canceled"),0,1)</x:f>
        <x:v>1</x:v>
      </x:c>
      <x:c r="K9290" s="6" t="n">
        <x:f>IF(G9290&gt;H9290,1,0)</x:f>
        <x:v>1</x:v>
      </x:c>
      <x:c r="L9290" s="6" t="n">
        <x:f>J9290*K9290</x:f>
        <x:v>1</x:v>
      </x:c>
    </x:row>
    <x:row r="9291">
      <x:c r="A9291" s="1" t="n">
        <x:v>74536</x:v>
      </x:c>
      <x:c r="B9291" s="5" t="d">
        <x:v>2017-12-24T00:00:00.000Z</x:v>
      </x:c>
      <x:c r="C9291" s="1" t="str">
        <x:v>Second Class</x:v>
      </x:c>
      <x:c r="D9291" s="1" t="str">
        <x:v>Pacific Asia</x:v>
      </x:c>
      <x:c r="E9291" s="1" t="str">
        <x:v>COMPLETE</x:v>
      </x:c>
      <x:c r="F9291" s="1" t="str">
        <x:v>Shipping on time</x:v>
      </x:c>
      <x:c r="G9291" s="6" t="n">
        <x:v>2</x:v>
      </x:c>
      <x:c r="H9291" s="6" t="n">
        <x:v>2</x:v>
      </x:c>
      <x:c r="I9291" s="6" t="n">
        <x:f>G9291-H9291</x:f>
        <x:v>0</x:v>
      </x:c>
      <x:c r="J9291" s="6" t="n">
        <x:f>IF(OR(E9291="CANCELED",E9291="SUSPECTED_FRAUD",F9291="Shipping canceled"),0,1)</x:f>
        <x:v>1</x:v>
      </x:c>
      <x:c r="K9291" s="6" t="n">
        <x:f>IF(G9291&gt;H9291,1,0)</x:f>
        <x:v>0</x:v>
      </x:c>
      <x:c r="L9291" s="6" t="n">
        <x:f>J9291*K9291</x:f>
        <x:v>0</x:v>
      </x:c>
    </x:row>
    <x:row r="9292">
      <x:c r="A9292" s="1" t="n">
        <x:v>74553</x:v>
      </x:c>
      <x:c r="B9292" s="5" t="d">
        <x:v>2017-12-24T00:00:00.000Z</x:v>
      </x:c>
      <x:c r="C9292" s="1" t="str">
        <x:v>Standard Class</x:v>
      </x:c>
      <x:c r="D9292" s="1" t="str">
        <x:v>Pacific Asia</x:v>
      </x:c>
      <x:c r="E9292" s="1" t="str">
        <x:v>CLOSED</x:v>
      </x:c>
      <x:c r="F9292" s="1" t="str">
        <x:v>Shipping on time</x:v>
      </x:c>
      <x:c r="G9292" s="6" t="n">
        <x:v>4</x:v>
      </x:c>
      <x:c r="H9292" s="6" t="n">
        <x:v>4</x:v>
      </x:c>
      <x:c r="I9292" s="6" t="n">
        <x:f>G9292-H9292</x:f>
        <x:v>0</x:v>
      </x:c>
      <x:c r="J9292" s="6" t="n">
        <x:f>IF(OR(E9292="CANCELED",E9292="SUSPECTED_FRAUD",F9292="Shipping canceled"),0,1)</x:f>
        <x:v>1</x:v>
      </x:c>
      <x:c r="K9292" s="6" t="n">
        <x:f>IF(G9292&gt;H9292,1,0)</x:f>
        <x:v>0</x:v>
      </x:c>
      <x:c r="L9292" s="6" t="n">
        <x:f>J9292*K9292</x:f>
        <x:v>0</x:v>
      </x:c>
    </x:row>
    <x:row r="9293">
      <x:c r="A9293" s="1" t="n">
        <x:v>74556</x:v>
      </x:c>
      <x:c r="B9293" s="5" t="d">
        <x:v>2017-12-24T00:00:00.000Z</x:v>
      </x:c>
      <x:c r="C9293" s="1" t="str">
        <x:v>Standard Class</x:v>
      </x:c>
      <x:c r="D9293" s="1" t="str">
        <x:v>Pacific Asia</x:v>
      </x:c>
      <x:c r="E9293" s="1" t="str">
        <x:v>CLOSED</x:v>
      </x:c>
      <x:c r="F9293" s="1" t="str">
        <x:v>Advance shipping</x:v>
      </x:c>
      <x:c r="G9293" s="6" t="n">
        <x:v>2</x:v>
      </x:c>
      <x:c r="H9293" s="6" t="n">
        <x:v>4</x:v>
      </x:c>
      <x:c r="I9293" s="6" t="n">
        <x:f>G9293-H9293</x:f>
        <x:v>-2</x:v>
      </x:c>
      <x:c r="J9293" s="6" t="n">
        <x:f>IF(OR(E9293="CANCELED",E9293="SUSPECTED_FRAUD",F9293="Shipping canceled"),0,1)</x:f>
        <x:v>1</x:v>
      </x:c>
      <x:c r="K9293" s="6" t="n">
        <x:f>IF(G9293&gt;H9293,1,0)</x:f>
        <x:v>0</x:v>
      </x:c>
      <x:c r="L9293" s="6" t="n">
        <x:f>J9293*K9293</x:f>
        <x:v>0</x:v>
      </x:c>
    </x:row>
    <x:row r="9294">
      <x:c r="A9294" s="1" t="n">
        <x:v>74570</x:v>
      </x:c>
      <x:c r="B9294" s="5" t="d">
        <x:v>2017-12-24T00:00:00.000Z</x:v>
      </x:c>
      <x:c r="C9294" s="1" t="str">
        <x:v>Second Class</x:v>
      </x:c>
      <x:c r="D9294" s="1" t="str">
        <x:v>Pacific Asia</x:v>
      </x:c>
      <x:c r="E9294" s="1" t="str">
        <x:v>COMPLETE</x:v>
      </x:c>
      <x:c r="F9294" s="1" t="str">
        <x:v>Late delivery</x:v>
      </x:c>
      <x:c r="G9294" s="6" t="n">
        <x:v>6</x:v>
      </x:c>
      <x:c r="H9294" s="6" t="n">
        <x:v>2</x:v>
      </x:c>
      <x:c r="I9294" s="6" t="n">
        <x:f>G9294-H9294</x:f>
        <x:v>4</x:v>
      </x:c>
      <x:c r="J9294" s="6" t="n">
        <x:f>IF(OR(E9294="CANCELED",E9294="SUSPECTED_FRAUD",F9294="Shipping canceled"),0,1)</x:f>
        <x:v>1</x:v>
      </x:c>
      <x:c r="K9294" s="6" t="n">
        <x:f>IF(G9294&gt;H9294,1,0)</x:f>
        <x:v>1</x:v>
      </x:c>
      <x:c r="L9294" s="6" t="n">
        <x:f>J9294*K9294</x:f>
        <x:v>1</x:v>
      </x:c>
    </x:row>
    <x:row r="9295">
      <x:c r="A9295" s="1" t="n">
        <x:v>74614</x:v>
      </x:c>
      <x:c r="B9295" s="5" t="d">
        <x:v>2017-12-25T00:00:00.000Z</x:v>
      </x:c>
      <x:c r="C9295" s="1" t="str">
        <x:v>First Class</x:v>
      </x:c>
      <x:c r="D9295" s="1" t="str">
        <x:v>Pacific Asia</x:v>
      </x:c>
      <x:c r="E9295" s="1" t="str">
        <x:v>CLOSED</x:v>
      </x:c>
      <x:c r="F9295" s="1" t="str">
        <x:v>Late delivery</x:v>
      </x:c>
      <x:c r="G9295" s="6" t="n">
        <x:v>2</x:v>
      </x:c>
      <x:c r="H9295" s="6" t="n">
        <x:v>1</x:v>
      </x:c>
      <x:c r="I9295" s="6" t="n">
        <x:f>G9295-H9295</x:f>
        <x:v>1</x:v>
      </x:c>
      <x:c r="J9295" s="6" t="n">
        <x:f>IF(OR(E9295="CANCELED",E9295="SUSPECTED_FRAUD",F9295="Shipping canceled"),0,1)</x:f>
        <x:v>1</x:v>
      </x:c>
      <x:c r="K9295" s="6" t="n">
        <x:f>IF(G9295&gt;H9295,1,0)</x:f>
        <x:v>1</x:v>
      </x:c>
      <x:c r="L9295" s="6" t="n">
        <x:f>J9295*K9295</x:f>
        <x:v>1</x:v>
      </x:c>
    </x:row>
    <x:row r="9296">
      <x:c r="A9296" s="1" t="n">
        <x:v>74622</x:v>
      </x:c>
      <x:c r="B9296" s="5" t="d">
        <x:v>2017-12-25T00:00:00.000Z</x:v>
      </x:c>
      <x:c r="C9296" s="1" t="str">
        <x:v>Second Class</x:v>
      </x:c>
      <x:c r="D9296" s="1" t="str">
        <x:v>Pacific Asia</x:v>
      </x:c>
      <x:c r="E9296" s="1" t="str">
        <x:v>PENDING</x:v>
      </x:c>
      <x:c r="F9296" s="1" t="str">
        <x:v>Late delivery</x:v>
      </x:c>
      <x:c r="G9296" s="6" t="n">
        <x:v>3</x:v>
      </x:c>
      <x:c r="H9296" s="6" t="n">
        <x:v>2</x:v>
      </x:c>
      <x:c r="I9296" s="6" t="n">
        <x:f>G9296-H9296</x:f>
        <x:v>1</x:v>
      </x:c>
      <x:c r="J9296" s="6" t="n">
        <x:f>IF(OR(E9296="CANCELED",E9296="SUSPECTED_FRAUD",F9296="Shipping canceled"),0,1)</x:f>
        <x:v>1</x:v>
      </x:c>
      <x:c r="K9296" s="6" t="n">
        <x:f>IF(G9296&gt;H9296,1,0)</x:f>
        <x:v>1</x:v>
      </x:c>
      <x:c r="L9296" s="6" t="n">
        <x:f>J9296*K9296</x:f>
        <x:v>1</x:v>
      </x:c>
    </x:row>
    <x:row r="9297">
      <x:c r="A9297" s="1" t="n">
        <x:v>74663</x:v>
      </x:c>
      <x:c r="B9297" s="5" t="d">
        <x:v>2017-12-25T00:00:00.000Z</x:v>
      </x:c>
      <x:c r="C9297" s="1" t="str">
        <x:v>First Class</x:v>
      </x:c>
      <x:c r="D9297" s="1" t="str">
        <x:v>Pacific Asia</x:v>
      </x:c>
      <x:c r="E9297" s="1" t="str">
        <x:v>PROCESSING</x:v>
      </x:c>
      <x:c r="F9297" s="1" t="str">
        <x:v>Late delivery</x:v>
      </x:c>
      <x:c r="G9297" s="6" t="n">
        <x:v>2</x:v>
      </x:c>
      <x:c r="H9297" s="6" t="n">
        <x:v>1</x:v>
      </x:c>
      <x:c r="I9297" s="6" t="n">
        <x:f>G9297-H9297</x:f>
        <x:v>1</x:v>
      </x:c>
      <x:c r="J9297" s="6" t="n">
        <x:f>IF(OR(E9297="CANCELED",E9297="SUSPECTED_FRAUD",F9297="Shipping canceled"),0,1)</x:f>
        <x:v>1</x:v>
      </x:c>
      <x:c r="K9297" s="6" t="n">
        <x:f>IF(G9297&gt;H9297,1,0)</x:f>
        <x:v>1</x:v>
      </x:c>
      <x:c r="L9297" s="6" t="n">
        <x:f>J9297*K9297</x:f>
        <x:v>1</x:v>
      </x:c>
    </x:row>
    <x:row r="9298">
      <x:c r="A9298" s="1" t="n">
        <x:v>74714</x:v>
      </x:c>
      <x:c r="B9298" s="5" t="d">
        <x:v>2017-12-26T00:00:00.000Z</x:v>
      </x:c>
      <x:c r="C9298" s="1" t="str">
        <x:v>Standard Class</x:v>
      </x:c>
      <x:c r="D9298" s="1" t="str">
        <x:v>Pacific Asia</x:v>
      </x:c>
      <x:c r="E9298" s="1" t="str">
        <x:v>CLOSED</x:v>
      </x:c>
      <x:c r="F9298" s="1" t="str">
        <x:v>Late delivery</x:v>
      </x:c>
      <x:c r="G9298" s="6" t="n">
        <x:v>5</x:v>
      </x:c>
      <x:c r="H9298" s="6" t="n">
        <x:v>4</x:v>
      </x:c>
      <x:c r="I9298" s="6" t="n">
        <x:f>G9298-H9298</x:f>
        <x:v>1</x:v>
      </x:c>
      <x:c r="J9298" s="6" t="n">
        <x:f>IF(OR(E9298="CANCELED",E9298="SUSPECTED_FRAUD",F9298="Shipping canceled"),0,1)</x:f>
        <x:v>1</x:v>
      </x:c>
      <x:c r="K9298" s="6" t="n">
        <x:f>IF(G9298&gt;H9298,1,0)</x:f>
        <x:v>1</x:v>
      </x:c>
      <x:c r="L9298" s="6" t="n">
        <x:f>J9298*K9298</x:f>
        <x:v>1</x:v>
      </x:c>
    </x:row>
    <x:row r="9299">
      <x:c r="A9299" s="1" t="n">
        <x:v>74723</x:v>
      </x:c>
      <x:c r="B9299" s="5" t="d">
        <x:v>2017-12-26T00:00:00.000Z</x:v>
      </x:c>
      <x:c r="C9299" s="1" t="str">
        <x:v>Standard Class</x:v>
      </x:c>
      <x:c r="D9299" s="1" t="str">
        <x:v>Pacific Asia</x:v>
      </x:c>
      <x:c r="E9299" s="1" t="str">
        <x:v>COMPLETE</x:v>
      </x:c>
      <x:c r="F9299" s="1" t="str">
        <x:v>Shipping on time</x:v>
      </x:c>
      <x:c r="G9299" s="6" t="n">
        <x:v>4</x:v>
      </x:c>
      <x:c r="H9299" s="6" t="n">
        <x:v>4</x:v>
      </x:c>
      <x:c r="I9299" s="6" t="n">
        <x:f>G9299-H9299</x:f>
        <x:v>0</x:v>
      </x:c>
      <x:c r="J9299" s="6" t="n">
        <x:f>IF(OR(E9299="CANCELED",E9299="SUSPECTED_FRAUD",F9299="Shipping canceled"),0,1)</x:f>
        <x:v>1</x:v>
      </x:c>
      <x:c r="K9299" s="6" t="n">
        <x:f>IF(G9299&gt;H9299,1,0)</x:f>
        <x:v>0</x:v>
      </x:c>
      <x:c r="L9299" s="6" t="n">
        <x:f>J9299*K9299</x:f>
        <x:v>0</x:v>
      </x:c>
    </x:row>
    <x:row r="9300">
      <x:c r="A9300" s="1" t="n">
        <x:v>74732</x:v>
      </x:c>
      <x:c r="B9300" s="5" t="d">
        <x:v>2017-12-26T00:00:00.000Z</x:v>
      </x:c>
      <x:c r="C9300" s="1" t="str">
        <x:v>Second Class</x:v>
      </x:c>
      <x:c r="D9300" s="1" t="str">
        <x:v>Pacific Asia</x:v>
      </x:c>
      <x:c r="E9300" s="1" t="str">
        <x:v>COMPLETE</x:v>
      </x:c>
      <x:c r="F9300" s="1" t="str">
        <x:v>Late delivery</x:v>
      </x:c>
      <x:c r="G9300" s="6" t="n">
        <x:v>3</x:v>
      </x:c>
      <x:c r="H9300" s="6" t="n">
        <x:v>2</x:v>
      </x:c>
      <x:c r="I9300" s="6" t="n">
        <x:f>G9300-H9300</x:f>
        <x:v>1</x:v>
      </x:c>
      <x:c r="J9300" s="6" t="n">
        <x:f>IF(OR(E9300="CANCELED",E9300="SUSPECTED_FRAUD",F9300="Shipping canceled"),0,1)</x:f>
        <x:v>1</x:v>
      </x:c>
      <x:c r="K9300" s="6" t="n">
        <x:f>IF(G9300&gt;H9300,1,0)</x:f>
        <x:v>1</x:v>
      </x:c>
      <x:c r="L9300" s="6" t="n">
        <x:f>J9300*K9300</x:f>
        <x:v>1</x:v>
      </x:c>
    </x:row>
    <x:row r="9301">
      <x:c r="A9301" s="1" t="n">
        <x:v>74749</x:v>
      </x:c>
      <x:c r="B9301" s="5" t="d">
        <x:v>2017-12-27T00:00:00.000Z</x:v>
      </x:c>
      <x:c r="C9301" s="1" t="str">
        <x:v>Second Class</x:v>
      </x:c>
      <x:c r="D9301" s="1" t="str">
        <x:v>Pacific Asia</x:v>
      </x:c>
      <x:c r="E9301" s="1" t="str">
        <x:v>COMPLETE</x:v>
      </x:c>
      <x:c r="F9301" s="1" t="str">
        <x:v>Late delivery</x:v>
      </x:c>
      <x:c r="G9301" s="6" t="n">
        <x:v>5</x:v>
      </x:c>
      <x:c r="H9301" s="6" t="n">
        <x:v>2</x:v>
      </x:c>
      <x:c r="I9301" s="6" t="n">
        <x:f>G9301-H9301</x:f>
        <x:v>3</x:v>
      </x:c>
      <x:c r="J9301" s="6" t="n">
        <x:f>IF(OR(E9301="CANCELED",E9301="SUSPECTED_FRAUD",F9301="Shipping canceled"),0,1)</x:f>
        <x:v>1</x:v>
      </x:c>
      <x:c r="K9301" s="6" t="n">
        <x:f>IF(G9301&gt;H9301,1,0)</x:f>
        <x:v>1</x:v>
      </x:c>
      <x:c r="L9301" s="6" t="n">
        <x:f>J9301*K9301</x:f>
        <x:v>1</x:v>
      </x:c>
    </x:row>
    <x:row r="9302">
      <x:c r="A9302" s="1" t="n">
        <x:v>74763</x:v>
      </x:c>
      <x:c r="B9302" s="5" t="d">
        <x:v>2017-12-27T00:00:00.000Z</x:v>
      </x:c>
      <x:c r="C9302" s="1" t="str">
        <x:v>Standard Class</x:v>
      </x:c>
      <x:c r="D9302" s="1" t="str">
        <x:v>Pacific Asia</x:v>
      </x:c>
      <x:c r="E9302" s="1" t="str">
        <x:v>CLOSED</x:v>
      </x:c>
      <x:c r="F9302" s="1" t="str">
        <x:v>Shipping on time</x:v>
      </x:c>
      <x:c r="G9302" s="6" t="n">
        <x:v>4</x:v>
      </x:c>
      <x:c r="H9302" s="6" t="n">
        <x:v>4</x:v>
      </x:c>
      <x:c r="I9302" s="6" t="n">
        <x:f>G9302-H9302</x:f>
        <x:v>0</x:v>
      </x:c>
      <x:c r="J9302" s="6" t="n">
        <x:f>IF(OR(E9302="CANCELED",E9302="SUSPECTED_FRAUD",F9302="Shipping canceled"),0,1)</x:f>
        <x:v>1</x:v>
      </x:c>
      <x:c r="K9302" s="6" t="n">
        <x:f>IF(G9302&gt;H9302,1,0)</x:f>
        <x:v>0</x:v>
      </x:c>
      <x:c r="L9302" s="6" t="n">
        <x:f>J9302*K9302</x:f>
        <x:v>0</x:v>
      </x:c>
    </x:row>
    <x:row r="9303">
      <x:c r="A9303" s="1" t="n">
        <x:v>74769</x:v>
      </x:c>
      <x:c r="B9303" s="5" t="d">
        <x:v>2017-12-27T00:00:00.000Z</x:v>
      </x:c>
      <x:c r="C9303" s="1" t="str">
        <x:v>Standard Class</x:v>
      </x:c>
      <x:c r="D9303" s="1" t="str">
        <x:v>Pacific Asia</x:v>
      </x:c>
      <x:c r="E9303" s="1" t="str">
        <x:v>COMPLETE</x:v>
      </x:c>
      <x:c r="F9303" s="1" t="str">
        <x:v>Late delivery</x:v>
      </x:c>
      <x:c r="G9303" s="6" t="n">
        <x:v>5</x:v>
      </x:c>
      <x:c r="H9303" s="6" t="n">
        <x:v>4</x:v>
      </x:c>
      <x:c r="I9303" s="6" t="n">
        <x:f>G9303-H9303</x:f>
        <x:v>1</x:v>
      </x:c>
      <x:c r="J9303" s="6" t="n">
        <x:f>IF(OR(E9303="CANCELED",E9303="SUSPECTED_FRAUD",F9303="Shipping canceled"),0,1)</x:f>
        <x:v>1</x:v>
      </x:c>
      <x:c r="K9303" s="6" t="n">
        <x:f>IF(G9303&gt;H9303,1,0)</x:f>
        <x:v>1</x:v>
      </x:c>
      <x:c r="L9303" s="6" t="n">
        <x:f>J9303*K9303</x:f>
        <x:v>1</x:v>
      </x:c>
    </x:row>
    <x:row r="9304">
      <x:c r="A9304" s="1" t="n">
        <x:v>74770</x:v>
      </x:c>
      <x:c r="B9304" s="5" t="d">
        <x:v>2017-12-27T00:00:00.000Z</x:v>
      </x:c>
      <x:c r="C9304" s="1" t="str">
        <x:v>Standard Class</x:v>
      </x:c>
      <x:c r="D9304" s="1" t="str">
        <x:v>Pacific Asia</x:v>
      </x:c>
      <x:c r="E9304" s="1" t="str">
        <x:v>COMPLETE</x:v>
      </x:c>
      <x:c r="F9304" s="1" t="str">
        <x:v>Late delivery</x:v>
      </x:c>
      <x:c r="G9304" s="6" t="n">
        <x:v>6</x:v>
      </x:c>
      <x:c r="H9304" s="6" t="n">
        <x:v>4</x:v>
      </x:c>
      <x:c r="I9304" s="6" t="n">
        <x:f>G9304-H9304</x:f>
        <x:v>2</x:v>
      </x:c>
      <x:c r="J9304" s="6" t="n">
        <x:f>IF(OR(E9304="CANCELED",E9304="SUSPECTED_FRAUD",F9304="Shipping canceled"),0,1)</x:f>
        <x:v>1</x:v>
      </x:c>
      <x:c r="K9304" s="6" t="n">
        <x:f>IF(G9304&gt;H9304,1,0)</x:f>
        <x:v>1</x:v>
      </x:c>
      <x:c r="L9304" s="6" t="n">
        <x:f>J9304*K9304</x:f>
        <x:v>1</x:v>
      </x:c>
    </x:row>
    <x:row r="9305">
      <x:c r="A9305" s="1" t="n">
        <x:v>74782</x:v>
      </x:c>
      <x:c r="B9305" s="5" t="d">
        <x:v>2017-12-27T00:00:00.000Z</x:v>
      </x:c>
      <x:c r="C9305" s="1" t="str">
        <x:v>Second Class</x:v>
      </x:c>
      <x:c r="D9305" s="1" t="str">
        <x:v>Pacific Asia</x:v>
      </x:c>
      <x:c r="E9305" s="1" t="str">
        <x:v>COMPLETE</x:v>
      </x:c>
      <x:c r="F9305" s="1" t="str">
        <x:v>Late delivery</x:v>
      </x:c>
      <x:c r="G9305" s="6" t="n">
        <x:v>3</x:v>
      </x:c>
      <x:c r="H9305" s="6" t="n">
        <x:v>2</x:v>
      </x:c>
      <x:c r="I9305" s="6" t="n">
        <x:f>G9305-H9305</x:f>
        <x:v>1</x:v>
      </x:c>
      <x:c r="J9305" s="6" t="n">
        <x:f>IF(OR(E9305="CANCELED",E9305="SUSPECTED_FRAUD",F9305="Shipping canceled"),0,1)</x:f>
        <x:v>1</x:v>
      </x:c>
      <x:c r="K9305" s="6" t="n">
        <x:f>IF(G9305&gt;H9305,1,0)</x:f>
        <x:v>1</x:v>
      </x:c>
      <x:c r="L9305" s="6" t="n">
        <x:f>J9305*K9305</x:f>
        <x:v>1</x:v>
      </x:c>
    </x:row>
    <x:row r="9306">
      <x:c r="A9306" s="1" t="n">
        <x:v>74793</x:v>
      </x:c>
      <x:c r="B9306" s="5" t="d">
        <x:v>2017-12-27T00:00:00.000Z</x:v>
      </x:c>
      <x:c r="C9306" s="1" t="str">
        <x:v>Standard Class</x:v>
      </x:c>
      <x:c r="D9306" s="1" t="str">
        <x:v>Pacific Asia</x:v>
      </x:c>
      <x:c r="E9306" s="1" t="str">
        <x:v>CLOSED</x:v>
      </x:c>
      <x:c r="F9306" s="1" t="str">
        <x:v>Shipping on time</x:v>
      </x:c>
      <x:c r="G9306" s="6" t="n">
        <x:v>4</x:v>
      </x:c>
      <x:c r="H9306" s="6" t="n">
        <x:v>4</x:v>
      </x:c>
      <x:c r="I9306" s="6" t="n">
        <x:f>G9306-H9306</x:f>
        <x:v>0</x:v>
      </x:c>
      <x:c r="J9306" s="6" t="n">
        <x:f>IF(OR(E9306="CANCELED",E9306="SUSPECTED_FRAUD",F9306="Shipping canceled"),0,1)</x:f>
        <x:v>1</x:v>
      </x:c>
      <x:c r="K9306" s="6" t="n">
        <x:f>IF(G9306&gt;H9306,1,0)</x:f>
        <x:v>0</x:v>
      </x:c>
      <x:c r="L9306" s="6" t="n">
        <x:f>J9306*K9306</x:f>
        <x:v>0</x:v>
      </x:c>
    </x:row>
    <x:row r="9307">
      <x:c r="A9307" s="1" t="n">
        <x:v>74796</x:v>
      </x:c>
      <x:c r="B9307" s="5" t="d">
        <x:v>2017-12-27T00:00:00.000Z</x:v>
      </x:c>
      <x:c r="C9307" s="1" t="str">
        <x:v>Standard Class</x:v>
      </x:c>
      <x:c r="D9307" s="1" t="str">
        <x:v>Pacific Asia</x:v>
      </x:c>
      <x:c r="E9307" s="1" t="str">
        <x:v>COMPLETE</x:v>
      </x:c>
      <x:c r="F9307" s="1" t="str">
        <x:v>Advance shipping</x:v>
      </x:c>
      <x:c r="G9307" s="6" t="n">
        <x:v>2</x:v>
      </x:c>
      <x:c r="H9307" s="6" t="n">
        <x:v>4</x:v>
      </x:c>
      <x:c r="I9307" s="6" t="n">
        <x:f>G9307-H9307</x:f>
        <x:v>-2</x:v>
      </x:c>
      <x:c r="J9307" s="6" t="n">
        <x:f>IF(OR(E9307="CANCELED",E9307="SUSPECTED_FRAUD",F9307="Shipping canceled"),0,1)</x:f>
        <x:v>1</x:v>
      </x:c>
      <x:c r="K9307" s="6" t="n">
        <x:f>IF(G9307&gt;H9307,1,0)</x:f>
        <x:v>0</x:v>
      </x:c>
      <x:c r="L9307" s="6" t="n">
        <x:f>J9307*K9307</x:f>
        <x:v>0</x:v>
      </x:c>
    </x:row>
    <x:row r="9308">
      <x:c r="A9308" s="1" t="n">
        <x:v>74839</x:v>
      </x:c>
      <x:c r="B9308" s="5" t="d">
        <x:v>2017-12-28T00:00:00.000Z</x:v>
      </x:c>
      <x:c r="C9308" s="1" t="str">
        <x:v>Standard Class</x:v>
      </x:c>
      <x:c r="D9308" s="1" t="str">
        <x:v>Pacific Asia</x:v>
      </x:c>
      <x:c r="E9308" s="1" t="str">
        <x:v>COMPLETE</x:v>
      </x:c>
      <x:c r="F9308" s="1" t="str">
        <x:v>Late delivery</x:v>
      </x:c>
      <x:c r="G9308" s="6" t="n">
        <x:v>5</x:v>
      </x:c>
      <x:c r="H9308" s="6" t="n">
        <x:v>4</x:v>
      </x:c>
      <x:c r="I9308" s="6" t="n">
        <x:f>G9308-H9308</x:f>
        <x:v>1</x:v>
      </x:c>
      <x:c r="J9308" s="6" t="n">
        <x:f>IF(OR(E9308="CANCELED",E9308="SUSPECTED_FRAUD",F9308="Shipping canceled"),0,1)</x:f>
        <x:v>1</x:v>
      </x:c>
      <x:c r="K9308" s="6" t="n">
        <x:f>IF(G9308&gt;H9308,1,0)</x:f>
        <x:v>1</x:v>
      </x:c>
      <x:c r="L9308" s="6" t="n">
        <x:f>J9308*K9308</x:f>
        <x:v>1</x:v>
      </x:c>
    </x:row>
    <x:row r="9309">
      <x:c r="A9309" s="1" t="n">
        <x:v>74840</x:v>
      </x:c>
      <x:c r="B9309" s="5" t="d">
        <x:v>2017-12-28T00:00:00.000Z</x:v>
      </x:c>
      <x:c r="C9309" s="1" t="str">
        <x:v>Standard Class</x:v>
      </x:c>
      <x:c r="D9309" s="1" t="str">
        <x:v>Pacific Asia</x:v>
      </x:c>
      <x:c r="E9309" s="1" t="str">
        <x:v>PENDING_PAYMENT</x:v>
      </x:c>
      <x:c r="F9309" s="1" t="str">
        <x:v>Late delivery</x:v>
      </x:c>
      <x:c r="G9309" s="6" t="n">
        <x:v>6</x:v>
      </x:c>
      <x:c r="H9309" s="6" t="n">
        <x:v>4</x:v>
      </x:c>
      <x:c r="I9309" s="6" t="n">
        <x:f>G9309-H9309</x:f>
        <x:v>2</x:v>
      </x:c>
      <x:c r="J9309" s="6" t="n">
        <x:f>IF(OR(E9309="CANCELED",E9309="SUSPECTED_FRAUD",F9309="Shipping canceled"),0,1)</x:f>
        <x:v>1</x:v>
      </x:c>
      <x:c r="K9309" s="6" t="n">
        <x:f>IF(G9309&gt;H9309,1,0)</x:f>
        <x:v>1</x:v>
      </x:c>
      <x:c r="L9309" s="6" t="n">
        <x:f>J9309*K9309</x:f>
        <x:v>1</x:v>
      </x:c>
    </x:row>
    <x:row r="9310">
      <x:c r="A9310" s="1" t="n">
        <x:v>74843</x:v>
      </x:c>
      <x:c r="B9310" s="5" t="d">
        <x:v>2017-12-28T00:00:00.000Z</x:v>
      </x:c>
      <x:c r="C9310" s="1" t="str">
        <x:v>Second Class</x:v>
      </x:c>
      <x:c r="D9310" s="1" t="str">
        <x:v>Pacific Asia</x:v>
      </x:c>
      <x:c r="E9310" s="1" t="str">
        <x:v>COMPLETE</x:v>
      </x:c>
      <x:c r="F9310" s="1" t="str">
        <x:v>Late delivery</x:v>
      </x:c>
      <x:c r="G9310" s="6" t="n">
        <x:v>4</x:v>
      </x:c>
      <x:c r="H9310" s="6" t="n">
        <x:v>2</x:v>
      </x:c>
      <x:c r="I9310" s="6" t="n">
        <x:f>G9310-H9310</x:f>
        <x:v>2</x:v>
      </x:c>
      <x:c r="J9310" s="6" t="n">
        <x:f>IF(OR(E9310="CANCELED",E9310="SUSPECTED_FRAUD",F9310="Shipping canceled"),0,1)</x:f>
        <x:v>1</x:v>
      </x:c>
      <x:c r="K9310" s="6" t="n">
        <x:f>IF(G9310&gt;H9310,1,0)</x:f>
        <x:v>1</x:v>
      </x:c>
      <x:c r="L9310" s="6" t="n">
        <x:f>J9310*K9310</x:f>
        <x:v>1</x:v>
      </x:c>
    </x:row>
    <x:row r="9311">
      <x:c r="A9311" s="1" t="n">
        <x:v>74855</x:v>
      </x:c>
      <x:c r="B9311" s="5" t="d">
        <x:v>2017-12-28T00:00:00.000Z</x:v>
      </x:c>
      <x:c r="C9311" s="1" t="str">
        <x:v>Standard Class</x:v>
      </x:c>
      <x:c r="D9311" s="1" t="str">
        <x:v>Pacific Asia</x:v>
      </x:c>
      <x:c r="E9311" s="1" t="str">
        <x:v>PENDING_PAYMENT</x:v>
      </x:c>
      <x:c r="F9311" s="1" t="str">
        <x:v>Late delivery</x:v>
      </x:c>
      <x:c r="G9311" s="6" t="n">
        <x:v>6</x:v>
      </x:c>
      <x:c r="H9311" s="6" t="n">
        <x:v>4</x:v>
      </x:c>
      <x:c r="I9311" s="6" t="n">
        <x:f>G9311-H9311</x:f>
        <x:v>2</x:v>
      </x:c>
      <x:c r="J9311" s="6" t="n">
        <x:f>IF(OR(E9311="CANCELED",E9311="SUSPECTED_FRAUD",F9311="Shipping canceled"),0,1)</x:f>
        <x:v>1</x:v>
      </x:c>
      <x:c r="K9311" s="6" t="n">
        <x:f>IF(G9311&gt;H9311,1,0)</x:f>
        <x:v>1</x:v>
      </x:c>
      <x:c r="L9311" s="6" t="n">
        <x:f>J9311*K9311</x:f>
        <x:v>1</x:v>
      </x:c>
    </x:row>
    <x:row r="9312">
      <x:c r="A9312" s="1" t="n">
        <x:v>74858</x:v>
      </x:c>
      <x:c r="B9312" s="5" t="d">
        <x:v>2017-12-28T00:00:00.000Z</x:v>
      </x:c>
      <x:c r="C9312" s="1" t="str">
        <x:v>First Class</x:v>
      </x:c>
      <x:c r="D9312" s="1" t="str">
        <x:v>Pacific Asia</x:v>
      </x:c>
      <x:c r="E9312" s="1" t="str">
        <x:v>CLOSED</x:v>
      </x:c>
      <x:c r="F9312" s="1" t="str">
        <x:v>Late delivery</x:v>
      </x:c>
      <x:c r="G9312" s="6" t="n">
        <x:v>2</x:v>
      </x:c>
      <x:c r="H9312" s="6" t="n">
        <x:v>1</x:v>
      </x:c>
      <x:c r="I9312" s="6" t="n">
        <x:f>G9312-H9312</x:f>
        <x:v>1</x:v>
      </x:c>
      <x:c r="J9312" s="6" t="n">
        <x:f>IF(OR(E9312="CANCELED",E9312="SUSPECTED_FRAUD",F9312="Shipping canceled"),0,1)</x:f>
        <x:v>1</x:v>
      </x:c>
      <x:c r="K9312" s="6" t="n">
        <x:f>IF(G9312&gt;H9312,1,0)</x:f>
        <x:v>1</x:v>
      </x:c>
      <x:c r="L9312" s="6" t="n">
        <x:f>J9312*K9312</x:f>
        <x:v>1</x:v>
      </x:c>
    </x:row>
    <x:row r="9313">
      <x:c r="A9313" s="1" t="n">
        <x:v>74876</x:v>
      </x:c>
      <x:c r="B9313" s="5" t="d">
        <x:v>2017-12-29T00:00:00.000Z</x:v>
      </x:c>
      <x:c r="C9313" s="1" t="str">
        <x:v>Second Class</x:v>
      </x:c>
      <x:c r="D9313" s="1" t="str">
        <x:v>Pacific Asia</x:v>
      </x:c>
      <x:c r="E9313" s="1" t="str">
        <x:v>COMPLETE</x:v>
      </x:c>
      <x:c r="F9313" s="1" t="str">
        <x:v>Shipping on time</x:v>
      </x:c>
      <x:c r="G9313" s="6" t="n">
        <x:v>2</x:v>
      </x:c>
      <x:c r="H9313" s="6" t="n">
        <x:v>2</x:v>
      </x:c>
      <x:c r="I9313" s="6" t="n">
        <x:f>G9313-H9313</x:f>
        <x:v>0</x:v>
      </x:c>
      <x:c r="J9313" s="6" t="n">
        <x:f>IF(OR(E9313="CANCELED",E9313="SUSPECTED_FRAUD",F9313="Shipping canceled"),0,1)</x:f>
        <x:v>1</x:v>
      </x:c>
      <x:c r="K9313" s="6" t="n">
        <x:f>IF(G9313&gt;H9313,1,0)</x:f>
        <x:v>0</x:v>
      </x:c>
      <x:c r="L9313" s="6" t="n">
        <x:f>J9313*K9313</x:f>
        <x:v>0</x:v>
      </x:c>
    </x:row>
    <x:row r="9314">
      <x:c r="A9314" s="1" t="n">
        <x:v>74953</x:v>
      </x:c>
      <x:c r="B9314" s="5" t="d">
        <x:v>2017-12-30T00:00:00.000Z</x:v>
      </x:c>
      <x:c r="C9314" s="1" t="str">
        <x:v>Standard Class</x:v>
      </x:c>
      <x:c r="D9314" s="1" t="str">
        <x:v>Pacific Asia</x:v>
      </x:c>
      <x:c r="E9314" s="1" t="str">
        <x:v>PENDING_PAYMENT</x:v>
      </x:c>
      <x:c r="F9314" s="1" t="str">
        <x:v>Shipping on time</x:v>
      </x:c>
      <x:c r="G9314" s="6" t="n">
        <x:v>4</x:v>
      </x:c>
      <x:c r="H9314" s="6" t="n">
        <x:v>4</x:v>
      </x:c>
      <x:c r="I9314" s="6" t="n">
        <x:f>G9314-H9314</x:f>
        <x:v>0</x:v>
      </x:c>
      <x:c r="J9314" s="6" t="n">
        <x:f>IF(OR(E9314="CANCELED",E9314="SUSPECTED_FRAUD",F9314="Shipping canceled"),0,1)</x:f>
        <x:v>1</x:v>
      </x:c>
      <x:c r="K9314" s="6" t="n">
        <x:f>IF(G9314&gt;H9314,1,0)</x:f>
        <x:v>0</x:v>
      </x:c>
      <x:c r="L9314" s="6" t="n">
        <x:f>J9314*K9314</x:f>
        <x:v>0</x:v>
      </x:c>
    </x:row>
    <x:row r="9315">
      <x:c r="A9315" s="1" t="n">
        <x:v>74959</x:v>
      </x:c>
      <x:c r="B9315" s="5" t="d">
        <x:v>2017-12-30T00:00:00.000Z</x:v>
      </x:c>
      <x:c r="C9315" s="1" t="str">
        <x:v>First Class</x:v>
      </x:c>
      <x:c r="D9315" s="1" t="str">
        <x:v>Pacific Asia</x:v>
      </x:c>
      <x:c r="E9315" s="1" t="str">
        <x:v>CLOSED</x:v>
      </x:c>
      <x:c r="F9315" s="1" t="str">
        <x:v>Late delivery</x:v>
      </x:c>
      <x:c r="G9315" s="6" t="n">
        <x:v>2</x:v>
      </x:c>
      <x:c r="H9315" s="6" t="n">
        <x:v>1</x:v>
      </x:c>
      <x:c r="I9315" s="6" t="n">
        <x:f>G9315-H9315</x:f>
        <x:v>1</x:v>
      </x:c>
      <x:c r="J9315" s="6" t="n">
        <x:f>IF(OR(E9315="CANCELED",E9315="SUSPECTED_FRAUD",F9315="Shipping canceled"),0,1)</x:f>
        <x:v>1</x:v>
      </x:c>
      <x:c r="K9315" s="6" t="n">
        <x:f>IF(G9315&gt;H9315,1,0)</x:f>
        <x:v>1</x:v>
      </x:c>
      <x:c r="L9315" s="6" t="n">
        <x:f>J9315*K9315</x:f>
        <x:v>1</x:v>
      </x:c>
    </x:row>
    <x:row r="9316">
      <x:c r="A9316" s="1" t="n">
        <x:v>74966</x:v>
      </x:c>
      <x:c r="B9316" s="5" t="d">
        <x:v>2017-12-30T00:00:00.000Z</x:v>
      </x:c>
      <x:c r="C9316" s="1" t="str">
        <x:v>Standard Class</x:v>
      </x:c>
      <x:c r="D9316" s="1" t="str">
        <x:v>Pacific Asia</x:v>
      </x:c>
      <x:c r="E9316" s="1" t="str">
        <x:v>COMPLETE</x:v>
      </x:c>
      <x:c r="F9316" s="1" t="str">
        <x:v>Advance shipping</x:v>
      </x:c>
      <x:c r="G9316" s="6" t="n">
        <x:v>2</x:v>
      </x:c>
      <x:c r="H9316" s="6" t="n">
        <x:v>4</x:v>
      </x:c>
      <x:c r="I9316" s="6" t="n">
        <x:f>G9316-H9316</x:f>
        <x:v>-2</x:v>
      </x:c>
      <x:c r="J9316" s="6" t="n">
        <x:f>IF(OR(E9316="CANCELED",E9316="SUSPECTED_FRAUD",F9316="Shipping canceled"),0,1)</x:f>
        <x:v>1</x:v>
      </x:c>
      <x:c r="K9316" s="6" t="n">
        <x:f>IF(G9316&gt;H9316,1,0)</x:f>
        <x:v>0</x:v>
      </x:c>
      <x:c r="L9316" s="6" t="n">
        <x:f>J9316*K9316</x:f>
        <x:v>0</x:v>
      </x:c>
    </x:row>
    <x:row r="9317">
      <x:c r="A9317" s="1" t="n">
        <x:v>74968</x:v>
      </x:c>
      <x:c r="B9317" s="5" t="d">
        <x:v>2017-12-30T00:00:00.000Z</x:v>
      </x:c>
      <x:c r="C9317" s="1" t="str">
        <x:v>Standard Class</x:v>
      </x:c>
      <x:c r="D9317" s="1" t="str">
        <x:v>Pacific Asia</x:v>
      </x:c>
      <x:c r="E9317" s="1" t="str">
        <x:v>COMPLETE</x:v>
      </x:c>
      <x:c r="F9317" s="1" t="str">
        <x:v>Shipping on time</x:v>
      </x:c>
      <x:c r="G9317" s="6" t="n">
        <x:v>4</x:v>
      </x:c>
      <x:c r="H9317" s="6" t="n">
        <x:v>4</x:v>
      </x:c>
      <x:c r="I9317" s="6" t="n">
        <x:f>G9317-H9317</x:f>
        <x:v>0</x:v>
      </x:c>
      <x:c r="J9317" s="6" t="n">
        <x:f>IF(OR(E9317="CANCELED",E9317="SUSPECTED_FRAUD",F9317="Shipping canceled"),0,1)</x:f>
        <x:v>1</x:v>
      </x:c>
      <x:c r="K9317" s="6" t="n">
        <x:f>IF(G9317&gt;H9317,1,0)</x:f>
        <x:v>0</x:v>
      </x:c>
      <x:c r="L9317" s="6" t="n">
        <x:f>J9317*K9317</x:f>
        <x:v>0</x:v>
      </x:c>
    </x:row>
    <x:row r="9318">
      <x:c r="A9318" s="1" t="n">
        <x:v>75006</x:v>
      </x:c>
      <x:c r="B9318" s="5" t="d">
        <x:v>2017-12-30T00:00:00.000Z</x:v>
      </x:c>
      <x:c r="C9318" s="1" t="str">
        <x:v>Standard Class</x:v>
      </x:c>
      <x:c r="D9318" s="1" t="str">
        <x:v>Pacific Asia</x:v>
      </x:c>
      <x:c r="E9318" s="1" t="str">
        <x:v>COMPLETE</x:v>
      </x:c>
      <x:c r="F9318" s="1" t="str">
        <x:v>Advance shipping</x:v>
      </x:c>
      <x:c r="G9318" s="6" t="n">
        <x:v>2</x:v>
      </x:c>
      <x:c r="H9318" s="6" t="n">
        <x:v>4</x:v>
      </x:c>
      <x:c r="I9318" s="6" t="n">
        <x:f>G9318-H9318</x:f>
        <x:v>-2</x:v>
      </x:c>
      <x:c r="J9318" s="6" t="n">
        <x:f>IF(OR(E9318="CANCELED",E9318="SUSPECTED_FRAUD",F9318="Shipping canceled"),0,1)</x:f>
        <x:v>1</x:v>
      </x:c>
      <x:c r="K9318" s="6" t="n">
        <x:f>IF(G9318&gt;H9318,1,0)</x:f>
        <x:v>0</x:v>
      </x:c>
      <x:c r="L9318" s="6" t="n">
        <x:f>J9318*K9318</x:f>
        <x:v>0</x:v>
      </x:c>
    </x:row>
    <x:row r="9319">
      <x:c r="A9319" s="1" t="n">
        <x:v>75035</x:v>
      </x:c>
      <x:c r="B9319" s="5" t="d">
        <x:v>2017-12-31T00:00:00.000Z</x:v>
      </x:c>
      <x:c r="C9319" s="1" t="str">
        <x:v>Second Class</x:v>
      </x:c>
      <x:c r="D9319" s="1" t="str">
        <x:v>Pacific Asia</x:v>
      </x:c>
      <x:c r="E9319" s="1" t="str">
        <x:v>COMPLETE</x:v>
      </x:c>
      <x:c r="F9319" s="1" t="str">
        <x:v>Late delivery</x:v>
      </x:c>
      <x:c r="G9319" s="6" t="n">
        <x:v>6</x:v>
      </x:c>
      <x:c r="H9319" s="6" t="n">
        <x:v>2</x:v>
      </x:c>
      <x:c r="I9319" s="6" t="n">
        <x:f>G9319-H9319</x:f>
        <x:v>4</x:v>
      </x:c>
      <x:c r="J9319" s="6" t="n">
        <x:f>IF(OR(E9319="CANCELED",E9319="SUSPECTED_FRAUD",F9319="Shipping canceled"),0,1)</x:f>
        <x:v>1</x:v>
      </x:c>
      <x:c r="K9319" s="6" t="n">
        <x:f>IF(G9319&gt;H9319,1,0)</x:f>
        <x:v>1</x:v>
      </x:c>
      <x:c r="L9319" s="6" t="n">
        <x:f>J9319*K9319</x:f>
        <x:v>1</x:v>
      </x:c>
    </x:row>
    <x:row r="9320">
      <x:c r="A9320" s="1" t="n">
        <x:v>75041</x:v>
      </x:c>
      <x:c r="B9320" s="5" t="d">
        <x:v>2017-12-31T00:00:00.000Z</x:v>
      </x:c>
      <x:c r="C9320" s="1" t="str">
        <x:v>Standard Class</x:v>
      </x:c>
      <x:c r="D9320" s="1" t="str">
        <x:v>Pacific Asia</x:v>
      </x:c>
      <x:c r="E9320" s="1" t="str">
        <x:v>COMPLETE</x:v>
      </x:c>
      <x:c r="F9320" s="1" t="str">
        <x:v>Advance shipping</x:v>
      </x:c>
      <x:c r="G9320" s="6" t="n">
        <x:v>2</x:v>
      </x:c>
      <x:c r="H9320" s="6" t="n">
        <x:v>4</x:v>
      </x:c>
      <x:c r="I9320" s="6" t="n">
        <x:f>G9320-H9320</x:f>
        <x:v>-2</x:v>
      </x:c>
      <x:c r="J9320" s="6" t="n">
        <x:f>IF(OR(E9320="CANCELED",E9320="SUSPECTED_FRAUD",F9320="Shipping canceled"),0,1)</x:f>
        <x:v>1</x:v>
      </x:c>
      <x:c r="K9320" s="6" t="n">
        <x:f>IF(G9320&gt;H9320,1,0)</x:f>
        <x:v>0</x:v>
      </x:c>
      <x:c r="L9320" s="6" t="n">
        <x:f>J9320*K9320</x:f>
        <x:v>0</x:v>
      </x:c>
    </x:row>
    <x:row r="9321">
      <x:c r="A9321" s="1" t="n">
        <x:v>75045</x:v>
      </x:c>
      <x:c r="B9321" s="5" t="d">
        <x:v>2017-12-31T00:00:00.000Z</x:v>
      </x:c>
      <x:c r="C9321" s="1" t="str">
        <x:v>Standard Class</x:v>
      </x:c>
      <x:c r="D9321" s="1" t="str">
        <x:v>Pacific Asia</x:v>
      </x:c>
      <x:c r="E9321" s="1" t="str">
        <x:v>PENDING_PAYMENT</x:v>
      </x:c>
      <x:c r="F9321" s="1" t="str">
        <x:v>Late delivery</x:v>
      </x:c>
      <x:c r="G9321" s="6" t="n">
        <x:v>6</x:v>
      </x:c>
      <x:c r="H9321" s="6" t="n">
        <x:v>4</x:v>
      </x:c>
      <x:c r="I9321" s="6" t="n">
        <x:f>G9321-H9321</x:f>
        <x:v>2</x:v>
      </x:c>
      <x:c r="J9321" s="6" t="n">
        <x:f>IF(OR(E9321="CANCELED",E9321="SUSPECTED_FRAUD",F9321="Shipping canceled"),0,1)</x:f>
        <x:v>1</x:v>
      </x:c>
      <x:c r="K9321" s="6" t="n">
        <x:f>IF(G9321&gt;H9321,1,0)</x:f>
        <x:v>1</x:v>
      </x:c>
      <x:c r="L9321" s="6" t="n">
        <x:f>J9321*K9321</x:f>
        <x:v>1</x:v>
      </x:c>
    </x:row>
    <x:row r="9322">
      <x:c r="A9322" s="1" t="n">
        <x:v>75051</x:v>
      </x:c>
      <x:c r="B9322" s="5" t="d">
        <x:v>2017-12-31T00:00:00.000Z</x:v>
      </x:c>
      <x:c r="C9322" s="1" t="str">
        <x:v>Standard Class</x:v>
      </x:c>
      <x:c r="D9322" s="1" t="str">
        <x:v>Pacific Asia</x:v>
      </x:c>
      <x:c r="E9322" s="1" t="str">
        <x:v>COMPLETE</x:v>
      </x:c>
      <x:c r="F9322" s="1" t="str">
        <x:v>Advance shipping</x:v>
      </x:c>
      <x:c r="G9322" s="6" t="n">
        <x:v>2</x:v>
      </x:c>
      <x:c r="H9322" s="6" t="n">
        <x:v>4</x:v>
      </x:c>
      <x:c r="I9322" s="6" t="n">
        <x:f>G9322-H9322</x:f>
        <x:v>-2</x:v>
      </x:c>
      <x:c r="J9322" s="6" t="n">
        <x:f>IF(OR(E9322="CANCELED",E9322="SUSPECTED_FRAUD",F9322="Shipping canceled"),0,1)</x:f>
        <x:v>1</x:v>
      </x:c>
      <x:c r="K9322" s="6" t="n">
        <x:f>IF(G9322&gt;H9322,1,0)</x:f>
        <x:v>0</x:v>
      </x:c>
      <x:c r="L9322" s="6" t="n">
        <x:f>J9322*K9322</x:f>
        <x:v>0</x:v>
      </x:c>
    </x:row>
    <x:row r="9323">
      <x:c r="A9323" s="1" t="n">
        <x:v>75063</x:v>
      </x:c>
      <x:c r="B9323" s="5" t="d">
        <x:v>2017-12-31T00:00:00.000Z</x:v>
      </x:c>
      <x:c r="C9323" s="1" t="str">
        <x:v>Standard Class</x:v>
      </x:c>
      <x:c r="D9323" s="1" t="str">
        <x:v>Pacific Asia</x:v>
      </x:c>
      <x:c r="E9323" s="1" t="str">
        <x:v>ON_HOLD</x:v>
      </x:c>
      <x:c r="F9323" s="1" t="str">
        <x:v>Shipping on time</x:v>
      </x:c>
      <x:c r="G9323" s="6" t="n">
        <x:v>4</x:v>
      </x:c>
      <x:c r="H9323" s="6" t="n">
        <x:v>4</x:v>
      </x:c>
      <x:c r="I9323" s="6" t="n">
        <x:f>G9323-H9323</x:f>
        <x:v>0</x:v>
      </x:c>
      <x:c r="J9323" s="6" t="n">
        <x:f>IF(OR(E9323="CANCELED",E9323="SUSPECTED_FRAUD",F9323="Shipping canceled"),0,1)</x:f>
        <x:v>1</x:v>
      </x:c>
      <x:c r="K9323" s="6" t="n">
        <x:f>IF(G9323&gt;H9323,1,0)</x:f>
        <x:v>0</x:v>
      </x:c>
      <x:c r="L9323" s="6" t="n">
        <x:f>J9323*K9323</x:f>
        <x:v>0</x:v>
      </x:c>
    </x:row>
    <x:row r="9324">
      <x:c r="A9324" s="1" t="n">
        <x:v>75067</x:v>
      </x:c>
      <x:c r="B9324" s="5" t="d">
        <x:v>2017-12-31T00:00:00.000Z</x:v>
      </x:c>
      <x:c r="C9324" s="1" t="str">
        <x:v>Standard Class</x:v>
      </x:c>
      <x:c r="D9324" s="1" t="str">
        <x:v>Pacific Asia</x:v>
      </x:c>
      <x:c r="E9324" s="1" t="str">
        <x:v>ON_HOLD</x:v>
      </x:c>
      <x:c r="F9324" s="1" t="str">
        <x:v>Advance shipping</x:v>
      </x:c>
      <x:c r="G9324" s="6" t="n">
        <x:v>3</x:v>
      </x:c>
      <x:c r="H9324" s="6" t="n">
        <x:v>4</x:v>
      </x:c>
      <x:c r="I9324" s="6" t="n">
        <x:f>G9324-H9324</x:f>
        <x:v>-1</x:v>
      </x:c>
      <x:c r="J9324" s="6" t="n">
        <x:f>IF(OR(E9324="CANCELED",E9324="SUSPECTED_FRAUD",F9324="Shipping canceled"),0,1)</x:f>
        <x:v>1</x:v>
      </x:c>
      <x:c r="K9324" s="6" t="n">
        <x:f>IF(G9324&gt;H9324,1,0)</x:f>
        <x:v>0</x:v>
      </x:c>
      <x:c r="L9324" s="6" t="n">
        <x:f>J9324*K9324</x:f>
        <x:v>0</x:v>
      </x:c>
    </x:row>
    <x:row r="9325">
      <x:c r="A9325" s="1" t="n">
        <x:v>75070</x:v>
      </x:c>
      <x:c r="B9325" s="5" t="d">
        <x:v>2017-12-31T00:00:00.000Z</x:v>
      </x:c>
      <x:c r="C9325" s="1" t="str">
        <x:v>Standard Class</x:v>
      </x:c>
      <x:c r="D9325" s="1" t="str">
        <x:v>Pacific Asia</x:v>
      </x:c>
      <x:c r="E9325" s="1" t="str">
        <x:v>PENDING_PAYMENT</x:v>
      </x:c>
      <x:c r="F9325" s="1" t="str">
        <x:v>Late delivery</x:v>
      </x:c>
      <x:c r="G9325" s="6" t="n">
        <x:v>6</x:v>
      </x:c>
      <x:c r="H9325" s="6" t="n">
        <x:v>4</x:v>
      </x:c>
      <x:c r="I9325" s="6" t="n">
        <x:f>G9325-H9325</x:f>
        <x:v>2</x:v>
      </x:c>
      <x:c r="J9325" s="6" t="n">
        <x:f>IF(OR(E9325="CANCELED",E9325="SUSPECTED_FRAUD",F9325="Shipping canceled"),0,1)</x:f>
        <x:v>1</x:v>
      </x:c>
      <x:c r="K9325" s="6" t="n">
        <x:f>IF(G9325&gt;H9325,1,0)</x:f>
        <x:v>1</x:v>
      </x:c>
      <x:c r="L9325" s="6" t="n">
        <x:f>J9325*K9325</x:f>
        <x:v>1</x:v>
      </x:c>
    </x:row>
    <x:row r="9326">
      <x:c r="A9326" s="1" t="n">
        <x:v>75073</x:v>
      </x:c>
      <x:c r="B9326" s="5" t="d">
        <x:v>2017-12-31T00:00:00.000Z</x:v>
      </x:c>
      <x:c r="C9326" s="1" t="str">
        <x:v>Second Class</x:v>
      </x:c>
      <x:c r="D9326" s="1" t="str">
        <x:v>Pacific Asia</x:v>
      </x:c>
      <x:c r="E9326" s="1" t="str">
        <x:v>COMPLETE</x:v>
      </x:c>
      <x:c r="F9326" s="1" t="str">
        <x:v>Late delivery</x:v>
      </x:c>
      <x:c r="G9326" s="6" t="n">
        <x:v>4</x:v>
      </x:c>
      <x:c r="H9326" s="6" t="n">
        <x:v>2</x:v>
      </x:c>
      <x:c r="I9326" s="6" t="n">
        <x:f>G9326-H9326</x:f>
        <x:v>2</x:v>
      </x:c>
      <x:c r="J9326" s="6" t="n">
        <x:f>IF(OR(E9326="CANCELED",E9326="SUSPECTED_FRAUD",F9326="Shipping canceled"),0,1)</x:f>
        <x:v>1</x:v>
      </x:c>
      <x:c r="K9326" s="6" t="n">
        <x:f>IF(G9326&gt;H9326,1,0)</x:f>
        <x:v>1</x:v>
      </x:c>
      <x:c r="L9326" s="6" t="n">
        <x:f>J9326*K9326</x:f>
        <x:v>1</x:v>
      </x:c>
    </x:row>
    <x:row r="9327">
      <x:c r="A9327" s="1" t="n">
        <x:v>75098</x:v>
      </x:c>
      <x:c r="B9327" s="5" t="d">
        <x:v>2018-01-01T00:00:00.000Z</x:v>
      </x:c>
      <x:c r="C9327" s="1" t="str">
        <x:v>Second Class</x:v>
      </x:c>
      <x:c r="D9327" s="1" t="str">
        <x:v>Pacific Asia</x:v>
      </x:c>
      <x:c r="E9327" s="1" t="str">
        <x:v>PROCESSING</x:v>
      </x:c>
      <x:c r="F9327" s="1" t="str">
        <x:v>Late delivery</x:v>
      </x:c>
      <x:c r="G9327" s="6" t="n">
        <x:v>4</x:v>
      </x:c>
      <x:c r="H9327" s="6" t="n">
        <x:v>2</x:v>
      </x:c>
      <x:c r="I9327" s="6" t="n">
        <x:f>G9327-H9327</x:f>
        <x:v>2</x:v>
      </x:c>
      <x:c r="J9327" s="6" t="n">
        <x:f>IF(OR(E9327="CANCELED",E9327="SUSPECTED_FRAUD",F9327="Shipping canceled"),0,1)</x:f>
        <x:v>1</x:v>
      </x:c>
      <x:c r="K9327" s="6" t="n">
        <x:f>IF(G9327&gt;H9327,1,0)</x:f>
        <x:v>1</x:v>
      </x:c>
      <x:c r="L9327" s="6" t="n">
        <x:f>J9327*K9327</x:f>
        <x:v>1</x:v>
      </x:c>
    </x:row>
    <x:row r="9328">
      <x:c r="A9328" s="1" t="n">
        <x:v>75106</x:v>
      </x:c>
      <x:c r="B9328" s="5" t="d">
        <x:v>2018-01-01T00:00:00.000Z</x:v>
      </x:c>
      <x:c r="C9328" s="1" t="str">
        <x:v>Standard Class</x:v>
      </x:c>
      <x:c r="D9328" s="1" t="str">
        <x:v>Pacific Asia</x:v>
      </x:c>
      <x:c r="E9328" s="1" t="str">
        <x:v>COMPLETE</x:v>
      </x:c>
      <x:c r="F9328" s="1" t="str">
        <x:v>Advance shipping</x:v>
      </x:c>
      <x:c r="G9328" s="6" t="n">
        <x:v>2</x:v>
      </x:c>
      <x:c r="H9328" s="6" t="n">
        <x:v>4</x:v>
      </x:c>
      <x:c r="I9328" s="6" t="n">
        <x:f>G9328-H9328</x:f>
        <x:v>-2</x:v>
      </x:c>
      <x:c r="J9328" s="6" t="n">
        <x:f>IF(OR(E9328="CANCELED",E9328="SUSPECTED_FRAUD",F9328="Shipping canceled"),0,1)</x:f>
        <x:v>1</x:v>
      </x:c>
      <x:c r="K9328" s="6" t="n">
        <x:f>IF(G9328&gt;H9328,1,0)</x:f>
        <x:v>0</x:v>
      </x:c>
      <x:c r="L9328" s="6" t="n">
        <x:f>J9328*K9328</x:f>
        <x:v>0</x:v>
      </x:c>
    </x:row>
    <x:row r="9329">
      <x:c r="A9329" s="1" t="n">
        <x:v>75116</x:v>
      </x:c>
      <x:c r="B9329" s="5" t="d">
        <x:v>2018-01-01T00:00:00.000Z</x:v>
      </x:c>
      <x:c r="C9329" s="1" t="str">
        <x:v>Standard Class</x:v>
      </x:c>
      <x:c r="D9329" s="1" t="str">
        <x:v>Pacific Asia</x:v>
      </x:c>
      <x:c r="E9329" s="1" t="str">
        <x:v>COMPLETE</x:v>
      </x:c>
      <x:c r="F9329" s="1" t="str">
        <x:v>Advance shipping</x:v>
      </x:c>
      <x:c r="G9329" s="6" t="n">
        <x:v>2</x:v>
      </x:c>
      <x:c r="H9329" s="6" t="n">
        <x:v>4</x:v>
      </x:c>
      <x:c r="I9329" s="6" t="n">
        <x:f>G9329-H9329</x:f>
        <x:v>-2</x:v>
      </x:c>
      <x:c r="J9329" s="6" t="n">
        <x:f>IF(OR(E9329="CANCELED",E9329="SUSPECTED_FRAUD",F9329="Shipping canceled"),0,1)</x:f>
        <x:v>1</x:v>
      </x:c>
      <x:c r="K9329" s="6" t="n">
        <x:f>IF(G9329&gt;H9329,1,0)</x:f>
        <x:v>0</x:v>
      </x:c>
      <x:c r="L9329" s="6" t="n">
        <x:f>J9329*K9329</x:f>
        <x:v>0</x:v>
      </x:c>
    </x:row>
    <x:row r="9330">
      <x:c r="A9330" s="1" t="n">
        <x:v>75122</x:v>
      </x:c>
      <x:c r="B9330" s="5" t="d">
        <x:v>2018-01-01T00:00:00.000Z</x:v>
      </x:c>
      <x:c r="C9330" s="1" t="str">
        <x:v>Standard Class</x:v>
      </x:c>
      <x:c r="D9330" s="1" t="str">
        <x:v>Pacific Asia</x:v>
      </x:c>
      <x:c r="E9330" s="1" t="str">
        <x:v>ON_HOLD</x:v>
      </x:c>
      <x:c r="F9330" s="1" t="str">
        <x:v>Advance shipping</x:v>
      </x:c>
      <x:c r="G9330" s="6" t="n">
        <x:v>3</x:v>
      </x:c>
      <x:c r="H9330" s="6" t="n">
        <x:v>4</x:v>
      </x:c>
      <x:c r="I9330" s="6" t="n">
        <x:f>G9330-H9330</x:f>
        <x:v>-1</x:v>
      </x:c>
      <x:c r="J9330" s="6" t="n">
        <x:f>IF(OR(E9330="CANCELED",E9330="SUSPECTED_FRAUD",F9330="Shipping canceled"),0,1)</x:f>
        <x:v>1</x:v>
      </x:c>
      <x:c r="K9330" s="6" t="n">
        <x:f>IF(G9330&gt;H9330,1,0)</x:f>
        <x:v>0</x:v>
      </x:c>
      <x:c r="L9330" s="6" t="n">
        <x:f>J9330*K9330</x:f>
        <x:v>0</x:v>
      </x:c>
    </x:row>
    <x:row r="9331">
      <x:c r="A9331" s="1" t="n">
        <x:v>75131</x:v>
      </x:c>
      <x:c r="B9331" s="5" t="d">
        <x:v>2018-01-01T00:00:00.000Z</x:v>
      </x:c>
      <x:c r="C9331" s="1" t="str">
        <x:v>Second Class</x:v>
      </x:c>
      <x:c r="D9331" s="1" t="str">
        <x:v>Pacific Asia</x:v>
      </x:c>
      <x:c r="E9331" s="1" t="str">
        <x:v>COMPLETE</x:v>
      </x:c>
      <x:c r="F9331" s="1" t="str">
        <x:v>Shipping on time</x:v>
      </x:c>
      <x:c r="G9331" s="6" t="n">
        <x:v>2</x:v>
      </x:c>
      <x:c r="H9331" s="6" t="n">
        <x:v>2</x:v>
      </x:c>
      <x:c r="I9331" s="6" t="n">
        <x:f>G9331-H9331</x:f>
        <x:v>0</x:v>
      </x:c>
      <x:c r="J9331" s="6" t="n">
        <x:f>IF(OR(E9331="CANCELED",E9331="SUSPECTED_FRAUD",F9331="Shipping canceled"),0,1)</x:f>
        <x:v>1</x:v>
      </x:c>
      <x:c r="K9331" s="6" t="n">
        <x:f>IF(G9331&gt;H9331,1,0)</x:f>
        <x:v>0</x:v>
      </x:c>
      <x:c r="L9331" s="6" t="n">
        <x:f>J9331*K9331</x:f>
        <x:v>0</x:v>
      </x:c>
    </x:row>
    <x:row r="9332">
      <x:c r="A9332" s="1" t="n">
        <x:v>75144</x:v>
      </x:c>
      <x:c r="B9332" s="5" t="d">
        <x:v>2018-01-01T00:00:00.000Z</x:v>
      </x:c>
      <x:c r="C9332" s="1" t="str">
        <x:v>Second Class</x:v>
      </x:c>
      <x:c r="D9332" s="1" t="str">
        <x:v>Pacific Asia</x:v>
      </x:c>
      <x:c r="E9332" s="1" t="str">
        <x:v>COMPLETE</x:v>
      </x:c>
      <x:c r="F9332" s="1" t="str">
        <x:v>Late delivery</x:v>
      </x:c>
      <x:c r="G9332" s="6" t="n">
        <x:v>5</x:v>
      </x:c>
      <x:c r="H9332" s="6" t="n">
        <x:v>2</x:v>
      </x:c>
      <x:c r="I9332" s="6" t="n">
        <x:f>G9332-H9332</x:f>
        <x:v>3</x:v>
      </x:c>
      <x:c r="J9332" s="6" t="n">
        <x:f>IF(OR(E9332="CANCELED",E9332="SUSPECTED_FRAUD",F9332="Shipping canceled"),0,1)</x:f>
        <x:v>1</x:v>
      </x:c>
      <x:c r="K9332" s="6" t="n">
        <x:f>IF(G9332&gt;H9332,1,0)</x:f>
        <x:v>1</x:v>
      </x:c>
      <x:c r="L9332" s="6" t="n">
        <x:f>J9332*K9332</x:f>
        <x:v>1</x:v>
      </x:c>
    </x:row>
    <x:row r="9333">
      <x:c r="A9333" s="1" t="n">
        <x:v>75149</x:v>
      </x:c>
      <x:c r="B9333" s="5" t="d">
        <x:v>2018-01-01T00:00:00.000Z</x:v>
      </x:c>
      <x:c r="C9333" s="1" t="str">
        <x:v>Second Class</x:v>
      </x:c>
      <x:c r="D9333" s="1" t="str">
        <x:v>Pacific Asia</x:v>
      </x:c>
      <x:c r="E9333" s="1" t="str">
        <x:v>COMPLETE</x:v>
      </x:c>
      <x:c r="F9333" s="1" t="str">
        <x:v>Late delivery</x:v>
      </x:c>
      <x:c r="G9333" s="6" t="n">
        <x:v>5</x:v>
      </x:c>
      <x:c r="H9333" s="6" t="n">
        <x:v>2</x:v>
      </x:c>
      <x:c r="I9333" s="6" t="n">
        <x:f>G9333-H9333</x:f>
        <x:v>3</x:v>
      </x:c>
      <x:c r="J9333" s="6" t="n">
        <x:f>IF(OR(E9333="CANCELED",E9333="SUSPECTED_FRAUD",F9333="Shipping canceled"),0,1)</x:f>
        <x:v>1</x:v>
      </x:c>
      <x:c r="K9333" s="6" t="n">
        <x:f>IF(G9333&gt;H9333,1,0)</x:f>
        <x:v>1</x:v>
      </x:c>
      <x:c r="L9333" s="6" t="n">
        <x:f>J9333*K9333</x:f>
        <x:v>1</x:v>
      </x:c>
    </x:row>
    <x:row r="9334">
      <x:c r="A9334" s="1" t="n">
        <x:v>75169</x:v>
      </x:c>
      <x:c r="B9334" s="5" t="d">
        <x:v>2018-01-02T00:00:00.000Z</x:v>
      </x:c>
      <x:c r="C9334" s="1" t="str">
        <x:v>Standard Class</x:v>
      </x:c>
      <x:c r="D9334" s="1" t="str">
        <x:v>Pacific Asia</x:v>
      </x:c>
      <x:c r="E9334" s="1" t="str">
        <x:v>COMPLETE</x:v>
      </x:c>
      <x:c r="F9334" s="1" t="str">
        <x:v>Late delivery</x:v>
      </x:c>
      <x:c r="G9334" s="6" t="n">
        <x:v>5</x:v>
      </x:c>
      <x:c r="H9334" s="6" t="n">
        <x:v>4</x:v>
      </x:c>
      <x:c r="I9334" s="6" t="n">
        <x:f>G9334-H9334</x:f>
        <x:v>1</x:v>
      </x:c>
      <x:c r="J9334" s="6" t="n">
        <x:f>IF(OR(E9334="CANCELED",E9334="SUSPECTED_FRAUD",F9334="Shipping canceled"),0,1)</x:f>
        <x:v>1</x:v>
      </x:c>
      <x:c r="K9334" s="6" t="n">
        <x:f>IF(G9334&gt;H9334,1,0)</x:f>
        <x:v>1</x:v>
      </x:c>
      <x:c r="L9334" s="6" t="n">
        <x:f>J9334*K9334</x:f>
        <x:v>1</x:v>
      </x:c>
    </x:row>
    <x:row r="9335">
      <x:c r="A9335" s="1" t="n">
        <x:v>75233</x:v>
      </x:c>
      <x:c r="B9335" s="5" t="d">
        <x:v>2018-01-03T00:00:00.000Z</x:v>
      </x:c>
      <x:c r="C9335" s="1" t="str">
        <x:v>Second Class</x:v>
      </x:c>
      <x:c r="D9335" s="1" t="str">
        <x:v>Pacific Asia</x:v>
      </x:c>
      <x:c r="E9335" s="1" t="str">
        <x:v>CLOSED</x:v>
      </x:c>
      <x:c r="F9335" s="1" t="str">
        <x:v>Late delivery</x:v>
      </x:c>
      <x:c r="G9335" s="6" t="n">
        <x:v>4</x:v>
      </x:c>
      <x:c r="H9335" s="6" t="n">
        <x:v>2</x:v>
      </x:c>
      <x:c r="I9335" s="6" t="n">
        <x:f>G9335-H9335</x:f>
        <x:v>2</x:v>
      </x:c>
      <x:c r="J9335" s="6" t="n">
        <x:f>IF(OR(E9335="CANCELED",E9335="SUSPECTED_FRAUD",F9335="Shipping canceled"),0,1)</x:f>
        <x:v>1</x:v>
      </x:c>
      <x:c r="K9335" s="6" t="n">
        <x:f>IF(G9335&gt;H9335,1,0)</x:f>
        <x:v>1</x:v>
      </x:c>
      <x:c r="L9335" s="6" t="n">
        <x:f>J9335*K9335</x:f>
        <x:v>1</x:v>
      </x:c>
    </x:row>
    <x:row r="9336">
      <x:c r="A9336" s="1" t="n">
        <x:v>75246</x:v>
      </x:c>
      <x:c r="B9336" s="5" t="d">
        <x:v>2018-01-03T00:00:00.000Z</x:v>
      </x:c>
      <x:c r="C9336" s="1" t="str">
        <x:v>Standard Class</x:v>
      </x:c>
      <x:c r="D9336" s="1" t="str">
        <x:v>Pacific Asia</x:v>
      </x:c>
      <x:c r="E9336" s="1" t="str">
        <x:v>CLOSED</x:v>
      </x:c>
      <x:c r="F9336" s="1" t="str">
        <x:v>Advance shipping</x:v>
      </x:c>
      <x:c r="G9336" s="6" t="n">
        <x:v>2</x:v>
      </x:c>
      <x:c r="H9336" s="6" t="n">
        <x:v>4</x:v>
      </x:c>
      <x:c r="I9336" s="6" t="n">
        <x:f>G9336-H9336</x:f>
        <x:v>-2</x:v>
      </x:c>
      <x:c r="J9336" s="6" t="n">
        <x:f>IF(OR(E9336="CANCELED",E9336="SUSPECTED_FRAUD",F9336="Shipping canceled"),0,1)</x:f>
        <x:v>1</x:v>
      </x:c>
      <x:c r="K9336" s="6" t="n">
        <x:f>IF(G9336&gt;H9336,1,0)</x:f>
        <x:v>0</x:v>
      </x:c>
      <x:c r="L9336" s="6" t="n">
        <x:f>J9336*K9336</x:f>
        <x:v>0</x:v>
      </x:c>
    </x:row>
    <x:row r="9337">
      <x:c r="A9337" s="1" t="n">
        <x:v>75257</x:v>
      </x:c>
      <x:c r="B9337" s="5" t="d">
        <x:v>2018-01-03T00:00:00.000Z</x:v>
      </x:c>
      <x:c r="C9337" s="1" t="str">
        <x:v>Second Class</x:v>
      </x:c>
      <x:c r="D9337" s="1" t="str">
        <x:v>Pacific Asia</x:v>
      </x:c>
      <x:c r="E9337" s="1" t="str">
        <x:v>COMPLETE</x:v>
      </x:c>
      <x:c r="F9337" s="1" t="str">
        <x:v>Late delivery</x:v>
      </x:c>
      <x:c r="G9337" s="6" t="n">
        <x:v>3</x:v>
      </x:c>
      <x:c r="H9337" s="6" t="n">
        <x:v>2</x:v>
      </x:c>
      <x:c r="I9337" s="6" t="n">
        <x:f>G9337-H9337</x:f>
        <x:v>1</x:v>
      </x:c>
      <x:c r="J9337" s="6" t="n">
        <x:f>IF(OR(E9337="CANCELED",E9337="SUSPECTED_FRAUD",F9337="Shipping canceled"),0,1)</x:f>
        <x:v>1</x:v>
      </x:c>
      <x:c r="K9337" s="6" t="n">
        <x:f>IF(G9337&gt;H9337,1,0)</x:f>
        <x:v>1</x:v>
      </x:c>
      <x:c r="L9337" s="6" t="n">
        <x:f>J9337*K9337</x:f>
        <x:v>1</x:v>
      </x:c>
    </x:row>
    <x:row r="9338">
      <x:c r="A9338" s="1" t="n">
        <x:v>75318</x:v>
      </x:c>
      <x:c r="B9338" s="5" t="d">
        <x:v>2018-01-04T00:00:00.000Z</x:v>
      </x:c>
      <x:c r="C9338" s="1" t="str">
        <x:v>First Class</x:v>
      </x:c>
      <x:c r="D9338" s="1" t="str">
        <x:v>Pacific Asia</x:v>
      </x:c>
      <x:c r="E9338" s="1" t="str">
        <x:v>PROCESSING</x:v>
      </x:c>
      <x:c r="F9338" s="1" t="str">
        <x:v>Late delivery</x:v>
      </x:c>
      <x:c r="G9338" s="6" t="n">
        <x:v>2</x:v>
      </x:c>
      <x:c r="H9338" s="6" t="n">
        <x:v>1</x:v>
      </x:c>
      <x:c r="I9338" s="6" t="n">
        <x:f>G9338-H9338</x:f>
        <x:v>1</x:v>
      </x:c>
      <x:c r="J9338" s="6" t="n">
        <x:f>IF(OR(E9338="CANCELED",E9338="SUSPECTED_FRAUD",F9338="Shipping canceled"),0,1)</x:f>
        <x:v>1</x:v>
      </x:c>
      <x:c r="K9338" s="6" t="n">
        <x:f>IF(G9338&gt;H9338,1,0)</x:f>
        <x:v>1</x:v>
      </x:c>
      <x:c r="L9338" s="6" t="n">
        <x:f>J9338*K9338</x:f>
        <x:v>1</x:v>
      </x:c>
    </x:row>
    <x:row r="9339">
      <x:c r="A9339" s="1" t="n">
        <x:v>75328</x:v>
      </x:c>
      <x:c r="B9339" s="5" t="d">
        <x:v>2018-01-04T00:00:00.000Z</x:v>
      </x:c>
      <x:c r="C9339" s="1" t="str">
        <x:v>Second Class</x:v>
      </x:c>
      <x:c r="D9339" s="1" t="str">
        <x:v>Pacific Asia</x:v>
      </x:c>
      <x:c r="E9339" s="1" t="str">
        <x:v>COMPLETE</x:v>
      </x:c>
      <x:c r="F9339" s="1" t="str">
        <x:v>Late delivery</x:v>
      </x:c>
      <x:c r="G9339" s="6" t="n">
        <x:v>4</x:v>
      </x:c>
      <x:c r="H9339" s="6" t="n">
        <x:v>2</x:v>
      </x:c>
      <x:c r="I9339" s="6" t="n">
        <x:f>G9339-H9339</x:f>
        <x:v>2</x:v>
      </x:c>
      <x:c r="J9339" s="6" t="n">
        <x:f>IF(OR(E9339="CANCELED",E9339="SUSPECTED_FRAUD",F9339="Shipping canceled"),0,1)</x:f>
        <x:v>1</x:v>
      </x:c>
      <x:c r="K9339" s="6" t="n">
        <x:f>IF(G9339&gt;H9339,1,0)</x:f>
        <x:v>1</x:v>
      </x:c>
      <x:c r="L9339" s="6" t="n">
        <x:f>J9339*K9339</x:f>
        <x:v>1</x:v>
      </x:c>
    </x:row>
    <x:row r="9340">
      <x:c r="A9340" s="1" t="n">
        <x:v>75349</x:v>
      </x:c>
      <x:c r="B9340" s="5" t="d">
        <x:v>2018-01-04T00:00:00.000Z</x:v>
      </x:c>
      <x:c r="C9340" s="1" t="str">
        <x:v>First Class</x:v>
      </x:c>
      <x:c r="D9340" s="1" t="str">
        <x:v>Pacific Asia</x:v>
      </x:c>
      <x:c r="E9340" s="1" t="str">
        <x:v>PENDING</x:v>
      </x:c>
      <x:c r="F9340" s="1" t="str">
        <x:v>Late delivery</x:v>
      </x:c>
      <x:c r="G9340" s="6" t="n">
        <x:v>2</x:v>
      </x:c>
      <x:c r="H9340" s="6" t="n">
        <x:v>1</x:v>
      </x:c>
      <x:c r="I9340" s="6" t="n">
        <x:f>G9340-H9340</x:f>
        <x:v>1</x:v>
      </x:c>
      <x:c r="J9340" s="6" t="n">
        <x:f>IF(OR(E9340="CANCELED",E9340="SUSPECTED_FRAUD",F9340="Shipping canceled"),0,1)</x:f>
        <x:v>1</x:v>
      </x:c>
      <x:c r="K9340" s="6" t="n">
        <x:f>IF(G9340&gt;H9340,1,0)</x:f>
        <x:v>1</x:v>
      </x:c>
      <x:c r="L9340" s="6" t="n">
        <x:f>J9340*K9340</x:f>
        <x:v>1</x:v>
      </x:c>
    </x:row>
    <x:row r="9341">
      <x:c r="A9341" s="1" t="n">
        <x:v>75366</x:v>
      </x:c>
      <x:c r="B9341" s="5" t="d">
        <x:v>2018-01-05T00:00:00.000Z</x:v>
      </x:c>
      <x:c r="C9341" s="1" t="str">
        <x:v>Standard Class</x:v>
      </x:c>
      <x:c r="D9341" s="1" t="str">
        <x:v>Pacific Asia</x:v>
      </x:c>
      <x:c r="E9341" s="1" t="str">
        <x:v>PENDING_PAYMENT</x:v>
      </x:c>
      <x:c r="F9341" s="1" t="str">
        <x:v>Advance shipping</x:v>
      </x:c>
      <x:c r="G9341" s="6" t="n">
        <x:v>2</x:v>
      </x:c>
      <x:c r="H9341" s="6" t="n">
        <x:v>4</x:v>
      </x:c>
      <x:c r="I9341" s="6" t="n">
        <x:f>G9341-H9341</x:f>
        <x:v>-2</x:v>
      </x:c>
      <x:c r="J9341" s="6" t="n">
        <x:f>IF(OR(E9341="CANCELED",E9341="SUSPECTED_FRAUD",F9341="Shipping canceled"),0,1)</x:f>
        <x:v>1</x:v>
      </x:c>
      <x:c r="K9341" s="6" t="n">
        <x:f>IF(G9341&gt;H9341,1,0)</x:f>
        <x:v>0</x:v>
      </x:c>
      <x:c r="L9341" s="6" t="n">
        <x:f>J9341*K9341</x:f>
        <x:v>0</x:v>
      </x:c>
    </x:row>
    <x:row r="9342">
      <x:c r="A9342" s="1" t="n">
        <x:v>75384</x:v>
      </x:c>
      <x:c r="B9342" s="5" t="d">
        <x:v>2018-01-05T00:00:00.000Z</x:v>
      </x:c>
      <x:c r="C9342" s="1" t="str">
        <x:v>Second Class</x:v>
      </x:c>
      <x:c r="D9342" s="1" t="str">
        <x:v>Pacific Asia</x:v>
      </x:c>
      <x:c r="E9342" s="1" t="str">
        <x:v>COMPLETE</x:v>
      </x:c>
      <x:c r="F9342" s="1" t="str">
        <x:v>Late delivery</x:v>
      </x:c>
      <x:c r="G9342" s="6" t="n">
        <x:v>5</x:v>
      </x:c>
      <x:c r="H9342" s="6" t="n">
        <x:v>2</x:v>
      </x:c>
      <x:c r="I9342" s="6" t="n">
        <x:f>G9342-H9342</x:f>
        <x:v>3</x:v>
      </x:c>
      <x:c r="J9342" s="6" t="n">
        <x:f>IF(OR(E9342="CANCELED",E9342="SUSPECTED_FRAUD",F9342="Shipping canceled"),0,1)</x:f>
        <x:v>1</x:v>
      </x:c>
      <x:c r="K9342" s="6" t="n">
        <x:f>IF(G9342&gt;H9342,1,0)</x:f>
        <x:v>1</x:v>
      </x:c>
      <x:c r="L9342" s="6" t="n">
        <x:f>J9342*K9342</x:f>
        <x:v>1</x:v>
      </x:c>
    </x:row>
    <x:row r="9343">
      <x:c r="A9343" s="1" t="n">
        <x:v>75393</x:v>
      </x:c>
      <x:c r="B9343" s="5" t="d">
        <x:v>2018-01-05T00:00:00.000Z</x:v>
      </x:c>
      <x:c r="C9343" s="1" t="str">
        <x:v>Standard Class</x:v>
      </x:c>
      <x:c r="D9343" s="1" t="str">
        <x:v>Pacific Asia</x:v>
      </x:c>
      <x:c r="E9343" s="1" t="str">
        <x:v>COMPLETE</x:v>
      </x:c>
      <x:c r="F9343" s="1" t="str">
        <x:v>Shipping on time</x:v>
      </x:c>
      <x:c r="G9343" s="6" t="n">
        <x:v>4</x:v>
      </x:c>
      <x:c r="H9343" s="6" t="n">
        <x:v>4</x:v>
      </x:c>
      <x:c r="I9343" s="6" t="n">
        <x:f>G9343-H9343</x:f>
        <x:v>0</x:v>
      </x:c>
      <x:c r="J9343" s="6" t="n">
        <x:f>IF(OR(E9343="CANCELED",E9343="SUSPECTED_FRAUD",F9343="Shipping canceled"),0,1)</x:f>
        <x:v>1</x:v>
      </x:c>
      <x:c r="K9343" s="6" t="n">
        <x:f>IF(G9343&gt;H9343,1,0)</x:f>
        <x:v>0</x:v>
      </x:c>
      <x:c r="L9343" s="6" t="n">
        <x:f>J9343*K9343</x:f>
        <x:v>0</x:v>
      </x:c>
    </x:row>
    <x:row r="9344">
      <x:c r="A9344" s="1" t="n">
        <x:v>75400</x:v>
      </x:c>
      <x:c r="B9344" s="5" t="d">
        <x:v>2018-01-05T00:00:00.000Z</x:v>
      </x:c>
      <x:c r="C9344" s="1" t="str">
        <x:v>Standard Class</x:v>
      </x:c>
      <x:c r="D9344" s="1" t="str">
        <x:v>Pacific Asia</x:v>
      </x:c>
      <x:c r="E9344" s="1" t="str">
        <x:v>COMPLETE</x:v>
      </x:c>
      <x:c r="F9344" s="1" t="str">
        <x:v>Late delivery</x:v>
      </x:c>
      <x:c r="G9344" s="6" t="n">
        <x:v>6</x:v>
      </x:c>
      <x:c r="H9344" s="6" t="n">
        <x:v>4</x:v>
      </x:c>
      <x:c r="I9344" s="6" t="n">
        <x:f>G9344-H9344</x:f>
        <x:v>2</x:v>
      </x:c>
      <x:c r="J9344" s="6" t="n">
        <x:f>IF(OR(E9344="CANCELED",E9344="SUSPECTED_FRAUD",F9344="Shipping canceled"),0,1)</x:f>
        <x:v>1</x:v>
      </x:c>
      <x:c r="K9344" s="6" t="n">
        <x:f>IF(G9344&gt;H9344,1,0)</x:f>
        <x:v>1</x:v>
      </x:c>
      <x:c r="L9344" s="6" t="n">
        <x:f>J9344*K9344</x:f>
        <x:v>1</x:v>
      </x:c>
    </x:row>
    <x:row r="9345">
      <x:c r="A9345" s="1" t="n">
        <x:v>75402</x:v>
      </x:c>
      <x:c r="B9345" s="5" t="d">
        <x:v>2018-01-05T00:00:00.000Z</x:v>
      </x:c>
      <x:c r="C9345" s="1" t="str">
        <x:v>Standard Class</x:v>
      </x:c>
      <x:c r="D9345" s="1" t="str">
        <x:v>Pacific Asia</x:v>
      </x:c>
      <x:c r="E9345" s="1" t="str">
        <x:v>COMPLETE</x:v>
      </x:c>
      <x:c r="F9345" s="1" t="str">
        <x:v>Advance shipping</x:v>
      </x:c>
      <x:c r="G9345" s="6" t="n">
        <x:v>3</x:v>
      </x:c>
      <x:c r="H9345" s="6" t="n">
        <x:v>4</x:v>
      </x:c>
      <x:c r="I9345" s="6" t="n">
        <x:f>G9345-H9345</x:f>
        <x:v>-1</x:v>
      </x:c>
      <x:c r="J9345" s="6" t="n">
        <x:f>IF(OR(E9345="CANCELED",E9345="SUSPECTED_FRAUD",F9345="Shipping canceled"),0,1)</x:f>
        <x:v>1</x:v>
      </x:c>
      <x:c r="K9345" s="6" t="n">
        <x:f>IF(G9345&gt;H9345,1,0)</x:f>
        <x:v>0</x:v>
      </x:c>
      <x:c r="L9345" s="6" t="n">
        <x:f>J9345*K9345</x:f>
        <x:v>0</x:v>
      </x:c>
    </x:row>
    <x:row r="9346">
      <x:c r="A9346" s="1" t="n">
        <x:v>75413</x:v>
      </x:c>
      <x:c r="B9346" s="5" t="d">
        <x:v>2018-01-05T00:00:00.000Z</x:v>
      </x:c>
      <x:c r="C9346" s="1" t="str">
        <x:v>Standard Class</x:v>
      </x:c>
      <x:c r="D9346" s="1" t="str">
        <x:v>Pacific Asia</x:v>
      </x:c>
      <x:c r="E9346" s="1" t="str">
        <x:v>PENDING_PAYMENT</x:v>
      </x:c>
      <x:c r="F9346" s="1" t="str">
        <x:v>Shipping on time</x:v>
      </x:c>
      <x:c r="G9346" s="6" t="n">
        <x:v>4</x:v>
      </x:c>
      <x:c r="H9346" s="6" t="n">
        <x:v>4</x:v>
      </x:c>
      <x:c r="I9346" s="6" t="n">
        <x:f>G9346-H9346</x:f>
        <x:v>0</x:v>
      </x:c>
      <x:c r="J9346" s="6" t="n">
        <x:f>IF(OR(E9346="CANCELED",E9346="SUSPECTED_FRAUD",F9346="Shipping canceled"),0,1)</x:f>
        <x:v>1</x:v>
      </x:c>
      <x:c r="K9346" s="6" t="n">
        <x:f>IF(G9346&gt;H9346,1,0)</x:f>
        <x:v>0</x:v>
      </x:c>
      <x:c r="L9346" s="6" t="n">
        <x:f>J9346*K9346</x:f>
        <x:v>0</x:v>
      </x:c>
    </x:row>
    <x:row r="9347">
      <x:c r="A9347" s="1" t="n">
        <x:v>75418</x:v>
      </x:c>
      <x:c r="B9347" s="5" t="d">
        <x:v>2018-01-05T00:00:00.000Z</x:v>
      </x:c>
      <x:c r="C9347" s="1" t="str">
        <x:v>Standard Class</x:v>
      </x:c>
      <x:c r="D9347" s="1" t="str">
        <x:v>Pacific Asia</x:v>
      </x:c>
      <x:c r="E9347" s="1" t="str">
        <x:v>COMPLETE</x:v>
      </x:c>
      <x:c r="F9347" s="1" t="str">
        <x:v>Shipping on time</x:v>
      </x:c>
      <x:c r="G9347" s="6" t="n">
        <x:v>4</x:v>
      </x:c>
      <x:c r="H9347" s="6" t="n">
        <x:v>4</x:v>
      </x:c>
      <x:c r="I9347" s="6" t="n">
        <x:f>G9347-H9347</x:f>
        <x:v>0</x:v>
      </x:c>
      <x:c r="J9347" s="6" t="n">
        <x:f>IF(OR(E9347="CANCELED",E9347="SUSPECTED_FRAUD",F9347="Shipping canceled"),0,1)</x:f>
        <x:v>1</x:v>
      </x:c>
      <x:c r="K9347" s="6" t="n">
        <x:f>IF(G9347&gt;H9347,1,0)</x:f>
        <x:v>0</x:v>
      </x:c>
      <x:c r="L9347" s="6" t="n">
        <x:f>J9347*K9347</x:f>
        <x:v>0</x:v>
      </x:c>
    </x:row>
    <x:row r="9348">
      <x:c r="A9348" s="1" t="n">
        <x:v>75429</x:v>
      </x:c>
      <x:c r="B9348" s="5" t="d">
        <x:v>2018-01-06T00:00:00.000Z</x:v>
      </x:c>
      <x:c r="C9348" s="1" t="str">
        <x:v>First Class</x:v>
      </x:c>
      <x:c r="D9348" s="1" t="str">
        <x:v>Pacific Asia</x:v>
      </x:c>
      <x:c r="E9348" s="1" t="str">
        <x:v>CLOSED</x:v>
      </x:c>
      <x:c r="F9348" s="1" t="str">
        <x:v>Late delivery</x:v>
      </x:c>
      <x:c r="G9348" s="6" t="n">
        <x:v>2</x:v>
      </x:c>
      <x:c r="H9348" s="6" t="n">
        <x:v>1</x:v>
      </x:c>
      <x:c r="I9348" s="6" t="n">
        <x:f>G9348-H9348</x:f>
        <x:v>1</x:v>
      </x:c>
      <x:c r="J9348" s="6" t="n">
        <x:f>IF(OR(E9348="CANCELED",E9348="SUSPECTED_FRAUD",F9348="Shipping canceled"),0,1)</x:f>
        <x:v>1</x:v>
      </x:c>
      <x:c r="K9348" s="6" t="n">
        <x:f>IF(G9348&gt;H9348,1,0)</x:f>
        <x:v>1</x:v>
      </x:c>
      <x:c r="L9348" s="6" t="n">
        <x:f>J9348*K9348</x:f>
        <x:v>1</x:v>
      </x:c>
    </x:row>
    <x:row r="9349">
      <x:c r="A9349" s="1" t="n">
        <x:v>75477</x:v>
      </x:c>
      <x:c r="B9349" s="5" t="d">
        <x:v>2018-01-06T00:00:00.000Z</x:v>
      </x:c>
      <x:c r="C9349" s="1" t="str">
        <x:v>First Class</x:v>
      </x:c>
      <x:c r="D9349" s="1" t="str">
        <x:v>Pacific Asia</x:v>
      </x:c>
      <x:c r="E9349" s="1" t="str">
        <x:v>CLOSED</x:v>
      </x:c>
      <x:c r="F9349" s="1" t="str">
        <x:v>Late delivery</x:v>
      </x:c>
      <x:c r="G9349" s="6" t="n">
        <x:v>2</x:v>
      </x:c>
      <x:c r="H9349" s="6" t="n">
        <x:v>1</x:v>
      </x:c>
      <x:c r="I9349" s="6" t="n">
        <x:f>G9349-H9349</x:f>
        <x:v>1</x:v>
      </x:c>
      <x:c r="J9349" s="6" t="n">
        <x:f>IF(OR(E9349="CANCELED",E9349="SUSPECTED_FRAUD",F9349="Shipping canceled"),0,1)</x:f>
        <x:v>1</x:v>
      </x:c>
      <x:c r="K9349" s="6" t="n">
        <x:f>IF(G9349&gt;H9349,1,0)</x:f>
        <x:v>1</x:v>
      </x:c>
      <x:c r="L9349" s="6" t="n">
        <x:f>J9349*K9349</x:f>
        <x:v>1</x:v>
      </x:c>
    </x:row>
    <x:row r="9350">
      <x:c r="A9350" s="1" t="n">
        <x:v>75480</x:v>
      </x:c>
      <x:c r="B9350" s="5" t="d">
        <x:v>2018-01-06T00:00:00.000Z</x:v>
      </x:c>
      <x:c r="C9350" s="1" t="str">
        <x:v>Standard Class</x:v>
      </x:c>
      <x:c r="D9350" s="1" t="str">
        <x:v>Pacific Asia</x:v>
      </x:c>
      <x:c r="E9350" s="1" t="str">
        <x:v>PENDING_PAYMENT</x:v>
      </x:c>
      <x:c r="F9350" s="1" t="str">
        <x:v>Late delivery</x:v>
      </x:c>
      <x:c r="G9350" s="6" t="n">
        <x:v>6</x:v>
      </x:c>
      <x:c r="H9350" s="6" t="n">
        <x:v>4</x:v>
      </x:c>
      <x:c r="I9350" s="6" t="n">
        <x:f>G9350-H9350</x:f>
        <x:v>2</x:v>
      </x:c>
      <x:c r="J9350" s="6" t="n">
        <x:f>IF(OR(E9350="CANCELED",E9350="SUSPECTED_FRAUD",F9350="Shipping canceled"),0,1)</x:f>
        <x:v>1</x:v>
      </x:c>
      <x:c r="K9350" s="6" t="n">
        <x:f>IF(G9350&gt;H9350,1,0)</x:f>
        <x:v>1</x:v>
      </x:c>
      <x:c r="L9350" s="6" t="n">
        <x:f>J9350*K9350</x:f>
        <x:v>1</x:v>
      </x:c>
    </x:row>
    <x:row r="9351">
      <x:c r="A9351" s="1" t="n">
        <x:v>75501</x:v>
      </x:c>
      <x:c r="B9351" s="5" t="d">
        <x:v>2018-01-07T00:00:00.000Z</x:v>
      </x:c>
      <x:c r="C9351" s="1" t="str">
        <x:v>Second Class</x:v>
      </x:c>
      <x:c r="D9351" s="1" t="str">
        <x:v>Pacific Asia</x:v>
      </x:c>
      <x:c r="E9351" s="1" t="str">
        <x:v>CLOSED</x:v>
      </x:c>
      <x:c r="F9351" s="1" t="str">
        <x:v>Shipping on time</x:v>
      </x:c>
      <x:c r="G9351" s="6" t="n">
        <x:v>2</x:v>
      </x:c>
      <x:c r="H9351" s="6" t="n">
        <x:v>2</x:v>
      </x:c>
      <x:c r="I9351" s="6" t="n">
        <x:f>G9351-H9351</x:f>
        <x:v>0</x:v>
      </x:c>
      <x:c r="J9351" s="6" t="n">
        <x:f>IF(OR(E9351="CANCELED",E9351="SUSPECTED_FRAUD",F9351="Shipping canceled"),0,1)</x:f>
        <x:v>1</x:v>
      </x:c>
      <x:c r="K9351" s="6" t="n">
        <x:f>IF(G9351&gt;H9351,1,0)</x:f>
        <x:v>0</x:v>
      </x:c>
      <x:c r="L9351" s="6" t="n">
        <x:f>J9351*K9351</x:f>
        <x:v>0</x:v>
      </x:c>
    </x:row>
    <x:row r="9352">
      <x:c r="A9352" s="1" t="n">
        <x:v>75505</x:v>
      </x:c>
      <x:c r="B9352" s="5" t="d">
        <x:v>2018-01-07T00:00:00.000Z</x:v>
      </x:c>
      <x:c r="C9352" s="1" t="str">
        <x:v>Second Class</x:v>
      </x:c>
      <x:c r="D9352" s="1" t="str">
        <x:v>Pacific Asia</x:v>
      </x:c>
      <x:c r="E9352" s="1" t="str">
        <x:v>CLOSED</x:v>
      </x:c>
      <x:c r="F9352" s="1" t="str">
        <x:v>Late delivery</x:v>
      </x:c>
      <x:c r="G9352" s="6" t="n">
        <x:v>6</x:v>
      </x:c>
      <x:c r="H9352" s="6" t="n">
        <x:v>2</x:v>
      </x:c>
      <x:c r="I9352" s="6" t="n">
        <x:f>G9352-H9352</x:f>
        <x:v>4</x:v>
      </x:c>
      <x:c r="J9352" s="6" t="n">
        <x:f>IF(OR(E9352="CANCELED",E9352="SUSPECTED_FRAUD",F9352="Shipping canceled"),0,1)</x:f>
        <x:v>1</x:v>
      </x:c>
      <x:c r="K9352" s="6" t="n">
        <x:f>IF(G9352&gt;H9352,1,0)</x:f>
        <x:v>1</x:v>
      </x:c>
      <x:c r="L9352" s="6" t="n">
        <x:f>J9352*K9352</x:f>
        <x:v>1</x:v>
      </x:c>
    </x:row>
    <x:row r="9353">
      <x:c r="A9353" s="1" t="n">
        <x:v>75531</x:v>
      </x:c>
      <x:c r="B9353" s="5" t="d">
        <x:v>2018-01-07T00:00:00.000Z</x:v>
      </x:c>
      <x:c r="C9353" s="1" t="str">
        <x:v>First Class</x:v>
      </x:c>
      <x:c r="D9353" s="1" t="str">
        <x:v>Pacific Asia</x:v>
      </x:c>
      <x:c r="E9353" s="1" t="str">
        <x:v>CLOSED</x:v>
      </x:c>
      <x:c r="F9353" s="1" t="str">
        <x:v>Late delivery</x:v>
      </x:c>
      <x:c r="G9353" s="6" t="n">
        <x:v>2</x:v>
      </x:c>
      <x:c r="H9353" s="6" t="n">
        <x:v>1</x:v>
      </x:c>
      <x:c r="I9353" s="6" t="n">
        <x:f>G9353-H9353</x:f>
        <x:v>1</x:v>
      </x:c>
      <x:c r="J9353" s="6" t="n">
        <x:f>IF(OR(E9353="CANCELED",E9353="SUSPECTED_FRAUD",F9353="Shipping canceled"),0,1)</x:f>
        <x:v>1</x:v>
      </x:c>
      <x:c r="K9353" s="6" t="n">
        <x:f>IF(G9353&gt;H9353,1,0)</x:f>
        <x:v>1</x:v>
      </x:c>
      <x:c r="L9353" s="6" t="n">
        <x:f>J9353*K9353</x:f>
        <x:v>1</x:v>
      </x:c>
    </x:row>
    <x:row r="9354">
      <x:c r="A9354" s="1" t="n">
        <x:v>75548</x:v>
      </x:c>
      <x:c r="B9354" s="5" t="d">
        <x:v>2018-01-07T00:00:00.000Z</x:v>
      </x:c>
      <x:c r="C9354" s="1" t="str">
        <x:v>First Class</x:v>
      </x:c>
      <x:c r="D9354" s="1" t="str">
        <x:v>Pacific Asia</x:v>
      </x:c>
      <x:c r="E9354" s="1" t="str">
        <x:v>PROCESSING</x:v>
      </x:c>
      <x:c r="F9354" s="1" t="str">
        <x:v>Late delivery</x:v>
      </x:c>
      <x:c r="G9354" s="6" t="n">
        <x:v>2</x:v>
      </x:c>
      <x:c r="H9354" s="6" t="n">
        <x:v>1</x:v>
      </x:c>
      <x:c r="I9354" s="6" t="n">
        <x:f>G9354-H9354</x:f>
        <x:v>1</x:v>
      </x:c>
      <x:c r="J9354" s="6" t="n">
        <x:f>IF(OR(E9354="CANCELED",E9354="SUSPECTED_FRAUD",F9354="Shipping canceled"),0,1)</x:f>
        <x:v>1</x:v>
      </x:c>
      <x:c r="K9354" s="6" t="n">
        <x:f>IF(G9354&gt;H9354,1,0)</x:f>
        <x:v>1</x:v>
      </x:c>
      <x:c r="L9354" s="6" t="n">
        <x:f>J9354*K9354</x:f>
        <x:v>1</x:v>
      </x:c>
    </x:row>
    <x:row r="9355">
      <x:c r="A9355" s="1" t="n">
        <x:v>75553</x:v>
      </x:c>
      <x:c r="B9355" s="5" t="d">
        <x:v>2018-01-07T00:00:00.000Z</x:v>
      </x:c>
      <x:c r="C9355" s="1" t="str">
        <x:v>Standard Class</x:v>
      </x:c>
      <x:c r="D9355" s="1" t="str">
        <x:v>Pacific Asia</x:v>
      </x:c>
      <x:c r="E9355" s="1" t="str">
        <x:v>PENDING_PAYMENT</x:v>
      </x:c>
      <x:c r="F9355" s="1" t="str">
        <x:v>Shipping on time</x:v>
      </x:c>
      <x:c r="G9355" s="6" t="n">
        <x:v>4</x:v>
      </x:c>
      <x:c r="H9355" s="6" t="n">
        <x:v>4</x:v>
      </x:c>
      <x:c r="I9355" s="6" t="n">
        <x:f>G9355-H9355</x:f>
        <x:v>0</x:v>
      </x:c>
      <x:c r="J9355" s="6" t="n">
        <x:f>IF(OR(E9355="CANCELED",E9355="SUSPECTED_FRAUD",F9355="Shipping canceled"),0,1)</x:f>
        <x:v>1</x:v>
      </x:c>
      <x:c r="K9355" s="6" t="n">
        <x:f>IF(G9355&gt;H9355,1,0)</x:f>
        <x:v>0</x:v>
      </x:c>
      <x:c r="L9355" s="6" t="n">
        <x:f>J9355*K9355</x:f>
        <x:v>0</x:v>
      </x:c>
    </x:row>
    <x:row r="9356">
      <x:c r="A9356" s="1" t="n">
        <x:v>75575</x:v>
      </x:c>
      <x:c r="B9356" s="5" t="d">
        <x:v>2018-01-08T00:00:00.000Z</x:v>
      </x:c>
      <x:c r="C9356" s="1" t="str">
        <x:v>Standard Class</x:v>
      </x:c>
      <x:c r="D9356" s="1" t="str">
        <x:v>Pacific Asia</x:v>
      </x:c>
      <x:c r="E9356" s="1" t="str">
        <x:v>CLOSED</x:v>
      </x:c>
      <x:c r="F9356" s="1" t="str">
        <x:v>Late delivery</x:v>
      </x:c>
      <x:c r="G9356" s="6" t="n">
        <x:v>6</x:v>
      </x:c>
      <x:c r="H9356" s="6" t="n">
        <x:v>4</x:v>
      </x:c>
      <x:c r="I9356" s="6" t="n">
        <x:f>G9356-H9356</x:f>
        <x:v>2</x:v>
      </x:c>
      <x:c r="J9356" s="6" t="n">
        <x:f>IF(OR(E9356="CANCELED",E9356="SUSPECTED_FRAUD",F9356="Shipping canceled"),0,1)</x:f>
        <x:v>1</x:v>
      </x:c>
      <x:c r="K9356" s="6" t="n">
        <x:f>IF(G9356&gt;H9356,1,0)</x:f>
        <x:v>1</x:v>
      </x:c>
      <x:c r="L9356" s="6" t="n">
        <x:f>J9356*K9356</x:f>
        <x:v>1</x:v>
      </x:c>
    </x:row>
    <x:row r="9357">
      <x:c r="A9357" s="1" t="n">
        <x:v>75612</x:v>
      </x:c>
      <x:c r="B9357" s="5" t="d">
        <x:v>2018-01-08T00:00:00.000Z</x:v>
      </x:c>
      <x:c r="C9357" s="1" t="str">
        <x:v>First Class</x:v>
      </x:c>
      <x:c r="D9357" s="1" t="str">
        <x:v>Pacific Asia</x:v>
      </x:c>
      <x:c r="E9357" s="1" t="str">
        <x:v>CLOSED</x:v>
      </x:c>
      <x:c r="F9357" s="1" t="str">
        <x:v>Late delivery</x:v>
      </x:c>
      <x:c r="G9357" s="6" t="n">
        <x:v>2</x:v>
      </x:c>
      <x:c r="H9357" s="6" t="n">
        <x:v>1</x:v>
      </x:c>
      <x:c r="I9357" s="6" t="n">
        <x:f>G9357-H9357</x:f>
        <x:v>1</x:v>
      </x:c>
      <x:c r="J9357" s="6" t="n">
        <x:f>IF(OR(E9357="CANCELED",E9357="SUSPECTED_FRAUD",F9357="Shipping canceled"),0,1)</x:f>
        <x:v>1</x:v>
      </x:c>
      <x:c r="K9357" s="6" t="n">
        <x:f>IF(G9357&gt;H9357,1,0)</x:f>
        <x:v>1</x:v>
      </x:c>
      <x:c r="L9357" s="6" t="n">
        <x:f>J9357*K9357</x:f>
        <x:v>1</x:v>
      </x:c>
    </x:row>
    <x:row r="9358">
      <x:c r="A9358" s="1" t="n">
        <x:v>75624</x:v>
      </x:c>
      <x:c r="B9358" s="5" t="d">
        <x:v>2018-01-08T00:00:00.000Z</x:v>
      </x:c>
      <x:c r="C9358" s="1" t="str">
        <x:v>Standard Class</x:v>
      </x:c>
      <x:c r="D9358" s="1" t="str">
        <x:v>Pacific Asia</x:v>
      </x:c>
      <x:c r="E9358" s="1" t="str">
        <x:v>ON_HOLD</x:v>
      </x:c>
      <x:c r="F9358" s="1" t="str">
        <x:v>Late delivery</x:v>
      </x:c>
      <x:c r="G9358" s="6" t="n">
        <x:v>5</x:v>
      </x:c>
      <x:c r="H9358" s="6" t="n">
        <x:v>4</x:v>
      </x:c>
      <x:c r="I9358" s="6" t="n">
        <x:f>G9358-H9358</x:f>
        <x:v>1</x:v>
      </x:c>
      <x:c r="J9358" s="6" t="n">
        <x:f>IF(OR(E9358="CANCELED",E9358="SUSPECTED_FRAUD",F9358="Shipping canceled"),0,1)</x:f>
        <x:v>1</x:v>
      </x:c>
      <x:c r="K9358" s="6" t="n">
        <x:f>IF(G9358&gt;H9358,1,0)</x:f>
        <x:v>1</x:v>
      </x:c>
      <x:c r="L9358" s="6" t="n">
        <x:f>J9358*K9358</x:f>
        <x:v>1</x:v>
      </x:c>
    </x:row>
    <x:row r="9359">
      <x:c r="A9359" s="1" t="n">
        <x:v>75637</x:v>
      </x:c>
      <x:c r="B9359" s="5" t="d">
        <x:v>2018-01-09T00:00:00.000Z</x:v>
      </x:c>
      <x:c r="C9359" s="1" t="str">
        <x:v>Second Class</x:v>
      </x:c>
      <x:c r="D9359" s="1" t="str">
        <x:v>Pacific Asia</x:v>
      </x:c>
      <x:c r="E9359" s="1" t="str">
        <x:v>COMPLETE</x:v>
      </x:c>
      <x:c r="F9359" s="1" t="str">
        <x:v>Late delivery</x:v>
      </x:c>
      <x:c r="G9359" s="6" t="n">
        <x:v>3</x:v>
      </x:c>
      <x:c r="H9359" s="6" t="n">
        <x:v>2</x:v>
      </x:c>
      <x:c r="I9359" s="6" t="n">
        <x:f>G9359-H9359</x:f>
        <x:v>1</x:v>
      </x:c>
      <x:c r="J9359" s="6" t="n">
        <x:f>IF(OR(E9359="CANCELED",E9359="SUSPECTED_FRAUD",F9359="Shipping canceled"),0,1)</x:f>
        <x:v>1</x:v>
      </x:c>
      <x:c r="K9359" s="6" t="n">
        <x:f>IF(G9359&gt;H9359,1,0)</x:f>
        <x:v>1</x:v>
      </x:c>
      <x:c r="L9359" s="6" t="n">
        <x:f>J9359*K9359</x:f>
        <x:v>1</x:v>
      </x:c>
    </x:row>
    <x:row r="9360">
      <x:c r="A9360" s="1" t="n">
        <x:v>75653</x:v>
      </x:c>
      <x:c r="B9360" s="5" t="d">
        <x:v>2018-01-09T00:00:00.000Z</x:v>
      </x:c>
      <x:c r="C9360" s="1" t="str">
        <x:v>Standard Class</x:v>
      </x:c>
      <x:c r="D9360" s="1" t="str">
        <x:v>Pacific Asia</x:v>
      </x:c>
      <x:c r="E9360" s="1" t="str">
        <x:v>PENDING_PAYMENT</x:v>
      </x:c>
      <x:c r="F9360" s="1" t="str">
        <x:v>Shipping on time</x:v>
      </x:c>
      <x:c r="G9360" s="6" t="n">
        <x:v>4</x:v>
      </x:c>
      <x:c r="H9360" s="6" t="n">
        <x:v>4</x:v>
      </x:c>
      <x:c r="I9360" s="6" t="n">
        <x:f>G9360-H9360</x:f>
        <x:v>0</x:v>
      </x:c>
      <x:c r="J9360" s="6" t="n">
        <x:f>IF(OR(E9360="CANCELED",E9360="SUSPECTED_FRAUD",F9360="Shipping canceled"),0,1)</x:f>
        <x:v>1</x:v>
      </x:c>
      <x:c r="K9360" s="6" t="n">
        <x:f>IF(G9360&gt;H9360,1,0)</x:f>
        <x:v>0</x:v>
      </x:c>
      <x:c r="L9360" s="6" t="n">
        <x:f>J9360*K9360</x:f>
        <x:v>0</x:v>
      </x:c>
    </x:row>
    <x:row r="9361">
      <x:c r="A9361" s="1" t="n">
        <x:v>75686</x:v>
      </x:c>
      <x:c r="B9361" s="5" t="d">
        <x:v>2018-01-09T00:00:00.000Z</x:v>
      </x:c>
      <x:c r="C9361" s="1" t="str">
        <x:v>Same Day</x:v>
      </x:c>
      <x:c r="D9361" s="1" t="str">
        <x:v>Pacific Asia</x:v>
      </x:c>
      <x:c r="E9361" s="1" t="str">
        <x:v>CLOSED</x:v>
      </x:c>
      <x:c r="F9361" s="1" t="str">
        <x:v>Late delivery</x:v>
      </x:c>
      <x:c r="G9361" s="6" t="n">
        <x:v>1</x:v>
      </x:c>
      <x:c r="H9361" s="6" t="n">
        <x:v>0</x:v>
      </x:c>
      <x:c r="I9361" s="6" t="n">
        <x:f>G9361-H9361</x:f>
        <x:v>1</x:v>
      </x:c>
      <x:c r="J9361" s="6" t="n">
        <x:f>IF(OR(E9361="CANCELED",E9361="SUSPECTED_FRAUD",F9361="Shipping canceled"),0,1)</x:f>
        <x:v>1</x:v>
      </x:c>
      <x:c r="K9361" s="6" t="n">
        <x:f>IF(G9361&gt;H9361,1,0)</x:f>
        <x:v>1</x:v>
      </x:c>
      <x:c r="L9361" s="6" t="n">
        <x:f>J9361*K9361</x:f>
        <x:v>1</x:v>
      </x:c>
    </x:row>
    <x:row r="9362">
      <x:c r="A9362" s="1" t="n">
        <x:v>75704</x:v>
      </x:c>
      <x:c r="B9362" s="5" t="d">
        <x:v>2018-01-10T00:00:00.000Z</x:v>
      </x:c>
      <x:c r="C9362" s="1" t="str">
        <x:v>First Class</x:v>
      </x:c>
      <x:c r="D9362" s="1" t="str">
        <x:v>Pacific Asia</x:v>
      </x:c>
      <x:c r="E9362" s="1" t="str">
        <x:v>PENDING</x:v>
      </x:c>
      <x:c r="F9362" s="1" t="str">
        <x:v>Late delivery</x:v>
      </x:c>
      <x:c r="G9362" s="6" t="n">
        <x:v>2</x:v>
      </x:c>
      <x:c r="H9362" s="6" t="n">
        <x:v>1</x:v>
      </x:c>
      <x:c r="I9362" s="6" t="n">
        <x:f>G9362-H9362</x:f>
        <x:v>1</x:v>
      </x:c>
      <x:c r="J9362" s="6" t="n">
        <x:f>IF(OR(E9362="CANCELED",E9362="SUSPECTED_FRAUD",F9362="Shipping canceled"),0,1)</x:f>
        <x:v>1</x:v>
      </x:c>
      <x:c r="K9362" s="6" t="n">
        <x:f>IF(G9362&gt;H9362,1,0)</x:f>
        <x:v>1</x:v>
      </x:c>
      <x:c r="L9362" s="6" t="n">
        <x:f>J9362*K9362</x:f>
        <x:v>1</x:v>
      </x:c>
    </x:row>
    <x:row r="9363">
      <x:c r="A9363" s="1" t="n">
        <x:v>75713</x:v>
      </x:c>
      <x:c r="B9363" s="5" t="d">
        <x:v>2018-01-10T00:00:00.000Z</x:v>
      </x:c>
      <x:c r="C9363" s="1" t="str">
        <x:v>Second Class</x:v>
      </x:c>
      <x:c r="D9363" s="1" t="str">
        <x:v>Pacific Asia</x:v>
      </x:c>
      <x:c r="E9363" s="1" t="str">
        <x:v>COMPLETE</x:v>
      </x:c>
      <x:c r="F9363" s="1" t="str">
        <x:v>Late delivery</x:v>
      </x:c>
      <x:c r="G9363" s="6" t="n">
        <x:v>4</x:v>
      </x:c>
      <x:c r="H9363" s="6" t="n">
        <x:v>2</x:v>
      </x:c>
      <x:c r="I9363" s="6" t="n">
        <x:f>G9363-H9363</x:f>
        <x:v>2</x:v>
      </x:c>
      <x:c r="J9363" s="6" t="n">
        <x:f>IF(OR(E9363="CANCELED",E9363="SUSPECTED_FRAUD",F9363="Shipping canceled"),0,1)</x:f>
        <x:v>1</x:v>
      </x:c>
      <x:c r="K9363" s="6" t="n">
        <x:f>IF(G9363&gt;H9363,1,0)</x:f>
        <x:v>1</x:v>
      </x:c>
      <x:c r="L9363" s="6" t="n">
        <x:f>J9363*K9363</x:f>
        <x:v>1</x:v>
      </x:c>
    </x:row>
    <x:row r="9364">
      <x:c r="A9364" s="1" t="n">
        <x:v>75715</x:v>
      </x:c>
      <x:c r="B9364" s="5" t="d">
        <x:v>2018-01-10T00:00:00.000Z</x:v>
      </x:c>
      <x:c r="C9364" s="1" t="str">
        <x:v>Second Class</x:v>
      </x:c>
      <x:c r="D9364" s="1" t="str">
        <x:v>Pacific Asia</x:v>
      </x:c>
      <x:c r="E9364" s="1" t="str">
        <x:v>CLOSED</x:v>
      </x:c>
      <x:c r="F9364" s="1" t="str">
        <x:v>Late delivery</x:v>
      </x:c>
      <x:c r="G9364" s="6" t="n">
        <x:v>6</x:v>
      </x:c>
      <x:c r="H9364" s="6" t="n">
        <x:v>2</x:v>
      </x:c>
      <x:c r="I9364" s="6" t="n">
        <x:f>G9364-H9364</x:f>
        <x:v>4</x:v>
      </x:c>
      <x:c r="J9364" s="6" t="n">
        <x:f>IF(OR(E9364="CANCELED",E9364="SUSPECTED_FRAUD",F9364="Shipping canceled"),0,1)</x:f>
        <x:v>1</x:v>
      </x:c>
      <x:c r="K9364" s="6" t="n">
        <x:f>IF(G9364&gt;H9364,1,0)</x:f>
        <x:v>1</x:v>
      </x:c>
      <x:c r="L9364" s="6" t="n">
        <x:f>J9364*K9364</x:f>
        <x:v>1</x:v>
      </x:c>
    </x:row>
    <x:row r="9365">
      <x:c r="A9365" s="1" t="n">
        <x:v>75717</x:v>
      </x:c>
      <x:c r="B9365" s="5" t="d">
        <x:v>2018-01-10T00:00:00.000Z</x:v>
      </x:c>
      <x:c r="C9365" s="1" t="str">
        <x:v>Second Class</x:v>
      </x:c>
      <x:c r="D9365" s="1" t="str">
        <x:v>Pacific Asia</x:v>
      </x:c>
      <x:c r="E9365" s="1" t="str">
        <x:v>COMPLETE</x:v>
      </x:c>
      <x:c r="F9365" s="1" t="str">
        <x:v>Late delivery</x:v>
      </x:c>
      <x:c r="G9365" s="6" t="n">
        <x:v>3</x:v>
      </x:c>
      <x:c r="H9365" s="6" t="n">
        <x:v>2</x:v>
      </x:c>
      <x:c r="I9365" s="6" t="n">
        <x:f>G9365-H9365</x:f>
        <x:v>1</x:v>
      </x:c>
      <x:c r="J9365" s="6" t="n">
        <x:f>IF(OR(E9365="CANCELED",E9365="SUSPECTED_FRAUD",F9365="Shipping canceled"),0,1)</x:f>
        <x:v>1</x:v>
      </x:c>
      <x:c r="K9365" s="6" t="n">
        <x:f>IF(G9365&gt;H9365,1,0)</x:f>
        <x:v>1</x:v>
      </x:c>
      <x:c r="L9365" s="6" t="n">
        <x:f>J9365*K9365</x:f>
        <x:v>1</x:v>
      </x:c>
    </x:row>
    <x:row r="9366">
      <x:c r="A9366" s="1" t="n">
        <x:v>75729</x:v>
      </x:c>
      <x:c r="B9366" s="5" t="d">
        <x:v>2018-01-10T00:00:00.000Z</x:v>
      </x:c>
      <x:c r="C9366" s="1" t="str">
        <x:v>Second Class</x:v>
      </x:c>
      <x:c r="D9366" s="1" t="str">
        <x:v>Pacific Asia</x:v>
      </x:c>
      <x:c r="E9366" s="1" t="str">
        <x:v>CANCELED</x:v>
      </x:c>
      <x:c r="F9366" s="1" t="str">
        <x:v>Shipping canceled</x:v>
      </x:c>
      <x:c r="G9366" s="6" t="n">
        <x:v>5</x:v>
      </x:c>
      <x:c r="H9366" s="6" t="n">
        <x:v>2</x:v>
      </x:c>
      <x:c r="I9366" s="6" t="n">
        <x:f>G9366-H9366</x:f>
        <x:v>3</x:v>
      </x:c>
      <x:c r="J9366" s="6" t="n">
        <x:f>IF(OR(E9366="CANCELED",E9366="SUSPECTED_FRAUD",F9366="Shipping canceled"),0,1)</x:f>
        <x:v>0</x:v>
      </x:c>
      <x:c r="K9366" s="6" t="n">
        <x:f>IF(G9366&gt;H9366,1,0)</x:f>
        <x:v>1</x:v>
      </x:c>
      <x:c r="L9366" s="6" t="n">
        <x:f>J9366*K9366</x:f>
        <x:v>0</x:v>
      </x:c>
    </x:row>
    <x:row r="9367">
      <x:c r="A9367" s="1" t="n">
        <x:v>75730</x:v>
      </x:c>
      <x:c r="B9367" s="5" t="d">
        <x:v>2018-01-10T00:00:00.000Z</x:v>
      </x:c>
      <x:c r="C9367" s="1" t="str">
        <x:v>Second Class</x:v>
      </x:c>
      <x:c r="D9367" s="1" t="str">
        <x:v>Pacific Asia</x:v>
      </x:c>
      <x:c r="E9367" s="1" t="str">
        <x:v>PENDING_PAYMENT</x:v>
      </x:c>
      <x:c r="F9367" s="1" t="str">
        <x:v>Late delivery</x:v>
      </x:c>
      <x:c r="G9367" s="6" t="n">
        <x:v>6</x:v>
      </x:c>
      <x:c r="H9367" s="6" t="n">
        <x:v>2</x:v>
      </x:c>
      <x:c r="I9367" s="6" t="n">
        <x:f>G9367-H9367</x:f>
        <x:v>4</x:v>
      </x:c>
      <x:c r="J9367" s="6" t="n">
        <x:f>IF(OR(E9367="CANCELED",E9367="SUSPECTED_FRAUD",F9367="Shipping canceled"),0,1)</x:f>
        <x:v>1</x:v>
      </x:c>
      <x:c r="K9367" s="6" t="n">
        <x:f>IF(G9367&gt;H9367,1,0)</x:f>
        <x:v>1</x:v>
      </x:c>
      <x:c r="L9367" s="6" t="n">
        <x:f>J9367*K9367</x:f>
        <x:v>1</x:v>
      </x:c>
    </x:row>
    <x:row r="9368">
      <x:c r="A9368" s="1" t="n">
        <x:v>75731</x:v>
      </x:c>
      <x:c r="B9368" s="5" t="d">
        <x:v>2018-01-10T00:00:00.000Z</x:v>
      </x:c>
      <x:c r="C9368" s="1" t="str">
        <x:v>Standard Class</x:v>
      </x:c>
      <x:c r="D9368" s="1" t="str">
        <x:v>Pacific Asia</x:v>
      </x:c>
      <x:c r="E9368" s="1" t="str">
        <x:v>PENDING_PAYMENT</x:v>
      </x:c>
      <x:c r="F9368" s="1" t="str">
        <x:v>Advance shipping</x:v>
      </x:c>
      <x:c r="G9368" s="6" t="n">
        <x:v>2</x:v>
      </x:c>
      <x:c r="H9368" s="6" t="n">
        <x:v>4</x:v>
      </x:c>
      <x:c r="I9368" s="6" t="n">
        <x:f>G9368-H9368</x:f>
        <x:v>-2</x:v>
      </x:c>
      <x:c r="J9368" s="6" t="n">
        <x:f>IF(OR(E9368="CANCELED",E9368="SUSPECTED_FRAUD",F9368="Shipping canceled"),0,1)</x:f>
        <x:v>1</x:v>
      </x:c>
      <x:c r="K9368" s="6" t="n">
        <x:f>IF(G9368&gt;H9368,1,0)</x:f>
        <x:v>0</x:v>
      </x:c>
      <x:c r="L9368" s="6" t="n">
        <x:f>J9368*K9368</x:f>
        <x:v>0</x:v>
      </x:c>
    </x:row>
    <x:row r="9369">
      <x:c r="A9369" s="1" t="n">
        <x:v>75732</x:v>
      </x:c>
      <x:c r="B9369" s="5" t="d">
        <x:v>2018-01-10T00:00:00.000Z</x:v>
      </x:c>
      <x:c r="C9369" s="1" t="str">
        <x:v>Standard Class</x:v>
      </x:c>
      <x:c r="D9369" s="1" t="str">
        <x:v>Pacific Asia</x:v>
      </x:c>
      <x:c r="E9369" s="1" t="str">
        <x:v>PENDING</x:v>
      </x:c>
      <x:c r="F9369" s="1" t="str">
        <x:v>Advance shipping</x:v>
      </x:c>
      <x:c r="G9369" s="6" t="n">
        <x:v>3</x:v>
      </x:c>
      <x:c r="H9369" s="6" t="n">
        <x:v>4</x:v>
      </x:c>
      <x:c r="I9369" s="6" t="n">
        <x:f>G9369-H9369</x:f>
        <x:v>-1</x:v>
      </x:c>
      <x:c r="J9369" s="6" t="n">
        <x:f>IF(OR(E9369="CANCELED",E9369="SUSPECTED_FRAUD",F9369="Shipping canceled"),0,1)</x:f>
        <x:v>1</x:v>
      </x:c>
      <x:c r="K9369" s="6" t="n">
        <x:f>IF(G9369&gt;H9369,1,0)</x:f>
        <x:v>0</x:v>
      </x:c>
      <x:c r="L9369" s="6" t="n">
        <x:f>J9369*K9369</x:f>
        <x:v>0</x:v>
      </x:c>
    </x:row>
    <x:row r="9370">
      <x:c r="A9370" s="1" t="n">
        <x:v>75733</x:v>
      </x:c>
      <x:c r="B9370" s="5" t="d">
        <x:v>2018-01-10T00:00:00.000Z</x:v>
      </x:c>
      <x:c r="C9370" s="1" t="str">
        <x:v>Second Class</x:v>
      </x:c>
      <x:c r="D9370" s="1" t="str">
        <x:v>Pacific Asia</x:v>
      </x:c>
      <x:c r="E9370" s="1" t="str">
        <x:v>COMPLETE</x:v>
      </x:c>
      <x:c r="F9370" s="1" t="str">
        <x:v>Late delivery</x:v>
      </x:c>
      <x:c r="G9370" s="6" t="n">
        <x:v>4</x:v>
      </x:c>
      <x:c r="H9370" s="6" t="n">
        <x:v>2</x:v>
      </x:c>
      <x:c r="I9370" s="6" t="n">
        <x:f>G9370-H9370</x:f>
        <x:v>2</x:v>
      </x:c>
      <x:c r="J9370" s="6" t="n">
        <x:f>IF(OR(E9370="CANCELED",E9370="SUSPECTED_FRAUD",F9370="Shipping canceled"),0,1)</x:f>
        <x:v>1</x:v>
      </x:c>
      <x:c r="K9370" s="6" t="n">
        <x:f>IF(G9370&gt;H9370,1,0)</x:f>
        <x:v>1</x:v>
      </x:c>
      <x:c r="L9370" s="6" t="n">
        <x:f>J9370*K9370</x:f>
        <x:v>1</x:v>
      </x:c>
    </x:row>
    <x:row r="9371">
      <x:c r="A9371" s="1" t="n">
        <x:v>75734</x:v>
      </x:c>
      <x:c r="B9371" s="5" t="d">
        <x:v>2018-01-10T00:00:00.000Z</x:v>
      </x:c>
      <x:c r="C9371" s="1" t="str">
        <x:v>Second Class</x:v>
      </x:c>
      <x:c r="D9371" s="1" t="str">
        <x:v>Pacific Asia</x:v>
      </x:c>
      <x:c r="E9371" s="1" t="str">
        <x:v>COMPLETE</x:v>
      </x:c>
      <x:c r="F9371" s="1" t="str">
        <x:v>Late delivery</x:v>
      </x:c>
      <x:c r="G9371" s="6" t="n">
        <x:v>5</x:v>
      </x:c>
      <x:c r="H9371" s="6" t="n">
        <x:v>2</x:v>
      </x:c>
      <x:c r="I9371" s="6" t="n">
        <x:f>G9371-H9371</x:f>
        <x:v>3</x:v>
      </x:c>
      <x:c r="J9371" s="6" t="n">
        <x:f>IF(OR(E9371="CANCELED",E9371="SUSPECTED_FRAUD",F9371="Shipping canceled"),0,1)</x:f>
        <x:v>1</x:v>
      </x:c>
      <x:c r="K9371" s="6" t="n">
        <x:f>IF(G9371&gt;H9371,1,0)</x:f>
        <x:v>1</x:v>
      </x:c>
      <x:c r="L9371" s="6" t="n">
        <x:f>J9371*K9371</x:f>
        <x:v>1</x:v>
      </x:c>
    </x:row>
    <x:row r="9372">
      <x:c r="A9372" s="1" t="n">
        <x:v>75735</x:v>
      </x:c>
      <x:c r="B9372" s="5" t="d">
        <x:v>2018-01-10T00:00:00.000Z</x:v>
      </x:c>
      <x:c r="C9372" s="1" t="str">
        <x:v>Standard Class</x:v>
      </x:c>
      <x:c r="D9372" s="1" t="str">
        <x:v>Pacific Asia</x:v>
      </x:c>
      <x:c r="E9372" s="1" t="str">
        <x:v>CLOSED</x:v>
      </x:c>
      <x:c r="F9372" s="1" t="str">
        <x:v>Late delivery</x:v>
      </x:c>
      <x:c r="G9372" s="6" t="n">
        <x:v>6</x:v>
      </x:c>
      <x:c r="H9372" s="6" t="n">
        <x:v>4</x:v>
      </x:c>
      <x:c r="I9372" s="6" t="n">
        <x:f>G9372-H9372</x:f>
        <x:v>2</x:v>
      </x:c>
      <x:c r="J9372" s="6" t="n">
        <x:f>IF(OR(E9372="CANCELED",E9372="SUSPECTED_FRAUD",F9372="Shipping canceled"),0,1)</x:f>
        <x:v>1</x:v>
      </x:c>
      <x:c r="K9372" s="6" t="n">
        <x:f>IF(G9372&gt;H9372,1,0)</x:f>
        <x:v>1</x:v>
      </x:c>
      <x:c r="L9372" s="6" t="n">
        <x:f>J9372*K9372</x:f>
        <x:v>1</x:v>
      </x:c>
    </x:row>
    <x:row r="9373">
      <x:c r="A9373" s="1" t="n">
        <x:v>75736</x:v>
      </x:c>
      <x:c r="B9373" s="5" t="d">
        <x:v>2018-01-10T00:00:00.000Z</x:v>
      </x:c>
      <x:c r="C9373" s="1" t="str">
        <x:v>Standard Class</x:v>
      </x:c>
      <x:c r="D9373" s="1" t="str">
        <x:v>Pacific Asia</x:v>
      </x:c>
      <x:c r="E9373" s="1" t="str">
        <x:v>COMPLETE</x:v>
      </x:c>
      <x:c r="F9373" s="1" t="str">
        <x:v>Advance shipping</x:v>
      </x:c>
      <x:c r="G9373" s="6" t="n">
        <x:v>2</x:v>
      </x:c>
      <x:c r="H9373" s="6" t="n">
        <x:v>4</x:v>
      </x:c>
      <x:c r="I9373" s="6" t="n">
        <x:f>G9373-H9373</x:f>
        <x:v>-2</x:v>
      </x:c>
      <x:c r="J9373" s="6" t="n">
        <x:f>IF(OR(E9373="CANCELED",E9373="SUSPECTED_FRAUD",F9373="Shipping canceled"),0,1)</x:f>
        <x:v>1</x:v>
      </x:c>
      <x:c r="K9373" s="6" t="n">
        <x:f>IF(G9373&gt;H9373,1,0)</x:f>
        <x:v>0</x:v>
      </x:c>
      <x:c r="L9373" s="6" t="n">
        <x:f>J9373*K9373</x:f>
        <x:v>0</x:v>
      </x:c>
    </x:row>
    <x:row r="9374">
      <x:c r="A9374" s="1" t="n">
        <x:v>75737</x:v>
      </x:c>
      <x:c r="B9374" s="5" t="d">
        <x:v>2018-01-10T00:00:00.000Z</x:v>
      </x:c>
      <x:c r="C9374" s="1" t="str">
        <x:v>Standard Class</x:v>
      </x:c>
      <x:c r="D9374" s="1" t="str">
        <x:v>Pacific Asia</x:v>
      </x:c>
      <x:c r="E9374" s="1" t="str">
        <x:v>PROCESSING</x:v>
      </x:c>
      <x:c r="F9374" s="1" t="str">
        <x:v>Advance shipping</x:v>
      </x:c>
      <x:c r="G9374" s="6" t="n">
        <x:v>3</x:v>
      </x:c>
      <x:c r="H9374" s="6" t="n">
        <x:v>4</x:v>
      </x:c>
      <x:c r="I9374" s="6" t="n">
        <x:f>G9374-H9374</x:f>
        <x:v>-1</x:v>
      </x:c>
      <x:c r="J9374" s="6" t="n">
        <x:f>IF(OR(E9374="CANCELED",E9374="SUSPECTED_FRAUD",F9374="Shipping canceled"),0,1)</x:f>
        <x:v>1</x:v>
      </x:c>
      <x:c r="K9374" s="6" t="n">
        <x:f>IF(G9374&gt;H9374,1,0)</x:f>
        <x:v>0</x:v>
      </x:c>
      <x:c r="L9374" s="6" t="n">
        <x:f>J9374*K9374</x:f>
        <x:v>0</x:v>
      </x:c>
    </x:row>
    <x:row r="9375">
      <x:c r="A9375" s="1" t="n">
        <x:v>75738</x:v>
      </x:c>
      <x:c r="B9375" s="5" t="d">
        <x:v>2018-01-10T00:00:00.000Z</x:v>
      </x:c>
      <x:c r="C9375" s="1" t="str">
        <x:v>Standard Class</x:v>
      </x:c>
      <x:c r="D9375" s="1" t="str">
        <x:v>Pacific Asia</x:v>
      </x:c>
      <x:c r="E9375" s="1" t="str">
        <x:v>PENDING_PAYMENT</x:v>
      </x:c>
      <x:c r="F9375" s="1" t="str">
        <x:v>Shipping on time</x:v>
      </x:c>
      <x:c r="G9375" s="6" t="n">
        <x:v>4</x:v>
      </x:c>
      <x:c r="H9375" s="6" t="n">
        <x:v>4</x:v>
      </x:c>
      <x:c r="I9375" s="6" t="n">
        <x:f>G9375-H9375</x:f>
        <x:v>0</x:v>
      </x:c>
      <x:c r="J9375" s="6" t="n">
        <x:f>IF(OR(E9375="CANCELED",E9375="SUSPECTED_FRAUD",F9375="Shipping canceled"),0,1)</x:f>
        <x:v>1</x:v>
      </x:c>
      <x:c r="K9375" s="6" t="n">
        <x:f>IF(G9375&gt;H9375,1,0)</x:f>
        <x:v>0</x:v>
      </x:c>
      <x:c r="L9375" s="6" t="n">
        <x:f>J9375*K9375</x:f>
        <x:v>0</x:v>
      </x:c>
    </x:row>
    <x:row r="9376">
      <x:c r="A9376" s="1" t="n">
        <x:v>75739</x:v>
      </x:c>
      <x:c r="B9376" s="5" t="d">
        <x:v>2018-01-10T00:00:00.000Z</x:v>
      </x:c>
      <x:c r="C9376" s="1" t="str">
        <x:v>Standard Class</x:v>
      </x:c>
      <x:c r="D9376" s="1" t="str">
        <x:v>Pacific Asia</x:v>
      </x:c>
      <x:c r="E9376" s="1" t="str">
        <x:v>COMPLETE</x:v>
      </x:c>
      <x:c r="F9376" s="1" t="str">
        <x:v>Late delivery</x:v>
      </x:c>
      <x:c r="G9376" s="6" t="n">
        <x:v>5</x:v>
      </x:c>
      <x:c r="H9376" s="6" t="n">
        <x:v>4</x:v>
      </x:c>
      <x:c r="I9376" s="6" t="n">
        <x:f>G9376-H9376</x:f>
        <x:v>1</x:v>
      </x:c>
      <x:c r="J9376" s="6" t="n">
        <x:f>IF(OR(E9376="CANCELED",E9376="SUSPECTED_FRAUD",F9376="Shipping canceled"),0,1)</x:f>
        <x:v>1</x:v>
      </x:c>
      <x:c r="K9376" s="6" t="n">
        <x:f>IF(G9376&gt;H9376,1,0)</x:f>
        <x:v>1</x:v>
      </x:c>
      <x:c r="L9376" s="6" t="n">
        <x:f>J9376*K9376</x:f>
        <x:v>1</x:v>
      </x:c>
    </x:row>
    <x:row r="9377">
      <x:c r="A9377" s="1" t="n">
        <x:v>75740</x:v>
      </x:c>
      <x:c r="B9377" s="5" t="d">
        <x:v>2018-01-10T00:00:00.000Z</x:v>
      </x:c>
      <x:c r="C9377" s="1" t="str">
        <x:v>Standard Class</x:v>
      </x:c>
      <x:c r="D9377" s="1" t="str">
        <x:v>Pacific Asia</x:v>
      </x:c>
      <x:c r="E9377" s="1" t="str">
        <x:v>PROCESSING</x:v>
      </x:c>
      <x:c r="F9377" s="1" t="str">
        <x:v>Late delivery</x:v>
      </x:c>
      <x:c r="G9377" s="6" t="n">
        <x:v>6</x:v>
      </x:c>
      <x:c r="H9377" s="6" t="n">
        <x:v>4</x:v>
      </x:c>
      <x:c r="I9377" s="6" t="n">
        <x:f>G9377-H9377</x:f>
        <x:v>2</x:v>
      </x:c>
      <x:c r="J9377" s="6" t="n">
        <x:f>IF(OR(E9377="CANCELED",E9377="SUSPECTED_FRAUD",F9377="Shipping canceled"),0,1)</x:f>
        <x:v>1</x:v>
      </x:c>
      <x:c r="K9377" s="6" t="n">
        <x:f>IF(G9377&gt;H9377,1,0)</x:f>
        <x:v>1</x:v>
      </x:c>
      <x:c r="L9377" s="6" t="n">
        <x:f>J9377*K9377</x:f>
        <x:v>1</x:v>
      </x:c>
    </x:row>
    <x:row r="9378">
      <x:c r="A9378" s="1" t="n">
        <x:v>75741</x:v>
      </x:c>
      <x:c r="B9378" s="5" t="d">
        <x:v>2018-01-10T00:00:00.000Z</x:v>
      </x:c>
      <x:c r="C9378" s="1" t="str">
        <x:v>Standard Class</x:v>
      </x:c>
      <x:c r="D9378" s="1" t="str">
        <x:v>Pacific Asia</x:v>
      </x:c>
      <x:c r="E9378" s="1" t="str">
        <x:v>PENDING_PAYMENT</x:v>
      </x:c>
      <x:c r="F9378" s="1" t="str">
        <x:v>Advance shipping</x:v>
      </x:c>
      <x:c r="G9378" s="6" t="n">
        <x:v>2</x:v>
      </x:c>
      <x:c r="H9378" s="6" t="n">
        <x:v>4</x:v>
      </x:c>
      <x:c r="I9378" s="6" t="n">
        <x:f>G9378-H9378</x:f>
        <x:v>-2</x:v>
      </x:c>
      <x:c r="J9378" s="6" t="n">
        <x:f>IF(OR(E9378="CANCELED",E9378="SUSPECTED_FRAUD",F9378="Shipping canceled"),0,1)</x:f>
        <x:v>1</x:v>
      </x:c>
      <x:c r="K9378" s="6" t="n">
        <x:f>IF(G9378&gt;H9378,1,0)</x:f>
        <x:v>0</x:v>
      </x:c>
      <x:c r="L9378" s="6" t="n">
        <x:f>J9378*K9378</x:f>
        <x:v>0</x:v>
      </x:c>
    </x:row>
    <x:row r="9379">
      <x:c r="A9379" s="1" t="n">
        <x:v>75742</x:v>
      </x:c>
      <x:c r="B9379" s="5" t="d">
        <x:v>2018-01-10T00:00:00.000Z</x:v>
      </x:c>
      <x:c r="C9379" s="1" t="str">
        <x:v>Standard Class</x:v>
      </x:c>
      <x:c r="D9379" s="1" t="str">
        <x:v>Pacific Asia</x:v>
      </x:c>
      <x:c r="E9379" s="1" t="str">
        <x:v>SUSPECTED_FRAUD</x:v>
      </x:c>
      <x:c r="F9379" s="1" t="str">
        <x:v>Shipping canceled</x:v>
      </x:c>
      <x:c r="G9379" s="6" t="n">
        <x:v>3</x:v>
      </x:c>
      <x:c r="H9379" s="6" t="n">
        <x:v>4</x:v>
      </x:c>
      <x:c r="I9379" s="6" t="n">
        <x:f>G9379-H9379</x:f>
        <x:v>-1</x:v>
      </x:c>
      <x:c r="J9379" s="6" t="n">
        <x:f>IF(OR(E9379="CANCELED",E9379="SUSPECTED_FRAUD",F9379="Shipping canceled"),0,1)</x:f>
        <x:v>0</x:v>
      </x:c>
      <x:c r="K9379" s="6" t="n">
        <x:f>IF(G9379&gt;H9379,1,0)</x:f>
        <x:v>0</x:v>
      </x:c>
      <x:c r="L9379" s="6" t="n">
        <x:f>J9379*K9379</x:f>
        <x:v>0</x:v>
      </x:c>
    </x:row>
    <x:row r="9380">
      <x:c r="A9380" s="1" t="n">
        <x:v>75743</x:v>
      </x:c>
      <x:c r="B9380" s="5" t="d">
        <x:v>2018-01-10T00:00:00.000Z</x:v>
      </x:c>
      <x:c r="C9380" s="1" t="str">
        <x:v>Standard Class</x:v>
      </x:c>
      <x:c r="D9380" s="1" t="str">
        <x:v>Pacific Asia</x:v>
      </x:c>
      <x:c r="E9380" s="1" t="str">
        <x:v>PENDING_PAYMENT</x:v>
      </x:c>
      <x:c r="F9380" s="1" t="str">
        <x:v>Shipping on time</x:v>
      </x:c>
      <x:c r="G9380" s="6" t="n">
        <x:v>4</x:v>
      </x:c>
      <x:c r="H9380" s="6" t="n">
        <x:v>4</x:v>
      </x:c>
      <x:c r="I9380" s="6" t="n">
        <x:f>G9380-H9380</x:f>
        <x:v>0</x:v>
      </x:c>
      <x:c r="J9380" s="6" t="n">
        <x:f>IF(OR(E9380="CANCELED",E9380="SUSPECTED_FRAUD",F9380="Shipping canceled"),0,1)</x:f>
        <x:v>1</x:v>
      </x:c>
      <x:c r="K9380" s="6" t="n">
        <x:f>IF(G9380&gt;H9380,1,0)</x:f>
        <x:v>0</x:v>
      </x:c>
      <x:c r="L9380" s="6" t="n">
        <x:f>J9380*K9380</x:f>
        <x:v>0</x:v>
      </x:c>
    </x:row>
    <x:row r="9381">
      <x:c r="A9381" s="1" t="n">
        <x:v>75744</x:v>
      </x:c>
      <x:c r="B9381" s="5" t="d">
        <x:v>2018-01-10T00:00:00.000Z</x:v>
      </x:c>
      <x:c r="C9381" s="1" t="str">
        <x:v>Standard Class</x:v>
      </x:c>
      <x:c r="D9381" s="1" t="str">
        <x:v>Pacific Asia</x:v>
      </x:c>
      <x:c r="E9381" s="1" t="str">
        <x:v>PROCESSING</x:v>
      </x:c>
      <x:c r="F9381" s="1" t="str">
        <x:v>Late delivery</x:v>
      </x:c>
      <x:c r="G9381" s="6" t="n">
        <x:v>5</x:v>
      </x:c>
      <x:c r="H9381" s="6" t="n">
        <x:v>4</x:v>
      </x:c>
      <x:c r="I9381" s="6" t="n">
        <x:f>G9381-H9381</x:f>
        <x:v>1</x:v>
      </x:c>
      <x:c r="J9381" s="6" t="n">
        <x:f>IF(OR(E9381="CANCELED",E9381="SUSPECTED_FRAUD",F9381="Shipping canceled"),0,1)</x:f>
        <x:v>1</x:v>
      </x:c>
      <x:c r="K9381" s="6" t="n">
        <x:f>IF(G9381&gt;H9381,1,0)</x:f>
        <x:v>1</x:v>
      </x:c>
      <x:c r="L9381" s="6" t="n">
        <x:f>J9381*K9381</x:f>
        <x:v>1</x:v>
      </x:c>
    </x:row>
    <x:row r="9382">
      <x:c r="A9382" s="1" t="n">
        <x:v>75745</x:v>
      </x:c>
      <x:c r="B9382" s="5" t="d">
        <x:v>2018-01-10T00:00:00.000Z</x:v>
      </x:c>
      <x:c r="C9382" s="1" t="str">
        <x:v>Standard Class</x:v>
      </x:c>
      <x:c r="D9382" s="1" t="str">
        <x:v>Pacific Asia</x:v>
      </x:c>
      <x:c r="E9382" s="1" t="str">
        <x:v>CLOSED</x:v>
      </x:c>
      <x:c r="F9382" s="1" t="str">
        <x:v>Late delivery</x:v>
      </x:c>
      <x:c r="G9382" s="6" t="n">
        <x:v>6</x:v>
      </x:c>
      <x:c r="H9382" s="6" t="n">
        <x:v>4</x:v>
      </x:c>
      <x:c r="I9382" s="6" t="n">
        <x:f>G9382-H9382</x:f>
        <x:v>2</x:v>
      </x:c>
      <x:c r="J9382" s="6" t="n">
        <x:f>IF(OR(E9382="CANCELED",E9382="SUSPECTED_FRAUD",F9382="Shipping canceled"),0,1)</x:f>
        <x:v>1</x:v>
      </x:c>
      <x:c r="K9382" s="6" t="n">
        <x:f>IF(G9382&gt;H9382,1,0)</x:f>
        <x:v>1</x:v>
      </x:c>
      <x:c r="L9382" s="6" t="n">
        <x:f>J9382*K9382</x:f>
        <x:v>1</x:v>
      </x:c>
    </x:row>
    <x:row r="9383">
      <x:c r="A9383" s="1" t="n">
        <x:v>75746</x:v>
      </x:c>
      <x:c r="B9383" s="5" t="d">
        <x:v>2018-01-10T00:00:00.000Z</x:v>
      </x:c>
      <x:c r="C9383" s="1" t="str">
        <x:v>Standard Class</x:v>
      </x:c>
      <x:c r="D9383" s="1" t="str">
        <x:v>Pacific Asia</x:v>
      </x:c>
      <x:c r="E9383" s="1" t="str">
        <x:v>COMPLETE</x:v>
      </x:c>
      <x:c r="F9383" s="1" t="str">
        <x:v>Advance shipping</x:v>
      </x:c>
      <x:c r="G9383" s="6" t="n">
        <x:v>2</x:v>
      </x:c>
      <x:c r="H9383" s="6" t="n">
        <x:v>4</x:v>
      </x:c>
      <x:c r="I9383" s="6" t="n">
        <x:f>G9383-H9383</x:f>
        <x:v>-2</x:v>
      </x:c>
      <x:c r="J9383" s="6" t="n">
        <x:f>IF(OR(E9383="CANCELED",E9383="SUSPECTED_FRAUD",F9383="Shipping canceled"),0,1)</x:f>
        <x:v>1</x:v>
      </x:c>
      <x:c r="K9383" s="6" t="n">
        <x:f>IF(G9383&gt;H9383,1,0)</x:f>
        <x:v>0</x:v>
      </x:c>
      <x:c r="L9383" s="6" t="n">
        <x:f>J9383*K9383</x:f>
        <x:v>0</x:v>
      </x:c>
    </x:row>
    <x:row r="9384">
      <x:c r="A9384" s="1" t="n">
        <x:v>75747</x:v>
      </x:c>
      <x:c r="B9384" s="5" t="d">
        <x:v>2018-01-10T00:00:00.000Z</x:v>
      </x:c>
      <x:c r="C9384" s="1" t="str">
        <x:v>Same Day</x:v>
      </x:c>
      <x:c r="D9384" s="1" t="str">
        <x:v>Pacific Asia</x:v>
      </x:c>
      <x:c r="E9384" s="1" t="str">
        <x:v>PENDING_PAYMENT</x:v>
      </x:c>
      <x:c r="F9384" s="1" t="str">
        <x:v>Late delivery</x:v>
      </x:c>
      <x:c r="G9384" s="6" t="n">
        <x:v>1</x:v>
      </x:c>
      <x:c r="H9384" s="6" t="n">
        <x:v>0</x:v>
      </x:c>
      <x:c r="I9384" s="6" t="n">
        <x:f>G9384-H9384</x:f>
        <x:v>1</x:v>
      </x:c>
      <x:c r="J9384" s="6" t="n">
        <x:f>IF(OR(E9384="CANCELED",E9384="SUSPECTED_FRAUD",F9384="Shipping canceled"),0,1)</x:f>
        <x:v>1</x:v>
      </x:c>
      <x:c r="K9384" s="6" t="n">
        <x:f>IF(G9384&gt;H9384,1,0)</x:f>
        <x:v>1</x:v>
      </x:c>
      <x:c r="L9384" s="6" t="n">
        <x:f>J9384*K9384</x:f>
        <x:v>1</x:v>
      </x:c>
    </x:row>
    <x:row r="9385">
      <x:c r="A9385" s="1" t="n">
        <x:v>75748</x:v>
      </x:c>
      <x:c r="B9385" s="5" t="d">
        <x:v>2018-01-10T00:00:00.000Z</x:v>
      </x:c>
      <x:c r="C9385" s="1" t="str">
        <x:v>Second Class</x:v>
      </x:c>
      <x:c r="D9385" s="1" t="str">
        <x:v>Pacific Asia</x:v>
      </x:c>
      <x:c r="E9385" s="1" t="str">
        <x:v>PENDING</x:v>
      </x:c>
      <x:c r="F9385" s="1" t="str">
        <x:v>Late delivery</x:v>
      </x:c>
      <x:c r="G9385" s="6" t="n">
        <x:v>4</x:v>
      </x:c>
      <x:c r="H9385" s="6" t="n">
        <x:v>2</x:v>
      </x:c>
      <x:c r="I9385" s="6" t="n">
        <x:f>G9385-H9385</x:f>
        <x:v>2</x:v>
      </x:c>
      <x:c r="J9385" s="6" t="n">
        <x:f>IF(OR(E9385="CANCELED",E9385="SUSPECTED_FRAUD",F9385="Shipping canceled"),0,1)</x:f>
        <x:v>1</x:v>
      </x:c>
      <x:c r="K9385" s="6" t="n">
        <x:f>IF(G9385&gt;H9385,1,0)</x:f>
        <x:v>1</x:v>
      </x:c>
      <x:c r="L9385" s="6" t="n">
        <x:f>J9385*K9385</x:f>
        <x:v>1</x:v>
      </x:c>
    </x:row>
    <x:row r="9386">
      <x:c r="A9386" s="1" t="n">
        <x:v>75749</x:v>
      </x:c>
      <x:c r="B9386" s="5" t="d">
        <x:v>2018-01-10T00:00:00.000Z</x:v>
      </x:c>
      <x:c r="C9386" s="1" t="str">
        <x:v>Standard Class</x:v>
      </x:c>
      <x:c r="D9386" s="1" t="str">
        <x:v>Pacific Asia</x:v>
      </x:c>
      <x:c r="E9386" s="1" t="str">
        <x:v>SUSPECTED_FRAUD</x:v>
      </x:c>
      <x:c r="F9386" s="1" t="str">
        <x:v>Shipping canceled</x:v>
      </x:c>
      <x:c r="G9386" s="6" t="n">
        <x:v>5</x:v>
      </x:c>
      <x:c r="H9386" s="6" t="n">
        <x:v>4</x:v>
      </x:c>
      <x:c r="I9386" s="6" t="n">
        <x:f>G9386-H9386</x:f>
        <x:v>1</x:v>
      </x:c>
      <x:c r="J9386" s="6" t="n">
        <x:f>IF(OR(E9386="CANCELED",E9386="SUSPECTED_FRAUD",F9386="Shipping canceled"),0,1)</x:f>
        <x:v>0</x:v>
      </x:c>
      <x:c r="K9386" s="6" t="n">
        <x:f>IF(G9386&gt;H9386,1,0)</x:f>
        <x:v>1</x:v>
      </x:c>
      <x:c r="L9386" s="6" t="n">
        <x:f>J9386*K9386</x:f>
        <x:v>0</x:v>
      </x:c>
    </x:row>
    <x:row r="9387">
      <x:c r="A9387" s="1" t="n">
        <x:v>75750</x:v>
      </x:c>
      <x:c r="B9387" s="5" t="d">
        <x:v>2018-01-10T00:00:00.000Z</x:v>
      </x:c>
      <x:c r="C9387" s="1" t="str">
        <x:v>Standard Class</x:v>
      </x:c>
      <x:c r="D9387" s="1" t="str">
        <x:v>Pacific Asia</x:v>
      </x:c>
      <x:c r="E9387" s="1" t="str">
        <x:v>CLOSED</x:v>
      </x:c>
      <x:c r="F9387" s="1" t="str">
        <x:v>Late delivery</x:v>
      </x:c>
      <x:c r="G9387" s="6" t="n">
        <x:v>6</x:v>
      </x:c>
      <x:c r="H9387" s="6" t="n">
        <x:v>4</x:v>
      </x:c>
      <x:c r="I9387" s="6" t="n">
        <x:f>G9387-H9387</x:f>
        <x:v>2</x:v>
      </x:c>
      <x:c r="J9387" s="6" t="n">
        <x:f>IF(OR(E9387="CANCELED",E9387="SUSPECTED_FRAUD",F9387="Shipping canceled"),0,1)</x:f>
        <x:v>1</x:v>
      </x:c>
      <x:c r="K9387" s="6" t="n">
        <x:f>IF(G9387&gt;H9387,1,0)</x:f>
        <x:v>1</x:v>
      </x:c>
      <x:c r="L9387" s="6" t="n">
        <x:f>J9387*K9387</x:f>
        <x:v>1</x:v>
      </x:c>
    </x:row>
    <x:row r="9388">
      <x:c r="A9388" s="1" t="n">
        <x:v>75751</x:v>
      </x:c>
      <x:c r="B9388" s="5" t="d">
        <x:v>2018-01-10T00:00:00.000Z</x:v>
      </x:c>
      <x:c r="C9388" s="1" t="str">
        <x:v>Standard Class</x:v>
      </x:c>
      <x:c r="D9388" s="1" t="str">
        <x:v>Pacific Asia</x:v>
      </x:c>
      <x:c r="E9388" s="1" t="str">
        <x:v>PENDING_PAYMENT</x:v>
      </x:c>
      <x:c r="F9388" s="1" t="str">
        <x:v>Advance shipping</x:v>
      </x:c>
      <x:c r="G9388" s="6" t="n">
        <x:v>2</x:v>
      </x:c>
      <x:c r="H9388" s="6" t="n">
        <x:v>4</x:v>
      </x:c>
      <x:c r="I9388" s="6" t="n">
        <x:f>G9388-H9388</x:f>
        <x:v>-2</x:v>
      </x:c>
      <x:c r="J9388" s="6" t="n">
        <x:f>IF(OR(E9388="CANCELED",E9388="SUSPECTED_FRAUD",F9388="Shipping canceled"),0,1)</x:f>
        <x:v>1</x:v>
      </x:c>
      <x:c r="K9388" s="6" t="n">
        <x:f>IF(G9388&gt;H9388,1,0)</x:f>
        <x:v>0</x:v>
      </x:c>
      <x:c r="L9388" s="6" t="n">
        <x:f>J9388*K9388</x:f>
        <x:v>0</x:v>
      </x:c>
    </x:row>
    <x:row r="9389">
      <x:c r="A9389" s="1" t="n">
        <x:v>75752</x:v>
      </x:c>
      <x:c r="B9389" s="5" t="d">
        <x:v>2018-01-10T00:00:00.000Z</x:v>
      </x:c>
      <x:c r="C9389" s="1" t="str">
        <x:v>Standard Class</x:v>
      </x:c>
      <x:c r="D9389" s="1" t="str">
        <x:v>Pacific Asia</x:v>
      </x:c>
      <x:c r="E9389" s="1" t="str">
        <x:v>PROCESSING</x:v>
      </x:c>
      <x:c r="F9389" s="1" t="str">
        <x:v>Advance shipping</x:v>
      </x:c>
      <x:c r="G9389" s="6" t="n">
        <x:v>3</x:v>
      </x:c>
      <x:c r="H9389" s="6" t="n">
        <x:v>4</x:v>
      </x:c>
      <x:c r="I9389" s="6" t="n">
        <x:f>G9389-H9389</x:f>
        <x:v>-1</x:v>
      </x:c>
      <x:c r="J9389" s="6" t="n">
        <x:f>IF(OR(E9389="CANCELED",E9389="SUSPECTED_FRAUD",F9389="Shipping canceled"),0,1)</x:f>
        <x:v>1</x:v>
      </x:c>
      <x:c r="K9389" s="6" t="n">
        <x:f>IF(G9389&gt;H9389,1,0)</x:f>
        <x:v>0</x:v>
      </x:c>
      <x:c r="L9389" s="6" t="n">
        <x:f>J9389*K9389</x:f>
        <x:v>0</x:v>
      </x:c>
    </x:row>
    <x:row r="9390">
      <x:c r="A9390" s="1" t="n">
        <x:v>75753</x:v>
      </x:c>
      <x:c r="B9390" s="5" t="d">
        <x:v>2018-01-10T00:00:00.000Z</x:v>
      </x:c>
      <x:c r="C9390" s="1" t="str">
        <x:v>Second Class</x:v>
      </x:c>
      <x:c r="D9390" s="1" t="str">
        <x:v>Pacific Asia</x:v>
      </x:c>
      <x:c r="E9390" s="1" t="str">
        <x:v>PROCESSING</x:v>
      </x:c>
      <x:c r="F9390" s="1" t="str">
        <x:v>Late delivery</x:v>
      </x:c>
      <x:c r="G9390" s="6" t="n">
        <x:v>4</x:v>
      </x:c>
      <x:c r="H9390" s="6" t="n">
        <x:v>2</x:v>
      </x:c>
      <x:c r="I9390" s="6" t="n">
        <x:f>G9390-H9390</x:f>
        <x:v>2</x:v>
      </x:c>
      <x:c r="J9390" s="6" t="n">
        <x:f>IF(OR(E9390="CANCELED",E9390="SUSPECTED_FRAUD",F9390="Shipping canceled"),0,1)</x:f>
        <x:v>1</x:v>
      </x:c>
      <x:c r="K9390" s="6" t="n">
        <x:f>IF(G9390&gt;H9390,1,0)</x:f>
        <x:v>1</x:v>
      </x:c>
      <x:c r="L9390" s="6" t="n">
        <x:f>J9390*K9390</x:f>
        <x:v>1</x:v>
      </x:c>
    </x:row>
    <x:row r="9391">
      <x:c r="A9391" s="1" t="n">
        <x:v>75754</x:v>
      </x:c>
      <x:c r="B9391" s="5" t="d">
        <x:v>2018-01-10T00:00:00.000Z</x:v>
      </x:c>
      <x:c r="C9391" s="1" t="str">
        <x:v>Second Class</x:v>
      </x:c>
      <x:c r="D9391" s="1" t="str">
        <x:v>Pacific Asia</x:v>
      </x:c>
      <x:c r="E9391" s="1" t="str">
        <x:v>ON_HOLD</x:v>
      </x:c>
      <x:c r="F9391" s="1" t="str">
        <x:v>Late delivery</x:v>
      </x:c>
      <x:c r="G9391" s="6" t="n">
        <x:v>5</x:v>
      </x:c>
      <x:c r="H9391" s="6" t="n">
        <x:v>2</x:v>
      </x:c>
      <x:c r="I9391" s="6" t="n">
        <x:f>G9391-H9391</x:f>
        <x:v>3</x:v>
      </x:c>
      <x:c r="J9391" s="6" t="n">
        <x:f>IF(OR(E9391="CANCELED",E9391="SUSPECTED_FRAUD",F9391="Shipping canceled"),0,1)</x:f>
        <x:v>1</x:v>
      </x:c>
      <x:c r="K9391" s="6" t="n">
        <x:f>IF(G9391&gt;H9391,1,0)</x:f>
        <x:v>1</x:v>
      </x:c>
      <x:c r="L9391" s="6" t="n">
        <x:f>J9391*K9391</x:f>
        <x:v>1</x:v>
      </x:c>
    </x:row>
    <x:row r="9392">
      <x:c r="A9392" s="1" t="n">
        <x:v>75755</x:v>
      </x:c>
      <x:c r="B9392" s="5" t="d">
        <x:v>2018-01-10T00:00:00.000Z</x:v>
      </x:c>
      <x:c r="C9392" s="1" t="str">
        <x:v>Standard Class</x:v>
      </x:c>
      <x:c r="D9392" s="1" t="str">
        <x:v>Pacific Asia</x:v>
      </x:c>
      <x:c r="E9392" s="1" t="str">
        <x:v>PENDING_PAYMENT</x:v>
      </x:c>
      <x:c r="F9392" s="1" t="str">
        <x:v>Late delivery</x:v>
      </x:c>
      <x:c r="G9392" s="6" t="n">
        <x:v>6</x:v>
      </x:c>
      <x:c r="H9392" s="6" t="n">
        <x:v>4</x:v>
      </x:c>
      <x:c r="I9392" s="6" t="n">
        <x:f>G9392-H9392</x:f>
        <x:v>2</x:v>
      </x:c>
      <x:c r="J9392" s="6" t="n">
        <x:f>IF(OR(E9392="CANCELED",E9392="SUSPECTED_FRAUD",F9392="Shipping canceled"),0,1)</x:f>
        <x:v>1</x:v>
      </x:c>
      <x:c r="K9392" s="6" t="n">
        <x:f>IF(G9392&gt;H9392,1,0)</x:f>
        <x:v>1</x:v>
      </x:c>
      <x:c r="L9392" s="6" t="n">
        <x:f>J9392*K9392</x:f>
        <x:v>1</x:v>
      </x:c>
    </x:row>
    <x:row r="9393">
      <x:c r="A9393" s="1" t="n">
        <x:v>75756</x:v>
      </x:c>
      <x:c r="B9393" s="5" t="d">
        <x:v>2018-01-10T00:00:00.000Z</x:v>
      </x:c>
      <x:c r="C9393" s="1" t="str">
        <x:v>Standard Class</x:v>
      </x:c>
      <x:c r="D9393" s="1" t="str">
        <x:v>Pacific Asia</x:v>
      </x:c>
      <x:c r="E9393" s="1" t="str">
        <x:v>COMPLETE</x:v>
      </x:c>
      <x:c r="F9393" s="1" t="str">
        <x:v>Advance shipping</x:v>
      </x:c>
      <x:c r="G9393" s="6" t="n">
        <x:v>2</x:v>
      </x:c>
      <x:c r="H9393" s="6" t="n">
        <x:v>4</x:v>
      </x:c>
      <x:c r="I9393" s="6" t="n">
        <x:f>G9393-H9393</x:f>
        <x:v>-2</x:v>
      </x:c>
      <x:c r="J9393" s="6" t="n">
        <x:f>IF(OR(E9393="CANCELED",E9393="SUSPECTED_FRAUD",F9393="Shipping canceled"),0,1)</x:f>
        <x:v>1</x:v>
      </x:c>
      <x:c r="K9393" s="6" t="n">
        <x:f>IF(G9393&gt;H9393,1,0)</x:f>
        <x:v>0</x:v>
      </x:c>
      <x:c r="L9393" s="6" t="n">
        <x:f>J9393*K9393</x:f>
        <x:v>0</x:v>
      </x:c>
    </x:row>
    <x:row r="9394">
      <x:c r="A9394" s="1" t="n">
        <x:v>75757</x:v>
      </x:c>
      <x:c r="B9394" s="5" t="d">
        <x:v>2018-01-10T00:00:00.000Z</x:v>
      </x:c>
      <x:c r="C9394" s="1" t="str">
        <x:v>Standard Class</x:v>
      </x:c>
      <x:c r="D9394" s="1" t="str">
        <x:v>Pacific Asia</x:v>
      </x:c>
      <x:c r="E9394" s="1" t="str">
        <x:v>PENDING_PAYMENT</x:v>
      </x:c>
      <x:c r="F9394" s="1" t="str">
        <x:v>Advance shipping</x:v>
      </x:c>
      <x:c r="G9394" s="6" t="n">
        <x:v>3</x:v>
      </x:c>
      <x:c r="H9394" s="6" t="n">
        <x:v>4</x:v>
      </x:c>
      <x:c r="I9394" s="6" t="n">
        <x:f>G9394-H9394</x:f>
        <x:v>-1</x:v>
      </x:c>
      <x:c r="J9394" s="6" t="n">
        <x:f>IF(OR(E9394="CANCELED",E9394="SUSPECTED_FRAUD",F9394="Shipping canceled"),0,1)</x:f>
        <x:v>1</x:v>
      </x:c>
      <x:c r="K9394" s="6" t="n">
        <x:f>IF(G9394&gt;H9394,1,0)</x:f>
        <x:v>0</x:v>
      </x:c>
      <x:c r="L9394" s="6" t="n">
        <x:f>J9394*K9394</x:f>
        <x:v>0</x:v>
      </x:c>
    </x:row>
    <x:row r="9395">
      <x:c r="A9395" s="1" t="n">
        <x:v>75758</x:v>
      </x:c>
      <x:c r="B9395" s="5" t="d">
        <x:v>2018-01-10T00:00:00.000Z</x:v>
      </x:c>
      <x:c r="C9395" s="1" t="str">
        <x:v>Second Class</x:v>
      </x:c>
      <x:c r="D9395" s="1" t="str">
        <x:v>Pacific Asia</x:v>
      </x:c>
      <x:c r="E9395" s="1" t="str">
        <x:v>COMPLETE</x:v>
      </x:c>
      <x:c r="F9395" s="1" t="str">
        <x:v>Late delivery</x:v>
      </x:c>
      <x:c r="G9395" s="6" t="n">
        <x:v>4</x:v>
      </x:c>
      <x:c r="H9395" s="6" t="n">
        <x:v>2</x:v>
      </x:c>
      <x:c r="I9395" s="6" t="n">
        <x:f>G9395-H9395</x:f>
        <x:v>2</x:v>
      </x:c>
      <x:c r="J9395" s="6" t="n">
        <x:f>IF(OR(E9395="CANCELED",E9395="SUSPECTED_FRAUD",F9395="Shipping canceled"),0,1)</x:f>
        <x:v>1</x:v>
      </x:c>
      <x:c r="K9395" s="6" t="n">
        <x:f>IF(G9395&gt;H9395,1,0)</x:f>
        <x:v>1</x:v>
      </x:c>
      <x:c r="L9395" s="6" t="n">
        <x:f>J9395*K9395</x:f>
        <x:v>1</x:v>
      </x:c>
    </x:row>
    <x:row r="9396">
      <x:c r="A9396" s="1" t="n">
        <x:v>75759</x:v>
      </x:c>
      <x:c r="B9396" s="5" t="d">
        <x:v>2018-01-10T00:00:00.000Z</x:v>
      </x:c>
      <x:c r="C9396" s="1" t="str">
        <x:v>First Class</x:v>
      </x:c>
      <x:c r="D9396" s="1" t="str">
        <x:v>Pacific Asia</x:v>
      </x:c>
      <x:c r="E9396" s="1" t="str">
        <x:v>ON_HOLD</x:v>
      </x:c>
      <x:c r="F9396" s="1" t="str">
        <x:v>Late delivery</x:v>
      </x:c>
      <x:c r="G9396" s="6" t="n">
        <x:v>2</x:v>
      </x:c>
      <x:c r="H9396" s="6" t="n">
        <x:v>1</x:v>
      </x:c>
      <x:c r="I9396" s="6" t="n">
        <x:f>G9396-H9396</x:f>
        <x:v>1</x:v>
      </x:c>
      <x:c r="J9396" s="6" t="n">
        <x:f>IF(OR(E9396="CANCELED",E9396="SUSPECTED_FRAUD",F9396="Shipping canceled"),0,1)</x:f>
        <x:v>1</x:v>
      </x:c>
      <x:c r="K9396" s="6" t="n">
        <x:f>IF(G9396&gt;H9396,1,0)</x:f>
        <x:v>1</x:v>
      </x:c>
      <x:c r="L9396" s="6" t="n">
        <x:f>J9396*K9396</x:f>
        <x:v>1</x:v>
      </x:c>
    </x:row>
    <x:row r="9397">
      <x:c r="A9397" s="1" t="n">
        <x:v>75760</x:v>
      </x:c>
      <x:c r="B9397" s="5" t="d">
        <x:v>2018-01-10T00:00:00.000Z</x:v>
      </x:c>
      <x:c r="C9397" s="1" t="str">
        <x:v>Second Class</x:v>
      </x:c>
      <x:c r="D9397" s="1" t="str">
        <x:v>Pacific Asia</x:v>
      </x:c>
      <x:c r="E9397" s="1" t="str">
        <x:v>COMPLETE</x:v>
      </x:c>
      <x:c r="F9397" s="1" t="str">
        <x:v>Late delivery</x:v>
      </x:c>
      <x:c r="G9397" s="6" t="n">
        <x:v>6</x:v>
      </x:c>
      <x:c r="H9397" s="6" t="n">
        <x:v>2</x:v>
      </x:c>
      <x:c r="I9397" s="6" t="n">
        <x:f>G9397-H9397</x:f>
        <x:v>4</x:v>
      </x:c>
      <x:c r="J9397" s="6" t="n">
        <x:f>IF(OR(E9397="CANCELED",E9397="SUSPECTED_FRAUD",F9397="Shipping canceled"),0,1)</x:f>
        <x:v>1</x:v>
      </x:c>
      <x:c r="K9397" s="6" t="n">
        <x:f>IF(G9397&gt;H9397,1,0)</x:f>
        <x:v>1</x:v>
      </x:c>
      <x:c r="L9397" s="6" t="n">
        <x:f>J9397*K9397</x:f>
        <x:v>1</x:v>
      </x:c>
    </x:row>
    <x:row r="9398">
      <x:c r="A9398" s="1" t="n">
        <x:v>75761</x:v>
      </x:c>
      <x:c r="B9398" s="5" t="d">
        <x:v>2018-01-10T00:00:00.000Z</x:v>
      </x:c>
      <x:c r="C9398" s="1" t="str">
        <x:v>Second Class</x:v>
      </x:c>
      <x:c r="D9398" s="1" t="str">
        <x:v>Pacific Asia</x:v>
      </x:c>
      <x:c r="E9398" s="1" t="str">
        <x:v>PENDING_PAYMENT</x:v>
      </x:c>
      <x:c r="F9398" s="1" t="str">
        <x:v>Shipping on time</x:v>
      </x:c>
      <x:c r="G9398" s="6" t="n">
        <x:v>2</x:v>
      </x:c>
      <x:c r="H9398" s="6" t="n">
        <x:v>2</x:v>
      </x:c>
      <x:c r="I9398" s="6" t="n">
        <x:f>G9398-H9398</x:f>
        <x:v>0</x:v>
      </x:c>
      <x:c r="J9398" s="6" t="n">
        <x:f>IF(OR(E9398="CANCELED",E9398="SUSPECTED_FRAUD",F9398="Shipping canceled"),0,1)</x:f>
        <x:v>1</x:v>
      </x:c>
      <x:c r="K9398" s="6" t="n">
        <x:f>IF(G9398&gt;H9398,1,0)</x:f>
        <x:v>0</x:v>
      </x:c>
      <x:c r="L9398" s="6" t="n">
        <x:f>J9398*K9398</x:f>
        <x:v>0</x:v>
      </x:c>
    </x:row>
    <x:row r="9399">
      <x:c r="A9399" s="1" t="n">
        <x:v>75762</x:v>
      </x:c>
      <x:c r="B9399" s="5" t="d">
        <x:v>2018-01-10T00:00:00.000Z</x:v>
      </x:c>
      <x:c r="C9399" s="1" t="str">
        <x:v>Second Class</x:v>
      </x:c>
      <x:c r="D9399" s="1" t="str">
        <x:v>Pacific Asia</x:v>
      </x:c>
      <x:c r="E9399" s="1" t="str">
        <x:v>ON_HOLD</x:v>
      </x:c>
      <x:c r="F9399" s="1" t="str">
        <x:v>Late delivery</x:v>
      </x:c>
      <x:c r="G9399" s="6" t="n">
        <x:v>3</x:v>
      </x:c>
      <x:c r="H9399" s="6" t="n">
        <x:v>2</x:v>
      </x:c>
      <x:c r="I9399" s="6" t="n">
        <x:f>G9399-H9399</x:f>
        <x:v>1</x:v>
      </x:c>
      <x:c r="J9399" s="6" t="n">
        <x:f>IF(OR(E9399="CANCELED",E9399="SUSPECTED_FRAUD",F9399="Shipping canceled"),0,1)</x:f>
        <x:v>1</x:v>
      </x:c>
      <x:c r="K9399" s="6" t="n">
        <x:f>IF(G9399&gt;H9399,1,0)</x:f>
        <x:v>1</x:v>
      </x:c>
      <x:c r="L9399" s="6" t="n">
        <x:f>J9399*K9399</x:f>
        <x:v>1</x:v>
      </x:c>
    </x:row>
    <x:row r="9400">
      <x:c r="A9400" s="1" t="n">
        <x:v>75763</x:v>
      </x:c>
      <x:c r="B9400" s="5" t="d">
        <x:v>2018-01-10T00:00:00.000Z</x:v>
      </x:c>
      <x:c r="C9400" s="1" t="str">
        <x:v>Second Class</x:v>
      </x:c>
      <x:c r="D9400" s="1" t="str">
        <x:v>Pacific Asia</x:v>
      </x:c>
      <x:c r="E9400" s="1" t="str">
        <x:v>CLOSED</x:v>
      </x:c>
      <x:c r="F9400" s="1" t="str">
        <x:v>Late delivery</x:v>
      </x:c>
      <x:c r="G9400" s="6" t="n">
        <x:v>4</x:v>
      </x:c>
      <x:c r="H9400" s="6" t="n">
        <x:v>2</x:v>
      </x:c>
      <x:c r="I9400" s="6" t="n">
        <x:f>G9400-H9400</x:f>
        <x:v>2</x:v>
      </x:c>
      <x:c r="J9400" s="6" t="n">
        <x:f>IF(OR(E9400="CANCELED",E9400="SUSPECTED_FRAUD",F9400="Shipping canceled"),0,1)</x:f>
        <x:v>1</x:v>
      </x:c>
      <x:c r="K9400" s="6" t="n">
        <x:f>IF(G9400&gt;H9400,1,0)</x:f>
        <x:v>1</x:v>
      </x:c>
      <x:c r="L9400" s="6" t="n">
        <x:f>J9400*K9400</x:f>
        <x:v>1</x:v>
      </x:c>
    </x:row>
    <x:row r="9401">
      <x:c r="A9401" s="1" t="n">
        <x:v>75764</x:v>
      </x:c>
      <x:c r="B9401" s="5" t="d">
        <x:v>2018-01-10T00:00:00.000Z</x:v>
      </x:c>
      <x:c r="C9401" s="1" t="str">
        <x:v>Second Class</x:v>
      </x:c>
      <x:c r="D9401" s="1" t="str">
        <x:v>Pacific Asia</x:v>
      </x:c>
      <x:c r="E9401" s="1" t="str">
        <x:v>ON_HOLD</x:v>
      </x:c>
      <x:c r="F9401" s="1" t="str">
        <x:v>Late delivery</x:v>
      </x:c>
      <x:c r="G9401" s="6" t="n">
        <x:v>5</x:v>
      </x:c>
      <x:c r="H9401" s="6" t="n">
        <x:v>2</x:v>
      </x:c>
      <x:c r="I9401" s="6" t="n">
        <x:f>G9401-H9401</x:f>
        <x:v>3</x:v>
      </x:c>
      <x:c r="J9401" s="6" t="n">
        <x:f>IF(OR(E9401="CANCELED",E9401="SUSPECTED_FRAUD",F9401="Shipping canceled"),0,1)</x:f>
        <x:v>1</x:v>
      </x:c>
      <x:c r="K9401" s="6" t="n">
        <x:f>IF(G9401&gt;H9401,1,0)</x:f>
        <x:v>1</x:v>
      </x:c>
      <x:c r="L9401" s="6" t="n">
        <x:f>J9401*K9401</x:f>
        <x:v>1</x:v>
      </x:c>
    </x:row>
    <x:row r="9402">
      <x:c r="A9402" s="1" t="n">
        <x:v>75765</x:v>
      </x:c>
      <x:c r="B9402" s="5" t="d">
        <x:v>2018-01-10T00:00:00.000Z</x:v>
      </x:c>
      <x:c r="C9402" s="1" t="str">
        <x:v>Standard Class</x:v>
      </x:c>
      <x:c r="D9402" s="1" t="str">
        <x:v>Pacific Asia</x:v>
      </x:c>
      <x:c r="E9402" s="1" t="str">
        <x:v>COMPLETE</x:v>
      </x:c>
      <x:c r="F9402" s="1" t="str">
        <x:v>Late delivery</x:v>
      </x:c>
      <x:c r="G9402" s="6" t="n">
        <x:v>6</x:v>
      </x:c>
      <x:c r="H9402" s="6" t="n">
        <x:v>4</x:v>
      </x:c>
      <x:c r="I9402" s="6" t="n">
        <x:f>G9402-H9402</x:f>
        <x:v>2</x:v>
      </x:c>
      <x:c r="J9402" s="6" t="n">
        <x:f>IF(OR(E9402="CANCELED",E9402="SUSPECTED_FRAUD",F9402="Shipping canceled"),0,1)</x:f>
        <x:v>1</x:v>
      </x:c>
      <x:c r="K9402" s="6" t="n">
        <x:f>IF(G9402&gt;H9402,1,0)</x:f>
        <x:v>1</x:v>
      </x:c>
      <x:c r="L9402" s="6" t="n">
        <x:f>J9402*K9402</x:f>
        <x:v>1</x:v>
      </x:c>
    </x:row>
    <x:row r="9403">
      <x:c r="A9403" s="1" t="n">
        <x:v>75766</x:v>
      </x:c>
      <x:c r="B9403" s="5" t="d">
        <x:v>2018-01-10T00:00:00.000Z</x:v>
      </x:c>
      <x:c r="C9403" s="1" t="str">
        <x:v>Standard Class</x:v>
      </x:c>
      <x:c r="D9403" s="1" t="str">
        <x:v>Pacific Asia</x:v>
      </x:c>
      <x:c r="E9403" s="1" t="str">
        <x:v>PENDING_PAYMENT</x:v>
      </x:c>
      <x:c r="F9403" s="1" t="str">
        <x:v>Advance shipping</x:v>
      </x:c>
      <x:c r="G9403" s="6" t="n">
        <x:v>2</x:v>
      </x:c>
      <x:c r="H9403" s="6" t="n">
        <x:v>4</x:v>
      </x:c>
      <x:c r="I9403" s="6" t="n">
        <x:f>G9403-H9403</x:f>
        <x:v>-2</x:v>
      </x:c>
      <x:c r="J9403" s="6" t="n">
        <x:f>IF(OR(E9403="CANCELED",E9403="SUSPECTED_FRAUD",F9403="Shipping canceled"),0,1)</x:f>
        <x:v>1</x:v>
      </x:c>
      <x:c r="K9403" s="6" t="n">
        <x:f>IF(G9403&gt;H9403,1,0)</x:f>
        <x:v>0</x:v>
      </x:c>
      <x:c r="L9403" s="6" t="n">
        <x:f>J9403*K9403</x:f>
        <x:v>0</x:v>
      </x:c>
    </x:row>
    <x:row r="9404">
      <x:c r="A9404" s="1" t="n">
        <x:v>75767</x:v>
      </x:c>
      <x:c r="B9404" s="5" t="d">
        <x:v>2018-01-11T00:00:00.000Z</x:v>
      </x:c>
      <x:c r="C9404" s="1" t="str">
        <x:v>Standard Class</x:v>
      </x:c>
      <x:c r="D9404" s="1" t="str">
        <x:v>Pacific Asia</x:v>
      </x:c>
      <x:c r="E9404" s="1" t="str">
        <x:v>PROCESSING</x:v>
      </x:c>
      <x:c r="F9404" s="1" t="str">
        <x:v>Advance shipping</x:v>
      </x:c>
      <x:c r="G9404" s="6" t="n">
        <x:v>3</x:v>
      </x:c>
      <x:c r="H9404" s="6" t="n">
        <x:v>4</x:v>
      </x:c>
      <x:c r="I9404" s="6" t="n">
        <x:f>G9404-H9404</x:f>
        <x:v>-1</x:v>
      </x:c>
      <x:c r="J9404" s="6" t="n">
        <x:f>IF(OR(E9404="CANCELED",E9404="SUSPECTED_FRAUD",F9404="Shipping canceled"),0,1)</x:f>
        <x:v>1</x:v>
      </x:c>
      <x:c r="K9404" s="6" t="n">
        <x:f>IF(G9404&gt;H9404,1,0)</x:f>
        <x:v>0</x:v>
      </x:c>
      <x:c r="L9404" s="6" t="n">
        <x:f>J9404*K9404</x:f>
        <x:v>0</x:v>
      </x:c>
    </x:row>
    <x:row r="9405">
      <x:c r="A9405" s="1" t="n">
        <x:v>75768</x:v>
      </x:c>
      <x:c r="B9405" s="5" t="d">
        <x:v>2018-01-11T00:00:00.000Z</x:v>
      </x:c>
      <x:c r="C9405" s="1" t="str">
        <x:v>Standard Class</x:v>
      </x:c>
      <x:c r="D9405" s="1" t="str">
        <x:v>Pacific Asia</x:v>
      </x:c>
      <x:c r="E9405" s="1" t="str">
        <x:v>COMPLETE</x:v>
      </x:c>
      <x:c r="F9405" s="1" t="str">
        <x:v>Shipping on time</x:v>
      </x:c>
      <x:c r="G9405" s="6" t="n">
        <x:v>4</x:v>
      </x:c>
      <x:c r="H9405" s="6" t="n">
        <x:v>4</x:v>
      </x:c>
      <x:c r="I9405" s="6" t="n">
        <x:f>G9405-H9405</x:f>
        <x:v>0</x:v>
      </x:c>
      <x:c r="J9405" s="6" t="n">
        <x:f>IF(OR(E9405="CANCELED",E9405="SUSPECTED_FRAUD",F9405="Shipping canceled"),0,1)</x:f>
        <x:v>1</x:v>
      </x:c>
      <x:c r="K9405" s="6" t="n">
        <x:f>IF(G9405&gt;H9405,1,0)</x:f>
        <x:v>0</x:v>
      </x:c>
      <x:c r="L9405" s="6" t="n">
        <x:f>J9405*K9405</x:f>
        <x:v>0</x:v>
      </x:c>
    </x:row>
    <x:row r="9406">
      <x:c r="A9406" s="1" t="n">
        <x:v>75769</x:v>
      </x:c>
      <x:c r="B9406" s="5" t="d">
        <x:v>2018-01-11T00:00:00.000Z</x:v>
      </x:c>
      <x:c r="C9406" s="1" t="str">
        <x:v>Standard Class</x:v>
      </x:c>
      <x:c r="D9406" s="1" t="str">
        <x:v>Pacific Asia</x:v>
      </x:c>
      <x:c r="E9406" s="1" t="str">
        <x:v>COMPLETE</x:v>
      </x:c>
      <x:c r="F9406" s="1" t="str">
        <x:v>Late delivery</x:v>
      </x:c>
      <x:c r="G9406" s="6" t="n">
        <x:v>5</x:v>
      </x:c>
      <x:c r="H9406" s="6" t="n">
        <x:v>4</x:v>
      </x:c>
      <x:c r="I9406" s="6" t="n">
        <x:f>G9406-H9406</x:f>
        <x:v>1</x:v>
      </x:c>
      <x:c r="J9406" s="6" t="n">
        <x:f>IF(OR(E9406="CANCELED",E9406="SUSPECTED_FRAUD",F9406="Shipping canceled"),0,1)</x:f>
        <x:v>1</x:v>
      </x:c>
      <x:c r="K9406" s="6" t="n">
        <x:f>IF(G9406&gt;H9406,1,0)</x:f>
        <x:v>1</x:v>
      </x:c>
      <x:c r="L9406" s="6" t="n">
        <x:f>J9406*K9406</x:f>
        <x:v>1</x:v>
      </x:c>
    </x:row>
    <x:row r="9407">
      <x:c r="A9407" s="1" t="n">
        <x:v>75770</x:v>
      </x:c>
      <x:c r="B9407" s="5" t="d">
        <x:v>2018-01-11T00:00:00.000Z</x:v>
      </x:c>
      <x:c r="C9407" s="1" t="str">
        <x:v>Standard Class</x:v>
      </x:c>
      <x:c r="D9407" s="1" t="str">
        <x:v>Pacific Asia</x:v>
      </x:c>
      <x:c r="E9407" s="1" t="str">
        <x:v>PENDING</x:v>
      </x:c>
      <x:c r="F9407" s="1" t="str">
        <x:v>Late delivery</x:v>
      </x:c>
      <x:c r="G9407" s="6" t="n">
        <x:v>6</x:v>
      </x:c>
      <x:c r="H9407" s="6" t="n">
        <x:v>4</x:v>
      </x:c>
      <x:c r="I9407" s="6" t="n">
        <x:f>G9407-H9407</x:f>
        <x:v>2</x:v>
      </x:c>
      <x:c r="J9407" s="6" t="n">
        <x:f>IF(OR(E9407="CANCELED",E9407="SUSPECTED_FRAUD",F9407="Shipping canceled"),0,1)</x:f>
        <x:v>1</x:v>
      </x:c>
      <x:c r="K9407" s="6" t="n">
        <x:f>IF(G9407&gt;H9407,1,0)</x:f>
        <x:v>1</x:v>
      </x:c>
      <x:c r="L9407" s="6" t="n">
        <x:f>J9407*K9407</x:f>
        <x:v>1</x:v>
      </x:c>
    </x:row>
    <x:row r="9408">
      <x:c r="A9408" s="1" t="n">
        <x:v>75771</x:v>
      </x:c>
      <x:c r="B9408" s="5" t="d">
        <x:v>2018-01-11T00:00:00.000Z</x:v>
      </x:c>
      <x:c r="C9408" s="1" t="str">
        <x:v>Same Day</x:v>
      </x:c>
      <x:c r="D9408" s="1" t="str">
        <x:v>Pacific Asia</x:v>
      </x:c>
      <x:c r="E9408" s="1" t="str">
        <x:v>PENDING</x:v>
      </x:c>
      <x:c r="F9408" s="1" t="str">
        <x:v>Shipping on time</x:v>
      </x:c>
      <x:c r="G9408" s="6" t="n">
        <x:v>0</x:v>
      </x:c>
      <x:c r="H9408" s="6" t="n">
        <x:v>0</x:v>
      </x:c>
      <x:c r="I9408" s="6" t="n">
        <x:f>G9408-H9408</x:f>
        <x:v>0</x:v>
      </x:c>
      <x:c r="J9408" s="6" t="n">
        <x:f>IF(OR(E9408="CANCELED",E9408="SUSPECTED_FRAUD",F9408="Shipping canceled"),0,1)</x:f>
        <x:v>1</x:v>
      </x:c>
      <x:c r="K9408" s="6" t="n">
        <x:f>IF(G9408&gt;H9408,1,0)</x:f>
        <x:v>0</x:v>
      </x:c>
      <x:c r="L9408" s="6" t="n">
        <x:f>J9408*K9408</x:f>
        <x:v>0</x:v>
      </x:c>
    </x:row>
    <x:row r="9409">
      <x:c r="A9409" s="1" t="n">
        <x:v>75772</x:v>
      </x:c>
      <x:c r="B9409" s="5" t="d">
        <x:v>2018-01-11T00:00:00.000Z</x:v>
      </x:c>
      <x:c r="C9409" s="1" t="str">
        <x:v>First Class</x:v>
      </x:c>
      <x:c r="D9409" s="1" t="str">
        <x:v>Pacific Asia</x:v>
      </x:c>
      <x:c r="E9409" s="1" t="str">
        <x:v>PENDING_PAYMENT</x:v>
      </x:c>
      <x:c r="F9409" s="1" t="str">
        <x:v>Late delivery</x:v>
      </x:c>
      <x:c r="G9409" s="6" t="n">
        <x:v>2</x:v>
      </x:c>
      <x:c r="H9409" s="6" t="n">
        <x:v>1</x:v>
      </x:c>
      <x:c r="I9409" s="6" t="n">
        <x:f>G9409-H9409</x:f>
        <x:v>1</x:v>
      </x:c>
      <x:c r="J9409" s="6" t="n">
        <x:f>IF(OR(E9409="CANCELED",E9409="SUSPECTED_FRAUD",F9409="Shipping canceled"),0,1)</x:f>
        <x:v>1</x:v>
      </x:c>
      <x:c r="K9409" s="6" t="n">
        <x:f>IF(G9409&gt;H9409,1,0)</x:f>
        <x:v>1</x:v>
      </x:c>
      <x:c r="L9409" s="6" t="n">
        <x:f>J9409*K9409</x:f>
        <x:v>1</x:v>
      </x:c>
    </x:row>
    <x:row r="9410">
      <x:c r="A9410" s="1" t="n">
        <x:v>75773</x:v>
      </x:c>
      <x:c r="B9410" s="5" t="d">
        <x:v>2018-01-11T00:00:00.000Z</x:v>
      </x:c>
      <x:c r="C9410" s="1" t="str">
        <x:v>First Class</x:v>
      </x:c>
      <x:c r="D9410" s="1" t="str">
        <x:v>Pacific Asia</x:v>
      </x:c>
      <x:c r="E9410" s="1" t="str">
        <x:v>CLOSED</x:v>
      </x:c>
      <x:c r="F9410" s="1" t="str">
        <x:v>Late delivery</x:v>
      </x:c>
      <x:c r="G9410" s="6" t="n">
        <x:v>2</x:v>
      </x:c>
      <x:c r="H9410" s="6" t="n">
        <x:v>1</x:v>
      </x:c>
      <x:c r="I9410" s="6" t="n">
        <x:f>G9410-H9410</x:f>
        <x:v>1</x:v>
      </x:c>
      <x:c r="J9410" s="6" t="n">
        <x:f>IF(OR(E9410="CANCELED",E9410="SUSPECTED_FRAUD",F9410="Shipping canceled"),0,1)</x:f>
        <x:v>1</x:v>
      </x:c>
      <x:c r="K9410" s="6" t="n">
        <x:f>IF(G9410&gt;H9410,1,0)</x:f>
        <x:v>1</x:v>
      </x:c>
      <x:c r="L9410" s="6" t="n">
        <x:f>J9410*K9410</x:f>
        <x:v>1</x:v>
      </x:c>
    </x:row>
    <x:row r="9411">
      <x:c r="A9411" s="1" t="n">
        <x:v>75774</x:v>
      </x:c>
      <x:c r="B9411" s="5" t="d">
        <x:v>2018-01-11T00:00:00.000Z</x:v>
      </x:c>
      <x:c r="C9411" s="1" t="str">
        <x:v>First Class</x:v>
      </x:c>
      <x:c r="D9411" s="1" t="str">
        <x:v>Pacific Asia</x:v>
      </x:c>
      <x:c r="E9411" s="1" t="str">
        <x:v>COMPLETE</x:v>
      </x:c>
      <x:c r="F9411" s="1" t="str">
        <x:v>Late delivery</x:v>
      </x:c>
      <x:c r="G9411" s="6" t="n">
        <x:v>2</x:v>
      </x:c>
      <x:c r="H9411" s="6" t="n">
        <x:v>1</x:v>
      </x:c>
      <x:c r="I9411" s="6" t="n">
        <x:f>G9411-H9411</x:f>
        <x:v>1</x:v>
      </x:c>
      <x:c r="J9411" s="6" t="n">
        <x:f>IF(OR(E9411="CANCELED",E9411="SUSPECTED_FRAUD",F9411="Shipping canceled"),0,1)</x:f>
        <x:v>1</x:v>
      </x:c>
      <x:c r="K9411" s="6" t="n">
        <x:f>IF(G9411&gt;H9411,1,0)</x:f>
        <x:v>1</x:v>
      </x:c>
      <x:c r="L9411" s="6" t="n">
        <x:f>J9411*K9411</x:f>
        <x:v>1</x:v>
      </x:c>
    </x:row>
    <x:row r="9412">
      <x:c r="A9412" s="1" t="n">
        <x:v>75775</x:v>
      </x:c>
      <x:c r="B9412" s="5" t="d">
        <x:v>2018-01-11T00:00:00.000Z</x:v>
      </x:c>
      <x:c r="C9412" s="1" t="str">
        <x:v>First Class</x:v>
      </x:c>
      <x:c r="D9412" s="1" t="str">
        <x:v>Pacific Asia</x:v>
      </x:c>
      <x:c r="E9412" s="1" t="str">
        <x:v>COMPLETE</x:v>
      </x:c>
      <x:c r="F9412" s="1" t="str">
        <x:v>Late delivery</x:v>
      </x:c>
      <x:c r="G9412" s="6" t="n">
        <x:v>2</x:v>
      </x:c>
      <x:c r="H9412" s="6" t="n">
        <x:v>1</x:v>
      </x:c>
      <x:c r="I9412" s="6" t="n">
        <x:f>G9412-H9412</x:f>
        <x:v>1</x:v>
      </x:c>
      <x:c r="J9412" s="6" t="n">
        <x:f>IF(OR(E9412="CANCELED",E9412="SUSPECTED_FRAUD",F9412="Shipping canceled"),0,1)</x:f>
        <x:v>1</x:v>
      </x:c>
      <x:c r="K9412" s="6" t="n">
        <x:f>IF(G9412&gt;H9412,1,0)</x:f>
        <x:v>1</x:v>
      </x:c>
      <x:c r="L9412" s="6" t="n">
        <x:f>J9412*K9412</x:f>
        <x:v>1</x:v>
      </x:c>
    </x:row>
    <x:row r="9413">
      <x:c r="A9413" s="1" t="n">
        <x:v>75776</x:v>
      </x:c>
      <x:c r="B9413" s="5" t="d">
        <x:v>2018-01-11T00:00:00.000Z</x:v>
      </x:c>
      <x:c r="C9413" s="1" t="str">
        <x:v>First Class</x:v>
      </x:c>
      <x:c r="D9413" s="1" t="str">
        <x:v>Pacific Asia</x:v>
      </x:c>
      <x:c r="E9413" s="1" t="str">
        <x:v>COMPLETE</x:v>
      </x:c>
      <x:c r="F9413" s="1" t="str">
        <x:v>Late delivery</x:v>
      </x:c>
      <x:c r="G9413" s="6" t="n">
        <x:v>2</x:v>
      </x:c>
      <x:c r="H9413" s="6" t="n">
        <x:v>1</x:v>
      </x:c>
      <x:c r="I9413" s="6" t="n">
        <x:f>G9413-H9413</x:f>
        <x:v>1</x:v>
      </x:c>
      <x:c r="J9413" s="6" t="n">
        <x:f>IF(OR(E9413="CANCELED",E9413="SUSPECTED_FRAUD",F9413="Shipping canceled"),0,1)</x:f>
        <x:v>1</x:v>
      </x:c>
      <x:c r="K9413" s="6" t="n">
        <x:f>IF(G9413&gt;H9413,1,0)</x:f>
        <x:v>1</x:v>
      </x:c>
      <x:c r="L9413" s="6" t="n">
        <x:f>J9413*K9413</x:f>
        <x:v>1</x:v>
      </x:c>
    </x:row>
    <x:row r="9414">
      <x:c r="A9414" s="1" t="n">
        <x:v>75777</x:v>
      </x:c>
      <x:c r="B9414" s="5" t="d">
        <x:v>2018-01-11T00:00:00.000Z</x:v>
      </x:c>
      <x:c r="C9414" s="1" t="str">
        <x:v>Second Class</x:v>
      </x:c>
      <x:c r="D9414" s="1" t="str">
        <x:v>Pacific Asia</x:v>
      </x:c>
      <x:c r="E9414" s="1" t="str">
        <x:v>COMPLETE</x:v>
      </x:c>
      <x:c r="F9414" s="1" t="str">
        <x:v>Late delivery</x:v>
      </x:c>
      <x:c r="G9414" s="6" t="n">
        <x:v>3</x:v>
      </x:c>
      <x:c r="H9414" s="6" t="n">
        <x:v>2</x:v>
      </x:c>
      <x:c r="I9414" s="6" t="n">
        <x:f>G9414-H9414</x:f>
        <x:v>1</x:v>
      </x:c>
      <x:c r="J9414" s="6" t="n">
        <x:f>IF(OR(E9414="CANCELED",E9414="SUSPECTED_FRAUD",F9414="Shipping canceled"),0,1)</x:f>
        <x:v>1</x:v>
      </x:c>
      <x:c r="K9414" s="6" t="n">
        <x:f>IF(G9414&gt;H9414,1,0)</x:f>
        <x:v>1</x:v>
      </x:c>
      <x:c r="L9414" s="6" t="n">
        <x:f>J9414*K9414</x:f>
        <x:v>1</x:v>
      </x:c>
    </x:row>
    <x:row r="9415">
      <x:c r="A9415" s="1" t="n">
        <x:v>75778</x:v>
      </x:c>
      <x:c r="B9415" s="5" t="d">
        <x:v>2018-01-11T00:00:00.000Z</x:v>
      </x:c>
      <x:c r="C9415" s="1" t="str">
        <x:v>Second Class</x:v>
      </x:c>
      <x:c r="D9415" s="1" t="str">
        <x:v>Pacific Asia</x:v>
      </x:c>
      <x:c r="E9415" s="1" t="str">
        <x:v>ON_HOLD</x:v>
      </x:c>
      <x:c r="F9415" s="1" t="str">
        <x:v>Late delivery</x:v>
      </x:c>
      <x:c r="G9415" s="6" t="n">
        <x:v>4</x:v>
      </x:c>
      <x:c r="H9415" s="6" t="n">
        <x:v>2</x:v>
      </x:c>
      <x:c r="I9415" s="6" t="n">
        <x:f>G9415-H9415</x:f>
        <x:v>2</x:v>
      </x:c>
      <x:c r="J9415" s="6" t="n">
        <x:f>IF(OR(E9415="CANCELED",E9415="SUSPECTED_FRAUD",F9415="Shipping canceled"),0,1)</x:f>
        <x:v>1</x:v>
      </x:c>
      <x:c r="K9415" s="6" t="n">
        <x:f>IF(G9415&gt;H9415,1,0)</x:f>
        <x:v>1</x:v>
      </x:c>
      <x:c r="L9415" s="6" t="n">
        <x:f>J9415*K9415</x:f>
        <x:v>1</x:v>
      </x:c>
    </x:row>
    <x:row r="9416">
      <x:c r="A9416" s="1" t="n">
        <x:v>75779</x:v>
      </x:c>
      <x:c r="B9416" s="5" t="d">
        <x:v>2018-01-11T00:00:00.000Z</x:v>
      </x:c>
      <x:c r="C9416" s="1" t="str">
        <x:v>Second Class</x:v>
      </x:c>
      <x:c r="D9416" s="1" t="str">
        <x:v>Pacific Asia</x:v>
      </x:c>
      <x:c r="E9416" s="1" t="str">
        <x:v>COMPLETE</x:v>
      </x:c>
      <x:c r="F9416" s="1" t="str">
        <x:v>Late delivery</x:v>
      </x:c>
      <x:c r="G9416" s="6" t="n">
        <x:v>5</x:v>
      </x:c>
      <x:c r="H9416" s="6" t="n">
        <x:v>2</x:v>
      </x:c>
      <x:c r="I9416" s="6" t="n">
        <x:f>G9416-H9416</x:f>
        <x:v>3</x:v>
      </x:c>
      <x:c r="J9416" s="6" t="n">
        <x:f>IF(OR(E9416="CANCELED",E9416="SUSPECTED_FRAUD",F9416="Shipping canceled"),0,1)</x:f>
        <x:v>1</x:v>
      </x:c>
      <x:c r="K9416" s="6" t="n">
        <x:f>IF(G9416&gt;H9416,1,0)</x:f>
        <x:v>1</x:v>
      </x:c>
      <x:c r="L9416" s="6" t="n">
        <x:f>J9416*K9416</x:f>
        <x:v>1</x:v>
      </x:c>
    </x:row>
    <x:row r="9417">
      <x:c r="A9417" s="1" t="n">
        <x:v>75780</x:v>
      </x:c>
      <x:c r="B9417" s="5" t="d">
        <x:v>2018-01-11T00:00:00.000Z</x:v>
      </x:c>
      <x:c r="C9417" s="1" t="str">
        <x:v>Standard Class</x:v>
      </x:c>
      <x:c r="D9417" s="1" t="str">
        <x:v>Pacific Asia</x:v>
      </x:c>
      <x:c r="E9417" s="1" t="str">
        <x:v>CANCELED</x:v>
      </x:c>
      <x:c r="F9417" s="1" t="str">
        <x:v>Shipping canceled</x:v>
      </x:c>
      <x:c r="G9417" s="6" t="n">
        <x:v>6</x:v>
      </x:c>
      <x:c r="H9417" s="6" t="n">
        <x:v>4</x:v>
      </x:c>
      <x:c r="I9417" s="6" t="n">
        <x:f>G9417-H9417</x:f>
        <x:v>2</x:v>
      </x:c>
      <x:c r="J9417" s="6" t="n">
        <x:f>IF(OR(E9417="CANCELED",E9417="SUSPECTED_FRAUD",F9417="Shipping canceled"),0,1)</x:f>
        <x:v>0</x:v>
      </x:c>
      <x:c r="K9417" s="6" t="n">
        <x:f>IF(G9417&gt;H9417,1,0)</x:f>
        <x:v>1</x:v>
      </x:c>
      <x:c r="L9417" s="6" t="n">
        <x:f>J9417*K9417</x:f>
        <x:v>0</x:v>
      </x:c>
    </x:row>
    <x:row r="9418">
      <x:c r="A9418" s="1" t="n">
        <x:v>75781</x:v>
      </x:c>
      <x:c r="B9418" s="5" t="d">
        <x:v>2018-01-11T00:00:00.000Z</x:v>
      </x:c>
      <x:c r="C9418" s="1" t="str">
        <x:v>Standard Class</x:v>
      </x:c>
      <x:c r="D9418" s="1" t="str">
        <x:v>Pacific Asia</x:v>
      </x:c>
      <x:c r="E9418" s="1" t="str">
        <x:v>PENDING_PAYMENT</x:v>
      </x:c>
      <x:c r="F9418" s="1" t="str">
        <x:v>Advance shipping</x:v>
      </x:c>
      <x:c r="G9418" s="6" t="n">
        <x:v>2</x:v>
      </x:c>
      <x:c r="H9418" s="6" t="n">
        <x:v>4</x:v>
      </x:c>
      <x:c r="I9418" s="6" t="n">
        <x:f>G9418-H9418</x:f>
        <x:v>-2</x:v>
      </x:c>
      <x:c r="J9418" s="6" t="n">
        <x:f>IF(OR(E9418="CANCELED",E9418="SUSPECTED_FRAUD",F9418="Shipping canceled"),0,1)</x:f>
        <x:v>1</x:v>
      </x:c>
      <x:c r="K9418" s="6" t="n">
        <x:f>IF(G9418&gt;H9418,1,0)</x:f>
        <x:v>0</x:v>
      </x:c>
      <x:c r="L9418" s="6" t="n">
        <x:f>J9418*K9418</x:f>
        <x:v>0</x:v>
      </x:c>
    </x:row>
    <x:row r="9419">
      <x:c r="A9419" s="1" t="n">
        <x:v>75782</x:v>
      </x:c>
      <x:c r="B9419" s="5" t="d">
        <x:v>2018-01-11T00:00:00.000Z</x:v>
      </x:c>
      <x:c r="C9419" s="1" t="str">
        <x:v>Standard Class</x:v>
      </x:c>
      <x:c r="D9419" s="1" t="str">
        <x:v>Pacific Asia</x:v>
      </x:c>
      <x:c r="E9419" s="1" t="str">
        <x:v>ON_HOLD</x:v>
      </x:c>
      <x:c r="F9419" s="1" t="str">
        <x:v>Advance shipping</x:v>
      </x:c>
      <x:c r="G9419" s="6" t="n">
        <x:v>3</x:v>
      </x:c>
      <x:c r="H9419" s="6" t="n">
        <x:v>4</x:v>
      </x:c>
      <x:c r="I9419" s="6" t="n">
        <x:f>G9419-H9419</x:f>
        <x:v>-1</x:v>
      </x:c>
      <x:c r="J9419" s="6" t="n">
        <x:f>IF(OR(E9419="CANCELED",E9419="SUSPECTED_FRAUD",F9419="Shipping canceled"),0,1)</x:f>
        <x:v>1</x:v>
      </x:c>
      <x:c r="K9419" s="6" t="n">
        <x:f>IF(G9419&gt;H9419,1,0)</x:f>
        <x:v>0</x:v>
      </x:c>
      <x:c r="L9419" s="6" t="n">
        <x:f>J9419*K9419</x:f>
        <x:v>0</x:v>
      </x:c>
    </x:row>
    <x:row r="9420">
      <x:c r="A9420" s="1" t="n">
        <x:v>75783</x:v>
      </x:c>
      <x:c r="B9420" s="5" t="d">
        <x:v>2018-01-11T00:00:00.000Z</x:v>
      </x:c>
      <x:c r="C9420" s="1" t="str">
        <x:v>Standard Class</x:v>
      </x:c>
      <x:c r="D9420" s="1" t="str">
        <x:v>Pacific Asia</x:v>
      </x:c>
      <x:c r="E9420" s="1" t="str">
        <x:v>COMPLETE</x:v>
      </x:c>
      <x:c r="F9420" s="1" t="str">
        <x:v>Shipping on time</x:v>
      </x:c>
      <x:c r="G9420" s="6" t="n">
        <x:v>4</x:v>
      </x:c>
      <x:c r="H9420" s="6" t="n">
        <x:v>4</x:v>
      </x:c>
      <x:c r="I9420" s="6" t="n">
        <x:f>G9420-H9420</x:f>
        <x:v>0</x:v>
      </x:c>
      <x:c r="J9420" s="6" t="n">
        <x:f>IF(OR(E9420="CANCELED",E9420="SUSPECTED_FRAUD",F9420="Shipping canceled"),0,1)</x:f>
        <x:v>1</x:v>
      </x:c>
      <x:c r="K9420" s="6" t="n">
        <x:f>IF(G9420&gt;H9420,1,0)</x:f>
        <x:v>0</x:v>
      </x:c>
      <x:c r="L9420" s="6" t="n">
        <x:f>J9420*K9420</x:f>
        <x:v>0</x:v>
      </x:c>
    </x:row>
    <x:row r="9421">
      <x:c r="A9421" s="1" t="n">
        <x:v>75784</x:v>
      </x:c>
      <x:c r="B9421" s="5" t="d">
        <x:v>2018-01-11T00:00:00.000Z</x:v>
      </x:c>
      <x:c r="C9421" s="1" t="str">
        <x:v>Standard Class</x:v>
      </x:c>
      <x:c r="D9421" s="1" t="str">
        <x:v>Pacific Asia</x:v>
      </x:c>
      <x:c r="E9421" s="1" t="str">
        <x:v>PENDING_PAYMENT</x:v>
      </x:c>
      <x:c r="F9421" s="1" t="str">
        <x:v>Late delivery</x:v>
      </x:c>
      <x:c r="G9421" s="6" t="n">
        <x:v>5</x:v>
      </x:c>
      <x:c r="H9421" s="6" t="n">
        <x:v>4</x:v>
      </x:c>
      <x:c r="I9421" s="6" t="n">
        <x:f>G9421-H9421</x:f>
        <x:v>1</x:v>
      </x:c>
      <x:c r="J9421" s="6" t="n">
        <x:f>IF(OR(E9421="CANCELED",E9421="SUSPECTED_FRAUD",F9421="Shipping canceled"),0,1)</x:f>
        <x:v>1</x:v>
      </x:c>
      <x:c r="K9421" s="6" t="n">
        <x:f>IF(G9421&gt;H9421,1,0)</x:f>
        <x:v>1</x:v>
      </x:c>
      <x:c r="L9421" s="6" t="n">
        <x:f>J9421*K9421</x:f>
        <x:v>1</x:v>
      </x:c>
    </x:row>
    <x:row r="9422">
      <x:c r="A9422" s="1" t="n">
        <x:v>75785</x:v>
      </x:c>
      <x:c r="B9422" s="5" t="d">
        <x:v>2018-01-11T00:00:00.000Z</x:v>
      </x:c>
      <x:c r="C9422" s="1" t="str">
        <x:v>Standard Class</x:v>
      </x:c>
      <x:c r="D9422" s="1" t="str">
        <x:v>Pacific Asia</x:v>
      </x:c>
      <x:c r="E9422" s="1" t="str">
        <x:v>COMPLETE</x:v>
      </x:c>
      <x:c r="F9422" s="1" t="str">
        <x:v>Late delivery</x:v>
      </x:c>
      <x:c r="G9422" s="6" t="n">
        <x:v>6</x:v>
      </x:c>
      <x:c r="H9422" s="6" t="n">
        <x:v>4</x:v>
      </x:c>
      <x:c r="I9422" s="6" t="n">
        <x:f>G9422-H9422</x:f>
        <x:v>2</x:v>
      </x:c>
      <x:c r="J9422" s="6" t="n">
        <x:f>IF(OR(E9422="CANCELED",E9422="SUSPECTED_FRAUD",F9422="Shipping canceled"),0,1)</x:f>
        <x:v>1</x:v>
      </x:c>
      <x:c r="K9422" s="6" t="n">
        <x:f>IF(G9422&gt;H9422,1,0)</x:f>
        <x:v>1</x:v>
      </x:c>
      <x:c r="L9422" s="6" t="n">
        <x:f>J9422*K9422</x:f>
        <x:v>1</x:v>
      </x:c>
    </x:row>
    <x:row r="9423">
      <x:c r="A9423" s="1" t="n">
        <x:v>75786</x:v>
      </x:c>
      <x:c r="B9423" s="5" t="d">
        <x:v>2018-01-11T00:00:00.000Z</x:v>
      </x:c>
      <x:c r="C9423" s="1" t="str">
        <x:v>First Class</x:v>
      </x:c>
      <x:c r="D9423" s="1" t="str">
        <x:v>Pacific Asia</x:v>
      </x:c>
      <x:c r="E9423" s="1" t="str">
        <x:v>PROCESSING</x:v>
      </x:c>
      <x:c r="F9423" s="1" t="str">
        <x:v>Late delivery</x:v>
      </x:c>
      <x:c r="G9423" s="6" t="n">
        <x:v>2</x:v>
      </x:c>
      <x:c r="H9423" s="6" t="n">
        <x:v>1</x:v>
      </x:c>
      <x:c r="I9423" s="6" t="n">
        <x:f>G9423-H9423</x:f>
        <x:v>1</x:v>
      </x:c>
      <x:c r="J9423" s="6" t="n">
        <x:f>IF(OR(E9423="CANCELED",E9423="SUSPECTED_FRAUD",F9423="Shipping canceled"),0,1)</x:f>
        <x:v>1</x:v>
      </x:c>
      <x:c r="K9423" s="6" t="n">
        <x:f>IF(G9423&gt;H9423,1,0)</x:f>
        <x:v>1</x:v>
      </x:c>
      <x:c r="L9423" s="6" t="n">
        <x:f>J9423*K9423</x:f>
        <x:v>1</x:v>
      </x:c>
    </x:row>
    <x:row r="9424">
      <x:c r="A9424" s="1" t="n">
        <x:v>75787</x:v>
      </x:c>
      <x:c r="B9424" s="5" t="d">
        <x:v>2018-01-11T00:00:00.000Z</x:v>
      </x:c>
      <x:c r="C9424" s="1" t="str">
        <x:v>First Class</x:v>
      </x:c>
      <x:c r="D9424" s="1" t="str">
        <x:v>Pacific Asia</x:v>
      </x:c>
      <x:c r="E9424" s="1" t="str">
        <x:v>CLOSED</x:v>
      </x:c>
      <x:c r="F9424" s="1" t="str">
        <x:v>Late delivery</x:v>
      </x:c>
      <x:c r="G9424" s="6" t="n">
        <x:v>2</x:v>
      </x:c>
      <x:c r="H9424" s="6" t="n">
        <x:v>1</x:v>
      </x:c>
      <x:c r="I9424" s="6" t="n">
        <x:f>G9424-H9424</x:f>
        <x:v>1</x:v>
      </x:c>
      <x:c r="J9424" s="6" t="n">
        <x:f>IF(OR(E9424="CANCELED",E9424="SUSPECTED_FRAUD",F9424="Shipping canceled"),0,1)</x:f>
        <x:v>1</x:v>
      </x:c>
      <x:c r="K9424" s="6" t="n">
        <x:f>IF(G9424&gt;H9424,1,0)</x:f>
        <x:v>1</x:v>
      </x:c>
      <x:c r="L9424" s="6" t="n">
        <x:f>J9424*K9424</x:f>
        <x:v>1</x:v>
      </x:c>
    </x:row>
    <x:row r="9425">
      <x:c r="A9425" s="1" t="n">
        <x:v>75788</x:v>
      </x:c>
      <x:c r="B9425" s="5" t="d">
        <x:v>2018-01-11T00:00:00.000Z</x:v>
      </x:c>
      <x:c r="C9425" s="1" t="str">
        <x:v>First Class</x:v>
      </x:c>
      <x:c r="D9425" s="1" t="str">
        <x:v>Pacific Asia</x:v>
      </x:c>
      <x:c r="E9425" s="1" t="str">
        <x:v>PENDING</x:v>
      </x:c>
      <x:c r="F9425" s="1" t="str">
        <x:v>Late delivery</x:v>
      </x:c>
      <x:c r="G9425" s="6" t="n">
        <x:v>2</x:v>
      </x:c>
      <x:c r="H9425" s="6" t="n">
        <x:v>1</x:v>
      </x:c>
      <x:c r="I9425" s="6" t="n">
        <x:f>G9425-H9425</x:f>
        <x:v>1</x:v>
      </x:c>
      <x:c r="J9425" s="6" t="n">
        <x:f>IF(OR(E9425="CANCELED",E9425="SUSPECTED_FRAUD",F9425="Shipping canceled"),0,1)</x:f>
        <x:v>1</x:v>
      </x:c>
      <x:c r="K9425" s="6" t="n">
        <x:f>IF(G9425&gt;H9425,1,0)</x:f>
        <x:v>1</x:v>
      </x:c>
      <x:c r="L9425" s="6" t="n">
        <x:f>J9425*K9425</x:f>
        <x:v>1</x:v>
      </x:c>
    </x:row>
    <x:row r="9426">
      <x:c r="A9426" s="1" t="n">
        <x:v>75789</x:v>
      </x:c>
      <x:c r="B9426" s="5" t="d">
        <x:v>2018-01-11T00:00:00.000Z</x:v>
      </x:c>
      <x:c r="C9426" s="1" t="str">
        <x:v>First Class</x:v>
      </x:c>
      <x:c r="D9426" s="1" t="str">
        <x:v>Pacific Asia</x:v>
      </x:c>
      <x:c r="E9426" s="1" t="str">
        <x:v>PROCESSING</x:v>
      </x:c>
      <x:c r="F9426" s="1" t="str">
        <x:v>Late delivery</x:v>
      </x:c>
      <x:c r="G9426" s="6" t="n">
        <x:v>2</x:v>
      </x:c>
      <x:c r="H9426" s="6" t="n">
        <x:v>1</x:v>
      </x:c>
      <x:c r="I9426" s="6" t="n">
        <x:f>G9426-H9426</x:f>
        <x:v>1</x:v>
      </x:c>
      <x:c r="J9426" s="6" t="n">
        <x:f>IF(OR(E9426="CANCELED",E9426="SUSPECTED_FRAUD",F9426="Shipping canceled"),0,1)</x:f>
        <x:v>1</x:v>
      </x:c>
      <x:c r="K9426" s="6" t="n">
        <x:f>IF(G9426&gt;H9426,1,0)</x:f>
        <x:v>1</x:v>
      </x:c>
      <x:c r="L9426" s="6" t="n">
        <x:f>J9426*K9426</x:f>
        <x:v>1</x:v>
      </x:c>
    </x:row>
    <x:row r="9427">
      <x:c r="A9427" s="1" t="n">
        <x:v>75790</x:v>
      </x:c>
      <x:c r="B9427" s="5" t="d">
        <x:v>2018-01-11T00:00:00.000Z</x:v>
      </x:c>
      <x:c r="C9427" s="1" t="str">
        <x:v>Second Class</x:v>
      </x:c>
      <x:c r="D9427" s="1" t="str">
        <x:v>Pacific Asia</x:v>
      </x:c>
      <x:c r="E9427" s="1" t="str">
        <x:v>PROCESSING</x:v>
      </x:c>
      <x:c r="F9427" s="1" t="str">
        <x:v>Late delivery</x:v>
      </x:c>
      <x:c r="G9427" s="6" t="n">
        <x:v>6</x:v>
      </x:c>
      <x:c r="H9427" s="6" t="n">
        <x:v>2</x:v>
      </x:c>
      <x:c r="I9427" s="6" t="n">
        <x:f>G9427-H9427</x:f>
        <x:v>4</x:v>
      </x:c>
      <x:c r="J9427" s="6" t="n">
        <x:f>IF(OR(E9427="CANCELED",E9427="SUSPECTED_FRAUD",F9427="Shipping canceled"),0,1)</x:f>
        <x:v>1</x:v>
      </x:c>
      <x:c r="K9427" s="6" t="n">
        <x:f>IF(G9427&gt;H9427,1,0)</x:f>
        <x:v>1</x:v>
      </x:c>
      <x:c r="L9427" s="6" t="n">
        <x:f>J9427*K9427</x:f>
        <x:v>1</x:v>
      </x:c>
    </x:row>
    <x:row r="9428">
      <x:c r="A9428" s="1" t="n">
        <x:v>75791</x:v>
      </x:c>
      <x:c r="B9428" s="5" t="d">
        <x:v>2018-01-11T00:00:00.000Z</x:v>
      </x:c>
      <x:c r="C9428" s="1" t="str">
        <x:v>Second Class</x:v>
      </x:c>
      <x:c r="D9428" s="1" t="str">
        <x:v>Pacific Asia</x:v>
      </x:c>
      <x:c r="E9428" s="1" t="str">
        <x:v>PENDING</x:v>
      </x:c>
      <x:c r="F9428" s="1" t="str">
        <x:v>Shipping on time</x:v>
      </x:c>
      <x:c r="G9428" s="6" t="n">
        <x:v>2</x:v>
      </x:c>
      <x:c r="H9428" s="6" t="n">
        <x:v>2</x:v>
      </x:c>
      <x:c r="I9428" s="6" t="n">
        <x:f>G9428-H9428</x:f>
        <x:v>0</x:v>
      </x:c>
      <x:c r="J9428" s="6" t="n">
        <x:f>IF(OR(E9428="CANCELED",E9428="SUSPECTED_FRAUD",F9428="Shipping canceled"),0,1)</x:f>
        <x:v>1</x:v>
      </x:c>
      <x:c r="K9428" s="6" t="n">
        <x:f>IF(G9428&gt;H9428,1,0)</x:f>
        <x:v>0</x:v>
      </x:c>
      <x:c r="L9428" s="6" t="n">
        <x:f>J9428*K9428</x:f>
        <x:v>0</x:v>
      </x:c>
    </x:row>
    <x:row r="9429">
      <x:c r="A9429" s="1" t="n">
        <x:v>75792</x:v>
      </x:c>
      <x:c r="B9429" s="5" t="d">
        <x:v>2018-01-11T00:00:00.000Z</x:v>
      </x:c>
      <x:c r="C9429" s="1" t="str">
        <x:v>Standard Class</x:v>
      </x:c>
      <x:c r="D9429" s="1" t="str">
        <x:v>Pacific Asia</x:v>
      </x:c>
      <x:c r="E9429" s="1" t="str">
        <x:v>PENDING_PAYMENT</x:v>
      </x:c>
      <x:c r="F9429" s="1" t="str">
        <x:v>Advance shipping</x:v>
      </x:c>
      <x:c r="G9429" s="6" t="n">
        <x:v>3</x:v>
      </x:c>
      <x:c r="H9429" s="6" t="n">
        <x:v>4</x:v>
      </x:c>
      <x:c r="I9429" s="6" t="n">
        <x:f>G9429-H9429</x:f>
        <x:v>-1</x:v>
      </x:c>
      <x:c r="J9429" s="6" t="n">
        <x:f>IF(OR(E9429="CANCELED",E9429="SUSPECTED_FRAUD",F9429="Shipping canceled"),0,1)</x:f>
        <x:v>1</x:v>
      </x:c>
      <x:c r="K9429" s="6" t="n">
        <x:f>IF(G9429&gt;H9429,1,0)</x:f>
        <x:v>0</x:v>
      </x:c>
      <x:c r="L9429" s="6" t="n">
        <x:f>J9429*K9429</x:f>
        <x:v>0</x:v>
      </x:c>
    </x:row>
    <x:row r="9430">
      <x:c r="A9430" s="1" t="n">
        <x:v>75793</x:v>
      </x:c>
      <x:c r="B9430" s="5" t="d">
        <x:v>2018-01-11T00:00:00.000Z</x:v>
      </x:c>
      <x:c r="C9430" s="1" t="str">
        <x:v>Standard Class</x:v>
      </x:c>
      <x:c r="D9430" s="1" t="str">
        <x:v>Pacific Asia</x:v>
      </x:c>
      <x:c r="E9430" s="1" t="str">
        <x:v>PENDING_PAYMENT</x:v>
      </x:c>
      <x:c r="F9430" s="1" t="str">
        <x:v>Shipping on time</x:v>
      </x:c>
      <x:c r="G9430" s="6" t="n">
        <x:v>4</x:v>
      </x:c>
      <x:c r="H9430" s="6" t="n">
        <x:v>4</x:v>
      </x:c>
      <x:c r="I9430" s="6" t="n">
        <x:f>G9430-H9430</x:f>
        <x:v>0</x:v>
      </x:c>
      <x:c r="J9430" s="6" t="n">
        <x:f>IF(OR(E9430="CANCELED",E9430="SUSPECTED_FRAUD",F9430="Shipping canceled"),0,1)</x:f>
        <x:v>1</x:v>
      </x:c>
      <x:c r="K9430" s="6" t="n">
        <x:f>IF(G9430&gt;H9430,1,0)</x:f>
        <x:v>0</x:v>
      </x:c>
      <x:c r="L9430" s="6" t="n">
        <x:f>J9430*K9430</x:f>
        <x:v>0</x:v>
      </x:c>
    </x:row>
    <x:row r="9431">
      <x:c r="A9431" s="1" t="n">
        <x:v>75794</x:v>
      </x:c>
      <x:c r="B9431" s="5" t="d">
        <x:v>2018-01-11T00:00:00.000Z</x:v>
      </x:c>
      <x:c r="C9431" s="1" t="str">
        <x:v>Standard Class</x:v>
      </x:c>
      <x:c r="D9431" s="1" t="str">
        <x:v>Pacific Asia</x:v>
      </x:c>
      <x:c r="E9431" s="1" t="str">
        <x:v>CLOSED</x:v>
      </x:c>
      <x:c r="F9431" s="1" t="str">
        <x:v>Late delivery</x:v>
      </x:c>
      <x:c r="G9431" s="6" t="n">
        <x:v>5</x:v>
      </x:c>
      <x:c r="H9431" s="6" t="n">
        <x:v>4</x:v>
      </x:c>
      <x:c r="I9431" s="6" t="n">
        <x:f>G9431-H9431</x:f>
        <x:v>1</x:v>
      </x:c>
      <x:c r="J9431" s="6" t="n">
        <x:f>IF(OR(E9431="CANCELED",E9431="SUSPECTED_FRAUD",F9431="Shipping canceled"),0,1)</x:f>
        <x:v>1</x:v>
      </x:c>
      <x:c r="K9431" s="6" t="n">
        <x:f>IF(G9431&gt;H9431,1,0)</x:f>
        <x:v>1</x:v>
      </x:c>
      <x:c r="L9431" s="6" t="n">
        <x:f>J9431*K9431</x:f>
        <x:v>1</x:v>
      </x:c>
    </x:row>
    <x:row r="9432">
      <x:c r="A9432" s="1" t="n">
        <x:v>75795</x:v>
      </x:c>
      <x:c r="B9432" s="5" t="d">
        <x:v>2018-01-11T00:00:00.000Z</x:v>
      </x:c>
      <x:c r="C9432" s="1" t="str">
        <x:v>Standard Class</x:v>
      </x:c>
      <x:c r="D9432" s="1" t="str">
        <x:v>Pacific Asia</x:v>
      </x:c>
      <x:c r="E9432" s="1" t="str">
        <x:v>COMPLETE</x:v>
      </x:c>
      <x:c r="F9432" s="1" t="str">
        <x:v>Late delivery</x:v>
      </x:c>
      <x:c r="G9432" s="6" t="n">
        <x:v>6</x:v>
      </x:c>
      <x:c r="H9432" s="6" t="n">
        <x:v>4</x:v>
      </x:c>
      <x:c r="I9432" s="6" t="n">
        <x:f>G9432-H9432</x:f>
        <x:v>2</x:v>
      </x:c>
      <x:c r="J9432" s="6" t="n">
        <x:f>IF(OR(E9432="CANCELED",E9432="SUSPECTED_FRAUD",F9432="Shipping canceled"),0,1)</x:f>
        <x:v>1</x:v>
      </x:c>
      <x:c r="K9432" s="6" t="n">
        <x:f>IF(G9432&gt;H9432,1,0)</x:f>
        <x:v>1</x:v>
      </x:c>
      <x:c r="L9432" s="6" t="n">
        <x:f>J9432*K9432</x:f>
        <x:v>1</x:v>
      </x:c>
    </x:row>
    <x:row r="9433">
      <x:c r="A9433" s="1" t="n">
        <x:v>75796</x:v>
      </x:c>
      <x:c r="B9433" s="5" t="d">
        <x:v>2018-01-11T00:00:00.000Z</x:v>
      </x:c>
      <x:c r="C9433" s="1" t="str">
        <x:v>Second Class</x:v>
      </x:c>
      <x:c r="D9433" s="1" t="str">
        <x:v>Pacific Asia</x:v>
      </x:c>
      <x:c r="E9433" s="1" t="str">
        <x:v>CLOSED</x:v>
      </x:c>
      <x:c r="F9433" s="1" t="str">
        <x:v>Shipping on time</x:v>
      </x:c>
      <x:c r="G9433" s="6" t="n">
        <x:v>2</x:v>
      </x:c>
      <x:c r="H9433" s="6" t="n">
        <x:v>2</x:v>
      </x:c>
      <x:c r="I9433" s="6" t="n">
        <x:f>G9433-H9433</x:f>
        <x:v>0</x:v>
      </x:c>
      <x:c r="J9433" s="6" t="n">
        <x:f>IF(OR(E9433="CANCELED",E9433="SUSPECTED_FRAUD",F9433="Shipping canceled"),0,1)</x:f>
        <x:v>1</x:v>
      </x:c>
      <x:c r="K9433" s="6" t="n">
        <x:f>IF(G9433&gt;H9433,1,0)</x:f>
        <x:v>0</x:v>
      </x:c>
      <x:c r="L9433" s="6" t="n">
        <x:f>J9433*K9433</x:f>
        <x:v>0</x:v>
      </x:c>
    </x:row>
    <x:row r="9434">
      <x:c r="A9434" s="1" t="n">
        <x:v>75797</x:v>
      </x:c>
      <x:c r="B9434" s="5" t="d">
        <x:v>2018-01-11T00:00:00.000Z</x:v>
      </x:c>
      <x:c r="C9434" s="1" t="str">
        <x:v>Standard Class</x:v>
      </x:c>
      <x:c r="D9434" s="1" t="str">
        <x:v>Pacific Asia</x:v>
      </x:c>
      <x:c r="E9434" s="1" t="str">
        <x:v>PENDING</x:v>
      </x:c>
      <x:c r="F9434" s="1" t="str">
        <x:v>Advance shipping</x:v>
      </x:c>
      <x:c r="G9434" s="6" t="n">
        <x:v>3</x:v>
      </x:c>
      <x:c r="H9434" s="6" t="n">
        <x:v>4</x:v>
      </x:c>
      <x:c r="I9434" s="6" t="n">
        <x:f>G9434-H9434</x:f>
        <x:v>-1</x:v>
      </x:c>
      <x:c r="J9434" s="6" t="n">
        <x:f>IF(OR(E9434="CANCELED",E9434="SUSPECTED_FRAUD",F9434="Shipping canceled"),0,1)</x:f>
        <x:v>1</x:v>
      </x:c>
      <x:c r="K9434" s="6" t="n">
        <x:f>IF(G9434&gt;H9434,1,0)</x:f>
        <x:v>0</x:v>
      </x:c>
      <x:c r="L9434" s="6" t="n">
        <x:f>J9434*K9434</x:f>
        <x:v>0</x:v>
      </x:c>
    </x:row>
    <x:row r="9435">
      <x:c r="A9435" s="1" t="n">
        <x:v>75798</x:v>
      </x:c>
      <x:c r="B9435" s="5" t="d">
        <x:v>2018-01-11T00:00:00.000Z</x:v>
      </x:c>
      <x:c r="C9435" s="1" t="str">
        <x:v>Standard Class</x:v>
      </x:c>
      <x:c r="D9435" s="1" t="str">
        <x:v>Pacific Asia</x:v>
      </x:c>
      <x:c r="E9435" s="1" t="str">
        <x:v>PROCESSING</x:v>
      </x:c>
      <x:c r="F9435" s="1" t="str">
        <x:v>Shipping on time</x:v>
      </x:c>
      <x:c r="G9435" s="6" t="n">
        <x:v>4</x:v>
      </x:c>
      <x:c r="H9435" s="6" t="n">
        <x:v>4</x:v>
      </x:c>
      <x:c r="I9435" s="6" t="n">
        <x:f>G9435-H9435</x:f>
        <x:v>0</x:v>
      </x:c>
      <x:c r="J9435" s="6" t="n">
        <x:f>IF(OR(E9435="CANCELED",E9435="SUSPECTED_FRAUD",F9435="Shipping canceled"),0,1)</x:f>
        <x:v>1</x:v>
      </x:c>
      <x:c r="K9435" s="6" t="n">
        <x:f>IF(G9435&gt;H9435,1,0)</x:f>
        <x:v>0</x:v>
      </x:c>
      <x:c r="L9435" s="6" t="n">
        <x:f>J9435*K9435</x:f>
        <x:v>0</x:v>
      </x:c>
    </x:row>
    <x:row r="9436">
      <x:c r="A9436" s="1" t="n">
        <x:v>75799</x:v>
      </x:c>
      <x:c r="B9436" s="5" t="d">
        <x:v>2018-01-11T00:00:00.000Z</x:v>
      </x:c>
      <x:c r="C9436" s="1" t="str">
        <x:v>Standard Class</x:v>
      </x:c>
      <x:c r="D9436" s="1" t="str">
        <x:v>Pacific Asia</x:v>
      </x:c>
      <x:c r="E9436" s="1" t="str">
        <x:v>COMPLETE</x:v>
      </x:c>
      <x:c r="F9436" s="1" t="str">
        <x:v>Late delivery</x:v>
      </x:c>
      <x:c r="G9436" s="6" t="n">
        <x:v>5</x:v>
      </x:c>
      <x:c r="H9436" s="6" t="n">
        <x:v>4</x:v>
      </x:c>
      <x:c r="I9436" s="6" t="n">
        <x:f>G9436-H9436</x:f>
        <x:v>1</x:v>
      </x:c>
      <x:c r="J9436" s="6" t="n">
        <x:f>IF(OR(E9436="CANCELED",E9436="SUSPECTED_FRAUD",F9436="Shipping canceled"),0,1)</x:f>
        <x:v>1</x:v>
      </x:c>
      <x:c r="K9436" s="6" t="n">
        <x:f>IF(G9436&gt;H9436,1,0)</x:f>
        <x:v>1</x:v>
      </x:c>
      <x:c r="L9436" s="6" t="n">
        <x:f>J9436*K9436</x:f>
        <x:v>1</x:v>
      </x:c>
    </x:row>
    <x:row r="9437">
      <x:c r="A9437" s="1" t="n">
        <x:v>75800</x:v>
      </x:c>
      <x:c r="B9437" s="5" t="d">
        <x:v>2018-01-11T00:00:00.000Z</x:v>
      </x:c>
      <x:c r="C9437" s="1" t="str">
        <x:v>Standard Class</x:v>
      </x:c>
      <x:c r="D9437" s="1" t="str">
        <x:v>Pacific Asia</x:v>
      </x:c>
      <x:c r="E9437" s="1" t="str">
        <x:v>COMPLETE</x:v>
      </x:c>
      <x:c r="F9437" s="1" t="str">
        <x:v>Late delivery</x:v>
      </x:c>
      <x:c r="G9437" s="6" t="n">
        <x:v>6</x:v>
      </x:c>
      <x:c r="H9437" s="6" t="n">
        <x:v>4</x:v>
      </x:c>
      <x:c r="I9437" s="6" t="n">
        <x:f>G9437-H9437</x:f>
        <x:v>2</x:v>
      </x:c>
      <x:c r="J9437" s="6" t="n">
        <x:f>IF(OR(E9437="CANCELED",E9437="SUSPECTED_FRAUD",F9437="Shipping canceled"),0,1)</x:f>
        <x:v>1</x:v>
      </x:c>
      <x:c r="K9437" s="6" t="n">
        <x:f>IF(G9437&gt;H9437,1,0)</x:f>
        <x:v>1</x:v>
      </x:c>
      <x:c r="L9437" s="6" t="n">
        <x:f>J9437*K9437</x:f>
        <x:v>1</x:v>
      </x:c>
    </x:row>
    <x:row r="9438">
      <x:c r="A9438" s="1" t="n">
        <x:v>75801</x:v>
      </x:c>
      <x:c r="B9438" s="5" t="d">
        <x:v>2018-01-11T00:00:00.000Z</x:v>
      </x:c>
      <x:c r="C9438" s="1" t="str">
        <x:v>Same Day</x:v>
      </x:c>
      <x:c r="D9438" s="1" t="str">
        <x:v>Pacific Asia</x:v>
      </x:c>
      <x:c r="E9438" s="1" t="str">
        <x:v>COMPLETE</x:v>
      </x:c>
      <x:c r="F9438" s="1" t="str">
        <x:v>Late delivery</x:v>
      </x:c>
      <x:c r="G9438" s="6" t="n">
        <x:v>1</x:v>
      </x:c>
      <x:c r="H9438" s="6" t="n">
        <x:v>0</x:v>
      </x:c>
      <x:c r="I9438" s="6" t="n">
        <x:f>G9438-H9438</x:f>
        <x:v>1</x:v>
      </x:c>
      <x:c r="J9438" s="6" t="n">
        <x:f>IF(OR(E9438="CANCELED",E9438="SUSPECTED_FRAUD",F9438="Shipping canceled"),0,1)</x:f>
        <x:v>1</x:v>
      </x:c>
      <x:c r="K9438" s="6" t="n">
        <x:f>IF(G9438&gt;H9438,1,0)</x:f>
        <x:v>1</x:v>
      </x:c>
      <x:c r="L9438" s="6" t="n">
        <x:f>J9438*K9438</x:f>
        <x:v>1</x:v>
      </x:c>
    </x:row>
    <x:row r="9439">
      <x:c r="A9439" s="1" t="n">
        <x:v>75802</x:v>
      </x:c>
      <x:c r="B9439" s="5" t="d">
        <x:v>2018-01-11T00:00:00.000Z</x:v>
      </x:c>
      <x:c r="C9439" s="1" t="str">
        <x:v>Same Day</x:v>
      </x:c>
      <x:c r="D9439" s="1" t="str">
        <x:v>Pacific Asia</x:v>
      </x:c>
      <x:c r="E9439" s="1" t="str">
        <x:v>SUSPECTED_FRAUD</x:v>
      </x:c>
      <x:c r="F9439" s="1" t="str">
        <x:v>Shipping canceled</x:v>
      </x:c>
      <x:c r="G9439" s="6" t="n">
        <x:v>1</x:v>
      </x:c>
      <x:c r="H9439" s="6" t="n">
        <x:v>0</x:v>
      </x:c>
      <x:c r="I9439" s="6" t="n">
        <x:f>G9439-H9439</x:f>
        <x:v>1</x:v>
      </x:c>
      <x:c r="J9439" s="6" t="n">
        <x:f>IF(OR(E9439="CANCELED",E9439="SUSPECTED_FRAUD",F9439="Shipping canceled"),0,1)</x:f>
        <x:v>0</x:v>
      </x:c>
      <x:c r="K9439" s="6" t="n">
        <x:f>IF(G9439&gt;H9439,1,0)</x:f>
        <x:v>1</x:v>
      </x:c>
      <x:c r="L9439" s="6" t="n">
        <x:f>J9439*K9439</x:f>
        <x:v>0</x:v>
      </x:c>
    </x:row>
    <x:row r="9440">
      <x:c r="A9440" s="1" t="n">
        <x:v>75803</x:v>
      </x:c>
      <x:c r="B9440" s="5" t="d">
        <x:v>2018-01-11T00:00:00.000Z</x:v>
      </x:c>
      <x:c r="C9440" s="1" t="str">
        <x:v>Same Day</x:v>
      </x:c>
      <x:c r="D9440" s="1" t="str">
        <x:v>Pacific Asia</x:v>
      </x:c>
      <x:c r="E9440" s="1" t="str">
        <x:v>CLOSED</x:v>
      </x:c>
      <x:c r="F9440" s="1" t="str">
        <x:v>Late delivery</x:v>
      </x:c>
      <x:c r="G9440" s="6" t="n">
        <x:v>1</x:v>
      </x:c>
      <x:c r="H9440" s="6" t="n">
        <x:v>0</x:v>
      </x:c>
      <x:c r="I9440" s="6" t="n">
        <x:f>G9440-H9440</x:f>
        <x:v>1</x:v>
      </x:c>
      <x:c r="J9440" s="6" t="n">
        <x:f>IF(OR(E9440="CANCELED",E9440="SUSPECTED_FRAUD",F9440="Shipping canceled"),0,1)</x:f>
        <x:v>1</x:v>
      </x:c>
      <x:c r="K9440" s="6" t="n">
        <x:f>IF(G9440&gt;H9440,1,0)</x:f>
        <x:v>1</x:v>
      </x:c>
      <x:c r="L9440" s="6" t="n">
        <x:f>J9440*K9440</x:f>
        <x:v>1</x:v>
      </x:c>
    </x:row>
    <x:row r="9441">
      <x:c r="A9441" s="1" t="n">
        <x:v>75804</x:v>
      </x:c>
      <x:c r="B9441" s="5" t="d">
        <x:v>2018-01-11T00:00:00.000Z</x:v>
      </x:c>
      <x:c r="C9441" s="1" t="str">
        <x:v>Same Day</x:v>
      </x:c>
      <x:c r="D9441" s="1" t="str">
        <x:v>Pacific Asia</x:v>
      </x:c>
      <x:c r="E9441" s="1" t="str">
        <x:v>COMPLETE</x:v>
      </x:c>
      <x:c r="F9441" s="1" t="str">
        <x:v>Late delivery</x:v>
      </x:c>
      <x:c r="G9441" s="6" t="n">
        <x:v>1</x:v>
      </x:c>
      <x:c r="H9441" s="6" t="n">
        <x:v>0</x:v>
      </x:c>
      <x:c r="I9441" s="6" t="n">
        <x:f>G9441-H9441</x:f>
        <x:v>1</x:v>
      </x:c>
      <x:c r="J9441" s="6" t="n">
        <x:f>IF(OR(E9441="CANCELED",E9441="SUSPECTED_FRAUD",F9441="Shipping canceled"),0,1)</x:f>
        <x:v>1</x:v>
      </x:c>
      <x:c r="K9441" s="6" t="n">
        <x:f>IF(G9441&gt;H9441,1,0)</x:f>
        <x:v>1</x:v>
      </x:c>
      <x:c r="L9441" s="6" t="n">
        <x:f>J9441*K9441</x:f>
        <x:v>1</x:v>
      </x:c>
    </x:row>
    <x:row r="9442">
      <x:c r="A9442" s="1" t="n">
        <x:v>75805</x:v>
      </x:c>
      <x:c r="B9442" s="5" t="d">
        <x:v>2018-01-11T00:00:00.000Z</x:v>
      </x:c>
      <x:c r="C9442" s="1" t="str">
        <x:v>Same Day</x:v>
      </x:c>
      <x:c r="D9442" s="1" t="str">
        <x:v>Pacific Asia</x:v>
      </x:c>
      <x:c r="E9442" s="1" t="str">
        <x:v>COMPLETE</x:v>
      </x:c>
      <x:c r="F9442" s="1" t="str">
        <x:v>Late delivery</x:v>
      </x:c>
      <x:c r="G9442" s="6" t="n">
        <x:v>1</x:v>
      </x:c>
      <x:c r="H9442" s="6" t="n">
        <x:v>0</x:v>
      </x:c>
      <x:c r="I9442" s="6" t="n">
        <x:f>G9442-H9442</x:f>
        <x:v>1</x:v>
      </x:c>
      <x:c r="J9442" s="6" t="n">
        <x:f>IF(OR(E9442="CANCELED",E9442="SUSPECTED_FRAUD",F9442="Shipping canceled"),0,1)</x:f>
        <x:v>1</x:v>
      </x:c>
      <x:c r="K9442" s="6" t="n">
        <x:f>IF(G9442&gt;H9442,1,0)</x:f>
        <x:v>1</x:v>
      </x:c>
      <x:c r="L9442" s="6" t="n">
        <x:f>J9442*K9442</x:f>
        <x:v>1</x:v>
      </x:c>
    </x:row>
    <x:row r="9443">
      <x:c r="A9443" s="1" t="n">
        <x:v>75806</x:v>
      </x:c>
      <x:c r="B9443" s="5" t="d">
        <x:v>2018-01-11T00:00:00.000Z</x:v>
      </x:c>
      <x:c r="C9443" s="1" t="str">
        <x:v>Same Day</x:v>
      </x:c>
      <x:c r="D9443" s="1" t="str">
        <x:v>Pacific Asia</x:v>
      </x:c>
      <x:c r="E9443" s="1" t="str">
        <x:v>COMPLETE</x:v>
      </x:c>
      <x:c r="F9443" s="1" t="str">
        <x:v>Late delivery</x:v>
      </x:c>
      <x:c r="G9443" s="6" t="n">
        <x:v>1</x:v>
      </x:c>
      <x:c r="H9443" s="6" t="n">
        <x:v>0</x:v>
      </x:c>
      <x:c r="I9443" s="6" t="n">
        <x:f>G9443-H9443</x:f>
        <x:v>1</x:v>
      </x:c>
      <x:c r="J9443" s="6" t="n">
        <x:f>IF(OR(E9443="CANCELED",E9443="SUSPECTED_FRAUD",F9443="Shipping canceled"),0,1)</x:f>
        <x:v>1</x:v>
      </x:c>
      <x:c r="K9443" s="6" t="n">
        <x:f>IF(G9443&gt;H9443,1,0)</x:f>
        <x:v>1</x:v>
      </x:c>
      <x:c r="L9443" s="6" t="n">
        <x:f>J9443*K9443</x:f>
        <x:v>1</x:v>
      </x:c>
    </x:row>
    <x:row r="9444">
      <x:c r="A9444" s="1" t="n">
        <x:v>75807</x:v>
      </x:c>
      <x:c r="B9444" s="5" t="d">
        <x:v>2018-01-11T00:00:00.000Z</x:v>
      </x:c>
      <x:c r="C9444" s="1" t="str">
        <x:v>Same Day</x:v>
      </x:c>
      <x:c r="D9444" s="1" t="str">
        <x:v>Pacific Asia</x:v>
      </x:c>
      <x:c r="E9444" s="1" t="str">
        <x:v>PENDING_PAYMENT</x:v>
      </x:c>
      <x:c r="F9444" s="1" t="str">
        <x:v>Late delivery</x:v>
      </x:c>
      <x:c r="G9444" s="6" t="n">
        <x:v>1</x:v>
      </x:c>
      <x:c r="H9444" s="6" t="n">
        <x:v>0</x:v>
      </x:c>
      <x:c r="I9444" s="6" t="n">
        <x:f>G9444-H9444</x:f>
        <x:v>1</x:v>
      </x:c>
      <x:c r="J9444" s="6" t="n">
        <x:f>IF(OR(E9444="CANCELED",E9444="SUSPECTED_FRAUD",F9444="Shipping canceled"),0,1)</x:f>
        <x:v>1</x:v>
      </x:c>
      <x:c r="K9444" s="6" t="n">
        <x:f>IF(G9444&gt;H9444,1,0)</x:f>
        <x:v>1</x:v>
      </x:c>
      <x:c r="L9444" s="6" t="n">
        <x:f>J9444*K9444</x:f>
        <x:v>1</x:v>
      </x:c>
    </x:row>
    <x:row r="9445">
      <x:c r="A9445" s="1" t="n">
        <x:v>75808</x:v>
      </x:c>
      <x:c r="B9445" s="5" t="d">
        <x:v>2018-01-11T00:00:00.000Z</x:v>
      </x:c>
      <x:c r="C9445" s="1" t="str">
        <x:v>Second Class</x:v>
      </x:c>
      <x:c r="D9445" s="1" t="str">
        <x:v>Pacific Asia</x:v>
      </x:c>
      <x:c r="E9445" s="1" t="str">
        <x:v>COMPLETE</x:v>
      </x:c>
      <x:c r="F9445" s="1" t="str">
        <x:v>Late delivery</x:v>
      </x:c>
      <x:c r="G9445" s="6" t="n">
        <x:v>4</x:v>
      </x:c>
      <x:c r="H9445" s="6" t="n">
        <x:v>2</x:v>
      </x:c>
      <x:c r="I9445" s="6" t="n">
        <x:f>G9445-H9445</x:f>
        <x:v>2</x:v>
      </x:c>
      <x:c r="J9445" s="6" t="n">
        <x:f>IF(OR(E9445="CANCELED",E9445="SUSPECTED_FRAUD",F9445="Shipping canceled"),0,1)</x:f>
        <x:v>1</x:v>
      </x:c>
      <x:c r="K9445" s="6" t="n">
        <x:f>IF(G9445&gt;H9445,1,0)</x:f>
        <x:v>1</x:v>
      </x:c>
      <x:c r="L9445" s="6" t="n">
        <x:f>J9445*K9445</x:f>
        <x:v>1</x:v>
      </x:c>
    </x:row>
    <x:row r="9446">
      <x:c r="A9446" s="1" t="n">
        <x:v>75809</x:v>
      </x:c>
      <x:c r="B9446" s="5" t="d">
        <x:v>2018-01-11T00:00:00.000Z</x:v>
      </x:c>
      <x:c r="C9446" s="1" t="str">
        <x:v>Second Class</x:v>
      </x:c>
      <x:c r="D9446" s="1" t="str">
        <x:v>Pacific Asia</x:v>
      </x:c>
      <x:c r="E9446" s="1" t="str">
        <x:v>ON_HOLD</x:v>
      </x:c>
      <x:c r="F9446" s="1" t="str">
        <x:v>Late delivery</x:v>
      </x:c>
      <x:c r="G9446" s="6" t="n">
        <x:v>5</x:v>
      </x:c>
      <x:c r="H9446" s="6" t="n">
        <x:v>2</x:v>
      </x:c>
      <x:c r="I9446" s="6" t="n">
        <x:f>G9446-H9446</x:f>
        <x:v>3</x:v>
      </x:c>
      <x:c r="J9446" s="6" t="n">
        <x:f>IF(OR(E9446="CANCELED",E9446="SUSPECTED_FRAUD",F9446="Shipping canceled"),0,1)</x:f>
        <x:v>1</x:v>
      </x:c>
      <x:c r="K9446" s="6" t="n">
        <x:f>IF(G9446&gt;H9446,1,0)</x:f>
        <x:v>1</x:v>
      </x:c>
      <x:c r="L9446" s="6" t="n">
        <x:f>J9446*K9446</x:f>
        <x:v>1</x:v>
      </x:c>
    </x:row>
    <x:row r="9447">
      <x:c r="A9447" s="1" t="n">
        <x:v>75810</x:v>
      </x:c>
      <x:c r="B9447" s="5" t="d">
        <x:v>2018-01-11T00:00:00.000Z</x:v>
      </x:c>
      <x:c r="C9447" s="1" t="str">
        <x:v>Second Class</x:v>
      </x:c>
      <x:c r="D9447" s="1" t="str">
        <x:v>Pacific Asia</x:v>
      </x:c>
      <x:c r="E9447" s="1" t="str">
        <x:v>ON_HOLD</x:v>
      </x:c>
      <x:c r="F9447" s="1" t="str">
        <x:v>Late delivery</x:v>
      </x:c>
      <x:c r="G9447" s="6" t="n">
        <x:v>6</x:v>
      </x:c>
      <x:c r="H9447" s="6" t="n">
        <x:v>2</x:v>
      </x:c>
      <x:c r="I9447" s="6" t="n">
        <x:f>G9447-H9447</x:f>
        <x:v>4</x:v>
      </x:c>
      <x:c r="J9447" s="6" t="n">
        <x:f>IF(OR(E9447="CANCELED",E9447="SUSPECTED_FRAUD",F9447="Shipping canceled"),0,1)</x:f>
        <x:v>1</x:v>
      </x:c>
      <x:c r="K9447" s="6" t="n">
        <x:f>IF(G9447&gt;H9447,1,0)</x:f>
        <x:v>1</x:v>
      </x:c>
      <x:c r="L9447" s="6" t="n">
        <x:f>J9447*K9447</x:f>
        <x:v>1</x:v>
      </x:c>
    </x:row>
    <x:row r="9448">
      <x:c r="A9448" s="1" t="n">
        <x:v>75811</x:v>
      </x:c>
      <x:c r="B9448" s="5" t="d">
        <x:v>2018-01-11T00:00:00.000Z</x:v>
      </x:c>
      <x:c r="C9448" s="1" t="str">
        <x:v>First Class</x:v>
      </x:c>
      <x:c r="D9448" s="1" t="str">
        <x:v>Pacific Asia</x:v>
      </x:c>
      <x:c r="E9448" s="1" t="str">
        <x:v>PENDING_PAYMENT</x:v>
      </x:c>
      <x:c r="F9448" s="1" t="str">
        <x:v>Late delivery</x:v>
      </x:c>
      <x:c r="G9448" s="6" t="n">
        <x:v>2</x:v>
      </x:c>
      <x:c r="H9448" s="6" t="n">
        <x:v>1</x:v>
      </x:c>
      <x:c r="I9448" s="6" t="n">
        <x:f>G9448-H9448</x:f>
        <x:v>1</x:v>
      </x:c>
      <x:c r="J9448" s="6" t="n">
        <x:f>IF(OR(E9448="CANCELED",E9448="SUSPECTED_FRAUD",F9448="Shipping canceled"),0,1)</x:f>
        <x:v>1</x:v>
      </x:c>
      <x:c r="K9448" s="6" t="n">
        <x:f>IF(G9448&gt;H9448,1,0)</x:f>
        <x:v>1</x:v>
      </x:c>
      <x:c r="L9448" s="6" t="n">
        <x:f>J9448*K9448</x:f>
        <x:v>1</x:v>
      </x:c>
    </x:row>
    <x:row r="9449">
      <x:c r="A9449" s="1" t="n">
        <x:v>75812</x:v>
      </x:c>
      <x:c r="B9449" s="5" t="d">
        <x:v>2018-01-11T00:00:00.000Z</x:v>
      </x:c>
      <x:c r="C9449" s="1" t="str">
        <x:v>Second Class</x:v>
      </x:c>
      <x:c r="D9449" s="1" t="str">
        <x:v>Pacific Asia</x:v>
      </x:c>
      <x:c r="E9449" s="1" t="str">
        <x:v>PENDING_PAYMENT</x:v>
      </x:c>
      <x:c r="F9449" s="1" t="str">
        <x:v>Late delivery</x:v>
      </x:c>
      <x:c r="G9449" s="6" t="n">
        <x:v>3</x:v>
      </x:c>
      <x:c r="H9449" s="6" t="n">
        <x:v>2</x:v>
      </x:c>
      <x:c r="I9449" s="6" t="n">
        <x:f>G9449-H9449</x:f>
        <x:v>1</x:v>
      </x:c>
      <x:c r="J9449" s="6" t="n">
        <x:f>IF(OR(E9449="CANCELED",E9449="SUSPECTED_FRAUD",F9449="Shipping canceled"),0,1)</x:f>
        <x:v>1</x:v>
      </x:c>
      <x:c r="K9449" s="6" t="n">
        <x:f>IF(G9449&gt;H9449,1,0)</x:f>
        <x:v>1</x:v>
      </x:c>
      <x:c r="L9449" s="6" t="n">
        <x:f>J9449*K9449</x:f>
        <x:v>1</x:v>
      </x:c>
    </x:row>
    <x:row r="9450">
      <x:c r="A9450" s="1" t="n">
        <x:v>75813</x:v>
      </x:c>
      <x:c r="B9450" s="5" t="d">
        <x:v>2018-01-11T00:00:00.000Z</x:v>
      </x:c>
      <x:c r="C9450" s="1" t="str">
        <x:v>Second Class</x:v>
      </x:c>
      <x:c r="D9450" s="1" t="str">
        <x:v>Pacific Asia</x:v>
      </x:c>
      <x:c r="E9450" s="1" t="str">
        <x:v>PAYMENT_REVIEW</x:v>
      </x:c>
      <x:c r="F9450" s="1" t="str">
        <x:v>Late delivery</x:v>
      </x:c>
      <x:c r="G9450" s="6" t="n">
        <x:v>4</x:v>
      </x:c>
      <x:c r="H9450" s="6" t="n">
        <x:v>2</x:v>
      </x:c>
      <x:c r="I9450" s="6" t="n">
        <x:f>G9450-H9450</x:f>
        <x:v>2</x:v>
      </x:c>
      <x:c r="J9450" s="6" t="n">
        <x:f>IF(OR(E9450="CANCELED",E9450="SUSPECTED_FRAUD",F9450="Shipping canceled"),0,1)</x:f>
        <x:v>1</x:v>
      </x:c>
      <x:c r="K9450" s="6" t="n">
        <x:f>IF(G9450&gt;H9450,1,0)</x:f>
        <x:v>1</x:v>
      </x:c>
      <x:c r="L9450" s="6" t="n">
        <x:f>J9450*K9450</x:f>
        <x:v>1</x:v>
      </x:c>
    </x:row>
    <x:row r="9451">
      <x:c r="A9451" s="1" t="n">
        <x:v>75814</x:v>
      </x:c>
      <x:c r="B9451" s="5" t="d">
        <x:v>2018-01-11T00:00:00.000Z</x:v>
      </x:c>
      <x:c r="C9451" s="1" t="str">
        <x:v>Standard Class</x:v>
      </x:c>
      <x:c r="D9451" s="1" t="str">
        <x:v>Pacific Asia</x:v>
      </x:c>
      <x:c r="E9451" s="1" t="str">
        <x:v>PENDING_PAYMENT</x:v>
      </x:c>
      <x:c r="F9451" s="1" t="str">
        <x:v>Late delivery</x:v>
      </x:c>
      <x:c r="G9451" s="6" t="n">
        <x:v>5</x:v>
      </x:c>
      <x:c r="H9451" s="6" t="n">
        <x:v>4</x:v>
      </x:c>
      <x:c r="I9451" s="6" t="n">
        <x:f>G9451-H9451</x:f>
        <x:v>1</x:v>
      </x:c>
      <x:c r="J9451" s="6" t="n">
        <x:f>IF(OR(E9451="CANCELED",E9451="SUSPECTED_FRAUD",F9451="Shipping canceled"),0,1)</x:f>
        <x:v>1</x:v>
      </x:c>
      <x:c r="K9451" s="6" t="n">
        <x:f>IF(G9451&gt;H9451,1,0)</x:f>
        <x:v>1</x:v>
      </x:c>
      <x:c r="L9451" s="6" t="n">
        <x:f>J9451*K9451</x:f>
        <x:v>1</x:v>
      </x:c>
    </x:row>
    <x:row r="9452">
      <x:c r="A9452" s="1" t="n">
        <x:v>75815</x:v>
      </x:c>
      <x:c r="B9452" s="5" t="d">
        <x:v>2018-01-11T00:00:00.000Z</x:v>
      </x:c>
      <x:c r="C9452" s="1" t="str">
        <x:v>Standard Class</x:v>
      </x:c>
      <x:c r="D9452" s="1" t="str">
        <x:v>Pacific Asia</x:v>
      </x:c>
      <x:c r="E9452" s="1" t="str">
        <x:v>COMPLETE</x:v>
      </x:c>
      <x:c r="F9452" s="1" t="str">
        <x:v>Late delivery</x:v>
      </x:c>
      <x:c r="G9452" s="6" t="n">
        <x:v>6</x:v>
      </x:c>
      <x:c r="H9452" s="6" t="n">
        <x:v>4</x:v>
      </x:c>
      <x:c r="I9452" s="6" t="n">
        <x:f>G9452-H9452</x:f>
        <x:v>2</x:v>
      </x:c>
      <x:c r="J9452" s="6" t="n">
        <x:f>IF(OR(E9452="CANCELED",E9452="SUSPECTED_FRAUD",F9452="Shipping canceled"),0,1)</x:f>
        <x:v>1</x:v>
      </x:c>
      <x:c r="K9452" s="6" t="n">
        <x:f>IF(G9452&gt;H9452,1,0)</x:f>
        <x:v>1</x:v>
      </x:c>
      <x:c r="L9452" s="6" t="n">
        <x:f>J9452*K9452</x:f>
        <x:v>1</x:v>
      </x:c>
    </x:row>
    <x:row r="9453">
      <x:c r="A9453" s="1" t="n">
        <x:v>75816</x:v>
      </x:c>
      <x:c r="B9453" s="5" t="d">
        <x:v>2018-01-11T00:00:00.000Z</x:v>
      </x:c>
      <x:c r="C9453" s="1" t="str">
        <x:v>Standard Class</x:v>
      </x:c>
      <x:c r="D9453" s="1" t="str">
        <x:v>Pacific Asia</x:v>
      </x:c>
      <x:c r="E9453" s="1" t="str">
        <x:v>PROCESSING</x:v>
      </x:c>
      <x:c r="F9453" s="1" t="str">
        <x:v>Advance shipping</x:v>
      </x:c>
      <x:c r="G9453" s="6" t="n">
        <x:v>2</x:v>
      </x:c>
      <x:c r="H9453" s="6" t="n">
        <x:v>4</x:v>
      </x:c>
      <x:c r="I9453" s="6" t="n">
        <x:f>G9453-H9453</x:f>
        <x:v>-2</x:v>
      </x:c>
      <x:c r="J9453" s="6" t="n">
        <x:f>IF(OR(E9453="CANCELED",E9453="SUSPECTED_FRAUD",F9453="Shipping canceled"),0,1)</x:f>
        <x:v>1</x:v>
      </x:c>
      <x:c r="K9453" s="6" t="n">
        <x:f>IF(G9453&gt;H9453,1,0)</x:f>
        <x:v>0</x:v>
      </x:c>
      <x:c r="L9453" s="6" t="n">
        <x:f>J9453*K9453</x:f>
        <x:v>0</x:v>
      </x:c>
    </x:row>
    <x:row r="9454">
      <x:c r="A9454" s="1" t="n">
        <x:v>75817</x:v>
      </x:c>
      <x:c r="B9454" s="5" t="d">
        <x:v>2018-01-11T00:00:00.000Z</x:v>
      </x:c>
      <x:c r="C9454" s="1" t="str">
        <x:v>Standard Class</x:v>
      </x:c>
      <x:c r="D9454" s="1" t="str">
        <x:v>Pacific Asia</x:v>
      </x:c>
      <x:c r="E9454" s="1" t="str">
        <x:v>CLOSED</x:v>
      </x:c>
      <x:c r="F9454" s="1" t="str">
        <x:v>Advance shipping</x:v>
      </x:c>
      <x:c r="G9454" s="6" t="n">
        <x:v>3</x:v>
      </x:c>
      <x:c r="H9454" s="6" t="n">
        <x:v>4</x:v>
      </x:c>
      <x:c r="I9454" s="6" t="n">
        <x:f>G9454-H9454</x:f>
        <x:v>-1</x:v>
      </x:c>
      <x:c r="J9454" s="6" t="n">
        <x:f>IF(OR(E9454="CANCELED",E9454="SUSPECTED_FRAUD",F9454="Shipping canceled"),0,1)</x:f>
        <x:v>1</x:v>
      </x:c>
      <x:c r="K9454" s="6" t="n">
        <x:f>IF(G9454&gt;H9454,1,0)</x:f>
        <x:v>0</x:v>
      </x:c>
      <x:c r="L9454" s="6" t="n">
        <x:f>J9454*K9454</x:f>
        <x:v>0</x:v>
      </x:c>
    </x:row>
    <x:row r="9455">
      <x:c r="A9455" s="1" t="n">
        <x:v>75818</x:v>
      </x:c>
      <x:c r="B9455" s="5" t="d">
        <x:v>2018-01-11T00:00:00.000Z</x:v>
      </x:c>
      <x:c r="C9455" s="1" t="str">
        <x:v>Standard Class</x:v>
      </x:c>
      <x:c r="D9455" s="1" t="str">
        <x:v>Pacific Asia</x:v>
      </x:c>
      <x:c r="E9455" s="1" t="str">
        <x:v>PROCESSING</x:v>
      </x:c>
      <x:c r="F9455" s="1" t="str">
        <x:v>Shipping on time</x:v>
      </x:c>
      <x:c r="G9455" s="6" t="n">
        <x:v>4</x:v>
      </x:c>
      <x:c r="H9455" s="6" t="n">
        <x:v>4</x:v>
      </x:c>
      <x:c r="I9455" s="6" t="n">
        <x:f>G9455-H9455</x:f>
        <x:v>0</x:v>
      </x:c>
      <x:c r="J9455" s="6" t="n">
        <x:f>IF(OR(E9455="CANCELED",E9455="SUSPECTED_FRAUD",F9455="Shipping canceled"),0,1)</x:f>
        <x:v>1</x:v>
      </x:c>
      <x:c r="K9455" s="6" t="n">
        <x:f>IF(G9455&gt;H9455,1,0)</x:f>
        <x:v>0</x:v>
      </x:c>
      <x:c r="L9455" s="6" t="n">
        <x:f>J9455*K9455</x:f>
        <x:v>0</x:v>
      </x:c>
    </x:row>
    <x:row r="9456">
      <x:c r="A9456" s="1" t="n">
        <x:v>75819</x:v>
      </x:c>
      <x:c r="B9456" s="5" t="d">
        <x:v>2018-01-11T00:00:00.000Z</x:v>
      </x:c>
      <x:c r="C9456" s="1" t="str">
        <x:v>Standard Class</x:v>
      </x:c>
      <x:c r="D9456" s="1" t="str">
        <x:v>Pacific Asia</x:v>
      </x:c>
      <x:c r="E9456" s="1" t="str">
        <x:v>COMPLETE</x:v>
      </x:c>
      <x:c r="F9456" s="1" t="str">
        <x:v>Late delivery</x:v>
      </x:c>
      <x:c r="G9456" s="6" t="n">
        <x:v>5</x:v>
      </x:c>
      <x:c r="H9456" s="6" t="n">
        <x:v>4</x:v>
      </x:c>
      <x:c r="I9456" s="6" t="n">
        <x:f>G9456-H9456</x:f>
        <x:v>1</x:v>
      </x:c>
      <x:c r="J9456" s="6" t="n">
        <x:f>IF(OR(E9456="CANCELED",E9456="SUSPECTED_FRAUD",F9456="Shipping canceled"),0,1)</x:f>
        <x:v>1</x:v>
      </x:c>
      <x:c r="K9456" s="6" t="n">
        <x:f>IF(G9456&gt;H9456,1,0)</x:f>
        <x:v>1</x:v>
      </x:c>
      <x:c r="L9456" s="6" t="n">
        <x:f>J9456*K9456</x:f>
        <x:v>1</x:v>
      </x:c>
    </x:row>
    <x:row r="9457">
      <x:c r="A9457" s="1" t="n">
        <x:v>75820</x:v>
      </x:c>
      <x:c r="B9457" s="5" t="d">
        <x:v>2018-01-11T00:00:00.000Z</x:v>
      </x:c>
      <x:c r="C9457" s="1" t="str">
        <x:v>Standard Class</x:v>
      </x:c>
      <x:c r="D9457" s="1" t="str">
        <x:v>Pacific Asia</x:v>
      </x:c>
      <x:c r="E9457" s="1" t="str">
        <x:v>COMPLETE</x:v>
      </x:c>
      <x:c r="F9457" s="1" t="str">
        <x:v>Late delivery</x:v>
      </x:c>
      <x:c r="G9457" s="6" t="n">
        <x:v>6</x:v>
      </x:c>
      <x:c r="H9457" s="6" t="n">
        <x:v>4</x:v>
      </x:c>
      <x:c r="I9457" s="6" t="n">
        <x:f>G9457-H9457</x:f>
        <x:v>2</x:v>
      </x:c>
      <x:c r="J9457" s="6" t="n">
        <x:f>IF(OR(E9457="CANCELED",E9457="SUSPECTED_FRAUD",F9457="Shipping canceled"),0,1)</x:f>
        <x:v>1</x:v>
      </x:c>
      <x:c r="K9457" s="6" t="n">
        <x:f>IF(G9457&gt;H9457,1,0)</x:f>
        <x:v>1</x:v>
      </x:c>
      <x:c r="L9457" s="6" t="n">
        <x:f>J9457*K9457</x:f>
        <x:v>1</x:v>
      </x:c>
    </x:row>
    <x:row r="9458">
      <x:c r="A9458" s="1" t="n">
        <x:v>75821</x:v>
      </x:c>
      <x:c r="B9458" s="5" t="d">
        <x:v>2018-01-11T00:00:00.000Z</x:v>
      </x:c>
      <x:c r="C9458" s="1" t="str">
        <x:v>Standard Class</x:v>
      </x:c>
      <x:c r="D9458" s="1" t="str">
        <x:v>Pacific Asia</x:v>
      </x:c>
      <x:c r="E9458" s="1" t="str">
        <x:v>COMPLETE</x:v>
      </x:c>
      <x:c r="F9458" s="1" t="str">
        <x:v>Advance shipping</x:v>
      </x:c>
      <x:c r="G9458" s="6" t="n">
        <x:v>2</x:v>
      </x:c>
      <x:c r="H9458" s="6" t="n">
        <x:v>4</x:v>
      </x:c>
      <x:c r="I9458" s="6" t="n">
        <x:f>G9458-H9458</x:f>
        <x:v>-2</x:v>
      </x:c>
      <x:c r="J9458" s="6" t="n">
        <x:f>IF(OR(E9458="CANCELED",E9458="SUSPECTED_FRAUD",F9458="Shipping canceled"),0,1)</x:f>
        <x:v>1</x:v>
      </x:c>
      <x:c r="K9458" s="6" t="n">
        <x:f>IF(G9458&gt;H9458,1,0)</x:f>
        <x:v>0</x:v>
      </x:c>
      <x:c r="L9458" s="6" t="n">
        <x:f>J9458*K9458</x:f>
        <x:v>0</x:v>
      </x:c>
    </x:row>
    <x:row r="9459">
      <x:c r="A9459" s="1" t="n">
        <x:v>75822</x:v>
      </x:c>
      <x:c r="B9459" s="5" t="d">
        <x:v>2018-01-11T00:00:00.000Z</x:v>
      </x:c>
      <x:c r="C9459" s="1" t="str">
        <x:v>Standard Class</x:v>
      </x:c>
      <x:c r="D9459" s="1" t="str">
        <x:v>Pacific Asia</x:v>
      </x:c>
      <x:c r="E9459" s="1" t="str">
        <x:v>COMPLETE</x:v>
      </x:c>
      <x:c r="F9459" s="1" t="str">
        <x:v>Advance shipping</x:v>
      </x:c>
      <x:c r="G9459" s="6" t="n">
        <x:v>3</x:v>
      </x:c>
      <x:c r="H9459" s="6" t="n">
        <x:v>4</x:v>
      </x:c>
      <x:c r="I9459" s="6" t="n">
        <x:f>G9459-H9459</x:f>
        <x:v>-1</x:v>
      </x:c>
      <x:c r="J9459" s="6" t="n">
        <x:f>IF(OR(E9459="CANCELED",E9459="SUSPECTED_FRAUD",F9459="Shipping canceled"),0,1)</x:f>
        <x:v>1</x:v>
      </x:c>
      <x:c r="K9459" s="6" t="n">
        <x:f>IF(G9459&gt;H9459,1,0)</x:f>
        <x:v>0</x:v>
      </x:c>
      <x:c r="L9459" s="6" t="n">
        <x:f>J9459*K9459</x:f>
        <x:v>0</x:v>
      </x:c>
    </x:row>
    <x:row r="9460">
      <x:c r="A9460" s="1" t="n">
        <x:v>75823</x:v>
      </x:c>
      <x:c r="B9460" s="5" t="d">
        <x:v>2018-01-11T00:00:00.000Z</x:v>
      </x:c>
      <x:c r="C9460" s="1" t="str">
        <x:v>Standard Class</x:v>
      </x:c>
      <x:c r="D9460" s="1" t="str">
        <x:v>Pacific Asia</x:v>
      </x:c>
      <x:c r="E9460" s="1" t="str">
        <x:v>PENDING</x:v>
      </x:c>
      <x:c r="F9460" s="1" t="str">
        <x:v>Shipping on time</x:v>
      </x:c>
      <x:c r="G9460" s="6" t="n">
        <x:v>4</x:v>
      </x:c>
      <x:c r="H9460" s="6" t="n">
        <x:v>4</x:v>
      </x:c>
      <x:c r="I9460" s="6" t="n">
        <x:f>G9460-H9460</x:f>
        <x:v>0</x:v>
      </x:c>
      <x:c r="J9460" s="6" t="n">
        <x:f>IF(OR(E9460="CANCELED",E9460="SUSPECTED_FRAUD",F9460="Shipping canceled"),0,1)</x:f>
        <x:v>1</x:v>
      </x:c>
      <x:c r="K9460" s="6" t="n">
        <x:f>IF(G9460&gt;H9460,1,0)</x:f>
        <x:v>0</x:v>
      </x:c>
      <x:c r="L9460" s="6" t="n">
        <x:f>J9460*K9460</x:f>
        <x:v>0</x:v>
      </x:c>
    </x:row>
    <x:row r="9461">
      <x:c r="A9461" s="1" t="n">
        <x:v>75824</x:v>
      </x:c>
      <x:c r="B9461" s="5" t="d">
        <x:v>2018-01-11T00:00:00.000Z</x:v>
      </x:c>
      <x:c r="C9461" s="1" t="str">
        <x:v>Standard Class</x:v>
      </x:c>
      <x:c r="D9461" s="1" t="str">
        <x:v>Pacific Asia</x:v>
      </x:c>
      <x:c r="E9461" s="1" t="str">
        <x:v>CLOSED</x:v>
      </x:c>
      <x:c r="F9461" s="1" t="str">
        <x:v>Late delivery</x:v>
      </x:c>
      <x:c r="G9461" s="6" t="n">
        <x:v>5</x:v>
      </x:c>
      <x:c r="H9461" s="6" t="n">
        <x:v>4</x:v>
      </x:c>
      <x:c r="I9461" s="6" t="n">
        <x:f>G9461-H9461</x:f>
        <x:v>1</x:v>
      </x:c>
      <x:c r="J9461" s="6" t="n">
        <x:f>IF(OR(E9461="CANCELED",E9461="SUSPECTED_FRAUD",F9461="Shipping canceled"),0,1)</x:f>
        <x:v>1</x:v>
      </x:c>
      <x:c r="K9461" s="6" t="n">
        <x:f>IF(G9461&gt;H9461,1,0)</x:f>
        <x:v>1</x:v>
      </x:c>
      <x:c r="L9461" s="6" t="n">
        <x:f>J9461*K9461</x:f>
        <x:v>1</x:v>
      </x:c>
    </x:row>
    <x:row r="9462">
      <x:c r="A9462" s="1" t="n">
        <x:v>75825</x:v>
      </x:c>
      <x:c r="B9462" s="5" t="d">
        <x:v>2018-01-11T00:00:00.000Z</x:v>
      </x:c>
      <x:c r="C9462" s="1" t="str">
        <x:v>Standard Class</x:v>
      </x:c>
      <x:c r="D9462" s="1" t="str">
        <x:v>Pacific Asia</x:v>
      </x:c>
      <x:c r="E9462" s="1" t="str">
        <x:v>COMPLETE</x:v>
      </x:c>
      <x:c r="F9462" s="1" t="str">
        <x:v>Late delivery</x:v>
      </x:c>
      <x:c r="G9462" s="6" t="n">
        <x:v>6</x:v>
      </x:c>
      <x:c r="H9462" s="6" t="n">
        <x:v>4</x:v>
      </x:c>
      <x:c r="I9462" s="6" t="n">
        <x:f>G9462-H9462</x:f>
        <x:v>2</x:v>
      </x:c>
      <x:c r="J9462" s="6" t="n">
        <x:f>IF(OR(E9462="CANCELED",E9462="SUSPECTED_FRAUD",F9462="Shipping canceled"),0,1)</x:f>
        <x:v>1</x:v>
      </x:c>
      <x:c r="K9462" s="6" t="n">
        <x:f>IF(G9462&gt;H9462,1,0)</x:f>
        <x:v>1</x:v>
      </x:c>
      <x:c r="L9462" s="6" t="n">
        <x:f>J9462*K9462</x:f>
        <x:v>1</x:v>
      </x:c>
    </x:row>
    <x:row r="9463">
      <x:c r="A9463" s="1" t="n">
        <x:v>75826</x:v>
      </x:c>
      <x:c r="B9463" s="5" t="d">
        <x:v>2018-01-11T00:00:00.000Z</x:v>
      </x:c>
      <x:c r="C9463" s="1" t="str">
        <x:v>Standard Class</x:v>
      </x:c>
      <x:c r="D9463" s="1" t="str">
        <x:v>Pacific Asia</x:v>
      </x:c>
      <x:c r="E9463" s="1" t="str">
        <x:v>CLOSED</x:v>
      </x:c>
      <x:c r="F9463" s="1" t="str">
        <x:v>Advance shipping</x:v>
      </x:c>
      <x:c r="G9463" s="6" t="n">
        <x:v>2</x:v>
      </x:c>
      <x:c r="H9463" s="6" t="n">
        <x:v>4</x:v>
      </x:c>
      <x:c r="I9463" s="6" t="n">
        <x:f>G9463-H9463</x:f>
        <x:v>-2</x:v>
      </x:c>
      <x:c r="J9463" s="6" t="n">
        <x:f>IF(OR(E9463="CANCELED",E9463="SUSPECTED_FRAUD",F9463="Shipping canceled"),0,1)</x:f>
        <x:v>1</x:v>
      </x:c>
      <x:c r="K9463" s="6" t="n">
        <x:f>IF(G9463&gt;H9463,1,0)</x:f>
        <x:v>0</x:v>
      </x:c>
      <x:c r="L9463" s="6" t="n">
        <x:f>J9463*K9463</x:f>
        <x:v>0</x:v>
      </x:c>
    </x:row>
    <x:row r="9464">
      <x:c r="A9464" s="1" t="n">
        <x:v>75827</x:v>
      </x:c>
      <x:c r="B9464" s="5" t="d">
        <x:v>2018-01-11T00:00:00.000Z</x:v>
      </x:c>
      <x:c r="C9464" s="1" t="str">
        <x:v>Standard Class</x:v>
      </x:c>
      <x:c r="D9464" s="1" t="str">
        <x:v>Pacific Asia</x:v>
      </x:c>
      <x:c r="E9464" s="1" t="str">
        <x:v>COMPLETE</x:v>
      </x:c>
      <x:c r="F9464" s="1" t="str">
        <x:v>Advance shipping</x:v>
      </x:c>
      <x:c r="G9464" s="6" t="n">
        <x:v>3</x:v>
      </x:c>
      <x:c r="H9464" s="6" t="n">
        <x:v>4</x:v>
      </x:c>
      <x:c r="I9464" s="6" t="n">
        <x:f>G9464-H9464</x:f>
        <x:v>-1</x:v>
      </x:c>
      <x:c r="J9464" s="6" t="n">
        <x:f>IF(OR(E9464="CANCELED",E9464="SUSPECTED_FRAUD",F9464="Shipping canceled"),0,1)</x:f>
        <x:v>1</x:v>
      </x:c>
      <x:c r="K9464" s="6" t="n">
        <x:f>IF(G9464&gt;H9464,1,0)</x:f>
        <x:v>0</x:v>
      </x:c>
      <x:c r="L9464" s="6" t="n">
        <x:f>J9464*K9464</x:f>
        <x:v>0</x:v>
      </x:c>
    </x:row>
    <x:row r="9465">
      <x:c r="A9465" s="1" t="n">
        <x:v>75828</x:v>
      </x:c>
      <x:c r="B9465" s="5" t="d">
        <x:v>2018-01-11T00:00:00.000Z</x:v>
      </x:c>
      <x:c r="C9465" s="1" t="str">
        <x:v>Standard Class</x:v>
      </x:c>
      <x:c r="D9465" s="1" t="str">
        <x:v>Pacific Asia</x:v>
      </x:c>
      <x:c r="E9465" s="1" t="str">
        <x:v>ON_HOLD</x:v>
      </x:c>
      <x:c r="F9465" s="1" t="str">
        <x:v>Shipping on time</x:v>
      </x:c>
      <x:c r="G9465" s="6" t="n">
        <x:v>4</x:v>
      </x:c>
      <x:c r="H9465" s="6" t="n">
        <x:v>4</x:v>
      </x:c>
      <x:c r="I9465" s="6" t="n">
        <x:f>G9465-H9465</x:f>
        <x:v>0</x:v>
      </x:c>
      <x:c r="J9465" s="6" t="n">
        <x:f>IF(OR(E9465="CANCELED",E9465="SUSPECTED_FRAUD",F9465="Shipping canceled"),0,1)</x:f>
        <x:v>1</x:v>
      </x:c>
      <x:c r="K9465" s="6" t="n">
        <x:f>IF(G9465&gt;H9465,1,0)</x:f>
        <x:v>0</x:v>
      </x:c>
      <x:c r="L9465" s="6" t="n">
        <x:f>J9465*K9465</x:f>
        <x:v>0</x:v>
      </x:c>
    </x:row>
    <x:row r="9466">
      <x:c r="A9466" s="1" t="n">
        <x:v>75829</x:v>
      </x:c>
      <x:c r="B9466" s="5" t="d">
        <x:v>2018-01-11T00:00:00.000Z</x:v>
      </x:c>
      <x:c r="C9466" s="1" t="str">
        <x:v>Standard Class</x:v>
      </x:c>
      <x:c r="D9466" s="1" t="str">
        <x:v>Pacific Asia</x:v>
      </x:c>
      <x:c r="E9466" s="1" t="str">
        <x:v>PENDING_PAYMENT</x:v>
      </x:c>
      <x:c r="F9466" s="1" t="str">
        <x:v>Late delivery</x:v>
      </x:c>
      <x:c r="G9466" s="6" t="n">
        <x:v>5</x:v>
      </x:c>
      <x:c r="H9466" s="6" t="n">
        <x:v>4</x:v>
      </x:c>
      <x:c r="I9466" s="6" t="n">
        <x:f>G9466-H9466</x:f>
        <x:v>1</x:v>
      </x:c>
      <x:c r="J9466" s="6" t="n">
        <x:f>IF(OR(E9466="CANCELED",E9466="SUSPECTED_FRAUD",F9466="Shipping canceled"),0,1)</x:f>
        <x:v>1</x:v>
      </x:c>
      <x:c r="K9466" s="6" t="n">
        <x:f>IF(G9466&gt;H9466,1,0)</x:f>
        <x:v>1</x:v>
      </x:c>
      <x:c r="L9466" s="6" t="n">
        <x:f>J9466*K9466</x:f>
        <x:v>1</x:v>
      </x:c>
    </x:row>
    <x:row r="9467">
      <x:c r="A9467" s="1" t="n">
        <x:v>75830</x:v>
      </x:c>
      <x:c r="B9467" s="5" t="d">
        <x:v>2018-01-11T00:00:00.000Z</x:v>
      </x:c>
      <x:c r="C9467" s="1" t="str">
        <x:v>Standard Class</x:v>
      </x:c>
      <x:c r="D9467" s="1" t="str">
        <x:v>Pacific Asia</x:v>
      </x:c>
      <x:c r="E9467" s="1" t="str">
        <x:v>PENDING_PAYMENT</x:v>
      </x:c>
      <x:c r="F9467" s="1" t="str">
        <x:v>Late delivery</x:v>
      </x:c>
      <x:c r="G9467" s="6" t="n">
        <x:v>6</x:v>
      </x:c>
      <x:c r="H9467" s="6" t="n">
        <x:v>4</x:v>
      </x:c>
      <x:c r="I9467" s="6" t="n">
        <x:f>G9467-H9467</x:f>
        <x:v>2</x:v>
      </x:c>
      <x:c r="J9467" s="6" t="n">
        <x:f>IF(OR(E9467="CANCELED",E9467="SUSPECTED_FRAUD",F9467="Shipping canceled"),0,1)</x:f>
        <x:v>1</x:v>
      </x:c>
      <x:c r="K9467" s="6" t="n">
        <x:f>IF(G9467&gt;H9467,1,0)</x:f>
        <x:v>1</x:v>
      </x:c>
      <x:c r="L9467" s="6" t="n">
        <x:f>J9467*K9467</x:f>
        <x:v>1</x:v>
      </x:c>
    </x:row>
    <x:row r="9468">
      <x:c r="A9468" s="1" t="n">
        <x:v>75831</x:v>
      </x:c>
      <x:c r="B9468" s="5" t="d">
        <x:v>2018-01-11T00:00:00.000Z</x:v>
      </x:c>
      <x:c r="C9468" s="1" t="str">
        <x:v>First Class</x:v>
      </x:c>
      <x:c r="D9468" s="1" t="str">
        <x:v>Pacific Asia</x:v>
      </x:c>
      <x:c r="E9468" s="1" t="str">
        <x:v>PENDING_PAYMENT</x:v>
      </x:c>
      <x:c r="F9468" s="1" t="str">
        <x:v>Late delivery</x:v>
      </x:c>
      <x:c r="G9468" s="6" t="n">
        <x:v>2</x:v>
      </x:c>
      <x:c r="H9468" s="6" t="n">
        <x:v>1</x:v>
      </x:c>
      <x:c r="I9468" s="6" t="n">
        <x:f>G9468-H9468</x:f>
        <x:v>1</x:v>
      </x:c>
      <x:c r="J9468" s="6" t="n">
        <x:f>IF(OR(E9468="CANCELED",E9468="SUSPECTED_FRAUD",F9468="Shipping canceled"),0,1)</x:f>
        <x:v>1</x:v>
      </x:c>
      <x:c r="K9468" s="6" t="n">
        <x:f>IF(G9468&gt;H9468,1,0)</x:f>
        <x:v>1</x:v>
      </x:c>
      <x:c r="L9468" s="6" t="n">
        <x:f>J9468*K9468</x:f>
        <x:v>1</x:v>
      </x:c>
    </x:row>
    <x:row r="9469">
      <x:c r="A9469" s="1" t="n">
        <x:v>75832</x:v>
      </x:c>
      <x:c r="B9469" s="5" t="d">
        <x:v>2018-01-11T00:00:00.000Z</x:v>
      </x:c>
      <x:c r="C9469" s="1" t="str">
        <x:v>First Class</x:v>
      </x:c>
      <x:c r="D9469" s="1" t="str">
        <x:v>Pacific Asia</x:v>
      </x:c>
      <x:c r="E9469" s="1" t="str">
        <x:v>CLOSED</x:v>
      </x:c>
      <x:c r="F9469" s="1" t="str">
        <x:v>Late delivery</x:v>
      </x:c>
      <x:c r="G9469" s="6" t="n">
        <x:v>2</x:v>
      </x:c>
      <x:c r="H9469" s="6" t="n">
        <x:v>1</x:v>
      </x:c>
      <x:c r="I9469" s="6" t="n">
        <x:f>G9469-H9469</x:f>
        <x:v>1</x:v>
      </x:c>
      <x:c r="J9469" s="6" t="n">
        <x:f>IF(OR(E9469="CANCELED",E9469="SUSPECTED_FRAUD",F9469="Shipping canceled"),0,1)</x:f>
        <x:v>1</x:v>
      </x:c>
      <x:c r="K9469" s="6" t="n">
        <x:f>IF(G9469&gt;H9469,1,0)</x:f>
        <x:v>1</x:v>
      </x:c>
      <x:c r="L9469" s="6" t="n">
        <x:f>J9469*K9469</x:f>
        <x:v>1</x:v>
      </x:c>
    </x:row>
    <x:row r="9470">
      <x:c r="A9470" s="1" t="n">
        <x:v>75833</x:v>
      </x:c>
      <x:c r="B9470" s="5" t="d">
        <x:v>2018-01-11T00:00:00.000Z</x:v>
      </x:c>
      <x:c r="C9470" s="1" t="str">
        <x:v>First Class</x:v>
      </x:c>
      <x:c r="D9470" s="1" t="str">
        <x:v>Pacific Asia</x:v>
      </x:c>
      <x:c r="E9470" s="1" t="str">
        <x:v>COMPLETE</x:v>
      </x:c>
      <x:c r="F9470" s="1" t="str">
        <x:v>Late delivery</x:v>
      </x:c>
      <x:c r="G9470" s="6" t="n">
        <x:v>2</x:v>
      </x:c>
      <x:c r="H9470" s="6" t="n">
        <x:v>1</x:v>
      </x:c>
      <x:c r="I9470" s="6" t="n">
        <x:f>G9470-H9470</x:f>
        <x:v>1</x:v>
      </x:c>
      <x:c r="J9470" s="6" t="n">
        <x:f>IF(OR(E9470="CANCELED",E9470="SUSPECTED_FRAUD",F9470="Shipping canceled"),0,1)</x:f>
        <x:v>1</x:v>
      </x:c>
      <x:c r="K9470" s="6" t="n">
        <x:f>IF(G9470&gt;H9470,1,0)</x:f>
        <x:v>1</x:v>
      </x:c>
      <x:c r="L9470" s="6" t="n">
        <x:f>J9470*K9470</x:f>
        <x:v>1</x:v>
      </x:c>
    </x:row>
    <x:row r="9471">
      <x:c r="A9471" s="1" t="n">
        <x:v>75834</x:v>
      </x:c>
      <x:c r="B9471" s="5" t="d">
        <x:v>2018-01-11T00:00:00.000Z</x:v>
      </x:c>
      <x:c r="C9471" s="1" t="str">
        <x:v>Second Class</x:v>
      </x:c>
      <x:c r="D9471" s="1" t="str">
        <x:v>Pacific Asia</x:v>
      </x:c>
      <x:c r="E9471" s="1" t="str">
        <x:v>PENDING_PAYMENT</x:v>
      </x:c>
      <x:c r="F9471" s="1" t="str">
        <x:v>Late delivery</x:v>
      </x:c>
      <x:c r="G9471" s="6" t="n">
        <x:v>5</x:v>
      </x:c>
      <x:c r="H9471" s="6" t="n">
        <x:v>2</x:v>
      </x:c>
      <x:c r="I9471" s="6" t="n">
        <x:f>G9471-H9471</x:f>
        <x:v>3</x:v>
      </x:c>
      <x:c r="J9471" s="6" t="n">
        <x:f>IF(OR(E9471="CANCELED",E9471="SUSPECTED_FRAUD",F9471="Shipping canceled"),0,1)</x:f>
        <x:v>1</x:v>
      </x:c>
      <x:c r="K9471" s="6" t="n">
        <x:f>IF(G9471&gt;H9471,1,0)</x:f>
        <x:v>1</x:v>
      </x:c>
      <x:c r="L9471" s="6" t="n">
        <x:f>J9471*K9471</x:f>
        <x:v>1</x:v>
      </x:c>
    </x:row>
    <x:row r="9472">
      <x:c r="A9472" s="1" t="n">
        <x:v>75835</x:v>
      </x:c>
      <x:c r="B9472" s="5" t="d">
        <x:v>2018-01-12T00:00:00.000Z</x:v>
      </x:c>
      <x:c r="C9472" s="1" t="str">
        <x:v>Second Class</x:v>
      </x:c>
      <x:c r="D9472" s="1" t="str">
        <x:v>Pacific Asia</x:v>
      </x:c>
      <x:c r="E9472" s="1" t="str">
        <x:v>COMPLETE</x:v>
      </x:c>
      <x:c r="F9472" s="1" t="str">
        <x:v>Late delivery</x:v>
      </x:c>
      <x:c r="G9472" s="6" t="n">
        <x:v>6</x:v>
      </x:c>
      <x:c r="H9472" s="6" t="n">
        <x:v>2</x:v>
      </x:c>
      <x:c r="I9472" s="6" t="n">
        <x:f>G9472-H9472</x:f>
        <x:v>4</x:v>
      </x:c>
      <x:c r="J9472" s="6" t="n">
        <x:f>IF(OR(E9472="CANCELED",E9472="SUSPECTED_FRAUD",F9472="Shipping canceled"),0,1)</x:f>
        <x:v>1</x:v>
      </x:c>
      <x:c r="K9472" s="6" t="n">
        <x:f>IF(G9472&gt;H9472,1,0)</x:f>
        <x:v>1</x:v>
      </x:c>
      <x:c r="L9472" s="6" t="n">
        <x:f>J9472*K9472</x:f>
        <x:v>1</x:v>
      </x:c>
    </x:row>
    <x:row r="9473">
      <x:c r="A9473" s="1" t="n">
        <x:v>75836</x:v>
      </x:c>
      <x:c r="B9473" s="5" t="d">
        <x:v>2018-01-12T00:00:00.000Z</x:v>
      </x:c>
      <x:c r="C9473" s="1" t="str">
        <x:v>Second Class</x:v>
      </x:c>
      <x:c r="D9473" s="1" t="str">
        <x:v>Pacific Asia</x:v>
      </x:c>
      <x:c r="E9473" s="1" t="str">
        <x:v>CLOSED</x:v>
      </x:c>
      <x:c r="F9473" s="1" t="str">
        <x:v>Shipping on time</x:v>
      </x:c>
      <x:c r="G9473" s="6" t="n">
        <x:v>2</x:v>
      </x:c>
      <x:c r="H9473" s="6" t="n">
        <x:v>2</x:v>
      </x:c>
      <x:c r="I9473" s="6" t="n">
        <x:f>G9473-H9473</x:f>
        <x:v>0</x:v>
      </x:c>
      <x:c r="J9473" s="6" t="n">
        <x:f>IF(OR(E9473="CANCELED",E9473="SUSPECTED_FRAUD",F9473="Shipping canceled"),0,1)</x:f>
        <x:v>1</x:v>
      </x:c>
      <x:c r="K9473" s="6" t="n">
        <x:f>IF(G9473&gt;H9473,1,0)</x:f>
        <x:v>0</x:v>
      </x:c>
      <x:c r="L9473" s="6" t="n">
        <x:f>J9473*K9473</x:f>
        <x:v>0</x:v>
      </x:c>
    </x:row>
    <x:row r="9474">
      <x:c r="A9474" s="1" t="n">
        <x:v>75837</x:v>
      </x:c>
      <x:c r="B9474" s="5" t="d">
        <x:v>2018-01-12T00:00:00.000Z</x:v>
      </x:c>
      <x:c r="C9474" s="1" t="str">
        <x:v>First Class</x:v>
      </x:c>
      <x:c r="D9474" s="1" t="str">
        <x:v>Pacific Asia</x:v>
      </x:c>
      <x:c r="E9474" s="1" t="str">
        <x:v>CLOSED</x:v>
      </x:c>
      <x:c r="F9474" s="1" t="str">
        <x:v>Late delivery</x:v>
      </x:c>
      <x:c r="G9474" s="6" t="n">
        <x:v>2</x:v>
      </x:c>
      <x:c r="H9474" s="6" t="n">
        <x:v>1</x:v>
      </x:c>
      <x:c r="I9474" s="6" t="n">
        <x:f>G9474-H9474</x:f>
        <x:v>1</x:v>
      </x:c>
      <x:c r="J9474" s="6" t="n">
        <x:f>IF(OR(E9474="CANCELED",E9474="SUSPECTED_FRAUD",F9474="Shipping canceled"),0,1)</x:f>
        <x:v>1</x:v>
      </x:c>
      <x:c r="K9474" s="6" t="n">
        <x:f>IF(G9474&gt;H9474,1,0)</x:f>
        <x:v>1</x:v>
      </x:c>
      <x:c r="L9474" s="6" t="n">
        <x:f>J9474*K9474</x:f>
        <x:v>1</x:v>
      </x:c>
    </x:row>
    <x:row r="9475">
      <x:c r="A9475" s="1" t="n">
        <x:v>75838</x:v>
      </x:c>
      <x:c r="B9475" s="5" t="d">
        <x:v>2018-01-12T00:00:00.000Z</x:v>
      </x:c>
      <x:c r="C9475" s="1" t="str">
        <x:v>First Class</x:v>
      </x:c>
      <x:c r="D9475" s="1" t="str">
        <x:v>Pacific Asia</x:v>
      </x:c>
      <x:c r="E9475" s="1" t="str">
        <x:v>PENDING_PAYMENT</x:v>
      </x:c>
      <x:c r="F9475" s="1" t="str">
        <x:v>Late delivery</x:v>
      </x:c>
      <x:c r="G9475" s="6" t="n">
        <x:v>2</x:v>
      </x:c>
      <x:c r="H9475" s="6" t="n">
        <x:v>1</x:v>
      </x:c>
      <x:c r="I9475" s="6" t="n">
        <x:f>G9475-H9475</x:f>
        <x:v>1</x:v>
      </x:c>
      <x:c r="J9475" s="6" t="n">
        <x:f>IF(OR(E9475="CANCELED",E9475="SUSPECTED_FRAUD",F9475="Shipping canceled"),0,1)</x:f>
        <x:v>1</x:v>
      </x:c>
      <x:c r="K9475" s="6" t="n">
        <x:f>IF(G9475&gt;H9475,1,0)</x:f>
        <x:v>1</x:v>
      </x:c>
      <x:c r="L9475" s="6" t="n">
        <x:f>J9475*K9475</x:f>
        <x:v>1</x:v>
      </x:c>
    </x:row>
    <x:row r="9476">
      <x:c r="A9476" s="1" t="n">
        <x:v>75839</x:v>
      </x:c>
      <x:c r="B9476" s="5" t="d">
        <x:v>2018-01-12T00:00:00.000Z</x:v>
      </x:c>
      <x:c r="C9476" s="1" t="str">
        <x:v>Second Class</x:v>
      </x:c>
      <x:c r="D9476" s="1" t="str">
        <x:v>Pacific Asia</x:v>
      </x:c>
      <x:c r="E9476" s="1" t="str">
        <x:v>PROCESSING</x:v>
      </x:c>
      <x:c r="F9476" s="1" t="str">
        <x:v>Late delivery</x:v>
      </x:c>
      <x:c r="G9476" s="6" t="n">
        <x:v>5</x:v>
      </x:c>
      <x:c r="H9476" s="6" t="n">
        <x:v>2</x:v>
      </x:c>
      <x:c r="I9476" s="6" t="n">
        <x:f>G9476-H9476</x:f>
        <x:v>3</x:v>
      </x:c>
      <x:c r="J9476" s="6" t="n">
        <x:f>IF(OR(E9476="CANCELED",E9476="SUSPECTED_FRAUD",F9476="Shipping canceled"),0,1)</x:f>
        <x:v>1</x:v>
      </x:c>
      <x:c r="K9476" s="6" t="n">
        <x:f>IF(G9476&gt;H9476,1,0)</x:f>
        <x:v>1</x:v>
      </x:c>
      <x:c r="L9476" s="6" t="n">
        <x:f>J9476*K9476</x:f>
        <x:v>1</x:v>
      </x:c>
    </x:row>
    <x:row r="9477">
      <x:c r="A9477" s="1" t="n">
        <x:v>75840</x:v>
      </x:c>
      <x:c r="B9477" s="5" t="d">
        <x:v>2018-01-12T00:00:00.000Z</x:v>
      </x:c>
      <x:c r="C9477" s="1" t="str">
        <x:v>Second Class</x:v>
      </x:c>
      <x:c r="D9477" s="1" t="str">
        <x:v>Pacific Asia</x:v>
      </x:c>
      <x:c r="E9477" s="1" t="str">
        <x:v>CLOSED</x:v>
      </x:c>
      <x:c r="F9477" s="1" t="str">
        <x:v>Late delivery</x:v>
      </x:c>
      <x:c r="G9477" s="6" t="n">
        <x:v>6</x:v>
      </x:c>
      <x:c r="H9477" s="6" t="n">
        <x:v>2</x:v>
      </x:c>
      <x:c r="I9477" s="6" t="n">
        <x:f>G9477-H9477</x:f>
        <x:v>4</x:v>
      </x:c>
      <x:c r="J9477" s="6" t="n">
        <x:f>IF(OR(E9477="CANCELED",E9477="SUSPECTED_FRAUD",F9477="Shipping canceled"),0,1)</x:f>
        <x:v>1</x:v>
      </x:c>
      <x:c r="K9477" s="6" t="n">
        <x:f>IF(G9477&gt;H9477,1,0)</x:f>
        <x:v>1</x:v>
      </x:c>
      <x:c r="L9477" s="6" t="n">
        <x:f>J9477*K9477</x:f>
        <x:v>1</x:v>
      </x:c>
    </x:row>
    <x:row r="9478">
      <x:c r="A9478" s="1" t="n">
        <x:v>75841</x:v>
      </x:c>
      <x:c r="B9478" s="5" t="d">
        <x:v>2018-01-12T00:00:00.000Z</x:v>
      </x:c>
      <x:c r="C9478" s="1" t="str">
        <x:v>Standard Class</x:v>
      </x:c>
      <x:c r="D9478" s="1" t="str">
        <x:v>Pacific Asia</x:v>
      </x:c>
      <x:c r="E9478" s="1" t="str">
        <x:v>COMPLETE</x:v>
      </x:c>
      <x:c r="F9478" s="1" t="str">
        <x:v>Advance shipping</x:v>
      </x:c>
      <x:c r="G9478" s="6" t="n">
        <x:v>2</x:v>
      </x:c>
      <x:c r="H9478" s="6" t="n">
        <x:v>4</x:v>
      </x:c>
      <x:c r="I9478" s="6" t="n">
        <x:f>G9478-H9478</x:f>
        <x:v>-2</x:v>
      </x:c>
      <x:c r="J9478" s="6" t="n">
        <x:f>IF(OR(E9478="CANCELED",E9478="SUSPECTED_FRAUD",F9478="Shipping canceled"),0,1)</x:f>
        <x:v>1</x:v>
      </x:c>
      <x:c r="K9478" s="6" t="n">
        <x:f>IF(G9478&gt;H9478,1,0)</x:f>
        <x:v>0</x:v>
      </x:c>
      <x:c r="L9478" s="6" t="n">
        <x:f>J9478*K9478</x:f>
        <x:v>0</x:v>
      </x:c>
    </x:row>
    <x:row r="9479">
      <x:c r="A9479" s="1" t="n">
        <x:v>75842</x:v>
      </x:c>
      <x:c r="B9479" s="5" t="d">
        <x:v>2018-01-12T00:00:00.000Z</x:v>
      </x:c>
      <x:c r="C9479" s="1" t="str">
        <x:v>Standard Class</x:v>
      </x:c>
      <x:c r="D9479" s="1" t="str">
        <x:v>Pacific Asia</x:v>
      </x:c>
      <x:c r="E9479" s="1" t="str">
        <x:v>PROCESSING</x:v>
      </x:c>
      <x:c r="F9479" s="1" t="str">
        <x:v>Advance shipping</x:v>
      </x:c>
      <x:c r="G9479" s="6" t="n">
        <x:v>3</x:v>
      </x:c>
      <x:c r="H9479" s="6" t="n">
        <x:v>4</x:v>
      </x:c>
      <x:c r="I9479" s="6" t="n">
        <x:f>G9479-H9479</x:f>
        <x:v>-1</x:v>
      </x:c>
      <x:c r="J9479" s="6" t="n">
        <x:f>IF(OR(E9479="CANCELED",E9479="SUSPECTED_FRAUD",F9479="Shipping canceled"),0,1)</x:f>
        <x:v>1</x:v>
      </x:c>
      <x:c r="K9479" s="6" t="n">
        <x:f>IF(G9479&gt;H9479,1,0)</x:f>
        <x:v>0</x:v>
      </x:c>
      <x:c r="L9479" s="6" t="n">
        <x:f>J9479*K9479</x:f>
        <x:v>0</x:v>
      </x:c>
    </x:row>
    <x:row r="9480">
      <x:c r="A9480" s="1" t="n">
        <x:v>75843</x:v>
      </x:c>
      <x:c r="B9480" s="5" t="d">
        <x:v>2018-01-12T00:00:00.000Z</x:v>
      </x:c>
      <x:c r="C9480" s="1" t="str">
        <x:v>Second Class</x:v>
      </x:c>
      <x:c r="D9480" s="1" t="str">
        <x:v>Pacific Asia</x:v>
      </x:c>
      <x:c r="E9480" s="1" t="str">
        <x:v>PENDING_PAYMENT</x:v>
      </x:c>
      <x:c r="F9480" s="1" t="str">
        <x:v>Late delivery</x:v>
      </x:c>
      <x:c r="G9480" s="6" t="n">
        <x:v>4</x:v>
      </x:c>
      <x:c r="H9480" s="6" t="n">
        <x:v>2</x:v>
      </x:c>
      <x:c r="I9480" s="6" t="n">
        <x:f>G9480-H9480</x:f>
        <x:v>2</x:v>
      </x:c>
      <x:c r="J9480" s="6" t="n">
        <x:f>IF(OR(E9480="CANCELED",E9480="SUSPECTED_FRAUD",F9480="Shipping canceled"),0,1)</x:f>
        <x:v>1</x:v>
      </x:c>
      <x:c r="K9480" s="6" t="n">
        <x:f>IF(G9480&gt;H9480,1,0)</x:f>
        <x:v>1</x:v>
      </x:c>
      <x:c r="L9480" s="6" t="n">
        <x:f>J9480*K9480</x:f>
        <x:v>1</x:v>
      </x:c>
    </x:row>
    <x:row r="9481">
      <x:c r="A9481" s="1" t="n">
        <x:v>75844</x:v>
      </x:c>
      <x:c r="B9481" s="5" t="d">
        <x:v>2018-01-12T00:00:00.000Z</x:v>
      </x:c>
      <x:c r="C9481" s="1" t="str">
        <x:v>Standard Class</x:v>
      </x:c>
      <x:c r="D9481" s="1" t="str">
        <x:v>Pacific Asia</x:v>
      </x:c>
      <x:c r="E9481" s="1" t="str">
        <x:v>PENDING</x:v>
      </x:c>
      <x:c r="F9481" s="1" t="str">
        <x:v>Late delivery</x:v>
      </x:c>
      <x:c r="G9481" s="6" t="n">
        <x:v>5</x:v>
      </x:c>
      <x:c r="H9481" s="6" t="n">
        <x:v>4</x:v>
      </x:c>
      <x:c r="I9481" s="6" t="n">
        <x:f>G9481-H9481</x:f>
        <x:v>1</x:v>
      </x:c>
      <x:c r="J9481" s="6" t="n">
        <x:f>IF(OR(E9481="CANCELED",E9481="SUSPECTED_FRAUD",F9481="Shipping canceled"),0,1)</x:f>
        <x:v>1</x:v>
      </x:c>
      <x:c r="K9481" s="6" t="n">
        <x:f>IF(G9481&gt;H9481,1,0)</x:f>
        <x:v>1</x:v>
      </x:c>
      <x:c r="L9481" s="6" t="n">
        <x:f>J9481*K9481</x:f>
        <x:v>1</x:v>
      </x:c>
    </x:row>
    <x:row r="9482">
      <x:c r="A9482" s="1" t="n">
        <x:v>75845</x:v>
      </x:c>
      <x:c r="B9482" s="5" t="d">
        <x:v>2018-01-12T00:00:00.000Z</x:v>
      </x:c>
      <x:c r="C9482" s="1" t="str">
        <x:v>Standard Class</x:v>
      </x:c>
      <x:c r="D9482" s="1" t="str">
        <x:v>Pacific Asia</x:v>
      </x:c>
      <x:c r="E9482" s="1" t="str">
        <x:v>PENDING_PAYMENT</x:v>
      </x:c>
      <x:c r="F9482" s="1" t="str">
        <x:v>Late delivery</x:v>
      </x:c>
      <x:c r="G9482" s="6" t="n">
        <x:v>6</x:v>
      </x:c>
      <x:c r="H9482" s="6" t="n">
        <x:v>4</x:v>
      </x:c>
      <x:c r="I9482" s="6" t="n">
        <x:f>G9482-H9482</x:f>
        <x:v>2</x:v>
      </x:c>
      <x:c r="J9482" s="6" t="n">
        <x:f>IF(OR(E9482="CANCELED",E9482="SUSPECTED_FRAUD",F9482="Shipping canceled"),0,1)</x:f>
        <x:v>1</x:v>
      </x:c>
      <x:c r="K9482" s="6" t="n">
        <x:f>IF(G9482&gt;H9482,1,0)</x:f>
        <x:v>1</x:v>
      </x:c>
      <x:c r="L9482" s="6" t="n">
        <x:f>J9482*K9482</x:f>
        <x:v>1</x:v>
      </x:c>
    </x:row>
    <x:row r="9483">
      <x:c r="A9483" s="1" t="n">
        <x:v>75846</x:v>
      </x:c>
      <x:c r="B9483" s="5" t="d">
        <x:v>2018-01-12T00:00:00.000Z</x:v>
      </x:c>
      <x:c r="C9483" s="1" t="str">
        <x:v>Standard Class</x:v>
      </x:c>
      <x:c r="D9483" s="1" t="str">
        <x:v>Pacific Asia</x:v>
      </x:c>
      <x:c r="E9483" s="1" t="str">
        <x:v>PROCESSING</x:v>
      </x:c>
      <x:c r="F9483" s="1" t="str">
        <x:v>Advance shipping</x:v>
      </x:c>
      <x:c r="G9483" s="6" t="n">
        <x:v>2</x:v>
      </x:c>
      <x:c r="H9483" s="6" t="n">
        <x:v>4</x:v>
      </x:c>
      <x:c r="I9483" s="6" t="n">
        <x:f>G9483-H9483</x:f>
        <x:v>-2</x:v>
      </x:c>
      <x:c r="J9483" s="6" t="n">
        <x:f>IF(OR(E9483="CANCELED",E9483="SUSPECTED_FRAUD",F9483="Shipping canceled"),0,1)</x:f>
        <x:v>1</x:v>
      </x:c>
      <x:c r="K9483" s="6" t="n">
        <x:f>IF(G9483&gt;H9483,1,0)</x:f>
        <x:v>0</x:v>
      </x:c>
      <x:c r="L9483" s="6" t="n">
        <x:f>J9483*K9483</x:f>
        <x:v>0</x:v>
      </x:c>
    </x:row>
    <x:row r="9484">
      <x:c r="A9484" s="1" t="n">
        <x:v>75847</x:v>
      </x:c>
      <x:c r="B9484" s="5" t="d">
        <x:v>2018-01-12T00:00:00.000Z</x:v>
      </x:c>
      <x:c r="C9484" s="1" t="str">
        <x:v>Second Class</x:v>
      </x:c>
      <x:c r="D9484" s="1" t="str">
        <x:v>Pacific Asia</x:v>
      </x:c>
      <x:c r="E9484" s="1" t="str">
        <x:v>SUSPECTED_FRAUD</x:v>
      </x:c>
      <x:c r="F9484" s="1" t="str">
        <x:v>Shipping canceled</x:v>
      </x:c>
      <x:c r="G9484" s="6" t="n">
        <x:v>3</x:v>
      </x:c>
      <x:c r="H9484" s="6" t="n">
        <x:v>2</x:v>
      </x:c>
      <x:c r="I9484" s="6" t="n">
        <x:f>G9484-H9484</x:f>
        <x:v>1</x:v>
      </x:c>
      <x:c r="J9484" s="6" t="n">
        <x:f>IF(OR(E9484="CANCELED",E9484="SUSPECTED_FRAUD",F9484="Shipping canceled"),0,1)</x:f>
        <x:v>0</x:v>
      </x:c>
      <x:c r="K9484" s="6" t="n">
        <x:f>IF(G9484&gt;H9484,1,0)</x:f>
        <x:v>1</x:v>
      </x:c>
      <x:c r="L9484" s="6" t="n">
        <x:f>J9484*K9484</x:f>
        <x:v>0</x:v>
      </x:c>
    </x:row>
    <x:row r="9485">
      <x:c r="A9485" s="1" t="n">
        <x:v>75848</x:v>
      </x:c>
      <x:c r="B9485" s="5" t="d">
        <x:v>2018-01-12T00:00:00.000Z</x:v>
      </x:c>
      <x:c r="C9485" s="1" t="str">
        <x:v>Second Class</x:v>
      </x:c>
      <x:c r="D9485" s="1" t="str">
        <x:v>Pacific Asia</x:v>
      </x:c>
      <x:c r="E9485" s="1" t="str">
        <x:v>PENDING_PAYMENT</x:v>
      </x:c>
      <x:c r="F9485" s="1" t="str">
        <x:v>Late delivery</x:v>
      </x:c>
      <x:c r="G9485" s="6" t="n">
        <x:v>4</x:v>
      </x:c>
      <x:c r="H9485" s="6" t="n">
        <x:v>2</x:v>
      </x:c>
      <x:c r="I9485" s="6" t="n">
        <x:f>G9485-H9485</x:f>
        <x:v>2</x:v>
      </x:c>
      <x:c r="J9485" s="6" t="n">
        <x:f>IF(OR(E9485="CANCELED",E9485="SUSPECTED_FRAUD",F9485="Shipping canceled"),0,1)</x:f>
        <x:v>1</x:v>
      </x:c>
      <x:c r="K9485" s="6" t="n">
        <x:f>IF(G9485&gt;H9485,1,0)</x:f>
        <x:v>1</x:v>
      </x:c>
      <x:c r="L9485" s="6" t="n">
        <x:f>J9485*K9485</x:f>
        <x:v>1</x:v>
      </x:c>
    </x:row>
    <x:row r="9486">
      <x:c r="A9486" s="1" t="n">
        <x:v>75849</x:v>
      </x:c>
      <x:c r="B9486" s="5" t="d">
        <x:v>2018-01-12T00:00:00.000Z</x:v>
      </x:c>
      <x:c r="C9486" s="1" t="str">
        <x:v>Standard Class</x:v>
      </x:c>
      <x:c r="D9486" s="1" t="str">
        <x:v>Pacific Asia</x:v>
      </x:c>
      <x:c r="E9486" s="1" t="str">
        <x:v>PENDING_PAYMENT</x:v>
      </x:c>
      <x:c r="F9486" s="1" t="str">
        <x:v>Late delivery</x:v>
      </x:c>
      <x:c r="G9486" s="6" t="n">
        <x:v>5</x:v>
      </x:c>
      <x:c r="H9486" s="6" t="n">
        <x:v>4</x:v>
      </x:c>
      <x:c r="I9486" s="6" t="n">
        <x:f>G9486-H9486</x:f>
        <x:v>1</x:v>
      </x:c>
      <x:c r="J9486" s="6" t="n">
        <x:f>IF(OR(E9486="CANCELED",E9486="SUSPECTED_FRAUD",F9486="Shipping canceled"),0,1)</x:f>
        <x:v>1</x:v>
      </x:c>
      <x:c r="K9486" s="6" t="n">
        <x:f>IF(G9486&gt;H9486,1,0)</x:f>
        <x:v>1</x:v>
      </x:c>
      <x:c r="L9486" s="6" t="n">
        <x:f>J9486*K9486</x:f>
        <x:v>1</x:v>
      </x:c>
    </x:row>
    <x:row r="9487">
      <x:c r="A9487" s="1" t="n">
        <x:v>75850</x:v>
      </x:c>
      <x:c r="B9487" s="5" t="d">
        <x:v>2018-01-12T00:00:00.000Z</x:v>
      </x:c>
      <x:c r="C9487" s="1" t="str">
        <x:v>Standard Class</x:v>
      </x:c>
      <x:c r="D9487" s="1" t="str">
        <x:v>Pacific Asia</x:v>
      </x:c>
      <x:c r="E9487" s="1" t="str">
        <x:v>COMPLETE</x:v>
      </x:c>
      <x:c r="F9487" s="1" t="str">
        <x:v>Late delivery</x:v>
      </x:c>
      <x:c r="G9487" s="6" t="n">
        <x:v>6</x:v>
      </x:c>
      <x:c r="H9487" s="6" t="n">
        <x:v>4</x:v>
      </x:c>
      <x:c r="I9487" s="6" t="n">
        <x:f>G9487-H9487</x:f>
        <x:v>2</x:v>
      </x:c>
      <x:c r="J9487" s="6" t="n">
        <x:f>IF(OR(E9487="CANCELED",E9487="SUSPECTED_FRAUD",F9487="Shipping canceled"),0,1)</x:f>
        <x:v>1</x:v>
      </x:c>
      <x:c r="K9487" s="6" t="n">
        <x:f>IF(G9487&gt;H9487,1,0)</x:f>
        <x:v>1</x:v>
      </x:c>
      <x:c r="L9487" s="6" t="n">
        <x:f>J9487*K9487</x:f>
        <x:v>1</x:v>
      </x:c>
    </x:row>
    <x:row r="9488">
      <x:c r="A9488" s="1" t="n">
        <x:v>75851</x:v>
      </x:c>
      <x:c r="B9488" s="5" t="d">
        <x:v>2018-01-12T00:00:00.000Z</x:v>
      </x:c>
      <x:c r="C9488" s="1" t="str">
        <x:v>Standard Class</x:v>
      </x:c>
      <x:c r="D9488" s="1" t="str">
        <x:v>Pacific Asia</x:v>
      </x:c>
      <x:c r="E9488" s="1" t="str">
        <x:v>PENDING</x:v>
      </x:c>
      <x:c r="F9488" s="1" t="str">
        <x:v>Advance shipping</x:v>
      </x:c>
      <x:c r="G9488" s="6" t="n">
        <x:v>2</x:v>
      </x:c>
      <x:c r="H9488" s="6" t="n">
        <x:v>4</x:v>
      </x:c>
      <x:c r="I9488" s="6" t="n">
        <x:f>G9488-H9488</x:f>
        <x:v>-2</x:v>
      </x:c>
      <x:c r="J9488" s="6" t="n">
        <x:f>IF(OR(E9488="CANCELED",E9488="SUSPECTED_FRAUD",F9488="Shipping canceled"),0,1)</x:f>
        <x:v>1</x:v>
      </x:c>
      <x:c r="K9488" s="6" t="n">
        <x:f>IF(G9488&gt;H9488,1,0)</x:f>
        <x:v>0</x:v>
      </x:c>
      <x:c r="L9488" s="6" t="n">
        <x:f>J9488*K9488</x:f>
        <x:v>0</x:v>
      </x:c>
    </x:row>
    <x:row r="9489">
      <x:c r="A9489" s="1" t="n">
        <x:v>75852</x:v>
      </x:c>
      <x:c r="B9489" s="5" t="d">
        <x:v>2018-01-12T00:00:00.000Z</x:v>
      </x:c>
      <x:c r="C9489" s="1" t="str">
        <x:v>Standard Class</x:v>
      </x:c>
      <x:c r="D9489" s="1" t="str">
        <x:v>Pacific Asia</x:v>
      </x:c>
      <x:c r="E9489" s="1" t="str">
        <x:v>COMPLETE</x:v>
      </x:c>
      <x:c r="F9489" s="1" t="str">
        <x:v>Advance shipping</x:v>
      </x:c>
      <x:c r="G9489" s="6" t="n">
        <x:v>3</x:v>
      </x:c>
      <x:c r="H9489" s="6" t="n">
        <x:v>4</x:v>
      </x:c>
      <x:c r="I9489" s="6" t="n">
        <x:f>G9489-H9489</x:f>
        <x:v>-1</x:v>
      </x:c>
      <x:c r="J9489" s="6" t="n">
        <x:f>IF(OR(E9489="CANCELED",E9489="SUSPECTED_FRAUD",F9489="Shipping canceled"),0,1)</x:f>
        <x:v>1</x:v>
      </x:c>
      <x:c r="K9489" s="6" t="n">
        <x:f>IF(G9489&gt;H9489,1,0)</x:f>
        <x:v>0</x:v>
      </x:c>
      <x:c r="L9489" s="6" t="n">
        <x:f>J9489*K9489</x:f>
        <x:v>0</x:v>
      </x:c>
    </x:row>
    <x:row r="9490">
      <x:c r="A9490" s="1" t="n">
        <x:v>75853</x:v>
      </x:c>
      <x:c r="B9490" s="5" t="d">
        <x:v>2018-01-12T00:00:00.000Z</x:v>
      </x:c>
      <x:c r="C9490" s="1" t="str">
        <x:v>Second Class</x:v>
      </x:c>
      <x:c r="D9490" s="1" t="str">
        <x:v>Pacific Asia</x:v>
      </x:c>
      <x:c r="E9490" s="1" t="str">
        <x:v>PENDING_PAYMENT</x:v>
      </x:c>
      <x:c r="F9490" s="1" t="str">
        <x:v>Late delivery</x:v>
      </x:c>
      <x:c r="G9490" s="6" t="n">
        <x:v>4</x:v>
      </x:c>
      <x:c r="H9490" s="6" t="n">
        <x:v>2</x:v>
      </x:c>
      <x:c r="I9490" s="6" t="n">
        <x:f>G9490-H9490</x:f>
        <x:v>2</x:v>
      </x:c>
      <x:c r="J9490" s="6" t="n">
        <x:f>IF(OR(E9490="CANCELED",E9490="SUSPECTED_FRAUD",F9490="Shipping canceled"),0,1)</x:f>
        <x:v>1</x:v>
      </x:c>
      <x:c r="K9490" s="6" t="n">
        <x:f>IF(G9490&gt;H9490,1,0)</x:f>
        <x:v>1</x:v>
      </x:c>
      <x:c r="L9490" s="6" t="n">
        <x:f>J9490*K9490</x:f>
        <x:v>1</x:v>
      </x:c>
    </x:row>
    <x:row r="9491">
      <x:c r="A9491" s="1" t="n">
        <x:v>75854</x:v>
      </x:c>
      <x:c r="B9491" s="5" t="d">
        <x:v>2018-01-12T00:00:00.000Z</x:v>
      </x:c>
      <x:c r="C9491" s="1" t="str">
        <x:v>Second Class</x:v>
      </x:c>
      <x:c r="D9491" s="1" t="str">
        <x:v>Pacific Asia</x:v>
      </x:c>
      <x:c r="E9491" s="1" t="str">
        <x:v>COMPLETE</x:v>
      </x:c>
      <x:c r="F9491" s="1" t="str">
        <x:v>Late delivery</x:v>
      </x:c>
      <x:c r="G9491" s="6" t="n">
        <x:v>5</x:v>
      </x:c>
      <x:c r="H9491" s="6" t="n">
        <x:v>2</x:v>
      </x:c>
      <x:c r="I9491" s="6" t="n">
        <x:f>G9491-H9491</x:f>
        <x:v>3</x:v>
      </x:c>
      <x:c r="J9491" s="6" t="n">
        <x:f>IF(OR(E9491="CANCELED",E9491="SUSPECTED_FRAUD",F9491="Shipping canceled"),0,1)</x:f>
        <x:v>1</x:v>
      </x:c>
      <x:c r="K9491" s="6" t="n">
        <x:f>IF(G9491&gt;H9491,1,0)</x:f>
        <x:v>1</x:v>
      </x:c>
      <x:c r="L9491" s="6" t="n">
        <x:f>J9491*K9491</x:f>
        <x:v>1</x:v>
      </x:c>
    </x:row>
    <x:row r="9492">
      <x:c r="A9492" s="1" t="n">
        <x:v>75855</x:v>
      </x:c>
      <x:c r="B9492" s="5" t="d">
        <x:v>2018-01-12T00:00:00.000Z</x:v>
      </x:c>
      <x:c r="C9492" s="1" t="str">
        <x:v>First Class</x:v>
      </x:c>
      <x:c r="D9492" s="1" t="str">
        <x:v>Pacific Asia</x:v>
      </x:c>
      <x:c r="E9492" s="1" t="str">
        <x:v>PENDING_PAYMENT</x:v>
      </x:c>
      <x:c r="F9492" s="1" t="str">
        <x:v>Late delivery</x:v>
      </x:c>
      <x:c r="G9492" s="6" t="n">
        <x:v>2</x:v>
      </x:c>
      <x:c r="H9492" s="6" t="n">
        <x:v>1</x:v>
      </x:c>
      <x:c r="I9492" s="6" t="n">
        <x:f>G9492-H9492</x:f>
        <x:v>1</x:v>
      </x:c>
      <x:c r="J9492" s="6" t="n">
        <x:f>IF(OR(E9492="CANCELED",E9492="SUSPECTED_FRAUD",F9492="Shipping canceled"),0,1)</x:f>
        <x:v>1</x:v>
      </x:c>
      <x:c r="K9492" s="6" t="n">
        <x:f>IF(G9492&gt;H9492,1,0)</x:f>
        <x:v>1</x:v>
      </x:c>
      <x:c r="L9492" s="6" t="n">
        <x:f>J9492*K9492</x:f>
        <x:v>1</x:v>
      </x:c>
    </x:row>
    <x:row r="9493">
      <x:c r="A9493" s="1" t="n">
        <x:v>75856</x:v>
      </x:c>
      <x:c r="B9493" s="5" t="d">
        <x:v>2018-01-12T00:00:00.000Z</x:v>
      </x:c>
      <x:c r="C9493" s="1" t="str">
        <x:v>Second Class</x:v>
      </x:c>
      <x:c r="D9493" s="1" t="str">
        <x:v>Pacific Asia</x:v>
      </x:c>
      <x:c r="E9493" s="1" t="str">
        <x:v>ON_HOLD</x:v>
      </x:c>
      <x:c r="F9493" s="1" t="str">
        <x:v>Shipping on time</x:v>
      </x:c>
      <x:c r="G9493" s="6" t="n">
        <x:v>2</x:v>
      </x:c>
      <x:c r="H9493" s="6" t="n">
        <x:v>2</x:v>
      </x:c>
      <x:c r="I9493" s="6" t="n">
        <x:f>G9493-H9493</x:f>
        <x:v>0</x:v>
      </x:c>
      <x:c r="J9493" s="6" t="n">
        <x:f>IF(OR(E9493="CANCELED",E9493="SUSPECTED_FRAUD",F9493="Shipping canceled"),0,1)</x:f>
        <x:v>1</x:v>
      </x:c>
      <x:c r="K9493" s="6" t="n">
        <x:f>IF(G9493&gt;H9493,1,0)</x:f>
        <x:v>0</x:v>
      </x:c>
      <x:c r="L9493" s="6" t="n">
        <x:f>J9493*K9493</x:f>
        <x:v>0</x:v>
      </x:c>
    </x:row>
    <x:row r="9494">
      <x:c r="A9494" s="1" t="n">
        <x:v>75857</x:v>
      </x:c>
      <x:c r="B9494" s="5" t="d">
        <x:v>2018-01-12T00:00:00.000Z</x:v>
      </x:c>
      <x:c r="C9494" s="1" t="str">
        <x:v>Standard Class</x:v>
      </x:c>
      <x:c r="D9494" s="1" t="str">
        <x:v>Pacific Asia</x:v>
      </x:c>
      <x:c r="E9494" s="1" t="str">
        <x:v>COMPLETE</x:v>
      </x:c>
      <x:c r="F9494" s="1" t="str">
        <x:v>Advance shipping</x:v>
      </x:c>
      <x:c r="G9494" s="6" t="n">
        <x:v>3</x:v>
      </x:c>
      <x:c r="H9494" s="6" t="n">
        <x:v>4</x:v>
      </x:c>
      <x:c r="I9494" s="6" t="n">
        <x:f>G9494-H9494</x:f>
        <x:v>-1</x:v>
      </x:c>
      <x:c r="J9494" s="6" t="n">
        <x:f>IF(OR(E9494="CANCELED",E9494="SUSPECTED_FRAUD",F9494="Shipping canceled"),0,1)</x:f>
        <x:v>1</x:v>
      </x:c>
      <x:c r="K9494" s="6" t="n">
        <x:f>IF(G9494&gt;H9494,1,0)</x:f>
        <x:v>0</x:v>
      </x:c>
      <x:c r="L9494" s="6" t="n">
        <x:f>J9494*K9494</x:f>
        <x:v>0</x:v>
      </x:c>
    </x:row>
    <x:row r="9495">
      <x:c r="A9495" s="1" t="n">
        <x:v>75858</x:v>
      </x:c>
      <x:c r="B9495" s="5" t="d">
        <x:v>2018-01-12T00:00:00.000Z</x:v>
      </x:c>
      <x:c r="C9495" s="1" t="str">
        <x:v>Second Class</x:v>
      </x:c>
      <x:c r="D9495" s="1" t="str">
        <x:v>Pacific Asia</x:v>
      </x:c>
      <x:c r="E9495" s="1" t="str">
        <x:v>COMPLETE</x:v>
      </x:c>
      <x:c r="F9495" s="1" t="str">
        <x:v>Late delivery</x:v>
      </x:c>
      <x:c r="G9495" s="6" t="n">
        <x:v>4</x:v>
      </x:c>
      <x:c r="H9495" s="6" t="n">
        <x:v>2</x:v>
      </x:c>
      <x:c r="I9495" s="6" t="n">
        <x:f>G9495-H9495</x:f>
        <x:v>2</x:v>
      </x:c>
      <x:c r="J9495" s="6" t="n">
        <x:f>IF(OR(E9495="CANCELED",E9495="SUSPECTED_FRAUD",F9495="Shipping canceled"),0,1)</x:f>
        <x:v>1</x:v>
      </x:c>
      <x:c r="K9495" s="6" t="n">
        <x:f>IF(G9495&gt;H9495,1,0)</x:f>
        <x:v>1</x:v>
      </x:c>
      <x:c r="L9495" s="6" t="n">
        <x:f>J9495*K9495</x:f>
        <x:v>1</x:v>
      </x:c>
    </x:row>
    <x:row r="9496">
      <x:c r="A9496" s="1" t="n">
        <x:v>75859</x:v>
      </x:c>
      <x:c r="B9496" s="5" t="d">
        <x:v>2018-01-12T00:00:00.000Z</x:v>
      </x:c>
      <x:c r="C9496" s="1" t="str">
        <x:v>Standard Class</x:v>
      </x:c>
      <x:c r="D9496" s="1" t="str">
        <x:v>Pacific Asia</x:v>
      </x:c>
      <x:c r="E9496" s="1" t="str">
        <x:v>SUSPECTED_FRAUD</x:v>
      </x:c>
      <x:c r="F9496" s="1" t="str">
        <x:v>Shipping canceled</x:v>
      </x:c>
      <x:c r="G9496" s="6" t="n">
        <x:v>5</x:v>
      </x:c>
      <x:c r="H9496" s="6" t="n">
        <x:v>4</x:v>
      </x:c>
      <x:c r="I9496" s="6" t="n">
        <x:f>G9496-H9496</x:f>
        <x:v>1</x:v>
      </x:c>
      <x:c r="J9496" s="6" t="n">
        <x:f>IF(OR(E9496="CANCELED",E9496="SUSPECTED_FRAUD",F9496="Shipping canceled"),0,1)</x:f>
        <x:v>0</x:v>
      </x:c>
      <x:c r="K9496" s="6" t="n">
        <x:f>IF(G9496&gt;H9496,1,0)</x:f>
        <x:v>1</x:v>
      </x:c>
      <x:c r="L9496" s="6" t="n">
        <x:f>J9496*K9496</x:f>
        <x:v>0</x:v>
      </x:c>
    </x:row>
    <x:row r="9497">
      <x:c r="A9497" s="1" t="n">
        <x:v>75860</x:v>
      </x:c>
      <x:c r="B9497" s="5" t="d">
        <x:v>2018-01-12T00:00:00.000Z</x:v>
      </x:c>
      <x:c r="C9497" s="1" t="str">
        <x:v>Standard Class</x:v>
      </x:c>
      <x:c r="D9497" s="1" t="str">
        <x:v>Pacific Asia</x:v>
      </x:c>
      <x:c r="E9497" s="1" t="str">
        <x:v>COMPLETE</x:v>
      </x:c>
      <x:c r="F9497" s="1" t="str">
        <x:v>Late delivery</x:v>
      </x:c>
      <x:c r="G9497" s="6" t="n">
        <x:v>6</x:v>
      </x:c>
      <x:c r="H9497" s="6" t="n">
        <x:v>4</x:v>
      </x:c>
      <x:c r="I9497" s="6" t="n">
        <x:f>G9497-H9497</x:f>
        <x:v>2</x:v>
      </x:c>
      <x:c r="J9497" s="6" t="n">
        <x:f>IF(OR(E9497="CANCELED",E9497="SUSPECTED_FRAUD",F9497="Shipping canceled"),0,1)</x:f>
        <x:v>1</x:v>
      </x:c>
      <x:c r="K9497" s="6" t="n">
        <x:f>IF(G9497&gt;H9497,1,0)</x:f>
        <x:v>1</x:v>
      </x:c>
      <x:c r="L9497" s="6" t="n">
        <x:f>J9497*K9497</x:f>
        <x:v>1</x:v>
      </x:c>
    </x:row>
    <x:row r="9498">
      <x:c r="A9498" s="1" t="n">
        <x:v>75861</x:v>
      </x:c>
      <x:c r="B9498" s="5" t="d">
        <x:v>2018-01-12T00:00:00.000Z</x:v>
      </x:c>
      <x:c r="C9498" s="1" t="str">
        <x:v>Standard Class</x:v>
      </x:c>
      <x:c r="D9498" s="1" t="str">
        <x:v>Pacific Asia</x:v>
      </x:c>
      <x:c r="E9498" s="1" t="str">
        <x:v>COMPLETE</x:v>
      </x:c>
      <x:c r="F9498" s="1" t="str">
        <x:v>Advance shipping</x:v>
      </x:c>
      <x:c r="G9498" s="6" t="n">
        <x:v>2</x:v>
      </x:c>
      <x:c r="H9498" s="6" t="n">
        <x:v>4</x:v>
      </x:c>
      <x:c r="I9498" s="6" t="n">
        <x:f>G9498-H9498</x:f>
        <x:v>-2</x:v>
      </x:c>
      <x:c r="J9498" s="6" t="n">
        <x:f>IF(OR(E9498="CANCELED",E9498="SUSPECTED_FRAUD",F9498="Shipping canceled"),0,1)</x:f>
        <x:v>1</x:v>
      </x:c>
      <x:c r="K9498" s="6" t="n">
        <x:f>IF(G9498&gt;H9498,1,0)</x:f>
        <x:v>0</x:v>
      </x:c>
      <x:c r="L9498" s="6" t="n">
        <x:f>J9498*K9498</x:f>
        <x:v>0</x:v>
      </x:c>
    </x:row>
    <x:row r="9499">
      <x:c r="A9499" s="1" t="n">
        <x:v>75862</x:v>
      </x:c>
      <x:c r="B9499" s="5" t="d">
        <x:v>2018-01-12T00:00:00.000Z</x:v>
      </x:c>
      <x:c r="C9499" s="1" t="str">
        <x:v>Standard Class</x:v>
      </x:c>
      <x:c r="D9499" s="1" t="str">
        <x:v>Pacific Asia</x:v>
      </x:c>
      <x:c r="E9499" s="1" t="str">
        <x:v>PENDING</x:v>
      </x:c>
      <x:c r="F9499" s="1" t="str">
        <x:v>Advance shipping</x:v>
      </x:c>
      <x:c r="G9499" s="6" t="n">
        <x:v>3</x:v>
      </x:c>
      <x:c r="H9499" s="6" t="n">
        <x:v>4</x:v>
      </x:c>
      <x:c r="I9499" s="6" t="n">
        <x:f>G9499-H9499</x:f>
        <x:v>-1</x:v>
      </x:c>
      <x:c r="J9499" s="6" t="n">
        <x:f>IF(OR(E9499="CANCELED",E9499="SUSPECTED_FRAUD",F9499="Shipping canceled"),0,1)</x:f>
        <x:v>1</x:v>
      </x:c>
      <x:c r="K9499" s="6" t="n">
        <x:f>IF(G9499&gt;H9499,1,0)</x:f>
        <x:v>0</x:v>
      </x:c>
      <x:c r="L9499" s="6" t="n">
        <x:f>J9499*K9499</x:f>
        <x:v>0</x:v>
      </x:c>
    </x:row>
    <x:row r="9500">
      <x:c r="A9500" s="1" t="n">
        <x:v>75863</x:v>
      </x:c>
      <x:c r="B9500" s="5" t="d">
        <x:v>2018-01-12T00:00:00.000Z</x:v>
      </x:c>
      <x:c r="C9500" s="1" t="str">
        <x:v>Standard Class</x:v>
      </x:c>
      <x:c r="D9500" s="1" t="str">
        <x:v>Pacific Asia</x:v>
      </x:c>
      <x:c r="E9500" s="1" t="str">
        <x:v>PENDING_PAYMENT</x:v>
      </x:c>
      <x:c r="F9500" s="1" t="str">
        <x:v>Shipping on time</x:v>
      </x:c>
      <x:c r="G9500" s="6" t="n">
        <x:v>4</x:v>
      </x:c>
      <x:c r="H9500" s="6" t="n">
        <x:v>4</x:v>
      </x:c>
      <x:c r="I9500" s="6" t="n">
        <x:f>G9500-H9500</x:f>
        <x:v>0</x:v>
      </x:c>
      <x:c r="J9500" s="6" t="n">
        <x:f>IF(OR(E9500="CANCELED",E9500="SUSPECTED_FRAUD",F9500="Shipping canceled"),0,1)</x:f>
        <x:v>1</x:v>
      </x:c>
      <x:c r="K9500" s="6" t="n">
        <x:f>IF(G9500&gt;H9500,1,0)</x:f>
        <x:v>0</x:v>
      </x:c>
      <x:c r="L9500" s="6" t="n">
        <x:f>J9500*K9500</x:f>
        <x:v>0</x:v>
      </x:c>
    </x:row>
    <x:row r="9501">
      <x:c r="A9501" s="1" t="n">
        <x:v>75864</x:v>
      </x:c>
      <x:c r="B9501" s="5" t="d">
        <x:v>2018-01-12T00:00:00.000Z</x:v>
      </x:c>
      <x:c r="C9501" s="1" t="str">
        <x:v>Standard Class</x:v>
      </x:c>
      <x:c r="D9501" s="1" t="str">
        <x:v>Pacific Asia</x:v>
      </x:c>
      <x:c r="E9501" s="1" t="str">
        <x:v>PENDING</x:v>
      </x:c>
      <x:c r="F9501" s="1" t="str">
        <x:v>Late delivery</x:v>
      </x:c>
      <x:c r="G9501" s="6" t="n">
        <x:v>5</x:v>
      </x:c>
      <x:c r="H9501" s="6" t="n">
        <x:v>4</x:v>
      </x:c>
      <x:c r="I9501" s="6" t="n">
        <x:f>G9501-H9501</x:f>
        <x:v>1</x:v>
      </x:c>
      <x:c r="J9501" s="6" t="n">
        <x:f>IF(OR(E9501="CANCELED",E9501="SUSPECTED_FRAUD",F9501="Shipping canceled"),0,1)</x:f>
        <x:v>1</x:v>
      </x:c>
      <x:c r="K9501" s="6" t="n">
        <x:f>IF(G9501&gt;H9501,1,0)</x:f>
        <x:v>1</x:v>
      </x:c>
      <x:c r="L9501" s="6" t="n">
        <x:f>J9501*K9501</x:f>
        <x:v>1</x:v>
      </x:c>
    </x:row>
    <x:row r="9502">
      <x:c r="A9502" s="1" t="n">
        <x:v>75865</x:v>
      </x:c>
      <x:c r="B9502" s="5" t="d">
        <x:v>2018-01-12T00:00:00.000Z</x:v>
      </x:c>
      <x:c r="C9502" s="1" t="str">
        <x:v>Same Day</x:v>
      </x:c>
      <x:c r="D9502" s="1" t="str">
        <x:v>Pacific Asia</x:v>
      </x:c>
      <x:c r="E9502" s="1" t="str">
        <x:v>CLOSED</x:v>
      </x:c>
      <x:c r="F9502" s="1" t="str">
        <x:v>Shipping on time</x:v>
      </x:c>
      <x:c r="G9502" s="6" t="n">
        <x:v>0</x:v>
      </x:c>
      <x:c r="H9502" s="6" t="n">
        <x:v>0</x:v>
      </x:c>
      <x:c r="I9502" s="6" t="n">
        <x:f>G9502-H9502</x:f>
        <x:v>0</x:v>
      </x:c>
      <x:c r="J9502" s="6" t="n">
        <x:f>IF(OR(E9502="CANCELED",E9502="SUSPECTED_FRAUD",F9502="Shipping canceled"),0,1)</x:f>
        <x:v>1</x:v>
      </x:c>
      <x:c r="K9502" s="6" t="n">
        <x:f>IF(G9502&gt;H9502,1,0)</x:f>
        <x:v>0</x:v>
      </x:c>
      <x:c r="L9502" s="6" t="n">
        <x:f>J9502*K9502</x:f>
        <x:v>0</x:v>
      </x:c>
    </x:row>
    <x:row r="9503">
      <x:c r="A9503" s="1" t="n">
        <x:v>75866</x:v>
      </x:c>
      <x:c r="B9503" s="5" t="d">
        <x:v>2018-01-12T00:00:00.000Z</x:v>
      </x:c>
      <x:c r="C9503" s="1" t="str">
        <x:v>Same Day</x:v>
      </x:c>
      <x:c r="D9503" s="1" t="str">
        <x:v>Pacific Asia</x:v>
      </x:c>
      <x:c r="E9503" s="1" t="str">
        <x:v>PENDING_PAYMENT</x:v>
      </x:c>
      <x:c r="F9503" s="1" t="str">
        <x:v>Shipping on time</x:v>
      </x:c>
      <x:c r="G9503" s="6" t="n">
        <x:v>0</x:v>
      </x:c>
      <x:c r="H9503" s="6" t="n">
        <x:v>0</x:v>
      </x:c>
      <x:c r="I9503" s="6" t="n">
        <x:f>G9503-H9503</x:f>
        <x:v>0</x:v>
      </x:c>
      <x:c r="J9503" s="6" t="n">
        <x:f>IF(OR(E9503="CANCELED",E9503="SUSPECTED_FRAUD",F9503="Shipping canceled"),0,1)</x:f>
        <x:v>1</x:v>
      </x:c>
      <x:c r="K9503" s="6" t="n">
        <x:f>IF(G9503&gt;H9503,1,0)</x:f>
        <x:v>0</x:v>
      </x:c>
      <x:c r="L9503" s="6" t="n">
        <x:f>J9503*K9503</x:f>
        <x:v>0</x:v>
      </x:c>
    </x:row>
    <x:row r="9504">
      <x:c r="A9504" s="1" t="n">
        <x:v>75867</x:v>
      </x:c>
      <x:c r="B9504" s="5" t="d">
        <x:v>2018-01-12T00:00:00.000Z</x:v>
      </x:c>
      <x:c r="C9504" s="1" t="str">
        <x:v>Same Day</x:v>
      </x:c>
      <x:c r="D9504" s="1" t="str">
        <x:v>Pacific Asia</x:v>
      </x:c>
      <x:c r="E9504" s="1" t="str">
        <x:v>PENDING</x:v>
      </x:c>
      <x:c r="F9504" s="1" t="str">
        <x:v>Shipping on time</x:v>
      </x:c>
      <x:c r="G9504" s="6" t="n">
        <x:v>0</x:v>
      </x:c>
      <x:c r="H9504" s="6" t="n">
        <x:v>0</x:v>
      </x:c>
      <x:c r="I9504" s="6" t="n">
        <x:f>G9504-H9504</x:f>
        <x:v>0</x:v>
      </x:c>
      <x:c r="J9504" s="6" t="n">
        <x:f>IF(OR(E9504="CANCELED",E9504="SUSPECTED_FRAUD",F9504="Shipping canceled"),0,1)</x:f>
        <x:v>1</x:v>
      </x:c>
      <x:c r="K9504" s="6" t="n">
        <x:f>IF(G9504&gt;H9504,1,0)</x:f>
        <x:v>0</x:v>
      </x:c>
      <x:c r="L9504" s="6" t="n">
        <x:f>J9504*K9504</x:f>
        <x:v>0</x:v>
      </x:c>
    </x:row>
    <x:row r="9505">
      <x:c r="A9505" s="1" t="n">
        <x:v>75868</x:v>
      </x:c>
      <x:c r="B9505" s="5" t="d">
        <x:v>2018-01-12T00:00:00.000Z</x:v>
      </x:c>
      <x:c r="C9505" s="1" t="str">
        <x:v>First Class</x:v>
      </x:c>
      <x:c r="D9505" s="1" t="str">
        <x:v>Pacific Asia</x:v>
      </x:c>
      <x:c r="E9505" s="1" t="str">
        <x:v>PROCESSING</x:v>
      </x:c>
      <x:c r="F9505" s="1" t="str">
        <x:v>Late delivery</x:v>
      </x:c>
      <x:c r="G9505" s="6" t="n">
        <x:v>2</x:v>
      </x:c>
      <x:c r="H9505" s="6" t="n">
        <x:v>1</x:v>
      </x:c>
      <x:c r="I9505" s="6" t="n">
        <x:f>G9505-H9505</x:f>
        <x:v>1</x:v>
      </x:c>
      <x:c r="J9505" s="6" t="n">
        <x:f>IF(OR(E9505="CANCELED",E9505="SUSPECTED_FRAUD",F9505="Shipping canceled"),0,1)</x:f>
        <x:v>1</x:v>
      </x:c>
      <x:c r="K9505" s="6" t="n">
        <x:f>IF(G9505&gt;H9505,1,0)</x:f>
        <x:v>1</x:v>
      </x:c>
      <x:c r="L9505" s="6" t="n">
        <x:f>J9505*K9505</x:f>
        <x:v>1</x:v>
      </x:c>
    </x:row>
    <x:row r="9506">
      <x:c r="A9506" s="1" t="n">
        <x:v>75869</x:v>
      </x:c>
      <x:c r="B9506" s="5" t="d">
        <x:v>2018-01-12T00:00:00.000Z</x:v>
      </x:c>
      <x:c r="C9506" s="1" t="str">
        <x:v>First Class</x:v>
      </x:c>
      <x:c r="D9506" s="1" t="str">
        <x:v>Pacific Asia</x:v>
      </x:c>
      <x:c r="E9506" s="1" t="str">
        <x:v>COMPLETE</x:v>
      </x:c>
      <x:c r="F9506" s="1" t="str">
        <x:v>Late delivery</x:v>
      </x:c>
      <x:c r="G9506" s="6" t="n">
        <x:v>2</x:v>
      </x:c>
      <x:c r="H9506" s="6" t="n">
        <x:v>1</x:v>
      </x:c>
      <x:c r="I9506" s="6" t="n">
        <x:f>G9506-H9506</x:f>
        <x:v>1</x:v>
      </x:c>
      <x:c r="J9506" s="6" t="n">
        <x:f>IF(OR(E9506="CANCELED",E9506="SUSPECTED_FRAUD",F9506="Shipping canceled"),0,1)</x:f>
        <x:v>1</x:v>
      </x:c>
      <x:c r="K9506" s="6" t="n">
        <x:f>IF(G9506&gt;H9506,1,0)</x:f>
        <x:v>1</x:v>
      </x:c>
      <x:c r="L9506" s="6" t="n">
        <x:f>J9506*K9506</x:f>
        <x:v>1</x:v>
      </x:c>
    </x:row>
    <x:row r="9507">
      <x:c r="A9507" s="1" t="n">
        <x:v>75870</x:v>
      </x:c>
      <x:c r="B9507" s="5" t="d">
        <x:v>2018-01-12T00:00:00.000Z</x:v>
      </x:c>
      <x:c r="C9507" s="1" t="str">
        <x:v>First Class</x:v>
      </x:c>
      <x:c r="D9507" s="1" t="str">
        <x:v>Pacific Asia</x:v>
      </x:c>
      <x:c r="E9507" s="1" t="str">
        <x:v>COMPLETE</x:v>
      </x:c>
      <x:c r="F9507" s="1" t="str">
        <x:v>Late delivery</x:v>
      </x:c>
      <x:c r="G9507" s="6" t="n">
        <x:v>2</x:v>
      </x:c>
      <x:c r="H9507" s="6" t="n">
        <x:v>1</x:v>
      </x:c>
      <x:c r="I9507" s="6" t="n">
        <x:f>G9507-H9507</x:f>
        <x:v>1</x:v>
      </x:c>
      <x:c r="J9507" s="6" t="n">
        <x:f>IF(OR(E9507="CANCELED",E9507="SUSPECTED_FRAUD",F9507="Shipping canceled"),0,1)</x:f>
        <x:v>1</x:v>
      </x:c>
      <x:c r="K9507" s="6" t="n">
        <x:f>IF(G9507&gt;H9507,1,0)</x:f>
        <x:v>1</x:v>
      </x:c>
      <x:c r="L9507" s="6" t="n">
        <x:f>J9507*K9507</x:f>
        <x:v>1</x:v>
      </x:c>
    </x:row>
    <x:row r="9508">
      <x:c r="A9508" s="1" t="n">
        <x:v>75871</x:v>
      </x:c>
      <x:c r="B9508" s="5" t="d">
        <x:v>2018-01-12T00:00:00.000Z</x:v>
      </x:c>
      <x:c r="C9508" s="1" t="str">
        <x:v>First Class</x:v>
      </x:c>
      <x:c r="D9508" s="1" t="str">
        <x:v>Pacific Asia</x:v>
      </x:c>
      <x:c r="E9508" s="1" t="str">
        <x:v>COMPLETE</x:v>
      </x:c>
      <x:c r="F9508" s="1" t="str">
        <x:v>Late delivery</x:v>
      </x:c>
      <x:c r="G9508" s="6" t="n">
        <x:v>2</x:v>
      </x:c>
      <x:c r="H9508" s="6" t="n">
        <x:v>1</x:v>
      </x:c>
      <x:c r="I9508" s="6" t="n">
        <x:f>G9508-H9508</x:f>
        <x:v>1</x:v>
      </x:c>
      <x:c r="J9508" s="6" t="n">
        <x:f>IF(OR(E9508="CANCELED",E9508="SUSPECTED_FRAUD",F9508="Shipping canceled"),0,1)</x:f>
        <x:v>1</x:v>
      </x:c>
      <x:c r="K9508" s="6" t="n">
        <x:f>IF(G9508&gt;H9508,1,0)</x:f>
        <x:v>1</x:v>
      </x:c>
      <x:c r="L9508" s="6" t="n">
        <x:f>J9508*K9508</x:f>
        <x:v>1</x:v>
      </x:c>
    </x:row>
    <x:row r="9509">
      <x:c r="A9509" s="1" t="n">
        <x:v>75872</x:v>
      </x:c>
      <x:c r="B9509" s="5" t="d">
        <x:v>2018-01-12T00:00:00.000Z</x:v>
      </x:c>
      <x:c r="C9509" s="1" t="str">
        <x:v>Standard Class</x:v>
      </x:c>
      <x:c r="D9509" s="1" t="str">
        <x:v>Pacific Asia</x:v>
      </x:c>
      <x:c r="E9509" s="1" t="str">
        <x:v>PENDING</x:v>
      </x:c>
      <x:c r="F9509" s="1" t="str">
        <x:v>Advance shipping</x:v>
      </x:c>
      <x:c r="G9509" s="6" t="n">
        <x:v>3</x:v>
      </x:c>
      <x:c r="H9509" s="6" t="n">
        <x:v>4</x:v>
      </x:c>
      <x:c r="I9509" s="6" t="n">
        <x:f>G9509-H9509</x:f>
        <x:v>-1</x:v>
      </x:c>
      <x:c r="J9509" s="6" t="n">
        <x:f>IF(OR(E9509="CANCELED",E9509="SUSPECTED_FRAUD",F9509="Shipping canceled"),0,1)</x:f>
        <x:v>1</x:v>
      </x:c>
      <x:c r="K9509" s="6" t="n">
        <x:f>IF(G9509&gt;H9509,1,0)</x:f>
        <x:v>0</x:v>
      </x:c>
      <x:c r="L9509" s="6" t="n">
        <x:f>J9509*K9509</x:f>
        <x:v>0</x:v>
      </x:c>
    </x:row>
    <x:row r="9510">
      <x:c r="A9510" s="1" t="n">
        <x:v>75873</x:v>
      </x:c>
      <x:c r="B9510" s="5" t="d">
        <x:v>2018-01-12T00:00:00.000Z</x:v>
      </x:c>
      <x:c r="C9510" s="1" t="str">
        <x:v>Standard Class</x:v>
      </x:c>
      <x:c r="D9510" s="1" t="str">
        <x:v>Pacific Asia</x:v>
      </x:c>
      <x:c r="E9510" s="1" t="str">
        <x:v>PROCESSING</x:v>
      </x:c>
      <x:c r="F9510" s="1" t="str">
        <x:v>Shipping on time</x:v>
      </x:c>
      <x:c r="G9510" s="6" t="n">
        <x:v>4</x:v>
      </x:c>
      <x:c r="H9510" s="6" t="n">
        <x:v>4</x:v>
      </x:c>
      <x:c r="I9510" s="6" t="n">
        <x:f>G9510-H9510</x:f>
        <x:v>0</x:v>
      </x:c>
      <x:c r="J9510" s="6" t="n">
        <x:f>IF(OR(E9510="CANCELED",E9510="SUSPECTED_FRAUD",F9510="Shipping canceled"),0,1)</x:f>
        <x:v>1</x:v>
      </x:c>
      <x:c r="K9510" s="6" t="n">
        <x:f>IF(G9510&gt;H9510,1,0)</x:f>
        <x:v>0</x:v>
      </x:c>
      <x:c r="L9510" s="6" t="n">
        <x:f>J9510*K9510</x:f>
        <x:v>0</x:v>
      </x:c>
    </x:row>
    <x:row r="9511">
      <x:c r="A9511" s="1" t="n">
        <x:v>75874</x:v>
      </x:c>
      <x:c r="B9511" s="5" t="d">
        <x:v>2018-01-12T00:00:00.000Z</x:v>
      </x:c>
      <x:c r="C9511" s="1" t="str">
        <x:v>Standard Class</x:v>
      </x:c>
      <x:c r="D9511" s="1" t="str">
        <x:v>Pacific Asia</x:v>
      </x:c>
      <x:c r="E9511" s="1" t="str">
        <x:v>PENDING_PAYMENT</x:v>
      </x:c>
      <x:c r="F9511" s="1" t="str">
        <x:v>Late delivery</x:v>
      </x:c>
      <x:c r="G9511" s="6" t="n">
        <x:v>5</x:v>
      </x:c>
      <x:c r="H9511" s="6" t="n">
        <x:v>4</x:v>
      </x:c>
      <x:c r="I9511" s="6" t="n">
        <x:f>G9511-H9511</x:f>
        <x:v>1</x:v>
      </x:c>
      <x:c r="J9511" s="6" t="n">
        <x:f>IF(OR(E9511="CANCELED",E9511="SUSPECTED_FRAUD",F9511="Shipping canceled"),0,1)</x:f>
        <x:v>1</x:v>
      </x:c>
      <x:c r="K9511" s="6" t="n">
        <x:f>IF(G9511&gt;H9511,1,0)</x:f>
        <x:v>1</x:v>
      </x:c>
      <x:c r="L9511" s="6" t="n">
        <x:f>J9511*K9511</x:f>
        <x:v>1</x:v>
      </x:c>
    </x:row>
    <x:row r="9512">
      <x:c r="A9512" s="1" t="n">
        <x:v>75875</x:v>
      </x:c>
      <x:c r="B9512" s="5" t="d">
        <x:v>2018-01-12T00:00:00.000Z</x:v>
      </x:c>
      <x:c r="C9512" s="1" t="str">
        <x:v>Second Class</x:v>
      </x:c>
      <x:c r="D9512" s="1" t="str">
        <x:v>Pacific Asia</x:v>
      </x:c>
      <x:c r="E9512" s="1" t="str">
        <x:v>PENDING_PAYMENT</x:v>
      </x:c>
      <x:c r="F9512" s="1" t="str">
        <x:v>Late delivery</x:v>
      </x:c>
      <x:c r="G9512" s="6" t="n">
        <x:v>6</x:v>
      </x:c>
      <x:c r="H9512" s="6" t="n">
        <x:v>2</x:v>
      </x:c>
      <x:c r="I9512" s="6" t="n">
        <x:f>G9512-H9512</x:f>
        <x:v>4</x:v>
      </x:c>
      <x:c r="J9512" s="6" t="n">
        <x:f>IF(OR(E9512="CANCELED",E9512="SUSPECTED_FRAUD",F9512="Shipping canceled"),0,1)</x:f>
        <x:v>1</x:v>
      </x:c>
      <x:c r="K9512" s="6" t="n">
        <x:f>IF(G9512&gt;H9512,1,0)</x:f>
        <x:v>1</x:v>
      </x:c>
      <x:c r="L9512" s="6" t="n">
        <x:f>J9512*K9512</x:f>
        <x:v>1</x:v>
      </x:c>
    </x:row>
    <x:row r="9513">
      <x:c r="A9513" s="1" t="n">
        <x:v>75876</x:v>
      </x:c>
      <x:c r="B9513" s="5" t="d">
        <x:v>2018-01-12T00:00:00.000Z</x:v>
      </x:c>
      <x:c r="C9513" s="1" t="str">
        <x:v>Standard Class</x:v>
      </x:c>
      <x:c r="D9513" s="1" t="str">
        <x:v>Pacific Asia</x:v>
      </x:c>
      <x:c r="E9513" s="1" t="str">
        <x:v>PENDING</x:v>
      </x:c>
      <x:c r="F9513" s="1" t="str">
        <x:v>Advance shipping</x:v>
      </x:c>
      <x:c r="G9513" s="6" t="n">
        <x:v>2</x:v>
      </x:c>
      <x:c r="H9513" s="6" t="n">
        <x:v>4</x:v>
      </x:c>
      <x:c r="I9513" s="6" t="n">
        <x:f>G9513-H9513</x:f>
        <x:v>-2</x:v>
      </x:c>
      <x:c r="J9513" s="6" t="n">
        <x:f>IF(OR(E9513="CANCELED",E9513="SUSPECTED_FRAUD",F9513="Shipping canceled"),0,1)</x:f>
        <x:v>1</x:v>
      </x:c>
      <x:c r="K9513" s="6" t="n">
        <x:f>IF(G9513&gt;H9513,1,0)</x:f>
        <x:v>0</x:v>
      </x:c>
      <x:c r="L9513" s="6" t="n">
        <x:f>J9513*K9513</x:f>
        <x:v>0</x:v>
      </x:c>
    </x:row>
    <x:row r="9514">
      <x:c r="A9514" s="1" t="n">
        <x:v>75877</x:v>
      </x:c>
      <x:c r="B9514" s="5" t="d">
        <x:v>2018-01-12T00:00:00.000Z</x:v>
      </x:c>
      <x:c r="C9514" s="1" t="str">
        <x:v>Standard Class</x:v>
      </x:c>
      <x:c r="D9514" s="1" t="str">
        <x:v>Pacific Asia</x:v>
      </x:c>
      <x:c r="E9514" s="1" t="str">
        <x:v>PROCESSING</x:v>
      </x:c>
      <x:c r="F9514" s="1" t="str">
        <x:v>Advance shipping</x:v>
      </x:c>
      <x:c r="G9514" s="6" t="n">
        <x:v>3</x:v>
      </x:c>
      <x:c r="H9514" s="6" t="n">
        <x:v>4</x:v>
      </x:c>
      <x:c r="I9514" s="6" t="n">
        <x:f>G9514-H9514</x:f>
        <x:v>-1</x:v>
      </x:c>
      <x:c r="J9514" s="6" t="n">
        <x:f>IF(OR(E9514="CANCELED",E9514="SUSPECTED_FRAUD",F9514="Shipping canceled"),0,1)</x:f>
        <x:v>1</x:v>
      </x:c>
      <x:c r="K9514" s="6" t="n">
        <x:f>IF(G9514&gt;H9514,1,0)</x:f>
        <x:v>0</x:v>
      </x:c>
      <x:c r="L9514" s="6" t="n">
        <x:f>J9514*K9514</x:f>
        <x:v>0</x:v>
      </x:c>
    </x:row>
    <x:row r="9515">
      <x:c r="A9515" s="1" t="n">
        <x:v>75878</x:v>
      </x:c>
      <x:c r="B9515" s="5" t="d">
        <x:v>2018-01-12T00:00:00.000Z</x:v>
      </x:c>
      <x:c r="C9515" s="1" t="str">
        <x:v>Standard Class</x:v>
      </x:c>
      <x:c r="D9515" s="1" t="str">
        <x:v>Pacific Asia</x:v>
      </x:c>
      <x:c r="E9515" s="1" t="str">
        <x:v>COMPLETE</x:v>
      </x:c>
      <x:c r="F9515" s="1" t="str">
        <x:v>Shipping on time</x:v>
      </x:c>
      <x:c r="G9515" s="6" t="n">
        <x:v>4</x:v>
      </x:c>
      <x:c r="H9515" s="6" t="n">
        <x:v>4</x:v>
      </x:c>
      <x:c r="I9515" s="6" t="n">
        <x:f>G9515-H9515</x:f>
        <x:v>0</x:v>
      </x:c>
      <x:c r="J9515" s="6" t="n">
        <x:f>IF(OR(E9515="CANCELED",E9515="SUSPECTED_FRAUD",F9515="Shipping canceled"),0,1)</x:f>
        <x:v>1</x:v>
      </x:c>
      <x:c r="K9515" s="6" t="n">
        <x:f>IF(G9515&gt;H9515,1,0)</x:f>
        <x:v>0</x:v>
      </x:c>
      <x:c r="L9515" s="6" t="n">
        <x:f>J9515*K9515</x:f>
        <x:v>0</x:v>
      </x:c>
    </x:row>
    <x:row r="9516">
      <x:c r="A9516" s="1" t="n">
        <x:v>75879</x:v>
      </x:c>
      <x:c r="B9516" s="5" t="d">
        <x:v>2018-01-12T00:00:00.000Z</x:v>
      </x:c>
      <x:c r="C9516" s="1" t="str">
        <x:v>Standard Class</x:v>
      </x:c>
      <x:c r="D9516" s="1" t="str">
        <x:v>Pacific Asia</x:v>
      </x:c>
      <x:c r="E9516" s="1" t="str">
        <x:v>PROCESSING</x:v>
      </x:c>
      <x:c r="F9516" s="1" t="str">
        <x:v>Late delivery</x:v>
      </x:c>
      <x:c r="G9516" s="6" t="n">
        <x:v>5</x:v>
      </x:c>
      <x:c r="H9516" s="6" t="n">
        <x:v>4</x:v>
      </x:c>
      <x:c r="I9516" s="6" t="n">
        <x:f>G9516-H9516</x:f>
        <x:v>1</x:v>
      </x:c>
      <x:c r="J9516" s="6" t="n">
        <x:f>IF(OR(E9516="CANCELED",E9516="SUSPECTED_FRAUD",F9516="Shipping canceled"),0,1)</x:f>
        <x:v>1</x:v>
      </x:c>
      <x:c r="K9516" s="6" t="n">
        <x:f>IF(G9516&gt;H9516,1,0)</x:f>
        <x:v>1</x:v>
      </x:c>
      <x:c r="L9516" s="6" t="n">
        <x:f>J9516*K9516</x:f>
        <x:v>1</x:v>
      </x:c>
    </x:row>
    <x:row r="9517">
      <x:c r="A9517" s="1" t="n">
        <x:v>75880</x:v>
      </x:c>
      <x:c r="B9517" s="5" t="d">
        <x:v>2018-01-12T00:00:00.000Z</x:v>
      </x:c>
      <x:c r="C9517" s="1" t="str">
        <x:v>Standard Class</x:v>
      </x:c>
      <x:c r="D9517" s="1" t="str">
        <x:v>Pacific Asia</x:v>
      </x:c>
      <x:c r="E9517" s="1" t="str">
        <x:v>COMPLETE</x:v>
      </x:c>
      <x:c r="F9517" s="1" t="str">
        <x:v>Late delivery</x:v>
      </x:c>
      <x:c r="G9517" s="6" t="n">
        <x:v>6</x:v>
      </x:c>
      <x:c r="H9517" s="6" t="n">
        <x:v>4</x:v>
      </x:c>
      <x:c r="I9517" s="6" t="n">
        <x:f>G9517-H9517</x:f>
        <x:v>2</x:v>
      </x:c>
      <x:c r="J9517" s="6" t="n">
        <x:f>IF(OR(E9517="CANCELED",E9517="SUSPECTED_FRAUD",F9517="Shipping canceled"),0,1)</x:f>
        <x:v>1</x:v>
      </x:c>
      <x:c r="K9517" s="6" t="n">
        <x:f>IF(G9517&gt;H9517,1,0)</x:f>
        <x:v>1</x:v>
      </x:c>
      <x:c r="L9517" s="6" t="n">
        <x:f>J9517*K9517</x:f>
        <x:v>1</x:v>
      </x:c>
    </x:row>
    <x:row r="9518">
      <x:c r="A9518" s="1" t="n">
        <x:v>75881</x:v>
      </x:c>
      <x:c r="B9518" s="5" t="d">
        <x:v>2018-01-12T00:00:00.000Z</x:v>
      </x:c>
      <x:c r="C9518" s="1" t="str">
        <x:v>Standard Class</x:v>
      </x:c>
      <x:c r="D9518" s="1" t="str">
        <x:v>Pacific Asia</x:v>
      </x:c>
      <x:c r="E9518" s="1" t="str">
        <x:v>COMPLETE</x:v>
      </x:c>
      <x:c r="F9518" s="1" t="str">
        <x:v>Advance shipping</x:v>
      </x:c>
      <x:c r="G9518" s="6" t="n">
        <x:v>2</x:v>
      </x:c>
      <x:c r="H9518" s="6" t="n">
        <x:v>4</x:v>
      </x:c>
      <x:c r="I9518" s="6" t="n">
        <x:f>G9518-H9518</x:f>
        <x:v>-2</x:v>
      </x:c>
      <x:c r="J9518" s="6" t="n">
        <x:f>IF(OR(E9518="CANCELED",E9518="SUSPECTED_FRAUD",F9518="Shipping canceled"),0,1)</x:f>
        <x:v>1</x:v>
      </x:c>
      <x:c r="K9518" s="6" t="n">
        <x:f>IF(G9518&gt;H9518,1,0)</x:f>
        <x:v>0</x:v>
      </x:c>
      <x:c r="L9518" s="6" t="n">
        <x:f>J9518*K9518</x:f>
        <x:v>0</x:v>
      </x:c>
    </x:row>
    <x:row r="9519">
      <x:c r="A9519" s="1" t="n">
        <x:v>75882</x:v>
      </x:c>
      <x:c r="B9519" s="5" t="d">
        <x:v>2018-01-12T00:00:00.000Z</x:v>
      </x:c>
      <x:c r="C9519" s="1" t="str">
        <x:v>Standard Class</x:v>
      </x:c>
      <x:c r="D9519" s="1" t="str">
        <x:v>Pacific Asia</x:v>
      </x:c>
      <x:c r="E9519" s="1" t="str">
        <x:v>PENDING</x:v>
      </x:c>
      <x:c r="F9519" s="1" t="str">
        <x:v>Advance shipping</x:v>
      </x:c>
      <x:c r="G9519" s="6" t="n">
        <x:v>3</x:v>
      </x:c>
      <x:c r="H9519" s="6" t="n">
        <x:v>4</x:v>
      </x:c>
      <x:c r="I9519" s="6" t="n">
        <x:f>G9519-H9519</x:f>
        <x:v>-1</x:v>
      </x:c>
      <x:c r="J9519" s="6" t="n">
        <x:f>IF(OR(E9519="CANCELED",E9519="SUSPECTED_FRAUD",F9519="Shipping canceled"),0,1)</x:f>
        <x:v>1</x:v>
      </x:c>
      <x:c r="K9519" s="6" t="n">
        <x:f>IF(G9519&gt;H9519,1,0)</x:f>
        <x:v>0</x:v>
      </x:c>
      <x:c r="L9519" s="6" t="n">
        <x:f>J9519*K9519</x:f>
        <x:v>0</x:v>
      </x:c>
    </x:row>
    <x:row r="9520">
      <x:c r="A9520" s="1" t="n">
        <x:v>75883</x:v>
      </x:c>
      <x:c r="B9520" s="5" t="d">
        <x:v>2018-01-12T00:00:00.000Z</x:v>
      </x:c>
      <x:c r="C9520" s="1" t="str">
        <x:v>First Class</x:v>
      </x:c>
      <x:c r="D9520" s="1" t="str">
        <x:v>Pacific Asia</x:v>
      </x:c>
      <x:c r="E9520" s="1" t="str">
        <x:v>COMPLETE</x:v>
      </x:c>
      <x:c r="F9520" s="1" t="str">
        <x:v>Late delivery</x:v>
      </x:c>
      <x:c r="G9520" s="6" t="n">
        <x:v>2</x:v>
      </x:c>
      <x:c r="H9520" s="6" t="n">
        <x:v>1</x:v>
      </x:c>
      <x:c r="I9520" s="6" t="n">
        <x:f>G9520-H9520</x:f>
        <x:v>1</x:v>
      </x:c>
      <x:c r="J9520" s="6" t="n">
        <x:f>IF(OR(E9520="CANCELED",E9520="SUSPECTED_FRAUD",F9520="Shipping canceled"),0,1)</x:f>
        <x:v>1</x:v>
      </x:c>
      <x:c r="K9520" s="6" t="n">
        <x:f>IF(G9520&gt;H9520,1,0)</x:f>
        <x:v>1</x:v>
      </x:c>
      <x:c r="L9520" s="6" t="n">
        <x:f>J9520*K9520</x:f>
        <x:v>1</x:v>
      </x:c>
    </x:row>
    <x:row r="9521">
      <x:c r="A9521" s="1" t="n">
        <x:v>75884</x:v>
      </x:c>
      <x:c r="B9521" s="5" t="d">
        <x:v>2018-01-12T00:00:00.000Z</x:v>
      </x:c>
      <x:c r="C9521" s="1" t="str">
        <x:v>Standard Class</x:v>
      </x:c>
      <x:c r="D9521" s="1" t="str">
        <x:v>Pacific Asia</x:v>
      </x:c>
      <x:c r="E9521" s="1" t="str">
        <x:v>PENDING</x:v>
      </x:c>
      <x:c r="F9521" s="1" t="str">
        <x:v>Late delivery</x:v>
      </x:c>
      <x:c r="G9521" s="6" t="n">
        <x:v>5</x:v>
      </x:c>
      <x:c r="H9521" s="6" t="n">
        <x:v>4</x:v>
      </x:c>
      <x:c r="I9521" s="6" t="n">
        <x:f>G9521-H9521</x:f>
        <x:v>1</x:v>
      </x:c>
      <x:c r="J9521" s="6" t="n">
        <x:f>IF(OR(E9521="CANCELED",E9521="SUSPECTED_FRAUD",F9521="Shipping canceled"),0,1)</x:f>
        <x:v>1</x:v>
      </x:c>
      <x:c r="K9521" s="6" t="n">
        <x:f>IF(G9521&gt;H9521,1,0)</x:f>
        <x:v>1</x:v>
      </x:c>
      <x:c r="L9521" s="6" t="n">
        <x:f>J9521*K9521</x:f>
        <x:v>1</x:v>
      </x:c>
    </x:row>
    <x:row r="9522">
      <x:c r="A9522" s="1" t="n">
        <x:v>75885</x:v>
      </x:c>
      <x:c r="B9522" s="5" t="d">
        <x:v>2018-01-12T00:00:00.000Z</x:v>
      </x:c>
      <x:c r="C9522" s="1" t="str">
        <x:v>Second Class</x:v>
      </x:c>
      <x:c r="D9522" s="1" t="str">
        <x:v>Pacific Asia</x:v>
      </x:c>
      <x:c r="E9522" s="1" t="str">
        <x:v>PENDING_PAYMENT</x:v>
      </x:c>
      <x:c r="F9522" s="1" t="str">
        <x:v>Late delivery</x:v>
      </x:c>
      <x:c r="G9522" s="6" t="n">
        <x:v>6</x:v>
      </x:c>
      <x:c r="H9522" s="6" t="n">
        <x:v>2</x:v>
      </x:c>
      <x:c r="I9522" s="6" t="n">
        <x:f>G9522-H9522</x:f>
        <x:v>4</x:v>
      </x:c>
      <x:c r="J9522" s="6" t="n">
        <x:f>IF(OR(E9522="CANCELED",E9522="SUSPECTED_FRAUD",F9522="Shipping canceled"),0,1)</x:f>
        <x:v>1</x:v>
      </x:c>
      <x:c r="K9522" s="6" t="n">
        <x:f>IF(G9522&gt;H9522,1,0)</x:f>
        <x:v>1</x:v>
      </x:c>
      <x:c r="L9522" s="6" t="n">
        <x:f>J9522*K9522</x:f>
        <x:v>1</x:v>
      </x:c>
    </x:row>
    <x:row r="9523">
      <x:c r="A9523" s="1" t="n">
        <x:v>75886</x:v>
      </x:c>
      <x:c r="B9523" s="5" t="d">
        <x:v>2018-01-12T00:00:00.000Z</x:v>
      </x:c>
      <x:c r="C9523" s="1" t="str">
        <x:v>Standard Class</x:v>
      </x:c>
      <x:c r="D9523" s="1" t="str">
        <x:v>Pacific Asia</x:v>
      </x:c>
      <x:c r="E9523" s="1" t="str">
        <x:v>CANCELED</x:v>
      </x:c>
      <x:c r="F9523" s="1" t="str">
        <x:v>Shipping canceled</x:v>
      </x:c>
      <x:c r="G9523" s="6" t="n">
        <x:v>2</x:v>
      </x:c>
      <x:c r="H9523" s="6" t="n">
        <x:v>4</x:v>
      </x:c>
      <x:c r="I9523" s="6" t="n">
        <x:f>G9523-H9523</x:f>
        <x:v>-2</x:v>
      </x:c>
      <x:c r="J9523" s="6" t="n">
        <x:f>IF(OR(E9523="CANCELED",E9523="SUSPECTED_FRAUD",F9523="Shipping canceled"),0,1)</x:f>
        <x:v>0</x:v>
      </x:c>
      <x:c r="K9523" s="6" t="n">
        <x:f>IF(G9523&gt;H9523,1,0)</x:f>
        <x:v>0</x:v>
      </x:c>
      <x:c r="L9523" s="6" t="n">
        <x:f>J9523*K9523</x:f>
        <x:v>0</x:v>
      </x:c>
    </x:row>
    <x:row r="9524">
      <x:c r="A9524" s="1" t="n">
        <x:v>75887</x:v>
      </x:c>
      <x:c r="B9524" s="5" t="d">
        <x:v>2018-01-12T00:00:00.000Z</x:v>
      </x:c>
      <x:c r="C9524" s="1" t="str">
        <x:v>Standard Class</x:v>
      </x:c>
      <x:c r="D9524" s="1" t="str">
        <x:v>Pacific Asia</x:v>
      </x:c>
      <x:c r="E9524" s="1" t="str">
        <x:v>COMPLETE</x:v>
      </x:c>
      <x:c r="F9524" s="1" t="str">
        <x:v>Advance shipping</x:v>
      </x:c>
      <x:c r="G9524" s="6" t="n">
        <x:v>3</x:v>
      </x:c>
      <x:c r="H9524" s="6" t="n">
        <x:v>4</x:v>
      </x:c>
      <x:c r="I9524" s="6" t="n">
        <x:f>G9524-H9524</x:f>
        <x:v>-1</x:v>
      </x:c>
      <x:c r="J9524" s="6" t="n">
        <x:f>IF(OR(E9524="CANCELED",E9524="SUSPECTED_FRAUD",F9524="Shipping canceled"),0,1)</x:f>
        <x:v>1</x:v>
      </x:c>
      <x:c r="K9524" s="6" t="n">
        <x:f>IF(G9524&gt;H9524,1,0)</x:f>
        <x:v>0</x:v>
      </x:c>
      <x:c r="L9524" s="6" t="n">
        <x:f>J9524*K9524</x:f>
        <x:v>0</x:v>
      </x:c>
    </x:row>
    <x:row r="9525">
      <x:c r="A9525" s="1" t="n">
        <x:v>75888</x:v>
      </x:c>
      <x:c r="B9525" s="5" t="d">
        <x:v>2018-01-12T00:00:00.000Z</x:v>
      </x:c>
      <x:c r="C9525" s="1" t="str">
        <x:v>Standard Class</x:v>
      </x:c>
      <x:c r="D9525" s="1" t="str">
        <x:v>Pacific Asia</x:v>
      </x:c>
      <x:c r="E9525" s="1" t="str">
        <x:v>PENDING_PAYMENT</x:v>
      </x:c>
      <x:c r="F9525" s="1" t="str">
        <x:v>Shipping on time</x:v>
      </x:c>
      <x:c r="G9525" s="6" t="n">
        <x:v>4</x:v>
      </x:c>
      <x:c r="H9525" s="6" t="n">
        <x:v>4</x:v>
      </x:c>
      <x:c r="I9525" s="6" t="n">
        <x:f>G9525-H9525</x:f>
        <x:v>0</x:v>
      </x:c>
      <x:c r="J9525" s="6" t="n">
        <x:f>IF(OR(E9525="CANCELED",E9525="SUSPECTED_FRAUD",F9525="Shipping canceled"),0,1)</x:f>
        <x:v>1</x:v>
      </x:c>
      <x:c r="K9525" s="6" t="n">
        <x:f>IF(G9525&gt;H9525,1,0)</x:f>
        <x:v>0</x:v>
      </x:c>
      <x:c r="L9525" s="6" t="n">
        <x:f>J9525*K9525</x:f>
        <x:v>0</x:v>
      </x:c>
    </x:row>
    <x:row r="9526">
      <x:c r="A9526" s="1" t="n">
        <x:v>75889</x:v>
      </x:c>
      <x:c r="B9526" s="5" t="d">
        <x:v>2018-01-12T00:00:00.000Z</x:v>
      </x:c>
      <x:c r="C9526" s="1" t="str">
        <x:v>Standard Class</x:v>
      </x:c>
      <x:c r="D9526" s="1" t="str">
        <x:v>Pacific Asia</x:v>
      </x:c>
      <x:c r="E9526" s="1" t="str">
        <x:v>COMPLETE</x:v>
      </x:c>
      <x:c r="F9526" s="1" t="str">
        <x:v>Late delivery</x:v>
      </x:c>
      <x:c r="G9526" s="6" t="n">
        <x:v>5</x:v>
      </x:c>
      <x:c r="H9526" s="6" t="n">
        <x:v>4</x:v>
      </x:c>
      <x:c r="I9526" s="6" t="n">
        <x:f>G9526-H9526</x:f>
        <x:v>1</x:v>
      </x:c>
      <x:c r="J9526" s="6" t="n">
        <x:f>IF(OR(E9526="CANCELED",E9526="SUSPECTED_FRAUD",F9526="Shipping canceled"),0,1)</x:f>
        <x:v>1</x:v>
      </x:c>
      <x:c r="K9526" s="6" t="n">
        <x:f>IF(G9526&gt;H9526,1,0)</x:f>
        <x:v>1</x:v>
      </x:c>
      <x:c r="L9526" s="6" t="n">
        <x:f>J9526*K9526</x:f>
        <x:v>1</x:v>
      </x:c>
    </x:row>
    <x:row r="9527">
      <x:c r="A9527" s="1" t="n">
        <x:v>75890</x:v>
      </x:c>
      <x:c r="B9527" s="5" t="d">
        <x:v>2018-01-12T00:00:00.000Z</x:v>
      </x:c>
      <x:c r="C9527" s="1" t="str">
        <x:v>Second Class</x:v>
      </x:c>
      <x:c r="D9527" s="1" t="str">
        <x:v>Pacific Asia</x:v>
      </x:c>
      <x:c r="E9527" s="1" t="str">
        <x:v>COMPLETE</x:v>
      </x:c>
      <x:c r="F9527" s="1" t="str">
        <x:v>Late delivery</x:v>
      </x:c>
      <x:c r="G9527" s="6" t="n">
        <x:v>6</x:v>
      </x:c>
      <x:c r="H9527" s="6" t="n">
        <x:v>2</x:v>
      </x:c>
      <x:c r="I9527" s="6" t="n">
        <x:f>G9527-H9527</x:f>
        <x:v>4</x:v>
      </x:c>
      <x:c r="J9527" s="6" t="n">
        <x:f>IF(OR(E9527="CANCELED",E9527="SUSPECTED_FRAUD",F9527="Shipping canceled"),0,1)</x:f>
        <x:v>1</x:v>
      </x:c>
      <x:c r="K9527" s="6" t="n">
        <x:f>IF(G9527&gt;H9527,1,0)</x:f>
        <x:v>1</x:v>
      </x:c>
      <x:c r="L9527" s="6" t="n">
        <x:f>J9527*K9527</x:f>
        <x:v>1</x:v>
      </x:c>
    </x:row>
    <x:row r="9528">
      <x:c r="A9528" s="1" t="n">
        <x:v>75891</x:v>
      </x:c>
      <x:c r="B9528" s="5" t="d">
        <x:v>2018-01-12T00:00:00.000Z</x:v>
      </x:c>
      <x:c r="C9528" s="1" t="str">
        <x:v>Standard Class</x:v>
      </x:c>
      <x:c r="D9528" s="1" t="str">
        <x:v>Pacific Asia</x:v>
      </x:c>
      <x:c r="E9528" s="1" t="str">
        <x:v>COMPLETE</x:v>
      </x:c>
      <x:c r="F9528" s="1" t="str">
        <x:v>Advance shipping</x:v>
      </x:c>
      <x:c r="G9528" s="6" t="n">
        <x:v>2</x:v>
      </x:c>
      <x:c r="H9528" s="6" t="n">
        <x:v>4</x:v>
      </x:c>
      <x:c r="I9528" s="6" t="n">
        <x:f>G9528-H9528</x:f>
        <x:v>-2</x:v>
      </x:c>
      <x:c r="J9528" s="6" t="n">
        <x:f>IF(OR(E9528="CANCELED",E9528="SUSPECTED_FRAUD",F9528="Shipping canceled"),0,1)</x:f>
        <x:v>1</x:v>
      </x:c>
      <x:c r="K9528" s="6" t="n">
        <x:f>IF(G9528&gt;H9528,1,0)</x:f>
        <x:v>0</x:v>
      </x:c>
      <x:c r="L9528" s="6" t="n">
        <x:f>J9528*K9528</x:f>
        <x:v>0</x:v>
      </x:c>
    </x:row>
    <x:row r="9529">
      <x:c r="A9529" s="1" t="n">
        <x:v>75892</x:v>
      </x:c>
      <x:c r="B9529" s="5" t="d">
        <x:v>2018-01-12T00:00:00.000Z</x:v>
      </x:c>
      <x:c r="C9529" s="1" t="str">
        <x:v>Standard Class</x:v>
      </x:c>
      <x:c r="D9529" s="1" t="str">
        <x:v>Pacific Asia</x:v>
      </x:c>
      <x:c r="E9529" s="1" t="str">
        <x:v>PROCESSING</x:v>
      </x:c>
      <x:c r="F9529" s="1" t="str">
        <x:v>Advance shipping</x:v>
      </x:c>
      <x:c r="G9529" s="6" t="n">
        <x:v>3</x:v>
      </x:c>
      <x:c r="H9529" s="6" t="n">
        <x:v>4</x:v>
      </x:c>
      <x:c r="I9529" s="6" t="n">
        <x:f>G9529-H9529</x:f>
        <x:v>-1</x:v>
      </x:c>
      <x:c r="J9529" s="6" t="n">
        <x:f>IF(OR(E9529="CANCELED",E9529="SUSPECTED_FRAUD",F9529="Shipping canceled"),0,1)</x:f>
        <x:v>1</x:v>
      </x:c>
      <x:c r="K9529" s="6" t="n">
        <x:f>IF(G9529&gt;H9529,1,0)</x:f>
        <x:v>0</x:v>
      </x:c>
      <x:c r="L9529" s="6" t="n">
        <x:f>J9529*K9529</x:f>
        <x:v>0</x:v>
      </x:c>
    </x:row>
    <x:row r="9530">
      <x:c r="A9530" s="1" t="n">
        <x:v>75893</x:v>
      </x:c>
      <x:c r="B9530" s="5" t="d">
        <x:v>2018-01-12T00:00:00.000Z</x:v>
      </x:c>
      <x:c r="C9530" s="1" t="str">
        <x:v>Standard Class</x:v>
      </x:c>
      <x:c r="D9530" s="1" t="str">
        <x:v>Pacific Asia</x:v>
      </x:c>
      <x:c r="E9530" s="1" t="str">
        <x:v>PROCESSING</x:v>
      </x:c>
      <x:c r="F9530" s="1" t="str">
        <x:v>Shipping on time</x:v>
      </x:c>
      <x:c r="G9530" s="6" t="n">
        <x:v>4</x:v>
      </x:c>
      <x:c r="H9530" s="6" t="n">
        <x:v>4</x:v>
      </x:c>
      <x:c r="I9530" s="6" t="n">
        <x:f>G9530-H9530</x:f>
        <x:v>0</x:v>
      </x:c>
      <x:c r="J9530" s="6" t="n">
        <x:f>IF(OR(E9530="CANCELED",E9530="SUSPECTED_FRAUD",F9530="Shipping canceled"),0,1)</x:f>
        <x:v>1</x:v>
      </x:c>
      <x:c r="K9530" s="6" t="n">
        <x:f>IF(G9530&gt;H9530,1,0)</x:f>
        <x:v>0</x:v>
      </x:c>
      <x:c r="L9530" s="6" t="n">
        <x:f>J9530*K9530</x:f>
        <x:v>0</x:v>
      </x:c>
    </x:row>
    <x:row r="9531">
      <x:c r="A9531" s="1" t="n">
        <x:v>75894</x:v>
      </x:c>
      <x:c r="B9531" s="5" t="d">
        <x:v>2018-01-12T00:00:00.000Z</x:v>
      </x:c>
      <x:c r="C9531" s="1" t="str">
        <x:v>Second Class</x:v>
      </x:c>
      <x:c r="D9531" s="1" t="str">
        <x:v>Pacific Asia</x:v>
      </x:c>
      <x:c r="E9531" s="1" t="str">
        <x:v>PENDING</x:v>
      </x:c>
      <x:c r="F9531" s="1" t="str">
        <x:v>Late delivery</x:v>
      </x:c>
      <x:c r="G9531" s="6" t="n">
        <x:v>5</x:v>
      </x:c>
      <x:c r="H9531" s="6" t="n">
        <x:v>2</x:v>
      </x:c>
      <x:c r="I9531" s="6" t="n">
        <x:f>G9531-H9531</x:f>
        <x:v>3</x:v>
      </x:c>
      <x:c r="J9531" s="6" t="n">
        <x:f>IF(OR(E9531="CANCELED",E9531="SUSPECTED_FRAUD",F9531="Shipping canceled"),0,1)</x:f>
        <x:v>1</x:v>
      </x:c>
      <x:c r="K9531" s="6" t="n">
        <x:f>IF(G9531&gt;H9531,1,0)</x:f>
        <x:v>1</x:v>
      </x:c>
      <x:c r="L9531" s="6" t="n">
        <x:f>J9531*K9531</x:f>
        <x:v>1</x:v>
      </x:c>
    </x:row>
    <x:row r="9532">
      <x:c r="A9532" s="1" t="n">
        <x:v>75895</x:v>
      </x:c>
      <x:c r="B9532" s="5" t="d">
        <x:v>2018-01-12T00:00:00.000Z</x:v>
      </x:c>
      <x:c r="C9532" s="1" t="str">
        <x:v>Standard Class</x:v>
      </x:c>
      <x:c r="D9532" s="1" t="str">
        <x:v>Pacific Asia</x:v>
      </x:c>
      <x:c r="E9532" s="1" t="str">
        <x:v>PENDING</x:v>
      </x:c>
      <x:c r="F9532" s="1" t="str">
        <x:v>Late delivery</x:v>
      </x:c>
      <x:c r="G9532" s="6" t="n">
        <x:v>6</x:v>
      </x:c>
      <x:c r="H9532" s="6" t="n">
        <x:v>4</x:v>
      </x:c>
      <x:c r="I9532" s="6" t="n">
        <x:f>G9532-H9532</x:f>
        <x:v>2</x:v>
      </x:c>
      <x:c r="J9532" s="6" t="n">
        <x:f>IF(OR(E9532="CANCELED",E9532="SUSPECTED_FRAUD",F9532="Shipping canceled"),0,1)</x:f>
        <x:v>1</x:v>
      </x:c>
      <x:c r="K9532" s="6" t="n">
        <x:f>IF(G9532&gt;H9532,1,0)</x:f>
        <x:v>1</x:v>
      </x:c>
      <x:c r="L9532" s="6" t="n">
        <x:f>J9532*K9532</x:f>
        <x:v>1</x:v>
      </x:c>
    </x:row>
    <x:row r="9533">
      <x:c r="A9533" s="1" t="n">
        <x:v>75896</x:v>
      </x:c>
      <x:c r="B9533" s="5" t="d">
        <x:v>2018-01-12T00:00:00.000Z</x:v>
      </x:c>
      <x:c r="C9533" s="1" t="str">
        <x:v>Standard Class</x:v>
      </x:c>
      <x:c r="D9533" s="1" t="str">
        <x:v>Pacific Asia</x:v>
      </x:c>
      <x:c r="E9533" s="1" t="str">
        <x:v>COMPLETE</x:v>
      </x:c>
      <x:c r="F9533" s="1" t="str">
        <x:v>Advance shipping</x:v>
      </x:c>
      <x:c r="G9533" s="6" t="n">
        <x:v>2</x:v>
      </x:c>
      <x:c r="H9533" s="6" t="n">
        <x:v>4</x:v>
      </x:c>
      <x:c r="I9533" s="6" t="n">
        <x:f>G9533-H9533</x:f>
        <x:v>-2</x:v>
      </x:c>
      <x:c r="J9533" s="6" t="n">
        <x:f>IF(OR(E9533="CANCELED",E9533="SUSPECTED_FRAUD",F9533="Shipping canceled"),0,1)</x:f>
        <x:v>1</x:v>
      </x:c>
      <x:c r="K9533" s="6" t="n">
        <x:f>IF(G9533&gt;H9533,1,0)</x:f>
        <x:v>0</x:v>
      </x:c>
      <x:c r="L9533" s="6" t="n">
        <x:f>J9533*K9533</x:f>
        <x:v>0</x:v>
      </x:c>
    </x:row>
    <x:row r="9534">
      <x:c r="A9534" s="1" t="n">
        <x:v>75897</x:v>
      </x:c>
      <x:c r="B9534" s="5" t="d">
        <x:v>2018-01-12T00:00:00.000Z</x:v>
      </x:c>
      <x:c r="C9534" s="1" t="str">
        <x:v>Standard Class</x:v>
      </x:c>
      <x:c r="D9534" s="1" t="str">
        <x:v>Pacific Asia</x:v>
      </x:c>
      <x:c r="E9534" s="1" t="str">
        <x:v>PENDING_PAYMENT</x:v>
      </x:c>
      <x:c r="F9534" s="1" t="str">
        <x:v>Advance shipping</x:v>
      </x:c>
      <x:c r="G9534" s="6" t="n">
        <x:v>3</x:v>
      </x:c>
      <x:c r="H9534" s="6" t="n">
        <x:v>4</x:v>
      </x:c>
      <x:c r="I9534" s="6" t="n">
        <x:f>G9534-H9534</x:f>
        <x:v>-1</x:v>
      </x:c>
      <x:c r="J9534" s="6" t="n">
        <x:f>IF(OR(E9534="CANCELED",E9534="SUSPECTED_FRAUD",F9534="Shipping canceled"),0,1)</x:f>
        <x:v>1</x:v>
      </x:c>
      <x:c r="K9534" s="6" t="n">
        <x:f>IF(G9534&gt;H9534,1,0)</x:f>
        <x:v>0</x:v>
      </x:c>
      <x:c r="L9534" s="6" t="n">
        <x:f>J9534*K9534</x:f>
        <x:v>0</x:v>
      </x:c>
    </x:row>
    <x:row r="9535">
      <x:c r="A9535" s="1" t="n">
        <x:v>75898</x:v>
      </x:c>
      <x:c r="B9535" s="5" t="d">
        <x:v>2018-01-12T00:00:00.000Z</x:v>
      </x:c>
      <x:c r="C9535" s="1" t="str">
        <x:v>Standard Class</x:v>
      </x:c>
      <x:c r="D9535" s="1" t="str">
        <x:v>Pacific Asia</x:v>
      </x:c>
      <x:c r="E9535" s="1" t="str">
        <x:v>CLOSED</x:v>
      </x:c>
      <x:c r="F9535" s="1" t="str">
        <x:v>Shipping on time</x:v>
      </x:c>
      <x:c r="G9535" s="6" t="n">
        <x:v>4</x:v>
      </x:c>
      <x:c r="H9535" s="6" t="n">
        <x:v>4</x:v>
      </x:c>
      <x:c r="I9535" s="6" t="n">
        <x:f>G9535-H9535</x:f>
        <x:v>0</x:v>
      </x:c>
      <x:c r="J9535" s="6" t="n">
        <x:f>IF(OR(E9535="CANCELED",E9535="SUSPECTED_FRAUD",F9535="Shipping canceled"),0,1)</x:f>
        <x:v>1</x:v>
      </x:c>
      <x:c r="K9535" s="6" t="n">
        <x:f>IF(G9535&gt;H9535,1,0)</x:f>
        <x:v>0</x:v>
      </x:c>
      <x:c r="L9535" s="6" t="n">
        <x:f>J9535*K9535</x:f>
        <x:v>0</x:v>
      </x:c>
    </x:row>
    <x:row r="9536">
      <x:c r="A9536" s="1" t="n">
        <x:v>75899</x:v>
      </x:c>
      <x:c r="B9536" s="5" t="d">
        <x:v>2018-01-12T00:00:00.000Z</x:v>
      </x:c>
      <x:c r="C9536" s="1" t="str">
        <x:v>Same Day</x:v>
      </x:c>
      <x:c r="D9536" s="1" t="str">
        <x:v>Pacific Asia</x:v>
      </x:c>
      <x:c r="E9536" s="1" t="str">
        <x:v>COMPLETE</x:v>
      </x:c>
      <x:c r="F9536" s="1" t="str">
        <x:v>Late delivery</x:v>
      </x:c>
      <x:c r="G9536" s="6" t="n">
        <x:v>1</x:v>
      </x:c>
      <x:c r="H9536" s="6" t="n">
        <x:v>0</x:v>
      </x:c>
      <x:c r="I9536" s="6" t="n">
        <x:f>G9536-H9536</x:f>
        <x:v>1</x:v>
      </x:c>
      <x:c r="J9536" s="6" t="n">
        <x:f>IF(OR(E9536="CANCELED",E9536="SUSPECTED_FRAUD",F9536="Shipping canceled"),0,1)</x:f>
        <x:v>1</x:v>
      </x:c>
      <x:c r="K9536" s="6" t="n">
        <x:f>IF(G9536&gt;H9536,1,0)</x:f>
        <x:v>1</x:v>
      </x:c>
      <x:c r="L9536" s="6" t="n">
        <x:f>J9536*K9536</x:f>
        <x:v>1</x:v>
      </x:c>
    </x:row>
    <x:row r="9537">
      <x:c r="A9537" s="1" t="n">
        <x:v>75900</x:v>
      </x:c>
      <x:c r="B9537" s="5" t="d">
        <x:v>2018-01-12T00:00:00.000Z</x:v>
      </x:c>
      <x:c r="C9537" s="1" t="str">
        <x:v>Same Day</x:v>
      </x:c>
      <x:c r="D9537" s="1" t="str">
        <x:v>Pacific Asia</x:v>
      </x:c>
      <x:c r="E9537" s="1" t="str">
        <x:v>PENDING_PAYMENT</x:v>
      </x:c>
      <x:c r="F9537" s="1" t="str">
        <x:v>Late delivery</x:v>
      </x:c>
      <x:c r="G9537" s="6" t="n">
        <x:v>1</x:v>
      </x:c>
      <x:c r="H9537" s="6" t="n">
        <x:v>0</x:v>
      </x:c>
      <x:c r="I9537" s="6" t="n">
        <x:f>G9537-H9537</x:f>
        <x:v>1</x:v>
      </x:c>
      <x:c r="J9537" s="6" t="n">
        <x:f>IF(OR(E9537="CANCELED",E9537="SUSPECTED_FRAUD",F9537="Shipping canceled"),0,1)</x:f>
        <x:v>1</x:v>
      </x:c>
      <x:c r="K9537" s="6" t="n">
        <x:f>IF(G9537&gt;H9537,1,0)</x:f>
        <x:v>1</x:v>
      </x:c>
      <x:c r="L9537" s="6" t="n">
        <x:f>J9537*K9537</x:f>
        <x:v>1</x:v>
      </x:c>
    </x:row>
    <x:row r="9538">
      <x:c r="A9538" s="1" t="n">
        <x:v>75901</x:v>
      </x:c>
      <x:c r="B9538" s="5" t="d">
        <x:v>2018-01-12T00:00:00.000Z</x:v>
      </x:c>
      <x:c r="C9538" s="1" t="str">
        <x:v>Same Day</x:v>
      </x:c>
      <x:c r="D9538" s="1" t="str">
        <x:v>Pacific Asia</x:v>
      </x:c>
      <x:c r="E9538" s="1" t="str">
        <x:v>CANCELED</x:v>
      </x:c>
      <x:c r="F9538" s="1" t="str">
        <x:v>Shipping canceled</x:v>
      </x:c>
      <x:c r="G9538" s="6" t="n">
        <x:v>1</x:v>
      </x:c>
      <x:c r="H9538" s="6" t="n">
        <x:v>0</x:v>
      </x:c>
      <x:c r="I9538" s="6" t="n">
        <x:f>G9538-H9538</x:f>
        <x:v>1</x:v>
      </x:c>
      <x:c r="J9538" s="6" t="n">
        <x:f>IF(OR(E9538="CANCELED",E9538="SUSPECTED_FRAUD",F9538="Shipping canceled"),0,1)</x:f>
        <x:v>0</x:v>
      </x:c>
      <x:c r="K9538" s="6" t="n">
        <x:f>IF(G9538&gt;H9538,1,0)</x:f>
        <x:v>1</x:v>
      </x:c>
      <x:c r="L9538" s="6" t="n">
        <x:f>J9538*K9538</x:f>
        <x:v>0</x:v>
      </x:c>
    </x:row>
    <x:row r="9539">
      <x:c r="A9539" s="1" t="n">
        <x:v>75902</x:v>
      </x:c>
      <x:c r="B9539" s="5" t="d">
        <x:v>2018-01-12T00:00:00.000Z</x:v>
      </x:c>
      <x:c r="C9539" s="1" t="str">
        <x:v>Same Day</x:v>
      </x:c>
      <x:c r="D9539" s="1" t="str">
        <x:v>Pacific Asia</x:v>
      </x:c>
      <x:c r="E9539" s="1" t="str">
        <x:v>COMPLETE</x:v>
      </x:c>
      <x:c r="F9539" s="1" t="str">
        <x:v>Late delivery</x:v>
      </x:c>
      <x:c r="G9539" s="6" t="n">
        <x:v>1</x:v>
      </x:c>
      <x:c r="H9539" s="6" t="n">
        <x:v>0</x:v>
      </x:c>
      <x:c r="I9539" s="6" t="n">
        <x:f>G9539-H9539</x:f>
        <x:v>1</x:v>
      </x:c>
      <x:c r="J9539" s="6" t="n">
        <x:f>IF(OR(E9539="CANCELED",E9539="SUSPECTED_FRAUD",F9539="Shipping canceled"),0,1)</x:f>
        <x:v>1</x:v>
      </x:c>
      <x:c r="K9539" s="6" t="n">
        <x:f>IF(G9539&gt;H9539,1,0)</x:f>
        <x:v>1</x:v>
      </x:c>
      <x:c r="L9539" s="6" t="n">
        <x:f>J9539*K9539</x:f>
        <x:v>1</x:v>
      </x:c>
    </x:row>
    <x:row r="9540">
      <x:c r="A9540" s="1" t="n">
        <x:v>75903</x:v>
      </x:c>
      <x:c r="B9540" s="5" t="d">
        <x:v>2018-01-12T00:00:00.000Z</x:v>
      </x:c>
      <x:c r="C9540" s="1" t="str">
        <x:v>First Class</x:v>
      </x:c>
      <x:c r="D9540" s="1" t="str">
        <x:v>Pacific Asia</x:v>
      </x:c>
      <x:c r="E9540" s="1" t="str">
        <x:v>COMPLETE</x:v>
      </x:c>
      <x:c r="F9540" s="1" t="str">
        <x:v>Late delivery</x:v>
      </x:c>
      <x:c r="G9540" s="6" t="n">
        <x:v>2</x:v>
      </x:c>
      <x:c r="H9540" s="6" t="n">
        <x:v>1</x:v>
      </x:c>
      <x:c r="I9540" s="6" t="n">
        <x:f>G9540-H9540</x:f>
        <x:v>1</x:v>
      </x:c>
      <x:c r="J9540" s="6" t="n">
        <x:f>IF(OR(E9540="CANCELED",E9540="SUSPECTED_FRAUD",F9540="Shipping canceled"),0,1)</x:f>
        <x:v>1</x:v>
      </x:c>
      <x:c r="K9540" s="6" t="n">
        <x:f>IF(G9540&gt;H9540,1,0)</x:f>
        <x:v>1</x:v>
      </x:c>
      <x:c r="L9540" s="6" t="n">
        <x:f>J9540*K9540</x:f>
        <x:v>1</x:v>
      </x:c>
    </x:row>
    <x:row r="9541">
      <x:c r="A9541" s="1" t="n">
        <x:v>75904</x:v>
      </x:c>
      <x:c r="B9541" s="5" t="d">
        <x:v>2018-01-13T00:00:00.000Z</x:v>
      </x:c>
      <x:c r="C9541" s="1" t="str">
        <x:v>First Class</x:v>
      </x:c>
      <x:c r="D9541" s="1" t="str">
        <x:v>Pacific Asia</x:v>
      </x:c>
      <x:c r="E9541" s="1" t="str">
        <x:v>CLOSED</x:v>
      </x:c>
      <x:c r="F9541" s="1" t="str">
        <x:v>Late delivery</x:v>
      </x:c>
      <x:c r="G9541" s="6" t="n">
        <x:v>2</x:v>
      </x:c>
      <x:c r="H9541" s="6" t="n">
        <x:v>1</x:v>
      </x:c>
      <x:c r="I9541" s="6" t="n">
        <x:f>G9541-H9541</x:f>
        <x:v>1</x:v>
      </x:c>
      <x:c r="J9541" s="6" t="n">
        <x:f>IF(OR(E9541="CANCELED",E9541="SUSPECTED_FRAUD",F9541="Shipping canceled"),0,1)</x:f>
        <x:v>1</x:v>
      </x:c>
      <x:c r="K9541" s="6" t="n">
        <x:f>IF(G9541&gt;H9541,1,0)</x:f>
        <x:v>1</x:v>
      </x:c>
      <x:c r="L9541" s="6" t="n">
        <x:f>J9541*K9541</x:f>
        <x:v>1</x:v>
      </x:c>
    </x:row>
    <x:row r="9542">
      <x:c r="A9542" s="1" t="n">
        <x:v>75905</x:v>
      </x:c>
      <x:c r="B9542" s="5" t="d">
        <x:v>2018-01-13T00:00:00.000Z</x:v>
      </x:c>
      <x:c r="C9542" s="1" t="str">
        <x:v>First Class</x:v>
      </x:c>
      <x:c r="D9542" s="1" t="str">
        <x:v>Pacific Asia</x:v>
      </x:c>
      <x:c r="E9542" s="1" t="str">
        <x:v>PENDING_PAYMENT</x:v>
      </x:c>
      <x:c r="F9542" s="1" t="str">
        <x:v>Late delivery</x:v>
      </x:c>
      <x:c r="G9542" s="6" t="n">
        <x:v>2</x:v>
      </x:c>
      <x:c r="H9542" s="6" t="n">
        <x:v>1</x:v>
      </x:c>
      <x:c r="I9542" s="6" t="n">
        <x:f>G9542-H9542</x:f>
        <x:v>1</x:v>
      </x:c>
      <x:c r="J9542" s="6" t="n">
        <x:f>IF(OR(E9542="CANCELED",E9542="SUSPECTED_FRAUD",F9542="Shipping canceled"),0,1)</x:f>
        <x:v>1</x:v>
      </x:c>
      <x:c r="K9542" s="6" t="n">
        <x:f>IF(G9542&gt;H9542,1,0)</x:f>
        <x:v>1</x:v>
      </x:c>
      <x:c r="L9542" s="6" t="n">
        <x:f>J9542*K9542</x:f>
        <x:v>1</x:v>
      </x:c>
    </x:row>
    <x:row r="9543">
      <x:c r="A9543" s="1" t="n">
        <x:v>75906</x:v>
      </x:c>
      <x:c r="B9543" s="5" t="d">
        <x:v>2018-01-13T00:00:00.000Z</x:v>
      </x:c>
      <x:c r="C9543" s="1" t="str">
        <x:v>First Class</x:v>
      </x:c>
      <x:c r="D9543" s="1" t="str">
        <x:v>Pacific Asia</x:v>
      </x:c>
      <x:c r="E9543" s="1" t="str">
        <x:v>PENDING_PAYMENT</x:v>
      </x:c>
      <x:c r="F9543" s="1" t="str">
        <x:v>Late delivery</x:v>
      </x:c>
      <x:c r="G9543" s="6" t="n">
        <x:v>2</x:v>
      </x:c>
      <x:c r="H9543" s="6" t="n">
        <x:v>1</x:v>
      </x:c>
      <x:c r="I9543" s="6" t="n">
        <x:f>G9543-H9543</x:f>
        <x:v>1</x:v>
      </x:c>
      <x:c r="J9543" s="6" t="n">
        <x:f>IF(OR(E9543="CANCELED",E9543="SUSPECTED_FRAUD",F9543="Shipping canceled"),0,1)</x:f>
        <x:v>1</x:v>
      </x:c>
      <x:c r="K9543" s="6" t="n">
        <x:f>IF(G9543&gt;H9543,1,0)</x:f>
        <x:v>1</x:v>
      </x:c>
      <x:c r="L9543" s="6" t="n">
        <x:f>J9543*K9543</x:f>
        <x:v>1</x:v>
      </x:c>
    </x:row>
    <x:row r="9544">
      <x:c r="A9544" s="1" t="n">
        <x:v>75907</x:v>
      </x:c>
      <x:c r="B9544" s="5" t="d">
        <x:v>2018-01-13T00:00:00.000Z</x:v>
      </x:c>
      <x:c r="C9544" s="1" t="str">
        <x:v>First Class</x:v>
      </x:c>
      <x:c r="D9544" s="1" t="str">
        <x:v>Pacific Asia</x:v>
      </x:c>
      <x:c r="E9544" s="1" t="str">
        <x:v>COMPLETE</x:v>
      </x:c>
      <x:c r="F9544" s="1" t="str">
        <x:v>Late delivery</x:v>
      </x:c>
      <x:c r="G9544" s="6" t="n">
        <x:v>2</x:v>
      </x:c>
      <x:c r="H9544" s="6" t="n">
        <x:v>1</x:v>
      </x:c>
      <x:c r="I9544" s="6" t="n">
        <x:f>G9544-H9544</x:f>
        <x:v>1</x:v>
      </x:c>
      <x:c r="J9544" s="6" t="n">
        <x:f>IF(OR(E9544="CANCELED",E9544="SUSPECTED_FRAUD",F9544="Shipping canceled"),0,1)</x:f>
        <x:v>1</x:v>
      </x:c>
      <x:c r="K9544" s="6" t="n">
        <x:f>IF(G9544&gt;H9544,1,0)</x:f>
        <x:v>1</x:v>
      </x:c>
      <x:c r="L9544" s="6" t="n">
        <x:f>J9544*K9544</x:f>
        <x:v>1</x:v>
      </x:c>
    </x:row>
    <x:row r="9545">
      <x:c r="A9545" s="1" t="n">
        <x:v>75908</x:v>
      </x:c>
      <x:c r="B9545" s="5" t="d">
        <x:v>2018-01-13T00:00:00.000Z</x:v>
      </x:c>
      <x:c r="C9545" s="1" t="str">
        <x:v>Standard Class</x:v>
      </x:c>
      <x:c r="D9545" s="1" t="str">
        <x:v>Pacific Asia</x:v>
      </x:c>
      <x:c r="E9545" s="1" t="str">
        <x:v>PENDING_PAYMENT</x:v>
      </x:c>
      <x:c r="F9545" s="1" t="str">
        <x:v>Shipping on time</x:v>
      </x:c>
      <x:c r="G9545" s="6" t="n">
        <x:v>4</x:v>
      </x:c>
      <x:c r="H9545" s="6" t="n">
        <x:v>4</x:v>
      </x:c>
      <x:c r="I9545" s="6" t="n">
        <x:f>G9545-H9545</x:f>
        <x:v>0</x:v>
      </x:c>
      <x:c r="J9545" s="6" t="n">
        <x:f>IF(OR(E9545="CANCELED",E9545="SUSPECTED_FRAUD",F9545="Shipping canceled"),0,1)</x:f>
        <x:v>1</x:v>
      </x:c>
      <x:c r="K9545" s="6" t="n">
        <x:f>IF(G9545&gt;H9545,1,0)</x:f>
        <x:v>0</x:v>
      </x:c>
      <x:c r="L9545" s="6" t="n">
        <x:f>J9545*K9545</x:f>
        <x:v>0</x:v>
      </x:c>
    </x:row>
    <x:row r="9546">
      <x:c r="A9546" s="1" t="n">
        <x:v>75909</x:v>
      </x:c>
      <x:c r="B9546" s="5" t="d">
        <x:v>2018-01-13T00:00:00.000Z</x:v>
      </x:c>
      <x:c r="C9546" s="1" t="str">
        <x:v>Standard Class</x:v>
      </x:c>
      <x:c r="D9546" s="1" t="str">
        <x:v>Pacific Asia</x:v>
      </x:c>
      <x:c r="E9546" s="1" t="str">
        <x:v>COMPLETE</x:v>
      </x:c>
      <x:c r="F9546" s="1" t="str">
        <x:v>Late delivery</x:v>
      </x:c>
      <x:c r="G9546" s="6" t="n">
        <x:v>5</x:v>
      </x:c>
      <x:c r="H9546" s="6" t="n">
        <x:v>4</x:v>
      </x:c>
      <x:c r="I9546" s="6" t="n">
        <x:f>G9546-H9546</x:f>
        <x:v>1</x:v>
      </x:c>
      <x:c r="J9546" s="6" t="n">
        <x:f>IF(OR(E9546="CANCELED",E9546="SUSPECTED_FRAUD",F9546="Shipping canceled"),0,1)</x:f>
        <x:v>1</x:v>
      </x:c>
      <x:c r="K9546" s="6" t="n">
        <x:f>IF(G9546&gt;H9546,1,0)</x:f>
        <x:v>1</x:v>
      </x:c>
      <x:c r="L9546" s="6" t="n">
        <x:f>J9546*K9546</x:f>
        <x:v>1</x:v>
      </x:c>
    </x:row>
    <x:row r="9547">
      <x:c r="A9547" s="1" t="n">
        <x:v>75910</x:v>
      </x:c>
      <x:c r="B9547" s="5" t="d">
        <x:v>2018-01-13T00:00:00.000Z</x:v>
      </x:c>
      <x:c r="C9547" s="1" t="str">
        <x:v>Standard Class</x:v>
      </x:c>
      <x:c r="D9547" s="1" t="str">
        <x:v>Pacific Asia</x:v>
      </x:c>
      <x:c r="E9547" s="1" t="str">
        <x:v>ON_HOLD</x:v>
      </x:c>
      <x:c r="F9547" s="1" t="str">
        <x:v>Late delivery</x:v>
      </x:c>
      <x:c r="G9547" s="6" t="n">
        <x:v>6</x:v>
      </x:c>
      <x:c r="H9547" s="6" t="n">
        <x:v>4</x:v>
      </x:c>
      <x:c r="I9547" s="6" t="n">
        <x:f>G9547-H9547</x:f>
        <x:v>2</x:v>
      </x:c>
      <x:c r="J9547" s="6" t="n">
        <x:f>IF(OR(E9547="CANCELED",E9547="SUSPECTED_FRAUD",F9547="Shipping canceled"),0,1)</x:f>
        <x:v>1</x:v>
      </x:c>
      <x:c r="K9547" s="6" t="n">
        <x:f>IF(G9547&gt;H9547,1,0)</x:f>
        <x:v>1</x:v>
      </x:c>
      <x:c r="L9547" s="6" t="n">
        <x:f>J9547*K9547</x:f>
        <x:v>1</x:v>
      </x:c>
    </x:row>
    <x:row r="9548">
      <x:c r="A9548" s="1" t="n">
        <x:v>75911</x:v>
      </x:c>
      <x:c r="B9548" s="5" t="d">
        <x:v>2018-01-13T00:00:00.000Z</x:v>
      </x:c>
      <x:c r="C9548" s="1" t="str">
        <x:v>Standard Class</x:v>
      </x:c>
      <x:c r="D9548" s="1" t="str">
        <x:v>Pacific Asia</x:v>
      </x:c>
      <x:c r="E9548" s="1" t="str">
        <x:v>PROCESSING</x:v>
      </x:c>
      <x:c r="F9548" s="1" t="str">
        <x:v>Advance shipping</x:v>
      </x:c>
      <x:c r="G9548" s="6" t="n">
        <x:v>2</x:v>
      </x:c>
      <x:c r="H9548" s="6" t="n">
        <x:v>4</x:v>
      </x:c>
      <x:c r="I9548" s="6" t="n">
        <x:f>G9548-H9548</x:f>
        <x:v>-2</x:v>
      </x:c>
      <x:c r="J9548" s="6" t="n">
        <x:f>IF(OR(E9548="CANCELED",E9548="SUSPECTED_FRAUD",F9548="Shipping canceled"),0,1)</x:f>
        <x:v>1</x:v>
      </x:c>
      <x:c r="K9548" s="6" t="n">
        <x:f>IF(G9548&gt;H9548,1,0)</x:f>
        <x:v>0</x:v>
      </x:c>
      <x:c r="L9548" s="6" t="n">
        <x:f>J9548*K9548</x:f>
        <x:v>0</x:v>
      </x:c>
    </x:row>
    <x:row r="9549">
      <x:c r="A9549" s="1" t="n">
        <x:v>75912</x:v>
      </x:c>
      <x:c r="B9549" s="5" t="d">
        <x:v>2018-01-13T00:00:00.000Z</x:v>
      </x:c>
      <x:c r="C9549" s="1" t="str">
        <x:v>Standard Class</x:v>
      </x:c>
      <x:c r="D9549" s="1" t="str">
        <x:v>Pacific Asia</x:v>
      </x:c>
      <x:c r="E9549" s="1" t="str">
        <x:v>COMPLETE</x:v>
      </x:c>
      <x:c r="F9549" s="1" t="str">
        <x:v>Advance shipping</x:v>
      </x:c>
      <x:c r="G9549" s="6" t="n">
        <x:v>3</x:v>
      </x:c>
      <x:c r="H9549" s="6" t="n">
        <x:v>4</x:v>
      </x:c>
      <x:c r="I9549" s="6" t="n">
        <x:f>G9549-H9549</x:f>
        <x:v>-1</x:v>
      </x:c>
      <x:c r="J9549" s="6" t="n">
        <x:f>IF(OR(E9549="CANCELED",E9549="SUSPECTED_FRAUD",F9549="Shipping canceled"),0,1)</x:f>
        <x:v>1</x:v>
      </x:c>
      <x:c r="K9549" s="6" t="n">
        <x:f>IF(G9549&gt;H9549,1,0)</x:f>
        <x:v>0</x:v>
      </x:c>
      <x:c r="L9549" s="6" t="n">
        <x:f>J9549*K9549</x:f>
        <x:v>0</x:v>
      </x:c>
    </x:row>
    <x:row r="9550">
      <x:c r="A9550" s="1" t="n">
        <x:v>75913</x:v>
      </x:c>
      <x:c r="B9550" s="5" t="d">
        <x:v>2018-01-13T00:00:00.000Z</x:v>
      </x:c>
      <x:c r="C9550" s="1" t="str">
        <x:v>Standard Class</x:v>
      </x:c>
      <x:c r="D9550" s="1" t="str">
        <x:v>Pacific Asia</x:v>
      </x:c>
      <x:c r="E9550" s="1" t="str">
        <x:v>PENDING_PAYMENT</x:v>
      </x:c>
      <x:c r="F9550" s="1" t="str">
        <x:v>Shipping on time</x:v>
      </x:c>
      <x:c r="G9550" s="6" t="n">
        <x:v>4</x:v>
      </x:c>
      <x:c r="H9550" s="6" t="n">
        <x:v>4</x:v>
      </x:c>
      <x:c r="I9550" s="6" t="n">
        <x:f>G9550-H9550</x:f>
        <x:v>0</x:v>
      </x:c>
      <x:c r="J9550" s="6" t="n">
        <x:f>IF(OR(E9550="CANCELED",E9550="SUSPECTED_FRAUD",F9550="Shipping canceled"),0,1)</x:f>
        <x:v>1</x:v>
      </x:c>
      <x:c r="K9550" s="6" t="n">
        <x:f>IF(G9550&gt;H9550,1,0)</x:f>
        <x:v>0</x:v>
      </x:c>
      <x:c r="L9550" s="6" t="n">
        <x:f>J9550*K9550</x:f>
        <x:v>0</x:v>
      </x:c>
    </x:row>
    <x:row r="9551">
      <x:c r="A9551" s="1" t="n">
        <x:v>75914</x:v>
      </x:c>
      <x:c r="B9551" s="5" t="d">
        <x:v>2018-01-13T00:00:00.000Z</x:v>
      </x:c>
      <x:c r="C9551" s="1" t="str">
        <x:v>Second Class</x:v>
      </x:c>
      <x:c r="D9551" s="1" t="str">
        <x:v>Pacific Asia</x:v>
      </x:c>
      <x:c r="E9551" s="1" t="str">
        <x:v>PENDING</x:v>
      </x:c>
      <x:c r="F9551" s="1" t="str">
        <x:v>Late delivery</x:v>
      </x:c>
      <x:c r="G9551" s="6" t="n">
        <x:v>5</x:v>
      </x:c>
      <x:c r="H9551" s="6" t="n">
        <x:v>2</x:v>
      </x:c>
      <x:c r="I9551" s="6" t="n">
        <x:f>G9551-H9551</x:f>
        <x:v>3</x:v>
      </x:c>
      <x:c r="J9551" s="6" t="n">
        <x:f>IF(OR(E9551="CANCELED",E9551="SUSPECTED_FRAUD",F9551="Shipping canceled"),0,1)</x:f>
        <x:v>1</x:v>
      </x:c>
      <x:c r="K9551" s="6" t="n">
        <x:f>IF(G9551&gt;H9551,1,0)</x:f>
        <x:v>1</x:v>
      </x:c>
      <x:c r="L9551" s="6" t="n">
        <x:f>J9551*K9551</x:f>
        <x:v>1</x:v>
      </x:c>
    </x:row>
    <x:row r="9552">
      <x:c r="A9552" s="1" t="n">
        <x:v>75915</x:v>
      </x:c>
      <x:c r="B9552" s="5" t="d">
        <x:v>2018-01-13T00:00:00.000Z</x:v>
      </x:c>
      <x:c r="C9552" s="1" t="str">
        <x:v>Second Class</x:v>
      </x:c>
      <x:c r="D9552" s="1" t="str">
        <x:v>Pacific Asia</x:v>
      </x:c>
      <x:c r="E9552" s="1" t="str">
        <x:v>COMPLETE</x:v>
      </x:c>
      <x:c r="F9552" s="1" t="str">
        <x:v>Late delivery</x:v>
      </x:c>
      <x:c r="G9552" s="6" t="n">
        <x:v>6</x:v>
      </x:c>
      <x:c r="H9552" s="6" t="n">
        <x:v>2</x:v>
      </x:c>
      <x:c r="I9552" s="6" t="n">
        <x:f>G9552-H9552</x:f>
        <x:v>4</x:v>
      </x:c>
      <x:c r="J9552" s="6" t="n">
        <x:f>IF(OR(E9552="CANCELED",E9552="SUSPECTED_FRAUD",F9552="Shipping canceled"),0,1)</x:f>
        <x:v>1</x:v>
      </x:c>
      <x:c r="K9552" s="6" t="n">
        <x:f>IF(G9552&gt;H9552,1,0)</x:f>
        <x:v>1</x:v>
      </x:c>
      <x:c r="L9552" s="6" t="n">
        <x:f>J9552*K9552</x:f>
        <x:v>1</x:v>
      </x:c>
    </x:row>
    <x:row r="9553">
      <x:c r="A9553" s="1" t="n">
        <x:v>75916</x:v>
      </x:c>
      <x:c r="B9553" s="5" t="d">
        <x:v>2018-01-13T00:00:00.000Z</x:v>
      </x:c>
      <x:c r="C9553" s="1" t="str">
        <x:v>Second Class</x:v>
      </x:c>
      <x:c r="D9553" s="1" t="str">
        <x:v>Pacific Asia</x:v>
      </x:c>
      <x:c r="E9553" s="1" t="str">
        <x:v>SUSPECTED_FRAUD</x:v>
      </x:c>
      <x:c r="F9553" s="1" t="str">
        <x:v>Shipping canceled</x:v>
      </x:c>
      <x:c r="G9553" s="6" t="n">
        <x:v>2</x:v>
      </x:c>
      <x:c r="H9553" s="6" t="n">
        <x:v>2</x:v>
      </x:c>
      <x:c r="I9553" s="6" t="n">
        <x:f>G9553-H9553</x:f>
        <x:v>0</x:v>
      </x:c>
      <x:c r="J9553" s="6" t="n">
        <x:f>IF(OR(E9553="CANCELED",E9553="SUSPECTED_FRAUD",F9553="Shipping canceled"),0,1)</x:f>
        <x:v>0</x:v>
      </x:c>
      <x:c r="K9553" s="6" t="n">
        <x:f>IF(G9553&gt;H9553,1,0)</x:f>
        <x:v>0</x:v>
      </x:c>
      <x:c r="L9553" s="6" t="n">
        <x:f>J9553*K9553</x:f>
        <x:v>0</x:v>
      </x:c>
    </x:row>
    <x:row r="9554">
      <x:c r="A9554" s="1" t="n">
        <x:v>75917</x:v>
      </x:c>
      <x:c r="B9554" s="5" t="d">
        <x:v>2018-01-13T00:00:00.000Z</x:v>
      </x:c>
      <x:c r="C9554" s="1" t="str">
        <x:v>Second Class</x:v>
      </x:c>
      <x:c r="D9554" s="1" t="str">
        <x:v>Pacific Asia</x:v>
      </x:c>
      <x:c r="E9554" s="1" t="str">
        <x:v>CANCELED</x:v>
      </x:c>
      <x:c r="F9554" s="1" t="str">
        <x:v>Shipping canceled</x:v>
      </x:c>
      <x:c r="G9554" s="6" t="n">
        <x:v>3</x:v>
      </x:c>
      <x:c r="H9554" s="6" t="n">
        <x:v>2</x:v>
      </x:c>
      <x:c r="I9554" s="6" t="n">
        <x:f>G9554-H9554</x:f>
        <x:v>1</x:v>
      </x:c>
      <x:c r="J9554" s="6" t="n">
        <x:f>IF(OR(E9554="CANCELED",E9554="SUSPECTED_FRAUD",F9554="Shipping canceled"),0,1)</x:f>
        <x:v>0</x:v>
      </x:c>
      <x:c r="K9554" s="6" t="n">
        <x:f>IF(G9554&gt;H9554,1,0)</x:f>
        <x:v>1</x:v>
      </x:c>
      <x:c r="L9554" s="6" t="n">
        <x:f>J9554*K9554</x:f>
        <x:v>0</x:v>
      </x:c>
    </x:row>
    <x:row r="9555">
      <x:c r="A9555" s="1" t="n">
        <x:v>75918</x:v>
      </x:c>
      <x:c r="B9555" s="5" t="d">
        <x:v>2018-01-13T00:00:00.000Z</x:v>
      </x:c>
      <x:c r="C9555" s="1" t="str">
        <x:v>Second Class</x:v>
      </x:c>
      <x:c r="D9555" s="1" t="str">
        <x:v>Pacific Asia</x:v>
      </x:c>
      <x:c r="E9555" s="1" t="str">
        <x:v>PENDING</x:v>
      </x:c>
      <x:c r="F9555" s="1" t="str">
        <x:v>Late delivery</x:v>
      </x:c>
      <x:c r="G9555" s="6" t="n">
        <x:v>4</x:v>
      </x:c>
      <x:c r="H9555" s="6" t="n">
        <x:v>2</x:v>
      </x:c>
      <x:c r="I9555" s="6" t="n">
        <x:f>G9555-H9555</x:f>
        <x:v>2</x:v>
      </x:c>
      <x:c r="J9555" s="6" t="n">
        <x:f>IF(OR(E9555="CANCELED",E9555="SUSPECTED_FRAUD",F9555="Shipping canceled"),0,1)</x:f>
        <x:v>1</x:v>
      </x:c>
      <x:c r="K9555" s="6" t="n">
        <x:f>IF(G9555&gt;H9555,1,0)</x:f>
        <x:v>1</x:v>
      </x:c>
      <x:c r="L9555" s="6" t="n">
        <x:f>J9555*K9555</x:f>
        <x:v>1</x:v>
      </x:c>
    </x:row>
    <x:row r="9556">
      <x:c r="A9556" s="1" t="n">
        <x:v>75919</x:v>
      </x:c>
      <x:c r="B9556" s="5" t="d">
        <x:v>2018-01-13T00:00:00.000Z</x:v>
      </x:c>
      <x:c r="C9556" s="1" t="str">
        <x:v>Standard Class</x:v>
      </x:c>
      <x:c r="D9556" s="1" t="str">
        <x:v>Pacific Asia</x:v>
      </x:c>
      <x:c r="E9556" s="1" t="str">
        <x:v>PENDING</x:v>
      </x:c>
      <x:c r="F9556" s="1" t="str">
        <x:v>Late delivery</x:v>
      </x:c>
      <x:c r="G9556" s="6" t="n">
        <x:v>5</x:v>
      </x:c>
      <x:c r="H9556" s="6" t="n">
        <x:v>4</x:v>
      </x:c>
      <x:c r="I9556" s="6" t="n">
        <x:f>G9556-H9556</x:f>
        <x:v>1</x:v>
      </x:c>
      <x:c r="J9556" s="6" t="n">
        <x:f>IF(OR(E9556="CANCELED",E9556="SUSPECTED_FRAUD",F9556="Shipping canceled"),0,1)</x:f>
        <x:v>1</x:v>
      </x:c>
      <x:c r="K9556" s="6" t="n">
        <x:f>IF(G9556&gt;H9556,1,0)</x:f>
        <x:v>1</x:v>
      </x:c>
      <x:c r="L9556" s="6" t="n">
        <x:f>J9556*K9556</x:f>
        <x:v>1</x:v>
      </x:c>
    </x:row>
    <x:row r="9557">
      <x:c r="A9557" s="1" t="n">
        <x:v>75920</x:v>
      </x:c>
      <x:c r="B9557" s="5" t="d">
        <x:v>2018-01-13T00:00:00.000Z</x:v>
      </x:c>
      <x:c r="C9557" s="1" t="str">
        <x:v>Same Day</x:v>
      </x:c>
      <x:c r="D9557" s="1" t="str">
        <x:v>Pacific Asia</x:v>
      </x:c>
      <x:c r="E9557" s="1" t="str">
        <x:v>PROCESSING</x:v>
      </x:c>
      <x:c r="F9557" s="1" t="str">
        <x:v>Shipping on time</x:v>
      </x:c>
      <x:c r="G9557" s="6" t="n">
        <x:v>0</x:v>
      </x:c>
      <x:c r="H9557" s="6" t="n">
        <x:v>0</x:v>
      </x:c>
      <x:c r="I9557" s="6" t="n">
        <x:f>G9557-H9557</x:f>
        <x:v>0</x:v>
      </x:c>
      <x:c r="J9557" s="6" t="n">
        <x:f>IF(OR(E9557="CANCELED",E9557="SUSPECTED_FRAUD",F9557="Shipping canceled"),0,1)</x:f>
        <x:v>1</x:v>
      </x:c>
      <x:c r="K9557" s="6" t="n">
        <x:f>IF(G9557&gt;H9557,1,0)</x:f>
        <x:v>0</x:v>
      </x:c>
      <x:c r="L9557" s="6" t="n">
        <x:f>J9557*K9557</x:f>
        <x:v>0</x:v>
      </x:c>
    </x:row>
    <x:row r="9558">
      <x:c r="A9558" s="1" t="n">
        <x:v>75921</x:v>
      </x:c>
      <x:c r="B9558" s="5" t="d">
        <x:v>2018-01-13T00:00:00.000Z</x:v>
      </x:c>
      <x:c r="C9558" s="1" t="str">
        <x:v>Same Day</x:v>
      </x:c>
      <x:c r="D9558" s="1" t="str">
        <x:v>Pacific Asia</x:v>
      </x:c>
      <x:c r="E9558" s="1" t="str">
        <x:v>PENDING_PAYMENT</x:v>
      </x:c>
      <x:c r="F9558" s="1" t="str">
        <x:v>Shipping on time</x:v>
      </x:c>
      <x:c r="G9558" s="6" t="n">
        <x:v>0</x:v>
      </x:c>
      <x:c r="H9558" s="6" t="n">
        <x:v>0</x:v>
      </x:c>
      <x:c r="I9558" s="6" t="n">
        <x:f>G9558-H9558</x:f>
        <x:v>0</x:v>
      </x:c>
      <x:c r="J9558" s="6" t="n">
        <x:f>IF(OR(E9558="CANCELED",E9558="SUSPECTED_FRAUD",F9558="Shipping canceled"),0,1)</x:f>
        <x:v>1</x:v>
      </x:c>
      <x:c r="K9558" s="6" t="n">
        <x:f>IF(G9558&gt;H9558,1,0)</x:f>
        <x:v>0</x:v>
      </x:c>
      <x:c r="L9558" s="6" t="n">
        <x:f>J9558*K9558</x:f>
        <x:v>0</x:v>
      </x:c>
    </x:row>
    <x:row r="9559">
      <x:c r="A9559" s="1" t="n">
        <x:v>75922</x:v>
      </x:c>
      <x:c r="B9559" s="5" t="d">
        <x:v>2018-01-13T00:00:00.000Z</x:v>
      </x:c>
      <x:c r="C9559" s="1" t="str">
        <x:v>First Class</x:v>
      </x:c>
      <x:c r="D9559" s="1" t="str">
        <x:v>Pacific Asia</x:v>
      </x:c>
      <x:c r="E9559" s="1" t="str">
        <x:v>COMPLETE</x:v>
      </x:c>
      <x:c r="F9559" s="1" t="str">
        <x:v>Late delivery</x:v>
      </x:c>
      <x:c r="G9559" s="6" t="n">
        <x:v>2</x:v>
      </x:c>
      <x:c r="H9559" s="6" t="n">
        <x:v>1</x:v>
      </x:c>
      <x:c r="I9559" s="6" t="n">
        <x:f>G9559-H9559</x:f>
        <x:v>1</x:v>
      </x:c>
      <x:c r="J9559" s="6" t="n">
        <x:f>IF(OR(E9559="CANCELED",E9559="SUSPECTED_FRAUD",F9559="Shipping canceled"),0,1)</x:f>
        <x:v>1</x:v>
      </x:c>
      <x:c r="K9559" s="6" t="n">
        <x:f>IF(G9559&gt;H9559,1,0)</x:f>
        <x:v>1</x:v>
      </x:c>
      <x:c r="L9559" s="6" t="n">
        <x:f>J9559*K9559</x:f>
        <x:v>1</x:v>
      </x:c>
    </x:row>
    <x:row r="9560">
      <x:c r="A9560" s="1" t="n">
        <x:v>75923</x:v>
      </x:c>
      <x:c r="B9560" s="5" t="d">
        <x:v>2018-01-13T00:00:00.000Z</x:v>
      </x:c>
      <x:c r="C9560" s="1" t="str">
        <x:v>First Class</x:v>
      </x:c>
      <x:c r="D9560" s="1" t="str">
        <x:v>Pacific Asia</x:v>
      </x:c>
      <x:c r="E9560" s="1" t="str">
        <x:v>CLOSED</x:v>
      </x:c>
      <x:c r="F9560" s="1" t="str">
        <x:v>Late delivery</x:v>
      </x:c>
      <x:c r="G9560" s="6" t="n">
        <x:v>2</x:v>
      </x:c>
      <x:c r="H9560" s="6" t="n">
        <x:v>1</x:v>
      </x:c>
      <x:c r="I9560" s="6" t="n">
        <x:f>G9560-H9560</x:f>
        <x:v>1</x:v>
      </x:c>
      <x:c r="J9560" s="6" t="n">
        <x:f>IF(OR(E9560="CANCELED",E9560="SUSPECTED_FRAUD",F9560="Shipping canceled"),0,1)</x:f>
        <x:v>1</x:v>
      </x:c>
      <x:c r="K9560" s="6" t="n">
        <x:f>IF(G9560&gt;H9560,1,0)</x:f>
        <x:v>1</x:v>
      </x:c>
      <x:c r="L9560" s="6" t="n">
        <x:f>J9560*K9560</x:f>
        <x:v>1</x:v>
      </x:c>
    </x:row>
    <x:row r="9561">
      <x:c r="A9561" s="1" t="n">
        <x:v>75924</x:v>
      </x:c>
      <x:c r="B9561" s="5" t="d">
        <x:v>2018-01-13T00:00:00.000Z</x:v>
      </x:c>
      <x:c r="C9561" s="1" t="str">
        <x:v>Second Class</x:v>
      </x:c>
      <x:c r="D9561" s="1" t="str">
        <x:v>Pacific Asia</x:v>
      </x:c>
      <x:c r="E9561" s="1" t="str">
        <x:v>PENDING_PAYMENT</x:v>
      </x:c>
      <x:c r="F9561" s="1" t="str">
        <x:v>Late delivery</x:v>
      </x:c>
      <x:c r="G9561" s="6" t="n">
        <x:v>5</x:v>
      </x:c>
      <x:c r="H9561" s="6" t="n">
        <x:v>2</x:v>
      </x:c>
      <x:c r="I9561" s="6" t="n">
        <x:f>G9561-H9561</x:f>
        <x:v>3</x:v>
      </x:c>
      <x:c r="J9561" s="6" t="n">
        <x:f>IF(OR(E9561="CANCELED",E9561="SUSPECTED_FRAUD",F9561="Shipping canceled"),0,1)</x:f>
        <x:v>1</x:v>
      </x:c>
      <x:c r="K9561" s="6" t="n">
        <x:f>IF(G9561&gt;H9561,1,0)</x:f>
        <x:v>1</x:v>
      </x:c>
      <x:c r="L9561" s="6" t="n">
        <x:f>J9561*K9561</x:f>
        <x:v>1</x:v>
      </x:c>
    </x:row>
    <x:row r="9562">
      <x:c r="A9562" s="1" t="n">
        <x:v>75925</x:v>
      </x:c>
      <x:c r="B9562" s="5" t="d">
        <x:v>2018-01-13T00:00:00.000Z</x:v>
      </x:c>
      <x:c r="C9562" s="1" t="str">
        <x:v>First Class</x:v>
      </x:c>
      <x:c r="D9562" s="1" t="str">
        <x:v>Pacific Asia</x:v>
      </x:c>
      <x:c r="E9562" s="1" t="str">
        <x:v>COMPLETE</x:v>
      </x:c>
      <x:c r="F9562" s="1" t="str">
        <x:v>Late delivery</x:v>
      </x:c>
      <x:c r="G9562" s="6" t="n">
        <x:v>2</x:v>
      </x:c>
      <x:c r="H9562" s="6" t="n">
        <x:v>1</x:v>
      </x:c>
      <x:c r="I9562" s="6" t="n">
        <x:f>G9562-H9562</x:f>
        <x:v>1</x:v>
      </x:c>
      <x:c r="J9562" s="6" t="n">
        <x:f>IF(OR(E9562="CANCELED",E9562="SUSPECTED_FRAUD",F9562="Shipping canceled"),0,1)</x:f>
        <x:v>1</x:v>
      </x:c>
      <x:c r="K9562" s="6" t="n">
        <x:f>IF(G9562&gt;H9562,1,0)</x:f>
        <x:v>1</x:v>
      </x:c>
      <x:c r="L9562" s="6" t="n">
        <x:f>J9562*K9562</x:f>
        <x:v>1</x:v>
      </x:c>
    </x:row>
    <x:row r="9563">
      <x:c r="A9563" s="1" t="n">
        <x:v>75926</x:v>
      </x:c>
      <x:c r="B9563" s="5" t="d">
        <x:v>2018-01-13T00:00:00.000Z</x:v>
      </x:c>
      <x:c r="C9563" s="1" t="str">
        <x:v>First Class</x:v>
      </x:c>
      <x:c r="D9563" s="1" t="str">
        <x:v>Pacific Asia</x:v>
      </x:c>
      <x:c r="E9563" s="1" t="str">
        <x:v>PROCESSING</x:v>
      </x:c>
      <x:c r="F9563" s="1" t="str">
        <x:v>Late delivery</x:v>
      </x:c>
      <x:c r="G9563" s="6" t="n">
        <x:v>2</x:v>
      </x:c>
      <x:c r="H9563" s="6" t="n">
        <x:v>1</x:v>
      </x:c>
      <x:c r="I9563" s="6" t="n">
        <x:f>G9563-H9563</x:f>
        <x:v>1</x:v>
      </x:c>
      <x:c r="J9563" s="6" t="n">
        <x:f>IF(OR(E9563="CANCELED",E9563="SUSPECTED_FRAUD",F9563="Shipping canceled"),0,1)</x:f>
        <x:v>1</x:v>
      </x:c>
      <x:c r="K9563" s="6" t="n">
        <x:f>IF(G9563&gt;H9563,1,0)</x:f>
        <x:v>1</x:v>
      </x:c>
      <x:c r="L9563" s="6" t="n">
        <x:f>J9563*K9563</x:f>
        <x:v>1</x:v>
      </x:c>
    </x:row>
    <x:row r="9564">
      <x:c r="A9564" s="1" t="n">
        <x:v>75927</x:v>
      </x:c>
      <x:c r="B9564" s="5" t="d">
        <x:v>2018-01-13T00:00:00.000Z</x:v>
      </x:c>
      <x:c r="C9564" s="1" t="str">
        <x:v>First Class</x:v>
      </x:c>
      <x:c r="D9564" s="1" t="str">
        <x:v>Pacific Asia</x:v>
      </x:c>
      <x:c r="E9564" s="1" t="str">
        <x:v>COMPLETE</x:v>
      </x:c>
      <x:c r="F9564" s="1" t="str">
        <x:v>Late delivery</x:v>
      </x:c>
      <x:c r="G9564" s="6" t="n">
        <x:v>2</x:v>
      </x:c>
      <x:c r="H9564" s="6" t="n">
        <x:v>1</x:v>
      </x:c>
      <x:c r="I9564" s="6" t="n">
        <x:f>G9564-H9564</x:f>
        <x:v>1</x:v>
      </x:c>
      <x:c r="J9564" s="6" t="n">
        <x:f>IF(OR(E9564="CANCELED",E9564="SUSPECTED_FRAUD",F9564="Shipping canceled"),0,1)</x:f>
        <x:v>1</x:v>
      </x:c>
      <x:c r="K9564" s="6" t="n">
        <x:f>IF(G9564&gt;H9564,1,0)</x:f>
        <x:v>1</x:v>
      </x:c>
      <x:c r="L9564" s="6" t="n">
        <x:f>J9564*K9564</x:f>
        <x:v>1</x:v>
      </x:c>
    </x:row>
    <x:row r="9565">
      <x:c r="A9565" s="1" t="n">
        <x:v>75928</x:v>
      </x:c>
      <x:c r="B9565" s="5" t="d">
        <x:v>2018-01-13T00:00:00.000Z</x:v>
      </x:c>
      <x:c r="C9565" s="1" t="str">
        <x:v>Second Class</x:v>
      </x:c>
      <x:c r="D9565" s="1" t="str">
        <x:v>Pacific Asia</x:v>
      </x:c>
      <x:c r="E9565" s="1" t="str">
        <x:v>PENDING</x:v>
      </x:c>
      <x:c r="F9565" s="1" t="str">
        <x:v>Late delivery</x:v>
      </x:c>
      <x:c r="G9565" s="6" t="n">
        <x:v>4</x:v>
      </x:c>
      <x:c r="H9565" s="6" t="n">
        <x:v>2</x:v>
      </x:c>
      <x:c r="I9565" s="6" t="n">
        <x:f>G9565-H9565</x:f>
        <x:v>2</x:v>
      </x:c>
      <x:c r="J9565" s="6" t="n">
        <x:f>IF(OR(E9565="CANCELED",E9565="SUSPECTED_FRAUD",F9565="Shipping canceled"),0,1)</x:f>
        <x:v>1</x:v>
      </x:c>
      <x:c r="K9565" s="6" t="n">
        <x:f>IF(G9565&gt;H9565,1,0)</x:f>
        <x:v>1</x:v>
      </x:c>
      <x:c r="L9565" s="6" t="n">
        <x:f>J9565*K9565</x:f>
        <x:v>1</x:v>
      </x:c>
    </x:row>
    <x:row r="9566">
      <x:c r="A9566" s="1" t="n">
        <x:v>75929</x:v>
      </x:c>
      <x:c r="B9566" s="5" t="d">
        <x:v>2018-01-13T00:00:00.000Z</x:v>
      </x:c>
      <x:c r="C9566" s="1" t="str">
        <x:v>Second Class</x:v>
      </x:c>
      <x:c r="D9566" s="1" t="str">
        <x:v>Pacific Asia</x:v>
      </x:c>
      <x:c r="E9566" s="1" t="str">
        <x:v>PENDING</x:v>
      </x:c>
      <x:c r="F9566" s="1" t="str">
        <x:v>Late delivery</x:v>
      </x:c>
      <x:c r="G9566" s="6" t="n">
        <x:v>5</x:v>
      </x:c>
      <x:c r="H9566" s="6" t="n">
        <x:v>2</x:v>
      </x:c>
      <x:c r="I9566" s="6" t="n">
        <x:f>G9566-H9566</x:f>
        <x:v>3</x:v>
      </x:c>
      <x:c r="J9566" s="6" t="n">
        <x:f>IF(OR(E9566="CANCELED",E9566="SUSPECTED_FRAUD",F9566="Shipping canceled"),0,1)</x:f>
        <x:v>1</x:v>
      </x:c>
      <x:c r="K9566" s="6" t="n">
        <x:f>IF(G9566&gt;H9566,1,0)</x:f>
        <x:v>1</x:v>
      </x:c>
      <x:c r="L9566" s="6" t="n">
        <x:f>J9566*K9566</x:f>
        <x:v>1</x:v>
      </x:c>
    </x:row>
    <x:row r="9567">
      <x:c r="A9567" s="1" t="n">
        <x:v>75930</x:v>
      </x:c>
      <x:c r="B9567" s="5" t="d">
        <x:v>2018-01-13T00:00:00.000Z</x:v>
      </x:c>
      <x:c r="C9567" s="1" t="str">
        <x:v>Second Class</x:v>
      </x:c>
      <x:c r="D9567" s="1" t="str">
        <x:v>Pacific Asia</x:v>
      </x:c>
      <x:c r="E9567" s="1" t="str">
        <x:v>SUSPECTED_FRAUD</x:v>
      </x:c>
      <x:c r="F9567" s="1" t="str">
        <x:v>Shipping canceled</x:v>
      </x:c>
      <x:c r="G9567" s="6" t="n">
        <x:v>6</x:v>
      </x:c>
      <x:c r="H9567" s="6" t="n">
        <x:v>2</x:v>
      </x:c>
      <x:c r="I9567" s="6" t="n">
        <x:f>G9567-H9567</x:f>
        <x:v>4</x:v>
      </x:c>
      <x:c r="J9567" s="6" t="n">
        <x:f>IF(OR(E9567="CANCELED",E9567="SUSPECTED_FRAUD",F9567="Shipping canceled"),0,1)</x:f>
        <x:v>0</x:v>
      </x:c>
      <x:c r="K9567" s="6" t="n">
        <x:f>IF(G9567&gt;H9567,1,0)</x:f>
        <x:v>1</x:v>
      </x:c>
      <x:c r="L9567" s="6" t="n">
        <x:f>J9567*K9567</x:f>
        <x:v>0</x:v>
      </x:c>
    </x:row>
    <x:row r="9568">
      <x:c r="A9568" s="1" t="n">
        <x:v>75931</x:v>
      </x:c>
      <x:c r="B9568" s="5" t="d">
        <x:v>2018-01-13T00:00:00.000Z</x:v>
      </x:c>
      <x:c r="C9568" s="1" t="str">
        <x:v>First Class</x:v>
      </x:c>
      <x:c r="D9568" s="1" t="str">
        <x:v>Pacific Asia</x:v>
      </x:c>
      <x:c r="E9568" s="1" t="str">
        <x:v>CLOSED</x:v>
      </x:c>
      <x:c r="F9568" s="1" t="str">
        <x:v>Late delivery</x:v>
      </x:c>
      <x:c r="G9568" s="6" t="n">
        <x:v>2</x:v>
      </x:c>
      <x:c r="H9568" s="6" t="n">
        <x:v>1</x:v>
      </x:c>
      <x:c r="I9568" s="6" t="n">
        <x:f>G9568-H9568</x:f>
        <x:v>1</x:v>
      </x:c>
      <x:c r="J9568" s="6" t="n">
        <x:f>IF(OR(E9568="CANCELED",E9568="SUSPECTED_FRAUD",F9568="Shipping canceled"),0,1)</x:f>
        <x:v>1</x:v>
      </x:c>
      <x:c r="K9568" s="6" t="n">
        <x:f>IF(G9568&gt;H9568,1,0)</x:f>
        <x:v>1</x:v>
      </x:c>
      <x:c r="L9568" s="6" t="n">
        <x:f>J9568*K9568</x:f>
        <x:v>1</x:v>
      </x:c>
    </x:row>
    <x:row r="9569">
      <x:c r="A9569" s="1" t="n">
        <x:v>75932</x:v>
      </x:c>
      <x:c r="B9569" s="5" t="d">
        <x:v>2018-01-13T00:00:00.000Z</x:v>
      </x:c>
      <x:c r="C9569" s="1" t="str">
        <x:v>Second Class</x:v>
      </x:c>
      <x:c r="D9569" s="1" t="str">
        <x:v>Pacific Asia</x:v>
      </x:c>
      <x:c r="E9569" s="1" t="str">
        <x:v>CLOSED</x:v>
      </x:c>
      <x:c r="F9569" s="1" t="str">
        <x:v>Late delivery</x:v>
      </x:c>
      <x:c r="G9569" s="6" t="n">
        <x:v>3</x:v>
      </x:c>
      <x:c r="H9569" s="6" t="n">
        <x:v>2</x:v>
      </x:c>
      <x:c r="I9569" s="6" t="n">
        <x:f>G9569-H9569</x:f>
        <x:v>1</x:v>
      </x:c>
      <x:c r="J9569" s="6" t="n">
        <x:f>IF(OR(E9569="CANCELED",E9569="SUSPECTED_FRAUD",F9569="Shipping canceled"),0,1)</x:f>
        <x:v>1</x:v>
      </x:c>
      <x:c r="K9569" s="6" t="n">
        <x:f>IF(G9569&gt;H9569,1,0)</x:f>
        <x:v>1</x:v>
      </x:c>
      <x:c r="L9569" s="6" t="n">
        <x:f>J9569*K9569</x:f>
        <x:v>1</x:v>
      </x:c>
    </x:row>
    <x:row r="9570">
      <x:c r="A9570" s="1" t="n">
        <x:v>75933</x:v>
      </x:c>
      <x:c r="B9570" s="5" t="d">
        <x:v>2018-01-13T00:00:00.000Z</x:v>
      </x:c>
      <x:c r="C9570" s="1" t="str">
        <x:v>First Class</x:v>
      </x:c>
      <x:c r="D9570" s="1" t="str">
        <x:v>Pacific Asia</x:v>
      </x:c>
      <x:c r="E9570" s="1" t="str">
        <x:v>PROCESSING</x:v>
      </x:c>
      <x:c r="F9570" s="1" t="str">
        <x:v>Late delivery</x:v>
      </x:c>
      <x:c r="G9570" s="6" t="n">
        <x:v>2</x:v>
      </x:c>
      <x:c r="H9570" s="6" t="n">
        <x:v>1</x:v>
      </x:c>
      <x:c r="I9570" s="6" t="n">
        <x:f>G9570-H9570</x:f>
        <x:v>1</x:v>
      </x:c>
      <x:c r="J9570" s="6" t="n">
        <x:f>IF(OR(E9570="CANCELED",E9570="SUSPECTED_FRAUD",F9570="Shipping canceled"),0,1)</x:f>
        <x:v>1</x:v>
      </x:c>
      <x:c r="K9570" s="6" t="n">
        <x:f>IF(G9570&gt;H9570,1,0)</x:f>
        <x:v>1</x:v>
      </x:c>
      <x:c r="L9570" s="6" t="n">
        <x:f>J9570*K9570</x:f>
        <x:v>1</x:v>
      </x:c>
    </x:row>
    <x:row r="9571">
      <x:c r="A9571" s="1" t="n">
        <x:v>75934</x:v>
      </x:c>
      <x:c r="B9571" s="5" t="d">
        <x:v>2018-01-13T00:00:00.000Z</x:v>
      </x:c>
      <x:c r="C9571" s="1" t="str">
        <x:v>First Class</x:v>
      </x:c>
      <x:c r="D9571" s="1" t="str">
        <x:v>Pacific Asia</x:v>
      </x:c>
      <x:c r="E9571" s="1" t="str">
        <x:v>COMPLETE</x:v>
      </x:c>
      <x:c r="F9571" s="1" t="str">
        <x:v>Late delivery</x:v>
      </x:c>
      <x:c r="G9571" s="6" t="n">
        <x:v>2</x:v>
      </x:c>
      <x:c r="H9571" s="6" t="n">
        <x:v>1</x:v>
      </x:c>
      <x:c r="I9571" s="6" t="n">
        <x:f>G9571-H9571</x:f>
        <x:v>1</x:v>
      </x:c>
      <x:c r="J9571" s="6" t="n">
        <x:f>IF(OR(E9571="CANCELED",E9571="SUSPECTED_FRAUD",F9571="Shipping canceled"),0,1)</x:f>
        <x:v>1</x:v>
      </x:c>
      <x:c r="K9571" s="6" t="n">
        <x:f>IF(G9571&gt;H9571,1,0)</x:f>
        <x:v>1</x:v>
      </x:c>
      <x:c r="L9571" s="6" t="n">
        <x:f>J9571*K9571</x:f>
        <x:v>1</x:v>
      </x:c>
    </x:row>
    <x:row r="9572">
      <x:c r="A9572" s="1" t="n">
        <x:v>75935</x:v>
      </x:c>
      <x:c r="B9572" s="5" t="d">
        <x:v>2018-01-13T00:00:00.000Z</x:v>
      </x:c>
      <x:c r="C9572" s="1" t="str">
        <x:v>Standard Class</x:v>
      </x:c>
      <x:c r="D9572" s="1" t="str">
        <x:v>Pacific Asia</x:v>
      </x:c>
      <x:c r="E9572" s="1" t="str">
        <x:v>CANCELED</x:v>
      </x:c>
      <x:c r="F9572" s="1" t="str">
        <x:v>Shipping canceled</x:v>
      </x:c>
      <x:c r="G9572" s="6" t="n">
        <x:v>6</x:v>
      </x:c>
      <x:c r="H9572" s="6" t="n">
        <x:v>4</x:v>
      </x:c>
      <x:c r="I9572" s="6" t="n">
        <x:f>G9572-H9572</x:f>
        <x:v>2</x:v>
      </x:c>
      <x:c r="J9572" s="6" t="n">
        <x:f>IF(OR(E9572="CANCELED",E9572="SUSPECTED_FRAUD",F9572="Shipping canceled"),0,1)</x:f>
        <x:v>0</x:v>
      </x:c>
      <x:c r="K9572" s="6" t="n">
        <x:f>IF(G9572&gt;H9572,1,0)</x:f>
        <x:v>1</x:v>
      </x:c>
      <x:c r="L9572" s="6" t="n">
        <x:f>J9572*K9572</x:f>
        <x:v>0</x:v>
      </x:c>
    </x:row>
    <x:row r="9573">
      <x:c r="A9573" s="1" t="n">
        <x:v>75936</x:v>
      </x:c>
      <x:c r="B9573" s="5" t="d">
        <x:v>2018-01-13T00:00:00.000Z</x:v>
      </x:c>
      <x:c r="C9573" s="1" t="str">
        <x:v>Standard Class</x:v>
      </x:c>
      <x:c r="D9573" s="1" t="str">
        <x:v>Pacific Asia</x:v>
      </x:c>
      <x:c r="E9573" s="1" t="str">
        <x:v>PENDING_PAYMENT</x:v>
      </x:c>
      <x:c r="F9573" s="1" t="str">
        <x:v>Advance shipping</x:v>
      </x:c>
      <x:c r="G9573" s="6" t="n">
        <x:v>2</x:v>
      </x:c>
      <x:c r="H9573" s="6" t="n">
        <x:v>4</x:v>
      </x:c>
      <x:c r="I9573" s="6" t="n">
        <x:f>G9573-H9573</x:f>
        <x:v>-2</x:v>
      </x:c>
      <x:c r="J9573" s="6" t="n">
        <x:f>IF(OR(E9573="CANCELED",E9573="SUSPECTED_FRAUD",F9573="Shipping canceled"),0,1)</x:f>
        <x:v>1</x:v>
      </x:c>
      <x:c r="K9573" s="6" t="n">
        <x:f>IF(G9573&gt;H9573,1,0)</x:f>
        <x:v>0</x:v>
      </x:c>
      <x:c r="L9573" s="6" t="n">
        <x:f>J9573*K9573</x:f>
        <x:v>0</x:v>
      </x:c>
    </x:row>
    <x:row r="9574">
      <x:c r="A9574" s="1" t="n">
        <x:v>75937</x:v>
      </x:c>
      <x:c r="B9574" s="5" t="d">
        <x:v>2018-01-13T00:00:00.000Z</x:v>
      </x:c>
      <x:c r="C9574" s="1" t="str">
        <x:v>Standard Class</x:v>
      </x:c>
      <x:c r="D9574" s="1" t="str">
        <x:v>Pacific Asia</x:v>
      </x:c>
      <x:c r="E9574" s="1" t="str">
        <x:v>COMPLETE</x:v>
      </x:c>
      <x:c r="F9574" s="1" t="str">
        <x:v>Advance shipping</x:v>
      </x:c>
      <x:c r="G9574" s="6" t="n">
        <x:v>3</x:v>
      </x:c>
      <x:c r="H9574" s="6" t="n">
        <x:v>4</x:v>
      </x:c>
      <x:c r="I9574" s="6" t="n">
        <x:f>G9574-H9574</x:f>
        <x:v>-1</x:v>
      </x:c>
      <x:c r="J9574" s="6" t="n">
        <x:f>IF(OR(E9574="CANCELED",E9574="SUSPECTED_FRAUD",F9574="Shipping canceled"),0,1)</x:f>
        <x:v>1</x:v>
      </x:c>
      <x:c r="K9574" s="6" t="n">
        <x:f>IF(G9574&gt;H9574,1,0)</x:f>
        <x:v>0</x:v>
      </x:c>
      <x:c r="L9574" s="6" t="n">
        <x:f>J9574*K9574</x:f>
        <x:v>0</x:v>
      </x:c>
    </x:row>
    <x:row r="9575">
      <x:c r="A9575" s="1" t="n">
        <x:v>75938</x:v>
      </x:c>
      <x:c r="B9575" s="5" t="d">
        <x:v>2018-01-13T00:00:00.000Z</x:v>
      </x:c>
      <x:c r="C9575" s="1" t="str">
        <x:v>Standard Class</x:v>
      </x:c>
      <x:c r="D9575" s="1" t="str">
        <x:v>Pacific Asia</x:v>
      </x:c>
      <x:c r="E9575" s="1" t="str">
        <x:v>CLOSED</x:v>
      </x:c>
      <x:c r="F9575" s="1" t="str">
        <x:v>Shipping on time</x:v>
      </x:c>
      <x:c r="G9575" s="6" t="n">
        <x:v>4</x:v>
      </x:c>
      <x:c r="H9575" s="6" t="n">
        <x:v>4</x:v>
      </x:c>
      <x:c r="I9575" s="6" t="n">
        <x:f>G9575-H9575</x:f>
        <x:v>0</x:v>
      </x:c>
      <x:c r="J9575" s="6" t="n">
        <x:f>IF(OR(E9575="CANCELED",E9575="SUSPECTED_FRAUD",F9575="Shipping canceled"),0,1)</x:f>
        <x:v>1</x:v>
      </x:c>
      <x:c r="K9575" s="6" t="n">
        <x:f>IF(G9575&gt;H9575,1,0)</x:f>
        <x:v>0</x:v>
      </x:c>
      <x:c r="L9575" s="6" t="n">
        <x:f>J9575*K9575</x:f>
        <x:v>0</x:v>
      </x:c>
    </x:row>
    <x:row r="9576">
      <x:c r="A9576" s="1" t="n">
        <x:v>75939</x:v>
      </x:c>
      <x:c r="B9576" s="5" t="d">
        <x:v>2018-01-13T00:00:00.000Z</x:v>
      </x:c>
      <x:c r="C9576" s="1" t="str">
        <x:v>Standard Class</x:v>
      </x:c>
      <x:c r="D9576" s="1" t="str">
        <x:v>Pacific Asia</x:v>
      </x:c>
      <x:c r="E9576" s="1" t="str">
        <x:v>PENDING</x:v>
      </x:c>
      <x:c r="F9576" s="1" t="str">
        <x:v>Late delivery</x:v>
      </x:c>
      <x:c r="G9576" s="6" t="n">
        <x:v>5</x:v>
      </x:c>
      <x:c r="H9576" s="6" t="n">
        <x:v>4</x:v>
      </x:c>
      <x:c r="I9576" s="6" t="n">
        <x:f>G9576-H9576</x:f>
        <x:v>1</x:v>
      </x:c>
      <x:c r="J9576" s="6" t="n">
        <x:f>IF(OR(E9576="CANCELED",E9576="SUSPECTED_FRAUD",F9576="Shipping canceled"),0,1)</x:f>
        <x:v>1</x:v>
      </x:c>
      <x:c r="K9576" s="6" t="n">
        <x:f>IF(G9576&gt;H9576,1,0)</x:f>
        <x:v>1</x:v>
      </x:c>
      <x:c r="L9576" s="6" t="n">
        <x:f>J9576*K9576</x:f>
        <x:v>1</x:v>
      </x:c>
    </x:row>
    <x:row r="9577">
      <x:c r="A9577" s="1" t="n">
        <x:v>76246</x:v>
      </x:c>
      <x:c r="B9577" s="5" t="d">
        <x:v>2018-01-18T00:00:00.000Z</x:v>
      </x:c>
      <x:c r="C9577" s="1" t="str">
        <x:v>Second Class</x:v>
      </x:c>
      <x:c r="D9577" s="1" t="str">
        <x:v>Pacific Asia</x:v>
      </x:c>
      <x:c r="E9577" s="1" t="str">
        <x:v>COMPLETE</x:v>
      </x:c>
      <x:c r="F9577" s="1" t="str">
        <x:v>Shipping on time</x:v>
      </x:c>
      <x:c r="G9577" s="6" t="n">
        <x:v>2</x:v>
      </x:c>
      <x:c r="H9577" s="6" t="n">
        <x:v>2</x:v>
      </x:c>
      <x:c r="I9577" s="6" t="n">
        <x:f>G9577-H9577</x:f>
        <x:v>0</x:v>
      </x:c>
      <x:c r="J9577" s="6" t="n">
        <x:f>IF(OR(E9577="CANCELED",E9577="SUSPECTED_FRAUD",F9577="Shipping canceled"),0,1)</x:f>
        <x:v>1</x:v>
      </x:c>
      <x:c r="K9577" s="6" t="n">
        <x:f>IF(G9577&gt;H9577,1,0)</x:f>
        <x:v>0</x:v>
      </x:c>
      <x:c r="L9577" s="6" t="n">
        <x:f>J9577*K9577</x:f>
        <x:v>0</x:v>
      </x:c>
    </x:row>
    <x:row r="9578">
      <x:c r="A9578" s="1" t="n">
        <x:v>76258</x:v>
      </x:c>
      <x:c r="B9578" s="5" t="d">
        <x:v>2018-01-18T00:00:00.000Z</x:v>
      </x:c>
      <x:c r="C9578" s="1" t="str">
        <x:v>Second Class</x:v>
      </x:c>
      <x:c r="D9578" s="1" t="str">
        <x:v>Pacific Asia</x:v>
      </x:c>
      <x:c r="E9578" s="1" t="str">
        <x:v>COMPLETE</x:v>
      </x:c>
      <x:c r="F9578" s="1" t="str">
        <x:v>Late delivery</x:v>
      </x:c>
      <x:c r="G9578" s="6" t="n">
        <x:v>4</x:v>
      </x:c>
      <x:c r="H9578" s="6" t="n">
        <x:v>2</x:v>
      </x:c>
      <x:c r="I9578" s="6" t="n">
        <x:f>G9578-H9578</x:f>
        <x:v>2</x:v>
      </x:c>
      <x:c r="J9578" s="6" t="n">
        <x:f>IF(OR(E9578="CANCELED",E9578="SUSPECTED_FRAUD",F9578="Shipping canceled"),0,1)</x:f>
        <x:v>1</x:v>
      </x:c>
      <x:c r="K9578" s="6" t="n">
        <x:f>IF(G9578&gt;H9578,1,0)</x:f>
        <x:v>1</x:v>
      </x:c>
      <x:c r="L9578" s="6" t="n">
        <x:f>J9578*K9578</x:f>
        <x:v>1</x:v>
      </x:c>
    </x:row>
    <x:row r="9579">
      <x:c r="A9579" s="1" t="n">
        <x:v>76260</x:v>
      </x:c>
      <x:c r="B9579" s="5" t="d">
        <x:v>2018-01-18T00:00:00.000Z</x:v>
      </x:c>
      <x:c r="C9579" s="1" t="str">
        <x:v>Standard Class</x:v>
      </x:c>
      <x:c r="D9579" s="1" t="str">
        <x:v>Pacific Asia</x:v>
      </x:c>
      <x:c r="E9579" s="1" t="str">
        <x:v>COMPLETE</x:v>
      </x:c>
      <x:c r="F9579" s="1" t="str">
        <x:v>Late delivery</x:v>
      </x:c>
      <x:c r="G9579" s="6" t="n">
        <x:v>6</x:v>
      </x:c>
      <x:c r="H9579" s="6" t="n">
        <x:v>4</x:v>
      </x:c>
      <x:c r="I9579" s="6" t="n">
        <x:f>G9579-H9579</x:f>
        <x:v>2</x:v>
      </x:c>
      <x:c r="J9579" s="6" t="n">
        <x:f>IF(OR(E9579="CANCELED",E9579="SUSPECTED_FRAUD",F9579="Shipping canceled"),0,1)</x:f>
        <x:v>1</x:v>
      </x:c>
      <x:c r="K9579" s="6" t="n">
        <x:f>IF(G9579&gt;H9579,1,0)</x:f>
        <x:v>1</x:v>
      </x:c>
      <x:c r="L9579" s="6" t="n">
        <x:f>J9579*K9579</x:f>
        <x:v>1</x:v>
      </x:c>
    </x:row>
    <x:row r="9580">
      <x:c r="A9580" s="1" t="n">
        <x:v>76263</x:v>
      </x:c>
      <x:c r="B9580" s="5" t="d">
        <x:v>2018-01-18T00:00:00.000Z</x:v>
      </x:c>
      <x:c r="C9580" s="1" t="str">
        <x:v>Standard Class</x:v>
      </x:c>
      <x:c r="D9580" s="1" t="str">
        <x:v>Pacific Asia</x:v>
      </x:c>
      <x:c r="E9580" s="1" t="str">
        <x:v>COMPLETE</x:v>
      </x:c>
      <x:c r="F9580" s="1" t="str">
        <x:v>Shipping on time</x:v>
      </x:c>
      <x:c r="G9580" s="6" t="n">
        <x:v>4</x:v>
      </x:c>
      <x:c r="H9580" s="6" t="n">
        <x:v>4</x:v>
      </x:c>
      <x:c r="I9580" s="6" t="n">
        <x:f>G9580-H9580</x:f>
        <x:v>0</x:v>
      </x:c>
      <x:c r="J9580" s="6" t="n">
        <x:f>IF(OR(E9580="CANCELED",E9580="SUSPECTED_FRAUD",F9580="Shipping canceled"),0,1)</x:f>
        <x:v>1</x:v>
      </x:c>
      <x:c r="K9580" s="6" t="n">
        <x:f>IF(G9580&gt;H9580,1,0)</x:f>
        <x:v>0</x:v>
      </x:c>
      <x:c r="L9580" s="6" t="n">
        <x:f>J9580*K9580</x:f>
        <x:v>0</x:v>
      </x:c>
    </x:row>
    <x:row r="9581">
      <x:c r="A9581" s="1" t="n">
        <x:v>76265</x:v>
      </x:c>
      <x:c r="B9581" s="5" t="d">
        <x:v>2018-01-18T00:00:00.000Z</x:v>
      </x:c>
      <x:c r="C9581" s="1" t="str">
        <x:v>Second Class</x:v>
      </x:c>
      <x:c r="D9581" s="1" t="str">
        <x:v>Pacific Asia</x:v>
      </x:c>
      <x:c r="E9581" s="1" t="str">
        <x:v>PROCESSING</x:v>
      </x:c>
      <x:c r="F9581" s="1" t="str">
        <x:v>Late delivery</x:v>
      </x:c>
      <x:c r="G9581" s="6" t="n">
        <x:v>6</x:v>
      </x:c>
      <x:c r="H9581" s="6" t="n">
        <x:v>2</x:v>
      </x:c>
      <x:c r="I9581" s="6" t="n">
        <x:f>G9581-H9581</x:f>
        <x:v>4</x:v>
      </x:c>
      <x:c r="J9581" s="6" t="n">
        <x:f>IF(OR(E9581="CANCELED",E9581="SUSPECTED_FRAUD",F9581="Shipping canceled"),0,1)</x:f>
        <x:v>1</x:v>
      </x:c>
      <x:c r="K9581" s="6" t="n">
        <x:f>IF(G9581&gt;H9581,1,0)</x:f>
        <x:v>1</x:v>
      </x:c>
      <x:c r="L9581" s="6" t="n">
        <x:f>J9581*K9581</x:f>
        <x:v>1</x:v>
      </x:c>
    </x:row>
    <x:row r="9582">
      <x:c r="A9582" s="1" t="n">
        <x:v>76267</x:v>
      </x:c>
      <x:c r="B9582" s="5" t="d">
        <x:v>2018-01-18T00:00:00.000Z</x:v>
      </x:c>
      <x:c r="C9582" s="1" t="str">
        <x:v>Second Class</x:v>
      </x:c>
      <x:c r="D9582" s="1" t="str">
        <x:v>Pacific Asia</x:v>
      </x:c>
      <x:c r="E9582" s="1" t="str">
        <x:v>PENDING</x:v>
      </x:c>
      <x:c r="F9582" s="1" t="str">
        <x:v>Late delivery</x:v>
      </x:c>
      <x:c r="G9582" s="6" t="n">
        <x:v>3</x:v>
      </x:c>
      <x:c r="H9582" s="6" t="n">
        <x:v>2</x:v>
      </x:c>
      <x:c r="I9582" s="6" t="n">
        <x:f>G9582-H9582</x:f>
        <x:v>1</x:v>
      </x:c>
      <x:c r="J9582" s="6" t="n">
        <x:f>IF(OR(E9582="CANCELED",E9582="SUSPECTED_FRAUD",F9582="Shipping canceled"),0,1)</x:f>
        <x:v>1</x:v>
      </x:c>
      <x:c r="K9582" s="6" t="n">
        <x:f>IF(G9582&gt;H9582,1,0)</x:f>
        <x:v>1</x:v>
      </x:c>
      <x:c r="L9582" s="6" t="n">
        <x:f>J9582*K9582</x:f>
        <x:v>1</x:v>
      </x:c>
    </x:row>
    <x:row r="9583">
      <x:c r="A9583" s="1" t="n">
        <x:v>76278</x:v>
      </x:c>
      <x:c r="B9583" s="5" t="d">
        <x:v>2018-01-18T00:00:00.000Z</x:v>
      </x:c>
      <x:c r="C9583" s="1" t="str">
        <x:v>Second Class</x:v>
      </x:c>
      <x:c r="D9583" s="1" t="str">
        <x:v>Pacific Asia</x:v>
      </x:c>
      <x:c r="E9583" s="1" t="str">
        <x:v>COMPLETE</x:v>
      </x:c>
      <x:c r="F9583" s="1" t="str">
        <x:v>Late delivery</x:v>
      </x:c>
      <x:c r="G9583" s="6" t="n">
        <x:v>4</x:v>
      </x:c>
      <x:c r="H9583" s="6" t="n">
        <x:v>2</x:v>
      </x:c>
      <x:c r="I9583" s="6" t="n">
        <x:f>G9583-H9583</x:f>
        <x:v>2</x:v>
      </x:c>
      <x:c r="J9583" s="6" t="n">
        <x:f>IF(OR(E9583="CANCELED",E9583="SUSPECTED_FRAUD",F9583="Shipping canceled"),0,1)</x:f>
        <x:v>1</x:v>
      </x:c>
      <x:c r="K9583" s="6" t="n">
        <x:f>IF(G9583&gt;H9583,1,0)</x:f>
        <x:v>1</x:v>
      </x:c>
      <x:c r="L9583" s="6" t="n">
        <x:f>J9583*K9583</x:f>
        <x:v>1</x:v>
      </x:c>
    </x:row>
    <x:row r="9584">
      <x:c r="A9584" s="1" t="n">
        <x:v>76302</x:v>
      </x:c>
      <x:c r="B9584" s="5" t="d">
        <x:v>2018-01-18T00:00:00.000Z</x:v>
      </x:c>
      <x:c r="C9584" s="1" t="str">
        <x:v>Standard Class</x:v>
      </x:c>
      <x:c r="D9584" s="1" t="str">
        <x:v>Pacific Asia</x:v>
      </x:c>
      <x:c r="E9584" s="1" t="str">
        <x:v>PENDING_PAYMENT</x:v>
      </x:c>
      <x:c r="F9584" s="1" t="str">
        <x:v>Advance shipping</x:v>
      </x:c>
      <x:c r="G9584" s="6" t="n">
        <x:v>3</x:v>
      </x:c>
      <x:c r="H9584" s="6" t="n">
        <x:v>4</x:v>
      </x:c>
      <x:c r="I9584" s="6" t="n">
        <x:f>G9584-H9584</x:f>
        <x:v>-1</x:v>
      </x:c>
      <x:c r="J9584" s="6" t="n">
        <x:f>IF(OR(E9584="CANCELED",E9584="SUSPECTED_FRAUD",F9584="Shipping canceled"),0,1)</x:f>
        <x:v>1</x:v>
      </x:c>
      <x:c r="K9584" s="6" t="n">
        <x:f>IF(G9584&gt;H9584,1,0)</x:f>
        <x:v>0</x:v>
      </x:c>
      <x:c r="L9584" s="6" t="n">
        <x:f>J9584*K9584</x:f>
        <x:v>0</x:v>
      </x:c>
    </x:row>
    <x:row r="9585">
      <x:c r="A9585" s="1" t="n">
        <x:v>76308</x:v>
      </x:c>
      <x:c r="B9585" s="5" t="d">
        <x:v>2018-01-18T00:00:00.000Z</x:v>
      </x:c>
      <x:c r="C9585" s="1" t="str">
        <x:v>Second Class</x:v>
      </x:c>
      <x:c r="D9585" s="1" t="str">
        <x:v>Pacific Asia</x:v>
      </x:c>
      <x:c r="E9585" s="1" t="str">
        <x:v>PROCESSING</x:v>
      </x:c>
      <x:c r="F9585" s="1" t="str">
        <x:v>Late delivery</x:v>
      </x:c>
      <x:c r="G9585" s="6" t="n">
        <x:v>4</x:v>
      </x:c>
      <x:c r="H9585" s="6" t="n">
        <x:v>2</x:v>
      </x:c>
      <x:c r="I9585" s="6" t="n">
        <x:f>G9585-H9585</x:f>
        <x:v>2</x:v>
      </x:c>
      <x:c r="J9585" s="6" t="n">
        <x:f>IF(OR(E9585="CANCELED",E9585="SUSPECTED_FRAUD",F9585="Shipping canceled"),0,1)</x:f>
        <x:v>1</x:v>
      </x:c>
      <x:c r="K9585" s="6" t="n">
        <x:f>IF(G9585&gt;H9585,1,0)</x:f>
        <x:v>1</x:v>
      </x:c>
      <x:c r="L9585" s="6" t="n">
        <x:f>J9585*K9585</x:f>
        <x:v>1</x:v>
      </x:c>
    </x:row>
    <x:row r="9586">
      <x:c r="A9586" s="1" t="n">
        <x:v>76353</x:v>
      </x:c>
      <x:c r="B9586" s="5" t="d">
        <x:v>2018-01-19T00:00:00.000Z</x:v>
      </x:c>
      <x:c r="C9586" s="1" t="str">
        <x:v>Second Class</x:v>
      </x:c>
      <x:c r="D9586" s="1" t="str">
        <x:v>Pacific Asia</x:v>
      </x:c>
      <x:c r="E9586" s="1" t="str">
        <x:v>CANCELED</x:v>
      </x:c>
      <x:c r="F9586" s="1" t="str">
        <x:v>Shipping canceled</x:v>
      </x:c>
      <x:c r="G9586" s="6" t="n">
        <x:v>4</x:v>
      </x:c>
      <x:c r="H9586" s="6" t="n">
        <x:v>2</x:v>
      </x:c>
      <x:c r="I9586" s="6" t="n">
        <x:f>G9586-H9586</x:f>
        <x:v>2</x:v>
      </x:c>
      <x:c r="J9586" s="6" t="n">
        <x:f>IF(OR(E9586="CANCELED",E9586="SUSPECTED_FRAUD",F9586="Shipping canceled"),0,1)</x:f>
        <x:v>0</x:v>
      </x:c>
      <x:c r="K9586" s="6" t="n">
        <x:f>IF(G9586&gt;H9586,1,0)</x:f>
        <x:v>1</x:v>
      </x:c>
      <x:c r="L9586" s="6" t="n">
        <x:f>J9586*K9586</x:f>
        <x:v>0</x:v>
      </x:c>
    </x:row>
    <x:row r="9587">
      <x:c r="A9587" s="1" t="n">
        <x:v>76362</x:v>
      </x:c>
      <x:c r="B9587" s="5" t="d">
        <x:v>2018-01-19T00:00:00.000Z</x:v>
      </x:c>
      <x:c r="C9587" s="1" t="str">
        <x:v>Second Class</x:v>
      </x:c>
      <x:c r="D9587" s="1" t="str">
        <x:v>Pacific Asia</x:v>
      </x:c>
      <x:c r="E9587" s="1" t="str">
        <x:v>COMPLETE</x:v>
      </x:c>
      <x:c r="F9587" s="1" t="str">
        <x:v>Late delivery</x:v>
      </x:c>
      <x:c r="G9587" s="6" t="n">
        <x:v>3</x:v>
      </x:c>
      <x:c r="H9587" s="6" t="n">
        <x:v>2</x:v>
      </x:c>
      <x:c r="I9587" s="6" t="n">
        <x:f>G9587-H9587</x:f>
        <x:v>1</x:v>
      </x:c>
      <x:c r="J9587" s="6" t="n">
        <x:f>IF(OR(E9587="CANCELED",E9587="SUSPECTED_FRAUD",F9587="Shipping canceled"),0,1)</x:f>
        <x:v>1</x:v>
      </x:c>
      <x:c r="K9587" s="6" t="n">
        <x:f>IF(G9587&gt;H9587,1,0)</x:f>
        <x:v>1</x:v>
      </x:c>
      <x:c r="L9587" s="6" t="n">
        <x:f>J9587*K9587</x:f>
        <x:v>1</x:v>
      </x:c>
    </x:row>
    <x:row r="9588">
      <x:c r="A9588" s="1" t="n">
        <x:v>76369</x:v>
      </x:c>
      <x:c r="B9588" s="5" t="d">
        <x:v>2018-01-19T00:00:00.000Z</x:v>
      </x:c>
      <x:c r="C9588" s="1" t="str">
        <x:v>Standard Class</x:v>
      </x:c>
      <x:c r="D9588" s="1" t="str">
        <x:v>Pacific Asia</x:v>
      </x:c>
      <x:c r="E9588" s="1" t="str">
        <x:v>PENDING_PAYMENT</x:v>
      </x:c>
      <x:c r="F9588" s="1" t="str">
        <x:v>Late delivery</x:v>
      </x:c>
      <x:c r="G9588" s="6" t="n">
        <x:v>5</x:v>
      </x:c>
      <x:c r="H9588" s="6" t="n">
        <x:v>4</x:v>
      </x:c>
      <x:c r="I9588" s="6" t="n">
        <x:f>G9588-H9588</x:f>
        <x:v>1</x:v>
      </x:c>
      <x:c r="J9588" s="6" t="n">
        <x:f>IF(OR(E9588="CANCELED",E9588="SUSPECTED_FRAUD",F9588="Shipping canceled"),0,1)</x:f>
        <x:v>1</x:v>
      </x:c>
      <x:c r="K9588" s="6" t="n">
        <x:f>IF(G9588&gt;H9588,1,0)</x:f>
        <x:v>1</x:v>
      </x:c>
      <x:c r="L9588" s="6" t="n">
        <x:f>J9588*K9588</x:f>
        <x:v>1</x:v>
      </x:c>
    </x:row>
    <x:row r="9589">
      <x:c r="A9589" s="1" t="n">
        <x:v>76382</x:v>
      </x:c>
      <x:c r="B9589" s="5" t="d">
        <x:v>2018-01-19T00:00:00.000Z</x:v>
      </x:c>
      <x:c r="C9589" s="1" t="str">
        <x:v>Standard Class</x:v>
      </x:c>
      <x:c r="D9589" s="1" t="str">
        <x:v>Pacific Asia</x:v>
      </x:c>
      <x:c r="E9589" s="1" t="str">
        <x:v>COMPLETE</x:v>
      </x:c>
      <x:c r="F9589" s="1" t="str">
        <x:v>Advance shipping</x:v>
      </x:c>
      <x:c r="G9589" s="6" t="n">
        <x:v>3</x:v>
      </x:c>
      <x:c r="H9589" s="6" t="n">
        <x:v>4</x:v>
      </x:c>
      <x:c r="I9589" s="6" t="n">
        <x:f>G9589-H9589</x:f>
        <x:v>-1</x:v>
      </x:c>
      <x:c r="J9589" s="6" t="n">
        <x:f>IF(OR(E9589="CANCELED",E9589="SUSPECTED_FRAUD",F9589="Shipping canceled"),0,1)</x:f>
        <x:v>1</x:v>
      </x:c>
      <x:c r="K9589" s="6" t="n">
        <x:f>IF(G9589&gt;H9589,1,0)</x:f>
        <x:v>0</x:v>
      </x:c>
      <x:c r="L9589" s="6" t="n">
        <x:f>J9589*K9589</x:f>
        <x:v>0</x:v>
      </x:c>
    </x:row>
    <x:row r="9590">
      <x:c r="A9590" s="1" t="n">
        <x:v>76386</x:v>
      </x:c>
      <x:c r="B9590" s="5" t="d">
        <x:v>2018-01-20T00:00:00.000Z</x:v>
      </x:c>
      <x:c r="C9590" s="1" t="str">
        <x:v>Second Class</x:v>
      </x:c>
      <x:c r="D9590" s="1" t="str">
        <x:v>Pacific Asia</x:v>
      </x:c>
      <x:c r="E9590" s="1" t="str">
        <x:v>COMPLETE</x:v>
      </x:c>
      <x:c r="F9590" s="1" t="str">
        <x:v>Shipping on time</x:v>
      </x:c>
      <x:c r="G9590" s="6" t="n">
        <x:v>2</x:v>
      </x:c>
      <x:c r="H9590" s="6" t="n">
        <x:v>2</x:v>
      </x:c>
      <x:c r="I9590" s="6" t="n">
        <x:f>G9590-H9590</x:f>
        <x:v>0</x:v>
      </x:c>
      <x:c r="J9590" s="6" t="n">
        <x:f>IF(OR(E9590="CANCELED",E9590="SUSPECTED_FRAUD",F9590="Shipping canceled"),0,1)</x:f>
        <x:v>1</x:v>
      </x:c>
      <x:c r="K9590" s="6" t="n">
        <x:f>IF(G9590&gt;H9590,1,0)</x:f>
        <x:v>0</x:v>
      </x:c>
      <x:c r="L9590" s="6" t="n">
        <x:f>J9590*K9590</x:f>
        <x:v>0</x:v>
      </x:c>
    </x:row>
    <x:row r="9591">
      <x:c r="A9591" s="1" t="n">
        <x:v>76394</x:v>
      </x:c>
      <x:c r="B9591" s="5" t="d">
        <x:v>2018-01-20T00:00:00.000Z</x:v>
      </x:c>
      <x:c r="C9591" s="1" t="str">
        <x:v>Standard Class</x:v>
      </x:c>
      <x:c r="D9591" s="1" t="str">
        <x:v>Pacific Asia</x:v>
      </x:c>
      <x:c r="E9591" s="1" t="str">
        <x:v>COMPLETE</x:v>
      </x:c>
      <x:c r="F9591" s="1" t="str">
        <x:v>Late delivery</x:v>
      </x:c>
      <x:c r="G9591" s="6" t="n">
        <x:v>5</x:v>
      </x:c>
      <x:c r="H9591" s="6" t="n">
        <x:v>4</x:v>
      </x:c>
      <x:c r="I9591" s="6" t="n">
        <x:f>G9591-H9591</x:f>
        <x:v>1</x:v>
      </x:c>
      <x:c r="J9591" s="6" t="n">
        <x:f>IF(OR(E9591="CANCELED",E9591="SUSPECTED_FRAUD",F9591="Shipping canceled"),0,1)</x:f>
        <x:v>1</x:v>
      </x:c>
      <x:c r="K9591" s="6" t="n">
        <x:f>IF(G9591&gt;H9591,1,0)</x:f>
        <x:v>1</x:v>
      </x:c>
      <x:c r="L9591" s="6" t="n">
        <x:f>J9591*K9591</x:f>
        <x:v>1</x:v>
      </x:c>
    </x:row>
    <x:row r="9592">
      <x:c r="A9592" s="1" t="n">
        <x:v>76402</x:v>
      </x:c>
      <x:c r="B9592" s="5" t="d">
        <x:v>2018-01-20T00:00:00.000Z</x:v>
      </x:c>
      <x:c r="C9592" s="1" t="str">
        <x:v>First Class</x:v>
      </x:c>
      <x:c r="D9592" s="1" t="str">
        <x:v>Pacific Asia</x:v>
      </x:c>
      <x:c r="E9592" s="1" t="str">
        <x:v>CLOSED</x:v>
      </x:c>
      <x:c r="F9592" s="1" t="str">
        <x:v>Late delivery</x:v>
      </x:c>
      <x:c r="G9592" s="6" t="n">
        <x:v>2</x:v>
      </x:c>
      <x:c r="H9592" s="6" t="n">
        <x:v>1</x:v>
      </x:c>
      <x:c r="I9592" s="6" t="n">
        <x:f>G9592-H9592</x:f>
        <x:v>1</x:v>
      </x:c>
      <x:c r="J9592" s="6" t="n">
        <x:f>IF(OR(E9592="CANCELED",E9592="SUSPECTED_FRAUD",F9592="Shipping canceled"),0,1)</x:f>
        <x:v>1</x:v>
      </x:c>
      <x:c r="K9592" s="6" t="n">
        <x:f>IF(G9592&gt;H9592,1,0)</x:f>
        <x:v>1</x:v>
      </x:c>
      <x:c r="L9592" s="6" t="n">
        <x:f>J9592*K9592</x:f>
        <x:v>1</x:v>
      </x:c>
    </x:row>
    <x:row r="9593">
      <x:c r="A9593" s="1" t="n">
        <x:v>76424</x:v>
      </x:c>
      <x:c r="B9593" s="5" t="d">
        <x:v>2018-01-20T00:00:00.000Z</x:v>
      </x:c>
      <x:c r="C9593" s="1" t="str">
        <x:v>Standard Class</x:v>
      </x:c>
      <x:c r="D9593" s="1" t="str">
        <x:v>Pacific Asia</x:v>
      </x:c>
      <x:c r="E9593" s="1" t="str">
        <x:v>PENDING_PAYMENT</x:v>
      </x:c>
      <x:c r="F9593" s="1" t="str">
        <x:v>Late delivery</x:v>
      </x:c>
      <x:c r="G9593" s="6" t="n">
        <x:v>5</x:v>
      </x:c>
      <x:c r="H9593" s="6" t="n">
        <x:v>4</x:v>
      </x:c>
      <x:c r="I9593" s="6" t="n">
        <x:f>G9593-H9593</x:f>
        <x:v>1</x:v>
      </x:c>
      <x:c r="J9593" s="6" t="n">
        <x:f>IF(OR(E9593="CANCELED",E9593="SUSPECTED_FRAUD",F9593="Shipping canceled"),0,1)</x:f>
        <x:v>1</x:v>
      </x:c>
      <x:c r="K9593" s="6" t="n">
        <x:f>IF(G9593&gt;H9593,1,0)</x:f>
        <x:v>1</x:v>
      </x:c>
      <x:c r="L9593" s="6" t="n">
        <x:f>J9593*K9593</x:f>
        <x:v>1</x:v>
      </x:c>
    </x:row>
    <x:row r="9594">
      <x:c r="A9594" s="1" t="n">
        <x:v>76452</x:v>
      </x:c>
      <x:c r="B9594" s="5" t="d">
        <x:v>2018-01-21T00:00:00.000Z</x:v>
      </x:c>
      <x:c r="C9594" s="1" t="str">
        <x:v>Standard Class</x:v>
      </x:c>
      <x:c r="D9594" s="1" t="str">
        <x:v>Pacific Asia</x:v>
      </x:c>
      <x:c r="E9594" s="1" t="str">
        <x:v>COMPLETE</x:v>
      </x:c>
      <x:c r="F9594" s="1" t="str">
        <x:v>Advance shipping</x:v>
      </x:c>
      <x:c r="G9594" s="6" t="n">
        <x:v>3</x:v>
      </x:c>
      <x:c r="H9594" s="6" t="n">
        <x:v>4</x:v>
      </x:c>
      <x:c r="I9594" s="6" t="n">
        <x:f>G9594-H9594</x:f>
        <x:v>-1</x:v>
      </x:c>
      <x:c r="J9594" s="6" t="n">
        <x:f>IF(OR(E9594="CANCELED",E9594="SUSPECTED_FRAUD",F9594="Shipping canceled"),0,1)</x:f>
        <x:v>1</x:v>
      </x:c>
      <x:c r="K9594" s="6" t="n">
        <x:f>IF(G9594&gt;H9594,1,0)</x:f>
        <x:v>0</x:v>
      </x:c>
      <x:c r="L9594" s="6" t="n">
        <x:f>J9594*K9594</x:f>
        <x:v>0</x:v>
      </x:c>
    </x:row>
    <x:row r="9595">
      <x:c r="A9595" s="1" t="n">
        <x:v>76461</x:v>
      </x:c>
      <x:c r="B9595" s="5" t="d">
        <x:v>2018-01-21T00:00:00.000Z</x:v>
      </x:c>
      <x:c r="C9595" s="1" t="str">
        <x:v>Standard Class</x:v>
      </x:c>
      <x:c r="D9595" s="1" t="str">
        <x:v>Pacific Asia</x:v>
      </x:c>
      <x:c r="E9595" s="1" t="str">
        <x:v>COMPLETE</x:v>
      </x:c>
      <x:c r="F9595" s="1" t="str">
        <x:v>Advance shipping</x:v>
      </x:c>
      <x:c r="G9595" s="6" t="n">
        <x:v>2</x:v>
      </x:c>
      <x:c r="H9595" s="6" t="n">
        <x:v>4</x:v>
      </x:c>
      <x:c r="I9595" s="6" t="n">
        <x:f>G9595-H9595</x:f>
        <x:v>-2</x:v>
      </x:c>
      <x:c r="J9595" s="6" t="n">
        <x:f>IF(OR(E9595="CANCELED",E9595="SUSPECTED_FRAUD",F9595="Shipping canceled"),0,1)</x:f>
        <x:v>1</x:v>
      </x:c>
      <x:c r="K9595" s="6" t="n">
        <x:f>IF(G9595&gt;H9595,1,0)</x:f>
        <x:v>0</x:v>
      </x:c>
      <x:c r="L9595" s="6" t="n">
        <x:f>J9595*K9595</x:f>
        <x:v>0</x:v>
      </x:c>
    </x:row>
    <x:row r="9596">
      <x:c r="A9596" s="1" t="n">
        <x:v>76471</x:v>
      </x:c>
      <x:c r="B9596" s="5" t="d">
        <x:v>2018-01-21T00:00:00.000Z</x:v>
      </x:c>
      <x:c r="C9596" s="1" t="str">
        <x:v>Standard Class</x:v>
      </x:c>
      <x:c r="D9596" s="1" t="str">
        <x:v>Pacific Asia</x:v>
      </x:c>
      <x:c r="E9596" s="1" t="str">
        <x:v>COMPLETE</x:v>
      </x:c>
      <x:c r="F9596" s="1" t="str">
        <x:v>Advance shipping</x:v>
      </x:c>
      <x:c r="G9596" s="6" t="n">
        <x:v>2</x:v>
      </x:c>
      <x:c r="H9596" s="6" t="n">
        <x:v>4</x:v>
      </x:c>
      <x:c r="I9596" s="6" t="n">
        <x:f>G9596-H9596</x:f>
        <x:v>-2</x:v>
      </x:c>
      <x:c r="J9596" s="6" t="n">
        <x:f>IF(OR(E9596="CANCELED",E9596="SUSPECTED_FRAUD",F9596="Shipping canceled"),0,1)</x:f>
        <x:v>1</x:v>
      </x:c>
      <x:c r="K9596" s="6" t="n">
        <x:f>IF(G9596&gt;H9596,1,0)</x:f>
        <x:v>0</x:v>
      </x:c>
      <x:c r="L9596" s="6" t="n">
        <x:f>J9596*K9596</x:f>
        <x:v>0</x:v>
      </x:c>
    </x:row>
    <x:row r="9597">
      <x:c r="A9597" s="1" t="n">
        <x:v>76472</x:v>
      </x:c>
      <x:c r="B9597" s="5" t="d">
        <x:v>2018-01-21T00:00:00.000Z</x:v>
      </x:c>
      <x:c r="C9597" s="1" t="str">
        <x:v>Standard Class</x:v>
      </x:c>
      <x:c r="D9597" s="1" t="str">
        <x:v>Pacific Asia</x:v>
      </x:c>
      <x:c r="E9597" s="1" t="str">
        <x:v>COMPLETE</x:v>
      </x:c>
      <x:c r="F9597" s="1" t="str">
        <x:v>Advance shipping</x:v>
      </x:c>
      <x:c r="G9597" s="6" t="n">
        <x:v>3</x:v>
      </x:c>
      <x:c r="H9597" s="6" t="n">
        <x:v>4</x:v>
      </x:c>
      <x:c r="I9597" s="6" t="n">
        <x:f>G9597-H9597</x:f>
        <x:v>-1</x:v>
      </x:c>
      <x:c r="J9597" s="6" t="n">
        <x:f>IF(OR(E9597="CANCELED",E9597="SUSPECTED_FRAUD",F9597="Shipping canceled"),0,1)</x:f>
        <x:v>1</x:v>
      </x:c>
      <x:c r="K9597" s="6" t="n">
        <x:f>IF(G9597&gt;H9597,1,0)</x:f>
        <x:v>0</x:v>
      </x:c>
      <x:c r="L9597" s="6" t="n">
        <x:f>J9597*K9597</x:f>
        <x:v>0</x:v>
      </x:c>
    </x:row>
    <x:row r="9598">
      <x:c r="A9598" s="1" t="n">
        <x:v>76473</x:v>
      </x:c>
      <x:c r="B9598" s="5" t="d">
        <x:v>2018-01-21T00:00:00.000Z</x:v>
      </x:c>
      <x:c r="C9598" s="1" t="str">
        <x:v>Standard Class</x:v>
      </x:c>
      <x:c r="D9598" s="1" t="str">
        <x:v>Pacific Asia</x:v>
      </x:c>
      <x:c r="E9598" s="1" t="str">
        <x:v>COMPLETE</x:v>
      </x:c>
      <x:c r="F9598" s="1" t="str">
        <x:v>Shipping on time</x:v>
      </x:c>
      <x:c r="G9598" s="6" t="n">
        <x:v>4</x:v>
      </x:c>
      <x:c r="H9598" s="6" t="n">
        <x:v>4</x:v>
      </x:c>
      <x:c r="I9598" s="6" t="n">
        <x:f>G9598-H9598</x:f>
        <x:v>0</x:v>
      </x:c>
      <x:c r="J9598" s="6" t="n">
        <x:f>IF(OR(E9598="CANCELED",E9598="SUSPECTED_FRAUD",F9598="Shipping canceled"),0,1)</x:f>
        <x:v>1</x:v>
      </x:c>
      <x:c r="K9598" s="6" t="n">
        <x:f>IF(G9598&gt;H9598,1,0)</x:f>
        <x:v>0</x:v>
      </x:c>
      <x:c r="L9598" s="6" t="n">
        <x:f>J9598*K9598</x:f>
        <x:v>0</x:v>
      </x:c>
    </x:row>
    <x:row r="9599">
      <x:c r="A9599" s="1" t="n">
        <x:v>76478</x:v>
      </x:c>
      <x:c r="B9599" s="5" t="d">
        <x:v>2018-01-21T00:00:00.000Z</x:v>
      </x:c>
      <x:c r="C9599" s="1" t="str">
        <x:v>First Class</x:v>
      </x:c>
      <x:c r="D9599" s="1" t="str">
        <x:v>Pacific Asia</x:v>
      </x:c>
      <x:c r="E9599" s="1" t="str">
        <x:v>PROCESSING</x:v>
      </x:c>
      <x:c r="F9599" s="1" t="str">
        <x:v>Late delivery</x:v>
      </x:c>
      <x:c r="G9599" s="6" t="n">
        <x:v>2</x:v>
      </x:c>
      <x:c r="H9599" s="6" t="n">
        <x:v>1</x:v>
      </x:c>
      <x:c r="I9599" s="6" t="n">
        <x:f>G9599-H9599</x:f>
        <x:v>1</x:v>
      </x:c>
      <x:c r="J9599" s="6" t="n">
        <x:f>IF(OR(E9599="CANCELED",E9599="SUSPECTED_FRAUD",F9599="Shipping canceled"),0,1)</x:f>
        <x:v>1</x:v>
      </x:c>
      <x:c r="K9599" s="6" t="n">
        <x:f>IF(G9599&gt;H9599,1,0)</x:f>
        <x:v>1</x:v>
      </x:c>
      <x:c r="L9599" s="6" t="n">
        <x:f>J9599*K9599</x:f>
        <x:v>1</x:v>
      </x:c>
    </x:row>
    <x:row r="9600">
      <x:c r="A9600" s="1" t="n">
        <x:v>76502</x:v>
      </x:c>
      <x:c r="B9600" s="5" t="d">
        <x:v>2018-01-21T00:00:00.000Z</x:v>
      </x:c>
      <x:c r="C9600" s="1" t="str">
        <x:v>Second Class</x:v>
      </x:c>
      <x:c r="D9600" s="1" t="str">
        <x:v>Pacific Asia</x:v>
      </x:c>
      <x:c r="E9600" s="1" t="str">
        <x:v>COMPLETE</x:v>
      </x:c>
      <x:c r="F9600" s="1" t="str">
        <x:v>Late delivery</x:v>
      </x:c>
      <x:c r="G9600" s="6" t="n">
        <x:v>3</x:v>
      </x:c>
      <x:c r="H9600" s="6" t="n">
        <x:v>2</x:v>
      </x:c>
      <x:c r="I9600" s="6" t="n">
        <x:f>G9600-H9600</x:f>
        <x:v>1</x:v>
      </x:c>
      <x:c r="J9600" s="6" t="n">
        <x:f>IF(OR(E9600="CANCELED",E9600="SUSPECTED_FRAUD",F9600="Shipping canceled"),0,1)</x:f>
        <x:v>1</x:v>
      </x:c>
      <x:c r="K9600" s="6" t="n">
        <x:f>IF(G9600&gt;H9600,1,0)</x:f>
        <x:v>1</x:v>
      </x:c>
      <x:c r="L9600" s="6" t="n">
        <x:f>J9600*K9600</x:f>
        <x:v>1</x:v>
      </x:c>
    </x:row>
    <x:row r="9601">
      <x:c r="A9601" s="1" t="n">
        <x:v>76511</x:v>
      </x:c>
      <x:c r="B9601" s="5" t="d">
        <x:v>2018-01-21T00:00:00.000Z</x:v>
      </x:c>
      <x:c r="C9601" s="1" t="str">
        <x:v>Standard Class</x:v>
      </x:c>
      <x:c r="D9601" s="1" t="str">
        <x:v>Pacific Asia</x:v>
      </x:c>
      <x:c r="E9601" s="1" t="str">
        <x:v>COMPLETE</x:v>
      </x:c>
      <x:c r="F9601" s="1" t="str">
        <x:v>Advance shipping</x:v>
      </x:c>
      <x:c r="G9601" s="6" t="n">
        <x:v>2</x:v>
      </x:c>
      <x:c r="H9601" s="6" t="n">
        <x:v>4</x:v>
      </x:c>
      <x:c r="I9601" s="6" t="n">
        <x:f>G9601-H9601</x:f>
        <x:v>-2</x:v>
      </x:c>
      <x:c r="J9601" s="6" t="n">
        <x:f>IF(OR(E9601="CANCELED",E9601="SUSPECTED_FRAUD",F9601="Shipping canceled"),0,1)</x:f>
        <x:v>1</x:v>
      </x:c>
      <x:c r="K9601" s="6" t="n">
        <x:f>IF(G9601&gt;H9601,1,0)</x:f>
        <x:v>0</x:v>
      </x:c>
      <x:c r="L9601" s="6" t="n">
        <x:f>J9601*K9601</x:f>
        <x:v>0</x:v>
      </x:c>
    </x:row>
    <x:row r="9602">
      <x:c r="A9602" s="1" t="n">
        <x:v>76514</x:v>
      </x:c>
      <x:c r="B9602" s="5" t="d">
        <x:v>2018-01-21T00:00:00.000Z</x:v>
      </x:c>
      <x:c r="C9602" s="1" t="str">
        <x:v>Standard Class</x:v>
      </x:c>
      <x:c r="D9602" s="1" t="str">
        <x:v>Pacific Asia</x:v>
      </x:c>
      <x:c r="E9602" s="1" t="str">
        <x:v>ON_HOLD</x:v>
      </x:c>
      <x:c r="F9602" s="1" t="str">
        <x:v>Late delivery</x:v>
      </x:c>
      <x:c r="G9602" s="6" t="n">
        <x:v>5</x:v>
      </x:c>
      <x:c r="H9602" s="6" t="n">
        <x:v>4</x:v>
      </x:c>
      <x:c r="I9602" s="6" t="n">
        <x:f>G9602-H9602</x:f>
        <x:v>1</x:v>
      </x:c>
      <x:c r="J9602" s="6" t="n">
        <x:f>IF(OR(E9602="CANCELED",E9602="SUSPECTED_FRAUD",F9602="Shipping canceled"),0,1)</x:f>
        <x:v>1</x:v>
      </x:c>
      <x:c r="K9602" s="6" t="n">
        <x:f>IF(G9602&gt;H9602,1,0)</x:f>
        <x:v>1</x:v>
      </x:c>
      <x:c r="L9602" s="6" t="n">
        <x:f>J9602*K9602</x:f>
        <x:v>1</x:v>
      </x:c>
    </x:row>
    <x:row r="9603">
      <x:c r="A9603" s="1" t="n">
        <x:v>76519</x:v>
      </x:c>
      <x:c r="B9603" s="5" t="d">
        <x:v>2018-01-21T00:00:00.000Z</x:v>
      </x:c>
      <x:c r="C9603" s="1" t="str">
        <x:v>Second Class</x:v>
      </x:c>
      <x:c r="D9603" s="1" t="str">
        <x:v>Pacific Asia</x:v>
      </x:c>
      <x:c r="E9603" s="1" t="str">
        <x:v>COMPLETE</x:v>
      </x:c>
      <x:c r="F9603" s="1" t="str">
        <x:v>Late delivery</x:v>
      </x:c>
      <x:c r="G9603" s="6" t="n">
        <x:v>5</x:v>
      </x:c>
      <x:c r="H9603" s="6" t="n">
        <x:v>2</x:v>
      </x:c>
      <x:c r="I9603" s="6" t="n">
        <x:f>G9603-H9603</x:f>
        <x:v>3</x:v>
      </x:c>
      <x:c r="J9603" s="6" t="n">
        <x:f>IF(OR(E9603="CANCELED",E9603="SUSPECTED_FRAUD",F9603="Shipping canceled"),0,1)</x:f>
        <x:v>1</x:v>
      </x:c>
      <x:c r="K9603" s="6" t="n">
        <x:f>IF(G9603&gt;H9603,1,0)</x:f>
        <x:v>1</x:v>
      </x:c>
      <x:c r="L9603" s="6" t="n">
        <x:f>J9603*K9603</x:f>
        <x:v>1</x:v>
      </x:c>
    </x:row>
    <x:row r="9604">
      <x:c r="A9604" s="1" t="n">
        <x:v>76535</x:v>
      </x:c>
      <x:c r="B9604" s="5" t="d">
        <x:v>2018-01-22T00:00:00.000Z</x:v>
      </x:c>
      <x:c r="C9604" s="1" t="str">
        <x:v>Standard Class</x:v>
      </x:c>
      <x:c r="D9604" s="1" t="str">
        <x:v>Pacific Asia</x:v>
      </x:c>
      <x:c r="E9604" s="1" t="str">
        <x:v>PENDING_PAYMENT</x:v>
      </x:c>
      <x:c r="F9604" s="1" t="str">
        <x:v>Late delivery</x:v>
      </x:c>
      <x:c r="G9604" s="6" t="n">
        <x:v>6</x:v>
      </x:c>
      <x:c r="H9604" s="6" t="n">
        <x:v>4</x:v>
      </x:c>
      <x:c r="I9604" s="6" t="n">
        <x:f>G9604-H9604</x:f>
        <x:v>2</x:v>
      </x:c>
      <x:c r="J9604" s="6" t="n">
        <x:f>IF(OR(E9604="CANCELED",E9604="SUSPECTED_FRAUD",F9604="Shipping canceled"),0,1)</x:f>
        <x:v>1</x:v>
      </x:c>
      <x:c r="K9604" s="6" t="n">
        <x:f>IF(G9604&gt;H9604,1,0)</x:f>
        <x:v>1</x:v>
      </x:c>
      <x:c r="L9604" s="6" t="n">
        <x:f>J9604*K9604</x:f>
        <x:v>1</x:v>
      </x:c>
    </x:row>
    <x:row r="9605">
      <x:c r="A9605" s="1" t="n">
        <x:v>76563</x:v>
      </x:c>
      <x:c r="B9605" s="5" t="d">
        <x:v>2018-01-22T00:00:00.000Z</x:v>
      </x:c>
      <x:c r="C9605" s="1" t="str">
        <x:v>Second Class</x:v>
      </x:c>
      <x:c r="D9605" s="1" t="str">
        <x:v>Pacific Asia</x:v>
      </x:c>
      <x:c r="E9605" s="1" t="str">
        <x:v>COMPLETE</x:v>
      </x:c>
      <x:c r="F9605" s="1" t="str">
        <x:v>Late delivery</x:v>
      </x:c>
      <x:c r="G9605" s="6" t="n">
        <x:v>4</x:v>
      </x:c>
      <x:c r="H9605" s="6" t="n">
        <x:v>2</x:v>
      </x:c>
      <x:c r="I9605" s="6" t="n">
        <x:f>G9605-H9605</x:f>
        <x:v>2</x:v>
      </x:c>
      <x:c r="J9605" s="6" t="n">
        <x:f>IF(OR(E9605="CANCELED",E9605="SUSPECTED_FRAUD",F9605="Shipping canceled"),0,1)</x:f>
        <x:v>1</x:v>
      </x:c>
      <x:c r="K9605" s="6" t="n">
        <x:f>IF(G9605&gt;H9605,1,0)</x:f>
        <x:v>1</x:v>
      </x:c>
      <x:c r="L9605" s="6" t="n">
        <x:f>J9605*K9605</x:f>
        <x:v>1</x:v>
      </x:c>
    </x:row>
    <x:row r="9606">
      <x:c r="A9606" s="1" t="n">
        <x:v>76585</x:v>
      </x:c>
      <x:c r="B9606" s="5" t="d">
        <x:v>2018-01-22T00:00:00.000Z</x:v>
      </x:c>
      <x:c r="C9606" s="1" t="str">
        <x:v>Standard Class</x:v>
      </x:c>
      <x:c r="D9606" s="1" t="str">
        <x:v>Pacific Asia</x:v>
      </x:c>
      <x:c r="E9606" s="1" t="str">
        <x:v>COMPLETE</x:v>
      </x:c>
      <x:c r="F9606" s="1" t="str">
        <x:v>Late delivery</x:v>
      </x:c>
      <x:c r="G9606" s="6" t="n">
        <x:v>6</x:v>
      </x:c>
      <x:c r="H9606" s="6" t="n">
        <x:v>4</x:v>
      </x:c>
      <x:c r="I9606" s="6" t="n">
        <x:f>G9606-H9606</x:f>
        <x:v>2</x:v>
      </x:c>
      <x:c r="J9606" s="6" t="n">
        <x:f>IF(OR(E9606="CANCELED",E9606="SUSPECTED_FRAUD",F9606="Shipping canceled"),0,1)</x:f>
        <x:v>1</x:v>
      </x:c>
      <x:c r="K9606" s="6" t="n">
        <x:f>IF(G9606&gt;H9606,1,0)</x:f>
        <x:v>1</x:v>
      </x:c>
      <x:c r="L9606" s="6" t="n">
        <x:f>J9606*K9606</x:f>
        <x:v>1</x:v>
      </x:c>
    </x:row>
    <x:row r="9607">
      <x:c r="A9607" s="1" t="n">
        <x:v>76596</x:v>
      </x:c>
      <x:c r="B9607" s="5" t="d">
        <x:v>2018-01-23T00:00:00.000Z</x:v>
      </x:c>
      <x:c r="C9607" s="1" t="str">
        <x:v>First Class</x:v>
      </x:c>
      <x:c r="D9607" s="1" t="str">
        <x:v>Pacific Asia</x:v>
      </x:c>
      <x:c r="E9607" s="1" t="str">
        <x:v>PROCESSING</x:v>
      </x:c>
      <x:c r="F9607" s="1" t="str">
        <x:v>Late delivery</x:v>
      </x:c>
      <x:c r="G9607" s="6" t="n">
        <x:v>2</x:v>
      </x:c>
      <x:c r="H9607" s="6" t="n">
        <x:v>1</x:v>
      </x:c>
      <x:c r="I9607" s="6" t="n">
        <x:f>G9607-H9607</x:f>
        <x:v>1</x:v>
      </x:c>
      <x:c r="J9607" s="6" t="n">
        <x:f>IF(OR(E9607="CANCELED",E9607="SUSPECTED_FRAUD",F9607="Shipping canceled"),0,1)</x:f>
        <x:v>1</x:v>
      </x:c>
      <x:c r="K9607" s="6" t="n">
        <x:f>IF(G9607&gt;H9607,1,0)</x:f>
        <x:v>1</x:v>
      </x:c>
      <x:c r="L9607" s="6" t="n">
        <x:f>J9607*K9607</x:f>
        <x:v>1</x:v>
      </x:c>
    </x:row>
    <x:row r="9608">
      <x:c r="A9608" s="1" t="n">
        <x:v>76600</x:v>
      </x:c>
      <x:c r="B9608" s="5" t="d">
        <x:v>2018-01-23T00:00:00.000Z</x:v>
      </x:c>
      <x:c r="C9608" s="1" t="str">
        <x:v>First Class</x:v>
      </x:c>
      <x:c r="D9608" s="1" t="str">
        <x:v>Pacific Asia</x:v>
      </x:c>
      <x:c r="E9608" s="1" t="str">
        <x:v>PROCESSING</x:v>
      </x:c>
      <x:c r="F9608" s="1" t="str">
        <x:v>Late delivery</x:v>
      </x:c>
      <x:c r="G9608" s="6" t="n">
        <x:v>2</x:v>
      </x:c>
      <x:c r="H9608" s="6" t="n">
        <x:v>1</x:v>
      </x:c>
      <x:c r="I9608" s="6" t="n">
        <x:f>G9608-H9608</x:f>
        <x:v>1</x:v>
      </x:c>
      <x:c r="J9608" s="6" t="n">
        <x:f>IF(OR(E9608="CANCELED",E9608="SUSPECTED_FRAUD",F9608="Shipping canceled"),0,1)</x:f>
        <x:v>1</x:v>
      </x:c>
      <x:c r="K9608" s="6" t="n">
        <x:f>IF(G9608&gt;H9608,1,0)</x:f>
        <x:v>1</x:v>
      </x:c>
      <x:c r="L9608" s="6" t="n">
        <x:f>J9608*K9608</x:f>
        <x:v>1</x:v>
      </x:c>
    </x:row>
    <x:row r="9609">
      <x:c r="A9609" s="1" t="n">
        <x:v>76610</x:v>
      </x:c>
      <x:c r="B9609" s="5" t="d">
        <x:v>2018-01-23T00:00:00.000Z</x:v>
      </x:c>
      <x:c r="C9609" s="1" t="str">
        <x:v>Standard Class</x:v>
      </x:c>
      <x:c r="D9609" s="1" t="str">
        <x:v>Pacific Asia</x:v>
      </x:c>
      <x:c r="E9609" s="1" t="str">
        <x:v>COMPLETE</x:v>
      </x:c>
      <x:c r="F9609" s="1" t="str">
        <x:v>Late delivery</x:v>
      </x:c>
      <x:c r="G9609" s="6" t="n">
        <x:v>6</x:v>
      </x:c>
      <x:c r="H9609" s="6" t="n">
        <x:v>4</x:v>
      </x:c>
      <x:c r="I9609" s="6" t="n">
        <x:f>G9609-H9609</x:f>
        <x:v>2</x:v>
      </x:c>
      <x:c r="J9609" s="6" t="n">
        <x:f>IF(OR(E9609="CANCELED",E9609="SUSPECTED_FRAUD",F9609="Shipping canceled"),0,1)</x:f>
        <x:v>1</x:v>
      </x:c>
      <x:c r="K9609" s="6" t="n">
        <x:f>IF(G9609&gt;H9609,1,0)</x:f>
        <x:v>1</x:v>
      </x:c>
      <x:c r="L9609" s="6" t="n">
        <x:f>J9609*K9609</x:f>
        <x:v>1</x:v>
      </x:c>
    </x:row>
    <x:row r="9610">
      <x:c r="A9610" s="1" t="n">
        <x:v>76614</x:v>
      </x:c>
      <x:c r="B9610" s="5" t="d">
        <x:v>2018-01-23T00:00:00.000Z</x:v>
      </x:c>
      <x:c r="C9610" s="1" t="str">
        <x:v>Standard Class</x:v>
      </x:c>
      <x:c r="D9610" s="1" t="str">
        <x:v>Pacific Asia</x:v>
      </x:c>
      <x:c r="E9610" s="1" t="str">
        <x:v>COMPLETE</x:v>
      </x:c>
      <x:c r="F9610" s="1" t="str">
        <x:v>Late delivery</x:v>
      </x:c>
      <x:c r="G9610" s="6" t="n">
        <x:v>5</x:v>
      </x:c>
      <x:c r="H9610" s="6" t="n">
        <x:v>4</x:v>
      </x:c>
      <x:c r="I9610" s="6" t="n">
        <x:f>G9610-H9610</x:f>
        <x:v>1</x:v>
      </x:c>
      <x:c r="J9610" s="6" t="n">
        <x:f>IF(OR(E9610="CANCELED",E9610="SUSPECTED_FRAUD",F9610="Shipping canceled"),0,1)</x:f>
        <x:v>1</x:v>
      </x:c>
      <x:c r="K9610" s="6" t="n">
        <x:f>IF(G9610&gt;H9610,1,0)</x:f>
        <x:v>1</x:v>
      </x:c>
      <x:c r="L9610" s="6" t="n">
        <x:f>J9610*K9610</x:f>
        <x:v>1</x:v>
      </x:c>
    </x:row>
    <x:row r="9611">
      <x:c r="A9611" s="1" t="n">
        <x:v>76654</x:v>
      </x:c>
      <x:c r="B9611" s="5" t="d">
        <x:v>2018-01-23T00:00:00.000Z</x:v>
      </x:c>
      <x:c r="C9611" s="1" t="str">
        <x:v>Standard Class</x:v>
      </x:c>
      <x:c r="D9611" s="1" t="str">
        <x:v>Pacific Asia</x:v>
      </x:c>
      <x:c r="E9611" s="1" t="str">
        <x:v>PENDING_PAYMENT</x:v>
      </x:c>
      <x:c r="F9611" s="1" t="str">
        <x:v>Late delivery</x:v>
      </x:c>
      <x:c r="G9611" s="6" t="n">
        <x:v>5</x:v>
      </x:c>
      <x:c r="H9611" s="6" t="n">
        <x:v>4</x:v>
      </x:c>
      <x:c r="I9611" s="6" t="n">
        <x:f>G9611-H9611</x:f>
        <x:v>1</x:v>
      </x:c>
      <x:c r="J9611" s="6" t="n">
        <x:f>IF(OR(E9611="CANCELED",E9611="SUSPECTED_FRAUD",F9611="Shipping canceled"),0,1)</x:f>
        <x:v>1</x:v>
      </x:c>
      <x:c r="K9611" s="6" t="n">
        <x:f>IF(G9611&gt;H9611,1,0)</x:f>
        <x:v>1</x:v>
      </x:c>
      <x:c r="L9611" s="6" t="n">
        <x:f>J9611*K9611</x:f>
        <x:v>1</x:v>
      </x:c>
    </x:row>
    <x:row r="9612">
      <x:c r="A9612" s="1" t="n">
        <x:v>76659</x:v>
      </x:c>
      <x:c r="B9612" s="5" t="d">
        <x:v>2018-01-24T00:00:00.000Z</x:v>
      </x:c>
      <x:c r="C9612" s="1" t="str">
        <x:v>Standard Class</x:v>
      </x:c>
      <x:c r="D9612" s="1" t="str">
        <x:v>Pacific Asia</x:v>
      </x:c>
      <x:c r="E9612" s="1" t="str">
        <x:v>PENDING_PAYMENT</x:v>
      </x:c>
      <x:c r="F9612" s="1" t="str">
        <x:v>Late delivery</x:v>
      </x:c>
      <x:c r="G9612" s="6" t="n">
        <x:v>5</x:v>
      </x:c>
      <x:c r="H9612" s="6" t="n">
        <x:v>4</x:v>
      </x:c>
      <x:c r="I9612" s="6" t="n">
        <x:f>G9612-H9612</x:f>
        <x:v>1</x:v>
      </x:c>
      <x:c r="J9612" s="6" t="n">
        <x:f>IF(OR(E9612="CANCELED",E9612="SUSPECTED_FRAUD",F9612="Shipping canceled"),0,1)</x:f>
        <x:v>1</x:v>
      </x:c>
      <x:c r="K9612" s="6" t="n">
        <x:f>IF(G9612&gt;H9612,1,0)</x:f>
        <x:v>1</x:v>
      </x:c>
      <x:c r="L9612" s="6" t="n">
        <x:f>J9612*K9612</x:f>
        <x:v>1</x:v>
      </x:c>
    </x:row>
    <x:row r="9613">
      <x:c r="A9613" s="1" t="n">
        <x:v>76666</x:v>
      </x:c>
      <x:c r="B9613" s="5" t="d">
        <x:v>2018-01-24T00:00:00.000Z</x:v>
      </x:c>
      <x:c r="C9613" s="1" t="str">
        <x:v>Second Class</x:v>
      </x:c>
      <x:c r="D9613" s="1" t="str">
        <x:v>Pacific Asia</x:v>
      </x:c>
      <x:c r="E9613" s="1" t="str">
        <x:v>COMPLETE</x:v>
      </x:c>
      <x:c r="F9613" s="1" t="str">
        <x:v>Shipping on time</x:v>
      </x:c>
      <x:c r="G9613" s="6" t="n">
        <x:v>2</x:v>
      </x:c>
      <x:c r="H9613" s="6" t="n">
        <x:v>2</x:v>
      </x:c>
      <x:c r="I9613" s="6" t="n">
        <x:f>G9613-H9613</x:f>
        <x:v>0</x:v>
      </x:c>
      <x:c r="J9613" s="6" t="n">
        <x:f>IF(OR(E9613="CANCELED",E9613="SUSPECTED_FRAUD",F9613="Shipping canceled"),0,1)</x:f>
        <x:v>1</x:v>
      </x:c>
      <x:c r="K9613" s="6" t="n">
        <x:f>IF(G9613&gt;H9613,1,0)</x:f>
        <x:v>0</x:v>
      </x:c>
      <x:c r="L9613" s="6" t="n">
        <x:f>J9613*K9613</x:f>
        <x:v>0</x:v>
      </x:c>
    </x:row>
    <x:row r="9614">
      <x:c r="A9614" s="1" t="n">
        <x:v>76683</x:v>
      </x:c>
      <x:c r="B9614" s="5" t="d">
        <x:v>2018-01-24T00:00:00.000Z</x:v>
      </x:c>
      <x:c r="C9614" s="1" t="str">
        <x:v>Standard Class</x:v>
      </x:c>
      <x:c r="D9614" s="1" t="str">
        <x:v>Pacific Asia</x:v>
      </x:c>
      <x:c r="E9614" s="1" t="str">
        <x:v>COMPLETE</x:v>
      </x:c>
      <x:c r="F9614" s="1" t="str">
        <x:v>Shipping on time</x:v>
      </x:c>
      <x:c r="G9614" s="6" t="n">
        <x:v>4</x:v>
      </x:c>
      <x:c r="H9614" s="6" t="n">
        <x:v>4</x:v>
      </x:c>
      <x:c r="I9614" s="6" t="n">
        <x:f>G9614-H9614</x:f>
        <x:v>0</x:v>
      </x:c>
      <x:c r="J9614" s="6" t="n">
        <x:f>IF(OR(E9614="CANCELED",E9614="SUSPECTED_FRAUD",F9614="Shipping canceled"),0,1)</x:f>
        <x:v>1</x:v>
      </x:c>
      <x:c r="K9614" s="6" t="n">
        <x:f>IF(G9614&gt;H9614,1,0)</x:f>
        <x:v>0</x:v>
      </x:c>
      <x:c r="L9614" s="6" t="n">
        <x:f>J9614*K9614</x:f>
        <x:v>0</x:v>
      </x:c>
    </x:row>
    <x:row r="9615">
      <x:c r="A9615" s="1" t="n">
        <x:v>76727</x:v>
      </x:c>
      <x:c r="B9615" s="5" t="d">
        <x:v>2018-01-25T00:00:00.000Z</x:v>
      </x:c>
      <x:c r="C9615" s="1" t="str">
        <x:v>Standard Class</x:v>
      </x:c>
      <x:c r="D9615" s="1" t="str">
        <x:v>Pacific Asia</x:v>
      </x:c>
      <x:c r="E9615" s="1" t="str">
        <x:v>COMPLETE</x:v>
      </x:c>
      <x:c r="F9615" s="1" t="str">
        <x:v>Advance shipping</x:v>
      </x:c>
      <x:c r="G9615" s="6" t="n">
        <x:v>3</x:v>
      </x:c>
      <x:c r="H9615" s="6" t="n">
        <x:v>4</x:v>
      </x:c>
      <x:c r="I9615" s="6" t="n">
        <x:f>G9615-H9615</x:f>
        <x:v>-1</x:v>
      </x:c>
      <x:c r="J9615" s="6" t="n">
        <x:f>IF(OR(E9615="CANCELED",E9615="SUSPECTED_FRAUD",F9615="Shipping canceled"),0,1)</x:f>
        <x:v>1</x:v>
      </x:c>
      <x:c r="K9615" s="6" t="n">
        <x:f>IF(G9615&gt;H9615,1,0)</x:f>
        <x:v>0</x:v>
      </x:c>
      <x:c r="L9615" s="6" t="n">
        <x:f>J9615*K9615</x:f>
        <x:v>0</x:v>
      </x:c>
    </x:row>
    <x:row r="9616">
      <x:c r="A9616" s="1" t="n">
        <x:v>76729</x:v>
      </x:c>
      <x:c r="B9616" s="5" t="d">
        <x:v>2018-01-25T00:00:00.000Z</x:v>
      </x:c>
      <x:c r="C9616" s="1" t="str">
        <x:v>Standard Class</x:v>
      </x:c>
      <x:c r="D9616" s="1" t="str">
        <x:v>Pacific Asia</x:v>
      </x:c>
      <x:c r="E9616" s="1" t="str">
        <x:v>COMPLETE</x:v>
      </x:c>
      <x:c r="F9616" s="1" t="str">
        <x:v>Late delivery</x:v>
      </x:c>
      <x:c r="G9616" s="6" t="n">
        <x:v>5</x:v>
      </x:c>
      <x:c r="H9616" s="6" t="n">
        <x:v>4</x:v>
      </x:c>
      <x:c r="I9616" s="6" t="n">
        <x:f>G9616-H9616</x:f>
        <x:v>1</x:v>
      </x:c>
      <x:c r="J9616" s="6" t="n">
        <x:f>IF(OR(E9616="CANCELED",E9616="SUSPECTED_FRAUD",F9616="Shipping canceled"),0,1)</x:f>
        <x:v>1</x:v>
      </x:c>
      <x:c r="K9616" s="6" t="n">
        <x:f>IF(G9616&gt;H9616,1,0)</x:f>
        <x:v>1</x:v>
      </x:c>
      <x:c r="L9616" s="6" t="n">
        <x:f>J9616*K9616</x:f>
        <x:v>1</x:v>
      </x:c>
    </x:row>
    <x:row r="9617">
      <x:c r="A9617" s="1" t="n">
        <x:v>76742</x:v>
      </x:c>
      <x:c r="B9617" s="5" t="d">
        <x:v>2018-01-25T00:00:00.000Z</x:v>
      </x:c>
      <x:c r="C9617" s="1" t="str">
        <x:v>First Class</x:v>
      </x:c>
      <x:c r="D9617" s="1" t="str">
        <x:v>Pacific Asia</x:v>
      </x:c>
      <x:c r="E9617" s="1" t="str">
        <x:v>PENDING</x:v>
      </x:c>
      <x:c r="F9617" s="1" t="str">
        <x:v>Late delivery</x:v>
      </x:c>
      <x:c r="G9617" s="6" t="n">
        <x:v>2</x:v>
      </x:c>
      <x:c r="H9617" s="6" t="n">
        <x:v>1</x:v>
      </x:c>
      <x:c r="I9617" s="6" t="n">
        <x:f>G9617-H9617</x:f>
        <x:v>1</x:v>
      </x:c>
      <x:c r="J9617" s="6" t="n">
        <x:f>IF(OR(E9617="CANCELED",E9617="SUSPECTED_FRAUD",F9617="Shipping canceled"),0,1)</x:f>
        <x:v>1</x:v>
      </x:c>
      <x:c r="K9617" s="6" t="n">
        <x:f>IF(G9617&gt;H9617,1,0)</x:f>
        <x:v>1</x:v>
      </x:c>
      <x:c r="L9617" s="6" t="n">
        <x:f>J9617*K9617</x:f>
        <x:v>1</x:v>
      </x:c>
    </x:row>
    <x:row r="9618">
      <x:c r="A9618" s="1" t="n">
        <x:v>76744</x:v>
      </x:c>
      <x:c r="B9618" s="5" t="d">
        <x:v>2018-01-25T00:00:00.000Z</x:v>
      </x:c>
      <x:c r="C9618" s="1" t="str">
        <x:v>Second Class</x:v>
      </x:c>
      <x:c r="D9618" s="1" t="str">
        <x:v>Pacific Asia</x:v>
      </x:c>
      <x:c r="E9618" s="1" t="str">
        <x:v>CLOSED</x:v>
      </x:c>
      <x:c r="F9618" s="1" t="str">
        <x:v>Late delivery</x:v>
      </x:c>
      <x:c r="G9618" s="6" t="n">
        <x:v>5</x:v>
      </x:c>
      <x:c r="H9618" s="6" t="n">
        <x:v>2</x:v>
      </x:c>
      <x:c r="I9618" s="6" t="n">
        <x:f>G9618-H9618</x:f>
        <x:v>3</x:v>
      </x:c>
      <x:c r="J9618" s="6" t="n">
        <x:f>IF(OR(E9618="CANCELED",E9618="SUSPECTED_FRAUD",F9618="Shipping canceled"),0,1)</x:f>
        <x:v>1</x:v>
      </x:c>
      <x:c r="K9618" s="6" t="n">
        <x:f>IF(G9618&gt;H9618,1,0)</x:f>
        <x:v>1</x:v>
      </x:c>
      <x:c r="L9618" s="6" t="n">
        <x:f>J9618*K9618</x:f>
        <x:v>1</x:v>
      </x:c>
    </x:row>
    <x:row r="9619">
      <x:c r="A9619" s="1" t="n">
        <x:v>76774</x:v>
      </x:c>
      <x:c r="B9619" s="5" t="d">
        <x:v>2018-01-25T00:00:00.000Z</x:v>
      </x:c>
      <x:c r="C9619" s="1" t="str">
        <x:v>Standard Class</x:v>
      </x:c>
      <x:c r="D9619" s="1" t="str">
        <x:v>Pacific Asia</x:v>
      </x:c>
      <x:c r="E9619" s="1" t="str">
        <x:v>COMPLETE</x:v>
      </x:c>
      <x:c r="F9619" s="1" t="str">
        <x:v>Late delivery</x:v>
      </x:c>
      <x:c r="G9619" s="6" t="n">
        <x:v>5</x:v>
      </x:c>
      <x:c r="H9619" s="6" t="n">
        <x:v>4</x:v>
      </x:c>
      <x:c r="I9619" s="6" t="n">
        <x:f>G9619-H9619</x:f>
        <x:v>1</x:v>
      </x:c>
      <x:c r="J9619" s="6" t="n">
        <x:f>IF(OR(E9619="CANCELED",E9619="SUSPECTED_FRAUD",F9619="Shipping canceled"),0,1)</x:f>
        <x:v>1</x:v>
      </x:c>
      <x:c r="K9619" s="6" t="n">
        <x:f>IF(G9619&gt;H9619,1,0)</x:f>
        <x:v>1</x:v>
      </x:c>
      <x:c r="L9619" s="6" t="n">
        <x:f>J9619*K9619</x:f>
        <x:v>1</x:v>
      </x:c>
    </x:row>
    <x:row r="9620">
      <x:c r="A9620" s="1" t="n">
        <x:v>76777</x:v>
      </x:c>
      <x:c r="B9620" s="5" t="d">
        <x:v>2018-01-25T00:00:00.000Z</x:v>
      </x:c>
      <x:c r="C9620" s="1" t="str">
        <x:v>Same Day</x:v>
      </x:c>
      <x:c r="D9620" s="1" t="str">
        <x:v>Pacific Asia</x:v>
      </x:c>
      <x:c r="E9620" s="1" t="str">
        <x:v>CLOSED</x:v>
      </x:c>
      <x:c r="F9620" s="1" t="str">
        <x:v>Late delivery</x:v>
      </x:c>
      <x:c r="G9620" s="6" t="n">
        <x:v>1</x:v>
      </x:c>
      <x:c r="H9620" s="6" t="n">
        <x:v>0</x:v>
      </x:c>
      <x:c r="I9620" s="6" t="n">
        <x:f>G9620-H9620</x:f>
        <x:v>1</x:v>
      </x:c>
      <x:c r="J9620" s="6" t="n">
        <x:f>IF(OR(E9620="CANCELED",E9620="SUSPECTED_FRAUD",F9620="Shipping canceled"),0,1)</x:f>
        <x:v>1</x:v>
      </x:c>
      <x:c r="K9620" s="6" t="n">
        <x:f>IF(G9620&gt;H9620,1,0)</x:f>
        <x:v>1</x:v>
      </x:c>
      <x:c r="L9620" s="6" t="n">
        <x:f>J9620*K9620</x:f>
        <x:v>1</x:v>
      </x:c>
    </x:row>
    <x:row r="9621">
      <x:c r="A9621" s="1" t="n">
        <x:v>76796</x:v>
      </x:c>
      <x:c r="B9621" s="5" t="d">
        <x:v>2018-01-26T00:00:00.000Z</x:v>
      </x:c>
      <x:c r="C9621" s="1" t="str">
        <x:v>Second Class</x:v>
      </x:c>
      <x:c r="D9621" s="1" t="str">
        <x:v>Pacific Asia</x:v>
      </x:c>
      <x:c r="E9621" s="1" t="str">
        <x:v>ON_HOLD</x:v>
      </x:c>
      <x:c r="F9621" s="1" t="str">
        <x:v>Shipping on time</x:v>
      </x:c>
      <x:c r="G9621" s="6" t="n">
        <x:v>2</x:v>
      </x:c>
      <x:c r="H9621" s="6" t="n">
        <x:v>2</x:v>
      </x:c>
      <x:c r="I9621" s="6" t="n">
        <x:f>G9621-H9621</x:f>
        <x:v>0</x:v>
      </x:c>
      <x:c r="J9621" s="6" t="n">
        <x:f>IF(OR(E9621="CANCELED",E9621="SUSPECTED_FRAUD",F9621="Shipping canceled"),0,1)</x:f>
        <x:v>1</x:v>
      </x:c>
      <x:c r="K9621" s="6" t="n">
        <x:f>IF(G9621&gt;H9621,1,0)</x:f>
        <x:v>0</x:v>
      </x:c>
      <x:c r="L9621" s="6" t="n">
        <x:f>J9621*K9621</x:f>
        <x:v>0</x:v>
      </x:c>
    </x:row>
    <x:row r="9622">
      <x:c r="A9622" s="1" t="n">
        <x:v>76807</x:v>
      </x:c>
      <x:c r="B9622" s="5" t="d">
        <x:v>2018-01-26T00:00:00.000Z</x:v>
      </x:c>
      <x:c r="C9622" s="1" t="str">
        <x:v>First Class</x:v>
      </x:c>
      <x:c r="D9622" s="1" t="str">
        <x:v>Pacific Asia</x:v>
      </x:c>
      <x:c r="E9622" s="1" t="str">
        <x:v>CLOSED</x:v>
      </x:c>
      <x:c r="F9622" s="1" t="str">
        <x:v>Late delivery</x:v>
      </x:c>
      <x:c r="G9622" s="6" t="n">
        <x:v>2</x:v>
      </x:c>
      <x:c r="H9622" s="6" t="n">
        <x:v>1</x:v>
      </x:c>
      <x:c r="I9622" s="6" t="n">
        <x:f>G9622-H9622</x:f>
        <x:v>1</x:v>
      </x:c>
      <x:c r="J9622" s="6" t="n">
        <x:f>IF(OR(E9622="CANCELED",E9622="SUSPECTED_FRAUD",F9622="Shipping canceled"),0,1)</x:f>
        <x:v>1</x:v>
      </x:c>
      <x:c r="K9622" s="6" t="n">
        <x:f>IF(G9622&gt;H9622,1,0)</x:f>
        <x:v>1</x:v>
      </x:c>
      <x:c r="L9622" s="6" t="n">
        <x:f>J9622*K9622</x:f>
        <x:v>1</x:v>
      </x:c>
    </x:row>
    <x:row r="9623">
      <x:c r="A9623" s="1" t="n">
        <x:v>76822</x:v>
      </x:c>
      <x:c r="B9623" s="5" t="d">
        <x:v>2018-01-26T00:00:00.000Z</x:v>
      </x:c>
      <x:c r="C9623" s="1" t="str">
        <x:v>Second Class</x:v>
      </x:c>
      <x:c r="D9623" s="1" t="str">
        <x:v>Pacific Asia</x:v>
      </x:c>
      <x:c r="E9623" s="1" t="str">
        <x:v>COMPLETE</x:v>
      </x:c>
      <x:c r="F9623" s="1" t="str">
        <x:v>Late delivery</x:v>
      </x:c>
      <x:c r="G9623" s="6" t="n">
        <x:v>3</x:v>
      </x:c>
      <x:c r="H9623" s="6" t="n">
        <x:v>2</x:v>
      </x:c>
      <x:c r="I9623" s="6" t="n">
        <x:f>G9623-H9623</x:f>
        <x:v>1</x:v>
      </x:c>
      <x:c r="J9623" s="6" t="n">
        <x:f>IF(OR(E9623="CANCELED",E9623="SUSPECTED_FRAUD",F9623="Shipping canceled"),0,1)</x:f>
        <x:v>1</x:v>
      </x:c>
      <x:c r="K9623" s="6" t="n">
        <x:f>IF(G9623&gt;H9623,1,0)</x:f>
        <x:v>1</x:v>
      </x:c>
      <x:c r="L9623" s="6" t="n">
        <x:f>J9623*K9623</x:f>
        <x:v>1</x:v>
      </x:c>
    </x:row>
    <x:row r="9624">
      <x:c r="A9624" s="1" t="n">
        <x:v>76842</x:v>
      </x:c>
      <x:c r="B9624" s="5" t="d">
        <x:v>2018-01-26T00:00:00.000Z</x:v>
      </x:c>
      <x:c r="C9624" s="1" t="str">
        <x:v>Second Class</x:v>
      </x:c>
      <x:c r="D9624" s="1" t="str">
        <x:v>Pacific Asia</x:v>
      </x:c>
      <x:c r="E9624" s="1" t="str">
        <x:v>CLOSED</x:v>
      </x:c>
      <x:c r="F9624" s="1" t="str">
        <x:v>Late delivery</x:v>
      </x:c>
      <x:c r="G9624" s="6" t="n">
        <x:v>3</x:v>
      </x:c>
      <x:c r="H9624" s="6" t="n">
        <x:v>2</x:v>
      </x:c>
      <x:c r="I9624" s="6" t="n">
        <x:f>G9624-H9624</x:f>
        <x:v>1</x:v>
      </x:c>
      <x:c r="J9624" s="6" t="n">
        <x:f>IF(OR(E9624="CANCELED",E9624="SUSPECTED_FRAUD",F9624="Shipping canceled"),0,1)</x:f>
        <x:v>1</x:v>
      </x:c>
      <x:c r="K9624" s="6" t="n">
        <x:f>IF(G9624&gt;H9624,1,0)</x:f>
        <x:v>1</x:v>
      </x:c>
      <x:c r="L9624" s="6" t="n">
        <x:f>J9624*K9624</x:f>
        <x:v>1</x:v>
      </x:c>
    </x:row>
    <x:row r="9625">
      <x:c r="A9625" s="1" t="n">
        <x:v>76847</x:v>
      </x:c>
      <x:c r="B9625" s="5" t="d">
        <x:v>2018-01-26T00:00:00.000Z</x:v>
      </x:c>
      <x:c r="C9625" s="1" t="str">
        <x:v>Standard Class</x:v>
      </x:c>
      <x:c r="D9625" s="1" t="str">
        <x:v>Pacific Asia</x:v>
      </x:c>
      <x:c r="E9625" s="1" t="str">
        <x:v>COMPLETE</x:v>
      </x:c>
      <x:c r="F9625" s="1" t="str">
        <x:v>Advance shipping</x:v>
      </x:c>
      <x:c r="G9625" s="6" t="n">
        <x:v>3</x:v>
      </x:c>
      <x:c r="H9625" s="6" t="n">
        <x:v>4</x:v>
      </x:c>
      <x:c r="I9625" s="6" t="n">
        <x:f>G9625-H9625</x:f>
        <x:v>-1</x:v>
      </x:c>
      <x:c r="J9625" s="6" t="n">
        <x:f>IF(OR(E9625="CANCELED",E9625="SUSPECTED_FRAUD",F9625="Shipping canceled"),0,1)</x:f>
        <x:v>1</x:v>
      </x:c>
      <x:c r="K9625" s="6" t="n">
        <x:f>IF(G9625&gt;H9625,1,0)</x:f>
        <x:v>0</x:v>
      </x:c>
      <x:c r="L9625" s="6" t="n">
        <x:f>J9625*K9625</x:f>
        <x:v>0</x:v>
      </x:c>
    </x:row>
    <x:row r="9626">
      <x:c r="A9626" s="1" t="n">
        <x:v>76849</x:v>
      </x:c>
      <x:c r="B9626" s="5" t="d">
        <x:v>2018-01-26T00:00:00.000Z</x:v>
      </x:c>
      <x:c r="C9626" s="1" t="str">
        <x:v>Standard Class</x:v>
      </x:c>
      <x:c r="D9626" s="1" t="str">
        <x:v>Pacific Asia</x:v>
      </x:c>
      <x:c r="E9626" s="1" t="str">
        <x:v>COMPLETE</x:v>
      </x:c>
      <x:c r="F9626" s="1" t="str">
        <x:v>Late delivery</x:v>
      </x:c>
      <x:c r="G9626" s="6" t="n">
        <x:v>5</x:v>
      </x:c>
      <x:c r="H9626" s="6" t="n">
        <x:v>4</x:v>
      </x:c>
      <x:c r="I9626" s="6" t="n">
        <x:f>G9626-H9626</x:f>
        <x:v>1</x:v>
      </x:c>
      <x:c r="J9626" s="6" t="n">
        <x:f>IF(OR(E9626="CANCELED",E9626="SUSPECTED_FRAUD",F9626="Shipping canceled"),0,1)</x:f>
        <x:v>1</x:v>
      </x:c>
      <x:c r="K9626" s="6" t="n">
        <x:f>IF(G9626&gt;H9626,1,0)</x:f>
        <x:v>1</x:v>
      </x:c>
      <x:c r="L9626" s="6" t="n">
        <x:f>J9626*K9626</x:f>
        <x:v>1</x:v>
      </x:c>
    </x:row>
    <x:row r="9627">
      <x:c r="A9627" s="1" t="n">
        <x:v>76870</x:v>
      </x:c>
      <x:c r="B9627" s="5" t="d">
        <x:v>2018-01-27T00:00:00.000Z</x:v>
      </x:c>
      <x:c r="C9627" s="1" t="str">
        <x:v>Standard Class</x:v>
      </x:c>
      <x:c r="D9627" s="1" t="str">
        <x:v>Pacific Asia</x:v>
      </x:c>
      <x:c r="E9627" s="1" t="str">
        <x:v>COMPLETE</x:v>
      </x:c>
      <x:c r="F9627" s="1" t="str">
        <x:v>Late delivery</x:v>
      </x:c>
      <x:c r="G9627" s="6" t="n">
        <x:v>6</x:v>
      </x:c>
      <x:c r="H9627" s="6" t="n">
        <x:v>4</x:v>
      </x:c>
      <x:c r="I9627" s="6" t="n">
        <x:f>G9627-H9627</x:f>
        <x:v>2</x:v>
      </x:c>
      <x:c r="J9627" s="6" t="n">
        <x:f>IF(OR(E9627="CANCELED",E9627="SUSPECTED_FRAUD",F9627="Shipping canceled"),0,1)</x:f>
        <x:v>1</x:v>
      </x:c>
      <x:c r="K9627" s="6" t="n">
        <x:f>IF(G9627&gt;H9627,1,0)</x:f>
        <x:v>1</x:v>
      </x:c>
      <x:c r="L9627" s="6" t="n">
        <x:f>J9627*K9627</x:f>
        <x:v>1</x:v>
      </x:c>
    </x:row>
    <x:row r="9628">
      <x:c r="A9628" s="1" t="n">
        <x:v>76893</x:v>
      </x:c>
      <x:c r="B9628" s="5" t="d">
        <x:v>2018-01-27T00:00:00.000Z</x:v>
      </x:c>
      <x:c r="C9628" s="1" t="str">
        <x:v>Standard Class</x:v>
      </x:c>
      <x:c r="D9628" s="1" t="str">
        <x:v>Pacific Asia</x:v>
      </x:c>
      <x:c r="E9628" s="1" t="str">
        <x:v>CLOSED</x:v>
      </x:c>
      <x:c r="F9628" s="1" t="str">
        <x:v>Shipping on time</x:v>
      </x:c>
      <x:c r="G9628" s="6" t="n">
        <x:v>4</x:v>
      </x:c>
      <x:c r="H9628" s="6" t="n">
        <x:v>4</x:v>
      </x:c>
      <x:c r="I9628" s="6" t="n">
        <x:f>G9628-H9628</x:f>
        <x:v>0</x:v>
      </x:c>
      <x:c r="J9628" s="6" t="n">
        <x:f>IF(OR(E9628="CANCELED",E9628="SUSPECTED_FRAUD",F9628="Shipping canceled"),0,1)</x:f>
        <x:v>1</x:v>
      </x:c>
      <x:c r="K9628" s="6" t="n">
        <x:f>IF(G9628&gt;H9628,1,0)</x:f>
        <x:v>0</x:v>
      </x:c>
      <x:c r="L9628" s="6" t="n">
        <x:f>J9628*K9628</x:f>
        <x:v>0</x:v>
      </x:c>
    </x:row>
    <x:row r="9629">
      <x:c r="A9629" s="1" t="n">
        <x:v>76907</x:v>
      </x:c>
      <x:c r="B9629" s="5" t="d">
        <x:v>2018-01-27T00:00:00.000Z</x:v>
      </x:c>
      <x:c r="C9629" s="1" t="str">
        <x:v>Same Day</x:v>
      </x:c>
      <x:c r="D9629" s="1" t="str">
        <x:v>Pacific Asia</x:v>
      </x:c>
      <x:c r="E9629" s="1" t="str">
        <x:v>PROCESSING</x:v>
      </x:c>
      <x:c r="F9629" s="1" t="str">
        <x:v>Late delivery</x:v>
      </x:c>
      <x:c r="G9629" s="6" t="n">
        <x:v>1</x:v>
      </x:c>
      <x:c r="H9629" s="6" t="n">
        <x:v>0</x:v>
      </x:c>
      <x:c r="I9629" s="6" t="n">
        <x:f>G9629-H9629</x:f>
        <x:v>1</x:v>
      </x:c>
      <x:c r="J9629" s="6" t="n">
        <x:f>IF(OR(E9629="CANCELED",E9629="SUSPECTED_FRAUD",F9629="Shipping canceled"),0,1)</x:f>
        <x:v>1</x:v>
      </x:c>
      <x:c r="K9629" s="6" t="n">
        <x:f>IF(G9629&gt;H9629,1,0)</x:f>
        <x:v>1</x:v>
      </x:c>
      <x:c r="L9629" s="6" t="n">
        <x:f>J9629*K9629</x:f>
        <x:v>1</x:v>
      </x:c>
    </x:row>
    <x:row r="9630">
      <x:c r="A9630" s="1" t="n">
        <x:v>76918</x:v>
      </x:c>
      <x:c r="B9630" s="5" t="d">
        <x:v>2018-01-27T00:00:00.000Z</x:v>
      </x:c>
      <x:c r="C9630" s="1" t="str">
        <x:v>Standard Class</x:v>
      </x:c>
      <x:c r="D9630" s="1" t="str">
        <x:v>Pacific Asia</x:v>
      </x:c>
      <x:c r="E9630" s="1" t="str">
        <x:v>ON_HOLD</x:v>
      </x:c>
      <x:c r="F9630" s="1" t="str">
        <x:v>Shipping on time</x:v>
      </x:c>
      <x:c r="G9630" s="6" t="n">
        <x:v>4</x:v>
      </x:c>
      <x:c r="H9630" s="6" t="n">
        <x:v>4</x:v>
      </x:c>
      <x:c r="I9630" s="6" t="n">
        <x:f>G9630-H9630</x:f>
        <x:v>0</x:v>
      </x:c>
      <x:c r="J9630" s="6" t="n">
        <x:f>IF(OR(E9630="CANCELED",E9630="SUSPECTED_FRAUD",F9630="Shipping canceled"),0,1)</x:f>
        <x:v>1</x:v>
      </x:c>
      <x:c r="K9630" s="6" t="n">
        <x:f>IF(G9630&gt;H9630,1,0)</x:f>
        <x:v>0</x:v>
      </x:c>
      <x:c r="L9630" s="6" t="n">
        <x:f>J9630*K9630</x:f>
        <x:v>0</x:v>
      </x:c>
    </x:row>
    <x:row r="9631">
      <x:c r="A9631" s="1" t="n">
        <x:v>76920</x:v>
      </x:c>
      <x:c r="B9631" s="5" t="d">
        <x:v>2018-01-27T00:00:00.000Z</x:v>
      </x:c>
      <x:c r="C9631" s="1" t="str">
        <x:v>Second Class</x:v>
      </x:c>
      <x:c r="D9631" s="1" t="str">
        <x:v>Pacific Asia</x:v>
      </x:c>
      <x:c r="E9631" s="1" t="str">
        <x:v>CLOSED</x:v>
      </x:c>
      <x:c r="F9631" s="1" t="str">
        <x:v>Late delivery</x:v>
      </x:c>
      <x:c r="G9631" s="6" t="n">
        <x:v>6</x:v>
      </x:c>
      <x:c r="H9631" s="6" t="n">
        <x:v>2</x:v>
      </x:c>
      <x:c r="I9631" s="6" t="n">
        <x:f>G9631-H9631</x:f>
        <x:v>4</x:v>
      </x:c>
      <x:c r="J9631" s="6" t="n">
        <x:f>IF(OR(E9631="CANCELED",E9631="SUSPECTED_FRAUD",F9631="Shipping canceled"),0,1)</x:f>
        <x:v>1</x:v>
      </x:c>
      <x:c r="K9631" s="6" t="n">
        <x:f>IF(G9631&gt;H9631,1,0)</x:f>
        <x:v>1</x:v>
      </x:c>
      <x:c r="L9631" s="6" t="n">
        <x:f>J9631*K9631</x:f>
        <x:v>1</x:v>
      </x:c>
    </x:row>
    <x:row r="9632">
      <x:c r="A9632" s="1" t="n">
        <x:v>76924</x:v>
      </x:c>
      <x:c r="B9632" s="5" t="d">
        <x:v>2018-01-27T00:00:00.000Z</x:v>
      </x:c>
      <x:c r="C9632" s="1" t="str">
        <x:v>Second Class</x:v>
      </x:c>
      <x:c r="D9632" s="1" t="str">
        <x:v>Pacific Asia</x:v>
      </x:c>
      <x:c r="E9632" s="1" t="str">
        <x:v>ON_HOLD</x:v>
      </x:c>
      <x:c r="F9632" s="1" t="str">
        <x:v>Late delivery</x:v>
      </x:c>
      <x:c r="G9632" s="6" t="n">
        <x:v>5</x:v>
      </x:c>
      <x:c r="H9632" s="6" t="n">
        <x:v>2</x:v>
      </x:c>
      <x:c r="I9632" s="6" t="n">
        <x:f>G9632-H9632</x:f>
        <x:v>3</x:v>
      </x:c>
      <x:c r="J9632" s="6" t="n">
        <x:f>IF(OR(E9632="CANCELED",E9632="SUSPECTED_FRAUD",F9632="Shipping canceled"),0,1)</x:f>
        <x:v>1</x:v>
      </x:c>
      <x:c r="K9632" s="6" t="n">
        <x:f>IF(G9632&gt;H9632,1,0)</x:f>
        <x:v>1</x:v>
      </x:c>
      <x:c r="L9632" s="6" t="n">
        <x:f>J9632*K9632</x:f>
        <x:v>1</x:v>
      </x:c>
    </x:row>
    <x:row r="9633">
      <x:c r="A9633" s="1" t="n">
        <x:v>76933</x:v>
      </x:c>
      <x:c r="B9633" s="5" t="d">
        <x:v>2018-01-28T00:00:00.000Z</x:v>
      </x:c>
      <x:c r="C9633" s="1" t="str">
        <x:v>Standard Class</x:v>
      </x:c>
      <x:c r="D9633" s="1" t="str">
        <x:v>Pacific Asia</x:v>
      </x:c>
      <x:c r="E9633" s="1" t="str">
        <x:v>PENDING_PAYMENT</x:v>
      </x:c>
      <x:c r="F9633" s="1" t="str">
        <x:v>Shipping on time</x:v>
      </x:c>
      <x:c r="G9633" s="6" t="n">
        <x:v>4</x:v>
      </x:c>
      <x:c r="H9633" s="6" t="n">
        <x:v>4</x:v>
      </x:c>
      <x:c r="I9633" s="6" t="n">
        <x:f>G9633-H9633</x:f>
        <x:v>0</x:v>
      </x:c>
      <x:c r="J9633" s="6" t="n">
        <x:f>IF(OR(E9633="CANCELED",E9633="SUSPECTED_FRAUD",F9633="Shipping canceled"),0,1)</x:f>
        <x:v>1</x:v>
      </x:c>
      <x:c r="K9633" s="6" t="n">
        <x:f>IF(G9633&gt;H9633,1,0)</x:f>
        <x:v>0</x:v>
      </x:c>
      <x:c r="L9633" s="6" t="n">
        <x:f>J9633*K9633</x:f>
        <x:v>0</x:v>
      </x:c>
    </x:row>
    <x:row r="9634">
      <x:c r="A9634" s="1" t="n">
        <x:v>76938</x:v>
      </x:c>
      <x:c r="B9634" s="5" t="d">
        <x:v>2018-01-28T00:00:00.000Z</x:v>
      </x:c>
      <x:c r="C9634" s="1" t="str">
        <x:v>Standard Class</x:v>
      </x:c>
      <x:c r="D9634" s="1" t="str">
        <x:v>Pacific Asia</x:v>
      </x:c>
      <x:c r="E9634" s="1" t="str">
        <x:v>PENDING_PAYMENT</x:v>
      </x:c>
      <x:c r="F9634" s="1" t="str">
        <x:v>Shipping on time</x:v>
      </x:c>
      <x:c r="G9634" s="6" t="n">
        <x:v>4</x:v>
      </x:c>
      <x:c r="H9634" s="6" t="n">
        <x:v>4</x:v>
      </x:c>
      <x:c r="I9634" s="6" t="n">
        <x:f>G9634-H9634</x:f>
        <x:v>0</x:v>
      </x:c>
      <x:c r="J9634" s="6" t="n">
        <x:f>IF(OR(E9634="CANCELED",E9634="SUSPECTED_FRAUD",F9634="Shipping canceled"),0,1)</x:f>
        <x:v>1</x:v>
      </x:c>
      <x:c r="K9634" s="6" t="n">
        <x:f>IF(G9634&gt;H9634,1,0)</x:f>
        <x:v>0</x:v>
      </x:c>
      <x:c r="L9634" s="6" t="n">
        <x:f>J9634*K9634</x:f>
        <x:v>0</x:v>
      </x:c>
    </x:row>
    <x:row r="9635">
      <x:c r="A9635" s="1" t="n">
        <x:v>76942</x:v>
      </x:c>
      <x:c r="B9635" s="5" t="d">
        <x:v>2018-01-28T00:00:00.000Z</x:v>
      </x:c>
      <x:c r="C9635" s="1" t="str">
        <x:v>First Class</x:v>
      </x:c>
      <x:c r="D9635" s="1" t="str">
        <x:v>Pacific Asia</x:v>
      </x:c>
      <x:c r="E9635" s="1" t="str">
        <x:v>CLOSED</x:v>
      </x:c>
      <x:c r="F9635" s="1" t="str">
        <x:v>Late delivery</x:v>
      </x:c>
      <x:c r="G9635" s="6" t="n">
        <x:v>2</x:v>
      </x:c>
      <x:c r="H9635" s="6" t="n">
        <x:v>1</x:v>
      </x:c>
      <x:c r="I9635" s="6" t="n">
        <x:f>G9635-H9635</x:f>
        <x:v>1</x:v>
      </x:c>
      <x:c r="J9635" s="6" t="n">
        <x:f>IF(OR(E9635="CANCELED",E9635="SUSPECTED_FRAUD",F9635="Shipping canceled"),0,1)</x:f>
        <x:v>1</x:v>
      </x:c>
      <x:c r="K9635" s="6" t="n">
        <x:f>IF(G9635&gt;H9635,1,0)</x:f>
        <x:v>1</x:v>
      </x:c>
      <x:c r="L9635" s="6" t="n">
        <x:f>J9635*K9635</x:f>
        <x:v>1</x:v>
      </x:c>
    </x:row>
    <x:row r="9636">
      <x:c r="A9636" s="1" t="n">
        <x:v>76966</x:v>
      </x:c>
      <x:c r="B9636" s="5" t="d">
        <x:v>2018-01-28T00:00:00.000Z</x:v>
      </x:c>
      <x:c r="C9636" s="1" t="str">
        <x:v>Standard Class</x:v>
      </x:c>
      <x:c r="D9636" s="1" t="str">
        <x:v>Pacific Asia</x:v>
      </x:c>
      <x:c r="E9636" s="1" t="str">
        <x:v>PENDING_PAYMENT</x:v>
      </x:c>
      <x:c r="F9636" s="1" t="str">
        <x:v>Advance shipping</x:v>
      </x:c>
      <x:c r="G9636" s="6" t="n">
        <x:v>2</x:v>
      </x:c>
      <x:c r="H9636" s="6" t="n">
        <x:v>4</x:v>
      </x:c>
      <x:c r="I9636" s="6" t="n">
        <x:f>G9636-H9636</x:f>
        <x:v>-2</x:v>
      </x:c>
      <x:c r="J9636" s="6" t="n">
        <x:f>IF(OR(E9636="CANCELED",E9636="SUSPECTED_FRAUD",F9636="Shipping canceled"),0,1)</x:f>
        <x:v>1</x:v>
      </x:c>
      <x:c r="K9636" s="6" t="n">
        <x:f>IF(G9636&gt;H9636,1,0)</x:f>
        <x:v>0</x:v>
      </x:c>
      <x:c r="L9636" s="6" t="n">
        <x:f>J9636*K9636</x:f>
        <x:v>0</x:v>
      </x:c>
    </x:row>
    <x:row r="9637">
      <x:c r="A9637" s="1" t="n">
        <x:v>76976</x:v>
      </x:c>
      <x:c r="B9637" s="5" t="d">
        <x:v>2018-01-28T00:00:00.000Z</x:v>
      </x:c>
      <x:c r="C9637" s="1" t="str">
        <x:v>Standard Class</x:v>
      </x:c>
      <x:c r="D9637" s="1" t="str">
        <x:v>Pacific Asia</x:v>
      </x:c>
      <x:c r="E9637" s="1" t="str">
        <x:v>COMPLETE</x:v>
      </x:c>
      <x:c r="F9637" s="1" t="str">
        <x:v>Advance shipping</x:v>
      </x:c>
      <x:c r="G9637" s="6" t="n">
        <x:v>2</x:v>
      </x:c>
      <x:c r="H9637" s="6" t="n">
        <x:v>4</x:v>
      </x:c>
      <x:c r="I9637" s="6" t="n">
        <x:f>G9637-H9637</x:f>
        <x:v>-2</x:v>
      </x:c>
      <x:c r="J9637" s="6" t="n">
        <x:f>IF(OR(E9637="CANCELED",E9637="SUSPECTED_FRAUD",F9637="Shipping canceled"),0,1)</x:f>
        <x:v>1</x:v>
      </x:c>
      <x:c r="K9637" s="6" t="n">
        <x:f>IF(G9637&gt;H9637,1,0)</x:f>
        <x:v>0</x:v>
      </x:c>
      <x:c r="L9637" s="6" t="n">
        <x:f>J9637*K9637</x:f>
        <x:v>0</x:v>
      </x:c>
    </x:row>
    <x:row r="9638">
      <x:c r="A9638" s="1" t="n">
        <x:v>76980</x:v>
      </x:c>
      <x:c r="B9638" s="5" t="d">
        <x:v>2018-01-28T00:00:00.000Z</x:v>
      </x:c>
      <x:c r="C9638" s="1" t="str">
        <x:v>First Class</x:v>
      </x:c>
      <x:c r="D9638" s="1" t="str">
        <x:v>Pacific Asia</x:v>
      </x:c>
      <x:c r="E9638" s="1" t="str">
        <x:v>PENDING</x:v>
      </x:c>
      <x:c r="F9638" s="1" t="str">
        <x:v>Late delivery</x:v>
      </x:c>
      <x:c r="G9638" s="6" t="n">
        <x:v>2</x:v>
      </x:c>
      <x:c r="H9638" s="6" t="n">
        <x:v>1</x:v>
      </x:c>
      <x:c r="I9638" s="6" t="n">
        <x:f>G9638-H9638</x:f>
        <x:v>1</x:v>
      </x:c>
      <x:c r="J9638" s="6" t="n">
        <x:f>IF(OR(E9638="CANCELED",E9638="SUSPECTED_FRAUD",F9638="Shipping canceled"),0,1)</x:f>
        <x:v>1</x:v>
      </x:c>
      <x:c r="K9638" s="6" t="n">
        <x:f>IF(G9638&gt;H9638,1,0)</x:f>
        <x:v>1</x:v>
      </x:c>
      <x:c r="L9638" s="6" t="n">
        <x:f>J9638*K9638</x:f>
        <x:v>1</x:v>
      </x:c>
    </x:row>
    <x:row r="9639">
      <x:c r="A9639" s="1" t="n">
        <x:v>76990</x:v>
      </x:c>
      <x:c r="B9639" s="5" t="d">
        <x:v>2018-01-28T00:00:00.000Z</x:v>
      </x:c>
      <x:c r="C9639" s="1" t="str">
        <x:v>Second Class</x:v>
      </x:c>
      <x:c r="D9639" s="1" t="str">
        <x:v>Pacific Asia</x:v>
      </x:c>
      <x:c r="E9639" s="1" t="str">
        <x:v>COMPLETE</x:v>
      </x:c>
      <x:c r="F9639" s="1" t="str">
        <x:v>Late delivery</x:v>
      </x:c>
      <x:c r="G9639" s="6" t="n">
        <x:v>6</x:v>
      </x:c>
      <x:c r="H9639" s="6" t="n">
        <x:v>2</x:v>
      </x:c>
      <x:c r="I9639" s="6" t="n">
        <x:f>G9639-H9639</x:f>
        <x:v>4</x:v>
      </x:c>
      <x:c r="J9639" s="6" t="n">
        <x:f>IF(OR(E9639="CANCELED",E9639="SUSPECTED_FRAUD",F9639="Shipping canceled"),0,1)</x:f>
        <x:v>1</x:v>
      </x:c>
      <x:c r="K9639" s="6" t="n">
        <x:f>IF(G9639&gt;H9639,1,0)</x:f>
        <x:v>1</x:v>
      </x:c>
      <x:c r="L9639" s="6" t="n">
        <x:f>J9639*K9639</x:f>
        <x:v>1</x:v>
      </x:c>
    </x:row>
    <x:row r="9640">
      <x:c r="A9640" s="1" t="n">
        <x:v>76992</x:v>
      </x:c>
      <x:c r="B9640" s="5" t="d">
        <x:v>2018-01-28T00:00:00.000Z</x:v>
      </x:c>
      <x:c r="C9640" s="1" t="str">
        <x:v>Standard Class</x:v>
      </x:c>
      <x:c r="D9640" s="1" t="str">
        <x:v>Pacific Asia</x:v>
      </x:c>
      <x:c r="E9640" s="1" t="str">
        <x:v>COMPLETE</x:v>
      </x:c>
      <x:c r="F9640" s="1" t="str">
        <x:v>Advance shipping</x:v>
      </x:c>
      <x:c r="G9640" s="6" t="n">
        <x:v>3</x:v>
      </x:c>
      <x:c r="H9640" s="6" t="n">
        <x:v>4</x:v>
      </x:c>
      <x:c r="I9640" s="6" t="n">
        <x:f>G9640-H9640</x:f>
        <x:v>-1</x:v>
      </x:c>
      <x:c r="J9640" s="6" t="n">
        <x:f>IF(OR(E9640="CANCELED",E9640="SUSPECTED_FRAUD",F9640="Shipping canceled"),0,1)</x:f>
        <x:v>1</x:v>
      </x:c>
      <x:c r="K9640" s="6" t="n">
        <x:f>IF(G9640&gt;H9640,1,0)</x:f>
        <x:v>0</x:v>
      </x:c>
      <x:c r="L9640" s="6" t="n">
        <x:f>J9640*K9640</x:f>
        <x:v>0</x:v>
      </x:c>
    </x:row>
    <x:row r="9641">
      <x:c r="A9641" s="1" t="n">
        <x:v>77039</x:v>
      </x:c>
      <x:c r="B9641" s="5" t="d">
        <x:v>2018-01-29T00:00:00.000Z</x:v>
      </x:c>
      <x:c r="C9641" s="1" t="str">
        <x:v>Standard Class</x:v>
      </x:c>
      <x:c r="D9641" s="1" t="str">
        <x:v>Pacific Asia</x:v>
      </x:c>
      <x:c r="E9641" s="1" t="str">
        <x:v>COMPLETE</x:v>
      </x:c>
      <x:c r="F9641" s="1" t="str">
        <x:v>Late delivery</x:v>
      </x:c>
      <x:c r="G9641" s="6" t="n">
        <x:v>5</x:v>
      </x:c>
      <x:c r="H9641" s="6" t="n">
        <x:v>4</x:v>
      </x:c>
      <x:c r="I9641" s="6" t="n">
        <x:f>G9641-H9641</x:f>
        <x:v>1</x:v>
      </x:c>
      <x:c r="J9641" s="6" t="n">
        <x:f>IF(OR(E9641="CANCELED",E9641="SUSPECTED_FRAUD",F9641="Shipping canceled"),0,1)</x:f>
        <x:v>1</x:v>
      </x:c>
      <x:c r="K9641" s="6" t="n">
        <x:f>IF(G9641&gt;H9641,1,0)</x:f>
        <x:v>1</x:v>
      </x:c>
      <x:c r="L9641" s="6" t="n">
        <x:f>J9641*K9641</x:f>
        <x:v>1</x:v>
      </x:c>
    </x:row>
    <x:row r="9642">
      <x:c r="A9642" s="1" t="n">
        <x:v>77041</x:v>
      </x:c>
      <x:c r="B9642" s="5" t="d">
        <x:v>2018-01-29T00:00:00.000Z</x:v>
      </x:c>
      <x:c r="C9642" s="1" t="str">
        <x:v>Second Class</x:v>
      </x:c>
      <x:c r="D9642" s="1" t="str">
        <x:v>Pacific Asia</x:v>
      </x:c>
      <x:c r="E9642" s="1" t="str">
        <x:v>COMPLETE</x:v>
      </x:c>
      <x:c r="F9642" s="1" t="str">
        <x:v>Shipping on time</x:v>
      </x:c>
      <x:c r="G9642" s="6" t="n">
        <x:v>2</x:v>
      </x:c>
      <x:c r="H9642" s="6" t="n">
        <x:v>2</x:v>
      </x:c>
      <x:c r="I9642" s="6" t="n">
        <x:f>G9642-H9642</x:f>
        <x:v>0</x:v>
      </x:c>
      <x:c r="J9642" s="6" t="n">
        <x:f>IF(OR(E9642="CANCELED",E9642="SUSPECTED_FRAUD",F9642="Shipping canceled"),0,1)</x:f>
        <x:v>1</x:v>
      </x:c>
      <x:c r="K9642" s="6" t="n">
        <x:f>IF(G9642&gt;H9642,1,0)</x:f>
        <x:v>0</x:v>
      </x:c>
      <x:c r="L9642" s="6" t="n">
        <x:f>J9642*K9642</x:f>
        <x:v>0</x:v>
      </x:c>
    </x:row>
    <x:row r="9643">
      <x:c r="A9643" s="1" t="n">
        <x:v>77064</x:v>
      </x:c>
      <x:c r="B9643" s="5" t="d">
        <x:v>2018-01-29T00:00:00.000Z</x:v>
      </x:c>
      <x:c r="C9643" s="1" t="str">
        <x:v>Standard Class</x:v>
      </x:c>
      <x:c r="D9643" s="1" t="str">
        <x:v>Pacific Asia</x:v>
      </x:c>
      <x:c r="E9643" s="1" t="str">
        <x:v>ON_HOLD</x:v>
      </x:c>
      <x:c r="F9643" s="1" t="str">
        <x:v>Late delivery</x:v>
      </x:c>
      <x:c r="G9643" s="6" t="n">
        <x:v>5</x:v>
      </x:c>
      <x:c r="H9643" s="6" t="n">
        <x:v>4</x:v>
      </x:c>
      <x:c r="I9643" s="6" t="n">
        <x:f>G9643-H9643</x:f>
        <x:v>1</x:v>
      </x:c>
      <x:c r="J9643" s="6" t="n">
        <x:f>IF(OR(E9643="CANCELED",E9643="SUSPECTED_FRAUD",F9643="Shipping canceled"),0,1)</x:f>
        <x:v>1</x:v>
      </x:c>
      <x:c r="K9643" s="6" t="n">
        <x:f>IF(G9643&gt;H9643,1,0)</x:f>
        <x:v>1</x:v>
      </x:c>
      <x:c r="L9643" s="6" t="n">
        <x:f>J9643*K9643</x:f>
        <x:v>1</x:v>
      </x:c>
    </x:row>
    <x:row r="9644">
      <x:c r="A9644" s="1" t="n">
        <x:v>77081</x:v>
      </x:c>
      <x:c r="B9644" s="5" t="d">
        <x:v>2018-01-30T00:00:00.000Z</x:v>
      </x:c>
      <x:c r="C9644" s="1" t="str">
        <x:v>First Class</x:v>
      </x:c>
      <x:c r="D9644" s="1" t="str">
        <x:v>Pacific Asia</x:v>
      </x:c>
      <x:c r="E9644" s="1" t="str">
        <x:v>CANCELED</x:v>
      </x:c>
      <x:c r="F9644" s="1" t="str">
        <x:v>Shipping canceled</x:v>
      </x:c>
      <x:c r="G9644" s="6" t="n">
        <x:v>2</x:v>
      </x:c>
      <x:c r="H9644" s="6" t="n">
        <x:v>1</x:v>
      </x:c>
      <x:c r="I9644" s="6" t="n">
        <x:f>G9644-H9644</x:f>
        <x:v>1</x:v>
      </x:c>
      <x:c r="J9644" s="6" t="n">
        <x:f>IF(OR(E9644="CANCELED",E9644="SUSPECTED_FRAUD",F9644="Shipping canceled"),0,1)</x:f>
        <x:v>0</x:v>
      </x:c>
      <x:c r="K9644" s="6" t="n">
        <x:f>IF(G9644&gt;H9644,1,0)</x:f>
        <x:v>1</x:v>
      </x:c>
      <x:c r="L9644" s="6" t="n">
        <x:f>J9644*K9644</x:f>
        <x:v>0</x:v>
      </x:c>
    </x:row>
    <x:row r="9645">
      <x:c r="A9645" s="1" t="n">
        <x:v>77091</x:v>
      </x:c>
      <x:c r="B9645" s="5" t="d">
        <x:v>2018-01-30T00:00:00.000Z</x:v>
      </x:c>
      <x:c r="C9645" s="1" t="str">
        <x:v>Same Day</x:v>
      </x:c>
      <x:c r="D9645" s="1" t="str">
        <x:v>Pacific Asia</x:v>
      </x:c>
      <x:c r="E9645" s="1" t="str">
        <x:v>CANCELED</x:v>
      </x:c>
      <x:c r="F9645" s="1" t="str">
        <x:v>Shipping canceled</x:v>
      </x:c>
      <x:c r="G9645" s="6" t="n">
        <x:v>0</x:v>
      </x:c>
      <x:c r="H9645" s="6" t="n">
        <x:v>0</x:v>
      </x:c>
      <x:c r="I9645" s="6" t="n">
        <x:f>G9645-H9645</x:f>
        <x:v>0</x:v>
      </x:c>
      <x:c r="J9645" s="6" t="n">
        <x:f>IF(OR(E9645="CANCELED",E9645="SUSPECTED_FRAUD",F9645="Shipping canceled"),0,1)</x:f>
        <x:v>0</x:v>
      </x:c>
      <x:c r="K9645" s="6" t="n">
        <x:f>IF(G9645&gt;H9645,1,0)</x:f>
        <x:v>0</x:v>
      </x:c>
      <x:c r="L9645" s="6" t="n">
        <x:f>J9645*K9645</x:f>
        <x:v>0</x:v>
      </x:c>
    </x:row>
    <x:row r="9646">
      <x:c r="A9646" s="1" t="n">
        <x:v>77102</x:v>
      </x:c>
      <x:c r="B9646" s="5" t="d">
        <x:v>2018-01-30T00:00:00.000Z</x:v>
      </x:c>
      <x:c r="C9646" s="1" t="str">
        <x:v>Standard Class</x:v>
      </x:c>
      <x:c r="D9646" s="1" t="str">
        <x:v>Pacific Asia</x:v>
      </x:c>
      <x:c r="E9646" s="1" t="str">
        <x:v>COMPLETE</x:v>
      </x:c>
      <x:c r="F9646" s="1" t="str">
        <x:v>Advance shipping</x:v>
      </x:c>
      <x:c r="G9646" s="6" t="n">
        <x:v>3</x:v>
      </x:c>
      <x:c r="H9646" s="6" t="n">
        <x:v>4</x:v>
      </x:c>
      <x:c r="I9646" s="6" t="n">
        <x:f>G9646-H9646</x:f>
        <x:v>-1</x:v>
      </x:c>
      <x:c r="J9646" s="6" t="n">
        <x:f>IF(OR(E9646="CANCELED",E9646="SUSPECTED_FRAUD",F9646="Shipping canceled"),0,1)</x:f>
        <x:v>1</x:v>
      </x:c>
      <x:c r="K9646" s="6" t="n">
        <x:f>IF(G9646&gt;H9646,1,0)</x:f>
        <x:v>0</x:v>
      </x:c>
      <x:c r="L9646" s="6" t="n">
        <x:f>J9646*K9646</x:f>
        <x:v>0</x:v>
      </x:c>
    </x:row>
    <x:row r="9647">
      <x:c r="A9647" s="1" t="n">
        <x:v>77110</x:v>
      </x:c>
      <x:c r="B9647" s="5" t="d">
        <x:v>2018-01-30T00:00:00.000Z</x:v>
      </x:c>
      <x:c r="C9647" s="1" t="str">
        <x:v>Standard Class</x:v>
      </x:c>
      <x:c r="D9647" s="1" t="str">
        <x:v>Pacific Asia</x:v>
      </x:c>
      <x:c r="E9647" s="1" t="str">
        <x:v>COMPLETE</x:v>
      </x:c>
      <x:c r="F9647" s="1" t="str">
        <x:v>Late delivery</x:v>
      </x:c>
      <x:c r="G9647" s="6" t="n">
        <x:v>6</x:v>
      </x:c>
      <x:c r="H9647" s="6" t="n">
        <x:v>4</x:v>
      </x:c>
      <x:c r="I9647" s="6" t="n">
        <x:f>G9647-H9647</x:f>
        <x:v>2</x:v>
      </x:c>
      <x:c r="J9647" s="6" t="n">
        <x:f>IF(OR(E9647="CANCELED",E9647="SUSPECTED_FRAUD",F9647="Shipping canceled"),0,1)</x:f>
        <x:v>1</x:v>
      </x:c>
      <x:c r="K9647" s="6" t="n">
        <x:f>IF(G9647&gt;H9647,1,0)</x:f>
        <x:v>1</x:v>
      </x:c>
      <x:c r="L9647" s="6" t="n">
        <x:f>J9647*K9647</x:f>
        <x:v>1</x:v>
      </x:c>
    </x:row>
    <x:row r="9648">
      <x:c r="A9648" s="1" t="n">
        <x:v>77111</x:v>
      </x:c>
      <x:c r="B9648" s="5" t="d">
        <x:v>2018-01-30T00:00:00.000Z</x:v>
      </x:c>
      <x:c r="C9648" s="1" t="str">
        <x:v>Standard Class</x:v>
      </x:c>
      <x:c r="D9648" s="1" t="str">
        <x:v>Pacific Asia</x:v>
      </x:c>
      <x:c r="E9648" s="1" t="str">
        <x:v>COMPLETE</x:v>
      </x:c>
      <x:c r="F9648" s="1" t="str">
        <x:v>Advance shipping</x:v>
      </x:c>
      <x:c r="G9648" s="6" t="n">
        <x:v>2</x:v>
      </x:c>
      <x:c r="H9648" s="6" t="n">
        <x:v>4</x:v>
      </x:c>
      <x:c r="I9648" s="6" t="n">
        <x:f>G9648-H9648</x:f>
        <x:v>-2</x:v>
      </x:c>
      <x:c r="J9648" s="6" t="n">
        <x:f>IF(OR(E9648="CANCELED",E9648="SUSPECTED_FRAUD",F9648="Shipping canceled"),0,1)</x:f>
        <x:v>1</x:v>
      </x:c>
      <x:c r="K9648" s="6" t="n">
        <x:f>IF(G9648&gt;H9648,1,0)</x:f>
        <x:v>0</x:v>
      </x:c>
      <x:c r="L9648" s="6" t="n">
        <x:f>J9648*K9648</x:f>
        <x:v>0</x:v>
      </x:c>
    </x:row>
    <x:row r="9649">
      <x:c r="A9649" s="1" t="n">
        <x:v>77114</x:v>
      </x:c>
      <x:c r="B9649" s="5" t="d">
        <x:v>2018-01-30T00:00:00.000Z</x:v>
      </x:c>
      <x:c r="C9649" s="1" t="str">
        <x:v>Second Class</x:v>
      </x:c>
      <x:c r="D9649" s="1" t="str">
        <x:v>Pacific Asia</x:v>
      </x:c>
      <x:c r="E9649" s="1" t="str">
        <x:v>PROCESSING</x:v>
      </x:c>
      <x:c r="F9649" s="1" t="str">
        <x:v>Late delivery</x:v>
      </x:c>
      <x:c r="G9649" s="6" t="n">
        <x:v>5</x:v>
      </x:c>
      <x:c r="H9649" s="6" t="n">
        <x:v>2</x:v>
      </x:c>
      <x:c r="I9649" s="6" t="n">
        <x:f>G9649-H9649</x:f>
        <x:v>3</x:v>
      </x:c>
      <x:c r="J9649" s="6" t="n">
        <x:f>IF(OR(E9649="CANCELED",E9649="SUSPECTED_FRAUD",F9649="Shipping canceled"),0,1)</x:f>
        <x:v>1</x:v>
      </x:c>
      <x:c r="K9649" s="6" t="n">
        <x:f>IF(G9649&gt;H9649,1,0)</x:f>
        <x:v>1</x:v>
      </x:c>
      <x:c r="L9649" s="6" t="n">
        <x:f>J9649*K9649</x:f>
        <x:v>1</x:v>
      </x:c>
    </x:row>
    <x:row r="9650">
      <x:c r="A9650" s="1" t="n">
        <x:v>77129</x:v>
      </x:c>
      <x:c r="B9650" s="5" t="d">
        <x:v>2018-01-30T00:00:00.000Z</x:v>
      </x:c>
      <x:c r="C9650" s="1" t="str">
        <x:v>Second Class</x:v>
      </x:c>
      <x:c r="D9650" s="1" t="str">
        <x:v>Pacific Asia</x:v>
      </x:c>
      <x:c r="E9650" s="1" t="str">
        <x:v>COMPLETE</x:v>
      </x:c>
      <x:c r="F9650" s="1" t="str">
        <x:v>Late delivery</x:v>
      </x:c>
      <x:c r="G9650" s="6" t="n">
        <x:v>5</x:v>
      </x:c>
      <x:c r="H9650" s="6" t="n">
        <x:v>2</x:v>
      </x:c>
      <x:c r="I9650" s="6" t="n">
        <x:f>G9650-H9650</x:f>
        <x:v>3</x:v>
      </x:c>
      <x:c r="J9650" s="6" t="n">
        <x:f>IF(OR(E9650="CANCELED",E9650="SUSPECTED_FRAUD",F9650="Shipping canceled"),0,1)</x:f>
        <x:v>1</x:v>
      </x:c>
      <x:c r="K9650" s="6" t="n">
        <x:f>IF(G9650&gt;H9650,1,0)</x:f>
        <x:v>1</x:v>
      </x:c>
      <x:c r="L9650" s="6" t="n">
        <x:f>J9650*K9650</x:f>
        <x:v>1</x:v>
      </x:c>
    </x:row>
    <x:row r="9651">
      <x:c r="A9651" s="1" t="n">
        <x:v>77146</x:v>
      </x:c>
      <x:c r="B9651" s="5" t="d">
        <x:v>2018-01-31T00:00:00.000Z</x:v>
      </x:c>
      <x:c r="C9651" s="1" t="str">
        <x:v>Standard Class</x:v>
      </x:c>
      <x:c r="D9651" s="1" t="str">
        <x:v>Pacific Asia</x:v>
      </x:c>
      <x:c r="E9651" s="1" t="str">
        <x:v>COMPLETE</x:v>
      </x:c>
      <x:c r="F9651" s="1" t="str">
        <x:v>Advance shipping</x:v>
      </x:c>
      <x:c r="G9651" s="6" t="n">
        <x:v>2</x:v>
      </x:c>
      <x:c r="H9651" s="6" t="n">
        <x:v>4</x:v>
      </x:c>
      <x:c r="I9651" s="6" t="n">
        <x:f>G9651-H9651</x:f>
        <x:v>-2</x:v>
      </x:c>
      <x:c r="J9651" s="6" t="n">
        <x:f>IF(OR(E9651="CANCELED",E9651="SUSPECTED_FRAUD",F9651="Shipping canceled"),0,1)</x:f>
        <x:v>1</x:v>
      </x:c>
      <x:c r="K9651" s="6" t="n">
        <x:f>IF(G9651&gt;H9651,1,0)</x:f>
        <x:v>0</x:v>
      </x:c>
      <x:c r="L9651" s="6" t="n">
        <x:f>J9651*K9651</x:f>
        <x:v>0</x:v>
      </x:c>
    </x:row>
    <x:row r="9652">
      <x:c r="A9652" s="1" t="n">
        <x:v>77150</x:v>
      </x:c>
      <x:c r="B9652" s="5" t="d">
        <x:v>2018-01-31T00:00:00.000Z</x:v>
      </x:c>
      <x:c r="C9652" s="1" t="str">
        <x:v>Standard Class</x:v>
      </x:c>
      <x:c r="D9652" s="1" t="str">
        <x:v>Pacific Asia</x:v>
      </x:c>
      <x:c r="E9652" s="1" t="str">
        <x:v>CLOSED</x:v>
      </x:c>
      <x:c r="F9652" s="1" t="str">
        <x:v>Late delivery</x:v>
      </x:c>
      <x:c r="G9652" s="6" t="n">
        <x:v>6</x:v>
      </x:c>
      <x:c r="H9652" s="6" t="n">
        <x:v>4</x:v>
      </x:c>
      <x:c r="I9652" s="6" t="n">
        <x:f>G9652-H9652</x:f>
        <x:v>2</x:v>
      </x:c>
      <x:c r="J9652" s="6" t="n">
        <x:f>IF(OR(E9652="CANCELED",E9652="SUSPECTED_FRAUD",F9652="Shipping canceled"),0,1)</x:f>
        <x:v>1</x:v>
      </x:c>
      <x:c r="K9652" s="6" t="n">
        <x:f>IF(G9652&gt;H9652,1,0)</x:f>
        <x:v>1</x:v>
      </x:c>
      <x:c r="L9652" s="6" t="n">
        <x:f>J9652*K9652</x:f>
        <x:v>1</x:v>
      </x:c>
    </x:row>
    <x:row r="9653">
      <x:c r="A9653" s="1" t="n">
        <x:v>77153</x:v>
      </x:c>
      <x:c r="B9653" s="5" t="d">
        <x:v>2018-01-31T00:00:00.000Z</x:v>
      </x:c>
      <x:c r="C9653" s="1" t="str">
        <x:v>Second Class</x:v>
      </x:c>
      <x:c r="D9653" s="1" t="str">
        <x:v>Pacific Asia</x:v>
      </x:c>
      <x:c r="E9653" s="1" t="str">
        <x:v>COMPLETE</x:v>
      </x:c>
      <x:c r="F9653" s="1" t="str">
        <x:v>Late delivery</x:v>
      </x:c>
      <x:c r="G9653" s="6" t="n">
        <x:v>4</x:v>
      </x:c>
      <x:c r="H9653" s="6" t="n">
        <x:v>2</x:v>
      </x:c>
      <x:c r="I9653" s="6" t="n">
        <x:f>G9653-H9653</x:f>
        <x:v>2</x:v>
      </x:c>
      <x:c r="J9653" s="6" t="n">
        <x:f>IF(OR(E9653="CANCELED",E9653="SUSPECTED_FRAUD",F9653="Shipping canceled"),0,1)</x:f>
        <x:v>1</x:v>
      </x:c>
      <x:c r="K9653" s="6" t="n">
        <x:f>IF(G9653&gt;H9653,1,0)</x:f>
        <x:v>1</x:v>
      </x:c>
      <x:c r="L9653" s="6" t="n">
        <x:f>J9653*K9653</x:f>
        <x:v>1</x:v>
      </x:c>
    </x:row>
    <x:row r="9654">
      <x:c r="A9654" s="1" t="n">
        <x:v>77166</x:v>
      </x:c>
      <x:c r="B9654" s="5" t="d">
        <x:v>2018-01-31T00:00:00.000Z</x:v>
      </x:c>
      <x:c r="C9654" s="1" t="str">
        <x:v>Second Class</x:v>
      </x:c>
      <x:c r="D9654" s="1" t="str">
        <x:v>Pacific Asia</x:v>
      </x:c>
      <x:c r="E9654" s="1" t="str">
        <x:v>COMPLETE</x:v>
      </x:c>
      <x:c r="F9654" s="1" t="str">
        <x:v>Shipping on time</x:v>
      </x:c>
      <x:c r="G9654" s="6" t="n">
        <x:v>2</x:v>
      </x:c>
      <x:c r="H9654" s="6" t="n">
        <x:v>2</x:v>
      </x:c>
      <x:c r="I9654" s="6" t="n">
        <x:f>G9654-H9654</x:f>
        <x:v>0</x:v>
      </x:c>
      <x:c r="J9654" s="6" t="n">
        <x:f>IF(OR(E9654="CANCELED",E9654="SUSPECTED_FRAUD",F9654="Shipping canceled"),0,1)</x:f>
        <x:v>1</x:v>
      </x:c>
      <x:c r="K9654" s="6" t="n">
        <x:f>IF(G9654&gt;H9654,1,0)</x:f>
        <x:v>0</x:v>
      </x:c>
      <x:c r="L9654" s="6" t="n">
        <x:f>J9654*K9654</x:f>
        <x:v>0</x:v>
      </x:c>
    </x:row>
    <x:row r="9655">
      <x:c r="A9655" s="1" t="n">
        <x:v>77169</x:v>
      </x:c>
      <x:c r="B9655" s="5" t="d">
        <x:v>2018-01-31T00:00:00.000Z</x:v>
      </x:c>
      <x:c r="C9655" s="1" t="str">
        <x:v>Standard Class</x:v>
      </x:c>
      <x:c r="D9655" s="1" t="str">
        <x:v>Pacific Asia</x:v>
      </x:c>
      <x:c r="E9655" s="1" t="str">
        <x:v>COMPLETE</x:v>
      </x:c>
      <x:c r="F9655" s="1" t="str">
        <x:v>Late delivery</x:v>
      </x:c>
      <x:c r="G9655" s="6" t="n">
        <x:v>5</x:v>
      </x:c>
      <x:c r="H9655" s="6" t="n">
        <x:v>4</x:v>
      </x:c>
      <x:c r="I9655" s="6" t="n">
        <x:f>G9655-H9655</x:f>
        <x:v>1</x:v>
      </x:c>
      <x:c r="J9655" s="6" t="n">
        <x:f>IF(OR(E9655="CANCELED",E9655="SUSPECTED_FRAUD",F9655="Shipping canceled"),0,1)</x:f>
        <x:v>1</x:v>
      </x:c>
      <x:c r="K9655" s="6" t="n">
        <x:f>IF(G9655&gt;H9655,1,0)</x:f>
        <x:v>1</x:v>
      </x:c>
      <x:c r="L9655" s="6" t="n">
        <x:f>J9655*K9655</x:f>
        <x:v>1</x:v>
      </x:c>
    </x:row>
    <x:row r="9656">
      <x:c r="A9656" s="1" t="n">
        <x:v>77187</x:v>
      </x:c>
      <x:c r="B9656" s="5" t="d">
        <x:v>2018-01-31T00:00:00.000Z</x:v>
      </x:c>
      <x:c r="C9656" s="1" t="str">
        <x:v>First Class</x:v>
      </x:c>
      <x:c r="D9656" s="1" t="str">
        <x:v>Pacific Asia</x:v>
      </x:c>
      <x:c r="E9656" s="1" t="str">
        <x:v>PENDING</x:v>
      </x:c>
      <x:c r="F9656" s="1" t="str">
        <x:v>Late delivery</x:v>
      </x:c>
      <x:c r="G9656" s="6" t="n">
        <x:v>2</x:v>
      </x:c>
      <x:c r="H9656" s="6" t="n">
        <x:v>1</x:v>
      </x:c>
      <x:c r="I9656" s="6" t="n">
        <x:f>G9656-H9656</x:f>
        <x:v>1</x:v>
      </x:c>
      <x:c r="J9656" s="6" t="n">
        <x:f>IF(OR(E9656="CANCELED",E9656="SUSPECTED_FRAUD",F9656="Shipping canceled"),0,1)</x:f>
        <x:v>1</x:v>
      </x:c>
      <x:c r="K9656" s="6" t="n">
        <x:f>IF(G9656&gt;H9656,1,0)</x:f>
        <x:v>1</x:v>
      </x:c>
      <x:c r="L9656" s="6" t="n">
        <x:f>J9656*K9656</x:f>
        <x:v>1</x:v>
      </x:c>
    </x:row>
    <x:row r="9657">
      <x:c r="A9657" s="1" t="n">
        <x:v>77202</x:v>
      </x:c>
      <x:c r="B9657" s="5" t="d">
        <x:v>2018-01-31T00:00:00.000Z</x:v>
      </x:c>
      <x:c r="C9657" s="1" t="str">
        <x:v>Standard Class</x:v>
      </x:c>
      <x:c r="D9657" s="1" t="str">
        <x:v>Pacific Asia</x:v>
      </x:c>
      <x:c r="E9657" s="1" t="str">
        <x:v>COMPLETE</x:v>
      </x:c>
      <x:c r="F9657" s="1" t="str">
        <x:v>Advance shipping</x:v>
      </x:c>
      <x:c r="G9657" s="6" t="n">
        <x:v>3</x:v>
      </x:c>
      <x:c r="H9657" s="6" t="n">
        <x:v>4</x:v>
      </x:c>
      <x:c r="I9657" s="6" t="n">
        <x:f>G9657-H9657</x:f>
        <x:v>-1</x:v>
      </x:c>
      <x:c r="J9657" s="6" t="n">
        <x:f>IF(OR(E9657="CANCELED",E9657="SUSPECTED_FRAUD",F9657="Shipping canceled"),0,1)</x:f>
        <x:v>1</x:v>
      </x:c>
      <x:c r="K9657" s="6" t="n">
        <x:f>IF(G9657&gt;H9657,1,0)</x:f>
        <x:v>0</x:v>
      </x:c>
      <x:c r="L9657" s="6" t="n">
        <x:f>J9657*K9657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1873e82a12f4d52"/>
  </x:tableParts>
</x:worksheet>
</file>